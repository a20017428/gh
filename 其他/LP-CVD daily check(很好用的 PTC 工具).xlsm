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cli22\Desktop\Poly\統計\"/>
    </mc:Choice>
  </mc:AlternateContent>
  <bookViews>
    <workbookView xWindow="480" yWindow="990" windowWidth="15030" windowHeight="6195" firstSheet="1" activeTab="3"/>
  </bookViews>
  <sheets>
    <sheet name="LP-T2 厚度" sheetId="13" state="hidden" r:id="rId1"/>
    <sheet name="LP-N(薄) daily check" sheetId="20" r:id="rId2"/>
    <sheet name="LP-N(厚) daily check" sheetId="19" r:id="rId3"/>
    <sheet name="LP-P daily check" sheetId="18" r:id="rId4"/>
    <sheet name="LP-T daily check" sheetId="15" r:id="rId5"/>
    <sheet name="LP-T2 大顆的" sheetId="6" state="hidden" r:id="rId6"/>
  </sheets>
  <definedNames>
    <definedName name="_xlnm._FilterDatabase" localSheetId="2" hidden="1">'LP-N(厚) daily check'!#REF!</definedName>
    <definedName name="_xlnm._FilterDatabase" localSheetId="1" hidden="1">'LP-N(薄) daily check'!#REF!</definedName>
    <definedName name="_xlnm._FilterDatabase" localSheetId="3" hidden="1">'LP-P daily check'!#REF!</definedName>
    <definedName name="_xlnm._FilterDatabase" localSheetId="4" hidden="1">'LP-T daily check'!#REF!</definedName>
    <definedName name="_xlnm._FilterDatabase" localSheetId="5" hidden="1">'LP-T2 大顆的'!#REF!</definedName>
    <definedName name="_xlnm._FilterDatabase" localSheetId="0" hidden="1">'LP-T2 厚度'!#REF!</definedName>
    <definedName name="LP_PXX" localSheetId="2">'LP-N(厚) daily check'!#REF!</definedName>
    <definedName name="LP_PXX" localSheetId="1">'LP-N(薄) daily check'!#REF!</definedName>
    <definedName name="LP_PXX" localSheetId="3">'LP-P daily check'!#REF!</definedName>
    <definedName name="LP_PXX" localSheetId="4">'LP-T daily check'!#REF!</definedName>
    <definedName name="LP_PXX" localSheetId="5">'LP-T2 大顆的'!#REF!</definedName>
    <definedName name="LP_PXX" localSheetId="0">'LP-T2 厚度'!#REF!</definedName>
    <definedName name="LP_PXX">#REF!</definedName>
    <definedName name="WEHQDBMS08_的查詢__2" localSheetId="2" hidden="1">'LP-N(厚) daily check'!$A$1:$E$50</definedName>
    <definedName name="WEHQDBMS08_的查詢__2" localSheetId="1" hidden="1">'LP-N(薄) daily check'!$A$1:$E$48</definedName>
    <definedName name="WEHQDBMS08_的查詢__2" localSheetId="3" hidden="1">'LP-P daily check'!$A$1:$E$170</definedName>
    <definedName name="WEHQDBMS08_的查詢__2" localSheetId="4" hidden="1">'LP-T daily check'!$A$1:$G$360</definedName>
    <definedName name="WEHQDBMS08_的查詢__2" localSheetId="5" hidden="1">'LP-T2 大顆的'!$A$1:$F$2</definedName>
    <definedName name="WEHQDBMS08_的查詢__2" localSheetId="0" hidden="1">'LP-T2 厚度'!$A$1:$G$31</definedName>
    <definedName name="來自_WEHQDBMS08_的查詢" localSheetId="2">'LP-N(厚) daily check'!#REF!</definedName>
    <definedName name="來自_WEHQDBMS08_的查詢" localSheetId="1">'LP-N(薄) daily check'!#REF!</definedName>
    <definedName name="來自_WEHQDBMS08_的查詢" localSheetId="3">'LP-P daily check'!#REF!</definedName>
    <definedName name="來自_WEHQDBMS08_的查詢" localSheetId="4">'LP-T daily check'!#REF!</definedName>
    <definedName name="來自_WEHQDBMS08_的查詢" localSheetId="5">'LP-T2 大顆的'!#REF!</definedName>
    <definedName name="來自_WEHQDBMS08_的查詢" localSheetId="0">'LP-T2 厚度'!#REF!</definedName>
  </definedNames>
  <calcPr calcId="162913"/>
</workbook>
</file>

<file path=xl/calcChain.xml><?xml version="1.0" encoding="utf-8"?>
<calcChain xmlns="http://schemas.openxmlformats.org/spreadsheetml/2006/main">
  <c r="D7" i="13" l="1"/>
  <c r="D8" i="13"/>
  <c r="D9" i="13"/>
  <c r="D10" i="13"/>
  <c r="D11" i="13"/>
  <c r="D22" i="13"/>
  <c r="D23" i="13"/>
  <c r="D24" i="13"/>
  <c r="D25" i="13"/>
  <c r="D26" i="13"/>
  <c r="D17" i="13"/>
  <c r="D18" i="13"/>
  <c r="D19" i="13"/>
  <c r="D20" i="13"/>
  <c r="D21" i="13"/>
  <c r="D2" i="13"/>
  <c r="D3" i="13"/>
  <c r="D4" i="13"/>
  <c r="D5" i="13"/>
  <c r="D6" i="13"/>
  <c r="D12" i="13"/>
  <c r="D13" i="13"/>
  <c r="D14" i="13"/>
  <c r="D15" i="13"/>
  <c r="D16" i="13"/>
  <c r="D27" i="13"/>
  <c r="D28" i="13"/>
  <c r="D29" i="13"/>
  <c r="D30" i="13"/>
  <c r="D31" i="13"/>
  <c r="D359" i="15"/>
  <c r="D360" i="15"/>
  <c r="D346" i="15"/>
  <c r="D339" i="15"/>
  <c r="D332" i="15"/>
  <c r="D325" i="15"/>
  <c r="D313" i="15"/>
  <c r="D314" i="15"/>
  <c r="D302" i="15"/>
  <c r="D296" i="15"/>
  <c r="F296" i="15" s="1"/>
  <c r="I296" i="15" s="1"/>
  <c r="D288" i="15"/>
  <c r="F288" i="15" s="1"/>
  <c r="I288" i="15" s="1"/>
  <c r="D282" i="15"/>
  <c r="F282" i="15" s="1"/>
  <c r="I282" i="15" s="1"/>
  <c r="D272" i="15"/>
  <c r="F272" i="15" s="1"/>
  <c r="I272" i="15" s="1"/>
  <c r="D273" i="15"/>
  <c r="D260" i="15"/>
  <c r="D261" i="15"/>
  <c r="D251" i="15"/>
  <c r="D244" i="15"/>
  <c r="D236" i="15"/>
  <c r="D226" i="15"/>
  <c r="D227" i="15"/>
  <c r="D209" i="15"/>
  <c r="F209" i="15" s="1"/>
  <c r="I209" i="15" s="1"/>
  <c r="D210" i="15"/>
  <c r="F210" i="15" s="1"/>
  <c r="I210" i="15" s="1"/>
  <c r="D202" i="15"/>
  <c r="F202" i="15" s="1"/>
  <c r="I202" i="15" s="1"/>
  <c r="D194" i="15"/>
  <c r="F194" i="15" s="1"/>
  <c r="I194" i="15" s="1"/>
  <c r="D188" i="15"/>
  <c r="D174" i="15"/>
  <c r="D175" i="15"/>
  <c r="D159" i="15"/>
  <c r="D152" i="15"/>
  <c r="D145" i="15"/>
  <c r="D134" i="15"/>
  <c r="D135" i="15"/>
  <c r="D122" i="15"/>
  <c r="F122" i="15" s="1"/>
  <c r="I122" i="15" s="1"/>
  <c r="D123" i="15"/>
  <c r="F123" i="15" s="1"/>
  <c r="I123" i="15" s="1"/>
  <c r="D113" i="15"/>
  <c r="F113" i="15" s="1"/>
  <c r="I113" i="15" s="1"/>
  <c r="D105" i="15"/>
  <c r="F105" i="15" s="1"/>
  <c r="I105" i="15" s="1"/>
  <c r="D100" i="15"/>
  <c r="D93" i="15"/>
  <c r="D79" i="15"/>
  <c r="D80" i="15"/>
  <c r="D66" i="15"/>
  <c r="D58" i="15"/>
  <c r="D52" i="15"/>
  <c r="D41" i="15"/>
  <c r="D42" i="15"/>
  <c r="D27" i="15"/>
  <c r="F27" i="15" s="1"/>
  <c r="I27" i="15" s="1"/>
  <c r="D28" i="15"/>
  <c r="F28" i="15" s="1"/>
  <c r="I28" i="15" s="1"/>
  <c r="D355" i="15"/>
  <c r="F355" i="15" s="1"/>
  <c r="I355" i="15" s="1"/>
  <c r="D356" i="15"/>
  <c r="D345" i="15"/>
  <c r="D336" i="15"/>
  <c r="D330" i="15"/>
  <c r="D321" i="15"/>
  <c r="D322" i="15"/>
  <c r="D309" i="15"/>
  <c r="D310" i="15"/>
  <c r="D301" i="15"/>
  <c r="F301" i="15" s="1"/>
  <c r="I301" i="15" s="1"/>
  <c r="D294" i="15"/>
  <c r="F294" i="15" s="1"/>
  <c r="I294" i="15" s="1"/>
  <c r="D289" i="15"/>
  <c r="F289" i="15" s="1"/>
  <c r="I289" i="15" s="1"/>
  <c r="D283" i="15"/>
  <c r="F283" i="15" s="1"/>
  <c r="I283" i="15" s="1"/>
  <c r="D274" i="15"/>
  <c r="D275" i="15"/>
  <c r="D262" i="15"/>
  <c r="D263" i="15"/>
  <c r="D254" i="15"/>
  <c r="D246" i="15"/>
  <c r="D238" i="15"/>
  <c r="D224" i="15"/>
  <c r="D225" i="15"/>
  <c r="F225" i="15" s="1"/>
  <c r="I225" i="15" s="1"/>
  <c r="D212" i="15"/>
  <c r="F212" i="15" s="1"/>
  <c r="I212" i="15" s="1"/>
  <c r="D213" i="15"/>
  <c r="F213" i="15" s="1"/>
  <c r="I213" i="15" s="1"/>
  <c r="D198" i="15"/>
  <c r="F198" i="15" s="1"/>
  <c r="I198" i="15" s="1"/>
  <c r="D190" i="15"/>
  <c r="D182" i="15"/>
  <c r="D183" i="15"/>
  <c r="D166" i="15"/>
  <c r="D167" i="15"/>
  <c r="D160" i="15"/>
  <c r="D155" i="15"/>
  <c r="D149" i="15"/>
  <c r="D142" i="15"/>
  <c r="F142" i="15" s="1"/>
  <c r="I142" i="15" s="1"/>
  <c r="D143" i="15"/>
  <c r="F143" i="15" s="1"/>
  <c r="I143" i="15" s="1"/>
  <c r="D130" i="15"/>
  <c r="F130" i="15" s="1"/>
  <c r="I130" i="15" s="1"/>
  <c r="D131" i="15"/>
  <c r="F131" i="15" s="1"/>
  <c r="I131" i="15" s="1"/>
  <c r="D117" i="15"/>
  <c r="D108" i="15"/>
  <c r="D103" i="15"/>
  <c r="D97" i="15"/>
  <c r="D87" i="15"/>
  <c r="D88" i="15"/>
  <c r="D73" i="15"/>
  <c r="D74" i="15"/>
  <c r="D65" i="15"/>
  <c r="D59" i="15"/>
  <c r="F59" i="15" s="1"/>
  <c r="I59" i="15" s="1"/>
  <c r="D51" i="15"/>
  <c r="F51" i="15" s="1"/>
  <c r="I51" i="15" s="1"/>
  <c r="D43" i="15"/>
  <c r="F43" i="15" s="1"/>
  <c r="I43" i="15" s="1"/>
  <c r="D44" i="15"/>
  <c r="F44" i="15" s="1"/>
  <c r="I44" i="15" s="1"/>
  <c r="D29" i="15"/>
  <c r="D30" i="15"/>
  <c r="D16" i="15"/>
  <c r="D9" i="15"/>
  <c r="D2" i="15"/>
  <c r="D357" i="15"/>
  <c r="D358" i="15"/>
  <c r="D348" i="15"/>
  <c r="F348" i="15" s="1"/>
  <c r="I348" i="15" s="1"/>
  <c r="D341" i="15"/>
  <c r="F341" i="15" s="1"/>
  <c r="I341" i="15" s="1"/>
  <c r="D334" i="15"/>
  <c r="F334" i="15" s="1"/>
  <c r="I334" i="15" s="1"/>
  <c r="D331" i="15"/>
  <c r="F331" i="15" s="1"/>
  <c r="I331" i="15" s="1"/>
  <c r="D323" i="15"/>
  <c r="F323" i="15" s="1"/>
  <c r="I323" i="15" s="1"/>
  <c r="D324" i="15"/>
  <c r="D311" i="15"/>
  <c r="D312" i="15"/>
  <c r="D303" i="15"/>
  <c r="F303" i="15" s="1"/>
  <c r="I303" i="15" s="1"/>
  <c r="D297" i="15"/>
  <c r="D292" i="15"/>
  <c r="D286" i="15"/>
  <c r="D278" i="15"/>
  <c r="F278" i="15" s="1"/>
  <c r="I278" i="15" s="1"/>
  <c r="D279" i="15"/>
  <c r="F279" i="15" s="1"/>
  <c r="I279" i="15" s="1"/>
  <c r="D268" i="15"/>
  <c r="F268" i="15" s="1"/>
  <c r="I268" i="15" s="1"/>
  <c r="D269" i="15"/>
  <c r="F269" i="15" s="1"/>
  <c r="I269" i="15" s="1"/>
  <c r="D259" i="15"/>
  <c r="D253" i="15"/>
  <c r="D247" i="15"/>
  <c r="D240" i="15"/>
  <c r="D232" i="15"/>
  <c r="F232" i="15" s="1"/>
  <c r="I232" i="15" s="1"/>
  <c r="D233" i="15"/>
  <c r="D220" i="15"/>
  <c r="D221" i="15"/>
  <c r="D211" i="15"/>
  <c r="F211" i="15" s="1"/>
  <c r="I211" i="15" s="1"/>
  <c r="D203" i="15"/>
  <c r="F203" i="15" s="1"/>
  <c r="I203" i="15" s="1"/>
  <c r="D196" i="15"/>
  <c r="F196" i="15" s="1"/>
  <c r="I196" i="15" s="1"/>
  <c r="D189" i="15"/>
  <c r="F189" i="15" s="1"/>
  <c r="I189" i="15" s="1"/>
  <c r="D180" i="15"/>
  <c r="F180" i="15" s="1"/>
  <c r="I180" i="15" s="1"/>
  <c r="D181" i="15"/>
  <c r="D170" i="15"/>
  <c r="D171" i="15"/>
  <c r="D162" i="15"/>
  <c r="D157" i="15"/>
  <c r="D153" i="15"/>
  <c r="D148" i="15"/>
  <c r="D140" i="15"/>
  <c r="D141" i="15"/>
  <c r="F141" i="15" s="1"/>
  <c r="I141" i="15" s="1"/>
  <c r="D128" i="15"/>
  <c r="F128" i="15" s="1"/>
  <c r="I128" i="15" s="1"/>
  <c r="D129" i="15"/>
  <c r="F129" i="15" s="1"/>
  <c r="I129" i="15" s="1"/>
  <c r="D116" i="15"/>
  <c r="F116" i="15" s="1"/>
  <c r="I116" i="15" s="1"/>
  <c r="D110" i="15"/>
  <c r="D104" i="15"/>
  <c r="D98" i="15"/>
  <c r="D89" i="15"/>
  <c r="D90" i="15"/>
  <c r="D75" i="15"/>
  <c r="D76" i="15"/>
  <c r="D69" i="15"/>
  <c r="F69" i="15" s="1"/>
  <c r="I69" i="15" s="1"/>
  <c r="D62" i="15"/>
  <c r="F62" i="15" s="1"/>
  <c r="I62" i="15" s="1"/>
  <c r="D56" i="15"/>
  <c r="F56" i="15" s="1"/>
  <c r="I56" i="15" s="1"/>
  <c r="D50" i="15"/>
  <c r="F50" i="15" s="1"/>
  <c r="I50" i="15" s="1"/>
  <c r="D39" i="15"/>
  <c r="D40" i="15"/>
  <c r="D25" i="15"/>
  <c r="D26" i="15"/>
  <c r="D17" i="15"/>
  <c r="F17" i="15" s="1"/>
  <c r="I17" i="15" s="1"/>
  <c r="D12" i="15"/>
  <c r="D7" i="15"/>
  <c r="D347" i="15"/>
  <c r="F347" i="15" s="1"/>
  <c r="I347" i="15" s="1"/>
  <c r="D340" i="15"/>
  <c r="F340" i="15" s="1"/>
  <c r="I340" i="15" s="1"/>
  <c r="D333" i="15"/>
  <c r="F333" i="15" s="1"/>
  <c r="I333" i="15" s="1"/>
  <c r="D327" i="15"/>
  <c r="F327" i="15" s="1"/>
  <c r="I327" i="15" s="1"/>
  <c r="D319" i="15"/>
  <c r="F319" i="15" s="1"/>
  <c r="I319" i="15" s="1"/>
  <c r="D320" i="15"/>
  <c r="D307" i="15"/>
  <c r="D308" i="15"/>
  <c r="D300" i="15"/>
  <c r="D295" i="15"/>
  <c r="D290" i="15"/>
  <c r="D284" i="15"/>
  <c r="D276" i="15"/>
  <c r="F276" i="15" s="1"/>
  <c r="I276" i="15" s="1"/>
  <c r="D277" i="15"/>
  <c r="F277" i="15" s="1"/>
  <c r="I277" i="15" s="1"/>
  <c r="D264" i="15"/>
  <c r="F264" i="15" s="1"/>
  <c r="I264" i="15" s="1"/>
  <c r="D265" i="15"/>
  <c r="F265" i="15" s="1"/>
  <c r="I265" i="15" s="1"/>
  <c r="D255" i="15"/>
  <c r="F255" i="15" s="1"/>
  <c r="I255" i="15" s="1"/>
  <c r="D248" i="15"/>
  <c r="F248" i="15" s="1"/>
  <c r="I248" i="15" s="1"/>
  <c r="D243" i="15"/>
  <c r="D237" i="15"/>
  <c r="D228" i="15"/>
  <c r="D229" i="15"/>
  <c r="D214" i="15"/>
  <c r="D215" i="15"/>
  <c r="D204" i="15"/>
  <c r="D197" i="15"/>
  <c r="D191" i="15"/>
  <c r="F191" i="15" s="1"/>
  <c r="I191" i="15" s="1"/>
  <c r="D178" i="15"/>
  <c r="F178" i="15" s="1"/>
  <c r="I178" i="15" s="1"/>
  <c r="D179" i="15"/>
  <c r="F179" i="15" s="1"/>
  <c r="I179" i="15" s="1"/>
  <c r="D168" i="15"/>
  <c r="D169" i="15"/>
  <c r="D161" i="15"/>
  <c r="D156" i="15"/>
  <c r="D150" i="15"/>
  <c r="F150" i="15" s="1"/>
  <c r="I150" i="15" s="1"/>
  <c r="D144" i="15"/>
  <c r="D138" i="15"/>
  <c r="D139" i="15"/>
  <c r="D126" i="15"/>
  <c r="F126" i="15" s="1"/>
  <c r="I126" i="15" s="1"/>
  <c r="D127" i="15"/>
  <c r="F127" i="15" s="1"/>
  <c r="I127" i="15" s="1"/>
  <c r="D115" i="15"/>
  <c r="F115" i="15" s="1"/>
  <c r="I115" i="15" s="1"/>
  <c r="D111" i="15"/>
  <c r="F111" i="15" s="1"/>
  <c r="I111" i="15" s="1"/>
  <c r="D106" i="15"/>
  <c r="D101" i="15"/>
  <c r="D94" i="15"/>
  <c r="D95" i="15"/>
  <c r="D81" i="15"/>
  <c r="D82" i="15"/>
  <c r="D72" i="15"/>
  <c r="D67" i="15"/>
  <c r="F67" i="15" s="1"/>
  <c r="I67" i="15" s="1"/>
  <c r="D60" i="15"/>
  <c r="F60" i="15" s="1"/>
  <c r="I60" i="15" s="1"/>
  <c r="D53" i="15"/>
  <c r="F53" i="15" s="1"/>
  <c r="I53" i="15" s="1"/>
  <c r="D46" i="15"/>
  <c r="F46" i="15" s="1"/>
  <c r="I46" i="15" s="1"/>
  <c r="D47" i="15"/>
  <c r="F47" i="15" s="1"/>
  <c r="I47" i="15" s="1"/>
  <c r="D33" i="15"/>
  <c r="F33" i="15" s="1"/>
  <c r="I33" i="15" s="1"/>
  <c r="D34" i="15"/>
  <c r="D19" i="15"/>
  <c r="D20" i="15"/>
  <c r="D15" i="15"/>
  <c r="D10" i="15"/>
  <c r="D5" i="15"/>
  <c r="D349" i="15"/>
  <c r="D350" i="15"/>
  <c r="F350" i="15" s="1"/>
  <c r="I350" i="15" s="1"/>
  <c r="D342" i="15"/>
  <c r="F342" i="15" s="1"/>
  <c r="I342" i="15" s="1"/>
  <c r="D338" i="15"/>
  <c r="F338" i="15" s="1"/>
  <c r="I338" i="15" s="1"/>
  <c r="D326" i="15"/>
  <c r="F326" i="15" s="1"/>
  <c r="I326" i="15" s="1"/>
  <c r="D317" i="15"/>
  <c r="D318" i="15"/>
  <c r="D305" i="15"/>
  <c r="D306" i="15"/>
  <c r="D299" i="15"/>
  <c r="F299" i="15" s="1"/>
  <c r="I299" i="15" s="1"/>
  <c r="D293" i="15"/>
  <c r="D287" i="15"/>
  <c r="D280" i="15"/>
  <c r="D281" i="15"/>
  <c r="D266" i="15"/>
  <c r="F266" i="15" s="1"/>
  <c r="I266" i="15" s="1"/>
  <c r="D267" i="15"/>
  <c r="F267" i="15" s="1"/>
  <c r="I267" i="15" s="1"/>
  <c r="D256" i="15"/>
  <c r="F256" i="15" s="1"/>
  <c r="I256" i="15" s="1"/>
  <c r="D250" i="15"/>
  <c r="D242" i="15"/>
  <c r="D234" i="15"/>
  <c r="D222" i="15"/>
  <c r="D223" i="15"/>
  <c r="D207" i="15"/>
  <c r="D208" i="15"/>
  <c r="D200" i="15"/>
  <c r="F200" i="15" s="1"/>
  <c r="I200" i="15" s="1"/>
  <c r="D195" i="15"/>
  <c r="F195" i="15" s="1"/>
  <c r="I195" i="15" s="1"/>
  <c r="D176" i="15"/>
  <c r="F176" i="15" s="1"/>
  <c r="I176" i="15" s="1"/>
  <c r="D177" i="15"/>
  <c r="F177" i="15" s="1"/>
  <c r="I177" i="15" s="1"/>
  <c r="D164" i="15"/>
  <c r="F164" i="15" s="1"/>
  <c r="I164" i="15" s="1"/>
  <c r="D165" i="15"/>
  <c r="D154" i="15"/>
  <c r="D147" i="15"/>
  <c r="D136" i="15"/>
  <c r="D137" i="15"/>
  <c r="D124" i="15"/>
  <c r="D125" i="15"/>
  <c r="D114" i="15"/>
  <c r="D109" i="15"/>
  <c r="F109" i="15" s="1"/>
  <c r="I109" i="15" s="1"/>
  <c r="D102" i="15"/>
  <c r="F102" i="15" s="1"/>
  <c r="I102" i="15" s="1"/>
  <c r="D96" i="15"/>
  <c r="F96" i="15" s="1"/>
  <c r="I96" i="15" s="1"/>
  <c r="D85" i="15"/>
  <c r="F85" i="15" s="1"/>
  <c r="I85" i="15" s="1"/>
  <c r="D86" i="15"/>
  <c r="D71" i="15"/>
  <c r="D63" i="15"/>
  <c r="D55" i="15"/>
  <c r="D48" i="15"/>
  <c r="D35" i="15"/>
  <c r="D36" i="15"/>
  <c r="D21" i="15"/>
  <c r="D22" i="15"/>
  <c r="F22" i="15" s="1"/>
  <c r="I22" i="15" s="1"/>
  <c r="D14" i="15"/>
  <c r="F14" i="15" s="1"/>
  <c r="I14" i="15" s="1"/>
  <c r="D8" i="15"/>
  <c r="F8" i="15" s="1"/>
  <c r="I8" i="15" s="1"/>
  <c r="D3" i="15"/>
  <c r="F3" i="15" s="1"/>
  <c r="I3" i="15" s="1"/>
  <c r="D351" i="15"/>
  <c r="D352" i="15"/>
  <c r="D344" i="15"/>
  <c r="D337" i="15"/>
  <c r="D328" i="15"/>
  <c r="D252" i="15"/>
  <c r="D245" i="15"/>
  <c r="D239" i="15"/>
  <c r="F239" i="15" s="1"/>
  <c r="I239" i="15" s="1"/>
  <c r="D230" i="15"/>
  <c r="D231" i="15"/>
  <c r="F231" i="15" s="1"/>
  <c r="I231" i="15" s="1"/>
  <c r="D216" i="15"/>
  <c r="F216" i="15" s="1"/>
  <c r="I216" i="15" s="1"/>
  <c r="D217" i="15"/>
  <c r="F217" i="15" s="1"/>
  <c r="I217" i="15" s="1"/>
  <c r="D205" i="15"/>
  <c r="F205" i="15" s="1"/>
  <c r="I205" i="15" s="1"/>
  <c r="D199" i="15"/>
  <c r="D192" i="15"/>
  <c r="D184" i="15"/>
  <c r="D185" i="15"/>
  <c r="D172" i="15"/>
  <c r="D173" i="15"/>
  <c r="D163" i="15"/>
  <c r="D158" i="15"/>
  <c r="F158" i="15" s="1"/>
  <c r="I158" i="15" s="1"/>
  <c r="D151" i="15"/>
  <c r="F151" i="15" s="1"/>
  <c r="I151" i="15" s="1"/>
  <c r="D146" i="15"/>
  <c r="F146" i="15" s="1"/>
  <c r="I146" i="15" s="1"/>
  <c r="D132" i="15"/>
  <c r="F132" i="15" s="1"/>
  <c r="I132" i="15" s="1"/>
  <c r="D133" i="15"/>
  <c r="F133" i="15" s="1"/>
  <c r="I133" i="15" s="1"/>
  <c r="D118" i="15"/>
  <c r="D119" i="15"/>
  <c r="D83" i="15"/>
  <c r="D84" i="15"/>
  <c r="F84" i="15" s="1"/>
  <c r="I84" i="15" s="1"/>
  <c r="D70" i="15"/>
  <c r="D64" i="15"/>
  <c r="D57" i="15"/>
  <c r="D49" i="15"/>
  <c r="F49" i="15" s="1"/>
  <c r="I49" i="15" s="1"/>
  <c r="D37" i="15"/>
  <c r="F37" i="15" s="1"/>
  <c r="I37" i="15" s="1"/>
  <c r="D38" i="15"/>
  <c r="F38" i="15" s="1"/>
  <c r="I38" i="15" s="1"/>
  <c r="D23" i="15"/>
  <c r="F23" i="15" s="1"/>
  <c r="I23" i="15" s="1"/>
  <c r="D24" i="15"/>
  <c r="D11" i="15"/>
  <c r="D4" i="15"/>
  <c r="D353" i="15"/>
  <c r="D354" i="15"/>
  <c r="F354" i="15" s="1"/>
  <c r="I354" i="15" s="1"/>
  <c r="D343" i="15"/>
  <c r="D335" i="15"/>
  <c r="D329" i="15"/>
  <c r="D315" i="15"/>
  <c r="F315" i="15" s="1"/>
  <c r="I315" i="15" s="1"/>
  <c r="D316" i="15"/>
  <c r="F316" i="15" s="1"/>
  <c r="I316" i="15" s="1"/>
  <c r="D304" i="15"/>
  <c r="F304" i="15" s="1"/>
  <c r="I304" i="15" s="1"/>
  <c r="D298" i="15"/>
  <c r="F298" i="15" s="1"/>
  <c r="I298" i="15" s="1"/>
  <c r="D291" i="15"/>
  <c r="F291" i="15" s="1"/>
  <c r="I291" i="15" s="1"/>
  <c r="D285" i="15"/>
  <c r="D270" i="15"/>
  <c r="D271" i="15"/>
  <c r="D257" i="15"/>
  <c r="D258" i="15"/>
  <c r="D249" i="15"/>
  <c r="D241" i="15"/>
  <c r="D235" i="15"/>
  <c r="F235" i="15" s="1"/>
  <c r="I235" i="15" s="1"/>
  <c r="D218" i="15"/>
  <c r="F218" i="15" s="1"/>
  <c r="I218" i="15" s="1"/>
  <c r="D219" i="15"/>
  <c r="F219" i="15" s="1"/>
  <c r="I219" i="15" s="1"/>
  <c r="D206" i="15"/>
  <c r="F206" i="15" s="1"/>
  <c r="I206" i="15" s="1"/>
  <c r="D201" i="15"/>
  <c r="F201" i="15" s="1"/>
  <c r="I201" i="15" s="1"/>
  <c r="D193" i="15"/>
  <c r="D186" i="15"/>
  <c r="D187" i="15"/>
  <c r="D120" i="15"/>
  <c r="D121" i="15"/>
  <c r="D112" i="15"/>
  <c r="D107" i="15"/>
  <c r="D99" i="15"/>
  <c r="F99" i="15" s="1"/>
  <c r="I99" i="15" s="1"/>
  <c r="D91" i="15"/>
  <c r="F91" i="15" s="1"/>
  <c r="I91" i="15" s="1"/>
  <c r="D92" i="15"/>
  <c r="F92" i="15" s="1"/>
  <c r="I92" i="15" s="1"/>
  <c r="D77" i="15"/>
  <c r="F77" i="15" s="1"/>
  <c r="I77" i="15" s="1"/>
  <c r="D78" i="15"/>
  <c r="D68" i="15"/>
  <c r="D61" i="15"/>
  <c r="D54" i="15"/>
  <c r="D45" i="15"/>
  <c r="F45" i="15" s="1"/>
  <c r="I45" i="15" s="1"/>
  <c r="D31" i="15"/>
  <c r="D32" i="15"/>
  <c r="D18" i="15"/>
  <c r="F18" i="15" s="1"/>
  <c r="I18" i="15" s="1"/>
  <c r="D13" i="15"/>
  <c r="F13" i="15" s="1"/>
  <c r="I13" i="15" s="1"/>
  <c r="D6" i="15"/>
  <c r="F6" i="15" s="1"/>
  <c r="I6" i="15" s="1"/>
  <c r="F359" i="15"/>
  <c r="I359" i="15" s="1"/>
  <c r="F360" i="15"/>
  <c r="I360" i="15" s="1"/>
  <c r="F346" i="15"/>
  <c r="F339" i="15"/>
  <c r="F332" i="15"/>
  <c r="F325" i="15"/>
  <c r="F313" i="15"/>
  <c r="F314" i="15"/>
  <c r="F302" i="15"/>
  <c r="F273" i="15"/>
  <c r="I273" i="15" s="1"/>
  <c r="F260" i="15"/>
  <c r="F261" i="15"/>
  <c r="I261" i="15" s="1"/>
  <c r="F251" i="15"/>
  <c r="I251" i="15" s="1"/>
  <c r="F244" i="15"/>
  <c r="I244" i="15" s="1"/>
  <c r="F236" i="15"/>
  <c r="F226" i="15"/>
  <c r="F227" i="15"/>
  <c r="F188" i="15"/>
  <c r="I188" i="15" s="1"/>
  <c r="F174" i="15"/>
  <c r="F175" i="15"/>
  <c r="F159" i="15"/>
  <c r="F152" i="15"/>
  <c r="F145" i="15"/>
  <c r="I145" i="15" s="1"/>
  <c r="F134" i="15"/>
  <c r="I134" i="15" s="1"/>
  <c r="F135" i="15"/>
  <c r="I135" i="15" s="1"/>
  <c r="F100" i="15"/>
  <c r="I100" i="15" s="1"/>
  <c r="F93" i="15"/>
  <c r="F79" i="15"/>
  <c r="F80" i="15"/>
  <c r="F66" i="15"/>
  <c r="F58" i="15"/>
  <c r="F52" i="15"/>
  <c r="F41" i="15"/>
  <c r="F42" i="15"/>
  <c r="I42" i="15" s="1"/>
  <c r="F356" i="15"/>
  <c r="I356" i="15" s="1"/>
  <c r="F345" i="15"/>
  <c r="I345" i="15" s="1"/>
  <c r="F336" i="15"/>
  <c r="I336" i="15" s="1"/>
  <c r="F330" i="15"/>
  <c r="I330" i="15" s="1"/>
  <c r="F321" i="15"/>
  <c r="F322" i="15"/>
  <c r="F309" i="15"/>
  <c r="F310" i="15"/>
  <c r="F274" i="15"/>
  <c r="I274" i="15" s="1"/>
  <c r="F275" i="15"/>
  <c r="F262" i="15"/>
  <c r="I262" i="15" s="1"/>
  <c r="F263" i="15"/>
  <c r="F254" i="15"/>
  <c r="F246" i="15"/>
  <c r="I246" i="15" s="1"/>
  <c r="F238" i="15"/>
  <c r="I238" i="15" s="1"/>
  <c r="F224" i="15"/>
  <c r="I224" i="15" s="1"/>
  <c r="F190" i="15"/>
  <c r="I190" i="15" s="1"/>
  <c r="F182" i="15"/>
  <c r="F183" i="15"/>
  <c r="F166" i="15"/>
  <c r="I166" i="15" s="1"/>
  <c r="F167" i="15"/>
  <c r="I167" i="15" s="1"/>
  <c r="F160" i="15"/>
  <c r="I160" i="15" s="1"/>
  <c r="F155" i="15"/>
  <c r="F149" i="15"/>
  <c r="F117" i="15"/>
  <c r="I117" i="15" s="1"/>
  <c r="F108" i="15"/>
  <c r="I108" i="15" s="1"/>
  <c r="F103" i="15"/>
  <c r="I103" i="15" s="1"/>
  <c r="F97" i="15"/>
  <c r="I97" i="15" s="1"/>
  <c r="F87" i="15"/>
  <c r="F88" i="15"/>
  <c r="F73" i="15"/>
  <c r="I73" i="15" s="1"/>
  <c r="F74" i="15"/>
  <c r="I74" i="15" s="1"/>
  <c r="F65" i="15"/>
  <c r="I65" i="15" s="1"/>
  <c r="F29" i="15"/>
  <c r="F30" i="15"/>
  <c r="F16" i="15"/>
  <c r="F9" i="15"/>
  <c r="I9" i="15" s="1"/>
  <c r="F2" i="15"/>
  <c r="I2" i="15" s="1"/>
  <c r="F357" i="15"/>
  <c r="I357" i="15" s="1"/>
  <c r="F358" i="15"/>
  <c r="I358" i="15" s="1"/>
  <c r="F324" i="15"/>
  <c r="I324" i="15" s="1"/>
  <c r="F311" i="15"/>
  <c r="I311" i="15" s="1"/>
  <c r="F312" i="15"/>
  <c r="I312" i="15" s="1"/>
  <c r="F297" i="15"/>
  <c r="F292" i="15"/>
  <c r="F286" i="15"/>
  <c r="F259" i="15"/>
  <c r="I259" i="15" s="1"/>
  <c r="F253" i="15"/>
  <c r="I253" i="15" s="1"/>
  <c r="F247" i="15"/>
  <c r="I247" i="15" s="1"/>
  <c r="F240" i="15"/>
  <c r="I240" i="15" s="1"/>
  <c r="F233" i="15"/>
  <c r="I233" i="15" s="1"/>
  <c r="F220" i="15"/>
  <c r="I220" i="15" s="1"/>
  <c r="F221" i="15"/>
  <c r="F181" i="15"/>
  <c r="F170" i="15"/>
  <c r="F171" i="15"/>
  <c r="F162" i="15"/>
  <c r="F157" i="15"/>
  <c r="I157" i="15" s="1"/>
  <c r="F153" i="15"/>
  <c r="I153" i="15" s="1"/>
  <c r="F148" i="15"/>
  <c r="F140" i="15"/>
  <c r="I140" i="15" s="1"/>
  <c r="F110" i="15"/>
  <c r="I110" i="15" s="1"/>
  <c r="F104" i="15"/>
  <c r="I104" i="15" s="1"/>
  <c r="F98" i="15"/>
  <c r="I98" i="15" s="1"/>
  <c r="F89" i="15"/>
  <c r="F90" i="15"/>
  <c r="F75" i="15"/>
  <c r="F76" i="15"/>
  <c r="I76" i="15" s="1"/>
  <c r="F39" i="15"/>
  <c r="I39" i="15" s="1"/>
  <c r="F40" i="15"/>
  <c r="I40" i="15" s="1"/>
  <c r="F25" i="15"/>
  <c r="I25" i="15" s="1"/>
  <c r="F26" i="15"/>
  <c r="I26" i="15" s="1"/>
  <c r="F12" i="15"/>
  <c r="I12" i="15" s="1"/>
  <c r="F7" i="15"/>
  <c r="I7" i="15" s="1"/>
  <c r="F320" i="15"/>
  <c r="I320" i="15" s="1"/>
  <c r="F307" i="15"/>
  <c r="I307" i="15" s="1"/>
  <c r="F308" i="15"/>
  <c r="F300" i="15"/>
  <c r="I300" i="15" s="1"/>
  <c r="F295" i="15"/>
  <c r="I295" i="15" s="1"/>
  <c r="F290" i="15"/>
  <c r="I290" i="15" s="1"/>
  <c r="F284" i="15"/>
  <c r="I284" i="15" s="1"/>
  <c r="F243" i="15"/>
  <c r="I243" i="15" s="1"/>
  <c r="F237" i="15"/>
  <c r="F228" i="15"/>
  <c r="F229" i="15"/>
  <c r="F214" i="15"/>
  <c r="I214" i="15" s="1"/>
  <c r="F215" i="15"/>
  <c r="I215" i="15" s="1"/>
  <c r="F204" i="15"/>
  <c r="I204" i="15" s="1"/>
  <c r="F197" i="15"/>
  <c r="I197" i="15" s="1"/>
  <c r="F168" i="15"/>
  <c r="I168" i="15" s="1"/>
  <c r="F169" i="15"/>
  <c r="I169" i="15" s="1"/>
  <c r="F161" i="15"/>
  <c r="F156" i="15"/>
  <c r="F144" i="15"/>
  <c r="I144" i="15" s="1"/>
  <c r="F138" i="15"/>
  <c r="F139" i="15"/>
  <c r="F106" i="15"/>
  <c r="I106" i="15" s="1"/>
  <c r="F101" i="15"/>
  <c r="I101" i="15" s="1"/>
  <c r="F94" i="15"/>
  <c r="I94" i="15" s="1"/>
  <c r="F95" i="15"/>
  <c r="I95" i="15" s="1"/>
  <c r="F81" i="15"/>
  <c r="F82" i="15"/>
  <c r="F72" i="15"/>
  <c r="F34" i="15"/>
  <c r="I34" i="15" s="1"/>
  <c r="F19" i="15"/>
  <c r="F20" i="15"/>
  <c r="I20" i="15" s="1"/>
  <c r="F15" i="15"/>
  <c r="I15" i="15" s="1"/>
  <c r="F10" i="15"/>
  <c r="I10" i="15" s="1"/>
  <c r="F5" i="15"/>
  <c r="I5" i="15" s="1"/>
  <c r="F349" i="15"/>
  <c r="I349" i="15" s="1"/>
  <c r="F317" i="15"/>
  <c r="I317" i="15" s="1"/>
  <c r="F318" i="15"/>
  <c r="F305" i="15"/>
  <c r="F306" i="15"/>
  <c r="F293" i="15"/>
  <c r="F287" i="15"/>
  <c r="I287" i="15" s="1"/>
  <c r="F280" i="15"/>
  <c r="I280" i="15" s="1"/>
  <c r="F281" i="15"/>
  <c r="I281" i="15" s="1"/>
  <c r="F250" i="15"/>
  <c r="I250" i="15" s="1"/>
  <c r="F242" i="15"/>
  <c r="F234" i="15"/>
  <c r="I234" i="15" s="1"/>
  <c r="F222" i="15"/>
  <c r="I222" i="15" s="1"/>
  <c r="F223" i="15"/>
  <c r="I223" i="15" s="1"/>
  <c r="F207" i="15"/>
  <c r="I207" i="15" s="1"/>
  <c r="F208" i="15"/>
  <c r="I208" i="15" s="1"/>
  <c r="F165" i="15"/>
  <c r="I165" i="15" s="1"/>
  <c r="F154" i="15"/>
  <c r="I154" i="15" s="1"/>
  <c r="F147" i="15"/>
  <c r="I147" i="15" s="1"/>
  <c r="F136" i="15"/>
  <c r="I136" i="15" s="1"/>
  <c r="F137" i="15"/>
  <c r="I137" i="15" s="1"/>
  <c r="F124" i="15"/>
  <c r="I124" i="15" s="1"/>
  <c r="F125" i="15"/>
  <c r="I125" i="15" s="1"/>
  <c r="F114" i="15"/>
  <c r="I114" i="15" s="1"/>
  <c r="F86" i="15"/>
  <c r="I86" i="15" s="1"/>
  <c r="F71" i="15"/>
  <c r="I71" i="15" s="1"/>
  <c r="F63" i="15"/>
  <c r="I63" i="15" s="1"/>
  <c r="F55" i="15"/>
  <c r="I55" i="15" s="1"/>
  <c r="F48" i="15"/>
  <c r="I48" i="15" s="1"/>
  <c r="F35" i="15"/>
  <c r="I35" i="15" s="1"/>
  <c r="F36" i="15"/>
  <c r="I36" i="15" s="1"/>
  <c r="F21" i="15"/>
  <c r="F351" i="15"/>
  <c r="I351" i="15" s="1"/>
  <c r="F352" i="15"/>
  <c r="I352" i="15" s="1"/>
  <c r="F344" i="15"/>
  <c r="I344" i="15" s="1"/>
  <c r="F337" i="15"/>
  <c r="I337" i="15" s="1"/>
  <c r="F328" i="15"/>
  <c r="I328" i="15" s="1"/>
  <c r="F252" i="15"/>
  <c r="I252" i="15" s="1"/>
  <c r="F245" i="15"/>
  <c r="I245" i="15" s="1"/>
  <c r="F230" i="15"/>
  <c r="I230" i="15" s="1"/>
  <c r="F199" i="15"/>
  <c r="F192" i="15"/>
  <c r="F184" i="15"/>
  <c r="F185" i="15"/>
  <c r="F172" i="15"/>
  <c r="I172" i="15" s="1"/>
  <c r="F173" i="15"/>
  <c r="I173" i="15" s="1"/>
  <c r="F163" i="15"/>
  <c r="I163" i="15" s="1"/>
  <c r="F118" i="15"/>
  <c r="I118" i="15" s="1"/>
  <c r="F119" i="15"/>
  <c r="I119" i="15" s="1"/>
  <c r="F83" i="15"/>
  <c r="I83" i="15" s="1"/>
  <c r="F70" i="15"/>
  <c r="I70" i="15" s="1"/>
  <c r="F64" i="15"/>
  <c r="I64" i="15" s="1"/>
  <c r="F57" i="15"/>
  <c r="I57" i="15" s="1"/>
  <c r="F24" i="15"/>
  <c r="I24" i="15" s="1"/>
  <c r="F11" i="15"/>
  <c r="I11" i="15" s="1"/>
  <c r="F4" i="15"/>
  <c r="I4" i="15" s="1"/>
  <c r="F353" i="15"/>
  <c r="F343" i="15"/>
  <c r="I343" i="15" s="1"/>
  <c r="F335" i="15"/>
  <c r="I335" i="15" s="1"/>
  <c r="F329" i="15"/>
  <c r="I329" i="15" s="1"/>
  <c r="F285" i="15"/>
  <c r="I285" i="15" s="1"/>
  <c r="F270" i="15"/>
  <c r="I270" i="15" s="1"/>
  <c r="F271" i="15"/>
  <c r="I271" i="15" s="1"/>
  <c r="F257" i="15"/>
  <c r="I257" i="15" s="1"/>
  <c r="F258" i="15"/>
  <c r="I258" i="15" s="1"/>
  <c r="F249" i="15"/>
  <c r="I249" i="15" s="1"/>
  <c r="F241" i="15"/>
  <c r="I241" i="15" s="1"/>
  <c r="F193" i="15"/>
  <c r="F186" i="15"/>
  <c r="F187" i="15"/>
  <c r="F120" i="15"/>
  <c r="I120" i="15" s="1"/>
  <c r="F121" i="15"/>
  <c r="I121" i="15" s="1"/>
  <c r="F112" i="15"/>
  <c r="I112" i="15" s="1"/>
  <c r="F107" i="15"/>
  <c r="I107" i="15" s="1"/>
  <c r="F78" i="15"/>
  <c r="I78" i="15" s="1"/>
  <c r="F68" i="15"/>
  <c r="I68" i="15" s="1"/>
  <c r="F61" i="15"/>
  <c r="I61" i="15" s="1"/>
  <c r="F54" i="15"/>
  <c r="F31" i="15"/>
  <c r="F32" i="15"/>
  <c r="I32" i="15" s="1"/>
  <c r="H359" i="15"/>
  <c r="H360" i="15"/>
  <c r="H346" i="15"/>
  <c r="H339" i="15"/>
  <c r="H332" i="15"/>
  <c r="H325" i="15"/>
  <c r="H313" i="15"/>
  <c r="H314" i="15"/>
  <c r="H302" i="15"/>
  <c r="H296" i="15"/>
  <c r="H288" i="15"/>
  <c r="H282" i="15"/>
  <c r="H272" i="15"/>
  <c r="H273" i="15"/>
  <c r="H260" i="15"/>
  <c r="H261" i="15"/>
  <c r="H251" i="15"/>
  <c r="H244" i="15"/>
  <c r="H236" i="15"/>
  <c r="H226" i="15"/>
  <c r="H227" i="15"/>
  <c r="H209" i="15"/>
  <c r="H210" i="15"/>
  <c r="H202" i="15"/>
  <c r="H194" i="15"/>
  <c r="H188" i="15"/>
  <c r="H174" i="15"/>
  <c r="H175" i="15"/>
  <c r="H159" i="15"/>
  <c r="H152" i="15"/>
  <c r="H145" i="15"/>
  <c r="H134" i="15"/>
  <c r="H135" i="15"/>
  <c r="H122" i="15"/>
  <c r="H123" i="15"/>
  <c r="H113" i="15"/>
  <c r="H105" i="15"/>
  <c r="H100" i="15"/>
  <c r="H93" i="15"/>
  <c r="H79" i="15"/>
  <c r="H80" i="15"/>
  <c r="H66" i="15"/>
  <c r="H58" i="15"/>
  <c r="H52" i="15"/>
  <c r="H41" i="15"/>
  <c r="H42" i="15"/>
  <c r="H27" i="15"/>
  <c r="H28" i="15"/>
  <c r="H355" i="15"/>
  <c r="H356" i="15"/>
  <c r="H345" i="15"/>
  <c r="H336" i="15"/>
  <c r="H330" i="15"/>
  <c r="H321" i="15"/>
  <c r="H322" i="15"/>
  <c r="H309" i="15"/>
  <c r="H310" i="15"/>
  <c r="H301" i="15"/>
  <c r="H294" i="15"/>
  <c r="H289" i="15"/>
  <c r="H283" i="15"/>
  <c r="H274" i="15"/>
  <c r="H275" i="15"/>
  <c r="H262" i="15"/>
  <c r="H263" i="15"/>
  <c r="H254" i="15"/>
  <c r="H246" i="15"/>
  <c r="H238" i="15"/>
  <c r="H224" i="15"/>
  <c r="H225" i="15"/>
  <c r="H212" i="15"/>
  <c r="H213" i="15"/>
  <c r="H198" i="15"/>
  <c r="H190" i="15"/>
  <c r="H182" i="15"/>
  <c r="H183" i="15"/>
  <c r="H166" i="15"/>
  <c r="H167" i="15"/>
  <c r="H160" i="15"/>
  <c r="H155" i="15"/>
  <c r="H149" i="15"/>
  <c r="H142" i="15"/>
  <c r="H143" i="15"/>
  <c r="H130" i="15"/>
  <c r="H131" i="15"/>
  <c r="H117" i="15"/>
  <c r="H108" i="15"/>
  <c r="H103" i="15"/>
  <c r="H97" i="15"/>
  <c r="H87" i="15"/>
  <c r="H88" i="15"/>
  <c r="H73" i="15"/>
  <c r="H74" i="15"/>
  <c r="H65" i="15"/>
  <c r="H59" i="15"/>
  <c r="H51" i="15"/>
  <c r="H43" i="15"/>
  <c r="H44" i="15"/>
  <c r="H29" i="15"/>
  <c r="H30" i="15"/>
  <c r="H16" i="15"/>
  <c r="H9" i="15"/>
  <c r="H2" i="15"/>
  <c r="H357" i="15"/>
  <c r="H358" i="15"/>
  <c r="H348" i="15"/>
  <c r="H341" i="15"/>
  <c r="H334" i="15"/>
  <c r="H331" i="15"/>
  <c r="H323" i="15"/>
  <c r="H324" i="15"/>
  <c r="H311" i="15"/>
  <c r="H312" i="15"/>
  <c r="H303" i="15"/>
  <c r="H297" i="15"/>
  <c r="H292" i="15"/>
  <c r="H286" i="15"/>
  <c r="H278" i="15"/>
  <c r="H279" i="15"/>
  <c r="H268" i="15"/>
  <c r="H269" i="15"/>
  <c r="H259" i="15"/>
  <c r="H253" i="15"/>
  <c r="H247" i="15"/>
  <c r="H240" i="15"/>
  <c r="H232" i="15"/>
  <c r="H233" i="15"/>
  <c r="H220" i="15"/>
  <c r="H221" i="15"/>
  <c r="H211" i="15"/>
  <c r="H203" i="15"/>
  <c r="H196" i="15"/>
  <c r="H189" i="15"/>
  <c r="H180" i="15"/>
  <c r="H181" i="15"/>
  <c r="H170" i="15"/>
  <c r="H171" i="15"/>
  <c r="H162" i="15"/>
  <c r="H157" i="15"/>
  <c r="H153" i="15"/>
  <c r="H148" i="15"/>
  <c r="H140" i="15"/>
  <c r="H141" i="15"/>
  <c r="H128" i="15"/>
  <c r="H129" i="15"/>
  <c r="H116" i="15"/>
  <c r="H110" i="15"/>
  <c r="H104" i="15"/>
  <c r="H98" i="15"/>
  <c r="H89" i="15"/>
  <c r="H90" i="15"/>
  <c r="H75" i="15"/>
  <c r="H76" i="15"/>
  <c r="H69" i="15"/>
  <c r="H62" i="15"/>
  <c r="H56" i="15"/>
  <c r="H50" i="15"/>
  <c r="H39" i="15"/>
  <c r="H40" i="15"/>
  <c r="H25" i="15"/>
  <c r="H26" i="15"/>
  <c r="H17" i="15"/>
  <c r="H12" i="15"/>
  <c r="H7" i="15"/>
  <c r="H347" i="15"/>
  <c r="H340" i="15"/>
  <c r="H333" i="15"/>
  <c r="H327" i="15"/>
  <c r="H319" i="15"/>
  <c r="H320" i="15"/>
  <c r="H307" i="15"/>
  <c r="H308" i="15"/>
  <c r="H300" i="15"/>
  <c r="H295" i="15"/>
  <c r="H290" i="15"/>
  <c r="H284" i="15"/>
  <c r="H276" i="15"/>
  <c r="H277" i="15"/>
  <c r="H264" i="15"/>
  <c r="H265" i="15"/>
  <c r="H255" i="15"/>
  <c r="H248" i="15"/>
  <c r="H243" i="15"/>
  <c r="H237" i="15"/>
  <c r="H228" i="15"/>
  <c r="H229" i="15"/>
  <c r="H214" i="15"/>
  <c r="H215" i="15"/>
  <c r="H204" i="15"/>
  <c r="H197" i="15"/>
  <c r="H191" i="15"/>
  <c r="H178" i="15"/>
  <c r="H179" i="15"/>
  <c r="H168" i="15"/>
  <c r="H169" i="15"/>
  <c r="H161" i="15"/>
  <c r="H156" i="15"/>
  <c r="H150" i="15"/>
  <c r="H144" i="15"/>
  <c r="H138" i="15"/>
  <c r="H139" i="15"/>
  <c r="H126" i="15"/>
  <c r="H127" i="15"/>
  <c r="H115" i="15"/>
  <c r="H111" i="15"/>
  <c r="H106" i="15"/>
  <c r="H101" i="15"/>
  <c r="H94" i="15"/>
  <c r="H95" i="15"/>
  <c r="H81" i="15"/>
  <c r="H82" i="15"/>
  <c r="H72" i="15"/>
  <c r="H67" i="15"/>
  <c r="H60" i="15"/>
  <c r="H53" i="15"/>
  <c r="H46" i="15"/>
  <c r="H47" i="15"/>
  <c r="H33" i="15"/>
  <c r="H34" i="15"/>
  <c r="H19" i="15"/>
  <c r="H20" i="15"/>
  <c r="H15" i="15"/>
  <c r="H10" i="15"/>
  <c r="H5" i="15"/>
  <c r="H349" i="15"/>
  <c r="H350" i="15"/>
  <c r="H342" i="15"/>
  <c r="H338" i="15"/>
  <c r="H326" i="15"/>
  <c r="H317" i="15"/>
  <c r="H318" i="15"/>
  <c r="H305" i="15"/>
  <c r="H306" i="15"/>
  <c r="H299" i="15"/>
  <c r="H293" i="15"/>
  <c r="H287" i="15"/>
  <c r="H280" i="15"/>
  <c r="H281" i="15"/>
  <c r="H266" i="15"/>
  <c r="H267" i="15"/>
  <c r="H256" i="15"/>
  <c r="H250" i="15"/>
  <c r="H242" i="15"/>
  <c r="H234" i="15"/>
  <c r="H222" i="15"/>
  <c r="H223" i="15"/>
  <c r="H207" i="15"/>
  <c r="H208" i="15"/>
  <c r="H200" i="15"/>
  <c r="H195" i="15"/>
  <c r="H176" i="15"/>
  <c r="H177" i="15"/>
  <c r="H164" i="15"/>
  <c r="H165" i="15"/>
  <c r="H154" i="15"/>
  <c r="H147" i="15"/>
  <c r="H136" i="15"/>
  <c r="H137" i="15"/>
  <c r="H124" i="15"/>
  <c r="H125" i="15"/>
  <c r="H114" i="15"/>
  <c r="H109" i="15"/>
  <c r="H102" i="15"/>
  <c r="H96" i="15"/>
  <c r="H85" i="15"/>
  <c r="H86" i="15"/>
  <c r="H71" i="15"/>
  <c r="H63" i="15"/>
  <c r="H55" i="15"/>
  <c r="H48" i="15"/>
  <c r="H35" i="15"/>
  <c r="H36" i="15"/>
  <c r="H21" i="15"/>
  <c r="H22" i="15"/>
  <c r="H14" i="15"/>
  <c r="H8" i="15"/>
  <c r="H3" i="15"/>
  <c r="H351" i="15"/>
  <c r="H352" i="15"/>
  <c r="H344" i="15"/>
  <c r="H337" i="15"/>
  <c r="H328" i="15"/>
  <c r="H252" i="15"/>
  <c r="H245" i="15"/>
  <c r="H239" i="15"/>
  <c r="H230" i="15"/>
  <c r="H231" i="15"/>
  <c r="H216" i="15"/>
  <c r="H217" i="15"/>
  <c r="H205" i="15"/>
  <c r="H199" i="15"/>
  <c r="H192" i="15"/>
  <c r="H184" i="15"/>
  <c r="H185" i="15"/>
  <c r="H172" i="15"/>
  <c r="H173" i="15"/>
  <c r="H163" i="15"/>
  <c r="H158" i="15"/>
  <c r="H151" i="15"/>
  <c r="H146" i="15"/>
  <c r="H132" i="15"/>
  <c r="H133" i="15"/>
  <c r="H118" i="15"/>
  <c r="H119" i="15"/>
  <c r="H83" i="15"/>
  <c r="H84" i="15"/>
  <c r="H70" i="15"/>
  <c r="H64" i="15"/>
  <c r="H57" i="15"/>
  <c r="H49" i="15"/>
  <c r="H37" i="15"/>
  <c r="H38" i="15"/>
  <c r="H23" i="15"/>
  <c r="H24" i="15"/>
  <c r="H11" i="15"/>
  <c r="H4" i="15"/>
  <c r="H353" i="15"/>
  <c r="H354" i="15"/>
  <c r="H343" i="15"/>
  <c r="H335" i="15"/>
  <c r="H329" i="15"/>
  <c r="H315" i="15"/>
  <c r="H316" i="15"/>
  <c r="H304" i="15"/>
  <c r="H298" i="15"/>
  <c r="H291" i="15"/>
  <c r="H285" i="15"/>
  <c r="H270" i="15"/>
  <c r="H271" i="15"/>
  <c r="H257" i="15"/>
  <c r="H258" i="15"/>
  <c r="H249" i="15"/>
  <c r="H241" i="15"/>
  <c r="H235" i="15"/>
  <c r="H218" i="15"/>
  <c r="H219" i="15"/>
  <c r="H206" i="15"/>
  <c r="H201" i="15"/>
  <c r="H193" i="15"/>
  <c r="H186" i="15"/>
  <c r="H187" i="15"/>
  <c r="H120" i="15"/>
  <c r="H121" i="15"/>
  <c r="H112" i="15"/>
  <c r="H107" i="15"/>
  <c r="H99" i="15"/>
  <c r="H91" i="15"/>
  <c r="H92" i="15"/>
  <c r="H77" i="15"/>
  <c r="H78" i="15"/>
  <c r="H68" i="15"/>
  <c r="H61" i="15"/>
  <c r="H54" i="15"/>
  <c r="H45" i="15"/>
  <c r="H31" i="15"/>
  <c r="H32" i="15"/>
  <c r="H18" i="15"/>
  <c r="H13" i="15"/>
  <c r="H6" i="15"/>
  <c r="I346" i="15"/>
  <c r="I339" i="15"/>
  <c r="I332" i="15"/>
  <c r="I325" i="15"/>
  <c r="I313" i="15"/>
  <c r="I314" i="15"/>
  <c r="I302" i="15"/>
  <c r="I260" i="15"/>
  <c r="I236" i="15"/>
  <c r="I226" i="15"/>
  <c r="I227" i="15"/>
  <c r="I174" i="15"/>
  <c r="I175" i="15"/>
  <c r="I159" i="15"/>
  <c r="I152" i="15"/>
  <c r="I93" i="15"/>
  <c r="I79" i="15"/>
  <c r="I80" i="15"/>
  <c r="I66" i="15"/>
  <c r="I58" i="15"/>
  <c r="I52" i="15"/>
  <c r="I41" i="15"/>
  <c r="I321" i="15"/>
  <c r="I322" i="15"/>
  <c r="I309" i="15"/>
  <c r="I310" i="15"/>
  <c r="I275" i="15"/>
  <c r="I263" i="15"/>
  <c r="I254" i="15"/>
  <c r="I182" i="15"/>
  <c r="I183" i="15"/>
  <c r="I155" i="15"/>
  <c r="I149" i="15"/>
  <c r="I87" i="15"/>
  <c r="I88" i="15"/>
  <c r="I29" i="15"/>
  <c r="I30" i="15"/>
  <c r="I16" i="15"/>
  <c r="I297" i="15"/>
  <c r="I292" i="15"/>
  <c r="I286" i="15"/>
  <c r="I221" i="15"/>
  <c r="I181" i="15"/>
  <c r="I170" i="15"/>
  <c r="I171" i="15"/>
  <c r="I162" i="15"/>
  <c r="I148" i="15"/>
  <c r="I89" i="15"/>
  <c r="I90" i="15"/>
  <c r="I75" i="15"/>
  <c r="I308" i="15"/>
  <c r="I237" i="15"/>
  <c r="I228" i="15"/>
  <c r="I229" i="15"/>
  <c r="I161" i="15"/>
  <c r="I156" i="15"/>
  <c r="I138" i="15"/>
  <c r="I139" i="15"/>
  <c r="I81" i="15"/>
  <c r="I82" i="15"/>
  <c r="I72" i="15"/>
  <c r="I19" i="15"/>
  <c r="I318" i="15"/>
  <c r="I305" i="15"/>
  <c r="I306" i="15"/>
  <c r="I293" i="15"/>
  <c r="I242" i="15"/>
  <c r="I21" i="15"/>
  <c r="I199" i="15"/>
  <c r="I192" i="15"/>
  <c r="I184" i="15"/>
  <c r="I185" i="15"/>
  <c r="I353" i="15"/>
  <c r="I193" i="15"/>
  <c r="I186" i="15"/>
  <c r="I187" i="15"/>
  <c r="I54" i="15"/>
  <c r="I31" i="15"/>
  <c r="F165" i="18"/>
  <c r="F166" i="18"/>
  <c r="F161" i="18"/>
  <c r="F156" i="18"/>
  <c r="F152" i="18"/>
  <c r="F149" i="18"/>
  <c r="F142" i="18"/>
  <c r="F143" i="18"/>
  <c r="F131" i="18"/>
  <c r="F132" i="18"/>
  <c r="F128" i="18"/>
  <c r="F124" i="18"/>
  <c r="F120" i="18"/>
  <c r="F112" i="18"/>
  <c r="F113" i="18"/>
  <c r="F103" i="18"/>
  <c r="F99" i="18"/>
  <c r="F96" i="18"/>
  <c r="F91" i="18"/>
  <c r="F85" i="18"/>
  <c r="F86" i="18"/>
  <c r="F78" i="18"/>
  <c r="F58" i="18"/>
  <c r="F53" i="18"/>
  <c r="F45" i="18"/>
  <c r="F41" i="18"/>
  <c r="F25" i="18"/>
  <c r="F20" i="18"/>
  <c r="F21" i="18"/>
  <c r="F12" i="18"/>
  <c r="F13" i="18"/>
  <c r="F7" i="18"/>
  <c r="F162" i="18"/>
  <c r="F158" i="18"/>
  <c r="F154" i="18"/>
  <c r="F150" i="18"/>
  <c r="F144" i="18"/>
  <c r="F145" i="18"/>
  <c r="F136" i="18"/>
  <c r="F137" i="18"/>
  <c r="F129" i="18"/>
  <c r="F126" i="18"/>
  <c r="F122" i="18"/>
  <c r="F116" i="18"/>
  <c r="F117" i="18"/>
  <c r="F106" i="18"/>
  <c r="F107" i="18"/>
  <c r="F71" i="18"/>
  <c r="F66" i="18"/>
  <c r="F67" i="18"/>
  <c r="F60" i="18"/>
  <c r="F56" i="18"/>
  <c r="F52" i="18"/>
  <c r="F44" i="18"/>
  <c r="F35" i="18"/>
  <c r="F36" i="18"/>
  <c r="F30" i="18"/>
  <c r="F27" i="18"/>
  <c r="F22" i="18"/>
  <c r="F14" i="18"/>
  <c r="F15" i="18"/>
  <c r="F9" i="18"/>
  <c r="F6" i="18"/>
  <c r="F3" i="18"/>
  <c r="F163" i="18"/>
  <c r="F164" i="18"/>
  <c r="F134" i="18"/>
  <c r="F135" i="18"/>
  <c r="F127" i="18"/>
  <c r="F123" i="18"/>
  <c r="F118" i="18"/>
  <c r="F119" i="18"/>
  <c r="F108" i="18"/>
  <c r="F109" i="18"/>
  <c r="F101" i="18"/>
  <c r="F93" i="18"/>
  <c r="F90" i="18"/>
  <c r="F83" i="18"/>
  <c r="F84" i="18"/>
  <c r="F79" i="18"/>
  <c r="F76" i="18"/>
  <c r="F73" i="18"/>
  <c r="F70" i="18"/>
  <c r="F64" i="18"/>
  <c r="F65" i="18"/>
  <c r="F61" i="18"/>
  <c r="F57" i="18"/>
  <c r="F54" i="18"/>
  <c r="F50" i="18"/>
  <c r="F51" i="18"/>
  <c r="F46" i="18"/>
  <c r="F43" i="18"/>
  <c r="F39" i="18"/>
  <c r="F40" i="18"/>
  <c r="F33" i="18"/>
  <c r="F34" i="18"/>
  <c r="F29" i="18"/>
  <c r="F26" i="18"/>
  <c r="F23" i="18"/>
  <c r="F18" i="18"/>
  <c r="F19" i="18"/>
  <c r="F10" i="18"/>
  <c r="F11" i="18"/>
  <c r="F4" i="18"/>
  <c r="F167" i="18"/>
  <c r="F168" i="18"/>
  <c r="F160" i="18"/>
  <c r="F157" i="18"/>
  <c r="F153" i="18"/>
  <c r="F148" i="18"/>
  <c r="F140" i="18"/>
  <c r="F141" i="18"/>
  <c r="F133" i="18"/>
  <c r="F125" i="18"/>
  <c r="F121" i="18"/>
  <c r="F114" i="18"/>
  <c r="F115" i="18"/>
  <c r="F104" i="18"/>
  <c r="F105" i="18"/>
  <c r="F100" i="18"/>
  <c r="F97" i="18"/>
  <c r="F95" i="18"/>
  <c r="F92" i="18"/>
  <c r="F87" i="18"/>
  <c r="F88" i="18"/>
  <c r="F80" i="18"/>
  <c r="F75" i="18"/>
  <c r="F72" i="18"/>
  <c r="F68" i="18"/>
  <c r="F69" i="18"/>
  <c r="F62" i="18"/>
  <c r="F63" i="18"/>
  <c r="F59" i="18"/>
  <c r="F55" i="18"/>
  <c r="F48" i="18"/>
  <c r="F49" i="18"/>
  <c r="F47" i="18"/>
  <c r="F42" i="18"/>
  <c r="F37" i="18"/>
  <c r="F38" i="18"/>
  <c r="F31" i="18"/>
  <c r="F28" i="18"/>
  <c r="F24" i="18"/>
  <c r="F16" i="18"/>
  <c r="F17" i="18"/>
  <c r="F8" i="18"/>
  <c r="F5" i="18"/>
  <c r="F2" i="18"/>
  <c r="F169" i="18"/>
  <c r="F170" i="18"/>
  <c r="F159" i="18"/>
  <c r="F155" i="18"/>
  <c r="F151" i="18"/>
  <c r="F146" i="18"/>
  <c r="F147" i="18"/>
  <c r="F138" i="18"/>
  <c r="F139" i="18"/>
  <c r="F130" i="18"/>
  <c r="F110" i="18"/>
  <c r="F111" i="18"/>
  <c r="F102" i="18"/>
  <c r="F98" i="18"/>
  <c r="F94" i="18"/>
  <c r="F89" i="18"/>
  <c r="F81" i="18"/>
  <c r="F82" i="18"/>
  <c r="F77" i="18"/>
  <c r="F74" i="18"/>
  <c r="F32" i="18"/>
  <c r="F48" i="19"/>
  <c r="F39" i="19"/>
  <c r="F36" i="19"/>
  <c r="F34" i="19"/>
  <c r="F50" i="19"/>
  <c r="F49" i="19"/>
  <c r="F45" i="19"/>
  <c r="F44" i="19"/>
  <c r="F41" i="19"/>
  <c r="F37" i="19"/>
  <c r="F35" i="19"/>
  <c r="F33" i="19"/>
  <c r="F31" i="19"/>
  <c r="F28" i="19"/>
  <c r="F26" i="19"/>
  <c r="F24" i="19"/>
  <c r="F22" i="19"/>
  <c r="F20" i="19"/>
  <c r="F18" i="19"/>
  <c r="F15" i="19"/>
  <c r="F11" i="19"/>
  <c r="F8" i="19"/>
  <c r="F6" i="19"/>
  <c r="F4" i="19"/>
  <c r="F47" i="19"/>
  <c r="F43" i="19"/>
  <c r="F40" i="19"/>
  <c r="F38" i="19"/>
  <c r="F32" i="19"/>
  <c r="F30" i="19"/>
  <c r="F27" i="19"/>
  <c r="F25" i="19"/>
  <c r="F23" i="19"/>
  <c r="F21" i="19"/>
  <c r="F19" i="19"/>
  <c r="F16" i="19"/>
  <c r="F14" i="19"/>
  <c r="F10" i="19"/>
  <c r="F7" i="19"/>
  <c r="F5" i="19"/>
  <c r="F2" i="19"/>
  <c r="F46" i="19"/>
  <c r="F42" i="19"/>
  <c r="F17" i="19"/>
  <c r="F13" i="19"/>
  <c r="F9" i="19"/>
  <c r="F3" i="19"/>
  <c r="F29" i="19"/>
  <c r="F12" i="19"/>
  <c r="F19" i="20"/>
  <c r="F16" i="20"/>
  <c r="F14" i="20"/>
  <c r="F12" i="20"/>
  <c r="F10" i="20"/>
  <c r="F7" i="20"/>
  <c r="F3" i="20"/>
  <c r="F46" i="20"/>
  <c r="F44" i="20"/>
  <c r="F42" i="20"/>
  <c r="F40" i="20"/>
  <c r="F38" i="20"/>
  <c r="F36" i="20"/>
  <c r="F34" i="20"/>
  <c r="F32" i="20"/>
  <c r="F30" i="20"/>
  <c r="F29" i="20"/>
  <c r="F26" i="20"/>
  <c r="F24" i="20"/>
  <c r="F23" i="20"/>
  <c r="F21" i="20"/>
  <c r="F20" i="20"/>
  <c r="F17" i="20"/>
  <c r="F15" i="20"/>
  <c r="F11" i="20"/>
  <c r="F9" i="20"/>
  <c r="F6" i="20"/>
  <c r="F2" i="20"/>
  <c r="F48" i="20"/>
  <c r="F47" i="20"/>
  <c r="F45" i="20"/>
  <c r="F43" i="20"/>
  <c r="F41" i="20"/>
  <c r="F39" i="20"/>
  <c r="F37" i="20"/>
  <c r="F35" i="20"/>
  <c r="F33" i="20"/>
  <c r="F31" i="20"/>
  <c r="F28" i="20"/>
  <c r="F27" i="20"/>
  <c r="F25" i="20"/>
  <c r="F22" i="20"/>
  <c r="F18" i="20"/>
  <c r="F13" i="20"/>
  <c r="F8" i="20"/>
  <c r="F5" i="20"/>
  <c r="F4" i="20"/>
  <c r="G2" i="20" l="1"/>
  <c r="G2" i="19"/>
  <c r="G2" i="18"/>
  <c r="J1" i="15"/>
</calcChain>
</file>

<file path=xl/connections.xml><?xml version="1.0" encoding="utf-8"?>
<connections xmlns="http://schemas.openxmlformats.org/spreadsheetml/2006/main">
  <connection id="1" name="WEHQDBMS08 的查詢  2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_x000d__x000a_FROM WEHQEDA.dbo.v_rtc_data v_rtc_data_x000d__x000a_WHERE (v_rtc_data.equipment Like 'LP-T%') AND (v_rtc_data.datetime&gt;?) AND (v_rtc_data.parameter Like 'PTC%') AND (v_rtc_data.event_type='AUTO_U/T')"/>
    <parameters count="1">
      <parameter name="參數一" sqlType="11" parameterType="cell" refreshOnChange="1" cell="'LP-T daily check'!$J$1"/>
    </parameters>
  </connection>
  <connection id="2" name="WEHQDBMS08 的查詢  21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, v_rtc_data.parameter_x000d__x000a_FROM WEHQEDA.dbo.v_rtc_data v_rtc_data_x000d__x000a_WHERE (v_rtc_data.equipment Like 'LP-T%') AND (v_rtc_data.datetime&gt;{ts '2014-12-31 00:00:00'}) AND (v_rtc_data.parameter Like 'THICK%')"/>
  </connection>
  <connection id="3" name="WEHQDBMS08 的查詢  22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_x000d__x000a_FROM WEHQEDA.dbo.v_rtc_data v_rtc_data_x000d__x000a_WHERE (v_rtc_data.equipment Like 'LP-T%') AND (v_rtc_data.datetime&gt;?) AND (v_rtc_data.parameter Like '%particle%%') AND (v_rtc_data.event_type='AUTO_U/T')"/>
    <parameters count="1">
      <parameter name="參數一" sqlType="11" parameterType="cell" refreshOnChange="1" cell="'LP-T daily check'!$J$1"/>
    </parameters>
  </connection>
  <connection id="4" name="WEHQDBMS08 的查詢  221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_x000d__x000a_FROM WEHQEDA.dbo.v_rtc_data v_rtc_data_x000d__x000a_WHERE (v_rtc_data.equipment Like 'LP-P%') AND (v_rtc_data.datetime&gt;?) AND (v_rtc_data.parameter Like '%particle%%') AND (v_rtc_data.event_type='AUTO_U/T')"/>
    <parameters count="1">
      <parameter name="參數1" sqlType="11" parameterType="cell" refreshOnChange="1" cell="'LP-P daily check'!$G$2"/>
    </parameters>
  </connection>
  <connection id="5" name="WEHQDBMS08 的查詢  2211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_x000d__x000a_FROM WEHQEDA.dbo.v_rtc_data v_rtc_data_x000d__x000a_WHERE (v_rtc_data.equipment Like 'LP-N%') AND (v_rtc_data.datetime&gt;?) AND (v_rtc_data.parameter Like '%4217OUT%') AND (v_rtc_data.event_type='AUTO_U/T')"/>
    <parameters count="1">
      <parameter name="參數1" sqlType="11" parameterType="cell" refreshOnChange="1" cell="'LP-N(厚) daily check'!$G$2"/>
    </parameters>
  </connection>
  <connection id="6" name="WEHQDBMS08 的查詢  221111" type="1" refreshedVersion="6" savePassword="1" background="1" refreshOnLoad="1" saveData="1">
    <dbPr connection="DSN=WEHQDBMS08;UID=fab2;PWD=fab2;APP=Microsoft Office 2010;WSID=OAPCD01157;DATABASE=WEHQEDA" command="SELECT v_rtc_data.equipment, v_rtc_data.datetime, v_rtc_data.parameter, v_rtc_data.event_type, v_rtc_data.value_x000d__x000a_FROM WEHQEDA.dbo.v_rtc_data v_rtc_data_x000d__x000a_WHERE (v_rtc_data.equipment Like 'LP-N%') AND (v_rtc_data.datetime&gt;?) AND (v_rtc_data.parameter Like '%PART_THIN%%') AND (v_rtc_data.event_type='AUTO_U/T')"/>
    <parameters count="1">
      <parameter name="參數1" sqlType="11" parameterType="cell" refreshOnChange="1" cell="'LP-N(薄) daily check'!$G$2"/>
    </parameters>
  </connection>
</connections>
</file>

<file path=xl/sharedStrings.xml><?xml version="1.0" encoding="utf-8"?>
<sst xmlns="http://schemas.openxmlformats.org/spreadsheetml/2006/main" count="2036" uniqueCount="53">
  <si>
    <t>parameter</t>
  </si>
  <si>
    <t>datetime</t>
  </si>
  <si>
    <t>value</t>
  </si>
  <si>
    <t>event_type</t>
  </si>
  <si>
    <t>LP-T2</t>
  </si>
  <si>
    <t>PARTICLE_C6</t>
  </si>
  <si>
    <t>PARTICLE_C4</t>
  </si>
  <si>
    <t>PARTICLE_C1</t>
  </si>
  <si>
    <t>欄1</t>
  </si>
  <si>
    <t>equipment</t>
  </si>
  <si>
    <t>&gt;1 UM</t>
    <phoneticPr fontId="1" type="noConversion"/>
  </si>
  <si>
    <t>AUTO_U/T</t>
  </si>
  <si>
    <t>LP-T1</t>
  </si>
  <si>
    <t>LP-T3</t>
  </si>
  <si>
    <t>LP-T4</t>
  </si>
  <si>
    <t>LP-T5</t>
  </si>
  <si>
    <t>LP-T6</t>
  </si>
  <si>
    <t>LP-T8</t>
  </si>
  <si>
    <t>THICK_1000C6</t>
  </si>
  <si>
    <t>THICK_1000C1</t>
  </si>
  <si>
    <t>THICK_1500C6</t>
  </si>
  <si>
    <t>THICK_2500C1</t>
  </si>
  <si>
    <t>THICK_350C1</t>
  </si>
  <si>
    <t>parameter2</t>
  </si>
  <si>
    <t>LP-P3</t>
  </si>
  <si>
    <t>PARTICLE_CEN</t>
  </si>
  <si>
    <t>LP-P6</t>
  </si>
  <si>
    <t>LP-P1</t>
  </si>
  <si>
    <t>LP-P4</t>
  </si>
  <si>
    <t>PARTICLE_TOP</t>
  </si>
  <si>
    <t>LP-P2</t>
  </si>
  <si>
    <t>PARTICLE_BOT</t>
  </si>
  <si>
    <t>LP-N3</t>
  </si>
  <si>
    <t>LP-N5</t>
  </si>
  <si>
    <t>LP-N7</t>
  </si>
  <si>
    <t>LP-N4</t>
  </si>
  <si>
    <t>LP-N1</t>
  </si>
  <si>
    <t>PART_THIN_C1</t>
  </si>
  <si>
    <t>PART_THIN_C6</t>
  </si>
  <si>
    <t>PART_THIN_C4</t>
  </si>
  <si>
    <t>LP-N2</t>
  </si>
  <si>
    <t>LP-N6</t>
  </si>
  <si>
    <t>Particle 狀態</t>
    <phoneticPr fontId="1" type="noConversion"/>
  </si>
  <si>
    <t>Particle 狀態</t>
    <phoneticPr fontId="1" type="noConversion"/>
  </si>
  <si>
    <t>Particle(大) 狀態</t>
    <phoneticPr fontId="1" type="noConversion"/>
  </si>
  <si>
    <t xml:space="preserve">說明:
1. Particle &gt;20 , &lt;30  → warning
2. Particle &gt;30 , &lt;40  → 快要 O.O.C 啦
資料是自動更新一禮拜的
</t>
    <phoneticPr fontId="1" type="noConversion"/>
  </si>
  <si>
    <t>說明:
1. Particle &gt;70 , &lt;100  → warning
2. Particle &gt;100 , &lt;150  → 快要 O.O.C 啦
資料是自動更新一禮拜的</t>
    <phoneticPr fontId="1" type="noConversion"/>
  </si>
  <si>
    <t>說明:
1. Particle &gt;20 , &lt;35  → warning
2. Particle &gt;35 , &lt;50  → 快要 O.O.C 啦
大顆:
1. Particle &gt;5 , &lt;10  → warning
2. Particle &gt;10 , &lt;15  → 快要 O.O.C 啦
資料是自動更新一禮拜的</t>
    <phoneticPr fontId="1" type="noConversion"/>
  </si>
  <si>
    <t>說明:
1. Particle &gt;25 , &lt;35  → warning
2. Particle &gt;35 , &lt;50  → 快要 O.O.C 啦
資料是自動更新一禮拜的</t>
    <phoneticPr fontId="1" type="noConversion"/>
  </si>
  <si>
    <t>PT4217OUT_C6</t>
  </si>
  <si>
    <t>PT4217OUT_C4</t>
  </si>
  <si>
    <t>PT4217OUT_C1</t>
  </si>
  <si>
    <t>LP-P7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</si>
</sst>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Arial Unicode MS"/>
      <family val="2"/>
      <charset val="136"/>
    </font>
    <font>
      <sz val="16"/>
      <name val="Arial Unicode MS"/>
      <family val="2"/>
      <charset val="136"/>
    </font>
    <font>
      <sz val="12"/>
      <name val="Arial Unicode MS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22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76" fontId="2" fillId="0" borderId="0" xfId="0" applyNumberFormat="1" applyFont="1" applyAlignment="1">
      <alignment horizontal="center"/>
    </xf>
    <xf numFmtId="14" fontId="2" fillId="0" borderId="0" xfId="0" applyNumberFormat="1" applyFont="1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/>
    </xf>
    <xf numFmtId="22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</cellXfs>
  <cellStyles count="1">
    <cellStyle name="一般" xfId="0" builtinId="0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numFmt numFmtId="27" formatCode="yyyy/m/d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fgColor rgb="FF7030A0"/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Unicode MS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WEHQDBMS08 的查詢  2" refreshOnLoad="1" connectionId="2" autoFormatId="16" applyNumberFormats="0" applyBorderFormats="0" applyFontFormats="0" applyPatternFormats="0" applyAlignmentFormats="0" applyWidthHeightFormats="0">
  <queryTableRefresh nextId="14">
    <queryTableFields count="7">
      <queryTableField id="9" name="equipment" tableColumnId="8"/>
      <queryTableField id="3" name="datetime" tableColumnId="3"/>
      <queryTableField id="2" name="parameter" tableColumnId="2"/>
      <queryTableField id="12" dataBound="0" tableColumnId="9"/>
      <queryTableField id="5" name="value" tableColumnId="5"/>
      <queryTableField id="8" name="event_type" tableColumnId="7"/>
      <queryTableField id="13" name="parameter" tableColumnId="1"/>
    </queryTableFields>
  </queryTableRefresh>
</queryTable>
</file>

<file path=xl/queryTables/queryTable2.xml><?xml version="1.0" encoding="utf-8"?>
<queryTable xmlns="http://schemas.openxmlformats.org/spreadsheetml/2006/main" name="WEHQDBMS08 的查詢  2" refreshOnLoad="1" connectionId="6" autoFormatId="16" applyNumberFormats="0" applyBorderFormats="0" applyFontFormats="0" applyPatternFormats="0" applyAlignmentFormats="0" applyWidthHeightFormats="0">
  <queryTableRefresh nextId="21" unboundColumnsRight="1">
    <queryTableFields count="6">
      <queryTableField id="9" name="equipment" tableColumnId="8"/>
      <queryTableField id="3" name="datetime" tableColumnId="3"/>
      <queryTableField id="2" name="parameter" tableColumnId="2"/>
      <queryTableField id="5" name="value" tableColumnId="5"/>
      <queryTableField id="8" name="event_type" tableColumnId="7"/>
      <queryTableField id="19" dataBound="0" tableColumnId="1"/>
    </queryTableFields>
  </queryTableRefresh>
</queryTable>
</file>

<file path=xl/queryTables/queryTable3.xml><?xml version="1.0" encoding="utf-8"?>
<queryTable xmlns="http://schemas.openxmlformats.org/spreadsheetml/2006/main" name="WEHQDBMS08 的查詢  2" refreshOnLoad="1" connectionId="5" autoFormatId="16" applyNumberFormats="0" applyBorderFormats="0" applyFontFormats="0" applyPatternFormats="0" applyAlignmentFormats="0" applyWidthHeightFormats="0">
  <queryTableRefresh nextId="21" unboundColumnsRight="1">
    <queryTableFields count="6">
      <queryTableField id="9" name="equipment" tableColumnId="8"/>
      <queryTableField id="3" name="datetime" tableColumnId="3"/>
      <queryTableField id="2" name="parameter" tableColumnId="2"/>
      <queryTableField id="5" name="value" tableColumnId="5"/>
      <queryTableField id="8" name="event_type" tableColumnId="7"/>
      <queryTableField id="19" dataBound="0" tableColumnId="1"/>
    </queryTableFields>
  </queryTableRefresh>
</queryTable>
</file>

<file path=xl/queryTables/queryTable4.xml><?xml version="1.0" encoding="utf-8"?>
<queryTable xmlns="http://schemas.openxmlformats.org/spreadsheetml/2006/main" name="WEHQDBMS08 的查詢  2" refreshOnLoad="1" connectionId="4" autoFormatId="16" applyNumberFormats="0" applyBorderFormats="0" applyFontFormats="0" applyPatternFormats="0" applyAlignmentFormats="0" applyWidthHeightFormats="0">
  <queryTableRefresh nextId="21" unboundColumnsRight="1">
    <queryTableFields count="6">
      <queryTableField id="9" name="equipment" tableColumnId="8"/>
      <queryTableField id="3" name="datetime" tableColumnId="3"/>
      <queryTableField id="2" name="parameter" tableColumnId="2"/>
      <queryTableField id="5" name="value" tableColumnId="5"/>
      <queryTableField id="8" name="event_type" tableColumnId="7"/>
      <queryTableField id="19" dataBound="0" tableColumnId="1"/>
    </queryTableFields>
  </queryTableRefresh>
</queryTable>
</file>

<file path=xl/queryTables/queryTable5.xml><?xml version="1.0" encoding="utf-8"?>
<queryTable xmlns="http://schemas.openxmlformats.org/spreadsheetml/2006/main" name="WEHQDBMS08 的查詢  2" refreshOnLoad="1" connectionId="3" autoFormatId="16" applyNumberFormats="0" applyBorderFormats="0" applyFontFormats="0" applyPatternFormats="0" applyAlignmentFormats="0" applyWidthHeightFormats="0">
  <queryTableRefresh nextId="21" unboundColumnsRight="2">
    <queryTableFields count="9">
      <queryTableField id="9" name="equipment" tableColumnId="8"/>
      <queryTableField id="3" name="datetime" tableColumnId="3"/>
      <queryTableField id="2" name="parameter" tableColumnId="2"/>
      <queryTableField id="12" dataBound="0" tableColumnId="9"/>
      <queryTableField id="5" name="value" tableColumnId="5"/>
      <queryTableField id="13" dataBound="0" tableColumnId="10"/>
      <queryTableField id="8" name="event_type" tableColumnId="7"/>
      <queryTableField id="15" dataBound="0" tableColumnId="1"/>
      <queryTableField id="19" dataBound="0" tableColumnId="6"/>
    </queryTableFields>
  </queryTableRefresh>
</queryTable>
</file>

<file path=xl/queryTables/queryTable6.xml><?xml version="1.0" encoding="utf-8"?>
<queryTable xmlns="http://schemas.openxmlformats.org/spreadsheetml/2006/main" name="WEHQDBMS08 的查詢  2" refreshOnLoad="1" connectionId="1" autoFormatId="16" applyNumberFormats="0" applyBorderFormats="0" applyFontFormats="0" applyPatternFormats="0" applyAlignmentFormats="0" applyWidthHeightFormats="0">
  <queryTableRefresh nextId="13">
    <queryTableFields count="6">
      <queryTableField id="9" name="equipment" tableColumnId="8"/>
      <queryTableField id="3" name="datetime" tableColumnId="3"/>
      <queryTableField id="2" name="parameter" tableColumnId="2"/>
      <queryTableField id="12" dataBound="0" tableColumnId="9"/>
      <queryTableField id="5" name="value" tableColumnId="5"/>
      <queryTableField id="8" name="event_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" name="表格_WEHQDBMS08_的查詢__2643" displayName="表格_WEHQDBMS08_的查詢__2643" ref="A1:G31" tableType="queryTable" totalsRowShown="0" headerRowDxfId="65" dataDxfId="64">
  <autoFilter ref="A1:G31"/>
  <sortState ref="A2:G31">
    <sortCondition ref="B2"/>
  </sortState>
  <tableColumns count="7">
    <tableColumn id="8" uniqueName="8" name="equipment" queryTableFieldId="9" dataDxfId="6"/>
    <tableColumn id="3" uniqueName="3" name="datetime" queryTableFieldId="3" dataDxfId="5"/>
    <tableColumn id="2" uniqueName="2" name="parameter" queryTableFieldId="2" dataDxfId="4"/>
    <tableColumn id="9" uniqueName="9" name="欄1" queryTableFieldId="12" dataDxfId="3">
      <calculatedColumnFormula>CONCATENATE(B2,RIGHT(C2,2))</calculatedColumnFormula>
    </tableColumn>
    <tableColumn id="5" uniqueName="5" name="value" queryTableFieldId="5" dataDxfId="2"/>
    <tableColumn id="7" uniqueName="7" name="event_type" queryTableFieldId="8" dataDxfId="1"/>
    <tableColumn id="1" uniqueName="1" name="parameter2" queryTableFieldId="1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表格_WEHQDBMS08_的查詢__245246" displayName="表格_WEHQDBMS08_的查詢__245246" ref="A1:F48" tableType="queryTable" totalsRowShown="0" headerRowDxfId="63" dataDxfId="62">
  <autoFilter ref="A1:F48"/>
  <sortState ref="A2:F48">
    <sortCondition descending="1" ref="B1:B139"/>
  </sortState>
  <tableColumns count="6">
    <tableColumn id="8" uniqueName="8" name="equipment" queryTableFieldId="9" dataDxfId="39"/>
    <tableColumn id="3" uniqueName="3" name="datetime" queryTableFieldId="3" dataDxfId="38"/>
    <tableColumn id="2" uniqueName="2" name="parameter" queryTableFieldId="2" dataDxfId="37"/>
    <tableColumn id="5" uniqueName="5" name="value" queryTableFieldId="5" dataDxfId="36"/>
    <tableColumn id="7" uniqueName="7" name="event_type" queryTableFieldId="8" dataDxfId="35"/>
    <tableColumn id="1" uniqueName="1" name="Particle 狀態" queryTableFieldId="19" dataDxfId="34">
      <calculatedColumnFormula>IF(D2&lt;&gt;C2,IF(AND(D2&gt;=20,D2&lt;30),"warning",IF(AND(D2&gt;=30,D2&lt;=40),"快要 O.O.C 啦",IF(D2&gt;40,"超出規格 O.O.C 啦",""))))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格_WEHQDBMS08_的查詢__24524" displayName="表格_WEHQDBMS08_的查詢__24524" ref="A1:F50" tableType="queryTable" totalsRowShown="0" headerRowDxfId="61" dataDxfId="60">
  <autoFilter ref="A1:F50"/>
  <sortState ref="A2:F50">
    <sortCondition descending="1" ref="B1:B139"/>
  </sortState>
  <tableColumns count="6">
    <tableColumn id="8" uniqueName="8" name="equipment" queryTableFieldId="9" dataDxfId="33"/>
    <tableColumn id="3" uniqueName="3" name="datetime" queryTableFieldId="3" dataDxfId="32"/>
    <tableColumn id="2" uniqueName="2" name="parameter" queryTableFieldId="2" dataDxfId="31"/>
    <tableColumn id="5" uniqueName="5" name="value" queryTableFieldId="5" dataDxfId="30"/>
    <tableColumn id="7" uniqueName="7" name="event_type" queryTableFieldId="8" dataDxfId="29"/>
    <tableColumn id="1" uniqueName="1" name="Particle 狀態" queryTableFieldId="19" dataDxfId="28">
      <calculatedColumnFormula>IF(D2&lt;&gt;C2,IF(AND(D2&gt;=70,D2&lt;100),"warning",IF(AND(D2&gt;=100,D2&lt;=150),"快要 O.O.C 啦",IF(D2&gt;150,"超出規格 O.O.C 啦",""))))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表格_WEHQDBMS08_的查詢__2452" displayName="表格_WEHQDBMS08_的查詢__2452" ref="A1:F170" tableType="queryTable" totalsRowShown="0" headerRowDxfId="59" dataDxfId="58">
  <autoFilter ref="A1:F170"/>
  <sortState ref="A2:F170">
    <sortCondition descending="1" ref="B1:B139"/>
  </sortState>
  <tableColumns count="6">
    <tableColumn id="8" uniqueName="8" name="equipment" queryTableFieldId="9" dataDxfId="27"/>
    <tableColumn id="3" uniqueName="3" name="datetime" queryTableFieldId="3" dataDxfId="26"/>
    <tableColumn id="2" uniqueName="2" name="parameter" queryTableFieldId="2" dataDxfId="25"/>
    <tableColumn id="5" uniqueName="5" name="value" queryTableFieldId="5" dataDxfId="24"/>
    <tableColumn id="7" uniqueName="7" name="event_type" queryTableFieldId="8" dataDxfId="23"/>
    <tableColumn id="1" uniqueName="1" name="Particle 狀態" queryTableFieldId="19" dataDxfId="22">
      <calculatedColumnFormula>IF(D2&lt;&gt;C2,IF(AND(D2&gt;=25,D2&lt;35),"warning",IF(AND(D2&gt;=35,D2&lt;=50),"快要 O.O.C 啦",IF(D2&gt;50,"超出規格 O.O.C 啦",""))))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WEHQDBMS08_的查詢__245" displayName="表格_WEHQDBMS08_的查詢__245" ref="A1:I360" tableType="queryTable" totalsRowShown="0" headerRowDxfId="57" dataDxfId="56">
  <autoFilter ref="A1:I360"/>
  <sortState ref="A2:I360">
    <sortCondition descending="1" ref="B1:B205"/>
  </sortState>
  <tableColumns count="9">
    <tableColumn id="8" uniqueName="8" name="equipment" queryTableFieldId="9" dataDxfId="21"/>
    <tableColumn id="3" uniqueName="3" name="datetime" queryTableFieldId="3" dataDxfId="20"/>
    <tableColumn id="2" uniqueName="2" name="parameter" queryTableFieldId="2" dataDxfId="19"/>
    <tableColumn id="9" uniqueName="9" name="欄1" queryTableFieldId="12" dataDxfId="18">
      <calculatedColumnFormula>CONCATENATE(B2,RIGHT(C2,2))</calculatedColumnFormula>
    </tableColumn>
    <tableColumn id="5" uniqueName="5" name="value" queryTableFieldId="5" dataDxfId="17"/>
    <tableColumn id="10" uniqueName="10" name="&gt;1 UM" queryTableFieldId="13" dataDxfId="16">
      <calculatedColumnFormula>VLOOKUP(D2,'LP-T2 大顆的'!D:E,2)</calculatedColumnFormula>
    </tableColumn>
    <tableColumn id="7" uniqueName="7" name="event_type" queryTableFieldId="8" dataDxfId="15"/>
    <tableColumn id="1" uniqueName="1" name="Particle 狀態" queryTableFieldId="15" dataDxfId="14">
      <calculatedColumnFormula>IF(C2&lt;&gt;B2,IF(AND(E2&gt;=20,E2&lt;35),"warning",IF(AND(E2&gt;=35,E2&lt;=50),"快要 O.O.C 啦",IF(E2&gt;50,"超出規格 O.O.C 啦",""))))</calculatedColumnFormula>
    </tableColumn>
    <tableColumn id="6" uniqueName="6" name="Particle(大) 狀態" queryTableFieldId="19" dataDxfId="13">
      <calculatedColumnFormula>IF(C2&lt;&gt;B2,IF(AND(F2&gt;=5,E2&lt;10),"warning",IF(AND(F2&gt;=10,F2&lt;=15),"快要 O.O.C 啦",IF(F2&gt;15,"超出規格 O.O.C 啦",""))))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3" name="表格_WEHQDBMS08_的查詢__264" displayName="表格_WEHQDBMS08_的查詢__264" ref="A1:F2" tableType="queryTable" insertRow="1" totalsRowShown="0" headerRowDxfId="55" dataDxfId="54">
  <autoFilter ref="A1:F2"/>
  <sortState ref="A2:F2">
    <sortCondition ref="B2"/>
  </sortState>
  <tableColumns count="6">
    <tableColumn id="8" uniqueName="8" name="equipment" queryTableFieldId="9" dataDxfId="12"/>
    <tableColumn id="3" uniqueName="3" name="datetime" queryTableFieldId="3" dataDxfId="11"/>
    <tableColumn id="2" uniqueName="2" name="parameter" queryTableFieldId="2" dataDxfId="10"/>
    <tableColumn id="9" uniqueName="9" name="欄1" queryTableFieldId="12" dataDxfId="9">
      <calculatedColumnFormula>CONCATENATE(B2,RIGHT(C2,2))</calculatedColumnFormula>
    </tableColumn>
    <tableColumn id="5" uniqueName="5" name="value" queryTableFieldId="5" dataDxfId="8"/>
    <tableColumn id="7" uniqueName="7" name="event_type" queryTableFieldId="8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2"/>
  <sheetViews>
    <sheetView workbookViewId="0">
      <selection activeCell="E4" sqref="E4"/>
    </sheetView>
  </sheetViews>
  <sheetFormatPr defaultColWidth="27.5" defaultRowHeight="16.5"/>
  <cols>
    <col min="1" max="1" width="16" style="1" customWidth="1"/>
    <col min="2" max="2" width="16.125" style="1" customWidth="1"/>
    <col min="3" max="3" width="16" style="1" customWidth="1"/>
    <col min="4" max="4" width="20.25" style="1" customWidth="1"/>
    <col min="5" max="5" width="11.375" customWidth="1"/>
    <col min="6" max="7" width="17.25" style="1" customWidth="1"/>
    <col min="8" max="8" width="16.875" style="1" bestFit="1" customWidth="1"/>
    <col min="10" max="10" width="16.375" style="1" bestFit="1" customWidth="1"/>
    <col min="11" max="11" width="13.75" style="1" customWidth="1"/>
    <col min="12" max="16384" width="27.5" style="2"/>
  </cols>
  <sheetData>
    <row r="1" spans="1:11">
      <c r="A1" s="1" t="s">
        <v>9</v>
      </c>
      <c r="B1" s="1" t="s">
        <v>1</v>
      </c>
      <c r="C1" s="1" t="s">
        <v>0</v>
      </c>
      <c r="D1" s="1" t="s">
        <v>8</v>
      </c>
      <c r="E1" s="1" t="s">
        <v>2</v>
      </c>
      <c r="F1" s="1" t="s">
        <v>3</v>
      </c>
      <c r="G1" s="1" t="s">
        <v>23</v>
      </c>
      <c r="H1" s="2"/>
      <c r="I1" s="2"/>
      <c r="J1" s="2"/>
      <c r="K1" s="2"/>
    </row>
    <row r="2" spans="1:11">
      <c r="A2" s="1" t="s">
        <v>4</v>
      </c>
      <c r="B2" s="3">
        <v>43034.044432870367</v>
      </c>
      <c r="C2" s="1" t="s">
        <v>20</v>
      </c>
      <c r="D2" s="1" t="str">
        <f>CONCATENATE(B2,RIGHT(C2,2))</f>
        <v>43034.0444328704C6</v>
      </c>
      <c r="E2" s="1">
        <v>1521.5</v>
      </c>
      <c r="F2" s="1" t="s">
        <v>11</v>
      </c>
      <c r="G2" s="1" t="s">
        <v>20</v>
      </c>
      <c r="H2" s="2"/>
      <c r="I2" s="2"/>
      <c r="J2" s="2"/>
      <c r="K2" s="2"/>
    </row>
    <row r="3" spans="1:11">
      <c r="A3" s="1" t="s">
        <v>4</v>
      </c>
      <c r="B3" s="3">
        <v>43034.044432870367</v>
      </c>
      <c r="C3" s="1" t="s">
        <v>20</v>
      </c>
      <c r="D3" s="1" t="str">
        <f>CONCATENATE(B3,RIGHT(C3,2))</f>
        <v>43034.0444328704C6</v>
      </c>
      <c r="E3" s="1">
        <v>1544.8</v>
      </c>
      <c r="F3" s="1" t="s">
        <v>11</v>
      </c>
      <c r="G3" s="1" t="s">
        <v>20</v>
      </c>
      <c r="H3" s="2"/>
      <c r="I3" s="2"/>
      <c r="J3" s="2"/>
      <c r="K3" s="2"/>
    </row>
    <row r="4" spans="1:11">
      <c r="A4" s="1" t="s">
        <v>4</v>
      </c>
      <c r="B4" s="3">
        <v>43034.044432870367</v>
      </c>
      <c r="C4" s="1" t="s">
        <v>20</v>
      </c>
      <c r="D4" s="1" t="str">
        <f>CONCATENATE(B4,RIGHT(C4,2))</f>
        <v>43034.0444328704C6</v>
      </c>
      <c r="E4" s="1">
        <v>1459.2</v>
      </c>
      <c r="F4" s="1" t="s">
        <v>11</v>
      </c>
      <c r="G4" s="1" t="s">
        <v>20</v>
      </c>
      <c r="H4" s="2"/>
      <c r="I4" s="2"/>
      <c r="J4" s="2"/>
      <c r="K4" s="2"/>
    </row>
    <row r="5" spans="1:11">
      <c r="A5" s="1" t="s">
        <v>4</v>
      </c>
      <c r="B5" s="3">
        <v>43034.044432870367</v>
      </c>
      <c r="C5" s="1" t="s">
        <v>20</v>
      </c>
      <c r="D5" s="1" t="str">
        <f>CONCATENATE(B5,RIGHT(C5,2))</f>
        <v>43034.0444328704C6</v>
      </c>
      <c r="E5" s="1">
        <v>1524.3</v>
      </c>
      <c r="F5" s="1" t="s">
        <v>11</v>
      </c>
      <c r="G5" s="1" t="s">
        <v>20</v>
      </c>
      <c r="H5" s="2"/>
      <c r="I5" s="2"/>
      <c r="J5" s="2"/>
      <c r="K5" s="2"/>
    </row>
    <row r="6" spans="1:11">
      <c r="A6" s="1" t="s">
        <v>4</v>
      </c>
      <c r="B6" s="3">
        <v>43034.044432870367</v>
      </c>
      <c r="C6" s="1" t="s">
        <v>20</v>
      </c>
      <c r="D6" s="1" t="str">
        <f>CONCATENATE(B6,RIGHT(C6,2))</f>
        <v>43034.0444328704C6</v>
      </c>
      <c r="E6" s="1">
        <v>1538.3</v>
      </c>
      <c r="F6" s="1" t="s">
        <v>11</v>
      </c>
      <c r="G6" s="1" t="s">
        <v>20</v>
      </c>
      <c r="H6" s="2"/>
      <c r="I6" s="2"/>
      <c r="J6" s="2"/>
      <c r="K6" s="2"/>
    </row>
    <row r="7" spans="1:11">
      <c r="A7" s="1" t="s">
        <v>15</v>
      </c>
      <c r="B7" s="3">
        <v>43034.058240740742</v>
      </c>
      <c r="C7" s="1" t="s">
        <v>18</v>
      </c>
      <c r="D7" s="1" t="str">
        <f>CONCATENATE(B7,RIGHT(C7,2))</f>
        <v>43034.0582407407C6</v>
      </c>
      <c r="E7" s="1">
        <v>972.35</v>
      </c>
      <c r="F7" s="1" t="s">
        <v>11</v>
      </c>
      <c r="G7" s="1" t="s">
        <v>18</v>
      </c>
      <c r="H7" s="2"/>
      <c r="I7" s="2"/>
      <c r="J7" s="2"/>
      <c r="K7" s="2"/>
    </row>
    <row r="8" spans="1:11">
      <c r="A8" s="1" t="s">
        <v>15</v>
      </c>
      <c r="B8" s="3">
        <v>43034.058240740742</v>
      </c>
      <c r="C8" s="1" t="s">
        <v>18</v>
      </c>
      <c r="D8" s="1" t="str">
        <f>CONCATENATE(B8,RIGHT(C8,2))</f>
        <v>43034.0582407407C6</v>
      </c>
      <c r="E8" s="1">
        <v>1021.4</v>
      </c>
      <c r="F8" s="1" t="s">
        <v>11</v>
      </c>
      <c r="G8" s="1" t="s">
        <v>18</v>
      </c>
      <c r="H8" s="2"/>
      <c r="I8" s="2"/>
      <c r="J8" s="2"/>
      <c r="K8" s="2"/>
    </row>
    <row r="9" spans="1:11">
      <c r="A9" s="1" t="s">
        <v>15</v>
      </c>
      <c r="B9" s="3">
        <v>43034.058240740742</v>
      </c>
      <c r="C9" s="1" t="s">
        <v>18</v>
      </c>
      <c r="D9" s="1" t="str">
        <f>CONCATENATE(B9,RIGHT(C9,2))</f>
        <v>43034.0582407407C6</v>
      </c>
      <c r="E9" s="1">
        <v>960.88</v>
      </c>
      <c r="F9" s="1" t="s">
        <v>11</v>
      </c>
      <c r="G9" s="1" t="s">
        <v>18</v>
      </c>
      <c r="H9" s="2"/>
      <c r="I9" s="2"/>
      <c r="J9" s="2"/>
      <c r="K9" s="2"/>
    </row>
    <row r="10" spans="1:11">
      <c r="A10" s="1" t="s">
        <v>15</v>
      </c>
      <c r="B10" s="3">
        <v>43034.058240740742</v>
      </c>
      <c r="C10" s="1" t="s">
        <v>18</v>
      </c>
      <c r="D10" s="1" t="str">
        <f>CONCATENATE(B10,RIGHT(C10,2))</f>
        <v>43034.0582407407C6</v>
      </c>
      <c r="E10" s="1">
        <v>989.73</v>
      </c>
      <c r="F10" s="1" t="s">
        <v>11</v>
      </c>
      <c r="G10" s="1" t="s">
        <v>18</v>
      </c>
      <c r="H10" s="2"/>
      <c r="I10" s="2"/>
      <c r="J10" s="2"/>
      <c r="K10" s="2"/>
    </row>
    <row r="11" spans="1:11">
      <c r="A11" s="1" t="s">
        <v>15</v>
      </c>
      <c r="B11" s="3">
        <v>43034.058240740742</v>
      </c>
      <c r="C11" s="1" t="s">
        <v>18</v>
      </c>
      <c r="D11" s="4" t="str">
        <f>CONCATENATE(B11,RIGHT(C11,2))</f>
        <v>43034.0582407407C6</v>
      </c>
      <c r="E11" s="1">
        <v>1017</v>
      </c>
      <c r="F11" s="1" t="s">
        <v>11</v>
      </c>
      <c r="G11" s="1" t="s">
        <v>18</v>
      </c>
      <c r="I11" s="2"/>
    </row>
    <row r="12" spans="1:11">
      <c r="A12" s="1" t="s">
        <v>12</v>
      </c>
      <c r="B12" s="3">
        <v>43034.162291666667</v>
      </c>
      <c r="C12" s="1" t="s">
        <v>19</v>
      </c>
      <c r="D12" s="4" t="str">
        <f>CONCATENATE(B12,RIGHT(C12,2))</f>
        <v>43034.1622916667C1</v>
      </c>
      <c r="E12" s="1">
        <v>977.82</v>
      </c>
      <c r="F12" s="1" t="s">
        <v>11</v>
      </c>
      <c r="G12" s="1" t="s">
        <v>19</v>
      </c>
      <c r="I12" s="2"/>
    </row>
    <row r="13" spans="1:11">
      <c r="A13" s="1" t="s">
        <v>12</v>
      </c>
      <c r="B13" s="3">
        <v>43034.162291666667</v>
      </c>
      <c r="C13" s="1" t="s">
        <v>19</v>
      </c>
      <c r="D13" s="4" t="str">
        <f>CONCATENATE(B13,RIGHT(C13,2))</f>
        <v>43034.1622916667C1</v>
      </c>
      <c r="E13" s="1">
        <v>952.26</v>
      </c>
      <c r="F13" s="1" t="s">
        <v>11</v>
      </c>
      <c r="G13" s="1" t="s">
        <v>19</v>
      </c>
      <c r="I13" s="2"/>
    </row>
    <row r="14" spans="1:11">
      <c r="A14" s="1" t="s">
        <v>12</v>
      </c>
      <c r="B14" s="3">
        <v>43034.162291666667</v>
      </c>
      <c r="C14" s="1" t="s">
        <v>19</v>
      </c>
      <c r="D14" s="4" t="str">
        <f>CONCATENATE(B14,RIGHT(C14,2))</f>
        <v>43034.1622916667C1</v>
      </c>
      <c r="E14" s="1">
        <v>1002.5</v>
      </c>
      <c r="F14" s="1" t="s">
        <v>11</v>
      </c>
      <c r="G14" s="1" t="s">
        <v>19</v>
      </c>
      <c r="I14" s="2"/>
    </row>
    <row r="15" spans="1:11">
      <c r="A15" s="1" t="s">
        <v>12</v>
      </c>
      <c r="B15" s="3">
        <v>43034.162291666667</v>
      </c>
      <c r="C15" s="1" t="s">
        <v>19</v>
      </c>
      <c r="D15" s="4" t="str">
        <f>CONCATENATE(B15,RIGHT(C15,2))</f>
        <v>43034.1622916667C1</v>
      </c>
      <c r="E15" s="1">
        <v>988.19</v>
      </c>
      <c r="F15" s="1" t="s">
        <v>11</v>
      </c>
      <c r="G15" s="1" t="s">
        <v>19</v>
      </c>
      <c r="I15" s="2"/>
    </row>
    <row r="16" spans="1:11">
      <c r="A16" s="1" t="s">
        <v>12</v>
      </c>
      <c r="B16" s="3">
        <v>43034.162291666667</v>
      </c>
      <c r="C16" s="1" t="s">
        <v>19</v>
      </c>
      <c r="D16" s="4" t="str">
        <f>CONCATENATE(B16,RIGHT(C16,2))</f>
        <v>43034.1622916667C1</v>
      </c>
      <c r="E16" s="1">
        <v>982.51</v>
      </c>
      <c r="F16" s="1" t="s">
        <v>11</v>
      </c>
      <c r="G16" s="1" t="s">
        <v>19</v>
      </c>
      <c r="I16" s="2"/>
    </row>
    <row r="17" spans="1:9">
      <c r="A17" s="1" t="s">
        <v>13</v>
      </c>
      <c r="B17" s="3">
        <v>43034.332789351851</v>
      </c>
      <c r="C17" s="1" t="s">
        <v>22</v>
      </c>
      <c r="D17" s="4" t="str">
        <f>CONCATENATE(B17,RIGHT(C17,2))</f>
        <v>43034.3327893519C1</v>
      </c>
      <c r="E17" s="1">
        <v>350.92</v>
      </c>
      <c r="F17" s="1" t="s">
        <v>11</v>
      </c>
      <c r="G17" s="1" t="s">
        <v>22</v>
      </c>
      <c r="I17" s="2"/>
    </row>
    <row r="18" spans="1:9">
      <c r="A18" s="1" t="s">
        <v>13</v>
      </c>
      <c r="B18" s="3">
        <v>43034.332789351851</v>
      </c>
      <c r="C18" s="1" t="s">
        <v>22</v>
      </c>
      <c r="D18" s="4" t="str">
        <f>CONCATENATE(B18,RIGHT(C18,2))</f>
        <v>43034.3327893519C1</v>
      </c>
      <c r="E18" s="1">
        <v>338.21</v>
      </c>
      <c r="F18" s="1" t="s">
        <v>11</v>
      </c>
      <c r="G18" s="1" t="s">
        <v>22</v>
      </c>
      <c r="I18" s="2"/>
    </row>
    <row r="19" spans="1:9">
      <c r="A19" s="1" t="s">
        <v>13</v>
      </c>
      <c r="B19" s="3">
        <v>43034.332789351851</v>
      </c>
      <c r="C19" s="1" t="s">
        <v>22</v>
      </c>
      <c r="D19" s="4" t="str">
        <f>CONCATENATE(B19,RIGHT(C19,2))</f>
        <v>43034.3327893519C1</v>
      </c>
      <c r="E19" s="1">
        <v>354.28</v>
      </c>
      <c r="F19" s="1" t="s">
        <v>11</v>
      </c>
      <c r="G19" s="1" t="s">
        <v>22</v>
      </c>
      <c r="I19" s="2"/>
    </row>
    <row r="20" spans="1:9">
      <c r="A20" s="1" t="s">
        <v>13</v>
      </c>
      <c r="B20" s="3">
        <v>43034.332789351851</v>
      </c>
      <c r="C20" s="1" t="s">
        <v>22</v>
      </c>
      <c r="D20" s="4" t="str">
        <f>CONCATENATE(B20,RIGHT(C20,2))</f>
        <v>43034.3327893519C1</v>
      </c>
      <c r="E20" s="1">
        <v>353.68</v>
      </c>
      <c r="F20" s="1" t="s">
        <v>11</v>
      </c>
      <c r="G20" s="1" t="s">
        <v>22</v>
      </c>
      <c r="I20" s="2"/>
    </row>
    <row r="21" spans="1:9">
      <c r="A21" s="1" t="s">
        <v>13</v>
      </c>
      <c r="B21" s="3">
        <v>43034.332789351851</v>
      </c>
      <c r="C21" s="1" t="s">
        <v>22</v>
      </c>
      <c r="D21" s="4" t="str">
        <f>CONCATENATE(B21,RIGHT(C21,2))</f>
        <v>43034.3327893519C1</v>
      </c>
      <c r="E21" s="1">
        <v>348.11</v>
      </c>
      <c r="F21" s="1" t="s">
        <v>11</v>
      </c>
      <c r="G21" s="1" t="s">
        <v>22</v>
      </c>
      <c r="I21" s="2"/>
    </row>
    <row r="22" spans="1:9">
      <c r="A22" s="1" t="s">
        <v>4</v>
      </c>
      <c r="B22" s="3">
        <v>43034.338923611111</v>
      </c>
      <c r="C22" s="1" t="s">
        <v>21</v>
      </c>
      <c r="D22" s="4" t="str">
        <f>CONCATENATE(B22,RIGHT(C22,2))</f>
        <v>43034.3389236111C1</v>
      </c>
      <c r="E22" s="1">
        <v>2484.3000000000002</v>
      </c>
      <c r="F22" s="1" t="s">
        <v>11</v>
      </c>
      <c r="G22" s="1" t="s">
        <v>21</v>
      </c>
      <c r="I22" s="2"/>
    </row>
    <row r="23" spans="1:9">
      <c r="A23" s="1" t="s">
        <v>4</v>
      </c>
      <c r="B23" s="3">
        <v>43034.338923611111</v>
      </c>
      <c r="C23" s="1" t="s">
        <v>21</v>
      </c>
      <c r="D23" s="4" t="str">
        <f>CONCATENATE(B23,RIGHT(C23,2))</f>
        <v>43034.3389236111C1</v>
      </c>
      <c r="E23" s="1">
        <v>2423</v>
      </c>
      <c r="F23" s="1" t="s">
        <v>11</v>
      </c>
      <c r="G23" s="1" t="s">
        <v>21</v>
      </c>
      <c r="I23" s="2"/>
    </row>
    <row r="24" spans="1:9">
      <c r="A24" s="1" t="s">
        <v>4</v>
      </c>
      <c r="B24" s="3">
        <v>43034.338923611111</v>
      </c>
      <c r="C24" s="1" t="s">
        <v>21</v>
      </c>
      <c r="D24" s="4" t="str">
        <f>CONCATENATE(B24,RIGHT(C24,2))</f>
        <v>43034.3389236111C1</v>
      </c>
      <c r="E24" s="1">
        <v>2568.6</v>
      </c>
      <c r="F24" s="1" t="s">
        <v>11</v>
      </c>
      <c r="G24" s="1" t="s">
        <v>21</v>
      </c>
      <c r="I24" s="2"/>
    </row>
    <row r="25" spans="1:9">
      <c r="A25" s="1" t="s">
        <v>4</v>
      </c>
      <c r="B25" s="3">
        <v>43034.338923611111</v>
      </c>
      <c r="C25" s="1" t="s">
        <v>21</v>
      </c>
      <c r="D25" s="4" t="str">
        <f>CONCATENATE(B25,RIGHT(C25,2))</f>
        <v>43034.3389236111C1</v>
      </c>
      <c r="E25" s="1">
        <v>2531.9</v>
      </c>
      <c r="F25" s="1" t="s">
        <v>11</v>
      </c>
      <c r="G25" s="1" t="s">
        <v>21</v>
      </c>
      <c r="I25" s="2"/>
    </row>
    <row r="26" spans="1:9">
      <c r="A26" s="1" t="s">
        <v>4</v>
      </c>
      <c r="B26" s="3">
        <v>43034.338923611111</v>
      </c>
      <c r="C26" s="1" t="s">
        <v>21</v>
      </c>
      <c r="D26" s="4" t="str">
        <f>CONCATENATE(B26,RIGHT(C26,2))</f>
        <v>43034.3389236111C1</v>
      </c>
      <c r="E26" s="1">
        <v>2494.9</v>
      </c>
      <c r="F26" s="1" t="s">
        <v>11</v>
      </c>
      <c r="G26" s="1" t="s">
        <v>21</v>
      </c>
      <c r="I26" s="2"/>
    </row>
    <row r="27" spans="1:9">
      <c r="A27" s="1" t="s">
        <v>16</v>
      </c>
      <c r="B27" s="3">
        <v>43034.461087962962</v>
      </c>
      <c r="C27" s="1" t="s">
        <v>19</v>
      </c>
      <c r="D27" s="4" t="str">
        <f>CONCATENATE(B27,RIGHT(C27,2))</f>
        <v>43034.461087963C1</v>
      </c>
      <c r="E27" s="1">
        <v>1009.9</v>
      </c>
      <c r="F27" s="1" t="s">
        <v>11</v>
      </c>
      <c r="G27" s="1" t="s">
        <v>19</v>
      </c>
      <c r="I27" s="2"/>
    </row>
    <row r="28" spans="1:9">
      <c r="A28" s="1" t="s">
        <v>16</v>
      </c>
      <c r="B28" s="3">
        <v>43034.461087962962</v>
      </c>
      <c r="C28" s="1" t="s">
        <v>19</v>
      </c>
      <c r="D28" s="4" t="str">
        <f>CONCATENATE(B28,RIGHT(C28,2))</f>
        <v>43034.461087963C1</v>
      </c>
      <c r="E28" s="1">
        <v>978.16</v>
      </c>
      <c r="F28" s="1" t="s">
        <v>11</v>
      </c>
      <c r="G28" s="1" t="s">
        <v>19</v>
      </c>
      <c r="I28" s="2"/>
    </row>
    <row r="29" spans="1:9">
      <c r="A29" s="1" t="s">
        <v>16</v>
      </c>
      <c r="B29" s="3">
        <v>43034.461087962962</v>
      </c>
      <c r="C29" s="1" t="s">
        <v>19</v>
      </c>
      <c r="D29" s="4" t="str">
        <f>CONCATENATE(B29,RIGHT(C29,2))</f>
        <v>43034.461087963C1</v>
      </c>
      <c r="E29" s="1">
        <v>1038.5999999999999</v>
      </c>
      <c r="F29" s="1" t="s">
        <v>11</v>
      </c>
      <c r="G29" s="1" t="s">
        <v>19</v>
      </c>
      <c r="I29" s="2"/>
    </row>
    <row r="30" spans="1:9">
      <c r="A30" s="1" t="s">
        <v>16</v>
      </c>
      <c r="B30" s="3">
        <v>43034.461087962962</v>
      </c>
      <c r="C30" s="1" t="s">
        <v>19</v>
      </c>
      <c r="D30" s="4" t="str">
        <f>CONCATENATE(B30,RIGHT(C30,2))</f>
        <v>43034.461087963C1</v>
      </c>
      <c r="E30" s="1">
        <v>1021.6</v>
      </c>
      <c r="F30" s="1" t="s">
        <v>11</v>
      </c>
      <c r="G30" s="1" t="s">
        <v>19</v>
      </c>
      <c r="I30" s="2"/>
    </row>
    <row r="31" spans="1:9">
      <c r="A31" s="1" t="s">
        <v>16</v>
      </c>
      <c r="B31" s="3">
        <v>43034.461087962962</v>
      </c>
      <c r="C31" s="1" t="s">
        <v>19</v>
      </c>
      <c r="D31" s="4" t="str">
        <f>CONCATENATE(B31,RIGHT(C31,2))</f>
        <v>43034.461087963C1</v>
      </c>
      <c r="E31" s="1">
        <v>1013.7</v>
      </c>
      <c r="F31" s="1" t="s">
        <v>11</v>
      </c>
      <c r="G31" s="1" t="s">
        <v>19</v>
      </c>
      <c r="I31" s="2"/>
    </row>
    <row r="32" spans="1:9">
      <c r="E32" s="2"/>
      <c r="I32" s="2"/>
    </row>
    <row r="33" spans="5:9">
      <c r="E33" s="2"/>
      <c r="I33" s="2"/>
    </row>
    <row r="34" spans="5:9">
      <c r="E34" s="2"/>
      <c r="I34" s="2"/>
    </row>
    <row r="35" spans="5:9">
      <c r="E35" s="2"/>
      <c r="I35" s="2"/>
    </row>
    <row r="36" spans="5:9">
      <c r="E36" s="2"/>
      <c r="I36" s="2"/>
    </row>
    <row r="37" spans="5:9">
      <c r="E37" s="2"/>
      <c r="I37" s="2"/>
    </row>
    <row r="38" spans="5:9">
      <c r="E38" s="2"/>
      <c r="I38" s="2"/>
    </row>
    <row r="39" spans="5:9">
      <c r="E39" s="2"/>
      <c r="I39" s="2"/>
    </row>
    <row r="40" spans="5:9">
      <c r="E40" s="2"/>
      <c r="I40" s="2"/>
    </row>
    <row r="41" spans="5:9">
      <c r="E41" s="2"/>
      <c r="I41" s="2"/>
    </row>
    <row r="42" spans="5:9">
      <c r="E42" s="2"/>
      <c r="I42" s="2"/>
    </row>
    <row r="43" spans="5:9">
      <c r="E43" s="2"/>
      <c r="I43" s="2"/>
    </row>
    <row r="44" spans="5:9">
      <c r="E44" s="2"/>
      <c r="I44" s="2"/>
    </row>
    <row r="45" spans="5:9">
      <c r="E45" s="2"/>
      <c r="I45" s="2"/>
    </row>
    <row r="46" spans="5:9">
      <c r="E46" s="2"/>
      <c r="I46" s="2"/>
    </row>
    <row r="47" spans="5:9">
      <c r="E47" s="2"/>
      <c r="I47" s="2"/>
    </row>
    <row r="48" spans="5:9">
      <c r="E48" s="2"/>
      <c r="I48" s="2"/>
    </row>
    <row r="49" spans="5:9">
      <c r="E49" s="2"/>
      <c r="I49" s="2"/>
    </row>
    <row r="50" spans="5:9">
      <c r="E50" s="2"/>
      <c r="I50" s="2"/>
    </row>
    <row r="51" spans="5:9">
      <c r="E51" s="2"/>
      <c r="I51" s="2"/>
    </row>
    <row r="52" spans="5:9">
      <c r="E52" s="2"/>
      <c r="I52" s="2"/>
    </row>
    <row r="53" spans="5:9">
      <c r="E53" s="2"/>
      <c r="I53" s="2"/>
    </row>
    <row r="54" spans="5:9">
      <c r="E54" s="2"/>
      <c r="I54" s="2"/>
    </row>
    <row r="55" spans="5:9">
      <c r="E55" s="2"/>
      <c r="I55" s="2"/>
    </row>
    <row r="56" spans="5:9">
      <c r="E56" s="2"/>
      <c r="I56" s="2"/>
    </row>
    <row r="57" spans="5:9">
      <c r="E57" s="2"/>
      <c r="I57" s="2"/>
    </row>
    <row r="58" spans="5:9">
      <c r="E58" s="2"/>
      <c r="I58" s="2"/>
    </row>
    <row r="59" spans="5:9">
      <c r="E59" s="2"/>
      <c r="I59" s="2"/>
    </row>
    <row r="60" spans="5:9">
      <c r="E60" s="2"/>
      <c r="I60" s="2"/>
    </row>
    <row r="61" spans="5:9">
      <c r="E61" s="2"/>
      <c r="I61" s="2"/>
    </row>
    <row r="62" spans="5:9">
      <c r="E62" s="2"/>
      <c r="I62" s="2"/>
    </row>
    <row r="63" spans="5:9">
      <c r="E63" s="2"/>
      <c r="I63" s="2"/>
    </row>
    <row r="64" spans="5:9">
      <c r="E64" s="2"/>
      <c r="I64" s="2"/>
    </row>
    <row r="65" spans="5:9">
      <c r="E65" s="2"/>
      <c r="I65" s="2"/>
    </row>
    <row r="66" spans="5:9">
      <c r="E66" s="2"/>
      <c r="I66" s="2"/>
    </row>
    <row r="67" spans="5:9">
      <c r="E67" s="2"/>
      <c r="I67" s="2"/>
    </row>
    <row r="68" spans="5:9">
      <c r="E68" s="2"/>
      <c r="I68" s="2"/>
    </row>
    <row r="69" spans="5:9">
      <c r="E69" s="2"/>
      <c r="I69" s="2"/>
    </row>
    <row r="70" spans="5:9">
      <c r="E70" s="2"/>
      <c r="I70" s="2"/>
    </row>
    <row r="71" spans="5:9">
      <c r="E71" s="2"/>
      <c r="I71" s="2"/>
    </row>
    <row r="72" spans="5:9">
      <c r="E72" s="2"/>
      <c r="I72" s="2"/>
    </row>
    <row r="73" spans="5:9">
      <c r="E73" s="2"/>
      <c r="I73" s="2"/>
    </row>
    <row r="74" spans="5:9">
      <c r="E74" s="2"/>
      <c r="I74" s="2"/>
    </row>
    <row r="75" spans="5:9">
      <c r="E75" s="2"/>
      <c r="I75" s="2"/>
    </row>
    <row r="76" spans="5:9">
      <c r="E76" s="2"/>
      <c r="I76" s="2"/>
    </row>
    <row r="77" spans="5:9">
      <c r="E77" s="2"/>
      <c r="I77" s="2"/>
    </row>
    <row r="78" spans="5:9">
      <c r="E78" s="2"/>
      <c r="I78" s="2"/>
    </row>
    <row r="79" spans="5:9">
      <c r="E79" s="2"/>
      <c r="I79" s="2"/>
    </row>
    <row r="80" spans="5:9">
      <c r="E80" s="2"/>
      <c r="I80" s="2"/>
    </row>
    <row r="81" spans="5:9">
      <c r="E81" s="2"/>
      <c r="I81" s="2"/>
    </row>
    <row r="82" spans="5:9">
      <c r="E82" s="2"/>
      <c r="I82" s="2"/>
    </row>
    <row r="83" spans="5:9">
      <c r="E83" s="2"/>
      <c r="I83" s="2"/>
    </row>
    <row r="84" spans="5:9">
      <c r="E84" s="2"/>
      <c r="I84" s="2"/>
    </row>
    <row r="85" spans="5:9">
      <c r="E85" s="2"/>
      <c r="I85" s="2"/>
    </row>
    <row r="86" spans="5:9">
      <c r="E86" s="2"/>
      <c r="I86" s="2"/>
    </row>
    <row r="87" spans="5:9">
      <c r="E87" s="2"/>
      <c r="I87" s="2"/>
    </row>
    <row r="88" spans="5:9">
      <c r="E88" s="2"/>
      <c r="I88" s="2"/>
    </row>
    <row r="89" spans="5:9">
      <c r="E89" s="2"/>
      <c r="I89" s="2"/>
    </row>
    <row r="90" spans="5:9">
      <c r="E90" s="2"/>
      <c r="I90" s="2"/>
    </row>
    <row r="91" spans="5:9">
      <c r="E91" s="2"/>
      <c r="I91" s="2"/>
    </row>
    <row r="92" spans="5:9">
      <c r="E92" s="2"/>
      <c r="I92" s="2"/>
    </row>
    <row r="93" spans="5:9">
      <c r="E93" s="2"/>
      <c r="I93" s="2"/>
    </row>
    <row r="94" spans="5:9">
      <c r="E94" s="2"/>
      <c r="I94" s="2"/>
    </row>
    <row r="95" spans="5:9">
      <c r="E95" s="2"/>
      <c r="I95" s="2"/>
    </row>
    <row r="96" spans="5:9">
      <c r="E96" s="2"/>
      <c r="I96" s="2"/>
    </row>
    <row r="97" spans="5:9">
      <c r="E97" s="2"/>
      <c r="I97" s="2"/>
    </row>
    <row r="98" spans="5:9">
      <c r="E98" s="2"/>
      <c r="I98" s="2"/>
    </row>
    <row r="99" spans="5:9">
      <c r="E99" s="2"/>
      <c r="I99" s="2"/>
    </row>
    <row r="100" spans="5:9">
      <c r="E100" s="2"/>
      <c r="I100" s="2"/>
    </row>
    <row r="101" spans="5:9">
      <c r="E101" s="2"/>
      <c r="I101" s="2"/>
    </row>
    <row r="102" spans="5:9">
      <c r="E102" s="2"/>
      <c r="I102" s="2"/>
    </row>
    <row r="103" spans="5:9">
      <c r="E103" s="2"/>
      <c r="I103" s="2"/>
    </row>
    <row r="104" spans="5:9">
      <c r="E104" s="2"/>
      <c r="I104" s="2"/>
    </row>
    <row r="105" spans="5:9">
      <c r="E105" s="2"/>
      <c r="I105" s="2"/>
    </row>
    <row r="106" spans="5:9">
      <c r="E106" s="2"/>
      <c r="I106" s="2"/>
    </row>
    <row r="107" spans="5:9">
      <c r="E107" s="2"/>
      <c r="I107" s="2"/>
    </row>
    <row r="108" spans="5:9">
      <c r="E108" s="2"/>
      <c r="I108" s="2"/>
    </row>
    <row r="109" spans="5:9">
      <c r="E109" s="2"/>
      <c r="I109" s="2"/>
    </row>
    <row r="110" spans="5:9">
      <c r="E110" s="2"/>
      <c r="I110" s="2"/>
    </row>
    <row r="111" spans="5:9">
      <c r="E111" s="2"/>
      <c r="I111" s="2"/>
    </row>
    <row r="112" spans="5:9">
      <c r="E112" s="2"/>
      <c r="I112" s="2"/>
    </row>
    <row r="113" spans="5:9">
      <c r="E113" s="2"/>
      <c r="I113" s="2"/>
    </row>
    <row r="114" spans="5:9">
      <c r="E114" s="2"/>
      <c r="I114" s="2"/>
    </row>
    <row r="115" spans="5:9">
      <c r="E115" s="2"/>
      <c r="I115" s="2"/>
    </row>
    <row r="116" spans="5:9">
      <c r="E116" s="2"/>
      <c r="I116" s="2"/>
    </row>
    <row r="117" spans="5:9">
      <c r="E117" s="2"/>
      <c r="I117" s="2"/>
    </row>
    <row r="118" spans="5:9">
      <c r="E118" s="2"/>
      <c r="I118" s="2"/>
    </row>
    <row r="119" spans="5:9">
      <c r="E119" s="2"/>
      <c r="I119" s="2"/>
    </row>
    <row r="120" spans="5:9">
      <c r="E120" s="2"/>
      <c r="I120" s="2"/>
    </row>
    <row r="121" spans="5:9">
      <c r="E121" s="2"/>
      <c r="I121" s="2"/>
    </row>
    <row r="122" spans="5:9">
      <c r="E122" s="2"/>
      <c r="I122" s="2"/>
    </row>
    <row r="123" spans="5:9">
      <c r="E123" s="2"/>
      <c r="I123" s="2"/>
    </row>
    <row r="124" spans="5:9">
      <c r="E124" s="2"/>
      <c r="I124" s="2"/>
    </row>
    <row r="125" spans="5:9">
      <c r="E125" s="2"/>
      <c r="I125" s="2"/>
    </row>
    <row r="126" spans="5:9">
      <c r="E126" s="2"/>
      <c r="I126" s="2"/>
    </row>
    <row r="127" spans="5:9">
      <c r="E127" s="2"/>
      <c r="I127" s="2"/>
    </row>
    <row r="128" spans="5:9">
      <c r="E128" s="2"/>
      <c r="I128" s="2"/>
    </row>
    <row r="129" spans="5:9">
      <c r="E129" s="2"/>
      <c r="I129" s="2"/>
    </row>
    <row r="130" spans="5:9">
      <c r="E130" s="2"/>
      <c r="I130" s="2"/>
    </row>
    <row r="131" spans="5:9">
      <c r="E131" s="2"/>
      <c r="I131" s="2"/>
    </row>
    <row r="132" spans="5:9">
      <c r="E132" s="2"/>
      <c r="I132" s="2"/>
    </row>
    <row r="133" spans="5:9">
      <c r="E133" s="2"/>
      <c r="I133" s="2"/>
    </row>
    <row r="134" spans="5:9">
      <c r="E134" s="2"/>
      <c r="I134" s="2"/>
    </row>
    <row r="135" spans="5:9">
      <c r="E135" s="2"/>
      <c r="I135" s="2"/>
    </row>
    <row r="136" spans="5:9">
      <c r="E136" s="2"/>
      <c r="I136" s="2"/>
    </row>
    <row r="137" spans="5:9">
      <c r="E137" s="2"/>
      <c r="I137" s="2"/>
    </row>
    <row r="138" spans="5:9">
      <c r="E138" s="2"/>
      <c r="I138" s="2"/>
    </row>
    <row r="139" spans="5:9">
      <c r="E139" s="2"/>
      <c r="I139" s="2"/>
    </row>
    <row r="140" spans="5:9">
      <c r="E140" s="2"/>
      <c r="I140" s="2"/>
    </row>
    <row r="141" spans="5:9">
      <c r="E141" s="2"/>
      <c r="I141" s="2"/>
    </row>
    <row r="142" spans="5:9">
      <c r="E142" s="2"/>
      <c r="I142" s="2"/>
    </row>
    <row r="143" spans="5:9">
      <c r="E143" s="2"/>
      <c r="I143" s="2"/>
    </row>
    <row r="144" spans="5:9">
      <c r="E144" s="2"/>
      <c r="I144" s="2"/>
    </row>
    <row r="145" spans="5:9">
      <c r="E145" s="2"/>
      <c r="I145" s="2"/>
    </row>
    <row r="146" spans="5:9">
      <c r="E146" s="2"/>
      <c r="I146" s="2"/>
    </row>
    <row r="147" spans="5:9">
      <c r="E147" s="2"/>
      <c r="I147" s="2"/>
    </row>
    <row r="148" spans="5:9">
      <c r="E148" s="2"/>
      <c r="I148" s="2"/>
    </row>
    <row r="149" spans="5:9">
      <c r="E149" s="2"/>
      <c r="I149" s="2"/>
    </row>
    <row r="150" spans="5:9">
      <c r="E150" s="2"/>
      <c r="I150" s="2"/>
    </row>
    <row r="151" spans="5:9">
      <c r="E151" s="2"/>
      <c r="I151" s="2"/>
    </row>
    <row r="152" spans="5:9">
      <c r="E152" s="2"/>
      <c r="I152" s="2"/>
    </row>
    <row r="153" spans="5:9">
      <c r="E153" s="2"/>
      <c r="I153" s="2"/>
    </row>
    <row r="154" spans="5:9">
      <c r="E154" s="2"/>
      <c r="I154" s="2"/>
    </row>
    <row r="155" spans="5:9">
      <c r="E155" s="2"/>
      <c r="I155" s="2"/>
    </row>
    <row r="156" spans="5:9">
      <c r="E156" s="2"/>
      <c r="I156" s="2"/>
    </row>
    <row r="157" spans="5:9">
      <c r="E157" s="2"/>
      <c r="I157" s="2"/>
    </row>
    <row r="158" spans="5:9">
      <c r="E158" s="2"/>
      <c r="I158" s="2"/>
    </row>
    <row r="159" spans="5:9">
      <c r="E159" s="2"/>
      <c r="I159" s="2"/>
    </row>
    <row r="160" spans="5:9">
      <c r="E160" s="2"/>
      <c r="I160" s="2"/>
    </row>
    <row r="161" spans="5:9">
      <c r="E161" s="2"/>
      <c r="I161" s="2"/>
    </row>
    <row r="162" spans="5:9">
      <c r="E162" s="2"/>
      <c r="I162" s="2"/>
    </row>
    <row r="163" spans="5:9">
      <c r="E163" s="2"/>
      <c r="I163" s="2"/>
    </row>
    <row r="164" spans="5:9">
      <c r="E164" s="2"/>
      <c r="I164" s="2"/>
    </row>
    <row r="165" spans="5:9">
      <c r="E165" s="2"/>
      <c r="I165" s="2"/>
    </row>
    <row r="166" spans="5:9">
      <c r="E166" s="2"/>
      <c r="I166" s="2"/>
    </row>
    <row r="167" spans="5:9">
      <c r="E167" s="2"/>
      <c r="I167" s="2"/>
    </row>
    <row r="168" spans="5:9">
      <c r="E168" s="2"/>
      <c r="I168" s="2"/>
    </row>
    <row r="169" spans="5:9">
      <c r="E169" s="2"/>
      <c r="I169" s="2"/>
    </row>
    <row r="170" spans="5:9">
      <c r="E170" s="2"/>
      <c r="I170" s="2"/>
    </row>
    <row r="171" spans="5:9">
      <c r="E171" s="2"/>
      <c r="I171" s="2"/>
    </row>
    <row r="172" spans="5:9">
      <c r="E172" s="2"/>
      <c r="I172" s="2"/>
    </row>
    <row r="173" spans="5:9">
      <c r="E173" s="2"/>
      <c r="I173" s="2"/>
    </row>
    <row r="174" spans="5:9">
      <c r="E174" s="2"/>
      <c r="I174" s="2"/>
    </row>
    <row r="175" spans="5:9">
      <c r="E175" s="2"/>
      <c r="I175" s="2"/>
    </row>
    <row r="176" spans="5:9">
      <c r="E176" s="2"/>
      <c r="I176" s="2"/>
    </row>
    <row r="177" spans="5:9">
      <c r="E177" s="2"/>
      <c r="I177" s="2"/>
    </row>
    <row r="178" spans="5:9">
      <c r="E178" s="2"/>
      <c r="I178" s="2"/>
    </row>
    <row r="179" spans="5:9">
      <c r="E179" s="2"/>
      <c r="I179" s="2"/>
    </row>
    <row r="180" spans="5:9">
      <c r="E180" s="2"/>
      <c r="I180" s="2"/>
    </row>
    <row r="181" spans="5:9">
      <c r="E181" s="2"/>
      <c r="I181" s="2"/>
    </row>
    <row r="182" spans="5:9">
      <c r="E182" s="2"/>
    </row>
    <row r="183" spans="5:9">
      <c r="E183" s="2"/>
    </row>
    <row r="184" spans="5:9">
      <c r="E184" s="2"/>
    </row>
    <row r="185" spans="5:9">
      <c r="E185" s="2"/>
    </row>
    <row r="186" spans="5:9">
      <c r="E186" s="2"/>
    </row>
    <row r="187" spans="5:9">
      <c r="E187" s="2"/>
    </row>
    <row r="188" spans="5:9">
      <c r="E188" s="2"/>
    </row>
    <row r="189" spans="5:9">
      <c r="E189" s="2"/>
    </row>
    <row r="190" spans="5:9">
      <c r="E190" s="2"/>
    </row>
    <row r="191" spans="5:9">
      <c r="E191" s="2"/>
    </row>
    <row r="192" spans="5:9">
      <c r="E192" s="2"/>
    </row>
    <row r="193" spans="5:5">
      <c r="E193" s="2"/>
    </row>
    <row r="194" spans="5:5">
      <c r="E194" s="2"/>
    </row>
    <row r="195" spans="5:5">
      <c r="E195" s="2"/>
    </row>
    <row r="196" spans="5:5">
      <c r="E196" s="2"/>
    </row>
    <row r="197" spans="5:5">
      <c r="E197" s="2"/>
    </row>
    <row r="198" spans="5:5">
      <c r="E198" s="2"/>
    </row>
    <row r="199" spans="5:5">
      <c r="E199" s="2"/>
    </row>
    <row r="200" spans="5:5">
      <c r="E200" s="2"/>
    </row>
    <row r="201" spans="5:5">
      <c r="E201" s="2"/>
    </row>
    <row r="202" spans="5:5">
      <c r="E202" s="2"/>
    </row>
  </sheetData>
  <phoneticPr fontId="1" type="noConversion"/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9"/>
  <sheetViews>
    <sheetView zoomScaleNormal="100" workbookViewId="0"/>
  </sheetViews>
  <sheetFormatPr defaultColWidth="27.5" defaultRowHeight="16.5"/>
  <cols>
    <col min="1" max="1" width="16" style="1" customWidth="1"/>
    <col min="2" max="2" width="16.125" style="1" customWidth="1"/>
    <col min="3" max="3" width="16" style="1" customWidth="1"/>
    <col min="4" max="4" width="11.375" customWidth="1"/>
    <col min="5" max="5" width="17.25" style="1" customWidth="1"/>
    <col min="6" max="6" width="20.75" style="2" customWidth="1"/>
    <col min="7" max="7" width="15.625" style="2" hidden="1" customWidth="1"/>
    <col min="8" max="16384" width="27.5" style="2"/>
  </cols>
  <sheetData>
    <row r="1" spans="1:10">
      <c r="A1" s="1" t="s">
        <v>9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43</v>
      </c>
      <c r="I1" s="7" t="s">
        <v>45</v>
      </c>
      <c r="J1" s="8"/>
    </row>
    <row r="2" spans="1:10">
      <c r="A2" s="1" t="s">
        <v>40</v>
      </c>
      <c r="B2" s="3">
        <v>44907.520462962966</v>
      </c>
      <c r="C2" s="1" t="s">
        <v>37</v>
      </c>
      <c r="D2" s="1">
        <v>0</v>
      </c>
      <c r="E2" s="1" t="s">
        <v>11</v>
      </c>
      <c r="F2" s="4" t="str">
        <f>IF(D2&lt;&gt;C2,IF(AND(D2&gt;=20,D2&lt;30),"warning",IF(AND(D2&gt;=30,D2&lt;=40),"快要 O.O.C 啦",IF(D2&gt;40,"超出規格 O.O.C 啦",""))))</f>
        <v/>
      </c>
      <c r="G2" s="6">
        <f ca="1">TODAY()-7</f>
        <v>44900</v>
      </c>
      <c r="I2" s="8"/>
      <c r="J2" s="8"/>
    </row>
    <row r="3" spans="1:10">
      <c r="A3" s="1" t="s">
        <v>36</v>
      </c>
      <c r="B3" s="3">
        <v>44907.519166666665</v>
      </c>
      <c r="C3" s="1" t="s">
        <v>37</v>
      </c>
      <c r="D3" s="1">
        <v>0</v>
      </c>
      <c r="E3" s="1" t="s">
        <v>11</v>
      </c>
      <c r="F3" s="4" t="str">
        <f>IF(D3&lt;&gt;C3,IF(AND(D3&gt;=20,D3&lt;30),"warning",IF(AND(D3&gt;=30,D3&lt;=40),"快要 O.O.C 啦",IF(D3&gt;40,"超出規格 O.O.C 啦",""))))</f>
        <v/>
      </c>
      <c r="I3" s="8"/>
      <c r="J3" s="8"/>
    </row>
    <row r="4" spans="1:10">
      <c r="A4" s="1" t="s">
        <v>41</v>
      </c>
      <c r="B4" s="3">
        <v>44907.134780092594</v>
      </c>
      <c r="C4" s="1" t="s">
        <v>39</v>
      </c>
      <c r="D4" s="1">
        <v>0</v>
      </c>
      <c r="E4" s="1" t="s">
        <v>11</v>
      </c>
      <c r="F4" s="4" t="str">
        <f>IF(D4&lt;&gt;C4,IF(AND(D4&gt;=20,D4&lt;30),"warning",IF(AND(D4&gt;=30,D4&lt;=40),"快要 O.O.C 啦",IF(D4&gt;40,"超出規格 O.O.C 啦",""))))</f>
        <v/>
      </c>
      <c r="I4" s="8"/>
      <c r="J4" s="8"/>
    </row>
    <row r="5" spans="1:10">
      <c r="A5" s="1" t="s">
        <v>41</v>
      </c>
      <c r="B5" s="3">
        <v>44906.363506944443</v>
      </c>
      <c r="C5" s="1" t="s">
        <v>37</v>
      </c>
      <c r="D5" s="1">
        <v>0</v>
      </c>
      <c r="E5" s="1" t="s">
        <v>11</v>
      </c>
      <c r="F5" s="4" t="str">
        <f>IF(D5&lt;&gt;C5,IF(AND(D5&gt;=20,D5&lt;30),"warning",IF(AND(D5&gt;=30,D5&lt;=40),"快要 O.O.C 啦",IF(D5&gt;40,"超出規格 O.O.C 啦",""))))</f>
        <v/>
      </c>
      <c r="I5" s="8"/>
      <c r="J5" s="8"/>
    </row>
    <row r="6" spans="1:10">
      <c r="A6" s="1" t="s">
        <v>40</v>
      </c>
      <c r="B6" s="3">
        <v>44906.280648148146</v>
      </c>
      <c r="C6" s="1" t="s">
        <v>37</v>
      </c>
      <c r="D6" s="1">
        <v>0</v>
      </c>
      <c r="E6" s="1" t="s">
        <v>11</v>
      </c>
      <c r="F6" s="4" t="str">
        <f>IF(D6&lt;&gt;C6,IF(AND(D6&gt;=20,D6&lt;30),"warning",IF(AND(D6&gt;=30,D6&lt;=40),"快要 O.O.C 啦",IF(D6&gt;40,"超出規格 O.O.C 啦",""))))</f>
        <v/>
      </c>
      <c r="I6" s="8"/>
      <c r="J6" s="8"/>
    </row>
    <row r="7" spans="1:10">
      <c r="A7" s="1" t="s">
        <v>36</v>
      </c>
      <c r="B7" s="3">
        <v>44906.270312499997</v>
      </c>
      <c r="C7" s="1" t="s">
        <v>37</v>
      </c>
      <c r="D7" s="1">
        <v>0</v>
      </c>
      <c r="E7" s="1" t="s">
        <v>11</v>
      </c>
      <c r="F7" s="4" t="str">
        <f>IF(D7&lt;&gt;C7,IF(AND(D7&gt;=20,D7&lt;30),"warning",IF(AND(D7&gt;=30,D7&lt;=40),"快要 O.O.C 啦",IF(D7&gt;40,"超出規格 O.O.C 啦",""))))</f>
        <v/>
      </c>
      <c r="I7" s="8"/>
      <c r="J7" s="8"/>
    </row>
    <row r="8" spans="1:10">
      <c r="A8" s="1" t="s">
        <v>41</v>
      </c>
      <c r="B8" s="3">
        <v>44905.778287037036</v>
      </c>
      <c r="C8" s="1" t="s">
        <v>39</v>
      </c>
      <c r="D8" s="1">
        <v>0</v>
      </c>
      <c r="E8" s="1" t="s">
        <v>11</v>
      </c>
      <c r="F8" s="4" t="str">
        <f>IF(D8&lt;&gt;C8,IF(AND(D8&gt;=20,D8&lt;30),"warning",IF(AND(D8&gt;=30,D8&lt;=40),"快要 O.O.C 啦",IF(D8&gt;40,"超出規格 O.O.C 啦",""))))</f>
        <v/>
      </c>
      <c r="I8" s="8"/>
      <c r="J8" s="8"/>
    </row>
    <row r="9" spans="1:10">
      <c r="A9" s="1" t="s">
        <v>40</v>
      </c>
      <c r="B9" s="3">
        <v>44905.711111111108</v>
      </c>
      <c r="C9" s="1" t="s">
        <v>39</v>
      </c>
      <c r="D9" s="1">
        <v>0</v>
      </c>
      <c r="E9" s="1" t="s">
        <v>11</v>
      </c>
      <c r="F9" s="4" t="str">
        <f>IF(D9&lt;&gt;C9,IF(AND(D9&gt;=20,D9&lt;30),"warning",IF(AND(D9&gt;=30,D9&lt;=40),"快要 O.O.C 啦",IF(D9&gt;40,"超出規格 O.O.C 啦",""))))</f>
        <v/>
      </c>
      <c r="I9" s="8"/>
      <c r="J9" s="8"/>
    </row>
    <row r="10" spans="1:10">
      <c r="A10" s="1" t="s">
        <v>36</v>
      </c>
      <c r="B10" s="3">
        <v>44905.577314814815</v>
      </c>
      <c r="C10" s="1" t="s">
        <v>39</v>
      </c>
      <c r="D10" s="1">
        <v>0</v>
      </c>
      <c r="E10" s="1" t="s">
        <v>11</v>
      </c>
      <c r="F10" s="4" t="str">
        <f>IF(D10&lt;&gt;C10,IF(AND(D10&gt;=20,D10&lt;30),"warning",IF(AND(D10&gt;=30,D10&lt;=40),"快要 O.O.C 啦",IF(D10&gt;40,"超出規格 O.O.C 啦",""))))</f>
        <v/>
      </c>
      <c r="I10" s="8"/>
      <c r="J10" s="8"/>
    </row>
    <row r="11" spans="1:10">
      <c r="A11" s="1" t="s">
        <v>40</v>
      </c>
      <c r="B11" s="3">
        <v>44905.484733796293</v>
      </c>
      <c r="C11" s="1" t="s">
        <v>37</v>
      </c>
      <c r="D11" s="1">
        <v>0</v>
      </c>
      <c r="E11" s="1" t="s">
        <v>11</v>
      </c>
      <c r="F11" s="4" t="str">
        <f>IF(D11&lt;&gt;C11,IF(AND(D11&gt;=20,D11&lt;30),"warning",IF(AND(D11&gt;=30,D11&lt;=40),"快要 O.O.C 啦",IF(D11&gt;40,"超出規格 O.O.C 啦",""))))</f>
        <v/>
      </c>
      <c r="I11" s="8"/>
      <c r="J11" s="8"/>
    </row>
    <row r="12" spans="1:10">
      <c r="A12" s="1" t="s">
        <v>36</v>
      </c>
      <c r="B12" s="3">
        <v>44905.362291666665</v>
      </c>
      <c r="C12" s="1" t="s">
        <v>37</v>
      </c>
      <c r="D12" s="1">
        <v>0</v>
      </c>
      <c r="E12" s="1" t="s">
        <v>11</v>
      </c>
      <c r="F12" s="4" t="str">
        <f>IF(D12&lt;&gt;C12,IF(AND(D12&gt;=20,D12&lt;30),"warning",IF(AND(D12&gt;=30,D12&lt;=40),"快要 O.O.C 啦",IF(D12&gt;40,"超出規格 O.O.C 啦",""))))</f>
        <v/>
      </c>
    </row>
    <row r="13" spans="1:10">
      <c r="A13" s="1" t="s">
        <v>41</v>
      </c>
      <c r="B13" s="3">
        <v>44905.258993055555</v>
      </c>
      <c r="C13" s="1" t="s">
        <v>37</v>
      </c>
      <c r="D13" s="1">
        <v>0</v>
      </c>
      <c r="E13" s="1" t="s">
        <v>11</v>
      </c>
      <c r="F13" s="4" t="str">
        <f>IF(D13&lt;&gt;C13,IF(AND(D13&gt;=20,D13&lt;30),"warning",IF(AND(D13&gt;=30,D13&lt;=40),"快要 O.O.C 啦",IF(D13&gt;40,"超出規格 O.O.C 啦",""))))</f>
        <v/>
      </c>
    </row>
    <row r="14" spans="1:10">
      <c r="A14" s="1" t="s">
        <v>36</v>
      </c>
      <c r="B14" s="3">
        <v>44905.103495370371</v>
      </c>
      <c r="C14" s="1" t="s">
        <v>38</v>
      </c>
      <c r="D14" s="1">
        <v>0</v>
      </c>
      <c r="E14" s="1" t="s">
        <v>11</v>
      </c>
      <c r="F14" s="4" t="str">
        <f>IF(D14&lt;&gt;C14,IF(AND(D14&gt;=20,D14&lt;30),"warning",IF(AND(D14&gt;=30,D14&lt;=40),"快要 O.O.C 啦",IF(D14&gt;40,"超出規格 O.O.C 啦",""))))</f>
        <v/>
      </c>
    </row>
    <row r="15" spans="1:10">
      <c r="A15" s="1" t="s">
        <v>40</v>
      </c>
      <c r="B15" s="3">
        <v>44905.05369212963</v>
      </c>
      <c r="C15" s="1" t="s">
        <v>38</v>
      </c>
      <c r="D15" s="1">
        <v>1</v>
      </c>
      <c r="E15" s="1" t="s">
        <v>11</v>
      </c>
      <c r="F15" s="4" t="str">
        <f>IF(D15&lt;&gt;C15,IF(AND(D15&gt;=20,D15&lt;30),"warning",IF(AND(D15&gt;=30,D15&lt;=40),"快要 O.O.C 啦",IF(D15&gt;40,"超出規格 O.O.C 啦",""))))</f>
        <v/>
      </c>
    </row>
    <row r="16" spans="1:10">
      <c r="A16" s="1" t="s">
        <v>36</v>
      </c>
      <c r="B16" s="3">
        <v>44904.869780092595</v>
      </c>
      <c r="C16" s="1" t="s">
        <v>39</v>
      </c>
      <c r="D16" s="1">
        <v>0</v>
      </c>
      <c r="E16" s="1" t="s">
        <v>11</v>
      </c>
      <c r="F16" s="4" t="str">
        <f>IF(D16&lt;&gt;C16,IF(AND(D16&gt;=20,D16&lt;30),"warning",IF(AND(D16&gt;=30,D16&lt;=40),"快要 O.O.C 啦",IF(D16&gt;40,"超出規格 O.O.C 啦",""))))</f>
        <v/>
      </c>
    </row>
    <row r="17" spans="1:6">
      <c r="A17" s="1" t="s">
        <v>40</v>
      </c>
      <c r="B17" s="3">
        <v>44904.816874999997</v>
      </c>
      <c r="C17" s="1" t="s">
        <v>39</v>
      </c>
      <c r="D17" s="1">
        <v>0</v>
      </c>
      <c r="E17" s="1" t="s">
        <v>11</v>
      </c>
      <c r="F17" s="4" t="str">
        <f>IF(D17&lt;&gt;C17,IF(AND(D17&gt;=20,D17&lt;30),"warning",IF(AND(D17&gt;=30,D17&lt;=40),"快要 O.O.C 啦",IF(D17&gt;40,"超出規格 O.O.C 啦",""))))</f>
        <v/>
      </c>
    </row>
    <row r="18" spans="1:6">
      <c r="A18" s="1" t="s">
        <v>41</v>
      </c>
      <c r="B18" s="3">
        <v>44904.699328703704</v>
      </c>
      <c r="C18" s="1" t="s">
        <v>39</v>
      </c>
      <c r="D18" s="1">
        <v>0</v>
      </c>
      <c r="E18" s="1" t="s">
        <v>11</v>
      </c>
      <c r="F18" s="4" t="str">
        <f>IF(D18&lt;&gt;C18,IF(AND(D18&gt;=20,D18&lt;30),"warning",IF(AND(D18&gt;=30,D18&lt;=40),"快要 O.O.C 啦",IF(D18&gt;40,"超出規格 O.O.C 啦",""))))</f>
        <v/>
      </c>
    </row>
    <row r="19" spans="1:6">
      <c r="A19" s="1" t="s">
        <v>36</v>
      </c>
      <c r="B19" s="3">
        <v>44904.653912037036</v>
      </c>
      <c r="C19" s="1" t="s">
        <v>39</v>
      </c>
      <c r="D19" s="1">
        <v>0</v>
      </c>
      <c r="E19" s="1" t="s">
        <v>11</v>
      </c>
      <c r="F19" s="4" t="str">
        <f>IF(D19&lt;&gt;C19,IF(AND(D19&gt;=20,D19&lt;30),"warning",IF(AND(D19&gt;=30,D19&lt;=40),"快要 O.O.C 啦",IF(D19&gt;40,"超出規格 O.O.C 啦",""))))</f>
        <v/>
      </c>
    </row>
    <row r="20" spans="1:6">
      <c r="A20" s="1" t="s">
        <v>40</v>
      </c>
      <c r="B20" s="3">
        <v>44904.579675925925</v>
      </c>
      <c r="C20" s="1" t="s">
        <v>39</v>
      </c>
      <c r="D20" s="1">
        <v>0</v>
      </c>
      <c r="E20" s="1" t="s">
        <v>11</v>
      </c>
      <c r="F20" s="4" t="str">
        <f>IF(D20&lt;&gt;C20,IF(AND(D20&gt;=20,D20&lt;30),"warning",IF(AND(D20&gt;=30,D20&lt;=40),"快要 O.O.C 啦",IF(D20&gt;40,"超出規格 O.O.C 啦",""))))</f>
        <v/>
      </c>
    </row>
    <row r="21" spans="1:6">
      <c r="A21" s="1" t="s">
        <v>40</v>
      </c>
      <c r="B21" s="3">
        <v>44904.360335648147</v>
      </c>
      <c r="C21" s="1" t="s">
        <v>37</v>
      </c>
      <c r="D21" s="1">
        <v>0</v>
      </c>
      <c r="E21" s="1" t="s">
        <v>11</v>
      </c>
      <c r="F21" s="4" t="str">
        <f>IF(D21&lt;&gt;C21,IF(AND(D21&gt;=20,D21&lt;30),"warning",IF(AND(D21&gt;=30,D21&lt;=40),"快要 O.O.C 啦",IF(D21&gt;40,"超出規格 O.O.C 啦",""))))</f>
        <v/>
      </c>
    </row>
    <row r="22" spans="1:6">
      <c r="A22" s="1" t="s">
        <v>41</v>
      </c>
      <c r="B22" s="3">
        <v>44904.025300925925</v>
      </c>
      <c r="C22" s="1" t="s">
        <v>38</v>
      </c>
      <c r="D22" s="1">
        <v>2</v>
      </c>
      <c r="E22" s="1" t="s">
        <v>11</v>
      </c>
      <c r="F22" s="4" t="str">
        <f>IF(D22&lt;&gt;C22,IF(AND(D22&gt;=20,D22&lt;30),"warning",IF(AND(D22&gt;=30,D22&lt;=40),"快要 O.O.C 啦",IF(D22&gt;40,"超出規格 O.O.C 啦",""))))</f>
        <v/>
      </c>
    </row>
    <row r="23" spans="1:6">
      <c r="A23" s="1" t="s">
        <v>40</v>
      </c>
      <c r="B23" s="3">
        <v>44903.894560185188</v>
      </c>
      <c r="C23" s="1" t="s">
        <v>38</v>
      </c>
      <c r="D23" s="1">
        <v>0</v>
      </c>
      <c r="E23" s="1" t="s">
        <v>11</v>
      </c>
      <c r="F23" s="4" t="str">
        <f>IF(D23&lt;&gt;C23,IF(AND(D23&gt;=20,D23&lt;30),"warning",IF(AND(D23&gt;=30,D23&lt;=40),"快要 O.O.C 啦",IF(D23&gt;40,"超出規格 O.O.C 啦",""))))</f>
        <v/>
      </c>
    </row>
    <row r="24" spans="1:6">
      <c r="A24" s="1" t="s">
        <v>40</v>
      </c>
      <c r="B24" s="3">
        <v>44903.663622685184</v>
      </c>
      <c r="C24" s="1" t="s">
        <v>39</v>
      </c>
      <c r="D24" s="1">
        <v>0</v>
      </c>
      <c r="E24" s="1" t="s">
        <v>11</v>
      </c>
      <c r="F24" s="4" t="str">
        <f>IF(D24&lt;&gt;C24,IF(AND(D24&gt;=20,D24&lt;30),"warning",IF(AND(D24&gt;=30,D24&lt;=40),"快要 O.O.C 啦",IF(D24&gt;40,"超出規格 O.O.C 啦",""))))</f>
        <v/>
      </c>
    </row>
    <row r="25" spans="1:6">
      <c r="A25" s="1" t="s">
        <v>41</v>
      </c>
      <c r="B25" s="3">
        <v>44903.561076388891</v>
      </c>
      <c r="C25" s="1" t="s">
        <v>39</v>
      </c>
      <c r="D25" s="1">
        <v>0</v>
      </c>
      <c r="E25" s="1" t="s">
        <v>11</v>
      </c>
      <c r="F25" s="4" t="str">
        <f>IF(D25&lt;&gt;C25,IF(AND(D25&gt;=20,D25&lt;30),"warning",IF(AND(D25&gt;=30,D25&lt;=40),"快要 O.O.C 啦",IF(D25&gt;40,"超出規格 O.O.C 啦",""))))</f>
        <v/>
      </c>
    </row>
    <row r="26" spans="1:6">
      <c r="A26" s="1" t="s">
        <v>40</v>
      </c>
      <c r="B26" s="3">
        <v>44903.429745370369</v>
      </c>
      <c r="C26" s="1" t="s">
        <v>37</v>
      </c>
      <c r="D26" s="1">
        <v>2</v>
      </c>
      <c r="E26" s="1" t="s">
        <v>11</v>
      </c>
      <c r="F26" s="4" t="str">
        <f>IF(D26&lt;&gt;C26,IF(AND(D26&gt;=20,D26&lt;30),"warning",IF(AND(D26&gt;=30,D26&lt;=40),"快要 O.O.C 啦",IF(D26&gt;40,"超出規格 O.O.C 啦",""))))</f>
        <v/>
      </c>
    </row>
    <row r="27" spans="1:6">
      <c r="A27" s="1" t="s">
        <v>41</v>
      </c>
      <c r="B27" s="3">
        <v>44903.331226851849</v>
      </c>
      <c r="C27" s="1" t="s">
        <v>37</v>
      </c>
      <c r="D27" s="1">
        <v>13</v>
      </c>
      <c r="E27" s="1" t="s">
        <v>11</v>
      </c>
      <c r="F27" s="4" t="str">
        <f>IF(D27&lt;&gt;C27,IF(AND(D27&gt;=20,D27&lt;30),"warning",IF(AND(D27&gt;=30,D27&lt;=40),"快要 O.O.C 啦",IF(D27&gt;40,"超出規格 O.O.C 啦",""))))</f>
        <v/>
      </c>
    </row>
    <row r="28" spans="1:6">
      <c r="A28" s="1" t="s">
        <v>41</v>
      </c>
      <c r="B28" s="3">
        <v>44903.09820601852</v>
      </c>
      <c r="C28" s="1" t="s">
        <v>38</v>
      </c>
      <c r="D28" s="1">
        <v>0</v>
      </c>
      <c r="E28" s="1" t="s">
        <v>11</v>
      </c>
      <c r="F28" s="4" t="str">
        <f>IF(D28&lt;&gt;C28,IF(AND(D28&gt;=20,D28&lt;30),"warning",IF(AND(D28&gt;=30,D28&lt;=40),"快要 O.O.C 啦",IF(D28&gt;40,"超出規格 O.O.C 啦",""))))</f>
        <v/>
      </c>
    </row>
    <row r="29" spans="1:6">
      <c r="A29" s="1" t="s">
        <v>40</v>
      </c>
      <c r="B29" s="3">
        <v>44902.907800925925</v>
      </c>
      <c r="C29" s="1" t="s">
        <v>38</v>
      </c>
      <c r="D29" s="1">
        <v>0</v>
      </c>
      <c r="E29" s="1" t="s">
        <v>11</v>
      </c>
      <c r="F29" s="4" t="str">
        <f>IF(D29&lt;&gt;C29,IF(AND(D29&gt;=20,D29&lt;30),"warning",IF(AND(D29&gt;=30,D29&lt;=40),"快要 O.O.C 啦",IF(D29&gt;40,"超出規格 O.O.C 啦",""))))</f>
        <v/>
      </c>
    </row>
    <row r="30" spans="1:6">
      <c r="A30" s="1" t="s">
        <v>40</v>
      </c>
      <c r="B30" s="3">
        <v>44902.662638888891</v>
      </c>
      <c r="C30" s="1" t="s">
        <v>39</v>
      </c>
      <c r="D30" s="1">
        <v>3</v>
      </c>
      <c r="E30" s="1" t="s">
        <v>11</v>
      </c>
      <c r="F30" s="4" t="str">
        <f>IF(D30&lt;&gt;C30,IF(AND(D30&gt;=20,D30&lt;30),"warning",IF(AND(D30&gt;=30,D30&lt;=40),"快要 O.O.C 啦",IF(D30&gt;40,"超出規格 O.O.C 啦",""))))</f>
        <v/>
      </c>
    </row>
    <row r="31" spans="1:6">
      <c r="A31" s="1" t="s">
        <v>41</v>
      </c>
      <c r="B31" s="3">
        <v>44902.647858796299</v>
      </c>
      <c r="C31" s="1" t="s">
        <v>39</v>
      </c>
      <c r="D31" s="1">
        <v>0</v>
      </c>
      <c r="E31" s="1" t="s">
        <v>11</v>
      </c>
      <c r="F31" s="4" t="str">
        <f>IF(D31&lt;&gt;C31,IF(AND(D31&gt;=20,D31&lt;30),"warning",IF(AND(D31&gt;=30,D31&lt;=40),"快要 O.O.C 啦",IF(D31&gt;40,"超出規格 O.O.C 啦",""))))</f>
        <v/>
      </c>
    </row>
    <row r="32" spans="1:6">
      <c r="A32" s="1" t="s">
        <v>40</v>
      </c>
      <c r="B32" s="3">
        <v>44902.440370370372</v>
      </c>
      <c r="C32" s="1" t="s">
        <v>37</v>
      </c>
      <c r="D32" s="1">
        <v>0</v>
      </c>
      <c r="E32" s="1" t="s">
        <v>11</v>
      </c>
      <c r="F32" s="4" t="str">
        <f>IF(D32&lt;&gt;C32,IF(AND(D32&gt;=20,D32&lt;30),"warning",IF(AND(D32&gt;=30,D32&lt;=40),"快要 O.O.C 啦",IF(D32&gt;40,"超出規格 O.O.C 啦",""))))</f>
        <v/>
      </c>
    </row>
    <row r="33" spans="1:6">
      <c r="A33" s="1" t="s">
        <v>41</v>
      </c>
      <c r="B33" s="3">
        <v>44902.421446759261</v>
      </c>
      <c r="C33" s="1" t="s">
        <v>37</v>
      </c>
      <c r="D33" s="1">
        <v>11</v>
      </c>
      <c r="E33" s="1" t="s">
        <v>11</v>
      </c>
      <c r="F33" s="4" t="str">
        <f>IF(D33&lt;&gt;C33,IF(AND(D33&gt;=20,D33&lt;30),"warning",IF(AND(D33&gt;=30,D33&lt;=40),"快要 O.O.C 啦",IF(D33&gt;40,"超出規格 O.O.C 啦",""))))</f>
        <v/>
      </c>
    </row>
    <row r="34" spans="1:6">
      <c r="A34" s="1" t="s">
        <v>40</v>
      </c>
      <c r="B34" s="3">
        <v>44901.966990740744</v>
      </c>
      <c r="C34" s="1" t="s">
        <v>38</v>
      </c>
      <c r="D34" s="1">
        <v>0</v>
      </c>
      <c r="E34" s="1" t="s">
        <v>11</v>
      </c>
      <c r="F34" s="4" t="str">
        <f>IF(D34&lt;&gt;C34,IF(AND(D34&gt;=20,D34&lt;30),"warning",IF(AND(D34&gt;=30,D34&lt;=40),"快要 O.O.C 啦",IF(D34&gt;40,"超出規格 O.O.C 啦",""))))</f>
        <v/>
      </c>
    </row>
    <row r="35" spans="1:6">
      <c r="A35" s="1" t="s">
        <v>41</v>
      </c>
      <c r="B35" s="3">
        <v>44901.919398148151</v>
      </c>
      <c r="C35" s="1" t="s">
        <v>38</v>
      </c>
      <c r="D35" s="1">
        <v>0</v>
      </c>
      <c r="E35" s="1" t="s">
        <v>11</v>
      </c>
      <c r="F35" s="4" t="str">
        <f>IF(D35&lt;&gt;C35,IF(AND(D35&gt;=20,D35&lt;30),"warning",IF(AND(D35&gt;=30,D35&lt;=40),"快要 O.O.C 啦",IF(D35&gt;40,"超出規格 O.O.C 啦",""))))</f>
        <v/>
      </c>
    </row>
    <row r="36" spans="1:6">
      <c r="A36" s="1" t="s">
        <v>40</v>
      </c>
      <c r="B36" s="3">
        <v>44901.7344212963</v>
      </c>
      <c r="C36" s="1" t="s">
        <v>39</v>
      </c>
      <c r="D36" s="1">
        <v>2</v>
      </c>
      <c r="E36" s="1" t="s">
        <v>11</v>
      </c>
      <c r="F36" s="4" t="str">
        <f>IF(D36&lt;&gt;C36,IF(AND(D36&gt;=20,D36&lt;30),"warning",IF(AND(D36&gt;=30,D36&lt;=40),"快要 O.O.C 啦",IF(D36&gt;40,"超出規格 O.O.C 啦",""))))</f>
        <v/>
      </c>
    </row>
    <row r="37" spans="1:6">
      <c r="A37" s="1" t="s">
        <v>41</v>
      </c>
      <c r="B37" s="3">
        <v>44901.694120370368</v>
      </c>
      <c r="C37" s="1" t="s">
        <v>39</v>
      </c>
      <c r="D37" s="1">
        <v>0</v>
      </c>
      <c r="E37" s="1" t="s">
        <v>11</v>
      </c>
      <c r="F37" s="4" t="str">
        <f>IF(D37&lt;&gt;C37,IF(AND(D37&gt;=20,D37&lt;30),"warning",IF(AND(D37&gt;=30,D37&lt;=40),"快要 O.O.C 啦",IF(D37&gt;40,"超出規格 O.O.C 啦",""))))</f>
        <v/>
      </c>
    </row>
    <row r="38" spans="1:6">
      <c r="A38" s="1" t="s">
        <v>40</v>
      </c>
      <c r="B38" s="3">
        <v>44901.494074074071</v>
      </c>
      <c r="C38" s="1" t="s">
        <v>37</v>
      </c>
      <c r="D38" s="1">
        <v>0</v>
      </c>
      <c r="E38" s="1" t="s">
        <v>11</v>
      </c>
      <c r="F38" s="4" t="str">
        <f>IF(D38&lt;&gt;C38,IF(AND(D38&gt;=20,D38&lt;30),"warning",IF(AND(D38&gt;=30,D38&lt;=40),"快要 O.O.C 啦",IF(D38&gt;40,"超出規格 O.O.C 啦",""))))</f>
        <v/>
      </c>
    </row>
    <row r="39" spans="1:6">
      <c r="A39" s="1" t="s">
        <v>41</v>
      </c>
      <c r="B39" s="3">
        <v>44901.472592592596</v>
      </c>
      <c r="C39" s="1" t="s">
        <v>39</v>
      </c>
      <c r="D39" s="1">
        <v>0</v>
      </c>
      <c r="E39" s="1" t="s">
        <v>11</v>
      </c>
      <c r="F39" s="4" t="str">
        <f>IF(D39&lt;&gt;C39,IF(AND(D39&gt;=20,D39&lt;30),"warning",IF(AND(D39&gt;=30,D39&lt;=40),"快要 O.O.C 啦",IF(D39&gt;40,"超出規格 O.O.C 啦",""))))</f>
        <v/>
      </c>
    </row>
    <row r="40" spans="1:6">
      <c r="A40" s="1" t="s">
        <v>40</v>
      </c>
      <c r="B40" s="3">
        <v>44901.270752314813</v>
      </c>
      <c r="C40" s="1" t="s">
        <v>37</v>
      </c>
      <c r="D40" s="1">
        <v>0</v>
      </c>
      <c r="E40" s="1" t="s">
        <v>11</v>
      </c>
      <c r="F40" s="4" t="str">
        <f>IF(D40&lt;&gt;C40,IF(AND(D40&gt;=20,D40&lt;30),"warning",IF(AND(D40&gt;=30,D40&lt;=40),"快要 O.O.C 啦",IF(D40&gt;40,"超出規格 O.O.C 啦",""))))</f>
        <v/>
      </c>
    </row>
    <row r="41" spans="1:6">
      <c r="A41" s="1" t="s">
        <v>41</v>
      </c>
      <c r="B41" s="3">
        <v>44901.249976851854</v>
      </c>
      <c r="C41" s="1" t="s">
        <v>37</v>
      </c>
      <c r="D41" s="1">
        <v>18</v>
      </c>
      <c r="E41" s="1" t="s">
        <v>11</v>
      </c>
      <c r="F41" s="4" t="str">
        <f>IF(D41&lt;&gt;C41,IF(AND(D41&gt;=20,D41&lt;30),"warning",IF(AND(D41&gt;=30,D41&lt;=40),"快要 O.O.C 啦",IF(D41&gt;40,"超出規格 O.O.C 啦",""))))</f>
        <v/>
      </c>
    </row>
    <row r="42" spans="1:6">
      <c r="A42" s="1" t="s">
        <v>40</v>
      </c>
      <c r="B42" s="3">
        <v>44901.052164351851</v>
      </c>
      <c r="C42" s="1" t="s">
        <v>38</v>
      </c>
      <c r="D42" s="1">
        <v>0</v>
      </c>
      <c r="E42" s="1" t="s">
        <v>11</v>
      </c>
      <c r="F42" s="4" t="str">
        <f>IF(D42&lt;&gt;C42,IF(AND(D42&gt;=20,D42&lt;30),"warning",IF(AND(D42&gt;=30,D42&lt;=40),"快要 O.O.C 啦",IF(D42&gt;40,"超出規格 O.O.C 啦",""))))</f>
        <v/>
      </c>
    </row>
    <row r="43" spans="1:6">
      <c r="A43" s="1" t="s">
        <v>41</v>
      </c>
      <c r="B43" s="3">
        <v>44900.999780092592</v>
      </c>
      <c r="C43" s="1" t="s">
        <v>38</v>
      </c>
      <c r="D43" s="1">
        <v>0</v>
      </c>
      <c r="E43" s="1" t="s">
        <v>11</v>
      </c>
      <c r="F43" s="4" t="str">
        <f>IF(D43&lt;&gt;C43,IF(AND(D43&gt;=20,D43&lt;30),"warning",IF(AND(D43&gt;=30,D43&lt;=40),"快要 O.O.C 啦",IF(D43&gt;40,"超出規格 O.O.C 啦",""))))</f>
        <v/>
      </c>
    </row>
    <row r="44" spans="1:6">
      <c r="A44" s="1" t="s">
        <v>40</v>
      </c>
      <c r="B44" s="3">
        <v>44900.817789351851</v>
      </c>
      <c r="C44" s="1" t="s">
        <v>39</v>
      </c>
      <c r="D44" s="1">
        <v>3</v>
      </c>
      <c r="E44" s="1" t="s">
        <v>11</v>
      </c>
      <c r="F44" s="4" t="str">
        <f>IF(D44&lt;&gt;C44,IF(AND(D44&gt;=20,D44&lt;30),"warning",IF(AND(D44&gt;=30,D44&lt;=40),"快要 O.O.C 啦",IF(D44&gt;40,"超出規格 O.O.C 啦",""))))</f>
        <v/>
      </c>
    </row>
    <row r="45" spans="1:6">
      <c r="A45" s="1" t="s">
        <v>41</v>
      </c>
      <c r="B45" s="3">
        <v>44900.750162037039</v>
      </c>
      <c r="C45" s="1" t="s">
        <v>39</v>
      </c>
      <c r="D45" s="1">
        <v>1</v>
      </c>
      <c r="E45" s="1" t="s">
        <v>11</v>
      </c>
      <c r="F45" s="4" t="str">
        <f>IF(D45&lt;&gt;C45,IF(AND(D45&gt;=20,D45&lt;30),"warning",IF(AND(D45&gt;=30,D45&lt;=40),"快要 O.O.C 啦",IF(D45&gt;40,"超出規格 O.O.C 啦",""))))</f>
        <v/>
      </c>
    </row>
    <row r="46" spans="1:6">
      <c r="A46" s="1" t="s">
        <v>40</v>
      </c>
      <c r="B46" s="3">
        <v>44900.589467592596</v>
      </c>
      <c r="C46" s="1" t="s">
        <v>39</v>
      </c>
      <c r="D46" s="1">
        <v>0</v>
      </c>
      <c r="E46" s="1" t="s">
        <v>11</v>
      </c>
      <c r="F46" s="4" t="str">
        <f>IF(D46&lt;&gt;C46,IF(AND(D46&gt;=20,D46&lt;30),"warning",IF(AND(D46&gt;=30,D46&lt;=40),"快要 O.O.C 啦",IF(D46&gt;40,"超出規格 O.O.C 啦",""))))</f>
        <v/>
      </c>
    </row>
    <row r="47" spans="1:6">
      <c r="A47" s="1" t="s">
        <v>41</v>
      </c>
      <c r="B47" s="3">
        <v>44900.506388888891</v>
      </c>
      <c r="C47" s="1" t="s">
        <v>39</v>
      </c>
      <c r="D47" s="1">
        <v>0</v>
      </c>
      <c r="E47" s="1" t="s">
        <v>11</v>
      </c>
      <c r="F47" s="4" t="str">
        <f>IF(D47&lt;&gt;C47,IF(AND(D47&gt;=20,D47&lt;30),"warning",IF(AND(D47&gt;=30,D47&lt;=40),"快要 O.O.C 啦",IF(D47&gt;40,"超出規格 O.O.C 啦",""))))</f>
        <v/>
      </c>
    </row>
    <row r="48" spans="1:6">
      <c r="A48" s="1" t="s">
        <v>41</v>
      </c>
      <c r="B48" s="3">
        <v>44900.264467592591</v>
      </c>
      <c r="C48" s="1" t="s">
        <v>37</v>
      </c>
      <c r="D48" s="1">
        <v>0</v>
      </c>
      <c r="E48" s="1" t="s">
        <v>11</v>
      </c>
      <c r="F48" s="4" t="str">
        <f>IF(D48&lt;&gt;C48,IF(AND(D48&gt;=20,D48&lt;30),"warning",IF(AND(D48&gt;=30,D48&lt;=40),"快要 O.O.C 啦",IF(D48&gt;40,"超出規格 O.O.C 啦",""))))</f>
        <v/>
      </c>
    </row>
    <row r="49" spans="1:4">
      <c r="D49" s="2"/>
    </row>
    <row r="50" spans="1:4">
      <c r="D50" s="2"/>
    </row>
    <row r="51" spans="1:4">
      <c r="D51" s="2"/>
    </row>
    <row r="52" spans="1:4">
      <c r="D52" s="2"/>
    </row>
    <row r="53" spans="1:4">
      <c r="D53" s="2"/>
    </row>
    <row r="54" spans="1:4">
      <c r="D54" s="2"/>
    </row>
    <row r="55" spans="1:4">
      <c r="D55" s="2"/>
    </row>
    <row r="56" spans="1:4">
      <c r="D56" s="2"/>
    </row>
    <row r="57" spans="1:4">
      <c r="D57" s="2"/>
    </row>
    <row r="58" spans="1:4">
      <c r="D58" s="2"/>
    </row>
    <row r="59" spans="1:4">
      <c r="A59" s="2"/>
      <c r="B59" s="2"/>
      <c r="C59" s="2"/>
      <c r="D59" s="2"/>
    </row>
    <row r="60" spans="1:4">
      <c r="A60" s="2"/>
      <c r="B60" s="2"/>
      <c r="C60" s="2"/>
      <c r="D60" s="2"/>
    </row>
    <row r="61" spans="1:4">
      <c r="A61" s="2"/>
      <c r="B61" s="2"/>
      <c r="C61" s="2"/>
      <c r="D61" s="2"/>
    </row>
    <row r="62" spans="1:4">
      <c r="A62" s="2"/>
      <c r="B62" s="2"/>
      <c r="C62" s="2"/>
      <c r="D62" s="2"/>
    </row>
    <row r="63" spans="1:4">
      <c r="A63" s="2"/>
      <c r="B63" s="2"/>
      <c r="C63" s="2"/>
      <c r="D63" s="2"/>
    </row>
    <row r="64" spans="1:4">
      <c r="A64" s="2"/>
      <c r="B64" s="2"/>
      <c r="C64" s="2"/>
      <c r="D64" s="2"/>
    </row>
    <row r="65" spans="1:4">
      <c r="A65" s="2"/>
      <c r="B65" s="2"/>
      <c r="C65" s="2"/>
      <c r="D65" s="2"/>
    </row>
    <row r="66" spans="1:4">
      <c r="A66" s="2"/>
      <c r="B66" s="2"/>
      <c r="C66" s="2"/>
      <c r="D66" s="2"/>
    </row>
    <row r="67" spans="1:4">
      <c r="A67" s="2"/>
      <c r="B67" s="2"/>
      <c r="C67" s="2"/>
      <c r="D67" s="2"/>
    </row>
    <row r="68" spans="1:4">
      <c r="A68" s="2"/>
      <c r="B68" s="2"/>
      <c r="C68" s="2"/>
      <c r="D68" s="2"/>
    </row>
    <row r="69" spans="1:4">
      <c r="A69" s="2"/>
      <c r="B69" s="2"/>
      <c r="C69" s="2"/>
      <c r="D69" s="2"/>
    </row>
    <row r="70" spans="1:4">
      <c r="A70" s="2"/>
      <c r="B70" s="2"/>
      <c r="C70" s="2"/>
      <c r="D70" s="2"/>
    </row>
    <row r="71" spans="1:4">
      <c r="A71" s="2"/>
      <c r="B71" s="2"/>
      <c r="C71" s="2"/>
      <c r="D71" s="2"/>
    </row>
    <row r="72" spans="1:4">
      <c r="A72" s="2"/>
      <c r="B72" s="2"/>
      <c r="C72" s="2"/>
      <c r="D72" s="2"/>
    </row>
    <row r="73" spans="1:4">
      <c r="A73" s="2"/>
      <c r="B73" s="2"/>
      <c r="C73" s="2"/>
      <c r="D73" s="2"/>
    </row>
    <row r="74" spans="1:4">
      <c r="A74" s="2"/>
      <c r="B74" s="2"/>
      <c r="C74" s="2"/>
      <c r="D74" s="2"/>
    </row>
    <row r="75" spans="1:4">
      <c r="A75" s="2"/>
      <c r="B75" s="2"/>
      <c r="C75" s="2"/>
      <c r="D75" s="2"/>
    </row>
    <row r="76" spans="1:4">
      <c r="A76" s="2"/>
      <c r="B76" s="2"/>
      <c r="C76" s="2"/>
      <c r="D76" s="2"/>
    </row>
    <row r="77" spans="1:4">
      <c r="A77" s="2"/>
      <c r="B77" s="2"/>
      <c r="C77" s="2"/>
      <c r="D77" s="2"/>
    </row>
    <row r="78" spans="1:4">
      <c r="A78" s="2"/>
      <c r="B78" s="2"/>
      <c r="C78" s="2"/>
      <c r="D78" s="2"/>
    </row>
    <row r="79" spans="1:4">
      <c r="A79" s="2"/>
      <c r="B79" s="2"/>
      <c r="C79" s="2"/>
      <c r="D79" s="2"/>
    </row>
    <row r="80" spans="1:4">
      <c r="A80" s="2"/>
      <c r="B80" s="2"/>
      <c r="C80" s="2"/>
      <c r="D80" s="2"/>
    </row>
    <row r="81" spans="1:4">
      <c r="A81" s="2"/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  <row r="161" spans="1:4">
      <c r="A161" s="2"/>
      <c r="B161" s="2"/>
      <c r="C161" s="2"/>
      <c r="D161" s="2"/>
    </row>
    <row r="162" spans="1:4">
      <c r="A162" s="2"/>
      <c r="B162" s="2"/>
      <c r="C162" s="2"/>
      <c r="D162" s="2"/>
    </row>
    <row r="163" spans="1:4">
      <c r="A163" s="2"/>
      <c r="B163" s="2"/>
      <c r="C163" s="2"/>
      <c r="D163" s="2"/>
    </row>
    <row r="164" spans="1:4">
      <c r="A164" s="2"/>
      <c r="B164" s="2"/>
      <c r="C164" s="2"/>
      <c r="D164" s="2"/>
    </row>
    <row r="165" spans="1:4">
      <c r="A165" s="2"/>
      <c r="B165" s="2"/>
      <c r="C165" s="2"/>
      <c r="D165" s="2"/>
    </row>
    <row r="166" spans="1:4">
      <c r="A166" s="2"/>
      <c r="B166" s="2"/>
      <c r="C166" s="2"/>
      <c r="D166" s="2"/>
    </row>
    <row r="167" spans="1:4">
      <c r="A167" s="2"/>
      <c r="B167" s="2"/>
      <c r="C167" s="2"/>
      <c r="D167" s="2"/>
    </row>
    <row r="168" spans="1:4">
      <c r="A168" s="2"/>
      <c r="B168" s="2"/>
      <c r="C168" s="2"/>
      <c r="D168" s="2"/>
    </row>
    <row r="169" spans="1:4">
      <c r="A169" s="2"/>
      <c r="B169" s="2"/>
      <c r="C169" s="2"/>
      <c r="D169" s="2"/>
    </row>
    <row r="170" spans="1:4">
      <c r="A170" s="2"/>
      <c r="B170" s="2"/>
      <c r="C170" s="2"/>
      <c r="D170" s="2"/>
    </row>
    <row r="171" spans="1:4">
      <c r="A171" s="2"/>
      <c r="B171" s="2"/>
      <c r="C171" s="2"/>
      <c r="D171" s="2"/>
    </row>
    <row r="172" spans="1:4">
      <c r="A172" s="2"/>
      <c r="B172" s="2"/>
      <c r="C172" s="2"/>
      <c r="D172" s="2"/>
    </row>
    <row r="173" spans="1:4">
      <c r="A173" s="2"/>
      <c r="B173" s="2"/>
      <c r="C173" s="2"/>
      <c r="D173" s="2"/>
    </row>
    <row r="174" spans="1:4">
      <c r="A174" s="2"/>
      <c r="B174" s="2"/>
      <c r="C174" s="2"/>
      <c r="D174" s="2"/>
    </row>
    <row r="175" spans="1:4">
      <c r="A175" s="2"/>
      <c r="B175" s="2"/>
      <c r="C175" s="2"/>
      <c r="D175" s="2"/>
    </row>
    <row r="176" spans="1:4">
      <c r="A176" s="2"/>
      <c r="B176" s="2"/>
      <c r="C176" s="2"/>
      <c r="D176" s="2"/>
    </row>
    <row r="177" spans="1:4">
      <c r="A177" s="2"/>
      <c r="B177" s="2"/>
      <c r="C177" s="2"/>
      <c r="D177" s="2"/>
    </row>
    <row r="178" spans="1:4">
      <c r="A178" s="2"/>
      <c r="B178" s="2"/>
      <c r="C178" s="2"/>
      <c r="D178" s="2"/>
    </row>
    <row r="179" spans="1:4">
      <c r="A179" s="2"/>
      <c r="B179" s="2"/>
      <c r="C179" s="2"/>
      <c r="D179" s="2"/>
    </row>
    <row r="180" spans="1:4">
      <c r="A180" s="2"/>
      <c r="B180" s="2"/>
      <c r="C180" s="2"/>
      <c r="D180" s="2"/>
    </row>
    <row r="181" spans="1:4">
      <c r="A181" s="2"/>
      <c r="B181" s="2"/>
      <c r="C181" s="2"/>
      <c r="D181" s="2"/>
    </row>
    <row r="182" spans="1:4">
      <c r="A182" s="2"/>
      <c r="B182" s="2"/>
      <c r="C182" s="2"/>
      <c r="D182" s="2"/>
    </row>
    <row r="183" spans="1:4">
      <c r="A183" s="2"/>
      <c r="B183" s="2"/>
      <c r="C183" s="2"/>
      <c r="D183" s="2"/>
    </row>
    <row r="184" spans="1:4">
      <c r="A184" s="2"/>
      <c r="B184" s="2"/>
      <c r="C184" s="2"/>
      <c r="D184" s="2"/>
    </row>
    <row r="185" spans="1:4">
      <c r="A185" s="2"/>
      <c r="B185" s="2"/>
      <c r="C185" s="2"/>
      <c r="D185" s="2"/>
    </row>
    <row r="186" spans="1:4">
      <c r="A186" s="2"/>
      <c r="B186" s="2"/>
      <c r="C186" s="2"/>
      <c r="D186" s="2"/>
    </row>
    <row r="187" spans="1:4">
      <c r="A187" s="2"/>
      <c r="B187" s="2"/>
      <c r="C187" s="2"/>
      <c r="D187" s="2"/>
    </row>
    <row r="188" spans="1:4">
      <c r="A188" s="2"/>
      <c r="B188" s="2"/>
      <c r="C188" s="2"/>
      <c r="D188" s="2"/>
    </row>
    <row r="189" spans="1:4">
      <c r="A189" s="2"/>
      <c r="B189" s="2"/>
      <c r="C189" s="2"/>
      <c r="D189" s="2"/>
    </row>
    <row r="190" spans="1:4">
      <c r="A190" s="2"/>
      <c r="B190" s="2"/>
      <c r="C190" s="2"/>
      <c r="D190" s="2"/>
    </row>
    <row r="191" spans="1:4">
      <c r="A191" s="2"/>
      <c r="B191" s="2"/>
      <c r="C191" s="2"/>
      <c r="D191" s="2"/>
    </row>
    <row r="192" spans="1:4">
      <c r="A192" s="2"/>
      <c r="B192" s="2"/>
      <c r="C192" s="2"/>
      <c r="D192" s="2"/>
    </row>
    <row r="193" spans="1:4">
      <c r="A193" s="2"/>
      <c r="B193" s="2"/>
      <c r="C193" s="2"/>
      <c r="D193" s="2"/>
    </row>
    <row r="194" spans="1:4">
      <c r="A194" s="2"/>
      <c r="B194" s="2"/>
      <c r="C194" s="2"/>
      <c r="D194" s="2"/>
    </row>
    <row r="195" spans="1:4">
      <c r="A195" s="2"/>
      <c r="B195" s="2"/>
      <c r="C195" s="2"/>
      <c r="D195" s="2"/>
    </row>
    <row r="196" spans="1:4">
      <c r="A196" s="2"/>
      <c r="B196" s="2"/>
      <c r="C196" s="2"/>
      <c r="D196" s="2"/>
    </row>
    <row r="197" spans="1:4">
      <c r="A197" s="2"/>
      <c r="B197" s="2"/>
      <c r="C197" s="2"/>
      <c r="D197" s="2"/>
    </row>
    <row r="198" spans="1:4">
      <c r="A198" s="2"/>
      <c r="B198" s="2"/>
      <c r="C198" s="2"/>
      <c r="D198" s="2"/>
    </row>
    <row r="199" spans="1:4">
      <c r="A199" s="2"/>
      <c r="B199" s="2"/>
      <c r="C199" s="2"/>
      <c r="D199" s="2"/>
    </row>
    <row r="200" spans="1:4">
      <c r="A200" s="2"/>
      <c r="B200" s="2"/>
      <c r="C200" s="2"/>
      <c r="D200" s="2"/>
    </row>
    <row r="201" spans="1:4">
      <c r="A201" s="2"/>
      <c r="B201" s="2"/>
      <c r="C201" s="2"/>
      <c r="D201" s="2"/>
    </row>
    <row r="202" spans="1:4">
      <c r="A202" s="2"/>
      <c r="B202" s="2"/>
      <c r="C202" s="2"/>
      <c r="D202" s="2"/>
    </row>
    <row r="203" spans="1:4">
      <c r="A203" s="2"/>
      <c r="B203" s="2"/>
      <c r="C203" s="2"/>
      <c r="D203" s="2"/>
    </row>
    <row r="204" spans="1:4">
      <c r="A204" s="2"/>
      <c r="B204" s="2"/>
      <c r="C204" s="2"/>
      <c r="D204" s="2"/>
    </row>
    <row r="205" spans="1:4">
      <c r="A205" s="2"/>
      <c r="B205" s="2"/>
      <c r="C205" s="2"/>
      <c r="D205" s="2"/>
    </row>
    <row r="206" spans="1:4">
      <c r="A206" s="2"/>
      <c r="B206" s="2"/>
      <c r="C206" s="2"/>
      <c r="D206" s="2"/>
    </row>
    <row r="207" spans="1:4">
      <c r="A207" s="2"/>
      <c r="B207" s="2"/>
      <c r="C207" s="2"/>
      <c r="D207" s="2"/>
    </row>
    <row r="208" spans="1:4">
      <c r="A208" s="2"/>
      <c r="B208" s="2"/>
      <c r="C208" s="2"/>
      <c r="D208" s="2"/>
    </row>
    <row r="209" spans="1:4">
      <c r="A209" s="2"/>
      <c r="B209" s="2"/>
      <c r="C209" s="2"/>
      <c r="D209" s="2"/>
    </row>
    <row r="210" spans="1:4">
      <c r="A210" s="2"/>
      <c r="B210" s="2"/>
      <c r="C210" s="2"/>
      <c r="D210" s="2"/>
    </row>
    <row r="211" spans="1:4">
      <c r="A211" s="2"/>
      <c r="B211" s="2"/>
      <c r="C211" s="2"/>
      <c r="D211" s="2"/>
    </row>
    <row r="212" spans="1:4">
      <c r="A212" s="2"/>
      <c r="B212" s="2"/>
      <c r="C212" s="2"/>
      <c r="D212" s="2"/>
    </row>
    <row r="213" spans="1:4">
      <c r="A213" s="2"/>
      <c r="B213" s="2"/>
      <c r="C213" s="2"/>
      <c r="D213" s="2"/>
    </row>
    <row r="214" spans="1:4">
      <c r="A214" s="2"/>
      <c r="B214" s="2"/>
      <c r="C214" s="2"/>
      <c r="D214" s="2"/>
    </row>
    <row r="215" spans="1:4">
      <c r="A215" s="2"/>
      <c r="B215" s="2"/>
      <c r="C215" s="2"/>
      <c r="D215" s="2"/>
    </row>
    <row r="216" spans="1:4">
      <c r="A216" s="2"/>
      <c r="B216" s="2"/>
      <c r="C216" s="2"/>
      <c r="D216" s="2"/>
    </row>
    <row r="217" spans="1:4">
      <c r="A217" s="2"/>
      <c r="B217" s="2"/>
      <c r="C217" s="2"/>
      <c r="D217" s="2"/>
    </row>
    <row r="218" spans="1:4">
      <c r="A218" s="2"/>
      <c r="B218" s="2"/>
      <c r="C218" s="2"/>
      <c r="D218" s="2"/>
    </row>
    <row r="219" spans="1:4">
      <c r="A219" s="2"/>
      <c r="B219" s="2"/>
      <c r="C219" s="2"/>
      <c r="D219" s="2"/>
    </row>
  </sheetData>
  <mergeCells count="1">
    <mergeCell ref="I1:J11"/>
  </mergeCells>
  <phoneticPr fontId="1" type="noConversion"/>
  <conditionalFormatting sqref="F2:F48">
    <cfRule type="containsText" dxfId="53" priority="3" operator="containsText" text="Warning">
      <formula>NOT(ISERROR(SEARCH("Warning",F2)))</formula>
    </cfRule>
  </conditionalFormatting>
  <conditionalFormatting sqref="F2:F48">
    <cfRule type="containsText" dxfId="52" priority="2" operator="containsText" text="快要 O.O.C 啦">
      <formula>NOT(ISERROR(SEARCH("快要 O.O.C 啦",F2)))</formula>
    </cfRule>
  </conditionalFormatting>
  <conditionalFormatting sqref="F2:F48">
    <cfRule type="containsText" dxfId="51" priority="1" operator="containsText" text="超出規格 O.O.C 啦">
      <formula>NOT(ISERROR(SEARCH("超出規格 O.O.C 啦",F2)))</formula>
    </cfRule>
  </conditionalFormatting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1"/>
  <sheetViews>
    <sheetView zoomScaleNormal="100" workbookViewId="0"/>
  </sheetViews>
  <sheetFormatPr defaultColWidth="27.5" defaultRowHeight="16.5"/>
  <cols>
    <col min="1" max="1" width="16" style="1" customWidth="1"/>
    <col min="2" max="2" width="16.125" style="1" customWidth="1"/>
    <col min="3" max="3" width="16" style="1" customWidth="1"/>
    <col min="4" max="4" width="11.375" customWidth="1"/>
    <col min="5" max="5" width="17.25" style="1" customWidth="1"/>
    <col min="6" max="6" width="20.75" style="2" customWidth="1"/>
    <col min="7" max="7" width="15.625" style="2" hidden="1" customWidth="1"/>
    <col min="8" max="16384" width="27.5" style="2"/>
  </cols>
  <sheetData>
    <row r="1" spans="1:10">
      <c r="A1" s="1" t="s">
        <v>9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43</v>
      </c>
      <c r="I1" s="7" t="s">
        <v>46</v>
      </c>
      <c r="J1" s="8"/>
    </row>
    <row r="2" spans="1:10">
      <c r="A2" s="1" t="s">
        <v>35</v>
      </c>
      <c r="B2" s="3">
        <v>44907.525196759256</v>
      </c>
      <c r="C2" s="1" t="s">
        <v>51</v>
      </c>
      <c r="D2" s="1">
        <v>1</v>
      </c>
      <c r="E2" s="1" t="s">
        <v>11</v>
      </c>
      <c r="F2" s="4" t="str">
        <f>IF(D2&lt;&gt;C2,IF(AND(D2&gt;=70,D2&lt;100),"warning",IF(AND(D2&gt;=100,D2&lt;=150),"快要 O.O.C 啦",IF(D2&gt;150,"超出規格 O.O.C 啦",""))))</f>
        <v/>
      </c>
      <c r="G2" s="6">
        <f ca="1">TODAY()-7</f>
        <v>44900</v>
      </c>
      <c r="I2" s="8"/>
      <c r="J2" s="8"/>
    </row>
    <row r="3" spans="1:10">
      <c r="A3" s="1" t="s">
        <v>33</v>
      </c>
      <c r="B3" s="3">
        <v>44907.430636574078</v>
      </c>
      <c r="C3" s="1" t="s">
        <v>51</v>
      </c>
      <c r="D3" s="1">
        <v>1</v>
      </c>
      <c r="E3" s="1" t="s">
        <v>11</v>
      </c>
      <c r="F3" s="4" t="str">
        <f>IF(D3&lt;&gt;C3,IF(AND(D3&gt;=70,D3&lt;100),"warning",IF(AND(D3&gt;=100,D3&lt;=150),"快要 O.O.C 啦",IF(D3&gt;150,"超出規格 O.O.C 啦",""))))</f>
        <v/>
      </c>
      <c r="I3" s="8"/>
      <c r="J3" s="8"/>
    </row>
    <row r="4" spans="1:10">
      <c r="A4" s="1" t="s">
        <v>32</v>
      </c>
      <c r="B4" s="3">
        <v>44907.350671296299</v>
      </c>
      <c r="C4" s="1" t="s">
        <v>51</v>
      </c>
      <c r="D4" s="1">
        <v>4</v>
      </c>
      <c r="E4" s="1" t="s">
        <v>11</v>
      </c>
      <c r="F4" s="4" t="str">
        <f>IF(D4&lt;&gt;C4,IF(AND(D4&gt;=70,D4&lt;100),"warning",IF(AND(D4&gt;=100,D4&lt;=150),"快要 O.O.C 啦",IF(D4&gt;150,"超出規格 O.O.C 啦",""))))</f>
        <v/>
      </c>
      <c r="I4" s="8"/>
      <c r="J4" s="8"/>
    </row>
    <row r="5" spans="1:10">
      <c r="A5" s="1" t="s">
        <v>35</v>
      </c>
      <c r="B5" s="3">
        <v>44907.232615740744</v>
      </c>
      <c r="C5" s="1" t="s">
        <v>51</v>
      </c>
      <c r="D5" s="1">
        <v>0</v>
      </c>
      <c r="E5" s="1" t="s">
        <v>11</v>
      </c>
      <c r="F5" s="4" t="str">
        <f>IF(D5&lt;&gt;C5,IF(AND(D5&gt;=70,D5&lt;100),"warning",IF(AND(D5&gt;=100,D5&lt;=150),"快要 O.O.C 啦",IF(D5&gt;150,"超出規格 O.O.C 啦",""))))</f>
        <v/>
      </c>
      <c r="I5" s="8"/>
      <c r="J5" s="8"/>
    </row>
    <row r="6" spans="1:10">
      <c r="A6" s="1" t="s">
        <v>32</v>
      </c>
      <c r="B6" s="3">
        <v>44907.058645833335</v>
      </c>
      <c r="C6" s="1" t="s">
        <v>49</v>
      </c>
      <c r="D6" s="1">
        <v>3</v>
      </c>
      <c r="E6" s="1" t="s">
        <v>11</v>
      </c>
      <c r="F6" s="4" t="str">
        <f>IF(D6&lt;&gt;C6,IF(AND(D6&gt;=70,D6&lt;100),"warning",IF(AND(D6&gt;=100,D6&lt;=150),"快要 O.O.C 啦",IF(D6&gt;150,"超出規格 O.O.C 啦",""))))</f>
        <v/>
      </c>
      <c r="I6" s="8"/>
      <c r="J6" s="8"/>
    </row>
    <row r="7" spans="1:10">
      <c r="A7" s="1" t="s">
        <v>35</v>
      </c>
      <c r="B7" s="3">
        <v>44906.971550925926</v>
      </c>
      <c r="C7" s="1" t="s">
        <v>49</v>
      </c>
      <c r="D7" s="1">
        <v>0</v>
      </c>
      <c r="E7" s="1" t="s">
        <v>11</v>
      </c>
      <c r="F7" s="4" t="str">
        <f>IF(D7&lt;&gt;C7,IF(AND(D7&gt;=70,D7&lt;100),"warning",IF(AND(D7&gt;=100,D7&lt;=150),"快要 O.O.C 啦",IF(D7&gt;150,"超出規格 O.O.C 啦",""))))</f>
        <v/>
      </c>
      <c r="I7" s="8"/>
      <c r="J7" s="8"/>
    </row>
    <row r="8" spans="1:10">
      <c r="A8" s="1" t="s">
        <v>32</v>
      </c>
      <c r="B8" s="3">
        <v>44906.827384259261</v>
      </c>
      <c r="C8" s="1" t="s">
        <v>50</v>
      </c>
      <c r="D8" s="1">
        <v>0</v>
      </c>
      <c r="E8" s="1" t="s">
        <v>11</v>
      </c>
      <c r="F8" s="4" t="str">
        <f>IF(D8&lt;&gt;C8,IF(AND(D8&gt;=70,D8&lt;100),"warning",IF(AND(D8&gt;=100,D8&lt;=150),"快要 O.O.C 啦",IF(D8&gt;150,"超出規格 O.O.C 啦",""))))</f>
        <v/>
      </c>
      <c r="I8" s="8"/>
      <c r="J8" s="8"/>
    </row>
    <row r="9" spans="1:10">
      <c r="A9" s="1" t="s">
        <v>33</v>
      </c>
      <c r="B9" s="3">
        <v>44906.779861111114</v>
      </c>
      <c r="C9" s="1" t="s">
        <v>50</v>
      </c>
      <c r="D9" s="1">
        <v>0</v>
      </c>
      <c r="E9" s="1" t="s">
        <v>11</v>
      </c>
      <c r="F9" s="4" t="str">
        <f>IF(D9&lt;&gt;C9,IF(AND(D9&gt;=70,D9&lt;100),"warning",IF(AND(D9&gt;=100,D9&lt;=150),"快要 O.O.C 啦",IF(D9&gt;150,"超出規格 O.O.C 啦",""))))</f>
        <v/>
      </c>
      <c r="I9" s="8"/>
      <c r="J9" s="8"/>
    </row>
    <row r="10" spans="1:10">
      <c r="A10" s="1" t="s">
        <v>35</v>
      </c>
      <c r="B10" s="3">
        <v>44906.677511574075</v>
      </c>
      <c r="C10" s="1" t="s">
        <v>50</v>
      </c>
      <c r="D10" s="1">
        <v>0</v>
      </c>
      <c r="E10" s="1" t="s">
        <v>11</v>
      </c>
      <c r="F10" s="4" t="str">
        <f>IF(D10&lt;&gt;C10,IF(AND(D10&gt;=70,D10&lt;100),"warning",IF(AND(D10&gt;=100,D10&lt;=150),"快要 O.O.C 啦",IF(D10&gt;150,"超出規格 O.O.C 啦",""))))</f>
        <v/>
      </c>
      <c r="I10" s="8"/>
      <c r="J10" s="8"/>
    </row>
    <row r="11" spans="1:10">
      <c r="A11" s="1" t="s">
        <v>32</v>
      </c>
      <c r="B11" s="3">
        <v>44906.553101851852</v>
      </c>
      <c r="C11" s="1" t="s">
        <v>50</v>
      </c>
      <c r="D11" s="1">
        <v>2</v>
      </c>
      <c r="E11" s="1" t="s">
        <v>11</v>
      </c>
      <c r="F11" s="4" t="str">
        <f>IF(D11&lt;&gt;C11,IF(AND(D11&gt;=70,D11&lt;100),"warning",IF(AND(D11&gt;=100,D11&lt;=150),"快要 O.O.C 啦",IF(D11&gt;150,"超出規格 O.O.C 啦",""))))</f>
        <v/>
      </c>
      <c r="I11" s="8"/>
      <c r="J11" s="8"/>
    </row>
    <row r="12" spans="1:10">
      <c r="A12" s="1" t="s">
        <v>34</v>
      </c>
      <c r="B12" s="3">
        <v>44906.546516203707</v>
      </c>
      <c r="C12" s="1" t="s">
        <v>50</v>
      </c>
      <c r="D12" s="1">
        <v>1</v>
      </c>
      <c r="E12" s="1" t="s">
        <v>11</v>
      </c>
      <c r="F12" s="4" t="str">
        <f>IF(D12&lt;&gt;C12,IF(AND(D12&gt;=70,D12&lt;100),"warning",IF(AND(D12&gt;=100,D12&lt;=150),"快要 O.O.C 啦",IF(D12&gt;150,"超出規格 O.O.C 啦",""))))</f>
        <v/>
      </c>
    </row>
    <row r="13" spans="1:10">
      <c r="A13" s="1" t="s">
        <v>33</v>
      </c>
      <c r="B13" s="3">
        <v>44906.471574074072</v>
      </c>
      <c r="C13" s="1" t="s">
        <v>51</v>
      </c>
      <c r="D13" s="1">
        <v>0</v>
      </c>
      <c r="E13" s="1" t="s">
        <v>11</v>
      </c>
      <c r="F13" s="4" t="str">
        <f>IF(D13&lt;&gt;C13,IF(AND(D13&gt;=70,D13&lt;100),"warning",IF(AND(D13&gt;=100,D13&lt;=150),"快要 O.O.C 啦",IF(D13&gt;150,"超出規格 O.O.C 啦",""))))</f>
        <v/>
      </c>
    </row>
    <row r="14" spans="1:10">
      <c r="A14" s="1" t="s">
        <v>35</v>
      </c>
      <c r="B14" s="3">
        <v>44906.455833333333</v>
      </c>
      <c r="C14" s="1" t="s">
        <v>51</v>
      </c>
      <c r="D14" s="1">
        <v>0</v>
      </c>
      <c r="E14" s="1" t="s">
        <v>11</v>
      </c>
      <c r="F14" s="4" t="str">
        <f>IF(D14&lt;&gt;C14,IF(AND(D14&gt;=70,D14&lt;100),"warning",IF(AND(D14&gt;=100,D14&lt;=150),"快要 O.O.C 啦",IF(D14&gt;150,"超出規格 O.O.C 啦",""))))</f>
        <v/>
      </c>
    </row>
    <row r="15" spans="1:10">
      <c r="A15" s="1" t="s">
        <v>32</v>
      </c>
      <c r="B15" s="3">
        <v>44906.285960648151</v>
      </c>
      <c r="C15" s="1" t="s">
        <v>51</v>
      </c>
      <c r="D15" s="1">
        <v>0</v>
      </c>
      <c r="E15" s="1" t="s">
        <v>11</v>
      </c>
      <c r="F15" s="4" t="str">
        <f>IF(D15&lt;&gt;C15,IF(AND(D15&gt;=70,D15&lt;100),"warning",IF(AND(D15&gt;=100,D15&lt;=150),"快要 O.O.C 啦",IF(D15&gt;150,"超出規格 O.O.C 啦",""))))</f>
        <v/>
      </c>
    </row>
    <row r="16" spans="1:10">
      <c r="A16" s="1" t="s">
        <v>35</v>
      </c>
      <c r="B16" s="3">
        <v>44906.121261574073</v>
      </c>
      <c r="C16" s="1" t="s">
        <v>49</v>
      </c>
      <c r="D16" s="1">
        <v>0</v>
      </c>
      <c r="E16" s="1" t="s">
        <v>11</v>
      </c>
      <c r="F16" s="4" t="str">
        <f>IF(D16&lt;&gt;C16,IF(AND(D16&gt;=70,D16&lt;100),"warning",IF(AND(D16&gt;=100,D16&lt;=150),"快要 O.O.C 啦",IF(D16&gt;150,"超出規格 O.O.C 啦",""))))</f>
        <v/>
      </c>
    </row>
    <row r="17" spans="1:6">
      <c r="A17" s="1" t="s">
        <v>33</v>
      </c>
      <c r="B17" s="3">
        <v>44906.000428240739</v>
      </c>
      <c r="C17" s="1" t="s">
        <v>49</v>
      </c>
      <c r="D17" s="1">
        <v>1</v>
      </c>
      <c r="E17" s="1" t="s">
        <v>11</v>
      </c>
      <c r="F17" s="4" t="str">
        <f>IF(D17&lt;&gt;C17,IF(AND(D17&gt;=70,D17&lt;100),"warning",IF(AND(D17&gt;=100,D17&lt;=150),"快要 O.O.C 啦",IF(D17&gt;150,"超出規格 O.O.C 啦",""))))</f>
        <v/>
      </c>
    </row>
    <row r="18" spans="1:6">
      <c r="A18" s="1" t="s">
        <v>32</v>
      </c>
      <c r="B18" s="3">
        <v>44905.966273148151</v>
      </c>
      <c r="C18" s="1" t="s">
        <v>49</v>
      </c>
      <c r="D18" s="1">
        <v>0</v>
      </c>
      <c r="E18" s="1" t="s">
        <v>11</v>
      </c>
      <c r="F18" s="4" t="str">
        <f>IF(D18&lt;&gt;C18,IF(AND(D18&gt;=70,D18&lt;100),"warning",IF(AND(D18&gt;=100,D18&lt;=150),"快要 O.O.C 啦",IF(D18&gt;150,"超出規格 O.O.C 啦",""))))</f>
        <v/>
      </c>
    </row>
    <row r="19" spans="1:6">
      <c r="A19" s="1" t="s">
        <v>35</v>
      </c>
      <c r="B19" s="3">
        <v>44905.848761574074</v>
      </c>
      <c r="C19" s="1" t="s">
        <v>50</v>
      </c>
      <c r="D19" s="1">
        <v>0</v>
      </c>
      <c r="E19" s="1" t="s">
        <v>11</v>
      </c>
      <c r="F19" s="4" t="str">
        <f>IF(D19&lt;&gt;C19,IF(AND(D19&gt;=70,D19&lt;100),"warning",IF(AND(D19&gt;=100,D19&lt;=150),"快要 O.O.C 啦",IF(D19&gt;150,"超出規格 O.O.C 啦",""))))</f>
        <v/>
      </c>
    </row>
    <row r="20" spans="1:6">
      <c r="A20" s="1" t="s">
        <v>32</v>
      </c>
      <c r="B20" s="3">
        <v>44905.678182870368</v>
      </c>
      <c r="C20" s="1" t="s">
        <v>50</v>
      </c>
      <c r="D20" s="1">
        <v>14</v>
      </c>
      <c r="E20" s="1" t="s">
        <v>11</v>
      </c>
      <c r="F20" s="4" t="str">
        <f>IF(D20&lt;&gt;C20,IF(AND(D20&gt;=70,D20&lt;100),"warning",IF(AND(D20&gt;=100,D20&lt;=150),"快要 O.O.C 啦",IF(D20&gt;150,"超出規格 O.O.C 啦",""))))</f>
        <v/>
      </c>
    </row>
    <row r="21" spans="1:6">
      <c r="A21" s="1" t="s">
        <v>35</v>
      </c>
      <c r="B21" s="3">
        <v>44905.632002314815</v>
      </c>
      <c r="C21" s="1" t="s">
        <v>50</v>
      </c>
      <c r="D21" s="1">
        <v>0</v>
      </c>
      <c r="E21" s="1" t="s">
        <v>11</v>
      </c>
      <c r="F21" s="4" t="str">
        <f>IF(D21&lt;&gt;C21,IF(AND(D21&gt;=70,D21&lt;100),"warning",IF(AND(D21&gt;=100,D21&lt;=150),"快要 O.O.C 啦",IF(D21&gt;150,"超出規格 O.O.C 啦",""))))</f>
        <v/>
      </c>
    </row>
    <row r="22" spans="1:6">
      <c r="A22" s="1" t="s">
        <v>32</v>
      </c>
      <c r="B22" s="3">
        <v>44905.449456018519</v>
      </c>
      <c r="C22" s="1" t="s">
        <v>51</v>
      </c>
      <c r="D22" s="1">
        <v>0</v>
      </c>
      <c r="E22" s="1" t="s">
        <v>11</v>
      </c>
      <c r="F22" s="4" t="str">
        <f>IF(D22&lt;&gt;C22,IF(AND(D22&gt;=70,D22&lt;100),"warning",IF(AND(D22&gt;=100,D22&lt;=150),"快要 O.O.C 啦",IF(D22&gt;150,"超出規格 O.O.C 啦",""))))</f>
        <v/>
      </c>
    </row>
    <row r="23" spans="1:6">
      <c r="A23" s="1" t="s">
        <v>35</v>
      </c>
      <c r="B23" s="3">
        <v>44905.23159722222</v>
      </c>
      <c r="C23" s="1" t="s">
        <v>51</v>
      </c>
      <c r="D23" s="1">
        <v>0</v>
      </c>
      <c r="E23" s="1" t="s">
        <v>11</v>
      </c>
      <c r="F23" s="4" t="str">
        <f>IF(D23&lt;&gt;C23,IF(AND(D23&gt;=70,D23&lt;100),"warning",IF(AND(D23&gt;=100,D23&lt;=150),"快要 O.O.C 啦",IF(D23&gt;150,"超出規格 O.O.C 啦",""))))</f>
        <v/>
      </c>
    </row>
    <row r="24" spans="1:6">
      <c r="A24" s="1" t="s">
        <v>32</v>
      </c>
      <c r="B24" s="3">
        <v>44905.230671296296</v>
      </c>
      <c r="C24" s="1" t="s">
        <v>51</v>
      </c>
      <c r="D24" s="1">
        <v>4</v>
      </c>
      <c r="E24" s="1" t="s">
        <v>11</v>
      </c>
      <c r="F24" s="4" t="str">
        <f>IF(D24&lt;&gt;C24,IF(AND(D24&gt;=70,D24&lt;100),"warning",IF(AND(D24&gt;=100,D24&lt;=150),"快要 O.O.C 啦",IF(D24&gt;150,"超出規格 O.O.C 啦",""))))</f>
        <v/>
      </c>
    </row>
    <row r="25" spans="1:6">
      <c r="A25" s="1" t="s">
        <v>35</v>
      </c>
      <c r="B25" s="3">
        <v>44904.975231481483</v>
      </c>
      <c r="C25" s="1" t="s">
        <v>49</v>
      </c>
      <c r="D25" s="1">
        <v>0</v>
      </c>
      <c r="E25" s="1" t="s">
        <v>11</v>
      </c>
      <c r="F25" s="4" t="str">
        <f>IF(D25&lt;&gt;C25,IF(AND(D25&gt;=70,D25&lt;100),"warning",IF(AND(D25&gt;=100,D25&lt;=150),"快要 O.O.C 啦",IF(D25&gt;150,"超出規格 O.O.C 啦",""))))</f>
        <v/>
      </c>
    </row>
    <row r="26" spans="1:6">
      <c r="A26" s="1" t="s">
        <v>32</v>
      </c>
      <c r="B26" s="3">
        <v>44904.89340277778</v>
      </c>
      <c r="C26" s="1" t="s">
        <v>49</v>
      </c>
      <c r="D26" s="1">
        <v>2</v>
      </c>
      <c r="E26" s="1" t="s">
        <v>11</v>
      </c>
      <c r="F26" s="4" t="str">
        <f>IF(D26&lt;&gt;C26,IF(AND(D26&gt;=70,D26&lt;100),"warning",IF(AND(D26&gt;=100,D26&lt;=150),"快要 O.O.C 啦",IF(D26&gt;150,"超出規格 O.O.C 啦",""))))</f>
        <v/>
      </c>
    </row>
    <row r="27" spans="1:6">
      <c r="A27" s="1" t="s">
        <v>35</v>
      </c>
      <c r="B27" s="3">
        <v>44904.402303240742</v>
      </c>
      <c r="C27" s="1" t="s">
        <v>51</v>
      </c>
      <c r="D27" s="1">
        <v>0</v>
      </c>
      <c r="E27" s="1" t="s">
        <v>11</v>
      </c>
      <c r="F27" s="4" t="str">
        <f>IF(D27&lt;&gt;C27,IF(AND(D27&gt;=70,D27&lt;100),"warning",IF(AND(D27&gt;=100,D27&lt;=150),"快要 O.O.C 啦",IF(D27&gt;150,"超出規格 O.O.C 啦",""))))</f>
        <v/>
      </c>
    </row>
    <row r="28" spans="1:6">
      <c r="A28" s="1" t="s">
        <v>32</v>
      </c>
      <c r="B28" s="3">
        <v>44904.337268518517</v>
      </c>
      <c r="C28" s="1" t="s">
        <v>51</v>
      </c>
      <c r="D28" s="1">
        <v>3</v>
      </c>
      <c r="E28" s="1" t="s">
        <v>11</v>
      </c>
      <c r="F28" s="4" t="str">
        <f>IF(D28&lt;&gt;C28,IF(AND(D28&gt;=70,D28&lt;100),"warning",IF(AND(D28&gt;=100,D28&lt;=150),"快要 O.O.C 啦",IF(D28&gt;150,"超出規格 O.O.C 啦",""))))</f>
        <v/>
      </c>
    </row>
    <row r="29" spans="1:6">
      <c r="A29" s="1" t="s">
        <v>34</v>
      </c>
      <c r="B29" s="3">
        <v>44904.255069444444</v>
      </c>
      <c r="C29" s="1" t="s">
        <v>51</v>
      </c>
      <c r="D29" s="1">
        <v>0</v>
      </c>
      <c r="E29" s="1" t="s">
        <v>11</v>
      </c>
      <c r="F29" s="4" t="str">
        <f>IF(D29&lt;&gt;C29,IF(AND(D29&gt;=70,D29&lt;100),"warning",IF(AND(D29&gt;=100,D29&lt;=150),"快要 O.O.C 啦",IF(D29&gt;150,"超出規格 O.O.C 啦",""))))</f>
        <v/>
      </c>
    </row>
    <row r="30" spans="1:6">
      <c r="A30" s="1" t="s">
        <v>35</v>
      </c>
      <c r="B30" s="3">
        <v>44904.072916666664</v>
      </c>
      <c r="C30" s="1" t="s">
        <v>49</v>
      </c>
      <c r="D30" s="1">
        <v>3</v>
      </c>
      <c r="E30" s="1" t="s">
        <v>11</v>
      </c>
      <c r="F30" s="4" t="str">
        <f>IF(D30&lt;&gt;C30,IF(AND(D30&gt;=70,D30&lt;100),"warning",IF(AND(D30&gt;=100,D30&lt;=150),"快要 O.O.C 啦",IF(D30&gt;150,"超出規格 O.O.C 啦",""))))</f>
        <v/>
      </c>
    </row>
    <row r="31" spans="1:6">
      <c r="A31" s="1" t="s">
        <v>32</v>
      </c>
      <c r="B31" s="3">
        <v>44904.0234837963</v>
      </c>
      <c r="C31" s="1" t="s">
        <v>49</v>
      </c>
      <c r="D31" s="1">
        <v>1</v>
      </c>
      <c r="E31" s="1" t="s">
        <v>11</v>
      </c>
      <c r="F31" s="4" t="str">
        <f>IF(D31&lt;&gt;C31,IF(AND(D31&gt;=70,D31&lt;100),"warning",IF(AND(D31&gt;=100,D31&lt;=150),"快要 O.O.C 啦",IF(D31&gt;150,"超出規格 O.O.C 啦",""))))</f>
        <v/>
      </c>
    </row>
    <row r="32" spans="1:6">
      <c r="A32" s="1" t="s">
        <v>35</v>
      </c>
      <c r="B32" s="3">
        <v>44903.559155092589</v>
      </c>
      <c r="C32" s="1" t="s">
        <v>50</v>
      </c>
      <c r="D32" s="1">
        <v>1</v>
      </c>
      <c r="E32" s="1" t="s">
        <v>11</v>
      </c>
      <c r="F32" s="4" t="str">
        <f>IF(D32&lt;&gt;C32,IF(AND(D32&gt;=70,D32&lt;100),"warning",IF(AND(D32&gt;=100,D32&lt;=150),"快要 O.O.C 啦",IF(D32&gt;150,"超出規格 O.O.C 啦",""))))</f>
        <v/>
      </c>
    </row>
    <row r="33" spans="1:6">
      <c r="A33" s="1" t="s">
        <v>32</v>
      </c>
      <c r="B33" s="3">
        <v>44903.457685185182</v>
      </c>
      <c r="C33" s="1" t="s">
        <v>51</v>
      </c>
      <c r="D33" s="1">
        <v>14</v>
      </c>
      <c r="E33" s="1" t="s">
        <v>11</v>
      </c>
      <c r="F33" s="4" t="str">
        <f>IF(D33&lt;&gt;C33,IF(AND(D33&gt;=70,D33&lt;100),"warning",IF(AND(D33&gt;=100,D33&lt;=150),"快要 O.O.C 啦",IF(D33&gt;150,"超出規格 O.O.C 啦",""))))</f>
        <v/>
      </c>
    </row>
    <row r="34" spans="1:6">
      <c r="A34" s="1" t="s">
        <v>36</v>
      </c>
      <c r="B34" s="3">
        <v>44903.062858796293</v>
      </c>
      <c r="C34" s="1" t="s">
        <v>49</v>
      </c>
      <c r="D34" s="1">
        <v>3</v>
      </c>
      <c r="E34" s="1" t="s">
        <v>11</v>
      </c>
      <c r="F34" s="4" t="str">
        <f>IF(D34&lt;&gt;C34,IF(AND(D34&gt;=70,D34&lt;100),"warning",IF(AND(D34&gt;=100,D34&lt;=150),"快要 O.O.C 啦",IF(D34&gt;150,"超出規格 O.O.C 啦",""))))</f>
        <v/>
      </c>
    </row>
    <row r="35" spans="1:6">
      <c r="A35" s="1" t="s">
        <v>32</v>
      </c>
      <c r="B35" s="3">
        <v>44902.917569444442</v>
      </c>
      <c r="C35" s="1" t="s">
        <v>49</v>
      </c>
      <c r="D35" s="1">
        <v>0</v>
      </c>
      <c r="E35" s="1" t="s">
        <v>11</v>
      </c>
      <c r="F35" s="4" t="str">
        <f>IF(D35&lt;&gt;C35,IF(AND(D35&gt;=70,D35&lt;100),"warning",IF(AND(D35&gt;=100,D35&lt;=150),"快要 O.O.C 啦",IF(D35&gt;150,"超出規格 O.O.C 啦",""))))</f>
        <v/>
      </c>
    </row>
    <row r="36" spans="1:6">
      <c r="A36" s="1" t="s">
        <v>36</v>
      </c>
      <c r="B36" s="3">
        <v>44902.828159722223</v>
      </c>
      <c r="C36" s="1" t="s">
        <v>50</v>
      </c>
      <c r="D36" s="1">
        <v>2</v>
      </c>
      <c r="E36" s="1" t="s">
        <v>11</v>
      </c>
      <c r="F36" s="4" t="str">
        <f>IF(D36&lt;&gt;C36,IF(AND(D36&gt;=70,D36&lt;100),"warning",IF(AND(D36&gt;=100,D36&lt;=150),"快要 O.O.C 啦",IF(D36&gt;150,"超出規格 O.O.C 啦",""))))</f>
        <v/>
      </c>
    </row>
    <row r="37" spans="1:6">
      <c r="A37" s="1" t="s">
        <v>32</v>
      </c>
      <c r="B37" s="3">
        <v>44902.611909722225</v>
      </c>
      <c r="C37" s="1" t="s">
        <v>50</v>
      </c>
      <c r="D37" s="1">
        <v>0</v>
      </c>
      <c r="E37" s="1" t="s">
        <v>11</v>
      </c>
      <c r="F37" s="4" t="str">
        <f>IF(D37&lt;&gt;C37,IF(AND(D37&gt;=70,D37&lt;100),"warning",IF(AND(D37&gt;=100,D37&lt;=150),"快要 O.O.C 啦",IF(D37&gt;150,"超出規格 O.O.C 啦",""))))</f>
        <v/>
      </c>
    </row>
    <row r="38" spans="1:6">
      <c r="A38" s="1" t="s">
        <v>35</v>
      </c>
      <c r="B38" s="3">
        <v>44902.607222222221</v>
      </c>
      <c r="C38" s="1" t="s">
        <v>50</v>
      </c>
      <c r="D38" s="1">
        <v>0</v>
      </c>
      <c r="E38" s="1" t="s">
        <v>11</v>
      </c>
      <c r="F38" s="4" t="str">
        <f>IF(D38&lt;&gt;C38,IF(AND(D38&gt;=70,D38&lt;100),"warning",IF(AND(D38&gt;=100,D38&lt;=150),"快要 O.O.C 啦",IF(D38&gt;150,"超出規格 O.O.C 啦",""))))</f>
        <v/>
      </c>
    </row>
    <row r="39" spans="1:6">
      <c r="A39" s="1" t="s">
        <v>36</v>
      </c>
      <c r="B39" s="3">
        <v>44902.584374999999</v>
      </c>
      <c r="C39" s="1" t="s">
        <v>50</v>
      </c>
      <c r="D39" s="1">
        <v>0</v>
      </c>
      <c r="E39" s="1" t="s">
        <v>11</v>
      </c>
      <c r="F39" s="4" t="str">
        <f>IF(D39&lt;&gt;C39,IF(AND(D39&gt;=70,D39&lt;100),"warning",IF(AND(D39&gt;=100,D39&lt;=150),"快要 O.O.C 啦",IF(D39&gt;150,"超出規格 O.O.C 啦",""))))</f>
        <v/>
      </c>
    </row>
    <row r="40" spans="1:6">
      <c r="A40" s="1" t="s">
        <v>35</v>
      </c>
      <c r="B40" s="3">
        <v>44902.347060185188</v>
      </c>
      <c r="C40" s="1" t="s">
        <v>51</v>
      </c>
      <c r="D40" s="1">
        <v>0</v>
      </c>
      <c r="E40" s="1" t="s">
        <v>11</v>
      </c>
      <c r="F40" s="4" t="str">
        <f>IF(D40&lt;&gt;C40,IF(AND(D40&gt;=70,D40&lt;100),"warning",IF(AND(D40&gt;=100,D40&lt;=150),"快要 O.O.C 啦",IF(D40&gt;150,"超出規格 O.O.C 啦",""))))</f>
        <v/>
      </c>
    </row>
    <row r="41" spans="1:6">
      <c r="A41" s="1" t="s">
        <v>32</v>
      </c>
      <c r="B41" s="3">
        <v>44902.182210648149</v>
      </c>
      <c r="C41" s="1" t="s">
        <v>49</v>
      </c>
      <c r="D41" s="1">
        <v>0</v>
      </c>
      <c r="E41" s="1" t="s">
        <v>11</v>
      </c>
      <c r="F41" s="4" t="str">
        <f>IF(D41&lt;&gt;C41,IF(AND(D41&gt;=70,D41&lt;100),"warning",IF(AND(D41&gt;=100,D41&lt;=150),"快要 O.O.C 啦",IF(D41&gt;150,"超出規格 O.O.C 啦",""))))</f>
        <v/>
      </c>
    </row>
    <row r="42" spans="1:6">
      <c r="A42" s="1" t="s">
        <v>33</v>
      </c>
      <c r="B42" s="3">
        <v>44901.78087962963</v>
      </c>
      <c r="C42" s="1" t="s">
        <v>50</v>
      </c>
      <c r="D42" s="1">
        <v>2</v>
      </c>
      <c r="E42" s="1" t="s">
        <v>11</v>
      </c>
      <c r="F42" s="4" t="str">
        <f>IF(D42&lt;&gt;C42,IF(AND(D42&gt;=70,D42&lt;100),"warning",IF(AND(D42&gt;=100,D42&lt;=150),"快要 O.O.C 啦",IF(D42&gt;150,"超出規格 O.O.C 啦",""))))</f>
        <v/>
      </c>
    </row>
    <row r="43" spans="1:6">
      <c r="A43" s="1" t="s">
        <v>35</v>
      </c>
      <c r="B43" s="3">
        <v>44901.738043981481</v>
      </c>
      <c r="C43" s="1" t="s">
        <v>50</v>
      </c>
      <c r="D43" s="1">
        <v>2</v>
      </c>
      <c r="E43" s="1" t="s">
        <v>11</v>
      </c>
      <c r="F43" s="4" t="str">
        <f>IF(D43&lt;&gt;C43,IF(AND(D43&gt;=70,D43&lt;100),"warning",IF(AND(D43&gt;=100,D43&lt;=150),"快要 O.O.C 啦",IF(D43&gt;150,"超出規格 O.O.C 啦",""))))</f>
        <v/>
      </c>
    </row>
    <row r="44" spans="1:6">
      <c r="A44" s="1" t="s">
        <v>32</v>
      </c>
      <c r="B44" s="3">
        <v>44901.659108796295</v>
      </c>
      <c r="C44" s="1" t="s">
        <v>50</v>
      </c>
      <c r="D44" s="1">
        <v>4</v>
      </c>
      <c r="E44" s="1" t="s">
        <v>11</v>
      </c>
      <c r="F44" s="4" t="str">
        <f>IF(D44&lt;&gt;C44,IF(AND(D44&gt;=70,D44&lt;100),"warning",IF(AND(D44&gt;=100,D44&lt;=150),"快要 O.O.C 啦",IF(D44&gt;150,"超出規格 O.O.C 啦",""))))</f>
        <v/>
      </c>
    </row>
    <row r="45" spans="1:6">
      <c r="A45" s="1" t="s">
        <v>32</v>
      </c>
      <c r="B45" s="3">
        <v>44901.237476851849</v>
      </c>
      <c r="C45" s="1" t="s">
        <v>51</v>
      </c>
      <c r="D45" s="1">
        <v>4</v>
      </c>
      <c r="E45" s="1" t="s">
        <v>11</v>
      </c>
      <c r="F45" s="4" t="str">
        <f>IF(D45&lt;&gt;C45,IF(AND(D45&gt;=70,D45&lt;100),"warning",IF(AND(D45&gt;=100,D45&lt;=150),"快要 O.O.C 啦",IF(D45&gt;150,"超出規格 O.O.C 啦",""))))</f>
        <v/>
      </c>
    </row>
    <row r="46" spans="1:6">
      <c r="A46" s="1" t="s">
        <v>33</v>
      </c>
      <c r="B46" s="3">
        <v>44900.97146990741</v>
      </c>
      <c r="C46" s="1" t="s">
        <v>49</v>
      </c>
      <c r="D46" s="1">
        <v>0</v>
      </c>
      <c r="E46" s="1" t="s">
        <v>11</v>
      </c>
      <c r="F46" s="4" t="str">
        <f>IF(D46&lt;&gt;C46,IF(AND(D46&gt;=70,D46&lt;100),"warning",IF(AND(D46&gt;=100,D46&lt;=150),"快要 O.O.C 啦",IF(D46&gt;150,"超出規格 O.O.C 啦",""))))</f>
        <v/>
      </c>
    </row>
    <row r="47" spans="1:6">
      <c r="A47" s="1" t="s">
        <v>35</v>
      </c>
      <c r="B47" s="3">
        <v>44900.787881944445</v>
      </c>
      <c r="C47" s="1" t="s">
        <v>50</v>
      </c>
      <c r="D47" s="1">
        <v>0</v>
      </c>
      <c r="E47" s="1" t="s">
        <v>11</v>
      </c>
      <c r="F47" s="4" t="str">
        <f>IF(D47&lt;&gt;C47,IF(AND(D47&gt;=70,D47&lt;100),"warning",IF(AND(D47&gt;=100,D47&lt;=150),"快要 O.O.C 啦",IF(D47&gt;150,"超出規格 O.O.C 啦",""))))</f>
        <v/>
      </c>
    </row>
    <row r="48" spans="1:6">
      <c r="A48" s="1" t="s">
        <v>36</v>
      </c>
      <c r="B48" s="3">
        <v>44900.612650462965</v>
      </c>
      <c r="C48" s="1" t="s">
        <v>50</v>
      </c>
      <c r="D48" s="1">
        <v>0</v>
      </c>
      <c r="E48" s="1" t="s">
        <v>11</v>
      </c>
      <c r="F48" s="4" t="str">
        <f>IF(D48&lt;&gt;C48,IF(AND(D48&gt;=70,D48&lt;100),"warning",IF(AND(D48&gt;=100,D48&lt;=150),"快要 O.O.C 啦",IF(D48&gt;150,"超出規格 O.O.C 啦",""))))</f>
        <v/>
      </c>
    </row>
    <row r="49" spans="1:6">
      <c r="A49" s="1" t="s">
        <v>32</v>
      </c>
      <c r="B49" s="3">
        <v>44900.468171296299</v>
      </c>
      <c r="C49" s="1" t="s">
        <v>51</v>
      </c>
      <c r="D49" s="1">
        <v>0</v>
      </c>
      <c r="E49" s="1" t="s">
        <v>11</v>
      </c>
      <c r="F49" s="4" t="str">
        <f>IF(D49&lt;&gt;C49,IF(AND(D49&gt;=70,D49&lt;100),"warning",IF(AND(D49&gt;=100,D49&lt;=150),"快要 O.O.C 啦",IF(D49&gt;150,"超出規格 O.O.C 啦",""))))</f>
        <v/>
      </c>
    </row>
    <row r="50" spans="1:6">
      <c r="A50" s="1" t="s">
        <v>32</v>
      </c>
      <c r="B50" s="3">
        <v>44900.166967592595</v>
      </c>
      <c r="C50" s="1" t="s">
        <v>49</v>
      </c>
      <c r="D50" s="1">
        <v>0</v>
      </c>
      <c r="E50" s="1" t="s">
        <v>11</v>
      </c>
      <c r="F50" s="4" t="str">
        <f>IF(D50&lt;&gt;C50,IF(AND(D50&gt;=70,D50&lt;100),"warning",IF(AND(D50&gt;=100,D50&lt;=150),"快要 O.O.C 啦",IF(D50&gt;150,"超出規格 O.O.C 啦",""))))</f>
        <v/>
      </c>
    </row>
    <row r="51" spans="1:6">
      <c r="D51" s="2"/>
    </row>
    <row r="52" spans="1:6">
      <c r="D52" s="2"/>
    </row>
    <row r="53" spans="1:6">
      <c r="D53" s="2"/>
    </row>
    <row r="54" spans="1:6">
      <c r="D54" s="2"/>
    </row>
    <row r="55" spans="1:6">
      <c r="D55" s="2"/>
    </row>
    <row r="56" spans="1:6">
      <c r="D56" s="2"/>
    </row>
    <row r="57" spans="1:6">
      <c r="D57" s="2"/>
    </row>
    <row r="58" spans="1:6">
      <c r="D58" s="2"/>
    </row>
    <row r="59" spans="1:6">
      <c r="D59" s="2"/>
    </row>
    <row r="60" spans="1:6">
      <c r="D60" s="2"/>
    </row>
    <row r="61" spans="1:6">
      <c r="A61" s="2"/>
      <c r="B61" s="2"/>
      <c r="C61" s="2"/>
      <c r="D61" s="2"/>
    </row>
    <row r="62" spans="1:6">
      <c r="A62" s="2"/>
      <c r="B62" s="2"/>
      <c r="C62" s="2"/>
      <c r="D62" s="2"/>
    </row>
    <row r="63" spans="1:6">
      <c r="A63" s="2"/>
      <c r="B63" s="2"/>
      <c r="C63" s="2"/>
      <c r="D63" s="2"/>
    </row>
    <row r="64" spans="1:6">
      <c r="A64" s="2"/>
      <c r="B64" s="2"/>
      <c r="C64" s="2"/>
      <c r="D64" s="2"/>
    </row>
    <row r="65" spans="1:4">
      <c r="A65" s="2"/>
      <c r="B65" s="2"/>
      <c r="C65" s="2"/>
      <c r="D65" s="2"/>
    </row>
    <row r="66" spans="1:4">
      <c r="A66" s="2"/>
      <c r="B66" s="2"/>
      <c r="C66" s="2"/>
      <c r="D66" s="2"/>
    </row>
    <row r="67" spans="1:4">
      <c r="A67" s="2"/>
      <c r="B67" s="2"/>
      <c r="C67" s="2"/>
      <c r="D67" s="2"/>
    </row>
    <row r="68" spans="1:4">
      <c r="A68" s="2"/>
      <c r="B68" s="2"/>
      <c r="C68" s="2"/>
      <c r="D68" s="2"/>
    </row>
    <row r="69" spans="1:4">
      <c r="A69" s="2"/>
      <c r="B69" s="2"/>
      <c r="C69" s="2"/>
      <c r="D69" s="2"/>
    </row>
    <row r="70" spans="1:4">
      <c r="A70" s="2"/>
      <c r="B70" s="2"/>
      <c r="C70" s="2"/>
      <c r="D70" s="2"/>
    </row>
    <row r="71" spans="1:4">
      <c r="A71" s="2"/>
      <c r="B71" s="2"/>
      <c r="C71" s="2"/>
      <c r="D71" s="2"/>
    </row>
    <row r="72" spans="1:4">
      <c r="A72" s="2"/>
      <c r="B72" s="2"/>
      <c r="C72" s="2"/>
      <c r="D72" s="2"/>
    </row>
    <row r="73" spans="1:4">
      <c r="A73" s="2"/>
      <c r="B73" s="2"/>
      <c r="C73" s="2"/>
      <c r="D73" s="2"/>
    </row>
    <row r="74" spans="1:4">
      <c r="A74" s="2"/>
      <c r="B74" s="2"/>
      <c r="C74" s="2"/>
      <c r="D74" s="2"/>
    </row>
    <row r="75" spans="1:4">
      <c r="A75" s="2"/>
      <c r="B75" s="2"/>
      <c r="C75" s="2"/>
      <c r="D75" s="2"/>
    </row>
    <row r="76" spans="1:4">
      <c r="A76" s="2"/>
      <c r="B76" s="2"/>
      <c r="C76" s="2"/>
      <c r="D76" s="2"/>
    </row>
    <row r="77" spans="1:4">
      <c r="A77" s="2"/>
      <c r="B77" s="2"/>
      <c r="C77" s="2"/>
      <c r="D77" s="2"/>
    </row>
    <row r="78" spans="1:4">
      <c r="A78" s="2"/>
      <c r="B78" s="2"/>
      <c r="C78" s="2"/>
      <c r="D78" s="2"/>
    </row>
    <row r="79" spans="1:4">
      <c r="A79" s="2"/>
      <c r="B79" s="2"/>
      <c r="C79" s="2"/>
      <c r="D79" s="2"/>
    </row>
    <row r="80" spans="1:4">
      <c r="A80" s="2"/>
      <c r="B80" s="2"/>
      <c r="C80" s="2"/>
      <c r="D80" s="2"/>
    </row>
    <row r="81" spans="1:4">
      <c r="A81" s="2"/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  <row r="161" spans="1:4">
      <c r="A161" s="2"/>
      <c r="B161" s="2"/>
      <c r="C161" s="2"/>
      <c r="D161" s="2"/>
    </row>
    <row r="162" spans="1:4">
      <c r="A162" s="2"/>
      <c r="B162" s="2"/>
      <c r="C162" s="2"/>
      <c r="D162" s="2"/>
    </row>
    <row r="163" spans="1:4">
      <c r="A163" s="2"/>
      <c r="B163" s="2"/>
      <c r="C163" s="2"/>
      <c r="D163" s="2"/>
    </row>
    <row r="164" spans="1:4">
      <c r="A164" s="2"/>
      <c r="B164" s="2"/>
      <c r="C164" s="2"/>
      <c r="D164" s="2"/>
    </row>
    <row r="165" spans="1:4">
      <c r="A165" s="2"/>
      <c r="B165" s="2"/>
      <c r="C165" s="2"/>
      <c r="D165" s="2"/>
    </row>
    <row r="166" spans="1:4">
      <c r="A166" s="2"/>
      <c r="B166" s="2"/>
      <c r="C166" s="2"/>
      <c r="D166" s="2"/>
    </row>
    <row r="167" spans="1:4">
      <c r="A167" s="2"/>
      <c r="B167" s="2"/>
      <c r="C167" s="2"/>
      <c r="D167" s="2"/>
    </row>
    <row r="168" spans="1:4">
      <c r="A168" s="2"/>
      <c r="B168" s="2"/>
      <c r="C168" s="2"/>
      <c r="D168" s="2"/>
    </row>
    <row r="169" spans="1:4">
      <c r="A169" s="2"/>
      <c r="B169" s="2"/>
      <c r="C169" s="2"/>
      <c r="D169" s="2"/>
    </row>
    <row r="170" spans="1:4">
      <c r="A170" s="2"/>
      <c r="B170" s="2"/>
      <c r="C170" s="2"/>
      <c r="D170" s="2"/>
    </row>
    <row r="171" spans="1:4">
      <c r="A171" s="2"/>
      <c r="B171" s="2"/>
      <c r="C171" s="2"/>
      <c r="D171" s="2"/>
    </row>
    <row r="172" spans="1:4">
      <c r="A172" s="2"/>
      <c r="B172" s="2"/>
      <c r="C172" s="2"/>
      <c r="D172" s="2"/>
    </row>
    <row r="173" spans="1:4">
      <c r="A173" s="2"/>
      <c r="B173" s="2"/>
      <c r="C173" s="2"/>
      <c r="D173" s="2"/>
    </row>
    <row r="174" spans="1:4">
      <c r="A174" s="2"/>
      <c r="B174" s="2"/>
      <c r="C174" s="2"/>
      <c r="D174" s="2"/>
    </row>
    <row r="175" spans="1:4">
      <c r="A175" s="2"/>
      <c r="B175" s="2"/>
      <c r="C175" s="2"/>
      <c r="D175" s="2"/>
    </row>
    <row r="176" spans="1:4">
      <c r="A176" s="2"/>
      <c r="B176" s="2"/>
      <c r="C176" s="2"/>
      <c r="D176" s="2"/>
    </row>
    <row r="177" spans="1:4">
      <c r="A177" s="2"/>
      <c r="B177" s="2"/>
      <c r="C177" s="2"/>
      <c r="D177" s="2"/>
    </row>
    <row r="178" spans="1:4">
      <c r="A178" s="2"/>
      <c r="B178" s="2"/>
      <c r="C178" s="2"/>
      <c r="D178" s="2"/>
    </row>
    <row r="179" spans="1:4">
      <c r="A179" s="2"/>
      <c r="B179" s="2"/>
      <c r="C179" s="2"/>
      <c r="D179" s="2"/>
    </row>
    <row r="180" spans="1:4">
      <c r="A180" s="2"/>
      <c r="B180" s="2"/>
      <c r="C180" s="2"/>
      <c r="D180" s="2"/>
    </row>
    <row r="181" spans="1:4">
      <c r="A181" s="2"/>
      <c r="B181" s="2"/>
      <c r="C181" s="2"/>
      <c r="D181" s="2"/>
    </row>
    <row r="182" spans="1:4">
      <c r="A182" s="2"/>
      <c r="B182" s="2"/>
      <c r="C182" s="2"/>
      <c r="D182" s="2"/>
    </row>
    <row r="183" spans="1:4">
      <c r="A183" s="2"/>
      <c r="B183" s="2"/>
      <c r="C183" s="2"/>
      <c r="D183" s="2"/>
    </row>
    <row r="184" spans="1:4">
      <c r="A184" s="2"/>
      <c r="B184" s="2"/>
      <c r="C184" s="2"/>
      <c r="D184" s="2"/>
    </row>
    <row r="185" spans="1:4">
      <c r="A185" s="2"/>
      <c r="B185" s="2"/>
      <c r="C185" s="2"/>
      <c r="D185" s="2"/>
    </row>
    <row r="186" spans="1:4">
      <c r="A186" s="2"/>
      <c r="B186" s="2"/>
      <c r="C186" s="2"/>
      <c r="D186" s="2"/>
    </row>
    <row r="187" spans="1:4">
      <c r="A187" s="2"/>
      <c r="B187" s="2"/>
      <c r="C187" s="2"/>
      <c r="D187" s="2"/>
    </row>
    <row r="188" spans="1:4">
      <c r="A188" s="2"/>
      <c r="B188" s="2"/>
      <c r="C188" s="2"/>
      <c r="D188" s="2"/>
    </row>
    <row r="189" spans="1:4">
      <c r="A189" s="2"/>
      <c r="B189" s="2"/>
      <c r="C189" s="2"/>
      <c r="D189" s="2"/>
    </row>
    <row r="190" spans="1:4">
      <c r="A190" s="2"/>
      <c r="B190" s="2"/>
      <c r="C190" s="2"/>
      <c r="D190" s="2"/>
    </row>
    <row r="191" spans="1:4">
      <c r="A191" s="2"/>
      <c r="B191" s="2"/>
      <c r="C191" s="2"/>
      <c r="D191" s="2"/>
    </row>
    <row r="192" spans="1:4">
      <c r="A192" s="2"/>
      <c r="B192" s="2"/>
      <c r="C192" s="2"/>
      <c r="D192" s="2"/>
    </row>
    <row r="193" spans="1:4">
      <c r="A193" s="2"/>
      <c r="B193" s="2"/>
      <c r="C193" s="2"/>
      <c r="D193" s="2"/>
    </row>
    <row r="194" spans="1:4">
      <c r="A194" s="2"/>
      <c r="B194" s="2"/>
      <c r="C194" s="2"/>
      <c r="D194" s="2"/>
    </row>
    <row r="195" spans="1:4">
      <c r="A195" s="2"/>
      <c r="B195" s="2"/>
      <c r="C195" s="2"/>
      <c r="D195" s="2"/>
    </row>
    <row r="196" spans="1:4">
      <c r="A196" s="2"/>
      <c r="B196" s="2"/>
      <c r="C196" s="2"/>
      <c r="D196" s="2"/>
    </row>
    <row r="197" spans="1:4">
      <c r="A197" s="2"/>
      <c r="B197" s="2"/>
      <c r="C197" s="2"/>
      <c r="D197" s="2"/>
    </row>
    <row r="198" spans="1:4">
      <c r="A198" s="2"/>
      <c r="B198" s="2"/>
      <c r="C198" s="2"/>
      <c r="D198" s="2"/>
    </row>
    <row r="199" spans="1:4">
      <c r="A199" s="2"/>
      <c r="B199" s="2"/>
      <c r="C199" s="2"/>
      <c r="D199" s="2"/>
    </row>
    <row r="200" spans="1:4">
      <c r="A200" s="2"/>
      <c r="B200" s="2"/>
      <c r="C200" s="2"/>
      <c r="D200" s="2"/>
    </row>
    <row r="201" spans="1:4">
      <c r="A201" s="2"/>
      <c r="B201" s="2"/>
      <c r="C201" s="2"/>
      <c r="D201" s="2"/>
    </row>
    <row r="202" spans="1:4">
      <c r="A202" s="2"/>
      <c r="B202" s="2"/>
      <c r="C202" s="2"/>
      <c r="D202" s="2"/>
    </row>
    <row r="203" spans="1:4">
      <c r="A203" s="2"/>
      <c r="B203" s="2"/>
      <c r="C203" s="2"/>
      <c r="D203" s="2"/>
    </row>
    <row r="204" spans="1:4">
      <c r="A204" s="2"/>
      <c r="B204" s="2"/>
      <c r="C204" s="2"/>
      <c r="D204" s="2"/>
    </row>
    <row r="205" spans="1:4">
      <c r="A205" s="2"/>
      <c r="B205" s="2"/>
      <c r="C205" s="2"/>
      <c r="D205" s="2"/>
    </row>
    <row r="206" spans="1:4">
      <c r="A206" s="2"/>
      <c r="B206" s="2"/>
      <c r="C206" s="2"/>
      <c r="D206" s="2"/>
    </row>
    <row r="207" spans="1:4">
      <c r="A207" s="2"/>
      <c r="B207" s="2"/>
      <c r="C207" s="2"/>
      <c r="D207" s="2"/>
    </row>
    <row r="208" spans="1:4">
      <c r="A208" s="2"/>
      <c r="B208" s="2"/>
      <c r="C208" s="2"/>
      <c r="D208" s="2"/>
    </row>
    <row r="209" spans="1:4">
      <c r="A209" s="2"/>
      <c r="B209" s="2"/>
      <c r="C209" s="2"/>
      <c r="D209" s="2"/>
    </row>
    <row r="210" spans="1:4">
      <c r="A210" s="2"/>
      <c r="B210" s="2"/>
      <c r="C210" s="2"/>
      <c r="D210" s="2"/>
    </row>
    <row r="211" spans="1:4">
      <c r="A211" s="2"/>
      <c r="B211" s="2"/>
      <c r="C211" s="2"/>
      <c r="D211" s="2"/>
    </row>
    <row r="212" spans="1:4">
      <c r="A212" s="2"/>
      <c r="B212" s="2"/>
      <c r="C212" s="2"/>
      <c r="D212" s="2"/>
    </row>
    <row r="213" spans="1:4">
      <c r="A213" s="2"/>
      <c r="B213" s="2"/>
      <c r="C213" s="2"/>
      <c r="D213" s="2"/>
    </row>
    <row r="214" spans="1:4">
      <c r="A214" s="2"/>
      <c r="B214" s="2"/>
      <c r="C214" s="2"/>
      <c r="D214" s="2"/>
    </row>
    <row r="215" spans="1:4">
      <c r="A215" s="2"/>
      <c r="B215" s="2"/>
      <c r="C215" s="2"/>
      <c r="D215" s="2"/>
    </row>
    <row r="216" spans="1:4">
      <c r="A216" s="2"/>
      <c r="B216" s="2"/>
      <c r="C216" s="2"/>
      <c r="D216" s="2"/>
    </row>
    <row r="217" spans="1:4">
      <c r="A217" s="2"/>
      <c r="B217" s="2"/>
      <c r="C217" s="2"/>
      <c r="D217" s="2"/>
    </row>
    <row r="218" spans="1:4">
      <c r="A218" s="2"/>
      <c r="B218" s="2"/>
      <c r="C218" s="2"/>
      <c r="D218" s="2"/>
    </row>
    <row r="219" spans="1:4">
      <c r="A219" s="2"/>
      <c r="B219" s="2"/>
      <c r="C219" s="2"/>
      <c r="D219" s="2"/>
    </row>
    <row r="220" spans="1:4">
      <c r="A220" s="2"/>
      <c r="B220" s="2"/>
      <c r="C220" s="2"/>
      <c r="D220" s="2"/>
    </row>
    <row r="221" spans="1:4">
      <c r="A221" s="2"/>
      <c r="B221" s="2"/>
      <c r="C221" s="2"/>
      <c r="D221" s="2"/>
    </row>
  </sheetData>
  <mergeCells count="1">
    <mergeCell ref="I1:J11"/>
  </mergeCells>
  <phoneticPr fontId="1" type="noConversion"/>
  <conditionalFormatting sqref="F2:F50">
    <cfRule type="containsText" dxfId="50" priority="3" operator="containsText" text="Warning">
      <formula>NOT(ISERROR(SEARCH("Warning",F2)))</formula>
    </cfRule>
  </conditionalFormatting>
  <conditionalFormatting sqref="F2:F50">
    <cfRule type="containsText" dxfId="49" priority="2" operator="containsText" text="快要 O.O.C 啦">
      <formula>NOT(ISERROR(SEARCH("快要 O.O.C 啦",F2)))</formula>
    </cfRule>
  </conditionalFormatting>
  <conditionalFormatting sqref="F2:F50">
    <cfRule type="containsText" dxfId="48" priority="1" operator="containsText" text="超出規格 O.O.C 啦">
      <formula>NOT(ISERROR(SEARCH("超出規格 O.O.C 啦",F2)))</formula>
    </cfRule>
  </conditionalFormatting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1"/>
  <sheetViews>
    <sheetView tabSelected="1" zoomScaleNormal="100" workbookViewId="0">
      <selection activeCell="B4" sqref="B4"/>
    </sheetView>
  </sheetViews>
  <sheetFormatPr defaultColWidth="27.5" defaultRowHeight="16.5"/>
  <cols>
    <col min="1" max="1" width="16" style="1" customWidth="1"/>
    <col min="2" max="2" width="19.125" style="1" customWidth="1"/>
    <col min="3" max="3" width="16" style="1" customWidth="1"/>
    <col min="4" max="4" width="11.375" customWidth="1"/>
    <col min="5" max="5" width="17.25" style="1" customWidth="1"/>
    <col min="6" max="6" width="20.75" style="2" customWidth="1"/>
    <col min="7" max="7" width="17.75" style="2" hidden="1" customWidth="1"/>
    <col min="8" max="16384" width="27.5" style="2"/>
  </cols>
  <sheetData>
    <row r="1" spans="1:10">
      <c r="A1" s="1" t="s">
        <v>9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42</v>
      </c>
      <c r="I1" s="7" t="s">
        <v>48</v>
      </c>
      <c r="J1" s="8"/>
    </row>
    <row r="2" spans="1:10">
      <c r="A2" s="1" t="s">
        <v>28</v>
      </c>
      <c r="B2" s="3">
        <v>44907.605914351851</v>
      </c>
      <c r="C2" s="1" t="s">
        <v>25</v>
      </c>
      <c r="D2" s="1">
        <v>4</v>
      </c>
      <c r="E2" s="1" t="s">
        <v>11</v>
      </c>
      <c r="F2" s="4" t="str">
        <f>IF(D2&lt;&gt;C2,IF(AND(D2&gt;=25,D2&lt;35),"warning",IF(AND(D2&gt;=35,D2&lt;=50),"快要 O.O.C 啦",IF(D2&gt;50,"超出規格 O.O.C 啦",""))))</f>
        <v/>
      </c>
      <c r="G2" s="6">
        <f ca="1">TODAY()-7</f>
        <v>44900</v>
      </c>
      <c r="I2" s="8"/>
      <c r="J2" s="8"/>
    </row>
    <row r="3" spans="1:10">
      <c r="A3" s="1" t="s">
        <v>30</v>
      </c>
      <c r="B3" s="3">
        <v>44907.595659722225</v>
      </c>
      <c r="C3" s="1" t="s">
        <v>25</v>
      </c>
      <c r="D3" s="1">
        <v>0</v>
      </c>
      <c r="E3" s="1" t="s">
        <v>11</v>
      </c>
      <c r="F3" s="4" t="str">
        <f>IF(D3&lt;&gt;C3,IF(AND(D3&gt;=25,D3&lt;35),"warning",IF(AND(D3&gt;=35,D3&lt;=50),"快要 O.O.C 啦",IF(D3&gt;50,"超出規格 O.O.C 啦",""))))</f>
        <v/>
      </c>
      <c r="I3" s="8"/>
      <c r="J3" s="8"/>
    </row>
    <row r="4" spans="1:10">
      <c r="A4" s="1" t="s">
        <v>24</v>
      </c>
      <c r="B4" s="3">
        <v>44907.479490740741</v>
      </c>
      <c r="C4" s="1" t="s">
        <v>29</v>
      </c>
      <c r="D4" s="1">
        <v>0</v>
      </c>
      <c r="E4" s="1" t="s">
        <v>11</v>
      </c>
      <c r="F4" s="4" t="str">
        <f>IF(D4&lt;&gt;C4,IF(AND(D4&gt;=25,D4&lt;35),"warning",IF(AND(D4&gt;=35,D4&lt;=50),"快要 O.O.C 啦",IF(D4&gt;50,"超出規格 O.O.C 啦",""))))</f>
        <v/>
      </c>
      <c r="I4" s="8"/>
      <c r="J4" s="8"/>
    </row>
    <row r="5" spans="1:10">
      <c r="A5" s="1" t="s">
        <v>28</v>
      </c>
      <c r="B5" s="3">
        <v>44907.425115740742</v>
      </c>
      <c r="C5" s="1" t="s">
        <v>29</v>
      </c>
      <c r="D5" s="1">
        <v>4</v>
      </c>
      <c r="E5" s="1" t="s">
        <v>11</v>
      </c>
      <c r="F5" s="4" t="str">
        <f>IF(D5&lt;&gt;C5,IF(AND(D5&gt;=25,D5&lt;35),"warning",IF(AND(D5&gt;=35,D5&lt;=50),"快要 O.O.C 啦",IF(D5&gt;50,"超出規格 O.O.C 啦",""))))</f>
        <v/>
      </c>
      <c r="I5" s="8"/>
      <c r="J5" s="8"/>
    </row>
    <row r="6" spans="1:10">
      <c r="A6" s="1" t="s">
        <v>30</v>
      </c>
      <c r="B6" s="3">
        <v>44907.390659722223</v>
      </c>
      <c r="C6" s="1" t="s">
        <v>29</v>
      </c>
      <c r="D6" s="1">
        <v>1</v>
      </c>
      <c r="E6" s="1" t="s">
        <v>11</v>
      </c>
      <c r="F6" s="4" t="str">
        <f>IF(D6&lt;&gt;C6,IF(AND(D6&gt;=25,D6&lt;35),"warning",IF(AND(D6&gt;=35,D6&lt;=50),"快要 O.O.C 啦",IF(D6&gt;50,"超出規格 O.O.C 啦",""))))</f>
        <v/>
      </c>
      <c r="I6" s="8"/>
      <c r="J6" s="8"/>
    </row>
    <row r="7" spans="1:10">
      <c r="A7" s="1" t="s">
        <v>27</v>
      </c>
      <c r="B7" s="3">
        <v>44907.32739583333</v>
      </c>
      <c r="C7" s="1" t="s">
        <v>29</v>
      </c>
      <c r="D7" s="1">
        <v>2</v>
      </c>
      <c r="E7" s="1" t="s">
        <v>11</v>
      </c>
      <c r="F7" s="4" t="str">
        <f>IF(D7&lt;&gt;C7,IF(AND(D7&gt;=25,D7&lt;35),"warning",IF(AND(D7&gt;=35,D7&lt;=50),"快要 O.O.C 啦",IF(D7&gt;50,"超出規格 O.O.C 啦",""))))</f>
        <v/>
      </c>
      <c r="I7" s="8"/>
      <c r="J7" s="8"/>
    </row>
    <row r="8" spans="1:10">
      <c r="A8" s="1" t="s">
        <v>28</v>
      </c>
      <c r="B8" s="3">
        <v>44907.198460648149</v>
      </c>
      <c r="C8" s="1" t="s">
        <v>29</v>
      </c>
      <c r="D8" s="1">
        <v>1</v>
      </c>
      <c r="E8" s="1" t="s">
        <v>11</v>
      </c>
      <c r="F8" s="4" t="str">
        <f>IF(D8&lt;&gt;C8,IF(AND(D8&gt;=25,D8&lt;35),"warning",IF(AND(D8&gt;=35,D8&lt;=50),"快要 O.O.C 啦",IF(D8&gt;50,"超出規格 O.O.C 啦",""))))</f>
        <v/>
      </c>
      <c r="I8" s="8"/>
      <c r="J8" s="8"/>
    </row>
    <row r="9" spans="1:10">
      <c r="A9" s="1" t="s">
        <v>30</v>
      </c>
      <c r="B9" s="3">
        <v>44907.187106481484</v>
      </c>
      <c r="C9" s="1" t="s">
        <v>29</v>
      </c>
      <c r="D9" s="1">
        <v>2</v>
      </c>
      <c r="E9" s="1" t="s">
        <v>11</v>
      </c>
      <c r="F9" s="4" t="str">
        <f>IF(D9&lt;&gt;C9,IF(AND(D9&gt;=25,D9&lt;35),"warning",IF(AND(D9&gt;=35,D9&lt;=50),"快要 O.O.C 啦",IF(D9&gt;50,"超出規格 O.O.C 啦",""))))</f>
        <v/>
      </c>
      <c r="I9" s="8"/>
      <c r="J9" s="8"/>
    </row>
    <row r="10" spans="1:10">
      <c r="A10" s="1" t="s">
        <v>24</v>
      </c>
      <c r="B10" s="3">
        <v>44907.130127314813</v>
      </c>
      <c r="C10" s="1" t="s">
        <v>31</v>
      </c>
      <c r="D10" s="1">
        <v>0</v>
      </c>
      <c r="E10" s="1" t="s">
        <v>11</v>
      </c>
      <c r="F10" s="4" t="str">
        <f>IF(D10&lt;&gt;C10,IF(AND(D10&gt;=25,D10&lt;35),"warning",IF(AND(D10&gt;=35,D10&lt;=50),"快要 O.O.C 啦",IF(D10&gt;50,"超出規格 O.O.C 啦",""))))</f>
        <v/>
      </c>
      <c r="I10" s="8"/>
      <c r="J10" s="8"/>
    </row>
    <row r="11" spans="1:10">
      <c r="A11" s="1" t="s">
        <v>24</v>
      </c>
      <c r="B11" s="3">
        <v>44907.130127314813</v>
      </c>
      <c r="C11" s="1" t="s">
        <v>29</v>
      </c>
      <c r="D11" s="1">
        <v>0</v>
      </c>
      <c r="E11" s="1" t="s">
        <v>11</v>
      </c>
      <c r="F11" s="4" t="str">
        <f>IF(D11&lt;&gt;C11,IF(AND(D11&gt;=25,D11&lt;35),"warning",IF(AND(D11&gt;=35,D11&lt;=50),"快要 O.O.C 啦",IF(D11&gt;50,"超出規格 O.O.C 啦",""))))</f>
        <v/>
      </c>
      <c r="I11" s="8"/>
      <c r="J11" s="8"/>
    </row>
    <row r="12" spans="1:10">
      <c r="A12" s="1" t="s">
        <v>27</v>
      </c>
      <c r="B12" s="3">
        <v>44907.090775462966</v>
      </c>
      <c r="C12" s="1" t="s">
        <v>31</v>
      </c>
      <c r="D12" s="1">
        <v>3</v>
      </c>
      <c r="E12" s="1" t="s">
        <v>11</v>
      </c>
      <c r="F12" s="4" t="str">
        <f>IF(D12&lt;&gt;C12,IF(AND(D12&gt;=25,D12&lt;35),"warning",IF(AND(D12&gt;=35,D12&lt;=50),"快要 O.O.C 啦",IF(D12&gt;50,"超出規格 O.O.C 啦",""))))</f>
        <v/>
      </c>
    </row>
    <row r="13" spans="1:10">
      <c r="A13" s="1" t="s">
        <v>27</v>
      </c>
      <c r="B13" s="3">
        <v>44907.090775462966</v>
      </c>
      <c r="C13" s="1" t="s">
        <v>29</v>
      </c>
      <c r="D13" s="1">
        <v>11</v>
      </c>
      <c r="E13" s="1" t="s">
        <v>11</v>
      </c>
      <c r="F13" s="4" t="str">
        <f>IF(D13&lt;&gt;C13,IF(AND(D13&gt;=25,D13&lt;35),"warning",IF(AND(D13&gt;=35,D13&lt;=50),"快要 O.O.C 啦",IF(D13&gt;50,"超出規格 O.O.C 啦",""))))</f>
        <v/>
      </c>
    </row>
    <row r="14" spans="1:10">
      <c r="A14" s="1" t="s">
        <v>30</v>
      </c>
      <c r="B14" s="3">
        <v>44907.004826388889</v>
      </c>
      <c r="C14" s="1" t="s">
        <v>31</v>
      </c>
      <c r="D14" s="1">
        <v>0</v>
      </c>
      <c r="E14" s="1" t="s">
        <v>11</v>
      </c>
      <c r="F14" s="4" t="str">
        <f>IF(D14&lt;&gt;C14,IF(AND(D14&gt;=25,D14&lt;35),"warning",IF(AND(D14&gt;=35,D14&lt;=50),"快要 O.O.C 啦",IF(D14&gt;50,"超出規格 O.O.C 啦",""))))</f>
        <v/>
      </c>
    </row>
    <row r="15" spans="1:10">
      <c r="A15" s="1" t="s">
        <v>30</v>
      </c>
      <c r="B15" s="3">
        <v>44907.004826388889</v>
      </c>
      <c r="C15" s="1" t="s">
        <v>29</v>
      </c>
      <c r="D15" s="1">
        <v>0</v>
      </c>
      <c r="E15" s="1" t="s">
        <v>11</v>
      </c>
      <c r="F15" s="4" t="str">
        <f>IF(D15&lt;&gt;C15,IF(AND(D15&gt;=25,D15&lt;35),"warning",IF(AND(D15&gt;=35,D15&lt;=50),"快要 O.O.C 啦",IF(D15&gt;50,"超出規格 O.O.C 啦",""))))</f>
        <v/>
      </c>
    </row>
    <row r="16" spans="1:10">
      <c r="A16" s="1" t="s">
        <v>28</v>
      </c>
      <c r="B16" s="3">
        <v>44906.986666666664</v>
      </c>
      <c r="C16" s="1" t="s">
        <v>31</v>
      </c>
      <c r="D16" s="1">
        <v>16</v>
      </c>
      <c r="E16" s="1" t="s">
        <v>11</v>
      </c>
      <c r="F16" s="4" t="str">
        <f>IF(D16&lt;&gt;C16,IF(AND(D16&gt;=25,D16&lt;35),"warning",IF(AND(D16&gt;=35,D16&lt;=50),"快要 O.O.C 啦",IF(D16&gt;50,"超出規格 O.O.C 啦",""))))</f>
        <v/>
      </c>
    </row>
    <row r="17" spans="1:6">
      <c r="A17" s="1" t="s">
        <v>28</v>
      </c>
      <c r="B17" s="3">
        <v>44906.986666666664</v>
      </c>
      <c r="C17" s="1" t="s">
        <v>29</v>
      </c>
      <c r="D17" s="1">
        <v>20</v>
      </c>
      <c r="E17" s="1" t="s">
        <v>11</v>
      </c>
      <c r="F17" s="4" t="str">
        <f>IF(D17&lt;&gt;C17,IF(AND(D17&gt;=25,D17&lt;35),"warning",IF(AND(D17&gt;=35,D17&lt;=50),"快要 O.O.C 啦",IF(D17&gt;50,"超出規格 O.O.C 啦",""))))</f>
        <v/>
      </c>
    </row>
    <row r="18" spans="1:6">
      <c r="A18" s="1" t="s">
        <v>24</v>
      </c>
      <c r="B18" s="3">
        <v>44906.954328703701</v>
      </c>
      <c r="C18" s="1" t="s">
        <v>31</v>
      </c>
      <c r="D18" s="1">
        <v>0</v>
      </c>
      <c r="E18" s="1" t="s">
        <v>11</v>
      </c>
      <c r="F18" s="4" t="str">
        <f>IF(D18&lt;&gt;C18,IF(AND(D18&gt;=25,D18&lt;35),"warning",IF(AND(D18&gt;=35,D18&lt;=50),"快要 O.O.C 啦",IF(D18&gt;50,"超出規格 O.O.C 啦",""))))</f>
        <v/>
      </c>
    </row>
    <row r="19" spans="1:6">
      <c r="A19" s="1" t="s">
        <v>24</v>
      </c>
      <c r="B19" s="3">
        <v>44906.954328703701</v>
      </c>
      <c r="C19" s="1" t="s">
        <v>29</v>
      </c>
      <c r="D19" s="1">
        <v>0</v>
      </c>
      <c r="E19" s="1" t="s">
        <v>11</v>
      </c>
      <c r="F19" s="4" t="str">
        <f>IF(D19&lt;&gt;C19,IF(AND(D19&gt;=25,D19&lt;35),"warning",IF(AND(D19&gt;=35,D19&lt;=50),"快要 O.O.C 啦",IF(D19&gt;50,"超出規格 O.O.C 啦",""))))</f>
        <v/>
      </c>
    </row>
    <row r="20" spans="1:6">
      <c r="A20" s="1" t="s">
        <v>27</v>
      </c>
      <c r="B20" s="3">
        <v>44906.915729166663</v>
      </c>
      <c r="C20" s="1" t="s">
        <v>31</v>
      </c>
      <c r="D20" s="1">
        <v>11</v>
      </c>
      <c r="E20" s="1" t="s">
        <v>11</v>
      </c>
      <c r="F20" s="4" t="str">
        <f>IF(D20&lt;&gt;C20,IF(AND(D20&gt;=25,D20&lt;35),"warning",IF(AND(D20&gt;=35,D20&lt;=50),"快要 O.O.C 啦",IF(D20&gt;50,"超出規格 O.O.C 啦",""))))</f>
        <v/>
      </c>
    </row>
    <row r="21" spans="1:6">
      <c r="A21" s="1" t="s">
        <v>27</v>
      </c>
      <c r="B21" s="3">
        <v>44906.915729166663</v>
      </c>
      <c r="C21" s="1" t="s">
        <v>29</v>
      </c>
      <c r="D21" s="1">
        <v>15</v>
      </c>
      <c r="E21" s="1" t="s">
        <v>11</v>
      </c>
      <c r="F21" s="4" t="str">
        <f>IF(D21&lt;&gt;C21,IF(AND(D21&gt;=25,D21&lt;35),"warning",IF(AND(D21&gt;=35,D21&lt;=50),"快要 O.O.C 啦",IF(D21&gt;50,"超出規格 O.O.C 啦",""))))</f>
        <v/>
      </c>
    </row>
    <row r="22" spans="1:6">
      <c r="A22" s="1" t="s">
        <v>30</v>
      </c>
      <c r="B22" s="3">
        <v>44906.830497685187</v>
      </c>
      <c r="C22" s="1" t="s">
        <v>25</v>
      </c>
      <c r="D22" s="1">
        <v>0</v>
      </c>
      <c r="E22" s="1" t="s">
        <v>11</v>
      </c>
      <c r="F22" s="4" t="str">
        <f>IF(D22&lt;&gt;C22,IF(AND(D22&gt;=25,D22&lt;35),"warning",IF(AND(D22&gt;=35,D22&lt;=50),"快要 O.O.C 啦",IF(D22&gt;50,"超出規格 O.O.C 啦",""))))</f>
        <v/>
      </c>
    </row>
    <row r="23" spans="1:6">
      <c r="A23" s="1" t="s">
        <v>24</v>
      </c>
      <c r="B23" s="3">
        <v>44906.751608796294</v>
      </c>
      <c r="C23" s="1" t="s">
        <v>25</v>
      </c>
      <c r="D23" s="1">
        <v>0</v>
      </c>
      <c r="E23" s="1" t="s">
        <v>11</v>
      </c>
      <c r="F23" s="4" t="str">
        <f>IF(D23&lt;&gt;C23,IF(AND(D23&gt;=25,D23&lt;35),"warning",IF(AND(D23&gt;=35,D23&lt;=50),"快要 O.O.C 啦",IF(D23&gt;50,"超出規格 O.O.C 啦",""))))</f>
        <v/>
      </c>
    </row>
    <row r="24" spans="1:6">
      <c r="A24" s="1" t="s">
        <v>28</v>
      </c>
      <c r="B24" s="3">
        <v>44906.746400462966</v>
      </c>
      <c r="C24" s="1" t="s">
        <v>25</v>
      </c>
      <c r="D24" s="1">
        <v>1</v>
      </c>
      <c r="E24" s="1" t="s">
        <v>11</v>
      </c>
      <c r="F24" s="4" t="str">
        <f>IF(D24&lt;&gt;C24,IF(AND(D24&gt;=25,D24&lt;35),"warning",IF(AND(D24&gt;=35,D24&lt;=50),"快要 O.O.C 啦",IF(D24&gt;50,"超出規格 O.O.C 啦",""))))</f>
        <v/>
      </c>
    </row>
    <row r="25" spans="1:6">
      <c r="A25" s="1" t="s">
        <v>27</v>
      </c>
      <c r="B25" s="3">
        <v>44906.680752314816</v>
      </c>
      <c r="C25" s="1" t="s">
        <v>25</v>
      </c>
      <c r="D25" s="1">
        <v>0</v>
      </c>
      <c r="E25" s="1" t="s">
        <v>11</v>
      </c>
      <c r="F25" s="4" t="str">
        <f>IF(D25&lt;&gt;C25,IF(AND(D25&gt;=25,D25&lt;35),"warning",IF(AND(D25&gt;=35,D25&lt;=50),"快要 O.O.C 啦",IF(D25&gt;50,"超出規格 O.O.C 啦",""))))</f>
        <v/>
      </c>
    </row>
    <row r="26" spans="1:6">
      <c r="A26" s="1" t="s">
        <v>24</v>
      </c>
      <c r="B26" s="3">
        <v>44906.522534722222</v>
      </c>
      <c r="C26" s="1" t="s">
        <v>25</v>
      </c>
      <c r="D26" s="1">
        <v>6</v>
      </c>
      <c r="E26" s="1" t="s">
        <v>11</v>
      </c>
      <c r="F26" s="4" t="str">
        <f>IF(D26&lt;&gt;C26,IF(AND(D26&gt;=25,D26&lt;35),"warning",IF(AND(D26&gt;=35,D26&lt;=50),"快要 O.O.C 啦",IF(D26&gt;50,"超出規格 O.O.C 啦",""))))</f>
        <v/>
      </c>
    </row>
    <row r="27" spans="1:6">
      <c r="A27" s="1" t="s">
        <v>30</v>
      </c>
      <c r="B27" s="3">
        <v>44906.439398148148</v>
      </c>
      <c r="C27" s="1" t="s">
        <v>29</v>
      </c>
      <c r="D27" s="1">
        <v>0</v>
      </c>
      <c r="E27" s="1" t="s">
        <v>11</v>
      </c>
      <c r="F27" s="4" t="str">
        <f>IF(D27&lt;&gt;C27,IF(AND(D27&gt;=25,D27&lt;35),"warning",IF(AND(D27&gt;=35,D27&lt;=50),"快要 O.O.C 啦",IF(D27&gt;50,"超出規格 O.O.C 啦",""))))</f>
        <v/>
      </c>
    </row>
    <row r="28" spans="1:6">
      <c r="A28" s="1" t="s">
        <v>28</v>
      </c>
      <c r="B28" s="3">
        <v>44906.369409722225</v>
      </c>
      <c r="C28" s="1" t="s">
        <v>29</v>
      </c>
      <c r="D28" s="1">
        <v>0</v>
      </c>
      <c r="E28" s="1" t="s">
        <v>11</v>
      </c>
      <c r="F28" s="4" t="str">
        <f>IF(D28&lt;&gt;C28,IF(AND(D28&gt;=25,D28&lt;35),"warning",IF(AND(D28&gt;=35,D28&lt;=50),"快要 O.O.C 啦",IF(D28&gt;50,"超出規格 O.O.C 啦",""))))</f>
        <v/>
      </c>
    </row>
    <row r="29" spans="1:6">
      <c r="A29" s="1" t="s">
        <v>24</v>
      </c>
      <c r="B29" s="3">
        <v>44906.279224537036</v>
      </c>
      <c r="C29" s="1" t="s">
        <v>29</v>
      </c>
      <c r="D29" s="1">
        <v>0</v>
      </c>
      <c r="E29" s="1" t="s">
        <v>11</v>
      </c>
      <c r="F29" s="4" t="str">
        <f>IF(D29&lt;&gt;C29,IF(AND(D29&gt;=25,D29&lt;35),"warning",IF(AND(D29&gt;=35,D29&lt;=50),"快要 O.O.C 啦",IF(D29&gt;50,"超出規格 O.O.C 啦",""))))</f>
        <v/>
      </c>
    </row>
    <row r="30" spans="1:6">
      <c r="A30" s="1" t="s">
        <v>30</v>
      </c>
      <c r="B30" s="3">
        <v>44906.250486111108</v>
      </c>
      <c r="C30" s="1" t="s">
        <v>29</v>
      </c>
      <c r="D30" s="1">
        <v>2</v>
      </c>
      <c r="E30" s="1" t="s">
        <v>11</v>
      </c>
      <c r="F30" s="4" t="str">
        <f>IF(D30&lt;&gt;C30,IF(AND(D30&gt;=25,D30&lt;35),"warning",IF(AND(D30&gt;=35,D30&lt;=50),"快要 O.O.C 啦",IF(D30&gt;50,"超出規格 O.O.C 啦",""))))</f>
        <v/>
      </c>
    </row>
    <row r="31" spans="1:6">
      <c r="A31" s="1" t="s">
        <v>28</v>
      </c>
      <c r="B31" s="3">
        <v>44906.174664351849</v>
      </c>
      <c r="C31" s="1" t="s">
        <v>29</v>
      </c>
      <c r="D31" s="1">
        <v>1</v>
      </c>
      <c r="E31" s="1" t="s">
        <v>11</v>
      </c>
      <c r="F31" s="4" t="str">
        <f>IF(D31&lt;&gt;C31,IF(AND(D31&gt;=25,D31&lt;35),"warning",IF(AND(D31&gt;=35,D31&lt;=50),"快要 O.O.C 啦",IF(D31&gt;50,"超出規格 O.O.C 啦",""))))</f>
        <v/>
      </c>
    </row>
    <row r="32" spans="1:6">
      <c r="A32" s="1" t="s">
        <v>52</v>
      </c>
      <c r="B32" s="3">
        <v>44906.160381944443</v>
      </c>
      <c r="C32" s="1" t="s">
        <v>25</v>
      </c>
      <c r="D32" s="1">
        <v>20</v>
      </c>
      <c r="E32" s="1" t="s">
        <v>11</v>
      </c>
      <c r="F32" s="4" t="str">
        <f>IF(D32&lt;&gt;C32,IF(AND(D32&gt;=25,D32&lt;35),"warning",IF(AND(D32&gt;=35,D32&lt;=50),"快要 O.O.C 啦",IF(D32&gt;50,"超出規格 O.O.C 啦",""))))</f>
        <v/>
      </c>
    </row>
    <row r="33" spans="1:6">
      <c r="A33" s="1" t="s">
        <v>24</v>
      </c>
      <c r="B33" s="3">
        <v>44906.08148148148</v>
      </c>
      <c r="C33" s="1" t="s">
        <v>31</v>
      </c>
      <c r="D33" s="1">
        <v>2</v>
      </c>
      <c r="E33" s="1" t="s">
        <v>11</v>
      </c>
      <c r="F33" s="4" t="str">
        <f>IF(D33&lt;&gt;C33,IF(AND(D33&gt;=25,D33&lt;35),"warning",IF(AND(D33&gt;=35,D33&lt;=50),"快要 O.O.C 啦",IF(D33&gt;50,"超出規格 O.O.C 啦",""))))</f>
        <v/>
      </c>
    </row>
    <row r="34" spans="1:6">
      <c r="A34" s="1" t="s">
        <v>24</v>
      </c>
      <c r="B34" s="3">
        <v>44906.08148148148</v>
      </c>
      <c r="C34" s="1" t="s">
        <v>29</v>
      </c>
      <c r="D34" s="1">
        <v>0</v>
      </c>
      <c r="E34" s="1" t="s">
        <v>11</v>
      </c>
      <c r="F34" s="4" t="str">
        <f>IF(D34&lt;&gt;C34,IF(AND(D34&gt;=25,D34&lt;35),"warning",IF(AND(D34&gt;=35,D34&lt;=50),"快要 O.O.C 啦",IF(D34&gt;50,"超出規格 O.O.C 啦",""))))</f>
        <v/>
      </c>
    </row>
    <row r="35" spans="1:6">
      <c r="A35" s="1" t="s">
        <v>30</v>
      </c>
      <c r="B35" s="3">
        <v>44906.059386574074</v>
      </c>
      <c r="C35" s="1" t="s">
        <v>31</v>
      </c>
      <c r="D35" s="1">
        <v>14</v>
      </c>
      <c r="E35" s="1" t="s">
        <v>11</v>
      </c>
      <c r="F35" s="4" t="str">
        <f>IF(D35&lt;&gt;C35,IF(AND(D35&gt;=25,D35&lt;35),"warning",IF(AND(D35&gt;=35,D35&lt;=50),"快要 O.O.C 啦",IF(D35&gt;50,"超出規格 O.O.C 啦",""))))</f>
        <v/>
      </c>
    </row>
    <row r="36" spans="1:6">
      <c r="A36" s="1" t="s">
        <v>30</v>
      </c>
      <c r="B36" s="3">
        <v>44906.059386574074</v>
      </c>
      <c r="C36" s="1" t="s">
        <v>29</v>
      </c>
      <c r="D36" s="1">
        <v>0</v>
      </c>
      <c r="E36" s="1" t="s">
        <v>11</v>
      </c>
      <c r="F36" s="4" t="str">
        <f>IF(D36&lt;&gt;C36,IF(AND(D36&gt;=25,D36&lt;35),"warning",IF(AND(D36&gt;=35,D36&lt;=50),"快要 O.O.C 啦",IF(D36&gt;50,"超出規格 O.O.C 啦",""))))</f>
        <v/>
      </c>
    </row>
    <row r="37" spans="1:6">
      <c r="A37" s="1" t="s">
        <v>28</v>
      </c>
      <c r="B37" s="3">
        <v>44905.947685185187</v>
      </c>
      <c r="C37" s="1" t="s">
        <v>31</v>
      </c>
      <c r="D37" s="1">
        <v>0</v>
      </c>
      <c r="E37" s="1" t="s">
        <v>11</v>
      </c>
      <c r="F37" s="4" t="str">
        <f>IF(D37&lt;&gt;C37,IF(AND(D37&gt;=25,D37&lt;35),"warning",IF(AND(D37&gt;=35,D37&lt;=50),"快要 O.O.C 啦",IF(D37&gt;50,"超出規格 O.O.C 啦",""))))</f>
        <v/>
      </c>
    </row>
    <row r="38" spans="1:6">
      <c r="A38" s="1" t="s">
        <v>28</v>
      </c>
      <c r="B38" s="3">
        <v>44905.947685185187</v>
      </c>
      <c r="C38" s="1" t="s">
        <v>29</v>
      </c>
      <c r="D38" s="1">
        <v>0</v>
      </c>
      <c r="E38" s="1" t="s">
        <v>11</v>
      </c>
      <c r="F38" s="4" t="str">
        <f>IF(D38&lt;&gt;C38,IF(AND(D38&gt;=25,D38&lt;35),"warning",IF(AND(D38&gt;=35,D38&lt;=50),"快要 O.O.C 啦",IF(D38&gt;50,"超出規格 O.O.C 啦",""))))</f>
        <v/>
      </c>
    </row>
    <row r="39" spans="1:6">
      <c r="A39" s="1" t="s">
        <v>24</v>
      </c>
      <c r="B39" s="3">
        <v>44905.885706018518</v>
      </c>
      <c r="C39" s="1" t="s">
        <v>31</v>
      </c>
      <c r="D39" s="1">
        <v>0</v>
      </c>
      <c r="E39" s="1" t="s">
        <v>11</v>
      </c>
      <c r="F39" s="4" t="str">
        <f>IF(D39&lt;&gt;C39,IF(AND(D39&gt;=25,D39&lt;35),"warning",IF(AND(D39&gt;=35,D39&lt;=50),"快要 O.O.C 啦",IF(D39&gt;50,"超出規格 O.O.C 啦",""))))</f>
        <v/>
      </c>
    </row>
    <row r="40" spans="1:6">
      <c r="A40" s="1" t="s">
        <v>24</v>
      </c>
      <c r="B40" s="3">
        <v>44905.885706018518</v>
      </c>
      <c r="C40" s="1" t="s">
        <v>29</v>
      </c>
      <c r="D40" s="1">
        <v>0</v>
      </c>
      <c r="E40" s="1" t="s">
        <v>11</v>
      </c>
      <c r="F40" s="4" t="str">
        <f>IF(D40&lt;&gt;C40,IF(AND(D40&gt;=25,D40&lt;35),"warning",IF(AND(D40&gt;=35,D40&lt;=50),"快要 O.O.C 啦",IF(D40&gt;50,"超出規格 O.O.C 啦",""))))</f>
        <v/>
      </c>
    </row>
    <row r="41" spans="1:6">
      <c r="A41" s="1" t="s">
        <v>27</v>
      </c>
      <c r="B41" s="3">
        <v>44905.786724537036</v>
      </c>
      <c r="C41" s="1" t="s">
        <v>25</v>
      </c>
      <c r="D41" s="1">
        <v>0</v>
      </c>
      <c r="E41" s="1" t="s">
        <v>11</v>
      </c>
      <c r="F41" s="4" t="str">
        <f>IF(D41&lt;&gt;C41,IF(AND(D41&gt;=25,D41&lt;35),"warning",IF(AND(D41&gt;=35,D41&lt;=50),"快要 O.O.C 啦",IF(D41&gt;50,"超出規格 O.O.C 啦",""))))</f>
        <v/>
      </c>
    </row>
    <row r="42" spans="1:6">
      <c r="A42" s="1" t="s">
        <v>28</v>
      </c>
      <c r="B42" s="3">
        <v>44905.679745370369</v>
      </c>
      <c r="C42" s="1" t="s">
        <v>25</v>
      </c>
      <c r="D42" s="1">
        <v>0</v>
      </c>
      <c r="E42" s="1" t="s">
        <v>11</v>
      </c>
      <c r="F42" s="4" t="str">
        <f>IF(D42&lt;&gt;C42,IF(AND(D42&gt;=25,D42&lt;35),"warning",IF(AND(D42&gt;=35,D42&lt;=50),"快要 O.O.C 啦",IF(D42&gt;50,"超出規格 O.O.C 啦",""))))</f>
        <v/>
      </c>
    </row>
    <row r="43" spans="1:6">
      <c r="A43" s="1" t="s">
        <v>24</v>
      </c>
      <c r="B43" s="3">
        <v>44905.515706018516</v>
      </c>
      <c r="C43" s="1" t="s">
        <v>25</v>
      </c>
      <c r="D43" s="1">
        <v>0</v>
      </c>
      <c r="E43" s="1" t="s">
        <v>11</v>
      </c>
      <c r="F43" s="4" t="str">
        <f>IF(D43&lt;&gt;C43,IF(AND(D43&gt;=25,D43&lt;35),"warning",IF(AND(D43&gt;=35,D43&lt;=50),"快要 O.O.C 啦",IF(D43&gt;50,"超出規格 O.O.C 啦",""))))</f>
        <v/>
      </c>
    </row>
    <row r="44" spans="1:6">
      <c r="A44" s="1" t="s">
        <v>30</v>
      </c>
      <c r="B44" s="3">
        <v>44905.424699074072</v>
      </c>
      <c r="C44" s="1" t="s">
        <v>29</v>
      </c>
      <c r="D44" s="1">
        <v>0</v>
      </c>
      <c r="E44" s="1" t="s">
        <v>11</v>
      </c>
      <c r="F44" s="4" t="str">
        <f>IF(D44&lt;&gt;C44,IF(AND(D44&gt;=25,D44&lt;35),"warning",IF(AND(D44&gt;=35,D44&lt;=50),"快要 O.O.C 啦",IF(D44&gt;50,"超出規格 O.O.C 啦",""))))</f>
        <v/>
      </c>
    </row>
    <row r="45" spans="1:6">
      <c r="A45" s="1" t="s">
        <v>27</v>
      </c>
      <c r="B45" s="3">
        <v>44905.417615740742</v>
      </c>
      <c r="C45" s="1" t="s">
        <v>29</v>
      </c>
      <c r="D45" s="1">
        <v>0</v>
      </c>
      <c r="E45" s="1" t="s">
        <v>11</v>
      </c>
      <c r="F45" s="4" t="str">
        <f>IF(D45&lt;&gt;C45,IF(AND(D45&gt;=25,D45&lt;35),"warning",IF(AND(D45&gt;=35,D45&lt;=50),"快要 O.O.C 啦",IF(D45&gt;50,"超出規格 O.O.C 啦",""))))</f>
        <v/>
      </c>
    </row>
    <row r="46" spans="1:6">
      <c r="A46" s="1" t="s">
        <v>24</v>
      </c>
      <c r="B46" s="3">
        <v>44905.330393518518</v>
      </c>
      <c r="C46" s="1" t="s">
        <v>29</v>
      </c>
      <c r="D46" s="1">
        <v>0</v>
      </c>
      <c r="E46" s="1" t="s">
        <v>11</v>
      </c>
      <c r="F46" s="4" t="str">
        <f>IF(D46&lt;&gt;C46,IF(AND(D46&gt;=25,D46&lt;35),"warning",IF(AND(D46&gt;=35,D46&lt;=50),"快要 O.O.C 啦",IF(D46&gt;50,"超出規格 O.O.C 啦",""))))</f>
        <v/>
      </c>
    </row>
    <row r="47" spans="1:6">
      <c r="A47" s="1" t="s">
        <v>28</v>
      </c>
      <c r="B47" s="3">
        <v>44905.284699074073</v>
      </c>
      <c r="C47" s="1" t="s">
        <v>29</v>
      </c>
      <c r="D47" s="1">
        <v>0</v>
      </c>
      <c r="E47" s="1" t="s">
        <v>11</v>
      </c>
      <c r="F47" s="4" t="str">
        <f>IF(D47&lt;&gt;C47,IF(AND(D47&gt;=25,D47&lt;35),"warning",IF(AND(D47&gt;=35,D47&lt;=50),"快要 O.O.C 啦",IF(D47&gt;50,"超出規格 O.O.C 啦",""))))</f>
        <v/>
      </c>
    </row>
    <row r="48" spans="1:6">
      <c r="A48" s="1" t="s">
        <v>28</v>
      </c>
      <c r="B48" s="3">
        <v>44904.957175925927</v>
      </c>
      <c r="C48" s="1" t="s">
        <v>31</v>
      </c>
      <c r="D48" s="1">
        <v>0</v>
      </c>
      <c r="E48" s="1" t="s">
        <v>11</v>
      </c>
      <c r="F48" s="4" t="str">
        <f>IF(D48&lt;&gt;C48,IF(AND(D48&gt;=25,D48&lt;35),"warning",IF(AND(D48&gt;=35,D48&lt;=50),"快要 O.O.C 啦",IF(D48&gt;50,"超出規格 O.O.C 啦",""))))</f>
        <v/>
      </c>
    </row>
    <row r="49" spans="1:6">
      <c r="A49" s="1" t="s">
        <v>28</v>
      </c>
      <c r="B49" s="3">
        <v>44904.957175925927</v>
      </c>
      <c r="C49" s="1" t="s">
        <v>29</v>
      </c>
      <c r="D49" s="1">
        <v>0</v>
      </c>
      <c r="E49" s="1" t="s">
        <v>11</v>
      </c>
      <c r="F49" s="4" t="str">
        <f>IF(D49&lt;&gt;C49,IF(AND(D49&gt;=25,D49&lt;35),"warning",IF(AND(D49&gt;=35,D49&lt;=50),"快要 O.O.C 啦",IF(D49&gt;50,"超出規格 O.O.C 啦",""))))</f>
        <v/>
      </c>
    </row>
    <row r="50" spans="1:6">
      <c r="A50" s="1" t="s">
        <v>24</v>
      </c>
      <c r="B50" s="3">
        <v>44904.910127314812</v>
      </c>
      <c r="C50" s="1" t="s">
        <v>31</v>
      </c>
      <c r="D50" s="1">
        <v>0</v>
      </c>
      <c r="E50" s="1" t="s">
        <v>11</v>
      </c>
      <c r="F50" s="4" t="str">
        <f>IF(D50&lt;&gt;C50,IF(AND(D50&gt;=25,D50&lt;35),"warning",IF(AND(D50&gt;=35,D50&lt;=50),"快要 O.O.C 啦",IF(D50&gt;50,"超出規格 O.O.C 啦",""))))</f>
        <v/>
      </c>
    </row>
    <row r="51" spans="1:6">
      <c r="A51" s="1" t="s">
        <v>24</v>
      </c>
      <c r="B51" s="3">
        <v>44904.910127314812</v>
      </c>
      <c r="C51" s="1" t="s">
        <v>29</v>
      </c>
      <c r="D51" s="1">
        <v>0</v>
      </c>
      <c r="E51" s="1" t="s">
        <v>11</v>
      </c>
      <c r="F51" s="4" t="str">
        <f>IF(D51&lt;&gt;C51,IF(AND(D51&gt;=25,D51&lt;35),"warning",IF(AND(D51&gt;=35,D51&lt;=50),"快要 O.O.C 啦",IF(D51&gt;50,"超出規格 O.O.C 啦",""))))</f>
        <v/>
      </c>
    </row>
    <row r="52" spans="1:6">
      <c r="A52" s="1" t="s">
        <v>30</v>
      </c>
      <c r="B52" s="3">
        <v>44904.666250000002</v>
      </c>
      <c r="C52" s="1" t="s">
        <v>25</v>
      </c>
      <c r="D52" s="1">
        <v>0</v>
      </c>
      <c r="E52" s="1" t="s">
        <v>11</v>
      </c>
      <c r="F52" s="4" t="str">
        <f>IF(D52&lt;&gt;C52,IF(AND(D52&gt;=25,D52&lt;35),"warning",IF(AND(D52&gt;=35,D52&lt;=50),"快要 O.O.C 啦",IF(D52&gt;50,"超出規格 O.O.C 啦",""))))</f>
        <v/>
      </c>
    </row>
    <row r="53" spans="1:6">
      <c r="A53" s="1" t="s">
        <v>27</v>
      </c>
      <c r="B53" s="3">
        <v>44904.656782407408</v>
      </c>
      <c r="C53" s="1" t="s">
        <v>25</v>
      </c>
      <c r="D53" s="1">
        <v>0</v>
      </c>
      <c r="E53" s="1" t="s">
        <v>11</v>
      </c>
      <c r="F53" s="4" t="str">
        <f>IF(D53&lt;&gt;C53,IF(AND(D53&gt;=25,D53&lt;35),"warning",IF(AND(D53&gt;=35,D53&lt;=50),"快要 O.O.C 啦",IF(D53&gt;50,"超出規格 O.O.C 啦",""))))</f>
        <v/>
      </c>
    </row>
    <row r="54" spans="1:6">
      <c r="A54" s="1" t="s">
        <v>24</v>
      </c>
      <c r="B54" s="3">
        <v>44904.613969907405</v>
      </c>
      <c r="C54" s="1" t="s">
        <v>25</v>
      </c>
      <c r="D54" s="1">
        <v>1</v>
      </c>
      <c r="E54" s="1" t="s">
        <v>11</v>
      </c>
      <c r="F54" s="4" t="str">
        <f>IF(D54&lt;&gt;C54,IF(AND(D54&gt;=25,D54&lt;35),"warning",IF(AND(D54&gt;=35,D54&lt;=50),"快要 O.O.C 啦",IF(D54&gt;50,"超出規格 O.O.C 啦",""))))</f>
        <v/>
      </c>
    </row>
    <row r="55" spans="1:6">
      <c r="A55" s="1" t="s">
        <v>28</v>
      </c>
      <c r="B55" s="3">
        <v>44904.579652777778</v>
      </c>
      <c r="C55" s="1" t="s">
        <v>25</v>
      </c>
      <c r="D55" s="1">
        <v>0</v>
      </c>
      <c r="E55" s="1" t="s">
        <v>11</v>
      </c>
      <c r="F55" s="4" t="str">
        <f>IF(D55&lt;&gt;C55,IF(AND(D55&gt;=25,D55&lt;35),"warning",IF(AND(D55&gt;=35,D55&lt;=50),"快要 O.O.C 啦",IF(D55&gt;50,"超出規格 O.O.C 啦",""))))</f>
        <v/>
      </c>
    </row>
    <row r="56" spans="1:6">
      <c r="A56" s="1" t="s">
        <v>30</v>
      </c>
      <c r="B56" s="3">
        <v>44904.448460648149</v>
      </c>
      <c r="C56" s="1" t="s">
        <v>29</v>
      </c>
      <c r="D56" s="1">
        <v>0</v>
      </c>
      <c r="E56" s="1" t="s">
        <v>11</v>
      </c>
      <c r="F56" s="4" t="str">
        <f>IF(D56&lt;&gt;C56,IF(AND(D56&gt;=25,D56&lt;35),"warning",IF(AND(D56&gt;=35,D56&lt;=50),"快要 O.O.C 啦",IF(D56&gt;50,"超出規格 O.O.C 啦",""))))</f>
        <v/>
      </c>
    </row>
    <row r="57" spans="1:6">
      <c r="A57" s="1" t="s">
        <v>24</v>
      </c>
      <c r="B57" s="3">
        <v>44904.42596064815</v>
      </c>
      <c r="C57" s="1" t="s">
        <v>29</v>
      </c>
      <c r="D57" s="1">
        <v>0</v>
      </c>
      <c r="E57" s="1" t="s">
        <v>11</v>
      </c>
      <c r="F57" s="4" t="str">
        <f>IF(D57&lt;&gt;C57,IF(AND(D57&gt;=25,D57&lt;35),"warning",IF(AND(D57&gt;=35,D57&lt;=50),"快要 O.O.C 啦",IF(D57&gt;50,"超出規格 O.O.C 啦",""))))</f>
        <v/>
      </c>
    </row>
    <row r="58" spans="1:6">
      <c r="A58" s="1" t="s">
        <v>27</v>
      </c>
      <c r="B58" s="3">
        <v>44904.389953703707</v>
      </c>
      <c r="C58" s="1" t="s">
        <v>29</v>
      </c>
      <c r="D58" s="1">
        <v>0</v>
      </c>
      <c r="E58" s="1" t="s">
        <v>11</v>
      </c>
      <c r="F58" s="4" t="str">
        <f>IF(D58&lt;&gt;C58,IF(AND(D58&gt;=25,D58&lt;35),"warning",IF(AND(D58&gt;=35,D58&lt;=50),"快要 O.O.C 啦",IF(D58&gt;50,"超出規格 O.O.C 啦",""))))</f>
        <v/>
      </c>
    </row>
    <row r="59" spans="1:6">
      <c r="A59" s="1" t="s">
        <v>28</v>
      </c>
      <c r="B59" s="3">
        <v>44904.331493055557</v>
      </c>
      <c r="C59" s="1" t="s">
        <v>29</v>
      </c>
      <c r="D59" s="1">
        <v>0</v>
      </c>
      <c r="E59" s="1" t="s">
        <v>11</v>
      </c>
      <c r="F59" s="4" t="str">
        <f>IF(D59&lt;&gt;C59,IF(AND(D59&gt;=25,D59&lt;35),"warning",IF(AND(D59&gt;=35,D59&lt;=50),"快要 O.O.C 啦",IF(D59&gt;50,"超出規格 O.O.C 啦",""))))</f>
        <v/>
      </c>
    </row>
    <row r="60" spans="1:6">
      <c r="A60" s="1" t="s">
        <v>30</v>
      </c>
      <c r="B60" s="3">
        <v>44904.264560185184</v>
      </c>
      <c r="C60" s="1" t="s">
        <v>29</v>
      </c>
      <c r="D60" s="1">
        <v>0</v>
      </c>
      <c r="E60" s="1" t="s">
        <v>11</v>
      </c>
      <c r="F60" s="4" t="str">
        <f>IF(D60&lt;&gt;C60,IF(AND(D60&gt;=25,D60&lt;35),"warning",IF(AND(D60&gt;=35,D60&lt;=50),"快要 O.O.C 啦",IF(D60&gt;50,"超出規格 O.O.C 啦",""))))</f>
        <v/>
      </c>
    </row>
    <row r="61" spans="1:6">
      <c r="A61" s="1" t="s">
        <v>24</v>
      </c>
      <c r="B61" s="3">
        <v>44904.237928240742</v>
      </c>
      <c r="C61" s="1" t="s">
        <v>29</v>
      </c>
      <c r="D61" s="1">
        <v>0</v>
      </c>
      <c r="E61" s="1" t="s">
        <v>11</v>
      </c>
      <c r="F61" s="4" t="str">
        <f>IF(D61&lt;&gt;C61,IF(AND(D61&gt;=25,D61&lt;35),"warning",IF(AND(D61&gt;=35,D61&lt;=50),"快要 O.O.C 啦",IF(D61&gt;50,"超出規格 O.O.C 啦",""))))</f>
        <v/>
      </c>
    </row>
    <row r="62" spans="1:6">
      <c r="A62" s="1" t="s">
        <v>28</v>
      </c>
      <c r="B62" s="3">
        <v>44904.141736111109</v>
      </c>
      <c r="C62" s="1" t="s">
        <v>31</v>
      </c>
      <c r="D62" s="1">
        <v>0</v>
      </c>
      <c r="E62" s="1" t="s">
        <v>11</v>
      </c>
      <c r="F62" s="4" t="str">
        <f>IF(D62&lt;&gt;C62,IF(AND(D62&gt;=25,D62&lt;35),"warning",IF(AND(D62&gt;=35,D62&lt;=50),"快要 O.O.C 啦",IF(D62&gt;50,"超出規格 O.O.C 啦",""))))</f>
        <v/>
      </c>
    </row>
    <row r="63" spans="1:6">
      <c r="A63" s="1" t="s">
        <v>28</v>
      </c>
      <c r="B63" s="3">
        <v>44904.141736111109</v>
      </c>
      <c r="C63" s="1" t="s">
        <v>29</v>
      </c>
      <c r="D63" s="1">
        <v>0</v>
      </c>
      <c r="E63" s="1" t="s">
        <v>11</v>
      </c>
      <c r="F63" s="4" t="str">
        <f>IF(D63&lt;&gt;C63,IF(AND(D63&gt;=25,D63&lt;35),"warning",IF(AND(D63&gt;=35,D63&lt;=50),"快要 O.O.C 啦",IF(D63&gt;50,"超出規格 O.O.C 啦",""))))</f>
        <v/>
      </c>
    </row>
    <row r="64" spans="1:6">
      <c r="A64" s="1" t="s">
        <v>24</v>
      </c>
      <c r="B64" s="3">
        <v>44904.012499999997</v>
      </c>
      <c r="C64" s="1" t="s">
        <v>31</v>
      </c>
      <c r="D64" s="1">
        <v>0</v>
      </c>
      <c r="E64" s="1" t="s">
        <v>11</v>
      </c>
      <c r="F64" s="4" t="str">
        <f>IF(D64&lt;&gt;C64,IF(AND(D64&gt;=25,D64&lt;35),"warning",IF(AND(D64&gt;=35,D64&lt;=50),"快要 O.O.C 啦",IF(D64&gt;50,"超出規格 O.O.C 啦",""))))</f>
        <v/>
      </c>
    </row>
    <row r="65" spans="1:6">
      <c r="A65" s="1" t="s">
        <v>24</v>
      </c>
      <c r="B65" s="3">
        <v>44904.012499999997</v>
      </c>
      <c r="C65" s="1" t="s">
        <v>29</v>
      </c>
      <c r="D65" s="1">
        <v>0</v>
      </c>
      <c r="E65" s="1" t="s">
        <v>11</v>
      </c>
      <c r="F65" s="4" t="str">
        <f>IF(D65&lt;&gt;C65,IF(AND(D65&gt;=25,D65&lt;35),"warning",IF(AND(D65&gt;=35,D65&lt;=50),"快要 O.O.C 啦",IF(D65&gt;50,"超出規格 O.O.C 啦",""))))</f>
        <v/>
      </c>
    </row>
    <row r="66" spans="1:6">
      <c r="A66" s="1" t="s">
        <v>30</v>
      </c>
      <c r="B66" s="3">
        <v>44903.965555555558</v>
      </c>
      <c r="C66" s="1" t="s">
        <v>31</v>
      </c>
      <c r="D66" s="1">
        <v>0</v>
      </c>
      <c r="E66" s="1" t="s">
        <v>11</v>
      </c>
      <c r="F66" s="4" t="str">
        <f>IF(D66&lt;&gt;C66,IF(AND(D66&gt;=25,D66&lt;35),"warning",IF(AND(D66&gt;=35,D66&lt;=50),"快要 O.O.C 啦",IF(D66&gt;50,"超出規格 O.O.C 啦",""))))</f>
        <v/>
      </c>
    </row>
    <row r="67" spans="1:6">
      <c r="A67" s="1" t="s">
        <v>30</v>
      </c>
      <c r="B67" s="3">
        <v>44903.965555555558</v>
      </c>
      <c r="C67" s="1" t="s">
        <v>29</v>
      </c>
      <c r="D67" s="1">
        <v>0</v>
      </c>
      <c r="E67" s="1" t="s">
        <v>11</v>
      </c>
      <c r="F67" s="4" t="str">
        <f>IF(D67&lt;&gt;C67,IF(AND(D67&gt;=25,D67&lt;35),"warning",IF(AND(D67&gt;=35,D67&lt;=50),"快要 O.O.C 啦",IF(D67&gt;50,"超出規格 O.O.C 啦",""))))</f>
        <v/>
      </c>
    </row>
    <row r="68" spans="1:6">
      <c r="A68" s="1" t="s">
        <v>28</v>
      </c>
      <c r="B68" s="3">
        <v>44903.923622685186</v>
      </c>
      <c r="C68" s="1" t="s">
        <v>31</v>
      </c>
      <c r="D68" s="1">
        <v>0</v>
      </c>
      <c r="E68" s="1" t="s">
        <v>11</v>
      </c>
      <c r="F68" s="4" t="str">
        <f>IF(D68&lt;&gt;C68,IF(AND(D68&gt;=25,D68&lt;35),"warning",IF(AND(D68&gt;=35,D68&lt;=50),"快要 O.O.C 啦",IF(D68&gt;50,"超出規格 O.O.C 啦",""))))</f>
        <v/>
      </c>
    </row>
    <row r="69" spans="1:6">
      <c r="A69" s="1" t="s">
        <v>28</v>
      </c>
      <c r="B69" s="3">
        <v>44903.923622685186</v>
      </c>
      <c r="C69" s="1" t="s">
        <v>29</v>
      </c>
      <c r="D69" s="1">
        <v>0</v>
      </c>
      <c r="E69" s="1" t="s">
        <v>11</v>
      </c>
      <c r="F69" s="4" t="str">
        <f>IF(D69&lt;&gt;C69,IF(AND(D69&gt;=25,D69&lt;35),"warning",IF(AND(D69&gt;=35,D69&lt;=50),"快要 O.O.C 啦",IF(D69&gt;50,"超出規格 O.O.C 啦",""))))</f>
        <v/>
      </c>
    </row>
    <row r="70" spans="1:6">
      <c r="A70" s="1" t="s">
        <v>24</v>
      </c>
      <c r="B70" s="3">
        <v>44903.82068287037</v>
      </c>
      <c r="C70" s="1" t="s">
        <v>25</v>
      </c>
      <c r="D70" s="1">
        <v>0</v>
      </c>
      <c r="E70" s="1" t="s">
        <v>11</v>
      </c>
      <c r="F70" s="4" t="str">
        <f>IF(D70&lt;&gt;C70,IF(AND(D70&gt;=25,D70&lt;35),"warning",IF(AND(D70&gt;=35,D70&lt;=50),"快要 O.O.C 啦",IF(D70&gt;50,"超出規格 O.O.C 啦",""))))</f>
        <v/>
      </c>
    </row>
    <row r="71" spans="1:6">
      <c r="A71" s="1" t="s">
        <v>30</v>
      </c>
      <c r="B71" s="3">
        <v>44903.729143518518</v>
      </c>
      <c r="C71" s="1" t="s">
        <v>25</v>
      </c>
      <c r="D71" s="1">
        <v>0</v>
      </c>
      <c r="E71" s="1" t="s">
        <v>11</v>
      </c>
      <c r="F71" s="4" t="str">
        <f>IF(D71&lt;&gt;C71,IF(AND(D71&gt;=25,D71&lt;35),"warning",IF(AND(D71&gt;=35,D71&lt;=50),"快要 O.O.C 啦",IF(D71&gt;50,"超出規格 O.O.C 啦",""))))</f>
        <v/>
      </c>
    </row>
    <row r="72" spans="1:6">
      <c r="A72" s="1" t="s">
        <v>28</v>
      </c>
      <c r="B72" s="3">
        <v>44903.659780092596</v>
      </c>
      <c r="C72" s="1" t="s">
        <v>25</v>
      </c>
      <c r="D72" s="1">
        <v>0</v>
      </c>
      <c r="E72" s="1" t="s">
        <v>11</v>
      </c>
      <c r="F72" s="4" t="str">
        <f>IF(D72&lt;&gt;C72,IF(AND(D72&gt;=25,D72&lt;35),"warning",IF(AND(D72&gt;=35,D72&lt;=50),"快要 O.O.C 啦",IF(D72&gt;50,"超出規格 O.O.C 啦",""))))</f>
        <v/>
      </c>
    </row>
    <row r="73" spans="1:6">
      <c r="A73" s="1" t="s">
        <v>24</v>
      </c>
      <c r="B73" s="3">
        <v>44903.614814814813</v>
      </c>
      <c r="C73" s="1" t="s">
        <v>25</v>
      </c>
      <c r="D73" s="1">
        <v>0</v>
      </c>
      <c r="E73" s="1" t="s">
        <v>11</v>
      </c>
      <c r="F73" s="4" t="str">
        <f>IF(D73&lt;&gt;C73,IF(AND(D73&gt;=25,D73&lt;35),"warning",IF(AND(D73&gt;=35,D73&lt;=50),"快要 O.O.C 啦",IF(D73&gt;50,"超出規格 O.O.C 啦",""))))</f>
        <v/>
      </c>
    </row>
    <row r="74" spans="1:6">
      <c r="A74" s="1" t="s">
        <v>26</v>
      </c>
      <c r="B74" s="3">
        <v>44903.472256944442</v>
      </c>
      <c r="C74" s="1" t="s">
        <v>29</v>
      </c>
      <c r="D74" s="1">
        <v>13</v>
      </c>
      <c r="E74" s="1" t="s">
        <v>11</v>
      </c>
      <c r="F74" s="4" t="str">
        <f>IF(D74&lt;&gt;C74,IF(AND(D74&gt;=25,D74&lt;35),"warning",IF(AND(D74&gt;=35,D74&lt;=50),"快要 O.O.C 啦",IF(D74&gt;50,"超出規格 O.O.C 啦",""))))</f>
        <v/>
      </c>
    </row>
    <row r="75" spans="1:6">
      <c r="A75" s="1" t="s">
        <v>28</v>
      </c>
      <c r="B75" s="3">
        <v>44903.453275462962</v>
      </c>
      <c r="C75" s="1" t="s">
        <v>29</v>
      </c>
      <c r="D75" s="1">
        <v>4</v>
      </c>
      <c r="E75" s="1" t="s">
        <v>11</v>
      </c>
      <c r="F75" s="4" t="str">
        <f>IF(D75&lt;&gt;C75,IF(AND(D75&gt;=25,D75&lt;35),"warning",IF(AND(D75&gt;=35,D75&lt;=50),"快要 O.O.C 啦",IF(D75&gt;50,"超出規格 O.O.C 啦",""))))</f>
        <v/>
      </c>
    </row>
    <row r="76" spans="1:6">
      <c r="A76" s="1" t="s">
        <v>24</v>
      </c>
      <c r="B76" s="3">
        <v>44903.427175925928</v>
      </c>
      <c r="C76" s="1" t="s">
        <v>29</v>
      </c>
      <c r="D76" s="1">
        <v>0</v>
      </c>
      <c r="E76" s="1" t="s">
        <v>11</v>
      </c>
      <c r="F76" s="4" t="str">
        <f>IF(D76&lt;&gt;C76,IF(AND(D76&gt;=25,D76&lt;35),"warning",IF(AND(D76&gt;=35,D76&lt;=50),"快要 O.O.C 啦",IF(D76&gt;50,"超出規格 O.O.C 啦",""))))</f>
        <v/>
      </c>
    </row>
    <row r="77" spans="1:6">
      <c r="A77" s="1" t="s">
        <v>26</v>
      </c>
      <c r="B77" s="3">
        <v>44903.25340277778</v>
      </c>
      <c r="C77" s="1" t="s">
        <v>29</v>
      </c>
      <c r="D77" s="1">
        <v>1</v>
      </c>
      <c r="E77" s="1" t="s">
        <v>11</v>
      </c>
      <c r="F77" s="4" t="str">
        <f>IF(D77&lt;&gt;C77,IF(AND(D77&gt;=25,D77&lt;35),"warning",IF(AND(D77&gt;=35,D77&lt;=50),"快要 O.O.C 啦",IF(D77&gt;50,"超出規格 O.O.C 啦",""))))</f>
        <v/>
      </c>
    </row>
    <row r="78" spans="1:6">
      <c r="A78" s="1" t="s">
        <v>27</v>
      </c>
      <c r="B78" s="3">
        <v>44903.229398148149</v>
      </c>
      <c r="C78" s="1" t="s">
        <v>29</v>
      </c>
      <c r="D78" s="1">
        <v>43</v>
      </c>
      <c r="E78" s="1" t="s">
        <v>11</v>
      </c>
      <c r="F78" s="4" t="str">
        <f>IF(D78&lt;&gt;C78,IF(AND(D78&gt;=25,D78&lt;35),"warning",IF(AND(D78&gt;=35,D78&lt;=50),"快要 O.O.C 啦",IF(D78&gt;50,"超出規格 O.O.C 啦",""))))</f>
        <v>快要 O.O.C 啦</v>
      </c>
    </row>
    <row r="79" spans="1:6">
      <c r="A79" s="1" t="s">
        <v>24</v>
      </c>
      <c r="B79" s="3">
        <v>44903.223217592589</v>
      </c>
      <c r="C79" s="1" t="s">
        <v>29</v>
      </c>
      <c r="D79" s="1">
        <v>0</v>
      </c>
      <c r="E79" s="1" t="s">
        <v>11</v>
      </c>
      <c r="F79" s="4" t="str">
        <f>IF(D79&lt;&gt;C79,IF(AND(D79&gt;=25,D79&lt;35),"warning",IF(AND(D79&gt;=35,D79&lt;=50),"快要 O.O.C 啦",IF(D79&gt;50,"超出規格 O.O.C 啦",""))))</f>
        <v/>
      </c>
    </row>
    <row r="80" spans="1:6">
      <c r="A80" s="1" t="s">
        <v>28</v>
      </c>
      <c r="B80" s="3">
        <v>44903.190949074073</v>
      </c>
      <c r="C80" s="1" t="s">
        <v>29</v>
      </c>
      <c r="D80" s="1">
        <v>0</v>
      </c>
      <c r="E80" s="1" t="s">
        <v>11</v>
      </c>
      <c r="F80" s="4" t="str">
        <f>IF(D80&lt;&gt;C80,IF(AND(D80&gt;=25,D80&lt;35),"warning",IF(AND(D80&gt;=35,D80&lt;=50),"快要 O.O.C 啦",IF(D80&gt;50,"超出規格 O.O.C 啦",""))))</f>
        <v/>
      </c>
    </row>
    <row r="81" spans="1:6">
      <c r="A81" s="1" t="s">
        <v>26</v>
      </c>
      <c r="B81" s="3">
        <v>44903.082083333335</v>
      </c>
      <c r="C81" s="1" t="s">
        <v>31</v>
      </c>
      <c r="D81" s="1">
        <v>3</v>
      </c>
      <c r="E81" s="1" t="s">
        <v>11</v>
      </c>
      <c r="F81" s="4" t="str">
        <f>IF(D81&lt;&gt;C81,IF(AND(D81&gt;=25,D81&lt;35),"warning",IF(AND(D81&gt;=35,D81&lt;=50),"快要 O.O.C 啦",IF(D81&gt;50,"超出規格 O.O.C 啦",""))))</f>
        <v/>
      </c>
    </row>
    <row r="82" spans="1:6">
      <c r="A82" s="1" t="s">
        <v>26</v>
      </c>
      <c r="B82" s="3">
        <v>44903.082083333335</v>
      </c>
      <c r="C82" s="1" t="s">
        <v>29</v>
      </c>
      <c r="D82" s="1">
        <v>0</v>
      </c>
      <c r="E82" s="1" t="s">
        <v>11</v>
      </c>
      <c r="F82" s="4" t="str">
        <f>IF(D82&lt;&gt;C82,IF(AND(D82&gt;=25,D82&lt;35),"warning",IF(AND(D82&gt;=35,D82&lt;=50),"快要 O.O.C 啦",IF(D82&gt;50,"超出規格 O.O.C 啦",""))))</f>
        <v/>
      </c>
    </row>
    <row r="83" spans="1:6">
      <c r="A83" s="1" t="s">
        <v>24</v>
      </c>
      <c r="B83" s="3">
        <v>44903.044606481482</v>
      </c>
      <c r="C83" s="1" t="s">
        <v>31</v>
      </c>
      <c r="D83" s="1">
        <v>0</v>
      </c>
      <c r="E83" s="1" t="s">
        <v>11</v>
      </c>
      <c r="F83" s="4" t="str">
        <f>IF(D83&lt;&gt;C83,IF(AND(D83&gt;=25,D83&lt;35),"warning",IF(AND(D83&gt;=35,D83&lt;=50),"快要 O.O.C 啦",IF(D83&gt;50,"超出規格 O.O.C 啦",""))))</f>
        <v/>
      </c>
    </row>
    <row r="84" spans="1:6">
      <c r="A84" s="1" t="s">
        <v>24</v>
      </c>
      <c r="B84" s="3">
        <v>44903.044606481482</v>
      </c>
      <c r="C84" s="1" t="s">
        <v>29</v>
      </c>
      <c r="D84" s="1">
        <v>34</v>
      </c>
      <c r="E84" s="1" t="s">
        <v>11</v>
      </c>
      <c r="F84" s="4" t="str">
        <f>IF(D84&lt;&gt;C84,IF(AND(D84&gt;=25,D84&lt;35),"warning",IF(AND(D84&gt;=35,D84&lt;=50),"快要 O.O.C 啦",IF(D84&gt;50,"超出規格 O.O.C 啦",""))))</f>
        <v>warning</v>
      </c>
    </row>
    <row r="85" spans="1:6">
      <c r="A85" s="1" t="s">
        <v>27</v>
      </c>
      <c r="B85" s="3">
        <v>44903.040925925925</v>
      </c>
      <c r="C85" s="1" t="s">
        <v>31</v>
      </c>
      <c r="D85" s="1">
        <v>0</v>
      </c>
      <c r="E85" s="1" t="s">
        <v>11</v>
      </c>
      <c r="F85" s="4" t="str">
        <f>IF(D85&lt;&gt;C85,IF(AND(D85&gt;=25,D85&lt;35),"warning",IF(AND(D85&gt;=35,D85&lt;=50),"快要 O.O.C 啦",IF(D85&gt;50,"超出規格 O.O.C 啦",""))))</f>
        <v/>
      </c>
    </row>
    <row r="86" spans="1:6">
      <c r="A86" s="1" t="s">
        <v>27</v>
      </c>
      <c r="B86" s="3">
        <v>44903.040925925925</v>
      </c>
      <c r="C86" s="1" t="s">
        <v>29</v>
      </c>
      <c r="D86" s="1">
        <v>0</v>
      </c>
      <c r="E86" s="1" t="s">
        <v>11</v>
      </c>
      <c r="F86" s="4" t="str">
        <f>IF(D86&lt;&gt;C86,IF(AND(D86&gt;=25,D86&lt;35),"warning",IF(AND(D86&gt;=35,D86&lt;=50),"快要 O.O.C 啦",IF(D86&gt;50,"超出規格 O.O.C 啦",""))))</f>
        <v/>
      </c>
    </row>
    <row r="87" spans="1:6">
      <c r="A87" s="1" t="s">
        <v>28</v>
      </c>
      <c r="B87" s="3">
        <v>44903.012800925928</v>
      </c>
      <c r="C87" s="1" t="s">
        <v>31</v>
      </c>
      <c r="D87" s="1">
        <v>0</v>
      </c>
      <c r="E87" s="1" t="s">
        <v>11</v>
      </c>
      <c r="F87" s="4" t="str">
        <f>IF(D87&lt;&gt;C87,IF(AND(D87&gt;=25,D87&lt;35),"warning",IF(AND(D87&gt;=35,D87&lt;=50),"快要 O.O.C 啦",IF(D87&gt;50,"超出規格 O.O.C 啦",""))))</f>
        <v/>
      </c>
    </row>
    <row r="88" spans="1:6">
      <c r="A88" s="1" t="s">
        <v>28</v>
      </c>
      <c r="B88" s="3">
        <v>44903.012800925928</v>
      </c>
      <c r="C88" s="1" t="s">
        <v>29</v>
      </c>
      <c r="D88" s="1">
        <v>25</v>
      </c>
      <c r="E88" s="1" t="s">
        <v>11</v>
      </c>
      <c r="F88" s="4" t="str">
        <f>IF(D88&lt;&gt;C88,IF(AND(D88&gt;=25,D88&lt;35),"warning",IF(AND(D88&gt;=35,D88&lt;=50),"快要 O.O.C 啦",IF(D88&gt;50,"超出規格 O.O.C 啦",""))))</f>
        <v>warning</v>
      </c>
    </row>
    <row r="89" spans="1:6">
      <c r="A89" s="1" t="s">
        <v>26</v>
      </c>
      <c r="B89" s="3">
        <v>44902.873715277776</v>
      </c>
      <c r="C89" s="1" t="s">
        <v>25</v>
      </c>
      <c r="D89" s="1">
        <v>10</v>
      </c>
      <c r="E89" s="1" t="s">
        <v>11</v>
      </c>
      <c r="F89" s="4" t="str">
        <f>IF(D89&lt;&gt;C89,IF(AND(D89&gt;=25,D89&lt;35),"warning",IF(AND(D89&gt;=35,D89&lt;=50),"快要 O.O.C 啦",IF(D89&gt;50,"超出規格 O.O.C 啦",""))))</f>
        <v/>
      </c>
    </row>
    <row r="90" spans="1:6">
      <c r="A90" s="1" t="s">
        <v>24</v>
      </c>
      <c r="B90" s="3">
        <v>44902.843923611108</v>
      </c>
      <c r="C90" s="1" t="s">
        <v>25</v>
      </c>
      <c r="D90" s="1">
        <v>0</v>
      </c>
      <c r="E90" s="1" t="s">
        <v>11</v>
      </c>
      <c r="F90" s="4" t="str">
        <f>IF(D90&lt;&gt;C90,IF(AND(D90&gt;=25,D90&lt;35),"warning",IF(AND(D90&gt;=35,D90&lt;=50),"快要 O.O.C 啦",IF(D90&gt;50,"超出規格 O.O.C 啦",""))))</f>
        <v/>
      </c>
    </row>
    <row r="91" spans="1:6">
      <c r="A91" s="1" t="s">
        <v>27</v>
      </c>
      <c r="B91" s="3">
        <v>44902.834108796298</v>
      </c>
      <c r="C91" s="1" t="s">
        <v>25</v>
      </c>
      <c r="D91" s="1">
        <v>0</v>
      </c>
      <c r="E91" s="1" t="s">
        <v>11</v>
      </c>
      <c r="F91" s="4" t="str">
        <f>IF(D91&lt;&gt;C91,IF(AND(D91&gt;=25,D91&lt;35),"warning",IF(AND(D91&gt;=35,D91&lt;=50),"快要 O.O.C 啦",IF(D91&gt;50,"超出規格 O.O.C 啦",""))))</f>
        <v/>
      </c>
    </row>
    <row r="92" spans="1:6">
      <c r="A92" s="1" t="s">
        <v>28</v>
      </c>
      <c r="B92" s="3">
        <v>44902.830752314818</v>
      </c>
      <c r="C92" s="1" t="s">
        <v>25</v>
      </c>
      <c r="D92" s="1">
        <v>0</v>
      </c>
      <c r="E92" s="1" t="s">
        <v>11</v>
      </c>
      <c r="F92" s="4" t="str">
        <f>IF(D92&lt;&gt;C92,IF(AND(D92&gt;=25,D92&lt;35),"warning",IF(AND(D92&gt;=35,D92&lt;=50),"快要 O.O.C 啦",IF(D92&gt;50,"超出規格 O.O.C 啦",""))))</f>
        <v/>
      </c>
    </row>
    <row r="93" spans="1:6">
      <c r="A93" s="1" t="s">
        <v>24</v>
      </c>
      <c r="B93" s="3">
        <v>44902.646863425929</v>
      </c>
      <c r="C93" s="1" t="s">
        <v>25</v>
      </c>
      <c r="D93" s="1">
        <v>0</v>
      </c>
      <c r="E93" s="1" t="s">
        <v>11</v>
      </c>
      <c r="F93" s="4" t="str">
        <f>IF(D93&lt;&gt;C93,IF(AND(D93&gt;=25,D93&lt;35),"warning",IF(AND(D93&gt;=35,D93&lt;=50),"快要 O.O.C 啦",IF(D93&gt;50,"超出規格 O.O.C 啦",""))))</f>
        <v/>
      </c>
    </row>
    <row r="94" spans="1:6">
      <c r="A94" s="1" t="s">
        <v>26</v>
      </c>
      <c r="B94" s="3">
        <v>44902.633344907408</v>
      </c>
      <c r="C94" s="1" t="s">
        <v>25</v>
      </c>
      <c r="D94" s="1">
        <v>1</v>
      </c>
      <c r="E94" s="1" t="s">
        <v>11</v>
      </c>
      <c r="F94" s="4" t="str">
        <f>IF(D94&lt;&gt;C94,IF(AND(D94&gt;=25,D94&lt;35),"warning",IF(AND(D94&gt;=35,D94&lt;=50),"快要 O.O.C 啦",IF(D94&gt;50,"超出規格 O.O.C 啦",""))))</f>
        <v/>
      </c>
    </row>
    <row r="95" spans="1:6">
      <c r="A95" s="1" t="s">
        <v>28</v>
      </c>
      <c r="B95" s="3">
        <v>44902.627395833333</v>
      </c>
      <c r="C95" s="1" t="s">
        <v>25</v>
      </c>
      <c r="D95" s="1">
        <v>0</v>
      </c>
      <c r="E95" s="1" t="s">
        <v>11</v>
      </c>
      <c r="F95" s="4" t="str">
        <f>IF(D95&lt;&gt;C95,IF(AND(D95&gt;=25,D95&lt;35),"warning",IF(AND(D95&gt;=35,D95&lt;=50),"快要 O.O.C 啦",IF(D95&gt;50,"超出規格 O.O.C 啦",""))))</f>
        <v/>
      </c>
    </row>
    <row r="96" spans="1:6">
      <c r="A96" s="1" t="s">
        <v>27</v>
      </c>
      <c r="B96" s="3">
        <v>44902.622870370367</v>
      </c>
      <c r="C96" s="1" t="s">
        <v>25</v>
      </c>
      <c r="D96" s="1">
        <v>46</v>
      </c>
      <c r="E96" s="1" t="s">
        <v>11</v>
      </c>
      <c r="F96" s="4" t="str">
        <f>IF(D96&lt;&gt;C96,IF(AND(D96&gt;=25,D96&lt;35),"warning",IF(AND(D96&gt;=35,D96&lt;=50),"快要 O.O.C 啦",IF(D96&gt;50,"超出規格 O.O.C 啦",""))))</f>
        <v>快要 O.O.C 啦</v>
      </c>
    </row>
    <row r="97" spans="1:6">
      <c r="A97" s="1" t="s">
        <v>28</v>
      </c>
      <c r="B97" s="3">
        <v>44902.444097222222</v>
      </c>
      <c r="C97" s="1" t="s">
        <v>29</v>
      </c>
      <c r="D97" s="1">
        <v>0</v>
      </c>
      <c r="E97" s="1" t="s">
        <v>11</v>
      </c>
      <c r="F97" s="4" t="str">
        <f>IF(D97&lt;&gt;C97,IF(AND(D97&gt;=25,D97&lt;35),"warning",IF(AND(D97&gt;=35,D97&lt;=50),"快要 O.O.C 啦",IF(D97&gt;50,"超出規格 O.O.C 啦",""))))</f>
        <v/>
      </c>
    </row>
    <row r="98" spans="1:6">
      <c r="A98" s="1" t="s">
        <v>26</v>
      </c>
      <c r="B98" s="3">
        <v>44902.425659722219</v>
      </c>
      <c r="C98" s="1" t="s">
        <v>29</v>
      </c>
      <c r="D98" s="1">
        <v>0</v>
      </c>
      <c r="E98" s="1" t="s">
        <v>11</v>
      </c>
      <c r="F98" s="4" t="str">
        <f>IF(D98&lt;&gt;C98,IF(AND(D98&gt;=25,D98&lt;35),"warning",IF(AND(D98&gt;=35,D98&lt;=50),"快要 O.O.C 啦",IF(D98&gt;50,"超出規格 O.O.C 啦",""))))</f>
        <v/>
      </c>
    </row>
    <row r="99" spans="1:6">
      <c r="A99" s="1" t="s">
        <v>27</v>
      </c>
      <c r="B99" s="3">
        <v>44902.420590277776</v>
      </c>
      <c r="C99" s="1" t="s">
        <v>29</v>
      </c>
      <c r="D99" s="1">
        <v>12</v>
      </c>
      <c r="E99" s="1" t="s">
        <v>11</v>
      </c>
      <c r="F99" s="4" t="str">
        <f>IF(D99&lt;&gt;C99,IF(AND(D99&gt;=25,D99&lt;35),"warning",IF(AND(D99&gt;=35,D99&lt;=50),"快要 O.O.C 啦",IF(D99&gt;50,"超出規格 O.O.C 啦",""))))</f>
        <v/>
      </c>
    </row>
    <row r="100" spans="1:6">
      <c r="A100" s="1" t="s">
        <v>28</v>
      </c>
      <c r="B100" s="3">
        <v>44902.271307870367</v>
      </c>
      <c r="C100" s="1" t="s">
        <v>29</v>
      </c>
      <c r="D100" s="1">
        <v>0</v>
      </c>
      <c r="E100" s="1" t="s">
        <v>11</v>
      </c>
      <c r="F100" s="4" t="str">
        <f>IF(D100&lt;&gt;C100,IF(AND(D100&gt;=25,D100&lt;35),"warning",IF(AND(D100&gt;=35,D100&lt;=50),"快要 O.O.C 啦",IF(D100&gt;50,"超出規格 O.O.C 啦",""))))</f>
        <v/>
      </c>
    </row>
    <row r="101" spans="1:6">
      <c r="A101" s="1" t="s">
        <v>24</v>
      </c>
      <c r="B101" s="3">
        <v>44902.247337962966</v>
      </c>
      <c r="C101" s="1" t="s">
        <v>29</v>
      </c>
      <c r="D101" s="1">
        <v>0</v>
      </c>
      <c r="E101" s="1" t="s">
        <v>11</v>
      </c>
      <c r="F101" s="4" t="str">
        <f>IF(D101&lt;&gt;C101,IF(AND(D101&gt;=25,D101&lt;35),"warning",IF(AND(D101&gt;=35,D101&lt;=50),"快要 O.O.C 啦",IF(D101&gt;50,"超出規格 O.O.C 啦",""))))</f>
        <v/>
      </c>
    </row>
    <row r="102" spans="1:6">
      <c r="A102" s="1" t="s">
        <v>26</v>
      </c>
      <c r="B102" s="3">
        <v>44902.245370370372</v>
      </c>
      <c r="C102" s="1" t="s">
        <v>29</v>
      </c>
      <c r="D102" s="1">
        <v>1</v>
      </c>
      <c r="E102" s="1" t="s">
        <v>11</v>
      </c>
      <c r="F102" s="4" t="str">
        <f>IF(D102&lt;&gt;C102,IF(AND(D102&gt;=25,D102&lt;35),"warning",IF(AND(D102&gt;=35,D102&lt;=50),"快要 O.O.C 啦",IF(D102&gt;50,"超出規格 O.O.C 啦",""))))</f>
        <v/>
      </c>
    </row>
    <row r="103" spans="1:6">
      <c r="A103" s="1" t="s">
        <v>27</v>
      </c>
      <c r="B103" s="3">
        <v>44902.216874999998</v>
      </c>
      <c r="C103" s="1" t="s">
        <v>29</v>
      </c>
      <c r="D103" s="1">
        <v>2</v>
      </c>
      <c r="E103" s="1" t="s">
        <v>11</v>
      </c>
      <c r="F103" s="4" t="str">
        <f>IF(D103&lt;&gt;C103,IF(AND(D103&gt;=25,D103&lt;35),"warning",IF(AND(D103&gt;=35,D103&lt;=50),"快要 O.O.C 啦",IF(D103&gt;50,"超出規格 O.O.C 啦",""))))</f>
        <v/>
      </c>
    </row>
    <row r="104" spans="1:6">
      <c r="A104" s="1" t="s">
        <v>28</v>
      </c>
      <c r="B104" s="3">
        <v>44902.103634259256</v>
      </c>
      <c r="C104" s="1" t="s">
        <v>31</v>
      </c>
      <c r="D104" s="1">
        <v>0</v>
      </c>
      <c r="E104" s="1" t="s">
        <v>11</v>
      </c>
      <c r="F104" s="4" t="str">
        <f>IF(D104&lt;&gt;C104,IF(AND(D104&gt;=25,D104&lt;35),"warning",IF(AND(D104&gt;=35,D104&lt;=50),"快要 O.O.C 啦",IF(D104&gt;50,"超出規格 O.O.C 啦",""))))</f>
        <v/>
      </c>
    </row>
    <row r="105" spans="1:6">
      <c r="A105" s="1" t="s">
        <v>28</v>
      </c>
      <c r="B105" s="3">
        <v>44902.103634259256</v>
      </c>
      <c r="C105" s="1" t="s">
        <v>29</v>
      </c>
      <c r="D105" s="1">
        <v>0</v>
      </c>
      <c r="E105" s="1" t="s">
        <v>11</v>
      </c>
      <c r="F105" s="4" t="str">
        <f>IF(D105&lt;&gt;C105,IF(AND(D105&gt;=25,D105&lt;35),"warning",IF(AND(D105&gt;=35,D105&lt;=50),"快要 O.O.C 啦",IF(D105&gt;50,"超出規格 O.O.C 啦",""))))</f>
        <v/>
      </c>
    </row>
    <row r="106" spans="1:6">
      <c r="A106" s="1" t="s">
        <v>30</v>
      </c>
      <c r="B106" s="3">
        <v>44902.099479166667</v>
      </c>
      <c r="C106" s="1" t="s">
        <v>31</v>
      </c>
      <c r="D106" s="1">
        <v>0</v>
      </c>
      <c r="E106" s="1" t="s">
        <v>11</v>
      </c>
      <c r="F106" s="4" t="str">
        <f>IF(D106&lt;&gt;C106,IF(AND(D106&gt;=25,D106&lt;35),"warning",IF(AND(D106&gt;=35,D106&lt;=50),"快要 O.O.C 啦",IF(D106&gt;50,"超出規格 O.O.C 啦",""))))</f>
        <v/>
      </c>
    </row>
    <row r="107" spans="1:6">
      <c r="A107" s="1" t="s">
        <v>30</v>
      </c>
      <c r="B107" s="3">
        <v>44902.099479166667</v>
      </c>
      <c r="C107" s="1" t="s">
        <v>29</v>
      </c>
      <c r="D107" s="1">
        <v>0</v>
      </c>
      <c r="E107" s="1" t="s">
        <v>11</v>
      </c>
      <c r="F107" s="4" t="str">
        <f>IF(D107&lt;&gt;C107,IF(AND(D107&gt;=25,D107&lt;35),"warning",IF(AND(D107&gt;=35,D107&lt;=50),"快要 O.O.C 啦",IF(D107&gt;50,"超出規格 O.O.C 啦",""))))</f>
        <v/>
      </c>
    </row>
    <row r="108" spans="1:6">
      <c r="A108" s="1" t="s">
        <v>24</v>
      </c>
      <c r="B108" s="3">
        <v>44902.076493055552</v>
      </c>
      <c r="C108" s="1" t="s">
        <v>31</v>
      </c>
      <c r="D108" s="1">
        <v>0</v>
      </c>
      <c r="E108" s="1" t="s">
        <v>11</v>
      </c>
      <c r="F108" s="4" t="str">
        <f>IF(D108&lt;&gt;C108,IF(AND(D108&gt;=25,D108&lt;35),"warning",IF(AND(D108&gt;=35,D108&lt;=50),"快要 O.O.C 啦",IF(D108&gt;50,"超出規格 O.O.C 啦",""))))</f>
        <v/>
      </c>
    </row>
    <row r="109" spans="1:6">
      <c r="A109" s="1" t="s">
        <v>24</v>
      </c>
      <c r="B109" s="3">
        <v>44902.076493055552</v>
      </c>
      <c r="C109" s="1" t="s">
        <v>29</v>
      </c>
      <c r="D109" s="1">
        <v>0</v>
      </c>
      <c r="E109" s="1" t="s">
        <v>11</v>
      </c>
      <c r="F109" s="4" t="str">
        <f>IF(D109&lt;&gt;C109,IF(AND(D109&gt;=25,D109&lt;35),"warning",IF(AND(D109&gt;=35,D109&lt;=50),"快要 O.O.C 啦",IF(D109&gt;50,"超出規格 O.O.C 啦",""))))</f>
        <v/>
      </c>
    </row>
    <row r="110" spans="1:6">
      <c r="A110" s="1" t="s">
        <v>26</v>
      </c>
      <c r="B110" s="3">
        <v>44902.064039351855</v>
      </c>
      <c r="C110" s="1" t="s">
        <v>31</v>
      </c>
      <c r="D110" s="1">
        <v>0</v>
      </c>
      <c r="E110" s="1" t="s">
        <v>11</v>
      </c>
      <c r="F110" s="4" t="str">
        <f>IF(D110&lt;&gt;C110,IF(AND(D110&gt;=25,D110&lt;35),"warning",IF(AND(D110&gt;=35,D110&lt;=50),"快要 O.O.C 啦",IF(D110&gt;50,"超出規格 O.O.C 啦",""))))</f>
        <v/>
      </c>
    </row>
    <row r="111" spans="1:6">
      <c r="A111" s="1" t="s">
        <v>26</v>
      </c>
      <c r="B111" s="3">
        <v>44902.064039351855</v>
      </c>
      <c r="C111" s="1" t="s">
        <v>29</v>
      </c>
      <c r="D111" s="1">
        <v>4</v>
      </c>
      <c r="E111" s="1" t="s">
        <v>11</v>
      </c>
      <c r="F111" s="4" t="str">
        <f>IF(D111&lt;&gt;C111,IF(AND(D111&gt;=25,D111&lt;35),"warning",IF(AND(D111&gt;=35,D111&lt;=50),"快要 O.O.C 啦",IF(D111&gt;50,"超出規格 O.O.C 啦",""))))</f>
        <v/>
      </c>
    </row>
    <row r="112" spans="1:6">
      <c r="A112" s="1" t="s">
        <v>27</v>
      </c>
      <c r="B112" s="3">
        <v>44902.026585648149</v>
      </c>
      <c r="C112" s="1" t="s">
        <v>31</v>
      </c>
      <c r="D112" s="1">
        <v>3</v>
      </c>
      <c r="E112" s="1" t="s">
        <v>11</v>
      </c>
      <c r="F112" s="4" t="str">
        <f>IF(D112&lt;&gt;C112,IF(AND(D112&gt;=25,D112&lt;35),"warning",IF(AND(D112&gt;=35,D112&lt;=50),"快要 O.O.C 啦",IF(D112&gt;50,"超出規格 O.O.C 啦",""))))</f>
        <v/>
      </c>
    </row>
    <row r="113" spans="1:6">
      <c r="A113" s="1" t="s">
        <v>27</v>
      </c>
      <c r="B113" s="3">
        <v>44902.026585648149</v>
      </c>
      <c r="C113" s="1" t="s">
        <v>29</v>
      </c>
      <c r="D113" s="1">
        <v>5</v>
      </c>
      <c r="E113" s="1" t="s">
        <v>11</v>
      </c>
      <c r="F113" s="4" t="str">
        <f>IF(D113&lt;&gt;C113,IF(AND(D113&gt;=25,D113&lt;35),"warning",IF(AND(D113&gt;=35,D113&lt;=50),"快要 O.O.C 啦",IF(D113&gt;50,"超出規格 O.O.C 啦",""))))</f>
        <v/>
      </c>
    </row>
    <row r="114" spans="1:6">
      <c r="A114" s="1" t="s">
        <v>28</v>
      </c>
      <c r="B114" s="3">
        <v>44901.91715277778</v>
      </c>
      <c r="C114" s="1" t="s">
        <v>31</v>
      </c>
      <c r="D114" s="1">
        <v>0</v>
      </c>
      <c r="E114" s="1" t="s">
        <v>11</v>
      </c>
      <c r="F114" s="4" t="str">
        <f>IF(D114&lt;&gt;C114,IF(AND(D114&gt;=25,D114&lt;35),"warning",IF(AND(D114&gt;=35,D114&lt;=50),"快要 O.O.C 啦",IF(D114&gt;50,"超出規格 O.O.C 啦",""))))</f>
        <v/>
      </c>
    </row>
    <row r="115" spans="1:6">
      <c r="A115" s="1" t="s">
        <v>28</v>
      </c>
      <c r="B115" s="3">
        <v>44901.91715277778</v>
      </c>
      <c r="C115" s="1" t="s">
        <v>29</v>
      </c>
      <c r="D115" s="1">
        <v>0</v>
      </c>
      <c r="E115" s="1" t="s">
        <v>11</v>
      </c>
      <c r="F115" s="4" t="str">
        <f>IF(D115&lt;&gt;C115,IF(AND(D115&gt;=25,D115&lt;35),"warning",IF(AND(D115&gt;=35,D115&lt;=50),"快要 O.O.C 啦",IF(D115&gt;50,"超出規格 O.O.C 啦",""))))</f>
        <v/>
      </c>
    </row>
    <row r="116" spans="1:6">
      <c r="A116" s="1" t="s">
        <v>30</v>
      </c>
      <c r="B116" s="3">
        <v>44901.914733796293</v>
      </c>
      <c r="C116" s="1" t="s">
        <v>31</v>
      </c>
      <c r="D116" s="1">
        <v>0</v>
      </c>
      <c r="E116" s="1" t="s">
        <v>11</v>
      </c>
      <c r="F116" s="4" t="str">
        <f>IF(D116&lt;&gt;C116,IF(AND(D116&gt;=25,D116&lt;35),"warning",IF(AND(D116&gt;=35,D116&lt;=50),"快要 O.O.C 啦",IF(D116&gt;50,"超出規格 O.O.C 啦",""))))</f>
        <v/>
      </c>
    </row>
    <row r="117" spans="1:6">
      <c r="A117" s="1" t="s">
        <v>30</v>
      </c>
      <c r="B117" s="3">
        <v>44901.914733796293</v>
      </c>
      <c r="C117" s="1" t="s">
        <v>29</v>
      </c>
      <c r="D117" s="1">
        <v>0</v>
      </c>
      <c r="E117" s="1" t="s">
        <v>11</v>
      </c>
      <c r="F117" s="4" t="str">
        <f>IF(D117&lt;&gt;C117,IF(AND(D117&gt;=25,D117&lt;35),"warning",IF(AND(D117&gt;=35,D117&lt;=50),"快要 O.O.C 啦",IF(D117&gt;50,"超出規格 O.O.C 啦",""))))</f>
        <v/>
      </c>
    </row>
    <row r="118" spans="1:6">
      <c r="A118" s="1" t="s">
        <v>24</v>
      </c>
      <c r="B118" s="3">
        <v>44901.894884259258</v>
      </c>
      <c r="C118" s="1" t="s">
        <v>31</v>
      </c>
      <c r="D118" s="1">
        <v>0</v>
      </c>
      <c r="E118" s="1" t="s">
        <v>11</v>
      </c>
      <c r="F118" s="4" t="str">
        <f>IF(D118&lt;&gt;C118,IF(AND(D118&gt;=25,D118&lt;35),"warning",IF(AND(D118&gt;=35,D118&lt;=50),"快要 O.O.C 啦",IF(D118&gt;50,"超出規格 O.O.C 啦",""))))</f>
        <v/>
      </c>
    </row>
    <row r="119" spans="1:6">
      <c r="A119" s="1" t="s">
        <v>24</v>
      </c>
      <c r="B119" s="3">
        <v>44901.894884259258</v>
      </c>
      <c r="C119" s="1" t="s">
        <v>29</v>
      </c>
      <c r="D119" s="1">
        <v>2</v>
      </c>
      <c r="E119" s="1" t="s">
        <v>11</v>
      </c>
      <c r="F119" s="4" t="str">
        <f>IF(D119&lt;&gt;C119,IF(AND(D119&gt;=25,D119&lt;35),"warning",IF(AND(D119&gt;=35,D119&lt;=50),"快要 O.O.C 啦",IF(D119&gt;50,"超出規格 O.O.C 啦",""))))</f>
        <v/>
      </c>
    </row>
    <row r="120" spans="1:6">
      <c r="A120" s="1" t="s">
        <v>27</v>
      </c>
      <c r="B120" s="3">
        <v>44901.841249999998</v>
      </c>
      <c r="C120" s="1" t="s">
        <v>25</v>
      </c>
      <c r="D120" s="1">
        <v>3</v>
      </c>
      <c r="E120" s="1" t="s">
        <v>11</v>
      </c>
      <c r="F120" s="4" t="str">
        <f>IF(D120&lt;&gt;C120,IF(AND(D120&gt;=25,D120&lt;35),"warning",IF(AND(D120&gt;=35,D120&lt;=50),"快要 O.O.C 啦",IF(D120&gt;50,"超出規格 O.O.C 啦",""))))</f>
        <v/>
      </c>
    </row>
    <row r="121" spans="1:6">
      <c r="A121" s="1" t="s">
        <v>28</v>
      </c>
      <c r="B121" s="3">
        <v>44901.732233796298</v>
      </c>
      <c r="C121" s="1" t="s">
        <v>25</v>
      </c>
      <c r="D121" s="1">
        <v>3</v>
      </c>
      <c r="E121" s="1" t="s">
        <v>11</v>
      </c>
      <c r="F121" s="4" t="str">
        <f>IF(D121&lt;&gt;C121,IF(AND(D121&gt;=25,D121&lt;35),"warning",IF(AND(D121&gt;=35,D121&lt;=50),"快要 O.O.C 啦",IF(D121&gt;50,"超出規格 O.O.C 啦",""))))</f>
        <v/>
      </c>
    </row>
    <row r="122" spans="1:6">
      <c r="A122" s="1" t="s">
        <v>30</v>
      </c>
      <c r="B122" s="3">
        <v>44901.713275462964</v>
      </c>
      <c r="C122" s="1" t="s">
        <v>25</v>
      </c>
      <c r="D122" s="1">
        <v>9</v>
      </c>
      <c r="E122" s="1" t="s">
        <v>11</v>
      </c>
      <c r="F122" s="4" t="str">
        <f>IF(D122&lt;&gt;C122,IF(AND(D122&gt;=25,D122&lt;35),"warning",IF(AND(D122&gt;=35,D122&lt;=50),"快要 O.O.C 啦",IF(D122&gt;50,"超出規格 O.O.C 啦",""))))</f>
        <v/>
      </c>
    </row>
    <row r="123" spans="1:6">
      <c r="A123" s="1" t="s">
        <v>24</v>
      </c>
      <c r="B123" s="3">
        <v>44901.70590277778</v>
      </c>
      <c r="C123" s="1" t="s">
        <v>25</v>
      </c>
      <c r="D123" s="1">
        <v>3</v>
      </c>
      <c r="E123" s="1" t="s">
        <v>11</v>
      </c>
      <c r="F123" s="4" t="str">
        <f>IF(D123&lt;&gt;C123,IF(AND(D123&gt;=25,D123&lt;35),"warning",IF(AND(D123&gt;=35,D123&lt;=50),"快要 O.O.C 啦",IF(D123&gt;50,"超出規格 O.O.C 啦",""))))</f>
        <v/>
      </c>
    </row>
    <row r="124" spans="1:6">
      <c r="A124" s="1" t="s">
        <v>27</v>
      </c>
      <c r="B124" s="3">
        <v>44901.62909722222</v>
      </c>
      <c r="C124" s="1" t="s">
        <v>25</v>
      </c>
      <c r="D124" s="1">
        <v>2</v>
      </c>
      <c r="E124" s="1" t="s">
        <v>11</v>
      </c>
      <c r="F124" s="4" t="str">
        <f>IF(D124&lt;&gt;C124,IF(AND(D124&gt;=25,D124&lt;35),"warning",IF(AND(D124&gt;=35,D124&lt;=50),"快要 O.O.C 啦",IF(D124&gt;50,"超出規格 O.O.C 啦",""))))</f>
        <v/>
      </c>
    </row>
    <row r="125" spans="1:6">
      <c r="A125" s="1" t="s">
        <v>28</v>
      </c>
      <c r="B125" s="3">
        <v>44901.552256944444</v>
      </c>
      <c r="C125" s="1" t="s">
        <v>25</v>
      </c>
      <c r="D125" s="1">
        <v>0</v>
      </c>
      <c r="E125" s="1" t="s">
        <v>11</v>
      </c>
      <c r="F125" s="4" t="str">
        <f>IF(D125&lt;&gt;C125,IF(AND(D125&gt;=25,D125&lt;35),"warning",IF(AND(D125&gt;=35,D125&lt;=50),"快要 O.O.C 啦",IF(D125&gt;50,"超出規格 O.O.C 啦",""))))</f>
        <v/>
      </c>
    </row>
    <row r="126" spans="1:6">
      <c r="A126" s="1" t="s">
        <v>30</v>
      </c>
      <c r="B126" s="3">
        <v>44901.529398148145</v>
      </c>
      <c r="C126" s="1" t="s">
        <v>25</v>
      </c>
      <c r="D126" s="1">
        <v>0</v>
      </c>
      <c r="E126" s="1" t="s">
        <v>11</v>
      </c>
      <c r="F126" s="4" t="str">
        <f>IF(D126&lt;&gt;C126,IF(AND(D126&gt;=25,D126&lt;35),"warning",IF(AND(D126&gt;=35,D126&lt;=50),"快要 O.O.C 啦",IF(D126&gt;50,"超出規格 O.O.C 啦",""))))</f>
        <v/>
      </c>
    </row>
    <row r="127" spans="1:6">
      <c r="A127" s="1" t="s">
        <v>24</v>
      </c>
      <c r="B127" s="3">
        <v>44901.517500000002</v>
      </c>
      <c r="C127" s="1" t="s">
        <v>25</v>
      </c>
      <c r="D127" s="1">
        <v>0</v>
      </c>
      <c r="E127" s="1" t="s">
        <v>11</v>
      </c>
      <c r="F127" s="4" t="str">
        <f>IF(D127&lt;&gt;C127,IF(AND(D127&gt;=25,D127&lt;35),"warning",IF(AND(D127&gt;=35,D127&lt;=50),"快要 O.O.C 啦",IF(D127&gt;50,"超出規格 O.O.C 啦",""))))</f>
        <v/>
      </c>
    </row>
    <row r="128" spans="1:6">
      <c r="A128" s="1" t="s">
        <v>27</v>
      </c>
      <c r="B128" s="3">
        <v>44901.399340277778</v>
      </c>
      <c r="C128" s="1" t="s">
        <v>29</v>
      </c>
      <c r="D128" s="1">
        <v>0</v>
      </c>
      <c r="E128" s="1" t="s">
        <v>11</v>
      </c>
      <c r="F128" s="4" t="str">
        <f>IF(D128&lt;&gt;C128,IF(AND(D128&gt;=25,D128&lt;35),"warning",IF(AND(D128&gt;=35,D128&lt;=50),"快要 O.O.C 啦",IF(D128&gt;50,"超出規格 O.O.C 啦",""))))</f>
        <v/>
      </c>
    </row>
    <row r="129" spans="1:6">
      <c r="A129" s="1" t="s">
        <v>30</v>
      </c>
      <c r="B129" s="3">
        <v>44901.339687500003</v>
      </c>
      <c r="C129" s="1" t="s">
        <v>29</v>
      </c>
      <c r="D129" s="1">
        <v>19</v>
      </c>
      <c r="E129" s="1" t="s">
        <v>11</v>
      </c>
      <c r="F129" s="4" t="str">
        <f>IF(D129&lt;&gt;C129,IF(AND(D129&gt;=25,D129&lt;35),"warning",IF(AND(D129&gt;=35,D129&lt;=50),"快要 O.O.C 啦",IF(D129&gt;50,"超出規格 O.O.C 啦",""))))</f>
        <v/>
      </c>
    </row>
    <row r="130" spans="1:6">
      <c r="A130" s="1" t="s">
        <v>26</v>
      </c>
      <c r="B130" s="3">
        <v>44901.316469907404</v>
      </c>
      <c r="C130" s="1" t="s">
        <v>29</v>
      </c>
      <c r="D130" s="1">
        <v>3</v>
      </c>
      <c r="E130" s="1" t="s">
        <v>11</v>
      </c>
      <c r="F130" s="4" t="str">
        <f>IF(D130&lt;&gt;C130,IF(AND(D130&gt;=25,D130&lt;35),"warning",IF(AND(D130&gt;=35,D130&lt;=50),"快要 O.O.C 啦",IF(D130&gt;50,"超出規格 O.O.C 啦",""))))</f>
        <v/>
      </c>
    </row>
    <row r="131" spans="1:6">
      <c r="A131" s="1" t="s">
        <v>27</v>
      </c>
      <c r="B131" s="3">
        <v>44901.205868055556</v>
      </c>
      <c r="C131" s="1" t="s">
        <v>31</v>
      </c>
      <c r="D131" s="1">
        <v>1</v>
      </c>
      <c r="E131" s="1" t="s">
        <v>11</v>
      </c>
      <c r="F131" s="4" t="str">
        <f>IF(D131&lt;&gt;C131,IF(AND(D131&gt;=25,D131&lt;35),"warning",IF(AND(D131&gt;=35,D131&lt;=50),"快要 O.O.C 啦",IF(D131&gt;50,"超出規格 O.O.C 啦",""))))</f>
        <v/>
      </c>
    </row>
    <row r="132" spans="1:6">
      <c r="A132" s="1" t="s">
        <v>27</v>
      </c>
      <c r="B132" s="3">
        <v>44901.205868055556</v>
      </c>
      <c r="C132" s="1" t="s">
        <v>29</v>
      </c>
      <c r="D132" s="1">
        <v>11</v>
      </c>
      <c r="E132" s="1" t="s">
        <v>11</v>
      </c>
      <c r="F132" s="4" t="str">
        <f>IF(D132&lt;&gt;C132,IF(AND(D132&gt;=25,D132&lt;35),"warning",IF(AND(D132&gt;=35,D132&lt;=50),"快要 O.O.C 啦",IF(D132&gt;50,"超出規格 O.O.C 啦",""))))</f>
        <v/>
      </c>
    </row>
    <row r="133" spans="1:6">
      <c r="A133" s="1" t="s">
        <v>28</v>
      </c>
      <c r="B133" s="3">
        <v>44901.185347222221</v>
      </c>
      <c r="C133" s="1" t="s">
        <v>29</v>
      </c>
      <c r="D133" s="1">
        <v>0</v>
      </c>
      <c r="E133" s="1" t="s">
        <v>11</v>
      </c>
      <c r="F133" s="4" t="str">
        <f>IF(D133&lt;&gt;C133,IF(AND(D133&gt;=25,D133&lt;35),"warning",IF(AND(D133&gt;=35,D133&lt;=50),"快要 O.O.C 啦",IF(D133&gt;50,"超出規格 O.O.C 啦",""))))</f>
        <v/>
      </c>
    </row>
    <row r="134" spans="1:6">
      <c r="A134" s="1" t="s">
        <v>24</v>
      </c>
      <c r="B134" s="3">
        <v>44901.148287037038</v>
      </c>
      <c r="C134" s="1" t="s">
        <v>31</v>
      </c>
      <c r="D134" s="1">
        <v>0</v>
      </c>
      <c r="E134" s="1" t="s">
        <v>11</v>
      </c>
      <c r="F134" s="4" t="str">
        <f>IF(D134&lt;&gt;C134,IF(AND(D134&gt;=25,D134&lt;35),"warning",IF(AND(D134&gt;=35,D134&lt;=50),"快要 O.O.C 啦",IF(D134&gt;50,"超出規格 O.O.C 啦",""))))</f>
        <v/>
      </c>
    </row>
    <row r="135" spans="1:6">
      <c r="A135" s="1" t="s">
        <v>24</v>
      </c>
      <c r="B135" s="3">
        <v>44901.148287037038</v>
      </c>
      <c r="C135" s="1" t="s">
        <v>29</v>
      </c>
      <c r="D135" s="1">
        <v>0</v>
      </c>
      <c r="E135" s="1" t="s">
        <v>11</v>
      </c>
      <c r="F135" s="4" t="str">
        <f>IF(D135&lt;&gt;C135,IF(AND(D135&gt;=25,D135&lt;35),"warning",IF(AND(D135&gt;=35,D135&lt;=50),"快要 O.O.C 啦",IF(D135&gt;50,"超出規格 O.O.C 啦",""))))</f>
        <v/>
      </c>
    </row>
    <row r="136" spans="1:6">
      <c r="A136" s="1" t="s">
        <v>30</v>
      </c>
      <c r="B136" s="3">
        <v>44901.144201388888</v>
      </c>
      <c r="C136" s="1" t="s">
        <v>31</v>
      </c>
      <c r="D136" s="1">
        <v>5</v>
      </c>
      <c r="E136" s="1" t="s">
        <v>11</v>
      </c>
      <c r="F136" s="4" t="str">
        <f>IF(D136&lt;&gt;C136,IF(AND(D136&gt;=25,D136&lt;35),"warning",IF(AND(D136&gt;=35,D136&lt;=50),"快要 O.O.C 啦",IF(D136&gt;50,"超出規格 O.O.C 啦",""))))</f>
        <v/>
      </c>
    </row>
    <row r="137" spans="1:6">
      <c r="A137" s="1" t="s">
        <v>30</v>
      </c>
      <c r="B137" s="3">
        <v>44901.144201388888</v>
      </c>
      <c r="C137" s="1" t="s">
        <v>29</v>
      </c>
      <c r="D137" s="1">
        <v>0</v>
      </c>
      <c r="E137" s="1" t="s">
        <v>11</v>
      </c>
      <c r="F137" s="4" t="str">
        <f>IF(D137&lt;&gt;C137,IF(AND(D137&gt;=25,D137&lt;35),"warning",IF(AND(D137&gt;=35,D137&lt;=50),"快要 O.O.C 啦",IF(D137&gt;50,"超出規格 O.O.C 啦",""))))</f>
        <v/>
      </c>
    </row>
    <row r="138" spans="1:6">
      <c r="A138" s="1" t="s">
        <v>26</v>
      </c>
      <c r="B138" s="3">
        <v>44901.103298611109</v>
      </c>
      <c r="C138" s="1" t="s">
        <v>31</v>
      </c>
      <c r="D138" s="1">
        <v>0</v>
      </c>
      <c r="E138" s="1" t="s">
        <v>11</v>
      </c>
      <c r="F138" s="4" t="str">
        <f>IF(D138&lt;&gt;C138,IF(AND(D138&gt;=25,D138&lt;35),"warning",IF(AND(D138&gt;=35,D138&lt;=50),"快要 O.O.C 啦",IF(D138&gt;50,"超出規格 O.O.C 啦",""))))</f>
        <v/>
      </c>
    </row>
    <row r="139" spans="1:6">
      <c r="A139" s="1" t="s">
        <v>26</v>
      </c>
      <c r="B139" s="3">
        <v>44901.103298611109</v>
      </c>
      <c r="C139" s="1" t="s">
        <v>29</v>
      </c>
      <c r="D139" s="1">
        <v>0</v>
      </c>
      <c r="E139" s="1" t="s">
        <v>11</v>
      </c>
      <c r="F139" s="4" t="str">
        <f>IF(D139&lt;&gt;C139,IF(AND(D139&gt;=25,D139&lt;35),"warning",IF(AND(D139&gt;=35,D139&lt;=50),"快要 O.O.C 啦",IF(D139&gt;50,"超出規格 O.O.C 啦",""))))</f>
        <v/>
      </c>
    </row>
    <row r="140" spans="1:6">
      <c r="A140" s="1" t="s">
        <v>28</v>
      </c>
      <c r="B140" s="3">
        <v>44900.997175925928</v>
      </c>
      <c r="C140" s="1" t="s">
        <v>31</v>
      </c>
      <c r="D140" s="1">
        <v>0</v>
      </c>
      <c r="E140" s="1" t="s">
        <v>11</v>
      </c>
      <c r="F140" s="4" t="str">
        <f>IF(D140&lt;&gt;C140,IF(AND(D140&gt;=25,D140&lt;35),"warning",IF(AND(D140&gt;=35,D140&lt;=50),"快要 O.O.C 啦",IF(D140&gt;50,"超出規格 O.O.C 啦",""))))</f>
        <v/>
      </c>
    </row>
    <row r="141" spans="1:6">
      <c r="A141" s="1" t="s">
        <v>28</v>
      </c>
      <c r="B141" s="3">
        <v>44900.997175925928</v>
      </c>
      <c r="C141" s="1" t="s">
        <v>29</v>
      </c>
      <c r="D141" s="1">
        <v>0</v>
      </c>
      <c r="E141" s="1" t="s">
        <v>11</v>
      </c>
      <c r="F141" s="4" t="str">
        <f>IF(D141&lt;&gt;C141,IF(AND(D141&gt;=25,D141&lt;35),"warning",IF(AND(D141&gt;=35,D141&lt;=50),"快要 O.O.C 啦",IF(D141&gt;50,"超出規格 O.O.C 啦",""))))</f>
        <v/>
      </c>
    </row>
    <row r="142" spans="1:6">
      <c r="A142" s="1" t="s">
        <v>27</v>
      </c>
      <c r="B142" s="3">
        <v>44900.995324074072</v>
      </c>
      <c r="C142" s="1" t="s">
        <v>31</v>
      </c>
      <c r="D142" s="1">
        <v>0</v>
      </c>
      <c r="E142" s="1" t="s">
        <v>11</v>
      </c>
      <c r="F142" s="4" t="str">
        <f>IF(D142&lt;&gt;C142,IF(AND(D142&gt;=25,D142&lt;35),"warning",IF(AND(D142&gt;=35,D142&lt;=50),"快要 O.O.C 啦",IF(D142&gt;50,"超出規格 O.O.C 啦",""))))</f>
        <v/>
      </c>
    </row>
    <row r="143" spans="1:6">
      <c r="A143" s="1" t="s">
        <v>27</v>
      </c>
      <c r="B143" s="3">
        <v>44900.995324074072</v>
      </c>
      <c r="C143" s="1" t="s">
        <v>29</v>
      </c>
      <c r="D143" s="1">
        <v>0</v>
      </c>
      <c r="E143" s="1" t="s">
        <v>11</v>
      </c>
      <c r="F143" s="4" t="str">
        <f>IF(D143&lt;&gt;C143,IF(AND(D143&gt;=25,D143&lt;35),"warning",IF(AND(D143&gt;=35,D143&lt;=50),"快要 O.O.C 啦",IF(D143&gt;50,"超出規格 O.O.C 啦",""))))</f>
        <v/>
      </c>
    </row>
    <row r="144" spans="1:6">
      <c r="A144" s="1" t="s">
        <v>30</v>
      </c>
      <c r="B144" s="3">
        <v>44900.956296296295</v>
      </c>
      <c r="C144" s="1" t="s">
        <v>31</v>
      </c>
      <c r="D144" s="1">
        <v>0</v>
      </c>
      <c r="E144" s="1" t="s">
        <v>11</v>
      </c>
      <c r="F144" s="4" t="str">
        <f>IF(D144&lt;&gt;C144,IF(AND(D144&gt;=25,D144&lt;35),"warning",IF(AND(D144&gt;=35,D144&lt;=50),"快要 O.O.C 啦",IF(D144&gt;50,"超出規格 O.O.C 啦",""))))</f>
        <v/>
      </c>
    </row>
    <row r="145" spans="1:6">
      <c r="A145" s="1" t="s">
        <v>30</v>
      </c>
      <c r="B145" s="3">
        <v>44900.956296296295</v>
      </c>
      <c r="C145" s="1" t="s">
        <v>29</v>
      </c>
      <c r="D145" s="1">
        <v>0</v>
      </c>
      <c r="E145" s="1" t="s">
        <v>11</v>
      </c>
      <c r="F145" s="4" t="str">
        <f>IF(D145&lt;&gt;C145,IF(AND(D145&gt;=25,D145&lt;35),"warning",IF(AND(D145&gt;=35,D145&lt;=50),"快要 O.O.C 啦",IF(D145&gt;50,"超出規格 O.O.C 啦",""))))</f>
        <v/>
      </c>
    </row>
    <row r="146" spans="1:6">
      <c r="A146" s="1" t="s">
        <v>26</v>
      </c>
      <c r="B146" s="3">
        <v>44900.92224537037</v>
      </c>
      <c r="C146" s="1" t="s">
        <v>31</v>
      </c>
      <c r="D146" s="1">
        <v>0</v>
      </c>
      <c r="E146" s="1" t="s">
        <v>11</v>
      </c>
      <c r="F146" s="4" t="str">
        <f>IF(D146&lt;&gt;C146,IF(AND(D146&gt;=25,D146&lt;35),"warning",IF(AND(D146&gt;=35,D146&lt;=50),"快要 O.O.C 啦",IF(D146&gt;50,"超出規格 O.O.C 啦",""))))</f>
        <v/>
      </c>
    </row>
    <row r="147" spans="1:6">
      <c r="A147" s="1" t="s">
        <v>26</v>
      </c>
      <c r="B147" s="3">
        <v>44900.92224537037</v>
      </c>
      <c r="C147" s="1" t="s">
        <v>29</v>
      </c>
      <c r="D147" s="1">
        <v>0</v>
      </c>
      <c r="E147" s="1" t="s">
        <v>11</v>
      </c>
      <c r="F147" s="4" t="str">
        <f>IF(D147&lt;&gt;C147,IF(AND(D147&gt;=25,D147&lt;35),"warning",IF(AND(D147&gt;=35,D147&lt;=50),"快要 O.O.C 啦",IF(D147&gt;50,"超出規格 O.O.C 啦",""))))</f>
        <v/>
      </c>
    </row>
    <row r="148" spans="1:6">
      <c r="A148" s="1" t="s">
        <v>28</v>
      </c>
      <c r="B148" s="3">
        <v>44900.826377314814</v>
      </c>
      <c r="C148" s="1" t="s">
        <v>25</v>
      </c>
      <c r="D148" s="1">
        <v>17</v>
      </c>
      <c r="E148" s="1" t="s">
        <v>11</v>
      </c>
      <c r="F148" s="4" t="str">
        <f>IF(D148&lt;&gt;C148,IF(AND(D148&gt;=25,D148&lt;35),"warning",IF(AND(D148&gt;=35,D148&lt;=50),"快要 O.O.C 啦",IF(D148&gt;50,"超出規格 O.O.C 啦",""))))</f>
        <v/>
      </c>
    </row>
    <row r="149" spans="1:6">
      <c r="A149" s="1" t="s">
        <v>27</v>
      </c>
      <c r="B149" s="3">
        <v>44900.81453703704</v>
      </c>
      <c r="C149" s="1" t="s">
        <v>25</v>
      </c>
      <c r="D149" s="1">
        <v>0</v>
      </c>
      <c r="E149" s="1" t="s">
        <v>11</v>
      </c>
      <c r="F149" s="4" t="str">
        <f>IF(D149&lt;&gt;C149,IF(AND(D149&gt;=25,D149&lt;35),"warning",IF(AND(D149&gt;=35,D149&lt;=50),"快要 O.O.C 啦",IF(D149&gt;50,"超出規格 O.O.C 啦",""))))</f>
        <v/>
      </c>
    </row>
    <row r="150" spans="1:6">
      <c r="A150" s="1" t="s">
        <v>30</v>
      </c>
      <c r="B150" s="3">
        <v>44900.773761574077</v>
      </c>
      <c r="C150" s="1" t="s">
        <v>25</v>
      </c>
      <c r="D150" s="1">
        <v>7</v>
      </c>
      <c r="E150" s="1" t="s">
        <v>11</v>
      </c>
      <c r="F150" s="4" t="str">
        <f>IF(D150&lt;&gt;C150,IF(AND(D150&gt;=25,D150&lt;35),"warning",IF(AND(D150&gt;=35,D150&lt;=50),"快要 O.O.C 啦",IF(D150&gt;50,"超出規格 O.O.C 啦",""))))</f>
        <v/>
      </c>
    </row>
    <row r="151" spans="1:6">
      <c r="A151" s="1" t="s">
        <v>26</v>
      </c>
      <c r="B151" s="3">
        <v>44900.736122685186</v>
      </c>
      <c r="C151" s="1" t="s">
        <v>25</v>
      </c>
      <c r="D151" s="1">
        <v>6</v>
      </c>
      <c r="E151" s="1" t="s">
        <v>11</v>
      </c>
      <c r="F151" s="4" t="str">
        <f>IF(D151&lt;&gt;C151,IF(AND(D151&gt;=25,D151&lt;35),"warning",IF(AND(D151&gt;=35,D151&lt;=50),"快要 O.O.C 啦",IF(D151&gt;50,"超出規格 O.O.C 啦",""))))</f>
        <v/>
      </c>
    </row>
    <row r="152" spans="1:6">
      <c r="A152" s="1" t="s">
        <v>27</v>
      </c>
      <c r="B152" s="3">
        <v>44900.626342592594</v>
      </c>
      <c r="C152" s="1" t="s">
        <v>25</v>
      </c>
      <c r="D152" s="1">
        <v>0</v>
      </c>
      <c r="E152" s="1" t="s">
        <v>11</v>
      </c>
      <c r="F152" s="4" t="str">
        <f>IF(D152&lt;&gt;C152,IF(AND(D152&gt;=25,D152&lt;35),"warning",IF(AND(D152&gt;=35,D152&lt;=50),"快要 O.O.C 啦",IF(D152&gt;50,"超出規格 O.O.C 啦",""))))</f>
        <v/>
      </c>
    </row>
    <row r="153" spans="1:6">
      <c r="A153" s="1" t="s">
        <v>28</v>
      </c>
      <c r="B153" s="3">
        <v>44900.596967592595</v>
      </c>
      <c r="C153" s="1" t="s">
        <v>25</v>
      </c>
      <c r="D153" s="1">
        <v>1</v>
      </c>
      <c r="E153" s="1" t="s">
        <v>11</v>
      </c>
      <c r="F153" s="4" t="str">
        <f>IF(D153&lt;&gt;C153,IF(AND(D153&gt;=25,D153&lt;35),"warning",IF(AND(D153&gt;=35,D153&lt;=50),"快要 O.O.C 啦",IF(D153&gt;50,"超出規格 O.O.C 啦",""))))</f>
        <v/>
      </c>
    </row>
    <row r="154" spans="1:6">
      <c r="A154" s="1" t="s">
        <v>30</v>
      </c>
      <c r="B154" s="3">
        <v>44900.595902777779</v>
      </c>
      <c r="C154" s="1" t="s">
        <v>29</v>
      </c>
      <c r="D154" s="1">
        <v>0</v>
      </c>
      <c r="E154" s="1" t="s">
        <v>11</v>
      </c>
      <c r="F154" s="4" t="str">
        <f>IF(D154&lt;&gt;C154,IF(AND(D154&gt;=25,D154&lt;35),"warning",IF(AND(D154&gt;=35,D154&lt;=50),"快要 O.O.C 啦",IF(D154&gt;50,"超出規格 O.O.C 啦",""))))</f>
        <v/>
      </c>
    </row>
    <row r="155" spans="1:6">
      <c r="A155" s="1" t="s">
        <v>26</v>
      </c>
      <c r="B155" s="3">
        <v>44900.454861111109</v>
      </c>
      <c r="C155" s="1" t="s">
        <v>29</v>
      </c>
      <c r="D155" s="1">
        <v>0</v>
      </c>
      <c r="E155" s="1" t="s">
        <v>11</v>
      </c>
      <c r="F155" s="4" t="str">
        <f>IF(D155&lt;&gt;C155,IF(AND(D155&gt;=25,D155&lt;35),"warning",IF(AND(D155&gt;=35,D155&lt;=50),"快要 O.O.C 啦",IF(D155&gt;50,"超出規格 O.O.C 啦",""))))</f>
        <v/>
      </c>
    </row>
    <row r="156" spans="1:6">
      <c r="A156" s="1" t="s">
        <v>27</v>
      </c>
      <c r="B156" s="3">
        <v>44900.421666666669</v>
      </c>
      <c r="C156" s="1" t="s">
        <v>29</v>
      </c>
      <c r="D156" s="1">
        <v>0</v>
      </c>
      <c r="E156" s="1" t="s">
        <v>11</v>
      </c>
      <c r="F156" s="4" t="str">
        <f>IF(D156&lt;&gt;C156,IF(AND(D156&gt;=25,D156&lt;35),"warning",IF(AND(D156&gt;=35,D156&lt;=50),"快要 O.O.C 啦",IF(D156&gt;50,"超出規格 O.O.C 啦",""))))</f>
        <v/>
      </c>
    </row>
    <row r="157" spans="1:6">
      <c r="A157" s="1" t="s">
        <v>28</v>
      </c>
      <c r="B157" s="3">
        <v>44900.420266203706</v>
      </c>
      <c r="C157" s="1" t="s">
        <v>29</v>
      </c>
      <c r="D157" s="1">
        <v>4</v>
      </c>
      <c r="E157" s="1" t="s">
        <v>11</v>
      </c>
      <c r="F157" s="4" t="str">
        <f>IF(D157&lt;&gt;C157,IF(AND(D157&gt;=25,D157&lt;35),"warning",IF(AND(D157&gt;=35,D157&lt;=50),"快要 O.O.C 啦",IF(D157&gt;50,"超出規格 O.O.C 啦",""))))</f>
        <v/>
      </c>
    </row>
    <row r="158" spans="1:6">
      <c r="A158" s="1" t="s">
        <v>30</v>
      </c>
      <c r="B158" s="3">
        <v>44900.41070601852</v>
      </c>
      <c r="C158" s="1" t="s">
        <v>29</v>
      </c>
      <c r="D158" s="1">
        <v>0</v>
      </c>
      <c r="E158" s="1" t="s">
        <v>11</v>
      </c>
      <c r="F158" s="4" t="str">
        <f>IF(D158&lt;&gt;C158,IF(AND(D158&gt;=25,D158&lt;35),"warning",IF(AND(D158&gt;=35,D158&lt;=50),"快要 O.O.C 啦",IF(D158&gt;50,"超出規格 O.O.C 啦",""))))</f>
        <v/>
      </c>
    </row>
    <row r="159" spans="1:6">
      <c r="A159" s="9" t="s">
        <v>26</v>
      </c>
      <c r="B159" s="10">
        <v>44900.251354166663</v>
      </c>
      <c r="C159" s="9" t="s">
        <v>29</v>
      </c>
      <c r="D159" s="9">
        <v>0</v>
      </c>
      <c r="E159" s="9" t="s">
        <v>11</v>
      </c>
      <c r="F159" s="11" t="str">
        <f>IF(D159&lt;&gt;C159,IF(AND(D159&gt;=25,D159&lt;35),"warning",IF(AND(D159&gt;=35,D159&lt;=50),"快要 O.O.C 啦",IF(D159&gt;50,"超出規格 O.O.C 啦",""))))</f>
        <v/>
      </c>
    </row>
    <row r="160" spans="1:6">
      <c r="A160" s="9" t="s">
        <v>28</v>
      </c>
      <c r="B160" s="10">
        <v>44900.239259259259</v>
      </c>
      <c r="C160" s="9" t="s">
        <v>29</v>
      </c>
      <c r="D160" s="9">
        <v>0</v>
      </c>
      <c r="E160" s="9" t="s">
        <v>11</v>
      </c>
      <c r="F160" s="11" t="str">
        <f>IF(D160&lt;&gt;C160,IF(AND(D160&gt;=25,D160&lt;35),"warning",IF(AND(D160&gt;=35,D160&lt;=50),"快要 O.O.C 啦",IF(D160&gt;50,"超出規格 O.O.C 啦",""))))</f>
        <v/>
      </c>
    </row>
    <row r="161" spans="1:6">
      <c r="A161" s="9" t="s">
        <v>27</v>
      </c>
      <c r="B161" s="10">
        <v>44900.238020833334</v>
      </c>
      <c r="C161" s="9" t="s">
        <v>29</v>
      </c>
      <c r="D161" s="9">
        <v>0</v>
      </c>
      <c r="E161" s="9" t="s">
        <v>11</v>
      </c>
      <c r="F161" s="11" t="str">
        <f>IF(D161&lt;&gt;C161,IF(AND(D161&gt;=25,D161&lt;35),"warning",IF(AND(D161&gt;=35,D161&lt;=50),"快要 O.O.C 啦",IF(D161&gt;50,"超出規格 O.O.C 啦",""))))</f>
        <v/>
      </c>
    </row>
    <row r="162" spans="1:6">
      <c r="A162" s="9" t="s">
        <v>30</v>
      </c>
      <c r="B162" s="10">
        <v>44900.217499999999</v>
      </c>
      <c r="C162" s="9" t="s">
        <v>29</v>
      </c>
      <c r="D162" s="9">
        <v>6</v>
      </c>
      <c r="E162" s="9" t="s">
        <v>11</v>
      </c>
      <c r="F162" s="11" t="str">
        <f>IF(D162&lt;&gt;C162,IF(AND(D162&gt;=25,D162&lt;35),"warning",IF(AND(D162&gt;=35,D162&lt;=50),"快要 O.O.C 啦",IF(D162&gt;50,"超出規格 O.O.C 啦",""))))</f>
        <v/>
      </c>
    </row>
    <row r="163" spans="1:6">
      <c r="A163" s="9" t="s">
        <v>24</v>
      </c>
      <c r="B163" s="10">
        <v>44900.116041666668</v>
      </c>
      <c r="C163" s="9" t="s">
        <v>31</v>
      </c>
      <c r="D163" s="9">
        <v>0</v>
      </c>
      <c r="E163" s="9" t="s">
        <v>11</v>
      </c>
      <c r="F163" s="11" t="str">
        <f>IF(D163&lt;&gt;C163,IF(AND(D163&gt;=25,D163&lt;35),"warning",IF(AND(D163&gt;=35,D163&lt;=50),"快要 O.O.C 啦",IF(D163&gt;50,"超出規格 O.O.C 啦",""))))</f>
        <v/>
      </c>
    </row>
    <row r="164" spans="1:6">
      <c r="A164" s="9" t="s">
        <v>24</v>
      </c>
      <c r="B164" s="10">
        <v>44900.116041666668</v>
      </c>
      <c r="C164" s="9" t="s">
        <v>29</v>
      </c>
      <c r="D164" s="9">
        <v>15</v>
      </c>
      <c r="E164" s="9" t="s">
        <v>11</v>
      </c>
      <c r="F164" s="11" t="str">
        <f>IF(D164&lt;&gt;C164,IF(AND(D164&gt;=25,D164&lt;35),"warning",IF(AND(D164&gt;=35,D164&lt;=50),"快要 O.O.C 啦",IF(D164&gt;50,"超出規格 O.O.C 啦",""))))</f>
        <v/>
      </c>
    </row>
    <row r="165" spans="1:6">
      <c r="A165" s="9" t="s">
        <v>27</v>
      </c>
      <c r="B165" s="10">
        <v>44900.05945601852</v>
      </c>
      <c r="C165" s="9" t="s">
        <v>31</v>
      </c>
      <c r="D165" s="9">
        <v>2</v>
      </c>
      <c r="E165" s="9" t="s">
        <v>11</v>
      </c>
      <c r="F165" s="11" t="str">
        <f>IF(D165&lt;&gt;C165,IF(AND(D165&gt;=25,D165&lt;35),"warning",IF(AND(D165&gt;=35,D165&lt;=50),"快要 O.O.C 啦",IF(D165&gt;50,"超出規格 O.O.C 啦",""))))</f>
        <v/>
      </c>
    </row>
    <row r="166" spans="1:6">
      <c r="A166" s="9" t="s">
        <v>27</v>
      </c>
      <c r="B166" s="10">
        <v>44900.05945601852</v>
      </c>
      <c r="C166" s="9" t="s">
        <v>29</v>
      </c>
      <c r="D166" s="9">
        <v>0</v>
      </c>
      <c r="E166" s="9" t="s">
        <v>11</v>
      </c>
      <c r="F166" s="11" t="str">
        <f>IF(D166&lt;&gt;C166,IF(AND(D166&gt;=25,D166&lt;35),"warning",IF(AND(D166&gt;=35,D166&lt;=50),"快要 O.O.C 啦",IF(D166&gt;50,"超出規格 O.O.C 啦",""))))</f>
        <v/>
      </c>
    </row>
    <row r="167" spans="1:6">
      <c r="A167" s="9" t="s">
        <v>28</v>
      </c>
      <c r="B167" s="10">
        <v>44900.044409722221</v>
      </c>
      <c r="C167" s="9" t="s">
        <v>31</v>
      </c>
      <c r="D167" s="9">
        <v>0</v>
      </c>
      <c r="E167" s="9" t="s">
        <v>11</v>
      </c>
      <c r="F167" s="11" t="str">
        <f>IF(D167&lt;&gt;C167,IF(AND(D167&gt;=25,D167&lt;35),"warning",IF(AND(D167&gt;=35,D167&lt;=50),"快要 O.O.C 啦",IF(D167&gt;50,"超出規格 O.O.C 啦",""))))</f>
        <v/>
      </c>
    </row>
    <row r="168" spans="1:6">
      <c r="A168" s="9" t="s">
        <v>28</v>
      </c>
      <c r="B168" s="10">
        <v>44900.044409722221</v>
      </c>
      <c r="C168" s="9" t="s">
        <v>29</v>
      </c>
      <c r="D168" s="9">
        <v>4</v>
      </c>
      <c r="E168" s="9" t="s">
        <v>11</v>
      </c>
      <c r="F168" s="11" t="str">
        <f>IF(D168&lt;&gt;C168,IF(AND(D168&gt;=25,D168&lt;35),"warning",IF(AND(D168&gt;=35,D168&lt;=50),"快要 O.O.C 啦",IF(D168&gt;50,"超出規格 O.O.C 啦",""))))</f>
        <v/>
      </c>
    </row>
    <row r="169" spans="1:6">
      <c r="A169" s="9" t="s">
        <v>26</v>
      </c>
      <c r="B169" s="10">
        <v>44900.042962962965</v>
      </c>
      <c r="C169" s="9" t="s">
        <v>31</v>
      </c>
      <c r="D169" s="9">
        <v>10</v>
      </c>
      <c r="E169" s="9" t="s">
        <v>11</v>
      </c>
      <c r="F169" s="11" t="str">
        <f>IF(D169&lt;&gt;C169,IF(AND(D169&gt;=25,D169&lt;35),"warning",IF(AND(D169&gt;=35,D169&lt;=50),"快要 O.O.C 啦",IF(D169&gt;50,"超出規格 O.O.C 啦",""))))</f>
        <v/>
      </c>
    </row>
    <row r="170" spans="1:6">
      <c r="A170" s="9" t="s">
        <v>26</v>
      </c>
      <c r="B170" s="10">
        <v>44900.042962962965</v>
      </c>
      <c r="C170" s="9" t="s">
        <v>29</v>
      </c>
      <c r="D170" s="9">
        <v>10</v>
      </c>
      <c r="E170" s="9" t="s">
        <v>11</v>
      </c>
      <c r="F170" s="11" t="str">
        <f>IF(D170&lt;&gt;C170,IF(AND(D170&gt;=25,D170&lt;35),"warning",IF(AND(D170&gt;=35,D170&lt;=50),"快要 O.O.C 啦",IF(D170&gt;50,"超出規格 O.O.C 啦",""))))</f>
        <v/>
      </c>
    </row>
    <row r="171" spans="1:6">
      <c r="D171" s="2"/>
    </row>
    <row r="172" spans="1:6">
      <c r="D172" s="2"/>
    </row>
    <row r="173" spans="1:6">
      <c r="D173" s="2"/>
    </row>
    <row r="174" spans="1:6">
      <c r="D174" s="2"/>
    </row>
    <row r="175" spans="1:6">
      <c r="D175" s="2"/>
    </row>
    <row r="176" spans="1:6">
      <c r="D176" s="2"/>
    </row>
    <row r="177" spans="1:4">
      <c r="D177" s="2"/>
    </row>
    <row r="178" spans="1:4">
      <c r="D178" s="2"/>
    </row>
    <row r="179" spans="1:4">
      <c r="D179" s="2"/>
    </row>
    <row r="180" spans="1:4">
      <c r="D180" s="2"/>
    </row>
    <row r="181" spans="1:4">
      <c r="A181" s="2"/>
      <c r="B181" s="2"/>
      <c r="C181" s="2"/>
      <c r="D181" s="2"/>
    </row>
    <row r="182" spans="1:4">
      <c r="A182" s="2"/>
      <c r="B182" s="2"/>
      <c r="C182" s="2"/>
      <c r="D182" s="2"/>
    </row>
    <row r="183" spans="1:4">
      <c r="A183" s="2"/>
      <c r="B183" s="2"/>
      <c r="C183" s="2"/>
      <c r="D183" s="2"/>
    </row>
    <row r="184" spans="1:4">
      <c r="A184" s="2"/>
      <c r="B184" s="2"/>
      <c r="C184" s="2"/>
      <c r="D184" s="2"/>
    </row>
    <row r="185" spans="1:4">
      <c r="A185" s="2"/>
      <c r="B185" s="2"/>
      <c r="C185" s="2"/>
      <c r="D185" s="2"/>
    </row>
    <row r="186" spans="1:4">
      <c r="A186" s="2"/>
      <c r="B186" s="2"/>
      <c r="C186" s="2"/>
      <c r="D186" s="2"/>
    </row>
    <row r="187" spans="1:4">
      <c r="A187" s="2"/>
      <c r="B187" s="2"/>
      <c r="C187" s="2"/>
      <c r="D187" s="2"/>
    </row>
    <row r="188" spans="1:4">
      <c r="A188" s="2"/>
      <c r="B188" s="2"/>
      <c r="C188" s="2"/>
      <c r="D188" s="2"/>
    </row>
    <row r="189" spans="1:4">
      <c r="A189" s="2"/>
      <c r="B189" s="2"/>
      <c r="C189" s="2"/>
      <c r="D189" s="2"/>
    </row>
    <row r="190" spans="1:4">
      <c r="A190" s="2"/>
      <c r="B190" s="2"/>
      <c r="C190" s="2"/>
      <c r="D190" s="2"/>
    </row>
    <row r="191" spans="1:4">
      <c r="A191" s="2"/>
      <c r="B191" s="2"/>
      <c r="C191" s="2"/>
      <c r="D191" s="2"/>
    </row>
    <row r="192" spans="1:4">
      <c r="A192" s="2"/>
      <c r="B192" s="2"/>
      <c r="C192" s="2"/>
      <c r="D192" s="2"/>
    </row>
    <row r="193" spans="1:4">
      <c r="A193" s="2"/>
      <c r="B193" s="2"/>
      <c r="C193" s="2"/>
      <c r="D193" s="2"/>
    </row>
    <row r="194" spans="1:4">
      <c r="A194" s="2"/>
      <c r="B194" s="2"/>
      <c r="C194" s="2"/>
      <c r="D194" s="2"/>
    </row>
    <row r="195" spans="1:4">
      <c r="A195" s="2"/>
      <c r="B195" s="2"/>
      <c r="C195" s="2"/>
      <c r="D195" s="2"/>
    </row>
    <row r="196" spans="1:4">
      <c r="A196" s="2"/>
      <c r="B196" s="2"/>
      <c r="C196" s="2"/>
      <c r="D196" s="2"/>
    </row>
    <row r="197" spans="1:4">
      <c r="A197" s="2"/>
      <c r="B197" s="2"/>
      <c r="C197" s="2"/>
      <c r="D197" s="2"/>
    </row>
    <row r="198" spans="1:4">
      <c r="A198" s="2"/>
      <c r="B198" s="2"/>
      <c r="C198" s="2"/>
      <c r="D198" s="2"/>
    </row>
    <row r="199" spans="1:4">
      <c r="A199" s="2"/>
      <c r="B199" s="2"/>
      <c r="C199" s="2"/>
      <c r="D199" s="2"/>
    </row>
    <row r="200" spans="1:4">
      <c r="A200" s="2"/>
      <c r="B200" s="2"/>
      <c r="C200" s="2"/>
      <c r="D200" s="2"/>
    </row>
    <row r="201" spans="1:4">
      <c r="A201" s="2"/>
      <c r="B201" s="2"/>
      <c r="C201" s="2"/>
      <c r="D201" s="2"/>
    </row>
    <row r="202" spans="1:4">
      <c r="A202" s="2"/>
      <c r="B202" s="2"/>
      <c r="C202" s="2"/>
      <c r="D202" s="2"/>
    </row>
    <row r="203" spans="1:4">
      <c r="A203" s="2"/>
      <c r="B203" s="2"/>
      <c r="C203" s="2"/>
      <c r="D203" s="2"/>
    </row>
    <row r="204" spans="1:4">
      <c r="A204" s="2"/>
      <c r="B204" s="2"/>
      <c r="C204" s="2"/>
      <c r="D204" s="2"/>
    </row>
    <row r="205" spans="1:4">
      <c r="A205" s="2"/>
      <c r="B205" s="2"/>
      <c r="C205" s="2"/>
      <c r="D205" s="2"/>
    </row>
    <row r="206" spans="1:4">
      <c r="A206" s="2"/>
      <c r="B206" s="2"/>
      <c r="C206" s="2"/>
      <c r="D206" s="2"/>
    </row>
    <row r="207" spans="1:4">
      <c r="A207" s="2"/>
      <c r="B207" s="2"/>
      <c r="C207" s="2"/>
      <c r="D207" s="2"/>
    </row>
    <row r="208" spans="1:4">
      <c r="A208" s="2"/>
      <c r="B208" s="2"/>
      <c r="C208" s="2"/>
      <c r="D208" s="2"/>
    </row>
    <row r="209" spans="1:4">
      <c r="A209" s="2"/>
      <c r="B209" s="2"/>
      <c r="C209" s="2"/>
      <c r="D209" s="2"/>
    </row>
    <row r="210" spans="1:4">
      <c r="A210" s="2"/>
      <c r="B210" s="2"/>
      <c r="C210" s="2"/>
      <c r="D210" s="2"/>
    </row>
    <row r="211" spans="1:4">
      <c r="A211" s="2"/>
      <c r="B211" s="2"/>
      <c r="C211" s="2"/>
      <c r="D211" s="2"/>
    </row>
    <row r="212" spans="1:4">
      <c r="A212" s="2"/>
      <c r="B212" s="2"/>
      <c r="C212" s="2"/>
      <c r="D212" s="2"/>
    </row>
    <row r="213" spans="1:4">
      <c r="A213" s="2"/>
      <c r="B213" s="2"/>
      <c r="C213" s="2"/>
      <c r="D213" s="2"/>
    </row>
    <row r="214" spans="1:4">
      <c r="A214" s="2"/>
      <c r="B214" s="2"/>
      <c r="C214" s="2"/>
      <c r="D214" s="2"/>
    </row>
    <row r="215" spans="1:4">
      <c r="A215" s="2"/>
      <c r="B215" s="2"/>
      <c r="C215" s="2"/>
      <c r="D215" s="2"/>
    </row>
    <row r="216" spans="1:4">
      <c r="A216" s="2"/>
      <c r="B216" s="2"/>
      <c r="C216" s="2"/>
      <c r="D216" s="2"/>
    </row>
    <row r="217" spans="1:4">
      <c r="A217" s="2"/>
      <c r="B217" s="2"/>
      <c r="C217" s="2"/>
      <c r="D217" s="2"/>
    </row>
    <row r="218" spans="1:4">
      <c r="A218" s="2"/>
      <c r="B218" s="2"/>
      <c r="C218" s="2"/>
      <c r="D218" s="2"/>
    </row>
    <row r="219" spans="1:4">
      <c r="A219" s="2"/>
      <c r="B219" s="2"/>
      <c r="C219" s="2"/>
      <c r="D219" s="2"/>
    </row>
    <row r="220" spans="1:4">
      <c r="A220" s="2"/>
      <c r="B220" s="2"/>
      <c r="C220" s="2"/>
      <c r="D220" s="2"/>
    </row>
    <row r="221" spans="1:4">
      <c r="A221" s="2"/>
      <c r="B221" s="2"/>
      <c r="C221" s="2"/>
      <c r="D221" s="2"/>
    </row>
    <row r="222" spans="1:4">
      <c r="A222" s="2"/>
      <c r="B222" s="2"/>
      <c r="C222" s="2"/>
      <c r="D222" s="2"/>
    </row>
    <row r="223" spans="1:4">
      <c r="A223" s="2"/>
      <c r="B223" s="2"/>
      <c r="C223" s="2"/>
      <c r="D223" s="2"/>
    </row>
    <row r="224" spans="1:4">
      <c r="A224" s="2"/>
      <c r="B224" s="2"/>
      <c r="C224" s="2"/>
      <c r="D224" s="2"/>
    </row>
    <row r="225" spans="1:4">
      <c r="A225" s="2"/>
      <c r="B225" s="2"/>
      <c r="C225" s="2"/>
      <c r="D225" s="2"/>
    </row>
    <row r="226" spans="1:4">
      <c r="A226" s="2"/>
      <c r="B226" s="2"/>
      <c r="C226" s="2"/>
      <c r="D226" s="2"/>
    </row>
    <row r="227" spans="1:4">
      <c r="A227" s="2"/>
      <c r="B227" s="2"/>
      <c r="C227" s="2"/>
      <c r="D227" s="2"/>
    </row>
    <row r="228" spans="1:4">
      <c r="A228" s="2"/>
      <c r="B228" s="2"/>
      <c r="C228" s="2"/>
      <c r="D228" s="2"/>
    </row>
    <row r="229" spans="1:4">
      <c r="A229" s="2"/>
      <c r="B229" s="2"/>
      <c r="C229" s="2"/>
      <c r="D229" s="2"/>
    </row>
    <row r="230" spans="1:4">
      <c r="A230" s="2"/>
      <c r="B230" s="2"/>
      <c r="C230" s="2"/>
      <c r="D230" s="2"/>
    </row>
    <row r="231" spans="1:4">
      <c r="A231" s="2"/>
      <c r="B231" s="2"/>
      <c r="C231" s="2"/>
      <c r="D231" s="2"/>
    </row>
    <row r="232" spans="1:4">
      <c r="A232" s="2"/>
      <c r="B232" s="2"/>
      <c r="C232" s="2"/>
      <c r="D232" s="2"/>
    </row>
    <row r="233" spans="1:4">
      <c r="A233" s="2"/>
      <c r="B233" s="2"/>
      <c r="C233" s="2"/>
      <c r="D233" s="2"/>
    </row>
    <row r="234" spans="1:4">
      <c r="A234" s="2"/>
      <c r="B234" s="2"/>
      <c r="C234" s="2"/>
      <c r="D234" s="2"/>
    </row>
    <row r="235" spans="1:4">
      <c r="A235" s="2"/>
      <c r="B235" s="2"/>
      <c r="C235" s="2"/>
      <c r="D235" s="2"/>
    </row>
    <row r="236" spans="1:4">
      <c r="A236" s="2"/>
      <c r="B236" s="2"/>
      <c r="C236" s="2"/>
      <c r="D236" s="2"/>
    </row>
    <row r="237" spans="1:4">
      <c r="A237" s="2"/>
      <c r="B237" s="2"/>
      <c r="C237" s="2"/>
      <c r="D237" s="2"/>
    </row>
    <row r="238" spans="1:4">
      <c r="A238" s="2"/>
      <c r="B238" s="2"/>
      <c r="C238" s="2"/>
      <c r="D238" s="2"/>
    </row>
    <row r="239" spans="1:4">
      <c r="A239" s="2"/>
      <c r="B239" s="2"/>
      <c r="C239" s="2"/>
      <c r="D239" s="2"/>
    </row>
    <row r="240" spans="1:4">
      <c r="A240" s="2"/>
      <c r="B240" s="2"/>
      <c r="C240" s="2"/>
      <c r="D240" s="2"/>
    </row>
    <row r="241" spans="1:4">
      <c r="A241" s="2"/>
      <c r="B241" s="2"/>
      <c r="C241" s="2"/>
      <c r="D241" s="2"/>
    </row>
    <row r="242" spans="1:4">
      <c r="A242" s="2"/>
      <c r="B242" s="2"/>
      <c r="C242" s="2"/>
      <c r="D242" s="2"/>
    </row>
    <row r="243" spans="1:4">
      <c r="A243" s="2"/>
      <c r="B243" s="2"/>
      <c r="C243" s="2"/>
      <c r="D243" s="2"/>
    </row>
    <row r="244" spans="1:4">
      <c r="A244" s="2"/>
      <c r="B244" s="2"/>
      <c r="C244" s="2"/>
      <c r="D244" s="2"/>
    </row>
    <row r="245" spans="1:4">
      <c r="A245" s="2"/>
      <c r="B245" s="2"/>
      <c r="C245" s="2"/>
      <c r="D245" s="2"/>
    </row>
    <row r="246" spans="1:4">
      <c r="A246" s="2"/>
      <c r="B246" s="2"/>
      <c r="C246" s="2"/>
      <c r="D246" s="2"/>
    </row>
    <row r="247" spans="1:4">
      <c r="A247" s="2"/>
      <c r="B247" s="2"/>
      <c r="C247" s="2"/>
      <c r="D247" s="2"/>
    </row>
    <row r="248" spans="1:4">
      <c r="A248" s="2"/>
      <c r="B248" s="2"/>
      <c r="C248" s="2"/>
      <c r="D248" s="2"/>
    </row>
    <row r="249" spans="1:4">
      <c r="A249" s="2"/>
      <c r="B249" s="2"/>
      <c r="C249" s="2"/>
      <c r="D249" s="2"/>
    </row>
    <row r="250" spans="1:4">
      <c r="A250" s="2"/>
      <c r="B250" s="2"/>
      <c r="C250" s="2"/>
      <c r="D250" s="2"/>
    </row>
    <row r="251" spans="1:4">
      <c r="A251" s="2"/>
      <c r="B251" s="2"/>
      <c r="C251" s="2"/>
      <c r="D251" s="2"/>
    </row>
    <row r="252" spans="1:4">
      <c r="A252" s="2"/>
      <c r="B252" s="2"/>
      <c r="C252" s="2"/>
      <c r="D252" s="2"/>
    </row>
    <row r="253" spans="1:4">
      <c r="A253" s="2"/>
      <c r="B253" s="2"/>
      <c r="C253" s="2"/>
      <c r="D253" s="2"/>
    </row>
    <row r="254" spans="1:4">
      <c r="A254" s="2"/>
      <c r="B254" s="2"/>
      <c r="C254" s="2"/>
      <c r="D254" s="2"/>
    </row>
    <row r="255" spans="1:4">
      <c r="A255" s="2"/>
      <c r="B255" s="2"/>
      <c r="C255" s="2"/>
      <c r="D255" s="2"/>
    </row>
    <row r="256" spans="1:4">
      <c r="A256" s="2"/>
      <c r="B256" s="2"/>
      <c r="C256" s="2"/>
      <c r="D256" s="2"/>
    </row>
    <row r="257" spans="1:4">
      <c r="A257" s="2"/>
      <c r="B257" s="2"/>
      <c r="C257" s="2"/>
      <c r="D257" s="2"/>
    </row>
    <row r="258" spans="1:4">
      <c r="A258" s="2"/>
      <c r="B258" s="2"/>
      <c r="C258" s="2"/>
      <c r="D258" s="2"/>
    </row>
    <row r="259" spans="1:4">
      <c r="A259" s="2"/>
      <c r="B259" s="2"/>
      <c r="C259" s="2"/>
      <c r="D259" s="2"/>
    </row>
    <row r="260" spans="1:4">
      <c r="A260" s="2"/>
      <c r="B260" s="2"/>
      <c r="C260" s="2"/>
      <c r="D260" s="2"/>
    </row>
    <row r="261" spans="1:4">
      <c r="A261" s="2"/>
      <c r="B261" s="2"/>
      <c r="C261" s="2"/>
      <c r="D261" s="2"/>
    </row>
    <row r="262" spans="1:4">
      <c r="A262" s="2"/>
      <c r="B262" s="2"/>
      <c r="C262" s="2"/>
      <c r="D262" s="2"/>
    </row>
    <row r="263" spans="1:4">
      <c r="A263" s="2"/>
      <c r="B263" s="2"/>
      <c r="C263" s="2"/>
      <c r="D263" s="2"/>
    </row>
    <row r="264" spans="1:4">
      <c r="A264" s="2"/>
      <c r="B264" s="2"/>
      <c r="C264" s="2"/>
      <c r="D264" s="2"/>
    </row>
    <row r="265" spans="1:4">
      <c r="A265" s="2"/>
      <c r="B265" s="2"/>
      <c r="C265" s="2"/>
      <c r="D265" s="2"/>
    </row>
    <row r="266" spans="1:4">
      <c r="A266" s="2"/>
      <c r="B266" s="2"/>
      <c r="C266" s="2"/>
      <c r="D266" s="2"/>
    </row>
    <row r="267" spans="1:4">
      <c r="A267" s="2"/>
      <c r="B267" s="2"/>
      <c r="C267" s="2"/>
      <c r="D267" s="2"/>
    </row>
    <row r="268" spans="1:4">
      <c r="A268" s="2"/>
      <c r="B268" s="2"/>
      <c r="C268" s="2"/>
      <c r="D268" s="2"/>
    </row>
    <row r="269" spans="1:4">
      <c r="A269" s="2"/>
      <c r="B269" s="2"/>
      <c r="C269" s="2"/>
      <c r="D269" s="2"/>
    </row>
    <row r="270" spans="1:4">
      <c r="A270" s="2"/>
      <c r="B270" s="2"/>
      <c r="C270" s="2"/>
      <c r="D270" s="2"/>
    </row>
    <row r="271" spans="1:4">
      <c r="A271" s="2"/>
      <c r="B271" s="2"/>
      <c r="C271" s="2"/>
      <c r="D271" s="2"/>
    </row>
    <row r="272" spans="1:4">
      <c r="A272" s="2"/>
      <c r="B272" s="2"/>
      <c r="C272" s="2"/>
      <c r="D272" s="2"/>
    </row>
    <row r="273" spans="1:4">
      <c r="A273" s="2"/>
      <c r="B273" s="2"/>
      <c r="C273" s="2"/>
      <c r="D273" s="2"/>
    </row>
    <row r="274" spans="1:4">
      <c r="A274" s="2"/>
      <c r="B274" s="2"/>
      <c r="C274" s="2"/>
      <c r="D274" s="2"/>
    </row>
    <row r="275" spans="1:4">
      <c r="A275" s="2"/>
      <c r="B275" s="2"/>
      <c r="C275" s="2"/>
      <c r="D275" s="2"/>
    </row>
    <row r="276" spans="1:4">
      <c r="A276" s="2"/>
      <c r="B276" s="2"/>
      <c r="C276" s="2"/>
      <c r="D276" s="2"/>
    </row>
    <row r="277" spans="1:4">
      <c r="A277" s="2"/>
      <c r="B277" s="2"/>
      <c r="C277" s="2"/>
      <c r="D277" s="2"/>
    </row>
    <row r="278" spans="1:4">
      <c r="A278" s="2"/>
      <c r="B278" s="2"/>
      <c r="C278" s="2"/>
      <c r="D278" s="2"/>
    </row>
    <row r="279" spans="1:4">
      <c r="A279" s="2"/>
      <c r="B279" s="2"/>
      <c r="C279" s="2"/>
      <c r="D279" s="2"/>
    </row>
    <row r="280" spans="1:4">
      <c r="A280" s="2"/>
      <c r="B280" s="2"/>
      <c r="C280" s="2"/>
      <c r="D280" s="2"/>
    </row>
    <row r="281" spans="1:4">
      <c r="A281" s="2"/>
      <c r="B281" s="2"/>
      <c r="C281" s="2"/>
      <c r="D281" s="2"/>
    </row>
    <row r="282" spans="1:4">
      <c r="A282" s="2"/>
      <c r="B282" s="2"/>
      <c r="C282" s="2"/>
      <c r="D282" s="2"/>
    </row>
    <row r="283" spans="1:4">
      <c r="A283" s="2"/>
      <c r="B283" s="2"/>
      <c r="C283" s="2"/>
      <c r="D283" s="2"/>
    </row>
    <row r="284" spans="1:4">
      <c r="A284" s="2"/>
      <c r="B284" s="2"/>
      <c r="C284" s="2"/>
      <c r="D284" s="2"/>
    </row>
    <row r="285" spans="1:4">
      <c r="A285" s="2"/>
      <c r="B285" s="2"/>
      <c r="C285" s="2"/>
      <c r="D285" s="2"/>
    </row>
    <row r="286" spans="1:4">
      <c r="A286" s="2"/>
      <c r="B286" s="2"/>
      <c r="C286" s="2"/>
      <c r="D286" s="2"/>
    </row>
    <row r="287" spans="1:4">
      <c r="A287" s="2"/>
      <c r="B287" s="2"/>
      <c r="C287" s="2"/>
      <c r="D287" s="2"/>
    </row>
    <row r="288" spans="1:4">
      <c r="A288" s="2"/>
      <c r="B288" s="2"/>
      <c r="C288" s="2"/>
      <c r="D288" s="2"/>
    </row>
    <row r="289" spans="1:4">
      <c r="A289" s="2"/>
      <c r="B289" s="2"/>
      <c r="C289" s="2"/>
      <c r="D289" s="2"/>
    </row>
    <row r="290" spans="1:4">
      <c r="A290" s="2"/>
      <c r="B290" s="2"/>
      <c r="C290" s="2"/>
      <c r="D290" s="2"/>
    </row>
    <row r="291" spans="1:4">
      <c r="A291" s="2"/>
      <c r="B291" s="2"/>
      <c r="C291" s="2"/>
      <c r="D291" s="2"/>
    </row>
    <row r="292" spans="1:4">
      <c r="A292" s="2"/>
      <c r="B292" s="2"/>
      <c r="C292" s="2"/>
      <c r="D292" s="2"/>
    </row>
    <row r="293" spans="1:4">
      <c r="A293" s="2"/>
      <c r="B293" s="2"/>
      <c r="C293" s="2"/>
      <c r="D293" s="2"/>
    </row>
    <row r="294" spans="1:4">
      <c r="A294" s="2"/>
      <c r="B294" s="2"/>
      <c r="C294" s="2"/>
      <c r="D294" s="2"/>
    </row>
    <row r="295" spans="1:4">
      <c r="A295" s="2"/>
      <c r="B295" s="2"/>
      <c r="C295" s="2"/>
      <c r="D295" s="2"/>
    </row>
    <row r="296" spans="1:4">
      <c r="A296" s="2"/>
      <c r="B296" s="2"/>
      <c r="C296" s="2"/>
      <c r="D296" s="2"/>
    </row>
    <row r="297" spans="1:4">
      <c r="A297" s="2"/>
      <c r="B297" s="2"/>
      <c r="C297" s="2"/>
      <c r="D297" s="2"/>
    </row>
    <row r="298" spans="1:4">
      <c r="A298" s="2"/>
      <c r="B298" s="2"/>
      <c r="C298" s="2"/>
      <c r="D298" s="2"/>
    </row>
    <row r="299" spans="1:4">
      <c r="A299" s="2"/>
      <c r="B299" s="2"/>
      <c r="C299" s="2"/>
      <c r="D299" s="2"/>
    </row>
    <row r="300" spans="1:4">
      <c r="A300" s="2"/>
      <c r="B300" s="2"/>
      <c r="C300" s="2"/>
      <c r="D300" s="2"/>
    </row>
    <row r="301" spans="1:4">
      <c r="A301" s="2"/>
      <c r="B301" s="2"/>
      <c r="C301" s="2"/>
      <c r="D301" s="2"/>
    </row>
    <row r="302" spans="1:4">
      <c r="A302" s="2"/>
      <c r="B302" s="2"/>
      <c r="C302" s="2"/>
      <c r="D302" s="2"/>
    </row>
    <row r="303" spans="1:4">
      <c r="A303" s="2"/>
      <c r="B303" s="2"/>
      <c r="C303" s="2"/>
      <c r="D303" s="2"/>
    </row>
    <row r="304" spans="1:4">
      <c r="A304" s="2"/>
      <c r="B304" s="2"/>
      <c r="C304" s="2"/>
      <c r="D304" s="2"/>
    </row>
    <row r="305" spans="1:4">
      <c r="A305" s="2"/>
      <c r="B305" s="2"/>
      <c r="C305" s="2"/>
      <c r="D305" s="2"/>
    </row>
    <row r="306" spans="1:4">
      <c r="A306" s="2"/>
      <c r="B306" s="2"/>
      <c r="C306" s="2"/>
      <c r="D306" s="2"/>
    </row>
    <row r="307" spans="1:4">
      <c r="A307" s="2"/>
      <c r="B307" s="2"/>
      <c r="C307" s="2"/>
      <c r="D307" s="2"/>
    </row>
    <row r="308" spans="1:4">
      <c r="A308" s="2"/>
      <c r="B308" s="2"/>
      <c r="C308" s="2"/>
      <c r="D308" s="2"/>
    </row>
    <row r="309" spans="1:4">
      <c r="A309" s="2"/>
      <c r="B309" s="2"/>
      <c r="C309" s="2"/>
      <c r="D309" s="2"/>
    </row>
    <row r="310" spans="1:4">
      <c r="A310" s="2"/>
      <c r="B310" s="2"/>
      <c r="C310" s="2"/>
      <c r="D310" s="2"/>
    </row>
    <row r="311" spans="1:4">
      <c r="A311" s="2"/>
      <c r="B311" s="2"/>
      <c r="C311" s="2"/>
      <c r="D311" s="2"/>
    </row>
    <row r="312" spans="1:4">
      <c r="A312" s="2"/>
      <c r="B312" s="2"/>
      <c r="C312" s="2"/>
      <c r="D312" s="2"/>
    </row>
    <row r="313" spans="1:4">
      <c r="A313" s="2"/>
      <c r="B313" s="2"/>
      <c r="C313" s="2"/>
      <c r="D313" s="2"/>
    </row>
    <row r="314" spans="1:4">
      <c r="A314" s="2"/>
      <c r="B314" s="2"/>
      <c r="C314" s="2"/>
      <c r="D314" s="2"/>
    </row>
    <row r="315" spans="1:4">
      <c r="A315" s="2"/>
      <c r="B315" s="2"/>
      <c r="C315" s="2"/>
      <c r="D315" s="2"/>
    </row>
    <row r="316" spans="1:4">
      <c r="A316" s="2"/>
      <c r="B316" s="2"/>
      <c r="C316" s="2"/>
      <c r="D316" s="2"/>
    </row>
    <row r="317" spans="1:4">
      <c r="A317" s="2"/>
      <c r="B317" s="2"/>
      <c r="C317" s="2"/>
      <c r="D317" s="2"/>
    </row>
    <row r="318" spans="1:4">
      <c r="A318" s="2"/>
      <c r="B318" s="2"/>
      <c r="C318" s="2"/>
      <c r="D318" s="2"/>
    </row>
    <row r="319" spans="1:4">
      <c r="A319" s="2"/>
      <c r="B319" s="2"/>
      <c r="C319" s="2"/>
      <c r="D319" s="2"/>
    </row>
    <row r="320" spans="1:4">
      <c r="A320" s="2"/>
      <c r="B320" s="2"/>
      <c r="C320" s="2"/>
      <c r="D320" s="2"/>
    </row>
    <row r="321" spans="1:4">
      <c r="A321" s="2"/>
      <c r="B321" s="2"/>
      <c r="C321" s="2"/>
      <c r="D321" s="2"/>
    </row>
    <row r="322" spans="1:4">
      <c r="A322" s="2"/>
      <c r="B322" s="2"/>
      <c r="C322" s="2"/>
      <c r="D322" s="2"/>
    </row>
    <row r="323" spans="1:4">
      <c r="A323" s="2"/>
      <c r="B323" s="2"/>
      <c r="C323" s="2"/>
      <c r="D323" s="2"/>
    </row>
    <row r="324" spans="1:4">
      <c r="A324" s="2"/>
      <c r="B324" s="2"/>
      <c r="C324" s="2"/>
      <c r="D324" s="2"/>
    </row>
    <row r="325" spans="1:4">
      <c r="A325" s="2"/>
      <c r="B325" s="2"/>
      <c r="C325" s="2"/>
      <c r="D325" s="2"/>
    </row>
    <row r="326" spans="1:4">
      <c r="A326" s="2"/>
      <c r="B326" s="2"/>
      <c r="C326" s="2"/>
      <c r="D326" s="2"/>
    </row>
    <row r="327" spans="1:4">
      <c r="A327" s="2"/>
      <c r="B327" s="2"/>
      <c r="C327" s="2"/>
      <c r="D327" s="2"/>
    </row>
    <row r="328" spans="1:4">
      <c r="A328" s="2"/>
      <c r="B328" s="2"/>
      <c r="C328" s="2"/>
      <c r="D328" s="2"/>
    </row>
    <row r="329" spans="1:4">
      <c r="A329" s="2"/>
      <c r="B329" s="2"/>
      <c r="C329" s="2"/>
      <c r="D329" s="2"/>
    </row>
    <row r="330" spans="1:4">
      <c r="A330" s="2"/>
      <c r="B330" s="2"/>
      <c r="C330" s="2"/>
      <c r="D330" s="2"/>
    </row>
    <row r="331" spans="1:4">
      <c r="A331" s="2"/>
      <c r="B331" s="2"/>
      <c r="C331" s="2"/>
      <c r="D331" s="2"/>
    </row>
    <row r="332" spans="1:4">
      <c r="A332" s="2"/>
      <c r="B332" s="2"/>
      <c r="C332" s="2"/>
      <c r="D332" s="2"/>
    </row>
    <row r="333" spans="1:4">
      <c r="A333" s="2"/>
      <c r="B333" s="2"/>
      <c r="C333" s="2"/>
      <c r="D333" s="2"/>
    </row>
    <row r="334" spans="1:4">
      <c r="A334" s="2"/>
      <c r="B334" s="2"/>
      <c r="C334" s="2"/>
      <c r="D334" s="2"/>
    </row>
    <row r="335" spans="1:4">
      <c r="A335" s="2"/>
      <c r="B335" s="2"/>
      <c r="C335" s="2"/>
      <c r="D335" s="2"/>
    </row>
    <row r="336" spans="1:4">
      <c r="A336" s="2"/>
      <c r="B336" s="2"/>
      <c r="C336" s="2"/>
      <c r="D336" s="2"/>
    </row>
    <row r="337" spans="1:4">
      <c r="A337" s="2"/>
      <c r="B337" s="2"/>
      <c r="C337" s="2"/>
      <c r="D337" s="2"/>
    </row>
    <row r="338" spans="1:4">
      <c r="A338" s="2"/>
      <c r="B338" s="2"/>
      <c r="C338" s="2"/>
      <c r="D338" s="2"/>
    </row>
    <row r="339" spans="1:4">
      <c r="A339" s="2"/>
      <c r="B339" s="2"/>
      <c r="C339" s="2"/>
      <c r="D339" s="2"/>
    </row>
    <row r="340" spans="1:4">
      <c r="A340" s="2"/>
      <c r="B340" s="2"/>
      <c r="C340" s="2"/>
      <c r="D340" s="2"/>
    </row>
    <row r="341" spans="1:4">
      <c r="A341" s="2"/>
      <c r="B341" s="2"/>
      <c r="C341" s="2"/>
      <c r="D341" s="2"/>
    </row>
  </sheetData>
  <mergeCells count="1">
    <mergeCell ref="I1:J11"/>
  </mergeCells>
  <phoneticPr fontId="1" type="noConversion"/>
  <conditionalFormatting sqref="F2:F170">
    <cfRule type="containsText" dxfId="47" priority="3" operator="containsText" text="Warning">
      <formula>NOT(ISERROR(SEARCH("Warning",F2)))</formula>
    </cfRule>
  </conditionalFormatting>
  <conditionalFormatting sqref="F2:F170">
    <cfRule type="containsText" dxfId="46" priority="2" operator="containsText" text="快要 O.O.C 啦">
      <formula>NOT(ISERROR(SEARCH("快要 O.O.C 啦",F2)))</formula>
    </cfRule>
  </conditionalFormatting>
  <conditionalFormatting sqref="F2:F170">
    <cfRule type="containsText" dxfId="45" priority="1" operator="containsText" text="超出規格 O.O.C 啦">
      <formula>NOT(ISERROR(SEARCH("超出規格 O.O.C 啦",F2)))</formula>
    </cfRule>
  </conditionalFormatting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31"/>
  <sheetViews>
    <sheetView zoomScaleNormal="100" workbookViewId="0"/>
  </sheetViews>
  <sheetFormatPr defaultColWidth="27.5" defaultRowHeight="16.5"/>
  <cols>
    <col min="1" max="1" width="16" style="1" customWidth="1"/>
    <col min="2" max="2" width="16.125" style="1" customWidth="1"/>
    <col min="3" max="3" width="16" style="1" customWidth="1"/>
    <col min="4" max="4" width="23.125" style="1" hidden="1" customWidth="1"/>
    <col min="5" max="6" width="11.375" customWidth="1"/>
    <col min="7" max="7" width="17.25" style="1" customWidth="1"/>
    <col min="8" max="8" width="20.75" customWidth="1"/>
    <col min="9" max="9" width="25.625" style="5" customWidth="1"/>
    <col min="10" max="10" width="0" style="2" hidden="1" customWidth="1"/>
    <col min="11" max="16384" width="27.5" style="2"/>
  </cols>
  <sheetData>
    <row r="1" spans="1:13">
      <c r="A1" s="1" t="s">
        <v>9</v>
      </c>
      <c r="B1" s="1" t="s">
        <v>1</v>
      </c>
      <c r="C1" s="1" t="s">
        <v>0</v>
      </c>
      <c r="D1" s="1" t="s">
        <v>8</v>
      </c>
      <c r="E1" s="1" t="s">
        <v>2</v>
      </c>
      <c r="F1" s="1" t="s">
        <v>10</v>
      </c>
      <c r="G1" s="1" t="s">
        <v>3</v>
      </c>
      <c r="H1" s="1" t="s">
        <v>43</v>
      </c>
      <c r="I1" s="5" t="s">
        <v>44</v>
      </c>
      <c r="J1" s="6">
        <f ca="1">TODAY()-7</f>
        <v>44900</v>
      </c>
      <c r="L1" s="7" t="s">
        <v>47</v>
      </c>
      <c r="M1" s="8"/>
    </row>
    <row r="2" spans="1:13">
      <c r="A2" s="1" t="s">
        <v>4</v>
      </c>
      <c r="B2" s="3">
        <v>44907.628067129626</v>
      </c>
      <c r="C2" s="1" t="s">
        <v>6</v>
      </c>
      <c r="D2" s="4" t="str">
        <f>CONCATENATE(B2,RIGHT(C2,2))</f>
        <v>44907.6280671296C4</v>
      </c>
      <c r="E2" s="1">
        <v>0</v>
      </c>
      <c r="F2" s="4" t="e">
        <f>VLOOKUP(D2,'LP-T2 大顆的'!D:E,2)</f>
        <v>#N/A</v>
      </c>
      <c r="G2" s="1" t="s">
        <v>11</v>
      </c>
      <c r="H2" s="1" t="str">
        <f>IF(C2&lt;&gt;B2,IF(AND(E2&gt;=20,E2&lt;35),"warning",IF(AND(E2&gt;=35,E2&lt;=50),"快要 O.O.C 啦",IF(E2&gt;50,"超出規格 O.O.C 啦",""))))</f>
        <v/>
      </c>
      <c r="I2" s="1" t="e">
        <f>IF(C2&lt;&gt;B2,IF(AND(F2&gt;=5,E2&lt;10),"warning",IF(AND(F2&gt;=10,F2&lt;=15),"快要 O.O.C 啦",IF(F2&gt;15,"超出規格 O.O.C 啦",""))))</f>
        <v>#N/A</v>
      </c>
      <c r="L2" s="8"/>
      <c r="M2" s="8"/>
    </row>
    <row r="3" spans="1:13">
      <c r="A3" s="1" t="s">
        <v>15</v>
      </c>
      <c r="B3" s="3">
        <v>44907.607847222222</v>
      </c>
      <c r="C3" s="1" t="s">
        <v>6</v>
      </c>
      <c r="D3" s="4" t="str">
        <f>CONCATENATE(B3,RIGHT(C3,2))</f>
        <v>44907.6078472222C4</v>
      </c>
      <c r="E3" s="1">
        <v>4</v>
      </c>
      <c r="F3" s="4" t="e">
        <f>VLOOKUP(D3,'LP-T2 大顆的'!D:E,2)</f>
        <v>#N/A</v>
      </c>
      <c r="G3" s="1" t="s">
        <v>11</v>
      </c>
      <c r="H3" s="1" t="str">
        <f>IF(C3&lt;&gt;B3,IF(AND(E3&gt;=20,E3&lt;35),"warning",IF(AND(E3&gt;=35,E3&lt;=50),"快要 O.O.C 啦",IF(E3&gt;50,"超出規格 O.O.C 啦",""))))</f>
        <v/>
      </c>
      <c r="I3" s="1" t="e">
        <f>IF(C3&lt;&gt;B3,IF(AND(F3&gt;=5,E3&lt;10),"warning",IF(AND(F3&gt;=10,F3&lt;=15),"快要 O.O.C 啦",IF(F3&gt;15,"超出規格 O.O.C 啦",""))))</f>
        <v>#N/A</v>
      </c>
      <c r="L3" s="8"/>
      <c r="M3" s="8"/>
    </row>
    <row r="4" spans="1:13">
      <c r="A4" s="1" t="s">
        <v>16</v>
      </c>
      <c r="B4" s="3">
        <v>44907.579641203702</v>
      </c>
      <c r="C4" s="1" t="s">
        <v>6</v>
      </c>
      <c r="D4" s="4" t="str">
        <f>CONCATENATE(B4,RIGHT(C4,2))</f>
        <v>44907.5796412037C4</v>
      </c>
      <c r="E4" s="1">
        <v>0</v>
      </c>
      <c r="F4" s="4" t="e">
        <f>VLOOKUP(D4,'LP-T2 大顆的'!D:E,2)</f>
        <v>#N/A</v>
      </c>
      <c r="G4" s="1" t="s">
        <v>11</v>
      </c>
      <c r="H4" s="1" t="str">
        <f>IF(C4&lt;&gt;B4,IF(AND(E4&gt;=20,E4&lt;35),"warning",IF(AND(E4&gt;=35,E4&lt;=50),"快要 O.O.C 啦",IF(E4&gt;50,"超出規格 O.O.C 啦",""))))</f>
        <v/>
      </c>
      <c r="I4" s="1" t="e">
        <f>IF(C4&lt;&gt;B4,IF(AND(F4&gt;=5,E4&lt;10),"warning",IF(AND(F4&gt;=10,F4&lt;=15),"快要 O.O.C 啦",IF(F4&gt;15,"超出規格 O.O.C 啦",""))))</f>
        <v>#N/A</v>
      </c>
      <c r="L4" s="8"/>
      <c r="M4" s="8"/>
    </row>
    <row r="5" spans="1:13">
      <c r="A5" s="1" t="s">
        <v>14</v>
      </c>
      <c r="B5" s="3">
        <v>44907.572824074072</v>
      </c>
      <c r="C5" s="1" t="s">
        <v>6</v>
      </c>
      <c r="D5" s="4" t="str">
        <f>CONCATENATE(B5,RIGHT(C5,2))</f>
        <v>44907.5728240741C4</v>
      </c>
      <c r="E5" s="1">
        <v>0</v>
      </c>
      <c r="F5" s="4" t="e">
        <f>VLOOKUP(D5,'LP-T2 大顆的'!D:E,2)</f>
        <v>#N/A</v>
      </c>
      <c r="G5" s="1" t="s">
        <v>11</v>
      </c>
      <c r="H5" s="1" t="str">
        <f>IF(C5&lt;&gt;B5,IF(AND(E5&gt;=20,E5&lt;35),"warning",IF(AND(E5&gt;=35,E5&lt;=50),"快要 O.O.C 啦",IF(E5&gt;50,"超出規格 O.O.C 啦",""))))</f>
        <v/>
      </c>
      <c r="I5" s="1" t="e">
        <f>IF(C5&lt;&gt;B5,IF(AND(F5&gt;=5,E5&lt;10),"warning",IF(AND(F5&gt;=10,F5&lt;=15),"快要 O.O.C 啦",IF(F5&gt;15,"超出規格 O.O.C 啦",""))))</f>
        <v>#N/A</v>
      </c>
      <c r="L5" s="8"/>
      <c r="M5" s="8"/>
    </row>
    <row r="6" spans="1:13">
      <c r="A6" s="1" t="s">
        <v>17</v>
      </c>
      <c r="B6" s="3">
        <v>44907.562847222223</v>
      </c>
      <c r="C6" s="1" t="s">
        <v>6</v>
      </c>
      <c r="D6" s="4" t="str">
        <f>CONCATENATE(B6,RIGHT(C6,2))</f>
        <v>44907.5628472222C4</v>
      </c>
      <c r="E6" s="1">
        <v>0</v>
      </c>
      <c r="F6" s="4" t="e">
        <f>VLOOKUP(D6,'LP-T2 大顆的'!D:E,2)</f>
        <v>#N/A</v>
      </c>
      <c r="G6" s="1" t="s">
        <v>11</v>
      </c>
      <c r="H6" s="1" t="str">
        <f>IF(C6&lt;&gt;B6,IF(AND(E6&gt;=20,E6&lt;35),"warning",IF(AND(E6&gt;=35,E6&lt;=50),"快要 O.O.C 啦",IF(E6&gt;50,"超出規格 O.O.C 啦",""))))</f>
        <v/>
      </c>
      <c r="I6" s="1" t="e">
        <f>IF(C6&lt;&gt;B6,IF(AND(F6&gt;=5,E6&lt;10),"warning",IF(AND(F6&gt;=10,F6&lt;=15),"快要 O.O.C 啦",IF(F6&gt;15,"超出規格 O.O.C 啦",""))))</f>
        <v>#N/A</v>
      </c>
      <c r="L6" s="8"/>
      <c r="M6" s="8"/>
    </row>
    <row r="7" spans="1:13">
      <c r="A7" s="1" t="s">
        <v>13</v>
      </c>
      <c r="B7" s="3">
        <v>44907.558194444442</v>
      </c>
      <c r="C7" s="1" t="s">
        <v>6</v>
      </c>
      <c r="D7" s="4" t="str">
        <f>CONCATENATE(B7,RIGHT(C7,2))</f>
        <v>44907.5581944444C4</v>
      </c>
      <c r="E7" s="1">
        <v>0</v>
      </c>
      <c r="F7" s="4" t="e">
        <f>VLOOKUP(D7,'LP-T2 大顆的'!D:E,2)</f>
        <v>#N/A</v>
      </c>
      <c r="G7" s="1" t="s">
        <v>11</v>
      </c>
      <c r="H7" s="1" t="str">
        <f>IF(C7&lt;&gt;B7,IF(AND(E7&gt;=20,E7&lt;35),"warning",IF(AND(E7&gt;=35,E7&lt;=50),"快要 O.O.C 啦",IF(E7&gt;50,"超出規格 O.O.C 啦",""))))</f>
        <v/>
      </c>
      <c r="I7" s="1" t="e">
        <f>IF(C7&lt;&gt;B7,IF(AND(F7&gt;=5,E7&lt;10),"warning",IF(AND(F7&gt;=10,F7&lt;=15),"快要 O.O.C 啦",IF(F7&gt;15,"超出規格 O.O.C 啦",""))))</f>
        <v>#N/A</v>
      </c>
      <c r="L7" s="8"/>
      <c r="M7" s="8"/>
    </row>
    <row r="8" spans="1:13">
      <c r="A8" s="1" t="s">
        <v>15</v>
      </c>
      <c r="B8" s="3">
        <v>44907.449317129627</v>
      </c>
      <c r="C8" s="1" t="s">
        <v>7</v>
      </c>
      <c r="D8" s="4" t="str">
        <f>CONCATENATE(B8,RIGHT(C8,2))</f>
        <v>44907.4493171296C1</v>
      </c>
      <c r="E8" s="1">
        <v>0</v>
      </c>
      <c r="F8" s="4" t="e">
        <f>VLOOKUP(D8,'LP-T2 大顆的'!D:E,2)</f>
        <v>#N/A</v>
      </c>
      <c r="G8" s="1" t="s">
        <v>11</v>
      </c>
      <c r="H8" s="1" t="str">
        <f>IF(C8&lt;&gt;B8,IF(AND(E8&gt;=20,E8&lt;35),"warning",IF(AND(E8&gt;=35,E8&lt;=50),"快要 O.O.C 啦",IF(E8&gt;50,"超出規格 O.O.C 啦",""))))</f>
        <v/>
      </c>
      <c r="I8" s="1" t="e">
        <f>IF(C8&lt;&gt;B8,IF(AND(F8&gt;=5,E8&lt;10),"warning",IF(AND(F8&gt;=10,F8&lt;=15),"快要 O.O.C 啦",IF(F8&gt;15,"超出規格 O.O.C 啦",""))))</f>
        <v>#N/A</v>
      </c>
      <c r="L8" s="8"/>
      <c r="M8" s="8"/>
    </row>
    <row r="9" spans="1:13">
      <c r="A9" s="1" t="s">
        <v>4</v>
      </c>
      <c r="B9" s="3">
        <v>44907.43613425926</v>
      </c>
      <c r="C9" s="1" t="s">
        <v>7</v>
      </c>
      <c r="D9" s="4" t="str">
        <f>CONCATENATE(B9,RIGHT(C9,2))</f>
        <v>44907.4361342593C1</v>
      </c>
      <c r="E9" s="1">
        <v>0</v>
      </c>
      <c r="F9" s="4" t="e">
        <f>VLOOKUP(D9,'LP-T2 大顆的'!D:E,2)</f>
        <v>#N/A</v>
      </c>
      <c r="G9" s="1" t="s">
        <v>11</v>
      </c>
      <c r="H9" s="1" t="str">
        <f>IF(C9&lt;&gt;B9,IF(AND(E9&gt;=20,E9&lt;35),"warning",IF(AND(E9&gt;=35,E9&lt;=50),"快要 O.O.C 啦",IF(E9&gt;50,"超出規格 O.O.C 啦",""))))</f>
        <v/>
      </c>
      <c r="I9" s="1" t="e">
        <f>IF(C9&lt;&gt;B9,IF(AND(F9&gt;=5,E9&lt;10),"warning",IF(AND(F9&gt;=10,F9&lt;=15),"快要 O.O.C 啦",IF(F9&gt;15,"超出規格 O.O.C 啦",""))))</f>
        <v>#N/A</v>
      </c>
      <c r="L9" s="8"/>
      <c r="M9" s="8"/>
    </row>
    <row r="10" spans="1:13">
      <c r="A10" s="1" t="s">
        <v>14</v>
      </c>
      <c r="B10" s="3">
        <v>44907.417986111112</v>
      </c>
      <c r="C10" s="1" t="s">
        <v>7</v>
      </c>
      <c r="D10" s="4" t="str">
        <f>CONCATENATE(B10,RIGHT(C10,2))</f>
        <v>44907.4179861111C1</v>
      </c>
      <c r="E10" s="1">
        <v>0</v>
      </c>
      <c r="F10" s="4" t="e">
        <f>VLOOKUP(D10,'LP-T2 大顆的'!D:E,2)</f>
        <v>#N/A</v>
      </c>
      <c r="G10" s="1" t="s">
        <v>11</v>
      </c>
      <c r="H10" s="1" t="str">
        <f>IF(C10&lt;&gt;B10,IF(AND(E10&gt;=20,E10&lt;35),"warning",IF(AND(E10&gt;=35,E10&lt;=50),"快要 O.O.C 啦",IF(E10&gt;50,"超出規格 O.O.C 啦",""))))</f>
        <v/>
      </c>
      <c r="I10" s="1" t="e">
        <f>IF(C10&lt;&gt;B10,IF(AND(F10&gt;=5,E10&lt;10),"warning",IF(AND(F10&gt;=10,F10&lt;=15),"快要 O.O.C 啦",IF(F10&gt;15,"超出規格 O.O.C 啦",""))))</f>
        <v>#N/A</v>
      </c>
      <c r="L10" s="8"/>
      <c r="M10" s="8"/>
    </row>
    <row r="11" spans="1:13">
      <c r="A11" s="1" t="s">
        <v>16</v>
      </c>
      <c r="B11" s="3">
        <v>44907.410428240742</v>
      </c>
      <c r="C11" s="1" t="s">
        <v>7</v>
      </c>
      <c r="D11" s="4" t="str">
        <f>CONCATENATE(B11,RIGHT(C11,2))</f>
        <v>44907.4104282407C1</v>
      </c>
      <c r="E11" s="1">
        <v>0</v>
      </c>
      <c r="F11" s="4" t="e">
        <f>VLOOKUP(D11,'LP-T2 大顆的'!D:E,2)</f>
        <v>#N/A</v>
      </c>
      <c r="G11" s="1" t="s">
        <v>11</v>
      </c>
      <c r="H11" s="1" t="str">
        <f>IF(C11&lt;&gt;B11,IF(AND(E11&gt;=20,E11&lt;35),"warning",IF(AND(E11&gt;=35,E11&lt;=50),"快要 O.O.C 啦",IF(E11&gt;50,"超出規格 O.O.C 啦",""))))</f>
        <v/>
      </c>
      <c r="I11" s="1" t="e">
        <f>IF(C11&lt;&gt;B11,IF(AND(F11&gt;=5,E11&lt;10),"warning",IF(AND(F11&gt;=10,F11&lt;=15),"快要 O.O.C 啦",IF(F11&gt;15,"超出規格 O.O.C 啦",""))))</f>
        <v>#N/A</v>
      </c>
      <c r="L11" s="8"/>
      <c r="M11" s="8"/>
    </row>
    <row r="12" spans="1:13">
      <c r="A12" s="1" t="s">
        <v>13</v>
      </c>
      <c r="B12" s="3">
        <v>44907.388113425928</v>
      </c>
      <c r="C12" s="1" t="s">
        <v>7</v>
      </c>
      <c r="D12" s="4" t="str">
        <f>CONCATENATE(B12,RIGHT(C12,2))</f>
        <v>44907.3881134259C1</v>
      </c>
      <c r="E12" s="1">
        <v>0</v>
      </c>
      <c r="F12" s="4" t="e">
        <f>VLOOKUP(D12,'LP-T2 大顆的'!D:E,2)</f>
        <v>#N/A</v>
      </c>
      <c r="G12" s="1" t="s">
        <v>11</v>
      </c>
      <c r="H12" s="1" t="str">
        <f>IF(C12&lt;&gt;B12,IF(AND(E12&gt;=20,E12&lt;35),"warning",IF(AND(E12&gt;=35,E12&lt;=50),"快要 O.O.C 啦",IF(E12&gt;50,"超出規格 O.O.C 啦",""))))</f>
        <v/>
      </c>
      <c r="I12" s="1" t="e">
        <f>IF(C12&lt;&gt;B12,IF(AND(F12&gt;=5,E12&lt;10),"warning",IF(AND(F12&gt;=10,F12&lt;=15),"快要 O.O.C 啦",IF(F12&gt;15,"超出規格 O.O.C 啦",""))))</f>
        <v>#N/A</v>
      </c>
    </row>
    <row r="13" spans="1:13">
      <c r="A13" s="1" t="s">
        <v>17</v>
      </c>
      <c r="B13" s="3">
        <v>44907.384386574071</v>
      </c>
      <c r="C13" s="1" t="s">
        <v>7</v>
      </c>
      <c r="D13" s="4" t="str">
        <f>CONCATENATE(B13,RIGHT(C13,2))</f>
        <v>44907.3843865741C1</v>
      </c>
      <c r="E13" s="1">
        <v>0</v>
      </c>
      <c r="F13" s="4" t="e">
        <f>VLOOKUP(D13,'LP-T2 大顆的'!D:E,2)</f>
        <v>#N/A</v>
      </c>
      <c r="G13" s="1" t="s">
        <v>11</v>
      </c>
      <c r="H13" s="1" t="str">
        <f>IF(C13&lt;&gt;B13,IF(AND(E13&gt;=20,E13&lt;35),"warning",IF(AND(E13&gt;=35,E13&lt;=50),"快要 O.O.C 啦",IF(E13&gt;50,"超出規格 O.O.C 啦",""))))</f>
        <v/>
      </c>
      <c r="I13" s="1" t="e">
        <f>IF(C13&lt;&gt;B13,IF(AND(F13&gt;=5,E13&lt;10),"warning",IF(AND(F13&gt;=10,F13&lt;=15),"快要 O.O.C 啦",IF(F13&gt;15,"超出規格 O.O.C 啦",""))))</f>
        <v>#N/A</v>
      </c>
    </row>
    <row r="14" spans="1:13">
      <c r="A14" s="1" t="s">
        <v>15</v>
      </c>
      <c r="B14" s="3">
        <v>44907.278611111113</v>
      </c>
      <c r="C14" s="1" t="s">
        <v>7</v>
      </c>
      <c r="D14" s="4" t="str">
        <f>CONCATENATE(B14,RIGHT(C14,2))</f>
        <v>44907.2786111111C1</v>
      </c>
      <c r="E14" s="1">
        <v>0</v>
      </c>
      <c r="F14" s="4" t="e">
        <f>VLOOKUP(D14,'LP-T2 大顆的'!D:E,2)</f>
        <v>#N/A</v>
      </c>
      <c r="G14" s="1" t="s">
        <v>11</v>
      </c>
      <c r="H14" s="1" t="str">
        <f>IF(C14&lt;&gt;B14,IF(AND(E14&gt;=20,E14&lt;35),"warning",IF(AND(E14&gt;=35,E14&lt;=50),"快要 O.O.C 啦",IF(E14&gt;50,"超出規格 O.O.C 啦",""))))</f>
        <v/>
      </c>
      <c r="I14" s="1" t="e">
        <f>IF(C14&lt;&gt;B14,IF(AND(F14&gt;=5,E14&lt;10),"warning",IF(AND(F14&gt;=10,F14&lt;=15),"快要 O.O.C 啦",IF(F14&gt;15,"超出規格 O.O.C 啦",""))))</f>
        <v>#N/A</v>
      </c>
    </row>
    <row r="15" spans="1:13">
      <c r="A15" s="1" t="s">
        <v>14</v>
      </c>
      <c r="B15" s="3">
        <v>44907.266793981478</v>
      </c>
      <c r="C15" s="1" t="s">
        <v>7</v>
      </c>
      <c r="D15" s="4" t="str">
        <f>CONCATENATE(B15,RIGHT(C15,2))</f>
        <v>44907.2667939815C1</v>
      </c>
      <c r="E15" s="1">
        <v>0</v>
      </c>
      <c r="F15" s="4" t="e">
        <f>VLOOKUP(D15,'LP-T2 大顆的'!D:E,2)</f>
        <v>#N/A</v>
      </c>
      <c r="G15" s="1" t="s">
        <v>11</v>
      </c>
      <c r="H15" s="1" t="str">
        <f>IF(C15&lt;&gt;B15,IF(AND(E15&gt;=20,E15&lt;35),"warning",IF(AND(E15&gt;=35,E15&lt;=50),"快要 O.O.C 啦",IF(E15&gt;50,"超出規格 O.O.C 啦",""))))</f>
        <v/>
      </c>
      <c r="I15" s="1" t="e">
        <f>IF(C15&lt;&gt;B15,IF(AND(F15&gt;=5,E15&lt;10),"warning",IF(AND(F15&gt;=10,F15&lt;=15),"快要 O.O.C 啦",IF(F15&gt;15,"超出規格 O.O.C 啦",""))))</f>
        <v>#N/A</v>
      </c>
    </row>
    <row r="16" spans="1:13">
      <c r="A16" s="1" t="s">
        <v>4</v>
      </c>
      <c r="B16" s="3">
        <v>44907.257881944446</v>
      </c>
      <c r="C16" s="1" t="s">
        <v>7</v>
      </c>
      <c r="D16" s="4" t="str">
        <f>CONCATENATE(B16,RIGHT(C16,2))</f>
        <v>44907.2578819444C1</v>
      </c>
      <c r="E16" s="1">
        <v>6</v>
      </c>
      <c r="F16" s="4" t="e">
        <f>VLOOKUP(D16,'LP-T2 大顆的'!D:E,2)</f>
        <v>#N/A</v>
      </c>
      <c r="G16" s="1" t="s">
        <v>11</v>
      </c>
      <c r="H16" s="1" t="str">
        <f>IF(C16&lt;&gt;B16,IF(AND(E16&gt;=20,E16&lt;35),"warning",IF(AND(E16&gt;=35,E16&lt;=50),"快要 O.O.C 啦",IF(E16&gt;50,"超出規格 O.O.C 啦",""))))</f>
        <v/>
      </c>
      <c r="I16" s="1" t="e">
        <f>IF(C16&lt;&gt;B16,IF(AND(F16&gt;=5,E16&lt;10),"warning",IF(AND(F16&gt;=10,F16&lt;=15),"快要 O.O.C 啦",IF(F16&gt;15,"超出規格 O.O.C 啦",""))))</f>
        <v>#N/A</v>
      </c>
    </row>
    <row r="17" spans="1:9">
      <c r="A17" s="1" t="s">
        <v>13</v>
      </c>
      <c r="B17" s="3">
        <v>44907.23841435185</v>
      </c>
      <c r="C17" s="1" t="s">
        <v>7</v>
      </c>
      <c r="D17" s="4" t="str">
        <f>CONCATENATE(B17,RIGHT(C17,2))</f>
        <v>44907.2384143519C1</v>
      </c>
      <c r="E17" s="1">
        <v>3</v>
      </c>
      <c r="F17" s="4" t="e">
        <f>VLOOKUP(D17,'LP-T2 大顆的'!D:E,2)</f>
        <v>#N/A</v>
      </c>
      <c r="G17" s="1" t="s">
        <v>11</v>
      </c>
      <c r="H17" s="1" t="str">
        <f>IF(C17&lt;&gt;B17,IF(AND(E17&gt;=20,E17&lt;35),"warning",IF(AND(E17&gt;=35,E17&lt;=50),"快要 O.O.C 啦",IF(E17&gt;50,"超出規格 O.O.C 啦",""))))</f>
        <v/>
      </c>
      <c r="I17" s="1" t="e">
        <f>IF(C17&lt;&gt;B17,IF(AND(F17&gt;=5,E17&lt;10),"warning",IF(AND(F17&gt;=10,F17&lt;=15),"快要 O.O.C 啦",IF(F17&gt;15,"超出規格 O.O.C 啦",""))))</f>
        <v>#N/A</v>
      </c>
    </row>
    <row r="18" spans="1:9">
      <c r="A18" s="1" t="s">
        <v>17</v>
      </c>
      <c r="B18" s="3">
        <v>44907.197083333333</v>
      </c>
      <c r="C18" s="1" t="s">
        <v>7</v>
      </c>
      <c r="D18" s="4" t="str">
        <f>CONCATENATE(B18,RIGHT(C18,2))</f>
        <v>44907.1970833333C1</v>
      </c>
      <c r="E18" s="1">
        <v>1</v>
      </c>
      <c r="F18" s="4" t="e">
        <f>VLOOKUP(D18,'LP-T2 大顆的'!D:E,2)</f>
        <v>#N/A</v>
      </c>
      <c r="G18" s="1" t="s">
        <v>11</v>
      </c>
      <c r="H18" s="1" t="str">
        <f>IF(C18&lt;&gt;B18,IF(AND(E18&gt;=20,E18&lt;35),"warning",IF(AND(E18&gt;=35,E18&lt;=50),"快要 O.O.C 啦",IF(E18&gt;50,"超出規格 O.O.C 啦",""))))</f>
        <v/>
      </c>
      <c r="I18" s="1" t="e">
        <f>IF(C18&lt;&gt;B18,IF(AND(F18&gt;=5,E18&lt;10),"warning",IF(AND(F18&gt;=10,F18&lt;=15),"快要 O.O.C 啦",IF(F18&gt;15,"超出規格 O.O.C 啦",""))))</f>
        <v>#N/A</v>
      </c>
    </row>
    <row r="19" spans="1:9">
      <c r="A19" s="1" t="s">
        <v>14</v>
      </c>
      <c r="B19" s="3">
        <v>44907.112708333334</v>
      </c>
      <c r="C19" s="1" t="s">
        <v>6</v>
      </c>
      <c r="D19" s="4" t="str">
        <f>CONCATENATE(B19,RIGHT(C19,2))</f>
        <v>44907.1127083333C4</v>
      </c>
      <c r="E19" s="1">
        <v>0</v>
      </c>
      <c r="F19" s="4" t="e">
        <f>VLOOKUP(D19,'LP-T2 大顆的'!D:E,2)</f>
        <v>#N/A</v>
      </c>
      <c r="G19" s="1" t="s">
        <v>11</v>
      </c>
      <c r="H19" s="1" t="str">
        <f>IF(C19&lt;&gt;B19,IF(AND(E19&gt;=20,E19&lt;35),"warning",IF(AND(E19&gt;=35,E19&lt;=50),"快要 O.O.C 啦",IF(E19&gt;50,"超出規格 O.O.C 啦",""))))</f>
        <v/>
      </c>
      <c r="I19" s="1" t="e">
        <f>IF(C19&lt;&gt;B19,IF(AND(F19&gt;=5,E19&lt;10),"warning",IF(AND(F19&gt;=10,F19&lt;=15),"快要 O.O.C 啦",IF(F19&gt;15,"超出規格 O.O.C 啦",""))))</f>
        <v>#N/A</v>
      </c>
    </row>
    <row r="20" spans="1:9">
      <c r="A20" s="1" t="s">
        <v>14</v>
      </c>
      <c r="B20" s="3">
        <v>44907.112708333334</v>
      </c>
      <c r="C20" s="1" t="s">
        <v>7</v>
      </c>
      <c r="D20" s="4" t="str">
        <f>CONCATENATE(B20,RIGHT(C20,2))</f>
        <v>44907.1127083333C1</v>
      </c>
      <c r="E20" s="1">
        <v>0</v>
      </c>
      <c r="F20" s="4" t="e">
        <f>VLOOKUP(D20,'LP-T2 大顆的'!D:E,2)</f>
        <v>#N/A</v>
      </c>
      <c r="G20" s="1" t="s">
        <v>11</v>
      </c>
      <c r="H20" s="1" t="str">
        <f>IF(C20&lt;&gt;B20,IF(AND(E20&gt;=20,E20&lt;35),"warning",IF(AND(E20&gt;=35,E20&lt;=50),"快要 O.O.C 啦",IF(E20&gt;50,"超出規格 O.O.C 啦",""))))</f>
        <v/>
      </c>
      <c r="I20" s="1" t="e">
        <f>IF(C20&lt;&gt;B20,IF(AND(F20&gt;=5,E20&lt;10),"warning",IF(AND(F20&gt;=10,F20&lt;=15),"快要 O.O.C 啦",IF(F20&gt;15,"超出規格 O.O.C 啦",""))))</f>
        <v>#N/A</v>
      </c>
    </row>
    <row r="21" spans="1:9">
      <c r="A21" s="1" t="s">
        <v>15</v>
      </c>
      <c r="B21" s="3">
        <v>44907.102789351855</v>
      </c>
      <c r="C21" s="1" t="s">
        <v>5</v>
      </c>
      <c r="D21" s="4" t="str">
        <f>CONCATENATE(B21,RIGHT(C21,2))</f>
        <v>44907.1027893519C6</v>
      </c>
      <c r="E21" s="1">
        <v>1</v>
      </c>
      <c r="F21" s="4" t="e">
        <f>VLOOKUP(D21,'LP-T2 大顆的'!D:E,2)</f>
        <v>#N/A</v>
      </c>
      <c r="G21" s="1" t="s">
        <v>11</v>
      </c>
      <c r="H21" s="1" t="str">
        <f>IF(C21&lt;&gt;B21,IF(AND(E21&gt;=20,E21&lt;35),"warning",IF(AND(E21&gt;=35,E21&lt;=50),"快要 O.O.C 啦",IF(E21&gt;50,"超出規格 O.O.C 啦",""))))</f>
        <v/>
      </c>
      <c r="I21" s="1" t="e">
        <f>IF(C21&lt;&gt;B21,IF(AND(F21&gt;=5,E21&lt;10),"warning",IF(AND(F21&gt;=10,F21&lt;=15),"快要 O.O.C 啦",IF(F21&gt;15,"超出規格 O.O.C 啦",""))))</f>
        <v>#N/A</v>
      </c>
    </row>
    <row r="22" spans="1:9">
      <c r="A22" s="1" t="s">
        <v>15</v>
      </c>
      <c r="B22" s="3">
        <v>44907.102789351855</v>
      </c>
      <c r="C22" s="1" t="s">
        <v>7</v>
      </c>
      <c r="D22" s="4" t="str">
        <f>CONCATENATE(B22,RIGHT(C22,2))</f>
        <v>44907.1027893519C1</v>
      </c>
      <c r="E22" s="1">
        <v>0</v>
      </c>
      <c r="F22" s="4" t="e">
        <f>VLOOKUP(D22,'LP-T2 大顆的'!D:E,2)</f>
        <v>#N/A</v>
      </c>
      <c r="G22" s="1" t="s">
        <v>11</v>
      </c>
      <c r="H22" s="1" t="str">
        <f>IF(C22&lt;&gt;B22,IF(AND(E22&gt;=20,E22&lt;35),"warning",IF(AND(E22&gt;=35,E22&lt;=50),"快要 O.O.C 啦",IF(E22&gt;50,"超出規格 O.O.C 啦",""))))</f>
        <v/>
      </c>
      <c r="I22" s="1" t="e">
        <f>IF(C22&lt;&gt;B22,IF(AND(F22&gt;=5,E22&lt;10),"warning",IF(AND(F22&gt;=10,F22&lt;=15),"快要 O.O.C 啦",IF(F22&gt;15,"超出規格 O.O.C 啦",""))))</f>
        <v>#N/A</v>
      </c>
    </row>
    <row r="23" spans="1:9">
      <c r="A23" s="1" t="s">
        <v>16</v>
      </c>
      <c r="B23" s="3">
        <v>44907.10125</v>
      </c>
      <c r="C23" s="1" t="s">
        <v>5</v>
      </c>
      <c r="D23" s="4" t="str">
        <f>CONCATENATE(B23,RIGHT(C23,2))</f>
        <v>44907.10125C6</v>
      </c>
      <c r="E23" s="1">
        <v>0</v>
      </c>
      <c r="F23" s="4" t="e">
        <f>VLOOKUP(D23,'LP-T2 大顆的'!D:E,2)</f>
        <v>#N/A</v>
      </c>
      <c r="G23" s="1" t="s">
        <v>11</v>
      </c>
      <c r="H23" s="1" t="str">
        <f>IF(C23&lt;&gt;B23,IF(AND(E23&gt;=20,E23&lt;35),"warning",IF(AND(E23&gt;=35,E23&lt;=50),"快要 O.O.C 啦",IF(E23&gt;50,"超出規格 O.O.C 啦",""))))</f>
        <v/>
      </c>
      <c r="I23" s="1" t="e">
        <f>IF(C23&lt;&gt;B23,IF(AND(F23&gt;=5,E23&lt;10),"warning",IF(AND(F23&gt;=10,F23&lt;=15),"快要 O.O.C 啦",IF(F23&gt;15,"超出規格 O.O.C 啦",""))))</f>
        <v>#N/A</v>
      </c>
    </row>
    <row r="24" spans="1:9">
      <c r="A24" s="1" t="s">
        <v>16</v>
      </c>
      <c r="B24" s="3">
        <v>44907.10125</v>
      </c>
      <c r="C24" s="1" t="s">
        <v>7</v>
      </c>
      <c r="D24" s="4" t="str">
        <f>CONCATENATE(B24,RIGHT(C24,2))</f>
        <v>44907.10125C1</v>
      </c>
      <c r="E24" s="1">
        <v>0</v>
      </c>
      <c r="F24" s="4" t="e">
        <f>VLOOKUP(D24,'LP-T2 大顆的'!D:E,2)</f>
        <v>#N/A</v>
      </c>
      <c r="G24" s="1" t="s">
        <v>11</v>
      </c>
      <c r="H24" s="1" t="str">
        <f>IF(C24&lt;&gt;B24,IF(AND(E24&gt;=20,E24&lt;35),"warning",IF(AND(E24&gt;=35,E24&lt;=50),"快要 O.O.C 啦",IF(E24&gt;50,"超出規格 O.O.C 啦",""))))</f>
        <v/>
      </c>
      <c r="I24" s="1" t="e">
        <f>IF(C24&lt;&gt;B24,IF(AND(F24&gt;=5,E24&lt;10),"warning",IF(AND(F24&gt;=10,F24&lt;=15),"快要 O.O.C 啦",IF(F24&gt;15,"超出規格 O.O.C 啦",""))))</f>
        <v>#N/A</v>
      </c>
    </row>
    <row r="25" spans="1:9">
      <c r="A25" s="1" t="s">
        <v>13</v>
      </c>
      <c r="B25" s="3">
        <v>44907.099560185183</v>
      </c>
      <c r="C25" s="1" t="s">
        <v>5</v>
      </c>
      <c r="D25" s="4" t="str">
        <f>CONCATENATE(B25,RIGHT(C25,2))</f>
        <v>44907.0995601852C6</v>
      </c>
      <c r="E25" s="1">
        <v>8</v>
      </c>
      <c r="F25" s="4" t="e">
        <f>VLOOKUP(D25,'LP-T2 大顆的'!D:E,2)</f>
        <v>#N/A</v>
      </c>
      <c r="G25" s="1" t="s">
        <v>11</v>
      </c>
      <c r="H25" s="1" t="str">
        <f>IF(C25&lt;&gt;B25,IF(AND(E25&gt;=20,E25&lt;35),"warning",IF(AND(E25&gt;=35,E25&lt;=50),"快要 O.O.C 啦",IF(E25&gt;50,"超出規格 O.O.C 啦",""))))</f>
        <v/>
      </c>
      <c r="I25" s="1" t="e">
        <f>IF(C25&lt;&gt;B25,IF(AND(F25&gt;=5,E25&lt;10),"warning",IF(AND(F25&gt;=10,F25&lt;=15),"快要 O.O.C 啦",IF(F25&gt;15,"超出規格 O.O.C 啦",""))))</f>
        <v>#N/A</v>
      </c>
    </row>
    <row r="26" spans="1:9">
      <c r="A26" s="1" t="s">
        <v>13</v>
      </c>
      <c r="B26" s="3">
        <v>44907.099560185183</v>
      </c>
      <c r="C26" s="1" t="s">
        <v>7</v>
      </c>
      <c r="D26" s="4" t="str">
        <f>CONCATENATE(B26,RIGHT(C26,2))</f>
        <v>44907.0995601852C1</v>
      </c>
      <c r="E26" s="1">
        <v>2</v>
      </c>
      <c r="F26" s="4" t="e">
        <f>VLOOKUP(D26,'LP-T2 大顆的'!D:E,2)</f>
        <v>#N/A</v>
      </c>
      <c r="G26" s="1" t="s">
        <v>11</v>
      </c>
      <c r="H26" s="1" t="str">
        <f>IF(C26&lt;&gt;B26,IF(AND(E26&gt;=20,E26&lt;35),"warning",IF(AND(E26&gt;=35,E26&lt;=50),"快要 O.O.C 啦",IF(E26&gt;50,"超出規格 O.O.C 啦",""))))</f>
        <v/>
      </c>
      <c r="I26" s="1" t="e">
        <f>IF(C26&lt;&gt;B26,IF(AND(F26&gt;=5,E26&lt;10),"warning",IF(AND(F26&gt;=10,F26&lt;=15),"快要 O.O.C 啦",IF(F26&gt;15,"超出規格 O.O.C 啦",""))))</f>
        <v>#N/A</v>
      </c>
    </row>
    <row r="27" spans="1:9">
      <c r="A27" s="1" t="s">
        <v>12</v>
      </c>
      <c r="B27" s="3">
        <v>44907.07539351852</v>
      </c>
      <c r="C27" s="1" t="s">
        <v>5</v>
      </c>
      <c r="D27" s="4" t="str">
        <f>CONCATENATE(B27,RIGHT(C27,2))</f>
        <v>44907.0753935185C6</v>
      </c>
      <c r="E27" s="1">
        <v>1</v>
      </c>
      <c r="F27" s="4" t="e">
        <f>VLOOKUP(D27,'LP-T2 大顆的'!D:E,2)</f>
        <v>#N/A</v>
      </c>
      <c r="G27" s="1" t="s">
        <v>11</v>
      </c>
      <c r="H27" s="1" t="str">
        <f>IF(C27&lt;&gt;B27,IF(AND(E27&gt;=20,E27&lt;35),"warning",IF(AND(E27&gt;=35,E27&lt;=50),"快要 O.O.C 啦",IF(E27&gt;50,"超出規格 O.O.C 啦",""))))</f>
        <v/>
      </c>
      <c r="I27" s="1" t="e">
        <f>IF(C27&lt;&gt;B27,IF(AND(F27&gt;=5,E27&lt;10),"warning",IF(AND(F27&gt;=10,F27&lt;=15),"快要 O.O.C 啦",IF(F27&gt;15,"超出規格 O.O.C 啦",""))))</f>
        <v>#N/A</v>
      </c>
    </row>
    <row r="28" spans="1:9">
      <c r="A28" s="1" t="s">
        <v>12</v>
      </c>
      <c r="B28" s="3">
        <v>44907.07539351852</v>
      </c>
      <c r="C28" s="1" t="s">
        <v>7</v>
      </c>
      <c r="D28" s="4" t="str">
        <f>CONCATENATE(B28,RIGHT(C28,2))</f>
        <v>44907.0753935185C1</v>
      </c>
      <c r="E28" s="1">
        <v>2</v>
      </c>
      <c r="F28" s="4" t="e">
        <f>VLOOKUP(D28,'LP-T2 大顆的'!D:E,2)</f>
        <v>#N/A</v>
      </c>
      <c r="G28" s="1" t="s">
        <v>11</v>
      </c>
      <c r="H28" s="1" t="str">
        <f>IF(C28&lt;&gt;B28,IF(AND(E28&gt;=20,E28&lt;35),"warning",IF(AND(E28&gt;=35,E28&lt;=50),"快要 O.O.C 啦",IF(E28&gt;50,"超出規格 O.O.C 啦",""))))</f>
        <v/>
      </c>
      <c r="I28" s="1" t="e">
        <f>IF(C28&lt;&gt;B28,IF(AND(F28&gt;=5,E28&lt;10),"warning",IF(AND(F28&gt;=10,F28&lt;=15),"快要 O.O.C 啦",IF(F28&gt;15,"超出規格 O.O.C 啦",""))))</f>
        <v>#N/A</v>
      </c>
    </row>
    <row r="29" spans="1:9">
      <c r="A29" s="1" t="s">
        <v>4</v>
      </c>
      <c r="B29" s="3">
        <v>44907.043136574073</v>
      </c>
      <c r="C29" s="1" t="s">
        <v>5</v>
      </c>
      <c r="D29" s="4" t="str">
        <f>CONCATENATE(B29,RIGHT(C29,2))</f>
        <v>44907.0431365741C6</v>
      </c>
      <c r="E29" s="1">
        <v>0</v>
      </c>
      <c r="F29" s="4" t="e">
        <f>VLOOKUP(D29,'LP-T2 大顆的'!D:E,2)</f>
        <v>#N/A</v>
      </c>
      <c r="G29" s="1" t="s">
        <v>11</v>
      </c>
      <c r="H29" s="1" t="str">
        <f>IF(C29&lt;&gt;B29,IF(AND(E29&gt;=20,E29&lt;35),"warning",IF(AND(E29&gt;=35,E29&lt;=50),"快要 O.O.C 啦",IF(E29&gt;50,"超出規格 O.O.C 啦",""))))</f>
        <v/>
      </c>
      <c r="I29" s="1" t="e">
        <f>IF(C29&lt;&gt;B29,IF(AND(F29&gt;=5,E29&lt;10),"warning",IF(AND(F29&gt;=10,F29&lt;=15),"快要 O.O.C 啦",IF(F29&gt;15,"超出規格 O.O.C 啦",""))))</f>
        <v>#N/A</v>
      </c>
    </row>
    <row r="30" spans="1:9">
      <c r="A30" s="1" t="s">
        <v>4</v>
      </c>
      <c r="B30" s="3">
        <v>44907.043136574073</v>
      </c>
      <c r="C30" s="1" t="s">
        <v>7</v>
      </c>
      <c r="D30" s="4" t="str">
        <f>CONCATENATE(B30,RIGHT(C30,2))</f>
        <v>44907.0431365741C1</v>
      </c>
      <c r="E30" s="1">
        <v>1</v>
      </c>
      <c r="F30" s="4" t="e">
        <f>VLOOKUP(D30,'LP-T2 大顆的'!D:E,2)</f>
        <v>#N/A</v>
      </c>
      <c r="G30" s="1" t="s">
        <v>11</v>
      </c>
      <c r="H30" s="1" t="str">
        <f>IF(C30&lt;&gt;B30,IF(AND(E30&gt;=20,E30&lt;35),"warning",IF(AND(E30&gt;=35,E30&lt;=50),"快要 O.O.C 啦",IF(E30&gt;50,"超出規格 O.O.C 啦",""))))</f>
        <v/>
      </c>
      <c r="I30" s="1" t="e">
        <f>IF(C30&lt;&gt;B30,IF(AND(F30&gt;=5,E30&lt;10),"warning",IF(AND(F30&gt;=10,F30&lt;=15),"快要 O.O.C 啦",IF(F30&gt;15,"超出規格 O.O.C 啦",""))))</f>
        <v>#N/A</v>
      </c>
    </row>
    <row r="31" spans="1:9">
      <c r="A31" s="1" t="s">
        <v>17</v>
      </c>
      <c r="B31" s="3">
        <v>44907.023125</v>
      </c>
      <c r="C31" s="1" t="s">
        <v>5</v>
      </c>
      <c r="D31" s="4" t="str">
        <f>CONCATENATE(B31,RIGHT(C31,2))</f>
        <v>44907.023125C6</v>
      </c>
      <c r="E31" s="1">
        <v>0</v>
      </c>
      <c r="F31" s="4" t="e">
        <f>VLOOKUP(D31,'LP-T2 大顆的'!D:E,2)</f>
        <v>#N/A</v>
      </c>
      <c r="G31" s="1" t="s">
        <v>11</v>
      </c>
      <c r="H31" s="1" t="str">
        <f>IF(C31&lt;&gt;B31,IF(AND(E31&gt;=20,E31&lt;35),"warning",IF(AND(E31&gt;=35,E31&lt;=50),"快要 O.O.C 啦",IF(E31&gt;50,"超出規格 O.O.C 啦",""))))</f>
        <v/>
      </c>
      <c r="I31" s="1" t="e">
        <f>IF(C31&lt;&gt;B31,IF(AND(F31&gt;=5,E31&lt;10),"warning",IF(AND(F31&gt;=10,F31&lt;=15),"快要 O.O.C 啦",IF(F31&gt;15,"超出規格 O.O.C 啦",""))))</f>
        <v>#N/A</v>
      </c>
    </row>
    <row r="32" spans="1:9">
      <c r="A32" s="1" t="s">
        <v>17</v>
      </c>
      <c r="B32" s="3">
        <v>44907.023125</v>
      </c>
      <c r="C32" s="1" t="s">
        <v>7</v>
      </c>
      <c r="D32" s="4" t="str">
        <f>CONCATENATE(B32,RIGHT(C32,2))</f>
        <v>44907.023125C1</v>
      </c>
      <c r="E32" s="1">
        <v>1</v>
      </c>
      <c r="F32" s="4" t="e">
        <f>VLOOKUP(D32,'LP-T2 大顆的'!D:E,2)</f>
        <v>#N/A</v>
      </c>
      <c r="G32" s="1" t="s">
        <v>11</v>
      </c>
      <c r="H32" s="1" t="str">
        <f>IF(C32&lt;&gt;B32,IF(AND(E32&gt;=20,E32&lt;35),"warning",IF(AND(E32&gt;=35,E32&lt;=50),"快要 O.O.C 啦",IF(E32&gt;50,"超出規格 O.O.C 啦",""))))</f>
        <v/>
      </c>
      <c r="I32" s="1" t="e">
        <f>IF(C32&lt;&gt;B32,IF(AND(F32&gt;=5,E32&lt;10),"warning",IF(AND(F32&gt;=10,F32&lt;=15),"快要 O.O.C 啦",IF(F32&gt;15,"超出規格 O.O.C 啦",""))))</f>
        <v>#N/A</v>
      </c>
    </row>
    <row r="33" spans="1:9">
      <c r="A33" s="1" t="s">
        <v>14</v>
      </c>
      <c r="B33" s="3">
        <v>44906.973333333335</v>
      </c>
      <c r="C33" s="1" t="s">
        <v>6</v>
      </c>
      <c r="D33" s="4" t="str">
        <f>CONCATENATE(B33,RIGHT(C33,2))</f>
        <v>44906.9733333333C4</v>
      </c>
      <c r="E33" s="1">
        <v>0</v>
      </c>
      <c r="F33" s="4" t="e">
        <f>VLOOKUP(D33,'LP-T2 大顆的'!D:E,2)</f>
        <v>#N/A</v>
      </c>
      <c r="G33" s="1" t="s">
        <v>11</v>
      </c>
      <c r="H33" s="1" t="str">
        <f>IF(C33&lt;&gt;B33,IF(AND(E33&gt;=20,E33&lt;35),"warning",IF(AND(E33&gt;=35,E33&lt;=50),"快要 O.O.C 啦",IF(E33&gt;50,"超出規格 O.O.C 啦",""))))</f>
        <v/>
      </c>
      <c r="I33" s="1" t="e">
        <f>IF(C33&lt;&gt;B33,IF(AND(F33&gt;=5,E33&lt;10),"warning",IF(AND(F33&gt;=10,F33&lt;=15),"快要 O.O.C 啦",IF(F33&gt;15,"超出規格 O.O.C 啦",""))))</f>
        <v>#N/A</v>
      </c>
    </row>
    <row r="34" spans="1:9">
      <c r="A34" s="1" t="s">
        <v>14</v>
      </c>
      <c r="B34" s="3">
        <v>44906.973333333335</v>
      </c>
      <c r="C34" s="1" t="s">
        <v>7</v>
      </c>
      <c r="D34" s="4" t="str">
        <f>CONCATENATE(B34,RIGHT(C34,2))</f>
        <v>44906.9733333333C1</v>
      </c>
      <c r="E34" s="1">
        <v>0</v>
      </c>
      <c r="F34" s="4" t="e">
        <f>VLOOKUP(D34,'LP-T2 大顆的'!D:E,2)</f>
        <v>#N/A</v>
      </c>
      <c r="G34" s="1" t="s">
        <v>11</v>
      </c>
      <c r="H34" s="1" t="str">
        <f>IF(C34&lt;&gt;B34,IF(AND(E34&gt;=20,E34&lt;35),"warning",IF(AND(E34&gt;=35,E34&lt;=50),"快要 O.O.C 啦",IF(E34&gt;50,"超出規格 O.O.C 啦",""))))</f>
        <v/>
      </c>
      <c r="I34" s="1" t="e">
        <f>IF(C34&lt;&gt;B34,IF(AND(F34&gt;=5,E34&lt;10),"warning",IF(AND(F34&gt;=10,F34&lt;=15),"快要 O.O.C 啦",IF(F34&gt;15,"超出規格 O.O.C 啦",""))))</f>
        <v>#N/A</v>
      </c>
    </row>
    <row r="35" spans="1:9">
      <c r="A35" s="1" t="s">
        <v>15</v>
      </c>
      <c r="B35" s="3">
        <v>44906.937245370369</v>
      </c>
      <c r="C35" s="1" t="s">
        <v>5</v>
      </c>
      <c r="D35" s="4" t="str">
        <f>CONCATENATE(B35,RIGHT(C35,2))</f>
        <v>44906.9372453704C6</v>
      </c>
      <c r="E35" s="1">
        <v>4</v>
      </c>
      <c r="F35" s="4" t="e">
        <f>VLOOKUP(D35,'LP-T2 大顆的'!D:E,2)</f>
        <v>#N/A</v>
      </c>
      <c r="G35" s="1" t="s">
        <v>11</v>
      </c>
      <c r="H35" s="1" t="str">
        <f>IF(C35&lt;&gt;B35,IF(AND(E35&gt;=20,E35&lt;35),"warning",IF(AND(E35&gt;=35,E35&lt;=50),"快要 O.O.C 啦",IF(E35&gt;50,"超出規格 O.O.C 啦",""))))</f>
        <v/>
      </c>
      <c r="I35" s="1" t="e">
        <f>IF(C35&lt;&gt;B35,IF(AND(F35&gt;=5,E35&lt;10),"warning",IF(AND(F35&gt;=10,F35&lt;=15),"快要 O.O.C 啦",IF(F35&gt;15,"超出規格 O.O.C 啦",""))))</f>
        <v>#N/A</v>
      </c>
    </row>
    <row r="36" spans="1:9">
      <c r="A36" s="1" t="s">
        <v>15</v>
      </c>
      <c r="B36" s="3">
        <v>44906.937245370369</v>
      </c>
      <c r="C36" s="1" t="s">
        <v>7</v>
      </c>
      <c r="D36" s="4" t="str">
        <f>CONCATENATE(B36,RIGHT(C36,2))</f>
        <v>44906.9372453704C1</v>
      </c>
      <c r="E36" s="1">
        <v>0</v>
      </c>
      <c r="F36" s="4" t="e">
        <f>VLOOKUP(D36,'LP-T2 大顆的'!D:E,2)</f>
        <v>#N/A</v>
      </c>
      <c r="G36" s="1" t="s">
        <v>11</v>
      </c>
      <c r="H36" s="1" t="str">
        <f>IF(C36&lt;&gt;B36,IF(AND(E36&gt;=20,E36&lt;35),"warning",IF(AND(E36&gt;=35,E36&lt;=50),"快要 O.O.C 啦",IF(E36&gt;50,"超出規格 O.O.C 啦",""))))</f>
        <v/>
      </c>
      <c r="I36" s="1" t="e">
        <f>IF(C36&lt;&gt;B36,IF(AND(F36&gt;=5,E36&lt;10),"warning",IF(AND(F36&gt;=10,F36&lt;=15),"快要 O.O.C 啦",IF(F36&gt;15,"超出規格 O.O.C 啦",""))))</f>
        <v>#N/A</v>
      </c>
    </row>
    <row r="37" spans="1:9">
      <c r="A37" s="1" t="s">
        <v>16</v>
      </c>
      <c r="B37" s="3">
        <v>44906.928599537037</v>
      </c>
      <c r="C37" s="1" t="s">
        <v>5</v>
      </c>
      <c r="D37" s="4" t="str">
        <f>CONCATENATE(B37,RIGHT(C37,2))</f>
        <v>44906.928599537C6</v>
      </c>
      <c r="E37" s="1">
        <v>0</v>
      </c>
      <c r="F37" s="4" t="e">
        <f>VLOOKUP(D37,'LP-T2 大顆的'!D:E,2)</f>
        <v>#N/A</v>
      </c>
      <c r="G37" s="1" t="s">
        <v>11</v>
      </c>
      <c r="H37" s="1" t="str">
        <f>IF(C37&lt;&gt;B37,IF(AND(E37&gt;=20,E37&lt;35),"warning",IF(AND(E37&gt;=35,E37&lt;=50),"快要 O.O.C 啦",IF(E37&gt;50,"超出規格 O.O.C 啦",""))))</f>
        <v/>
      </c>
      <c r="I37" s="1" t="e">
        <f>IF(C37&lt;&gt;B37,IF(AND(F37&gt;=5,E37&lt;10),"warning",IF(AND(F37&gt;=10,F37&lt;=15),"快要 O.O.C 啦",IF(F37&gt;15,"超出規格 O.O.C 啦",""))))</f>
        <v>#N/A</v>
      </c>
    </row>
    <row r="38" spans="1:9">
      <c r="A38" s="1" t="s">
        <v>16</v>
      </c>
      <c r="B38" s="3">
        <v>44906.928599537037</v>
      </c>
      <c r="C38" s="1" t="s">
        <v>7</v>
      </c>
      <c r="D38" s="4" t="str">
        <f>CONCATENATE(B38,RIGHT(C38,2))</f>
        <v>44906.928599537C1</v>
      </c>
      <c r="E38" s="1">
        <v>2</v>
      </c>
      <c r="F38" s="4" t="e">
        <f>VLOOKUP(D38,'LP-T2 大顆的'!D:E,2)</f>
        <v>#N/A</v>
      </c>
      <c r="G38" s="1" t="s">
        <v>11</v>
      </c>
      <c r="H38" s="1" t="str">
        <f>IF(C38&lt;&gt;B38,IF(AND(E38&gt;=20,E38&lt;35),"warning",IF(AND(E38&gt;=35,E38&lt;=50),"快要 O.O.C 啦",IF(E38&gt;50,"超出規格 O.O.C 啦",""))))</f>
        <v/>
      </c>
      <c r="I38" s="1" t="e">
        <f>IF(C38&lt;&gt;B38,IF(AND(F38&gt;=5,E38&lt;10),"warning",IF(AND(F38&gt;=10,F38&lt;=15),"快要 O.O.C 啦",IF(F38&gt;15,"超出規格 O.O.C 啦",""))))</f>
        <v>#N/A</v>
      </c>
    </row>
    <row r="39" spans="1:9">
      <c r="A39" s="1" t="s">
        <v>13</v>
      </c>
      <c r="B39" s="3">
        <v>44906.908379629633</v>
      </c>
      <c r="C39" s="1" t="s">
        <v>5</v>
      </c>
      <c r="D39" s="4" t="str">
        <f>CONCATENATE(B39,RIGHT(C39,2))</f>
        <v>44906.9083796296C6</v>
      </c>
      <c r="E39" s="1">
        <v>0</v>
      </c>
      <c r="F39" s="4" t="e">
        <f>VLOOKUP(D39,'LP-T2 大顆的'!D:E,2)</f>
        <v>#N/A</v>
      </c>
      <c r="G39" s="1" t="s">
        <v>11</v>
      </c>
      <c r="H39" s="1" t="str">
        <f>IF(C39&lt;&gt;B39,IF(AND(E39&gt;=20,E39&lt;35),"warning",IF(AND(E39&gt;=35,E39&lt;=50),"快要 O.O.C 啦",IF(E39&gt;50,"超出規格 O.O.C 啦",""))))</f>
        <v/>
      </c>
      <c r="I39" s="1" t="e">
        <f>IF(C39&lt;&gt;B39,IF(AND(F39&gt;=5,E39&lt;10),"warning",IF(AND(F39&gt;=10,F39&lt;=15),"快要 O.O.C 啦",IF(F39&gt;15,"超出規格 O.O.C 啦",""))))</f>
        <v>#N/A</v>
      </c>
    </row>
    <row r="40" spans="1:9">
      <c r="A40" s="1" t="s">
        <v>13</v>
      </c>
      <c r="B40" s="3">
        <v>44906.908379629633</v>
      </c>
      <c r="C40" s="1" t="s">
        <v>7</v>
      </c>
      <c r="D40" s="4" t="str">
        <f>CONCATENATE(B40,RIGHT(C40,2))</f>
        <v>44906.9083796296C1</v>
      </c>
      <c r="E40" s="1">
        <v>0</v>
      </c>
      <c r="F40" s="4" t="e">
        <f>VLOOKUP(D40,'LP-T2 大顆的'!D:E,2)</f>
        <v>#N/A</v>
      </c>
      <c r="G40" s="1" t="s">
        <v>11</v>
      </c>
      <c r="H40" s="1" t="str">
        <f>IF(C40&lt;&gt;B40,IF(AND(E40&gt;=20,E40&lt;35),"warning",IF(AND(E40&gt;=35,E40&lt;=50),"快要 O.O.C 啦",IF(E40&gt;50,"超出規格 O.O.C 啦",""))))</f>
        <v/>
      </c>
      <c r="I40" s="1" t="e">
        <f>IF(C40&lt;&gt;B40,IF(AND(F40&gt;=5,E40&lt;10),"warning",IF(AND(F40&gt;=10,F40&lt;=15),"快要 O.O.C 啦",IF(F40&gt;15,"超出規格 O.O.C 啦",""))))</f>
        <v>#N/A</v>
      </c>
    </row>
    <row r="41" spans="1:9">
      <c r="A41" s="1" t="s">
        <v>12</v>
      </c>
      <c r="B41" s="3">
        <v>44906.899652777778</v>
      </c>
      <c r="C41" s="1" t="s">
        <v>5</v>
      </c>
      <c r="D41" s="4" t="str">
        <f>CONCATENATE(B41,RIGHT(C41,2))</f>
        <v>44906.8996527778C6</v>
      </c>
      <c r="E41" s="1">
        <v>3</v>
      </c>
      <c r="F41" s="4" t="e">
        <f>VLOOKUP(D41,'LP-T2 大顆的'!D:E,2)</f>
        <v>#N/A</v>
      </c>
      <c r="G41" s="1" t="s">
        <v>11</v>
      </c>
      <c r="H41" s="1" t="str">
        <f>IF(C41&lt;&gt;B41,IF(AND(E41&gt;=20,E41&lt;35),"warning",IF(AND(E41&gt;=35,E41&lt;=50),"快要 O.O.C 啦",IF(E41&gt;50,"超出規格 O.O.C 啦",""))))</f>
        <v/>
      </c>
      <c r="I41" s="1" t="e">
        <f>IF(C41&lt;&gt;B41,IF(AND(F41&gt;=5,E41&lt;10),"warning",IF(AND(F41&gt;=10,F41&lt;=15),"快要 O.O.C 啦",IF(F41&gt;15,"超出規格 O.O.C 啦",""))))</f>
        <v>#N/A</v>
      </c>
    </row>
    <row r="42" spans="1:9">
      <c r="A42" s="1" t="s">
        <v>12</v>
      </c>
      <c r="B42" s="3">
        <v>44906.899652777778</v>
      </c>
      <c r="C42" s="1" t="s">
        <v>7</v>
      </c>
      <c r="D42" s="4" t="str">
        <f>CONCATENATE(B42,RIGHT(C42,2))</f>
        <v>44906.8996527778C1</v>
      </c>
      <c r="E42" s="1">
        <v>0</v>
      </c>
      <c r="F42" s="4" t="e">
        <f>VLOOKUP(D42,'LP-T2 大顆的'!D:E,2)</f>
        <v>#N/A</v>
      </c>
      <c r="G42" s="1" t="s">
        <v>11</v>
      </c>
      <c r="H42" s="1" t="str">
        <f>IF(C42&lt;&gt;B42,IF(AND(E42&gt;=20,E42&lt;35),"warning",IF(AND(E42&gt;=35,E42&lt;=50),"快要 O.O.C 啦",IF(E42&gt;50,"超出規格 O.O.C 啦",""))))</f>
        <v/>
      </c>
      <c r="I42" s="1" t="e">
        <f>IF(C42&lt;&gt;B42,IF(AND(F42&gt;=5,E42&lt;10),"warning",IF(AND(F42&gt;=10,F42&lt;=15),"快要 O.O.C 啦",IF(F42&gt;15,"超出規格 O.O.C 啦",""))))</f>
        <v>#N/A</v>
      </c>
    </row>
    <row r="43" spans="1:9">
      <c r="A43" s="1" t="s">
        <v>4</v>
      </c>
      <c r="B43" s="3">
        <v>44906.884606481479</v>
      </c>
      <c r="C43" s="1" t="s">
        <v>5</v>
      </c>
      <c r="D43" s="4" t="str">
        <f>CONCATENATE(B43,RIGHT(C43,2))</f>
        <v>44906.8846064815C6</v>
      </c>
      <c r="E43" s="1">
        <v>1</v>
      </c>
      <c r="F43" s="4" t="e">
        <f>VLOOKUP(D43,'LP-T2 大顆的'!D:E,2)</f>
        <v>#N/A</v>
      </c>
      <c r="G43" s="1" t="s">
        <v>11</v>
      </c>
      <c r="H43" s="1" t="str">
        <f>IF(C43&lt;&gt;B43,IF(AND(E43&gt;=20,E43&lt;35),"warning",IF(AND(E43&gt;=35,E43&lt;=50),"快要 O.O.C 啦",IF(E43&gt;50,"超出規格 O.O.C 啦",""))))</f>
        <v/>
      </c>
      <c r="I43" s="1" t="e">
        <f>IF(C43&lt;&gt;B43,IF(AND(F43&gt;=5,E43&lt;10),"warning",IF(AND(F43&gt;=10,F43&lt;=15),"快要 O.O.C 啦",IF(F43&gt;15,"超出規格 O.O.C 啦",""))))</f>
        <v>#N/A</v>
      </c>
    </row>
    <row r="44" spans="1:9">
      <c r="A44" s="1" t="s">
        <v>4</v>
      </c>
      <c r="B44" s="3">
        <v>44906.884606481479</v>
      </c>
      <c r="C44" s="1" t="s">
        <v>7</v>
      </c>
      <c r="D44" s="4" t="str">
        <f>CONCATENATE(B44,RIGHT(C44,2))</f>
        <v>44906.8846064815C1</v>
      </c>
      <c r="E44" s="1">
        <v>0</v>
      </c>
      <c r="F44" s="4" t="e">
        <f>VLOOKUP(D44,'LP-T2 大顆的'!D:E,2)</f>
        <v>#N/A</v>
      </c>
      <c r="G44" s="1" t="s">
        <v>11</v>
      </c>
      <c r="H44" s="1" t="str">
        <f>IF(C44&lt;&gt;B44,IF(AND(E44&gt;=20,E44&lt;35),"warning",IF(AND(E44&gt;=35,E44&lt;=50),"快要 O.O.C 啦",IF(E44&gt;50,"超出規格 O.O.C 啦",""))))</f>
        <v/>
      </c>
      <c r="I44" s="1" t="e">
        <f>IF(C44&lt;&gt;B44,IF(AND(F44&gt;=5,E44&lt;10),"warning",IF(AND(F44&gt;=10,F44&lt;=15),"快要 O.O.C 啦",IF(F44&gt;15,"超出規格 O.O.C 啦",""))))</f>
        <v>#N/A</v>
      </c>
    </row>
    <row r="45" spans="1:9">
      <c r="A45" s="1" t="s">
        <v>17</v>
      </c>
      <c r="B45" s="3">
        <v>44906.861273148148</v>
      </c>
      <c r="C45" s="1" t="s">
        <v>6</v>
      </c>
      <c r="D45" s="4" t="str">
        <f>CONCATENATE(B45,RIGHT(C45,2))</f>
        <v>44906.8612731481C4</v>
      </c>
      <c r="E45" s="1">
        <v>1</v>
      </c>
      <c r="F45" s="4" t="e">
        <f>VLOOKUP(D45,'LP-T2 大顆的'!D:E,2)</f>
        <v>#N/A</v>
      </c>
      <c r="G45" s="1" t="s">
        <v>11</v>
      </c>
      <c r="H45" s="1" t="str">
        <f>IF(C45&lt;&gt;B45,IF(AND(E45&gt;=20,E45&lt;35),"warning",IF(AND(E45&gt;=35,E45&lt;=50),"快要 O.O.C 啦",IF(E45&gt;50,"超出規格 O.O.C 啦",""))))</f>
        <v/>
      </c>
      <c r="I45" s="1" t="e">
        <f>IF(C45&lt;&gt;B45,IF(AND(F45&gt;=5,E45&lt;10),"warning",IF(AND(F45&gt;=10,F45&lt;=15),"快要 O.O.C 啦",IF(F45&gt;15,"超出規格 O.O.C 啦",""))))</f>
        <v>#N/A</v>
      </c>
    </row>
    <row r="46" spans="1:9">
      <c r="A46" s="1" t="s">
        <v>14</v>
      </c>
      <c r="B46" s="3">
        <v>44906.828958333332</v>
      </c>
      <c r="C46" s="1" t="s">
        <v>6</v>
      </c>
      <c r="D46" s="4" t="str">
        <f>CONCATENATE(B46,RIGHT(C46,2))</f>
        <v>44906.8289583333C4</v>
      </c>
      <c r="E46" s="1">
        <v>0</v>
      </c>
      <c r="F46" s="4" t="e">
        <f>VLOOKUP(D46,'LP-T2 大顆的'!D:E,2)</f>
        <v>#N/A</v>
      </c>
      <c r="G46" s="1" t="s">
        <v>11</v>
      </c>
      <c r="H46" s="1" t="str">
        <f>IF(C46&lt;&gt;B46,IF(AND(E46&gt;=20,E46&lt;35),"warning",IF(AND(E46&gt;=35,E46&lt;=50),"快要 O.O.C 啦",IF(E46&gt;50,"超出規格 O.O.C 啦",""))))</f>
        <v/>
      </c>
      <c r="I46" s="1" t="e">
        <f>IF(C46&lt;&gt;B46,IF(AND(F46&gt;=5,E46&lt;10),"warning",IF(AND(F46&gt;=10,F46&lt;=15),"快要 O.O.C 啦",IF(F46&gt;15,"超出規格 O.O.C 啦",""))))</f>
        <v>#N/A</v>
      </c>
    </row>
    <row r="47" spans="1:9">
      <c r="A47" s="1" t="s">
        <v>14</v>
      </c>
      <c r="B47" s="3">
        <v>44906.828958333332</v>
      </c>
      <c r="C47" s="1" t="s">
        <v>7</v>
      </c>
      <c r="D47" s="4" t="str">
        <f>CONCATENATE(B47,RIGHT(C47,2))</f>
        <v>44906.8289583333C1</v>
      </c>
      <c r="E47" s="1">
        <v>0</v>
      </c>
      <c r="F47" s="4" t="e">
        <f>VLOOKUP(D47,'LP-T2 大顆的'!D:E,2)</f>
        <v>#N/A</v>
      </c>
      <c r="G47" s="1" t="s">
        <v>11</v>
      </c>
      <c r="H47" s="1" t="str">
        <f>IF(C47&lt;&gt;B47,IF(AND(E47&gt;=20,E47&lt;35),"warning",IF(AND(E47&gt;=35,E47&lt;=50),"快要 O.O.C 啦",IF(E47&gt;50,"超出規格 O.O.C 啦",""))))</f>
        <v/>
      </c>
      <c r="I47" s="1" t="e">
        <f>IF(C47&lt;&gt;B47,IF(AND(F47&gt;=5,E47&lt;10),"warning",IF(AND(F47&gt;=10,F47&lt;=15),"快要 O.O.C 啦",IF(F47&gt;15,"超出規格 O.O.C 啦",""))))</f>
        <v>#N/A</v>
      </c>
    </row>
    <row r="48" spans="1:9">
      <c r="A48" s="1" t="s">
        <v>15</v>
      </c>
      <c r="B48" s="3">
        <v>44906.7812962963</v>
      </c>
      <c r="C48" s="1" t="s">
        <v>6</v>
      </c>
      <c r="D48" s="4" t="str">
        <f>CONCATENATE(B48,RIGHT(C48,2))</f>
        <v>44906.7812962963C4</v>
      </c>
      <c r="E48" s="1">
        <v>0</v>
      </c>
      <c r="F48" s="4" t="e">
        <f>VLOOKUP(D48,'LP-T2 大顆的'!D:E,2)</f>
        <v>#N/A</v>
      </c>
      <c r="G48" s="1" t="s">
        <v>11</v>
      </c>
      <c r="H48" s="1" t="str">
        <f>IF(C48&lt;&gt;B48,IF(AND(E48&gt;=20,E48&lt;35),"warning",IF(AND(E48&gt;=35,E48&lt;=50),"快要 O.O.C 啦",IF(E48&gt;50,"超出規格 O.O.C 啦",""))))</f>
        <v/>
      </c>
      <c r="I48" s="1" t="e">
        <f>IF(C48&lt;&gt;B48,IF(AND(F48&gt;=5,E48&lt;10),"warning",IF(AND(F48&gt;=10,F48&lt;=15),"快要 O.O.C 啦",IF(F48&gt;15,"超出規格 O.O.C 啦",""))))</f>
        <v>#N/A</v>
      </c>
    </row>
    <row r="49" spans="1:9">
      <c r="A49" s="1" t="s">
        <v>16</v>
      </c>
      <c r="B49" s="3">
        <v>44906.724699074075</v>
      </c>
      <c r="C49" s="1" t="s">
        <v>6</v>
      </c>
      <c r="D49" s="4" t="str">
        <f>CONCATENATE(B49,RIGHT(C49,2))</f>
        <v>44906.7246990741C4</v>
      </c>
      <c r="E49" s="1">
        <v>0</v>
      </c>
      <c r="F49" s="4" t="e">
        <f>VLOOKUP(D49,'LP-T2 大顆的'!D:E,2)</f>
        <v>#N/A</v>
      </c>
      <c r="G49" s="1" t="s">
        <v>11</v>
      </c>
      <c r="H49" s="1" t="str">
        <f>IF(C49&lt;&gt;B49,IF(AND(E49&gt;=20,E49&lt;35),"warning",IF(AND(E49&gt;=35,E49&lt;=50),"快要 O.O.C 啦",IF(E49&gt;50,"超出規格 O.O.C 啦",""))))</f>
        <v/>
      </c>
      <c r="I49" s="1" t="e">
        <f>IF(C49&lt;&gt;B49,IF(AND(F49&gt;=5,E49&lt;10),"warning",IF(AND(F49&gt;=10,F49&lt;=15),"快要 O.O.C 啦",IF(F49&gt;15,"超出規格 O.O.C 啦",""))))</f>
        <v>#N/A</v>
      </c>
    </row>
    <row r="50" spans="1:9">
      <c r="A50" s="1" t="s">
        <v>13</v>
      </c>
      <c r="B50" s="3">
        <v>44906.719502314816</v>
      </c>
      <c r="C50" s="1" t="s">
        <v>6</v>
      </c>
      <c r="D50" s="4" t="str">
        <f>CONCATENATE(B50,RIGHT(C50,2))</f>
        <v>44906.7195023148C4</v>
      </c>
      <c r="E50" s="1">
        <v>12</v>
      </c>
      <c r="F50" s="4" t="e">
        <f>VLOOKUP(D50,'LP-T2 大顆的'!D:E,2)</f>
        <v>#N/A</v>
      </c>
      <c r="G50" s="1" t="s">
        <v>11</v>
      </c>
      <c r="H50" s="1" t="str">
        <f>IF(C50&lt;&gt;B50,IF(AND(E50&gt;=20,E50&lt;35),"warning",IF(AND(E50&gt;=35,E50&lt;=50),"快要 O.O.C 啦",IF(E50&gt;50,"超出規格 O.O.C 啦",""))))</f>
        <v/>
      </c>
      <c r="I50" s="1" t="e">
        <f>IF(C50&lt;&gt;B50,IF(AND(F50&gt;=5,E50&lt;10),"warning",IF(AND(F50&gt;=10,F50&lt;=15),"快要 O.O.C 啦",IF(F50&gt;15,"超出規格 O.O.C 啦",""))))</f>
        <v>#N/A</v>
      </c>
    </row>
    <row r="51" spans="1:9">
      <c r="A51" s="1" t="s">
        <v>4</v>
      </c>
      <c r="B51" s="3">
        <v>44906.700937499998</v>
      </c>
      <c r="C51" s="1" t="s">
        <v>6</v>
      </c>
      <c r="D51" s="4" t="str">
        <f>CONCATENATE(B51,RIGHT(C51,2))</f>
        <v>44906.7009375C4</v>
      </c>
      <c r="E51" s="1">
        <v>7</v>
      </c>
      <c r="F51" s="4" t="e">
        <f>VLOOKUP(D51,'LP-T2 大顆的'!D:E,2)</f>
        <v>#N/A</v>
      </c>
      <c r="G51" s="1" t="s">
        <v>11</v>
      </c>
      <c r="H51" s="1" t="str">
        <f>IF(C51&lt;&gt;B51,IF(AND(E51&gt;=20,E51&lt;35),"warning",IF(AND(E51&gt;=35,E51&lt;=50),"快要 O.O.C 啦",IF(E51&gt;50,"超出規格 O.O.C 啦",""))))</f>
        <v/>
      </c>
      <c r="I51" s="1" t="e">
        <f>IF(C51&lt;&gt;B51,IF(AND(F51&gt;=5,E51&lt;10),"warning",IF(AND(F51&gt;=10,F51&lt;=15),"快要 O.O.C 啦",IF(F51&gt;15,"超出規格 O.O.C 啦",""))))</f>
        <v>#N/A</v>
      </c>
    </row>
    <row r="52" spans="1:9">
      <c r="A52" s="1" t="s">
        <v>12</v>
      </c>
      <c r="B52" s="3">
        <v>44906.686284722222</v>
      </c>
      <c r="C52" s="1" t="s">
        <v>6</v>
      </c>
      <c r="D52" s="4" t="str">
        <f>CONCATENATE(B52,RIGHT(C52,2))</f>
        <v>44906.6862847222C4</v>
      </c>
      <c r="E52" s="1">
        <v>5</v>
      </c>
      <c r="F52" s="4" t="e">
        <f>VLOOKUP(D52,'LP-T2 大顆的'!D:E,2)</f>
        <v>#N/A</v>
      </c>
      <c r="G52" s="1" t="s">
        <v>11</v>
      </c>
      <c r="H52" s="1" t="str">
        <f>IF(C52&lt;&gt;B52,IF(AND(E52&gt;=20,E52&lt;35),"warning",IF(AND(E52&gt;=35,E52&lt;=50),"快要 O.O.C 啦",IF(E52&gt;50,"超出規格 O.O.C 啦",""))))</f>
        <v/>
      </c>
      <c r="I52" s="1" t="e">
        <f>IF(C52&lt;&gt;B52,IF(AND(F52&gt;=5,E52&lt;10),"warning",IF(AND(F52&gt;=10,F52&lt;=15),"快要 O.O.C 啦",IF(F52&gt;15,"超出規格 O.O.C 啦",""))))</f>
        <v>#N/A</v>
      </c>
    </row>
    <row r="53" spans="1:9">
      <c r="A53" s="1" t="s">
        <v>14</v>
      </c>
      <c r="B53" s="3">
        <v>44906.662962962961</v>
      </c>
      <c r="C53" s="1" t="s">
        <v>6</v>
      </c>
      <c r="D53" s="4" t="str">
        <f>CONCATENATE(B53,RIGHT(C53,2))</f>
        <v>44906.662962963C4</v>
      </c>
      <c r="E53" s="1">
        <v>0</v>
      </c>
      <c r="F53" s="4" t="e">
        <f>VLOOKUP(D53,'LP-T2 大顆的'!D:E,2)</f>
        <v>#N/A</v>
      </c>
      <c r="G53" s="1" t="s">
        <v>11</v>
      </c>
      <c r="H53" s="1" t="str">
        <f>IF(C53&lt;&gt;B53,IF(AND(E53&gt;=20,E53&lt;35),"warning",IF(AND(E53&gt;=35,E53&lt;=50),"快要 O.O.C 啦",IF(E53&gt;50,"超出規格 O.O.C 啦",""))))</f>
        <v/>
      </c>
      <c r="I53" s="1" t="e">
        <f>IF(C53&lt;&gt;B53,IF(AND(F53&gt;=5,E53&lt;10),"warning",IF(AND(F53&gt;=10,F53&lt;=15),"快要 O.O.C 啦",IF(F53&gt;15,"超出規格 O.O.C 啦",""))))</f>
        <v>#N/A</v>
      </c>
    </row>
    <row r="54" spans="1:9">
      <c r="A54" s="1" t="s">
        <v>17</v>
      </c>
      <c r="B54" s="3">
        <v>44906.648935185185</v>
      </c>
      <c r="C54" s="1" t="s">
        <v>6</v>
      </c>
      <c r="D54" s="4" t="str">
        <f>CONCATENATE(B54,RIGHT(C54,2))</f>
        <v>44906.6489351852C4</v>
      </c>
      <c r="E54" s="1">
        <v>1</v>
      </c>
      <c r="F54" s="4" t="e">
        <f>VLOOKUP(D54,'LP-T2 大顆的'!D:E,2)</f>
        <v>#N/A</v>
      </c>
      <c r="G54" s="1" t="s">
        <v>11</v>
      </c>
      <c r="H54" s="1" t="str">
        <f>IF(C54&lt;&gt;B54,IF(AND(E54&gt;=20,E54&lt;35),"warning",IF(AND(E54&gt;=35,E54&lt;=50),"快要 O.O.C 啦",IF(E54&gt;50,"超出規格 O.O.C 啦",""))))</f>
        <v/>
      </c>
      <c r="I54" s="1" t="e">
        <f>IF(C54&lt;&gt;B54,IF(AND(F54&gt;=5,E54&lt;10),"warning",IF(AND(F54&gt;=10,F54&lt;=15),"快要 O.O.C 啦",IF(F54&gt;15,"超出規格 O.O.C 啦",""))))</f>
        <v>#N/A</v>
      </c>
    </row>
    <row r="55" spans="1:9">
      <c r="A55" s="1" t="s">
        <v>15</v>
      </c>
      <c r="B55" s="3">
        <v>44906.606041666666</v>
      </c>
      <c r="C55" s="1" t="s">
        <v>6</v>
      </c>
      <c r="D55" s="4" t="str">
        <f>CONCATENATE(B55,RIGHT(C55,2))</f>
        <v>44906.6060416667C4</v>
      </c>
      <c r="E55" s="1">
        <v>0</v>
      </c>
      <c r="F55" s="4" t="e">
        <f>VLOOKUP(D55,'LP-T2 大顆的'!D:E,2)</f>
        <v>#N/A</v>
      </c>
      <c r="G55" s="1" t="s">
        <v>11</v>
      </c>
      <c r="H55" s="1" t="str">
        <f>IF(C55&lt;&gt;B55,IF(AND(E55&gt;=20,E55&lt;35),"warning",IF(AND(E55&gt;=35,E55&lt;=50),"快要 O.O.C 啦",IF(E55&gt;50,"超出規格 O.O.C 啦",""))))</f>
        <v/>
      </c>
      <c r="I55" s="1" t="e">
        <f>IF(C55&lt;&gt;B55,IF(AND(F55&gt;=5,E55&lt;10),"warning",IF(AND(F55&gt;=10,F55&lt;=15),"快要 O.O.C 啦",IF(F55&gt;15,"超出規格 O.O.C 啦",""))))</f>
        <v>#N/A</v>
      </c>
    </row>
    <row r="56" spans="1:9">
      <c r="A56" s="1" t="s">
        <v>13</v>
      </c>
      <c r="B56" s="3">
        <v>44906.581238425926</v>
      </c>
      <c r="C56" s="1" t="s">
        <v>6</v>
      </c>
      <c r="D56" s="4" t="str">
        <f>CONCATENATE(B56,RIGHT(C56,2))</f>
        <v>44906.5812384259C4</v>
      </c>
      <c r="E56" s="1">
        <v>0</v>
      </c>
      <c r="F56" s="4" t="e">
        <f>VLOOKUP(D56,'LP-T2 大顆的'!D:E,2)</f>
        <v>#N/A</v>
      </c>
      <c r="G56" s="1" t="s">
        <v>11</v>
      </c>
      <c r="H56" s="1" t="str">
        <f>IF(C56&lt;&gt;B56,IF(AND(E56&gt;=20,E56&lt;35),"warning",IF(AND(E56&gt;=35,E56&lt;=50),"快要 O.O.C 啦",IF(E56&gt;50,"超出規格 O.O.C 啦",""))))</f>
        <v/>
      </c>
      <c r="I56" s="1" t="e">
        <f>IF(C56&lt;&gt;B56,IF(AND(F56&gt;=5,E56&lt;10),"warning",IF(AND(F56&gt;=10,F56&lt;=15),"快要 O.O.C 啦",IF(F56&gt;15,"超出規格 O.O.C 啦",""))))</f>
        <v>#N/A</v>
      </c>
    </row>
    <row r="57" spans="1:9">
      <c r="A57" s="1" t="s">
        <v>16</v>
      </c>
      <c r="B57" s="3">
        <v>44906.564791666664</v>
      </c>
      <c r="C57" s="1" t="s">
        <v>6</v>
      </c>
      <c r="D57" s="4" t="str">
        <f>CONCATENATE(B57,RIGHT(C57,2))</f>
        <v>44906.5647916667C4</v>
      </c>
      <c r="E57" s="1">
        <v>0</v>
      </c>
      <c r="F57" s="4" t="e">
        <f>VLOOKUP(D57,'LP-T2 大顆的'!D:E,2)</f>
        <v>#N/A</v>
      </c>
      <c r="G57" s="1" t="s">
        <v>11</v>
      </c>
      <c r="H57" s="1" t="str">
        <f>IF(C57&lt;&gt;B57,IF(AND(E57&gt;=20,E57&lt;35),"warning",IF(AND(E57&gt;=35,E57&lt;=50),"快要 O.O.C 啦",IF(E57&gt;50,"超出規格 O.O.C 啦",""))))</f>
        <v/>
      </c>
      <c r="I57" s="1" t="e">
        <f>IF(C57&lt;&gt;B57,IF(AND(F57&gt;=5,E57&lt;10),"warning",IF(AND(F57&gt;=10,F57&lt;=15),"快要 O.O.C 啦",IF(F57&gt;15,"超出規格 O.O.C 啦",""))))</f>
        <v>#N/A</v>
      </c>
    </row>
    <row r="58" spans="1:9">
      <c r="A58" s="1" t="s">
        <v>12</v>
      </c>
      <c r="B58" s="3">
        <v>44906.563946759263</v>
      </c>
      <c r="C58" s="1" t="s">
        <v>6</v>
      </c>
      <c r="D58" s="4" t="str">
        <f>CONCATENATE(B58,RIGHT(C58,2))</f>
        <v>44906.5639467593C4</v>
      </c>
      <c r="E58" s="1">
        <v>1</v>
      </c>
      <c r="F58" s="4" t="e">
        <f>VLOOKUP(D58,'LP-T2 大顆的'!D:E,2)</f>
        <v>#N/A</v>
      </c>
      <c r="G58" s="1" t="s">
        <v>11</v>
      </c>
      <c r="H58" s="1" t="str">
        <f>IF(C58&lt;&gt;B58,IF(AND(E58&gt;=20,E58&lt;35),"warning",IF(AND(E58&gt;=35,E58&lt;=50),"快要 O.O.C 啦",IF(E58&gt;50,"超出規格 O.O.C 啦",""))))</f>
        <v/>
      </c>
      <c r="I58" s="1" t="e">
        <f>IF(C58&lt;&gt;B58,IF(AND(F58&gt;=5,E58&lt;10),"warning",IF(AND(F58&gt;=10,F58&lt;=15),"快要 O.O.C 啦",IF(F58&gt;15,"超出規格 O.O.C 啦",""))))</f>
        <v>#N/A</v>
      </c>
    </row>
    <row r="59" spans="1:9">
      <c r="A59" s="1" t="s">
        <v>4</v>
      </c>
      <c r="B59" s="3">
        <v>44906.534918981481</v>
      </c>
      <c r="C59" s="1" t="s">
        <v>6</v>
      </c>
      <c r="D59" s="4" t="str">
        <f>CONCATENATE(B59,RIGHT(C59,2))</f>
        <v>44906.5349189815C4</v>
      </c>
      <c r="E59" s="1">
        <v>4</v>
      </c>
      <c r="F59" s="4" t="e">
        <f>VLOOKUP(D59,'LP-T2 大顆的'!D:E,2)</f>
        <v>#N/A</v>
      </c>
      <c r="G59" s="1" t="s">
        <v>11</v>
      </c>
      <c r="H59" s="1" t="str">
        <f>IF(C59&lt;&gt;B59,IF(AND(E59&gt;=20,E59&lt;35),"warning",IF(AND(E59&gt;=35,E59&lt;=50),"快要 O.O.C 啦",IF(E59&gt;50,"超出規格 O.O.C 啦",""))))</f>
        <v/>
      </c>
      <c r="I59" s="1" t="e">
        <f>IF(C59&lt;&gt;B59,IF(AND(F59&gt;=5,E59&lt;10),"warning",IF(AND(F59&gt;=10,F59&lt;=15),"快要 O.O.C 啦",IF(F59&gt;15,"超出規格 O.O.C 啦",""))))</f>
        <v>#N/A</v>
      </c>
    </row>
    <row r="60" spans="1:9">
      <c r="A60" s="1" t="s">
        <v>14</v>
      </c>
      <c r="B60" s="3">
        <v>44906.517106481479</v>
      </c>
      <c r="C60" s="1" t="s">
        <v>6</v>
      </c>
      <c r="D60" s="4" t="str">
        <f>CONCATENATE(B60,RIGHT(C60,2))</f>
        <v>44906.5171064815C4</v>
      </c>
      <c r="E60" s="1">
        <v>6</v>
      </c>
      <c r="F60" s="4" t="e">
        <f>VLOOKUP(D60,'LP-T2 大顆的'!D:E,2)</f>
        <v>#N/A</v>
      </c>
      <c r="G60" s="1" t="s">
        <v>11</v>
      </c>
      <c r="H60" s="1" t="str">
        <f>IF(C60&lt;&gt;B60,IF(AND(E60&gt;=20,E60&lt;35),"warning",IF(AND(E60&gt;=35,E60&lt;=50),"快要 O.O.C 啦",IF(E60&gt;50,"超出規格 O.O.C 啦",""))))</f>
        <v/>
      </c>
      <c r="I60" s="1" t="e">
        <f>IF(C60&lt;&gt;B60,IF(AND(F60&gt;=5,E60&lt;10),"warning",IF(AND(F60&gt;=10,F60&lt;=15),"快要 O.O.C 啦",IF(F60&gt;15,"超出規格 O.O.C 啦",""))))</f>
        <v>#N/A</v>
      </c>
    </row>
    <row r="61" spans="1:9">
      <c r="A61" s="1" t="s">
        <v>17</v>
      </c>
      <c r="B61" s="3">
        <v>44906.491678240738</v>
      </c>
      <c r="C61" s="1" t="s">
        <v>7</v>
      </c>
      <c r="D61" s="4" t="str">
        <f>CONCATENATE(B61,RIGHT(C61,2))</f>
        <v>44906.4916782407C1</v>
      </c>
      <c r="E61" s="1">
        <v>0</v>
      </c>
      <c r="F61" s="4" t="e">
        <f>VLOOKUP(D61,'LP-T2 大顆的'!D:E,2)</f>
        <v>#N/A</v>
      </c>
      <c r="G61" s="1" t="s">
        <v>11</v>
      </c>
      <c r="H61" s="1" t="str">
        <f>IF(C61&lt;&gt;B61,IF(AND(E61&gt;=20,E61&lt;35),"warning",IF(AND(E61&gt;=35,E61&lt;=50),"快要 O.O.C 啦",IF(E61&gt;50,"超出規格 O.O.C 啦",""))))</f>
        <v/>
      </c>
      <c r="I61" s="1" t="e">
        <f>IF(C61&lt;&gt;B61,IF(AND(F61&gt;=5,E61&lt;10),"warning",IF(AND(F61&gt;=10,F61&lt;=15),"快要 O.O.C 啦",IF(F61&gt;15,"超出規格 O.O.C 啦",""))))</f>
        <v>#N/A</v>
      </c>
    </row>
    <row r="62" spans="1:9">
      <c r="A62" s="1" t="s">
        <v>13</v>
      </c>
      <c r="B62" s="3">
        <v>44906.46197916667</v>
      </c>
      <c r="C62" s="1" t="s">
        <v>7</v>
      </c>
      <c r="D62" s="4" t="str">
        <f>CONCATENATE(B62,RIGHT(C62,2))</f>
        <v>44906.4619791667C1</v>
      </c>
      <c r="E62" s="1">
        <v>6</v>
      </c>
      <c r="F62" s="4" t="e">
        <f>VLOOKUP(D62,'LP-T2 大顆的'!D:E,2)</f>
        <v>#N/A</v>
      </c>
      <c r="G62" s="1" t="s">
        <v>11</v>
      </c>
      <c r="H62" s="1" t="str">
        <f>IF(C62&lt;&gt;B62,IF(AND(E62&gt;=20,E62&lt;35),"warning",IF(AND(E62&gt;=35,E62&lt;=50),"快要 O.O.C 啦",IF(E62&gt;50,"超出規格 O.O.C 啦",""))))</f>
        <v/>
      </c>
      <c r="I62" s="1" t="e">
        <f>IF(C62&lt;&gt;B62,IF(AND(F62&gt;=5,E62&lt;10),"warning",IF(AND(F62&gt;=10,F62&lt;=15),"快要 O.O.C 啦",IF(F62&gt;15,"超出規格 O.O.C 啦",""))))</f>
        <v>#N/A</v>
      </c>
    </row>
    <row r="63" spans="1:9">
      <c r="A63" s="1" t="s">
        <v>15</v>
      </c>
      <c r="B63" s="3">
        <v>44906.45484953704</v>
      </c>
      <c r="C63" s="1" t="s">
        <v>7</v>
      </c>
      <c r="D63" s="4" t="str">
        <f>CONCATENATE(B63,RIGHT(C63,2))</f>
        <v>44906.454849537C1</v>
      </c>
      <c r="E63" s="1">
        <v>7</v>
      </c>
      <c r="F63" s="4" t="e">
        <f>VLOOKUP(D63,'LP-T2 大顆的'!D:E,2)</f>
        <v>#N/A</v>
      </c>
      <c r="G63" s="1" t="s">
        <v>11</v>
      </c>
      <c r="H63" s="1" t="str">
        <f>IF(C63&lt;&gt;B63,IF(AND(E63&gt;=20,E63&lt;35),"warning",IF(AND(E63&gt;=35,E63&lt;=50),"快要 O.O.C 啦",IF(E63&gt;50,"超出規格 O.O.C 啦",""))))</f>
        <v/>
      </c>
      <c r="I63" s="1" t="e">
        <f>IF(C63&lt;&gt;B63,IF(AND(F63&gt;=5,E63&lt;10),"warning",IF(AND(F63&gt;=10,F63&lt;=15),"快要 O.O.C 啦",IF(F63&gt;15,"超出規格 O.O.C 啦",""))))</f>
        <v>#N/A</v>
      </c>
    </row>
    <row r="64" spans="1:9">
      <c r="A64" s="1" t="s">
        <v>16</v>
      </c>
      <c r="B64" s="3">
        <v>44906.396134259259</v>
      </c>
      <c r="C64" s="1" t="s">
        <v>7</v>
      </c>
      <c r="D64" s="4" t="str">
        <f>CONCATENATE(B64,RIGHT(C64,2))</f>
        <v>44906.3961342593C1</v>
      </c>
      <c r="E64" s="1">
        <v>1</v>
      </c>
      <c r="F64" s="4" t="e">
        <f>VLOOKUP(D64,'LP-T2 大顆的'!D:E,2)</f>
        <v>#N/A</v>
      </c>
      <c r="G64" s="1" t="s">
        <v>11</v>
      </c>
      <c r="H64" s="1" t="str">
        <f>IF(C64&lt;&gt;B64,IF(AND(E64&gt;=20,E64&lt;35),"warning",IF(AND(E64&gt;=35,E64&lt;=50),"快要 O.O.C 啦",IF(E64&gt;50,"超出規格 O.O.C 啦",""))))</f>
        <v/>
      </c>
      <c r="I64" s="1" t="e">
        <f>IF(C64&lt;&gt;B64,IF(AND(F64&gt;=5,E64&lt;10),"warning",IF(AND(F64&gt;=10,F64&lt;=15),"快要 O.O.C 啦",IF(F64&gt;15,"超出規格 O.O.C 啦",""))))</f>
        <v>#N/A</v>
      </c>
    </row>
    <row r="65" spans="1:9">
      <c r="A65" s="1" t="s">
        <v>4</v>
      </c>
      <c r="B65" s="3">
        <v>44906.365798611114</v>
      </c>
      <c r="C65" s="1" t="s">
        <v>7</v>
      </c>
      <c r="D65" s="4" t="str">
        <f>CONCATENATE(B65,RIGHT(C65,2))</f>
        <v>44906.3657986111C1</v>
      </c>
      <c r="E65" s="1">
        <v>7</v>
      </c>
      <c r="F65" s="4" t="e">
        <f>VLOOKUP(D65,'LP-T2 大顆的'!D:E,2)</f>
        <v>#N/A</v>
      </c>
      <c r="G65" s="1" t="s">
        <v>11</v>
      </c>
      <c r="H65" s="1" t="str">
        <f>IF(C65&lt;&gt;B65,IF(AND(E65&gt;=20,E65&lt;35),"warning",IF(AND(E65&gt;=35,E65&lt;=50),"快要 O.O.C 啦",IF(E65&gt;50,"超出規格 O.O.C 啦",""))))</f>
        <v/>
      </c>
      <c r="I65" s="1" t="e">
        <f>IF(C65&lt;&gt;B65,IF(AND(F65&gt;=5,E65&lt;10),"warning",IF(AND(F65&gt;=10,F65&lt;=15),"快要 O.O.C 啦",IF(F65&gt;15,"超出規格 O.O.C 啦",""))))</f>
        <v>#N/A</v>
      </c>
    </row>
    <row r="66" spans="1:9">
      <c r="A66" s="1" t="s">
        <v>12</v>
      </c>
      <c r="B66" s="3">
        <v>44906.331805555557</v>
      </c>
      <c r="C66" s="1" t="s">
        <v>7</v>
      </c>
      <c r="D66" s="4" t="str">
        <f>CONCATENATE(B66,RIGHT(C66,2))</f>
        <v>44906.3318055556C1</v>
      </c>
      <c r="E66" s="1">
        <v>5</v>
      </c>
      <c r="F66" s="4" t="e">
        <f>VLOOKUP(D66,'LP-T2 大顆的'!D:E,2)</f>
        <v>#N/A</v>
      </c>
      <c r="G66" s="1" t="s">
        <v>11</v>
      </c>
      <c r="H66" s="1" t="str">
        <f>IF(C66&lt;&gt;B66,IF(AND(E66&gt;=20,E66&lt;35),"warning",IF(AND(E66&gt;=35,E66&lt;=50),"快要 O.O.C 啦",IF(E66&gt;50,"超出規格 O.O.C 啦",""))))</f>
        <v/>
      </c>
      <c r="I66" s="1" t="e">
        <f>IF(C66&lt;&gt;B66,IF(AND(F66&gt;=5,E66&lt;10),"warning",IF(AND(F66&gt;=10,F66&lt;=15),"快要 O.O.C 啦",IF(F66&gt;15,"超出規格 O.O.C 啦",""))))</f>
        <v>#N/A</v>
      </c>
    </row>
    <row r="67" spans="1:9">
      <c r="A67" s="1" t="s">
        <v>14</v>
      </c>
      <c r="B67" s="3">
        <v>44906.323819444442</v>
      </c>
      <c r="C67" s="1" t="s">
        <v>7</v>
      </c>
      <c r="D67" s="4" t="str">
        <f>CONCATENATE(B67,RIGHT(C67,2))</f>
        <v>44906.3238194444C1</v>
      </c>
      <c r="E67" s="1">
        <v>5</v>
      </c>
      <c r="F67" s="4" t="e">
        <f>VLOOKUP(D67,'LP-T2 大顆的'!D:E,2)</f>
        <v>#N/A</v>
      </c>
      <c r="G67" s="1" t="s">
        <v>11</v>
      </c>
      <c r="H67" s="1" t="str">
        <f>IF(C67&lt;&gt;B67,IF(AND(E67&gt;=20,E67&lt;35),"warning",IF(AND(E67&gt;=35,E67&lt;=50),"快要 O.O.C 啦",IF(E67&gt;50,"超出規格 O.O.C 啦",""))))</f>
        <v/>
      </c>
      <c r="I67" s="1" t="e">
        <f>IF(C67&lt;&gt;B67,IF(AND(F67&gt;=5,E67&lt;10),"warning",IF(AND(F67&gt;=10,F67&lt;=15),"快要 O.O.C 啦",IF(F67&gt;15,"超出規格 O.O.C 啦",""))))</f>
        <v>#N/A</v>
      </c>
    </row>
    <row r="68" spans="1:9">
      <c r="A68" s="1" t="s">
        <v>17</v>
      </c>
      <c r="B68" s="3">
        <v>44906.285543981481</v>
      </c>
      <c r="C68" s="1" t="s">
        <v>7</v>
      </c>
      <c r="D68" s="4" t="str">
        <f>CONCATENATE(B68,RIGHT(C68,2))</f>
        <v>44906.2855439815C1</v>
      </c>
      <c r="E68" s="1">
        <v>0</v>
      </c>
      <c r="F68" s="4" t="e">
        <f>VLOOKUP(D68,'LP-T2 大顆的'!D:E,2)</f>
        <v>#N/A</v>
      </c>
      <c r="G68" s="1" t="s">
        <v>11</v>
      </c>
      <c r="H68" s="1" t="str">
        <f>IF(C68&lt;&gt;B68,IF(AND(E68&gt;=20,E68&lt;35),"warning",IF(AND(E68&gt;=35,E68&lt;=50),"快要 O.O.C 啦",IF(E68&gt;50,"超出規格 O.O.C 啦",""))))</f>
        <v/>
      </c>
      <c r="I68" s="1" t="e">
        <f>IF(C68&lt;&gt;B68,IF(AND(F68&gt;=5,E68&lt;10),"warning",IF(AND(F68&gt;=10,F68&lt;=15),"快要 O.O.C 啦",IF(F68&gt;15,"超出規格 O.O.C 啦",""))))</f>
        <v>#N/A</v>
      </c>
    </row>
    <row r="69" spans="1:9">
      <c r="A69" s="1" t="s">
        <v>13</v>
      </c>
      <c r="B69" s="3">
        <v>44906.262719907405</v>
      </c>
      <c r="C69" s="1" t="s">
        <v>7</v>
      </c>
      <c r="D69" s="4" t="str">
        <f>CONCATENATE(B69,RIGHT(C69,2))</f>
        <v>44906.2627199074C1</v>
      </c>
      <c r="E69" s="1">
        <v>1</v>
      </c>
      <c r="F69" s="4" t="e">
        <f>VLOOKUP(D69,'LP-T2 大顆的'!D:E,2)</f>
        <v>#N/A</v>
      </c>
      <c r="G69" s="1" t="s">
        <v>11</v>
      </c>
      <c r="H69" s="1" t="str">
        <f>IF(C69&lt;&gt;B69,IF(AND(E69&gt;=20,E69&lt;35),"warning",IF(AND(E69&gt;=35,E69&lt;=50),"快要 O.O.C 啦",IF(E69&gt;50,"超出規格 O.O.C 啦",""))))</f>
        <v/>
      </c>
      <c r="I69" s="1" t="e">
        <f>IF(C69&lt;&gt;B69,IF(AND(F69&gt;=5,E69&lt;10),"warning",IF(AND(F69&gt;=10,F69&lt;=15),"快要 O.O.C 啦",IF(F69&gt;15,"超出規格 O.O.C 啦",""))))</f>
        <v>#N/A</v>
      </c>
    </row>
    <row r="70" spans="1:9">
      <c r="A70" s="1" t="s">
        <v>16</v>
      </c>
      <c r="B70" s="3">
        <v>44906.224386574075</v>
      </c>
      <c r="C70" s="1" t="s">
        <v>7</v>
      </c>
      <c r="D70" s="4" t="str">
        <f>CONCATENATE(B70,RIGHT(C70,2))</f>
        <v>44906.2243865741C1</v>
      </c>
      <c r="E70" s="1">
        <v>0</v>
      </c>
      <c r="F70" s="4" t="e">
        <f>VLOOKUP(D70,'LP-T2 大顆的'!D:E,2)</f>
        <v>#N/A</v>
      </c>
      <c r="G70" s="1" t="s">
        <v>11</v>
      </c>
      <c r="H70" s="1" t="str">
        <f>IF(C70&lt;&gt;B70,IF(AND(E70&gt;=20,E70&lt;35),"warning",IF(AND(E70&gt;=35,E70&lt;=50),"快要 O.O.C 啦",IF(E70&gt;50,"超出規格 O.O.C 啦",""))))</f>
        <v/>
      </c>
      <c r="I70" s="1" t="e">
        <f>IF(C70&lt;&gt;B70,IF(AND(F70&gt;=5,E70&lt;10),"warning",IF(AND(F70&gt;=10,F70&lt;=15),"快要 O.O.C 啦",IF(F70&gt;15,"超出規格 O.O.C 啦",""))))</f>
        <v>#N/A</v>
      </c>
    </row>
    <row r="71" spans="1:9">
      <c r="A71" s="1" t="s">
        <v>15</v>
      </c>
      <c r="B71" s="3">
        <v>44906.183530092596</v>
      </c>
      <c r="C71" s="1" t="s">
        <v>7</v>
      </c>
      <c r="D71" s="4" t="str">
        <f>CONCATENATE(B71,RIGHT(C71,2))</f>
        <v>44906.1835300926C1</v>
      </c>
      <c r="E71" s="1">
        <v>0</v>
      </c>
      <c r="F71" s="4" t="e">
        <f>VLOOKUP(D71,'LP-T2 大顆的'!D:E,2)</f>
        <v>#N/A</v>
      </c>
      <c r="G71" s="1" t="s">
        <v>11</v>
      </c>
      <c r="H71" s="1" t="str">
        <f>IF(C71&lt;&gt;B71,IF(AND(E71&gt;=20,E71&lt;35),"warning",IF(AND(E71&gt;=35,E71&lt;=50),"快要 O.O.C 啦",IF(E71&gt;50,"超出規格 O.O.C 啦",""))))</f>
        <v/>
      </c>
      <c r="I71" s="1" t="e">
        <f>IF(C71&lt;&gt;B71,IF(AND(F71&gt;=5,E71&lt;10),"warning",IF(AND(F71&gt;=10,F71&lt;=15),"快要 O.O.C 啦",IF(F71&gt;15,"超出規格 O.O.C 啦",""))))</f>
        <v>#N/A</v>
      </c>
    </row>
    <row r="72" spans="1:9">
      <c r="A72" s="1" t="s">
        <v>14</v>
      </c>
      <c r="B72" s="3">
        <v>44906.17114583333</v>
      </c>
      <c r="C72" s="1" t="s">
        <v>7</v>
      </c>
      <c r="D72" s="4" t="str">
        <f>CONCATENATE(B72,RIGHT(C72,2))</f>
        <v>44906.1711458333C1</v>
      </c>
      <c r="E72" s="1">
        <v>0</v>
      </c>
      <c r="F72" s="4" t="e">
        <f>VLOOKUP(D72,'LP-T2 大顆的'!D:E,2)</f>
        <v>#N/A</v>
      </c>
      <c r="G72" s="1" t="s">
        <v>11</v>
      </c>
      <c r="H72" s="1" t="str">
        <f>IF(C72&lt;&gt;B72,IF(AND(E72&gt;=20,E72&lt;35),"warning",IF(AND(E72&gt;=35,E72&lt;=50),"快要 O.O.C 啦",IF(E72&gt;50,"超出規格 O.O.C 啦",""))))</f>
        <v/>
      </c>
      <c r="I72" s="1" t="e">
        <f>IF(C72&lt;&gt;B72,IF(AND(F72&gt;=5,E72&lt;10),"warning",IF(AND(F72&gt;=10,F72&lt;=15),"快要 O.O.C 啦",IF(F72&gt;15,"超出規格 O.O.C 啦",""))))</f>
        <v>#N/A</v>
      </c>
    </row>
    <row r="73" spans="1:9">
      <c r="A73" s="1" t="s">
        <v>4</v>
      </c>
      <c r="B73" s="3">
        <v>44906.16982638889</v>
      </c>
      <c r="C73" s="1" t="s">
        <v>5</v>
      </c>
      <c r="D73" s="4" t="str">
        <f>CONCATENATE(B73,RIGHT(C73,2))</f>
        <v>44906.1698263889C6</v>
      </c>
      <c r="E73" s="1">
        <v>0</v>
      </c>
      <c r="F73" s="4" t="e">
        <f>VLOOKUP(D73,'LP-T2 大顆的'!D:E,2)</f>
        <v>#N/A</v>
      </c>
      <c r="G73" s="1" t="s">
        <v>11</v>
      </c>
      <c r="H73" s="1" t="str">
        <f>IF(C73&lt;&gt;B73,IF(AND(E73&gt;=20,E73&lt;35),"warning",IF(AND(E73&gt;=35,E73&lt;=50),"快要 O.O.C 啦",IF(E73&gt;50,"超出規格 O.O.C 啦",""))))</f>
        <v/>
      </c>
      <c r="I73" s="1" t="e">
        <f>IF(C73&lt;&gt;B73,IF(AND(F73&gt;=5,E73&lt;10),"warning",IF(AND(F73&gt;=10,F73&lt;=15),"快要 O.O.C 啦",IF(F73&gt;15,"超出規格 O.O.C 啦",""))))</f>
        <v>#N/A</v>
      </c>
    </row>
    <row r="74" spans="1:9">
      <c r="A74" s="1" t="s">
        <v>4</v>
      </c>
      <c r="B74" s="3">
        <v>44906.16982638889</v>
      </c>
      <c r="C74" s="1" t="s">
        <v>7</v>
      </c>
      <c r="D74" s="4" t="str">
        <f>CONCATENATE(B74,RIGHT(C74,2))</f>
        <v>44906.1698263889C1</v>
      </c>
      <c r="E74" s="1">
        <v>0</v>
      </c>
      <c r="F74" s="4" t="e">
        <f>VLOOKUP(D74,'LP-T2 大顆的'!D:E,2)</f>
        <v>#N/A</v>
      </c>
      <c r="G74" s="1" t="s">
        <v>11</v>
      </c>
      <c r="H74" s="1" t="str">
        <f>IF(C74&lt;&gt;B74,IF(AND(E74&gt;=20,E74&lt;35),"warning",IF(AND(E74&gt;=35,E74&lt;=50),"快要 O.O.C 啦",IF(E74&gt;50,"超出規格 O.O.C 啦",""))))</f>
        <v/>
      </c>
      <c r="I74" s="1" t="e">
        <f>IF(C74&lt;&gt;B74,IF(AND(F74&gt;=5,E74&lt;10),"warning",IF(AND(F74&gt;=10,F74&lt;=15),"快要 O.O.C 啦",IF(F74&gt;15,"超出規格 O.O.C 啦",""))))</f>
        <v>#N/A</v>
      </c>
    </row>
    <row r="75" spans="1:9">
      <c r="A75" s="1" t="s">
        <v>13</v>
      </c>
      <c r="B75" s="3">
        <v>44906.104027777779</v>
      </c>
      <c r="C75" s="1" t="s">
        <v>5</v>
      </c>
      <c r="D75" s="4" t="str">
        <f>CONCATENATE(B75,RIGHT(C75,2))</f>
        <v>44906.1040277778C6</v>
      </c>
      <c r="E75" s="1">
        <v>0</v>
      </c>
      <c r="F75" s="4" t="e">
        <f>VLOOKUP(D75,'LP-T2 大顆的'!D:E,2)</f>
        <v>#N/A</v>
      </c>
      <c r="G75" s="1" t="s">
        <v>11</v>
      </c>
      <c r="H75" s="1" t="str">
        <f>IF(C75&lt;&gt;B75,IF(AND(E75&gt;=20,E75&lt;35),"warning",IF(AND(E75&gt;=35,E75&lt;=50),"快要 O.O.C 啦",IF(E75&gt;50,"超出規格 O.O.C 啦",""))))</f>
        <v/>
      </c>
      <c r="I75" s="1" t="e">
        <f>IF(C75&lt;&gt;B75,IF(AND(F75&gt;=5,E75&lt;10),"warning",IF(AND(F75&gt;=10,F75&lt;=15),"快要 O.O.C 啦",IF(F75&gt;15,"超出規格 O.O.C 啦",""))))</f>
        <v>#N/A</v>
      </c>
    </row>
    <row r="76" spans="1:9">
      <c r="A76" s="1" t="s">
        <v>13</v>
      </c>
      <c r="B76" s="3">
        <v>44906.104027777779</v>
      </c>
      <c r="C76" s="1" t="s">
        <v>7</v>
      </c>
      <c r="D76" s="4" t="str">
        <f>CONCATENATE(B76,RIGHT(C76,2))</f>
        <v>44906.1040277778C1</v>
      </c>
      <c r="E76" s="1">
        <v>0</v>
      </c>
      <c r="F76" s="4" t="e">
        <f>VLOOKUP(D76,'LP-T2 大顆的'!D:E,2)</f>
        <v>#N/A</v>
      </c>
      <c r="G76" s="1" t="s">
        <v>11</v>
      </c>
      <c r="H76" s="1" t="str">
        <f>IF(C76&lt;&gt;B76,IF(AND(E76&gt;=20,E76&lt;35),"warning",IF(AND(E76&gt;=35,E76&lt;=50),"快要 O.O.C 啦",IF(E76&gt;50,"超出規格 O.O.C 啦",""))))</f>
        <v/>
      </c>
      <c r="I76" s="1" t="e">
        <f>IF(C76&lt;&gt;B76,IF(AND(F76&gt;=5,E76&lt;10),"warning",IF(AND(F76&gt;=10,F76&lt;=15),"快要 O.O.C 啦",IF(F76&gt;15,"超出規格 O.O.C 啦",""))))</f>
        <v>#N/A</v>
      </c>
    </row>
    <row r="77" spans="1:9">
      <c r="A77" s="1" t="s">
        <v>17</v>
      </c>
      <c r="B77" s="3">
        <v>44906.098298611112</v>
      </c>
      <c r="C77" s="1" t="s">
        <v>5</v>
      </c>
      <c r="D77" s="4" t="str">
        <f>CONCATENATE(B77,RIGHT(C77,2))</f>
        <v>44906.0982986111C6</v>
      </c>
      <c r="E77" s="1">
        <v>0</v>
      </c>
      <c r="F77" s="4" t="e">
        <f>VLOOKUP(D77,'LP-T2 大顆的'!D:E,2)</f>
        <v>#N/A</v>
      </c>
      <c r="G77" s="1" t="s">
        <v>11</v>
      </c>
      <c r="H77" s="1" t="str">
        <f>IF(C77&lt;&gt;B77,IF(AND(E77&gt;=20,E77&lt;35),"warning",IF(AND(E77&gt;=35,E77&lt;=50),"快要 O.O.C 啦",IF(E77&gt;50,"超出規格 O.O.C 啦",""))))</f>
        <v/>
      </c>
      <c r="I77" s="1" t="e">
        <f>IF(C77&lt;&gt;B77,IF(AND(F77&gt;=5,E77&lt;10),"warning",IF(AND(F77&gt;=10,F77&lt;=15),"快要 O.O.C 啦",IF(F77&gt;15,"超出規格 O.O.C 啦",""))))</f>
        <v>#N/A</v>
      </c>
    </row>
    <row r="78" spans="1:9">
      <c r="A78" s="1" t="s">
        <v>17</v>
      </c>
      <c r="B78" s="3">
        <v>44906.098298611112</v>
      </c>
      <c r="C78" s="1" t="s">
        <v>7</v>
      </c>
      <c r="D78" s="4" t="str">
        <f>CONCATENATE(B78,RIGHT(C78,2))</f>
        <v>44906.0982986111C1</v>
      </c>
      <c r="E78" s="1">
        <v>0</v>
      </c>
      <c r="F78" s="4" t="e">
        <f>VLOOKUP(D78,'LP-T2 大顆的'!D:E,2)</f>
        <v>#N/A</v>
      </c>
      <c r="G78" s="1" t="s">
        <v>11</v>
      </c>
      <c r="H78" s="1" t="str">
        <f>IF(C78&lt;&gt;B78,IF(AND(E78&gt;=20,E78&lt;35),"warning",IF(AND(E78&gt;=35,E78&lt;=50),"快要 O.O.C 啦",IF(E78&gt;50,"超出規格 O.O.C 啦",""))))</f>
        <v/>
      </c>
      <c r="I78" s="1" t="e">
        <f>IF(C78&lt;&gt;B78,IF(AND(F78&gt;=5,E78&lt;10),"warning",IF(AND(F78&gt;=10,F78&lt;=15),"快要 O.O.C 啦",IF(F78&gt;15,"超出規格 O.O.C 啦",""))))</f>
        <v>#N/A</v>
      </c>
    </row>
    <row r="79" spans="1:9">
      <c r="A79" s="1" t="s">
        <v>12</v>
      </c>
      <c r="B79" s="3">
        <v>44906.086145833331</v>
      </c>
      <c r="C79" s="1" t="s">
        <v>5</v>
      </c>
      <c r="D79" s="4" t="str">
        <f>CONCATENATE(B79,RIGHT(C79,2))</f>
        <v>44906.0861458333C6</v>
      </c>
      <c r="E79" s="1">
        <v>0</v>
      </c>
      <c r="F79" s="4" t="e">
        <f>VLOOKUP(D79,'LP-T2 大顆的'!D:E,2)</f>
        <v>#N/A</v>
      </c>
      <c r="G79" s="1" t="s">
        <v>11</v>
      </c>
      <c r="H79" s="1" t="str">
        <f>IF(C79&lt;&gt;B79,IF(AND(E79&gt;=20,E79&lt;35),"warning",IF(AND(E79&gt;=35,E79&lt;=50),"快要 O.O.C 啦",IF(E79&gt;50,"超出規格 O.O.C 啦",""))))</f>
        <v/>
      </c>
      <c r="I79" s="1" t="e">
        <f>IF(C79&lt;&gt;B79,IF(AND(F79&gt;=5,E79&lt;10),"warning",IF(AND(F79&gt;=10,F79&lt;=15),"快要 O.O.C 啦",IF(F79&gt;15,"超出規格 O.O.C 啦",""))))</f>
        <v>#N/A</v>
      </c>
    </row>
    <row r="80" spans="1:9">
      <c r="A80" s="1" t="s">
        <v>12</v>
      </c>
      <c r="B80" s="3">
        <v>44906.086145833331</v>
      </c>
      <c r="C80" s="1" t="s">
        <v>7</v>
      </c>
      <c r="D80" s="4" t="str">
        <f>CONCATENATE(B80,RIGHT(C80,2))</f>
        <v>44906.0861458333C1</v>
      </c>
      <c r="E80" s="1">
        <v>0</v>
      </c>
      <c r="F80" s="4" t="e">
        <f>VLOOKUP(D80,'LP-T2 大顆的'!D:E,2)</f>
        <v>#N/A</v>
      </c>
      <c r="G80" s="1" t="s">
        <v>11</v>
      </c>
      <c r="H80" s="1" t="str">
        <f>IF(C80&lt;&gt;B80,IF(AND(E80&gt;=20,E80&lt;35),"warning",IF(AND(E80&gt;=35,E80&lt;=50),"快要 O.O.C 啦",IF(E80&gt;50,"超出規格 O.O.C 啦",""))))</f>
        <v/>
      </c>
      <c r="I80" s="1" t="e">
        <f>IF(C80&lt;&gt;B80,IF(AND(F80&gt;=5,E80&lt;10),"warning",IF(AND(F80&gt;=10,F80&lt;=15),"快要 O.O.C 啦",IF(F80&gt;15,"超出規格 O.O.C 啦",""))))</f>
        <v>#N/A</v>
      </c>
    </row>
    <row r="81" spans="1:9">
      <c r="A81" s="1" t="s">
        <v>14</v>
      </c>
      <c r="B81" s="3">
        <v>44906.018090277779</v>
      </c>
      <c r="C81" s="1" t="s">
        <v>6</v>
      </c>
      <c r="D81" s="4" t="str">
        <f>CONCATENATE(B81,RIGHT(C81,2))</f>
        <v>44906.0180902778C4</v>
      </c>
      <c r="E81" s="1">
        <v>0</v>
      </c>
      <c r="F81" s="4" t="e">
        <f>VLOOKUP(D81,'LP-T2 大顆的'!D:E,2)</f>
        <v>#N/A</v>
      </c>
      <c r="G81" s="1" t="s">
        <v>11</v>
      </c>
      <c r="H81" s="1" t="str">
        <f>IF(C81&lt;&gt;B81,IF(AND(E81&gt;=20,E81&lt;35),"warning",IF(AND(E81&gt;=35,E81&lt;=50),"快要 O.O.C 啦",IF(E81&gt;50,"超出規格 O.O.C 啦",""))))</f>
        <v/>
      </c>
      <c r="I81" s="1" t="e">
        <f>IF(C81&lt;&gt;B81,IF(AND(F81&gt;=5,E81&lt;10),"warning",IF(AND(F81&gt;=10,F81&lt;=15),"快要 O.O.C 啦",IF(F81&gt;15,"超出規格 O.O.C 啦",""))))</f>
        <v>#N/A</v>
      </c>
    </row>
    <row r="82" spans="1:9">
      <c r="A82" s="1" t="s">
        <v>14</v>
      </c>
      <c r="B82" s="3">
        <v>44906.018090277779</v>
      </c>
      <c r="C82" s="1" t="s">
        <v>7</v>
      </c>
      <c r="D82" s="4" t="str">
        <f>CONCATENATE(B82,RIGHT(C82,2))</f>
        <v>44906.0180902778C1</v>
      </c>
      <c r="E82" s="1">
        <v>0</v>
      </c>
      <c r="F82" s="4" t="e">
        <f>VLOOKUP(D82,'LP-T2 大顆的'!D:E,2)</f>
        <v>#N/A</v>
      </c>
      <c r="G82" s="1" t="s">
        <v>11</v>
      </c>
      <c r="H82" s="1" t="str">
        <f>IF(C82&lt;&gt;B82,IF(AND(E82&gt;=20,E82&lt;35),"warning",IF(AND(E82&gt;=35,E82&lt;=50),"快要 O.O.C 啦",IF(E82&gt;50,"超出規格 O.O.C 啦",""))))</f>
        <v/>
      </c>
      <c r="I82" s="1" t="e">
        <f>IF(C82&lt;&gt;B82,IF(AND(F82&gt;=5,E82&lt;10),"warning",IF(AND(F82&gt;=10,F82&lt;=15),"快要 O.O.C 啦",IF(F82&gt;15,"超出規格 O.O.C 啦",""))))</f>
        <v>#N/A</v>
      </c>
    </row>
    <row r="83" spans="1:9">
      <c r="A83" s="1" t="s">
        <v>16</v>
      </c>
      <c r="B83" s="3">
        <v>44906.002476851849</v>
      </c>
      <c r="C83" s="1" t="s">
        <v>5</v>
      </c>
      <c r="D83" s="4" t="str">
        <f>CONCATENATE(B83,RIGHT(C83,2))</f>
        <v>44906.0024768518C6</v>
      </c>
      <c r="E83" s="1">
        <v>0</v>
      </c>
      <c r="F83" s="4" t="e">
        <f>VLOOKUP(D83,'LP-T2 大顆的'!D:E,2)</f>
        <v>#N/A</v>
      </c>
      <c r="G83" s="1" t="s">
        <v>11</v>
      </c>
      <c r="H83" s="1" t="str">
        <f>IF(C83&lt;&gt;B83,IF(AND(E83&gt;=20,E83&lt;35),"warning",IF(AND(E83&gt;=35,E83&lt;=50),"快要 O.O.C 啦",IF(E83&gt;50,"超出規格 O.O.C 啦",""))))</f>
        <v/>
      </c>
      <c r="I83" s="1" t="e">
        <f>IF(C83&lt;&gt;B83,IF(AND(F83&gt;=5,E83&lt;10),"warning",IF(AND(F83&gt;=10,F83&lt;=15),"快要 O.O.C 啦",IF(F83&gt;15,"超出規格 O.O.C 啦",""))))</f>
        <v>#N/A</v>
      </c>
    </row>
    <row r="84" spans="1:9">
      <c r="A84" s="1" t="s">
        <v>16</v>
      </c>
      <c r="B84" s="3">
        <v>44906.002476851849</v>
      </c>
      <c r="C84" s="1" t="s">
        <v>7</v>
      </c>
      <c r="D84" s="4" t="str">
        <f>CONCATENATE(B84,RIGHT(C84,2))</f>
        <v>44906.0024768518C1</v>
      </c>
      <c r="E84" s="1">
        <v>0</v>
      </c>
      <c r="F84" s="4" t="e">
        <f>VLOOKUP(D84,'LP-T2 大顆的'!D:E,2)</f>
        <v>#N/A</v>
      </c>
      <c r="G84" s="1" t="s">
        <v>11</v>
      </c>
      <c r="H84" s="1" t="str">
        <f>IF(C84&lt;&gt;B84,IF(AND(E84&gt;=20,E84&lt;35),"warning",IF(AND(E84&gt;=35,E84&lt;=50),"快要 O.O.C 啦",IF(E84&gt;50,"超出規格 O.O.C 啦",""))))</f>
        <v/>
      </c>
      <c r="I84" s="1" t="e">
        <f>IF(C84&lt;&gt;B84,IF(AND(F84&gt;=5,E84&lt;10),"warning",IF(AND(F84&gt;=10,F84&lt;=15),"快要 O.O.C 啦",IF(F84&gt;15,"超出規格 O.O.C 啦",""))))</f>
        <v>#N/A</v>
      </c>
    </row>
    <row r="85" spans="1:9">
      <c r="A85" s="1" t="s">
        <v>15</v>
      </c>
      <c r="B85" s="3">
        <v>44905.997731481482</v>
      </c>
      <c r="C85" s="1" t="s">
        <v>5</v>
      </c>
      <c r="D85" s="4" t="str">
        <f>CONCATENATE(B85,RIGHT(C85,2))</f>
        <v>44905.9977314815C6</v>
      </c>
      <c r="E85" s="1">
        <v>0</v>
      </c>
      <c r="F85" s="4" t="e">
        <f>VLOOKUP(D85,'LP-T2 大顆的'!D:E,2)</f>
        <v>#N/A</v>
      </c>
      <c r="G85" s="1" t="s">
        <v>11</v>
      </c>
      <c r="H85" s="1" t="str">
        <f>IF(C85&lt;&gt;B85,IF(AND(E85&gt;=20,E85&lt;35),"warning",IF(AND(E85&gt;=35,E85&lt;=50),"快要 O.O.C 啦",IF(E85&gt;50,"超出規格 O.O.C 啦",""))))</f>
        <v/>
      </c>
      <c r="I85" s="1" t="e">
        <f>IF(C85&lt;&gt;B85,IF(AND(F85&gt;=5,E85&lt;10),"warning",IF(AND(F85&gt;=10,F85&lt;=15),"快要 O.O.C 啦",IF(F85&gt;15,"超出規格 O.O.C 啦",""))))</f>
        <v>#N/A</v>
      </c>
    </row>
    <row r="86" spans="1:9">
      <c r="A86" s="1" t="s">
        <v>15</v>
      </c>
      <c r="B86" s="3">
        <v>44905.997731481482</v>
      </c>
      <c r="C86" s="1" t="s">
        <v>7</v>
      </c>
      <c r="D86" s="4" t="str">
        <f>CONCATENATE(B86,RIGHT(C86,2))</f>
        <v>44905.9977314815C1</v>
      </c>
      <c r="E86" s="1">
        <v>0</v>
      </c>
      <c r="F86" s="4" t="e">
        <f>VLOOKUP(D86,'LP-T2 大顆的'!D:E,2)</f>
        <v>#N/A</v>
      </c>
      <c r="G86" s="1" t="s">
        <v>11</v>
      </c>
      <c r="H86" s="1" t="str">
        <f>IF(C86&lt;&gt;B86,IF(AND(E86&gt;=20,E86&lt;35),"warning",IF(AND(E86&gt;=35,E86&lt;=50),"快要 O.O.C 啦",IF(E86&gt;50,"超出規格 O.O.C 啦",""))))</f>
        <v/>
      </c>
      <c r="I86" s="1" t="e">
        <f>IF(C86&lt;&gt;B86,IF(AND(F86&gt;=5,E86&lt;10),"warning",IF(AND(F86&gt;=10,F86&lt;=15),"快要 O.O.C 啦",IF(F86&gt;15,"超出規格 O.O.C 啦",""))))</f>
        <v>#N/A</v>
      </c>
    </row>
    <row r="87" spans="1:9">
      <c r="A87" s="1" t="s">
        <v>4</v>
      </c>
      <c r="B87" s="3">
        <v>44905.976076388892</v>
      </c>
      <c r="C87" s="1" t="s">
        <v>5</v>
      </c>
      <c r="D87" s="4" t="str">
        <f>CONCATENATE(B87,RIGHT(C87,2))</f>
        <v>44905.9760763889C6</v>
      </c>
      <c r="E87" s="1">
        <v>0</v>
      </c>
      <c r="F87" s="4" t="e">
        <f>VLOOKUP(D87,'LP-T2 大顆的'!D:E,2)</f>
        <v>#N/A</v>
      </c>
      <c r="G87" s="1" t="s">
        <v>11</v>
      </c>
      <c r="H87" s="1" t="str">
        <f>IF(C87&lt;&gt;B87,IF(AND(E87&gt;=20,E87&lt;35),"warning",IF(AND(E87&gt;=35,E87&lt;=50),"快要 O.O.C 啦",IF(E87&gt;50,"超出規格 O.O.C 啦",""))))</f>
        <v/>
      </c>
      <c r="I87" s="1" t="e">
        <f>IF(C87&lt;&gt;B87,IF(AND(F87&gt;=5,E87&lt;10),"warning",IF(AND(F87&gt;=10,F87&lt;=15),"快要 O.O.C 啦",IF(F87&gt;15,"超出規格 O.O.C 啦",""))))</f>
        <v>#N/A</v>
      </c>
    </row>
    <row r="88" spans="1:9">
      <c r="A88" s="1" t="s">
        <v>4</v>
      </c>
      <c r="B88" s="3">
        <v>44905.976076388892</v>
      </c>
      <c r="C88" s="1" t="s">
        <v>7</v>
      </c>
      <c r="D88" s="4" t="str">
        <f>CONCATENATE(B88,RIGHT(C88,2))</f>
        <v>44905.9760763889C1</v>
      </c>
      <c r="E88" s="1">
        <v>0</v>
      </c>
      <c r="F88" s="4" t="e">
        <f>VLOOKUP(D88,'LP-T2 大顆的'!D:E,2)</f>
        <v>#N/A</v>
      </c>
      <c r="G88" s="1" t="s">
        <v>11</v>
      </c>
      <c r="H88" s="1" t="str">
        <f>IF(C88&lt;&gt;B88,IF(AND(E88&gt;=20,E88&lt;35),"warning",IF(AND(E88&gt;=35,E88&lt;=50),"快要 O.O.C 啦",IF(E88&gt;50,"超出規格 O.O.C 啦",""))))</f>
        <v/>
      </c>
      <c r="I88" s="1" t="e">
        <f>IF(C88&lt;&gt;B88,IF(AND(F88&gt;=5,E88&lt;10),"warning",IF(AND(F88&gt;=10,F88&lt;=15),"快要 O.O.C 啦",IF(F88&gt;15,"超出規格 O.O.C 啦",""))))</f>
        <v>#N/A</v>
      </c>
    </row>
    <row r="89" spans="1:9">
      <c r="A89" s="1" t="s">
        <v>13</v>
      </c>
      <c r="B89" s="3">
        <v>44905.957812499997</v>
      </c>
      <c r="C89" s="1" t="s">
        <v>5</v>
      </c>
      <c r="D89" s="4" t="str">
        <f>CONCATENATE(B89,RIGHT(C89,2))</f>
        <v>44905.9578125C6</v>
      </c>
      <c r="E89" s="1">
        <v>0</v>
      </c>
      <c r="F89" s="4" t="e">
        <f>VLOOKUP(D89,'LP-T2 大顆的'!D:E,2)</f>
        <v>#N/A</v>
      </c>
      <c r="G89" s="1" t="s">
        <v>11</v>
      </c>
      <c r="H89" s="1" t="str">
        <f>IF(C89&lt;&gt;B89,IF(AND(E89&gt;=20,E89&lt;35),"warning",IF(AND(E89&gt;=35,E89&lt;=50),"快要 O.O.C 啦",IF(E89&gt;50,"超出規格 O.O.C 啦",""))))</f>
        <v/>
      </c>
      <c r="I89" s="1" t="e">
        <f>IF(C89&lt;&gt;B89,IF(AND(F89&gt;=5,E89&lt;10),"warning",IF(AND(F89&gt;=10,F89&lt;=15),"快要 O.O.C 啦",IF(F89&gt;15,"超出規格 O.O.C 啦",""))))</f>
        <v>#N/A</v>
      </c>
    </row>
    <row r="90" spans="1:9">
      <c r="A90" s="1" t="s">
        <v>13</v>
      </c>
      <c r="B90" s="3">
        <v>44905.957812499997</v>
      </c>
      <c r="C90" s="1" t="s">
        <v>7</v>
      </c>
      <c r="D90" s="4" t="str">
        <f>CONCATENATE(B90,RIGHT(C90,2))</f>
        <v>44905.9578125C1</v>
      </c>
      <c r="E90" s="1">
        <v>0</v>
      </c>
      <c r="F90" s="4" t="e">
        <f>VLOOKUP(D90,'LP-T2 大顆的'!D:E,2)</f>
        <v>#N/A</v>
      </c>
      <c r="G90" s="1" t="s">
        <v>11</v>
      </c>
      <c r="H90" s="1" t="str">
        <f>IF(C90&lt;&gt;B90,IF(AND(E90&gt;=20,E90&lt;35),"warning",IF(AND(E90&gt;=35,E90&lt;=50),"快要 O.O.C 啦",IF(E90&gt;50,"超出規格 O.O.C 啦",""))))</f>
        <v/>
      </c>
      <c r="I90" s="1" t="e">
        <f>IF(C90&lt;&gt;B90,IF(AND(F90&gt;=5,E90&lt;10),"warning",IF(AND(F90&gt;=10,F90&lt;=15),"快要 O.O.C 啦",IF(F90&gt;15,"超出規格 O.O.C 啦",""))))</f>
        <v>#N/A</v>
      </c>
    </row>
    <row r="91" spans="1:9">
      <c r="A91" s="1" t="s">
        <v>17</v>
      </c>
      <c r="B91" s="3">
        <v>44905.937881944446</v>
      </c>
      <c r="C91" s="1" t="s">
        <v>5</v>
      </c>
      <c r="D91" s="4" t="str">
        <f>CONCATENATE(B91,RIGHT(C91,2))</f>
        <v>44905.9378819444C6</v>
      </c>
      <c r="E91" s="1">
        <v>0</v>
      </c>
      <c r="F91" s="4" t="e">
        <f>VLOOKUP(D91,'LP-T2 大顆的'!D:E,2)</f>
        <v>#N/A</v>
      </c>
      <c r="G91" s="1" t="s">
        <v>11</v>
      </c>
      <c r="H91" s="1" t="str">
        <f>IF(C91&lt;&gt;B91,IF(AND(E91&gt;=20,E91&lt;35),"warning",IF(AND(E91&gt;=35,E91&lt;=50),"快要 O.O.C 啦",IF(E91&gt;50,"超出規格 O.O.C 啦",""))))</f>
        <v/>
      </c>
      <c r="I91" s="1" t="e">
        <f>IF(C91&lt;&gt;B91,IF(AND(F91&gt;=5,E91&lt;10),"warning",IF(AND(F91&gt;=10,F91&lt;=15),"快要 O.O.C 啦",IF(F91&gt;15,"超出規格 O.O.C 啦",""))))</f>
        <v>#N/A</v>
      </c>
    </row>
    <row r="92" spans="1:9">
      <c r="A92" s="1" t="s">
        <v>17</v>
      </c>
      <c r="B92" s="3">
        <v>44905.937881944446</v>
      </c>
      <c r="C92" s="1" t="s">
        <v>7</v>
      </c>
      <c r="D92" s="4" t="str">
        <f>CONCATENATE(B92,RIGHT(C92,2))</f>
        <v>44905.9378819444C1</v>
      </c>
      <c r="E92" s="1">
        <v>1</v>
      </c>
      <c r="F92" s="4" t="e">
        <f>VLOOKUP(D92,'LP-T2 大顆的'!D:E,2)</f>
        <v>#N/A</v>
      </c>
      <c r="G92" s="1" t="s">
        <v>11</v>
      </c>
      <c r="H92" s="1" t="str">
        <f>IF(C92&lt;&gt;B92,IF(AND(E92&gt;=20,E92&lt;35),"warning",IF(AND(E92&gt;=35,E92&lt;=50),"快要 O.O.C 啦",IF(E92&gt;50,"超出規格 O.O.C 啦",""))))</f>
        <v/>
      </c>
      <c r="I92" s="1" t="e">
        <f>IF(C92&lt;&gt;B92,IF(AND(F92&gt;=5,E92&lt;10),"warning",IF(AND(F92&gt;=10,F92&lt;=15),"快要 O.O.C 啦",IF(F92&gt;15,"超出規格 O.O.C 啦",""))))</f>
        <v>#N/A</v>
      </c>
    </row>
    <row r="93" spans="1:9">
      <c r="A93" s="1" t="s">
        <v>12</v>
      </c>
      <c r="B93" s="3">
        <v>44905.918506944443</v>
      </c>
      <c r="C93" s="1" t="s">
        <v>7</v>
      </c>
      <c r="D93" s="4" t="str">
        <f>CONCATENATE(B93,RIGHT(C93,2))</f>
        <v>44905.9185069444C1</v>
      </c>
      <c r="E93" s="1">
        <v>2</v>
      </c>
      <c r="F93" s="4" t="e">
        <f>VLOOKUP(D93,'LP-T2 大顆的'!D:E,2)</f>
        <v>#N/A</v>
      </c>
      <c r="G93" s="1" t="s">
        <v>11</v>
      </c>
      <c r="H93" s="1" t="str">
        <f>IF(C93&lt;&gt;B93,IF(AND(E93&gt;=20,E93&lt;35),"warning",IF(AND(E93&gt;=35,E93&lt;=50),"快要 O.O.C 啦",IF(E93&gt;50,"超出規格 O.O.C 啦",""))))</f>
        <v/>
      </c>
      <c r="I93" s="1" t="e">
        <f>IF(C93&lt;&gt;B93,IF(AND(F93&gt;=5,E93&lt;10),"warning",IF(AND(F93&gt;=10,F93&lt;=15),"快要 O.O.C 啦",IF(F93&gt;15,"超出規格 O.O.C 啦",""))))</f>
        <v>#N/A</v>
      </c>
    </row>
    <row r="94" spans="1:9">
      <c r="A94" s="1" t="s">
        <v>14</v>
      </c>
      <c r="B94" s="3">
        <v>44905.859317129631</v>
      </c>
      <c r="C94" s="1" t="s">
        <v>6</v>
      </c>
      <c r="D94" s="4" t="str">
        <f>CONCATENATE(B94,RIGHT(C94,2))</f>
        <v>44905.8593171296C4</v>
      </c>
      <c r="E94" s="1">
        <v>0</v>
      </c>
      <c r="F94" s="4" t="e">
        <f>VLOOKUP(D94,'LP-T2 大顆的'!D:E,2)</f>
        <v>#N/A</v>
      </c>
      <c r="G94" s="1" t="s">
        <v>11</v>
      </c>
      <c r="H94" s="1" t="str">
        <f>IF(C94&lt;&gt;B94,IF(AND(E94&gt;=20,E94&lt;35),"warning",IF(AND(E94&gt;=35,E94&lt;=50),"快要 O.O.C 啦",IF(E94&gt;50,"超出規格 O.O.C 啦",""))))</f>
        <v/>
      </c>
      <c r="I94" s="1" t="e">
        <f>IF(C94&lt;&gt;B94,IF(AND(F94&gt;=5,E94&lt;10),"warning",IF(AND(F94&gt;=10,F94&lt;=15),"快要 O.O.C 啦",IF(F94&gt;15,"超出規格 O.O.C 啦",""))))</f>
        <v>#N/A</v>
      </c>
    </row>
    <row r="95" spans="1:9">
      <c r="A95" s="1" t="s">
        <v>14</v>
      </c>
      <c r="B95" s="3">
        <v>44905.859317129631</v>
      </c>
      <c r="C95" s="1" t="s">
        <v>7</v>
      </c>
      <c r="D95" s="4" t="str">
        <f>CONCATENATE(B95,RIGHT(C95,2))</f>
        <v>44905.8593171296C1</v>
      </c>
      <c r="E95" s="1">
        <v>1</v>
      </c>
      <c r="F95" s="4" t="e">
        <f>VLOOKUP(D95,'LP-T2 大顆的'!D:E,2)</f>
        <v>#N/A</v>
      </c>
      <c r="G95" s="1" t="s">
        <v>11</v>
      </c>
      <c r="H95" s="1" t="str">
        <f>IF(C95&lt;&gt;B95,IF(AND(E95&gt;=20,E95&lt;35),"warning",IF(AND(E95&gt;=35,E95&lt;=50),"快要 O.O.C 啦",IF(E95&gt;50,"超出規格 O.O.C 啦",""))))</f>
        <v/>
      </c>
      <c r="I95" s="1" t="e">
        <f>IF(C95&lt;&gt;B95,IF(AND(F95&gt;=5,E95&lt;10),"warning",IF(AND(F95&gt;=10,F95&lt;=15),"快要 O.O.C 啦",IF(F95&gt;15,"超出規格 O.O.C 啦",""))))</f>
        <v>#N/A</v>
      </c>
    </row>
    <row r="96" spans="1:9">
      <c r="A96" s="1" t="s">
        <v>15</v>
      </c>
      <c r="B96" s="3">
        <v>44905.821585648147</v>
      </c>
      <c r="C96" s="1" t="s">
        <v>6</v>
      </c>
      <c r="D96" s="4" t="str">
        <f>CONCATENATE(B96,RIGHT(C96,2))</f>
        <v>44905.8215856481C4</v>
      </c>
      <c r="E96" s="1">
        <v>0</v>
      </c>
      <c r="F96" s="4" t="e">
        <f>VLOOKUP(D96,'LP-T2 大顆的'!D:E,2)</f>
        <v>#N/A</v>
      </c>
      <c r="G96" s="1" t="s">
        <v>11</v>
      </c>
      <c r="H96" s="1" t="str">
        <f>IF(C96&lt;&gt;B96,IF(AND(E96&gt;=20,E96&lt;35),"warning",IF(AND(E96&gt;=35,E96&lt;=50),"快要 O.O.C 啦",IF(E96&gt;50,"超出規格 O.O.C 啦",""))))</f>
        <v/>
      </c>
      <c r="I96" s="1" t="e">
        <f>IF(C96&lt;&gt;B96,IF(AND(F96&gt;=5,E96&lt;10),"warning",IF(AND(F96&gt;=10,F96&lt;=15),"快要 O.O.C 啦",IF(F96&gt;15,"超出規格 O.O.C 啦",""))))</f>
        <v>#N/A</v>
      </c>
    </row>
    <row r="97" spans="1:9">
      <c r="A97" s="1" t="s">
        <v>4</v>
      </c>
      <c r="B97" s="3">
        <v>44905.793703703705</v>
      </c>
      <c r="C97" s="1" t="s">
        <v>6</v>
      </c>
      <c r="D97" s="4" t="str">
        <f>CONCATENATE(B97,RIGHT(C97,2))</f>
        <v>44905.7937037037C4</v>
      </c>
      <c r="E97" s="1">
        <v>2</v>
      </c>
      <c r="F97" s="4" t="e">
        <f>VLOOKUP(D97,'LP-T2 大顆的'!D:E,2)</f>
        <v>#N/A</v>
      </c>
      <c r="G97" s="1" t="s">
        <v>11</v>
      </c>
      <c r="H97" s="1" t="str">
        <f>IF(C97&lt;&gt;B97,IF(AND(E97&gt;=20,E97&lt;35),"warning",IF(AND(E97&gt;=35,E97&lt;=50),"快要 O.O.C 啦",IF(E97&gt;50,"超出規格 O.O.C 啦",""))))</f>
        <v/>
      </c>
      <c r="I97" s="1" t="e">
        <f>IF(C97&lt;&gt;B97,IF(AND(F97&gt;=5,E97&lt;10),"warning",IF(AND(F97&gt;=10,F97&lt;=15),"快要 O.O.C 啦",IF(F97&gt;15,"超出規格 O.O.C 啦",""))))</f>
        <v>#N/A</v>
      </c>
    </row>
    <row r="98" spans="1:9">
      <c r="A98" s="1" t="s">
        <v>13</v>
      </c>
      <c r="B98" s="3">
        <v>44905.778993055559</v>
      </c>
      <c r="C98" s="1" t="s">
        <v>6</v>
      </c>
      <c r="D98" s="4" t="str">
        <f>CONCATENATE(B98,RIGHT(C98,2))</f>
        <v>44905.7789930556C4</v>
      </c>
      <c r="E98" s="1">
        <v>1</v>
      </c>
      <c r="F98" s="4" t="e">
        <f>VLOOKUP(D98,'LP-T2 大顆的'!D:E,2)</f>
        <v>#N/A</v>
      </c>
      <c r="G98" s="1" t="s">
        <v>11</v>
      </c>
      <c r="H98" s="1" t="str">
        <f>IF(C98&lt;&gt;B98,IF(AND(E98&gt;=20,E98&lt;35),"warning",IF(AND(E98&gt;=35,E98&lt;=50),"快要 O.O.C 啦",IF(E98&gt;50,"超出規格 O.O.C 啦",""))))</f>
        <v/>
      </c>
      <c r="I98" s="1" t="e">
        <f>IF(C98&lt;&gt;B98,IF(AND(F98&gt;=5,E98&lt;10),"warning",IF(AND(F98&gt;=10,F98&lt;=15),"快要 O.O.C 啦",IF(F98&gt;15,"超出規格 O.O.C 啦",""))))</f>
        <v>#N/A</v>
      </c>
    </row>
    <row r="99" spans="1:9">
      <c r="A99" s="1" t="s">
        <v>17</v>
      </c>
      <c r="B99" s="3">
        <v>44905.749664351853</v>
      </c>
      <c r="C99" s="1" t="s">
        <v>6</v>
      </c>
      <c r="D99" s="4" t="str">
        <f>CONCATENATE(B99,RIGHT(C99,2))</f>
        <v>44905.7496643519C4</v>
      </c>
      <c r="E99" s="1">
        <v>0</v>
      </c>
      <c r="F99" s="4" t="e">
        <f>VLOOKUP(D99,'LP-T2 大顆的'!D:E,2)</f>
        <v>#N/A</v>
      </c>
      <c r="G99" s="1" t="s">
        <v>11</v>
      </c>
      <c r="H99" s="1" t="str">
        <f>IF(C99&lt;&gt;B99,IF(AND(E99&gt;=20,E99&lt;35),"warning",IF(AND(E99&gt;=35,E99&lt;=50),"快要 O.O.C 啦",IF(E99&gt;50,"超出規格 O.O.C 啦",""))))</f>
        <v/>
      </c>
      <c r="I99" s="1" t="e">
        <f>IF(C99&lt;&gt;B99,IF(AND(F99&gt;=5,E99&lt;10),"warning",IF(AND(F99&gt;=10,F99&lt;=15),"快要 O.O.C 啦",IF(F99&gt;15,"超出規格 O.O.C 啦",""))))</f>
        <v>#N/A</v>
      </c>
    </row>
    <row r="100" spans="1:9">
      <c r="A100" s="1" t="s">
        <v>12</v>
      </c>
      <c r="B100" s="3">
        <v>44905.737071759257</v>
      </c>
      <c r="C100" s="1" t="s">
        <v>6</v>
      </c>
      <c r="D100" s="4" t="str">
        <f>CONCATENATE(B100,RIGHT(C100,2))</f>
        <v>44905.7370717593C4</v>
      </c>
      <c r="E100" s="1">
        <v>2</v>
      </c>
      <c r="F100" s="4" t="e">
        <f>VLOOKUP(D100,'LP-T2 大顆的'!D:E,2)</f>
        <v>#N/A</v>
      </c>
      <c r="G100" s="1" t="s">
        <v>11</v>
      </c>
      <c r="H100" s="1" t="str">
        <f>IF(C100&lt;&gt;B100,IF(AND(E100&gt;=20,E100&lt;35),"warning",IF(AND(E100&gt;=35,E100&lt;=50),"快要 O.O.C 啦",IF(E100&gt;50,"超出規格 O.O.C 啦",""))))</f>
        <v/>
      </c>
      <c r="I100" s="1" t="e">
        <f>IF(C100&lt;&gt;B100,IF(AND(F100&gt;=5,E100&lt;10),"warning",IF(AND(F100&gt;=10,F100&lt;=15),"快要 O.O.C 啦",IF(F100&gt;15,"超出規格 O.O.C 啦",""))))</f>
        <v>#N/A</v>
      </c>
    </row>
    <row r="101" spans="1:9">
      <c r="A101" s="1" t="s">
        <v>14</v>
      </c>
      <c r="B101" s="3">
        <v>44905.711689814816</v>
      </c>
      <c r="C101" s="1" t="s">
        <v>6</v>
      </c>
      <c r="D101" s="4" t="str">
        <f>CONCATENATE(B101,RIGHT(C101,2))</f>
        <v>44905.7116898148C4</v>
      </c>
      <c r="E101" s="1">
        <v>1</v>
      </c>
      <c r="F101" s="4" t="e">
        <f>VLOOKUP(D101,'LP-T2 大顆的'!D:E,2)</f>
        <v>#N/A</v>
      </c>
      <c r="G101" s="1" t="s">
        <v>11</v>
      </c>
      <c r="H101" s="1" t="str">
        <f>IF(C101&lt;&gt;B101,IF(AND(E101&gt;=20,E101&lt;35),"warning",IF(AND(E101&gt;=35,E101&lt;=50),"快要 O.O.C 啦",IF(E101&gt;50,"超出規格 O.O.C 啦",""))))</f>
        <v/>
      </c>
      <c r="I101" s="1" t="e">
        <f>IF(C101&lt;&gt;B101,IF(AND(F101&gt;=5,E101&lt;10),"warning",IF(AND(F101&gt;=10,F101&lt;=15),"快要 O.O.C 啦",IF(F101&gt;15,"超出規格 O.O.C 啦",""))))</f>
        <v>#N/A</v>
      </c>
    </row>
    <row r="102" spans="1:9">
      <c r="A102" s="1" t="s">
        <v>15</v>
      </c>
      <c r="B102" s="3">
        <v>44905.660416666666</v>
      </c>
      <c r="C102" s="1" t="s">
        <v>6</v>
      </c>
      <c r="D102" s="4" t="str">
        <f>CONCATENATE(B102,RIGHT(C102,2))</f>
        <v>44905.6604166667C4</v>
      </c>
      <c r="E102" s="1">
        <v>1</v>
      </c>
      <c r="F102" s="4" t="e">
        <f>VLOOKUP(D102,'LP-T2 大顆的'!D:E,2)</f>
        <v>#N/A</v>
      </c>
      <c r="G102" s="1" t="s">
        <v>11</v>
      </c>
      <c r="H102" s="1" t="str">
        <f>IF(C102&lt;&gt;B102,IF(AND(E102&gt;=20,E102&lt;35),"warning",IF(AND(E102&gt;=35,E102&lt;=50),"快要 O.O.C 啦",IF(E102&gt;50,"超出規格 O.O.C 啦",""))))</f>
        <v/>
      </c>
      <c r="I102" s="1" t="e">
        <f>IF(C102&lt;&gt;B102,IF(AND(F102&gt;=5,E102&lt;10),"warning",IF(AND(F102&gt;=10,F102&lt;=15),"快要 O.O.C 啦",IF(F102&gt;15,"超出規格 O.O.C 啦",""))))</f>
        <v>#N/A</v>
      </c>
    </row>
    <row r="103" spans="1:9">
      <c r="A103" s="1" t="s">
        <v>4</v>
      </c>
      <c r="B103" s="3">
        <v>44905.620428240742</v>
      </c>
      <c r="C103" s="1" t="s">
        <v>6</v>
      </c>
      <c r="D103" s="4" t="str">
        <f>CONCATENATE(B103,RIGHT(C103,2))</f>
        <v>44905.6204282407C4</v>
      </c>
      <c r="E103" s="1">
        <v>10</v>
      </c>
      <c r="F103" s="4" t="e">
        <f>VLOOKUP(D103,'LP-T2 大顆的'!D:E,2)</f>
        <v>#N/A</v>
      </c>
      <c r="G103" s="1" t="s">
        <v>11</v>
      </c>
      <c r="H103" s="1" t="str">
        <f>IF(C103&lt;&gt;B103,IF(AND(E103&gt;=20,E103&lt;35),"warning",IF(AND(E103&gt;=35,E103&lt;=50),"快要 O.O.C 啦",IF(E103&gt;50,"超出規格 O.O.C 啦",""))))</f>
        <v/>
      </c>
      <c r="I103" s="1" t="e">
        <f>IF(C103&lt;&gt;B103,IF(AND(F103&gt;=5,E103&lt;10),"warning",IF(AND(F103&gt;=10,F103&lt;=15),"快要 O.O.C 啦",IF(F103&gt;15,"超出規格 O.O.C 啦",""))))</f>
        <v>#N/A</v>
      </c>
    </row>
    <row r="104" spans="1:9">
      <c r="A104" s="1" t="s">
        <v>13</v>
      </c>
      <c r="B104" s="3">
        <v>44905.578796296293</v>
      </c>
      <c r="C104" s="1" t="s">
        <v>6</v>
      </c>
      <c r="D104" s="4" t="str">
        <f>CONCATENATE(B104,RIGHT(C104,2))</f>
        <v>44905.5787962963C4</v>
      </c>
      <c r="E104" s="1">
        <v>0</v>
      </c>
      <c r="F104" s="4" t="e">
        <f>VLOOKUP(D104,'LP-T2 大顆的'!D:E,2)</f>
        <v>#N/A</v>
      </c>
      <c r="G104" s="1" t="s">
        <v>11</v>
      </c>
      <c r="H104" s="1" t="str">
        <f>IF(C104&lt;&gt;B104,IF(AND(E104&gt;=20,E104&lt;35),"warning",IF(AND(E104&gt;=35,E104&lt;=50),"快要 O.O.C 啦",IF(E104&gt;50,"超出規格 O.O.C 啦",""))))</f>
        <v/>
      </c>
      <c r="I104" s="1" t="e">
        <f>IF(C104&lt;&gt;B104,IF(AND(F104&gt;=5,E104&lt;10),"warning",IF(AND(F104&gt;=10,F104&lt;=15),"快要 O.O.C 啦",IF(F104&gt;15,"超出規格 O.O.C 啦",""))))</f>
        <v>#N/A</v>
      </c>
    </row>
    <row r="105" spans="1:9">
      <c r="A105" s="1" t="s">
        <v>12</v>
      </c>
      <c r="B105" s="3">
        <v>44905.545555555553</v>
      </c>
      <c r="C105" s="1" t="s">
        <v>6</v>
      </c>
      <c r="D105" s="4" t="str">
        <f>CONCATENATE(B105,RIGHT(C105,2))</f>
        <v>44905.5455555556C4</v>
      </c>
      <c r="E105" s="1">
        <v>2</v>
      </c>
      <c r="F105" s="4" t="e">
        <f>VLOOKUP(D105,'LP-T2 大顆的'!D:E,2)</f>
        <v>#N/A</v>
      </c>
      <c r="G105" s="1" t="s">
        <v>11</v>
      </c>
      <c r="H105" s="1" t="str">
        <f>IF(C105&lt;&gt;B105,IF(AND(E105&gt;=20,E105&lt;35),"warning",IF(AND(E105&gt;=35,E105&lt;=50),"快要 O.O.C 啦",IF(E105&gt;50,"超出規格 O.O.C 啦",""))))</f>
        <v/>
      </c>
      <c r="I105" s="1" t="e">
        <f>IF(C105&lt;&gt;B105,IF(AND(F105&gt;=5,E105&lt;10),"warning",IF(AND(F105&gt;=10,F105&lt;=15),"快要 O.O.C 啦",IF(F105&gt;15,"超出規格 O.O.C 啦",""))))</f>
        <v>#N/A</v>
      </c>
    </row>
    <row r="106" spans="1:9">
      <c r="A106" s="1" t="s">
        <v>14</v>
      </c>
      <c r="B106" s="3">
        <v>44905.534201388888</v>
      </c>
      <c r="C106" s="1" t="s">
        <v>6</v>
      </c>
      <c r="D106" s="4" t="str">
        <f>CONCATENATE(B106,RIGHT(C106,2))</f>
        <v>44905.5342013889C4</v>
      </c>
      <c r="E106" s="1">
        <v>1</v>
      </c>
      <c r="F106" s="4" t="e">
        <f>VLOOKUP(D106,'LP-T2 大顆的'!D:E,2)</f>
        <v>#N/A</v>
      </c>
      <c r="G106" s="1" t="s">
        <v>11</v>
      </c>
      <c r="H106" s="1" t="str">
        <f>IF(C106&lt;&gt;B106,IF(AND(E106&gt;=20,E106&lt;35),"warning",IF(AND(E106&gt;=35,E106&lt;=50),"快要 O.O.C 啦",IF(E106&gt;50,"超出規格 O.O.C 啦",""))))</f>
        <v/>
      </c>
      <c r="I106" s="1" t="e">
        <f>IF(C106&lt;&gt;B106,IF(AND(F106&gt;=5,E106&lt;10),"warning",IF(AND(F106&gt;=10,F106&lt;=15),"快要 O.O.C 啦",IF(F106&gt;15,"超出規格 O.O.C 啦",""))))</f>
        <v>#N/A</v>
      </c>
    </row>
    <row r="107" spans="1:9">
      <c r="A107" s="1" t="s">
        <v>17</v>
      </c>
      <c r="B107" s="3">
        <v>44905.531423611108</v>
      </c>
      <c r="C107" s="1" t="s">
        <v>6</v>
      </c>
      <c r="D107" s="4" t="str">
        <f>CONCATENATE(B107,RIGHT(C107,2))</f>
        <v>44905.5314236111C4</v>
      </c>
      <c r="E107" s="1">
        <v>1</v>
      </c>
      <c r="F107" s="4" t="e">
        <f>VLOOKUP(D107,'LP-T2 大顆的'!D:E,2)</f>
        <v>#N/A</v>
      </c>
      <c r="G107" s="1" t="s">
        <v>11</v>
      </c>
      <c r="H107" s="1" t="str">
        <f>IF(C107&lt;&gt;B107,IF(AND(E107&gt;=20,E107&lt;35),"warning",IF(AND(E107&gt;=35,E107&lt;=50),"快要 O.O.C 啦",IF(E107&gt;50,"超出規格 O.O.C 啦",""))))</f>
        <v/>
      </c>
      <c r="I107" s="1" t="e">
        <f>IF(C107&lt;&gt;B107,IF(AND(F107&gt;=5,E107&lt;10),"warning",IF(AND(F107&gt;=10,F107&lt;=15),"快要 O.O.C 啦",IF(F107&gt;15,"超出規格 O.O.C 啦",""))))</f>
        <v>#N/A</v>
      </c>
    </row>
    <row r="108" spans="1:9">
      <c r="A108" s="1" t="s">
        <v>4</v>
      </c>
      <c r="B108" s="3">
        <v>44905.48232638889</v>
      </c>
      <c r="C108" s="1" t="s">
        <v>7</v>
      </c>
      <c r="D108" s="4" t="str">
        <f>CONCATENATE(B108,RIGHT(C108,2))</f>
        <v>44905.4823263889C1</v>
      </c>
      <c r="E108" s="1">
        <v>0</v>
      </c>
      <c r="F108" s="4" t="e">
        <f>VLOOKUP(D108,'LP-T2 大顆的'!D:E,2)</f>
        <v>#N/A</v>
      </c>
      <c r="G108" s="1" t="s">
        <v>11</v>
      </c>
      <c r="H108" s="1" t="str">
        <f>IF(C108&lt;&gt;B108,IF(AND(E108&gt;=20,E108&lt;35),"warning",IF(AND(E108&gt;=35,E108&lt;=50),"快要 O.O.C 啦",IF(E108&gt;50,"超出規格 O.O.C 啦",""))))</f>
        <v/>
      </c>
      <c r="I108" s="1" t="e">
        <f>IF(C108&lt;&gt;B108,IF(AND(F108&gt;=5,E108&lt;10),"warning",IF(AND(F108&gt;=10,F108&lt;=15),"快要 O.O.C 啦",IF(F108&gt;15,"超出規格 O.O.C 啦",""))))</f>
        <v>#N/A</v>
      </c>
    </row>
    <row r="109" spans="1:9">
      <c r="A109" s="1" t="s">
        <v>15</v>
      </c>
      <c r="B109" s="3">
        <v>44905.444687499999</v>
      </c>
      <c r="C109" s="1" t="s">
        <v>7</v>
      </c>
      <c r="D109" s="4" t="str">
        <f>CONCATENATE(B109,RIGHT(C109,2))</f>
        <v>44905.4446875C1</v>
      </c>
      <c r="E109" s="1">
        <v>0</v>
      </c>
      <c r="F109" s="4" t="e">
        <f>VLOOKUP(D109,'LP-T2 大顆的'!D:E,2)</f>
        <v>#N/A</v>
      </c>
      <c r="G109" s="1" t="s">
        <v>11</v>
      </c>
      <c r="H109" s="1" t="str">
        <f>IF(C109&lt;&gt;B109,IF(AND(E109&gt;=20,E109&lt;35),"warning",IF(AND(E109&gt;=35,E109&lt;=50),"快要 O.O.C 啦",IF(E109&gt;50,"超出規格 O.O.C 啦",""))))</f>
        <v/>
      </c>
      <c r="I109" s="1" t="e">
        <f>IF(C109&lt;&gt;B109,IF(AND(F109&gt;=5,E109&lt;10),"warning",IF(AND(F109&gt;=10,F109&lt;=15),"快要 O.O.C 啦",IF(F109&gt;15,"超出規格 O.O.C 啦",""))))</f>
        <v>#N/A</v>
      </c>
    </row>
    <row r="110" spans="1:9">
      <c r="A110" s="1" t="s">
        <v>13</v>
      </c>
      <c r="B110" s="3">
        <v>44905.433472222219</v>
      </c>
      <c r="C110" s="1" t="s">
        <v>7</v>
      </c>
      <c r="D110" s="4" t="str">
        <f>CONCATENATE(B110,RIGHT(C110,2))</f>
        <v>44905.4334722222C1</v>
      </c>
      <c r="E110" s="1">
        <v>0</v>
      </c>
      <c r="F110" s="4" t="e">
        <f>VLOOKUP(D110,'LP-T2 大顆的'!D:E,2)</f>
        <v>#N/A</v>
      </c>
      <c r="G110" s="1" t="s">
        <v>11</v>
      </c>
      <c r="H110" s="1" t="str">
        <f>IF(C110&lt;&gt;B110,IF(AND(E110&gt;=20,E110&lt;35),"warning",IF(AND(E110&gt;=35,E110&lt;=50),"快要 O.O.C 啦",IF(E110&gt;50,"超出規格 O.O.C 啦",""))))</f>
        <v/>
      </c>
      <c r="I110" s="1" t="e">
        <f>IF(C110&lt;&gt;B110,IF(AND(F110&gt;=5,E110&lt;10),"warning",IF(AND(F110&gt;=10,F110&lt;=15),"快要 O.O.C 啦",IF(F110&gt;15,"超出規格 O.O.C 啦",""))))</f>
        <v>#N/A</v>
      </c>
    </row>
    <row r="111" spans="1:9">
      <c r="A111" s="1" t="s">
        <v>14</v>
      </c>
      <c r="B111" s="3">
        <v>44905.384965277779</v>
      </c>
      <c r="C111" s="1" t="s">
        <v>7</v>
      </c>
      <c r="D111" s="4" t="str">
        <f>CONCATENATE(B111,RIGHT(C111,2))</f>
        <v>44905.3849652778C1</v>
      </c>
      <c r="E111" s="1">
        <v>0</v>
      </c>
      <c r="F111" s="4" t="e">
        <f>VLOOKUP(D111,'LP-T2 大顆的'!D:E,2)</f>
        <v>#N/A</v>
      </c>
      <c r="G111" s="1" t="s">
        <v>11</v>
      </c>
      <c r="H111" s="1" t="str">
        <f>IF(C111&lt;&gt;B111,IF(AND(E111&gt;=20,E111&lt;35),"warning",IF(AND(E111&gt;=35,E111&lt;=50),"快要 O.O.C 啦",IF(E111&gt;50,"超出規格 O.O.C 啦",""))))</f>
        <v/>
      </c>
      <c r="I111" s="1" t="e">
        <f>IF(C111&lt;&gt;B111,IF(AND(F111&gt;=5,E111&lt;10),"warning",IF(AND(F111&gt;=10,F111&lt;=15),"快要 O.O.C 啦",IF(F111&gt;15,"超出規格 O.O.C 啦",""))))</f>
        <v>#N/A</v>
      </c>
    </row>
    <row r="112" spans="1:9">
      <c r="A112" s="1" t="s">
        <v>17</v>
      </c>
      <c r="B112" s="3">
        <v>44905.352083333331</v>
      </c>
      <c r="C112" s="1" t="s">
        <v>7</v>
      </c>
      <c r="D112" s="4" t="str">
        <f>CONCATENATE(B112,RIGHT(C112,2))</f>
        <v>44905.3520833333C1</v>
      </c>
      <c r="E112" s="1">
        <v>1</v>
      </c>
      <c r="F112" s="4" t="e">
        <f>VLOOKUP(D112,'LP-T2 大顆的'!D:E,2)</f>
        <v>#N/A</v>
      </c>
      <c r="G112" s="1" t="s">
        <v>11</v>
      </c>
      <c r="H112" s="1" t="str">
        <f>IF(C112&lt;&gt;B112,IF(AND(E112&gt;=20,E112&lt;35),"warning",IF(AND(E112&gt;=35,E112&lt;=50),"快要 O.O.C 啦",IF(E112&gt;50,"超出規格 O.O.C 啦",""))))</f>
        <v/>
      </c>
      <c r="I112" s="1" t="e">
        <f>IF(C112&lt;&gt;B112,IF(AND(F112&gt;=5,E112&lt;10),"warning",IF(AND(F112&gt;=10,F112&lt;=15),"快要 O.O.C 啦",IF(F112&gt;15,"超出規格 O.O.C 啦",""))))</f>
        <v>#N/A</v>
      </c>
    </row>
    <row r="113" spans="1:9">
      <c r="A113" s="1" t="s">
        <v>12</v>
      </c>
      <c r="B113" s="3">
        <v>44905.3440162037</v>
      </c>
      <c r="C113" s="1" t="s">
        <v>7</v>
      </c>
      <c r="D113" s="4" t="str">
        <f>CONCATENATE(B113,RIGHT(C113,2))</f>
        <v>44905.3440162037C1</v>
      </c>
      <c r="E113" s="1">
        <v>0</v>
      </c>
      <c r="F113" s="4" t="e">
        <f>VLOOKUP(D113,'LP-T2 大顆的'!D:E,2)</f>
        <v>#N/A</v>
      </c>
      <c r="G113" s="1" t="s">
        <v>11</v>
      </c>
      <c r="H113" s="1" t="str">
        <f>IF(C113&lt;&gt;B113,IF(AND(E113&gt;=20,E113&lt;35),"warning",IF(AND(E113&gt;=35,E113&lt;=50),"快要 O.O.C 啦",IF(E113&gt;50,"超出規格 O.O.C 啦",""))))</f>
        <v/>
      </c>
      <c r="I113" s="1" t="e">
        <f>IF(C113&lt;&gt;B113,IF(AND(F113&gt;=5,E113&lt;10),"warning",IF(AND(F113&gt;=10,F113&lt;=15),"快要 O.O.C 啦",IF(F113&gt;15,"超出規格 O.O.C 啦",""))))</f>
        <v>#N/A</v>
      </c>
    </row>
    <row r="114" spans="1:9">
      <c r="A114" s="1" t="s">
        <v>15</v>
      </c>
      <c r="B114" s="3">
        <v>44905.26222222222</v>
      </c>
      <c r="C114" s="1" t="s">
        <v>7</v>
      </c>
      <c r="D114" s="4" t="str">
        <f>CONCATENATE(B114,RIGHT(C114,2))</f>
        <v>44905.2622222222C1</v>
      </c>
      <c r="E114" s="1">
        <v>2</v>
      </c>
      <c r="F114" s="4" t="e">
        <f>VLOOKUP(D114,'LP-T2 大顆的'!D:E,2)</f>
        <v>#N/A</v>
      </c>
      <c r="G114" s="1" t="s">
        <v>11</v>
      </c>
      <c r="H114" s="1" t="str">
        <f>IF(C114&lt;&gt;B114,IF(AND(E114&gt;=20,E114&lt;35),"warning",IF(AND(E114&gt;=35,E114&lt;=50),"快要 O.O.C 啦",IF(E114&gt;50,"超出規格 O.O.C 啦",""))))</f>
        <v/>
      </c>
      <c r="I114" s="1" t="e">
        <f>IF(C114&lt;&gt;B114,IF(AND(F114&gt;=5,E114&lt;10),"warning",IF(AND(F114&gt;=10,F114&lt;=15),"快要 O.O.C 啦",IF(F114&gt;15,"超出規格 O.O.C 啦",""))))</f>
        <v>#N/A</v>
      </c>
    </row>
    <row r="115" spans="1:9">
      <c r="A115" s="1" t="s">
        <v>14</v>
      </c>
      <c r="B115" s="3">
        <v>44905.229525462964</v>
      </c>
      <c r="C115" s="1" t="s">
        <v>7</v>
      </c>
      <c r="D115" s="4" t="str">
        <f>CONCATENATE(B115,RIGHT(C115,2))</f>
        <v>44905.229525463C1</v>
      </c>
      <c r="E115" s="1">
        <v>1</v>
      </c>
      <c r="F115" s="4" t="e">
        <f>VLOOKUP(D115,'LP-T2 大顆的'!D:E,2)</f>
        <v>#N/A</v>
      </c>
      <c r="G115" s="1" t="s">
        <v>11</v>
      </c>
      <c r="H115" s="1" t="str">
        <f>IF(C115&lt;&gt;B115,IF(AND(E115&gt;=20,E115&lt;35),"warning",IF(AND(E115&gt;=35,E115&lt;=50),"快要 O.O.C 啦",IF(E115&gt;50,"超出規格 O.O.C 啦",""))))</f>
        <v/>
      </c>
      <c r="I115" s="1" t="e">
        <f>IF(C115&lt;&gt;B115,IF(AND(F115&gt;=5,E115&lt;10),"warning",IF(AND(F115&gt;=10,F115&lt;=15),"快要 O.O.C 啦",IF(F115&gt;15,"超出規格 O.O.C 啦",""))))</f>
        <v>#N/A</v>
      </c>
    </row>
    <row r="116" spans="1:9">
      <c r="A116" s="1" t="s">
        <v>13</v>
      </c>
      <c r="B116" s="3">
        <v>44905.228726851848</v>
      </c>
      <c r="C116" s="1" t="s">
        <v>7</v>
      </c>
      <c r="D116" s="4" t="str">
        <f>CONCATENATE(B116,RIGHT(C116,2))</f>
        <v>44905.2287268518C1</v>
      </c>
      <c r="E116" s="1">
        <v>0</v>
      </c>
      <c r="F116" s="4" t="e">
        <f>VLOOKUP(D116,'LP-T2 大顆的'!D:E,2)</f>
        <v>#N/A</v>
      </c>
      <c r="G116" s="1" t="s">
        <v>11</v>
      </c>
      <c r="H116" s="1" t="str">
        <f>IF(C116&lt;&gt;B116,IF(AND(E116&gt;=20,E116&lt;35),"warning",IF(AND(E116&gt;=35,E116&lt;=50),"快要 O.O.C 啦",IF(E116&gt;50,"超出規格 O.O.C 啦",""))))</f>
        <v/>
      </c>
      <c r="I116" s="1" t="e">
        <f>IF(C116&lt;&gt;B116,IF(AND(F116&gt;=5,E116&lt;10),"warning",IF(AND(F116&gt;=10,F116&lt;=15),"快要 O.O.C 啦",IF(F116&gt;15,"超出規格 O.O.C 啦",""))))</f>
        <v>#N/A</v>
      </c>
    </row>
    <row r="117" spans="1:9">
      <c r="A117" s="1" t="s">
        <v>4</v>
      </c>
      <c r="B117" s="3">
        <v>44905.210995370369</v>
      </c>
      <c r="C117" s="1" t="s">
        <v>7</v>
      </c>
      <c r="D117" s="4" t="str">
        <f>CONCATENATE(B117,RIGHT(C117,2))</f>
        <v>44905.2109953704C1</v>
      </c>
      <c r="E117" s="1">
        <v>0</v>
      </c>
      <c r="F117" s="4" t="e">
        <f>VLOOKUP(D117,'LP-T2 大顆的'!D:E,2)</f>
        <v>#N/A</v>
      </c>
      <c r="G117" s="1" t="s">
        <v>11</v>
      </c>
      <c r="H117" s="1" t="str">
        <f>IF(C117&lt;&gt;B117,IF(AND(E117&gt;=20,E117&lt;35),"warning",IF(AND(E117&gt;=35,E117&lt;=50),"快要 O.O.C 啦",IF(E117&gt;50,"超出規格 O.O.C 啦",""))))</f>
        <v/>
      </c>
      <c r="I117" s="1" t="e">
        <f>IF(C117&lt;&gt;B117,IF(AND(F117&gt;=5,E117&lt;10),"warning",IF(AND(F117&gt;=10,F117&lt;=15),"快要 O.O.C 啦",IF(F117&gt;15,"超出規格 O.O.C 啦",""))))</f>
        <v>#N/A</v>
      </c>
    </row>
    <row r="118" spans="1:9">
      <c r="A118" s="1" t="s">
        <v>16</v>
      </c>
      <c r="B118" s="3">
        <v>44905.19326388889</v>
      </c>
      <c r="C118" s="1" t="s">
        <v>5</v>
      </c>
      <c r="D118" s="4" t="str">
        <f>CONCATENATE(B118,RIGHT(C118,2))</f>
        <v>44905.1932638889C6</v>
      </c>
      <c r="E118" s="1">
        <v>0</v>
      </c>
      <c r="F118" s="4" t="e">
        <f>VLOOKUP(D118,'LP-T2 大顆的'!D:E,2)</f>
        <v>#N/A</v>
      </c>
      <c r="G118" s="1" t="s">
        <v>11</v>
      </c>
      <c r="H118" s="1" t="str">
        <f>IF(C118&lt;&gt;B118,IF(AND(E118&gt;=20,E118&lt;35),"warning",IF(AND(E118&gt;=35,E118&lt;=50),"快要 O.O.C 啦",IF(E118&gt;50,"超出規格 O.O.C 啦",""))))</f>
        <v/>
      </c>
      <c r="I118" s="1" t="e">
        <f>IF(C118&lt;&gt;B118,IF(AND(F118&gt;=5,E118&lt;10),"warning",IF(AND(F118&gt;=10,F118&lt;=15),"快要 O.O.C 啦",IF(F118&gt;15,"超出規格 O.O.C 啦",""))))</f>
        <v>#N/A</v>
      </c>
    </row>
    <row r="119" spans="1:9">
      <c r="A119" s="1" t="s">
        <v>16</v>
      </c>
      <c r="B119" s="3">
        <v>44905.19326388889</v>
      </c>
      <c r="C119" s="1" t="s">
        <v>7</v>
      </c>
      <c r="D119" s="4" t="str">
        <f>CONCATENATE(B119,RIGHT(C119,2))</f>
        <v>44905.1932638889C1</v>
      </c>
      <c r="E119" s="1">
        <v>0</v>
      </c>
      <c r="F119" s="4" t="e">
        <f>VLOOKUP(D119,'LP-T2 大顆的'!D:E,2)</f>
        <v>#N/A</v>
      </c>
      <c r="G119" s="1" t="s">
        <v>11</v>
      </c>
      <c r="H119" s="1" t="str">
        <f>IF(C119&lt;&gt;B119,IF(AND(E119&gt;=20,E119&lt;35),"warning",IF(AND(E119&gt;=35,E119&lt;=50),"快要 O.O.C 啦",IF(E119&gt;50,"超出規格 O.O.C 啦",""))))</f>
        <v/>
      </c>
      <c r="I119" s="1" t="e">
        <f>IF(C119&lt;&gt;B119,IF(AND(F119&gt;=5,E119&lt;10),"warning",IF(AND(F119&gt;=10,F119&lt;=15),"快要 O.O.C 啦",IF(F119&gt;15,"超出規格 O.O.C 啦",""))))</f>
        <v>#N/A</v>
      </c>
    </row>
    <row r="120" spans="1:9">
      <c r="A120" s="1" t="s">
        <v>17</v>
      </c>
      <c r="B120" s="3">
        <v>44905.15421296296</v>
      </c>
      <c r="C120" s="1" t="s">
        <v>5</v>
      </c>
      <c r="D120" s="4" t="str">
        <f>CONCATENATE(B120,RIGHT(C120,2))</f>
        <v>44905.154212963C6</v>
      </c>
      <c r="E120" s="1">
        <v>0</v>
      </c>
      <c r="F120" s="4" t="e">
        <f>VLOOKUP(D120,'LP-T2 大顆的'!D:E,2)</f>
        <v>#N/A</v>
      </c>
      <c r="G120" s="1" t="s">
        <v>11</v>
      </c>
      <c r="H120" s="1" t="str">
        <f>IF(C120&lt;&gt;B120,IF(AND(E120&gt;=20,E120&lt;35),"warning",IF(AND(E120&gt;=35,E120&lt;=50),"快要 O.O.C 啦",IF(E120&gt;50,"超出規格 O.O.C 啦",""))))</f>
        <v/>
      </c>
      <c r="I120" s="1" t="e">
        <f>IF(C120&lt;&gt;B120,IF(AND(F120&gt;=5,E120&lt;10),"warning",IF(AND(F120&gt;=10,F120&lt;=15),"快要 O.O.C 啦",IF(F120&gt;15,"超出規格 O.O.C 啦",""))))</f>
        <v>#N/A</v>
      </c>
    </row>
    <row r="121" spans="1:9">
      <c r="A121" s="1" t="s">
        <v>17</v>
      </c>
      <c r="B121" s="3">
        <v>44905.15421296296</v>
      </c>
      <c r="C121" s="1" t="s">
        <v>7</v>
      </c>
      <c r="D121" s="4" t="str">
        <f>CONCATENATE(B121,RIGHT(C121,2))</f>
        <v>44905.154212963C1</v>
      </c>
      <c r="E121" s="1">
        <v>0</v>
      </c>
      <c r="F121" s="4" t="e">
        <f>VLOOKUP(D121,'LP-T2 大顆的'!D:E,2)</f>
        <v>#N/A</v>
      </c>
      <c r="G121" s="1" t="s">
        <v>11</v>
      </c>
      <c r="H121" s="4" t="str">
        <f>IF(C121&lt;&gt;B121,IF(AND(E121&gt;=20,E121&lt;35),"warning",IF(AND(E121&gt;=35,E121&lt;=50),"快要 O.O.C 啦",IF(E121&gt;50,"超出規格 O.O.C 啦",""))))</f>
        <v/>
      </c>
      <c r="I121" s="4" t="e">
        <f>IF(C121&lt;&gt;B121,IF(AND(F121&gt;=5,E121&lt;10),"warning",IF(AND(F121&gt;=10,F121&lt;=15),"快要 O.O.C 啦",IF(F121&gt;15,"超出規格 O.O.C 啦",""))))</f>
        <v>#N/A</v>
      </c>
    </row>
    <row r="122" spans="1:9">
      <c r="A122" s="1" t="s">
        <v>12</v>
      </c>
      <c r="B122" s="3">
        <v>44905.138784722221</v>
      </c>
      <c r="C122" s="1" t="s">
        <v>5</v>
      </c>
      <c r="D122" s="4" t="str">
        <f>CONCATENATE(B122,RIGHT(C122,2))</f>
        <v>44905.1387847222C6</v>
      </c>
      <c r="E122" s="1">
        <v>9</v>
      </c>
      <c r="F122" s="4" t="e">
        <f>VLOOKUP(D122,'LP-T2 大顆的'!D:E,2)</f>
        <v>#N/A</v>
      </c>
      <c r="G122" s="1" t="s">
        <v>11</v>
      </c>
      <c r="H122" s="4" t="str">
        <f>IF(C122&lt;&gt;B122,IF(AND(E122&gt;=20,E122&lt;35),"warning",IF(AND(E122&gt;=35,E122&lt;=50),"快要 O.O.C 啦",IF(E122&gt;50,"超出規格 O.O.C 啦",""))))</f>
        <v/>
      </c>
      <c r="I122" s="4" t="e">
        <f>IF(C122&lt;&gt;B122,IF(AND(F122&gt;=5,E122&lt;10),"warning",IF(AND(F122&gt;=10,F122&lt;=15),"快要 O.O.C 啦",IF(F122&gt;15,"超出規格 O.O.C 啦",""))))</f>
        <v>#N/A</v>
      </c>
    </row>
    <row r="123" spans="1:9">
      <c r="A123" s="1" t="s">
        <v>12</v>
      </c>
      <c r="B123" s="3">
        <v>44905.138784722221</v>
      </c>
      <c r="C123" s="1" t="s">
        <v>7</v>
      </c>
      <c r="D123" s="4" t="str">
        <f>CONCATENATE(B123,RIGHT(C123,2))</f>
        <v>44905.1387847222C1</v>
      </c>
      <c r="E123" s="1">
        <v>0</v>
      </c>
      <c r="F123" s="4" t="e">
        <f>VLOOKUP(D123,'LP-T2 大顆的'!D:E,2)</f>
        <v>#N/A</v>
      </c>
      <c r="G123" s="1" t="s">
        <v>11</v>
      </c>
      <c r="H123" s="4" t="str">
        <f>IF(C123&lt;&gt;B123,IF(AND(E123&gt;=20,E123&lt;35),"warning",IF(AND(E123&gt;=35,E123&lt;=50),"快要 O.O.C 啦",IF(E123&gt;50,"超出規格 O.O.C 啦",""))))</f>
        <v/>
      </c>
      <c r="I123" s="4" t="e">
        <f>IF(C123&lt;&gt;B123,IF(AND(F123&gt;=5,E123&lt;10),"warning",IF(AND(F123&gt;=10,F123&lt;=15),"快要 O.O.C 啦",IF(F123&gt;15,"超出規格 O.O.C 啦",""))))</f>
        <v>#N/A</v>
      </c>
    </row>
    <row r="124" spans="1:9">
      <c r="A124" s="1" t="s">
        <v>15</v>
      </c>
      <c r="B124" s="3">
        <v>44905.084189814814</v>
      </c>
      <c r="C124" s="1" t="s">
        <v>5</v>
      </c>
      <c r="D124" s="4" t="str">
        <f>CONCATENATE(B124,RIGHT(C124,2))</f>
        <v>44905.0841898148C6</v>
      </c>
      <c r="E124" s="1">
        <v>0</v>
      </c>
      <c r="F124" s="4" t="e">
        <f>VLOOKUP(D124,'LP-T2 大顆的'!D:E,2)</f>
        <v>#N/A</v>
      </c>
      <c r="G124" s="1" t="s">
        <v>11</v>
      </c>
      <c r="H124" s="4" t="str">
        <f>IF(C124&lt;&gt;B124,IF(AND(E124&gt;=20,E124&lt;35),"warning",IF(AND(E124&gt;=35,E124&lt;=50),"快要 O.O.C 啦",IF(E124&gt;50,"超出規格 O.O.C 啦",""))))</f>
        <v/>
      </c>
      <c r="I124" s="4" t="e">
        <f>IF(C124&lt;&gt;B124,IF(AND(F124&gt;=5,E124&lt;10),"warning",IF(AND(F124&gt;=10,F124&lt;=15),"快要 O.O.C 啦",IF(F124&gt;15,"超出規格 O.O.C 啦",""))))</f>
        <v>#N/A</v>
      </c>
    </row>
    <row r="125" spans="1:9">
      <c r="A125" s="1" t="s">
        <v>15</v>
      </c>
      <c r="B125" s="3">
        <v>44905.084189814814</v>
      </c>
      <c r="C125" s="1" t="s">
        <v>7</v>
      </c>
      <c r="D125" s="4" t="str">
        <f>CONCATENATE(B125,RIGHT(C125,2))</f>
        <v>44905.0841898148C1</v>
      </c>
      <c r="E125" s="1">
        <v>0</v>
      </c>
      <c r="F125" s="4" t="e">
        <f>VLOOKUP(D125,'LP-T2 大顆的'!D:E,2)</f>
        <v>#N/A</v>
      </c>
      <c r="G125" s="1" t="s">
        <v>11</v>
      </c>
      <c r="H125" s="4" t="str">
        <f>IF(C125&lt;&gt;B125,IF(AND(E125&gt;=20,E125&lt;35),"warning",IF(AND(E125&gt;=35,E125&lt;=50),"快要 O.O.C 啦",IF(E125&gt;50,"超出規格 O.O.C 啦",""))))</f>
        <v/>
      </c>
      <c r="I125" s="4" t="e">
        <f>IF(C125&lt;&gt;B125,IF(AND(F125&gt;=5,E125&lt;10),"warning",IF(AND(F125&gt;=10,F125&lt;=15),"快要 O.O.C 啦",IF(F125&gt;15,"超出規格 O.O.C 啦",""))))</f>
        <v>#N/A</v>
      </c>
    </row>
    <row r="126" spans="1:9">
      <c r="A126" s="1" t="s">
        <v>14</v>
      </c>
      <c r="B126" s="3">
        <v>44905.07068287037</v>
      </c>
      <c r="C126" s="1" t="s">
        <v>6</v>
      </c>
      <c r="D126" s="4" t="str">
        <f>CONCATENATE(B126,RIGHT(C126,2))</f>
        <v>44905.0706828704C4</v>
      </c>
      <c r="E126" s="1">
        <v>0</v>
      </c>
      <c r="F126" s="4" t="e">
        <f>VLOOKUP(D126,'LP-T2 大顆的'!D:E,2)</f>
        <v>#N/A</v>
      </c>
      <c r="G126" s="1" t="s">
        <v>11</v>
      </c>
      <c r="H126" s="4" t="str">
        <f>IF(C126&lt;&gt;B126,IF(AND(E126&gt;=20,E126&lt;35),"warning",IF(AND(E126&gt;=35,E126&lt;=50),"快要 O.O.C 啦",IF(E126&gt;50,"超出規格 O.O.C 啦",""))))</f>
        <v/>
      </c>
      <c r="I126" s="4" t="e">
        <f>IF(C126&lt;&gt;B126,IF(AND(F126&gt;=5,E126&lt;10),"warning",IF(AND(F126&gt;=10,F126&lt;=15),"快要 O.O.C 啦",IF(F126&gt;15,"超出規格 O.O.C 啦",""))))</f>
        <v>#N/A</v>
      </c>
    </row>
    <row r="127" spans="1:9">
      <c r="A127" s="1" t="s">
        <v>14</v>
      </c>
      <c r="B127" s="3">
        <v>44905.07068287037</v>
      </c>
      <c r="C127" s="1" t="s">
        <v>7</v>
      </c>
      <c r="D127" s="4" t="str">
        <f>CONCATENATE(B127,RIGHT(C127,2))</f>
        <v>44905.0706828704C1</v>
      </c>
      <c r="E127" s="1">
        <v>0</v>
      </c>
      <c r="F127" s="4" t="e">
        <f>VLOOKUP(D127,'LP-T2 大顆的'!D:E,2)</f>
        <v>#N/A</v>
      </c>
      <c r="G127" s="1" t="s">
        <v>11</v>
      </c>
      <c r="H127" s="4" t="str">
        <f>IF(C127&lt;&gt;B127,IF(AND(E127&gt;=20,E127&lt;35),"warning",IF(AND(E127&gt;=35,E127&lt;=50),"快要 O.O.C 啦",IF(E127&gt;50,"超出規格 O.O.C 啦",""))))</f>
        <v/>
      </c>
      <c r="I127" s="4" t="e">
        <f>IF(C127&lt;&gt;B127,IF(AND(F127&gt;=5,E127&lt;10),"warning",IF(AND(F127&gt;=10,F127&lt;=15),"快要 O.O.C 啦",IF(F127&gt;15,"超出規格 O.O.C 啦",""))))</f>
        <v>#N/A</v>
      </c>
    </row>
    <row r="128" spans="1:9">
      <c r="A128" s="1" t="s">
        <v>13</v>
      </c>
      <c r="B128" s="3">
        <v>44905.068854166668</v>
      </c>
      <c r="C128" s="1" t="s">
        <v>5</v>
      </c>
      <c r="D128" s="4" t="str">
        <f>CONCATENATE(B128,RIGHT(C128,2))</f>
        <v>44905.0688541667C6</v>
      </c>
      <c r="E128" s="1">
        <v>0</v>
      </c>
      <c r="F128" s="4" t="e">
        <f>VLOOKUP(D128,'LP-T2 大顆的'!D:E,2)</f>
        <v>#N/A</v>
      </c>
      <c r="G128" s="1" t="s">
        <v>11</v>
      </c>
      <c r="H128" s="4" t="str">
        <f>IF(C128&lt;&gt;B128,IF(AND(E128&gt;=20,E128&lt;35),"warning",IF(AND(E128&gt;=35,E128&lt;=50),"快要 O.O.C 啦",IF(E128&gt;50,"超出規格 O.O.C 啦",""))))</f>
        <v/>
      </c>
      <c r="I128" s="4" t="e">
        <f>IF(C128&lt;&gt;B128,IF(AND(F128&gt;=5,E128&lt;10),"warning",IF(AND(F128&gt;=10,F128&lt;=15),"快要 O.O.C 啦",IF(F128&gt;15,"超出規格 O.O.C 啦",""))))</f>
        <v>#N/A</v>
      </c>
    </row>
    <row r="129" spans="1:9">
      <c r="A129" s="1" t="s">
        <v>13</v>
      </c>
      <c r="B129" s="3">
        <v>44905.068854166668</v>
      </c>
      <c r="C129" s="1" t="s">
        <v>7</v>
      </c>
      <c r="D129" s="4" t="str">
        <f>CONCATENATE(B129,RIGHT(C129,2))</f>
        <v>44905.0688541667C1</v>
      </c>
      <c r="E129" s="1">
        <v>0</v>
      </c>
      <c r="F129" s="4" t="e">
        <f>VLOOKUP(D129,'LP-T2 大顆的'!D:E,2)</f>
        <v>#N/A</v>
      </c>
      <c r="G129" s="1" t="s">
        <v>11</v>
      </c>
      <c r="H129" s="4" t="str">
        <f>IF(C129&lt;&gt;B129,IF(AND(E129&gt;=20,E129&lt;35),"warning",IF(AND(E129&gt;=35,E129&lt;=50),"快要 O.O.C 啦",IF(E129&gt;50,"超出規格 O.O.C 啦",""))))</f>
        <v/>
      </c>
      <c r="I129" s="4" t="e">
        <f>IF(C129&lt;&gt;B129,IF(AND(F129&gt;=5,E129&lt;10),"warning",IF(AND(F129&gt;=10,F129&lt;=15),"快要 O.O.C 啦",IF(F129&gt;15,"超出規格 O.O.C 啦",""))))</f>
        <v>#N/A</v>
      </c>
    </row>
    <row r="130" spans="1:9">
      <c r="A130" s="1" t="s">
        <v>4</v>
      </c>
      <c r="B130" s="3">
        <v>44904.993703703702</v>
      </c>
      <c r="C130" s="1" t="s">
        <v>5</v>
      </c>
      <c r="D130" s="4" t="str">
        <f>CONCATENATE(B130,RIGHT(C130,2))</f>
        <v>44904.9937037037C6</v>
      </c>
      <c r="E130" s="1">
        <v>0</v>
      </c>
      <c r="F130" s="4" t="e">
        <f>VLOOKUP(D130,'LP-T2 大顆的'!D:E,2)</f>
        <v>#N/A</v>
      </c>
      <c r="G130" s="1" t="s">
        <v>11</v>
      </c>
      <c r="H130" s="4" t="str">
        <f>IF(C130&lt;&gt;B130,IF(AND(E130&gt;=20,E130&lt;35),"warning",IF(AND(E130&gt;=35,E130&lt;=50),"快要 O.O.C 啦",IF(E130&gt;50,"超出規格 O.O.C 啦",""))))</f>
        <v/>
      </c>
      <c r="I130" s="4" t="e">
        <f>IF(C130&lt;&gt;B130,IF(AND(F130&gt;=5,E130&lt;10),"warning",IF(AND(F130&gt;=10,F130&lt;=15),"快要 O.O.C 啦",IF(F130&gt;15,"超出規格 O.O.C 啦",""))))</f>
        <v>#N/A</v>
      </c>
    </row>
    <row r="131" spans="1:9">
      <c r="A131" s="1" t="s">
        <v>4</v>
      </c>
      <c r="B131" s="3">
        <v>44904.993703703702</v>
      </c>
      <c r="C131" s="1" t="s">
        <v>7</v>
      </c>
      <c r="D131" s="4" t="str">
        <f>CONCATENATE(B131,RIGHT(C131,2))</f>
        <v>44904.9937037037C1</v>
      </c>
      <c r="E131" s="1">
        <v>0</v>
      </c>
      <c r="F131" s="4" t="e">
        <f>VLOOKUP(D131,'LP-T2 大顆的'!D:E,2)</f>
        <v>#N/A</v>
      </c>
      <c r="G131" s="1" t="s">
        <v>11</v>
      </c>
      <c r="H131" s="4" t="str">
        <f>IF(C131&lt;&gt;B131,IF(AND(E131&gt;=20,E131&lt;35),"warning",IF(AND(E131&gt;=35,E131&lt;=50),"快要 O.O.C 啦",IF(E131&gt;50,"超出規格 O.O.C 啦",""))))</f>
        <v/>
      </c>
      <c r="I131" s="4" t="e">
        <f>IF(C131&lt;&gt;B131,IF(AND(F131&gt;=5,E131&lt;10),"warning",IF(AND(F131&gt;=10,F131&lt;=15),"快要 O.O.C 啦",IF(F131&gt;15,"超出規格 O.O.C 啦",""))))</f>
        <v>#N/A</v>
      </c>
    </row>
    <row r="132" spans="1:9">
      <c r="A132" s="1" t="s">
        <v>16</v>
      </c>
      <c r="B132" s="3">
        <v>44904.969328703701</v>
      </c>
      <c r="C132" s="1" t="s">
        <v>5</v>
      </c>
      <c r="D132" s="4" t="str">
        <f>CONCATENATE(B132,RIGHT(C132,2))</f>
        <v>44904.9693287037C6</v>
      </c>
      <c r="E132" s="1">
        <v>0</v>
      </c>
      <c r="F132" s="4" t="e">
        <f>VLOOKUP(D132,'LP-T2 大顆的'!D:E,2)</f>
        <v>#N/A</v>
      </c>
      <c r="G132" s="1" t="s">
        <v>11</v>
      </c>
      <c r="H132" s="4" t="str">
        <f>IF(C132&lt;&gt;B132,IF(AND(E132&gt;=20,E132&lt;35),"warning",IF(AND(E132&gt;=35,E132&lt;=50),"快要 O.O.C 啦",IF(E132&gt;50,"超出規格 O.O.C 啦",""))))</f>
        <v/>
      </c>
      <c r="I132" s="4" t="e">
        <f>IF(C132&lt;&gt;B132,IF(AND(F132&gt;=5,E132&lt;10),"warning",IF(AND(F132&gt;=10,F132&lt;=15),"快要 O.O.C 啦",IF(F132&gt;15,"超出規格 O.O.C 啦",""))))</f>
        <v>#N/A</v>
      </c>
    </row>
    <row r="133" spans="1:9">
      <c r="A133" s="1" t="s">
        <v>16</v>
      </c>
      <c r="B133" s="3">
        <v>44904.969328703701</v>
      </c>
      <c r="C133" s="1" t="s">
        <v>7</v>
      </c>
      <c r="D133" s="4" t="str">
        <f>CONCATENATE(B133,RIGHT(C133,2))</f>
        <v>44904.9693287037C1</v>
      </c>
      <c r="E133" s="1">
        <v>0</v>
      </c>
      <c r="F133" s="4" t="e">
        <f>VLOOKUP(D133,'LP-T2 大顆的'!D:E,2)</f>
        <v>#N/A</v>
      </c>
      <c r="G133" s="1" t="s">
        <v>11</v>
      </c>
      <c r="H133" s="4" t="str">
        <f>IF(C133&lt;&gt;B133,IF(AND(E133&gt;=20,E133&lt;35),"warning",IF(AND(E133&gt;=35,E133&lt;=50),"快要 O.O.C 啦",IF(E133&gt;50,"超出規格 O.O.C 啦",""))))</f>
        <v/>
      </c>
      <c r="I133" s="4" t="e">
        <f>IF(C133&lt;&gt;B133,IF(AND(F133&gt;=5,E133&lt;10),"warning",IF(AND(F133&gt;=10,F133&lt;=15),"快要 O.O.C 啦",IF(F133&gt;15,"超出規格 O.O.C 啦",""))))</f>
        <v>#N/A</v>
      </c>
    </row>
    <row r="134" spans="1:9">
      <c r="A134" s="1" t="s">
        <v>12</v>
      </c>
      <c r="B134" s="3">
        <v>44904.954629629632</v>
      </c>
      <c r="C134" s="1" t="s">
        <v>5</v>
      </c>
      <c r="D134" s="4" t="str">
        <f>CONCATENATE(B134,RIGHT(C134,2))</f>
        <v>44904.9546296296C6</v>
      </c>
      <c r="E134" s="1">
        <v>3</v>
      </c>
      <c r="F134" s="4" t="e">
        <f>VLOOKUP(D134,'LP-T2 大顆的'!D:E,2)</f>
        <v>#N/A</v>
      </c>
      <c r="G134" s="1" t="s">
        <v>11</v>
      </c>
      <c r="H134" s="4" t="str">
        <f>IF(C134&lt;&gt;B134,IF(AND(E134&gt;=20,E134&lt;35),"warning",IF(AND(E134&gt;=35,E134&lt;=50),"快要 O.O.C 啦",IF(E134&gt;50,"超出規格 O.O.C 啦",""))))</f>
        <v/>
      </c>
      <c r="I134" s="4" t="e">
        <f>IF(C134&lt;&gt;B134,IF(AND(F134&gt;=5,E134&lt;10),"warning",IF(AND(F134&gt;=10,F134&lt;=15),"快要 O.O.C 啦",IF(F134&gt;15,"超出規格 O.O.C 啦",""))))</f>
        <v>#N/A</v>
      </c>
    </row>
    <row r="135" spans="1:9">
      <c r="A135" s="1" t="s">
        <v>12</v>
      </c>
      <c r="B135" s="3">
        <v>44904.954629629632</v>
      </c>
      <c r="C135" s="1" t="s">
        <v>7</v>
      </c>
      <c r="D135" s="4" t="str">
        <f>CONCATENATE(B135,RIGHT(C135,2))</f>
        <v>44904.9546296296C1</v>
      </c>
      <c r="E135" s="1">
        <v>5</v>
      </c>
      <c r="F135" s="4" t="e">
        <f>VLOOKUP(D135,'LP-T2 大顆的'!D:E,2)</f>
        <v>#N/A</v>
      </c>
      <c r="G135" s="1" t="s">
        <v>11</v>
      </c>
      <c r="H135" s="4" t="str">
        <f>IF(C135&lt;&gt;B135,IF(AND(E135&gt;=20,E135&lt;35),"warning",IF(AND(E135&gt;=35,E135&lt;=50),"快要 O.O.C 啦",IF(E135&gt;50,"超出規格 O.O.C 啦",""))))</f>
        <v/>
      </c>
      <c r="I135" s="4" t="e">
        <f>IF(C135&lt;&gt;B135,IF(AND(F135&gt;=5,E135&lt;10),"warning",IF(AND(F135&gt;=10,F135&lt;=15),"快要 O.O.C 啦",IF(F135&gt;15,"超出規格 O.O.C 啦",""))))</f>
        <v>#N/A</v>
      </c>
    </row>
    <row r="136" spans="1:9">
      <c r="A136" s="1" t="s">
        <v>15</v>
      </c>
      <c r="B136" s="3">
        <v>44904.929710648146</v>
      </c>
      <c r="C136" s="1" t="s">
        <v>5</v>
      </c>
      <c r="D136" s="4" t="str">
        <f>CONCATENATE(B136,RIGHT(C136,2))</f>
        <v>44904.9297106481C6</v>
      </c>
      <c r="E136" s="1">
        <v>0</v>
      </c>
      <c r="F136" s="4" t="e">
        <f>VLOOKUP(D136,'LP-T2 大顆的'!D:E,2)</f>
        <v>#N/A</v>
      </c>
      <c r="G136" s="1" t="s">
        <v>11</v>
      </c>
      <c r="H136" s="4" t="str">
        <f>IF(C136&lt;&gt;B136,IF(AND(E136&gt;=20,E136&lt;35),"warning",IF(AND(E136&gt;=35,E136&lt;=50),"快要 O.O.C 啦",IF(E136&gt;50,"超出規格 O.O.C 啦",""))))</f>
        <v/>
      </c>
      <c r="I136" s="4" t="e">
        <f>IF(C136&lt;&gt;B136,IF(AND(F136&gt;=5,E136&lt;10),"warning",IF(AND(F136&gt;=10,F136&lt;=15),"快要 O.O.C 啦",IF(F136&gt;15,"超出規格 O.O.C 啦",""))))</f>
        <v>#N/A</v>
      </c>
    </row>
    <row r="137" spans="1:9">
      <c r="A137" s="1" t="s">
        <v>15</v>
      </c>
      <c r="B137" s="3">
        <v>44904.929710648146</v>
      </c>
      <c r="C137" s="1" t="s">
        <v>7</v>
      </c>
      <c r="D137" s="4" t="str">
        <f>CONCATENATE(B137,RIGHT(C137,2))</f>
        <v>44904.9297106481C1</v>
      </c>
      <c r="E137" s="1">
        <v>2</v>
      </c>
      <c r="F137" s="4" t="e">
        <f>VLOOKUP(D137,'LP-T2 大顆的'!D:E,2)</f>
        <v>#N/A</v>
      </c>
      <c r="G137" s="1" t="s">
        <v>11</v>
      </c>
      <c r="H137" s="4" t="str">
        <f>IF(C137&lt;&gt;B137,IF(AND(E137&gt;=20,E137&lt;35),"warning",IF(AND(E137&gt;=35,E137&lt;=50),"快要 O.O.C 啦",IF(E137&gt;50,"超出規格 O.O.C 啦",""))))</f>
        <v/>
      </c>
      <c r="I137" s="4" t="e">
        <f>IF(C137&lt;&gt;B137,IF(AND(F137&gt;=5,E137&lt;10),"warning",IF(AND(F137&gt;=10,F137&lt;=15),"快要 O.O.C 啦",IF(F137&gt;15,"超出規格 O.O.C 啦",""))))</f>
        <v>#N/A</v>
      </c>
    </row>
    <row r="138" spans="1:9">
      <c r="A138" s="1" t="s">
        <v>14</v>
      </c>
      <c r="B138" s="3">
        <v>44904.914467592593</v>
      </c>
      <c r="C138" s="1" t="s">
        <v>6</v>
      </c>
      <c r="D138" s="4" t="str">
        <f>CONCATENATE(B138,RIGHT(C138,2))</f>
        <v>44904.9144675926C4</v>
      </c>
      <c r="E138" s="1">
        <v>3</v>
      </c>
      <c r="F138" s="4" t="e">
        <f>VLOOKUP(D138,'LP-T2 大顆的'!D:E,2)</f>
        <v>#N/A</v>
      </c>
      <c r="G138" s="1" t="s">
        <v>11</v>
      </c>
      <c r="H138" s="4" t="str">
        <f>IF(C138&lt;&gt;B138,IF(AND(E138&gt;=20,E138&lt;35),"warning",IF(AND(E138&gt;=35,E138&lt;=50),"快要 O.O.C 啦",IF(E138&gt;50,"超出規格 O.O.C 啦",""))))</f>
        <v/>
      </c>
      <c r="I138" s="4" t="e">
        <f>IF(C138&lt;&gt;B138,IF(AND(F138&gt;=5,E138&lt;10),"warning",IF(AND(F138&gt;=10,F138&lt;=15),"快要 O.O.C 啦",IF(F138&gt;15,"超出規格 O.O.C 啦",""))))</f>
        <v>#N/A</v>
      </c>
    </row>
    <row r="139" spans="1:9">
      <c r="A139" s="1" t="s">
        <v>14</v>
      </c>
      <c r="B139" s="3">
        <v>44904.914467592593</v>
      </c>
      <c r="C139" s="1" t="s">
        <v>7</v>
      </c>
      <c r="D139" s="4" t="str">
        <f>CONCATENATE(B139,RIGHT(C139,2))</f>
        <v>44904.9144675926C1</v>
      </c>
      <c r="E139" s="1">
        <v>0</v>
      </c>
      <c r="F139" s="4" t="e">
        <f>VLOOKUP(D139,'LP-T2 大顆的'!D:E,2)</f>
        <v>#N/A</v>
      </c>
      <c r="G139" s="1" t="s">
        <v>11</v>
      </c>
      <c r="H139" s="4" t="str">
        <f>IF(C139&lt;&gt;B139,IF(AND(E139&gt;=20,E139&lt;35),"warning",IF(AND(E139&gt;=35,E139&lt;=50),"快要 O.O.C 啦",IF(E139&gt;50,"超出規格 O.O.C 啦",""))))</f>
        <v/>
      </c>
      <c r="I139" s="4" t="e">
        <f>IF(C139&lt;&gt;B139,IF(AND(F139&gt;=5,E139&lt;10),"warning",IF(AND(F139&gt;=10,F139&lt;=15),"快要 O.O.C 啦",IF(F139&gt;15,"超出規格 O.O.C 啦",""))))</f>
        <v>#N/A</v>
      </c>
    </row>
    <row r="140" spans="1:9">
      <c r="A140" s="1" t="s">
        <v>13</v>
      </c>
      <c r="B140" s="3">
        <v>44904.907488425924</v>
      </c>
      <c r="C140" s="1" t="s">
        <v>5</v>
      </c>
      <c r="D140" s="4" t="str">
        <f>CONCATENATE(B140,RIGHT(C140,2))</f>
        <v>44904.9074884259C6</v>
      </c>
      <c r="E140" s="1">
        <v>0</v>
      </c>
      <c r="F140" s="4" t="e">
        <f>VLOOKUP(D140,'LP-T2 大顆的'!D:E,2)</f>
        <v>#N/A</v>
      </c>
      <c r="G140" s="1" t="s">
        <v>11</v>
      </c>
      <c r="H140" s="4" t="str">
        <f>IF(C140&lt;&gt;B140,IF(AND(E140&gt;=20,E140&lt;35),"warning",IF(AND(E140&gt;=35,E140&lt;=50),"快要 O.O.C 啦",IF(E140&gt;50,"超出規格 O.O.C 啦",""))))</f>
        <v/>
      </c>
      <c r="I140" s="4" t="e">
        <f>IF(C140&lt;&gt;B140,IF(AND(F140&gt;=5,E140&lt;10),"warning",IF(AND(F140&gt;=10,F140&lt;=15),"快要 O.O.C 啦",IF(F140&gt;15,"超出規格 O.O.C 啦",""))))</f>
        <v>#N/A</v>
      </c>
    </row>
    <row r="141" spans="1:9">
      <c r="A141" s="1" t="s">
        <v>13</v>
      </c>
      <c r="B141" s="3">
        <v>44904.907488425924</v>
      </c>
      <c r="C141" s="1" t="s">
        <v>7</v>
      </c>
      <c r="D141" s="4" t="str">
        <f>CONCATENATE(B141,RIGHT(C141,2))</f>
        <v>44904.9074884259C1</v>
      </c>
      <c r="E141" s="1">
        <v>0</v>
      </c>
      <c r="F141" s="4" t="e">
        <f>VLOOKUP(D141,'LP-T2 大顆的'!D:E,2)</f>
        <v>#N/A</v>
      </c>
      <c r="G141" s="1" t="s">
        <v>11</v>
      </c>
      <c r="H141" s="4" t="str">
        <f>IF(C141&lt;&gt;B141,IF(AND(E141&gt;=20,E141&lt;35),"warning",IF(AND(E141&gt;=35,E141&lt;=50),"快要 O.O.C 啦",IF(E141&gt;50,"超出規格 O.O.C 啦",""))))</f>
        <v/>
      </c>
      <c r="I141" s="4" t="e">
        <f>IF(C141&lt;&gt;B141,IF(AND(F141&gt;=5,E141&lt;10),"warning",IF(AND(F141&gt;=10,F141&lt;=15),"快要 O.O.C 啦",IF(F141&gt;15,"超出規格 O.O.C 啦",""))))</f>
        <v>#N/A</v>
      </c>
    </row>
    <row r="142" spans="1:9">
      <c r="A142" s="1" t="s">
        <v>4</v>
      </c>
      <c r="B142" s="3">
        <v>44904.836134259262</v>
      </c>
      <c r="C142" s="1" t="s">
        <v>5</v>
      </c>
      <c r="D142" s="4" t="str">
        <f>CONCATENATE(B142,RIGHT(C142,2))</f>
        <v>44904.8361342593C6</v>
      </c>
      <c r="E142" s="1">
        <v>3</v>
      </c>
      <c r="F142" s="4" t="e">
        <f>VLOOKUP(D142,'LP-T2 大顆的'!D:E,2)</f>
        <v>#N/A</v>
      </c>
      <c r="G142" s="1" t="s">
        <v>11</v>
      </c>
      <c r="H142" s="4" t="str">
        <f>IF(C142&lt;&gt;B142,IF(AND(E142&gt;=20,E142&lt;35),"warning",IF(AND(E142&gt;=35,E142&lt;=50),"快要 O.O.C 啦",IF(E142&gt;50,"超出規格 O.O.C 啦",""))))</f>
        <v/>
      </c>
      <c r="I142" s="4" t="e">
        <f>IF(C142&lt;&gt;B142,IF(AND(F142&gt;=5,E142&lt;10),"warning",IF(AND(F142&gt;=10,F142&lt;=15),"快要 O.O.C 啦",IF(F142&gt;15,"超出規格 O.O.C 啦",""))))</f>
        <v>#N/A</v>
      </c>
    </row>
    <row r="143" spans="1:9">
      <c r="A143" s="1" t="s">
        <v>4</v>
      </c>
      <c r="B143" s="3">
        <v>44904.836134259262</v>
      </c>
      <c r="C143" s="1" t="s">
        <v>7</v>
      </c>
      <c r="D143" s="4" t="str">
        <f>CONCATENATE(B143,RIGHT(C143,2))</f>
        <v>44904.8361342593C1</v>
      </c>
      <c r="E143" s="1">
        <v>0</v>
      </c>
      <c r="F143" s="4" t="e">
        <f>VLOOKUP(D143,'LP-T2 大顆的'!D:E,2)</f>
        <v>#N/A</v>
      </c>
      <c r="G143" s="1" t="s">
        <v>11</v>
      </c>
      <c r="H143" s="4" t="str">
        <f>IF(C143&lt;&gt;B143,IF(AND(E143&gt;=20,E143&lt;35),"warning",IF(AND(E143&gt;=35,E143&lt;=50),"快要 O.O.C 啦",IF(E143&gt;50,"超出規格 O.O.C 啦",""))))</f>
        <v/>
      </c>
      <c r="I143" s="4" t="e">
        <f>IF(C143&lt;&gt;B143,IF(AND(F143&gt;=5,E143&lt;10),"warning",IF(AND(F143&gt;=10,F143&lt;=15),"快要 O.O.C 啦",IF(F143&gt;15,"超出規格 O.O.C 啦",""))))</f>
        <v>#N/A</v>
      </c>
    </row>
    <row r="144" spans="1:9">
      <c r="A144" s="1" t="s">
        <v>14</v>
      </c>
      <c r="B144" s="3">
        <v>44904.755902777775</v>
      </c>
      <c r="C144" s="1" t="s">
        <v>6</v>
      </c>
      <c r="D144" s="4" t="str">
        <f>CONCATENATE(B144,RIGHT(C144,2))</f>
        <v>44904.7559027778C4</v>
      </c>
      <c r="E144" s="1">
        <v>4</v>
      </c>
      <c r="F144" s="4" t="e">
        <f>VLOOKUP(D144,'LP-T2 大顆的'!D:E,2)</f>
        <v>#N/A</v>
      </c>
      <c r="G144" s="1" t="s">
        <v>11</v>
      </c>
      <c r="H144" s="4" t="str">
        <f>IF(C144&lt;&gt;B144,IF(AND(E144&gt;=20,E144&lt;35),"warning",IF(AND(E144&gt;=35,E144&lt;=50),"快要 O.O.C 啦",IF(E144&gt;50,"超出規格 O.O.C 啦",""))))</f>
        <v/>
      </c>
      <c r="I144" s="4" t="e">
        <f>IF(C144&lt;&gt;B144,IF(AND(F144&gt;=5,E144&lt;10),"warning",IF(AND(F144&gt;=10,F144&lt;=15),"快要 O.O.C 啦",IF(F144&gt;15,"超出規格 O.O.C 啦",""))))</f>
        <v>#N/A</v>
      </c>
    </row>
    <row r="145" spans="1:9">
      <c r="A145" s="1" t="s">
        <v>12</v>
      </c>
      <c r="B145" s="3">
        <v>44904.740266203706</v>
      </c>
      <c r="C145" s="1" t="s">
        <v>6</v>
      </c>
      <c r="D145" s="4" t="str">
        <f>CONCATENATE(B145,RIGHT(C145,2))</f>
        <v>44904.7402662037C4</v>
      </c>
      <c r="E145" s="1">
        <v>0</v>
      </c>
      <c r="F145" s="4" t="e">
        <f>VLOOKUP(D145,'LP-T2 大顆的'!D:E,2)</f>
        <v>#N/A</v>
      </c>
      <c r="G145" s="1" t="s">
        <v>11</v>
      </c>
      <c r="H145" s="4" t="str">
        <f>IF(C145&lt;&gt;B145,IF(AND(E145&gt;=20,E145&lt;35),"warning",IF(AND(E145&gt;=35,E145&lt;=50),"快要 O.O.C 啦",IF(E145&gt;50,"超出規格 O.O.C 啦",""))))</f>
        <v/>
      </c>
      <c r="I145" s="4" t="e">
        <f>IF(C145&lt;&gt;B145,IF(AND(F145&gt;=5,E145&lt;10),"warning",IF(AND(F145&gt;=10,F145&lt;=15),"快要 O.O.C 啦",IF(F145&gt;15,"超出規格 O.O.C 啦",""))))</f>
        <v>#N/A</v>
      </c>
    </row>
    <row r="146" spans="1:9">
      <c r="A146" s="1" t="s">
        <v>16</v>
      </c>
      <c r="B146" s="3">
        <v>44904.729131944441</v>
      </c>
      <c r="C146" s="1" t="s">
        <v>6</v>
      </c>
      <c r="D146" s="4" t="str">
        <f>CONCATENATE(B146,RIGHT(C146,2))</f>
        <v>44904.7291319444C4</v>
      </c>
      <c r="E146" s="1">
        <v>0</v>
      </c>
      <c r="F146" s="4" t="e">
        <f>VLOOKUP(D146,'LP-T2 大顆的'!D:E,2)</f>
        <v>#N/A</v>
      </c>
      <c r="G146" s="1" t="s">
        <v>11</v>
      </c>
      <c r="H146" s="4" t="str">
        <f>IF(C146&lt;&gt;B146,IF(AND(E146&gt;=20,E146&lt;35),"warning",IF(AND(E146&gt;=35,E146&lt;=50),"快要 O.O.C 啦",IF(E146&gt;50,"超出規格 O.O.C 啦",""))))</f>
        <v/>
      </c>
      <c r="I146" s="4" t="e">
        <f>IF(C146&lt;&gt;B146,IF(AND(F146&gt;=5,E146&lt;10),"warning",IF(AND(F146&gt;=10,F146&lt;=15),"快要 O.O.C 啦",IF(F146&gt;15,"超出規格 O.O.C 啦",""))))</f>
        <v>#N/A</v>
      </c>
    </row>
    <row r="147" spans="1:9">
      <c r="A147" s="1" t="s">
        <v>15</v>
      </c>
      <c r="B147" s="3">
        <v>44904.728402777779</v>
      </c>
      <c r="C147" s="1" t="s">
        <v>6</v>
      </c>
      <c r="D147" s="4" t="str">
        <f>CONCATENATE(B147,RIGHT(C147,2))</f>
        <v>44904.7284027778C4</v>
      </c>
      <c r="E147" s="1">
        <v>0</v>
      </c>
      <c r="F147" s="4" t="e">
        <f>VLOOKUP(D147,'LP-T2 大顆的'!D:E,2)</f>
        <v>#N/A</v>
      </c>
      <c r="G147" s="1" t="s">
        <v>11</v>
      </c>
      <c r="H147" s="4" t="str">
        <f>IF(C147&lt;&gt;B147,IF(AND(E147&gt;=20,E147&lt;35),"warning",IF(AND(E147&gt;=35,E147&lt;=50),"快要 O.O.C 啦",IF(E147&gt;50,"超出規格 O.O.C 啦",""))))</f>
        <v/>
      </c>
      <c r="I147" s="4" t="e">
        <f>IF(C147&lt;&gt;B147,IF(AND(F147&gt;=5,E147&lt;10),"warning",IF(AND(F147&gt;=10,F147&lt;=15),"快要 O.O.C 啦",IF(F147&gt;15,"超出規格 O.O.C 啦",""))))</f>
        <v>#N/A</v>
      </c>
    </row>
    <row r="148" spans="1:9">
      <c r="A148" s="1" t="s">
        <v>13</v>
      </c>
      <c r="B148" s="3">
        <v>44904.707962962966</v>
      </c>
      <c r="C148" s="1" t="s">
        <v>6</v>
      </c>
      <c r="D148" s="4" t="str">
        <f>CONCATENATE(B148,RIGHT(C148,2))</f>
        <v>44904.707962963C4</v>
      </c>
      <c r="E148" s="1">
        <v>0</v>
      </c>
      <c r="F148" s="4" t="e">
        <f>VLOOKUP(D148,'LP-T2 大顆的'!D:E,2)</f>
        <v>#N/A</v>
      </c>
      <c r="G148" s="1" t="s">
        <v>11</v>
      </c>
      <c r="H148" s="4" t="str">
        <f>IF(C148&lt;&gt;B148,IF(AND(E148&gt;=20,E148&lt;35),"warning",IF(AND(E148&gt;=35,E148&lt;=50),"快要 O.O.C 啦",IF(E148&gt;50,"超出規格 O.O.C 啦",""))))</f>
        <v/>
      </c>
      <c r="I148" s="4" t="e">
        <f>IF(C148&lt;&gt;B148,IF(AND(F148&gt;=5,E148&lt;10),"warning",IF(AND(F148&gt;=10,F148&lt;=15),"快要 O.O.C 啦",IF(F148&gt;15,"超出規格 O.O.C 啦",""))))</f>
        <v>#N/A</v>
      </c>
    </row>
    <row r="149" spans="1:9">
      <c r="A149" s="1" t="s">
        <v>4</v>
      </c>
      <c r="B149" s="3">
        <v>44904.690833333334</v>
      </c>
      <c r="C149" s="1" t="s">
        <v>6</v>
      </c>
      <c r="D149" s="4" t="str">
        <f>CONCATENATE(B149,RIGHT(C149,2))</f>
        <v>44904.6908333333C4</v>
      </c>
      <c r="E149" s="1">
        <v>1</v>
      </c>
      <c r="F149" s="4" t="e">
        <f>VLOOKUP(D149,'LP-T2 大顆的'!D:E,2)</f>
        <v>#N/A</v>
      </c>
      <c r="G149" s="1" t="s">
        <v>11</v>
      </c>
      <c r="H149" s="4" t="str">
        <f>IF(C149&lt;&gt;B149,IF(AND(E149&gt;=20,E149&lt;35),"warning",IF(AND(E149&gt;=35,E149&lt;=50),"快要 O.O.C 啦",IF(E149&gt;50,"超出規格 O.O.C 啦",""))))</f>
        <v/>
      </c>
      <c r="I149" s="4" t="e">
        <f>IF(C149&lt;&gt;B149,IF(AND(F149&gt;=5,E149&lt;10),"warning",IF(AND(F149&gt;=10,F149&lt;=15),"快要 O.O.C 啦",IF(F149&gt;15,"超出規格 O.O.C 啦",""))))</f>
        <v>#N/A</v>
      </c>
    </row>
    <row r="150" spans="1:9">
      <c r="A150" s="1" t="s">
        <v>14</v>
      </c>
      <c r="B150" s="3">
        <v>44904.609189814815</v>
      </c>
      <c r="C150" s="1" t="s">
        <v>6</v>
      </c>
      <c r="D150" s="4" t="str">
        <f>CONCATENATE(B150,RIGHT(C150,2))</f>
        <v>44904.6091898148C4</v>
      </c>
      <c r="E150" s="1">
        <v>0</v>
      </c>
      <c r="F150" s="4" t="e">
        <f>VLOOKUP(D150,'LP-T2 大顆的'!D:E,2)</f>
        <v>#N/A</v>
      </c>
      <c r="G150" s="1" t="s">
        <v>11</v>
      </c>
      <c r="H150" s="4" t="str">
        <f>IF(C150&lt;&gt;B150,IF(AND(E150&gt;=20,E150&lt;35),"warning",IF(AND(E150&gt;=35,E150&lt;=50),"快要 O.O.C 啦",IF(E150&gt;50,"超出規格 O.O.C 啦",""))))</f>
        <v/>
      </c>
      <c r="I150" s="4" t="e">
        <f>IF(C150&lt;&gt;B150,IF(AND(F150&gt;=5,E150&lt;10),"warning",IF(AND(F150&gt;=10,F150&lt;=15),"快要 O.O.C 啦",IF(F150&gt;15,"超出規格 O.O.C 啦",""))))</f>
        <v>#N/A</v>
      </c>
    </row>
    <row r="151" spans="1:9">
      <c r="A151" s="1" t="s">
        <v>16</v>
      </c>
      <c r="B151" s="3">
        <v>44904.57545138889</v>
      </c>
      <c r="C151" s="1" t="s">
        <v>6</v>
      </c>
      <c r="D151" s="4" t="str">
        <f>CONCATENATE(B151,RIGHT(C151,2))</f>
        <v>44904.5754513889C4</v>
      </c>
      <c r="E151" s="1">
        <v>0</v>
      </c>
      <c r="F151" s="4" t="e">
        <f>VLOOKUP(D151,'LP-T2 大顆的'!D:E,2)</f>
        <v>#N/A</v>
      </c>
      <c r="G151" s="1" t="s">
        <v>11</v>
      </c>
      <c r="H151" s="4" t="str">
        <f>IF(C151&lt;&gt;B151,IF(AND(E151&gt;=20,E151&lt;35),"warning",IF(AND(E151&gt;=35,E151&lt;=50),"快要 O.O.C 啦",IF(E151&gt;50,"超出規格 O.O.C 啦",""))))</f>
        <v/>
      </c>
      <c r="I151" s="4" t="e">
        <f>IF(C151&lt;&gt;B151,IF(AND(F151&gt;=5,E151&lt;10),"warning",IF(AND(F151&gt;=10,F151&lt;=15),"快要 O.O.C 啦",IF(F151&gt;15,"超出規格 O.O.C 啦",""))))</f>
        <v>#N/A</v>
      </c>
    </row>
    <row r="152" spans="1:9">
      <c r="A152" s="1" t="s">
        <v>12</v>
      </c>
      <c r="B152" s="3">
        <v>44904.5546412037</v>
      </c>
      <c r="C152" s="1" t="s">
        <v>6</v>
      </c>
      <c r="D152" s="4" t="str">
        <f>CONCATENATE(B152,RIGHT(C152,2))</f>
        <v>44904.5546412037C4</v>
      </c>
      <c r="E152" s="1">
        <v>0</v>
      </c>
      <c r="F152" s="4" t="e">
        <f>VLOOKUP(D152,'LP-T2 大顆的'!D:E,2)</f>
        <v>#N/A</v>
      </c>
      <c r="G152" s="1" t="s">
        <v>11</v>
      </c>
      <c r="H152" s="4" t="str">
        <f>IF(C152&lt;&gt;B152,IF(AND(E152&gt;=20,E152&lt;35),"warning",IF(AND(E152&gt;=35,E152&lt;=50),"快要 O.O.C 啦",IF(E152&gt;50,"超出規格 O.O.C 啦",""))))</f>
        <v/>
      </c>
      <c r="I152" s="4" t="e">
        <f>IF(C152&lt;&gt;B152,IF(AND(F152&gt;=5,E152&lt;10),"warning",IF(AND(F152&gt;=10,F152&lt;=15),"快要 O.O.C 啦",IF(F152&gt;15,"超出規格 O.O.C 啦",""))))</f>
        <v>#N/A</v>
      </c>
    </row>
    <row r="153" spans="1:9">
      <c r="A153" s="1" t="s">
        <v>13</v>
      </c>
      <c r="B153" s="3">
        <v>44904.54146990741</v>
      </c>
      <c r="C153" s="1" t="s">
        <v>6</v>
      </c>
      <c r="D153" s="4" t="str">
        <f>CONCATENATE(B153,RIGHT(C153,2))</f>
        <v>44904.5414699074C4</v>
      </c>
      <c r="E153" s="1">
        <v>0</v>
      </c>
      <c r="F153" s="4" t="e">
        <f>VLOOKUP(D153,'LP-T2 大顆的'!D:E,2)</f>
        <v>#N/A</v>
      </c>
      <c r="G153" s="1" t="s">
        <v>11</v>
      </c>
      <c r="H153" s="4" t="str">
        <f>IF(C153&lt;&gt;B153,IF(AND(E153&gt;=20,E153&lt;35),"warning",IF(AND(E153&gt;=35,E153&lt;=50),"快要 O.O.C 啦",IF(E153&gt;50,"超出規格 O.O.C 啦",""))))</f>
        <v/>
      </c>
      <c r="I153" s="4" t="e">
        <f>IF(C153&lt;&gt;B153,IF(AND(F153&gt;=5,E153&lt;10),"warning",IF(AND(F153&gt;=10,F153&lt;=15),"快要 O.O.C 啦",IF(F153&gt;15,"超出規格 O.O.C 啦",""))))</f>
        <v>#N/A</v>
      </c>
    </row>
    <row r="154" spans="1:9">
      <c r="A154" s="1" t="s">
        <v>15</v>
      </c>
      <c r="B154" s="3">
        <v>44904.537766203706</v>
      </c>
      <c r="C154" s="1" t="s">
        <v>6</v>
      </c>
      <c r="D154" s="4" t="str">
        <f>CONCATENATE(B154,RIGHT(C154,2))</f>
        <v>44904.5377662037C4</v>
      </c>
      <c r="E154" s="1">
        <v>1</v>
      </c>
      <c r="F154" s="4" t="e">
        <f>VLOOKUP(D154,'LP-T2 大顆的'!D:E,2)</f>
        <v>#N/A</v>
      </c>
      <c r="G154" s="1" t="s">
        <v>11</v>
      </c>
      <c r="H154" s="4" t="str">
        <f>IF(C154&lt;&gt;B154,IF(AND(E154&gt;=20,E154&lt;35),"warning",IF(AND(E154&gt;=35,E154&lt;=50),"快要 O.O.C 啦",IF(E154&gt;50,"超出規格 O.O.C 啦",""))))</f>
        <v/>
      </c>
      <c r="I154" s="4" t="e">
        <f>IF(C154&lt;&gt;B154,IF(AND(F154&gt;=5,E154&lt;10),"warning",IF(AND(F154&gt;=10,F154&lt;=15),"快要 O.O.C 啦",IF(F154&gt;15,"超出規格 O.O.C 啦",""))))</f>
        <v>#N/A</v>
      </c>
    </row>
    <row r="155" spans="1:9">
      <c r="A155" s="1" t="s">
        <v>4</v>
      </c>
      <c r="B155" s="3">
        <v>44904.494317129633</v>
      </c>
      <c r="C155" s="1" t="s">
        <v>6</v>
      </c>
      <c r="D155" s="4" t="str">
        <f>CONCATENATE(B155,RIGHT(C155,2))</f>
        <v>44904.4943171296C4</v>
      </c>
      <c r="E155" s="1">
        <v>0</v>
      </c>
      <c r="F155" s="4" t="e">
        <f>VLOOKUP(D155,'LP-T2 大顆的'!D:E,2)</f>
        <v>#N/A</v>
      </c>
      <c r="G155" s="1" t="s">
        <v>11</v>
      </c>
      <c r="H155" s="4" t="str">
        <f>IF(C155&lt;&gt;B155,IF(AND(E155&gt;=20,E155&lt;35),"warning",IF(AND(E155&gt;=35,E155&lt;=50),"快要 O.O.C 啦",IF(E155&gt;50,"超出規格 O.O.C 啦",""))))</f>
        <v/>
      </c>
      <c r="I155" s="4" t="e">
        <f>IF(C155&lt;&gt;B155,IF(AND(F155&gt;=5,E155&lt;10),"warning",IF(AND(F155&gt;=10,F155&lt;=15),"快要 O.O.C 啦",IF(F155&gt;15,"超出規格 O.O.C 啦",""))))</f>
        <v>#N/A</v>
      </c>
    </row>
    <row r="156" spans="1:9">
      <c r="A156" s="1" t="s">
        <v>14</v>
      </c>
      <c r="B156" s="3">
        <v>44904.447152777779</v>
      </c>
      <c r="C156" s="1" t="s">
        <v>7</v>
      </c>
      <c r="D156" s="4" t="str">
        <f>CONCATENATE(B156,RIGHT(C156,2))</f>
        <v>44904.4471527778C1</v>
      </c>
      <c r="E156" s="1">
        <v>3</v>
      </c>
      <c r="F156" s="4" t="e">
        <f>VLOOKUP(D156,'LP-T2 大顆的'!D:E,2)</f>
        <v>#N/A</v>
      </c>
      <c r="G156" s="1" t="s">
        <v>11</v>
      </c>
      <c r="H156" s="4" t="str">
        <f>IF(C156&lt;&gt;B156,IF(AND(E156&gt;=20,E156&lt;35),"warning",IF(AND(E156&gt;=35,E156&lt;=50),"快要 O.O.C 啦",IF(E156&gt;50,"超出規格 O.O.C 啦",""))))</f>
        <v/>
      </c>
      <c r="I156" s="4" t="e">
        <f>IF(C156&lt;&gt;B156,IF(AND(F156&gt;=5,E156&lt;10),"warning",IF(AND(F156&gt;=10,F156&lt;=15),"快要 O.O.C 啦",IF(F156&gt;15,"超出規格 O.O.C 啦",""))))</f>
        <v>#N/A</v>
      </c>
    </row>
    <row r="157" spans="1:9">
      <c r="A157" s="1" t="s">
        <v>13</v>
      </c>
      <c r="B157" s="3">
        <v>44904.397997685184</v>
      </c>
      <c r="C157" s="1" t="s">
        <v>7</v>
      </c>
      <c r="D157" s="4" t="str">
        <f>CONCATENATE(B157,RIGHT(C157,2))</f>
        <v>44904.3979976852C1</v>
      </c>
      <c r="E157" s="1">
        <v>0</v>
      </c>
      <c r="F157" s="4" t="e">
        <f>VLOOKUP(D157,'LP-T2 大顆的'!D:E,2)</f>
        <v>#N/A</v>
      </c>
      <c r="G157" s="1" t="s">
        <v>11</v>
      </c>
      <c r="H157" s="4" t="str">
        <f>IF(C157&lt;&gt;B157,IF(AND(E157&gt;=20,E157&lt;35),"warning",IF(AND(E157&gt;=35,E157&lt;=50),"快要 O.O.C 啦",IF(E157&gt;50,"超出規格 O.O.C 啦",""))))</f>
        <v/>
      </c>
      <c r="I157" s="4" t="e">
        <f>IF(C157&lt;&gt;B157,IF(AND(F157&gt;=5,E157&lt;10),"warning",IF(AND(F157&gt;=10,F157&lt;=15),"快要 O.O.C 啦",IF(F157&gt;15,"超出規格 O.O.C 啦",""))))</f>
        <v>#N/A</v>
      </c>
    </row>
    <row r="158" spans="1:9">
      <c r="A158" s="1" t="s">
        <v>16</v>
      </c>
      <c r="B158" s="3">
        <v>44904.377905092595</v>
      </c>
      <c r="C158" s="1" t="s">
        <v>7</v>
      </c>
      <c r="D158" s="4" t="str">
        <f>CONCATENATE(B158,RIGHT(C158,2))</f>
        <v>44904.3779050926C1</v>
      </c>
      <c r="E158" s="1">
        <v>1</v>
      </c>
      <c r="F158" s="4" t="e">
        <f>VLOOKUP(D158,'LP-T2 大顆的'!D:E,2)</f>
        <v>#N/A</v>
      </c>
      <c r="G158" s="1" t="s">
        <v>11</v>
      </c>
      <c r="H158" s="4" t="str">
        <f>IF(C158&lt;&gt;B158,IF(AND(E158&gt;=20,E158&lt;35),"warning",IF(AND(E158&gt;=35,E158&lt;=50),"快要 O.O.C 啦",IF(E158&gt;50,"超出規格 O.O.C 啦",""))))</f>
        <v/>
      </c>
      <c r="I158" s="4" t="e">
        <f>IF(C158&lt;&gt;B158,IF(AND(F158&gt;=5,E158&lt;10),"warning",IF(AND(F158&gt;=10,F158&lt;=15),"快要 O.O.C 啦",IF(F158&gt;15,"超出規格 O.O.C 啦",""))))</f>
        <v>#N/A</v>
      </c>
    </row>
    <row r="159" spans="1:9">
      <c r="A159" s="1" t="s">
        <v>12</v>
      </c>
      <c r="B159" s="3">
        <v>44904.373402777775</v>
      </c>
      <c r="C159" s="1" t="s">
        <v>7</v>
      </c>
      <c r="D159" s="4" t="str">
        <f>CONCATENATE(B159,RIGHT(C159,2))</f>
        <v>44904.3734027778C1</v>
      </c>
      <c r="E159" s="1">
        <v>3</v>
      </c>
      <c r="F159" s="4" t="e">
        <f>VLOOKUP(D159,'LP-T2 大顆的'!D:E,2)</f>
        <v>#N/A</v>
      </c>
      <c r="G159" s="1" t="s">
        <v>11</v>
      </c>
      <c r="H159" s="4" t="str">
        <f>IF(C159&lt;&gt;B159,IF(AND(E159&gt;=20,E159&lt;35),"warning",IF(AND(E159&gt;=35,E159&lt;=50),"快要 O.O.C 啦",IF(E159&gt;50,"超出規格 O.O.C 啦",""))))</f>
        <v/>
      </c>
      <c r="I159" s="4" t="e">
        <f>IF(C159&lt;&gt;B159,IF(AND(F159&gt;=5,E159&lt;10),"warning",IF(AND(F159&gt;=10,F159&lt;=15),"快要 O.O.C 啦",IF(F159&gt;15,"超出規格 O.O.C 啦",""))))</f>
        <v>#N/A</v>
      </c>
    </row>
    <row r="160" spans="1:9">
      <c r="A160" s="1" t="s">
        <v>4</v>
      </c>
      <c r="B160" s="3">
        <v>44904.329884259256</v>
      </c>
      <c r="C160" s="1" t="s">
        <v>7</v>
      </c>
      <c r="D160" s="4" t="str">
        <f>CONCATENATE(B160,RIGHT(C160,2))</f>
        <v>44904.3298842593C1</v>
      </c>
      <c r="E160" s="1">
        <v>0</v>
      </c>
      <c r="F160" s="4" t="e">
        <f>VLOOKUP(D160,'LP-T2 大顆的'!D:E,2)</f>
        <v>#N/A</v>
      </c>
      <c r="G160" s="1" t="s">
        <v>11</v>
      </c>
      <c r="H160" s="4" t="str">
        <f>IF(C160&lt;&gt;B160,IF(AND(E160&gt;=20,E160&lt;35),"warning",IF(AND(E160&gt;=35,E160&lt;=50),"快要 O.O.C 啦",IF(E160&gt;50,"超出規格 O.O.C 啦",""))))</f>
        <v/>
      </c>
      <c r="I160" s="4" t="e">
        <f>IF(C160&lt;&gt;B160,IF(AND(F160&gt;=5,E160&lt;10),"warning",IF(AND(F160&gt;=10,F160&lt;=15),"快要 O.O.C 啦",IF(F160&gt;15,"超出規格 O.O.C 啦",""))))</f>
        <v>#N/A</v>
      </c>
    </row>
    <row r="161" spans="1:9">
      <c r="A161" s="1" t="s">
        <v>14</v>
      </c>
      <c r="B161" s="3">
        <v>44904.271203703705</v>
      </c>
      <c r="C161" s="1" t="s">
        <v>7</v>
      </c>
      <c r="D161" s="4" t="str">
        <f>CONCATENATE(B161,RIGHT(C161,2))</f>
        <v>44904.2712037037C1</v>
      </c>
      <c r="E161" s="1">
        <v>1</v>
      </c>
      <c r="F161" s="4" t="e">
        <f>VLOOKUP(D161,'LP-T2 大顆的'!D:E,2)</f>
        <v>#N/A</v>
      </c>
      <c r="G161" s="1" t="s">
        <v>11</v>
      </c>
      <c r="H161" s="4" t="str">
        <f>IF(C161&lt;&gt;B161,IF(AND(E161&gt;=20,E161&lt;35),"warning",IF(AND(E161&gt;=35,E161&lt;=50),"快要 O.O.C 啦",IF(E161&gt;50,"超出規格 O.O.C 啦",""))))</f>
        <v/>
      </c>
      <c r="I161" s="4" t="e">
        <f>IF(C161&lt;&gt;B161,IF(AND(F161&gt;=5,E161&lt;10),"warning",IF(AND(F161&gt;=10,F161&lt;=15),"快要 O.O.C 啦",IF(F161&gt;15,"超出規格 O.O.C 啦",""))))</f>
        <v>#N/A</v>
      </c>
    </row>
    <row r="162" spans="1:9">
      <c r="A162" s="1" t="s">
        <v>13</v>
      </c>
      <c r="B162" s="3">
        <v>44904.230312500003</v>
      </c>
      <c r="C162" s="1" t="s">
        <v>7</v>
      </c>
      <c r="D162" s="4" t="str">
        <f>CONCATENATE(B162,RIGHT(C162,2))</f>
        <v>44904.2303125C1</v>
      </c>
      <c r="E162" s="1">
        <v>0</v>
      </c>
      <c r="F162" s="4" t="e">
        <f>VLOOKUP(D162,'LP-T2 大顆的'!D:E,2)</f>
        <v>#N/A</v>
      </c>
      <c r="G162" s="1" t="s">
        <v>11</v>
      </c>
      <c r="H162" s="4" t="str">
        <f>IF(C162&lt;&gt;B162,IF(AND(E162&gt;=20,E162&lt;35),"warning",IF(AND(E162&gt;=35,E162&lt;=50),"快要 O.O.C 啦",IF(E162&gt;50,"超出規格 O.O.C 啦",""))))</f>
        <v/>
      </c>
      <c r="I162" s="4" t="e">
        <f>IF(C162&lt;&gt;B162,IF(AND(F162&gt;=5,E162&lt;10),"warning",IF(AND(F162&gt;=10,F162&lt;=15),"快要 O.O.C 啦",IF(F162&gt;15,"超出規格 O.O.C 啦",""))))</f>
        <v>#N/A</v>
      </c>
    </row>
    <row r="163" spans="1:9">
      <c r="A163" s="1" t="s">
        <v>16</v>
      </c>
      <c r="B163" s="3">
        <v>44904.216886574075</v>
      </c>
      <c r="C163" s="1" t="s">
        <v>7</v>
      </c>
      <c r="D163" s="4" t="str">
        <f>CONCATENATE(B163,RIGHT(C163,2))</f>
        <v>44904.2168865741C1</v>
      </c>
      <c r="E163" s="1">
        <v>0</v>
      </c>
      <c r="F163" s="4" t="e">
        <f>VLOOKUP(D163,'LP-T2 大顆的'!D:E,2)</f>
        <v>#N/A</v>
      </c>
      <c r="G163" s="1" t="s">
        <v>11</v>
      </c>
      <c r="H163" s="4" t="str">
        <f>IF(C163&lt;&gt;B163,IF(AND(E163&gt;=20,E163&lt;35),"warning",IF(AND(E163&gt;=35,E163&lt;=50),"快要 O.O.C 啦",IF(E163&gt;50,"超出規格 O.O.C 啦",""))))</f>
        <v/>
      </c>
      <c r="I163" s="4" t="e">
        <f>IF(C163&lt;&gt;B163,IF(AND(F163&gt;=5,E163&lt;10),"warning",IF(AND(F163&gt;=10,F163&lt;=15),"快要 O.O.C 啦",IF(F163&gt;15,"超出規格 O.O.C 啦",""))))</f>
        <v>#N/A</v>
      </c>
    </row>
    <row r="164" spans="1:9">
      <c r="A164" s="1" t="s">
        <v>15</v>
      </c>
      <c r="B164" s="3">
        <v>44904.151516203703</v>
      </c>
      <c r="C164" s="1" t="s">
        <v>5</v>
      </c>
      <c r="D164" s="4" t="str">
        <f>CONCATENATE(B164,RIGHT(C164,2))</f>
        <v>44904.1515162037C6</v>
      </c>
      <c r="E164" s="1">
        <v>0</v>
      </c>
      <c r="F164" s="4" t="e">
        <f>VLOOKUP(D164,'LP-T2 大顆的'!D:E,2)</f>
        <v>#N/A</v>
      </c>
      <c r="G164" s="1" t="s">
        <v>11</v>
      </c>
      <c r="H164" s="4" t="str">
        <f>IF(C164&lt;&gt;B164,IF(AND(E164&gt;=20,E164&lt;35),"warning",IF(AND(E164&gt;=35,E164&lt;=50),"快要 O.O.C 啦",IF(E164&gt;50,"超出規格 O.O.C 啦",""))))</f>
        <v/>
      </c>
      <c r="I164" s="4" t="e">
        <f>IF(C164&lt;&gt;B164,IF(AND(F164&gt;=5,E164&lt;10),"warning",IF(AND(F164&gt;=10,F164&lt;=15),"快要 O.O.C 啦",IF(F164&gt;15,"超出規格 O.O.C 啦",""))))</f>
        <v>#N/A</v>
      </c>
    </row>
    <row r="165" spans="1:9">
      <c r="A165" s="1" t="s">
        <v>15</v>
      </c>
      <c r="B165" s="3">
        <v>44904.151516203703</v>
      </c>
      <c r="C165" s="1" t="s">
        <v>7</v>
      </c>
      <c r="D165" s="4" t="str">
        <f>CONCATENATE(B165,RIGHT(C165,2))</f>
        <v>44904.1515162037C1</v>
      </c>
      <c r="E165" s="1">
        <v>0</v>
      </c>
      <c r="F165" s="4" t="e">
        <f>VLOOKUP(D165,'LP-T2 大顆的'!D:E,2)</f>
        <v>#N/A</v>
      </c>
      <c r="G165" s="1" t="s">
        <v>11</v>
      </c>
      <c r="H165" s="4" t="str">
        <f>IF(C165&lt;&gt;B165,IF(AND(E165&gt;=20,E165&lt;35),"warning",IF(AND(E165&gt;=35,E165&lt;=50),"快要 O.O.C 啦",IF(E165&gt;50,"超出規格 O.O.C 啦",""))))</f>
        <v/>
      </c>
      <c r="I165" s="4" t="e">
        <f>IF(C165&lt;&gt;B165,IF(AND(F165&gt;=5,E165&lt;10),"warning",IF(AND(F165&gt;=10,F165&lt;=15),"快要 O.O.C 啦",IF(F165&gt;15,"超出規格 O.O.C 啦",""))))</f>
        <v>#N/A</v>
      </c>
    </row>
    <row r="166" spans="1:9">
      <c r="A166" s="1" t="s">
        <v>4</v>
      </c>
      <c r="B166" s="3">
        <v>44904.131076388891</v>
      </c>
      <c r="C166" s="1" t="s">
        <v>5</v>
      </c>
      <c r="D166" s="4" t="str">
        <f>CONCATENATE(B166,RIGHT(C166,2))</f>
        <v>44904.1310763889C6</v>
      </c>
      <c r="E166" s="1">
        <v>3</v>
      </c>
      <c r="F166" s="4" t="e">
        <f>VLOOKUP(D166,'LP-T2 大顆的'!D:E,2)</f>
        <v>#N/A</v>
      </c>
      <c r="G166" s="1" t="s">
        <v>11</v>
      </c>
      <c r="H166" s="4" t="str">
        <f>IF(C166&lt;&gt;B166,IF(AND(E166&gt;=20,E166&lt;35),"warning",IF(AND(E166&gt;=35,E166&lt;=50),"快要 O.O.C 啦",IF(E166&gt;50,"超出規格 O.O.C 啦",""))))</f>
        <v/>
      </c>
      <c r="I166" s="4" t="e">
        <f>IF(C166&lt;&gt;B166,IF(AND(F166&gt;=5,E166&lt;10),"warning",IF(AND(F166&gt;=10,F166&lt;=15),"快要 O.O.C 啦",IF(F166&gt;15,"超出規格 O.O.C 啦",""))))</f>
        <v>#N/A</v>
      </c>
    </row>
    <row r="167" spans="1:9">
      <c r="A167" s="1" t="s">
        <v>4</v>
      </c>
      <c r="B167" s="3">
        <v>44904.131076388891</v>
      </c>
      <c r="C167" s="1" t="s">
        <v>7</v>
      </c>
      <c r="D167" s="4" t="str">
        <f>CONCATENATE(B167,RIGHT(C167,2))</f>
        <v>44904.1310763889C1</v>
      </c>
      <c r="E167" s="1">
        <v>4</v>
      </c>
      <c r="F167" s="4" t="e">
        <f>VLOOKUP(D167,'LP-T2 大顆的'!D:E,2)</f>
        <v>#N/A</v>
      </c>
      <c r="G167" s="1" t="s">
        <v>11</v>
      </c>
      <c r="H167" s="4" t="str">
        <f>IF(C167&lt;&gt;B167,IF(AND(E167&gt;=20,E167&lt;35),"warning",IF(AND(E167&gt;=35,E167&lt;=50),"快要 O.O.C 啦",IF(E167&gt;50,"超出規格 O.O.C 啦",""))))</f>
        <v/>
      </c>
      <c r="I167" s="4" t="e">
        <f>IF(C167&lt;&gt;B167,IF(AND(F167&gt;=5,E167&lt;10),"warning",IF(AND(F167&gt;=10,F167&lt;=15),"快要 O.O.C 啦",IF(F167&gt;15,"超出規格 O.O.C 啦",""))))</f>
        <v>#N/A</v>
      </c>
    </row>
    <row r="168" spans="1:9">
      <c r="A168" s="1" t="s">
        <v>14</v>
      </c>
      <c r="B168" s="3">
        <v>44904.121805555558</v>
      </c>
      <c r="C168" s="1" t="s">
        <v>6</v>
      </c>
      <c r="D168" s="4" t="str">
        <f>CONCATENATE(B168,RIGHT(C168,2))</f>
        <v>44904.1218055556C4</v>
      </c>
      <c r="E168" s="1">
        <v>0</v>
      </c>
      <c r="F168" s="4" t="e">
        <f>VLOOKUP(D168,'LP-T2 大顆的'!D:E,2)</f>
        <v>#N/A</v>
      </c>
      <c r="G168" s="1" t="s">
        <v>11</v>
      </c>
      <c r="H168" s="4" t="str">
        <f>IF(C168&lt;&gt;B168,IF(AND(E168&gt;=20,E168&lt;35),"warning",IF(AND(E168&gt;=35,E168&lt;=50),"快要 O.O.C 啦",IF(E168&gt;50,"超出規格 O.O.C 啦",""))))</f>
        <v/>
      </c>
      <c r="I168" s="4" t="e">
        <f>IF(C168&lt;&gt;B168,IF(AND(F168&gt;=5,E168&lt;10),"warning",IF(AND(F168&gt;=10,F168&lt;=15),"快要 O.O.C 啦",IF(F168&gt;15,"超出規格 O.O.C 啦",""))))</f>
        <v>#N/A</v>
      </c>
    </row>
    <row r="169" spans="1:9">
      <c r="A169" s="1" t="s">
        <v>14</v>
      </c>
      <c r="B169" s="3">
        <v>44904.121805555558</v>
      </c>
      <c r="C169" s="1" t="s">
        <v>7</v>
      </c>
      <c r="D169" s="4" t="str">
        <f>CONCATENATE(B169,RIGHT(C169,2))</f>
        <v>44904.1218055556C1</v>
      </c>
      <c r="E169" s="1">
        <v>0</v>
      </c>
      <c r="F169" s="4" t="e">
        <f>VLOOKUP(D169,'LP-T2 大顆的'!D:E,2)</f>
        <v>#N/A</v>
      </c>
      <c r="G169" s="1" t="s">
        <v>11</v>
      </c>
      <c r="H169" s="4" t="str">
        <f>IF(C169&lt;&gt;B169,IF(AND(E169&gt;=20,E169&lt;35),"warning",IF(AND(E169&gt;=35,E169&lt;=50),"快要 O.O.C 啦",IF(E169&gt;50,"超出規格 O.O.C 啦",""))))</f>
        <v/>
      </c>
      <c r="I169" s="4" t="e">
        <f>IF(C169&lt;&gt;B169,IF(AND(F169&gt;=5,E169&lt;10),"warning",IF(AND(F169&gt;=10,F169&lt;=15),"快要 O.O.C 啦",IF(F169&gt;15,"超出規格 O.O.C 啦",""))))</f>
        <v>#N/A</v>
      </c>
    </row>
    <row r="170" spans="1:9">
      <c r="A170" s="1" t="s">
        <v>13</v>
      </c>
      <c r="B170" s="3">
        <v>44904.099189814813</v>
      </c>
      <c r="C170" s="1" t="s">
        <v>5</v>
      </c>
      <c r="D170" s="4" t="str">
        <f>CONCATENATE(B170,RIGHT(C170,2))</f>
        <v>44904.0991898148C6</v>
      </c>
      <c r="E170" s="1">
        <v>0</v>
      </c>
      <c r="F170" s="4" t="e">
        <f>VLOOKUP(D170,'LP-T2 大顆的'!D:E,2)</f>
        <v>#N/A</v>
      </c>
      <c r="G170" s="1" t="s">
        <v>11</v>
      </c>
      <c r="H170" s="4" t="str">
        <f>IF(C170&lt;&gt;B170,IF(AND(E170&gt;=20,E170&lt;35),"warning",IF(AND(E170&gt;=35,E170&lt;=50),"快要 O.O.C 啦",IF(E170&gt;50,"超出規格 O.O.C 啦",""))))</f>
        <v/>
      </c>
      <c r="I170" s="4" t="e">
        <f>IF(C170&lt;&gt;B170,IF(AND(F170&gt;=5,E170&lt;10),"warning",IF(AND(F170&gt;=10,F170&lt;=15),"快要 O.O.C 啦",IF(F170&gt;15,"超出規格 O.O.C 啦",""))))</f>
        <v>#N/A</v>
      </c>
    </row>
    <row r="171" spans="1:9">
      <c r="A171" s="1" t="s">
        <v>13</v>
      </c>
      <c r="B171" s="3">
        <v>44904.099189814813</v>
      </c>
      <c r="C171" s="1" t="s">
        <v>7</v>
      </c>
      <c r="D171" s="4" t="str">
        <f>CONCATENATE(B171,RIGHT(C171,2))</f>
        <v>44904.0991898148C1</v>
      </c>
      <c r="E171" s="1">
        <v>0</v>
      </c>
      <c r="F171" s="4" t="e">
        <f>VLOOKUP(D171,'LP-T2 大顆的'!D:E,2)</f>
        <v>#N/A</v>
      </c>
      <c r="G171" s="1" t="s">
        <v>11</v>
      </c>
      <c r="H171" s="4" t="str">
        <f>IF(C171&lt;&gt;B171,IF(AND(E171&gt;=20,E171&lt;35),"warning",IF(AND(E171&gt;=35,E171&lt;=50),"快要 O.O.C 啦",IF(E171&gt;50,"超出規格 O.O.C 啦",""))))</f>
        <v/>
      </c>
      <c r="I171" s="4" t="e">
        <f>IF(C171&lt;&gt;B171,IF(AND(F171&gt;=5,E171&lt;10),"warning",IF(AND(F171&gt;=10,F171&lt;=15),"快要 O.O.C 啦",IF(F171&gt;15,"超出規格 O.O.C 啦",""))))</f>
        <v>#N/A</v>
      </c>
    </row>
    <row r="172" spans="1:9">
      <c r="A172" s="1" t="s">
        <v>16</v>
      </c>
      <c r="B172" s="3">
        <v>44904.071979166663</v>
      </c>
      <c r="C172" s="1" t="s">
        <v>5</v>
      </c>
      <c r="D172" s="4" t="str">
        <f>CONCATENATE(B172,RIGHT(C172,2))</f>
        <v>44904.0719791667C6</v>
      </c>
      <c r="E172" s="1">
        <v>2</v>
      </c>
      <c r="F172" s="4" t="e">
        <f>VLOOKUP(D172,'LP-T2 大顆的'!D:E,2)</f>
        <v>#N/A</v>
      </c>
      <c r="G172" s="1" t="s">
        <v>11</v>
      </c>
      <c r="H172" s="4" t="str">
        <f>IF(C172&lt;&gt;B172,IF(AND(E172&gt;=20,E172&lt;35),"warning",IF(AND(E172&gt;=35,E172&lt;=50),"快要 O.O.C 啦",IF(E172&gt;50,"超出規格 O.O.C 啦",""))))</f>
        <v/>
      </c>
      <c r="I172" s="4" t="e">
        <f>IF(C172&lt;&gt;B172,IF(AND(F172&gt;=5,E172&lt;10),"warning",IF(AND(F172&gt;=10,F172&lt;=15),"快要 O.O.C 啦",IF(F172&gt;15,"超出規格 O.O.C 啦",""))))</f>
        <v>#N/A</v>
      </c>
    </row>
    <row r="173" spans="1:9">
      <c r="A173" s="1" t="s">
        <v>16</v>
      </c>
      <c r="B173" s="3">
        <v>44904.071979166663</v>
      </c>
      <c r="C173" s="1" t="s">
        <v>7</v>
      </c>
      <c r="D173" s="4" t="str">
        <f>CONCATENATE(B173,RIGHT(C173,2))</f>
        <v>44904.0719791667C1</v>
      </c>
      <c r="E173" s="1">
        <v>3</v>
      </c>
      <c r="F173" s="4" t="e">
        <f>VLOOKUP(D173,'LP-T2 大顆的'!D:E,2)</f>
        <v>#N/A</v>
      </c>
      <c r="G173" s="1" t="s">
        <v>11</v>
      </c>
      <c r="H173" s="4" t="str">
        <f>IF(C173&lt;&gt;B173,IF(AND(E173&gt;=20,E173&lt;35),"warning",IF(AND(E173&gt;=35,E173&lt;=50),"快要 O.O.C 啦",IF(E173&gt;50,"超出規格 O.O.C 啦",""))))</f>
        <v/>
      </c>
      <c r="I173" s="4" t="e">
        <f>IF(C173&lt;&gt;B173,IF(AND(F173&gt;=5,E173&lt;10),"warning",IF(AND(F173&gt;=10,F173&lt;=15),"快要 O.O.C 啦",IF(F173&gt;15,"超出規格 O.O.C 啦",""))))</f>
        <v>#N/A</v>
      </c>
    </row>
    <row r="174" spans="1:9">
      <c r="A174" s="1" t="s">
        <v>12</v>
      </c>
      <c r="B174" s="3">
        <v>44904.000115740739</v>
      </c>
      <c r="C174" s="1" t="s">
        <v>5</v>
      </c>
      <c r="D174" s="4" t="str">
        <f>CONCATENATE(B174,RIGHT(C174,2))</f>
        <v>44904.0001157407C6</v>
      </c>
      <c r="E174" s="1">
        <v>0</v>
      </c>
      <c r="F174" s="4" t="e">
        <f>VLOOKUP(D174,'LP-T2 大顆的'!D:E,2)</f>
        <v>#N/A</v>
      </c>
      <c r="G174" s="1" t="s">
        <v>11</v>
      </c>
      <c r="H174" s="4" t="str">
        <f>IF(C174&lt;&gt;B174,IF(AND(E174&gt;=20,E174&lt;35),"warning",IF(AND(E174&gt;=35,E174&lt;=50),"快要 O.O.C 啦",IF(E174&gt;50,"超出規格 O.O.C 啦",""))))</f>
        <v/>
      </c>
      <c r="I174" s="4" t="e">
        <f>IF(C174&lt;&gt;B174,IF(AND(F174&gt;=5,E174&lt;10),"warning",IF(AND(F174&gt;=10,F174&lt;=15),"快要 O.O.C 啦",IF(F174&gt;15,"超出規格 O.O.C 啦",""))))</f>
        <v>#N/A</v>
      </c>
    </row>
    <row r="175" spans="1:9">
      <c r="A175" s="9" t="s">
        <v>12</v>
      </c>
      <c r="B175" s="10">
        <v>44904.000115740739</v>
      </c>
      <c r="C175" s="9" t="s">
        <v>7</v>
      </c>
      <c r="D175" s="11" t="str">
        <f>CONCATENATE(B175,RIGHT(C175,2))</f>
        <v>44904.0001157407C1</v>
      </c>
      <c r="E175" s="9">
        <v>0</v>
      </c>
      <c r="F175" s="11" t="e">
        <f>VLOOKUP(D175,'LP-T2 大顆的'!D:E,2)</f>
        <v>#N/A</v>
      </c>
      <c r="G175" s="9" t="s">
        <v>11</v>
      </c>
      <c r="H175" s="11" t="str">
        <f>IF(C175&lt;&gt;B175,IF(AND(E175&gt;=20,E175&lt;35),"warning",IF(AND(E175&gt;=35,E175&lt;=50),"快要 O.O.C 啦",IF(E175&gt;50,"超出規格 O.O.C 啦",""))))</f>
        <v/>
      </c>
      <c r="I175" s="11" t="e">
        <f>IF(C175&lt;&gt;B175,IF(AND(F175&gt;=5,E175&lt;10),"warning",IF(AND(F175&gt;=10,F175&lt;=15),"快要 O.O.C 啦",IF(F175&gt;15,"超出規格 O.O.C 啦",""))))</f>
        <v>#N/A</v>
      </c>
    </row>
    <row r="176" spans="1:9">
      <c r="A176" s="9" t="s">
        <v>15</v>
      </c>
      <c r="B176" s="10">
        <v>44903.975914351853</v>
      </c>
      <c r="C176" s="9" t="s">
        <v>5</v>
      </c>
      <c r="D176" s="11" t="str">
        <f>CONCATENATE(B176,RIGHT(C176,2))</f>
        <v>44903.9759143519C6</v>
      </c>
      <c r="E176" s="9">
        <v>0</v>
      </c>
      <c r="F176" s="11" t="e">
        <f>VLOOKUP(D176,'LP-T2 大顆的'!D:E,2)</f>
        <v>#N/A</v>
      </c>
      <c r="G176" s="9" t="s">
        <v>11</v>
      </c>
      <c r="H176" s="11" t="str">
        <f>IF(C176&lt;&gt;B176,IF(AND(E176&gt;=20,E176&lt;35),"warning",IF(AND(E176&gt;=35,E176&lt;=50),"快要 O.O.C 啦",IF(E176&gt;50,"超出規格 O.O.C 啦",""))))</f>
        <v/>
      </c>
      <c r="I176" s="11" t="e">
        <f>IF(C176&lt;&gt;B176,IF(AND(F176&gt;=5,E176&lt;10),"warning",IF(AND(F176&gt;=10,F176&lt;=15),"快要 O.O.C 啦",IF(F176&gt;15,"超出規格 O.O.C 啦",""))))</f>
        <v>#N/A</v>
      </c>
    </row>
    <row r="177" spans="1:9">
      <c r="A177" s="9" t="s">
        <v>15</v>
      </c>
      <c r="B177" s="10">
        <v>44903.975914351853</v>
      </c>
      <c r="C177" s="9" t="s">
        <v>7</v>
      </c>
      <c r="D177" s="11" t="str">
        <f>CONCATENATE(B177,RIGHT(C177,2))</f>
        <v>44903.9759143519C1</v>
      </c>
      <c r="E177" s="9">
        <v>0</v>
      </c>
      <c r="F177" s="11" t="e">
        <f>VLOOKUP(D177,'LP-T2 大顆的'!D:E,2)</f>
        <v>#N/A</v>
      </c>
      <c r="G177" s="9" t="s">
        <v>11</v>
      </c>
      <c r="H177" s="11" t="str">
        <f>IF(C177&lt;&gt;B177,IF(AND(E177&gt;=20,E177&lt;35),"warning",IF(AND(E177&gt;=35,E177&lt;=50),"快要 O.O.C 啦",IF(E177&gt;50,"超出規格 O.O.C 啦",""))))</f>
        <v/>
      </c>
      <c r="I177" s="11" t="e">
        <f>IF(C177&lt;&gt;B177,IF(AND(F177&gt;=5,E177&lt;10),"warning",IF(AND(F177&gt;=10,F177&lt;=15),"快要 O.O.C 啦",IF(F177&gt;15,"超出規格 O.O.C 啦",""))))</f>
        <v>#N/A</v>
      </c>
    </row>
    <row r="178" spans="1:9">
      <c r="A178" s="9" t="s">
        <v>14</v>
      </c>
      <c r="B178" s="10">
        <v>44903.946562500001</v>
      </c>
      <c r="C178" s="9" t="s">
        <v>5</v>
      </c>
      <c r="D178" s="11" t="str">
        <f>CONCATENATE(B178,RIGHT(C178,2))</f>
        <v>44903.9465625C6</v>
      </c>
      <c r="E178" s="9">
        <v>0</v>
      </c>
      <c r="F178" s="11" t="e">
        <f>VLOOKUP(D178,'LP-T2 大顆的'!D:E,2)</f>
        <v>#N/A</v>
      </c>
      <c r="G178" s="9" t="s">
        <v>11</v>
      </c>
      <c r="H178" s="11" t="str">
        <f>IF(C178&lt;&gt;B178,IF(AND(E178&gt;=20,E178&lt;35),"warning",IF(AND(E178&gt;=35,E178&lt;=50),"快要 O.O.C 啦",IF(E178&gt;50,"超出規格 O.O.C 啦",""))))</f>
        <v/>
      </c>
      <c r="I178" s="11" t="e">
        <f>IF(C178&lt;&gt;B178,IF(AND(F178&gt;=5,E178&lt;10),"warning",IF(AND(F178&gt;=10,F178&lt;=15),"快要 O.O.C 啦",IF(F178&gt;15,"超出規格 O.O.C 啦",""))))</f>
        <v>#N/A</v>
      </c>
    </row>
    <row r="179" spans="1:9">
      <c r="A179" s="9" t="s">
        <v>14</v>
      </c>
      <c r="B179" s="10">
        <v>44903.946562500001</v>
      </c>
      <c r="C179" s="9" t="s">
        <v>7</v>
      </c>
      <c r="D179" s="11" t="str">
        <f>CONCATENATE(B179,RIGHT(C179,2))</f>
        <v>44903.9465625C1</v>
      </c>
      <c r="E179" s="9">
        <v>4</v>
      </c>
      <c r="F179" s="11" t="e">
        <f>VLOOKUP(D179,'LP-T2 大顆的'!D:E,2)</f>
        <v>#N/A</v>
      </c>
      <c r="G179" s="9" t="s">
        <v>11</v>
      </c>
      <c r="H179" s="11" t="str">
        <f>IF(C179&lt;&gt;B179,IF(AND(E179&gt;=20,E179&lt;35),"warning",IF(AND(E179&gt;=35,E179&lt;=50),"快要 O.O.C 啦",IF(E179&gt;50,"超出規格 O.O.C 啦",""))))</f>
        <v/>
      </c>
      <c r="I179" s="11" t="e">
        <f>IF(C179&lt;&gt;B179,IF(AND(F179&gt;=5,E179&lt;10),"warning",IF(AND(F179&gt;=10,F179&lt;=15),"快要 O.O.C 啦",IF(F179&gt;15,"超出規格 O.O.C 啦",""))))</f>
        <v>#N/A</v>
      </c>
    </row>
    <row r="180" spans="1:9">
      <c r="A180" s="9" t="s">
        <v>13</v>
      </c>
      <c r="B180" s="10">
        <v>44903.937395833331</v>
      </c>
      <c r="C180" s="9" t="s">
        <v>5</v>
      </c>
      <c r="D180" s="11" t="str">
        <f>CONCATENATE(B180,RIGHT(C180,2))</f>
        <v>44903.9373958333C6</v>
      </c>
      <c r="E180" s="9">
        <v>0</v>
      </c>
      <c r="F180" s="11" t="e">
        <f>VLOOKUP(D180,'LP-T2 大顆的'!D:E,2)</f>
        <v>#N/A</v>
      </c>
      <c r="G180" s="9" t="s">
        <v>11</v>
      </c>
      <c r="H180" s="11" t="str">
        <f>IF(C180&lt;&gt;B180,IF(AND(E180&gt;=20,E180&lt;35),"warning",IF(AND(E180&gt;=35,E180&lt;=50),"快要 O.O.C 啦",IF(E180&gt;50,"超出規格 O.O.C 啦",""))))</f>
        <v/>
      </c>
      <c r="I180" s="11" t="e">
        <f>IF(C180&lt;&gt;B180,IF(AND(F180&gt;=5,E180&lt;10),"warning",IF(AND(F180&gt;=10,F180&lt;=15),"快要 O.O.C 啦",IF(F180&gt;15,"超出規格 O.O.C 啦",""))))</f>
        <v>#N/A</v>
      </c>
    </row>
    <row r="181" spans="1:9">
      <c r="A181" s="9" t="s">
        <v>13</v>
      </c>
      <c r="B181" s="10">
        <v>44903.937395833331</v>
      </c>
      <c r="C181" s="9" t="s">
        <v>7</v>
      </c>
      <c r="D181" s="11" t="str">
        <f>CONCATENATE(B181,RIGHT(C181,2))</f>
        <v>44903.9373958333C1</v>
      </c>
      <c r="E181" s="9">
        <v>0</v>
      </c>
      <c r="F181" s="11" t="e">
        <f>VLOOKUP(D181,'LP-T2 大顆的'!D:E,2)</f>
        <v>#N/A</v>
      </c>
      <c r="G181" s="9" t="s">
        <v>11</v>
      </c>
      <c r="H181" s="11" t="str">
        <f>IF(C181&lt;&gt;B181,IF(AND(E181&gt;=20,E181&lt;35),"warning",IF(AND(E181&gt;=35,E181&lt;=50),"快要 O.O.C 啦",IF(E181&gt;50,"超出規格 O.O.C 啦",""))))</f>
        <v/>
      </c>
      <c r="I181" s="11" t="e">
        <f>IF(C181&lt;&gt;B181,IF(AND(F181&gt;=5,E181&lt;10),"warning",IF(AND(F181&gt;=10,F181&lt;=15),"快要 O.O.C 啦",IF(F181&gt;15,"超出規格 O.O.C 啦",""))))</f>
        <v>#N/A</v>
      </c>
    </row>
    <row r="182" spans="1:9">
      <c r="A182" s="9" t="s">
        <v>4</v>
      </c>
      <c r="B182" s="10">
        <v>44903.893240740741</v>
      </c>
      <c r="C182" s="9" t="s">
        <v>5</v>
      </c>
      <c r="D182" s="11" t="str">
        <f>CONCATENATE(B182,RIGHT(C182,2))</f>
        <v>44903.8932407407C6</v>
      </c>
      <c r="E182" s="9">
        <v>3</v>
      </c>
      <c r="F182" s="11" t="e">
        <f>VLOOKUP(D182,'LP-T2 大顆的'!D:E,2)</f>
        <v>#N/A</v>
      </c>
      <c r="G182" s="9" t="s">
        <v>11</v>
      </c>
      <c r="H182" s="11" t="str">
        <f>IF(C182&lt;&gt;B182,IF(AND(E182&gt;=20,E182&lt;35),"warning",IF(AND(E182&gt;=35,E182&lt;=50),"快要 O.O.C 啦",IF(E182&gt;50,"超出規格 O.O.C 啦",""))))</f>
        <v/>
      </c>
      <c r="I182" s="11" t="e">
        <f>IF(C182&lt;&gt;B182,IF(AND(F182&gt;=5,E182&lt;10),"warning",IF(AND(F182&gt;=10,F182&lt;=15),"快要 O.O.C 啦",IF(F182&gt;15,"超出規格 O.O.C 啦",""))))</f>
        <v>#N/A</v>
      </c>
    </row>
    <row r="183" spans="1:9">
      <c r="A183" s="9" t="s">
        <v>4</v>
      </c>
      <c r="B183" s="10">
        <v>44903.893240740741</v>
      </c>
      <c r="C183" s="9" t="s">
        <v>7</v>
      </c>
      <c r="D183" s="11" t="str">
        <f>CONCATENATE(B183,RIGHT(C183,2))</f>
        <v>44903.8932407407C1</v>
      </c>
      <c r="E183" s="9">
        <v>0</v>
      </c>
      <c r="F183" s="11" t="e">
        <f>VLOOKUP(D183,'LP-T2 大顆的'!D:E,2)</f>
        <v>#N/A</v>
      </c>
      <c r="G183" s="9" t="s">
        <v>11</v>
      </c>
      <c r="H183" s="11" t="str">
        <f>IF(C183&lt;&gt;B183,IF(AND(E183&gt;=20,E183&lt;35),"warning",IF(AND(E183&gt;=35,E183&lt;=50),"快要 O.O.C 啦",IF(E183&gt;50,"超出規格 O.O.C 啦",""))))</f>
        <v/>
      </c>
      <c r="I183" s="11" t="e">
        <f>IF(C183&lt;&gt;B183,IF(AND(F183&gt;=5,E183&lt;10),"warning",IF(AND(F183&gt;=10,F183&lt;=15),"快要 O.O.C 啦",IF(F183&gt;15,"超出規格 O.O.C 啦",""))))</f>
        <v>#N/A</v>
      </c>
    </row>
    <row r="184" spans="1:9">
      <c r="A184" s="9" t="s">
        <v>16</v>
      </c>
      <c r="B184" s="10">
        <v>44903.88726851852</v>
      </c>
      <c r="C184" s="9" t="s">
        <v>5</v>
      </c>
      <c r="D184" s="11" t="str">
        <f>CONCATENATE(B184,RIGHT(C184,2))</f>
        <v>44903.8872685185C6</v>
      </c>
      <c r="E184" s="9">
        <v>0</v>
      </c>
      <c r="F184" s="11" t="e">
        <f>VLOOKUP(D184,'LP-T2 大顆的'!D:E,2)</f>
        <v>#N/A</v>
      </c>
      <c r="G184" s="9" t="s">
        <v>11</v>
      </c>
      <c r="H184" s="11" t="str">
        <f>IF(C184&lt;&gt;B184,IF(AND(E184&gt;=20,E184&lt;35),"warning",IF(AND(E184&gt;=35,E184&lt;=50),"快要 O.O.C 啦",IF(E184&gt;50,"超出規格 O.O.C 啦",""))))</f>
        <v/>
      </c>
      <c r="I184" s="11" t="e">
        <f>IF(C184&lt;&gt;B184,IF(AND(F184&gt;=5,E184&lt;10),"warning",IF(AND(F184&gt;=10,F184&lt;=15),"快要 O.O.C 啦",IF(F184&gt;15,"超出規格 O.O.C 啦",""))))</f>
        <v>#N/A</v>
      </c>
    </row>
    <row r="185" spans="1:9">
      <c r="A185" s="9" t="s">
        <v>16</v>
      </c>
      <c r="B185" s="10">
        <v>44903.88726851852</v>
      </c>
      <c r="C185" s="9" t="s">
        <v>7</v>
      </c>
      <c r="D185" s="11" t="str">
        <f>CONCATENATE(B185,RIGHT(C185,2))</f>
        <v>44903.8872685185C1</v>
      </c>
      <c r="E185" s="9">
        <v>0</v>
      </c>
      <c r="F185" s="11" t="e">
        <f>VLOOKUP(D185,'LP-T2 大顆的'!D:E,2)</f>
        <v>#N/A</v>
      </c>
      <c r="G185" s="9" t="s">
        <v>11</v>
      </c>
      <c r="H185" s="11" t="str">
        <f>IF(C185&lt;&gt;B185,IF(AND(E185&gt;=20,E185&lt;35),"warning",IF(AND(E185&gt;=35,E185&lt;=50),"快要 O.O.C 啦",IF(E185&gt;50,"超出規格 O.O.C 啦",""))))</f>
        <v/>
      </c>
      <c r="I185" s="11" t="e">
        <f>IF(C185&lt;&gt;B185,IF(AND(F185&gt;=5,E185&lt;10),"warning",IF(AND(F185&gt;=10,F185&lt;=15),"快要 O.O.C 啦",IF(F185&gt;15,"超出規格 O.O.C 啦",""))))</f>
        <v>#N/A</v>
      </c>
    </row>
    <row r="186" spans="1:9">
      <c r="A186" s="9" t="s">
        <v>17</v>
      </c>
      <c r="B186" s="10">
        <v>44903.835462962961</v>
      </c>
      <c r="C186" s="9" t="s">
        <v>5</v>
      </c>
      <c r="D186" s="11" t="str">
        <f>CONCATENATE(B186,RIGHT(C186,2))</f>
        <v>44903.835462963C6</v>
      </c>
      <c r="E186" s="9">
        <v>1</v>
      </c>
      <c r="F186" s="11" t="e">
        <f>VLOOKUP(D186,'LP-T2 大顆的'!D:E,2)</f>
        <v>#N/A</v>
      </c>
      <c r="G186" s="9" t="s">
        <v>11</v>
      </c>
      <c r="H186" s="11" t="str">
        <f>IF(C186&lt;&gt;B186,IF(AND(E186&gt;=20,E186&lt;35),"warning",IF(AND(E186&gt;=35,E186&lt;=50),"快要 O.O.C 啦",IF(E186&gt;50,"超出規格 O.O.C 啦",""))))</f>
        <v/>
      </c>
      <c r="I186" s="11" t="e">
        <f>IF(C186&lt;&gt;B186,IF(AND(F186&gt;=5,E186&lt;10),"warning",IF(AND(F186&gt;=10,F186&lt;=15),"快要 O.O.C 啦",IF(F186&gt;15,"超出規格 O.O.C 啦",""))))</f>
        <v>#N/A</v>
      </c>
    </row>
    <row r="187" spans="1:9">
      <c r="A187" s="9" t="s">
        <v>17</v>
      </c>
      <c r="B187" s="10">
        <v>44903.835462962961</v>
      </c>
      <c r="C187" s="9" t="s">
        <v>7</v>
      </c>
      <c r="D187" s="11" t="str">
        <f>CONCATENATE(B187,RIGHT(C187,2))</f>
        <v>44903.835462963C1</v>
      </c>
      <c r="E187" s="9">
        <v>0</v>
      </c>
      <c r="F187" s="11" t="e">
        <f>VLOOKUP(D187,'LP-T2 大顆的'!D:E,2)</f>
        <v>#N/A</v>
      </c>
      <c r="G187" s="9" t="s">
        <v>11</v>
      </c>
      <c r="H187" s="11" t="str">
        <f>IF(C187&lt;&gt;B187,IF(AND(E187&gt;=20,E187&lt;35),"warning",IF(AND(E187&gt;=35,E187&lt;=50),"快要 O.O.C 啦",IF(E187&gt;50,"超出規格 O.O.C 啦",""))))</f>
        <v/>
      </c>
      <c r="I187" s="11" t="e">
        <f>IF(C187&lt;&gt;B187,IF(AND(F187&gt;=5,E187&lt;10),"warning",IF(AND(F187&gt;=10,F187&lt;=15),"快要 O.O.C 啦",IF(F187&gt;15,"超出規格 O.O.C 啦",""))))</f>
        <v>#N/A</v>
      </c>
    </row>
    <row r="188" spans="1:9">
      <c r="A188" s="9" t="s">
        <v>12</v>
      </c>
      <c r="B188" s="10">
        <v>44903.746458333335</v>
      </c>
      <c r="C188" s="9" t="s">
        <v>6</v>
      </c>
      <c r="D188" s="11" t="str">
        <f>CONCATENATE(B188,RIGHT(C188,2))</f>
        <v>44903.7464583333C4</v>
      </c>
      <c r="E188" s="9">
        <v>0</v>
      </c>
      <c r="F188" s="11" t="e">
        <f>VLOOKUP(D188,'LP-T2 大顆的'!D:E,2)</f>
        <v>#N/A</v>
      </c>
      <c r="G188" s="9" t="s">
        <v>11</v>
      </c>
      <c r="H188" s="11" t="str">
        <f>IF(C188&lt;&gt;B188,IF(AND(E188&gt;=20,E188&lt;35),"warning",IF(AND(E188&gt;=35,E188&lt;=50),"快要 O.O.C 啦",IF(E188&gt;50,"超出規格 O.O.C 啦",""))))</f>
        <v/>
      </c>
      <c r="I188" s="11" t="e">
        <f>IF(C188&lt;&gt;B188,IF(AND(F188&gt;=5,E188&lt;10),"warning",IF(AND(F188&gt;=10,F188&lt;=15),"快要 O.O.C 啦",IF(F188&gt;15,"超出規格 O.O.C 啦",""))))</f>
        <v>#N/A</v>
      </c>
    </row>
    <row r="189" spans="1:9">
      <c r="A189" s="9" t="s">
        <v>13</v>
      </c>
      <c r="B189" s="10">
        <v>44903.664490740739</v>
      </c>
      <c r="C189" s="9" t="s">
        <v>6</v>
      </c>
      <c r="D189" s="11" t="str">
        <f>CONCATENATE(B189,RIGHT(C189,2))</f>
        <v>44903.6644907407C4</v>
      </c>
      <c r="E189" s="9">
        <v>0</v>
      </c>
      <c r="F189" s="11" t="e">
        <f>VLOOKUP(D189,'LP-T2 大顆的'!D:E,2)</f>
        <v>#N/A</v>
      </c>
      <c r="G189" s="9" t="s">
        <v>11</v>
      </c>
      <c r="H189" s="11" t="str">
        <f>IF(C189&lt;&gt;B189,IF(AND(E189&gt;=20,E189&lt;35),"warning",IF(AND(E189&gt;=35,E189&lt;=50),"快要 O.O.C 啦",IF(E189&gt;50,"超出規格 O.O.C 啦",""))))</f>
        <v/>
      </c>
      <c r="I189" s="11" t="e">
        <f>IF(C189&lt;&gt;B189,IF(AND(F189&gt;=5,E189&lt;10),"warning",IF(AND(F189&gt;=10,F189&lt;=15),"快要 O.O.C 啦",IF(F189&gt;15,"超出規格 O.O.C 啦",""))))</f>
        <v>#N/A</v>
      </c>
    </row>
    <row r="190" spans="1:9">
      <c r="A190" s="9" t="s">
        <v>4</v>
      </c>
      <c r="B190" s="10">
        <v>44903.655324074076</v>
      </c>
      <c r="C190" s="9" t="s">
        <v>6</v>
      </c>
      <c r="D190" s="11" t="str">
        <f>CONCATENATE(B190,RIGHT(C190,2))</f>
        <v>44903.6553240741C4</v>
      </c>
      <c r="E190" s="9">
        <v>3</v>
      </c>
      <c r="F190" s="11" t="e">
        <f>VLOOKUP(D190,'LP-T2 大顆的'!D:E,2)</f>
        <v>#N/A</v>
      </c>
      <c r="G190" s="9" t="s">
        <v>11</v>
      </c>
      <c r="H190" s="11" t="str">
        <f>IF(C190&lt;&gt;B190,IF(AND(E190&gt;=20,E190&lt;35),"warning",IF(AND(E190&gt;=35,E190&lt;=50),"快要 O.O.C 啦",IF(E190&gt;50,"超出規格 O.O.C 啦",""))))</f>
        <v/>
      </c>
      <c r="I190" s="11" t="e">
        <f>IF(C190&lt;&gt;B190,IF(AND(F190&gt;=5,E190&lt;10),"warning",IF(AND(F190&gt;=10,F190&lt;=15),"快要 O.O.C 啦",IF(F190&gt;15,"超出規格 O.O.C 啦",""))))</f>
        <v>#N/A</v>
      </c>
    </row>
    <row r="191" spans="1:9">
      <c r="A191" s="9" t="s">
        <v>14</v>
      </c>
      <c r="B191" s="10">
        <v>44903.627638888887</v>
      </c>
      <c r="C191" s="9" t="s">
        <v>6</v>
      </c>
      <c r="D191" s="11" t="str">
        <f>CONCATENATE(B191,RIGHT(C191,2))</f>
        <v>44903.6276388889C4</v>
      </c>
      <c r="E191" s="9">
        <v>0</v>
      </c>
      <c r="F191" s="11" t="e">
        <f>VLOOKUP(D191,'LP-T2 大顆的'!D:E,2)</f>
        <v>#N/A</v>
      </c>
      <c r="G191" s="9" t="s">
        <v>11</v>
      </c>
      <c r="H191" s="11" t="str">
        <f>IF(C191&lt;&gt;B191,IF(AND(E191&gt;=20,E191&lt;35),"warning",IF(AND(E191&gt;=35,E191&lt;=50),"快要 O.O.C 啦",IF(E191&gt;50,"超出規格 O.O.C 啦",""))))</f>
        <v/>
      </c>
      <c r="I191" s="11" t="e">
        <f>IF(C191&lt;&gt;B191,IF(AND(F191&gt;=5,E191&lt;10),"warning",IF(AND(F191&gt;=10,F191&lt;=15),"快要 O.O.C 啦",IF(F191&gt;15,"超出規格 O.O.C 啦",""))))</f>
        <v>#N/A</v>
      </c>
    </row>
    <row r="192" spans="1:9">
      <c r="A192" s="9" t="s">
        <v>16</v>
      </c>
      <c r="B192" s="10">
        <v>44903.610393518517</v>
      </c>
      <c r="C192" s="9" t="s">
        <v>6</v>
      </c>
      <c r="D192" s="11" t="str">
        <f>CONCATENATE(B192,RIGHT(C192,2))</f>
        <v>44903.6103935185C4</v>
      </c>
      <c r="E192" s="9">
        <v>0</v>
      </c>
      <c r="F192" s="11" t="e">
        <f>VLOOKUP(D192,'LP-T2 大顆的'!D:E,2)</f>
        <v>#N/A</v>
      </c>
      <c r="G192" s="9" t="s">
        <v>11</v>
      </c>
      <c r="H192" s="11" t="str">
        <f>IF(C192&lt;&gt;B192,IF(AND(E192&gt;=20,E192&lt;35),"warning",IF(AND(E192&gt;=35,E192&lt;=50),"快要 O.O.C 啦",IF(E192&gt;50,"超出規格 O.O.C 啦",""))))</f>
        <v/>
      </c>
      <c r="I192" s="11" t="e">
        <f>IF(C192&lt;&gt;B192,IF(AND(F192&gt;=5,E192&lt;10),"warning",IF(AND(F192&gt;=10,F192&lt;=15),"快要 O.O.C 啦",IF(F192&gt;15,"超出規格 O.O.C 啦",""))))</f>
        <v>#N/A</v>
      </c>
    </row>
    <row r="193" spans="1:9">
      <c r="A193" s="9" t="s">
        <v>17</v>
      </c>
      <c r="B193" s="10">
        <v>44903.591493055559</v>
      </c>
      <c r="C193" s="9" t="s">
        <v>6</v>
      </c>
      <c r="D193" s="11" t="str">
        <f>CONCATENATE(B193,RIGHT(C193,2))</f>
        <v>44903.5914930556C4</v>
      </c>
      <c r="E193" s="9">
        <v>0</v>
      </c>
      <c r="F193" s="11" t="e">
        <f>VLOOKUP(D193,'LP-T2 大顆的'!D:E,2)</f>
        <v>#N/A</v>
      </c>
      <c r="G193" s="9" t="s">
        <v>11</v>
      </c>
      <c r="H193" s="11" t="str">
        <f>IF(C193&lt;&gt;B193,IF(AND(E193&gt;=20,E193&lt;35),"warning",IF(AND(E193&gt;=35,E193&lt;=50),"快要 O.O.C 啦",IF(E193&gt;50,"超出規格 O.O.C 啦",""))))</f>
        <v/>
      </c>
      <c r="I193" s="11" t="e">
        <f>IF(C193&lt;&gt;B193,IF(AND(F193&gt;=5,E193&lt;10),"warning",IF(AND(F193&gt;=10,F193&lt;=15),"快要 O.O.C 啦",IF(F193&gt;15,"超出規格 O.O.C 啦",""))))</f>
        <v>#N/A</v>
      </c>
    </row>
    <row r="194" spans="1:9">
      <c r="A194" s="9" t="s">
        <v>12</v>
      </c>
      <c r="B194" s="10">
        <v>44903.578680555554</v>
      </c>
      <c r="C194" s="9" t="s">
        <v>6</v>
      </c>
      <c r="D194" s="11" t="str">
        <f>CONCATENATE(B194,RIGHT(C194,2))</f>
        <v>44903.5786805556C4</v>
      </c>
      <c r="E194" s="9">
        <v>0</v>
      </c>
      <c r="F194" s="11" t="e">
        <f>VLOOKUP(D194,'LP-T2 大顆的'!D:E,2)</f>
        <v>#N/A</v>
      </c>
      <c r="G194" s="9" t="s">
        <v>11</v>
      </c>
      <c r="H194" s="11" t="str">
        <f>IF(C194&lt;&gt;B194,IF(AND(E194&gt;=20,E194&lt;35),"warning",IF(AND(E194&gt;=35,E194&lt;=50),"快要 O.O.C 啦",IF(E194&gt;50,"超出規格 O.O.C 啦",""))))</f>
        <v/>
      </c>
      <c r="I194" s="11" t="e">
        <f>IF(C194&lt;&gt;B194,IF(AND(F194&gt;=5,E194&lt;10),"warning",IF(AND(F194&gt;=10,F194&lt;=15),"快要 O.O.C 啦",IF(F194&gt;15,"超出規格 O.O.C 啦",""))))</f>
        <v>#N/A</v>
      </c>
    </row>
    <row r="195" spans="1:9">
      <c r="A195" s="9" t="s">
        <v>15</v>
      </c>
      <c r="B195" s="10">
        <v>44903.563275462962</v>
      </c>
      <c r="C195" s="9" t="s">
        <v>6</v>
      </c>
      <c r="D195" s="11" t="str">
        <f>CONCATENATE(B195,RIGHT(C195,2))</f>
        <v>44903.563275463C4</v>
      </c>
      <c r="E195" s="9">
        <v>0</v>
      </c>
      <c r="F195" s="11" t="e">
        <f>VLOOKUP(D195,'LP-T2 大顆的'!D:E,2)</f>
        <v>#N/A</v>
      </c>
      <c r="G195" s="9" t="s">
        <v>11</v>
      </c>
      <c r="H195" s="11" t="str">
        <f>IF(C195&lt;&gt;B195,IF(AND(E195&gt;=20,E195&lt;35),"warning",IF(AND(E195&gt;=35,E195&lt;=50),"快要 O.O.C 啦",IF(E195&gt;50,"超出規格 O.O.C 啦",""))))</f>
        <v/>
      </c>
      <c r="I195" s="11" t="e">
        <f>IF(C195&lt;&gt;B195,IF(AND(F195&gt;=5,E195&lt;10),"warning",IF(AND(F195&gt;=10,F195&lt;=15),"快要 O.O.C 啦",IF(F195&gt;15,"超出規格 O.O.C 啦",""))))</f>
        <v>#N/A</v>
      </c>
    </row>
    <row r="196" spans="1:9">
      <c r="A196" s="9" t="s">
        <v>13</v>
      </c>
      <c r="B196" s="10">
        <v>44903.484340277777</v>
      </c>
      <c r="C196" s="9" t="s">
        <v>6</v>
      </c>
      <c r="D196" s="11" t="str">
        <f>CONCATENATE(B196,RIGHT(C196,2))</f>
        <v>44903.4843402778C4</v>
      </c>
      <c r="E196" s="9">
        <v>1</v>
      </c>
      <c r="F196" s="11" t="e">
        <f>VLOOKUP(D196,'LP-T2 大顆的'!D:E,2)</f>
        <v>#N/A</v>
      </c>
      <c r="G196" s="9" t="s">
        <v>11</v>
      </c>
      <c r="H196" s="11" t="str">
        <f>IF(C196&lt;&gt;B196,IF(AND(E196&gt;=20,E196&lt;35),"warning",IF(AND(E196&gt;=35,E196&lt;=50),"快要 O.O.C 啦",IF(E196&gt;50,"超出規格 O.O.C 啦",""))))</f>
        <v/>
      </c>
      <c r="I196" s="11" t="e">
        <f>IF(C196&lt;&gt;B196,IF(AND(F196&gt;=5,E196&lt;10),"warning",IF(AND(F196&gt;=10,F196&lt;=15),"快要 O.O.C 啦",IF(F196&gt;15,"超出規格 O.O.C 啦",""))))</f>
        <v>#N/A</v>
      </c>
    </row>
    <row r="197" spans="1:9">
      <c r="A197" s="9" t="s">
        <v>14</v>
      </c>
      <c r="B197" s="10">
        <v>44903.470277777778</v>
      </c>
      <c r="C197" s="9" t="s">
        <v>7</v>
      </c>
      <c r="D197" s="11" t="str">
        <f>CONCATENATE(B197,RIGHT(C197,2))</f>
        <v>44903.4702777778C1</v>
      </c>
      <c r="E197" s="9">
        <v>1</v>
      </c>
      <c r="F197" s="11" t="e">
        <f>VLOOKUP(D197,'LP-T2 大顆的'!D:E,2)</f>
        <v>#N/A</v>
      </c>
      <c r="G197" s="9" t="s">
        <v>11</v>
      </c>
      <c r="H197" s="11" t="str">
        <f>IF(C197&lt;&gt;B197,IF(AND(E197&gt;=20,E197&lt;35),"warning",IF(AND(E197&gt;=35,E197&lt;=50),"快要 O.O.C 啦",IF(E197&gt;50,"超出規格 O.O.C 啦",""))))</f>
        <v/>
      </c>
      <c r="I197" s="11" t="e">
        <f>IF(C197&lt;&gt;B197,IF(AND(F197&gt;=5,E197&lt;10),"warning",IF(AND(F197&gt;=10,F197&lt;=15),"快要 O.O.C 啦",IF(F197&gt;15,"超出規格 O.O.C 啦",""))))</f>
        <v>#N/A</v>
      </c>
    </row>
    <row r="198" spans="1:9">
      <c r="A198" s="9" t="s">
        <v>4</v>
      </c>
      <c r="B198" s="10">
        <v>44903.45</v>
      </c>
      <c r="C198" s="9" t="s">
        <v>7</v>
      </c>
      <c r="D198" s="11" t="str">
        <f>CONCATENATE(B198,RIGHT(C198,2))</f>
        <v>44903.45C1</v>
      </c>
      <c r="E198" s="9">
        <v>0</v>
      </c>
      <c r="F198" s="11" t="e">
        <f>VLOOKUP(D198,'LP-T2 大顆的'!D:E,2)</f>
        <v>#N/A</v>
      </c>
      <c r="G198" s="9" t="s">
        <v>11</v>
      </c>
      <c r="H198" s="11" t="str">
        <f>IF(C198&lt;&gt;B198,IF(AND(E198&gt;=20,E198&lt;35),"warning",IF(AND(E198&gt;=35,E198&lt;=50),"快要 O.O.C 啦",IF(E198&gt;50,"超出規格 O.O.C 啦",""))))</f>
        <v/>
      </c>
      <c r="I198" s="11" t="e">
        <f>IF(C198&lt;&gt;B198,IF(AND(F198&gt;=5,E198&lt;10),"warning",IF(AND(F198&gt;=10,F198&lt;=15),"快要 O.O.C 啦",IF(F198&gt;15,"超出規格 O.O.C 啦",""))))</f>
        <v>#N/A</v>
      </c>
    </row>
    <row r="199" spans="1:9">
      <c r="A199" s="9" t="s">
        <v>16</v>
      </c>
      <c r="B199" s="10">
        <v>44903.428194444445</v>
      </c>
      <c r="C199" s="9" t="s">
        <v>7</v>
      </c>
      <c r="D199" s="11" t="str">
        <f>CONCATENATE(B199,RIGHT(C199,2))</f>
        <v>44903.4281944444C1</v>
      </c>
      <c r="E199" s="9">
        <v>0</v>
      </c>
      <c r="F199" s="11" t="e">
        <f>VLOOKUP(D199,'LP-T2 大顆的'!D:E,2)</f>
        <v>#N/A</v>
      </c>
      <c r="G199" s="9" t="s">
        <v>11</v>
      </c>
      <c r="H199" s="11" t="str">
        <f>IF(C199&lt;&gt;B199,IF(AND(E199&gt;=20,E199&lt;35),"warning",IF(AND(E199&gt;=35,E199&lt;=50),"快要 O.O.C 啦",IF(E199&gt;50,"超出規格 O.O.C 啦",""))))</f>
        <v/>
      </c>
      <c r="I199" s="11" t="e">
        <f>IF(C199&lt;&gt;B199,IF(AND(F199&gt;=5,E199&lt;10),"warning",IF(AND(F199&gt;=10,F199&lt;=15),"快要 O.O.C 啦",IF(F199&gt;15,"超出規格 O.O.C 啦",""))))</f>
        <v>#N/A</v>
      </c>
    </row>
    <row r="200" spans="1:9">
      <c r="A200" s="9" t="s">
        <v>15</v>
      </c>
      <c r="B200" s="10">
        <v>44903.399282407408</v>
      </c>
      <c r="C200" s="9" t="s">
        <v>7</v>
      </c>
      <c r="D200" s="11" t="str">
        <f>CONCATENATE(B200,RIGHT(C200,2))</f>
        <v>44903.3992824074C1</v>
      </c>
      <c r="E200" s="9">
        <v>0</v>
      </c>
      <c r="F200" s="11" t="e">
        <f>VLOOKUP(D200,'LP-T2 大顆的'!D:E,2)</f>
        <v>#N/A</v>
      </c>
      <c r="G200" s="9" t="s">
        <v>11</v>
      </c>
      <c r="H200" s="11" t="str">
        <f>IF(C200&lt;&gt;B200,IF(AND(E200&gt;=20,E200&lt;35),"warning",IF(AND(E200&gt;=35,E200&lt;=50),"快要 O.O.C 啦",IF(E200&gt;50,"超出規格 O.O.C 啦",""))))</f>
        <v/>
      </c>
      <c r="I200" s="11" t="e">
        <f>IF(C200&lt;&gt;B200,IF(AND(F200&gt;=5,E200&lt;10),"warning",IF(AND(F200&gt;=10,F200&lt;=15),"快要 O.O.C 啦",IF(F200&gt;15,"超出規格 O.O.C 啦",""))))</f>
        <v>#N/A</v>
      </c>
    </row>
    <row r="201" spans="1:9">
      <c r="A201" s="9" t="s">
        <v>17</v>
      </c>
      <c r="B201" s="10">
        <v>44903.386053240742</v>
      </c>
      <c r="C201" s="9" t="s">
        <v>7</v>
      </c>
      <c r="D201" s="11" t="str">
        <f>CONCATENATE(B201,RIGHT(C201,2))</f>
        <v>44903.3860532407C1</v>
      </c>
      <c r="E201" s="9">
        <v>0</v>
      </c>
      <c r="F201" s="11" t="e">
        <f>VLOOKUP(D201,'LP-T2 大顆的'!D:E,2)</f>
        <v>#N/A</v>
      </c>
      <c r="G201" s="9" t="s">
        <v>11</v>
      </c>
      <c r="H201" s="11" t="str">
        <f>IF(C201&lt;&gt;B201,IF(AND(E201&gt;=20,E201&lt;35),"warning",IF(AND(E201&gt;=35,E201&lt;=50),"快要 O.O.C 啦",IF(E201&gt;50,"超出規格 O.O.C 啦",""))))</f>
        <v/>
      </c>
      <c r="I201" s="11" t="e">
        <f>IF(C201&lt;&gt;B201,IF(AND(F201&gt;=5,E201&lt;10),"warning",IF(AND(F201&gt;=10,F201&lt;=15),"快要 O.O.C 啦",IF(F201&gt;15,"超出規格 O.O.C 啦",""))))</f>
        <v>#N/A</v>
      </c>
    </row>
    <row r="202" spans="1:9">
      <c r="A202" s="9" t="s">
        <v>12</v>
      </c>
      <c r="B202" s="10">
        <v>44903.35596064815</v>
      </c>
      <c r="C202" s="9" t="s">
        <v>7</v>
      </c>
      <c r="D202" s="11" t="str">
        <f>CONCATENATE(B202,RIGHT(C202,2))</f>
        <v>44903.3559606482C1</v>
      </c>
      <c r="E202" s="9">
        <v>1</v>
      </c>
      <c r="F202" s="11" t="e">
        <f>VLOOKUP(D202,'LP-T2 大顆的'!D:E,2)</f>
        <v>#N/A</v>
      </c>
      <c r="G202" s="9" t="s">
        <v>11</v>
      </c>
      <c r="H202" s="11" t="str">
        <f>IF(C202&lt;&gt;B202,IF(AND(E202&gt;=20,E202&lt;35),"warning",IF(AND(E202&gt;=35,E202&lt;=50),"快要 O.O.C 啦",IF(E202&gt;50,"超出規格 O.O.C 啦",""))))</f>
        <v/>
      </c>
      <c r="I202" s="11" t="e">
        <f>IF(C202&lt;&gt;B202,IF(AND(F202&gt;=5,E202&lt;10),"warning",IF(AND(F202&gt;=10,F202&lt;=15),"快要 O.O.C 啦",IF(F202&gt;15,"超出規格 O.O.C 啦",""))))</f>
        <v>#N/A</v>
      </c>
    </row>
    <row r="203" spans="1:9">
      <c r="A203" s="9" t="s">
        <v>13</v>
      </c>
      <c r="B203" s="10">
        <v>44903.328657407408</v>
      </c>
      <c r="C203" s="9" t="s">
        <v>7</v>
      </c>
      <c r="D203" s="11" t="str">
        <f>CONCATENATE(B203,RIGHT(C203,2))</f>
        <v>44903.3286574074C1</v>
      </c>
      <c r="E203" s="9">
        <v>0</v>
      </c>
      <c r="F203" s="11" t="e">
        <f>VLOOKUP(D203,'LP-T2 大顆的'!D:E,2)</f>
        <v>#N/A</v>
      </c>
      <c r="G203" s="9" t="s">
        <v>11</v>
      </c>
      <c r="H203" s="11" t="str">
        <f>IF(C203&lt;&gt;B203,IF(AND(E203&gt;=20,E203&lt;35),"warning",IF(AND(E203&gt;=35,E203&lt;=50),"快要 O.O.C 啦",IF(E203&gt;50,"超出規格 O.O.C 啦",""))))</f>
        <v/>
      </c>
      <c r="I203" s="11" t="e">
        <f>IF(C203&lt;&gt;B203,IF(AND(F203&gt;=5,E203&lt;10),"warning",IF(AND(F203&gt;=10,F203&lt;=15),"快要 O.O.C 啦",IF(F203&gt;15,"超出規格 O.O.C 啦",""))))</f>
        <v>#N/A</v>
      </c>
    </row>
    <row r="204" spans="1:9">
      <c r="A204" s="9" t="s">
        <v>14</v>
      </c>
      <c r="B204" s="10">
        <v>44903.281689814816</v>
      </c>
      <c r="C204" s="9" t="s">
        <v>7</v>
      </c>
      <c r="D204" s="11" t="str">
        <f>CONCATENATE(B204,RIGHT(C204,2))</f>
        <v>44903.2816898148C1</v>
      </c>
      <c r="E204" s="9">
        <v>5</v>
      </c>
      <c r="F204" s="11" t="e">
        <f>VLOOKUP(D204,'LP-T2 大顆的'!D:E,2)</f>
        <v>#N/A</v>
      </c>
      <c r="G204" s="9" t="s">
        <v>11</v>
      </c>
      <c r="H204" s="11" t="str">
        <f>IF(C204&lt;&gt;B204,IF(AND(E204&gt;=20,E204&lt;35),"warning",IF(AND(E204&gt;=35,E204&lt;=50),"快要 O.O.C 啦",IF(E204&gt;50,"超出規格 O.O.C 啦",""))))</f>
        <v/>
      </c>
      <c r="I204" s="11" t="e">
        <f>IF(C204&lt;&gt;B204,IF(AND(F204&gt;=5,E204&lt;10),"warning",IF(AND(F204&gt;=10,F204&lt;=15),"快要 O.O.C 啦",IF(F204&gt;15,"超出規格 O.O.C 啦",""))))</f>
        <v>#N/A</v>
      </c>
    </row>
    <row r="205" spans="1:9">
      <c r="A205" s="9" t="s">
        <v>16</v>
      </c>
      <c r="B205" s="10">
        <v>44903.244675925926</v>
      </c>
      <c r="C205" s="9" t="s">
        <v>7</v>
      </c>
      <c r="D205" s="11" t="str">
        <f>CONCATENATE(B205,RIGHT(C205,2))</f>
        <v>44903.2446759259C1</v>
      </c>
      <c r="E205" s="9">
        <v>0</v>
      </c>
      <c r="F205" s="11" t="e">
        <f>VLOOKUP(D205,'LP-T2 大顆的'!D:E,2)</f>
        <v>#N/A</v>
      </c>
      <c r="G205" s="9" t="s">
        <v>11</v>
      </c>
      <c r="H205" s="11" t="str">
        <f>IF(C205&lt;&gt;B205,IF(AND(E205&gt;=20,E205&lt;35),"warning",IF(AND(E205&gt;=35,E205&lt;=50),"快要 O.O.C 啦",IF(E205&gt;50,"超出規格 O.O.C 啦",""))))</f>
        <v/>
      </c>
      <c r="I205" s="11" t="e">
        <f>IF(C205&lt;&gt;B205,IF(AND(F205&gt;=5,E205&lt;10),"warning",IF(AND(F205&gt;=10,F205&lt;=15),"快要 O.O.C 啦",IF(F205&gt;15,"超出規格 O.O.C 啦",""))))</f>
        <v>#N/A</v>
      </c>
    </row>
    <row r="206" spans="1:9">
      <c r="A206" s="9" t="s">
        <v>17</v>
      </c>
      <c r="B206" s="10">
        <v>44903.197581018518</v>
      </c>
      <c r="C206" s="9" t="s">
        <v>7</v>
      </c>
      <c r="D206" s="11" t="str">
        <f>CONCATENATE(B206,RIGHT(C206,2))</f>
        <v>44903.1975810185C1</v>
      </c>
      <c r="E206" s="9">
        <v>0</v>
      </c>
      <c r="F206" s="11" t="e">
        <f>VLOOKUP(D206,'LP-T2 大顆的'!D:E,2)</f>
        <v>#N/A</v>
      </c>
      <c r="G206" s="9" t="s">
        <v>11</v>
      </c>
      <c r="H206" s="11" t="str">
        <f>IF(C206&lt;&gt;B206,IF(AND(E206&gt;=20,E206&lt;35),"warning",IF(AND(E206&gt;=35,E206&lt;=50),"快要 O.O.C 啦",IF(E206&gt;50,"超出規格 O.O.C 啦",""))))</f>
        <v/>
      </c>
      <c r="I206" s="11" t="e">
        <f>IF(C206&lt;&gt;B206,IF(AND(F206&gt;=5,E206&lt;10),"warning",IF(AND(F206&gt;=10,F206&lt;=15),"快要 O.O.C 啦",IF(F206&gt;15,"超出規格 O.O.C 啦",""))))</f>
        <v>#N/A</v>
      </c>
    </row>
    <row r="207" spans="1:9">
      <c r="A207" s="9" t="s">
        <v>15</v>
      </c>
      <c r="B207" s="10">
        <v>44903.170555555553</v>
      </c>
      <c r="C207" s="9" t="s">
        <v>5</v>
      </c>
      <c r="D207" s="11" t="str">
        <f>CONCATENATE(B207,RIGHT(C207,2))</f>
        <v>44903.1705555556C6</v>
      </c>
      <c r="E207" s="9">
        <v>1</v>
      </c>
      <c r="F207" s="11" t="e">
        <f>VLOOKUP(D207,'LP-T2 大顆的'!D:E,2)</f>
        <v>#N/A</v>
      </c>
      <c r="G207" s="9" t="s">
        <v>11</v>
      </c>
      <c r="H207" s="11" t="str">
        <f>IF(C207&lt;&gt;B207,IF(AND(E207&gt;=20,E207&lt;35),"warning",IF(AND(E207&gt;=35,E207&lt;=50),"快要 O.O.C 啦",IF(E207&gt;50,"超出規格 O.O.C 啦",""))))</f>
        <v/>
      </c>
      <c r="I207" s="11" t="e">
        <f>IF(C207&lt;&gt;B207,IF(AND(F207&gt;=5,E207&lt;10),"warning",IF(AND(F207&gt;=10,F207&lt;=15),"快要 O.O.C 啦",IF(F207&gt;15,"超出規格 O.O.C 啦",""))))</f>
        <v>#N/A</v>
      </c>
    </row>
    <row r="208" spans="1:9">
      <c r="A208" s="9" t="s">
        <v>15</v>
      </c>
      <c r="B208" s="10">
        <v>44903.170555555553</v>
      </c>
      <c r="C208" s="9" t="s">
        <v>7</v>
      </c>
      <c r="D208" s="11" t="str">
        <f>CONCATENATE(B208,RIGHT(C208,2))</f>
        <v>44903.1705555556C1</v>
      </c>
      <c r="E208" s="9">
        <v>0</v>
      </c>
      <c r="F208" s="11" t="e">
        <f>VLOOKUP(D208,'LP-T2 大顆的'!D:E,2)</f>
        <v>#N/A</v>
      </c>
      <c r="G208" s="9" t="s">
        <v>11</v>
      </c>
      <c r="H208" s="11" t="str">
        <f>IF(C208&lt;&gt;B208,IF(AND(E208&gt;=20,E208&lt;35),"warning",IF(AND(E208&gt;=35,E208&lt;=50),"快要 O.O.C 啦",IF(E208&gt;50,"超出規格 O.O.C 啦",""))))</f>
        <v/>
      </c>
      <c r="I208" s="11" t="e">
        <f>IF(C208&lt;&gt;B208,IF(AND(F208&gt;=5,E208&lt;10),"warning",IF(AND(F208&gt;=10,F208&lt;=15),"快要 O.O.C 啦",IF(F208&gt;15,"超出規格 O.O.C 啦",""))))</f>
        <v>#N/A</v>
      </c>
    </row>
    <row r="209" spans="1:9">
      <c r="A209" s="9" t="s">
        <v>12</v>
      </c>
      <c r="B209" s="10">
        <v>44903.163946759261</v>
      </c>
      <c r="C209" s="9" t="s">
        <v>5</v>
      </c>
      <c r="D209" s="11" t="str">
        <f>CONCATENATE(B209,RIGHT(C209,2))</f>
        <v>44903.1639467593C6</v>
      </c>
      <c r="E209" s="9">
        <v>0</v>
      </c>
      <c r="F209" s="11" t="e">
        <f>VLOOKUP(D209,'LP-T2 大顆的'!D:E,2)</f>
        <v>#N/A</v>
      </c>
      <c r="G209" s="9" t="s">
        <v>11</v>
      </c>
      <c r="H209" s="11" t="str">
        <f>IF(C209&lt;&gt;B209,IF(AND(E209&gt;=20,E209&lt;35),"warning",IF(AND(E209&gt;=35,E209&lt;=50),"快要 O.O.C 啦",IF(E209&gt;50,"超出規格 O.O.C 啦",""))))</f>
        <v/>
      </c>
      <c r="I209" s="11" t="e">
        <f>IF(C209&lt;&gt;B209,IF(AND(F209&gt;=5,E209&lt;10),"warning",IF(AND(F209&gt;=10,F209&lt;=15),"快要 O.O.C 啦",IF(F209&gt;15,"超出規格 O.O.C 啦",""))))</f>
        <v>#N/A</v>
      </c>
    </row>
    <row r="210" spans="1:9">
      <c r="A210" s="9" t="s">
        <v>12</v>
      </c>
      <c r="B210" s="10">
        <v>44903.163946759261</v>
      </c>
      <c r="C210" s="9" t="s">
        <v>7</v>
      </c>
      <c r="D210" s="11" t="str">
        <f>CONCATENATE(B210,RIGHT(C210,2))</f>
        <v>44903.1639467593C1</v>
      </c>
      <c r="E210" s="9">
        <v>3</v>
      </c>
      <c r="F210" s="11" t="e">
        <f>VLOOKUP(D210,'LP-T2 大顆的'!D:E,2)</f>
        <v>#N/A</v>
      </c>
      <c r="G210" s="9" t="s">
        <v>11</v>
      </c>
      <c r="H210" s="11" t="str">
        <f>IF(C210&lt;&gt;B210,IF(AND(E210&gt;=20,E210&lt;35),"warning",IF(AND(E210&gt;=35,E210&lt;=50),"快要 O.O.C 啦",IF(E210&gt;50,"超出規格 O.O.C 啦",""))))</f>
        <v/>
      </c>
      <c r="I210" s="11" t="e">
        <f>IF(C210&lt;&gt;B210,IF(AND(F210&gt;=5,E210&lt;10),"warning",IF(AND(F210&gt;=10,F210&lt;=15),"快要 O.O.C 啦",IF(F210&gt;15,"超出規格 O.O.C 啦",""))))</f>
        <v>#N/A</v>
      </c>
    </row>
    <row r="211" spans="1:9">
      <c r="A211" s="9" t="s">
        <v>13</v>
      </c>
      <c r="B211" s="10">
        <v>44903.16196759259</v>
      </c>
      <c r="C211" s="9" t="s">
        <v>7</v>
      </c>
      <c r="D211" s="11" t="str">
        <f>CONCATENATE(B211,RIGHT(C211,2))</f>
        <v>44903.1619675926C1</v>
      </c>
      <c r="E211" s="9">
        <v>0</v>
      </c>
      <c r="F211" s="11" t="e">
        <f>VLOOKUP(D211,'LP-T2 大顆的'!D:E,2)</f>
        <v>#N/A</v>
      </c>
      <c r="G211" s="9" t="s">
        <v>11</v>
      </c>
      <c r="H211" s="11" t="str">
        <f>IF(C211&lt;&gt;B211,IF(AND(E211&gt;=20,E211&lt;35),"warning",IF(AND(E211&gt;=35,E211&lt;=50),"快要 O.O.C 啦",IF(E211&gt;50,"超出規格 O.O.C 啦",""))))</f>
        <v/>
      </c>
      <c r="I211" s="11" t="e">
        <f>IF(C211&lt;&gt;B211,IF(AND(F211&gt;=5,E211&lt;10),"warning",IF(AND(F211&gt;=10,F211&lt;=15),"快要 O.O.C 啦",IF(F211&gt;15,"超出規格 O.O.C 啦",""))))</f>
        <v>#N/A</v>
      </c>
    </row>
    <row r="212" spans="1:9">
      <c r="A212" s="9" t="s">
        <v>4</v>
      </c>
      <c r="B212" s="10">
        <v>44903.153715277775</v>
      </c>
      <c r="C212" s="9" t="s">
        <v>5</v>
      </c>
      <c r="D212" s="11" t="str">
        <f>CONCATENATE(B212,RIGHT(C212,2))</f>
        <v>44903.1537152778C6</v>
      </c>
      <c r="E212" s="9">
        <v>4</v>
      </c>
      <c r="F212" s="11" t="e">
        <f>VLOOKUP(D212,'LP-T2 大顆的'!D:E,2)</f>
        <v>#N/A</v>
      </c>
      <c r="G212" s="9" t="s">
        <v>11</v>
      </c>
      <c r="H212" s="11" t="str">
        <f>IF(C212&lt;&gt;B212,IF(AND(E212&gt;=20,E212&lt;35),"warning",IF(AND(E212&gt;=35,E212&lt;=50),"快要 O.O.C 啦",IF(E212&gt;50,"超出規格 O.O.C 啦",""))))</f>
        <v/>
      </c>
      <c r="I212" s="11" t="e">
        <f>IF(C212&lt;&gt;B212,IF(AND(F212&gt;=5,E212&lt;10),"warning",IF(AND(F212&gt;=10,F212&lt;=15),"快要 O.O.C 啦",IF(F212&gt;15,"超出規格 O.O.C 啦",""))))</f>
        <v>#N/A</v>
      </c>
    </row>
    <row r="213" spans="1:9">
      <c r="A213" s="9" t="s">
        <v>4</v>
      </c>
      <c r="B213" s="10">
        <v>44903.153715277775</v>
      </c>
      <c r="C213" s="9" t="s">
        <v>7</v>
      </c>
      <c r="D213" s="11" t="str">
        <f>CONCATENATE(B213,RIGHT(C213,2))</f>
        <v>44903.1537152778C1</v>
      </c>
      <c r="E213" s="9">
        <v>0</v>
      </c>
      <c r="F213" s="11" t="e">
        <f>VLOOKUP(D213,'LP-T2 大顆的'!D:E,2)</f>
        <v>#N/A</v>
      </c>
      <c r="G213" s="9" t="s">
        <v>11</v>
      </c>
      <c r="H213" s="11" t="str">
        <f>IF(C213&lt;&gt;B213,IF(AND(E213&gt;=20,E213&lt;35),"warning",IF(AND(E213&gt;=35,E213&lt;=50),"快要 O.O.C 啦",IF(E213&gt;50,"超出規格 O.O.C 啦",""))))</f>
        <v/>
      </c>
      <c r="I213" s="11" t="e">
        <f>IF(C213&lt;&gt;B213,IF(AND(F213&gt;=5,E213&lt;10),"warning",IF(AND(F213&gt;=10,F213&lt;=15),"快要 O.O.C 啦",IF(F213&gt;15,"超出規格 O.O.C 啦",""))))</f>
        <v>#N/A</v>
      </c>
    </row>
    <row r="214" spans="1:9">
      <c r="A214" s="9" t="s">
        <v>14</v>
      </c>
      <c r="B214" s="10">
        <v>44903.13490740741</v>
      </c>
      <c r="C214" s="9" t="s">
        <v>5</v>
      </c>
      <c r="D214" s="11" t="str">
        <f>CONCATENATE(B214,RIGHT(C214,2))</f>
        <v>44903.1349074074C6</v>
      </c>
      <c r="E214" s="9">
        <v>3</v>
      </c>
      <c r="F214" s="11" t="e">
        <f>VLOOKUP(D214,'LP-T2 大顆的'!D:E,2)</f>
        <v>#N/A</v>
      </c>
      <c r="G214" s="9" t="s">
        <v>11</v>
      </c>
      <c r="H214" s="11" t="str">
        <f>IF(C214&lt;&gt;B214,IF(AND(E214&gt;=20,E214&lt;35),"warning",IF(AND(E214&gt;=35,E214&lt;=50),"快要 O.O.C 啦",IF(E214&gt;50,"超出規格 O.O.C 啦",""))))</f>
        <v/>
      </c>
      <c r="I214" s="11" t="e">
        <f>IF(C214&lt;&gt;B214,IF(AND(F214&gt;=5,E214&lt;10),"warning",IF(AND(F214&gt;=10,F214&lt;=15),"快要 O.O.C 啦",IF(F214&gt;15,"超出規格 O.O.C 啦",""))))</f>
        <v>#N/A</v>
      </c>
    </row>
    <row r="215" spans="1:9">
      <c r="A215" s="9" t="s">
        <v>14</v>
      </c>
      <c r="B215" s="10">
        <v>44903.13490740741</v>
      </c>
      <c r="C215" s="9" t="s">
        <v>7</v>
      </c>
      <c r="D215" s="11" t="str">
        <f>CONCATENATE(B215,RIGHT(C215,2))</f>
        <v>44903.1349074074C1</v>
      </c>
      <c r="E215" s="9">
        <v>3</v>
      </c>
      <c r="F215" s="11" t="e">
        <f>VLOOKUP(D215,'LP-T2 大顆的'!D:E,2)</f>
        <v>#N/A</v>
      </c>
      <c r="G215" s="9" t="s">
        <v>11</v>
      </c>
      <c r="H215" s="11" t="str">
        <f>IF(C215&lt;&gt;B215,IF(AND(E215&gt;=20,E215&lt;35),"warning",IF(AND(E215&gt;=35,E215&lt;=50),"快要 O.O.C 啦",IF(E215&gt;50,"超出規格 O.O.C 啦",""))))</f>
        <v/>
      </c>
      <c r="I215" s="11" t="e">
        <f>IF(C215&lt;&gt;B215,IF(AND(F215&gt;=5,E215&lt;10),"warning",IF(AND(F215&gt;=10,F215&lt;=15),"快要 O.O.C 啦",IF(F215&gt;15,"超出規格 O.O.C 啦",""))))</f>
        <v>#N/A</v>
      </c>
    </row>
    <row r="216" spans="1:9">
      <c r="A216" s="9" t="s">
        <v>16</v>
      </c>
      <c r="B216" s="10">
        <v>44903.079861111109</v>
      </c>
      <c r="C216" s="9" t="s">
        <v>5</v>
      </c>
      <c r="D216" s="11" t="str">
        <f>CONCATENATE(B216,RIGHT(C216,2))</f>
        <v>44903.0798611111C6</v>
      </c>
      <c r="E216" s="9">
        <v>1</v>
      </c>
      <c r="F216" s="11" t="e">
        <f>VLOOKUP(D216,'LP-T2 大顆的'!D:E,2)</f>
        <v>#N/A</v>
      </c>
      <c r="G216" s="9" t="s">
        <v>11</v>
      </c>
      <c r="H216" s="11" t="str">
        <f>IF(C216&lt;&gt;B216,IF(AND(E216&gt;=20,E216&lt;35),"warning",IF(AND(E216&gt;=35,E216&lt;=50),"快要 O.O.C 啦",IF(E216&gt;50,"超出規格 O.O.C 啦",""))))</f>
        <v/>
      </c>
      <c r="I216" s="11" t="e">
        <f>IF(C216&lt;&gt;B216,IF(AND(F216&gt;=5,E216&lt;10),"warning",IF(AND(F216&gt;=10,F216&lt;=15),"快要 O.O.C 啦",IF(F216&gt;15,"超出規格 O.O.C 啦",""))))</f>
        <v>#N/A</v>
      </c>
    </row>
    <row r="217" spans="1:9">
      <c r="A217" s="9" t="s">
        <v>16</v>
      </c>
      <c r="B217" s="10">
        <v>44903.079861111109</v>
      </c>
      <c r="C217" s="9" t="s">
        <v>7</v>
      </c>
      <c r="D217" s="11" t="str">
        <f>CONCATENATE(B217,RIGHT(C217,2))</f>
        <v>44903.0798611111C1</v>
      </c>
      <c r="E217" s="9">
        <v>2</v>
      </c>
      <c r="F217" s="11" t="e">
        <f>VLOOKUP(D217,'LP-T2 大顆的'!D:E,2)</f>
        <v>#N/A</v>
      </c>
      <c r="G217" s="9" t="s">
        <v>11</v>
      </c>
      <c r="H217" s="11" t="str">
        <f>IF(C217&lt;&gt;B217,IF(AND(E217&gt;=20,E217&lt;35),"warning",IF(AND(E217&gt;=35,E217&lt;=50),"快要 O.O.C 啦",IF(E217&gt;50,"超出規格 O.O.C 啦",""))))</f>
        <v/>
      </c>
      <c r="I217" s="11" t="e">
        <f>IF(C217&lt;&gt;B217,IF(AND(F217&gt;=5,E217&lt;10),"warning",IF(AND(F217&gt;=10,F217&lt;=15),"快要 O.O.C 啦",IF(F217&gt;15,"超出規格 O.O.C 啦",""))))</f>
        <v>#N/A</v>
      </c>
    </row>
    <row r="218" spans="1:9">
      <c r="A218" s="9" t="s">
        <v>17</v>
      </c>
      <c r="B218" s="10">
        <v>44903.030694444446</v>
      </c>
      <c r="C218" s="9" t="s">
        <v>5</v>
      </c>
      <c r="D218" s="11" t="str">
        <f>CONCATENATE(B218,RIGHT(C218,2))</f>
        <v>44903.0306944444C6</v>
      </c>
      <c r="E218" s="9">
        <v>0</v>
      </c>
      <c r="F218" s="11" t="e">
        <f>VLOOKUP(D218,'LP-T2 大顆的'!D:E,2)</f>
        <v>#N/A</v>
      </c>
      <c r="G218" s="9" t="s">
        <v>11</v>
      </c>
      <c r="H218" s="11" t="str">
        <f>IF(C218&lt;&gt;B218,IF(AND(E218&gt;=20,E218&lt;35),"warning",IF(AND(E218&gt;=35,E218&lt;=50),"快要 O.O.C 啦",IF(E218&gt;50,"超出規格 O.O.C 啦",""))))</f>
        <v/>
      </c>
      <c r="I218" s="11" t="e">
        <f>IF(C218&lt;&gt;B218,IF(AND(F218&gt;=5,E218&lt;10),"warning",IF(AND(F218&gt;=10,F218&lt;=15),"快要 O.O.C 啦",IF(F218&gt;15,"超出規格 O.O.C 啦",""))))</f>
        <v>#N/A</v>
      </c>
    </row>
    <row r="219" spans="1:9">
      <c r="A219" s="9" t="s">
        <v>17</v>
      </c>
      <c r="B219" s="10">
        <v>44903.030694444446</v>
      </c>
      <c r="C219" s="9" t="s">
        <v>7</v>
      </c>
      <c r="D219" s="11" t="str">
        <f>CONCATENATE(B219,RIGHT(C219,2))</f>
        <v>44903.0306944444C1</v>
      </c>
      <c r="E219" s="9">
        <v>1</v>
      </c>
      <c r="F219" s="11" t="e">
        <f>VLOOKUP(D219,'LP-T2 大顆的'!D:E,2)</f>
        <v>#N/A</v>
      </c>
      <c r="G219" s="9" t="s">
        <v>11</v>
      </c>
      <c r="H219" s="11" t="str">
        <f>IF(C219&lt;&gt;B219,IF(AND(E219&gt;=20,E219&lt;35),"warning",IF(AND(E219&gt;=35,E219&lt;=50),"快要 O.O.C 啦",IF(E219&gt;50,"超出規格 O.O.C 啦",""))))</f>
        <v/>
      </c>
      <c r="I219" s="11" t="e">
        <f>IF(C219&lt;&gt;B219,IF(AND(F219&gt;=5,E219&lt;10),"warning",IF(AND(F219&gt;=10,F219&lt;=15),"快要 O.O.C 啦",IF(F219&gt;15,"超出規格 O.O.C 啦",""))))</f>
        <v>#N/A</v>
      </c>
    </row>
    <row r="220" spans="1:9">
      <c r="A220" s="9" t="s">
        <v>13</v>
      </c>
      <c r="B220" s="10">
        <v>44903.001446759263</v>
      </c>
      <c r="C220" s="9" t="s">
        <v>5</v>
      </c>
      <c r="D220" s="11" t="str">
        <f>CONCATENATE(B220,RIGHT(C220,2))</f>
        <v>44903.0014467593C6</v>
      </c>
      <c r="E220" s="9">
        <v>0</v>
      </c>
      <c r="F220" s="11" t="e">
        <f>VLOOKUP(D220,'LP-T2 大顆的'!D:E,2)</f>
        <v>#N/A</v>
      </c>
      <c r="G220" s="9" t="s">
        <v>11</v>
      </c>
      <c r="H220" s="11" t="str">
        <f>IF(C220&lt;&gt;B220,IF(AND(E220&gt;=20,E220&lt;35),"warning",IF(AND(E220&gt;=35,E220&lt;=50),"快要 O.O.C 啦",IF(E220&gt;50,"超出規格 O.O.C 啦",""))))</f>
        <v/>
      </c>
      <c r="I220" s="11" t="e">
        <f>IF(C220&lt;&gt;B220,IF(AND(F220&gt;=5,E220&lt;10),"warning",IF(AND(F220&gt;=10,F220&lt;=15),"快要 O.O.C 啦",IF(F220&gt;15,"超出規格 O.O.C 啦",""))))</f>
        <v>#N/A</v>
      </c>
    </row>
    <row r="221" spans="1:9">
      <c r="A221" s="9" t="s">
        <v>13</v>
      </c>
      <c r="B221" s="10">
        <v>44903.001446759263</v>
      </c>
      <c r="C221" s="9" t="s">
        <v>7</v>
      </c>
      <c r="D221" s="11" t="str">
        <f>CONCATENATE(B221,RIGHT(C221,2))</f>
        <v>44903.0014467593C1</v>
      </c>
      <c r="E221" s="9">
        <v>1</v>
      </c>
      <c r="F221" s="11" t="e">
        <f>VLOOKUP(D221,'LP-T2 大顆的'!D:E,2)</f>
        <v>#N/A</v>
      </c>
      <c r="G221" s="9" t="s">
        <v>11</v>
      </c>
      <c r="H221" s="11" t="str">
        <f>IF(C221&lt;&gt;B221,IF(AND(E221&gt;=20,E221&lt;35),"warning",IF(AND(E221&gt;=35,E221&lt;=50),"快要 O.O.C 啦",IF(E221&gt;50,"超出規格 O.O.C 啦",""))))</f>
        <v/>
      </c>
      <c r="I221" s="11" t="e">
        <f>IF(C221&lt;&gt;B221,IF(AND(F221&gt;=5,E221&lt;10),"warning",IF(AND(F221&gt;=10,F221&lt;=15),"快要 O.O.C 啦",IF(F221&gt;15,"超出規格 O.O.C 啦",""))))</f>
        <v>#N/A</v>
      </c>
    </row>
    <row r="222" spans="1:9">
      <c r="A222" s="9" t="s">
        <v>15</v>
      </c>
      <c r="B222" s="10">
        <v>44902.99013888889</v>
      </c>
      <c r="C222" s="9" t="s">
        <v>5</v>
      </c>
      <c r="D222" s="11" t="str">
        <f>CONCATENATE(B222,RIGHT(C222,2))</f>
        <v>44902.9901388889C6</v>
      </c>
      <c r="E222" s="9">
        <v>0</v>
      </c>
      <c r="F222" s="11" t="e">
        <f>VLOOKUP(D222,'LP-T2 大顆的'!D:E,2)</f>
        <v>#N/A</v>
      </c>
      <c r="G222" s="9" t="s">
        <v>11</v>
      </c>
      <c r="H222" s="11" t="str">
        <f>IF(C222&lt;&gt;B222,IF(AND(E222&gt;=20,E222&lt;35),"warning",IF(AND(E222&gt;=35,E222&lt;=50),"快要 O.O.C 啦",IF(E222&gt;50,"超出規格 O.O.C 啦",""))))</f>
        <v/>
      </c>
      <c r="I222" s="11" t="e">
        <f>IF(C222&lt;&gt;B222,IF(AND(F222&gt;=5,E222&lt;10),"warning",IF(AND(F222&gt;=10,F222&lt;=15),"快要 O.O.C 啦",IF(F222&gt;15,"超出規格 O.O.C 啦",""))))</f>
        <v>#N/A</v>
      </c>
    </row>
    <row r="223" spans="1:9">
      <c r="A223" s="9" t="s">
        <v>15</v>
      </c>
      <c r="B223" s="10">
        <v>44902.99013888889</v>
      </c>
      <c r="C223" s="9" t="s">
        <v>7</v>
      </c>
      <c r="D223" s="11" t="str">
        <f>CONCATENATE(B223,RIGHT(C223,2))</f>
        <v>44902.9901388889C1</v>
      </c>
      <c r="E223" s="9">
        <v>0</v>
      </c>
      <c r="F223" s="11" t="e">
        <f>VLOOKUP(D223,'LP-T2 大顆的'!D:E,2)</f>
        <v>#N/A</v>
      </c>
      <c r="G223" s="9" t="s">
        <v>11</v>
      </c>
      <c r="H223" s="11" t="str">
        <f>IF(C223&lt;&gt;B223,IF(AND(E223&gt;=20,E223&lt;35),"warning",IF(AND(E223&gt;=35,E223&lt;=50),"快要 O.O.C 啦",IF(E223&gt;50,"超出規格 O.O.C 啦",""))))</f>
        <v/>
      </c>
      <c r="I223" s="11" t="e">
        <f>IF(C223&lt;&gt;B223,IF(AND(F223&gt;=5,E223&lt;10),"warning",IF(AND(F223&gt;=10,F223&lt;=15),"快要 O.O.C 啦",IF(F223&gt;15,"超出規格 O.O.C 啦",""))))</f>
        <v>#N/A</v>
      </c>
    </row>
    <row r="224" spans="1:9">
      <c r="A224" s="9" t="s">
        <v>4</v>
      </c>
      <c r="B224" s="10">
        <v>44902.981400462966</v>
      </c>
      <c r="C224" s="9" t="s">
        <v>5</v>
      </c>
      <c r="D224" s="11" t="str">
        <f>CONCATENATE(B224,RIGHT(C224,2))</f>
        <v>44902.981400463C6</v>
      </c>
      <c r="E224" s="9">
        <v>0</v>
      </c>
      <c r="F224" s="11" t="e">
        <f>VLOOKUP(D224,'LP-T2 大顆的'!D:E,2)</f>
        <v>#N/A</v>
      </c>
      <c r="G224" s="9" t="s">
        <v>11</v>
      </c>
      <c r="H224" s="11" t="str">
        <f>IF(C224&lt;&gt;B224,IF(AND(E224&gt;=20,E224&lt;35),"warning",IF(AND(E224&gt;=35,E224&lt;=50),"快要 O.O.C 啦",IF(E224&gt;50,"超出規格 O.O.C 啦",""))))</f>
        <v/>
      </c>
      <c r="I224" s="11" t="e">
        <f>IF(C224&lt;&gt;B224,IF(AND(F224&gt;=5,E224&lt;10),"warning",IF(AND(F224&gt;=10,F224&lt;=15),"快要 O.O.C 啦",IF(F224&gt;15,"超出規格 O.O.C 啦",""))))</f>
        <v>#N/A</v>
      </c>
    </row>
    <row r="225" spans="1:9">
      <c r="A225" s="9" t="s">
        <v>4</v>
      </c>
      <c r="B225" s="10">
        <v>44902.981400462966</v>
      </c>
      <c r="C225" s="9" t="s">
        <v>7</v>
      </c>
      <c r="D225" s="11" t="str">
        <f>CONCATENATE(B225,RIGHT(C225,2))</f>
        <v>44902.981400463C1</v>
      </c>
      <c r="E225" s="9">
        <v>3</v>
      </c>
      <c r="F225" s="11" t="e">
        <f>VLOOKUP(D225,'LP-T2 大顆的'!D:E,2)</f>
        <v>#N/A</v>
      </c>
      <c r="G225" s="9" t="s">
        <v>11</v>
      </c>
      <c r="H225" s="11" t="str">
        <f>IF(C225&lt;&gt;B225,IF(AND(E225&gt;=20,E225&lt;35),"warning",IF(AND(E225&gt;=35,E225&lt;=50),"快要 O.O.C 啦",IF(E225&gt;50,"超出規格 O.O.C 啦",""))))</f>
        <v/>
      </c>
      <c r="I225" s="11" t="e">
        <f>IF(C225&lt;&gt;B225,IF(AND(F225&gt;=5,E225&lt;10),"warning",IF(AND(F225&gt;=10,F225&lt;=15),"快要 O.O.C 啦",IF(F225&gt;15,"超出規格 O.O.C 啦",""))))</f>
        <v>#N/A</v>
      </c>
    </row>
    <row r="226" spans="1:9">
      <c r="A226" s="9" t="s">
        <v>12</v>
      </c>
      <c r="B226" s="10">
        <v>44902.935300925928</v>
      </c>
      <c r="C226" s="9" t="s">
        <v>5</v>
      </c>
      <c r="D226" s="11" t="str">
        <f>CONCATENATE(B226,RIGHT(C226,2))</f>
        <v>44902.9353009259C6</v>
      </c>
      <c r="E226" s="9">
        <v>1</v>
      </c>
      <c r="F226" s="11" t="e">
        <f>VLOOKUP(D226,'LP-T2 大顆的'!D:E,2)</f>
        <v>#N/A</v>
      </c>
      <c r="G226" s="9" t="s">
        <v>11</v>
      </c>
      <c r="H226" s="11" t="str">
        <f>IF(C226&lt;&gt;B226,IF(AND(E226&gt;=20,E226&lt;35),"warning",IF(AND(E226&gt;=35,E226&lt;=50),"快要 O.O.C 啦",IF(E226&gt;50,"超出規格 O.O.C 啦",""))))</f>
        <v/>
      </c>
      <c r="I226" s="11" t="e">
        <f>IF(C226&lt;&gt;B226,IF(AND(F226&gt;=5,E226&lt;10),"warning",IF(AND(F226&gt;=10,F226&lt;=15),"快要 O.O.C 啦",IF(F226&gt;15,"超出規格 O.O.C 啦",""))))</f>
        <v>#N/A</v>
      </c>
    </row>
    <row r="227" spans="1:9">
      <c r="A227" s="9" t="s">
        <v>12</v>
      </c>
      <c r="B227" s="10">
        <v>44902.935300925928</v>
      </c>
      <c r="C227" s="9" t="s">
        <v>7</v>
      </c>
      <c r="D227" s="11" t="str">
        <f>CONCATENATE(B227,RIGHT(C227,2))</f>
        <v>44902.9353009259C1</v>
      </c>
      <c r="E227" s="9">
        <v>1</v>
      </c>
      <c r="F227" s="11" t="e">
        <f>VLOOKUP(D227,'LP-T2 大顆的'!D:E,2)</f>
        <v>#N/A</v>
      </c>
      <c r="G227" s="9" t="s">
        <v>11</v>
      </c>
      <c r="H227" s="11" t="str">
        <f>IF(C227&lt;&gt;B227,IF(AND(E227&gt;=20,E227&lt;35),"warning",IF(AND(E227&gt;=35,E227&lt;=50),"快要 O.O.C 啦",IF(E227&gt;50,"超出規格 O.O.C 啦",""))))</f>
        <v/>
      </c>
      <c r="I227" s="11" t="e">
        <f>IF(C227&lt;&gt;B227,IF(AND(F227&gt;=5,E227&lt;10),"warning",IF(AND(F227&gt;=10,F227&lt;=15),"快要 O.O.C 啦",IF(F227&gt;15,"超出規格 O.O.C 啦",""))))</f>
        <v>#N/A</v>
      </c>
    </row>
    <row r="228" spans="1:9">
      <c r="A228" s="9" t="s">
        <v>14</v>
      </c>
      <c r="B228" s="10">
        <v>44902.928310185183</v>
      </c>
      <c r="C228" s="9" t="s">
        <v>5</v>
      </c>
      <c r="D228" s="11" t="str">
        <f>CONCATENATE(B228,RIGHT(C228,2))</f>
        <v>44902.9283101852C6</v>
      </c>
      <c r="E228" s="9">
        <v>2</v>
      </c>
      <c r="F228" s="11" t="e">
        <f>VLOOKUP(D228,'LP-T2 大顆的'!D:E,2)</f>
        <v>#N/A</v>
      </c>
      <c r="G228" s="9" t="s">
        <v>11</v>
      </c>
      <c r="H228" s="11" t="str">
        <f>IF(C228&lt;&gt;B228,IF(AND(E228&gt;=20,E228&lt;35),"warning",IF(AND(E228&gt;=35,E228&lt;=50),"快要 O.O.C 啦",IF(E228&gt;50,"超出規格 O.O.C 啦",""))))</f>
        <v/>
      </c>
      <c r="I228" s="11" t="e">
        <f>IF(C228&lt;&gt;B228,IF(AND(F228&gt;=5,E228&lt;10),"warning",IF(AND(F228&gt;=10,F228&lt;=15),"快要 O.O.C 啦",IF(F228&gt;15,"超出規格 O.O.C 啦",""))))</f>
        <v>#N/A</v>
      </c>
    </row>
    <row r="229" spans="1:9">
      <c r="A229" s="9" t="s">
        <v>14</v>
      </c>
      <c r="B229" s="10">
        <v>44902.928310185183</v>
      </c>
      <c r="C229" s="9" t="s">
        <v>7</v>
      </c>
      <c r="D229" s="11" t="str">
        <f>CONCATENATE(B229,RIGHT(C229,2))</f>
        <v>44902.9283101852C1</v>
      </c>
      <c r="E229" s="9">
        <v>0</v>
      </c>
      <c r="F229" s="11" t="e">
        <f>VLOOKUP(D229,'LP-T2 大顆的'!D:E,2)</f>
        <v>#N/A</v>
      </c>
      <c r="G229" s="9" t="s">
        <v>11</v>
      </c>
      <c r="H229" s="11" t="str">
        <f>IF(C229&lt;&gt;B229,IF(AND(E229&gt;=20,E229&lt;35),"warning",IF(AND(E229&gt;=35,E229&lt;=50),"快要 O.O.C 啦",IF(E229&gt;50,"超出規格 O.O.C 啦",""))))</f>
        <v/>
      </c>
      <c r="I229" s="11" t="e">
        <f>IF(C229&lt;&gt;B229,IF(AND(F229&gt;=5,E229&lt;10),"warning",IF(AND(F229&gt;=10,F229&lt;=15),"快要 O.O.C 啦",IF(F229&gt;15,"超出規格 O.O.C 啦",""))))</f>
        <v>#N/A</v>
      </c>
    </row>
    <row r="230" spans="1:9">
      <c r="A230" s="9" t="s">
        <v>16</v>
      </c>
      <c r="B230" s="10">
        <v>44902.887615740743</v>
      </c>
      <c r="C230" s="9" t="s">
        <v>5</v>
      </c>
      <c r="D230" s="11" t="str">
        <f>CONCATENATE(B230,RIGHT(C230,2))</f>
        <v>44902.8876157407C6</v>
      </c>
      <c r="E230" s="9">
        <v>0</v>
      </c>
      <c r="F230" s="11" t="e">
        <f>VLOOKUP(D230,'LP-T2 大顆的'!D:E,2)</f>
        <v>#N/A</v>
      </c>
      <c r="G230" s="9" t="s">
        <v>11</v>
      </c>
      <c r="H230" s="11" t="str">
        <f>IF(C230&lt;&gt;B230,IF(AND(E230&gt;=20,E230&lt;35),"warning",IF(AND(E230&gt;=35,E230&lt;=50),"快要 O.O.C 啦",IF(E230&gt;50,"超出規格 O.O.C 啦",""))))</f>
        <v/>
      </c>
      <c r="I230" s="11" t="e">
        <f>IF(C230&lt;&gt;B230,IF(AND(F230&gt;=5,E230&lt;10),"warning",IF(AND(F230&gt;=10,F230&lt;=15),"快要 O.O.C 啦",IF(F230&gt;15,"超出規格 O.O.C 啦",""))))</f>
        <v>#N/A</v>
      </c>
    </row>
    <row r="231" spans="1:9">
      <c r="A231" s="9" t="s">
        <v>16</v>
      </c>
      <c r="B231" s="10">
        <v>44902.887615740743</v>
      </c>
      <c r="C231" s="9" t="s">
        <v>7</v>
      </c>
      <c r="D231" s="11" t="str">
        <f>CONCATENATE(B231,RIGHT(C231,2))</f>
        <v>44902.8876157407C1</v>
      </c>
      <c r="E231" s="9">
        <v>0</v>
      </c>
      <c r="F231" s="11" t="e">
        <f>VLOOKUP(D231,'LP-T2 大顆的'!D:E,2)</f>
        <v>#N/A</v>
      </c>
      <c r="G231" s="9" t="s">
        <v>11</v>
      </c>
      <c r="H231" s="11" t="str">
        <f>IF(C231&lt;&gt;B231,IF(AND(E231&gt;=20,E231&lt;35),"warning",IF(AND(E231&gt;=35,E231&lt;=50),"快要 O.O.C 啦",IF(E231&gt;50,"超出規格 O.O.C 啦",""))))</f>
        <v/>
      </c>
      <c r="I231" s="11" t="e">
        <f>IF(C231&lt;&gt;B231,IF(AND(F231&gt;=5,E231&lt;10),"warning",IF(AND(F231&gt;=10,F231&lt;=15),"快要 O.O.C 啦",IF(F231&gt;15,"超出規格 O.O.C 啦",""))))</f>
        <v>#N/A</v>
      </c>
    </row>
    <row r="232" spans="1:9">
      <c r="A232" s="9" t="s">
        <v>13</v>
      </c>
      <c r="B232" s="10">
        <v>44902.860706018517</v>
      </c>
      <c r="C232" s="9" t="s">
        <v>5</v>
      </c>
      <c r="D232" s="11" t="str">
        <f>CONCATENATE(B232,RIGHT(C232,2))</f>
        <v>44902.8607060185C6</v>
      </c>
      <c r="E232" s="9">
        <v>2</v>
      </c>
      <c r="F232" s="11" t="e">
        <f>VLOOKUP(D232,'LP-T2 大顆的'!D:E,2)</f>
        <v>#N/A</v>
      </c>
      <c r="G232" s="9" t="s">
        <v>11</v>
      </c>
      <c r="H232" s="11" t="str">
        <f>IF(C232&lt;&gt;B232,IF(AND(E232&gt;=20,E232&lt;35),"warning",IF(AND(E232&gt;=35,E232&lt;=50),"快要 O.O.C 啦",IF(E232&gt;50,"超出規格 O.O.C 啦",""))))</f>
        <v/>
      </c>
      <c r="I232" s="11" t="e">
        <f>IF(C232&lt;&gt;B232,IF(AND(F232&gt;=5,E232&lt;10),"warning",IF(AND(F232&gt;=10,F232&lt;=15),"快要 O.O.C 啦",IF(F232&gt;15,"超出規格 O.O.C 啦",""))))</f>
        <v>#N/A</v>
      </c>
    </row>
    <row r="233" spans="1:9">
      <c r="A233" s="9" t="s">
        <v>13</v>
      </c>
      <c r="B233" s="10">
        <v>44902.860706018517</v>
      </c>
      <c r="C233" s="9" t="s">
        <v>7</v>
      </c>
      <c r="D233" s="11" t="str">
        <f>CONCATENATE(B233,RIGHT(C233,2))</f>
        <v>44902.8607060185C1</v>
      </c>
      <c r="E233" s="9">
        <v>1</v>
      </c>
      <c r="F233" s="11" t="e">
        <f>VLOOKUP(D233,'LP-T2 大顆的'!D:E,2)</f>
        <v>#N/A</v>
      </c>
      <c r="G233" s="9" t="s">
        <v>11</v>
      </c>
      <c r="H233" s="11" t="str">
        <f>IF(C233&lt;&gt;B233,IF(AND(E233&gt;=20,E233&lt;35),"warning",IF(AND(E233&gt;=35,E233&lt;=50),"快要 O.O.C 啦",IF(E233&gt;50,"超出規格 O.O.C 啦",""))))</f>
        <v/>
      </c>
      <c r="I233" s="11" t="e">
        <f>IF(C233&lt;&gt;B233,IF(AND(F233&gt;=5,E233&lt;10),"warning",IF(AND(F233&gt;=10,F233&lt;=15),"快要 O.O.C 啦",IF(F233&gt;15,"超出規格 O.O.C 啦",""))))</f>
        <v>#N/A</v>
      </c>
    </row>
    <row r="234" spans="1:9">
      <c r="A234" s="9" t="s">
        <v>15</v>
      </c>
      <c r="B234" s="10">
        <v>44902.851736111108</v>
      </c>
      <c r="C234" s="9" t="s">
        <v>6</v>
      </c>
      <c r="D234" s="11" t="str">
        <f>CONCATENATE(B234,RIGHT(C234,2))</f>
        <v>44902.8517361111C4</v>
      </c>
      <c r="E234" s="9">
        <v>4</v>
      </c>
      <c r="F234" s="11" t="e">
        <f>VLOOKUP(D234,'LP-T2 大顆的'!D:E,2)</f>
        <v>#N/A</v>
      </c>
      <c r="G234" s="9" t="s">
        <v>11</v>
      </c>
      <c r="H234" s="11" t="str">
        <f>IF(C234&lt;&gt;B234,IF(AND(E234&gt;=20,E234&lt;35),"warning",IF(AND(E234&gt;=35,E234&lt;=50),"快要 O.O.C 啦",IF(E234&gt;50,"超出規格 O.O.C 啦",""))))</f>
        <v/>
      </c>
      <c r="I234" s="11" t="e">
        <f>IF(C234&lt;&gt;B234,IF(AND(F234&gt;=5,E234&lt;10),"warning",IF(AND(F234&gt;=10,F234&lt;=15),"快要 O.O.C 啦",IF(F234&gt;15,"超出規格 O.O.C 啦",""))))</f>
        <v>#N/A</v>
      </c>
    </row>
    <row r="235" spans="1:9">
      <c r="A235" s="9" t="s">
        <v>17</v>
      </c>
      <c r="B235" s="10">
        <v>44902.841747685183</v>
      </c>
      <c r="C235" s="9" t="s">
        <v>6</v>
      </c>
      <c r="D235" s="11" t="str">
        <f>CONCATENATE(B235,RIGHT(C235,2))</f>
        <v>44902.8417476852C4</v>
      </c>
      <c r="E235" s="9">
        <v>1</v>
      </c>
      <c r="F235" s="11" t="e">
        <f>VLOOKUP(D235,'LP-T2 大顆的'!D:E,2)</f>
        <v>#N/A</v>
      </c>
      <c r="G235" s="9" t="s">
        <v>11</v>
      </c>
      <c r="H235" s="11" t="str">
        <f>IF(C235&lt;&gt;B235,IF(AND(E235&gt;=20,E235&lt;35),"warning",IF(AND(E235&gt;=35,E235&lt;=50),"快要 O.O.C 啦",IF(E235&gt;50,"超出規格 O.O.C 啦",""))))</f>
        <v/>
      </c>
      <c r="I235" s="11" t="e">
        <f>IF(C235&lt;&gt;B235,IF(AND(F235&gt;=5,E235&lt;10),"warning",IF(AND(F235&gt;=10,F235&lt;=15),"快要 O.O.C 啦",IF(F235&gt;15,"超出規格 O.O.C 啦",""))))</f>
        <v>#N/A</v>
      </c>
    </row>
    <row r="236" spans="1:9">
      <c r="A236" s="9" t="s">
        <v>12</v>
      </c>
      <c r="B236" s="10">
        <v>44902.776180555556</v>
      </c>
      <c r="C236" s="9" t="s">
        <v>6</v>
      </c>
      <c r="D236" s="11" t="str">
        <f>CONCATENATE(B236,RIGHT(C236,2))</f>
        <v>44902.7761805556C4</v>
      </c>
      <c r="E236" s="9">
        <v>0</v>
      </c>
      <c r="F236" s="11" t="e">
        <f>VLOOKUP(D236,'LP-T2 大顆的'!D:E,2)</f>
        <v>#N/A</v>
      </c>
      <c r="G236" s="9" t="s">
        <v>11</v>
      </c>
      <c r="H236" s="11" t="str">
        <f>IF(C236&lt;&gt;B236,IF(AND(E236&gt;=20,E236&lt;35),"warning",IF(AND(E236&gt;=35,E236&lt;=50),"快要 O.O.C 啦",IF(E236&gt;50,"超出規格 O.O.C 啦",""))))</f>
        <v/>
      </c>
      <c r="I236" s="11" t="e">
        <f>IF(C236&lt;&gt;B236,IF(AND(F236&gt;=5,E236&lt;10),"warning",IF(AND(F236&gt;=10,F236&lt;=15),"快要 O.O.C 啦",IF(F236&gt;15,"超出規格 O.O.C 啦",""))))</f>
        <v>#N/A</v>
      </c>
    </row>
    <row r="237" spans="1:9">
      <c r="A237" s="9" t="s">
        <v>14</v>
      </c>
      <c r="B237" s="10">
        <v>44902.718576388892</v>
      </c>
      <c r="C237" s="9" t="s">
        <v>6</v>
      </c>
      <c r="D237" s="11" t="str">
        <f>CONCATENATE(B237,RIGHT(C237,2))</f>
        <v>44902.7185763889C4</v>
      </c>
      <c r="E237" s="9">
        <v>0</v>
      </c>
      <c r="F237" s="11" t="e">
        <f>VLOOKUP(D237,'LP-T2 大顆的'!D:E,2)</f>
        <v>#N/A</v>
      </c>
      <c r="G237" s="9" t="s">
        <v>11</v>
      </c>
      <c r="H237" s="11" t="str">
        <f>IF(C237&lt;&gt;B237,IF(AND(E237&gt;=20,E237&lt;35),"warning",IF(AND(E237&gt;=35,E237&lt;=50),"快要 O.O.C 啦",IF(E237&gt;50,"超出規格 O.O.C 啦",""))))</f>
        <v/>
      </c>
      <c r="I237" s="11" t="e">
        <f>IF(C237&lt;&gt;B237,IF(AND(F237&gt;=5,E237&lt;10),"warning",IF(AND(F237&gt;=10,F237&lt;=15),"快要 O.O.C 啦",IF(F237&gt;15,"超出規格 O.O.C 啦",""))))</f>
        <v>#N/A</v>
      </c>
    </row>
    <row r="238" spans="1:9">
      <c r="A238" s="9" t="s">
        <v>4</v>
      </c>
      <c r="B238" s="10">
        <v>44902.696516203701</v>
      </c>
      <c r="C238" s="9" t="s">
        <v>6</v>
      </c>
      <c r="D238" s="11" t="str">
        <f>CONCATENATE(B238,RIGHT(C238,2))</f>
        <v>44902.6965162037C4</v>
      </c>
      <c r="E238" s="9">
        <v>0</v>
      </c>
      <c r="F238" s="11" t="e">
        <f>VLOOKUP(D238,'LP-T2 大顆的'!D:E,2)</f>
        <v>#N/A</v>
      </c>
      <c r="G238" s="9" t="s">
        <v>11</v>
      </c>
      <c r="H238" s="11" t="str">
        <f>IF(C238&lt;&gt;B238,IF(AND(E238&gt;=20,E238&lt;35),"warning",IF(AND(E238&gt;=35,E238&lt;=50),"快要 O.O.C 啦",IF(E238&gt;50,"超出規格 O.O.C 啦",""))))</f>
        <v/>
      </c>
      <c r="I238" s="11" t="e">
        <f>IF(C238&lt;&gt;B238,IF(AND(F238&gt;=5,E238&lt;10),"warning",IF(AND(F238&gt;=10,F238&lt;=15),"快要 O.O.C 啦",IF(F238&gt;15,"超出規格 O.O.C 啦",""))))</f>
        <v>#N/A</v>
      </c>
    </row>
    <row r="239" spans="1:9">
      <c r="A239" s="9" t="s">
        <v>16</v>
      </c>
      <c r="B239" s="10">
        <v>44902.692303240743</v>
      </c>
      <c r="C239" s="9" t="s">
        <v>6</v>
      </c>
      <c r="D239" s="11" t="str">
        <f>CONCATENATE(B239,RIGHT(C239,2))</f>
        <v>44902.6923032407C4</v>
      </c>
      <c r="E239" s="9">
        <v>2</v>
      </c>
      <c r="F239" s="11" t="e">
        <f>VLOOKUP(D239,'LP-T2 大顆的'!D:E,2)</f>
        <v>#N/A</v>
      </c>
      <c r="G239" s="9" t="s">
        <v>11</v>
      </c>
      <c r="H239" s="11" t="str">
        <f>IF(C239&lt;&gt;B239,IF(AND(E239&gt;=20,E239&lt;35),"warning",IF(AND(E239&gt;=35,E239&lt;=50),"快要 O.O.C 啦",IF(E239&gt;50,"超出規格 O.O.C 啦",""))))</f>
        <v/>
      </c>
      <c r="I239" s="11" t="e">
        <f>IF(C239&lt;&gt;B239,IF(AND(F239&gt;=5,E239&lt;10),"warning",IF(AND(F239&gt;=10,F239&lt;=15),"快要 O.O.C 啦",IF(F239&gt;15,"超出規格 O.O.C 啦",""))))</f>
        <v>#N/A</v>
      </c>
    </row>
    <row r="240" spans="1:9">
      <c r="A240" s="9" t="s">
        <v>13</v>
      </c>
      <c r="B240" s="10">
        <v>44902.664467592593</v>
      </c>
      <c r="C240" s="9" t="s">
        <v>6</v>
      </c>
      <c r="D240" s="11" t="str">
        <f>CONCATENATE(B240,RIGHT(C240,2))</f>
        <v>44902.6644675926C4</v>
      </c>
      <c r="E240" s="9">
        <v>0</v>
      </c>
      <c r="F240" s="11" t="e">
        <f>VLOOKUP(D240,'LP-T2 大顆的'!D:E,2)</f>
        <v>#N/A</v>
      </c>
      <c r="G240" s="9" t="s">
        <v>11</v>
      </c>
      <c r="H240" s="11" t="str">
        <f>IF(C240&lt;&gt;B240,IF(AND(E240&gt;=20,E240&lt;35),"warning",IF(AND(E240&gt;=35,E240&lt;=50),"快要 O.O.C 啦",IF(E240&gt;50,"超出規格 O.O.C 啦",""))))</f>
        <v/>
      </c>
      <c r="I240" s="11" t="e">
        <f>IF(C240&lt;&gt;B240,IF(AND(F240&gt;=5,E240&lt;10),"warning",IF(AND(F240&gt;=10,F240&lt;=15),"快要 O.O.C 啦",IF(F240&gt;15,"超出規格 O.O.C 啦",""))))</f>
        <v>#N/A</v>
      </c>
    </row>
    <row r="241" spans="1:9">
      <c r="A241" s="9" t="s">
        <v>17</v>
      </c>
      <c r="B241" s="10">
        <v>44902.626493055555</v>
      </c>
      <c r="C241" s="9" t="s">
        <v>6</v>
      </c>
      <c r="D241" s="11" t="str">
        <f>CONCATENATE(B241,RIGHT(C241,2))</f>
        <v>44902.6264930556C4</v>
      </c>
      <c r="E241" s="9">
        <v>0</v>
      </c>
      <c r="F241" s="11" t="e">
        <f>VLOOKUP(D241,'LP-T2 大顆的'!D:E,2)</f>
        <v>#N/A</v>
      </c>
      <c r="G241" s="9" t="s">
        <v>11</v>
      </c>
      <c r="H241" s="11" t="str">
        <f>IF(C241&lt;&gt;B241,IF(AND(E241&gt;=20,E241&lt;35),"warning",IF(AND(E241&gt;=35,E241&lt;=50),"快要 O.O.C 啦",IF(E241&gt;50,"超出規格 O.O.C 啦",""))))</f>
        <v/>
      </c>
      <c r="I241" s="11" t="e">
        <f>IF(C241&lt;&gt;B241,IF(AND(F241&gt;=5,E241&lt;10),"warning",IF(AND(F241&gt;=10,F241&lt;=15),"快要 O.O.C 啦",IF(F241&gt;15,"超出規格 O.O.C 啦",""))))</f>
        <v>#N/A</v>
      </c>
    </row>
    <row r="242" spans="1:9">
      <c r="A242" s="9" t="s">
        <v>15</v>
      </c>
      <c r="B242" s="10">
        <v>44902.621168981481</v>
      </c>
      <c r="C242" s="9" t="s">
        <v>6</v>
      </c>
      <c r="D242" s="11" t="str">
        <f>CONCATENATE(B242,RIGHT(C242,2))</f>
        <v>44902.6211689815C4</v>
      </c>
      <c r="E242" s="9">
        <v>2</v>
      </c>
      <c r="F242" s="11" t="e">
        <f>VLOOKUP(D242,'LP-T2 大顆的'!D:E,2)</f>
        <v>#N/A</v>
      </c>
      <c r="G242" s="9" t="s">
        <v>11</v>
      </c>
      <c r="H242" s="11" t="str">
        <f>IF(C242&lt;&gt;B242,IF(AND(E242&gt;=20,E242&lt;35),"warning",IF(AND(E242&gt;=35,E242&lt;=50),"快要 O.O.C 啦",IF(E242&gt;50,"超出規格 O.O.C 啦",""))))</f>
        <v/>
      </c>
      <c r="I242" s="11" t="e">
        <f>IF(C242&lt;&gt;B242,IF(AND(F242&gt;=5,E242&lt;10),"warning",IF(AND(F242&gt;=10,F242&lt;=15),"快要 O.O.C 啦",IF(F242&gt;15,"超出規格 O.O.C 啦",""))))</f>
        <v>#N/A</v>
      </c>
    </row>
    <row r="243" spans="1:9">
      <c r="A243" s="9" t="s">
        <v>14</v>
      </c>
      <c r="B243" s="10">
        <v>44902.570810185185</v>
      </c>
      <c r="C243" s="9" t="s">
        <v>6</v>
      </c>
      <c r="D243" s="11" t="str">
        <f>CONCATENATE(B243,RIGHT(C243,2))</f>
        <v>44902.5708101852C4</v>
      </c>
      <c r="E243" s="9">
        <v>0</v>
      </c>
      <c r="F243" s="11" t="e">
        <f>VLOOKUP(D243,'LP-T2 大顆的'!D:E,2)</f>
        <v>#N/A</v>
      </c>
      <c r="G243" s="9" t="s">
        <v>11</v>
      </c>
      <c r="H243" s="11" t="str">
        <f>IF(C243&lt;&gt;B243,IF(AND(E243&gt;=20,E243&lt;35),"warning",IF(AND(E243&gt;=35,E243&lt;=50),"快要 O.O.C 啦",IF(E243&gt;50,"超出規格 O.O.C 啦",""))))</f>
        <v/>
      </c>
      <c r="I243" s="11" t="e">
        <f>IF(C243&lt;&gt;B243,IF(AND(F243&gt;=5,E243&lt;10),"warning",IF(AND(F243&gt;=10,F243&lt;=15),"快要 O.O.C 啦",IF(F243&gt;15,"超出規格 O.O.C 啦",""))))</f>
        <v>#N/A</v>
      </c>
    </row>
    <row r="244" spans="1:9">
      <c r="A244" s="9" t="s">
        <v>12</v>
      </c>
      <c r="B244" s="10">
        <v>44902.539652777778</v>
      </c>
      <c r="C244" s="9" t="s">
        <v>6</v>
      </c>
      <c r="D244" s="11" t="str">
        <f>CONCATENATE(B244,RIGHT(C244,2))</f>
        <v>44902.5396527778C4</v>
      </c>
      <c r="E244" s="9">
        <v>0</v>
      </c>
      <c r="F244" s="11" t="e">
        <f>VLOOKUP(D244,'LP-T2 大顆的'!D:E,2)</f>
        <v>#N/A</v>
      </c>
      <c r="G244" s="9" t="s">
        <v>11</v>
      </c>
      <c r="H244" s="11" t="str">
        <f>IF(C244&lt;&gt;B244,IF(AND(E244&gt;=20,E244&lt;35),"warning",IF(AND(E244&gt;=35,E244&lt;=50),"快要 O.O.C 啦",IF(E244&gt;50,"超出規格 O.O.C 啦",""))))</f>
        <v/>
      </c>
      <c r="I244" s="11" t="e">
        <f>IF(C244&lt;&gt;B244,IF(AND(F244&gt;=5,E244&lt;10),"warning",IF(AND(F244&gt;=10,F244&lt;=15),"快要 O.O.C 啦",IF(F244&gt;15,"超出規格 O.O.C 啦",""))))</f>
        <v>#N/A</v>
      </c>
    </row>
    <row r="245" spans="1:9">
      <c r="A245" s="9" t="s">
        <v>16</v>
      </c>
      <c r="B245" s="10">
        <v>44902.523449074077</v>
      </c>
      <c r="C245" s="9" t="s">
        <v>6</v>
      </c>
      <c r="D245" s="11" t="str">
        <f>CONCATENATE(B245,RIGHT(C245,2))</f>
        <v>44902.5234490741C4</v>
      </c>
      <c r="E245" s="9">
        <v>0</v>
      </c>
      <c r="F245" s="11" t="e">
        <f>VLOOKUP(D245,'LP-T2 大顆的'!D:E,2)</f>
        <v>#N/A</v>
      </c>
      <c r="G245" s="9" t="s">
        <v>11</v>
      </c>
      <c r="H245" s="11" t="str">
        <f>IF(C245&lt;&gt;B245,IF(AND(E245&gt;=20,E245&lt;35),"warning",IF(AND(E245&gt;=35,E245&lt;=50),"快要 O.O.C 啦",IF(E245&gt;50,"超出規格 O.O.C 啦",""))))</f>
        <v/>
      </c>
      <c r="I245" s="11" t="e">
        <f>IF(C245&lt;&gt;B245,IF(AND(F245&gt;=5,E245&lt;10),"warning",IF(AND(F245&gt;=10,F245&lt;=15),"快要 O.O.C 啦",IF(F245&gt;15,"超出規格 O.O.C 啦",""))))</f>
        <v>#N/A</v>
      </c>
    </row>
    <row r="246" spans="1:9">
      <c r="A246" s="9" t="s">
        <v>4</v>
      </c>
      <c r="B246" s="10">
        <v>44902.52034722222</v>
      </c>
      <c r="C246" s="9" t="s">
        <v>6</v>
      </c>
      <c r="D246" s="11" t="str">
        <f>CONCATENATE(B246,RIGHT(C246,2))</f>
        <v>44902.5203472222C4</v>
      </c>
      <c r="E246" s="9">
        <v>0</v>
      </c>
      <c r="F246" s="11" t="e">
        <f>VLOOKUP(D246,'LP-T2 大顆的'!D:E,2)</f>
        <v>#N/A</v>
      </c>
      <c r="G246" s="9" t="s">
        <v>11</v>
      </c>
      <c r="H246" s="11" t="str">
        <f>IF(C246&lt;&gt;B246,IF(AND(E246&gt;=20,E246&lt;35),"warning",IF(AND(E246&gt;=35,E246&lt;=50),"快要 O.O.C 啦",IF(E246&gt;50,"超出規格 O.O.C 啦",""))))</f>
        <v/>
      </c>
      <c r="I246" s="11" t="e">
        <f>IF(C246&lt;&gt;B246,IF(AND(F246&gt;=5,E246&lt;10),"warning",IF(AND(F246&gt;=10,F246&lt;=15),"快要 O.O.C 啦",IF(F246&gt;15,"超出規格 O.O.C 啦",""))))</f>
        <v>#N/A</v>
      </c>
    </row>
    <row r="247" spans="1:9">
      <c r="A247" s="9" t="s">
        <v>13</v>
      </c>
      <c r="B247" s="10">
        <v>44902.514490740738</v>
      </c>
      <c r="C247" s="9" t="s">
        <v>6</v>
      </c>
      <c r="D247" s="11" t="str">
        <f>CONCATENATE(B247,RIGHT(C247,2))</f>
        <v>44902.5144907407C4</v>
      </c>
      <c r="E247" s="9">
        <v>0</v>
      </c>
      <c r="F247" s="11" t="e">
        <f>VLOOKUP(D247,'LP-T2 大顆的'!D:E,2)</f>
        <v>#N/A</v>
      </c>
      <c r="G247" s="9" t="s">
        <v>11</v>
      </c>
      <c r="H247" s="11" t="str">
        <f>IF(C247&lt;&gt;B247,IF(AND(E247&gt;=20,E247&lt;35),"warning",IF(AND(E247&gt;=35,E247&lt;=50),"快要 O.O.C 啦",IF(E247&gt;50,"超出規格 O.O.C 啦",""))))</f>
        <v/>
      </c>
      <c r="I247" s="11" t="e">
        <f>IF(C247&lt;&gt;B247,IF(AND(F247&gt;=5,E247&lt;10),"warning",IF(AND(F247&gt;=10,F247&lt;=15),"快要 O.O.C 啦",IF(F247&gt;15,"超出規格 O.O.C 啦",""))))</f>
        <v>#N/A</v>
      </c>
    </row>
    <row r="248" spans="1:9">
      <c r="A248" s="9" t="s">
        <v>14</v>
      </c>
      <c r="B248" s="10">
        <v>44902.459016203706</v>
      </c>
      <c r="C248" s="9" t="s">
        <v>7</v>
      </c>
      <c r="D248" s="11" t="str">
        <f>CONCATENATE(B248,RIGHT(C248,2))</f>
        <v>44902.4590162037C1</v>
      </c>
      <c r="E248" s="9">
        <v>0</v>
      </c>
      <c r="F248" s="11" t="e">
        <f>VLOOKUP(D248,'LP-T2 大顆的'!D:E,2)</f>
        <v>#N/A</v>
      </c>
      <c r="G248" s="9" t="s">
        <v>11</v>
      </c>
      <c r="H248" s="11" t="str">
        <f>IF(C248&lt;&gt;B248,IF(AND(E248&gt;=20,E248&lt;35),"warning",IF(AND(E248&gt;=35,E248&lt;=50),"快要 O.O.C 啦",IF(E248&gt;50,"超出規格 O.O.C 啦",""))))</f>
        <v/>
      </c>
      <c r="I248" s="11" t="e">
        <f>IF(C248&lt;&gt;B248,IF(AND(F248&gt;=5,E248&lt;10),"warning",IF(AND(F248&gt;=10,F248&lt;=15),"快要 O.O.C 啦",IF(F248&gt;15,"超出規格 O.O.C 啦",""))))</f>
        <v>#N/A</v>
      </c>
    </row>
    <row r="249" spans="1:9">
      <c r="A249" s="9" t="s">
        <v>17</v>
      </c>
      <c r="B249" s="10">
        <v>44902.453506944446</v>
      </c>
      <c r="C249" s="9" t="s">
        <v>7</v>
      </c>
      <c r="D249" s="11" t="str">
        <f>CONCATENATE(B249,RIGHT(C249,2))</f>
        <v>44902.4535069444C1</v>
      </c>
      <c r="E249" s="9">
        <v>1</v>
      </c>
      <c r="F249" s="11" t="e">
        <f>VLOOKUP(D249,'LP-T2 大顆的'!D:E,2)</f>
        <v>#N/A</v>
      </c>
      <c r="G249" s="9" t="s">
        <v>11</v>
      </c>
      <c r="H249" s="11" t="str">
        <f>IF(C249&lt;&gt;B249,IF(AND(E249&gt;=20,E249&lt;35),"warning",IF(AND(E249&gt;=35,E249&lt;=50),"快要 O.O.C 啦",IF(E249&gt;50,"超出規格 O.O.C 啦",""))))</f>
        <v/>
      </c>
      <c r="I249" s="11" t="e">
        <f>IF(C249&lt;&gt;B249,IF(AND(F249&gt;=5,E249&lt;10),"warning",IF(AND(F249&gt;=10,F249&lt;=15),"快要 O.O.C 啦",IF(F249&gt;15,"超出規格 O.O.C 啦",""))))</f>
        <v>#N/A</v>
      </c>
    </row>
    <row r="250" spans="1:9">
      <c r="A250" s="9" t="s">
        <v>15</v>
      </c>
      <c r="B250" s="10">
        <v>44902.42701388889</v>
      </c>
      <c r="C250" s="9" t="s">
        <v>7</v>
      </c>
      <c r="D250" s="11" t="str">
        <f>CONCATENATE(B250,RIGHT(C250,2))</f>
        <v>44902.4270138889C1</v>
      </c>
      <c r="E250" s="9">
        <v>0</v>
      </c>
      <c r="F250" s="11" t="e">
        <f>VLOOKUP(D250,'LP-T2 大顆的'!D:E,2)</f>
        <v>#N/A</v>
      </c>
      <c r="G250" s="9" t="s">
        <v>11</v>
      </c>
      <c r="H250" s="11" t="str">
        <f>IF(C250&lt;&gt;B250,IF(AND(E250&gt;=20,E250&lt;35),"warning",IF(AND(E250&gt;=35,E250&lt;=50),"快要 O.O.C 啦",IF(E250&gt;50,"超出規格 O.O.C 啦",""))))</f>
        <v/>
      </c>
      <c r="I250" s="11" t="e">
        <f>IF(C250&lt;&gt;B250,IF(AND(F250&gt;=5,E250&lt;10),"warning",IF(AND(F250&gt;=10,F250&lt;=15),"快要 O.O.C 啦",IF(F250&gt;15,"超出規格 O.O.C 啦",""))))</f>
        <v>#N/A</v>
      </c>
    </row>
    <row r="251" spans="1:9">
      <c r="A251" s="9" t="s">
        <v>12</v>
      </c>
      <c r="B251" s="10">
        <v>44902.376226851855</v>
      </c>
      <c r="C251" s="9" t="s">
        <v>7</v>
      </c>
      <c r="D251" s="11" t="str">
        <f>CONCATENATE(B251,RIGHT(C251,2))</f>
        <v>44902.3762268519C1</v>
      </c>
      <c r="E251" s="9">
        <v>0</v>
      </c>
      <c r="F251" s="11" t="e">
        <f>VLOOKUP(D251,'LP-T2 大顆的'!D:E,2)</f>
        <v>#N/A</v>
      </c>
      <c r="G251" s="9" t="s">
        <v>11</v>
      </c>
      <c r="H251" s="11" t="str">
        <f>IF(C251&lt;&gt;B251,IF(AND(E251&gt;=20,E251&lt;35),"warning",IF(AND(E251&gt;=35,E251&lt;=50),"快要 O.O.C 啦",IF(E251&gt;50,"超出規格 O.O.C 啦",""))))</f>
        <v/>
      </c>
      <c r="I251" s="11" t="e">
        <f>IF(C251&lt;&gt;B251,IF(AND(F251&gt;=5,E251&lt;10),"warning",IF(AND(F251&gt;=10,F251&lt;=15),"快要 O.O.C 啦",IF(F251&gt;15,"超出規格 O.O.C 啦",""))))</f>
        <v>#N/A</v>
      </c>
    </row>
    <row r="252" spans="1:9">
      <c r="A252" s="9" t="s">
        <v>16</v>
      </c>
      <c r="B252" s="10">
        <v>44902.353275462963</v>
      </c>
      <c r="C252" s="9" t="s">
        <v>7</v>
      </c>
      <c r="D252" s="11" t="str">
        <f>CONCATENATE(B252,RIGHT(C252,2))</f>
        <v>44902.353275463C1</v>
      </c>
      <c r="E252" s="9">
        <v>0</v>
      </c>
      <c r="F252" s="11" t="e">
        <f>VLOOKUP(D252,'LP-T2 大顆的'!D:E,2)</f>
        <v>#N/A</v>
      </c>
      <c r="G252" s="9" t="s">
        <v>11</v>
      </c>
      <c r="H252" s="11" t="str">
        <f>IF(C252&lt;&gt;B252,IF(AND(E252&gt;=20,E252&lt;35),"warning",IF(AND(E252&gt;=35,E252&lt;=50),"快要 O.O.C 啦",IF(E252&gt;50,"超出規格 O.O.C 啦",""))))</f>
        <v/>
      </c>
      <c r="I252" s="11" t="e">
        <f>IF(C252&lt;&gt;B252,IF(AND(F252&gt;=5,E252&lt;10),"warning",IF(AND(F252&gt;=10,F252&lt;=15),"快要 O.O.C 啦",IF(F252&gt;15,"超出規格 O.O.C 啦",""))))</f>
        <v>#N/A</v>
      </c>
    </row>
    <row r="253" spans="1:9">
      <c r="A253" s="9" t="s">
        <v>13</v>
      </c>
      <c r="B253" s="10">
        <v>44902.330925925926</v>
      </c>
      <c r="C253" s="9" t="s">
        <v>7</v>
      </c>
      <c r="D253" s="11" t="str">
        <f>CONCATENATE(B253,RIGHT(C253,2))</f>
        <v>44902.3309259259C1</v>
      </c>
      <c r="E253" s="9">
        <v>1</v>
      </c>
      <c r="F253" s="11" t="e">
        <f>VLOOKUP(D253,'LP-T2 大顆的'!D:E,2)</f>
        <v>#N/A</v>
      </c>
      <c r="G253" s="9" t="s">
        <v>11</v>
      </c>
      <c r="H253" s="11" t="str">
        <f>IF(C253&lt;&gt;B253,IF(AND(E253&gt;=20,E253&lt;35),"warning",IF(AND(E253&gt;=35,E253&lt;=50),"快要 O.O.C 啦",IF(E253&gt;50,"超出規格 O.O.C 啦",""))))</f>
        <v/>
      </c>
      <c r="I253" s="11" t="e">
        <f>IF(C253&lt;&gt;B253,IF(AND(F253&gt;=5,E253&lt;10),"warning",IF(AND(F253&gt;=10,F253&lt;=15),"快要 O.O.C 啦",IF(F253&gt;15,"超出規格 O.O.C 啦",""))))</f>
        <v>#N/A</v>
      </c>
    </row>
    <row r="254" spans="1:9">
      <c r="A254" s="9" t="s">
        <v>4</v>
      </c>
      <c r="B254" s="10">
        <v>44902.329942129632</v>
      </c>
      <c r="C254" s="9" t="s">
        <v>7</v>
      </c>
      <c r="D254" s="11" t="str">
        <f>CONCATENATE(B254,RIGHT(C254,2))</f>
        <v>44902.3299421296C1</v>
      </c>
      <c r="E254" s="9">
        <v>0</v>
      </c>
      <c r="F254" s="11" t="e">
        <f>VLOOKUP(D254,'LP-T2 大顆的'!D:E,2)</f>
        <v>#N/A</v>
      </c>
      <c r="G254" s="9" t="s">
        <v>11</v>
      </c>
      <c r="H254" s="11" t="str">
        <f>IF(C254&lt;&gt;B254,IF(AND(E254&gt;=20,E254&lt;35),"warning",IF(AND(E254&gt;=35,E254&lt;=50),"快要 O.O.C 啦",IF(E254&gt;50,"超出規格 O.O.C 啦",""))))</f>
        <v/>
      </c>
      <c r="I254" s="11" t="e">
        <f>IF(C254&lt;&gt;B254,IF(AND(F254&gt;=5,E254&lt;10),"warning",IF(AND(F254&gt;=10,F254&lt;=15),"快要 O.O.C 啦",IF(F254&gt;15,"超出規格 O.O.C 啦",""))))</f>
        <v>#N/A</v>
      </c>
    </row>
    <row r="255" spans="1:9">
      <c r="A255" s="9" t="s">
        <v>14</v>
      </c>
      <c r="B255" s="10">
        <v>44902.245439814818</v>
      </c>
      <c r="C255" s="9" t="s">
        <v>7</v>
      </c>
      <c r="D255" s="11" t="str">
        <f>CONCATENATE(B255,RIGHT(C255,2))</f>
        <v>44902.2454398148C1</v>
      </c>
      <c r="E255" s="9">
        <v>0</v>
      </c>
      <c r="F255" s="11" t="e">
        <f>VLOOKUP(D255,'LP-T2 大顆的'!D:E,2)</f>
        <v>#N/A</v>
      </c>
      <c r="G255" s="9" t="s">
        <v>11</v>
      </c>
      <c r="H255" s="11" t="str">
        <f>IF(C255&lt;&gt;B255,IF(AND(E255&gt;=20,E255&lt;35),"warning",IF(AND(E255&gt;=35,E255&lt;=50),"快要 O.O.C 啦",IF(E255&gt;50,"超出規格 O.O.C 啦",""))))</f>
        <v/>
      </c>
      <c r="I255" s="11" t="e">
        <f>IF(C255&lt;&gt;B255,IF(AND(F255&gt;=5,E255&lt;10),"warning",IF(AND(F255&gt;=10,F255&lt;=15),"快要 O.O.C 啦",IF(F255&gt;15,"超出規格 O.O.C 啦",""))))</f>
        <v>#N/A</v>
      </c>
    </row>
    <row r="256" spans="1:9">
      <c r="A256" s="9" t="s">
        <v>15</v>
      </c>
      <c r="B256" s="10">
        <v>44902.207025462965</v>
      </c>
      <c r="C256" s="9" t="s">
        <v>7</v>
      </c>
      <c r="D256" s="11" t="str">
        <f>CONCATENATE(B256,RIGHT(C256,2))</f>
        <v>44902.207025463C1</v>
      </c>
      <c r="E256" s="9">
        <v>1</v>
      </c>
      <c r="F256" s="11" t="e">
        <f>VLOOKUP(D256,'LP-T2 大顆的'!D:E,2)</f>
        <v>#N/A</v>
      </c>
      <c r="G256" s="9" t="s">
        <v>11</v>
      </c>
      <c r="H256" s="11" t="str">
        <f>IF(C256&lt;&gt;B256,IF(AND(E256&gt;=20,E256&lt;35),"warning",IF(AND(E256&gt;=35,E256&lt;=50),"快要 O.O.C 啦",IF(E256&gt;50,"超出規格 O.O.C 啦",""))))</f>
        <v/>
      </c>
      <c r="I256" s="11" t="e">
        <f>IF(C256&lt;&gt;B256,IF(AND(F256&gt;=5,E256&lt;10),"warning",IF(AND(F256&gt;=10,F256&lt;=15),"快要 O.O.C 啦",IF(F256&gt;15,"超出規格 O.O.C 啦",""))))</f>
        <v>#N/A</v>
      </c>
    </row>
    <row r="257" spans="1:9">
      <c r="A257" s="9" t="s">
        <v>17</v>
      </c>
      <c r="B257" s="10">
        <v>44902.198958333334</v>
      </c>
      <c r="C257" s="9" t="s">
        <v>5</v>
      </c>
      <c r="D257" s="11" t="str">
        <f>CONCATENATE(B257,RIGHT(C257,2))</f>
        <v>44902.1989583333C6</v>
      </c>
      <c r="E257" s="9">
        <v>1</v>
      </c>
      <c r="F257" s="11" t="e">
        <f>VLOOKUP(D257,'LP-T2 大顆的'!D:E,2)</f>
        <v>#N/A</v>
      </c>
      <c r="G257" s="9" t="s">
        <v>11</v>
      </c>
      <c r="H257" s="11" t="str">
        <f>IF(C257&lt;&gt;B257,IF(AND(E257&gt;=20,E257&lt;35),"warning",IF(AND(E257&gt;=35,E257&lt;=50),"快要 O.O.C 啦",IF(E257&gt;50,"超出規格 O.O.C 啦",""))))</f>
        <v/>
      </c>
      <c r="I257" s="11" t="e">
        <f>IF(C257&lt;&gt;B257,IF(AND(F257&gt;=5,E257&lt;10),"warning",IF(AND(F257&gt;=10,F257&lt;=15),"快要 O.O.C 啦",IF(F257&gt;15,"超出規格 O.O.C 啦",""))))</f>
        <v>#N/A</v>
      </c>
    </row>
    <row r="258" spans="1:9">
      <c r="A258" s="9" t="s">
        <v>17</v>
      </c>
      <c r="B258" s="10">
        <v>44902.198958333334</v>
      </c>
      <c r="C258" s="9" t="s">
        <v>7</v>
      </c>
      <c r="D258" s="11" t="str">
        <f>CONCATENATE(B258,RIGHT(C258,2))</f>
        <v>44902.1989583333C1</v>
      </c>
      <c r="E258" s="9">
        <v>0</v>
      </c>
      <c r="F258" s="11" t="e">
        <f>VLOOKUP(D258,'LP-T2 大顆的'!D:E,2)</f>
        <v>#N/A</v>
      </c>
      <c r="G258" s="9" t="s">
        <v>11</v>
      </c>
      <c r="H258" s="11" t="str">
        <f>IF(C258&lt;&gt;B258,IF(AND(E258&gt;=20,E258&lt;35),"warning",IF(AND(E258&gt;=35,E258&lt;=50),"快要 O.O.C 啦",IF(E258&gt;50,"超出規格 O.O.C 啦",""))))</f>
        <v/>
      </c>
      <c r="I258" s="11" t="e">
        <f>IF(C258&lt;&gt;B258,IF(AND(F258&gt;=5,E258&lt;10),"warning",IF(AND(F258&gt;=10,F258&lt;=15),"快要 O.O.C 啦",IF(F258&gt;15,"超出規格 O.O.C 啦",""))))</f>
        <v>#N/A</v>
      </c>
    </row>
    <row r="259" spans="1:9">
      <c r="A259" s="9" t="s">
        <v>13</v>
      </c>
      <c r="B259" s="10">
        <v>44902.156527777777</v>
      </c>
      <c r="C259" s="9" t="s">
        <v>7</v>
      </c>
      <c r="D259" s="11" t="str">
        <f>CONCATENATE(B259,RIGHT(C259,2))</f>
        <v>44902.1565277778C1</v>
      </c>
      <c r="E259" s="9">
        <v>0</v>
      </c>
      <c r="F259" s="11" t="e">
        <f>VLOOKUP(D259,'LP-T2 大顆的'!D:E,2)</f>
        <v>#N/A</v>
      </c>
      <c r="G259" s="9" t="s">
        <v>11</v>
      </c>
      <c r="H259" s="11" t="str">
        <f>IF(C259&lt;&gt;B259,IF(AND(E259&gt;=20,E259&lt;35),"warning",IF(AND(E259&gt;=35,E259&lt;=50),"快要 O.O.C 啦",IF(E259&gt;50,"超出規格 O.O.C 啦",""))))</f>
        <v/>
      </c>
      <c r="I259" s="11" t="e">
        <f>IF(C259&lt;&gt;B259,IF(AND(F259&gt;=5,E259&lt;10),"warning",IF(AND(F259&gt;=10,F259&lt;=15),"快要 O.O.C 啦",IF(F259&gt;15,"超出規格 O.O.C 啦",""))))</f>
        <v>#N/A</v>
      </c>
    </row>
    <row r="260" spans="1:9">
      <c r="A260" s="9" t="s">
        <v>12</v>
      </c>
      <c r="B260" s="10">
        <v>44902.154548611114</v>
      </c>
      <c r="C260" s="9" t="s">
        <v>5</v>
      </c>
      <c r="D260" s="11" t="str">
        <f>CONCATENATE(B260,RIGHT(C260,2))</f>
        <v>44902.1545486111C6</v>
      </c>
      <c r="E260" s="9">
        <v>8</v>
      </c>
      <c r="F260" s="11" t="e">
        <f>VLOOKUP(D260,'LP-T2 大顆的'!D:E,2)</f>
        <v>#N/A</v>
      </c>
      <c r="G260" s="9" t="s">
        <v>11</v>
      </c>
      <c r="H260" s="11" t="str">
        <f>IF(C260&lt;&gt;B260,IF(AND(E260&gt;=20,E260&lt;35),"warning",IF(AND(E260&gt;=35,E260&lt;=50),"快要 O.O.C 啦",IF(E260&gt;50,"超出規格 O.O.C 啦",""))))</f>
        <v/>
      </c>
      <c r="I260" s="11" t="e">
        <f>IF(C260&lt;&gt;B260,IF(AND(F260&gt;=5,E260&lt;10),"warning",IF(AND(F260&gt;=10,F260&lt;=15),"快要 O.O.C 啦",IF(F260&gt;15,"超出規格 O.O.C 啦",""))))</f>
        <v>#N/A</v>
      </c>
    </row>
    <row r="261" spans="1:9">
      <c r="A261" s="9" t="s">
        <v>12</v>
      </c>
      <c r="B261" s="10">
        <v>44902.154548611114</v>
      </c>
      <c r="C261" s="9" t="s">
        <v>7</v>
      </c>
      <c r="D261" s="11" t="str">
        <f>CONCATENATE(B261,RIGHT(C261,2))</f>
        <v>44902.1545486111C1</v>
      </c>
      <c r="E261" s="9">
        <v>0</v>
      </c>
      <c r="F261" s="11" t="e">
        <f>VLOOKUP(D261,'LP-T2 大顆的'!D:E,2)</f>
        <v>#N/A</v>
      </c>
      <c r="G261" s="9" t="s">
        <v>11</v>
      </c>
      <c r="H261" s="11" t="str">
        <f>IF(C261&lt;&gt;B261,IF(AND(E261&gt;=20,E261&lt;35),"warning",IF(AND(E261&gt;=35,E261&lt;=50),"快要 O.O.C 啦",IF(E261&gt;50,"超出規格 O.O.C 啦",""))))</f>
        <v/>
      </c>
      <c r="I261" s="11" t="e">
        <f>IF(C261&lt;&gt;B261,IF(AND(F261&gt;=5,E261&lt;10),"warning",IF(AND(F261&gt;=10,F261&lt;=15),"快要 O.O.C 啦",IF(F261&gt;15,"超出規格 O.O.C 啦",""))))</f>
        <v>#N/A</v>
      </c>
    </row>
    <row r="262" spans="1:9">
      <c r="A262" s="9" t="s">
        <v>4</v>
      </c>
      <c r="B262" s="10">
        <v>44902.142789351848</v>
      </c>
      <c r="C262" s="9" t="s">
        <v>5</v>
      </c>
      <c r="D262" s="11" t="str">
        <f>CONCATENATE(B262,RIGHT(C262,2))</f>
        <v>44902.1427893518C6</v>
      </c>
      <c r="E262" s="9">
        <v>0</v>
      </c>
      <c r="F262" s="11" t="e">
        <f>VLOOKUP(D262,'LP-T2 大顆的'!D:E,2)</f>
        <v>#N/A</v>
      </c>
      <c r="G262" s="9" t="s">
        <v>11</v>
      </c>
      <c r="H262" s="11" t="str">
        <f>IF(C262&lt;&gt;B262,IF(AND(E262&gt;=20,E262&lt;35),"warning",IF(AND(E262&gt;=35,E262&lt;=50),"快要 O.O.C 啦",IF(E262&gt;50,"超出規格 O.O.C 啦",""))))</f>
        <v/>
      </c>
      <c r="I262" s="11" t="e">
        <f>IF(C262&lt;&gt;B262,IF(AND(F262&gt;=5,E262&lt;10),"warning",IF(AND(F262&gt;=10,F262&lt;=15),"快要 O.O.C 啦",IF(F262&gt;15,"超出規格 O.O.C 啦",""))))</f>
        <v>#N/A</v>
      </c>
    </row>
    <row r="263" spans="1:9">
      <c r="A263" s="9" t="s">
        <v>4</v>
      </c>
      <c r="B263" s="10">
        <v>44902.142789351848</v>
      </c>
      <c r="C263" s="9" t="s">
        <v>7</v>
      </c>
      <c r="D263" s="11" t="str">
        <f>CONCATENATE(B263,RIGHT(C263,2))</f>
        <v>44902.1427893518C1</v>
      </c>
      <c r="E263" s="9">
        <v>0</v>
      </c>
      <c r="F263" s="11" t="e">
        <f>VLOOKUP(D263,'LP-T2 大顆的'!D:E,2)</f>
        <v>#N/A</v>
      </c>
      <c r="G263" s="9" t="s">
        <v>11</v>
      </c>
      <c r="H263" s="11" t="str">
        <f>IF(C263&lt;&gt;B263,IF(AND(E263&gt;=20,E263&lt;35),"warning",IF(AND(E263&gt;=35,E263&lt;=50),"快要 O.O.C 啦",IF(E263&gt;50,"超出規格 O.O.C 啦",""))))</f>
        <v/>
      </c>
      <c r="I263" s="11" t="e">
        <f>IF(C263&lt;&gt;B263,IF(AND(F263&gt;=5,E263&lt;10),"warning",IF(AND(F263&gt;=10,F263&lt;=15),"快要 O.O.C 啦",IF(F263&gt;15,"超出規格 O.O.C 啦",""))))</f>
        <v>#N/A</v>
      </c>
    </row>
    <row r="264" spans="1:9">
      <c r="A264" s="9" t="s">
        <v>14</v>
      </c>
      <c r="B264" s="10">
        <v>44902.093877314815</v>
      </c>
      <c r="C264" s="9" t="s">
        <v>6</v>
      </c>
      <c r="D264" s="11" t="str">
        <f>CONCATENATE(B264,RIGHT(C264,2))</f>
        <v>44902.0938773148C4</v>
      </c>
      <c r="E264" s="9">
        <v>0</v>
      </c>
      <c r="F264" s="11" t="e">
        <f>VLOOKUP(D264,'LP-T2 大顆的'!D:E,2)</f>
        <v>#N/A</v>
      </c>
      <c r="G264" s="9" t="s">
        <v>11</v>
      </c>
      <c r="H264" s="11" t="str">
        <f>IF(C264&lt;&gt;B264,IF(AND(E264&gt;=20,E264&lt;35),"warning",IF(AND(E264&gt;=35,E264&lt;=50),"快要 O.O.C 啦",IF(E264&gt;50,"超出規格 O.O.C 啦",""))))</f>
        <v/>
      </c>
      <c r="I264" s="11" t="e">
        <f>IF(C264&lt;&gt;B264,IF(AND(F264&gt;=5,E264&lt;10),"warning",IF(AND(F264&gt;=10,F264&lt;=15),"快要 O.O.C 啦",IF(F264&gt;15,"超出規格 O.O.C 啦",""))))</f>
        <v>#N/A</v>
      </c>
    </row>
    <row r="265" spans="1:9">
      <c r="A265" s="9" t="s">
        <v>14</v>
      </c>
      <c r="B265" s="10">
        <v>44902.093877314815</v>
      </c>
      <c r="C265" s="9" t="s">
        <v>7</v>
      </c>
      <c r="D265" s="11" t="str">
        <f>CONCATENATE(B265,RIGHT(C265,2))</f>
        <v>44902.0938773148C1</v>
      </c>
      <c r="E265" s="9">
        <v>0</v>
      </c>
      <c r="F265" s="11" t="e">
        <f>VLOOKUP(D265,'LP-T2 大顆的'!D:E,2)</f>
        <v>#N/A</v>
      </c>
      <c r="G265" s="9" t="s">
        <v>11</v>
      </c>
      <c r="H265" s="11" t="str">
        <f>IF(C265&lt;&gt;B265,IF(AND(E265&gt;=20,E265&lt;35),"warning",IF(AND(E265&gt;=35,E265&lt;=50),"快要 O.O.C 啦",IF(E265&gt;50,"超出規格 O.O.C 啦",""))))</f>
        <v/>
      </c>
      <c r="I265" s="11" t="e">
        <f>IF(C265&lt;&gt;B265,IF(AND(F265&gt;=5,E265&lt;10),"warning",IF(AND(F265&gt;=10,F265&lt;=15),"快要 O.O.C 啦",IF(F265&gt;15,"超出規格 O.O.C 啦",""))))</f>
        <v>#N/A</v>
      </c>
    </row>
    <row r="266" spans="1:9">
      <c r="A266" s="9" t="s">
        <v>15</v>
      </c>
      <c r="B266" s="10">
        <v>44902.023900462962</v>
      </c>
      <c r="C266" s="9" t="s">
        <v>5</v>
      </c>
      <c r="D266" s="11" t="str">
        <f>CONCATENATE(B266,RIGHT(C266,2))</f>
        <v>44902.023900463C6</v>
      </c>
      <c r="E266" s="9">
        <v>0</v>
      </c>
      <c r="F266" s="11" t="e">
        <f>VLOOKUP(D266,'LP-T2 大顆的'!D:E,2)</f>
        <v>#N/A</v>
      </c>
      <c r="G266" s="9" t="s">
        <v>11</v>
      </c>
      <c r="H266" s="11" t="str">
        <f>IF(C266&lt;&gt;B266,IF(AND(E266&gt;=20,E266&lt;35),"warning",IF(AND(E266&gt;=35,E266&lt;=50),"快要 O.O.C 啦",IF(E266&gt;50,"超出規格 O.O.C 啦",""))))</f>
        <v/>
      </c>
      <c r="I266" s="11" t="e">
        <f>IF(C266&lt;&gt;B266,IF(AND(F266&gt;=5,E266&lt;10),"warning",IF(AND(F266&gt;=10,F266&lt;=15),"快要 O.O.C 啦",IF(F266&gt;15,"超出規格 O.O.C 啦",""))))</f>
        <v>#N/A</v>
      </c>
    </row>
    <row r="267" spans="1:9">
      <c r="A267" s="9" t="s">
        <v>15</v>
      </c>
      <c r="B267" s="10">
        <v>44902.023900462962</v>
      </c>
      <c r="C267" s="9" t="s">
        <v>7</v>
      </c>
      <c r="D267" s="11" t="str">
        <f>CONCATENATE(B267,RIGHT(C267,2))</f>
        <v>44902.023900463C1</v>
      </c>
      <c r="E267" s="9">
        <v>0</v>
      </c>
      <c r="F267" s="11" t="e">
        <f>VLOOKUP(D267,'LP-T2 大顆的'!D:E,2)</f>
        <v>#N/A</v>
      </c>
      <c r="G267" s="9" t="s">
        <v>11</v>
      </c>
      <c r="H267" s="11" t="str">
        <f>IF(C267&lt;&gt;B267,IF(AND(E267&gt;=20,E267&lt;35),"warning",IF(AND(E267&gt;=35,E267&lt;=50),"快要 O.O.C 啦",IF(E267&gt;50,"超出規格 O.O.C 啦",""))))</f>
        <v/>
      </c>
      <c r="I267" s="11" t="e">
        <f>IF(C267&lt;&gt;B267,IF(AND(F267&gt;=5,E267&lt;10),"warning",IF(AND(F267&gt;=10,F267&lt;=15),"快要 O.O.C 啦",IF(F267&gt;15,"超出規格 O.O.C 啦",""))))</f>
        <v>#N/A</v>
      </c>
    </row>
    <row r="268" spans="1:9">
      <c r="A268" s="9" t="s">
        <v>13</v>
      </c>
      <c r="B268" s="10">
        <v>44902.008043981485</v>
      </c>
      <c r="C268" s="9" t="s">
        <v>5</v>
      </c>
      <c r="D268" s="11" t="str">
        <f>CONCATENATE(B268,RIGHT(C268,2))</f>
        <v>44902.0080439815C6</v>
      </c>
      <c r="E268" s="9">
        <v>0</v>
      </c>
      <c r="F268" s="11" t="e">
        <f>VLOOKUP(D268,'LP-T2 大顆的'!D:E,2)</f>
        <v>#N/A</v>
      </c>
      <c r="G268" s="9" t="s">
        <v>11</v>
      </c>
      <c r="H268" s="11" t="str">
        <f>IF(C268&lt;&gt;B268,IF(AND(E268&gt;=20,E268&lt;35),"warning",IF(AND(E268&gt;=35,E268&lt;=50),"快要 O.O.C 啦",IF(E268&gt;50,"超出規格 O.O.C 啦",""))))</f>
        <v/>
      </c>
      <c r="I268" s="11" t="e">
        <f>IF(C268&lt;&gt;B268,IF(AND(F268&gt;=5,E268&lt;10),"warning",IF(AND(F268&gt;=10,F268&lt;=15),"快要 O.O.C 啦",IF(F268&gt;15,"超出規格 O.O.C 啦",""))))</f>
        <v>#N/A</v>
      </c>
    </row>
    <row r="269" spans="1:9">
      <c r="A269" s="9" t="s">
        <v>13</v>
      </c>
      <c r="B269" s="10">
        <v>44902.008043981485</v>
      </c>
      <c r="C269" s="9" t="s">
        <v>7</v>
      </c>
      <c r="D269" s="11" t="str">
        <f>CONCATENATE(B269,RIGHT(C269,2))</f>
        <v>44902.0080439815C1</v>
      </c>
      <c r="E269" s="9">
        <v>0</v>
      </c>
      <c r="F269" s="11" t="e">
        <f>VLOOKUP(D269,'LP-T2 大顆的'!D:E,2)</f>
        <v>#N/A</v>
      </c>
      <c r="G269" s="9" t="s">
        <v>11</v>
      </c>
      <c r="H269" s="11" t="str">
        <f>IF(C269&lt;&gt;B269,IF(AND(E269&gt;=20,E269&lt;35),"warning",IF(AND(E269&gt;=35,E269&lt;=50),"快要 O.O.C 啦",IF(E269&gt;50,"超出規格 O.O.C 啦",""))))</f>
        <v/>
      </c>
      <c r="I269" s="11" t="e">
        <f>IF(C269&lt;&gt;B269,IF(AND(F269&gt;=5,E269&lt;10),"warning",IF(AND(F269&gt;=10,F269&lt;=15),"快要 O.O.C 啦",IF(F269&gt;15,"超出規格 O.O.C 啦",""))))</f>
        <v>#N/A</v>
      </c>
    </row>
    <row r="270" spans="1:9">
      <c r="A270" s="9" t="s">
        <v>17</v>
      </c>
      <c r="B270" s="10">
        <v>44901.988587962966</v>
      </c>
      <c r="C270" s="9" t="s">
        <v>5</v>
      </c>
      <c r="D270" s="11" t="str">
        <f>CONCATENATE(B270,RIGHT(C270,2))</f>
        <v>44901.988587963C6</v>
      </c>
      <c r="E270" s="9">
        <v>0</v>
      </c>
      <c r="F270" s="11" t="e">
        <f>VLOOKUP(D270,'LP-T2 大顆的'!D:E,2)</f>
        <v>#N/A</v>
      </c>
      <c r="G270" s="9" t="s">
        <v>11</v>
      </c>
      <c r="H270" s="11" t="str">
        <f>IF(C270&lt;&gt;B270,IF(AND(E270&gt;=20,E270&lt;35),"warning",IF(AND(E270&gt;=35,E270&lt;=50),"快要 O.O.C 啦",IF(E270&gt;50,"超出規格 O.O.C 啦",""))))</f>
        <v/>
      </c>
      <c r="I270" s="11" t="e">
        <f>IF(C270&lt;&gt;B270,IF(AND(F270&gt;=5,E270&lt;10),"warning",IF(AND(F270&gt;=10,F270&lt;=15),"快要 O.O.C 啦",IF(F270&gt;15,"超出規格 O.O.C 啦",""))))</f>
        <v>#N/A</v>
      </c>
    </row>
    <row r="271" spans="1:9">
      <c r="A271" s="9" t="s">
        <v>17</v>
      </c>
      <c r="B271" s="10">
        <v>44901.988587962966</v>
      </c>
      <c r="C271" s="9" t="s">
        <v>7</v>
      </c>
      <c r="D271" s="11" t="str">
        <f>CONCATENATE(B271,RIGHT(C271,2))</f>
        <v>44901.988587963C1</v>
      </c>
      <c r="E271" s="9">
        <v>0</v>
      </c>
      <c r="F271" s="11" t="e">
        <f>VLOOKUP(D271,'LP-T2 大顆的'!D:E,2)</f>
        <v>#N/A</v>
      </c>
      <c r="G271" s="9" t="s">
        <v>11</v>
      </c>
      <c r="H271" s="11" t="str">
        <f>IF(C271&lt;&gt;B271,IF(AND(E271&gt;=20,E271&lt;35),"warning",IF(AND(E271&gt;=35,E271&lt;=50),"快要 O.O.C 啦",IF(E271&gt;50,"超出規格 O.O.C 啦",""))))</f>
        <v/>
      </c>
      <c r="I271" s="11" t="e">
        <f>IF(C271&lt;&gt;B271,IF(AND(F271&gt;=5,E271&lt;10),"warning",IF(AND(F271&gt;=10,F271&lt;=15),"快要 O.O.C 啦",IF(F271&gt;15,"超出規格 O.O.C 啦",""))))</f>
        <v>#N/A</v>
      </c>
    </row>
    <row r="272" spans="1:9">
      <c r="A272" s="9" t="s">
        <v>12</v>
      </c>
      <c r="B272" s="10">
        <v>44901.974942129629</v>
      </c>
      <c r="C272" s="9" t="s">
        <v>5</v>
      </c>
      <c r="D272" s="11" t="str">
        <f>CONCATENATE(B272,RIGHT(C272,2))</f>
        <v>44901.9749421296C6</v>
      </c>
      <c r="E272" s="9">
        <v>0</v>
      </c>
      <c r="F272" s="11" t="e">
        <f>VLOOKUP(D272,'LP-T2 大顆的'!D:E,2)</f>
        <v>#N/A</v>
      </c>
      <c r="G272" s="9" t="s">
        <v>11</v>
      </c>
      <c r="H272" s="11" t="str">
        <f>IF(C272&lt;&gt;B272,IF(AND(E272&gt;=20,E272&lt;35),"warning",IF(AND(E272&gt;=35,E272&lt;=50),"快要 O.O.C 啦",IF(E272&gt;50,"超出規格 O.O.C 啦",""))))</f>
        <v/>
      </c>
      <c r="I272" s="11" t="e">
        <f>IF(C272&lt;&gt;B272,IF(AND(F272&gt;=5,E272&lt;10),"warning",IF(AND(F272&gt;=10,F272&lt;=15),"快要 O.O.C 啦",IF(F272&gt;15,"超出規格 O.O.C 啦",""))))</f>
        <v>#N/A</v>
      </c>
    </row>
    <row r="273" spans="1:9">
      <c r="A273" s="9" t="s">
        <v>12</v>
      </c>
      <c r="B273" s="10">
        <v>44901.974942129629</v>
      </c>
      <c r="C273" s="9" t="s">
        <v>7</v>
      </c>
      <c r="D273" s="11" t="str">
        <f>CONCATENATE(B273,RIGHT(C273,2))</f>
        <v>44901.9749421296C1</v>
      </c>
      <c r="E273" s="9">
        <v>0</v>
      </c>
      <c r="F273" s="11" t="e">
        <f>VLOOKUP(D273,'LP-T2 大顆的'!D:E,2)</f>
        <v>#N/A</v>
      </c>
      <c r="G273" s="9" t="s">
        <v>11</v>
      </c>
      <c r="H273" s="11" t="str">
        <f>IF(C273&lt;&gt;B273,IF(AND(E273&gt;=20,E273&lt;35),"warning",IF(AND(E273&gt;=35,E273&lt;=50),"快要 O.O.C 啦",IF(E273&gt;50,"超出規格 O.O.C 啦",""))))</f>
        <v/>
      </c>
      <c r="I273" s="11" t="e">
        <f>IF(C273&lt;&gt;B273,IF(AND(F273&gt;=5,E273&lt;10),"warning",IF(AND(F273&gt;=10,F273&lt;=15),"快要 O.O.C 啦",IF(F273&gt;15,"超出規格 O.O.C 啦",""))))</f>
        <v>#N/A</v>
      </c>
    </row>
    <row r="274" spans="1:9">
      <c r="A274" s="9" t="s">
        <v>4</v>
      </c>
      <c r="B274" s="10">
        <v>44901.963020833333</v>
      </c>
      <c r="C274" s="9" t="s">
        <v>5</v>
      </c>
      <c r="D274" s="11" t="str">
        <f>CONCATENATE(B274,RIGHT(C274,2))</f>
        <v>44901.9630208333C6</v>
      </c>
      <c r="E274" s="9">
        <v>1</v>
      </c>
      <c r="F274" s="11" t="e">
        <f>VLOOKUP(D274,'LP-T2 大顆的'!D:E,2)</f>
        <v>#N/A</v>
      </c>
      <c r="G274" s="9" t="s">
        <v>11</v>
      </c>
      <c r="H274" s="11" t="str">
        <f>IF(C274&lt;&gt;B274,IF(AND(E274&gt;=20,E274&lt;35),"warning",IF(AND(E274&gt;=35,E274&lt;=50),"快要 O.O.C 啦",IF(E274&gt;50,"超出規格 O.O.C 啦",""))))</f>
        <v/>
      </c>
      <c r="I274" s="11" t="e">
        <f>IF(C274&lt;&gt;B274,IF(AND(F274&gt;=5,E274&lt;10),"warning",IF(AND(F274&gt;=10,F274&lt;=15),"快要 O.O.C 啦",IF(F274&gt;15,"超出規格 O.O.C 啦",""))))</f>
        <v>#N/A</v>
      </c>
    </row>
    <row r="275" spans="1:9">
      <c r="A275" s="9" t="s">
        <v>4</v>
      </c>
      <c r="B275" s="10">
        <v>44901.963020833333</v>
      </c>
      <c r="C275" s="9" t="s">
        <v>7</v>
      </c>
      <c r="D275" s="11" t="str">
        <f>CONCATENATE(B275,RIGHT(C275,2))</f>
        <v>44901.9630208333C1</v>
      </c>
      <c r="E275" s="9">
        <v>0</v>
      </c>
      <c r="F275" s="11" t="e">
        <f>VLOOKUP(D275,'LP-T2 大顆的'!D:E,2)</f>
        <v>#N/A</v>
      </c>
      <c r="G275" s="9" t="s">
        <v>11</v>
      </c>
      <c r="H275" s="11" t="str">
        <f>IF(C275&lt;&gt;B275,IF(AND(E275&gt;=20,E275&lt;35),"warning",IF(AND(E275&gt;=35,E275&lt;=50),"快要 O.O.C 啦",IF(E275&gt;50,"超出規格 O.O.C 啦",""))))</f>
        <v/>
      </c>
      <c r="I275" s="11" t="e">
        <f>IF(C275&lt;&gt;B275,IF(AND(F275&gt;=5,E275&lt;10),"warning",IF(AND(F275&gt;=10,F275&lt;=15),"快要 O.O.C 啦",IF(F275&gt;15,"超出規格 O.O.C 啦",""))))</f>
        <v>#N/A</v>
      </c>
    </row>
    <row r="276" spans="1:9">
      <c r="A276" s="9" t="s">
        <v>14</v>
      </c>
      <c r="B276" s="10">
        <v>44901.936712962961</v>
      </c>
      <c r="C276" s="9" t="s">
        <v>5</v>
      </c>
      <c r="D276" s="11" t="str">
        <f>CONCATENATE(B276,RIGHT(C276,2))</f>
        <v>44901.936712963C6</v>
      </c>
      <c r="E276" s="9">
        <v>2</v>
      </c>
      <c r="F276" s="11" t="e">
        <f>VLOOKUP(D276,'LP-T2 大顆的'!D:E,2)</f>
        <v>#N/A</v>
      </c>
      <c r="G276" s="9" t="s">
        <v>11</v>
      </c>
      <c r="H276" s="11" t="str">
        <f>IF(C276&lt;&gt;B276,IF(AND(E276&gt;=20,E276&lt;35),"warning",IF(AND(E276&gt;=35,E276&lt;=50),"快要 O.O.C 啦",IF(E276&gt;50,"超出規格 O.O.C 啦",""))))</f>
        <v/>
      </c>
      <c r="I276" s="11" t="e">
        <f>IF(C276&lt;&gt;B276,IF(AND(F276&gt;=5,E276&lt;10),"warning",IF(AND(F276&gt;=10,F276&lt;=15),"快要 O.O.C 啦",IF(F276&gt;15,"超出規格 O.O.C 啦",""))))</f>
        <v>#N/A</v>
      </c>
    </row>
    <row r="277" spans="1:9">
      <c r="A277" s="9" t="s">
        <v>14</v>
      </c>
      <c r="B277" s="10">
        <v>44901.936712962961</v>
      </c>
      <c r="C277" s="9" t="s">
        <v>7</v>
      </c>
      <c r="D277" s="11" t="str">
        <f>CONCATENATE(B277,RIGHT(C277,2))</f>
        <v>44901.936712963C1</v>
      </c>
      <c r="E277" s="9">
        <v>0</v>
      </c>
      <c r="F277" s="11" t="e">
        <f>VLOOKUP(D277,'LP-T2 大顆的'!D:E,2)</f>
        <v>#N/A</v>
      </c>
      <c r="G277" s="9" t="s">
        <v>11</v>
      </c>
      <c r="H277" s="11" t="str">
        <f>IF(C277&lt;&gt;B277,IF(AND(E277&gt;=20,E277&lt;35),"warning",IF(AND(E277&gt;=35,E277&lt;=50),"快要 O.O.C 啦",IF(E277&gt;50,"超出規格 O.O.C 啦",""))))</f>
        <v/>
      </c>
      <c r="I277" s="11" t="e">
        <f>IF(C277&lt;&gt;B277,IF(AND(F277&gt;=5,E277&lt;10),"warning",IF(AND(F277&gt;=10,F277&lt;=15),"快要 O.O.C 啦",IF(F277&gt;15,"超出規格 O.O.C 啦",""))))</f>
        <v>#N/A</v>
      </c>
    </row>
    <row r="278" spans="1:9">
      <c r="A278" s="9" t="s">
        <v>13</v>
      </c>
      <c r="B278" s="10">
        <v>44901.863668981481</v>
      </c>
      <c r="C278" s="9" t="s">
        <v>5</v>
      </c>
      <c r="D278" s="11" t="str">
        <f>CONCATENATE(B278,RIGHT(C278,2))</f>
        <v>44901.8636689815C6</v>
      </c>
      <c r="E278" s="9">
        <v>0</v>
      </c>
      <c r="F278" s="11" t="e">
        <f>VLOOKUP(D278,'LP-T2 大顆的'!D:E,2)</f>
        <v>#N/A</v>
      </c>
      <c r="G278" s="9" t="s">
        <v>11</v>
      </c>
      <c r="H278" s="11" t="str">
        <f>IF(C278&lt;&gt;B278,IF(AND(E278&gt;=20,E278&lt;35),"warning",IF(AND(E278&gt;=35,E278&lt;=50),"快要 O.O.C 啦",IF(E278&gt;50,"超出規格 O.O.C 啦",""))))</f>
        <v/>
      </c>
      <c r="I278" s="11" t="e">
        <f>IF(C278&lt;&gt;B278,IF(AND(F278&gt;=5,E278&lt;10),"warning",IF(AND(F278&gt;=10,F278&lt;=15),"快要 O.O.C 啦",IF(F278&gt;15,"超出規格 O.O.C 啦",""))))</f>
        <v>#N/A</v>
      </c>
    </row>
    <row r="279" spans="1:9">
      <c r="A279" s="9" t="s">
        <v>13</v>
      </c>
      <c r="B279" s="10">
        <v>44901.863668981481</v>
      </c>
      <c r="C279" s="9" t="s">
        <v>7</v>
      </c>
      <c r="D279" s="11" t="str">
        <f>CONCATENATE(B279,RIGHT(C279,2))</f>
        <v>44901.8636689815C1</v>
      </c>
      <c r="E279" s="9">
        <v>1</v>
      </c>
      <c r="F279" s="11" t="e">
        <f>VLOOKUP(D279,'LP-T2 大顆的'!D:E,2)</f>
        <v>#N/A</v>
      </c>
      <c r="G279" s="9" t="s">
        <v>11</v>
      </c>
      <c r="H279" s="11" t="str">
        <f>IF(C279&lt;&gt;B279,IF(AND(E279&gt;=20,E279&lt;35),"warning",IF(AND(E279&gt;=35,E279&lt;=50),"快要 O.O.C 啦",IF(E279&gt;50,"超出規格 O.O.C 啦",""))))</f>
        <v/>
      </c>
      <c r="I279" s="11" t="e">
        <f>IF(C279&lt;&gt;B279,IF(AND(F279&gt;=5,E279&lt;10),"warning",IF(AND(F279&gt;=10,F279&lt;=15),"快要 O.O.C 啦",IF(F279&gt;15,"超出規格 O.O.C 啦",""))))</f>
        <v>#N/A</v>
      </c>
    </row>
    <row r="280" spans="1:9">
      <c r="A280" s="9" t="s">
        <v>15</v>
      </c>
      <c r="B280" s="10">
        <v>44901.861562500002</v>
      </c>
      <c r="C280" s="9" t="s">
        <v>5</v>
      </c>
      <c r="D280" s="11" t="str">
        <f>CONCATENATE(B280,RIGHT(C280,2))</f>
        <v>44901.8615625C6</v>
      </c>
      <c r="E280" s="9">
        <v>1</v>
      </c>
      <c r="F280" s="11" t="e">
        <f>VLOOKUP(D280,'LP-T2 大顆的'!D:E,2)</f>
        <v>#N/A</v>
      </c>
      <c r="G280" s="9" t="s">
        <v>11</v>
      </c>
      <c r="H280" s="11" t="str">
        <f>IF(C280&lt;&gt;B280,IF(AND(E280&gt;=20,E280&lt;35),"warning",IF(AND(E280&gt;=35,E280&lt;=50),"快要 O.O.C 啦",IF(E280&gt;50,"超出規格 O.O.C 啦",""))))</f>
        <v/>
      </c>
      <c r="I280" s="11" t="e">
        <f>IF(C280&lt;&gt;B280,IF(AND(F280&gt;=5,E280&lt;10),"warning",IF(AND(F280&gt;=10,F280&lt;=15),"快要 O.O.C 啦",IF(F280&gt;15,"超出規格 O.O.C 啦",""))))</f>
        <v>#N/A</v>
      </c>
    </row>
    <row r="281" spans="1:9">
      <c r="A281" s="9" t="s">
        <v>15</v>
      </c>
      <c r="B281" s="10">
        <v>44901.861562500002</v>
      </c>
      <c r="C281" s="9" t="s">
        <v>7</v>
      </c>
      <c r="D281" s="11" t="str">
        <f>CONCATENATE(B281,RIGHT(C281,2))</f>
        <v>44901.8615625C1</v>
      </c>
      <c r="E281" s="9">
        <v>0</v>
      </c>
      <c r="F281" s="11" t="e">
        <f>VLOOKUP(D281,'LP-T2 大顆的'!D:E,2)</f>
        <v>#N/A</v>
      </c>
      <c r="G281" s="9" t="s">
        <v>11</v>
      </c>
      <c r="H281" s="11" t="str">
        <f>IF(C281&lt;&gt;B281,IF(AND(E281&gt;=20,E281&lt;35),"warning",IF(AND(E281&gt;=35,E281&lt;=50),"快要 O.O.C 啦",IF(E281&gt;50,"超出規格 O.O.C 啦",""))))</f>
        <v/>
      </c>
      <c r="I281" s="11" t="e">
        <f>IF(C281&lt;&gt;B281,IF(AND(F281&gt;=5,E281&lt;10),"warning",IF(AND(F281&gt;=10,F281&lt;=15),"快要 O.O.C 啦",IF(F281&gt;15,"超出規格 O.O.C 啦",""))))</f>
        <v>#N/A</v>
      </c>
    </row>
    <row r="282" spans="1:9">
      <c r="A282" s="9" t="s">
        <v>12</v>
      </c>
      <c r="B282" s="10">
        <v>44901.778113425928</v>
      </c>
      <c r="C282" s="9" t="s">
        <v>6</v>
      </c>
      <c r="D282" s="11" t="str">
        <f>CONCATENATE(B282,RIGHT(C282,2))</f>
        <v>44901.7781134259C4</v>
      </c>
      <c r="E282" s="9">
        <v>1</v>
      </c>
      <c r="F282" s="11" t="e">
        <f>VLOOKUP(D282,'LP-T2 大顆的'!D:E,2)</f>
        <v>#N/A</v>
      </c>
      <c r="G282" s="9" t="s">
        <v>11</v>
      </c>
      <c r="H282" s="11" t="str">
        <f>IF(C282&lt;&gt;B282,IF(AND(E282&gt;=20,E282&lt;35),"warning",IF(AND(E282&gt;=35,E282&lt;=50),"快要 O.O.C 啦",IF(E282&gt;50,"超出規格 O.O.C 啦",""))))</f>
        <v/>
      </c>
      <c r="I282" s="11" t="e">
        <f>IF(C282&lt;&gt;B282,IF(AND(F282&gt;=5,E282&lt;10),"warning",IF(AND(F282&gt;=10,F282&lt;=15),"快要 O.O.C 啦",IF(F282&gt;15,"超出規格 O.O.C 啦",""))))</f>
        <v>#N/A</v>
      </c>
    </row>
    <row r="283" spans="1:9">
      <c r="A283" s="9" t="s">
        <v>4</v>
      </c>
      <c r="B283" s="10">
        <v>44901.755115740743</v>
      </c>
      <c r="C283" s="9" t="s">
        <v>6</v>
      </c>
      <c r="D283" s="11" t="str">
        <f>CONCATENATE(B283,RIGHT(C283,2))</f>
        <v>44901.7551157407C4</v>
      </c>
      <c r="E283" s="9">
        <v>0</v>
      </c>
      <c r="F283" s="11" t="e">
        <f>VLOOKUP(D283,'LP-T2 大顆的'!D:E,2)</f>
        <v>#N/A</v>
      </c>
      <c r="G283" s="9" t="s">
        <v>11</v>
      </c>
      <c r="H283" s="11" t="str">
        <f>IF(C283&lt;&gt;B283,IF(AND(E283&gt;=20,E283&lt;35),"warning",IF(AND(E283&gt;=35,E283&lt;=50),"快要 O.O.C 啦",IF(E283&gt;50,"超出規格 O.O.C 啦",""))))</f>
        <v/>
      </c>
      <c r="I283" s="11" t="e">
        <f>IF(C283&lt;&gt;B283,IF(AND(F283&gt;=5,E283&lt;10),"warning",IF(AND(F283&gt;=10,F283&lt;=15),"快要 O.O.C 啦",IF(F283&gt;15,"超出規格 O.O.C 啦",""))))</f>
        <v>#N/A</v>
      </c>
    </row>
    <row r="284" spans="1:9">
      <c r="A284" s="9" t="s">
        <v>14</v>
      </c>
      <c r="B284" s="10">
        <v>44901.750335648147</v>
      </c>
      <c r="C284" s="9" t="s">
        <v>6</v>
      </c>
      <c r="D284" s="11" t="str">
        <f>CONCATENATE(B284,RIGHT(C284,2))</f>
        <v>44901.7503356481C4</v>
      </c>
      <c r="E284" s="9">
        <v>4</v>
      </c>
      <c r="F284" s="11" t="e">
        <f>VLOOKUP(D284,'LP-T2 大顆的'!D:E,2)</f>
        <v>#N/A</v>
      </c>
      <c r="G284" s="9" t="s">
        <v>11</v>
      </c>
      <c r="H284" s="11" t="str">
        <f>IF(C284&lt;&gt;B284,IF(AND(E284&gt;=20,E284&lt;35),"warning",IF(AND(E284&gt;=35,E284&lt;=50),"快要 O.O.C 啦",IF(E284&gt;50,"超出規格 O.O.C 啦",""))))</f>
        <v/>
      </c>
      <c r="I284" s="11" t="e">
        <f>IF(C284&lt;&gt;B284,IF(AND(F284&gt;=5,E284&lt;10),"warning",IF(AND(F284&gt;=10,F284&lt;=15),"快要 O.O.C 啦",IF(F284&gt;15,"超出規格 O.O.C 啦",""))))</f>
        <v>#N/A</v>
      </c>
    </row>
    <row r="285" spans="1:9">
      <c r="A285" s="9" t="s">
        <v>17</v>
      </c>
      <c r="B285" s="10">
        <v>44901.730787037035</v>
      </c>
      <c r="C285" s="9" t="s">
        <v>6</v>
      </c>
      <c r="D285" s="11" t="str">
        <f>CONCATENATE(B285,RIGHT(C285,2))</f>
        <v>44901.730787037C4</v>
      </c>
      <c r="E285" s="9">
        <v>7</v>
      </c>
      <c r="F285" s="11" t="e">
        <f>VLOOKUP(D285,'LP-T2 大顆的'!D:E,2)</f>
        <v>#N/A</v>
      </c>
      <c r="G285" s="9" t="s">
        <v>11</v>
      </c>
      <c r="H285" s="11" t="str">
        <f>IF(C285&lt;&gt;B285,IF(AND(E285&gt;=20,E285&lt;35),"warning",IF(AND(E285&gt;=35,E285&lt;=50),"快要 O.O.C 啦",IF(E285&gt;50,"超出規格 O.O.C 啦",""))))</f>
        <v/>
      </c>
      <c r="I285" s="11" t="e">
        <f>IF(C285&lt;&gt;B285,IF(AND(F285&gt;=5,E285&lt;10),"warning",IF(AND(F285&gt;=10,F285&lt;=15),"快要 O.O.C 啦",IF(F285&gt;15,"超出規格 O.O.C 啦",""))))</f>
        <v>#N/A</v>
      </c>
    </row>
    <row r="286" spans="1:9">
      <c r="A286" s="9" t="s">
        <v>13</v>
      </c>
      <c r="B286" s="10">
        <v>44901.704016203701</v>
      </c>
      <c r="C286" s="9" t="s">
        <v>6</v>
      </c>
      <c r="D286" s="11" t="str">
        <f>CONCATENATE(B286,RIGHT(C286,2))</f>
        <v>44901.7040162037C4</v>
      </c>
      <c r="E286" s="9">
        <v>2</v>
      </c>
      <c r="F286" s="11" t="e">
        <f>VLOOKUP(D286,'LP-T2 大顆的'!D:E,2)</f>
        <v>#N/A</v>
      </c>
      <c r="G286" s="9" t="s">
        <v>11</v>
      </c>
      <c r="H286" s="11" t="str">
        <f>IF(C286&lt;&gt;B286,IF(AND(E286&gt;=20,E286&lt;35),"warning",IF(AND(E286&gt;=35,E286&lt;=50),"快要 O.O.C 啦",IF(E286&gt;50,"超出規格 O.O.C 啦",""))))</f>
        <v/>
      </c>
      <c r="I286" s="11" t="e">
        <f>IF(C286&lt;&gt;B286,IF(AND(F286&gt;=5,E286&lt;10),"warning",IF(AND(F286&gt;=10,F286&lt;=15),"快要 O.O.C 啦",IF(F286&gt;15,"超出規格 O.O.C 啦",""))))</f>
        <v>#N/A</v>
      </c>
    </row>
    <row r="287" spans="1:9">
      <c r="A287" s="9" t="s">
        <v>15</v>
      </c>
      <c r="B287" s="10">
        <v>44901.666886574072</v>
      </c>
      <c r="C287" s="9" t="s">
        <v>6</v>
      </c>
      <c r="D287" s="11" t="str">
        <f>CONCATENATE(B287,RIGHT(C287,2))</f>
        <v>44901.6668865741C4</v>
      </c>
      <c r="E287" s="9">
        <v>1</v>
      </c>
      <c r="F287" s="11" t="e">
        <f>VLOOKUP(D287,'LP-T2 大顆的'!D:E,2)</f>
        <v>#N/A</v>
      </c>
      <c r="G287" s="9" t="s">
        <v>11</v>
      </c>
      <c r="H287" s="11" t="str">
        <f>IF(C287&lt;&gt;B287,IF(AND(E287&gt;=20,E287&lt;35),"warning",IF(AND(E287&gt;=35,E287&lt;=50),"快要 O.O.C 啦",IF(E287&gt;50,"超出規格 O.O.C 啦",""))))</f>
        <v/>
      </c>
      <c r="I287" s="11" t="e">
        <f>IF(C287&lt;&gt;B287,IF(AND(F287&gt;=5,E287&lt;10),"warning",IF(AND(F287&gt;=10,F287&lt;=15),"快要 O.O.C 啦",IF(F287&gt;15,"超出規格 O.O.C 啦",""))))</f>
        <v>#N/A</v>
      </c>
    </row>
    <row r="288" spans="1:9">
      <c r="A288" s="9" t="s">
        <v>12</v>
      </c>
      <c r="B288" s="10">
        <v>44901.605092592596</v>
      </c>
      <c r="C288" s="9" t="s">
        <v>6</v>
      </c>
      <c r="D288" s="11" t="str">
        <f>CONCATENATE(B288,RIGHT(C288,2))</f>
        <v>44901.6050925926C4</v>
      </c>
      <c r="E288" s="9">
        <v>6</v>
      </c>
      <c r="F288" s="11" t="e">
        <f>VLOOKUP(D288,'LP-T2 大顆的'!D:E,2)</f>
        <v>#N/A</v>
      </c>
      <c r="G288" s="9" t="s">
        <v>11</v>
      </c>
      <c r="H288" s="11" t="str">
        <f>IF(C288&lt;&gt;B288,IF(AND(E288&gt;=20,E288&lt;35),"warning",IF(AND(E288&gt;=35,E288&lt;=50),"快要 O.O.C 啦",IF(E288&gt;50,"超出規格 O.O.C 啦",""))))</f>
        <v/>
      </c>
      <c r="I288" s="11" t="e">
        <f>IF(C288&lt;&gt;B288,IF(AND(F288&gt;=5,E288&lt;10),"warning",IF(AND(F288&gt;=10,F288&lt;=15),"快要 O.O.C 啦",IF(F288&gt;15,"超出規格 O.O.C 啦",""))))</f>
        <v>#N/A</v>
      </c>
    </row>
    <row r="289" spans="1:9">
      <c r="A289" s="9" t="s">
        <v>4</v>
      </c>
      <c r="B289" s="10">
        <v>44901.593842592592</v>
      </c>
      <c r="C289" s="9" t="s">
        <v>6</v>
      </c>
      <c r="D289" s="11" t="str">
        <f>CONCATENATE(B289,RIGHT(C289,2))</f>
        <v>44901.5938425926C4</v>
      </c>
      <c r="E289" s="9">
        <v>7</v>
      </c>
      <c r="F289" s="11" t="e">
        <f>VLOOKUP(D289,'LP-T2 大顆的'!D:E,2)</f>
        <v>#N/A</v>
      </c>
      <c r="G289" s="9" t="s">
        <v>11</v>
      </c>
      <c r="H289" s="11" t="str">
        <f>IF(C289&lt;&gt;B289,IF(AND(E289&gt;=20,E289&lt;35),"warning",IF(AND(E289&gt;=35,E289&lt;=50),"快要 O.O.C 啦",IF(E289&gt;50,"超出規格 O.O.C 啦",""))))</f>
        <v/>
      </c>
      <c r="I289" s="11" t="e">
        <f>IF(C289&lt;&gt;B289,IF(AND(F289&gt;=5,E289&lt;10),"warning",IF(AND(F289&gt;=10,F289&lt;=15),"快要 O.O.C 啦",IF(F289&gt;15,"超出規格 O.O.C 啦",""))))</f>
        <v>#N/A</v>
      </c>
    </row>
    <row r="290" spans="1:9">
      <c r="A290" s="9" t="s">
        <v>14</v>
      </c>
      <c r="B290" s="10">
        <v>44901.584224537037</v>
      </c>
      <c r="C290" s="9" t="s">
        <v>6</v>
      </c>
      <c r="D290" s="11" t="str">
        <f>CONCATENATE(B290,RIGHT(C290,2))</f>
        <v>44901.584224537C4</v>
      </c>
      <c r="E290" s="9">
        <v>0</v>
      </c>
      <c r="F290" s="11" t="e">
        <f>VLOOKUP(D290,'LP-T2 大顆的'!D:E,2)</f>
        <v>#N/A</v>
      </c>
      <c r="G290" s="9" t="s">
        <v>11</v>
      </c>
      <c r="H290" s="11" t="str">
        <f>IF(C290&lt;&gt;B290,IF(AND(E290&gt;=20,E290&lt;35),"warning",IF(AND(E290&gt;=35,E290&lt;=50),"快要 O.O.C 啦",IF(E290&gt;50,"超出規格 O.O.C 啦",""))))</f>
        <v/>
      </c>
      <c r="I290" s="11" t="e">
        <f>IF(C290&lt;&gt;B290,IF(AND(F290&gt;=5,E290&lt;10),"warning",IF(AND(F290&gt;=10,F290&lt;=15),"快要 O.O.C 啦",IF(F290&gt;15,"超出規格 O.O.C 啦",""))))</f>
        <v>#N/A</v>
      </c>
    </row>
    <row r="291" spans="1:9">
      <c r="A291" s="9" t="s">
        <v>17</v>
      </c>
      <c r="B291" s="10">
        <v>44901.561342592591</v>
      </c>
      <c r="C291" s="9" t="s">
        <v>6</v>
      </c>
      <c r="D291" s="11" t="str">
        <f>CONCATENATE(B291,RIGHT(C291,2))</f>
        <v>44901.5613425926C4</v>
      </c>
      <c r="E291" s="9">
        <v>0</v>
      </c>
      <c r="F291" s="11" t="e">
        <f>VLOOKUP(D291,'LP-T2 大顆的'!D:E,2)</f>
        <v>#N/A</v>
      </c>
      <c r="G291" s="9" t="s">
        <v>11</v>
      </c>
      <c r="H291" s="11" t="str">
        <f>IF(C291&lt;&gt;B291,IF(AND(E291&gt;=20,E291&lt;35),"warning",IF(AND(E291&gt;=35,E291&lt;=50),"快要 O.O.C 啦",IF(E291&gt;50,"超出規格 O.O.C 啦",""))))</f>
        <v/>
      </c>
      <c r="I291" s="11" t="e">
        <f>IF(C291&lt;&gt;B291,IF(AND(F291&gt;=5,E291&lt;10),"warning",IF(AND(F291&gt;=10,F291&lt;=15),"快要 O.O.C 啦",IF(F291&gt;15,"超出規格 O.O.C 啦",""))))</f>
        <v>#N/A</v>
      </c>
    </row>
    <row r="292" spans="1:9">
      <c r="A292" s="9" t="s">
        <v>13</v>
      </c>
      <c r="B292" s="10">
        <v>44901.520069444443</v>
      </c>
      <c r="C292" s="9" t="s">
        <v>6</v>
      </c>
      <c r="D292" s="11" t="str">
        <f>CONCATENATE(B292,RIGHT(C292,2))</f>
        <v>44901.5200694444C4</v>
      </c>
      <c r="E292" s="9">
        <v>0</v>
      </c>
      <c r="F292" s="11" t="e">
        <f>VLOOKUP(D292,'LP-T2 大顆的'!D:E,2)</f>
        <v>#N/A</v>
      </c>
      <c r="G292" s="9" t="s">
        <v>11</v>
      </c>
      <c r="H292" s="11" t="str">
        <f>IF(C292&lt;&gt;B292,IF(AND(E292&gt;=20,E292&lt;35),"warning",IF(AND(E292&gt;=35,E292&lt;=50),"快要 O.O.C 啦",IF(E292&gt;50,"超出規格 O.O.C 啦",""))))</f>
        <v/>
      </c>
      <c r="I292" s="11" t="e">
        <f>IF(C292&lt;&gt;B292,IF(AND(F292&gt;=5,E292&lt;10),"warning",IF(AND(F292&gt;=10,F292&lt;=15),"快要 O.O.C 啦",IF(F292&gt;15,"超出規格 O.O.C 啦",""))))</f>
        <v>#N/A</v>
      </c>
    </row>
    <row r="293" spans="1:9">
      <c r="A293" s="9" t="s">
        <v>15</v>
      </c>
      <c r="B293" s="10">
        <v>44901.501747685186</v>
      </c>
      <c r="C293" s="9" t="s">
        <v>6</v>
      </c>
      <c r="D293" s="11" t="str">
        <f>CONCATENATE(B293,RIGHT(C293,2))</f>
        <v>44901.5017476852C4</v>
      </c>
      <c r="E293" s="9">
        <v>5</v>
      </c>
      <c r="F293" s="11" t="e">
        <f>VLOOKUP(D293,'LP-T2 大顆的'!D:E,2)</f>
        <v>#N/A</v>
      </c>
      <c r="G293" s="9" t="s">
        <v>11</v>
      </c>
      <c r="H293" s="11" t="str">
        <f>IF(C293&lt;&gt;B293,IF(AND(E293&gt;=20,E293&lt;35),"warning",IF(AND(E293&gt;=35,E293&lt;=50),"快要 O.O.C 啦",IF(E293&gt;50,"超出規格 O.O.C 啦",""))))</f>
        <v/>
      </c>
      <c r="I293" s="11" t="e">
        <f>IF(C293&lt;&gt;B293,IF(AND(F293&gt;=5,E293&lt;10),"warning",IF(AND(F293&gt;=10,F293&lt;=15),"快要 O.O.C 啦",IF(F293&gt;15,"超出規格 O.O.C 啦",""))))</f>
        <v>#N/A</v>
      </c>
    </row>
    <row r="294" spans="1:9">
      <c r="A294" s="9" t="s">
        <v>4</v>
      </c>
      <c r="B294" s="10">
        <v>44901.45653935185</v>
      </c>
      <c r="C294" s="9" t="s">
        <v>7</v>
      </c>
      <c r="D294" s="11" t="str">
        <f>CONCATENATE(B294,RIGHT(C294,2))</f>
        <v>44901.4565393518C1</v>
      </c>
      <c r="E294" s="9">
        <v>4</v>
      </c>
      <c r="F294" s="11" t="e">
        <f>VLOOKUP(D294,'LP-T2 大顆的'!D:E,2)</f>
        <v>#N/A</v>
      </c>
      <c r="G294" s="9" t="s">
        <v>11</v>
      </c>
      <c r="H294" s="11" t="str">
        <f>IF(C294&lt;&gt;B294,IF(AND(E294&gt;=20,E294&lt;35),"warning",IF(AND(E294&gt;=35,E294&lt;=50),"快要 O.O.C 啦",IF(E294&gt;50,"超出規格 O.O.C 啦",""))))</f>
        <v/>
      </c>
      <c r="I294" s="11" t="e">
        <f>IF(C294&lt;&gt;B294,IF(AND(F294&gt;=5,E294&lt;10),"warning",IF(AND(F294&gt;=10,F294&lt;=15),"快要 O.O.C 啦",IF(F294&gt;15,"超出規格 O.O.C 啦",""))))</f>
        <v>#N/A</v>
      </c>
    </row>
    <row r="295" spans="1:9">
      <c r="A295" s="9" t="s">
        <v>14</v>
      </c>
      <c r="B295" s="10">
        <v>44901.450810185182</v>
      </c>
      <c r="C295" s="9" t="s">
        <v>7</v>
      </c>
      <c r="D295" s="11" t="str">
        <f>CONCATENATE(B295,RIGHT(C295,2))</f>
        <v>44901.4508101852C1</v>
      </c>
      <c r="E295" s="9">
        <v>3</v>
      </c>
      <c r="F295" s="11" t="e">
        <f>VLOOKUP(D295,'LP-T2 大顆的'!D:E,2)</f>
        <v>#N/A</v>
      </c>
      <c r="G295" s="9" t="s">
        <v>11</v>
      </c>
      <c r="H295" s="11" t="str">
        <f>IF(C295&lt;&gt;B295,IF(AND(E295&gt;=20,E295&lt;35),"warning",IF(AND(E295&gt;=35,E295&lt;=50),"快要 O.O.C 啦",IF(E295&gt;50,"超出規格 O.O.C 啦",""))))</f>
        <v/>
      </c>
      <c r="I295" s="11" t="e">
        <f>IF(C295&lt;&gt;B295,IF(AND(F295&gt;=5,E295&lt;10),"warning",IF(AND(F295&gt;=10,F295&lt;=15),"快要 O.O.C 啦",IF(F295&gt;15,"超出規格 O.O.C 啦",""))))</f>
        <v>#N/A</v>
      </c>
    </row>
    <row r="296" spans="1:9">
      <c r="A296" s="9" t="s">
        <v>12</v>
      </c>
      <c r="B296" s="10">
        <v>44901.433599537035</v>
      </c>
      <c r="C296" s="9" t="s">
        <v>7</v>
      </c>
      <c r="D296" s="11" t="str">
        <f>CONCATENATE(B296,RIGHT(C296,2))</f>
        <v>44901.433599537C1</v>
      </c>
      <c r="E296" s="9">
        <v>6</v>
      </c>
      <c r="F296" s="11" t="e">
        <f>VLOOKUP(D296,'LP-T2 大顆的'!D:E,2)</f>
        <v>#N/A</v>
      </c>
      <c r="G296" s="9" t="s">
        <v>11</v>
      </c>
      <c r="H296" s="11" t="str">
        <f>IF(C296&lt;&gt;B296,IF(AND(E296&gt;=20,E296&lt;35),"warning",IF(AND(E296&gt;=35,E296&lt;=50),"快要 O.O.C 啦",IF(E296&gt;50,"超出規格 O.O.C 啦",""))))</f>
        <v/>
      </c>
      <c r="I296" s="11" t="e">
        <f>IF(C296&lt;&gt;B296,IF(AND(F296&gt;=5,E296&lt;10),"warning",IF(AND(F296&gt;=10,F296&lt;=15),"快要 O.O.C 啦",IF(F296&gt;15,"超出規格 O.O.C 啦",""))))</f>
        <v>#N/A</v>
      </c>
    </row>
    <row r="297" spans="1:9">
      <c r="A297" s="9" t="s">
        <v>13</v>
      </c>
      <c r="B297" s="10">
        <v>44901.370150462964</v>
      </c>
      <c r="C297" s="9" t="s">
        <v>7</v>
      </c>
      <c r="D297" s="11" t="str">
        <f>CONCATENATE(B297,RIGHT(C297,2))</f>
        <v>44901.370150463C1</v>
      </c>
      <c r="E297" s="9">
        <v>5</v>
      </c>
      <c r="F297" s="11" t="e">
        <f>VLOOKUP(D297,'LP-T2 大顆的'!D:E,2)</f>
        <v>#N/A</v>
      </c>
      <c r="G297" s="9" t="s">
        <v>11</v>
      </c>
      <c r="H297" s="11" t="str">
        <f>IF(C297&lt;&gt;B297,IF(AND(E297&gt;=20,E297&lt;35),"warning",IF(AND(E297&gt;=35,E297&lt;=50),"快要 O.O.C 啦",IF(E297&gt;50,"超出規格 O.O.C 啦",""))))</f>
        <v/>
      </c>
      <c r="I297" s="11" t="e">
        <f>IF(C297&lt;&gt;B297,IF(AND(F297&gt;=5,E297&lt;10),"warning",IF(AND(F297&gt;=10,F297&lt;=15),"快要 O.O.C 啦",IF(F297&gt;15,"超出規格 O.O.C 啦",""))))</f>
        <v>#N/A</v>
      </c>
    </row>
    <row r="298" spans="1:9">
      <c r="A298" s="9" t="s">
        <v>17</v>
      </c>
      <c r="B298" s="10">
        <v>44901.363356481481</v>
      </c>
      <c r="C298" s="9" t="s">
        <v>7</v>
      </c>
      <c r="D298" s="11" t="str">
        <f>CONCATENATE(B298,RIGHT(C298,2))</f>
        <v>44901.3633564815C1</v>
      </c>
      <c r="E298" s="9">
        <v>6</v>
      </c>
      <c r="F298" s="11" t="e">
        <f>VLOOKUP(D298,'LP-T2 大顆的'!D:E,2)</f>
        <v>#N/A</v>
      </c>
      <c r="G298" s="9" t="s">
        <v>11</v>
      </c>
      <c r="H298" s="11" t="str">
        <f>IF(C298&lt;&gt;B298,IF(AND(E298&gt;=20,E298&lt;35),"warning",IF(AND(E298&gt;=35,E298&lt;=50),"快要 O.O.C 啦",IF(E298&gt;50,"超出規格 O.O.C 啦",""))))</f>
        <v/>
      </c>
      <c r="I298" s="11" t="e">
        <f>IF(C298&lt;&gt;B298,IF(AND(F298&gt;=5,E298&lt;10),"warning",IF(AND(F298&gt;=10,F298&lt;=15),"快要 O.O.C 啦",IF(F298&gt;15,"超出規格 O.O.C 啦",""))))</f>
        <v>#N/A</v>
      </c>
    </row>
    <row r="299" spans="1:9">
      <c r="A299" s="9" t="s">
        <v>15</v>
      </c>
      <c r="B299" s="10">
        <v>44901.331585648149</v>
      </c>
      <c r="C299" s="9" t="s">
        <v>7</v>
      </c>
      <c r="D299" s="11" t="str">
        <f>CONCATENATE(B299,RIGHT(C299,2))</f>
        <v>44901.3315856481C1</v>
      </c>
      <c r="E299" s="9">
        <v>1</v>
      </c>
      <c r="F299" s="11" t="e">
        <f>VLOOKUP(D299,'LP-T2 大顆的'!D:E,2)</f>
        <v>#N/A</v>
      </c>
      <c r="G299" s="9" t="s">
        <v>11</v>
      </c>
      <c r="H299" s="11" t="str">
        <f>IF(C299&lt;&gt;B299,IF(AND(E299&gt;=20,E299&lt;35),"warning",IF(AND(E299&gt;=35,E299&lt;=50),"快要 O.O.C 啦",IF(E299&gt;50,"超出規格 O.O.C 啦",""))))</f>
        <v/>
      </c>
      <c r="I299" s="11" t="e">
        <f>IF(C299&lt;&gt;B299,IF(AND(F299&gt;=5,E299&lt;10),"warning",IF(AND(F299&gt;=10,F299&lt;=15),"快要 O.O.C 啦",IF(F299&gt;15,"超出規格 O.O.C 啦",""))))</f>
        <v>#N/A</v>
      </c>
    </row>
    <row r="300" spans="1:9">
      <c r="A300" s="9" t="s">
        <v>14</v>
      </c>
      <c r="B300" s="10">
        <v>44901.240277777775</v>
      </c>
      <c r="C300" s="9" t="s">
        <v>7</v>
      </c>
      <c r="D300" s="11" t="str">
        <f>CONCATENATE(B300,RIGHT(C300,2))</f>
        <v>44901.2402777778C1</v>
      </c>
      <c r="E300" s="9">
        <v>0</v>
      </c>
      <c r="F300" s="11" t="e">
        <f>VLOOKUP(D300,'LP-T2 大顆的'!D:E,2)</f>
        <v>#N/A</v>
      </c>
      <c r="G300" s="9" t="s">
        <v>11</v>
      </c>
      <c r="H300" s="11" t="str">
        <f>IF(C300&lt;&gt;B300,IF(AND(E300&gt;=20,E300&lt;35),"warning",IF(AND(E300&gt;=35,E300&lt;=50),"快要 O.O.C 啦",IF(E300&gt;50,"超出規格 O.O.C 啦",""))))</f>
        <v/>
      </c>
      <c r="I300" s="11" t="e">
        <f>IF(C300&lt;&gt;B300,IF(AND(F300&gt;=5,E300&lt;10),"warning",IF(AND(F300&gt;=10,F300&lt;=15),"快要 O.O.C 啦",IF(F300&gt;15,"超出規格 O.O.C 啦",""))))</f>
        <v>#N/A</v>
      </c>
    </row>
    <row r="301" spans="1:9">
      <c r="A301" s="9" t="s">
        <v>4</v>
      </c>
      <c r="B301" s="10">
        <v>44901.239224537036</v>
      </c>
      <c r="C301" s="9" t="s">
        <v>7</v>
      </c>
      <c r="D301" s="11" t="str">
        <f>CONCATENATE(B301,RIGHT(C301,2))</f>
        <v>44901.239224537C1</v>
      </c>
      <c r="E301" s="9">
        <v>2</v>
      </c>
      <c r="F301" s="11" t="e">
        <f>VLOOKUP(D301,'LP-T2 大顆的'!D:E,2)</f>
        <v>#N/A</v>
      </c>
      <c r="G301" s="9" t="s">
        <v>11</v>
      </c>
      <c r="H301" s="11" t="str">
        <f>IF(C301&lt;&gt;B301,IF(AND(E301&gt;=20,E301&lt;35),"warning",IF(AND(E301&gt;=35,E301&lt;=50),"快要 O.O.C 啦",IF(E301&gt;50,"超出規格 O.O.C 啦",""))))</f>
        <v/>
      </c>
      <c r="I301" s="11" t="e">
        <f>IF(C301&lt;&gt;B301,IF(AND(F301&gt;=5,E301&lt;10),"warning",IF(AND(F301&gt;=10,F301&lt;=15),"快要 O.O.C 啦",IF(F301&gt;15,"超出規格 O.O.C 啦",""))))</f>
        <v>#N/A</v>
      </c>
    </row>
    <row r="302" spans="1:9">
      <c r="A302" s="9" t="s">
        <v>12</v>
      </c>
      <c r="B302" s="10">
        <v>44901.230231481481</v>
      </c>
      <c r="C302" s="9" t="s">
        <v>7</v>
      </c>
      <c r="D302" s="11" t="str">
        <f>CONCATENATE(B302,RIGHT(C302,2))</f>
        <v>44901.2302314815C1</v>
      </c>
      <c r="E302" s="9">
        <v>0</v>
      </c>
      <c r="F302" s="11" t="e">
        <f>VLOOKUP(D302,'LP-T2 大顆的'!D:E,2)</f>
        <v>#N/A</v>
      </c>
      <c r="G302" s="9" t="s">
        <v>11</v>
      </c>
      <c r="H302" s="11" t="str">
        <f>IF(C302&lt;&gt;B302,IF(AND(E302&gt;=20,E302&lt;35),"warning",IF(AND(E302&gt;=35,E302&lt;=50),"快要 O.O.C 啦",IF(E302&gt;50,"超出規格 O.O.C 啦",""))))</f>
        <v/>
      </c>
      <c r="I302" s="11" t="e">
        <f>IF(C302&lt;&gt;B302,IF(AND(F302&gt;=5,E302&lt;10),"warning",IF(AND(F302&gt;=10,F302&lt;=15),"快要 O.O.C 啦",IF(F302&gt;15,"超出規格 O.O.C 啦",""))))</f>
        <v>#N/A</v>
      </c>
    </row>
    <row r="303" spans="1:9">
      <c r="A303" s="9" t="s">
        <v>13</v>
      </c>
      <c r="B303" s="10">
        <v>44901.222627314812</v>
      </c>
      <c r="C303" s="9" t="s">
        <v>7</v>
      </c>
      <c r="D303" s="11" t="str">
        <f>CONCATENATE(B303,RIGHT(C303,2))</f>
        <v>44901.2226273148C1</v>
      </c>
      <c r="E303" s="9">
        <v>0</v>
      </c>
      <c r="F303" s="11" t="e">
        <f>VLOOKUP(D303,'LP-T2 大顆的'!D:E,2)</f>
        <v>#N/A</v>
      </c>
      <c r="G303" s="9" t="s">
        <v>11</v>
      </c>
      <c r="H303" s="11" t="str">
        <f>IF(C303&lt;&gt;B303,IF(AND(E303&gt;=20,E303&lt;35),"warning",IF(AND(E303&gt;=35,E303&lt;=50),"快要 O.O.C 啦",IF(E303&gt;50,"超出規格 O.O.C 啦",""))))</f>
        <v/>
      </c>
      <c r="I303" s="11" t="e">
        <f>IF(C303&lt;&gt;B303,IF(AND(F303&gt;=5,E303&lt;10),"warning",IF(AND(F303&gt;=10,F303&lt;=15),"快要 O.O.C 啦",IF(F303&gt;15,"超出規格 O.O.C 啦",""))))</f>
        <v>#N/A</v>
      </c>
    </row>
    <row r="304" spans="1:9">
      <c r="A304" s="9" t="s">
        <v>17</v>
      </c>
      <c r="B304" s="10">
        <v>44901.202407407407</v>
      </c>
      <c r="C304" s="9" t="s">
        <v>7</v>
      </c>
      <c r="D304" s="11" t="str">
        <f>CONCATENATE(B304,RIGHT(C304,2))</f>
        <v>44901.2024074074C1</v>
      </c>
      <c r="E304" s="9">
        <v>0</v>
      </c>
      <c r="F304" s="11" t="e">
        <f>VLOOKUP(D304,'LP-T2 大顆的'!D:E,2)</f>
        <v>#N/A</v>
      </c>
      <c r="G304" s="9" t="s">
        <v>11</v>
      </c>
      <c r="H304" s="11" t="str">
        <f>IF(C304&lt;&gt;B304,IF(AND(E304&gt;=20,E304&lt;35),"warning",IF(AND(E304&gt;=35,E304&lt;=50),"快要 O.O.C 啦",IF(E304&gt;50,"超出規格 O.O.C 啦",""))))</f>
        <v/>
      </c>
      <c r="I304" s="11" t="e">
        <f>IF(C304&lt;&gt;B304,IF(AND(F304&gt;=5,E304&lt;10),"warning",IF(AND(F304&gt;=10,F304&lt;=15),"快要 O.O.C 啦",IF(F304&gt;15,"超出規格 O.O.C 啦",""))))</f>
        <v>#N/A</v>
      </c>
    </row>
    <row r="305" spans="1:9">
      <c r="A305" s="9" t="s">
        <v>15</v>
      </c>
      <c r="B305" s="10">
        <v>44901.13758101852</v>
      </c>
      <c r="C305" s="9" t="s">
        <v>5</v>
      </c>
      <c r="D305" s="11" t="str">
        <f>CONCATENATE(B305,RIGHT(C305,2))</f>
        <v>44901.1375810185C6</v>
      </c>
      <c r="E305" s="9">
        <v>0</v>
      </c>
      <c r="F305" s="11" t="e">
        <f>VLOOKUP(D305,'LP-T2 大顆的'!D:E,2)</f>
        <v>#N/A</v>
      </c>
      <c r="G305" s="9" t="s">
        <v>11</v>
      </c>
      <c r="H305" s="11" t="str">
        <f>IF(C305&lt;&gt;B305,IF(AND(E305&gt;=20,E305&lt;35),"warning",IF(AND(E305&gt;=35,E305&lt;=50),"快要 O.O.C 啦",IF(E305&gt;50,"超出規格 O.O.C 啦",""))))</f>
        <v/>
      </c>
      <c r="I305" s="11" t="e">
        <f>IF(C305&lt;&gt;B305,IF(AND(F305&gt;=5,E305&lt;10),"warning",IF(AND(F305&gt;=10,F305&lt;=15),"快要 O.O.C 啦",IF(F305&gt;15,"超出規格 O.O.C 啦",""))))</f>
        <v>#N/A</v>
      </c>
    </row>
    <row r="306" spans="1:9">
      <c r="A306" s="9" t="s">
        <v>15</v>
      </c>
      <c r="B306" s="10">
        <v>44901.13758101852</v>
      </c>
      <c r="C306" s="9" t="s">
        <v>7</v>
      </c>
      <c r="D306" s="11" t="str">
        <f>CONCATENATE(B306,RIGHT(C306,2))</f>
        <v>44901.1375810185C1</v>
      </c>
      <c r="E306" s="9">
        <v>1</v>
      </c>
      <c r="F306" s="11" t="e">
        <f>VLOOKUP(D306,'LP-T2 大顆的'!D:E,2)</f>
        <v>#N/A</v>
      </c>
      <c r="G306" s="9" t="s">
        <v>11</v>
      </c>
      <c r="H306" s="11" t="str">
        <f>IF(C306&lt;&gt;B306,IF(AND(E306&gt;=20,E306&lt;35),"warning",IF(AND(E306&gt;=35,E306&lt;=50),"快要 O.O.C 啦",IF(E306&gt;50,"超出規格 O.O.C 啦",""))))</f>
        <v/>
      </c>
      <c r="I306" s="11" t="e">
        <f>IF(C306&lt;&gt;B306,IF(AND(F306&gt;=5,E306&lt;10),"warning",IF(AND(F306&gt;=10,F306&lt;=15),"快要 O.O.C 啦",IF(F306&gt;15,"超出規格 O.O.C 啦",""))))</f>
        <v>#N/A</v>
      </c>
    </row>
    <row r="307" spans="1:9">
      <c r="A307" s="9" t="s">
        <v>14</v>
      </c>
      <c r="B307" s="10">
        <v>44901.092430555553</v>
      </c>
      <c r="C307" s="9" t="s">
        <v>5</v>
      </c>
      <c r="D307" s="11" t="str">
        <f>CONCATENATE(B307,RIGHT(C307,2))</f>
        <v>44901.0924305556C6</v>
      </c>
      <c r="E307" s="9">
        <v>0</v>
      </c>
      <c r="F307" s="11" t="e">
        <f>VLOOKUP(D307,'LP-T2 大顆的'!D:E,2)</f>
        <v>#N/A</v>
      </c>
      <c r="G307" s="9" t="s">
        <v>11</v>
      </c>
      <c r="H307" s="11" t="str">
        <f>IF(C307&lt;&gt;B307,IF(AND(E307&gt;=20,E307&lt;35),"warning",IF(AND(E307&gt;=35,E307&lt;=50),"快要 O.O.C 啦",IF(E307&gt;50,"超出規格 O.O.C 啦",""))))</f>
        <v/>
      </c>
      <c r="I307" s="11" t="e">
        <f>IF(C307&lt;&gt;B307,IF(AND(F307&gt;=5,E307&lt;10),"warning",IF(AND(F307&gt;=10,F307&lt;=15),"快要 O.O.C 啦",IF(F307&gt;15,"超出規格 O.O.C 啦",""))))</f>
        <v>#N/A</v>
      </c>
    </row>
    <row r="308" spans="1:9">
      <c r="A308" s="9" t="s">
        <v>14</v>
      </c>
      <c r="B308" s="10">
        <v>44901.092430555553</v>
      </c>
      <c r="C308" s="9" t="s">
        <v>7</v>
      </c>
      <c r="D308" s="11" t="str">
        <f>CONCATENATE(B308,RIGHT(C308,2))</f>
        <v>44901.0924305556C1</v>
      </c>
      <c r="E308" s="9">
        <v>0</v>
      </c>
      <c r="F308" s="11" t="e">
        <f>VLOOKUP(D308,'LP-T2 大顆的'!D:E,2)</f>
        <v>#N/A</v>
      </c>
      <c r="G308" s="9" t="s">
        <v>11</v>
      </c>
      <c r="H308" s="11" t="str">
        <f>IF(C308&lt;&gt;B308,IF(AND(E308&gt;=20,E308&lt;35),"warning",IF(AND(E308&gt;=35,E308&lt;=50),"快要 O.O.C 啦",IF(E308&gt;50,"超出規格 O.O.C 啦",""))))</f>
        <v/>
      </c>
      <c r="I308" s="11" t="e">
        <f>IF(C308&lt;&gt;B308,IF(AND(F308&gt;=5,E308&lt;10),"warning",IF(AND(F308&gt;=10,F308&lt;=15),"快要 O.O.C 啦",IF(F308&gt;15,"超出規格 O.O.C 啦",""))))</f>
        <v>#N/A</v>
      </c>
    </row>
    <row r="309" spans="1:9">
      <c r="A309" s="9" t="s">
        <v>4</v>
      </c>
      <c r="B309" s="10">
        <v>44901.077708333331</v>
      </c>
      <c r="C309" s="9" t="s">
        <v>5</v>
      </c>
      <c r="D309" s="11" t="str">
        <f>CONCATENATE(B309,RIGHT(C309,2))</f>
        <v>44901.0777083333C6</v>
      </c>
      <c r="E309" s="9">
        <v>0</v>
      </c>
      <c r="F309" s="11" t="e">
        <f>VLOOKUP(D309,'LP-T2 大顆的'!D:E,2)</f>
        <v>#N/A</v>
      </c>
      <c r="G309" s="9" t="s">
        <v>11</v>
      </c>
      <c r="H309" s="11" t="str">
        <f>IF(C309&lt;&gt;B309,IF(AND(E309&gt;=20,E309&lt;35),"warning",IF(AND(E309&gt;=35,E309&lt;=50),"快要 O.O.C 啦",IF(E309&gt;50,"超出規格 O.O.C 啦",""))))</f>
        <v/>
      </c>
      <c r="I309" s="11" t="e">
        <f>IF(C309&lt;&gt;B309,IF(AND(F309&gt;=5,E309&lt;10),"warning",IF(AND(F309&gt;=10,F309&lt;=15),"快要 O.O.C 啦",IF(F309&gt;15,"超出規格 O.O.C 啦",""))))</f>
        <v>#N/A</v>
      </c>
    </row>
    <row r="310" spans="1:9">
      <c r="A310" s="9" t="s">
        <v>4</v>
      </c>
      <c r="B310" s="10">
        <v>44901.077708333331</v>
      </c>
      <c r="C310" s="9" t="s">
        <v>7</v>
      </c>
      <c r="D310" s="11" t="str">
        <f>CONCATENATE(B310,RIGHT(C310,2))</f>
        <v>44901.0777083333C1</v>
      </c>
      <c r="E310" s="9">
        <v>0</v>
      </c>
      <c r="F310" s="11" t="e">
        <f>VLOOKUP(D310,'LP-T2 大顆的'!D:E,2)</f>
        <v>#N/A</v>
      </c>
      <c r="G310" s="9" t="s">
        <v>11</v>
      </c>
      <c r="H310" s="11" t="str">
        <f>IF(C310&lt;&gt;B310,IF(AND(E310&gt;=20,E310&lt;35),"warning",IF(AND(E310&gt;=35,E310&lt;=50),"快要 O.O.C 啦",IF(E310&gt;50,"超出規格 O.O.C 啦",""))))</f>
        <v/>
      </c>
      <c r="I310" s="11" t="e">
        <f>IF(C310&lt;&gt;B310,IF(AND(F310&gt;=5,E310&lt;10),"warning",IF(AND(F310&gt;=10,F310&lt;=15),"快要 O.O.C 啦",IF(F310&gt;15,"超出規格 O.O.C 啦",""))))</f>
        <v>#N/A</v>
      </c>
    </row>
    <row r="311" spans="1:9">
      <c r="A311" s="9" t="s">
        <v>13</v>
      </c>
      <c r="B311" s="10">
        <v>44901.056481481479</v>
      </c>
      <c r="C311" s="9" t="s">
        <v>5</v>
      </c>
      <c r="D311" s="11" t="str">
        <f>CONCATENATE(B311,RIGHT(C311,2))</f>
        <v>44901.0564814815C6</v>
      </c>
      <c r="E311" s="9">
        <v>0</v>
      </c>
      <c r="F311" s="11" t="e">
        <f>VLOOKUP(D311,'LP-T2 大顆的'!D:E,2)</f>
        <v>#N/A</v>
      </c>
      <c r="G311" s="9" t="s">
        <v>11</v>
      </c>
      <c r="H311" s="11" t="str">
        <f>IF(C311&lt;&gt;B311,IF(AND(E311&gt;=20,E311&lt;35),"warning",IF(AND(E311&gt;=35,E311&lt;=50),"快要 O.O.C 啦",IF(E311&gt;50,"超出規格 O.O.C 啦",""))))</f>
        <v/>
      </c>
      <c r="I311" s="11" t="e">
        <f>IF(C311&lt;&gt;B311,IF(AND(F311&gt;=5,E311&lt;10),"warning",IF(AND(F311&gt;=10,F311&lt;=15),"快要 O.O.C 啦",IF(F311&gt;15,"超出規格 O.O.C 啦",""))))</f>
        <v>#N/A</v>
      </c>
    </row>
    <row r="312" spans="1:9">
      <c r="A312" s="9" t="s">
        <v>13</v>
      </c>
      <c r="B312" s="10">
        <v>44901.056481481479</v>
      </c>
      <c r="C312" s="9" t="s">
        <v>7</v>
      </c>
      <c r="D312" s="11" t="str">
        <f>CONCATENATE(B312,RIGHT(C312,2))</f>
        <v>44901.0564814815C1</v>
      </c>
      <c r="E312" s="9">
        <v>0</v>
      </c>
      <c r="F312" s="11" t="e">
        <f>VLOOKUP(D312,'LP-T2 大顆的'!D:E,2)</f>
        <v>#N/A</v>
      </c>
      <c r="G312" s="9" t="s">
        <v>11</v>
      </c>
      <c r="H312" s="11" t="str">
        <f>IF(C312&lt;&gt;B312,IF(AND(E312&gt;=20,E312&lt;35),"warning",IF(AND(E312&gt;=35,E312&lt;=50),"快要 O.O.C 啦",IF(E312&gt;50,"超出規格 O.O.C 啦",""))))</f>
        <v/>
      </c>
      <c r="I312" s="11" t="e">
        <f>IF(C312&lt;&gt;B312,IF(AND(F312&gt;=5,E312&lt;10),"warning",IF(AND(F312&gt;=10,F312&lt;=15),"快要 O.O.C 啦",IF(F312&gt;15,"超出規格 O.O.C 啦",""))))</f>
        <v>#N/A</v>
      </c>
    </row>
    <row r="313" spans="1:9">
      <c r="A313" s="9" t="s">
        <v>12</v>
      </c>
      <c r="B313" s="10">
        <v>44901.031018518515</v>
      </c>
      <c r="C313" s="9" t="s">
        <v>5</v>
      </c>
      <c r="D313" s="11" t="str">
        <f>CONCATENATE(B313,RIGHT(C313,2))</f>
        <v>44901.0310185185C6</v>
      </c>
      <c r="E313" s="9">
        <v>0</v>
      </c>
      <c r="F313" s="11" t="e">
        <f>VLOOKUP(D313,'LP-T2 大顆的'!D:E,2)</f>
        <v>#N/A</v>
      </c>
      <c r="G313" s="9" t="s">
        <v>11</v>
      </c>
      <c r="H313" s="11" t="str">
        <f>IF(C313&lt;&gt;B313,IF(AND(E313&gt;=20,E313&lt;35),"warning",IF(AND(E313&gt;=35,E313&lt;=50),"快要 O.O.C 啦",IF(E313&gt;50,"超出規格 O.O.C 啦",""))))</f>
        <v/>
      </c>
      <c r="I313" s="11" t="e">
        <f>IF(C313&lt;&gt;B313,IF(AND(F313&gt;=5,E313&lt;10),"warning",IF(AND(F313&gt;=10,F313&lt;=15),"快要 O.O.C 啦",IF(F313&gt;15,"超出規格 O.O.C 啦",""))))</f>
        <v>#N/A</v>
      </c>
    </row>
    <row r="314" spans="1:9">
      <c r="A314" s="9" t="s">
        <v>12</v>
      </c>
      <c r="B314" s="10">
        <v>44901.031018518515</v>
      </c>
      <c r="C314" s="9" t="s">
        <v>7</v>
      </c>
      <c r="D314" s="11" t="str">
        <f>CONCATENATE(B314,RIGHT(C314,2))</f>
        <v>44901.0310185185C1</v>
      </c>
      <c r="E314" s="9">
        <v>0</v>
      </c>
      <c r="F314" s="11" t="e">
        <f>VLOOKUP(D314,'LP-T2 大顆的'!D:E,2)</f>
        <v>#N/A</v>
      </c>
      <c r="G314" s="9" t="s">
        <v>11</v>
      </c>
      <c r="H314" s="11" t="str">
        <f>IF(C314&lt;&gt;B314,IF(AND(E314&gt;=20,E314&lt;35),"warning",IF(AND(E314&gt;=35,E314&lt;=50),"快要 O.O.C 啦",IF(E314&gt;50,"超出規格 O.O.C 啦",""))))</f>
        <v/>
      </c>
      <c r="I314" s="11" t="e">
        <f>IF(C314&lt;&gt;B314,IF(AND(F314&gt;=5,E314&lt;10),"warning",IF(AND(F314&gt;=10,F314&lt;=15),"快要 O.O.C 啦",IF(F314&gt;15,"超出規格 O.O.C 啦",""))))</f>
        <v>#N/A</v>
      </c>
    </row>
    <row r="315" spans="1:9">
      <c r="A315" s="9" t="s">
        <v>17</v>
      </c>
      <c r="B315" s="10">
        <v>44901.009432870371</v>
      </c>
      <c r="C315" s="9" t="s">
        <v>5</v>
      </c>
      <c r="D315" s="11" t="str">
        <f>CONCATENATE(B315,RIGHT(C315,2))</f>
        <v>44901.0094328704C6</v>
      </c>
      <c r="E315" s="9">
        <v>4</v>
      </c>
      <c r="F315" s="11" t="e">
        <f>VLOOKUP(D315,'LP-T2 大顆的'!D:E,2)</f>
        <v>#N/A</v>
      </c>
      <c r="G315" s="9" t="s">
        <v>11</v>
      </c>
      <c r="H315" s="11" t="str">
        <f>IF(C315&lt;&gt;B315,IF(AND(E315&gt;=20,E315&lt;35),"warning",IF(AND(E315&gt;=35,E315&lt;=50),"快要 O.O.C 啦",IF(E315&gt;50,"超出規格 O.O.C 啦",""))))</f>
        <v/>
      </c>
      <c r="I315" s="11" t="e">
        <f>IF(C315&lt;&gt;B315,IF(AND(F315&gt;=5,E315&lt;10),"warning",IF(AND(F315&gt;=10,F315&lt;=15),"快要 O.O.C 啦",IF(F315&gt;15,"超出規格 O.O.C 啦",""))))</f>
        <v>#N/A</v>
      </c>
    </row>
    <row r="316" spans="1:9">
      <c r="A316" s="9" t="s">
        <v>17</v>
      </c>
      <c r="B316" s="10">
        <v>44901.009432870371</v>
      </c>
      <c r="C316" s="9" t="s">
        <v>7</v>
      </c>
      <c r="D316" s="11" t="str">
        <f>CONCATENATE(B316,RIGHT(C316,2))</f>
        <v>44901.0094328704C1</v>
      </c>
      <c r="E316" s="9">
        <v>5</v>
      </c>
      <c r="F316" s="11" t="e">
        <f>VLOOKUP(D316,'LP-T2 大顆的'!D:E,2)</f>
        <v>#N/A</v>
      </c>
      <c r="G316" s="9" t="s">
        <v>11</v>
      </c>
      <c r="H316" s="11" t="str">
        <f>IF(C316&lt;&gt;B316,IF(AND(E316&gt;=20,E316&lt;35),"warning",IF(AND(E316&gt;=35,E316&lt;=50),"快要 O.O.C 啦",IF(E316&gt;50,"超出規格 O.O.C 啦",""))))</f>
        <v/>
      </c>
      <c r="I316" s="11" t="e">
        <f>IF(C316&lt;&gt;B316,IF(AND(F316&gt;=5,E316&lt;10),"warning",IF(AND(F316&gt;=10,F316&lt;=15),"快要 O.O.C 啦",IF(F316&gt;15,"超出規格 O.O.C 啦",""))))</f>
        <v>#N/A</v>
      </c>
    </row>
    <row r="317" spans="1:9">
      <c r="A317" s="9" t="s">
        <v>15</v>
      </c>
      <c r="B317" s="10">
        <v>44900.998738425929</v>
      </c>
      <c r="C317" s="9" t="s">
        <v>5</v>
      </c>
      <c r="D317" s="11" t="str">
        <f>CONCATENATE(B317,RIGHT(C317,2))</f>
        <v>44900.9987384259C6</v>
      </c>
      <c r="E317" s="9">
        <v>1</v>
      </c>
      <c r="F317" s="11" t="e">
        <f>VLOOKUP(D317,'LP-T2 大顆的'!D:E,2)</f>
        <v>#N/A</v>
      </c>
      <c r="G317" s="9" t="s">
        <v>11</v>
      </c>
      <c r="H317" s="11" t="str">
        <f>IF(C317&lt;&gt;B317,IF(AND(E317&gt;=20,E317&lt;35),"warning",IF(AND(E317&gt;=35,E317&lt;=50),"快要 O.O.C 啦",IF(E317&gt;50,"超出規格 O.O.C 啦",""))))</f>
        <v/>
      </c>
      <c r="I317" s="11" t="e">
        <f>IF(C317&lt;&gt;B317,IF(AND(F317&gt;=5,E317&lt;10),"warning",IF(AND(F317&gt;=10,F317&lt;=15),"快要 O.O.C 啦",IF(F317&gt;15,"超出規格 O.O.C 啦",""))))</f>
        <v>#N/A</v>
      </c>
    </row>
    <row r="318" spans="1:9">
      <c r="A318" s="9" t="s">
        <v>15</v>
      </c>
      <c r="B318" s="10">
        <v>44900.998738425929</v>
      </c>
      <c r="C318" s="9" t="s">
        <v>7</v>
      </c>
      <c r="D318" s="11" t="str">
        <f>CONCATENATE(B318,RIGHT(C318,2))</f>
        <v>44900.9987384259C1</v>
      </c>
      <c r="E318" s="9">
        <v>0</v>
      </c>
      <c r="F318" s="11" t="e">
        <f>VLOOKUP(D318,'LP-T2 大顆的'!D:E,2)</f>
        <v>#N/A</v>
      </c>
      <c r="G318" s="9" t="s">
        <v>11</v>
      </c>
      <c r="H318" s="11" t="str">
        <f>IF(C318&lt;&gt;B318,IF(AND(E318&gt;=20,E318&lt;35),"warning",IF(AND(E318&gt;=35,E318&lt;=50),"快要 O.O.C 啦",IF(E318&gt;50,"超出規格 O.O.C 啦",""))))</f>
        <v/>
      </c>
      <c r="I318" s="11" t="e">
        <f>IF(C318&lt;&gt;B318,IF(AND(F318&gt;=5,E318&lt;10),"warning",IF(AND(F318&gt;=10,F318&lt;=15),"快要 O.O.C 啦",IF(F318&gt;15,"超出規格 O.O.C 啦",""))))</f>
        <v>#N/A</v>
      </c>
    </row>
    <row r="319" spans="1:9">
      <c r="A319" s="9" t="s">
        <v>14</v>
      </c>
      <c r="B319" s="10">
        <v>44900.931585648148</v>
      </c>
      <c r="C319" s="9" t="s">
        <v>6</v>
      </c>
      <c r="D319" s="11" t="str">
        <f>CONCATENATE(B319,RIGHT(C319,2))</f>
        <v>44900.9315856481C4</v>
      </c>
      <c r="E319" s="9">
        <v>1</v>
      </c>
      <c r="F319" s="11" t="e">
        <f>VLOOKUP(D319,'LP-T2 大顆的'!D:E,2)</f>
        <v>#N/A</v>
      </c>
      <c r="G319" s="9" t="s">
        <v>11</v>
      </c>
      <c r="H319" s="11" t="str">
        <f>IF(C319&lt;&gt;B319,IF(AND(E319&gt;=20,E319&lt;35),"warning",IF(AND(E319&gt;=35,E319&lt;=50),"快要 O.O.C 啦",IF(E319&gt;50,"超出規格 O.O.C 啦",""))))</f>
        <v/>
      </c>
      <c r="I319" s="11" t="e">
        <f>IF(C319&lt;&gt;B319,IF(AND(F319&gt;=5,E319&lt;10),"warning",IF(AND(F319&gt;=10,F319&lt;=15),"快要 O.O.C 啦",IF(F319&gt;15,"超出規格 O.O.C 啦",""))))</f>
        <v>#N/A</v>
      </c>
    </row>
    <row r="320" spans="1:9">
      <c r="A320" s="9" t="s">
        <v>14</v>
      </c>
      <c r="B320" s="10">
        <v>44900.931585648148</v>
      </c>
      <c r="C320" s="9" t="s">
        <v>7</v>
      </c>
      <c r="D320" s="11" t="str">
        <f>CONCATENATE(B320,RIGHT(C320,2))</f>
        <v>44900.9315856481C1</v>
      </c>
      <c r="E320" s="9">
        <v>0</v>
      </c>
      <c r="F320" s="11" t="e">
        <f>VLOOKUP(D320,'LP-T2 大顆的'!D:E,2)</f>
        <v>#N/A</v>
      </c>
      <c r="G320" s="9" t="s">
        <v>11</v>
      </c>
      <c r="H320" s="11" t="str">
        <f>IF(C320&lt;&gt;B320,IF(AND(E320&gt;=20,E320&lt;35),"warning",IF(AND(E320&gt;=35,E320&lt;=50),"快要 O.O.C 啦",IF(E320&gt;50,"超出規格 O.O.C 啦",""))))</f>
        <v/>
      </c>
      <c r="I320" s="11" t="e">
        <f>IF(C320&lt;&gt;B320,IF(AND(F320&gt;=5,E320&lt;10),"warning",IF(AND(F320&gt;=10,F320&lt;=15),"快要 O.O.C 啦",IF(F320&gt;15,"超出規格 O.O.C 啦",""))))</f>
        <v>#N/A</v>
      </c>
    </row>
    <row r="321" spans="1:9">
      <c r="A321" s="9" t="s">
        <v>4</v>
      </c>
      <c r="B321" s="10">
        <v>44900.919259259259</v>
      </c>
      <c r="C321" s="9" t="s">
        <v>5</v>
      </c>
      <c r="D321" s="11" t="str">
        <f>CONCATENATE(B321,RIGHT(C321,2))</f>
        <v>44900.9192592593C6</v>
      </c>
      <c r="E321" s="9">
        <v>5</v>
      </c>
      <c r="F321" s="11" t="e">
        <f>VLOOKUP(D321,'LP-T2 大顆的'!D:E,2)</f>
        <v>#N/A</v>
      </c>
      <c r="G321" s="9" t="s">
        <v>11</v>
      </c>
      <c r="H321" s="11" t="str">
        <f>IF(C321&lt;&gt;B321,IF(AND(E321&gt;=20,E321&lt;35),"warning",IF(AND(E321&gt;=35,E321&lt;=50),"快要 O.O.C 啦",IF(E321&gt;50,"超出規格 O.O.C 啦",""))))</f>
        <v/>
      </c>
      <c r="I321" s="11" t="e">
        <f>IF(C321&lt;&gt;B321,IF(AND(F321&gt;=5,E321&lt;10),"warning",IF(AND(F321&gt;=10,F321&lt;=15),"快要 O.O.C 啦",IF(F321&gt;15,"超出規格 O.O.C 啦",""))))</f>
        <v>#N/A</v>
      </c>
    </row>
    <row r="322" spans="1:9">
      <c r="A322" s="9" t="s">
        <v>4</v>
      </c>
      <c r="B322" s="10">
        <v>44900.919259259259</v>
      </c>
      <c r="C322" s="9" t="s">
        <v>7</v>
      </c>
      <c r="D322" s="11" t="str">
        <f>CONCATENATE(B322,RIGHT(C322,2))</f>
        <v>44900.9192592593C1</v>
      </c>
      <c r="E322" s="9">
        <v>0</v>
      </c>
      <c r="F322" s="11" t="e">
        <f>VLOOKUP(D322,'LP-T2 大顆的'!D:E,2)</f>
        <v>#N/A</v>
      </c>
      <c r="G322" s="9" t="s">
        <v>11</v>
      </c>
      <c r="H322" s="11" t="str">
        <f>IF(C322&lt;&gt;B322,IF(AND(E322&gt;=20,E322&lt;35),"warning",IF(AND(E322&gt;=35,E322&lt;=50),"快要 O.O.C 啦",IF(E322&gt;50,"超出規格 O.O.C 啦",""))))</f>
        <v/>
      </c>
      <c r="I322" s="11" t="e">
        <f>IF(C322&lt;&gt;B322,IF(AND(F322&gt;=5,E322&lt;10),"warning",IF(AND(F322&gt;=10,F322&lt;=15),"快要 O.O.C 啦",IF(F322&gt;15,"超出規格 O.O.C 啦",""))))</f>
        <v>#N/A</v>
      </c>
    </row>
    <row r="323" spans="1:9">
      <c r="A323" s="9" t="s">
        <v>13</v>
      </c>
      <c r="B323" s="10">
        <v>44900.912199074075</v>
      </c>
      <c r="C323" s="9" t="s">
        <v>5</v>
      </c>
      <c r="D323" s="11" t="str">
        <f>CONCATENATE(B323,RIGHT(C323,2))</f>
        <v>44900.9121990741C6</v>
      </c>
      <c r="E323" s="9">
        <v>2</v>
      </c>
      <c r="F323" s="11" t="e">
        <f>VLOOKUP(D323,'LP-T2 大顆的'!D:E,2)</f>
        <v>#N/A</v>
      </c>
      <c r="G323" s="9" t="s">
        <v>11</v>
      </c>
      <c r="H323" s="11" t="str">
        <f>IF(C323&lt;&gt;B323,IF(AND(E323&gt;=20,E323&lt;35),"warning",IF(AND(E323&gt;=35,E323&lt;=50),"快要 O.O.C 啦",IF(E323&gt;50,"超出規格 O.O.C 啦",""))))</f>
        <v/>
      </c>
      <c r="I323" s="11" t="e">
        <f>IF(C323&lt;&gt;B323,IF(AND(F323&gt;=5,E323&lt;10),"warning",IF(AND(F323&gt;=10,F323&lt;=15),"快要 O.O.C 啦",IF(F323&gt;15,"超出規格 O.O.C 啦",""))))</f>
        <v>#N/A</v>
      </c>
    </row>
    <row r="324" spans="1:9">
      <c r="A324" s="9" t="s">
        <v>13</v>
      </c>
      <c r="B324" s="10">
        <v>44900.912199074075</v>
      </c>
      <c r="C324" s="9" t="s">
        <v>7</v>
      </c>
      <c r="D324" s="11" t="str">
        <f>CONCATENATE(B324,RIGHT(C324,2))</f>
        <v>44900.9121990741C1</v>
      </c>
      <c r="E324" s="9">
        <v>2</v>
      </c>
      <c r="F324" s="11" t="e">
        <f>VLOOKUP(D324,'LP-T2 大顆的'!D:E,2)</f>
        <v>#N/A</v>
      </c>
      <c r="G324" s="9" t="s">
        <v>11</v>
      </c>
      <c r="H324" s="11" t="str">
        <f>IF(C324&lt;&gt;B324,IF(AND(E324&gt;=20,E324&lt;35),"warning",IF(AND(E324&gt;=35,E324&lt;=50),"快要 O.O.C 啦",IF(E324&gt;50,"超出規格 O.O.C 啦",""))))</f>
        <v/>
      </c>
      <c r="I324" s="11" t="e">
        <f>IF(C324&lt;&gt;B324,IF(AND(F324&gt;=5,E324&lt;10),"warning",IF(AND(F324&gt;=10,F324&lt;=15),"快要 O.O.C 啦",IF(F324&gt;15,"超出規格 O.O.C 啦",""))))</f>
        <v>#N/A</v>
      </c>
    </row>
    <row r="325" spans="1:9">
      <c r="A325" s="9" t="s">
        <v>12</v>
      </c>
      <c r="B325" s="10">
        <v>44900.830925925926</v>
      </c>
      <c r="C325" s="9" t="s">
        <v>6</v>
      </c>
      <c r="D325" s="11" t="str">
        <f>CONCATENATE(B325,RIGHT(C325,2))</f>
        <v>44900.8309259259C4</v>
      </c>
      <c r="E325" s="9">
        <v>1</v>
      </c>
      <c r="F325" s="11" t="e">
        <f>VLOOKUP(D325,'LP-T2 大顆的'!D:E,2)</f>
        <v>#N/A</v>
      </c>
      <c r="G325" s="9" t="s">
        <v>11</v>
      </c>
      <c r="H325" s="11" t="str">
        <f>IF(C325&lt;&gt;B325,IF(AND(E325&gt;=20,E325&lt;35),"warning",IF(AND(E325&gt;=35,E325&lt;=50),"快要 O.O.C 啦",IF(E325&gt;50,"超出規格 O.O.C 啦",""))))</f>
        <v/>
      </c>
      <c r="I325" s="11" t="e">
        <f>IF(C325&lt;&gt;B325,IF(AND(F325&gt;=5,E325&lt;10),"warning",IF(AND(F325&gt;=10,F325&lt;=15),"快要 O.O.C 啦",IF(F325&gt;15,"超出規格 O.O.C 啦",""))))</f>
        <v>#N/A</v>
      </c>
    </row>
    <row r="326" spans="1:9">
      <c r="A326" s="9" t="s">
        <v>15</v>
      </c>
      <c r="B326" s="10">
        <v>44900.818692129629</v>
      </c>
      <c r="C326" s="9" t="s">
        <v>6</v>
      </c>
      <c r="D326" s="11" t="str">
        <f>CONCATENATE(B326,RIGHT(C326,2))</f>
        <v>44900.8186921296C4</v>
      </c>
      <c r="E326" s="9">
        <v>0</v>
      </c>
      <c r="F326" s="11" t="e">
        <f>VLOOKUP(D326,'LP-T2 大顆的'!D:E,2)</f>
        <v>#N/A</v>
      </c>
      <c r="G326" s="9" t="s">
        <v>11</v>
      </c>
      <c r="H326" s="11" t="str">
        <f>IF(C326&lt;&gt;B326,IF(AND(E326&gt;=20,E326&lt;35),"warning",IF(AND(E326&gt;=35,E326&lt;=50),"快要 O.O.C 啦",IF(E326&gt;50,"超出規格 O.O.C 啦",""))))</f>
        <v/>
      </c>
      <c r="I326" s="11" t="e">
        <f>IF(C326&lt;&gt;B326,IF(AND(F326&gt;=5,E326&lt;10),"warning",IF(AND(F326&gt;=10,F326&lt;=15),"快要 O.O.C 啦",IF(F326&gt;15,"超出規格 O.O.C 啦",""))))</f>
        <v>#N/A</v>
      </c>
    </row>
    <row r="327" spans="1:9">
      <c r="A327" s="9" t="s">
        <v>14</v>
      </c>
      <c r="B327" s="10">
        <v>44900.780740740738</v>
      </c>
      <c r="C327" s="9" t="s">
        <v>6</v>
      </c>
      <c r="D327" s="11" t="str">
        <f>CONCATENATE(B327,RIGHT(C327,2))</f>
        <v>44900.7807407407C4</v>
      </c>
      <c r="E327" s="9">
        <v>1</v>
      </c>
      <c r="F327" s="11" t="e">
        <f>VLOOKUP(D327,'LP-T2 大顆的'!D:E,2)</f>
        <v>#N/A</v>
      </c>
      <c r="G327" s="9" t="s">
        <v>11</v>
      </c>
      <c r="H327" s="11" t="str">
        <f>IF(C327&lt;&gt;B327,IF(AND(E327&gt;=20,E327&lt;35),"warning",IF(AND(E327&gt;=35,E327&lt;=50),"快要 O.O.C 啦",IF(E327&gt;50,"超出規格 O.O.C 啦",""))))</f>
        <v/>
      </c>
      <c r="I327" s="11" t="e">
        <f>IF(C327&lt;&gt;B327,IF(AND(F327&gt;=5,E327&lt;10),"warning",IF(AND(F327&gt;=10,F327&lt;=15),"快要 O.O.C 啦",IF(F327&gt;15,"超出規格 O.O.C 啦",""))))</f>
        <v>#N/A</v>
      </c>
    </row>
    <row r="328" spans="1:9">
      <c r="A328" s="9" t="s">
        <v>16</v>
      </c>
      <c r="B328" s="10">
        <v>44900.769687499997</v>
      </c>
      <c r="C328" s="9" t="s">
        <v>6</v>
      </c>
      <c r="D328" s="11" t="str">
        <f>CONCATENATE(B328,RIGHT(C328,2))</f>
        <v>44900.7696875C4</v>
      </c>
      <c r="E328" s="9">
        <v>3</v>
      </c>
      <c r="F328" s="11" t="e">
        <f>VLOOKUP(D328,'LP-T2 大顆的'!D:E,2)</f>
        <v>#N/A</v>
      </c>
      <c r="G328" s="9" t="s">
        <v>11</v>
      </c>
      <c r="H328" s="11" t="str">
        <f>IF(C328&lt;&gt;B328,IF(AND(E328&gt;=20,E328&lt;35),"warning",IF(AND(E328&gt;=35,E328&lt;=50),"快要 O.O.C 啦",IF(E328&gt;50,"超出規格 O.O.C 啦",""))))</f>
        <v/>
      </c>
      <c r="I328" s="11" t="e">
        <f>IF(C328&lt;&gt;B328,IF(AND(F328&gt;=5,E328&lt;10),"warning",IF(AND(F328&gt;=10,F328&lt;=15),"快要 O.O.C 啦",IF(F328&gt;15,"超出規格 O.O.C 啦",""))))</f>
        <v>#N/A</v>
      </c>
    </row>
    <row r="329" spans="1:9">
      <c r="A329" s="9" t="s">
        <v>17</v>
      </c>
      <c r="B329" s="10">
        <v>44900.75708333333</v>
      </c>
      <c r="C329" s="9" t="s">
        <v>6</v>
      </c>
      <c r="D329" s="11" t="str">
        <f>CONCATENATE(B329,RIGHT(C329,2))</f>
        <v>44900.7570833333C4</v>
      </c>
      <c r="E329" s="9">
        <v>0</v>
      </c>
      <c r="F329" s="11" t="e">
        <f>VLOOKUP(D329,'LP-T2 大顆的'!D:E,2)</f>
        <v>#N/A</v>
      </c>
      <c r="G329" s="9" t="s">
        <v>11</v>
      </c>
      <c r="H329" s="11" t="str">
        <f>IF(C329&lt;&gt;B329,IF(AND(E329&gt;=20,E329&lt;35),"warning",IF(AND(E329&gt;=35,E329&lt;=50),"快要 O.O.C 啦",IF(E329&gt;50,"超出規格 O.O.C 啦",""))))</f>
        <v/>
      </c>
      <c r="I329" s="11" t="e">
        <f>IF(C329&lt;&gt;B329,IF(AND(F329&gt;=5,E329&lt;10),"warning",IF(AND(F329&gt;=10,F329&lt;=15),"快要 O.O.C 啦",IF(F329&gt;15,"超出規格 O.O.C 啦",""))))</f>
        <v>#N/A</v>
      </c>
    </row>
    <row r="330" spans="1:9">
      <c r="A330" s="9" t="s">
        <v>4</v>
      </c>
      <c r="B330" s="10">
        <v>44900.721284722225</v>
      </c>
      <c r="C330" s="9" t="s">
        <v>6</v>
      </c>
      <c r="D330" s="11" t="str">
        <f>CONCATENATE(B330,RIGHT(C330,2))</f>
        <v>44900.7212847222C4</v>
      </c>
      <c r="E330" s="9">
        <v>0</v>
      </c>
      <c r="F330" s="11" t="e">
        <f>VLOOKUP(D330,'LP-T2 大顆的'!D:E,2)</f>
        <v>#N/A</v>
      </c>
      <c r="G330" s="9" t="s">
        <v>11</v>
      </c>
      <c r="H330" s="11" t="str">
        <f>IF(C330&lt;&gt;B330,IF(AND(E330&gt;=20,E330&lt;35),"warning",IF(AND(E330&gt;=35,E330&lt;=50),"快要 O.O.C 啦",IF(E330&gt;50,"超出規格 O.O.C 啦",""))))</f>
        <v/>
      </c>
      <c r="I330" s="11" t="e">
        <f>IF(C330&lt;&gt;B330,IF(AND(F330&gt;=5,E330&lt;10),"warning",IF(AND(F330&gt;=10,F330&lt;=15),"快要 O.O.C 啦",IF(F330&gt;15,"超出規格 O.O.C 啦",""))))</f>
        <v>#N/A</v>
      </c>
    </row>
    <row r="331" spans="1:9">
      <c r="A331" s="9" t="s">
        <v>13</v>
      </c>
      <c r="B331" s="10">
        <v>44900.699965277781</v>
      </c>
      <c r="C331" s="9" t="s">
        <v>6</v>
      </c>
      <c r="D331" s="11" t="str">
        <f>CONCATENATE(B331,RIGHT(C331,2))</f>
        <v>44900.6999652778C4</v>
      </c>
      <c r="E331" s="9">
        <v>1</v>
      </c>
      <c r="F331" s="11" t="e">
        <f>VLOOKUP(D331,'LP-T2 大顆的'!D:E,2)</f>
        <v>#N/A</v>
      </c>
      <c r="G331" s="9" t="s">
        <v>11</v>
      </c>
      <c r="H331" s="11" t="str">
        <f>IF(C331&lt;&gt;B331,IF(AND(E331&gt;=20,E331&lt;35),"warning",IF(AND(E331&gt;=35,E331&lt;=50),"快要 O.O.C 啦",IF(E331&gt;50,"超出規格 O.O.C 啦",""))))</f>
        <v/>
      </c>
      <c r="I331" s="11" t="e">
        <f>IF(C331&lt;&gt;B331,IF(AND(F331&gt;=5,E331&lt;10),"warning",IF(AND(F331&gt;=10,F331&lt;=15),"快要 O.O.C 啦",IF(F331&gt;15,"超出規格 O.O.C 啦",""))))</f>
        <v>#N/A</v>
      </c>
    </row>
    <row r="332" spans="1:9">
      <c r="A332" s="9" t="s">
        <v>12</v>
      </c>
      <c r="B332" s="10">
        <v>44900.616249999999</v>
      </c>
      <c r="C332" s="9" t="s">
        <v>6</v>
      </c>
      <c r="D332" s="11" t="str">
        <f>CONCATENATE(B332,RIGHT(C332,2))</f>
        <v>44900.61625C4</v>
      </c>
      <c r="E332" s="9">
        <v>1</v>
      </c>
      <c r="F332" s="11" t="e">
        <f>VLOOKUP(D332,'LP-T2 大顆的'!D:E,2)</f>
        <v>#N/A</v>
      </c>
      <c r="G332" s="9" t="s">
        <v>11</v>
      </c>
      <c r="H332" s="11" t="str">
        <f>IF(C332&lt;&gt;B332,IF(AND(E332&gt;=20,E332&lt;35),"warning",IF(AND(E332&gt;=35,E332&lt;=50),"快要 O.O.C 啦",IF(E332&gt;50,"超出規格 O.O.C 啦",""))))</f>
        <v/>
      </c>
      <c r="I332" s="11" t="e">
        <f>IF(C332&lt;&gt;B332,IF(AND(F332&gt;=5,E332&lt;10),"warning",IF(AND(F332&gt;=10,F332&lt;=15),"快要 O.O.C 啦",IF(F332&gt;15,"超出規格 O.O.C 啦",""))))</f>
        <v>#N/A</v>
      </c>
    </row>
    <row r="333" spans="1:9">
      <c r="A333" s="9" t="s">
        <v>14</v>
      </c>
      <c r="B333" s="10">
        <v>44900.59851851852</v>
      </c>
      <c r="C333" s="9" t="s">
        <v>6</v>
      </c>
      <c r="D333" s="11" t="str">
        <f>CONCATENATE(B333,RIGHT(C333,2))</f>
        <v>44900.5985185185C4</v>
      </c>
      <c r="E333" s="9">
        <v>2</v>
      </c>
      <c r="F333" s="11" t="e">
        <f>VLOOKUP(D333,'LP-T2 大顆的'!D:E,2)</f>
        <v>#N/A</v>
      </c>
      <c r="G333" s="9" t="s">
        <v>11</v>
      </c>
      <c r="H333" s="11" t="str">
        <f>IF(C333&lt;&gt;B333,IF(AND(E333&gt;=20,E333&lt;35),"warning",IF(AND(E333&gt;=35,E333&lt;=50),"快要 O.O.C 啦",IF(E333&gt;50,"超出規格 O.O.C 啦",""))))</f>
        <v/>
      </c>
      <c r="I333" s="11" t="e">
        <f>IF(C333&lt;&gt;B333,IF(AND(F333&gt;=5,E333&lt;10),"warning",IF(AND(F333&gt;=10,F333&lt;=15),"快要 O.O.C 啦",IF(F333&gt;15,"超出規格 O.O.C 啦",""))))</f>
        <v>#N/A</v>
      </c>
    </row>
    <row r="334" spans="1:9">
      <c r="A334" s="9" t="s">
        <v>13</v>
      </c>
      <c r="B334" s="10">
        <v>44900.558888888889</v>
      </c>
      <c r="C334" s="9" t="s">
        <v>6</v>
      </c>
      <c r="D334" s="11" t="str">
        <f>CONCATENATE(B334,RIGHT(C334,2))</f>
        <v>44900.5588888889C4</v>
      </c>
      <c r="E334" s="9">
        <v>0</v>
      </c>
      <c r="F334" s="11" t="e">
        <f>VLOOKUP(D334,'LP-T2 大顆的'!D:E,2)</f>
        <v>#N/A</v>
      </c>
      <c r="G334" s="9" t="s">
        <v>11</v>
      </c>
      <c r="H334" s="11" t="str">
        <f>IF(C334&lt;&gt;B334,IF(AND(E334&gt;=20,E334&lt;35),"warning",IF(AND(E334&gt;=35,E334&lt;=50),"快要 O.O.C 啦",IF(E334&gt;50,"超出規格 O.O.C 啦",""))))</f>
        <v/>
      </c>
      <c r="I334" s="11" t="e">
        <f>IF(C334&lt;&gt;B334,IF(AND(F334&gt;=5,E334&lt;10),"warning",IF(AND(F334&gt;=10,F334&lt;=15),"快要 O.O.C 啦",IF(F334&gt;15,"超出規格 O.O.C 啦",""))))</f>
        <v>#N/A</v>
      </c>
    </row>
    <row r="335" spans="1:9">
      <c r="A335" s="9" t="s">
        <v>17</v>
      </c>
      <c r="B335" s="10">
        <v>44900.525497685187</v>
      </c>
      <c r="C335" s="9" t="s">
        <v>7</v>
      </c>
      <c r="D335" s="11" t="str">
        <f>CONCATENATE(B335,RIGHT(C335,2))</f>
        <v>44900.5254976851C1</v>
      </c>
      <c r="E335" s="9">
        <v>4</v>
      </c>
      <c r="F335" s="11" t="e">
        <f>VLOOKUP(D335,'LP-T2 大顆的'!D:E,2)</f>
        <v>#N/A</v>
      </c>
      <c r="G335" s="9" t="s">
        <v>11</v>
      </c>
      <c r="H335" s="11" t="str">
        <f>IF(C335&lt;&gt;B335,IF(AND(E335&gt;=20,E335&lt;35),"warning",IF(AND(E335&gt;=35,E335&lt;=50),"快要 O.O.C 啦",IF(E335&gt;50,"超出規格 O.O.C 啦",""))))</f>
        <v/>
      </c>
      <c r="I335" s="11" t="e">
        <f>IF(C335&lt;&gt;B335,IF(AND(F335&gt;=5,E335&lt;10),"warning",IF(AND(F335&gt;=10,F335&lt;=15),"快要 O.O.C 啦",IF(F335&gt;15,"超出規格 O.O.C 啦",""))))</f>
        <v>#N/A</v>
      </c>
    </row>
    <row r="336" spans="1:9">
      <c r="A336" s="9" t="s">
        <v>4</v>
      </c>
      <c r="B336" s="10">
        <v>44900.511354166665</v>
      </c>
      <c r="C336" s="9" t="s">
        <v>7</v>
      </c>
      <c r="D336" s="11" t="str">
        <f>CONCATENATE(B336,RIGHT(C336,2))</f>
        <v>44900.5113541667C1</v>
      </c>
      <c r="E336" s="9">
        <v>1</v>
      </c>
      <c r="F336" s="11" t="e">
        <f>VLOOKUP(D336,'LP-T2 大顆的'!D:E,2)</f>
        <v>#N/A</v>
      </c>
      <c r="G336" s="9" t="s">
        <v>11</v>
      </c>
      <c r="H336" s="11" t="str">
        <f>IF(C336&lt;&gt;B336,IF(AND(E336&gt;=20,E336&lt;35),"warning",IF(AND(E336&gt;=35,E336&lt;=50),"快要 O.O.C 啦",IF(E336&gt;50,"超出規格 O.O.C 啦",""))))</f>
        <v/>
      </c>
      <c r="I336" s="11" t="e">
        <f>IF(C336&lt;&gt;B336,IF(AND(F336&gt;=5,E336&lt;10),"warning",IF(AND(F336&gt;=10,F336&lt;=15),"快要 O.O.C 啦",IF(F336&gt;15,"超出規格 O.O.C 啦",""))))</f>
        <v>#N/A</v>
      </c>
    </row>
    <row r="337" spans="1:9">
      <c r="A337" s="9" t="s">
        <v>16</v>
      </c>
      <c r="B337" s="10">
        <v>44900.504212962966</v>
      </c>
      <c r="C337" s="9" t="s">
        <v>7</v>
      </c>
      <c r="D337" s="11" t="str">
        <f>CONCATENATE(B337,RIGHT(C337,2))</f>
        <v>44900.504212963C1</v>
      </c>
      <c r="E337" s="9">
        <v>0</v>
      </c>
      <c r="F337" s="11" t="e">
        <f>VLOOKUP(D337,'LP-T2 大顆的'!D:E,2)</f>
        <v>#N/A</v>
      </c>
      <c r="G337" s="9" t="s">
        <v>11</v>
      </c>
      <c r="H337" s="11" t="str">
        <f>IF(C337&lt;&gt;B337,IF(AND(E337&gt;=20,E337&lt;35),"warning",IF(AND(E337&gt;=35,E337&lt;=50),"快要 O.O.C 啦",IF(E337&gt;50,"超出規格 O.O.C 啦",""))))</f>
        <v/>
      </c>
      <c r="I337" s="11" t="e">
        <f>IF(C337&lt;&gt;B337,IF(AND(F337&gt;=5,E337&lt;10),"warning",IF(AND(F337&gt;=10,F337&lt;=15),"快要 O.O.C 啦",IF(F337&gt;15,"超出規格 O.O.C 啦",""))))</f>
        <v>#N/A</v>
      </c>
    </row>
    <row r="338" spans="1:9">
      <c r="A338" s="9" t="s">
        <v>15</v>
      </c>
      <c r="B338" s="10">
        <v>44900.501550925925</v>
      </c>
      <c r="C338" s="9" t="s">
        <v>7</v>
      </c>
      <c r="D338" s="11" t="str">
        <f>CONCATENATE(B338,RIGHT(C338,2))</f>
        <v>44900.5015509259C1</v>
      </c>
      <c r="E338" s="9">
        <v>0</v>
      </c>
      <c r="F338" s="11" t="e">
        <f>VLOOKUP(D338,'LP-T2 大顆的'!D:E,2)</f>
        <v>#N/A</v>
      </c>
      <c r="G338" s="9" t="s">
        <v>11</v>
      </c>
      <c r="H338" s="11" t="str">
        <f>IF(C338&lt;&gt;B338,IF(AND(E338&gt;=20,E338&lt;35),"warning",IF(AND(E338&gt;=35,E338&lt;=50),"快要 O.O.C 啦",IF(E338&gt;50,"超出規格 O.O.C 啦",""))))</f>
        <v/>
      </c>
      <c r="I338" s="11" t="e">
        <f>IF(C338&lt;&gt;B338,IF(AND(F338&gt;=5,E338&lt;10),"warning",IF(AND(F338&gt;=10,F338&lt;=15),"快要 O.O.C 啦",IF(F338&gt;15,"超出規格 O.O.C 啦",""))))</f>
        <v>#N/A</v>
      </c>
    </row>
    <row r="339" spans="1:9">
      <c r="A339" s="9" t="s">
        <v>12</v>
      </c>
      <c r="B339" s="10">
        <v>44900.455972222226</v>
      </c>
      <c r="C339" s="9" t="s">
        <v>7</v>
      </c>
      <c r="D339" s="11" t="str">
        <f>CONCATENATE(B339,RIGHT(C339,2))</f>
        <v>44900.4559722222C1</v>
      </c>
      <c r="E339" s="9">
        <v>6</v>
      </c>
      <c r="F339" s="11" t="e">
        <f>VLOOKUP(D339,'LP-T2 大顆的'!D:E,2)</f>
        <v>#N/A</v>
      </c>
      <c r="G339" s="9" t="s">
        <v>11</v>
      </c>
      <c r="H339" s="11" t="str">
        <f>IF(C339&lt;&gt;B339,IF(AND(E339&gt;=20,E339&lt;35),"warning",IF(AND(E339&gt;=35,E339&lt;=50),"快要 O.O.C 啦",IF(E339&gt;50,"超出規格 O.O.C 啦",""))))</f>
        <v/>
      </c>
      <c r="I339" s="11" t="e">
        <f>IF(C339&lt;&gt;B339,IF(AND(F339&gt;=5,E339&lt;10),"warning",IF(AND(F339&gt;=10,F339&lt;=15),"快要 O.O.C 啦",IF(F339&gt;15,"超出規格 O.O.C 啦",""))))</f>
        <v>#N/A</v>
      </c>
    </row>
    <row r="340" spans="1:9">
      <c r="A340" s="9" t="s">
        <v>14</v>
      </c>
      <c r="B340" s="10">
        <v>44900.439340277779</v>
      </c>
      <c r="C340" s="9" t="s">
        <v>7</v>
      </c>
      <c r="D340" s="11" t="str">
        <f>CONCATENATE(B340,RIGHT(C340,2))</f>
        <v>44900.4393402778C1</v>
      </c>
      <c r="E340" s="9">
        <v>2</v>
      </c>
      <c r="F340" s="11" t="e">
        <f>VLOOKUP(D340,'LP-T2 大顆的'!D:E,2)</f>
        <v>#N/A</v>
      </c>
      <c r="G340" s="9" t="s">
        <v>11</v>
      </c>
      <c r="H340" s="11" t="str">
        <f>IF(C340&lt;&gt;B340,IF(AND(E340&gt;=20,E340&lt;35),"warning",IF(AND(E340&gt;=35,E340&lt;=50),"快要 O.O.C 啦",IF(E340&gt;50,"超出規格 O.O.C 啦",""))))</f>
        <v/>
      </c>
      <c r="I340" s="11" t="e">
        <f>IF(C340&lt;&gt;B340,IF(AND(F340&gt;=5,E340&lt;10),"warning",IF(AND(F340&gt;=10,F340&lt;=15),"快要 O.O.C 啦",IF(F340&gt;15,"超出規格 O.O.C 啦",""))))</f>
        <v>#N/A</v>
      </c>
    </row>
    <row r="341" spans="1:9">
      <c r="A341" s="9" t="s">
        <v>13</v>
      </c>
      <c r="B341" s="10">
        <v>44900.41065972222</v>
      </c>
      <c r="C341" s="9" t="s">
        <v>7</v>
      </c>
      <c r="D341" s="11" t="str">
        <f>CONCATENATE(B341,RIGHT(C341,2))</f>
        <v>44900.4106597222C1</v>
      </c>
      <c r="E341" s="9">
        <v>0</v>
      </c>
      <c r="F341" s="11" t="e">
        <f>VLOOKUP(D341,'LP-T2 大顆的'!D:E,2)</f>
        <v>#N/A</v>
      </c>
      <c r="G341" s="9" t="s">
        <v>11</v>
      </c>
      <c r="H341" s="11" t="str">
        <f>IF(C341&lt;&gt;B341,IF(AND(E341&gt;=20,E341&lt;35),"warning",IF(AND(E341&gt;=35,E341&lt;=50),"快要 O.O.C 啦",IF(E341&gt;50,"超出規格 O.O.C 啦",""))))</f>
        <v/>
      </c>
      <c r="I341" s="11" t="e">
        <f>IF(C341&lt;&gt;B341,IF(AND(F341&gt;=5,E341&lt;10),"warning",IF(AND(F341&gt;=10,F341&lt;=15),"快要 O.O.C 啦",IF(F341&gt;15,"超出規格 O.O.C 啦",""))))</f>
        <v>#N/A</v>
      </c>
    </row>
    <row r="342" spans="1:9">
      <c r="A342" s="9" t="s">
        <v>15</v>
      </c>
      <c r="B342" s="10">
        <v>44900.284178240741</v>
      </c>
      <c r="C342" s="9" t="s">
        <v>7</v>
      </c>
      <c r="D342" s="11" t="str">
        <f>CONCATENATE(B342,RIGHT(C342,2))</f>
        <v>44900.2841782407C1</v>
      </c>
      <c r="E342" s="9">
        <v>0</v>
      </c>
      <c r="F342" s="11" t="e">
        <f>VLOOKUP(D342,'LP-T2 大顆的'!D:E,2)</f>
        <v>#N/A</v>
      </c>
      <c r="G342" s="9" t="s">
        <v>11</v>
      </c>
      <c r="H342" s="11" t="str">
        <f>IF(C342&lt;&gt;B342,IF(AND(E342&gt;=20,E342&lt;35),"warning",IF(AND(E342&gt;=35,E342&lt;=50),"快要 O.O.C 啦",IF(E342&gt;50,"超出規格 O.O.C 啦",""))))</f>
        <v/>
      </c>
      <c r="I342" s="11" t="e">
        <f>IF(C342&lt;&gt;B342,IF(AND(F342&gt;=5,E342&lt;10),"warning",IF(AND(F342&gt;=10,F342&lt;=15),"快要 O.O.C 啦",IF(F342&gt;15,"超出規格 O.O.C 啦",""))))</f>
        <v>#N/A</v>
      </c>
    </row>
    <row r="343" spans="1:9">
      <c r="A343" s="9" t="s">
        <v>17</v>
      </c>
      <c r="B343" s="10">
        <v>44900.281284722223</v>
      </c>
      <c r="C343" s="9" t="s">
        <v>7</v>
      </c>
      <c r="D343" s="11" t="str">
        <f>CONCATENATE(B343,RIGHT(C343,2))</f>
        <v>44900.2812847222C1</v>
      </c>
      <c r="E343" s="9">
        <v>0</v>
      </c>
      <c r="F343" s="11" t="e">
        <f>VLOOKUP(D343,'LP-T2 大顆的'!D:E,2)</f>
        <v>#N/A</v>
      </c>
      <c r="G343" s="9" t="s">
        <v>11</v>
      </c>
      <c r="H343" s="11" t="str">
        <f>IF(C343&lt;&gt;B343,IF(AND(E343&gt;=20,E343&lt;35),"warning",IF(AND(E343&gt;=35,E343&lt;=50),"快要 O.O.C 啦",IF(E343&gt;50,"超出規格 O.O.C 啦",""))))</f>
        <v/>
      </c>
      <c r="I343" s="11" t="e">
        <f>IF(C343&lt;&gt;B343,IF(AND(F343&gt;=5,E343&lt;10),"warning",IF(AND(F343&gt;=10,F343&lt;=15),"快要 O.O.C 啦",IF(F343&gt;15,"超出規格 O.O.C 啦",""))))</f>
        <v>#N/A</v>
      </c>
    </row>
    <row r="344" spans="1:9">
      <c r="A344" s="9" t="s">
        <v>16</v>
      </c>
      <c r="B344" s="10">
        <v>44900.280347222222</v>
      </c>
      <c r="C344" s="9" t="s">
        <v>7</v>
      </c>
      <c r="D344" s="11" t="str">
        <f>CONCATENATE(B344,RIGHT(C344,2))</f>
        <v>44900.2803472222C1</v>
      </c>
      <c r="E344" s="9">
        <v>0</v>
      </c>
      <c r="F344" s="11" t="e">
        <f>VLOOKUP(D344,'LP-T2 大顆的'!D:E,2)</f>
        <v>#N/A</v>
      </c>
      <c r="G344" s="9" t="s">
        <v>11</v>
      </c>
      <c r="H344" s="11" t="str">
        <f>IF(C344&lt;&gt;B344,IF(AND(E344&gt;=20,E344&lt;35),"warning",IF(AND(E344&gt;=35,E344&lt;=50),"快要 O.O.C 啦",IF(E344&gt;50,"超出規格 O.O.C 啦",""))))</f>
        <v/>
      </c>
      <c r="I344" s="11" t="e">
        <f>IF(C344&lt;&gt;B344,IF(AND(F344&gt;=5,E344&lt;10),"warning",IF(AND(F344&gt;=10,F344&lt;=15),"快要 O.O.C 啦",IF(F344&gt;15,"超出規格 O.O.C 啦",""))))</f>
        <v>#N/A</v>
      </c>
    </row>
    <row r="345" spans="1:9">
      <c r="A345" s="9" t="s">
        <v>4</v>
      </c>
      <c r="B345" s="10">
        <v>44900.269317129627</v>
      </c>
      <c r="C345" s="9" t="s">
        <v>7</v>
      </c>
      <c r="D345" s="11" t="str">
        <f>CONCATENATE(B345,RIGHT(C345,2))</f>
        <v>44900.2693171296C1</v>
      </c>
      <c r="E345" s="9">
        <v>0</v>
      </c>
      <c r="F345" s="11" t="e">
        <f>VLOOKUP(D345,'LP-T2 大顆的'!D:E,2)</f>
        <v>#N/A</v>
      </c>
      <c r="G345" s="9" t="s">
        <v>11</v>
      </c>
      <c r="H345" s="11" t="str">
        <f>IF(C345&lt;&gt;B345,IF(AND(E345&gt;=20,E345&lt;35),"warning",IF(AND(E345&gt;=35,E345&lt;=50),"快要 O.O.C 啦",IF(E345&gt;50,"超出規格 O.O.C 啦",""))))</f>
        <v/>
      </c>
      <c r="I345" s="11" t="e">
        <f>IF(C345&lt;&gt;B345,IF(AND(F345&gt;=5,E345&lt;10),"warning",IF(AND(F345&gt;=10,F345&lt;=15),"快要 O.O.C 啦",IF(F345&gt;15,"超出規格 O.O.C 啦",""))))</f>
        <v>#N/A</v>
      </c>
    </row>
    <row r="346" spans="1:9">
      <c r="A346" s="9" t="s">
        <v>12</v>
      </c>
      <c r="B346" s="10">
        <v>44900.205243055556</v>
      </c>
      <c r="C346" s="9" t="s">
        <v>7</v>
      </c>
      <c r="D346" s="11" t="str">
        <f>CONCATENATE(B346,RIGHT(C346,2))</f>
        <v>44900.2052430556C1</v>
      </c>
      <c r="E346" s="9">
        <v>0</v>
      </c>
      <c r="F346" s="11" t="e">
        <f>VLOOKUP(D346,'LP-T2 大顆的'!D:E,2)</f>
        <v>#N/A</v>
      </c>
      <c r="G346" s="9" t="s">
        <v>11</v>
      </c>
      <c r="H346" s="11" t="str">
        <f>IF(C346&lt;&gt;B346,IF(AND(E346&gt;=20,E346&lt;35),"warning",IF(AND(E346&gt;=35,E346&lt;=50),"快要 O.O.C 啦",IF(E346&gt;50,"超出規格 O.O.C 啦",""))))</f>
        <v/>
      </c>
      <c r="I346" s="11" t="e">
        <f>IF(C346&lt;&gt;B346,IF(AND(F346&gt;=5,E346&lt;10),"warning",IF(AND(F346&gt;=10,F346&lt;=15),"快要 O.O.C 啦",IF(F346&gt;15,"超出規格 O.O.C 啦",""))))</f>
        <v>#N/A</v>
      </c>
    </row>
    <row r="347" spans="1:9">
      <c r="A347" s="9" t="s">
        <v>14</v>
      </c>
      <c r="B347" s="10">
        <v>44900.195810185185</v>
      </c>
      <c r="C347" s="9" t="s">
        <v>7</v>
      </c>
      <c r="D347" s="11" t="str">
        <f>CONCATENATE(B347,RIGHT(C347,2))</f>
        <v>44900.1958101852C1</v>
      </c>
      <c r="E347" s="9">
        <v>0</v>
      </c>
      <c r="F347" s="11" t="e">
        <f>VLOOKUP(D347,'LP-T2 大顆的'!D:E,2)</f>
        <v>#N/A</v>
      </c>
      <c r="G347" s="9" t="s">
        <v>11</v>
      </c>
      <c r="H347" s="11" t="str">
        <f>IF(C347&lt;&gt;B347,IF(AND(E347&gt;=20,E347&lt;35),"warning",IF(AND(E347&gt;=35,E347&lt;=50),"快要 O.O.C 啦",IF(E347&gt;50,"超出規格 O.O.C 啦",""))))</f>
        <v/>
      </c>
      <c r="I347" s="11" t="e">
        <f>IF(C347&lt;&gt;B347,IF(AND(F347&gt;=5,E347&lt;10),"warning",IF(AND(F347&gt;=10,F347&lt;=15),"快要 O.O.C 啦",IF(F347&gt;15,"超出規格 O.O.C 啦",""))))</f>
        <v>#N/A</v>
      </c>
    </row>
    <row r="348" spans="1:9">
      <c r="A348" s="9" t="s">
        <v>13</v>
      </c>
      <c r="B348" s="10">
        <v>44900.180868055555</v>
      </c>
      <c r="C348" s="9" t="s">
        <v>7</v>
      </c>
      <c r="D348" s="11" t="str">
        <f>CONCATENATE(B348,RIGHT(C348,2))</f>
        <v>44900.1808680556C1</v>
      </c>
      <c r="E348" s="9">
        <v>0</v>
      </c>
      <c r="F348" s="11" t="e">
        <f>VLOOKUP(D348,'LP-T2 大顆的'!D:E,2)</f>
        <v>#N/A</v>
      </c>
      <c r="G348" s="9" t="s">
        <v>11</v>
      </c>
      <c r="H348" s="11" t="str">
        <f>IF(C348&lt;&gt;B348,IF(AND(E348&gt;=20,E348&lt;35),"warning",IF(AND(E348&gt;=35,E348&lt;=50),"快要 O.O.C 啦",IF(E348&gt;50,"超出規格 O.O.C 啦",""))))</f>
        <v/>
      </c>
      <c r="I348" s="11" t="e">
        <f>IF(C348&lt;&gt;B348,IF(AND(F348&gt;=5,E348&lt;10),"warning",IF(AND(F348&gt;=10,F348&lt;=15),"快要 O.O.C 啦",IF(F348&gt;15,"超出規格 O.O.C 啦",""))))</f>
        <v>#N/A</v>
      </c>
    </row>
    <row r="349" spans="1:9">
      <c r="A349" s="9" t="s">
        <v>15</v>
      </c>
      <c r="B349" s="10">
        <v>44900.130578703705</v>
      </c>
      <c r="C349" s="9" t="s">
        <v>5</v>
      </c>
      <c r="D349" s="11" t="str">
        <f>CONCATENATE(B349,RIGHT(C349,2))</f>
        <v>44900.1305787037C6</v>
      </c>
      <c r="E349" s="9">
        <v>0</v>
      </c>
      <c r="F349" s="11" t="e">
        <f>VLOOKUP(D349,'LP-T2 大顆的'!D:E,2)</f>
        <v>#N/A</v>
      </c>
      <c r="G349" s="9" t="s">
        <v>11</v>
      </c>
      <c r="H349" s="11" t="str">
        <f>IF(C349&lt;&gt;B349,IF(AND(E349&gt;=20,E349&lt;35),"warning",IF(AND(E349&gt;=35,E349&lt;=50),"快要 O.O.C 啦",IF(E349&gt;50,"超出規格 O.O.C 啦",""))))</f>
        <v/>
      </c>
      <c r="I349" s="11" t="e">
        <f>IF(C349&lt;&gt;B349,IF(AND(F349&gt;=5,E349&lt;10),"warning",IF(AND(F349&gt;=10,F349&lt;=15),"快要 O.O.C 啦",IF(F349&gt;15,"超出規格 O.O.C 啦",""))))</f>
        <v>#N/A</v>
      </c>
    </row>
    <row r="350" spans="1:9">
      <c r="A350" s="9" t="s">
        <v>15</v>
      </c>
      <c r="B350" s="10">
        <v>44900.130578703705</v>
      </c>
      <c r="C350" s="9" t="s">
        <v>7</v>
      </c>
      <c r="D350" s="11" t="str">
        <f>CONCATENATE(B350,RIGHT(C350,2))</f>
        <v>44900.1305787037C1</v>
      </c>
      <c r="E350" s="9">
        <v>0</v>
      </c>
      <c r="F350" s="11" t="e">
        <f>VLOOKUP(D350,'LP-T2 大顆的'!D:E,2)</f>
        <v>#N/A</v>
      </c>
      <c r="G350" s="9" t="s">
        <v>11</v>
      </c>
      <c r="H350" s="11" t="str">
        <f>IF(C350&lt;&gt;B350,IF(AND(E350&gt;=20,E350&lt;35),"warning",IF(AND(E350&gt;=35,E350&lt;=50),"快要 O.O.C 啦",IF(E350&gt;50,"超出規格 O.O.C 啦",""))))</f>
        <v/>
      </c>
      <c r="I350" s="11" t="e">
        <f>IF(C350&lt;&gt;B350,IF(AND(F350&gt;=5,E350&lt;10),"warning",IF(AND(F350&gt;=10,F350&lt;=15),"快要 O.O.C 啦",IF(F350&gt;15,"超出規格 O.O.C 啦",""))))</f>
        <v>#N/A</v>
      </c>
    </row>
    <row r="351" spans="1:9">
      <c r="A351" s="9" t="s">
        <v>16</v>
      </c>
      <c r="B351" s="10">
        <v>44900.112743055557</v>
      </c>
      <c r="C351" s="9" t="s">
        <v>6</v>
      </c>
      <c r="D351" s="11" t="str">
        <f>CONCATENATE(B351,RIGHT(C351,2))</f>
        <v>44900.1127430556C4</v>
      </c>
      <c r="E351" s="9">
        <v>1</v>
      </c>
      <c r="F351" s="11" t="e">
        <f>VLOOKUP(D351,'LP-T2 大顆的'!D:E,2)</f>
        <v>#N/A</v>
      </c>
      <c r="G351" s="9" t="s">
        <v>11</v>
      </c>
      <c r="H351" s="11" t="str">
        <f>IF(C351&lt;&gt;B351,IF(AND(E351&gt;=20,E351&lt;35),"warning",IF(AND(E351&gt;=35,E351&lt;=50),"快要 O.O.C 啦",IF(E351&gt;50,"超出規格 O.O.C 啦",""))))</f>
        <v/>
      </c>
      <c r="I351" s="11" t="e">
        <f>IF(C351&lt;&gt;B351,IF(AND(F351&gt;=5,E351&lt;10),"warning",IF(AND(F351&gt;=10,F351&lt;=15),"快要 O.O.C 啦",IF(F351&gt;15,"超出規格 O.O.C 啦",""))))</f>
        <v>#N/A</v>
      </c>
    </row>
    <row r="352" spans="1:9">
      <c r="A352" s="9" t="s">
        <v>16</v>
      </c>
      <c r="B352" s="10">
        <v>44900.112743055557</v>
      </c>
      <c r="C352" s="9" t="s">
        <v>7</v>
      </c>
      <c r="D352" s="11" t="str">
        <f>CONCATENATE(B352,RIGHT(C352,2))</f>
        <v>44900.1127430556C1</v>
      </c>
      <c r="E352" s="9">
        <v>0</v>
      </c>
      <c r="F352" s="11" t="e">
        <f>VLOOKUP(D352,'LP-T2 大顆的'!D:E,2)</f>
        <v>#N/A</v>
      </c>
      <c r="G352" s="9" t="s">
        <v>11</v>
      </c>
      <c r="H352" s="11" t="str">
        <f>IF(C352&lt;&gt;B352,IF(AND(E352&gt;=20,E352&lt;35),"warning",IF(AND(E352&gt;=35,E352&lt;=50),"快要 O.O.C 啦",IF(E352&gt;50,"超出規格 O.O.C 啦",""))))</f>
        <v/>
      </c>
      <c r="I352" s="11" t="e">
        <f>IF(C352&lt;&gt;B352,IF(AND(F352&gt;=5,E352&lt;10),"warning",IF(AND(F352&gt;=10,F352&lt;=15),"快要 O.O.C 啦",IF(F352&gt;15,"超出規格 O.O.C 啦",""))))</f>
        <v>#N/A</v>
      </c>
    </row>
    <row r="353" spans="1:9">
      <c r="A353" s="9" t="s">
        <v>17</v>
      </c>
      <c r="B353" s="10">
        <v>44900.101574074077</v>
      </c>
      <c r="C353" s="9" t="s">
        <v>5</v>
      </c>
      <c r="D353" s="11" t="str">
        <f>CONCATENATE(B353,RIGHT(C353,2))</f>
        <v>44900.1015740741C6</v>
      </c>
      <c r="E353" s="9">
        <v>3</v>
      </c>
      <c r="F353" s="11" t="e">
        <f>VLOOKUP(D353,'LP-T2 大顆的'!D:E,2)</f>
        <v>#N/A</v>
      </c>
      <c r="G353" s="9" t="s">
        <v>11</v>
      </c>
      <c r="H353" s="11" t="str">
        <f>IF(C353&lt;&gt;B353,IF(AND(E353&gt;=20,E353&lt;35),"warning",IF(AND(E353&gt;=35,E353&lt;=50),"快要 O.O.C 啦",IF(E353&gt;50,"超出規格 O.O.C 啦",""))))</f>
        <v/>
      </c>
      <c r="I353" s="11" t="e">
        <f>IF(C353&lt;&gt;B353,IF(AND(F353&gt;=5,E353&lt;10),"warning",IF(AND(F353&gt;=10,F353&lt;=15),"快要 O.O.C 啦",IF(F353&gt;15,"超出規格 O.O.C 啦",""))))</f>
        <v>#N/A</v>
      </c>
    </row>
    <row r="354" spans="1:9">
      <c r="A354" s="9" t="s">
        <v>17</v>
      </c>
      <c r="B354" s="10">
        <v>44900.101574074077</v>
      </c>
      <c r="C354" s="9" t="s">
        <v>7</v>
      </c>
      <c r="D354" s="11" t="str">
        <f>CONCATENATE(B354,RIGHT(C354,2))</f>
        <v>44900.1015740741C1</v>
      </c>
      <c r="E354" s="9">
        <v>1</v>
      </c>
      <c r="F354" s="11" t="e">
        <f>VLOOKUP(D354,'LP-T2 大顆的'!D:E,2)</f>
        <v>#N/A</v>
      </c>
      <c r="G354" s="9" t="s">
        <v>11</v>
      </c>
      <c r="H354" s="11" t="str">
        <f>IF(C354&lt;&gt;B354,IF(AND(E354&gt;=20,E354&lt;35),"warning",IF(AND(E354&gt;=35,E354&lt;=50),"快要 O.O.C 啦",IF(E354&gt;50,"超出規格 O.O.C 啦",""))))</f>
        <v/>
      </c>
      <c r="I354" s="11" t="e">
        <f>IF(C354&lt;&gt;B354,IF(AND(F354&gt;=5,E354&lt;10),"warning",IF(AND(F354&gt;=10,F354&lt;=15),"快要 O.O.C 啦",IF(F354&gt;15,"超出規格 O.O.C 啦",""))))</f>
        <v>#N/A</v>
      </c>
    </row>
    <row r="355" spans="1:9">
      <c r="A355" s="9" t="s">
        <v>4</v>
      </c>
      <c r="B355" s="10">
        <v>44900.096261574072</v>
      </c>
      <c r="C355" s="9" t="s">
        <v>5</v>
      </c>
      <c r="D355" s="11" t="str">
        <f>CONCATENATE(B355,RIGHT(C355,2))</f>
        <v>44900.0962615741C6</v>
      </c>
      <c r="E355" s="9">
        <v>0</v>
      </c>
      <c r="F355" s="11" t="e">
        <f>VLOOKUP(D355,'LP-T2 大顆的'!D:E,2)</f>
        <v>#N/A</v>
      </c>
      <c r="G355" s="9" t="s">
        <v>11</v>
      </c>
      <c r="H355" s="11" t="str">
        <f>IF(C355&lt;&gt;B355,IF(AND(E355&gt;=20,E355&lt;35),"warning",IF(AND(E355&gt;=35,E355&lt;=50),"快要 O.O.C 啦",IF(E355&gt;50,"超出規格 O.O.C 啦",""))))</f>
        <v/>
      </c>
      <c r="I355" s="11" t="e">
        <f>IF(C355&lt;&gt;B355,IF(AND(F355&gt;=5,E355&lt;10),"warning",IF(AND(F355&gt;=10,F355&lt;=15),"快要 O.O.C 啦",IF(F355&gt;15,"超出規格 O.O.C 啦",""))))</f>
        <v>#N/A</v>
      </c>
    </row>
    <row r="356" spans="1:9">
      <c r="A356" s="9" t="s">
        <v>4</v>
      </c>
      <c r="B356" s="10">
        <v>44900.096261574072</v>
      </c>
      <c r="C356" s="9" t="s">
        <v>7</v>
      </c>
      <c r="D356" s="11" t="str">
        <f>CONCATENATE(B356,RIGHT(C356,2))</f>
        <v>44900.0962615741C1</v>
      </c>
      <c r="E356" s="9">
        <v>0</v>
      </c>
      <c r="F356" s="11" t="e">
        <f>VLOOKUP(D356,'LP-T2 大顆的'!D:E,2)</f>
        <v>#N/A</v>
      </c>
      <c r="G356" s="9" t="s">
        <v>11</v>
      </c>
      <c r="H356" s="11" t="str">
        <f>IF(C356&lt;&gt;B356,IF(AND(E356&gt;=20,E356&lt;35),"warning",IF(AND(E356&gt;=35,E356&lt;=50),"快要 O.O.C 啦",IF(E356&gt;50,"超出規格 O.O.C 啦",""))))</f>
        <v/>
      </c>
      <c r="I356" s="11" t="e">
        <f>IF(C356&lt;&gt;B356,IF(AND(F356&gt;=5,E356&lt;10),"warning",IF(AND(F356&gt;=10,F356&lt;=15),"快要 O.O.C 啦",IF(F356&gt;15,"超出規格 O.O.C 啦",""))))</f>
        <v>#N/A</v>
      </c>
    </row>
    <row r="357" spans="1:9">
      <c r="A357" s="9" t="s">
        <v>13</v>
      </c>
      <c r="B357" s="10">
        <v>44900.040567129632</v>
      </c>
      <c r="C357" s="9" t="s">
        <v>5</v>
      </c>
      <c r="D357" s="11" t="str">
        <f>CONCATENATE(B357,RIGHT(C357,2))</f>
        <v>44900.0405671296C6</v>
      </c>
      <c r="E357" s="9">
        <v>0</v>
      </c>
      <c r="F357" s="11" t="e">
        <f>VLOOKUP(D357,'LP-T2 大顆的'!D:E,2)</f>
        <v>#N/A</v>
      </c>
      <c r="G357" s="9" t="s">
        <v>11</v>
      </c>
      <c r="H357" s="11" t="str">
        <f>IF(C357&lt;&gt;B357,IF(AND(E357&gt;=20,E357&lt;35),"warning",IF(AND(E357&gt;=35,E357&lt;=50),"快要 O.O.C 啦",IF(E357&gt;50,"超出規格 O.O.C 啦",""))))</f>
        <v/>
      </c>
      <c r="I357" s="11" t="e">
        <f>IF(C357&lt;&gt;B357,IF(AND(F357&gt;=5,E357&lt;10),"warning",IF(AND(F357&gt;=10,F357&lt;=15),"快要 O.O.C 啦",IF(F357&gt;15,"超出規格 O.O.C 啦",""))))</f>
        <v>#N/A</v>
      </c>
    </row>
    <row r="358" spans="1:9">
      <c r="A358" s="9" t="s">
        <v>13</v>
      </c>
      <c r="B358" s="10">
        <v>44900.040567129632</v>
      </c>
      <c r="C358" s="9" t="s">
        <v>7</v>
      </c>
      <c r="D358" s="11" t="str">
        <f>CONCATENATE(B358,RIGHT(C358,2))</f>
        <v>44900.0405671296C1</v>
      </c>
      <c r="E358" s="9">
        <v>0</v>
      </c>
      <c r="F358" s="11" t="e">
        <f>VLOOKUP(D358,'LP-T2 大顆的'!D:E,2)</f>
        <v>#N/A</v>
      </c>
      <c r="G358" s="9" t="s">
        <v>11</v>
      </c>
      <c r="H358" s="11" t="str">
        <f>IF(C358&lt;&gt;B358,IF(AND(E358&gt;=20,E358&lt;35),"warning",IF(AND(E358&gt;=35,E358&lt;=50),"快要 O.O.C 啦",IF(E358&gt;50,"超出規格 O.O.C 啦",""))))</f>
        <v/>
      </c>
      <c r="I358" s="11" t="e">
        <f>IF(C358&lt;&gt;B358,IF(AND(F358&gt;=5,E358&lt;10),"warning",IF(AND(F358&gt;=10,F358&lt;=15),"快要 O.O.C 啦",IF(F358&gt;15,"超出規格 O.O.C 啦",""))))</f>
        <v>#N/A</v>
      </c>
    </row>
    <row r="359" spans="1:9">
      <c r="A359" s="9" t="s">
        <v>12</v>
      </c>
      <c r="B359" s="10">
        <v>44900.004027777781</v>
      </c>
      <c r="C359" s="9" t="s">
        <v>5</v>
      </c>
      <c r="D359" s="11" t="str">
        <f>CONCATENATE(B359,RIGHT(C359,2))</f>
        <v>44900.0040277778C6</v>
      </c>
      <c r="E359" s="9">
        <v>0</v>
      </c>
      <c r="F359" s="11" t="e">
        <f>VLOOKUP(D359,'LP-T2 大顆的'!D:E,2)</f>
        <v>#N/A</v>
      </c>
      <c r="G359" s="9" t="s">
        <v>11</v>
      </c>
      <c r="H359" s="11" t="str">
        <f>IF(C359&lt;&gt;B359,IF(AND(E359&gt;=20,E359&lt;35),"warning",IF(AND(E359&gt;=35,E359&lt;=50),"快要 O.O.C 啦",IF(E359&gt;50,"超出規格 O.O.C 啦",""))))</f>
        <v/>
      </c>
      <c r="I359" s="11" t="e">
        <f>IF(C359&lt;&gt;B359,IF(AND(F359&gt;=5,E359&lt;10),"warning",IF(AND(F359&gt;=10,F359&lt;=15),"快要 O.O.C 啦",IF(F359&gt;15,"超出規格 O.O.C 啦",""))))</f>
        <v>#N/A</v>
      </c>
    </row>
    <row r="360" spans="1:9">
      <c r="A360" s="9" t="s">
        <v>12</v>
      </c>
      <c r="B360" s="10">
        <v>44900.004027777781</v>
      </c>
      <c r="C360" s="9" t="s">
        <v>7</v>
      </c>
      <c r="D360" s="11" t="str">
        <f>CONCATENATE(B360,RIGHT(C360,2))</f>
        <v>44900.0040277778C1</v>
      </c>
      <c r="E360" s="9">
        <v>0</v>
      </c>
      <c r="F360" s="11" t="e">
        <f>VLOOKUP(D360,'LP-T2 大顆的'!D:E,2)</f>
        <v>#N/A</v>
      </c>
      <c r="G360" s="9" t="s">
        <v>11</v>
      </c>
      <c r="H360" s="11" t="str">
        <f>IF(C360&lt;&gt;B360,IF(AND(E360&gt;=20,E360&lt;35),"warning",IF(AND(E360&gt;=35,E360&lt;=50),"快要 O.O.C 啦",IF(E360&gt;50,"超出規格 O.O.C 啦",""))))</f>
        <v/>
      </c>
      <c r="I360" s="11" t="e">
        <f>IF(C360&lt;&gt;B360,IF(AND(F360&gt;=5,E360&lt;10),"warning",IF(AND(F360&gt;=10,F360&lt;=15),"快要 O.O.C 啦",IF(F360&gt;15,"超出規格 O.O.C 啦",""))))</f>
        <v>#N/A</v>
      </c>
    </row>
    <row r="361" spans="1:9">
      <c r="E361" s="2"/>
      <c r="F361" s="2"/>
    </row>
    <row r="362" spans="1:9">
      <c r="E362" s="2"/>
      <c r="F362" s="2"/>
    </row>
    <row r="363" spans="1:9">
      <c r="E363" s="2"/>
      <c r="F363" s="2"/>
    </row>
    <row r="364" spans="1:9">
      <c r="E364" s="2"/>
      <c r="F364" s="2"/>
    </row>
    <row r="365" spans="1:9">
      <c r="E365" s="2"/>
      <c r="F365" s="2"/>
    </row>
    <row r="366" spans="1:9">
      <c r="E366" s="2"/>
      <c r="F366" s="2"/>
    </row>
    <row r="367" spans="1:9">
      <c r="E367" s="2"/>
      <c r="F367" s="2"/>
    </row>
    <row r="368" spans="1:9">
      <c r="E368" s="2"/>
      <c r="F368" s="2"/>
    </row>
    <row r="369" spans="1:6">
      <c r="E369" s="2"/>
      <c r="F369" s="2"/>
    </row>
    <row r="370" spans="1:6">
      <c r="E370" s="2"/>
      <c r="F370" s="2"/>
    </row>
    <row r="371" spans="1:6">
      <c r="A371" s="2"/>
      <c r="B371" s="2"/>
      <c r="C371" s="2"/>
      <c r="D371" s="2"/>
      <c r="E371" s="2"/>
      <c r="F371" s="2"/>
    </row>
    <row r="372" spans="1:6">
      <c r="A372" s="2"/>
      <c r="B372" s="2"/>
      <c r="C372" s="2"/>
      <c r="D372" s="2"/>
      <c r="E372" s="2"/>
      <c r="F372" s="2"/>
    </row>
    <row r="373" spans="1:6">
      <c r="A373" s="2"/>
      <c r="B373" s="2"/>
      <c r="C373" s="2"/>
      <c r="D373" s="2"/>
      <c r="E373" s="2"/>
      <c r="F373" s="2"/>
    </row>
    <row r="374" spans="1:6">
      <c r="A374" s="2"/>
      <c r="B374" s="2"/>
      <c r="C374" s="2"/>
      <c r="D374" s="2"/>
      <c r="E374" s="2"/>
      <c r="F374" s="2"/>
    </row>
    <row r="375" spans="1:6">
      <c r="A375" s="2"/>
      <c r="B375" s="2"/>
      <c r="C375" s="2"/>
      <c r="D375" s="2"/>
      <c r="E375" s="2"/>
      <c r="F375" s="2"/>
    </row>
    <row r="376" spans="1:6">
      <c r="A376" s="2"/>
      <c r="B376" s="2"/>
      <c r="C376" s="2"/>
      <c r="D376" s="2"/>
      <c r="E376" s="2"/>
      <c r="F376" s="2"/>
    </row>
    <row r="377" spans="1:6">
      <c r="A377" s="2"/>
      <c r="B377" s="2"/>
      <c r="C377" s="2"/>
      <c r="D377" s="2"/>
      <c r="E377" s="2"/>
      <c r="F377" s="2"/>
    </row>
    <row r="378" spans="1:6">
      <c r="A378" s="2"/>
      <c r="B378" s="2"/>
      <c r="C378" s="2"/>
      <c r="D378" s="2"/>
      <c r="E378" s="2"/>
      <c r="F378" s="2"/>
    </row>
    <row r="379" spans="1:6">
      <c r="A379" s="2"/>
      <c r="B379" s="2"/>
      <c r="C379" s="2"/>
      <c r="D379" s="2"/>
      <c r="E379" s="2"/>
      <c r="F379" s="2"/>
    </row>
    <row r="380" spans="1:6">
      <c r="A380" s="2"/>
      <c r="B380" s="2"/>
      <c r="C380" s="2"/>
      <c r="D380" s="2"/>
      <c r="E380" s="2"/>
      <c r="F380" s="2"/>
    </row>
    <row r="381" spans="1:6">
      <c r="A381" s="2"/>
      <c r="B381" s="2"/>
      <c r="C381" s="2"/>
      <c r="D381" s="2"/>
      <c r="E381" s="2"/>
      <c r="F381" s="2"/>
    </row>
    <row r="382" spans="1:6">
      <c r="A382" s="2"/>
      <c r="B382" s="2"/>
      <c r="C382" s="2"/>
      <c r="D382" s="2"/>
      <c r="E382" s="2"/>
      <c r="F382" s="2"/>
    </row>
    <row r="383" spans="1:6">
      <c r="A383" s="2"/>
      <c r="B383" s="2"/>
      <c r="C383" s="2"/>
      <c r="D383" s="2"/>
      <c r="E383" s="2"/>
      <c r="F383" s="2"/>
    </row>
    <row r="384" spans="1:6">
      <c r="A384" s="2"/>
      <c r="B384" s="2"/>
      <c r="C384" s="2"/>
      <c r="D384" s="2"/>
      <c r="E384" s="2"/>
      <c r="F384" s="2"/>
    </row>
    <row r="385" spans="1:6">
      <c r="A385" s="2"/>
      <c r="B385" s="2"/>
      <c r="C385" s="2"/>
      <c r="D385" s="2"/>
      <c r="E385" s="2"/>
      <c r="F385" s="2"/>
    </row>
    <row r="386" spans="1:6">
      <c r="A386" s="2"/>
      <c r="B386" s="2"/>
      <c r="C386" s="2"/>
      <c r="D386" s="2"/>
      <c r="E386" s="2"/>
      <c r="F386" s="2"/>
    </row>
    <row r="387" spans="1:6">
      <c r="A387" s="2"/>
      <c r="B387" s="2"/>
      <c r="C387" s="2"/>
      <c r="D387" s="2"/>
      <c r="E387" s="2"/>
      <c r="F387" s="2"/>
    </row>
    <row r="388" spans="1:6">
      <c r="A388" s="2"/>
      <c r="B388" s="2"/>
      <c r="C388" s="2"/>
      <c r="D388" s="2"/>
      <c r="E388" s="2"/>
      <c r="F388" s="2"/>
    </row>
    <row r="389" spans="1:6">
      <c r="A389" s="2"/>
      <c r="B389" s="2"/>
      <c r="C389" s="2"/>
      <c r="D389" s="2"/>
      <c r="E389" s="2"/>
      <c r="F389" s="2"/>
    </row>
    <row r="390" spans="1:6">
      <c r="A390" s="2"/>
      <c r="B390" s="2"/>
      <c r="C390" s="2"/>
      <c r="D390" s="2"/>
      <c r="E390" s="2"/>
      <c r="F390" s="2"/>
    </row>
    <row r="391" spans="1:6">
      <c r="A391" s="2"/>
      <c r="B391" s="2"/>
      <c r="C391" s="2"/>
      <c r="D391" s="2"/>
      <c r="E391" s="2"/>
      <c r="F391" s="2"/>
    </row>
    <row r="392" spans="1:6">
      <c r="A392" s="2"/>
      <c r="B392" s="2"/>
      <c r="C392" s="2"/>
      <c r="D392" s="2"/>
      <c r="E392" s="2"/>
      <c r="F392" s="2"/>
    </row>
    <row r="393" spans="1:6">
      <c r="A393" s="2"/>
      <c r="B393" s="2"/>
      <c r="C393" s="2"/>
      <c r="D393" s="2"/>
      <c r="E393" s="2"/>
      <c r="F393" s="2"/>
    </row>
    <row r="394" spans="1:6">
      <c r="A394" s="2"/>
      <c r="B394" s="2"/>
      <c r="C394" s="2"/>
      <c r="D394" s="2"/>
      <c r="E394" s="2"/>
      <c r="F394" s="2"/>
    </row>
    <row r="395" spans="1:6">
      <c r="A395" s="2"/>
      <c r="B395" s="2"/>
      <c r="C395" s="2"/>
      <c r="D395" s="2"/>
      <c r="E395" s="2"/>
      <c r="F395" s="2"/>
    </row>
    <row r="396" spans="1:6">
      <c r="A396" s="2"/>
      <c r="B396" s="2"/>
      <c r="C396" s="2"/>
      <c r="D396" s="2"/>
      <c r="E396" s="2"/>
      <c r="F396" s="2"/>
    </row>
    <row r="397" spans="1:6">
      <c r="A397" s="2"/>
      <c r="B397" s="2"/>
      <c r="C397" s="2"/>
      <c r="D397" s="2"/>
      <c r="E397" s="2"/>
      <c r="F397" s="2"/>
    </row>
    <row r="398" spans="1:6">
      <c r="A398" s="2"/>
      <c r="B398" s="2"/>
      <c r="C398" s="2"/>
      <c r="D398" s="2"/>
      <c r="E398" s="2"/>
      <c r="F398" s="2"/>
    </row>
    <row r="399" spans="1:6">
      <c r="A399" s="2"/>
      <c r="B399" s="2"/>
      <c r="C399" s="2"/>
      <c r="D399" s="2"/>
      <c r="E399" s="2"/>
      <c r="F399" s="2"/>
    </row>
    <row r="400" spans="1:6">
      <c r="A400" s="2"/>
      <c r="B400" s="2"/>
      <c r="C400" s="2"/>
      <c r="D400" s="2"/>
      <c r="E400" s="2"/>
      <c r="F400" s="2"/>
    </row>
    <row r="401" spans="1:6">
      <c r="A401" s="2"/>
      <c r="B401" s="2"/>
      <c r="C401" s="2"/>
      <c r="D401" s="2"/>
      <c r="E401" s="2"/>
      <c r="F401" s="2"/>
    </row>
    <row r="402" spans="1:6">
      <c r="A402" s="2"/>
      <c r="B402" s="2"/>
      <c r="C402" s="2"/>
      <c r="D402" s="2"/>
      <c r="E402" s="2"/>
      <c r="F402" s="2"/>
    </row>
    <row r="403" spans="1:6">
      <c r="A403" s="2"/>
      <c r="B403" s="2"/>
      <c r="C403" s="2"/>
      <c r="D403" s="2"/>
      <c r="E403" s="2"/>
      <c r="F403" s="2"/>
    </row>
    <row r="404" spans="1:6">
      <c r="A404" s="2"/>
      <c r="B404" s="2"/>
      <c r="C404" s="2"/>
      <c r="D404" s="2"/>
      <c r="E404" s="2"/>
      <c r="F404" s="2"/>
    </row>
    <row r="405" spans="1:6">
      <c r="A405" s="2"/>
      <c r="B405" s="2"/>
      <c r="C405" s="2"/>
      <c r="D405" s="2"/>
      <c r="E405" s="2"/>
      <c r="F405" s="2"/>
    </row>
    <row r="406" spans="1:6">
      <c r="A406" s="2"/>
      <c r="B406" s="2"/>
      <c r="C406" s="2"/>
      <c r="D406" s="2"/>
      <c r="E406" s="2"/>
      <c r="F406" s="2"/>
    </row>
    <row r="407" spans="1:6">
      <c r="A407" s="2"/>
      <c r="B407" s="2"/>
      <c r="C407" s="2"/>
      <c r="D407" s="2"/>
      <c r="E407" s="2"/>
      <c r="F407" s="2"/>
    </row>
    <row r="408" spans="1:6">
      <c r="A408" s="2"/>
      <c r="B408" s="2"/>
      <c r="C408" s="2"/>
      <c r="D408" s="2"/>
      <c r="E408" s="2"/>
      <c r="F408" s="2"/>
    </row>
    <row r="409" spans="1:6">
      <c r="A409" s="2"/>
      <c r="B409" s="2"/>
      <c r="C409" s="2"/>
      <c r="D409" s="2"/>
      <c r="E409" s="2"/>
      <c r="F409" s="2"/>
    </row>
    <row r="410" spans="1:6">
      <c r="A410" s="2"/>
      <c r="B410" s="2"/>
      <c r="C410" s="2"/>
      <c r="D410" s="2"/>
      <c r="E410" s="2"/>
      <c r="F410" s="2"/>
    </row>
    <row r="411" spans="1:6">
      <c r="A411" s="2"/>
      <c r="B411" s="2"/>
      <c r="C411" s="2"/>
      <c r="D411" s="2"/>
      <c r="E411" s="2"/>
      <c r="F411" s="2"/>
    </row>
    <row r="412" spans="1:6">
      <c r="A412" s="2"/>
      <c r="B412" s="2"/>
      <c r="C412" s="2"/>
      <c r="D412" s="2"/>
      <c r="E412" s="2"/>
      <c r="F412" s="2"/>
    </row>
    <row r="413" spans="1:6">
      <c r="A413" s="2"/>
      <c r="B413" s="2"/>
      <c r="C413" s="2"/>
      <c r="D413" s="2"/>
      <c r="E413" s="2"/>
      <c r="F413" s="2"/>
    </row>
    <row r="414" spans="1:6">
      <c r="A414" s="2"/>
      <c r="B414" s="2"/>
      <c r="C414" s="2"/>
      <c r="D414" s="2"/>
      <c r="E414" s="2"/>
      <c r="F414" s="2"/>
    </row>
    <row r="415" spans="1:6">
      <c r="A415" s="2"/>
      <c r="B415" s="2"/>
      <c r="C415" s="2"/>
      <c r="D415" s="2"/>
      <c r="E415" s="2"/>
      <c r="F415" s="2"/>
    </row>
    <row r="416" spans="1:6">
      <c r="A416" s="2"/>
      <c r="B416" s="2"/>
      <c r="C416" s="2"/>
      <c r="D416" s="2"/>
      <c r="E416" s="2"/>
      <c r="F416" s="2"/>
    </row>
    <row r="417" spans="1:6">
      <c r="A417" s="2"/>
      <c r="B417" s="2"/>
      <c r="C417" s="2"/>
      <c r="D417" s="2"/>
      <c r="E417" s="2"/>
      <c r="F417" s="2"/>
    </row>
    <row r="418" spans="1:6">
      <c r="A418" s="2"/>
      <c r="B418" s="2"/>
      <c r="C418" s="2"/>
      <c r="D418" s="2"/>
      <c r="E418" s="2"/>
      <c r="F418" s="2"/>
    </row>
    <row r="419" spans="1:6">
      <c r="A419" s="2"/>
      <c r="B419" s="2"/>
      <c r="C419" s="2"/>
      <c r="D419" s="2"/>
      <c r="E419" s="2"/>
      <c r="F419" s="2"/>
    </row>
    <row r="420" spans="1:6">
      <c r="A420" s="2"/>
      <c r="B420" s="2"/>
      <c r="C420" s="2"/>
      <c r="D420" s="2"/>
      <c r="E420" s="2"/>
      <c r="F420" s="2"/>
    </row>
    <row r="421" spans="1:6">
      <c r="A421" s="2"/>
      <c r="B421" s="2"/>
      <c r="C421" s="2"/>
      <c r="D421" s="2"/>
      <c r="E421" s="2"/>
      <c r="F421" s="2"/>
    </row>
    <row r="422" spans="1:6">
      <c r="A422" s="2"/>
      <c r="B422" s="2"/>
      <c r="C422" s="2"/>
      <c r="D422" s="2"/>
      <c r="E422" s="2"/>
      <c r="F422" s="2"/>
    </row>
    <row r="423" spans="1:6">
      <c r="A423" s="2"/>
      <c r="B423" s="2"/>
      <c r="C423" s="2"/>
      <c r="D423" s="2"/>
      <c r="E423" s="2"/>
      <c r="F423" s="2"/>
    </row>
    <row r="424" spans="1:6">
      <c r="A424" s="2"/>
      <c r="B424" s="2"/>
      <c r="C424" s="2"/>
      <c r="D424" s="2"/>
      <c r="E424" s="2"/>
      <c r="F424" s="2"/>
    </row>
    <row r="425" spans="1:6">
      <c r="A425" s="2"/>
      <c r="B425" s="2"/>
      <c r="C425" s="2"/>
      <c r="D425" s="2"/>
      <c r="E425" s="2"/>
      <c r="F425" s="2"/>
    </row>
    <row r="426" spans="1:6">
      <c r="A426" s="2"/>
      <c r="B426" s="2"/>
      <c r="C426" s="2"/>
      <c r="D426" s="2"/>
      <c r="E426" s="2"/>
      <c r="F426" s="2"/>
    </row>
    <row r="427" spans="1:6">
      <c r="A427" s="2"/>
      <c r="B427" s="2"/>
      <c r="C427" s="2"/>
      <c r="D427" s="2"/>
      <c r="E427" s="2"/>
      <c r="F427" s="2"/>
    </row>
    <row r="428" spans="1:6">
      <c r="A428" s="2"/>
      <c r="B428" s="2"/>
      <c r="C428" s="2"/>
      <c r="D428" s="2"/>
      <c r="E428" s="2"/>
      <c r="F428" s="2"/>
    </row>
    <row r="429" spans="1:6">
      <c r="A429" s="2"/>
      <c r="B429" s="2"/>
      <c r="C429" s="2"/>
      <c r="D429" s="2"/>
      <c r="E429" s="2"/>
      <c r="F429" s="2"/>
    </row>
    <row r="430" spans="1:6">
      <c r="A430" s="2"/>
      <c r="B430" s="2"/>
      <c r="C430" s="2"/>
      <c r="D430" s="2"/>
      <c r="E430" s="2"/>
      <c r="F430" s="2"/>
    </row>
    <row r="431" spans="1:6">
      <c r="A431" s="2"/>
      <c r="B431" s="2"/>
      <c r="C431" s="2"/>
      <c r="D431" s="2"/>
      <c r="E431" s="2"/>
      <c r="F431" s="2"/>
    </row>
    <row r="432" spans="1:6">
      <c r="A432" s="2"/>
      <c r="B432" s="2"/>
      <c r="C432" s="2"/>
      <c r="D432" s="2"/>
      <c r="E432" s="2"/>
      <c r="F432" s="2"/>
    </row>
    <row r="433" spans="1:6">
      <c r="A433" s="2"/>
      <c r="B433" s="2"/>
      <c r="C433" s="2"/>
      <c r="D433" s="2"/>
      <c r="E433" s="2"/>
      <c r="F433" s="2"/>
    </row>
    <row r="434" spans="1:6">
      <c r="A434" s="2"/>
      <c r="B434" s="2"/>
      <c r="C434" s="2"/>
      <c r="D434" s="2"/>
      <c r="E434" s="2"/>
      <c r="F434" s="2"/>
    </row>
    <row r="435" spans="1:6">
      <c r="A435" s="2"/>
      <c r="B435" s="2"/>
      <c r="C435" s="2"/>
      <c r="D435" s="2"/>
      <c r="E435" s="2"/>
      <c r="F435" s="2"/>
    </row>
    <row r="436" spans="1:6">
      <c r="A436" s="2"/>
      <c r="B436" s="2"/>
      <c r="C436" s="2"/>
      <c r="D436" s="2"/>
      <c r="E436" s="2"/>
      <c r="F436" s="2"/>
    </row>
    <row r="437" spans="1:6">
      <c r="A437" s="2"/>
      <c r="B437" s="2"/>
      <c r="C437" s="2"/>
      <c r="D437" s="2"/>
      <c r="E437" s="2"/>
      <c r="F437" s="2"/>
    </row>
    <row r="438" spans="1:6">
      <c r="A438" s="2"/>
      <c r="B438" s="2"/>
      <c r="C438" s="2"/>
      <c r="D438" s="2"/>
      <c r="E438" s="2"/>
      <c r="F438" s="2"/>
    </row>
    <row r="439" spans="1:6">
      <c r="A439" s="2"/>
      <c r="B439" s="2"/>
      <c r="C439" s="2"/>
      <c r="D439" s="2"/>
      <c r="E439" s="2"/>
      <c r="F439" s="2"/>
    </row>
    <row r="440" spans="1:6">
      <c r="A440" s="2"/>
      <c r="B440" s="2"/>
      <c r="C440" s="2"/>
      <c r="D440" s="2"/>
      <c r="E440" s="2"/>
      <c r="F440" s="2"/>
    </row>
    <row r="441" spans="1:6">
      <c r="A441" s="2"/>
      <c r="B441" s="2"/>
      <c r="C441" s="2"/>
      <c r="D441" s="2"/>
      <c r="E441" s="2"/>
      <c r="F441" s="2"/>
    </row>
    <row r="442" spans="1:6">
      <c r="A442" s="2"/>
      <c r="B442" s="2"/>
      <c r="C442" s="2"/>
      <c r="D442" s="2"/>
      <c r="E442" s="2"/>
      <c r="F442" s="2"/>
    </row>
    <row r="443" spans="1:6">
      <c r="A443" s="2"/>
      <c r="B443" s="2"/>
      <c r="C443" s="2"/>
      <c r="D443" s="2"/>
      <c r="E443" s="2"/>
      <c r="F443" s="2"/>
    </row>
    <row r="444" spans="1:6">
      <c r="A444" s="2"/>
      <c r="B444" s="2"/>
      <c r="C444" s="2"/>
      <c r="D444" s="2"/>
      <c r="E444" s="2"/>
      <c r="F444" s="2"/>
    </row>
    <row r="445" spans="1:6">
      <c r="A445" s="2"/>
      <c r="B445" s="2"/>
      <c r="C445" s="2"/>
      <c r="D445" s="2"/>
      <c r="E445" s="2"/>
      <c r="F445" s="2"/>
    </row>
    <row r="446" spans="1:6">
      <c r="A446" s="2"/>
      <c r="B446" s="2"/>
      <c r="C446" s="2"/>
      <c r="D446" s="2"/>
      <c r="E446" s="2"/>
      <c r="F446" s="2"/>
    </row>
    <row r="447" spans="1:6">
      <c r="A447" s="2"/>
      <c r="B447" s="2"/>
      <c r="C447" s="2"/>
      <c r="D447" s="2"/>
      <c r="E447" s="2"/>
      <c r="F447" s="2"/>
    </row>
    <row r="448" spans="1:6">
      <c r="A448" s="2"/>
      <c r="B448" s="2"/>
      <c r="C448" s="2"/>
      <c r="D448" s="2"/>
      <c r="E448" s="2"/>
      <c r="F448" s="2"/>
    </row>
    <row r="449" spans="1:6">
      <c r="A449" s="2"/>
      <c r="B449" s="2"/>
      <c r="C449" s="2"/>
      <c r="D449" s="2"/>
      <c r="E449" s="2"/>
      <c r="F449" s="2"/>
    </row>
    <row r="450" spans="1:6">
      <c r="A450" s="2"/>
      <c r="B450" s="2"/>
      <c r="C450" s="2"/>
      <c r="D450" s="2"/>
      <c r="E450" s="2"/>
      <c r="F450" s="2"/>
    </row>
    <row r="451" spans="1:6">
      <c r="A451" s="2"/>
      <c r="B451" s="2"/>
      <c r="C451" s="2"/>
      <c r="D451" s="2"/>
      <c r="E451" s="2"/>
      <c r="F451" s="2"/>
    </row>
    <row r="452" spans="1:6">
      <c r="A452" s="2"/>
      <c r="B452" s="2"/>
      <c r="C452" s="2"/>
      <c r="D452" s="2"/>
      <c r="E452" s="2"/>
      <c r="F452" s="2"/>
    </row>
    <row r="453" spans="1:6">
      <c r="A453" s="2"/>
      <c r="B453" s="2"/>
      <c r="C453" s="2"/>
      <c r="D453" s="2"/>
      <c r="E453" s="2"/>
      <c r="F453" s="2"/>
    </row>
    <row r="454" spans="1:6">
      <c r="A454" s="2"/>
      <c r="B454" s="2"/>
      <c r="C454" s="2"/>
      <c r="D454" s="2"/>
      <c r="E454" s="2"/>
      <c r="F454" s="2"/>
    </row>
    <row r="455" spans="1:6">
      <c r="A455" s="2"/>
      <c r="B455" s="2"/>
      <c r="C455" s="2"/>
      <c r="D455" s="2"/>
      <c r="E455" s="2"/>
      <c r="F455" s="2"/>
    </row>
    <row r="456" spans="1:6">
      <c r="A456" s="2"/>
      <c r="B456" s="2"/>
      <c r="C456" s="2"/>
      <c r="D456" s="2"/>
      <c r="E456" s="2"/>
      <c r="F456" s="2"/>
    </row>
    <row r="457" spans="1:6">
      <c r="A457" s="2"/>
      <c r="B457" s="2"/>
      <c r="C457" s="2"/>
      <c r="D457" s="2"/>
      <c r="E457" s="2"/>
      <c r="F457" s="2"/>
    </row>
    <row r="458" spans="1:6">
      <c r="A458" s="2"/>
      <c r="B458" s="2"/>
      <c r="C458" s="2"/>
      <c r="D458" s="2"/>
      <c r="E458" s="2"/>
      <c r="F458" s="2"/>
    </row>
    <row r="459" spans="1:6">
      <c r="A459" s="2"/>
      <c r="B459" s="2"/>
      <c r="C459" s="2"/>
      <c r="D459" s="2"/>
      <c r="E459" s="2"/>
      <c r="F459" s="2"/>
    </row>
    <row r="460" spans="1:6">
      <c r="A460" s="2"/>
      <c r="B460" s="2"/>
      <c r="C460" s="2"/>
      <c r="D460" s="2"/>
      <c r="E460" s="2"/>
      <c r="F460" s="2"/>
    </row>
    <row r="461" spans="1:6">
      <c r="A461" s="2"/>
      <c r="B461" s="2"/>
      <c r="C461" s="2"/>
      <c r="D461" s="2"/>
      <c r="E461" s="2"/>
      <c r="F461" s="2"/>
    </row>
    <row r="462" spans="1:6">
      <c r="A462" s="2"/>
      <c r="B462" s="2"/>
      <c r="C462" s="2"/>
      <c r="D462" s="2"/>
      <c r="E462" s="2"/>
      <c r="F462" s="2"/>
    </row>
    <row r="463" spans="1:6">
      <c r="A463" s="2"/>
      <c r="B463" s="2"/>
      <c r="C463" s="2"/>
      <c r="D463" s="2"/>
      <c r="E463" s="2"/>
      <c r="F463" s="2"/>
    </row>
    <row r="464" spans="1:6">
      <c r="A464" s="2"/>
      <c r="B464" s="2"/>
      <c r="C464" s="2"/>
      <c r="D464" s="2"/>
      <c r="E464" s="2"/>
      <c r="F464" s="2"/>
    </row>
    <row r="465" spans="1:6">
      <c r="A465" s="2"/>
      <c r="B465" s="2"/>
      <c r="C465" s="2"/>
      <c r="D465" s="2"/>
      <c r="E465" s="2"/>
      <c r="F465" s="2"/>
    </row>
    <row r="466" spans="1:6">
      <c r="A466" s="2"/>
      <c r="B466" s="2"/>
      <c r="C466" s="2"/>
      <c r="D466" s="2"/>
      <c r="E466" s="2"/>
      <c r="F466" s="2"/>
    </row>
    <row r="467" spans="1:6">
      <c r="A467" s="2"/>
      <c r="B467" s="2"/>
      <c r="C467" s="2"/>
      <c r="D467" s="2"/>
      <c r="E467" s="2"/>
      <c r="F467" s="2"/>
    </row>
    <row r="468" spans="1:6">
      <c r="A468" s="2"/>
      <c r="B468" s="2"/>
      <c r="C468" s="2"/>
      <c r="D468" s="2"/>
      <c r="E468" s="2"/>
      <c r="F468" s="2"/>
    </row>
    <row r="469" spans="1:6">
      <c r="A469" s="2"/>
      <c r="B469" s="2"/>
      <c r="C469" s="2"/>
      <c r="D469" s="2"/>
      <c r="E469" s="2"/>
      <c r="F469" s="2"/>
    </row>
    <row r="470" spans="1:6">
      <c r="A470" s="2"/>
      <c r="B470" s="2"/>
      <c r="C470" s="2"/>
      <c r="D470" s="2"/>
      <c r="E470" s="2"/>
      <c r="F470" s="2"/>
    </row>
    <row r="471" spans="1:6">
      <c r="A471" s="2"/>
      <c r="B471" s="2"/>
      <c r="C471" s="2"/>
      <c r="D471" s="2"/>
      <c r="E471" s="2"/>
      <c r="F471" s="2"/>
    </row>
    <row r="472" spans="1:6">
      <c r="A472" s="2"/>
      <c r="B472" s="2"/>
      <c r="C472" s="2"/>
      <c r="D472" s="2"/>
      <c r="E472" s="2"/>
      <c r="F472" s="2"/>
    </row>
    <row r="473" spans="1:6">
      <c r="A473" s="2"/>
      <c r="B473" s="2"/>
      <c r="C473" s="2"/>
      <c r="D473" s="2"/>
      <c r="E473" s="2"/>
      <c r="F473" s="2"/>
    </row>
    <row r="474" spans="1:6">
      <c r="A474" s="2"/>
      <c r="B474" s="2"/>
      <c r="C474" s="2"/>
      <c r="D474" s="2"/>
      <c r="E474" s="2"/>
      <c r="F474" s="2"/>
    </row>
    <row r="475" spans="1:6">
      <c r="A475" s="2"/>
      <c r="B475" s="2"/>
      <c r="C475" s="2"/>
      <c r="D475" s="2"/>
      <c r="E475" s="2"/>
      <c r="F475" s="2"/>
    </row>
    <row r="476" spans="1:6">
      <c r="A476" s="2"/>
      <c r="B476" s="2"/>
      <c r="C476" s="2"/>
      <c r="D476" s="2"/>
      <c r="E476" s="2"/>
      <c r="F476" s="2"/>
    </row>
    <row r="477" spans="1:6">
      <c r="A477" s="2"/>
      <c r="B477" s="2"/>
      <c r="C477" s="2"/>
      <c r="D477" s="2"/>
      <c r="E477" s="2"/>
      <c r="F477" s="2"/>
    </row>
    <row r="478" spans="1:6">
      <c r="A478" s="2"/>
      <c r="B478" s="2"/>
      <c r="C478" s="2"/>
      <c r="D478" s="2"/>
      <c r="E478" s="2"/>
      <c r="F478" s="2"/>
    </row>
    <row r="479" spans="1:6">
      <c r="A479" s="2"/>
      <c r="B479" s="2"/>
      <c r="C479" s="2"/>
      <c r="D479" s="2"/>
      <c r="E479" s="2"/>
      <c r="F479" s="2"/>
    </row>
    <row r="480" spans="1:6">
      <c r="A480" s="2"/>
      <c r="B480" s="2"/>
      <c r="C480" s="2"/>
      <c r="D480" s="2"/>
      <c r="E480" s="2"/>
      <c r="F480" s="2"/>
    </row>
    <row r="481" spans="1:6">
      <c r="A481" s="2"/>
      <c r="B481" s="2"/>
      <c r="C481" s="2"/>
      <c r="D481" s="2"/>
      <c r="E481" s="2"/>
      <c r="F481" s="2"/>
    </row>
    <row r="482" spans="1:6">
      <c r="A482" s="2"/>
      <c r="B482" s="2"/>
      <c r="C482" s="2"/>
      <c r="D482" s="2"/>
      <c r="E482" s="2"/>
      <c r="F482" s="2"/>
    </row>
    <row r="483" spans="1:6">
      <c r="A483" s="2"/>
      <c r="B483" s="2"/>
      <c r="C483" s="2"/>
      <c r="D483" s="2"/>
      <c r="E483" s="2"/>
      <c r="F483" s="2"/>
    </row>
    <row r="484" spans="1:6">
      <c r="A484" s="2"/>
      <c r="B484" s="2"/>
      <c r="C484" s="2"/>
      <c r="D484" s="2"/>
      <c r="E484" s="2"/>
      <c r="F484" s="2"/>
    </row>
    <row r="485" spans="1:6">
      <c r="A485" s="2"/>
      <c r="B485" s="2"/>
      <c r="C485" s="2"/>
      <c r="D485" s="2"/>
      <c r="E485" s="2"/>
      <c r="F485" s="2"/>
    </row>
    <row r="486" spans="1:6">
      <c r="A486" s="2"/>
      <c r="B486" s="2"/>
      <c r="C486" s="2"/>
      <c r="D486" s="2"/>
      <c r="E486" s="2"/>
      <c r="F486" s="2"/>
    </row>
    <row r="487" spans="1:6">
      <c r="A487" s="2"/>
      <c r="B487" s="2"/>
      <c r="C487" s="2"/>
      <c r="D487" s="2"/>
      <c r="E487" s="2"/>
      <c r="F487" s="2"/>
    </row>
    <row r="488" spans="1:6">
      <c r="A488" s="2"/>
      <c r="B488" s="2"/>
      <c r="C488" s="2"/>
      <c r="D488" s="2"/>
      <c r="E488" s="2"/>
      <c r="F488" s="2"/>
    </row>
    <row r="489" spans="1:6">
      <c r="A489" s="2"/>
      <c r="B489" s="2"/>
      <c r="C489" s="2"/>
      <c r="D489" s="2"/>
      <c r="E489" s="2"/>
      <c r="F489" s="2"/>
    </row>
    <row r="490" spans="1:6">
      <c r="A490" s="2"/>
      <c r="B490" s="2"/>
      <c r="C490" s="2"/>
      <c r="D490" s="2"/>
      <c r="E490" s="2"/>
      <c r="F490" s="2"/>
    </row>
    <row r="491" spans="1:6">
      <c r="A491" s="2"/>
      <c r="B491" s="2"/>
      <c r="C491" s="2"/>
      <c r="D491" s="2"/>
      <c r="E491" s="2"/>
      <c r="F491" s="2"/>
    </row>
    <row r="492" spans="1:6">
      <c r="A492" s="2"/>
      <c r="B492" s="2"/>
      <c r="C492" s="2"/>
      <c r="D492" s="2"/>
      <c r="E492" s="2"/>
      <c r="F492" s="2"/>
    </row>
    <row r="493" spans="1:6">
      <c r="A493" s="2"/>
      <c r="B493" s="2"/>
      <c r="C493" s="2"/>
      <c r="D493" s="2"/>
      <c r="E493" s="2"/>
      <c r="F493" s="2"/>
    </row>
    <row r="494" spans="1:6">
      <c r="A494" s="2"/>
      <c r="B494" s="2"/>
      <c r="C494" s="2"/>
      <c r="D494" s="2"/>
      <c r="E494" s="2"/>
      <c r="F494" s="2"/>
    </row>
    <row r="495" spans="1:6">
      <c r="A495" s="2"/>
      <c r="B495" s="2"/>
      <c r="C495" s="2"/>
      <c r="D495" s="2"/>
      <c r="E495" s="2"/>
      <c r="F495" s="2"/>
    </row>
    <row r="496" spans="1:6">
      <c r="A496" s="2"/>
      <c r="B496" s="2"/>
      <c r="C496" s="2"/>
      <c r="D496" s="2"/>
      <c r="E496" s="2"/>
      <c r="F496" s="2"/>
    </row>
    <row r="497" spans="1:6">
      <c r="A497" s="2"/>
      <c r="B497" s="2"/>
      <c r="C497" s="2"/>
      <c r="D497" s="2"/>
      <c r="E497" s="2"/>
      <c r="F497" s="2"/>
    </row>
    <row r="498" spans="1:6">
      <c r="A498" s="2"/>
      <c r="B498" s="2"/>
      <c r="C498" s="2"/>
      <c r="D498" s="2"/>
      <c r="E498" s="2"/>
      <c r="F498" s="2"/>
    </row>
    <row r="499" spans="1:6">
      <c r="A499" s="2"/>
      <c r="B499" s="2"/>
      <c r="C499" s="2"/>
      <c r="D499" s="2"/>
      <c r="E499" s="2"/>
      <c r="F499" s="2"/>
    </row>
    <row r="500" spans="1:6">
      <c r="A500" s="2"/>
      <c r="B500" s="2"/>
      <c r="C500" s="2"/>
      <c r="D500" s="2"/>
      <c r="E500" s="2"/>
      <c r="F500" s="2"/>
    </row>
    <row r="501" spans="1:6">
      <c r="A501" s="2"/>
      <c r="B501" s="2"/>
      <c r="C501" s="2"/>
      <c r="D501" s="2"/>
      <c r="E501" s="2"/>
      <c r="F501" s="2"/>
    </row>
    <row r="502" spans="1:6">
      <c r="A502" s="2"/>
      <c r="B502" s="2"/>
      <c r="C502" s="2"/>
      <c r="D502" s="2"/>
      <c r="E502" s="2"/>
      <c r="F502" s="2"/>
    </row>
    <row r="503" spans="1:6">
      <c r="A503" s="2"/>
      <c r="B503" s="2"/>
      <c r="C503" s="2"/>
      <c r="D503" s="2"/>
      <c r="E503" s="2"/>
      <c r="F503" s="2"/>
    </row>
    <row r="504" spans="1:6">
      <c r="A504" s="2"/>
      <c r="B504" s="2"/>
      <c r="C504" s="2"/>
      <c r="D504" s="2"/>
      <c r="E504" s="2"/>
      <c r="F504" s="2"/>
    </row>
    <row r="505" spans="1:6">
      <c r="A505" s="2"/>
      <c r="B505" s="2"/>
      <c r="C505" s="2"/>
      <c r="D505" s="2"/>
      <c r="E505" s="2"/>
      <c r="F505" s="2"/>
    </row>
    <row r="506" spans="1:6">
      <c r="A506" s="2"/>
      <c r="B506" s="2"/>
      <c r="C506" s="2"/>
      <c r="D506" s="2"/>
      <c r="E506" s="2"/>
      <c r="F506" s="2"/>
    </row>
    <row r="507" spans="1:6">
      <c r="A507" s="2"/>
      <c r="B507" s="2"/>
      <c r="C507" s="2"/>
      <c r="D507" s="2"/>
      <c r="E507" s="2"/>
      <c r="F507" s="2"/>
    </row>
    <row r="508" spans="1:6">
      <c r="A508" s="2"/>
      <c r="B508" s="2"/>
      <c r="C508" s="2"/>
      <c r="D508" s="2"/>
      <c r="E508" s="2"/>
      <c r="F508" s="2"/>
    </row>
    <row r="509" spans="1:6">
      <c r="A509" s="2"/>
      <c r="B509" s="2"/>
      <c r="C509" s="2"/>
      <c r="D509" s="2"/>
      <c r="E509" s="2"/>
      <c r="F509" s="2"/>
    </row>
    <row r="510" spans="1:6">
      <c r="A510" s="2"/>
      <c r="B510" s="2"/>
      <c r="C510" s="2"/>
      <c r="D510" s="2"/>
      <c r="E510" s="2"/>
      <c r="F510" s="2"/>
    </row>
    <row r="511" spans="1:6">
      <c r="A511" s="2"/>
      <c r="B511" s="2"/>
      <c r="C511" s="2"/>
      <c r="D511" s="2"/>
      <c r="E511" s="2"/>
      <c r="F511" s="2"/>
    </row>
    <row r="512" spans="1:6">
      <c r="A512" s="2"/>
      <c r="B512" s="2"/>
      <c r="C512" s="2"/>
      <c r="D512" s="2"/>
      <c r="E512" s="2"/>
      <c r="F512" s="2"/>
    </row>
    <row r="513" spans="1:6">
      <c r="A513" s="2"/>
      <c r="B513" s="2"/>
      <c r="C513" s="2"/>
      <c r="D513" s="2"/>
      <c r="E513" s="2"/>
      <c r="F513" s="2"/>
    </row>
    <row r="514" spans="1:6">
      <c r="A514" s="2"/>
      <c r="B514" s="2"/>
      <c r="C514" s="2"/>
      <c r="D514" s="2"/>
      <c r="E514" s="2"/>
      <c r="F514" s="2"/>
    </row>
    <row r="515" spans="1:6">
      <c r="A515" s="2"/>
      <c r="B515" s="2"/>
      <c r="C515" s="2"/>
      <c r="D515" s="2"/>
      <c r="E515" s="2"/>
      <c r="F515" s="2"/>
    </row>
    <row r="516" spans="1:6">
      <c r="A516" s="2"/>
      <c r="B516" s="2"/>
      <c r="C516" s="2"/>
      <c r="D516" s="2"/>
      <c r="E516" s="2"/>
      <c r="F516" s="2"/>
    </row>
    <row r="517" spans="1:6">
      <c r="A517" s="2"/>
      <c r="B517" s="2"/>
      <c r="C517" s="2"/>
      <c r="D517" s="2"/>
      <c r="E517" s="2"/>
      <c r="F517" s="2"/>
    </row>
    <row r="518" spans="1:6">
      <c r="A518" s="2"/>
      <c r="B518" s="2"/>
      <c r="C518" s="2"/>
      <c r="D518" s="2"/>
      <c r="E518" s="2"/>
      <c r="F518" s="2"/>
    </row>
    <row r="519" spans="1:6">
      <c r="A519" s="2"/>
      <c r="B519" s="2"/>
      <c r="C519" s="2"/>
      <c r="D519" s="2"/>
      <c r="E519" s="2"/>
      <c r="F519" s="2"/>
    </row>
    <row r="520" spans="1:6">
      <c r="A520" s="2"/>
      <c r="B520" s="2"/>
      <c r="C520" s="2"/>
      <c r="D520" s="2"/>
      <c r="E520" s="2"/>
      <c r="F520" s="2"/>
    </row>
    <row r="521" spans="1:6">
      <c r="A521" s="2"/>
      <c r="B521" s="2"/>
      <c r="C521" s="2"/>
      <c r="D521" s="2"/>
      <c r="E521" s="2"/>
      <c r="F521" s="2"/>
    </row>
    <row r="522" spans="1:6">
      <c r="A522" s="2"/>
      <c r="B522" s="2"/>
      <c r="C522" s="2"/>
      <c r="D522" s="2"/>
      <c r="E522" s="2"/>
      <c r="F522" s="2"/>
    </row>
    <row r="523" spans="1:6">
      <c r="A523" s="2"/>
      <c r="B523" s="2"/>
      <c r="C523" s="2"/>
      <c r="D523" s="2"/>
      <c r="E523" s="2"/>
      <c r="F523" s="2"/>
    </row>
    <row r="524" spans="1:6">
      <c r="A524" s="2"/>
      <c r="B524" s="2"/>
      <c r="C524" s="2"/>
      <c r="D524" s="2"/>
      <c r="E524" s="2"/>
      <c r="F524" s="2"/>
    </row>
    <row r="525" spans="1:6">
      <c r="A525" s="2"/>
      <c r="B525" s="2"/>
      <c r="C525" s="2"/>
      <c r="D525" s="2"/>
      <c r="E525" s="2"/>
      <c r="F525" s="2"/>
    </row>
    <row r="526" spans="1:6">
      <c r="A526" s="2"/>
      <c r="B526" s="2"/>
      <c r="C526" s="2"/>
      <c r="D526" s="2"/>
      <c r="E526" s="2"/>
      <c r="F526" s="2"/>
    </row>
    <row r="527" spans="1:6">
      <c r="A527" s="2"/>
      <c r="B527" s="2"/>
      <c r="C527" s="2"/>
      <c r="D527" s="2"/>
      <c r="E527" s="2"/>
      <c r="F527" s="2"/>
    </row>
    <row r="528" spans="1:6">
      <c r="A528" s="2"/>
      <c r="B528" s="2"/>
      <c r="C528" s="2"/>
      <c r="D528" s="2"/>
      <c r="E528" s="2"/>
      <c r="F528" s="2"/>
    </row>
    <row r="529" spans="1:6">
      <c r="A529" s="2"/>
      <c r="B529" s="2"/>
      <c r="C529" s="2"/>
      <c r="D529" s="2"/>
      <c r="E529" s="2"/>
      <c r="F529" s="2"/>
    </row>
    <row r="530" spans="1:6">
      <c r="A530" s="2"/>
      <c r="B530" s="2"/>
      <c r="C530" s="2"/>
      <c r="D530" s="2"/>
      <c r="E530" s="2"/>
      <c r="F530" s="2"/>
    </row>
    <row r="531" spans="1:6">
      <c r="A531" s="2"/>
      <c r="B531" s="2"/>
      <c r="C531" s="2"/>
      <c r="D531" s="2"/>
      <c r="E531" s="2"/>
      <c r="F531" s="2"/>
    </row>
  </sheetData>
  <mergeCells count="1">
    <mergeCell ref="L1:M11"/>
  </mergeCells>
  <phoneticPr fontId="1" type="noConversion"/>
  <conditionalFormatting sqref="H2:I360">
    <cfRule type="containsText" dxfId="44" priority="8" operator="containsText" text="Warning">
      <formula>NOT(ISERROR(SEARCH("Warning",H2)))</formula>
    </cfRule>
  </conditionalFormatting>
  <conditionalFormatting sqref="H2:H360">
    <cfRule type="containsText" dxfId="43" priority="4" operator="containsText" text="快要 O.O.C 啦">
      <formula>NOT(ISERROR(SEARCH("快要 O.O.C 啦",H2)))</formula>
    </cfRule>
  </conditionalFormatting>
  <conditionalFormatting sqref="H2:H360">
    <cfRule type="containsText" dxfId="42" priority="3" operator="containsText" text="超出規格 O.O.C 啦">
      <formula>NOT(ISERROR(SEARCH("超出規格 O.O.C 啦",H2)))</formula>
    </cfRule>
  </conditionalFormatting>
  <conditionalFormatting sqref="I2:I360">
    <cfRule type="containsText" dxfId="41" priority="1" operator="containsText" text="超出規格 O.O.C 啦">
      <formula>NOT(ISERROR(SEARCH("超出規格 O.O.C 啦",I2)))</formula>
    </cfRule>
    <cfRule type="containsText" dxfId="40" priority="2" operator="containsText" text="快要 O.O.C 啦">
      <formula>NOT(ISERROR(SEARCH("快要 O.O.C 啦",I2)))</formula>
    </cfRule>
  </conditionalFormatting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1"/>
  <sheetViews>
    <sheetView workbookViewId="0">
      <selection activeCell="F2" sqref="F2"/>
    </sheetView>
  </sheetViews>
  <sheetFormatPr defaultColWidth="27.5" defaultRowHeight="16.5"/>
  <cols>
    <col min="1" max="1" width="16" style="1" customWidth="1"/>
    <col min="2" max="2" width="14.75" style="1" customWidth="1"/>
    <col min="3" max="3" width="16" style="1" customWidth="1"/>
    <col min="4" max="4" width="9" style="1" customWidth="1"/>
    <col min="5" max="5" width="11.375" customWidth="1"/>
    <col min="6" max="6" width="17.25" style="1" customWidth="1"/>
    <col min="7" max="7" width="16.875" style="1" bestFit="1" customWidth="1"/>
    <col min="9" max="9" width="16.375" style="1" bestFit="1" customWidth="1"/>
    <col min="10" max="10" width="13.75" style="1" customWidth="1"/>
    <col min="11" max="16384" width="27.5" style="2"/>
  </cols>
  <sheetData>
    <row r="1" spans="1:10">
      <c r="A1" s="1" t="s">
        <v>9</v>
      </c>
      <c r="B1" s="1" t="s">
        <v>1</v>
      </c>
      <c r="C1" s="1" t="s">
        <v>0</v>
      </c>
      <c r="D1" s="1" t="s">
        <v>8</v>
      </c>
      <c r="E1" s="1" t="s">
        <v>2</v>
      </c>
      <c r="F1" s="1" t="s">
        <v>3</v>
      </c>
      <c r="G1" s="2"/>
      <c r="H1" s="2"/>
      <c r="I1" s="2"/>
      <c r="J1" s="2"/>
    </row>
    <row r="2" spans="1:10">
      <c r="B2" s="3"/>
      <c r="E2" s="1"/>
      <c r="G2" s="2"/>
      <c r="H2" s="2"/>
      <c r="I2" s="2"/>
      <c r="J2" s="2"/>
    </row>
    <row r="3" spans="1:10">
      <c r="E3" s="2"/>
      <c r="G3" s="2"/>
      <c r="H3" s="2"/>
      <c r="I3" s="2"/>
      <c r="J3" s="2"/>
    </row>
    <row r="4" spans="1:10">
      <c r="E4" s="2"/>
      <c r="G4" s="2"/>
      <c r="H4" s="2"/>
      <c r="I4" s="2"/>
      <c r="J4" s="2"/>
    </row>
    <row r="5" spans="1:10">
      <c r="E5" s="2"/>
      <c r="G5" s="2"/>
      <c r="H5" s="2"/>
      <c r="I5" s="2"/>
      <c r="J5" s="2"/>
    </row>
    <row r="6" spans="1:10">
      <c r="E6" s="2"/>
      <c r="G6" s="2"/>
      <c r="H6" s="2"/>
      <c r="I6" s="2"/>
      <c r="J6" s="2"/>
    </row>
    <row r="7" spans="1:10">
      <c r="E7" s="2"/>
      <c r="G7" s="2"/>
      <c r="H7" s="2"/>
      <c r="I7" s="2"/>
      <c r="J7" s="2"/>
    </row>
    <row r="8" spans="1:10">
      <c r="E8" s="2"/>
      <c r="G8" s="2"/>
      <c r="H8" s="2"/>
      <c r="I8" s="2"/>
      <c r="J8" s="2"/>
    </row>
    <row r="9" spans="1:10">
      <c r="E9" s="2"/>
      <c r="G9" s="2"/>
      <c r="H9" s="2"/>
      <c r="I9" s="2"/>
      <c r="J9" s="2"/>
    </row>
    <row r="10" spans="1:10">
      <c r="E10" s="2"/>
      <c r="G10" s="2"/>
      <c r="H10" s="2"/>
      <c r="I10" s="2"/>
      <c r="J10" s="2"/>
    </row>
    <row r="11" spans="1:10">
      <c r="E11" s="2"/>
      <c r="H11" s="2"/>
    </row>
    <row r="12" spans="1:10">
      <c r="E12" s="2"/>
      <c r="H12" s="2"/>
    </row>
    <row r="13" spans="1:10">
      <c r="E13" s="2"/>
      <c r="H13" s="2"/>
    </row>
    <row r="14" spans="1:10">
      <c r="E14" s="2"/>
      <c r="H14" s="2"/>
    </row>
    <row r="15" spans="1:10">
      <c r="E15" s="2"/>
      <c r="H15" s="2"/>
    </row>
    <row r="16" spans="1:10">
      <c r="E16" s="2"/>
      <c r="H16" s="2"/>
    </row>
    <row r="17" spans="5:8">
      <c r="E17" s="2"/>
      <c r="H17" s="2"/>
    </row>
    <row r="18" spans="5:8">
      <c r="E18" s="2"/>
      <c r="H18" s="2"/>
    </row>
    <row r="19" spans="5:8">
      <c r="E19" s="2"/>
      <c r="H19" s="2"/>
    </row>
    <row r="20" spans="5:8">
      <c r="E20" s="2"/>
      <c r="H20" s="2"/>
    </row>
    <row r="21" spans="5:8">
      <c r="E21" s="2"/>
      <c r="H21" s="2"/>
    </row>
    <row r="22" spans="5:8">
      <c r="E22" s="2"/>
      <c r="H22" s="2"/>
    </row>
    <row r="23" spans="5:8">
      <c r="E23" s="2"/>
      <c r="H23" s="2"/>
    </row>
    <row r="24" spans="5:8">
      <c r="E24" s="2"/>
      <c r="H24" s="2"/>
    </row>
    <row r="25" spans="5:8">
      <c r="E25" s="2"/>
      <c r="H25" s="2"/>
    </row>
    <row r="26" spans="5:8">
      <c r="E26" s="2"/>
      <c r="H26" s="2"/>
    </row>
    <row r="27" spans="5:8">
      <c r="E27" s="2"/>
      <c r="H27" s="2"/>
    </row>
    <row r="28" spans="5:8">
      <c r="E28" s="2"/>
      <c r="H28" s="2"/>
    </row>
    <row r="29" spans="5:8">
      <c r="E29" s="2"/>
      <c r="H29" s="2"/>
    </row>
    <row r="30" spans="5:8">
      <c r="E30" s="2"/>
      <c r="H30" s="2"/>
    </row>
    <row r="31" spans="5:8">
      <c r="E31" s="2"/>
      <c r="H31" s="2"/>
    </row>
    <row r="32" spans="5:8">
      <c r="E32" s="2"/>
      <c r="H32" s="2"/>
    </row>
    <row r="33" spans="5:8">
      <c r="E33" s="2"/>
      <c r="H33" s="2"/>
    </row>
    <row r="34" spans="5:8">
      <c r="E34" s="2"/>
      <c r="H34" s="2"/>
    </row>
    <row r="35" spans="5:8">
      <c r="E35" s="2"/>
      <c r="H35" s="2"/>
    </row>
    <row r="36" spans="5:8">
      <c r="E36" s="2"/>
      <c r="H36" s="2"/>
    </row>
    <row r="37" spans="5:8">
      <c r="E37" s="2"/>
      <c r="H37" s="2"/>
    </row>
    <row r="38" spans="5:8">
      <c r="E38" s="2"/>
      <c r="H38" s="2"/>
    </row>
    <row r="39" spans="5:8">
      <c r="E39" s="2"/>
      <c r="H39" s="2"/>
    </row>
    <row r="40" spans="5:8">
      <c r="E40" s="2"/>
      <c r="H40" s="2"/>
    </row>
    <row r="41" spans="5:8">
      <c r="E41" s="2"/>
      <c r="H41" s="2"/>
    </row>
    <row r="42" spans="5:8">
      <c r="E42" s="2"/>
      <c r="H42" s="2"/>
    </row>
    <row r="43" spans="5:8">
      <c r="E43" s="2"/>
      <c r="H43" s="2"/>
    </row>
    <row r="44" spans="5:8">
      <c r="E44" s="2"/>
      <c r="H44" s="2"/>
    </row>
    <row r="45" spans="5:8">
      <c r="E45" s="2"/>
      <c r="H45" s="2"/>
    </row>
    <row r="46" spans="5:8">
      <c r="E46" s="2"/>
      <c r="H46" s="2"/>
    </row>
    <row r="47" spans="5:8">
      <c r="E47" s="2"/>
      <c r="H47" s="2"/>
    </row>
    <row r="48" spans="5:8">
      <c r="E48" s="2"/>
      <c r="H48" s="2"/>
    </row>
    <row r="49" spans="5:8">
      <c r="E49" s="2"/>
      <c r="H49" s="2"/>
    </row>
    <row r="50" spans="5:8">
      <c r="E50" s="2"/>
      <c r="H50" s="2"/>
    </row>
    <row r="51" spans="5:8">
      <c r="E51" s="2"/>
      <c r="H51" s="2"/>
    </row>
    <row r="52" spans="5:8">
      <c r="E52" s="2"/>
      <c r="H52" s="2"/>
    </row>
    <row r="53" spans="5:8">
      <c r="E53" s="2"/>
      <c r="H53" s="2"/>
    </row>
    <row r="54" spans="5:8">
      <c r="E54" s="2"/>
      <c r="H54" s="2"/>
    </row>
    <row r="55" spans="5:8">
      <c r="E55" s="2"/>
      <c r="H55" s="2"/>
    </row>
    <row r="56" spans="5:8">
      <c r="E56" s="2"/>
      <c r="H56" s="2"/>
    </row>
    <row r="57" spans="5:8">
      <c r="E57" s="2"/>
      <c r="H57" s="2"/>
    </row>
    <row r="58" spans="5:8">
      <c r="E58" s="2"/>
      <c r="H58" s="2"/>
    </row>
    <row r="59" spans="5:8">
      <c r="E59" s="2"/>
      <c r="H59" s="2"/>
    </row>
    <row r="60" spans="5:8">
      <c r="E60" s="2"/>
      <c r="H60" s="2"/>
    </row>
    <row r="61" spans="5:8">
      <c r="E61" s="2"/>
      <c r="H61" s="2"/>
    </row>
    <row r="62" spans="5:8">
      <c r="E62" s="2"/>
      <c r="H62" s="2"/>
    </row>
    <row r="63" spans="5:8">
      <c r="E63" s="2"/>
      <c r="H63" s="2"/>
    </row>
    <row r="64" spans="5:8">
      <c r="E64" s="2"/>
      <c r="H64" s="2"/>
    </row>
    <row r="65" spans="5:8">
      <c r="E65" s="2"/>
      <c r="H65" s="2"/>
    </row>
    <row r="66" spans="5:8">
      <c r="E66" s="2"/>
      <c r="H66" s="2"/>
    </row>
    <row r="67" spans="5:8">
      <c r="E67" s="2"/>
      <c r="H67" s="2"/>
    </row>
    <row r="68" spans="5:8">
      <c r="E68" s="2"/>
      <c r="H68" s="2"/>
    </row>
    <row r="69" spans="5:8">
      <c r="E69" s="2"/>
      <c r="H69" s="2"/>
    </row>
    <row r="70" spans="5:8">
      <c r="E70" s="2"/>
      <c r="H70" s="2"/>
    </row>
    <row r="71" spans="5:8">
      <c r="E71" s="2"/>
      <c r="H71" s="2"/>
    </row>
    <row r="72" spans="5:8">
      <c r="E72" s="2"/>
      <c r="H72" s="2"/>
    </row>
    <row r="73" spans="5:8">
      <c r="E73" s="2"/>
      <c r="H73" s="2"/>
    </row>
    <row r="74" spans="5:8">
      <c r="E74" s="2"/>
      <c r="H74" s="2"/>
    </row>
    <row r="75" spans="5:8">
      <c r="E75" s="2"/>
      <c r="H75" s="2"/>
    </row>
    <row r="76" spans="5:8">
      <c r="E76" s="2"/>
      <c r="H76" s="2"/>
    </row>
    <row r="77" spans="5:8">
      <c r="E77" s="2"/>
      <c r="H77" s="2"/>
    </row>
    <row r="78" spans="5:8">
      <c r="E78" s="2"/>
      <c r="H78" s="2"/>
    </row>
    <row r="79" spans="5:8">
      <c r="E79" s="2"/>
      <c r="H79" s="2"/>
    </row>
    <row r="80" spans="5:8">
      <c r="E80" s="2"/>
      <c r="H80" s="2"/>
    </row>
    <row r="81" spans="5:8">
      <c r="E81" s="2"/>
      <c r="H81" s="2"/>
    </row>
    <row r="82" spans="5:8">
      <c r="E82" s="2"/>
      <c r="H82" s="2"/>
    </row>
    <row r="83" spans="5:8">
      <c r="E83" s="2"/>
      <c r="H83" s="2"/>
    </row>
    <row r="84" spans="5:8">
      <c r="E84" s="2"/>
      <c r="H84" s="2"/>
    </row>
    <row r="85" spans="5:8">
      <c r="E85" s="2"/>
      <c r="H85" s="2"/>
    </row>
    <row r="86" spans="5:8">
      <c r="E86" s="2"/>
      <c r="H86" s="2"/>
    </row>
    <row r="87" spans="5:8">
      <c r="E87" s="2"/>
      <c r="H87" s="2"/>
    </row>
    <row r="88" spans="5:8">
      <c r="E88" s="2"/>
      <c r="H88" s="2"/>
    </row>
    <row r="89" spans="5:8">
      <c r="E89" s="2"/>
      <c r="H89" s="2"/>
    </row>
    <row r="90" spans="5:8">
      <c r="E90" s="2"/>
      <c r="H90" s="2"/>
    </row>
    <row r="91" spans="5:8">
      <c r="E91" s="2"/>
      <c r="H91" s="2"/>
    </row>
    <row r="92" spans="5:8">
      <c r="E92" s="2"/>
      <c r="H92" s="2"/>
    </row>
    <row r="93" spans="5:8">
      <c r="E93" s="2"/>
      <c r="H93" s="2"/>
    </row>
    <row r="94" spans="5:8">
      <c r="E94" s="2"/>
      <c r="H94" s="2"/>
    </row>
    <row r="95" spans="5:8">
      <c r="E95" s="2"/>
      <c r="H95" s="2"/>
    </row>
    <row r="96" spans="5:8">
      <c r="E96" s="2"/>
      <c r="H96" s="2"/>
    </row>
    <row r="97" spans="5:8">
      <c r="E97" s="2"/>
      <c r="H97" s="2"/>
    </row>
    <row r="98" spans="5:8">
      <c r="E98" s="2"/>
      <c r="H98" s="2"/>
    </row>
    <row r="99" spans="5:8">
      <c r="E99" s="2"/>
      <c r="H99" s="2"/>
    </row>
    <row r="100" spans="5:8">
      <c r="E100" s="2"/>
      <c r="H100" s="2"/>
    </row>
    <row r="101" spans="5:8">
      <c r="E101" s="2"/>
      <c r="H101" s="2"/>
    </row>
    <row r="102" spans="5:8">
      <c r="E102" s="2"/>
      <c r="H102" s="2"/>
    </row>
    <row r="103" spans="5:8">
      <c r="E103" s="2"/>
      <c r="H103" s="2"/>
    </row>
    <row r="104" spans="5:8">
      <c r="E104" s="2"/>
      <c r="H104" s="2"/>
    </row>
    <row r="105" spans="5:8">
      <c r="E105" s="2"/>
      <c r="H105" s="2"/>
    </row>
    <row r="106" spans="5:8">
      <c r="E106" s="2"/>
      <c r="H106" s="2"/>
    </row>
    <row r="107" spans="5:8">
      <c r="E107" s="2"/>
      <c r="H107" s="2"/>
    </row>
    <row r="108" spans="5:8">
      <c r="E108" s="2"/>
      <c r="H108" s="2"/>
    </row>
    <row r="109" spans="5:8">
      <c r="E109" s="2"/>
      <c r="H109" s="2"/>
    </row>
    <row r="110" spans="5:8">
      <c r="E110" s="2"/>
      <c r="H110" s="2"/>
    </row>
    <row r="111" spans="5:8">
      <c r="E111" s="2"/>
      <c r="H111" s="2"/>
    </row>
    <row r="112" spans="5:8">
      <c r="E112" s="2"/>
      <c r="H112" s="2"/>
    </row>
    <row r="113" spans="5:8">
      <c r="E113" s="2"/>
      <c r="H113" s="2"/>
    </row>
    <row r="114" spans="5:8">
      <c r="E114" s="2"/>
      <c r="H114" s="2"/>
    </row>
    <row r="115" spans="5:8">
      <c r="E115" s="2"/>
      <c r="H115" s="2"/>
    </row>
    <row r="116" spans="5:8">
      <c r="E116" s="2"/>
      <c r="H116" s="2"/>
    </row>
    <row r="117" spans="5:8">
      <c r="E117" s="2"/>
      <c r="H117" s="2"/>
    </row>
    <row r="118" spans="5:8">
      <c r="E118" s="2"/>
      <c r="H118" s="2"/>
    </row>
    <row r="119" spans="5:8">
      <c r="E119" s="2"/>
      <c r="H119" s="2"/>
    </row>
    <row r="120" spans="5:8">
      <c r="E120" s="2"/>
      <c r="H120" s="2"/>
    </row>
    <row r="121" spans="5:8">
      <c r="E121" s="2"/>
      <c r="H121" s="2"/>
    </row>
    <row r="122" spans="5:8">
      <c r="E122" s="2"/>
      <c r="H122" s="2"/>
    </row>
    <row r="123" spans="5:8">
      <c r="E123" s="2"/>
      <c r="H123" s="2"/>
    </row>
    <row r="124" spans="5:8">
      <c r="E124" s="2"/>
      <c r="H124" s="2"/>
    </row>
    <row r="125" spans="5:8">
      <c r="E125" s="2"/>
      <c r="H125" s="2"/>
    </row>
    <row r="126" spans="5:8">
      <c r="E126" s="2"/>
      <c r="H126" s="2"/>
    </row>
    <row r="127" spans="5:8">
      <c r="E127" s="2"/>
      <c r="H127" s="2"/>
    </row>
    <row r="128" spans="5:8">
      <c r="E128" s="2"/>
      <c r="H128" s="2"/>
    </row>
    <row r="129" spans="5:8">
      <c r="E129" s="2"/>
      <c r="H129" s="2"/>
    </row>
    <row r="130" spans="5:8">
      <c r="E130" s="2"/>
      <c r="H130" s="2"/>
    </row>
    <row r="131" spans="5:8">
      <c r="E131" s="2"/>
      <c r="H131" s="2"/>
    </row>
    <row r="132" spans="5:8">
      <c r="E132" s="2"/>
      <c r="H132" s="2"/>
    </row>
    <row r="133" spans="5:8">
      <c r="E133" s="2"/>
      <c r="H133" s="2"/>
    </row>
    <row r="134" spans="5:8">
      <c r="E134" s="2"/>
      <c r="H134" s="2"/>
    </row>
    <row r="135" spans="5:8">
      <c r="E135" s="2"/>
      <c r="H135" s="2"/>
    </row>
    <row r="136" spans="5:8">
      <c r="E136" s="2"/>
      <c r="H136" s="2"/>
    </row>
    <row r="137" spans="5:8">
      <c r="E137" s="2"/>
      <c r="H137" s="2"/>
    </row>
    <row r="138" spans="5:8">
      <c r="E138" s="2"/>
      <c r="H138" s="2"/>
    </row>
    <row r="139" spans="5:8">
      <c r="E139" s="2"/>
      <c r="H139" s="2"/>
    </row>
    <row r="140" spans="5:8">
      <c r="E140" s="2"/>
      <c r="H140" s="2"/>
    </row>
    <row r="141" spans="5:8">
      <c r="E141" s="2"/>
      <c r="H141" s="2"/>
    </row>
    <row r="142" spans="5:8">
      <c r="E142" s="2"/>
      <c r="H142" s="2"/>
    </row>
    <row r="143" spans="5:8">
      <c r="E143" s="2"/>
      <c r="H143" s="2"/>
    </row>
    <row r="144" spans="5:8">
      <c r="E144" s="2"/>
      <c r="H144" s="2"/>
    </row>
    <row r="145" spans="5:8">
      <c r="E145" s="2"/>
      <c r="H145" s="2"/>
    </row>
    <row r="146" spans="5:8">
      <c r="E146" s="2"/>
      <c r="H146" s="2"/>
    </row>
    <row r="147" spans="5:8">
      <c r="E147" s="2"/>
      <c r="H147" s="2"/>
    </row>
    <row r="148" spans="5:8">
      <c r="E148" s="2"/>
      <c r="H148" s="2"/>
    </row>
    <row r="149" spans="5:8">
      <c r="E149" s="2"/>
      <c r="H149" s="2"/>
    </row>
    <row r="150" spans="5:8">
      <c r="E150" s="2"/>
      <c r="H150" s="2"/>
    </row>
    <row r="151" spans="5:8">
      <c r="E151" s="2"/>
      <c r="H151" s="2"/>
    </row>
    <row r="152" spans="5:8">
      <c r="E152" s="2"/>
      <c r="H152" s="2"/>
    </row>
    <row r="153" spans="5:8">
      <c r="E153" s="2"/>
      <c r="H153" s="2"/>
    </row>
    <row r="154" spans="5:8">
      <c r="E154" s="2"/>
      <c r="H154" s="2"/>
    </row>
    <row r="155" spans="5:8">
      <c r="E155" s="2"/>
      <c r="H155" s="2"/>
    </row>
    <row r="156" spans="5:8">
      <c r="E156" s="2"/>
      <c r="H156" s="2"/>
    </row>
    <row r="157" spans="5:8">
      <c r="E157" s="2"/>
      <c r="H157" s="2"/>
    </row>
    <row r="158" spans="5:8">
      <c r="E158" s="2"/>
      <c r="H158" s="2"/>
    </row>
    <row r="159" spans="5:8">
      <c r="E159" s="2"/>
      <c r="H159" s="2"/>
    </row>
    <row r="160" spans="5:8">
      <c r="E160" s="2"/>
      <c r="H160" s="2"/>
    </row>
    <row r="161" spans="5:8">
      <c r="E161" s="2"/>
      <c r="H161" s="2"/>
    </row>
    <row r="162" spans="5:8">
      <c r="E162" s="2"/>
      <c r="H162" s="2"/>
    </row>
    <row r="163" spans="5:8">
      <c r="E163" s="2"/>
      <c r="H163" s="2"/>
    </row>
    <row r="164" spans="5:8">
      <c r="E164" s="2"/>
      <c r="H164" s="2"/>
    </row>
    <row r="165" spans="5:8">
      <c r="E165" s="2"/>
      <c r="H165" s="2"/>
    </row>
    <row r="166" spans="5:8">
      <c r="E166" s="2"/>
      <c r="H166" s="2"/>
    </row>
    <row r="167" spans="5:8">
      <c r="E167" s="2"/>
      <c r="H167" s="2"/>
    </row>
    <row r="168" spans="5:8">
      <c r="E168" s="2"/>
      <c r="H168" s="2"/>
    </row>
    <row r="169" spans="5:8">
      <c r="E169" s="2"/>
      <c r="H169" s="2"/>
    </row>
    <row r="170" spans="5:8">
      <c r="E170" s="2"/>
      <c r="H170" s="2"/>
    </row>
    <row r="171" spans="5:8">
      <c r="E171" s="2"/>
      <c r="H171" s="2"/>
    </row>
    <row r="172" spans="5:8">
      <c r="E172" s="2"/>
      <c r="H172" s="2"/>
    </row>
    <row r="173" spans="5:8">
      <c r="E173" s="2"/>
      <c r="H173" s="2"/>
    </row>
    <row r="174" spans="5:8">
      <c r="H174" s="2"/>
    </row>
    <row r="175" spans="5:8">
      <c r="H175" s="2"/>
    </row>
    <row r="176" spans="5:8">
      <c r="H176" s="2"/>
    </row>
    <row r="177" spans="8:8">
      <c r="H177" s="2"/>
    </row>
    <row r="178" spans="8:8">
      <c r="H178" s="2"/>
    </row>
    <row r="179" spans="8:8">
      <c r="H179" s="2"/>
    </row>
    <row r="180" spans="8:8">
      <c r="H180" s="2"/>
    </row>
    <row r="181" spans="8:8">
      <c r="H181" s="2"/>
    </row>
  </sheetData>
  <phoneticPr fontId="1" type="noConversion"/>
  <pageMargins left="0.75" right="0.75" top="1" bottom="1" header="0.5" footer="0.5"/>
  <pageSetup orientation="portrait" horizontalDpi="1200" verticalDpi="1200" r:id="rId1"/>
  <headerFooter alignWithMargins="0">
    <oddHeader>&amp;A</oddHeader>
    <oddFooter>Page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LP-T2 厚度</vt:lpstr>
      <vt:lpstr>LP-N(薄) daily check</vt:lpstr>
      <vt:lpstr>LP-N(厚) daily check</vt:lpstr>
      <vt:lpstr>LP-P daily check</vt:lpstr>
      <vt:lpstr>LP-T daily check</vt:lpstr>
      <vt:lpstr>LP-T2 大顆的</vt:lpstr>
    </vt:vector>
  </TitlesOfParts>
  <Company>nuvoton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S210 WCChen3</dc:creator>
  <cp:lastModifiedBy>S220 CCLi22</cp:lastModifiedBy>
  <cp:lastPrinted>2012-06-29T07:26:53Z</cp:lastPrinted>
  <dcterms:created xsi:type="dcterms:W3CDTF">2012-06-29T02:07:50Z</dcterms:created>
  <dcterms:modified xsi:type="dcterms:W3CDTF">2022-12-12T07:40:39Z</dcterms:modified>
</cp:coreProperties>
</file>