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CLIN15\Desktop\報表\"/>
    </mc:Choice>
  </mc:AlternateContent>
  <xr:revisionPtr revIDLastSave="0" documentId="13_ncr:1_{EC8477C7-D55E-4DCC-850F-564E11E634C9}" xr6:coauthVersionLast="47" xr6:coauthVersionMax="47" xr10:uidLastSave="{00000000-0000-0000-0000-000000000000}"/>
  <bookViews>
    <workbookView xWindow="-120" yWindow="-120" windowWidth="29040" windowHeight="15720" tabRatio="801" xr2:uid="{00000000-000D-0000-FFFF-FFFF00000000}"/>
  </bookViews>
  <sheets>
    <sheet name="Pocl3_Data" sheetId="24" r:id="rId1"/>
    <sheet name="Pocl_List" sheetId="22" r:id="rId2"/>
  </sheets>
  <definedNames>
    <definedName name="_xlnm._FilterDatabase" localSheetId="0" hidden="1">Pocl3_Data!$A$1:$F$2912</definedName>
    <definedName name="來自_WEHQDBMS02_的查詢" localSheetId="0">Pocl3_Data!$A$1:$C$2912</definedName>
  </definedNames>
  <calcPr calcId="191029"/>
  <pivotCaches>
    <pivotCache cacheId="1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4" l="1"/>
  <c r="D35" i="24"/>
  <c r="D39" i="24"/>
  <c r="D45" i="24"/>
  <c r="F45" i="24"/>
  <c r="D69" i="24"/>
  <c r="D82" i="24"/>
  <c r="D85" i="24"/>
  <c r="F85" i="24" s="1"/>
  <c r="D87" i="24"/>
  <c r="D88" i="24"/>
  <c r="D90" i="24"/>
  <c r="F90" i="24" s="1"/>
  <c r="D129" i="24"/>
  <c r="D134" i="24"/>
  <c r="D149" i="24"/>
  <c r="D157" i="24"/>
  <c r="D168" i="24"/>
  <c r="D178" i="24"/>
  <c r="D184" i="24"/>
  <c r="D195" i="24"/>
  <c r="D202" i="24"/>
  <c r="D204" i="24"/>
  <c r="F204" i="24"/>
  <c r="D207" i="24"/>
  <c r="D210" i="24"/>
  <c r="D223" i="24"/>
  <c r="D233" i="24"/>
  <c r="D240" i="24"/>
  <c r="D243" i="24"/>
  <c r="D247" i="24"/>
  <c r="F248" i="24" s="1"/>
  <c r="D249" i="24"/>
  <c r="D256" i="24"/>
  <c r="D271" i="24"/>
  <c r="D277" i="24"/>
  <c r="D295" i="24"/>
  <c r="D297" i="24"/>
  <c r="D312" i="24"/>
  <c r="D338" i="24"/>
  <c r="D345" i="24"/>
  <c r="D346" i="24"/>
  <c r="E346" i="24" s="1"/>
  <c r="D347" i="24"/>
  <c r="D348" i="24"/>
  <c r="D354" i="24"/>
  <c r="D355" i="24"/>
  <c r="D361" i="24"/>
  <c r="D365" i="24"/>
  <c r="D2343" i="24"/>
  <c r="D2346" i="24"/>
  <c r="D395" i="24"/>
  <c r="D2350" i="24"/>
  <c r="D2354" i="24"/>
  <c r="D397" i="24"/>
  <c r="D2358" i="24"/>
  <c r="D404" i="24"/>
  <c r="D409" i="24"/>
  <c r="E409" i="24"/>
  <c r="F409" i="24"/>
  <c r="D410" i="24"/>
  <c r="E410" i="24" s="1"/>
  <c r="D2363" i="24"/>
  <c r="D414" i="24"/>
  <c r="D422" i="24"/>
  <c r="D2371" i="24"/>
  <c r="D438" i="24"/>
  <c r="D2379" i="24"/>
  <c r="E2379" i="24" s="1"/>
  <c r="D441" i="24"/>
  <c r="D445" i="24"/>
  <c r="D448" i="24"/>
  <c r="D454" i="24"/>
  <c r="D2396" i="24"/>
  <c r="D470" i="24"/>
  <c r="D472" i="24"/>
  <c r="D480" i="24"/>
  <c r="D482" i="24"/>
  <c r="D486" i="24"/>
  <c r="F486" i="24" s="1"/>
  <c r="E486" i="24"/>
  <c r="D501" i="24"/>
  <c r="D2401" i="24"/>
  <c r="D2407" i="24"/>
  <c r="D506" i="24"/>
  <c r="D515" i="24"/>
  <c r="D517" i="24"/>
  <c r="D518" i="24"/>
  <c r="E518" i="24" s="1"/>
  <c r="D521" i="24"/>
  <c r="D522" i="24"/>
  <c r="D2410" i="24"/>
  <c r="D2415" i="24"/>
  <c r="D2421" i="24"/>
  <c r="D2427" i="24"/>
  <c r="D538" i="24"/>
  <c r="D541" i="24"/>
  <c r="D544" i="24"/>
  <c r="D548" i="24"/>
  <c r="D2438" i="24"/>
  <c r="D2441" i="24"/>
  <c r="D558" i="24"/>
  <c r="D563" i="24"/>
  <c r="D568" i="24"/>
  <c r="D569" i="24"/>
  <c r="D572" i="24"/>
  <c r="F574" i="24" s="1"/>
  <c r="D574" i="24"/>
  <c r="D2454" i="24"/>
  <c r="D2455" i="24"/>
  <c r="D2459" i="24"/>
  <c r="D2462" i="24"/>
  <c r="F2462" i="24" s="1"/>
  <c r="D2465" i="24"/>
  <c r="D589" i="24"/>
  <c r="D602" i="24"/>
  <c r="D2478" i="24"/>
  <c r="D606" i="24"/>
  <c r="D626" i="24"/>
  <c r="E626" i="24"/>
  <c r="D644" i="24"/>
  <c r="D645" i="24"/>
  <c r="D653" i="24"/>
  <c r="D660" i="24"/>
  <c r="D661" i="24"/>
  <c r="D672" i="24"/>
  <c r="D673" i="24"/>
  <c r="E673" i="24" s="1"/>
  <c r="D2507" i="24"/>
  <c r="D2508" i="24"/>
  <c r="E2508" i="24" s="1"/>
  <c r="D675" i="24"/>
  <c r="D2512" i="24"/>
  <c r="D680" i="24"/>
  <c r="D682" i="24"/>
  <c r="D2519" i="24"/>
  <c r="D696" i="24"/>
  <c r="D2522" i="24"/>
  <c r="D2526" i="24"/>
  <c r="F2526" i="24"/>
  <c r="D2527" i="24"/>
  <c r="D709" i="24"/>
  <c r="D710" i="24"/>
  <c r="D715" i="24"/>
  <c r="D2537" i="24"/>
  <c r="D718" i="24"/>
  <c r="D2549" i="24"/>
  <c r="D2556" i="24"/>
  <c r="D2585" i="24"/>
  <c r="D741" i="24"/>
  <c r="D747" i="24"/>
  <c r="D750" i="24"/>
  <c r="D756" i="24"/>
  <c r="D762" i="24"/>
  <c r="E762" i="24" s="1"/>
  <c r="D763" i="24"/>
  <c r="D773" i="24"/>
  <c r="D774" i="24"/>
  <c r="D776" i="24"/>
  <c r="D779" i="24"/>
  <c r="D780" i="24"/>
  <c r="D784" i="24"/>
  <c r="D785" i="24"/>
  <c r="F785" i="24"/>
  <c r="D789" i="24"/>
  <c r="E790" i="24" s="1"/>
  <c r="E789" i="24"/>
  <c r="D2592" i="24"/>
  <c r="D2595" i="24"/>
  <c r="D807" i="24"/>
  <c r="D2598" i="24"/>
  <c r="D813" i="24"/>
  <c r="D814" i="24"/>
  <c r="D820" i="24"/>
  <c r="D826" i="24"/>
  <c r="D840" i="24"/>
  <c r="F841" i="24" s="1"/>
  <c r="D844" i="24"/>
  <c r="D848" i="24"/>
  <c r="D870" i="24"/>
  <c r="D876" i="24"/>
  <c r="D893" i="24"/>
  <c r="D896" i="24"/>
  <c r="D906" i="24"/>
  <c r="D907" i="24"/>
  <c r="D912" i="24"/>
  <c r="D913" i="24"/>
  <c r="D922" i="24"/>
  <c r="D925" i="24"/>
  <c r="D2613" i="24"/>
  <c r="D937" i="24"/>
  <c r="D941" i="24"/>
  <c r="D947" i="24"/>
  <c r="D950" i="24"/>
  <c r="D953" i="24"/>
  <c r="D954" i="24"/>
  <c r="E954" i="24" s="1"/>
  <c r="D960" i="24"/>
  <c r="D961" i="24"/>
  <c r="D963" i="24"/>
  <c r="D2623" i="24"/>
  <c r="D2629" i="24"/>
  <c r="D1643" i="24"/>
  <c r="D1644" i="24"/>
  <c r="D999" i="24"/>
  <c r="D1646" i="24"/>
  <c r="D1647" i="24"/>
  <c r="E1647" i="24" s="1"/>
  <c r="F1647" i="24"/>
  <c r="D1006" i="24"/>
  <c r="D1008" i="24"/>
  <c r="D30" i="24"/>
  <c r="D40" i="24"/>
  <c r="F40" i="24"/>
  <c r="D53" i="24"/>
  <c r="E53" i="24" s="1"/>
  <c r="F53" i="24"/>
  <c r="D62" i="24"/>
  <c r="D76" i="24"/>
  <c r="D83" i="24"/>
  <c r="D91" i="24"/>
  <c r="E91" i="24" s="1"/>
  <c r="D111" i="24"/>
  <c r="D116" i="24"/>
  <c r="D130" i="24"/>
  <c r="E130" i="24" s="1"/>
  <c r="D136" i="24"/>
  <c r="D137" i="24"/>
  <c r="D150" i="24"/>
  <c r="D158" i="24"/>
  <c r="F158" i="24" s="1"/>
  <c r="D169" i="24"/>
  <c r="F169" i="24"/>
  <c r="D170" i="24"/>
  <c r="F170" i="24" s="1"/>
  <c r="E170" i="24"/>
  <c r="D185" i="24"/>
  <c r="D189" i="24"/>
  <c r="D191" i="24"/>
  <c r="D203" i="24"/>
  <c r="D205" i="24"/>
  <c r="D206" i="24"/>
  <c r="D208" i="24"/>
  <c r="E208" i="24" s="1"/>
  <c r="D211" i="24"/>
  <c r="E211" i="24"/>
  <c r="F211" i="24"/>
  <c r="D234" i="24"/>
  <c r="F234" i="24" s="1"/>
  <c r="D238" i="24"/>
  <c r="D239" i="24"/>
  <c r="D248" i="24"/>
  <c r="D289" i="24"/>
  <c r="D315" i="24"/>
  <c r="D316" i="24"/>
  <c r="D317" i="24"/>
  <c r="D331" i="24"/>
  <c r="D343" i="24"/>
  <c r="D374" i="24"/>
  <c r="D2344" i="24"/>
  <c r="F2344" i="24" s="1"/>
  <c r="D389" i="24"/>
  <c r="D2351" i="24"/>
  <c r="D398" i="24"/>
  <c r="D2359" i="24"/>
  <c r="D408" i="24"/>
  <c r="D411" i="24"/>
  <c r="F411" i="24"/>
  <c r="D415" i="24"/>
  <c r="D419" i="24"/>
  <c r="D423" i="24"/>
  <c r="D431" i="24"/>
  <c r="D2376" i="24"/>
  <c r="D2386" i="24"/>
  <c r="D455" i="24"/>
  <c r="E455" i="24" s="1"/>
  <c r="D456" i="24"/>
  <c r="F456" i="24"/>
  <c r="D461" i="24"/>
  <c r="F461" i="24" s="1"/>
  <c r="D462" i="24"/>
  <c r="D467" i="24"/>
  <c r="D2397" i="24"/>
  <c r="D497" i="24"/>
  <c r="D502" i="24"/>
  <c r="D503" i="24"/>
  <c r="D508" i="24"/>
  <c r="D509" i="24"/>
  <c r="E509" i="24"/>
  <c r="D511" i="24"/>
  <c r="D523" i="24"/>
  <c r="D2411" i="24"/>
  <c r="D2416" i="24"/>
  <c r="E2417" i="24" s="1"/>
  <c r="D2417" i="24"/>
  <c r="D2423" i="24"/>
  <c r="D539" i="24"/>
  <c r="D545" i="24"/>
  <c r="D2439" i="24"/>
  <c r="E2439" i="24"/>
  <c r="F2439" i="24"/>
  <c r="D559" i="24"/>
  <c r="D560" i="24"/>
  <c r="F560" i="24" s="1"/>
  <c r="D564" i="24"/>
  <c r="D570" i="24"/>
  <c r="D573" i="24"/>
  <c r="E573" i="24" s="1"/>
  <c r="D575" i="24"/>
  <c r="D576" i="24"/>
  <c r="E576" i="24"/>
  <c r="F576" i="24"/>
  <c r="D579" i="24"/>
  <c r="D2456" i="24"/>
  <c r="E2456" i="24" s="1"/>
  <c r="D2460" i="24"/>
  <c r="D2466" i="24"/>
  <c r="D586" i="24"/>
  <c r="D2472" i="24"/>
  <c r="D598" i="24"/>
  <c r="D599" i="24"/>
  <c r="D2479" i="24"/>
  <c r="D616" i="24"/>
  <c r="E616" i="24"/>
  <c r="F616" i="24"/>
  <c r="D2489" i="24"/>
  <c r="D2490" i="24"/>
  <c r="F2490" i="24"/>
  <c r="D636" i="24"/>
  <c r="D2491" i="24"/>
  <c r="D639" i="24"/>
  <c r="F639" i="24" s="1"/>
  <c r="D646" i="24"/>
  <c r="E646" i="24" s="1"/>
  <c r="F646" i="24"/>
  <c r="D2493" i="24"/>
  <c r="D2505" i="24"/>
  <c r="D2513" i="24"/>
  <c r="D694" i="24"/>
  <c r="E694" i="24" s="1"/>
  <c r="D695" i="24"/>
  <c r="D2523" i="24"/>
  <c r="D698" i="24"/>
  <c r="F698" i="24" s="1"/>
  <c r="D703" i="24"/>
  <c r="D711" i="24"/>
  <c r="D2538" i="24"/>
  <c r="E2538" i="24"/>
  <c r="D2539" i="24"/>
  <c r="D719" i="24"/>
  <c r="E719" i="24" s="1"/>
  <c r="F719" i="24"/>
  <c r="D2541" i="24"/>
  <c r="D2543" i="24"/>
  <c r="D2544" i="24"/>
  <c r="D725" i="24"/>
  <c r="D726" i="24"/>
  <c r="E726" i="24"/>
  <c r="F726" i="24"/>
  <c r="D2550" i="24"/>
  <c r="D2557" i="24"/>
  <c r="D2564" i="24"/>
  <c r="D2586" i="24"/>
  <c r="F2586" i="24" s="1"/>
  <c r="E2586" i="24"/>
  <c r="D751" i="24"/>
  <c r="D757" i="24"/>
  <c r="E757" i="24" s="1"/>
  <c r="D758" i="24"/>
  <c r="E764" i="24" s="1"/>
  <c r="D764" i="24"/>
  <c r="E765" i="24" s="1"/>
  <c r="D775" i="24"/>
  <c r="E775" i="24" s="1"/>
  <c r="F775" i="24"/>
  <c r="D777" i="24"/>
  <c r="D781" i="24"/>
  <c r="E781" i="24" s="1"/>
  <c r="D790" i="24"/>
  <c r="D794" i="24"/>
  <c r="D2593" i="24"/>
  <c r="F2593" i="24" s="1"/>
  <c r="D2594" i="24"/>
  <c r="E2594" i="24"/>
  <c r="D798" i="24"/>
  <c r="F798" i="24" s="1"/>
  <c r="D2596" i="24"/>
  <c r="D815" i="24"/>
  <c r="D816" i="24"/>
  <c r="D817" i="24"/>
  <c r="D827" i="24"/>
  <c r="D837" i="24"/>
  <c r="D841" i="24"/>
  <c r="D845" i="24"/>
  <c r="F846" i="24" s="1"/>
  <c r="D849" i="24"/>
  <c r="D856" i="24"/>
  <c r="D2601" i="24"/>
  <c r="D862" i="24"/>
  <c r="D871" i="24"/>
  <c r="F871" i="24"/>
  <c r="D874" i="24"/>
  <c r="D877" i="24"/>
  <c r="D885" i="24"/>
  <c r="D897" i="24"/>
  <c r="D902" i="24"/>
  <c r="D2604" i="24"/>
  <c r="D918" i="24"/>
  <c r="D923" i="24"/>
  <c r="E923" i="24" s="1"/>
  <c r="D926" i="24"/>
  <c r="F926" i="24" s="1"/>
  <c r="D2608" i="24"/>
  <c r="E2608" i="24" s="1"/>
  <c r="F2608" i="24"/>
  <c r="D958" i="24"/>
  <c r="D982" i="24"/>
  <c r="D2624" i="24"/>
  <c r="D1645" i="24"/>
  <c r="D1648" i="24"/>
  <c r="F1648" i="24" s="1"/>
  <c r="E1648" i="24"/>
  <c r="D1003" i="24"/>
  <c r="F1004" i="24" s="1"/>
  <c r="D1007" i="24"/>
  <c r="D1658" i="24"/>
  <c r="D1662" i="24"/>
  <c r="D1665" i="24"/>
  <c r="D1668" i="24"/>
  <c r="D1672" i="24"/>
  <c r="D1028" i="24"/>
  <c r="E1028" i="24"/>
  <c r="D1679" i="24"/>
  <c r="D1684" i="24"/>
  <c r="E1684" i="24"/>
  <c r="D1687" i="24"/>
  <c r="D1697" i="24"/>
  <c r="D1052" i="24"/>
  <c r="D1057" i="24"/>
  <c r="D1703" i="24"/>
  <c r="D1063" i="24"/>
  <c r="E1063" i="24"/>
  <c r="D2640" i="24"/>
  <c r="D2641" i="24"/>
  <c r="D1077" i="24"/>
  <c r="D1082" i="24"/>
  <c r="D1083" i="24"/>
  <c r="D1088" i="24"/>
  <c r="D2654" i="24"/>
  <c r="D1091" i="24"/>
  <c r="D2658" i="24"/>
  <c r="D1710" i="24"/>
  <c r="D1711" i="24"/>
  <c r="F1711" i="24" s="1"/>
  <c r="D1102" i="24"/>
  <c r="D1714" i="24"/>
  <c r="D2668" i="24"/>
  <c r="D2669" i="24"/>
  <c r="D1109" i="24"/>
  <c r="D1728" i="24"/>
  <c r="D5" i="24"/>
  <c r="D7" i="24"/>
  <c r="E7" i="24" s="1"/>
  <c r="F7" i="24"/>
  <c r="D8" i="24"/>
  <c r="D13" i="24"/>
  <c r="D19" i="24"/>
  <c r="D26" i="24"/>
  <c r="D36" i="24"/>
  <c r="D41" i="24"/>
  <c r="D46" i="24"/>
  <c r="E46" i="24" s="1"/>
  <c r="D48" i="24"/>
  <c r="E48" i="24" s="1"/>
  <c r="F48" i="24"/>
  <c r="D54" i="24"/>
  <c r="E54" i="24" s="1"/>
  <c r="D59" i="24"/>
  <c r="D65" i="24"/>
  <c r="D67" i="24"/>
  <c r="D80" i="24"/>
  <c r="D95" i="24"/>
  <c r="D101" i="24"/>
  <c r="D108" i="24"/>
  <c r="E108" i="24" s="1"/>
  <c r="D109" i="24"/>
  <c r="E117" i="24" s="1"/>
  <c r="D117" i="24"/>
  <c r="D119" i="24"/>
  <c r="D125" i="24"/>
  <c r="D132" i="24"/>
  <c r="D143" i="24"/>
  <c r="D146" i="24"/>
  <c r="D151" i="24"/>
  <c r="D171" i="24"/>
  <c r="D174" i="24"/>
  <c r="D181" i="24"/>
  <c r="D192" i="24"/>
  <c r="E192" i="24" s="1"/>
  <c r="F192" i="24"/>
  <c r="D196" i="24"/>
  <c r="D209" i="24"/>
  <c r="E209" i="24" s="1"/>
  <c r="D225" i="24"/>
  <c r="D235" i="24"/>
  <c r="D236" i="24"/>
  <c r="F236" i="24" s="1"/>
  <c r="D278" i="24"/>
  <c r="D279" i="24"/>
  <c r="F279" i="24" s="1"/>
  <c r="D285" i="24"/>
  <c r="D286" i="24"/>
  <c r="F286" i="24" s="1"/>
  <c r="D303" i="24"/>
  <c r="D320" i="24"/>
  <c r="D321" i="24"/>
  <c r="D334" i="24"/>
  <c r="D356" i="24"/>
  <c r="E356" i="24"/>
  <c r="D363" i="24"/>
  <c r="E363" i="24"/>
  <c r="D367" i="24"/>
  <c r="D371" i="24"/>
  <c r="D375" i="24"/>
  <c r="D2340" i="24"/>
  <c r="D382" i="24"/>
  <c r="D2345" i="24"/>
  <c r="D384" i="24"/>
  <c r="D385" i="24"/>
  <c r="D390" i="24"/>
  <c r="F390" i="24" s="1"/>
  <c r="D391" i="24"/>
  <c r="E391" i="24"/>
  <c r="D2347" i="24"/>
  <c r="D2360" i="24"/>
  <c r="E2360" i="24"/>
  <c r="D405" i="24"/>
  <c r="D412" i="24"/>
  <c r="E412" i="24"/>
  <c r="F412" i="24"/>
  <c r="D2369" i="24"/>
  <c r="D420" i="24"/>
  <c r="D428" i="24"/>
  <c r="D2372" i="24"/>
  <c r="D433" i="24"/>
  <c r="D2377" i="24"/>
  <c r="D2382" i="24"/>
  <c r="D442" i="24"/>
  <c r="E442" i="24" s="1"/>
  <c r="F442" i="24"/>
  <c r="D446" i="24"/>
  <c r="F446" i="24" s="1"/>
  <c r="E446" i="24"/>
  <c r="D2390" i="24"/>
  <c r="D457" i="24"/>
  <c r="D459" i="24"/>
  <c r="D2393" i="24"/>
  <c r="D464" i="24"/>
  <c r="D468" i="24"/>
  <c r="E468" i="24" s="1"/>
  <c r="D2399" i="24"/>
  <c r="D481" i="24"/>
  <c r="F482" i="24" s="1"/>
  <c r="D487" i="24"/>
  <c r="D491" i="24"/>
  <c r="D493" i="24"/>
  <c r="D504" i="24"/>
  <c r="D2402" i="24"/>
  <c r="D2403" i="24"/>
  <c r="E2403" i="24" s="1"/>
  <c r="F2403" i="24"/>
  <c r="D2408" i="24"/>
  <c r="D526" i="24"/>
  <c r="E526" i="24" s="1"/>
  <c r="D2419" i="24"/>
  <c r="F2419" i="24" s="1"/>
  <c r="E2419" i="24"/>
  <c r="D532" i="24"/>
  <c r="F532" i="24" s="1"/>
  <c r="D536" i="24"/>
  <c r="D2428" i="24"/>
  <c r="F2428" i="24" s="1"/>
  <c r="D540" i="24"/>
  <c r="D542" i="24"/>
  <c r="D549" i="24"/>
  <c r="D2440" i="24"/>
  <c r="E2440" i="24" s="1"/>
  <c r="D556" i="24"/>
  <c r="D2448" i="24"/>
  <c r="D2449" i="24"/>
  <c r="F2450" i="24" s="1"/>
  <c r="D2463" i="24"/>
  <c r="F2463" i="24" s="1"/>
  <c r="D2469" i="24"/>
  <c r="D607" i="24"/>
  <c r="D614" i="24"/>
  <c r="D618" i="24"/>
  <c r="D619" i="24"/>
  <c r="D2509" i="24"/>
  <c r="E2509" i="24"/>
  <c r="F2509" i="24"/>
  <c r="D2510" i="24"/>
  <c r="E2510" i="24" s="1"/>
  <c r="D676" i="24"/>
  <c r="D2514" i="24"/>
  <c r="D678" i="24"/>
  <c r="E678" i="24"/>
  <c r="D679" i="24"/>
  <c r="D681" i="24"/>
  <c r="D2524" i="24"/>
  <c r="D2528" i="24"/>
  <c r="D2530" i="24"/>
  <c r="D2532" i="24"/>
  <c r="E2532" i="24" s="1"/>
  <c r="D2535" i="24"/>
  <c r="D712" i="24"/>
  <c r="D720" i="24"/>
  <c r="D2546" i="24"/>
  <c r="D727" i="24"/>
  <c r="D2553" i="24"/>
  <c r="D2569" i="24"/>
  <c r="D2572" i="24"/>
  <c r="D2574" i="24"/>
  <c r="D2580" i="24"/>
  <c r="D742" i="24"/>
  <c r="D2588" i="24"/>
  <c r="D2589" i="24"/>
  <c r="D744" i="24"/>
  <c r="D748" i="24"/>
  <c r="E748" i="24"/>
  <c r="D2590" i="24"/>
  <c r="D770" i="24"/>
  <c r="D771" i="24"/>
  <c r="F771" i="24"/>
  <c r="D796" i="24"/>
  <c r="D806" i="24"/>
  <c r="E807" i="24" s="1"/>
  <c r="D808" i="24"/>
  <c r="E808" i="24" s="1"/>
  <c r="D821" i="24"/>
  <c r="D823" i="24"/>
  <c r="E823" i="24" s="1"/>
  <c r="D838" i="24"/>
  <c r="D866" i="24"/>
  <c r="D879" i="24"/>
  <c r="D891" i="24"/>
  <c r="D894" i="24"/>
  <c r="E894" i="24"/>
  <c r="D898" i="24"/>
  <c r="D900" i="24"/>
  <c r="D903" i="24"/>
  <c r="E903" i="24" s="1"/>
  <c r="D908" i="24"/>
  <c r="D916" i="24"/>
  <c r="D919" i="24"/>
  <c r="E919" i="24" s="1"/>
  <c r="D2609" i="24"/>
  <c r="D931" i="24"/>
  <c r="D932" i="24"/>
  <c r="D2615" i="24"/>
  <c r="E2615" i="24" s="1"/>
  <c r="F2615" i="24"/>
  <c r="D2616" i="24"/>
  <c r="F2616" i="24" s="1"/>
  <c r="D938" i="24"/>
  <c r="D939" i="24"/>
  <c r="D2618" i="24"/>
  <c r="E2618" i="24"/>
  <c r="F2618" i="24"/>
  <c r="D2619" i="24"/>
  <c r="E2619" i="24" s="1"/>
  <c r="D2621" i="24"/>
  <c r="E2621" i="24" s="1"/>
  <c r="D955" i="24"/>
  <c r="D964" i="24"/>
  <c r="D965" i="24"/>
  <c r="D985" i="24"/>
  <c r="D993" i="24"/>
  <c r="D2630" i="24"/>
  <c r="F2631" i="24" s="1"/>
  <c r="D1639" i="24"/>
  <c r="D1000" i="24"/>
  <c r="E1000" i="24" s="1"/>
  <c r="D1649" i="24"/>
  <c r="F1649" i="24" s="1"/>
  <c r="D1659" i="24"/>
  <c r="E1669" i="24" s="1"/>
  <c r="D1669" i="24"/>
  <c r="D1025" i="24"/>
  <c r="D1030" i="24"/>
  <c r="D2635" i="24"/>
  <c r="E2635" i="24"/>
  <c r="D1689" i="24"/>
  <c r="D1698" i="24"/>
  <c r="D1058" i="24"/>
  <c r="D1704" i="24"/>
  <c r="D1061" i="24"/>
  <c r="D1706" i="24"/>
  <c r="D1070" i="24"/>
  <c r="D1074" i="24"/>
  <c r="D1078" i="24"/>
  <c r="D1081" i="24"/>
  <c r="D2648" i="24"/>
  <c r="D2652" i="24"/>
  <c r="D2655" i="24"/>
  <c r="D1100" i="24"/>
  <c r="D2663" i="24"/>
  <c r="D16" i="24"/>
  <c r="D27" i="24"/>
  <c r="E27" i="24" s="1"/>
  <c r="D42" i="24"/>
  <c r="E42" i="24"/>
  <c r="F42" i="24"/>
  <c r="D43" i="24"/>
  <c r="D49" i="24"/>
  <c r="E55" i="24" s="1"/>
  <c r="D55" i="24"/>
  <c r="D71" i="24"/>
  <c r="F71" i="24"/>
  <c r="D89" i="24"/>
  <c r="F89" i="24" s="1"/>
  <c r="E89" i="24"/>
  <c r="D92" i="24"/>
  <c r="E92" i="24" s="1"/>
  <c r="F92" i="24"/>
  <c r="D112" i="24"/>
  <c r="F112" i="24" s="1"/>
  <c r="E112" i="24"/>
  <c r="D113" i="24"/>
  <c r="E113" i="24" s="1"/>
  <c r="D120" i="24"/>
  <c r="E120" i="24" s="1"/>
  <c r="D138" i="24"/>
  <c r="D152" i="24"/>
  <c r="E152" i="24"/>
  <c r="F152" i="24"/>
  <c r="D160" i="24"/>
  <c r="D161" i="24"/>
  <c r="D175" i="24"/>
  <c r="D194" i="24"/>
  <c r="D198" i="24"/>
  <c r="D212" i="24"/>
  <c r="D213" i="24"/>
  <c r="E213" i="24" s="1"/>
  <c r="D216" i="24"/>
  <c r="D228" i="24"/>
  <c r="D230" i="24"/>
  <c r="D244" i="24"/>
  <c r="D257" i="24"/>
  <c r="D259" i="24"/>
  <c r="D260" i="24"/>
  <c r="D273" i="24"/>
  <c r="D275" i="24"/>
  <c r="D293" i="24"/>
  <c r="D298" i="24"/>
  <c r="E298" i="24" s="1"/>
  <c r="D301" i="24"/>
  <c r="E301" i="24"/>
  <c r="D306" i="24"/>
  <c r="F306" i="24" s="1"/>
  <c r="D307" i="24"/>
  <c r="D309" i="24"/>
  <c r="D332" i="24"/>
  <c r="E332" i="24"/>
  <c r="F332" i="24"/>
  <c r="D350" i="24"/>
  <c r="D357" i="24"/>
  <c r="E357" i="24" s="1"/>
  <c r="F357" i="24"/>
  <c r="D359" i="24"/>
  <c r="D373" i="24"/>
  <c r="D2341" i="24"/>
  <c r="D379" i="24"/>
  <c r="D2348" i="24"/>
  <c r="E2348" i="24"/>
  <c r="D393" i="24"/>
  <c r="E393" i="24"/>
  <c r="F393" i="24"/>
  <c r="D2352" i="24"/>
  <c r="D2355" i="24"/>
  <c r="E2355" i="24" s="1"/>
  <c r="D401" i="24"/>
  <c r="D2364" i="24"/>
  <c r="F2364" i="24" s="1"/>
  <c r="E2364" i="24"/>
  <c r="D2366" i="24"/>
  <c r="D417" i="24"/>
  <c r="E417" i="24" s="1"/>
  <c r="D2373" i="24"/>
  <c r="F2373" i="24" s="1"/>
  <c r="D434" i="24"/>
  <c r="D437" i="24"/>
  <c r="E437" i="24"/>
  <c r="F437" i="24"/>
  <c r="D2381" i="24"/>
  <c r="D2394" i="24"/>
  <c r="D474" i="24"/>
  <c r="D488" i="24"/>
  <c r="E488" i="24" s="1"/>
  <c r="D489" i="24"/>
  <c r="D490" i="24"/>
  <c r="D494" i="24"/>
  <c r="D512" i="24"/>
  <c r="D516" i="24"/>
  <c r="E519" i="24" s="1"/>
  <c r="D519" i="24"/>
  <c r="D2409" i="24"/>
  <c r="D524" i="24"/>
  <c r="D527" i="24"/>
  <c r="E527" i="24"/>
  <c r="F527" i="24"/>
  <c r="D533" i="24"/>
  <c r="D543" i="24"/>
  <c r="E543" i="24" s="1"/>
  <c r="D2433" i="24"/>
  <c r="D561" i="24"/>
  <c r="D2444" i="24"/>
  <c r="D2445" i="24"/>
  <c r="D2450" i="24"/>
  <c r="E2450" i="24"/>
  <c r="D2451" i="24"/>
  <c r="D577" i="24"/>
  <c r="F578" i="24" s="1"/>
  <c r="E577" i="24"/>
  <c r="D580" i="24"/>
  <c r="F580" i="24"/>
  <c r="D581" i="24"/>
  <c r="F581" i="24" s="1"/>
  <c r="D2457" i="24"/>
  <c r="D2461" i="24"/>
  <c r="D592" i="24"/>
  <c r="D605" i="24"/>
  <c r="D608" i="24"/>
  <c r="E608" i="24" s="1"/>
  <c r="F608" i="24"/>
  <c r="D609" i="24"/>
  <c r="D2481" i="24"/>
  <c r="E2481" i="24" s="1"/>
  <c r="D629" i="24"/>
  <c r="E629" i="24" s="1"/>
  <c r="D632" i="24"/>
  <c r="D641" i="24"/>
  <c r="D649" i="24"/>
  <c r="D2494" i="24"/>
  <c r="F2494" i="24" s="1"/>
  <c r="D651" i="24"/>
  <c r="E651" i="24" s="1"/>
  <c r="F651" i="24"/>
  <c r="D654" i="24"/>
  <c r="D2498" i="24"/>
  <c r="D658" i="24"/>
  <c r="D2500" i="24"/>
  <c r="E2500" i="24" s="1"/>
  <c r="D663" i="24"/>
  <c r="E663" i="24" s="1"/>
  <c r="D669" i="24"/>
  <c r="D670" i="24"/>
  <c r="D671" i="24"/>
  <c r="F671" i="24" s="1"/>
  <c r="D2511" i="24"/>
  <c r="D2515" i="24"/>
  <c r="E2515" i="24" s="1"/>
  <c r="F2515" i="24"/>
  <c r="D685" i="24"/>
  <c r="D688" i="24"/>
  <c r="D2525" i="24"/>
  <c r="E2526" i="24" s="1"/>
  <c r="D699" i="24"/>
  <c r="E699" i="24" s="1"/>
  <c r="F699" i="24"/>
  <c r="D2531" i="24"/>
  <c r="E2531" i="24" s="1"/>
  <c r="F2531" i="24"/>
  <c r="D705" i="24"/>
  <c r="D2536" i="24"/>
  <c r="D713" i="24"/>
  <c r="F713" i="24" s="1"/>
  <c r="D2551" i="24"/>
  <c r="D2559" i="24"/>
  <c r="E2559" i="24" s="1"/>
  <c r="D2570" i="24"/>
  <c r="D2573" i="24"/>
  <c r="D2582" i="24"/>
  <c r="D745" i="24"/>
  <c r="D765" i="24"/>
  <c r="D766" i="24"/>
  <c r="E766" i="24" s="1"/>
  <c r="D767" i="24"/>
  <c r="E767" i="24"/>
  <c r="F767" i="24"/>
  <c r="D778" i="24"/>
  <c r="D787" i="24"/>
  <c r="F787" i="24" s="1"/>
  <c r="D791" i="24"/>
  <c r="D2599" i="24"/>
  <c r="E2599" i="24" s="1"/>
  <c r="D828" i="24"/>
  <c r="F828" i="24"/>
  <c r="D831" i="24"/>
  <c r="D832" i="24"/>
  <c r="E832" i="24"/>
  <c r="D839" i="24"/>
  <c r="D842" i="24"/>
  <c r="E843" i="24" s="1"/>
  <c r="D853" i="24"/>
  <c r="D2602" i="24"/>
  <c r="D872" i="24"/>
  <c r="D880" i="24"/>
  <c r="D881" i="24"/>
  <c r="D883" i="24"/>
  <c r="D887" i="24"/>
  <c r="D892" i="24"/>
  <c r="D899" i="24"/>
  <c r="F899" i="24" s="1"/>
  <c r="E899" i="24"/>
  <c r="D2605" i="24"/>
  <c r="E2606" i="24" s="1"/>
  <c r="D2606" i="24"/>
  <c r="D2607" i="24"/>
  <c r="E2607" i="24"/>
  <c r="F2607" i="24"/>
  <c r="D920" i="24"/>
  <c r="D2610" i="24"/>
  <c r="D2614" i="24"/>
  <c r="D935" i="24"/>
  <c r="D986" i="24"/>
  <c r="D988" i="24"/>
  <c r="F988" i="24" s="1"/>
  <c r="E988" i="24"/>
  <c r="D990" i="24"/>
  <c r="D2626" i="24"/>
  <c r="D997" i="24"/>
  <c r="E997" i="24"/>
  <c r="D1004" i="24"/>
  <c r="E1004" i="24" s="1"/>
  <c r="D1650" i="24"/>
  <c r="E1650" i="24" s="1"/>
  <c r="F1650" i="24"/>
  <c r="D1652" i="24"/>
  <c r="E1652" i="24" s="1"/>
  <c r="D1655" i="24"/>
  <c r="E1656" i="24" s="1"/>
  <c r="D1660" i="24"/>
  <c r="E1660" i="24"/>
  <c r="D1013" i="24"/>
  <c r="D1666" i="24"/>
  <c r="F1666" i="24"/>
  <c r="D1016" i="24"/>
  <c r="E1016" i="24" s="1"/>
  <c r="D1670" i="24"/>
  <c r="E1670" i="24"/>
  <c r="F1670" i="24"/>
  <c r="D1019" i="24"/>
  <c r="D1022" i="24"/>
  <c r="F1022" i="24" s="1"/>
  <c r="D1026" i="24"/>
  <c r="D1676" i="24"/>
  <c r="E1676" i="24" s="1"/>
  <c r="D1031" i="24"/>
  <c r="E1031" i="24"/>
  <c r="F1031" i="24"/>
  <c r="D1680" i="24"/>
  <c r="E1680" i="24"/>
  <c r="F1680" i="24"/>
  <c r="D2632" i="24"/>
  <c r="D1685" i="24"/>
  <c r="E1686" i="24" s="1"/>
  <c r="D1037" i="24"/>
  <c r="E1038" i="24" s="1"/>
  <c r="D1690" i="24"/>
  <c r="E1690" i="24" s="1"/>
  <c r="D1043" i="24"/>
  <c r="D1695" i="24"/>
  <c r="D1046" i="24"/>
  <c r="D1699" i="24"/>
  <c r="D2638" i="24"/>
  <c r="D1062" i="24"/>
  <c r="F1062" i="24" s="1"/>
  <c r="E1062" i="24"/>
  <c r="D1064" i="24"/>
  <c r="E1064" i="24"/>
  <c r="F1064" i="24"/>
  <c r="D1707" i="24"/>
  <c r="D2645" i="24"/>
  <c r="D2649" i="24"/>
  <c r="E2649" i="24" s="1"/>
  <c r="F2649" i="24"/>
  <c r="D2650" i="24"/>
  <c r="F2650" i="24" s="1"/>
  <c r="D2653" i="24"/>
  <c r="E2653" i="24" s="1"/>
  <c r="D1089" i="24"/>
  <c r="E1089" i="24"/>
  <c r="D1095" i="24"/>
  <c r="D1097" i="24"/>
  <c r="D2660" i="24"/>
  <c r="D2664" i="24"/>
  <c r="E2664" i="24"/>
  <c r="D1712" i="24"/>
  <c r="D14" i="24"/>
  <c r="D50" i="24"/>
  <c r="F50" i="24" s="1"/>
  <c r="D56" i="24"/>
  <c r="F56" i="24" s="1"/>
  <c r="D63" i="24"/>
  <c r="F63" i="24"/>
  <c r="D70" i="24"/>
  <c r="E70" i="24" s="1"/>
  <c r="D72" i="24"/>
  <c r="D77" i="24"/>
  <c r="D86" i="24"/>
  <c r="D93" i="24"/>
  <c r="D94" i="24"/>
  <c r="D97" i="24"/>
  <c r="D98" i="24"/>
  <c r="F98" i="24" s="1"/>
  <c r="D121" i="24"/>
  <c r="D122" i="24"/>
  <c r="D126" i="24"/>
  <c r="D133" i="24"/>
  <c r="E133" i="24" s="1"/>
  <c r="F133" i="24"/>
  <c r="D135" i="24"/>
  <c r="F135" i="24" s="1"/>
  <c r="D153" i="24"/>
  <c r="F153" i="24" s="1"/>
  <c r="D159" i="24"/>
  <c r="D166" i="24"/>
  <c r="D172" i="24"/>
  <c r="E172" i="24" s="1"/>
  <c r="D173" i="24"/>
  <c r="D186" i="24"/>
  <c r="E186" i="24" s="1"/>
  <c r="D193" i="24"/>
  <c r="E193" i="24" s="1"/>
  <c r="D214" i="24"/>
  <c r="E214" i="24" s="1"/>
  <c r="F214" i="24"/>
  <c r="D224" i="24"/>
  <c r="E224" i="24"/>
  <c r="D237" i="24"/>
  <c r="F237" i="24" s="1"/>
  <c r="D251" i="24"/>
  <c r="D252" i="24"/>
  <c r="D253" i="24"/>
  <c r="D263" i="24"/>
  <c r="D270" i="24"/>
  <c r="F271" i="24" s="1"/>
  <c r="D272" i="24"/>
  <c r="D274" i="24"/>
  <c r="F275" i="24" s="1"/>
  <c r="D280" i="24"/>
  <c r="D290" i="24"/>
  <c r="E290" i="24" s="1"/>
  <c r="D304" i="24"/>
  <c r="D305" i="24"/>
  <c r="D322" i="24"/>
  <c r="E322" i="24" s="1"/>
  <c r="D323" i="24"/>
  <c r="E323" i="24" s="1"/>
  <c r="D349" i="24"/>
  <c r="F349" i="24" s="1"/>
  <c r="D351" i="24"/>
  <c r="E352" i="24" s="1"/>
  <c r="D352" i="24"/>
  <c r="D358" i="24"/>
  <c r="D362" i="24"/>
  <c r="F362" i="24" s="1"/>
  <c r="D369" i="24"/>
  <c r="F369" i="24"/>
  <c r="D370" i="24"/>
  <c r="D387" i="24"/>
  <c r="D392" i="24"/>
  <c r="E392" i="24"/>
  <c r="F392" i="24"/>
  <c r="D2349" i="24"/>
  <c r="D394" i="24"/>
  <c r="F394" i="24" s="1"/>
  <c r="E394" i="24"/>
  <c r="D396" i="24"/>
  <c r="D2353" i="24"/>
  <c r="E2354" i="24" s="1"/>
  <c r="D2356" i="24"/>
  <c r="E2356" i="24" s="1"/>
  <c r="F2356" i="24"/>
  <c r="D400" i="24"/>
  <c r="D402" i="24"/>
  <c r="E402" i="24" s="1"/>
  <c r="D421" i="24"/>
  <c r="F421" i="24" s="1"/>
  <c r="D424" i="24"/>
  <c r="E424" i="24" s="1"/>
  <c r="F424" i="24"/>
  <c r="D429" i="24"/>
  <c r="D439" i="24"/>
  <c r="D2374" i="24"/>
  <c r="D2380" i="24"/>
  <c r="F2380" i="24" s="1"/>
  <c r="D443" i="24"/>
  <c r="D447" i="24"/>
  <c r="D2387" i="24"/>
  <c r="F2388" i="24" s="1"/>
  <c r="D449" i="24"/>
  <c r="D2388" i="24"/>
  <c r="D2395" i="24"/>
  <c r="D465" i="24"/>
  <c r="D2398" i="24"/>
  <c r="D471" i="24"/>
  <c r="E473" i="24" s="1"/>
  <c r="D473" i="24"/>
  <c r="D483" i="24"/>
  <c r="D484" i="24"/>
  <c r="D492" i="24"/>
  <c r="D2412" i="24"/>
  <c r="E2412" i="24" s="1"/>
  <c r="D525" i="24"/>
  <c r="F525" i="24" s="1"/>
  <c r="E525" i="24"/>
  <c r="D530" i="24"/>
  <c r="D2420" i="24"/>
  <c r="F2421" i="24" s="1"/>
  <c r="D2422" i="24"/>
  <c r="D534" i="24"/>
  <c r="E534" i="24" s="1"/>
  <c r="D535" i="24"/>
  <c r="F535" i="24" s="1"/>
  <c r="D2425" i="24"/>
  <c r="D2426" i="24"/>
  <c r="D2434" i="24"/>
  <c r="F2434" i="24"/>
  <c r="D552" i="24"/>
  <c r="D554" i="24"/>
  <c r="D562" i="24"/>
  <c r="E562" i="24"/>
  <c r="D2458" i="24"/>
  <c r="E2458" i="24" s="1"/>
  <c r="D583" i="24"/>
  <c r="D2467" i="24"/>
  <c r="F2468" i="24" s="1"/>
  <c r="D2473" i="24"/>
  <c r="F2473" i="24" s="1"/>
  <c r="D594" i="24"/>
  <c r="D595" i="24"/>
  <c r="D603" i="24"/>
  <c r="F603" i="24"/>
  <c r="D604" i="24"/>
  <c r="F604" i="24"/>
  <c r="D615" i="24"/>
  <c r="E615" i="24"/>
  <c r="F615" i="24"/>
  <c r="D627" i="24"/>
  <c r="D628" i="24"/>
  <c r="F629" i="24" s="1"/>
  <c r="D2485" i="24"/>
  <c r="D630" i="24"/>
  <c r="D631" i="24"/>
  <c r="D633" i="24"/>
  <c r="E633" i="24"/>
  <c r="D2499" i="24"/>
  <c r="E2499" i="24" s="1"/>
  <c r="D656" i="24"/>
  <c r="D665" i="24"/>
  <c r="E665" i="24" s="1"/>
  <c r="D668" i="24"/>
  <c r="D674" i="24"/>
  <c r="D677" i="24"/>
  <c r="F678" i="24" s="1"/>
  <c r="D686" i="24"/>
  <c r="D690" i="24"/>
  <c r="D697" i="24"/>
  <c r="D706" i="24"/>
  <c r="D2533" i="24"/>
  <c r="E2533" i="24" s="1"/>
  <c r="D714" i="24"/>
  <c r="D722" i="24"/>
  <c r="E722" i="24" s="1"/>
  <c r="D731" i="24"/>
  <c r="D2552" i="24"/>
  <c r="D2558" i="24"/>
  <c r="E2558" i="24" s="1"/>
  <c r="D2560" i="24"/>
  <c r="E2560" i="24" s="1"/>
  <c r="D2575" i="24"/>
  <c r="D2576" i="24"/>
  <c r="D2579" i="24"/>
  <c r="D2581" i="24"/>
  <c r="D743" i="24"/>
  <c r="D746" i="24"/>
  <c r="D2591" i="24"/>
  <c r="E2591" i="24"/>
  <c r="F2591" i="24"/>
  <c r="D749" i="24"/>
  <c r="F749" i="24" s="1"/>
  <c r="E749" i="24"/>
  <c r="D782" i="24"/>
  <c r="F782" i="24"/>
  <c r="D786" i="24"/>
  <c r="F786" i="24" s="1"/>
  <c r="D2600" i="24"/>
  <c r="F2600" i="24"/>
  <c r="D818" i="24"/>
  <c r="F818" i="24" s="1"/>
  <c r="D829" i="24"/>
  <c r="D846" i="24"/>
  <c r="D850" i="24"/>
  <c r="D867" i="24"/>
  <c r="F867" i="24"/>
  <c r="D873" i="24"/>
  <c r="D888" i="24"/>
  <c r="F888" i="24" s="1"/>
  <c r="D889" i="24"/>
  <c r="D914" i="24"/>
  <c r="E914" i="24"/>
  <c r="D2617" i="24"/>
  <c r="E2617" i="24"/>
  <c r="F2617" i="24"/>
  <c r="D936" i="24"/>
  <c r="D942" i="24"/>
  <c r="E948" i="24" s="1"/>
  <c r="D948" i="24"/>
  <c r="F948" i="24"/>
  <c r="D962" i="24"/>
  <c r="D977" i="24"/>
  <c r="D979" i="24"/>
  <c r="D987" i="24"/>
  <c r="D2625" i="24"/>
  <c r="E2625" i="24"/>
  <c r="F2625" i="24"/>
  <c r="D1636" i="24"/>
  <c r="D1009" i="24"/>
  <c r="E1009" i="24"/>
  <c r="F1009" i="24"/>
  <c r="D1010" i="24"/>
  <c r="D1011" i="24"/>
  <c r="D1661" i="24"/>
  <c r="E1661" i="24" s="1"/>
  <c r="D1014" i="24"/>
  <c r="D1017" i="24"/>
  <c r="D1020" i="24"/>
  <c r="D1021" i="24"/>
  <c r="E1021" i="24" s="1"/>
  <c r="F1021" i="24"/>
  <c r="D1673" i="24"/>
  <c r="F1673" i="24" s="1"/>
  <c r="E1673" i="24"/>
  <c r="D1023" i="24"/>
  <c r="E1023" i="24" s="1"/>
  <c r="D1674" i="24"/>
  <c r="D1675" i="24"/>
  <c r="D1681" i="24"/>
  <c r="D1682" i="24"/>
  <c r="E1682" i="24" s="1"/>
  <c r="D1040" i="24"/>
  <c r="D1044" i="24"/>
  <c r="F1044" i="24" s="1"/>
  <c r="D1692" i="24"/>
  <c r="F1692" i="24" s="1"/>
  <c r="D1047" i="24"/>
  <c r="D1048" i="24"/>
  <c r="D1049" i="24"/>
  <c r="D1054" i="24"/>
  <c r="D1059" i="24"/>
  <c r="F1059" i="24" s="1"/>
  <c r="E1059" i="24"/>
  <c r="D2642" i="24"/>
  <c r="F2642" i="24"/>
  <c r="D1708" i="24"/>
  <c r="E1071" i="24" s="1"/>
  <c r="D1071" i="24"/>
  <c r="D2643" i="24"/>
  <c r="D1080" i="24"/>
  <c r="D2656" i="24"/>
  <c r="F2656" i="24"/>
  <c r="D2657" i="24"/>
  <c r="F2657" i="24" s="1"/>
  <c r="D2659" i="24"/>
  <c r="D1715" i="24"/>
  <c r="F1715" i="24"/>
  <c r="D2665" i="24"/>
  <c r="D1720" i="24"/>
  <c r="D1721" i="24"/>
  <c r="D1106" i="24"/>
  <c r="D2" i="24"/>
  <c r="D3" i="24"/>
  <c r="D9" i="24"/>
  <c r="D17" i="24"/>
  <c r="E17" i="24" s="1"/>
  <c r="D18" i="24"/>
  <c r="F18" i="24"/>
  <c r="D22" i="24"/>
  <c r="F22" i="24"/>
  <c r="D23" i="24"/>
  <c r="D31" i="24"/>
  <c r="D32" i="24"/>
  <c r="E32" i="24" s="1"/>
  <c r="F32" i="24"/>
  <c r="D51" i="24"/>
  <c r="E51" i="24"/>
  <c r="F51" i="24"/>
  <c r="D52" i="24"/>
  <c r="D57" i="24"/>
  <c r="F58" i="24" s="1"/>
  <c r="D64" i="24"/>
  <c r="F64" i="24" s="1"/>
  <c r="D68" i="24"/>
  <c r="E68" i="24" s="1"/>
  <c r="D74" i="24"/>
  <c r="D78" i="24"/>
  <c r="D79" i="24"/>
  <c r="E79" i="24" s="1"/>
  <c r="F79" i="24"/>
  <c r="D96" i="24"/>
  <c r="E96" i="24"/>
  <c r="F96" i="24"/>
  <c r="D99" i="24"/>
  <c r="E100" i="24" s="1"/>
  <c r="F99" i="24"/>
  <c r="D100" i="24"/>
  <c r="F100" i="24" s="1"/>
  <c r="D102" i="24"/>
  <c r="E102" i="24" s="1"/>
  <c r="F102" i="24"/>
  <c r="D106" i="24"/>
  <c r="D123" i="24"/>
  <c r="D127" i="24"/>
  <c r="D128" i="24"/>
  <c r="E128" i="24" s="1"/>
  <c r="F128" i="24"/>
  <c r="D139" i="24"/>
  <c r="D154" i="24"/>
  <c r="D164" i="24"/>
  <c r="D165" i="24"/>
  <c r="D167" i="24"/>
  <c r="D176" i="24"/>
  <c r="D179" i="24"/>
  <c r="F179" i="24" s="1"/>
  <c r="D182" i="24"/>
  <c r="D187" i="24"/>
  <c r="E187" i="24" s="1"/>
  <c r="F187" i="24"/>
  <c r="D190" i="24"/>
  <c r="D199" i="24"/>
  <c r="D200" i="24"/>
  <c r="D201" i="24"/>
  <c r="E201" i="24"/>
  <c r="F201" i="24"/>
  <c r="D217" i="24"/>
  <c r="E217" i="24" s="1"/>
  <c r="D220" i="24"/>
  <c r="D226" i="24"/>
  <c r="D231" i="24"/>
  <c r="D241" i="24"/>
  <c r="E241" i="24" s="1"/>
  <c r="D245" i="24"/>
  <c r="E245" i="24"/>
  <c r="F245" i="24"/>
  <c r="D254" i="24"/>
  <c r="E254" i="24" s="1"/>
  <c r="D255" i="24"/>
  <c r="E256" i="24" s="1"/>
  <c r="D261" i="24"/>
  <c r="E261" i="24" s="1"/>
  <c r="F261" i="24"/>
  <c r="D262" i="24"/>
  <c r="E262" i="24" s="1"/>
  <c r="D264" i="24"/>
  <c r="D267" i="24"/>
  <c r="D276" i="24"/>
  <c r="D281" i="24"/>
  <c r="E281" i="24"/>
  <c r="F281" i="24"/>
  <c r="D291" i="24"/>
  <c r="D294" i="24"/>
  <c r="D313" i="24"/>
  <c r="D319" i="24"/>
  <c r="D326" i="24"/>
  <c r="D327" i="24"/>
  <c r="F327" i="24"/>
  <c r="D335" i="24"/>
  <c r="D336" i="24"/>
  <c r="D340" i="24"/>
  <c r="D341" i="24"/>
  <c r="D353" i="24"/>
  <c r="D364" i="24"/>
  <c r="D368" i="24"/>
  <c r="F368" i="24"/>
  <c r="D380" i="24"/>
  <c r="D381" i="24"/>
  <c r="F418" i="24" s="1"/>
  <c r="D418" i="24"/>
  <c r="D2370" i="24"/>
  <c r="D426" i="24"/>
  <c r="D435" i="24"/>
  <c r="F435" i="24" s="1"/>
  <c r="D440" i="24"/>
  <c r="D2375" i="24"/>
  <c r="D2384" i="24"/>
  <c r="D450" i="24"/>
  <c r="D2389" i="24"/>
  <c r="D452" i="24"/>
  <c r="E452" i="24" s="1"/>
  <c r="D2391" i="24"/>
  <c r="E2391" i="24" s="1"/>
  <c r="F2391" i="24"/>
  <c r="D458" i="24"/>
  <c r="D475" i="24"/>
  <c r="D477" i="24"/>
  <c r="D478" i="24"/>
  <c r="E478" i="24" s="1"/>
  <c r="D485" i="24"/>
  <c r="D498" i="24"/>
  <c r="E498" i="24"/>
  <c r="D505" i="24"/>
  <c r="D513" i="24"/>
  <c r="E513" i="24" s="1"/>
  <c r="F513" i="24"/>
  <c r="D520" i="24"/>
  <c r="D528" i="24"/>
  <c r="D531" i="24"/>
  <c r="D2429" i="24"/>
  <c r="F2429" i="24" s="1"/>
  <c r="D2430" i="24"/>
  <c r="E2430" i="24" s="1"/>
  <c r="D2435" i="24"/>
  <c r="D550" i="24"/>
  <c r="D553" i="24"/>
  <c r="D565" i="24"/>
  <c r="D566" i="24"/>
  <c r="F566" i="24"/>
  <c r="D578" i="24"/>
  <c r="D582" i="24"/>
  <c r="D587" i="24"/>
  <c r="D2474" i="24"/>
  <c r="D596" i="24"/>
  <c r="F596" i="24"/>
  <c r="D2475" i="24"/>
  <c r="D2480" i="24"/>
  <c r="D623" i="24"/>
  <c r="F623" i="24"/>
  <c r="D624" i="24"/>
  <c r="D2487" i="24"/>
  <c r="D637" i="24"/>
  <c r="D640" i="24"/>
  <c r="E641" i="24" s="1"/>
  <c r="D642" i="24"/>
  <c r="E642" i="24" s="1"/>
  <c r="F642" i="24"/>
  <c r="D647" i="24"/>
  <c r="E647" i="24" s="1"/>
  <c r="F647" i="24"/>
  <c r="D650" i="24"/>
  <c r="E650" i="24"/>
  <c r="D2495" i="24"/>
  <c r="D652" i="24"/>
  <c r="D659" i="24"/>
  <c r="D2503" i="24"/>
  <c r="D2504" i="24"/>
  <c r="E2504" i="24" s="1"/>
  <c r="D666" i="24"/>
  <c r="D2516" i="24"/>
  <c r="E2516" i="24"/>
  <c r="F2516" i="24"/>
  <c r="D683" i="24"/>
  <c r="E683" i="24" s="1"/>
  <c r="F683" i="24"/>
  <c r="D691" i="24"/>
  <c r="F691" i="24" s="1"/>
  <c r="E691" i="24"/>
  <c r="D2520" i="24"/>
  <c r="D2529" i="24"/>
  <c r="F2530" i="24" s="1"/>
  <c r="D724" i="24"/>
  <c r="D2547" i="24"/>
  <c r="D2554" i="24"/>
  <c r="D736" i="24"/>
  <c r="D739" i="24"/>
  <c r="D2561" i="24"/>
  <c r="E2561" i="24"/>
  <c r="D2562" i="24"/>
  <c r="E2562" i="24" s="1"/>
  <c r="D2565" i="24"/>
  <c r="D2566" i="24"/>
  <c r="F2566" i="24" s="1"/>
  <c r="D2567" i="24"/>
  <c r="D2571" i="24"/>
  <c r="D2577" i="24"/>
  <c r="E2578" i="24" s="1"/>
  <c r="D2583" i="24"/>
  <c r="D759" i="24"/>
  <c r="D760" i="24"/>
  <c r="D795" i="24"/>
  <c r="D797" i="24"/>
  <c r="D802" i="24"/>
  <c r="D812" i="24"/>
  <c r="D822" i="24"/>
  <c r="E822" i="24"/>
  <c r="F822" i="24"/>
  <c r="D824" i="24"/>
  <c r="D833" i="24"/>
  <c r="D834" i="24"/>
  <c r="E834" i="24" s="1"/>
  <c r="D851" i="24"/>
  <c r="D854" i="24"/>
  <c r="D857" i="24"/>
  <c r="D858" i="24"/>
  <c r="D859" i="24"/>
  <c r="D2603" i="24"/>
  <c r="D864" i="24"/>
  <c r="D868" i="24"/>
  <c r="D882" i="24"/>
  <c r="E882" i="24" s="1"/>
  <c r="F882" i="24"/>
  <c r="D884" i="24"/>
  <c r="D895" i="24"/>
  <c r="E896" i="24" s="1"/>
  <c r="D910" i="24"/>
  <c r="D917" i="24"/>
  <c r="F917" i="24" s="1"/>
  <c r="D928" i="24"/>
  <c r="D929" i="24"/>
  <c r="D933" i="24"/>
  <c r="D943" i="24"/>
  <c r="D2620" i="24"/>
  <c r="E2620" i="24"/>
  <c r="F2620" i="24"/>
  <c r="D951" i="24"/>
  <c r="D959" i="24"/>
  <c r="D967" i="24"/>
  <c r="D968" i="24"/>
  <c r="D971" i="24"/>
  <c r="D975" i="24"/>
  <c r="D983" i="24"/>
  <c r="E984" i="24" s="1"/>
  <c r="F983" i="24"/>
  <c r="D991" i="24"/>
  <c r="D2627" i="24"/>
  <c r="D1637" i="24"/>
  <c r="F1637" i="24" s="1"/>
  <c r="D995" i="24"/>
  <c r="D996" i="24"/>
  <c r="E996" i="24" s="1"/>
  <c r="D1651" i="24"/>
  <c r="E1651" i="24" s="1"/>
  <c r="D1015" i="24"/>
  <c r="E1015" i="24" s="1"/>
  <c r="F1015" i="24"/>
  <c r="D1671" i="24"/>
  <c r="D1024" i="24"/>
  <c r="E1024" i="24"/>
  <c r="D1677" i="24"/>
  <c r="E1677" i="24" s="1"/>
  <c r="D1032" i="24"/>
  <c r="D1683" i="24"/>
  <c r="D1034" i="24"/>
  <c r="D1038" i="24"/>
  <c r="D1041" i="24"/>
  <c r="D6" i="24"/>
  <c r="D10" i="24"/>
  <c r="D24" i="24"/>
  <c r="D25" i="24"/>
  <c r="E25" i="24" s="1"/>
  <c r="D33" i="24"/>
  <c r="D34" i="24"/>
  <c r="D37" i="24"/>
  <c r="E37" i="24" s="1"/>
  <c r="D47" i="24"/>
  <c r="D58" i="24"/>
  <c r="D60" i="24"/>
  <c r="D66" i="24"/>
  <c r="E66" i="24" s="1"/>
  <c r="D73" i="24"/>
  <c r="D81" i="24"/>
  <c r="F82" i="24" s="1"/>
  <c r="D103" i="24"/>
  <c r="D104" i="24"/>
  <c r="D110" i="24"/>
  <c r="D114" i="24"/>
  <c r="D124" i="24"/>
  <c r="D131" i="24"/>
  <c r="D145" i="24"/>
  <c r="D155" i="24"/>
  <c r="F155" i="24"/>
  <c r="D156" i="24"/>
  <c r="D177" i="24"/>
  <c r="D180" i="24"/>
  <c r="D183" i="24"/>
  <c r="E184" i="24" s="1"/>
  <c r="D188" i="24"/>
  <c r="D197" i="24"/>
  <c r="D215" i="24"/>
  <c r="D218" i="24"/>
  <c r="D219" i="24"/>
  <c r="F220" i="24" s="1"/>
  <c r="D221" i="24"/>
  <c r="D222" i="24"/>
  <c r="D229" i="24"/>
  <c r="D232" i="24"/>
  <c r="D246" i="24"/>
  <c r="E246" i="24" s="1"/>
  <c r="D265" i="24"/>
  <c r="D268" i="24"/>
  <c r="E268" i="24" s="1"/>
  <c r="F268" i="24"/>
  <c r="D282" i="24"/>
  <c r="D283" i="24"/>
  <c r="D288" i="24"/>
  <c r="D296" i="24"/>
  <c r="F297" i="24" s="1"/>
  <c r="D300" i="24"/>
  <c r="D311" i="24"/>
  <c r="F311" i="24"/>
  <c r="D314" i="24"/>
  <c r="F314" i="24" s="1"/>
  <c r="D318" i="24"/>
  <c r="E319" i="24" s="1"/>
  <c r="F318" i="24"/>
  <c r="D328" i="24"/>
  <c r="D329" i="24"/>
  <c r="D330" i="24"/>
  <c r="D337" i="24"/>
  <c r="D342" i="24"/>
  <c r="D376" i="24"/>
  <c r="D378" i="24"/>
  <c r="E378" i="24"/>
  <c r="F378" i="24"/>
  <c r="D386" i="24"/>
  <c r="D388" i="24"/>
  <c r="D403" i="24"/>
  <c r="E403" i="24"/>
  <c r="D406" i="24"/>
  <c r="D2365" i="24"/>
  <c r="E2365" i="24"/>
  <c r="F2365" i="24"/>
  <c r="D413" i="24"/>
  <c r="F414" i="24" s="1"/>
  <c r="D416" i="24"/>
  <c r="E416" i="24" s="1"/>
  <c r="D2367" i="24"/>
  <c r="E2367" i="24"/>
  <c r="D430" i="24"/>
  <c r="D436" i="24"/>
  <c r="D2378" i="24"/>
  <c r="D2383" i="24"/>
  <c r="D444" i="24"/>
  <c r="D451" i="24"/>
  <c r="D453" i="24"/>
  <c r="D2400" i="24"/>
  <c r="D476" i="24"/>
  <c r="F476" i="24"/>
  <c r="D495" i="24"/>
  <c r="E495" i="24" s="1"/>
  <c r="D2404" i="24"/>
  <c r="D2405" i="24"/>
  <c r="D2413" i="24"/>
  <c r="F2414" i="24" s="1"/>
  <c r="D2414" i="24"/>
  <c r="D529" i="24"/>
  <c r="D2424" i="24"/>
  <c r="E2424" i="24"/>
  <c r="F2424" i="24"/>
  <c r="D2431" i="24"/>
  <c r="D2436" i="24"/>
  <c r="D546" i="24"/>
  <c r="F546" i="24" s="1"/>
  <c r="E546" i="24"/>
  <c r="D2442" i="24"/>
  <c r="D567" i="24"/>
  <c r="E567" i="24"/>
  <c r="F567" i="24"/>
  <c r="D2446" i="24"/>
  <c r="D2447" i="24"/>
  <c r="D584" i="24"/>
  <c r="E584" i="24" s="1"/>
  <c r="D585" i="24"/>
  <c r="D588" i="24"/>
  <c r="E588" i="24" s="1"/>
  <c r="D593" i="24"/>
  <c r="D597" i="24"/>
  <c r="D600" i="24"/>
  <c r="D2476" i="24"/>
  <c r="D612" i="24"/>
  <c r="E612" i="24" s="1"/>
  <c r="D613" i="24"/>
  <c r="D621" i="24"/>
  <c r="F621" i="24"/>
  <c r="D2482" i="24"/>
  <c r="E2482" i="24" s="1"/>
  <c r="D2486" i="24"/>
  <c r="E2486" i="24" s="1"/>
  <c r="F2486" i="24"/>
  <c r="D2488" i="24"/>
  <c r="D638" i="24"/>
  <c r="D643" i="24"/>
  <c r="D648" i="24"/>
  <c r="D2496" i="24"/>
  <c r="E2496" i="24" s="1"/>
  <c r="D657" i="24"/>
  <c r="D2506" i="24"/>
  <c r="E2507" i="24" s="1"/>
  <c r="D667" i="24"/>
  <c r="F667" i="24" s="1"/>
  <c r="E667" i="24"/>
  <c r="D2517" i="24"/>
  <c r="E2517" i="24" s="1"/>
  <c r="D684" i="24"/>
  <c r="F684" i="24"/>
  <c r="D692" i="24"/>
  <c r="E693" i="24" s="1"/>
  <c r="D2521" i="24"/>
  <c r="E2521" i="24" s="1"/>
  <c r="D701" i="24"/>
  <c r="E701" i="24"/>
  <c r="D2534" i="24"/>
  <c r="F707" i="24" s="1"/>
  <c r="F2534" i="24"/>
  <c r="D707" i="24"/>
  <c r="E707" i="24" s="1"/>
  <c r="D708" i="24"/>
  <c r="D716" i="24"/>
  <c r="D2540" i="24"/>
  <c r="D721" i="24"/>
  <c r="D723" i="24"/>
  <c r="D2545" i="24"/>
  <c r="D2548" i="24"/>
  <c r="F2548" i="24" s="1"/>
  <c r="D729" i="24"/>
  <c r="D733" i="24"/>
  <c r="E733" i="24" s="1"/>
  <c r="D734" i="24"/>
  <c r="D735" i="24"/>
  <c r="D2555" i="24"/>
  <c r="F2556" i="24" s="1"/>
  <c r="D737" i="24"/>
  <c r="D738" i="24"/>
  <c r="E738" i="24"/>
  <c r="F738" i="24"/>
  <c r="D740" i="24"/>
  <c r="D2563" i="24"/>
  <c r="D2568" i="24"/>
  <c r="F2568" i="24" s="1"/>
  <c r="E2568" i="24"/>
  <c r="D2578" i="24"/>
  <c r="F2578" i="24" s="1"/>
  <c r="D753" i="24"/>
  <c r="D754" i="24"/>
  <c r="D755" i="24"/>
  <c r="D761" i="24"/>
  <c r="D772" i="24"/>
  <c r="E772" i="24" s="1"/>
  <c r="F772" i="24"/>
  <c r="D783" i="24"/>
  <c r="E783" i="24" s="1"/>
  <c r="D788" i="24"/>
  <c r="F788" i="24" s="1"/>
  <c r="D799" i="24"/>
  <c r="D803" i="24"/>
  <c r="D809" i="24"/>
  <c r="D810" i="24"/>
  <c r="E810" i="24"/>
  <c r="D825" i="24"/>
  <c r="D830" i="24"/>
  <c r="D835" i="24"/>
  <c r="D836" i="24"/>
  <c r="F836" i="24" s="1"/>
  <c r="D852" i="24"/>
  <c r="E853" i="24" s="1"/>
  <c r="D860" i="24"/>
  <c r="D875" i="24"/>
  <c r="D878" i="24"/>
  <c r="D890" i="24"/>
  <c r="E890" i="24"/>
  <c r="D901" i="24"/>
  <c r="D915" i="24"/>
  <c r="E916" i="24" s="1"/>
  <c r="D927" i="24"/>
  <c r="D930" i="24"/>
  <c r="E930" i="24"/>
  <c r="F930" i="24"/>
  <c r="D2611" i="24"/>
  <c r="D2612" i="24"/>
  <c r="D934" i="24"/>
  <c r="F935" i="24" s="1"/>
  <c r="D944" i="24"/>
  <c r="D945" i="24"/>
  <c r="E945" i="24" s="1"/>
  <c r="D946" i="24"/>
  <c r="E947" i="24" s="1"/>
  <c r="D2622" i="24"/>
  <c r="F2622" i="24"/>
  <c r="D966" i="24"/>
  <c r="D969" i="24"/>
  <c r="D970" i="24"/>
  <c r="D972" i="24"/>
  <c r="D976" i="24"/>
  <c r="D978" i="24"/>
  <c r="F978" i="24" s="1"/>
  <c r="D980" i="24"/>
  <c r="D981" i="24"/>
  <c r="F981" i="24" s="1"/>
  <c r="D984" i="24"/>
  <c r="D989" i="24"/>
  <c r="D992" i="24"/>
  <c r="D2628" i="24"/>
  <c r="F2629" i="24" s="1"/>
  <c r="D1638" i="24"/>
  <c r="D2631" i="24"/>
  <c r="D1640" i="24"/>
  <c r="D998" i="24"/>
  <c r="E998" i="24" s="1"/>
  <c r="D1656" i="24"/>
  <c r="F1656" i="24"/>
  <c r="D1667" i="24"/>
  <c r="E1667" i="24" s="1"/>
  <c r="F1667" i="24"/>
  <c r="D1018" i="24"/>
  <c r="D1033" i="24"/>
  <c r="D1035" i="24"/>
  <c r="E1035" i="24"/>
  <c r="D2633" i="24"/>
  <c r="E2633" i="24" s="1"/>
  <c r="D1039" i="24"/>
  <c r="D1693" i="24"/>
  <c r="F1693" i="24"/>
  <c r="D1700" i="24"/>
  <c r="D1065" i="24"/>
  <c r="D4" i="24"/>
  <c r="D15" i="24"/>
  <c r="F15" i="24" s="1"/>
  <c r="E15" i="24"/>
  <c r="D20" i="24"/>
  <c r="F20" i="24" s="1"/>
  <c r="D21" i="24"/>
  <c r="D28" i="24"/>
  <c r="D29" i="24"/>
  <c r="E29" i="24" s="1"/>
  <c r="F29" i="24"/>
  <c r="D38" i="24"/>
  <c r="E38" i="24"/>
  <c r="D44" i="24"/>
  <c r="D61" i="24"/>
  <c r="D75" i="24"/>
  <c r="D84" i="24"/>
  <c r="E84" i="24" s="1"/>
  <c r="D105" i="24"/>
  <c r="D107" i="24"/>
  <c r="D115" i="24"/>
  <c r="F115" i="24" s="1"/>
  <c r="E115" i="24"/>
  <c r="D118" i="24"/>
  <c r="E118" i="24"/>
  <c r="F118" i="24"/>
  <c r="D140" i="24"/>
  <c r="D141" i="24"/>
  <c r="D142" i="24"/>
  <c r="D144" i="24"/>
  <c r="D147" i="24"/>
  <c r="E147" i="24" s="1"/>
  <c r="F147" i="24"/>
  <c r="D148" i="24"/>
  <c r="E149" i="24" s="1"/>
  <c r="D162" i="24"/>
  <c r="F162" i="24" s="1"/>
  <c r="D163" i="24"/>
  <c r="D227" i="24"/>
  <c r="D242" i="24"/>
  <c r="D250" i="24"/>
  <c r="F251" i="24" s="1"/>
  <c r="D258" i="24"/>
  <c r="D266" i="24"/>
  <c r="E267" i="24" s="1"/>
  <c r="F266" i="24"/>
  <c r="D269" i="24"/>
  <c r="D284" i="24"/>
  <c r="D287" i="24"/>
  <c r="F287" i="24" s="1"/>
  <c r="D292" i="24"/>
  <c r="F293" i="24" s="1"/>
  <c r="D299" i="24"/>
  <c r="D302" i="24"/>
  <c r="D308" i="24"/>
  <c r="E309" i="24" s="1"/>
  <c r="D310" i="24"/>
  <c r="E310" i="24" s="1"/>
  <c r="D324" i="24"/>
  <c r="D325" i="24"/>
  <c r="E325" i="24"/>
  <c r="F325" i="24"/>
  <c r="D333" i="24"/>
  <c r="E333" i="24"/>
  <c r="F333" i="24"/>
  <c r="D339" i="24"/>
  <c r="D344" i="24"/>
  <c r="D360" i="24"/>
  <c r="D366" i="24"/>
  <c r="E366" i="24"/>
  <c r="D372" i="24"/>
  <c r="E372" i="24" s="1"/>
  <c r="F372" i="24"/>
  <c r="D377" i="24"/>
  <c r="D2342" i="24"/>
  <c r="D383" i="24"/>
  <c r="E384" i="24" s="1"/>
  <c r="D2357" i="24"/>
  <c r="D399" i="24"/>
  <c r="D2361" i="24"/>
  <c r="E2361" i="24" s="1"/>
  <c r="D2362" i="24"/>
  <c r="D407" i="24"/>
  <c r="F408" i="24" s="1"/>
  <c r="F407" i="24"/>
  <c r="D2368" i="24"/>
  <c r="D425" i="24"/>
  <c r="E425" i="24" s="1"/>
  <c r="F425" i="24"/>
  <c r="D427" i="24"/>
  <c r="D432" i="24"/>
  <c r="D2385" i="24"/>
  <c r="D2392" i="24"/>
  <c r="D460" i="24"/>
  <c r="D463" i="24"/>
  <c r="D466" i="24"/>
  <c r="D469" i="24"/>
  <c r="F469" i="24"/>
  <c r="D479" i="24"/>
  <c r="D496" i="24"/>
  <c r="E496" i="24" s="1"/>
  <c r="D499" i="24"/>
  <c r="D500" i="24"/>
  <c r="D2406" i="24"/>
  <c r="D507" i="24"/>
  <c r="D510" i="24"/>
  <c r="D514" i="24"/>
  <c r="F514" i="24" s="1"/>
  <c r="D2418" i="24"/>
  <c r="D537" i="24"/>
  <c r="D2432" i="24"/>
  <c r="D2437" i="24"/>
  <c r="D547" i="24"/>
  <c r="D551" i="24"/>
  <c r="F551" i="24"/>
  <c r="D555" i="24"/>
  <c r="D2443" i="24"/>
  <c r="E2443" i="24" s="1"/>
  <c r="F2443" i="24"/>
  <c r="D557" i="24"/>
  <c r="D571" i="24"/>
  <c r="D2452" i="24"/>
  <c r="D2453" i="24"/>
  <c r="D2464" i="24"/>
  <c r="D2468" i="24"/>
  <c r="D590" i="24"/>
  <c r="D591" i="24"/>
  <c r="F591" i="24" s="1"/>
  <c r="E591" i="24"/>
  <c r="D2470" i="24"/>
  <c r="E2471" i="24" s="1"/>
  <c r="D2471" i="24"/>
  <c r="D601" i="24"/>
  <c r="D2477" i="24"/>
  <c r="D610" i="24"/>
  <c r="E610" i="24"/>
  <c r="D611" i="24"/>
  <c r="D617" i="24"/>
  <c r="D620" i="24"/>
  <c r="D622" i="24"/>
  <c r="D2483" i="24"/>
  <c r="D2484" i="24"/>
  <c r="D625" i="24"/>
  <c r="E625" i="24" s="1"/>
  <c r="D634" i="24"/>
  <c r="F634" i="24" s="1"/>
  <c r="E634" i="24"/>
  <c r="D635" i="24"/>
  <c r="F635" i="24" s="1"/>
  <c r="D2492" i="24"/>
  <c r="D2497" i="24"/>
  <c r="D655" i="24"/>
  <c r="F655" i="24" s="1"/>
  <c r="E655" i="24"/>
  <c r="D2501" i="24"/>
  <c r="D2502" i="24"/>
  <c r="D662" i="24"/>
  <c r="D664" i="24"/>
  <c r="E664" i="24"/>
  <c r="F664" i="24"/>
  <c r="D2518" i="24"/>
  <c r="D687" i="24"/>
  <c r="D689" i="24"/>
  <c r="D693" i="24"/>
  <c r="F693" i="24" s="1"/>
  <c r="D700" i="24"/>
  <c r="E700" i="24"/>
  <c r="F700" i="24"/>
  <c r="D702" i="24"/>
  <c r="D704" i="24"/>
  <c r="D717" i="24"/>
  <c r="D2542" i="24"/>
  <c r="E2542" i="24" s="1"/>
  <c r="F2542" i="24"/>
  <c r="D728" i="24"/>
  <c r="D730" i="24"/>
  <c r="F730" i="24" s="1"/>
  <c r="D732" i="24"/>
  <c r="D2584" i="24"/>
  <c r="F2585" i="24" s="1"/>
  <c r="D2587" i="24"/>
  <c r="D752" i="24"/>
  <c r="D768" i="24"/>
  <c r="D769" i="24"/>
  <c r="F769" i="24"/>
  <c r="D792" i="24"/>
  <c r="D793" i="24"/>
  <c r="E793" i="24" s="1"/>
  <c r="D800" i="24"/>
  <c r="E800" i="24"/>
  <c r="F800" i="24"/>
  <c r="D801" i="24"/>
  <c r="D804" i="24"/>
  <c r="D805" i="24"/>
  <c r="D2597" i="24"/>
  <c r="E2598" i="24" s="1"/>
  <c r="E2597" i="24"/>
  <c r="F2597" i="24"/>
  <c r="D811" i="24"/>
  <c r="D819" i="24"/>
  <c r="D843" i="24"/>
  <c r="D847" i="24"/>
  <c r="E847" i="24" s="1"/>
  <c r="F847" i="24"/>
  <c r="D855" i="24"/>
  <c r="F855" i="24" s="1"/>
  <c r="E855" i="24"/>
  <c r="D861" i="24"/>
  <c r="D863" i="24"/>
  <c r="E865" i="24" s="1"/>
  <c r="D865" i="24"/>
  <c r="D869" i="24"/>
  <c r="D886" i="24"/>
  <c r="D904" i="24"/>
  <c r="F904" i="24" s="1"/>
  <c r="D905" i="24"/>
  <c r="E906" i="24" s="1"/>
  <c r="D909" i="24"/>
  <c r="E909" i="24" s="1"/>
  <c r="F909" i="24"/>
  <c r="D911" i="24"/>
  <c r="D921" i="24"/>
  <c r="D924" i="24"/>
  <c r="D940" i="24"/>
  <c r="F940" i="24"/>
  <c r="D949" i="24"/>
  <c r="D952" i="24"/>
  <c r="D956" i="24"/>
  <c r="D957" i="24"/>
  <c r="D973" i="24"/>
  <c r="D974" i="24"/>
  <c r="D994" i="24"/>
  <c r="F994" i="24" s="1"/>
  <c r="E994" i="24"/>
  <c r="D1641" i="24"/>
  <c r="E1641" i="24" s="1"/>
  <c r="F1641" i="24"/>
  <c r="D1642" i="24"/>
  <c r="D1001" i="24"/>
  <c r="E1001" i="24" s="1"/>
  <c r="D1002" i="24"/>
  <c r="D1005" i="24"/>
  <c r="F1005" i="24" s="1"/>
  <c r="E1005" i="24"/>
  <c r="D1653" i="24"/>
  <c r="D1654" i="24"/>
  <c r="D1657" i="24"/>
  <c r="E1658" i="24" s="1"/>
  <c r="D1663" i="24"/>
  <c r="D1027" i="24"/>
  <c r="F1028" i="24" s="1"/>
  <c r="D1678" i="24"/>
  <c r="F1678" i="24"/>
  <c r="D1029" i="24"/>
  <c r="E1030" i="24" s="1"/>
  <c r="D1036" i="24"/>
  <c r="D2634" i="24"/>
  <c r="D2636" i="24"/>
  <c r="E2636" i="24" s="1"/>
  <c r="D1691" i="24"/>
  <c r="D1694" i="24"/>
  <c r="D1068" i="24"/>
  <c r="F1069" i="24" s="1"/>
  <c r="D1069" i="24"/>
  <c r="D1072" i="24"/>
  <c r="D2646" i="24"/>
  <c r="D1084" i="24"/>
  <c r="D1085" i="24"/>
  <c r="D1086" i="24"/>
  <c r="D1092" i="24"/>
  <c r="E1092" i="24"/>
  <c r="F1092" i="24"/>
  <c r="D2661" i="24"/>
  <c r="D2666" i="24"/>
  <c r="F2666" i="24" s="1"/>
  <c r="E2666" i="24"/>
  <c r="D2667" i="24"/>
  <c r="D2670" i="24"/>
  <c r="E2670" i="24"/>
  <c r="F2670" i="24"/>
  <c r="D1110" i="24"/>
  <c r="D1718" i="24"/>
  <c r="D2671" i="24"/>
  <c r="E2671" i="24"/>
  <c r="D1723" i="24"/>
  <c r="D1111" i="24"/>
  <c r="D1729" i="24"/>
  <c r="D1114" i="24"/>
  <c r="D2675" i="24"/>
  <c r="D1735" i="24"/>
  <c r="D1738" i="24"/>
  <c r="D1120" i="24"/>
  <c r="D1126" i="24"/>
  <c r="D1750" i="24"/>
  <c r="D1752" i="24"/>
  <c r="D2679" i="24"/>
  <c r="D2680" i="24"/>
  <c r="D1135" i="24"/>
  <c r="D1137" i="24"/>
  <c r="D1764" i="24"/>
  <c r="D1767" i="24"/>
  <c r="D2690" i="24"/>
  <c r="D1769" i="24"/>
  <c r="E1769" i="24" s="1"/>
  <c r="D2692" i="24"/>
  <c r="D1771" i="24"/>
  <c r="D1772" i="24"/>
  <c r="D1776" i="24"/>
  <c r="D1155" i="24"/>
  <c r="E1155" i="24"/>
  <c r="D1778" i="24"/>
  <c r="D1781" i="24"/>
  <c r="D2701" i="24"/>
  <c r="D1166" i="24"/>
  <c r="D2705" i="24"/>
  <c r="D1789" i="24"/>
  <c r="D2708" i="24"/>
  <c r="D1171" i="24"/>
  <c r="D2710" i="24"/>
  <c r="D1181" i="24"/>
  <c r="D1819" i="24"/>
  <c r="F1819" i="24" s="1"/>
  <c r="D1203" i="24"/>
  <c r="D1205" i="24"/>
  <c r="D1206" i="24"/>
  <c r="D1837" i="24"/>
  <c r="D1211" i="24"/>
  <c r="F1211" i="24" s="1"/>
  <c r="D1841" i="24"/>
  <c r="D1219" i="24"/>
  <c r="D1847" i="24"/>
  <c r="D1222" i="24"/>
  <c r="D1227" i="24"/>
  <c r="D1238" i="24"/>
  <c r="D1239" i="24"/>
  <c r="E1239" i="24" s="1"/>
  <c r="F1239" i="24"/>
  <c r="D1865" i="24"/>
  <c r="D1241" i="24"/>
  <c r="D1872" i="24"/>
  <c r="D1879" i="24"/>
  <c r="D1882" i="24"/>
  <c r="D1897" i="24"/>
  <c r="D2729" i="24"/>
  <c r="D2732" i="24"/>
  <c r="D1924" i="24"/>
  <c r="D2735" i="24"/>
  <c r="D1927" i="24"/>
  <c r="F1929" i="24" s="1"/>
  <c r="D1929" i="24"/>
  <c r="D1930" i="24"/>
  <c r="F1930" i="24"/>
  <c r="D1934" i="24"/>
  <c r="F1934" i="24"/>
  <c r="D1935" i="24"/>
  <c r="F1935" i="24"/>
  <c r="D2741" i="24"/>
  <c r="D1940" i="24"/>
  <c r="D2744" i="24"/>
  <c r="D1947" i="24"/>
  <c r="D2747" i="24"/>
  <c r="D1957" i="24"/>
  <c r="D2752" i="24"/>
  <c r="D1256" i="24"/>
  <c r="D2755" i="24"/>
  <c r="D1960" i="24"/>
  <c r="F1960" i="24" s="1"/>
  <c r="D1260" i="24"/>
  <c r="D1268" i="24"/>
  <c r="D1983" i="24"/>
  <c r="D2765" i="24"/>
  <c r="D1986" i="24"/>
  <c r="D1989" i="24"/>
  <c r="F1989" i="24" s="1"/>
  <c r="D1990" i="24"/>
  <c r="D1993" i="24"/>
  <c r="D1999" i="24"/>
  <c r="D2003" i="24"/>
  <c r="D1296" i="24"/>
  <c r="D2009" i="24"/>
  <c r="D2019" i="24"/>
  <c r="D2024" i="24"/>
  <c r="D1310" i="24"/>
  <c r="D2026" i="24"/>
  <c r="E2026" i="24" s="1"/>
  <c r="D2027" i="24"/>
  <c r="D2773" i="24"/>
  <c r="D2778" i="24"/>
  <c r="D1329" i="24"/>
  <c r="D1330" i="24"/>
  <c r="D1337" i="24"/>
  <c r="F1337" i="24" s="1"/>
  <c r="D2056" i="24"/>
  <c r="D1342" i="24"/>
  <c r="F1342" i="24" s="1"/>
  <c r="D2060" i="24"/>
  <c r="D2783" i="24"/>
  <c r="D1347" i="24"/>
  <c r="D2786" i="24"/>
  <c r="D2065" i="24"/>
  <c r="D2788" i="24"/>
  <c r="D1352" i="24"/>
  <c r="F1352" i="24"/>
  <c r="D2793" i="24"/>
  <c r="D2073" i="24"/>
  <c r="E2073" i="24" s="1"/>
  <c r="D2078" i="24"/>
  <c r="D2086" i="24"/>
  <c r="F2086" i="24" s="1"/>
  <c r="D2089" i="24"/>
  <c r="F2089" i="24" s="1"/>
  <c r="D2091" i="24"/>
  <c r="D1377" i="24"/>
  <c r="D1380" i="24"/>
  <c r="D1384" i="24"/>
  <c r="D2807" i="24"/>
  <c r="D2104" i="24"/>
  <c r="D2109" i="24"/>
  <c r="D2815" i="24"/>
  <c r="D2114" i="24"/>
  <c r="E2114" i="24"/>
  <c r="D1402" i="24"/>
  <c r="D1405" i="24"/>
  <c r="D1408" i="24"/>
  <c r="D2134" i="24"/>
  <c r="D1414" i="24"/>
  <c r="D1417" i="24"/>
  <c r="E1417" i="24" s="1"/>
  <c r="D2828" i="24"/>
  <c r="D2139" i="24"/>
  <c r="D1421" i="24"/>
  <c r="D2145" i="24"/>
  <c r="D2148" i="24"/>
  <c r="D1425" i="24"/>
  <c r="D1429" i="24"/>
  <c r="F1429" i="24" s="1"/>
  <c r="D1433" i="24"/>
  <c r="D2163" i="24"/>
  <c r="D2830" i="24"/>
  <c r="D2172" i="24"/>
  <c r="D1447" i="24"/>
  <c r="F1447" i="24" s="1"/>
  <c r="D1448" i="24"/>
  <c r="D1450" i="24"/>
  <c r="D2175" i="24"/>
  <c r="D2180" i="24"/>
  <c r="D2186" i="24"/>
  <c r="D1477" i="24"/>
  <c r="D2839" i="24"/>
  <c r="D2204" i="24"/>
  <c r="E2204" i="24" s="1"/>
  <c r="D1488" i="24"/>
  <c r="E1488" i="24"/>
  <c r="F1488" i="24"/>
  <c r="D2847" i="24"/>
  <c r="E2847" i="24" s="1"/>
  <c r="D2213" i="24"/>
  <c r="D2219" i="24"/>
  <c r="D2220" i="24"/>
  <c r="D2222" i="24"/>
  <c r="D1506" i="24"/>
  <c r="D2853" i="24"/>
  <c r="E2853" i="24" s="1"/>
  <c r="D2856" i="24"/>
  <c r="D2235" i="24"/>
  <c r="D2238" i="24"/>
  <c r="D2863" i="24"/>
  <c r="F2863" i="24" s="1"/>
  <c r="D2243" i="24"/>
  <c r="F2243" i="24" s="1"/>
  <c r="D2868" i="24"/>
  <c r="D1525" i="24"/>
  <c r="D2871" i="24"/>
  <c r="F2872" i="24" s="1"/>
  <c r="D2253" i="24"/>
  <c r="D2254" i="24"/>
  <c r="D2258" i="24"/>
  <c r="D2877" i="24"/>
  <c r="D1532" i="24"/>
  <c r="D1534" i="24"/>
  <c r="D1541" i="24"/>
  <c r="E1541" i="24" s="1"/>
  <c r="F1541" i="24"/>
  <c r="D2278" i="24"/>
  <c r="E2278" i="24" s="1"/>
  <c r="D2887" i="24"/>
  <c r="D2891" i="24"/>
  <c r="D1555" i="24"/>
  <c r="D1560" i="24"/>
  <c r="D1563" i="24"/>
  <c r="D2281" i="24"/>
  <c r="D2285" i="24"/>
  <c r="D2288" i="24"/>
  <c r="E2288" i="24"/>
  <c r="D2903" i="24"/>
  <c r="D1591" i="24"/>
  <c r="D2301" i="24"/>
  <c r="D2307" i="24"/>
  <c r="E2307" i="24"/>
  <c r="D2310" i="24"/>
  <c r="D2313" i="24"/>
  <c r="D2327" i="24"/>
  <c r="D2906" i="24"/>
  <c r="D1731" i="24"/>
  <c r="E1731" i="24"/>
  <c r="D2676" i="24"/>
  <c r="F2676" i="24" s="1"/>
  <c r="D1736" i="24"/>
  <c r="F1736" i="24"/>
  <c r="D1739" i="24"/>
  <c r="E1739" i="24"/>
  <c r="D2677" i="24"/>
  <c r="E2677" i="24" s="1"/>
  <c r="D1744" i="24"/>
  <c r="D1748" i="24"/>
  <c r="F1748" i="24" s="1"/>
  <c r="D1758" i="24"/>
  <c r="D1140" i="24"/>
  <c r="E1140" i="24" s="1"/>
  <c r="D1141" i="24"/>
  <c r="E1141" i="24" s="1"/>
  <c r="D2686" i="24"/>
  <c r="D1768" i="24"/>
  <c r="D2691" i="24"/>
  <c r="E2692" i="24" s="1"/>
  <c r="D1153" i="24"/>
  <c r="D1156" i="24"/>
  <c r="D2695" i="24"/>
  <c r="D2699" i="24"/>
  <c r="D2703" i="24"/>
  <c r="D1172" i="24"/>
  <c r="D1812" i="24"/>
  <c r="E1812" i="24" s="1"/>
  <c r="D1187" i="24"/>
  <c r="D1815" i="24"/>
  <c r="D1820" i="24"/>
  <c r="D1823" i="24"/>
  <c r="D1199" i="24"/>
  <c r="D1831" i="24"/>
  <c r="D1832" i="24"/>
  <c r="E1832" i="24" s="1"/>
  <c r="D1833" i="24"/>
  <c r="D1842" i="24"/>
  <c r="D1844" i="24"/>
  <c r="D1856" i="24"/>
  <c r="D1857" i="24"/>
  <c r="E1857" i="24"/>
  <c r="D1233" i="24"/>
  <c r="E1233" i="24" s="1"/>
  <c r="F1233" i="24"/>
  <c r="D1862" i="24"/>
  <c r="D1240" i="24"/>
  <c r="F1240" i="24"/>
  <c r="D1869" i="24"/>
  <c r="D2719" i="24"/>
  <c r="D1890" i="24"/>
  <c r="F1890" i="24" s="1"/>
  <c r="E1890" i="24"/>
  <c r="D2724" i="24"/>
  <c r="D2726" i="24"/>
  <c r="E2726" i="24" s="1"/>
  <c r="D1903" i="24"/>
  <c r="D1906" i="24"/>
  <c r="D2738" i="24"/>
  <c r="D1931" i="24"/>
  <c r="D1245" i="24"/>
  <c r="D1944" i="24"/>
  <c r="F1944" i="24"/>
  <c r="D1948" i="24"/>
  <c r="D1949" i="24"/>
  <c r="D1250" i="24"/>
  <c r="D2748" i="24"/>
  <c r="F2748" i="24" s="1"/>
  <c r="D1964" i="24"/>
  <c r="D1965" i="24"/>
  <c r="D1261" i="24"/>
  <c r="D1972" i="24"/>
  <c r="D1284" i="24"/>
  <c r="F1284" i="24" s="1"/>
  <c r="D1991" i="24"/>
  <c r="E1991" i="24" s="1"/>
  <c r="D1286" i="24"/>
  <c r="D1291" i="24"/>
  <c r="D1302" i="24"/>
  <c r="D2016" i="24"/>
  <c r="D2771" i="24"/>
  <c r="D2025" i="24"/>
  <c r="E2025" i="24" s="1"/>
  <c r="D1315" i="24"/>
  <c r="D2034" i="24"/>
  <c r="D2043" i="24"/>
  <c r="D2779" i="24"/>
  <c r="D2780" i="24"/>
  <c r="D2046" i="24"/>
  <c r="D2049" i="24"/>
  <c r="F2049" i="24" s="1"/>
  <c r="E2049" i="24"/>
  <c r="D1331" i="24"/>
  <c r="E1331" i="24" s="1"/>
  <c r="D1335" i="24"/>
  <c r="D2061" i="24"/>
  <c r="D1345" i="24"/>
  <c r="E1345" i="24" s="1"/>
  <c r="D2787" i="24"/>
  <c r="D2068" i="24"/>
  <c r="D2789" i="24"/>
  <c r="D2790" i="24"/>
  <c r="D2791" i="24"/>
  <c r="D2074" i="24"/>
  <c r="D2796" i="24"/>
  <c r="D2797" i="24"/>
  <c r="F2798" i="24" s="1"/>
  <c r="D2084" i="24"/>
  <c r="D2085" i="24"/>
  <c r="D1365" i="24"/>
  <c r="F1365" i="24"/>
  <c r="D2087" i="24"/>
  <c r="D2801" i="24"/>
  <c r="D2802" i="24"/>
  <c r="D1378" i="24"/>
  <c r="F1378" i="24"/>
  <c r="D1386" i="24"/>
  <c r="D2100" i="24"/>
  <c r="E2100" i="24" s="1"/>
  <c r="D2105" i="24"/>
  <c r="F2105" i="24" s="1"/>
  <c r="D2106" i="24"/>
  <c r="F2106" i="24" s="1"/>
  <c r="D2110" i="24"/>
  <c r="D2115" i="24"/>
  <c r="D2117" i="24"/>
  <c r="D1400" i="24"/>
  <c r="D2120" i="24"/>
  <c r="D1403" i="24"/>
  <c r="D1404" i="24"/>
  <c r="F1404" i="24"/>
  <c r="D2823" i="24"/>
  <c r="E2823" i="24" s="1"/>
  <c r="D2826" i="24"/>
  <c r="D2135" i="24"/>
  <c r="D2149" i="24"/>
  <c r="E2149" i="24" s="1"/>
  <c r="D2157" i="24"/>
  <c r="D2166" i="24"/>
  <c r="D2834" i="24"/>
  <c r="D1453" i="24"/>
  <c r="D2183" i="24"/>
  <c r="D2192" i="24"/>
  <c r="D2193" i="24"/>
  <c r="D2196" i="24"/>
  <c r="E2197" i="24" s="1"/>
  <c r="D2199" i="24"/>
  <c r="D2200" i="24"/>
  <c r="E2200" i="24"/>
  <c r="F2200" i="24"/>
  <c r="D1486" i="24"/>
  <c r="D2214" i="24"/>
  <c r="D1497" i="24"/>
  <c r="D2216" i="24"/>
  <c r="D2217" i="24"/>
  <c r="D2223" i="24"/>
  <c r="D2225" i="24"/>
  <c r="D2228" i="24"/>
  <c r="D2229" i="24"/>
  <c r="D2236" i="24"/>
  <c r="E2236" i="24" s="1"/>
  <c r="F2236" i="24"/>
  <c r="D1515" i="24"/>
  <c r="F1516" i="24" s="1"/>
  <c r="D2240" i="24"/>
  <c r="E2240" i="24" s="1"/>
  <c r="D2866" i="24"/>
  <c r="D1523" i="24"/>
  <c r="D2246" i="24"/>
  <c r="D2872" i="24"/>
  <c r="E2872" i="24" s="1"/>
  <c r="D2255" i="24"/>
  <c r="E2255" i="24" s="1"/>
  <c r="F2255" i="24"/>
  <c r="D2261" i="24"/>
  <c r="D2881" i="24"/>
  <c r="D1538" i="24"/>
  <c r="D1539" i="24"/>
  <c r="E1539" i="24" s="1"/>
  <c r="F1539" i="24"/>
  <c r="D1542" i="24"/>
  <c r="D2884" i="24"/>
  <c r="D1552" i="24"/>
  <c r="D1564" i="24"/>
  <c r="D2897" i="24"/>
  <c r="D2898" i="24"/>
  <c r="D1573" i="24"/>
  <c r="D1574" i="24"/>
  <c r="D2899" i="24"/>
  <c r="F2899" i="24" s="1"/>
  <c r="D1575" i="24"/>
  <c r="D2282" i="24"/>
  <c r="F2282" i="24" s="1"/>
  <c r="D1587" i="24"/>
  <c r="D2290" i="24"/>
  <c r="D2295" i="24"/>
  <c r="F2296" i="24" s="1"/>
  <c r="D2296" i="24"/>
  <c r="D2298" i="24"/>
  <c r="D2299" i="24"/>
  <c r="F2311" i="24" s="1"/>
  <c r="D2311" i="24"/>
  <c r="D1612" i="24"/>
  <c r="D2324" i="24"/>
  <c r="D2332" i="24"/>
  <c r="D1626" i="24"/>
  <c r="D2337" i="24"/>
  <c r="D1629" i="24"/>
  <c r="D1012" i="24"/>
  <c r="D1664" i="24"/>
  <c r="E1664" i="24"/>
  <c r="D1686" i="24"/>
  <c r="D1688" i="24"/>
  <c r="F1688" i="24" s="1"/>
  <c r="D1042" i="24"/>
  <c r="D2637" i="24"/>
  <c r="F2637" i="24" s="1"/>
  <c r="E2637" i="24"/>
  <c r="D1045" i="24"/>
  <c r="E1045" i="24"/>
  <c r="D1050" i="24"/>
  <c r="F1050" i="24"/>
  <c r="D1053" i="24"/>
  <c r="F1053" i="24" s="1"/>
  <c r="D1060" i="24"/>
  <c r="F1061" i="24" s="1"/>
  <c r="E1060" i="24"/>
  <c r="D1702" i="24"/>
  <c r="F1703" i="24" s="1"/>
  <c r="D1705" i="24"/>
  <c r="F1706" i="24" s="1"/>
  <c r="D1066" i="24"/>
  <c r="E1066" i="24" s="1"/>
  <c r="D2644" i="24"/>
  <c r="E2644" i="24" s="1"/>
  <c r="F2644" i="24"/>
  <c r="D1079" i="24"/>
  <c r="F1079" i="24" s="1"/>
  <c r="E1079" i="24"/>
  <c r="D1090" i="24"/>
  <c r="D1093" i="24"/>
  <c r="D1101" i="24"/>
  <c r="D1719" i="24"/>
  <c r="E1719" i="24"/>
  <c r="F1719" i="24"/>
  <c r="D1104" i="24"/>
  <c r="E1104" i="24" s="1"/>
  <c r="D2672" i="24"/>
  <c r="D2673" i="24"/>
  <c r="D2674" i="24"/>
  <c r="D1730" i="24"/>
  <c r="E1730" i="24" s="1"/>
  <c r="F1730" i="24"/>
  <c r="D1737" i="24"/>
  <c r="F1737" i="24" s="1"/>
  <c r="D1740" i="24"/>
  <c r="D1121" i="24"/>
  <c r="D1743" i="24"/>
  <c r="D1753" i="24"/>
  <c r="F1753" i="24"/>
  <c r="D1759" i="24"/>
  <c r="D2684" i="24"/>
  <c r="D2685" i="24"/>
  <c r="F2686" i="24" s="1"/>
  <c r="D1138" i="24"/>
  <c r="D2693" i="24"/>
  <c r="D1146" i="24"/>
  <c r="D1779" i="24"/>
  <c r="D2696" i="24"/>
  <c r="E2696" i="24" s="1"/>
  <c r="D1164" i="24"/>
  <c r="D1785" i="24"/>
  <c r="D1168" i="24"/>
  <c r="D1790" i="24"/>
  <c r="D1173" i="24"/>
  <c r="D1800" i="24"/>
  <c r="D1177" i="24"/>
  <c r="D1803" i="24"/>
  <c r="D1807" i="24"/>
  <c r="D1184" i="24"/>
  <c r="D1810" i="24"/>
  <c r="E1810" i="24" s="1"/>
  <c r="D1813" i="24"/>
  <c r="D1188" i="24"/>
  <c r="E1188" i="24" s="1"/>
  <c r="D1816" i="24"/>
  <c r="E1816" i="24" s="1"/>
  <c r="D1192" i="24"/>
  <c r="D1821" i="24"/>
  <c r="D1822" i="24"/>
  <c r="D1197" i="24"/>
  <c r="D1824" i="24"/>
  <c r="D1204" i="24"/>
  <c r="F1205" i="24" s="1"/>
  <c r="D1212" i="24"/>
  <c r="E1212" i="24" s="1"/>
  <c r="D1220" i="24"/>
  <c r="E1220" i="24" s="1"/>
  <c r="F1220" i="24"/>
  <c r="D1848" i="24"/>
  <c r="D1223" i="24"/>
  <c r="D1854" i="24"/>
  <c r="D1863" i="24"/>
  <c r="D1874" i="24"/>
  <c r="D1875" i="24"/>
  <c r="F1875" i="24" s="1"/>
  <c r="D2720" i="24"/>
  <c r="D2721" i="24"/>
  <c r="D1887" i="24"/>
  <c r="D1891" i="24"/>
  <c r="D1892" i="24"/>
  <c r="D2722" i="24"/>
  <c r="F2722" i="24" s="1"/>
  <c r="D2725" i="24"/>
  <c r="F2726" i="24" s="1"/>
  <c r="D1898" i="24"/>
  <c r="D1899" i="24"/>
  <c r="D2727" i="24"/>
  <c r="D1904" i="24"/>
  <c r="D1915" i="24"/>
  <c r="D2736" i="24"/>
  <c r="D1928" i="24"/>
  <c r="D1932" i="24"/>
  <c r="F1932" i="24" s="1"/>
  <c r="E1932" i="24"/>
  <c r="D1937" i="24"/>
  <c r="D1246" i="24"/>
  <c r="E1246" i="24"/>
  <c r="D1251" i="24"/>
  <c r="F1252" i="24" s="1"/>
  <c r="D1252" i="24"/>
  <c r="D1958" i="24"/>
  <c r="E1958" i="24" s="1"/>
  <c r="F1958" i="24"/>
  <c r="D2756" i="24"/>
  <c r="F2756" i="24" s="1"/>
  <c r="E2756" i="24"/>
  <c r="D2757" i="24"/>
  <c r="E2758" i="24" s="1"/>
  <c r="D1961" i="24"/>
  <c r="D1962" i="24"/>
  <c r="D1963" i="24"/>
  <c r="F1963" i="24" s="1"/>
  <c r="D2758" i="24"/>
  <c r="D1979" i="24"/>
  <c r="F1980" i="24" s="1"/>
  <c r="D1980" i="24"/>
  <c r="D1981" i="24"/>
  <c r="D1276" i="24"/>
  <c r="D1281" i="24"/>
  <c r="F1281" i="24"/>
  <c r="D1287" i="24"/>
  <c r="D1996" i="24"/>
  <c r="D2000" i="24"/>
  <c r="E2000" i="24"/>
  <c r="F2000" i="24"/>
  <c r="D1292" i="24"/>
  <c r="D1293" i="24"/>
  <c r="F1293" i="24" s="1"/>
  <c r="D1300" i="24"/>
  <c r="D2020" i="24"/>
  <c r="E2020" i="24"/>
  <c r="D1309" i="24"/>
  <c r="D2028" i="24"/>
  <c r="F2028" i="24"/>
  <c r="D2040" i="24"/>
  <c r="D2047" i="24"/>
  <c r="D2054" i="24"/>
  <c r="D2062" i="24"/>
  <c r="D2071" i="24"/>
  <c r="E2071" i="24"/>
  <c r="D2072" i="24"/>
  <c r="F2073" i="24" s="1"/>
  <c r="D2794" i="24"/>
  <c r="D2075" i="24"/>
  <c r="F2075" i="24"/>
  <c r="D2803" i="24"/>
  <c r="F2803" i="24"/>
  <c r="D1379" i="24"/>
  <c r="D1387" i="24"/>
  <c r="D2812" i="24"/>
  <c r="F2812" i="24"/>
  <c r="D2116" i="24"/>
  <c r="D2121" i="24"/>
  <c r="D2824" i="24"/>
  <c r="D1411" i="24"/>
  <c r="D2136" i="24"/>
  <c r="D1419" i="24"/>
  <c r="D2146" i="24"/>
  <c r="D2169" i="24"/>
  <c r="D2835" i="24"/>
  <c r="E2835" i="24" s="1"/>
  <c r="F2835" i="24"/>
  <c r="D1454" i="24"/>
  <c r="E1454" i="24" s="1"/>
  <c r="F1454" i="24"/>
  <c r="D1456" i="24"/>
  <c r="D1466" i="24"/>
  <c r="D1468" i="24"/>
  <c r="D2184" i="24"/>
  <c r="E2184" i="24" s="1"/>
  <c r="F2184" i="24"/>
  <c r="D2187" i="24"/>
  <c r="D1475" i="24"/>
  <c r="D2194" i="24"/>
  <c r="D2197" i="24"/>
  <c r="D2198" i="24"/>
  <c r="D2201" i="24"/>
  <c r="D2842" i="24"/>
  <c r="D2843" i="24"/>
  <c r="D1487" i="24"/>
  <c r="D1489" i="24"/>
  <c r="D2848" i="24"/>
  <c r="D2215" i="24"/>
  <c r="D2232" i="24"/>
  <c r="D1509" i="24"/>
  <c r="F1509" i="24"/>
  <c r="D1510" i="24"/>
  <c r="F1510" i="24" s="1"/>
  <c r="D1513" i="24"/>
  <c r="D1514" i="24"/>
  <c r="D1516" i="24"/>
  <c r="D2867" i="24"/>
  <c r="E2867" i="24"/>
  <c r="F2867" i="24"/>
  <c r="D2247" i="24"/>
  <c r="D2251" i="24"/>
  <c r="D1530" i="24"/>
  <c r="D1543" i="24"/>
  <c r="F1543" i="24" s="1"/>
  <c r="E1543" i="24"/>
  <c r="D2894" i="24"/>
  <c r="E2894" i="24" s="1"/>
  <c r="D1565" i="24"/>
  <c r="E1565" i="24"/>
  <c r="F1565" i="24"/>
  <c r="D1566" i="24"/>
  <c r="D2900" i="24"/>
  <c r="E2900" i="24" s="1"/>
  <c r="D1576" i="24"/>
  <c r="E1576" i="24" s="1"/>
  <c r="D1578" i="24"/>
  <c r="D2291" i="24"/>
  <c r="D2292" i="24"/>
  <c r="D2902" i="24"/>
  <c r="D2904" i="24"/>
  <c r="D2297" i="24"/>
  <c r="E2297" i="24" s="1"/>
  <c r="D2302" i="24"/>
  <c r="D1614" i="24"/>
  <c r="D2325" i="24"/>
  <c r="E2325" i="24" s="1"/>
  <c r="F2325" i="24"/>
  <c r="D2328" i="24"/>
  <c r="D2333" i="24"/>
  <c r="E2333" i="24" s="1"/>
  <c r="D2338" i="24"/>
  <c r="F2338" i="24" s="1"/>
  <c r="D1630" i="24"/>
  <c r="D1634" i="24"/>
  <c r="D1621" i="24"/>
  <c r="F1621" i="24" s="1"/>
  <c r="D2908" i="24"/>
  <c r="D2909" i="24"/>
  <c r="F2909" i="24" s="1"/>
  <c r="E2909" i="24"/>
  <c r="D1624" i="24"/>
  <c r="D2334" i="24"/>
  <c r="E2334" i="24" s="1"/>
  <c r="D2910" i="24"/>
  <c r="D1631" i="24"/>
  <c r="E1631" i="24"/>
  <c r="D1696" i="24"/>
  <c r="E1696" i="24" s="1"/>
  <c r="D1051" i="24"/>
  <c r="D1701" i="24"/>
  <c r="D1055" i="24"/>
  <c r="D1056" i="24"/>
  <c r="E1056" i="24" s="1"/>
  <c r="D2639" i="24"/>
  <c r="D1073" i="24"/>
  <c r="F1073" i="24" s="1"/>
  <c r="D1075" i="24"/>
  <c r="D1094" i="24"/>
  <c r="D1096" i="24"/>
  <c r="D2662" i="24"/>
  <c r="E2662" i="24"/>
  <c r="F2662" i="24"/>
  <c r="D1115" i="24"/>
  <c r="D1732" i="24"/>
  <c r="D1117" i="24"/>
  <c r="D1746" i="24"/>
  <c r="E1746" i="24" s="1"/>
  <c r="D1747" i="24"/>
  <c r="D1123" i="24"/>
  <c r="D1124" i="24"/>
  <c r="D1129" i="24"/>
  <c r="D2682" i="24"/>
  <c r="F1139" i="24" s="1"/>
  <c r="E2682" i="24"/>
  <c r="F2682" i="24"/>
  <c r="D1139" i="24"/>
  <c r="D1760" i="24"/>
  <c r="D2687" i="24"/>
  <c r="E2687" i="24" s="1"/>
  <c r="D1142" i="24"/>
  <c r="D1144" i="24"/>
  <c r="D1149" i="24"/>
  <c r="D1161" i="24"/>
  <c r="D2704" i="24"/>
  <c r="D2706" i="24"/>
  <c r="D1169" i="24"/>
  <c r="D1792" i="24"/>
  <c r="D1793" i="24"/>
  <c r="D1174" i="24"/>
  <c r="F1174" i="24" s="1"/>
  <c r="D1796" i="24"/>
  <c r="D2715" i="24"/>
  <c r="D1179" i="24"/>
  <c r="F1179" i="24" s="1"/>
  <c r="E1179" i="24"/>
  <c r="D1808" i="24"/>
  <c r="D1809" i="24"/>
  <c r="D1811" i="24"/>
  <c r="F1812" i="24" s="1"/>
  <c r="F1811" i="24"/>
  <c r="D1193" i="24"/>
  <c r="D1195" i="24"/>
  <c r="D1827" i="24"/>
  <c r="D1829" i="24"/>
  <c r="D1207" i="24"/>
  <c r="D1214" i="24"/>
  <c r="E1215" i="24" s="1"/>
  <c r="D1216" i="24"/>
  <c r="D1845" i="24"/>
  <c r="D1850" i="24"/>
  <c r="D1228" i="24"/>
  <c r="D1859" i="24"/>
  <c r="D1243" i="24"/>
  <c r="D1876" i="24"/>
  <c r="F1876" i="24"/>
  <c r="D2717" i="24"/>
  <c r="D1885" i="24"/>
  <c r="D1893" i="24"/>
  <c r="E1893" i="24"/>
  <c r="D1894" i="24"/>
  <c r="D2728" i="24"/>
  <c r="E2728" i="24" s="1"/>
  <c r="D1907" i="24"/>
  <c r="D1909" i="24"/>
  <c r="D1910" i="24"/>
  <c r="D2730" i="24"/>
  <c r="D1918" i="24"/>
  <c r="D1920" i="24"/>
  <c r="E1920" i="24" s="1"/>
  <c r="D1921" i="24"/>
  <c r="D1247" i="24"/>
  <c r="D1945" i="24"/>
  <c r="D1946" i="24"/>
  <c r="E1946" i="24" s="1"/>
  <c r="D1952" i="24"/>
  <c r="E1952" i="24"/>
  <c r="D2750" i="24"/>
  <c r="D1253" i="24"/>
  <c r="E1253" i="24" s="1"/>
  <c r="F1253" i="24"/>
  <c r="D1257" i="24"/>
  <c r="D1969" i="24"/>
  <c r="D1263" i="24"/>
  <c r="D2761" i="24"/>
  <c r="D1973" i="24"/>
  <c r="D1265" i="24"/>
  <c r="D1266" i="24"/>
  <c r="F1267" i="24" s="1"/>
  <c r="D1269" i="24"/>
  <c r="D1976" i="24"/>
  <c r="D1977" i="24"/>
  <c r="D1978" i="24"/>
  <c r="D1271" i="24"/>
  <c r="D1272" i="24"/>
  <c r="D1277" i="24"/>
  <c r="D1987" i="24"/>
  <c r="D1282" i="24"/>
  <c r="E1282" i="24"/>
  <c r="D2769" i="24"/>
  <c r="D1289" i="24"/>
  <c r="D1997" i="24"/>
  <c r="D2004" i="24"/>
  <c r="F2004" i="24" s="1"/>
  <c r="D2005" i="24"/>
  <c r="D2007" i="24"/>
  <c r="D2010" i="24"/>
  <c r="F2010" i="24" s="1"/>
  <c r="D2013" i="24"/>
  <c r="D1306" i="24"/>
  <c r="E1311" i="24" s="1"/>
  <c r="D1311" i="24"/>
  <c r="F1311" i="24" s="1"/>
  <c r="D2029" i="24"/>
  <c r="D2030" i="24"/>
  <c r="E2030" i="24"/>
  <c r="F2030" i="24"/>
  <c r="D1316" i="24"/>
  <c r="E1317" i="24" s="1"/>
  <c r="D2032" i="24"/>
  <c r="D1321" i="24"/>
  <c r="D2036" i="24"/>
  <c r="E2036" i="24"/>
  <c r="D2041" i="24"/>
  <c r="E2041" i="24" s="1"/>
  <c r="D1325" i="24"/>
  <c r="D1327" i="24"/>
  <c r="D2051" i="24"/>
  <c r="D2057" i="24"/>
  <c r="F2057" i="24" s="1"/>
  <c r="E2057" i="24"/>
  <c r="D1348" i="24"/>
  <c r="D2066" i="24"/>
  <c r="F2066" i="24" s="1"/>
  <c r="D2069" i="24"/>
  <c r="D2070" i="24"/>
  <c r="F2070" i="24" s="1"/>
  <c r="D1350" i="24"/>
  <c r="E1350" i="24" s="1"/>
  <c r="D1360" i="24"/>
  <c r="D1361" i="24"/>
  <c r="E1361" i="24"/>
  <c r="F1361" i="24"/>
  <c r="D1366" i="24"/>
  <c r="D2094" i="24"/>
  <c r="D2095" i="24"/>
  <c r="D2804" i="24"/>
  <c r="E2804" i="24"/>
  <c r="F2804" i="24"/>
  <c r="D2101" i="24"/>
  <c r="F2101" i="24" s="1"/>
  <c r="D2107" i="24"/>
  <c r="D2809" i="24"/>
  <c r="D2111" i="24"/>
  <c r="D1394" i="24"/>
  <c r="D1395" i="24"/>
  <c r="D1396" i="24"/>
  <c r="D1397" i="24"/>
  <c r="D2818" i="24"/>
  <c r="D2127" i="24"/>
  <c r="D1409" i="24"/>
  <c r="F1409" i="24"/>
  <c r="D2141" i="24"/>
  <c r="D2142" i="24"/>
  <c r="D1427" i="24"/>
  <c r="D1430" i="24"/>
  <c r="D2154" i="24"/>
  <c r="D1431" i="24"/>
  <c r="F1431" i="24" s="1"/>
  <c r="E1431" i="24"/>
  <c r="D1434" i="24"/>
  <c r="E1434" i="24" s="1"/>
  <c r="F1434" i="24"/>
  <c r="D1438" i="24"/>
  <c r="D1439" i="24"/>
  <c r="D1440" i="24"/>
  <c r="D1443" i="24"/>
  <c r="D2831" i="24"/>
  <c r="D2173" i="24"/>
  <c r="F2173" i="24" s="1"/>
  <c r="E2173" i="24"/>
  <c r="D1451" i="24"/>
  <c r="D2174" i="24"/>
  <c r="E2174" i="24"/>
  <c r="F2174" i="24"/>
  <c r="D1459" i="24"/>
  <c r="D1462" i="24"/>
  <c r="D1470" i="24"/>
  <c r="D1472" i="24"/>
  <c r="D2189" i="24"/>
  <c r="D2190" i="24"/>
  <c r="D2191" i="24"/>
  <c r="D2837" i="24"/>
  <c r="F2837" i="24"/>
  <c r="D2840" i="24"/>
  <c r="D2202" i="24"/>
  <c r="E2202" i="24"/>
  <c r="F2202" i="24"/>
  <c r="D2206" i="24"/>
  <c r="D2207" i="24"/>
  <c r="D2208" i="24"/>
  <c r="D2209" i="24"/>
  <c r="D2211" i="24"/>
  <c r="D1494" i="24"/>
  <c r="D2860" i="24"/>
  <c r="D1517" i="24"/>
  <c r="E1517" i="24" s="1"/>
  <c r="F1517" i="24"/>
  <c r="D2241" i="24"/>
  <c r="F2241" i="24" s="1"/>
  <c r="E2241" i="24"/>
  <c r="D2864" i="24"/>
  <c r="D1521" i="24"/>
  <c r="D2244" i="24"/>
  <c r="F2244" i="24" s="1"/>
  <c r="D2869" i="24"/>
  <c r="F2869" i="24" s="1"/>
  <c r="D2248" i="24"/>
  <c r="E2248" i="24"/>
  <c r="F2248" i="24"/>
  <c r="D2873" i="24"/>
  <c r="D2264" i="24"/>
  <c r="D2265" i="24"/>
  <c r="D1536" i="24"/>
  <c r="D2271" i="24"/>
  <c r="D2274" i="24"/>
  <c r="D1549" i="24"/>
  <c r="D2888" i="24"/>
  <c r="F2888" i="24"/>
  <c r="D1556" i="24"/>
  <c r="E1556" i="24" s="1"/>
  <c r="F1556" i="24"/>
  <c r="D1558" i="24"/>
  <c r="D2895" i="24"/>
  <c r="D1569" i="24"/>
  <c r="D1570" i="24"/>
  <c r="D1583" i="24"/>
  <c r="D1584" i="24"/>
  <c r="E1584" i="24"/>
  <c r="D1585" i="24"/>
  <c r="D1595" i="24"/>
  <c r="D1103" i="24"/>
  <c r="D1107" i="24"/>
  <c r="F1107" i="24"/>
  <c r="D1724" i="24"/>
  <c r="E1724" i="24" s="1"/>
  <c r="D1112" i="24"/>
  <c r="D1725" i="24"/>
  <c r="D1118" i="24"/>
  <c r="D1119" i="24"/>
  <c r="D1742" i="24"/>
  <c r="D1125" i="24"/>
  <c r="D1749" i="24"/>
  <c r="D1127" i="24"/>
  <c r="E1127" i="24" s="1"/>
  <c r="D1130" i="24"/>
  <c r="E1130" i="24" s="1"/>
  <c r="F1130" i="24"/>
  <c r="D1754" i="24"/>
  <c r="D1755" i="24"/>
  <c r="D2681" i="24"/>
  <c r="D1756" i="24"/>
  <c r="D2683" i="24"/>
  <c r="E2683" i="24" s="1"/>
  <c r="D1151" i="24"/>
  <c r="E1151" i="24" s="1"/>
  <c r="D1158" i="24"/>
  <c r="D1162" i="24"/>
  <c r="F1162" i="24" s="1"/>
  <c r="D1783" i="24"/>
  <c r="D1784" i="24"/>
  <c r="D1165" i="24"/>
  <c r="D1786" i="24"/>
  <c r="D1167" i="24"/>
  <c r="F1167" i="24" s="1"/>
  <c r="D1794" i="24"/>
  <c r="D2712" i="24"/>
  <c r="D1801" i="24"/>
  <c r="D1178" i="24"/>
  <c r="D1180" i="24"/>
  <c r="D1182" i="24"/>
  <c r="D1814" i="24"/>
  <c r="D1817" i="24"/>
  <c r="D1196" i="24"/>
  <c r="D1828" i="24"/>
  <c r="F1828" i="24"/>
  <c r="D1834" i="24"/>
  <c r="F1834" i="24"/>
  <c r="D1208" i="24"/>
  <c r="D1215" i="24"/>
  <c r="D1224" i="24"/>
  <c r="D1851" i="24"/>
  <c r="E1851" i="24" s="1"/>
  <c r="D1852" i="24"/>
  <c r="D1229" i="24"/>
  <c r="D1232" i="24"/>
  <c r="D1234" i="24"/>
  <c r="E1235" i="24" s="1"/>
  <c r="D1235" i="24"/>
  <c r="D1867" i="24"/>
  <c r="E1867" i="24" s="1"/>
  <c r="D1870" i="24"/>
  <c r="E1870" i="24" s="1"/>
  <c r="D1244" i="24"/>
  <c r="E1245" i="24" s="1"/>
  <c r="D1880" i="24"/>
  <c r="D1884" i="24"/>
  <c r="D1900" i="24"/>
  <c r="E1900" i="24" s="1"/>
  <c r="D1916" i="24"/>
  <c r="E1916" i="24" s="1"/>
  <c r="F1916" i="24"/>
  <c r="D2733" i="24"/>
  <c r="D1919" i="24"/>
  <c r="E1933" i="24" s="1"/>
  <c r="D1933" i="24"/>
  <c r="F1933" i="24"/>
  <c r="D1938" i="24"/>
  <c r="E1938" i="24" s="1"/>
  <c r="F1938" i="24"/>
  <c r="D2742" i="24"/>
  <c r="F2742" i="24" s="1"/>
  <c r="E2742" i="24"/>
  <c r="D1953" i="24"/>
  <c r="D1954" i="24"/>
  <c r="D1959" i="24"/>
  <c r="F1959" i="24" s="1"/>
  <c r="E1959" i="24"/>
  <c r="D1966" i="24"/>
  <c r="E1966" i="24" s="1"/>
  <c r="F1966" i="24"/>
  <c r="D1970" i="24"/>
  <c r="D1974" i="24"/>
  <c r="E1974" i="24" s="1"/>
  <c r="D1267" i="24"/>
  <c r="D1273" i="24"/>
  <c r="F1273" i="24"/>
  <c r="D2766" i="24"/>
  <c r="F2766" i="24" s="1"/>
  <c r="D2767" i="24"/>
  <c r="D2001" i="24"/>
  <c r="D1294" i="24"/>
  <c r="D1298" i="24"/>
  <c r="D1303" i="24"/>
  <c r="D1305" i="24"/>
  <c r="D2017" i="24"/>
  <c r="F2017" i="24" s="1"/>
  <c r="E2017" i="24"/>
  <c r="D1317" i="24"/>
  <c r="D2033" i="24"/>
  <c r="F2033" i="24"/>
  <c r="D1318" i="24"/>
  <c r="D2035" i="24"/>
  <c r="F2035" i="24" s="1"/>
  <c r="D2776" i="24"/>
  <c r="D1323" i="24"/>
  <c r="D1326" i="24"/>
  <c r="D2048" i="24"/>
  <c r="D1328" i="24"/>
  <c r="E1329" i="24" s="1"/>
  <c r="D1332" i="24"/>
  <c r="F1332" i="24" s="1"/>
  <c r="D2052" i="24"/>
  <c r="D2055" i="24"/>
  <c r="D1338" i="24"/>
  <c r="E1338" i="24" s="1"/>
  <c r="D1343" i="24"/>
  <c r="F1343" i="24"/>
  <c r="D1362" i="24"/>
  <c r="E1362" i="24"/>
  <c r="D1368" i="24"/>
  <c r="D2799" i="24"/>
  <c r="D1370" i="24"/>
  <c r="D1374" i="24"/>
  <c r="D2096" i="24"/>
  <c r="D1381" i="24"/>
  <c r="D2805" i="24"/>
  <c r="F2805" i="24" s="1"/>
  <c r="D1385" i="24"/>
  <c r="E1385" i="24" s="1"/>
  <c r="D2808" i="24"/>
  <c r="E2808" i="24" s="1"/>
  <c r="D2102" i="24"/>
  <c r="D2103" i="24"/>
  <c r="E2103" i="24"/>
  <c r="F2103" i="24"/>
  <c r="D1392" i="24"/>
  <c r="D2112" i="24"/>
  <c r="E2112" i="24" s="1"/>
  <c r="F2112" i="24"/>
  <c r="D2816" i="24"/>
  <c r="E2816" i="24" s="1"/>
  <c r="D1398" i="24"/>
  <c r="D2118" i="24"/>
  <c r="E2119" i="24" s="1"/>
  <c r="D2119" i="24"/>
  <c r="D2820" i="24"/>
  <c r="D2124" i="24"/>
  <c r="D2125" i="24"/>
  <c r="D2129" i="24"/>
  <c r="D2827" i="24"/>
  <c r="D2131" i="24"/>
  <c r="F2132" i="24" s="1"/>
  <c r="D2132" i="24"/>
  <c r="D1415" i="24"/>
  <c r="F1415" i="24" s="1"/>
  <c r="E1415" i="24"/>
  <c r="D2147" i="24"/>
  <c r="F2147" i="24" s="1"/>
  <c r="E2147" i="24"/>
  <c r="D2150" i="24"/>
  <c r="D2152" i="24"/>
  <c r="D2158" i="24"/>
  <c r="E2158" i="24" s="1"/>
  <c r="F2158" i="24"/>
  <c r="D2159" i="24"/>
  <c r="D2160" i="24"/>
  <c r="D1436" i="24"/>
  <c r="D1441" i="24"/>
  <c r="F1441" i="24" s="1"/>
  <c r="D1444" i="24"/>
  <c r="D2170" i="24"/>
  <c r="E2170" i="24"/>
  <c r="F2170" i="24"/>
  <c r="D2836" i="24"/>
  <c r="D1452" i="24"/>
  <c r="F1452" i="24"/>
  <c r="D1457" i="24"/>
  <c r="F1457" i="24" s="1"/>
  <c r="E1457" i="24"/>
  <c r="D1467" i="24"/>
  <c r="F1468" i="24" s="1"/>
  <c r="E1467" i="24"/>
  <c r="D2181" i="24"/>
  <c r="D1476" i="24"/>
  <c r="D2195" i="24"/>
  <c r="D1484" i="24"/>
  <c r="F1484" i="24" s="1"/>
  <c r="D2203" i="24"/>
  <c r="D2844" i="24"/>
  <c r="E2844" i="24"/>
  <c r="D2205" i="24"/>
  <c r="F2205" i="24" s="1"/>
  <c r="E2205" i="24"/>
  <c r="D1495" i="24"/>
  <c r="F1495" i="24" s="1"/>
  <c r="E1495" i="24"/>
  <c r="D1498" i="24"/>
  <c r="F1498" i="24" s="1"/>
  <c r="D2218" i="24"/>
  <c r="D1503" i="24"/>
  <c r="D2226" i="24"/>
  <c r="D2857" i="24"/>
  <c r="D2230" i="24"/>
  <c r="D1511" i="24"/>
  <c r="D2249" i="24"/>
  <c r="F2249" i="24" s="1"/>
  <c r="D2256" i="24"/>
  <c r="E2256" i="24" s="1"/>
  <c r="F2256" i="24"/>
  <c r="D2874" i="24"/>
  <c r="F2874" i="24" s="1"/>
  <c r="D2882" i="24"/>
  <c r="E2882" i="24"/>
  <c r="D2267" i="24"/>
  <c r="F2267" i="24"/>
  <c r="D2268" i="24"/>
  <c r="F2268" i="24" s="1"/>
  <c r="D1540" i="24"/>
  <c r="E1540" i="24" s="1"/>
  <c r="F1540" i="24"/>
  <c r="D1544" i="24"/>
  <c r="E1544" i="24" s="1"/>
  <c r="D1545" i="24"/>
  <c r="D2885" i="24"/>
  <c r="F2885" i="24"/>
  <c r="D1550" i="24"/>
  <c r="D2889" i="24"/>
  <c r="D1553" i="24"/>
  <c r="F1553" i="24" s="1"/>
  <c r="E1553" i="24"/>
  <c r="D1567" i="24"/>
  <c r="D1577" i="24"/>
  <c r="D2283" i="24"/>
  <c r="E2283" i="24" s="1"/>
  <c r="D2284" i="24"/>
  <c r="F2285" i="24" s="1"/>
  <c r="D1580" i="24"/>
  <c r="D1592" i="24"/>
  <c r="E1592" i="24"/>
  <c r="F1592" i="24"/>
  <c r="D1599" i="24"/>
  <c r="D2300" i="24"/>
  <c r="D1602" i="24"/>
  <c r="D2303" i="24"/>
  <c r="D2305" i="24"/>
  <c r="D1606" i="24"/>
  <c r="D1616" i="24"/>
  <c r="D2329" i="24"/>
  <c r="D1622" i="24"/>
  <c r="D1625" i="24"/>
  <c r="D2335" i="24"/>
  <c r="D1627" i="24"/>
  <c r="D1122" i="24"/>
  <c r="F1122" i="24" s="1"/>
  <c r="E1122" i="24"/>
  <c r="D2678" i="24"/>
  <c r="F2678" i="24" s="1"/>
  <c r="D1757" i="24"/>
  <c r="D1136" i="24"/>
  <c r="F1137" i="24" s="1"/>
  <c r="D2688" i="24"/>
  <c r="D1765" i="24"/>
  <c r="D1770" i="24"/>
  <c r="E1770" i="24"/>
  <c r="D1147" i="24"/>
  <c r="F1147" i="24" s="1"/>
  <c r="D1154" i="24"/>
  <c r="E1154" i="24"/>
  <c r="D1157" i="24"/>
  <c r="E1157" i="24" s="1"/>
  <c r="F1157" i="24"/>
  <c r="D1780" i="24"/>
  <c r="D2697" i="24"/>
  <c r="E2697" i="24" s="1"/>
  <c r="F2697" i="24"/>
  <c r="D1159" i="24"/>
  <c r="D2700" i="24"/>
  <c r="E2700" i="24" s="1"/>
  <c r="F2700" i="24"/>
  <c r="D1782" i="24"/>
  <c r="D1170" i="24"/>
  <c r="D1175" i="24"/>
  <c r="D1802" i="24"/>
  <c r="E1802" i="24" s="1"/>
  <c r="D1804" i="24"/>
  <c r="E1804" i="24" s="1"/>
  <c r="D1185" i="24"/>
  <c r="E1185" i="24" s="1"/>
  <c r="D1194" i="24"/>
  <c r="D1198" i="24"/>
  <c r="E1198" i="24" s="1"/>
  <c r="D1825" i="24"/>
  <c r="D1826" i="24"/>
  <c r="F1826" i="24"/>
  <c r="D1202" i="24"/>
  <c r="E1202" i="24" s="1"/>
  <c r="D1835" i="24"/>
  <c r="D1836" i="24"/>
  <c r="D1217" i="24"/>
  <c r="D1846" i="24"/>
  <c r="E1847" i="24" s="1"/>
  <c r="D1849" i="24"/>
  <c r="D1853" i="24"/>
  <c r="D1871" i="24"/>
  <c r="D1873" i="24"/>
  <c r="E1874" i="24" s="1"/>
  <c r="D1881" i="24"/>
  <c r="E1881" i="24" s="1"/>
  <c r="D1888" i="24"/>
  <c r="E1888" i="24" s="1"/>
  <c r="F1888" i="24"/>
  <c r="D2723" i="24"/>
  <c r="F2723" i="24" s="1"/>
  <c r="E2723" i="24"/>
  <c r="D1905" i="24"/>
  <c r="D1908" i="24"/>
  <c r="D1913" i="24"/>
  <c r="D1922" i="24"/>
  <c r="F1922" i="24" s="1"/>
  <c r="E1922" i="24"/>
  <c r="D2737" i="24"/>
  <c r="F2737" i="24" s="1"/>
  <c r="D2739" i="24"/>
  <c r="D1939" i="24"/>
  <c r="F1940" i="24" s="1"/>
  <c r="D1941" i="24"/>
  <c r="D1950" i="24"/>
  <c r="E1951" i="24" s="1"/>
  <c r="D1248" i="24"/>
  <c r="D1254" i="24"/>
  <c r="D2759" i="24"/>
  <c r="D2760" i="24"/>
  <c r="E2760" i="24"/>
  <c r="D1967" i="24"/>
  <c r="E1967" i="24" s="1"/>
  <c r="D1262" i="24"/>
  <c r="E1262" i="24" s="1"/>
  <c r="D1971" i="24"/>
  <c r="D2762" i="24"/>
  <c r="E2762" i="24" s="1"/>
  <c r="D1975" i="24"/>
  <c r="E1975" i="24" s="1"/>
  <c r="F1975" i="24"/>
  <c r="D1982" i="24"/>
  <c r="F1982" i="24"/>
  <c r="D1285" i="24"/>
  <c r="F1285" i="24" s="1"/>
  <c r="D1992" i="24"/>
  <c r="F1992" i="24" s="1"/>
  <c r="D1288" i="24"/>
  <c r="E1289" i="24" s="1"/>
  <c r="D1994" i="24"/>
  <c r="F1994" i="24"/>
  <c r="D1295" i="24"/>
  <c r="E1295" i="24" s="1"/>
  <c r="F1295" i="24"/>
  <c r="D2011" i="24"/>
  <c r="E2011" i="24"/>
  <c r="D1301" i="24"/>
  <c r="F1301" i="24" s="1"/>
  <c r="E1301" i="24"/>
  <c r="D1307" i="24"/>
  <c r="E1308" i="24" s="1"/>
  <c r="D1313" i="24"/>
  <c r="D2031" i="24"/>
  <c r="D1319" i="24"/>
  <c r="D1322" i="24"/>
  <c r="D2037" i="24"/>
  <c r="E2038" i="24" s="1"/>
  <c r="D2038" i="24"/>
  <c r="D2050" i="24"/>
  <c r="D1333" i="24"/>
  <c r="F1334" i="24" s="1"/>
  <c r="D1339" i="24"/>
  <c r="D1344" i="24"/>
  <c r="D2784" i="24"/>
  <c r="E2784" i="24" s="1"/>
  <c r="F2784" i="24"/>
  <c r="D2067" i="24"/>
  <c r="E2067" i="24"/>
  <c r="F2067" i="24"/>
  <c r="D1356" i="24"/>
  <c r="D2090" i="24"/>
  <c r="F2091" i="24" s="1"/>
  <c r="D1372" i="24"/>
  <c r="D1375" i="24"/>
  <c r="F1375" i="24" s="1"/>
  <c r="E1375" i="24"/>
  <c r="D2098" i="24"/>
  <c r="D2099" i="24"/>
  <c r="D1390" i="24"/>
  <c r="D1391" i="24"/>
  <c r="E1391" i="24"/>
  <c r="F1391" i="24"/>
  <c r="D1393" i="24"/>
  <c r="F1393" i="24" s="1"/>
  <c r="D2113" i="24"/>
  <c r="D2813" i="24"/>
  <c r="D1401" i="24"/>
  <c r="F1401" i="24" s="1"/>
  <c r="D2122" i="24"/>
  <c r="E2122" i="24" s="1"/>
  <c r="F2122" i="24"/>
  <c r="D2123" i="24"/>
  <c r="D2126" i="24"/>
  <c r="F2126" i="24"/>
  <c r="D2128" i="24"/>
  <c r="D1406" i="24"/>
  <c r="E1406" i="24" s="1"/>
  <c r="F1406" i="24"/>
  <c r="D1412" i="24"/>
  <c r="F1412" i="24" s="1"/>
  <c r="E1412" i="24"/>
  <c r="D1416" i="24"/>
  <c r="F1417" i="24" s="1"/>
  <c r="D2829" i="24"/>
  <c r="F2830" i="24" s="1"/>
  <c r="F2829" i="24"/>
  <c r="D2140" i="24"/>
  <c r="D1420" i="24"/>
  <c r="F1420" i="24" s="1"/>
  <c r="E1420" i="24"/>
  <c r="D1422" i="24"/>
  <c r="E1422" i="24"/>
  <c r="F1422" i="24"/>
  <c r="D1426" i="24"/>
  <c r="F1426" i="24" s="1"/>
  <c r="D2155" i="24"/>
  <c r="D2161" i="24"/>
  <c r="D1442" i="24"/>
  <c r="E1442" i="24" s="1"/>
  <c r="D2167" i="24"/>
  <c r="E2167" i="24" s="1"/>
  <c r="D2832" i="24"/>
  <c r="F2832" i="24" s="1"/>
  <c r="E2832" i="24"/>
  <c r="D2833" i="24"/>
  <c r="E2833" i="24" s="1"/>
  <c r="D2171" i="24"/>
  <c r="F2172" i="24" s="1"/>
  <c r="D1455" i="24"/>
  <c r="F1456" i="24" s="1"/>
  <c r="D2176" i="24"/>
  <c r="F2176" i="24" s="1"/>
  <c r="D2178" i="24"/>
  <c r="E2178" i="24"/>
  <c r="D2838" i="24"/>
  <c r="F2838" i="24" s="1"/>
  <c r="D1482" i="24"/>
  <c r="D2845" i="24"/>
  <c r="E2845" i="24" s="1"/>
  <c r="D2849" i="24"/>
  <c r="D2210" i="24"/>
  <c r="E2210" i="24" s="1"/>
  <c r="D1492" i="24"/>
  <c r="D1493" i="24"/>
  <c r="E1493" i="24" s="1"/>
  <c r="D2212" i="24"/>
  <c r="D1500" i="24"/>
  <c r="E1500" i="24"/>
  <c r="F1500" i="24"/>
  <c r="D1504" i="24"/>
  <c r="E1505" i="24" s="1"/>
  <c r="D1505" i="24"/>
  <c r="D1507" i="24"/>
  <c r="D2854" i="24"/>
  <c r="D2227" i="24"/>
  <c r="E2227" i="24" s="1"/>
  <c r="D2239" i="24"/>
  <c r="F2239" i="24" s="1"/>
  <c r="D1518" i="24"/>
  <c r="D1519" i="24"/>
  <c r="D1526" i="24"/>
  <c r="E1526" i="24" s="1"/>
  <c r="F1526" i="24"/>
  <c r="D2875" i="24"/>
  <c r="F2875" i="24" s="1"/>
  <c r="D2876" i="24"/>
  <c r="E2876" i="24" s="1"/>
  <c r="D2262" i="24"/>
  <c r="D2878" i="24"/>
  <c r="D1533" i="24"/>
  <c r="E1533" i="24" s="1"/>
  <c r="F1533" i="24"/>
  <c r="D1535" i="24"/>
  <c r="F1535" i="24" s="1"/>
  <c r="E1535" i="24"/>
  <c r="D2883" i="24"/>
  <c r="D2269" i="24"/>
  <c r="D2272" i="24"/>
  <c r="D2273" i="24"/>
  <c r="E2273" i="24"/>
  <c r="D2276" i="24"/>
  <c r="D2886" i="24"/>
  <c r="F2886" i="24" s="1"/>
  <c r="D1547" i="24"/>
  <c r="D2890" i="24"/>
  <c r="F2891" i="24" s="1"/>
  <c r="D2892" i="24"/>
  <c r="E2892" i="24"/>
  <c r="F2892" i="24"/>
  <c r="D1557" i="24"/>
  <c r="E1557" i="24" s="1"/>
  <c r="D2893" i="24"/>
  <c r="E2893" i="24" s="1"/>
  <c r="F2893" i="24"/>
  <c r="D1571" i="24"/>
  <c r="F1571" i="24" s="1"/>
  <c r="D2901" i="24"/>
  <c r="D2289" i="24"/>
  <c r="E2289" i="24"/>
  <c r="F2289" i="24"/>
  <c r="D1589" i="24"/>
  <c r="E1589" i="24" s="1"/>
  <c r="F1589" i="24"/>
  <c r="D1590" i="24"/>
  <c r="E1591" i="24" s="1"/>
  <c r="D2905" i="24"/>
  <c r="D1593" i="24"/>
  <c r="E1593" i="24" s="1"/>
  <c r="D2293" i="24"/>
  <c r="D1600" i="24"/>
  <c r="F1600" i="24" s="1"/>
  <c r="D1601" i="24"/>
  <c r="D1603" i="24"/>
  <c r="D2304" i="24"/>
  <c r="E2304" i="24"/>
  <c r="F2304" i="24"/>
  <c r="D1607" i="24"/>
  <c r="E1607" i="24" s="1"/>
  <c r="D1608" i="24"/>
  <c r="D2316" i="24"/>
  <c r="D2318" i="24"/>
  <c r="E2319" i="24" s="1"/>
  <c r="D2320" i="24"/>
  <c r="E2321" i="24" s="1"/>
  <c r="D2321" i="24"/>
  <c r="D1617" i="24"/>
  <c r="D2330" i="24"/>
  <c r="D1619" i="24"/>
  <c r="F1619" i="24" s="1"/>
  <c r="E1619" i="24"/>
  <c r="D2907" i="24"/>
  <c r="E2907" i="24" s="1"/>
  <c r="D2911" i="24"/>
  <c r="F2911" i="24" s="1"/>
  <c r="D1635" i="24"/>
  <c r="D1067" i="24"/>
  <c r="E1067" i="24" s="1"/>
  <c r="D1709" i="24"/>
  <c r="D1076" i="24"/>
  <c r="E1076" i="24"/>
  <c r="F1076" i="24"/>
  <c r="D2647" i="24"/>
  <c r="D2651" i="24"/>
  <c r="E2651" i="24" s="1"/>
  <c r="D1087" i="24"/>
  <c r="D1098" i="24"/>
  <c r="E1098" i="24" s="1"/>
  <c r="F1098" i="24"/>
  <c r="D1099" i="24"/>
  <c r="E1099" i="24"/>
  <c r="F1099" i="24"/>
  <c r="D1713" i="24"/>
  <c r="D1716" i="24"/>
  <c r="E1716" i="24" s="1"/>
  <c r="D1717" i="24"/>
  <c r="F1717" i="24" s="1"/>
  <c r="E1717" i="24"/>
  <c r="D1105" i="24"/>
  <c r="E1105" i="24"/>
  <c r="F1105" i="24"/>
  <c r="D1722" i="24"/>
  <c r="D1108" i="24"/>
  <c r="D1726" i="24"/>
  <c r="F1726" i="24" s="1"/>
  <c r="D1116" i="24"/>
  <c r="E1117" i="24" s="1"/>
  <c r="E1116" i="24"/>
  <c r="F1116" i="24"/>
  <c r="D1733" i="24"/>
  <c r="F1733" i="24" s="1"/>
  <c r="D1131" i="24"/>
  <c r="D1132" i="24"/>
  <c r="D1761" i="24"/>
  <c r="E1761" i="24" s="1"/>
  <c r="F1761" i="24"/>
  <c r="D1762" i="24"/>
  <c r="D1766" i="24"/>
  <c r="E1143" i="24" s="1"/>
  <c r="D1143" i="24"/>
  <c r="F1143" i="24" s="1"/>
  <c r="D1145" i="24"/>
  <c r="D2694" i="24"/>
  <c r="F2694" i="24" s="1"/>
  <c r="E2694" i="24"/>
  <c r="D1773" i="24"/>
  <c r="E1773" i="24"/>
  <c r="F1773" i="24"/>
  <c r="D1148" i="24"/>
  <c r="F1149" i="24" s="1"/>
  <c r="D1774" i="24"/>
  <c r="D1775" i="24"/>
  <c r="F1775" i="24" s="1"/>
  <c r="D1777" i="24"/>
  <c r="F1777" i="24" s="1"/>
  <c r="E1777" i="24"/>
  <c r="D1163" i="24"/>
  <c r="D2702" i="24"/>
  <c r="D1787" i="24"/>
  <c r="E1787" i="24" s="1"/>
  <c r="D1788" i="24"/>
  <c r="E1788" i="24" s="1"/>
  <c r="F1788" i="24"/>
  <c r="D2707" i="24"/>
  <c r="E2707" i="24" s="1"/>
  <c r="D1795" i="24"/>
  <c r="D1176" i="24"/>
  <c r="D1797" i="24"/>
  <c r="E1797" i="24"/>
  <c r="F1797" i="24"/>
  <c r="D1798" i="24"/>
  <c r="F1798" i="24" s="1"/>
  <c r="D2716" i="24"/>
  <c r="E2716" i="24"/>
  <c r="F2716" i="24"/>
  <c r="D1186" i="24"/>
  <c r="D1190" i="24"/>
  <c r="D1818" i="24"/>
  <c r="E1818" i="24" s="1"/>
  <c r="D1830" i="24"/>
  <c r="E1830" i="24" s="1"/>
  <c r="D1209" i="24"/>
  <c r="E1209" i="24" s="1"/>
  <c r="D1210" i="24"/>
  <c r="D1838" i="24"/>
  <c r="D1839" i="24"/>
  <c r="F1839" i="24" s="1"/>
  <c r="E1839" i="24"/>
  <c r="D1218" i="24"/>
  <c r="F1218" i="24" s="1"/>
  <c r="E1218" i="24"/>
  <c r="D1221" i="24"/>
  <c r="D1225" i="24"/>
  <c r="D1226" i="24"/>
  <c r="E1226" i="24" s="1"/>
  <c r="F1226" i="24"/>
  <c r="D1230" i="24"/>
  <c r="F1230" i="24" s="1"/>
  <c r="E1230" i="24"/>
  <c r="D1231" i="24"/>
  <c r="F1231" i="24" s="1"/>
  <c r="D1858" i="24"/>
  <c r="D1860" i="24"/>
  <c r="E1860" i="24" s="1"/>
  <c r="D1864" i="24"/>
  <c r="D1883" i="24"/>
  <c r="E2718" i="24" s="1"/>
  <c r="D2718" i="24"/>
  <c r="D1886" i="24"/>
  <c r="D1889" i="24"/>
  <c r="F1889" i="24" s="1"/>
  <c r="D1895" i="24"/>
  <c r="E1895" i="24" s="1"/>
  <c r="D1901" i="24"/>
  <c r="D1902" i="24"/>
  <c r="E1902" i="24" s="1"/>
  <c r="D1911" i="24"/>
  <c r="F1911" i="24" s="1"/>
  <c r="E1911" i="24"/>
  <c r="D1912" i="24"/>
  <c r="E1912" i="24" s="1"/>
  <c r="D2731" i="24"/>
  <c r="F2732" i="24" s="1"/>
  <c r="D2734" i="24"/>
  <c r="E2735" i="24" s="1"/>
  <c r="D1923" i="24"/>
  <c r="D1925" i="24"/>
  <c r="F1925" i="24" s="1"/>
  <c r="D1926" i="24"/>
  <c r="E1926" i="24" s="1"/>
  <c r="D1942" i="24"/>
  <c r="D2745" i="24"/>
  <c r="D2746" i="24"/>
  <c r="F2746" i="24" s="1"/>
  <c r="E2746" i="24"/>
  <c r="D1951" i="24"/>
  <c r="D1249" i="24"/>
  <c r="F1250" i="24" s="1"/>
  <c r="D2749" i="24"/>
  <c r="E2749" i="24" s="1"/>
  <c r="D2751" i="24"/>
  <c r="F2751" i="24" s="1"/>
  <c r="D1255" i="24"/>
  <c r="D2753" i="24"/>
  <c r="E2753" i="24" s="1"/>
  <c r="D1258" i="24"/>
  <c r="D1259" i="24"/>
  <c r="D1968" i="24"/>
  <c r="F1968" i="24" s="1"/>
  <c r="D1264" i="24"/>
  <c r="E1274" i="24" s="1"/>
  <c r="F1264" i="24"/>
  <c r="D1274" i="24"/>
  <c r="D1275" i="24"/>
  <c r="E1275" i="24" s="1"/>
  <c r="D1984" i="24"/>
  <c r="E1984" i="24"/>
  <c r="F1984" i="24"/>
  <c r="D1985" i="24"/>
  <c r="F1985" i="24" s="1"/>
  <c r="E1985" i="24"/>
  <c r="D1278" i="24"/>
  <c r="D1279" i="24"/>
  <c r="E1279" i="24" s="1"/>
  <c r="D2768" i="24"/>
  <c r="E2768" i="24" s="1"/>
  <c r="D1988" i="24"/>
  <c r="E1988" i="24" s="1"/>
  <c r="D1283" i="24"/>
  <c r="D2770" i="24"/>
  <c r="F2771" i="24" s="1"/>
  <c r="D1995" i="24"/>
  <c r="D2006" i="24"/>
  <c r="F2006" i="24" s="1"/>
  <c r="E2006" i="24"/>
  <c r="D1297" i="24"/>
  <c r="F1297" i="24" s="1"/>
  <c r="D1299" i="24"/>
  <c r="D2012" i="24"/>
  <c r="E2012" i="24" s="1"/>
  <c r="D1308" i="24"/>
  <c r="D2021" i="24"/>
  <c r="F2021" i="24" s="1"/>
  <c r="D2022" i="24"/>
  <c r="E2022" i="24" s="1"/>
  <c r="D2772" i="24"/>
  <c r="E2772" i="24" s="1"/>
  <c r="D1312" i="24"/>
  <c r="E1312" i="24" s="1"/>
  <c r="D2774" i="24"/>
  <c r="E2775" i="24" s="1"/>
  <c r="D2039" i="24"/>
  <c r="E2044" i="24" s="1"/>
  <c r="D2044" i="24"/>
  <c r="D2045" i="24"/>
  <c r="D2782" i="24"/>
  <c r="E2782" i="24" s="1"/>
  <c r="D1334" i="24"/>
  <c r="F1335" i="24" s="1"/>
  <c r="D1340" i="24"/>
  <c r="D2058" i="24"/>
  <c r="E2059" i="24" s="1"/>
  <c r="D2785" i="24"/>
  <c r="D1346" i="24"/>
  <c r="D2063" i="24"/>
  <c r="D2064" i="24"/>
  <c r="D1349" i="24"/>
  <c r="E1349" i="24" s="1"/>
  <c r="D1351" i="24"/>
  <c r="D1353" i="24"/>
  <c r="F1353" i="24"/>
  <c r="D1354" i="24"/>
  <c r="F1354" i="24" s="1"/>
  <c r="D1355" i="24"/>
  <c r="D2076" i="24"/>
  <c r="E2076" i="24" s="1"/>
  <c r="D2079" i="24"/>
  <c r="E2079" i="24" s="1"/>
  <c r="F2079" i="24"/>
  <c r="D1358" i="24"/>
  <c r="D1359" i="24"/>
  <c r="E1359" i="24" s="1"/>
  <c r="D2081" i="24"/>
  <c r="F2081" i="24"/>
  <c r="D2082" i="24"/>
  <c r="E2082" i="24" s="1"/>
  <c r="F2082" i="24"/>
  <c r="D1363" i="24"/>
  <c r="D1364" i="24"/>
  <c r="E1365" i="24" s="1"/>
  <c r="D2800" i="24"/>
  <c r="D2097" i="24"/>
  <c r="E2097" i="24" s="1"/>
  <c r="D1382" i="24"/>
  <c r="E2806" i="24" s="1"/>
  <c r="D2806" i="24"/>
  <c r="E2807" i="24" s="1"/>
  <c r="D1388" i="24"/>
  <c r="E1388" i="24" s="1"/>
  <c r="D1389" i="24"/>
  <c r="E1389" i="24"/>
  <c r="F1389" i="24"/>
  <c r="D2810" i="24"/>
  <c r="E2810" i="24" s="1"/>
  <c r="D2811" i="24"/>
  <c r="D2814" i="24"/>
  <c r="E2815" i="24" s="1"/>
  <c r="D2817" i="24"/>
  <c r="E2817" i="24" s="1"/>
  <c r="D1399" i="24"/>
  <c r="E1399" i="24" s="1"/>
  <c r="F1399" i="24"/>
  <c r="D2819" i="24"/>
  <c r="F2819" i="24" s="1"/>
  <c r="E2819" i="24"/>
  <c r="D1407" i="24"/>
  <c r="D2130" i="24"/>
  <c r="D1410" i="24"/>
  <c r="D2143" i="24"/>
  <c r="F2143" i="24" s="1"/>
  <c r="D2144" i="24"/>
  <c r="D2151" i="24"/>
  <c r="E2151" i="24" s="1"/>
  <c r="D1428" i="24"/>
  <c r="E1428" i="24" s="1"/>
  <c r="D2156" i="24"/>
  <c r="F2156" i="24" s="1"/>
  <c r="E2156" i="24"/>
  <c r="D1432" i="24"/>
  <c r="F1432" i="24" s="1"/>
  <c r="D2162" i="24"/>
  <c r="D1437" i="24"/>
  <c r="D2168" i="24"/>
  <c r="D1449" i="24"/>
  <c r="E1449" i="24"/>
  <c r="F1449" i="24"/>
  <c r="D2177" i="24"/>
  <c r="F2177" i="24" s="1"/>
  <c r="D2179" i="24"/>
  <c r="D1460" i="24"/>
  <c r="F1460" i="24" s="1"/>
  <c r="E1460" i="24"/>
  <c r="D1461" i="24"/>
  <c r="E1461" i="24"/>
  <c r="F1461" i="24"/>
  <c r="D1464" i="24"/>
  <c r="D2182" i="24"/>
  <c r="D1471" i="24"/>
  <c r="E1471" i="24" s="1"/>
  <c r="D1473" i="24"/>
  <c r="E1473" i="24" s="1"/>
  <c r="D1474" i="24"/>
  <c r="E1474" i="24" s="1"/>
  <c r="D1478" i="24"/>
  <c r="D1480" i="24"/>
  <c r="D2841" i="24"/>
  <c r="F2841" i="24" s="1"/>
  <c r="E2841" i="24"/>
  <c r="D2846" i="24"/>
  <c r="E2846" i="24" s="1"/>
  <c r="F2846" i="24"/>
  <c r="D1490" i="24"/>
  <c r="F1490" i="24" s="1"/>
  <c r="E1490" i="24"/>
  <c r="D1496" i="24"/>
  <c r="D1499" i="24"/>
  <c r="E1499" i="24" s="1"/>
  <c r="F1499" i="24"/>
  <c r="D2850" i="24"/>
  <c r="E2850" i="24"/>
  <c r="F2850" i="24"/>
  <c r="D1501" i="24"/>
  <c r="E1501" i="24" s="1"/>
  <c r="D2855" i="24"/>
  <c r="E2855" i="24" s="1"/>
  <c r="D2231" i="24"/>
  <c r="E2231" i="24" s="1"/>
  <c r="F2231" i="24"/>
  <c r="D2858" i="24"/>
  <c r="E2858" i="24" s="1"/>
  <c r="D2859" i="24"/>
  <c r="E2859" i="24" s="1"/>
  <c r="D2233" i="24"/>
  <c r="D1512" i="24"/>
  <c r="D2237" i="24"/>
  <c r="F2237" i="24" s="1"/>
  <c r="E2237" i="24"/>
  <c r="D2861" i="24"/>
  <c r="E2861" i="24" s="1"/>
  <c r="D1520" i="24"/>
  <c r="E1520" i="24" s="1"/>
  <c r="D2865" i="24"/>
  <c r="E2865" i="24" s="1"/>
  <c r="D1524" i="24"/>
  <c r="E1524" i="24"/>
  <c r="F1524" i="24"/>
  <c r="D2870" i="24"/>
  <c r="E2870" i="24"/>
  <c r="F2870" i="24"/>
  <c r="D1527" i="24"/>
  <c r="D1113" i="24"/>
  <c r="D1727" i="24"/>
  <c r="D1734" i="24"/>
  <c r="F1734" i="24" s="1"/>
  <c r="D1741" i="24"/>
  <c r="F1741" i="24" s="1"/>
  <c r="D1745" i="24"/>
  <c r="F1745" i="24" s="1"/>
  <c r="D1128" i="24"/>
  <c r="D1751" i="24"/>
  <c r="E1751" i="24"/>
  <c r="D1133" i="24"/>
  <c r="F1133" i="24" s="1"/>
  <c r="D1134" i="24"/>
  <c r="D1763" i="24"/>
  <c r="D2689" i="24"/>
  <c r="F2689" i="24" s="1"/>
  <c r="E2689" i="24"/>
  <c r="D1150" i="24"/>
  <c r="F1150" i="24" s="1"/>
  <c r="D1152" i="24"/>
  <c r="D1160" i="24"/>
  <c r="D2698" i="24"/>
  <c r="E2698" i="24" s="1"/>
  <c r="D1791" i="24"/>
  <c r="D2709" i="24"/>
  <c r="D2711" i="24"/>
  <c r="E2711" i="24"/>
  <c r="D2713" i="24"/>
  <c r="D2714" i="24"/>
  <c r="F2715" i="24" s="1"/>
  <c r="D1799" i="24"/>
  <c r="E1799" i="24" s="1"/>
  <c r="F1799" i="24"/>
  <c r="D1805" i="24"/>
  <c r="D1806" i="24"/>
  <c r="D1183" i="24"/>
  <c r="D1189" i="24"/>
  <c r="E1189" i="24" s="1"/>
  <c r="F1189" i="24"/>
  <c r="D1191" i="24"/>
  <c r="E1192" i="24" s="1"/>
  <c r="E1191" i="24"/>
  <c r="D1200" i="24"/>
  <c r="D1201" i="24"/>
  <c r="E1201" i="24" s="1"/>
  <c r="D1840" i="24"/>
  <c r="F1840" i="24" s="1"/>
  <c r="E1840" i="24"/>
  <c r="D1213" i="24"/>
  <c r="E1213" i="24"/>
  <c r="F1213" i="24"/>
  <c r="D1843" i="24"/>
  <c r="E1843" i="24" s="1"/>
  <c r="D1855" i="24"/>
  <c r="F1856" i="24" s="1"/>
  <c r="D1861" i="24"/>
  <c r="F1862" i="24" s="1"/>
  <c r="F1861" i="24"/>
  <c r="D1236" i="24"/>
  <c r="E1236" i="24"/>
  <c r="F1236" i="24"/>
  <c r="D1237" i="24"/>
  <c r="F1238" i="24" s="1"/>
  <c r="E1237" i="24"/>
  <c r="F1237" i="24"/>
  <c r="D1866" i="24"/>
  <c r="E1866" i="24" s="1"/>
  <c r="D1242" i="24"/>
  <c r="F1242" i="24" s="1"/>
  <c r="D1868" i="24"/>
  <c r="F1868" i="24" s="1"/>
  <c r="D1877" i="24"/>
  <c r="E1877" i="24" s="1"/>
  <c r="D1878" i="24"/>
  <c r="D1896" i="24"/>
  <c r="D1914" i="24"/>
  <c r="F1914" i="24" s="1"/>
  <c r="E1914" i="24"/>
  <c r="D1917" i="24"/>
  <c r="E1917" i="24" s="1"/>
  <c r="D2740" i="24"/>
  <c r="E2740" i="24"/>
  <c r="D1936" i="24"/>
  <c r="D2743" i="24"/>
  <c r="E2743" i="24" s="1"/>
  <c r="D1943" i="24"/>
  <c r="E1944" i="24" s="1"/>
  <c r="E1943" i="24"/>
  <c r="F1943" i="24"/>
  <c r="D1955" i="24"/>
  <c r="F1955" i="24" s="1"/>
  <c r="D1956" i="24"/>
  <c r="E1957" i="24" s="1"/>
  <c r="D2754" i="24"/>
  <c r="D2763" i="24"/>
  <c r="E2763" i="24" s="1"/>
  <c r="D2764" i="24"/>
  <c r="F2764" i="24" s="1"/>
  <c r="D1270" i="24"/>
  <c r="E1270" i="24" s="1"/>
  <c r="D1280" i="24"/>
  <c r="D1290" i="24"/>
  <c r="F1290" i="24" s="1"/>
  <c r="D1998" i="24"/>
  <c r="F1998" i="24" s="1"/>
  <c r="E1998" i="24"/>
  <c r="D2002" i="24"/>
  <c r="F2008" i="24" s="1"/>
  <c r="E2002" i="24"/>
  <c r="D2008" i="24"/>
  <c r="D2014" i="24"/>
  <c r="E2014" i="24"/>
  <c r="F2014" i="24"/>
  <c r="D2015" i="24"/>
  <c r="F2015" i="24" s="1"/>
  <c r="D1304" i="24"/>
  <c r="E1304" i="24" s="1"/>
  <c r="D2018" i="24"/>
  <c r="F2019" i="24" s="1"/>
  <c r="D2023" i="24"/>
  <c r="D1314" i="24"/>
  <c r="D1320" i="24"/>
  <c r="F1320" i="24" s="1"/>
  <c r="E1320" i="24"/>
  <c r="D2775" i="24"/>
  <c r="E2776" i="24" s="1"/>
  <c r="D2777" i="24"/>
  <c r="D1324" i="24"/>
  <c r="F1324" i="24" s="1"/>
  <c r="D2042" i="24"/>
  <c r="E2042" i="24" s="1"/>
  <c r="D2781" i="24"/>
  <c r="F2053" i="24" s="1"/>
  <c r="E2781" i="24"/>
  <c r="F2781" i="24"/>
  <c r="D2053" i="24"/>
  <c r="E2053" i="24" s="1"/>
  <c r="D1336" i="24"/>
  <c r="F1336" i="24" s="1"/>
  <c r="E1336" i="24"/>
  <c r="D1341" i="24"/>
  <c r="F1341" i="24"/>
  <c r="D2059" i="24"/>
  <c r="D2792" i="24"/>
  <c r="F2793" i="24" s="1"/>
  <c r="D2795" i="24"/>
  <c r="D2077" i="24"/>
  <c r="D1357" i="24"/>
  <c r="E2080" i="24" s="1"/>
  <c r="D2080" i="24"/>
  <c r="D2083" i="24"/>
  <c r="E2084" i="24" s="1"/>
  <c r="D2798" i="24"/>
  <c r="E2798" i="24" s="1"/>
  <c r="D1367" i="24"/>
  <c r="E1367" i="24"/>
  <c r="F1367" i="24"/>
  <c r="D2088" i="24"/>
  <c r="E2088" i="24" s="1"/>
  <c r="D1369" i="24"/>
  <c r="D1371" i="24"/>
  <c r="E1371" i="24" s="1"/>
  <c r="F1371" i="24"/>
  <c r="D2092" i="24"/>
  <c r="E2092" i="24" s="1"/>
  <c r="D2093" i="24"/>
  <c r="E2093" i="24" s="1"/>
  <c r="F2093" i="24"/>
  <c r="D1373" i="24"/>
  <c r="E1374" i="24" s="1"/>
  <c r="D1376" i="24"/>
  <c r="F1377" i="24" s="1"/>
  <c r="D1383" i="24"/>
  <c r="F1384" i="24" s="1"/>
  <c r="F1383" i="24"/>
  <c r="D2108" i="24"/>
  <c r="F2108" i="24" s="1"/>
  <c r="E2108" i="24"/>
  <c r="D2821" i="24"/>
  <c r="D2822" i="24"/>
  <c r="D2825" i="24"/>
  <c r="F2826" i="24" s="1"/>
  <c r="F2825" i="24"/>
  <c r="D2133" i="24"/>
  <c r="D1413" i="24"/>
  <c r="F1414" i="24" s="1"/>
  <c r="D2137" i="24"/>
  <c r="D2138" i="24"/>
  <c r="D1418" i="24"/>
  <c r="E1418" i="24"/>
  <c r="F1418" i="24"/>
  <c r="D1423" i="24"/>
  <c r="E1423" i="24" s="1"/>
  <c r="D1424" i="24"/>
  <c r="E1425" i="24" s="1"/>
  <c r="D2153" i="24"/>
  <c r="D1435" i="24"/>
  <c r="E1435" i="24" s="1"/>
  <c r="F1435" i="24"/>
  <c r="D2164" i="24"/>
  <c r="E2164" i="24"/>
  <c r="D2165" i="24"/>
  <c r="E2165" i="24"/>
  <c r="D1445" i="24"/>
  <c r="F1446" i="24" s="1"/>
  <c r="D1446" i="24"/>
  <c r="E1446" i="24" s="1"/>
  <c r="D1458" i="24"/>
  <c r="F1458" i="24" s="1"/>
  <c r="D1463" i="24"/>
  <c r="E1463" i="24" s="1"/>
  <c r="D1465" i="24"/>
  <c r="F1469" i="24" s="1"/>
  <c r="D1469" i="24"/>
  <c r="E1469" i="24" s="1"/>
  <c r="D2185" i="24"/>
  <c r="D2188" i="24"/>
  <c r="E2188" i="24" s="1"/>
  <c r="D1479" i="24"/>
  <c r="E1479" i="24"/>
  <c r="D1481" i="24"/>
  <c r="D1483" i="24"/>
  <c r="F1483" i="24" s="1"/>
  <c r="E1483" i="24"/>
  <c r="D1485" i="24"/>
  <c r="D1491" i="24"/>
  <c r="F2851" i="24" s="1"/>
  <c r="D2851" i="24"/>
  <c r="D2852" i="24"/>
  <c r="F2852" i="24" s="1"/>
  <c r="D1502" i="24"/>
  <c r="E1502" i="24"/>
  <c r="F1502" i="24"/>
  <c r="D2221" i="24"/>
  <c r="D2224" i="24"/>
  <c r="D1508" i="24"/>
  <c r="E1508" i="24" s="1"/>
  <c r="D2234" i="24"/>
  <c r="F2234" i="24" s="1"/>
  <c r="D2862" i="24"/>
  <c r="F2862" i="24" s="1"/>
  <c r="D2242" i="24"/>
  <c r="E2243" i="24" s="1"/>
  <c r="D1522" i="24"/>
  <c r="D2245" i="24"/>
  <c r="E2246" i="24" s="1"/>
  <c r="F2245" i="24"/>
  <c r="D2250" i="24"/>
  <c r="F2250" i="24" s="1"/>
  <c r="D2252" i="24"/>
  <c r="E2252" i="24" s="1"/>
  <c r="D1528" i="24"/>
  <c r="F1529" i="24" s="1"/>
  <c r="D1529" i="24"/>
  <c r="D2257" i="24"/>
  <c r="E2257" i="24" s="1"/>
  <c r="D2259" i="24"/>
  <c r="F2259" i="24" s="1"/>
  <c r="D2879" i="24"/>
  <c r="D2880" i="24"/>
  <c r="D2270" i="24"/>
  <c r="F1546" i="24" s="1"/>
  <c r="D1546" i="24"/>
  <c r="E1546" i="24" s="1"/>
  <c r="D1554" i="24"/>
  <c r="F1555" i="24" s="1"/>
  <c r="D1561" i="24"/>
  <c r="D1562" i="24"/>
  <c r="F1563" i="24" s="1"/>
  <c r="F1562" i="24"/>
  <c r="D2896" i="24"/>
  <c r="F2897" i="24" s="1"/>
  <c r="E2896" i="24"/>
  <c r="F2896" i="24"/>
  <c r="D1568" i="24"/>
  <c r="E1568" i="24" s="1"/>
  <c r="D1579" i="24"/>
  <c r="F1580" i="24" s="1"/>
  <c r="D2286" i="24"/>
  <c r="E2286" i="24" s="1"/>
  <c r="F2286" i="24"/>
  <c r="D2287" i="24"/>
  <c r="F2287" i="24"/>
  <c r="D1588" i="24"/>
  <c r="E1588" i="24"/>
  <c r="D1596" i="24"/>
  <c r="E1596" i="24"/>
  <c r="D1604" i="24"/>
  <c r="D2308" i="24"/>
  <c r="E2308" i="24" s="1"/>
  <c r="D1609" i="24"/>
  <c r="D2312" i="24"/>
  <c r="E2312" i="24" s="1"/>
  <c r="D2314" i="24"/>
  <c r="E2314" i="24" s="1"/>
  <c r="D2319" i="24"/>
  <c r="D2326" i="24"/>
  <c r="D2331" i="24"/>
  <c r="E2331" i="24" s="1"/>
  <c r="D1623" i="24"/>
  <c r="D2336" i="24"/>
  <c r="E2336" i="24" s="1"/>
  <c r="D1628" i="24"/>
  <c r="F1628" i="24" s="1"/>
  <c r="D1632" i="24"/>
  <c r="E1633" i="24" s="1"/>
  <c r="D1633" i="24"/>
  <c r="D1597" i="24"/>
  <c r="D2306" i="24"/>
  <c r="D2309" i="24"/>
  <c r="E2309" i="24" s="1"/>
  <c r="D1610" i="24"/>
  <c r="E1610" i="24"/>
  <c r="D2315" i="24"/>
  <c r="D1613" i="24"/>
  <c r="F1613" i="24" s="1"/>
  <c r="D2322" i="24"/>
  <c r="F2322" i="24" s="1"/>
  <c r="E2322" i="24"/>
  <c r="D2323" i="24"/>
  <c r="E2323" i="24" s="1"/>
  <c r="F2323" i="24"/>
  <c r="D2912" i="24"/>
  <c r="D1531" i="24"/>
  <c r="E1531" i="24" s="1"/>
  <c r="D2260" i="24"/>
  <c r="D2263" i="24"/>
  <c r="D2266" i="24"/>
  <c r="E2267" i="24" s="1"/>
  <c r="D1537" i="24"/>
  <c r="F1537" i="24"/>
  <c r="D2275" i="24"/>
  <c r="E2275" i="24" s="1"/>
  <c r="D2277" i="24"/>
  <c r="E2277" i="24" s="1"/>
  <c r="D1548" i="24"/>
  <c r="D2279" i="24"/>
  <c r="F2280" i="24" s="1"/>
  <c r="D2280" i="24"/>
  <c r="E2281" i="24" s="1"/>
  <c r="D1551" i="24"/>
  <c r="F1551" i="24" s="1"/>
  <c r="E1551" i="24"/>
  <c r="D1559" i="24"/>
  <c r="E1560" i="24" s="1"/>
  <c r="D1572" i="24"/>
  <c r="D1581" i="24"/>
  <c r="F1581" i="24" s="1"/>
  <c r="D1582" i="24"/>
  <c r="D1586" i="24"/>
  <c r="D1594" i="24"/>
  <c r="E1594" i="24" s="1"/>
  <c r="D2294" i="24"/>
  <c r="E2294" i="24" s="1"/>
  <c r="D1598" i="24"/>
  <c r="D1605" i="24"/>
  <c r="D1611" i="24"/>
  <c r="F1611" i="24"/>
  <c r="D2317" i="24"/>
  <c r="F2317" i="24" s="1"/>
  <c r="E2317" i="24"/>
  <c r="D1615" i="24"/>
  <c r="E1615" i="24" s="1"/>
  <c r="D1618" i="24"/>
  <c r="D1620" i="24"/>
  <c r="D2339" i="24"/>
  <c r="E2339" i="24" s="1"/>
  <c r="F2339" i="24"/>
  <c r="D11" i="24"/>
  <c r="E1272" i="24" l="1"/>
  <c r="F1272" i="24"/>
  <c r="E1273" i="24"/>
  <c r="E1918" i="24"/>
  <c r="F811" i="24"/>
  <c r="F810" i="24"/>
  <c r="E811" i="24"/>
  <c r="E1982" i="24"/>
  <c r="E1983" i="24"/>
  <c r="F1584" i="24"/>
  <c r="E1585" i="24"/>
  <c r="E2864" i="24"/>
  <c r="E2198" i="24"/>
  <c r="F2198" i="24"/>
  <c r="E1837" i="24"/>
  <c r="F1837" i="24"/>
  <c r="F2326" i="24"/>
  <c r="F2327" i="24"/>
  <c r="F2185" i="24"/>
  <c r="F2186" i="24"/>
  <c r="E2138" i="24"/>
  <c r="F2139" i="24"/>
  <c r="E1383" i="24"/>
  <c r="F2042" i="24"/>
  <c r="E2023" i="24"/>
  <c r="F2024" i="24"/>
  <c r="F1152" i="24"/>
  <c r="E1255" i="24"/>
  <c r="E1858" i="24"/>
  <c r="E1859" i="24"/>
  <c r="E1077" i="24"/>
  <c r="F1077" i="24"/>
  <c r="E2330" i="24"/>
  <c r="F2155" i="24"/>
  <c r="F1372" i="24"/>
  <c r="E2050" i="24"/>
  <c r="E1941" i="24"/>
  <c r="F1941" i="24"/>
  <c r="F1627" i="24"/>
  <c r="F1867" i="24"/>
  <c r="E2812" i="24"/>
  <c r="E2054" i="24"/>
  <c r="E1963" i="24"/>
  <c r="F1686" i="24"/>
  <c r="F1664" i="24"/>
  <c r="F2246" i="24"/>
  <c r="E2216" i="24"/>
  <c r="F2216" i="24"/>
  <c r="E2217" i="24"/>
  <c r="E2060" i="24"/>
  <c r="E1767" i="24"/>
  <c r="F943" i="24"/>
  <c r="E943" i="24"/>
  <c r="E2442" i="24"/>
  <c r="F2442" i="24"/>
  <c r="F2785" i="24"/>
  <c r="F2786" i="24"/>
  <c r="F2902" i="24"/>
  <c r="E2902" i="24"/>
  <c r="F2315" i="24"/>
  <c r="E2260" i="24"/>
  <c r="F2309" i="24"/>
  <c r="F2319" i="24"/>
  <c r="E1562" i="24"/>
  <c r="E2242" i="24"/>
  <c r="E2852" i="24"/>
  <c r="F2138" i="24"/>
  <c r="E1290" i="24"/>
  <c r="E1150" i="24"/>
  <c r="E1745" i="24"/>
  <c r="E2081" i="24"/>
  <c r="E1354" i="24"/>
  <c r="E1334" i="24"/>
  <c r="E1798" i="24"/>
  <c r="F1709" i="24"/>
  <c r="E1547" i="24"/>
  <c r="E1426" i="24"/>
  <c r="F1881" i="24"/>
  <c r="E1826" i="24"/>
  <c r="E1783" i="24"/>
  <c r="F1783" i="24"/>
  <c r="E2874" i="24"/>
  <c r="F1467" i="24"/>
  <c r="E1441" i="24"/>
  <c r="E1756" i="24"/>
  <c r="F1756" i="24"/>
  <c r="E1129" i="24"/>
  <c r="F2232" i="24"/>
  <c r="E2290" i="24"/>
  <c r="F2291" i="24"/>
  <c r="F2290" i="24"/>
  <c r="E2834" i="24"/>
  <c r="F2699" i="24"/>
  <c r="F2313" i="24"/>
  <c r="E1532" i="24"/>
  <c r="F1532" i="24"/>
  <c r="E2856" i="24"/>
  <c r="F2735" i="24"/>
  <c r="F1767" i="24"/>
  <c r="E1768" i="24"/>
  <c r="E284" i="24"/>
  <c r="E285" i="24"/>
  <c r="F284" i="24"/>
  <c r="F1704" i="24"/>
  <c r="E1704" i="24"/>
  <c r="F493" i="24"/>
  <c r="E491" i="24"/>
  <c r="E405" i="24"/>
  <c r="F405" i="24"/>
  <c r="E406" i="24"/>
  <c r="F406" i="24"/>
  <c r="F285" i="24"/>
  <c r="F174" i="24"/>
  <c r="E175" i="24"/>
  <c r="E1645" i="24"/>
  <c r="F1645" i="24"/>
  <c r="F1410" i="24"/>
  <c r="F1411" i="24"/>
  <c r="F1445" i="24"/>
  <c r="F1805" i="24"/>
  <c r="F2050" i="24"/>
  <c r="E1404" i="24"/>
  <c r="E1405" i="24"/>
  <c r="F2743" i="24"/>
  <c r="F1877" i="24"/>
  <c r="F1474" i="24"/>
  <c r="F1428" i="24"/>
  <c r="E1351" i="24"/>
  <c r="F2022" i="24"/>
  <c r="E2751" i="24"/>
  <c r="F2752" i="24"/>
  <c r="E1942" i="24"/>
  <c r="F1895" i="24"/>
  <c r="F1210" i="24"/>
  <c r="F1163" i="24"/>
  <c r="F2227" i="24"/>
  <c r="E1393" i="24"/>
  <c r="E1825" i="24"/>
  <c r="F1825" i="24"/>
  <c r="F1794" i="24"/>
  <c r="E1794" i="24"/>
  <c r="E1228" i="24"/>
  <c r="E1229" i="24"/>
  <c r="F1229" i="24"/>
  <c r="E2704" i="24"/>
  <c r="F2705" i="24"/>
  <c r="F1124" i="24"/>
  <c r="E1124" i="24"/>
  <c r="E1096" i="24"/>
  <c r="F1096" i="24"/>
  <c r="E1578" i="24"/>
  <c r="F1578" i="24"/>
  <c r="F1996" i="24"/>
  <c r="E1928" i="24"/>
  <c r="F1212" i="24"/>
  <c r="F1779" i="24"/>
  <c r="E1780" i="24"/>
  <c r="E1629" i="24"/>
  <c r="F2166" i="24"/>
  <c r="E1400" i="24"/>
  <c r="E2801" i="24"/>
  <c r="E2043" i="24"/>
  <c r="F2043" i="24"/>
  <c r="E1284" i="24"/>
  <c r="F1831" i="24"/>
  <c r="F2853" i="24"/>
  <c r="E1342" i="24"/>
  <c r="E1343" i="24"/>
  <c r="E1260" i="24"/>
  <c r="F1260" i="24"/>
  <c r="F1778" i="24"/>
  <c r="F2470" i="24"/>
  <c r="E507" i="24"/>
  <c r="F507" i="24"/>
  <c r="E2370" i="24"/>
  <c r="F2370" i="24"/>
  <c r="E264" i="24"/>
  <c r="F264" i="24"/>
  <c r="E265" i="24"/>
  <c r="E2659" i="24"/>
  <c r="F2659" i="24"/>
  <c r="F487" i="24"/>
  <c r="E487" i="24"/>
  <c r="F488" i="24"/>
  <c r="F2576" i="24"/>
  <c r="E2575" i="24"/>
  <c r="F2575" i="24"/>
  <c r="F2077" i="24"/>
  <c r="F1751" i="24"/>
  <c r="F1752" i="24"/>
  <c r="E1480" i="24"/>
  <c r="E1416" i="24"/>
  <c r="F1416" i="24"/>
  <c r="E1372" i="24"/>
  <c r="E2033" i="24"/>
  <c r="F2034" i="24"/>
  <c r="F2263" i="24"/>
  <c r="F1598" i="24"/>
  <c r="E2280" i="24"/>
  <c r="F2281" i="24"/>
  <c r="F1531" i="24"/>
  <c r="F2306" i="24"/>
  <c r="F2307" i="24"/>
  <c r="E2287" i="24"/>
  <c r="F2288" i="24"/>
  <c r="E1529" i="24"/>
  <c r="E2851" i="24"/>
  <c r="F1463" i="24"/>
  <c r="E2133" i="24"/>
  <c r="E2134" i="24"/>
  <c r="F2134" i="24"/>
  <c r="F2059" i="24"/>
  <c r="E1324" i="24"/>
  <c r="E2015" i="24"/>
  <c r="E2714" i="24"/>
  <c r="E1741" i="24"/>
  <c r="F1473" i="24"/>
  <c r="E2177" i="24"/>
  <c r="E1382" i="24"/>
  <c r="F1351" i="24"/>
  <c r="E2021" i="24"/>
  <c r="E1925" i="24"/>
  <c r="E2702" i="24"/>
  <c r="E1109" i="24"/>
  <c r="F1109" i="24"/>
  <c r="E1713" i="24"/>
  <c r="E1600" i="24"/>
  <c r="E2886" i="24"/>
  <c r="E1492" i="24"/>
  <c r="F1770" i="24"/>
  <c r="F1771" i="24"/>
  <c r="F1374" i="24"/>
  <c r="E1167" i="24"/>
  <c r="F1724" i="24"/>
  <c r="E2840" i="24"/>
  <c r="F2840" i="24"/>
  <c r="F2247" i="24"/>
  <c r="F1184" i="24"/>
  <c r="E1050" i="24"/>
  <c r="F1051" i="24"/>
  <c r="E1486" i="24"/>
  <c r="F1486" i="24"/>
  <c r="F1487" i="24"/>
  <c r="E2117" i="24"/>
  <c r="F2117" i="24"/>
  <c r="E1862" i="24"/>
  <c r="E1831" i="24"/>
  <c r="E2695" i="24"/>
  <c r="E2793" i="24"/>
  <c r="E2056" i="24"/>
  <c r="E2732" i="24"/>
  <c r="E1819" i="24"/>
  <c r="E1778" i="24"/>
  <c r="E2470" i="24"/>
  <c r="E215" i="24"/>
  <c r="F215" i="24"/>
  <c r="F458" i="24"/>
  <c r="E458" i="24"/>
  <c r="F679" i="24"/>
  <c r="E679" i="24"/>
  <c r="E8" i="24"/>
  <c r="F8" i="24"/>
  <c r="E1703" i="24"/>
  <c r="E1549" i="24"/>
  <c r="F1549" i="24"/>
  <c r="E1969" i="24"/>
  <c r="F1969" i="24"/>
  <c r="E2898" i="24"/>
  <c r="F2898" i="24"/>
  <c r="E2497" i="24"/>
  <c r="F2497" i="24"/>
  <c r="E2077" i="24"/>
  <c r="E2115" i="24"/>
  <c r="F2115" i="24"/>
  <c r="E2404" i="24"/>
  <c r="F2404" i="24"/>
  <c r="E2318" i="24"/>
  <c r="E2129" i="24"/>
  <c r="F2129" i="24"/>
  <c r="F1198" i="24"/>
  <c r="E1199" i="24"/>
  <c r="F1576" i="24"/>
  <c r="F1577" i="24"/>
  <c r="E2337" i="24"/>
  <c r="F1594" i="24"/>
  <c r="F1587" i="24"/>
  <c r="F2279" i="24"/>
  <c r="F2252" i="24"/>
  <c r="E2234" i="24"/>
  <c r="E1491" i="24"/>
  <c r="E1424" i="24"/>
  <c r="E2825" i="24"/>
  <c r="E1341" i="24"/>
  <c r="E2764" i="24"/>
  <c r="E1861" i="24"/>
  <c r="F1308" i="24"/>
  <c r="E1264" i="24"/>
  <c r="F1951" i="24"/>
  <c r="E1923" i="24"/>
  <c r="E1924" i="24"/>
  <c r="F1924" i="24"/>
  <c r="E1889" i="24"/>
  <c r="F1830" i="24"/>
  <c r="E1766" i="24"/>
  <c r="E2911" i="24"/>
  <c r="E2276" i="24"/>
  <c r="E2854" i="24"/>
  <c r="F1853" i="24"/>
  <c r="E1853" i="24"/>
  <c r="F1616" i="24"/>
  <c r="E1616" i="24"/>
  <c r="F2827" i="24"/>
  <c r="E2827" i="24"/>
  <c r="E1232" i="24"/>
  <c r="E1196" i="24"/>
  <c r="F1196" i="24"/>
  <c r="F1197" i="24"/>
  <c r="F2769" i="24"/>
  <c r="F1945" i="24"/>
  <c r="E1945" i="24"/>
  <c r="E1216" i="24"/>
  <c r="F1216" i="24"/>
  <c r="F1614" i="24"/>
  <c r="E1487" i="24"/>
  <c r="E1309" i="24"/>
  <c r="F1309" i="24"/>
  <c r="E1310" i="24"/>
  <c r="F1915" i="24"/>
  <c r="F2253" i="24"/>
  <c r="E2253" i="24"/>
  <c r="E1181" i="24"/>
  <c r="F1181" i="24"/>
  <c r="E1723" i="24"/>
  <c r="E329" i="24"/>
  <c r="F329" i="24"/>
  <c r="F851" i="24"/>
  <c r="E852" i="24"/>
  <c r="E851" i="24"/>
  <c r="E883" i="24"/>
  <c r="F883" i="24"/>
  <c r="E605" i="24"/>
  <c r="F605" i="24"/>
  <c r="E347" i="24"/>
  <c r="F348" i="24"/>
  <c r="F347" i="24"/>
  <c r="E2709" i="24"/>
  <c r="E1792" i="24"/>
  <c r="F1792" i="24"/>
  <c r="E1789" i="24"/>
  <c r="F1789" i="24"/>
  <c r="F2336" i="24"/>
  <c r="E1528" i="24"/>
  <c r="E1392" i="24"/>
  <c r="F1392" i="24"/>
  <c r="F1560" i="24"/>
  <c r="E1734" i="24"/>
  <c r="F1471" i="24"/>
  <c r="E1472" i="24"/>
  <c r="F1472" i="24"/>
  <c r="F2144" i="24"/>
  <c r="E2145" i="24"/>
  <c r="F2145" i="24"/>
  <c r="F2097" i="24"/>
  <c r="F2098" i="24"/>
  <c r="E2734" i="24"/>
  <c r="E1608" i="24"/>
  <c r="E2128" i="24"/>
  <c r="F1390" i="24"/>
  <c r="E1913" i="24"/>
  <c r="F1849" i="24"/>
  <c r="E1849" i="24"/>
  <c r="E1323" i="24"/>
  <c r="F1323" i="24"/>
  <c r="E1817" i="24"/>
  <c r="E2211" i="24"/>
  <c r="F1746" i="24"/>
  <c r="E1747" i="24"/>
  <c r="E1614" i="24"/>
  <c r="F2136" i="24"/>
  <c r="E2136" i="24"/>
  <c r="E2899" i="24"/>
  <c r="F2061" i="24"/>
  <c r="E2180" i="24"/>
  <c r="F2180" i="24"/>
  <c r="F1256" i="24"/>
  <c r="E2679" i="24"/>
  <c r="F2679" i="24"/>
  <c r="F1002" i="24"/>
  <c r="E1002" i="24"/>
  <c r="F2482" i="24"/>
  <c r="E2645" i="24"/>
  <c r="E1707" i="24"/>
  <c r="F1707" i="24"/>
  <c r="F1019" i="24"/>
  <c r="F1020" i="24"/>
  <c r="E2610" i="24"/>
  <c r="F2610" i="24"/>
  <c r="F30" i="24"/>
  <c r="E31" i="24"/>
  <c r="F31" i="24"/>
  <c r="E30" i="24"/>
  <c r="E2221" i="24"/>
  <c r="E2222" i="24"/>
  <c r="F2222" i="24"/>
  <c r="F1183" i="24"/>
  <c r="E1184" i="24"/>
  <c r="E2226" i="24"/>
  <c r="F2226" i="24"/>
  <c r="F1918" i="24"/>
  <c r="F1254" i="24"/>
  <c r="E2279" i="24"/>
  <c r="E1554" i="24"/>
  <c r="F2714" i="24"/>
  <c r="E2715" i="24"/>
  <c r="E1159" i="24"/>
  <c r="E1370" i="24"/>
  <c r="E1754" i="24"/>
  <c r="F1754" i="24"/>
  <c r="E1624" i="24"/>
  <c r="F1624" i="24"/>
  <c r="E1429" i="24"/>
  <c r="E2611" i="24"/>
  <c r="F2611" i="24"/>
  <c r="E760" i="24"/>
  <c r="E761" i="24"/>
  <c r="F760" i="24"/>
  <c r="F2314" i="24"/>
  <c r="E2313" i="24"/>
  <c r="E1868" i="24"/>
  <c r="E1869" i="24"/>
  <c r="F1620" i="24"/>
  <c r="E1582" i="24"/>
  <c r="E1628" i="24"/>
  <c r="F2270" i="24"/>
  <c r="E2250" i="24"/>
  <c r="E2822" i="24"/>
  <c r="F2823" i="24"/>
  <c r="F2092" i="24"/>
  <c r="F2711" i="24"/>
  <c r="E2712" i="24"/>
  <c r="F2712" i="24"/>
  <c r="F1134" i="24"/>
  <c r="E1727" i="24"/>
  <c r="F2861" i="24"/>
  <c r="F1501" i="24"/>
  <c r="E2182" i="24"/>
  <c r="F2183" i="24"/>
  <c r="F2810" i="24"/>
  <c r="F2076" i="24"/>
  <c r="E1346" i="24"/>
  <c r="F1347" i="24"/>
  <c r="F2039" i="24"/>
  <c r="E1968" i="24"/>
  <c r="E2731" i="24"/>
  <c r="E1225" i="24"/>
  <c r="F1774" i="24"/>
  <c r="E1106" i="24"/>
  <c r="F1106" i="24"/>
  <c r="F1087" i="24"/>
  <c r="E1088" i="24"/>
  <c r="F2907" i="24"/>
  <c r="F1608" i="24"/>
  <c r="F1557" i="24"/>
  <c r="F2273" i="24"/>
  <c r="E1482" i="24"/>
  <c r="F2167" i="24"/>
  <c r="E1992" i="24"/>
  <c r="F2760" i="24"/>
  <c r="F1804" i="24"/>
  <c r="F1780" i="24"/>
  <c r="E2268" i="24"/>
  <c r="F2125" i="24"/>
  <c r="E2125" i="24"/>
  <c r="E1784" i="24"/>
  <c r="F1784" i="24"/>
  <c r="E1107" i="24"/>
  <c r="E1103" i="24"/>
  <c r="F1103" i="24"/>
  <c r="E2190" i="24"/>
  <c r="F2041" i="24"/>
  <c r="E1207" i="24"/>
  <c r="F1208" i="24"/>
  <c r="F1117" i="24"/>
  <c r="F2842" i="24"/>
  <c r="E1252" i="24"/>
  <c r="E1612" i="24"/>
  <c r="E2826" i="24"/>
  <c r="E2771" i="24"/>
  <c r="E1999" i="24"/>
  <c r="E1994" i="24"/>
  <c r="E2752" i="24"/>
  <c r="F1847" i="24"/>
  <c r="F1001" i="24"/>
  <c r="F479" i="24"/>
  <c r="E479" i="24"/>
  <c r="E755" i="24"/>
  <c r="E139" i="24"/>
  <c r="F139" i="24"/>
  <c r="E140" i="24"/>
  <c r="F1759" i="24"/>
  <c r="E1760" i="24"/>
  <c r="F1760" i="24"/>
  <c r="E2245" i="24"/>
  <c r="E1883" i="24"/>
  <c r="F1865" i="24"/>
  <c r="F2071" i="24"/>
  <c r="F689" i="24"/>
  <c r="E689" i="24"/>
  <c r="E2862" i="24"/>
  <c r="F2782" i="24"/>
  <c r="E1635" i="24"/>
  <c r="F2329" i="24"/>
  <c r="E2329" i="24"/>
  <c r="E2131" i="24"/>
  <c r="F2131" i="24"/>
  <c r="F1199" i="24"/>
  <c r="E1620" i="24"/>
  <c r="F1582" i="24"/>
  <c r="E1581" i="24"/>
  <c r="F2275" i="24"/>
  <c r="E1613" i="24"/>
  <c r="E2270" i="24"/>
  <c r="E2821" i="24"/>
  <c r="E2008" i="24"/>
  <c r="E2009" i="24"/>
  <c r="F1917" i="24"/>
  <c r="E1242" i="24"/>
  <c r="E1243" i="24"/>
  <c r="E1183" i="24"/>
  <c r="E1133" i="24"/>
  <c r="F1464" i="24"/>
  <c r="E1410" i="24"/>
  <c r="E2785" i="24"/>
  <c r="E2039" i="24"/>
  <c r="F2718" i="24"/>
  <c r="F2719" i="24"/>
  <c r="E1190" i="24"/>
  <c r="F2707" i="24"/>
  <c r="E2272" i="24"/>
  <c r="E2875" i="24"/>
  <c r="E1504" i="24"/>
  <c r="E2838" i="24"/>
  <c r="F1313" i="24"/>
  <c r="E1313" i="24"/>
  <c r="F1905" i="24"/>
  <c r="E1905" i="24"/>
  <c r="E2678" i="24"/>
  <c r="F1567" i="24"/>
  <c r="E1567" i="24"/>
  <c r="E2857" i="24"/>
  <c r="F2857" i="24"/>
  <c r="F2124" i="24"/>
  <c r="E2102" i="24"/>
  <c r="F1884" i="24"/>
  <c r="F1851" i="24"/>
  <c r="E2244" i="24"/>
  <c r="E2189" i="24"/>
  <c r="F2189" i="24"/>
  <c r="E2101" i="24"/>
  <c r="E1621" i="24"/>
  <c r="E2842" i="24"/>
  <c r="E1456" i="24"/>
  <c r="E1759" i="24"/>
  <c r="F2228" i="24"/>
  <c r="E2228" i="24"/>
  <c r="F2229" i="24"/>
  <c r="E2016" i="24"/>
  <c r="F2724" i="24"/>
  <c r="F2114" i="24"/>
  <c r="E2786" i="24"/>
  <c r="E1879" i="24"/>
  <c r="F1879" i="24"/>
  <c r="F825" i="24"/>
  <c r="E825" i="24"/>
  <c r="E74" i="24"/>
  <c r="E73" i="24"/>
  <c r="E624" i="24"/>
  <c r="F625" i="24"/>
  <c r="F1071" i="24"/>
  <c r="E1072" i="24"/>
  <c r="E686" i="24"/>
  <c r="F686" i="24"/>
  <c r="F748" i="24"/>
  <c r="E744" i="24"/>
  <c r="F744" i="24"/>
  <c r="F556" i="24"/>
  <c r="F1622" i="24"/>
  <c r="F1900" i="24"/>
  <c r="F2683" i="24"/>
  <c r="F1127" i="24"/>
  <c r="F2864" i="24"/>
  <c r="F2211" i="24"/>
  <c r="E2837" i="24"/>
  <c r="E2818" i="24"/>
  <c r="E2069" i="24"/>
  <c r="E1973" i="24"/>
  <c r="F1946" i="24"/>
  <c r="F1129" i="24"/>
  <c r="F2334" i="24"/>
  <c r="F2900" i="24"/>
  <c r="E1509" i="24"/>
  <c r="F2054" i="24"/>
  <c r="F1276" i="24"/>
  <c r="E1164" i="24"/>
  <c r="F1104" i="24"/>
  <c r="F1045" i="24"/>
  <c r="F1629" i="24"/>
  <c r="F2866" i="24"/>
  <c r="E2157" i="24"/>
  <c r="F2100" i="24"/>
  <c r="E2087" i="24"/>
  <c r="F1345" i="24"/>
  <c r="F2016" i="24"/>
  <c r="F2703" i="24"/>
  <c r="F1758" i="24"/>
  <c r="E1758" i="24"/>
  <c r="E2676" i="24"/>
  <c r="F1731" i="24"/>
  <c r="F1534" i="24"/>
  <c r="F2868" i="24"/>
  <c r="F2204" i="24"/>
  <c r="E1448" i="24"/>
  <c r="E2091" i="24"/>
  <c r="E1352" i="24"/>
  <c r="F2056" i="24"/>
  <c r="E1990" i="24"/>
  <c r="E1940" i="24"/>
  <c r="E2675" i="24"/>
  <c r="E1678" i="24"/>
  <c r="F752" i="24"/>
  <c r="E753" i="24"/>
  <c r="F753" i="24"/>
  <c r="E752" i="24"/>
  <c r="E341" i="24"/>
  <c r="F341" i="24"/>
  <c r="F2422" i="24"/>
  <c r="E2422" i="24"/>
  <c r="E2551" i="24"/>
  <c r="F2551" i="24"/>
  <c r="F1802" i="24"/>
  <c r="F2119" i="24"/>
  <c r="F1317" i="24"/>
  <c r="E2265" i="24"/>
  <c r="F2036" i="24"/>
  <c r="F2730" i="24"/>
  <c r="E1827" i="24"/>
  <c r="E1981" i="24"/>
  <c r="E2725" i="24"/>
  <c r="E1824" i="24"/>
  <c r="F2696" i="24"/>
  <c r="F1066" i="24"/>
  <c r="F2217" i="24"/>
  <c r="F2085" i="24"/>
  <c r="F1245" i="24"/>
  <c r="E1534" i="24"/>
  <c r="E1241" i="24"/>
  <c r="E1865" i="24"/>
  <c r="F1072" i="24"/>
  <c r="F427" i="24"/>
  <c r="E427" i="24"/>
  <c r="F733" i="24"/>
  <c r="F403" i="24"/>
  <c r="F404" i="24"/>
  <c r="F2561" i="24"/>
  <c r="E2475" i="24"/>
  <c r="F2475" i="24"/>
  <c r="F873" i="24"/>
  <c r="E873" i="24"/>
  <c r="E668" i="24"/>
  <c r="E135" i="24"/>
  <c r="E778" i="24"/>
  <c r="F778" i="24"/>
  <c r="F433" i="24"/>
  <c r="E433" i="24"/>
  <c r="E2543" i="24"/>
  <c r="E1180" i="24"/>
  <c r="F1521" i="24"/>
  <c r="E1321" i="24"/>
  <c r="F1909" i="24"/>
  <c r="F1195" i="24"/>
  <c r="E2247" i="24"/>
  <c r="F1419" i="24"/>
  <c r="E1743" i="24"/>
  <c r="F1012" i="24"/>
  <c r="E2295" i="24"/>
  <c r="F2881" i="24"/>
  <c r="F1400" i="24"/>
  <c r="F2695" i="24"/>
  <c r="E1447" i="24"/>
  <c r="E2089" i="24"/>
  <c r="F2065" i="24"/>
  <c r="E1989" i="24"/>
  <c r="E1211" i="24"/>
  <c r="E2708" i="24"/>
  <c r="F2708" i="24"/>
  <c r="E389" i="24"/>
  <c r="F389" i="24"/>
  <c r="E81" i="24"/>
  <c r="F81" i="24"/>
  <c r="E26" i="24"/>
  <c r="F26" i="24"/>
  <c r="F795" i="24"/>
  <c r="E795" i="24"/>
  <c r="E426" i="24"/>
  <c r="E713" i="24"/>
  <c r="F714" i="24"/>
  <c r="F489" i="24"/>
  <c r="E489" i="24"/>
  <c r="E229" i="24"/>
  <c r="F229" i="24"/>
  <c r="E2546" i="24"/>
  <c r="F2546" i="24"/>
  <c r="E5" i="24"/>
  <c r="E2654" i="24"/>
  <c r="F2654" i="24"/>
  <c r="E2655" i="24"/>
  <c r="E2601" i="24"/>
  <c r="F2601" i="24"/>
  <c r="F2602" i="24"/>
  <c r="E826" i="24"/>
  <c r="F826" i="24"/>
  <c r="E2885" i="24"/>
  <c r="F2844" i="24"/>
  <c r="F2208" i="24"/>
  <c r="E1395" i="24"/>
  <c r="F2095" i="24"/>
  <c r="E1907" i="24"/>
  <c r="F1732" i="24"/>
  <c r="E1980" i="24"/>
  <c r="F1937" i="24"/>
  <c r="E1854" i="24"/>
  <c r="E1197" i="24"/>
  <c r="F2196" i="24"/>
  <c r="F2084" i="24"/>
  <c r="E2719" i="24"/>
  <c r="F1869" i="24"/>
  <c r="E1856" i="24"/>
  <c r="E1563" i="24"/>
  <c r="E2024" i="24"/>
  <c r="E1986" i="24"/>
  <c r="F2667" i="24"/>
  <c r="E2667" i="24"/>
  <c r="E611" i="24"/>
  <c r="F611" i="24"/>
  <c r="F140" i="24"/>
  <c r="E729" i="24"/>
  <c r="E730" i="24"/>
  <c r="F436" i="24"/>
  <c r="F431" i="24"/>
  <c r="F430" i="24"/>
  <c r="E177" i="24"/>
  <c r="E178" i="24"/>
  <c r="F178" i="24"/>
  <c r="F177" i="24"/>
  <c r="E968" i="24"/>
  <c r="F968" i="24"/>
  <c r="F224" i="24"/>
  <c r="E225" i="24"/>
  <c r="E1078" i="24"/>
  <c r="F1078" i="24"/>
  <c r="E2408" i="24"/>
  <c r="E2409" i="24"/>
  <c r="F2409" i="24"/>
  <c r="F856" i="24"/>
  <c r="F1974" i="24"/>
  <c r="E1884" i="24"/>
  <c r="F2758" i="24"/>
  <c r="F1848" i="24"/>
  <c r="E1779" i="24"/>
  <c r="E1378" i="24"/>
  <c r="E1286" i="24"/>
  <c r="E1906" i="24"/>
  <c r="E1240" i="24"/>
  <c r="E1555" i="24"/>
  <c r="F2219" i="24"/>
  <c r="F2807" i="24"/>
  <c r="E1934" i="24"/>
  <c r="E1206" i="24"/>
  <c r="F1206" i="24"/>
  <c r="E974" i="24"/>
  <c r="F974" i="24"/>
  <c r="E2493" i="24"/>
  <c r="F2493" i="24"/>
  <c r="E884" i="24"/>
  <c r="F884" i="24"/>
  <c r="E885" i="24"/>
  <c r="E2590" i="24"/>
  <c r="F2590" i="24"/>
  <c r="E2535" i="24"/>
  <c r="E157" i="24"/>
  <c r="F157" i="24"/>
  <c r="E1322" i="24"/>
  <c r="F1154" i="24"/>
  <c r="F2776" i="24"/>
  <c r="F1298" i="24"/>
  <c r="E1427" i="24"/>
  <c r="F2111" i="24"/>
  <c r="E1052" i="24"/>
  <c r="F1052" i="24"/>
  <c r="F1928" i="24"/>
  <c r="F1892" i="24"/>
  <c r="F2324" i="24"/>
  <c r="E1497" i="24"/>
  <c r="E2183" i="24"/>
  <c r="E2034" i="24"/>
  <c r="F1991" i="24"/>
  <c r="E2748" i="24"/>
  <c r="E2186" i="24"/>
  <c r="F2692" i="24"/>
  <c r="E1752" i="24"/>
  <c r="F843" i="24"/>
  <c r="F470" i="24"/>
  <c r="E469" i="24"/>
  <c r="E2631" i="24"/>
  <c r="F959" i="24"/>
  <c r="E951" i="24"/>
  <c r="F951" i="24"/>
  <c r="E520" i="24"/>
  <c r="F520" i="24"/>
  <c r="E521" i="24"/>
  <c r="F521" i="24"/>
  <c r="F492" i="24"/>
  <c r="E492" i="24"/>
  <c r="E370" i="24"/>
  <c r="E369" i="24"/>
  <c r="E528" i="24"/>
  <c r="F528" i="24"/>
  <c r="E680" i="24"/>
  <c r="E1709" i="24"/>
  <c r="F1547" i="24"/>
  <c r="E2099" i="24"/>
  <c r="F1967" i="24"/>
  <c r="E1147" i="24"/>
  <c r="E1577" i="24"/>
  <c r="E1498" i="24"/>
  <c r="F2836" i="24"/>
  <c r="F1870" i="24"/>
  <c r="F1801" i="24"/>
  <c r="E2869" i="24"/>
  <c r="F1289" i="24"/>
  <c r="F1893" i="24"/>
  <c r="F1696" i="24"/>
  <c r="E1516" i="24"/>
  <c r="F1979" i="24"/>
  <c r="F1192" i="24"/>
  <c r="F1177" i="24"/>
  <c r="E2693" i="24"/>
  <c r="E1101" i="24"/>
  <c r="E1564" i="24"/>
  <c r="E2229" i="24"/>
  <c r="E1949" i="24"/>
  <c r="F1832" i="24"/>
  <c r="F1768" i="24"/>
  <c r="E2891" i="24"/>
  <c r="E2163" i="24"/>
  <c r="E1384" i="24"/>
  <c r="E1347" i="24"/>
  <c r="E1268" i="24"/>
  <c r="F1268" i="24"/>
  <c r="E1930" i="24"/>
  <c r="E904" i="24"/>
  <c r="E967" i="24"/>
  <c r="F967" i="24"/>
  <c r="E831" i="24"/>
  <c r="F830" i="24"/>
  <c r="E221" i="24"/>
  <c r="F221" i="24"/>
  <c r="F986" i="24"/>
  <c r="E986" i="24"/>
  <c r="E892" i="24"/>
  <c r="F892" i="24"/>
  <c r="E2345" i="24"/>
  <c r="F382" i="24"/>
  <c r="E382" i="24"/>
  <c r="E1714" i="24"/>
  <c r="E570" i="24"/>
  <c r="E773" i="24"/>
  <c r="F774" i="24"/>
  <c r="F606" i="24"/>
  <c r="E1518" i="24"/>
  <c r="E2176" i="24"/>
  <c r="E1288" i="24"/>
  <c r="F1338" i="24"/>
  <c r="F2328" i="24"/>
  <c r="F2894" i="24"/>
  <c r="E2721" i="24"/>
  <c r="E1053" i="24"/>
  <c r="E1054" i="24"/>
  <c r="F1054" i="24"/>
  <c r="F2801" i="24"/>
  <c r="E1948" i="24"/>
  <c r="E1402" i="24"/>
  <c r="E1203" i="24"/>
  <c r="F1769" i="24"/>
  <c r="E956" i="24"/>
  <c r="F956" i="24"/>
  <c r="F2471" i="24"/>
  <c r="E339" i="24"/>
  <c r="F339" i="24"/>
  <c r="E927" i="24"/>
  <c r="F588" i="24"/>
  <c r="F585" i="24"/>
  <c r="E868" i="24"/>
  <c r="F868" i="24"/>
  <c r="E2487" i="24"/>
  <c r="F2487" i="24"/>
  <c r="E2380" i="24"/>
  <c r="E2640" i="24"/>
  <c r="F2640" i="24"/>
  <c r="E2641" i="24"/>
  <c r="E777" i="24"/>
  <c r="F777" i="24"/>
  <c r="E924" i="24"/>
  <c r="E862" i="24"/>
  <c r="F862" i="24"/>
  <c r="E835" i="24"/>
  <c r="F180" i="24"/>
  <c r="E181" i="24"/>
  <c r="E977" i="24"/>
  <c r="E1061" i="24"/>
  <c r="E682" i="24"/>
  <c r="F682" i="24"/>
  <c r="E681" i="24"/>
  <c r="E618" i="24"/>
  <c r="E493" i="24"/>
  <c r="F143" i="24"/>
  <c r="E1662" i="24"/>
  <c r="E874" i="24"/>
  <c r="F776" i="24"/>
  <c r="E2556" i="24"/>
  <c r="E538" i="24"/>
  <c r="F256" i="24"/>
  <c r="F1857" i="24"/>
  <c r="E2235" i="24"/>
  <c r="E2172" i="24"/>
  <c r="F734" i="24"/>
  <c r="F910" i="24"/>
  <c r="E291" i="24"/>
  <c r="F167" i="24"/>
  <c r="E167" i="24"/>
  <c r="E962" i="24"/>
  <c r="E690" i="24"/>
  <c r="F417" i="24"/>
  <c r="E307" i="24"/>
  <c r="F307" i="24"/>
  <c r="F132" i="24"/>
  <c r="F1714" i="24"/>
  <c r="E1102" i="24"/>
  <c r="F1662" i="24"/>
  <c r="F2417" i="24"/>
  <c r="F2397" i="24"/>
  <c r="E941" i="24"/>
  <c r="F807" i="24"/>
  <c r="F680" i="24"/>
  <c r="E404" i="24"/>
  <c r="E348" i="24"/>
  <c r="E1069" i="24"/>
  <c r="E805" i="24"/>
  <c r="F2342" i="24"/>
  <c r="F38" i="24"/>
  <c r="E39" i="24"/>
  <c r="F39" i="24"/>
  <c r="F613" i="24"/>
  <c r="E2447" i="24"/>
  <c r="F495" i="24"/>
  <c r="E623" i="24"/>
  <c r="E565" i="24"/>
  <c r="F565" i="24"/>
  <c r="F452" i="24"/>
  <c r="E18" i="24"/>
  <c r="F1040" i="24"/>
  <c r="E358" i="24"/>
  <c r="F358" i="24"/>
  <c r="F2632" i="24"/>
  <c r="E2632" i="24"/>
  <c r="F806" i="24"/>
  <c r="E742" i="24"/>
  <c r="F742" i="24"/>
  <c r="F526" i="24"/>
  <c r="E371" i="24"/>
  <c r="F1063" i="24"/>
  <c r="E1679" i="24"/>
  <c r="F1679" i="24"/>
  <c r="E559" i="24"/>
  <c r="F559" i="24"/>
  <c r="E511" i="24"/>
  <c r="F206" i="24"/>
  <c r="E138" i="24"/>
  <c r="F138" i="24"/>
  <c r="E2629" i="24"/>
  <c r="F922" i="24"/>
  <c r="F422" i="24"/>
  <c r="F2350" i="24"/>
  <c r="E2350" i="24"/>
  <c r="F739" i="24"/>
  <c r="E739" i="24"/>
  <c r="F231" i="24"/>
  <c r="F668" i="24"/>
  <c r="E705" i="24"/>
  <c r="E856" i="24"/>
  <c r="E136" i="24"/>
  <c r="F136" i="24"/>
  <c r="E922" i="24"/>
  <c r="F2507" i="24"/>
  <c r="E482" i="24"/>
  <c r="E338" i="24"/>
  <c r="E2362" i="24"/>
  <c r="E314" i="24"/>
  <c r="E2571" i="24"/>
  <c r="F2571" i="24"/>
  <c r="F9" i="24"/>
  <c r="F656" i="24"/>
  <c r="F563" i="24"/>
  <c r="F562" i="24"/>
  <c r="E2349" i="24"/>
  <c r="F2349" i="24"/>
  <c r="F263" i="24"/>
  <c r="E121" i="24"/>
  <c r="F997" i="24"/>
  <c r="E649" i="24"/>
  <c r="E592" i="24"/>
  <c r="F2352" i="24"/>
  <c r="E293" i="24"/>
  <c r="E198" i="24"/>
  <c r="E1074" i="24"/>
  <c r="F1074" i="24"/>
  <c r="F2572" i="24"/>
  <c r="E2530" i="24"/>
  <c r="E2393" i="24"/>
  <c r="F2393" i="24"/>
  <c r="E798" i="24"/>
  <c r="F2594" i="24"/>
  <c r="E2376" i="24"/>
  <c r="F2376" i="24"/>
  <c r="E116" i="24"/>
  <c r="F820" i="24"/>
  <c r="E741" i="24"/>
  <c r="E2465" i="24"/>
  <c r="F2465" i="24"/>
  <c r="E470" i="24"/>
  <c r="E45" i="24"/>
  <c r="E1771" i="24"/>
  <c r="F2636" i="24"/>
  <c r="F2362" i="24"/>
  <c r="F21" i="24"/>
  <c r="F984" i="24"/>
  <c r="E985" i="24"/>
  <c r="F985" i="24"/>
  <c r="F852" i="24"/>
  <c r="F2446" i="24"/>
  <c r="F413" i="24"/>
  <c r="F2366" i="24"/>
  <c r="E47" i="24"/>
  <c r="F47" i="24"/>
  <c r="F2567" i="24"/>
  <c r="F2384" i="24"/>
  <c r="E2384" i="24"/>
  <c r="E715" i="24"/>
  <c r="F715" i="24"/>
  <c r="F323" i="24"/>
  <c r="E122" i="24"/>
  <c r="F121" i="24"/>
  <c r="F894" i="24"/>
  <c r="E2528" i="24"/>
  <c r="F2440" i="24"/>
  <c r="F428" i="24"/>
  <c r="F95" i="24"/>
  <c r="F1088" i="24"/>
  <c r="E2522" i="24"/>
  <c r="E2396" i="24"/>
  <c r="E134" i="24"/>
  <c r="E1736" i="24"/>
  <c r="F2310" i="24"/>
  <c r="E2285" i="24"/>
  <c r="F1506" i="24"/>
  <c r="E1414" i="24"/>
  <c r="F1329" i="24"/>
  <c r="E2705" i="24"/>
  <c r="F2675" i="24"/>
  <c r="E2468" i="24"/>
  <c r="E2469" i="24"/>
  <c r="F496" i="24"/>
  <c r="E460" i="24"/>
  <c r="F2361" i="24"/>
  <c r="F310" i="24"/>
  <c r="F84" i="24"/>
  <c r="F2633" i="24"/>
  <c r="F998" i="24"/>
  <c r="F927" i="24"/>
  <c r="F2517" i="24"/>
  <c r="F643" i="24"/>
  <c r="F37" i="24"/>
  <c r="F1038" i="24"/>
  <c r="F859" i="24"/>
  <c r="E2547" i="24"/>
  <c r="E725" i="24"/>
  <c r="F725" i="24"/>
  <c r="E364" i="24"/>
  <c r="F364" i="24"/>
  <c r="F319" i="24"/>
  <c r="F217" i="24"/>
  <c r="F1023" i="24"/>
  <c r="F1661" i="24"/>
  <c r="F914" i="24"/>
  <c r="E2388" i="24"/>
  <c r="E50" i="24"/>
  <c r="F1013" i="24"/>
  <c r="E1013" i="24"/>
  <c r="E872" i="24"/>
  <c r="F872" i="24"/>
  <c r="E561" i="24"/>
  <c r="E1025" i="24"/>
  <c r="E879" i="24"/>
  <c r="E235" i="24"/>
  <c r="F146" i="24"/>
  <c r="E146" i="24"/>
  <c r="F80" i="24"/>
  <c r="E841" i="24"/>
  <c r="E248" i="24"/>
  <c r="E240" i="24"/>
  <c r="F239" i="24"/>
  <c r="E953" i="24"/>
  <c r="F906" i="24"/>
  <c r="E2585" i="24"/>
  <c r="E454" i="24"/>
  <c r="F361" i="24"/>
  <c r="E207" i="24"/>
  <c r="F207" i="24"/>
  <c r="E925" i="24"/>
  <c r="F925" i="24"/>
  <c r="F793" i="24"/>
  <c r="E20" i="24"/>
  <c r="E981" i="24"/>
  <c r="F945" i="24"/>
  <c r="E836" i="24"/>
  <c r="F342" i="24"/>
  <c r="E222" i="24"/>
  <c r="F222" i="24"/>
  <c r="E180" i="24"/>
  <c r="E960" i="24"/>
  <c r="F960" i="24"/>
  <c r="E917" i="24"/>
  <c r="E2566" i="24"/>
  <c r="F353" i="24"/>
  <c r="F182" i="24"/>
  <c r="F977" i="24"/>
  <c r="E98" i="24"/>
  <c r="E2650" i="24"/>
  <c r="F1660" i="24"/>
  <c r="E2602" i="24"/>
  <c r="E2525" i="24"/>
  <c r="F663" i="24"/>
  <c r="E632" i="24"/>
  <c r="E581" i="24"/>
  <c r="E434" i="24"/>
  <c r="F434" i="24"/>
  <c r="E1706" i="24"/>
  <c r="F2619" i="24"/>
  <c r="F681" i="24"/>
  <c r="F356" i="24"/>
  <c r="E334" i="24"/>
  <c r="F334" i="24"/>
  <c r="F235" i="24"/>
  <c r="E143" i="24"/>
  <c r="E80" i="24"/>
  <c r="E958" i="24"/>
  <c r="F885" i="24"/>
  <c r="F877" i="24"/>
  <c r="E497" i="24"/>
  <c r="F497" i="24"/>
  <c r="E2344" i="24"/>
  <c r="E776" i="24"/>
  <c r="E506" i="24"/>
  <c r="E205" i="24"/>
  <c r="E2595" i="24"/>
  <c r="F626" i="24"/>
  <c r="E445" i="24"/>
  <c r="F395" i="24"/>
  <c r="E82" i="24"/>
  <c r="F990" i="24"/>
  <c r="F920" i="24"/>
  <c r="E671" i="24"/>
  <c r="E580" i="24"/>
  <c r="E771" i="24"/>
  <c r="E720" i="24"/>
  <c r="F2390" i="24"/>
  <c r="E101" i="24"/>
  <c r="F694" i="24"/>
  <c r="E2490" i="24"/>
  <c r="F947" i="24"/>
  <c r="E2592" i="24"/>
  <c r="E544" i="24"/>
  <c r="E249" i="24"/>
  <c r="E204" i="24"/>
  <c r="E696" i="24"/>
  <c r="F2478" i="24"/>
  <c r="E517" i="24"/>
  <c r="F184" i="24"/>
  <c r="F134" i="24"/>
  <c r="E602" i="24"/>
  <c r="E129" i="24"/>
  <c r="E69" i="24"/>
  <c r="F650" i="24"/>
  <c r="E1636" i="24"/>
  <c r="E867" i="24"/>
  <c r="F633" i="24"/>
  <c r="E604" i="24"/>
  <c r="E552" i="24"/>
  <c r="F2420" i="24"/>
  <c r="E93" i="24"/>
  <c r="E14" i="24"/>
  <c r="E2638" i="24"/>
  <c r="F831" i="24"/>
  <c r="E524" i="24"/>
  <c r="E350" i="24"/>
  <c r="F213" i="24"/>
  <c r="E1100" i="24"/>
  <c r="F2635" i="24"/>
  <c r="E770" i="24"/>
  <c r="E607" i="24"/>
  <c r="F363" i="24"/>
  <c r="E1728" i="24"/>
  <c r="E1710" i="24"/>
  <c r="F1057" i="24"/>
  <c r="E794" i="24"/>
  <c r="F757" i="24"/>
  <c r="F2539" i="24"/>
  <c r="E411" i="24"/>
  <c r="E343" i="24"/>
  <c r="F896" i="24"/>
  <c r="F814" i="24"/>
  <c r="E785" i="24"/>
  <c r="F672" i="24"/>
  <c r="F589" i="24"/>
  <c r="E2427" i="24"/>
  <c r="E2358" i="24"/>
  <c r="E355" i="24"/>
  <c r="F240" i="24"/>
  <c r="E1070" i="24"/>
  <c r="F908" i="24"/>
  <c r="E2572" i="24"/>
  <c r="F2532" i="24"/>
  <c r="F468" i="24"/>
  <c r="F196" i="24"/>
  <c r="F2538" i="24"/>
  <c r="E575" i="24"/>
  <c r="F455" i="24"/>
  <c r="F893" i="24"/>
  <c r="E750" i="24"/>
  <c r="E589" i="24"/>
  <c r="F506" i="24"/>
  <c r="E422" i="24"/>
  <c r="E397" i="24"/>
  <c r="E354" i="24"/>
  <c r="E297" i="24"/>
  <c r="E233" i="24"/>
  <c r="E90" i="24"/>
  <c r="E566" i="24"/>
  <c r="F2375" i="24"/>
  <c r="F631" i="24"/>
  <c r="F2664" i="24"/>
  <c r="E2461" i="24"/>
  <c r="E474" i="24"/>
  <c r="F309" i="24"/>
  <c r="E939" i="24"/>
  <c r="F821" i="24"/>
  <c r="F464" i="24"/>
  <c r="F125" i="24"/>
  <c r="F1091" i="24"/>
  <c r="F2641" i="24"/>
  <c r="F751" i="24"/>
  <c r="F573" i="24"/>
  <c r="E2386" i="24"/>
  <c r="F784" i="24"/>
  <c r="E747" i="24"/>
  <c r="E2407" i="24"/>
  <c r="F2396" i="24"/>
  <c r="E6" i="24"/>
  <c r="E2567" i="24"/>
  <c r="F477" i="24"/>
  <c r="E2426" i="24"/>
  <c r="E126" i="24"/>
  <c r="F1043" i="24"/>
  <c r="E935" i="24"/>
  <c r="F2457" i="24"/>
  <c r="E2366" i="24"/>
  <c r="E379" i="24"/>
  <c r="E275" i="24"/>
  <c r="F2345" i="24"/>
  <c r="F181" i="24"/>
  <c r="F1665" i="24"/>
  <c r="E871" i="24"/>
  <c r="E816" i="24"/>
  <c r="E751" i="24"/>
  <c r="E408" i="24"/>
  <c r="E316" i="24"/>
  <c r="F83" i="24"/>
  <c r="E1646" i="24"/>
  <c r="E870" i="24"/>
  <c r="F2598" i="24"/>
  <c r="E710" i="24"/>
  <c r="E653" i="24"/>
  <c r="E2421" i="24"/>
  <c r="E35" i="24"/>
  <c r="F2405" i="24"/>
  <c r="E436" i="24"/>
  <c r="E854" i="24"/>
  <c r="E1014" i="24"/>
  <c r="E731" i="24"/>
  <c r="E2660" i="24"/>
  <c r="F705" i="24"/>
  <c r="E2394" i="24"/>
  <c r="F198" i="24"/>
  <c r="F1025" i="24"/>
  <c r="F2553" i="24"/>
  <c r="E532" i="24"/>
  <c r="F54" i="24"/>
  <c r="E1697" i="24"/>
  <c r="E902" i="24"/>
  <c r="E639" i="24"/>
  <c r="F208" i="24"/>
  <c r="E169" i="24"/>
  <c r="F954" i="24"/>
  <c r="E848" i="24"/>
  <c r="E558" i="24"/>
  <c r="F2363" i="24"/>
  <c r="E271" i="24"/>
  <c r="E168" i="24"/>
  <c r="F1596" i="24"/>
  <c r="E1604" i="24"/>
  <c r="F1604" i="24"/>
  <c r="E1559" i="24"/>
  <c r="F1559" i="24"/>
  <c r="E2315" i="24"/>
  <c r="F1632" i="24"/>
  <c r="F2221" i="24"/>
  <c r="F1485" i="24"/>
  <c r="E1445" i="24"/>
  <c r="F2088" i="24"/>
  <c r="F1357" i="24"/>
  <c r="E1806" i="24"/>
  <c r="E1763" i="24"/>
  <c r="E1407" i="24"/>
  <c r="E1363" i="24"/>
  <c r="F2063" i="24"/>
  <c r="F1283" i="24"/>
  <c r="E2770" i="24"/>
  <c r="F1942" i="24"/>
  <c r="E1795" i="24"/>
  <c r="F2321" i="24"/>
  <c r="F2883" i="24"/>
  <c r="F2269" i="24"/>
  <c r="F1505" i="24"/>
  <c r="E2113" i="24"/>
  <c r="F1950" i="24"/>
  <c r="E1950" i="24"/>
  <c r="E2230" i="24"/>
  <c r="F2230" i="24"/>
  <c r="F1318" i="24"/>
  <c r="E1742" i="24"/>
  <c r="F1742" i="24"/>
  <c r="F1316" i="24"/>
  <c r="E2032" i="24"/>
  <c r="F2032" i="24"/>
  <c r="F1610" i="24"/>
  <c r="E1632" i="24"/>
  <c r="F1568" i="24"/>
  <c r="E1485" i="24"/>
  <c r="F2165" i="24"/>
  <c r="F1423" i="24"/>
  <c r="E1357" i="24"/>
  <c r="F2775" i="24"/>
  <c r="E2777" i="24"/>
  <c r="F2777" i="24"/>
  <c r="F1407" i="24"/>
  <c r="F1363" i="24"/>
  <c r="F1346" i="24"/>
  <c r="F2044" i="24"/>
  <c r="F1988" i="24"/>
  <c r="F1926" i="24"/>
  <c r="F1225" i="24"/>
  <c r="E1221" i="24"/>
  <c r="F1221" i="24"/>
  <c r="E1176" i="24"/>
  <c r="F1795" i="24"/>
  <c r="E1108" i="24"/>
  <c r="E1603" i="24"/>
  <c r="F1504" i="24"/>
  <c r="F2833" i="24"/>
  <c r="E2171" i="24"/>
  <c r="F2113" i="24"/>
  <c r="E2813" i="24"/>
  <c r="E1339" i="24"/>
  <c r="E1757" i="24"/>
  <c r="F1757" i="24"/>
  <c r="E1332" i="24"/>
  <c r="E1318" i="24"/>
  <c r="E2001" i="24"/>
  <c r="F2001" i="24"/>
  <c r="E1119" i="24"/>
  <c r="F1119" i="24"/>
  <c r="F1701" i="24"/>
  <c r="E1055" i="24"/>
  <c r="E1701" i="24"/>
  <c r="F1055" i="24"/>
  <c r="F1806" i="24"/>
  <c r="E1805" i="24"/>
  <c r="F1762" i="24"/>
  <c r="E1762" i="24"/>
  <c r="F1262" i="24"/>
  <c r="F1971" i="24"/>
  <c r="F2159" i="24"/>
  <c r="E2159" i="24"/>
  <c r="E1113" i="24"/>
  <c r="F1113" i="24"/>
  <c r="F1727" i="24"/>
  <c r="F1527" i="24"/>
  <c r="E1527" i="24"/>
  <c r="F2012" i="24"/>
  <c r="E1299" i="24"/>
  <c r="F1299" i="24"/>
  <c r="E1939" i="24"/>
  <c r="E2739" i="24"/>
  <c r="F2739" i="24"/>
  <c r="E1112" i="24"/>
  <c r="F1112" i="24"/>
  <c r="E1725" i="24"/>
  <c r="E1440" i="24"/>
  <c r="E1439" i="24"/>
  <c r="F1439" i="24"/>
  <c r="F1440" i="24"/>
  <c r="E1808" i="24"/>
  <c r="F1808" i="24"/>
  <c r="E1809" i="24"/>
  <c r="F1747" i="24"/>
  <c r="F1123" i="24"/>
  <c r="E1187" i="24"/>
  <c r="F1187" i="24"/>
  <c r="E2518" i="24"/>
  <c r="F2518" i="24"/>
  <c r="E1611" i="24"/>
  <c r="E1537" i="24"/>
  <c r="F2312" i="24"/>
  <c r="F1588" i="24"/>
  <c r="F2164" i="24"/>
  <c r="E2795" i="24"/>
  <c r="F1314" i="24"/>
  <c r="E1314" i="24"/>
  <c r="F2002" i="24"/>
  <c r="F2763" i="24"/>
  <c r="E1936" i="24"/>
  <c r="E1200" i="24"/>
  <c r="F1200" i="24"/>
  <c r="E1152" i="24"/>
  <c r="F1382" i="24"/>
  <c r="E1353" i="24"/>
  <c r="E2058" i="24"/>
  <c r="F2774" i="24"/>
  <c r="E2774" i="24"/>
  <c r="E1297" i="24"/>
  <c r="F1278" i="24"/>
  <c r="E1278" i="24"/>
  <c r="E1231" i="24"/>
  <c r="E1132" i="24"/>
  <c r="E2316" i="24"/>
  <c r="F2293" i="24"/>
  <c r="E2293" i="24"/>
  <c r="F2276" i="24"/>
  <c r="E2239" i="24"/>
  <c r="E2126" i="24"/>
  <c r="E2090" i="24"/>
  <c r="E1285" i="24"/>
  <c r="E2737" i="24"/>
  <c r="F1368" i="24"/>
  <c r="F1362" i="24"/>
  <c r="E1326" i="24"/>
  <c r="F1326" i="24"/>
  <c r="F1224" i="24"/>
  <c r="F1151" i="24"/>
  <c r="E1459" i="24"/>
  <c r="F1462" i="24"/>
  <c r="F1459" i="24"/>
  <c r="F1885" i="24"/>
  <c r="E1663" i="24"/>
  <c r="F1663" i="24"/>
  <c r="E2107" i="24"/>
  <c r="F2107" i="24"/>
  <c r="F2242" i="24"/>
  <c r="E1522" i="24"/>
  <c r="F2320" i="24"/>
  <c r="E2320" i="24"/>
  <c r="E617" i="24"/>
  <c r="F617" i="24"/>
  <c r="F620" i="24"/>
  <c r="E2118" i="24"/>
  <c r="F2118" i="24"/>
  <c r="F2182" i="24"/>
  <c r="E1464" i="24"/>
  <c r="E1131" i="24"/>
  <c r="F1131" i="24"/>
  <c r="F2283" i="24"/>
  <c r="F2284" i="24"/>
  <c r="E2150" i="24"/>
  <c r="F2150" i="24"/>
  <c r="F1953" i="24"/>
  <c r="E1953" i="24"/>
  <c r="F1954" i="24"/>
  <c r="E1954" i="24"/>
  <c r="E1814" i="24"/>
  <c r="F1814" i="24"/>
  <c r="F1817" i="24"/>
  <c r="E2127" i="24"/>
  <c r="F2127" i="24"/>
  <c r="E2717" i="24"/>
  <c r="F2717" i="24"/>
  <c r="E1885" i="24"/>
  <c r="E2706" i="24"/>
  <c r="E1169" i="24"/>
  <c r="F1169" i="24"/>
  <c r="F2706" i="24"/>
  <c r="E2791" i="24"/>
  <c r="F2791" i="24"/>
  <c r="E2790" i="24"/>
  <c r="F2790" i="24"/>
  <c r="E989" i="24"/>
  <c r="F989" i="24"/>
  <c r="E2400" i="24"/>
  <c r="E453" i="24"/>
  <c r="F453" i="24"/>
  <c r="E864" i="24"/>
  <c r="F864" i="24"/>
  <c r="F2603" i="24"/>
  <c r="E2603" i="24"/>
  <c r="F2577" i="24"/>
  <c r="E2583" i="24"/>
  <c r="E2577" i="24"/>
  <c r="F2583" i="24"/>
  <c r="F340" i="24"/>
  <c r="E336" i="24"/>
  <c r="F336" i="24"/>
  <c r="E228" i="24"/>
  <c r="F228" i="24"/>
  <c r="E216" i="24"/>
  <c r="F216" i="24"/>
  <c r="F993" i="24"/>
  <c r="F2630" i="24"/>
  <c r="E993" i="24"/>
  <c r="E2630" i="24"/>
  <c r="E961" i="24"/>
  <c r="F961" i="24"/>
  <c r="E2613" i="24"/>
  <c r="F937" i="24"/>
  <c r="F2613" i="24"/>
  <c r="E2537" i="24"/>
  <c r="F2537" i="24"/>
  <c r="F1878" i="24"/>
  <c r="E1878" i="24"/>
  <c r="E1896" i="24"/>
  <c r="F1896" i="24"/>
  <c r="E1489" i="24"/>
  <c r="F1489" i="24"/>
  <c r="E2848" i="24"/>
  <c r="F2848" i="24"/>
  <c r="E2912" i="24"/>
  <c r="F2912" i="24"/>
  <c r="E1148" i="24"/>
  <c r="F1148" i="24"/>
  <c r="F2168" i="24"/>
  <c r="E2168" i="24"/>
  <c r="E1356" i="24"/>
  <c r="F1356" i="24"/>
  <c r="E2306" i="24"/>
  <c r="E1623" i="24"/>
  <c r="F1623" i="24"/>
  <c r="F1479" i="24"/>
  <c r="E1481" i="24"/>
  <c r="F1481" i="24"/>
  <c r="E1458" i="24"/>
  <c r="E2137" i="24"/>
  <c r="F2137" i="24"/>
  <c r="E2018" i="24"/>
  <c r="F2023" i="24"/>
  <c r="F2018" i="24"/>
  <c r="E2754" i="24"/>
  <c r="F2740" i="24"/>
  <c r="F1936" i="24"/>
  <c r="F1191" i="24"/>
  <c r="E1437" i="24"/>
  <c r="E2143" i="24"/>
  <c r="E2814" i="24"/>
  <c r="E1358" i="24"/>
  <c r="F1358" i="24"/>
  <c r="E1733" i="24"/>
  <c r="E2647" i="24"/>
  <c r="F2647" i="24"/>
  <c r="E2905" i="24"/>
  <c r="F2123" i="24"/>
  <c r="E2123" i="24"/>
  <c r="E1835" i="24"/>
  <c r="F1835" i="24"/>
  <c r="F1185" i="24"/>
  <c r="E1194" i="24"/>
  <c r="E2303" i="24"/>
  <c r="F2303" i="24"/>
  <c r="F2195" i="24"/>
  <c r="E2195" i="24"/>
  <c r="E1484" i="24"/>
  <c r="F1215" i="24"/>
  <c r="E1224" i="24"/>
  <c r="F1165" i="24"/>
  <c r="F1786" i="24"/>
  <c r="E1165" i="24"/>
  <c r="E1536" i="24"/>
  <c r="F1536" i="24"/>
  <c r="F2271" i="24"/>
  <c r="E1266" i="24"/>
  <c r="E1269" i="24"/>
  <c r="F1269" i="24"/>
  <c r="F1266" i="24"/>
  <c r="F2684" i="24"/>
  <c r="E2684" i="24"/>
  <c r="F2685" i="24"/>
  <c r="F1315" i="24"/>
  <c r="F2025" i="24"/>
  <c r="F1722" i="24"/>
  <c r="E1722" i="24"/>
  <c r="E1465" i="24"/>
  <c r="F1465" i="24"/>
  <c r="E1160" i="24"/>
  <c r="F1160" i="24"/>
  <c r="F2698" i="24"/>
  <c r="F2879" i="24"/>
  <c r="E2879" i="24"/>
  <c r="E2880" i="24"/>
  <c r="F2880" i="24"/>
  <c r="F2331" i="24"/>
  <c r="E1609" i="24"/>
  <c r="E1561" i="24"/>
  <c r="E2259" i="24"/>
  <c r="F2188" i="24"/>
  <c r="E1413" i="24"/>
  <c r="F1304" i="24"/>
  <c r="E1956" i="24"/>
  <c r="F1956" i="24"/>
  <c r="F2754" i="24"/>
  <c r="F2233" i="24"/>
  <c r="E2233" i="24"/>
  <c r="E1512" i="24"/>
  <c r="F1512" i="24"/>
  <c r="E2162" i="24"/>
  <c r="F2162" i="24"/>
  <c r="F1437" i="24"/>
  <c r="F2811" i="24"/>
  <c r="E2811" i="24"/>
  <c r="F1590" i="24"/>
  <c r="E1590" i="24"/>
  <c r="E2829" i="24"/>
  <c r="F2140" i="24"/>
  <c r="E2140" i="24"/>
  <c r="E1602" i="24"/>
  <c r="F1602" i="24"/>
  <c r="E1476" i="24"/>
  <c r="F1476" i="24"/>
  <c r="F1381" i="24"/>
  <c r="E1381" i="24"/>
  <c r="E2805" i="24"/>
  <c r="E2209" i="24"/>
  <c r="F2209" i="24"/>
  <c r="E1265" i="24"/>
  <c r="F1265" i="24"/>
  <c r="F2750" i="24"/>
  <c r="F1952" i="24"/>
  <c r="E1168" i="24"/>
  <c r="F1168" i="24"/>
  <c r="F1270" i="24"/>
  <c r="E1280" i="24"/>
  <c r="F1280" i="24"/>
  <c r="F1864" i="24"/>
  <c r="E1864" i="24"/>
  <c r="F1603" i="24"/>
  <c r="E1601" i="24"/>
  <c r="F1601" i="24"/>
  <c r="F2040" i="24"/>
  <c r="E2047" i="24"/>
  <c r="E2040" i="24"/>
  <c r="F2047" i="24"/>
  <c r="E12" i="24"/>
  <c r="F12" i="24"/>
  <c r="F1328" i="24"/>
  <c r="E1328" i="24"/>
  <c r="E1249" i="24"/>
  <c r="F1249" i="24"/>
  <c r="E2266" i="24"/>
  <c r="F2266" i="24"/>
  <c r="F2821" i="24"/>
  <c r="F2822" i="24"/>
  <c r="F2058" i="24"/>
  <c r="E1340" i="24"/>
  <c r="F1340" i="24"/>
  <c r="E1548" i="24"/>
  <c r="F1548" i="24"/>
  <c r="F1609" i="24"/>
  <c r="F1491" i="24"/>
  <c r="F1413" i="24"/>
  <c r="E1955" i="24"/>
  <c r="E1478" i="24"/>
  <c r="F1478" i="24"/>
  <c r="E1432" i="24"/>
  <c r="F2731" i="24"/>
  <c r="F1209" i="24"/>
  <c r="E1210" i="24"/>
  <c r="E1163" i="24"/>
  <c r="F2876" i="24"/>
  <c r="F2262" i="24"/>
  <c r="F1322" i="24"/>
  <c r="F1248" i="24"/>
  <c r="E2300" i="24"/>
  <c r="F2300" i="24"/>
  <c r="E2181" i="24"/>
  <c r="F2181" i="24"/>
  <c r="F1444" i="24"/>
  <c r="E1444" i="24"/>
  <c r="E2096" i="24"/>
  <c r="F2096" i="24"/>
  <c r="F1303" i="24"/>
  <c r="E1305" i="24"/>
  <c r="E1303" i="24"/>
  <c r="F1569" i="24"/>
  <c r="E2895" i="24"/>
  <c r="F2895" i="24"/>
  <c r="F1987" i="24"/>
  <c r="E2223" i="24"/>
  <c r="E2225" i="24"/>
  <c r="F2223" i="24"/>
  <c r="F2225" i="24"/>
  <c r="F1763" i="24"/>
  <c r="E1134" i="24"/>
  <c r="E1550" i="24"/>
  <c r="F1550" i="24"/>
  <c r="E1327" i="24"/>
  <c r="F1327" i="24"/>
  <c r="E2051" i="24"/>
  <c r="F557" i="24"/>
  <c r="E557" i="24"/>
  <c r="F1902" i="24"/>
  <c r="E1901" i="24"/>
  <c r="F1901" i="24"/>
  <c r="E1782" i="24"/>
  <c r="F1782" i="24"/>
  <c r="E1605" i="24"/>
  <c r="F1605" i="24"/>
  <c r="E2792" i="24"/>
  <c r="F2792" i="24"/>
  <c r="F2294" i="24"/>
  <c r="F2277" i="24"/>
  <c r="F1554" i="24"/>
  <c r="F1561" i="24"/>
  <c r="F2133" i="24"/>
  <c r="F1843" i="24"/>
  <c r="E1855" i="24"/>
  <c r="F2859" i="24"/>
  <c r="E2064" i="24"/>
  <c r="F2770" i="24"/>
  <c r="F2753" i="24"/>
  <c r="F1912" i="24"/>
  <c r="F1492" i="24"/>
  <c r="E2155" i="24"/>
  <c r="E2161" i="24"/>
  <c r="E2098" i="24"/>
  <c r="F1319" i="24"/>
  <c r="E1248" i="24"/>
  <c r="F2335" i="24"/>
  <c r="E1625" i="24"/>
  <c r="F1625" i="24"/>
  <c r="F1599" i="24"/>
  <c r="E1599" i="24"/>
  <c r="E1298" i="24"/>
  <c r="E1558" i="24"/>
  <c r="F1558" i="24"/>
  <c r="E2010" i="24"/>
  <c r="E2013" i="24"/>
  <c r="E1277" i="24"/>
  <c r="F1277" i="24"/>
  <c r="F2169" i="24"/>
  <c r="E2146" i="24"/>
  <c r="F2146" i="24"/>
  <c r="F1373" i="24"/>
  <c r="E1373" i="24"/>
  <c r="E1376" i="24"/>
  <c r="F1376" i="24"/>
  <c r="F1791" i="24"/>
  <c r="E1791" i="24"/>
  <c r="F1339" i="24"/>
  <c r="E1333" i="24"/>
  <c r="F1333" i="24"/>
  <c r="E1586" i="24"/>
  <c r="F1586" i="24"/>
  <c r="E2141" i="24"/>
  <c r="F2141" i="24"/>
  <c r="E2142" i="24"/>
  <c r="F2142" i="24"/>
  <c r="F2151" i="24"/>
  <c r="E2144" i="24"/>
  <c r="E1598" i="24"/>
  <c r="E2263" i="24"/>
  <c r="E1618" i="24"/>
  <c r="F1618" i="24"/>
  <c r="F1615" i="24"/>
  <c r="F1572" i="24"/>
  <c r="F2260" i="24"/>
  <c r="F2308" i="24"/>
  <c r="F2257" i="24"/>
  <c r="E1572" i="24"/>
  <c r="F1633" i="24"/>
  <c r="E1597" i="24"/>
  <c r="F1597" i="24"/>
  <c r="E2326" i="24"/>
  <c r="E1579" i="24"/>
  <c r="F1579" i="24"/>
  <c r="E2224" i="24"/>
  <c r="F2224" i="24"/>
  <c r="E2185" i="24"/>
  <c r="F1424" i="24"/>
  <c r="E2153" i="24"/>
  <c r="F2153" i="24"/>
  <c r="E1369" i="24"/>
  <c r="F2080" i="24"/>
  <c r="E2083" i="24"/>
  <c r="F2709" i="24"/>
  <c r="F2858" i="24"/>
  <c r="E2063" i="24"/>
  <c r="E1283" i="24"/>
  <c r="F1255" i="24"/>
  <c r="F1883" i="24"/>
  <c r="F1766" i="24"/>
  <c r="F2330" i="24"/>
  <c r="E1617" i="24"/>
  <c r="F1617" i="24"/>
  <c r="E2883" i="24"/>
  <c r="F2210" i="24"/>
  <c r="F2171" i="24"/>
  <c r="E1319" i="24"/>
  <c r="E1873" i="24"/>
  <c r="E1871" i="24"/>
  <c r="F1871" i="24"/>
  <c r="E1622" i="24"/>
  <c r="F1970" i="24"/>
  <c r="E1970" i="24"/>
  <c r="F1366" i="24"/>
  <c r="E2094" i="24"/>
  <c r="E1366" i="24"/>
  <c r="E1316" i="24"/>
  <c r="E2007" i="24"/>
  <c r="F2007" i="24"/>
  <c r="E1263" i="24"/>
  <c r="F1263" i="24"/>
  <c r="E2761" i="24"/>
  <c r="F2761" i="24"/>
  <c r="E1419" i="24"/>
  <c r="F1379" i="24"/>
  <c r="E1387" i="24"/>
  <c r="E1379" i="24"/>
  <c r="F1387" i="24"/>
  <c r="F1364" i="24"/>
  <c r="F1258" i="24"/>
  <c r="E1836" i="24"/>
  <c r="F2688" i="24"/>
  <c r="E2688" i="24"/>
  <c r="F2305" i="24"/>
  <c r="F2160" i="24"/>
  <c r="E1368" i="24"/>
  <c r="F2052" i="24"/>
  <c r="F1305" i="24"/>
  <c r="F1125" i="24"/>
  <c r="E1749" i="24"/>
  <c r="F1494" i="24"/>
  <c r="E1494" i="24"/>
  <c r="F2860" i="24"/>
  <c r="E1462" i="24"/>
  <c r="F1443" i="24"/>
  <c r="F2831" i="24"/>
  <c r="E1430" i="24"/>
  <c r="F1430" i="24"/>
  <c r="E1193" i="24"/>
  <c r="F1193" i="24"/>
  <c r="E1142" i="24"/>
  <c r="F1142" i="24"/>
  <c r="E2904" i="24"/>
  <c r="F2251" i="24"/>
  <c r="F1530" i="24"/>
  <c r="E2727" i="24"/>
  <c r="F2727" i="24"/>
  <c r="F1904" i="24"/>
  <c r="F1815" i="24"/>
  <c r="E1815" i="24"/>
  <c r="E302" i="24"/>
  <c r="F302" i="24"/>
  <c r="E308" i="24"/>
  <c r="F308" i="24"/>
  <c r="E104" i="24"/>
  <c r="F104" i="24"/>
  <c r="E110" i="24"/>
  <c r="F110" i="24"/>
  <c r="F190" i="24"/>
  <c r="E190" i="24"/>
  <c r="F2643" i="24"/>
  <c r="E2643" i="24"/>
  <c r="F1049" i="24"/>
  <c r="E1048" i="24"/>
  <c r="F1048" i="24"/>
  <c r="E627" i="24"/>
  <c r="F627" i="24"/>
  <c r="F260" i="24"/>
  <c r="F273" i="24"/>
  <c r="E260" i="24"/>
  <c r="F43" i="24"/>
  <c r="E43" i="24"/>
  <c r="E1081" i="24"/>
  <c r="F1081" i="24"/>
  <c r="E2596" i="24"/>
  <c r="F815" i="24"/>
  <c r="F2596" i="24"/>
  <c r="E2527" i="24"/>
  <c r="F2527" i="24"/>
  <c r="F1520" i="24"/>
  <c r="F2806" i="24"/>
  <c r="F1274" i="24"/>
  <c r="F1186" i="24"/>
  <c r="E1186" i="24"/>
  <c r="F2702" i="24"/>
  <c r="F1713" i="24"/>
  <c r="E2269" i="24"/>
  <c r="E2262" i="24"/>
  <c r="F1518" i="24"/>
  <c r="F2161" i="24"/>
  <c r="F2128" i="24"/>
  <c r="F2813" i="24"/>
  <c r="F2099" i="24"/>
  <c r="E1971" i="24"/>
  <c r="E1254" i="24"/>
  <c r="E1136" i="24"/>
  <c r="F1136" i="24"/>
  <c r="E2284" i="24"/>
  <c r="F1511" i="24"/>
  <c r="E1511" i="24"/>
  <c r="E2836" i="24"/>
  <c r="F2820" i="24"/>
  <c r="E2820" i="24"/>
  <c r="E2681" i="24"/>
  <c r="E1755" i="24"/>
  <c r="F1755" i="24"/>
  <c r="F2681" i="24"/>
  <c r="E2271" i="24"/>
  <c r="E2274" i="24"/>
  <c r="E1394" i="24"/>
  <c r="F1394" i="24"/>
  <c r="F2013" i="24"/>
  <c r="F1920" i="24"/>
  <c r="E1921" i="24"/>
  <c r="E1845" i="24"/>
  <c r="F1845" i="24"/>
  <c r="E1850" i="24"/>
  <c r="F1850" i="24"/>
  <c r="E1793" i="24"/>
  <c r="F1793" i="24"/>
  <c r="F1899" i="24"/>
  <c r="E1899" i="24"/>
  <c r="E1790" i="24"/>
  <c r="F1790" i="24"/>
  <c r="F1173" i="24"/>
  <c r="F1138" i="24"/>
  <c r="E2685" i="24"/>
  <c r="F1090" i="24"/>
  <c r="E1090" i="24"/>
  <c r="E1842" i="24"/>
  <c r="F1842" i="24"/>
  <c r="E1844" i="24"/>
  <c r="F1844" i="24"/>
  <c r="F2031" i="24"/>
  <c r="E2031" i="24"/>
  <c r="E1545" i="24"/>
  <c r="F1545" i="24"/>
  <c r="E2152" i="24"/>
  <c r="F2152" i="24"/>
  <c r="E2048" i="24"/>
  <c r="F2048" i="24"/>
  <c r="E1294" i="24"/>
  <c r="F1294" i="24"/>
  <c r="E1182" i="24"/>
  <c r="F1182" i="24"/>
  <c r="F1725" i="24"/>
  <c r="F1585" i="24"/>
  <c r="F1595" i="24"/>
  <c r="E2873" i="24"/>
  <c r="F2873" i="24"/>
  <c r="E2264" i="24"/>
  <c r="F2264" i="24"/>
  <c r="F2190" i="24"/>
  <c r="E2191" i="24"/>
  <c r="E1409" i="24"/>
  <c r="F2051" i="24"/>
  <c r="E1214" i="24"/>
  <c r="F1214" i="24"/>
  <c r="E1542" i="24"/>
  <c r="F1542" i="24"/>
  <c r="F2884" i="24"/>
  <c r="F2817" i="24"/>
  <c r="F2768" i="24"/>
  <c r="F1860" i="24"/>
  <c r="F1818" i="24"/>
  <c r="F2318" i="24"/>
  <c r="F1593" i="24"/>
  <c r="F2849" i="24"/>
  <c r="E2849" i="24"/>
  <c r="F1846" i="24"/>
  <c r="E1846" i="24"/>
  <c r="E1398" i="24"/>
  <c r="F1398" i="24"/>
  <c r="E2767" i="24"/>
  <c r="F2767" i="24"/>
  <c r="F1232" i="24"/>
  <c r="F1234" i="24"/>
  <c r="E1178" i="24"/>
  <c r="F1178" i="24"/>
  <c r="E2206" i="24"/>
  <c r="F2206" i="24"/>
  <c r="E1997" i="24"/>
  <c r="F1997" i="24"/>
  <c r="E2004" i="24"/>
  <c r="E1094" i="24"/>
  <c r="F1094" i="24"/>
  <c r="E1403" i="24"/>
  <c r="E2120" i="24"/>
  <c r="F2120" i="24"/>
  <c r="F1403" i="24"/>
  <c r="F1312" i="24"/>
  <c r="F2713" i="24"/>
  <c r="F1128" i="24"/>
  <c r="F2179" i="24"/>
  <c r="F2130" i="24"/>
  <c r="F2800" i="24"/>
  <c r="F2045" i="24"/>
  <c r="F1995" i="24"/>
  <c r="F1259" i="24"/>
  <c r="F1886" i="24"/>
  <c r="F1838" i="24"/>
  <c r="E1775" i="24"/>
  <c r="F1145" i="24"/>
  <c r="E1087" i="24"/>
  <c r="F2901" i="24"/>
  <c r="F2854" i="24"/>
  <c r="E2212" i="24"/>
  <c r="F1455" i="24"/>
  <c r="F1344" i="24"/>
  <c r="E1344" i="24"/>
  <c r="F2037" i="24"/>
  <c r="F1307" i="24"/>
  <c r="F1913" i="24"/>
  <c r="F1217" i="24"/>
  <c r="F1370" i="24"/>
  <c r="E2766" i="24"/>
  <c r="E1244" i="24"/>
  <c r="F1244" i="24"/>
  <c r="E1880" i="24"/>
  <c r="E2029" i="24"/>
  <c r="F2029" i="24"/>
  <c r="E1161" i="24"/>
  <c r="F1161" i="24"/>
  <c r="E2908" i="24"/>
  <c r="F2908" i="24"/>
  <c r="E2194" i="24"/>
  <c r="F2194" i="24"/>
  <c r="E1848" i="24"/>
  <c r="F1573" i="24"/>
  <c r="E1573" i="24"/>
  <c r="E1574" i="24"/>
  <c r="F1574" i="24"/>
  <c r="E2779" i="24"/>
  <c r="F2779" i="24"/>
  <c r="E1085" i="24"/>
  <c r="F1085" i="24"/>
  <c r="E1086" i="24"/>
  <c r="F1086" i="24"/>
  <c r="F1201" i="24"/>
  <c r="F2865" i="24"/>
  <c r="E1496" i="24"/>
  <c r="E2130" i="24"/>
  <c r="E1355" i="24"/>
  <c r="F1349" i="24"/>
  <c r="E1995" i="24"/>
  <c r="F1275" i="24"/>
  <c r="E1259" i="24"/>
  <c r="E2745" i="24"/>
  <c r="F1923" i="24"/>
  <c r="E1886" i="24"/>
  <c r="E1838" i="24"/>
  <c r="E1145" i="24"/>
  <c r="E1726" i="24"/>
  <c r="F1716" i="24"/>
  <c r="F1067" i="24"/>
  <c r="E2901" i="24"/>
  <c r="E2890" i="24"/>
  <c r="F2272" i="24"/>
  <c r="F2878" i="24"/>
  <c r="F2845" i="24"/>
  <c r="E1455" i="24"/>
  <c r="F1442" i="24"/>
  <c r="E2037" i="24"/>
  <c r="E1307" i="24"/>
  <c r="F1288" i="24"/>
  <c r="F2759" i="24"/>
  <c r="E1217" i="24"/>
  <c r="F1765" i="24"/>
  <c r="E1606" i="24"/>
  <c r="F2218" i="24"/>
  <c r="E2203" i="24"/>
  <c r="E1436" i="24"/>
  <c r="F2808" i="24"/>
  <c r="E2055" i="24"/>
  <c r="F1583" i="24"/>
  <c r="E1583" i="24"/>
  <c r="E1396" i="24"/>
  <c r="E1397" i="24"/>
  <c r="F1397" i="24"/>
  <c r="F1396" i="24"/>
  <c r="E1978" i="24"/>
  <c r="F1978" i="24"/>
  <c r="F1907" i="24"/>
  <c r="E1909" i="24"/>
  <c r="E1829" i="24"/>
  <c r="F1829" i="24"/>
  <c r="F1827" i="24"/>
  <c r="E2910" i="24"/>
  <c r="F2910" i="24"/>
  <c r="F1631" i="24"/>
  <c r="E1514" i="24"/>
  <c r="E1513" i="24"/>
  <c r="F1513" i="24"/>
  <c r="E2072" i="24"/>
  <c r="F2072" i="24"/>
  <c r="F2794" i="24"/>
  <c r="E2794" i="24"/>
  <c r="E1803" i="24"/>
  <c r="F1803" i="24"/>
  <c r="E1807" i="24"/>
  <c r="F1807" i="24"/>
  <c r="F2254" i="24"/>
  <c r="E2254" i="24"/>
  <c r="E1477" i="24"/>
  <c r="F1477" i="24"/>
  <c r="F2839" i="24"/>
  <c r="F1508" i="24"/>
  <c r="E1128" i="24"/>
  <c r="E2179" i="24"/>
  <c r="F1388" i="24"/>
  <c r="E2800" i="24"/>
  <c r="E2045" i="24"/>
  <c r="F1522" i="24"/>
  <c r="F2083" i="24"/>
  <c r="F1855" i="24"/>
  <c r="F1496" i="24"/>
  <c r="F2814" i="24"/>
  <c r="F1355" i="24"/>
  <c r="F2064" i="24"/>
  <c r="F2772" i="24"/>
  <c r="F1279" i="24"/>
  <c r="F2745" i="24"/>
  <c r="F2734" i="24"/>
  <c r="F1858" i="24"/>
  <c r="F1190" i="24"/>
  <c r="F1108" i="24"/>
  <c r="F1635" i="24"/>
  <c r="F2316" i="24"/>
  <c r="F2905" i="24"/>
  <c r="F2890" i="24"/>
  <c r="E2878" i="24"/>
  <c r="E1519" i="24"/>
  <c r="F1507" i="24"/>
  <c r="E1507" i="24"/>
  <c r="F1493" i="24"/>
  <c r="F1482" i="24"/>
  <c r="E2759" i="24"/>
  <c r="E1908" i="24"/>
  <c r="F1175" i="24"/>
  <c r="E1175" i="24"/>
  <c r="E1765" i="24"/>
  <c r="F1606" i="24"/>
  <c r="E2218" i="24"/>
  <c r="F2203" i="24"/>
  <c r="F1436" i="24"/>
  <c r="F1385" i="24"/>
  <c r="F2055" i="24"/>
  <c r="F2274" i="24"/>
  <c r="E2154" i="24"/>
  <c r="F1395" i="24"/>
  <c r="E1977" i="24"/>
  <c r="E1257" i="24"/>
  <c r="F1257" i="24"/>
  <c r="F2728" i="24"/>
  <c r="F2639" i="24"/>
  <c r="E2639" i="24"/>
  <c r="E1073" i="24"/>
  <c r="E1630" i="24"/>
  <c r="F1630" i="24"/>
  <c r="E1510" i="24"/>
  <c r="F2187" i="24"/>
  <c r="E2187" i="24"/>
  <c r="F1475" i="24"/>
  <c r="E1688" i="24"/>
  <c r="E2220" i="24"/>
  <c r="F2220" i="24"/>
  <c r="E2219" i="24"/>
  <c r="E2773" i="24"/>
  <c r="F2773" i="24"/>
  <c r="E2778" i="24"/>
  <c r="F2778" i="24"/>
  <c r="E2003" i="24"/>
  <c r="F2003" i="24"/>
  <c r="F1296" i="24"/>
  <c r="F2795" i="24"/>
  <c r="E2713" i="24"/>
  <c r="F1480" i="24"/>
  <c r="F1528" i="24"/>
  <c r="F1369" i="24"/>
  <c r="F1866" i="24"/>
  <c r="F2855" i="24"/>
  <c r="E1364" i="24"/>
  <c r="F1359" i="24"/>
  <c r="E1258" i="24"/>
  <c r="F2749" i="24"/>
  <c r="F1787" i="24"/>
  <c r="E1774" i="24"/>
  <c r="F1132" i="24"/>
  <c r="F2651" i="24"/>
  <c r="E1571" i="24"/>
  <c r="F1519" i="24"/>
  <c r="E1401" i="24"/>
  <c r="E1390" i="24"/>
  <c r="F2090" i="24"/>
  <c r="F2762" i="24"/>
  <c r="F1939" i="24"/>
  <c r="F1908" i="24"/>
  <c r="F1873" i="24"/>
  <c r="F1836" i="24"/>
  <c r="E1170" i="24"/>
  <c r="F1170" i="24"/>
  <c r="E2335" i="24"/>
  <c r="E2305" i="24"/>
  <c r="F2889" i="24"/>
  <c r="E2889" i="24"/>
  <c r="E2249" i="24"/>
  <c r="E2160" i="24"/>
  <c r="E2124" i="24"/>
  <c r="E2052" i="24"/>
  <c r="E2733" i="24"/>
  <c r="F2733" i="24"/>
  <c r="E1125" i="24"/>
  <c r="E1569" i="24"/>
  <c r="E1443" i="24"/>
  <c r="F2069" i="24"/>
  <c r="E2070" i="24"/>
  <c r="E1976" i="24"/>
  <c r="F1976" i="24"/>
  <c r="E1195" i="24"/>
  <c r="E1144" i="24"/>
  <c r="F1144" i="24"/>
  <c r="E1149" i="24"/>
  <c r="F1056" i="24"/>
  <c r="E2251" i="24"/>
  <c r="E2116" i="24"/>
  <c r="F2116" i="24"/>
  <c r="E2121" i="24"/>
  <c r="F2121" i="24"/>
  <c r="E1887" i="24"/>
  <c r="F1887" i="24"/>
  <c r="F2721" i="24"/>
  <c r="E1626" i="24"/>
  <c r="F1626" i="24"/>
  <c r="F2337" i="24"/>
  <c r="E2192" i="24"/>
  <c r="F2192" i="24"/>
  <c r="E2193" i="24"/>
  <c r="F2193" i="24"/>
  <c r="E2579" i="24"/>
  <c r="F2579" i="24"/>
  <c r="E2581" i="24"/>
  <c r="F2581" i="24"/>
  <c r="F2570" i="24"/>
  <c r="E2570" i="24"/>
  <c r="E2573" i="24"/>
  <c r="F2573" i="24"/>
  <c r="F494" i="24"/>
  <c r="E494" i="24"/>
  <c r="E257" i="24"/>
  <c r="F257" i="24"/>
  <c r="F259" i="24"/>
  <c r="E907" i="24"/>
  <c r="F907" i="24"/>
  <c r="E548" i="24"/>
  <c r="F548" i="24"/>
  <c r="E1634" i="24"/>
  <c r="F1634" i="24"/>
  <c r="E1821" i="24"/>
  <c r="F1821" i="24"/>
  <c r="E1822" i="24"/>
  <c r="F1822" i="24"/>
  <c r="E2787" i="24"/>
  <c r="F2787" i="24"/>
  <c r="F2068" i="24"/>
  <c r="F2301" i="24"/>
  <c r="F1591" i="24"/>
  <c r="E1110" i="24"/>
  <c r="F1110" i="24"/>
  <c r="E952" i="24"/>
  <c r="F952" i="24"/>
  <c r="E801" i="24"/>
  <c r="F801" i="24"/>
  <c r="E976" i="24"/>
  <c r="E972" i="24"/>
  <c r="F972" i="24"/>
  <c r="F226" i="24"/>
  <c r="E220" i="24"/>
  <c r="F490" i="24"/>
  <c r="E490" i="24"/>
  <c r="F2154" i="24"/>
  <c r="E1348" i="24"/>
  <c r="F1348" i="24"/>
  <c r="E1325" i="24"/>
  <c r="F1325" i="24"/>
  <c r="E1271" i="24"/>
  <c r="F1271" i="24"/>
  <c r="F1243" i="24"/>
  <c r="E1876" i="24"/>
  <c r="E1475" i="24"/>
  <c r="F2725" i="24"/>
  <c r="F1898" i="24"/>
  <c r="E1875" i="24"/>
  <c r="F2720" i="24"/>
  <c r="E2720" i="24"/>
  <c r="E2673" i="24"/>
  <c r="F2673" i="24"/>
  <c r="E2674" i="24"/>
  <c r="F2674" i="24"/>
  <c r="E2780" i="24"/>
  <c r="F2780" i="24"/>
  <c r="E2046" i="24"/>
  <c r="F2046" i="24"/>
  <c r="E1744" i="24"/>
  <c r="F1744" i="24"/>
  <c r="E2903" i="24"/>
  <c r="F2903" i="24"/>
  <c r="E2765" i="24"/>
  <c r="F2765" i="24"/>
  <c r="F1983" i="24"/>
  <c r="E1738" i="24"/>
  <c r="F1738" i="24"/>
  <c r="E1120" i="24"/>
  <c r="E1654" i="24"/>
  <c r="F1654" i="24"/>
  <c r="F1657" i="24"/>
  <c r="E1657" i="24"/>
  <c r="E2628" i="24"/>
  <c r="F2628" i="24"/>
  <c r="E1638" i="24"/>
  <c r="F1638" i="24"/>
  <c r="E878" i="24"/>
  <c r="F878" i="24"/>
  <c r="F890" i="24"/>
  <c r="F388" i="24"/>
  <c r="E386" i="24"/>
  <c r="F386" i="24"/>
  <c r="E824" i="24"/>
  <c r="F824" i="24"/>
  <c r="E833" i="24"/>
  <c r="F833" i="24"/>
  <c r="E1019" i="24"/>
  <c r="E1022" i="24"/>
  <c r="E1852" i="24"/>
  <c r="F1852" i="24"/>
  <c r="E1834" i="24"/>
  <c r="E1208" i="24"/>
  <c r="E1451" i="24"/>
  <c r="F1451" i="24"/>
  <c r="F1859" i="24"/>
  <c r="E2291" i="24"/>
  <c r="E2292" i="24"/>
  <c r="F2292" i="24"/>
  <c r="E2062" i="24"/>
  <c r="F2062" i="24"/>
  <c r="E1287" i="24"/>
  <c r="F1287" i="24"/>
  <c r="E1996" i="24"/>
  <c r="E1515" i="24"/>
  <c r="F1515" i="24"/>
  <c r="F2240" i="24"/>
  <c r="E2691" i="24"/>
  <c r="F2691" i="24"/>
  <c r="E2327" i="24"/>
  <c r="E2906" i="24"/>
  <c r="F2906" i="24"/>
  <c r="E1296" i="24"/>
  <c r="E969" i="24"/>
  <c r="F969" i="24"/>
  <c r="F2400" i="24"/>
  <c r="E1627" i="24"/>
  <c r="E1580" i="24"/>
  <c r="E1503" i="24"/>
  <c r="E1452" i="24"/>
  <c r="E2132" i="24"/>
  <c r="E2799" i="24"/>
  <c r="E2035" i="24"/>
  <c r="E1267" i="24"/>
  <c r="E1828" i="24"/>
  <c r="F1180" i="24"/>
  <c r="E1118" i="24"/>
  <c r="F1118" i="24"/>
  <c r="F1570" i="24"/>
  <c r="E2888" i="24"/>
  <c r="F2265" i="24"/>
  <c r="E1470" i="24"/>
  <c r="F1438" i="24"/>
  <c r="F1427" i="24"/>
  <c r="F2818" i="24"/>
  <c r="F1350" i="24"/>
  <c r="F1360" i="24"/>
  <c r="F1282" i="24"/>
  <c r="E2769" i="24"/>
  <c r="F1977" i="24"/>
  <c r="F1973" i="24"/>
  <c r="E1910" i="24"/>
  <c r="F1910" i="24"/>
  <c r="E1894" i="24"/>
  <c r="F1894" i="24"/>
  <c r="F1207" i="24"/>
  <c r="E1796" i="24"/>
  <c r="F1796" i="24"/>
  <c r="F2704" i="24"/>
  <c r="F2687" i="24"/>
  <c r="E2302" i="24"/>
  <c r="F2302" i="24"/>
  <c r="E2215" i="24"/>
  <c r="F2215" i="24"/>
  <c r="E2843" i="24"/>
  <c r="F2843" i="24"/>
  <c r="E2824" i="24"/>
  <c r="F2824" i="24"/>
  <c r="E1281" i="24"/>
  <c r="E1863" i="24"/>
  <c r="F1863" i="24"/>
  <c r="F1874" i="24"/>
  <c r="F1816" i="24"/>
  <c r="E1587" i="24"/>
  <c r="E2282" i="24"/>
  <c r="E1965" i="24"/>
  <c r="F1965" i="24"/>
  <c r="E2703" i="24"/>
  <c r="E2545" i="24"/>
  <c r="E723" i="24"/>
  <c r="F723" i="24"/>
  <c r="E648" i="24"/>
  <c r="F648" i="24"/>
  <c r="F2496" i="24"/>
  <c r="F1176" i="24"/>
  <c r="F1607" i="24"/>
  <c r="F2178" i="24"/>
  <c r="F2011" i="24"/>
  <c r="F1159" i="24"/>
  <c r="F1503" i="24"/>
  <c r="F2799" i="24"/>
  <c r="F1880" i="24"/>
  <c r="F1235" i="24"/>
  <c r="E1570" i="24"/>
  <c r="E2208" i="24"/>
  <c r="F2191" i="24"/>
  <c r="F1470" i="24"/>
  <c r="E1438" i="24"/>
  <c r="F2094" i="24"/>
  <c r="F1321" i="24"/>
  <c r="F1228" i="24"/>
  <c r="E1051" i="24"/>
  <c r="F2297" i="24"/>
  <c r="E2201" i="24"/>
  <c r="F2201" i="24"/>
  <c r="E1300" i="24"/>
  <c r="F1300" i="24"/>
  <c r="F2020" i="24"/>
  <c r="E1276" i="24"/>
  <c r="E1915" i="24"/>
  <c r="E2736" i="24"/>
  <c r="F2736" i="24"/>
  <c r="E1892" i="24"/>
  <c r="E2722" i="24"/>
  <c r="F1854" i="24"/>
  <c r="F1204" i="24"/>
  <c r="F1188" i="24"/>
  <c r="E1121" i="24"/>
  <c r="F1121" i="24"/>
  <c r="E2311" i="24"/>
  <c r="F1612" i="24"/>
  <c r="F2796" i="24"/>
  <c r="E2796" i="24"/>
  <c r="E2797" i="24"/>
  <c r="F2797" i="24"/>
  <c r="E1964" i="24"/>
  <c r="F1964" i="24"/>
  <c r="F1433" i="24"/>
  <c r="E1433" i="24"/>
  <c r="F1402" i="24"/>
  <c r="E547" i="24"/>
  <c r="E2437" i="24"/>
  <c r="F2437" i="24"/>
  <c r="E105" i="24"/>
  <c r="F105" i="24"/>
  <c r="E1039" i="24"/>
  <c r="F1039" i="24"/>
  <c r="E1919" i="24"/>
  <c r="F1919" i="24"/>
  <c r="E2207" i="24"/>
  <c r="F2207" i="24"/>
  <c r="E2809" i="24"/>
  <c r="F2809" i="24"/>
  <c r="E2111" i="24"/>
  <c r="E1987" i="24"/>
  <c r="E1174" i="24"/>
  <c r="E1962" i="24"/>
  <c r="F1962" i="24"/>
  <c r="E1891" i="24"/>
  <c r="F1891" i="24"/>
  <c r="E1146" i="24"/>
  <c r="F1146" i="24"/>
  <c r="E2299" i="24"/>
  <c r="F2299" i="24"/>
  <c r="E2074" i="24"/>
  <c r="F2074" i="24"/>
  <c r="E2738" i="24"/>
  <c r="E1931" i="24"/>
  <c r="F1931" i="24"/>
  <c r="F2738" i="24"/>
  <c r="F2788" i="24"/>
  <c r="E2065" i="24"/>
  <c r="E1993" i="24"/>
  <c r="F1993" i="24"/>
  <c r="F1999" i="24"/>
  <c r="E1036" i="24"/>
  <c r="F1036" i="24"/>
  <c r="E2453" i="24"/>
  <c r="F2453" i="24"/>
  <c r="E2464" i="24"/>
  <c r="F2464" i="24"/>
  <c r="E2392" i="24"/>
  <c r="F2392" i="24"/>
  <c r="F460" i="24"/>
  <c r="F2212" i="24"/>
  <c r="F2038" i="24"/>
  <c r="F1194" i="24"/>
  <c r="F2882" i="24"/>
  <c r="F2102" i="24"/>
  <c r="E1234" i="24"/>
  <c r="E1162" i="24"/>
  <c r="F1749" i="24"/>
  <c r="E1595" i="24"/>
  <c r="E2831" i="24"/>
  <c r="E1306" i="24"/>
  <c r="F1306" i="24"/>
  <c r="E2005" i="24"/>
  <c r="F2005" i="24"/>
  <c r="F1921" i="24"/>
  <c r="F1247" i="24"/>
  <c r="F1809" i="24"/>
  <c r="E1811" i="24"/>
  <c r="E1115" i="24"/>
  <c r="F1115" i="24"/>
  <c r="E1075" i="24"/>
  <c r="F1075" i="24"/>
  <c r="F2333" i="24"/>
  <c r="E2338" i="24"/>
  <c r="E2075" i="24"/>
  <c r="E2803" i="24"/>
  <c r="E1293" i="24"/>
  <c r="F1981" i="24"/>
  <c r="F1246" i="24"/>
  <c r="F1251" i="24"/>
  <c r="E1904" i="24"/>
  <c r="E1173" i="24"/>
  <c r="F1705" i="24"/>
  <c r="E1702" i="24"/>
  <c r="F1702" i="24"/>
  <c r="E1705" i="24"/>
  <c r="F1286" i="24"/>
  <c r="E1820" i="24"/>
  <c r="E1823" i="24"/>
  <c r="F1823" i="24"/>
  <c r="F1820" i="24"/>
  <c r="E2699" i="24"/>
  <c r="E2258" i="24"/>
  <c r="F2258" i="24"/>
  <c r="F2729" i="24"/>
  <c r="E1897" i="24"/>
  <c r="F1897" i="24"/>
  <c r="E1111" i="24"/>
  <c r="F1111" i="24"/>
  <c r="E1729" i="24"/>
  <c r="F1729" i="24"/>
  <c r="E537" i="24"/>
  <c r="F537" i="24"/>
  <c r="E258" i="24"/>
  <c r="E250" i="24"/>
  <c r="F250" i="24"/>
  <c r="F1202" i="24"/>
  <c r="F1544" i="24"/>
  <c r="F2816" i="24"/>
  <c r="E1158" i="24"/>
  <c r="F1158" i="24"/>
  <c r="F2904" i="24"/>
  <c r="E1466" i="24"/>
  <c r="F1466" i="24"/>
  <c r="E1468" i="24"/>
  <c r="F1292" i="24"/>
  <c r="E1292" i="24"/>
  <c r="F2757" i="24"/>
  <c r="E2757" i="24"/>
  <c r="F1961" i="24"/>
  <c r="F1824" i="24"/>
  <c r="E1737" i="24"/>
  <c r="F1740" i="24"/>
  <c r="E1740" i="24"/>
  <c r="F2087" i="24"/>
  <c r="E1450" i="24"/>
  <c r="F1450" i="24"/>
  <c r="F1448" i="24"/>
  <c r="E1882" i="24"/>
  <c r="F1882" i="24"/>
  <c r="E1171" i="24"/>
  <c r="F1171" i="24"/>
  <c r="F2710" i="24"/>
  <c r="E2710" i="24"/>
  <c r="E571" i="24"/>
  <c r="F571" i="24"/>
  <c r="E2328" i="24"/>
  <c r="E1937" i="24"/>
  <c r="E1223" i="24"/>
  <c r="F1223" i="24"/>
  <c r="E2672" i="24"/>
  <c r="F2672" i="24"/>
  <c r="F1060" i="24"/>
  <c r="E1042" i="24"/>
  <c r="F1042" i="24"/>
  <c r="E2884" i="24"/>
  <c r="E2105" i="24"/>
  <c r="E1833" i="24"/>
  <c r="F1833" i="24"/>
  <c r="E1748" i="24"/>
  <c r="F2278" i="24"/>
  <c r="E2887" i="24"/>
  <c r="F2887" i="24"/>
  <c r="E2139" i="24"/>
  <c r="F1421" i="24"/>
  <c r="F1405" i="24"/>
  <c r="E1408" i="24"/>
  <c r="F1408" i="24"/>
  <c r="E1256" i="24"/>
  <c r="E2755" i="24"/>
  <c r="E1781" i="24"/>
  <c r="F1781" i="24"/>
  <c r="E2701" i="24"/>
  <c r="F2701" i="24"/>
  <c r="E2680" i="24"/>
  <c r="F2680" i="24"/>
  <c r="F1691" i="24"/>
  <c r="E1694" i="24"/>
  <c r="E1691" i="24"/>
  <c r="F1694" i="24"/>
  <c r="E2298" i="24"/>
  <c r="F2298" i="24"/>
  <c r="E2199" i="24"/>
  <c r="F2199" i="24"/>
  <c r="F2834" i="24"/>
  <c r="F1453" i="24"/>
  <c r="E1386" i="24"/>
  <c r="F1386" i="24"/>
  <c r="F1739" i="24"/>
  <c r="F2677" i="24"/>
  <c r="E2828" i="24"/>
  <c r="F2828" i="24"/>
  <c r="E2646" i="24"/>
  <c r="F2646" i="24"/>
  <c r="E613" i="24"/>
  <c r="F612" i="24"/>
  <c r="E2066" i="24"/>
  <c r="E2730" i="24"/>
  <c r="E1732" i="24"/>
  <c r="E2232" i="24"/>
  <c r="F2197" i="24"/>
  <c r="E1411" i="24"/>
  <c r="F1813" i="24"/>
  <c r="E1177" i="24"/>
  <c r="E1785" i="24"/>
  <c r="F2693" i="24"/>
  <c r="E1753" i="24"/>
  <c r="F2332" i="24"/>
  <c r="E2296" i="24"/>
  <c r="F1575" i="24"/>
  <c r="E2897" i="24"/>
  <c r="F1538" i="24"/>
  <c r="F1497" i="24"/>
  <c r="E2166" i="24"/>
  <c r="E2789" i="24"/>
  <c r="F2789" i="24"/>
  <c r="E1335" i="24"/>
  <c r="E2061" i="24"/>
  <c r="F1906" i="24"/>
  <c r="E2310" i="24"/>
  <c r="F2856" i="24"/>
  <c r="F2235" i="24"/>
  <c r="E2148" i="24"/>
  <c r="F2148" i="24"/>
  <c r="F1425" i="24"/>
  <c r="F1310" i="24"/>
  <c r="F2026" i="24"/>
  <c r="F1990" i="24"/>
  <c r="E1222" i="24"/>
  <c r="F1222" i="24"/>
  <c r="E1776" i="24"/>
  <c r="F1776" i="24"/>
  <c r="F1155" i="24"/>
  <c r="F1723" i="24"/>
  <c r="E869" i="24"/>
  <c r="F869" i="24"/>
  <c r="E2584" i="24"/>
  <c r="F2584" i="24"/>
  <c r="F692" i="24"/>
  <c r="E684" i="24"/>
  <c r="E1786" i="24"/>
  <c r="E2860" i="24"/>
  <c r="E1360" i="24"/>
  <c r="E1247" i="24"/>
  <c r="E1123" i="24"/>
  <c r="E1961" i="24"/>
  <c r="E1251" i="24"/>
  <c r="E1898" i="24"/>
  <c r="F1785" i="24"/>
  <c r="F1743" i="24"/>
  <c r="E1575" i="24"/>
  <c r="F1564" i="24"/>
  <c r="E1523" i="24"/>
  <c r="E2802" i="24"/>
  <c r="F2802" i="24"/>
  <c r="F1331" i="24"/>
  <c r="F1949" i="24"/>
  <c r="F1140" i="24"/>
  <c r="F1525" i="24"/>
  <c r="E1219" i="24"/>
  <c r="F1219" i="24"/>
  <c r="F1203" i="24"/>
  <c r="E1205" i="24"/>
  <c r="F921" i="24"/>
  <c r="E662" i="24"/>
  <c r="F662" i="24"/>
  <c r="E292" i="24"/>
  <c r="F292" i="24"/>
  <c r="E227" i="24"/>
  <c r="F227" i="24"/>
  <c r="E75" i="24"/>
  <c r="F75" i="24"/>
  <c r="F721" i="24"/>
  <c r="E2540" i="24"/>
  <c r="F2540" i="24"/>
  <c r="E145" i="24"/>
  <c r="E131" i="24"/>
  <c r="F131" i="24"/>
  <c r="E24" i="24"/>
  <c r="F24" i="24"/>
  <c r="F25" i="24"/>
  <c r="E1671" i="24"/>
  <c r="F1671" i="24"/>
  <c r="F1024" i="24"/>
  <c r="E1801" i="24"/>
  <c r="E1521" i="24"/>
  <c r="E2095" i="24"/>
  <c r="E2750" i="24"/>
  <c r="E1139" i="24"/>
  <c r="E1566" i="24"/>
  <c r="F1566" i="24"/>
  <c r="F1514" i="24"/>
  <c r="E2169" i="24"/>
  <c r="E1979" i="24"/>
  <c r="F1810" i="24"/>
  <c r="F1800" i="24"/>
  <c r="F1164" i="24"/>
  <c r="F1101" i="24"/>
  <c r="E2324" i="24"/>
  <c r="F2295" i="24"/>
  <c r="E2866" i="24"/>
  <c r="F2157" i="24"/>
  <c r="E2110" i="24"/>
  <c r="E2068" i="24"/>
  <c r="E1261" i="24"/>
  <c r="F1261" i="24"/>
  <c r="F1948" i="24"/>
  <c r="F1156" i="24"/>
  <c r="E1153" i="24"/>
  <c r="F1153" i="24"/>
  <c r="E2868" i="24"/>
  <c r="F2847" i="24"/>
  <c r="F2213" i="24"/>
  <c r="E2744" i="24"/>
  <c r="F2744" i="24"/>
  <c r="F1947" i="24"/>
  <c r="F1120" i="24"/>
  <c r="E1126" i="24"/>
  <c r="F1126" i="24"/>
  <c r="E921" i="24"/>
  <c r="E287" i="24"/>
  <c r="F2488" i="24"/>
  <c r="E2488" i="24"/>
  <c r="E60" i="24"/>
  <c r="F60" i="24"/>
  <c r="E58" i="24"/>
  <c r="E895" i="24"/>
  <c r="F895" i="24"/>
  <c r="F802" i="24"/>
  <c r="F812" i="24"/>
  <c r="E802" i="24"/>
  <c r="E1800" i="24"/>
  <c r="E1093" i="24"/>
  <c r="F1093" i="24"/>
  <c r="E1538" i="24"/>
  <c r="E2881" i="24"/>
  <c r="E2214" i="24"/>
  <c r="F2214" i="24"/>
  <c r="E2106" i="24"/>
  <c r="E1903" i="24"/>
  <c r="F1903" i="24"/>
  <c r="E2104" i="24"/>
  <c r="F2104" i="24"/>
  <c r="E863" i="24"/>
  <c r="F863" i="24"/>
  <c r="F865" i="24"/>
  <c r="E463" i="24"/>
  <c r="F463" i="24"/>
  <c r="E377" i="24"/>
  <c r="F377" i="24"/>
  <c r="E901" i="24"/>
  <c r="F901" i="24"/>
  <c r="E734" i="24"/>
  <c r="E708" i="24"/>
  <c r="F708" i="24"/>
  <c r="E716" i="24"/>
  <c r="F716" i="24"/>
  <c r="E124" i="24"/>
  <c r="F124" i="24"/>
  <c r="E114" i="24"/>
  <c r="F114" i="24"/>
  <c r="E1138" i="24"/>
  <c r="E2261" i="24"/>
  <c r="F2261" i="24"/>
  <c r="F1291" i="24"/>
  <c r="E1291" i="24"/>
  <c r="F1302" i="24"/>
  <c r="F2060" i="24"/>
  <c r="F2783" i="24"/>
  <c r="E1927" i="24"/>
  <c r="F1927" i="24"/>
  <c r="E1929" i="24"/>
  <c r="E1137" i="24"/>
  <c r="E1764" i="24"/>
  <c r="F1764" i="24"/>
  <c r="E957" i="24"/>
  <c r="F957" i="24"/>
  <c r="E861" i="24"/>
  <c r="F861" i="24"/>
  <c r="F330" i="24"/>
  <c r="E330" i="24"/>
  <c r="E704" i="24"/>
  <c r="F704" i="24"/>
  <c r="F717" i="24"/>
  <c r="E620" i="24"/>
  <c r="E622" i="24"/>
  <c r="F622" i="24"/>
  <c r="E500" i="24"/>
  <c r="F500" i="24"/>
  <c r="F2406" i="24"/>
  <c r="E2342" i="24"/>
  <c r="E383" i="24"/>
  <c r="F383" i="24"/>
  <c r="E142" i="24"/>
  <c r="F142" i="24"/>
  <c r="F144" i="24"/>
  <c r="E1693" i="24"/>
  <c r="E1700" i="24"/>
  <c r="F1700" i="24"/>
  <c r="E934" i="24"/>
  <c r="F934" i="24"/>
  <c r="F944" i="24"/>
  <c r="E788" i="24"/>
  <c r="E799" i="24"/>
  <c r="F799" i="24"/>
  <c r="E735" i="24"/>
  <c r="F2436" i="24"/>
  <c r="E2431" i="24"/>
  <c r="F2431" i="24"/>
  <c r="E283" i="24"/>
  <c r="F283" i="24"/>
  <c r="E288" i="24"/>
  <c r="F288" i="24"/>
  <c r="E183" i="24"/>
  <c r="F991" i="24"/>
  <c r="E991" i="24"/>
  <c r="E2627" i="24"/>
  <c r="F659" i="24"/>
  <c r="E659" i="24"/>
  <c r="E2503" i="24"/>
  <c r="E2435" i="24"/>
  <c r="F2435" i="24"/>
  <c r="F550" i="24"/>
  <c r="E313" i="24"/>
  <c r="E294" i="24"/>
  <c r="F294" i="24"/>
  <c r="F313" i="24"/>
  <c r="F359" i="24"/>
  <c r="E359" i="24"/>
  <c r="F137" i="24"/>
  <c r="E137" i="24"/>
  <c r="F840" i="24"/>
  <c r="F844" i="24"/>
  <c r="E840" i="24"/>
  <c r="F2438" i="24"/>
  <c r="E2438" i="24"/>
  <c r="E2078" i="24"/>
  <c r="F2078" i="24"/>
  <c r="E2086" i="24"/>
  <c r="E1935" i="24"/>
  <c r="E2741" i="24"/>
  <c r="F2741" i="24"/>
  <c r="E1718" i="24"/>
  <c r="F1718" i="24"/>
  <c r="F2671" i="24"/>
  <c r="E1653" i="24"/>
  <c r="F1653" i="24"/>
  <c r="F2476" i="24"/>
  <c r="E600" i="24"/>
  <c r="F600" i="24"/>
  <c r="E529" i="24"/>
  <c r="F529" i="24"/>
  <c r="E1041" i="24"/>
  <c r="F1041" i="24"/>
  <c r="E971" i="24"/>
  <c r="F971" i="24"/>
  <c r="E858" i="24"/>
  <c r="F858" i="24"/>
  <c r="E859" i="24"/>
  <c r="E578" i="24"/>
  <c r="E582" i="24"/>
  <c r="E485" i="24"/>
  <c r="F485" i="24"/>
  <c r="E335" i="24"/>
  <c r="F335" i="24"/>
  <c r="E697" i="24"/>
  <c r="F697" i="24"/>
  <c r="E2238" i="24"/>
  <c r="F2238" i="24"/>
  <c r="E2863" i="24"/>
  <c r="F2009" i="24"/>
  <c r="E2019" i="24"/>
  <c r="E2747" i="24"/>
  <c r="F2747" i="24"/>
  <c r="F1957" i="24"/>
  <c r="E1841" i="24"/>
  <c r="F1841" i="24"/>
  <c r="E1772" i="24"/>
  <c r="F1772" i="24"/>
  <c r="E732" i="24"/>
  <c r="F732" i="24"/>
  <c r="E2477" i="24"/>
  <c r="F2477" i="24"/>
  <c r="F610" i="24"/>
  <c r="E514" i="24"/>
  <c r="E2418" i="24"/>
  <c r="F2418" i="24"/>
  <c r="E360" i="24"/>
  <c r="F360" i="24"/>
  <c r="F366" i="24"/>
  <c r="E162" i="24"/>
  <c r="E163" i="24"/>
  <c r="F163" i="24"/>
  <c r="E1033" i="24"/>
  <c r="F1033" i="24"/>
  <c r="F1035" i="24"/>
  <c r="E2622" i="24"/>
  <c r="E966" i="24"/>
  <c r="F966" i="24"/>
  <c r="E740" i="24"/>
  <c r="F740" i="24"/>
  <c r="E593" i="24"/>
  <c r="F593" i="24"/>
  <c r="E597" i="24"/>
  <c r="F597" i="24"/>
  <c r="E219" i="24"/>
  <c r="F219" i="24"/>
  <c r="E218" i="24"/>
  <c r="F218" i="24"/>
  <c r="E2554" i="24"/>
  <c r="E736" i="24"/>
  <c r="F736" i="24"/>
  <c r="F2554" i="24"/>
  <c r="E368" i="24"/>
  <c r="E380" i="24"/>
  <c r="F380" i="24"/>
  <c r="E2" i="24"/>
  <c r="F2" i="24"/>
  <c r="E2374" i="24"/>
  <c r="F2374" i="24"/>
  <c r="E439" i="24"/>
  <c r="F439" i="24"/>
  <c r="E396" i="24"/>
  <c r="F396" i="24"/>
  <c r="E2353" i="24"/>
  <c r="F2353" i="24"/>
  <c r="E252" i="24"/>
  <c r="F252" i="24"/>
  <c r="F253" i="24"/>
  <c r="E253" i="24"/>
  <c r="E1377" i="24"/>
  <c r="E1380" i="24"/>
  <c r="F1380" i="24"/>
  <c r="E1227" i="24"/>
  <c r="F1227" i="24"/>
  <c r="E728" i="24"/>
  <c r="F728" i="24"/>
  <c r="E2501" i="24"/>
  <c r="F2501" i="24"/>
  <c r="E510" i="24"/>
  <c r="F510" i="24"/>
  <c r="E432" i="24"/>
  <c r="F432" i="24"/>
  <c r="E148" i="24"/>
  <c r="F148" i="24"/>
  <c r="E44" i="24"/>
  <c r="F44" i="24"/>
  <c r="E946" i="24"/>
  <c r="F946" i="24"/>
  <c r="E860" i="24"/>
  <c r="F860" i="24"/>
  <c r="E2405" i="24"/>
  <c r="F451" i="24"/>
  <c r="E444" i="24"/>
  <c r="F444" i="24"/>
  <c r="E376" i="24"/>
  <c r="F376" i="24"/>
  <c r="E311" i="24"/>
  <c r="E2395" i="24"/>
  <c r="F2395" i="24"/>
  <c r="E465" i="24"/>
  <c r="F1046" i="24"/>
  <c r="E1046" i="24"/>
  <c r="F685" i="24"/>
  <c r="E685" i="24"/>
  <c r="E1813" i="24"/>
  <c r="E1552" i="24"/>
  <c r="F1552" i="24"/>
  <c r="F1523" i="24"/>
  <c r="F2149" i="24"/>
  <c r="E1972" i="24"/>
  <c r="F1972" i="24"/>
  <c r="E1250" i="24"/>
  <c r="E2175" i="24"/>
  <c r="F2175" i="24"/>
  <c r="F1986" i="24"/>
  <c r="E1947" i="24"/>
  <c r="E905" i="24"/>
  <c r="F905" i="24"/>
  <c r="F805" i="24"/>
  <c r="E768" i="24"/>
  <c r="F2545" i="24"/>
  <c r="F145" i="24"/>
  <c r="F1683" i="24"/>
  <c r="E1034" i="24"/>
  <c r="E1683" i="24"/>
  <c r="F1034" i="24"/>
  <c r="F74" i="24"/>
  <c r="E78" i="24"/>
  <c r="F78" i="24"/>
  <c r="F594" i="24"/>
  <c r="E594" i="24"/>
  <c r="F77" i="24"/>
  <c r="E77" i="24"/>
  <c r="E86" i="24"/>
  <c r="F2110" i="24"/>
  <c r="E2085" i="24"/>
  <c r="E2724" i="24"/>
  <c r="F1141" i="24"/>
  <c r="E1525" i="24"/>
  <c r="E2871" i="24"/>
  <c r="F2871" i="24"/>
  <c r="F2163" i="24"/>
  <c r="E2830" i="24"/>
  <c r="E2109" i="24"/>
  <c r="F2109" i="24"/>
  <c r="F2815" i="24"/>
  <c r="E2027" i="24"/>
  <c r="F2027" i="24"/>
  <c r="E1029" i="24"/>
  <c r="F1029" i="24"/>
  <c r="E886" i="24"/>
  <c r="F886" i="24"/>
  <c r="F768" i="24"/>
  <c r="E769" i="24"/>
  <c r="E2483" i="24"/>
  <c r="F2483" i="24"/>
  <c r="E2357" i="24"/>
  <c r="F2357" i="24"/>
  <c r="E1065" i="24"/>
  <c r="F1065" i="24"/>
  <c r="E803" i="24"/>
  <c r="F803" i="24"/>
  <c r="F2506" i="24"/>
  <c r="E657" i="24"/>
  <c r="F657" i="24"/>
  <c r="E2378" i="24"/>
  <c r="F2378" i="24"/>
  <c r="E2383" i="24"/>
  <c r="F2383" i="24"/>
  <c r="E34" i="24"/>
  <c r="F34" i="24"/>
  <c r="E33" i="24"/>
  <c r="F33" i="24"/>
  <c r="E1637" i="24"/>
  <c r="E995" i="24"/>
  <c r="F995" i="24"/>
  <c r="F929" i="24"/>
  <c r="F933" i="24"/>
  <c r="E929" i="24"/>
  <c r="F666" i="24"/>
  <c r="F2504" i="24"/>
  <c r="F164" i="24"/>
  <c r="E164" i="24"/>
  <c r="F165" i="24"/>
  <c r="E1020" i="24"/>
  <c r="E1017" i="24"/>
  <c r="F1017" i="24"/>
  <c r="E1530" i="24"/>
  <c r="E2028" i="24"/>
  <c r="E1204" i="24"/>
  <c r="E2135" i="24"/>
  <c r="F2135" i="24"/>
  <c r="E1172" i="24"/>
  <c r="F1172" i="24"/>
  <c r="E2301" i="24"/>
  <c r="E2877" i="24"/>
  <c r="F2877" i="24"/>
  <c r="E1421" i="24"/>
  <c r="E1330" i="24"/>
  <c r="F1330" i="24"/>
  <c r="F2755" i="24"/>
  <c r="E1960" i="24"/>
  <c r="F1241" i="24"/>
  <c r="F1872" i="24"/>
  <c r="E1166" i="24"/>
  <c r="F1166" i="24"/>
  <c r="E1114" i="24"/>
  <c r="F1114" i="24"/>
  <c r="E1027" i="24"/>
  <c r="F1027" i="24"/>
  <c r="F924" i="24"/>
  <c r="E940" i="24"/>
  <c r="E717" i="24"/>
  <c r="F547" i="24"/>
  <c r="E2406" i="24"/>
  <c r="F258" i="24"/>
  <c r="E144" i="24"/>
  <c r="F976" i="24"/>
  <c r="E944" i="24"/>
  <c r="E737" i="24"/>
  <c r="F737" i="24"/>
  <c r="E300" i="24"/>
  <c r="F300" i="24"/>
  <c r="E296" i="24"/>
  <c r="F296" i="24"/>
  <c r="E232" i="24"/>
  <c r="F232" i="24"/>
  <c r="E197" i="24"/>
  <c r="F197" i="24"/>
  <c r="F2627" i="24"/>
  <c r="E2520" i="24"/>
  <c r="F2520" i="24"/>
  <c r="E2529" i="24"/>
  <c r="F2529" i="24"/>
  <c r="F2503" i="24"/>
  <c r="E637" i="24"/>
  <c r="E640" i="24"/>
  <c r="F640" i="24"/>
  <c r="F637" i="24"/>
  <c r="E628" i="24"/>
  <c r="E1735" i="24"/>
  <c r="F1735" i="24"/>
  <c r="E2634" i="24"/>
  <c r="F2634" i="24"/>
  <c r="E911" i="24"/>
  <c r="F911" i="24"/>
  <c r="E2587" i="24"/>
  <c r="F2587" i="24"/>
  <c r="E2484" i="24"/>
  <c r="F2484" i="24"/>
  <c r="E2432" i="24"/>
  <c r="F2432" i="24"/>
  <c r="E399" i="24"/>
  <c r="F399" i="24"/>
  <c r="E242" i="24"/>
  <c r="F242" i="24"/>
  <c r="E4" i="24"/>
  <c r="F4" i="24"/>
  <c r="E970" i="24"/>
  <c r="F970" i="24"/>
  <c r="E809" i="24"/>
  <c r="E721" i="24"/>
  <c r="E2534" i="24"/>
  <c r="E2476" i="24"/>
  <c r="E585" i="24"/>
  <c r="E451" i="24"/>
  <c r="E430" i="24"/>
  <c r="F498" i="24"/>
  <c r="E327" i="24"/>
  <c r="F254" i="24"/>
  <c r="E1681" i="24"/>
  <c r="F1681" i="24"/>
  <c r="F1682" i="24"/>
  <c r="F2467" i="24"/>
  <c r="E2467" i="24"/>
  <c r="E2473" i="24"/>
  <c r="F832" i="24"/>
  <c r="E839" i="24"/>
  <c r="F839" i="24"/>
  <c r="F931" i="24"/>
  <c r="E931" i="24"/>
  <c r="E303" i="24"/>
  <c r="F303" i="24"/>
  <c r="E282" i="24"/>
  <c r="F282" i="24"/>
  <c r="E103" i="24"/>
  <c r="F103" i="24"/>
  <c r="E531" i="24"/>
  <c r="F531" i="24"/>
  <c r="E2429" i="24"/>
  <c r="E326" i="24"/>
  <c r="F326" i="24"/>
  <c r="E1721" i="24"/>
  <c r="F1721" i="24"/>
  <c r="E1080" i="24"/>
  <c r="F1080" i="24"/>
  <c r="E1675" i="24"/>
  <c r="F1675" i="24"/>
  <c r="E936" i="24"/>
  <c r="F936" i="24"/>
  <c r="E535" i="24"/>
  <c r="E2425" i="24"/>
  <c r="F2425" i="24"/>
  <c r="E173" i="24"/>
  <c r="F173" i="24"/>
  <c r="E881" i="24"/>
  <c r="E880" i="24"/>
  <c r="F880" i="24"/>
  <c r="E891" i="24"/>
  <c r="F879" i="24"/>
  <c r="E1750" i="24"/>
  <c r="F1750" i="24"/>
  <c r="E1068" i="24"/>
  <c r="F1068" i="24"/>
  <c r="E949" i="24"/>
  <c r="F949" i="24"/>
  <c r="E792" i="24"/>
  <c r="F792" i="24"/>
  <c r="E2492" i="24"/>
  <c r="F2492" i="24"/>
  <c r="E555" i="24"/>
  <c r="F555" i="24"/>
  <c r="E2368" i="24"/>
  <c r="F2368" i="24"/>
  <c r="E269" i="24"/>
  <c r="F269" i="24"/>
  <c r="E28" i="24"/>
  <c r="F28" i="24"/>
  <c r="E980" i="24"/>
  <c r="F980" i="24"/>
  <c r="F761" i="24"/>
  <c r="F701" i="24"/>
  <c r="F584" i="24"/>
  <c r="F2367" i="24"/>
  <c r="F265" i="24"/>
  <c r="F73" i="24"/>
  <c r="F1651" i="24"/>
  <c r="E797" i="24"/>
  <c r="F797" i="24"/>
  <c r="E2480" i="24"/>
  <c r="F2480" i="24"/>
  <c r="F426" i="24"/>
  <c r="E435" i="24"/>
  <c r="E154" i="24"/>
  <c r="F154" i="24"/>
  <c r="E57" i="24"/>
  <c r="F57" i="24"/>
  <c r="E23" i="24"/>
  <c r="E22" i="24"/>
  <c r="F23" i="24"/>
  <c r="E1674" i="24"/>
  <c r="F1674" i="24"/>
  <c r="F86" i="24"/>
  <c r="E1689" i="24"/>
  <c r="F1689" i="24"/>
  <c r="F866" i="24"/>
  <c r="E866" i="24"/>
  <c r="E2839" i="24"/>
  <c r="E1337" i="24"/>
  <c r="E1238" i="24"/>
  <c r="E1135" i="24"/>
  <c r="F1135" i="24"/>
  <c r="E1084" i="24"/>
  <c r="F1084" i="24"/>
  <c r="E973" i="24"/>
  <c r="F973" i="24"/>
  <c r="E804" i="24"/>
  <c r="F804" i="24"/>
  <c r="E2502" i="24"/>
  <c r="F2502" i="24"/>
  <c r="E635" i="24"/>
  <c r="E2452" i="24"/>
  <c r="F2452" i="24"/>
  <c r="E551" i="24"/>
  <c r="E2385" i="24"/>
  <c r="F2385" i="24"/>
  <c r="E407" i="24"/>
  <c r="E299" i="24"/>
  <c r="F299" i="24"/>
  <c r="E266" i="24"/>
  <c r="E61" i="24"/>
  <c r="F61" i="24"/>
  <c r="E21" i="24"/>
  <c r="E992" i="24"/>
  <c r="F992" i="24"/>
  <c r="E978" i="24"/>
  <c r="E875" i="24"/>
  <c r="E830" i="24"/>
  <c r="E2555" i="24"/>
  <c r="E2548" i="24"/>
  <c r="E643" i="24"/>
  <c r="E621" i="24"/>
  <c r="E2414" i="24"/>
  <c r="E476" i="24"/>
  <c r="E342" i="24"/>
  <c r="E318" i="24"/>
  <c r="E155" i="24"/>
  <c r="F1032" i="24"/>
  <c r="F928" i="24"/>
  <c r="F857" i="24"/>
  <c r="F2547" i="24"/>
  <c r="E450" i="24"/>
  <c r="F267" i="24"/>
  <c r="E276" i="24"/>
  <c r="F276" i="24"/>
  <c r="E176" i="24"/>
  <c r="F484" i="24"/>
  <c r="E483" i="24"/>
  <c r="F483" i="24"/>
  <c r="E2387" i="24"/>
  <c r="F2387" i="24"/>
  <c r="F449" i="24"/>
  <c r="F290" i="24"/>
  <c r="E304" i="24"/>
  <c r="F304" i="24"/>
  <c r="E1695" i="24"/>
  <c r="F1695" i="24"/>
  <c r="F658" i="24"/>
  <c r="E658" i="24"/>
  <c r="F2500" i="24"/>
  <c r="F540" i="24"/>
  <c r="E540" i="24"/>
  <c r="E2332" i="24"/>
  <c r="E1453" i="24"/>
  <c r="E1302" i="24"/>
  <c r="E2686" i="24"/>
  <c r="E2213" i="24"/>
  <c r="E2783" i="24"/>
  <c r="E1872" i="24"/>
  <c r="F755" i="24"/>
  <c r="F735" i="24"/>
  <c r="F2521" i="24"/>
  <c r="F638" i="24"/>
  <c r="F2447" i="24"/>
  <c r="F2413" i="24"/>
  <c r="F416" i="24"/>
  <c r="F337" i="24"/>
  <c r="E328" i="24"/>
  <c r="F328" i="24"/>
  <c r="F246" i="24"/>
  <c r="F183" i="24"/>
  <c r="E156" i="24"/>
  <c r="F156" i="24"/>
  <c r="F66" i="24"/>
  <c r="F6" i="24"/>
  <c r="E1032" i="24"/>
  <c r="F996" i="24"/>
  <c r="E928" i="24"/>
  <c r="E759" i="24"/>
  <c r="F759" i="24"/>
  <c r="E2565" i="24"/>
  <c r="F2565" i="24"/>
  <c r="E2495" i="24"/>
  <c r="E2474" i="24"/>
  <c r="F2474" i="24"/>
  <c r="F450" i="24"/>
  <c r="E2389" i="24"/>
  <c r="F176" i="24"/>
  <c r="E179" i="24"/>
  <c r="E1715" i="24"/>
  <c r="F2665" i="24"/>
  <c r="F979" i="24"/>
  <c r="E829" i="24"/>
  <c r="F473" i="24"/>
  <c r="F280" i="24"/>
  <c r="E280" i="24"/>
  <c r="E1012" i="24"/>
  <c r="E2196" i="24"/>
  <c r="E1315" i="24"/>
  <c r="E1156" i="24"/>
  <c r="E1506" i="24"/>
  <c r="E2788" i="24"/>
  <c r="E2729" i="24"/>
  <c r="E2690" i="24"/>
  <c r="F2690" i="24"/>
  <c r="E2661" i="24"/>
  <c r="F2661" i="24"/>
  <c r="E1642" i="24"/>
  <c r="F1642" i="24"/>
  <c r="E819" i="24"/>
  <c r="F819" i="24"/>
  <c r="E687" i="24"/>
  <c r="F687" i="24"/>
  <c r="E590" i="24"/>
  <c r="F590" i="24"/>
  <c r="E466" i="24"/>
  <c r="F466" i="24"/>
  <c r="E324" i="24"/>
  <c r="F324" i="24"/>
  <c r="E107" i="24"/>
  <c r="F107" i="24"/>
  <c r="E1640" i="24"/>
  <c r="F1640" i="24"/>
  <c r="E915" i="24"/>
  <c r="E2563" i="24"/>
  <c r="E2506" i="24"/>
  <c r="E638" i="24"/>
  <c r="E2436" i="24"/>
  <c r="E2413" i="24"/>
  <c r="E388" i="24"/>
  <c r="E337" i="24"/>
  <c r="F1677" i="24"/>
  <c r="E975" i="24"/>
  <c r="F975" i="24"/>
  <c r="E983" i="24"/>
  <c r="F2562" i="24"/>
  <c r="F2495" i="24"/>
  <c r="F652" i="24"/>
  <c r="E550" i="24"/>
  <c r="F553" i="24"/>
  <c r="E123" i="24"/>
  <c r="F123" i="24"/>
  <c r="E1692" i="24"/>
  <c r="E1047" i="24"/>
  <c r="F1047" i="24"/>
  <c r="E979" i="24"/>
  <c r="E818" i="24"/>
  <c r="E443" i="24"/>
  <c r="F443" i="24"/>
  <c r="E447" i="24"/>
  <c r="F447" i="24"/>
  <c r="E400" i="24"/>
  <c r="F400" i="24"/>
  <c r="E153" i="24"/>
  <c r="F2444" i="24"/>
  <c r="E2444" i="24"/>
  <c r="E2445" i="24"/>
  <c r="F2445" i="24"/>
  <c r="E188" i="24"/>
  <c r="F188" i="24"/>
  <c r="E10" i="24"/>
  <c r="F10" i="24"/>
  <c r="F854" i="24"/>
  <c r="E857" i="24"/>
  <c r="E724" i="24"/>
  <c r="F724" i="24"/>
  <c r="E475" i="24"/>
  <c r="F475" i="24"/>
  <c r="E418" i="24"/>
  <c r="E381" i="24"/>
  <c r="F381" i="24"/>
  <c r="E199" i="24"/>
  <c r="F199" i="24"/>
  <c r="E743" i="24"/>
  <c r="F743" i="24"/>
  <c r="F731" i="24"/>
  <c r="F2552" i="24"/>
  <c r="F595" i="24"/>
  <c r="E349" i="24"/>
  <c r="E351" i="24"/>
  <c r="E274" i="24"/>
  <c r="F274" i="24"/>
  <c r="E272" i="24"/>
  <c r="F272" i="24"/>
  <c r="E2582" i="24"/>
  <c r="F2582" i="24"/>
  <c r="E745" i="24"/>
  <c r="F745" i="24"/>
  <c r="E373" i="24"/>
  <c r="F373" i="24"/>
  <c r="F2341" i="24"/>
  <c r="E702" i="24"/>
  <c r="F702" i="24"/>
  <c r="E601" i="24"/>
  <c r="F601" i="24"/>
  <c r="E499" i="24"/>
  <c r="F499" i="24"/>
  <c r="E344" i="24"/>
  <c r="F344" i="24"/>
  <c r="E141" i="24"/>
  <c r="F141" i="24"/>
  <c r="E1018" i="24"/>
  <c r="F1018" i="24"/>
  <c r="E2612" i="24"/>
  <c r="F2612" i="24"/>
  <c r="E754" i="24"/>
  <c r="E692" i="24"/>
  <c r="E2446" i="24"/>
  <c r="E413" i="24"/>
  <c r="F582" i="24"/>
  <c r="E587" i="24"/>
  <c r="F587" i="24"/>
  <c r="F3" i="24"/>
  <c r="E3" i="24"/>
  <c r="E9" i="24"/>
  <c r="F1010" i="24"/>
  <c r="E1010" i="24"/>
  <c r="E1011" i="24"/>
  <c r="F1011" i="24"/>
  <c r="E677" i="24"/>
  <c r="E674" i="24"/>
  <c r="F674" i="24"/>
  <c r="F677" i="24"/>
  <c r="E630" i="24"/>
  <c r="F630" i="24"/>
  <c r="E471" i="24"/>
  <c r="F471" i="24"/>
  <c r="F1089" i="24"/>
  <c r="E1095" i="24"/>
  <c r="F1095" i="24"/>
  <c r="F834" i="24"/>
  <c r="E812" i="24"/>
  <c r="F624" i="24"/>
  <c r="E596" i="24"/>
  <c r="F2430" i="24"/>
  <c r="F478" i="24"/>
  <c r="E353" i="24"/>
  <c r="F291" i="24"/>
  <c r="F262" i="24"/>
  <c r="F241" i="24"/>
  <c r="E127" i="24"/>
  <c r="F127" i="24"/>
  <c r="E99" i="24"/>
  <c r="F68" i="24"/>
  <c r="F17" i="24"/>
  <c r="E1040" i="24"/>
  <c r="F1014" i="24"/>
  <c r="F962" i="24"/>
  <c r="E746" i="24"/>
  <c r="F746" i="24"/>
  <c r="F722" i="24"/>
  <c r="F690" i="24"/>
  <c r="E631" i="24"/>
  <c r="E554" i="24"/>
  <c r="F554" i="24"/>
  <c r="F534" i="24"/>
  <c r="F2412" i="24"/>
  <c r="F402" i="24"/>
  <c r="E421" i="24"/>
  <c r="E362" i="24"/>
  <c r="E251" i="24"/>
  <c r="F186" i="24"/>
  <c r="F193" i="24"/>
  <c r="F1712" i="24"/>
  <c r="F2653" i="24"/>
  <c r="E1043" i="24"/>
  <c r="E990" i="24"/>
  <c r="E2614" i="24"/>
  <c r="F2614" i="24"/>
  <c r="F2559" i="24"/>
  <c r="E2457" i="24"/>
  <c r="E2352" i="24"/>
  <c r="F462" i="24"/>
  <c r="E462" i="24"/>
  <c r="F467" i="24"/>
  <c r="E467" i="24"/>
  <c r="E191" i="24"/>
  <c r="F191" i="24"/>
  <c r="F203" i="24"/>
  <c r="E2375" i="24"/>
  <c r="F1636" i="24"/>
  <c r="F665" i="24"/>
  <c r="F552" i="24"/>
  <c r="E237" i="24"/>
  <c r="E1712" i="24"/>
  <c r="E920" i="24"/>
  <c r="F2511" i="24"/>
  <c r="E2511" i="24"/>
  <c r="F654" i="24"/>
  <c r="E654" i="24"/>
  <c r="E2498" i="24"/>
  <c r="F2498" i="24"/>
  <c r="F2652" i="24"/>
  <c r="E2347" i="24"/>
  <c r="F391" i="24"/>
  <c r="E367" i="24"/>
  <c r="F367" i="24"/>
  <c r="F371" i="24"/>
  <c r="E440" i="24"/>
  <c r="F440" i="24"/>
  <c r="E1708" i="24"/>
  <c r="F1708" i="24"/>
  <c r="E850" i="24"/>
  <c r="F850" i="24"/>
  <c r="E786" i="24"/>
  <c r="E2600" i="24"/>
  <c r="F2560" i="24"/>
  <c r="F70" i="24"/>
  <c r="F72" i="24"/>
  <c r="F1652" i="24"/>
  <c r="E1655" i="24"/>
  <c r="E887" i="24"/>
  <c r="F887" i="24"/>
  <c r="F2648" i="24"/>
  <c r="E2652" i="24"/>
  <c r="E2648" i="24"/>
  <c r="E2399" i="24"/>
  <c r="F2399" i="24"/>
  <c r="E2369" i="24"/>
  <c r="F2369" i="24"/>
  <c r="E36" i="24"/>
  <c r="F36" i="24"/>
  <c r="F41" i="24"/>
  <c r="F419" i="24"/>
  <c r="F415" i="24"/>
  <c r="E415" i="24"/>
  <c r="F915" i="24"/>
  <c r="F875" i="24"/>
  <c r="F835" i="24"/>
  <c r="F809" i="24"/>
  <c r="F783" i="24"/>
  <c r="F754" i="24"/>
  <c r="F2563" i="24"/>
  <c r="F2555" i="24"/>
  <c r="F729" i="24"/>
  <c r="E910" i="24"/>
  <c r="E200" i="24"/>
  <c r="F200" i="24"/>
  <c r="F106" i="24"/>
  <c r="E64" i="24"/>
  <c r="E1720" i="24"/>
  <c r="F1720" i="24"/>
  <c r="E2656" i="24"/>
  <c r="E2657" i="24"/>
  <c r="E2642" i="24"/>
  <c r="E889" i="24"/>
  <c r="E846" i="24"/>
  <c r="E782" i="24"/>
  <c r="E714" i="24"/>
  <c r="E656" i="24"/>
  <c r="E2485" i="24"/>
  <c r="F2485" i="24"/>
  <c r="E603" i="24"/>
  <c r="F583" i="24"/>
  <c r="E2434" i="24"/>
  <c r="F429" i="24"/>
  <c r="E305" i="24"/>
  <c r="F305" i="24"/>
  <c r="E270" i="24"/>
  <c r="E94" i="24"/>
  <c r="F94" i="24"/>
  <c r="E97" i="24"/>
  <c r="E63" i="24"/>
  <c r="E1037" i="24"/>
  <c r="F1037" i="24"/>
  <c r="F1690" i="24"/>
  <c r="E1666" i="24"/>
  <c r="F2599" i="24"/>
  <c r="E828" i="24"/>
  <c r="F765" i="24"/>
  <c r="F766" i="24"/>
  <c r="E900" i="24"/>
  <c r="F900" i="24"/>
  <c r="E579" i="24"/>
  <c r="F579" i="24"/>
  <c r="E1006" i="24"/>
  <c r="F1006" i="24"/>
  <c r="E933" i="24"/>
  <c r="E652" i="24"/>
  <c r="E505" i="24"/>
  <c r="F505" i="24"/>
  <c r="F2389" i="24"/>
  <c r="E106" i="24"/>
  <c r="F942" i="24"/>
  <c r="F889" i="24"/>
  <c r="F829" i="24"/>
  <c r="F2558" i="24"/>
  <c r="F628" i="24"/>
  <c r="E583" i="24"/>
  <c r="E429" i="24"/>
  <c r="F270" i="24"/>
  <c r="F93" i="24"/>
  <c r="F2660" i="24"/>
  <c r="F1685" i="24"/>
  <c r="F1026" i="24"/>
  <c r="E1026" i="24"/>
  <c r="F1676" i="24"/>
  <c r="E842" i="24"/>
  <c r="F842" i="24"/>
  <c r="E791" i="24"/>
  <c r="F791" i="24"/>
  <c r="E669" i="24"/>
  <c r="F516" i="24"/>
  <c r="F175" i="24"/>
  <c r="F194" i="24"/>
  <c r="F955" i="24"/>
  <c r="E955" i="24"/>
  <c r="E2616" i="24"/>
  <c r="E938" i="24"/>
  <c r="F938" i="24"/>
  <c r="E676" i="24"/>
  <c r="E827" i="24"/>
  <c r="F827" i="24"/>
  <c r="E959" i="24"/>
  <c r="E666" i="24"/>
  <c r="E553" i="24"/>
  <c r="E340" i="24"/>
  <c r="E255" i="24"/>
  <c r="F255" i="24"/>
  <c r="E226" i="24"/>
  <c r="E231" i="24"/>
  <c r="E2665" i="24"/>
  <c r="E987" i="24"/>
  <c r="F987" i="24"/>
  <c r="E942" i="24"/>
  <c r="F2533" i="24"/>
  <c r="F2458" i="24"/>
  <c r="F2426" i="24"/>
  <c r="F465" i="24"/>
  <c r="F2398" i="24"/>
  <c r="F351" i="24"/>
  <c r="E263" i="24"/>
  <c r="E166" i="24"/>
  <c r="F166" i="24"/>
  <c r="F172" i="24"/>
  <c r="F122" i="24"/>
  <c r="E56" i="24"/>
  <c r="E1685" i="24"/>
  <c r="E787" i="24"/>
  <c r="F669" i="24"/>
  <c r="E670" i="24"/>
  <c r="F670" i="24"/>
  <c r="E516" i="24"/>
  <c r="F2394" i="24"/>
  <c r="E1649" i="24"/>
  <c r="F2621" i="24"/>
  <c r="F2510" i="24"/>
  <c r="E1665" i="24"/>
  <c r="E918" i="24"/>
  <c r="E317" i="24"/>
  <c r="F317" i="24"/>
  <c r="F331" i="24"/>
  <c r="E331" i="24"/>
  <c r="E888" i="24"/>
  <c r="F2499" i="24"/>
  <c r="E595" i="24"/>
  <c r="F159" i="24"/>
  <c r="E159" i="24"/>
  <c r="E1699" i="24"/>
  <c r="F1699" i="24"/>
  <c r="F543" i="24"/>
  <c r="E2433" i="24"/>
  <c r="E2381" i="24"/>
  <c r="F2381" i="24"/>
  <c r="E160" i="24"/>
  <c r="F160" i="24"/>
  <c r="E161" i="24"/>
  <c r="E1698" i="24"/>
  <c r="E2604" i="24"/>
  <c r="F2604" i="24"/>
  <c r="F918" i="24"/>
  <c r="E2423" i="24"/>
  <c r="F2423" i="24"/>
  <c r="F502" i="24"/>
  <c r="E503" i="24"/>
  <c r="E502" i="24"/>
  <c r="F503" i="24"/>
  <c r="E52" i="24"/>
  <c r="F52" i="24"/>
  <c r="E706" i="24"/>
  <c r="F706" i="24"/>
  <c r="E530" i="24"/>
  <c r="F530" i="24"/>
  <c r="E2420" i="24"/>
  <c r="F370" i="24"/>
  <c r="E387" i="24"/>
  <c r="F387" i="24"/>
  <c r="E1097" i="24"/>
  <c r="F1097" i="24"/>
  <c r="E2605" i="24"/>
  <c r="F2605" i="24"/>
  <c r="F533" i="24"/>
  <c r="E533" i="24"/>
  <c r="E512" i="24"/>
  <c r="F16" i="24"/>
  <c r="E16" i="24"/>
  <c r="E2588" i="24"/>
  <c r="F2588" i="24"/>
  <c r="E2449" i="24"/>
  <c r="E2448" i="24"/>
  <c r="F2448" i="24"/>
  <c r="F2668" i="24"/>
  <c r="E2668" i="24"/>
  <c r="E2669" i="24"/>
  <c r="F2669" i="24"/>
  <c r="F2472" i="24"/>
  <c r="E2472" i="24"/>
  <c r="F609" i="24"/>
  <c r="E609" i="24"/>
  <c r="F301" i="24"/>
  <c r="E306" i="24"/>
  <c r="E259" i="24"/>
  <c r="E1639" i="24"/>
  <c r="F1639" i="24"/>
  <c r="F1000" i="24"/>
  <c r="E838" i="24"/>
  <c r="F838" i="24"/>
  <c r="F2580" i="24"/>
  <c r="E2580" i="24"/>
  <c r="F2449" i="24"/>
  <c r="F536" i="24"/>
  <c r="E536" i="24"/>
  <c r="E2402" i="24"/>
  <c r="F385" i="24"/>
  <c r="E385" i="24"/>
  <c r="E390" i="24"/>
  <c r="E95" i="24"/>
  <c r="F1684" i="24"/>
  <c r="F1687" i="24"/>
  <c r="E1687" i="24"/>
  <c r="F902" i="24"/>
  <c r="E703" i="24"/>
  <c r="F703" i="24"/>
  <c r="F711" i="24"/>
  <c r="F599" i="24"/>
  <c r="E234" i="24"/>
  <c r="F185" i="24"/>
  <c r="F189" i="24"/>
  <c r="E185" i="24"/>
  <c r="F2459" i="24"/>
  <c r="F2455" i="24"/>
  <c r="E2455" i="24"/>
  <c r="E441" i="24"/>
  <c r="F441" i="24"/>
  <c r="F903" i="24"/>
  <c r="F2574" i="24"/>
  <c r="E2574" i="24"/>
  <c r="E504" i="24"/>
  <c r="F504" i="24"/>
  <c r="E598" i="24"/>
  <c r="F598" i="24"/>
  <c r="E599" i="24"/>
  <c r="E508" i="24"/>
  <c r="F508" i="24"/>
  <c r="F509" i="24"/>
  <c r="E2454" i="24"/>
  <c r="F2454" i="24"/>
  <c r="F2535" i="24"/>
  <c r="F712" i="24"/>
  <c r="E712" i="24"/>
  <c r="F2377" i="24"/>
  <c r="F2382" i="24"/>
  <c r="E2377" i="24"/>
  <c r="E2382" i="24"/>
  <c r="E41" i="24"/>
  <c r="E1082" i="24"/>
  <c r="F1082" i="24"/>
  <c r="E1083" i="24"/>
  <c r="F1083" i="24"/>
  <c r="E937" i="24"/>
  <c r="E449" i="24"/>
  <c r="F322" i="24"/>
  <c r="F2638" i="24"/>
  <c r="F2606" i="24"/>
  <c r="F853" i="24"/>
  <c r="F641" i="24"/>
  <c r="E2663" i="24"/>
  <c r="F2609" i="24"/>
  <c r="F898" i="24"/>
  <c r="E898" i="24"/>
  <c r="E614" i="24"/>
  <c r="F119" i="24"/>
  <c r="E119" i="24"/>
  <c r="E67" i="24"/>
  <c r="F67" i="24"/>
  <c r="E2541" i="24"/>
  <c r="F2541" i="24"/>
  <c r="E695" i="24"/>
  <c r="F695" i="24"/>
  <c r="E2523" i="24"/>
  <c r="E2491" i="24"/>
  <c r="E636" i="24"/>
  <c r="F636" i="24"/>
  <c r="F2491" i="24"/>
  <c r="E756" i="24"/>
  <c r="F756" i="24"/>
  <c r="E165" i="24"/>
  <c r="E1044" i="24"/>
  <c r="E2552" i="24"/>
  <c r="E2398" i="24"/>
  <c r="E72" i="24"/>
  <c r="E2626" i="24"/>
  <c r="F2626" i="24"/>
  <c r="E2536" i="24"/>
  <c r="E688" i="24"/>
  <c r="F688" i="24"/>
  <c r="F632" i="24"/>
  <c r="E401" i="24"/>
  <c r="E2341" i="24"/>
  <c r="F230" i="24"/>
  <c r="E230" i="24"/>
  <c r="E244" i="24"/>
  <c r="F244" i="24"/>
  <c r="F55" i="24"/>
  <c r="F1669" i="24"/>
  <c r="E2609" i="24"/>
  <c r="F808" i="24"/>
  <c r="E821" i="24"/>
  <c r="F614" i="24"/>
  <c r="E457" i="24"/>
  <c r="F457" i="24"/>
  <c r="E459" i="24"/>
  <c r="F459" i="24"/>
  <c r="E236" i="24"/>
  <c r="E278" i="24"/>
  <c r="F278" i="24"/>
  <c r="F117" i="24"/>
  <c r="E2658" i="24"/>
  <c r="F2658" i="24"/>
  <c r="E1003" i="24"/>
  <c r="E2466" i="24"/>
  <c r="F2466" i="24"/>
  <c r="F398" i="24"/>
  <c r="E2359" i="24"/>
  <c r="E398" i="24"/>
  <c r="F2359" i="24"/>
  <c r="E568" i="24"/>
  <c r="F568" i="24"/>
  <c r="E477" i="24"/>
  <c r="E182" i="24"/>
  <c r="E1049" i="24"/>
  <c r="E2576" i="24"/>
  <c r="E484" i="24"/>
  <c r="F352" i="24"/>
  <c r="F97" i="24"/>
  <c r="F14" i="24"/>
  <c r="F2645" i="24"/>
  <c r="F881" i="24"/>
  <c r="F2433" i="24"/>
  <c r="E194" i="24"/>
  <c r="F49" i="24"/>
  <c r="F1100" i="24"/>
  <c r="E1058" i="24"/>
  <c r="E2553" i="24"/>
  <c r="E2569" i="24"/>
  <c r="F2569" i="24"/>
  <c r="F607" i="24"/>
  <c r="E2390" i="24"/>
  <c r="E2372" i="24"/>
  <c r="F2372" i="24"/>
  <c r="E321" i="24"/>
  <c r="E59" i="24"/>
  <c r="E1091" i="24"/>
  <c r="F845" i="24"/>
  <c r="E845" i="24"/>
  <c r="E849" i="24"/>
  <c r="F849" i="24"/>
  <c r="E2351" i="24"/>
  <c r="F2351" i="24"/>
  <c r="E289" i="24"/>
  <c r="F289" i="24"/>
  <c r="F660" i="24"/>
  <c r="E660" i="24"/>
  <c r="E661" i="24"/>
  <c r="E2451" i="24"/>
  <c r="F2355" i="24"/>
  <c r="E49" i="24"/>
  <c r="E965" i="24"/>
  <c r="F919" i="24"/>
  <c r="F727" i="24"/>
  <c r="E727" i="24"/>
  <c r="F2347" i="24"/>
  <c r="F320" i="24"/>
  <c r="E320" i="24"/>
  <c r="F171" i="24"/>
  <c r="E1668" i="24"/>
  <c r="E2550" i="24"/>
  <c r="F2550" i="24"/>
  <c r="E2505" i="24"/>
  <c r="F2505" i="24"/>
  <c r="F2513" i="24"/>
  <c r="E560" i="24"/>
  <c r="E564" i="24"/>
  <c r="F62" i="24"/>
  <c r="E76" i="24"/>
  <c r="F76" i="24"/>
  <c r="E62" i="24"/>
  <c r="F779" i="24"/>
  <c r="E780" i="24"/>
  <c r="F780" i="24"/>
  <c r="E779" i="24"/>
  <c r="F1698" i="24"/>
  <c r="E1659" i="24"/>
  <c r="F1659" i="24"/>
  <c r="E964" i="24"/>
  <c r="F964" i="24"/>
  <c r="E796" i="24"/>
  <c r="F796" i="24"/>
  <c r="E806" i="24"/>
  <c r="E2589" i="24"/>
  <c r="F676" i="24"/>
  <c r="E2514" i="24"/>
  <c r="E542" i="24"/>
  <c r="F542" i="24"/>
  <c r="F549" i="24"/>
  <c r="E481" i="24"/>
  <c r="E375" i="24"/>
  <c r="F375" i="24"/>
  <c r="E2340" i="24"/>
  <c r="F151" i="24"/>
  <c r="E151" i="24"/>
  <c r="E109" i="24"/>
  <c r="F109" i="24"/>
  <c r="F13" i="24"/>
  <c r="E13" i="24"/>
  <c r="E2411" i="24"/>
  <c r="E2416" i="24"/>
  <c r="F2411" i="24"/>
  <c r="F2416" i="24"/>
  <c r="F999" i="24"/>
  <c r="F1644" i="24"/>
  <c r="E1644" i="24"/>
  <c r="F298" i="24"/>
  <c r="F2663" i="24"/>
  <c r="E556" i="24"/>
  <c r="F2408" i="24"/>
  <c r="F491" i="24"/>
  <c r="E464" i="24"/>
  <c r="E286" i="24"/>
  <c r="F1728" i="24"/>
  <c r="F1102" i="24"/>
  <c r="E1057" i="24"/>
  <c r="E897" i="24"/>
  <c r="F897" i="24"/>
  <c r="E837" i="24"/>
  <c r="F837" i="24"/>
  <c r="F781" i="24"/>
  <c r="F790" i="24"/>
  <c r="E2489" i="24"/>
  <c r="F2489" i="24"/>
  <c r="E586" i="24"/>
  <c r="F586" i="24"/>
  <c r="F575" i="24"/>
  <c r="E461" i="24"/>
  <c r="E423" i="24"/>
  <c r="F423" i="24"/>
  <c r="E315" i="24"/>
  <c r="F316" i="24"/>
  <c r="F315" i="24"/>
  <c r="E365" i="24"/>
  <c r="F365" i="24"/>
  <c r="E2428" i="24"/>
  <c r="F19" i="24"/>
  <c r="E19" i="24"/>
  <c r="E419" i="24"/>
  <c r="E999" i="24"/>
  <c r="F569" i="24"/>
  <c r="E572" i="24"/>
  <c r="F572" i="24"/>
  <c r="E569" i="24"/>
  <c r="F345" i="24"/>
  <c r="F338" i="24"/>
  <c r="E247" i="24"/>
  <c r="E709" i="24"/>
  <c r="F2371" i="24"/>
  <c r="F438" i="24"/>
  <c r="E2371" i="24"/>
  <c r="E243" i="24"/>
  <c r="F243" i="24"/>
  <c r="F225" i="24"/>
  <c r="E174" i="24"/>
  <c r="E132" i="24"/>
  <c r="F65" i="24"/>
  <c r="E65" i="24"/>
  <c r="E1711" i="24"/>
  <c r="E982" i="24"/>
  <c r="E877" i="24"/>
  <c r="E817" i="24"/>
  <c r="F817" i="24"/>
  <c r="E2544" i="24"/>
  <c r="F2544" i="24"/>
  <c r="E2479" i="24"/>
  <c r="F2460" i="24"/>
  <c r="E523" i="24"/>
  <c r="F523" i="24"/>
  <c r="E111" i="24"/>
  <c r="E1643" i="24"/>
  <c r="F1643" i="24"/>
  <c r="F876" i="24"/>
  <c r="E876" i="24"/>
  <c r="E763" i="24"/>
  <c r="F126" i="24"/>
  <c r="F1655" i="24"/>
  <c r="F2525" i="24"/>
  <c r="E2494" i="24"/>
  <c r="F2481" i="24"/>
  <c r="F592" i="24"/>
  <c r="F577" i="24"/>
  <c r="F561" i="24"/>
  <c r="F512" i="24"/>
  <c r="F2348" i="24"/>
  <c r="F120" i="24"/>
  <c r="E71" i="24"/>
  <c r="F27" i="24"/>
  <c r="F2655" i="24"/>
  <c r="F1030" i="24"/>
  <c r="F965" i="24"/>
  <c r="F823" i="24"/>
  <c r="F720" i="24"/>
  <c r="F619" i="24"/>
  <c r="E619" i="24"/>
  <c r="E2463" i="24"/>
  <c r="E549" i="24"/>
  <c r="F481" i="24"/>
  <c r="E428" i="24"/>
  <c r="F384" i="24"/>
  <c r="F321" i="24"/>
  <c r="E279" i="24"/>
  <c r="F209" i="24"/>
  <c r="F59" i="24"/>
  <c r="F1697" i="24"/>
  <c r="F1672" i="24"/>
  <c r="E1007" i="24"/>
  <c r="F1007" i="24"/>
  <c r="F1658" i="24"/>
  <c r="F2624" i="24"/>
  <c r="F982" i="24"/>
  <c r="F816" i="24"/>
  <c r="E711" i="24"/>
  <c r="F2479" i="24"/>
  <c r="E2460" i="24"/>
  <c r="E545" i="24"/>
  <c r="F545" i="24"/>
  <c r="F511" i="24"/>
  <c r="E374" i="24"/>
  <c r="E950" i="24"/>
  <c r="F950" i="24"/>
  <c r="F870" i="24"/>
  <c r="E813" i="24"/>
  <c r="F762" i="24"/>
  <c r="F2508" i="24"/>
  <c r="F1016" i="24"/>
  <c r="F2536" i="24"/>
  <c r="F649" i="24"/>
  <c r="F2451" i="24"/>
  <c r="F524" i="24"/>
  <c r="F474" i="24"/>
  <c r="F379" i="24"/>
  <c r="F891" i="24"/>
  <c r="F2589" i="24"/>
  <c r="F2528" i="24"/>
  <c r="F2402" i="24"/>
  <c r="F420" i="24"/>
  <c r="E420" i="24"/>
  <c r="F1003" i="24"/>
  <c r="F958" i="24"/>
  <c r="F874" i="24"/>
  <c r="E2593" i="24"/>
  <c r="E2557" i="24"/>
  <c r="E2564" i="24"/>
  <c r="F2557" i="24"/>
  <c r="F2564" i="24"/>
  <c r="F2543" i="24"/>
  <c r="F2456" i="24"/>
  <c r="E539" i="24"/>
  <c r="F539" i="24"/>
  <c r="F343" i="24"/>
  <c r="F91" i="24"/>
  <c r="F644" i="24"/>
  <c r="F645" i="24"/>
  <c r="E644" i="24"/>
  <c r="E2401" i="24"/>
  <c r="F2461" i="24"/>
  <c r="E2373" i="24"/>
  <c r="F401" i="24"/>
  <c r="F350" i="24"/>
  <c r="F212" i="24"/>
  <c r="E212" i="24"/>
  <c r="F113" i="24"/>
  <c r="F1058" i="24"/>
  <c r="F932" i="24"/>
  <c r="E932" i="24"/>
  <c r="E908" i="24"/>
  <c r="F618" i="24"/>
  <c r="E171" i="24"/>
  <c r="E125" i="24"/>
  <c r="F101" i="24"/>
  <c r="F108" i="24"/>
  <c r="F1710" i="24"/>
  <c r="F794" i="24"/>
  <c r="F718" i="24"/>
  <c r="E2549" i="24"/>
  <c r="F2549" i="24"/>
  <c r="E718" i="24"/>
  <c r="E501" i="24"/>
  <c r="F2401" i="24"/>
  <c r="F501" i="24"/>
  <c r="F88" i="24"/>
  <c r="E87" i="24"/>
  <c r="E88" i="24"/>
  <c r="F87" i="24"/>
  <c r="E273" i="24"/>
  <c r="F1070" i="24"/>
  <c r="F770" i="24"/>
  <c r="F2524" i="24"/>
  <c r="E2524" i="24"/>
  <c r="E196" i="24"/>
  <c r="F1668" i="24"/>
  <c r="E1672" i="24"/>
  <c r="E758" i="24"/>
  <c r="F758" i="24"/>
  <c r="F764" i="24"/>
  <c r="E2513" i="24"/>
  <c r="F564" i="24"/>
  <c r="F570" i="24"/>
  <c r="E203" i="24"/>
  <c r="F963" i="24"/>
  <c r="E2623" i="24"/>
  <c r="F2623" i="24"/>
  <c r="E963" i="24"/>
  <c r="E522" i="24"/>
  <c r="F522" i="24"/>
  <c r="E345" i="24"/>
  <c r="E2519" i="24"/>
  <c r="F696" i="24"/>
  <c r="F2519" i="24"/>
  <c r="E541" i="24"/>
  <c r="E312" i="24"/>
  <c r="F312" i="24"/>
  <c r="E2459" i="24"/>
  <c r="F541" i="24"/>
  <c r="F538" i="24"/>
  <c r="F916" i="24"/>
  <c r="F2469" i="24"/>
  <c r="F2340" i="24"/>
  <c r="F5" i="24"/>
  <c r="E815" i="24"/>
  <c r="F2523" i="24"/>
  <c r="F205" i="24"/>
  <c r="F116" i="24"/>
  <c r="F111" i="24"/>
  <c r="F747" i="24"/>
  <c r="F741" i="24"/>
  <c r="F2427" i="24"/>
  <c r="F397" i="24"/>
  <c r="F2354" i="24"/>
  <c r="F515" i="24"/>
  <c r="F448" i="24"/>
  <c r="F445" i="24"/>
  <c r="F277" i="24"/>
  <c r="E295" i="24"/>
  <c r="F295" i="24"/>
  <c r="E277" i="24"/>
  <c r="F519" i="24"/>
  <c r="F161" i="24"/>
  <c r="F939" i="24"/>
  <c r="F2514" i="24"/>
  <c r="F2360" i="24"/>
  <c r="F46" i="24"/>
  <c r="F923" i="24"/>
  <c r="E431" i="24"/>
  <c r="E150" i="24"/>
  <c r="E1008" i="24"/>
  <c r="F2592" i="24"/>
  <c r="F789" i="24"/>
  <c r="F661" i="24"/>
  <c r="E2441" i="24"/>
  <c r="E515" i="24"/>
  <c r="E210" i="24"/>
  <c r="E223" i="24"/>
  <c r="F223" i="24"/>
  <c r="F210" i="24"/>
  <c r="F2410" i="24"/>
  <c r="E2415" i="24"/>
  <c r="F2415" i="24"/>
  <c r="E2410" i="24"/>
  <c r="F2343" i="24"/>
  <c r="E2346" i="24"/>
  <c r="F2346" i="24"/>
  <c r="E2343" i="24"/>
  <c r="E238" i="24"/>
  <c r="E912" i="24"/>
  <c r="E675" i="24"/>
  <c r="E472" i="24"/>
  <c r="E195" i="24"/>
  <c r="F149" i="24"/>
  <c r="E926" i="24"/>
  <c r="E698" i="24"/>
  <c r="E456" i="24"/>
  <c r="E40" i="24"/>
  <c r="F1646" i="24"/>
  <c r="F941" i="24"/>
  <c r="F848" i="24"/>
  <c r="E820" i="24"/>
  <c r="E774" i="24"/>
  <c r="F750" i="24"/>
  <c r="F2522" i="24"/>
  <c r="F653" i="24"/>
  <c r="E606" i="24"/>
  <c r="E563" i="24"/>
  <c r="F544" i="24"/>
  <c r="F2407" i="24"/>
  <c r="F2379" i="24"/>
  <c r="E414" i="24"/>
  <c r="E361" i="24"/>
  <c r="F346" i="24"/>
  <c r="F233" i="24"/>
  <c r="F129" i="24"/>
  <c r="E85" i="24"/>
  <c r="E2624" i="24"/>
  <c r="E2539" i="24"/>
  <c r="E2397" i="24"/>
  <c r="F130" i="24"/>
  <c r="E83" i="24"/>
  <c r="F2595" i="24"/>
  <c r="E784" i="24"/>
  <c r="F773" i="24"/>
  <c r="F710" i="24"/>
  <c r="F673" i="24"/>
  <c r="E574" i="24"/>
  <c r="F558" i="24"/>
  <c r="F518" i="24"/>
  <c r="F454" i="24"/>
  <c r="F2358" i="24"/>
  <c r="E395" i="24"/>
  <c r="F355" i="24"/>
  <c r="F249" i="24"/>
  <c r="F168" i="24"/>
  <c r="F35" i="24"/>
  <c r="F913" i="24"/>
  <c r="F2512" i="24"/>
  <c r="E2462" i="24"/>
  <c r="F480" i="24"/>
  <c r="F202" i="24"/>
  <c r="E239" i="24"/>
  <c r="E158" i="24"/>
  <c r="E913" i="24"/>
  <c r="E814" i="24"/>
  <c r="E2512" i="24"/>
  <c r="E2478" i="24"/>
  <c r="E480" i="24"/>
  <c r="E2363" i="24"/>
  <c r="E202" i="24"/>
  <c r="F2386" i="24"/>
  <c r="F374" i="24"/>
  <c r="E189" i="24"/>
  <c r="F150" i="24"/>
  <c r="F1008" i="24"/>
  <c r="F953" i="24"/>
  <c r="E844" i="24"/>
  <c r="F813" i="24"/>
  <c r="F763" i="24"/>
  <c r="F709" i="24"/>
  <c r="E645" i="24"/>
  <c r="F602" i="24"/>
  <c r="F2441" i="24"/>
  <c r="F517" i="24"/>
  <c r="E438" i="24"/>
  <c r="F410" i="24"/>
  <c r="F354" i="24"/>
  <c r="F247" i="24"/>
  <c r="F69" i="24"/>
  <c r="F238" i="24"/>
  <c r="E206" i="24"/>
  <c r="F912" i="24"/>
  <c r="E893" i="24"/>
  <c r="F675" i="24"/>
  <c r="E672" i="24"/>
  <c r="F472" i="24"/>
  <c r="E448" i="24"/>
  <c r="F195" i="24"/>
  <c r="F11" i="24"/>
  <c r="E11" i="24"/>
  <c r="J17" i="24"/>
  <c r="J16" i="24"/>
  <c r="K16" i="24" s="1"/>
  <c r="J15" i="24"/>
  <c r="K15" i="24" s="1"/>
  <c r="J14" i="24"/>
  <c r="K14" i="24" s="1"/>
  <c r="J13" i="24"/>
  <c r="J12" i="24"/>
  <c r="U1" i="2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NTHCCIMDB013" type="1" refreshedVersion="8" savePassword="1" background="1" refreshOnLoad="1" saveData="1">
    <dbPr connection="DSN=NTHCCIMDB02;UID=fab2;PWD=fab2;APP=Microsoft Office 2010;WSID=OAPCD01157;DATABASE=repADC2IDB" command="SELECT DISTINCT v_R_Runcard_Log.Trans_Date AS 'Date', v_R_Runcard_Log.Entity, SUBSTRING(v_R_Runcard_Log.Recipe,4,3) AS 'Recipe'_x000d__x000a_FROM repADC2IDB.dbo.v_R_Runcard_Log v_R_Runcard_Log_x000d__x000a_WHERE (v_R_Runcard_Log.Entity=?) AND (v_R_Runcard_Log.Trans_Date&gt;=? And v_R_Runcard_Log.Trans_Date&lt;=?) AND (v_R_Runcard_Log.Lot Not In ('X','DUMMY')) OR (v_R_Runcard_Log.Entity=?) AND (v_R_Runcard_Log.Trans_Date&gt;=? And v_R_Runcard_Log.Trans_Date&lt;=?) AND (v_R_Runcard_Log.Lot Not In ('X','DUMMY')) OR (v_R_Runcard_Log.Entity=?) AND (v_R_Runcard_Log.Trans_Date&gt;=? And v_R_Runcard_Log.Trans_Date&lt;=?) AND (v_R_Runcard_Log.Lot Not In ('X','DUMMY'))"/>
    <parameters count="9">
      <parameter name=" F13 " sqlType="1" parameterType="cell" cell="Pocl3_Data!$I$2"/>
      <parameter name="Start_Date " sqlType="11" parameterType="cell" refreshOnChange="1" cell="Pocl3_Data!$J$2"/>
      <parameter name=" end " sqlType="11" parameterType="cell" refreshOnChange="1" cell="Pocl3_Data!$K$2"/>
      <parameter name=" F25 " sqlType="1" parameterType="cell" cell="Pocl3_Data!$I$3"/>
      <parameter name="Start_Date " sqlType="11" parameterType="cell" refreshOnChange="1" cell="Pocl3_Data!$J$3"/>
      <parameter name=" end " sqlType="11" parameterType="cell" refreshOnChange="1" cell="Pocl3_Data!$K$3"/>
      <parameter name=" F39 " sqlType="1" parameterType="cell" cell="Pocl3_Data!$I$4"/>
      <parameter name="Start_Date " sqlType="11" parameterType="cell" refreshOnChange="1" cell="Pocl3_Data!$J$4"/>
      <parameter name=" end " sqlType="11" parameterType="cell" refreshOnChange="1" cell="Pocl3_Data!$K$4"/>
    </parameters>
  </connection>
</connections>
</file>

<file path=xl/sharedStrings.xml><?xml version="1.0" encoding="utf-8"?>
<sst xmlns="http://schemas.openxmlformats.org/spreadsheetml/2006/main" count="5910" uniqueCount="41">
  <si>
    <t>Entity</t>
  </si>
  <si>
    <t>Recipe</t>
  </si>
  <si>
    <t>Date</t>
  </si>
  <si>
    <t>Count</t>
    <phoneticPr fontId="1" type="noConversion"/>
  </si>
  <si>
    <t>key in</t>
    <phoneticPr fontId="1" type="noConversion"/>
  </si>
  <si>
    <t>MONTH</t>
    <phoneticPr fontId="4" type="noConversion"/>
  </si>
  <si>
    <t>合計</t>
  </si>
  <si>
    <t>總計</t>
  </si>
  <si>
    <t>Start_Date</t>
    <phoneticPr fontId="1" type="noConversion"/>
  </si>
  <si>
    <t>Machine</t>
    <phoneticPr fontId="1" type="noConversion"/>
  </si>
  <si>
    <t xml:space="preserve"> Hour</t>
  </si>
  <si>
    <t>B05</t>
  </si>
  <si>
    <t>B03</t>
  </si>
  <si>
    <t>F39</t>
    <phoneticPr fontId="1" type="noConversion"/>
  </si>
  <si>
    <t>F25</t>
    <phoneticPr fontId="1" type="noConversion"/>
  </si>
  <si>
    <t>F13</t>
    <phoneticPr fontId="1" type="noConversion"/>
  </si>
  <si>
    <t>加總 - Count</t>
  </si>
  <si>
    <t>End_Date</t>
    <phoneticPr fontId="1" type="noConversion"/>
  </si>
  <si>
    <t>Run 數</t>
  </si>
  <si>
    <t>Count</t>
  </si>
  <si>
    <t>B01</t>
    <phoneticPr fontId="1" type="noConversion"/>
  </si>
  <si>
    <t>B02</t>
  </si>
  <si>
    <t>B04</t>
  </si>
  <si>
    <t>B20</t>
    <phoneticPr fontId="1" type="noConversion"/>
  </si>
  <si>
    <t xml:space="preserve"> </t>
    <phoneticPr fontId="1" type="noConversion"/>
  </si>
  <si>
    <t>更換</t>
    <phoneticPr fontId="1" type="noConversion"/>
  </si>
  <si>
    <t>F13</t>
  </si>
  <si>
    <t>F13 合計</t>
  </si>
  <si>
    <t>F25</t>
  </si>
  <si>
    <t>F25 合計</t>
  </si>
  <si>
    <r>
      <t>119/121/</t>
    </r>
    <r>
      <rPr>
        <sz val="12"/>
        <color theme="3"/>
        <rFont val="細明體"/>
        <family val="3"/>
        <charset val="136"/>
      </rPr>
      <t>170/166</t>
    </r>
  </si>
  <si>
    <r>
      <rPr>
        <sz val="12"/>
        <color rgb="FF002060"/>
        <rFont val="細明體"/>
        <family val="3"/>
        <charset val="136"/>
      </rPr>
      <t>152/155/152/</t>
    </r>
    <r>
      <rPr>
        <sz val="12"/>
        <color rgb="FFFF0000"/>
        <rFont val="細明體"/>
        <family val="3"/>
        <charset val="136"/>
      </rPr>
      <t>121/</t>
    </r>
    <r>
      <rPr>
        <sz val="12"/>
        <color theme="3"/>
        <rFont val="細明體"/>
        <family val="3"/>
        <charset val="136"/>
      </rPr>
      <t>149</t>
    </r>
  </si>
  <si>
    <r>
      <t>114/107/</t>
    </r>
    <r>
      <rPr>
        <sz val="12"/>
        <color theme="3" tint="-0.249977111117893"/>
        <rFont val="細明體"/>
        <family val="3"/>
        <charset val="136"/>
      </rPr>
      <t>167/153/175</t>
    </r>
  </si>
  <si>
    <t>F39</t>
  </si>
  <si>
    <t>B01</t>
  </si>
  <si>
    <t>EXL</t>
  </si>
  <si>
    <t xml:space="preserve">   </t>
  </si>
  <si>
    <t>EWR</t>
  </si>
  <si>
    <t>F39 合計</t>
  </si>
  <si>
    <t>B20</t>
  </si>
  <si>
    <t>(多重項目)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</si>
</sst>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/mm/dd\ hh:mm:ss"/>
    <numFmt numFmtId="165" formatCode="yyyy/mm"/>
    <numFmt numFmtId="166" formatCode="0_);[Red]\(0\)"/>
    <numFmt numFmtId="167" formatCode="0.00_ "/>
    <numFmt numFmtId="168" formatCode="m&quot;月&quot;d&quot;日&quot;"/>
    <numFmt numFmtId="169" formatCode="yyyy/m/d\ h:mm;@"/>
  </numFmts>
  <fonts count="14">
    <font>
      <sz val="12"/>
      <name val="細明體"/>
      <family val="3"/>
      <charset val="136"/>
    </font>
    <font>
      <sz val="9"/>
      <name val="細明體"/>
      <family val="3"/>
      <charset val="136"/>
    </font>
    <font>
      <b/>
      <sz val="12"/>
      <name val="細明體"/>
      <family val="3"/>
      <charset val="136"/>
    </font>
    <font>
      <sz val="12"/>
      <color indexed="8"/>
      <name val="細明體"/>
      <family val="3"/>
      <charset val="136"/>
    </font>
    <font>
      <sz val="9"/>
      <name val="新細明體"/>
      <family val="1"/>
      <charset val="136"/>
    </font>
    <font>
      <sz val="12"/>
      <color theme="1"/>
      <name val="Calibri"/>
      <family val="1"/>
      <charset val="136"/>
      <scheme val="minor"/>
    </font>
    <font>
      <sz val="12"/>
      <color theme="1"/>
      <name val="細明體"/>
      <family val="3"/>
      <charset val="136"/>
    </font>
    <font>
      <b/>
      <sz val="12"/>
      <color rgb="FFFF0000"/>
      <name val="細明體"/>
      <family val="3"/>
      <charset val="136"/>
    </font>
    <font>
      <b/>
      <sz val="9"/>
      <name val="細明體"/>
      <family val="3"/>
      <charset val="136"/>
    </font>
    <font>
      <b/>
      <sz val="12"/>
      <color rgb="FF0070C0"/>
      <name val="細明體"/>
      <family val="3"/>
      <charset val="136"/>
    </font>
    <font>
      <sz val="12"/>
      <color rgb="FFFF0000"/>
      <name val="細明體"/>
      <family val="3"/>
      <charset val="136"/>
    </font>
    <font>
      <sz val="12"/>
      <color theme="3"/>
      <name val="細明體"/>
      <family val="3"/>
      <charset val="136"/>
    </font>
    <font>
      <sz val="12"/>
      <color rgb="FF002060"/>
      <name val="細明體"/>
      <family val="3"/>
      <charset val="136"/>
    </font>
    <font>
      <sz val="12"/>
      <color theme="3" tint="-0.249977111117893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99999"/>
      </left>
      <right/>
      <top style="thin">
        <color indexed="65"/>
      </top>
      <bottom/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0" fontId="3" fillId="0" borderId="0" xfId="0" applyNumberFormat="1" applyFont="1">
      <alignment vertical="center"/>
    </xf>
    <xf numFmtId="0" fontId="3" fillId="0" borderId="0" xfId="0" applyFont="1">
      <alignment vertic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6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0" fontId="0" fillId="0" borderId="1" xfId="0" pivotButton="1" applyBorder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167" fontId="0" fillId="0" borderId="6" xfId="0" applyNumberFormat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2" fillId="2" borderId="1" xfId="0" applyFont="1" applyFill="1" applyBorder="1">
      <alignment vertical="center"/>
    </xf>
    <xf numFmtId="0" fontId="2" fillId="2" borderId="7" xfId="0" applyFont="1" applyFill="1" applyBorder="1">
      <alignment vertical="center"/>
    </xf>
    <xf numFmtId="168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9" fontId="0" fillId="3" borderId="9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7" fontId="9" fillId="0" borderId="2" xfId="0" applyNumberFormat="1" applyFont="1" applyBorder="1" applyAlignment="1">
      <alignment horizontal="right" vertical="center"/>
    </xf>
    <xf numFmtId="167" fontId="9" fillId="0" borderId="4" xfId="0" applyNumberFormat="1" applyFont="1" applyBorder="1" applyAlignment="1">
      <alignment horizontal="right" vertical="center"/>
    </xf>
    <xf numFmtId="0" fontId="10" fillId="0" borderId="0" xfId="0" applyFont="1" applyAlignment="1">
      <alignment horizontal="left" vertical="center" wrapText="1"/>
    </xf>
    <xf numFmtId="169" fontId="2" fillId="3" borderId="9" xfId="0" applyNumberFormat="1" applyFont="1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10" xfId="0" applyBorder="1">
      <alignment vertical="center"/>
    </xf>
    <xf numFmtId="164" fontId="0" fillId="0" borderId="0" xfId="0" applyNumberFormat="1">
      <alignment vertical="center"/>
    </xf>
    <xf numFmtId="0" fontId="0" fillId="2" borderId="9" xfId="0" applyFill="1" applyBorder="1" applyAlignment="1">
      <alignment horizontal="center" vertical="center" wrapText="1"/>
    </xf>
    <xf numFmtId="0" fontId="0" fillId="0" borderId="2" xfId="0" applyNumberFormat="1" applyBorder="1">
      <alignment vertical="center"/>
    </xf>
    <xf numFmtId="0" fontId="0" fillId="0" borderId="4" xfId="0" applyNumberFormat="1" applyBorder="1">
      <alignment vertical="center"/>
    </xf>
    <xf numFmtId="0" fontId="6" fillId="0" borderId="6" xfId="0" applyNumberFormat="1" applyFont="1" applyBorder="1">
      <alignment vertical="center"/>
    </xf>
    <xf numFmtId="0" fontId="7" fillId="2" borderId="2" xfId="0" applyNumberFormat="1" applyFont="1" applyFill="1" applyBorder="1">
      <alignment vertical="center"/>
    </xf>
    <xf numFmtId="0" fontId="0" fillId="0" borderId="0" xfId="0" applyNumberFormat="1">
      <alignment vertical="center"/>
    </xf>
  </cellXfs>
  <cellStyles count="2">
    <cellStyle name="一般" xfId="0" builtinId="0"/>
    <cellStyle name="一般 2" xfId="1" xr:uid="{00000000-0005-0000-0000-000001000000}"/>
  </cellStyles>
  <dxfs count="33">
    <dxf>
      <font>
        <color rgb="FFFF0000"/>
      </font>
    </dxf>
    <dxf>
      <font>
        <color rgb="FFFF0000"/>
      </font>
    </dxf>
    <dxf>
      <fill>
        <patternFill patternType="solid">
          <bgColor rgb="FFFFFF00"/>
        </patternFill>
      </fill>
    </dxf>
    <dxf>
      <font>
        <color theme="1"/>
      </font>
    </dxf>
    <dxf>
      <font>
        <color rgb="FFFF0000"/>
      </font>
    </dxf>
    <dxf>
      <font>
        <b/>
      </font>
    </dxf>
    <dxf>
      <numFmt numFmtId="167" formatCode="0.00_ "/>
    </dxf>
    <dxf>
      <font>
        <color rgb="FF0070C0"/>
      </font>
    </dxf>
    <dxf>
      <font>
        <b/>
      </font>
    </dxf>
    <dxf>
      <alignment horizontal="center"/>
    </dxf>
    <dxf>
      <alignment horizontal="right"/>
    </dxf>
    <dxf>
      <font>
        <color rgb="FFFF0000"/>
      </font>
    </dxf>
    <dxf>
      <font>
        <color rgb="FFFF0000"/>
      </font>
    </dxf>
    <dxf>
      <fill>
        <patternFill patternType="solid">
          <bgColor rgb="FFFFFF00"/>
        </patternFill>
      </fill>
    </dxf>
    <dxf>
      <font>
        <color theme="1"/>
      </font>
    </dxf>
    <dxf>
      <font>
        <color rgb="FFFF0000"/>
      </font>
    </dxf>
    <dxf>
      <font>
        <b/>
      </font>
    </dxf>
    <dxf>
      <numFmt numFmtId="167" formatCode="0.00_ "/>
    </dxf>
    <dxf>
      <font>
        <color rgb="FF0070C0"/>
      </font>
    </dxf>
    <dxf>
      <font>
        <b/>
      </font>
    </dxf>
    <dxf>
      <alignment horizontal="center"/>
    </dxf>
    <dxf>
      <alignment horizontal="right"/>
    </dxf>
    <dxf>
      <alignment horizontal="right"/>
    </dxf>
    <dxf>
      <alignment horizontal="center"/>
    </dxf>
    <dxf>
      <font>
        <b/>
      </font>
    </dxf>
    <dxf>
      <font>
        <color rgb="FF0070C0"/>
      </font>
    </dxf>
    <dxf>
      <numFmt numFmtId="167" formatCode="0.00_ "/>
    </dxf>
    <dxf>
      <font>
        <b/>
      </font>
    </dxf>
    <dxf>
      <font>
        <color rgb="FFFF0000"/>
      </font>
    </dxf>
    <dxf>
      <font>
        <color theme="1"/>
      </font>
    </dxf>
    <dxf>
      <fill>
        <patternFill patternType="solid">
          <bgColor rgb="FFFFFF00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220 WCLin15" refreshedDate="45798.792374999997" createdVersion="4" refreshedVersion="8" minRefreshableVersion="3" recordCount="2911" xr:uid="{00000000-000A-0000-FFFF-FFFF0C000000}">
  <cacheSource type="worksheet">
    <worksheetSource ref="A1:F2912" sheet="Pocl3_Data"/>
  </cacheSource>
  <cacheFields count="8">
    <cacheField name="Date" numFmtId="164">
      <sharedItems containsSemiMixedTypes="0" containsNonDate="0" containsDate="1" containsString="0" minDate="2014-03-18T02:57:36" maxDate="2025-05-21T14:47:06" count="8000">
        <d v="2024-11-29T18:18:20"/>
        <d v="2024-11-29T21:09:07"/>
        <d v="2024-11-30T02:20:25"/>
        <d v="2024-11-30T10:49:46"/>
        <d v="2024-11-30T16:06:22"/>
        <d v="2024-11-30T20:13:30"/>
        <d v="2024-12-01T00:25:35"/>
        <d v="2024-12-01T06:46:02"/>
        <d v="2024-12-01T10:28:48"/>
        <d v="2024-12-01T14:41:25"/>
        <d v="2024-12-01T20:40:32"/>
        <d v="2024-12-02T01:43:12"/>
        <d v="2024-12-02T06:39:21"/>
        <d v="2024-12-02T15:08:07"/>
        <d v="2024-12-02T18:26:50"/>
        <d v="2024-12-02T23:04:48"/>
        <d v="2024-12-03T01:51:26"/>
        <d v="2024-12-03T10:00:09"/>
        <d v="2024-12-03T10:00:10"/>
        <d v="2024-12-03T17:33:47"/>
        <d v="2024-12-03T23:25:22"/>
        <d v="2024-12-04T04:39:48"/>
        <d v="2024-12-04T04:39:49"/>
        <d v="2024-12-04T10:08:33"/>
        <d v="2024-12-04T16:17:09"/>
        <d v="2024-12-05T01:20:30"/>
        <d v="2024-12-05T05:51:39"/>
        <d v="2024-12-05T14:31:42"/>
        <d v="2024-12-05T19:59:32"/>
        <d v="2024-12-06T00:45:00"/>
        <d v="2024-12-11T14:45:19"/>
        <d v="2024-12-11T18:00:04"/>
        <d v="2024-12-11T21:00:21"/>
        <d v="2024-12-12T09:17:34"/>
        <d v="2024-12-12T13:57:19"/>
        <d v="2024-12-12T13:57:20"/>
        <d v="2024-12-12T17:13:04"/>
        <d v="2024-12-12T20:36:26"/>
        <d v="2024-12-13T01:00:24"/>
        <d v="2024-12-13T05:29:57"/>
        <d v="2024-12-13T08:20:15"/>
        <d v="2024-12-13T11:25:26"/>
        <d v="2024-12-13T16:56:00"/>
        <d v="2024-12-13T20:18:41"/>
        <d v="2024-12-14T00:31:59"/>
        <d v="2024-12-14T04:50:49"/>
        <d v="2024-12-14T07:51:02"/>
        <d v="2024-12-14T18:06:27"/>
        <d v="2024-12-14T22:49:16"/>
        <d v="2024-12-15T05:06:59"/>
        <d v="2024-12-15T13:35:34"/>
        <d v="2024-12-15T18:20:24"/>
        <d v="2024-12-15T21:14:14"/>
        <d v="2024-12-16T01:33:19"/>
        <d v="2024-12-16T06:18:06"/>
        <d v="2024-12-16T12:36:38"/>
        <d v="2024-12-16T16:05:19"/>
        <d v="2024-12-16T21:18:24"/>
        <d v="2024-12-17T00:57:45"/>
        <d v="2024-12-17T07:13:45"/>
        <d v="2024-12-17T12:16:46"/>
        <d v="2024-12-17T15:56:00"/>
        <d v="2024-12-17T21:48:24"/>
        <d v="2024-12-18T03:02:15"/>
        <d v="2024-12-18T03:02:16"/>
        <d v="2024-12-18T06:41:24"/>
        <d v="2024-12-18T09:33:45"/>
        <d v="2024-12-19T04:39:30"/>
        <d v="2024-12-19T08:04:22"/>
        <d v="2024-12-19T11:17:04"/>
        <d v="2024-12-19T14:18:57"/>
        <d v="2024-12-19T17:13:51"/>
        <d v="2024-12-19T20:02:24"/>
        <d v="2024-12-19T23:06:26"/>
        <d v="2024-12-20T01:50:59"/>
        <d v="2024-12-20T05:09:10"/>
        <d v="2024-12-20T10:11:49"/>
        <d v="2024-12-20T12:59:39"/>
        <d v="2024-12-20T16:15:37"/>
        <d v="2024-12-20T21:27:36"/>
        <d v="2024-12-21T03:45:27"/>
        <d v="2024-12-21T06:41:13"/>
        <d v="2024-12-21T15:52:58"/>
        <d v="2024-12-21T18:42:02"/>
        <d v="2024-12-21T22:40:14"/>
        <d v="2024-12-22T05:12:31"/>
        <d v="2024-12-22T18:46:43"/>
        <d v="2024-12-22T21:33:32"/>
        <d v="2024-12-23T01:19:46"/>
        <d v="2024-12-23T04:22:56"/>
        <d v="2024-12-23T04:22:57"/>
        <d v="2024-12-23T18:45:48"/>
        <d v="2024-12-23T23:19:02"/>
        <d v="2024-12-24T02:19:45"/>
        <d v="2024-12-24T05:21:13"/>
        <d v="2024-12-24T21:01:08"/>
        <d v="2024-12-25T03:13:39"/>
        <d v="2024-12-25T04:19:46"/>
        <d v="2024-12-25T04:26:38"/>
        <d v="2024-12-25T09:10:55"/>
        <d v="2024-12-25T12:25:43"/>
        <d v="2024-12-25T16:03:19"/>
        <d v="2024-12-25T19:50:55"/>
        <d v="2024-12-25T23:11:03"/>
        <d v="2024-12-26T02:11:22"/>
        <d v="2024-12-26T05:50:25"/>
        <d v="2024-12-26T09:36:57"/>
        <d v="2024-12-26T09:36:58"/>
        <d v="2024-12-26T13:59:10"/>
        <d v="2024-12-26T22:34:30"/>
        <d v="2024-12-27T01:41:57"/>
        <d v="2024-12-27T09:36:20"/>
        <d v="2024-12-27T09:40:21"/>
        <d v="2024-12-27T13:14:48"/>
        <d v="2024-12-27T18:01:30"/>
        <d v="2024-12-27T20:51:53"/>
        <d v="2024-12-27T23:53:42"/>
        <d v="2024-12-28T03:17:13"/>
        <d v="2024-12-28T06:40:52"/>
        <d v="2024-12-28T09:29:44"/>
        <d v="2024-12-28T23:13:37"/>
        <d v="2024-12-29T11:27:44"/>
        <d v="2024-12-29T20:13:28"/>
        <d v="2024-12-29T20:13:29"/>
        <d v="2025-01-01T00:37:51"/>
        <d v="2025-01-01T04:38:19"/>
        <d v="2025-01-01T12:33:26"/>
        <d v="2025-01-01T21:52:25"/>
        <d v="2025-01-02T16:56:05"/>
        <d v="2025-01-03T08:16:19"/>
        <d v="2025-01-03T11:02:59"/>
        <d v="2025-01-03T15:56:05"/>
        <d v="2025-01-03T19:49:24"/>
        <d v="2025-01-04T00:30:20"/>
        <d v="2025-01-04T06:05:29"/>
        <d v="2025-01-04T10:35:12"/>
        <d v="2025-01-04T10:35:13"/>
        <d v="2025-01-04T14:53:56"/>
        <d v="2025-01-04T18:39:58"/>
        <d v="2025-01-05T01:14:57"/>
        <d v="2025-01-05T05:54:52"/>
        <d v="2025-01-05T08:59:48"/>
        <d v="2025-01-05T14:00:55"/>
        <d v="2025-01-05T22:59:18"/>
        <d v="2025-01-06T02:12:23"/>
        <d v="2025-01-06T06:19:18"/>
        <d v="2025-01-06T09:26:04"/>
        <d v="2025-01-06T12:53:11"/>
        <d v="2025-01-06T16:11:37"/>
        <d v="2025-01-07T03:01:32"/>
        <d v="2025-01-07T15:12:16"/>
        <d v="2025-01-07T18:42:30"/>
        <d v="2025-01-08T02:11:02"/>
        <d v="2025-01-08T06:14:13"/>
        <d v="2025-01-08T13:12:33"/>
        <d v="2025-01-08T21:06:06"/>
        <d v="2025-01-09T01:37:23"/>
        <d v="2025-01-09T06:12:43"/>
        <d v="2025-01-09T21:33:26"/>
        <d v="2025-01-10T04:18:56"/>
        <d v="2025-01-10T17:59:24"/>
        <d v="2025-01-10T23:07:07"/>
        <d v="2025-01-11T03:03:21"/>
        <d v="2025-01-11T15:27:16"/>
        <d v="2025-01-11T20:10:12"/>
        <d v="2025-01-12T01:36:25"/>
        <d v="2025-01-12T07:35:14"/>
        <d v="2025-01-12T20:26:26"/>
        <d v="2025-01-12T23:17:27"/>
        <d v="2025-01-13T08:04:02"/>
        <d v="2025-01-13T13:04:37"/>
        <d v="2025-01-13T21:07:59"/>
        <d v="2025-01-14T05:02:40"/>
        <d v="2025-01-14T08:11:51"/>
        <d v="2025-01-14T14:28:13"/>
        <d v="2025-01-15T01:11:52"/>
        <d v="2025-01-15T06:04:40"/>
        <d v="2025-01-15T09:20:49"/>
        <d v="2025-01-16T01:05:21"/>
        <d v="2025-01-16T01:36:41"/>
        <d v="2025-01-16T08:24:58"/>
        <d v="2025-01-16T12:51:00"/>
        <d v="2025-01-16T18:06:17"/>
        <d v="2025-01-16T23:05:13"/>
        <d v="2025-01-17T08:30:23"/>
        <d v="2025-01-17T12:37:37"/>
        <d v="2025-01-17T17:13:24"/>
        <d v="2025-01-17T20:24:53"/>
        <d v="2025-01-17T23:20:49"/>
        <d v="2025-01-18T02:29:10"/>
        <d v="2025-01-18T06:31:26"/>
        <d v="2025-01-18T12:42:14"/>
        <d v="2025-01-18T16:46:27"/>
        <d v="2025-01-19T08:41:45"/>
        <d v="2025-01-19T13:34:52"/>
        <d v="2025-01-19T17:20:56"/>
        <d v="2025-01-20T13:09:14"/>
        <d v="2025-01-20T16:09:26"/>
        <d v="2025-01-20T20:50:31"/>
        <d v="2025-01-21T03:16:29"/>
        <d v="2025-01-21T03:16:30"/>
        <d v="2025-01-21T09:01:57"/>
        <d v="2025-01-21T16:52:10"/>
        <d v="2025-01-22T04:32:01"/>
        <d v="2025-01-22T09:52:32"/>
        <d v="2025-01-22T16:52:34"/>
        <d v="2025-01-23T08:06:50"/>
        <d v="2025-01-23T20:54:33"/>
        <d v="2025-01-24T02:49:30"/>
        <d v="2025-01-24T08:29:32"/>
        <d v="2025-01-24T11:15:49"/>
        <d v="2025-01-24T16:59:39"/>
        <d v="2025-01-25T02:37:36"/>
        <d v="2025-01-25T20:25:31"/>
        <d v="2025-01-26T07:21:36"/>
        <d v="2025-01-26T15:12:25"/>
        <d v="2025-01-26T20:10:57"/>
        <d v="2025-01-27T01:52:42"/>
        <d v="2025-01-27T08:01:11"/>
        <d v="2025-01-27T10:58:43"/>
        <d v="2025-01-27T20:17:52"/>
        <d v="2025-02-01T12:27:28"/>
        <d v="2025-02-01T15:46:57"/>
        <d v="2025-02-02T01:44:07"/>
        <d v="2025-02-02T04:48:53"/>
        <d v="2025-02-02T08:00:37"/>
        <d v="2025-02-02T10:55:45"/>
        <d v="2025-02-02T13:57:38"/>
        <d v="2025-02-02T18:29:58"/>
        <d v="2025-02-02T22:15:16"/>
        <d v="2025-02-03T03:03:38"/>
        <d v="2025-02-03T08:05:23"/>
        <d v="2025-02-03T10:54:42"/>
        <d v="2025-02-03T13:55:56"/>
        <d v="2025-02-03T16:47:07"/>
        <d v="2025-02-03T21:36:58"/>
        <d v="2025-02-04T01:11:52"/>
        <d v="2025-02-04T06:32:45"/>
        <d v="2025-02-04T17:34:19"/>
        <d v="2025-02-04T20:45:51"/>
        <d v="2025-02-05T01:35:33"/>
        <d v="2025-02-05T08:33:44"/>
        <d v="2025-02-05T11:23:45"/>
        <d v="2025-02-05T14:33:35"/>
        <d v="2025-02-05T20:35:47"/>
        <d v="2025-02-05T20:43:26"/>
        <d v="2025-02-06T01:42:36"/>
        <d v="2025-02-06T07:22:39"/>
        <d v="2025-02-06T13:13:17"/>
        <d v="2025-02-06T17:05:51"/>
        <d v="2025-02-06T22:03:53"/>
        <d v="2025-02-07T02:32:39"/>
        <d v="2025-02-07T05:23:21"/>
        <d v="2025-02-07T08:10:20"/>
        <d v="2025-02-07T12:12:02"/>
        <d v="2025-02-07T16:52:29"/>
        <d v="2025-02-07T21:57:42"/>
        <d v="2025-02-08T01:30:09"/>
        <d v="2025-02-08T05:07:16"/>
        <d v="2025-02-08T17:51:39"/>
        <d v="2025-02-08T22:12:56"/>
        <d v="2025-02-09T02:55:04"/>
        <d v="2025-02-09T11:17:17"/>
        <d v="2025-02-09T20:38:30"/>
        <d v="2025-02-10T04:54:05"/>
        <d v="2025-02-10T15:17:38"/>
        <d v="2025-02-11T00:56:30"/>
        <d v="2025-02-11T11:26:16"/>
        <d v="2025-02-11T15:33:27"/>
        <d v="2025-02-12T15:26:36"/>
        <d v="2025-02-12T15:31:47"/>
        <d v="2025-02-12T16:06:20"/>
        <d v="2025-02-12T17:18:03"/>
        <d v="2025-02-12T17:18:04"/>
        <d v="2025-02-12T20:55:35"/>
        <d v="2025-02-13T02:41:46"/>
        <d v="2025-02-13T06:36:42"/>
        <d v="2025-02-13T09:57:58"/>
        <d v="2025-02-13T16:15:05"/>
        <d v="2025-02-13T20:56:13"/>
        <d v="2025-02-14T01:56:40"/>
        <d v="2025-02-14T04:52:50"/>
        <d v="2025-02-14T08:07:13"/>
        <d v="2025-02-14T11:18:41"/>
        <d v="2025-02-14T22:26:51"/>
        <d v="2025-02-15T01:14:53"/>
        <d v="2025-02-15T05:34:36"/>
        <d v="2025-02-15T19:53:50"/>
        <d v="2025-02-15T22:59:58"/>
        <d v="2025-02-16T02:01:53"/>
        <d v="2025-02-16T05:58:03"/>
        <d v="2025-02-16T12:33:46"/>
        <d v="2025-02-16T19:30:04"/>
        <d v="2025-02-16T22:14:51"/>
        <d v="2025-02-17T02:37:05"/>
        <d v="2025-02-17T07:59:24"/>
        <d v="2025-02-17T11:05:16"/>
        <d v="2025-02-17T14:07:24"/>
        <d v="2025-02-17T18:01:53"/>
        <d v="2025-02-17T20:53:42"/>
        <d v="2025-02-18T01:27:51"/>
        <d v="2025-02-18T12:40:53"/>
        <d v="2025-02-18T17:19:18"/>
        <d v="2025-02-18T21:17:06"/>
        <d v="2025-02-22T06:47:30"/>
        <d v="2025-02-22T13:30:41"/>
        <d v="2025-02-22T22:03:58"/>
        <d v="2025-02-23T01:00:34"/>
        <d v="2025-02-23T01:00:35"/>
        <d v="2025-02-23T06:06:30"/>
        <d v="2025-02-23T09:38:15"/>
        <d v="2025-02-23T16:54:11"/>
        <d v="2025-02-24T01:53:58"/>
        <d v="2025-02-24T08:24:02"/>
        <d v="2025-02-24T17:00:02"/>
        <d v="2025-02-24T20:05:57"/>
        <d v="2025-02-25T01:32:36"/>
        <d v="2025-02-25T13:34:23"/>
        <d v="2025-02-25T18:03:09"/>
        <d v="2025-02-25T22:26:29"/>
        <d v="2025-02-26T03:29:35"/>
        <d v="2025-02-26T03:29:36"/>
        <d v="2025-02-26T09:06:29"/>
        <d v="2025-02-26T12:07:51"/>
        <d v="2025-02-26T14:58:22"/>
        <d v="2025-02-26T21:04:28"/>
        <d v="2025-02-27T12:38:15"/>
        <d v="2025-02-27T18:40:11"/>
        <d v="2025-02-28T10:38:40"/>
        <d v="2025-02-28T21:51:00"/>
        <d v="2025-03-01T13:30:04"/>
        <d v="2025-03-01T16:42:52"/>
        <d v="2025-03-01T22:54:28"/>
        <d v="2025-03-02T02:38:15"/>
        <d v="2025-03-02T07:54:09"/>
        <d v="2025-03-02T11:24:06"/>
        <d v="2025-03-02T17:52:41"/>
        <d v="2025-03-03T03:50:52"/>
        <d v="2025-03-03T13:13:30"/>
        <d v="2025-03-03T18:47:16"/>
        <d v="2025-03-04T11:09:09"/>
        <d v="2025-03-04T21:49:23"/>
        <d v="2025-03-05T20:50:49"/>
        <d v="2025-03-06T04:59:08"/>
        <d v="2025-03-06T11:13:52"/>
        <d v="2025-03-06T16:20:23"/>
        <d v="2025-03-06T23:12:29"/>
        <d v="2025-03-07T08:51:37"/>
        <d v="2025-03-07T18:26:22"/>
        <d v="2025-03-07T22:13:42"/>
        <d v="2025-03-08T01:46:14"/>
        <d v="2025-03-08T05:47:32"/>
        <d v="2025-03-08T10:51:40"/>
        <d v="2025-03-08T17:13:18"/>
        <d v="2025-03-08T20:08:45"/>
        <d v="2025-03-08T23:10:54"/>
        <d v="2025-03-09T08:41:22"/>
        <d v="2025-03-09T08:46:08"/>
        <d v="2025-03-09T15:57:26"/>
        <d v="2025-03-10T01:27:11"/>
        <d v="2025-03-10T05:28:32"/>
        <d v="2025-03-11T16:05:04"/>
        <d v="2025-03-11T16:11:46"/>
        <d v="2025-03-11T20:43:21"/>
        <d v="2025-03-12T16:53:06"/>
        <d v="2025-03-12T23:02:27"/>
        <d v="2025-03-13T02:25:29"/>
        <d v="2025-03-13T09:55:07"/>
        <d v="2025-03-14T05:25:31"/>
        <d v="2025-03-15T06:21:37"/>
        <d v="2025-03-15T10:28:29"/>
        <d v="2025-03-15T15:20:44"/>
        <d v="2025-03-16T01:00:29"/>
        <d v="2025-03-16T04:57:44"/>
        <d v="2025-03-16T08:51:55"/>
        <d v="2025-03-16T13:16:55"/>
        <d v="2025-03-16T18:56:58"/>
        <d v="2025-03-17T01:53:45"/>
        <d v="2025-03-17T14:08:55"/>
        <d v="2025-03-17T20:47:50"/>
        <d v="2025-03-18T02:49:35"/>
        <d v="2025-03-18T21:10:26"/>
        <d v="2025-03-19T08:14:36"/>
        <d v="2025-03-19T18:08:49"/>
        <d v="2025-03-19T21:17:39"/>
        <d v="2025-03-20T07:36:56"/>
        <d v="2025-03-20T13:17:27"/>
        <d v="2025-03-20T17:46:43"/>
        <d v="2025-03-20T22:42:48"/>
        <d v="2025-03-21T06:34:28"/>
        <d v="2025-03-21T11:41:08"/>
        <d v="2025-03-21T23:10:01"/>
        <d v="2025-03-22T02:10:26"/>
        <d v="2025-03-22T02:10:27"/>
        <d v="2025-03-22T06:46:18"/>
        <d v="2025-03-22T10:12:25"/>
        <d v="2025-03-22T16:24:37"/>
        <d v="2025-03-22T23:24:42"/>
        <d v="2025-03-23T03:38:03"/>
        <d v="2025-03-23T07:22:24"/>
        <d v="2025-03-23T13:04:18"/>
        <d v="2025-03-23T18:21:11"/>
        <d v="2025-03-24T01:39:24"/>
        <d v="2025-03-24T04:35:14"/>
        <d v="2025-03-24T08:08:26"/>
        <d v="2025-03-24T13:18:19"/>
        <d v="2025-03-24T16:46:32"/>
        <d v="2025-03-25T01:55:43"/>
        <d v="2025-03-25T05:13:26"/>
        <d v="2025-03-25T12:37:30"/>
        <d v="2025-03-25T16:06:02"/>
        <d v="2025-03-26T00:44:37"/>
        <d v="2025-03-26T03:57:53"/>
        <d v="2025-03-26T07:46:26"/>
        <d v="2025-03-26T18:34:15"/>
        <d v="2025-03-27T02:03:36"/>
        <d v="2025-03-27T09:44:09"/>
        <d v="2025-03-27T18:38:34"/>
        <d v="2025-03-27T21:27:44"/>
        <d v="2025-03-28T05:42:33"/>
        <d v="2025-03-28T10:53:10"/>
        <d v="2025-03-28T10:57:31"/>
        <d v="2025-03-28T15:44:11"/>
        <d v="2025-03-29T01:33:13"/>
        <d v="2025-03-29T08:21:00"/>
        <d v="2025-03-29T14:21:50"/>
        <d v="2025-03-29T20:12:10"/>
        <d v="2025-03-30T00:55:31"/>
        <d v="2025-03-30T05:24:14"/>
        <d v="2025-03-30T17:01:16"/>
        <d v="2025-03-30T20:23:20"/>
        <d v="2025-03-30T23:12:33"/>
        <d v="2025-03-31T05:06:08"/>
        <d v="2025-03-31T08:53:08"/>
        <d v="2025-03-31T16:30:52"/>
        <d v="2025-04-01T02:21:06"/>
        <d v="2025-04-01T05:20:15"/>
        <d v="2025-04-01T08:14:02"/>
        <d v="2025-04-01T11:56:40"/>
        <d v="2025-04-01T15:20:21"/>
        <d v="2025-04-01T15:20:22"/>
        <d v="2025-04-01T18:35:11"/>
        <d v="2025-04-01T21:23:26"/>
        <d v="2025-04-02T01:47:44"/>
        <d v="2025-04-02T05:07:23"/>
        <d v="2025-04-02T08:05:15"/>
        <d v="2025-04-02T11:02:04"/>
        <d v="2025-04-02T15:55:24"/>
        <d v="2025-04-02T19:59:56"/>
        <d v="2025-04-03T01:20:37"/>
        <d v="2025-04-03T07:45:07"/>
        <d v="2025-04-03T11:01:56"/>
        <d v="2025-04-03T16:18:44"/>
        <d v="2025-04-03T22:39:12"/>
        <d v="2025-04-04T07:35:09"/>
        <d v="2025-04-04T14:57:55"/>
        <d v="2025-04-05T06:33:46"/>
        <d v="2025-04-05T09:23:06"/>
        <d v="2025-04-05T15:09:41"/>
        <d v="2025-04-05T18:12:16"/>
        <d v="2025-04-05T21:00:45"/>
        <d v="2025-04-06T01:24:32"/>
        <d v="2025-04-06T06:32:19"/>
        <d v="2025-04-06T10:14:41"/>
        <d v="2025-04-06T16:08:14"/>
        <d v="2025-04-06T21:18:12"/>
        <d v="2025-04-07T01:24:56"/>
        <d v="2025-04-07T07:26:12"/>
        <d v="2025-04-07T11:17:28"/>
        <d v="2025-04-07T14:34:14"/>
        <d v="2025-04-07T18:43:31"/>
        <d v="2025-04-07T23:34:45"/>
        <d v="2025-04-08T04:44:04"/>
        <d v="2025-04-08T09:08:37"/>
        <d v="2025-04-08T13:18:45"/>
        <d v="2025-04-08T17:18:09"/>
        <d v="2025-04-08T20:14:02"/>
        <d v="2025-04-09T02:22:25"/>
        <d v="2025-04-09T08:48:45"/>
        <d v="2025-04-09T12:44:26"/>
        <d v="2025-04-09T18:26:14"/>
        <d v="2025-04-09T21:34:37"/>
        <d v="2025-04-10T07:24:42"/>
        <d v="2025-04-10T12:39:45"/>
        <d v="2025-04-10T17:12:30"/>
        <d v="2025-04-10T22:01:10"/>
        <d v="2025-04-11T01:22:40"/>
        <d v="2025-04-11T05:26:18"/>
        <d v="2025-04-11T05:34:45"/>
        <d v="2025-04-11T09:05:45"/>
        <d v="2025-04-11T18:00:36"/>
        <d v="2025-04-12T00:47:05"/>
        <d v="2025-04-12T00:47:06"/>
        <d v="2025-04-12T04:53:04"/>
        <d v="2025-04-12T14:33:47"/>
        <d v="2025-04-12T17:47:47"/>
        <d v="2025-04-13T00:15:48"/>
        <d v="2025-04-13T04:48:28"/>
        <d v="2025-04-13T13:28:13"/>
        <d v="2025-04-13T18:29:46"/>
        <d v="2025-04-13T21:38:43"/>
        <d v="2025-04-14T02:54:57"/>
        <d v="2025-04-19T09:52:25"/>
        <d v="2025-04-20T08:11:34"/>
        <d v="2025-04-20T18:51:26"/>
        <d v="2025-04-21T12:11:56"/>
        <d v="2025-04-21T16:04:34"/>
        <d v="2025-04-22T04:35:53"/>
        <d v="2025-04-22T07:43:28"/>
        <d v="2025-04-22T12:49:14"/>
        <d v="2025-04-22T17:50:14"/>
        <d v="2025-04-22T21:00:35"/>
        <d v="2025-04-23T02:00:39"/>
        <d v="2025-04-23T07:21:20"/>
        <d v="2025-04-23T08:19:00"/>
        <d v="2025-04-23T13:27:14"/>
        <d v="2025-04-23T16:46:47"/>
        <d v="2025-04-23T20:14:04"/>
        <d v="2025-04-24T01:09:58"/>
        <d v="2025-04-24T13:45:51"/>
        <d v="2025-04-24T17:41:01"/>
        <d v="2025-04-24T20:45:29"/>
        <d v="2025-04-25T02:23:06"/>
        <d v="2025-04-25T08:34:24"/>
        <d v="2025-04-25T11:53:22"/>
        <d v="2025-04-25T20:11:08"/>
        <d v="2025-04-25T23:08:31"/>
        <d v="2025-04-26T06:46:01"/>
        <d v="2025-04-26T10:17:39"/>
        <d v="2025-04-26T13:48:10"/>
        <d v="2025-04-26T17:02:00"/>
        <d v="2025-04-26T21:18:52"/>
        <d v="2025-04-27T01:58:11"/>
        <d v="2025-04-27T08:09:29"/>
        <d v="2025-04-27T20:51:42"/>
        <d v="2025-04-28T03:01:36"/>
        <d v="2025-04-28T08:23:48"/>
        <d v="2025-04-28T15:44:16"/>
        <d v="2025-04-28T20:23:55"/>
        <d v="2025-04-28T23:20:48"/>
        <d v="2025-04-29T06:54:15"/>
        <d v="2025-04-29T13:28:18"/>
        <d v="2025-04-29T18:03:46"/>
        <d v="2025-04-29T21:09:18"/>
        <d v="2025-04-30T00:42:57"/>
        <d v="2025-04-30T06:16:33"/>
        <d v="2025-04-30T10:05:04"/>
        <d v="2025-04-30T15:05:23"/>
        <d v="2025-04-30T19:44:31"/>
        <d v="2025-04-30T22:32:08"/>
        <d v="2025-05-01T01:40:19"/>
        <d v="2025-05-01T06:42:51"/>
        <d v="2025-05-01T09:53:57"/>
        <d v="2025-05-01T14:46:07"/>
        <d v="2025-05-01T19:52:10"/>
        <d v="2025-05-02T00:34:51"/>
        <d v="2025-05-02T05:22:18"/>
        <d v="2025-05-02T10:23:46"/>
        <d v="2025-05-02T14:29:57"/>
        <d v="2025-05-02T18:47:34"/>
        <d v="2025-05-03T00:01:41"/>
        <d v="2025-05-03T06:40:46"/>
        <d v="2025-05-03T14:14:11"/>
        <d v="2025-05-03T19:27:36"/>
        <d v="2025-05-03T23:11:17"/>
        <d v="2025-05-04T03:52:47"/>
        <d v="2025-05-04T09:10:41"/>
        <d v="2025-05-04T13:53:10"/>
        <d v="2025-05-04T20:10:53"/>
        <d v="2025-05-05T01:27:27"/>
        <d v="2025-05-05T05:43:27"/>
        <d v="2025-05-05T11:21:02"/>
        <d v="2025-05-05T17:04:18"/>
        <d v="2025-05-05T21:42:15"/>
        <d v="2025-05-06T01:08:11"/>
        <d v="2025-05-06T04:16:34"/>
        <d v="2025-05-06T07:46:23"/>
        <d v="2025-05-06T11:11:11"/>
        <d v="2025-05-06T14:06:57"/>
        <d v="2025-05-06T17:01:32"/>
        <d v="2025-05-06T21:04:10"/>
        <d v="2025-05-07T02:02:52"/>
        <d v="2025-05-07T10:09:00"/>
        <d v="2025-05-07T13:05:40"/>
        <d v="2025-05-07T21:38:09"/>
        <d v="2025-05-08T01:19:52"/>
        <d v="2025-05-08T06:48:58"/>
        <d v="2025-05-08T10:04:29"/>
        <d v="2025-05-08T10:15:17"/>
        <d v="2025-05-08T13:37:29"/>
        <d v="2025-05-08T17:13:50"/>
        <d v="2025-05-08T21:54:34"/>
        <d v="2025-05-09T00:54:40"/>
        <d v="2025-05-09T04:14:49"/>
        <d v="2025-05-09T08:28:04"/>
        <d v="2025-05-09T13:12:30"/>
        <d v="2025-05-09T18:23:06"/>
        <d v="2025-05-09T22:41:07"/>
        <d v="2025-05-10T01:36:23"/>
        <d v="2025-05-10T06:18:07"/>
        <d v="2025-05-10T10:30:37"/>
        <d v="2025-05-10T14:49:22"/>
        <d v="2025-05-10T17:57:05"/>
        <d v="2025-05-10T21:00:35"/>
        <d v="2025-05-11T00:29:26"/>
        <d v="2025-05-11T00:29:27"/>
        <d v="2025-05-11T11:13:27"/>
        <d v="2025-05-11T16:37:10"/>
        <d v="2025-05-12T02:20:36"/>
        <d v="2025-05-12T05:34:47"/>
        <d v="2025-05-12T11:04:07"/>
        <d v="2025-05-12T15:04:18"/>
        <d v="2025-05-12T19:27:53"/>
        <d v="2025-05-12T19:27:54"/>
        <d v="2025-05-13T01:34:34"/>
        <d v="2025-05-13T08:05:19"/>
        <d v="2025-05-13T11:37:55"/>
        <d v="2025-05-13T21:16:39"/>
        <d v="2025-05-13T22:02:39"/>
        <d v="2025-05-14T02:51:44"/>
        <d v="2025-05-14T12:51:17"/>
        <d v="2025-05-14T16:05:13"/>
        <d v="2025-05-14T20:12:36"/>
        <d v="2025-05-14T23:09:15"/>
        <d v="2025-05-15T02:50:37"/>
        <d v="2025-05-15T12:41:02"/>
        <d v="2025-05-15T17:36:36"/>
        <d v="2025-05-15T20:28:14"/>
        <d v="2025-05-16T00:43:48"/>
        <d v="2025-05-16T04:22:37"/>
        <d v="2025-05-16T10:12:47"/>
        <d v="2025-05-16T15:46:13"/>
        <d v="2025-05-16T18:32:21"/>
        <d v="2025-05-16T23:53:45"/>
        <d v="2025-05-17T06:03:32"/>
        <d v="2025-05-17T13:18:47"/>
        <d v="2025-05-17T13:18:48"/>
        <d v="2025-05-17T17:01:22"/>
        <d v="2025-05-17T20:08:49"/>
        <d v="2025-05-18T02:23:30"/>
        <d v="2025-05-18T06:38:22"/>
        <d v="2025-05-18T12:30:46"/>
        <d v="2025-05-18T18:00:55"/>
        <d v="2025-05-18T21:07:23"/>
        <d v="2025-05-19T03:38:12"/>
        <d v="2025-05-19T13:35:16"/>
        <d v="2025-05-19T19:57:32"/>
        <d v="2025-05-20T01:49:34"/>
        <d v="2025-05-20T06:45:04"/>
        <d v="2025-05-20T12:14:58"/>
        <d v="2025-05-20T16:48:31"/>
        <d v="2025-05-20T20:55:32"/>
        <d v="2025-05-21T01:21:51"/>
        <d v="2025-05-21T05:27:29"/>
        <d v="2025-05-21T10:57:55"/>
        <d v="2025-05-21T14:47:06"/>
        <d v="2025-03-25T02:44:44"/>
        <d v="2025-03-25T10:59:34"/>
        <d v="2025-03-25T15:18:10"/>
        <d v="2025-03-25T20:20:34"/>
        <d v="2025-03-26T08:22:01"/>
        <d v="2025-03-26T13:00:50"/>
        <d v="2025-03-26T16:06:36"/>
        <d v="2025-03-26T20:42:02"/>
        <d v="2025-03-27T02:44:31"/>
        <d v="2025-03-27T08:05:23"/>
        <d v="2025-03-27T16:05:54"/>
        <d v="2025-03-27T20:14:08"/>
        <d v="2025-03-28T01:07:24"/>
        <d v="2025-03-28T06:07:43"/>
        <d v="2025-03-28T20:48:57"/>
        <d v="2025-03-29T00:35:27"/>
        <d v="2025-03-29T06:00:58"/>
        <d v="2025-03-29T12:28:11"/>
        <d v="2025-03-29T15:16:56"/>
        <d v="2025-03-29T20:27:53"/>
        <d v="2025-03-30T00:54:22"/>
        <d v="2025-03-30T16:49:59"/>
        <d v="2025-03-30T21:32:19"/>
        <d v="2025-03-31T06:02:07"/>
        <d v="2025-03-31T06:02:08"/>
        <d v="2025-03-31T21:57:55"/>
        <d v="2025-04-02T18:11:46"/>
        <d v="2025-04-02T18:11:47"/>
        <d v="2025-04-02T20:56:33"/>
        <d v="2025-04-03T01:15:49"/>
        <d v="2025-04-03T06:06:14"/>
        <d v="2025-04-03T10:58:10"/>
        <d v="2025-04-03T17:22:55"/>
        <d v="2025-04-03T22:04:22"/>
        <d v="2025-04-04T06:27:39"/>
        <d v="2025-04-04T09:30:56"/>
        <d v="2025-04-04T13:24:52"/>
        <d v="2025-04-04T18:20:02"/>
        <d v="2025-04-04T18:20:03"/>
        <d v="2025-04-04T22:36:49"/>
        <d v="2025-04-05T03:46:17"/>
        <d v="2025-04-05T08:07:38"/>
        <d v="2025-04-05T13:17:33"/>
        <d v="2025-04-05T16:11:28"/>
        <d v="2025-04-05T20:34:04"/>
        <d v="2025-04-05T23:25:07"/>
        <d v="2025-04-06T10:12:49"/>
        <d v="2025-04-06T13:52:55"/>
        <d v="2025-04-06T18:43:11"/>
        <d v="2025-04-06T21:34:57"/>
        <d v="2025-04-07T00:50:03"/>
        <d v="2025-04-07T06:35:41"/>
        <d v="2025-04-07T18:33:52"/>
        <d v="2025-04-07T23:10:28"/>
        <d v="2025-04-08T02:59:25"/>
        <d v="2025-04-08T06:43:10"/>
        <d v="2025-04-08T09:30:30"/>
        <d v="2025-04-08T17:39:45"/>
        <d v="2025-04-08T20:28:21"/>
        <d v="2025-04-09T05:42:25"/>
        <d v="2025-04-09T08:34:52"/>
        <d v="2025-04-09T11:41:02"/>
        <d v="2025-04-09T16:06:57"/>
        <d v="2025-04-09T21:37:12"/>
        <d v="2025-04-10T01:53:17"/>
        <d v="2025-04-10T17:04:44"/>
        <d v="2025-04-11T00:46:13"/>
        <d v="2025-04-11T03:35:16"/>
        <d v="2025-04-11T06:49:51"/>
        <d v="2025-04-11T07:22:04"/>
        <d v="2025-04-11T13:44:43"/>
        <d v="2025-04-11T13:44:44"/>
        <d v="2025-04-11T23:03:01"/>
        <d v="2025-04-12T02:08:08"/>
        <d v="2025-04-12T09:38:02"/>
        <d v="2025-04-12T16:16:58"/>
        <d v="2025-04-12T19:47:53"/>
        <d v="2025-04-12T22:44:45"/>
        <d v="2025-04-13T02:14:48"/>
        <d v="2025-04-13T05:06:05"/>
        <d v="2025-04-13T11:12:08"/>
        <d v="2025-04-13T14:20:17"/>
        <d v="2025-04-13T18:51:56"/>
        <d v="2025-04-13T22:02:46"/>
        <d v="2025-04-14T01:41:17"/>
        <d v="2025-04-14T04:32:09"/>
        <d v="2025-04-14T08:49:45"/>
        <d v="2025-04-14T13:46:22"/>
        <d v="2025-04-14T17:03:34"/>
        <d v="2025-04-14T20:24:24"/>
        <d v="2025-04-14T23:17:23"/>
        <d v="2025-04-15T02:26:57"/>
        <d v="2025-04-15T05:45:37"/>
        <d v="2025-04-15T09:12:01"/>
        <d v="2025-04-15T20:28:12"/>
        <d v="2025-04-16T09:25:46"/>
        <d v="2025-04-16T13:06:10"/>
        <d v="2025-04-16T15:58:23"/>
        <d v="2025-04-16T20:25:18"/>
        <d v="2025-04-17T02:21:33"/>
        <d v="2025-04-17T05:13:57"/>
        <d v="2025-04-17T09:50:02"/>
        <d v="2025-04-17T14:36:09"/>
        <d v="2025-04-17T19:42:54"/>
        <d v="2025-04-17T23:02:22"/>
        <d v="2025-04-18T02:02:34"/>
        <d v="2025-04-18T05:28:06"/>
        <d v="2025-04-18T13:54:33"/>
        <d v="2025-04-18T19:25:51"/>
        <d v="2025-04-18T23:12:07"/>
        <d v="2025-04-19T08:57:45"/>
        <d v="2025-04-19T13:36:22"/>
        <d v="2025-04-20T03:52:00"/>
        <d v="2025-04-20T17:03:27"/>
        <d v="2025-04-21T02:44:30"/>
        <d v="2025-04-21T13:18:45"/>
        <d v="2025-04-21T20:44:55"/>
        <d v="2025-04-22T01:46:56"/>
        <d v="2025-04-22T06:08:08"/>
        <d v="2025-04-22T11:01:16"/>
        <d v="2025-04-22T18:31:41"/>
        <d v="2025-04-23T01:44:47"/>
        <d v="2025-04-23T06:36:40"/>
        <d v="2025-04-23T06:36:41"/>
        <d v="2025-04-23T11:32:40"/>
        <d v="2025-04-23T18:00:55"/>
        <d v="2025-04-24T00:10:28"/>
        <d v="2025-04-24T05:01:31"/>
        <d v="2025-04-24T10:59:09"/>
        <d v="2025-04-24T15:45:57"/>
        <d v="2025-04-24T20:17:07"/>
        <d v="2025-04-24T23:02:14"/>
        <d v="2025-04-25T02:22:10"/>
        <d v="2025-04-25T07:55:25"/>
        <d v="2025-04-25T16:33:16"/>
        <d v="2025-04-25T23:01:37"/>
        <d v="2025-04-26T01:51:06"/>
        <d v="2025-04-26T11:48:58"/>
        <d v="2025-04-26T14:41:08"/>
        <d v="2025-04-26T21:19:29"/>
        <d v="2025-04-27T01:09:46"/>
        <d v="2025-04-27T05:34:09"/>
        <d v="2025-04-27T08:28:19"/>
        <d v="2025-04-27T18:21:03"/>
        <d v="2025-04-28T00:47:33"/>
        <d v="2025-04-28T07:51:58"/>
        <d v="2025-04-28T10:49:24"/>
        <d v="2025-04-28T18:33:00"/>
        <d v="2025-04-28T21:48:07"/>
        <d v="2025-04-29T01:36:39"/>
        <d v="2025-04-29T08:14:57"/>
        <d v="2025-04-29T11:11:42"/>
        <d v="2025-04-29T14:07:20"/>
        <d v="2025-04-29T23:13:00"/>
        <d v="2025-04-30T05:34:56"/>
        <d v="2025-04-30T08:21:08"/>
        <d v="2025-04-30T11:12:27"/>
        <d v="2025-04-30T15:09:05"/>
        <d v="2025-04-30T19:53:50"/>
        <d v="2025-05-01T00:44:01"/>
        <d v="2025-05-01T09:40:41"/>
        <d v="2025-05-01T23:18:13"/>
        <d v="2025-05-02T04:42:30"/>
        <d v="2025-05-02T09:47:38"/>
        <d v="2025-05-02T14:33:13"/>
        <d v="2025-05-02T22:59:40"/>
        <d v="2025-05-03T06:10:38"/>
        <d v="2025-05-03T11:50:31"/>
        <d v="2025-05-03T16:51:56"/>
        <d v="2025-05-03T20:21:49"/>
        <d v="2025-05-04T01:37:34"/>
        <d v="2025-05-04T08:08:09"/>
        <d v="2025-05-04T11:51:28"/>
        <d v="2025-05-04T19:47:05"/>
        <d v="2025-05-04T23:37:50"/>
        <d v="2025-05-05T09:27:49"/>
        <d v="2025-05-05T12:16:23"/>
        <d v="2025-05-05T16:02:05"/>
        <d v="2025-05-05T19:59:45"/>
        <d v="2025-05-06T03:06:11"/>
        <d v="2025-05-06T05:54:37"/>
        <d v="2025-05-06T09:45:21"/>
        <d v="2025-05-06T12:43:30"/>
        <d v="2025-05-06T16:03:55"/>
        <d v="2025-05-06T20:36:29"/>
        <d v="2025-05-07T01:25:11"/>
        <d v="2025-05-07T06:50:19"/>
        <d v="2025-05-07T23:09:28"/>
        <d v="2025-05-07T23:09:29"/>
        <d v="2025-05-08T06:41:00"/>
        <d v="2025-05-08T14:13:02"/>
        <d v="2025-05-08T17:19:33"/>
        <d v="2025-05-08T17:19:34"/>
        <d v="2025-05-08T19:33:35"/>
        <d v="2025-05-09T02:45:24"/>
        <d v="2025-05-09T06:29:09"/>
        <d v="2025-05-09T09:41:21"/>
        <d v="2025-05-09T09:41:22"/>
        <d v="2025-05-09T16:18:06"/>
        <d v="2025-05-09T22:58:43"/>
        <d v="2025-05-10T03:56:07"/>
        <d v="2025-05-10T08:33:14"/>
        <d v="2025-05-10T13:24:44"/>
        <d v="2025-05-10T17:37:05"/>
        <d v="2025-05-10T20:28:46"/>
        <d v="2025-05-10T23:14:02"/>
        <d v="2025-05-11T06:19:47"/>
        <d v="2025-05-11T13:44:23"/>
        <d v="2025-05-11T18:47:15"/>
        <d v="2025-05-11T21:32:34"/>
        <d v="2025-05-12T00:16:55"/>
        <d v="2025-05-12T02:59:26"/>
        <d v="2025-05-12T05:50:28"/>
        <d v="2025-05-12T11:08:20"/>
        <d v="2025-05-12T16:49:47"/>
        <d v="2025-05-12T20:13:57"/>
        <d v="2025-05-13T00:20:42"/>
        <d v="2025-05-13T06:34:39"/>
        <d v="2025-05-13T10:41:33"/>
        <d v="2025-05-13T13:36:10"/>
        <d v="2025-05-13T16:41:26"/>
        <d v="2025-05-13T20:23:43"/>
        <d v="2025-05-14T06:56:31"/>
        <d v="2025-05-14T13:21:14"/>
        <d v="2025-05-14T17:52:10"/>
        <d v="2025-05-14T20:43:00"/>
        <d v="2025-05-15T02:20:10"/>
        <d v="2025-05-17T08:10:05"/>
        <d v="2025-05-17T12:27:41"/>
        <d v="2025-05-17T21:50:36"/>
        <d v="2025-05-18T10:16:32"/>
        <d v="2025-05-18T13:21:53"/>
        <d v="2025-05-18T19:57:08"/>
        <d v="2025-05-19T03:36:13"/>
        <d v="2025-05-19T08:26:03"/>
        <d v="2025-05-19T11:18:58"/>
        <d v="2025-05-19T14:29:42"/>
        <d v="2025-05-19T20:27:44"/>
        <d v="2025-05-19T23:16:55"/>
        <d v="2025-05-20T03:24:50"/>
        <d v="2025-05-20T08:45:57"/>
        <d v="2025-05-20T08:45:58"/>
        <d v="2025-05-20T13:39:47"/>
        <d v="2025-05-20T14:37:03"/>
        <d v="2025-05-21T04:32:38"/>
        <d v="2025-05-21T10:27:20"/>
        <d v="2025-01-07T17:13:43"/>
        <d v="2025-01-08T05:55:25"/>
        <d v="2025-01-08T06:08:13"/>
        <d v="2025-01-09T06:29:29"/>
        <d v="2025-01-10T06:10:02"/>
        <d v="2025-01-10T13:26:52"/>
        <d v="2025-01-10T16:36:06"/>
        <d v="2025-01-11T14:06:52"/>
        <d v="2025-01-12T08:00:48"/>
        <d v="2025-01-13T05:46:33"/>
        <d v="2025-01-13T08:39:12"/>
        <d v="2025-01-14T17:10:28"/>
        <d v="2025-01-15T09:57:13"/>
        <d v="2025-01-15T14:57:15"/>
        <d v="2025-01-15T19:26:35"/>
        <d v="2025-01-15T19:58:40"/>
        <d v="2025-01-15T20:12:59"/>
        <d v="2025-01-16T05:43:21"/>
        <d v="2025-01-16T11:54:04"/>
        <d v="2025-01-16T16:44:28"/>
        <d v="2025-01-16T21:38:11"/>
        <d v="2025-01-17T17:29:41"/>
        <d v="2025-01-18T00:07:46"/>
        <d v="2025-01-18T04:19:22"/>
        <d v="2025-01-22T22:37:15"/>
        <d v="2025-01-23T06:14:55"/>
        <d v="2025-01-25T02:34:44"/>
        <d v="2025-01-25T11:43:07"/>
        <d v="2025-01-25T17:41:31"/>
        <d v="2025-01-25T21:15:56"/>
        <d v="2025-01-25T22:07:37"/>
        <d v="2025-01-26T18:31:31"/>
        <d v="2025-01-26T21:27:54"/>
        <d v="2025-01-27T05:17:58"/>
        <d v="2025-01-27T09:02:29"/>
        <d v="2025-01-27T13:31:17"/>
        <d v="2025-01-27T23:29:39"/>
        <d v="2025-02-01T12:34:55"/>
        <d v="2025-02-02T05:14:29"/>
        <d v="2025-02-02T16:01:26"/>
        <d v="2025-02-03T08:26:30"/>
        <d v="2025-02-03T12:14:22"/>
        <d v="2025-02-03T15:03:59"/>
        <d v="2025-02-04T02:09:57"/>
        <d v="2025-02-04T06:47:11"/>
        <d v="2025-02-04T10:35:57"/>
        <d v="2025-02-04T15:33:36"/>
        <d v="2025-02-04T15:33:37"/>
        <d v="2025-02-04T19:28:09"/>
        <d v="2025-02-05T09:33:37"/>
        <d v="2025-02-05T10:12:43"/>
        <d v="2025-02-05T15:08:36"/>
        <d v="2025-02-06T01:30:53"/>
        <d v="2025-02-07T07:24:04"/>
        <d v="2025-02-07T12:59:18"/>
        <d v="2025-02-07T18:40:51"/>
        <d v="2025-02-07T21:58:49"/>
        <d v="2025-02-08T03:29:28"/>
        <d v="2025-02-09T11:22:28"/>
        <d v="2025-02-09T20:21:58"/>
        <d v="2025-02-10T15:06:19"/>
        <d v="2025-02-11T01:02:34"/>
        <d v="2025-02-11T11:27:55"/>
        <d v="2025-02-11T16:46:21"/>
        <d v="2025-02-11T16:46:22"/>
        <d v="2025-02-12T23:08:54"/>
        <d v="2025-02-13T05:07:07"/>
        <d v="2025-02-13T10:56:02"/>
        <d v="2025-02-14T08:35:34"/>
        <d v="2025-02-14T16:15:47"/>
        <d v="2025-02-14T20:58:06"/>
        <d v="2025-02-15T01:12:57"/>
        <d v="2025-02-15T05:28:16"/>
        <d v="2025-02-15T20:11:20"/>
        <d v="2025-02-16T01:31:33"/>
        <d v="2025-02-16T21:34:33"/>
        <d v="2025-02-17T08:08:13"/>
        <d v="2025-02-17T13:12:04"/>
        <d v="2025-02-17T17:35:24"/>
        <d v="2025-02-17T17:35:25"/>
        <d v="2025-02-18T02:48:31"/>
        <d v="2025-02-18T16:44:22"/>
        <d v="2025-02-19T06:39:07"/>
        <d v="2025-02-19T09:50:21"/>
        <d v="2025-02-19T13:18:11"/>
        <d v="2025-02-20T05:16:36"/>
        <d v="2025-02-20T05:16:37"/>
        <d v="2025-02-20T10:35:11"/>
        <d v="2025-02-20T13:45:46"/>
        <d v="2025-02-20T16:50:46"/>
        <d v="2025-02-20T20:51:06"/>
        <d v="2025-02-21T01:45:22"/>
        <d v="2025-02-21T06:19:52"/>
        <d v="2025-02-21T13:39:38"/>
        <d v="2025-02-21T18:14:09"/>
        <d v="2025-02-22T03:11:39"/>
        <d v="2025-02-22T08:35:17"/>
        <d v="2025-02-22T22:14:28"/>
        <d v="2025-02-26T22:27:43"/>
        <d v="2025-02-28T22:17:12"/>
        <d v="2025-03-01T22:05:17"/>
        <d v="2025-03-08T10:56:45"/>
        <d v="2025-03-16T13:51:46"/>
        <d v="2025-03-18T06:25:09"/>
        <d v="2025-03-19T00:03:40"/>
        <d v="2025-03-19T07:58:08"/>
        <d v="2025-03-20T20:39:20"/>
        <d v="2025-03-21T01:57:21"/>
        <d v="2025-03-24T13:21:20"/>
        <d v="2025-03-25T00:34:52"/>
        <d v="2025-03-25T03:40:12"/>
        <d v="2025-03-29T02:23:31"/>
        <d v="2025-03-29T14:37:31"/>
        <d v="2025-03-31T06:18:32"/>
        <d v="2025-03-31T06:18:33"/>
        <d v="2025-03-31T16:40:52"/>
        <d v="2025-03-31T16:55:42"/>
        <d v="2025-04-01T07:41:48"/>
        <d v="2025-04-01T13:31:20"/>
        <d v="2025-04-01T16:44:59"/>
        <d v="2025-04-01T19:44:04"/>
        <d v="2025-04-02T01:09:39"/>
        <d v="2025-04-02T04:16:02"/>
        <d v="2025-04-02T08:16:05"/>
        <d v="2025-04-02T11:18:53"/>
        <d v="2025-04-02T16:01:15"/>
        <d v="2025-04-02T22:11:54"/>
        <d v="2025-04-03T08:11:18"/>
        <d v="2025-04-03T18:06:16"/>
        <d v="2025-04-04T08:46:25"/>
        <d v="2025-04-04T15:57:24"/>
        <d v="2025-04-05T18:31:33"/>
        <d v="2025-04-05T22:33:13"/>
        <d v="2025-04-06T05:23:01"/>
        <d v="2025-04-06T10:59:24"/>
        <d v="2025-04-06T20:10:45"/>
        <d v="2025-04-06T23:15:34"/>
        <d v="2025-04-07T23:30:48"/>
        <d v="2025-04-07T23:45:13"/>
        <d v="2025-04-08T02:48:39"/>
        <d v="2025-04-08T05:40:58"/>
        <d v="2025-04-08T10:39:00"/>
        <d v="2025-04-08T15:01:05"/>
        <d v="2025-04-08T18:49:36"/>
        <d v="2025-04-08T21:46:54"/>
        <d v="2025-04-09T00:50:01"/>
        <d v="2025-04-09T10:20:45"/>
        <d v="2025-04-15T01:13:33"/>
        <d v="2025-04-15T05:32:10"/>
        <d v="2025-04-15T11:05:41"/>
        <d v="2025-04-15T20:24:00"/>
        <d v="2025-04-16T14:10:13"/>
        <d v="2025-04-17T05:17:14"/>
        <d v="2025-04-17T10:17:51"/>
        <d v="2025-04-18T01:45:24"/>
        <d v="2025-04-18T06:29:06"/>
        <d v="2025-04-19T01:29:48"/>
        <d v="2025-04-19T18:55:21"/>
        <d v="2025-04-20T20:01:28"/>
        <d v="2025-04-21T06:47:56"/>
        <d v="2025-04-21T14:47:55"/>
        <d v="2025-04-21T18:33:25"/>
        <d v="2025-04-21T23:03:55"/>
        <d v="2025-04-22T07:46:06"/>
        <d v="2025-04-22T16:23:02"/>
        <d v="2025-04-23T09:31:09"/>
        <d v="2025-04-23T18:28:36"/>
        <d v="2025-04-26T00:48:37"/>
        <d v="2025-04-26T18:09:51"/>
        <d v="2025-04-26T22:41:38"/>
        <d v="2025-04-27T10:07:24"/>
        <d v="2025-04-27T21:01:51"/>
        <d v="2025-04-28T22:05:08"/>
        <d v="2025-04-29T07:23:52"/>
        <d v="2025-04-29T13:20:54"/>
        <d v="2025-04-29T18:48:07"/>
        <d v="2025-04-29T22:54:25"/>
        <d v="2025-04-30T09:05:54"/>
        <d v="2025-04-30T21:26:03"/>
        <d v="2025-05-01T00:47:20"/>
        <d v="2025-05-01T15:04:58"/>
        <d v="2025-05-01T20:27:35"/>
        <d v="2025-05-02T13:28:08"/>
        <d v="2025-05-02T16:50:29"/>
        <d v="2025-05-02T19:59:45"/>
        <d v="2025-05-03T01:33:07"/>
        <d v="2025-05-03T16:13:07"/>
        <d v="2025-05-03T20:45:22"/>
        <d v="2025-05-04T06:51:42"/>
        <d v="2025-05-04T22:28:32"/>
        <d v="2025-05-06T23:13:35"/>
        <d v="2025-05-07T03:30:57"/>
        <d v="2025-05-09T04:37:57"/>
        <d v="2025-05-09T13:19:08"/>
        <d v="2025-05-09T18:48:29"/>
        <d v="2025-05-10T00:55:24"/>
        <d v="2025-05-10T08:14:51"/>
        <d v="2025-05-10T22:09:07"/>
        <d v="2025-05-11T17:01:03"/>
        <d v="2025-05-11T20:01:05"/>
        <d v="2025-05-11T23:15:33"/>
        <d v="2025-05-12T03:58:19"/>
        <d v="2025-05-12T11:09:31"/>
        <d v="2025-05-12T15:14:03"/>
        <d v="2025-05-12T20:58:15"/>
        <d v="2025-05-13T06:17:48"/>
        <d v="2025-05-13T10:47:31"/>
        <d v="2025-05-13T17:32:39"/>
        <d v="2025-05-13T17:37:18"/>
        <d v="2025-05-13T22:07:11"/>
        <d v="2025-05-14T22:14:48"/>
        <d v="2025-05-15T06:41:30"/>
        <d v="2025-05-15T12:45:48"/>
        <d v="2025-05-16T02:27:47"/>
        <d v="2025-05-16T02:27:48"/>
        <d v="2025-05-16T06:15:40"/>
        <d v="2025-05-16T20:34:09"/>
        <d v="2025-05-18T11:10:15"/>
        <d v="2025-05-18T11:10:16"/>
        <d v="2025-05-20T19:28:36"/>
        <d v="2025-05-20T23:15:36"/>
        <d v="2025-05-21T06:24:40"/>
        <d v="2024-11-14T21:56:33" u="1"/>
        <d v="2024-11-15T20:56:49" u="1"/>
        <d v="2024-11-16T02:39:46" u="1"/>
        <d v="2024-11-16T08:39:25" u="1"/>
        <d v="2024-11-16T11:34:40" u="1"/>
        <d v="2024-11-17T06:44:30" u="1"/>
        <d v="2024-11-17T16:14:18" u="1"/>
        <d v="2024-11-18T00:07:38" u="1"/>
        <d v="2024-11-18T08:20:46" u="1"/>
        <d v="2024-11-18T13:43:37" u="1"/>
        <d v="2024-11-18T18:24:03" u="1"/>
        <d v="2024-11-18T21:12:54" u="1"/>
        <d v="2024-11-19T04:42:56" u="1"/>
        <d v="2024-11-19T09:00:44" u="1"/>
        <d v="2024-11-20T21:09:39" u="1"/>
        <d v="2024-11-21T01:43:50" u="1"/>
        <d v="2024-11-21T06:53:45" u="1"/>
        <d v="2024-11-21T12:56:34" u="1"/>
        <d v="2024-11-22T03:32:23" u="1"/>
        <d v="2024-11-22T09:28:05" u="1"/>
        <d v="2024-11-22T17:44:20" u="1"/>
        <d v="2024-11-23T01:01:59" u="1"/>
        <d v="2024-11-23T04:51:50" u="1"/>
        <d v="2024-11-23T14:47:07" u="1"/>
        <d v="2024-11-23T20:50:55" u="1"/>
        <d v="2024-11-24T11:03:15" u="1"/>
        <d v="2024-11-24T14:00:22" u="1"/>
        <d v="2024-11-24T20:56:28" u="1"/>
        <d v="2024-11-25T02:55:24" u="1"/>
        <d v="2024-11-25T02:55:25" u="1"/>
        <d v="2024-11-25T10:14:28" u="1"/>
        <d v="2024-11-25T14:15:39" u="1"/>
        <d v="2024-11-25T20:15:21" u="1"/>
        <d v="2024-11-26T03:15:57" u="1"/>
        <d v="2024-11-26T08:51:34" u="1"/>
        <d v="2024-11-26T08:51:35" u="1"/>
        <d v="2024-11-26T21:20:57" u="1"/>
        <d v="2024-11-27T00:46:52" u="1"/>
        <d v="2024-11-27T09:15:03" u="1"/>
        <d v="2024-11-27T13:56:21" u="1"/>
        <d v="2024-11-27T18:15:39" u="1"/>
        <d v="2024-11-27T22:09:13" u="1"/>
        <d v="2024-11-28T06:30:24" u="1"/>
        <d v="2024-11-28T14:21:12" u="1"/>
        <d v="2024-11-28T18:46:17" u="1"/>
        <d v="2024-11-28T18:46:18" u="1"/>
        <d v="2024-11-28T23:13:03" u="1"/>
        <d v="2024-11-29T02:52:23" u="1"/>
        <d v="2024-11-29T08:19:39" u="1"/>
        <d v="2024-11-29T11:19:22" u="1"/>
        <d v="2024-11-29T14:27:32" u="1"/>
        <d v="2024-11-29T17:19:29" u="1"/>
        <d v="2024-11-30T04:23:56" u="1"/>
        <d v="2024-11-30T08:38:06" u="1"/>
        <d v="2024-11-30T11:45:55" u="1"/>
        <d v="2024-11-30T14:58:34" u="1"/>
        <d v="2024-11-30T17:46:14" u="1"/>
        <d v="2024-11-30T22:04:55" u="1"/>
        <d v="2024-12-01T01:42:51" u="1"/>
        <d v="2024-12-01T10:46:47" u="1"/>
        <d v="2024-12-01T14:51:36" u="1"/>
        <d v="2024-12-01T20:40:10" u="1"/>
        <d v="2024-12-02T01:10:44" u="1"/>
        <d v="2024-12-02T06:13:55" u="1"/>
        <d v="2024-12-02T11:12:41" u="1"/>
        <d v="2024-12-02T14:19:40" u="1"/>
        <d v="2024-12-02T18:52:47" u="1"/>
        <d v="2024-12-03T00:35:14" u="1"/>
        <d v="2024-12-03T05:51:26" u="1"/>
        <d v="2024-12-03T09:38:00" u="1"/>
        <d v="2024-09-07T18:08:21" u="1"/>
        <d v="2024-09-08T13:41:59" u="1"/>
        <d v="2024-09-08T16:49:59" u="1"/>
        <d v="2024-09-08T20:16:44" u="1"/>
        <d v="2024-09-08T23:11:23" u="1"/>
        <d v="2024-09-09T03:18:47" u="1"/>
        <d v="2024-09-09T13:11:44" u="1"/>
        <d v="2024-09-09T19:54:12" u="1"/>
        <d v="2024-09-10T01:59:04" u="1"/>
        <d v="2024-09-10T05:43:34" u="1"/>
        <d v="2024-09-10T12:21:41" u="1"/>
        <d v="2024-09-10T22:01:34" u="1"/>
        <d v="2024-09-11T02:33:05" u="1"/>
        <d v="2024-09-11T10:28:26" u="1"/>
        <d v="2024-09-11T17:15:03" u="1"/>
        <d v="2024-09-11T17:15:04" u="1"/>
        <d v="2024-09-12T02:20:27" u="1"/>
        <d v="2024-09-12T20:14:05" u="1"/>
        <d v="2024-09-13T06:15:10" u="1"/>
        <d v="2024-09-13T22:03:38" u="1"/>
        <d v="2024-09-13T22:16:17" u="1"/>
        <d v="2024-09-14T08:15:16" u="1"/>
        <d v="2024-09-14T17:00:53" u="1"/>
        <d v="2024-09-15T01:55:44" u="1"/>
        <d v="2024-09-15T06:04:25" u="1"/>
        <d v="2024-09-15T14:53:57" u="1"/>
        <d v="2024-09-17T01:34:02" u="1"/>
        <d v="2024-09-17T07:32:01" u="1"/>
        <d v="2024-09-17T12:24:36" u="1"/>
        <d v="2024-09-17T16:07:17" u="1"/>
        <d v="2024-09-17T20:00:37" u="1"/>
        <d v="2024-09-18T00:47:07" u="1"/>
        <d v="2024-09-18T06:01:45" u="1"/>
        <d v="2024-09-18T10:32:33" u="1"/>
        <d v="2024-09-18T14:11:51" u="1"/>
        <d v="2024-09-18T17:14:23" u="1"/>
        <d v="2024-09-18T22:45:58" u="1"/>
        <d v="2024-09-19T03:58:09" u="1"/>
        <d v="2024-09-19T10:14:48" u="1"/>
        <d v="2024-09-19T18:02:40" u="1"/>
        <d v="2024-09-19T22:26:01" u="1"/>
        <d v="2024-09-20T04:13:48" u="1"/>
        <d v="2024-09-20T08:29:20" u="1"/>
        <d v="2024-09-20T12:42:01" u="1"/>
        <d v="2024-09-21T16:22:00" u="1"/>
        <d v="2024-09-22T14:06:39" u="1"/>
        <d v="2024-09-22T17:21:15" u="1"/>
        <d v="2024-09-23T06:36:59" u="1"/>
        <d v="2024-09-23T06:40:20" u="1"/>
        <d v="2024-09-23T11:38:35" u="1"/>
        <d v="2024-09-23T16:37:00" u="1"/>
        <d v="2024-09-24T01:17:41" u="1"/>
        <d v="2024-09-24T16:15:27" u="1"/>
        <d v="2024-09-24T20:04:28" u="1"/>
        <d v="2024-09-24T22:52:17" u="1"/>
        <d v="2024-09-25T10:29:37" u="1"/>
        <d v="2024-09-25T17:56:35" u="1"/>
        <d v="2024-09-26T04:24:44" u="1"/>
        <d v="2024-09-26T08:02:13" u="1"/>
        <d v="2024-09-26T11:11:16" u="1"/>
        <d v="2024-09-26T18:06:58" u="1"/>
        <d v="2024-09-26T21:38:21" u="1"/>
        <d v="2024-09-27T02:08:24" u="1"/>
        <d v="2024-09-27T08:25:26" u="1"/>
        <d v="2024-09-27T17:22:14" u="1"/>
        <d v="2024-09-27T21:31:16" u="1"/>
        <d v="2024-09-29T13:20:29" u="1"/>
        <d v="2024-09-30T11:05:14" u="1"/>
        <d v="2024-09-30T11:05:15" u="1"/>
        <d v="2024-10-01T20:43:23" u="1"/>
        <d v="2024-10-02T14:50:48" u="1"/>
        <d v="2024-10-02T17:58:28" u="1"/>
        <d v="2024-10-02T22:27:40" u="1"/>
        <d v="2024-10-03T06:20:22" u="1"/>
        <d v="2024-10-03T15:03:32" u="1"/>
        <d v="2024-10-04T11:31:45" u="1"/>
        <d v="2024-10-06T02:32:18" u="1"/>
        <d v="2024-10-06T07:20:04" u="1"/>
        <d v="2024-10-06T13:37:51" u="1"/>
        <d v="2024-10-06T22:53:42" u="1"/>
        <d v="2024-10-07T04:10:49" u="1"/>
        <d v="2024-10-07T13:37:22" u="1"/>
        <d v="2024-10-07T16:55:26" u="1"/>
        <d v="2024-10-08T03:17:32" u="1"/>
        <d v="2024-10-08T08:06:09" u="1"/>
        <d v="2024-10-08T16:35:28" u="1"/>
        <d v="2024-10-08T20:17:16" u="1"/>
        <d v="2024-10-09T02:53:43" u="1"/>
        <d v="2024-10-09T07:56:58" u="1"/>
        <d v="2024-10-09T14:39:57" u="1"/>
        <d v="2024-10-09T21:07:46" u="1"/>
        <d v="2024-10-10T02:07:50" u="1"/>
        <d v="2024-10-10T17:43:23" u="1"/>
        <d v="2024-10-10T23:00:12" u="1"/>
        <d v="2024-10-12T20:41:56" u="1"/>
        <d v="2024-10-13T02:29:46" u="1"/>
        <d v="2024-10-13T10:42:38" u="1"/>
        <d v="2024-10-13T14:46:22" u="1"/>
        <d v="2024-10-13T20:14:16" u="1"/>
        <d v="2024-10-14T00:36:49" u="1"/>
        <d v="2024-10-14T00:36:50" u="1"/>
        <d v="2024-10-14T05:10:12" u="1"/>
        <d v="2024-10-14T08:47:21" u="1"/>
        <d v="2024-10-14T11:42:41" u="1"/>
        <d v="2024-10-14T16:34:22" u="1"/>
        <d v="2024-10-15T01:31:16" u="1"/>
        <d v="2024-10-15T06:28:29" u="1"/>
        <d v="2024-10-15T18:39:09" u="1"/>
        <d v="2024-10-15T23:22:12" u="1"/>
        <d v="2024-10-16T05:05:03" u="1"/>
        <d v="2024-10-16T14:15:58" u="1"/>
        <d v="2024-10-16T22:04:28" u="1"/>
        <d v="2024-10-17T04:11:20" u="1"/>
        <d v="2024-10-17T08:58:43" u="1"/>
        <d v="2024-10-17T12:39:34" u="1"/>
        <d v="2024-10-17T17:36:42" u="1"/>
        <d v="2024-10-18T01:13:43" u="1"/>
        <d v="2024-10-18T06:10:40" u="1"/>
        <d v="2024-10-18T12:45:06" u="1"/>
        <d v="2024-10-18T20:27:46" u="1"/>
        <d v="2024-10-19T01:38:25" u="1"/>
        <d v="2024-10-19T04:31:23" u="1"/>
        <d v="2024-10-19T07:58:32" u="1"/>
        <d v="2024-10-19T13:50:13" u="1"/>
        <d v="2024-10-19T19:57:07" u="1"/>
        <d v="2024-10-20T00:27:42" u="1"/>
        <d v="2024-10-20T04:32:04" u="1"/>
        <d v="2024-10-20T16:05:39" u="1"/>
        <d v="2024-10-21T00:15:44" u="1"/>
        <d v="2024-10-21T03:11:52" u="1"/>
        <d v="2024-10-21T05:59:27" u="1"/>
        <d v="2024-10-21T20:31:42" u="1"/>
        <d v="2024-10-22T01:37:42" u="1"/>
        <d v="2024-10-22T19:48:29" u="1"/>
        <d v="2024-10-22T19:48:30" u="1"/>
        <d v="2024-10-23T02:16:25" u="1"/>
        <d v="2024-10-23T09:05:09" u="1"/>
        <d v="2024-10-23T20:19:09" u="1"/>
        <d v="2024-10-24T05:24:20" u="1"/>
        <d v="2024-10-24T13:36:22" u="1"/>
        <d v="2024-10-24T18:27:40" u="1"/>
        <d v="2024-10-25T00:41:38" u="1"/>
        <d v="2024-10-25T13:17:23" u="1"/>
        <d v="2024-10-25T20:11:49" u="1"/>
        <d v="2024-10-26T04:03:07" u="1"/>
        <d v="2024-10-26T07:37:38" u="1"/>
        <d v="2024-10-26T16:15:14" u="1"/>
        <d v="2024-10-26T20:25:23" u="1"/>
        <d v="2024-10-27T02:35:40" u="1"/>
        <d v="2024-10-27T08:30:52" u="1"/>
        <d v="2024-10-27T16:13:07" u="1"/>
        <d v="2024-10-27T20:33:30" u="1"/>
        <d v="2024-10-28T00:36:01" u="1"/>
        <d v="2024-10-28T05:11:11" u="1"/>
        <d v="2024-10-28T08:39:46" u="1"/>
        <d v="2024-10-28T11:47:32" u="1"/>
        <d v="2024-10-28T17:45:09" u="1"/>
        <d v="2024-10-29T00:45:38" u="1"/>
        <d v="2024-10-29T06:41:13" u="1"/>
        <d v="2024-10-29T11:05:10" u="1"/>
        <d v="2024-10-29T13:54:49" u="1"/>
        <d v="2024-10-29T17:52:32" u="1"/>
        <d v="2024-10-30T04:11:35" u="1"/>
        <d v="2024-10-30T09:35:06" u="1"/>
        <d v="2024-10-30T13:37:54" u="1"/>
        <d v="2024-10-30T20:17:59" u="1"/>
        <d v="2024-10-30T23:09:43" u="1"/>
        <d v="2024-10-31T02:03:27" u="1"/>
        <d v="2024-10-31T05:38:47" u="1"/>
        <d v="2024-10-31T08:40:37" u="1"/>
        <d v="2024-10-31T14:16:21" u="1"/>
        <d v="2024-10-31T17:58:39" u="1"/>
        <d v="2024-10-31T21:32:18" u="1"/>
        <d v="2024-11-01T00:41:52" u="1"/>
        <d v="2024-11-01T00:41:53" u="1"/>
        <d v="2024-11-01T00:49:33" u="1"/>
        <d v="2024-11-01T04:33:06" u="1"/>
        <d v="2024-11-01T08:59:50" u="1"/>
        <d v="2024-11-01T14:36:21" u="1"/>
        <d v="2024-11-01T19:55:58" u="1"/>
        <d v="2024-11-02T01:52:19" u="1"/>
        <d v="2024-11-02T06:29:02" u="1"/>
        <d v="2024-11-02T09:15:20" u="1"/>
        <d v="2024-11-02T12:03:19" u="1"/>
        <d v="2024-11-02T16:09:11" u="1"/>
        <d v="2024-11-02T19:44:14" u="1"/>
        <d v="2024-11-02T23:13:21" u="1"/>
        <d v="2024-11-03T07:20:43" u="1"/>
        <d v="2024-11-03T11:22:17" u="1"/>
        <d v="2024-11-03T17:40:55" u="1"/>
        <d v="2024-11-04T04:14:21" u="1"/>
        <d v="2024-11-06T13:50:44" u="1"/>
        <d v="2024-11-06T13:50:45" u="1"/>
        <d v="2024-11-06T14:23:27" u="1"/>
        <d v="2024-11-06T22:09:03" u="1"/>
        <d v="2024-11-07T02:05:58" u="1"/>
        <d v="2024-11-07T17:00:56" u="1"/>
        <d v="2024-11-07T20:22:29" u="1"/>
        <d v="2024-11-08T06:41:44" u="1"/>
        <d v="2024-11-08T18:19:28" u="1"/>
        <d v="2024-11-08T23:00:35" u="1"/>
        <d v="2024-11-09T17:36:52" u="1"/>
        <d v="2024-11-09T20:32:50" u="1"/>
        <d v="2024-11-10T09:14:01" u="1"/>
        <d v="2024-11-10T13:51:00" u="1"/>
        <d v="2024-11-10T16:59:07" u="1"/>
        <d v="2024-11-11T06:31:28" u="1"/>
        <d v="2024-11-11T09:18:49" u="1"/>
        <d v="2024-11-11T20:17:54" u="1"/>
        <d v="2024-11-12T02:10:50" u="1"/>
        <d v="2024-11-12T14:49:47" u="1"/>
        <d v="2024-11-13T06:22:03" u="1"/>
        <d v="2024-11-13T13:43:58" u="1"/>
        <d v="2024-11-13T18:50:30" u="1"/>
        <d v="2024-11-13T18:50:31" u="1"/>
        <d v="2024-11-15T20:40:24" u="1"/>
        <d v="2024-11-16T18:27:04" u="1"/>
        <d v="2024-11-17T01:42:39" u="1"/>
        <d v="2024-11-17T07:22:16" u="1"/>
        <d v="2024-11-17T19:51:43" u="1"/>
        <d v="2024-11-19T00:06:31" u="1"/>
        <d v="2024-11-19T05:30:08" u="1"/>
        <d v="2024-11-19T10:27:36" u="1"/>
        <d v="2024-11-19T16:53:21" u="1"/>
        <d v="2024-11-19T20:30:31" u="1"/>
        <d v="2024-11-19T20:30:32" u="1"/>
        <d v="2024-11-19T23:16:44" u="1"/>
        <d v="2024-11-20T02:07:57" u="1"/>
        <d v="2024-11-20T06:27:12" u="1"/>
        <d v="2024-11-20T09:49:26" u="1"/>
        <d v="2024-11-20T12:57:08" u="1"/>
        <d v="2024-11-20T20:06:54" u="1"/>
        <d v="2024-11-21T01:37:22" u="1"/>
        <d v="2024-11-21T08:17:35" u="1"/>
        <d v="2024-11-21T20:02:54" u="1"/>
        <d v="2024-11-22T01:03:45" u="1"/>
        <d v="2024-11-22T06:23:45" u="1"/>
        <d v="2024-11-22T11:07:38" u="1"/>
        <d v="2024-11-22T22:23:31" u="1"/>
        <d v="2024-11-23T03:35:43" u="1"/>
        <d v="2024-11-24T14:02:04" u="1"/>
        <d v="2024-11-24T22:17:32" u="1"/>
        <d v="2024-11-25T09:25:42" u="1"/>
        <d v="2024-11-25T16:01:04" u="1"/>
        <d v="2024-11-25T20:07:31" u="1"/>
        <d v="2024-11-26T07:53:34" u="1"/>
        <d v="2024-11-26T14:28:42" u="1"/>
        <d v="2024-11-26T17:26:45" u="1"/>
        <d v="2024-11-26T23:04:17" u="1"/>
        <d v="2024-11-27T03:16:28" u="1"/>
        <d v="2024-11-27T14:07:31" u="1"/>
        <d v="2024-11-28T03:07:05" u="1"/>
        <d v="2024-11-28T06:43:23" u="1"/>
        <d v="2024-11-28T19:51:15" u="1"/>
        <d v="2024-11-29T00:35:29" u="1"/>
        <d v="2024-11-29T05:02:44" u="1"/>
        <d v="2024-08-30T21:52:04" u="1"/>
        <d v="2024-08-31T02:16:45" u="1"/>
        <d v="2024-08-31T06:20:32" u="1"/>
        <d v="2024-08-31T16:15:29" u="1"/>
        <d v="2024-09-01T06:03:21" u="1"/>
        <d v="2024-09-03T13:36:48" u="1"/>
        <d v="2024-09-03T17:08:23" u="1"/>
        <d v="2024-09-04T23:08:30" u="1"/>
        <d v="2024-09-05T08:02:30" u="1"/>
        <d v="2024-09-05T11:56:17" u="1"/>
        <d v="2024-09-05T16:17:13" u="1"/>
        <d v="2024-09-05T20:20:19" u="1"/>
        <d v="2024-09-05T23:20:50" u="1"/>
        <d v="2024-09-06T03:17:50" u="1"/>
        <d v="2024-09-06T11:43:03" u="1"/>
        <d v="2024-09-06T22:22:57" u="1"/>
        <d v="2024-09-07T03:45:53" u="1"/>
        <d v="2024-09-07T07:42:33" u="1"/>
        <d v="2024-09-07T10:49:13" u="1"/>
        <d v="2024-09-07T22:58:36" u="1"/>
        <d v="2024-09-08T08:33:19" u="1"/>
        <d v="2024-09-08T12:15:07" u="1"/>
        <d v="2024-09-08T16:17:46" u="1"/>
        <d v="2024-09-08T22:55:55" u="1"/>
        <d v="2024-09-09T04:14:56" u="1"/>
        <d v="2024-09-09T15:18:20" u="1"/>
        <d v="2024-09-10T01:38:53" u="1"/>
        <d v="2024-09-10T06:27:31" u="1"/>
        <d v="2024-09-10T06:27:32" u="1"/>
        <d v="2024-09-10T22:06:50" u="1"/>
        <d v="2024-09-11T11:51:11" u="1"/>
        <d v="2024-09-14T21:07:25" u="1"/>
        <d v="2024-09-16T12:00:00" u="1"/>
        <d v="2024-09-16T16:55:52" u="1"/>
        <d v="2024-09-16T17:27:06" u="1"/>
        <d v="2024-09-16T20:36:53" u="1"/>
        <d v="2024-09-17T04:17:29" u="1"/>
        <d v="2024-09-17T16:18:08" u="1"/>
        <d v="2024-09-17T19:54:57" u="1"/>
        <d v="2024-09-17T19:54:58" u="1"/>
        <d v="2024-09-18T01:09:50" u="1"/>
        <d v="2024-09-18T10:40:11" u="1"/>
        <d v="2024-09-18T14:38:28" u="1"/>
        <d v="2024-09-18T18:18:40" u="1"/>
        <d v="2024-09-18T23:24:08" u="1"/>
        <d v="2024-09-19T16:23:37" u="1"/>
        <d v="2024-09-20T17:12:02" u="1"/>
        <d v="2024-09-21T16:19:55" u="1"/>
        <d v="2024-09-23T16:23:15" u="1"/>
        <d v="2024-09-24T06:01:08" u="1"/>
        <d v="2024-09-25T15:19:11" u="1"/>
        <d v="2024-09-26T10:48:03" u="1"/>
        <d v="2024-09-26T22:44:17" u="1"/>
        <d v="2024-09-27T03:41:35" u="1"/>
        <d v="2024-09-27T14:04:26" u="1"/>
        <d v="2024-09-27T20:14:09" u="1"/>
        <d v="2024-09-28T02:32:56" u="1"/>
        <d v="2024-09-29T20:00:05" u="1"/>
        <d v="2024-10-01T02:40:42" u="1"/>
        <d v="2024-10-02T09:19:25" u="1"/>
        <d v="2024-10-03T11:30:29" u="1"/>
        <d v="2024-10-04T20:38:54" u="1"/>
        <d v="2024-10-05T22:47:08" u="1"/>
        <d v="2024-10-06T04:20:34" u="1"/>
        <d v="2024-10-08T01:56:33" u="1"/>
        <d v="2024-10-08T13:02:07" u="1"/>
        <d v="2024-10-09T08:35:45" u="1"/>
        <d v="2024-10-09T09:48:34" u="1"/>
        <d v="2024-10-09T22:15:28" u="1"/>
        <d v="2024-10-10T17:55:01" u="1"/>
        <d v="2024-10-11T18:03:43" u="1"/>
        <d v="2024-10-12T16:55:44" u="1"/>
        <d v="2024-10-12T20:23:20" u="1"/>
        <d v="2024-10-13T08:30:06" u="1"/>
        <d v="2024-10-14T04:37:22" u="1"/>
        <d v="2024-10-14T10:51:15" u="1"/>
        <d v="2024-10-14T18:46:49" u="1"/>
        <d v="2024-10-15T02:14:11" u="1"/>
        <d v="2024-10-15T22:55:32" u="1"/>
        <d v="2024-10-16T05:23:00" u="1"/>
        <d v="2024-10-16T16:43:31" u="1"/>
        <d v="2024-10-16T22:47:52" u="1"/>
        <d v="2024-10-17T09:13:14" u="1"/>
        <d v="2024-10-17T16:42:22" u="1"/>
        <d v="2024-10-17T21:04:38" u="1"/>
        <d v="2024-10-18T05:17:43" u="1"/>
        <d v="2024-10-18T10:13:12" u="1"/>
        <d v="2024-10-19T01:46:21" u="1"/>
        <d v="2024-10-19T18:34:37" u="1"/>
        <d v="2024-10-20T06:14:13" u="1"/>
        <d v="2024-10-20T20:26:17" u="1"/>
        <d v="2024-10-21T02:06:36" u="1"/>
        <d v="2024-10-21T09:21:06" u="1"/>
        <d v="2024-10-21T20:04:09" u="1"/>
        <d v="2024-10-21T23:15:25" u="1"/>
        <d v="2024-10-22T06:23:14" u="1"/>
        <d v="2024-10-22T18:36:40" u="1"/>
        <d v="2024-10-23T03:57:05" u="1"/>
        <d v="2024-10-23T10:46:02" u="1"/>
        <d v="2024-10-23T20:06:52" u="1"/>
        <d v="2024-10-24T13:27:21" u="1"/>
        <d v="2024-10-25T02:39:18" u="1"/>
        <d v="2024-10-25T03:18:13" u="1"/>
        <d v="2024-10-25T07:29:42" u="1"/>
        <d v="2024-10-25T11:32:58" u="1"/>
        <d v="2024-10-25T17:23:41" u="1"/>
        <d v="2024-10-26T16:08:25" u="1"/>
        <d v="2024-10-26T22:53:52" u="1"/>
        <d v="2024-10-27T03:07:11" u="1"/>
        <d v="2024-10-27T19:55:24" u="1"/>
        <d v="2024-10-27T22:45:33" u="1"/>
        <d v="2024-10-28T01:32:38" u="1"/>
        <d v="2024-10-28T07:51:56" u="1"/>
        <d v="2024-10-29T12:24:46" u="1"/>
        <d v="2024-10-29T17:34:14" u="1"/>
        <d v="2024-10-29T21:41:06" u="1"/>
        <d v="2024-10-30T01:02:59" u="1"/>
        <d v="2024-10-30T06:16:45" u="1"/>
        <d v="2024-10-30T11:16:27" u="1"/>
        <d v="2024-10-30T16:18:08" u="1"/>
        <d v="2024-10-30T21:02:24" u="1"/>
        <d v="2024-10-30T23:56:37" u="1"/>
        <d v="2024-10-30T23:56:38" u="1"/>
        <d v="2024-10-31T04:03:00" u="1"/>
        <d v="2024-10-31T07:44:11" u="1"/>
        <d v="2024-10-31T18:39:29" u="1"/>
        <d v="2024-10-31T21:28:52" u="1"/>
        <d v="2024-11-01T00:47:18" u="1"/>
        <d v="2024-11-01T04:28:53" u="1"/>
        <d v="2024-11-01T11:11:58" u="1"/>
        <d v="2024-11-01T15:55:55" u="1"/>
        <d v="2024-11-01T20:04:13" u="1"/>
        <d v="2024-11-02T06:04:36" u="1"/>
        <d v="2024-11-02T10:58:19" u="1"/>
        <d v="2024-11-02T13:53:38" u="1"/>
        <d v="2024-11-02T16:45:55" u="1"/>
        <d v="2024-11-02T21:00:49" u="1"/>
        <d v="2024-11-03T06:17:55" u="1"/>
        <d v="2024-11-03T09:19:49" u="1"/>
        <d v="2024-11-03T13:35:08" u="1"/>
        <d v="2024-11-03T18:14:33" u="1"/>
        <d v="2024-11-03T18:18:56" u="1"/>
        <d v="2024-11-03T21:30:54" u="1"/>
        <d v="2024-11-04T18:50:56" u="1"/>
        <d v="2024-11-05T00:50:13" u="1"/>
        <d v="2024-11-05T08:03:01" u="1"/>
        <d v="2024-11-05T17:10:02" u="1"/>
        <d v="2024-11-06T08:43:31" u="1"/>
        <d v="2024-11-06T15:02:09" u="1"/>
        <d v="2024-11-07T03:27:57" u="1"/>
        <d v="2024-11-07T17:04:50" u="1"/>
        <d v="2024-11-08T01:27:02" u="1"/>
        <d v="2024-11-08T20:49:29" u="1"/>
        <d v="2024-11-09T12:09:26" u="1"/>
        <d v="2024-11-09T20:37:58" u="1"/>
        <d v="2024-11-10T02:36:53" u="1"/>
        <d v="2024-11-10T06:36:26" u="1"/>
        <d v="2024-11-10T10:44:49" u="1"/>
        <d v="2024-11-10T14:14:58" u="1"/>
        <d v="2024-11-10T19:28:03" u="1"/>
        <d v="2024-11-10T22:26:22" u="1"/>
        <d v="2024-11-13T00:22:44" u="1"/>
        <d v="2024-11-13T06:22:56" u="1"/>
        <d v="2024-11-13T20:05:54" u="1"/>
        <d v="2024-11-14T01:28:38" u="1"/>
        <d v="2024-11-14T20:27:36" u="1"/>
        <d v="2024-11-14T21:01:17" u="1"/>
        <d v="2024-11-15T01:26:29" u="1"/>
        <d v="2024-11-16T23:04:10" u="1"/>
        <d v="2024-11-17T17:52:05" u="1"/>
        <d v="2024-11-17T23:08:31" u="1"/>
        <d v="2024-11-18T17:48:57" u="1"/>
        <d v="2024-11-19T01:42:30" u="1"/>
        <d v="2024-11-19T06:32:58" u="1"/>
        <d v="2024-11-19T20:37:08" u="1"/>
        <d v="2024-11-20T01:02:56" u="1"/>
        <d v="2024-11-20T05:04:43" u="1"/>
        <d v="2024-11-20T14:25:48" u="1"/>
        <d v="2024-11-20T20:09:43" u="1"/>
        <d v="2024-11-21T22:36:17" u="1"/>
        <d v="2024-11-22T05:02:15" u="1"/>
        <d v="2024-11-23T20:59:29" u="1"/>
        <d v="2024-11-25T16:02:52" u="1"/>
        <d v="2024-11-25T20:47:40" u="1"/>
        <d v="2024-11-25T20:47:41" u="1"/>
        <d v="2024-11-26T20:15:43" u="1"/>
        <d v="2024-11-27T04:31:33" u="1"/>
        <d v="2024-11-27T09:05:46" u="1"/>
        <d v="2024-11-27T13:20:11" u="1"/>
        <d v="2024-11-27T23:06:25" u="1"/>
        <d v="2024-11-28T09:26:22" u="1"/>
        <d v="2024-11-28T19:55:21" u="1"/>
        <d v="2024-11-29T01:13:47" u="1"/>
        <d v="2024-11-30T17:22:04" u="1"/>
        <d v="2024-12-01T03:25:15" u="1"/>
        <d v="2024-12-01T16:19:32" u="1"/>
        <d v="2024-12-01T16:40:23" u="1"/>
        <d v="2024-12-01T20:55:46" u="1"/>
        <d v="2024-12-01T20:55:47" u="1"/>
        <d v="2024-12-03T00:47:34" u="1"/>
        <d v="2024-12-03T04:13:03" u="1"/>
        <d v="2024-08-26T00:34:01" u="1"/>
        <d v="2024-08-26T03:19:48" u="1"/>
        <d v="2024-08-26T08:01:33" u="1"/>
        <d v="2024-08-26T13:08:52" u="1"/>
        <d v="2024-08-26T23:37:17" u="1"/>
        <d v="2024-08-27T06:12:32" u="1"/>
        <d v="2024-08-27T08:58:20" u="1"/>
        <d v="2024-08-27T11:53:01" u="1"/>
        <d v="2024-08-27T14:37:24" u="1"/>
        <d v="2024-08-27T17:33:41" u="1"/>
        <d v="2024-08-27T20:19:22" u="1"/>
        <d v="2024-08-27T23:16:41" u="1"/>
        <d v="2024-08-28T02:08:47" u="1"/>
        <d v="2024-08-28T05:11:45" u="1"/>
        <d v="2024-08-28T09:02:25" u="1"/>
        <d v="2024-08-28T12:03:41" u="1"/>
        <d v="2024-08-28T16:19:00" u="1"/>
        <d v="2024-08-28T20:24:12" u="1"/>
        <d v="2024-08-29T00:50:54" u="1"/>
        <d v="2024-08-29T04:07:24" u="1"/>
        <d v="2024-08-29T08:36:05" u="1"/>
        <d v="2024-08-29T13:35:30" u="1"/>
        <d v="2024-08-29T19:39:38" u="1"/>
        <d v="2024-08-29T23:00:38" u="1"/>
        <d v="2024-08-30T02:05:28" u="1"/>
        <d v="2024-08-30T02:05:29" u="1"/>
        <d v="2024-08-30T05:10:30" u="1"/>
        <d v="2024-08-30T07:58:48" u="1"/>
        <d v="2024-08-30T10:57:29" u="1"/>
        <d v="2024-08-30T14:51:14" u="1"/>
        <d v="2024-08-30T17:43:54" u="1"/>
        <d v="2024-08-30T20:36:10" u="1"/>
        <d v="2024-08-31T01:35:16" u="1"/>
        <d v="2024-08-31T05:51:44" u="1"/>
        <d v="2024-08-31T08:41:48" u="1"/>
        <d v="2024-08-31T14:03:42" u="1"/>
        <d v="2024-08-31T16:55:46" u="1"/>
        <d v="2024-08-31T19:57:07" u="1"/>
        <d v="2024-09-01T01:11:20" u="1"/>
        <d v="2024-09-01T10:43:59" u="1"/>
        <d v="2024-09-01T16:24:47" u="1"/>
        <d v="2024-09-01T21:59:15" u="1"/>
        <d v="2024-09-02T02:50:09" u="1"/>
        <d v="2024-09-02T18:18:45" u="1"/>
        <d v="2024-09-03T02:53:38" u="1"/>
        <d v="2024-09-03T07:20:39" u="1"/>
        <d v="2024-09-03T10:12:35" u="1"/>
        <d v="2024-09-03T16:16:16" u="1"/>
        <d v="2024-09-03T22:07:35" u="1"/>
        <d v="2024-09-04T08:44:48" u="1"/>
        <d v="2024-09-04T18:32:03" u="1"/>
        <d v="2024-09-04T21:25:05" u="1"/>
        <d v="2024-09-05T05:41:42" u="1"/>
        <d v="2024-09-05T13:59:08" u="1"/>
        <d v="2024-09-05T17:25:51" u="1"/>
        <d v="2024-09-05T20:45:50" u="1"/>
        <d v="2024-09-06T01:49:59" u="1"/>
        <d v="2024-09-06T06:18:38" u="1"/>
        <d v="2024-09-06T09:24:06" u="1"/>
        <d v="2024-09-06T13:50:32" u="1"/>
        <d v="2024-09-06T21:00:20" u="1"/>
        <d v="2024-09-07T02:03:50" u="1"/>
        <d v="2024-09-07T06:25:16" u="1"/>
        <d v="2024-09-07T09:15:36" u="1"/>
        <d v="2024-09-07T12:04:23" u="1"/>
        <d v="2024-09-07T22:41:33" u="1"/>
        <d v="2024-09-08T03:10:24" u="1"/>
        <d v="2024-09-08T08:15:38" u="1"/>
        <d v="2024-09-08T16:22:50" u="1"/>
        <d v="2024-09-08T20:44:59" u="1"/>
        <d v="2024-09-09T01:58:03" u="1"/>
        <d v="2024-09-09T05:29:40" u="1"/>
        <d v="2024-09-09T08:19:31" u="1"/>
        <d v="2024-09-09T12:54:04" u="1"/>
        <d v="2024-09-09T18:25:41" u="1"/>
        <d v="2024-09-10T00:05:34" u="1"/>
        <d v="2024-09-10T04:32:41" u="1"/>
        <d v="2024-09-10T09:16:15" u="1"/>
        <d v="2024-09-10T16:19:05" u="1"/>
        <d v="2024-09-10T20:48:17" u="1"/>
        <d v="2024-09-11T00:30:51" u="1"/>
        <d v="2024-09-11T04:56:48" u="1"/>
        <d v="2024-09-11T09:42:59" u="1"/>
        <d v="2024-09-11T10:24:57" u="1"/>
        <d v="2024-09-11T13:23:15" u="1"/>
        <d v="2024-09-11T22:54:11" u="1"/>
        <d v="2024-09-12T06:37:39" u="1"/>
        <d v="2024-09-12T11:37:11" u="1"/>
        <d v="2024-09-12T14:46:39" u="1"/>
        <d v="2024-09-12T20:07:00" u="1"/>
        <d v="2024-09-13T00:52:42" u="1"/>
        <d v="2024-09-13T06:27:18" u="1"/>
        <d v="2024-09-13T09:21:17" u="1"/>
        <d v="2024-09-13T20:06:35" u="1"/>
        <d v="2024-09-14T01:33:25" u="1"/>
        <d v="2024-09-14T06:23:26" u="1"/>
        <d v="2024-09-14T21:55:30" u="1"/>
        <d v="2024-09-15T21:13:56" u="1"/>
        <d v="2024-09-16T01:01:35" u="1"/>
        <d v="2024-09-16T03:52:42" u="1"/>
        <d v="2024-09-16T09:03:19" u="1"/>
        <d v="2024-09-16T16:20:02" u="1"/>
        <d v="2024-09-16T19:39:39" u="1"/>
        <d v="2024-09-16T23:09:39" u="1"/>
        <d v="2024-09-17T04:18:32" u="1"/>
        <d v="2024-09-17T14:13:23" u="1"/>
        <d v="2024-09-17T18:44:02" u="1"/>
        <d v="2024-09-18T04:48:10" u="1"/>
        <d v="2024-09-18T08:51:48" u="1"/>
        <d v="2024-09-18T12:45:55" u="1"/>
        <d v="2024-09-18T16:31:17" u="1"/>
        <d v="2024-09-18T21:13:21" u="1"/>
        <d v="2024-09-19T02:00:10" u="1"/>
        <d v="2024-09-19T06:20:57" u="1"/>
        <d v="2024-09-19T16:11:46" u="1"/>
        <d v="2024-09-19T22:34:47" u="1"/>
        <d v="2024-09-20T02:01:45" u="1"/>
        <d v="2024-09-20T10:35:44" u="1"/>
        <d v="2024-09-20T20:35:28" u="1"/>
        <d v="2024-09-21T06:52:12" u="1"/>
        <d v="2024-09-21T06:52:13" u="1"/>
        <d v="2024-09-21T13:46:35" u="1"/>
        <d v="2024-09-21T20:18:07" u="1"/>
        <d v="2024-09-22T04:00:22" u="1"/>
        <d v="2024-09-22T04:00:23" u="1"/>
        <d v="2024-09-22T12:48:15" u="1"/>
        <d v="2024-09-22T16:08:17" u="1"/>
        <d v="2024-09-22T20:31:32" u="1"/>
        <d v="2024-09-23T00:30:36" u="1"/>
        <d v="2024-09-23T06:07:05" u="1"/>
        <d v="2024-09-23T10:46:31" u="1"/>
        <d v="2024-09-23T14:07:09" u="1"/>
        <d v="2024-09-23T20:34:16" u="1"/>
        <d v="2024-09-24T16:06:28" u="1"/>
        <d v="2024-09-24T20:51:03" u="1"/>
        <d v="2024-09-25T05:34:59" u="1"/>
        <d v="2024-09-25T13:08:54" u="1"/>
        <d v="2024-09-25T16:57:41" u="1"/>
        <d v="2024-09-25T22:42:15" u="1"/>
        <d v="2024-09-26T03:23:11" u="1"/>
        <d v="2024-09-26T06:37:45" u="1"/>
        <d v="2024-09-26T09:27:52" u="1"/>
        <d v="2024-09-26T11:02:58" u="1"/>
        <d v="2024-09-26T16:24:51" u="1"/>
        <d v="2024-09-26T22:59:15" u="1"/>
        <d v="2024-09-26T22:59:16" u="1"/>
        <d v="2024-09-28T03:39:53" u="1"/>
        <d v="2024-09-28T10:48:34" u="1"/>
        <d v="2024-09-28T18:34:02" u="1"/>
        <d v="2024-09-29T08:38:28" u="1"/>
        <d v="2024-09-29T20:01:50" u="1"/>
        <d v="2024-09-29T20:01:51" u="1"/>
        <d v="2024-09-30T04:43:03" u="1"/>
        <d v="2024-09-30T10:47:11" u="1"/>
        <d v="2024-09-30T15:40:34" u="1"/>
        <d v="2024-10-01T02:28:31" u="1"/>
        <d v="2024-10-01T10:45:00" u="1"/>
        <d v="2024-10-01T18:11:12" u="1"/>
        <d v="2024-10-01T21:49:19" u="1"/>
        <d v="2024-10-02T03:16:27" u="1"/>
        <d v="2024-10-02T09:25:40" u="1"/>
        <d v="2024-10-02T09:25:41" u="1"/>
        <d v="2024-10-02T13:56:58" u="1"/>
        <d v="2024-10-02T16:49:24" u="1"/>
        <d v="2024-10-02T20:04:02" u="1"/>
        <d v="2024-10-03T10:30:57" u="1"/>
        <d v="2024-10-03T20:38:07" u="1"/>
        <d v="2024-10-04T14:53:15" u="1"/>
        <d v="2024-10-04T22:04:13" u="1"/>
        <d v="2024-10-05T02:50:24" u="1"/>
        <d v="2024-10-05T09:59:02" u="1"/>
        <d v="2024-10-05T22:25:57" u="1"/>
        <d v="2024-10-06T02:16:19" u="1"/>
        <d v="2024-10-06T06:46:14" u="1"/>
        <d v="2024-10-06T21:22:26" u="1"/>
        <d v="2024-10-07T02:16:53" u="1"/>
        <d v="2024-10-07T07:28:07" u="1"/>
        <d v="2024-10-07T14:45:40" u="1"/>
        <d v="2024-10-07T20:36:27" u="1"/>
        <d v="2024-10-08T00:37:34" u="1"/>
        <d v="2024-10-08T06:22:28" u="1"/>
        <d v="2024-10-08T10:08:17" u="1"/>
        <d v="2024-10-08T20:06:41" u="1"/>
        <d v="2024-10-09T00:40:52" u="1"/>
        <d v="2024-10-10T13:05:59" u="1"/>
        <d v="2024-10-10T15:57:06" u="1"/>
        <d v="2024-10-11T06:07:44" u="1"/>
        <d v="2024-10-11T11:11:51" u="1"/>
        <d v="2024-10-11T21:05:17" u="1"/>
        <d v="2024-10-12T02:10:15" u="1"/>
        <d v="2024-10-12T10:40:04" u="1"/>
        <d v="2024-10-12T18:40:24" u="1"/>
        <d v="2024-10-12T21:28:50" u="1"/>
        <d v="2024-10-13T01:19:20" u="1"/>
        <d v="2024-10-13T06:14:18" u="1"/>
        <d v="2024-10-13T13:22:42" u="1"/>
        <d v="2024-10-13T18:06:54" u="1"/>
        <d v="2024-10-13T20:57:50" u="1"/>
        <d v="2024-10-14T18:45:51" u="1"/>
        <d v="2024-10-14T18:49:30" u="1"/>
        <d v="2024-10-17T09:35:19" u="1"/>
        <d v="2024-10-17T21:02:09" u="1"/>
        <d v="2024-10-23T01:42:38" u="1"/>
        <d v="2024-11-03T16:57:07" u="1"/>
        <d v="2024-11-03T20:29:00" u="1"/>
        <d v="2024-11-04T04:01:47" u="1"/>
        <d v="2024-11-04T10:34:33" u="1"/>
        <d v="2024-11-04T16:55:10" u="1"/>
        <d v="2024-11-05T02:26:13" u="1"/>
        <d v="2024-11-05T06:00:16" u="1"/>
        <d v="2024-11-05T06:00:17" u="1"/>
        <d v="2024-11-05T10:28:59" u="1"/>
        <d v="2024-11-05T15:01:37" u="1"/>
        <d v="2024-11-06T11:09:51" u="1"/>
        <d v="2024-11-06T22:08:51" u="1"/>
        <d v="2024-11-06T22:16:29" u="1"/>
        <d v="2024-11-07T18:23:05" u="1"/>
        <d v="2024-11-07T22:35:40" u="1"/>
        <d v="2024-11-08T06:23:04" u="1"/>
        <d v="2024-11-08T15:49:22" u="1"/>
        <d v="2024-11-08T20:11:46" u="1"/>
        <d v="2024-11-09T02:11:42" u="1"/>
        <d v="2024-11-09T08:01:25" u="1"/>
        <d v="2024-11-09T15:13:00" u="1"/>
        <d v="2024-11-09T19:59:42" u="1"/>
        <d v="2024-11-09T22:44:58" u="1"/>
        <d v="2024-11-10T03:11:37" u="1"/>
        <d v="2024-11-10T06:25:01" u="1"/>
        <d v="2024-11-10T11:44:10" u="1"/>
        <d v="2024-11-10T14:33:19" u="1"/>
        <d v="2024-11-10T21:16:14" u="1"/>
        <d v="2024-11-11T00:25:14" u="1"/>
        <d v="2024-11-11T03:37:50" u="1"/>
        <d v="2024-11-11T07:00:42" u="1"/>
        <d v="2024-11-11T07:00:43" u="1"/>
        <d v="2024-11-11T20:21:03" u="1"/>
        <d v="2024-11-12T01:19:37" u="1"/>
        <d v="2024-11-12T06:43:13" u="1"/>
        <d v="2024-11-12T14:29:23" u="1"/>
        <d v="2024-11-13T15:36:52" u="1"/>
        <d v="2024-11-13T15:36:53" u="1"/>
        <d v="2024-11-14T06:38:48" u="1"/>
        <d v="2024-11-14T11:39:12" u="1"/>
        <d v="2024-01-25T01:48:22" u="1"/>
        <d v="2024-01-25T20:21:25" u="1"/>
        <d v="2024-01-26T04:16:02" u="1"/>
        <d v="2024-01-26T08:12:02" u="1"/>
        <d v="2024-01-26T16:56:17" u="1"/>
        <d v="2024-01-27T02:27:18" u="1"/>
        <d v="2024-01-27T07:24:30" u="1"/>
        <d v="2024-01-27T10:47:49" u="1"/>
        <d v="2024-01-27T15:07:53" u="1"/>
        <d v="2024-01-27T19:18:10" u="1"/>
        <d v="2024-01-27T23:22:37" u="1"/>
        <d v="2024-01-28T06:52:49" u="1"/>
        <d v="2024-01-28T12:50:18" u="1"/>
        <d v="2024-01-28T16:27:40" u="1"/>
        <d v="2024-01-28T21:14:35" u="1"/>
        <d v="2024-01-29T02:12:10" u="1"/>
        <d v="2024-01-29T07:24:59" u="1"/>
        <d v="2024-01-29T14:49:10" u="1"/>
        <d v="2024-01-30T09:31:53" u="1"/>
        <d v="2024-01-30T17:12:09" u="1"/>
        <d v="2024-01-30T17:12:10" u="1"/>
        <d v="2024-01-30T20:31:47" u="1"/>
        <d v="2024-01-31T01:59:53" u="1"/>
        <d v="2024-01-31T18:18:28" u="1"/>
        <d v="2024-01-31T21:05:26" u="1"/>
        <d v="2024-02-01T00:41:15" u="1"/>
        <d v="2024-02-01T03:56:14" u="1"/>
        <d v="2024-02-01T08:34:31" u="1"/>
        <d v="2024-02-01T13:28:39" u="1"/>
        <d v="2024-02-02T01:58:58" u="1"/>
        <d v="2024-02-02T06:15:43" u="1"/>
        <d v="2024-02-02T09:45:59" u="1"/>
        <d v="2024-02-02T23:34:40" u="1"/>
        <d v="2024-02-03T08:46:13" u="1"/>
        <d v="2024-02-03T13:47:08" u="1"/>
        <d v="2024-02-03T18:12:57" u="1"/>
        <d v="2024-02-03T21:11:48" u="1"/>
        <d v="2024-02-04T01:06:01" u="1"/>
        <d v="2024-02-04T16:07:37" u="1"/>
        <d v="2024-02-04T20:52:43" u="1"/>
        <d v="2024-02-05T12:48:20" u="1"/>
        <d v="2024-02-05T17:59:44" u="1"/>
        <d v="2024-02-05T22:54:41" u="1"/>
        <d v="2024-02-06T03:46:58" u="1"/>
        <d v="2024-02-06T06:41:26" u="1"/>
        <d v="2024-02-06T09:31:02" u="1"/>
        <d v="2024-02-06T17:47:35" u="1"/>
        <d v="2024-02-07T03:43:46" u="1"/>
        <d v="2024-02-07T08:36:15" u="1"/>
        <d v="2024-02-08T07:46:54" u="1"/>
        <d v="2024-02-08T13:40:44" u="1"/>
        <d v="2024-02-08T20:25:04" u="1"/>
        <d v="2024-02-13T18:16:52" u="1"/>
        <d v="2024-02-14T10:16:25" u="1"/>
        <d v="2024-02-15T02:13:12" u="1"/>
        <d v="2024-02-15T06:48:55" u="1"/>
        <d v="2024-02-15T11:16:26" u="1"/>
        <d v="2024-02-15T16:33:26" u="1"/>
        <d v="2024-02-15T21:18:31" u="1"/>
        <d v="2024-02-16T00:22:55" u="1"/>
        <d v="2024-02-16T03:38:51" u="1"/>
        <d v="2024-02-16T03:38:52" u="1"/>
        <d v="2024-02-16T08:20:55" u="1"/>
        <d v="2024-02-16T11:11:52" u="1"/>
        <d v="2024-02-16T15:10:39" u="1"/>
        <d v="2024-02-16T22:09:03" u="1"/>
        <d v="2024-02-17T03:49:39" u="1"/>
        <d v="2024-02-17T07:29:09" u="1"/>
        <d v="2024-02-17T14:20:00" u="1"/>
        <d v="2024-02-17T18:46:55" u="1"/>
        <d v="2024-02-18T00:30:27" u="1"/>
        <d v="2024-02-18T09:29:42" u="1"/>
        <d v="2024-02-18T14:23:39" u="1"/>
        <d v="2024-02-18T18:45:10" u="1"/>
        <d v="2024-02-18T23:09:31" u="1"/>
        <d v="2024-02-19T02:09:47" u="1"/>
        <d v="2024-02-19T08:58:30" u="1"/>
        <d v="2024-02-19T14:15:28" u="1"/>
        <d v="2024-02-19T19:32:32" u="1"/>
        <d v="2024-02-19T23:05:03" u="1"/>
        <d v="2024-02-20T05:08:59" u="1"/>
        <d v="2024-02-20T08:38:23" u="1"/>
        <d v="2024-02-20T13:45:38" u="1"/>
        <d v="2024-02-20T17:46:07" u="1"/>
        <d v="2024-02-20T17:46:08" u="1"/>
        <d v="2024-02-20T23:20:17" u="1"/>
        <d v="2024-02-21T02:11:26" u="1"/>
        <d v="2024-02-21T05:16:10" u="1"/>
        <d v="2024-02-21T09:14:14" u="1"/>
        <d v="2024-02-21T13:43:35" u="1"/>
        <d v="2024-02-21T17:04:36" u="1"/>
        <d v="2024-02-21T20:13:49" u="1"/>
        <d v="2024-02-21T20:13:50" u="1"/>
        <d v="2024-02-21T23:32:20" u="1"/>
        <d v="2024-02-21T23:35:14" u="1"/>
        <d v="2024-02-22T02:57:52" u="1"/>
        <d v="2024-02-22T06:11:58" u="1"/>
        <d v="2024-02-22T09:41:55" u="1"/>
        <d v="2024-02-22T13:22:36" u="1"/>
        <d v="2024-02-22T17:07:37" u="1"/>
        <d v="2024-02-22T20:04:30" u="1"/>
        <d v="2024-02-22T23:26:57" u="1"/>
        <d v="2024-02-23T02:23:01" u="1"/>
        <d v="2024-02-23T06:53:57" u="1"/>
        <d v="2024-02-23T15:18:49" u="1"/>
        <d v="2024-02-23T18:14:13" u="1"/>
        <d v="2024-02-23T18:37:01" u="1"/>
        <d v="2024-02-23T21:52:42" u="1"/>
        <d v="2024-02-24T08:08:04" u="1"/>
        <d v="2024-02-24T11:30:32" u="1"/>
        <d v="2024-02-24T14:58:43" u="1"/>
        <d v="2024-02-24T19:56:53" u="1"/>
        <d v="2024-02-24T22:44:19" u="1"/>
        <d v="2024-02-25T06:34:01" u="1"/>
        <d v="2024-02-25T10:19:50" u="1"/>
        <d v="2024-02-25T19:28:19" u="1"/>
        <d v="2024-02-26T01:13:01" u="1"/>
        <d v="2024-02-26T04:23:56" u="1"/>
        <d v="2024-02-26T08:07:21" u="1"/>
        <d v="2024-02-26T18:06:47" u="1"/>
        <d v="2024-02-27T08:38:42" u="1"/>
        <d v="2024-02-27T13:21:45" u="1"/>
        <d v="2024-02-27T18:13:10" u="1"/>
        <d v="2024-02-28T05:56:16" u="1"/>
        <d v="2024-02-28T10:48:39" u="1"/>
        <d v="2024-02-28T17:20:04" u="1"/>
        <d v="2024-02-28T22:07:14" u="1"/>
        <d v="2024-02-29T01:51:54" u="1"/>
        <d v="2024-02-29T05:28:45" u="1"/>
        <d v="2024-02-29T08:22:26" u="1"/>
        <d v="2024-02-29T12:03:10" u="1"/>
        <d v="2024-02-29T14:55:07" u="1"/>
        <d v="2024-02-29T14:55:08" u="1"/>
        <d v="2024-02-29T17:57:40" u="1"/>
        <d v="2024-02-29T21:02:21" u="1"/>
        <d v="2024-03-01T00:27:56" u="1"/>
        <d v="2024-03-01T04:02:25" u="1"/>
        <d v="2024-03-01T07:52:27" u="1"/>
        <d v="2024-03-01T11:32:14" u="1"/>
        <d v="2024-03-01T15:39:49" u="1"/>
        <d v="2024-03-01T19:58:29" u="1"/>
        <d v="2024-03-02T01:39:06" u="1"/>
        <d v="2024-03-02T06:44:35" u="1"/>
        <d v="2024-03-02T10:39:27" u="1"/>
        <d v="2024-03-02T16:30:17" u="1"/>
        <d v="2024-03-02T20:39:05" u="1"/>
        <d v="2024-03-03T01:21:34" u="1"/>
        <d v="2024-03-03T05:57:13" u="1"/>
        <d v="2024-03-03T09:54:42" u="1"/>
        <d v="2024-03-03T18:27:00" u="1"/>
        <d v="2024-03-03T21:13:30" u="1"/>
        <d v="2024-03-05T12:55:35" u="1"/>
        <d v="2024-03-05T17:01:20" u="1"/>
        <d v="2024-03-05T21:49:23" u="1"/>
        <d v="2024-03-06T02:23:03" u="1"/>
        <d v="2024-03-06T07:17:06" u="1"/>
        <d v="2024-03-06T18:26:19" u="1"/>
        <d v="2024-03-07T12:03:01" u="1"/>
        <d v="2024-03-07T16:52:17" u="1"/>
        <d v="2024-03-08T02:36:50" u="1"/>
        <d v="2024-03-08T12:54:41" u="1"/>
        <d v="2024-03-08T18:10:20" u="1"/>
        <d v="2024-03-08T22:18:48" u="1"/>
        <d v="2024-03-09T01:52:30" u="1"/>
        <d v="2024-03-09T06:27:36" u="1"/>
        <d v="2024-03-09T09:16:04" u="1"/>
        <d v="2024-03-09T16:03:53" u="1"/>
        <d v="2024-03-10T01:37:00" u="1"/>
        <d v="2024-03-10T20:19:24" u="1"/>
        <d v="2024-03-11T05:05:06" u="1"/>
        <d v="2024-03-11T05:05:07" u="1"/>
        <d v="2024-03-12T10:46:55" u="1"/>
        <d v="2024-03-13T16:25:12" u="1"/>
        <d v="2024-03-13T17:35:35" u="1"/>
        <d v="2024-03-14T11:34:34" u="1"/>
        <d v="2024-03-14T15:03:42" u="1"/>
        <d v="2024-03-14T18:36:14" u="1"/>
        <d v="2024-03-14T22:50:01" u="1"/>
        <d v="2024-03-14T22:50:02" u="1"/>
        <d v="2024-03-15T03:37:44" u="1"/>
        <d v="2024-03-15T11:00:28" u="1"/>
        <d v="2024-03-15T15:17:31" u="1"/>
        <d v="2024-03-16T01:35:54" u="1"/>
        <d v="2024-03-16T13:31:56" u="1"/>
        <d v="2024-03-16T18:38:46" u="1"/>
        <d v="2024-03-16T21:48:26" u="1"/>
        <d v="2024-03-17T01:37:53" u="1"/>
        <d v="2024-03-17T06:46:24" u="1"/>
        <d v="2024-03-17T10:50:45" u="1"/>
        <d v="2024-03-18T01:38:23" u="1"/>
        <d v="2024-03-18T10:54:57" u="1"/>
        <d v="2024-03-18T18:38:23" u="1"/>
        <d v="2024-03-18T22:56:25" u="1"/>
        <d v="2024-03-19T04:40:14" u="1"/>
        <d v="2024-03-19T09:03:16" u="1"/>
        <d v="2024-03-19T12:20:15" u="1"/>
        <d v="2024-03-19T18:23:10" u="1"/>
        <d v="2024-03-19T21:48:40" u="1"/>
        <d v="2024-03-20T08:12:51" u="1"/>
        <d v="2024-03-20T16:14:21" u="1"/>
        <d v="2024-03-21T02:38:52" u="1"/>
        <d v="2024-03-21T20:39:05" u="1"/>
        <d v="2024-03-22T04:22:37" u="1"/>
        <d v="2024-03-22T10:46:27" u="1"/>
        <d v="2024-03-22T13:47:14" u="1"/>
        <d v="2024-03-23T12:51:02" u="1"/>
        <d v="2024-03-23T16:45:40" u="1"/>
        <d v="2024-03-23T22:05:19" u="1"/>
        <d v="2024-03-24T02:21:54" u="1"/>
        <d v="2024-03-24T06:28:33" u="1"/>
        <d v="2024-03-24T16:13:03" u="1"/>
        <d v="2024-03-24T19:47:51" u="1"/>
        <d v="2024-03-25T00:07:09" u="1"/>
        <d v="2024-03-25T06:00:09" u="1"/>
        <d v="2024-03-25T12:26:29" u="1"/>
        <d v="2024-03-25T18:47:28" u="1"/>
        <d v="2024-03-25T23:20:43" u="1"/>
        <d v="2024-03-26T06:06:10" u="1"/>
        <d v="2024-03-26T14:58:33" u="1"/>
        <d v="2024-03-26T22:24:58" u="1"/>
        <d v="2024-03-27T01:39:50" u="1"/>
        <d v="2024-03-27T07:29:29" u="1"/>
        <d v="2024-03-27T10:58:01" u="1"/>
        <d v="2024-03-27T16:20:38" u="1"/>
        <d v="2024-03-27T22:07:50" u="1"/>
        <d v="2024-03-28T02:05:55" u="1"/>
        <d v="2024-03-28T07:35:53" u="1"/>
        <d v="2024-03-28T12:33:39" u="1"/>
        <d v="2024-03-28T17:31:41" u="1"/>
        <d v="2024-03-28T22:35:00" u="1"/>
        <d v="2024-03-29T02:01:33" u="1"/>
        <d v="2024-03-29T12:45:06" u="1"/>
        <d v="2024-03-29T16:04:47" u="1"/>
        <d v="2024-03-29T20:00:03" u="1"/>
        <d v="2024-03-29T23:03:48" u="1"/>
        <d v="2024-03-30T02:51:06" u="1"/>
        <d v="2024-03-30T07:39:06" u="1"/>
        <d v="2024-03-30T11:54:07" u="1"/>
        <d v="2024-03-30T20:57:50" u="1"/>
        <d v="2024-03-31T01:31:55" u="1"/>
        <d v="2024-03-31T06:52:55" u="1"/>
        <d v="2024-03-31T16:20:48" u="1"/>
        <d v="2024-03-31T21:20:33" u="1"/>
        <d v="2024-04-01T09:52:21" u="1"/>
        <d v="2024-04-01T13:46:18" u="1"/>
        <d v="2024-04-01T18:47:54" u="1"/>
        <d v="2024-04-01T23:21:01" u="1"/>
        <d v="2024-04-02T07:22:19" u="1"/>
        <d v="2024-04-02T07:22:20" u="1"/>
        <d v="2024-04-02T10:30:50" u="1"/>
        <d v="2024-04-02T13:51:01" u="1"/>
        <d v="2024-04-02T17:51:27" u="1"/>
        <d v="2024-04-02T20:59:42" u="1"/>
        <d v="2024-04-03T01:16:44" u="1"/>
        <d v="2024-04-05T09:52:34" u="1"/>
        <d v="2024-04-05T14:38:53" u="1"/>
        <d v="2024-04-05T16:15:39" u="1"/>
        <d v="2024-04-05T21:07:47" u="1"/>
        <d v="2024-04-06T02:11:23" u="1"/>
        <d v="2024-04-06T07:16:59" u="1"/>
        <d v="2024-04-06T11:20:17" u="1"/>
        <d v="2024-04-06T16:51:04" u="1"/>
        <d v="2024-04-06T20:22:55" u="1"/>
        <d v="2024-04-07T02:31:03" u="1"/>
        <d v="2024-04-07T08:19:32" u="1"/>
        <d v="2024-04-07T14:23:16" u="1"/>
        <d v="2024-04-07T20:38:07" u="1"/>
        <d v="2024-04-08T11:47:02" u="1"/>
        <d v="2024-04-08T16:37:58" u="1"/>
        <d v="2024-04-08T22:41:04" u="1"/>
        <d v="2024-04-09T14:14:04" u="1"/>
        <d v="2024-04-09T19:45:35" u="1"/>
        <d v="2024-04-10T04:21:13" u="1"/>
        <d v="2024-04-11T01:26:33" u="1"/>
        <d v="2024-04-11T07:26:23" u="1"/>
        <d v="2024-04-11T11:24:18" u="1"/>
        <d v="2024-04-11T16:08:13" u="1"/>
        <d v="2024-04-12T00:20:31" u="1"/>
        <d v="2024-04-12T06:21:11" u="1"/>
        <d v="2024-04-12T10:38:52" u="1"/>
        <d v="2024-04-12T16:09:51" u="1"/>
        <d v="2024-04-12T20:10:18" u="1"/>
        <d v="2024-04-12T23:19:27" u="1"/>
        <d v="2024-04-13T02:07:13" u="1"/>
        <d v="2024-04-13T07:27:04" u="1"/>
        <d v="2024-04-13T13:17:40" u="1"/>
        <d v="2024-04-13T17:42:16" u="1"/>
        <d v="2024-04-13T22:34:36" u="1"/>
        <d v="2024-04-14T04:23:11" u="1"/>
        <d v="2024-04-14T22:24:00" u="1"/>
        <d v="2024-04-15T02:31:49" u="1"/>
        <d v="2024-04-15T08:35:08" u="1"/>
        <d v="2024-04-15T12:29:07" u="1"/>
        <d v="2024-04-15T20:54:06" u="1"/>
        <d v="2024-04-16T06:12:13" u="1"/>
        <d v="2024-04-16T10:55:40" u="1"/>
        <d v="2024-04-16T20:02:44" u="1"/>
        <d v="2024-04-17T01:34:15" u="1"/>
        <d v="2024-04-17T06:00:58" u="1"/>
        <d v="2024-04-17T19:55:28" u="1"/>
        <d v="2024-04-18T04:11:01" u="1"/>
        <d v="2024-04-18T09:53:18" u="1"/>
        <d v="2024-04-18T13:18:55" u="1"/>
        <d v="2024-04-18T16:39:21" u="1"/>
        <d v="2024-04-18T20:28:04" u="1"/>
        <d v="2024-04-19T01:28:51" u="1"/>
        <d v="2024-04-19T06:30:24" u="1"/>
        <d v="2024-04-19T09:23:23" u="1"/>
        <d v="2024-04-19T14:00:56" u="1"/>
        <d v="2024-04-19T19:41:49" u="1"/>
        <d v="2024-04-19T22:28:18" u="1"/>
        <d v="2024-04-20T08:28:00" u="1"/>
        <d v="2024-04-20T14:40:27" u="1"/>
        <d v="2024-04-20T19:50:04" u="1"/>
        <d v="2024-04-21T06:24:56" u="1"/>
        <d v="2024-04-21T09:13:45" u="1"/>
        <d v="2024-04-21T17:50:57" u="1"/>
        <d v="2024-04-21T22:04:51" u="1"/>
        <d v="2024-04-22T07:23:10" u="1"/>
        <d v="2024-04-22T10:30:57" u="1"/>
        <d v="2024-04-22T13:25:51" u="1"/>
        <d v="2024-04-22T16:35:48" u="1"/>
        <d v="2024-04-22T21:06:43" u="1"/>
        <d v="2024-04-23T04:52:57" u="1"/>
        <d v="2024-04-23T21:06:54" u="1"/>
        <d v="2024-04-24T00:14:03" u="1"/>
        <d v="2024-04-24T10:03:41" u="1"/>
        <d v="2024-04-24T14:57:32" u="1"/>
        <d v="2024-04-24T20:03:25" u="1"/>
        <d v="2024-04-24T23:09:01" u="1"/>
        <d v="2024-04-25T02:25:24" u="1"/>
        <d v="2024-04-25T06:22:24" u="1"/>
        <d v="2024-04-25T10:02:16" u="1"/>
        <d v="2024-04-25T17:22:58" u="1"/>
        <d v="2024-04-25T20:56:40" u="1"/>
        <d v="2024-04-26T00:03:42" u="1"/>
        <d v="2024-04-26T03:10:49" u="1"/>
        <d v="2024-04-26T06:12:20" u="1"/>
        <d v="2024-04-26T10:01:50" u="1"/>
        <d v="2024-04-26T17:29:38" u="1"/>
        <d v="2024-04-26T20:40:04" u="1"/>
        <d v="2024-04-27T00:47:06" u="1"/>
        <d v="2024-04-27T04:40:11" u="1"/>
        <d v="2024-04-27T07:32:49" u="1"/>
        <d v="2024-04-27T10:49:50" u="1"/>
        <d v="2024-04-27T14:59:50" u="1"/>
        <d v="2024-04-27T14:59:51" u="1"/>
        <d v="2024-04-27T22:00:00" u="1"/>
        <d v="2024-04-28T02:44:25" u="1"/>
        <d v="2024-04-28T08:11:50" u="1"/>
        <d v="2024-04-28T11:02:14" u="1"/>
        <d v="2024-04-28T13:51:49" u="1"/>
        <d v="2024-04-28T17:49:46" u="1"/>
        <d v="2024-04-30T10:35:48" u="1"/>
        <d v="2024-04-30T17:50:05" u="1"/>
        <d v="2024-04-30T23:16:12" u="1"/>
        <d v="2024-05-01T03:16:18" u="1"/>
        <d v="2024-05-01T11:36:22" u="1"/>
        <d v="2024-05-01T14:47:21" u="1"/>
        <d v="2024-05-01T21:01:24" u="1"/>
        <d v="2024-05-03T03:10:04" u="1"/>
        <d v="2024-05-03T12:38:54" u="1"/>
        <d v="2024-05-03T20:58:24" u="1"/>
        <d v="2024-05-04T02:04:34" u="1"/>
        <d v="2024-05-04T13:20:06" u="1"/>
        <d v="2024-05-04T18:23:15" u="1"/>
        <d v="2024-05-05T14:23:19" u="1"/>
        <d v="2024-05-05T18:49:35" u="1"/>
        <d v="2024-05-06T10:41:57" u="1"/>
        <d v="2024-05-06T15:51:40" u="1"/>
        <d v="2024-05-06T20:27:13" u="1"/>
        <d v="2024-05-07T01:14:52" u="1"/>
        <d v="2024-05-07T12:18:23" u="1"/>
        <d v="2024-05-07T18:06:03" u="1"/>
        <d v="2024-05-07T22:59:07" u="1"/>
        <d v="2024-05-08T19:29:01" u="1"/>
        <d v="2024-05-08T23:46:38" u="1"/>
        <d v="2024-05-09T04:37:22" u="1"/>
        <d v="2024-05-09T09:57:23" u="1"/>
        <d v="2024-05-10T17:10:12" u="1"/>
        <d v="2024-05-11T00:54:59" u="1"/>
        <d v="2024-05-11T13:59:50" u="1"/>
        <d v="2024-05-11T22:50:08" u="1"/>
        <d v="2024-05-12T02:16:52" u="1"/>
        <d v="2024-05-12T08:07:45" u="1"/>
        <d v="2024-05-12T08:11:29" u="1"/>
        <d v="2024-05-12T12:21:43" u="1"/>
        <d v="2024-05-12T23:53:41" u="1"/>
        <d v="2024-05-13T05:36:21" u="1"/>
        <d v="2024-05-13T15:07:19" u="1"/>
        <d v="2024-05-13T18:27:10" u="1"/>
        <d v="2024-05-13T22:19:02" u="1"/>
        <d v="2024-05-14T03:06:15" u="1"/>
        <d v="2024-05-14T08:51:33" u="1"/>
        <d v="2024-05-14T08:51:34" u="1"/>
        <d v="2024-05-14T14:12:12" u="1"/>
        <d v="2024-05-14T18:21:10" u="1"/>
        <d v="2024-05-14T22:49:02" u="1"/>
        <d v="2024-05-15T10:43:27" u="1"/>
        <d v="2024-05-15T14:57:44" u="1"/>
        <d v="2024-05-15T20:03:27" u="1"/>
        <d v="2024-05-16T06:25:05" u="1"/>
        <d v="2024-05-16T20:41:04" u="1"/>
        <d v="2024-05-17T01:58:18" u="1"/>
        <d v="2024-05-17T16:12:38" u="1"/>
        <d v="2024-05-17T20:46:09" u="1"/>
        <d v="2024-05-18T01:34:16" u="1"/>
        <d v="2024-05-19T01:32:10" u="1"/>
        <d v="2024-05-19T06:16:33" u="1"/>
        <d v="2024-05-19T16:50:53" u="1"/>
        <d v="2024-05-19T22:31:25" u="1"/>
        <d v="2024-05-20T01:54:56" u="1"/>
        <d v="2024-05-20T08:45:32" u="1"/>
        <d v="2024-05-20T15:44:52" u="1"/>
        <d v="2024-05-20T19:34:42" u="1"/>
        <d v="2024-05-21T15:06:48" u="1"/>
        <d v="2024-05-21T18:15:29" u="1"/>
        <d v="2024-05-21T21:18:01" u="1"/>
        <d v="2024-05-22T06:17:03" u="1"/>
        <d v="2024-05-22T10:15:37" u="1"/>
        <d v="2024-05-22T13:24:00" u="1"/>
        <d v="2024-05-22T16:26:12" u="1"/>
        <d v="2024-05-22T20:26:55" u="1"/>
        <d v="2024-05-22T23:40:20" u="1"/>
        <d v="2024-05-23T05:50:01" u="1"/>
        <d v="2024-05-23T09:11:13" u="1"/>
        <d v="2024-05-23T09:11:14" u="1"/>
        <d v="2024-05-23T13:46:10" u="1"/>
        <d v="2024-05-23T19:22:25" u="1"/>
        <d v="2024-05-23T22:52:29" u="1"/>
        <d v="2024-05-24T03:41:26" u="1"/>
        <d v="2024-05-24T06:32:51" u="1"/>
        <d v="2024-05-24T09:29:28" u="1"/>
        <d v="2024-05-24T15:14:44" u="1"/>
        <d v="2024-05-24T21:22:34" u="1"/>
        <d v="2024-05-25T02:19:35" u="1"/>
        <d v="2024-05-25T06:05:20" u="1"/>
        <d v="2024-05-25T18:01:03" u="1"/>
        <d v="2024-05-26T02:49:11" u="1"/>
        <d v="2024-05-26T07:36:05" u="1"/>
        <d v="2024-05-26T10:48:04" u="1"/>
        <d v="2024-05-26T13:50:52" u="1"/>
        <d v="2024-05-26T22:02:11" u="1"/>
        <d v="2024-05-27T01:15:02" u="1"/>
        <d v="2024-05-27T04:24:21" u="1"/>
        <d v="2024-05-27T08:23:37" u="1"/>
        <d v="2024-05-27T11:28:21" u="1"/>
        <d v="2024-05-27T14:32:30" u="1"/>
        <d v="2024-05-27T17:54:16" u="1"/>
        <d v="2024-05-27T18:01:15" u="1"/>
        <d v="2024-05-27T21:27:48" u="1"/>
        <d v="2024-05-28T00:19:32" u="1"/>
        <d v="2024-05-28T03:08:37" u="1"/>
        <d v="2024-05-28T06:05:15" u="1"/>
        <d v="2024-05-28T08:54:03" u="1"/>
        <d v="2024-05-28T12:19:17" u="1"/>
        <d v="2024-05-28T16:24:43" u="1"/>
        <d v="2024-05-28T20:35:56" u="1"/>
        <d v="2024-05-29T01:00:14" u="1"/>
        <d v="2024-05-29T06:29:43" u="1"/>
        <d v="2024-05-29T10:37:23" u="1"/>
        <d v="2024-05-29T21:49:21" u="1"/>
        <d v="2024-05-30T02:00:57" u="1"/>
        <d v="2024-05-30T05:44:44" u="1"/>
        <d v="2024-05-30T08:40:12" u="1"/>
        <d v="2024-05-30T11:41:03" u="1"/>
        <d v="2024-05-30T14:43:29" u="1"/>
        <d v="2024-05-30T20:55:54" u="1"/>
        <d v="2024-05-31T01:36:39" u="1"/>
        <d v="2024-05-31T04:29:02" u="1"/>
        <d v="2024-05-31T08:32:35" u="1"/>
        <d v="2024-05-31T11:42:48" u="1"/>
        <d v="2024-05-31T16:07:38" u="1"/>
        <d v="2024-05-31T22:40:42" u="1"/>
        <d v="2024-06-01T03:40:43" u="1"/>
        <d v="2024-06-01T04:02:32" u="1"/>
        <d v="2024-06-01T08:40:15" u="1"/>
        <d v="2024-06-01T13:34:22" u="1"/>
        <d v="2024-06-01T22:57:15" u="1"/>
        <d v="2024-06-02T03:35:37" u="1"/>
        <d v="2024-06-02T07:39:49" u="1"/>
        <d v="2024-06-02T11:08:38" u="1"/>
        <d v="2024-06-02T15:46:38" u="1"/>
        <d v="2024-06-02T21:12:52" u="1"/>
        <d v="2024-06-03T01:26:34" u="1"/>
        <d v="2024-06-03T06:28:27" u="1"/>
        <d v="2024-06-03T09:50:07" u="1"/>
        <d v="2024-06-03T12:43:04" u="1"/>
        <d v="2024-06-03T16:58:34" u="1"/>
        <d v="2024-06-03T22:44:53" u="1"/>
        <d v="2024-06-04T02:34:43" u="1"/>
        <d v="2024-06-04T07:19:15" u="1"/>
        <d v="2024-06-04T16:00:12" u="1"/>
        <d v="2024-06-04T22:56:39" u="1"/>
        <d v="2024-06-05T03:09:59" u="1"/>
        <d v="2024-06-05T06:17:42" u="1"/>
        <d v="2024-06-05T11:20:58" u="1"/>
        <d v="2024-06-05T16:08:18" u="1"/>
        <d v="2024-06-05T20:41:28" u="1"/>
        <d v="2024-06-06T00:07:19" u="1"/>
        <d v="2024-06-06T06:14:23" u="1"/>
        <d v="2024-06-06T14:33:56" u="1"/>
        <d v="2024-06-06T20:44:16" u="1"/>
        <d v="2024-06-07T00:45:46" u="1"/>
        <d v="2024-06-07T06:11:52" u="1"/>
        <d v="2024-06-07T11:19:29" u="1"/>
        <d v="2024-06-07T15:34:21" u="1"/>
        <d v="2024-06-07T20:35:36" u="1"/>
        <d v="2024-06-08T03:03:31" u="1"/>
        <d v="2024-06-08T07:38:01" u="1"/>
        <d v="2024-06-08T11:07:17" u="1"/>
        <d v="2024-06-08T14:25:16" u="1"/>
        <d v="2024-06-08T17:38:36" u="1"/>
        <d v="2024-06-08T22:17:01" u="1"/>
        <d v="2024-06-09T01:17:44" u="1"/>
        <d v="2024-06-09T04:47:08" u="1"/>
        <d v="2024-06-09T10:23:11" u="1"/>
        <d v="2024-06-09T15:50:17" u="1"/>
        <d v="2024-06-09T20:20:40" u="1"/>
        <d v="2024-06-10T02:48:41" u="1"/>
        <d v="2024-06-10T07:21:40" u="1"/>
        <d v="2024-06-10T14:26:42" u="1"/>
        <d v="2024-06-10T18:10:24" u="1"/>
        <d v="2024-06-10T21:07:06" u="1"/>
        <d v="2024-06-11T09:41:52" u="1"/>
        <d v="2024-06-11T22:35:57" u="1"/>
        <d v="2024-06-12T04:14:42" u="1"/>
        <d v="2024-06-12T09:00:40" u="1"/>
        <d v="2024-06-13T02:26:05" u="1"/>
        <d v="2024-06-13T14:49:16" u="1"/>
        <d v="2024-06-14T08:29:46" u="1"/>
        <d v="2024-06-14T14:49:50" u="1"/>
        <d v="2024-06-14T19:58:50" u="1"/>
        <d v="2024-06-15T04:37:04" u="1"/>
        <d v="2024-06-15T04:37:05" u="1"/>
        <d v="2024-06-15T16:06:04" u="1"/>
        <d v="2024-06-16T12:42:46" u="1"/>
        <d v="2024-06-16T18:14:48" u="1"/>
        <d v="2024-06-17T03:00:06" u="1"/>
        <d v="2024-06-17T14:49:25" u="1"/>
        <d v="2024-06-17T22:08:02" u="1"/>
        <d v="2024-06-18T03:00:46" u="1"/>
        <d v="2024-06-18T05:47:52" u="1"/>
        <d v="2024-06-18T10:58:54" u="1"/>
        <d v="2024-06-18T15:05:36" u="1"/>
        <d v="2024-06-18T18:29:31" u="1"/>
        <d v="2024-06-18T23:01:36" u="1"/>
        <d v="2024-06-19T06:03:40" u="1"/>
        <d v="2024-06-19T11:02:41" u="1"/>
        <d v="2024-06-19T14:25:09" u="1"/>
        <d v="2024-06-19T17:41:02" u="1"/>
        <d v="2024-06-19T20:27:56" u="1"/>
        <d v="2024-06-22T00:01:56" u="1"/>
        <d v="2024-06-22T03:23:09" u="1"/>
        <d v="2024-06-22T10:51:42" u="1"/>
        <d v="2024-06-22T17:36:12" u="1"/>
        <d v="2024-06-22T20:51:21" u="1"/>
        <d v="2024-06-23T01:33:56" u="1"/>
        <d v="2024-06-23T04:23:56" u="1"/>
        <d v="2024-06-23T08:13:49" u="1"/>
        <d v="2024-06-23T08:35:27" u="1"/>
        <d v="2024-06-23T16:25:35" u="1"/>
        <d v="2024-06-23T20:41:36" u="1"/>
        <d v="2024-06-24T02:00:56" u="1"/>
        <d v="2024-06-24T06:38:21" u="1"/>
        <d v="2024-06-24T11:23:39" u="1"/>
        <d v="2024-06-24T16:44:07" u="1"/>
        <d v="2024-06-24T21:08:56" u="1"/>
        <d v="2024-06-25T01:33:44" u="1"/>
        <d v="2024-06-25T05:15:43" u="1"/>
        <d v="2024-06-25T08:11:53" u="1"/>
        <d v="2024-06-25T11:31:15" u="1"/>
        <d v="2024-06-25T16:41:48" u="1"/>
        <d v="2024-06-25T20:16:30" u="1"/>
        <d v="2024-06-25T23:03:49" u="1"/>
        <d v="2024-06-26T01:56:13" u="1"/>
        <d v="2024-06-26T05:13:53" u="1"/>
        <d v="2024-06-26T08:28:01" u="1"/>
        <d v="2024-06-26T16:56:59" u="1"/>
        <d v="2024-06-27T08:17:52" u="1"/>
        <d v="2024-06-27T17:18:55" u="1"/>
        <d v="2024-06-27T22:05:57" u="1"/>
        <d v="2024-06-28T02:10:07" u="1"/>
        <d v="2024-06-28T06:03:24" u="1"/>
        <d v="2024-06-28T11:34:18" u="1"/>
        <d v="2024-06-28T16:30:02" u="1"/>
        <d v="2024-06-28T19:55:05" u="1"/>
        <d v="2024-06-28T19:55:06" u="1"/>
        <d v="2024-06-28T20:12:37" u="1"/>
        <d v="2024-06-29T06:31:56" u="1"/>
        <d v="2024-06-30T00:38:33" u="1"/>
        <d v="2024-06-30T03:52:59" u="1"/>
        <d v="2024-06-30T07:57:58" u="1"/>
        <d v="2024-06-30T13:00:05" u="1"/>
        <d v="2024-06-30T22:56:12" u="1"/>
        <d v="2024-07-01T06:34:49" u="1"/>
        <d v="2024-07-02T06:40:12" u="1"/>
        <d v="2024-07-02T13:35:49" u="1"/>
        <d v="2024-07-02T16:59:01" u="1"/>
        <d v="2024-07-02T21:49:48" u="1"/>
        <d v="2024-07-03T02:11:38" u="1"/>
        <d v="2024-07-03T06:02:06" u="1"/>
        <d v="2024-07-03T14:28:02" u="1"/>
        <d v="2024-07-03T19:50:59" u="1"/>
        <d v="2024-07-04T01:45:10" u="1"/>
        <d v="2024-07-04T14:59:54" u="1"/>
        <d v="2024-07-05T00:09:53" u="1"/>
        <d v="2024-07-05T05:13:34" u="1"/>
        <d v="2024-07-05T08:46:40" u="1"/>
        <d v="2024-07-05T13:17:20" u="1"/>
        <d v="2024-07-05T16:27:48" u="1"/>
        <d v="2024-07-06T02:12:05" u="1"/>
        <d v="2024-07-06T12:45:20" u="1"/>
        <d v="2024-07-06T12:45:21" u="1"/>
        <d v="2024-07-06T17:31:49" u="1"/>
        <d v="2024-07-06T20:50:44" u="1"/>
        <d v="2024-07-07T06:16:26" u="1"/>
        <d v="2024-07-07T15:26:59" u="1"/>
        <d v="2024-07-07T16:16:12" u="1"/>
        <d v="2024-07-07T22:42:14" u="1"/>
        <d v="2024-07-08T04:15:35" u="1"/>
        <d v="2024-07-08T12:44:54" u="1"/>
        <d v="2024-07-08T16:22:02" u="1"/>
        <d v="2024-07-09T01:40:58" u="1"/>
        <d v="2024-07-09T06:27:23" u="1"/>
        <d v="2024-07-09T09:55:57" u="1"/>
        <d v="2024-07-09T16:00:25" u="1"/>
        <d v="2024-07-10T00:03:09" u="1"/>
        <d v="2024-07-10T00:03:10" u="1"/>
        <d v="2024-07-10T06:06:43" u="1"/>
        <d v="2024-07-10T17:56:23" u="1"/>
        <d v="2024-07-10T21:19:45" u="1"/>
        <d v="2024-07-11T02:59:24" u="1"/>
        <d v="2024-07-11T12:44:44" u="1"/>
        <d v="2024-07-11T18:26:13" u="1"/>
        <d v="2024-07-11T18:35:08" u="1"/>
        <d v="2024-07-11T18:47:50" u="1"/>
        <d v="2024-07-11T23:28:24" u="1"/>
        <d v="2024-07-11T23:28:25" u="1"/>
        <d v="2024-07-12T03:18:46" u="1"/>
        <d v="2024-07-12T06:13:55" u="1"/>
        <d v="2024-07-12T17:14:21" u="1"/>
        <d v="2024-07-12T23:53:38" u="1"/>
        <d v="2024-07-13T07:47:34" u="1"/>
        <d v="2024-07-13T13:45:51" u="1"/>
        <d v="2024-07-13T18:31:11" u="1"/>
        <d v="2024-07-13T21:18:06" u="1"/>
        <d v="2024-07-14T03:53:28" u="1"/>
        <d v="2024-07-14T09:29:42" u="1"/>
        <d v="2024-07-14T14:31:25" u="1"/>
        <d v="2024-07-14T18:18:23" u="1"/>
        <d v="2024-07-15T01:53:24" u="1"/>
        <d v="2024-07-15T06:22:37" u="1"/>
        <d v="2024-07-15T16:00:13" u="1"/>
        <d v="2024-07-15T20:04:15" u="1"/>
        <d v="2024-07-16T06:02:22" u="1"/>
        <d v="2024-07-16T10:05:31" u="1"/>
        <d v="2024-07-16T19:19:42" u="1"/>
        <d v="2024-07-17T04:55:20" u="1"/>
        <d v="2024-07-17T10:59:22" u="1"/>
        <d v="2024-07-17T17:37:20" u="1"/>
        <d v="2024-07-17T21:12:31" u="1"/>
        <d v="2024-07-18T02:04:27" u="1"/>
        <d v="2024-07-18T08:18:54" u="1"/>
        <d v="2024-07-18T13:51:43" u="1"/>
        <d v="2024-07-18T20:08:42" u="1"/>
        <d v="2024-07-19T00:36:54" u="1"/>
        <d v="2024-07-19T05:34:51" u="1"/>
        <d v="2024-07-19T10:32:56" u="1"/>
        <d v="2024-07-19T20:08:56" u="1"/>
        <d v="2024-07-20T02:06:12" u="1"/>
        <d v="2024-07-20T06:39:07" u="1"/>
        <d v="2024-07-20T20:38:48" u="1"/>
        <d v="2024-07-21T02:53:12" u="1"/>
        <d v="2024-07-21T12:48:35" u="1"/>
        <d v="2024-07-21T16:13:25" u="1"/>
        <d v="2024-07-21T19:54:03" u="1"/>
        <d v="2024-07-21T23:05:23" u="1"/>
        <d v="2024-07-22T02:34:12" u="1"/>
        <d v="2024-07-22T06:16:55" u="1"/>
        <d v="2024-07-22T12:33:39" u="1"/>
        <d v="2024-07-22T17:38:20" u="1"/>
        <d v="2024-07-22T20:48:25" u="1"/>
        <d v="2024-07-23T04:12:50" u="1"/>
        <d v="2024-07-23T08:53:43" u="1"/>
        <d v="2024-07-23T11:53:08" u="1"/>
        <d v="2024-07-23T16:15:36" u="1"/>
        <d v="2024-07-23T19:48:24" u="1"/>
        <d v="2024-07-24T01:33:06" u="1"/>
        <d v="2024-07-24T06:02:55" u="1"/>
        <d v="2024-07-26T02:22:35" u="1"/>
        <d v="2024-07-26T05:24:58" u="1"/>
        <d v="2024-07-26T12:07:44" u="1"/>
        <d v="2024-07-26T16:26:31" u="1"/>
        <d v="2024-07-26T17:26:11" u="1"/>
        <d v="2024-07-26T20:42:18" u="1"/>
        <d v="2024-07-27T02:07:55" u="1"/>
        <d v="2024-07-27T06:39:04" u="1"/>
        <d v="2024-07-27T11:04:54" u="1"/>
        <d v="2024-07-27T18:10:30" u="1"/>
        <d v="2024-07-27T22:39:42" u="1"/>
        <d v="2024-07-28T01:49:14" u="1"/>
        <d v="2024-07-28T06:35:38" u="1"/>
        <d v="2024-07-28T10:56:48" u="1"/>
        <d v="2024-07-28T13:52:40" u="1"/>
        <d v="2024-07-28T18:16:19" u="1"/>
        <d v="2024-07-28T23:02:27" u="1"/>
        <d v="2024-07-29T01:54:54" u="1"/>
        <d v="2024-07-29T06:14:37" u="1"/>
        <d v="2024-07-29T13:13:05" u="1"/>
        <d v="2024-07-29T16:35:13" u="1"/>
        <d v="2024-07-30T01:04:09" u="1"/>
        <d v="2024-07-30T03:53:34" u="1"/>
        <d v="2024-07-30T15:33:31" u="1"/>
        <d v="2024-07-30T20:00:47" u="1"/>
        <d v="2024-07-30T20:00:48" u="1"/>
        <d v="2024-07-31T03:39:36" u="1"/>
        <d v="2024-07-31T08:21:53" u="1"/>
        <d v="2024-07-31T16:05:21" u="1"/>
        <d v="2024-07-31T20:00:19" u="1"/>
        <d v="2024-08-01T10:53:54" u="1"/>
        <d v="2024-08-01T15:46:41" u="1"/>
        <d v="2024-08-02T09:32:20" u="1"/>
        <d v="2024-08-04T08:41:05" u="1"/>
        <d v="2024-08-04T13:59:01" u="1"/>
        <d v="2024-08-05T01:59:44" u="1"/>
        <d v="2024-08-05T13:39:41" u="1"/>
        <d v="2024-08-06T08:41:19" u="1"/>
        <d v="2024-08-07T07:58:30" u="1"/>
        <d v="2024-08-07T19:57:21" u="1"/>
        <d v="2024-08-08T10:30:17" u="1"/>
        <d v="2024-08-08T16:08:05" u="1"/>
        <d v="2024-08-08T20:56:07" u="1"/>
        <d v="2024-08-09T00:44:11" u="1"/>
        <d v="2024-08-09T06:44:54" u="1"/>
        <d v="2024-08-09T14:30:33" u="1"/>
        <d v="2024-08-09T20:06:00" u="1"/>
        <d v="2024-08-10T00:24:49" u="1"/>
        <d v="2024-08-10T05:20:15" u="1"/>
        <d v="2024-08-10T10:46:24" u="1"/>
        <d v="2024-08-10T16:11:44" u="1"/>
        <d v="2024-08-11T01:45:09" u="1"/>
        <d v="2024-08-11T13:37:59" u="1"/>
        <d v="2024-08-12T02:47:45" u="1"/>
        <d v="2024-08-12T02:51:54" u="1"/>
        <d v="2024-08-12T18:37:54" u="1"/>
        <d v="2024-08-13T01:19:02" u="1"/>
        <d v="2024-08-13T13:45:51" u="1"/>
        <d v="2024-08-13T19:42:37" u="1"/>
        <d v="2024-08-17T03:09:16" u="1"/>
        <d v="2024-08-17T08:21:25" u="1"/>
        <d v="2024-08-17T19:28:27" u="1"/>
        <d v="2024-08-17T23:23:00" u="1"/>
        <d v="2024-08-18T16:24:38" u="1"/>
        <d v="2024-08-18T20:05:55" u="1"/>
        <d v="2024-08-19T02:55:42" u="1"/>
        <d v="2024-08-19T20:11:18" u="1"/>
        <d v="2024-08-20T01:51:22" u="1"/>
        <d v="2024-08-20T08:24:37" u="1"/>
        <d v="2024-08-20T14:56:45" u="1"/>
        <d v="2024-08-20T23:47:39" u="1"/>
        <d v="2024-08-21T03:46:17" u="1"/>
        <d v="2024-08-21T08:49:13" u="1"/>
        <d v="2024-08-21T13:42:00" u="1"/>
        <d v="2024-08-21T16:48:47" u="1"/>
        <d v="2024-08-21T20:06:14" u="1"/>
        <d v="2024-08-22T05:47:40" u="1"/>
        <d v="2024-08-22T09:06:09" u="1"/>
        <d v="2024-08-22T12:16:47" u="1"/>
        <d v="2024-08-22T15:26:55" u="1"/>
        <d v="2024-08-22T19:58:26" u="1"/>
        <d v="2024-08-22T22:45:19" u="1"/>
        <d v="2024-08-23T01:31:24" u="1"/>
        <d v="2024-08-23T06:01:35" u="1"/>
        <d v="2024-08-23T08:48:05" u="1"/>
        <d v="2024-08-23T09:43:45" u="1"/>
        <d v="2024-08-23T11:38:09" u="1"/>
        <d v="2024-08-23T14:47:52" u="1"/>
        <d v="2024-08-23T19:52:45" u="1"/>
        <d v="2024-08-24T01:08:27" u="1"/>
        <d v="2024-08-24T06:20:43" u="1"/>
        <d v="2024-08-24T14:33:25" u="1"/>
        <d v="2024-08-25T03:56:24" u="1"/>
        <d v="2024-08-25T07:40:45" u="1"/>
        <d v="2024-08-25T16:21:50" u="1"/>
        <d v="2024-06-20T01:40:33" u="1"/>
        <d v="2024-06-20T06:08:00" u="1"/>
        <d v="2024-06-20T10:32:23" u="1"/>
        <d v="2024-06-20T16:00:11" u="1"/>
        <d v="2024-06-20T20:04:44" u="1"/>
        <d v="2024-06-21T01:01:30" u="1"/>
        <d v="2024-06-21T04:28:49" u="1"/>
        <d v="2024-06-21T08:08:48" u="1"/>
        <d v="2024-06-21T10:57:14" u="1"/>
        <d v="2024-06-21T16:50:55" u="1"/>
        <d v="2024-06-21T20:42:37" u="1"/>
        <d v="2024-06-22T01:30:02" u="1"/>
        <d v="2024-06-22T05:49:23" u="1"/>
        <d v="2024-06-22T16:04:49" u="1"/>
        <d v="2024-06-22T20:17:39" u="1"/>
        <d v="2024-06-22T23:07:34" u="1"/>
        <d v="2024-06-23T02:28:52" u="1"/>
        <d v="2024-06-23T05:59:36" u="1"/>
        <d v="2024-06-23T11:09:32" u="1"/>
        <d v="2024-06-23T14:34:10" u="1"/>
        <d v="2024-06-23T18:56:31" u="1"/>
        <d v="2024-06-24T00:01:09" u="1"/>
        <d v="2024-06-24T06:31:21" u="1"/>
        <d v="2024-06-24T09:19:07" u="1"/>
        <d v="2024-06-24T13:06:01" u="1"/>
        <d v="2024-06-24T20:58:44" u="1"/>
        <d v="2024-06-25T01:22:46" u="1"/>
        <d v="2024-06-25T05:46:38" u="1"/>
        <d v="2024-06-25T09:11:31" u="1"/>
        <d v="2024-06-25T13:52:39" u="1"/>
        <d v="2024-06-25T18:10:51" u="1"/>
        <d v="2024-06-25T21:54:48" u="1"/>
        <d v="2024-06-26T01:00:27" u="1"/>
        <d v="2024-06-26T03:45:52" u="1"/>
        <d v="2024-06-26T07:52:38" u="1"/>
        <d v="2024-06-26T10:39:50" u="1"/>
        <d v="2024-06-26T14:26:15" u="1"/>
        <d v="2024-06-26T17:57:02" u="1"/>
        <d v="2024-06-26T22:18:14" u="1"/>
        <d v="2024-06-27T02:48:36" u="1"/>
        <d v="2024-06-27T06:37:39" u="1"/>
        <d v="2024-06-27T10:51:13" u="1"/>
        <d v="2024-06-27T16:07:12" u="1"/>
        <d v="2024-06-27T20:28:53" u="1"/>
        <d v="2024-06-28T00:13:08" u="1"/>
        <d v="2024-06-28T06:38:23" u="1"/>
        <d v="2024-06-28T12:32:40" u="1"/>
        <d v="2024-06-28T18:21:07" u="1"/>
        <d v="2024-06-29T01:16:21" u="1"/>
        <d v="2024-06-29T01:31:16" u="1"/>
        <d v="2024-06-29T01:56:19" u="1"/>
        <d v="2024-06-29T02:01:32" u="1"/>
        <d v="2024-06-29T04:56:08" u="1"/>
        <d v="2024-06-29T10:59:10" u="1"/>
        <d v="2024-06-29T19:22:08" u="1"/>
        <d v="2024-06-29T23:17:46" u="1"/>
        <d v="2024-06-30T02:28:17" u="1"/>
        <d v="2024-06-30T05:26:11" u="1"/>
        <d v="2024-06-30T09:30:34" u="1"/>
        <d v="2024-06-30T20:46:33" u="1"/>
        <d v="2024-07-01T00:03:56" u="1"/>
        <d v="2024-07-01T04:27:16" u="1"/>
        <d v="2024-07-01T05:32:18" u="1"/>
        <d v="2024-07-01T20:46:17" u="1"/>
        <d v="2024-07-02T01:34:10" u="1"/>
        <d v="2024-07-02T10:48:45" u="1"/>
        <d v="2024-07-02T19:59:02" u="1"/>
        <d v="2024-07-03T01:43:07" u="1"/>
        <d v="2024-07-03T06:20:04" u="1"/>
        <d v="2024-07-03T10:56:55" u="1"/>
        <d v="2024-07-03T16:24:23" u="1"/>
        <d v="2024-07-04T05:36:02" u="1"/>
        <d v="2024-07-04T12:40:48" u="1"/>
        <d v="2024-07-04T20:07:11" u="1"/>
        <d v="2024-07-05T04:19:03" u="1"/>
        <d v="2024-07-05T08:12:58" u="1"/>
        <d v="2024-07-05T13:36:42" u="1"/>
        <d v="2024-07-05T20:10:09" u="1"/>
        <d v="2024-07-06T06:40:19" u="1"/>
        <d v="2024-07-06T16:32:11" u="1"/>
        <d v="2024-07-06T19:56:43" u="1"/>
        <d v="2024-07-07T05:47:26" u="1"/>
        <d v="2024-07-07T20:13:42" u="1"/>
        <d v="2024-07-08T02:12:58" u="1"/>
        <d v="2024-07-08T06:46:38" u="1"/>
        <d v="2024-07-08T14:49:52" u="1"/>
        <d v="2024-07-08T18:53:03" u="1"/>
        <d v="2024-07-08T23:36:27" u="1"/>
        <d v="2024-07-09T05:58:59" u="1"/>
        <d v="2024-07-10T01:54:50" u="1"/>
        <d v="2024-07-10T20:11:06" u="1"/>
        <d v="2024-07-12T14:14:34" u="1"/>
        <d v="2024-07-12T18:49:42" u="1"/>
        <d v="2024-07-13T01:00:57" u="1"/>
        <d v="2024-07-13T06:19:50" u="1"/>
        <d v="2024-07-13T10:22:55" u="1"/>
        <d v="2024-07-13T17:06:46" u="1"/>
        <d v="2024-07-13T21:55:13" u="1"/>
        <d v="2024-07-14T05:34:05" u="1"/>
        <d v="2024-07-14T08:36:57" u="1"/>
        <d v="2024-07-14T13:42:45" u="1"/>
        <d v="2024-07-14T17:19:35" u="1"/>
        <d v="2024-07-14T20:24:08" u="1"/>
        <d v="2024-07-15T11:22:02" u="1"/>
        <d v="2024-07-15T15:13:40" u="1"/>
        <d v="2024-07-15T19:36:59" u="1"/>
        <d v="2024-07-16T00:43:04" u="1"/>
        <d v="2024-07-16T06:25:10" u="1"/>
        <d v="2024-07-16T10:54:12" u="1"/>
        <d v="2024-07-16T20:11:59" u="1"/>
        <d v="2024-07-17T03:37:40" u="1"/>
        <d v="2024-07-17T16:32:32" u="1"/>
        <d v="2024-07-17T20:53:02" u="1"/>
        <d v="2024-07-18T10:09:52" u="1"/>
        <d v="2024-07-18T13:21:17" u="1"/>
        <d v="2024-07-18T17:22:41" u="1"/>
        <d v="2024-07-18T21:25:37" u="1"/>
        <d v="2024-07-19T01:09:56" u="1"/>
        <d v="2024-07-19T05:35:16" u="1"/>
        <d v="2024-07-19T10:28:58" u="1"/>
        <d v="2024-07-19T15:55:54" u="1"/>
        <d v="2024-07-19T20:58:25" u="1"/>
        <d v="2024-07-20T00:16:47" u="1"/>
        <d v="2024-07-20T06:44:16" u="1"/>
        <d v="2024-07-20T13:21:16" u="1"/>
        <d v="2024-07-20T18:49:34" u="1"/>
        <d v="2024-07-20T22:51:28" u="1"/>
        <d v="2024-07-21T01:49:49" u="1"/>
        <d v="2024-07-21T08:14:25" u="1"/>
        <d v="2024-07-21T08:27:34" u="1"/>
        <d v="2024-07-21T13:49:32" u="1"/>
        <d v="2024-07-21T17:43:30" u="1"/>
        <d v="2024-07-21T22:23:39" u="1"/>
        <d v="2024-07-22T01:39:27" u="1"/>
        <d v="2024-07-22T06:06:08" u="1"/>
        <d v="2024-07-22T12:23:24" u="1"/>
        <d v="2024-07-22T18:37:45" u="1"/>
        <d v="2024-07-22T22:41:48" u="1"/>
        <d v="2024-07-23T06:15:20" u="1"/>
        <d v="2024-07-23T10:32:07" u="1"/>
        <d v="2024-07-23T14:12:00" u="1"/>
        <d v="2024-07-23T20:25:57" u="1"/>
        <d v="2024-07-23T23:21:52" u="1"/>
        <d v="2024-07-24T02:08:11" u="1"/>
        <d v="2024-07-24T06:14:00" u="1"/>
        <d v="2024-07-26T02:17:26" u="1"/>
        <d v="2024-07-26T05:31:38" u="1"/>
        <d v="2024-07-26T10:35:01" u="1"/>
        <d v="2024-07-26T14:40:16" u="1"/>
        <d v="2024-07-26T19:59:35" u="1"/>
        <d v="2024-07-26T22:54:48" u="1"/>
        <d v="2024-07-27T03:42:28" u="1"/>
        <d v="2024-07-27T09:16:33" u="1"/>
        <d v="2024-07-27T09:16:34" u="1"/>
        <d v="2024-07-27T12:26:09" u="1"/>
        <d v="2024-07-27T16:04:49" u="1"/>
        <d v="2024-07-27T22:07:06" u="1"/>
        <d v="2024-07-28T01:19:44" u="1"/>
        <d v="2024-07-28T04:10:04" u="1"/>
        <d v="2024-07-28T08:43:07" u="1"/>
        <d v="2024-07-28T11:58:19" u="1"/>
        <d v="2024-07-28T20:00:32" u="1"/>
        <d v="2024-07-28T22:55:35" u="1"/>
        <d v="2024-07-29T08:54:12" u="1"/>
        <d v="2024-07-29T13:31:43" u="1"/>
        <d v="2024-07-29T20:32:04" u="1"/>
        <d v="2024-07-29T20:32:05" u="1"/>
        <d v="2024-07-30T06:51:31" u="1"/>
        <d v="2024-07-30T17:15:33" u="1"/>
        <d v="2024-07-30T22:42:38" u="1"/>
        <d v="2024-07-31T02:16:35" u="1"/>
        <d v="2024-07-31T16:06:11" u="1"/>
        <d v="2024-08-01T02:54:50" u="1"/>
        <d v="2024-08-01T14:57:40" u="1"/>
        <d v="2024-08-02T00:19:17" u="1"/>
        <d v="2024-08-02T09:20:49" u="1"/>
        <d v="2024-08-02T09:20:50" u="1"/>
        <d v="2024-08-03T05:48:11" u="1"/>
        <d v="2024-08-07T06:14:29" u="1"/>
        <d v="2024-08-07T10:47:19" u="1"/>
        <d v="2024-08-07T16:08:43" u="1"/>
        <d v="2024-08-08T02:03:44" u="1"/>
        <d v="2024-08-08T09:14:55" u="1"/>
        <d v="2024-08-08T14:46:17" u="1"/>
        <d v="2024-08-09T00:56:50" u="1"/>
        <d v="2024-08-09T05:30:44" u="1"/>
        <d v="2024-08-09T19:20:48" u="1"/>
        <d v="2024-08-09T23:22:56" u="1"/>
        <d v="2024-08-10T03:59:07" u="1"/>
        <d v="2024-08-10T17:02:32" u="1"/>
        <d v="2024-08-11T03:22:48" u="1"/>
        <d v="2024-08-11T06:15:33" u="1"/>
        <d v="2024-08-11T20:08:15" u="1"/>
        <d v="2024-08-12T01:27:37" u="1"/>
        <d v="2024-08-12T13:44:47" u="1"/>
        <d v="2024-08-13T01:06:36" u="1"/>
        <d v="2024-08-13T06:22:53" u="1"/>
        <d v="2024-08-13T11:07:03" u="1"/>
        <d v="2024-08-14T11:27:20" u="1"/>
        <d v="2024-08-14T16:13:45" u="1"/>
        <d v="2024-08-14T22:54:02" u="1"/>
        <d v="2024-08-15T02:25:52" u="1"/>
        <d v="2024-08-15T05:45:23" u="1"/>
        <d v="2024-08-15T14:30:45" u="1"/>
        <d v="2024-08-15T19:56:33" u="1"/>
        <d v="2024-08-15T22:53:39" u="1"/>
        <d v="2024-08-16T02:02:26" u="1"/>
        <d v="2024-08-16T21:44:29" u="1"/>
        <d v="2024-08-17T02:11:45" u="1"/>
        <d v="2024-08-17T05:50:47" u="1"/>
        <d v="2024-08-17T09:22:46" u="1"/>
        <d v="2024-08-17T16:02:50" u="1"/>
        <d v="2024-08-17T22:22:10" u="1"/>
        <d v="2024-08-18T05:01:57" u="1"/>
        <d v="2024-08-18T16:30:38" u="1"/>
        <d v="2024-08-18T21:08:32" u="1"/>
        <d v="2024-08-19T02:14:15" u="1"/>
        <d v="2024-08-19T08:04:40" u="1"/>
        <d v="2024-08-19T14:32:33" u="1"/>
        <d v="2024-08-19T20:30:29" u="1"/>
        <d v="2024-08-20T01:39:08" u="1"/>
        <d v="2024-08-20T18:44:00" u="1"/>
        <d v="2024-08-20T18:44:01" u="1"/>
        <d v="2024-08-20T23:03:06" u="1"/>
        <d v="2024-08-21T02:00:22" u="1"/>
        <d v="2024-08-21T06:44:53" u="1"/>
        <d v="2024-08-21T11:24:33" u="1"/>
        <d v="2024-08-23T18:47:43" u="1"/>
        <d v="2024-08-23T21:39:01" u="1"/>
        <d v="2024-08-24T01:39:02" u="1"/>
        <d v="2024-08-24T12:59:34" u="1"/>
        <d v="2024-08-24T17:34:47" u="1"/>
        <d v="2024-08-24T23:07:40" u="1"/>
        <d v="2024-08-25T01:57:31" u="1"/>
        <d v="2024-08-25T04:54:30" u="1"/>
        <d v="2024-08-25T08:39:46" u="1"/>
        <d v="2024-08-25T11:51:53" u="1"/>
        <d v="2023-10-05T06:28:32" u="1"/>
        <d v="2023-10-05T20:04:21" u="1"/>
        <d v="2023-10-06T11:10:56" u="1"/>
        <d v="2023-10-06T22:35:59" u="1"/>
        <d v="2023-10-07T06:43:41" u="1"/>
        <d v="2023-10-07T10:45:51" u="1"/>
        <d v="2023-10-07T15:45:19" u="1"/>
        <d v="2023-10-07T23:14:56" u="1"/>
        <d v="2023-10-09T10:49:12" u="1"/>
        <d v="2023-10-10T10:59:18" u="1"/>
        <d v="2023-10-10T14:07:37" u="1"/>
        <d v="2023-10-12T12:01:50" u="1"/>
        <d v="2023-10-12T21:03:20" u="1"/>
        <d v="2023-10-13T16:07:35" u="1"/>
        <d v="2023-10-15T10:56:20" u="1"/>
        <d v="2023-10-16T03:22:26" u="1"/>
        <d v="2023-10-17T13:42:37" u="1"/>
        <d v="2023-10-18T18:06:36" u="1"/>
        <d v="2023-10-18T22:36:26" u="1"/>
        <d v="2023-10-19T04:12:31" u="1"/>
        <d v="2023-10-19T09:04:07" u="1"/>
        <d v="2023-10-19T13:46:22" u="1"/>
        <d v="2023-10-19T18:32:23" u="1"/>
        <d v="2023-10-20T03:13:36" u="1"/>
        <d v="2023-10-20T21:14:17" u="1"/>
        <d v="2023-10-22T02:20:41" u="1"/>
        <d v="2023-10-25T09:03:32" u="1"/>
        <d v="2023-10-25T14:00:19" u="1"/>
        <d v="2023-10-25T18:18:52" u="1"/>
        <d v="2023-10-25T21:16:42" u="1"/>
        <d v="2023-10-26T01:04:50" u="1"/>
        <d v="2023-10-26T04:20:01" u="1"/>
        <d v="2023-10-26T12:19:44" u="1"/>
        <d v="2023-10-26T20:28:39" u="1"/>
        <d v="2023-10-27T11:34:13" u="1"/>
        <d v="2023-10-27T14:34:57" u="1"/>
        <d v="2023-10-27T21:29:05" u="1"/>
        <d v="2023-10-28T08:07:15" u="1"/>
        <d v="2023-10-28T14:49:07" u="1"/>
        <d v="2023-10-29T04:21:47" u="1"/>
        <d v="2023-10-29T13:36:06" u="1"/>
        <d v="2023-10-29T23:12:39" u="1"/>
        <d v="2023-10-30T15:01:09" u="1"/>
        <d v="2023-11-02T09:55:06" u="1"/>
        <d v="2023-11-02T22:45:35" u="1"/>
        <d v="2023-11-03T06:26:01" u="1"/>
        <d v="2023-11-03T11:07:01" u="1"/>
        <d v="2023-11-04T01:43:38" u="1"/>
        <d v="2023-11-04T02:04:19" u="1"/>
        <d v="2023-11-05T03:34:14" u="1"/>
        <d v="2023-11-05T07:36:00" u="1"/>
        <d v="2023-11-05T17:44:19" u="1"/>
        <d v="2023-11-06T10:29:46" u="1"/>
        <d v="2023-11-07T04:15:28" u="1"/>
        <d v="2023-11-07T07:56:20" u="1"/>
        <d v="2023-11-07T14:13:45" u="1"/>
        <d v="2023-11-10T16:29:04" u="1"/>
        <d v="2023-11-10T19:50:06" u="1"/>
        <d v="2023-11-10T23:09:00" u="1"/>
        <d v="2023-11-11T02:56:50" u="1"/>
        <d v="2023-11-11T06:48:23" u="1"/>
        <d v="2023-11-13T17:48:26" u="1"/>
        <d v="2023-11-13T23:07:33" u="1"/>
        <d v="2023-11-14T14:06:56" u="1"/>
        <d v="2023-11-15T08:15:18" u="1"/>
        <d v="2023-11-15T18:45:32" u="1"/>
        <d v="2023-11-15T18:53:55" u="1"/>
        <d v="2023-11-16T02:06:03" u="1"/>
        <d v="2023-11-16T08:01:22" u="1"/>
        <d v="2023-11-16T22:26:15" u="1"/>
        <d v="2023-11-17T09:40:45" u="1"/>
        <d v="2023-11-17T14:06:01" u="1"/>
        <d v="2023-11-17T17:09:42" u="1"/>
        <d v="2023-11-17T22:28:31" u="1"/>
        <d v="2023-11-18T06:18:33" u="1"/>
        <d v="2023-11-18T09:41:49" u="1"/>
        <d v="2023-11-18T21:35:19" u="1"/>
        <d v="2023-11-19T02:56:42" u="1"/>
        <d v="2023-11-19T06:19:10" u="1"/>
        <d v="2023-11-19T14:44:40" u="1"/>
        <d v="2023-11-19T22:10:25" u="1"/>
        <d v="2023-11-20T02:36:09" u="1"/>
        <d v="2023-11-20T06:12:39" u="1"/>
        <d v="2023-11-20T10:35:28" u="1"/>
        <d v="2023-11-20T13:55:20" u="1"/>
        <d v="2023-11-20T17:24:23" u="1"/>
        <d v="2023-11-20T21:03:39" u="1"/>
        <d v="2023-11-21T02:31:43" u="1"/>
        <d v="2023-11-21T06:43:05" u="1"/>
        <d v="2023-11-21T16:04:05" u="1"/>
        <d v="2023-11-21T20:26:51" u="1"/>
        <d v="2023-11-22T01:03:13" u="1"/>
        <d v="2023-11-22T05:51:16" u="1"/>
        <d v="2023-11-22T10:38:15" u="1"/>
        <d v="2023-11-22T14:29:56" u="1"/>
        <d v="2023-11-22T18:34:43" u="1"/>
        <d v="2023-11-22T22:26:30" u="1"/>
        <d v="2023-11-23T08:13:53" u="1"/>
        <d v="2023-11-23T22:34:57" u="1"/>
        <d v="2023-11-24T18:25:12" u="1"/>
        <d v="2023-11-24T23:22:38" u="1"/>
        <d v="2023-11-25T03:44:45" u="1"/>
        <d v="2023-11-25T08:40:55" u="1"/>
        <d v="2023-11-26T00:02:39" u="1"/>
        <d v="2023-11-28T09:01:17" u="1"/>
        <d v="2023-11-30T06:00:46" u="1"/>
        <d v="2023-12-01T16:14:07" u="1"/>
        <d v="2023-12-03T06:05:16" u="1"/>
        <d v="2023-12-06T03:37:17" u="1"/>
        <d v="2023-12-07T17:07:25" u="1"/>
        <d v="2023-12-07T17:07:26" u="1"/>
        <d v="2023-12-09T07:34:35" u="1"/>
        <d v="2023-12-09T11:49:16" u="1"/>
        <d v="2023-12-10T02:33:07" u="1"/>
        <d v="2023-12-10T21:02:16" u="1"/>
        <d v="2023-12-15T10:52:46" u="1"/>
        <d v="2023-12-15T14:25:09" u="1"/>
        <d v="2023-12-17T06:42:54" u="1"/>
        <d v="2023-12-17T11:44:17" u="1"/>
        <d v="2023-12-17T21:12:18" u="1"/>
        <d v="2023-12-18T02:09:45" u="1"/>
        <d v="2023-12-18T08:42:38" u="1"/>
        <d v="2023-12-19T21:26:10" u="1"/>
        <d v="2023-12-20T17:45:05" u="1"/>
        <d v="2023-12-21T02:01:15" u="1"/>
        <d v="2023-12-24T04:15:22" u="1"/>
        <d v="2023-12-24T11:02:34" u="1"/>
        <d v="2023-12-25T02:59:10" u="1"/>
        <d v="2023-12-25T09:22:31" u="1"/>
        <d v="2023-12-25T13:55:21" u="1"/>
        <d v="2023-12-25T20:25:56" u="1"/>
        <d v="2023-12-26T02:13:04" u="1"/>
        <d v="2023-12-28T11:41:55" u="1"/>
        <d v="2023-12-28T22:36:34" u="1"/>
        <d v="2023-12-29T06:20:15" u="1"/>
        <d v="2023-12-29T18:12:25" u="1"/>
        <d v="2023-12-30T08:01:18" u="1"/>
        <d v="2023-12-30T12:05:17" u="1"/>
        <d v="2023-12-31T13:03:14" u="1"/>
        <d v="2023-12-31T20:33:53" u="1"/>
        <d v="2024-01-01T08:49:14" u="1"/>
        <d v="2024-01-01T18:13:41" u="1"/>
        <d v="2024-01-01T22:16:30" u="1"/>
        <d v="2024-01-02T05:23:39" u="1"/>
        <d v="2024-01-02T08:19:01" u="1"/>
        <d v="2024-01-02T12:48:56" u="1"/>
        <d v="2024-01-02T22:12:10" u="1"/>
        <d v="2024-01-03T06:17:54" u="1"/>
        <d v="2024-01-03T10:30:43" u="1"/>
        <d v="2024-01-03T21:27:20" u="1"/>
        <d v="2024-01-04T01:44:11" u="1"/>
        <d v="2024-01-04T11:22:46" u="1"/>
        <d v="2024-01-04T17:26:39" u="1"/>
        <d v="2024-01-05T02:56:54" u="1"/>
        <d v="2024-01-05T07:45:20" u="1"/>
        <d v="2024-01-09T21:46:16" u="1"/>
        <d v="2024-01-10T10:08:14" u="1"/>
        <d v="2024-01-12T04:17:12" u="1"/>
        <d v="2024-01-13T01:52:45" u="1"/>
        <d v="2024-01-14T01:47:29" u="1"/>
        <d v="2024-01-15T13:48:36" u="1"/>
        <d v="2024-01-16T17:02:56" u="1"/>
        <d v="2024-01-16T23:49:03" u="1"/>
        <d v="2024-01-17T04:56:08" u="1"/>
        <d v="2024-01-17T09:15:55" u="1"/>
        <d v="2024-01-17T17:18:30" u="1"/>
        <d v="2024-01-17T20:19:05" u="1"/>
        <d v="2024-01-19T07:29:24" u="1"/>
        <d v="2024-01-20T22:48:52" u="1"/>
        <d v="2024-01-21T16:33:57" u="1"/>
        <d v="2024-01-21T22:37:45" u="1"/>
        <d v="2024-01-22T06:05:21" u="1"/>
        <d v="2024-01-22T11:24:32" u="1"/>
        <d v="2024-01-23T02:57:41" u="1"/>
        <d v="2024-01-23T09:02:31" u="1"/>
        <d v="2024-01-23T15:38:10" u="1"/>
        <d v="2024-01-23T19:22:23" u="1"/>
        <d v="2024-01-23T22:56:35" u="1"/>
        <d v="2024-01-24T11:56:55" u="1"/>
        <d v="2024-01-24T16:48:16" u="1"/>
        <d v="2024-01-24T20:37:07" u="1"/>
        <d v="2024-01-24T23:33:53" u="1"/>
        <d v="2024-01-25T03:19:54" u="1"/>
        <d v="2024-01-25T16:16:18" u="1"/>
        <d v="2024-01-25T22:52:24" u="1"/>
        <d v="2024-01-26T16:51:37" u="1"/>
        <d v="2024-01-26T20:13:39" u="1"/>
        <d v="2024-01-27T03:11:24" u="1"/>
        <d v="2024-01-27T15:15:39" u="1"/>
        <d v="2024-01-27T19:59:30" u="1"/>
        <d v="2024-01-28T02:43:48" u="1"/>
        <d v="2024-01-28T06:56:44" u="1"/>
        <d v="2024-01-28T17:46:54" u="1"/>
        <d v="2024-01-28T20:52:03" u="1"/>
        <d v="2024-01-29T00:11:27" u="1"/>
        <d v="2024-02-03T20:41:59" u="1"/>
        <d v="2024-02-04T11:18:27" u="1"/>
        <d v="2024-02-04T16:59:54" u="1"/>
        <d v="2024-02-05T01:06:34" u="1"/>
        <d v="2024-02-05T04:18:02" u="1"/>
        <d v="2024-02-05T17:38:22" u="1"/>
        <d v="2024-02-05T23:02:48" u="1"/>
        <d v="2024-02-06T04:48:01" u="1"/>
        <d v="2024-02-06T08:50:16" u="1"/>
        <d v="2024-02-06T18:55:53" u="1"/>
        <d v="2024-02-07T10:40:56" u="1"/>
        <d v="2024-02-14T11:00:38" u="1"/>
        <d v="2024-02-15T08:54:07" u="1"/>
        <d v="2024-02-15T11:45:33" u="1"/>
        <d v="2024-02-15T17:43:06" u="1"/>
        <d v="2024-02-16T18:01:32" u="1"/>
        <d v="2024-02-16T21:31:15" u="1"/>
        <d v="2024-02-17T08:13:07" u="1"/>
        <d v="2024-02-17T12:44:49" u="1"/>
        <d v="2024-02-17T15:40:17" u="1"/>
        <d v="2024-02-17T20:26:49" u="1"/>
        <d v="2024-02-17T23:36:38" u="1"/>
        <d v="2024-02-18T03:32:34" u="1"/>
        <d v="2024-02-18T09:27:48" u="1"/>
        <d v="2024-02-18T13:58:18" u="1"/>
        <d v="2024-02-18T17:03:12" u="1"/>
        <d v="2024-02-18T20:31:32" u="1"/>
        <d v="2024-02-19T03:46:38" u="1"/>
        <d v="2024-02-19T13:31:29" u="1"/>
        <d v="2024-02-20T02:48:17" u="1"/>
        <d v="2024-02-20T06:37:54" u="1"/>
        <d v="2024-02-20T18:12:37" u="1"/>
        <d v="2024-02-21T03:08:03" u="1"/>
        <d v="2024-02-21T07:46:46" u="1"/>
        <d v="2024-02-21T13:58:56" u="1"/>
        <d v="2024-02-21T21:54:24" u="1"/>
        <d v="2024-02-22T09:36:56" u="1"/>
        <d v="2024-02-22T14:10:32" u="1"/>
        <d v="2024-02-22T19:00:02" u="1"/>
        <d v="2024-02-23T07:19:56" u="1"/>
        <d v="2024-02-23T16:56:52" u="1"/>
        <d v="2024-02-23T22:32:38" u="1"/>
        <d v="2024-02-24T03:56:16" u="1"/>
        <d v="2024-02-24T08:20:26" u="1"/>
        <d v="2024-02-24T12:47:54" u="1"/>
        <d v="2024-02-24T16:28:16" u="1"/>
        <d v="2024-02-24T22:50:51" u="1"/>
        <d v="2024-02-25T08:06:48" u="1"/>
        <d v="2024-02-26T08:40:44" u="1"/>
        <d v="2024-02-26T16:08:55" u="1"/>
        <d v="2024-02-26T20:35:35" u="1"/>
        <d v="2024-02-27T09:13:31" u="1"/>
        <d v="2024-02-27T15:26:46" u="1"/>
        <d v="2024-02-28T08:18:20" u="1"/>
        <d v="2024-02-28T22:17:32" u="1"/>
        <d v="2024-02-29T02:45:21" u="1"/>
        <d v="2024-02-29T08:06:58" u="1"/>
        <d v="2024-02-29T12:00:40" u="1"/>
        <d v="2024-02-29T14:55:52" u="1"/>
        <d v="2024-02-29T17:55:28" u="1"/>
        <d v="2024-02-29T21:27:11" u="1"/>
        <d v="2024-03-01T00:41:35" u="1"/>
        <d v="2024-03-01T04:03:22" u="1"/>
        <d v="2024-03-01T07:58:25" u="1"/>
        <d v="2024-03-01T14:15:20" u="1"/>
        <d v="2024-03-01T18:27:23" u="1"/>
        <d v="2024-03-02T06:20:52" u="1"/>
        <d v="2024-03-02T12:42:56" u="1"/>
        <d v="2024-03-03T06:15:51" u="1"/>
        <d v="2024-03-04T10:11:51" u="1"/>
        <d v="2024-03-04T10:32:57" u="1"/>
        <d v="2024-03-04T16:24:22" u="1"/>
        <d v="2024-03-04T22:50:39" u="1"/>
        <d v="2024-03-05T06:32:22" u="1"/>
        <d v="2024-03-05T18:34:40" u="1"/>
        <d v="2024-03-05T23:00:34" u="1"/>
        <d v="2024-03-06T03:32:13" u="1"/>
        <d v="2024-03-06T07:59:08" u="1"/>
        <d v="2024-03-06T12:36:42" u="1"/>
        <d v="2024-03-07T12:55:39" u="1"/>
        <d v="2024-03-08T10:14:45" u="1"/>
        <d v="2024-03-08T22:21:50" u="1"/>
        <d v="2024-03-09T02:28:42" u="1"/>
        <d v="2024-03-09T06:32:14" u="1"/>
        <d v="2024-03-09T11:31:21" u="1"/>
        <d v="2024-03-11T06:37:06" u="1"/>
        <d v="2024-03-12T02:06:14" u="1"/>
        <d v="2024-03-12T10:26:21" u="1"/>
        <d v="2024-03-13T01:33:38" u="1"/>
        <d v="2024-03-14T14:36:25" u="1"/>
        <d v="2024-03-15T01:19:28" u="1"/>
        <d v="2024-03-16T20:17:30" u="1"/>
        <d v="2024-03-17T00:16:21" u="1"/>
        <d v="2024-03-19T00:35:49" u="1"/>
        <d v="2024-03-19T13:06:25" u="1"/>
        <d v="2024-03-21T02:42:24" u="1"/>
        <d v="2024-03-21T23:04:14" u="1"/>
        <d v="2024-03-24T02:24:27" u="1"/>
        <d v="2024-03-24T21:07:28" u="1"/>
        <d v="2024-03-25T02:22:29" u="1"/>
        <d v="2024-03-26T01:37:27" u="1"/>
        <d v="2024-03-26T06:34:04" u="1"/>
        <d v="2024-03-26T15:13:04" u="1"/>
        <d v="2024-03-26T22:25:18" u="1"/>
        <d v="2024-03-27T03:05:10" u="1"/>
        <d v="2024-03-27T16:58:04" u="1"/>
        <d v="2024-03-28T02:36:08" u="1"/>
        <d v="2024-03-28T08:30:47" u="1"/>
        <d v="2024-03-28T12:50:55" u="1"/>
        <d v="2024-03-28T17:00:44" u="1"/>
        <d v="2024-03-29T03:28:57" u="1"/>
        <d v="2024-03-29T12:43:41" u="1"/>
        <d v="2024-03-29T16:06:12" u="1"/>
        <d v="2024-03-29T20:44:45" u="1"/>
        <d v="2024-03-30T05:54:28" u="1"/>
        <d v="2024-03-30T09:51:21" u="1"/>
        <d v="2024-03-30T14:34:31" u="1"/>
        <d v="2024-03-31T07:30:32" u="1"/>
        <d v="2024-03-31T07:43:12" u="1"/>
        <d v="2024-03-31T17:22:51" u="1"/>
        <d v="2024-03-31T21:46:49" u="1"/>
        <d v="2024-04-01T14:38:06" u="1"/>
        <d v="2024-04-01T20:49:54" u="1"/>
        <d v="2024-04-02T02:04:17" u="1"/>
        <d v="2024-04-02T18:13:26" u="1"/>
        <d v="2024-04-03T03:53:00" u="1"/>
        <d v="2024-04-04T11:29:13" u="1"/>
        <d v="2024-04-04T17:05:48" u="1"/>
        <d v="2024-04-04T22:53:38" u="1"/>
        <d v="2024-04-05T06:03:11" u="1"/>
        <d v="2024-04-05T11:35:15" u="1"/>
        <d v="2024-04-05T16:19:42" u="1"/>
        <d v="2024-04-05T21:07:52" u="1"/>
        <d v="2024-04-06T12:52:20" u="1"/>
        <d v="2024-04-06T17:29:04" u="1"/>
        <d v="2024-04-07T20:47:03" u="1"/>
        <d v="2024-04-08T17:42:53" u="1"/>
        <d v="2024-04-09T01:02:45" u="1"/>
        <d v="2024-04-11T02:11:30" u="1"/>
        <d v="2024-04-12T02:37:40" u="1"/>
        <d v="2024-04-12T09:43:51" u="1"/>
        <d v="2024-04-12T16:12:07" u="1"/>
        <d v="2024-04-12T20:23:14" u="1"/>
        <d v="2024-04-13T01:34:55" u="1"/>
        <d v="2024-04-13T08:02:27" u="1"/>
        <d v="2024-04-15T09:45:57" u="1"/>
        <d v="2024-04-16T20:34:50" u="1"/>
        <d v="2024-04-17T01:39:55" u="1"/>
        <d v="2024-04-18T06:29:01" u="1"/>
        <d v="2024-04-18T22:50:17" u="1"/>
        <d v="2024-04-19T20:20:26" u="1"/>
        <d v="2024-04-20T09:24:28" u="1"/>
        <d v="2024-04-20T19:57:32" u="1"/>
        <d v="2024-04-21T11:06:17" u="1"/>
        <d v="2024-04-21T22:42:18" u="1"/>
        <d v="2024-04-22T04:17:48" u="1"/>
        <d v="2024-04-22T08:45:01" u="1"/>
        <d v="2024-04-22T22:44:29" u="1"/>
        <d v="2024-04-23T06:27:55" u="1"/>
        <d v="2024-04-24T01:36:59" u="1"/>
        <d v="2024-04-24T11:23:41" u="1"/>
        <d v="2024-04-24T16:19:48" u="1"/>
        <d v="2024-04-24T20:47:08" u="1"/>
        <d v="2024-04-25T01:40:45" u="1"/>
        <d v="2024-04-25T06:37:21" u="1"/>
        <d v="2024-04-25T11:04:29" u="1"/>
        <d v="2024-04-25T17:15:27" u="1"/>
        <d v="2024-04-25T20:07:07" u="1"/>
        <d v="2024-04-26T02:01:24" u="1"/>
        <d v="2024-04-26T06:29:42" u="1"/>
        <d v="2024-04-26T15:11:55" u="1"/>
        <d v="2024-04-27T02:04:09" u="1"/>
        <d v="2024-04-28T03:57:24" u="1"/>
        <d v="2024-04-28T10:07:39" u="1"/>
        <d v="2024-04-28T20:15:37" u="1"/>
        <d v="2024-04-28T20:19:27" u="1"/>
        <d v="2024-04-29T01:47:37" u="1"/>
        <d v="2024-04-29T06:21:52" u="1"/>
        <d v="2024-04-29T13:04:51" u="1"/>
        <d v="2024-04-29T18:37:33" u="1"/>
        <d v="2024-04-29T21:54:37" u="1"/>
        <d v="2024-04-30T01:34:59" u="1"/>
        <d v="2024-04-30T06:05:26" u="1"/>
        <d v="2024-04-30T09:05:41" u="1"/>
        <d v="2024-04-30T13:13:18" u="1"/>
        <d v="2024-04-30T16:26:37" u="1"/>
        <d v="2024-05-01T04:50:13" u="1"/>
        <d v="2024-05-01T16:07:00" u="1"/>
        <d v="2024-05-02T06:07:56" u="1"/>
        <d v="2024-05-02T23:26:34" u="1"/>
        <d v="2024-05-03T07:57:42" u="1"/>
        <d v="2024-05-03T07:57:43" u="1"/>
        <d v="2024-05-03T14:39:03" u="1"/>
        <d v="2024-05-03T20:56:18" u="1"/>
        <d v="2024-05-04T07:17:21" u="1"/>
        <d v="2024-05-04T14:07:53" u="1"/>
        <d v="2024-05-04T20:31:43" u="1"/>
        <d v="2024-05-05T15:14:51" u="1"/>
        <d v="2024-05-05T19:37:03" u="1"/>
        <d v="2024-05-05T22:46:38" u="1"/>
        <d v="2024-05-06T06:21:19" u="1"/>
        <d v="2024-05-06T10:36:41" u="1"/>
        <d v="2024-05-06T16:26:45" u="1"/>
        <d v="2024-05-07T01:56:35" u="1"/>
        <d v="2024-05-07T16:57:13" u="1"/>
        <d v="2024-05-07T20:19:53" u="1"/>
        <d v="2024-05-07T23:27:32" u="1"/>
        <d v="2024-05-08T02:56:28" u="1"/>
        <d v="2024-05-08T02:56:29" u="1"/>
        <d v="2024-05-08T14:34:03" u="1"/>
        <d v="2024-05-09T03:25:22" u="1"/>
        <d v="2024-05-09T13:27:32" u="1"/>
        <d v="2024-05-09T16:33:46" u="1"/>
        <d v="2024-05-10T02:15:18" u="1"/>
        <d v="2024-05-11T03:36:29" u="1"/>
        <d v="2024-05-11T13:47:29" u="1"/>
        <d v="2024-05-12T14:27:12" u="1"/>
        <d v="2024-05-13T10:40:58" u="1"/>
        <d v="2024-05-13T16:20:06" u="1"/>
        <d v="2024-05-13T22:31:04" u="1"/>
        <d v="2024-05-14T03:26:07" u="1"/>
        <d v="2024-05-14T14:16:11" u="1"/>
        <d v="2024-05-15T23:18:02" u="1"/>
        <d v="2024-05-16T05:26:16" u="1"/>
        <d v="2024-05-16T17:47:14" u="1"/>
        <d v="2024-05-17T01:34:06" u="1"/>
        <d v="2024-05-17T06:11:50" u="1"/>
        <d v="2024-05-17T09:21:03" u="1"/>
        <d v="2024-05-17T22:44:09" u="1"/>
        <d v="2024-05-18T02:07:36" u="1"/>
        <d v="2024-05-18T20:58:25" u="1"/>
        <d v="2024-05-19T03:07:09" u="1"/>
        <d v="2024-05-19T08:01:29" u="1"/>
        <d v="2024-05-19T11:23:48" u="1"/>
        <d v="2024-05-19T17:17:15" u="1"/>
        <d v="2024-05-19T20:28:21" u="1"/>
        <d v="2024-05-19T23:39:03" u="1"/>
        <d v="2024-05-20T09:57:20" u="1"/>
        <d v="2024-05-20T14:06:51" u="1"/>
        <d v="2024-05-20T20:42:03" u="1"/>
        <d v="2024-05-20T23:31:25" u="1"/>
        <d v="2024-05-21T03:11:16" u="1"/>
        <d v="2024-05-21T08:17:24" u="1"/>
        <d v="2024-05-21T11:48:41" u="1"/>
        <d v="2024-05-21T15:10:24" u="1"/>
        <d v="2024-05-21T20:01:51" u="1"/>
        <d v="2024-05-22T11:20:57" u="1"/>
        <d v="2024-05-22T18:36:09" u="1"/>
        <d v="2024-05-23T01:47:47" u="1"/>
        <d v="2024-05-23T06:42:33" u="1"/>
        <d v="2024-05-23T18:46:32" u="1"/>
        <d v="2024-05-23T23:01:26" u="1"/>
        <d v="2024-05-24T01:59:32" u="1"/>
        <d v="2024-05-24T08:11:03" u="1"/>
        <d v="2024-05-24T13:38:14" u="1"/>
        <d v="2024-05-24T16:55:13" u="1"/>
        <d v="2024-05-24T19:54:11" u="1"/>
        <d v="2024-05-25T03:32:16" u="1"/>
        <d v="2024-05-25T07:24:36" u="1"/>
        <d v="2024-05-25T22:44:26" u="1"/>
        <d v="2024-05-26T01:48:32" u="1"/>
        <d v="2024-05-26T05:30:37" u="1"/>
        <d v="2024-05-26T09:01:41" u="1"/>
        <d v="2024-05-26T12:45:42" u="1"/>
        <d v="2024-05-26T17:17:20" u="1"/>
        <d v="2024-05-27T02:32:36" u="1"/>
        <d v="2024-05-27T05:36:11" u="1"/>
        <d v="2024-05-27T09:08:26" u="1"/>
        <d v="2024-05-27T12:03:45" u="1"/>
        <d v="2024-05-27T14:57:42" u="1"/>
        <d v="2024-05-27T15:46:05" u="1"/>
        <d v="2024-05-27T18:44:39" u="1"/>
        <d v="2024-05-27T22:14:23" u="1"/>
        <d v="2024-05-28T01:41:15" u="1"/>
        <d v="2024-05-28T05:03:55" u="1"/>
        <d v="2024-05-28T08:13:40" u="1"/>
        <d v="2024-05-28T11:32:41" u="1"/>
        <d v="2024-05-28T14:56:09" u="1"/>
        <d v="2024-05-28T18:14:50" u="1"/>
        <d v="2024-05-29T05:48:59" u="1"/>
        <d v="2024-06-01T05:37:24" u="1"/>
        <d v="2024-06-01T10:47:17" u="1"/>
        <d v="2024-06-01T16:05:53" u="1"/>
        <d v="2024-06-01T23:04:01" u="1"/>
        <d v="2024-06-02T06:13:02" u="1"/>
        <d v="2024-06-02T09:20:02" u="1"/>
        <d v="2024-06-03T02:05:39" u="1"/>
        <d v="2024-06-03T02:05:40" u="1"/>
        <d v="2024-06-03T06:13:17" u="1"/>
        <d v="2024-06-03T20:13:24" u="1"/>
        <d v="2024-06-04T12:37:49" u="1"/>
        <d v="2024-06-04T18:36:33" u="1"/>
        <d v="2024-06-05T12:31:28" u="1"/>
        <d v="2024-06-05T17:23:43" u="1"/>
        <d v="2024-06-06T01:41:03" u="1"/>
        <d v="2024-06-06T07:21:10" u="1"/>
        <d v="2024-06-06T20:47:59" u="1"/>
        <d v="2024-06-07T01:33:16" u="1"/>
        <d v="2024-06-07T20:54:01" u="1"/>
        <d v="2024-06-08T07:19:46" u="1"/>
        <d v="2024-06-08T17:50:12" u="1"/>
        <d v="2024-06-08T22:11:41" u="1"/>
        <d v="2024-06-09T01:08:14" u="1"/>
        <d v="2024-06-09T06:00:32" u="1"/>
        <d v="2024-06-09T19:30:20" u="1"/>
        <d v="2024-06-09T22:48:50" u="1"/>
        <d v="2024-06-10T14:42:54" u="1"/>
        <d v="2024-06-10T22:44:22" u="1"/>
        <d v="2024-06-11T17:01:56" u="1"/>
        <d v="2024-06-11T22:30:21" u="1"/>
        <d v="2024-06-13T15:48:26" u="1"/>
        <d v="2024-06-15T11:08:30" u="1"/>
        <d v="2024-06-15T22:00:40" u="1"/>
        <d v="2024-06-16T06:15:02" u="1"/>
        <d v="2024-06-16T22:14:43" u="1"/>
        <d v="2024-06-17T01:53:04" u="1"/>
        <d v="2024-06-17T07:56:34" u="1"/>
        <d v="2024-06-17T15:30:06" u="1"/>
        <d v="2024-06-17T19:30:41" u="1"/>
        <d v="2024-06-17T23:56:01" u="1"/>
        <d v="2024-06-18T05:19:47" u="1"/>
        <d v="2024-06-18T20:58:41" u="1"/>
        <d v="2024-06-19T00:54:28" u="1"/>
        <d v="2024-06-19T04:07:50" u="1"/>
        <d v="2024-06-19T07:45:27" u="1"/>
        <d v="2024-06-19T13:14:04" u="1"/>
        <d v="2024-06-19T16:54:51" u="1"/>
        <d v="2024-06-19T17:53:01" u="1"/>
        <d v="2024-06-19T21:03:29" u="1"/>
        <d v="2024-06-19T21:26:34" u="1"/>
        <d v="2024-06-19T21:53:54" u="1"/>
        <d v="2024-06-20T00:56:29" u="1"/>
        <d v="2024-06-20T05:57:46" u="1"/>
        <d v="2024-06-20T09:07:43" u="1"/>
        <d v="2024-06-20T13:36:25" u="1"/>
        <d v="2024-06-20T17:38:00" u="1"/>
        <d v="2024-06-20T20:47:10" u="1"/>
        <d v="2024-06-21T02:28:52" u="1"/>
        <d v="2024-06-21T05:28:07" u="1"/>
        <d v="2024-06-21T17:44:40" u="1"/>
        <d v="2024-06-22T01:34:51" u="1"/>
        <d v="2024-06-22T08:16:35" u="1"/>
        <d v="2024-06-22T22:12:28" u="1"/>
        <d v="2024-06-23T01:37:18" u="1"/>
        <d v="2024-06-23T06:16:41" u="1"/>
        <d v="2024-06-23T16:33:01" u="1"/>
        <d v="2024-06-23T21:18:20" u="1"/>
        <d v="2024-06-24T13:39:50" u="1"/>
        <d v="2024-06-24T23:05:20" u="1"/>
        <d v="2024-06-25T03:20:14" u="1"/>
        <d v="2024-07-02T22:40:53" u="1"/>
        <d v="2024-07-03T03:04:29" u="1"/>
        <d v="2024-07-03T09:56:44" u="1"/>
        <d v="2024-07-03T20:20:14" u="1"/>
        <d v="2024-07-04T15:23:53" u="1"/>
        <d v="2024-07-05T06:10:15" u="1"/>
        <d v="2024-07-05T09:59:48" u="1"/>
        <d v="2024-07-06T18:08:06" u="1"/>
        <d v="2024-07-06T21:32:17" u="1"/>
        <d v="2024-07-07T09:09:13" u="1"/>
        <d v="2024-07-08T16:55:33" u="1"/>
        <d v="2024-07-10T22:39:04" u="1"/>
        <d v="2024-07-11T03:59:08" u="1"/>
        <d v="2024-07-12T08:22:24" u="1"/>
        <d v="2024-07-12T16:03:25" u="1"/>
        <d v="2024-07-12T20:00:10" u="1"/>
        <d v="2024-07-13T19:23:08" u="1"/>
        <d v="2024-07-14T10:21:09" u="1"/>
        <d v="2024-07-14T16:04:37" u="1"/>
        <d v="2024-07-15T20:13:41" u="1"/>
        <d v="2024-07-16T06:39:00" u="1"/>
        <d v="2024-07-19T10:49:21" u="1"/>
        <d v="2024-07-21T16:11:48" u="1"/>
        <d v="2024-07-21T21:25:52" u="1"/>
        <d v="2024-07-22T06:30:01" u="1"/>
        <d v="2024-07-22T13:25:41" u="1"/>
        <d v="2024-07-22T18:01:10" u="1"/>
        <d v="2024-07-22T23:21:08" u="1"/>
        <d v="2024-07-23T09:28:07" u="1"/>
        <d v="2024-07-23T12:40:55" u="1"/>
        <d v="2024-07-23T20:57:41" u="1"/>
        <d v="2024-07-23T20:57:42" u="1"/>
        <d v="2024-07-26T02:23:47" u="1"/>
        <d v="2024-07-26T12:59:58" u="1"/>
        <d v="2024-07-26T12:59:59" u="1"/>
        <d v="2024-07-26T17:11:06" u="1"/>
        <d v="2024-07-26T21:23:08" u="1"/>
        <d v="2024-07-27T12:53:35" u="1"/>
        <d v="2024-07-28T02:49:33" u="1"/>
        <d v="2024-07-28T20:33:02" u="1"/>
        <d v="2024-07-29T00:55:32" u="1"/>
        <d v="2024-07-29T07:24:47" u="1"/>
        <d v="2024-07-29T18:03:50" u="1"/>
        <d v="2024-07-30T06:38:32" u="1"/>
        <d v="2024-07-31T20:24:36" u="1"/>
        <d v="2024-08-05T04:17:00" u="1"/>
        <d v="2024-08-05T14:51:19" u="1"/>
        <d v="2024-08-08T11:19:12" u="1"/>
        <d v="2024-08-08T20:56:57" u="1"/>
        <d v="2024-08-09T08:37:23" u="1"/>
        <d v="2024-08-10T00:55:05" u="1"/>
        <d v="2024-08-10T18:15:40" u="1"/>
        <d v="2024-08-12T19:21:47" u="1"/>
        <d v="2024-08-13T19:45:42" u="1"/>
        <d v="2024-08-14T05:51:46" u="1"/>
        <d v="2024-08-14T18:27:09" u="1"/>
        <d v="2024-08-15T01:35:22" u="1"/>
        <d v="2024-08-15T12:50:11" u="1"/>
        <d v="2024-08-15T20:22:02" u="1"/>
        <d v="2024-08-17T04:25:48" u="1"/>
        <d v="2024-08-17T04:40:09" u="1"/>
        <d v="2024-08-17T13:41:48" u="1"/>
        <d v="2024-08-18T00:53:37" u="1"/>
        <d v="2024-08-19T20:27:45" u="1"/>
        <d v="2024-08-20T04:50:10" u="1"/>
        <d v="2024-08-21T18:47:52" u="1"/>
        <d v="2024-08-22T05:14:30" u="1"/>
        <d v="2024-08-22T08:47:23" u="1"/>
        <d v="2024-08-22T12:24:31" u="1"/>
        <d v="2024-08-22T16:23:01" u="1"/>
        <d v="2024-08-22T20:15:05" u="1"/>
        <d v="2024-08-22T23:14:42" u="1"/>
        <d v="2024-08-23T02:28:10" u="1"/>
        <d v="2024-08-23T06:08:05" u="1"/>
        <d v="2024-08-23T09:47:45" u="1"/>
        <d v="2024-08-23T14:24:03" u="1"/>
        <d v="2024-08-23T14:24:04" u="1"/>
        <d v="2024-08-23T17:47:05" u="1"/>
        <d v="2024-08-23T21:04:13" u="1"/>
        <d v="2024-08-24T08:41:23" u="1"/>
        <d v="2024-08-24T12:44:49" u="1"/>
        <d v="2024-08-24T17:03:15" u="1"/>
        <d v="2024-08-24T20:35:25" u="1"/>
        <d v="2024-08-24T23:48:53" u="1"/>
        <d v="2024-08-25T03:14:23" u="1"/>
        <d v="2024-08-25T08:57:35" u="1"/>
        <d v="2024-04-25T05:18:05" u="1"/>
        <d v="2024-04-25T09:46:09" u="1"/>
        <d v="2024-04-25T17:12:39" u="1"/>
        <d v="2024-04-25T20:50:43" u="1"/>
        <d v="2024-04-26T00:08:05" u="1"/>
        <d v="2024-04-26T04:20:23" u="1"/>
        <d v="2024-04-26T08:07:14" u="1"/>
        <d v="2024-04-26T11:33:46" u="1"/>
        <d v="2024-04-26T16:12:02" u="1"/>
        <d v="2024-04-26T21:44:35" u="1"/>
        <d v="2024-04-27T00:55:07" u="1"/>
        <d v="2024-04-27T04:46:55" u="1"/>
        <d v="2024-04-27T10:14:57" u="1"/>
        <d v="2024-04-27T15:38:21" u="1"/>
        <d v="2024-04-27T20:37:27" u="1"/>
        <d v="2024-04-28T02:21:03" u="1"/>
        <d v="2024-04-28T06:10:45" u="1"/>
        <d v="2024-04-28T10:03:30" u="1"/>
        <d v="2024-04-28T13:47:55" u="1"/>
        <d v="2024-04-28T16:46:30" u="1"/>
        <d v="2024-04-28T20:11:17" u="1"/>
        <d v="2024-04-29T00:01:44" u="1"/>
        <d v="2024-04-29T05:39:11" u="1"/>
        <d v="2024-04-29T08:53:59" u="1"/>
        <d v="2024-04-29T13:53:51" u="1"/>
        <d v="2024-04-29T18:17:50" u="1"/>
        <d v="2024-04-29T22:56:07" u="1"/>
        <d v="2024-04-30T03:48:24" u="1"/>
        <d v="2024-04-30T09:24:58" u="1"/>
        <d v="2024-04-30T18:42:42" u="1"/>
        <d v="2024-04-30T22:22:25" u="1"/>
        <d v="2024-04-30T23:16:46" u="1"/>
        <d v="2024-05-01T02:26:24" u="1"/>
        <d v="2024-05-01T10:07:19" u="1"/>
        <d v="2024-05-01T19:35:01" u="1"/>
        <d v="2024-05-01T23:09:29" u="1"/>
        <d v="2024-05-02T02:55:37" u="1"/>
        <d v="2024-05-02T07:40:40" u="1"/>
        <d v="2024-05-02T17:59:13" u="1"/>
        <d v="2024-05-02T21:16:41" u="1"/>
        <d v="2024-05-03T02:15:41" u="1"/>
        <d v="2024-05-03T06:13:33" u="1"/>
        <d v="2024-05-03T12:19:45" u="1"/>
        <d v="2024-05-03T18:56:17" u="1"/>
        <d v="2024-05-03T22:12:29" u="1"/>
        <d v="2024-05-04T02:01:18" u="1"/>
        <d v="2024-05-04T18:50:06" u="1"/>
        <d v="2024-05-04T18:50:07" u="1"/>
        <d v="2024-05-04T22:45:32" u="1"/>
        <d v="2024-05-05T03:19:21" u="1"/>
        <d v="2024-05-05T06:46:05" u="1"/>
        <d v="2024-05-05T14:21:29" u="1"/>
        <d v="2024-05-05T18:08:41" u="1"/>
        <d v="2024-05-05T23:40:57" u="1"/>
        <d v="2024-05-06T04:28:06" u="1"/>
        <d v="2024-05-06T08:30:55" u="1"/>
        <d v="2024-05-06T13:03:29" u="1"/>
        <d v="2024-05-06T17:48:43" u="1"/>
        <d v="2024-05-06T22:07:06" u="1"/>
        <d v="2024-05-07T02:29:15" u="1"/>
        <d v="2024-05-07T09:59:20" u="1"/>
        <d v="2024-05-07T20:15:14" u="1"/>
        <d v="2024-05-07T23:11:56" u="1"/>
        <d v="2024-05-08T02:03:00" u="1"/>
        <d v="2024-05-08T05:56:45" u="1"/>
        <d v="2024-05-08T15:47:20" u="1"/>
        <d v="2024-05-08T20:04:13" u="1"/>
        <d v="2024-05-09T01:28:55" u="1"/>
        <d v="2024-05-09T06:12:40" u="1"/>
        <d v="2024-05-09T11:26:21" u="1"/>
        <d v="2024-05-09T16:54:15" u="1"/>
        <d v="2024-05-10T02:08:38" u="1"/>
        <d v="2024-05-10T06:37:22" u="1"/>
        <d v="2024-05-10T10:44:51" u="1"/>
        <d v="2024-05-10T22:33:38" u="1"/>
        <d v="2024-05-11T06:44:24" u="1"/>
        <d v="2024-05-11T12:24:55" u="1"/>
        <d v="2024-05-11T16:09:11" u="1"/>
        <d v="2024-05-12T06:28:16" u="1"/>
        <d v="2024-05-12T14:22:21" u="1"/>
        <d v="2024-05-12T20:43:32" u="1"/>
        <d v="2024-05-13T04:30:54" u="1"/>
        <d v="2024-05-13T08:55:00" u="1"/>
        <d v="2024-05-13T13:56:10" u="1"/>
        <d v="2024-05-13T20:07:56" u="1"/>
        <d v="2024-05-14T04:43:25" u="1"/>
        <d v="2024-05-14T09:24:40" u="1"/>
        <d v="2024-05-14T13:32:34" u="1"/>
        <d v="2024-05-14T17:33:28" u="1"/>
        <d v="2024-05-14T22:16:33" u="1"/>
        <d v="2024-05-15T04:46:09" u="1"/>
        <d v="2024-05-15T08:23:00" u="1"/>
        <d v="2024-05-15T13:34:28" u="1"/>
        <d v="2024-05-15T18:29:15" u="1"/>
        <d v="2024-05-15T22:39:16" u="1"/>
        <d v="2024-05-16T09:48:47" u="1"/>
        <d v="2024-05-16T20:13:32" u="1"/>
        <d v="2024-05-17T02:13:03" u="1"/>
        <d v="2024-05-17T08:35:42" u="1"/>
        <d v="2024-05-17T12:39:13" u="1"/>
        <d v="2024-05-17T20:45:54" u="1"/>
        <d v="2024-05-18T00:07:24" u="1"/>
        <d v="2024-05-18T07:31:03" u="1"/>
        <d v="2024-05-18T14:17:34" u="1"/>
        <d v="2024-05-18T21:43:19" u="1"/>
        <d v="2024-05-19T05:53:37" u="1"/>
        <d v="2024-05-19T13:01:00" u="1"/>
        <d v="2024-05-19T16:21:06" u="1"/>
        <d v="2024-05-20T01:56:10" u="1"/>
        <d v="2024-05-20T06:26:11" u="1"/>
        <d v="2024-05-20T13:02:44" u="1"/>
        <d v="2024-05-20T18:18:52" u="1"/>
        <d v="2024-05-20T22:23:38" u="1"/>
        <d v="2024-05-21T04:30:57" u="1"/>
        <d v="2024-05-21T10:39:38" u="1"/>
        <d v="2024-05-21T13:58:55" u="1"/>
        <d v="2024-05-21T20:20:18" u="1"/>
        <d v="2024-05-22T01:23:31" u="1"/>
        <d v="2024-05-22T10:14:44" u="1"/>
        <d v="2024-05-22T16:02:20" u="1"/>
        <d v="2024-05-22T16:33:58" u="1"/>
        <d v="2024-05-22T20:26:18" u="1"/>
        <d v="2024-05-23T04:31:08" u="1"/>
        <d v="2024-05-23T11:39:56" u="1"/>
        <d v="2024-05-23T14:58:24" u="1"/>
        <d v="2024-05-23T18:34:50" u="1"/>
        <d v="2024-05-23T21:25:01" u="1"/>
        <d v="2024-05-24T03:32:54" u="1"/>
        <d v="2024-05-24T06:58:30" u="1"/>
        <d v="2024-05-24T14:22:45" u="1"/>
        <d v="2024-05-24T18:08:07" u="1"/>
        <d v="2024-05-25T01:11:32" u="1"/>
        <d v="2024-05-25T04:47:50" u="1"/>
        <d v="2024-05-25T12:42:52" u="1"/>
        <d v="2024-05-25T18:48:06" u="1"/>
        <d v="2024-05-25T22:01:30" u="1"/>
        <d v="2024-05-26T01:08:00" u="1"/>
        <d v="2024-05-26T03:58:21" u="1"/>
        <d v="2024-05-26T08:26:15" u="1"/>
        <d v="2024-05-26T11:41:00" u="1"/>
        <d v="2024-05-26T15:42:19" u="1"/>
        <d v="2024-05-26T15:42:20" u="1"/>
        <d v="2024-05-26T20:13:32" u="1"/>
        <d v="2024-05-28T14:27:11" u="1"/>
        <d v="2024-05-28T18:44:45" u="1"/>
        <d v="2024-05-28T22:32:29" u="1"/>
        <d v="2024-05-29T03:01:05" u="1"/>
        <d v="2024-05-29T08:00:35" u="1"/>
        <d v="2024-05-29T13:04:50" u="1"/>
        <d v="2024-05-29T17:16:56" u="1"/>
        <d v="2024-05-29T22:06:45" u="1"/>
        <d v="2024-05-30T02:34:02" u="1"/>
        <d v="2024-05-30T05:33:33" u="1"/>
        <d v="2024-05-30T08:27:43" u="1"/>
        <d v="2024-05-30T13:37:20" u="1"/>
        <d v="2024-05-30T20:01:14" u="1"/>
        <d v="2024-05-31T00:52:43" u="1"/>
        <d v="2024-05-31T06:01:55" u="1"/>
        <d v="2024-05-31T10:56:28" u="1"/>
        <d v="2024-05-31T15:52:33" u="1"/>
        <d v="2024-05-31T20:51:18" u="1"/>
        <d v="2024-06-01T01:45:00" u="1"/>
        <d v="2024-06-01T08:40:17" u="1"/>
        <d v="2024-06-01T13:37:59" u="1"/>
        <d v="2024-06-01T16:58:09" u="1"/>
        <d v="2024-06-01T20:33:26" u="1"/>
        <d v="2024-06-02T01:11:16" u="1"/>
        <d v="2024-06-02T06:25:41" u="1"/>
        <d v="2024-06-02T09:44:08" u="1"/>
        <d v="2024-06-02T13:30:20" u="1"/>
        <d v="2024-06-03T00:24:02" u="1"/>
        <d v="2024-06-03T04:21:05" u="1"/>
        <d v="2024-06-03T07:41:05" u="1"/>
        <d v="2024-06-03T12:37:58" u="1"/>
        <d v="2024-06-03T17:33:39" u="1"/>
        <d v="2024-06-04T00:32:58" u="1"/>
        <d v="2024-06-04T03:56:24" u="1"/>
        <d v="2024-06-04T08:54:24" u="1"/>
        <d v="2024-06-04T14:09:02" u="1"/>
        <d v="2024-06-04T20:17:01" u="1"/>
        <d v="2024-06-05T01:07:58" u="1"/>
        <d v="2024-06-05T06:08:39" u="1"/>
        <d v="2024-06-05T10:41:26" u="1"/>
        <d v="2024-06-05T16:02:48" u="1"/>
        <d v="2024-06-05T21:59:46" u="1"/>
        <d v="2024-06-06T01:30:02" u="1"/>
        <d v="2024-06-06T04:46:52" u="1"/>
        <d v="2024-06-06T09:23:34" u="1"/>
        <d v="2024-06-06T12:54:41" u="1"/>
        <d v="2024-06-06T16:56:07" u="1"/>
        <d v="2024-06-06T19:45:08" u="1"/>
        <d v="2024-06-06T22:33:32" u="1"/>
        <d v="2024-06-07T01:41:20" u="1"/>
        <d v="2024-06-07T06:22:54" u="1"/>
        <d v="2024-06-07T11:03:10" u="1"/>
        <d v="2024-06-07T16:10:33" u="1"/>
        <d v="2024-06-08T05:15:13" u="1"/>
        <d v="2024-06-08T12:09:13" u="1"/>
        <d v="2024-06-08T16:05:57" u="1"/>
        <d v="2024-06-08T20:47:32" u="1"/>
        <d v="2024-06-09T00:52:44" u="1"/>
        <d v="2024-06-09T05:07:14" u="1"/>
        <d v="2024-06-09T08:05:55" u="1"/>
        <d v="2024-06-09T13:06:54" u="1"/>
        <d v="2024-06-09T18:26:24" u="1"/>
        <d v="2024-06-09T21:38:27" u="1"/>
        <d v="2024-06-10T06:18:19" u="1"/>
        <d v="2024-06-10T14:48:16" u="1"/>
        <d v="2024-06-11T00:32:38" u="1"/>
        <d v="2024-06-11T08:10:41" u="1"/>
        <d v="2024-06-11T12:37:44" u="1"/>
        <d v="2024-06-11T17:31:47" u="1"/>
        <d v="2024-06-11T20:36:58" u="1"/>
        <d v="2024-06-12T02:11:17" u="1"/>
        <d v="2024-06-12T16:19:02" u="1"/>
        <d v="2024-06-12T20:26:52" u="1"/>
        <d v="2024-06-13T06:25:52" u="1"/>
        <d v="2024-06-13T06:25:53" u="1"/>
        <d v="2024-06-13T13:15:14" u="1"/>
        <d v="2024-06-13T18:42:09" u="1"/>
        <d v="2024-06-14T00:13:44" u="1"/>
        <d v="2024-06-14T06:05:37" u="1"/>
        <d v="2024-06-14T16:25:08" u="1"/>
        <d v="2024-06-14T20:22:16" u="1"/>
        <d v="2024-06-15T03:25:00" u="1"/>
        <d v="2024-06-15T10:40:53" u="1"/>
        <d v="2024-06-15T10:40:54" u="1"/>
        <d v="2024-06-15T17:11:30" u="1"/>
        <d v="2024-06-15T22:05:42" u="1"/>
        <d v="2024-06-16T02:21:03" u="1"/>
        <d v="2024-06-16T06:15:17" u="1"/>
        <d v="2024-06-16T16:00:50" u="1"/>
        <d v="2024-06-17T00:04:47" u="1"/>
        <d v="2024-06-17T04:21:45" u="1"/>
        <d v="2024-06-17T10:37:54" u="1"/>
        <d v="2024-06-17T19:44:26" u="1"/>
        <d v="2024-06-18T00:20:20" u="1"/>
        <d v="2024-06-18T04:38:25" u="1"/>
        <d v="2024-06-18T07:58:20" u="1"/>
        <d v="2024-06-18T13:33:23" u="1"/>
        <d v="2024-06-18T17:04:37" u="1"/>
        <d v="2024-06-18T20:29:55" u="1"/>
        <d v="2024-06-19T00:39:23" u="1"/>
        <d v="2023-12-25T11:58:26" u="1"/>
        <d v="2023-12-25T15:12:35" u="1"/>
        <d v="2023-12-25T19:29:00" u="1"/>
        <d v="2023-12-25T23:43:10" u="1"/>
        <d v="2023-12-26T05:40:08" u="1"/>
        <d v="2023-12-26T10:16:04" u="1"/>
        <d v="2023-12-26T16:00:30" u="1"/>
        <d v="2023-12-26T20:53:57" u="1"/>
        <d v="2023-12-27T03:50:53" u="1"/>
        <d v="2023-12-27T08:53:38" u="1"/>
        <d v="2023-12-27T16:01:38" u="1"/>
        <d v="2023-12-28T00:15:48" u="1"/>
        <d v="2023-12-28T08:42:29" u="1"/>
        <d v="2023-12-28T14:51:17" u="1"/>
        <d v="2023-12-28T20:07:58" u="1"/>
        <d v="2023-12-29T05:29:42" u="1"/>
        <d v="2023-12-29T10:58:08" u="1"/>
        <d v="2023-12-29T22:15:16" u="1"/>
        <d v="2023-12-30T01:42:47" u="1"/>
        <d v="2023-12-30T06:54:48" u="1"/>
        <d v="2023-12-30T13:23:39" u="1"/>
        <d v="2023-12-30T17:34:50" u="1"/>
        <d v="2023-12-30T21:19:36" u="1"/>
        <d v="2023-12-31T10:36:43" u="1"/>
        <d v="2023-12-31T16:22:07" u="1"/>
        <d v="2023-12-31T20:14:29" u="1"/>
        <d v="2024-01-01T01:46:11" u="1"/>
        <d v="2024-01-01T09:10:39" u="1"/>
        <d v="2024-01-01T13:53:43" u="1"/>
        <d v="2024-01-01T17:07:46" u="1"/>
        <d v="2024-01-01T17:07:47" u="1"/>
        <d v="2024-01-01T20:08:11" u="1"/>
        <d v="2024-01-02T02:51:45" u="1"/>
        <d v="2024-01-02T06:36:22" u="1"/>
        <d v="2024-01-02T15:09:37" u="1"/>
        <d v="2024-01-02T18:31:26" u="1"/>
        <d v="2024-01-02T21:21:01" u="1"/>
        <d v="2024-01-03T00:19:27" u="1"/>
        <d v="2024-01-03T03:18:40" u="1"/>
        <d v="2024-01-03T06:14:55" u="1"/>
        <d v="2024-01-03T09:19:35" u="1"/>
        <d v="2024-01-03T16:05:17" u="1"/>
        <d v="2024-01-03T22:39:46" u="1"/>
        <d v="2024-01-09T18:36:35" u="1"/>
        <d v="2024-01-09T21:41:50" u="1"/>
        <d v="2024-01-10T00:31:32" u="1"/>
        <d v="2024-01-10T19:53:45" u="1"/>
        <d v="2024-01-11T01:40:55" u="1"/>
        <d v="2024-01-11T18:14:40" u="1"/>
        <d v="2024-01-11T21:01:26" u="1"/>
        <d v="2024-01-12T09:55:46" u="1"/>
        <d v="2024-01-12T20:29:05" u="1"/>
        <d v="2024-01-13T01:40:22" u="1"/>
        <d v="2024-01-13T05:27:14" u="1"/>
        <d v="2024-01-13T09:10:18" u="1"/>
        <d v="2024-01-13T13:27:02" u="1"/>
        <d v="2024-01-13T20:22:52" u="1"/>
        <d v="2024-01-14T01:26:05" u="1"/>
        <d v="2024-01-14T05:56:21" u="1"/>
        <d v="2024-01-14T10:30:19" u="1"/>
        <d v="2024-01-14T18:56:24" u="1"/>
        <d v="2024-01-14T18:56:25" u="1"/>
        <d v="2024-01-15T00:29:42" u="1"/>
        <d v="2024-01-15T05:13:54" u="1"/>
        <d v="2024-01-15T10:44:24" u="1"/>
        <d v="2024-01-15T16:14:53" u="1"/>
        <d v="2024-01-15T21:00:53" u="1"/>
        <d v="2024-01-16T01:53:19" u="1"/>
        <d v="2024-01-16T06:23:35" u="1"/>
        <d v="2024-01-16T11:10:56" u="1"/>
        <d v="2024-01-16T23:39:55" u="1"/>
        <d v="2024-01-17T06:27:43" u="1"/>
        <d v="2024-01-17T14:12:40" u="1"/>
        <d v="2024-01-17T18:30:54" u="1"/>
        <d v="2024-01-17T21:45:41" u="1"/>
        <d v="2024-01-18T01:18:41" u="1"/>
        <d v="2024-01-18T06:19:20" u="1"/>
        <d v="2024-01-18T16:03:16" u="1"/>
        <d v="2024-01-18T16:07:38" u="1"/>
        <d v="2024-01-18T22:12:20" u="1"/>
        <d v="2024-01-19T01:36:46" u="1"/>
        <d v="2024-01-19T06:05:59" u="1"/>
        <d v="2024-01-19T09:48:29" u="1"/>
        <d v="2024-01-19T18:13:49" u="1"/>
        <d v="2024-01-20T03:51:21" u="1"/>
        <d v="2024-01-20T08:10:47" u="1"/>
        <d v="2024-01-20T19:51:07" u="1"/>
        <d v="2024-01-21T01:38:43" u="1"/>
        <d v="2024-01-21T14:31:23" u="1"/>
        <d v="2024-01-21T20:46:31" u="1"/>
        <d v="2024-01-21T23:50:22" u="1"/>
        <d v="2024-01-22T02:42:43" u="1"/>
        <d v="2024-01-22T09:31:25" u="1"/>
        <d v="2024-01-22T13:36:57" u="1"/>
        <d v="2024-01-22T18:08:36" u="1"/>
        <d v="2024-01-22T22:53:18" u="1"/>
        <d v="2024-01-23T03:17:01" u="1"/>
        <d v="2024-01-23T06:36:00" u="1"/>
        <d v="2024-01-23T12:47:34" u="1"/>
        <d v="2024-01-23T17:55:49" u="1"/>
        <d v="2024-01-23T21:01:35" u="1"/>
        <d v="2024-01-24T01:42:31" u="1"/>
        <d v="2024-01-24T07:54:44" u="1"/>
        <d v="2024-01-24T17:56:33" u="1"/>
        <d v="2024-01-24T20:54:11" u="1"/>
        <d v="2024-01-25T01:24:30" u="1"/>
        <d v="2024-01-25T05:20:35" u="1"/>
        <d v="2024-01-25T14:13:58" u="1"/>
        <d v="2024-01-25T20:51:59" u="1"/>
        <d v="2024-01-26T01:35:17" u="1"/>
        <d v="2024-01-26T06:11:02" u="1"/>
        <d v="2024-01-26T15:13:26" u="1"/>
        <d v="2024-01-26T18:39:40" u="1"/>
        <d v="2024-01-26T21:30:28" u="1"/>
        <d v="2024-01-26T21:30:29" u="1"/>
        <d v="2024-01-27T00:29:29" u="1"/>
        <d v="2024-01-27T06:28:02" u="1"/>
        <d v="2024-01-27T13:58:43" u="1"/>
        <d v="2024-01-27T17:53:04" u="1"/>
        <d v="2024-01-27T21:12:22" u="1"/>
        <d v="2024-01-28T01:50:02" u="1"/>
        <d v="2024-01-28T10:09:26" u="1"/>
        <d v="2024-01-28T14:41:11" u="1"/>
        <d v="2024-01-28T18:41:06" u="1"/>
        <d v="2024-01-28T21:39:52" u="1"/>
        <d v="2024-01-29T05:25:54" u="1"/>
        <d v="2024-01-29T12:33:32" u="1"/>
        <d v="2024-01-29T18:08:16" u="1"/>
        <d v="2024-01-30T06:09:43" u="1"/>
        <d v="2024-01-30T09:34:34" u="1"/>
        <d v="2024-01-30T14:25:32" u="1"/>
        <d v="2024-01-30T18:24:33" u="1"/>
        <d v="2024-01-30T21:52:29" u="1"/>
        <d v="2024-01-31T05:08:30" u="1"/>
        <d v="2024-01-31T09:13:35" u="1"/>
        <d v="2024-01-31T22:54:49" u="1"/>
        <d v="2024-02-01T01:47:28" u="1"/>
        <d v="2024-02-01T06:13:27" u="1"/>
        <d v="2024-02-01T10:03:24" u="1"/>
        <d v="2024-02-01T18:37:37" u="1"/>
        <d v="2024-02-02T01:12:23" u="1"/>
        <d v="2024-02-02T05:22:44" u="1"/>
        <d v="2024-02-02T08:27:07" u="1"/>
        <d v="2024-02-02T12:34:16" u="1"/>
        <d v="2024-02-02T20:25:56" u="1"/>
        <d v="2024-02-03T06:23:46" u="1"/>
        <d v="2024-02-03T13:39:19" u="1"/>
        <d v="2024-02-03T20:03:31" u="1"/>
        <d v="2024-02-03T20:14:26" u="1"/>
        <d v="2024-02-03T23:45:56" u="1"/>
        <d v="2024-02-04T06:24:07" u="1"/>
        <d v="2024-02-04T10:44:21" u="1"/>
        <d v="2024-02-04T15:13:03" u="1"/>
        <d v="2024-02-04T18:15:22" u="1"/>
        <d v="2024-02-04T22:48:10" u="1"/>
        <d v="2024-02-05T01:46:24" u="1"/>
        <d v="2024-02-05T06:30:40" u="1"/>
        <d v="2024-02-05T12:37:22" u="1"/>
        <d v="2024-02-05T17:31:24" u="1"/>
        <d v="2024-02-05T22:20:16" u="1"/>
        <d v="2024-02-06T03:04:20" u="1"/>
        <d v="2024-02-06T06:41:02" u="1"/>
        <d v="2014-05-02T09:07:08" u="1"/>
        <d v="2016-04-06T16:35:15" u="1"/>
        <d v="2017-04-27T19:29:03" u="1"/>
        <d v="2017-04-29T06:39:37" u="1"/>
        <d v="2017-05-16T21:11:23" u="1"/>
        <d v="2020-02-26T02:01:48" u="1"/>
        <d v="2020-03-11T19:51:20" u="1"/>
        <d v="2021-08-17T14:33:10" u="1"/>
        <d v="2021-12-01T14:03:34" u="1"/>
        <d v="2022-03-06T20:21:39" u="1"/>
        <d v="2022-03-20T06:41:56" u="1"/>
        <d v="2023-06-30T19:56:05" u="1"/>
        <d v="2023-07-19T17:22:21" u="1"/>
        <d v="2015-01-27T08:36:38" u="1"/>
        <d v="2016-01-26T06:36:37" u="1"/>
        <d v="2016-03-26T09:01:52" u="1"/>
        <d v="2016-06-29T08:23:41" u="1"/>
        <d v="2017-02-13T01:33:43" u="1"/>
        <d v="2017-05-28T16:01:01" u="1"/>
        <d v="2017-06-12T05:52:47" u="1"/>
        <d v="2017-07-12T23:15:28" u="1"/>
        <d v="2020-05-26T23:18:19" u="1"/>
        <d v="2020-07-28T08:04:55" u="1"/>
        <d v="2020-07-31T03:03:42" u="1"/>
        <d v="2023-05-24T05:05:59" u="1"/>
        <d v="2016-04-26T01:19:29" u="1"/>
        <d v="2016-11-22T12:54:46" u="1"/>
        <d v="2017-01-15T14:11:06" u="1"/>
        <d v="2020-02-15T13:42:02" u="1"/>
        <d v="2020-12-01T18:38:27" u="1"/>
        <d v="2020-12-08T04:55:52" u="1"/>
        <d v="2022-04-01T16:09:35" u="1"/>
        <d v="2022-07-21T09:01:02" u="1"/>
        <d v="2022-10-29T05:30:43" u="1"/>
        <d v="2023-03-25T10:33:59" u="1"/>
        <d v="2023-05-06T22:09:44" u="1"/>
        <d v="2016-07-06T21:50:15" u="1"/>
        <d v="2017-05-11T21:19:20" u="1"/>
        <d v="2017-06-20T12:40:52" u="1"/>
        <d v="2020-05-04T02:22:59" u="1"/>
        <d v="2020-08-06T22:00:38" u="1"/>
        <d v="2021-01-11T13:04:16" u="1"/>
        <d v="2021-01-26T05:44:39" u="1"/>
        <d v="2021-02-03T01:50:53" u="1"/>
        <d v="2021-05-18T01:28:43" u="1"/>
        <d v="2021-05-19T19:57:06" u="1"/>
        <d v="2021-07-31T06:11:44" u="1"/>
        <d v="2021-09-29T17:47:59" u="1"/>
        <d v="2022-04-06T17:51:19" u="1"/>
        <d v="2022-04-19T05:52:46" u="1"/>
        <d v="2022-07-13T12:41:04" u="1"/>
        <d v="2023-05-14T09:14:06" u="1"/>
        <d v="2014-05-25T19:40:53" u="1"/>
        <d v="2015-04-07T15:38:01" u="1"/>
        <d v="2016-04-24T22:02:09" u="1"/>
        <d v="2016-09-22T11:58:39" u="1"/>
        <d v="2020-10-08T02:55:44" u="1"/>
        <d v="2021-02-27T20:49:00" u="1"/>
        <d v="2022-05-25T08:28:50" u="1"/>
        <d v="2022-11-19T01:38:39" u="1"/>
        <d v="2015-11-24T06:37:28" u="1"/>
        <d v="2016-06-24T14:51:43" u="1"/>
        <d v="2017-05-15T07:40:43" u="1"/>
        <d v="2017-07-01T14:38:07" u="1"/>
        <d v="2020-06-27T01:34:26" u="1"/>
        <d v="2020-07-12T06:44:49" u="1"/>
        <d v="2021-09-06T05:52:53" u="1"/>
        <d v="2015-11-12T19:32:01" u="1"/>
        <d v="2016-12-11T10:04:58" u="1"/>
        <d v="2017-03-30T18:05:57" u="1"/>
        <d v="2020-03-01T13:12:16" u="1"/>
        <d v="2020-03-03T10:23:05" u="1"/>
        <d v="2020-07-18T02:00:44" u="1"/>
        <d v="2022-04-12T04:02:58" u="1"/>
        <d v="2022-03-05T20:28:24" u="1"/>
        <d v="2015-01-22T20:45:51" u="1"/>
        <d v="2016-04-05T02:21:40" u="1"/>
        <d v="2016-11-20T03:02:31" u="1"/>
        <d v="2017-01-11T22:35:08" u="1"/>
        <d v="2017-02-01T20:28:16" u="1"/>
        <d v="2020-04-25T19:56:53" u="1"/>
        <d v="2020-11-30T22:54:54" u="1"/>
        <d v="2021-09-14T14:44:59" u="1"/>
        <d v="2022-06-23T21:25:06" u="1"/>
        <d v="2022-10-26T10:38:42" u="1"/>
        <d v="2023-05-16T18:53:02" u="1"/>
        <d v="2023-06-20T07:24:48" u="1"/>
        <d v="2023-07-11T16:49:04" u="1"/>
        <d v="2015-08-19T04:26:24" u="1"/>
        <d v="2016-03-03T13:46:56" u="1"/>
        <d v="2016-03-28T21:40:48" u="1"/>
        <d v="2016-08-10T02:58:23" u="1"/>
        <d v="2016-11-14T13:31:48" u="1"/>
        <d v="2016-11-18T06:49:25" u="1"/>
        <d v="2020-06-14T20:45:02" u="1"/>
        <d v="2021-01-07T12:23:01" u="1"/>
        <d v="2021-06-28T19:28:57" u="1"/>
        <d v="2021-09-06T19:53:08" u="1"/>
        <d v="2017-04-26T03:30:16" u="1"/>
        <d v="2017-06-12T01:31:26" u="1"/>
        <d v="2020-05-02T23:16:26" u="1"/>
        <d v="2020-10-31T09:29:29" u="1"/>
        <d v="2020-11-11T04:50:34" u="1"/>
        <d v="2021-05-03T03:06:54" u="1"/>
        <d v="2021-08-28T01:29:18" u="1"/>
        <d v="2022-08-21T11:39:45" u="1"/>
        <d v="2015-03-28T11:50:19" u="1"/>
        <d v="2015-06-25T04:10:18" u="1"/>
        <d v="2016-02-21T16:48:39" u="1"/>
        <d v="2016-03-11T12:33:45" u="1"/>
        <d v="2016-10-17T11:11:42" u="1"/>
        <d v="2016-12-05T03:11:38" u="1"/>
        <d v="2017-03-03T13:42:55" u="1"/>
        <d v="2017-04-27T14:35:34" u="1"/>
        <d v="2017-06-03T15:18:00" u="1"/>
        <d v="2020-03-13T10:33:47" u="1"/>
        <d v="2020-12-07T01:42:32" u="1"/>
        <d v="2021-06-16T01:58:21" u="1"/>
        <d v="2021-12-24T08:06:40" u="1"/>
        <d v="2022-03-19T23:30:07" u="1"/>
        <d v="2015-12-05T17:28:58" u="1"/>
        <d v="2016-01-30T13:35:25" u="1"/>
        <d v="2016-03-20T12:55:28" u="1"/>
        <d v="2017-01-19T15:29:44" u="1"/>
        <d v="2021-09-12T13:32:54" u="1"/>
        <d v="2021-10-11T08:08:51" u="1"/>
        <d v="2021-10-31T11:33:30" u="1"/>
        <d v="2022-01-27T17:25:51" u="1"/>
        <d v="2022-05-13T08:44:42" u="1"/>
        <d v="2022-07-26T03:18:25" u="1"/>
        <d v="2022-11-01T01:47:39" u="1"/>
        <d v="2023-07-18T01:15:32" u="1"/>
        <d v="2014-06-20T22:28:49" u="1"/>
        <d v="2016-01-10T21:11:01" u="1"/>
        <d v="2017-01-04T05:14:41" u="1"/>
        <d v="2017-03-03T10:22:50" u="1"/>
        <d v="2017-03-28T22:01:54" u="1"/>
        <d v="2017-05-29T09:22:21" u="1"/>
        <d v="2017-05-30T18:23:38" u="1"/>
        <d v="2020-03-05T08:18:51" u="1"/>
        <d v="2020-03-20T16:52:43" u="1"/>
        <d v="2020-05-29T20:16:51" u="1"/>
        <d v="2020-09-09T09:51:40" u="1"/>
        <d v="2020-12-21T20:54:49" u="1"/>
        <d v="2021-06-10T16:02:03" u="1"/>
        <d v="2022-05-08T20:38:06" u="1"/>
        <d v="2022-06-11T02:16:37" u="1"/>
        <d v="2022-09-10T21:02:15" u="1"/>
        <d v="2022-11-16T13:00:58" u="1"/>
        <d v="2023-07-23T09:54:31" u="1"/>
        <d v="2014-04-27T04:02:10" u="1"/>
        <d v="2016-04-14T03:27:19" u="1"/>
        <d v="2016-10-29T22:26:42" u="1"/>
        <d v="2017-05-24T10:11:29" u="1"/>
        <d v="2020-08-04T11:21:55" u="1"/>
        <d v="2020-09-30T21:42:43" u="1"/>
        <d v="2021-02-01T09:46:50" u="1"/>
        <d v="2021-02-07T06:41:39" u="1"/>
        <d v="2021-02-26T02:42:11" u="1"/>
        <d v="2022-05-30T16:00:48" u="1"/>
        <d v="2021-01-31T03:30:09" u="1"/>
        <d v="2022-09-03T16:33:00" u="1"/>
        <d v="2023-03-29T16:51:36" u="1"/>
        <d v="2023-05-24T13:43:37" u="1"/>
        <d v="2023-06-23T21:40:55" u="1"/>
        <d v="2017-03-27T19:43:32" u="1"/>
        <d v="2017-04-13T10:55:25" u="1"/>
        <d v="2021-01-04T18:00:08" u="1"/>
        <d v="2021-02-12T12:06:51" u="1"/>
        <d v="2021-03-17T14:17:47" u="1"/>
        <d v="2021-03-18T09:24:34" u="1"/>
        <d v="2021-05-03T12:49:49" u="1"/>
        <d v="2021-07-29T01:40:02" u="1"/>
        <d v="2016-01-23T20:09:43" u="1"/>
        <d v="2016-03-22T17:16:36" u="1"/>
        <d v="2020-05-13T06:08:33" u="1"/>
        <d v="2020-12-09T15:04:56" u="1"/>
        <d v="2021-07-04T20:18:05" u="1"/>
        <d v="2021-10-06T05:27:35" u="1"/>
        <d v="2021-12-10T20:55:54" u="1"/>
        <d v="2022-03-28T14:35:31" u="1"/>
        <d v="2022-04-10T10:21:45" u="1"/>
        <d v="2022-05-26T16:04:45" u="1"/>
        <d v="2022-10-28T06:40:13" u="1"/>
        <d v="2022-11-22T00:01:17" u="1"/>
        <d v="2015-02-28T20:04:35" u="1"/>
        <d v="2016-05-23T04:02:10" u="1"/>
        <d v="2017-05-11T10:16:33" u="1"/>
        <d v="2020-03-23T16:51:30" u="1"/>
        <d v="2020-06-01T09:25:45" u="1"/>
        <d v="2021-05-03T02:32:29" u="1"/>
        <d v="2021-06-25T03:02:16" u="1"/>
        <d v="2021-07-26T17:15:40" u="1"/>
        <d v="2021-08-26T08:02:25" u="1"/>
        <d v="2014-06-23T12:45:09" u="1"/>
        <d v="2014-07-18T14:34:21" u="1"/>
        <d v="2016-05-20T03:37:00" u="1"/>
        <d v="2016-06-25T20:46:27" u="1"/>
        <d v="2016-07-19T06:37:07" u="1"/>
        <d v="2016-09-29T01:31:53" u="1"/>
        <d v="2017-07-14T02:14:12" u="1"/>
        <d v="2020-09-10T19:32:52" u="1"/>
        <d v="2020-09-20T19:54:36" u="1"/>
        <d v="2020-10-01T04:31:31" u="1"/>
        <d v="2021-07-19T21:24:51" u="1"/>
        <d v="2022-04-11T01:35:18" u="1"/>
        <d v="2023-05-28T11:03:31" u="1"/>
        <d v="2023-06-14T05:58:19" u="1"/>
        <d v="2023-07-13T14:59:38" u="1"/>
        <d v="2014-04-15T04:26:04" u="1"/>
        <d v="2015-02-24T10:34:07" u="1"/>
        <d v="2015-05-13T11:58:14" u="1"/>
        <d v="2015-08-28T21:14:30" u="1"/>
        <d v="2016-10-12T07:10:21" u="1"/>
        <d v="2020-04-02T10:33:40" u="1"/>
        <d v="2020-04-05T01:47:15" u="1"/>
        <d v="2020-04-09T05:16:27" u="1"/>
        <d v="2021-08-24T16:34:31" u="1"/>
        <d v="2022-01-05T22:00:09" u="1"/>
        <d v="2022-08-09T17:09:57" u="1"/>
        <d v="2022-11-20T15:26:37" u="1"/>
        <d v="2023-04-17T14:32:39" u="1"/>
        <d v="2015-09-23T10:09:12" u="1"/>
        <d v="2016-01-17T01:03:04" u="1"/>
        <d v="2016-04-18T14:27:23" u="1"/>
        <d v="2017-06-15T17:08:39" u="1"/>
        <d v="2017-06-24T23:58:29" u="1"/>
        <d v="2020-07-06T06:04:33" u="1"/>
        <d v="2020-10-25T19:49:28" u="1"/>
        <d v="2021-04-09T15:25:45" u="1"/>
        <d v="2021-09-23T03:05:11" u="1"/>
        <d v="2015-01-22T17:08:26" u="1"/>
        <d v="2015-10-18T09:13:12" u="1"/>
        <d v="2015-12-13T14:06:29" u="1"/>
        <d v="2016-04-11T09:31:17" u="1"/>
        <d v="2016-12-03T21:47:45" u="1"/>
        <d v="2017-03-04T11:17:34" u="1"/>
        <d v="2020-02-13T22:45:46" u="1"/>
        <d v="2020-06-01T12:21:44" u="1"/>
        <d v="2020-09-17T17:46:31" u="1"/>
        <d v="2020-10-26T01:39:56" u="1"/>
        <d v="2021-10-02T19:48:52" u="1"/>
        <d v="2021-10-03T18:40:51" u="1"/>
        <d v="2022-08-24T02:05:08" u="1"/>
        <d v="2014-06-27T18:06:19" u="1"/>
        <d v="2015-05-04T13:28:29" u="1"/>
        <d v="2015-09-19T14:02:22" u="1"/>
        <d v="2015-12-01T05:14:19" u="1"/>
        <d v="2016-06-18T23:39:34" u="1"/>
        <d v="2016-07-12T14:50:19" u="1"/>
        <d v="2016-08-09T08:30:15" u="1"/>
        <d v="2016-08-22T12:56:03" u="1"/>
        <d v="2017-03-12T06:54:04" u="1"/>
        <d v="2017-06-23T04:09:00" u="1"/>
        <d v="2020-09-03T10:08:39" u="1"/>
        <d v="2021-02-11T08:59:16" u="1"/>
        <d v="2021-05-02T10:17:40" u="1"/>
        <d v="2021-05-07T15:17:45" u="1"/>
        <d v="2021-10-15T20:27:44" u="1"/>
        <d v="2021-11-22T23:34:41" u="1"/>
        <d v="2022-01-13T16:02:47" u="1"/>
        <d v="2022-02-12T06:20:23" u="1"/>
        <d v="2022-04-13T20:56:41" u="1"/>
        <d v="2022-07-19T18:00:45" u="1"/>
        <d v="2022-10-16T04:25:13" u="1"/>
        <d v="2016-01-22T16:00:24" u="1"/>
        <d v="2016-10-04T00:29:02" u="1"/>
        <d v="2017-03-26T21:54:18" u="1"/>
        <d v="2017-06-29T08:36:58" u="1"/>
        <d v="2020-06-07T16:05:46" u="1"/>
        <d v="2020-07-05T19:48:43" u="1"/>
        <d v="2021-08-13T01:33:04" u="1"/>
        <d v="2021-09-14T03:29:08" u="1"/>
        <d v="2022-04-27T02:56:53" u="1"/>
        <d v="2023-06-10T18:44:43" u="1"/>
        <d v="2014-07-05T11:19:20" u="1"/>
        <d v="2015-01-17T20:28:26" u="1"/>
        <d v="2015-02-23T20:27:20" u="1"/>
        <d v="2015-04-13T23:01:43" u="1"/>
        <d v="2016-05-20T14:26:13" u="1"/>
        <d v="2016-07-04T09:23:20" u="1"/>
        <d v="2017-04-11T23:48:37" u="1"/>
        <d v="2017-04-25T10:02:08" u="1"/>
        <d v="2020-06-04T20:29:49" u="1"/>
        <d v="2020-11-03T19:51:42" u="1"/>
        <d v="2021-02-07T16:37:38" u="1"/>
        <d v="2021-06-12T02:22:08" u="1"/>
        <d v="2021-07-17T10:26:18" u="1"/>
        <d v="2022-04-01T18:26:53" u="1"/>
        <d v="2023-07-31T20:18:30" u="1"/>
        <d v="2016-02-23T19:54:11" u="1"/>
        <d v="2016-05-22T02:05:55" u="1"/>
        <d v="2016-08-12T01:48:52" u="1"/>
        <d v="2020-05-19T00:56:49" u="1"/>
        <d v="2020-07-23T20:03:34" u="1"/>
        <d v="2020-08-02T03:42:11" u="1"/>
        <d v="2014-04-04T11:08:20" u="1"/>
        <d v="2014-04-20T20:11:21" u="1"/>
        <d v="2014-05-30T01:19:35" u="1"/>
        <d v="2015-06-02T19:36:33" u="1"/>
        <d v="2015-10-21T00:46:37" u="1"/>
        <d v="2016-05-09T16:08:29" u="1"/>
        <d v="2017-06-01T15:01:39" u="1"/>
        <d v="2020-02-29T05:56:47" u="1"/>
        <d v="2020-09-24T15:52:08" u="1"/>
        <d v="2021-05-15T19:47:29" u="1"/>
        <d v="2021-05-26T21:42:23" u="1"/>
        <d v="2021-06-10T17:51:29" u="1"/>
        <d v="2021-10-02T09:50:21" u="1"/>
        <d v="2021-11-21T08:24:06" u="1"/>
        <d v="2023-06-15T02:10:08" u="1"/>
        <d v="2014-04-28T05:47:36" u="1"/>
        <d v="2015-02-01T20:41:33" u="1"/>
        <d v="2015-09-19T22:45:17" u="1"/>
        <d v="2016-05-04T19:36:31" u="1"/>
        <d v="2016-08-02T20:55:30" u="1"/>
        <d v="2016-09-01T06:26:10" u="1"/>
        <d v="2017-05-19T00:05:52" u="1"/>
        <d v="2020-06-07T14:12:32" u="1"/>
        <d v="2020-08-26T20:06:26" u="1"/>
        <d v="2020-10-07T23:16:49" u="1"/>
        <d v="2021-01-27T22:39:23" u="1"/>
        <d v="2021-03-22T14:42:11" u="1"/>
        <d v="2021-07-20T14:18:19" u="1"/>
        <d v="2022-01-07T07:32:17" u="1"/>
        <d v="2014-06-24T07:20:49" u="1"/>
        <d v="2015-07-05T01:37:54" u="1"/>
        <d v="2016-04-06T09:54:02" u="1"/>
        <d v="2016-08-02T19:47:28" u="1"/>
        <d v="2016-10-05T08:37:05" u="1"/>
        <d v="2016-12-11T18:37:19" u="1"/>
        <d v="2017-02-26T20:07:18" u="1"/>
        <d v="2017-04-17T00:48:41" u="1"/>
        <d v="2017-07-12T21:58:21" u="1"/>
        <d v="2022-02-28T00:40:42" u="1"/>
        <d v="2022-04-17T04:14:03" u="1"/>
        <d v="2022-05-22T03:21:59" u="1"/>
        <d v="2022-08-19T11:02:18" u="1"/>
        <d v="2023-05-31T08:01:02" u="1"/>
        <d v="2014-05-10T00:52:39" u="1"/>
        <d v="2016-01-15T08:42:57" u="1"/>
        <d v="2016-04-28T09:01:56" u="1"/>
        <d v="2017-07-04T20:20:35" u="1"/>
        <d v="2020-02-18T03:18:58" u="1"/>
        <d v="2020-05-27T18:10:16" u="1"/>
        <d v="2021-04-28T18:49:07" u="1"/>
        <d v="2021-06-22T13:06:14" u="1"/>
        <d v="2023-07-17T04:21:01" u="1"/>
        <d v="2016-02-05T19:44:22" u="1"/>
        <d v="2016-05-19T07:17:55" u="1"/>
        <d v="2016-08-11T15:18:14" u="1"/>
        <d v="2016-10-21T20:13:15" u="1"/>
        <d v="2017-01-07T20:52:22" u="1"/>
        <d v="2017-05-21T16:10:10" u="1"/>
        <d v="2017-06-14T05:25:56" u="1"/>
        <d v="2020-03-15T05:57:53" u="1"/>
        <d v="2020-03-23T02:44:42" u="1"/>
        <d v="2020-03-27T19:57:04" u="1"/>
        <d v="2020-06-28T03:04:49" u="1"/>
        <d v="2020-08-02T20:28:39" u="1"/>
        <d v="2021-01-17T23:09:37" u="1"/>
        <d v="2021-09-12T15:26:21" u="1"/>
        <d v="2021-09-29T18:32:08" u="1"/>
        <d v="2022-01-07T22:49:37" u="1"/>
        <d v="2022-02-03T02:08:11" u="1"/>
        <d v="2015-10-21T03:38:35" u="1"/>
        <d v="2016-02-21T08:33:49" u="1"/>
        <d v="2016-08-13T19:22:17" u="1"/>
        <d v="2020-09-25T14:24:02" u="1"/>
        <d v="2020-10-02T08:22:14" u="1"/>
        <d v="2021-04-04T20:21:39" u="1"/>
        <d v="2021-09-02T09:07:22" u="1"/>
        <d v="2022-03-30T23:34:17" u="1"/>
        <d v="2023-05-14T19:39:26" u="1"/>
        <d v="2015-04-27T13:36:48" u="1"/>
        <d v="2016-02-01T12:55:05" u="1"/>
        <d v="2016-04-30T09:43:37" u="1"/>
        <d v="2020-08-05T20:39:29" u="1"/>
        <d v="2021-05-16T07:41:58" u="1"/>
        <d v="2021-05-22T23:42:19" u="1"/>
        <d v="2021-10-16T15:25:13" u="1"/>
        <d v="2021-11-22T18:36:10" u="1"/>
        <d v="2022-03-17T10:30:03" u="1"/>
        <d v="2022-06-18T02:40:48" u="1"/>
        <d v="2022-07-16T17:30:18" u="1"/>
        <d v="2022-09-10T00:40:52" u="1"/>
        <d v="2022-11-23T14:20:07" u="1"/>
        <d v="2023-04-26T06:44:49" u="1"/>
        <d v="2023-07-22T22:30:24" u="1"/>
        <d v="2014-06-03T19:31:17" u="1"/>
        <d v="2014-06-07T11:53:56" u="1"/>
        <d v="2016-04-25T23:45:03" u="1"/>
        <d v="2016-09-28T02:41:23" u="1"/>
        <d v="2017-01-01T04:39:58" u="1"/>
        <d v="2017-04-26T21:06:10" u="1"/>
        <d v="2017-06-06T01:29:49" u="1"/>
        <d v="2020-04-06T00:22:55" u="1"/>
        <d v="2020-06-30T18:05:06" u="1"/>
        <d v="2020-07-14T21:11:27" u="1"/>
        <d v="2020-10-10T01:55:44" u="1"/>
        <d v="2021-12-01T18:46:27" u="1"/>
        <d v="2023-03-05T14:01:31" u="1"/>
        <d v="2014-05-06T08:18:58" u="1"/>
        <d v="2015-05-30T07:46:26" u="1"/>
        <d v="2017-02-01T14:28:14" u="1"/>
        <d v="2017-02-07T03:30:50" u="1"/>
        <d v="2020-04-22T06:40:44" u="1"/>
        <d v="2022-05-29T02:27:36" u="1"/>
        <d v="2022-09-01T14:23:25" u="1"/>
        <d v="2023-07-30T02:11:41" u="1"/>
        <d v="2015-07-30T21:20:59" u="1"/>
        <d v="2015-12-11T21:48:06" u="1"/>
        <d v="2016-01-30T02:27:21" u="1"/>
        <d v="2016-05-11T13:53:56" u="1"/>
        <d v="2016-05-30T17:24:52" u="1"/>
        <d v="2017-04-10T23:39:18" u="1"/>
        <d v="2017-06-29T11:00:49" u="1"/>
        <d v="2022-02-19T15:38:03" u="1"/>
        <d v="2014-04-02T07:30:53" u="1"/>
        <d v="2015-05-29T13:35:38" u="1"/>
        <d v="2016-03-15T19:34:02" u="1"/>
        <d v="2016-04-09T15:03:08" u="1"/>
        <d v="2016-05-31T01:45:11" u="1"/>
        <d v="2016-07-14T02:08:40" u="1"/>
        <d v="2021-01-28T03:55:26" u="1"/>
        <d v="2021-03-04T15:51:11" u="1"/>
        <d v="2021-12-31T21:19:03" u="1"/>
        <d v="2022-11-16T11:20:00" u="1"/>
        <d v="2016-04-18T13:56:44" u="1"/>
        <d v="2017-05-07T16:07:11" u="1"/>
        <d v="2020-07-11T00:55:33" u="1"/>
        <d v="2020-10-11T07:28:54" u="1"/>
        <d v="2021-11-10T21:45:16" u="1"/>
        <d v="2022-03-13T21:08:25" u="1"/>
        <d v="2022-06-12T06:29:55" u="1"/>
        <d v="2016-03-12T11:14:55" u="1"/>
        <d v="2016-11-29T16:26:44" u="1"/>
        <d v="2020-05-22T14:17:58" u="1"/>
        <d v="2020-10-05T21:34:20" u="1"/>
        <d v="2022-03-01T01:11:59" u="1"/>
        <d v="2022-12-05T22:30:27" u="1"/>
        <d v="2023-03-26T13:56:48" u="1"/>
        <d v="2014-05-13T05:20:34" u="1"/>
        <d v="2014-07-18T15:24:48" u="1"/>
        <d v="2017-01-18T05:13:37" u="1"/>
        <d v="2020-12-31T14:45:39" u="1"/>
        <d v="2021-08-10T09:52:51" u="1"/>
        <d v="2021-11-21T17:08:02" u="1"/>
        <d v="2022-11-18T02:03:43" u="1"/>
        <d v="2014-05-09T11:25:47" u="1"/>
        <d v="2015-12-11T09:19:44" u="1"/>
        <d v="2020-04-07T18:23:11" u="1"/>
        <d v="2020-06-06T03:52:39" u="1"/>
        <d v="2020-12-08T23:37:16" u="1"/>
        <d v="2021-11-13T18:40:02" u="1"/>
        <d v="2022-06-04T00:56:38" u="1"/>
        <d v="2023-05-29T16:32:53" u="1"/>
        <d v="2014-04-02T05:33:38" u="1"/>
        <d v="2014-06-10T03:08:32" u="1"/>
        <d v="2016-03-01T22:51:08" u="1"/>
        <d v="2020-03-12T01:40:30" u="1"/>
        <d v="2020-03-16T05:40:34" u="1"/>
        <d v="2020-05-04T00:21:41" u="1"/>
        <d v="2020-12-14T22:36:06" u="1"/>
        <d v="2020-12-30T06:40:21" u="1"/>
        <d v="2021-01-31T19:56:45" u="1"/>
        <d v="2021-06-03T01:56:37" u="1"/>
        <d v="2021-09-25T19:47:53" u="1"/>
        <d v="2022-04-01T07:46:56" u="1"/>
        <d v="2014-04-19T06:27:22" u="1"/>
        <d v="2015-11-25T15:18:38" u="1"/>
        <d v="2016-06-04T07:21:45" u="1"/>
        <d v="2017-02-26T13:24:36" u="1"/>
        <d v="2017-05-02T08:14:53" u="1"/>
        <d v="2017-07-04T00:20:33" u="1"/>
        <d v="2020-02-09T10:30:52" u="1"/>
        <d v="2020-11-18T01:10:29" u="1"/>
        <d v="2021-06-16T06:20:41" u="1"/>
        <d v="2021-10-24T21:08:01" u="1"/>
        <d v="2021-10-27T11:57:30" u="1"/>
        <d v="2021-10-30T03:44:14" u="1"/>
        <d v="2021-12-14T06:42:37" u="1"/>
        <d v="2023-06-08T01:40:38" u="1"/>
        <d v="2016-03-02T08:53:39" u="1"/>
        <d v="2020-02-23T16:25:49" u="1"/>
        <d v="2020-08-04T06:44:43" u="1"/>
        <d v="2021-04-26T09:04:39" u="1"/>
        <d v="2021-08-11T17:25:00" u="1"/>
        <d v="2021-11-28T11:10:39" u="1"/>
        <d v="2022-02-24T20:06:00" u="1"/>
        <d v="2022-04-07T21:00:21" u="1"/>
        <d v="2022-11-25T06:06:35" u="1"/>
        <d v="2014-04-14T16:48:38" u="1"/>
        <d v="2015-04-11T22:57:53" u="1"/>
        <d v="2015-05-03T12:10:53" u="1"/>
        <d v="2016-05-09T17:41:51" u="1"/>
        <d v="2016-07-04T18:49:56" u="1"/>
        <d v="2016-09-18T15:58:33" u="1"/>
        <d v="2016-11-20T10:45:24" u="1"/>
        <d v="2016-11-25T23:15:53" u="1"/>
        <d v="2020-04-02T03:37:39" u="1"/>
        <d v="2020-09-08T01:58:23" u="1"/>
        <d v="2022-03-29T17:32:45" u="1"/>
        <d v="2022-08-27T14:50:36" u="1"/>
        <d v="2014-06-03T08:40:33" u="1"/>
        <d v="2015-05-06T12:25:44" u="1"/>
        <d v="2015-08-31T16:10:30" u="1"/>
        <d v="2016-01-24T10:12:27" u="1"/>
        <d v="2016-07-26T23:08:52" u="1"/>
        <d v="2017-05-06T03:59:21" u="1"/>
        <d v="2017-05-22T19:28:45" u="1"/>
        <d v="2017-05-28T08:22:18" u="1"/>
        <d v="2017-06-01T23:50:04" u="1"/>
        <d v="2017-06-05T14:06:58" u="1"/>
        <d v="2020-06-08T06:05:45" u="1"/>
        <d v="2020-06-08T17:10:01" u="1"/>
        <d v="2020-09-23T18:31:47" u="1"/>
        <d v="2021-04-07T07:33:43" u="1"/>
        <d v="2021-09-15T07:23:37" u="1"/>
        <d v="2021-10-20T01:02:25" u="1"/>
        <d v="2021-12-11T11:00:55" u="1"/>
        <d v="2015-01-29T00:45:54" u="1"/>
        <d v="2016-04-13T14:13:44" u="1"/>
        <d v="2016-07-05T19:41:55" u="1"/>
        <d v="2017-02-04T03:56:22" u="1"/>
        <d v="2017-04-12T06:20:29" u="1"/>
        <d v="2020-03-02T07:22:47" u="1"/>
        <d v="2020-04-15T20:45:54" u="1"/>
        <d v="2020-08-24T14:46:32" u="1"/>
        <d v="2021-02-27T02:07:17" u="1"/>
        <d v="2021-10-04T06:20:45" u="1"/>
        <d v="2021-10-06T11:01:58" u="1"/>
        <d v="2014-07-05T01:19:18" u="1"/>
        <d v="2016-10-05T18:40:51" u="1"/>
        <d v="2017-03-08T04:01:32" u="1"/>
        <d v="2020-02-01T20:12:10" u="1"/>
        <d v="2020-04-29T19:43:36" u="1"/>
        <d v="2021-01-16T23:07:04" u="1"/>
        <d v="2022-04-25T09:27:28" u="1"/>
        <d v="2022-07-21T01:18:18" u="1"/>
        <d v="2022-08-02T01:55:28" u="1"/>
        <d v="2023-07-06T11:29:53" u="1"/>
        <d v="2015-10-18T21:23:44" u="1"/>
        <d v="2015-11-21T07:40:08" u="1"/>
        <d v="2016-03-05T04:36:22" u="1"/>
        <d v="2016-05-27T14:03:28" u="1"/>
        <d v="2016-06-20T12:15:28" u="1"/>
        <d v="2017-01-04T00:44:15" u="1"/>
        <d v="2017-01-20T21:33:44" u="1"/>
        <d v="2017-07-12T02:34:13" u="1"/>
        <d v="2020-04-16T15:13:47" u="1"/>
        <d v="2020-11-22T20:15:50" u="1"/>
        <d v="2021-01-25T14:01:41" u="1"/>
        <d v="2021-03-28T12:58:19" u="1"/>
        <d v="2022-10-19T00:25:14" u="1"/>
        <d v="2023-05-02T20:23:10" u="1"/>
        <d v="2016-08-28T09:44:04" u="1"/>
        <d v="2017-04-05T03:55:15" u="1"/>
        <d v="2020-02-28T15:08:34" u="1"/>
        <d v="2020-07-09T02:54:15" u="1"/>
        <d v="2020-10-05T03:50:22" u="1"/>
        <d v="2020-12-31T18:21:33" u="1"/>
        <d v="2021-12-26T15:02:39" u="1"/>
        <d v="2022-09-13T10:00:45" u="1"/>
        <d v="2023-07-03T11:02:59" u="1"/>
        <d v="2015-02-15T14:32:27" u="1"/>
        <d v="2015-10-20T13:37:18" u="1"/>
        <d v="2020-06-24T06:45:08" u="1"/>
        <d v="2021-08-06T19:33:58" u="1"/>
        <d v="2021-10-13T00:37:11" u="1"/>
        <d v="2023-06-24T15:00:44" u="1"/>
        <d v="2014-06-15T07:57:02" u="1"/>
        <d v="2014-06-30T01:43:43" u="1"/>
        <d v="2016-01-24T14:35:17" u="1"/>
        <d v="2016-11-19T15:10:30" u="1"/>
        <d v="2017-01-15T03:00:15" u="1"/>
        <d v="2017-02-24T07:34:05" u="1"/>
        <d v="2017-05-26T21:58:25" u="1"/>
        <d v="2020-09-16T04:10:19" u="1"/>
        <d v="2021-06-12T00:07:18" u="1"/>
        <d v="2021-08-16T08:07:30" u="1"/>
        <d v="2021-11-24T23:11:51" u="1"/>
        <d v="2022-01-14T06:36:23" u="1"/>
        <d v="2023-02-01T15:58:51" u="1"/>
        <d v="2023-04-12T21:53:53" u="1"/>
        <d v="2023-05-21T22:13:56" u="1"/>
        <d v="2023-06-08T21:53:57" u="1"/>
        <d v="2014-05-21T20:27:28" u="1"/>
        <d v="2016-01-24T08:07:10" u="1"/>
        <d v="2016-02-05T21:03:57" u="1"/>
        <d v="2016-03-07T03:39:09" u="1"/>
        <d v="2016-04-03T07:32:23" u="1"/>
        <d v="2016-10-10T11:03:31" u="1"/>
        <d v="2020-02-14T06:16:22" u="1"/>
        <d v="2020-03-02T06:56:24" u="1"/>
        <d v="2020-04-06T19:22:55" u="1"/>
        <d v="2020-08-19T13:38:25" u="1"/>
        <d v="2020-11-06T19:28:53" u="1"/>
        <d v="2021-10-07T13:43:38" u="1"/>
        <d v="2014-04-05T09:20:22" u="1"/>
        <d v="2016-01-09T06:24:15" u="1"/>
        <d v="2020-03-10T03:08:20" u="1"/>
        <d v="2020-06-20T06:18:13" u="1"/>
        <d v="2021-05-14T02:07:16" u="1"/>
        <d v="2021-10-27T07:28:07" u="1"/>
        <d v="2014-04-12T09:50:05" u="1"/>
        <d v="2015-06-08T11:31:20" u="1"/>
        <d v="2015-09-02T13:39:28" u="1"/>
        <d v="2016-01-12T06:08:14" u="1"/>
        <d v="2016-04-05T13:40:27" u="1"/>
        <d v="2016-04-06T02:23:08" u="1"/>
        <d v="2017-06-04T06:35:17" u="1"/>
        <d v="2020-02-24T05:26:03" u="1"/>
        <d v="2020-05-10T12:55:24" u="1"/>
        <d v="2020-09-25T10:48:06" u="1"/>
        <d v="2020-10-29T07:12:05" u="1"/>
        <d v="2021-10-30T00:54:46" u="1"/>
        <d v="2021-11-18T01:28:02" u="1"/>
        <d v="2022-03-30T20:00:38" u="1"/>
        <d v="2022-05-27T07:37:05" u="1"/>
        <d v="2023-04-26T03:37:00" u="1"/>
        <d v="2014-07-14T08:41:01" u="1"/>
        <d v="2015-07-28T07:24:56" u="1"/>
        <d v="2016-02-01T21:38:46" u="1"/>
        <d v="2016-07-27T09:40:59" u="1"/>
        <d v="2016-11-10T23:00:50" u="1"/>
        <d v="2017-01-07T02:12:10" u="1"/>
        <d v="2017-01-17T13:47:13" u="1"/>
        <d v="2021-04-13T10:43:20" u="1"/>
        <d v="2021-04-17T11:00:29" u="1"/>
        <d v="2021-10-05T10:58:24" u="1"/>
        <d v="2021-10-11T06:18:20" u="1"/>
        <d v="2022-09-23T18:30:31" u="1"/>
        <d v="2023-06-08T10:24:34" u="1"/>
        <d v="2014-03-28T09:25:56" u="1"/>
        <d v="2015-04-28T10:56:52" u="1"/>
        <d v="2015-10-04T23:55:38" u="1"/>
        <d v="2016-08-03T16:51:28" u="1"/>
        <d v="2016-12-10T23:19:43" u="1"/>
        <d v="2020-04-03T17:41:41" u="1"/>
        <d v="2021-01-19T02:07:05" u="1"/>
        <d v="2021-04-14T02:03:11" u="1"/>
        <d v="2021-09-15T09:49:12" u="1"/>
        <d v="2021-10-03T18:32:47" u="1"/>
        <d v="2022-11-22T22:30:38" u="1"/>
        <d v="2015-12-31T18:31:04" u="1"/>
        <d v="2020-03-04T04:51:09" u="1"/>
        <d v="2020-11-15T20:38:33" u="1"/>
        <d v="2021-05-15T11:23:21" u="1"/>
        <d v="2021-09-22T18:22:28" u="1"/>
        <d v="2021-11-29T22:56:20" u="1"/>
        <d v="2021-12-21T03:04:03" u="1"/>
        <d v="2022-03-02T21:42:52" u="1"/>
        <d v="2023-04-04T09:44:27" u="1"/>
        <d v="2015-12-04T15:30:24" u="1"/>
        <d v="2016-10-29T21:05:19" u="1"/>
        <d v="2017-01-20T03:22:55" u="1"/>
        <d v="2017-05-22T13:45:02" u="1"/>
        <d v="2017-07-05T04:30:05" u="1"/>
        <d v="2020-06-16T17:27:27" u="1"/>
        <d v="2020-09-29T05:35:52" u="1"/>
        <d v="2021-02-02T07:17:26" u="1"/>
        <d v="2021-04-23T23:12:38" u="1"/>
        <d v="2021-11-04T06:26:19" u="1"/>
        <d v="2023-07-26T05:44:59" u="1"/>
        <d v="2014-04-06T18:28:25" u="1"/>
        <d v="2014-04-19T00:36:38" u="1"/>
        <d v="2016-07-19T13:02:12" u="1"/>
        <d v="2017-03-13T15:08:23" u="1"/>
        <d v="2017-05-09T05:30:01" u="1"/>
        <d v="2017-06-01T15:01:37" u="1"/>
        <d v="2020-09-29T15:32:06" u="1"/>
        <d v="2020-12-25T20:44:17" u="1"/>
        <d v="2022-02-27T20:00:31" u="1"/>
        <d v="2022-03-13T20:17:41" u="1"/>
        <d v="2014-05-24T23:57:07" u="1"/>
        <d v="2015-04-21T16:22:07" u="1"/>
        <d v="2016-01-23T23:08:25" u="1"/>
        <d v="2016-09-12T11:02:13" u="1"/>
        <d v="2016-12-17T16:40:08" u="1"/>
        <d v="2017-01-23T13:34:00" u="1"/>
        <d v="2017-04-09T19:28:28" u="1"/>
        <d v="2017-05-20T02:09:52" u="1"/>
        <d v="2017-06-22T06:09:58" u="1"/>
        <d v="2020-05-29T02:47:39" u="1"/>
        <d v="2021-08-12T06:41:03" u="1"/>
        <d v="2022-10-11T02:17:04" u="1"/>
        <d v="2015-03-10T20:24:24" u="1"/>
        <d v="2016-04-03T07:27:06" u="1"/>
        <d v="2017-05-06T02:30:59" u="1"/>
        <d v="2017-07-19T19:22:17" u="1"/>
        <d v="2021-06-16T23:12:39" u="1"/>
        <d v="2021-09-25T10:24:00" u="1"/>
        <d v="2021-11-05T04:33:06" u="1"/>
        <d v="2022-06-23T14:14:15" u="1"/>
        <d v="2015-02-28T17:06:02" u="1"/>
        <d v="2016-02-03T23:41:33" u="1"/>
        <d v="2016-04-21T15:14:05" u="1"/>
        <d v="2017-04-13T04:45:50" u="1"/>
        <d v="2020-03-02T02:31:02" u="1"/>
        <d v="2021-11-13T18:53:19" u="1"/>
        <d v="2014-04-06T23:01:34" u="1"/>
        <d v="2015-02-03T16:36:16" u="1"/>
        <d v="2016-02-21T08:06:56" u="1"/>
        <d v="2016-04-29T19:25:00" u="1"/>
        <d v="2016-11-30T14:15:56" u="1"/>
        <d v="2020-04-25T17:49:02" u="1"/>
        <d v="2021-07-30T01:46:32" u="1"/>
        <d v="2023-05-03T13:01:35" u="1"/>
        <d v="2014-06-24T20:21:02" u="1"/>
        <d v="2015-10-28T15:27:53" u="1"/>
        <d v="2015-11-22T09:19:49" u="1"/>
        <d v="2016-02-14T05:18:52" u="1"/>
        <d v="2016-05-10T22:39:20" u="1"/>
        <d v="2016-05-16T02:36:39" u="1"/>
        <d v="2016-12-31T04:21:31" u="1"/>
        <d v="2017-03-04T03:46:53" u="1"/>
        <d v="2017-03-18T00:40:34" u="1"/>
        <d v="2017-04-20T20:03:17" u="1"/>
        <d v="2020-07-25T05:43:42" u="1"/>
        <d v="2020-10-18T02:04:53" u="1"/>
        <d v="2021-08-29T02:11:42" u="1"/>
        <d v="2022-04-08T22:48:32" u="1"/>
        <d v="2022-11-29T03:26:42" u="1"/>
        <d v="2017-02-11T08:42:55" u="1"/>
        <d v="2017-03-03T17:01:27" u="1"/>
        <d v="2017-06-16T13:02:05" u="1"/>
        <d v="2020-07-17T01:55:37" u="1"/>
        <d v="2020-12-13T23:18:30" u="1"/>
        <d v="2021-05-07T13:00:23" u="1"/>
        <d v="2014-04-04T08:38:55" u="1"/>
        <d v="2015-03-05T22:32:21" u="1"/>
        <d v="2016-01-12T17:35:05" u="1"/>
        <d v="2016-02-15T10:57:47" u="1"/>
        <d v="2016-05-20T02:12:37" u="1"/>
        <d v="2017-05-16T14:10:03" u="1"/>
        <d v="2017-07-03T14:15:15" u="1"/>
        <d v="2020-06-18T01:55:34" u="1"/>
        <d v="2021-05-20T00:24:40" u="1"/>
        <d v="2021-09-26T02:07:42" u="1"/>
        <d v="2021-12-20T20:09:19" u="1"/>
        <d v="2022-04-16T18:23:18" u="1"/>
        <d v="2022-10-04T19:27:31" u="1"/>
        <d v="2014-05-24T01:11:25" u="1"/>
        <d v="2014-07-04T16:03:13" u="1"/>
        <d v="2016-01-09T20:24:15" u="1"/>
        <d v="2016-04-01T14:39:07" u="1"/>
        <d v="2016-06-28T18:32:54" u="1"/>
        <d v="2017-06-06T20:00:26" u="1"/>
        <d v="2020-02-21T01:40:33" u="1"/>
        <d v="2021-02-12T19:51:13" u="1"/>
        <d v="2021-10-07T01:36:50" u="1"/>
        <d v="2022-01-21T22:39:15" u="1"/>
        <d v="2022-04-03T03:11:02" u="1"/>
        <d v="2022-09-27T02:03:42" u="1"/>
        <d v="2023-06-29T08:16:51" u="1"/>
        <d v="2015-03-20T14:02:58" u="1"/>
        <d v="2017-03-02T13:39:04" u="1"/>
        <d v="2017-06-18T09:05:53" u="1"/>
        <d v="2017-06-29T11:00:47" u="1"/>
        <d v="2020-03-10T20:47:14" u="1"/>
        <d v="2020-03-21T03:05:44" u="1"/>
        <d v="2020-08-02T01:33:52" u="1"/>
        <d v="2020-11-13T08:55:49" u="1"/>
        <d v="2021-11-03T13:18:16" u="1"/>
        <d v="2021-11-25T00:41:26" u="1"/>
        <d v="2021-12-21T06:11:50" u="1"/>
        <d v="2022-04-20T06:21:51" u="1"/>
        <d v="2022-06-16T15:18:09" u="1"/>
        <d v="2023-07-15T04:44:48" u="1"/>
        <d v="2023-07-25T08:20:52" u="1"/>
        <d v="2014-06-28T15:35:39" u="1"/>
        <d v="2015-03-14T03:40:30" u="1"/>
        <d v="2017-01-10T06:30:47" u="1"/>
        <d v="2017-06-08T14:22:02" u="1"/>
        <d v="2021-01-03T22:37:28" u="1"/>
        <d v="2021-02-24T00:51:23" u="1"/>
        <d v="2021-03-27T20:10:06" u="1"/>
        <d v="2021-07-19T04:47:37" u="1"/>
        <d v="2021-08-09T16:26:12" u="1"/>
        <d v="2021-11-23T06:38:39" u="1"/>
        <d v="2021-12-12T02:27:45" u="1"/>
        <d v="2022-03-22T06:48:40" u="1"/>
        <d v="2017-01-10T13:54:53" u="1"/>
        <d v="2017-01-15T03:25:35" u="1"/>
        <d v="2021-04-27T14:13:56" u="1"/>
        <d v="2022-10-19T20:48:04" u="1"/>
        <d v="2022-10-31T02:29:25" u="1"/>
        <d v="2023-05-31T20:13:03" u="1"/>
        <d v="2016-01-28T15:13:45" u="1"/>
        <d v="2017-01-05T14:04:06" u="1"/>
        <d v="2017-06-20T05:31:30" u="1"/>
        <d v="2020-03-26T01:58:15" u="1"/>
        <d v="2020-08-15T20:06:13" u="1"/>
        <d v="2020-12-25T21:00:06" u="1"/>
        <d v="2022-11-12T02:31:42" u="1"/>
        <d v="2022-11-24T06:30:38" u="1"/>
        <d v="2022-11-28T19:35:59" u="1"/>
        <d v="2016-08-24T06:26:25" u="1"/>
        <d v="2016-12-17T20:08:00" u="1"/>
        <d v="2016-12-29T08:13:27" u="1"/>
        <d v="2017-03-02T17:39:04" u="1"/>
        <d v="2017-05-26T19:36:49" u="1"/>
        <d v="2021-01-22T05:13:39" u="1"/>
        <d v="2021-03-18T20:34:03" u="1"/>
        <d v="2021-05-11T14:22:01" u="1"/>
        <d v="2021-06-17T22:53:03" u="1"/>
        <d v="2021-08-03T11:18:04" u="1"/>
        <d v="2021-08-11T09:48:49" u="1"/>
        <d v="2021-11-25T21:47:59" u="1"/>
        <d v="2021-12-30T15:26:47" u="1"/>
        <d v="2022-04-26T10:59:35" u="1"/>
        <d v="2022-11-14T08:43:47" u="1"/>
        <d v="2015-03-06T08:14:47" u="1"/>
        <d v="2015-04-19T01:19:18" u="1"/>
        <d v="2017-02-28T13:55:28" u="1"/>
        <d v="2017-05-01T18:58:00" u="1"/>
        <d v="2020-06-29T12:58:30" u="1"/>
        <d v="2020-07-04T11:53:55" u="1"/>
        <d v="2020-07-04T21:23:18" u="1"/>
        <d v="2020-08-24T23:05:06" u="1"/>
        <d v="2021-02-22T06:05:41" u="1"/>
        <d v="2022-01-07T19:59:06" u="1"/>
        <d v="2022-03-25T15:25:53" u="1"/>
        <d v="2022-06-04T02:33:46" u="1"/>
        <d v="2015-06-25T22:59:42" u="1"/>
        <d v="2016-02-03T14:27:59" u="1"/>
        <d v="2017-01-23T13:48:33" u="1"/>
        <d v="2017-04-02T13:46:55" u="1"/>
        <d v="2017-04-07T09:10:51" u="1"/>
        <d v="2020-05-08T00:36:31" u="1"/>
        <d v="2020-07-12T18:06:06" u="1"/>
        <d v="2021-01-24T01:43:17" u="1"/>
        <d v="2021-04-09T08:14:54" u="1"/>
        <d v="2021-05-11T06:21:46" u="1"/>
        <d v="2021-06-11T17:18:04" u="1"/>
        <d v="2014-06-01T21:11:08" u="1"/>
        <d v="2016-06-04T07:21:43" u="1"/>
        <d v="2016-07-13T15:09:53" u="1"/>
        <d v="2017-03-13T09:52:32" u="1"/>
        <d v="2017-04-02T09:57:42" u="1"/>
        <d v="2020-05-04T08:49:46" u="1"/>
        <d v="2020-06-27T11:23:35" u="1"/>
        <d v="2022-04-24T14:09:52" u="1"/>
        <d v="2022-07-22T18:40:54" u="1"/>
        <d v="2015-02-24T03:42:05" u="1"/>
        <d v="2016-11-02T10:28:47" u="1"/>
        <d v="2020-04-23T05:58:16" u="1"/>
        <d v="2021-07-04T23:23:18" u="1"/>
        <d v="2014-06-24T13:11:29" u="1"/>
        <d v="2015-11-21T04:13:15" u="1"/>
        <d v="2016-01-06T16:19:56" u="1"/>
        <d v="2016-02-17T06:20:24" u="1"/>
        <d v="2016-08-16T14:39:36" u="1"/>
        <d v="2017-01-14T13:41:38" u="1"/>
        <d v="2020-09-05T22:22:11" u="1"/>
        <d v="2020-10-13T07:23:37" u="1"/>
        <d v="2021-09-07T22:49:04" u="1"/>
        <d v="2022-07-23T15:16:49" u="1"/>
        <d v="2022-10-20T20:55:52" u="1"/>
        <d v="2023-06-29T18:47:43" u="1"/>
        <d v="2014-06-21T21:20:44" u="1"/>
        <d v="2014-07-01T18:49:51" u="1"/>
        <d v="2015-04-07T19:57:47" u="1"/>
        <d v="2021-01-16T22:11:03" u="1"/>
        <d v="2021-08-27T06:41:16" u="1"/>
        <d v="2021-10-21T04:41:18" u="1"/>
        <d v="2022-02-20T17:41:48" u="1"/>
        <d v="2022-03-16T06:36:31" u="1"/>
        <d v="2022-08-01T06:25:49" u="1"/>
        <d v="2023-06-27T15:08:47" u="1"/>
        <d v="2015-03-12T13:48:30" u="1"/>
        <d v="2015-05-09T08:55:21" u="1"/>
        <d v="2015-08-12T18:59:37" u="1"/>
        <d v="2016-03-31T19:31:29" u="1"/>
        <d v="2016-07-05T03:08:29" u="1"/>
        <d v="2016-09-17T22:51:44" u="1"/>
        <d v="2017-05-05T07:44:30" u="1"/>
        <d v="2017-05-10T20:45:51" u="1"/>
        <d v="2017-07-11T18:17:53" u="1"/>
        <d v="2020-04-25T08:19:24" u="1"/>
        <d v="2020-09-01T05:01:47" u="1"/>
        <d v="2021-02-27T01:03:14" u="1"/>
        <d v="2021-05-09T10:25:45" u="1"/>
        <d v="2021-07-10T17:33:56" u="1"/>
        <d v="2021-11-29T21:03:52" u="1"/>
        <d v="2022-08-01T20:07:15" u="1"/>
        <d v="2023-07-04T12:45:53" u="1"/>
        <d v="2014-04-30T23:00:40" u="1"/>
        <d v="2016-04-16T20:52:39" u="1"/>
        <d v="2016-05-10T08:51:21" u="1"/>
        <d v="2016-08-15T15:04:42" u="1"/>
        <d v="2016-09-03T15:44:44" u="1"/>
        <d v="2016-11-04T09:31:34" u="1"/>
        <d v="2017-01-25T10:04:24" u="1"/>
        <d v="2017-05-09T09:01:39" u="1"/>
        <d v="2020-05-25T04:22:13" u="1"/>
        <d v="2021-07-16T11:43:33" u="1"/>
        <d v="2021-09-26T20:23:46" u="1"/>
        <d v="2022-07-02T09:02:56" u="1"/>
        <d v="2022-09-24T14:11:41" u="1"/>
        <d v="2022-10-20T20:12:57" u="1"/>
        <d v="2015-08-20T18:50:27" u="1"/>
        <d v="2015-11-11T14:15:37" u="1"/>
        <d v="2016-01-11T02:51:06" u="1"/>
        <d v="2016-03-11T19:41:43" u="1"/>
        <d v="2016-07-10T04:15:20" u="1"/>
        <d v="2016-07-31T12:25:12" u="1"/>
        <d v="2016-08-07T18:44:44" u="1"/>
        <d v="2020-04-26T18:47:32" u="1"/>
        <d v="2020-06-10T18:33:52" u="1"/>
        <d v="2020-11-06T21:52:57" u="1"/>
        <d v="2020-11-28T08:36:12" u="1"/>
        <d v="2021-02-26T06:19:17" u="1"/>
        <d v="2021-06-14T02:19:21" u="1"/>
        <d v="2022-03-26T06:15:20" u="1"/>
        <d v="2022-06-25T15:31:35" u="1"/>
        <d v="2022-10-20T20:39:48" u="1"/>
        <d v="2014-05-11T09:35:18" u="1"/>
        <d v="2016-05-15T07:19:18" u="1"/>
        <d v="2016-06-12T21:17:50" u="1"/>
        <d v="2016-12-20T12:56:13" u="1"/>
        <d v="2017-06-04T10:40:32" u="1"/>
        <d v="2017-06-12T20:48:42" u="1"/>
        <d v="2020-06-05T01:12:26" u="1"/>
        <d v="2020-11-12T12:19:39" u="1"/>
        <d v="2021-02-15T14:29:40" u="1"/>
        <d v="2021-03-22T07:27:19" u="1"/>
        <d v="2014-06-17T13:46:15" u="1"/>
        <d v="2015-03-03T16:49:37" u="1"/>
        <d v="2015-06-01T08:01:35" u="1"/>
        <d v="2016-05-28T13:49:07" u="1"/>
        <d v="2020-02-13T03:16:19" u="1"/>
        <d v="2020-02-15T20:14:52" u="1"/>
        <d v="2021-10-16T22:51:47" u="1"/>
        <d v="2021-11-13T21:51:48" u="1"/>
        <d v="2022-11-14T05:49:17" u="1"/>
        <d v="2016-02-16T07:31:10" u="1"/>
        <d v="2016-07-10T14:43:27" u="1"/>
        <d v="2016-07-12T00:10:05" u="1"/>
        <d v="2016-10-08T18:12:45" u="1"/>
        <d v="2017-02-24T07:34:03" u="1"/>
        <d v="2020-03-11T06:24:23" u="1"/>
        <d v="2020-04-17T03:11:14" u="1"/>
        <d v="2020-06-15T01:57:00" u="1"/>
        <d v="2020-09-06T19:17:56" u="1"/>
        <d v="2021-01-17T01:00:15" u="1"/>
        <d v="2021-02-18T03:27:11" u="1"/>
        <d v="2021-05-29T23:08:45" u="1"/>
        <d v="2022-04-26T18:43:31" u="1"/>
        <d v="2022-08-11T20:48:49" u="1"/>
        <d v="2022-11-04T14:59:41" u="1"/>
        <d v="2022-11-16T06:41:17" u="1"/>
        <d v="2014-04-06T08:47:12" u="1"/>
        <d v="2016-10-12T07:10:17" u="1"/>
        <d v="2017-02-05T22:42:49" u="1"/>
        <d v="2017-06-04T05:08:24" u="1"/>
        <d v="2017-06-18T11:07:22" u="1"/>
        <d v="2020-03-08T13:29:37" u="1"/>
        <d v="2020-04-01T06:52:24" u="1"/>
        <d v="2020-05-25T04:02:08" u="1"/>
        <d v="2021-03-23T08:15:17" u="1"/>
        <d v="2022-02-16T21:45:45" u="1"/>
        <d v="2022-04-21T05:07:17" u="1"/>
        <d v="2022-11-02T02:46:20" u="1"/>
        <d v="2022-11-21T01:28:03" u="1"/>
        <d v="2015-03-08T07:12:17" u="1"/>
        <d v="2016-02-01T02:32:11" u="1"/>
        <d v="2016-07-22T18:34:21" u="1"/>
        <d v="2020-09-13T03:10:14" u="1"/>
        <d v="2021-04-19T10:27:20" u="1"/>
        <d v="2021-10-22T13:10:27" u="1"/>
        <d v="2016-01-08T10:40:16" u="1"/>
        <d v="2017-03-23T21:43:24" u="1"/>
        <d v="2017-03-24T10:26:05" u="1"/>
        <d v="2020-05-20T23:28:41" u="1"/>
        <d v="2021-02-17T18:17:39" u="1"/>
        <d v="2014-06-18T07:37:59" u="1"/>
        <d v="2015-07-02T13:51:21" u="1"/>
        <d v="2017-01-20T14:08:20" u="1"/>
        <d v="2021-01-16T03:27:05" u="1"/>
        <d v="2021-04-05T18:14:50" u="1"/>
        <d v="2021-05-05T14:52:32" u="1"/>
        <d v="2021-06-05T06:43:18" u="1"/>
        <d v="2021-09-13T13:46:23" u="1"/>
        <d v="2021-09-28T14:21:16" u="1"/>
        <d v="2021-11-02T13:43:35" u="1"/>
        <d v="2016-07-07T01:14:01" u="1"/>
        <d v="2016-08-11T21:08:39" u="1"/>
        <d v="2016-12-08T05:17:07" u="1"/>
        <d v="2017-04-20T16:19:19" u="1"/>
        <d v="2020-05-06T01:50:01" u="1"/>
        <d v="2021-04-15T19:36:34" u="1"/>
        <d v="2021-04-30T10:02:09" u="1"/>
        <d v="2022-04-23T15:23:23" u="1"/>
        <d v="2022-06-22T08:14:12" u="1"/>
        <d v="2022-10-26T20:14:32" u="1"/>
        <d v="2022-12-02T06:07:30" u="1"/>
        <d v="2023-05-23T17:58:20" u="1"/>
        <d v="2023-07-29T01:55:47" u="1"/>
        <d v="2016-01-05T14:25:25" u="1"/>
        <d v="2016-01-23T07:26:57" u="1"/>
        <d v="2016-04-27T05:09:53" u="1"/>
        <d v="2017-04-25T10:02:04" u="1"/>
        <d v="2020-03-03T16:10:43" u="1"/>
        <d v="2021-11-25T05:04:01" u="1"/>
        <d v="2022-12-15T05:09:12" u="1"/>
        <d v="2016-01-21T10:03:04" u="1"/>
        <d v="2016-04-18T14:38:06" u="1"/>
        <d v="2017-07-20T00:55:38" u="1"/>
        <d v="2020-02-24T03:41:50" u="1"/>
        <d v="2020-03-11T16:36:26" u="1"/>
        <d v="2020-07-18T19:50:21" u="1"/>
        <d v="2020-09-19T13:37:11" u="1"/>
        <d v="2021-05-15T15:04:30" u="1"/>
        <d v="2021-11-17T21:34:32" u="1"/>
        <d v="2021-12-02T14:58:27" u="1"/>
        <d v="2022-06-25T13:45:07" u="1"/>
        <d v="2023-06-24T08:02:11" u="1"/>
        <d v="2014-07-18T06:09:56" u="1"/>
        <d v="2014-07-19T18:45:05" u="1"/>
        <d v="2015-06-03T16:20:26" u="1"/>
        <d v="2017-06-01T15:01:35" u="1"/>
        <d v="2017-06-05T21:40:33" u="1"/>
        <d v="2020-04-30T22:34:17" u="1"/>
        <d v="2020-10-03T05:26:12" u="1"/>
        <d v="2021-09-28T18:52:08" u="1"/>
        <d v="2022-11-12T18:11:37" u="1"/>
        <d v="2022-11-23T02:35:52" u="1"/>
        <d v="2015-11-06T10:33:05" u="1"/>
        <d v="2016-02-27T07:21:48" u="1"/>
        <d v="2016-03-13T02:49:45" u="1"/>
        <d v="2016-03-25T11:37:54" u="1"/>
        <d v="2016-04-11T20:51:18" u="1"/>
        <d v="2016-04-13T05:22:58" u="1"/>
        <d v="2016-08-10T00:44:45" u="1"/>
        <d v="2017-01-17T04:30:52" u="1"/>
        <d v="2017-04-09T19:28:26" u="1"/>
        <d v="2017-05-03T21:21:38" u="1"/>
        <d v="2020-07-11T09:30:09" u="1"/>
        <d v="2020-10-07T05:06:11" u="1"/>
        <d v="2020-11-11T11:06:19" u="1"/>
        <d v="2021-02-03T02:16:09" u="1"/>
        <d v="2021-07-21T11:02:12" u="1"/>
        <d v="2021-09-05T09:11:22" u="1"/>
        <d v="2023-04-06T06:12:19" u="1"/>
        <d v="2023-06-15T14:23:23" u="1"/>
        <d v="2014-04-03T21:13:32" u="1"/>
        <d v="2014-07-23T14:44:54" u="1"/>
        <d v="2015-03-09T09:15:03" u="1"/>
        <d v="2016-04-07T15:43:12" u="1"/>
        <d v="2017-07-19T19:22:15" u="1"/>
        <d v="2020-07-09T21:20:36" u="1"/>
        <d v="2020-10-13T17:26:22" u="1"/>
        <d v="2020-11-20T21:06:28" u="1"/>
        <d v="2021-10-04T10:38:16" u="1"/>
        <d v="2022-01-31T00:36:36" u="1"/>
        <d v="2022-08-13T15:11:26" u="1"/>
        <d v="2023-03-31T22:11:24" u="1"/>
        <d v="2014-07-03T18:35:18" u="1"/>
        <d v="2015-01-31T12:21:48" u="1"/>
        <d v="2015-05-13T08:45:52" u="1"/>
        <d v="2016-07-12T09:41:58" u="1"/>
        <d v="2016-12-04T13:10:17" u="1"/>
        <d v="2017-05-10T01:37:47" u="1"/>
        <d v="2017-06-25T11:40:51" u="1"/>
        <d v="2017-07-03T09:42:04" u="1"/>
        <d v="2020-09-09T15:07:25" u="1"/>
        <d v="2021-03-31T21:26:12" u="1"/>
        <d v="2022-03-03T22:53:38" u="1"/>
        <d v="2015-06-15T09:29:54" u="1"/>
        <d v="2015-10-17T14:40:59" u="1"/>
        <d v="2016-04-17T08:06:58" u="1"/>
        <d v="2016-05-19T07:17:51" u="1"/>
        <d v="2016-10-16T21:06:20" u="1"/>
        <d v="2021-05-15T10:26:04" u="1"/>
        <d v="2021-12-10T00:51:47" u="1"/>
        <d v="2022-01-03T23:07:50" u="1"/>
        <d v="2022-06-27T00:35:36" u="1"/>
        <d v="2022-10-18T00:08:52" u="1"/>
        <d v="2016-05-22T08:05:51" u="1"/>
        <d v="2016-06-10T13:26:03" u="1"/>
        <d v="2017-04-20T20:03:15" u="1"/>
        <d v="2017-06-30T11:12:49" u="1"/>
        <d v="2020-06-14T22:00:32" u="1"/>
        <d v="2020-09-14T12:29:04" u="1"/>
        <d v="2021-06-08T19:47:22" u="1"/>
        <d v="2021-12-10T03:59:49" u="1"/>
        <d v="2014-04-30T09:35:31" u="1"/>
        <d v="2014-05-06T20:35:13" u="1"/>
        <d v="2016-02-18T03:52:31" u="1"/>
        <d v="2016-04-07T23:28:24" u="1"/>
        <d v="2016-06-22T14:48:50" u="1"/>
        <d v="2017-01-11T14:04:10" u="1"/>
        <d v="2017-01-17T20:35:08" u="1"/>
        <d v="2020-07-06T10:03:13" u="1"/>
        <d v="2020-07-22T02:39:36" u="1"/>
        <d v="2021-04-26T00:12:37" u="1"/>
        <d v="2021-08-11T20:50:18" u="1"/>
        <d v="2022-01-28T22:50:07" u="1"/>
        <d v="2016-10-21T08:54:35" u="1"/>
        <d v="2017-04-21T02:51:26" u="1"/>
        <d v="2020-04-02T00:07:59" u="1"/>
        <d v="2020-12-29T16:23:59" u="1"/>
        <d v="2021-05-21T06:13:52" u="1"/>
        <d v="2021-10-06T12:49:05" u="1"/>
        <d v="2014-04-07T20:00:17" u="1"/>
        <d v="2014-04-18T15:06:59" u="1"/>
        <d v="2014-05-02T19:39:10" u="1"/>
        <d v="2015-08-21T20:09:02" u="1"/>
        <d v="2017-06-18T09:40:44" u="1"/>
        <d v="2021-01-20T07:49:44" u="1"/>
        <d v="2022-09-08T05:29:59" u="1"/>
        <d v="2014-04-07T06:10:49" u="1"/>
        <d v="2015-05-29T20:36:50" u="1"/>
        <d v="2016-06-17T06:24:39" u="1"/>
        <d v="2017-05-20T07:28:39" u="1"/>
        <d v="2017-06-29T11:00:45" u="1"/>
        <d v="2020-02-23T00:24:29" u="1"/>
        <d v="2021-05-09T05:18:57" u="1"/>
        <d v="2021-05-14T20:19:17" u="1"/>
        <d v="2022-04-03T06:19:02" u="1"/>
        <d v="2022-04-08T15:04:19" u="1"/>
        <d v="2022-10-20T23:02:23" u="1"/>
        <d v="2015-08-04T02:05:45" u="1"/>
        <d v="2016-11-27T10:49:28" u="1"/>
        <d v="2020-04-27T12:05:52" u="1"/>
        <d v="2020-05-28T16:09:58" u="1"/>
        <d v="2021-06-11T02:48:39" u="1"/>
        <d v="2014-05-06T10:14:53" u="1"/>
        <d v="2015-06-23T08:58:22" u="1"/>
        <d v="2015-07-30T01:56:01" u="1"/>
        <d v="2016-03-05T09:07:58" u="1"/>
        <d v="2016-09-27T20:08:57" u="1"/>
        <d v="2017-04-02T21:24:18" u="1"/>
        <d v="2020-02-12T23:20:19" u="1"/>
        <d v="2020-02-18T09:41:44" u="1"/>
        <d v="2020-06-25T01:11:28" u="1"/>
        <d v="2021-02-10T12:58:56" u="1"/>
        <d v="2021-12-04T01:51:41" u="1"/>
        <d v="2016-02-03T01:49:31" u="1"/>
        <d v="2016-03-09T06:06:46" u="1"/>
        <d v="2016-05-10T05:44:33" u="1"/>
        <d v="2016-07-15T02:27:26" u="1"/>
        <d v="2020-08-11T11:25:57" u="1"/>
        <d v="2020-11-22T07:34:35" u="1"/>
        <d v="2021-03-07T19:47:09" u="1"/>
        <d v="2021-12-13T10:47:49" u="1"/>
        <d v="2022-02-01T23:06:36" u="1"/>
        <d v="2022-04-21T06:36:38" u="1"/>
        <d v="2022-06-19T06:28:42" u="1"/>
        <d v="2022-11-27T21:08:04" u="1"/>
        <d v="2014-05-25T13:04:38" u="1"/>
        <d v="2015-01-19T10:52:28" u="1"/>
        <d v="2015-05-03T08:14:50" u="1"/>
        <d v="2016-12-01T10:40:51" u="1"/>
        <d v="2017-05-02T15:15:04" u="1"/>
        <d v="2017-05-26T19:36:47" u="1"/>
        <d v="2020-05-02T14:23:06" u="1"/>
        <d v="2020-05-07T00:48:31" u="1"/>
        <d v="2021-02-14T10:57:44" u="1"/>
        <d v="2021-12-24T07:18:37" u="1"/>
        <d v="2016-06-06T03:05:39" u="1"/>
        <d v="2016-11-20T03:02:25" u="1"/>
        <d v="2017-04-19T17:29:50" u="1"/>
        <d v="2020-06-09T06:21:46" u="1"/>
        <d v="2022-04-14T06:25:44" u="1"/>
        <d v="2022-12-02T00:16:46" u="1"/>
        <d v="2023-06-09T06:33:49" u="1"/>
        <d v="2015-10-04T21:06:08" u="1"/>
        <d v="2016-05-16T06:43:23" u="1"/>
        <d v="2020-02-20T19:57:50" u="1"/>
        <d v="2020-02-29T20:25:51" u="1"/>
        <d v="2020-04-25T13:59:32" u="1"/>
        <d v="2022-06-29T00:14:17" u="1"/>
        <d v="2022-08-30T18:04:55" u="1"/>
        <d v="2022-10-12T21:02:15" u="1"/>
        <d v="2014-04-19T16:05:44" u="1"/>
        <d v="2016-03-01T03:10:39" u="1"/>
        <d v="2016-08-11T20:29:58" u="1"/>
        <d v="2016-09-24T21:35:45" u="1"/>
        <d v="2017-04-07T18:42:57" u="1"/>
        <d v="2020-05-08T02:09:38" u="1"/>
        <d v="2020-07-26T06:30:22" u="1"/>
        <d v="2021-02-04T17:12:09" u="1"/>
        <d v="2021-07-06T20:07:14" u="1"/>
        <d v="2021-12-03T05:20:48" u="1"/>
        <d v="2022-04-07T21:35:10" u="1"/>
        <d v="2022-06-03T23:12:24" u="1"/>
        <d v="2022-11-02T22:34:17" u="1"/>
        <d v="2014-05-06T01:47:14" u="1"/>
        <d v="2014-07-05T08:01:41" u="1"/>
        <d v="2016-05-29T04:37:03" u="1"/>
        <d v="2016-09-15T22:40:53" u="1"/>
        <d v="2016-10-07T05:58:22" u="1"/>
        <d v="2020-08-19T22:09:00" u="1"/>
        <d v="2021-05-14T08:09:44" u="1"/>
        <d v="2021-07-23T02:26:18" u="1"/>
        <d v="2021-08-28T05:10:23" u="1"/>
        <d v="2021-11-01T11:25:59" u="1"/>
        <d v="2022-12-08T11:24:54" u="1"/>
        <d v="2023-07-28T05:57:15" u="1"/>
        <d v="2015-04-23T13:04:32" u="1"/>
        <d v="2016-03-28T01:10:03" u="1"/>
        <d v="2020-08-25T21:16:53" u="1"/>
        <d v="2020-12-20T17:50:41" u="1"/>
        <d v="2021-05-06T10:45:45" u="1"/>
        <d v="2021-08-27T11:03:36" u="1"/>
        <d v="2021-12-29T21:03:54" u="1"/>
        <d v="2022-01-06T20:51:01" u="1"/>
        <d v="2022-06-24T20:40:50" u="1"/>
        <d v="2022-10-25T10:57:24" u="1"/>
        <d v="2016-05-11T21:14:58" u="1"/>
        <d v="2016-11-10T23:01:01" u="1"/>
        <d v="2017-01-22T19:29:41" u="1"/>
        <d v="2017-05-03T12:45:42" u="1"/>
        <d v="2017-07-19T14:04:40" u="1"/>
        <d v="2021-01-01T20:32:07" u="1"/>
        <d v="2021-02-26T16:40:36" u="1"/>
        <d v="2021-11-01T18:37:01" u="1"/>
        <d v="2021-11-02T13:52:51" u="1"/>
        <d v="2022-09-29T17:42:36" u="1"/>
        <d v="2023-07-01T05:33:45" u="1"/>
        <d v="2015-08-10T00:57:01" u="1"/>
        <d v="2016-07-26T09:10:17" u="1"/>
        <d v="2016-08-06T13:36:39" u="1"/>
        <d v="2016-10-08T03:03:25" u="1"/>
        <d v="2017-04-27T11:42:14" u="1"/>
        <d v="2020-06-19T06:19:24" u="1"/>
        <d v="2020-10-23T23:08:57" u="1"/>
        <d v="2022-03-07T20:23:03" u="1"/>
        <d v="2022-07-21T08:19:30" u="1"/>
        <d v="2022-11-21T05:37:19" u="1"/>
        <d v="2023-04-07T20:19:06" u="1"/>
        <d v="2023-07-29T07:18:22" u="1"/>
        <d v="2016-08-22T00:48:56" u="1"/>
        <d v="2017-02-03T18:23:56" u="1"/>
        <d v="2017-05-14T19:52:39" u="1"/>
        <d v="2017-07-19T00:02:08" u="1"/>
        <d v="2020-06-05T14:10:55" u="1"/>
        <d v="2020-06-20T10:27:27" u="1"/>
        <d v="2020-08-12T18:44:47" u="1"/>
        <d v="2020-11-11T09:19:36" u="1"/>
        <d v="2020-11-19T11:26:30" u="1"/>
        <d v="2021-01-25T18:21:42" u="1"/>
        <d v="2021-02-09T06:29:32" u="1"/>
        <d v="2021-09-08T16:17:56" u="1"/>
        <d v="2021-10-10T18:40:52" u="1"/>
        <d v="2021-10-16T18:47:44" u="1"/>
        <d v="2014-05-28T02:44:49" u="1"/>
        <d v="2014-06-21T17:54:19" u="1"/>
        <d v="2016-05-19T20:28:38" u="1"/>
        <d v="2016-09-21T22:58:32" u="1"/>
        <d v="2016-10-22T08:52:04" u="1"/>
        <d v="2016-11-01T08:35:30" u="1"/>
        <d v="2017-04-20T21:40:38" u="1"/>
        <d v="2020-12-26T12:52:16" u="1"/>
        <d v="2021-10-12T05:38:22" u="1"/>
        <d v="2022-03-16T18:41:46" u="1"/>
        <d v="2022-10-15T14:35:40" u="1"/>
        <d v="2023-04-24T11:39:26" u="1"/>
        <d v="2016-04-10T21:10:52" u="1"/>
        <d v="2016-04-11T21:37:44" u="1"/>
        <d v="2016-12-02T14:12:45" u="1"/>
        <d v="2017-04-21T04:26:04" u="1"/>
        <d v="2017-05-19T14:04:32" u="1"/>
        <d v="2020-10-11T19:59:42" u="1"/>
        <d v="2021-05-23T23:09:53" u="1"/>
        <d v="2021-09-25T22:27:44" u="1"/>
        <d v="2021-10-09T01:30:17" u="1"/>
        <d v="2021-10-18T00:52:00" u="1"/>
        <d v="2022-04-03T06:33:35" u="1"/>
        <d v="2022-09-24T20:58:35" u="1"/>
        <d v="2014-04-17T22:36:34" u="1"/>
        <d v="2015-02-14T08:43:09" u="1"/>
        <d v="2016-03-04T21:07:57" u="1"/>
        <d v="2017-04-10T16:21:39" u="1"/>
        <d v="2017-06-10T04:50:07" u="1"/>
        <d v="2017-06-20T08:26:11" u="1"/>
        <d v="2020-04-05T11:02:45" u="1"/>
        <d v="2020-04-20T20:09:46" u="1"/>
        <d v="2020-10-05T08:04:38" u="1"/>
        <d v="2021-08-02T06:28:33" u="1"/>
        <d v="2022-07-03T16:45:50" u="1"/>
        <d v="2022-07-12T05:27:23" u="1"/>
        <d v="2016-02-14T11:55:12" u="1"/>
        <d v="2016-03-06T10:13:29" u="1"/>
        <d v="2016-05-04T23:26:54" u="1"/>
        <d v="2016-08-18T15:07:28" u="1"/>
        <d v="2017-02-02T22:58:48" u="1"/>
        <d v="2017-02-13T03:31:05" u="1"/>
        <d v="2017-05-23T13:38:13" u="1"/>
        <d v="2017-06-26T11:41:05" u="1"/>
        <d v="2020-11-20T08:25:15" u="1"/>
        <d v="2021-03-07T06:13:30" u="1"/>
        <d v="2022-06-14T01:38:08" u="1"/>
        <d v="2022-08-01T21:22:01" u="1"/>
        <d v="2022-08-18T17:39:36" u="1"/>
        <d v="2023-03-26T08:46:10" u="1"/>
        <d v="2014-05-28T22:07:26" u="1"/>
        <d v="2020-02-11T17:10:45" u="1"/>
        <d v="2020-05-03T13:33:39" u="1"/>
        <d v="2020-12-13T21:00:53" u="1"/>
        <d v="2021-06-20T06:26:11" u="1"/>
        <d v="2021-09-05T12:55:31" u="1"/>
        <d v="2021-11-25T13:56:12" u="1"/>
        <d v="2022-08-17T16:04:42" u="1"/>
        <d v="2015-08-13T13:38:15" u="1"/>
        <d v="2015-11-04T02:06:10" u="1"/>
        <d v="2017-02-12T18:56:26" u="1"/>
        <d v="2017-02-14T20:25:36" u="1"/>
        <d v="2017-06-22T02:52:49" u="1"/>
        <d v="2020-10-18T00:01:03" u="1"/>
        <d v="2021-02-16T16:48:28" u="1"/>
        <d v="2021-04-20T14:08:30" u="1"/>
        <d v="2022-01-04T12:30:39" u="1"/>
        <d v="2014-04-06T20:25:36" u="1"/>
        <d v="2014-05-01T19:33:37" u="1"/>
        <d v="2016-04-10T01:42:58" u="1"/>
        <d v="2017-06-05T22:33:45" u="1"/>
        <d v="2020-06-30T00:51:41" u="1"/>
        <d v="2021-09-09T21:05:54" u="1"/>
        <d v="2022-01-01T06:45:24" u="1"/>
        <d v="2022-02-27T14:58:10" u="1"/>
        <d v="2022-05-15T15:55:25" u="1"/>
        <d v="2022-06-24T13:34:17" u="1"/>
        <d v="2016-12-18T20:10:29" u="1"/>
        <d v="2017-07-08T16:47:24" u="1"/>
        <d v="2017-07-08T21:36:37" u="1"/>
        <d v="2020-05-14T18:59:25" u="1"/>
        <d v="2021-07-05T02:50:06" u="1"/>
        <d v="2021-11-09T02:33:06" u="1"/>
        <d v="2022-04-28T17:15:24" u="1"/>
        <d v="2014-04-24T22:46:12" u="1"/>
        <d v="2016-01-25T20:35:14" u="1"/>
        <d v="2016-12-14T20:22:28" u="1"/>
        <d v="2020-04-08T01:19:05" u="1"/>
        <d v="2021-06-19T06:14:07" u="1"/>
        <d v="2022-04-15T17:01:39" u="1"/>
        <d v="2016-03-03T04:08:09" u="1"/>
        <d v="2016-12-04T06:02:13" u="1"/>
        <d v="2020-08-30T23:45:18" u="1"/>
        <d v="2021-10-12T18:54:26" u="1"/>
        <d v="2022-04-27T20:54:17" u="1"/>
        <d v="2022-05-10T09:08:24" u="1"/>
        <d v="2022-11-23T21:18:32" u="1"/>
        <d v="2014-06-07T19:16:27" u="1"/>
        <d v="2015-02-23T07:41:47" u="1"/>
        <d v="2015-04-25T07:17:51" u="1"/>
        <d v="2016-01-02T10:48:10" u="1"/>
        <d v="2016-06-15T00:48:41" u="1"/>
        <d v="2016-08-26T10:59:47" u="1"/>
        <d v="2017-01-15T23:21:32" u="1"/>
        <d v="2017-05-10T18:20:27" u="1"/>
        <d v="2017-06-10T20:20:31" u="1"/>
        <d v="2020-03-24T15:42:07" u="1"/>
        <d v="2021-04-08T08:12:19" u="1"/>
        <d v="2021-05-20T17:23:22" u="1"/>
        <d v="2021-09-28T23:14:28" u="1"/>
        <d v="2022-03-29T06:33:55" u="1"/>
        <d v="2023-05-30T18:26:17" u="1"/>
        <d v="2023-06-25T01:40:49" u="1"/>
        <d v="2015-05-31T12:32:49" u="1"/>
        <d v="2015-12-09T11:21:07" u="1"/>
        <d v="2020-04-12T11:00:20" u="1"/>
        <d v="2021-06-30T18:37:08" u="1"/>
        <d v="2022-06-12T20:28:35" u="1"/>
        <d v="2023-07-14T16:31:26" u="1"/>
        <d v="2014-04-13T18:27:12" u="1"/>
        <d v="2014-07-08T21:04:29" u="1"/>
        <d v="2017-06-15T23:04:32" u="1"/>
        <d v="2022-10-28T16:36:06" u="1"/>
        <d v="2022-12-06T20:31:38" u="1"/>
        <d v="2014-04-07T08:07:01" u="1"/>
        <d v="2015-06-08T06:22:59" u="1"/>
        <d v="2016-04-26T14:33:56" u="1"/>
        <d v="2016-06-12T17:46:08" u="1"/>
        <d v="2016-07-13T05:25:53" u="1"/>
        <d v="2016-09-30T07:11:43" u="1"/>
        <d v="2017-07-19T19:22:13" u="1"/>
        <d v="2020-09-09T14:07:23" u="1"/>
        <d v="2021-01-07T18:37:28" u="1"/>
        <d v="2021-05-04T05:27:07" u="1"/>
        <d v="2021-06-18T19:19:23" u="1"/>
        <d v="2021-07-18T18:38:16" u="1"/>
        <d v="2022-11-22T16:17:15" u="1"/>
        <d v="2023-02-02T13:06:35" u="1"/>
        <d v="2015-12-09T03:16:51" u="1"/>
        <d v="2017-02-13T03:57:41" u="1"/>
        <d v="2017-03-20T04:25:44" u="1"/>
        <d v="2020-08-26T18:21:08" u="1"/>
        <d v="2014-04-18T20:03:11" u="1"/>
        <d v="2014-04-23T21:57:59" u="1"/>
        <d v="2016-01-03T21:37:24" u="1"/>
        <d v="2016-03-12T20:12:19" u="1"/>
        <d v="2017-01-05T19:25:23" u="1"/>
        <d v="2020-08-18T17:14:14" u="1"/>
        <d v="2021-03-17T22:20:26" u="1"/>
        <d v="2021-06-20T22:46:16" u="1"/>
        <d v="2022-01-13T03:50:51" u="1"/>
        <d v="2022-02-07T01:58:51" u="1"/>
        <d v="2023-04-15T23:01:39" u="1"/>
        <d v="2023-04-22T03:25:50" u="1"/>
        <d v="2014-07-16T18:06:06" u="1"/>
        <d v="2016-12-01T00:32:47" u="1"/>
        <d v="2017-05-12T15:07:10" u="1"/>
        <d v="2017-07-15T14:06:05" u="1"/>
        <d v="2020-03-06T06:23:00" u="1"/>
        <d v="2020-10-07T08:02:08" u="1"/>
        <d v="2020-11-26T19:24:05" u="1"/>
        <d v="2021-02-03T08:55:01" u="1"/>
        <d v="2021-12-03T11:18:16" u="1"/>
        <d v="2022-05-24T06:13:53" u="1"/>
        <d v="2014-03-23T10:44:36" u="1"/>
        <d v="2016-01-22T04:17:36" u="1"/>
        <d v="2017-06-13T01:36:36" u="1"/>
        <d v="2020-01-29T14:14:58" u="1"/>
        <d v="2020-04-12T05:53:47" u="1"/>
        <d v="2020-04-16T02:25:44" u="1"/>
        <d v="2020-07-20T19:14:12" u="1"/>
        <d v="2021-07-17T01:59:34" u="1"/>
        <d v="2021-12-12T15:25:11" u="1"/>
        <d v="2022-03-28T08:48:42" u="1"/>
        <d v="2022-09-08T18:19:25" u="1"/>
        <d v="2015-08-21T02:42:22" u="1"/>
        <d v="2016-01-21T10:10:49" u="1"/>
        <d v="2016-03-08T08:07:59" u="1"/>
        <d v="2016-10-03T04:48:45" u="1"/>
        <d v="2017-06-29T19:40:53" u="1"/>
        <d v="2020-03-07T02:34:49" u="1"/>
        <d v="2020-04-28T05:16:38" u="1"/>
        <d v="2021-04-24T02:55:28" u="1"/>
        <d v="2021-09-27T00:57:20" u="1"/>
        <d v="2021-12-19T13:55:55" u="1"/>
        <d v="2022-07-19T23:07:25" u="1"/>
        <d v="2016-10-03T00:59:32" u="1"/>
        <d v="2016-12-03T15:33:04" u="1"/>
        <d v="2017-03-26T15:25:50" u="1"/>
        <d v="2017-05-05T10:42:57" u="1"/>
        <d v="2020-07-29T01:30:23" u="1"/>
        <d v="2020-10-22T15:28:59" u="1"/>
        <d v="2021-10-18T06:12:51" u="1"/>
        <d v="2022-06-16T21:46:12" u="1"/>
        <d v="2023-04-25T00:47:27" u="1"/>
        <d v="2023-05-16T23:04:29" u="1"/>
        <d v="2014-04-22T20:37:53" u="1"/>
        <d v="2015-01-05T19:59:00" u="1"/>
        <d v="2017-02-18T05:52:29" u="1"/>
        <d v="2017-03-12T23:08:18" u="1"/>
        <d v="2017-03-16T03:44:29" u="1"/>
        <d v="2017-05-20T07:28:37" u="1"/>
        <d v="2020-09-25T22:09:08" u="1"/>
        <d v="2021-05-06T08:42:58" u="1"/>
        <d v="2021-08-23T06:35:38" u="1"/>
        <d v="2022-02-11T10:58:55" u="1"/>
        <d v="2014-04-18T03:12:27" u="1"/>
        <d v="2014-07-13T14:21:52" u="1"/>
        <d v="2015-04-11T08:33:41" u="1"/>
        <d v="2017-06-24T12:51:35" u="1"/>
        <d v="2020-03-15T18:15:07" u="1"/>
        <d v="2020-10-06T02:01:52" u="1"/>
        <d v="2021-01-29T04:55:21" u="1"/>
        <d v="2021-07-21T00:54:21" u="1"/>
        <d v="2022-03-08T01:22:47" u="1"/>
        <d v="2023-06-05T18:43:16" u="1"/>
        <d v="2016-07-16T21:02:05" u="1"/>
        <d v="2016-08-04T10:06:59" u="1"/>
        <d v="2016-08-13T07:20:40" u="1"/>
        <d v="2016-09-18T19:40:54" u="1"/>
        <d v="2020-05-07T04:41:43" u="1"/>
        <d v="2020-07-02T06:22:57" u="1"/>
        <d v="2021-06-03T21:20:24" u="1"/>
        <d v="2021-11-01T22:54:19" u="1"/>
        <d v="2022-03-20T13:18:58" u="1"/>
        <d v="2022-04-24T06:28:37" u="1"/>
        <d v="2022-11-08T00:12:45" u="1"/>
        <d v="2023-04-26T20:10:05" u="1"/>
        <d v="2014-04-20T08:47:22" u="1"/>
        <d v="2014-06-26T22:01:56" u="1"/>
        <d v="2015-05-13T20:57:53" u="1"/>
        <d v="2017-01-17T03:13:30" u="1"/>
        <d v="2017-04-20T02:35:19" u="1"/>
        <d v="2020-02-08T21:24:14" u="1"/>
        <d v="2021-04-22T20:53:57" u="1"/>
        <d v="2021-10-07T09:21:58" u="1"/>
        <d v="2022-09-28T01:41:17" u="1"/>
        <d v="2023-04-17T20:11:12" u="1"/>
        <d v="2016-05-28T06:34:15" u="1"/>
        <d v="2016-08-09T02:08:33" u="1"/>
        <d v="2017-06-09T22:07:11" u="1"/>
        <d v="2017-06-29T13:54:25" u="1"/>
        <d v="2020-09-10T04:51:33" u="1"/>
        <d v="2021-05-18T17:45:55" u="1"/>
        <d v="2022-02-19T22:19:08" u="1"/>
        <d v="2022-07-22T16:44:51" u="1"/>
        <d v="2023-06-19T07:32:41" u="1"/>
        <d v="2016-06-21T09:00:35" u="1"/>
        <d v="2016-10-06T01:58:19" u="1"/>
        <d v="2017-04-26T10:35:25" u="1"/>
        <d v="2017-06-08T01:24:28" u="1"/>
        <d v="2020-05-05T03:02:47" u="1"/>
        <d v="2020-06-17T19:41:57" u="1"/>
        <d v="2020-12-24T22:39:56" u="1"/>
        <d v="2021-11-23T12:15:45" u="1"/>
        <d v="2022-07-28T08:15:34" u="1"/>
        <d v="2022-10-15T12:59:44" u="1"/>
        <d v="2016-03-01T12:50:47" u="1"/>
        <d v="2016-09-19T05:26:20" u="1"/>
        <d v="2021-01-22T04:32:24" u="1"/>
        <d v="2021-02-13T14:38:52" u="1"/>
        <d v="2021-04-02T15:00:10" u="1"/>
        <d v="2021-05-22T22:02:03" u="1"/>
        <d v="2021-07-23T11:39:35" u="1"/>
        <d v="2021-11-04T18:41:03" u="1"/>
        <d v="2022-03-11T01:52:26" u="1"/>
        <d v="2023-03-03T08:23:58" u="1"/>
        <d v="2014-07-14T01:03:17" u="1"/>
        <d v="2016-01-08T13:38:43" u="1"/>
        <d v="2017-01-04T07:34:38" u="1"/>
        <d v="2017-05-19T02:46:09" u="1"/>
        <d v="2017-06-29T19:35:36" u="1"/>
        <d v="2020-02-25T06:43:18" u="1"/>
        <d v="2020-03-20T09:36:31" u="1"/>
        <d v="2020-04-18T12:48:36" u="1"/>
        <d v="2020-09-30T03:48:05" u="1"/>
        <d v="2021-05-28T06:42:17" u="1"/>
        <d v="2022-09-27T00:56:04" u="1"/>
        <d v="2022-12-09T08:43:42" u="1"/>
        <d v="2023-05-23T09:51:30" u="1"/>
        <d v="2014-05-02T13:49:40" u="1"/>
        <d v="2015-06-20T19:28:41" u="1"/>
        <d v="2015-08-22T14:15:32" u="1"/>
        <d v="2016-02-29T18:24:33" u="1"/>
        <d v="2016-03-06T20:54:53" u="1"/>
        <d v="2016-05-08T08:13:37" u="1"/>
        <d v="2016-10-14T06:34:21" u="1"/>
        <d v="2016-10-14T14:04:45" u="1"/>
        <d v="2016-11-15T21:20:54" u="1"/>
        <d v="2017-02-27T02:03:10" u="1"/>
        <d v="2017-04-20T13:28:33" u="1"/>
        <d v="2017-05-01T23:04:14" u="1"/>
        <d v="2020-03-26T01:07:14" u="1"/>
        <d v="2020-07-18T12:20:41" u="1"/>
        <d v="2020-07-24T06:03:27" u="1"/>
        <d v="2021-06-22T21:52:49" u="1"/>
        <d v="2021-07-27T14:27:36" u="1"/>
        <d v="2021-08-04T03:36:35" u="1"/>
        <d v="2022-01-22T08:44:27" u="1"/>
        <d v="2014-05-10T09:28:27" u="1"/>
        <d v="2014-06-28T07:33:03" u="1"/>
        <d v="2015-02-11T20:34:49" u="1"/>
        <d v="2016-01-25T23:33:43" u="1"/>
        <d v="2017-05-07T04:01:33" u="1"/>
        <d v="2020-08-08T06:24:36" u="1"/>
        <d v="2021-04-30T09:46:16" u="1"/>
        <d v="2021-09-25T06:45:15" u="1"/>
        <d v="2022-05-27T08:19:26" u="1"/>
        <d v="2022-05-31T07:30:17" u="1"/>
        <d v="2023-06-03T01:21:38" u="1"/>
        <d v="2015-04-16T10:47:18" u="1"/>
        <d v="2015-10-12T20:55:40" u="1"/>
        <d v="2016-06-10T11:01:40" u="1"/>
        <d v="2021-06-02T01:44:27" u="1"/>
        <d v="2022-09-25T00:21:09" u="1"/>
        <d v="2022-12-08T17:40:56" u="1"/>
        <d v="2023-06-28T05:26:17" u="1"/>
        <d v="2016-03-18T06:31:12" u="1"/>
        <d v="2016-10-09T07:46:19" u="1"/>
        <d v="2017-03-25T09:19:16" u="1"/>
        <d v="2020-04-11T15:41:43" u="1"/>
        <d v="2020-09-29T16:57:22" u="1"/>
        <d v="2021-09-25T02:21:09" u="1"/>
        <d v="2021-10-26T01:36:02" u="1"/>
        <d v="2021-11-22T14:03:41" u="1"/>
        <d v="2022-02-07T14:15:56" u="1"/>
        <d v="2022-07-19T16:59:36" u="1"/>
        <d v="2022-10-27T06:25:16" u="1"/>
        <d v="2023-04-05T17:15:01" u="1"/>
        <d v="2015-06-09T02:19:12" u="1"/>
        <d v="2015-11-09T13:23:33" u="1"/>
        <d v="2016-02-21T13:51:16" u="1"/>
        <d v="2016-08-27T23:50:30" u="1"/>
        <d v="2017-01-16T03:43:05" u="1"/>
        <d v="2017-02-12T11:52:23" u="1"/>
        <d v="2017-04-11T14:21:38" u="1"/>
        <d v="2021-11-16T17:04:51" u="1"/>
        <d v="2023-06-19T20:52:46" u="1"/>
        <d v="2016-01-01T06:14:30" u="1"/>
        <d v="2017-03-03T14:26:43" u="1"/>
        <d v="2017-05-06T08:36:25" u="1"/>
        <d v="2020-04-03T08:37:34" u="1"/>
        <d v="2021-01-30T14:12:27" u="1"/>
        <d v="2022-03-01T03:10:37" u="1"/>
        <d v="2023-05-14T19:41:50" u="1"/>
        <d v="2015-09-02T16:40:38" u="1"/>
        <d v="2016-01-22T09:00:16" u="1"/>
        <d v="2016-03-28T19:31:22" u="1"/>
        <d v="2016-07-14T20:59:31" u="1"/>
        <d v="2017-03-01T15:34:43" u="1"/>
        <d v="2017-03-11T09:32:21" u="1"/>
        <d v="2017-06-10T20:56:38" u="1"/>
        <d v="2020-07-09T06:08:29" u="1"/>
        <d v="2020-12-07T11:27:36" u="1"/>
        <d v="2021-03-29T10:42:10" u="1"/>
        <d v="2022-01-14T16:53:37" u="1"/>
        <d v="2022-08-03T02:16:29" u="1"/>
        <d v="2015-04-30T23:54:18" u="1"/>
        <d v="2016-11-23T11:13:13" u="1"/>
        <d v="2017-01-18T01:15:00" u="1"/>
        <d v="2017-04-23T17:35:22" u="1"/>
        <d v="2020-04-01T18:46:50" u="1"/>
        <d v="2022-07-28T22:00:46" u="1"/>
        <d v="2014-07-22T18:34:17" u="1"/>
        <d v="2016-05-12T09:00:22" u="1"/>
        <d v="2016-12-02T09:15:28" u="1"/>
        <d v="2020-02-05T11:14:38" u="1"/>
        <d v="2020-09-19T19:58:28" u="1"/>
        <d v="2022-02-12T19:57:40" u="1"/>
        <d v="2014-03-28T21:19:19" u="1"/>
        <d v="2015-11-17T17:49:16" u="1"/>
        <d v="2016-05-20T20:39:24" u="1"/>
        <d v="2017-03-02T22:46:47" u="1"/>
        <d v="2017-04-10T09:16:20" u="1"/>
        <d v="2017-06-18T11:07:18" u="1"/>
        <d v="2020-02-17T17:48:27" u="1"/>
        <d v="2020-12-14T17:42:31" u="1"/>
        <d v="2022-09-25T10:33:12" u="1"/>
        <d v="2022-11-06T14:16:44" u="1"/>
        <d v="2016-10-10T23:16:44" u="1"/>
        <d v="2016-12-12T20:42:29" u="1"/>
        <d v="2017-05-04T04:39:08" u="1"/>
        <d v="2020-01-29T03:49:49" u="1"/>
        <d v="2020-07-27T22:15:33" u="1"/>
        <d v="2021-12-25T18:33:24" u="1"/>
        <d v="2014-04-17T19:39:17" u="1"/>
        <d v="2020-02-09T02:12:10" u="1"/>
        <d v="2020-05-12T15:28:29" u="1"/>
        <d v="2021-05-29T02:13:56" u="1"/>
        <d v="2021-07-04T02:27:13" u="1"/>
        <d v="2022-02-23T08:50:02" u="1"/>
        <d v="2022-03-12T10:32:22" u="1"/>
        <d v="2022-06-12T01:34:03" u="1"/>
        <d v="2022-09-02T14:09:46" u="1"/>
        <d v="2015-03-25T01:44:36" u="1"/>
        <d v="2015-08-25T07:59:44" u="1"/>
        <d v="2016-02-22T19:39:14" u="1"/>
        <d v="2016-04-18T23:55:22" u="1"/>
        <d v="2021-09-10T13:27:27" u="1"/>
        <d v="2022-01-05T00:32:07" u="1"/>
        <d v="2022-07-28T03:36:53" u="1"/>
        <d v="2022-09-11T16:08:39" u="1"/>
        <d v="2014-05-18T21:58:11" u="1"/>
        <d v="2015-08-21T11:56:55" u="1"/>
        <d v="2016-06-19T23:31:25" u="1"/>
        <d v="2017-01-08T06:20:07" u="1"/>
        <d v="2017-07-11T06:22:03" u="1"/>
        <d v="2020-12-12T11:10:21" u="1"/>
        <d v="2021-01-03T13:53:26" u="1"/>
        <d v="2021-05-17T07:34:04" u="1"/>
        <d v="2021-10-25T14:52:05" u="1"/>
        <d v="2022-07-21T17:15:27" u="1"/>
        <d v="2022-08-04T10:47:22" u="1"/>
        <d v="2023-05-15T02:30:01" u="1"/>
        <d v="2023-06-16T19:55:28" u="1"/>
        <d v="2014-07-08T15:23:16" u="1"/>
        <d v="2016-05-15T14:15:13" u="1"/>
        <d v="2016-10-06T14:42:15" u="1"/>
        <d v="2016-12-21T07:39:51" u="1"/>
        <d v="2017-05-22T05:25:52" u="1"/>
        <d v="2020-07-25T04:05:58" u="1"/>
        <d v="2020-07-28T10:48:56" u="1"/>
        <d v="2020-09-14T20:58:23" u="1"/>
        <d v="2020-10-04T17:47:30" u="1"/>
        <d v="2022-03-10T06:43:07" u="1"/>
        <d v="2023-07-26T20:07:30" u="1"/>
        <d v="2016-07-05T15:08:25" u="1"/>
        <d v="2017-06-17T03:56:43" u="1"/>
        <d v="2020-03-29T01:05:46" u="1"/>
        <d v="2020-11-27T15:28:05" u="1"/>
        <d v="2020-12-14T14:06:22" u="1"/>
        <d v="2021-01-02T01:32:04" u="1"/>
        <d v="2021-05-01T07:59:10" u="1"/>
        <d v="2021-06-18T10:26:07" u="1"/>
        <d v="2021-12-18T08:01:09" u="1"/>
        <d v="2022-02-16T17:05:31" u="1"/>
        <d v="2022-03-28T03:25:50" u="1"/>
        <d v="2022-04-03T18:45:36" u="1"/>
        <d v="2022-11-05T03:14:11" u="1"/>
        <d v="2014-04-21T19:34:04" u="1"/>
        <d v="2015-12-19T06:00:55" u="1"/>
        <d v="2017-02-03T09:32:09" u="1"/>
        <d v="2020-03-25T10:53:54" u="1"/>
        <d v="2020-03-26T06:02:58" u="1"/>
        <d v="2020-05-12T00:49:48" u="1"/>
        <d v="2020-05-30T00:39:32" u="1"/>
        <d v="2021-06-03T12:59:16" u="1"/>
        <d v="2021-07-30T21:41:11" u="1"/>
        <d v="2022-02-10T18:29:31" u="1"/>
        <d v="2022-03-12T07:31:06" u="1"/>
        <d v="2022-06-27T06:44:50" u="1"/>
        <d v="2023-04-26T16:07:18" u="1"/>
        <d v="2023-05-06T22:10:50" u="1"/>
        <d v="2015-02-08T04:50:48" u="1"/>
        <d v="2015-09-20T20:02:15" u="1"/>
        <d v="2016-05-22T03:01:46" u="1"/>
        <d v="2016-10-10T22:46:20" u="1"/>
        <d v="2017-06-18T10:02:01" u="1"/>
        <d v="2017-06-22T14:02:05" u="1"/>
        <d v="2021-01-26T16:50:01" u="1"/>
        <d v="2021-05-21T21:58:14" u="1"/>
        <d v="2021-08-20T00:55:38" u="1"/>
        <d v="2022-06-25T07:21:58" u="1"/>
        <d v="2022-12-05T20:04:44" u="1"/>
        <d v="2023-06-25T20:07:25" u="1"/>
        <d v="2014-06-19T21:26:08" u="1"/>
        <d v="2015-02-18T16:54:59" u="1"/>
        <d v="2015-05-12T01:25:42" u="1"/>
        <d v="2016-07-29T21:56:59" u="1"/>
        <d v="2016-09-30T07:11:41" u="1"/>
        <d v="2020-04-08T14:20:19" u="1"/>
        <d v="2020-04-30T02:16:38" u="1"/>
        <d v="2020-09-05T08:30:07" u="1"/>
        <d v="2022-03-30T08:25:52" u="1"/>
        <d v="2014-04-05T14:35:04" u="1"/>
        <d v="2015-01-26T10:02:50" u="1"/>
        <d v="2016-02-20T10:53:45" u="1"/>
        <d v="2016-03-15T16:19:06" u="1"/>
        <d v="2016-08-05T23:16:31" u="1"/>
        <d v="2016-08-25T11:20:50" u="1"/>
        <d v="2020-07-31T22:25:08" u="1"/>
        <d v="2020-08-08T04:06:00" u="1"/>
        <d v="2020-12-02T19:58:23" u="1"/>
        <d v="2023-04-18T00:33:46" u="1"/>
        <d v="2015-08-04T13:03:11" u="1"/>
        <d v="2017-02-23T07:29:42" u="1"/>
        <d v="2017-03-05T16:28:14" u="1"/>
        <d v="2017-03-28T21:18:03" u="1"/>
        <d v="2017-06-12T18:46:06" u="1"/>
        <d v="2017-06-25T16:25:59" u="1"/>
        <d v="2020-02-24T01:13:39" u="1"/>
        <d v="2021-12-25T06:46:41" u="1"/>
        <d v="2022-01-15T22:48:21" u="1"/>
        <d v="2022-09-22T02:08:48" u="1"/>
        <d v="2015-03-29T04:35:22" u="1"/>
        <d v="2017-05-12T15:07:08" u="1"/>
        <d v="2017-05-19T12:37:52" u="1"/>
        <d v="2017-06-27T14:36:48" u="1"/>
        <d v="2020-05-31T06:08:41" u="1"/>
        <d v="2021-09-22T17:21:06" u="1"/>
        <d v="2023-06-13T01:33:49" u="1"/>
        <d v="2023-06-23T18:53:03" u="1"/>
        <d v="2023-07-14T13:30:08" u="1"/>
        <d v="2016-05-11T02:52:32" u="1"/>
        <d v="2017-06-08T23:43:17" u="1"/>
        <d v="2020-03-03T19:52:18" u="1"/>
        <d v="2021-08-22T09:01:58" u="1"/>
        <d v="2022-04-03T07:35:02" u="1"/>
        <d v="2015-07-06T04:25:44" u="1"/>
        <d v="2016-04-25T07:51:26" u="1"/>
        <d v="2017-02-27T18:45:50" u="1"/>
        <d v="2017-07-04T23:47:18" u="1"/>
        <d v="2020-09-01T20:43:22" u="1"/>
        <d v="2021-04-02T20:21:29" u="1"/>
        <d v="2021-06-23T11:48:47" u="1"/>
        <d v="2022-01-26T10:45:45" u="1"/>
        <d v="2022-02-12T16:16:14" u="1"/>
        <d v="2022-11-19T20:25:12" u="1"/>
        <d v="2023-02-07T19:52:18" u="1"/>
        <d v="2023-07-15T18:07:19" u="1"/>
        <d v="2015-05-11T03:44:30" u="1"/>
        <d v="2016-03-13T21:27:06" u="1"/>
        <d v="2020-04-22T03:28:33" u="1"/>
        <d v="2021-11-09T23:07:29" u="1"/>
        <d v="2022-08-16T22:34:15" u="1"/>
        <d v="2022-10-04T02:56:46" u="1"/>
        <d v="2022-10-22T11:51:47" u="1"/>
        <d v="2015-03-21T15:33:45" u="1"/>
        <d v="2016-01-06T20:01:16" u="1"/>
        <d v="2017-03-13T20:23:05" u="1"/>
        <d v="2020-05-10T02:29:41" u="1"/>
        <d v="2021-05-17T11:10:59" u="1"/>
        <d v="2021-10-28T04:53:22" u="1"/>
        <d v="2022-04-24T04:28:35" u="1"/>
        <d v="2022-09-08T01:40:42" u="1"/>
        <d v="2015-06-19T13:36:40" u="1"/>
        <d v="2015-09-21T15:43:40" u="1"/>
        <d v="2016-04-13T09:33:41" u="1"/>
        <d v="2020-08-23T11:47:39" u="1"/>
        <d v="2021-06-09T06:41:47" u="1"/>
        <d v="2021-12-11T09:59:46" u="1"/>
        <d v="2022-04-27T12:44:42" u="1"/>
        <d v="2022-06-21T03:16:37" u="1"/>
        <d v="2022-07-15T06:44:42" u="1"/>
        <d v="2014-03-19T02:08:21" u="1"/>
        <d v="2014-05-29T16:39:31" u="1"/>
        <d v="2016-05-03T14:11:00" u="1"/>
        <d v="2017-07-10T02:24:32" u="1"/>
        <d v="2020-07-22T15:09:56" u="1"/>
        <d v="2020-08-28T05:30:24" u="1"/>
        <d v="2021-05-19T18:14:01" u="1"/>
        <d v="2021-08-04T06:41:50" u="1"/>
        <d v="2021-08-21T06:04:42" u="1"/>
        <d v="2021-12-22T21:20:02" u="1"/>
        <d v="2022-07-12T21:11:17" u="1"/>
        <d v="2022-10-20T08:35:41" u="1"/>
        <d v="2023-04-04T05:15:59" u="1"/>
        <d v="2016-09-29T07:37:15" u="1"/>
        <d v="2017-02-17T20:03:00" u="1"/>
        <d v="2017-06-12T03:55:22" u="1"/>
        <d v="2021-05-22T02:35:23" u="1"/>
        <d v="2021-11-29T10:53:27" u="1"/>
        <d v="2022-04-10T06:18:50" u="1"/>
        <d v="2014-03-31T23:05:48" u="1"/>
        <d v="2016-05-11T19:30:58" u="1"/>
        <d v="2016-06-21T06:23:23" u="1"/>
        <d v="2020-02-07T14:35:59" u="1"/>
        <d v="2020-11-18T16:51:47" u="1"/>
        <d v="2021-07-09T10:37:50" u="1"/>
        <d v="2021-12-14T06:23:40" u="1"/>
        <d v="2022-05-24T06:43:27" u="1"/>
        <d v="2022-07-30T16:43:41" u="1"/>
        <d v="2015-11-02T15:56:48" u="1"/>
        <d v="2016-05-14T20:49:50" u="1"/>
        <d v="2017-03-23T16:48:35" u="1"/>
        <d v="2017-07-01T20:50:00" u="1"/>
        <d v="2020-08-30T05:10:21" u="1"/>
        <d v="2020-09-07T09:17:51" u="1"/>
        <d v="2020-10-22T20:24:56" u="1"/>
        <d v="2021-03-04T02:53:33" u="1"/>
        <d v="2021-06-11T06:17:43" u="1"/>
        <d v="2021-11-12T08:43:39" u="1"/>
        <d v="2021-12-26T10:49:27" u="1"/>
        <d v="2022-06-01T21:51:12" u="1"/>
        <d v="2022-11-08T13:52:53" u="1"/>
        <d v="2022-12-05T01:39:35" u="1"/>
        <d v="2014-06-01T04:17:33" u="1"/>
        <d v="2014-07-07T20:18:59" u="1"/>
        <d v="2014-07-15T17:05:48" u="1"/>
        <d v="2017-05-13T03:47:17" u="1"/>
        <d v="2020-03-23T22:49:51" u="1"/>
        <d v="2021-02-06T12:58:48" u="1"/>
        <d v="2021-06-05T09:49:45" u="1"/>
        <d v="2022-01-16T09:18:44" u="1"/>
        <d v="2022-07-09T20:03:12" u="1"/>
        <d v="2022-11-25T06:45:21" u="1"/>
        <d v="2014-05-07T11:56:29" u="1"/>
        <d v="2015-11-24T14:18:29" u="1"/>
        <d v="2016-09-25T21:31:41" u="1"/>
        <d v="2020-11-24T20:31:48" u="1"/>
        <d v="2020-12-15T18:51:48" u="1"/>
        <d v="2021-01-15T23:00:09" u="1"/>
        <d v="2021-01-22T00:43:09" u="1"/>
        <d v="2021-05-30T17:16:42" u="1"/>
        <d v="2022-03-14T13:22:51" u="1"/>
        <d v="2016-05-03T08:02:43" u="1"/>
        <d v="2016-06-22T04:26:09" u="1"/>
        <d v="2016-09-24T02:17:05" u="1"/>
        <d v="2016-11-24T11:06:26" u="1"/>
        <d v="2017-04-15T05:47:15" u="1"/>
        <d v="2020-03-05T16:27:59" u="1"/>
        <d v="2020-04-21T11:59:24" u="1"/>
        <d v="2021-04-12T16:57:46" u="1"/>
        <d v="2021-06-29T20:51:38" u="1"/>
        <d v="2022-09-03T21:07:15" u="1"/>
        <d v="2016-04-26T14:00:30" u="1"/>
        <d v="2017-06-19T07:50:12" u="1"/>
        <d v="2020-03-10T13:53:39" u="1"/>
        <d v="2020-10-20T09:03:33" u="1"/>
        <d v="2021-01-27T17:21:40" u="1"/>
        <d v="2021-02-05T12:19:53" u="1"/>
        <d v="2021-07-21T05:42:16" u="1"/>
        <d v="2022-01-26T03:04:19" u="1"/>
        <d v="2022-06-23T18:36:44" u="1"/>
        <d v="2022-11-08T21:29:02" u="1"/>
        <d v="2014-05-05T08:40:23" u="1"/>
        <d v="2014-05-21T01:49:55" u="1"/>
        <d v="2015-03-06T11:06:39" u="1"/>
        <d v="2016-01-09T03:13:20" u="1"/>
        <d v="2016-06-10T11:01:38" u="1"/>
        <d v="2016-06-22T21:24:40" u="1"/>
        <d v="2021-03-15T00:43:10" u="1"/>
        <d v="2021-06-13T17:02:57" u="1"/>
        <d v="2021-10-13T20:44:52" u="1"/>
        <d v="2021-10-27T04:48:04" u="1"/>
        <d v="2022-01-04T06:07:45" u="1"/>
        <d v="2023-04-17T10:44:32" u="1"/>
        <d v="2015-09-04T22:37:53" u="1"/>
        <d v="2020-07-04T08:48:32" u="1"/>
        <d v="2020-08-22T04:14:14" u="1"/>
        <d v="2020-08-30T08:29:10" u="1"/>
        <d v="2021-02-05T07:22:38" u="1"/>
        <d v="2021-08-06T18:45:53" u="1"/>
        <d v="2023-06-01T06:41:39" u="1"/>
        <d v="2016-02-26T23:09:40" u="1"/>
        <d v="2016-03-21T06:15:09" u="1"/>
        <d v="2017-02-02T19:31:53" u="1"/>
        <d v="2017-05-09T00:58:00" u="1"/>
        <d v="2020-06-27T14:15:27" u="1"/>
        <d v="2020-10-18T06:49:11" u="1"/>
        <d v="2020-11-18T12:03:35" u="1"/>
        <d v="2022-04-29T08:38:11" u="1"/>
        <d v="2022-05-29T07:26:12" u="1"/>
        <d v="2016-05-26T13:34:11" u="1"/>
        <d v="2016-07-12T20:09:46" u="1"/>
        <d v="2016-09-24T08:21:06" u="1"/>
        <d v="2017-02-14T03:08:12" u="1"/>
        <d v="2021-01-25T17:44:28" u="1"/>
        <d v="2021-02-24T20:52:33" u="1"/>
        <d v="2021-03-25T19:36:34" u="1"/>
        <d v="2021-05-10T11:48:30" u="1"/>
        <d v="2021-06-02T06:21:35" u="1"/>
        <d v="2021-11-17T01:25:08" u="1"/>
        <d v="2021-12-23T17:57:26" u="1"/>
        <d v="2022-04-12T08:09:34" u="1"/>
        <d v="2022-10-13T20:36:50" u="1"/>
        <d v="2022-11-03T04:35:28" u="1"/>
        <d v="2016-01-03T18:50:39" u="1"/>
        <d v="2016-04-11T06:08:17" u="1"/>
        <d v="2016-07-14T20:59:29" u="1"/>
        <d v="2017-03-15T21:33:39" u="1"/>
        <d v="2020-11-06T13:47:34" u="1"/>
        <d v="2020-12-29T21:10:36" u="1"/>
        <d v="2021-09-30T18:53:20" u="1"/>
        <d v="2022-01-31T07:42:02" u="1"/>
        <d v="2022-02-13T19:30:48" u="1"/>
        <d v="2023-07-04T16:18:56" u="1"/>
        <d v="2015-03-26T15:46:06" u="1"/>
        <d v="2016-02-13T09:24:15" u="1"/>
        <d v="2016-05-05T07:24:19" u="1"/>
        <d v="2016-07-30T20:53:12" u="1"/>
        <d v="2016-08-04T18:48:36" u="1"/>
        <d v="2017-01-22T10:35:07" u="1"/>
        <d v="2020-01-30T12:23:12" u="1"/>
        <d v="2020-03-10T01:43:05" u="1"/>
        <d v="2020-08-29T14:10:20" u="1"/>
        <d v="2021-05-20T18:28:35" u="1"/>
        <d v="2022-06-18T19:36:39" u="1"/>
        <d v="2022-11-27T02:16:00" u="1"/>
        <d v="2015-06-07T18:44:30" u="1"/>
        <d v="2016-01-11T16:02:35" u="1"/>
        <d v="2017-01-15T03:00:07" u="1"/>
        <d v="2017-05-26T06:37:57" u="1"/>
        <d v="2017-07-15T02:49:57" u="1"/>
        <d v="2020-02-28T18:43:19" u="1"/>
        <d v="2020-03-09T09:44:20" u="1"/>
        <d v="2020-11-17T02:13:05" u="1"/>
        <d v="2021-12-14T22:39:44" u="1"/>
        <d v="2022-04-22T22:44:37" u="1"/>
        <d v="2022-10-13T02:45:05" u="1"/>
        <d v="2023-07-18T16:47:30" u="1"/>
        <d v="2016-02-12T23:14:43" u="1"/>
        <d v="2016-07-13T23:01:45" u="1"/>
        <d v="2016-08-08T21:05:45" u="1"/>
        <d v="2017-01-01T22:35:49" u="1"/>
        <d v="2020-09-17T06:10:12" u="1"/>
        <d v="2020-10-02T09:43:25" u="1"/>
        <d v="2021-11-04T21:17:56" u="1"/>
        <d v="2021-11-26T05:20:00" u="1"/>
        <d v="2021-11-26T22:57:25" u="1"/>
        <d v="2022-06-20T20:24:38" u="1"/>
        <d v="2022-10-19T09:14:19" u="1"/>
        <d v="2023-05-24T15:00:32" u="1"/>
        <d v="2016-06-12T16:43:19" u="1"/>
        <d v="2016-10-10T23:16:42" u="1"/>
        <d v="2020-03-19T20:09:37" u="1"/>
        <d v="2020-03-21T01:26:57" u="1"/>
        <d v="2020-07-05T06:39:15" u="1"/>
        <d v="2020-11-05T14:08:39" u="1"/>
        <d v="2021-02-10T19:22:43" u="1"/>
        <d v="2021-02-24T22:09:38" u="1"/>
        <d v="2021-12-11T16:50:28" u="1"/>
        <d v="2022-01-13T06:32:13" u="1"/>
        <d v="2022-08-30T04:32:56" u="1"/>
        <d v="2016-07-10T17:43:21" u="1"/>
        <d v="2017-04-24T14:03:13" u="1"/>
        <d v="2017-05-14T19:24:28" u="1"/>
        <d v="2017-06-17T11:03:14" u="1"/>
        <d v="2021-01-25T01:57:45" u="1"/>
        <d v="2022-12-06T00:06:12" u="1"/>
        <d v="2014-04-09T10:31:05" u="1"/>
        <d v="2016-04-25T04:52:40" u="1"/>
        <d v="2016-06-14T03:14:59" u="1"/>
        <d v="2017-06-28T01:47:34" u="1"/>
        <d v="2020-12-24T13:05:14" u="1"/>
        <d v="2021-03-28T00:21:47" u="1"/>
        <d v="2021-05-01T01:16:13" u="1"/>
        <d v="2021-09-01T19:56:39" u="1"/>
        <d v="2021-09-20T09:33:05" u="1"/>
        <d v="2014-04-19T02:25:43" u="1"/>
        <d v="2015-06-30T06:47:36" u="1"/>
        <d v="2015-07-05T15:12:24" u="1"/>
        <d v="2016-08-26T13:48:56" u="1"/>
        <d v="2016-10-27T08:08:55" u="1"/>
        <d v="2017-03-14T06:11:01" u="1"/>
        <d v="2017-04-15T19:51:16" u="1"/>
        <d v="2020-08-27T01:43:40" u="1"/>
        <d v="2020-09-10T04:14:06" u="1"/>
        <d v="2020-10-29T06:39:49" u="1"/>
        <d v="2020-10-29T23:06:27" u="1"/>
        <d v="2021-02-27T11:34:00" u="1"/>
        <d v="2022-07-25T14:49:06" u="1"/>
        <d v="2022-09-15T20:04:40" u="1"/>
        <d v="2015-01-12T19:44:15" u="1"/>
        <d v="2015-03-26T02:05:41" u="1"/>
        <d v="2016-03-21T20:00:21" u="1"/>
        <d v="2016-05-25T02:59:30" u="1"/>
        <d v="2017-02-23T05:14:52" u="1"/>
        <d v="2021-05-02T01:35:03" u="1"/>
        <d v="2021-05-28T20:07:22" u="1"/>
        <d v="2021-08-27T01:43:40" u="1"/>
        <d v="2021-09-13T06:10:08" u="1"/>
        <d v="2021-10-16T15:57:11" u="1"/>
        <d v="2021-11-08T21:43:35" u="1"/>
        <d v="2021-12-01T17:16:41" u="1"/>
        <d v="2022-01-14T19:33:30" u="1"/>
        <d v="2014-05-01T15:01:25" u="1"/>
        <d v="2014-06-18T16:22:04" u="1"/>
        <d v="2014-07-04T21:59:19" u="1"/>
        <d v="2015-10-13T01:55:37" u="1"/>
        <d v="2016-06-08T16:08:22" u="1"/>
        <d v="2016-11-03T06:10:06" u="1"/>
        <d v="2017-04-19T01:56:35" u="1"/>
        <d v="2020-02-15T01:38:50" u="1"/>
        <d v="2020-06-16T09:26:03" u="1"/>
        <d v="2020-07-12T19:43:23" u="1"/>
        <d v="2020-07-14T03:41:54" u="1"/>
        <d v="2021-04-25T17:42:08" u="1"/>
        <d v="2021-05-04T08:20:17" u="1"/>
        <d v="2021-07-12T02:49:54" u="1"/>
        <d v="2021-11-16T01:59:45" u="1"/>
        <d v="2022-10-20T17:18:21" u="1"/>
        <d v="2014-06-13T01:48:35" u="1"/>
        <d v="2016-01-16T18:51:05" u="1"/>
        <d v="2016-04-20T22:27:15" u="1"/>
        <d v="2017-01-21T17:31:05" u="1"/>
        <d v="2017-05-09T18:51:14" u="1"/>
        <d v="2017-05-10T13:27:09" u="1"/>
        <d v="2021-03-24T09:57:52" u="1"/>
        <d v="2021-03-30T23:19:19" u="1"/>
        <d v="2021-04-21T16:19:14" u="1"/>
        <d v="2014-04-29T01:58:14" u="1"/>
        <d v="2014-05-26T10:05:49" u="1"/>
        <d v="2017-01-23T01:25:35" u="1"/>
        <d v="2017-06-01T06:23:03" u="1"/>
        <d v="2017-06-15T23:04:28" u="1"/>
        <d v="2020-04-04T05:35:01" u="1"/>
        <d v="2020-11-16T03:55:44" u="1"/>
        <d v="2020-12-12T06:05:02" u="1"/>
        <d v="2020-12-25T04:15:47" u="1"/>
        <d v="2021-02-05T18:41:27" u="1"/>
        <d v="2021-03-22T17:54:04" u="1"/>
        <d v="2021-06-06T08:27:09" u="1"/>
        <d v="2023-06-20T06:02:01" u="1"/>
        <d v="2014-05-01T01:34:47" u="1"/>
        <d v="2015-03-09T20:28:16" u="1"/>
        <d v="2016-07-14T09:37:53" u="1"/>
        <d v="2020-05-31T23:18:12" u="1"/>
        <d v="2020-07-05T22:09:39" u="1"/>
        <d v="2020-09-15T20:07:25" u="1"/>
        <d v="2020-11-13T00:51:40" u="1"/>
        <d v="2020-12-21T06:35:48" u="1"/>
        <d v="2021-10-17T08:48:55" u="1"/>
        <d v="2022-01-29T08:14:54" u="1"/>
        <d v="2016-03-03T23:02:35" u="1"/>
        <d v="2016-03-05T07:31:58" u="1"/>
        <d v="2016-07-18T11:25:54" u="1"/>
        <d v="2016-07-27T13:59:40" u="1"/>
        <d v="2017-01-02T18:37:19" u="1"/>
        <d v="2017-07-06T20:43:17" u="1"/>
        <d v="2021-06-18T09:06:00" u="1"/>
        <d v="2021-10-07T16:46:15" u="1"/>
        <d v="2015-02-28T09:40:32" u="1"/>
        <d v="2021-06-06T18:55:16" u="1"/>
        <d v="2021-09-05T10:03:14" u="1"/>
        <d v="2022-02-15T19:28:18" u="1"/>
        <d v="2022-04-09T11:35:06" u="1"/>
        <d v="2017-04-20T20:03:09" u="1"/>
        <d v="2017-04-30T06:39:26" u="1"/>
        <d v="2020-06-30T12:59:39" u="1"/>
        <d v="2020-09-26T13:55:46" u="1"/>
        <d v="2020-10-19T07:20:50" u="1"/>
        <d v="2021-12-27T15:00:00" u="1"/>
        <d v="2023-06-19T01:09:47" u="1"/>
        <d v="2016-04-20T12:33:46" u="1"/>
        <d v="2016-05-06T08:34:52" u="1"/>
        <d v="2020-05-22T04:01:44" u="1"/>
        <d v="2020-11-16T08:55:44" u="1"/>
        <d v="2022-04-19T02:21:42" u="1"/>
        <d v="2023-06-22T22:07:20" u="1"/>
        <d v="2014-04-08T11:03:58" u="1"/>
        <d v="2014-04-13T13:53:44" u="1"/>
        <d v="2015-08-01T23:12:24" u="1"/>
        <d v="2017-01-15T09:03:53" u="1"/>
        <d v="2020-02-18T06:14:47" u="1"/>
        <d v="2020-09-13T19:53:03" u="1"/>
        <d v="2021-02-15T05:26:47" u="1"/>
        <d v="2021-04-17T02:21:40" u="1"/>
        <d v="2021-06-13T17:11:12" u="1"/>
        <d v="2021-07-08T07:53:51" u="1"/>
        <d v="2021-10-11T17:49:04" u="1"/>
        <d v="2023-04-04T03:54:51" u="1"/>
        <d v="2014-04-06T11:07:57" u="1"/>
        <d v="2014-05-15T08:13:40" u="1"/>
        <d v="2016-01-07T01:26:35" u="1"/>
        <d v="2016-02-24T15:06:51" u="1"/>
        <d v="2016-05-15T10:29:44" u="1"/>
        <d v="2016-07-10T16:57:54" u="1"/>
        <d v="2016-10-01T01:09:45" u="1"/>
        <d v="2020-01-31T02:12:24" u="1"/>
        <d v="2020-09-06T01:44:39" u="1"/>
        <d v="2020-10-01T22:08:31" u="1"/>
        <d v="2020-11-12T07:28:49" u="1"/>
        <d v="2020-11-20T14:24:56" u="1"/>
        <d v="2020-12-07T19:18:16" u="1"/>
        <d v="2022-07-08T16:50:05" u="1"/>
        <d v="2023-03-31T17:37:54" u="1"/>
        <d v="2014-05-17T06:24:29" u="1"/>
        <d v="2016-02-18T13:49:40" u="1"/>
        <d v="2016-10-31T23:04:58" u="1"/>
        <d v="2020-04-09T14:19:02" u="1"/>
        <d v="2020-04-30T01:15:20" u="1"/>
        <d v="2020-06-07T21:08:21" u="1"/>
        <d v="2022-01-26T01:01:32" u="1"/>
        <d v="2022-07-31T07:19:34" u="1"/>
        <d v="2022-09-06T02:52:41" u="1"/>
        <d v="2022-09-17T06:24:45" u="1"/>
        <d v="2014-04-30T13:35:25" u="1"/>
        <d v="2016-01-14T15:15:55" u="1"/>
        <d v="2016-05-27T14:20:38" u="1"/>
        <d v="2016-07-20T07:35:27" u="1"/>
        <d v="2016-09-24T06:30:22" u="1"/>
        <d v="2017-04-23T15:21:46" u="1"/>
        <d v="2017-07-10T04:36:33" u="1"/>
        <d v="2022-04-25T09:09:45" u="1"/>
        <d v="2022-07-26T06:31:32" u="1"/>
        <d v="2022-09-02T21:39:20" u="1"/>
        <d v="2023-06-22T23:57:01" u="1"/>
        <d v="2015-05-18T19:37:49" u="1"/>
        <d v="2016-01-20T05:40:20" u="1"/>
        <d v="2016-03-24T15:17:42" u="1"/>
        <d v="2016-09-07T18:49:57" u="1"/>
        <d v="2021-05-01T16:16:13" u="1"/>
        <d v="2021-08-21T23:02:10" u="1"/>
        <d v="2022-04-03T03:38:46" u="1"/>
        <d v="2022-09-28T21:32:58" u="1"/>
        <d v="2014-07-22T08:15:24" u="1"/>
        <d v="2015-04-05T09:22:44" u="1"/>
        <d v="2015-06-14T20:14:59" u="1"/>
        <d v="2015-08-09T15:29:50" u="1"/>
        <d v="2016-03-10T09:14:43" u="1"/>
        <d v="2016-05-26T03:03:17" u="1"/>
        <d v="2016-09-23T08:34:22" u="1"/>
        <d v="2017-02-02T03:03:44" u="1"/>
        <d v="2017-04-23T10:55:23" u="1"/>
        <d v="2020-04-30T07:27:23" u="1"/>
        <d v="2021-02-24T19:57:48" u="1"/>
        <d v="2021-07-07T21:54:05" u="1"/>
        <d v="2021-10-20T01:30:22" u="1"/>
        <d v="2022-02-20T02:40:24" u="1"/>
        <d v="2022-04-10T21:08:16" u="1"/>
        <d v="2022-08-19T16:21:58" u="1"/>
        <d v="2023-06-19T03:51:26" u="1"/>
        <d v="2023-07-20T14:21:55" u="1"/>
        <d v="2016-02-05T03:14:34" u="1"/>
        <d v="2016-04-06T13:34:48" u="1"/>
        <d v="2020-01-31T06:39:15" u="1"/>
        <d v="2020-03-17T01:28:22" u="1"/>
        <d v="2020-04-28T18:44:41" u="1"/>
        <d v="2021-06-15T19:18:00" u="1"/>
        <d v="2014-04-20T19:21:43" u="1"/>
        <d v="2015-04-14T10:44:27" u="1"/>
        <d v="2015-07-31T02:52:56" u="1"/>
        <d v="2015-09-01T23:38:03" u="1"/>
        <d v="2015-09-10T05:00:32" u="1"/>
        <d v="2016-02-17T02:20:16" u="1"/>
        <d v="2017-02-08T17:27:56" u="1"/>
        <d v="2017-05-31T01:02:06" u="1"/>
        <d v="2017-06-18T09:47:24" u="1"/>
        <d v="2021-01-10T22:55:00" u="1"/>
        <d v="2021-05-08T09:18:50" u="1"/>
        <d v="2021-06-06T03:25:38" u="1"/>
        <d v="2021-10-27T08:53:19" u="1"/>
        <d v="2022-01-02T19:48:06" u="1"/>
        <d v="2022-06-28T20:40:48" u="1"/>
        <d v="2014-06-03T05:44:24" u="1"/>
        <d v="2017-06-22T21:44:43" u="1"/>
        <d v="2020-03-27T18:17:45" u="1"/>
        <d v="2020-06-02T13:42:54" u="1"/>
        <d v="2020-06-02T21:04:15" u="1"/>
        <d v="2021-06-18T22:49:56" u="1"/>
        <d v="2021-11-15T20:44:56" u="1"/>
        <d v="2022-05-07T09:53:42" u="1"/>
        <d v="2022-11-07T12:48:49" u="1"/>
        <d v="2023-06-25T08:35:28" u="1"/>
        <d v="2015-02-22T13:32:24" u="1"/>
        <d v="2016-04-23T14:20:30" u="1"/>
        <d v="2017-01-18T19:57:38" u="1"/>
        <d v="2017-06-06T22:07:04" u="1"/>
        <d v="2021-04-17T15:37:44" u="1"/>
        <d v="2022-02-26T20:10:54" u="1"/>
        <d v="2015-10-21T20:27:38" u="1"/>
        <d v="2016-04-24T10:27:17" u="1"/>
        <d v="2016-06-01T17:38:52" u="1"/>
        <d v="2017-01-18T14:33:32" u="1"/>
        <d v="2020-04-22T19:25:46" u="1"/>
        <d v="2020-09-06T08:36:37" u="1"/>
        <d v="2021-10-04T03:20:35" u="1"/>
        <d v="2023-05-04T22:12:15" u="1"/>
        <d v="2023-05-14T14:41:46" u="1"/>
        <d v="2015-01-05T08:49:23" u="1"/>
        <d v="2016-03-16T06:16:18" u="1"/>
        <d v="2016-05-07T20:30:52" u="1"/>
        <d v="2016-08-12T05:19:19" u="1"/>
        <d v="2017-06-23T22:01:49" u="1"/>
        <d v="2017-06-30T19:54:22" u="1"/>
        <d v="2021-07-25T14:00:39" u="1"/>
        <d v="2022-07-22T21:44:47" u="1"/>
        <d v="2022-12-02T11:13:55" u="1"/>
        <d v="2014-04-19T12:08:23" u="1"/>
        <d v="2016-04-25T19:20:32" u="1"/>
        <d v="2016-12-02T05:23:26" u="1"/>
        <d v="2017-01-01T17:12:57" u="1"/>
        <d v="2017-05-06T15:14:47" u="1"/>
        <d v="2020-02-19T14:25:35" u="1"/>
        <d v="2020-02-26T15:32:28" u="1"/>
        <d v="2020-10-27T03:40:00" u="1"/>
        <d v="2021-09-19T09:15:29" u="1"/>
        <d v="2021-11-05T03:00:35" u="1"/>
        <d v="2014-04-08T18:10:44" u="1"/>
        <d v="2014-04-28T11:26:05" u="1"/>
        <d v="2015-04-03T21:15:56" u="1"/>
        <d v="2015-11-12T22:20:47" u="1"/>
        <d v="2016-06-07T03:08:19" u="1"/>
        <d v="2017-03-22T22:52:33" u="1"/>
        <d v="2017-06-27T19:27:28" u="1"/>
        <d v="2021-05-30T15:54:18" u="1"/>
        <d v="2021-07-31T00:44:54" u="1"/>
        <d v="2021-12-18T06:41:15" u="1"/>
        <d v="2021-12-31T13:48:14" u="1"/>
        <d v="2022-01-20T16:41:36" u="1"/>
        <d v="2022-05-25T19:32:39" u="1"/>
        <d v="2022-07-19T12:12:36" u="1"/>
        <d v="2022-11-22T21:04:53" u="1"/>
        <d v="2022-12-14T10:46:28" u="1"/>
        <d v="2023-07-04T07:25:40" u="1"/>
        <d v="2023-07-07T06:40:31" u="1"/>
        <d v="2014-05-12T08:35:11" u="1"/>
        <d v="2015-06-16T15:43:21" u="1"/>
        <d v="2020-07-15T06:23:19" u="1"/>
        <d v="2020-11-13T16:08:45" u="1"/>
        <d v="2020-12-07T16:55:39" u="1"/>
        <d v="2021-01-18T20:26:46" u="1"/>
        <d v="2021-10-10T08:00:36" u="1"/>
        <d v="2022-02-04T08:30:37" u="1"/>
        <d v="2023-05-21T01:38:05" u="1"/>
        <d v="2014-06-27T23:54:19" u="1"/>
        <d v="2017-04-24T14:58:09" u="1"/>
        <d v="2020-11-17T09:53:13" u="1"/>
        <d v="2020-11-21T06:25:10" u="1"/>
        <d v="2022-04-01T23:43:00" u="1"/>
        <d v="2022-09-17T18:20:44" u="1"/>
        <d v="2022-12-13T15:00:47" u="1"/>
        <d v="2014-04-06T13:48:20" u="1"/>
        <d v="2015-01-17T01:54:50" u="1"/>
        <d v="2015-08-19T18:19:26" u="1"/>
        <d v="2016-07-14T20:59:27" u="1"/>
        <d v="2016-10-04T17:01:46" u="1"/>
        <d v="2017-06-22T19:04:33" u="1"/>
        <d v="2021-09-06T11:28:35" u="1"/>
        <d v="2022-10-11T20:09:55" u="1"/>
        <d v="2014-04-23T05:14:58" u="1"/>
        <d v="2016-03-18T18:32:24" u="1"/>
        <d v="2016-04-18T09:19:09" u="1"/>
        <d v="2016-10-16T20:54:24" u="1"/>
        <d v="2016-10-29T12:32:00" u="1"/>
        <d v="2017-05-22T22:51:25" u="1"/>
        <d v="2020-04-24T10:46:06" u="1"/>
        <d v="2020-05-29T09:14:07" u="1"/>
        <d v="2021-05-29T03:33:57" u="1"/>
        <d v="2014-04-09T22:33:35" u="1"/>
        <d v="2015-04-12T19:44:25" u="1"/>
        <d v="2015-05-09T14:28:22" u="1"/>
        <d v="2016-05-23T13:34:06" u="1"/>
        <d v="2017-06-01T08:05:28" u="1"/>
        <d v="2020-10-01T18:25:49" u="1"/>
        <d v="2020-11-12T23:24:48" u="1"/>
        <d v="2022-02-09T01:59:02" u="1"/>
        <d v="2022-11-28T21:22:32" u="1"/>
        <d v="2023-07-13T20:21:48" u="1"/>
        <d v="2014-05-14T21:28:27" u="1"/>
        <d v="2016-03-28T01:48:36" u="1"/>
        <d v="2017-02-13T06:39:01" u="1"/>
        <d v="2017-06-22T08:49:58" u="1"/>
        <d v="2017-07-09T03:03:08" u="1"/>
        <d v="2017-07-13T06:30:03" u="1"/>
        <d v="2020-05-09T16:52:28" u="1"/>
        <d v="2020-11-18T03:09:03" u="1"/>
        <d v="2021-05-10T15:48:28" u="1"/>
        <d v="2022-04-05T13:41:33" u="1"/>
        <d v="2023-03-07T06:17:25" u="1"/>
        <d v="2014-06-14T22:51:21" u="1"/>
        <d v="2016-06-22T20:19:21" u="1"/>
        <d v="2017-07-07T11:08:23" u="1"/>
        <d v="2017-07-11T16:12:28" u="1"/>
        <d v="2020-01-29T07:34:57" u="1"/>
        <d v="2020-10-10T06:26:11" u="1"/>
        <d v="2022-02-10T13:02:36" u="1"/>
        <d v="2022-03-11T18:41:35" u="1"/>
        <d v="2022-03-11T23:30:48" u="1"/>
        <d v="2022-10-30T15:52:06" u="1"/>
        <d v="2016-04-04T20:10:40" u="1"/>
        <d v="2020-03-25T17:00:23" u="1"/>
        <d v="2020-05-21T23:24:33" u="1"/>
        <d v="2020-12-18T13:33:13" u="1"/>
        <d v="2021-05-22T01:06:59" u="1"/>
        <d v="2021-07-12T13:08:28" u="1"/>
        <d v="2022-03-05T22:15:54" u="1"/>
        <d v="2022-03-26T16:00:24" u="1"/>
        <d v="2014-04-11T14:08:15" u="1"/>
        <d v="2015-02-01T08:13:14" u="1"/>
        <d v="2016-04-25T04:52:38" u="1"/>
        <d v="2016-09-22T07:36:51" u="1"/>
        <d v="2017-02-05T18:45:26" u="1"/>
        <d v="2020-04-03T03:51:02" u="1"/>
        <d v="2020-06-11T23:52:34" u="1"/>
        <d v="2020-06-26T07:29:57" u="1"/>
        <d v="2020-12-30T17:59:00" u="1"/>
        <d v="2021-04-27T06:41:53" u="1"/>
        <d v="2022-09-16T08:18:11" u="1"/>
        <d v="2023-05-24T01:33:52" u="1"/>
        <d v="2016-02-26T09:18:54" u="1"/>
        <d v="2016-03-22T08:53:47" u="1"/>
        <d v="2017-03-04T20:14:37" u="1"/>
        <d v="2020-11-04T18:16:38" u="1"/>
        <d v="2020-11-22T08:36:59" u="1"/>
        <d v="2021-12-18T01:20:55" u="1"/>
        <d v="2023-05-27T23:04:34" u="1"/>
        <d v="2015-08-13T01:44:40" u="1"/>
        <d v="2015-09-13T08:33:57" u="1"/>
        <d v="2015-09-25T20:25:06" u="1"/>
        <d v="2016-01-16T03:38:45" u="1"/>
        <d v="2016-10-09T16:07:21" u="1"/>
        <d v="2020-05-26T17:30:08" u="1"/>
        <d v="2021-03-29T23:00:27" u="1"/>
        <d v="2021-12-03T11:15:25" u="1"/>
        <d v="2021-12-28T10:43:55" u="1"/>
        <d v="2022-04-22T05:53:51" u="1"/>
        <d v="2016-03-10T10:00:08" u="1"/>
        <d v="2016-03-28T01:55:22" u="1"/>
        <d v="2017-05-08T02:34:52" u="1"/>
        <d v="2017-05-23T09:02:59" u="1"/>
        <d v="2020-12-02T01:02:05" u="1"/>
        <d v="2021-07-28T08:09:58" u="1"/>
        <d v="2022-01-23T01:22:48" u="1"/>
        <d v="2022-04-02T21:30:43" u="1"/>
        <d v="2022-06-24T15:26:09" u="1"/>
        <d v="2015-07-30T15:01:58" u="1"/>
        <d v="2016-08-25T10:59:40" u="1"/>
        <d v="2017-02-03T09:32:05" u="1"/>
        <d v="2017-03-13T17:47:07" u="1"/>
        <d v="2020-08-28T01:27:35" u="1"/>
        <d v="2020-10-15T03:09:57" u="1"/>
        <d v="2021-03-02T19:53:29" u="1"/>
        <d v="2021-07-18T00:13:49" u="1"/>
        <d v="2022-02-05T03:20:04" u="1"/>
        <d v="2014-04-16T23:04:19" u="1"/>
        <d v="2016-03-04T10:16:06" u="1"/>
        <d v="2016-09-12T11:02:03" u="1"/>
        <d v="2020-08-06T20:24:30" u="1"/>
        <d v="2020-08-08T18:08:28" u="1"/>
        <d v="2020-12-14T09:48:58" u="1"/>
        <d v="2022-04-02T10:09:22" u="1"/>
        <d v="2022-10-26T23:41:15" u="1"/>
        <d v="2014-04-29T09:24:35" u="1"/>
        <d v="2014-05-28T08:16:36" u="1"/>
        <d v="2015-01-20T09:57:38" u="1"/>
        <d v="2015-03-10T01:18:42" u="1"/>
        <d v="2016-03-17T23:43:10" u="1"/>
        <d v="2016-04-19T07:33:43" u="1"/>
        <d v="2016-06-01T11:04:12" u="1"/>
        <d v="2016-06-29T02:19:26" u="1"/>
        <d v="2016-09-30T07:11:37" u="1"/>
        <d v="2021-04-28T06:13:47" u="1"/>
        <d v="2021-06-13T20:12:26" u="1"/>
        <d v="2021-08-14T05:33:54" u="1"/>
        <d v="2021-10-20T10:44:55" u="1"/>
        <d v="2022-11-16T20:57:13" u="1"/>
        <d v="2023-05-23T05:29:50" u="1"/>
        <d v="2014-05-28T23:41:58" u="1"/>
        <d v="2015-03-06T18:28:11" u="1"/>
        <d v="2016-03-03T23:02:33" u="1"/>
        <d v="2016-10-11T23:07:23" u="1"/>
        <d v="2017-01-03T03:43:49" u="1"/>
        <d v="2017-06-10T14:11:07" u="1"/>
        <d v="2021-05-22T08:02:58" u="1"/>
        <d v="2021-06-21T02:36:38" u="1"/>
        <d v="2022-01-03T02:59:53" u="1"/>
        <d v="2022-08-28T01:54:26" u="1"/>
        <d v="2022-11-07T08:10:08" u="1"/>
        <d v="2023-07-15T23:43:24" u="1"/>
        <d v="2016-04-13T14:46:56" u="1"/>
        <d v="2016-12-29T15:15:49" u="1"/>
        <d v="2016-12-31T16:11:50" u="1"/>
        <d v="2017-02-23T07:29:38" u="1"/>
        <d v="2021-08-05T02:18:57" u="1"/>
        <d v="2021-12-09T21:38:21" u="1"/>
        <d v="2022-05-14T20:12:23" u="1"/>
        <d v="2022-06-24T06:09:50" u="1"/>
        <d v="2022-09-03T22:32:33" u="1"/>
        <d v="2022-10-09T01:48:45" u="1"/>
        <d v="2022-11-20T06:47:44" u="1"/>
        <d v="2014-05-25T19:29:52" u="1"/>
        <d v="2015-04-12T09:22:49" u="1"/>
        <d v="2020-05-23T07:13:46" u="1"/>
        <d v="2022-05-18T10:53:51" u="1"/>
        <d v="2022-10-01T22:59:26" u="1"/>
        <d v="2023-06-20T01:36:37" u="1"/>
        <d v="2015-05-12T23:58:01" u="1"/>
        <d v="2016-02-01T02:54:38" u="1"/>
        <d v="2016-02-02T20:21:17" u="1"/>
        <d v="2017-02-07T23:17:21" u="1"/>
        <d v="2017-04-30T09:47:26" u="1"/>
        <d v="2017-07-17T08:40:39" u="1"/>
        <d v="2020-05-24T23:30:06" u="1"/>
        <d v="2021-06-14T06:06:55" u="1"/>
        <d v="2021-10-20T04:04:45" u="1"/>
        <d v="2022-01-28T18:42:58" u="1"/>
        <d v="2014-05-14T02:59:17" u="1"/>
        <d v="2016-07-20T14:44:43" u="1"/>
        <d v="2017-07-12T02:32:32" u="1"/>
        <d v="2020-09-16T19:41:01" u="1"/>
        <d v="2021-02-18T07:22:47" u="1"/>
        <d v="2022-05-17T01:44:32" u="1"/>
        <d v="2023-07-06T18:12:23" u="1"/>
        <d v="2014-04-18T01:43:13" u="1"/>
        <d v="2015-08-31T09:26:22" u="1"/>
        <d v="2016-12-20T06:30:28" u="1"/>
        <d v="2017-07-09T10:41:47" u="1"/>
        <d v="2017-07-10T06:21:43" u="1"/>
        <d v="2020-10-18T01:19:31" u="1"/>
        <d v="2020-12-06T05:36:47" u="1"/>
        <d v="2021-01-31T16:10:53" u="1"/>
        <d v="2021-10-10T01:55:32" u="1"/>
        <d v="2023-07-21T07:36:42" u="1"/>
        <d v="2014-06-02T11:03:58" u="1"/>
        <d v="2016-10-18T10:04:43" u="1"/>
        <d v="2017-04-08T03:37:33" u="1"/>
        <d v="2020-04-25T05:20:30" u="1"/>
        <d v="2020-07-31T20:32:51" u="1"/>
        <d v="2022-03-18T08:14:49" u="1"/>
        <d v="2022-12-05T04:40:47" u="1"/>
        <d v="2023-07-17T05:40:39" u="1"/>
        <d v="2014-05-19T16:52:36" u="1"/>
        <d v="2014-07-09T13:33:45" u="1"/>
        <d v="2016-04-20T01:04:21" u="1"/>
        <d v="2016-08-11T02:12:30" u="1"/>
        <d v="2016-10-07T06:28:38" u="1"/>
        <d v="2020-04-27T06:12:30" u="1"/>
        <d v="2021-04-03T06:19:55" u="1"/>
        <d v="2021-04-23T00:39:17" u="1"/>
        <d v="2021-10-29T05:18:26" u="1"/>
        <d v="2023-04-19T00:01:35" u="1"/>
        <d v="2023-04-20T05:48:32" u="1"/>
        <d v="2023-07-20T14:29:55" u="1"/>
        <d v="2014-06-01T01:52:22" u="1"/>
        <d v="2015-06-28T10:46:16" u="1"/>
        <d v="2016-10-02T06:44:37" u="1"/>
        <d v="2017-01-03T01:34:31" u="1"/>
        <d v="2017-02-03T22:09:15" u="1"/>
        <d v="2020-07-01T22:20:20" u="1"/>
        <d v="2020-11-11T00:54:21" u="1"/>
        <d v="2021-05-10T19:23:06" u="1"/>
        <d v="2022-01-09T05:15:48" u="1"/>
        <d v="2022-06-30T17:01:54" u="1"/>
        <d v="2014-07-17T02:42:08" u="1"/>
        <d v="2016-05-26T03:03:15" u="1"/>
        <d v="2016-09-29T19:54:31" u="1"/>
        <d v="2016-10-14T18:40:48" u="1"/>
        <d v="2016-12-06T15:44:49" u="1"/>
        <d v="2020-02-10T04:18:38" u="1"/>
        <d v="2020-03-04T19:24:08" u="1"/>
        <d v="2020-04-20T11:21:41" u="1"/>
        <d v="2021-02-06T15:51:58" u="1"/>
        <d v="2021-05-13T01:36:26" u="1"/>
        <d v="2021-11-07T18:41:00" u="1"/>
        <d v="2016-03-22T21:10:52" u="1"/>
        <d v="2020-02-20T17:57:42" u="1"/>
        <d v="2020-10-26T17:00:50" u="1"/>
        <d v="2021-07-11T06:13:42" u="1"/>
        <d v="2021-10-13T01:23:27" u="1"/>
        <d v="2022-03-23T05:28:26" u="1"/>
        <d v="2014-04-24T23:21:45" u="1"/>
        <d v="2014-07-12T04:00:24" u="1"/>
        <d v="2015-01-07T02:33:19" u="1"/>
        <d v="2016-04-10T13:45:37" u="1"/>
        <d v="2016-09-16T03:03:21" u="1"/>
        <d v="2020-09-19T22:52:52" u="1"/>
        <d v="2021-03-31T22:56:41" u="1"/>
        <d v="2021-07-09T14:49:49" u="1"/>
        <d v="2021-09-13T00:23:23" u="1"/>
        <d v="2021-12-26T04:25:17" u="1"/>
        <d v="2023-05-29T13:51:30" u="1"/>
        <d v="2015-04-14T15:29:37" u="1"/>
        <d v="2015-06-27T11:38:13" u="1"/>
        <d v="2015-10-04T10:32:36" u="1"/>
        <d v="2015-10-26T08:29:10" u="1"/>
        <d v="2016-11-03T01:27:22" u="1"/>
        <d v="2020-04-02T03:18:38" u="1"/>
        <d v="2020-09-01T18:03:08" u="1"/>
        <d v="2020-10-09T16:56:47" u="1"/>
        <d v="2021-08-12T10:40:38" u="1"/>
        <d v="2023-06-05T23:12:18" u="1"/>
        <d v="2016-05-31T09:22:09" u="1"/>
        <d v="2015-02-19T14:44:22" u="1"/>
        <d v="2015-09-20T16:23:30" u="1"/>
        <d v="2015-12-08T22:40:50" u="1"/>
        <d v="2016-04-05T02:40:15" u="1"/>
        <d v="2016-05-22T11:31:18" u="1"/>
        <d v="2016-10-01T11:13:44" u="1"/>
        <d v="2016-12-30T20:10:33" u="1"/>
        <d v="2017-04-03T02:52:16" u="1"/>
        <d v="2017-04-11T06:05:28" u="1"/>
        <d v="2020-09-22T23:01:58" u="1"/>
        <d v="2021-02-08T15:23:53" u="1"/>
        <d v="2021-05-16T16:02:52" u="1"/>
        <d v="2021-08-10T13:52:39" u="1"/>
        <d v="2022-03-11T06:33:31" u="1"/>
        <d v="2022-10-21T13:27:36" u="1"/>
        <d v="2023-03-10T01:52:19" u="1"/>
        <d v="2023-04-15T06:13:34" u="1"/>
        <d v="2023-07-04T13:30:55" u="1"/>
        <d v="2015-06-20T02:18:01" u="1"/>
        <d v="2016-04-05T06:21:26" u="1"/>
        <d v="2016-07-21T18:43:28" u="1"/>
        <d v="2020-04-29T08:42:08" u="1"/>
        <d v="2020-11-28T00:59:53" u="1"/>
        <d v="2020-12-22T01:40:01" u="1"/>
        <d v="2021-04-11T08:56:25" u="1"/>
        <d v="2021-11-25T02:13:09" u="1"/>
        <d v="2014-07-08T23:10:54" u="1"/>
        <d v="2014-07-13T15:51:22" u="1"/>
        <d v="2016-01-03T06:18:27" u="1"/>
        <d v="2016-05-08T20:22:49" u="1"/>
        <d v="2016-05-14T14:05:35" u="1"/>
        <d v="2016-08-14T00:18:03" u="1"/>
        <d v="2020-10-15T08:15:27" u="1"/>
        <d v="2021-11-04T02:31:24" u="1"/>
        <d v="2021-11-13T21:40:51" u="1"/>
        <d v="2022-09-01T06:17:41" u="1"/>
        <d v="2016-06-23T20:12:34" u="1"/>
        <d v="2017-01-05T12:34:33" u="1"/>
        <d v="2017-04-09T17:14:44" u="1"/>
        <d v="2017-04-21T01:34:59" u="1"/>
        <d v="2020-04-23T10:04:24" u="1"/>
        <d v="2020-11-26T03:01:07" u="1"/>
        <d v="2022-02-27T15:01:35" u="1"/>
        <d v="2023-07-12T11:09:42" u="1"/>
        <d v="2014-04-08T21:18:44" u="1"/>
        <d v="2015-03-13T06:12:12" u="1"/>
        <d v="2016-02-03T12:26:33" u="1"/>
        <d v="2016-04-09T11:13:28" u="1"/>
        <d v="2016-10-01T18:56:39" u="1"/>
        <d v="2016-12-05T19:59:36" u="1"/>
        <d v="2020-05-26T02:49:56" u="1"/>
        <d v="2021-01-19T23:03:55" u="1"/>
        <d v="2021-02-28T12:39:14" u="1"/>
        <d v="2021-05-14T00:23:08" u="1"/>
        <d v="2022-08-09T17:29:48" u="1"/>
        <d v="2017-03-04T09:02:32" u="1"/>
        <d v="2017-03-05T18:03:49" u="1"/>
        <d v="2017-06-03T10:17:31" u="1"/>
        <d v="2017-06-25T21:04:34" u="1"/>
        <d v="2020-11-10T14:39:32" u="1"/>
        <d v="2020-11-12T16:08:42" u="1"/>
        <d v="2022-11-12T08:46:20" u="1"/>
        <d v="2023-06-26T14:58:17" u="1"/>
        <d v="2016-07-18T06:18:03" u="1"/>
        <d v="2017-05-06T09:36:19" u="1"/>
        <d v="2017-06-22T19:04:31" u="1"/>
        <d v="2021-07-26T09:49:03" u="1"/>
        <d v="2021-11-27T10:17:12" u="1"/>
        <d v="2022-12-06T16:59:37" u="1"/>
        <d v="2015-04-24T04:41:48" u="1"/>
        <d v="2016-06-30T03:01:52" u="1"/>
        <d v="2016-07-16T13:19:17" u="1"/>
        <d v="2017-06-05T04:39:07" u="1"/>
        <d v="2017-06-27T06:29:56" u="1"/>
        <d v="2021-05-27T12:38:09" u="1"/>
        <d v="2021-09-14T08:11:21" u="1"/>
        <d v="2022-01-23T02:58:55" u="1"/>
        <d v="2023-07-20T21:01:48" u="1"/>
        <d v="2017-03-22T08:07:04" u="1"/>
        <d v="2017-04-22T20:16:26" u="1"/>
        <d v="2021-04-04T16:26:42" u="1"/>
        <d v="2021-07-21T10:03:18" u="1"/>
        <d v="2021-08-05T19:33:45" u="1"/>
        <d v="2022-01-21T20:02:41" u="1"/>
        <d v="2022-04-10T05:24:16" u="1"/>
        <d v="2022-04-26T04:57:54" u="1"/>
        <d v="2022-06-14T00:03:07" u="1"/>
        <d v="2022-08-02T16:06:51" u="1"/>
        <d v="2023-06-07T00:35:08" u="1"/>
        <d v="2023-06-12T06:08:22" u="1"/>
        <d v="2014-04-10T19:44:21" u="1"/>
        <d v="2014-06-03T22:06:44" u="1"/>
        <d v="2016-05-04T02:31:00" u="1"/>
        <d v="2016-07-13T23:01:41" u="1"/>
        <d v="2016-09-16T10:45:00" u="1"/>
        <d v="2016-09-27T14:56:59" u="1"/>
        <d v="2017-02-10T10:05:19" u="1"/>
        <d v="2017-06-10T09:31:10" u="1"/>
        <d v="2020-03-06T15:45:29" u="1"/>
        <d v="2020-05-23T03:45:52" u="1"/>
        <d v="2020-05-26T06:45:55" u="1"/>
        <d v="2021-02-26T06:42:58" u="1"/>
        <d v="2022-02-14T16:02:38" u="1"/>
        <d v="2023-07-01T10:25:35" u="1"/>
        <d v="2014-04-09T16:01:25" u="1"/>
        <d v="2015-05-19T22:43:18" u="1"/>
        <d v="2016-03-18T08:11:01" u="1"/>
        <d v="2016-05-21T23:43:20" u="1"/>
        <d v="2017-04-28T08:06:59" u="1"/>
        <d v="2017-07-07T11:08:21" u="1"/>
        <d v="2020-12-01T07:50:14" u="1"/>
        <d v="2022-11-22T11:29:10" u="1"/>
        <d v="2014-06-06T13:43:09" u="1"/>
        <d v="2016-03-20T14:23:06" u="1"/>
        <d v="2016-10-10T06:45:59" u="1"/>
        <d v="2016-12-07T22:35:32" u="1"/>
        <d v="2020-05-29T17:30:09" u="1"/>
        <d v="2021-09-22T08:25:01" u="1"/>
        <d v="2014-05-26T03:28:35" u="1"/>
        <d v="2016-12-13T07:48:55" u="1"/>
        <d v="2020-03-02T02:28:05" u="1"/>
        <d v="2020-03-30T23:31:18" u="1"/>
        <d v="2020-04-07T12:09:25" u="1"/>
        <d v="2020-10-12T06:10:07" u="1"/>
        <d v="2020-10-13T08:45:01" u="1"/>
        <d v="2022-08-21T15:03:22" u="1"/>
        <d v="2022-09-26T16:10:17" u="1"/>
        <d v="2023-01-27T01:53:42" u="1"/>
        <d v="2023-07-16T08:07:14" u="1"/>
        <d v="2015-10-06T23:16:34" u="1"/>
        <d v="2015-11-10T20:42:17" u="1"/>
        <d v="2016-10-14T02:05:53" u="1"/>
        <d v="2017-04-07T23:06:40" u="1"/>
        <d v="2020-03-31T22:50:08" u="1"/>
        <d v="2021-01-15T17:21:24" u="1"/>
        <d v="2021-09-29T13:09:04" u="1"/>
        <d v="2021-10-16T08:02:09" u="1"/>
        <d v="2022-03-11T15:17:27" u="1"/>
        <d v="2022-05-08T10:55:10" u="1"/>
        <d v="2022-08-26T01:24:46" u="1"/>
        <d v="2022-11-07T17:39:29" u="1"/>
        <d v="2014-07-17T14:14:01" u="1"/>
        <d v="2016-02-27T13:26:55" u="1"/>
        <d v="2016-05-26T15:06:00" u="1"/>
        <d v="2016-07-16T21:23:18" u="1"/>
        <d v="2017-04-04T06:08:06" u="1"/>
        <d v="2017-06-09T02:57:45" u="1"/>
        <d v="2021-04-16T13:04:17" u="1"/>
        <d v="2021-08-13T15:23:19" u="1"/>
        <d v="2022-01-01T23:39:46" u="1"/>
        <d v="2022-01-08T10:21:17" u="1"/>
        <d v="2022-04-06T20:45:33" u="1"/>
        <d v="2022-06-21T10:22:03" u="1"/>
        <d v="2022-07-20T01:21:51" u="1"/>
        <d v="2022-09-19T22:54:21" u="1"/>
        <d v="2015-12-07T22:46:19" u="1"/>
        <d v="2016-01-28T05:56:28" u="1"/>
        <d v="2016-07-14T19:19:15" u="1"/>
        <d v="2020-02-23T10:42:55" u="1"/>
        <d v="2021-09-23T06:05:58" u="1"/>
        <d v="2022-06-15T13:54:05" u="1"/>
        <d v="2023-07-31T20:14:15" u="1"/>
        <d v="2014-07-20T18:49:58" u="1"/>
        <d v="2016-05-18T10:49:48" u="1"/>
        <d v="2016-05-29T14:52:44" u="1"/>
        <d v="2017-02-03T09:32:03" u="1"/>
        <d v="2017-06-20T19:34:05" u="1"/>
        <d v="2020-10-13T11:41:00" u="1"/>
        <d v="2021-08-03T16:28:26" u="1"/>
        <d v="2022-03-04T12:21:21" u="1"/>
        <d v="2022-03-13T22:56:23" u="1"/>
        <d v="2023-06-14T20:24:28" u="1"/>
        <d v="2014-06-13T03:52:32" u="1"/>
        <d v="2015-02-10T13:08:04" u="1"/>
        <d v="2015-08-05T02:06:52" u="1"/>
        <d v="2017-04-20T22:58:03" u="1"/>
        <d v="2017-05-17T22:00:21" u="1"/>
        <d v="2020-02-07T12:05:16" u="1"/>
        <d v="2020-05-07T18:36:20" u="1"/>
        <d v="2020-05-09T01:30:50" u="1"/>
        <d v="2020-05-23T00:32:33" u="1"/>
        <d v="2020-06-26T01:16:36" u="1"/>
        <d v="2020-11-29T08:23:45" u="1"/>
        <d v="2021-03-01T20:26:35" u="1"/>
        <d v="2014-04-05T15:43:00" u="1"/>
        <d v="2016-02-19T20:31:03" u="1"/>
        <d v="2016-05-23T20:22:01" u="1"/>
        <d v="2016-12-06T01:59:35" u="1"/>
        <d v="2017-02-11T16:20:08" u="1"/>
        <d v="2021-05-20T22:31:16" u="1"/>
        <d v="2021-06-29T07:59:34" u="1"/>
        <d v="2022-05-03T16:17:27" u="1"/>
        <d v="2023-06-29T02:47:31" u="1"/>
        <d v="2015-06-20T14:33:50" u="1"/>
        <d v="2016-08-23T10:24:43" u="1"/>
        <d v="2016-12-05T17:22:11" u="1"/>
        <d v="2017-02-05T05:35:51" u="1"/>
        <d v="2017-05-21T23:11:12" u="1"/>
        <d v="2020-07-03T16:20:20" u="1"/>
        <d v="2020-07-23T13:29:56" u="1"/>
        <d v="2020-10-01T15:31:17" u="1"/>
        <d v="2021-08-26T15:52:53" u="1"/>
        <d v="2021-11-14T04:32:48" u="1"/>
        <d v="2021-12-09T22:15:29" u="1"/>
        <d v="2022-06-08T13:35:09" u="1"/>
        <d v="2022-11-04T18:31:24" u="1"/>
        <d v="2022-12-03T06:10:06" u="1"/>
        <d v="2023-06-24T08:56:44" u="1"/>
        <d v="2016-04-02T20:44:13" u="1"/>
        <d v="2020-04-20T01:44:29" u="1"/>
        <d v="2020-07-02T22:44:25" u="1"/>
        <d v="2020-07-06T02:49:44" u="1"/>
        <d v="2020-07-24T02:39:28" u="1"/>
        <d v="2021-03-02T10:32:06" u="1"/>
        <d v="2021-03-12T01:57:36" u="1"/>
        <d v="2021-06-09T16:04:18" u="1"/>
        <d v="2015-02-22T10:02:44" u="1"/>
        <d v="2016-09-25T21:44:54" u="1"/>
        <d v="2017-05-07T18:39:05" u="1"/>
        <d v="2017-05-12T15:07:02" u="1"/>
        <d v="2020-06-16T17:03:09" u="1"/>
        <d v="2020-10-24T10:43:41" u="1"/>
        <d v="2021-04-22T04:17:40" u="1"/>
        <d v="2021-04-29T08:36:36" u="1"/>
        <d v="2021-09-07T10:22:01" u="1"/>
        <d v="2021-11-13T10:52:52" u="1"/>
        <d v="2022-01-15T03:38:42" u="1"/>
        <d v="2022-02-08T23:06:33" u="1"/>
        <d v="2023-04-26T08:25:46" u="1"/>
        <d v="2023-06-24T10:56:44" u="1"/>
        <d v="2017-04-07T05:30:44" u="1"/>
        <d v="2020-02-16T02:10:40" u="1"/>
        <d v="2021-08-19T13:29:56" u="1"/>
        <d v="2022-10-19T15:17:00" u="1"/>
        <d v="2022-11-26T13:12:55" u="1"/>
        <d v="2016-01-15T21:08:05" u="1"/>
        <d v="2017-02-16T18:58:52" u="1"/>
        <d v="2017-06-07T15:11:02" u="1"/>
        <d v="2020-05-09T04:49:39" u="1"/>
        <d v="2020-05-16T03:17:38" u="1"/>
        <d v="2020-11-28T19:47:50" u="1"/>
        <d v="2021-02-10T03:07:49" u="1"/>
        <d v="2021-04-09T23:05:26" u="1"/>
        <d v="2021-07-03T17:43:10" u="1"/>
        <d v="2022-02-11T20:36:12" u="1"/>
        <d v="2022-08-16T09:56:44" u="1"/>
        <d v="2014-04-20T23:30:57" u="1"/>
        <d v="2015-10-06T20:22:04" u="1"/>
        <d v="2016-02-27T07:24:23" u="1"/>
        <d v="2016-08-20T09:43:29" u="1"/>
        <d v="2016-10-10T13:52:45" u="1"/>
        <d v="2017-07-03T16:58:59" u="1"/>
        <d v="2020-07-03T08:38:54" u="1"/>
        <d v="2022-01-08T21:25:18" u="1"/>
        <d v="2023-07-06T17:04:19" u="1"/>
        <d v="2014-07-02T21:27:05" u="1"/>
        <d v="2014-07-10T09:48:32" u="1"/>
        <d v="2017-01-05T01:34:31" u="1"/>
        <d v="2020-02-29T04:16:23" u="1"/>
        <d v="2020-03-19T11:45:40" u="1"/>
        <d v="2020-07-13T19:30:01" u="1"/>
        <d v="2020-11-02T11:10:01" u="1"/>
        <d v="2021-09-11T05:09:47" u="1"/>
        <d v="2022-02-03T14:36:04" u="1"/>
        <d v="2022-05-30T14:05:49" u="1"/>
        <d v="2022-11-10T02:51:33" u="1"/>
        <d v="2016-03-17T14:45:38" u="1"/>
        <d v="2016-08-11T07:32:33" u="1"/>
        <d v="2017-02-16T11:18:42" u="1"/>
        <d v="2017-03-09T14:50:47" u="1"/>
        <d v="2017-04-23T15:21:42" u="1"/>
        <d v="2020-04-23T03:47:17" u="1"/>
        <d v="2020-07-03T04:14:48" u="1"/>
        <d v="2020-10-15T00:19:26" u="1"/>
        <d v="2020-12-25T08:57:22" u="1"/>
        <d v="2022-10-10T20:26:09" u="1"/>
        <d v="2023-03-30T20:45:51" u="1"/>
        <d v="2023-08-01T16:04:18" u="1"/>
        <d v="2014-05-31T18:39:27" u="1"/>
        <d v="2017-03-26T20:33:44" u="1"/>
        <d v="2017-04-19T23:34:57" u="1"/>
        <d v="2020-12-31T06:21:19" u="1"/>
        <d v="2021-04-04T23:09:22" u="1"/>
        <d v="2022-06-17T07:44:34" u="1"/>
        <d v="2022-09-28T16:43:41" u="1"/>
        <d v="2023-04-12T02:02:42" u="1"/>
        <d v="2014-05-24T07:19:15" u="1"/>
        <d v="2016-01-22T20:57:38" u="1"/>
        <d v="2016-03-30T03:03:09" u="1"/>
        <d v="2017-04-24T22:37:47" u="1"/>
        <d v="2021-02-11T05:22:38" u="1"/>
        <d v="2021-08-17T18:33:55" u="1"/>
        <d v="2021-10-29T19:35:44" u="1"/>
        <d v="2022-02-28T07:28:25" u="1"/>
        <d v="2022-07-25T10:43:30" u="1"/>
        <d v="2014-04-30T20:20:33" u="1"/>
        <d v="2015-01-12T15:07:47" u="1"/>
        <d v="2015-03-01T03:18:31" u="1"/>
        <d v="2015-08-28T16:15:30" u="1"/>
        <d v="2016-03-30T08:19:13" u="1"/>
        <d v="2016-05-27T20:01:45" u="1"/>
        <d v="2016-09-20T01:45:02" u="1"/>
        <d v="2016-10-10T20:29:55" u="1"/>
        <d v="2020-07-09T04:40:29" u="1"/>
        <d v="2020-07-12T10:21:43" u="1"/>
        <d v="2021-12-27T18:50:38" u="1"/>
        <d v="2022-05-13T03:13:34" u="1"/>
        <d v="2022-11-16T17:40:52" u="1"/>
        <d v="2023-06-03T22:55:09" u="1"/>
        <d v="2014-03-29T20:59:22" u="1"/>
        <d v="2014-05-20T14:55:20" u="1"/>
        <d v="2015-06-05T13:14:46" u="1"/>
        <d v="2016-02-14T21:46:47" u="1"/>
        <d v="2016-03-23T16:13:36" u="1"/>
        <d v="2016-04-21T06:04:20" u="1"/>
        <d v="2017-01-16T21:50:46" u="1"/>
        <d v="2017-01-23T08:32:17" u="1"/>
        <d v="2020-08-23T16:20:42" u="1"/>
        <d v="2020-12-03T10:44:44" u="1"/>
        <d v="2021-06-30T06:03:21" u="1"/>
        <d v="2021-09-03T03:44:32" u="1"/>
        <d v="2022-08-08T23:15:12" u="1"/>
        <d v="2014-05-12T03:08:16" u="1"/>
        <d v="2014-06-02T15:57:38" u="1"/>
        <d v="2014-06-20T03:30:02" u="1"/>
        <d v="2016-03-05T03:29:22" u="1"/>
        <d v="2017-03-11T20:15:56" u="1"/>
        <d v="2020-03-14T23:58:54" u="1"/>
        <d v="2020-05-28T14:43:25" u="1"/>
        <d v="2020-10-22T06:26:19" u="1"/>
        <d v="2020-12-07T11:28:44" u="1"/>
        <d v="2021-01-02T04:19:40" u="1"/>
        <d v="2022-03-06T12:54:45" u="1"/>
        <d v="2014-03-22T01:42:56" u="1"/>
        <d v="2014-05-08T23:07:59" u="1"/>
        <d v="2016-06-14T20:02:52" u="1"/>
        <d v="2016-11-04T19:29:53" u="1"/>
        <d v="2016-12-08T16:24:44" u="1"/>
        <d v="2020-11-12T20:48:50" u="1"/>
        <d v="2021-02-16T20:46:49" u="1"/>
        <d v="2023-05-23T00:15:13" u="1"/>
        <d v="2014-04-30T16:50:09" u="1"/>
        <d v="2016-01-13T03:36:08" u="1"/>
        <d v="2016-04-21T08:31:11" u="1"/>
        <d v="2016-08-01T08:17:35" u="1"/>
        <d v="2017-07-17T23:25:49" u="1"/>
        <d v="2021-05-03T06:45:32" u="1"/>
        <d v="2021-06-07T23:19:04" u="1"/>
        <d v="2022-08-24T14:35:31" u="1"/>
        <d v="2023-05-27T16:28:36" u="1"/>
        <d v="2023-07-26T01:49:01" u="1"/>
        <d v="2016-04-23T14:43:16" u="1"/>
        <d v="2016-05-29T10:26:06" u="1"/>
        <d v="2016-10-28T21:34:27" u="1"/>
        <d v="2021-12-22T08:41:15" u="1"/>
        <d v="2022-12-17T09:38:25" u="1"/>
        <d v="2023-06-01T20:04:10" u="1"/>
        <d v="2015-08-30T19:26:19" u="1"/>
        <d v="2015-10-12T16:08:36" u="1"/>
        <d v="2016-02-17T08:55:05" u="1"/>
        <d v="2016-08-21T13:11:22" u="1"/>
        <d v="2020-07-02T19:42:54" u="1"/>
        <d v="2020-08-24T14:50:19" u="1"/>
        <d v="2021-07-02T20:11:01" u="1"/>
        <d v="2014-05-12T22:33:38" u="1"/>
        <d v="2015-03-15T08:47:05" u="1"/>
        <d v="2016-03-05T17:03:47" u="1"/>
        <d v="2016-05-15T01:46:58" u="1"/>
        <d v="2017-07-02T20:30:51" u="1"/>
        <d v="2020-05-14T18:02:48" u="1"/>
        <d v="2021-05-21T03:11:10" u="1"/>
        <d v="2021-07-13T20:33:47" u="1"/>
        <d v="2021-08-07T22:57:51" u="1"/>
        <d v="2021-10-22T23:47:40" u="1"/>
        <d v="2021-11-23T23:35:42" u="1"/>
        <d v="2023-04-06T16:15:55" u="1"/>
        <d v="2023-05-15T22:57:47" u="1"/>
        <d v="2015-06-29T14:18:08" u="1"/>
        <d v="2016-01-10T05:09:14" u="1"/>
        <d v="2016-04-14T22:06:45" u="1"/>
        <d v="2020-02-17T02:08:09" u="1"/>
        <d v="2020-02-21T15:44:22" u="1"/>
        <d v="2021-05-25T09:46:07" u="1"/>
        <d v="2021-06-03T06:21:30" u="1"/>
        <d v="2021-06-27T19:39:27" u="1"/>
        <d v="2022-03-07T16:42:43" u="1"/>
        <d v="2023-06-05T08:29:34" u="1"/>
        <d v="2014-04-11T05:31:01" u="1"/>
        <d v="2015-08-09T12:39:17" u="1"/>
        <d v="2016-10-19T20:19:30" u="1"/>
        <d v="2017-03-23T13:35:10" u="1"/>
        <d v="2017-07-17T02:53:54" u="1"/>
        <d v="2020-04-15T09:24:19" u="1"/>
        <d v="2020-05-05T16:22:44" u="1"/>
        <d v="2020-11-05T17:09:49" u="1"/>
        <d v="2021-03-01T21:47:54" u="1"/>
        <d v="2021-06-05T13:37:36" u="1"/>
        <d v="2021-06-25T13:19:20" u="1"/>
        <d v="2021-06-29T04:37:58" u="1"/>
        <d v="2021-08-22T10:34:13" u="1"/>
        <d v="2021-08-30T20:42:23" u="1"/>
        <d v="2021-10-05T20:33:51" u="1"/>
        <d v="2022-05-31T12:34:10" u="1"/>
        <d v="2016-09-29T01:39:39" u="1"/>
        <d v="2020-03-29T18:39:17" u="1"/>
        <d v="2020-11-09T10:54:17" u="1"/>
        <d v="2021-01-16T23:38:43" u="1"/>
        <d v="2021-04-27T10:11:12" u="1"/>
        <d v="2021-07-09T17:25:41" u="1"/>
        <d v="2021-11-05T08:04:32" u="1"/>
        <d v="2021-11-22T02:05:02" u="1"/>
        <d v="2021-11-28T16:37:16" u="1"/>
        <d v="2022-10-21T05:02:12" u="1"/>
        <d v="2016-01-12T15:29:21" u="1"/>
        <d v="2016-06-08T02:15:02" u="1"/>
        <d v="2016-07-24T22:54:16" u="1"/>
        <d v="2017-02-14T20:06:37" u="1"/>
        <d v="2017-03-21T22:09:33" u="1"/>
        <d v="2020-08-08T01:11:09" u="1"/>
        <d v="2020-10-29T01:43:44" u="1"/>
        <d v="2021-05-09T18:10:45" u="1"/>
        <d v="2021-12-11T05:49:06" u="1"/>
        <d v="2022-02-26T21:13:35" u="1"/>
        <d v="2022-09-17T22:28:42" u="1"/>
        <d v="2022-10-29T12:56:02" u="1"/>
        <d v="2014-04-13T02:07:58" u="1"/>
        <d v="2014-06-18T13:38:02" u="1"/>
        <d v="2015-06-07T01:46:54" u="1"/>
        <d v="2016-11-26T02:31:42" u="1"/>
        <d v="2017-04-01T16:22:36" u="1"/>
        <d v="2021-09-25T17:30:19" u="1"/>
        <d v="2022-08-29T04:44:52" u="1"/>
        <d v="2017-07-07T14:24:23" u="1"/>
        <d v="2020-12-27T13:36:03" u="1"/>
        <d v="2021-04-22T08:11:07" u="1"/>
        <d v="2021-05-28T13:30:06" u="1"/>
        <d v="2021-09-21T13:26:14" u="1"/>
        <d v="2021-11-30T03:35:47" u="1"/>
        <d v="2022-03-16T21:37:35" u="1"/>
        <d v="2022-11-15T20:35:34" u="1"/>
        <d v="2023-08-03T01:35:10" u="1"/>
        <d v="2016-03-08T20:06:35" u="1"/>
        <d v="2016-07-02T18:52:25" u="1"/>
        <d v="2016-08-08T15:39:16" u="1"/>
        <d v="2017-05-15T13:31:09" u="1"/>
        <d v="2017-07-12T02:22:57" u="1"/>
        <d v="2020-11-11T16:54:19" u="1"/>
        <d v="2021-10-17T23:08:41" u="1"/>
        <d v="2022-02-01T23:47:50" u="1"/>
        <d v="2023-05-17T21:17:39" u="1"/>
        <d v="2014-06-01T17:17:27" u="1"/>
        <d v="2016-05-07T08:35:02" u="1"/>
        <d v="2016-12-30T11:00:58" u="1"/>
        <d v="2020-04-03T22:38:42" u="1"/>
        <d v="2020-07-18T21:12:31" u="1"/>
        <d v="2022-08-04T14:09:36" u="1"/>
        <d v="2015-04-22T21:58:03" u="1"/>
        <d v="2016-02-23T16:23:03" u="1"/>
        <d v="2016-05-12T01:53:41" u="1"/>
        <d v="2017-05-08T18:40:20" u="1"/>
        <d v="2020-05-06T20:06:41" u="1"/>
        <d v="2021-05-05T17:02:39" u="1"/>
        <d v="2021-07-22T23:35:25" u="1"/>
        <d v="2022-05-05T02:08:09" u="1"/>
        <d v="2022-10-22T01:28:49" u="1"/>
        <d v="2016-08-14T21:58:11" u="1"/>
        <d v="2016-08-21T16:10:06" u="1"/>
        <d v="2016-08-29T02:23:31" u="1"/>
        <d v="2016-08-30T20:21:02" u="1"/>
        <d v="2021-09-30T14:09:03" u="1"/>
        <d v="2022-02-11T02:04:02" u="1"/>
        <d v="2023-06-15T01:57:49" u="1"/>
        <d v="2014-06-08T13:23:04" u="1"/>
        <d v="2014-06-17T10:14:56" u="1"/>
        <d v="2015-10-21T15:52:54" u="1"/>
        <d v="2017-03-04T04:08:00" u="1"/>
        <d v="2017-04-13T00:18:45" u="1"/>
        <d v="2017-07-02T19:44:23" u="1"/>
        <d v="2020-03-14T20:13:27" u="1"/>
        <d v="2020-09-30T01:50:27" u="1"/>
        <d v="2021-02-05T23:42:37" u="1"/>
        <d v="2021-05-26T18:38:06" u="1"/>
        <d v="2021-05-27T14:57:57" u="1"/>
        <d v="2021-11-20T15:02:15" u="1"/>
        <d v="2022-05-27T13:18:02" u="1"/>
        <d v="2016-02-29T07:52:30" u="1"/>
        <d v="2016-04-05T15:01:19" u="1"/>
        <d v="2017-05-28T11:52:41" u="1"/>
        <d v="2020-03-27T17:07:07" u="1"/>
        <d v="2020-07-02T16:09:30" u="1"/>
        <d v="2015-03-22T02:44:25" u="1"/>
        <d v="2016-01-30T06:48:26" u="1"/>
        <d v="2016-03-24T15:30:55" u="1"/>
        <d v="2016-05-23T23:42:04" u="1"/>
        <d v="2021-01-26T23:20:17" u="1"/>
        <d v="2021-07-11T17:39:15" u="1"/>
        <d v="2021-10-01T15:16:27" u="1"/>
        <d v="2022-07-05T23:29:38" u="1"/>
        <d v="2023-03-13T15:01:23" u="1"/>
        <d v="2014-07-03T04:26:49" u="1"/>
        <d v="2015-03-25T19:34:57" u="1"/>
        <d v="2015-11-23T12:43:42" u="1"/>
        <d v="2016-11-18T01:54:24" u="1"/>
        <d v="2016-12-29T16:31:49" u="1"/>
        <d v="2017-06-15T23:04:22" u="1"/>
        <d v="2014-07-11T17:03:06" u="1"/>
        <d v="2015-05-14T06:37:39" u="1"/>
        <d v="2015-08-06T16:15:08" u="1"/>
        <d v="2017-01-09T18:44:06" u="1"/>
        <d v="2020-02-27T01:40:25" u="1"/>
        <d v="2020-07-09T14:54:01" u="1"/>
        <d v="2020-12-13T04:28:48" u="1"/>
        <d v="2021-06-01T17:17:27" u="1"/>
        <d v="2021-06-26T05:01:46" u="1"/>
        <d v="2021-12-10T22:46:20" u="1"/>
        <d v="2014-06-30T04:11:21" u="1"/>
        <d v="2015-06-22T20:49:54" u="1"/>
        <d v="2016-03-03T23:02:29" u="1"/>
        <d v="2016-12-28T12:42:35" u="1"/>
        <d v="2020-10-13T20:03:20" u="1"/>
        <d v="2020-10-28T02:34:25" u="1"/>
        <d v="2021-03-19T15:19:02" u="1"/>
        <d v="2021-08-09T07:26:59" u="1"/>
        <d v="2022-12-17T12:48:57" u="1"/>
        <d v="2023-06-25T20:30:07" u="1"/>
        <d v="2016-08-18T05:51:27" u="1"/>
        <d v="2017-03-17T08:18:45" u="1"/>
        <d v="2020-02-08T01:46:39" u="1"/>
        <d v="2020-02-15T06:07:52" u="1"/>
        <d v="2020-06-14T19:23:10" u="1"/>
        <d v="2021-02-28T11:10:50" u="1"/>
        <d v="2022-02-01T03:28:59" u="1"/>
        <d v="2023-07-22T10:29:53" u="1"/>
        <d v="2015-08-23T18:44:46" u="1"/>
        <d v="2016-01-04T11:28:58" u="1"/>
        <d v="2016-03-21T03:05:30" u="1"/>
        <d v="2016-11-12T10:36:45" u="1"/>
        <d v="2020-06-04T15:12:13" u="1"/>
        <d v="2020-09-21T20:02:08" u="1"/>
        <d v="2021-03-13T06:38:46" u="1"/>
        <d v="2021-06-04T22:13:29" u="1"/>
        <d v="2021-12-27T19:55:53" u="1"/>
        <d v="2022-09-29T11:43:40" u="1"/>
        <d v="2023-07-19T06:21:48" u="1"/>
        <d v="2014-04-07T04:14:38" u="1"/>
        <d v="2015-05-19T02:16:23" u="1"/>
        <d v="2016-01-08T08:58:38" u="1"/>
        <d v="2016-08-15T18:45:54" u="1"/>
        <d v="2020-02-01T07:28:59" u="1"/>
        <d v="2020-02-28T09:52:29" u="1"/>
        <d v="2020-03-11T19:20:10" u="1"/>
        <d v="2020-04-05T08:31:56" u="1"/>
        <d v="2020-11-02T20:58:11" u="1"/>
        <d v="2023-07-14T00:13:41" u="1"/>
        <d v="2014-03-31T05:19:12" u="1"/>
        <d v="2015-01-16T17:54:45" u="1"/>
        <d v="2016-04-21T02:16:21" u="1"/>
        <d v="2016-05-13T05:21:34" u="1"/>
        <d v="2016-09-08T23:42:05" u="1"/>
        <d v="2016-11-27T22:16:55" u="1"/>
        <d v="2016-12-04T23:03:19" u="1"/>
        <d v="2016-12-13T13:28:48" u="1"/>
        <d v="2016-12-19T22:40:57" u="1"/>
        <d v="2017-05-03T17:12:08" u="1"/>
        <d v="2017-06-28T18:40:42" u="1"/>
        <d v="2020-03-11T23:01:21" u="1"/>
        <d v="2020-03-20T20:15:02" u="1"/>
        <d v="2020-12-04T12:06:04" u="1"/>
        <d v="2020-12-25T19:51:50" u="1"/>
        <d v="2022-01-31T20:34:55" u="1"/>
        <d v="2022-03-06T22:25:22" u="1"/>
        <d v="2022-03-22T22:23:06" u="1"/>
        <d v="2022-05-23T03:28:30" u="1"/>
        <d v="2015-10-25T20:16:49" u="1"/>
        <d v="2020-07-11T11:18:55" u="1"/>
        <d v="2020-10-17T03:31:29" u="1"/>
        <d v="2021-01-25T20:50:53" u="1"/>
        <d v="2021-04-07T01:53:32" u="1"/>
        <d v="2021-06-10T09:57:44" u="1"/>
        <d v="2021-07-18T05:32:34" u="1"/>
        <d v="2021-10-31T04:14:23" u="1"/>
        <d v="2021-11-06T18:30:08" u="1"/>
        <d v="2022-03-06T01:38:39" u="1"/>
        <d v="2022-07-04T18:43:09" u="1"/>
        <d v="2023-06-29T03:27:24" u="1"/>
        <d v="2016-03-11T18:27:57" u="1"/>
        <d v="2016-05-18T10:44:29" u="1"/>
        <d v="2017-05-23T00:19:12" u="1"/>
        <d v="2020-03-19T19:46:54" u="1"/>
        <d v="2020-07-12T14:53:49" u="1"/>
        <d v="2021-08-13T21:03:12" u="1"/>
        <d v="2021-10-27T19:24:53" u="1"/>
        <d v="2022-03-04T22:25:20" u="1"/>
        <d v="2022-04-30T11:32:34" u="1"/>
        <d v="2022-10-02T17:19:13" u="1"/>
        <d v="2014-05-30T19:20:35" u="1"/>
        <d v="2015-05-22T06:04:23" u="1"/>
        <d v="2016-07-25T11:00:33" u="1"/>
        <d v="2020-03-17T07:33:33" u="1"/>
        <d v="2021-01-05T06:04:53" u="1"/>
        <d v="2021-05-07T00:33:31" u="1"/>
        <d v="2021-10-27T21:28:54" u="1"/>
        <d v="2022-09-07T13:57:53" u="1"/>
        <d v="2023-04-16T19:19:03" u="1"/>
        <d v="2016-03-28T08:04:21" u="1"/>
        <d v="2016-09-11T23:14:01" u="1"/>
        <d v="2017-05-08T00:09:26" u="1"/>
        <d v="2017-06-11T23:11:04" u="1"/>
        <d v="2020-03-28T09:24:26" u="1"/>
        <d v="2020-04-17T22:11:02" u="1"/>
        <d v="2020-10-17T01:11:24" u="1"/>
        <d v="2021-11-30T08:45:18" u="1"/>
        <d v="2022-05-05T20:20:12" u="1"/>
        <d v="2023-06-18T12:02:54" u="1"/>
        <d v="2014-04-07T17:42:45" u="1"/>
        <d v="2016-04-02T17:00:00" u="1"/>
        <d v="2016-05-26T03:03:11" u="1"/>
        <d v="2017-02-02T03:03:38" u="1"/>
        <d v="2017-04-11T17:07:56" u="1"/>
        <d v="2020-11-23T20:51:44" u="1"/>
        <d v="2021-01-15T13:15:50" u="1"/>
        <d v="2021-02-24T14:06:45" u="1"/>
        <d v="2021-10-04T00:28:31" u="1"/>
        <d v="2015-05-26T15:43:21" u="1"/>
        <d v="2016-04-12T14:14:43" u="1"/>
        <d v="2016-09-12T14:36:37" u="1"/>
        <d v="2020-08-26T12:58:21" u="1"/>
        <d v="2020-12-25T02:21:11" u="1"/>
        <d v="2021-06-03T13:50:51" u="1"/>
        <d v="2021-10-16T06:31:28" u="1"/>
        <d v="2022-08-20T18:52:45" u="1"/>
        <d v="2022-11-02T17:26:03" u="1"/>
        <d v="2022-11-11T02:31:27" u="1"/>
        <d v="2014-05-20T14:55:18" u="1"/>
        <d v="2014-05-23T19:32:31" u="1"/>
        <d v="2016-01-21T23:03:53" u="1"/>
        <d v="2016-02-14T20:11:52" u="1"/>
        <d v="2016-02-20T02:08:10" u="1"/>
        <d v="2016-07-14T23:14:57" u="1"/>
        <d v="2016-09-22T17:35:31" u="1"/>
        <d v="2017-01-02T16:55:47" u="1"/>
        <d v="2017-04-28T08:19:13" u="1"/>
        <d v="2017-05-30T15:00:30" u="1"/>
        <d v="2020-06-04T01:21:29" u="1"/>
        <d v="2020-07-05T01:40:23" u="1"/>
        <d v="2020-08-12T18:41:50" u="1"/>
        <d v="2021-12-23T06:45:15" u="1"/>
        <d v="2022-02-02T04:19:42" u="1"/>
        <d v="2022-09-09T03:24:31" u="1"/>
        <d v="2023-04-11T01:21:28" u="1"/>
        <d v="2023-06-23T08:16:31" u="1"/>
        <d v="2014-06-08T02:12:15" u="1"/>
        <d v="2015-10-21T06:41:04" u="1"/>
        <d v="2020-02-14T13:26:40" u="1"/>
        <d v="2020-08-22T18:28:41" u="1"/>
        <d v="2020-12-14T20:36:51" u="1"/>
        <d v="2016-08-23T13:15:23" u="1"/>
        <d v="2016-09-10T22:33:50" u="1"/>
        <d v="2017-04-19T06:08:17" u="1"/>
        <d v="2020-04-02T06:26:36" u="1"/>
        <d v="2020-05-23T19:48:35" u="1"/>
        <d v="2021-02-23T21:53:40" u="1"/>
        <d v="2021-12-25T20:54:35" u="1"/>
        <d v="2022-06-26T07:19:19" u="1"/>
        <d v="2022-11-14T17:36:47" u="1"/>
        <d v="2022-11-29T23:00:53" u="1"/>
        <d v="2023-07-08T04:44:27" u="1"/>
        <d v="2023-07-22T03:15:18" u="1"/>
        <d v="2016-06-09T11:13:32" u="1"/>
        <d v="2017-03-05T23:43:55" u="1"/>
        <d v="2017-03-07T14:30:38" u="1"/>
        <d v="2017-03-12T18:26:42" u="1"/>
        <d v="2021-03-10T10:49:30" u="1"/>
        <d v="2021-10-01T06:13:40" u="1"/>
        <d v="2022-04-23T09:51:16" u="1"/>
        <d v="2022-07-07T20:42:57" u="1"/>
        <d v="2022-11-01T13:06:58" u="1"/>
        <d v="2016-03-01T10:30:32" u="1"/>
        <d v="2016-05-16T14:01:32" u="1"/>
        <d v="2016-07-19T16:12:30" u="1"/>
        <d v="2016-09-01T06:28:24" u="1"/>
        <d v="2017-01-02T13:58:32" u="1"/>
        <d v="2020-04-05T03:56:15" u="1"/>
        <d v="2020-11-12T08:54:18" u="1"/>
        <d v="2021-07-09T01:43:12" u="1"/>
        <d v="2021-09-19T23:44:46" u="1"/>
        <d v="2022-09-15T03:15:19" u="1"/>
        <d v="2014-04-16T14:28:19" u="1"/>
        <d v="2017-05-18T16:01:34" u="1"/>
        <d v="2020-04-14T04:20:15" u="1"/>
        <d v="2020-05-07T08:56:21" u="1"/>
        <d v="2020-07-31T08:37:01" u="1"/>
        <d v="2020-08-18T09:23:20" u="1"/>
        <d v="2020-12-27T20:30:31" u="1"/>
        <d v="2021-06-10T06:32:22" u="1"/>
        <d v="2021-10-31T23:15:39" u="1"/>
        <d v="2014-07-18T11:11:13" u="1"/>
        <d v="2020-02-28T10:31:08" u="1"/>
        <d v="2020-12-04T13:28:39" u="1"/>
        <d v="2020-12-19T16:11:34" u="1"/>
        <d v="2021-07-11T09:28:26" u="1"/>
        <d v="2021-11-12T11:31:28" u="1"/>
        <d v="2022-01-29T17:40:23" u="1"/>
        <d v="2022-11-28T12:37:14" u="1"/>
        <d v="2014-04-24T05:53:47" u="1"/>
        <d v="2014-06-04T01:31:00" u="1"/>
        <d v="2014-06-04T21:18:44" u="1"/>
        <d v="2015-03-13T01:31:58" u="1"/>
        <d v="2016-07-03T16:33:35" u="1"/>
        <d v="2016-08-19T19:35:24" u="1"/>
        <d v="2017-07-02T17:14:45" u="1"/>
        <d v="2022-05-28T15:00:28" u="1"/>
        <d v="2022-12-12T03:22:14" u="1"/>
        <d v="2023-07-25T05:22:07" u="1"/>
        <d v="2014-04-24T14:15:08" u="1"/>
        <d v="2016-04-04T21:07:49" u="1"/>
        <d v="2016-08-09T13:47:17" u="1"/>
        <d v="2017-03-06T12:37:23" u="1"/>
        <d v="2017-04-10T04:43:01" u="1"/>
        <d v="2020-09-14T13:35:23" u="1"/>
        <d v="2021-07-11T15:13:38" u="1"/>
        <d v="2021-10-13T23:13:52" u="1"/>
        <d v="2022-04-02T18:27:52" u="1"/>
        <d v="2014-04-13T15:59:08" u="1"/>
        <d v="2014-05-16T23:09:34" u="1"/>
        <d v="2015-04-11T18:52:20" u="1"/>
        <d v="2015-08-22T10:45:59" u="1"/>
        <d v="2015-11-20T04:36:51" u="1"/>
        <d v="2016-03-19T02:07:58" u="1"/>
        <d v="2016-06-12T03:07:02" u="1"/>
        <d v="2016-12-05T09:42:12" u="1"/>
        <d v="2021-12-09T17:47:33" u="1"/>
        <d v="2023-05-15T10:59:14" u="1"/>
        <d v="2023-06-18T23:29:45" u="1"/>
        <d v="2014-05-21T04:41:45" u="1"/>
        <d v="2015-09-29T20:06:15" u="1"/>
        <d v="2016-01-26T23:05:27" u="1"/>
        <d v="2016-04-10T17:52:19" u="1"/>
        <d v="2016-09-14T07:18:03" u="1"/>
        <d v="2020-05-01T18:07:50" u="1"/>
        <d v="2020-11-28T14:52:02" u="1"/>
        <d v="2021-01-22T14:05:23" u="1"/>
        <d v="2022-01-11T13:49:23" u="1"/>
        <d v="2022-04-09T15:41:31" u="1"/>
        <d v="2022-06-24T23:28:35" u="1"/>
        <d v="2015-11-13T10:41:00" u="1"/>
        <d v="2016-09-30T09:59:43" u="1"/>
        <d v="2017-04-14T03:50:52" u="1"/>
        <d v="2020-02-21T18:40:19" u="1"/>
        <d v="2020-03-15T21:06:40" u="1"/>
        <d v="2020-03-22T00:26:50" u="1"/>
        <d v="2021-06-29T01:44:42" u="1"/>
        <d v="2021-07-22T14:46:10" u="1"/>
        <d v="2021-08-17T14:58:12" u="1"/>
        <d v="2021-10-08T01:26:03" u="1"/>
        <d v="2022-08-02T21:57:44" u="1"/>
        <d v="2014-06-05T15:32:17" u="1"/>
        <d v="2016-01-12T02:08:59" u="1"/>
        <d v="2016-02-20T08:23:59" u="1"/>
        <d v="2016-08-31T16:17:00" u="1"/>
        <d v="2017-02-10T10:05:15" u="1"/>
        <d v="2017-04-24T07:53:47" u="1"/>
        <d v="2020-03-28T22:47:16" u="1"/>
        <d v="2020-06-18T15:04:23" u="1"/>
        <d v="2021-03-17T19:21:30" u="1"/>
        <d v="2022-02-08T13:45:23" u="1"/>
        <d v="2023-04-02T22:31:53" u="1"/>
        <d v="2016-07-11T20:55:17" u="1"/>
        <d v="2016-08-01T16:40:23" u="1"/>
        <d v="2016-08-19T13:18:04" u="1"/>
        <d v="2020-05-15T17:28:22" u="1"/>
        <d v="2020-06-08T21:33:36" u="1"/>
        <d v="2020-08-23T14:22:09" u="1"/>
        <d v="2021-10-03T14:59:22" u="1"/>
        <d v="2022-04-04T13:41:26" u="1"/>
        <d v="2014-07-01T13:55:07" u="1"/>
        <d v="2015-06-04T19:48:20" u="1"/>
        <d v="2015-08-22T02:55:30" u="1"/>
        <d v="2016-02-03T08:13:10" u="1"/>
        <d v="2016-12-20T09:32:54" u="1"/>
        <d v="2017-03-03T23:07:44" u="1"/>
        <d v="2020-04-07T09:01:19" u="1"/>
        <d v="2021-03-17T14:55:07" u="1"/>
        <d v="2021-12-04T16:43:27" u="1"/>
        <d v="2022-04-23T21:24:25" u="1"/>
        <d v="2022-05-04T09:44:15" u="1"/>
        <d v="2023-03-09T16:41:27" u="1"/>
        <d v="2015-04-06T08:08:04" u="1"/>
        <d v="2020-08-18T20:27:21" u="1"/>
        <d v="2020-08-19T03:25:51" u="1"/>
        <d v="2021-02-14T02:31:55" u="1"/>
        <d v="2021-06-08T14:01:28" u="1"/>
        <d v="2023-07-09T02:50:59" u="1"/>
        <d v="2015-01-16T03:07:47" u="1"/>
        <d v="2016-01-21T01:45:30" u="1"/>
        <d v="2016-02-23T05:14:44" u="1"/>
        <d v="2016-06-04T02:15:57" u="1"/>
        <d v="2017-01-04T16:14:23" u="1"/>
        <d v="2017-05-13T05:03:59" u="1"/>
        <d v="2017-07-09T21:28:24" u="1"/>
        <d v="2021-01-10T00:43:50" u="1"/>
        <d v="2021-02-18T03:15:55" u="1"/>
        <d v="2021-06-24T18:11:15" u="1"/>
        <d v="2021-06-28T12:02:01" u="1"/>
        <d v="2021-08-06T08:58:01" u="1"/>
        <d v="2022-04-10T01:58:50" u="1"/>
        <d v="2022-10-17T04:25:57" u="1"/>
        <d v="2016-03-29T15:49:47" u="1"/>
        <d v="2016-06-23T08:21:46" u="1"/>
        <d v="2020-07-13T05:26:57" u="1"/>
        <d v="2021-04-30T21:11:13" u="1"/>
        <d v="2021-10-19T01:59:36" u="1"/>
        <d v="2022-04-28T07:37:47" u="1"/>
        <d v="2023-06-16T11:50:01" u="1"/>
        <d v="2014-06-25T15:29:50" u="1"/>
        <d v="2015-09-15T03:32:37" u="1"/>
        <d v="2021-08-17T23:04:30" u="1"/>
        <d v="2015-07-30T15:01:52" u="1"/>
        <d v="2015-09-09T02:48:35" u="1"/>
        <d v="2020-03-12T09:39:59" u="1"/>
        <d v="2020-08-29T10:59:38" u="1"/>
        <d v="2021-07-05T13:47:09" u="1"/>
        <d v="2021-12-06T16:46:14" u="1"/>
        <d v="2023-05-30T14:45:55" u="1"/>
        <d v="2015-08-10T12:57:50" u="1"/>
        <d v="2016-04-08T12:39:59" u="1"/>
        <d v="2016-04-20T18:46:57" u="1"/>
        <d v="2017-02-03T03:12:55" u="1"/>
        <d v="2017-04-01T05:43:53" u="1"/>
        <d v="2017-06-28T16:25:52" u="1"/>
        <d v="2017-06-30T08:16:36" u="1"/>
        <d v="2020-03-01T00:12:57" u="1"/>
        <d v="2020-04-01T00:04:59" u="1"/>
        <d v="2020-05-17T03:37:40" u="1"/>
        <d v="2020-05-19T18:50:00" u="1"/>
        <d v="2020-05-20T01:48:30" u="1"/>
        <d v="2020-09-29T00:38:21" u="1"/>
        <d v="2021-01-24T17:00:08" u="1"/>
        <d v="2014-04-30T07:12:27" u="1"/>
        <d v="2016-03-25T08:21:36" u="1"/>
        <d v="2017-01-10T10:16:59" u="1"/>
        <d v="2020-06-15T06:45:44" u="1"/>
        <d v="2020-07-17T20:46:05" u="1"/>
        <d v="2021-05-01T21:41:27" u="1"/>
        <d v="2022-06-14T08:34:56" u="1"/>
        <d v="2022-10-27T02:19:34" u="1"/>
        <d v="2023-04-28T22:46:04" u="1"/>
        <d v="2014-04-03T13:47:56" u="1"/>
        <d v="2014-04-24T15:02:50" u="1"/>
        <d v="2015-01-22T13:30:43" u="1"/>
        <d v="2016-05-08T01:41:32" u="1"/>
        <d v="2016-07-31T00:53:03" u="1"/>
        <d v="2020-05-06T07:27:58" u="1"/>
        <d v="2020-07-19T21:38:05" u="1"/>
        <d v="2021-01-28T08:41:36" u="1"/>
        <d v="2021-04-10T15:16:10" u="1"/>
        <d v="2021-11-06T10:57:58" u="1"/>
        <d v="2023-01-28T06:10:44" u="1"/>
        <d v="2016-04-17T21:58:57" u="1"/>
        <d v="2016-05-26T10:32:32" u="1"/>
        <d v="2020-03-25T20:07:03" u="1"/>
        <d v="2020-05-16T14:42:56" u="1"/>
        <d v="2020-09-22T01:58:19" u="1"/>
        <d v="2020-11-16T19:37:02" u="1"/>
        <d v="2021-02-11T11:08:01" u="1"/>
        <d v="2021-03-03T11:01:11" u="1"/>
        <d v="2021-05-16T23:12:19" u="1"/>
        <d v="2021-06-21T10:02:55" u="1"/>
        <d v="2021-10-01T21:24:27" u="1"/>
        <d v="2022-12-18T18:25:05" u="1"/>
        <d v="2023-04-05T20:29:24" u="1"/>
        <d v="2014-03-29T08:47:15" u="1"/>
        <d v="2014-05-28T09:08:28" u="1"/>
        <d v="2015-07-02T22:51:07" u="1"/>
        <d v="2015-09-22T18:09:54" u="1"/>
        <d v="2016-05-30T13:24:34" u="1"/>
        <d v="2017-05-31T18:13:48" u="1"/>
        <d v="2020-04-16T13:42:52" u="1"/>
        <d v="2020-08-20T01:39:24" u="1"/>
        <d v="2020-10-27T09:27:36" u="1"/>
        <d v="2021-02-05T18:25:15" u="1"/>
        <d v="2021-11-17T05:47:35" u="1"/>
        <d v="2022-01-27T02:17:29" u="1"/>
        <d v="2022-05-06T23:52:19" u="1"/>
        <d v="2022-10-08T14:30:04" u="1"/>
        <d v="2015-08-22T20:21:53" u="1"/>
        <d v="2015-09-07T01:28:28" u="1"/>
        <d v="2020-04-05T10:00:01" u="1"/>
        <d v="2021-04-12T10:46:49" u="1"/>
        <d v="2022-02-26T10:10:46" u="1"/>
        <d v="2022-07-13T06:06:52" u="1"/>
        <d v="2014-05-09T09:14:42" u="1"/>
        <d v="2015-05-05T13:19:55" u="1"/>
        <d v="2017-06-01T15:04:06" u="1"/>
        <d v="2020-08-12T08:29:45" u="1"/>
        <d v="2020-08-22T03:00:32" u="1"/>
        <d v="2021-01-17T16:39:56" u="1"/>
        <d v="2021-02-12T08:50:42" u="1"/>
        <d v="2021-03-20T18:50:54" u="1"/>
        <d v="2022-11-08T14:53:59" u="1"/>
        <d v="2014-05-12T04:40:20" u="1"/>
        <d v="2016-02-20T20:42:48" u="1"/>
        <d v="2016-06-09T05:56:25" u="1"/>
        <d v="2016-10-04T13:45:49" u="1"/>
        <d v="2017-02-20T05:48:18" u="1"/>
        <d v="2017-07-06T10:22:49" u="1"/>
        <d v="2021-05-25T20:49:51" u="1"/>
        <d v="2021-12-26T00:33:13" u="1"/>
        <d v="2022-10-28T23:44:57" u="1"/>
        <d v="2014-05-26T18:36:33" u="1"/>
        <d v="2016-09-03T18:42:59" u="1"/>
        <d v="2016-11-28T19:54:32" u="1"/>
        <d v="2017-02-10T13:54:41" u="1"/>
        <d v="2017-06-27T22:52:42" u="1"/>
        <d v="2020-01-30T22:30:51" u="1"/>
        <d v="2020-12-29T11:57:22" u="1"/>
        <d v="2014-04-24T15:05:35" u="1"/>
        <d v="2017-02-01T19:09:07" u="1"/>
        <d v="2020-07-08T06:33:38" u="1"/>
        <d v="2020-10-28T17:35:39" u="1"/>
        <d v="2020-11-25T01:37:09" u="1"/>
        <d v="2021-09-27T11:27:32" u="1"/>
        <d v="2021-12-13T04:31:31" u="1"/>
        <d v="2022-02-24T23:15:00" u="1"/>
        <d v="2023-07-30T06:50:17" u="1"/>
        <d v="2014-04-18T08:28:19" u="1"/>
        <d v="2016-05-03T05:14:36" u="1"/>
        <d v="2016-11-30T22:50:33" u="1"/>
        <d v="2017-01-24T02:16:10" u="1"/>
        <d v="2017-03-28T12:55:16" u="1"/>
        <d v="2021-05-15T21:50:57" u="1"/>
        <d v="2021-07-27T18:36:42" u="1"/>
        <d v="2022-04-09T06:26:41" u="1"/>
        <d v="2014-04-26T08:23:10" u="1"/>
        <d v="2014-05-11T15:41:35" u="1"/>
        <d v="2015-11-18T18:12:43" u="1"/>
        <d v="2016-01-14T18:19:48" u="1"/>
        <d v="2020-10-14T06:08:34" u="1"/>
        <d v="2021-11-14T00:42:15" u="1"/>
        <d v="2022-01-29T01:39:05" u="1"/>
        <d v="2015-11-05T13:40:37" u="1"/>
        <d v="2016-04-10T23:27:58" u="1"/>
        <d v="2016-04-27T03:03:06" u="1"/>
        <d v="2017-02-03T10:54:34" u="1"/>
        <d v="2017-05-04T20:35:58" u="1"/>
        <d v="2020-02-23T20:26:47" u="1"/>
        <d v="2020-06-07T19:54:54" u="1"/>
        <d v="2020-06-21T00:46:03" u="1"/>
        <d v="2021-01-31T07:16:17" u="1"/>
        <d v="2021-04-08T21:08:06" u="1"/>
        <d v="2021-09-05T03:09:37" u="1"/>
        <d v="2021-11-06T00:39:22" u="1"/>
        <d v="2022-04-06T03:18:36" u="1"/>
        <d v="2016-01-14T14:26:34" u="1"/>
        <d v="2016-07-27T10:03:18" u="1"/>
        <d v="2016-12-09T05:46:15" u="1"/>
        <d v="2020-04-20T18:41:40" u="1"/>
        <d v="2020-11-06T18:41:54" u="1"/>
        <d v="2021-01-19T08:02:33" u="1"/>
        <d v="2021-03-22T19:18:48" u="1"/>
        <d v="2022-11-17T16:59:38" u="1"/>
        <d v="2014-06-27T07:18:02" u="1"/>
        <d v="2016-03-20T08:51:07" u="1"/>
        <d v="2017-02-19T05:24:11" u="1"/>
        <d v="2017-05-17T21:10:49" u="1"/>
        <d v="2020-08-09T18:49:47" u="1"/>
        <d v="2021-01-02T05:23:37" u="1"/>
        <d v="2021-07-08T09:29:37" u="1"/>
        <d v="2021-07-24T20:40:40" u="1"/>
        <d v="2021-09-03T11:41:43" u="1"/>
        <d v="2021-12-17T21:01:59" u="1"/>
        <d v="2015-02-14T19:26:38" u="1"/>
        <d v="2015-10-09T04:15:15" u="1"/>
        <d v="2016-10-13T13:39:25" u="1"/>
        <d v="2017-01-06T11:11:38" u="1"/>
        <d v="2017-02-20T23:26:44" u="1"/>
        <d v="2017-04-05T23:39:56" u="1"/>
        <d v="2017-05-03T20:27:55" u="1"/>
        <d v="2020-03-12T01:36:11" u="1"/>
        <d v="2020-07-27T08:03:18" u="1"/>
        <d v="2020-12-10T02:38:14" u="1"/>
        <d v="2022-01-27T06:20:14" u="1"/>
        <d v="2022-08-23T23:48:45" u="1"/>
        <d v="2014-04-21T16:24:21" u="1"/>
        <d v="2014-05-12T07:47:06" u="1"/>
        <d v="2014-05-30T07:45:53" u="1"/>
        <d v="2015-10-23T14:26:16" u="1"/>
        <d v="2016-05-21T10:00:19" u="1"/>
        <d v="2017-01-24T20:02:38" u="1"/>
        <d v="2017-04-16T21:45:37" u="1"/>
        <d v="2017-04-20T16:40:24" u="1"/>
        <d v="2020-01-31T12:47:09" u="1"/>
        <d v="2020-09-19T03:26:08" u="1"/>
        <d v="2020-12-31T13:56:08" u="1"/>
        <d v="2021-06-25T13:08:29" u="1"/>
        <d v="2021-06-28T01:10:01" u="1"/>
        <d v="2021-10-26T13:03:29" u="1"/>
        <d v="2022-03-17T20:03:55" u="1"/>
        <d v="2022-05-19T06:16:21" u="1"/>
        <d v="2022-11-18T17:16:44" u="1"/>
        <d v="2015-04-19T20:48:25" u="1"/>
        <d v="2015-06-24T23:55:24" u="1"/>
        <d v="2016-04-25T08:11:06" u="1"/>
        <d v="2017-06-19T11:04:22" u="1"/>
        <d v="2022-01-21T21:34:43" u="1"/>
        <d v="2022-03-16T01:51:03" u="1"/>
        <d v="2016-03-01T02:25:13" u="1"/>
        <d v="2016-09-16T23:01:46" u="1"/>
        <d v="2016-09-23T21:27:28" u="1"/>
        <d v="2017-06-12T09:20:19" u="1"/>
        <d v="2017-06-17T23:25:41" u="1"/>
        <d v="2017-07-10T00:54:59" u="1"/>
        <d v="2020-03-21T06:08:13" u="1"/>
        <d v="2020-07-04T12:37:35" u="1"/>
        <d v="2020-07-04T16:53:39" u="1"/>
        <d v="2021-07-18T12:47:20" u="1"/>
        <d v="2022-10-20T02:10:09" u="1"/>
        <d v="2014-06-13T12:12:18" u="1"/>
        <d v="2017-05-20T20:36:27" u="1"/>
        <d v="2017-07-12T17:09:36" u="1"/>
        <d v="2021-12-24T00:32:56" u="1"/>
        <d v="2022-02-26T17:13:31" u="1"/>
        <d v="2023-03-23T01:19:02" u="1"/>
        <d v="2016-11-14T21:08:38" u="1"/>
        <d v="2017-05-10T23:22:45" u="1"/>
        <d v="2017-05-30T18:46:08" u="1"/>
        <d v="2020-04-16T19:33:34" u="1"/>
        <d v="2020-10-15T18:16:37" u="1"/>
        <d v="2020-10-20T22:43:33" u="1"/>
        <d v="2021-10-07T05:00:25" u="1"/>
        <d v="2022-05-02T11:26:38" u="1"/>
        <d v="2022-05-14T14:21:33" u="1"/>
        <d v="2022-08-27T02:29:58" u="1"/>
        <d v="2022-10-13T21:13:50" u="1"/>
        <d v="2022-10-22T20:35:33" u="1"/>
        <d v="2022-11-10T07:23:22" u="1"/>
        <d v="2022-11-23T17:11:32" u="1"/>
        <d v="2015-01-10T08:44:03" u="1"/>
        <d v="2015-08-17T00:29:48" u="1"/>
        <d v="2015-09-20T01:44:43" u="1"/>
        <d v="2017-02-02T02:52:01" u="1"/>
        <d v="2017-07-09T07:35:08" u="1"/>
        <d v="2020-02-27T00:57:41" u="1"/>
        <d v="2020-03-14T21:53:33" u="1"/>
        <d v="2021-10-23T06:29:01" u="1"/>
        <d v="2022-05-25T14:35:16" u="1"/>
        <d v="2022-06-04T22:50:50" u="1"/>
        <d v="2022-09-19T16:04:34" u="1"/>
        <d v="2022-10-29T00:55:43" u="1"/>
        <d v="2014-04-10T02:27:56" u="1"/>
        <d v="2015-05-18T22:32:24" u="1"/>
        <d v="2017-03-01T05:56:05" u="1"/>
        <d v="2021-03-30T04:53:47" u="1"/>
        <d v="2021-07-18T05:34:01" u="1"/>
        <d v="2021-10-19T06:10:08" u="1"/>
        <d v="2016-06-12T07:19:03" u="1"/>
        <d v="2016-12-16T03:09:58" u="1"/>
        <d v="2017-05-02T06:36:09" u="1"/>
        <d v="2020-05-14T02:15:00" u="1"/>
        <d v="2020-06-07T00:27:00" u="1"/>
        <d v="2020-08-06T21:37:41" u="1"/>
        <d v="2020-08-17T11:15:15" u="1"/>
        <d v="2022-09-14T09:19:17" u="1"/>
        <d v="2023-04-13T02:39:01" u="1"/>
        <d v="2014-03-18T02:57:36" u="1"/>
        <d v="2014-04-15T01:57:37" u="1"/>
        <d v="2016-03-23T13:19:02" u="1"/>
        <d v="2016-03-25T21:43:10" u="1"/>
        <d v="2016-05-03T21:22:38" u="1"/>
        <d v="2016-06-16T17:08:20" u="1"/>
        <d v="2017-06-03T09:32:13" u="1"/>
        <d v="2017-06-08T21:29:33" u="1"/>
        <d v="2020-07-26T16:34:09" u="1"/>
        <d v="2020-08-03T06:47:09" u="1"/>
        <d v="2020-09-11T01:57:53" u="1"/>
        <d v="2021-06-01T03:01:19" u="1"/>
        <d v="2021-11-25T09:13:03" u="1"/>
        <d v="2014-04-15T07:46:50" u="1"/>
        <d v="2014-04-22T00:21:35" u="1"/>
        <d v="2015-02-08T10:36:03" u="1"/>
        <d v="2016-02-06T23:38:33" u="1"/>
        <d v="2016-04-06T21:45:27" u="1"/>
        <d v="2017-04-27T23:04:22" u="1"/>
        <d v="2017-06-13T17:51:12" u="1"/>
        <d v="2017-06-23T22:00:25" u="1"/>
        <d v="2020-05-26T02:29:45" u="1"/>
        <d v="2021-05-24T02:10:54" u="1"/>
        <d v="2021-08-21T16:15:19" u="1"/>
        <d v="2021-09-04T09:16:22" u="1"/>
        <d v="2015-08-01T07:31:03" u="1"/>
        <d v="2016-08-09T02:22:54" u="1"/>
        <d v="2016-09-24T21:22:12" u="1"/>
        <d v="2016-10-12T14:03:15" u="1"/>
        <d v="2021-11-22T17:18:17" u="1"/>
        <d v="2022-03-02T10:45:19" u="1"/>
        <d v="2022-07-01T19:22:44" u="1"/>
        <d v="2022-12-19T06:13:01" u="1"/>
        <d v="2023-05-15T08:04:14" u="1"/>
        <d v="2023-06-08T18:02:42" u="1"/>
        <d v="2014-04-02T08:24:02" u="1"/>
        <d v="2014-05-15T18:35:06" u="1"/>
        <d v="2015-01-28T10:57:38" u="1"/>
        <d v="2016-02-15T21:48:13" u="1"/>
        <d v="2016-03-14T02:07:51" u="1"/>
        <d v="2017-07-14T11:07:06" u="1"/>
        <d v="2020-05-11T00:11:57" u="1"/>
        <d v="2020-05-27T06:33:47" u="1"/>
        <d v="2021-02-08T22:38:35" u="1"/>
        <d v="2021-09-27T06:05:56" u="1"/>
        <d v="2022-03-23T00:49:39" u="1"/>
        <d v="2022-12-07T20:20:38" u="1"/>
        <d v="2014-05-01T19:29:22" u="1"/>
        <d v="2016-11-23T18:21:03" u="1"/>
        <d v="2017-07-04T02:15:59" u="1"/>
        <d v="2020-10-12T05:06:00" u="1"/>
        <d v="2014-04-22T14:30:53" u="1"/>
        <d v="2015-02-18T06:34:42" u="1"/>
        <d v="2016-05-28T11:25:46" u="1"/>
        <d v="2017-02-19T04:30:42" u="1"/>
        <d v="2017-03-03T00:39:48" u="1"/>
        <d v="2017-04-22T01:52:27" u="1"/>
        <d v="2020-06-23T06:33:47" u="1"/>
        <d v="2020-07-06T14:55:10" u="1"/>
        <d v="2021-06-15T15:04:18" u="1"/>
        <d v="2021-09-23T17:18:10" u="1"/>
        <d v="2021-10-08T12:19:15" u="1"/>
        <d v="2014-05-16T07:14:47" u="1"/>
        <d v="2015-03-30T19:26:56" u="1"/>
        <d v="2015-05-19T09:14:50" u="1"/>
        <d v="2015-10-11T18:03:14" u="1"/>
        <d v="2016-01-04T02:20:52" u="1"/>
        <d v="2016-04-04T00:50:40" u="1"/>
        <d v="2016-08-17T13:49:53" u="1"/>
        <d v="2017-03-20T22:16:14" u="1"/>
        <d v="2017-05-19T01:52:28" u="1"/>
        <d v="2020-09-28T23:14:14" u="1"/>
        <d v="2020-11-07T18:00:29" u="1"/>
        <d v="2020-11-16T15:14:10" u="1"/>
        <d v="2021-04-08T21:37:27" u="1"/>
        <d v="2021-06-21T23:08:25" u="1"/>
        <d v="2021-07-12T19:20:23" u="1"/>
        <d v="2021-08-25T08:17:53" u="1"/>
        <d v="2021-11-26T02:58:29" u="1"/>
        <d v="2022-06-14T23:09:34" u="1"/>
        <d v="2022-09-06T14:43:15" u="1"/>
        <d v="2022-10-23T08:13:58" u="1"/>
        <d v="2015-01-23T00:21:24" u="1"/>
        <d v="2020-05-12T21:36:19" u="1"/>
        <d v="2020-07-22T06:21:47" u="1"/>
        <d v="2021-04-16T13:31:02" u="1"/>
        <d v="2021-06-21T17:11:10" u="1"/>
        <d v="2022-02-26T20:39:06" u="1"/>
        <d v="2014-06-30T09:43:25" u="1"/>
        <d v="2014-07-14T00:32:26" u="1"/>
        <d v="2015-06-17T20:11:06" u="1"/>
        <d v="2017-05-10T18:47:04" u="1"/>
        <d v="2020-11-15T01:24:41" u="1"/>
        <d v="2022-06-30T20:18:05" u="1"/>
        <d v="2023-02-07T11:17:13" u="1"/>
        <d v="2016-06-09T22:51:08" u="1"/>
        <d v="2017-05-05T23:21:24" u="1"/>
        <d v="2020-04-08T06:31:55" u="1"/>
        <d v="2020-04-26T10:37:43" u="1"/>
        <d v="2020-05-14T04:22:47" u="1"/>
        <d v="2020-09-28T08:43:35" u="1"/>
        <d v="2021-05-04T06:04:03" u="1"/>
        <d v="2021-07-14T21:39:14" u="1"/>
        <d v="2022-03-23T06:49:39" u="1"/>
        <d v="2023-05-03T18:33:25" u="1"/>
        <d v="2015-04-22T08:21:35" u="1"/>
        <d v="2016-06-08T07:30:47" u="1"/>
        <d v="2016-10-13T22:30:07" u="1"/>
        <d v="2017-07-07T12:50:55" u="1"/>
        <d v="2021-07-05T08:58:55" u="1"/>
        <d v="2021-11-06T20:00:28" u="1"/>
        <d v="2022-05-09T21:13:26" u="1"/>
        <d v="2022-07-26T11:52:43" u="1"/>
        <d v="2022-09-07T09:03:06" u="1"/>
        <d v="2016-04-22T11:02:46" u="1"/>
        <d v="2016-12-01T23:00:27" u="1"/>
        <d v="2017-04-10T23:32:12" u="1"/>
        <d v="2017-05-06T14:04:05" u="1"/>
        <d v="2017-06-01T02:07:50" u="1"/>
        <d v="2021-06-23T21:34:02" u="1"/>
        <d v="2021-07-14T05:06:51" u="1"/>
        <d v="2021-09-10T18:50:05" u="1"/>
        <d v="2021-12-31T12:50:36" u="1"/>
        <d v="2022-01-28T06:06:41" u="1"/>
        <d v="2022-04-21T18:19:04" u="1"/>
        <d v="2022-10-27T02:46:23" u="1"/>
        <d v="2014-03-20T08:25:30" u="1"/>
        <d v="2015-10-12T03:47:24" u="1"/>
        <d v="2015-10-28T10:11:31" u="1"/>
        <d v="2016-12-06T20:26:07" u="1"/>
        <d v="2017-01-04T14:48:59" u="1"/>
        <d v="2017-02-23T07:29:30" u="1"/>
        <d v="2020-07-30T16:09:52" u="1"/>
        <d v="2021-08-25T22:10:06" u="1"/>
        <d v="2021-10-07T23:08:27" u="1"/>
        <d v="2022-05-30T05:20:31" u="1"/>
        <d v="2022-10-30T04:38:24" u="1"/>
        <d v="2014-05-20T15:02:48" u="1"/>
        <d v="2017-05-22T08:40:28" u="1"/>
        <d v="2021-01-21T07:26:39" u="1"/>
        <d v="2022-01-01T22:07:32" u="1"/>
        <d v="2014-04-07T14:54:44" u="1"/>
        <d v="2015-02-08T19:59:54" u="1"/>
        <d v="2015-05-18T03:55:12" u="1"/>
        <d v="2015-07-04T21:04:11" u="1"/>
        <d v="2016-03-27T11:09:33" u="1"/>
        <d v="2017-02-26T10:21:31" u="1"/>
        <d v="2017-05-17T10:33:37" u="1"/>
        <d v="2020-08-10T20:50:01" u="1"/>
        <d v="2021-02-21T02:25:27" u="1"/>
        <d v="2021-05-04T22:17:22" u="1"/>
        <d v="2022-07-07T00:06:44" u="1"/>
        <d v="2022-07-17T01:32:29" u="1"/>
        <d v="2022-08-02T06:42:52" u="1"/>
        <d v="2022-11-05T16:38:05" u="1"/>
        <d v="2023-05-17T21:00:15" u="1"/>
        <d v="2014-03-22T14:29:33" u="1"/>
        <d v="2015-06-13T20:38:54" u="1"/>
        <d v="2016-02-22T21:42:48" u="1"/>
        <d v="2016-05-16T17:57:42" u="1"/>
        <d v="2016-09-25T16:16:41" u="1"/>
        <d v="2016-12-13T08:08:39" u="1"/>
        <d v="2020-03-09T17:55:58" u="1"/>
        <d v="2021-02-19T17:27:57" u="1"/>
        <d v="2021-06-11T12:38:52" u="1"/>
        <d v="2021-07-29T10:43:28" u="1"/>
        <d v="2022-10-28T03:30:20" u="1"/>
        <d v="2014-07-23T10:04:28" u="1"/>
        <d v="2015-09-27T10:38:17" u="1"/>
        <d v="2016-01-27T02:12:10" u="1"/>
        <d v="2016-12-07T09:32:39" u="1"/>
        <d v="2017-06-26T08:35:19" u="1"/>
        <d v="2021-02-02T19:29:11" u="1"/>
        <d v="2021-06-04T10:54:49" u="1"/>
        <d v="2022-03-11T10:54:44" u="1"/>
        <d v="2022-06-06T18:12:11" u="1"/>
        <d v="2022-10-08T04:17:44" u="1"/>
        <d v="2023-04-27T19:22:56" u="1"/>
        <d v="2016-01-07T16:20:55" u="1"/>
        <d v="2016-01-09T16:43:47" u="1"/>
        <d v="2016-08-07T18:34:55" u="1"/>
        <d v="2016-10-23T16:08:41" u="1"/>
        <d v="2017-03-18T23:23:59" u="1"/>
        <d v="2017-06-09T17:11:59" u="1"/>
        <d v="2020-06-01T19:24:09" u="1"/>
        <d v="2020-07-28T22:52:45" u="1"/>
        <d v="2021-02-01T17:21:08" u="1"/>
        <d v="2021-05-04T19:24:08" u="1"/>
        <d v="2021-08-26T21:52:47" u="1"/>
        <d v="2022-08-27T22:56:49" u="1"/>
        <d v="2022-12-13T07:20:42" u="1"/>
        <d v="2014-07-23T22:13:46" u="1"/>
        <d v="2016-02-02T14:20:54" u="1"/>
        <d v="2016-09-07T18:53:48" u="1"/>
        <d v="2020-03-03T23:52:06" u="1"/>
        <d v="2021-11-25T12:54:27" u="1"/>
        <d v="2022-01-23T19:50:47" u="1"/>
        <d v="2023-07-12T21:19:07" u="1"/>
        <d v="2014-05-04T19:27:54" u="1"/>
        <d v="2014-06-08T20:38:49" u="1"/>
        <d v="2014-07-01T07:37:30" u="1"/>
        <d v="2017-07-06T01:05:27" u="1"/>
        <d v="2020-10-20T02:03:21" u="1"/>
        <d v="2021-01-24T11:37:29" u="1"/>
        <d v="2021-11-21T04:03:26" u="1"/>
        <d v="2022-04-18T13:49:38" u="1"/>
        <d v="2023-06-10T17:54:55" u="1"/>
        <d v="2014-04-19T02:27:02" u="1"/>
        <d v="2016-01-25T02:04:06" u="1"/>
        <d v="2016-05-31T20:51:24" u="1"/>
        <d v="2017-03-23T10:32:19" u="1"/>
        <d v="2017-07-06T05:17:30" u="1"/>
        <d v="2020-10-05T09:25:43" u="1"/>
        <d v="2021-10-30T21:08:48" u="1"/>
        <d v="2022-06-17T11:25:39" u="1"/>
        <d v="2023-06-03T01:45:30" u="1"/>
        <d v="2023-06-27T22:33:51" u="1"/>
        <d v="2016-03-13T12:10:35" u="1"/>
        <d v="2016-05-28T01:53:51" u="1"/>
        <d v="2016-09-23T18:39:29" u="1"/>
        <d v="2017-04-29T19:32:29" u="1"/>
        <d v="2017-05-29T19:24:31" u="1"/>
        <d v="2017-06-20T20:25:42" u="1"/>
        <d v="2017-07-07T06:44:22" u="1"/>
        <d v="2017-07-14T13:13:37" u="1"/>
        <d v="2020-09-13T16:25:47" u="1"/>
        <d v="2021-01-23T14:14:38" u="1"/>
        <d v="2021-08-17T17:25:47" u="1"/>
        <d v="2022-02-26T01:08:12" u="1"/>
        <d v="2014-05-14T07:51:07" u="1"/>
        <d v="2014-06-22T15:12:25" u="1"/>
        <d v="2016-01-21T02:12:04" u="1"/>
        <d v="2016-03-26T17:36:23" u="1"/>
        <d v="2016-12-14T16:08:40" u="1"/>
        <d v="2017-02-07T13:46:34" u="1"/>
        <d v="2017-02-19T17:14:38" u="1"/>
        <d v="2020-02-10T10:34:34" u="1"/>
        <d v="2020-03-11T00:13:18" u="1"/>
        <d v="2020-07-09T21:03:00" u="1"/>
        <d v="2022-11-05T11:25:47" u="1"/>
        <d v="2022-12-07T23:18:06" u="1"/>
        <d v="2023-06-14T23:11:03" u="1"/>
        <d v="2016-08-17T10:31:17" u="1"/>
        <d v="2017-03-15T06:05:20" u="1"/>
        <d v="2020-08-07T20:34:55" u="1"/>
        <d v="2021-04-20T09:36:21" u="1"/>
        <d v="2021-05-06T06:10:36" u="1"/>
        <d v="2021-08-24T00:53:59" u="1"/>
        <d v="2022-05-22T23:18:54" u="1"/>
        <d v="2014-06-26T11:34:03" u="1"/>
        <d v="2016-03-01T20:16:56" u="1"/>
        <d v="2016-08-26T18:23:24" u="1"/>
        <d v="2016-10-09T18:13:44" u="1"/>
        <d v="2020-06-07T16:30:46" u="1"/>
        <d v="2020-08-06T13:37:39" u="1"/>
        <d v="2021-06-20T02:19:09" u="1"/>
        <d v="2021-09-04T03:01:32" u="1"/>
        <d v="2021-10-01T05:44:28" u="1"/>
        <d v="2021-11-08T02:27:19" u="1"/>
        <d v="2021-12-11T21:52:48" u="1"/>
        <d v="2022-01-24T05:28:11" u="1"/>
        <d v="2022-03-23T17:02:43" u="1"/>
        <d v="2022-04-13T06:21:26" u="1"/>
        <d v="2014-05-24T04:26:56" u="1"/>
        <d v="2016-12-19T05:25:02" u="1"/>
        <d v="2017-03-07T14:30:34" u="1"/>
        <d v="2017-04-12T15:06:37" u="1"/>
        <d v="2020-10-21T20:16:41" u="1"/>
        <d v="2021-01-23T05:24:09" u="1"/>
        <d v="2021-05-25T07:23:11" u="1"/>
        <d v="2021-08-29T19:31:29" u="1"/>
        <d v="2021-10-20T20:24:42" u="1"/>
        <d v="2022-04-15T22:11:57" u="1"/>
        <d v="2022-04-18T15:33:34" u="1"/>
        <d v="2022-05-28T10:58:07" u="1"/>
        <d v="2016-03-09T01:24:03" u="1"/>
        <d v="2017-04-29T01:10:53" u="1"/>
        <d v="2017-06-04T21:11:54" u="1"/>
        <d v="2017-06-30T16:11:17" u="1"/>
        <d v="2020-03-03T01:02:23" u="1"/>
        <d v="2021-07-17T15:05:38" u="1"/>
        <d v="2021-12-31T18:14:27" u="1"/>
        <d v="2022-06-25T19:32:33" u="1"/>
        <d v="2022-11-10T02:15:18" u="1"/>
        <d v="2017-03-16T14:48:16" u="1"/>
        <d v="2017-06-01T18:38:42" u="1"/>
        <d v="2017-06-17T23:25:39" u="1"/>
        <d v="2020-05-05T06:25:23" u="1"/>
        <d v="2020-09-08T11:01:36" u="1"/>
        <d v="2021-02-26T15:36:19" u="1"/>
        <d v="2022-07-27T18:39:25" u="1"/>
        <d v="2023-05-15T10:44:22" u="1"/>
        <d v="2014-06-06T21:45:33" u="1"/>
        <d v="2016-04-24T01:49:42" u="1"/>
        <d v="2016-09-26T21:11:25" u="1"/>
        <d v="2017-03-20T13:55:06" u="1"/>
        <d v="2021-11-24T19:46:24" u="1"/>
        <d v="2021-12-05T14:01:45" u="1"/>
        <d v="2022-04-06T12:26:36" u="1"/>
        <d v="2023-07-23T20:32:35" u="1"/>
        <d v="2014-05-01T03:28:04" u="1"/>
        <d v="2015-03-09T15:02:29" u="1"/>
        <d v="2015-08-17T21:16:29" u="1"/>
        <d v="2016-02-29T11:50:55" u="1"/>
        <d v="2020-08-02T12:29:33" u="1"/>
        <d v="2020-08-14T04:11:09" u="1"/>
        <d v="2020-11-03T15:44:34" u="1"/>
        <d v="2020-11-26T00:24:50" u="1"/>
        <d v="2020-12-08T10:58:15" u="1"/>
        <d v="2022-06-09T06:32:17" u="1"/>
        <d v="2022-10-04T07:24:26" u="1"/>
        <d v="2022-10-11T22:25:49" u="1"/>
        <d v="2015-05-09T22:10:39" u="1"/>
        <d v="2016-05-07T20:14:38" u="1"/>
        <d v="2017-02-02T15:11:36" u="1"/>
        <d v="2017-04-04T18:30:35" u="1"/>
        <d v="2017-06-29T22:54:11" u="1"/>
        <d v="2020-05-12T23:53:37" u="1"/>
        <d v="2021-04-29T06:30:58" u="1"/>
        <d v="2022-09-04T16:02:48" u="1"/>
        <d v="2022-09-28T02:13:57" u="1"/>
        <d v="2022-11-04T13:05:41" u="1"/>
        <d v="2015-07-12T19:28:23" u="1"/>
        <d v="2016-12-21T02:20:48" u="1"/>
        <d v="2017-02-02T13:30:25" u="1"/>
        <d v="2017-07-07T22:37:36" u="1"/>
        <d v="2020-03-23T04:46:52" u="1"/>
        <d v="2020-04-21T18:01:29" u="1"/>
        <d v="2021-02-17T07:24:07" u="1"/>
        <d v="2021-05-24T11:19:09" u="1"/>
        <d v="2022-08-25T21:04:34" u="1"/>
        <d v="2022-10-11T12:39:21" u="1"/>
        <d v="2014-05-22T00:52:29" u="1"/>
        <d v="2015-08-09T06:07:03" u="1"/>
        <d v="2016-04-26T18:54:00" u="1"/>
        <d v="2016-05-19T21:24:21" u="1"/>
        <d v="2016-11-07T09:07:13" u="1"/>
        <d v="2017-04-19T23:13:30" u="1"/>
        <d v="2021-03-24T06:50:54" u="1"/>
        <d v="2021-05-25T01:10:53" u="1"/>
        <d v="2021-11-22T07:21:00" u="1"/>
        <d v="2023-06-14T01:54:57" u="1"/>
        <d v="2023-07-14T12:51:15" u="1"/>
        <d v="2014-05-16T20:20:17" u="1"/>
        <d v="2016-04-12T23:33:28" u="1"/>
        <d v="2020-05-08T17:02:36" u="1"/>
        <d v="2021-04-13T08:20:10" u="1"/>
        <d v="2022-08-30T08:56:50" u="1"/>
        <d v="2022-12-01T02:15:13" u="1"/>
        <d v="2014-04-08T14:01:16" u="1"/>
        <d v="2015-04-16T06:42:48" u="1"/>
        <d v="2016-02-14T17:13:17" u="1"/>
        <d v="2016-04-16T22:40:18" u="1"/>
        <d v="2016-05-25T12:57:49" u="1"/>
        <d v="2016-11-19T22:03:24" u="1"/>
        <d v="2021-08-31T00:12:40" u="1"/>
        <d v="2021-09-25T17:26:12" u="1"/>
        <d v="2014-05-15T09:11:59" u="1"/>
        <d v="2014-07-18T21:23:12" u="1"/>
        <d v="2016-08-05T11:04:14" u="1"/>
        <d v="2017-02-14T16:09:16" u="1"/>
        <d v="2017-03-07T23:26:33" u="1"/>
        <d v="2017-06-25T16:26:00" u="1"/>
        <d v="2017-07-17T05:45:46" u="1"/>
        <d v="2020-04-06T06:28:05" u="1"/>
        <d v="2021-05-15T15:55:09" u="1"/>
        <d v="2021-06-26T10:53:53" u="1"/>
        <d v="2021-10-02T05:58:01" u="1"/>
        <d v="2022-06-13T06:23:03" u="1"/>
        <d v="2022-06-29T00:05:44" u="1"/>
        <d v="2022-11-09T21:28:36" u="1"/>
        <d v="2014-04-26T05:17:36" u="1"/>
        <d v="2016-12-21T10:01:59" u="1"/>
        <d v="2017-03-03T23:07:40" u="1"/>
        <d v="2017-05-04T08:20:05" u="1"/>
        <d v="2017-07-05T18:09:27" u="1"/>
        <d v="2017-07-07T19:36:20" u="1"/>
        <d v="2020-11-04T23:13:43" u="1"/>
        <d v="2020-12-23T08:32:53" u="1"/>
        <d v="2022-06-29T09:37:52" u="1"/>
        <d v="2022-12-04T09:19:17" u="1"/>
        <d v="2023-04-23T23:05:32" u="1"/>
        <d v="2023-08-01T04:47:05" u="1"/>
        <d v="2014-03-27T21:11:02" u="1"/>
        <d v="2015-04-08T11:12:03" u="1"/>
        <d v="2015-09-17T08:25:49" u="1"/>
        <d v="2017-03-07T05:47:52" u="1"/>
        <d v="2017-03-21T16:27:00" u="1"/>
        <d v="2017-04-24T17:11:03" u="1"/>
        <d v="2017-05-14T13:27:01" u="1"/>
        <d v="2017-07-19T09:45:48" u="1"/>
        <d v="2020-03-10T15:48:10" u="1"/>
        <d v="2020-10-05T14:39:15" u="1"/>
        <d v="2021-01-04T11:45:11" u="1"/>
        <d v="2021-03-23T03:22:46" u="1"/>
        <d v="2021-06-27T05:21:46" u="1"/>
        <d v="2016-02-04T20:49:16" u="1"/>
        <d v="2017-04-28T14:49:46" u="1"/>
        <d v="2017-06-20T00:40:28" u="1"/>
        <d v="2020-02-11T13:40:05" u="1"/>
        <d v="2020-05-12T22:48:20" u="1"/>
        <d v="2020-06-17T22:51:14" u="1"/>
        <d v="2021-02-26T06:26:46" u="1"/>
        <d v="2021-08-12T19:47:16" u="1"/>
        <d v="2022-01-26T04:30:43" u="1"/>
        <d v="2022-10-12T13:42:07" u="1"/>
        <d v="2016-02-07T02:00:52" u="1"/>
        <d v="2016-02-28T22:58:56" u="1"/>
        <d v="2016-07-15T06:06:50" u="1"/>
        <d v="2016-10-17T15:41:57" u="1"/>
        <d v="2020-05-02T00:35:52" u="1"/>
        <d v="2021-05-25T17:07:07" u="1"/>
        <d v="2022-01-30T06:49:36" u="1"/>
        <d v="2023-07-19T13:38:01" u="1"/>
        <d v="2016-03-07T03:23:46" u="1"/>
        <d v="2016-06-26T15:02:56" u="1"/>
        <d v="2016-08-12T16:07:06" u="1"/>
        <d v="2020-10-16T14:14:04" u="1"/>
        <d v="2020-12-19T04:16:45" u="1"/>
        <d v="2021-08-02T16:36:19" u="1"/>
        <d v="2022-09-27T10:40:47" u="1"/>
        <d v="2023-05-13T13:43:04" u="1"/>
        <d v="2016-03-04T04:35:46" u="1"/>
        <d v="2016-05-30T19:37:49" u="1"/>
        <d v="2017-04-17T22:12:12" u="1"/>
        <d v="2020-03-01T22:03:37" u="1"/>
        <d v="2020-03-26T06:02:44" u="1"/>
        <d v="2020-04-08T23:02:32" u="1"/>
        <d v="2020-09-10T19:31:14" u="1"/>
        <d v="2021-03-03T04:59:51" u="1"/>
        <d v="2022-04-01T10:48:05" u="1"/>
        <d v="2015-02-19T11:34:41" u="1"/>
        <d v="2017-05-05T23:21:22" u="1"/>
        <d v="2020-07-17T08:10:53" u="1"/>
        <d v="2021-09-06T23:01:34" u="1"/>
        <d v="2023-06-26T08:25:46" u="1"/>
        <d v="2014-07-01T11:27:57" u="1"/>
        <d v="2014-07-11T05:56:27" u="1"/>
        <d v="2020-04-04T06:43:52" u="1"/>
        <d v="2020-06-30T04:08:30" u="1"/>
        <d v="2020-08-13T11:57:49" u="1"/>
        <d v="2020-12-23T01:38:23" u="1"/>
        <d v="2021-02-18T05:03:48" u="1"/>
        <d v="2022-10-10T16:11:13" u="1"/>
        <d v="2016-01-23T07:37:26" u="1"/>
        <d v="2016-04-30T08:51:17" u="1"/>
        <d v="2016-12-02T10:14:59" u="1"/>
        <d v="2017-04-10T23:32:10" u="1"/>
        <d v="2017-04-13T11:42:45" u="1"/>
        <d v="2017-07-13T12:53:44" u="1"/>
        <d v="2017-07-17T01:24:25" u="1"/>
        <d v="2021-08-17T06:52:36" u="1"/>
        <d v="2022-01-14T02:46:35" u="1"/>
        <d v="2022-04-07T06:35:53" u="1"/>
        <d v="2022-05-08T15:20:09" u="1"/>
        <d v="2022-11-02T20:16:26" u="1"/>
        <d v="2022-11-07T06:41:51" u="1"/>
        <d v="2022-11-24T11:24:48" u="1"/>
        <d v="2023-04-15T06:38:46" u="1"/>
        <d v="2015-08-13T09:52:32" u="1"/>
        <d v="2017-03-03T18:44:02" u="1"/>
        <d v="2020-03-26T16:57:42" u="1"/>
        <d v="2020-06-05T15:12:08" u="1"/>
        <d v="2021-03-10T03:42:38" u="1"/>
        <d v="2021-04-03T19:56:09" u="1"/>
        <d v="2021-05-10T05:03:52" u="1"/>
        <d v="2021-11-22T23:33:03" u="1"/>
        <d v="2022-03-01T21:53:18" u="1"/>
        <d v="2022-05-13T18:08:11" u="1"/>
        <d v="2023-04-07T21:25:21" u="1"/>
        <d v="2014-05-13T20:50:51" u="1"/>
      </sharedItems>
    </cacheField>
    <cacheField name="Entity" numFmtId="0">
      <sharedItems containsBlank="1" count="4">
        <s v="F13"/>
        <s v="F25"/>
        <s v="F39"/>
        <m u="1"/>
      </sharedItems>
    </cacheField>
    <cacheField name="Recipe" numFmtId="0">
      <sharedItems containsBlank="1" count="11">
        <s v="B05"/>
        <s v="B03"/>
        <s v="EWR"/>
        <s v="B01"/>
        <s v="EXL"/>
        <s v="B20"/>
        <s v="   "/>
        <s v="RWK" u="1"/>
        <s v="B02" u="1"/>
        <s v="EWM" u="1"/>
        <m u="1"/>
      </sharedItems>
    </cacheField>
    <cacheField name="MONTH" numFmtId="165">
      <sharedItems containsNonDate="0"/>
    </cacheField>
    <cacheField name="Count" numFmtId="166">
      <sharedItems containsMixedTypes="1" containsNumber="1" containsInteger="1" minValue="0" maxValue="4260" count="9">
        <n v="2400"/>
        <s v=""/>
        <n v="4260"/>
        <n v="0"/>
        <n v="1965"/>
        <n v="1260"/>
        <n v="1020" u="1"/>
        <n v="2130" u="1"/>
        <n v="1200" u="1"/>
      </sharedItems>
    </cacheField>
    <cacheField name="Count2" numFmtId="166">
      <sharedItems containsMixedTypes="1" containsNumber="1" containsInteger="1" minValue="0" maxValue="1"/>
    </cacheField>
    <cacheField name="欄位1" numFmtId="0" formula="Count/3600" databaseField="0"/>
    <cacheField name="Hour" numFmtId="0" formula="Count/36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11">
  <r>
    <x v="0"/>
    <x v="0"/>
    <x v="0"/>
    <s v="2024/11"/>
    <x v="0"/>
    <n v="1"/>
  </r>
  <r>
    <x v="0"/>
    <x v="0"/>
    <x v="0"/>
    <s v="2024/11"/>
    <x v="1"/>
    <s v=""/>
  </r>
  <r>
    <x v="0"/>
    <x v="0"/>
    <x v="0"/>
    <s v="2024/11"/>
    <x v="1"/>
    <s v=""/>
  </r>
  <r>
    <x v="1"/>
    <x v="0"/>
    <x v="0"/>
    <s v="2024/11"/>
    <x v="0"/>
    <n v="1"/>
  </r>
  <r>
    <x v="1"/>
    <x v="0"/>
    <x v="0"/>
    <s v="2024/11"/>
    <x v="1"/>
    <s v=""/>
  </r>
  <r>
    <x v="2"/>
    <x v="0"/>
    <x v="0"/>
    <s v="2024/11"/>
    <x v="0"/>
    <n v="1"/>
  </r>
  <r>
    <x v="2"/>
    <x v="0"/>
    <x v="0"/>
    <s v="2024/11"/>
    <x v="1"/>
    <s v=""/>
  </r>
  <r>
    <x v="2"/>
    <x v="0"/>
    <x v="0"/>
    <s v="2024/11"/>
    <x v="1"/>
    <s v=""/>
  </r>
  <r>
    <x v="2"/>
    <x v="0"/>
    <x v="0"/>
    <s v="2024/11"/>
    <x v="1"/>
    <s v=""/>
  </r>
  <r>
    <x v="3"/>
    <x v="0"/>
    <x v="0"/>
    <s v="2024/11"/>
    <x v="0"/>
    <n v="1"/>
  </r>
  <r>
    <x v="3"/>
    <x v="0"/>
    <x v="0"/>
    <s v="2024/11"/>
    <x v="1"/>
    <s v=""/>
  </r>
  <r>
    <x v="3"/>
    <x v="0"/>
    <x v="0"/>
    <s v="2024/11"/>
    <x v="1"/>
    <s v=""/>
  </r>
  <r>
    <x v="3"/>
    <x v="0"/>
    <x v="0"/>
    <s v="2024/11"/>
    <x v="1"/>
    <s v=""/>
  </r>
  <r>
    <x v="3"/>
    <x v="0"/>
    <x v="0"/>
    <s v="2024/11"/>
    <x v="1"/>
    <s v=""/>
  </r>
  <r>
    <x v="4"/>
    <x v="0"/>
    <x v="0"/>
    <s v="2024/11"/>
    <x v="0"/>
    <n v="1"/>
  </r>
  <r>
    <x v="4"/>
    <x v="0"/>
    <x v="0"/>
    <s v="2024/11"/>
    <x v="1"/>
    <s v=""/>
  </r>
  <r>
    <x v="4"/>
    <x v="0"/>
    <x v="0"/>
    <s v="2024/11"/>
    <x v="1"/>
    <s v=""/>
  </r>
  <r>
    <x v="5"/>
    <x v="0"/>
    <x v="0"/>
    <s v="2024/11"/>
    <x v="0"/>
    <n v="1"/>
  </r>
  <r>
    <x v="5"/>
    <x v="0"/>
    <x v="0"/>
    <s v="2024/11"/>
    <x v="1"/>
    <s v=""/>
  </r>
  <r>
    <x v="5"/>
    <x v="0"/>
    <x v="0"/>
    <s v="2024/11"/>
    <x v="1"/>
    <s v=""/>
  </r>
  <r>
    <x v="6"/>
    <x v="0"/>
    <x v="0"/>
    <s v="2024/12"/>
    <x v="0"/>
    <n v="1"/>
  </r>
  <r>
    <x v="6"/>
    <x v="0"/>
    <x v="0"/>
    <s v="2024/12"/>
    <x v="1"/>
    <s v=""/>
  </r>
  <r>
    <x v="6"/>
    <x v="0"/>
    <x v="0"/>
    <s v="2024/12"/>
    <x v="1"/>
    <s v=""/>
  </r>
  <r>
    <x v="6"/>
    <x v="0"/>
    <x v="0"/>
    <s v="2024/12"/>
    <x v="1"/>
    <s v=""/>
  </r>
  <r>
    <x v="7"/>
    <x v="0"/>
    <x v="0"/>
    <s v="2024/12"/>
    <x v="0"/>
    <n v="1"/>
  </r>
  <r>
    <x v="7"/>
    <x v="0"/>
    <x v="0"/>
    <s v="2024/12"/>
    <x v="1"/>
    <s v=""/>
  </r>
  <r>
    <x v="7"/>
    <x v="0"/>
    <x v="0"/>
    <s v="2024/12"/>
    <x v="1"/>
    <s v=""/>
  </r>
  <r>
    <x v="7"/>
    <x v="0"/>
    <x v="0"/>
    <s v="2024/12"/>
    <x v="1"/>
    <s v=""/>
  </r>
  <r>
    <x v="8"/>
    <x v="0"/>
    <x v="0"/>
    <s v="2024/12"/>
    <x v="0"/>
    <n v="1"/>
  </r>
  <r>
    <x v="8"/>
    <x v="0"/>
    <x v="0"/>
    <s v="2024/12"/>
    <x v="1"/>
    <s v=""/>
  </r>
  <r>
    <x v="8"/>
    <x v="0"/>
    <x v="0"/>
    <s v="2024/12"/>
    <x v="1"/>
    <s v=""/>
  </r>
  <r>
    <x v="8"/>
    <x v="0"/>
    <x v="0"/>
    <s v="2024/12"/>
    <x v="1"/>
    <s v=""/>
  </r>
  <r>
    <x v="8"/>
    <x v="0"/>
    <x v="0"/>
    <s v="2024/12"/>
    <x v="1"/>
    <s v=""/>
  </r>
  <r>
    <x v="9"/>
    <x v="0"/>
    <x v="0"/>
    <s v="2024/12"/>
    <x v="0"/>
    <n v="1"/>
  </r>
  <r>
    <x v="9"/>
    <x v="0"/>
    <x v="0"/>
    <s v="2024/12"/>
    <x v="1"/>
    <s v=""/>
  </r>
  <r>
    <x v="9"/>
    <x v="0"/>
    <x v="0"/>
    <s v="2024/12"/>
    <x v="1"/>
    <s v=""/>
  </r>
  <r>
    <x v="9"/>
    <x v="0"/>
    <x v="0"/>
    <s v="2024/12"/>
    <x v="1"/>
    <s v=""/>
  </r>
  <r>
    <x v="10"/>
    <x v="0"/>
    <x v="0"/>
    <s v="2024/12"/>
    <x v="0"/>
    <n v="1"/>
  </r>
  <r>
    <x v="10"/>
    <x v="0"/>
    <x v="0"/>
    <s v="2024/12"/>
    <x v="1"/>
    <s v=""/>
  </r>
  <r>
    <x v="10"/>
    <x v="0"/>
    <x v="0"/>
    <s v="2024/12"/>
    <x v="1"/>
    <s v=""/>
  </r>
  <r>
    <x v="10"/>
    <x v="0"/>
    <x v="0"/>
    <s v="2024/12"/>
    <x v="1"/>
    <s v=""/>
  </r>
  <r>
    <x v="10"/>
    <x v="0"/>
    <x v="0"/>
    <s v="2024/12"/>
    <x v="1"/>
    <s v=""/>
  </r>
  <r>
    <x v="10"/>
    <x v="0"/>
    <x v="0"/>
    <s v="2024/12"/>
    <x v="1"/>
    <s v=""/>
  </r>
  <r>
    <x v="11"/>
    <x v="0"/>
    <x v="0"/>
    <s v="2024/12"/>
    <x v="0"/>
    <n v="1"/>
  </r>
  <r>
    <x v="11"/>
    <x v="0"/>
    <x v="0"/>
    <s v="2024/12"/>
    <x v="1"/>
    <s v=""/>
  </r>
  <r>
    <x v="11"/>
    <x v="0"/>
    <x v="0"/>
    <s v="2024/12"/>
    <x v="1"/>
    <s v=""/>
  </r>
  <r>
    <x v="12"/>
    <x v="0"/>
    <x v="0"/>
    <s v="2024/12"/>
    <x v="0"/>
    <n v="1"/>
  </r>
  <r>
    <x v="12"/>
    <x v="0"/>
    <x v="0"/>
    <s v="2024/12"/>
    <x v="1"/>
    <s v=""/>
  </r>
  <r>
    <x v="13"/>
    <x v="0"/>
    <x v="0"/>
    <s v="2024/12"/>
    <x v="0"/>
    <n v="1"/>
  </r>
  <r>
    <x v="13"/>
    <x v="0"/>
    <x v="0"/>
    <s v="2024/12"/>
    <x v="1"/>
    <s v=""/>
  </r>
  <r>
    <x v="13"/>
    <x v="0"/>
    <x v="0"/>
    <s v="2024/12"/>
    <x v="1"/>
    <s v=""/>
  </r>
  <r>
    <x v="14"/>
    <x v="0"/>
    <x v="0"/>
    <s v="2024/12"/>
    <x v="0"/>
    <n v="1"/>
  </r>
  <r>
    <x v="14"/>
    <x v="0"/>
    <x v="0"/>
    <s v="2024/12"/>
    <x v="1"/>
    <s v=""/>
  </r>
  <r>
    <x v="14"/>
    <x v="0"/>
    <x v="0"/>
    <s v="2024/12"/>
    <x v="1"/>
    <s v=""/>
  </r>
  <r>
    <x v="14"/>
    <x v="0"/>
    <x v="0"/>
    <s v="2024/12"/>
    <x v="1"/>
    <s v=""/>
  </r>
  <r>
    <x v="14"/>
    <x v="0"/>
    <x v="0"/>
    <s v="2024/12"/>
    <x v="1"/>
    <s v=""/>
  </r>
  <r>
    <x v="14"/>
    <x v="0"/>
    <x v="0"/>
    <s v="2024/12"/>
    <x v="1"/>
    <s v=""/>
  </r>
  <r>
    <x v="15"/>
    <x v="0"/>
    <x v="0"/>
    <s v="2024/12"/>
    <x v="0"/>
    <n v="1"/>
  </r>
  <r>
    <x v="15"/>
    <x v="0"/>
    <x v="0"/>
    <s v="2024/12"/>
    <x v="1"/>
    <s v=""/>
  </r>
  <r>
    <x v="15"/>
    <x v="0"/>
    <x v="0"/>
    <s v="2024/12"/>
    <x v="1"/>
    <s v=""/>
  </r>
  <r>
    <x v="16"/>
    <x v="0"/>
    <x v="0"/>
    <s v="2024/12"/>
    <x v="0"/>
    <n v="1"/>
  </r>
  <r>
    <x v="16"/>
    <x v="0"/>
    <x v="0"/>
    <s v="2024/12"/>
    <x v="1"/>
    <s v=""/>
  </r>
  <r>
    <x v="16"/>
    <x v="0"/>
    <x v="0"/>
    <s v="2024/12"/>
    <x v="1"/>
    <s v=""/>
  </r>
  <r>
    <x v="17"/>
    <x v="0"/>
    <x v="0"/>
    <s v="2024/12"/>
    <x v="0"/>
    <n v="1"/>
  </r>
  <r>
    <x v="17"/>
    <x v="0"/>
    <x v="0"/>
    <s v="2024/12"/>
    <x v="1"/>
    <s v=""/>
  </r>
  <r>
    <x v="18"/>
    <x v="0"/>
    <x v="0"/>
    <s v="2024/12"/>
    <x v="1"/>
    <s v=""/>
  </r>
  <r>
    <x v="18"/>
    <x v="0"/>
    <x v="0"/>
    <s v="2024/12"/>
    <x v="1"/>
    <s v=""/>
  </r>
  <r>
    <x v="19"/>
    <x v="0"/>
    <x v="1"/>
    <s v="2024/12"/>
    <x v="2"/>
    <n v="1"/>
  </r>
  <r>
    <x v="19"/>
    <x v="0"/>
    <x v="1"/>
    <s v="2024/12"/>
    <x v="1"/>
    <s v=""/>
  </r>
  <r>
    <x v="20"/>
    <x v="0"/>
    <x v="0"/>
    <s v="2024/12"/>
    <x v="0"/>
    <n v="1"/>
  </r>
  <r>
    <x v="20"/>
    <x v="0"/>
    <x v="0"/>
    <s v="2024/12"/>
    <x v="1"/>
    <s v=""/>
  </r>
  <r>
    <x v="20"/>
    <x v="0"/>
    <x v="0"/>
    <s v="2024/12"/>
    <x v="1"/>
    <s v=""/>
  </r>
  <r>
    <x v="21"/>
    <x v="0"/>
    <x v="0"/>
    <s v="2024/12"/>
    <x v="0"/>
    <n v="1"/>
  </r>
  <r>
    <x v="21"/>
    <x v="0"/>
    <x v="0"/>
    <s v="2024/12"/>
    <x v="1"/>
    <s v=""/>
  </r>
  <r>
    <x v="22"/>
    <x v="0"/>
    <x v="0"/>
    <s v="2024/12"/>
    <x v="1"/>
    <s v=""/>
  </r>
  <r>
    <x v="23"/>
    <x v="0"/>
    <x v="0"/>
    <s v="2024/12"/>
    <x v="0"/>
    <n v="1"/>
  </r>
  <r>
    <x v="23"/>
    <x v="0"/>
    <x v="0"/>
    <s v="2024/12"/>
    <x v="1"/>
    <s v=""/>
  </r>
  <r>
    <x v="23"/>
    <x v="0"/>
    <x v="0"/>
    <s v="2024/12"/>
    <x v="1"/>
    <s v=""/>
  </r>
  <r>
    <x v="24"/>
    <x v="0"/>
    <x v="1"/>
    <s v="2024/12"/>
    <x v="2"/>
    <n v="1"/>
  </r>
  <r>
    <x v="24"/>
    <x v="0"/>
    <x v="1"/>
    <s v="2024/12"/>
    <x v="1"/>
    <s v=""/>
  </r>
  <r>
    <x v="25"/>
    <x v="0"/>
    <x v="0"/>
    <s v="2024/12"/>
    <x v="0"/>
    <n v="1"/>
  </r>
  <r>
    <x v="25"/>
    <x v="0"/>
    <x v="0"/>
    <s v="2024/12"/>
    <x v="1"/>
    <s v=""/>
  </r>
  <r>
    <x v="25"/>
    <x v="0"/>
    <x v="0"/>
    <s v="2024/12"/>
    <x v="1"/>
    <s v=""/>
  </r>
  <r>
    <x v="26"/>
    <x v="0"/>
    <x v="0"/>
    <s v="2024/12"/>
    <x v="0"/>
    <n v="1"/>
  </r>
  <r>
    <x v="26"/>
    <x v="0"/>
    <x v="0"/>
    <s v="2024/12"/>
    <x v="1"/>
    <s v=""/>
  </r>
  <r>
    <x v="27"/>
    <x v="0"/>
    <x v="0"/>
    <s v="2024/12"/>
    <x v="0"/>
    <n v="1"/>
  </r>
  <r>
    <x v="27"/>
    <x v="0"/>
    <x v="0"/>
    <s v="2024/12"/>
    <x v="1"/>
    <s v=""/>
  </r>
  <r>
    <x v="27"/>
    <x v="0"/>
    <x v="0"/>
    <s v="2024/12"/>
    <x v="1"/>
    <s v=""/>
  </r>
  <r>
    <x v="28"/>
    <x v="0"/>
    <x v="0"/>
    <s v="2024/12"/>
    <x v="0"/>
    <n v="1"/>
  </r>
  <r>
    <x v="28"/>
    <x v="0"/>
    <x v="0"/>
    <s v="2024/12"/>
    <x v="1"/>
    <s v=""/>
  </r>
  <r>
    <x v="29"/>
    <x v="0"/>
    <x v="0"/>
    <s v="2024/12"/>
    <x v="0"/>
    <n v="1"/>
  </r>
  <r>
    <x v="29"/>
    <x v="0"/>
    <x v="0"/>
    <s v="2024/12"/>
    <x v="1"/>
    <s v=""/>
  </r>
  <r>
    <x v="29"/>
    <x v="0"/>
    <x v="0"/>
    <s v="2024/12"/>
    <x v="1"/>
    <s v=""/>
  </r>
  <r>
    <x v="30"/>
    <x v="0"/>
    <x v="0"/>
    <s v="2024/12"/>
    <x v="0"/>
    <n v="1"/>
  </r>
  <r>
    <x v="30"/>
    <x v="0"/>
    <x v="0"/>
    <s v="2024/12"/>
    <x v="1"/>
    <s v=""/>
  </r>
  <r>
    <x v="31"/>
    <x v="0"/>
    <x v="0"/>
    <s v="2024/12"/>
    <x v="0"/>
    <n v="1"/>
  </r>
  <r>
    <x v="31"/>
    <x v="0"/>
    <x v="0"/>
    <s v="2024/12"/>
    <x v="1"/>
    <s v=""/>
  </r>
  <r>
    <x v="31"/>
    <x v="0"/>
    <x v="0"/>
    <s v="2024/12"/>
    <x v="1"/>
    <s v=""/>
  </r>
  <r>
    <x v="31"/>
    <x v="0"/>
    <x v="0"/>
    <s v="2024/12"/>
    <x v="1"/>
    <s v=""/>
  </r>
  <r>
    <x v="32"/>
    <x v="0"/>
    <x v="0"/>
    <s v="2024/12"/>
    <x v="0"/>
    <n v="1"/>
  </r>
  <r>
    <x v="32"/>
    <x v="0"/>
    <x v="0"/>
    <s v="2024/12"/>
    <x v="1"/>
    <s v=""/>
  </r>
  <r>
    <x v="32"/>
    <x v="0"/>
    <x v="0"/>
    <s v="2024/12"/>
    <x v="1"/>
    <s v=""/>
  </r>
  <r>
    <x v="32"/>
    <x v="0"/>
    <x v="0"/>
    <s v="2024/12"/>
    <x v="1"/>
    <s v=""/>
  </r>
  <r>
    <x v="32"/>
    <x v="0"/>
    <x v="0"/>
    <s v="2024/12"/>
    <x v="1"/>
    <s v=""/>
  </r>
  <r>
    <x v="33"/>
    <x v="0"/>
    <x v="0"/>
    <s v="2024/12"/>
    <x v="0"/>
    <n v="1"/>
  </r>
  <r>
    <x v="33"/>
    <x v="0"/>
    <x v="0"/>
    <s v="2024/12"/>
    <x v="1"/>
    <s v=""/>
  </r>
  <r>
    <x v="34"/>
    <x v="0"/>
    <x v="0"/>
    <s v="2024/12"/>
    <x v="0"/>
    <n v="1"/>
  </r>
  <r>
    <x v="35"/>
    <x v="0"/>
    <x v="0"/>
    <s v="2024/12"/>
    <x v="1"/>
    <s v=""/>
  </r>
  <r>
    <x v="35"/>
    <x v="0"/>
    <x v="0"/>
    <s v="2024/12"/>
    <x v="1"/>
    <s v=""/>
  </r>
  <r>
    <x v="36"/>
    <x v="0"/>
    <x v="0"/>
    <s v="2024/12"/>
    <x v="0"/>
    <n v="1"/>
  </r>
  <r>
    <x v="36"/>
    <x v="0"/>
    <x v="0"/>
    <s v="2024/12"/>
    <x v="1"/>
    <s v=""/>
  </r>
  <r>
    <x v="36"/>
    <x v="0"/>
    <x v="0"/>
    <s v="2024/12"/>
    <x v="1"/>
    <s v=""/>
  </r>
  <r>
    <x v="36"/>
    <x v="0"/>
    <x v="0"/>
    <s v="2024/12"/>
    <x v="1"/>
    <s v=""/>
  </r>
  <r>
    <x v="36"/>
    <x v="0"/>
    <x v="0"/>
    <s v="2024/12"/>
    <x v="1"/>
    <s v=""/>
  </r>
  <r>
    <x v="37"/>
    <x v="0"/>
    <x v="0"/>
    <s v="2024/12"/>
    <x v="0"/>
    <n v="1"/>
  </r>
  <r>
    <x v="37"/>
    <x v="0"/>
    <x v="0"/>
    <s v="2024/12"/>
    <x v="1"/>
    <s v=""/>
  </r>
  <r>
    <x v="37"/>
    <x v="0"/>
    <x v="0"/>
    <s v="2024/12"/>
    <x v="1"/>
    <s v=""/>
  </r>
  <r>
    <x v="38"/>
    <x v="0"/>
    <x v="0"/>
    <s v="2024/12"/>
    <x v="0"/>
    <n v="1"/>
  </r>
  <r>
    <x v="38"/>
    <x v="0"/>
    <x v="0"/>
    <s v="2024/12"/>
    <x v="1"/>
    <s v=""/>
  </r>
  <r>
    <x v="38"/>
    <x v="0"/>
    <x v="0"/>
    <s v="2024/12"/>
    <x v="1"/>
    <s v=""/>
  </r>
  <r>
    <x v="39"/>
    <x v="0"/>
    <x v="0"/>
    <s v="2024/12"/>
    <x v="0"/>
    <n v="1"/>
  </r>
  <r>
    <x v="39"/>
    <x v="0"/>
    <x v="0"/>
    <s v="2024/12"/>
    <x v="1"/>
    <s v=""/>
  </r>
  <r>
    <x v="39"/>
    <x v="0"/>
    <x v="0"/>
    <s v="2024/12"/>
    <x v="1"/>
    <s v=""/>
  </r>
  <r>
    <x v="40"/>
    <x v="0"/>
    <x v="0"/>
    <s v="2024/12"/>
    <x v="0"/>
    <n v="1"/>
  </r>
  <r>
    <x v="40"/>
    <x v="0"/>
    <x v="0"/>
    <s v="2024/12"/>
    <x v="1"/>
    <s v=""/>
  </r>
  <r>
    <x v="40"/>
    <x v="0"/>
    <x v="0"/>
    <s v="2024/12"/>
    <x v="1"/>
    <s v=""/>
  </r>
  <r>
    <x v="40"/>
    <x v="0"/>
    <x v="0"/>
    <s v="2024/12"/>
    <x v="1"/>
    <s v=""/>
  </r>
  <r>
    <x v="41"/>
    <x v="0"/>
    <x v="0"/>
    <s v="2024/12"/>
    <x v="0"/>
    <n v="1"/>
  </r>
  <r>
    <x v="41"/>
    <x v="0"/>
    <x v="0"/>
    <s v="2024/12"/>
    <x v="1"/>
    <s v=""/>
  </r>
  <r>
    <x v="41"/>
    <x v="0"/>
    <x v="0"/>
    <s v="2024/12"/>
    <x v="1"/>
    <s v=""/>
  </r>
  <r>
    <x v="42"/>
    <x v="0"/>
    <x v="0"/>
    <s v="2024/12"/>
    <x v="0"/>
    <n v="1"/>
  </r>
  <r>
    <x v="42"/>
    <x v="0"/>
    <x v="0"/>
    <s v="2024/12"/>
    <x v="1"/>
    <s v=""/>
  </r>
  <r>
    <x v="43"/>
    <x v="0"/>
    <x v="1"/>
    <s v="2024/12"/>
    <x v="2"/>
    <n v="1"/>
  </r>
  <r>
    <x v="43"/>
    <x v="0"/>
    <x v="1"/>
    <s v="2024/12"/>
    <x v="1"/>
    <s v=""/>
  </r>
  <r>
    <x v="44"/>
    <x v="0"/>
    <x v="0"/>
    <s v="2024/12"/>
    <x v="0"/>
    <n v="1"/>
  </r>
  <r>
    <x v="44"/>
    <x v="0"/>
    <x v="0"/>
    <s v="2024/12"/>
    <x v="1"/>
    <s v=""/>
  </r>
  <r>
    <x v="44"/>
    <x v="0"/>
    <x v="0"/>
    <s v="2024/12"/>
    <x v="1"/>
    <s v=""/>
  </r>
  <r>
    <x v="45"/>
    <x v="0"/>
    <x v="0"/>
    <s v="2024/12"/>
    <x v="0"/>
    <n v="1"/>
  </r>
  <r>
    <x v="45"/>
    <x v="0"/>
    <x v="0"/>
    <s v="2024/12"/>
    <x v="1"/>
    <s v=""/>
  </r>
  <r>
    <x v="46"/>
    <x v="0"/>
    <x v="0"/>
    <s v="2024/12"/>
    <x v="0"/>
    <n v="1"/>
  </r>
  <r>
    <x v="46"/>
    <x v="0"/>
    <x v="0"/>
    <s v="2024/12"/>
    <x v="1"/>
    <s v=""/>
  </r>
  <r>
    <x v="47"/>
    <x v="0"/>
    <x v="0"/>
    <s v="2024/12"/>
    <x v="0"/>
    <n v="1"/>
  </r>
  <r>
    <x v="47"/>
    <x v="0"/>
    <x v="0"/>
    <s v="2024/12"/>
    <x v="1"/>
    <s v=""/>
  </r>
  <r>
    <x v="48"/>
    <x v="0"/>
    <x v="1"/>
    <s v="2024/12"/>
    <x v="2"/>
    <n v="1"/>
  </r>
  <r>
    <x v="49"/>
    <x v="0"/>
    <x v="0"/>
    <s v="2024/12"/>
    <x v="0"/>
    <n v="1"/>
  </r>
  <r>
    <x v="49"/>
    <x v="0"/>
    <x v="0"/>
    <s v="2024/12"/>
    <x v="1"/>
    <s v=""/>
  </r>
  <r>
    <x v="49"/>
    <x v="0"/>
    <x v="0"/>
    <s v="2024/12"/>
    <x v="1"/>
    <s v=""/>
  </r>
  <r>
    <x v="50"/>
    <x v="0"/>
    <x v="1"/>
    <s v="2024/12"/>
    <x v="2"/>
    <n v="1"/>
  </r>
  <r>
    <x v="50"/>
    <x v="0"/>
    <x v="1"/>
    <s v="2024/12"/>
    <x v="1"/>
    <s v=""/>
  </r>
  <r>
    <x v="50"/>
    <x v="0"/>
    <x v="1"/>
    <s v="2024/12"/>
    <x v="1"/>
    <s v=""/>
  </r>
  <r>
    <x v="51"/>
    <x v="0"/>
    <x v="0"/>
    <s v="2024/12"/>
    <x v="0"/>
    <n v="1"/>
  </r>
  <r>
    <x v="51"/>
    <x v="0"/>
    <x v="0"/>
    <s v="2024/12"/>
    <x v="1"/>
    <s v=""/>
  </r>
  <r>
    <x v="51"/>
    <x v="0"/>
    <x v="0"/>
    <s v="2024/12"/>
    <x v="1"/>
    <s v=""/>
  </r>
  <r>
    <x v="51"/>
    <x v="0"/>
    <x v="0"/>
    <s v="2024/12"/>
    <x v="1"/>
    <s v=""/>
  </r>
  <r>
    <x v="51"/>
    <x v="0"/>
    <x v="0"/>
    <s v="2024/12"/>
    <x v="1"/>
    <s v=""/>
  </r>
  <r>
    <x v="52"/>
    <x v="0"/>
    <x v="0"/>
    <s v="2024/12"/>
    <x v="0"/>
    <n v="1"/>
  </r>
  <r>
    <x v="52"/>
    <x v="0"/>
    <x v="0"/>
    <s v="2024/12"/>
    <x v="1"/>
    <s v=""/>
  </r>
  <r>
    <x v="52"/>
    <x v="0"/>
    <x v="0"/>
    <s v="2024/12"/>
    <x v="1"/>
    <s v=""/>
  </r>
  <r>
    <x v="53"/>
    <x v="0"/>
    <x v="0"/>
    <s v="2024/12"/>
    <x v="0"/>
    <n v="1"/>
  </r>
  <r>
    <x v="53"/>
    <x v="0"/>
    <x v="0"/>
    <s v="2024/12"/>
    <x v="1"/>
    <s v=""/>
  </r>
  <r>
    <x v="53"/>
    <x v="0"/>
    <x v="0"/>
    <s v="2024/12"/>
    <x v="1"/>
    <s v=""/>
  </r>
  <r>
    <x v="53"/>
    <x v="0"/>
    <x v="0"/>
    <s v="2024/12"/>
    <x v="1"/>
    <s v=""/>
  </r>
  <r>
    <x v="54"/>
    <x v="0"/>
    <x v="1"/>
    <s v="2024/12"/>
    <x v="2"/>
    <n v="1"/>
  </r>
  <r>
    <x v="54"/>
    <x v="0"/>
    <x v="1"/>
    <s v="2024/12"/>
    <x v="1"/>
    <s v=""/>
  </r>
  <r>
    <x v="55"/>
    <x v="0"/>
    <x v="0"/>
    <s v="2024/12"/>
    <x v="0"/>
    <n v="1"/>
  </r>
  <r>
    <x v="55"/>
    <x v="0"/>
    <x v="0"/>
    <s v="2024/12"/>
    <x v="1"/>
    <s v=""/>
  </r>
  <r>
    <x v="56"/>
    <x v="0"/>
    <x v="0"/>
    <s v="2024/12"/>
    <x v="0"/>
    <n v="1"/>
  </r>
  <r>
    <x v="56"/>
    <x v="0"/>
    <x v="0"/>
    <s v="2024/12"/>
    <x v="1"/>
    <s v=""/>
  </r>
  <r>
    <x v="56"/>
    <x v="0"/>
    <x v="0"/>
    <s v="2024/12"/>
    <x v="1"/>
    <s v=""/>
  </r>
  <r>
    <x v="57"/>
    <x v="0"/>
    <x v="0"/>
    <s v="2024/12"/>
    <x v="0"/>
    <n v="1"/>
  </r>
  <r>
    <x v="57"/>
    <x v="0"/>
    <x v="0"/>
    <s v="2024/12"/>
    <x v="1"/>
    <s v=""/>
  </r>
  <r>
    <x v="57"/>
    <x v="0"/>
    <x v="0"/>
    <s v="2024/12"/>
    <x v="1"/>
    <s v=""/>
  </r>
  <r>
    <x v="58"/>
    <x v="0"/>
    <x v="0"/>
    <s v="2024/12"/>
    <x v="0"/>
    <n v="1"/>
  </r>
  <r>
    <x v="58"/>
    <x v="0"/>
    <x v="0"/>
    <s v="2024/12"/>
    <x v="1"/>
    <s v=""/>
  </r>
  <r>
    <x v="58"/>
    <x v="0"/>
    <x v="0"/>
    <s v="2024/12"/>
    <x v="1"/>
    <s v=""/>
  </r>
  <r>
    <x v="58"/>
    <x v="0"/>
    <x v="0"/>
    <s v="2024/12"/>
    <x v="1"/>
    <s v=""/>
  </r>
  <r>
    <x v="59"/>
    <x v="0"/>
    <x v="0"/>
    <s v="2024/12"/>
    <x v="0"/>
    <n v="1"/>
  </r>
  <r>
    <x v="59"/>
    <x v="0"/>
    <x v="0"/>
    <s v="2024/12"/>
    <x v="1"/>
    <s v=""/>
  </r>
  <r>
    <x v="59"/>
    <x v="0"/>
    <x v="0"/>
    <s v="2024/12"/>
    <x v="1"/>
    <s v=""/>
  </r>
  <r>
    <x v="60"/>
    <x v="0"/>
    <x v="1"/>
    <s v="2024/12"/>
    <x v="2"/>
    <n v="1"/>
  </r>
  <r>
    <x v="60"/>
    <x v="0"/>
    <x v="1"/>
    <s v="2024/12"/>
    <x v="1"/>
    <s v=""/>
  </r>
  <r>
    <x v="60"/>
    <x v="0"/>
    <x v="1"/>
    <s v="2024/12"/>
    <x v="1"/>
    <s v=""/>
  </r>
  <r>
    <x v="61"/>
    <x v="0"/>
    <x v="0"/>
    <s v="2024/12"/>
    <x v="0"/>
    <n v="1"/>
  </r>
  <r>
    <x v="61"/>
    <x v="0"/>
    <x v="0"/>
    <s v="2024/12"/>
    <x v="1"/>
    <s v=""/>
  </r>
  <r>
    <x v="61"/>
    <x v="0"/>
    <x v="0"/>
    <s v="2024/12"/>
    <x v="1"/>
    <s v=""/>
  </r>
  <r>
    <x v="62"/>
    <x v="0"/>
    <x v="0"/>
    <s v="2024/12"/>
    <x v="0"/>
    <n v="1"/>
  </r>
  <r>
    <x v="62"/>
    <x v="0"/>
    <x v="0"/>
    <s v="2024/12"/>
    <x v="1"/>
    <s v=""/>
  </r>
  <r>
    <x v="63"/>
    <x v="0"/>
    <x v="1"/>
    <s v="2024/12"/>
    <x v="2"/>
    <n v="1"/>
  </r>
  <r>
    <x v="64"/>
    <x v="0"/>
    <x v="1"/>
    <s v="2024/12"/>
    <x v="1"/>
    <s v=""/>
  </r>
  <r>
    <x v="65"/>
    <x v="0"/>
    <x v="0"/>
    <s v="2024/12"/>
    <x v="0"/>
    <n v="1"/>
  </r>
  <r>
    <x v="65"/>
    <x v="0"/>
    <x v="0"/>
    <s v="2024/12"/>
    <x v="1"/>
    <s v=""/>
  </r>
  <r>
    <x v="65"/>
    <x v="0"/>
    <x v="0"/>
    <s v="2024/12"/>
    <x v="1"/>
    <s v=""/>
  </r>
  <r>
    <x v="66"/>
    <x v="0"/>
    <x v="2"/>
    <s v="2024/12"/>
    <x v="3"/>
    <n v="0"/>
  </r>
  <r>
    <x v="67"/>
    <x v="0"/>
    <x v="1"/>
    <s v="2024/12"/>
    <x v="2"/>
    <n v="1"/>
  </r>
  <r>
    <x v="67"/>
    <x v="0"/>
    <x v="1"/>
    <s v="2024/12"/>
    <x v="1"/>
    <s v=""/>
  </r>
  <r>
    <x v="67"/>
    <x v="0"/>
    <x v="1"/>
    <s v="2024/12"/>
    <x v="1"/>
    <s v=""/>
  </r>
  <r>
    <x v="68"/>
    <x v="0"/>
    <x v="0"/>
    <s v="2024/12"/>
    <x v="0"/>
    <n v="1"/>
  </r>
  <r>
    <x v="68"/>
    <x v="0"/>
    <x v="0"/>
    <s v="2024/12"/>
    <x v="1"/>
    <s v=""/>
  </r>
  <r>
    <x v="69"/>
    <x v="0"/>
    <x v="0"/>
    <s v="2024/12"/>
    <x v="0"/>
    <n v="1"/>
  </r>
  <r>
    <x v="69"/>
    <x v="0"/>
    <x v="0"/>
    <s v="2024/12"/>
    <x v="1"/>
    <s v=""/>
  </r>
  <r>
    <x v="70"/>
    <x v="0"/>
    <x v="0"/>
    <s v="2024/12"/>
    <x v="0"/>
    <n v="1"/>
  </r>
  <r>
    <x v="70"/>
    <x v="0"/>
    <x v="0"/>
    <s v="2024/12"/>
    <x v="1"/>
    <s v=""/>
  </r>
  <r>
    <x v="71"/>
    <x v="0"/>
    <x v="0"/>
    <s v="2024/12"/>
    <x v="0"/>
    <n v="1"/>
  </r>
  <r>
    <x v="71"/>
    <x v="0"/>
    <x v="0"/>
    <s v="2024/12"/>
    <x v="1"/>
    <s v=""/>
  </r>
  <r>
    <x v="71"/>
    <x v="0"/>
    <x v="0"/>
    <s v="2024/12"/>
    <x v="1"/>
    <s v=""/>
  </r>
  <r>
    <x v="72"/>
    <x v="0"/>
    <x v="0"/>
    <s v="2024/12"/>
    <x v="0"/>
    <n v="1"/>
  </r>
  <r>
    <x v="72"/>
    <x v="0"/>
    <x v="0"/>
    <s v="2024/12"/>
    <x v="1"/>
    <s v=""/>
  </r>
  <r>
    <x v="72"/>
    <x v="0"/>
    <x v="0"/>
    <s v="2024/12"/>
    <x v="1"/>
    <s v=""/>
  </r>
  <r>
    <x v="73"/>
    <x v="0"/>
    <x v="0"/>
    <s v="2024/12"/>
    <x v="0"/>
    <n v="1"/>
  </r>
  <r>
    <x v="73"/>
    <x v="0"/>
    <x v="0"/>
    <s v="2024/12"/>
    <x v="1"/>
    <s v=""/>
  </r>
  <r>
    <x v="73"/>
    <x v="0"/>
    <x v="0"/>
    <s v="2024/12"/>
    <x v="1"/>
    <s v=""/>
  </r>
  <r>
    <x v="74"/>
    <x v="0"/>
    <x v="0"/>
    <s v="2024/12"/>
    <x v="0"/>
    <n v="1"/>
  </r>
  <r>
    <x v="74"/>
    <x v="0"/>
    <x v="0"/>
    <s v="2024/12"/>
    <x v="1"/>
    <s v=""/>
  </r>
  <r>
    <x v="74"/>
    <x v="0"/>
    <x v="0"/>
    <s v="2024/12"/>
    <x v="1"/>
    <s v=""/>
  </r>
  <r>
    <x v="75"/>
    <x v="0"/>
    <x v="3"/>
    <s v="2024/12"/>
    <x v="4"/>
    <n v="1"/>
  </r>
  <r>
    <x v="76"/>
    <x v="0"/>
    <x v="0"/>
    <s v="2024/12"/>
    <x v="0"/>
    <n v="1"/>
  </r>
  <r>
    <x v="76"/>
    <x v="0"/>
    <x v="0"/>
    <s v="2024/12"/>
    <x v="1"/>
    <s v=""/>
  </r>
  <r>
    <x v="76"/>
    <x v="0"/>
    <x v="0"/>
    <s v="2024/12"/>
    <x v="1"/>
    <s v=""/>
  </r>
  <r>
    <x v="77"/>
    <x v="0"/>
    <x v="0"/>
    <s v="2024/12"/>
    <x v="0"/>
    <n v="1"/>
  </r>
  <r>
    <x v="77"/>
    <x v="0"/>
    <x v="0"/>
    <s v="2024/12"/>
    <x v="1"/>
    <s v=""/>
  </r>
  <r>
    <x v="77"/>
    <x v="0"/>
    <x v="0"/>
    <s v="2024/12"/>
    <x v="1"/>
    <s v=""/>
  </r>
  <r>
    <x v="78"/>
    <x v="0"/>
    <x v="1"/>
    <s v="2024/12"/>
    <x v="2"/>
    <n v="1"/>
  </r>
  <r>
    <x v="78"/>
    <x v="0"/>
    <x v="1"/>
    <s v="2024/12"/>
    <x v="1"/>
    <s v=""/>
  </r>
  <r>
    <x v="79"/>
    <x v="0"/>
    <x v="0"/>
    <s v="2024/12"/>
    <x v="0"/>
    <n v="1"/>
  </r>
  <r>
    <x v="79"/>
    <x v="0"/>
    <x v="0"/>
    <s v="2024/12"/>
    <x v="1"/>
    <s v=""/>
  </r>
  <r>
    <x v="79"/>
    <x v="0"/>
    <x v="0"/>
    <s v="2024/12"/>
    <x v="1"/>
    <s v=""/>
  </r>
  <r>
    <x v="80"/>
    <x v="0"/>
    <x v="0"/>
    <s v="2024/12"/>
    <x v="0"/>
    <n v="1"/>
  </r>
  <r>
    <x v="80"/>
    <x v="0"/>
    <x v="0"/>
    <s v="2024/12"/>
    <x v="1"/>
    <s v=""/>
  </r>
  <r>
    <x v="81"/>
    <x v="0"/>
    <x v="0"/>
    <s v="2024/12"/>
    <x v="0"/>
    <n v="1"/>
  </r>
  <r>
    <x v="81"/>
    <x v="0"/>
    <x v="0"/>
    <s v="2024/12"/>
    <x v="1"/>
    <s v=""/>
  </r>
  <r>
    <x v="81"/>
    <x v="0"/>
    <x v="0"/>
    <s v="2024/12"/>
    <x v="1"/>
    <s v=""/>
  </r>
  <r>
    <x v="82"/>
    <x v="0"/>
    <x v="0"/>
    <s v="2024/12"/>
    <x v="0"/>
    <n v="1"/>
  </r>
  <r>
    <x v="82"/>
    <x v="0"/>
    <x v="0"/>
    <s v="2024/12"/>
    <x v="1"/>
    <s v=""/>
  </r>
  <r>
    <x v="82"/>
    <x v="0"/>
    <x v="0"/>
    <s v="2024/12"/>
    <x v="1"/>
    <s v=""/>
  </r>
  <r>
    <x v="82"/>
    <x v="0"/>
    <x v="0"/>
    <s v="2024/12"/>
    <x v="1"/>
    <s v=""/>
  </r>
  <r>
    <x v="82"/>
    <x v="0"/>
    <x v="0"/>
    <s v="2024/12"/>
    <x v="1"/>
    <s v=""/>
  </r>
  <r>
    <x v="83"/>
    <x v="0"/>
    <x v="0"/>
    <s v="2024/12"/>
    <x v="0"/>
    <n v="1"/>
  </r>
  <r>
    <x v="83"/>
    <x v="0"/>
    <x v="0"/>
    <s v="2024/12"/>
    <x v="1"/>
    <s v=""/>
  </r>
  <r>
    <x v="84"/>
    <x v="0"/>
    <x v="0"/>
    <s v="2024/12"/>
    <x v="0"/>
    <n v="1"/>
  </r>
  <r>
    <x v="84"/>
    <x v="0"/>
    <x v="0"/>
    <s v="2024/12"/>
    <x v="1"/>
    <s v=""/>
  </r>
  <r>
    <x v="84"/>
    <x v="0"/>
    <x v="0"/>
    <s v="2024/12"/>
    <x v="1"/>
    <s v=""/>
  </r>
  <r>
    <x v="85"/>
    <x v="0"/>
    <x v="0"/>
    <s v="2024/12"/>
    <x v="0"/>
    <n v="1"/>
  </r>
  <r>
    <x v="85"/>
    <x v="0"/>
    <x v="0"/>
    <s v="2024/12"/>
    <x v="1"/>
    <s v=""/>
  </r>
  <r>
    <x v="86"/>
    <x v="0"/>
    <x v="0"/>
    <s v="2024/12"/>
    <x v="0"/>
    <n v="1"/>
  </r>
  <r>
    <x v="86"/>
    <x v="0"/>
    <x v="0"/>
    <s v="2024/12"/>
    <x v="1"/>
    <s v=""/>
  </r>
  <r>
    <x v="87"/>
    <x v="0"/>
    <x v="0"/>
    <s v="2024/12"/>
    <x v="0"/>
    <n v="1"/>
  </r>
  <r>
    <x v="87"/>
    <x v="0"/>
    <x v="0"/>
    <s v="2024/12"/>
    <x v="1"/>
    <s v=""/>
  </r>
  <r>
    <x v="88"/>
    <x v="0"/>
    <x v="0"/>
    <s v="2024/12"/>
    <x v="0"/>
    <n v="1"/>
  </r>
  <r>
    <x v="88"/>
    <x v="0"/>
    <x v="0"/>
    <s v="2024/12"/>
    <x v="1"/>
    <s v=""/>
  </r>
  <r>
    <x v="89"/>
    <x v="0"/>
    <x v="1"/>
    <s v="2024/12"/>
    <x v="2"/>
    <n v="1"/>
  </r>
  <r>
    <x v="90"/>
    <x v="0"/>
    <x v="1"/>
    <s v="2024/12"/>
    <x v="1"/>
    <s v=""/>
  </r>
  <r>
    <x v="91"/>
    <x v="0"/>
    <x v="0"/>
    <s v="2024/12"/>
    <x v="0"/>
    <n v="1"/>
  </r>
  <r>
    <x v="91"/>
    <x v="0"/>
    <x v="0"/>
    <s v="2024/12"/>
    <x v="1"/>
    <s v=""/>
  </r>
  <r>
    <x v="91"/>
    <x v="0"/>
    <x v="0"/>
    <s v="2024/12"/>
    <x v="1"/>
    <s v=""/>
  </r>
  <r>
    <x v="92"/>
    <x v="0"/>
    <x v="0"/>
    <s v="2024/12"/>
    <x v="0"/>
    <n v="1"/>
  </r>
  <r>
    <x v="92"/>
    <x v="0"/>
    <x v="0"/>
    <s v="2024/12"/>
    <x v="1"/>
    <s v=""/>
  </r>
  <r>
    <x v="92"/>
    <x v="0"/>
    <x v="0"/>
    <s v="2024/12"/>
    <x v="1"/>
    <s v=""/>
  </r>
  <r>
    <x v="93"/>
    <x v="0"/>
    <x v="0"/>
    <s v="2024/12"/>
    <x v="0"/>
    <n v="1"/>
  </r>
  <r>
    <x v="93"/>
    <x v="0"/>
    <x v="0"/>
    <s v="2024/12"/>
    <x v="1"/>
    <s v=""/>
  </r>
  <r>
    <x v="93"/>
    <x v="0"/>
    <x v="0"/>
    <s v="2024/12"/>
    <x v="1"/>
    <s v=""/>
  </r>
  <r>
    <x v="93"/>
    <x v="0"/>
    <x v="0"/>
    <s v="2024/12"/>
    <x v="1"/>
    <s v=""/>
  </r>
  <r>
    <x v="94"/>
    <x v="0"/>
    <x v="1"/>
    <s v="2024/12"/>
    <x v="2"/>
    <n v="1"/>
  </r>
  <r>
    <x v="94"/>
    <x v="0"/>
    <x v="1"/>
    <s v="2024/12"/>
    <x v="1"/>
    <s v=""/>
  </r>
  <r>
    <x v="95"/>
    <x v="0"/>
    <x v="1"/>
    <s v="2024/12"/>
    <x v="2"/>
    <n v="1"/>
  </r>
  <r>
    <x v="95"/>
    <x v="0"/>
    <x v="1"/>
    <s v="2024/12"/>
    <x v="1"/>
    <s v=""/>
  </r>
  <r>
    <x v="96"/>
    <x v="0"/>
    <x v="0"/>
    <s v="2024/12"/>
    <x v="0"/>
    <n v="1"/>
  </r>
  <r>
    <x v="96"/>
    <x v="0"/>
    <x v="0"/>
    <s v="2024/12"/>
    <x v="1"/>
    <s v=""/>
  </r>
  <r>
    <x v="97"/>
    <x v="0"/>
    <x v="0"/>
    <s v="2024/12"/>
    <x v="0"/>
    <n v="1"/>
  </r>
  <r>
    <x v="98"/>
    <x v="0"/>
    <x v="0"/>
    <s v="2024/12"/>
    <x v="1"/>
    <s v=""/>
  </r>
  <r>
    <x v="99"/>
    <x v="0"/>
    <x v="0"/>
    <s v="2024/12"/>
    <x v="0"/>
    <n v="1"/>
  </r>
  <r>
    <x v="99"/>
    <x v="0"/>
    <x v="0"/>
    <s v="2024/12"/>
    <x v="1"/>
    <s v=""/>
  </r>
  <r>
    <x v="100"/>
    <x v="0"/>
    <x v="1"/>
    <s v="2024/12"/>
    <x v="2"/>
    <n v="1"/>
  </r>
  <r>
    <x v="100"/>
    <x v="0"/>
    <x v="1"/>
    <s v="2024/12"/>
    <x v="1"/>
    <s v=""/>
  </r>
  <r>
    <x v="101"/>
    <x v="0"/>
    <x v="0"/>
    <s v="2024/12"/>
    <x v="0"/>
    <n v="1"/>
  </r>
  <r>
    <x v="101"/>
    <x v="0"/>
    <x v="0"/>
    <s v="2024/12"/>
    <x v="1"/>
    <s v=""/>
  </r>
  <r>
    <x v="102"/>
    <x v="0"/>
    <x v="0"/>
    <s v="2024/12"/>
    <x v="0"/>
    <n v="1"/>
  </r>
  <r>
    <x v="102"/>
    <x v="0"/>
    <x v="0"/>
    <s v="2024/12"/>
    <x v="1"/>
    <s v=""/>
  </r>
  <r>
    <x v="103"/>
    <x v="0"/>
    <x v="0"/>
    <s v="2024/12"/>
    <x v="0"/>
    <n v="1"/>
  </r>
  <r>
    <x v="103"/>
    <x v="0"/>
    <x v="0"/>
    <s v="2024/12"/>
    <x v="1"/>
    <s v=""/>
  </r>
  <r>
    <x v="103"/>
    <x v="0"/>
    <x v="0"/>
    <s v="2024/12"/>
    <x v="1"/>
    <s v=""/>
  </r>
  <r>
    <x v="104"/>
    <x v="0"/>
    <x v="0"/>
    <s v="2024/12"/>
    <x v="0"/>
    <n v="1"/>
  </r>
  <r>
    <x v="104"/>
    <x v="0"/>
    <x v="0"/>
    <s v="2024/12"/>
    <x v="1"/>
    <s v=""/>
  </r>
  <r>
    <x v="104"/>
    <x v="0"/>
    <x v="0"/>
    <s v="2024/12"/>
    <x v="1"/>
    <s v=""/>
  </r>
  <r>
    <x v="105"/>
    <x v="0"/>
    <x v="1"/>
    <s v="2024/12"/>
    <x v="2"/>
    <n v="1"/>
  </r>
  <r>
    <x v="105"/>
    <x v="0"/>
    <x v="1"/>
    <s v="2024/12"/>
    <x v="1"/>
    <s v=""/>
  </r>
  <r>
    <x v="106"/>
    <x v="0"/>
    <x v="0"/>
    <s v="2024/12"/>
    <x v="0"/>
    <n v="1"/>
  </r>
  <r>
    <x v="107"/>
    <x v="0"/>
    <x v="0"/>
    <s v="2024/12"/>
    <x v="1"/>
    <s v=""/>
  </r>
  <r>
    <x v="108"/>
    <x v="0"/>
    <x v="0"/>
    <s v="2024/12"/>
    <x v="0"/>
    <n v="1"/>
  </r>
  <r>
    <x v="108"/>
    <x v="0"/>
    <x v="0"/>
    <s v="2024/12"/>
    <x v="1"/>
    <s v=""/>
  </r>
  <r>
    <x v="108"/>
    <x v="0"/>
    <x v="0"/>
    <s v="2024/12"/>
    <x v="1"/>
    <s v=""/>
  </r>
  <r>
    <x v="108"/>
    <x v="0"/>
    <x v="0"/>
    <s v="2024/12"/>
    <x v="1"/>
    <s v=""/>
  </r>
  <r>
    <x v="109"/>
    <x v="0"/>
    <x v="0"/>
    <s v="2024/12"/>
    <x v="0"/>
    <n v="1"/>
  </r>
  <r>
    <x v="109"/>
    <x v="0"/>
    <x v="0"/>
    <s v="2024/12"/>
    <x v="1"/>
    <s v=""/>
  </r>
  <r>
    <x v="110"/>
    <x v="0"/>
    <x v="1"/>
    <s v="2024/12"/>
    <x v="2"/>
    <n v="1"/>
  </r>
  <r>
    <x v="110"/>
    <x v="0"/>
    <x v="1"/>
    <s v="2024/12"/>
    <x v="1"/>
    <s v=""/>
  </r>
  <r>
    <x v="111"/>
    <x v="0"/>
    <x v="1"/>
    <s v="2024/12"/>
    <x v="2"/>
    <n v="1"/>
  </r>
  <r>
    <x v="111"/>
    <x v="0"/>
    <x v="1"/>
    <s v="2024/12"/>
    <x v="1"/>
    <s v=""/>
  </r>
  <r>
    <x v="111"/>
    <x v="0"/>
    <x v="1"/>
    <s v="2024/12"/>
    <x v="1"/>
    <s v=""/>
  </r>
  <r>
    <x v="112"/>
    <x v="0"/>
    <x v="1"/>
    <s v="2024/12"/>
    <x v="1"/>
    <s v=""/>
  </r>
  <r>
    <x v="113"/>
    <x v="0"/>
    <x v="1"/>
    <s v="2024/12"/>
    <x v="2"/>
    <n v="1"/>
  </r>
  <r>
    <x v="113"/>
    <x v="0"/>
    <x v="1"/>
    <s v="2024/12"/>
    <x v="1"/>
    <s v=""/>
  </r>
  <r>
    <x v="114"/>
    <x v="0"/>
    <x v="0"/>
    <s v="2024/12"/>
    <x v="0"/>
    <n v="1"/>
  </r>
  <r>
    <x v="114"/>
    <x v="0"/>
    <x v="0"/>
    <s v="2024/12"/>
    <x v="1"/>
    <s v=""/>
  </r>
  <r>
    <x v="114"/>
    <x v="0"/>
    <x v="0"/>
    <s v="2024/12"/>
    <x v="1"/>
    <s v=""/>
  </r>
  <r>
    <x v="115"/>
    <x v="0"/>
    <x v="1"/>
    <s v="2024/12"/>
    <x v="2"/>
    <n v="1"/>
  </r>
  <r>
    <x v="116"/>
    <x v="0"/>
    <x v="1"/>
    <s v="2024/12"/>
    <x v="2"/>
    <n v="1"/>
  </r>
  <r>
    <x v="116"/>
    <x v="0"/>
    <x v="1"/>
    <s v="2024/12"/>
    <x v="1"/>
    <s v=""/>
  </r>
  <r>
    <x v="117"/>
    <x v="0"/>
    <x v="0"/>
    <s v="2024/12"/>
    <x v="0"/>
    <n v="1"/>
  </r>
  <r>
    <x v="117"/>
    <x v="0"/>
    <x v="0"/>
    <s v="2024/12"/>
    <x v="1"/>
    <s v=""/>
  </r>
  <r>
    <x v="118"/>
    <x v="0"/>
    <x v="0"/>
    <s v="2024/12"/>
    <x v="0"/>
    <n v="1"/>
  </r>
  <r>
    <x v="119"/>
    <x v="0"/>
    <x v="0"/>
    <s v="2024/12"/>
    <x v="0"/>
    <n v="1"/>
  </r>
  <r>
    <x v="119"/>
    <x v="0"/>
    <x v="0"/>
    <s v="2024/12"/>
    <x v="1"/>
    <s v=""/>
  </r>
  <r>
    <x v="119"/>
    <x v="0"/>
    <x v="0"/>
    <s v="2024/12"/>
    <x v="1"/>
    <s v=""/>
  </r>
  <r>
    <x v="120"/>
    <x v="0"/>
    <x v="3"/>
    <s v="2024/12"/>
    <x v="4"/>
    <n v="1"/>
  </r>
  <r>
    <x v="121"/>
    <x v="0"/>
    <x v="0"/>
    <s v="2024/12"/>
    <x v="0"/>
    <n v="1"/>
  </r>
  <r>
    <x v="121"/>
    <x v="0"/>
    <x v="0"/>
    <s v="2024/12"/>
    <x v="1"/>
    <s v=""/>
  </r>
  <r>
    <x v="122"/>
    <x v="0"/>
    <x v="1"/>
    <s v="2024/12"/>
    <x v="2"/>
    <n v="1"/>
  </r>
  <r>
    <x v="123"/>
    <x v="0"/>
    <x v="1"/>
    <s v="2024/12"/>
    <x v="1"/>
    <s v=""/>
  </r>
  <r>
    <x v="124"/>
    <x v="0"/>
    <x v="1"/>
    <s v="2025/01"/>
    <x v="2"/>
    <n v="1"/>
  </r>
  <r>
    <x v="124"/>
    <x v="0"/>
    <x v="1"/>
    <s v="2025/01"/>
    <x v="1"/>
    <s v=""/>
  </r>
  <r>
    <x v="124"/>
    <x v="0"/>
    <x v="1"/>
    <s v="2025/01"/>
    <x v="1"/>
    <s v=""/>
  </r>
  <r>
    <x v="125"/>
    <x v="0"/>
    <x v="0"/>
    <s v="2025/01"/>
    <x v="0"/>
    <n v="1"/>
  </r>
  <r>
    <x v="125"/>
    <x v="0"/>
    <x v="0"/>
    <s v="2025/01"/>
    <x v="1"/>
    <s v=""/>
  </r>
  <r>
    <x v="125"/>
    <x v="0"/>
    <x v="0"/>
    <s v="2025/01"/>
    <x v="1"/>
    <s v=""/>
  </r>
  <r>
    <x v="126"/>
    <x v="0"/>
    <x v="0"/>
    <s v="2025/01"/>
    <x v="0"/>
    <n v="1"/>
  </r>
  <r>
    <x v="126"/>
    <x v="0"/>
    <x v="0"/>
    <s v="2025/01"/>
    <x v="1"/>
    <s v=""/>
  </r>
  <r>
    <x v="126"/>
    <x v="0"/>
    <x v="0"/>
    <s v="2025/01"/>
    <x v="1"/>
    <s v=""/>
  </r>
  <r>
    <x v="127"/>
    <x v="0"/>
    <x v="1"/>
    <s v="2025/01"/>
    <x v="2"/>
    <n v="1"/>
  </r>
  <r>
    <x v="127"/>
    <x v="0"/>
    <x v="1"/>
    <s v="2025/01"/>
    <x v="1"/>
    <s v=""/>
  </r>
  <r>
    <x v="128"/>
    <x v="0"/>
    <x v="0"/>
    <s v="2025/01"/>
    <x v="0"/>
    <n v="1"/>
  </r>
  <r>
    <x v="128"/>
    <x v="0"/>
    <x v="0"/>
    <s v="2025/01"/>
    <x v="1"/>
    <s v=""/>
  </r>
  <r>
    <x v="128"/>
    <x v="0"/>
    <x v="0"/>
    <s v="2025/01"/>
    <x v="1"/>
    <s v=""/>
  </r>
  <r>
    <x v="129"/>
    <x v="0"/>
    <x v="0"/>
    <s v="2025/01"/>
    <x v="0"/>
    <n v="1"/>
  </r>
  <r>
    <x v="129"/>
    <x v="0"/>
    <x v="0"/>
    <s v="2025/01"/>
    <x v="1"/>
    <s v=""/>
  </r>
  <r>
    <x v="129"/>
    <x v="0"/>
    <x v="0"/>
    <s v="2025/01"/>
    <x v="1"/>
    <s v=""/>
  </r>
  <r>
    <x v="129"/>
    <x v="0"/>
    <x v="0"/>
    <s v="2025/01"/>
    <x v="1"/>
    <s v=""/>
  </r>
  <r>
    <x v="130"/>
    <x v="0"/>
    <x v="0"/>
    <s v="2025/01"/>
    <x v="0"/>
    <n v="1"/>
  </r>
  <r>
    <x v="130"/>
    <x v="0"/>
    <x v="0"/>
    <s v="2025/01"/>
    <x v="1"/>
    <s v=""/>
  </r>
  <r>
    <x v="131"/>
    <x v="0"/>
    <x v="1"/>
    <s v="2025/01"/>
    <x v="2"/>
    <n v="1"/>
  </r>
  <r>
    <x v="132"/>
    <x v="0"/>
    <x v="0"/>
    <s v="2025/01"/>
    <x v="0"/>
    <n v="1"/>
  </r>
  <r>
    <x v="132"/>
    <x v="0"/>
    <x v="0"/>
    <s v="2025/01"/>
    <x v="1"/>
    <s v=""/>
  </r>
  <r>
    <x v="133"/>
    <x v="0"/>
    <x v="0"/>
    <s v="2025/01"/>
    <x v="0"/>
    <n v="1"/>
  </r>
  <r>
    <x v="133"/>
    <x v="0"/>
    <x v="0"/>
    <s v="2025/01"/>
    <x v="1"/>
    <s v=""/>
  </r>
  <r>
    <x v="134"/>
    <x v="0"/>
    <x v="0"/>
    <s v="2025/01"/>
    <x v="0"/>
    <n v="1"/>
  </r>
  <r>
    <x v="134"/>
    <x v="0"/>
    <x v="0"/>
    <s v="2025/01"/>
    <x v="1"/>
    <s v=""/>
  </r>
  <r>
    <x v="134"/>
    <x v="0"/>
    <x v="0"/>
    <s v="2025/01"/>
    <x v="1"/>
    <s v=""/>
  </r>
  <r>
    <x v="135"/>
    <x v="0"/>
    <x v="0"/>
    <s v="2025/01"/>
    <x v="0"/>
    <n v="1"/>
  </r>
  <r>
    <x v="135"/>
    <x v="0"/>
    <x v="0"/>
    <s v="2025/01"/>
    <x v="1"/>
    <s v=""/>
  </r>
  <r>
    <x v="136"/>
    <x v="0"/>
    <x v="0"/>
    <s v="2025/01"/>
    <x v="1"/>
    <s v=""/>
  </r>
  <r>
    <x v="137"/>
    <x v="0"/>
    <x v="0"/>
    <s v="2025/01"/>
    <x v="0"/>
    <n v="1"/>
  </r>
  <r>
    <x v="137"/>
    <x v="0"/>
    <x v="0"/>
    <s v="2025/01"/>
    <x v="1"/>
    <s v=""/>
  </r>
  <r>
    <x v="137"/>
    <x v="0"/>
    <x v="0"/>
    <s v="2025/01"/>
    <x v="1"/>
    <s v=""/>
  </r>
  <r>
    <x v="138"/>
    <x v="0"/>
    <x v="0"/>
    <s v="2025/01"/>
    <x v="0"/>
    <n v="1"/>
  </r>
  <r>
    <x v="138"/>
    <x v="0"/>
    <x v="0"/>
    <s v="2025/01"/>
    <x v="1"/>
    <s v=""/>
  </r>
  <r>
    <x v="139"/>
    <x v="0"/>
    <x v="0"/>
    <s v="2025/01"/>
    <x v="0"/>
    <n v="1"/>
  </r>
  <r>
    <x v="139"/>
    <x v="0"/>
    <x v="0"/>
    <s v="2025/01"/>
    <x v="1"/>
    <s v=""/>
  </r>
  <r>
    <x v="139"/>
    <x v="0"/>
    <x v="0"/>
    <s v="2025/01"/>
    <x v="1"/>
    <s v=""/>
  </r>
  <r>
    <x v="140"/>
    <x v="0"/>
    <x v="1"/>
    <s v="2025/01"/>
    <x v="2"/>
    <n v="1"/>
  </r>
  <r>
    <x v="140"/>
    <x v="0"/>
    <x v="1"/>
    <s v="2025/01"/>
    <x v="1"/>
    <s v=""/>
  </r>
  <r>
    <x v="141"/>
    <x v="0"/>
    <x v="1"/>
    <s v="2025/01"/>
    <x v="2"/>
    <n v="1"/>
  </r>
  <r>
    <x v="141"/>
    <x v="0"/>
    <x v="1"/>
    <s v="2025/01"/>
    <x v="1"/>
    <s v=""/>
  </r>
  <r>
    <x v="142"/>
    <x v="0"/>
    <x v="0"/>
    <s v="2025/01"/>
    <x v="0"/>
    <n v="1"/>
  </r>
  <r>
    <x v="142"/>
    <x v="0"/>
    <x v="0"/>
    <s v="2025/01"/>
    <x v="1"/>
    <s v=""/>
  </r>
  <r>
    <x v="143"/>
    <x v="0"/>
    <x v="0"/>
    <s v="2025/01"/>
    <x v="0"/>
    <n v="1"/>
  </r>
  <r>
    <x v="143"/>
    <x v="0"/>
    <x v="0"/>
    <s v="2025/01"/>
    <x v="1"/>
    <s v=""/>
  </r>
  <r>
    <x v="144"/>
    <x v="0"/>
    <x v="0"/>
    <s v="2025/01"/>
    <x v="0"/>
    <n v="1"/>
  </r>
  <r>
    <x v="145"/>
    <x v="0"/>
    <x v="0"/>
    <s v="2025/01"/>
    <x v="0"/>
    <n v="1"/>
  </r>
  <r>
    <x v="146"/>
    <x v="0"/>
    <x v="1"/>
    <s v="2025/01"/>
    <x v="2"/>
    <n v="1"/>
  </r>
  <r>
    <x v="146"/>
    <x v="0"/>
    <x v="1"/>
    <s v="2025/01"/>
    <x v="1"/>
    <s v=""/>
  </r>
  <r>
    <x v="147"/>
    <x v="0"/>
    <x v="0"/>
    <s v="2025/01"/>
    <x v="0"/>
    <n v="1"/>
  </r>
  <r>
    <x v="147"/>
    <x v="0"/>
    <x v="0"/>
    <s v="2025/01"/>
    <x v="1"/>
    <s v=""/>
  </r>
  <r>
    <x v="148"/>
    <x v="0"/>
    <x v="1"/>
    <s v="2025/01"/>
    <x v="2"/>
    <n v="1"/>
  </r>
  <r>
    <x v="149"/>
    <x v="0"/>
    <x v="0"/>
    <s v="2025/01"/>
    <x v="0"/>
    <n v="1"/>
  </r>
  <r>
    <x v="149"/>
    <x v="0"/>
    <x v="0"/>
    <s v="2025/01"/>
    <x v="1"/>
    <s v=""/>
  </r>
  <r>
    <x v="149"/>
    <x v="0"/>
    <x v="0"/>
    <s v="2025/01"/>
    <x v="1"/>
    <s v=""/>
  </r>
  <r>
    <x v="149"/>
    <x v="0"/>
    <x v="0"/>
    <s v="2025/01"/>
    <x v="1"/>
    <s v=""/>
  </r>
  <r>
    <x v="150"/>
    <x v="0"/>
    <x v="3"/>
    <s v="2025/01"/>
    <x v="4"/>
    <n v="1"/>
  </r>
  <r>
    <x v="151"/>
    <x v="0"/>
    <x v="0"/>
    <s v="2025/01"/>
    <x v="0"/>
    <n v="1"/>
  </r>
  <r>
    <x v="151"/>
    <x v="0"/>
    <x v="0"/>
    <s v="2025/01"/>
    <x v="1"/>
    <s v=""/>
  </r>
  <r>
    <x v="151"/>
    <x v="0"/>
    <x v="0"/>
    <s v="2025/01"/>
    <x v="1"/>
    <s v=""/>
  </r>
  <r>
    <x v="152"/>
    <x v="0"/>
    <x v="0"/>
    <s v="2025/01"/>
    <x v="0"/>
    <n v="1"/>
  </r>
  <r>
    <x v="152"/>
    <x v="0"/>
    <x v="0"/>
    <s v="2025/01"/>
    <x v="1"/>
    <s v=""/>
  </r>
  <r>
    <x v="153"/>
    <x v="0"/>
    <x v="1"/>
    <s v="2025/01"/>
    <x v="2"/>
    <n v="1"/>
  </r>
  <r>
    <x v="154"/>
    <x v="0"/>
    <x v="0"/>
    <s v="2025/01"/>
    <x v="0"/>
    <n v="1"/>
  </r>
  <r>
    <x v="154"/>
    <x v="0"/>
    <x v="0"/>
    <s v="2025/01"/>
    <x v="1"/>
    <s v=""/>
  </r>
  <r>
    <x v="155"/>
    <x v="0"/>
    <x v="1"/>
    <s v="2025/01"/>
    <x v="2"/>
    <n v="1"/>
  </r>
  <r>
    <x v="155"/>
    <x v="0"/>
    <x v="1"/>
    <s v="2025/01"/>
    <x v="1"/>
    <s v=""/>
  </r>
  <r>
    <x v="156"/>
    <x v="0"/>
    <x v="0"/>
    <s v="2025/01"/>
    <x v="0"/>
    <n v="1"/>
  </r>
  <r>
    <x v="156"/>
    <x v="0"/>
    <x v="0"/>
    <s v="2025/01"/>
    <x v="1"/>
    <s v=""/>
  </r>
  <r>
    <x v="156"/>
    <x v="0"/>
    <x v="0"/>
    <s v="2025/01"/>
    <x v="1"/>
    <s v=""/>
  </r>
  <r>
    <x v="157"/>
    <x v="0"/>
    <x v="1"/>
    <s v="2025/01"/>
    <x v="2"/>
    <n v="1"/>
  </r>
  <r>
    <x v="158"/>
    <x v="0"/>
    <x v="0"/>
    <s v="2025/01"/>
    <x v="0"/>
    <n v="1"/>
  </r>
  <r>
    <x v="158"/>
    <x v="0"/>
    <x v="0"/>
    <s v="2025/01"/>
    <x v="1"/>
    <s v=""/>
  </r>
  <r>
    <x v="159"/>
    <x v="0"/>
    <x v="1"/>
    <s v="2025/01"/>
    <x v="2"/>
    <n v="1"/>
  </r>
  <r>
    <x v="159"/>
    <x v="0"/>
    <x v="1"/>
    <s v="2025/01"/>
    <x v="1"/>
    <s v=""/>
  </r>
  <r>
    <x v="160"/>
    <x v="0"/>
    <x v="0"/>
    <s v="2025/01"/>
    <x v="0"/>
    <n v="1"/>
  </r>
  <r>
    <x v="160"/>
    <x v="0"/>
    <x v="0"/>
    <s v="2025/01"/>
    <x v="1"/>
    <s v=""/>
  </r>
  <r>
    <x v="160"/>
    <x v="0"/>
    <x v="0"/>
    <s v="2025/01"/>
    <x v="1"/>
    <s v=""/>
  </r>
  <r>
    <x v="161"/>
    <x v="0"/>
    <x v="1"/>
    <s v="2025/01"/>
    <x v="2"/>
    <n v="1"/>
  </r>
  <r>
    <x v="162"/>
    <x v="0"/>
    <x v="0"/>
    <s v="2025/01"/>
    <x v="0"/>
    <n v="1"/>
  </r>
  <r>
    <x v="162"/>
    <x v="0"/>
    <x v="0"/>
    <s v="2025/01"/>
    <x v="1"/>
    <s v=""/>
  </r>
  <r>
    <x v="162"/>
    <x v="0"/>
    <x v="0"/>
    <s v="2025/01"/>
    <x v="1"/>
    <s v=""/>
  </r>
  <r>
    <x v="163"/>
    <x v="0"/>
    <x v="0"/>
    <s v="2025/01"/>
    <x v="0"/>
    <n v="1"/>
  </r>
  <r>
    <x v="163"/>
    <x v="0"/>
    <x v="0"/>
    <s v="2025/01"/>
    <x v="1"/>
    <s v=""/>
  </r>
  <r>
    <x v="164"/>
    <x v="0"/>
    <x v="1"/>
    <s v="2025/01"/>
    <x v="2"/>
    <n v="1"/>
  </r>
  <r>
    <x v="164"/>
    <x v="0"/>
    <x v="1"/>
    <s v="2025/01"/>
    <x v="1"/>
    <s v=""/>
  </r>
  <r>
    <x v="165"/>
    <x v="0"/>
    <x v="1"/>
    <s v="2025/01"/>
    <x v="2"/>
    <n v="1"/>
  </r>
  <r>
    <x v="166"/>
    <x v="0"/>
    <x v="0"/>
    <s v="2025/01"/>
    <x v="0"/>
    <n v="1"/>
  </r>
  <r>
    <x v="166"/>
    <x v="0"/>
    <x v="0"/>
    <s v="2025/01"/>
    <x v="1"/>
    <s v=""/>
  </r>
  <r>
    <x v="166"/>
    <x v="0"/>
    <x v="0"/>
    <s v="2025/01"/>
    <x v="1"/>
    <s v=""/>
  </r>
  <r>
    <x v="167"/>
    <x v="0"/>
    <x v="0"/>
    <s v="2025/01"/>
    <x v="0"/>
    <n v="1"/>
  </r>
  <r>
    <x v="167"/>
    <x v="0"/>
    <x v="0"/>
    <s v="2025/01"/>
    <x v="1"/>
    <s v=""/>
  </r>
  <r>
    <x v="168"/>
    <x v="0"/>
    <x v="1"/>
    <s v="2025/01"/>
    <x v="2"/>
    <n v="1"/>
  </r>
  <r>
    <x v="168"/>
    <x v="0"/>
    <x v="1"/>
    <s v="2025/01"/>
    <x v="1"/>
    <s v=""/>
  </r>
  <r>
    <x v="168"/>
    <x v="0"/>
    <x v="1"/>
    <s v="2025/01"/>
    <x v="1"/>
    <s v=""/>
  </r>
  <r>
    <x v="169"/>
    <x v="0"/>
    <x v="1"/>
    <s v="2025/01"/>
    <x v="2"/>
    <n v="1"/>
  </r>
  <r>
    <x v="169"/>
    <x v="0"/>
    <x v="1"/>
    <s v="2025/01"/>
    <x v="1"/>
    <s v=""/>
  </r>
  <r>
    <x v="170"/>
    <x v="0"/>
    <x v="0"/>
    <s v="2025/01"/>
    <x v="0"/>
    <n v="1"/>
  </r>
  <r>
    <x v="170"/>
    <x v="0"/>
    <x v="0"/>
    <s v="2025/01"/>
    <x v="1"/>
    <s v=""/>
  </r>
  <r>
    <x v="170"/>
    <x v="0"/>
    <x v="0"/>
    <s v="2025/01"/>
    <x v="1"/>
    <s v=""/>
  </r>
  <r>
    <x v="171"/>
    <x v="0"/>
    <x v="0"/>
    <s v="2025/01"/>
    <x v="0"/>
    <n v="1"/>
  </r>
  <r>
    <x v="171"/>
    <x v="0"/>
    <x v="0"/>
    <s v="2025/01"/>
    <x v="1"/>
    <s v=""/>
  </r>
  <r>
    <x v="171"/>
    <x v="0"/>
    <x v="0"/>
    <s v="2025/01"/>
    <x v="1"/>
    <s v=""/>
  </r>
  <r>
    <x v="171"/>
    <x v="0"/>
    <x v="0"/>
    <s v="2025/01"/>
    <x v="1"/>
    <s v=""/>
  </r>
  <r>
    <x v="172"/>
    <x v="0"/>
    <x v="1"/>
    <s v="2025/01"/>
    <x v="2"/>
    <n v="1"/>
  </r>
  <r>
    <x v="172"/>
    <x v="0"/>
    <x v="1"/>
    <s v="2025/01"/>
    <x v="1"/>
    <s v=""/>
  </r>
  <r>
    <x v="173"/>
    <x v="0"/>
    <x v="0"/>
    <s v="2025/01"/>
    <x v="0"/>
    <n v="1"/>
  </r>
  <r>
    <x v="173"/>
    <x v="0"/>
    <x v="0"/>
    <s v="2025/01"/>
    <x v="1"/>
    <s v=""/>
  </r>
  <r>
    <x v="173"/>
    <x v="0"/>
    <x v="0"/>
    <s v="2025/01"/>
    <x v="1"/>
    <s v=""/>
  </r>
  <r>
    <x v="174"/>
    <x v="0"/>
    <x v="0"/>
    <s v="2025/01"/>
    <x v="0"/>
    <n v="1"/>
  </r>
  <r>
    <x v="174"/>
    <x v="0"/>
    <x v="0"/>
    <s v="2025/01"/>
    <x v="1"/>
    <s v=""/>
  </r>
  <r>
    <x v="175"/>
    <x v="0"/>
    <x v="1"/>
    <s v="2025/01"/>
    <x v="2"/>
    <n v="1"/>
  </r>
  <r>
    <x v="175"/>
    <x v="0"/>
    <x v="1"/>
    <s v="2025/01"/>
    <x v="1"/>
    <s v=""/>
  </r>
  <r>
    <x v="175"/>
    <x v="0"/>
    <x v="1"/>
    <s v="2025/01"/>
    <x v="1"/>
    <s v=""/>
  </r>
  <r>
    <x v="175"/>
    <x v="0"/>
    <x v="1"/>
    <s v="2025/01"/>
    <x v="1"/>
    <s v=""/>
  </r>
  <r>
    <x v="176"/>
    <x v="0"/>
    <x v="1"/>
    <s v="2025/01"/>
    <x v="2"/>
    <n v="1"/>
  </r>
  <r>
    <x v="177"/>
    <x v="0"/>
    <x v="0"/>
    <s v="2025/01"/>
    <x v="0"/>
    <n v="1"/>
  </r>
  <r>
    <x v="177"/>
    <x v="0"/>
    <x v="0"/>
    <s v="2025/01"/>
    <x v="1"/>
    <s v=""/>
  </r>
  <r>
    <x v="177"/>
    <x v="0"/>
    <x v="0"/>
    <s v="2025/01"/>
    <x v="1"/>
    <s v=""/>
  </r>
  <r>
    <x v="178"/>
    <x v="0"/>
    <x v="0"/>
    <s v="2025/01"/>
    <x v="0"/>
    <n v="1"/>
  </r>
  <r>
    <x v="178"/>
    <x v="0"/>
    <x v="0"/>
    <s v="2025/01"/>
    <x v="1"/>
    <s v=""/>
  </r>
  <r>
    <x v="178"/>
    <x v="0"/>
    <x v="0"/>
    <s v="2025/01"/>
    <x v="1"/>
    <s v=""/>
  </r>
  <r>
    <x v="179"/>
    <x v="0"/>
    <x v="0"/>
    <s v="2025/01"/>
    <x v="0"/>
    <n v="1"/>
  </r>
  <r>
    <x v="180"/>
    <x v="0"/>
    <x v="1"/>
    <s v="2025/01"/>
    <x v="2"/>
    <n v="1"/>
  </r>
  <r>
    <x v="180"/>
    <x v="0"/>
    <x v="1"/>
    <s v="2025/01"/>
    <x v="1"/>
    <s v=""/>
  </r>
  <r>
    <x v="180"/>
    <x v="0"/>
    <x v="1"/>
    <s v="2025/01"/>
    <x v="1"/>
    <s v=""/>
  </r>
  <r>
    <x v="181"/>
    <x v="0"/>
    <x v="0"/>
    <s v="2025/01"/>
    <x v="0"/>
    <n v="1"/>
  </r>
  <r>
    <x v="181"/>
    <x v="0"/>
    <x v="0"/>
    <s v="2025/01"/>
    <x v="1"/>
    <s v=""/>
  </r>
  <r>
    <x v="181"/>
    <x v="0"/>
    <x v="0"/>
    <s v="2025/01"/>
    <x v="1"/>
    <s v=""/>
  </r>
  <r>
    <x v="181"/>
    <x v="0"/>
    <x v="0"/>
    <s v="2025/01"/>
    <x v="1"/>
    <s v=""/>
  </r>
  <r>
    <x v="182"/>
    <x v="0"/>
    <x v="1"/>
    <s v="2025/01"/>
    <x v="2"/>
    <n v="1"/>
  </r>
  <r>
    <x v="182"/>
    <x v="0"/>
    <x v="1"/>
    <s v="2025/01"/>
    <x v="1"/>
    <s v=""/>
  </r>
  <r>
    <x v="183"/>
    <x v="0"/>
    <x v="0"/>
    <s v="2025/01"/>
    <x v="0"/>
    <n v="1"/>
  </r>
  <r>
    <x v="183"/>
    <x v="0"/>
    <x v="0"/>
    <s v="2025/01"/>
    <x v="1"/>
    <s v=""/>
  </r>
  <r>
    <x v="184"/>
    <x v="0"/>
    <x v="0"/>
    <s v="2025/01"/>
    <x v="0"/>
    <n v="1"/>
  </r>
  <r>
    <x v="184"/>
    <x v="0"/>
    <x v="0"/>
    <s v="2025/01"/>
    <x v="1"/>
    <s v=""/>
  </r>
  <r>
    <x v="184"/>
    <x v="0"/>
    <x v="0"/>
    <s v="2025/01"/>
    <x v="1"/>
    <s v=""/>
  </r>
  <r>
    <x v="185"/>
    <x v="0"/>
    <x v="0"/>
    <s v="2025/01"/>
    <x v="0"/>
    <n v="1"/>
  </r>
  <r>
    <x v="185"/>
    <x v="0"/>
    <x v="0"/>
    <s v="2025/01"/>
    <x v="1"/>
    <s v=""/>
  </r>
  <r>
    <x v="186"/>
    <x v="0"/>
    <x v="0"/>
    <s v="2025/01"/>
    <x v="0"/>
    <n v="1"/>
  </r>
  <r>
    <x v="186"/>
    <x v="0"/>
    <x v="0"/>
    <s v="2025/01"/>
    <x v="1"/>
    <s v=""/>
  </r>
  <r>
    <x v="186"/>
    <x v="0"/>
    <x v="0"/>
    <s v="2025/01"/>
    <x v="1"/>
    <s v=""/>
  </r>
  <r>
    <x v="187"/>
    <x v="0"/>
    <x v="0"/>
    <s v="2025/01"/>
    <x v="0"/>
    <n v="1"/>
  </r>
  <r>
    <x v="187"/>
    <x v="0"/>
    <x v="0"/>
    <s v="2025/01"/>
    <x v="1"/>
    <s v=""/>
  </r>
  <r>
    <x v="187"/>
    <x v="0"/>
    <x v="0"/>
    <s v="2025/01"/>
    <x v="1"/>
    <s v=""/>
  </r>
  <r>
    <x v="188"/>
    <x v="0"/>
    <x v="1"/>
    <s v="2025/01"/>
    <x v="2"/>
    <n v="1"/>
  </r>
  <r>
    <x v="188"/>
    <x v="0"/>
    <x v="1"/>
    <s v="2025/01"/>
    <x v="1"/>
    <s v=""/>
  </r>
  <r>
    <x v="189"/>
    <x v="0"/>
    <x v="0"/>
    <s v="2025/01"/>
    <x v="0"/>
    <n v="1"/>
  </r>
  <r>
    <x v="190"/>
    <x v="0"/>
    <x v="0"/>
    <s v="2025/01"/>
    <x v="0"/>
    <n v="1"/>
  </r>
  <r>
    <x v="190"/>
    <x v="0"/>
    <x v="0"/>
    <s v="2025/01"/>
    <x v="1"/>
    <s v=""/>
  </r>
  <r>
    <x v="191"/>
    <x v="0"/>
    <x v="0"/>
    <s v="2025/01"/>
    <x v="0"/>
    <n v="1"/>
  </r>
  <r>
    <x v="191"/>
    <x v="0"/>
    <x v="0"/>
    <s v="2025/01"/>
    <x v="1"/>
    <s v=""/>
  </r>
  <r>
    <x v="192"/>
    <x v="0"/>
    <x v="0"/>
    <s v="2025/01"/>
    <x v="0"/>
    <n v="1"/>
  </r>
  <r>
    <x v="192"/>
    <x v="0"/>
    <x v="0"/>
    <s v="2025/01"/>
    <x v="1"/>
    <s v=""/>
  </r>
  <r>
    <x v="192"/>
    <x v="0"/>
    <x v="0"/>
    <s v="2025/01"/>
    <x v="1"/>
    <s v=""/>
  </r>
  <r>
    <x v="193"/>
    <x v="0"/>
    <x v="1"/>
    <s v="2025/01"/>
    <x v="2"/>
    <n v="1"/>
  </r>
  <r>
    <x v="194"/>
    <x v="0"/>
    <x v="0"/>
    <s v="2025/01"/>
    <x v="0"/>
    <n v="1"/>
  </r>
  <r>
    <x v="194"/>
    <x v="0"/>
    <x v="0"/>
    <s v="2025/01"/>
    <x v="1"/>
    <s v=""/>
  </r>
  <r>
    <x v="195"/>
    <x v="0"/>
    <x v="0"/>
    <s v="2025/01"/>
    <x v="0"/>
    <n v="1"/>
  </r>
  <r>
    <x v="195"/>
    <x v="0"/>
    <x v="0"/>
    <s v="2025/01"/>
    <x v="1"/>
    <s v=""/>
  </r>
  <r>
    <x v="196"/>
    <x v="0"/>
    <x v="0"/>
    <s v="2025/01"/>
    <x v="0"/>
    <n v="1"/>
  </r>
  <r>
    <x v="196"/>
    <x v="0"/>
    <x v="0"/>
    <s v="2025/01"/>
    <x v="1"/>
    <s v=""/>
  </r>
  <r>
    <x v="197"/>
    <x v="0"/>
    <x v="0"/>
    <s v="2025/01"/>
    <x v="0"/>
    <n v="1"/>
  </r>
  <r>
    <x v="197"/>
    <x v="0"/>
    <x v="0"/>
    <s v="2025/01"/>
    <x v="1"/>
    <s v=""/>
  </r>
  <r>
    <x v="198"/>
    <x v="0"/>
    <x v="0"/>
    <s v="2025/01"/>
    <x v="0"/>
    <n v="1"/>
  </r>
  <r>
    <x v="198"/>
    <x v="0"/>
    <x v="0"/>
    <s v="2025/01"/>
    <x v="1"/>
    <s v=""/>
  </r>
  <r>
    <x v="198"/>
    <x v="0"/>
    <x v="0"/>
    <s v="2025/01"/>
    <x v="1"/>
    <s v=""/>
  </r>
  <r>
    <x v="199"/>
    <x v="0"/>
    <x v="0"/>
    <s v="2025/01"/>
    <x v="0"/>
    <n v="1"/>
  </r>
  <r>
    <x v="200"/>
    <x v="0"/>
    <x v="0"/>
    <s v="2025/01"/>
    <x v="1"/>
    <s v=""/>
  </r>
  <r>
    <x v="201"/>
    <x v="0"/>
    <x v="1"/>
    <s v="2025/01"/>
    <x v="2"/>
    <n v="1"/>
  </r>
  <r>
    <x v="201"/>
    <x v="0"/>
    <x v="1"/>
    <s v="2025/01"/>
    <x v="1"/>
    <s v=""/>
  </r>
  <r>
    <x v="202"/>
    <x v="0"/>
    <x v="0"/>
    <s v="2025/01"/>
    <x v="0"/>
    <n v="1"/>
  </r>
  <r>
    <x v="202"/>
    <x v="0"/>
    <x v="0"/>
    <s v="2025/01"/>
    <x v="1"/>
    <s v=""/>
  </r>
  <r>
    <x v="202"/>
    <x v="0"/>
    <x v="0"/>
    <s v="2025/01"/>
    <x v="1"/>
    <s v=""/>
  </r>
  <r>
    <x v="202"/>
    <x v="0"/>
    <x v="0"/>
    <s v="2025/01"/>
    <x v="1"/>
    <s v=""/>
  </r>
  <r>
    <x v="203"/>
    <x v="0"/>
    <x v="0"/>
    <s v="2025/01"/>
    <x v="0"/>
    <n v="1"/>
  </r>
  <r>
    <x v="203"/>
    <x v="0"/>
    <x v="0"/>
    <s v="2025/01"/>
    <x v="1"/>
    <s v=""/>
  </r>
  <r>
    <x v="203"/>
    <x v="0"/>
    <x v="0"/>
    <s v="2025/01"/>
    <x v="1"/>
    <s v=""/>
  </r>
  <r>
    <x v="203"/>
    <x v="0"/>
    <x v="0"/>
    <s v="2025/01"/>
    <x v="1"/>
    <s v=""/>
  </r>
  <r>
    <x v="204"/>
    <x v="0"/>
    <x v="1"/>
    <s v="2025/01"/>
    <x v="2"/>
    <n v="1"/>
  </r>
  <r>
    <x v="204"/>
    <x v="0"/>
    <x v="1"/>
    <s v="2025/01"/>
    <x v="1"/>
    <s v=""/>
  </r>
  <r>
    <x v="205"/>
    <x v="0"/>
    <x v="0"/>
    <s v="2025/01"/>
    <x v="0"/>
    <n v="1"/>
  </r>
  <r>
    <x v="205"/>
    <x v="0"/>
    <x v="0"/>
    <s v="2025/01"/>
    <x v="1"/>
    <s v=""/>
  </r>
  <r>
    <x v="205"/>
    <x v="0"/>
    <x v="0"/>
    <s v="2025/01"/>
    <x v="1"/>
    <s v=""/>
  </r>
  <r>
    <x v="206"/>
    <x v="0"/>
    <x v="1"/>
    <s v="2025/01"/>
    <x v="2"/>
    <n v="1"/>
  </r>
  <r>
    <x v="206"/>
    <x v="0"/>
    <x v="1"/>
    <s v="2025/01"/>
    <x v="1"/>
    <s v=""/>
  </r>
  <r>
    <x v="207"/>
    <x v="0"/>
    <x v="0"/>
    <s v="2025/01"/>
    <x v="0"/>
    <n v="1"/>
  </r>
  <r>
    <x v="207"/>
    <x v="0"/>
    <x v="0"/>
    <s v="2025/01"/>
    <x v="1"/>
    <s v=""/>
  </r>
  <r>
    <x v="207"/>
    <x v="0"/>
    <x v="0"/>
    <s v="2025/01"/>
    <x v="1"/>
    <s v=""/>
  </r>
  <r>
    <x v="208"/>
    <x v="0"/>
    <x v="1"/>
    <s v="2025/01"/>
    <x v="2"/>
    <n v="1"/>
  </r>
  <r>
    <x v="208"/>
    <x v="0"/>
    <x v="1"/>
    <s v="2025/01"/>
    <x v="1"/>
    <s v=""/>
  </r>
  <r>
    <x v="208"/>
    <x v="0"/>
    <x v="1"/>
    <s v="2025/01"/>
    <x v="1"/>
    <s v=""/>
  </r>
  <r>
    <x v="208"/>
    <x v="0"/>
    <x v="1"/>
    <s v="2025/01"/>
    <x v="1"/>
    <s v=""/>
  </r>
  <r>
    <x v="209"/>
    <x v="0"/>
    <x v="0"/>
    <s v="2025/01"/>
    <x v="0"/>
    <n v="1"/>
  </r>
  <r>
    <x v="209"/>
    <x v="0"/>
    <x v="0"/>
    <s v="2025/01"/>
    <x v="1"/>
    <s v=""/>
  </r>
  <r>
    <x v="210"/>
    <x v="0"/>
    <x v="0"/>
    <s v="2025/01"/>
    <x v="0"/>
    <n v="1"/>
  </r>
  <r>
    <x v="210"/>
    <x v="0"/>
    <x v="0"/>
    <s v="2025/01"/>
    <x v="1"/>
    <s v=""/>
  </r>
  <r>
    <x v="211"/>
    <x v="0"/>
    <x v="0"/>
    <s v="2025/01"/>
    <x v="0"/>
    <n v="1"/>
  </r>
  <r>
    <x v="211"/>
    <x v="0"/>
    <x v="0"/>
    <s v="2025/01"/>
    <x v="1"/>
    <s v=""/>
  </r>
  <r>
    <x v="212"/>
    <x v="0"/>
    <x v="1"/>
    <s v="2025/01"/>
    <x v="2"/>
    <n v="1"/>
  </r>
  <r>
    <x v="212"/>
    <x v="0"/>
    <x v="1"/>
    <s v="2025/01"/>
    <x v="1"/>
    <s v=""/>
  </r>
  <r>
    <x v="212"/>
    <x v="0"/>
    <x v="1"/>
    <s v="2025/01"/>
    <x v="1"/>
    <s v=""/>
  </r>
  <r>
    <x v="213"/>
    <x v="0"/>
    <x v="1"/>
    <s v="2025/01"/>
    <x v="2"/>
    <n v="1"/>
  </r>
  <r>
    <x v="213"/>
    <x v="0"/>
    <x v="1"/>
    <s v="2025/01"/>
    <x v="1"/>
    <s v=""/>
  </r>
  <r>
    <x v="214"/>
    <x v="0"/>
    <x v="0"/>
    <s v="2025/01"/>
    <x v="0"/>
    <n v="1"/>
  </r>
  <r>
    <x v="214"/>
    <x v="0"/>
    <x v="0"/>
    <s v="2025/01"/>
    <x v="1"/>
    <s v=""/>
  </r>
  <r>
    <x v="214"/>
    <x v="0"/>
    <x v="0"/>
    <s v="2025/01"/>
    <x v="1"/>
    <s v=""/>
  </r>
  <r>
    <x v="214"/>
    <x v="0"/>
    <x v="0"/>
    <s v="2025/01"/>
    <x v="1"/>
    <s v=""/>
  </r>
  <r>
    <x v="215"/>
    <x v="0"/>
    <x v="2"/>
    <s v="2025/01"/>
    <x v="3"/>
    <n v="0"/>
  </r>
  <r>
    <x v="216"/>
    <x v="0"/>
    <x v="4"/>
    <s v="2025/01"/>
    <x v="3"/>
    <n v="0"/>
  </r>
  <r>
    <x v="217"/>
    <x v="0"/>
    <x v="2"/>
    <s v="2025/01"/>
    <x v="3"/>
    <n v="0"/>
  </r>
  <r>
    <x v="218"/>
    <x v="0"/>
    <x v="0"/>
    <s v="2025/01"/>
    <x v="0"/>
    <n v="1"/>
  </r>
  <r>
    <x v="218"/>
    <x v="0"/>
    <x v="0"/>
    <s v="2025/01"/>
    <x v="1"/>
    <s v=""/>
  </r>
  <r>
    <x v="218"/>
    <x v="0"/>
    <x v="0"/>
    <s v="2025/01"/>
    <x v="1"/>
    <s v=""/>
  </r>
  <r>
    <x v="219"/>
    <x v="0"/>
    <x v="1"/>
    <s v="2025/01"/>
    <x v="2"/>
    <n v="1"/>
  </r>
  <r>
    <x v="219"/>
    <x v="0"/>
    <x v="1"/>
    <s v="2025/01"/>
    <x v="1"/>
    <s v=""/>
  </r>
  <r>
    <x v="220"/>
    <x v="0"/>
    <x v="1"/>
    <s v="2025/01"/>
    <x v="2"/>
    <n v="1"/>
  </r>
  <r>
    <x v="220"/>
    <x v="0"/>
    <x v="1"/>
    <s v="2025/01"/>
    <x v="1"/>
    <s v=""/>
  </r>
  <r>
    <x v="220"/>
    <x v="0"/>
    <x v="1"/>
    <s v="2025/01"/>
    <x v="1"/>
    <s v=""/>
  </r>
  <r>
    <x v="221"/>
    <x v="0"/>
    <x v="0"/>
    <s v="2025/02"/>
    <x v="0"/>
    <n v="1"/>
  </r>
  <r>
    <x v="221"/>
    <x v="0"/>
    <x v="0"/>
    <s v="2025/02"/>
    <x v="1"/>
    <s v=""/>
  </r>
  <r>
    <x v="221"/>
    <x v="0"/>
    <x v="0"/>
    <s v="2025/02"/>
    <x v="1"/>
    <s v=""/>
  </r>
  <r>
    <x v="222"/>
    <x v="0"/>
    <x v="1"/>
    <s v="2025/02"/>
    <x v="2"/>
    <n v="1"/>
  </r>
  <r>
    <x v="222"/>
    <x v="0"/>
    <x v="1"/>
    <s v="2025/02"/>
    <x v="1"/>
    <s v=""/>
  </r>
  <r>
    <x v="223"/>
    <x v="0"/>
    <x v="1"/>
    <s v="2025/02"/>
    <x v="2"/>
    <n v="1"/>
  </r>
  <r>
    <x v="223"/>
    <x v="0"/>
    <x v="1"/>
    <s v="2025/02"/>
    <x v="1"/>
    <s v=""/>
  </r>
  <r>
    <x v="224"/>
    <x v="0"/>
    <x v="1"/>
    <s v="2025/02"/>
    <x v="2"/>
    <n v="1"/>
  </r>
  <r>
    <x v="224"/>
    <x v="0"/>
    <x v="1"/>
    <s v="2025/02"/>
    <x v="1"/>
    <s v=""/>
  </r>
  <r>
    <x v="225"/>
    <x v="0"/>
    <x v="0"/>
    <s v="2025/02"/>
    <x v="0"/>
    <n v="1"/>
  </r>
  <r>
    <x v="225"/>
    <x v="0"/>
    <x v="0"/>
    <s v="2025/02"/>
    <x v="1"/>
    <s v=""/>
  </r>
  <r>
    <x v="226"/>
    <x v="0"/>
    <x v="1"/>
    <s v="2025/02"/>
    <x v="2"/>
    <n v="1"/>
  </r>
  <r>
    <x v="226"/>
    <x v="0"/>
    <x v="1"/>
    <s v="2025/02"/>
    <x v="1"/>
    <s v=""/>
  </r>
  <r>
    <x v="227"/>
    <x v="0"/>
    <x v="0"/>
    <s v="2025/02"/>
    <x v="0"/>
    <n v="1"/>
  </r>
  <r>
    <x v="227"/>
    <x v="0"/>
    <x v="0"/>
    <s v="2025/02"/>
    <x v="1"/>
    <s v=""/>
  </r>
  <r>
    <x v="228"/>
    <x v="0"/>
    <x v="0"/>
    <s v="2025/02"/>
    <x v="0"/>
    <n v="1"/>
  </r>
  <r>
    <x v="228"/>
    <x v="0"/>
    <x v="0"/>
    <s v="2025/02"/>
    <x v="1"/>
    <s v=""/>
  </r>
  <r>
    <x v="229"/>
    <x v="0"/>
    <x v="0"/>
    <s v="2025/02"/>
    <x v="0"/>
    <n v="1"/>
  </r>
  <r>
    <x v="229"/>
    <x v="0"/>
    <x v="0"/>
    <s v="2025/02"/>
    <x v="1"/>
    <s v=""/>
  </r>
  <r>
    <x v="229"/>
    <x v="0"/>
    <x v="0"/>
    <s v="2025/02"/>
    <x v="1"/>
    <s v=""/>
  </r>
  <r>
    <x v="230"/>
    <x v="0"/>
    <x v="0"/>
    <s v="2025/02"/>
    <x v="0"/>
    <n v="1"/>
  </r>
  <r>
    <x v="230"/>
    <x v="0"/>
    <x v="0"/>
    <s v="2025/02"/>
    <x v="1"/>
    <s v=""/>
  </r>
  <r>
    <x v="231"/>
    <x v="0"/>
    <x v="0"/>
    <s v="2025/02"/>
    <x v="0"/>
    <n v="1"/>
  </r>
  <r>
    <x v="231"/>
    <x v="0"/>
    <x v="0"/>
    <s v="2025/02"/>
    <x v="1"/>
    <s v=""/>
  </r>
  <r>
    <x v="231"/>
    <x v="0"/>
    <x v="0"/>
    <s v="2025/02"/>
    <x v="1"/>
    <s v=""/>
  </r>
  <r>
    <x v="231"/>
    <x v="0"/>
    <x v="0"/>
    <s v="2025/02"/>
    <x v="1"/>
    <s v=""/>
  </r>
  <r>
    <x v="231"/>
    <x v="0"/>
    <x v="0"/>
    <s v="2025/02"/>
    <x v="1"/>
    <s v=""/>
  </r>
  <r>
    <x v="232"/>
    <x v="0"/>
    <x v="0"/>
    <s v="2025/02"/>
    <x v="0"/>
    <n v="1"/>
  </r>
  <r>
    <x v="232"/>
    <x v="0"/>
    <x v="0"/>
    <s v="2025/02"/>
    <x v="1"/>
    <s v=""/>
  </r>
  <r>
    <x v="232"/>
    <x v="0"/>
    <x v="0"/>
    <s v="2025/02"/>
    <x v="1"/>
    <s v=""/>
  </r>
  <r>
    <x v="232"/>
    <x v="0"/>
    <x v="0"/>
    <s v="2025/02"/>
    <x v="1"/>
    <s v=""/>
  </r>
  <r>
    <x v="233"/>
    <x v="0"/>
    <x v="0"/>
    <s v="2025/02"/>
    <x v="0"/>
    <n v="1"/>
  </r>
  <r>
    <x v="233"/>
    <x v="0"/>
    <x v="0"/>
    <s v="2025/02"/>
    <x v="1"/>
    <s v=""/>
  </r>
  <r>
    <x v="234"/>
    <x v="0"/>
    <x v="0"/>
    <s v="2025/02"/>
    <x v="0"/>
    <n v="1"/>
  </r>
  <r>
    <x v="234"/>
    <x v="0"/>
    <x v="0"/>
    <s v="2025/02"/>
    <x v="1"/>
    <s v=""/>
  </r>
  <r>
    <x v="234"/>
    <x v="0"/>
    <x v="0"/>
    <s v="2025/02"/>
    <x v="1"/>
    <s v=""/>
  </r>
  <r>
    <x v="235"/>
    <x v="0"/>
    <x v="0"/>
    <s v="2025/02"/>
    <x v="0"/>
    <n v="1"/>
  </r>
  <r>
    <x v="235"/>
    <x v="0"/>
    <x v="0"/>
    <s v="2025/02"/>
    <x v="1"/>
    <s v=""/>
  </r>
  <r>
    <x v="236"/>
    <x v="0"/>
    <x v="0"/>
    <s v="2025/02"/>
    <x v="0"/>
    <n v="1"/>
  </r>
  <r>
    <x v="236"/>
    <x v="0"/>
    <x v="0"/>
    <s v="2025/02"/>
    <x v="1"/>
    <s v=""/>
  </r>
  <r>
    <x v="237"/>
    <x v="0"/>
    <x v="1"/>
    <s v="2025/02"/>
    <x v="2"/>
    <n v="1"/>
  </r>
  <r>
    <x v="237"/>
    <x v="0"/>
    <x v="1"/>
    <s v="2025/02"/>
    <x v="1"/>
    <s v=""/>
  </r>
  <r>
    <x v="238"/>
    <x v="0"/>
    <x v="1"/>
    <s v="2025/02"/>
    <x v="2"/>
    <n v="1"/>
  </r>
  <r>
    <x v="238"/>
    <x v="0"/>
    <x v="1"/>
    <s v="2025/02"/>
    <x v="1"/>
    <s v=""/>
  </r>
  <r>
    <x v="238"/>
    <x v="0"/>
    <x v="1"/>
    <s v="2025/02"/>
    <x v="1"/>
    <s v=""/>
  </r>
  <r>
    <x v="239"/>
    <x v="0"/>
    <x v="0"/>
    <s v="2025/02"/>
    <x v="0"/>
    <n v="1"/>
  </r>
  <r>
    <x v="239"/>
    <x v="0"/>
    <x v="0"/>
    <s v="2025/02"/>
    <x v="1"/>
    <s v=""/>
  </r>
  <r>
    <x v="239"/>
    <x v="0"/>
    <x v="0"/>
    <s v="2025/02"/>
    <x v="1"/>
    <s v=""/>
  </r>
  <r>
    <x v="240"/>
    <x v="0"/>
    <x v="0"/>
    <s v="2025/02"/>
    <x v="0"/>
    <n v="1"/>
  </r>
  <r>
    <x v="240"/>
    <x v="0"/>
    <x v="0"/>
    <s v="2025/02"/>
    <x v="1"/>
    <s v=""/>
  </r>
  <r>
    <x v="240"/>
    <x v="0"/>
    <x v="0"/>
    <s v="2025/02"/>
    <x v="1"/>
    <s v=""/>
  </r>
  <r>
    <x v="241"/>
    <x v="0"/>
    <x v="0"/>
    <s v="2025/02"/>
    <x v="0"/>
    <n v="1"/>
  </r>
  <r>
    <x v="241"/>
    <x v="0"/>
    <x v="0"/>
    <s v="2025/02"/>
    <x v="1"/>
    <s v=""/>
  </r>
  <r>
    <x v="242"/>
    <x v="0"/>
    <x v="1"/>
    <s v="2025/02"/>
    <x v="2"/>
    <n v="1"/>
  </r>
  <r>
    <x v="242"/>
    <x v="0"/>
    <x v="1"/>
    <s v="2025/02"/>
    <x v="1"/>
    <s v=""/>
  </r>
  <r>
    <x v="242"/>
    <x v="0"/>
    <x v="1"/>
    <s v="2025/02"/>
    <x v="1"/>
    <s v=""/>
  </r>
  <r>
    <x v="242"/>
    <x v="0"/>
    <x v="1"/>
    <s v="2025/02"/>
    <x v="1"/>
    <s v=""/>
  </r>
  <r>
    <x v="243"/>
    <x v="0"/>
    <x v="0"/>
    <s v="2025/02"/>
    <x v="0"/>
    <n v="1"/>
  </r>
  <r>
    <x v="243"/>
    <x v="0"/>
    <x v="0"/>
    <s v="2025/02"/>
    <x v="1"/>
    <s v=""/>
  </r>
  <r>
    <x v="243"/>
    <x v="0"/>
    <x v="0"/>
    <s v="2025/02"/>
    <x v="1"/>
    <s v=""/>
  </r>
  <r>
    <x v="243"/>
    <x v="0"/>
    <x v="0"/>
    <s v="2025/02"/>
    <x v="1"/>
    <s v=""/>
  </r>
  <r>
    <x v="244"/>
    <x v="0"/>
    <x v="0"/>
    <s v="2025/02"/>
    <x v="0"/>
    <n v="1"/>
  </r>
  <r>
    <x v="244"/>
    <x v="0"/>
    <x v="0"/>
    <s v="2025/02"/>
    <x v="1"/>
    <s v=""/>
  </r>
  <r>
    <x v="245"/>
    <x v="0"/>
    <x v="0"/>
    <s v="2025/02"/>
    <x v="1"/>
    <s v=""/>
  </r>
  <r>
    <x v="246"/>
    <x v="0"/>
    <x v="0"/>
    <s v="2025/02"/>
    <x v="0"/>
    <n v="1"/>
  </r>
  <r>
    <x v="247"/>
    <x v="0"/>
    <x v="0"/>
    <s v="2025/02"/>
    <x v="0"/>
    <n v="1"/>
  </r>
  <r>
    <x v="247"/>
    <x v="0"/>
    <x v="0"/>
    <s v="2025/02"/>
    <x v="1"/>
    <s v=""/>
  </r>
  <r>
    <x v="247"/>
    <x v="0"/>
    <x v="0"/>
    <s v="2025/02"/>
    <x v="1"/>
    <s v=""/>
  </r>
  <r>
    <x v="247"/>
    <x v="0"/>
    <x v="0"/>
    <s v="2025/02"/>
    <x v="1"/>
    <s v=""/>
  </r>
  <r>
    <x v="247"/>
    <x v="0"/>
    <x v="0"/>
    <s v="2025/02"/>
    <x v="1"/>
    <s v=""/>
  </r>
  <r>
    <x v="247"/>
    <x v="0"/>
    <x v="0"/>
    <s v="2025/02"/>
    <x v="1"/>
    <s v=""/>
  </r>
  <r>
    <x v="248"/>
    <x v="0"/>
    <x v="0"/>
    <s v="2025/02"/>
    <x v="0"/>
    <n v="1"/>
  </r>
  <r>
    <x v="248"/>
    <x v="0"/>
    <x v="0"/>
    <s v="2025/02"/>
    <x v="1"/>
    <s v=""/>
  </r>
  <r>
    <x v="249"/>
    <x v="0"/>
    <x v="0"/>
    <s v="2025/02"/>
    <x v="0"/>
    <n v="1"/>
  </r>
  <r>
    <x v="249"/>
    <x v="0"/>
    <x v="0"/>
    <s v="2025/02"/>
    <x v="1"/>
    <s v=""/>
  </r>
  <r>
    <x v="250"/>
    <x v="0"/>
    <x v="1"/>
    <s v="2025/02"/>
    <x v="2"/>
    <n v="1"/>
  </r>
  <r>
    <x v="250"/>
    <x v="0"/>
    <x v="1"/>
    <s v="2025/02"/>
    <x v="1"/>
    <s v=""/>
  </r>
  <r>
    <x v="251"/>
    <x v="0"/>
    <x v="0"/>
    <s v="2025/02"/>
    <x v="0"/>
    <n v="1"/>
  </r>
  <r>
    <x v="251"/>
    <x v="0"/>
    <x v="0"/>
    <s v="2025/02"/>
    <x v="1"/>
    <s v=""/>
  </r>
  <r>
    <x v="251"/>
    <x v="0"/>
    <x v="0"/>
    <s v="2025/02"/>
    <x v="1"/>
    <s v=""/>
  </r>
  <r>
    <x v="252"/>
    <x v="0"/>
    <x v="0"/>
    <s v="2025/02"/>
    <x v="0"/>
    <n v="1"/>
  </r>
  <r>
    <x v="252"/>
    <x v="0"/>
    <x v="0"/>
    <s v="2025/02"/>
    <x v="1"/>
    <s v=""/>
  </r>
  <r>
    <x v="253"/>
    <x v="0"/>
    <x v="0"/>
    <s v="2025/02"/>
    <x v="0"/>
    <n v="1"/>
  </r>
  <r>
    <x v="253"/>
    <x v="0"/>
    <x v="0"/>
    <s v="2025/02"/>
    <x v="1"/>
    <s v=""/>
  </r>
  <r>
    <x v="253"/>
    <x v="0"/>
    <x v="0"/>
    <s v="2025/02"/>
    <x v="1"/>
    <s v=""/>
  </r>
  <r>
    <x v="254"/>
    <x v="0"/>
    <x v="0"/>
    <s v="2025/02"/>
    <x v="0"/>
    <n v="1"/>
  </r>
  <r>
    <x v="254"/>
    <x v="0"/>
    <x v="0"/>
    <s v="2025/02"/>
    <x v="1"/>
    <s v=""/>
  </r>
  <r>
    <x v="254"/>
    <x v="0"/>
    <x v="0"/>
    <s v="2025/02"/>
    <x v="1"/>
    <s v=""/>
  </r>
  <r>
    <x v="255"/>
    <x v="0"/>
    <x v="0"/>
    <s v="2025/02"/>
    <x v="0"/>
    <n v="1"/>
  </r>
  <r>
    <x v="255"/>
    <x v="0"/>
    <x v="0"/>
    <s v="2025/02"/>
    <x v="1"/>
    <s v=""/>
  </r>
  <r>
    <x v="255"/>
    <x v="0"/>
    <x v="0"/>
    <s v="2025/02"/>
    <x v="1"/>
    <s v=""/>
  </r>
  <r>
    <x v="256"/>
    <x v="0"/>
    <x v="0"/>
    <s v="2025/02"/>
    <x v="0"/>
    <n v="1"/>
  </r>
  <r>
    <x v="256"/>
    <x v="0"/>
    <x v="0"/>
    <s v="2025/02"/>
    <x v="1"/>
    <s v=""/>
  </r>
  <r>
    <x v="256"/>
    <x v="0"/>
    <x v="0"/>
    <s v="2025/02"/>
    <x v="1"/>
    <s v=""/>
  </r>
  <r>
    <x v="256"/>
    <x v="0"/>
    <x v="0"/>
    <s v="2025/02"/>
    <x v="1"/>
    <s v=""/>
  </r>
  <r>
    <x v="257"/>
    <x v="0"/>
    <x v="0"/>
    <s v="2025/02"/>
    <x v="0"/>
    <n v="1"/>
  </r>
  <r>
    <x v="257"/>
    <x v="0"/>
    <x v="0"/>
    <s v="2025/02"/>
    <x v="1"/>
    <s v=""/>
  </r>
  <r>
    <x v="257"/>
    <x v="0"/>
    <x v="0"/>
    <s v="2025/02"/>
    <x v="1"/>
    <s v=""/>
  </r>
  <r>
    <x v="258"/>
    <x v="0"/>
    <x v="0"/>
    <s v="2025/02"/>
    <x v="0"/>
    <n v="1"/>
  </r>
  <r>
    <x v="258"/>
    <x v="0"/>
    <x v="0"/>
    <s v="2025/02"/>
    <x v="1"/>
    <s v=""/>
  </r>
  <r>
    <x v="259"/>
    <x v="0"/>
    <x v="0"/>
    <s v="2025/02"/>
    <x v="0"/>
    <n v="1"/>
  </r>
  <r>
    <x v="259"/>
    <x v="0"/>
    <x v="0"/>
    <s v="2025/02"/>
    <x v="1"/>
    <s v=""/>
  </r>
  <r>
    <x v="259"/>
    <x v="0"/>
    <x v="0"/>
    <s v="2025/02"/>
    <x v="1"/>
    <s v=""/>
  </r>
  <r>
    <x v="260"/>
    <x v="0"/>
    <x v="0"/>
    <s v="2025/02"/>
    <x v="0"/>
    <n v="1"/>
  </r>
  <r>
    <x v="260"/>
    <x v="0"/>
    <x v="0"/>
    <s v="2025/02"/>
    <x v="1"/>
    <s v=""/>
  </r>
  <r>
    <x v="260"/>
    <x v="0"/>
    <x v="0"/>
    <s v="2025/02"/>
    <x v="1"/>
    <s v=""/>
  </r>
  <r>
    <x v="261"/>
    <x v="0"/>
    <x v="0"/>
    <s v="2025/02"/>
    <x v="0"/>
    <n v="1"/>
  </r>
  <r>
    <x v="261"/>
    <x v="0"/>
    <x v="0"/>
    <s v="2025/02"/>
    <x v="1"/>
    <s v=""/>
  </r>
  <r>
    <x v="262"/>
    <x v="0"/>
    <x v="1"/>
    <s v="2025/02"/>
    <x v="2"/>
    <n v="1"/>
  </r>
  <r>
    <x v="262"/>
    <x v="0"/>
    <x v="1"/>
    <s v="2025/02"/>
    <x v="1"/>
    <s v=""/>
  </r>
  <r>
    <x v="263"/>
    <x v="0"/>
    <x v="1"/>
    <s v="2025/02"/>
    <x v="2"/>
    <n v="1"/>
  </r>
  <r>
    <x v="263"/>
    <x v="0"/>
    <x v="1"/>
    <s v="2025/02"/>
    <x v="1"/>
    <s v=""/>
  </r>
  <r>
    <x v="264"/>
    <x v="0"/>
    <x v="1"/>
    <s v="2025/02"/>
    <x v="2"/>
    <n v="1"/>
  </r>
  <r>
    <x v="264"/>
    <x v="0"/>
    <x v="1"/>
    <s v="2025/02"/>
    <x v="1"/>
    <s v=""/>
  </r>
  <r>
    <x v="264"/>
    <x v="0"/>
    <x v="1"/>
    <s v="2025/02"/>
    <x v="1"/>
    <s v=""/>
  </r>
  <r>
    <x v="265"/>
    <x v="0"/>
    <x v="1"/>
    <s v="2025/02"/>
    <x v="2"/>
    <n v="1"/>
  </r>
  <r>
    <x v="265"/>
    <x v="0"/>
    <x v="1"/>
    <s v="2025/02"/>
    <x v="1"/>
    <s v=""/>
  </r>
  <r>
    <x v="266"/>
    <x v="0"/>
    <x v="1"/>
    <s v="2025/02"/>
    <x v="2"/>
    <n v="1"/>
  </r>
  <r>
    <x v="266"/>
    <x v="0"/>
    <x v="1"/>
    <s v="2025/02"/>
    <x v="1"/>
    <s v=""/>
  </r>
  <r>
    <x v="267"/>
    <x v="0"/>
    <x v="0"/>
    <s v="2025/02"/>
    <x v="0"/>
    <n v="1"/>
  </r>
  <r>
    <x v="267"/>
    <x v="0"/>
    <x v="0"/>
    <s v="2025/02"/>
    <x v="1"/>
    <s v=""/>
  </r>
  <r>
    <x v="267"/>
    <x v="0"/>
    <x v="0"/>
    <s v="2025/02"/>
    <x v="1"/>
    <s v=""/>
  </r>
  <r>
    <x v="268"/>
    <x v="0"/>
    <x v="0"/>
    <s v="2025/02"/>
    <x v="0"/>
    <n v="1"/>
  </r>
  <r>
    <x v="268"/>
    <x v="0"/>
    <x v="0"/>
    <s v="2025/02"/>
    <x v="1"/>
    <s v=""/>
  </r>
  <r>
    <x v="269"/>
    <x v="0"/>
    <x v="0"/>
    <s v="2025/02"/>
    <x v="0"/>
    <n v="1"/>
  </r>
  <r>
    <x v="269"/>
    <x v="0"/>
    <x v="0"/>
    <s v="2025/02"/>
    <x v="1"/>
    <s v=""/>
  </r>
  <r>
    <x v="269"/>
    <x v="0"/>
    <x v="0"/>
    <s v="2025/02"/>
    <x v="1"/>
    <s v=""/>
  </r>
  <r>
    <x v="270"/>
    <x v="0"/>
    <x v="0"/>
    <s v="2025/02"/>
    <x v="1"/>
    <s v=""/>
  </r>
  <r>
    <x v="271"/>
    <x v="0"/>
    <x v="0"/>
    <s v="2025/02"/>
    <x v="0"/>
    <n v="1"/>
  </r>
  <r>
    <x v="272"/>
    <x v="0"/>
    <x v="0"/>
    <s v="2025/02"/>
    <x v="0"/>
    <n v="1"/>
  </r>
  <r>
    <x v="272"/>
    <x v="0"/>
    <x v="0"/>
    <s v="2025/02"/>
    <x v="1"/>
    <s v=""/>
  </r>
  <r>
    <x v="273"/>
    <x v="0"/>
    <x v="0"/>
    <s v="2025/02"/>
    <x v="1"/>
    <s v=""/>
  </r>
  <r>
    <x v="274"/>
    <x v="0"/>
    <x v="1"/>
    <s v="2025/02"/>
    <x v="2"/>
    <n v="1"/>
  </r>
  <r>
    <x v="274"/>
    <x v="0"/>
    <x v="1"/>
    <s v="2025/02"/>
    <x v="1"/>
    <s v=""/>
  </r>
  <r>
    <x v="275"/>
    <x v="0"/>
    <x v="0"/>
    <s v="2025/02"/>
    <x v="0"/>
    <n v="1"/>
  </r>
  <r>
    <x v="275"/>
    <x v="0"/>
    <x v="0"/>
    <s v="2025/02"/>
    <x v="1"/>
    <s v=""/>
  </r>
  <r>
    <x v="275"/>
    <x v="0"/>
    <x v="0"/>
    <s v="2025/02"/>
    <x v="1"/>
    <s v=""/>
  </r>
  <r>
    <x v="276"/>
    <x v="0"/>
    <x v="0"/>
    <s v="2025/02"/>
    <x v="0"/>
    <n v="1"/>
  </r>
  <r>
    <x v="276"/>
    <x v="0"/>
    <x v="0"/>
    <s v="2025/02"/>
    <x v="1"/>
    <s v=""/>
  </r>
  <r>
    <x v="277"/>
    <x v="0"/>
    <x v="0"/>
    <s v="2025/02"/>
    <x v="0"/>
    <n v="1"/>
  </r>
  <r>
    <x v="277"/>
    <x v="0"/>
    <x v="0"/>
    <s v="2025/02"/>
    <x v="1"/>
    <s v=""/>
  </r>
  <r>
    <x v="278"/>
    <x v="0"/>
    <x v="0"/>
    <s v="2025/02"/>
    <x v="0"/>
    <n v="1"/>
  </r>
  <r>
    <x v="278"/>
    <x v="0"/>
    <x v="0"/>
    <s v="2025/02"/>
    <x v="1"/>
    <s v=""/>
  </r>
  <r>
    <x v="278"/>
    <x v="0"/>
    <x v="0"/>
    <s v="2025/02"/>
    <x v="1"/>
    <s v=""/>
  </r>
  <r>
    <x v="279"/>
    <x v="0"/>
    <x v="0"/>
    <s v="2025/02"/>
    <x v="0"/>
    <n v="1"/>
  </r>
  <r>
    <x v="279"/>
    <x v="0"/>
    <x v="0"/>
    <s v="2025/02"/>
    <x v="1"/>
    <s v=""/>
  </r>
  <r>
    <x v="279"/>
    <x v="0"/>
    <x v="0"/>
    <s v="2025/02"/>
    <x v="1"/>
    <s v=""/>
  </r>
  <r>
    <x v="280"/>
    <x v="0"/>
    <x v="0"/>
    <s v="2025/02"/>
    <x v="0"/>
    <n v="1"/>
  </r>
  <r>
    <x v="280"/>
    <x v="0"/>
    <x v="0"/>
    <s v="2025/02"/>
    <x v="1"/>
    <s v=""/>
  </r>
  <r>
    <x v="281"/>
    <x v="0"/>
    <x v="0"/>
    <s v="2025/02"/>
    <x v="0"/>
    <n v="1"/>
  </r>
  <r>
    <x v="281"/>
    <x v="0"/>
    <x v="0"/>
    <s v="2025/02"/>
    <x v="1"/>
    <s v=""/>
  </r>
  <r>
    <x v="281"/>
    <x v="0"/>
    <x v="0"/>
    <s v="2025/02"/>
    <x v="1"/>
    <s v=""/>
  </r>
  <r>
    <x v="281"/>
    <x v="0"/>
    <x v="0"/>
    <s v="2025/02"/>
    <x v="1"/>
    <s v=""/>
  </r>
  <r>
    <x v="282"/>
    <x v="0"/>
    <x v="0"/>
    <s v="2025/02"/>
    <x v="0"/>
    <n v="1"/>
  </r>
  <r>
    <x v="282"/>
    <x v="0"/>
    <x v="0"/>
    <s v="2025/02"/>
    <x v="1"/>
    <s v=""/>
  </r>
  <r>
    <x v="283"/>
    <x v="0"/>
    <x v="0"/>
    <s v="2025/02"/>
    <x v="0"/>
    <n v="1"/>
  </r>
  <r>
    <x v="283"/>
    <x v="0"/>
    <x v="0"/>
    <s v="2025/02"/>
    <x v="1"/>
    <s v=""/>
  </r>
  <r>
    <x v="284"/>
    <x v="0"/>
    <x v="0"/>
    <s v="2025/02"/>
    <x v="0"/>
    <n v="1"/>
  </r>
  <r>
    <x v="284"/>
    <x v="0"/>
    <x v="0"/>
    <s v="2025/02"/>
    <x v="1"/>
    <s v=""/>
  </r>
  <r>
    <x v="284"/>
    <x v="0"/>
    <x v="0"/>
    <s v="2025/02"/>
    <x v="1"/>
    <s v=""/>
  </r>
  <r>
    <x v="285"/>
    <x v="0"/>
    <x v="0"/>
    <s v="2025/02"/>
    <x v="0"/>
    <n v="1"/>
  </r>
  <r>
    <x v="285"/>
    <x v="0"/>
    <x v="0"/>
    <s v="2025/02"/>
    <x v="1"/>
    <s v=""/>
  </r>
  <r>
    <x v="286"/>
    <x v="0"/>
    <x v="0"/>
    <s v="2025/02"/>
    <x v="0"/>
    <n v="1"/>
  </r>
  <r>
    <x v="286"/>
    <x v="0"/>
    <x v="0"/>
    <s v="2025/02"/>
    <x v="1"/>
    <s v=""/>
  </r>
  <r>
    <x v="287"/>
    <x v="0"/>
    <x v="0"/>
    <s v="2025/02"/>
    <x v="0"/>
    <n v="1"/>
  </r>
  <r>
    <x v="287"/>
    <x v="0"/>
    <x v="0"/>
    <s v="2025/02"/>
    <x v="1"/>
    <s v=""/>
  </r>
  <r>
    <x v="288"/>
    <x v="0"/>
    <x v="1"/>
    <s v="2025/02"/>
    <x v="2"/>
    <n v="1"/>
  </r>
  <r>
    <x v="288"/>
    <x v="0"/>
    <x v="1"/>
    <s v="2025/02"/>
    <x v="1"/>
    <s v=""/>
  </r>
  <r>
    <x v="289"/>
    <x v="0"/>
    <x v="0"/>
    <s v="2025/02"/>
    <x v="0"/>
    <n v="1"/>
  </r>
  <r>
    <x v="289"/>
    <x v="0"/>
    <x v="0"/>
    <s v="2025/02"/>
    <x v="1"/>
    <s v=""/>
  </r>
  <r>
    <x v="289"/>
    <x v="0"/>
    <x v="0"/>
    <s v="2025/02"/>
    <x v="1"/>
    <s v=""/>
  </r>
  <r>
    <x v="290"/>
    <x v="0"/>
    <x v="0"/>
    <s v="2025/02"/>
    <x v="0"/>
    <n v="1"/>
  </r>
  <r>
    <x v="290"/>
    <x v="0"/>
    <x v="0"/>
    <s v="2025/02"/>
    <x v="1"/>
    <s v=""/>
  </r>
  <r>
    <x v="291"/>
    <x v="0"/>
    <x v="1"/>
    <s v="2025/02"/>
    <x v="2"/>
    <n v="1"/>
  </r>
  <r>
    <x v="292"/>
    <x v="0"/>
    <x v="0"/>
    <s v="2025/02"/>
    <x v="0"/>
    <n v="1"/>
  </r>
  <r>
    <x v="292"/>
    <x v="0"/>
    <x v="0"/>
    <s v="2025/02"/>
    <x v="1"/>
    <s v=""/>
  </r>
  <r>
    <x v="292"/>
    <x v="0"/>
    <x v="0"/>
    <s v="2025/02"/>
    <x v="1"/>
    <s v=""/>
  </r>
  <r>
    <x v="293"/>
    <x v="0"/>
    <x v="0"/>
    <s v="2025/02"/>
    <x v="0"/>
    <n v="1"/>
  </r>
  <r>
    <x v="293"/>
    <x v="0"/>
    <x v="0"/>
    <s v="2025/02"/>
    <x v="1"/>
    <s v=""/>
  </r>
  <r>
    <x v="294"/>
    <x v="0"/>
    <x v="0"/>
    <s v="2025/02"/>
    <x v="0"/>
    <n v="1"/>
  </r>
  <r>
    <x v="294"/>
    <x v="0"/>
    <x v="0"/>
    <s v="2025/02"/>
    <x v="1"/>
    <s v=""/>
  </r>
  <r>
    <x v="295"/>
    <x v="0"/>
    <x v="0"/>
    <s v="2025/02"/>
    <x v="0"/>
    <n v="1"/>
  </r>
  <r>
    <x v="295"/>
    <x v="0"/>
    <x v="0"/>
    <s v="2025/02"/>
    <x v="1"/>
    <s v=""/>
  </r>
  <r>
    <x v="296"/>
    <x v="0"/>
    <x v="1"/>
    <s v="2025/02"/>
    <x v="2"/>
    <n v="1"/>
  </r>
  <r>
    <x v="297"/>
    <x v="0"/>
    <x v="0"/>
    <s v="2025/02"/>
    <x v="0"/>
    <n v="1"/>
  </r>
  <r>
    <x v="297"/>
    <x v="0"/>
    <x v="0"/>
    <s v="2025/02"/>
    <x v="1"/>
    <s v=""/>
  </r>
  <r>
    <x v="298"/>
    <x v="0"/>
    <x v="0"/>
    <s v="2025/02"/>
    <x v="0"/>
    <n v="1"/>
  </r>
  <r>
    <x v="298"/>
    <x v="0"/>
    <x v="0"/>
    <s v="2025/02"/>
    <x v="1"/>
    <s v=""/>
  </r>
  <r>
    <x v="299"/>
    <x v="0"/>
    <x v="0"/>
    <s v="2025/02"/>
    <x v="0"/>
    <n v="1"/>
  </r>
  <r>
    <x v="299"/>
    <x v="0"/>
    <x v="0"/>
    <s v="2025/02"/>
    <x v="1"/>
    <s v=""/>
  </r>
  <r>
    <x v="300"/>
    <x v="0"/>
    <x v="1"/>
    <s v="2025/02"/>
    <x v="2"/>
    <n v="1"/>
  </r>
  <r>
    <x v="300"/>
    <x v="0"/>
    <x v="1"/>
    <s v="2025/02"/>
    <x v="1"/>
    <s v=""/>
  </r>
  <r>
    <x v="301"/>
    <x v="0"/>
    <x v="0"/>
    <s v="2025/02"/>
    <x v="0"/>
    <n v="1"/>
  </r>
  <r>
    <x v="301"/>
    <x v="0"/>
    <x v="0"/>
    <s v="2025/02"/>
    <x v="1"/>
    <s v=""/>
  </r>
  <r>
    <x v="301"/>
    <x v="0"/>
    <x v="0"/>
    <s v="2025/02"/>
    <x v="1"/>
    <s v=""/>
  </r>
  <r>
    <x v="302"/>
    <x v="0"/>
    <x v="0"/>
    <s v="2025/02"/>
    <x v="0"/>
    <n v="1"/>
  </r>
  <r>
    <x v="302"/>
    <x v="0"/>
    <x v="0"/>
    <s v="2025/02"/>
    <x v="1"/>
    <s v=""/>
  </r>
  <r>
    <x v="302"/>
    <x v="0"/>
    <x v="0"/>
    <s v="2025/02"/>
    <x v="1"/>
    <s v=""/>
  </r>
  <r>
    <x v="303"/>
    <x v="0"/>
    <x v="0"/>
    <s v="2025/02"/>
    <x v="0"/>
    <n v="1"/>
  </r>
  <r>
    <x v="303"/>
    <x v="0"/>
    <x v="0"/>
    <s v="2025/02"/>
    <x v="1"/>
    <s v=""/>
  </r>
  <r>
    <x v="304"/>
    <x v="0"/>
    <x v="0"/>
    <s v="2025/02"/>
    <x v="0"/>
    <n v="1"/>
  </r>
  <r>
    <x v="304"/>
    <x v="0"/>
    <x v="0"/>
    <s v="2025/02"/>
    <x v="1"/>
    <s v=""/>
  </r>
  <r>
    <x v="304"/>
    <x v="0"/>
    <x v="0"/>
    <s v="2025/02"/>
    <x v="1"/>
    <s v=""/>
  </r>
  <r>
    <x v="305"/>
    <x v="0"/>
    <x v="0"/>
    <s v="2025/02"/>
    <x v="0"/>
    <n v="1"/>
  </r>
  <r>
    <x v="305"/>
    <x v="0"/>
    <x v="0"/>
    <s v="2025/02"/>
    <x v="1"/>
    <s v=""/>
  </r>
  <r>
    <x v="305"/>
    <x v="0"/>
    <x v="0"/>
    <s v="2025/02"/>
    <x v="1"/>
    <s v=""/>
  </r>
  <r>
    <x v="306"/>
    <x v="0"/>
    <x v="0"/>
    <s v="2025/02"/>
    <x v="0"/>
    <n v="1"/>
  </r>
  <r>
    <x v="306"/>
    <x v="0"/>
    <x v="0"/>
    <s v="2025/02"/>
    <x v="1"/>
    <s v=""/>
  </r>
  <r>
    <x v="307"/>
    <x v="0"/>
    <x v="0"/>
    <s v="2025/02"/>
    <x v="0"/>
    <n v="1"/>
  </r>
  <r>
    <x v="308"/>
    <x v="0"/>
    <x v="0"/>
    <s v="2025/02"/>
    <x v="1"/>
    <s v=""/>
  </r>
  <r>
    <x v="308"/>
    <x v="0"/>
    <x v="0"/>
    <s v="2025/02"/>
    <x v="1"/>
    <s v=""/>
  </r>
  <r>
    <x v="308"/>
    <x v="0"/>
    <x v="0"/>
    <s v="2025/02"/>
    <x v="1"/>
    <s v=""/>
  </r>
  <r>
    <x v="309"/>
    <x v="0"/>
    <x v="1"/>
    <s v="2025/02"/>
    <x v="2"/>
    <n v="1"/>
  </r>
  <r>
    <x v="310"/>
    <x v="0"/>
    <x v="0"/>
    <s v="2025/02"/>
    <x v="0"/>
    <n v="1"/>
  </r>
  <r>
    <x v="310"/>
    <x v="0"/>
    <x v="0"/>
    <s v="2025/02"/>
    <x v="1"/>
    <s v=""/>
  </r>
  <r>
    <x v="311"/>
    <x v="0"/>
    <x v="0"/>
    <s v="2025/02"/>
    <x v="0"/>
    <n v="1"/>
  </r>
  <r>
    <x v="311"/>
    <x v="0"/>
    <x v="0"/>
    <s v="2025/02"/>
    <x v="1"/>
    <s v=""/>
  </r>
  <r>
    <x v="311"/>
    <x v="0"/>
    <x v="0"/>
    <s v="2025/02"/>
    <x v="1"/>
    <s v=""/>
  </r>
  <r>
    <x v="312"/>
    <x v="0"/>
    <x v="1"/>
    <s v="2025/02"/>
    <x v="2"/>
    <n v="1"/>
  </r>
  <r>
    <x v="313"/>
    <x v="0"/>
    <x v="0"/>
    <s v="2025/02"/>
    <x v="0"/>
    <n v="1"/>
  </r>
  <r>
    <x v="313"/>
    <x v="0"/>
    <x v="0"/>
    <s v="2025/02"/>
    <x v="1"/>
    <s v=""/>
  </r>
  <r>
    <x v="314"/>
    <x v="0"/>
    <x v="0"/>
    <s v="2025/02"/>
    <x v="0"/>
    <n v="1"/>
  </r>
  <r>
    <x v="314"/>
    <x v="0"/>
    <x v="0"/>
    <s v="2025/02"/>
    <x v="1"/>
    <s v=""/>
  </r>
  <r>
    <x v="314"/>
    <x v="0"/>
    <x v="0"/>
    <s v="2025/02"/>
    <x v="1"/>
    <s v=""/>
  </r>
  <r>
    <x v="314"/>
    <x v="0"/>
    <x v="0"/>
    <s v="2025/02"/>
    <x v="1"/>
    <s v=""/>
  </r>
  <r>
    <x v="314"/>
    <x v="0"/>
    <x v="0"/>
    <s v="2025/02"/>
    <x v="1"/>
    <s v=""/>
  </r>
  <r>
    <x v="315"/>
    <x v="0"/>
    <x v="0"/>
    <s v="2025/02"/>
    <x v="0"/>
    <n v="1"/>
  </r>
  <r>
    <x v="315"/>
    <x v="0"/>
    <x v="0"/>
    <s v="2025/02"/>
    <x v="1"/>
    <s v=""/>
  </r>
  <r>
    <x v="315"/>
    <x v="0"/>
    <x v="0"/>
    <s v="2025/02"/>
    <x v="1"/>
    <s v=""/>
  </r>
  <r>
    <x v="316"/>
    <x v="0"/>
    <x v="1"/>
    <s v="2025/02"/>
    <x v="2"/>
    <n v="1"/>
  </r>
  <r>
    <x v="316"/>
    <x v="0"/>
    <x v="1"/>
    <s v="2025/02"/>
    <x v="1"/>
    <s v=""/>
  </r>
  <r>
    <x v="316"/>
    <x v="0"/>
    <x v="1"/>
    <s v="2025/02"/>
    <x v="1"/>
    <s v=""/>
  </r>
  <r>
    <x v="317"/>
    <x v="0"/>
    <x v="0"/>
    <s v="2025/02"/>
    <x v="0"/>
    <n v="1"/>
  </r>
  <r>
    <x v="317"/>
    <x v="0"/>
    <x v="0"/>
    <s v="2025/02"/>
    <x v="1"/>
    <s v=""/>
  </r>
  <r>
    <x v="317"/>
    <x v="0"/>
    <x v="0"/>
    <s v="2025/02"/>
    <x v="1"/>
    <s v=""/>
  </r>
  <r>
    <x v="318"/>
    <x v="0"/>
    <x v="0"/>
    <s v="2025/02"/>
    <x v="0"/>
    <n v="1"/>
  </r>
  <r>
    <x v="318"/>
    <x v="0"/>
    <x v="0"/>
    <s v="2025/02"/>
    <x v="1"/>
    <s v=""/>
  </r>
  <r>
    <x v="318"/>
    <x v="0"/>
    <x v="0"/>
    <s v="2025/02"/>
    <x v="1"/>
    <s v=""/>
  </r>
  <r>
    <x v="319"/>
    <x v="0"/>
    <x v="0"/>
    <s v="2025/02"/>
    <x v="0"/>
    <n v="1"/>
  </r>
  <r>
    <x v="319"/>
    <x v="0"/>
    <x v="0"/>
    <s v="2025/02"/>
    <x v="1"/>
    <s v=""/>
  </r>
  <r>
    <x v="319"/>
    <x v="0"/>
    <x v="0"/>
    <s v="2025/02"/>
    <x v="1"/>
    <s v=""/>
  </r>
  <r>
    <x v="319"/>
    <x v="0"/>
    <x v="0"/>
    <s v="2025/02"/>
    <x v="1"/>
    <s v=""/>
  </r>
  <r>
    <x v="320"/>
    <x v="0"/>
    <x v="0"/>
    <s v="2025/02"/>
    <x v="0"/>
    <n v="1"/>
  </r>
  <r>
    <x v="321"/>
    <x v="0"/>
    <x v="0"/>
    <s v="2025/02"/>
    <x v="1"/>
    <s v=""/>
  </r>
  <r>
    <x v="321"/>
    <x v="0"/>
    <x v="0"/>
    <s v="2025/02"/>
    <x v="1"/>
    <s v=""/>
  </r>
  <r>
    <x v="321"/>
    <x v="0"/>
    <x v="0"/>
    <s v="2025/02"/>
    <x v="1"/>
    <s v=""/>
  </r>
  <r>
    <x v="322"/>
    <x v="0"/>
    <x v="0"/>
    <s v="2025/02"/>
    <x v="0"/>
    <n v="1"/>
  </r>
  <r>
    <x v="322"/>
    <x v="0"/>
    <x v="0"/>
    <s v="2025/02"/>
    <x v="1"/>
    <s v=""/>
  </r>
  <r>
    <x v="323"/>
    <x v="0"/>
    <x v="0"/>
    <s v="2025/02"/>
    <x v="0"/>
    <n v="1"/>
  </r>
  <r>
    <x v="323"/>
    <x v="0"/>
    <x v="0"/>
    <s v="2025/02"/>
    <x v="1"/>
    <s v=""/>
  </r>
  <r>
    <x v="324"/>
    <x v="0"/>
    <x v="0"/>
    <s v="2025/02"/>
    <x v="0"/>
    <n v="1"/>
  </r>
  <r>
    <x v="324"/>
    <x v="0"/>
    <x v="0"/>
    <s v="2025/02"/>
    <x v="1"/>
    <s v=""/>
  </r>
  <r>
    <x v="324"/>
    <x v="0"/>
    <x v="0"/>
    <s v="2025/02"/>
    <x v="1"/>
    <s v=""/>
  </r>
  <r>
    <x v="325"/>
    <x v="0"/>
    <x v="0"/>
    <s v="2025/02"/>
    <x v="0"/>
    <n v="1"/>
  </r>
  <r>
    <x v="325"/>
    <x v="0"/>
    <x v="0"/>
    <s v="2025/02"/>
    <x v="1"/>
    <s v=""/>
  </r>
  <r>
    <x v="326"/>
    <x v="0"/>
    <x v="1"/>
    <s v="2025/02"/>
    <x v="2"/>
    <n v="1"/>
  </r>
  <r>
    <x v="326"/>
    <x v="0"/>
    <x v="1"/>
    <s v="2025/02"/>
    <x v="1"/>
    <s v=""/>
  </r>
  <r>
    <x v="327"/>
    <x v="0"/>
    <x v="0"/>
    <s v="2025/02"/>
    <x v="0"/>
    <n v="1"/>
  </r>
  <r>
    <x v="327"/>
    <x v="0"/>
    <x v="0"/>
    <s v="2025/02"/>
    <x v="1"/>
    <s v=""/>
  </r>
  <r>
    <x v="327"/>
    <x v="0"/>
    <x v="0"/>
    <s v="2025/02"/>
    <x v="1"/>
    <s v=""/>
  </r>
  <r>
    <x v="327"/>
    <x v="0"/>
    <x v="0"/>
    <s v="2025/02"/>
    <x v="1"/>
    <s v=""/>
  </r>
  <r>
    <x v="328"/>
    <x v="0"/>
    <x v="1"/>
    <s v="2025/02"/>
    <x v="2"/>
    <n v="1"/>
  </r>
  <r>
    <x v="328"/>
    <x v="0"/>
    <x v="1"/>
    <s v="2025/02"/>
    <x v="1"/>
    <s v=""/>
  </r>
  <r>
    <x v="328"/>
    <x v="0"/>
    <x v="1"/>
    <s v="2025/02"/>
    <x v="1"/>
    <s v=""/>
  </r>
  <r>
    <x v="328"/>
    <x v="0"/>
    <x v="1"/>
    <s v="2025/02"/>
    <x v="1"/>
    <s v=""/>
  </r>
  <r>
    <x v="329"/>
    <x v="0"/>
    <x v="1"/>
    <s v="2025/02"/>
    <x v="2"/>
    <n v="1"/>
  </r>
  <r>
    <x v="330"/>
    <x v="0"/>
    <x v="0"/>
    <s v="2025/03"/>
    <x v="0"/>
    <n v="1"/>
  </r>
  <r>
    <x v="330"/>
    <x v="0"/>
    <x v="0"/>
    <s v="2025/03"/>
    <x v="1"/>
    <s v=""/>
  </r>
  <r>
    <x v="330"/>
    <x v="0"/>
    <x v="0"/>
    <s v="2025/03"/>
    <x v="1"/>
    <s v=""/>
  </r>
  <r>
    <x v="330"/>
    <x v="0"/>
    <x v="0"/>
    <s v="2025/03"/>
    <x v="1"/>
    <s v=""/>
  </r>
  <r>
    <x v="331"/>
    <x v="0"/>
    <x v="1"/>
    <s v="2025/03"/>
    <x v="2"/>
    <n v="1"/>
  </r>
  <r>
    <x v="332"/>
    <x v="0"/>
    <x v="1"/>
    <s v="2025/03"/>
    <x v="2"/>
    <n v="1"/>
  </r>
  <r>
    <x v="333"/>
    <x v="0"/>
    <x v="0"/>
    <s v="2025/03"/>
    <x v="0"/>
    <n v="1"/>
  </r>
  <r>
    <x v="333"/>
    <x v="0"/>
    <x v="0"/>
    <s v="2025/03"/>
    <x v="1"/>
    <s v=""/>
  </r>
  <r>
    <x v="334"/>
    <x v="0"/>
    <x v="0"/>
    <s v="2025/03"/>
    <x v="0"/>
    <n v="1"/>
  </r>
  <r>
    <x v="334"/>
    <x v="0"/>
    <x v="0"/>
    <s v="2025/03"/>
    <x v="1"/>
    <s v=""/>
  </r>
  <r>
    <x v="335"/>
    <x v="0"/>
    <x v="0"/>
    <s v="2025/03"/>
    <x v="0"/>
    <n v="1"/>
  </r>
  <r>
    <x v="335"/>
    <x v="0"/>
    <x v="0"/>
    <s v="2025/03"/>
    <x v="1"/>
    <s v=""/>
  </r>
  <r>
    <x v="335"/>
    <x v="0"/>
    <x v="0"/>
    <s v="2025/03"/>
    <x v="1"/>
    <s v=""/>
  </r>
  <r>
    <x v="336"/>
    <x v="0"/>
    <x v="0"/>
    <s v="2025/03"/>
    <x v="0"/>
    <n v="1"/>
  </r>
  <r>
    <x v="336"/>
    <x v="0"/>
    <x v="0"/>
    <s v="2025/03"/>
    <x v="1"/>
    <s v=""/>
  </r>
  <r>
    <x v="336"/>
    <x v="0"/>
    <x v="0"/>
    <s v="2025/03"/>
    <x v="1"/>
    <s v=""/>
  </r>
  <r>
    <x v="337"/>
    <x v="0"/>
    <x v="0"/>
    <s v="2025/03"/>
    <x v="0"/>
    <n v="1"/>
  </r>
  <r>
    <x v="337"/>
    <x v="0"/>
    <x v="0"/>
    <s v="2025/03"/>
    <x v="1"/>
    <s v=""/>
  </r>
  <r>
    <x v="337"/>
    <x v="0"/>
    <x v="0"/>
    <s v="2025/03"/>
    <x v="1"/>
    <s v=""/>
  </r>
  <r>
    <x v="338"/>
    <x v="0"/>
    <x v="1"/>
    <s v="2025/03"/>
    <x v="2"/>
    <n v="1"/>
  </r>
  <r>
    <x v="338"/>
    <x v="0"/>
    <x v="1"/>
    <s v="2025/03"/>
    <x v="1"/>
    <s v=""/>
  </r>
  <r>
    <x v="339"/>
    <x v="0"/>
    <x v="0"/>
    <s v="2025/03"/>
    <x v="0"/>
    <n v="1"/>
  </r>
  <r>
    <x v="339"/>
    <x v="0"/>
    <x v="0"/>
    <s v="2025/03"/>
    <x v="1"/>
    <s v=""/>
  </r>
  <r>
    <x v="339"/>
    <x v="0"/>
    <x v="0"/>
    <s v="2025/03"/>
    <x v="1"/>
    <s v=""/>
  </r>
  <r>
    <x v="340"/>
    <x v="0"/>
    <x v="0"/>
    <s v="2025/03"/>
    <x v="0"/>
    <n v="1"/>
  </r>
  <r>
    <x v="340"/>
    <x v="0"/>
    <x v="0"/>
    <s v="2025/03"/>
    <x v="1"/>
    <s v=""/>
  </r>
  <r>
    <x v="340"/>
    <x v="0"/>
    <x v="0"/>
    <s v="2025/03"/>
    <x v="1"/>
    <s v=""/>
  </r>
  <r>
    <x v="341"/>
    <x v="0"/>
    <x v="0"/>
    <s v="2025/03"/>
    <x v="0"/>
    <n v="1"/>
  </r>
  <r>
    <x v="341"/>
    <x v="0"/>
    <x v="0"/>
    <s v="2025/03"/>
    <x v="1"/>
    <s v=""/>
  </r>
  <r>
    <x v="341"/>
    <x v="0"/>
    <x v="0"/>
    <s v="2025/03"/>
    <x v="1"/>
    <s v=""/>
  </r>
  <r>
    <x v="342"/>
    <x v="0"/>
    <x v="4"/>
    <s v="2025/03"/>
    <x v="3"/>
    <n v="0"/>
  </r>
  <r>
    <x v="343"/>
    <x v="0"/>
    <x v="1"/>
    <s v="2025/03"/>
    <x v="2"/>
    <n v="1"/>
  </r>
  <r>
    <x v="343"/>
    <x v="0"/>
    <x v="1"/>
    <s v="2025/03"/>
    <x v="1"/>
    <s v=""/>
  </r>
  <r>
    <x v="344"/>
    <x v="0"/>
    <x v="4"/>
    <s v="2025/03"/>
    <x v="3"/>
    <n v="0"/>
  </r>
  <r>
    <x v="345"/>
    <x v="0"/>
    <x v="0"/>
    <s v="2025/03"/>
    <x v="0"/>
    <n v="1"/>
  </r>
  <r>
    <x v="345"/>
    <x v="0"/>
    <x v="0"/>
    <s v="2025/03"/>
    <x v="1"/>
    <s v=""/>
  </r>
  <r>
    <x v="345"/>
    <x v="0"/>
    <x v="0"/>
    <s v="2025/03"/>
    <x v="1"/>
    <s v=""/>
  </r>
  <r>
    <x v="346"/>
    <x v="0"/>
    <x v="0"/>
    <s v="2025/03"/>
    <x v="0"/>
    <n v="1"/>
  </r>
  <r>
    <x v="346"/>
    <x v="0"/>
    <x v="0"/>
    <s v="2025/03"/>
    <x v="1"/>
    <s v=""/>
  </r>
  <r>
    <x v="346"/>
    <x v="0"/>
    <x v="0"/>
    <s v="2025/03"/>
    <x v="1"/>
    <s v=""/>
  </r>
  <r>
    <x v="347"/>
    <x v="0"/>
    <x v="1"/>
    <s v="2025/03"/>
    <x v="2"/>
    <n v="1"/>
  </r>
  <r>
    <x v="348"/>
    <x v="0"/>
    <x v="0"/>
    <s v="2025/03"/>
    <x v="0"/>
    <n v="1"/>
  </r>
  <r>
    <x v="348"/>
    <x v="0"/>
    <x v="0"/>
    <s v="2025/03"/>
    <x v="1"/>
    <s v=""/>
  </r>
  <r>
    <x v="348"/>
    <x v="0"/>
    <x v="0"/>
    <s v="2025/03"/>
    <x v="1"/>
    <s v=""/>
  </r>
  <r>
    <x v="349"/>
    <x v="0"/>
    <x v="0"/>
    <s v="2025/03"/>
    <x v="0"/>
    <n v="1"/>
  </r>
  <r>
    <x v="349"/>
    <x v="0"/>
    <x v="0"/>
    <s v="2025/03"/>
    <x v="1"/>
    <s v=""/>
  </r>
  <r>
    <x v="350"/>
    <x v="0"/>
    <x v="0"/>
    <s v="2025/03"/>
    <x v="0"/>
    <n v="1"/>
  </r>
  <r>
    <x v="350"/>
    <x v="0"/>
    <x v="0"/>
    <s v="2025/03"/>
    <x v="1"/>
    <s v=""/>
  </r>
  <r>
    <x v="350"/>
    <x v="0"/>
    <x v="0"/>
    <s v="2025/03"/>
    <x v="1"/>
    <s v=""/>
  </r>
  <r>
    <x v="351"/>
    <x v="0"/>
    <x v="0"/>
    <s v="2025/03"/>
    <x v="0"/>
    <n v="1"/>
  </r>
  <r>
    <x v="351"/>
    <x v="0"/>
    <x v="0"/>
    <s v="2025/03"/>
    <x v="1"/>
    <s v=""/>
  </r>
  <r>
    <x v="351"/>
    <x v="0"/>
    <x v="0"/>
    <s v="2025/03"/>
    <x v="1"/>
    <s v=""/>
  </r>
  <r>
    <x v="352"/>
    <x v="0"/>
    <x v="0"/>
    <s v="2025/03"/>
    <x v="0"/>
    <n v="1"/>
  </r>
  <r>
    <x v="352"/>
    <x v="0"/>
    <x v="0"/>
    <s v="2025/03"/>
    <x v="1"/>
    <s v=""/>
  </r>
  <r>
    <x v="352"/>
    <x v="0"/>
    <x v="0"/>
    <s v="2025/03"/>
    <x v="1"/>
    <s v=""/>
  </r>
  <r>
    <x v="353"/>
    <x v="0"/>
    <x v="0"/>
    <s v="2025/03"/>
    <x v="0"/>
    <n v="1"/>
  </r>
  <r>
    <x v="353"/>
    <x v="0"/>
    <x v="0"/>
    <s v="2025/03"/>
    <x v="1"/>
    <s v=""/>
  </r>
  <r>
    <x v="354"/>
    <x v="0"/>
    <x v="0"/>
    <s v="2025/03"/>
    <x v="0"/>
    <n v="1"/>
  </r>
  <r>
    <x v="354"/>
    <x v="0"/>
    <x v="0"/>
    <s v="2025/03"/>
    <x v="1"/>
    <s v=""/>
  </r>
  <r>
    <x v="355"/>
    <x v="0"/>
    <x v="0"/>
    <s v="2025/03"/>
    <x v="0"/>
    <n v="1"/>
  </r>
  <r>
    <x v="355"/>
    <x v="0"/>
    <x v="0"/>
    <s v="2025/03"/>
    <x v="1"/>
    <s v=""/>
  </r>
  <r>
    <x v="355"/>
    <x v="0"/>
    <x v="0"/>
    <s v="2025/03"/>
    <x v="1"/>
    <s v=""/>
  </r>
  <r>
    <x v="355"/>
    <x v="0"/>
    <x v="0"/>
    <s v="2025/03"/>
    <x v="1"/>
    <s v=""/>
  </r>
  <r>
    <x v="356"/>
    <x v="0"/>
    <x v="0"/>
    <s v="2025/03"/>
    <x v="0"/>
    <n v="1"/>
  </r>
  <r>
    <x v="356"/>
    <x v="0"/>
    <x v="0"/>
    <s v="2025/03"/>
    <x v="1"/>
    <s v=""/>
  </r>
  <r>
    <x v="356"/>
    <x v="0"/>
    <x v="0"/>
    <s v="2025/03"/>
    <x v="1"/>
    <s v=""/>
  </r>
  <r>
    <x v="356"/>
    <x v="0"/>
    <x v="0"/>
    <s v="2025/03"/>
    <x v="1"/>
    <s v=""/>
  </r>
  <r>
    <x v="357"/>
    <x v="0"/>
    <x v="0"/>
    <s v="2025/03"/>
    <x v="1"/>
    <s v=""/>
  </r>
  <r>
    <x v="357"/>
    <x v="0"/>
    <x v="0"/>
    <s v="2025/03"/>
    <x v="1"/>
    <s v=""/>
  </r>
  <r>
    <x v="358"/>
    <x v="0"/>
    <x v="0"/>
    <s v="2025/03"/>
    <x v="0"/>
    <n v="1"/>
  </r>
  <r>
    <x v="358"/>
    <x v="0"/>
    <x v="0"/>
    <s v="2025/03"/>
    <x v="1"/>
    <s v=""/>
  </r>
  <r>
    <x v="358"/>
    <x v="0"/>
    <x v="0"/>
    <s v="2025/03"/>
    <x v="1"/>
    <s v=""/>
  </r>
  <r>
    <x v="359"/>
    <x v="0"/>
    <x v="0"/>
    <s v="2025/03"/>
    <x v="0"/>
    <n v="1"/>
  </r>
  <r>
    <x v="359"/>
    <x v="0"/>
    <x v="0"/>
    <s v="2025/03"/>
    <x v="1"/>
    <s v=""/>
  </r>
  <r>
    <x v="359"/>
    <x v="0"/>
    <x v="0"/>
    <s v="2025/03"/>
    <x v="1"/>
    <s v=""/>
  </r>
  <r>
    <x v="359"/>
    <x v="0"/>
    <x v="0"/>
    <s v="2025/03"/>
    <x v="1"/>
    <s v=""/>
  </r>
  <r>
    <x v="360"/>
    <x v="0"/>
    <x v="0"/>
    <s v="2025/03"/>
    <x v="0"/>
    <n v="1"/>
  </r>
  <r>
    <x v="360"/>
    <x v="0"/>
    <x v="0"/>
    <s v="2025/03"/>
    <x v="1"/>
    <s v=""/>
  </r>
  <r>
    <x v="361"/>
    <x v="0"/>
    <x v="0"/>
    <s v="2025/03"/>
    <x v="0"/>
    <n v="1"/>
  </r>
  <r>
    <x v="361"/>
    <x v="0"/>
    <x v="0"/>
    <s v="2025/03"/>
    <x v="1"/>
    <s v=""/>
  </r>
  <r>
    <x v="362"/>
    <x v="0"/>
    <x v="0"/>
    <s v="2025/03"/>
    <x v="1"/>
    <s v=""/>
  </r>
  <r>
    <x v="362"/>
    <x v="0"/>
    <x v="0"/>
    <s v="2025/03"/>
    <x v="1"/>
    <s v=""/>
  </r>
  <r>
    <x v="363"/>
    <x v="0"/>
    <x v="0"/>
    <s v="2025/03"/>
    <x v="0"/>
    <n v="1"/>
  </r>
  <r>
    <x v="363"/>
    <x v="0"/>
    <x v="0"/>
    <s v="2025/03"/>
    <x v="1"/>
    <s v=""/>
  </r>
  <r>
    <x v="364"/>
    <x v="0"/>
    <x v="0"/>
    <s v="2025/03"/>
    <x v="0"/>
    <n v="1"/>
  </r>
  <r>
    <x v="364"/>
    <x v="0"/>
    <x v="0"/>
    <s v="2025/03"/>
    <x v="1"/>
    <s v=""/>
  </r>
  <r>
    <x v="365"/>
    <x v="0"/>
    <x v="0"/>
    <s v="2025/03"/>
    <x v="0"/>
    <n v="1"/>
  </r>
  <r>
    <x v="365"/>
    <x v="0"/>
    <x v="0"/>
    <s v="2025/03"/>
    <x v="1"/>
    <s v=""/>
  </r>
  <r>
    <x v="365"/>
    <x v="0"/>
    <x v="0"/>
    <s v="2025/03"/>
    <x v="1"/>
    <s v=""/>
  </r>
  <r>
    <x v="366"/>
    <x v="0"/>
    <x v="1"/>
    <s v="2025/03"/>
    <x v="2"/>
    <n v="1"/>
  </r>
  <r>
    <x v="366"/>
    <x v="0"/>
    <x v="1"/>
    <s v="2025/03"/>
    <x v="1"/>
    <s v=""/>
  </r>
  <r>
    <x v="367"/>
    <x v="0"/>
    <x v="0"/>
    <s v="2025/03"/>
    <x v="0"/>
    <n v="1"/>
  </r>
  <r>
    <x v="367"/>
    <x v="0"/>
    <x v="0"/>
    <s v="2025/03"/>
    <x v="1"/>
    <s v=""/>
  </r>
  <r>
    <x v="368"/>
    <x v="0"/>
    <x v="1"/>
    <s v="2025/03"/>
    <x v="2"/>
    <n v="1"/>
  </r>
  <r>
    <x v="368"/>
    <x v="0"/>
    <x v="1"/>
    <s v="2025/03"/>
    <x v="1"/>
    <s v=""/>
  </r>
  <r>
    <x v="369"/>
    <x v="0"/>
    <x v="0"/>
    <s v="2025/03"/>
    <x v="0"/>
    <n v="1"/>
  </r>
  <r>
    <x v="369"/>
    <x v="0"/>
    <x v="0"/>
    <s v="2025/03"/>
    <x v="1"/>
    <s v=""/>
  </r>
  <r>
    <x v="369"/>
    <x v="0"/>
    <x v="0"/>
    <s v="2025/03"/>
    <x v="1"/>
    <s v=""/>
  </r>
  <r>
    <x v="369"/>
    <x v="0"/>
    <x v="0"/>
    <s v="2025/03"/>
    <x v="1"/>
    <s v=""/>
  </r>
  <r>
    <x v="370"/>
    <x v="0"/>
    <x v="1"/>
    <s v="2025/03"/>
    <x v="2"/>
    <n v="1"/>
  </r>
  <r>
    <x v="370"/>
    <x v="0"/>
    <x v="1"/>
    <s v="2025/03"/>
    <x v="1"/>
    <s v=""/>
  </r>
  <r>
    <x v="371"/>
    <x v="0"/>
    <x v="1"/>
    <s v="2025/03"/>
    <x v="2"/>
    <n v="1"/>
  </r>
  <r>
    <x v="371"/>
    <x v="0"/>
    <x v="1"/>
    <s v="2025/03"/>
    <x v="1"/>
    <s v=""/>
  </r>
  <r>
    <x v="372"/>
    <x v="0"/>
    <x v="0"/>
    <s v="2025/03"/>
    <x v="0"/>
    <n v="1"/>
  </r>
  <r>
    <x v="372"/>
    <x v="0"/>
    <x v="0"/>
    <s v="2025/03"/>
    <x v="1"/>
    <s v=""/>
  </r>
  <r>
    <x v="373"/>
    <x v="0"/>
    <x v="1"/>
    <s v="2025/03"/>
    <x v="2"/>
    <n v="1"/>
  </r>
  <r>
    <x v="373"/>
    <x v="0"/>
    <x v="1"/>
    <s v="2025/03"/>
    <x v="1"/>
    <s v=""/>
  </r>
  <r>
    <x v="374"/>
    <x v="0"/>
    <x v="1"/>
    <s v="2025/03"/>
    <x v="2"/>
    <n v="1"/>
  </r>
  <r>
    <x v="374"/>
    <x v="0"/>
    <x v="1"/>
    <s v="2025/03"/>
    <x v="1"/>
    <s v=""/>
  </r>
  <r>
    <x v="375"/>
    <x v="0"/>
    <x v="1"/>
    <s v="2025/03"/>
    <x v="2"/>
    <n v="1"/>
  </r>
  <r>
    <x v="375"/>
    <x v="0"/>
    <x v="1"/>
    <s v="2025/03"/>
    <x v="1"/>
    <s v=""/>
  </r>
  <r>
    <x v="376"/>
    <x v="0"/>
    <x v="1"/>
    <s v="2025/03"/>
    <x v="2"/>
    <n v="1"/>
  </r>
  <r>
    <x v="376"/>
    <x v="0"/>
    <x v="1"/>
    <s v="2025/03"/>
    <x v="1"/>
    <s v=""/>
  </r>
  <r>
    <x v="377"/>
    <x v="0"/>
    <x v="0"/>
    <s v="2025/03"/>
    <x v="0"/>
    <n v="1"/>
  </r>
  <r>
    <x v="377"/>
    <x v="0"/>
    <x v="0"/>
    <s v="2025/03"/>
    <x v="1"/>
    <s v=""/>
  </r>
  <r>
    <x v="378"/>
    <x v="0"/>
    <x v="0"/>
    <s v="2025/03"/>
    <x v="0"/>
    <n v="1"/>
  </r>
  <r>
    <x v="378"/>
    <x v="0"/>
    <x v="0"/>
    <s v="2025/03"/>
    <x v="1"/>
    <s v=""/>
  </r>
  <r>
    <x v="378"/>
    <x v="0"/>
    <x v="0"/>
    <s v="2025/03"/>
    <x v="1"/>
    <s v=""/>
  </r>
  <r>
    <x v="379"/>
    <x v="0"/>
    <x v="0"/>
    <s v="2025/03"/>
    <x v="0"/>
    <n v="1"/>
  </r>
  <r>
    <x v="379"/>
    <x v="0"/>
    <x v="0"/>
    <s v="2025/03"/>
    <x v="1"/>
    <s v=""/>
  </r>
  <r>
    <x v="379"/>
    <x v="0"/>
    <x v="0"/>
    <s v="2025/03"/>
    <x v="1"/>
    <s v=""/>
  </r>
  <r>
    <x v="380"/>
    <x v="0"/>
    <x v="1"/>
    <s v="2025/03"/>
    <x v="2"/>
    <n v="1"/>
  </r>
  <r>
    <x v="380"/>
    <x v="0"/>
    <x v="1"/>
    <s v="2025/03"/>
    <x v="1"/>
    <s v=""/>
  </r>
  <r>
    <x v="380"/>
    <x v="0"/>
    <x v="1"/>
    <s v="2025/03"/>
    <x v="1"/>
    <s v=""/>
  </r>
  <r>
    <x v="381"/>
    <x v="0"/>
    <x v="1"/>
    <s v="2025/03"/>
    <x v="2"/>
    <n v="1"/>
  </r>
  <r>
    <x v="381"/>
    <x v="0"/>
    <x v="1"/>
    <s v="2025/03"/>
    <x v="1"/>
    <s v=""/>
  </r>
  <r>
    <x v="381"/>
    <x v="0"/>
    <x v="1"/>
    <s v="2025/03"/>
    <x v="1"/>
    <s v=""/>
  </r>
  <r>
    <x v="381"/>
    <x v="0"/>
    <x v="1"/>
    <s v="2025/03"/>
    <x v="1"/>
    <s v=""/>
  </r>
  <r>
    <x v="382"/>
    <x v="0"/>
    <x v="1"/>
    <s v="2025/03"/>
    <x v="2"/>
    <n v="1"/>
  </r>
  <r>
    <x v="382"/>
    <x v="0"/>
    <x v="1"/>
    <s v="2025/03"/>
    <x v="1"/>
    <s v=""/>
  </r>
  <r>
    <x v="383"/>
    <x v="0"/>
    <x v="0"/>
    <s v="2025/03"/>
    <x v="0"/>
    <n v="1"/>
  </r>
  <r>
    <x v="383"/>
    <x v="0"/>
    <x v="0"/>
    <s v="2025/03"/>
    <x v="1"/>
    <s v=""/>
  </r>
  <r>
    <x v="384"/>
    <x v="0"/>
    <x v="0"/>
    <s v="2025/03"/>
    <x v="0"/>
    <n v="1"/>
  </r>
  <r>
    <x v="384"/>
    <x v="0"/>
    <x v="0"/>
    <s v="2025/03"/>
    <x v="1"/>
    <s v=""/>
  </r>
  <r>
    <x v="385"/>
    <x v="0"/>
    <x v="0"/>
    <s v="2025/03"/>
    <x v="0"/>
    <n v="1"/>
  </r>
  <r>
    <x v="385"/>
    <x v="0"/>
    <x v="0"/>
    <s v="2025/03"/>
    <x v="1"/>
    <s v=""/>
  </r>
  <r>
    <x v="386"/>
    <x v="0"/>
    <x v="1"/>
    <s v="2025/03"/>
    <x v="2"/>
    <n v="1"/>
  </r>
  <r>
    <x v="386"/>
    <x v="0"/>
    <x v="1"/>
    <s v="2025/03"/>
    <x v="1"/>
    <s v=""/>
  </r>
  <r>
    <x v="387"/>
    <x v="0"/>
    <x v="1"/>
    <s v="2025/03"/>
    <x v="2"/>
    <n v="1"/>
  </r>
  <r>
    <x v="387"/>
    <x v="0"/>
    <x v="1"/>
    <s v="2025/03"/>
    <x v="1"/>
    <s v=""/>
  </r>
  <r>
    <x v="388"/>
    <x v="0"/>
    <x v="0"/>
    <s v="2025/03"/>
    <x v="0"/>
    <n v="1"/>
  </r>
  <r>
    <x v="388"/>
    <x v="0"/>
    <x v="0"/>
    <s v="2025/03"/>
    <x v="1"/>
    <s v=""/>
  </r>
  <r>
    <x v="388"/>
    <x v="0"/>
    <x v="0"/>
    <s v="2025/03"/>
    <x v="1"/>
    <s v=""/>
  </r>
  <r>
    <x v="389"/>
    <x v="0"/>
    <x v="0"/>
    <s v="2025/03"/>
    <x v="0"/>
    <n v="1"/>
  </r>
  <r>
    <x v="389"/>
    <x v="0"/>
    <x v="0"/>
    <s v="2025/03"/>
    <x v="1"/>
    <s v=""/>
  </r>
  <r>
    <x v="389"/>
    <x v="0"/>
    <x v="0"/>
    <s v="2025/03"/>
    <x v="1"/>
    <s v=""/>
  </r>
  <r>
    <x v="390"/>
    <x v="0"/>
    <x v="0"/>
    <s v="2025/03"/>
    <x v="0"/>
    <n v="1"/>
  </r>
  <r>
    <x v="390"/>
    <x v="0"/>
    <x v="0"/>
    <s v="2025/03"/>
    <x v="1"/>
    <s v=""/>
  </r>
  <r>
    <x v="391"/>
    <x v="0"/>
    <x v="1"/>
    <s v="2025/03"/>
    <x v="2"/>
    <n v="1"/>
  </r>
  <r>
    <x v="391"/>
    <x v="0"/>
    <x v="1"/>
    <s v="2025/03"/>
    <x v="1"/>
    <s v=""/>
  </r>
  <r>
    <x v="391"/>
    <x v="0"/>
    <x v="1"/>
    <s v="2025/03"/>
    <x v="1"/>
    <s v=""/>
  </r>
  <r>
    <x v="392"/>
    <x v="0"/>
    <x v="0"/>
    <s v="2025/03"/>
    <x v="0"/>
    <n v="1"/>
  </r>
  <r>
    <x v="393"/>
    <x v="0"/>
    <x v="0"/>
    <s v="2025/03"/>
    <x v="1"/>
    <s v=""/>
  </r>
  <r>
    <x v="394"/>
    <x v="0"/>
    <x v="3"/>
    <s v="2025/03"/>
    <x v="4"/>
    <n v="1"/>
  </r>
  <r>
    <x v="394"/>
    <x v="0"/>
    <x v="3"/>
    <s v="2025/03"/>
    <x v="1"/>
    <s v=""/>
  </r>
  <r>
    <x v="394"/>
    <x v="0"/>
    <x v="3"/>
    <s v="2025/03"/>
    <x v="1"/>
    <s v=""/>
  </r>
  <r>
    <x v="395"/>
    <x v="0"/>
    <x v="1"/>
    <s v="2025/03"/>
    <x v="2"/>
    <n v="1"/>
  </r>
  <r>
    <x v="395"/>
    <x v="0"/>
    <x v="1"/>
    <s v="2025/03"/>
    <x v="1"/>
    <s v=""/>
  </r>
  <r>
    <x v="396"/>
    <x v="0"/>
    <x v="0"/>
    <s v="2025/03"/>
    <x v="0"/>
    <n v="1"/>
  </r>
  <r>
    <x v="396"/>
    <x v="0"/>
    <x v="0"/>
    <s v="2025/03"/>
    <x v="1"/>
    <s v=""/>
  </r>
  <r>
    <x v="397"/>
    <x v="0"/>
    <x v="0"/>
    <s v="2025/03"/>
    <x v="0"/>
    <n v="1"/>
  </r>
  <r>
    <x v="397"/>
    <x v="0"/>
    <x v="0"/>
    <s v="2025/03"/>
    <x v="1"/>
    <s v=""/>
  </r>
  <r>
    <x v="397"/>
    <x v="0"/>
    <x v="0"/>
    <s v="2025/03"/>
    <x v="1"/>
    <s v=""/>
  </r>
  <r>
    <x v="397"/>
    <x v="0"/>
    <x v="0"/>
    <s v="2025/03"/>
    <x v="1"/>
    <s v=""/>
  </r>
  <r>
    <x v="398"/>
    <x v="0"/>
    <x v="1"/>
    <s v="2025/03"/>
    <x v="2"/>
    <n v="1"/>
  </r>
  <r>
    <x v="398"/>
    <x v="0"/>
    <x v="1"/>
    <s v="2025/03"/>
    <x v="1"/>
    <s v=""/>
  </r>
  <r>
    <x v="399"/>
    <x v="0"/>
    <x v="0"/>
    <s v="2025/03"/>
    <x v="0"/>
    <n v="1"/>
  </r>
  <r>
    <x v="399"/>
    <x v="0"/>
    <x v="0"/>
    <s v="2025/03"/>
    <x v="1"/>
    <s v=""/>
  </r>
  <r>
    <x v="400"/>
    <x v="0"/>
    <x v="0"/>
    <s v="2025/03"/>
    <x v="0"/>
    <n v="1"/>
  </r>
  <r>
    <x v="400"/>
    <x v="0"/>
    <x v="0"/>
    <s v="2025/03"/>
    <x v="1"/>
    <s v=""/>
  </r>
  <r>
    <x v="401"/>
    <x v="0"/>
    <x v="0"/>
    <s v="2025/03"/>
    <x v="0"/>
    <n v="1"/>
  </r>
  <r>
    <x v="401"/>
    <x v="0"/>
    <x v="0"/>
    <s v="2025/03"/>
    <x v="1"/>
    <s v=""/>
  </r>
  <r>
    <x v="402"/>
    <x v="0"/>
    <x v="0"/>
    <s v="2025/03"/>
    <x v="0"/>
    <n v="1"/>
  </r>
  <r>
    <x v="402"/>
    <x v="0"/>
    <x v="0"/>
    <s v="2025/03"/>
    <x v="1"/>
    <s v=""/>
  </r>
  <r>
    <x v="402"/>
    <x v="0"/>
    <x v="0"/>
    <s v="2025/03"/>
    <x v="1"/>
    <s v=""/>
  </r>
  <r>
    <x v="403"/>
    <x v="0"/>
    <x v="0"/>
    <s v="2025/03"/>
    <x v="0"/>
    <n v="1"/>
  </r>
  <r>
    <x v="403"/>
    <x v="0"/>
    <x v="0"/>
    <s v="2025/03"/>
    <x v="1"/>
    <s v=""/>
  </r>
  <r>
    <x v="403"/>
    <x v="0"/>
    <x v="0"/>
    <s v="2025/03"/>
    <x v="1"/>
    <s v=""/>
  </r>
  <r>
    <x v="404"/>
    <x v="0"/>
    <x v="0"/>
    <s v="2025/03"/>
    <x v="0"/>
    <n v="1"/>
  </r>
  <r>
    <x v="404"/>
    <x v="0"/>
    <x v="0"/>
    <s v="2025/03"/>
    <x v="1"/>
    <s v=""/>
  </r>
  <r>
    <x v="404"/>
    <x v="0"/>
    <x v="0"/>
    <s v="2025/03"/>
    <x v="1"/>
    <s v=""/>
  </r>
  <r>
    <x v="405"/>
    <x v="0"/>
    <x v="1"/>
    <s v="2025/03"/>
    <x v="2"/>
    <n v="1"/>
  </r>
  <r>
    <x v="405"/>
    <x v="0"/>
    <x v="1"/>
    <s v="2025/03"/>
    <x v="1"/>
    <s v=""/>
  </r>
  <r>
    <x v="406"/>
    <x v="0"/>
    <x v="1"/>
    <s v="2025/03"/>
    <x v="2"/>
    <n v="1"/>
  </r>
  <r>
    <x v="406"/>
    <x v="0"/>
    <x v="1"/>
    <s v="2025/03"/>
    <x v="1"/>
    <s v=""/>
  </r>
  <r>
    <x v="406"/>
    <x v="0"/>
    <x v="1"/>
    <s v="2025/03"/>
    <x v="1"/>
    <s v=""/>
  </r>
  <r>
    <x v="407"/>
    <x v="0"/>
    <x v="1"/>
    <s v="2025/03"/>
    <x v="2"/>
    <n v="1"/>
  </r>
  <r>
    <x v="407"/>
    <x v="0"/>
    <x v="1"/>
    <s v="2025/03"/>
    <x v="1"/>
    <s v=""/>
  </r>
  <r>
    <x v="408"/>
    <x v="0"/>
    <x v="1"/>
    <s v="2025/03"/>
    <x v="2"/>
    <n v="1"/>
  </r>
  <r>
    <x v="408"/>
    <x v="0"/>
    <x v="1"/>
    <s v="2025/03"/>
    <x v="1"/>
    <s v=""/>
  </r>
  <r>
    <x v="409"/>
    <x v="0"/>
    <x v="1"/>
    <s v="2025/03"/>
    <x v="2"/>
    <n v="1"/>
  </r>
  <r>
    <x v="409"/>
    <x v="0"/>
    <x v="1"/>
    <s v="2025/03"/>
    <x v="1"/>
    <s v=""/>
  </r>
  <r>
    <x v="410"/>
    <x v="0"/>
    <x v="0"/>
    <s v="2025/03"/>
    <x v="0"/>
    <n v="1"/>
  </r>
  <r>
    <x v="410"/>
    <x v="0"/>
    <x v="0"/>
    <s v="2025/03"/>
    <x v="1"/>
    <s v=""/>
  </r>
  <r>
    <x v="410"/>
    <x v="0"/>
    <x v="0"/>
    <s v="2025/03"/>
    <x v="1"/>
    <s v=""/>
  </r>
  <r>
    <x v="410"/>
    <x v="0"/>
    <x v="0"/>
    <s v="2025/03"/>
    <x v="1"/>
    <s v=""/>
  </r>
  <r>
    <x v="411"/>
    <x v="0"/>
    <x v="0"/>
    <s v="2025/03"/>
    <x v="0"/>
    <n v="1"/>
  </r>
  <r>
    <x v="411"/>
    <x v="0"/>
    <x v="0"/>
    <s v="2025/03"/>
    <x v="1"/>
    <s v=""/>
  </r>
  <r>
    <x v="411"/>
    <x v="0"/>
    <x v="0"/>
    <s v="2025/03"/>
    <x v="1"/>
    <s v=""/>
  </r>
  <r>
    <x v="412"/>
    <x v="0"/>
    <x v="1"/>
    <s v="2025/03"/>
    <x v="2"/>
    <n v="1"/>
  </r>
  <r>
    <x v="412"/>
    <x v="0"/>
    <x v="1"/>
    <s v="2025/03"/>
    <x v="1"/>
    <s v=""/>
  </r>
  <r>
    <x v="413"/>
    <x v="0"/>
    <x v="1"/>
    <s v="2025/03"/>
    <x v="2"/>
    <n v="1"/>
  </r>
  <r>
    <x v="413"/>
    <x v="0"/>
    <x v="1"/>
    <s v="2025/03"/>
    <x v="1"/>
    <s v=""/>
  </r>
  <r>
    <x v="414"/>
    <x v="0"/>
    <x v="0"/>
    <s v="2025/03"/>
    <x v="0"/>
    <n v="1"/>
  </r>
  <r>
    <x v="414"/>
    <x v="0"/>
    <x v="0"/>
    <s v="2025/03"/>
    <x v="1"/>
    <s v=""/>
  </r>
  <r>
    <x v="414"/>
    <x v="0"/>
    <x v="0"/>
    <s v="2025/03"/>
    <x v="1"/>
    <s v=""/>
  </r>
  <r>
    <x v="415"/>
    <x v="0"/>
    <x v="0"/>
    <s v="2025/03"/>
    <x v="0"/>
    <n v="1"/>
  </r>
  <r>
    <x v="415"/>
    <x v="0"/>
    <x v="0"/>
    <s v="2025/03"/>
    <x v="1"/>
    <s v=""/>
  </r>
  <r>
    <x v="415"/>
    <x v="0"/>
    <x v="0"/>
    <s v="2025/03"/>
    <x v="1"/>
    <s v=""/>
  </r>
  <r>
    <x v="416"/>
    <x v="0"/>
    <x v="1"/>
    <s v="2025/03"/>
    <x v="2"/>
    <n v="1"/>
  </r>
  <r>
    <x v="416"/>
    <x v="0"/>
    <x v="1"/>
    <s v="2025/03"/>
    <x v="1"/>
    <s v=""/>
  </r>
  <r>
    <x v="416"/>
    <x v="0"/>
    <x v="1"/>
    <s v="2025/03"/>
    <x v="1"/>
    <s v=""/>
  </r>
  <r>
    <x v="417"/>
    <x v="0"/>
    <x v="0"/>
    <s v="2025/03"/>
    <x v="0"/>
    <n v="1"/>
  </r>
  <r>
    <x v="417"/>
    <x v="0"/>
    <x v="0"/>
    <s v="2025/03"/>
    <x v="1"/>
    <s v=""/>
  </r>
  <r>
    <x v="417"/>
    <x v="0"/>
    <x v="0"/>
    <s v="2025/03"/>
    <x v="1"/>
    <s v=""/>
  </r>
  <r>
    <x v="418"/>
    <x v="0"/>
    <x v="0"/>
    <s v="2025/03"/>
    <x v="0"/>
    <n v="1"/>
  </r>
  <r>
    <x v="418"/>
    <x v="0"/>
    <x v="0"/>
    <s v="2025/03"/>
    <x v="1"/>
    <s v=""/>
  </r>
  <r>
    <x v="418"/>
    <x v="0"/>
    <x v="0"/>
    <s v="2025/03"/>
    <x v="1"/>
    <s v=""/>
  </r>
  <r>
    <x v="419"/>
    <x v="0"/>
    <x v="1"/>
    <s v="2025/03"/>
    <x v="2"/>
    <n v="1"/>
  </r>
  <r>
    <x v="419"/>
    <x v="0"/>
    <x v="1"/>
    <s v="2025/03"/>
    <x v="1"/>
    <s v=""/>
  </r>
  <r>
    <x v="419"/>
    <x v="0"/>
    <x v="1"/>
    <s v="2025/03"/>
    <x v="1"/>
    <s v=""/>
  </r>
  <r>
    <x v="420"/>
    <x v="0"/>
    <x v="1"/>
    <s v="2025/03"/>
    <x v="2"/>
    <n v="1"/>
  </r>
  <r>
    <x v="420"/>
    <x v="0"/>
    <x v="1"/>
    <s v="2025/03"/>
    <x v="1"/>
    <s v=""/>
  </r>
  <r>
    <x v="421"/>
    <x v="0"/>
    <x v="1"/>
    <s v="2025/03"/>
    <x v="1"/>
    <s v=""/>
  </r>
  <r>
    <x v="422"/>
    <x v="0"/>
    <x v="1"/>
    <s v="2025/03"/>
    <x v="2"/>
    <n v="1"/>
  </r>
  <r>
    <x v="422"/>
    <x v="0"/>
    <x v="1"/>
    <s v="2025/03"/>
    <x v="1"/>
    <s v=""/>
  </r>
  <r>
    <x v="422"/>
    <x v="0"/>
    <x v="1"/>
    <s v="2025/03"/>
    <x v="1"/>
    <s v=""/>
  </r>
  <r>
    <x v="423"/>
    <x v="0"/>
    <x v="0"/>
    <s v="2025/03"/>
    <x v="0"/>
    <n v="1"/>
  </r>
  <r>
    <x v="423"/>
    <x v="0"/>
    <x v="0"/>
    <s v="2025/03"/>
    <x v="1"/>
    <s v=""/>
  </r>
  <r>
    <x v="423"/>
    <x v="0"/>
    <x v="0"/>
    <s v="2025/03"/>
    <x v="1"/>
    <s v=""/>
  </r>
  <r>
    <x v="424"/>
    <x v="0"/>
    <x v="0"/>
    <s v="2025/03"/>
    <x v="0"/>
    <n v="1"/>
  </r>
  <r>
    <x v="424"/>
    <x v="0"/>
    <x v="0"/>
    <s v="2025/03"/>
    <x v="1"/>
    <s v=""/>
  </r>
  <r>
    <x v="424"/>
    <x v="0"/>
    <x v="0"/>
    <s v="2025/03"/>
    <x v="1"/>
    <s v=""/>
  </r>
  <r>
    <x v="425"/>
    <x v="0"/>
    <x v="0"/>
    <s v="2025/03"/>
    <x v="0"/>
    <n v="1"/>
  </r>
  <r>
    <x v="425"/>
    <x v="0"/>
    <x v="0"/>
    <s v="2025/03"/>
    <x v="1"/>
    <s v=""/>
  </r>
  <r>
    <x v="425"/>
    <x v="0"/>
    <x v="0"/>
    <s v="2025/03"/>
    <x v="1"/>
    <s v=""/>
  </r>
  <r>
    <x v="426"/>
    <x v="0"/>
    <x v="0"/>
    <s v="2025/03"/>
    <x v="0"/>
    <n v="1"/>
  </r>
  <r>
    <x v="426"/>
    <x v="0"/>
    <x v="0"/>
    <s v="2025/03"/>
    <x v="1"/>
    <s v=""/>
  </r>
  <r>
    <x v="426"/>
    <x v="0"/>
    <x v="0"/>
    <s v="2025/03"/>
    <x v="1"/>
    <s v=""/>
  </r>
  <r>
    <x v="427"/>
    <x v="0"/>
    <x v="1"/>
    <s v="2025/03"/>
    <x v="2"/>
    <n v="1"/>
  </r>
  <r>
    <x v="427"/>
    <x v="0"/>
    <x v="1"/>
    <s v="2025/03"/>
    <x v="1"/>
    <s v=""/>
  </r>
  <r>
    <x v="428"/>
    <x v="0"/>
    <x v="0"/>
    <s v="2025/03"/>
    <x v="0"/>
    <n v="1"/>
  </r>
  <r>
    <x v="428"/>
    <x v="0"/>
    <x v="0"/>
    <s v="2025/03"/>
    <x v="1"/>
    <s v=""/>
  </r>
  <r>
    <x v="428"/>
    <x v="0"/>
    <x v="0"/>
    <s v="2025/03"/>
    <x v="1"/>
    <s v=""/>
  </r>
  <r>
    <x v="429"/>
    <x v="0"/>
    <x v="1"/>
    <s v="2025/03"/>
    <x v="2"/>
    <n v="1"/>
  </r>
  <r>
    <x v="430"/>
    <x v="0"/>
    <x v="0"/>
    <s v="2025/03"/>
    <x v="0"/>
    <n v="1"/>
  </r>
  <r>
    <x v="430"/>
    <x v="0"/>
    <x v="0"/>
    <s v="2025/03"/>
    <x v="1"/>
    <s v=""/>
  </r>
  <r>
    <x v="431"/>
    <x v="0"/>
    <x v="0"/>
    <s v="2025/03"/>
    <x v="0"/>
    <n v="1"/>
  </r>
  <r>
    <x v="431"/>
    <x v="0"/>
    <x v="0"/>
    <s v="2025/03"/>
    <x v="1"/>
    <s v=""/>
  </r>
  <r>
    <x v="431"/>
    <x v="0"/>
    <x v="0"/>
    <s v="2025/03"/>
    <x v="1"/>
    <s v=""/>
  </r>
  <r>
    <x v="432"/>
    <x v="0"/>
    <x v="0"/>
    <s v="2025/03"/>
    <x v="0"/>
    <n v="1"/>
  </r>
  <r>
    <x v="432"/>
    <x v="0"/>
    <x v="0"/>
    <s v="2025/03"/>
    <x v="1"/>
    <s v=""/>
  </r>
  <r>
    <x v="432"/>
    <x v="0"/>
    <x v="0"/>
    <s v="2025/03"/>
    <x v="1"/>
    <s v=""/>
  </r>
  <r>
    <x v="432"/>
    <x v="0"/>
    <x v="0"/>
    <s v="2025/03"/>
    <x v="1"/>
    <s v=""/>
  </r>
  <r>
    <x v="433"/>
    <x v="0"/>
    <x v="0"/>
    <s v="2025/03"/>
    <x v="0"/>
    <n v="1"/>
  </r>
  <r>
    <x v="433"/>
    <x v="0"/>
    <x v="0"/>
    <s v="2025/03"/>
    <x v="1"/>
    <s v=""/>
  </r>
  <r>
    <x v="434"/>
    <x v="0"/>
    <x v="0"/>
    <s v="2025/03"/>
    <x v="0"/>
    <n v="1"/>
  </r>
  <r>
    <x v="434"/>
    <x v="0"/>
    <x v="0"/>
    <s v="2025/03"/>
    <x v="1"/>
    <s v=""/>
  </r>
  <r>
    <x v="434"/>
    <x v="0"/>
    <x v="0"/>
    <s v="2025/03"/>
    <x v="1"/>
    <s v=""/>
  </r>
  <r>
    <x v="434"/>
    <x v="0"/>
    <x v="0"/>
    <s v="2025/03"/>
    <x v="1"/>
    <s v=""/>
  </r>
  <r>
    <x v="434"/>
    <x v="0"/>
    <x v="0"/>
    <s v="2025/03"/>
    <x v="1"/>
    <s v=""/>
  </r>
  <r>
    <x v="435"/>
    <x v="0"/>
    <x v="0"/>
    <s v="2025/04"/>
    <x v="0"/>
    <n v="1"/>
  </r>
  <r>
    <x v="435"/>
    <x v="0"/>
    <x v="0"/>
    <s v="2025/04"/>
    <x v="1"/>
    <s v=""/>
  </r>
  <r>
    <x v="436"/>
    <x v="0"/>
    <x v="0"/>
    <s v="2025/04"/>
    <x v="0"/>
    <n v="1"/>
  </r>
  <r>
    <x v="436"/>
    <x v="0"/>
    <x v="0"/>
    <s v="2025/04"/>
    <x v="1"/>
    <s v=""/>
  </r>
  <r>
    <x v="436"/>
    <x v="0"/>
    <x v="0"/>
    <s v="2025/04"/>
    <x v="1"/>
    <s v=""/>
  </r>
  <r>
    <x v="436"/>
    <x v="0"/>
    <x v="0"/>
    <s v="2025/04"/>
    <x v="1"/>
    <s v=""/>
  </r>
  <r>
    <x v="437"/>
    <x v="0"/>
    <x v="0"/>
    <s v="2025/04"/>
    <x v="0"/>
    <n v="1"/>
  </r>
  <r>
    <x v="437"/>
    <x v="0"/>
    <x v="0"/>
    <s v="2025/04"/>
    <x v="1"/>
    <s v=""/>
  </r>
  <r>
    <x v="437"/>
    <x v="0"/>
    <x v="0"/>
    <s v="2025/04"/>
    <x v="1"/>
    <s v=""/>
  </r>
  <r>
    <x v="438"/>
    <x v="0"/>
    <x v="0"/>
    <s v="2025/04"/>
    <x v="0"/>
    <n v="1"/>
  </r>
  <r>
    <x v="438"/>
    <x v="0"/>
    <x v="0"/>
    <s v="2025/04"/>
    <x v="1"/>
    <s v=""/>
  </r>
  <r>
    <x v="438"/>
    <x v="0"/>
    <x v="0"/>
    <s v="2025/04"/>
    <x v="1"/>
    <s v=""/>
  </r>
  <r>
    <x v="439"/>
    <x v="0"/>
    <x v="0"/>
    <s v="2025/04"/>
    <x v="0"/>
    <n v="1"/>
  </r>
  <r>
    <x v="440"/>
    <x v="0"/>
    <x v="0"/>
    <s v="2025/04"/>
    <x v="1"/>
    <s v=""/>
  </r>
  <r>
    <x v="441"/>
    <x v="0"/>
    <x v="0"/>
    <s v="2025/04"/>
    <x v="0"/>
    <n v="1"/>
  </r>
  <r>
    <x v="441"/>
    <x v="0"/>
    <x v="0"/>
    <s v="2025/04"/>
    <x v="1"/>
    <s v=""/>
  </r>
  <r>
    <x v="441"/>
    <x v="0"/>
    <x v="0"/>
    <s v="2025/04"/>
    <x v="1"/>
    <s v=""/>
  </r>
  <r>
    <x v="441"/>
    <x v="0"/>
    <x v="0"/>
    <s v="2025/04"/>
    <x v="1"/>
    <s v=""/>
  </r>
  <r>
    <x v="442"/>
    <x v="0"/>
    <x v="1"/>
    <s v="2025/04"/>
    <x v="2"/>
    <n v="1"/>
  </r>
  <r>
    <x v="442"/>
    <x v="0"/>
    <x v="1"/>
    <s v="2025/04"/>
    <x v="1"/>
    <s v=""/>
  </r>
  <r>
    <x v="443"/>
    <x v="0"/>
    <x v="0"/>
    <s v="2025/04"/>
    <x v="0"/>
    <n v="1"/>
  </r>
  <r>
    <x v="443"/>
    <x v="0"/>
    <x v="0"/>
    <s v="2025/04"/>
    <x v="1"/>
    <s v=""/>
  </r>
  <r>
    <x v="443"/>
    <x v="0"/>
    <x v="0"/>
    <s v="2025/04"/>
    <x v="1"/>
    <s v=""/>
  </r>
  <r>
    <x v="444"/>
    <x v="0"/>
    <x v="0"/>
    <s v="2025/04"/>
    <x v="0"/>
    <n v="1"/>
  </r>
  <r>
    <x v="444"/>
    <x v="0"/>
    <x v="0"/>
    <s v="2025/04"/>
    <x v="1"/>
    <s v=""/>
  </r>
  <r>
    <x v="444"/>
    <x v="0"/>
    <x v="0"/>
    <s v="2025/04"/>
    <x v="1"/>
    <s v=""/>
  </r>
  <r>
    <x v="444"/>
    <x v="0"/>
    <x v="0"/>
    <s v="2025/04"/>
    <x v="1"/>
    <s v=""/>
  </r>
  <r>
    <x v="445"/>
    <x v="0"/>
    <x v="0"/>
    <s v="2025/04"/>
    <x v="0"/>
    <n v="1"/>
  </r>
  <r>
    <x v="445"/>
    <x v="0"/>
    <x v="0"/>
    <s v="2025/04"/>
    <x v="1"/>
    <s v=""/>
  </r>
  <r>
    <x v="446"/>
    <x v="0"/>
    <x v="1"/>
    <s v="2025/04"/>
    <x v="2"/>
    <n v="1"/>
  </r>
  <r>
    <x v="446"/>
    <x v="0"/>
    <x v="1"/>
    <s v="2025/04"/>
    <x v="1"/>
    <s v=""/>
  </r>
  <r>
    <x v="446"/>
    <x v="0"/>
    <x v="1"/>
    <s v="2025/04"/>
    <x v="1"/>
    <s v=""/>
  </r>
  <r>
    <x v="447"/>
    <x v="0"/>
    <x v="0"/>
    <s v="2025/04"/>
    <x v="0"/>
    <n v="1"/>
  </r>
  <r>
    <x v="447"/>
    <x v="0"/>
    <x v="0"/>
    <s v="2025/04"/>
    <x v="1"/>
    <s v=""/>
  </r>
  <r>
    <x v="448"/>
    <x v="0"/>
    <x v="0"/>
    <s v="2025/04"/>
    <x v="0"/>
    <n v="1"/>
  </r>
  <r>
    <x v="448"/>
    <x v="0"/>
    <x v="0"/>
    <s v="2025/04"/>
    <x v="1"/>
    <s v=""/>
  </r>
  <r>
    <x v="449"/>
    <x v="0"/>
    <x v="0"/>
    <s v="2025/04"/>
    <x v="0"/>
    <n v="1"/>
  </r>
  <r>
    <x v="449"/>
    <x v="0"/>
    <x v="0"/>
    <s v="2025/04"/>
    <x v="1"/>
    <s v=""/>
  </r>
  <r>
    <x v="450"/>
    <x v="0"/>
    <x v="0"/>
    <s v="2025/04"/>
    <x v="0"/>
    <n v="1"/>
  </r>
  <r>
    <x v="450"/>
    <x v="0"/>
    <x v="0"/>
    <s v="2025/04"/>
    <x v="1"/>
    <s v=""/>
  </r>
  <r>
    <x v="450"/>
    <x v="0"/>
    <x v="0"/>
    <s v="2025/04"/>
    <x v="1"/>
    <s v=""/>
  </r>
  <r>
    <x v="451"/>
    <x v="0"/>
    <x v="1"/>
    <s v="2025/04"/>
    <x v="2"/>
    <n v="1"/>
  </r>
  <r>
    <x v="451"/>
    <x v="0"/>
    <x v="1"/>
    <s v="2025/04"/>
    <x v="1"/>
    <s v=""/>
  </r>
  <r>
    <x v="452"/>
    <x v="0"/>
    <x v="1"/>
    <s v="2025/04"/>
    <x v="2"/>
    <n v="1"/>
  </r>
  <r>
    <x v="452"/>
    <x v="0"/>
    <x v="1"/>
    <s v="2025/04"/>
    <x v="1"/>
    <s v=""/>
  </r>
  <r>
    <x v="452"/>
    <x v="0"/>
    <x v="1"/>
    <s v="2025/04"/>
    <x v="1"/>
    <s v=""/>
  </r>
  <r>
    <x v="453"/>
    <x v="0"/>
    <x v="0"/>
    <s v="2025/04"/>
    <x v="0"/>
    <n v="1"/>
  </r>
  <r>
    <x v="453"/>
    <x v="0"/>
    <x v="0"/>
    <s v="2025/04"/>
    <x v="1"/>
    <s v=""/>
  </r>
  <r>
    <x v="453"/>
    <x v="0"/>
    <x v="0"/>
    <s v="2025/04"/>
    <x v="1"/>
    <s v=""/>
  </r>
  <r>
    <x v="454"/>
    <x v="0"/>
    <x v="1"/>
    <s v="2025/04"/>
    <x v="2"/>
    <n v="1"/>
  </r>
  <r>
    <x v="454"/>
    <x v="0"/>
    <x v="1"/>
    <s v="2025/04"/>
    <x v="1"/>
    <s v=""/>
  </r>
  <r>
    <x v="454"/>
    <x v="0"/>
    <x v="1"/>
    <s v="2025/04"/>
    <x v="1"/>
    <s v=""/>
  </r>
  <r>
    <x v="455"/>
    <x v="0"/>
    <x v="1"/>
    <s v="2025/04"/>
    <x v="2"/>
    <n v="1"/>
  </r>
  <r>
    <x v="455"/>
    <x v="0"/>
    <x v="1"/>
    <s v="2025/04"/>
    <x v="1"/>
    <s v=""/>
  </r>
  <r>
    <x v="455"/>
    <x v="0"/>
    <x v="1"/>
    <s v="2025/04"/>
    <x v="1"/>
    <s v=""/>
  </r>
  <r>
    <x v="456"/>
    <x v="0"/>
    <x v="0"/>
    <s v="2025/04"/>
    <x v="0"/>
    <n v="1"/>
  </r>
  <r>
    <x v="456"/>
    <x v="0"/>
    <x v="0"/>
    <s v="2025/04"/>
    <x v="1"/>
    <s v=""/>
  </r>
  <r>
    <x v="456"/>
    <x v="0"/>
    <x v="0"/>
    <s v="2025/04"/>
    <x v="1"/>
    <s v=""/>
  </r>
  <r>
    <x v="457"/>
    <x v="0"/>
    <x v="1"/>
    <s v="2025/04"/>
    <x v="2"/>
    <n v="1"/>
  </r>
  <r>
    <x v="457"/>
    <x v="0"/>
    <x v="1"/>
    <s v="2025/04"/>
    <x v="1"/>
    <s v=""/>
  </r>
  <r>
    <x v="457"/>
    <x v="0"/>
    <x v="1"/>
    <s v="2025/04"/>
    <x v="1"/>
    <s v=""/>
  </r>
  <r>
    <x v="458"/>
    <x v="0"/>
    <x v="0"/>
    <s v="2025/04"/>
    <x v="0"/>
    <n v="1"/>
  </r>
  <r>
    <x v="458"/>
    <x v="0"/>
    <x v="0"/>
    <s v="2025/04"/>
    <x v="1"/>
    <s v=""/>
  </r>
  <r>
    <x v="459"/>
    <x v="0"/>
    <x v="0"/>
    <s v="2025/04"/>
    <x v="0"/>
    <n v="1"/>
  </r>
  <r>
    <x v="459"/>
    <x v="0"/>
    <x v="0"/>
    <s v="2025/04"/>
    <x v="1"/>
    <s v=""/>
  </r>
  <r>
    <x v="460"/>
    <x v="0"/>
    <x v="1"/>
    <s v="2025/04"/>
    <x v="2"/>
    <n v="1"/>
  </r>
  <r>
    <x v="460"/>
    <x v="0"/>
    <x v="1"/>
    <s v="2025/04"/>
    <x v="1"/>
    <s v=""/>
  </r>
  <r>
    <x v="461"/>
    <x v="0"/>
    <x v="0"/>
    <s v="2025/04"/>
    <x v="0"/>
    <n v="1"/>
  </r>
  <r>
    <x v="461"/>
    <x v="0"/>
    <x v="0"/>
    <s v="2025/04"/>
    <x v="1"/>
    <s v=""/>
  </r>
  <r>
    <x v="462"/>
    <x v="0"/>
    <x v="0"/>
    <s v="2025/04"/>
    <x v="0"/>
    <n v="1"/>
  </r>
  <r>
    <x v="462"/>
    <x v="0"/>
    <x v="0"/>
    <s v="2025/04"/>
    <x v="1"/>
    <s v=""/>
  </r>
  <r>
    <x v="462"/>
    <x v="0"/>
    <x v="0"/>
    <s v="2025/04"/>
    <x v="1"/>
    <s v=""/>
  </r>
  <r>
    <x v="463"/>
    <x v="0"/>
    <x v="0"/>
    <s v="2025/04"/>
    <x v="0"/>
    <n v="1"/>
  </r>
  <r>
    <x v="463"/>
    <x v="0"/>
    <x v="0"/>
    <s v="2025/04"/>
    <x v="1"/>
    <s v=""/>
  </r>
  <r>
    <x v="464"/>
    <x v="0"/>
    <x v="0"/>
    <s v="2025/04"/>
    <x v="0"/>
    <n v="1"/>
  </r>
  <r>
    <x v="464"/>
    <x v="0"/>
    <x v="0"/>
    <s v="2025/04"/>
    <x v="1"/>
    <s v=""/>
  </r>
  <r>
    <x v="465"/>
    <x v="0"/>
    <x v="1"/>
    <s v="2025/04"/>
    <x v="2"/>
    <n v="1"/>
  </r>
  <r>
    <x v="465"/>
    <x v="0"/>
    <x v="1"/>
    <s v="2025/04"/>
    <x v="1"/>
    <s v=""/>
  </r>
  <r>
    <x v="466"/>
    <x v="0"/>
    <x v="0"/>
    <s v="2025/04"/>
    <x v="0"/>
    <n v="1"/>
  </r>
  <r>
    <x v="466"/>
    <x v="0"/>
    <x v="0"/>
    <s v="2025/04"/>
    <x v="1"/>
    <s v=""/>
  </r>
  <r>
    <x v="466"/>
    <x v="0"/>
    <x v="0"/>
    <s v="2025/04"/>
    <x v="1"/>
    <s v=""/>
  </r>
  <r>
    <x v="467"/>
    <x v="0"/>
    <x v="0"/>
    <s v="2025/04"/>
    <x v="0"/>
    <n v="1"/>
  </r>
  <r>
    <x v="467"/>
    <x v="0"/>
    <x v="0"/>
    <s v="2025/04"/>
    <x v="1"/>
    <s v=""/>
  </r>
  <r>
    <x v="468"/>
    <x v="0"/>
    <x v="1"/>
    <s v="2025/04"/>
    <x v="2"/>
    <n v="1"/>
  </r>
  <r>
    <x v="468"/>
    <x v="0"/>
    <x v="1"/>
    <s v="2025/04"/>
    <x v="1"/>
    <s v=""/>
  </r>
  <r>
    <x v="469"/>
    <x v="0"/>
    <x v="0"/>
    <s v="2025/04"/>
    <x v="0"/>
    <n v="1"/>
  </r>
  <r>
    <x v="469"/>
    <x v="0"/>
    <x v="0"/>
    <s v="2025/04"/>
    <x v="1"/>
    <s v=""/>
  </r>
  <r>
    <x v="470"/>
    <x v="0"/>
    <x v="0"/>
    <s v="2025/04"/>
    <x v="0"/>
    <n v="1"/>
  </r>
  <r>
    <x v="470"/>
    <x v="0"/>
    <x v="0"/>
    <s v="2025/04"/>
    <x v="1"/>
    <s v=""/>
  </r>
  <r>
    <x v="470"/>
    <x v="0"/>
    <x v="0"/>
    <s v="2025/04"/>
    <x v="1"/>
    <s v=""/>
  </r>
  <r>
    <x v="471"/>
    <x v="0"/>
    <x v="1"/>
    <s v="2025/04"/>
    <x v="2"/>
    <n v="1"/>
  </r>
  <r>
    <x v="471"/>
    <x v="0"/>
    <x v="1"/>
    <s v="2025/04"/>
    <x v="1"/>
    <s v=""/>
  </r>
  <r>
    <x v="471"/>
    <x v="0"/>
    <x v="1"/>
    <s v="2025/04"/>
    <x v="1"/>
    <s v=""/>
  </r>
  <r>
    <x v="472"/>
    <x v="0"/>
    <x v="0"/>
    <s v="2025/04"/>
    <x v="0"/>
    <n v="1"/>
  </r>
  <r>
    <x v="472"/>
    <x v="0"/>
    <x v="0"/>
    <s v="2025/04"/>
    <x v="1"/>
    <s v=""/>
  </r>
  <r>
    <x v="472"/>
    <x v="0"/>
    <x v="0"/>
    <s v="2025/04"/>
    <x v="1"/>
    <s v=""/>
  </r>
  <r>
    <x v="473"/>
    <x v="0"/>
    <x v="0"/>
    <s v="2025/04"/>
    <x v="0"/>
    <n v="1"/>
  </r>
  <r>
    <x v="473"/>
    <x v="0"/>
    <x v="0"/>
    <s v="2025/04"/>
    <x v="1"/>
    <s v=""/>
  </r>
  <r>
    <x v="474"/>
    <x v="0"/>
    <x v="0"/>
    <s v="2025/04"/>
    <x v="0"/>
    <n v="1"/>
  </r>
  <r>
    <x v="474"/>
    <x v="0"/>
    <x v="0"/>
    <s v="2025/04"/>
    <x v="1"/>
    <s v=""/>
  </r>
  <r>
    <x v="475"/>
    <x v="0"/>
    <x v="0"/>
    <s v="2025/04"/>
    <x v="0"/>
    <n v="1"/>
  </r>
  <r>
    <x v="475"/>
    <x v="0"/>
    <x v="0"/>
    <s v="2025/04"/>
    <x v="1"/>
    <s v=""/>
  </r>
  <r>
    <x v="475"/>
    <x v="0"/>
    <x v="0"/>
    <s v="2025/04"/>
    <x v="1"/>
    <s v=""/>
  </r>
  <r>
    <x v="476"/>
    <x v="0"/>
    <x v="1"/>
    <s v="2025/04"/>
    <x v="2"/>
    <n v="1"/>
  </r>
  <r>
    <x v="476"/>
    <x v="0"/>
    <x v="1"/>
    <s v="2025/04"/>
    <x v="1"/>
    <s v=""/>
  </r>
  <r>
    <x v="476"/>
    <x v="0"/>
    <x v="1"/>
    <s v="2025/04"/>
    <x v="1"/>
    <s v=""/>
  </r>
  <r>
    <x v="477"/>
    <x v="0"/>
    <x v="0"/>
    <s v="2025/04"/>
    <x v="0"/>
    <n v="1"/>
  </r>
  <r>
    <x v="477"/>
    <x v="0"/>
    <x v="0"/>
    <s v="2025/04"/>
    <x v="1"/>
    <s v=""/>
  </r>
  <r>
    <x v="477"/>
    <x v="0"/>
    <x v="0"/>
    <s v="2025/04"/>
    <x v="1"/>
    <s v=""/>
  </r>
  <r>
    <x v="478"/>
    <x v="0"/>
    <x v="1"/>
    <s v="2025/04"/>
    <x v="2"/>
    <n v="1"/>
  </r>
  <r>
    <x v="478"/>
    <x v="0"/>
    <x v="1"/>
    <s v="2025/04"/>
    <x v="1"/>
    <s v=""/>
  </r>
  <r>
    <x v="479"/>
    <x v="0"/>
    <x v="0"/>
    <s v="2025/04"/>
    <x v="0"/>
    <n v="1"/>
  </r>
  <r>
    <x v="479"/>
    <x v="0"/>
    <x v="0"/>
    <s v="2025/04"/>
    <x v="1"/>
    <s v=""/>
  </r>
  <r>
    <x v="480"/>
    <x v="0"/>
    <x v="0"/>
    <s v="2025/04"/>
    <x v="0"/>
    <n v="1"/>
  </r>
  <r>
    <x v="480"/>
    <x v="0"/>
    <x v="0"/>
    <s v="2025/04"/>
    <x v="1"/>
    <s v=""/>
  </r>
  <r>
    <x v="480"/>
    <x v="0"/>
    <x v="0"/>
    <s v="2025/04"/>
    <x v="1"/>
    <s v=""/>
  </r>
  <r>
    <x v="481"/>
    <x v="0"/>
    <x v="1"/>
    <s v="2025/04"/>
    <x v="2"/>
    <n v="1"/>
  </r>
  <r>
    <x v="481"/>
    <x v="0"/>
    <x v="1"/>
    <s v="2025/04"/>
    <x v="1"/>
    <s v=""/>
  </r>
  <r>
    <x v="481"/>
    <x v="0"/>
    <x v="1"/>
    <s v="2025/04"/>
    <x v="1"/>
    <s v=""/>
  </r>
  <r>
    <x v="482"/>
    <x v="0"/>
    <x v="0"/>
    <s v="2025/04"/>
    <x v="0"/>
    <n v="1"/>
  </r>
  <r>
    <x v="482"/>
    <x v="0"/>
    <x v="0"/>
    <s v="2025/04"/>
    <x v="1"/>
    <s v=""/>
  </r>
  <r>
    <x v="482"/>
    <x v="0"/>
    <x v="0"/>
    <s v="2025/04"/>
    <x v="1"/>
    <s v=""/>
  </r>
  <r>
    <x v="483"/>
    <x v="0"/>
    <x v="0"/>
    <s v="2025/04"/>
    <x v="0"/>
    <n v="1"/>
  </r>
  <r>
    <x v="483"/>
    <x v="0"/>
    <x v="0"/>
    <s v="2025/04"/>
    <x v="1"/>
    <s v=""/>
  </r>
  <r>
    <x v="484"/>
    <x v="0"/>
    <x v="0"/>
    <s v="2025/04"/>
    <x v="0"/>
    <n v="1"/>
  </r>
  <r>
    <x v="484"/>
    <x v="0"/>
    <x v="0"/>
    <s v="2025/04"/>
    <x v="1"/>
    <s v=""/>
  </r>
  <r>
    <x v="484"/>
    <x v="0"/>
    <x v="0"/>
    <s v="2025/04"/>
    <x v="1"/>
    <s v=""/>
  </r>
  <r>
    <x v="485"/>
    <x v="0"/>
    <x v="1"/>
    <s v="2025/04"/>
    <x v="2"/>
    <n v="1"/>
  </r>
  <r>
    <x v="485"/>
    <x v="0"/>
    <x v="1"/>
    <s v="2025/04"/>
    <x v="1"/>
    <s v=""/>
  </r>
  <r>
    <x v="486"/>
    <x v="0"/>
    <x v="3"/>
    <s v="2025/04"/>
    <x v="4"/>
    <n v="1"/>
  </r>
  <r>
    <x v="486"/>
    <x v="0"/>
    <x v="3"/>
    <s v="2025/04"/>
    <x v="1"/>
    <s v=""/>
  </r>
  <r>
    <x v="487"/>
    <x v="0"/>
    <x v="0"/>
    <s v="2025/04"/>
    <x v="0"/>
    <n v="1"/>
  </r>
  <r>
    <x v="487"/>
    <x v="0"/>
    <x v="0"/>
    <s v="2025/04"/>
    <x v="1"/>
    <s v=""/>
  </r>
  <r>
    <x v="487"/>
    <x v="0"/>
    <x v="0"/>
    <s v="2025/04"/>
    <x v="1"/>
    <s v=""/>
  </r>
  <r>
    <x v="488"/>
    <x v="0"/>
    <x v="0"/>
    <s v="2025/04"/>
    <x v="1"/>
    <s v=""/>
  </r>
  <r>
    <x v="489"/>
    <x v="0"/>
    <x v="0"/>
    <s v="2025/04"/>
    <x v="0"/>
    <n v="1"/>
  </r>
  <r>
    <x v="489"/>
    <x v="0"/>
    <x v="0"/>
    <s v="2025/04"/>
    <x v="1"/>
    <s v=""/>
  </r>
  <r>
    <x v="490"/>
    <x v="0"/>
    <x v="0"/>
    <s v="2025/04"/>
    <x v="0"/>
    <n v="1"/>
  </r>
  <r>
    <x v="490"/>
    <x v="0"/>
    <x v="0"/>
    <s v="2025/04"/>
    <x v="1"/>
    <s v=""/>
  </r>
  <r>
    <x v="490"/>
    <x v="0"/>
    <x v="0"/>
    <s v="2025/04"/>
    <x v="1"/>
    <s v=""/>
  </r>
  <r>
    <x v="490"/>
    <x v="0"/>
    <x v="0"/>
    <s v="2025/04"/>
    <x v="1"/>
    <s v=""/>
  </r>
  <r>
    <x v="490"/>
    <x v="0"/>
    <x v="0"/>
    <s v="2025/04"/>
    <x v="1"/>
    <s v=""/>
  </r>
  <r>
    <x v="490"/>
    <x v="0"/>
    <x v="0"/>
    <s v="2025/04"/>
    <x v="1"/>
    <s v=""/>
  </r>
  <r>
    <x v="491"/>
    <x v="0"/>
    <x v="0"/>
    <s v="2025/04"/>
    <x v="0"/>
    <n v="1"/>
  </r>
  <r>
    <x v="491"/>
    <x v="0"/>
    <x v="0"/>
    <s v="2025/04"/>
    <x v="1"/>
    <s v=""/>
  </r>
  <r>
    <x v="491"/>
    <x v="0"/>
    <x v="0"/>
    <s v="2025/04"/>
    <x v="1"/>
    <s v=""/>
  </r>
  <r>
    <x v="492"/>
    <x v="0"/>
    <x v="0"/>
    <s v="2025/04"/>
    <x v="1"/>
    <s v=""/>
  </r>
  <r>
    <x v="492"/>
    <x v="0"/>
    <x v="0"/>
    <s v="2025/04"/>
    <x v="1"/>
    <s v=""/>
  </r>
  <r>
    <x v="493"/>
    <x v="0"/>
    <x v="0"/>
    <s v="2025/04"/>
    <x v="0"/>
    <n v="1"/>
  </r>
  <r>
    <x v="493"/>
    <x v="0"/>
    <x v="0"/>
    <s v="2025/04"/>
    <x v="1"/>
    <s v=""/>
  </r>
  <r>
    <x v="493"/>
    <x v="0"/>
    <x v="0"/>
    <s v="2025/04"/>
    <x v="1"/>
    <s v=""/>
  </r>
  <r>
    <x v="494"/>
    <x v="0"/>
    <x v="0"/>
    <s v="2025/04"/>
    <x v="0"/>
    <n v="1"/>
  </r>
  <r>
    <x v="494"/>
    <x v="0"/>
    <x v="0"/>
    <s v="2025/04"/>
    <x v="1"/>
    <s v=""/>
  </r>
  <r>
    <x v="494"/>
    <x v="0"/>
    <x v="0"/>
    <s v="2025/04"/>
    <x v="1"/>
    <s v=""/>
  </r>
  <r>
    <x v="495"/>
    <x v="0"/>
    <x v="0"/>
    <s v="2025/04"/>
    <x v="0"/>
    <n v="1"/>
  </r>
  <r>
    <x v="495"/>
    <x v="0"/>
    <x v="0"/>
    <s v="2025/04"/>
    <x v="1"/>
    <s v=""/>
  </r>
  <r>
    <x v="495"/>
    <x v="0"/>
    <x v="0"/>
    <s v="2025/04"/>
    <x v="1"/>
    <s v=""/>
  </r>
  <r>
    <x v="495"/>
    <x v="0"/>
    <x v="0"/>
    <s v="2025/04"/>
    <x v="1"/>
    <s v=""/>
  </r>
  <r>
    <x v="495"/>
    <x v="0"/>
    <x v="0"/>
    <s v="2025/04"/>
    <x v="1"/>
    <s v=""/>
  </r>
  <r>
    <x v="496"/>
    <x v="0"/>
    <x v="0"/>
    <s v="2025/04"/>
    <x v="0"/>
    <n v="1"/>
  </r>
  <r>
    <x v="496"/>
    <x v="0"/>
    <x v="0"/>
    <s v="2025/04"/>
    <x v="1"/>
    <s v=""/>
  </r>
  <r>
    <x v="496"/>
    <x v="0"/>
    <x v="0"/>
    <s v="2025/04"/>
    <x v="1"/>
    <s v=""/>
  </r>
  <r>
    <x v="496"/>
    <x v="0"/>
    <x v="0"/>
    <s v="2025/04"/>
    <x v="1"/>
    <s v=""/>
  </r>
  <r>
    <x v="496"/>
    <x v="0"/>
    <x v="0"/>
    <s v="2025/04"/>
    <x v="1"/>
    <s v=""/>
  </r>
  <r>
    <x v="497"/>
    <x v="0"/>
    <x v="1"/>
    <s v="2025/04"/>
    <x v="2"/>
    <n v="1"/>
  </r>
  <r>
    <x v="498"/>
    <x v="0"/>
    <x v="0"/>
    <s v="2025/04"/>
    <x v="0"/>
    <n v="1"/>
  </r>
  <r>
    <x v="498"/>
    <x v="0"/>
    <x v="0"/>
    <s v="2025/04"/>
    <x v="1"/>
    <s v=""/>
  </r>
  <r>
    <x v="498"/>
    <x v="0"/>
    <x v="0"/>
    <s v="2025/04"/>
    <x v="1"/>
    <s v=""/>
  </r>
  <r>
    <x v="498"/>
    <x v="0"/>
    <x v="0"/>
    <s v="2025/04"/>
    <x v="1"/>
    <s v=""/>
  </r>
  <r>
    <x v="498"/>
    <x v="0"/>
    <x v="0"/>
    <s v="2025/04"/>
    <x v="1"/>
    <s v=""/>
  </r>
  <r>
    <x v="499"/>
    <x v="0"/>
    <x v="0"/>
    <s v="2025/04"/>
    <x v="0"/>
    <n v="1"/>
  </r>
  <r>
    <x v="499"/>
    <x v="0"/>
    <x v="0"/>
    <s v="2025/04"/>
    <x v="1"/>
    <s v=""/>
  </r>
  <r>
    <x v="499"/>
    <x v="0"/>
    <x v="0"/>
    <s v="2025/04"/>
    <x v="1"/>
    <s v=""/>
  </r>
  <r>
    <x v="500"/>
    <x v="0"/>
    <x v="1"/>
    <s v="2025/04"/>
    <x v="2"/>
    <n v="1"/>
  </r>
  <r>
    <x v="500"/>
    <x v="0"/>
    <x v="1"/>
    <s v="2025/04"/>
    <x v="1"/>
    <s v=""/>
  </r>
  <r>
    <x v="501"/>
    <x v="0"/>
    <x v="1"/>
    <s v="2025/04"/>
    <x v="2"/>
    <n v="1"/>
  </r>
  <r>
    <x v="501"/>
    <x v="0"/>
    <x v="1"/>
    <s v="2025/04"/>
    <x v="1"/>
    <s v=""/>
  </r>
  <r>
    <x v="502"/>
    <x v="0"/>
    <x v="3"/>
    <s v="2025/04"/>
    <x v="4"/>
    <n v="1"/>
  </r>
  <r>
    <x v="502"/>
    <x v="0"/>
    <x v="3"/>
    <s v="2025/04"/>
    <x v="1"/>
    <s v=""/>
  </r>
  <r>
    <x v="502"/>
    <x v="0"/>
    <x v="3"/>
    <s v="2025/04"/>
    <x v="1"/>
    <s v=""/>
  </r>
  <r>
    <x v="503"/>
    <x v="0"/>
    <x v="0"/>
    <s v="2025/04"/>
    <x v="0"/>
    <n v="1"/>
  </r>
  <r>
    <x v="503"/>
    <x v="0"/>
    <x v="0"/>
    <s v="2025/04"/>
    <x v="1"/>
    <s v=""/>
  </r>
  <r>
    <x v="504"/>
    <x v="0"/>
    <x v="0"/>
    <s v="2025/04"/>
    <x v="0"/>
    <n v="1"/>
  </r>
  <r>
    <x v="504"/>
    <x v="0"/>
    <x v="0"/>
    <s v="2025/04"/>
    <x v="1"/>
    <s v=""/>
  </r>
  <r>
    <x v="505"/>
    <x v="0"/>
    <x v="0"/>
    <s v="2025/04"/>
    <x v="0"/>
    <n v="1"/>
  </r>
  <r>
    <x v="505"/>
    <x v="0"/>
    <x v="0"/>
    <s v="2025/04"/>
    <x v="1"/>
    <s v=""/>
  </r>
  <r>
    <x v="505"/>
    <x v="0"/>
    <x v="0"/>
    <s v="2025/04"/>
    <x v="1"/>
    <s v=""/>
  </r>
  <r>
    <x v="505"/>
    <x v="0"/>
    <x v="0"/>
    <s v="2025/04"/>
    <x v="1"/>
    <s v=""/>
  </r>
  <r>
    <x v="506"/>
    <x v="0"/>
    <x v="0"/>
    <s v="2025/04"/>
    <x v="0"/>
    <n v="1"/>
  </r>
  <r>
    <x v="506"/>
    <x v="0"/>
    <x v="0"/>
    <s v="2025/04"/>
    <x v="1"/>
    <s v=""/>
  </r>
  <r>
    <x v="506"/>
    <x v="0"/>
    <x v="0"/>
    <s v="2025/04"/>
    <x v="1"/>
    <s v=""/>
  </r>
  <r>
    <x v="506"/>
    <x v="0"/>
    <x v="0"/>
    <s v="2025/04"/>
    <x v="1"/>
    <s v=""/>
  </r>
  <r>
    <x v="507"/>
    <x v="0"/>
    <x v="1"/>
    <s v="2025/04"/>
    <x v="2"/>
    <n v="1"/>
  </r>
  <r>
    <x v="507"/>
    <x v="0"/>
    <x v="1"/>
    <s v="2025/04"/>
    <x v="1"/>
    <s v=""/>
  </r>
  <r>
    <x v="507"/>
    <x v="0"/>
    <x v="1"/>
    <s v="2025/04"/>
    <x v="1"/>
    <s v=""/>
  </r>
  <r>
    <x v="508"/>
    <x v="0"/>
    <x v="0"/>
    <s v="2025/04"/>
    <x v="0"/>
    <n v="1"/>
  </r>
  <r>
    <x v="508"/>
    <x v="0"/>
    <x v="0"/>
    <s v="2025/04"/>
    <x v="1"/>
    <s v=""/>
  </r>
  <r>
    <x v="509"/>
    <x v="0"/>
    <x v="0"/>
    <s v="2025/04"/>
    <x v="0"/>
    <n v="1"/>
  </r>
  <r>
    <x v="509"/>
    <x v="0"/>
    <x v="0"/>
    <s v="2025/04"/>
    <x v="1"/>
    <s v=""/>
  </r>
  <r>
    <x v="509"/>
    <x v="0"/>
    <x v="0"/>
    <s v="2025/04"/>
    <x v="1"/>
    <s v=""/>
  </r>
  <r>
    <x v="510"/>
    <x v="0"/>
    <x v="0"/>
    <s v="2025/04"/>
    <x v="0"/>
    <n v="1"/>
  </r>
  <r>
    <x v="510"/>
    <x v="0"/>
    <x v="0"/>
    <s v="2025/04"/>
    <x v="1"/>
    <s v=""/>
  </r>
  <r>
    <x v="510"/>
    <x v="0"/>
    <x v="0"/>
    <s v="2025/04"/>
    <x v="1"/>
    <s v=""/>
  </r>
  <r>
    <x v="511"/>
    <x v="0"/>
    <x v="0"/>
    <s v="2025/04"/>
    <x v="0"/>
    <n v="1"/>
  </r>
  <r>
    <x v="511"/>
    <x v="0"/>
    <x v="0"/>
    <s v="2025/04"/>
    <x v="1"/>
    <s v=""/>
  </r>
  <r>
    <x v="511"/>
    <x v="0"/>
    <x v="0"/>
    <s v="2025/04"/>
    <x v="1"/>
    <s v=""/>
  </r>
  <r>
    <x v="511"/>
    <x v="0"/>
    <x v="0"/>
    <s v="2025/04"/>
    <x v="1"/>
    <s v=""/>
  </r>
  <r>
    <x v="511"/>
    <x v="0"/>
    <x v="0"/>
    <s v="2025/04"/>
    <x v="1"/>
    <s v=""/>
  </r>
  <r>
    <x v="512"/>
    <x v="0"/>
    <x v="1"/>
    <s v="2025/04"/>
    <x v="2"/>
    <n v="1"/>
  </r>
  <r>
    <x v="513"/>
    <x v="0"/>
    <x v="0"/>
    <s v="2025/04"/>
    <x v="0"/>
    <n v="1"/>
  </r>
  <r>
    <x v="513"/>
    <x v="0"/>
    <x v="0"/>
    <s v="2025/04"/>
    <x v="1"/>
    <s v=""/>
  </r>
  <r>
    <x v="514"/>
    <x v="0"/>
    <x v="0"/>
    <s v="2025/04"/>
    <x v="0"/>
    <n v="1"/>
  </r>
  <r>
    <x v="514"/>
    <x v="0"/>
    <x v="0"/>
    <s v="2025/04"/>
    <x v="1"/>
    <s v=""/>
  </r>
  <r>
    <x v="515"/>
    <x v="0"/>
    <x v="0"/>
    <s v="2025/04"/>
    <x v="0"/>
    <n v="1"/>
  </r>
  <r>
    <x v="515"/>
    <x v="0"/>
    <x v="0"/>
    <s v="2025/04"/>
    <x v="1"/>
    <s v=""/>
  </r>
  <r>
    <x v="515"/>
    <x v="0"/>
    <x v="0"/>
    <s v="2025/04"/>
    <x v="1"/>
    <s v=""/>
  </r>
  <r>
    <x v="516"/>
    <x v="0"/>
    <x v="0"/>
    <s v="2025/04"/>
    <x v="0"/>
    <n v="1"/>
  </r>
  <r>
    <x v="516"/>
    <x v="0"/>
    <x v="0"/>
    <s v="2025/04"/>
    <x v="1"/>
    <s v=""/>
  </r>
  <r>
    <x v="517"/>
    <x v="0"/>
    <x v="0"/>
    <s v="2025/04"/>
    <x v="0"/>
    <n v="1"/>
  </r>
  <r>
    <x v="517"/>
    <x v="0"/>
    <x v="0"/>
    <s v="2025/04"/>
    <x v="1"/>
    <s v=""/>
  </r>
  <r>
    <x v="517"/>
    <x v="0"/>
    <x v="0"/>
    <s v="2025/04"/>
    <x v="1"/>
    <s v=""/>
  </r>
  <r>
    <x v="518"/>
    <x v="0"/>
    <x v="0"/>
    <s v="2025/04"/>
    <x v="0"/>
    <n v="1"/>
  </r>
  <r>
    <x v="518"/>
    <x v="0"/>
    <x v="0"/>
    <s v="2025/04"/>
    <x v="1"/>
    <s v=""/>
  </r>
  <r>
    <x v="519"/>
    <x v="0"/>
    <x v="0"/>
    <s v="2025/04"/>
    <x v="0"/>
    <n v="1"/>
  </r>
  <r>
    <x v="519"/>
    <x v="0"/>
    <x v="0"/>
    <s v="2025/04"/>
    <x v="1"/>
    <s v=""/>
  </r>
  <r>
    <x v="519"/>
    <x v="0"/>
    <x v="0"/>
    <s v="2025/04"/>
    <x v="1"/>
    <s v=""/>
  </r>
  <r>
    <x v="519"/>
    <x v="0"/>
    <x v="0"/>
    <s v="2025/04"/>
    <x v="1"/>
    <s v=""/>
  </r>
  <r>
    <x v="519"/>
    <x v="0"/>
    <x v="0"/>
    <s v="2025/04"/>
    <x v="1"/>
    <s v=""/>
  </r>
  <r>
    <x v="520"/>
    <x v="0"/>
    <x v="0"/>
    <s v="2025/04"/>
    <x v="0"/>
    <n v="1"/>
  </r>
  <r>
    <x v="520"/>
    <x v="0"/>
    <x v="0"/>
    <s v="2025/04"/>
    <x v="1"/>
    <s v=""/>
  </r>
  <r>
    <x v="521"/>
    <x v="0"/>
    <x v="0"/>
    <s v="2025/04"/>
    <x v="0"/>
    <n v="1"/>
  </r>
  <r>
    <x v="521"/>
    <x v="0"/>
    <x v="0"/>
    <s v="2025/04"/>
    <x v="1"/>
    <s v=""/>
  </r>
  <r>
    <x v="522"/>
    <x v="0"/>
    <x v="0"/>
    <s v="2025/04"/>
    <x v="0"/>
    <n v="1"/>
  </r>
  <r>
    <x v="522"/>
    <x v="0"/>
    <x v="0"/>
    <s v="2025/04"/>
    <x v="1"/>
    <s v=""/>
  </r>
  <r>
    <x v="523"/>
    <x v="0"/>
    <x v="0"/>
    <s v="2025/04"/>
    <x v="0"/>
    <n v="1"/>
  </r>
  <r>
    <x v="523"/>
    <x v="0"/>
    <x v="0"/>
    <s v="2025/04"/>
    <x v="1"/>
    <s v=""/>
  </r>
  <r>
    <x v="523"/>
    <x v="0"/>
    <x v="0"/>
    <s v="2025/04"/>
    <x v="1"/>
    <s v=""/>
  </r>
  <r>
    <x v="524"/>
    <x v="0"/>
    <x v="1"/>
    <s v="2025/04"/>
    <x v="2"/>
    <n v="1"/>
  </r>
  <r>
    <x v="525"/>
    <x v="0"/>
    <x v="0"/>
    <s v="2025/04"/>
    <x v="0"/>
    <n v="1"/>
  </r>
  <r>
    <x v="525"/>
    <x v="0"/>
    <x v="0"/>
    <s v="2025/04"/>
    <x v="1"/>
    <s v=""/>
  </r>
  <r>
    <x v="525"/>
    <x v="0"/>
    <x v="0"/>
    <s v="2025/04"/>
    <x v="1"/>
    <s v=""/>
  </r>
  <r>
    <x v="526"/>
    <x v="0"/>
    <x v="1"/>
    <s v="2025/04"/>
    <x v="2"/>
    <n v="1"/>
  </r>
  <r>
    <x v="527"/>
    <x v="0"/>
    <x v="1"/>
    <s v="2025/04"/>
    <x v="2"/>
    <n v="1"/>
  </r>
  <r>
    <x v="527"/>
    <x v="0"/>
    <x v="1"/>
    <s v="2025/04"/>
    <x v="1"/>
    <s v=""/>
  </r>
  <r>
    <x v="527"/>
    <x v="0"/>
    <x v="1"/>
    <s v="2025/04"/>
    <x v="1"/>
    <s v=""/>
  </r>
  <r>
    <x v="528"/>
    <x v="0"/>
    <x v="1"/>
    <s v="2025/04"/>
    <x v="2"/>
    <n v="1"/>
  </r>
  <r>
    <x v="528"/>
    <x v="0"/>
    <x v="1"/>
    <s v="2025/04"/>
    <x v="1"/>
    <s v=""/>
  </r>
  <r>
    <x v="529"/>
    <x v="0"/>
    <x v="0"/>
    <s v="2025/04"/>
    <x v="0"/>
    <n v="1"/>
  </r>
  <r>
    <x v="529"/>
    <x v="0"/>
    <x v="0"/>
    <s v="2025/04"/>
    <x v="1"/>
    <s v=""/>
  </r>
  <r>
    <x v="529"/>
    <x v="0"/>
    <x v="0"/>
    <s v="2025/04"/>
    <x v="1"/>
    <s v=""/>
  </r>
  <r>
    <x v="530"/>
    <x v="0"/>
    <x v="1"/>
    <s v="2025/04"/>
    <x v="2"/>
    <n v="1"/>
  </r>
  <r>
    <x v="530"/>
    <x v="0"/>
    <x v="1"/>
    <s v="2025/04"/>
    <x v="1"/>
    <s v=""/>
  </r>
  <r>
    <x v="530"/>
    <x v="0"/>
    <x v="1"/>
    <s v="2025/04"/>
    <x v="1"/>
    <s v=""/>
  </r>
  <r>
    <x v="531"/>
    <x v="0"/>
    <x v="0"/>
    <s v="2025/04"/>
    <x v="0"/>
    <n v="1"/>
  </r>
  <r>
    <x v="531"/>
    <x v="0"/>
    <x v="0"/>
    <s v="2025/04"/>
    <x v="1"/>
    <s v=""/>
  </r>
  <r>
    <x v="532"/>
    <x v="0"/>
    <x v="1"/>
    <s v="2025/04"/>
    <x v="2"/>
    <n v="1"/>
  </r>
  <r>
    <x v="532"/>
    <x v="0"/>
    <x v="1"/>
    <s v="2025/04"/>
    <x v="1"/>
    <s v=""/>
  </r>
  <r>
    <x v="533"/>
    <x v="0"/>
    <x v="1"/>
    <s v="2025/04"/>
    <x v="2"/>
    <n v="1"/>
  </r>
  <r>
    <x v="533"/>
    <x v="0"/>
    <x v="1"/>
    <s v="2025/04"/>
    <x v="1"/>
    <s v=""/>
  </r>
  <r>
    <x v="534"/>
    <x v="0"/>
    <x v="0"/>
    <s v="2025/04"/>
    <x v="0"/>
    <n v="1"/>
  </r>
  <r>
    <x v="534"/>
    <x v="0"/>
    <x v="0"/>
    <s v="2025/04"/>
    <x v="1"/>
    <s v=""/>
  </r>
  <r>
    <x v="535"/>
    <x v="0"/>
    <x v="0"/>
    <s v="2025/04"/>
    <x v="0"/>
    <n v="1"/>
  </r>
  <r>
    <x v="535"/>
    <x v="0"/>
    <x v="0"/>
    <s v="2025/04"/>
    <x v="1"/>
    <s v=""/>
  </r>
  <r>
    <x v="535"/>
    <x v="0"/>
    <x v="0"/>
    <s v="2025/04"/>
    <x v="1"/>
    <s v=""/>
  </r>
  <r>
    <x v="535"/>
    <x v="0"/>
    <x v="0"/>
    <s v="2025/04"/>
    <x v="1"/>
    <s v=""/>
  </r>
  <r>
    <x v="535"/>
    <x v="0"/>
    <x v="0"/>
    <s v="2025/04"/>
    <x v="1"/>
    <s v=""/>
  </r>
  <r>
    <x v="535"/>
    <x v="0"/>
    <x v="0"/>
    <s v="2025/04"/>
    <x v="1"/>
    <s v=""/>
  </r>
  <r>
    <x v="536"/>
    <x v="0"/>
    <x v="1"/>
    <s v="2025/04"/>
    <x v="2"/>
    <n v="1"/>
  </r>
  <r>
    <x v="536"/>
    <x v="0"/>
    <x v="1"/>
    <s v="2025/04"/>
    <x v="1"/>
    <s v=""/>
  </r>
  <r>
    <x v="537"/>
    <x v="0"/>
    <x v="0"/>
    <s v="2025/04"/>
    <x v="0"/>
    <n v="1"/>
  </r>
  <r>
    <x v="537"/>
    <x v="0"/>
    <x v="0"/>
    <s v="2025/04"/>
    <x v="1"/>
    <s v=""/>
  </r>
  <r>
    <x v="537"/>
    <x v="0"/>
    <x v="0"/>
    <s v="2025/04"/>
    <x v="1"/>
    <s v=""/>
  </r>
  <r>
    <x v="537"/>
    <x v="0"/>
    <x v="0"/>
    <s v="2025/04"/>
    <x v="1"/>
    <s v=""/>
  </r>
  <r>
    <x v="537"/>
    <x v="0"/>
    <x v="0"/>
    <s v="2025/04"/>
    <x v="1"/>
    <s v=""/>
  </r>
  <r>
    <x v="538"/>
    <x v="0"/>
    <x v="0"/>
    <s v="2025/04"/>
    <x v="0"/>
    <n v="1"/>
  </r>
  <r>
    <x v="538"/>
    <x v="0"/>
    <x v="0"/>
    <s v="2025/04"/>
    <x v="1"/>
    <s v=""/>
  </r>
  <r>
    <x v="538"/>
    <x v="0"/>
    <x v="0"/>
    <s v="2025/04"/>
    <x v="1"/>
    <s v=""/>
  </r>
  <r>
    <x v="539"/>
    <x v="0"/>
    <x v="0"/>
    <s v="2025/04"/>
    <x v="0"/>
    <n v="1"/>
  </r>
  <r>
    <x v="539"/>
    <x v="0"/>
    <x v="0"/>
    <s v="2025/04"/>
    <x v="1"/>
    <s v=""/>
  </r>
  <r>
    <x v="540"/>
    <x v="0"/>
    <x v="3"/>
    <s v="2025/04"/>
    <x v="4"/>
    <n v="1"/>
  </r>
  <r>
    <x v="540"/>
    <x v="0"/>
    <x v="3"/>
    <s v="2025/04"/>
    <x v="1"/>
    <s v=""/>
  </r>
  <r>
    <x v="540"/>
    <x v="0"/>
    <x v="3"/>
    <s v="2025/04"/>
    <x v="1"/>
    <s v=""/>
  </r>
  <r>
    <x v="541"/>
    <x v="0"/>
    <x v="3"/>
    <s v="2025/04"/>
    <x v="4"/>
    <n v="1"/>
  </r>
  <r>
    <x v="541"/>
    <x v="0"/>
    <x v="3"/>
    <s v="2025/04"/>
    <x v="1"/>
    <s v=""/>
  </r>
  <r>
    <x v="542"/>
    <x v="0"/>
    <x v="0"/>
    <s v="2025/04"/>
    <x v="0"/>
    <n v="1"/>
  </r>
  <r>
    <x v="542"/>
    <x v="0"/>
    <x v="0"/>
    <s v="2025/04"/>
    <x v="1"/>
    <s v=""/>
  </r>
  <r>
    <x v="542"/>
    <x v="0"/>
    <x v="0"/>
    <s v="2025/04"/>
    <x v="1"/>
    <s v=""/>
  </r>
  <r>
    <x v="543"/>
    <x v="0"/>
    <x v="1"/>
    <s v="2025/04"/>
    <x v="2"/>
    <n v="1"/>
  </r>
  <r>
    <x v="544"/>
    <x v="0"/>
    <x v="3"/>
    <s v="2025/04"/>
    <x v="4"/>
    <n v="1"/>
  </r>
  <r>
    <x v="544"/>
    <x v="0"/>
    <x v="3"/>
    <s v="2025/04"/>
    <x v="1"/>
    <s v=""/>
  </r>
  <r>
    <x v="545"/>
    <x v="0"/>
    <x v="1"/>
    <s v="2025/04"/>
    <x v="2"/>
    <n v="1"/>
  </r>
  <r>
    <x v="545"/>
    <x v="0"/>
    <x v="1"/>
    <s v="2025/04"/>
    <x v="1"/>
    <s v=""/>
  </r>
  <r>
    <x v="546"/>
    <x v="0"/>
    <x v="0"/>
    <s v="2025/04"/>
    <x v="0"/>
    <n v="1"/>
  </r>
  <r>
    <x v="546"/>
    <x v="0"/>
    <x v="0"/>
    <s v="2025/04"/>
    <x v="1"/>
    <s v=""/>
  </r>
  <r>
    <x v="546"/>
    <x v="0"/>
    <x v="0"/>
    <s v="2025/04"/>
    <x v="1"/>
    <s v=""/>
  </r>
  <r>
    <x v="546"/>
    <x v="0"/>
    <x v="0"/>
    <s v="2025/04"/>
    <x v="1"/>
    <s v=""/>
  </r>
  <r>
    <x v="546"/>
    <x v="0"/>
    <x v="0"/>
    <s v="2025/04"/>
    <x v="1"/>
    <s v=""/>
  </r>
  <r>
    <x v="547"/>
    <x v="0"/>
    <x v="1"/>
    <s v="2025/04"/>
    <x v="2"/>
    <n v="1"/>
  </r>
  <r>
    <x v="547"/>
    <x v="0"/>
    <x v="1"/>
    <s v="2025/04"/>
    <x v="1"/>
    <s v=""/>
  </r>
  <r>
    <x v="547"/>
    <x v="0"/>
    <x v="1"/>
    <s v="2025/04"/>
    <x v="1"/>
    <s v=""/>
  </r>
  <r>
    <x v="548"/>
    <x v="0"/>
    <x v="0"/>
    <s v="2025/04"/>
    <x v="0"/>
    <n v="1"/>
  </r>
  <r>
    <x v="548"/>
    <x v="0"/>
    <x v="0"/>
    <s v="2025/04"/>
    <x v="1"/>
    <s v=""/>
  </r>
  <r>
    <x v="549"/>
    <x v="0"/>
    <x v="1"/>
    <s v="2025/04"/>
    <x v="2"/>
    <n v="1"/>
  </r>
  <r>
    <x v="549"/>
    <x v="0"/>
    <x v="1"/>
    <s v="2025/04"/>
    <x v="1"/>
    <s v=""/>
  </r>
  <r>
    <x v="550"/>
    <x v="0"/>
    <x v="1"/>
    <s v="2025/05"/>
    <x v="2"/>
    <n v="1"/>
  </r>
  <r>
    <x v="550"/>
    <x v="0"/>
    <x v="1"/>
    <s v="2025/05"/>
    <x v="1"/>
    <s v=""/>
  </r>
  <r>
    <x v="551"/>
    <x v="0"/>
    <x v="0"/>
    <s v="2025/05"/>
    <x v="0"/>
    <n v="1"/>
  </r>
  <r>
    <x v="551"/>
    <x v="0"/>
    <x v="0"/>
    <s v="2025/05"/>
    <x v="1"/>
    <s v=""/>
  </r>
  <r>
    <x v="551"/>
    <x v="0"/>
    <x v="0"/>
    <s v="2025/05"/>
    <x v="1"/>
    <s v=""/>
  </r>
  <r>
    <x v="552"/>
    <x v="0"/>
    <x v="0"/>
    <s v="2025/05"/>
    <x v="0"/>
    <n v="1"/>
  </r>
  <r>
    <x v="552"/>
    <x v="0"/>
    <x v="0"/>
    <s v="2025/05"/>
    <x v="1"/>
    <s v=""/>
  </r>
  <r>
    <x v="552"/>
    <x v="0"/>
    <x v="0"/>
    <s v="2025/05"/>
    <x v="1"/>
    <s v=""/>
  </r>
  <r>
    <x v="553"/>
    <x v="0"/>
    <x v="0"/>
    <s v="2025/05"/>
    <x v="0"/>
    <n v="1"/>
  </r>
  <r>
    <x v="553"/>
    <x v="0"/>
    <x v="0"/>
    <s v="2025/05"/>
    <x v="1"/>
    <s v=""/>
  </r>
  <r>
    <x v="553"/>
    <x v="0"/>
    <x v="0"/>
    <s v="2025/05"/>
    <x v="1"/>
    <s v=""/>
  </r>
  <r>
    <x v="553"/>
    <x v="0"/>
    <x v="0"/>
    <s v="2025/05"/>
    <x v="1"/>
    <s v=""/>
  </r>
  <r>
    <x v="554"/>
    <x v="0"/>
    <x v="0"/>
    <s v="2025/05"/>
    <x v="0"/>
    <n v="1"/>
  </r>
  <r>
    <x v="554"/>
    <x v="0"/>
    <x v="0"/>
    <s v="2025/05"/>
    <x v="1"/>
    <s v=""/>
  </r>
  <r>
    <x v="555"/>
    <x v="0"/>
    <x v="1"/>
    <s v="2025/05"/>
    <x v="2"/>
    <n v="1"/>
  </r>
  <r>
    <x v="555"/>
    <x v="0"/>
    <x v="1"/>
    <s v="2025/05"/>
    <x v="1"/>
    <s v=""/>
  </r>
  <r>
    <x v="556"/>
    <x v="0"/>
    <x v="1"/>
    <s v="2025/05"/>
    <x v="2"/>
    <n v="1"/>
  </r>
  <r>
    <x v="556"/>
    <x v="0"/>
    <x v="1"/>
    <s v="2025/05"/>
    <x v="1"/>
    <s v=""/>
  </r>
  <r>
    <x v="557"/>
    <x v="0"/>
    <x v="1"/>
    <s v="2025/05"/>
    <x v="2"/>
    <n v="1"/>
  </r>
  <r>
    <x v="557"/>
    <x v="0"/>
    <x v="1"/>
    <s v="2025/05"/>
    <x v="1"/>
    <s v=""/>
  </r>
  <r>
    <x v="558"/>
    <x v="0"/>
    <x v="1"/>
    <s v="2025/05"/>
    <x v="2"/>
    <n v="1"/>
  </r>
  <r>
    <x v="558"/>
    <x v="0"/>
    <x v="1"/>
    <s v="2025/05"/>
    <x v="1"/>
    <s v=""/>
  </r>
  <r>
    <x v="559"/>
    <x v="0"/>
    <x v="1"/>
    <s v="2025/05"/>
    <x v="2"/>
    <n v="1"/>
  </r>
  <r>
    <x v="559"/>
    <x v="0"/>
    <x v="1"/>
    <s v="2025/05"/>
    <x v="1"/>
    <s v=""/>
  </r>
  <r>
    <x v="559"/>
    <x v="0"/>
    <x v="1"/>
    <s v="2025/05"/>
    <x v="1"/>
    <s v=""/>
  </r>
  <r>
    <x v="560"/>
    <x v="0"/>
    <x v="1"/>
    <s v="2025/05"/>
    <x v="2"/>
    <n v="1"/>
  </r>
  <r>
    <x v="560"/>
    <x v="0"/>
    <x v="1"/>
    <s v="2025/05"/>
    <x v="1"/>
    <s v=""/>
  </r>
  <r>
    <x v="560"/>
    <x v="0"/>
    <x v="1"/>
    <s v="2025/05"/>
    <x v="1"/>
    <s v=""/>
  </r>
  <r>
    <x v="561"/>
    <x v="0"/>
    <x v="0"/>
    <s v="2025/05"/>
    <x v="0"/>
    <n v="1"/>
  </r>
  <r>
    <x v="561"/>
    <x v="0"/>
    <x v="0"/>
    <s v="2025/05"/>
    <x v="1"/>
    <s v=""/>
  </r>
  <r>
    <x v="562"/>
    <x v="0"/>
    <x v="1"/>
    <s v="2025/05"/>
    <x v="2"/>
    <n v="1"/>
  </r>
  <r>
    <x v="562"/>
    <x v="0"/>
    <x v="1"/>
    <s v="2025/05"/>
    <x v="1"/>
    <s v=""/>
  </r>
  <r>
    <x v="563"/>
    <x v="0"/>
    <x v="1"/>
    <s v="2025/05"/>
    <x v="2"/>
    <n v="1"/>
  </r>
  <r>
    <x v="564"/>
    <x v="0"/>
    <x v="0"/>
    <s v="2025/05"/>
    <x v="0"/>
    <n v="1"/>
  </r>
  <r>
    <x v="564"/>
    <x v="0"/>
    <x v="0"/>
    <s v="2025/05"/>
    <x v="1"/>
    <s v=""/>
  </r>
  <r>
    <x v="564"/>
    <x v="0"/>
    <x v="0"/>
    <s v="2025/05"/>
    <x v="1"/>
    <s v=""/>
  </r>
  <r>
    <x v="565"/>
    <x v="0"/>
    <x v="0"/>
    <s v="2025/05"/>
    <x v="0"/>
    <n v="1"/>
  </r>
  <r>
    <x v="565"/>
    <x v="0"/>
    <x v="0"/>
    <s v="2025/05"/>
    <x v="1"/>
    <s v=""/>
  </r>
  <r>
    <x v="565"/>
    <x v="0"/>
    <x v="0"/>
    <s v="2025/05"/>
    <x v="1"/>
    <s v=""/>
  </r>
  <r>
    <x v="566"/>
    <x v="0"/>
    <x v="0"/>
    <s v="2025/05"/>
    <x v="0"/>
    <n v="1"/>
  </r>
  <r>
    <x v="566"/>
    <x v="0"/>
    <x v="0"/>
    <s v="2025/05"/>
    <x v="1"/>
    <s v=""/>
  </r>
  <r>
    <x v="566"/>
    <x v="0"/>
    <x v="0"/>
    <s v="2025/05"/>
    <x v="1"/>
    <s v=""/>
  </r>
  <r>
    <x v="567"/>
    <x v="0"/>
    <x v="0"/>
    <s v="2025/05"/>
    <x v="0"/>
    <n v="1"/>
  </r>
  <r>
    <x v="567"/>
    <x v="0"/>
    <x v="0"/>
    <s v="2025/05"/>
    <x v="1"/>
    <s v=""/>
  </r>
  <r>
    <x v="567"/>
    <x v="0"/>
    <x v="0"/>
    <s v="2025/05"/>
    <x v="1"/>
    <s v=""/>
  </r>
  <r>
    <x v="568"/>
    <x v="0"/>
    <x v="1"/>
    <s v="2025/05"/>
    <x v="2"/>
    <n v="1"/>
  </r>
  <r>
    <x v="568"/>
    <x v="0"/>
    <x v="1"/>
    <s v="2025/05"/>
    <x v="1"/>
    <s v=""/>
  </r>
  <r>
    <x v="569"/>
    <x v="0"/>
    <x v="0"/>
    <s v="2025/05"/>
    <x v="0"/>
    <n v="1"/>
  </r>
  <r>
    <x v="569"/>
    <x v="0"/>
    <x v="0"/>
    <s v="2025/05"/>
    <x v="1"/>
    <s v=""/>
  </r>
  <r>
    <x v="570"/>
    <x v="0"/>
    <x v="1"/>
    <s v="2025/05"/>
    <x v="2"/>
    <n v="1"/>
  </r>
  <r>
    <x v="570"/>
    <x v="0"/>
    <x v="1"/>
    <s v="2025/05"/>
    <x v="1"/>
    <s v=""/>
  </r>
  <r>
    <x v="571"/>
    <x v="0"/>
    <x v="1"/>
    <s v="2025/05"/>
    <x v="2"/>
    <n v="1"/>
  </r>
  <r>
    <x v="571"/>
    <x v="0"/>
    <x v="1"/>
    <s v="2025/05"/>
    <x v="1"/>
    <s v=""/>
  </r>
  <r>
    <x v="572"/>
    <x v="0"/>
    <x v="1"/>
    <s v="2025/05"/>
    <x v="2"/>
    <n v="1"/>
  </r>
  <r>
    <x v="572"/>
    <x v="0"/>
    <x v="1"/>
    <s v="2025/05"/>
    <x v="1"/>
    <s v=""/>
  </r>
  <r>
    <x v="573"/>
    <x v="0"/>
    <x v="0"/>
    <s v="2025/05"/>
    <x v="0"/>
    <n v="1"/>
  </r>
  <r>
    <x v="573"/>
    <x v="0"/>
    <x v="0"/>
    <s v="2025/05"/>
    <x v="1"/>
    <s v=""/>
  </r>
  <r>
    <x v="574"/>
    <x v="0"/>
    <x v="1"/>
    <s v="2025/05"/>
    <x v="2"/>
    <n v="1"/>
  </r>
  <r>
    <x v="574"/>
    <x v="0"/>
    <x v="1"/>
    <s v="2025/05"/>
    <x v="1"/>
    <s v=""/>
  </r>
  <r>
    <x v="575"/>
    <x v="0"/>
    <x v="1"/>
    <s v="2025/05"/>
    <x v="2"/>
    <n v="1"/>
  </r>
  <r>
    <x v="575"/>
    <x v="0"/>
    <x v="1"/>
    <s v="2025/05"/>
    <x v="1"/>
    <s v=""/>
  </r>
  <r>
    <x v="576"/>
    <x v="0"/>
    <x v="0"/>
    <s v="2025/05"/>
    <x v="0"/>
    <n v="1"/>
  </r>
  <r>
    <x v="576"/>
    <x v="0"/>
    <x v="0"/>
    <s v="2025/05"/>
    <x v="1"/>
    <s v=""/>
  </r>
  <r>
    <x v="576"/>
    <x v="0"/>
    <x v="0"/>
    <s v="2025/05"/>
    <x v="1"/>
    <s v=""/>
  </r>
  <r>
    <x v="577"/>
    <x v="0"/>
    <x v="0"/>
    <s v="2025/05"/>
    <x v="0"/>
    <n v="1"/>
  </r>
  <r>
    <x v="577"/>
    <x v="0"/>
    <x v="0"/>
    <s v="2025/05"/>
    <x v="1"/>
    <s v=""/>
  </r>
  <r>
    <x v="578"/>
    <x v="0"/>
    <x v="0"/>
    <s v="2025/05"/>
    <x v="0"/>
    <n v="1"/>
  </r>
  <r>
    <x v="578"/>
    <x v="0"/>
    <x v="0"/>
    <s v="2025/05"/>
    <x v="1"/>
    <s v=""/>
  </r>
  <r>
    <x v="579"/>
    <x v="0"/>
    <x v="0"/>
    <s v="2025/05"/>
    <x v="0"/>
    <n v="1"/>
  </r>
  <r>
    <x v="579"/>
    <x v="0"/>
    <x v="0"/>
    <s v="2025/05"/>
    <x v="1"/>
    <s v=""/>
  </r>
  <r>
    <x v="579"/>
    <x v="0"/>
    <x v="0"/>
    <s v="2025/05"/>
    <x v="1"/>
    <s v=""/>
  </r>
  <r>
    <x v="580"/>
    <x v="0"/>
    <x v="1"/>
    <s v="2025/05"/>
    <x v="2"/>
    <n v="1"/>
  </r>
  <r>
    <x v="580"/>
    <x v="0"/>
    <x v="1"/>
    <s v="2025/05"/>
    <x v="1"/>
    <s v=""/>
  </r>
  <r>
    <x v="581"/>
    <x v="0"/>
    <x v="0"/>
    <s v="2025/05"/>
    <x v="0"/>
    <n v="1"/>
  </r>
  <r>
    <x v="581"/>
    <x v="0"/>
    <x v="0"/>
    <s v="2025/05"/>
    <x v="1"/>
    <s v=""/>
  </r>
  <r>
    <x v="582"/>
    <x v="0"/>
    <x v="0"/>
    <s v="2025/05"/>
    <x v="0"/>
    <n v="1"/>
  </r>
  <r>
    <x v="582"/>
    <x v="0"/>
    <x v="0"/>
    <s v="2025/05"/>
    <x v="1"/>
    <s v=""/>
  </r>
  <r>
    <x v="582"/>
    <x v="0"/>
    <x v="0"/>
    <s v="2025/05"/>
    <x v="1"/>
    <s v=""/>
  </r>
  <r>
    <x v="583"/>
    <x v="0"/>
    <x v="1"/>
    <s v="2025/05"/>
    <x v="2"/>
    <n v="1"/>
  </r>
  <r>
    <x v="583"/>
    <x v="0"/>
    <x v="1"/>
    <s v="2025/05"/>
    <x v="1"/>
    <s v=""/>
  </r>
  <r>
    <x v="583"/>
    <x v="0"/>
    <x v="1"/>
    <s v="2025/05"/>
    <x v="1"/>
    <s v=""/>
  </r>
  <r>
    <x v="584"/>
    <x v="0"/>
    <x v="1"/>
    <s v="2025/05"/>
    <x v="2"/>
    <n v="1"/>
  </r>
  <r>
    <x v="584"/>
    <x v="0"/>
    <x v="1"/>
    <s v="2025/05"/>
    <x v="1"/>
    <s v=""/>
  </r>
  <r>
    <x v="584"/>
    <x v="0"/>
    <x v="1"/>
    <s v="2025/05"/>
    <x v="1"/>
    <s v=""/>
  </r>
  <r>
    <x v="585"/>
    <x v="0"/>
    <x v="0"/>
    <s v="2025/05"/>
    <x v="0"/>
    <n v="1"/>
  </r>
  <r>
    <x v="585"/>
    <x v="0"/>
    <x v="0"/>
    <s v="2025/05"/>
    <x v="1"/>
    <s v=""/>
  </r>
  <r>
    <x v="585"/>
    <x v="0"/>
    <x v="0"/>
    <s v="2025/05"/>
    <x v="1"/>
    <s v=""/>
  </r>
  <r>
    <x v="586"/>
    <x v="0"/>
    <x v="0"/>
    <s v="2025/05"/>
    <x v="0"/>
    <n v="1"/>
  </r>
  <r>
    <x v="586"/>
    <x v="0"/>
    <x v="0"/>
    <s v="2025/05"/>
    <x v="1"/>
    <s v=""/>
  </r>
  <r>
    <x v="586"/>
    <x v="0"/>
    <x v="0"/>
    <s v="2025/05"/>
    <x v="1"/>
    <s v=""/>
  </r>
  <r>
    <x v="587"/>
    <x v="0"/>
    <x v="1"/>
    <s v="2025/05"/>
    <x v="2"/>
    <n v="1"/>
  </r>
  <r>
    <x v="587"/>
    <x v="0"/>
    <x v="1"/>
    <s v="2025/05"/>
    <x v="1"/>
    <s v=""/>
  </r>
  <r>
    <x v="588"/>
    <x v="0"/>
    <x v="1"/>
    <s v="2025/05"/>
    <x v="1"/>
    <s v=""/>
  </r>
  <r>
    <x v="588"/>
    <x v="0"/>
    <x v="1"/>
    <s v="2025/05"/>
    <x v="1"/>
    <s v=""/>
  </r>
  <r>
    <x v="589"/>
    <x v="0"/>
    <x v="1"/>
    <s v="2025/05"/>
    <x v="2"/>
    <n v="1"/>
  </r>
  <r>
    <x v="589"/>
    <x v="0"/>
    <x v="1"/>
    <s v="2025/05"/>
    <x v="1"/>
    <s v=""/>
  </r>
  <r>
    <x v="590"/>
    <x v="0"/>
    <x v="0"/>
    <s v="2025/05"/>
    <x v="0"/>
    <n v="1"/>
  </r>
  <r>
    <x v="590"/>
    <x v="0"/>
    <x v="0"/>
    <s v="2025/05"/>
    <x v="1"/>
    <s v=""/>
  </r>
  <r>
    <x v="591"/>
    <x v="0"/>
    <x v="1"/>
    <s v="2025/05"/>
    <x v="2"/>
    <n v="1"/>
  </r>
  <r>
    <x v="591"/>
    <x v="0"/>
    <x v="1"/>
    <s v="2025/05"/>
    <x v="1"/>
    <s v=""/>
  </r>
  <r>
    <x v="592"/>
    <x v="0"/>
    <x v="1"/>
    <s v="2025/05"/>
    <x v="2"/>
    <n v="1"/>
  </r>
  <r>
    <x v="592"/>
    <x v="0"/>
    <x v="1"/>
    <s v="2025/05"/>
    <x v="1"/>
    <s v=""/>
  </r>
  <r>
    <x v="592"/>
    <x v="0"/>
    <x v="1"/>
    <s v="2025/05"/>
    <x v="1"/>
    <s v=""/>
  </r>
  <r>
    <x v="593"/>
    <x v="0"/>
    <x v="1"/>
    <s v="2025/05"/>
    <x v="2"/>
    <n v="1"/>
  </r>
  <r>
    <x v="593"/>
    <x v="0"/>
    <x v="1"/>
    <s v="2025/05"/>
    <x v="1"/>
    <s v=""/>
  </r>
  <r>
    <x v="594"/>
    <x v="0"/>
    <x v="0"/>
    <s v="2025/05"/>
    <x v="0"/>
    <n v="1"/>
  </r>
  <r>
    <x v="594"/>
    <x v="0"/>
    <x v="0"/>
    <s v="2025/05"/>
    <x v="1"/>
    <s v=""/>
  </r>
  <r>
    <x v="594"/>
    <x v="0"/>
    <x v="0"/>
    <s v="2025/05"/>
    <x v="1"/>
    <s v=""/>
  </r>
  <r>
    <x v="595"/>
    <x v="0"/>
    <x v="1"/>
    <s v="2025/05"/>
    <x v="2"/>
    <n v="1"/>
  </r>
  <r>
    <x v="595"/>
    <x v="0"/>
    <x v="1"/>
    <s v="2025/05"/>
    <x v="1"/>
    <s v=""/>
  </r>
  <r>
    <x v="596"/>
    <x v="0"/>
    <x v="0"/>
    <s v="2025/05"/>
    <x v="0"/>
    <n v="1"/>
  </r>
  <r>
    <x v="596"/>
    <x v="0"/>
    <x v="0"/>
    <s v="2025/05"/>
    <x v="1"/>
    <s v=""/>
  </r>
  <r>
    <x v="597"/>
    <x v="0"/>
    <x v="0"/>
    <s v="2025/05"/>
    <x v="0"/>
    <n v="1"/>
  </r>
  <r>
    <x v="597"/>
    <x v="0"/>
    <x v="0"/>
    <s v="2025/05"/>
    <x v="1"/>
    <s v=""/>
  </r>
  <r>
    <x v="598"/>
    <x v="0"/>
    <x v="0"/>
    <s v="2025/05"/>
    <x v="0"/>
    <n v="1"/>
  </r>
  <r>
    <x v="598"/>
    <x v="0"/>
    <x v="0"/>
    <s v="2025/05"/>
    <x v="1"/>
    <s v=""/>
  </r>
  <r>
    <x v="599"/>
    <x v="0"/>
    <x v="0"/>
    <s v="2025/05"/>
    <x v="0"/>
    <n v="1"/>
  </r>
  <r>
    <x v="599"/>
    <x v="0"/>
    <x v="0"/>
    <s v="2025/05"/>
    <x v="1"/>
    <s v=""/>
  </r>
  <r>
    <x v="600"/>
    <x v="0"/>
    <x v="0"/>
    <s v="2025/05"/>
    <x v="0"/>
    <n v="1"/>
  </r>
  <r>
    <x v="600"/>
    <x v="0"/>
    <x v="0"/>
    <s v="2025/05"/>
    <x v="1"/>
    <s v=""/>
  </r>
  <r>
    <x v="601"/>
    <x v="0"/>
    <x v="0"/>
    <s v="2025/05"/>
    <x v="0"/>
    <n v="1"/>
  </r>
  <r>
    <x v="601"/>
    <x v="0"/>
    <x v="0"/>
    <s v="2025/05"/>
    <x v="1"/>
    <s v=""/>
  </r>
  <r>
    <x v="602"/>
    <x v="0"/>
    <x v="0"/>
    <s v="2025/05"/>
    <x v="0"/>
    <n v="1"/>
  </r>
  <r>
    <x v="602"/>
    <x v="0"/>
    <x v="0"/>
    <s v="2025/05"/>
    <x v="1"/>
    <s v=""/>
  </r>
  <r>
    <x v="602"/>
    <x v="0"/>
    <x v="0"/>
    <s v="2025/05"/>
    <x v="1"/>
    <s v=""/>
  </r>
  <r>
    <x v="603"/>
    <x v="0"/>
    <x v="0"/>
    <s v="2025/05"/>
    <x v="0"/>
    <n v="1"/>
  </r>
  <r>
    <x v="603"/>
    <x v="0"/>
    <x v="0"/>
    <s v="2025/05"/>
    <x v="1"/>
    <s v=""/>
  </r>
  <r>
    <x v="603"/>
    <x v="0"/>
    <x v="0"/>
    <s v="2025/05"/>
    <x v="1"/>
    <s v=""/>
  </r>
  <r>
    <x v="604"/>
    <x v="0"/>
    <x v="0"/>
    <s v="2025/05"/>
    <x v="0"/>
    <n v="1"/>
  </r>
  <r>
    <x v="604"/>
    <x v="0"/>
    <x v="0"/>
    <s v="2025/05"/>
    <x v="1"/>
    <s v=""/>
  </r>
  <r>
    <x v="605"/>
    <x v="0"/>
    <x v="0"/>
    <s v="2025/05"/>
    <x v="1"/>
    <s v=""/>
  </r>
  <r>
    <x v="606"/>
    <x v="0"/>
    <x v="1"/>
    <s v="2025/05"/>
    <x v="2"/>
    <n v="1"/>
  </r>
  <r>
    <x v="606"/>
    <x v="0"/>
    <x v="1"/>
    <s v="2025/05"/>
    <x v="1"/>
    <s v=""/>
  </r>
  <r>
    <x v="606"/>
    <x v="0"/>
    <x v="1"/>
    <s v="2025/05"/>
    <x v="1"/>
    <s v=""/>
  </r>
  <r>
    <x v="607"/>
    <x v="0"/>
    <x v="0"/>
    <s v="2025/05"/>
    <x v="0"/>
    <n v="1"/>
  </r>
  <r>
    <x v="607"/>
    <x v="0"/>
    <x v="0"/>
    <s v="2025/05"/>
    <x v="1"/>
    <s v=""/>
  </r>
  <r>
    <x v="607"/>
    <x v="0"/>
    <x v="0"/>
    <s v="2025/05"/>
    <x v="1"/>
    <s v=""/>
  </r>
  <r>
    <x v="608"/>
    <x v="0"/>
    <x v="0"/>
    <s v="2025/05"/>
    <x v="0"/>
    <n v="1"/>
  </r>
  <r>
    <x v="608"/>
    <x v="0"/>
    <x v="0"/>
    <s v="2025/05"/>
    <x v="1"/>
    <s v=""/>
  </r>
  <r>
    <x v="608"/>
    <x v="0"/>
    <x v="0"/>
    <s v="2025/05"/>
    <x v="1"/>
    <s v=""/>
  </r>
  <r>
    <x v="608"/>
    <x v="0"/>
    <x v="0"/>
    <s v="2025/05"/>
    <x v="1"/>
    <s v=""/>
  </r>
  <r>
    <x v="609"/>
    <x v="0"/>
    <x v="0"/>
    <s v="2025/05"/>
    <x v="0"/>
    <n v="1"/>
  </r>
  <r>
    <x v="609"/>
    <x v="0"/>
    <x v="0"/>
    <s v="2025/05"/>
    <x v="1"/>
    <s v=""/>
  </r>
  <r>
    <x v="610"/>
    <x v="0"/>
    <x v="1"/>
    <s v="2025/05"/>
    <x v="2"/>
    <n v="1"/>
  </r>
  <r>
    <x v="610"/>
    <x v="0"/>
    <x v="1"/>
    <s v="2025/05"/>
    <x v="1"/>
    <s v=""/>
  </r>
  <r>
    <x v="610"/>
    <x v="0"/>
    <x v="1"/>
    <s v="2025/05"/>
    <x v="1"/>
    <s v=""/>
  </r>
  <r>
    <x v="610"/>
    <x v="0"/>
    <x v="1"/>
    <s v="2025/05"/>
    <x v="1"/>
    <s v=""/>
  </r>
  <r>
    <x v="610"/>
    <x v="0"/>
    <x v="1"/>
    <s v="2025/05"/>
    <x v="1"/>
    <s v=""/>
  </r>
  <r>
    <x v="610"/>
    <x v="0"/>
    <x v="1"/>
    <s v="2025/05"/>
    <x v="1"/>
    <s v=""/>
  </r>
  <r>
    <x v="611"/>
    <x v="0"/>
    <x v="1"/>
    <s v="2025/05"/>
    <x v="2"/>
    <n v="1"/>
  </r>
  <r>
    <x v="611"/>
    <x v="0"/>
    <x v="1"/>
    <s v="2025/05"/>
    <x v="1"/>
    <s v=""/>
  </r>
  <r>
    <x v="612"/>
    <x v="0"/>
    <x v="0"/>
    <s v="2025/05"/>
    <x v="0"/>
    <n v="1"/>
  </r>
  <r>
    <x v="613"/>
    <x v="0"/>
    <x v="0"/>
    <s v="2025/05"/>
    <x v="1"/>
    <s v=""/>
  </r>
  <r>
    <x v="614"/>
    <x v="0"/>
    <x v="0"/>
    <s v="2025/05"/>
    <x v="0"/>
    <n v="1"/>
  </r>
  <r>
    <x v="614"/>
    <x v="0"/>
    <x v="0"/>
    <s v="2025/05"/>
    <x v="1"/>
    <s v=""/>
  </r>
  <r>
    <x v="614"/>
    <x v="0"/>
    <x v="0"/>
    <s v="2025/05"/>
    <x v="1"/>
    <s v=""/>
  </r>
  <r>
    <x v="615"/>
    <x v="0"/>
    <x v="1"/>
    <s v="2025/05"/>
    <x v="2"/>
    <n v="1"/>
  </r>
  <r>
    <x v="615"/>
    <x v="0"/>
    <x v="1"/>
    <s v="2025/05"/>
    <x v="1"/>
    <s v=""/>
  </r>
  <r>
    <x v="616"/>
    <x v="0"/>
    <x v="1"/>
    <s v="2025/05"/>
    <x v="2"/>
    <n v="1"/>
  </r>
  <r>
    <x v="616"/>
    <x v="0"/>
    <x v="1"/>
    <s v="2025/05"/>
    <x v="1"/>
    <s v=""/>
  </r>
  <r>
    <x v="617"/>
    <x v="0"/>
    <x v="1"/>
    <s v="2025/05"/>
    <x v="2"/>
    <n v="1"/>
  </r>
  <r>
    <x v="617"/>
    <x v="0"/>
    <x v="1"/>
    <s v="2025/05"/>
    <x v="1"/>
    <s v=""/>
  </r>
  <r>
    <x v="618"/>
    <x v="0"/>
    <x v="0"/>
    <s v="2025/05"/>
    <x v="0"/>
    <n v="1"/>
  </r>
  <r>
    <x v="618"/>
    <x v="0"/>
    <x v="0"/>
    <s v="2025/05"/>
    <x v="1"/>
    <s v=""/>
  </r>
  <r>
    <x v="619"/>
    <x v="0"/>
    <x v="0"/>
    <s v="2025/05"/>
    <x v="0"/>
    <n v="1"/>
  </r>
  <r>
    <x v="619"/>
    <x v="0"/>
    <x v="0"/>
    <s v="2025/05"/>
    <x v="1"/>
    <s v=""/>
  </r>
  <r>
    <x v="620"/>
    <x v="0"/>
    <x v="0"/>
    <s v="2025/05"/>
    <x v="0"/>
    <n v="1"/>
  </r>
  <r>
    <x v="620"/>
    <x v="0"/>
    <x v="0"/>
    <s v="2025/05"/>
    <x v="1"/>
    <s v=""/>
  </r>
  <r>
    <x v="620"/>
    <x v="0"/>
    <x v="0"/>
    <s v="2025/05"/>
    <x v="1"/>
    <s v=""/>
  </r>
  <r>
    <x v="621"/>
    <x v="0"/>
    <x v="0"/>
    <s v="2025/05"/>
    <x v="0"/>
    <n v="1"/>
  </r>
  <r>
    <x v="621"/>
    <x v="0"/>
    <x v="0"/>
    <s v="2025/05"/>
    <x v="1"/>
    <s v=""/>
  </r>
  <r>
    <x v="621"/>
    <x v="0"/>
    <x v="0"/>
    <s v="2025/05"/>
    <x v="1"/>
    <s v=""/>
  </r>
  <r>
    <x v="621"/>
    <x v="0"/>
    <x v="0"/>
    <s v="2025/05"/>
    <x v="1"/>
    <s v=""/>
  </r>
  <r>
    <x v="622"/>
    <x v="0"/>
    <x v="0"/>
    <s v="2025/05"/>
    <x v="0"/>
    <n v="1"/>
  </r>
  <r>
    <x v="622"/>
    <x v="0"/>
    <x v="0"/>
    <s v="2025/05"/>
    <x v="1"/>
    <s v=""/>
  </r>
  <r>
    <x v="623"/>
    <x v="0"/>
    <x v="0"/>
    <s v="2025/05"/>
    <x v="0"/>
    <n v="1"/>
  </r>
  <r>
    <x v="623"/>
    <x v="0"/>
    <x v="0"/>
    <s v="2025/05"/>
    <x v="1"/>
    <s v=""/>
  </r>
  <r>
    <x v="624"/>
    <x v="0"/>
    <x v="0"/>
    <s v="2025/05"/>
    <x v="0"/>
    <n v="1"/>
  </r>
  <r>
    <x v="624"/>
    <x v="0"/>
    <x v="0"/>
    <s v="2025/05"/>
    <x v="1"/>
    <s v=""/>
  </r>
  <r>
    <x v="624"/>
    <x v="0"/>
    <x v="0"/>
    <s v="2025/05"/>
    <x v="1"/>
    <s v=""/>
  </r>
  <r>
    <x v="625"/>
    <x v="0"/>
    <x v="0"/>
    <s v="2025/05"/>
    <x v="0"/>
    <n v="1"/>
  </r>
  <r>
    <x v="625"/>
    <x v="0"/>
    <x v="0"/>
    <s v="2025/05"/>
    <x v="1"/>
    <s v=""/>
  </r>
  <r>
    <x v="625"/>
    <x v="0"/>
    <x v="0"/>
    <s v="2025/05"/>
    <x v="1"/>
    <s v=""/>
  </r>
  <r>
    <x v="626"/>
    <x v="0"/>
    <x v="0"/>
    <s v="2025/05"/>
    <x v="0"/>
    <n v="1"/>
  </r>
  <r>
    <x v="626"/>
    <x v="0"/>
    <x v="0"/>
    <s v="2025/05"/>
    <x v="1"/>
    <s v=""/>
  </r>
  <r>
    <x v="626"/>
    <x v="0"/>
    <x v="0"/>
    <s v="2025/05"/>
    <x v="1"/>
    <s v=""/>
  </r>
  <r>
    <x v="627"/>
    <x v="0"/>
    <x v="0"/>
    <s v="2025/05"/>
    <x v="0"/>
    <n v="1"/>
  </r>
  <r>
    <x v="627"/>
    <x v="0"/>
    <x v="0"/>
    <s v="2025/05"/>
    <x v="1"/>
    <s v=""/>
  </r>
  <r>
    <x v="628"/>
    <x v="0"/>
    <x v="0"/>
    <s v="2025/05"/>
    <x v="0"/>
    <n v="1"/>
  </r>
  <r>
    <x v="628"/>
    <x v="0"/>
    <x v="0"/>
    <s v="2025/05"/>
    <x v="1"/>
    <s v=""/>
  </r>
  <r>
    <x v="628"/>
    <x v="0"/>
    <x v="0"/>
    <s v="2025/05"/>
    <x v="1"/>
    <s v=""/>
  </r>
  <r>
    <x v="629"/>
    <x v="0"/>
    <x v="0"/>
    <s v="2025/05"/>
    <x v="0"/>
    <n v="1"/>
  </r>
  <r>
    <x v="629"/>
    <x v="0"/>
    <x v="0"/>
    <s v="2025/05"/>
    <x v="1"/>
    <s v=""/>
  </r>
  <r>
    <x v="629"/>
    <x v="0"/>
    <x v="0"/>
    <s v="2025/05"/>
    <x v="1"/>
    <s v=""/>
  </r>
  <r>
    <x v="630"/>
    <x v="0"/>
    <x v="0"/>
    <s v="2025/05"/>
    <x v="0"/>
    <n v="1"/>
  </r>
  <r>
    <x v="630"/>
    <x v="0"/>
    <x v="0"/>
    <s v="2025/05"/>
    <x v="1"/>
    <s v=""/>
  </r>
  <r>
    <x v="630"/>
    <x v="0"/>
    <x v="0"/>
    <s v="2025/05"/>
    <x v="1"/>
    <s v=""/>
  </r>
  <r>
    <x v="631"/>
    <x v="0"/>
    <x v="0"/>
    <s v="2025/05"/>
    <x v="0"/>
    <n v="1"/>
  </r>
  <r>
    <x v="631"/>
    <x v="0"/>
    <x v="0"/>
    <s v="2025/05"/>
    <x v="1"/>
    <s v=""/>
  </r>
  <r>
    <x v="631"/>
    <x v="0"/>
    <x v="0"/>
    <s v="2025/05"/>
    <x v="1"/>
    <s v=""/>
  </r>
  <r>
    <x v="631"/>
    <x v="0"/>
    <x v="0"/>
    <s v="2025/05"/>
    <x v="1"/>
    <s v=""/>
  </r>
  <r>
    <x v="632"/>
    <x v="0"/>
    <x v="1"/>
    <s v="2025/05"/>
    <x v="2"/>
    <n v="1"/>
  </r>
  <r>
    <x v="632"/>
    <x v="0"/>
    <x v="1"/>
    <s v="2025/05"/>
    <x v="1"/>
    <s v=""/>
  </r>
  <r>
    <x v="633"/>
    <x v="0"/>
    <x v="0"/>
    <s v="2025/05"/>
    <x v="0"/>
    <n v="1"/>
  </r>
  <r>
    <x v="633"/>
    <x v="0"/>
    <x v="0"/>
    <s v="2025/05"/>
    <x v="1"/>
    <s v=""/>
  </r>
  <r>
    <x v="633"/>
    <x v="0"/>
    <x v="0"/>
    <s v="2025/05"/>
    <x v="1"/>
    <s v=""/>
  </r>
  <r>
    <x v="634"/>
    <x v="0"/>
    <x v="0"/>
    <s v="2025/05"/>
    <x v="0"/>
    <n v="1"/>
  </r>
  <r>
    <x v="634"/>
    <x v="0"/>
    <x v="0"/>
    <s v="2025/05"/>
    <x v="1"/>
    <s v=""/>
  </r>
  <r>
    <x v="635"/>
    <x v="0"/>
    <x v="1"/>
    <s v="2025/05"/>
    <x v="2"/>
    <n v="1"/>
  </r>
  <r>
    <x v="636"/>
    <x v="0"/>
    <x v="1"/>
    <s v="2025/05"/>
    <x v="1"/>
    <s v=""/>
  </r>
  <r>
    <x v="636"/>
    <x v="0"/>
    <x v="1"/>
    <s v="2025/05"/>
    <x v="1"/>
    <s v=""/>
  </r>
  <r>
    <x v="637"/>
    <x v="0"/>
    <x v="0"/>
    <s v="2025/05"/>
    <x v="0"/>
    <n v="1"/>
  </r>
  <r>
    <x v="637"/>
    <x v="0"/>
    <x v="0"/>
    <s v="2025/05"/>
    <x v="1"/>
    <s v=""/>
  </r>
  <r>
    <x v="638"/>
    <x v="0"/>
    <x v="1"/>
    <s v="2025/05"/>
    <x v="2"/>
    <n v="1"/>
  </r>
  <r>
    <x v="638"/>
    <x v="0"/>
    <x v="1"/>
    <s v="2025/05"/>
    <x v="1"/>
    <s v=""/>
  </r>
  <r>
    <x v="639"/>
    <x v="0"/>
    <x v="1"/>
    <s v="2025/05"/>
    <x v="2"/>
    <n v="1"/>
  </r>
  <r>
    <x v="639"/>
    <x v="0"/>
    <x v="1"/>
    <s v="2025/05"/>
    <x v="1"/>
    <s v=""/>
  </r>
  <r>
    <x v="640"/>
    <x v="0"/>
    <x v="0"/>
    <s v="2025/05"/>
    <x v="0"/>
    <n v="1"/>
  </r>
  <r>
    <x v="640"/>
    <x v="0"/>
    <x v="0"/>
    <s v="2025/05"/>
    <x v="1"/>
    <s v=""/>
  </r>
  <r>
    <x v="641"/>
    <x v="0"/>
    <x v="0"/>
    <s v="2025/05"/>
    <x v="0"/>
    <n v="1"/>
  </r>
  <r>
    <x v="641"/>
    <x v="0"/>
    <x v="0"/>
    <s v="2025/05"/>
    <x v="1"/>
    <s v=""/>
  </r>
  <r>
    <x v="641"/>
    <x v="0"/>
    <x v="0"/>
    <s v="2025/05"/>
    <x v="1"/>
    <s v=""/>
  </r>
  <r>
    <x v="641"/>
    <x v="0"/>
    <x v="0"/>
    <s v="2025/05"/>
    <x v="1"/>
    <s v=""/>
  </r>
  <r>
    <x v="642"/>
    <x v="0"/>
    <x v="0"/>
    <s v="2025/05"/>
    <x v="0"/>
    <n v="1"/>
  </r>
  <r>
    <x v="642"/>
    <x v="0"/>
    <x v="0"/>
    <s v="2025/05"/>
    <x v="1"/>
    <s v=""/>
  </r>
  <r>
    <x v="642"/>
    <x v="0"/>
    <x v="0"/>
    <s v="2025/05"/>
    <x v="1"/>
    <s v=""/>
  </r>
  <r>
    <x v="642"/>
    <x v="0"/>
    <x v="0"/>
    <s v="2025/05"/>
    <x v="1"/>
    <s v=""/>
  </r>
  <r>
    <x v="643"/>
    <x v="0"/>
    <x v="0"/>
    <s v="2025/05"/>
    <x v="0"/>
    <n v="1"/>
  </r>
  <r>
    <x v="643"/>
    <x v="0"/>
    <x v="0"/>
    <s v="2025/05"/>
    <x v="1"/>
    <s v=""/>
  </r>
  <r>
    <x v="643"/>
    <x v="0"/>
    <x v="0"/>
    <s v="2025/05"/>
    <x v="1"/>
    <s v=""/>
  </r>
  <r>
    <x v="644"/>
    <x v="0"/>
    <x v="0"/>
    <s v="2025/05"/>
    <x v="0"/>
    <n v="1"/>
  </r>
  <r>
    <x v="644"/>
    <x v="0"/>
    <x v="0"/>
    <s v="2025/05"/>
    <x v="1"/>
    <s v=""/>
  </r>
  <r>
    <x v="644"/>
    <x v="0"/>
    <x v="0"/>
    <s v="2025/05"/>
    <x v="1"/>
    <s v=""/>
  </r>
  <r>
    <x v="644"/>
    <x v="0"/>
    <x v="0"/>
    <s v="2025/05"/>
    <x v="1"/>
    <s v=""/>
  </r>
  <r>
    <x v="645"/>
    <x v="0"/>
    <x v="0"/>
    <s v="2025/05"/>
    <x v="0"/>
    <n v="1"/>
  </r>
  <r>
    <x v="645"/>
    <x v="0"/>
    <x v="0"/>
    <s v="2025/05"/>
    <x v="1"/>
    <s v=""/>
  </r>
  <r>
    <x v="645"/>
    <x v="0"/>
    <x v="0"/>
    <s v="2025/05"/>
    <x v="1"/>
    <s v=""/>
  </r>
  <r>
    <x v="646"/>
    <x v="0"/>
    <x v="1"/>
    <s v="2025/05"/>
    <x v="2"/>
    <n v="1"/>
  </r>
  <r>
    <x v="646"/>
    <x v="0"/>
    <x v="1"/>
    <s v="2025/05"/>
    <x v="1"/>
    <s v=""/>
  </r>
  <r>
    <x v="646"/>
    <x v="0"/>
    <x v="1"/>
    <s v="2025/05"/>
    <x v="1"/>
    <s v=""/>
  </r>
  <r>
    <x v="647"/>
    <x v="0"/>
    <x v="0"/>
    <s v="2025/05"/>
    <x v="0"/>
    <n v="1"/>
  </r>
  <r>
    <x v="647"/>
    <x v="0"/>
    <x v="0"/>
    <s v="2025/05"/>
    <x v="1"/>
    <s v=""/>
  </r>
  <r>
    <x v="648"/>
    <x v="0"/>
    <x v="0"/>
    <s v="2025/05"/>
    <x v="0"/>
    <n v="1"/>
  </r>
  <r>
    <x v="648"/>
    <x v="0"/>
    <x v="0"/>
    <s v="2025/05"/>
    <x v="1"/>
    <s v=""/>
  </r>
  <r>
    <x v="649"/>
    <x v="0"/>
    <x v="1"/>
    <s v="2025/05"/>
    <x v="2"/>
    <n v="1"/>
  </r>
  <r>
    <x v="649"/>
    <x v="0"/>
    <x v="1"/>
    <s v="2025/05"/>
    <x v="1"/>
    <s v=""/>
  </r>
  <r>
    <x v="649"/>
    <x v="0"/>
    <x v="1"/>
    <s v="2025/05"/>
    <x v="1"/>
    <s v=""/>
  </r>
  <r>
    <x v="650"/>
    <x v="0"/>
    <x v="0"/>
    <s v="2025/05"/>
    <x v="0"/>
    <n v="1"/>
  </r>
  <r>
    <x v="650"/>
    <x v="0"/>
    <x v="0"/>
    <s v="2025/05"/>
    <x v="1"/>
    <s v=""/>
  </r>
  <r>
    <x v="651"/>
    <x v="0"/>
    <x v="0"/>
    <s v="2025/05"/>
    <x v="0"/>
    <n v="1"/>
  </r>
  <r>
    <x v="651"/>
    <x v="0"/>
    <x v="0"/>
    <s v="2025/05"/>
    <x v="1"/>
    <s v=""/>
  </r>
  <r>
    <x v="651"/>
    <x v="0"/>
    <x v="0"/>
    <s v="2025/05"/>
    <x v="1"/>
    <s v=""/>
  </r>
  <r>
    <x v="652"/>
    <x v="0"/>
    <x v="0"/>
    <s v="2025/05"/>
    <x v="0"/>
    <n v="1"/>
  </r>
  <r>
    <x v="652"/>
    <x v="0"/>
    <x v="0"/>
    <s v="2025/05"/>
    <x v="1"/>
    <s v=""/>
  </r>
  <r>
    <x v="653"/>
    <x v="0"/>
    <x v="0"/>
    <s v="2025/05"/>
    <x v="0"/>
    <n v="1"/>
  </r>
  <r>
    <x v="653"/>
    <x v="0"/>
    <x v="0"/>
    <s v="2025/05"/>
    <x v="1"/>
    <s v=""/>
  </r>
  <r>
    <x v="653"/>
    <x v="0"/>
    <x v="0"/>
    <s v="2025/05"/>
    <x v="1"/>
    <s v=""/>
  </r>
  <r>
    <x v="654"/>
    <x v="0"/>
    <x v="0"/>
    <s v="2025/05"/>
    <x v="0"/>
    <n v="1"/>
  </r>
  <r>
    <x v="654"/>
    <x v="0"/>
    <x v="0"/>
    <s v="2025/05"/>
    <x v="1"/>
    <s v=""/>
  </r>
  <r>
    <x v="654"/>
    <x v="0"/>
    <x v="0"/>
    <s v="2025/05"/>
    <x v="1"/>
    <s v=""/>
  </r>
  <r>
    <x v="654"/>
    <x v="0"/>
    <x v="0"/>
    <s v="2025/05"/>
    <x v="1"/>
    <s v=""/>
  </r>
  <r>
    <x v="654"/>
    <x v="0"/>
    <x v="0"/>
    <s v="2025/05"/>
    <x v="1"/>
    <s v=""/>
  </r>
  <r>
    <x v="655"/>
    <x v="0"/>
    <x v="0"/>
    <s v="2025/05"/>
    <x v="0"/>
    <n v="1"/>
  </r>
  <r>
    <x v="655"/>
    <x v="0"/>
    <x v="0"/>
    <s v="2025/05"/>
    <x v="1"/>
    <s v=""/>
  </r>
  <r>
    <x v="656"/>
    <x v="1"/>
    <x v="0"/>
    <s v="2025/03"/>
    <x v="0"/>
    <n v="1"/>
  </r>
  <r>
    <x v="656"/>
    <x v="1"/>
    <x v="0"/>
    <s v="2025/03"/>
    <x v="1"/>
    <s v=""/>
  </r>
  <r>
    <x v="656"/>
    <x v="1"/>
    <x v="0"/>
    <s v="2025/03"/>
    <x v="1"/>
    <s v=""/>
  </r>
  <r>
    <x v="657"/>
    <x v="1"/>
    <x v="0"/>
    <s v="2025/03"/>
    <x v="0"/>
    <n v="1"/>
  </r>
  <r>
    <x v="657"/>
    <x v="1"/>
    <x v="0"/>
    <s v="2025/03"/>
    <x v="1"/>
    <s v=""/>
  </r>
  <r>
    <x v="657"/>
    <x v="1"/>
    <x v="0"/>
    <s v="2025/03"/>
    <x v="1"/>
    <s v=""/>
  </r>
  <r>
    <x v="657"/>
    <x v="1"/>
    <x v="0"/>
    <s v="2025/03"/>
    <x v="1"/>
    <s v=""/>
  </r>
  <r>
    <x v="658"/>
    <x v="1"/>
    <x v="0"/>
    <s v="2025/03"/>
    <x v="0"/>
    <n v="1"/>
  </r>
  <r>
    <x v="658"/>
    <x v="1"/>
    <x v="0"/>
    <s v="2025/03"/>
    <x v="1"/>
    <s v=""/>
  </r>
  <r>
    <x v="658"/>
    <x v="1"/>
    <x v="0"/>
    <s v="2025/03"/>
    <x v="1"/>
    <s v=""/>
  </r>
  <r>
    <x v="659"/>
    <x v="1"/>
    <x v="0"/>
    <s v="2025/03"/>
    <x v="0"/>
    <n v="1"/>
  </r>
  <r>
    <x v="659"/>
    <x v="1"/>
    <x v="0"/>
    <s v="2025/03"/>
    <x v="1"/>
    <s v=""/>
  </r>
  <r>
    <x v="659"/>
    <x v="1"/>
    <x v="0"/>
    <s v="2025/03"/>
    <x v="1"/>
    <s v=""/>
  </r>
  <r>
    <x v="659"/>
    <x v="1"/>
    <x v="0"/>
    <s v="2025/03"/>
    <x v="1"/>
    <s v=""/>
  </r>
  <r>
    <x v="660"/>
    <x v="1"/>
    <x v="0"/>
    <s v="2025/03"/>
    <x v="0"/>
    <n v="1"/>
  </r>
  <r>
    <x v="660"/>
    <x v="1"/>
    <x v="0"/>
    <s v="2025/03"/>
    <x v="1"/>
    <s v=""/>
  </r>
  <r>
    <x v="661"/>
    <x v="1"/>
    <x v="0"/>
    <s v="2025/03"/>
    <x v="0"/>
    <n v="1"/>
  </r>
  <r>
    <x v="661"/>
    <x v="1"/>
    <x v="0"/>
    <s v="2025/03"/>
    <x v="1"/>
    <s v=""/>
  </r>
  <r>
    <x v="661"/>
    <x v="1"/>
    <x v="0"/>
    <s v="2025/03"/>
    <x v="1"/>
    <s v=""/>
  </r>
  <r>
    <x v="662"/>
    <x v="1"/>
    <x v="0"/>
    <s v="2025/03"/>
    <x v="0"/>
    <n v="1"/>
  </r>
  <r>
    <x v="662"/>
    <x v="1"/>
    <x v="0"/>
    <s v="2025/03"/>
    <x v="1"/>
    <s v=""/>
  </r>
  <r>
    <x v="662"/>
    <x v="1"/>
    <x v="0"/>
    <s v="2025/03"/>
    <x v="1"/>
    <s v=""/>
  </r>
  <r>
    <x v="663"/>
    <x v="1"/>
    <x v="0"/>
    <s v="2025/03"/>
    <x v="0"/>
    <n v="1"/>
  </r>
  <r>
    <x v="663"/>
    <x v="1"/>
    <x v="0"/>
    <s v="2025/03"/>
    <x v="1"/>
    <s v=""/>
  </r>
  <r>
    <x v="663"/>
    <x v="1"/>
    <x v="0"/>
    <s v="2025/03"/>
    <x v="1"/>
    <s v=""/>
  </r>
  <r>
    <x v="663"/>
    <x v="1"/>
    <x v="0"/>
    <s v="2025/03"/>
    <x v="1"/>
    <s v=""/>
  </r>
  <r>
    <x v="664"/>
    <x v="1"/>
    <x v="0"/>
    <s v="2025/03"/>
    <x v="0"/>
    <n v="1"/>
  </r>
  <r>
    <x v="664"/>
    <x v="1"/>
    <x v="0"/>
    <s v="2025/03"/>
    <x v="1"/>
    <s v=""/>
  </r>
  <r>
    <x v="664"/>
    <x v="1"/>
    <x v="0"/>
    <s v="2025/03"/>
    <x v="1"/>
    <s v=""/>
  </r>
  <r>
    <x v="665"/>
    <x v="1"/>
    <x v="0"/>
    <s v="2025/03"/>
    <x v="0"/>
    <n v="1"/>
  </r>
  <r>
    <x v="665"/>
    <x v="1"/>
    <x v="0"/>
    <s v="2025/03"/>
    <x v="1"/>
    <s v=""/>
  </r>
  <r>
    <x v="665"/>
    <x v="1"/>
    <x v="0"/>
    <s v="2025/03"/>
    <x v="1"/>
    <s v=""/>
  </r>
  <r>
    <x v="666"/>
    <x v="1"/>
    <x v="0"/>
    <s v="2025/03"/>
    <x v="0"/>
    <n v="1"/>
  </r>
  <r>
    <x v="666"/>
    <x v="1"/>
    <x v="0"/>
    <s v="2025/03"/>
    <x v="1"/>
    <s v=""/>
  </r>
  <r>
    <x v="666"/>
    <x v="1"/>
    <x v="0"/>
    <s v="2025/03"/>
    <x v="1"/>
    <s v=""/>
  </r>
  <r>
    <x v="666"/>
    <x v="1"/>
    <x v="0"/>
    <s v="2025/03"/>
    <x v="1"/>
    <s v=""/>
  </r>
  <r>
    <x v="667"/>
    <x v="1"/>
    <x v="0"/>
    <s v="2025/03"/>
    <x v="0"/>
    <n v="1"/>
  </r>
  <r>
    <x v="667"/>
    <x v="1"/>
    <x v="0"/>
    <s v="2025/03"/>
    <x v="1"/>
    <s v=""/>
  </r>
  <r>
    <x v="668"/>
    <x v="1"/>
    <x v="0"/>
    <s v="2025/03"/>
    <x v="0"/>
    <n v="1"/>
  </r>
  <r>
    <x v="668"/>
    <x v="1"/>
    <x v="0"/>
    <s v="2025/03"/>
    <x v="1"/>
    <s v=""/>
  </r>
  <r>
    <x v="669"/>
    <x v="1"/>
    <x v="0"/>
    <s v="2025/03"/>
    <x v="0"/>
    <n v="1"/>
  </r>
  <r>
    <x v="669"/>
    <x v="1"/>
    <x v="0"/>
    <s v="2025/03"/>
    <x v="1"/>
    <s v=""/>
  </r>
  <r>
    <x v="669"/>
    <x v="1"/>
    <x v="0"/>
    <s v="2025/03"/>
    <x v="1"/>
    <s v=""/>
  </r>
  <r>
    <x v="670"/>
    <x v="1"/>
    <x v="0"/>
    <s v="2025/03"/>
    <x v="0"/>
    <n v="1"/>
  </r>
  <r>
    <x v="670"/>
    <x v="1"/>
    <x v="0"/>
    <s v="2025/03"/>
    <x v="1"/>
    <s v=""/>
  </r>
  <r>
    <x v="670"/>
    <x v="1"/>
    <x v="0"/>
    <s v="2025/03"/>
    <x v="1"/>
    <s v=""/>
  </r>
  <r>
    <x v="671"/>
    <x v="1"/>
    <x v="0"/>
    <s v="2025/03"/>
    <x v="0"/>
    <n v="1"/>
  </r>
  <r>
    <x v="671"/>
    <x v="1"/>
    <x v="0"/>
    <s v="2025/03"/>
    <x v="1"/>
    <s v=""/>
  </r>
  <r>
    <x v="672"/>
    <x v="1"/>
    <x v="0"/>
    <s v="2025/03"/>
    <x v="0"/>
    <n v="1"/>
  </r>
  <r>
    <x v="672"/>
    <x v="1"/>
    <x v="0"/>
    <s v="2025/03"/>
    <x v="1"/>
    <s v=""/>
  </r>
  <r>
    <x v="672"/>
    <x v="1"/>
    <x v="0"/>
    <s v="2025/03"/>
    <x v="1"/>
    <s v=""/>
  </r>
  <r>
    <x v="673"/>
    <x v="1"/>
    <x v="0"/>
    <s v="2025/03"/>
    <x v="0"/>
    <n v="1"/>
  </r>
  <r>
    <x v="673"/>
    <x v="1"/>
    <x v="0"/>
    <s v="2025/03"/>
    <x v="1"/>
    <s v=""/>
  </r>
  <r>
    <x v="674"/>
    <x v="1"/>
    <x v="0"/>
    <s v="2025/03"/>
    <x v="0"/>
    <n v="1"/>
  </r>
  <r>
    <x v="674"/>
    <x v="1"/>
    <x v="0"/>
    <s v="2025/03"/>
    <x v="1"/>
    <s v=""/>
  </r>
  <r>
    <x v="674"/>
    <x v="1"/>
    <x v="0"/>
    <s v="2025/03"/>
    <x v="1"/>
    <s v=""/>
  </r>
  <r>
    <x v="675"/>
    <x v="1"/>
    <x v="0"/>
    <s v="2025/03"/>
    <x v="0"/>
    <n v="1"/>
  </r>
  <r>
    <x v="675"/>
    <x v="1"/>
    <x v="0"/>
    <s v="2025/03"/>
    <x v="1"/>
    <s v=""/>
  </r>
  <r>
    <x v="675"/>
    <x v="1"/>
    <x v="0"/>
    <s v="2025/03"/>
    <x v="1"/>
    <s v=""/>
  </r>
  <r>
    <x v="676"/>
    <x v="1"/>
    <x v="0"/>
    <s v="2025/03"/>
    <x v="0"/>
    <n v="1"/>
  </r>
  <r>
    <x v="676"/>
    <x v="1"/>
    <x v="0"/>
    <s v="2025/03"/>
    <x v="1"/>
    <s v=""/>
  </r>
  <r>
    <x v="677"/>
    <x v="1"/>
    <x v="0"/>
    <s v="2025/03"/>
    <x v="0"/>
    <n v="1"/>
  </r>
  <r>
    <x v="677"/>
    <x v="1"/>
    <x v="0"/>
    <s v="2025/03"/>
    <x v="1"/>
    <s v=""/>
  </r>
  <r>
    <x v="677"/>
    <x v="1"/>
    <x v="0"/>
    <s v="2025/03"/>
    <x v="1"/>
    <s v=""/>
  </r>
  <r>
    <x v="678"/>
    <x v="1"/>
    <x v="0"/>
    <s v="2025/03"/>
    <x v="0"/>
    <n v="1"/>
  </r>
  <r>
    <x v="678"/>
    <x v="1"/>
    <x v="0"/>
    <s v="2025/03"/>
    <x v="1"/>
    <s v=""/>
  </r>
  <r>
    <x v="679"/>
    <x v="1"/>
    <x v="0"/>
    <s v="2025/03"/>
    <x v="0"/>
    <n v="1"/>
  </r>
  <r>
    <x v="680"/>
    <x v="1"/>
    <x v="0"/>
    <s v="2025/03"/>
    <x v="1"/>
    <s v=""/>
  </r>
  <r>
    <x v="680"/>
    <x v="1"/>
    <x v="0"/>
    <s v="2025/03"/>
    <x v="1"/>
    <s v=""/>
  </r>
  <r>
    <x v="680"/>
    <x v="1"/>
    <x v="0"/>
    <s v="2025/03"/>
    <x v="1"/>
    <s v=""/>
  </r>
  <r>
    <x v="681"/>
    <x v="1"/>
    <x v="0"/>
    <s v="2025/03"/>
    <x v="0"/>
    <n v="1"/>
  </r>
  <r>
    <x v="681"/>
    <x v="1"/>
    <x v="0"/>
    <s v="2025/03"/>
    <x v="1"/>
    <s v=""/>
  </r>
  <r>
    <x v="681"/>
    <x v="1"/>
    <x v="0"/>
    <s v="2025/03"/>
    <x v="1"/>
    <s v=""/>
  </r>
  <r>
    <x v="681"/>
    <x v="1"/>
    <x v="0"/>
    <s v="2025/03"/>
    <x v="1"/>
    <s v=""/>
  </r>
  <r>
    <x v="682"/>
    <x v="1"/>
    <x v="0"/>
    <s v="2025/04"/>
    <x v="0"/>
    <n v="1"/>
  </r>
  <r>
    <x v="683"/>
    <x v="1"/>
    <x v="0"/>
    <s v="2025/04"/>
    <x v="1"/>
    <s v=""/>
  </r>
  <r>
    <x v="683"/>
    <x v="1"/>
    <x v="0"/>
    <s v="2025/04"/>
    <x v="1"/>
    <s v=""/>
  </r>
  <r>
    <x v="683"/>
    <x v="1"/>
    <x v="0"/>
    <s v="2025/04"/>
    <x v="1"/>
    <s v=""/>
  </r>
  <r>
    <x v="684"/>
    <x v="1"/>
    <x v="0"/>
    <s v="2025/04"/>
    <x v="0"/>
    <n v="1"/>
  </r>
  <r>
    <x v="684"/>
    <x v="1"/>
    <x v="0"/>
    <s v="2025/04"/>
    <x v="1"/>
    <s v=""/>
  </r>
  <r>
    <x v="684"/>
    <x v="1"/>
    <x v="0"/>
    <s v="2025/04"/>
    <x v="1"/>
    <s v=""/>
  </r>
  <r>
    <x v="684"/>
    <x v="1"/>
    <x v="0"/>
    <s v="2025/04"/>
    <x v="1"/>
    <s v=""/>
  </r>
  <r>
    <x v="685"/>
    <x v="1"/>
    <x v="0"/>
    <s v="2025/04"/>
    <x v="0"/>
    <n v="1"/>
  </r>
  <r>
    <x v="685"/>
    <x v="1"/>
    <x v="0"/>
    <s v="2025/04"/>
    <x v="1"/>
    <s v=""/>
  </r>
  <r>
    <x v="686"/>
    <x v="1"/>
    <x v="0"/>
    <s v="2025/04"/>
    <x v="0"/>
    <n v="1"/>
  </r>
  <r>
    <x v="686"/>
    <x v="1"/>
    <x v="0"/>
    <s v="2025/04"/>
    <x v="1"/>
    <s v=""/>
  </r>
  <r>
    <x v="686"/>
    <x v="1"/>
    <x v="0"/>
    <s v="2025/04"/>
    <x v="1"/>
    <s v=""/>
  </r>
  <r>
    <x v="687"/>
    <x v="1"/>
    <x v="0"/>
    <s v="2025/04"/>
    <x v="0"/>
    <n v="1"/>
  </r>
  <r>
    <x v="687"/>
    <x v="1"/>
    <x v="0"/>
    <s v="2025/04"/>
    <x v="1"/>
    <s v=""/>
  </r>
  <r>
    <x v="688"/>
    <x v="1"/>
    <x v="0"/>
    <s v="2025/04"/>
    <x v="0"/>
    <n v="1"/>
  </r>
  <r>
    <x v="688"/>
    <x v="1"/>
    <x v="0"/>
    <s v="2025/04"/>
    <x v="1"/>
    <s v=""/>
  </r>
  <r>
    <x v="688"/>
    <x v="1"/>
    <x v="0"/>
    <s v="2025/04"/>
    <x v="1"/>
    <s v=""/>
  </r>
  <r>
    <x v="689"/>
    <x v="1"/>
    <x v="0"/>
    <s v="2025/04"/>
    <x v="0"/>
    <n v="1"/>
  </r>
  <r>
    <x v="689"/>
    <x v="1"/>
    <x v="0"/>
    <s v="2025/04"/>
    <x v="1"/>
    <s v=""/>
  </r>
  <r>
    <x v="689"/>
    <x v="1"/>
    <x v="0"/>
    <s v="2025/04"/>
    <x v="1"/>
    <s v=""/>
  </r>
  <r>
    <x v="690"/>
    <x v="1"/>
    <x v="0"/>
    <s v="2025/04"/>
    <x v="0"/>
    <n v="1"/>
  </r>
  <r>
    <x v="690"/>
    <x v="1"/>
    <x v="0"/>
    <s v="2025/04"/>
    <x v="1"/>
    <s v=""/>
  </r>
  <r>
    <x v="690"/>
    <x v="1"/>
    <x v="0"/>
    <s v="2025/04"/>
    <x v="1"/>
    <s v=""/>
  </r>
  <r>
    <x v="690"/>
    <x v="1"/>
    <x v="0"/>
    <s v="2025/04"/>
    <x v="1"/>
    <s v=""/>
  </r>
  <r>
    <x v="691"/>
    <x v="1"/>
    <x v="0"/>
    <s v="2025/04"/>
    <x v="0"/>
    <n v="1"/>
  </r>
  <r>
    <x v="691"/>
    <x v="1"/>
    <x v="0"/>
    <s v="2025/04"/>
    <x v="1"/>
    <s v=""/>
  </r>
  <r>
    <x v="691"/>
    <x v="1"/>
    <x v="0"/>
    <s v="2025/04"/>
    <x v="1"/>
    <s v=""/>
  </r>
  <r>
    <x v="692"/>
    <x v="1"/>
    <x v="0"/>
    <s v="2025/04"/>
    <x v="0"/>
    <n v="1"/>
  </r>
  <r>
    <x v="692"/>
    <x v="1"/>
    <x v="0"/>
    <s v="2025/04"/>
    <x v="1"/>
    <s v=""/>
  </r>
  <r>
    <x v="692"/>
    <x v="1"/>
    <x v="0"/>
    <s v="2025/04"/>
    <x v="1"/>
    <s v=""/>
  </r>
  <r>
    <x v="692"/>
    <x v="1"/>
    <x v="0"/>
    <s v="2025/04"/>
    <x v="1"/>
    <s v=""/>
  </r>
  <r>
    <x v="693"/>
    <x v="1"/>
    <x v="0"/>
    <s v="2025/04"/>
    <x v="0"/>
    <n v="1"/>
  </r>
  <r>
    <x v="694"/>
    <x v="1"/>
    <x v="0"/>
    <s v="2025/04"/>
    <x v="1"/>
    <s v=""/>
  </r>
  <r>
    <x v="695"/>
    <x v="1"/>
    <x v="0"/>
    <s v="2025/04"/>
    <x v="0"/>
    <n v="1"/>
  </r>
  <r>
    <x v="695"/>
    <x v="1"/>
    <x v="0"/>
    <s v="2025/04"/>
    <x v="1"/>
    <s v=""/>
  </r>
  <r>
    <x v="696"/>
    <x v="1"/>
    <x v="0"/>
    <s v="2025/04"/>
    <x v="0"/>
    <n v="1"/>
  </r>
  <r>
    <x v="696"/>
    <x v="1"/>
    <x v="0"/>
    <s v="2025/04"/>
    <x v="1"/>
    <s v=""/>
  </r>
  <r>
    <x v="697"/>
    <x v="1"/>
    <x v="0"/>
    <s v="2025/04"/>
    <x v="0"/>
    <n v="1"/>
  </r>
  <r>
    <x v="697"/>
    <x v="1"/>
    <x v="0"/>
    <s v="2025/04"/>
    <x v="1"/>
    <s v=""/>
  </r>
  <r>
    <x v="698"/>
    <x v="1"/>
    <x v="0"/>
    <s v="2025/04"/>
    <x v="0"/>
    <n v="1"/>
  </r>
  <r>
    <x v="698"/>
    <x v="1"/>
    <x v="0"/>
    <s v="2025/04"/>
    <x v="1"/>
    <s v=""/>
  </r>
  <r>
    <x v="699"/>
    <x v="1"/>
    <x v="0"/>
    <s v="2025/04"/>
    <x v="0"/>
    <n v="1"/>
  </r>
  <r>
    <x v="699"/>
    <x v="1"/>
    <x v="0"/>
    <s v="2025/04"/>
    <x v="1"/>
    <s v=""/>
  </r>
  <r>
    <x v="699"/>
    <x v="1"/>
    <x v="0"/>
    <s v="2025/04"/>
    <x v="1"/>
    <s v=""/>
  </r>
  <r>
    <x v="699"/>
    <x v="1"/>
    <x v="0"/>
    <s v="2025/04"/>
    <x v="1"/>
    <s v=""/>
  </r>
  <r>
    <x v="700"/>
    <x v="1"/>
    <x v="0"/>
    <s v="2025/04"/>
    <x v="0"/>
    <n v="1"/>
  </r>
  <r>
    <x v="700"/>
    <x v="1"/>
    <x v="0"/>
    <s v="2025/04"/>
    <x v="1"/>
    <s v=""/>
  </r>
  <r>
    <x v="701"/>
    <x v="1"/>
    <x v="0"/>
    <s v="2025/04"/>
    <x v="0"/>
    <n v="1"/>
  </r>
  <r>
    <x v="701"/>
    <x v="1"/>
    <x v="0"/>
    <s v="2025/04"/>
    <x v="1"/>
    <s v=""/>
  </r>
  <r>
    <x v="702"/>
    <x v="1"/>
    <x v="0"/>
    <s v="2025/04"/>
    <x v="0"/>
    <n v="1"/>
  </r>
  <r>
    <x v="702"/>
    <x v="1"/>
    <x v="0"/>
    <s v="2025/04"/>
    <x v="1"/>
    <s v=""/>
  </r>
  <r>
    <x v="702"/>
    <x v="1"/>
    <x v="0"/>
    <s v="2025/04"/>
    <x v="1"/>
    <s v=""/>
  </r>
  <r>
    <x v="702"/>
    <x v="1"/>
    <x v="0"/>
    <s v="2025/04"/>
    <x v="1"/>
    <s v=""/>
  </r>
  <r>
    <x v="703"/>
    <x v="1"/>
    <x v="0"/>
    <s v="2025/04"/>
    <x v="0"/>
    <n v="1"/>
  </r>
  <r>
    <x v="703"/>
    <x v="1"/>
    <x v="0"/>
    <s v="2025/04"/>
    <x v="1"/>
    <s v=""/>
  </r>
  <r>
    <x v="703"/>
    <x v="1"/>
    <x v="0"/>
    <s v="2025/04"/>
    <x v="1"/>
    <s v=""/>
  </r>
  <r>
    <x v="704"/>
    <x v="1"/>
    <x v="0"/>
    <s v="2025/04"/>
    <x v="0"/>
    <n v="1"/>
  </r>
  <r>
    <x v="704"/>
    <x v="1"/>
    <x v="0"/>
    <s v="2025/04"/>
    <x v="1"/>
    <s v=""/>
  </r>
  <r>
    <x v="705"/>
    <x v="1"/>
    <x v="0"/>
    <s v="2025/04"/>
    <x v="0"/>
    <n v="1"/>
  </r>
  <r>
    <x v="705"/>
    <x v="1"/>
    <x v="0"/>
    <s v="2025/04"/>
    <x v="1"/>
    <s v=""/>
  </r>
  <r>
    <x v="706"/>
    <x v="1"/>
    <x v="0"/>
    <s v="2025/04"/>
    <x v="0"/>
    <n v="1"/>
  </r>
  <r>
    <x v="706"/>
    <x v="1"/>
    <x v="0"/>
    <s v="2025/04"/>
    <x v="1"/>
    <s v=""/>
  </r>
  <r>
    <x v="706"/>
    <x v="1"/>
    <x v="0"/>
    <s v="2025/04"/>
    <x v="1"/>
    <s v=""/>
  </r>
  <r>
    <x v="707"/>
    <x v="1"/>
    <x v="0"/>
    <s v="2025/04"/>
    <x v="0"/>
    <n v="1"/>
  </r>
  <r>
    <x v="707"/>
    <x v="1"/>
    <x v="0"/>
    <s v="2025/04"/>
    <x v="1"/>
    <s v=""/>
  </r>
  <r>
    <x v="708"/>
    <x v="1"/>
    <x v="0"/>
    <s v="2025/04"/>
    <x v="0"/>
    <n v="1"/>
  </r>
  <r>
    <x v="708"/>
    <x v="1"/>
    <x v="0"/>
    <s v="2025/04"/>
    <x v="1"/>
    <s v=""/>
  </r>
  <r>
    <x v="709"/>
    <x v="1"/>
    <x v="0"/>
    <s v="2025/04"/>
    <x v="0"/>
    <n v="1"/>
  </r>
  <r>
    <x v="709"/>
    <x v="1"/>
    <x v="0"/>
    <s v="2025/04"/>
    <x v="1"/>
    <s v=""/>
  </r>
  <r>
    <x v="709"/>
    <x v="1"/>
    <x v="0"/>
    <s v="2025/04"/>
    <x v="1"/>
    <s v=""/>
  </r>
  <r>
    <x v="710"/>
    <x v="1"/>
    <x v="5"/>
    <s v="2025/04"/>
    <x v="5"/>
    <n v="1"/>
  </r>
  <r>
    <x v="710"/>
    <x v="1"/>
    <x v="5"/>
    <s v="2025/04"/>
    <x v="1"/>
    <s v=""/>
  </r>
  <r>
    <x v="711"/>
    <x v="1"/>
    <x v="0"/>
    <s v="2025/04"/>
    <x v="0"/>
    <n v="1"/>
  </r>
  <r>
    <x v="711"/>
    <x v="1"/>
    <x v="0"/>
    <s v="2025/04"/>
    <x v="1"/>
    <s v=""/>
  </r>
  <r>
    <x v="712"/>
    <x v="1"/>
    <x v="0"/>
    <s v="2025/04"/>
    <x v="0"/>
    <n v="1"/>
  </r>
  <r>
    <x v="712"/>
    <x v="1"/>
    <x v="0"/>
    <s v="2025/04"/>
    <x v="1"/>
    <s v=""/>
  </r>
  <r>
    <x v="712"/>
    <x v="1"/>
    <x v="0"/>
    <s v="2025/04"/>
    <x v="1"/>
    <s v=""/>
  </r>
  <r>
    <x v="712"/>
    <x v="1"/>
    <x v="0"/>
    <s v="2025/04"/>
    <x v="1"/>
    <s v=""/>
  </r>
  <r>
    <x v="713"/>
    <x v="1"/>
    <x v="0"/>
    <s v="2025/04"/>
    <x v="0"/>
    <n v="1"/>
  </r>
  <r>
    <x v="713"/>
    <x v="1"/>
    <x v="0"/>
    <s v="2025/04"/>
    <x v="1"/>
    <s v=""/>
  </r>
  <r>
    <x v="713"/>
    <x v="1"/>
    <x v="0"/>
    <s v="2025/04"/>
    <x v="1"/>
    <s v=""/>
  </r>
  <r>
    <x v="714"/>
    <x v="1"/>
    <x v="0"/>
    <s v="2025/04"/>
    <x v="0"/>
    <n v="1"/>
  </r>
  <r>
    <x v="714"/>
    <x v="1"/>
    <x v="0"/>
    <s v="2025/04"/>
    <x v="1"/>
    <s v=""/>
  </r>
  <r>
    <x v="714"/>
    <x v="1"/>
    <x v="0"/>
    <s v="2025/04"/>
    <x v="1"/>
    <s v=""/>
  </r>
  <r>
    <x v="714"/>
    <x v="1"/>
    <x v="0"/>
    <s v="2025/04"/>
    <x v="1"/>
    <s v=""/>
  </r>
  <r>
    <x v="715"/>
    <x v="1"/>
    <x v="0"/>
    <s v="2025/04"/>
    <x v="0"/>
    <n v="1"/>
  </r>
  <r>
    <x v="715"/>
    <x v="1"/>
    <x v="0"/>
    <s v="2025/04"/>
    <x v="1"/>
    <s v=""/>
  </r>
  <r>
    <x v="715"/>
    <x v="1"/>
    <x v="0"/>
    <s v="2025/04"/>
    <x v="1"/>
    <s v=""/>
  </r>
  <r>
    <x v="715"/>
    <x v="1"/>
    <x v="0"/>
    <s v="2025/04"/>
    <x v="1"/>
    <s v=""/>
  </r>
  <r>
    <x v="716"/>
    <x v="1"/>
    <x v="0"/>
    <s v="2025/04"/>
    <x v="0"/>
    <n v="1"/>
  </r>
  <r>
    <x v="716"/>
    <x v="1"/>
    <x v="0"/>
    <s v="2025/04"/>
    <x v="1"/>
    <s v=""/>
  </r>
  <r>
    <x v="716"/>
    <x v="1"/>
    <x v="0"/>
    <s v="2025/04"/>
    <x v="1"/>
    <s v=""/>
  </r>
  <r>
    <x v="717"/>
    <x v="1"/>
    <x v="0"/>
    <s v="2025/04"/>
    <x v="0"/>
    <n v="1"/>
  </r>
  <r>
    <x v="717"/>
    <x v="1"/>
    <x v="0"/>
    <s v="2025/04"/>
    <x v="1"/>
    <s v=""/>
  </r>
  <r>
    <x v="717"/>
    <x v="1"/>
    <x v="0"/>
    <s v="2025/04"/>
    <x v="1"/>
    <s v=""/>
  </r>
  <r>
    <x v="717"/>
    <x v="1"/>
    <x v="0"/>
    <s v="2025/04"/>
    <x v="1"/>
    <s v=""/>
  </r>
  <r>
    <x v="718"/>
    <x v="1"/>
    <x v="0"/>
    <s v="2025/04"/>
    <x v="0"/>
    <n v="1"/>
  </r>
  <r>
    <x v="718"/>
    <x v="1"/>
    <x v="0"/>
    <s v="2025/04"/>
    <x v="1"/>
    <s v=""/>
  </r>
  <r>
    <x v="718"/>
    <x v="1"/>
    <x v="0"/>
    <s v="2025/04"/>
    <x v="1"/>
    <s v=""/>
  </r>
  <r>
    <x v="719"/>
    <x v="1"/>
    <x v="0"/>
    <s v="2025/04"/>
    <x v="0"/>
    <n v="1"/>
  </r>
  <r>
    <x v="719"/>
    <x v="1"/>
    <x v="0"/>
    <s v="2025/04"/>
    <x v="1"/>
    <s v=""/>
  </r>
  <r>
    <x v="720"/>
    <x v="1"/>
    <x v="0"/>
    <s v="2025/04"/>
    <x v="0"/>
    <n v="1"/>
  </r>
  <r>
    <x v="720"/>
    <x v="1"/>
    <x v="0"/>
    <s v="2025/04"/>
    <x v="1"/>
    <s v=""/>
  </r>
  <r>
    <x v="720"/>
    <x v="1"/>
    <x v="0"/>
    <s v="2025/04"/>
    <x v="1"/>
    <s v=""/>
  </r>
  <r>
    <x v="721"/>
    <x v="1"/>
    <x v="0"/>
    <s v="2025/04"/>
    <x v="0"/>
    <n v="1"/>
  </r>
  <r>
    <x v="721"/>
    <x v="1"/>
    <x v="0"/>
    <s v="2025/04"/>
    <x v="1"/>
    <s v=""/>
  </r>
  <r>
    <x v="721"/>
    <x v="1"/>
    <x v="0"/>
    <s v="2025/04"/>
    <x v="1"/>
    <s v=""/>
  </r>
  <r>
    <x v="721"/>
    <x v="1"/>
    <x v="0"/>
    <s v="2025/04"/>
    <x v="1"/>
    <s v=""/>
  </r>
  <r>
    <x v="722"/>
    <x v="1"/>
    <x v="0"/>
    <s v="2025/04"/>
    <x v="0"/>
    <n v="1"/>
  </r>
  <r>
    <x v="722"/>
    <x v="1"/>
    <x v="0"/>
    <s v="2025/04"/>
    <x v="1"/>
    <s v=""/>
  </r>
  <r>
    <x v="722"/>
    <x v="1"/>
    <x v="0"/>
    <s v="2025/04"/>
    <x v="1"/>
    <s v=""/>
  </r>
  <r>
    <x v="722"/>
    <x v="1"/>
    <x v="0"/>
    <s v="2025/04"/>
    <x v="1"/>
    <s v=""/>
  </r>
  <r>
    <x v="723"/>
    <x v="1"/>
    <x v="0"/>
    <s v="2025/04"/>
    <x v="0"/>
    <n v="1"/>
  </r>
  <r>
    <x v="723"/>
    <x v="1"/>
    <x v="0"/>
    <s v="2025/04"/>
    <x v="1"/>
    <s v=""/>
  </r>
  <r>
    <x v="723"/>
    <x v="1"/>
    <x v="0"/>
    <s v="2025/04"/>
    <x v="1"/>
    <s v=""/>
  </r>
  <r>
    <x v="723"/>
    <x v="1"/>
    <x v="0"/>
    <s v="2025/04"/>
    <x v="1"/>
    <s v=""/>
  </r>
  <r>
    <x v="724"/>
    <x v="1"/>
    <x v="5"/>
    <s v="2025/04"/>
    <x v="5"/>
    <n v="1"/>
  </r>
  <r>
    <x v="724"/>
    <x v="1"/>
    <x v="5"/>
    <s v="2025/04"/>
    <x v="1"/>
    <s v=""/>
  </r>
  <r>
    <x v="725"/>
    <x v="1"/>
    <x v="5"/>
    <s v="2025/04"/>
    <x v="5"/>
    <n v="1"/>
  </r>
  <r>
    <x v="725"/>
    <x v="1"/>
    <x v="5"/>
    <s v="2025/04"/>
    <x v="1"/>
    <s v=""/>
  </r>
  <r>
    <x v="726"/>
    <x v="1"/>
    <x v="0"/>
    <s v="2025/04"/>
    <x v="0"/>
    <n v="1"/>
  </r>
  <r>
    <x v="727"/>
    <x v="1"/>
    <x v="0"/>
    <s v="2025/04"/>
    <x v="1"/>
    <s v=""/>
  </r>
  <r>
    <x v="727"/>
    <x v="1"/>
    <x v="0"/>
    <s v="2025/04"/>
    <x v="1"/>
    <s v=""/>
  </r>
  <r>
    <x v="727"/>
    <x v="1"/>
    <x v="0"/>
    <s v="2025/04"/>
    <x v="1"/>
    <s v=""/>
  </r>
  <r>
    <x v="727"/>
    <x v="1"/>
    <x v="0"/>
    <s v="2025/04"/>
    <x v="1"/>
    <s v=""/>
  </r>
  <r>
    <x v="727"/>
    <x v="1"/>
    <x v="0"/>
    <s v="2025/04"/>
    <x v="1"/>
    <s v=""/>
  </r>
  <r>
    <x v="728"/>
    <x v="1"/>
    <x v="0"/>
    <s v="2025/04"/>
    <x v="0"/>
    <n v="1"/>
  </r>
  <r>
    <x v="728"/>
    <x v="1"/>
    <x v="0"/>
    <s v="2025/04"/>
    <x v="1"/>
    <s v=""/>
  </r>
  <r>
    <x v="728"/>
    <x v="1"/>
    <x v="0"/>
    <s v="2025/04"/>
    <x v="1"/>
    <s v=""/>
  </r>
  <r>
    <x v="728"/>
    <x v="1"/>
    <x v="0"/>
    <s v="2025/04"/>
    <x v="1"/>
    <s v=""/>
  </r>
  <r>
    <x v="729"/>
    <x v="1"/>
    <x v="0"/>
    <s v="2025/04"/>
    <x v="0"/>
    <n v="1"/>
  </r>
  <r>
    <x v="729"/>
    <x v="1"/>
    <x v="0"/>
    <s v="2025/04"/>
    <x v="1"/>
    <s v=""/>
  </r>
  <r>
    <x v="729"/>
    <x v="1"/>
    <x v="0"/>
    <s v="2025/04"/>
    <x v="1"/>
    <s v=""/>
  </r>
  <r>
    <x v="730"/>
    <x v="1"/>
    <x v="0"/>
    <s v="2025/04"/>
    <x v="0"/>
    <n v="1"/>
  </r>
  <r>
    <x v="730"/>
    <x v="1"/>
    <x v="0"/>
    <s v="2025/04"/>
    <x v="1"/>
    <s v=""/>
  </r>
  <r>
    <x v="730"/>
    <x v="1"/>
    <x v="0"/>
    <s v="2025/04"/>
    <x v="1"/>
    <s v=""/>
  </r>
  <r>
    <x v="731"/>
    <x v="1"/>
    <x v="0"/>
    <s v="2025/04"/>
    <x v="0"/>
    <n v="1"/>
  </r>
  <r>
    <x v="731"/>
    <x v="1"/>
    <x v="0"/>
    <s v="2025/04"/>
    <x v="1"/>
    <s v=""/>
  </r>
  <r>
    <x v="731"/>
    <x v="1"/>
    <x v="0"/>
    <s v="2025/04"/>
    <x v="1"/>
    <s v=""/>
  </r>
  <r>
    <x v="732"/>
    <x v="1"/>
    <x v="0"/>
    <s v="2025/04"/>
    <x v="0"/>
    <n v="1"/>
  </r>
  <r>
    <x v="732"/>
    <x v="1"/>
    <x v="0"/>
    <s v="2025/04"/>
    <x v="1"/>
    <s v=""/>
  </r>
  <r>
    <x v="733"/>
    <x v="1"/>
    <x v="0"/>
    <s v="2025/04"/>
    <x v="0"/>
    <n v="1"/>
  </r>
  <r>
    <x v="733"/>
    <x v="1"/>
    <x v="0"/>
    <s v="2025/04"/>
    <x v="1"/>
    <s v=""/>
  </r>
  <r>
    <x v="734"/>
    <x v="1"/>
    <x v="0"/>
    <s v="2025/04"/>
    <x v="0"/>
    <n v="1"/>
  </r>
  <r>
    <x v="734"/>
    <x v="1"/>
    <x v="0"/>
    <s v="2025/04"/>
    <x v="1"/>
    <s v=""/>
  </r>
  <r>
    <x v="735"/>
    <x v="1"/>
    <x v="0"/>
    <s v="2025/04"/>
    <x v="0"/>
    <n v="1"/>
  </r>
  <r>
    <x v="735"/>
    <x v="1"/>
    <x v="0"/>
    <s v="2025/04"/>
    <x v="1"/>
    <s v=""/>
  </r>
  <r>
    <x v="735"/>
    <x v="1"/>
    <x v="0"/>
    <s v="2025/04"/>
    <x v="1"/>
    <s v=""/>
  </r>
  <r>
    <x v="736"/>
    <x v="1"/>
    <x v="0"/>
    <s v="2025/04"/>
    <x v="0"/>
    <n v="1"/>
  </r>
  <r>
    <x v="736"/>
    <x v="1"/>
    <x v="0"/>
    <s v="2025/04"/>
    <x v="1"/>
    <s v=""/>
  </r>
  <r>
    <x v="736"/>
    <x v="1"/>
    <x v="0"/>
    <s v="2025/04"/>
    <x v="1"/>
    <s v=""/>
  </r>
  <r>
    <x v="737"/>
    <x v="1"/>
    <x v="0"/>
    <s v="2025/04"/>
    <x v="0"/>
    <n v="1"/>
  </r>
  <r>
    <x v="737"/>
    <x v="1"/>
    <x v="0"/>
    <s v="2025/04"/>
    <x v="1"/>
    <s v=""/>
  </r>
  <r>
    <x v="737"/>
    <x v="1"/>
    <x v="0"/>
    <s v="2025/04"/>
    <x v="1"/>
    <s v=""/>
  </r>
  <r>
    <x v="738"/>
    <x v="1"/>
    <x v="0"/>
    <s v="2025/04"/>
    <x v="0"/>
    <n v="1"/>
  </r>
  <r>
    <x v="738"/>
    <x v="1"/>
    <x v="0"/>
    <s v="2025/04"/>
    <x v="1"/>
    <s v=""/>
  </r>
  <r>
    <x v="739"/>
    <x v="1"/>
    <x v="0"/>
    <s v="2025/04"/>
    <x v="0"/>
    <n v="1"/>
  </r>
  <r>
    <x v="739"/>
    <x v="1"/>
    <x v="0"/>
    <s v="2025/04"/>
    <x v="1"/>
    <s v=""/>
  </r>
  <r>
    <x v="740"/>
    <x v="1"/>
    <x v="0"/>
    <s v="2025/04"/>
    <x v="0"/>
    <n v="1"/>
  </r>
  <r>
    <x v="740"/>
    <x v="1"/>
    <x v="0"/>
    <s v="2025/04"/>
    <x v="1"/>
    <s v=""/>
  </r>
  <r>
    <x v="740"/>
    <x v="1"/>
    <x v="0"/>
    <s v="2025/04"/>
    <x v="1"/>
    <s v=""/>
  </r>
  <r>
    <x v="741"/>
    <x v="1"/>
    <x v="0"/>
    <s v="2025/04"/>
    <x v="0"/>
    <n v="1"/>
  </r>
  <r>
    <x v="741"/>
    <x v="1"/>
    <x v="0"/>
    <s v="2025/04"/>
    <x v="1"/>
    <s v=""/>
  </r>
  <r>
    <x v="742"/>
    <x v="1"/>
    <x v="0"/>
    <s v="2025/04"/>
    <x v="0"/>
    <n v="1"/>
  </r>
  <r>
    <x v="742"/>
    <x v="1"/>
    <x v="0"/>
    <s v="2025/04"/>
    <x v="1"/>
    <s v=""/>
  </r>
  <r>
    <x v="742"/>
    <x v="1"/>
    <x v="0"/>
    <s v="2025/04"/>
    <x v="1"/>
    <s v=""/>
  </r>
  <r>
    <x v="743"/>
    <x v="1"/>
    <x v="0"/>
    <s v="2025/04"/>
    <x v="0"/>
    <n v="1"/>
  </r>
  <r>
    <x v="743"/>
    <x v="1"/>
    <x v="0"/>
    <s v="2025/04"/>
    <x v="1"/>
    <s v=""/>
  </r>
  <r>
    <x v="744"/>
    <x v="1"/>
    <x v="0"/>
    <s v="2025/04"/>
    <x v="0"/>
    <n v="1"/>
  </r>
  <r>
    <x v="744"/>
    <x v="1"/>
    <x v="0"/>
    <s v="2025/04"/>
    <x v="1"/>
    <s v=""/>
  </r>
  <r>
    <x v="744"/>
    <x v="1"/>
    <x v="0"/>
    <s v="2025/04"/>
    <x v="1"/>
    <s v=""/>
  </r>
  <r>
    <x v="745"/>
    <x v="1"/>
    <x v="0"/>
    <s v="2025/04"/>
    <x v="0"/>
    <n v="1"/>
  </r>
  <r>
    <x v="745"/>
    <x v="1"/>
    <x v="0"/>
    <s v="2025/04"/>
    <x v="1"/>
    <s v=""/>
  </r>
  <r>
    <x v="746"/>
    <x v="1"/>
    <x v="5"/>
    <s v="2025/04"/>
    <x v="5"/>
    <n v="1"/>
  </r>
  <r>
    <x v="747"/>
    <x v="1"/>
    <x v="0"/>
    <s v="2025/04"/>
    <x v="0"/>
    <n v="1"/>
  </r>
  <r>
    <x v="747"/>
    <x v="1"/>
    <x v="0"/>
    <s v="2025/04"/>
    <x v="1"/>
    <s v=""/>
  </r>
  <r>
    <x v="748"/>
    <x v="1"/>
    <x v="0"/>
    <s v="2025/04"/>
    <x v="0"/>
    <n v="1"/>
  </r>
  <r>
    <x v="748"/>
    <x v="1"/>
    <x v="0"/>
    <s v="2025/04"/>
    <x v="1"/>
    <s v=""/>
  </r>
  <r>
    <x v="748"/>
    <x v="1"/>
    <x v="0"/>
    <s v="2025/04"/>
    <x v="1"/>
    <s v=""/>
  </r>
  <r>
    <x v="749"/>
    <x v="1"/>
    <x v="0"/>
    <s v="2025/04"/>
    <x v="0"/>
    <n v="1"/>
  </r>
  <r>
    <x v="749"/>
    <x v="1"/>
    <x v="0"/>
    <s v="2025/04"/>
    <x v="1"/>
    <s v=""/>
  </r>
  <r>
    <x v="749"/>
    <x v="1"/>
    <x v="0"/>
    <s v="2025/04"/>
    <x v="1"/>
    <s v=""/>
  </r>
  <r>
    <x v="750"/>
    <x v="1"/>
    <x v="0"/>
    <s v="2025/04"/>
    <x v="0"/>
    <n v="1"/>
  </r>
  <r>
    <x v="750"/>
    <x v="1"/>
    <x v="0"/>
    <s v="2025/04"/>
    <x v="1"/>
    <s v=""/>
  </r>
  <r>
    <x v="750"/>
    <x v="1"/>
    <x v="0"/>
    <s v="2025/04"/>
    <x v="1"/>
    <s v=""/>
  </r>
  <r>
    <x v="750"/>
    <x v="1"/>
    <x v="0"/>
    <s v="2025/04"/>
    <x v="1"/>
    <s v=""/>
  </r>
  <r>
    <x v="751"/>
    <x v="1"/>
    <x v="0"/>
    <s v="2025/04"/>
    <x v="0"/>
    <n v="1"/>
  </r>
  <r>
    <x v="751"/>
    <x v="1"/>
    <x v="0"/>
    <s v="2025/04"/>
    <x v="1"/>
    <s v=""/>
  </r>
  <r>
    <x v="751"/>
    <x v="1"/>
    <x v="0"/>
    <s v="2025/04"/>
    <x v="1"/>
    <s v=""/>
  </r>
  <r>
    <x v="751"/>
    <x v="1"/>
    <x v="0"/>
    <s v="2025/04"/>
    <x v="1"/>
    <s v=""/>
  </r>
  <r>
    <x v="752"/>
    <x v="1"/>
    <x v="0"/>
    <s v="2025/04"/>
    <x v="0"/>
    <n v="1"/>
  </r>
  <r>
    <x v="752"/>
    <x v="1"/>
    <x v="0"/>
    <s v="2025/04"/>
    <x v="1"/>
    <s v=""/>
  </r>
  <r>
    <x v="753"/>
    <x v="1"/>
    <x v="0"/>
    <s v="2025/04"/>
    <x v="0"/>
    <n v="1"/>
  </r>
  <r>
    <x v="753"/>
    <x v="1"/>
    <x v="0"/>
    <s v="2025/04"/>
    <x v="1"/>
    <s v=""/>
  </r>
  <r>
    <x v="753"/>
    <x v="1"/>
    <x v="0"/>
    <s v="2025/04"/>
    <x v="1"/>
    <s v=""/>
  </r>
  <r>
    <x v="754"/>
    <x v="1"/>
    <x v="0"/>
    <s v="2025/04"/>
    <x v="0"/>
    <n v="1"/>
  </r>
  <r>
    <x v="754"/>
    <x v="1"/>
    <x v="0"/>
    <s v="2025/04"/>
    <x v="1"/>
    <s v=""/>
  </r>
  <r>
    <x v="754"/>
    <x v="1"/>
    <x v="0"/>
    <s v="2025/04"/>
    <x v="1"/>
    <s v=""/>
  </r>
  <r>
    <x v="755"/>
    <x v="1"/>
    <x v="0"/>
    <s v="2025/04"/>
    <x v="0"/>
    <n v="1"/>
  </r>
  <r>
    <x v="755"/>
    <x v="1"/>
    <x v="0"/>
    <s v="2025/04"/>
    <x v="1"/>
    <s v=""/>
  </r>
  <r>
    <x v="755"/>
    <x v="1"/>
    <x v="0"/>
    <s v="2025/04"/>
    <x v="1"/>
    <s v=""/>
  </r>
  <r>
    <x v="755"/>
    <x v="1"/>
    <x v="0"/>
    <s v="2025/04"/>
    <x v="1"/>
    <s v=""/>
  </r>
  <r>
    <x v="756"/>
    <x v="1"/>
    <x v="0"/>
    <s v="2025/04"/>
    <x v="0"/>
    <n v="1"/>
  </r>
  <r>
    <x v="756"/>
    <x v="1"/>
    <x v="0"/>
    <s v="2025/04"/>
    <x v="1"/>
    <s v=""/>
  </r>
  <r>
    <x v="757"/>
    <x v="1"/>
    <x v="0"/>
    <s v="2025/04"/>
    <x v="0"/>
    <n v="1"/>
  </r>
  <r>
    <x v="757"/>
    <x v="1"/>
    <x v="0"/>
    <s v="2025/04"/>
    <x v="1"/>
    <s v=""/>
  </r>
  <r>
    <x v="757"/>
    <x v="1"/>
    <x v="0"/>
    <s v="2025/04"/>
    <x v="1"/>
    <s v=""/>
  </r>
  <r>
    <x v="758"/>
    <x v="1"/>
    <x v="0"/>
    <s v="2025/04"/>
    <x v="0"/>
    <n v="1"/>
  </r>
  <r>
    <x v="758"/>
    <x v="1"/>
    <x v="0"/>
    <s v="2025/04"/>
    <x v="1"/>
    <s v=""/>
  </r>
  <r>
    <x v="759"/>
    <x v="1"/>
    <x v="0"/>
    <s v="2025/04"/>
    <x v="0"/>
    <n v="1"/>
  </r>
  <r>
    <x v="759"/>
    <x v="1"/>
    <x v="0"/>
    <s v="2025/04"/>
    <x v="1"/>
    <s v=""/>
  </r>
  <r>
    <x v="759"/>
    <x v="1"/>
    <x v="0"/>
    <s v="2025/04"/>
    <x v="1"/>
    <s v=""/>
  </r>
  <r>
    <x v="759"/>
    <x v="1"/>
    <x v="0"/>
    <s v="2025/04"/>
    <x v="1"/>
    <s v=""/>
  </r>
  <r>
    <x v="760"/>
    <x v="1"/>
    <x v="0"/>
    <s v="2025/04"/>
    <x v="0"/>
    <n v="1"/>
  </r>
  <r>
    <x v="760"/>
    <x v="1"/>
    <x v="0"/>
    <s v="2025/04"/>
    <x v="1"/>
    <s v=""/>
  </r>
  <r>
    <x v="760"/>
    <x v="1"/>
    <x v="0"/>
    <s v="2025/04"/>
    <x v="1"/>
    <s v=""/>
  </r>
  <r>
    <x v="761"/>
    <x v="1"/>
    <x v="0"/>
    <s v="2025/04"/>
    <x v="0"/>
    <n v="1"/>
  </r>
  <r>
    <x v="761"/>
    <x v="1"/>
    <x v="0"/>
    <s v="2025/04"/>
    <x v="1"/>
    <s v=""/>
  </r>
  <r>
    <x v="762"/>
    <x v="1"/>
    <x v="0"/>
    <s v="2025/04"/>
    <x v="0"/>
    <n v="1"/>
  </r>
  <r>
    <x v="762"/>
    <x v="1"/>
    <x v="0"/>
    <s v="2025/04"/>
    <x v="1"/>
    <s v=""/>
  </r>
  <r>
    <x v="763"/>
    <x v="1"/>
    <x v="0"/>
    <s v="2025/04"/>
    <x v="0"/>
    <n v="1"/>
  </r>
  <r>
    <x v="763"/>
    <x v="1"/>
    <x v="0"/>
    <s v="2025/04"/>
    <x v="1"/>
    <s v=""/>
  </r>
  <r>
    <x v="763"/>
    <x v="1"/>
    <x v="0"/>
    <s v="2025/04"/>
    <x v="1"/>
    <s v=""/>
  </r>
  <r>
    <x v="764"/>
    <x v="1"/>
    <x v="0"/>
    <s v="2025/04"/>
    <x v="0"/>
    <n v="1"/>
  </r>
  <r>
    <x v="764"/>
    <x v="1"/>
    <x v="0"/>
    <s v="2025/04"/>
    <x v="1"/>
    <s v=""/>
  </r>
  <r>
    <x v="764"/>
    <x v="1"/>
    <x v="0"/>
    <s v="2025/04"/>
    <x v="1"/>
    <s v=""/>
  </r>
  <r>
    <x v="765"/>
    <x v="1"/>
    <x v="0"/>
    <s v="2025/04"/>
    <x v="0"/>
    <n v="1"/>
  </r>
  <r>
    <x v="765"/>
    <x v="1"/>
    <x v="0"/>
    <s v="2025/04"/>
    <x v="1"/>
    <s v=""/>
  </r>
  <r>
    <x v="765"/>
    <x v="1"/>
    <x v="0"/>
    <s v="2025/04"/>
    <x v="1"/>
    <s v=""/>
  </r>
  <r>
    <x v="766"/>
    <x v="1"/>
    <x v="0"/>
    <s v="2025/04"/>
    <x v="0"/>
    <n v="1"/>
  </r>
  <r>
    <x v="766"/>
    <x v="1"/>
    <x v="0"/>
    <s v="2025/04"/>
    <x v="1"/>
    <s v=""/>
  </r>
  <r>
    <x v="766"/>
    <x v="1"/>
    <x v="0"/>
    <s v="2025/04"/>
    <x v="1"/>
    <s v=""/>
  </r>
  <r>
    <x v="766"/>
    <x v="1"/>
    <x v="0"/>
    <s v="2025/04"/>
    <x v="1"/>
    <s v=""/>
  </r>
  <r>
    <x v="767"/>
    <x v="1"/>
    <x v="0"/>
    <s v="2025/04"/>
    <x v="0"/>
    <n v="1"/>
  </r>
  <r>
    <x v="767"/>
    <x v="1"/>
    <x v="0"/>
    <s v="2025/04"/>
    <x v="1"/>
    <s v=""/>
  </r>
  <r>
    <x v="767"/>
    <x v="1"/>
    <x v="0"/>
    <s v="2025/04"/>
    <x v="1"/>
    <s v=""/>
  </r>
  <r>
    <x v="768"/>
    <x v="1"/>
    <x v="0"/>
    <s v="2025/04"/>
    <x v="0"/>
    <n v="1"/>
  </r>
  <r>
    <x v="768"/>
    <x v="1"/>
    <x v="0"/>
    <s v="2025/04"/>
    <x v="1"/>
    <s v=""/>
  </r>
  <r>
    <x v="768"/>
    <x v="1"/>
    <x v="0"/>
    <s v="2025/04"/>
    <x v="1"/>
    <s v=""/>
  </r>
  <r>
    <x v="768"/>
    <x v="1"/>
    <x v="0"/>
    <s v="2025/04"/>
    <x v="1"/>
    <s v=""/>
  </r>
  <r>
    <x v="768"/>
    <x v="1"/>
    <x v="0"/>
    <s v="2025/04"/>
    <x v="1"/>
    <s v=""/>
  </r>
  <r>
    <x v="769"/>
    <x v="1"/>
    <x v="0"/>
    <s v="2025/04"/>
    <x v="0"/>
    <n v="1"/>
  </r>
  <r>
    <x v="769"/>
    <x v="1"/>
    <x v="0"/>
    <s v="2025/04"/>
    <x v="1"/>
    <s v=""/>
  </r>
  <r>
    <x v="770"/>
    <x v="1"/>
    <x v="0"/>
    <s v="2025/04"/>
    <x v="0"/>
    <n v="1"/>
  </r>
  <r>
    <x v="770"/>
    <x v="1"/>
    <x v="0"/>
    <s v="2025/04"/>
    <x v="1"/>
    <s v=""/>
  </r>
  <r>
    <x v="770"/>
    <x v="1"/>
    <x v="0"/>
    <s v="2025/04"/>
    <x v="1"/>
    <s v=""/>
  </r>
  <r>
    <x v="771"/>
    <x v="1"/>
    <x v="0"/>
    <s v="2025/04"/>
    <x v="0"/>
    <n v="1"/>
  </r>
  <r>
    <x v="771"/>
    <x v="1"/>
    <x v="0"/>
    <s v="2025/04"/>
    <x v="1"/>
    <s v=""/>
  </r>
  <r>
    <x v="771"/>
    <x v="1"/>
    <x v="0"/>
    <s v="2025/04"/>
    <x v="1"/>
    <s v=""/>
  </r>
  <r>
    <x v="772"/>
    <x v="1"/>
    <x v="0"/>
    <s v="2025/04"/>
    <x v="0"/>
    <n v="1"/>
  </r>
  <r>
    <x v="772"/>
    <x v="1"/>
    <x v="0"/>
    <s v="2025/04"/>
    <x v="1"/>
    <s v=""/>
  </r>
  <r>
    <x v="772"/>
    <x v="1"/>
    <x v="0"/>
    <s v="2025/04"/>
    <x v="1"/>
    <s v=""/>
  </r>
  <r>
    <x v="772"/>
    <x v="1"/>
    <x v="0"/>
    <s v="2025/04"/>
    <x v="1"/>
    <s v=""/>
  </r>
  <r>
    <x v="773"/>
    <x v="1"/>
    <x v="0"/>
    <s v="2025/04"/>
    <x v="0"/>
    <n v="1"/>
  </r>
  <r>
    <x v="773"/>
    <x v="1"/>
    <x v="0"/>
    <s v="2025/04"/>
    <x v="1"/>
    <s v=""/>
  </r>
  <r>
    <x v="773"/>
    <x v="1"/>
    <x v="0"/>
    <s v="2025/04"/>
    <x v="1"/>
    <s v=""/>
  </r>
  <r>
    <x v="773"/>
    <x v="1"/>
    <x v="0"/>
    <s v="2025/04"/>
    <x v="1"/>
    <s v=""/>
  </r>
  <r>
    <x v="773"/>
    <x v="1"/>
    <x v="0"/>
    <s v="2025/04"/>
    <x v="1"/>
    <s v=""/>
  </r>
  <r>
    <x v="774"/>
    <x v="1"/>
    <x v="0"/>
    <s v="2025/04"/>
    <x v="0"/>
    <n v="1"/>
  </r>
  <r>
    <x v="774"/>
    <x v="1"/>
    <x v="0"/>
    <s v="2025/04"/>
    <x v="1"/>
    <s v=""/>
  </r>
  <r>
    <x v="774"/>
    <x v="1"/>
    <x v="0"/>
    <s v="2025/04"/>
    <x v="1"/>
    <s v=""/>
  </r>
  <r>
    <x v="775"/>
    <x v="1"/>
    <x v="0"/>
    <s v="2025/04"/>
    <x v="0"/>
    <n v="1"/>
  </r>
  <r>
    <x v="775"/>
    <x v="1"/>
    <x v="0"/>
    <s v="2025/04"/>
    <x v="1"/>
    <s v=""/>
  </r>
  <r>
    <x v="775"/>
    <x v="1"/>
    <x v="0"/>
    <s v="2025/04"/>
    <x v="1"/>
    <s v=""/>
  </r>
  <r>
    <x v="775"/>
    <x v="1"/>
    <x v="0"/>
    <s v="2025/04"/>
    <x v="1"/>
    <s v=""/>
  </r>
  <r>
    <x v="776"/>
    <x v="1"/>
    <x v="0"/>
    <s v="2025/04"/>
    <x v="0"/>
    <n v="1"/>
  </r>
  <r>
    <x v="776"/>
    <x v="1"/>
    <x v="0"/>
    <s v="2025/04"/>
    <x v="1"/>
    <s v=""/>
  </r>
  <r>
    <x v="776"/>
    <x v="1"/>
    <x v="0"/>
    <s v="2025/04"/>
    <x v="1"/>
    <s v=""/>
  </r>
  <r>
    <x v="777"/>
    <x v="1"/>
    <x v="0"/>
    <s v="2025/04"/>
    <x v="0"/>
    <n v="1"/>
  </r>
  <r>
    <x v="777"/>
    <x v="1"/>
    <x v="0"/>
    <s v="2025/04"/>
    <x v="1"/>
    <s v=""/>
  </r>
  <r>
    <x v="777"/>
    <x v="1"/>
    <x v="0"/>
    <s v="2025/04"/>
    <x v="1"/>
    <s v=""/>
  </r>
  <r>
    <x v="778"/>
    <x v="1"/>
    <x v="0"/>
    <s v="2025/04"/>
    <x v="0"/>
    <n v="1"/>
  </r>
  <r>
    <x v="779"/>
    <x v="1"/>
    <x v="0"/>
    <s v="2025/04"/>
    <x v="1"/>
    <s v=""/>
  </r>
  <r>
    <x v="779"/>
    <x v="1"/>
    <x v="0"/>
    <s v="2025/04"/>
    <x v="1"/>
    <s v=""/>
  </r>
  <r>
    <x v="779"/>
    <x v="1"/>
    <x v="0"/>
    <s v="2025/04"/>
    <x v="1"/>
    <s v=""/>
  </r>
  <r>
    <x v="780"/>
    <x v="1"/>
    <x v="0"/>
    <s v="2025/04"/>
    <x v="0"/>
    <n v="1"/>
  </r>
  <r>
    <x v="780"/>
    <x v="1"/>
    <x v="0"/>
    <s v="2025/04"/>
    <x v="1"/>
    <s v=""/>
  </r>
  <r>
    <x v="780"/>
    <x v="1"/>
    <x v="0"/>
    <s v="2025/04"/>
    <x v="1"/>
    <s v=""/>
  </r>
  <r>
    <x v="781"/>
    <x v="1"/>
    <x v="0"/>
    <s v="2025/04"/>
    <x v="0"/>
    <n v="1"/>
  </r>
  <r>
    <x v="781"/>
    <x v="1"/>
    <x v="0"/>
    <s v="2025/04"/>
    <x v="1"/>
    <s v=""/>
  </r>
  <r>
    <x v="781"/>
    <x v="1"/>
    <x v="0"/>
    <s v="2025/04"/>
    <x v="1"/>
    <s v=""/>
  </r>
  <r>
    <x v="781"/>
    <x v="1"/>
    <x v="0"/>
    <s v="2025/04"/>
    <x v="1"/>
    <s v=""/>
  </r>
  <r>
    <x v="782"/>
    <x v="1"/>
    <x v="0"/>
    <s v="2025/04"/>
    <x v="0"/>
    <n v="1"/>
  </r>
  <r>
    <x v="782"/>
    <x v="1"/>
    <x v="0"/>
    <s v="2025/04"/>
    <x v="1"/>
    <s v=""/>
  </r>
  <r>
    <x v="782"/>
    <x v="1"/>
    <x v="0"/>
    <s v="2025/04"/>
    <x v="1"/>
    <s v=""/>
  </r>
  <r>
    <x v="783"/>
    <x v="1"/>
    <x v="0"/>
    <s v="2025/04"/>
    <x v="0"/>
    <n v="1"/>
  </r>
  <r>
    <x v="783"/>
    <x v="1"/>
    <x v="0"/>
    <s v="2025/04"/>
    <x v="1"/>
    <s v=""/>
  </r>
  <r>
    <x v="783"/>
    <x v="1"/>
    <x v="0"/>
    <s v="2025/04"/>
    <x v="1"/>
    <s v=""/>
  </r>
  <r>
    <x v="784"/>
    <x v="1"/>
    <x v="0"/>
    <s v="2025/04"/>
    <x v="0"/>
    <n v="1"/>
  </r>
  <r>
    <x v="784"/>
    <x v="1"/>
    <x v="0"/>
    <s v="2025/04"/>
    <x v="1"/>
    <s v=""/>
  </r>
  <r>
    <x v="784"/>
    <x v="1"/>
    <x v="0"/>
    <s v="2025/04"/>
    <x v="1"/>
    <s v=""/>
  </r>
  <r>
    <x v="784"/>
    <x v="1"/>
    <x v="0"/>
    <s v="2025/04"/>
    <x v="1"/>
    <s v=""/>
  </r>
  <r>
    <x v="785"/>
    <x v="1"/>
    <x v="0"/>
    <s v="2025/04"/>
    <x v="0"/>
    <n v="1"/>
  </r>
  <r>
    <x v="785"/>
    <x v="1"/>
    <x v="0"/>
    <s v="2025/04"/>
    <x v="1"/>
    <s v=""/>
  </r>
  <r>
    <x v="785"/>
    <x v="1"/>
    <x v="0"/>
    <s v="2025/04"/>
    <x v="1"/>
    <s v=""/>
  </r>
  <r>
    <x v="785"/>
    <x v="1"/>
    <x v="0"/>
    <s v="2025/04"/>
    <x v="1"/>
    <s v=""/>
  </r>
  <r>
    <x v="786"/>
    <x v="1"/>
    <x v="0"/>
    <s v="2025/04"/>
    <x v="0"/>
    <n v="1"/>
  </r>
  <r>
    <x v="786"/>
    <x v="1"/>
    <x v="0"/>
    <s v="2025/04"/>
    <x v="1"/>
    <s v=""/>
  </r>
  <r>
    <x v="787"/>
    <x v="1"/>
    <x v="0"/>
    <s v="2025/04"/>
    <x v="0"/>
    <n v="1"/>
  </r>
  <r>
    <x v="787"/>
    <x v="1"/>
    <x v="0"/>
    <s v="2025/04"/>
    <x v="1"/>
    <s v=""/>
  </r>
  <r>
    <x v="788"/>
    <x v="1"/>
    <x v="0"/>
    <s v="2025/04"/>
    <x v="0"/>
    <n v="1"/>
  </r>
  <r>
    <x v="788"/>
    <x v="1"/>
    <x v="0"/>
    <s v="2025/04"/>
    <x v="1"/>
    <s v=""/>
  </r>
  <r>
    <x v="789"/>
    <x v="1"/>
    <x v="0"/>
    <s v="2025/04"/>
    <x v="0"/>
    <n v="1"/>
  </r>
  <r>
    <x v="789"/>
    <x v="1"/>
    <x v="0"/>
    <s v="2025/04"/>
    <x v="1"/>
    <s v=""/>
  </r>
  <r>
    <x v="789"/>
    <x v="1"/>
    <x v="0"/>
    <s v="2025/04"/>
    <x v="1"/>
    <s v=""/>
  </r>
  <r>
    <x v="790"/>
    <x v="1"/>
    <x v="0"/>
    <s v="2025/04"/>
    <x v="0"/>
    <n v="1"/>
  </r>
  <r>
    <x v="790"/>
    <x v="1"/>
    <x v="0"/>
    <s v="2025/04"/>
    <x v="1"/>
    <s v=""/>
  </r>
  <r>
    <x v="790"/>
    <x v="1"/>
    <x v="0"/>
    <s v="2025/04"/>
    <x v="1"/>
    <s v=""/>
  </r>
  <r>
    <x v="791"/>
    <x v="1"/>
    <x v="0"/>
    <s v="2025/04"/>
    <x v="0"/>
    <n v="1"/>
  </r>
  <r>
    <x v="791"/>
    <x v="1"/>
    <x v="0"/>
    <s v="2025/04"/>
    <x v="1"/>
    <s v=""/>
  </r>
  <r>
    <x v="791"/>
    <x v="1"/>
    <x v="0"/>
    <s v="2025/04"/>
    <x v="1"/>
    <s v=""/>
  </r>
  <r>
    <x v="791"/>
    <x v="1"/>
    <x v="0"/>
    <s v="2025/04"/>
    <x v="1"/>
    <s v=""/>
  </r>
  <r>
    <x v="791"/>
    <x v="1"/>
    <x v="0"/>
    <s v="2025/04"/>
    <x v="1"/>
    <s v=""/>
  </r>
  <r>
    <x v="792"/>
    <x v="1"/>
    <x v="0"/>
    <s v="2025/04"/>
    <x v="0"/>
    <n v="1"/>
  </r>
  <r>
    <x v="792"/>
    <x v="1"/>
    <x v="0"/>
    <s v="2025/04"/>
    <x v="1"/>
    <s v=""/>
  </r>
  <r>
    <x v="793"/>
    <x v="1"/>
    <x v="0"/>
    <s v="2025/04"/>
    <x v="0"/>
    <n v="1"/>
  </r>
  <r>
    <x v="793"/>
    <x v="1"/>
    <x v="0"/>
    <s v="2025/04"/>
    <x v="1"/>
    <s v=""/>
  </r>
  <r>
    <x v="793"/>
    <x v="1"/>
    <x v="0"/>
    <s v="2025/04"/>
    <x v="1"/>
    <s v=""/>
  </r>
  <r>
    <x v="793"/>
    <x v="1"/>
    <x v="0"/>
    <s v="2025/04"/>
    <x v="1"/>
    <s v=""/>
  </r>
  <r>
    <x v="793"/>
    <x v="1"/>
    <x v="0"/>
    <s v="2025/04"/>
    <x v="1"/>
    <s v=""/>
  </r>
  <r>
    <x v="793"/>
    <x v="1"/>
    <x v="0"/>
    <s v="2025/04"/>
    <x v="1"/>
    <s v=""/>
  </r>
  <r>
    <x v="794"/>
    <x v="1"/>
    <x v="0"/>
    <s v="2025/04"/>
    <x v="0"/>
    <n v="1"/>
  </r>
  <r>
    <x v="794"/>
    <x v="1"/>
    <x v="0"/>
    <s v="2025/04"/>
    <x v="1"/>
    <s v=""/>
  </r>
  <r>
    <x v="795"/>
    <x v="1"/>
    <x v="0"/>
    <s v="2025/04"/>
    <x v="0"/>
    <n v="1"/>
  </r>
  <r>
    <x v="795"/>
    <x v="1"/>
    <x v="0"/>
    <s v="2025/04"/>
    <x v="1"/>
    <s v=""/>
  </r>
  <r>
    <x v="796"/>
    <x v="1"/>
    <x v="0"/>
    <s v="2025/04"/>
    <x v="0"/>
    <n v="1"/>
  </r>
  <r>
    <x v="796"/>
    <x v="1"/>
    <x v="0"/>
    <s v="2025/04"/>
    <x v="1"/>
    <s v=""/>
  </r>
  <r>
    <x v="796"/>
    <x v="1"/>
    <x v="0"/>
    <s v="2025/04"/>
    <x v="1"/>
    <s v=""/>
  </r>
  <r>
    <x v="796"/>
    <x v="1"/>
    <x v="0"/>
    <s v="2025/04"/>
    <x v="1"/>
    <s v=""/>
  </r>
  <r>
    <x v="797"/>
    <x v="1"/>
    <x v="0"/>
    <s v="2025/04"/>
    <x v="0"/>
    <n v="1"/>
  </r>
  <r>
    <x v="797"/>
    <x v="1"/>
    <x v="0"/>
    <s v="2025/04"/>
    <x v="1"/>
    <s v=""/>
  </r>
  <r>
    <x v="797"/>
    <x v="1"/>
    <x v="0"/>
    <s v="2025/04"/>
    <x v="1"/>
    <s v=""/>
  </r>
  <r>
    <x v="798"/>
    <x v="1"/>
    <x v="0"/>
    <s v="2025/04"/>
    <x v="0"/>
    <n v="1"/>
  </r>
  <r>
    <x v="798"/>
    <x v="1"/>
    <x v="0"/>
    <s v="2025/04"/>
    <x v="1"/>
    <s v=""/>
  </r>
  <r>
    <x v="798"/>
    <x v="1"/>
    <x v="0"/>
    <s v="2025/04"/>
    <x v="1"/>
    <s v=""/>
  </r>
  <r>
    <x v="799"/>
    <x v="1"/>
    <x v="0"/>
    <s v="2025/04"/>
    <x v="0"/>
    <n v="1"/>
  </r>
  <r>
    <x v="799"/>
    <x v="1"/>
    <x v="0"/>
    <s v="2025/04"/>
    <x v="1"/>
    <s v=""/>
  </r>
  <r>
    <x v="799"/>
    <x v="1"/>
    <x v="0"/>
    <s v="2025/04"/>
    <x v="1"/>
    <s v=""/>
  </r>
  <r>
    <x v="800"/>
    <x v="1"/>
    <x v="0"/>
    <s v="2025/04"/>
    <x v="0"/>
    <n v="1"/>
  </r>
  <r>
    <x v="800"/>
    <x v="1"/>
    <x v="0"/>
    <s v="2025/04"/>
    <x v="1"/>
    <s v=""/>
  </r>
  <r>
    <x v="801"/>
    <x v="1"/>
    <x v="0"/>
    <s v="2025/04"/>
    <x v="0"/>
    <n v="1"/>
  </r>
  <r>
    <x v="801"/>
    <x v="1"/>
    <x v="0"/>
    <s v="2025/04"/>
    <x v="1"/>
    <s v=""/>
  </r>
  <r>
    <x v="801"/>
    <x v="1"/>
    <x v="0"/>
    <s v="2025/04"/>
    <x v="1"/>
    <s v=""/>
  </r>
  <r>
    <x v="802"/>
    <x v="1"/>
    <x v="0"/>
    <s v="2025/04"/>
    <x v="0"/>
    <n v="1"/>
  </r>
  <r>
    <x v="802"/>
    <x v="1"/>
    <x v="0"/>
    <s v="2025/04"/>
    <x v="1"/>
    <s v=""/>
  </r>
  <r>
    <x v="803"/>
    <x v="1"/>
    <x v="0"/>
    <s v="2025/04"/>
    <x v="0"/>
    <n v="1"/>
  </r>
  <r>
    <x v="803"/>
    <x v="1"/>
    <x v="0"/>
    <s v="2025/04"/>
    <x v="1"/>
    <s v=""/>
  </r>
  <r>
    <x v="803"/>
    <x v="1"/>
    <x v="0"/>
    <s v="2025/04"/>
    <x v="1"/>
    <s v=""/>
  </r>
  <r>
    <x v="803"/>
    <x v="1"/>
    <x v="0"/>
    <s v="2025/04"/>
    <x v="1"/>
    <s v=""/>
  </r>
  <r>
    <x v="804"/>
    <x v="1"/>
    <x v="0"/>
    <s v="2025/04"/>
    <x v="0"/>
    <n v="1"/>
  </r>
  <r>
    <x v="804"/>
    <x v="1"/>
    <x v="0"/>
    <s v="2025/04"/>
    <x v="1"/>
    <s v=""/>
  </r>
  <r>
    <x v="804"/>
    <x v="1"/>
    <x v="0"/>
    <s v="2025/04"/>
    <x v="1"/>
    <s v=""/>
  </r>
  <r>
    <x v="805"/>
    <x v="1"/>
    <x v="0"/>
    <s v="2025/04"/>
    <x v="0"/>
    <n v="1"/>
  </r>
  <r>
    <x v="805"/>
    <x v="1"/>
    <x v="0"/>
    <s v="2025/04"/>
    <x v="1"/>
    <s v=""/>
  </r>
  <r>
    <x v="806"/>
    <x v="1"/>
    <x v="0"/>
    <s v="2025/04"/>
    <x v="0"/>
    <n v="1"/>
  </r>
  <r>
    <x v="806"/>
    <x v="1"/>
    <x v="0"/>
    <s v="2025/04"/>
    <x v="1"/>
    <s v=""/>
  </r>
  <r>
    <x v="806"/>
    <x v="1"/>
    <x v="0"/>
    <s v="2025/04"/>
    <x v="1"/>
    <s v=""/>
  </r>
  <r>
    <x v="807"/>
    <x v="1"/>
    <x v="0"/>
    <s v="2025/04"/>
    <x v="0"/>
    <n v="1"/>
  </r>
  <r>
    <x v="807"/>
    <x v="1"/>
    <x v="0"/>
    <s v="2025/04"/>
    <x v="1"/>
    <s v=""/>
  </r>
  <r>
    <x v="807"/>
    <x v="1"/>
    <x v="0"/>
    <s v="2025/04"/>
    <x v="1"/>
    <s v=""/>
  </r>
  <r>
    <x v="808"/>
    <x v="1"/>
    <x v="0"/>
    <s v="2025/04"/>
    <x v="0"/>
    <n v="1"/>
  </r>
  <r>
    <x v="808"/>
    <x v="1"/>
    <x v="0"/>
    <s v="2025/04"/>
    <x v="1"/>
    <s v=""/>
  </r>
  <r>
    <x v="809"/>
    <x v="1"/>
    <x v="0"/>
    <s v="2025/04"/>
    <x v="0"/>
    <n v="1"/>
  </r>
  <r>
    <x v="809"/>
    <x v="1"/>
    <x v="0"/>
    <s v="2025/04"/>
    <x v="1"/>
    <s v=""/>
  </r>
  <r>
    <x v="809"/>
    <x v="1"/>
    <x v="0"/>
    <s v="2025/04"/>
    <x v="1"/>
    <s v=""/>
  </r>
  <r>
    <x v="809"/>
    <x v="1"/>
    <x v="0"/>
    <s v="2025/04"/>
    <x v="1"/>
    <s v=""/>
  </r>
  <r>
    <x v="809"/>
    <x v="1"/>
    <x v="0"/>
    <s v="2025/04"/>
    <x v="1"/>
    <s v=""/>
  </r>
  <r>
    <x v="810"/>
    <x v="1"/>
    <x v="0"/>
    <s v="2025/04"/>
    <x v="0"/>
    <n v="1"/>
  </r>
  <r>
    <x v="810"/>
    <x v="1"/>
    <x v="0"/>
    <s v="2025/04"/>
    <x v="1"/>
    <s v=""/>
  </r>
  <r>
    <x v="810"/>
    <x v="1"/>
    <x v="0"/>
    <s v="2025/04"/>
    <x v="1"/>
    <s v=""/>
  </r>
  <r>
    <x v="811"/>
    <x v="1"/>
    <x v="0"/>
    <s v="2025/04"/>
    <x v="0"/>
    <n v="1"/>
  </r>
  <r>
    <x v="811"/>
    <x v="1"/>
    <x v="0"/>
    <s v="2025/04"/>
    <x v="1"/>
    <s v=""/>
  </r>
  <r>
    <x v="811"/>
    <x v="1"/>
    <x v="0"/>
    <s v="2025/04"/>
    <x v="1"/>
    <s v=""/>
  </r>
  <r>
    <x v="812"/>
    <x v="1"/>
    <x v="0"/>
    <s v="2025/04"/>
    <x v="0"/>
    <n v="1"/>
  </r>
  <r>
    <x v="812"/>
    <x v="1"/>
    <x v="0"/>
    <s v="2025/04"/>
    <x v="1"/>
    <s v=""/>
  </r>
  <r>
    <x v="813"/>
    <x v="1"/>
    <x v="0"/>
    <s v="2025/04"/>
    <x v="0"/>
    <n v="1"/>
  </r>
  <r>
    <x v="813"/>
    <x v="1"/>
    <x v="0"/>
    <s v="2025/04"/>
    <x v="1"/>
    <s v=""/>
  </r>
  <r>
    <x v="813"/>
    <x v="1"/>
    <x v="0"/>
    <s v="2025/04"/>
    <x v="1"/>
    <s v=""/>
  </r>
  <r>
    <x v="814"/>
    <x v="1"/>
    <x v="0"/>
    <s v="2025/04"/>
    <x v="0"/>
    <n v="1"/>
  </r>
  <r>
    <x v="814"/>
    <x v="1"/>
    <x v="0"/>
    <s v="2025/04"/>
    <x v="1"/>
    <s v=""/>
  </r>
  <r>
    <x v="815"/>
    <x v="1"/>
    <x v="0"/>
    <s v="2025/05"/>
    <x v="0"/>
    <n v="1"/>
  </r>
  <r>
    <x v="815"/>
    <x v="1"/>
    <x v="0"/>
    <s v="2025/05"/>
    <x v="1"/>
    <s v=""/>
  </r>
  <r>
    <x v="815"/>
    <x v="1"/>
    <x v="0"/>
    <s v="2025/05"/>
    <x v="1"/>
    <s v=""/>
  </r>
  <r>
    <x v="816"/>
    <x v="1"/>
    <x v="0"/>
    <s v="2025/05"/>
    <x v="0"/>
    <n v="1"/>
  </r>
  <r>
    <x v="816"/>
    <x v="1"/>
    <x v="0"/>
    <s v="2025/05"/>
    <x v="1"/>
    <s v=""/>
  </r>
  <r>
    <x v="816"/>
    <x v="1"/>
    <x v="0"/>
    <s v="2025/05"/>
    <x v="1"/>
    <s v=""/>
  </r>
  <r>
    <x v="816"/>
    <x v="1"/>
    <x v="0"/>
    <s v="2025/05"/>
    <x v="1"/>
    <s v=""/>
  </r>
  <r>
    <x v="817"/>
    <x v="1"/>
    <x v="0"/>
    <s v="2025/05"/>
    <x v="0"/>
    <n v="1"/>
  </r>
  <r>
    <x v="817"/>
    <x v="1"/>
    <x v="0"/>
    <s v="2025/05"/>
    <x v="1"/>
    <s v=""/>
  </r>
  <r>
    <x v="818"/>
    <x v="1"/>
    <x v="0"/>
    <s v="2025/05"/>
    <x v="0"/>
    <n v="1"/>
  </r>
  <r>
    <x v="818"/>
    <x v="1"/>
    <x v="0"/>
    <s v="2025/05"/>
    <x v="1"/>
    <s v=""/>
  </r>
  <r>
    <x v="818"/>
    <x v="1"/>
    <x v="0"/>
    <s v="2025/05"/>
    <x v="1"/>
    <s v=""/>
  </r>
  <r>
    <x v="818"/>
    <x v="1"/>
    <x v="0"/>
    <s v="2025/05"/>
    <x v="1"/>
    <s v=""/>
  </r>
  <r>
    <x v="819"/>
    <x v="1"/>
    <x v="0"/>
    <s v="2025/05"/>
    <x v="0"/>
    <n v="1"/>
  </r>
  <r>
    <x v="819"/>
    <x v="1"/>
    <x v="0"/>
    <s v="2025/05"/>
    <x v="1"/>
    <s v=""/>
  </r>
  <r>
    <x v="819"/>
    <x v="1"/>
    <x v="0"/>
    <s v="2025/05"/>
    <x v="1"/>
    <s v=""/>
  </r>
  <r>
    <x v="819"/>
    <x v="1"/>
    <x v="0"/>
    <s v="2025/05"/>
    <x v="1"/>
    <s v=""/>
  </r>
  <r>
    <x v="819"/>
    <x v="1"/>
    <x v="0"/>
    <s v="2025/05"/>
    <x v="1"/>
    <s v=""/>
  </r>
  <r>
    <x v="820"/>
    <x v="1"/>
    <x v="0"/>
    <s v="2025/05"/>
    <x v="0"/>
    <n v="1"/>
  </r>
  <r>
    <x v="820"/>
    <x v="1"/>
    <x v="0"/>
    <s v="2025/05"/>
    <x v="1"/>
    <s v=""/>
  </r>
  <r>
    <x v="820"/>
    <x v="1"/>
    <x v="0"/>
    <s v="2025/05"/>
    <x v="1"/>
    <s v=""/>
  </r>
  <r>
    <x v="820"/>
    <x v="1"/>
    <x v="0"/>
    <s v="2025/05"/>
    <x v="1"/>
    <s v=""/>
  </r>
  <r>
    <x v="820"/>
    <x v="1"/>
    <x v="0"/>
    <s v="2025/05"/>
    <x v="1"/>
    <s v=""/>
  </r>
  <r>
    <x v="821"/>
    <x v="1"/>
    <x v="0"/>
    <s v="2025/05"/>
    <x v="0"/>
    <n v="1"/>
  </r>
  <r>
    <x v="821"/>
    <x v="1"/>
    <x v="0"/>
    <s v="2025/05"/>
    <x v="1"/>
    <s v=""/>
  </r>
  <r>
    <x v="821"/>
    <x v="1"/>
    <x v="0"/>
    <s v="2025/05"/>
    <x v="1"/>
    <s v=""/>
  </r>
  <r>
    <x v="822"/>
    <x v="1"/>
    <x v="0"/>
    <s v="2025/05"/>
    <x v="0"/>
    <n v="1"/>
  </r>
  <r>
    <x v="822"/>
    <x v="1"/>
    <x v="0"/>
    <s v="2025/05"/>
    <x v="1"/>
    <s v=""/>
  </r>
  <r>
    <x v="822"/>
    <x v="1"/>
    <x v="0"/>
    <s v="2025/05"/>
    <x v="1"/>
    <s v=""/>
  </r>
  <r>
    <x v="823"/>
    <x v="1"/>
    <x v="0"/>
    <s v="2025/05"/>
    <x v="0"/>
    <n v="1"/>
  </r>
  <r>
    <x v="823"/>
    <x v="1"/>
    <x v="0"/>
    <s v="2025/05"/>
    <x v="1"/>
    <s v=""/>
  </r>
  <r>
    <x v="823"/>
    <x v="1"/>
    <x v="0"/>
    <s v="2025/05"/>
    <x v="1"/>
    <s v=""/>
  </r>
  <r>
    <x v="823"/>
    <x v="1"/>
    <x v="0"/>
    <s v="2025/05"/>
    <x v="1"/>
    <s v=""/>
  </r>
  <r>
    <x v="824"/>
    <x v="1"/>
    <x v="0"/>
    <s v="2025/05"/>
    <x v="0"/>
    <n v="1"/>
  </r>
  <r>
    <x v="824"/>
    <x v="1"/>
    <x v="0"/>
    <s v="2025/05"/>
    <x v="1"/>
    <s v=""/>
  </r>
  <r>
    <x v="824"/>
    <x v="1"/>
    <x v="0"/>
    <s v="2025/05"/>
    <x v="1"/>
    <s v=""/>
  </r>
  <r>
    <x v="825"/>
    <x v="1"/>
    <x v="0"/>
    <s v="2025/05"/>
    <x v="0"/>
    <n v="1"/>
  </r>
  <r>
    <x v="825"/>
    <x v="1"/>
    <x v="0"/>
    <s v="2025/05"/>
    <x v="1"/>
    <s v=""/>
  </r>
  <r>
    <x v="826"/>
    <x v="1"/>
    <x v="0"/>
    <s v="2025/05"/>
    <x v="0"/>
    <n v="1"/>
  </r>
  <r>
    <x v="826"/>
    <x v="1"/>
    <x v="0"/>
    <s v="2025/05"/>
    <x v="1"/>
    <s v=""/>
  </r>
  <r>
    <x v="827"/>
    <x v="1"/>
    <x v="0"/>
    <s v="2025/05"/>
    <x v="0"/>
    <n v="1"/>
  </r>
  <r>
    <x v="827"/>
    <x v="1"/>
    <x v="0"/>
    <s v="2025/05"/>
    <x v="1"/>
    <s v=""/>
  </r>
  <r>
    <x v="827"/>
    <x v="1"/>
    <x v="0"/>
    <s v="2025/05"/>
    <x v="1"/>
    <s v=""/>
  </r>
  <r>
    <x v="828"/>
    <x v="1"/>
    <x v="0"/>
    <s v="2025/05"/>
    <x v="0"/>
    <n v="1"/>
  </r>
  <r>
    <x v="828"/>
    <x v="1"/>
    <x v="0"/>
    <s v="2025/05"/>
    <x v="1"/>
    <s v=""/>
  </r>
  <r>
    <x v="828"/>
    <x v="1"/>
    <x v="0"/>
    <s v="2025/05"/>
    <x v="1"/>
    <s v=""/>
  </r>
  <r>
    <x v="829"/>
    <x v="1"/>
    <x v="0"/>
    <s v="2025/05"/>
    <x v="0"/>
    <n v="1"/>
  </r>
  <r>
    <x v="829"/>
    <x v="1"/>
    <x v="0"/>
    <s v="2025/05"/>
    <x v="1"/>
    <s v=""/>
  </r>
  <r>
    <x v="830"/>
    <x v="1"/>
    <x v="0"/>
    <s v="2025/05"/>
    <x v="0"/>
    <n v="1"/>
  </r>
  <r>
    <x v="830"/>
    <x v="1"/>
    <x v="0"/>
    <s v="2025/05"/>
    <x v="1"/>
    <s v=""/>
  </r>
  <r>
    <x v="831"/>
    <x v="1"/>
    <x v="0"/>
    <s v="2025/05"/>
    <x v="0"/>
    <n v="1"/>
  </r>
  <r>
    <x v="831"/>
    <x v="1"/>
    <x v="0"/>
    <s v="2025/05"/>
    <x v="1"/>
    <s v=""/>
  </r>
  <r>
    <x v="831"/>
    <x v="1"/>
    <x v="0"/>
    <s v="2025/05"/>
    <x v="1"/>
    <s v=""/>
  </r>
  <r>
    <x v="831"/>
    <x v="1"/>
    <x v="0"/>
    <s v="2025/05"/>
    <x v="1"/>
    <s v=""/>
  </r>
  <r>
    <x v="832"/>
    <x v="1"/>
    <x v="0"/>
    <s v="2025/05"/>
    <x v="0"/>
    <n v="1"/>
  </r>
  <r>
    <x v="832"/>
    <x v="1"/>
    <x v="0"/>
    <s v="2025/05"/>
    <x v="1"/>
    <s v=""/>
  </r>
  <r>
    <x v="832"/>
    <x v="1"/>
    <x v="0"/>
    <s v="2025/05"/>
    <x v="1"/>
    <s v=""/>
  </r>
  <r>
    <x v="833"/>
    <x v="1"/>
    <x v="0"/>
    <s v="2025/05"/>
    <x v="0"/>
    <n v="1"/>
  </r>
  <r>
    <x v="833"/>
    <x v="1"/>
    <x v="0"/>
    <s v="2025/05"/>
    <x v="1"/>
    <s v=""/>
  </r>
  <r>
    <x v="833"/>
    <x v="1"/>
    <x v="0"/>
    <s v="2025/05"/>
    <x v="1"/>
    <s v=""/>
  </r>
  <r>
    <x v="833"/>
    <x v="1"/>
    <x v="0"/>
    <s v="2025/05"/>
    <x v="1"/>
    <s v=""/>
  </r>
  <r>
    <x v="834"/>
    <x v="1"/>
    <x v="0"/>
    <s v="2025/05"/>
    <x v="0"/>
    <n v="1"/>
  </r>
  <r>
    <x v="834"/>
    <x v="1"/>
    <x v="0"/>
    <s v="2025/05"/>
    <x v="1"/>
    <s v=""/>
  </r>
  <r>
    <x v="835"/>
    <x v="1"/>
    <x v="0"/>
    <s v="2025/05"/>
    <x v="0"/>
    <n v="1"/>
  </r>
  <r>
    <x v="835"/>
    <x v="1"/>
    <x v="0"/>
    <s v="2025/05"/>
    <x v="1"/>
    <s v=""/>
  </r>
  <r>
    <x v="835"/>
    <x v="1"/>
    <x v="0"/>
    <s v="2025/05"/>
    <x v="1"/>
    <s v=""/>
  </r>
  <r>
    <x v="836"/>
    <x v="1"/>
    <x v="5"/>
    <s v="2025/05"/>
    <x v="5"/>
    <n v="1"/>
  </r>
  <r>
    <x v="836"/>
    <x v="1"/>
    <x v="5"/>
    <s v="2025/05"/>
    <x v="1"/>
    <s v=""/>
  </r>
  <r>
    <x v="837"/>
    <x v="1"/>
    <x v="0"/>
    <s v="2025/05"/>
    <x v="0"/>
    <n v="1"/>
  </r>
  <r>
    <x v="837"/>
    <x v="1"/>
    <x v="0"/>
    <s v="2025/05"/>
    <x v="1"/>
    <s v=""/>
  </r>
  <r>
    <x v="837"/>
    <x v="1"/>
    <x v="0"/>
    <s v="2025/05"/>
    <x v="1"/>
    <s v=""/>
  </r>
  <r>
    <x v="837"/>
    <x v="1"/>
    <x v="0"/>
    <s v="2025/05"/>
    <x v="1"/>
    <s v=""/>
  </r>
  <r>
    <x v="838"/>
    <x v="1"/>
    <x v="0"/>
    <s v="2025/05"/>
    <x v="0"/>
    <n v="1"/>
  </r>
  <r>
    <x v="838"/>
    <x v="1"/>
    <x v="0"/>
    <s v="2025/05"/>
    <x v="1"/>
    <s v=""/>
  </r>
  <r>
    <x v="839"/>
    <x v="1"/>
    <x v="3"/>
    <s v="2025/05"/>
    <x v="4"/>
    <n v="1"/>
  </r>
  <r>
    <x v="840"/>
    <x v="1"/>
    <x v="0"/>
    <s v="2025/05"/>
    <x v="0"/>
    <n v="1"/>
  </r>
  <r>
    <x v="840"/>
    <x v="1"/>
    <x v="0"/>
    <s v="2025/05"/>
    <x v="1"/>
    <s v=""/>
  </r>
  <r>
    <x v="840"/>
    <x v="1"/>
    <x v="0"/>
    <s v="2025/05"/>
    <x v="1"/>
    <s v=""/>
  </r>
  <r>
    <x v="841"/>
    <x v="1"/>
    <x v="0"/>
    <s v="2025/05"/>
    <x v="0"/>
    <n v="1"/>
  </r>
  <r>
    <x v="841"/>
    <x v="1"/>
    <x v="0"/>
    <s v="2025/05"/>
    <x v="1"/>
    <s v=""/>
  </r>
  <r>
    <x v="841"/>
    <x v="1"/>
    <x v="0"/>
    <s v="2025/05"/>
    <x v="1"/>
    <s v=""/>
  </r>
  <r>
    <x v="842"/>
    <x v="1"/>
    <x v="3"/>
    <s v="2025/05"/>
    <x v="4"/>
    <n v="1"/>
  </r>
  <r>
    <x v="842"/>
    <x v="1"/>
    <x v="3"/>
    <s v="2025/05"/>
    <x v="1"/>
    <s v=""/>
  </r>
  <r>
    <x v="843"/>
    <x v="1"/>
    <x v="0"/>
    <s v="2025/05"/>
    <x v="0"/>
    <n v="1"/>
  </r>
  <r>
    <x v="844"/>
    <x v="1"/>
    <x v="0"/>
    <s v="2025/05"/>
    <x v="1"/>
    <s v=""/>
  </r>
  <r>
    <x v="844"/>
    <x v="1"/>
    <x v="0"/>
    <s v="2025/05"/>
    <x v="1"/>
    <s v=""/>
  </r>
  <r>
    <x v="844"/>
    <x v="1"/>
    <x v="0"/>
    <s v="2025/05"/>
    <x v="1"/>
    <s v=""/>
  </r>
  <r>
    <x v="845"/>
    <x v="1"/>
    <x v="3"/>
    <s v="2025/05"/>
    <x v="4"/>
    <n v="1"/>
  </r>
  <r>
    <x v="845"/>
    <x v="1"/>
    <x v="3"/>
    <s v="2025/05"/>
    <x v="1"/>
    <s v=""/>
  </r>
  <r>
    <x v="846"/>
    <x v="1"/>
    <x v="0"/>
    <s v="2025/05"/>
    <x v="0"/>
    <n v="1"/>
  </r>
  <r>
    <x v="846"/>
    <x v="1"/>
    <x v="0"/>
    <s v="2025/05"/>
    <x v="1"/>
    <s v=""/>
  </r>
  <r>
    <x v="846"/>
    <x v="1"/>
    <x v="0"/>
    <s v="2025/05"/>
    <x v="1"/>
    <s v=""/>
  </r>
  <r>
    <x v="847"/>
    <x v="1"/>
    <x v="0"/>
    <s v="2025/05"/>
    <x v="0"/>
    <n v="1"/>
  </r>
  <r>
    <x v="848"/>
    <x v="1"/>
    <x v="0"/>
    <s v="2025/05"/>
    <x v="1"/>
    <s v=""/>
  </r>
  <r>
    <x v="848"/>
    <x v="1"/>
    <x v="0"/>
    <s v="2025/05"/>
    <x v="1"/>
    <s v=""/>
  </r>
  <r>
    <x v="849"/>
    <x v="1"/>
    <x v="0"/>
    <s v="2025/05"/>
    <x v="0"/>
    <n v="1"/>
  </r>
  <r>
    <x v="849"/>
    <x v="1"/>
    <x v="0"/>
    <s v="2025/05"/>
    <x v="1"/>
    <s v=""/>
  </r>
  <r>
    <x v="849"/>
    <x v="1"/>
    <x v="0"/>
    <s v="2025/05"/>
    <x v="1"/>
    <s v=""/>
  </r>
  <r>
    <x v="850"/>
    <x v="1"/>
    <x v="0"/>
    <s v="2025/05"/>
    <x v="0"/>
    <n v="1"/>
  </r>
  <r>
    <x v="850"/>
    <x v="1"/>
    <x v="0"/>
    <s v="2025/05"/>
    <x v="1"/>
    <s v=""/>
  </r>
  <r>
    <x v="850"/>
    <x v="1"/>
    <x v="0"/>
    <s v="2025/05"/>
    <x v="1"/>
    <s v=""/>
  </r>
  <r>
    <x v="851"/>
    <x v="1"/>
    <x v="0"/>
    <s v="2025/05"/>
    <x v="0"/>
    <n v="1"/>
  </r>
  <r>
    <x v="851"/>
    <x v="1"/>
    <x v="0"/>
    <s v="2025/05"/>
    <x v="1"/>
    <s v=""/>
  </r>
  <r>
    <x v="851"/>
    <x v="1"/>
    <x v="0"/>
    <s v="2025/05"/>
    <x v="1"/>
    <s v=""/>
  </r>
  <r>
    <x v="852"/>
    <x v="1"/>
    <x v="0"/>
    <s v="2025/05"/>
    <x v="0"/>
    <n v="1"/>
  </r>
  <r>
    <x v="853"/>
    <x v="1"/>
    <x v="0"/>
    <s v="2025/05"/>
    <x v="1"/>
    <s v=""/>
  </r>
  <r>
    <x v="853"/>
    <x v="1"/>
    <x v="0"/>
    <s v="2025/05"/>
    <x v="1"/>
    <s v=""/>
  </r>
  <r>
    <x v="853"/>
    <x v="1"/>
    <x v="0"/>
    <s v="2025/05"/>
    <x v="1"/>
    <s v=""/>
  </r>
  <r>
    <x v="854"/>
    <x v="1"/>
    <x v="0"/>
    <s v="2025/05"/>
    <x v="0"/>
    <n v="1"/>
  </r>
  <r>
    <x v="854"/>
    <x v="1"/>
    <x v="0"/>
    <s v="2025/05"/>
    <x v="1"/>
    <s v=""/>
  </r>
  <r>
    <x v="854"/>
    <x v="1"/>
    <x v="0"/>
    <s v="2025/05"/>
    <x v="1"/>
    <s v=""/>
  </r>
  <r>
    <x v="855"/>
    <x v="1"/>
    <x v="0"/>
    <s v="2025/05"/>
    <x v="0"/>
    <n v="1"/>
  </r>
  <r>
    <x v="855"/>
    <x v="1"/>
    <x v="0"/>
    <s v="2025/05"/>
    <x v="1"/>
    <s v=""/>
  </r>
  <r>
    <x v="856"/>
    <x v="1"/>
    <x v="0"/>
    <s v="2025/05"/>
    <x v="0"/>
    <n v="1"/>
  </r>
  <r>
    <x v="856"/>
    <x v="1"/>
    <x v="0"/>
    <s v="2025/05"/>
    <x v="1"/>
    <s v=""/>
  </r>
  <r>
    <x v="857"/>
    <x v="1"/>
    <x v="0"/>
    <s v="2025/05"/>
    <x v="0"/>
    <n v="1"/>
  </r>
  <r>
    <x v="857"/>
    <x v="1"/>
    <x v="0"/>
    <s v="2025/05"/>
    <x v="1"/>
    <s v=""/>
  </r>
  <r>
    <x v="858"/>
    <x v="1"/>
    <x v="0"/>
    <s v="2025/05"/>
    <x v="0"/>
    <n v="1"/>
  </r>
  <r>
    <x v="858"/>
    <x v="1"/>
    <x v="0"/>
    <s v="2025/05"/>
    <x v="1"/>
    <s v=""/>
  </r>
  <r>
    <x v="858"/>
    <x v="1"/>
    <x v="0"/>
    <s v="2025/05"/>
    <x v="1"/>
    <s v=""/>
  </r>
  <r>
    <x v="859"/>
    <x v="1"/>
    <x v="0"/>
    <s v="2025/05"/>
    <x v="0"/>
    <n v="1"/>
  </r>
  <r>
    <x v="859"/>
    <x v="1"/>
    <x v="0"/>
    <s v="2025/05"/>
    <x v="1"/>
    <s v=""/>
  </r>
  <r>
    <x v="860"/>
    <x v="1"/>
    <x v="0"/>
    <s v="2025/05"/>
    <x v="0"/>
    <n v="1"/>
  </r>
  <r>
    <x v="860"/>
    <x v="1"/>
    <x v="0"/>
    <s v="2025/05"/>
    <x v="1"/>
    <s v=""/>
  </r>
  <r>
    <x v="860"/>
    <x v="1"/>
    <x v="0"/>
    <s v="2025/05"/>
    <x v="1"/>
    <s v=""/>
  </r>
  <r>
    <x v="861"/>
    <x v="1"/>
    <x v="0"/>
    <s v="2025/05"/>
    <x v="0"/>
    <n v="1"/>
  </r>
  <r>
    <x v="861"/>
    <x v="1"/>
    <x v="0"/>
    <s v="2025/05"/>
    <x v="1"/>
    <s v=""/>
  </r>
  <r>
    <x v="861"/>
    <x v="1"/>
    <x v="0"/>
    <s v="2025/05"/>
    <x v="1"/>
    <s v=""/>
  </r>
  <r>
    <x v="862"/>
    <x v="1"/>
    <x v="0"/>
    <s v="2025/05"/>
    <x v="0"/>
    <n v="1"/>
  </r>
  <r>
    <x v="862"/>
    <x v="1"/>
    <x v="0"/>
    <s v="2025/05"/>
    <x v="1"/>
    <s v=""/>
  </r>
  <r>
    <x v="862"/>
    <x v="1"/>
    <x v="0"/>
    <s v="2025/05"/>
    <x v="1"/>
    <s v=""/>
  </r>
  <r>
    <x v="863"/>
    <x v="1"/>
    <x v="0"/>
    <s v="2025/05"/>
    <x v="0"/>
    <n v="1"/>
  </r>
  <r>
    <x v="863"/>
    <x v="1"/>
    <x v="0"/>
    <s v="2025/05"/>
    <x v="1"/>
    <s v=""/>
  </r>
  <r>
    <x v="863"/>
    <x v="1"/>
    <x v="0"/>
    <s v="2025/05"/>
    <x v="1"/>
    <s v=""/>
  </r>
  <r>
    <x v="864"/>
    <x v="1"/>
    <x v="0"/>
    <s v="2025/05"/>
    <x v="0"/>
    <n v="1"/>
  </r>
  <r>
    <x v="864"/>
    <x v="1"/>
    <x v="0"/>
    <s v="2025/05"/>
    <x v="1"/>
    <s v=""/>
  </r>
  <r>
    <x v="864"/>
    <x v="1"/>
    <x v="0"/>
    <s v="2025/05"/>
    <x v="1"/>
    <s v=""/>
  </r>
  <r>
    <x v="865"/>
    <x v="1"/>
    <x v="0"/>
    <s v="2025/05"/>
    <x v="0"/>
    <n v="1"/>
  </r>
  <r>
    <x v="865"/>
    <x v="1"/>
    <x v="0"/>
    <s v="2025/05"/>
    <x v="1"/>
    <s v=""/>
  </r>
  <r>
    <x v="865"/>
    <x v="1"/>
    <x v="0"/>
    <s v="2025/05"/>
    <x v="1"/>
    <s v=""/>
  </r>
  <r>
    <x v="865"/>
    <x v="1"/>
    <x v="0"/>
    <s v="2025/05"/>
    <x v="1"/>
    <s v=""/>
  </r>
  <r>
    <x v="866"/>
    <x v="1"/>
    <x v="0"/>
    <s v="2025/05"/>
    <x v="0"/>
    <n v="1"/>
  </r>
  <r>
    <x v="866"/>
    <x v="1"/>
    <x v="0"/>
    <s v="2025/05"/>
    <x v="1"/>
    <s v=""/>
  </r>
  <r>
    <x v="866"/>
    <x v="1"/>
    <x v="0"/>
    <s v="2025/05"/>
    <x v="1"/>
    <s v=""/>
  </r>
  <r>
    <x v="867"/>
    <x v="1"/>
    <x v="0"/>
    <s v="2025/05"/>
    <x v="0"/>
    <n v="1"/>
  </r>
  <r>
    <x v="867"/>
    <x v="1"/>
    <x v="0"/>
    <s v="2025/05"/>
    <x v="1"/>
    <s v=""/>
  </r>
  <r>
    <x v="867"/>
    <x v="1"/>
    <x v="0"/>
    <s v="2025/05"/>
    <x v="1"/>
    <s v=""/>
  </r>
  <r>
    <x v="868"/>
    <x v="1"/>
    <x v="0"/>
    <s v="2025/05"/>
    <x v="0"/>
    <n v="1"/>
  </r>
  <r>
    <x v="868"/>
    <x v="1"/>
    <x v="0"/>
    <s v="2025/05"/>
    <x v="1"/>
    <s v=""/>
  </r>
  <r>
    <x v="869"/>
    <x v="1"/>
    <x v="0"/>
    <s v="2025/05"/>
    <x v="0"/>
    <n v="1"/>
  </r>
  <r>
    <x v="869"/>
    <x v="1"/>
    <x v="0"/>
    <s v="2025/05"/>
    <x v="1"/>
    <s v=""/>
  </r>
  <r>
    <x v="869"/>
    <x v="1"/>
    <x v="0"/>
    <s v="2025/05"/>
    <x v="1"/>
    <s v=""/>
  </r>
  <r>
    <x v="870"/>
    <x v="1"/>
    <x v="0"/>
    <s v="2025/05"/>
    <x v="0"/>
    <n v="1"/>
  </r>
  <r>
    <x v="870"/>
    <x v="1"/>
    <x v="0"/>
    <s v="2025/05"/>
    <x v="1"/>
    <s v=""/>
  </r>
  <r>
    <x v="870"/>
    <x v="1"/>
    <x v="0"/>
    <s v="2025/05"/>
    <x v="1"/>
    <s v=""/>
  </r>
  <r>
    <x v="871"/>
    <x v="1"/>
    <x v="0"/>
    <s v="2025/05"/>
    <x v="0"/>
    <n v="1"/>
  </r>
  <r>
    <x v="871"/>
    <x v="1"/>
    <x v="0"/>
    <s v="2025/05"/>
    <x v="1"/>
    <s v=""/>
  </r>
  <r>
    <x v="872"/>
    <x v="1"/>
    <x v="0"/>
    <s v="2025/05"/>
    <x v="0"/>
    <n v="1"/>
  </r>
  <r>
    <x v="872"/>
    <x v="1"/>
    <x v="0"/>
    <s v="2025/05"/>
    <x v="1"/>
    <s v=""/>
  </r>
  <r>
    <x v="872"/>
    <x v="1"/>
    <x v="0"/>
    <s v="2025/05"/>
    <x v="1"/>
    <s v=""/>
  </r>
  <r>
    <x v="873"/>
    <x v="1"/>
    <x v="0"/>
    <s v="2025/05"/>
    <x v="0"/>
    <n v="1"/>
  </r>
  <r>
    <x v="873"/>
    <x v="1"/>
    <x v="0"/>
    <s v="2025/05"/>
    <x v="1"/>
    <s v=""/>
  </r>
  <r>
    <x v="874"/>
    <x v="1"/>
    <x v="0"/>
    <s v="2025/05"/>
    <x v="0"/>
    <n v="1"/>
  </r>
  <r>
    <x v="874"/>
    <x v="1"/>
    <x v="0"/>
    <s v="2025/05"/>
    <x v="1"/>
    <s v=""/>
  </r>
  <r>
    <x v="874"/>
    <x v="1"/>
    <x v="0"/>
    <s v="2025/05"/>
    <x v="1"/>
    <s v=""/>
  </r>
  <r>
    <x v="874"/>
    <x v="1"/>
    <x v="0"/>
    <s v="2025/05"/>
    <x v="1"/>
    <s v=""/>
  </r>
  <r>
    <x v="874"/>
    <x v="1"/>
    <x v="0"/>
    <s v="2025/05"/>
    <x v="1"/>
    <s v=""/>
  </r>
  <r>
    <x v="875"/>
    <x v="1"/>
    <x v="0"/>
    <s v="2025/05"/>
    <x v="0"/>
    <n v="1"/>
  </r>
  <r>
    <x v="875"/>
    <x v="1"/>
    <x v="0"/>
    <s v="2025/05"/>
    <x v="1"/>
    <s v=""/>
  </r>
  <r>
    <x v="875"/>
    <x v="1"/>
    <x v="0"/>
    <s v="2025/05"/>
    <x v="1"/>
    <s v=""/>
  </r>
  <r>
    <x v="876"/>
    <x v="1"/>
    <x v="0"/>
    <s v="2025/05"/>
    <x v="0"/>
    <n v="1"/>
  </r>
  <r>
    <x v="876"/>
    <x v="1"/>
    <x v="0"/>
    <s v="2025/05"/>
    <x v="1"/>
    <s v=""/>
  </r>
  <r>
    <x v="876"/>
    <x v="1"/>
    <x v="0"/>
    <s v="2025/05"/>
    <x v="1"/>
    <s v=""/>
  </r>
  <r>
    <x v="877"/>
    <x v="1"/>
    <x v="0"/>
    <s v="2025/05"/>
    <x v="0"/>
    <n v="1"/>
  </r>
  <r>
    <x v="877"/>
    <x v="1"/>
    <x v="0"/>
    <s v="2025/05"/>
    <x v="1"/>
    <s v=""/>
  </r>
  <r>
    <x v="877"/>
    <x v="1"/>
    <x v="0"/>
    <s v="2025/05"/>
    <x v="1"/>
    <s v=""/>
  </r>
  <r>
    <x v="878"/>
    <x v="1"/>
    <x v="0"/>
    <s v="2025/05"/>
    <x v="0"/>
    <n v="1"/>
  </r>
  <r>
    <x v="878"/>
    <x v="1"/>
    <x v="0"/>
    <s v="2025/05"/>
    <x v="1"/>
    <s v=""/>
  </r>
  <r>
    <x v="878"/>
    <x v="1"/>
    <x v="0"/>
    <s v="2025/05"/>
    <x v="1"/>
    <s v=""/>
  </r>
  <r>
    <x v="878"/>
    <x v="1"/>
    <x v="0"/>
    <s v="2025/05"/>
    <x v="1"/>
    <s v=""/>
  </r>
  <r>
    <x v="879"/>
    <x v="1"/>
    <x v="0"/>
    <s v="2025/05"/>
    <x v="0"/>
    <n v="1"/>
  </r>
  <r>
    <x v="879"/>
    <x v="1"/>
    <x v="0"/>
    <s v="2025/05"/>
    <x v="1"/>
    <s v=""/>
  </r>
  <r>
    <x v="879"/>
    <x v="1"/>
    <x v="0"/>
    <s v="2025/05"/>
    <x v="1"/>
    <s v=""/>
  </r>
  <r>
    <x v="880"/>
    <x v="1"/>
    <x v="0"/>
    <s v="2025/05"/>
    <x v="0"/>
    <n v="1"/>
  </r>
  <r>
    <x v="880"/>
    <x v="1"/>
    <x v="0"/>
    <s v="2025/05"/>
    <x v="1"/>
    <s v=""/>
  </r>
  <r>
    <x v="881"/>
    <x v="1"/>
    <x v="0"/>
    <s v="2025/05"/>
    <x v="0"/>
    <n v="1"/>
  </r>
  <r>
    <x v="881"/>
    <x v="1"/>
    <x v="0"/>
    <s v="2025/05"/>
    <x v="1"/>
    <s v=""/>
  </r>
  <r>
    <x v="882"/>
    <x v="1"/>
    <x v="0"/>
    <s v="2025/05"/>
    <x v="0"/>
    <n v="1"/>
  </r>
  <r>
    <x v="882"/>
    <x v="1"/>
    <x v="0"/>
    <s v="2025/05"/>
    <x v="1"/>
    <s v=""/>
  </r>
  <r>
    <x v="882"/>
    <x v="1"/>
    <x v="0"/>
    <s v="2025/05"/>
    <x v="1"/>
    <s v=""/>
  </r>
  <r>
    <x v="883"/>
    <x v="1"/>
    <x v="0"/>
    <s v="2025/05"/>
    <x v="0"/>
    <n v="1"/>
  </r>
  <r>
    <x v="883"/>
    <x v="1"/>
    <x v="0"/>
    <s v="2025/05"/>
    <x v="1"/>
    <s v=""/>
  </r>
  <r>
    <x v="883"/>
    <x v="1"/>
    <x v="0"/>
    <s v="2025/05"/>
    <x v="1"/>
    <s v=""/>
  </r>
  <r>
    <x v="883"/>
    <x v="1"/>
    <x v="0"/>
    <s v="2025/05"/>
    <x v="1"/>
    <s v=""/>
  </r>
  <r>
    <x v="884"/>
    <x v="1"/>
    <x v="0"/>
    <s v="2025/05"/>
    <x v="0"/>
    <n v="1"/>
  </r>
  <r>
    <x v="884"/>
    <x v="1"/>
    <x v="0"/>
    <s v="2025/05"/>
    <x v="1"/>
    <s v=""/>
  </r>
  <r>
    <x v="884"/>
    <x v="1"/>
    <x v="0"/>
    <s v="2025/05"/>
    <x v="1"/>
    <s v=""/>
  </r>
  <r>
    <x v="885"/>
    <x v="1"/>
    <x v="0"/>
    <s v="2025/05"/>
    <x v="0"/>
    <n v="1"/>
  </r>
  <r>
    <x v="885"/>
    <x v="1"/>
    <x v="0"/>
    <s v="2025/05"/>
    <x v="1"/>
    <s v=""/>
  </r>
  <r>
    <x v="886"/>
    <x v="1"/>
    <x v="0"/>
    <s v="2025/05"/>
    <x v="0"/>
    <n v="1"/>
  </r>
  <r>
    <x v="886"/>
    <x v="1"/>
    <x v="0"/>
    <s v="2025/05"/>
    <x v="1"/>
    <s v=""/>
  </r>
  <r>
    <x v="886"/>
    <x v="1"/>
    <x v="0"/>
    <s v="2025/05"/>
    <x v="1"/>
    <s v=""/>
  </r>
  <r>
    <x v="887"/>
    <x v="1"/>
    <x v="0"/>
    <s v="2025/05"/>
    <x v="0"/>
    <n v="1"/>
  </r>
  <r>
    <x v="887"/>
    <x v="1"/>
    <x v="0"/>
    <s v="2025/05"/>
    <x v="1"/>
    <s v=""/>
  </r>
  <r>
    <x v="888"/>
    <x v="1"/>
    <x v="0"/>
    <s v="2025/05"/>
    <x v="0"/>
    <n v="1"/>
  </r>
  <r>
    <x v="888"/>
    <x v="1"/>
    <x v="0"/>
    <s v="2025/05"/>
    <x v="1"/>
    <s v=""/>
  </r>
  <r>
    <x v="888"/>
    <x v="1"/>
    <x v="0"/>
    <s v="2025/05"/>
    <x v="1"/>
    <s v=""/>
  </r>
  <r>
    <x v="889"/>
    <x v="1"/>
    <x v="0"/>
    <s v="2025/05"/>
    <x v="0"/>
    <n v="1"/>
  </r>
  <r>
    <x v="889"/>
    <x v="1"/>
    <x v="0"/>
    <s v="2025/05"/>
    <x v="1"/>
    <s v=""/>
  </r>
  <r>
    <x v="889"/>
    <x v="1"/>
    <x v="0"/>
    <s v="2025/05"/>
    <x v="1"/>
    <s v=""/>
  </r>
  <r>
    <x v="890"/>
    <x v="1"/>
    <x v="0"/>
    <s v="2025/05"/>
    <x v="0"/>
    <n v="1"/>
  </r>
  <r>
    <x v="890"/>
    <x v="1"/>
    <x v="0"/>
    <s v="2025/05"/>
    <x v="1"/>
    <s v=""/>
  </r>
  <r>
    <x v="890"/>
    <x v="1"/>
    <x v="0"/>
    <s v="2025/05"/>
    <x v="1"/>
    <s v=""/>
  </r>
  <r>
    <x v="890"/>
    <x v="1"/>
    <x v="0"/>
    <s v="2025/05"/>
    <x v="1"/>
    <s v=""/>
  </r>
  <r>
    <x v="891"/>
    <x v="1"/>
    <x v="0"/>
    <s v="2025/05"/>
    <x v="0"/>
    <n v="1"/>
  </r>
  <r>
    <x v="891"/>
    <x v="1"/>
    <x v="0"/>
    <s v="2025/05"/>
    <x v="1"/>
    <s v=""/>
  </r>
  <r>
    <x v="892"/>
    <x v="1"/>
    <x v="0"/>
    <s v="2025/05"/>
    <x v="0"/>
    <n v="1"/>
  </r>
  <r>
    <x v="892"/>
    <x v="1"/>
    <x v="0"/>
    <s v="2025/05"/>
    <x v="1"/>
    <s v=""/>
  </r>
  <r>
    <x v="892"/>
    <x v="1"/>
    <x v="0"/>
    <s v="2025/05"/>
    <x v="1"/>
    <s v=""/>
  </r>
  <r>
    <x v="893"/>
    <x v="1"/>
    <x v="0"/>
    <s v="2025/05"/>
    <x v="0"/>
    <n v="1"/>
  </r>
  <r>
    <x v="893"/>
    <x v="1"/>
    <x v="0"/>
    <s v="2025/05"/>
    <x v="1"/>
    <s v=""/>
  </r>
  <r>
    <x v="893"/>
    <x v="1"/>
    <x v="0"/>
    <s v="2025/05"/>
    <x v="1"/>
    <s v=""/>
  </r>
  <r>
    <x v="894"/>
    <x v="1"/>
    <x v="0"/>
    <s v="2025/05"/>
    <x v="0"/>
    <n v="1"/>
  </r>
  <r>
    <x v="894"/>
    <x v="1"/>
    <x v="0"/>
    <s v="2025/05"/>
    <x v="1"/>
    <s v=""/>
  </r>
  <r>
    <x v="894"/>
    <x v="1"/>
    <x v="0"/>
    <s v="2025/05"/>
    <x v="1"/>
    <s v=""/>
  </r>
  <r>
    <x v="895"/>
    <x v="1"/>
    <x v="0"/>
    <s v="2025/05"/>
    <x v="0"/>
    <n v="1"/>
  </r>
  <r>
    <x v="895"/>
    <x v="1"/>
    <x v="0"/>
    <s v="2025/05"/>
    <x v="1"/>
    <s v=""/>
  </r>
  <r>
    <x v="896"/>
    <x v="1"/>
    <x v="0"/>
    <s v="2025/05"/>
    <x v="0"/>
    <n v="1"/>
  </r>
  <r>
    <x v="896"/>
    <x v="1"/>
    <x v="0"/>
    <s v="2025/05"/>
    <x v="1"/>
    <s v=""/>
  </r>
  <r>
    <x v="897"/>
    <x v="1"/>
    <x v="0"/>
    <s v="2025/05"/>
    <x v="1"/>
    <s v=""/>
  </r>
  <r>
    <x v="897"/>
    <x v="1"/>
    <x v="0"/>
    <s v="2025/05"/>
    <x v="1"/>
    <s v=""/>
  </r>
  <r>
    <x v="897"/>
    <x v="1"/>
    <x v="0"/>
    <s v="2025/05"/>
    <x v="1"/>
    <s v=""/>
  </r>
  <r>
    <x v="897"/>
    <x v="1"/>
    <x v="0"/>
    <s v="2025/05"/>
    <x v="1"/>
    <s v=""/>
  </r>
  <r>
    <x v="898"/>
    <x v="1"/>
    <x v="0"/>
    <s v="2025/05"/>
    <x v="0"/>
    <n v="1"/>
  </r>
  <r>
    <x v="898"/>
    <x v="1"/>
    <x v="0"/>
    <s v="2025/05"/>
    <x v="1"/>
    <s v=""/>
  </r>
  <r>
    <x v="898"/>
    <x v="1"/>
    <x v="0"/>
    <s v="2025/05"/>
    <x v="1"/>
    <s v=""/>
  </r>
  <r>
    <x v="899"/>
    <x v="1"/>
    <x v="0"/>
    <s v="2025/05"/>
    <x v="0"/>
    <n v="1"/>
  </r>
  <r>
    <x v="899"/>
    <x v="1"/>
    <x v="0"/>
    <s v="2025/05"/>
    <x v="1"/>
    <s v=""/>
  </r>
  <r>
    <x v="899"/>
    <x v="1"/>
    <x v="0"/>
    <s v="2025/05"/>
    <x v="1"/>
    <s v=""/>
  </r>
  <r>
    <x v="899"/>
    <x v="1"/>
    <x v="0"/>
    <s v="2025/05"/>
    <x v="1"/>
    <s v=""/>
  </r>
  <r>
    <x v="899"/>
    <x v="1"/>
    <x v="0"/>
    <s v="2025/05"/>
    <x v="1"/>
    <s v=""/>
  </r>
  <r>
    <x v="900"/>
    <x v="1"/>
    <x v="0"/>
    <s v="2025/05"/>
    <x v="0"/>
    <n v="1"/>
  </r>
  <r>
    <x v="900"/>
    <x v="1"/>
    <x v="0"/>
    <s v="2025/05"/>
    <x v="1"/>
    <s v=""/>
  </r>
  <r>
    <x v="900"/>
    <x v="1"/>
    <x v="0"/>
    <s v="2025/05"/>
    <x v="1"/>
    <s v=""/>
  </r>
  <r>
    <x v="900"/>
    <x v="1"/>
    <x v="0"/>
    <s v="2025/05"/>
    <x v="1"/>
    <s v=""/>
  </r>
  <r>
    <x v="900"/>
    <x v="1"/>
    <x v="0"/>
    <s v="2025/05"/>
    <x v="1"/>
    <s v=""/>
  </r>
  <r>
    <x v="901"/>
    <x v="1"/>
    <x v="0"/>
    <s v="2025/05"/>
    <x v="0"/>
    <n v="1"/>
  </r>
  <r>
    <x v="901"/>
    <x v="1"/>
    <x v="0"/>
    <s v="2025/05"/>
    <x v="1"/>
    <s v=""/>
  </r>
  <r>
    <x v="901"/>
    <x v="1"/>
    <x v="0"/>
    <s v="2025/05"/>
    <x v="1"/>
    <s v=""/>
  </r>
  <r>
    <x v="902"/>
    <x v="2"/>
    <x v="0"/>
    <s v="2025/01"/>
    <x v="0"/>
    <n v="1"/>
  </r>
  <r>
    <x v="902"/>
    <x v="2"/>
    <x v="0"/>
    <s v="2025/01"/>
    <x v="1"/>
    <s v=""/>
  </r>
  <r>
    <x v="902"/>
    <x v="2"/>
    <x v="0"/>
    <s v="2025/01"/>
    <x v="1"/>
    <s v=""/>
  </r>
  <r>
    <x v="903"/>
    <x v="2"/>
    <x v="0"/>
    <s v="2025/01"/>
    <x v="0"/>
    <n v="1"/>
  </r>
  <r>
    <x v="903"/>
    <x v="2"/>
    <x v="0"/>
    <s v="2025/01"/>
    <x v="1"/>
    <s v=""/>
  </r>
  <r>
    <x v="903"/>
    <x v="2"/>
    <x v="0"/>
    <s v="2025/01"/>
    <x v="1"/>
    <s v=""/>
  </r>
  <r>
    <x v="904"/>
    <x v="2"/>
    <x v="0"/>
    <s v="2025/01"/>
    <x v="1"/>
    <s v=""/>
  </r>
  <r>
    <x v="905"/>
    <x v="2"/>
    <x v="0"/>
    <s v="2025/01"/>
    <x v="0"/>
    <n v="1"/>
  </r>
  <r>
    <x v="905"/>
    <x v="2"/>
    <x v="0"/>
    <s v="2025/01"/>
    <x v="1"/>
    <s v=""/>
  </r>
  <r>
    <x v="905"/>
    <x v="2"/>
    <x v="0"/>
    <s v="2025/01"/>
    <x v="1"/>
    <s v=""/>
  </r>
  <r>
    <x v="906"/>
    <x v="2"/>
    <x v="0"/>
    <s v="2025/01"/>
    <x v="0"/>
    <n v="1"/>
  </r>
  <r>
    <x v="906"/>
    <x v="2"/>
    <x v="0"/>
    <s v="2025/01"/>
    <x v="1"/>
    <s v=""/>
  </r>
  <r>
    <x v="906"/>
    <x v="2"/>
    <x v="0"/>
    <s v="2025/01"/>
    <x v="1"/>
    <s v=""/>
  </r>
  <r>
    <x v="906"/>
    <x v="2"/>
    <x v="0"/>
    <s v="2025/01"/>
    <x v="1"/>
    <s v=""/>
  </r>
  <r>
    <x v="907"/>
    <x v="2"/>
    <x v="0"/>
    <s v="2025/01"/>
    <x v="0"/>
    <n v="1"/>
  </r>
  <r>
    <x v="907"/>
    <x v="2"/>
    <x v="0"/>
    <s v="2025/01"/>
    <x v="1"/>
    <s v=""/>
  </r>
  <r>
    <x v="908"/>
    <x v="2"/>
    <x v="0"/>
    <s v="2025/01"/>
    <x v="0"/>
    <n v="1"/>
  </r>
  <r>
    <x v="908"/>
    <x v="2"/>
    <x v="0"/>
    <s v="2025/01"/>
    <x v="1"/>
    <s v=""/>
  </r>
  <r>
    <x v="909"/>
    <x v="2"/>
    <x v="0"/>
    <s v="2025/01"/>
    <x v="0"/>
    <n v="1"/>
  </r>
  <r>
    <x v="909"/>
    <x v="2"/>
    <x v="0"/>
    <s v="2025/01"/>
    <x v="1"/>
    <s v=""/>
  </r>
  <r>
    <x v="909"/>
    <x v="2"/>
    <x v="0"/>
    <s v="2025/01"/>
    <x v="1"/>
    <s v=""/>
  </r>
  <r>
    <x v="909"/>
    <x v="2"/>
    <x v="0"/>
    <s v="2025/01"/>
    <x v="1"/>
    <s v=""/>
  </r>
  <r>
    <x v="909"/>
    <x v="2"/>
    <x v="0"/>
    <s v="2025/01"/>
    <x v="1"/>
    <s v=""/>
  </r>
  <r>
    <x v="910"/>
    <x v="2"/>
    <x v="0"/>
    <s v="2025/01"/>
    <x v="0"/>
    <n v="1"/>
  </r>
  <r>
    <x v="910"/>
    <x v="2"/>
    <x v="0"/>
    <s v="2025/01"/>
    <x v="1"/>
    <s v=""/>
  </r>
  <r>
    <x v="910"/>
    <x v="2"/>
    <x v="0"/>
    <s v="2025/01"/>
    <x v="1"/>
    <s v=""/>
  </r>
  <r>
    <x v="911"/>
    <x v="2"/>
    <x v="0"/>
    <s v="2025/01"/>
    <x v="0"/>
    <n v="1"/>
  </r>
  <r>
    <x v="911"/>
    <x v="2"/>
    <x v="0"/>
    <s v="2025/01"/>
    <x v="1"/>
    <s v=""/>
  </r>
  <r>
    <x v="911"/>
    <x v="2"/>
    <x v="0"/>
    <s v="2025/01"/>
    <x v="1"/>
    <s v=""/>
  </r>
  <r>
    <x v="912"/>
    <x v="2"/>
    <x v="0"/>
    <s v="2025/01"/>
    <x v="0"/>
    <n v="1"/>
  </r>
  <r>
    <x v="912"/>
    <x v="2"/>
    <x v="0"/>
    <s v="2025/01"/>
    <x v="1"/>
    <s v=""/>
  </r>
  <r>
    <x v="913"/>
    <x v="2"/>
    <x v="0"/>
    <s v="2025/01"/>
    <x v="0"/>
    <n v="1"/>
  </r>
  <r>
    <x v="913"/>
    <x v="2"/>
    <x v="0"/>
    <s v="2025/01"/>
    <x v="1"/>
    <s v=""/>
  </r>
  <r>
    <x v="913"/>
    <x v="2"/>
    <x v="0"/>
    <s v="2025/01"/>
    <x v="1"/>
    <s v=""/>
  </r>
  <r>
    <x v="914"/>
    <x v="2"/>
    <x v="0"/>
    <s v="2025/01"/>
    <x v="0"/>
    <n v="1"/>
  </r>
  <r>
    <x v="914"/>
    <x v="2"/>
    <x v="0"/>
    <s v="2025/01"/>
    <x v="1"/>
    <s v=""/>
  </r>
  <r>
    <x v="915"/>
    <x v="2"/>
    <x v="0"/>
    <s v="2025/01"/>
    <x v="0"/>
    <n v="1"/>
  </r>
  <r>
    <x v="915"/>
    <x v="2"/>
    <x v="0"/>
    <s v="2025/01"/>
    <x v="1"/>
    <s v=""/>
  </r>
  <r>
    <x v="915"/>
    <x v="2"/>
    <x v="0"/>
    <s v="2025/01"/>
    <x v="1"/>
    <s v=""/>
  </r>
  <r>
    <x v="916"/>
    <x v="2"/>
    <x v="0"/>
    <s v="2025/01"/>
    <x v="0"/>
    <n v="1"/>
  </r>
  <r>
    <x v="916"/>
    <x v="2"/>
    <x v="0"/>
    <s v="2025/01"/>
    <x v="1"/>
    <s v=""/>
  </r>
  <r>
    <x v="917"/>
    <x v="2"/>
    <x v="0"/>
    <s v="2025/01"/>
    <x v="0"/>
    <n v="1"/>
  </r>
  <r>
    <x v="918"/>
    <x v="2"/>
    <x v="0"/>
    <s v="2025/01"/>
    <x v="1"/>
    <s v=""/>
  </r>
  <r>
    <x v="918"/>
    <x v="2"/>
    <x v="0"/>
    <s v="2025/01"/>
    <x v="1"/>
    <s v=""/>
  </r>
  <r>
    <x v="919"/>
    <x v="2"/>
    <x v="0"/>
    <s v="2025/01"/>
    <x v="0"/>
    <n v="1"/>
  </r>
  <r>
    <x v="919"/>
    <x v="2"/>
    <x v="0"/>
    <s v="2025/01"/>
    <x v="1"/>
    <s v=""/>
  </r>
  <r>
    <x v="920"/>
    <x v="2"/>
    <x v="0"/>
    <s v="2025/01"/>
    <x v="0"/>
    <n v="1"/>
  </r>
  <r>
    <x v="920"/>
    <x v="2"/>
    <x v="0"/>
    <s v="2025/01"/>
    <x v="1"/>
    <s v=""/>
  </r>
  <r>
    <x v="921"/>
    <x v="2"/>
    <x v="0"/>
    <s v="2025/01"/>
    <x v="0"/>
    <n v="1"/>
  </r>
  <r>
    <x v="921"/>
    <x v="2"/>
    <x v="0"/>
    <s v="2025/01"/>
    <x v="1"/>
    <s v=""/>
  </r>
  <r>
    <x v="922"/>
    <x v="2"/>
    <x v="0"/>
    <s v="2025/01"/>
    <x v="0"/>
    <n v="1"/>
  </r>
  <r>
    <x v="922"/>
    <x v="2"/>
    <x v="0"/>
    <s v="2025/01"/>
    <x v="1"/>
    <s v=""/>
  </r>
  <r>
    <x v="922"/>
    <x v="2"/>
    <x v="0"/>
    <s v="2025/01"/>
    <x v="1"/>
    <s v=""/>
  </r>
  <r>
    <x v="923"/>
    <x v="2"/>
    <x v="0"/>
    <s v="2025/01"/>
    <x v="0"/>
    <n v="1"/>
  </r>
  <r>
    <x v="923"/>
    <x v="2"/>
    <x v="0"/>
    <s v="2025/01"/>
    <x v="1"/>
    <s v=""/>
  </r>
  <r>
    <x v="923"/>
    <x v="2"/>
    <x v="0"/>
    <s v="2025/01"/>
    <x v="1"/>
    <s v=""/>
  </r>
  <r>
    <x v="924"/>
    <x v="2"/>
    <x v="0"/>
    <s v="2025/01"/>
    <x v="0"/>
    <n v="1"/>
  </r>
  <r>
    <x v="924"/>
    <x v="2"/>
    <x v="0"/>
    <s v="2025/01"/>
    <x v="1"/>
    <s v=""/>
  </r>
  <r>
    <x v="924"/>
    <x v="2"/>
    <x v="0"/>
    <s v="2025/01"/>
    <x v="1"/>
    <s v=""/>
  </r>
  <r>
    <x v="925"/>
    <x v="2"/>
    <x v="0"/>
    <s v="2025/01"/>
    <x v="0"/>
    <n v="1"/>
  </r>
  <r>
    <x v="925"/>
    <x v="2"/>
    <x v="0"/>
    <s v="2025/01"/>
    <x v="1"/>
    <s v=""/>
  </r>
  <r>
    <x v="926"/>
    <x v="2"/>
    <x v="0"/>
    <s v="2025/01"/>
    <x v="0"/>
    <n v="1"/>
  </r>
  <r>
    <x v="926"/>
    <x v="2"/>
    <x v="0"/>
    <s v="2025/01"/>
    <x v="1"/>
    <s v=""/>
  </r>
  <r>
    <x v="926"/>
    <x v="2"/>
    <x v="0"/>
    <s v="2025/01"/>
    <x v="1"/>
    <s v=""/>
  </r>
  <r>
    <x v="926"/>
    <x v="2"/>
    <x v="0"/>
    <s v="2025/01"/>
    <x v="1"/>
    <s v=""/>
  </r>
  <r>
    <x v="926"/>
    <x v="2"/>
    <x v="0"/>
    <s v="2025/01"/>
    <x v="1"/>
    <s v=""/>
  </r>
  <r>
    <x v="926"/>
    <x v="2"/>
    <x v="0"/>
    <s v="2025/01"/>
    <x v="1"/>
    <s v=""/>
  </r>
  <r>
    <x v="927"/>
    <x v="2"/>
    <x v="0"/>
    <s v="2025/01"/>
    <x v="0"/>
    <n v="1"/>
  </r>
  <r>
    <x v="928"/>
    <x v="2"/>
    <x v="0"/>
    <s v="2025/01"/>
    <x v="0"/>
    <n v="1"/>
  </r>
  <r>
    <x v="928"/>
    <x v="2"/>
    <x v="0"/>
    <s v="2025/01"/>
    <x v="1"/>
    <s v=""/>
  </r>
  <r>
    <x v="929"/>
    <x v="2"/>
    <x v="0"/>
    <s v="2025/01"/>
    <x v="0"/>
    <n v="1"/>
  </r>
  <r>
    <x v="929"/>
    <x v="2"/>
    <x v="0"/>
    <s v="2025/01"/>
    <x v="1"/>
    <s v=""/>
  </r>
  <r>
    <x v="929"/>
    <x v="2"/>
    <x v="0"/>
    <s v="2025/01"/>
    <x v="1"/>
    <s v=""/>
  </r>
  <r>
    <x v="930"/>
    <x v="2"/>
    <x v="0"/>
    <s v="2025/01"/>
    <x v="0"/>
    <n v="1"/>
  </r>
  <r>
    <x v="930"/>
    <x v="2"/>
    <x v="0"/>
    <s v="2025/01"/>
    <x v="1"/>
    <s v=""/>
  </r>
  <r>
    <x v="931"/>
    <x v="2"/>
    <x v="0"/>
    <s v="2025/01"/>
    <x v="0"/>
    <n v="1"/>
  </r>
  <r>
    <x v="931"/>
    <x v="2"/>
    <x v="0"/>
    <s v="2025/01"/>
    <x v="1"/>
    <s v=""/>
  </r>
  <r>
    <x v="931"/>
    <x v="2"/>
    <x v="6"/>
    <s v="2025/01"/>
    <x v="1"/>
    <s v=""/>
  </r>
  <r>
    <x v="932"/>
    <x v="2"/>
    <x v="0"/>
    <s v="2025/01"/>
    <x v="0"/>
    <n v="1"/>
  </r>
  <r>
    <x v="933"/>
    <x v="2"/>
    <x v="0"/>
    <s v="2025/01"/>
    <x v="0"/>
    <n v="1"/>
  </r>
  <r>
    <x v="933"/>
    <x v="2"/>
    <x v="0"/>
    <s v="2025/01"/>
    <x v="1"/>
    <s v=""/>
  </r>
  <r>
    <x v="934"/>
    <x v="2"/>
    <x v="0"/>
    <s v="2025/01"/>
    <x v="0"/>
    <n v="1"/>
  </r>
  <r>
    <x v="934"/>
    <x v="2"/>
    <x v="0"/>
    <s v="2025/01"/>
    <x v="1"/>
    <s v=""/>
  </r>
  <r>
    <x v="935"/>
    <x v="2"/>
    <x v="3"/>
    <s v="2025/01"/>
    <x v="4"/>
    <n v="1"/>
  </r>
  <r>
    <x v="935"/>
    <x v="2"/>
    <x v="3"/>
    <s v="2025/01"/>
    <x v="1"/>
    <s v=""/>
  </r>
  <r>
    <x v="936"/>
    <x v="2"/>
    <x v="0"/>
    <s v="2025/01"/>
    <x v="0"/>
    <n v="1"/>
  </r>
  <r>
    <x v="936"/>
    <x v="2"/>
    <x v="0"/>
    <s v="2025/01"/>
    <x v="1"/>
    <s v=""/>
  </r>
  <r>
    <x v="937"/>
    <x v="2"/>
    <x v="0"/>
    <s v="2025/01"/>
    <x v="0"/>
    <n v="1"/>
  </r>
  <r>
    <x v="937"/>
    <x v="2"/>
    <x v="0"/>
    <s v="2025/01"/>
    <x v="1"/>
    <s v=""/>
  </r>
  <r>
    <x v="937"/>
    <x v="2"/>
    <x v="0"/>
    <s v="2025/01"/>
    <x v="1"/>
    <s v=""/>
  </r>
  <r>
    <x v="938"/>
    <x v="2"/>
    <x v="0"/>
    <s v="2025/01"/>
    <x v="0"/>
    <n v="1"/>
  </r>
  <r>
    <x v="938"/>
    <x v="2"/>
    <x v="0"/>
    <s v="2025/01"/>
    <x v="1"/>
    <s v=""/>
  </r>
  <r>
    <x v="938"/>
    <x v="2"/>
    <x v="0"/>
    <s v="2025/01"/>
    <x v="1"/>
    <s v=""/>
  </r>
  <r>
    <x v="939"/>
    <x v="2"/>
    <x v="0"/>
    <s v="2025/02"/>
    <x v="0"/>
    <n v="1"/>
  </r>
  <r>
    <x v="939"/>
    <x v="2"/>
    <x v="0"/>
    <s v="2025/02"/>
    <x v="1"/>
    <s v=""/>
  </r>
  <r>
    <x v="939"/>
    <x v="2"/>
    <x v="0"/>
    <s v="2025/02"/>
    <x v="1"/>
    <s v=""/>
  </r>
  <r>
    <x v="939"/>
    <x v="2"/>
    <x v="0"/>
    <s v="2025/02"/>
    <x v="1"/>
    <s v=""/>
  </r>
  <r>
    <x v="939"/>
    <x v="2"/>
    <x v="0"/>
    <s v="2025/02"/>
    <x v="1"/>
    <s v=""/>
  </r>
  <r>
    <x v="940"/>
    <x v="2"/>
    <x v="0"/>
    <s v="2025/02"/>
    <x v="0"/>
    <n v="1"/>
  </r>
  <r>
    <x v="940"/>
    <x v="2"/>
    <x v="0"/>
    <s v="2025/02"/>
    <x v="1"/>
    <s v=""/>
  </r>
  <r>
    <x v="940"/>
    <x v="2"/>
    <x v="0"/>
    <s v="2025/02"/>
    <x v="1"/>
    <s v=""/>
  </r>
  <r>
    <x v="941"/>
    <x v="2"/>
    <x v="0"/>
    <s v="2025/02"/>
    <x v="0"/>
    <n v="1"/>
  </r>
  <r>
    <x v="941"/>
    <x v="2"/>
    <x v="0"/>
    <s v="2025/02"/>
    <x v="1"/>
    <s v=""/>
  </r>
  <r>
    <x v="941"/>
    <x v="2"/>
    <x v="0"/>
    <s v="2025/02"/>
    <x v="1"/>
    <s v=""/>
  </r>
  <r>
    <x v="942"/>
    <x v="2"/>
    <x v="0"/>
    <s v="2025/02"/>
    <x v="0"/>
    <n v="1"/>
  </r>
  <r>
    <x v="942"/>
    <x v="2"/>
    <x v="0"/>
    <s v="2025/02"/>
    <x v="1"/>
    <s v=""/>
  </r>
  <r>
    <x v="942"/>
    <x v="2"/>
    <x v="0"/>
    <s v="2025/02"/>
    <x v="1"/>
    <s v=""/>
  </r>
  <r>
    <x v="942"/>
    <x v="2"/>
    <x v="0"/>
    <s v="2025/02"/>
    <x v="1"/>
    <s v=""/>
  </r>
  <r>
    <x v="943"/>
    <x v="2"/>
    <x v="0"/>
    <s v="2025/02"/>
    <x v="0"/>
    <n v="1"/>
  </r>
  <r>
    <x v="943"/>
    <x v="2"/>
    <x v="0"/>
    <s v="2025/02"/>
    <x v="1"/>
    <s v=""/>
  </r>
  <r>
    <x v="943"/>
    <x v="2"/>
    <x v="0"/>
    <s v="2025/02"/>
    <x v="1"/>
    <s v=""/>
  </r>
  <r>
    <x v="944"/>
    <x v="2"/>
    <x v="0"/>
    <s v="2025/02"/>
    <x v="0"/>
    <n v="1"/>
  </r>
  <r>
    <x v="944"/>
    <x v="2"/>
    <x v="0"/>
    <s v="2025/02"/>
    <x v="1"/>
    <s v=""/>
  </r>
  <r>
    <x v="944"/>
    <x v="2"/>
    <x v="0"/>
    <s v="2025/02"/>
    <x v="1"/>
    <s v=""/>
  </r>
  <r>
    <x v="945"/>
    <x v="2"/>
    <x v="0"/>
    <s v="2025/02"/>
    <x v="0"/>
    <n v="1"/>
  </r>
  <r>
    <x v="945"/>
    <x v="2"/>
    <x v="0"/>
    <s v="2025/02"/>
    <x v="1"/>
    <s v=""/>
  </r>
  <r>
    <x v="945"/>
    <x v="2"/>
    <x v="0"/>
    <s v="2025/02"/>
    <x v="1"/>
    <s v=""/>
  </r>
  <r>
    <x v="946"/>
    <x v="2"/>
    <x v="0"/>
    <s v="2025/02"/>
    <x v="0"/>
    <n v="1"/>
  </r>
  <r>
    <x v="946"/>
    <x v="2"/>
    <x v="0"/>
    <s v="2025/02"/>
    <x v="1"/>
    <s v=""/>
  </r>
  <r>
    <x v="947"/>
    <x v="2"/>
    <x v="0"/>
    <s v="2025/02"/>
    <x v="0"/>
    <n v="1"/>
  </r>
  <r>
    <x v="947"/>
    <x v="2"/>
    <x v="0"/>
    <s v="2025/02"/>
    <x v="1"/>
    <s v=""/>
  </r>
  <r>
    <x v="948"/>
    <x v="2"/>
    <x v="0"/>
    <s v="2025/02"/>
    <x v="0"/>
    <n v="1"/>
  </r>
  <r>
    <x v="949"/>
    <x v="2"/>
    <x v="0"/>
    <s v="2025/02"/>
    <x v="1"/>
    <s v=""/>
  </r>
  <r>
    <x v="949"/>
    <x v="2"/>
    <x v="0"/>
    <s v="2025/02"/>
    <x v="1"/>
    <s v=""/>
  </r>
  <r>
    <x v="949"/>
    <x v="2"/>
    <x v="0"/>
    <s v="2025/02"/>
    <x v="1"/>
    <s v=""/>
  </r>
  <r>
    <x v="950"/>
    <x v="2"/>
    <x v="0"/>
    <s v="2025/02"/>
    <x v="0"/>
    <n v="1"/>
  </r>
  <r>
    <x v="950"/>
    <x v="2"/>
    <x v="0"/>
    <s v="2025/02"/>
    <x v="1"/>
    <s v=""/>
  </r>
  <r>
    <x v="950"/>
    <x v="2"/>
    <x v="0"/>
    <s v="2025/02"/>
    <x v="1"/>
    <s v=""/>
  </r>
  <r>
    <x v="950"/>
    <x v="2"/>
    <x v="0"/>
    <s v="2025/02"/>
    <x v="1"/>
    <s v=""/>
  </r>
  <r>
    <x v="951"/>
    <x v="2"/>
    <x v="0"/>
    <s v="2025/02"/>
    <x v="0"/>
    <n v="1"/>
  </r>
  <r>
    <x v="951"/>
    <x v="2"/>
    <x v="0"/>
    <s v="2025/02"/>
    <x v="1"/>
    <s v=""/>
  </r>
  <r>
    <x v="951"/>
    <x v="2"/>
    <x v="0"/>
    <s v="2025/02"/>
    <x v="1"/>
    <s v=""/>
  </r>
  <r>
    <x v="952"/>
    <x v="2"/>
    <x v="0"/>
    <s v="2025/02"/>
    <x v="0"/>
    <n v="1"/>
  </r>
  <r>
    <x v="952"/>
    <x v="2"/>
    <x v="0"/>
    <s v="2025/02"/>
    <x v="1"/>
    <s v=""/>
  </r>
  <r>
    <x v="952"/>
    <x v="2"/>
    <x v="0"/>
    <s v="2025/02"/>
    <x v="1"/>
    <s v=""/>
  </r>
  <r>
    <x v="953"/>
    <x v="2"/>
    <x v="0"/>
    <s v="2025/02"/>
    <x v="0"/>
    <n v="1"/>
  </r>
  <r>
    <x v="953"/>
    <x v="2"/>
    <x v="0"/>
    <s v="2025/02"/>
    <x v="1"/>
    <s v=""/>
  </r>
  <r>
    <x v="953"/>
    <x v="2"/>
    <x v="0"/>
    <s v="2025/02"/>
    <x v="1"/>
    <s v=""/>
  </r>
  <r>
    <x v="954"/>
    <x v="2"/>
    <x v="0"/>
    <s v="2025/02"/>
    <x v="0"/>
    <n v="1"/>
  </r>
  <r>
    <x v="954"/>
    <x v="2"/>
    <x v="0"/>
    <s v="2025/02"/>
    <x v="1"/>
    <s v=""/>
  </r>
  <r>
    <x v="954"/>
    <x v="2"/>
    <x v="0"/>
    <s v="2025/02"/>
    <x v="1"/>
    <s v=""/>
  </r>
  <r>
    <x v="955"/>
    <x v="2"/>
    <x v="0"/>
    <s v="2025/02"/>
    <x v="0"/>
    <n v="1"/>
  </r>
  <r>
    <x v="955"/>
    <x v="2"/>
    <x v="0"/>
    <s v="2025/02"/>
    <x v="1"/>
    <s v=""/>
  </r>
  <r>
    <x v="955"/>
    <x v="2"/>
    <x v="0"/>
    <s v="2025/02"/>
    <x v="1"/>
    <s v=""/>
  </r>
  <r>
    <x v="955"/>
    <x v="2"/>
    <x v="0"/>
    <s v="2025/02"/>
    <x v="1"/>
    <s v=""/>
  </r>
  <r>
    <x v="956"/>
    <x v="2"/>
    <x v="3"/>
    <s v="2025/02"/>
    <x v="4"/>
    <n v="1"/>
  </r>
  <r>
    <x v="956"/>
    <x v="2"/>
    <x v="3"/>
    <s v="2025/02"/>
    <x v="1"/>
    <s v=""/>
  </r>
  <r>
    <x v="957"/>
    <x v="2"/>
    <x v="0"/>
    <s v="2025/02"/>
    <x v="0"/>
    <n v="1"/>
  </r>
  <r>
    <x v="957"/>
    <x v="2"/>
    <x v="0"/>
    <s v="2025/02"/>
    <x v="1"/>
    <s v=""/>
  </r>
  <r>
    <x v="958"/>
    <x v="2"/>
    <x v="0"/>
    <s v="2025/02"/>
    <x v="0"/>
    <n v="1"/>
  </r>
  <r>
    <x v="958"/>
    <x v="2"/>
    <x v="0"/>
    <s v="2025/02"/>
    <x v="1"/>
    <s v=""/>
  </r>
  <r>
    <x v="959"/>
    <x v="2"/>
    <x v="0"/>
    <s v="2025/02"/>
    <x v="0"/>
    <n v="1"/>
  </r>
  <r>
    <x v="959"/>
    <x v="2"/>
    <x v="0"/>
    <s v="2025/02"/>
    <x v="1"/>
    <s v=""/>
  </r>
  <r>
    <x v="960"/>
    <x v="2"/>
    <x v="0"/>
    <s v="2025/02"/>
    <x v="0"/>
    <n v="1"/>
  </r>
  <r>
    <x v="960"/>
    <x v="2"/>
    <x v="0"/>
    <s v="2025/02"/>
    <x v="1"/>
    <s v=""/>
  </r>
  <r>
    <x v="960"/>
    <x v="2"/>
    <x v="0"/>
    <s v="2025/02"/>
    <x v="1"/>
    <s v=""/>
  </r>
  <r>
    <x v="960"/>
    <x v="2"/>
    <x v="0"/>
    <s v="2025/02"/>
    <x v="1"/>
    <s v=""/>
  </r>
  <r>
    <x v="961"/>
    <x v="2"/>
    <x v="0"/>
    <s v="2025/02"/>
    <x v="0"/>
    <n v="1"/>
  </r>
  <r>
    <x v="962"/>
    <x v="2"/>
    <x v="0"/>
    <s v="2025/02"/>
    <x v="0"/>
    <n v="1"/>
  </r>
  <r>
    <x v="962"/>
    <x v="2"/>
    <x v="0"/>
    <s v="2025/02"/>
    <x v="1"/>
    <s v=""/>
  </r>
  <r>
    <x v="963"/>
    <x v="2"/>
    <x v="0"/>
    <s v="2025/02"/>
    <x v="0"/>
    <n v="1"/>
  </r>
  <r>
    <x v="963"/>
    <x v="2"/>
    <x v="0"/>
    <s v="2025/02"/>
    <x v="1"/>
    <s v=""/>
  </r>
  <r>
    <x v="963"/>
    <x v="2"/>
    <x v="0"/>
    <s v="2025/02"/>
    <x v="1"/>
    <s v=""/>
  </r>
  <r>
    <x v="964"/>
    <x v="2"/>
    <x v="0"/>
    <s v="2025/02"/>
    <x v="0"/>
    <n v="1"/>
  </r>
  <r>
    <x v="964"/>
    <x v="2"/>
    <x v="0"/>
    <s v="2025/02"/>
    <x v="1"/>
    <s v=""/>
  </r>
  <r>
    <x v="965"/>
    <x v="2"/>
    <x v="0"/>
    <s v="2025/02"/>
    <x v="0"/>
    <n v="1"/>
  </r>
  <r>
    <x v="966"/>
    <x v="2"/>
    <x v="0"/>
    <s v="2025/02"/>
    <x v="1"/>
    <s v=""/>
  </r>
  <r>
    <x v="967"/>
    <x v="2"/>
    <x v="0"/>
    <s v="2025/02"/>
    <x v="0"/>
    <n v="1"/>
  </r>
  <r>
    <x v="967"/>
    <x v="2"/>
    <x v="0"/>
    <s v="2025/02"/>
    <x v="1"/>
    <s v=""/>
  </r>
  <r>
    <x v="967"/>
    <x v="2"/>
    <x v="0"/>
    <s v="2025/02"/>
    <x v="1"/>
    <s v=""/>
  </r>
  <r>
    <x v="967"/>
    <x v="2"/>
    <x v="0"/>
    <s v="2025/02"/>
    <x v="1"/>
    <s v=""/>
  </r>
  <r>
    <x v="967"/>
    <x v="2"/>
    <x v="0"/>
    <s v="2025/02"/>
    <x v="1"/>
    <s v=""/>
  </r>
  <r>
    <x v="968"/>
    <x v="2"/>
    <x v="0"/>
    <s v="2025/02"/>
    <x v="0"/>
    <n v="1"/>
  </r>
  <r>
    <x v="968"/>
    <x v="2"/>
    <x v="0"/>
    <s v="2025/02"/>
    <x v="1"/>
    <s v=""/>
  </r>
  <r>
    <x v="968"/>
    <x v="2"/>
    <x v="0"/>
    <s v="2025/02"/>
    <x v="1"/>
    <s v=""/>
  </r>
  <r>
    <x v="969"/>
    <x v="2"/>
    <x v="0"/>
    <s v="2025/02"/>
    <x v="0"/>
    <n v="1"/>
  </r>
  <r>
    <x v="969"/>
    <x v="2"/>
    <x v="0"/>
    <s v="2025/02"/>
    <x v="1"/>
    <s v=""/>
  </r>
  <r>
    <x v="969"/>
    <x v="2"/>
    <x v="0"/>
    <s v="2025/02"/>
    <x v="1"/>
    <s v=""/>
  </r>
  <r>
    <x v="969"/>
    <x v="2"/>
    <x v="0"/>
    <s v="2025/02"/>
    <x v="1"/>
    <s v=""/>
  </r>
  <r>
    <x v="970"/>
    <x v="2"/>
    <x v="0"/>
    <s v="2025/02"/>
    <x v="0"/>
    <n v="1"/>
  </r>
  <r>
    <x v="970"/>
    <x v="2"/>
    <x v="0"/>
    <s v="2025/02"/>
    <x v="1"/>
    <s v=""/>
  </r>
  <r>
    <x v="970"/>
    <x v="2"/>
    <x v="0"/>
    <s v="2025/02"/>
    <x v="1"/>
    <s v=""/>
  </r>
  <r>
    <x v="971"/>
    <x v="2"/>
    <x v="0"/>
    <s v="2025/02"/>
    <x v="0"/>
    <n v="1"/>
  </r>
  <r>
    <x v="971"/>
    <x v="2"/>
    <x v="0"/>
    <s v="2025/02"/>
    <x v="1"/>
    <s v=""/>
  </r>
  <r>
    <x v="971"/>
    <x v="2"/>
    <x v="0"/>
    <s v="2025/02"/>
    <x v="1"/>
    <s v=""/>
  </r>
  <r>
    <x v="971"/>
    <x v="2"/>
    <x v="0"/>
    <s v="2025/02"/>
    <x v="1"/>
    <s v=""/>
  </r>
  <r>
    <x v="972"/>
    <x v="2"/>
    <x v="0"/>
    <s v="2025/02"/>
    <x v="0"/>
    <n v="1"/>
  </r>
  <r>
    <x v="972"/>
    <x v="2"/>
    <x v="0"/>
    <s v="2025/02"/>
    <x v="1"/>
    <s v=""/>
  </r>
  <r>
    <x v="973"/>
    <x v="2"/>
    <x v="0"/>
    <s v="2025/02"/>
    <x v="0"/>
    <n v="1"/>
  </r>
  <r>
    <x v="973"/>
    <x v="2"/>
    <x v="0"/>
    <s v="2025/02"/>
    <x v="1"/>
    <s v=""/>
  </r>
  <r>
    <x v="974"/>
    <x v="2"/>
    <x v="0"/>
    <s v="2025/02"/>
    <x v="0"/>
    <n v="1"/>
  </r>
  <r>
    <x v="974"/>
    <x v="2"/>
    <x v="0"/>
    <s v="2025/02"/>
    <x v="1"/>
    <s v=""/>
  </r>
  <r>
    <x v="975"/>
    <x v="2"/>
    <x v="0"/>
    <s v="2025/02"/>
    <x v="0"/>
    <n v="1"/>
  </r>
  <r>
    <x v="975"/>
    <x v="2"/>
    <x v="0"/>
    <s v="2025/02"/>
    <x v="1"/>
    <s v=""/>
  </r>
  <r>
    <x v="975"/>
    <x v="2"/>
    <x v="0"/>
    <s v="2025/02"/>
    <x v="1"/>
    <s v=""/>
  </r>
  <r>
    <x v="976"/>
    <x v="2"/>
    <x v="0"/>
    <s v="2025/02"/>
    <x v="0"/>
    <n v="1"/>
  </r>
  <r>
    <x v="976"/>
    <x v="2"/>
    <x v="0"/>
    <s v="2025/02"/>
    <x v="1"/>
    <s v=""/>
  </r>
  <r>
    <x v="977"/>
    <x v="2"/>
    <x v="0"/>
    <s v="2025/02"/>
    <x v="0"/>
    <n v="1"/>
  </r>
  <r>
    <x v="977"/>
    <x v="2"/>
    <x v="0"/>
    <s v="2025/02"/>
    <x v="1"/>
    <s v=""/>
  </r>
  <r>
    <x v="977"/>
    <x v="2"/>
    <x v="0"/>
    <s v="2025/02"/>
    <x v="1"/>
    <s v=""/>
  </r>
  <r>
    <x v="977"/>
    <x v="2"/>
    <x v="0"/>
    <s v="2025/02"/>
    <x v="1"/>
    <s v=""/>
  </r>
  <r>
    <x v="978"/>
    <x v="2"/>
    <x v="0"/>
    <s v="2025/02"/>
    <x v="0"/>
    <n v="1"/>
  </r>
  <r>
    <x v="978"/>
    <x v="2"/>
    <x v="0"/>
    <s v="2025/02"/>
    <x v="1"/>
    <s v=""/>
  </r>
  <r>
    <x v="979"/>
    <x v="2"/>
    <x v="0"/>
    <s v="2025/02"/>
    <x v="0"/>
    <n v="1"/>
  </r>
  <r>
    <x v="979"/>
    <x v="2"/>
    <x v="0"/>
    <s v="2025/02"/>
    <x v="1"/>
    <s v=""/>
  </r>
  <r>
    <x v="979"/>
    <x v="2"/>
    <x v="0"/>
    <s v="2025/02"/>
    <x v="1"/>
    <s v=""/>
  </r>
  <r>
    <x v="980"/>
    <x v="2"/>
    <x v="0"/>
    <s v="2025/02"/>
    <x v="0"/>
    <n v="1"/>
  </r>
  <r>
    <x v="980"/>
    <x v="2"/>
    <x v="0"/>
    <s v="2025/02"/>
    <x v="1"/>
    <s v=""/>
  </r>
  <r>
    <x v="981"/>
    <x v="2"/>
    <x v="0"/>
    <s v="2025/02"/>
    <x v="1"/>
    <s v=""/>
  </r>
  <r>
    <x v="982"/>
    <x v="2"/>
    <x v="0"/>
    <s v="2025/02"/>
    <x v="0"/>
    <n v="1"/>
  </r>
  <r>
    <x v="982"/>
    <x v="2"/>
    <x v="0"/>
    <s v="2025/02"/>
    <x v="1"/>
    <s v=""/>
  </r>
  <r>
    <x v="982"/>
    <x v="2"/>
    <x v="0"/>
    <s v="2025/02"/>
    <x v="1"/>
    <s v=""/>
  </r>
  <r>
    <x v="982"/>
    <x v="2"/>
    <x v="0"/>
    <s v="2025/02"/>
    <x v="1"/>
    <s v=""/>
  </r>
  <r>
    <x v="983"/>
    <x v="2"/>
    <x v="0"/>
    <s v="2025/02"/>
    <x v="0"/>
    <n v="1"/>
  </r>
  <r>
    <x v="983"/>
    <x v="2"/>
    <x v="0"/>
    <s v="2025/02"/>
    <x v="1"/>
    <s v=""/>
  </r>
  <r>
    <x v="983"/>
    <x v="2"/>
    <x v="0"/>
    <s v="2025/02"/>
    <x v="1"/>
    <s v=""/>
  </r>
  <r>
    <x v="984"/>
    <x v="2"/>
    <x v="0"/>
    <s v="2025/02"/>
    <x v="0"/>
    <n v="1"/>
  </r>
  <r>
    <x v="984"/>
    <x v="2"/>
    <x v="0"/>
    <s v="2025/02"/>
    <x v="1"/>
    <s v=""/>
  </r>
  <r>
    <x v="984"/>
    <x v="2"/>
    <x v="0"/>
    <s v="2025/02"/>
    <x v="1"/>
    <s v=""/>
  </r>
  <r>
    <x v="985"/>
    <x v="2"/>
    <x v="0"/>
    <s v="2025/02"/>
    <x v="0"/>
    <n v="1"/>
  </r>
  <r>
    <x v="985"/>
    <x v="2"/>
    <x v="0"/>
    <s v="2025/02"/>
    <x v="1"/>
    <s v=""/>
  </r>
  <r>
    <x v="986"/>
    <x v="2"/>
    <x v="0"/>
    <s v="2025/02"/>
    <x v="0"/>
    <n v="1"/>
  </r>
  <r>
    <x v="986"/>
    <x v="2"/>
    <x v="0"/>
    <s v="2025/02"/>
    <x v="1"/>
    <s v=""/>
  </r>
  <r>
    <x v="986"/>
    <x v="2"/>
    <x v="0"/>
    <s v="2025/02"/>
    <x v="1"/>
    <s v=""/>
  </r>
  <r>
    <x v="987"/>
    <x v="2"/>
    <x v="3"/>
    <s v="2025/02"/>
    <x v="4"/>
    <n v="1"/>
  </r>
  <r>
    <x v="987"/>
    <x v="2"/>
    <x v="3"/>
    <s v="2025/02"/>
    <x v="1"/>
    <s v=""/>
  </r>
  <r>
    <x v="988"/>
    <x v="2"/>
    <x v="3"/>
    <s v="2025/02"/>
    <x v="1"/>
    <s v=""/>
  </r>
  <r>
    <x v="988"/>
    <x v="2"/>
    <x v="3"/>
    <s v="2025/02"/>
    <x v="1"/>
    <s v=""/>
  </r>
  <r>
    <x v="988"/>
    <x v="2"/>
    <x v="3"/>
    <s v="2025/02"/>
    <x v="1"/>
    <s v=""/>
  </r>
  <r>
    <x v="989"/>
    <x v="2"/>
    <x v="1"/>
    <s v="2025/02"/>
    <x v="2"/>
    <n v="1"/>
  </r>
  <r>
    <x v="989"/>
    <x v="2"/>
    <x v="1"/>
    <s v="2025/02"/>
    <x v="1"/>
    <s v=""/>
  </r>
  <r>
    <x v="989"/>
    <x v="2"/>
    <x v="1"/>
    <s v="2025/02"/>
    <x v="1"/>
    <s v=""/>
  </r>
  <r>
    <x v="990"/>
    <x v="2"/>
    <x v="1"/>
    <s v="2025/02"/>
    <x v="2"/>
    <n v="1"/>
  </r>
  <r>
    <x v="990"/>
    <x v="2"/>
    <x v="1"/>
    <s v="2025/02"/>
    <x v="1"/>
    <s v=""/>
  </r>
  <r>
    <x v="991"/>
    <x v="2"/>
    <x v="1"/>
    <s v="2025/02"/>
    <x v="2"/>
    <n v="1"/>
  </r>
  <r>
    <x v="991"/>
    <x v="2"/>
    <x v="1"/>
    <s v="2025/02"/>
    <x v="1"/>
    <s v=""/>
  </r>
  <r>
    <x v="992"/>
    <x v="2"/>
    <x v="1"/>
    <s v="2025/02"/>
    <x v="2"/>
    <n v="1"/>
  </r>
  <r>
    <x v="992"/>
    <x v="2"/>
    <x v="1"/>
    <s v="2025/02"/>
    <x v="1"/>
    <s v=""/>
  </r>
  <r>
    <x v="993"/>
    <x v="2"/>
    <x v="1"/>
    <s v="2025/02"/>
    <x v="2"/>
    <n v="1"/>
  </r>
  <r>
    <x v="994"/>
    <x v="2"/>
    <x v="1"/>
    <s v="2025/02"/>
    <x v="2"/>
    <n v="1"/>
  </r>
  <r>
    <x v="995"/>
    <x v="2"/>
    <x v="1"/>
    <s v="2025/02"/>
    <x v="2"/>
    <n v="1"/>
  </r>
  <r>
    <x v="995"/>
    <x v="2"/>
    <x v="1"/>
    <s v="2025/02"/>
    <x v="1"/>
    <s v=""/>
  </r>
  <r>
    <x v="996"/>
    <x v="2"/>
    <x v="0"/>
    <s v="2025/02"/>
    <x v="0"/>
    <n v="1"/>
  </r>
  <r>
    <x v="996"/>
    <x v="2"/>
    <x v="0"/>
    <s v="2025/02"/>
    <x v="1"/>
    <s v=""/>
  </r>
  <r>
    <x v="996"/>
    <x v="2"/>
    <x v="0"/>
    <s v="2025/02"/>
    <x v="1"/>
    <s v=""/>
  </r>
  <r>
    <x v="997"/>
    <x v="2"/>
    <x v="1"/>
    <s v="2025/02"/>
    <x v="2"/>
    <n v="1"/>
  </r>
  <r>
    <x v="997"/>
    <x v="2"/>
    <x v="1"/>
    <s v="2025/02"/>
    <x v="1"/>
    <s v=""/>
  </r>
  <r>
    <x v="997"/>
    <x v="2"/>
    <x v="1"/>
    <s v="2025/02"/>
    <x v="1"/>
    <s v=""/>
  </r>
  <r>
    <x v="998"/>
    <x v="2"/>
    <x v="1"/>
    <s v="2025/02"/>
    <x v="2"/>
    <n v="1"/>
  </r>
  <r>
    <x v="998"/>
    <x v="2"/>
    <x v="1"/>
    <s v="2025/02"/>
    <x v="1"/>
    <s v=""/>
  </r>
  <r>
    <x v="999"/>
    <x v="2"/>
    <x v="0"/>
    <s v="2025/02"/>
    <x v="0"/>
    <n v="1"/>
  </r>
  <r>
    <x v="999"/>
    <x v="2"/>
    <x v="0"/>
    <s v="2025/02"/>
    <x v="1"/>
    <s v=""/>
  </r>
  <r>
    <x v="1000"/>
    <x v="2"/>
    <x v="0"/>
    <s v="2025/02"/>
    <x v="0"/>
    <n v="1"/>
  </r>
  <r>
    <x v="1000"/>
    <x v="2"/>
    <x v="0"/>
    <s v="2025/02"/>
    <x v="1"/>
    <s v=""/>
  </r>
  <r>
    <x v="1000"/>
    <x v="2"/>
    <x v="0"/>
    <s v="2025/02"/>
    <x v="1"/>
    <s v=""/>
  </r>
  <r>
    <x v="1001"/>
    <x v="2"/>
    <x v="0"/>
    <s v="2025/02"/>
    <x v="0"/>
    <n v="1"/>
  </r>
  <r>
    <x v="1001"/>
    <x v="2"/>
    <x v="0"/>
    <s v="2025/02"/>
    <x v="1"/>
    <s v=""/>
  </r>
  <r>
    <x v="1001"/>
    <x v="2"/>
    <x v="0"/>
    <s v="2025/02"/>
    <x v="1"/>
    <s v=""/>
  </r>
  <r>
    <x v="1002"/>
    <x v="2"/>
    <x v="0"/>
    <s v="2025/03"/>
    <x v="0"/>
    <n v="1"/>
  </r>
  <r>
    <x v="1002"/>
    <x v="2"/>
    <x v="0"/>
    <s v="2025/03"/>
    <x v="1"/>
    <s v=""/>
  </r>
  <r>
    <x v="1002"/>
    <x v="2"/>
    <x v="0"/>
    <s v="2025/03"/>
    <x v="1"/>
    <s v=""/>
  </r>
  <r>
    <x v="1003"/>
    <x v="2"/>
    <x v="0"/>
    <s v="2025/03"/>
    <x v="0"/>
    <n v="1"/>
  </r>
  <r>
    <x v="1003"/>
    <x v="2"/>
    <x v="0"/>
    <s v="2025/03"/>
    <x v="1"/>
    <s v=""/>
  </r>
  <r>
    <x v="1003"/>
    <x v="2"/>
    <x v="0"/>
    <s v="2025/03"/>
    <x v="1"/>
    <s v=""/>
  </r>
  <r>
    <x v="1004"/>
    <x v="2"/>
    <x v="0"/>
    <s v="2025/03"/>
    <x v="0"/>
    <n v="1"/>
  </r>
  <r>
    <x v="1004"/>
    <x v="2"/>
    <x v="0"/>
    <s v="2025/03"/>
    <x v="1"/>
    <s v=""/>
  </r>
  <r>
    <x v="1004"/>
    <x v="2"/>
    <x v="0"/>
    <s v="2025/03"/>
    <x v="1"/>
    <s v=""/>
  </r>
  <r>
    <x v="1004"/>
    <x v="2"/>
    <x v="0"/>
    <s v="2025/03"/>
    <x v="1"/>
    <s v=""/>
  </r>
  <r>
    <x v="1005"/>
    <x v="2"/>
    <x v="0"/>
    <s v="2025/03"/>
    <x v="0"/>
    <n v="1"/>
  </r>
  <r>
    <x v="1005"/>
    <x v="2"/>
    <x v="0"/>
    <s v="2025/03"/>
    <x v="1"/>
    <s v=""/>
  </r>
  <r>
    <x v="1005"/>
    <x v="2"/>
    <x v="0"/>
    <s v="2025/03"/>
    <x v="1"/>
    <s v=""/>
  </r>
  <r>
    <x v="1005"/>
    <x v="2"/>
    <x v="0"/>
    <s v="2025/03"/>
    <x v="1"/>
    <s v=""/>
  </r>
  <r>
    <x v="1005"/>
    <x v="2"/>
    <x v="0"/>
    <s v="2025/03"/>
    <x v="1"/>
    <s v=""/>
  </r>
  <r>
    <x v="1006"/>
    <x v="2"/>
    <x v="0"/>
    <s v="2025/03"/>
    <x v="0"/>
    <n v="1"/>
  </r>
  <r>
    <x v="1006"/>
    <x v="2"/>
    <x v="0"/>
    <s v="2025/03"/>
    <x v="1"/>
    <s v=""/>
  </r>
  <r>
    <x v="1007"/>
    <x v="2"/>
    <x v="0"/>
    <s v="2025/03"/>
    <x v="0"/>
    <n v="1"/>
  </r>
  <r>
    <x v="1007"/>
    <x v="2"/>
    <x v="0"/>
    <s v="2025/03"/>
    <x v="1"/>
    <s v=""/>
  </r>
  <r>
    <x v="1007"/>
    <x v="2"/>
    <x v="0"/>
    <s v="2025/03"/>
    <x v="1"/>
    <s v=""/>
  </r>
  <r>
    <x v="1008"/>
    <x v="2"/>
    <x v="0"/>
    <s v="2025/03"/>
    <x v="0"/>
    <n v="1"/>
  </r>
  <r>
    <x v="1008"/>
    <x v="2"/>
    <x v="0"/>
    <s v="2025/03"/>
    <x v="1"/>
    <s v=""/>
  </r>
  <r>
    <x v="1008"/>
    <x v="2"/>
    <x v="0"/>
    <s v="2025/03"/>
    <x v="1"/>
    <s v=""/>
  </r>
  <r>
    <x v="1009"/>
    <x v="2"/>
    <x v="0"/>
    <s v="2025/03"/>
    <x v="0"/>
    <n v="1"/>
  </r>
  <r>
    <x v="1009"/>
    <x v="2"/>
    <x v="0"/>
    <s v="2025/03"/>
    <x v="1"/>
    <s v=""/>
  </r>
  <r>
    <x v="1010"/>
    <x v="2"/>
    <x v="0"/>
    <s v="2025/03"/>
    <x v="0"/>
    <n v="1"/>
  </r>
  <r>
    <x v="1010"/>
    <x v="2"/>
    <x v="0"/>
    <s v="2025/03"/>
    <x v="1"/>
    <s v=""/>
  </r>
  <r>
    <x v="1010"/>
    <x v="2"/>
    <x v="0"/>
    <s v="2025/03"/>
    <x v="1"/>
    <s v=""/>
  </r>
  <r>
    <x v="1011"/>
    <x v="2"/>
    <x v="0"/>
    <s v="2025/03"/>
    <x v="0"/>
    <n v="1"/>
  </r>
  <r>
    <x v="1011"/>
    <x v="2"/>
    <x v="0"/>
    <s v="2025/03"/>
    <x v="1"/>
    <s v=""/>
  </r>
  <r>
    <x v="1011"/>
    <x v="2"/>
    <x v="0"/>
    <s v="2025/03"/>
    <x v="1"/>
    <s v=""/>
  </r>
  <r>
    <x v="1012"/>
    <x v="2"/>
    <x v="0"/>
    <s v="2025/03"/>
    <x v="0"/>
    <n v="1"/>
  </r>
  <r>
    <x v="1012"/>
    <x v="2"/>
    <x v="0"/>
    <s v="2025/03"/>
    <x v="1"/>
    <s v=""/>
  </r>
  <r>
    <x v="1012"/>
    <x v="2"/>
    <x v="0"/>
    <s v="2025/03"/>
    <x v="1"/>
    <s v=""/>
  </r>
  <r>
    <x v="1013"/>
    <x v="2"/>
    <x v="0"/>
    <s v="2025/03"/>
    <x v="0"/>
    <n v="1"/>
  </r>
  <r>
    <x v="1013"/>
    <x v="2"/>
    <x v="0"/>
    <s v="2025/03"/>
    <x v="1"/>
    <s v=""/>
  </r>
  <r>
    <x v="1013"/>
    <x v="2"/>
    <x v="0"/>
    <s v="2025/03"/>
    <x v="1"/>
    <s v=""/>
  </r>
  <r>
    <x v="1014"/>
    <x v="2"/>
    <x v="0"/>
    <s v="2025/03"/>
    <x v="0"/>
    <n v="1"/>
  </r>
  <r>
    <x v="1014"/>
    <x v="2"/>
    <x v="0"/>
    <s v="2025/03"/>
    <x v="1"/>
    <s v=""/>
  </r>
  <r>
    <x v="1014"/>
    <x v="2"/>
    <x v="0"/>
    <s v="2025/03"/>
    <x v="1"/>
    <s v=""/>
  </r>
  <r>
    <x v="1015"/>
    <x v="2"/>
    <x v="0"/>
    <s v="2025/03"/>
    <x v="0"/>
    <n v="1"/>
  </r>
  <r>
    <x v="1016"/>
    <x v="2"/>
    <x v="0"/>
    <s v="2025/03"/>
    <x v="1"/>
    <s v=""/>
  </r>
  <r>
    <x v="1017"/>
    <x v="2"/>
    <x v="0"/>
    <s v="2025/03"/>
    <x v="0"/>
    <n v="1"/>
  </r>
  <r>
    <x v="1017"/>
    <x v="2"/>
    <x v="0"/>
    <s v="2025/03"/>
    <x v="1"/>
    <s v=""/>
  </r>
  <r>
    <x v="1018"/>
    <x v="2"/>
    <x v="0"/>
    <s v="2025/03"/>
    <x v="1"/>
    <s v=""/>
  </r>
  <r>
    <x v="1019"/>
    <x v="2"/>
    <x v="0"/>
    <s v="2025/04"/>
    <x v="0"/>
    <n v="1"/>
  </r>
  <r>
    <x v="1019"/>
    <x v="2"/>
    <x v="0"/>
    <s v="2025/04"/>
    <x v="1"/>
    <s v=""/>
  </r>
  <r>
    <x v="1020"/>
    <x v="2"/>
    <x v="0"/>
    <s v="2025/04"/>
    <x v="0"/>
    <n v="1"/>
  </r>
  <r>
    <x v="1020"/>
    <x v="2"/>
    <x v="0"/>
    <s v="2025/04"/>
    <x v="1"/>
    <s v=""/>
  </r>
  <r>
    <x v="1020"/>
    <x v="2"/>
    <x v="0"/>
    <s v="2025/04"/>
    <x v="1"/>
    <s v=""/>
  </r>
  <r>
    <x v="1021"/>
    <x v="2"/>
    <x v="0"/>
    <s v="2025/04"/>
    <x v="0"/>
    <n v="1"/>
  </r>
  <r>
    <x v="1021"/>
    <x v="2"/>
    <x v="0"/>
    <s v="2025/04"/>
    <x v="1"/>
    <s v=""/>
  </r>
  <r>
    <x v="1022"/>
    <x v="2"/>
    <x v="0"/>
    <s v="2025/04"/>
    <x v="0"/>
    <n v="1"/>
  </r>
  <r>
    <x v="1022"/>
    <x v="2"/>
    <x v="0"/>
    <s v="2025/04"/>
    <x v="1"/>
    <s v=""/>
  </r>
  <r>
    <x v="1023"/>
    <x v="2"/>
    <x v="0"/>
    <s v="2025/04"/>
    <x v="0"/>
    <n v="1"/>
  </r>
  <r>
    <x v="1023"/>
    <x v="2"/>
    <x v="0"/>
    <s v="2025/04"/>
    <x v="1"/>
    <s v=""/>
  </r>
  <r>
    <x v="1024"/>
    <x v="2"/>
    <x v="0"/>
    <s v="2025/04"/>
    <x v="0"/>
    <n v="1"/>
  </r>
  <r>
    <x v="1024"/>
    <x v="2"/>
    <x v="0"/>
    <s v="2025/04"/>
    <x v="1"/>
    <s v=""/>
  </r>
  <r>
    <x v="1024"/>
    <x v="2"/>
    <x v="0"/>
    <s v="2025/04"/>
    <x v="1"/>
    <s v=""/>
  </r>
  <r>
    <x v="1024"/>
    <x v="2"/>
    <x v="0"/>
    <s v="2025/04"/>
    <x v="1"/>
    <s v=""/>
  </r>
  <r>
    <x v="1025"/>
    <x v="2"/>
    <x v="0"/>
    <s v="2025/04"/>
    <x v="0"/>
    <n v="1"/>
  </r>
  <r>
    <x v="1025"/>
    <x v="2"/>
    <x v="0"/>
    <s v="2025/04"/>
    <x v="1"/>
    <s v=""/>
  </r>
  <r>
    <x v="1026"/>
    <x v="2"/>
    <x v="0"/>
    <s v="2025/04"/>
    <x v="0"/>
    <n v="1"/>
  </r>
  <r>
    <x v="1026"/>
    <x v="2"/>
    <x v="0"/>
    <s v="2025/04"/>
    <x v="1"/>
    <s v=""/>
  </r>
  <r>
    <x v="1026"/>
    <x v="2"/>
    <x v="0"/>
    <s v="2025/04"/>
    <x v="1"/>
    <s v=""/>
  </r>
  <r>
    <x v="1027"/>
    <x v="2"/>
    <x v="0"/>
    <s v="2025/04"/>
    <x v="0"/>
    <n v="1"/>
  </r>
  <r>
    <x v="1027"/>
    <x v="2"/>
    <x v="0"/>
    <s v="2025/04"/>
    <x v="1"/>
    <s v=""/>
  </r>
  <r>
    <x v="1028"/>
    <x v="2"/>
    <x v="0"/>
    <s v="2025/04"/>
    <x v="0"/>
    <n v="1"/>
  </r>
  <r>
    <x v="1028"/>
    <x v="2"/>
    <x v="0"/>
    <s v="2025/04"/>
    <x v="1"/>
    <s v=""/>
  </r>
  <r>
    <x v="1028"/>
    <x v="2"/>
    <x v="0"/>
    <s v="2025/04"/>
    <x v="1"/>
    <s v=""/>
  </r>
  <r>
    <x v="1029"/>
    <x v="2"/>
    <x v="0"/>
    <s v="2025/04"/>
    <x v="0"/>
    <n v="1"/>
  </r>
  <r>
    <x v="1029"/>
    <x v="2"/>
    <x v="0"/>
    <s v="2025/04"/>
    <x v="1"/>
    <s v=""/>
  </r>
  <r>
    <x v="1029"/>
    <x v="2"/>
    <x v="0"/>
    <s v="2025/04"/>
    <x v="1"/>
    <s v=""/>
  </r>
  <r>
    <x v="1029"/>
    <x v="2"/>
    <x v="0"/>
    <s v="2025/04"/>
    <x v="1"/>
    <s v=""/>
  </r>
  <r>
    <x v="1029"/>
    <x v="2"/>
    <x v="0"/>
    <s v="2025/04"/>
    <x v="1"/>
    <s v=""/>
  </r>
  <r>
    <x v="1030"/>
    <x v="2"/>
    <x v="0"/>
    <s v="2025/04"/>
    <x v="0"/>
    <n v="1"/>
  </r>
  <r>
    <x v="1030"/>
    <x v="2"/>
    <x v="0"/>
    <s v="2025/04"/>
    <x v="1"/>
    <s v=""/>
  </r>
  <r>
    <x v="1031"/>
    <x v="2"/>
    <x v="0"/>
    <s v="2025/04"/>
    <x v="0"/>
    <n v="1"/>
  </r>
  <r>
    <x v="1031"/>
    <x v="2"/>
    <x v="0"/>
    <s v="2025/04"/>
    <x v="1"/>
    <s v=""/>
  </r>
  <r>
    <x v="1032"/>
    <x v="2"/>
    <x v="0"/>
    <s v="2025/04"/>
    <x v="0"/>
    <n v="1"/>
  </r>
  <r>
    <x v="1032"/>
    <x v="2"/>
    <x v="0"/>
    <s v="2025/04"/>
    <x v="1"/>
    <s v=""/>
  </r>
  <r>
    <x v="1033"/>
    <x v="2"/>
    <x v="0"/>
    <s v="2025/04"/>
    <x v="0"/>
    <n v="1"/>
  </r>
  <r>
    <x v="1033"/>
    <x v="2"/>
    <x v="0"/>
    <s v="2025/04"/>
    <x v="1"/>
    <s v=""/>
  </r>
  <r>
    <x v="1033"/>
    <x v="2"/>
    <x v="0"/>
    <s v="2025/04"/>
    <x v="1"/>
    <s v=""/>
  </r>
  <r>
    <x v="1034"/>
    <x v="2"/>
    <x v="0"/>
    <s v="2025/04"/>
    <x v="0"/>
    <n v="1"/>
  </r>
  <r>
    <x v="1034"/>
    <x v="2"/>
    <x v="0"/>
    <s v="2025/04"/>
    <x v="1"/>
    <s v=""/>
  </r>
  <r>
    <x v="1035"/>
    <x v="2"/>
    <x v="0"/>
    <s v="2025/04"/>
    <x v="0"/>
    <n v="1"/>
  </r>
  <r>
    <x v="1035"/>
    <x v="2"/>
    <x v="0"/>
    <s v="2025/04"/>
    <x v="1"/>
    <s v=""/>
  </r>
  <r>
    <x v="1036"/>
    <x v="2"/>
    <x v="0"/>
    <s v="2025/04"/>
    <x v="0"/>
    <n v="1"/>
  </r>
  <r>
    <x v="1036"/>
    <x v="2"/>
    <x v="0"/>
    <s v="2025/04"/>
    <x v="1"/>
    <s v=""/>
  </r>
  <r>
    <x v="1036"/>
    <x v="2"/>
    <x v="0"/>
    <s v="2025/04"/>
    <x v="1"/>
    <s v=""/>
  </r>
  <r>
    <x v="1036"/>
    <x v="2"/>
    <x v="0"/>
    <s v="2025/04"/>
    <x v="1"/>
    <s v=""/>
  </r>
  <r>
    <x v="1037"/>
    <x v="2"/>
    <x v="0"/>
    <s v="2025/04"/>
    <x v="0"/>
    <n v="1"/>
  </r>
  <r>
    <x v="1037"/>
    <x v="2"/>
    <x v="0"/>
    <s v="2025/04"/>
    <x v="1"/>
    <s v=""/>
  </r>
  <r>
    <x v="1038"/>
    <x v="2"/>
    <x v="0"/>
    <s v="2025/04"/>
    <x v="0"/>
    <n v="1"/>
  </r>
  <r>
    <x v="1038"/>
    <x v="2"/>
    <x v="0"/>
    <s v="2025/04"/>
    <x v="1"/>
    <s v=""/>
  </r>
  <r>
    <x v="1038"/>
    <x v="2"/>
    <x v="0"/>
    <s v="2025/04"/>
    <x v="1"/>
    <s v=""/>
  </r>
  <r>
    <x v="1039"/>
    <x v="2"/>
    <x v="0"/>
    <s v="2025/04"/>
    <x v="0"/>
    <n v="1"/>
  </r>
  <r>
    <x v="1039"/>
    <x v="2"/>
    <x v="0"/>
    <s v="2025/04"/>
    <x v="1"/>
    <s v=""/>
  </r>
  <r>
    <x v="1039"/>
    <x v="2"/>
    <x v="0"/>
    <s v="2025/04"/>
    <x v="1"/>
    <s v=""/>
  </r>
  <r>
    <x v="1040"/>
    <x v="2"/>
    <x v="0"/>
    <s v="2025/04"/>
    <x v="1"/>
    <s v=""/>
  </r>
  <r>
    <x v="1041"/>
    <x v="2"/>
    <x v="0"/>
    <s v="2025/04"/>
    <x v="0"/>
    <n v="1"/>
  </r>
  <r>
    <x v="1041"/>
    <x v="2"/>
    <x v="0"/>
    <s v="2025/04"/>
    <x v="1"/>
    <s v=""/>
  </r>
  <r>
    <x v="1042"/>
    <x v="2"/>
    <x v="0"/>
    <s v="2025/04"/>
    <x v="0"/>
    <n v="1"/>
  </r>
  <r>
    <x v="1042"/>
    <x v="2"/>
    <x v="0"/>
    <s v="2025/04"/>
    <x v="1"/>
    <s v=""/>
  </r>
  <r>
    <x v="1043"/>
    <x v="2"/>
    <x v="0"/>
    <s v="2025/04"/>
    <x v="0"/>
    <n v="1"/>
  </r>
  <r>
    <x v="1043"/>
    <x v="2"/>
    <x v="0"/>
    <s v="2025/04"/>
    <x v="1"/>
    <s v=""/>
  </r>
  <r>
    <x v="1044"/>
    <x v="2"/>
    <x v="0"/>
    <s v="2025/04"/>
    <x v="0"/>
    <n v="1"/>
  </r>
  <r>
    <x v="1044"/>
    <x v="2"/>
    <x v="0"/>
    <s v="2025/04"/>
    <x v="1"/>
    <s v=""/>
  </r>
  <r>
    <x v="1044"/>
    <x v="2"/>
    <x v="0"/>
    <s v="2025/04"/>
    <x v="1"/>
    <s v=""/>
  </r>
  <r>
    <x v="1045"/>
    <x v="2"/>
    <x v="0"/>
    <s v="2025/04"/>
    <x v="0"/>
    <n v="1"/>
  </r>
  <r>
    <x v="1045"/>
    <x v="2"/>
    <x v="0"/>
    <s v="2025/04"/>
    <x v="1"/>
    <s v=""/>
  </r>
  <r>
    <x v="1046"/>
    <x v="2"/>
    <x v="0"/>
    <s v="2025/04"/>
    <x v="0"/>
    <n v="1"/>
  </r>
  <r>
    <x v="1046"/>
    <x v="2"/>
    <x v="0"/>
    <s v="2025/04"/>
    <x v="1"/>
    <s v=""/>
  </r>
  <r>
    <x v="1047"/>
    <x v="2"/>
    <x v="0"/>
    <s v="2025/04"/>
    <x v="0"/>
    <n v="1"/>
  </r>
  <r>
    <x v="1047"/>
    <x v="2"/>
    <x v="0"/>
    <s v="2025/04"/>
    <x v="1"/>
    <s v=""/>
  </r>
  <r>
    <x v="1047"/>
    <x v="2"/>
    <x v="0"/>
    <s v="2025/04"/>
    <x v="1"/>
    <s v=""/>
  </r>
  <r>
    <x v="1048"/>
    <x v="2"/>
    <x v="0"/>
    <s v="2025/04"/>
    <x v="0"/>
    <n v="1"/>
  </r>
  <r>
    <x v="1048"/>
    <x v="2"/>
    <x v="0"/>
    <s v="2025/04"/>
    <x v="1"/>
    <s v=""/>
  </r>
  <r>
    <x v="1049"/>
    <x v="2"/>
    <x v="1"/>
    <s v="2025/04"/>
    <x v="2"/>
    <n v="1"/>
  </r>
  <r>
    <x v="1049"/>
    <x v="2"/>
    <x v="1"/>
    <s v="2025/04"/>
    <x v="1"/>
    <s v=""/>
  </r>
  <r>
    <x v="1050"/>
    <x v="2"/>
    <x v="1"/>
    <s v="2025/04"/>
    <x v="2"/>
    <n v="1"/>
  </r>
  <r>
    <x v="1050"/>
    <x v="2"/>
    <x v="1"/>
    <s v="2025/04"/>
    <x v="1"/>
    <s v=""/>
  </r>
  <r>
    <x v="1050"/>
    <x v="2"/>
    <x v="1"/>
    <s v="2025/04"/>
    <x v="1"/>
    <s v=""/>
  </r>
  <r>
    <x v="1051"/>
    <x v="2"/>
    <x v="1"/>
    <s v="2025/04"/>
    <x v="2"/>
    <n v="1"/>
  </r>
  <r>
    <x v="1051"/>
    <x v="2"/>
    <x v="1"/>
    <s v="2025/04"/>
    <x v="1"/>
    <s v=""/>
  </r>
  <r>
    <x v="1052"/>
    <x v="2"/>
    <x v="1"/>
    <s v="2025/04"/>
    <x v="2"/>
    <n v="1"/>
  </r>
  <r>
    <x v="1052"/>
    <x v="2"/>
    <x v="1"/>
    <s v="2025/04"/>
    <x v="1"/>
    <s v=""/>
  </r>
  <r>
    <x v="1053"/>
    <x v="2"/>
    <x v="0"/>
    <s v="2025/04"/>
    <x v="0"/>
    <n v="1"/>
  </r>
  <r>
    <x v="1053"/>
    <x v="2"/>
    <x v="0"/>
    <s v="2025/04"/>
    <x v="1"/>
    <s v=""/>
  </r>
  <r>
    <x v="1053"/>
    <x v="2"/>
    <x v="0"/>
    <s v="2025/04"/>
    <x v="1"/>
    <s v=""/>
  </r>
  <r>
    <x v="1054"/>
    <x v="2"/>
    <x v="1"/>
    <s v="2025/04"/>
    <x v="2"/>
    <n v="1"/>
  </r>
  <r>
    <x v="1054"/>
    <x v="2"/>
    <x v="1"/>
    <s v="2025/04"/>
    <x v="1"/>
    <s v=""/>
  </r>
  <r>
    <x v="1054"/>
    <x v="2"/>
    <x v="1"/>
    <s v="2025/04"/>
    <x v="1"/>
    <s v=""/>
  </r>
  <r>
    <x v="1055"/>
    <x v="2"/>
    <x v="0"/>
    <s v="2025/04"/>
    <x v="0"/>
    <n v="1"/>
  </r>
  <r>
    <x v="1055"/>
    <x v="2"/>
    <x v="0"/>
    <s v="2025/04"/>
    <x v="1"/>
    <s v=""/>
  </r>
  <r>
    <x v="1055"/>
    <x v="2"/>
    <x v="0"/>
    <s v="2025/04"/>
    <x v="1"/>
    <s v=""/>
  </r>
  <r>
    <x v="1056"/>
    <x v="2"/>
    <x v="1"/>
    <s v="2025/04"/>
    <x v="2"/>
    <n v="1"/>
  </r>
  <r>
    <x v="1056"/>
    <x v="2"/>
    <x v="1"/>
    <s v="2025/04"/>
    <x v="1"/>
    <s v=""/>
  </r>
  <r>
    <x v="1056"/>
    <x v="2"/>
    <x v="1"/>
    <s v="2025/04"/>
    <x v="1"/>
    <s v=""/>
  </r>
  <r>
    <x v="1057"/>
    <x v="2"/>
    <x v="0"/>
    <s v="2025/04"/>
    <x v="0"/>
    <n v="1"/>
  </r>
  <r>
    <x v="1057"/>
    <x v="2"/>
    <x v="0"/>
    <s v="2025/04"/>
    <x v="1"/>
    <s v=""/>
  </r>
  <r>
    <x v="1057"/>
    <x v="2"/>
    <x v="0"/>
    <s v="2025/04"/>
    <x v="1"/>
    <s v=""/>
  </r>
  <r>
    <x v="1058"/>
    <x v="2"/>
    <x v="0"/>
    <s v="2025/04"/>
    <x v="0"/>
    <n v="1"/>
  </r>
  <r>
    <x v="1058"/>
    <x v="2"/>
    <x v="0"/>
    <s v="2025/04"/>
    <x v="1"/>
    <s v=""/>
  </r>
  <r>
    <x v="1058"/>
    <x v="2"/>
    <x v="0"/>
    <s v="2025/04"/>
    <x v="1"/>
    <s v=""/>
  </r>
  <r>
    <x v="1059"/>
    <x v="2"/>
    <x v="1"/>
    <s v="2025/04"/>
    <x v="2"/>
    <n v="1"/>
  </r>
  <r>
    <x v="1059"/>
    <x v="2"/>
    <x v="1"/>
    <s v="2025/04"/>
    <x v="1"/>
    <s v=""/>
  </r>
  <r>
    <x v="1059"/>
    <x v="2"/>
    <x v="1"/>
    <s v="2025/04"/>
    <x v="1"/>
    <s v=""/>
  </r>
  <r>
    <x v="1060"/>
    <x v="2"/>
    <x v="1"/>
    <s v="2025/04"/>
    <x v="2"/>
    <n v="1"/>
  </r>
  <r>
    <x v="1060"/>
    <x v="2"/>
    <x v="1"/>
    <s v="2025/04"/>
    <x v="1"/>
    <s v=""/>
  </r>
  <r>
    <x v="1060"/>
    <x v="2"/>
    <x v="1"/>
    <s v="2025/04"/>
    <x v="1"/>
    <s v=""/>
  </r>
  <r>
    <x v="1061"/>
    <x v="2"/>
    <x v="1"/>
    <s v="2025/04"/>
    <x v="2"/>
    <n v="1"/>
  </r>
  <r>
    <x v="1061"/>
    <x v="2"/>
    <x v="1"/>
    <s v="2025/04"/>
    <x v="1"/>
    <s v=""/>
  </r>
  <r>
    <x v="1062"/>
    <x v="2"/>
    <x v="0"/>
    <s v="2025/04"/>
    <x v="0"/>
    <n v="1"/>
  </r>
  <r>
    <x v="1062"/>
    <x v="2"/>
    <x v="0"/>
    <s v="2025/04"/>
    <x v="1"/>
    <s v=""/>
  </r>
  <r>
    <x v="1062"/>
    <x v="2"/>
    <x v="0"/>
    <s v="2025/04"/>
    <x v="1"/>
    <s v=""/>
  </r>
  <r>
    <x v="1063"/>
    <x v="2"/>
    <x v="0"/>
    <s v="2025/04"/>
    <x v="0"/>
    <n v="1"/>
  </r>
  <r>
    <x v="1063"/>
    <x v="2"/>
    <x v="0"/>
    <s v="2025/04"/>
    <x v="1"/>
    <s v=""/>
  </r>
  <r>
    <x v="1063"/>
    <x v="2"/>
    <x v="0"/>
    <s v="2025/04"/>
    <x v="1"/>
    <s v=""/>
  </r>
  <r>
    <x v="1064"/>
    <x v="2"/>
    <x v="0"/>
    <s v="2025/04"/>
    <x v="0"/>
    <n v="1"/>
  </r>
  <r>
    <x v="1064"/>
    <x v="2"/>
    <x v="0"/>
    <s v="2025/04"/>
    <x v="1"/>
    <s v=""/>
  </r>
  <r>
    <x v="1064"/>
    <x v="2"/>
    <x v="0"/>
    <s v="2025/04"/>
    <x v="1"/>
    <s v=""/>
  </r>
  <r>
    <x v="1065"/>
    <x v="2"/>
    <x v="1"/>
    <s v="2025/04"/>
    <x v="2"/>
    <n v="1"/>
  </r>
  <r>
    <x v="1065"/>
    <x v="2"/>
    <x v="1"/>
    <s v="2025/04"/>
    <x v="1"/>
    <s v=""/>
  </r>
  <r>
    <x v="1066"/>
    <x v="2"/>
    <x v="1"/>
    <s v="2025/04"/>
    <x v="2"/>
    <n v="1"/>
  </r>
  <r>
    <x v="1066"/>
    <x v="2"/>
    <x v="1"/>
    <s v="2025/04"/>
    <x v="1"/>
    <s v=""/>
  </r>
  <r>
    <x v="1067"/>
    <x v="2"/>
    <x v="0"/>
    <s v="2025/04"/>
    <x v="0"/>
    <n v="1"/>
  </r>
  <r>
    <x v="1067"/>
    <x v="2"/>
    <x v="0"/>
    <s v="2025/04"/>
    <x v="1"/>
    <s v=""/>
  </r>
  <r>
    <x v="1067"/>
    <x v="2"/>
    <x v="0"/>
    <s v="2025/04"/>
    <x v="1"/>
    <s v=""/>
  </r>
  <r>
    <x v="1067"/>
    <x v="2"/>
    <x v="0"/>
    <s v="2025/04"/>
    <x v="1"/>
    <s v=""/>
  </r>
  <r>
    <x v="1068"/>
    <x v="2"/>
    <x v="0"/>
    <s v="2025/04"/>
    <x v="0"/>
    <n v="1"/>
  </r>
  <r>
    <x v="1068"/>
    <x v="2"/>
    <x v="0"/>
    <s v="2025/04"/>
    <x v="1"/>
    <s v=""/>
  </r>
  <r>
    <x v="1069"/>
    <x v="2"/>
    <x v="0"/>
    <s v="2025/04"/>
    <x v="0"/>
    <n v="1"/>
  </r>
  <r>
    <x v="1069"/>
    <x v="2"/>
    <x v="0"/>
    <s v="2025/04"/>
    <x v="1"/>
    <s v=""/>
  </r>
  <r>
    <x v="1070"/>
    <x v="2"/>
    <x v="1"/>
    <s v="2025/04"/>
    <x v="2"/>
    <n v="1"/>
  </r>
  <r>
    <x v="1070"/>
    <x v="2"/>
    <x v="1"/>
    <s v="2025/04"/>
    <x v="1"/>
    <s v=""/>
  </r>
  <r>
    <x v="1070"/>
    <x v="2"/>
    <x v="1"/>
    <s v="2025/04"/>
    <x v="1"/>
    <s v=""/>
  </r>
  <r>
    <x v="1071"/>
    <x v="2"/>
    <x v="0"/>
    <s v="2025/04"/>
    <x v="0"/>
    <n v="1"/>
  </r>
  <r>
    <x v="1071"/>
    <x v="2"/>
    <x v="0"/>
    <s v="2025/04"/>
    <x v="1"/>
    <s v=""/>
  </r>
  <r>
    <x v="1072"/>
    <x v="2"/>
    <x v="0"/>
    <s v="2025/04"/>
    <x v="0"/>
    <n v="1"/>
  </r>
  <r>
    <x v="1072"/>
    <x v="2"/>
    <x v="0"/>
    <s v="2025/04"/>
    <x v="1"/>
    <s v=""/>
  </r>
  <r>
    <x v="1072"/>
    <x v="2"/>
    <x v="0"/>
    <s v="2025/04"/>
    <x v="1"/>
    <s v=""/>
  </r>
  <r>
    <x v="1072"/>
    <x v="2"/>
    <x v="0"/>
    <s v="2025/04"/>
    <x v="1"/>
    <s v=""/>
  </r>
  <r>
    <x v="1073"/>
    <x v="2"/>
    <x v="1"/>
    <s v="2025/04"/>
    <x v="2"/>
    <n v="1"/>
  </r>
  <r>
    <x v="1074"/>
    <x v="2"/>
    <x v="0"/>
    <s v="2025/04"/>
    <x v="0"/>
    <n v="1"/>
  </r>
  <r>
    <x v="1074"/>
    <x v="2"/>
    <x v="0"/>
    <s v="2025/04"/>
    <x v="1"/>
    <s v=""/>
  </r>
  <r>
    <x v="1074"/>
    <x v="2"/>
    <x v="0"/>
    <s v="2025/04"/>
    <x v="1"/>
    <s v=""/>
  </r>
  <r>
    <x v="1075"/>
    <x v="2"/>
    <x v="1"/>
    <s v="2025/04"/>
    <x v="2"/>
    <n v="1"/>
  </r>
  <r>
    <x v="1075"/>
    <x v="2"/>
    <x v="1"/>
    <s v="2025/04"/>
    <x v="1"/>
    <s v=""/>
  </r>
  <r>
    <x v="1076"/>
    <x v="2"/>
    <x v="1"/>
    <s v="2025/04"/>
    <x v="2"/>
    <n v="1"/>
  </r>
  <r>
    <x v="1076"/>
    <x v="2"/>
    <x v="1"/>
    <s v="2025/04"/>
    <x v="1"/>
    <s v=""/>
  </r>
  <r>
    <x v="1076"/>
    <x v="2"/>
    <x v="1"/>
    <s v="2025/04"/>
    <x v="1"/>
    <s v=""/>
  </r>
  <r>
    <x v="1077"/>
    <x v="2"/>
    <x v="1"/>
    <s v="2025/04"/>
    <x v="2"/>
    <n v="1"/>
  </r>
  <r>
    <x v="1077"/>
    <x v="2"/>
    <x v="1"/>
    <s v="2025/04"/>
    <x v="1"/>
    <s v=""/>
  </r>
  <r>
    <x v="1078"/>
    <x v="2"/>
    <x v="0"/>
    <s v="2025/04"/>
    <x v="0"/>
    <n v="1"/>
  </r>
  <r>
    <x v="1078"/>
    <x v="2"/>
    <x v="0"/>
    <s v="2025/04"/>
    <x v="1"/>
    <s v=""/>
  </r>
  <r>
    <x v="1078"/>
    <x v="2"/>
    <x v="0"/>
    <s v="2025/04"/>
    <x v="1"/>
    <s v=""/>
  </r>
  <r>
    <x v="1079"/>
    <x v="2"/>
    <x v="0"/>
    <s v="2025/04"/>
    <x v="0"/>
    <n v="1"/>
  </r>
  <r>
    <x v="1079"/>
    <x v="2"/>
    <x v="0"/>
    <s v="2025/04"/>
    <x v="1"/>
    <s v=""/>
  </r>
  <r>
    <x v="1079"/>
    <x v="2"/>
    <x v="0"/>
    <s v="2025/04"/>
    <x v="1"/>
    <s v=""/>
  </r>
  <r>
    <x v="1080"/>
    <x v="2"/>
    <x v="1"/>
    <s v="2025/04"/>
    <x v="2"/>
    <n v="1"/>
  </r>
  <r>
    <x v="1080"/>
    <x v="2"/>
    <x v="1"/>
    <s v="2025/04"/>
    <x v="1"/>
    <s v=""/>
  </r>
  <r>
    <x v="1081"/>
    <x v="2"/>
    <x v="0"/>
    <s v="2025/05"/>
    <x v="0"/>
    <n v="1"/>
  </r>
  <r>
    <x v="1081"/>
    <x v="2"/>
    <x v="0"/>
    <s v="2025/05"/>
    <x v="1"/>
    <s v=""/>
  </r>
  <r>
    <x v="1081"/>
    <x v="2"/>
    <x v="0"/>
    <s v="2025/05"/>
    <x v="1"/>
    <s v=""/>
  </r>
  <r>
    <x v="1082"/>
    <x v="2"/>
    <x v="1"/>
    <s v="2025/05"/>
    <x v="2"/>
    <n v="1"/>
  </r>
  <r>
    <x v="1082"/>
    <x v="2"/>
    <x v="1"/>
    <s v="2025/05"/>
    <x v="1"/>
    <s v=""/>
  </r>
  <r>
    <x v="1082"/>
    <x v="2"/>
    <x v="1"/>
    <s v="2025/05"/>
    <x v="1"/>
    <s v=""/>
  </r>
  <r>
    <x v="1083"/>
    <x v="2"/>
    <x v="1"/>
    <s v="2025/05"/>
    <x v="2"/>
    <n v="1"/>
  </r>
  <r>
    <x v="1083"/>
    <x v="2"/>
    <x v="1"/>
    <s v="2025/05"/>
    <x v="1"/>
    <s v=""/>
  </r>
  <r>
    <x v="1084"/>
    <x v="2"/>
    <x v="0"/>
    <s v="2025/05"/>
    <x v="0"/>
    <n v="1"/>
  </r>
  <r>
    <x v="1084"/>
    <x v="2"/>
    <x v="0"/>
    <s v="2025/05"/>
    <x v="1"/>
    <s v=""/>
  </r>
  <r>
    <x v="1084"/>
    <x v="2"/>
    <x v="0"/>
    <s v="2025/05"/>
    <x v="1"/>
    <s v=""/>
  </r>
  <r>
    <x v="1085"/>
    <x v="2"/>
    <x v="0"/>
    <s v="2025/05"/>
    <x v="0"/>
    <n v="1"/>
  </r>
  <r>
    <x v="1085"/>
    <x v="2"/>
    <x v="0"/>
    <s v="2025/05"/>
    <x v="1"/>
    <s v=""/>
  </r>
  <r>
    <x v="1085"/>
    <x v="2"/>
    <x v="0"/>
    <s v="2025/05"/>
    <x v="1"/>
    <s v=""/>
  </r>
  <r>
    <x v="1086"/>
    <x v="2"/>
    <x v="0"/>
    <s v="2025/05"/>
    <x v="0"/>
    <n v="1"/>
  </r>
  <r>
    <x v="1086"/>
    <x v="2"/>
    <x v="0"/>
    <s v="2025/05"/>
    <x v="1"/>
    <s v=""/>
  </r>
  <r>
    <x v="1086"/>
    <x v="2"/>
    <x v="0"/>
    <s v="2025/05"/>
    <x v="1"/>
    <s v=""/>
  </r>
  <r>
    <x v="1087"/>
    <x v="2"/>
    <x v="0"/>
    <s v="2025/05"/>
    <x v="0"/>
    <n v="1"/>
  </r>
  <r>
    <x v="1087"/>
    <x v="2"/>
    <x v="0"/>
    <s v="2025/05"/>
    <x v="1"/>
    <s v=""/>
  </r>
  <r>
    <x v="1088"/>
    <x v="2"/>
    <x v="0"/>
    <s v="2025/05"/>
    <x v="0"/>
    <n v="1"/>
  </r>
  <r>
    <x v="1088"/>
    <x v="2"/>
    <x v="0"/>
    <s v="2025/05"/>
    <x v="1"/>
    <s v=""/>
  </r>
  <r>
    <x v="1088"/>
    <x v="2"/>
    <x v="0"/>
    <s v="2025/05"/>
    <x v="1"/>
    <s v=""/>
  </r>
  <r>
    <x v="1089"/>
    <x v="2"/>
    <x v="0"/>
    <s v="2025/05"/>
    <x v="0"/>
    <n v="1"/>
  </r>
  <r>
    <x v="1089"/>
    <x v="2"/>
    <x v="0"/>
    <s v="2025/05"/>
    <x v="1"/>
    <s v=""/>
  </r>
  <r>
    <x v="1089"/>
    <x v="2"/>
    <x v="0"/>
    <s v="2025/05"/>
    <x v="1"/>
    <s v=""/>
  </r>
  <r>
    <x v="1090"/>
    <x v="2"/>
    <x v="1"/>
    <s v="2025/05"/>
    <x v="2"/>
    <n v="1"/>
  </r>
  <r>
    <x v="1090"/>
    <x v="2"/>
    <x v="1"/>
    <s v="2025/05"/>
    <x v="1"/>
    <s v=""/>
  </r>
  <r>
    <x v="1091"/>
    <x v="2"/>
    <x v="0"/>
    <s v="2025/05"/>
    <x v="0"/>
    <n v="1"/>
  </r>
  <r>
    <x v="1091"/>
    <x v="2"/>
    <x v="0"/>
    <s v="2025/05"/>
    <x v="1"/>
    <s v=""/>
  </r>
  <r>
    <x v="1092"/>
    <x v="2"/>
    <x v="0"/>
    <s v="2025/05"/>
    <x v="0"/>
    <n v="1"/>
  </r>
  <r>
    <x v="1092"/>
    <x v="2"/>
    <x v="0"/>
    <s v="2025/05"/>
    <x v="1"/>
    <s v=""/>
  </r>
  <r>
    <x v="1092"/>
    <x v="2"/>
    <x v="0"/>
    <s v="2025/05"/>
    <x v="1"/>
    <s v=""/>
  </r>
  <r>
    <x v="1092"/>
    <x v="2"/>
    <x v="0"/>
    <s v="2025/05"/>
    <x v="1"/>
    <s v=""/>
  </r>
  <r>
    <x v="1093"/>
    <x v="2"/>
    <x v="0"/>
    <s v="2025/05"/>
    <x v="0"/>
    <n v="1"/>
  </r>
  <r>
    <x v="1093"/>
    <x v="2"/>
    <x v="0"/>
    <s v="2025/05"/>
    <x v="1"/>
    <s v=""/>
  </r>
  <r>
    <x v="1093"/>
    <x v="2"/>
    <x v="0"/>
    <s v="2025/05"/>
    <x v="1"/>
    <s v=""/>
  </r>
  <r>
    <x v="1094"/>
    <x v="2"/>
    <x v="0"/>
    <s v="2025/05"/>
    <x v="0"/>
    <n v="1"/>
  </r>
  <r>
    <x v="1094"/>
    <x v="2"/>
    <x v="0"/>
    <s v="2025/05"/>
    <x v="1"/>
    <s v=""/>
  </r>
  <r>
    <x v="1095"/>
    <x v="2"/>
    <x v="0"/>
    <s v="2025/05"/>
    <x v="0"/>
    <n v="1"/>
  </r>
  <r>
    <x v="1095"/>
    <x v="2"/>
    <x v="0"/>
    <s v="2025/05"/>
    <x v="1"/>
    <s v=""/>
  </r>
  <r>
    <x v="1095"/>
    <x v="2"/>
    <x v="0"/>
    <s v="2025/05"/>
    <x v="1"/>
    <s v=""/>
  </r>
  <r>
    <x v="1096"/>
    <x v="2"/>
    <x v="0"/>
    <s v="2025/05"/>
    <x v="0"/>
    <n v="1"/>
  </r>
  <r>
    <x v="1096"/>
    <x v="2"/>
    <x v="0"/>
    <s v="2025/05"/>
    <x v="1"/>
    <s v=""/>
  </r>
  <r>
    <x v="1097"/>
    <x v="2"/>
    <x v="0"/>
    <s v="2025/05"/>
    <x v="0"/>
    <n v="1"/>
  </r>
  <r>
    <x v="1097"/>
    <x v="2"/>
    <x v="0"/>
    <s v="2025/05"/>
    <x v="1"/>
    <s v=""/>
  </r>
  <r>
    <x v="1097"/>
    <x v="2"/>
    <x v="0"/>
    <s v="2025/05"/>
    <x v="1"/>
    <s v=""/>
  </r>
  <r>
    <x v="1098"/>
    <x v="2"/>
    <x v="0"/>
    <s v="2025/05"/>
    <x v="0"/>
    <n v="1"/>
  </r>
  <r>
    <x v="1098"/>
    <x v="2"/>
    <x v="0"/>
    <s v="2025/05"/>
    <x v="1"/>
    <s v=""/>
  </r>
  <r>
    <x v="1098"/>
    <x v="2"/>
    <x v="0"/>
    <s v="2025/05"/>
    <x v="1"/>
    <s v=""/>
  </r>
  <r>
    <x v="1099"/>
    <x v="2"/>
    <x v="0"/>
    <s v="2025/05"/>
    <x v="0"/>
    <n v="1"/>
  </r>
  <r>
    <x v="1099"/>
    <x v="2"/>
    <x v="0"/>
    <s v="2025/05"/>
    <x v="1"/>
    <s v=""/>
  </r>
  <r>
    <x v="1099"/>
    <x v="2"/>
    <x v="0"/>
    <s v="2025/05"/>
    <x v="1"/>
    <s v=""/>
  </r>
  <r>
    <x v="1100"/>
    <x v="2"/>
    <x v="0"/>
    <s v="2025/05"/>
    <x v="0"/>
    <n v="1"/>
  </r>
  <r>
    <x v="1100"/>
    <x v="2"/>
    <x v="0"/>
    <s v="2025/05"/>
    <x v="1"/>
    <s v=""/>
  </r>
  <r>
    <x v="1100"/>
    <x v="2"/>
    <x v="0"/>
    <s v="2025/05"/>
    <x v="1"/>
    <s v=""/>
  </r>
  <r>
    <x v="1101"/>
    <x v="2"/>
    <x v="0"/>
    <s v="2025/05"/>
    <x v="0"/>
    <n v="1"/>
  </r>
  <r>
    <x v="1101"/>
    <x v="2"/>
    <x v="0"/>
    <s v="2025/05"/>
    <x v="1"/>
    <s v=""/>
  </r>
  <r>
    <x v="1102"/>
    <x v="2"/>
    <x v="0"/>
    <s v="2025/05"/>
    <x v="0"/>
    <n v="1"/>
  </r>
  <r>
    <x v="1102"/>
    <x v="2"/>
    <x v="0"/>
    <s v="2025/05"/>
    <x v="1"/>
    <s v=""/>
  </r>
  <r>
    <x v="1103"/>
    <x v="2"/>
    <x v="0"/>
    <s v="2025/05"/>
    <x v="0"/>
    <n v="1"/>
  </r>
  <r>
    <x v="1103"/>
    <x v="2"/>
    <x v="0"/>
    <s v="2025/05"/>
    <x v="1"/>
    <s v=""/>
  </r>
  <r>
    <x v="1103"/>
    <x v="2"/>
    <x v="0"/>
    <s v="2025/05"/>
    <x v="1"/>
    <s v=""/>
  </r>
  <r>
    <x v="1104"/>
    <x v="2"/>
    <x v="0"/>
    <s v="2025/05"/>
    <x v="0"/>
    <n v="1"/>
  </r>
  <r>
    <x v="1104"/>
    <x v="2"/>
    <x v="0"/>
    <s v="2025/05"/>
    <x v="1"/>
    <s v=""/>
  </r>
  <r>
    <x v="1104"/>
    <x v="2"/>
    <x v="0"/>
    <s v="2025/05"/>
    <x v="1"/>
    <s v=""/>
  </r>
  <r>
    <x v="1105"/>
    <x v="2"/>
    <x v="0"/>
    <s v="2025/05"/>
    <x v="0"/>
    <n v="1"/>
  </r>
  <r>
    <x v="1105"/>
    <x v="2"/>
    <x v="0"/>
    <s v="2025/05"/>
    <x v="1"/>
    <s v=""/>
  </r>
  <r>
    <x v="1106"/>
    <x v="2"/>
    <x v="0"/>
    <s v="2025/05"/>
    <x v="0"/>
    <n v="1"/>
  </r>
  <r>
    <x v="1106"/>
    <x v="2"/>
    <x v="0"/>
    <s v="2025/05"/>
    <x v="1"/>
    <s v=""/>
  </r>
  <r>
    <x v="1106"/>
    <x v="2"/>
    <x v="0"/>
    <s v="2025/05"/>
    <x v="1"/>
    <s v=""/>
  </r>
  <r>
    <x v="1107"/>
    <x v="2"/>
    <x v="0"/>
    <s v="2025/05"/>
    <x v="0"/>
    <n v="1"/>
  </r>
  <r>
    <x v="1107"/>
    <x v="2"/>
    <x v="0"/>
    <s v="2025/05"/>
    <x v="1"/>
    <s v=""/>
  </r>
  <r>
    <x v="1107"/>
    <x v="2"/>
    <x v="0"/>
    <s v="2025/05"/>
    <x v="1"/>
    <s v=""/>
  </r>
  <r>
    <x v="1108"/>
    <x v="2"/>
    <x v="0"/>
    <s v="2025/05"/>
    <x v="0"/>
    <n v="1"/>
  </r>
  <r>
    <x v="1108"/>
    <x v="2"/>
    <x v="0"/>
    <s v="2025/05"/>
    <x v="1"/>
    <s v=""/>
  </r>
  <r>
    <x v="1108"/>
    <x v="2"/>
    <x v="0"/>
    <s v="2025/05"/>
    <x v="1"/>
    <s v=""/>
  </r>
  <r>
    <x v="1109"/>
    <x v="2"/>
    <x v="0"/>
    <s v="2025/05"/>
    <x v="0"/>
    <n v="1"/>
  </r>
  <r>
    <x v="1109"/>
    <x v="2"/>
    <x v="0"/>
    <s v="2025/05"/>
    <x v="1"/>
    <s v=""/>
  </r>
  <r>
    <x v="1109"/>
    <x v="2"/>
    <x v="0"/>
    <s v="2025/05"/>
    <x v="1"/>
    <s v=""/>
  </r>
  <r>
    <x v="1110"/>
    <x v="2"/>
    <x v="0"/>
    <s v="2025/05"/>
    <x v="1"/>
    <s v=""/>
  </r>
  <r>
    <x v="1111"/>
    <x v="2"/>
    <x v="0"/>
    <s v="2025/05"/>
    <x v="0"/>
    <n v="1"/>
  </r>
  <r>
    <x v="1111"/>
    <x v="2"/>
    <x v="0"/>
    <s v="2025/05"/>
    <x v="1"/>
    <s v=""/>
  </r>
  <r>
    <x v="1111"/>
    <x v="2"/>
    <x v="0"/>
    <s v="2025/05"/>
    <x v="1"/>
    <s v=""/>
  </r>
  <r>
    <x v="1112"/>
    <x v="2"/>
    <x v="0"/>
    <s v="2025/05"/>
    <x v="0"/>
    <n v="1"/>
  </r>
  <r>
    <x v="1112"/>
    <x v="2"/>
    <x v="0"/>
    <s v="2025/05"/>
    <x v="1"/>
    <s v=""/>
  </r>
  <r>
    <x v="1112"/>
    <x v="2"/>
    <x v="0"/>
    <s v="2025/05"/>
    <x v="1"/>
    <s v=""/>
  </r>
  <r>
    <x v="1113"/>
    <x v="2"/>
    <x v="0"/>
    <s v="2025/05"/>
    <x v="0"/>
    <n v="1"/>
  </r>
  <r>
    <x v="1113"/>
    <x v="2"/>
    <x v="0"/>
    <s v="2025/05"/>
    <x v="1"/>
    <s v=""/>
  </r>
  <r>
    <x v="1113"/>
    <x v="2"/>
    <x v="0"/>
    <s v="2025/05"/>
    <x v="1"/>
    <s v=""/>
  </r>
  <r>
    <x v="1113"/>
    <x v="2"/>
    <x v="0"/>
    <s v="2025/05"/>
    <x v="1"/>
    <s v=""/>
  </r>
  <r>
    <x v="1114"/>
    <x v="2"/>
    <x v="0"/>
    <s v="2025/05"/>
    <x v="0"/>
    <n v="1"/>
  </r>
  <r>
    <x v="1114"/>
    <x v="2"/>
    <x v="0"/>
    <s v="2025/05"/>
    <x v="1"/>
    <s v=""/>
  </r>
  <r>
    <x v="1115"/>
    <x v="2"/>
    <x v="0"/>
    <s v="2025/05"/>
    <x v="0"/>
    <n v="1"/>
  </r>
  <r>
    <x v="1116"/>
    <x v="2"/>
    <x v="0"/>
    <s v="2025/05"/>
    <x v="1"/>
    <s v=""/>
  </r>
  <r>
    <x v="1116"/>
    <x v="2"/>
    <x v="0"/>
    <s v="2025/05"/>
    <x v="1"/>
    <s v=""/>
  </r>
  <r>
    <x v="1116"/>
    <x v="2"/>
    <x v="0"/>
    <s v="2025/05"/>
    <x v="1"/>
    <s v=""/>
  </r>
  <r>
    <x v="1117"/>
    <x v="2"/>
    <x v="0"/>
    <s v="2025/05"/>
    <x v="0"/>
    <n v="1"/>
  </r>
  <r>
    <x v="1117"/>
    <x v="2"/>
    <x v="0"/>
    <s v="2025/05"/>
    <x v="1"/>
    <s v=""/>
  </r>
  <r>
    <x v="1118"/>
    <x v="2"/>
    <x v="0"/>
    <s v="2025/05"/>
    <x v="0"/>
    <n v="1"/>
  </r>
  <r>
    <x v="1118"/>
    <x v="2"/>
    <x v="0"/>
    <s v="2025/05"/>
    <x v="1"/>
    <s v=""/>
  </r>
  <r>
    <x v="1118"/>
    <x v="2"/>
    <x v="0"/>
    <s v="2025/05"/>
    <x v="1"/>
    <s v=""/>
  </r>
  <r>
    <x v="1119"/>
    <x v="2"/>
    <x v="0"/>
    <s v="2025/05"/>
    <x v="0"/>
    <n v="1"/>
  </r>
  <r>
    <x v="1120"/>
    <x v="2"/>
    <x v="0"/>
    <s v="2025/05"/>
    <x v="1"/>
    <s v=""/>
  </r>
  <r>
    <x v="1120"/>
    <x v="2"/>
    <x v="0"/>
    <s v="2025/05"/>
    <x v="1"/>
    <s v=""/>
  </r>
  <r>
    <x v="1120"/>
    <x v="2"/>
    <x v="0"/>
    <s v="2025/05"/>
    <x v="1"/>
    <s v=""/>
  </r>
  <r>
    <x v="1121"/>
    <x v="2"/>
    <x v="0"/>
    <s v="2025/05"/>
    <x v="0"/>
    <n v="1"/>
  </r>
  <r>
    <x v="1121"/>
    <x v="2"/>
    <x v="0"/>
    <s v="2025/05"/>
    <x v="1"/>
    <s v=""/>
  </r>
  <r>
    <x v="1122"/>
    <x v="2"/>
    <x v="0"/>
    <s v="2025/05"/>
    <x v="0"/>
    <n v="1"/>
  </r>
  <r>
    <x v="1122"/>
    <x v="2"/>
    <x v="0"/>
    <s v="2025/05"/>
    <x v="1"/>
    <s v=""/>
  </r>
  <r>
    <x v="1123"/>
    <x v="2"/>
    <x v="0"/>
    <s v="2025/05"/>
    <x v="0"/>
    <n v="1"/>
  </r>
  <r>
    <x v="1123"/>
    <x v="2"/>
    <x v="0"/>
    <s v="2025/05"/>
    <x v="1"/>
    <s v=""/>
  </r>
  <r>
    <x v="1123"/>
    <x v="2"/>
    <x v="0"/>
    <s v="2025/05"/>
    <x v="1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4" cacheId="14" dataOnRows="1" applyNumberFormats="0" applyBorderFormats="0" applyFontFormats="0" applyPatternFormats="0" applyAlignmentFormats="0" applyWidthHeightFormats="1" dataCaption="資料" updatedVersion="8" showMemberPropertyTips="0" useAutoFormatting="1" itemPrintTitles="1" createdVersion="4" indent="0" compact="0" compactData="0" gridDropZones="1">
  <location ref="M1:N6" firstHeaderRow="2" firstDataRow="2" firstDataCol="1"/>
  <pivotFields count="8">
    <pivotField compact="0" numFmtId="164" outline="0" subtotalTop="0" showAll="0" includeNewItemsInFilter="1"/>
    <pivotField axis="axisRow" compact="0" outline="0" subtotalTop="0" showAll="0" includeNewItemsInFilter="1">
      <items count="5">
        <item x="0"/>
        <item x="1"/>
        <item x="2"/>
        <item m="1" x="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 Hour" fld="7" baseField="1" baseItem="0" numFmtId="167"/>
  </dataFields>
  <formats count="5">
    <format dxfId="26">
      <pivotArea outline="0" fieldPosition="0">
        <references count="1">
          <reference field="4294967294" count="1">
            <x v="0"/>
          </reference>
        </references>
      </pivotArea>
    </format>
    <format dxfId="25">
      <pivotArea outline="0" collapsedLevelsAreSubtotals="1" fieldPosition="0">
        <references count="1">
          <reference field="1" count="0" selected="0"/>
        </references>
      </pivotArea>
    </format>
    <format dxfId="24">
      <pivotArea outline="0" collapsedLevelsAreSubtotals="1" fieldPosition="0">
        <references count="1">
          <reference field="1" count="0" selected="0"/>
        </references>
      </pivotArea>
    </format>
    <format dxfId="23">
      <pivotArea dataOnly="0" labelOnly="1" outline="0" fieldPosition="0">
        <references count="1">
          <reference field="1" count="0"/>
        </references>
      </pivotArea>
    </format>
    <format dxfId="22">
      <pivotArea outline="0" fieldPosition="0">
        <references count="1">
          <reference field="1" count="0" selected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樞紐分析表5" cacheId="14" dataOnRows="1" applyNumberFormats="0" applyBorderFormats="0" applyFontFormats="0" applyPatternFormats="0" applyAlignmentFormats="0" applyWidthHeightFormats="1" dataCaption="資料" updatedVersion="8" showMemberPropertyTips="0" useAutoFormatting="1" itemPrintTitles="1" createdVersion="4" indent="0" compact="0" compactData="0" gridDropZones="1">
  <location ref="P1:R18" firstHeaderRow="2" firstDataRow="2" firstDataCol="2"/>
  <pivotFields count="8">
    <pivotField compact="0" numFmtId="164" outline="0" subtotalTop="0" showAll="0" includeNewItemsInFilter="1"/>
    <pivotField axis="axisRow" compact="0" outline="0" subtotalTop="0" showAll="0" includeNewItemsInFilter="1">
      <items count="5">
        <item x="0"/>
        <item x="1"/>
        <item x="2"/>
        <item m="1" x="3"/>
        <item t="default"/>
      </items>
    </pivotField>
    <pivotField axis="axisRow" compact="0" outline="0" subtotalTop="0" showAll="0" includeNewItemsInFilter="1">
      <items count="12">
        <item x="3"/>
        <item x="1"/>
        <item x="0"/>
        <item x="5"/>
        <item m="1" x="10"/>
        <item m="1" x="7"/>
        <item m="1" x="8"/>
        <item x="6"/>
        <item m="1" x="9"/>
        <item x="2"/>
        <item x="4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"/>
    <field x="2"/>
  </rowFields>
  <rowItems count="16">
    <i>
      <x/>
      <x/>
    </i>
    <i r="1">
      <x v="1"/>
    </i>
    <i r="1">
      <x v="2"/>
    </i>
    <i r="1">
      <x v="9"/>
    </i>
    <i r="1">
      <x v="10"/>
    </i>
    <i t="default">
      <x/>
    </i>
    <i>
      <x v="1"/>
      <x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7"/>
    </i>
    <i t="default">
      <x v="2"/>
    </i>
    <i t="grand">
      <x/>
    </i>
  </rowItems>
  <colItems count="1">
    <i/>
  </colItems>
  <dataFields count="1">
    <dataField name="Run 數" fld="5" baseField="2" baseItem="0"/>
  </dataFields>
  <formats count="6">
    <format dxfId="32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31">
      <pivotArea outline="0" collapsedLevelsAreSubtotals="1" fieldPosition="0">
        <references count="1">
          <reference field="1" count="1" selected="0" defaultSubtotal="1">
            <x v="1"/>
          </reference>
        </references>
      </pivotArea>
    </format>
    <format dxfId="30">
      <pivotArea dataOnly="0" outline="0" fieldPosition="0">
        <references count="1">
          <reference field="1" count="0" defaultSubtotal="1"/>
        </references>
      </pivotArea>
    </format>
    <format dxfId="29">
      <pivotArea grandRow="1" outline="0" collapsedLevelsAreSubtotals="1" fieldPosition="0"/>
    </format>
    <format dxfId="28">
      <pivotArea outline="0" collapsedLevelsAreSubtotals="1" fieldPosition="0">
        <references count="1">
          <reference field="1" count="1" selected="0" defaultSubtotal="1">
            <x v="2"/>
          </reference>
        </references>
      </pivotArea>
    </format>
    <format dxfId="27">
      <pivotArea dataOnly="0" outline="0" fieldPosition="0">
        <references count="1">
          <reference field="1" count="0" defaultSubtotal="1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樞紐分析表7" cacheId="14" applyNumberFormats="0" applyBorderFormats="0" applyFontFormats="0" applyPatternFormats="0" applyAlignmentFormats="0" applyWidthHeightFormats="1" dataCaption="數值" updatedVersion="8" minRefreshableVersion="3" useAutoFormatting="1" itemPrintTitles="1" createdVersion="4" indent="0" compact="0" compactData="0" gridDropZones="1" multipleFieldFilters="0">
  <location ref="A3:D28" firstHeaderRow="2" firstDataRow="2" firstDataCol="3" rowPageCount="1" colPageCount="1"/>
  <pivotFields count="8">
    <pivotField axis="axisRow" compact="0" numFmtId="164" outline="0" showAll="0" defaultSubtotal="0">
      <items count="8000">
        <item m="1" x="4409"/>
        <item m="1" x="4370"/>
        <item m="1" x="7564"/>
        <item m="1" x="7312"/>
        <item m="1" x="4999"/>
        <item m="1" x="4682"/>
        <item m="1" x="4248"/>
        <item m="1" x="4551"/>
        <item m="1" x="5675"/>
        <item m="1" x="6649"/>
        <item m="1" x="4905"/>
        <item m="1" x="6053"/>
        <item m="1" x="6214"/>
        <item m="1" x="4617"/>
        <item m="1" x="5268"/>
        <item m="1" x="4653"/>
        <item m="1" x="7009"/>
        <item m="1" x="5065"/>
        <item m="1" x="5325"/>
        <item m="1" x="7878"/>
        <item m="1" x="6509"/>
        <item m="1" x="5058"/>
        <item m="1" x="5931"/>
        <item m="1" x="7670"/>
        <item m="1" x="7079"/>
        <item m="1" x="6041"/>
        <item m="1" x="6180"/>
        <item m="1" x="6890"/>
        <item m="1" x="6042"/>
        <item m="1" x="5320"/>
        <item m="1" x="4444"/>
        <item m="1" x="7912"/>
        <item m="1" x="6231"/>
        <item m="1" x="6555"/>
        <item m="1" x="6852"/>
        <item m="1" x="6270"/>
        <item m="1" x="4557"/>
        <item m="1" x="4586"/>
        <item m="1" x="5570"/>
        <item m="1" x="7336"/>
        <item m="1" x="6774"/>
        <item m="1" x="7019"/>
        <item m="1" x="5764"/>
        <item m="1" x="6569"/>
        <item m="1" x="7514"/>
        <item m="1" x="7188"/>
        <item m="1" x="7530"/>
        <item m="1" x="7542"/>
        <item m="1" x="4161"/>
        <item m="1" x="7152"/>
        <item m="1" x="6317"/>
        <item m="1" x="5586"/>
        <item m="1" x="5407"/>
        <item m="1" x="7390"/>
        <item m="1" x="5940"/>
        <item m="1" x="7736"/>
        <item m="1" x="5129"/>
        <item m="1" x="5225"/>
        <item m="1" x="6386"/>
        <item m="1" x="5059"/>
        <item m="1" x="5343"/>
        <item m="1" x="4618"/>
        <item m="1" x="6170"/>
        <item m="1" x="5429"/>
        <item m="1" x="4421"/>
        <item m="1" x="6121"/>
        <item m="1" x="6711"/>
        <item m="1" x="4249"/>
        <item m="1" x="5640"/>
        <item m="1" x="7448"/>
        <item m="1" x="7543"/>
        <item m="1" x="7580"/>
        <item m="1" x="5397"/>
        <item m="1" x="6222"/>
        <item m="1" x="7169"/>
        <item m="1" x="7179"/>
        <item m="1" x="5344"/>
        <item m="1" x="7313"/>
        <item m="1" x="7381"/>
        <item m="1" x="5285"/>
        <item m="1" x="4102"/>
        <item m="1" x="4263"/>
        <item m="1" x="6181"/>
        <item m="1" x="6443"/>
        <item m="1" x="7900"/>
        <item m="1" x="7398"/>
        <item m="1" x="5992"/>
        <item m="1" x="6325"/>
        <item m="1" x="5040"/>
        <item m="1" x="7303"/>
        <item m="1" x="6005"/>
        <item m="1" x="7576"/>
        <item m="1" x="6078"/>
        <item m="1" x="6806"/>
        <item m="1" x="6760"/>
        <item m="1" x="4840"/>
        <item m="1" x="7829"/>
        <item m="1" x="3952"/>
        <item m="1" x="5481"/>
        <item m="1" x="5967"/>
        <item m="1" x="5269"/>
        <item m="1" x="7727"/>
        <item m="1" x="5826"/>
        <item m="1" x="5060"/>
        <item m="1" x="5797"/>
        <item m="1" x="5081"/>
        <item m="1" x="5041"/>
        <item m="1" x="5142"/>
        <item m="1" x="4354"/>
        <item m="1" x="7356"/>
        <item m="1" x="4291"/>
        <item m="1" x="5500"/>
        <item m="1" x="4870"/>
        <item m="1" x="6799"/>
        <item m="1" x="4401"/>
        <item m="1" x="7399"/>
        <item m="1" x="6787"/>
        <item m="1" x="7449"/>
        <item m="1" x="6829"/>
        <item m="1" x="7365"/>
        <item m="1" x="6198"/>
        <item m="1" x="4394"/>
        <item m="1" x="6379"/>
        <item m="1" x="7758"/>
        <item m="1" x="6241"/>
        <item m="1" x="6054"/>
        <item m="1" x="7999"/>
        <item m="1" x="7886"/>
        <item m="1" x="7565"/>
        <item m="1" x="7591"/>
        <item m="1" x="6068"/>
        <item m="1" x="7872"/>
        <item m="1" x="7189"/>
        <item m="1" x="5603"/>
        <item m="1" x="6404"/>
        <item m="1" x="7666"/>
        <item m="1" x="6775"/>
        <item m="1" x="7098"/>
        <item m="1" x="5827"/>
        <item m="1" x="7199"/>
        <item m="1" x="4539"/>
        <item m="1" x="7861"/>
        <item m="1" x="7529"/>
        <item m="1" x="5745"/>
        <item m="1" x="7655"/>
        <item m="1" x="6798"/>
        <item m="1" x="7685"/>
        <item m="1" x="5365"/>
        <item m="1" x="6751"/>
        <item m="1" x="5104"/>
        <item m="1" x="4695"/>
        <item m="1" x="7792"/>
        <item m="1" x="4627"/>
        <item m="1" x="6363"/>
        <item m="1" x="6583"/>
        <item m="1" x="7099"/>
        <item m="1" x="4004"/>
        <item m="1" x="5993"/>
        <item m="1" x="7374"/>
        <item m="1" x="5201"/>
        <item m="1" x="6340"/>
        <item m="1" x="6326"/>
        <item m="1" x="5251"/>
        <item m="1" x="7337"/>
        <item m="1" x="5746"/>
        <item m="1" x="6416"/>
        <item m="1" x="4250"/>
        <item m="1" x="7060"/>
        <item m="1" x="6743"/>
        <item m="1" x="7450"/>
        <item m="1" x="5787"/>
        <item m="1" x="4788"/>
        <item m="1" x="6915"/>
        <item m="1" x="6396"/>
        <item m="1" x="6788"/>
        <item m="1" x="6136"/>
        <item m="1" x="4456"/>
        <item m="1" x="6556"/>
        <item m="1" x="7170"/>
        <item m="1" x="4341"/>
        <item m="1" x="7171"/>
        <item m="1" x="7221"/>
        <item m="1" x="7821"/>
        <item m="1" x="4342"/>
        <item m="1" x="6577"/>
        <item m="1" x="5298"/>
        <item m="1" x="7116"/>
        <item m="1" x="6937"/>
        <item m="1" x="7728"/>
        <item m="1" x="4410"/>
        <item m="1" x="6252"/>
        <item m="1" x="6637"/>
        <item m="1" x="7482"/>
        <item m="1" x="4523"/>
        <item m="1" x="5983"/>
        <item m="1" x="6938"/>
        <item m="1" x="4929"/>
        <item m="1" x="6891"/>
        <item m="1" x="5968"/>
        <item m="1" x="4084"/>
        <item m="1" x="4813"/>
        <item m="1" x="4880"/>
        <item m="1" x="5666"/>
        <item m="1" x="6789"/>
        <item m="1" x="5202"/>
        <item m="1" x="7759"/>
        <item m="1" x="4146"/>
        <item m="1" x="4801"/>
        <item m="1" x="4661"/>
        <item m="1" x="7778"/>
        <item m="1" x="4277"/>
        <item m="1" x="7279"/>
        <item m="1" x="5430"/>
        <item m="1" x="7426"/>
        <item m="1" x="4196"/>
        <item m="1" x="4723"/>
        <item m="1" x="6980"/>
        <item m="1" x="6207"/>
        <item m="1" x="5501"/>
        <item m="1" x="4524"/>
        <item m="1" x="7617"/>
        <item m="1" x="7965"/>
        <item m="1" x="7729"/>
        <item m="1" x="4814"/>
        <item m="1" x="7240"/>
        <item m="1" x="6720"/>
        <item m="1" x="6964"/>
        <item m="1" x="5011"/>
        <item m="1" x="4696"/>
        <item m="1" x="5969"/>
        <item m="1" x="5143"/>
        <item m="1" x="4227"/>
        <item m="1" x="4484"/>
        <item m="1" x="5321"/>
        <item m="1" x="5788"/>
        <item m="1" x="5616"/>
        <item m="1" x="6491"/>
        <item m="1" x="6405"/>
        <item m="1" x="6721"/>
        <item m="1" x="6492"/>
        <item m="1" x="7966"/>
        <item m="1" x="6970"/>
        <item m="1" x="6444"/>
        <item m="1" x="5408"/>
        <item m="1" x="5468"/>
        <item m="1" x="7618"/>
        <item m="1" x="4573"/>
        <item m="1" x="6606"/>
        <item m="1" x="6426"/>
        <item m="1" x="5789"/>
        <item m="1" x="5355"/>
        <item m="1" x="7161"/>
        <item m="1" x="4147"/>
        <item m="1" x="4971"/>
        <item m="1" x="4395"/>
        <item m="1" x="7887"/>
        <item m="1" x="4972"/>
        <item m="1" x="6627"/>
        <item m="1" x="6097"/>
        <item m="1" x="7696"/>
        <item m="1" x="5000"/>
        <item m="1" x="7720"/>
        <item m="1" x="5564"/>
        <item m="1" x="5301"/>
        <item m="1" x="6493"/>
        <item m="1" x="7595"/>
        <item m="1" x="6999"/>
        <item m="1" x="4952"/>
        <item m="1" x="7707"/>
        <item m="1" x="7011"/>
        <item m="1" x="5469"/>
        <item m="1" x="4085"/>
        <item m="1" x="4856"/>
        <item m="1" x="7222"/>
        <item m="1" x="4560"/>
        <item m="1" x="4684"/>
        <item m="1" x="6079"/>
        <item m="1" x="4292"/>
        <item m="1" x="6700"/>
        <item m="1" x="6292"/>
        <item m="1" x="4175"/>
        <item m="1" x="7259"/>
        <item m="1" x="4959"/>
        <item m="1" x="7100"/>
        <item m="1" x="5547"/>
        <item m="1" x="7973"/>
        <item m="1" x="4125"/>
        <item m="1" x="4525"/>
        <item m="1" x="7698"/>
        <item m="1" x="4741"/>
        <item m="1" x="4073"/>
        <item m="1" x="7721"/>
        <item m="1" x="7243"/>
        <item m="1" x="6511"/>
        <item m="1" x="5868"/>
        <item m="1" x="5345"/>
        <item m="1" x="5729"/>
        <item m="1" x="6055"/>
        <item m="1" x="4924"/>
        <item m="1" x="5829"/>
        <item m="1" x="4552"/>
        <item m="1" x="7708"/>
        <item m="1" x="4697"/>
        <item m="1" x="6843"/>
        <item m="1" x="6878"/>
        <item m="1" x="7418"/>
        <item m="1" x="7401"/>
        <item m="1" x="5984"/>
        <item m="1" x="6090"/>
        <item m="1" x="7760"/>
        <item m="1" x="5366"/>
        <item m="1" x="4953"/>
        <item m="1" x="4629"/>
        <item m="1" x="4459"/>
        <item m="1" x="7737"/>
        <item m="1" x="5503"/>
        <item m="1" x="3966"/>
        <item m="1" x="7201"/>
        <item m="1" x="6621"/>
        <item m="1" x="6956"/>
        <item m="1" x="6370"/>
        <item m="1" x="4575"/>
        <item m="1" x="5092"/>
        <item m="1" x="4778"/>
        <item m="1" x="4648"/>
        <item m="1" x="5539"/>
        <item m="1" x="4803"/>
        <item m="1" x="5891"/>
        <item m="1" x="6807"/>
        <item m="1" x="5377"/>
        <item m="1" x="4217"/>
        <item m="1" x="6752"/>
        <item m="1" x="4540"/>
        <item m="1" x="5286"/>
        <item m="1" x="4364"/>
        <item m="1" x="4919"/>
        <item m="1" x="4327"/>
        <item m="1" x="6371"/>
        <item m="1" x="6161"/>
        <item m="1" x="5398"/>
        <item m="1" x="6445"/>
        <item m="1" x="7502"/>
        <item m="1" x="6761"/>
        <item m="1" x="5954"/>
        <item m="1" x="7258"/>
        <item m="1" x="7020"/>
        <item m="1" x="6215"/>
        <item m="1" x="4228"/>
        <item m="1" x="5105"/>
        <item m="1" x="6327"/>
        <item m="1" x="7314"/>
        <item m="1" x="4183"/>
        <item m="1" x="4027"/>
        <item m="1" x="7611"/>
        <item m="1" x="5676"/>
        <item m="1" x="3965"/>
        <item m="1" x="7566"/>
        <item m="1" x="4473"/>
        <item m="1" x="5012"/>
        <item m="1" x="6271"/>
        <item m="1" x="4264"/>
        <item m="1" x="4654"/>
        <item m="1" x="5654"/>
        <item m="1" x="7544"/>
        <item m="1" x="7671"/>
        <item m="1" x="6638"/>
        <item m="1" x="5502"/>
        <item m="1" x="5226"/>
        <item m="1" x="7436"/>
        <item m="1" x="4517"/>
        <item m="1" x="7581"/>
        <item m="1" x="5667"/>
        <item m="1" x="7960"/>
        <item m="1" x="6465"/>
        <item m="1" x="6681"/>
        <item m="1" x="6146"/>
        <item m="1" x="5299"/>
        <item m="1" x="4229"/>
        <item m="1" x="4797"/>
        <item m="1" x="4162"/>
        <item m="1" x="6023"/>
        <item m="1" x="4647"/>
        <item m="1" x="4137"/>
        <item m="1" x="6762"/>
        <item m="1" x="4881"/>
        <item m="1" x="4683"/>
        <item m="1" x="4765"/>
        <item m="1" x="5828"/>
        <item m="1" x="6341"/>
        <item m="1" x="4918"/>
        <item m="1" x="5001"/>
        <item m="1" x="7830"/>
        <item m="1" x="6006"/>
        <item m="1" x="6328"/>
        <item m="1" x="4639"/>
        <item m="1" x="4823"/>
        <item m="1" x="7172"/>
        <item m="1" x="6510"/>
        <item m="1" x="4724"/>
        <item m="1" x="6830"/>
        <item m="1" x="4708"/>
        <item m="1" x="5728"/>
        <item m="1" x="6955"/>
        <item m="1" x="5595"/>
        <item m="1" x="6965"/>
        <item m="1" x="5955"/>
        <item m="1" x="5878"/>
        <item m="1" x="4058"/>
        <item m="1" x="5695"/>
        <item m="1" x="7592"/>
        <item m="1" x="6182"/>
        <item m="1" x="6098"/>
        <item m="1" x="7252"/>
        <item m="1" x="4005"/>
        <item m="1" x="4815"/>
        <item m="1" x="7913"/>
        <item m="1" x="5409"/>
        <item m="1" x="7190"/>
        <item m="1" x="4445"/>
        <item m="1" x="6364"/>
        <item m="1" x="6232"/>
        <item m="1" x="4230"/>
        <item m="1" x="6122"/>
        <item m="1" x="6454"/>
        <item m="1" x="7879"/>
        <item m="1" x="5511"/>
        <item m="1" x="4766"/>
        <item m="1" x="7465"/>
        <item m="1" x="4628"/>
        <item m="1" x="7634"/>
        <item m="1" x="6921"/>
        <item m="1" x="5154"/>
        <item m="1" x="6534"/>
        <item m="1" x="5300"/>
        <item m="1" x="4326"/>
        <item m="1" x="4587"/>
        <item m="1" x="5558"/>
        <item m="1" x="5106"/>
        <item m="1" x="4446"/>
        <item m="1" x="4197"/>
        <item m="1" x="7357"/>
        <item m="1" x="4457"/>
        <item m="1" x="4824"/>
        <item m="1" x="6233"/>
        <item m="1" x="7841"/>
        <item m="1" x="5721"/>
        <item m="1" x="5668"/>
        <item m="1" x="6369"/>
        <item m="1" x="5013"/>
        <item m="1" x="4163"/>
        <item m="1" x="5431"/>
        <item m="1" x="6971"/>
        <item m="1" x="7672"/>
        <item m="1" x="6089"/>
        <item m="1" x="7515"/>
        <item m="1" x="7010"/>
        <item m="1" x="7593"/>
        <item m="1" x="6570"/>
        <item m="1" x="7061"/>
        <item m="1" x="7088"/>
        <item m="1" x="4371"/>
        <item m="1" x="5066"/>
        <item m="1" x="4355"/>
        <item m="1" x="5314"/>
        <item m="1" x="4882"/>
        <item m="1" x="4251"/>
        <item m="1" x="4973"/>
        <item m="1" x="7241"/>
        <item m="1" x="6776"/>
        <item m="1" x="6892"/>
        <item m="1" x="5890"/>
        <item m="1" x="5326"/>
        <item m="1" x="4558"/>
        <item m="1" x="5530"/>
        <item m="1" x="7686"/>
        <item m="1" x="6099"/>
        <item m="1" x="5022"/>
        <item m="1" x="6199"/>
        <item m="1" x="7619"/>
        <item m="1" x="5736"/>
        <item m="1" x="6483"/>
        <item m="1" x="6658"/>
        <item m="1" x="5482"/>
        <item m="1" x="6981"/>
        <item m="1" x="5082"/>
        <item m="1" x="7466"/>
        <item m="1" x="4059"/>
        <item m="1" x="4777"/>
        <item m="1" x="6455"/>
        <item m="1" x="6417"/>
        <item m="1" x="6842"/>
        <item m="1" x="5941"/>
        <item m="1" x="4930"/>
        <item m="1" x="7338"/>
        <item m="1" x="7673"/>
        <item m="1" x="4278"/>
        <item m="1" x="5942"/>
        <item m="1" x="5709"/>
        <item m="1" x="7851"/>
        <item m="1" x="4574"/>
        <item m="1" x="5083"/>
        <item m="1" x="7282"/>
        <item m="1" x="6308"/>
        <item m="1" x="4362"/>
        <item m="1" x="6123"/>
        <item m="1" x="7554"/>
        <item m="1" x="6043"/>
        <item m="1" x="5076"/>
        <item m="1" x="5685"/>
        <item m="1" x="6639"/>
        <item m="1" x="6972"/>
        <item m="1" x="7862"/>
        <item m="1" x="6853"/>
        <item m="1" x="6100"/>
        <item m="1" x="5175"/>
        <item m="1" x="7289"/>
        <item m="1" x="4825"/>
        <item m="1" x="6289"/>
        <item m="1" x="7988"/>
        <item m="1" x="5259"/>
        <item m="1" x="7503"/>
        <item m="1" x="7831"/>
        <item m="1" x="4040"/>
        <item m="1" x="6216"/>
        <item m="1" x="4854"/>
        <item m="1" x="5376"/>
        <item m="1" x="5604"/>
        <item m="1" x="5061"/>
        <item m="1" x="7242"/>
        <item m="1" x="7191"/>
        <item m="1" x="5483"/>
        <item m="1" x="7350"/>
        <item m="1" x="6998"/>
        <item m="1" x="5596"/>
        <item m="1" x="6763"/>
        <item m="1" x="4164"/>
        <item m="1" x="6822"/>
        <item m="1" x="6387"/>
        <item m="1" x="4458"/>
        <item m="1" x="6124"/>
        <item m="1" x="4559"/>
        <item m="1" x="5546"/>
        <item m="1" x="5838"/>
        <item m="1" x="7351"/>
        <item m="1" x="7283"/>
        <item m="1" x="6125"/>
        <item m="1" x="6290"/>
        <item m="1" x="7280"/>
        <item m="1" x="7914"/>
        <item m="1" x="4198"/>
        <item m="1" x="4265"/>
        <item m="1" x="7504"/>
        <item m="1" x="6466"/>
        <item m="1" x="5655"/>
        <item m="1" x="5737"/>
        <item m="1" x="7339"/>
        <item m="1" x="4174"/>
        <item m="1" x="6291"/>
        <item m="1" x="7697"/>
        <item m="1" x="7200"/>
        <item m="1" x="6456"/>
        <item m="1" x="5121"/>
        <item m="1" x="4588"/>
        <item m="1" x="6712"/>
        <item m="1" x="6594"/>
        <item m="1" x="7437"/>
        <item m="1" x="7594"/>
        <item m="1" x="7656"/>
        <item m="1" x="6823"/>
        <item m="1" x="5512"/>
        <item m="1" x="5970"/>
        <item m="1" x="5023"/>
        <item m="1" x="4184"/>
        <item m="1" x="4494"/>
        <item m="1" x="4518"/>
        <item m="1" x="4252"/>
        <item m="1" x="4317"/>
        <item m="1" x="7117"/>
        <item m="1" x="6939"/>
        <item m="1" x="6152"/>
        <item m="1" x="7451"/>
        <item m="1" x="7038"/>
        <item m="1" x="6457"/>
        <item m="1" x="7657"/>
        <item m="1" x="4662"/>
        <item m="1" x="5773"/>
        <item m="1" x="5260"/>
        <item m="1" x="7405"/>
        <item m="1" x="4981"/>
        <item m="1" x="5531"/>
        <item m="1" x="6595"/>
        <item m="1" x="4855"/>
        <item m="1" x="4019"/>
        <item m="1" x="6183"/>
        <item m="1" x="7210"/>
        <item m="1" x="5571"/>
        <item m="1" x="7400"/>
        <item m="1" x="7192"/>
        <item m="1" x="4802"/>
        <item m="1" x="4495"/>
        <item m="1" x="4663"/>
        <item m="1" x="6966"/>
        <item m="1" x="4012"/>
        <item m="1" x="5798"/>
        <item m="1" x="4422"/>
        <item m="1" x="4199"/>
        <item m="1" x="4606"/>
        <item m="1" x="4072"/>
        <item m="1" x="6620"/>
        <item m="1" x="6467"/>
        <item m="1" x="5339"/>
        <item m="1" x="5315"/>
        <item m="1" x="4402"/>
        <item m="1" x="4363"/>
        <item m="1" x="4185"/>
        <item m="1" x="5641"/>
        <item m="1" x="4597"/>
        <item m="1" x="6115"/>
        <item m="1" x="7925"/>
        <item m="1" x="7935"/>
        <item m="1" x="5902"/>
        <item m="1" x="5237"/>
        <item m="1" x="7880"/>
        <item m="1" x="7101"/>
        <item m="1" x="4685"/>
        <item m="1" x="4300"/>
        <item m="1" x="7545"/>
        <item m="1" x="5879"/>
        <item m="1" x="4541"/>
        <item m="1" x="4664"/>
        <item m="1" x="6777"/>
        <item m="1" x="4804"/>
        <item m="1" x="4889"/>
        <item m="1" x="6126"/>
        <item m="1" x="6824"/>
        <item m="1" x="7567"/>
        <item m="1" x="7223"/>
        <item m="1" x="5532"/>
        <item m="1" x="7102"/>
        <item m="1" x="4318"/>
        <item m="1" x="4060"/>
        <item m="1" x="5042"/>
        <item m="1" x="6069"/>
        <item m="1" x="6650"/>
        <item m="1" x="5677"/>
        <item m="1" x="7366"/>
        <item m="1" x="4655"/>
        <item m="1" x="5845"/>
        <item m="1" x="4982"/>
        <item m="1" x="7936"/>
        <item m="1" x="6950"/>
        <item m="1" x="7471"/>
        <item m="1" x="7142"/>
        <item m="1" x="4411"/>
        <item m="1" x="4041"/>
        <item m="1" x="6982"/>
        <item m="1" x="6342"/>
        <item m="1" x="6015"/>
        <item m="1" x="7951"/>
        <item m="1" x="5227"/>
        <item m="1" x="6016"/>
        <item m="1" x="5238"/>
        <item m="1" x="5485"/>
        <item m="1" x="7687"/>
        <item m="1" x="7260"/>
        <item m="1" x="6922"/>
        <item m="1" x="4242"/>
        <item m="1" x="6056"/>
        <item m="1" x="6282"/>
        <item m="1" x="6607"/>
        <item m="1" x="7832"/>
        <item m="1" x="5484"/>
        <item m="1" x="5130"/>
        <item m="1" x="5458"/>
        <item m="1" x="7779"/>
        <item m="1" x="4435"/>
        <item m="1" x="5291"/>
        <item m="1" x="6790"/>
        <item m="1" x="6831"/>
        <item m="1" x="7943"/>
        <item m="1" x="5597"/>
        <item m="1" x="6713"/>
        <item m="1" x="6318"/>
        <item m="1" x="4496"/>
        <item m="1" x="5084"/>
        <item m="1" x="4542"/>
        <item m="1" x="5378"/>
        <item m="1" x="6906"/>
        <item m="1" x="6101"/>
        <item m="1" x="7804"/>
        <item m="1" x="6299"/>
        <item m="1" x="5093"/>
        <item m="1" x="4983"/>
        <item m="1" x="7568"/>
        <item m="1" x="6162"/>
        <item m="1" x="6731"/>
        <item m="1" x="6571"/>
        <item m="1" x="4061"/>
        <item m="1" x="7050"/>
        <item m="1" x="4387"/>
        <item m="1" x="5346"/>
        <item m="1" x="7746"/>
        <item m="1" x="5722"/>
        <item m="1" x="5678"/>
        <item m="1" x="5518"/>
        <item m="1" x="4857"/>
        <item m="1" x="4372"/>
        <item m="1" x="6329"/>
        <item m="1" x="6223"/>
        <item m="1" x="6578"/>
        <item m="1" x="6283"/>
        <item m="1" x="4126"/>
        <item m="1" x="6091"/>
        <item m="1" x="7304"/>
        <item m="1" x="4984"/>
        <item m="1" x="7761"/>
        <item m="1" x="5155"/>
        <item m="1" x="7069"/>
        <item m="1" x="4042"/>
        <item m="1" x="7272"/>
        <item m="1" x="6764"/>
        <item m="1" x="4826"/>
        <item m="1" x="6673"/>
        <item m="1" x="7596"/>
        <item m="1" x="6262"/>
        <item m="1" x="4028"/>
        <item m="1" x="4561"/>
        <item m="1" x="4279"/>
        <item m="1" x="6116"/>
        <item m="1" x="3953"/>
        <item m="1" x="7290"/>
        <item m="1" x="6512"/>
        <item m="1" x="4373"/>
        <item m="1" x="7202"/>
        <item m="1" x="5213"/>
        <item m="1" x="5869"/>
        <item m="1" x="4186"/>
        <item m="1" x="5214"/>
        <item m="1" x="7089"/>
        <item m="1" x="6844"/>
        <item m="1" x="4841"/>
        <item m="1" x="5024"/>
        <item m="1" x="6224"/>
        <item m="1" x="4176"/>
        <item m="1" x="6035"/>
        <item m="1" x="4649"/>
        <item m="1" x="6147"/>
        <item m="1" x="7467"/>
        <item m="1" x="5806"/>
        <item m="1" x="4266"/>
        <item m="1" x="6036"/>
        <item m="1" x="6916"/>
        <item m="1" x="5486"/>
        <item m="1" x="6494"/>
        <item m="1" x="4447"/>
        <item m="1" x="4665"/>
        <item m="1" x="7193"/>
        <item m="1" x="4074"/>
        <item m="1" x="5846"/>
        <item m="1" x="5956"/>
        <item m="1" x="6437"/>
        <item m="1" x="7531"/>
        <item m="1" x="6778"/>
        <item m="1" x="6957"/>
        <item m="1" x="7532"/>
        <item m="1" x="3967"/>
        <item m="1" x="6300"/>
        <item m="1" x="6753"/>
        <item m="1" x="7080"/>
        <item m="1" x="4543"/>
        <item m="1" x="6468"/>
        <item m="1" x="6484"/>
        <item m="1" x="5043"/>
        <item m="1" x="5270"/>
        <item m="1" x="6446"/>
        <item m="1" x="7406"/>
        <item m="1" x="4985"/>
        <item m="1" x="7873"/>
        <item m="1" x="4474"/>
        <item m="1" x="4103"/>
        <item m="1" x="4380"/>
        <item m="1" x="5598"/>
        <item m="1" x="6330"/>
        <item m="1" x="6406"/>
        <item m="1" x="7291"/>
        <item m="1" x="5985"/>
        <item m="1" x="7021"/>
        <item m="1" x="6779"/>
        <item m="1" x="6816"/>
        <item m="1" x="7822"/>
        <item m="1" x="5710"/>
        <item m="1" x="4343"/>
        <item m="1" x="5816"/>
        <item m="1" x="7863"/>
        <item m="1" x="4954"/>
        <item m="1" x="4293"/>
        <item m="1" x="7974"/>
        <item m="1" x="7533"/>
        <item m="1" x="6557"/>
        <item m="1" x="5239"/>
        <item m="1" x="5880"/>
        <item m="1" x="6163"/>
        <item m="1" x="7315"/>
        <item m="1" x="4253"/>
        <item m="1" x="5094"/>
        <item m="1" x="4842"/>
        <item m="1" x="7427"/>
        <item m="1" x="7000"/>
        <item m="1" x="7674"/>
        <item m="1" x="6242"/>
        <item m="1" x="5548"/>
        <item m="1" x="4698"/>
        <item m="1" x="4640"/>
        <item m="1" x="7180"/>
        <item m="1" x="6951"/>
        <item m="1" x="4562"/>
        <item m="1" x="7546"/>
        <item m="1" x="5002"/>
        <item m="1" x="4986"/>
        <item m="1" x="5738"/>
        <item m="1" x="6352"/>
        <item m="1" x="7881"/>
        <item m="1" x="7323"/>
        <item m="1" x="4960"/>
        <item m="1" x="6808"/>
        <item m="1" x="7643"/>
        <item m="1" x="6153"/>
        <item m="1" x="4006"/>
        <item m="1" x="6272"/>
        <item m="1" x="5932"/>
        <item m="1" x="6171"/>
        <item m="1" x="3977"/>
        <item m="1" x="5327"/>
        <item m="1" x="7407"/>
        <item m="1" x="4656"/>
        <item m="1" x="4328"/>
        <item m="1" x="7391"/>
        <item m="1" x="5747"/>
        <item m="1" x="7842"/>
        <item m="1" x="5704"/>
        <item m="1" x="5765"/>
        <item m="1" x="6923"/>
        <item m="1" x="5565"/>
        <item m="1" x="7022"/>
        <item m="1" x="4365"/>
        <item m="1" x="5164"/>
        <item m="1" x="4871"/>
        <item m="1" x="6057"/>
        <item m="1" x="5617"/>
        <item m="1" x="7688"/>
        <item m="1" x="5774"/>
        <item m="1" x="6832"/>
        <item m="1" x="4666"/>
        <item m="1" x="5122"/>
        <item m="1" x="6495"/>
        <item m="1" x="7143"/>
        <item m="1" x="4148"/>
        <item m="1" x="7452"/>
        <item m="1" x="6628"/>
        <item m="1" x="7864"/>
        <item m="1" x="5572"/>
        <item m="1" x="7051"/>
        <item m="1" x="5025"/>
        <item m="1" x="4301"/>
        <item m="1" x="5203"/>
        <item m="1" x="4686"/>
        <item m="1" x="4231"/>
        <item m="1" x="6572"/>
        <item m="1" x="5656"/>
        <item m="1" x="4138"/>
        <item m="1" x="6958"/>
        <item m="1" x="5957"/>
        <item m="1" x="5854"/>
        <item m="1" x="4243"/>
        <item m="1" x="5032"/>
        <item m="1" x="6469"/>
        <item m="1" x="6234"/>
        <item m="1" x="6651"/>
        <item m="1" x="7882"/>
        <item m="1" x="7081"/>
        <item m="1" x="6427"/>
        <item m="1" x="6102"/>
        <item m="1" x="7324"/>
        <item m="1" x="6608"/>
        <item m="1" x="6080"/>
        <item m="1" x="6765"/>
        <item m="1" x="7747"/>
        <item m="1" x="5439"/>
        <item m="1" x="4883"/>
        <item m="1" x="4366"/>
        <item m="1" x="6331"/>
        <item m="1" x="4497"/>
        <item m="1" x="7582"/>
        <item m="1" x="5144"/>
        <item m="1" x="6817"/>
        <item m="1" x="7340"/>
        <item m="1" x="7952"/>
        <item m="1" x="4374"/>
        <item m="1" x="6154"/>
        <item m="1" x="6629"/>
        <item m="1" x="6464"/>
        <item m="1" x="7738"/>
        <item m="1" x="7905"/>
        <item m="1" x="5279"/>
        <item m="1" x="6245"/>
        <item m="1" x="7506"/>
        <item m="1" x="7264"/>
        <item m="1" x="4831"/>
        <item m="1" x="6910"/>
        <item m="1" x="6381"/>
        <item m="1" x="4501"/>
        <item m="1" x="3972"/>
        <item m="1" x="7978"/>
        <item m="1" x="4152"/>
        <item m="1" x="7569"/>
        <item m="1" x="5894"/>
        <item m="1" x="7979"/>
        <item m="1" x="6374"/>
        <item m="1" x="6810"/>
        <item m="1" x="5190"/>
        <item m="1" x="7261"/>
        <item m="1" x="4789"/>
        <item m="1" x="4423"/>
        <item m="1" x="6184"/>
        <item m="1" x="6879"/>
        <item m="1" x="7635"/>
        <item m="1" x="7367"/>
        <item m="1" x="7624"/>
        <item m="1" x="5830"/>
        <item m="1" x="5513"/>
        <item m="1" x="7194"/>
        <item m="1" x="7520"/>
        <item m="1" x="5328"/>
        <item m="1" x="4872"/>
        <item m="1" x="5933"/>
        <item m="1" x="6800"/>
        <item m="1" x="5302"/>
        <item m="1" x="5067"/>
        <item m="1" x="4200"/>
        <item m="1" x="5605"/>
        <item m="1" x="5448"/>
        <item m="1" x="5807"/>
        <item m="1" x="6253"/>
        <item m="1" x="7273"/>
        <item m="1" x="6501"/>
        <item m="1" x="4013"/>
        <item m="1" x="4149"/>
        <item m="1" x="4699"/>
        <item m="1" x="6332"/>
        <item m="1" x="3968"/>
        <item m="1" x="6535"/>
        <item m="1" x="6907"/>
        <item m="1" x="7173"/>
        <item m="1" x="4232"/>
        <item m="1" x="4448"/>
        <item m="1" x="4827"/>
        <item m="1" x="5627"/>
        <item m="1" x="4475"/>
        <item m="1" x="3988"/>
        <item m="1" x="4939"/>
        <item m="1" x="4858"/>
        <item m="1" x="4890"/>
        <item m="1" x="5925"/>
        <item m="1" x="7232"/>
        <item m="1" x="4891"/>
        <item m="1" x="4375"/>
        <item m="1" x="6217"/>
        <item m="1" x="5870"/>
        <item m="1" x="5549"/>
        <item m="1" x="6536"/>
        <item m="1" x="5417"/>
        <item m="1" x="6017"/>
        <item m="1" x="4150"/>
        <item m="1" x="4619"/>
        <item m="1" x="6081"/>
        <item m="1" x="6380"/>
        <item m="1" x="4920"/>
        <item m="1" x="6880"/>
        <item m="1" x="7062"/>
        <item m="1" x="4460"/>
        <item m="1" x="4576"/>
        <item m="1" x="5669"/>
        <item m="1" x="7316"/>
        <item m="1" x="4859"/>
        <item m="1" x="6809"/>
        <item m="1" x="7233"/>
        <item m="1" x="4280"/>
        <item m="1" x="4589"/>
        <item m="1" x="5418"/>
        <item m="1" x="5882"/>
        <item m="1" x="5679"/>
        <item m="1" x="5177"/>
        <item m="1" x="7709"/>
        <item m="1" x="6908"/>
        <item m="1" x="5904"/>
        <item m="1" x="5440"/>
        <item m="1" x="4202"/>
        <item m="1" x="4987"/>
        <item m="1" x="4940"/>
        <item m="1" x="4244"/>
        <item m="1" x="6164"/>
        <item m="1" x="7945"/>
        <item m="1" x="5419"/>
        <item m="1" x="6496"/>
        <item m="1" x="6930"/>
        <item m="1" x="7771"/>
        <item m="1" x="6990"/>
        <item m="1" x="7234"/>
        <item m="1" x="7174"/>
        <item m="1" x="6825"/>
        <item m="1" x="6931"/>
        <item m="1" x="5187"/>
        <item m="1" x="4203"/>
        <item m="1" x="6659"/>
        <item m="1" x="7121"/>
        <item m="1" x="5680"/>
        <item m="1" x="5303"/>
        <item m="1" x="5943"/>
        <item m="1" x="7780"/>
        <item m="1" x="5533"/>
        <item m="1" x="4508"/>
        <item m="1" x="6932"/>
        <item m="1" x="7224"/>
        <item m="1" x="4844"/>
        <item m="1" x="7375"/>
        <item m="1" x="6092"/>
        <item m="1" x="7722"/>
        <item m="1" x="7023"/>
        <item m="1" x="7122"/>
        <item m="1" x="7070"/>
        <item m="1" x="6319"/>
        <item m="1" x="4630"/>
        <item m="1" x="7090"/>
        <item m="1" x="7203"/>
        <item m="1" x="5145"/>
        <item m="1" x="6447"/>
        <item m="1" x="6559"/>
        <item m="1" x="7472"/>
        <item m="1" x="4828"/>
        <item m="1" x="4449"/>
        <item m="1" x="5420"/>
        <item m="1" x="5459"/>
        <item m="1" x="4007"/>
        <item m="1" x="7104"/>
        <item m="1" x="7748"/>
        <item m="1" x="7473"/>
        <item m="1" x="5856"/>
        <item m="1" x="7556"/>
        <item m="1" x="7689"/>
        <item m="1" x="5799"/>
        <item m="1" x="7823"/>
        <item m="1" x="5085"/>
        <item m="1" x="4344"/>
        <item m="1" x="6868"/>
        <item m="1" x="5758"/>
        <item m="1" x="6333"/>
        <item m="1" x="5670"/>
        <item m="1" x="5330"/>
        <item m="1" x="7211"/>
        <item m="1" x="6470"/>
        <item m="1" x="6513"/>
        <item m="1" x="5379"/>
        <item m="1" x="4218"/>
        <item m="1" x="4281"/>
        <item m="1" x="4485"/>
        <item m="1" x="5449"/>
        <item m="1" x="6408"/>
        <item m="1" x="5178"/>
        <item m="1" x="4892"/>
        <item m="1" x="6293"/>
        <item m="1" x="6579"/>
        <item m="1" x="6767"/>
        <item m="1" x="5915"/>
        <item m="1" x="5580"/>
        <item m="1" x="4906"/>
        <item m="1" x="4165"/>
        <item m="1" x="5487"/>
        <item m="1" x="5488"/>
        <item m="1" x="6429"/>
        <item m="1" x="6225"/>
        <item m="1" x="4104"/>
        <item m="1" x="4044"/>
        <item m="1" x="5489"/>
        <item m="1" x="7883"/>
        <item m="1" x="4450"/>
        <item m="1" x="3978"/>
        <item m="1" x="5559"/>
        <item m="1" x="7577"/>
        <item m="1" x="4451"/>
        <item m="1" x="6893"/>
        <item m="1" x="7024"/>
        <item m="1" x="5356"/>
        <item m="1" x="5107"/>
        <item m="1" x="6172"/>
        <item m="1" x="5566"/>
        <item m="1" x="5215"/>
        <item m="1" x="5388"/>
        <item m="1" x="4187"/>
        <item m="1" x="5292"/>
        <item m="1" x="5015"/>
        <item m="1" x="7025"/>
        <item m="1" x="4063"/>
        <item m="1" x="6514"/>
        <item m="1" x="6430"/>
        <item m="1" x="7658"/>
        <item m="1" x="4941"/>
        <item m="1" x="6802"/>
        <item m="1" x="7420"/>
        <item m="1" x="4590"/>
        <item m="1" x="4020"/>
        <item m="1" x="4282"/>
        <item m="1" x="6584"/>
        <item m="1" x="7026"/>
        <item m="1" x="7762"/>
        <item m="1" x="5287"/>
        <item m="1" x="7521"/>
        <item m="1" x="4631"/>
        <item m="1" x="7027"/>
        <item m="1" x="6388"/>
        <item m="1" x="7244"/>
        <item m="1" x="4873"/>
        <item m="1" x="7852"/>
        <item m="1" x="5619"/>
        <item m="1" x="6353"/>
        <item m="1" x="6471"/>
        <item m="1" x="4667"/>
        <item m="1" x="6354"/>
        <item m="1" x="6173"/>
        <item m="1" x="7146"/>
        <item m="1" x="6019"/>
        <item m="1" x="6419"/>
        <item m="1" x="4086"/>
        <item m="1" x="7262"/>
        <item m="1" x="6722"/>
        <item m="1" x="6502"/>
        <item m="1" x="7439"/>
        <item m="1" x="4578"/>
        <item m="1" x="5606"/>
        <item m="1" x="7305"/>
        <item m="1" x="4735"/>
        <item m="1" x="5045"/>
        <item m="1" x="4030"/>
        <item m="1" x="4806"/>
        <item m="1" x="5892"/>
        <item m="1" x="4527"/>
        <item m="1" x="6044"/>
        <item m="1" x="5304"/>
        <item m="1" x="4988"/>
        <item m="1" x="4579"/>
        <item m="1" x="5046"/>
        <item m="1" x="5560"/>
        <item m="1" x="6155"/>
        <item m="1" x="6148"/>
        <item m="1" x="4075"/>
        <item m="1" x="4608"/>
        <item m="1" x="4931"/>
        <item m="1" x="4500"/>
        <item m="1" x="5994"/>
        <item m="1" x="4632"/>
        <item m="1" x="7453"/>
        <item m="1" x="4031"/>
        <item m="1" x="7082"/>
        <item m="1" x="6104"/>
        <item m="1" x="7853"/>
        <item m="1" x="7292"/>
        <item m="1" x="7408"/>
        <item m="1" x="5188"/>
        <item m="1" x="6420"/>
        <item m="1" x="4476"/>
        <item m="1" x="4357"/>
        <item m="1" x="6372"/>
        <item m="1" x="6127"/>
        <item m="1" x="7225"/>
        <item m="1" x="6561"/>
        <item m="1" x="7377"/>
        <item m="1" x="5535"/>
        <item m="1" x="3969"/>
        <item m="1" x="6243"/>
        <item m="1" x="5857"/>
        <item m="1" x="7889"/>
        <item m="1" x="6733"/>
        <item m="1" x="7583"/>
        <item m="1" x="7764"/>
        <item m="1" x="7660"/>
        <item m="1" x="6355"/>
        <item m="1" x="5686"/>
        <item m="1" x="4893"/>
        <item m="1" x="4528"/>
        <item m="1" x="7675"/>
        <item m="1" x="4424"/>
        <item m="1" x="4283"/>
        <item m="1" x="5711"/>
        <item m="1" x="4767"/>
        <item m="1" x="5550"/>
        <item m="1" x="4709"/>
        <item m="1" x="4753"/>
        <item m="1" x="7584"/>
        <item m="1" x="5540"/>
        <item m="1" x="7989"/>
        <item m="1" x="7245"/>
        <item m="1" x="4668"/>
        <item m="1" x="4188"/>
        <item m="1" x="5687"/>
        <item m="1" x="7182"/>
        <item m="1" x="7915"/>
        <item m="1" x="7794"/>
        <item m="1" x="7135"/>
        <item m="1" x="7890"/>
        <item m="1" x="4204"/>
        <item m="1" x="4620"/>
        <item m="1" x="5730"/>
        <item m="1" x="5945"/>
        <item m="1" x="5401"/>
        <item m="1" x="7813"/>
        <item m="1" x="6991"/>
        <item m="1" x="7711"/>
        <item m="1" x="5341"/>
        <item m="1" x="7824"/>
        <item m="1" x="6543"/>
        <item m="1" x="6855"/>
        <item m="1" x="5775"/>
        <item m="1" x="4926"/>
        <item m="1" x="5520"/>
        <item m="1" x="5389"/>
        <item m="1" x="6744"/>
        <item m="1" x="7394"/>
        <item m="1" x="4088"/>
        <item m="1" x="7293"/>
        <item m="1" x="4792"/>
        <item m="1" x="4780"/>
        <item m="1" x="5086"/>
        <item m="1" x="6472"/>
        <item m="1" x="6610"/>
        <item m="1" x="4781"/>
        <item m="1" x="5133"/>
        <item m="1" x="6503"/>
        <item m="1" x="5574"/>
        <item m="1" x="7976"/>
        <item m="1" x="7645"/>
        <item m="1" x="6941"/>
        <item m="1" x="4118"/>
        <item m="1" x="7212"/>
        <item m="1" x="7454"/>
        <item m="1" x="5973"/>
        <item m="1" x="5116"/>
        <item m="1" x="6745"/>
        <item m="1" x="5433"/>
        <item m="1" x="5491"/>
        <item m="1" x="7455"/>
        <item m="1" x="6028"/>
        <item m="1" x="5034"/>
        <item m="1" x="4670"/>
        <item m="1" x="6640"/>
        <item m="1" x="7585"/>
        <item m="1" x="6105"/>
        <item m="1" x="5450"/>
        <item m="1" x="4346"/>
        <item m="1" x="4065"/>
        <item m="1" x="7547"/>
        <item m="1" x="7106"/>
        <item m="1" x="7926"/>
        <item m="1" x="6029"/>
        <item m="1" x="6373"/>
        <item m="1" x="4768"/>
        <item m="1" x="5492"/>
        <item m="1" x="4425"/>
        <item m="1" x="5108"/>
        <item m="1" x="7028"/>
        <item m="1" x="4641"/>
        <item m="1" x="5541"/>
        <item m="1" x="7646"/>
        <item m="1" x="6301"/>
        <item m="1" x="5016"/>
        <item m="1" x="4830"/>
        <item m="1" x="4139"/>
        <item m="1" x="3989"/>
        <item m="1" x="7918"/>
        <item m="1" x="3956"/>
        <item m="1" x="7429"/>
        <item m="1" x="7153"/>
        <item m="1" x="4269"/>
        <item m="1" x="5697"/>
        <item m="1" x="4634"/>
        <item m="1" x="7483"/>
        <item m="1" x="6662"/>
        <item m="1" x="7667"/>
        <item m="1" x="4609"/>
        <item m="1" x="4529"/>
        <item m="1" x="4463"/>
        <item m="1" x="4089"/>
        <item m="1" x="4090"/>
        <item m="1" x="7341"/>
        <item m="1" x="7647"/>
        <item m="1" x="5995"/>
        <item m="1" x="7358"/>
        <item m="1" x="7814"/>
        <item m="1" x="6522"/>
        <item m="1" x="4066"/>
        <item m="1" x="4908"/>
        <item m="1" x="4874"/>
        <item m="1" x="4700"/>
        <item m="1" x="6702"/>
        <item m="1" x="5705"/>
        <item m="1" x="6611"/>
        <item m="1" x="5441"/>
        <item m="1" x="5229"/>
        <item m="1" x="5306"/>
        <item m="1" x="7072"/>
        <item m="1" x="5760"/>
        <item m="1" x="5689"/>
        <item m="1" x="6969"/>
        <item m="1" x="5996"/>
        <item m="1" x="5322"/>
        <item m="1" x="4678"/>
        <item m="1" x="4710"/>
        <item m="1" x="5062"/>
        <item m="1" x="6129"/>
        <item m="1" x="5817"/>
        <item m="1" x="7927"/>
        <item m="1" x="4743"/>
        <item m="1" x="5230"/>
        <item m="1" x="3990"/>
        <item m="1" x="5263"/>
        <item m="1" x="6244"/>
        <item m="1" x="5659"/>
        <item m="1" x="6137"/>
        <item m="1" x="4205"/>
        <item m="1" x="7549"/>
        <item m="1" x="5410"/>
        <item m="1" x="4178"/>
        <item m="1" x="7700"/>
        <item m="1" x="4220"/>
        <item m="1" x="5442"/>
        <item m="1" x="7295"/>
        <item m="1" x="5776"/>
        <item m="1" x="5018"/>
        <item m="1" x="4688"/>
        <item m="1" x="7578"/>
        <item m="1" x="5712"/>
        <item m="1" x="7637"/>
        <item m="1" x="5280"/>
        <item m="1" x="6389"/>
        <item m="1" x="5748"/>
        <item m="1" x="6390"/>
        <item m="1" x="5607"/>
        <item m="1" x="6255"/>
        <item m="1" x="7484"/>
        <item m="1" x="7753"/>
        <item m="1" x="6856"/>
        <item m="1" x="7892"/>
        <item m="1" x="7919"/>
        <item m="1" x="5114"/>
        <item m="1" x="5971"/>
        <item m="1" x="7133"/>
        <item m="1" x="5033"/>
        <item m="1" x="5914"/>
        <item m="1" x="7534"/>
        <item m="1" x="4498"/>
        <item m="1" x="5766"/>
        <item m="1" x="5044"/>
        <item m="1" x="5831"/>
        <item m="1" x="7944"/>
        <item m="1" x="6058"/>
        <item m="1" x="5014"/>
        <item m="1" x="4201"/>
        <item m="1" x="5855"/>
        <item m="1" x="5329"/>
        <item m="1" x="4790"/>
        <item m="1" x="6558"/>
        <item m="1" x="5903"/>
        <item m="1" x="6007"/>
        <item m="1" x="6622"/>
        <item m="1" x="7103"/>
        <item m="1" x="5095"/>
        <item m="1" x="7937"/>
        <item m="1" x="6609"/>
        <item m="1" x="6528"/>
        <item m="1" x="7144"/>
        <item m="1" x="6485"/>
        <item m="1" x="5176"/>
        <item m="1" x="7419"/>
        <item m="1" x="6018"/>
        <item m="1" x="5881"/>
        <item m="1" x="4267"/>
        <item m="1" x="7888"/>
        <item m="1" x="4860"/>
        <item m="1" x="7555"/>
        <item m="1" x="7181"/>
        <item m="1" x="4043"/>
        <item m="1" x="6407"/>
        <item m="1" x="6732"/>
        <item m="1" x="4302"/>
        <item m="1" x="5131"/>
        <item m="1" x="4319"/>
        <item m="1" x="4843"/>
        <item m="1" x="7012"/>
        <item m="1" x="4805"/>
        <item m="1" x="7597"/>
        <item m="1" x="5240"/>
        <item m="1" x="6714"/>
        <item m="1" x="4750"/>
        <item m="1" x="6309"/>
        <item m="1" x="6933"/>
        <item m="1" x="4268"/>
        <item m="1" x="7145"/>
        <item m="1" x="6766"/>
        <item m="1" x="5204"/>
        <item m="1" x="6273"/>
        <item m="1" x="6103"/>
        <item m="1" x="5808"/>
        <item m="1" x="6082"/>
        <item m="1" x="5132"/>
        <item m="1" x="6682"/>
        <item m="1" x="6560"/>
        <item m="1" x="4151"/>
        <item m="1" x="6428"/>
        <item m="1" x="6059"/>
        <item m="1" x="6418"/>
        <item m="1" x="5387"/>
        <item m="1" x="7368"/>
        <item m="1" x="6218"/>
        <item m="1" x="5618"/>
        <item m="1" x="5146"/>
        <item m="1" x="5519"/>
        <item m="1" x="7781"/>
        <item m="1" x="4544"/>
        <item m="1" x="6715"/>
        <item m="1" x="5657"/>
        <item m="1" x="6343"/>
        <item m="1" x="7557"/>
        <item m="1" x="7438"/>
        <item m="1" x="7636"/>
        <item m="1" x="6596"/>
        <item m="1" x="5026"/>
        <item m="1" x="4062"/>
        <item m="1" x="7938"/>
        <item m="1" x="6397"/>
        <item m="1" x="6854"/>
        <item m="1" x="5052"/>
        <item m="1" x="4303"/>
        <item m="1" x="5205"/>
        <item m="1" x="7710"/>
        <item m="1" x="5944"/>
        <item m="1" x="6818"/>
        <item m="1" x="6226"/>
        <item m="1" x="4607"/>
        <item m="1" x="6070"/>
        <item m="1" x="5206"/>
        <item m="1" x="4798"/>
        <item m="1" x="6458"/>
        <item m="1" x="5972"/>
        <item m="1" x="4845"/>
        <item m="1" x="6801"/>
        <item m="1" x="7865"/>
        <item m="1" x="4577"/>
        <item m="1" x="5165"/>
        <item m="1" x="7001"/>
        <item m="1" x="7488"/>
        <item m="1" x="6967"/>
        <item m="1" x="4045"/>
        <item m="1" x="4526"/>
        <item m="1" x="5115"/>
        <item m="1" x="4029"/>
        <item m="1" x="5809"/>
        <item m="1" x="5077"/>
        <item m="1" x="7376"/>
        <item m="1" x="4388"/>
        <item m="1" x="4657"/>
        <item m="1" x="7392"/>
        <item m="1" x="7644"/>
        <item m="1" x="7975"/>
        <item m="1" x="7195"/>
        <item m="1" x="6660"/>
        <item m="1" x="6652"/>
        <item m="1" x="7699"/>
        <item m="1" x="6580"/>
        <item m="1" x="5581"/>
        <item m="1" x="7690"/>
        <item m="1" x="4751"/>
        <item m="1" x="5278"/>
        <item m="1" x="7793"/>
        <item m="1" x="7901"/>
        <item m="1" x="6983"/>
        <item m="1" x="4752"/>
        <item m="1" x="6968"/>
        <item m="1" x="6917"/>
        <item m="1" x="4345"/>
        <item m="1" x="5905"/>
        <item m="1" x="7105"/>
        <item m="1" x="6344"/>
        <item m="1" x="4499"/>
        <item m="1" x="5470"/>
        <item m="1" x="7659"/>
        <item m="1" x="4742"/>
        <item m="1" x="5347"/>
        <item m="1" x="4304"/>
        <item m="1" x="6973"/>
        <item m="1" x="4725"/>
        <item m="1" x="4736"/>
        <item m="1" x="3979"/>
        <item m="1" x="5534"/>
        <item m="1" x="6780"/>
        <item m="1" x="5432"/>
        <item m="1" x="4396"/>
        <item m="1" x="5986"/>
        <item m="1" x="5883"/>
        <item m="1" x="5166"/>
        <item m="1" x="6781"/>
        <item m="1" x="4779"/>
        <item m="1" x="7393"/>
        <item m="1" x="4846"/>
        <item m="1" x="4356"/>
        <item m="1" x="7382"/>
        <item m="1" x="7505"/>
        <item m="1" x="7843"/>
        <item m="1" x="5847"/>
        <item m="1" x="5241"/>
        <item m="1" x="6630"/>
        <item m="1" x="6310"/>
        <item m="1" x="5642"/>
        <item m="1" x="6661"/>
        <item m="1" x="6274"/>
        <item m="1" x="4907"/>
        <item m="1" x="7763"/>
        <item m="1" x="4676"/>
        <item m="1" x="6653"/>
        <item m="1" x="5261"/>
        <item m="1" x="5242"/>
        <item m="1" x="5340"/>
        <item m="1" x="6881"/>
        <item m="1" x="5262"/>
        <item m="1" x="6701"/>
        <item m="1" x="5759"/>
        <item m="1" x="5399"/>
        <item m="1" x="7428"/>
        <item m="1" x="7369"/>
        <item m="1" x="7440"/>
        <item m="1" x="5958"/>
        <item m="1" x="5490"/>
        <item m="1" x="7516"/>
        <item m="1" x="5573"/>
        <item m="1" x="4087"/>
        <item m="1" x="4064"/>
        <item m="1" x="4677"/>
        <item m="1" x="7902"/>
        <item m="1" x="6940"/>
        <item m="1" x="6520"/>
        <item m="1" x="6284"/>
        <item m="1" x="6521"/>
        <item m="1" x="7134"/>
        <item m="1" x="4486"/>
        <item m="1" x="6734"/>
        <item m="1" x="5551"/>
        <item m="1" x="6791"/>
        <item m="1" x="7136"/>
        <item m="1" x="5400"/>
        <item m="1" x="4791"/>
        <item m="1" x="6311"/>
        <item m="1" x="7772"/>
        <item m="1" x="5871"/>
        <item m="1" x="4669"/>
        <item m="1" x="7598"/>
        <item m="1" x="7916"/>
        <item m="1" x="6882"/>
        <item m="1" x="6185"/>
        <item m="1" x="7739"/>
        <item m="1" x="4925"/>
        <item m="1" x="4219"/>
        <item m="1" x="4117"/>
        <item m="1" x="5688"/>
        <item m="1" x="4021"/>
        <item m="1" x="6894"/>
        <item m="1" x="7844"/>
        <item m="1" x="4509"/>
        <item m="1" x="7441"/>
        <item m="1" x="6695"/>
        <item m="1" x="6597"/>
        <item m="1" x="5536"/>
        <item m="1" x="7795"/>
        <item m="1" x="7123"/>
        <item m="1" x="7866"/>
        <item m="1" x="5207"/>
        <item m="1" x="6504"/>
        <item m="1" x="5216"/>
        <item m="1" x="6544"/>
        <item m="1" x="5561"/>
        <item m="1" x="5926"/>
        <item m="1" x="7917"/>
        <item m="1" x="4050"/>
        <item m="1" x="5179"/>
        <item m="1" x="3954"/>
        <item m="1" x="6573"/>
        <item m="1" x="3955"/>
        <item m="1" x="7749"/>
        <item m="1" x="5167"/>
        <item m="1" x="7442"/>
        <item m="1" x="5582"/>
        <item m="1" x="4461"/>
        <item m="1" x="6529"/>
        <item m="1" x="5504"/>
        <item m="1" x="4381"/>
        <item m="1" x="7071"/>
        <item m="1" x="4621"/>
        <item m="1" x="5988"/>
        <item m="1" x="7620"/>
        <item m="1" x="7489"/>
        <item m="1" x="6684"/>
        <item m="1" x="5696"/>
        <item m="1" x="5357"/>
        <item m="1" x="7263"/>
        <item m="1" x="5189"/>
        <item m="1" x="4687"/>
        <item m="1" x="7676"/>
        <item m="1" x="5471"/>
        <item m="1" x="5217"/>
        <item m="1" x="7052"/>
        <item m="1" x="5243"/>
        <item m="1" x="4105"/>
        <item m="1" x="5893"/>
        <item m="1" x="6128"/>
        <item m="1" x="6235"/>
        <item m="1" x="4974"/>
        <item m="1" x="4622"/>
        <item m="1" x="4254"/>
        <item m="1" x="7535"/>
        <item m="1" x="4563"/>
        <item m="1" x="4465"/>
        <item m="1" x="5271"/>
        <item m="1" x="4347"/>
        <item m="1" x="7536"/>
        <item m="1" x="6562"/>
        <item m="1" x="5552"/>
        <item m="1" x="4051"/>
        <item m="1" x="3971"/>
        <item m="1" x="4875"/>
        <item m="1" x="4306"/>
        <item m="1" x="4177"/>
        <item m="1" x="5628"/>
        <item m="1" x="5575"/>
        <item m="1" x="4909"/>
        <item m="1" x="7751"/>
        <item m="1" x="4635"/>
        <item m="1" x="6165"/>
        <item m="1" x="7029"/>
        <item m="1" x="5472"/>
        <item m="1" x="5035"/>
        <item m="1" x="7807"/>
        <item m="1" x="6166"/>
        <item m="1" x="4015"/>
        <item m="1" x="7175"/>
        <item m="1" x="6833"/>
        <item m="1" x="4294"/>
        <item m="1" x="7370"/>
        <item m="1" x="6020"/>
        <item m="1" x="7752"/>
        <item m="1" x="6574"/>
        <item m="1" x="6254"/>
        <item m="1" x="6897"/>
        <item m="1" x="7854"/>
        <item m="1" x="7476"/>
        <item m="1" x="6084"/>
        <item m="1" x="4285"/>
        <item m="1" x="6246"/>
        <item m="1" x="5358"/>
        <item m="1" x="5168"/>
        <item m="1" x="5331"/>
        <item m="1" x="5003"/>
        <item m="1" x="4642"/>
        <item m="1" x="4961"/>
        <item m="1" x="6398"/>
        <item m="1" x="4989"/>
        <item m="1" x="4633"/>
        <item m="1" x="7183"/>
        <item m="1" x="5228"/>
        <item m="1" x="4367"/>
        <item m="1" x="6473"/>
        <item m="1" x="7083"/>
        <item m="1" x="4233"/>
        <item m="1" x="4477"/>
        <item m="1" x="4650"/>
        <item m="1" x="7977"/>
        <item m="1" x="5810"/>
        <item m="1" x="5946"/>
        <item m="1" x="4284"/>
        <item m="1" x="7953"/>
        <item m="1" x="4942"/>
        <item m="1" x="5053"/>
        <item m="1" x="6735"/>
        <item m="1" x="6083"/>
        <item m="1" x="7226"/>
        <item m="1" x="6208"/>
        <item m="1" x="6754"/>
        <item m="1" x="4955"/>
        <item m="1" x="4234"/>
        <item m="1" x="7805"/>
        <item m="1" x="7522"/>
        <item m="1" x="4990"/>
        <item m="1" x="7903"/>
        <item m="1" x="7409"/>
        <item m="1" x="4829"/>
        <item m="1" x="5390"/>
        <item m="1" x="7961"/>
        <item m="1" x="7625"/>
        <item m="1" x="6174"/>
        <item m="1" x="6683"/>
        <item m="1" x="6924"/>
        <item m="1" x="5848"/>
        <item m="1" x="4847"/>
        <item m="1" x="5987"/>
        <item m="1" x="5305"/>
        <item m="1" x="5790"/>
        <item m="1" x="5927"/>
        <item m="1" x="4014"/>
        <item m="1" x="6909"/>
        <item m="1" x="6641"/>
        <item m="1" x="7599"/>
        <item m="1" x="5402"/>
        <item m="1" x="5068"/>
        <item m="1" x="4305"/>
        <item m="1" x="5620"/>
        <item m="1" x="4462"/>
        <item m="1" x="6227"/>
        <item m="1" x="6302"/>
        <item m="1" x="5109"/>
        <item m="1" x="4754"/>
        <item m="1" x="6952"/>
        <item m="1" x="3970"/>
        <item m="1" x="7750"/>
        <item m="1" x="7107"/>
        <item m="1" x="7490"/>
        <item m="1" x="4464"/>
        <item m="1" x="7806"/>
        <item m="1" x="6537"/>
        <item m="1" x="4975"/>
        <item m="1" x="6149"/>
        <item m="1" x="5451"/>
        <item m="1" x="4726"/>
        <item m="1" x="7712"/>
        <item m="1" x="6345"/>
        <item m="1" x="7474"/>
        <item m="1" x="5367"/>
        <item m="1" x="7548"/>
        <item m="1" x="5928"/>
        <item m="1" x="7815"/>
        <item m="1" x="7475"/>
        <item m="1" x="5658"/>
        <item m="1" x="7468"/>
        <item m="1" x="6631"/>
        <item m="1" x="6530"/>
        <item m="1" x="6219"/>
        <item m="1" x="5017"/>
        <item m="1" x="5690"/>
        <item m="1" x="7891"/>
        <item m="1" x="6523"/>
        <item m="1" x="5244"/>
        <item m="1" x="6538"/>
        <item m="1" x="5698"/>
        <item m="1" x="6186"/>
        <item m="1" x="7378"/>
        <item m="1" x="5934"/>
        <item m="1" x="7294"/>
        <item m="1" x="5069"/>
        <item m="1" x="4711"/>
        <item m="1" x="4368"/>
        <item m="1" x="5380"/>
        <item m="1" x="7845"/>
        <item m="1" x="6942"/>
        <item m="1" x="6716"/>
        <item m="1" x="4426"/>
        <item m="1" x="4610"/>
        <item m="1" x="7904"/>
        <item m="1" x="7730"/>
        <item m="1" x="7740"/>
        <item m="1" x="7300"/>
        <item m="1" x="4927"/>
        <item m="1" x="6037"/>
        <item m="1" x="4389"/>
        <item m="1" x="6645"/>
        <item m="1" x="6564"/>
        <item m="1" x="6365"/>
        <item m="1" x="7125"/>
        <item m="1" x="6294"/>
        <item m="1" x="3973"/>
        <item m="1" x="7571"/>
        <item m="1" x="5079"/>
        <item m="1" x="6229"/>
        <item m="1" x="6008"/>
        <item m="1" x="4190"/>
        <item m="1" x="7713"/>
        <item m="1" x="7108"/>
        <item m="1" x="4235"/>
        <item m="1" x="5191"/>
        <item m="1" x="7524"/>
        <item m="1" x="4270"/>
        <item m="1" x="6073"/>
        <item m="1" x="5117"/>
        <item m="1" x="6276"/>
        <item m="1" x="6994"/>
        <item m="1" x="6685"/>
        <item m="1" x="4689"/>
        <item m="1" x="4554"/>
        <item m="1" x="7412"/>
        <item m="1" x="4848"/>
        <item m="1" x="7550"/>
        <item m="1" x="6793"/>
        <item m="1" x="6581"/>
        <item m="1" x="5646"/>
        <item m="1" x="4141"/>
        <item m="1" x="6139"/>
        <item m="1" x="4876"/>
        <item m="1" x="7991"/>
        <item m="1" x="4404"/>
        <item m="1" x="7782"/>
        <item m="1" x="4466"/>
        <item m="1" x="4467"/>
        <item m="1" x="7236"/>
        <item m="1" x="5036"/>
        <item m="1" x="7306"/>
        <item m="1" x="5975"/>
        <item m="1" x="5453"/>
        <item m="1" x="7930"/>
        <item m="1" x="7228"/>
        <item m="1" x="5180"/>
        <item m="1" x="5192"/>
        <item m="1" x="7586"/>
        <item m="1" x="5370"/>
        <item m="1" x="4502"/>
        <item m="1" x="7491"/>
        <item m="1" x="4895"/>
        <item m="1" x="7074"/>
        <item m="1" x="5232"/>
        <item m="1" x="5812"/>
        <item m="1" x="7856"/>
        <item m="1" x="4358"/>
        <item m="1" x="6505"/>
        <item m="1" x="4861"/>
        <item m="1" x="5078"/>
        <item m="1" x="6486"/>
        <item m="1" x="5672"/>
        <item m="1" x="7204"/>
        <item m="1" x="7939"/>
        <item m="1" x="4052"/>
        <item m="1" x="4793"/>
        <item m="1" x="5452"/>
        <item m="1" x="7816"/>
        <item m="1" x="6858"/>
        <item m="1" x="4943"/>
        <item m="1" x="6925"/>
        <item m="1" x="7155"/>
        <item m="1" x="7612"/>
        <item m="1" x="4127"/>
        <item m="1" x="7628"/>
        <item m="1" x="5281"/>
        <item m="1" x="7235"/>
        <item m="1" x="6704"/>
        <item m="1" x="7326"/>
        <item m="1" x="4245"/>
        <item m="1" x="7299"/>
        <item m="1" x="4479"/>
        <item m="1" x="7342"/>
        <item m="1" x="5475"/>
        <item m="1" x="6156"/>
        <item m="1" x="4799"/>
        <item m="1" x="5125"/>
        <item m="1" x="4658"/>
        <item m="1" x="6119"/>
        <item m="1" x="4488"/>
        <item m="1" x="6072"/>
        <item m="1" x="4976"/>
        <item m="1" x="5253"/>
        <item m="1" x="3991"/>
        <item m="1" x="5421"/>
        <item m="1" x="6643"/>
        <item m="1" x="5134"/>
        <item m="1" x="7874"/>
        <item m="1" x="6644"/>
        <item m="1" x="6247"/>
        <item m="1" x="5731"/>
        <item m="1" x="4565"/>
        <item m="1" x="7570"/>
        <item m="1" x="5645"/>
        <item m="1" x="7846"/>
        <item m="1" x="7523"/>
        <item m="1" x="6834"/>
        <item m="1" x="7298"/>
        <item m="1" x="6674"/>
        <item m="1" x="6433"/>
        <item m="1" x="7421"/>
        <item m="1" x="5723"/>
        <item m="1" x="6736"/>
        <item m="1" x="6228"/>
        <item m="1" x="6399"/>
        <item m="1" x="4832"/>
        <item m="1" x="4032"/>
        <item m="1" x="7627"/>
        <item m="1" x="6409"/>
        <item m="1" x="5382"/>
        <item m="1" x="6106"/>
        <item m="1" x="5110"/>
        <item m="1" x="4414"/>
        <item m="1" x="7317"/>
        <item m="1" x="5111"/>
        <item m="1" x="4782"/>
        <item m="1" x="6703"/>
        <item m="1" x="5588"/>
        <item m="1" x="7929"/>
        <item m="1" x="6264"/>
        <item m="1" x="6375"/>
        <item m="1" x="4912"/>
        <item m="1" x="6515"/>
        <item m="1" x="6565"/>
        <item m="1" x="4296"/>
        <item m="1" x="4636"/>
        <item m="1" x="4093"/>
        <item m="1" x="5699"/>
        <item m="1" x="6140"/>
        <item m="1" x="7002"/>
        <item m="1" x="4221"/>
        <item m="1" x="7411"/>
        <item m="1" x="4862"/>
        <item m="1" x="4046"/>
        <item m="1" x="4896"/>
        <item m="1" x="4611"/>
        <item m="1" x="5583"/>
        <item m="1" x="6256"/>
        <item m="1" x="5368"/>
        <item m="1" x="5884"/>
        <item m="1" x="7379"/>
        <item m="1" x="6060"/>
        <item m="1" x="6117"/>
        <item m="1" x="7456"/>
        <item m="1" x="7013"/>
        <item m="1" x="4487"/>
        <item m="1" x="5567"/>
        <item m="1" x="6642"/>
        <item m="1" x="5587"/>
        <item m="1" x="5087"/>
        <item m="1" x="7118"/>
        <item m="1" x="6175"/>
        <item m="1" x="5123"/>
        <item m="1" x="4701"/>
        <item m="1" x="6846"/>
        <item m="1" x="7213"/>
        <item m="1" x="4436"/>
        <item m="1" x="6176"/>
        <item m="1" x="4510"/>
        <item m="1" x="6723"/>
        <item m="1" x="7296"/>
        <item m="1" x="4651"/>
        <item m="1" x="4546"/>
        <item m="1" x="7808"/>
        <item m="1" x="5811"/>
        <item m="1" x="5767"/>
        <item m="1" x="6992"/>
        <item m="1" x="5434"/>
        <item m="1" x="4427"/>
        <item m="1" x="6431"/>
        <item m="1" x="7765"/>
        <item m="1" x="7928"/>
        <item m="1" x="5252"/>
        <item m="1" x="4884"/>
        <item m="1" x="4189"/>
        <item m="1" x="4545"/>
        <item m="1" x="5974"/>
        <item m="1" x="6993"/>
        <item m="1" x="3980"/>
        <item m="1" x="4885"/>
        <item m="1" x="6696"/>
        <item m="1" x="6845"/>
        <item m="1" x="5576"/>
        <item m="1" x="4295"/>
        <item m="1" x="6045"/>
        <item m="1" x="5088"/>
        <item m="1" x="6438"/>
        <item m="1" x="5070"/>
        <item m="1" x="4962"/>
        <item m="1" x="3957"/>
        <item m="1" x="7507"/>
        <item m="1" x="7162"/>
        <item m="1" x="4255"/>
        <item m="1" x="4478"/>
        <item m="1" x="4023"/>
        <item m="1" x="4598"/>
        <item m="1" x="6432"/>
        <item m="1" x="4091"/>
        <item m="1" x="5885"/>
        <item m="1" x="5818"/>
        <item m="1" x="4712"/>
        <item m="1" x="6623"/>
        <item m="1" x="7410"/>
        <item m="1" x="5691"/>
        <item m="1" x="4564"/>
        <item m="1" x="5473"/>
        <item m="1" x="6974"/>
        <item m="1" x="7014"/>
        <item m="1" x="5895"/>
        <item m="1" x="5124"/>
        <item m="1" x="4022"/>
        <item m="1" x="7954"/>
        <item m="1" x="6585"/>
        <item m="1" x="4956"/>
        <item m="1" x="5706"/>
        <item m="1" x="7723"/>
        <item m="1" x="5359"/>
        <item m="1" x="6563"/>
        <item m="1" x="5381"/>
        <item m="1" x="7691"/>
        <item m="1" x="7443"/>
        <item m="1" x="6943"/>
        <item m="1" x="6724"/>
        <item m="1" x="5916"/>
        <item m="1" x="5474"/>
        <item m="1" x="5917"/>
        <item m="1" x="6263"/>
        <item m="1" x="7325"/>
        <item m="1" x="5493"/>
        <item m="1" x="5629"/>
        <item m="1" x="6586"/>
        <item m="1" x="6598"/>
        <item m="1" x="6459"/>
        <item m="1" x="7147"/>
        <item m="1" x="5231"/>
        <item m="1" x="7893"/>
        <item m="1" x="4547"/>
        <item m="1" x="7246"/>
        <item m="1" x="5671"/>
        <item m="1" x="5316"/>
        <item m="1" x="7154"/>
        <item m="1" x="6857"/>
        <item m="1" x="4910"/>
        <item m="1" x="5896"/>
        <item m="1" x="4553"/>
        <item m="1" x="7920"/>
        <item m="1" x="4894"/>
        <item m="1" x="4963"/>
        <item m="1" x="3958"/>
        <item m="1" x="7030"/>
        <item m="1" x="4067"/>
        <item m="1" x="6792"/>
        <item m="1" x="5411"/>
        <item m="1" x="7063"/>
        <item m="1" x="7053"/>
        <item m="1" x="4092"/>
        <item m="1" x="7031"/>
        <item m="1" x="4308"/>
        <item m="1" x="5307"/>
        <item m="1" x="7955"/>
        <item m="1" x="7073"/>
        <item m="1" x="6869"/>
        <item m="1" x="5054"/>
        <item m="1" x="4452"/>
        <item m="1" x="7124"/>
        <item m="1" x="6918"/>
        <item m="1" x="5997"/>
        <item m="1" x="7352"/>
        <item m="1" x="4348"/>
        <item m="1" x="4403"/>
        <item m="1" x="7626"/>
        <item m="1" x="7956"/>
        <item m="1" x="4168"/>
        <item m="1" x="6071"/>
        <item m="1" x="7766"/>
        <item m="1" x="7015"/>
        <item m="1" x="4412"/>
        <item m="1" x="7284"/>
        <item m="1" x="7508"/>
        <item m="1" x="4307"/>
        <item m="1" x="7214"/>
        <item m="1" x="4413"/>
        <item m="1" x="6118"/>
        <item m="1" x="4713"/>
        <item m="1" x="7477"/>
        <item m="1" x="7215"/>
        <item m="1" x="7855"/>
        <item m="1" x="4140"/>
        <item m="1" x="5791"/>
        <item m="1" x="5643"/>
        <item m="1" x="4744"/>
        <item m="1" x="5644"/>
        <item m="1" x="7990"/>
        <item m="1" x="6953"/>
        <item m="1" x="6138"/>
        <item m="1" x="4309"/>
        <item m="1" x="7227"/>
        <item m="1" x="7297"/>
        <item m="1" x="4911"/>
        <item m="1" x="5562"/>
        <item m="1" x="4166"/>
        <item m="1" x="6275"/>
        <item m="1" x="5542"/>
        <item m="1" x="4591"/>
        <item m="1" x="7967"/>
        <item m="1" x="4167"/>
        <item m="1" x="7016"/>
        <item m="1" x="6587"/>
        <item m="1" x="5288"/>
        <item m="1" x="5521"/>
        <item m="1" x="5369"/>
        <item m="1" x="4519"/>
        <item m="1" x="6277"/>
        <item m="1" x="4310"/>
        <item m="1" x="5089"/>
        <item m="1" x="6646"/>
        <item m="1" x="4794"/>
        <item m="1" x="4016"/>
        <item m="1" x="5849"/>
        <item m="1" x="4769"/>
        <item m="1" x="5272"/>
        <item m="1" x="7968"/>
        <item m="1" x="6030"/>
        <item m="1" x="4349"/>
        <item m="1" x="6954"/>
        <item m="1" x="6663"/>
        <item m="1" x="4770"/>
        <item m="1" x="4222"/>
        <item m="1" x="6421"/>
        <item m="1" x="6675"/>
        <item m="1" x="5422"/>
        <item m="1" x="6826"/>
        <item m="1" x="6737"/>
        <item m="1" x="6717"/>
        <item m="1" x="5839"/>
        <item m="1" x="7478"/>
        <item m="1" x="7109"/>
        <item m="1" x="7479"/>
        <item m="1" x="4771"/>
        <item m="1" x="5918"/>
        <item m="1" x="6009"/>
        <item m="1" x="6676"/>
        <item m="1" x="4179"/>
        <item m="1" x="5047"/>
        <item m="1" x="5004"/>
        <item m="1" x="7383"/>
        <item m="1" x="6768"/>
        <item m="1" x="6975"/>
        <item m="1" x="7767"/>
        <item m="1" x="4382"/>
        <item m="1" x="7039"/>
        <item m="1" x="7587"/>
        <item m="1" x="4511"/>
        <item m="1" x="5553"/>
        <item m="1" x="4991"/>
        <item m="1" x="5977"/>
        <item m="1" x="4679"/>
        <item m="1" x="7962"/>
        <item m="1" x="7307"/>
        <item m="1" x="4024"/>
        <item m="1" x="6769"/>
        <item m="1" x="7054"/>
        <item m="1" x="4783"/>
        <item m="1" x="7274"/>
        <item m="1" x="6725"/>
        <item m="1" x="4017"/>
        <item m="1" x="5976"/>
        <item m="1" x="4350"/>
        <item m="1" x="6200"/>
        <item m="1" x="5494"/>
        <item m="1" x="4964"/>
        <item m="1" x="5048"/>
        <item m="1" x="7318"/>
        <item m="1" x="5371"/>
        <item m="1" x="6919"/>
        <item m="1" x="7613"/>
        <item m="1" x="5749"/>
        <item m="1" x="6664"/>
        <item m="1" x="5621"/>
        <item m="1" x="5622"/>
        <item m="1" x="5391"/>
        <item m="1" x="7661"/>
        <item m="1" x="5681"/>
        <item m="1" x="4247"/>
        <item m="1" x="7833"/>
        <item m="1" x="4437"/>
        <item m="1" x="6320"/>
        <item m="1" x="7773"/>
        <item m="1" x="6883"/>
        <item m="1" x="5505"/>
        <item m="1" x="7430"/>
        <item m="1" x="7110"/>
        <item m="1" x="4246"/>
        <item m="1" x="5495"/>
        <item m="1" x="4671"/>
        <item m="1" x="7537"/>
        <item m="1" x="7444"/>
        <item m="1" x="3974"/>
        <item m="1" x="7714"/>
        <item m="1" x="3975"/>
        <item m="1" x="7156"/>
        <item m="1" x="6400"/>
        <item m="1" x="4311"/>
        <item m="1" x="7538"/>
        <item m="1" x="4106"/>
        <item m="1" x="4329"/>
        <item m="1" x="7783"/>
        <item m="1" x="7525"/>
        <item m="1" x="5682"/>
        <item m="1" x="6321"/>
        <item m="1" x="7677"/>
        <item m="1" x="7359"/>
        <item m="1" x="5193"/>
        <item m="1" x="6677"/>
        <item m="1" x="5135"/>
        <item m="1" x="5584"/>
        <item m="1" x="4714"/>
        <item m="1" x="3992"/>
        <item m="1" x="5096"/>
        <item m="1" x="7969"/>
        <item m="1" x="7157"/>
        <item m="1" x="5348"/>
        <item m="1" x="7253"/>
        <item m="1" x="5342"/>
        <item m="1" x="5947"/>
        <item m="1" x="5886"/>
        <item m="1" x="4807"/>
        <item m="1" x="6061"/>
        <item m="1" x="7834"/>
        <item m="1" x="7526"/>
        <item m="1" x="7254"/>
        <item m="1" x="7343"/>
        <item m="1" x="7360"/>
        <item m="1" x="7119"/>
        <item m="1" x="7237"/>
        <item m="1" x="6827"/>
        <item m="1" x="7091"/>
        <item m="1" x="4271"/>
        <item m="1" x="6312"/>
        <item m="1" x="5750"/>
        <item m="1" x="7285"/>
        <item m="1" x="5841"/>
        <item m="1" x="5293"/>
        <item m="1" x="4833"/>
        <item m="1" x="5713"/>
        <item m="1" x="4206"/>
        <item m="1" x="6157"/>
        <item m="1" x="4897"/>
        <item m="1" x="4745"/>
        <item m="1" x="4548"/>
        <item m="1" x="5147"/>
        <item m="1" x="5840"/>
        <item m="1" x="5739"/>
        <item m="1" x="6782"/>
        <item m="1" x="4480"/>
        <item m="1" x="4772"/>
        <item m="1" x="5156"/>
        <item m="1" x="5777"/>
        <item m="1" x="6460"/>
        <item m="1" x="5673"/>
        <item m="1" x="7817"/>
        <item m="1" x="5332"/>
        <item m="1" x="5778"/>
        <item m="1" x="4453"/>
        <item m="1" x="4094"/>
        <item m="1" x="5019"/>
        <item m="1" x="5948"/>
        <item m="1" x="7957"/>
        <item m="1" x="7754"/>
        <item m="1" x="5623"/>
        <item m="1" x="4530"/>
        <item m="1" x="5906"/>
        <item m="1" x="4191"/>
        <item m="1" x="7457"/>
        <item m="1" x="6448"/>
        <item m="1" x="7003"/>
        <item m="1" x="7327"/>
        <item m="1" x="4921"/>
        <item m="1" x="6046"/>
        <item m="1" x="7184"/>
        <item m="1" x="5568"/>
        <item m="1" x="5443"/>
        <item m="1" x="4153"/>
        <item m="1" x="7539"/>
        <item m="1" x="5037"/>
        <item m="1" x="6010"/>
        <item m="1" x="6382"/>
        <item m="1" x="4965"/>
        <item m="1" x="4154"/>
        <item m="1" x="6474"/>
        <item m="1" x="4468"/>
        <item m="1" x="4566"/>
        <item m="1" x="4320"/>
        <item m="1" x="4256"/>
        <item m="1" x="5403"/>
        <item m="1" x="6031"/>
        <item m="1" x="7600"/>
        <item m="1" x="4612"/>
        <item m="1" x="4623"/>
        <item m="1" x="6944"/>
        <item m="1" x="7629"/>
        <item m="1" x="7301"/>
        <item m="1" x="5522"/>
        <item m="1" x="4155"/>
        <item m="1" x="6665"/>
        <item m="1" x="6236"/>
        <item m="1" x="6062"/>
        <item m="1" x="5907"/>
        <item m="1" x="5476"/>
        <item m="1" x="4107"/>
        <item m="1" x="4321"/>
        <item m="1" x="4977"/>
        <item m="1" x="5233"/>
        <item m="1" x="4383"/>
        <item m="1" x="5218"/>
        <item m="1" x="6588"/>
        <item m="1" x="6632"/>
        <item m="1" x="7402"/>
        <item m="1" x="6313"/>
        <item m="1" x="6497"/>
        <item m="1" x="7492"/>
        <item m="1" x="5264"/>
        <item m="1" x="7731"/>
        <item m="1" x="5819"/>
        <item m="1" x="5624"/>
        <item m="1" x="7741"/>
        <item m="1" x="7921"/>
        <item m="1" x="4390"/>
        <item m="1" x="4992"/>
        <item m="1" x="5360"/>
        <item m="1" x="4272"/>
        <item m="1" x="4008"/>
        <item m="1" x="6461"/>
        <item m="1" x="6257"/>
        <item m="1" x="7579"/>
        <item m="1" x="4808"/>
        <item m="1" x="6984"/>
        <item m="1" x="6738"/>
        <item m="1" x="7040"/>
        <item m="1" x="6391"/>
        <item m="1" x="5850"/>
        <item m="1" x="6032"/>
        <item m="1" x="6794"/>
        <item m="1" x="5392"/>
        <item m="1" x="4512"/>
        <item m="1" x="5412"/>
        <item m="1" x="4351"/>
        <item m="1" x="6589"/>
        <item m="1" x="5005"/>
        <item m="1" x="7946"/>
        <item m="1" x="7075"/>
        <item m="1" x="4672"/>
        <item m="1" x="7493"/>
        <item m="1" x="7796"/>
        <item m="1" x="5779"/>
        <item m="1" x="5181"/>
        <item m="1" x="4180"/>
        <item m="1" x="4192"/>
        <item m="1" x="6686"/>
        <item m="1" x="7344"/>
        <item m="1" x="6439"/>
        <item m="1" x="5949"/>
        <item m="1" x="5950"/>
        <item m="1" x="6177"/>
        <item m="1" x="6985"/>
        <item m="1" x="7384"/>
        <item m="1" x="6884"/>
        <item m="1" x="4567"/>
        <item m="1" x="4053"/>
        <item m="1" x="6726"/>
        <item m="1" x="7017"/>
        <item m="1" x="7835"/>
        <item m="1" x="4236"/>
        <item m="1" x="7906"/>
        <item m="1" x="6422"/>
        <item m="1" x="4054"/>
        <item m="1" x="5194"/>
        <item m="1" x="6063"/>
        <item m="1" x="4877"/>
        <item m="1" x="6201"/>
        <item m="1" x="4599"/>
        <item m="1" x="5919"/>
        <item m="1" x="6859"/>
        <item m="1" x="5872"/>
        <item m="1" x="4549"/>
        <item m="1" x="7601"/>
        <item m="1" x="6870"/>
        <item m="1" x="6524"/>
        <item m="1" x="4993"/>
        <item m="1" x="6911"/>
        <item m="1" x="7148"/>
        <item m="1" x="6803"/>
        <item m="1" x="6011"/>
        <item m="1" x="7621"/>
        <item m="1" x="5998"/>
        <item m="1" x="6285"/>
        <item m="1" x="7422"/>
        <item m="1" x="4863"/>
        <item m="1" x="6525"/>
        <item m="1" x="6237"/>
        <item m="1" x="4715"/>
        <item m="1" x="7328"/>
        <item m="1" x="5897"/>
        <item m="1" x="4428"/>
        <item m="1" x="5006"/>
        <item m="1" x="6210"/>
        <item m="1" x="5097"/>
        <item m="1" x="6038"/>
        <item m="1" x="6209"/>
        <item m="1" x="5851"/>
        <item m="1" x="5195"/>
        <item m="1" x="6064"/>
        <item m="1" x="7602"/>
        <item m="1" x="6248"/>
        <item m="1" x="5768"/>
        <item m="1" x="5245"/>
        <item m="1" x="6286"/>
        <item m="1" x="4503"/>
        <item m="1" x="7385"/>
        <item m="1" x="6506"/>
        <item m="1" x="7205"/>
        <item m="1" x="6705"/>
        <item m="1" x="7163"/>
        <item m="1" x="4068"/>
        <item m="1" x="7084"/>
        <item m="1" x="7836"/>
        <item m="1" x="5361"/>
        <item m="1" x="5630"/>
        <item m="1" x="6487"/>
        <item m="1" x="4864"/>
        <item m="1" x="6647"/>
        <item m="1" x="4033"/>
        <item m="1" x="6575"/>
        <item m="1" x="3981"/>
        <item m="1" x="6303"/>
        <item m="1" x="6783"/>
        <item m="1" x="7032"/>
        <item m="1" x="5800"/>
        <item m="1" x="5683"/>
        <item m="1" x="6392"/>
        <item m="1" x="5554"/>
        <item m="1" x="6065"/>
        <item m="1" x="7837"/>
        <item m="1" x="4680"/>
        <item m="1" x="6322"/>
        <item m="1" x="5577"/>
        <item m="1" x="7120"/>
        <item m="1" x="6202"/>
        <item m="1" x="3982"/>
        <item m="1" x="4405"/>
        <item m="1" x="4128"/>
        <item m="1" x="5608"/>
        <item m="1" x="6795"/>
        <item m="1" x="7445"/>
        <item m="1" x="5999"/>
        <item m="1" x="6976"/>
        <item m="1" x="5254"/>
        <item m="1" x="5631"/>
        <item m="1" x="4415"/>
        <item m="1" x="5801"/>
        <item m="1" x="7164"/>
        <item m="1" x="4095"/>
        <item m="1" x="7947"/>
        <item m="1" x="5157"/>
        <item m="1" x="6012"/>
        <item m="1" x="6488"/>
        <item m="1" x="6265"/>
        <item m="1" x="7907"/>
        <item m="1" x="7970"/>
        <item m="1" x="5935"/>
        <item m="1" x="6000"/>
        <item m="1" x="6739"/>
        <item m="1" x="4746"/>
        <item m="1" x="6898"/>
        <item m="1" x="4416"/>
        <item m="1" x="7092"/>
        <item m="1" x="7033"/>
        <item m="1" x="7380"/>
        <item m="1" x="5873"/>
        <item m="1" x="5454"/>
        <item m="1" x="4624"/>
        <item m="1" x="5208"/>
        <item m="1" x="7158"/>
        <item m="1" x="5055"/>
        <item m="1" x="6278"/>
        <item m="1" x="5169"/>
        <item m="1" x="5632"/>
        <item m="1" x="5609"/>
        <item m="1" x="7458"/>
        <item m="1" x="4513"/>
        <item m="1" x="6796"/>
        <item m="1" x="4119"/>
        <item m="1" x="6746"/>
        <item m="1" x="4397"/>
        <item m="1" x="7431"/>
        <item m="1" x="4727"/>
        <item m="1" x="7922"/>
        <item m="1" x="7064"/>
        <item m="1" x="5333"/>
        <item m="1" x="7085"/>
        <item m="1" x="6599"/>
        <item m="1" x="4816"/>
        <item m="1" x="6871"/>
        <item m="1" x="4312"/>
        <item m="1" x="6203"/>
        <item m="1" x="5063"/>
        <item m="1" x="7668"/>
        <item m="1" x="5460"/>
        <item m="1" x="4047"/>
        <item m="1" x="7265"/>
        <item m="1" x="6130"/>
        <item m="1" x="3993"/>
        <item m="1" x="5802"/>
        <item m="1" x="4932"/>
        <item m="1" x="4898"/>
        <item m="1" x="7361"/>
        <item m="1" x="4592"/>
        <item m="1" x="6516"/>
        <item m="1" x="4755"/>
        <item m="1" x="4489"/>
        <item m="1" x="7423"/>
        <item m="1" x="5803"/>
        <item m="1" x="7206"/>
        <item m="1" x="7797"/>
        <item m="1" x="7732"/>
        <item m="1" x="4504"/>
        <item m="1" x="5196"/>
        <item m="1" x="7715"/>
        <item m="1" x="4613"/>
        <item m="1" x="7701"/>
        <item m="1" x="4994"/>
        <item m="1" x="6001"/>
        <item m="1" x="4109"/>
        <item m="1" x="4237"/>
        <item m="1" x="6475"/>
        <item m="1" x="6706"/>
        <item m="1" x="5920"/>
        <item m="1" x="7255"/>
        <item m="1" x="4878"/>
        <item m="1" x="5265"/>
        <item m="1" x="4784"/>
        <item m="1" x="5929"/>
        <item m="1" x="5858"/>
        <item m="1" x="7041"/>
        <item m="1" x="5820"/>
        <item m="1" x="4273"/>
        <item m="1" x="4376"/>
        <item m="1" x="7319"/>
        <item m="1" x="5413"/>
        <item m="1" x="5543"/>
        <item m="1" x="7413"/>
        <item m="1" x="6393"/>
        <item m="1" x="4108"/>
        <item m="1" x="3995"/>
        <item m="1" x="5362"/>
        <item m="1" x="5842"/>
        <item m="1" x="5821"/>
        <item m="1" x="7345"/>
        <item m="1" x="5792"/>
        <item m="1" x="6434"/>
        <item m="1" x="7572"/>
        <item m="1" x="5090"/>
        <item m="1" x="7329"/>
        <item m="1" x="5112"/>
        <item m="1" x="6047"/>
        <item m="1" x="6804"/>
        <item m="1" x="7857"/>
        <item m="1" x="7755"/>
        <item m="1" x="7302"/>
        <item m="1" x="3994"/>
        <item m="1" x="5660"/>
        <item m="1" x="6959"/>
        <item m="1" x="4112"/>
        <item m="1" x="4417"/>
        <item m="1" x="5136"/>
        <item m="1" x="6945"/>
        <item m="1" x="5197"/>
        <item m="1" x="6755"/>
        <item m="1" x="4207"/>
        <item m="1" x="7362"/>
        <item m="1" x="4120"/>
        <item m="1" x="4702"/>
        <item m="1" x="5461"/>
        <item m="1" x="7971"/>
        <item m="1" x="4773"/>
        <item m="1" x="4899"/>
        <item m="1" x="7692"/>
        <item m="1" x="4928"/>
        <item m="1" x="7266"/>
        <item m="1" x="6383"/>
        <item m="1" x="7678"/>
        <item m="1" x="6107"/>
        <item m="1" x="4110"/>
        <item m="1" x="4865"/>
        <item m="1" x="5170"/>
        <item m="1" x="6995"/>
        <item m="1" x="6648"/>
        <item m="1" x="6678"/>
        <item m="1" x="7126"/>
        <item m="1" x="4728"/>
        <item m="1" x="7086"/>
        <item m="1" x="5859"/>
        <item m="1" x="6566"/>
        <item m="1" x="7818"/>
        <item m="1" x="4834"/>
        <item m="1" x="5951"/>
        <item m="1" x="4009"/>
        <item m="1" x="5921"/>
        <item m="1" x="7931"/>
        <item m="1" x="4481"/>
        <item m="1" x="6517"/>
        <item m="1" x="6860"/>
        <item m="1" x="6314"/>
        <item m="1" x="7958"/>
        <item m="1" x="5714"/>
        <item m="1" x="7993"/>
        <item m="1" x="4322"/>
        <item m="1" x="6747"/>
        <item m="1" x="7042"/>
        <item m="1" x="4469"/>
        <item m="1" x="5308"/>
        <item m="1" x="7414"/>
        <item m="1" x="4785"/>
        <item m="1" x="7330"/>
        <item m="1" x="5780"/>
        <item m="1" x="4377"/>
        <item m="1" x="5246"/>
        <item m="1" x="5098"/>
        <item m="1" x="7137"/>
        <item m="1" x="6679"/>
        <item m="1" x="7004"/>
        <item m="1" x="5832"/>
        <item m="1" x="7247"/>
        <item m="1" x="4122"/>
        <item m="1" x="4756"/>
        <item m="1" x="6986"/>
        <item m="1" x="7363"/>
        <item m="1" x="7424"/>
        <item m="1" x="7923"/>
        <item m="1" x="4913"/>
        <item m="1" x="7867"/>
        <item m="1" x="5989"/>
        <item m="1" x="4729"/>
        <item m="1" x="4505"/>
        <item m="1" x="5555"/>
        <item m="1" x="6295"/>
        <item m="1" x="6449"/>
        <item m="1" x="5462"/>
        <item m="1" x="4933"/>
        <item m="1" x="7992"/>
        <item m="1" x="4121"/>
        <item m="1" x="7229"/>
        <item m="1" x="5349"/>
        <item m="1" x="4879"/>
        <item m="1" x="4274"/>
        <item m="1" x="6002"/>
        <item m="1" x="5860"/>
        <item m="1" x="5936"/>
        <item m="1" x="7517"/>
        <item m="1" x="5990"/>
        <item m="1" x="5020"/>
        <item m="1" x="6410"/>
        <item m="1" x="6545"/>
        <item m="1" x="7603"/>
        <item m="1" x="4181"/>
        <item m="1" x="6707"/>
        <item m="1" x="7353"/>
        <item m="1" x="5813"/>
        <item m="1" x="4580"/>
        <item m="1" x="7320"/>
        <item m="1" x="6489"/>
        <item m="1" x="7875"/>
        <item m="1" x="4593"/>
        <item m="1" x="4944"/>
        <item m="1" x="6612"/>
        <item m="1" x="6048"/>
        <item m="1" x="4922"/>
        <item m="1" x="7774"/>
        <item m="1" x="5991"/>
        <item m="1" x="6899"/>
        <item m="1" x="5383"/>
        <item m="1" x="5049"/>
        <item m="1" x="6872"/>
        <item m="1" x="4737"/>
        <item m="1" x="7847"/>
        <item m="1" x="5506"/>
        <item m="1" x="4055"/>
        <item m="1" x="5334"/>
        <item m="1" x="5979"/>
        <item m="1" x="4934"/>
        <item m="1" x="5404"/>
        <item m="1" x="4209"/>
        <item m="1" x="6131"/>
        <item m="1" x="5071"/>
        <item m="1" x="4835"/>
        <item m="1" x="7994"/>
        <item m="1" x="4786"/>
        <item m="1" x="4757"/>
        <item m="1" x="7614"/>
        <item m="1" x="4581"/>
        <item m="1" x="6150"/>
        <item m="1" x="5266"/>
        <item m="1" x="6687"/>
        <item m="1" x="6411"/>
        <item m="1" x="4614"/>
        <item m="1" x="5978"/>
        <item m="1" x="4438"/>
        <item m="1" x="6279"/>
        <item m="1" x="6334"/>
        <item m="1" x="4297"/>
        <item m="1" x="6688"/>
        <item m="1" x="4945"/>
        <item m="1" x="7275"/>
        <item m="1" x="5937"/>
        <item m="1" x="5633"/>
        <item m="1" x="6811"/>
        <item m="1" x="4123"/>
        <item m="1" x="7630"/>
        <item m="1" x="7716"/>
        <item m="1" x="7679"/>
        <item m="1" x="6926"/>
        <item m="1" x="7775"/>
        <item m="1" x="5158"/>
        <item m="1" x="4681"/>
        <item m="1" x="6885"/>
        <item m="1" x="5861"/>
        <item m="1" x="6249"/>
        <item m="1" x="5435"/>
        <item m="1" x="6093"/>
        <item m="1" x="7308"/>
        <item m="1" x="5959"/>
        <item m="1" x="4208"/>
        <item m="1" x="4142"/>
        <item m="1" x="7065"/>
        <item m="1" x="6423"/>
        <item m="1" x="6435"/>
        <item m="1" x="4555"/>
        <item m="1" x="4600"/>
        <item m="1" x="7894"/>
        <item m="1" x="4257"/>
        <item m="1" x="4330"/>
        <item m="1" x="7331"/>
        <item m="1" x="5610"/>
        <item m="1" x="6518"/>
        <item m="1" x="5148"/>
        <item m="1" x="5072"/>
        <item m="1" x="5027"/>
        <item m="1" x="4966"/>
        <item m="1" x="6476"/>
        <item m="1" x="5732"/>
        <item m="1" x="7395"/>
        <item m="1" x="5444"/>
        <item m="1" x="3996"/>
        <item m="1" x="5751"/>
        <item m="1" x="4690"/>
        <item m="1" x="3997"/>
        <item m="1" x="5661"/>
        <item m="1" x="5761"/>
        <item m="1" x="6346"/>
        <item m="1" x="4331"/>
        <item m="1" x="6847"/>
        <item m="1" x="7371"/>
        <item m="1" x="4258"/>
        <item m="1" x="6947"/>
        <item m="1" x="5589"/>
        <item m="1" x="5309"/>
        <item m="1" x="6654"/>
        <item m="1" x="5056"/>
        <item m="1" x="6266"/>
        <item m="1" x="5463"/>
        <item m="1" x="7551"/>
        <item m="1" x="7858"/>
        <item m="1" x="7868"/>
        <item m="1" x="7798"/>
        <item m="1" x="6539"/>
        <item m="1" x="5477"/>
        <item m="1" x="6900"/>
        <item m="1" x="5960"/>
        <item m="1" x="6230"/>
        <item m="1" x="4900"/>
        <item m="1" x="5887"/>
        <item m="1" x="6835"/>
        <item m="1" x="5219"/>
        <item m="1" x="7940"/>
        <item m="1" x="6946"/>
        <item m="1" x="6187"/>
        <item m="1" x="4418"/>
        <item m="1" x="7093"/>
        <item m="1" x="5423"/>
        <item m="1" x="6861"/>
        <item m="1" x="6812"/>
        <item m="1" x="5804"/>
        <item m="1" x="7540"/>
        <item m="1" x="6977"/>
        <item m="1" x="5514"/>
        <item m="1" x="5862"/>
        <item m="1" x="6848"/>
        <item m="1" x="5647"/>
        <item m="1" x="7702"/>
        <item m="1" x="7005"/>
        <item m="1" x="4935"/>
        <item m="1" x="5793"/>
        <item m="1" x="6003"/>
        <item m="1" x="6132"/>
        <item m="1" x="6024"/>
        <item m="1" x="7256"/>
        <item m="1" x="7043"/>
        <item m="1" x="5038"/>
        <item m="1" x="5740"/>
        <item m="1" x="6680"/>
        <item m="1" x="7159"/>
        <item m="1" x="4259"/>
        <item m="1" x="7693"/>
        <item m="1" x="4531"/>
        <item m="1" x="6335"/>
        <item m="1" x="4866"/>
        <item m="1" x="6376"/>
        <item m="1" x="4429"/>
        <item m="1" x="4096"/>
        <item m="1" x="5080"/>
        <item m="1" x="5781"/>
        <item m="1" x="5833"/>
        <item m="1" x="6120"/>
        <item m="1" x="4787"/>
        <item m="1" x="4238"/>
        <item m="1" x="6049"/>
        <item m="1" x="7588"/>
        <item m="1" x="4069"/>
        <item m="1" x="4643"/>
        <item m="1" x="4758"/>
        <item m="1" x="6021"/>
        <item m="1" x="5634"/>
        <item m="1" x="5335"/>
        <item m="1" x="6141"/>
        <item m="1" x="5289"/>
        <item m="1" x="5350"/>
        <item m="1" x="6347"/>
        <item m="1" x="5255"/>
        <item m="1" x="7332"/>
        <item m="1" x="7784"/>
        <item m="1" x="7604"/>
        <item m="1" x="4298"/>
        <item m="1" x="5496"/>
        <item m="1" x="5715"/>
        <item m="1" x="7459"/>
        <item m="1" x="7924"/>
        <item m="1" x="6849"/>
        <item m="1" x="7268"/>
        <item m="1" x="6828"/>
        <item m="1" x="6708"/>
        <item m="1" x="4129"/>
        <item m="1" x="5282"/>
        <item m="1" x="7648"/>
        <item m="1" x="6862"/>
        <item m="1" x="7895"/>
        <item m="1" x="7460"/>
        <item m="1" x="7216"/>
        <item m="1" x="6863"/>
        <item m="1" x="6655"/>
        <item m="1" x="5317"/>
        <item m="1" x="5590"/>
        <item m="1" x="4800"/>
        <item m="1" x="7615"/>
        <item m="1" x="7267"/>
        <item m="1" x="4143"/>
        <item m="1" x="6978"/>
        <item m="1" x="4048"/>
        <item m="1" x="5814"/>
        <item m="1" x="6784"/>
        <item m="1" x="7638"/>
        <item m="1" x="7286"/>
        <item m="1" x="5137"/>
        <item m="1" x="7432"/>
        <item m="1" x="6873"/>
        <item m="1" x="6440"/>
        <item m="1" x="7185"/>
        <item m="1" x="5980"/>
        <item m="1" x="6267"/>
        <item m="1" x="4849"/>
        <item m="1" x="5372"/>
        <item m="1" x="6315"/>
        <item m="1" x="7518"/>
        <item m="1" x="4730"/>
        <item m="1" x="5414"/>
        <item m="1" x="4995"/>
        <item m="1" x="7217"/>
        <item m="1" x="6927"/>
        <item m="1" x="5149"/>
        <item m="1" x="7433"/>
        <item m="1" x="6531"/>
        <item m="1" x="4144"/>
        <item m="1" x="4124"/>
        <item m="1" x="7694"/>
        <item m="1" x="4659"/>
        <item m="1" x="6188"/>
        <item m="1" x="5769"/>
        <item m="1" x="6450"/>
        <item m="1" x="4836"/>
        <item m="1" x="7165"/>
        <item m="1" x="6836"/>
        <item m="1" x="7044"/>
        <item m="1" x="7480"/>
        <item m="1" x="4275"/>
        <item m="1" x="5822"/>
        <item m="1" x="6546"/>
        <item m="1" x="6167"/>
        <item m="1" x="5497"/>
        <item m="1" x="6108"/>
        <item m="1" x="6050"/>
        <item m="1" x="7149"/>
        <item m="1" x="6960"/>
        <item m="1" x="7605"/>
        <item m="1" x="7649"/>
        <item m="1" x="7631"/>
        <item m="1" x="4239"/>
        <item m="1" x="7809"/>
        <item m="1" x="5336"/>
        <item m="1" x="4156"/>
        <item m="1" x="5464"/>
        <item m="1" x="7396"/>
        <item m="1" x="5234"/>
        <item m="1" x="6304"/>
        <item m="1" x="5648"/>
        <item m="1" x="3998"/>
        <item m="1" x="4759"/>
        <item m="1" x="5498"/>
        <item m="1" x="6547"/>
        <item m="1" x="6837"/>
        <item m="1" x="4731"/>
        <item m="1" x="6477"/>
        <item m="1" x="7932"/>
        <item m="1" x="6756"/>
        <item m="1" x="5662"/>
        <item m="1" x="6633"/>
        <item m="1" x="6356"/>
        <item m="1" x="7269"/>
        <item m="1" x="5843"/>
        <item m="1" x="4760"/>
        <item m="1" x="4637"/>
        <item m="1" x="6462"/>
        <item m="1" x="6613"/>
        <item m="1" x="7055"/>
        <item m="1" x="4532"/>
        <item m="1" x="7980"/>
        <item m="1" x="3959"/>
        <item m="1" x="7756"/>
        <item m="1" x="7281"/>
        <item m="1" x="7948"/>
        <item m="1" x="5752"/>
        <item m="1" x="4520"/>
        <item m="1" x="6987"/>
        <item m="1" x="4398"/>
        <item m="1" x="4439"/>
        <item m="1" x="5050"/>
        <item m="1" x="4223"/>
        <item m="1" x="6336"/>
        <item m="1" x="7218"/>
        <item m="1" x="6697"/>
        <item m="1" x="5753"/>
        <item m="1" x="7552"/>
        <item m="1" x="6864"/>
        <item m="1" x="5405"/>
        <item m="1" x="4169"/>
        <item m="1" x="4817"/>
        <item m="1" x="7799"/>
        <item m="1" x="7434"/>
        <item m="1" x="7553"/>
        <item m="1" x="6689"/>
        <item m="1" x="5273"/>
        <item m="1" x="6727"/>
        <item m="1" x="6451"/>
        <item m="1" x="6582"/>
        <item m="1" x="4601"/>
        <item m="1" x="5523"/>
        <item m="1" x="7885"/>
        <item m="1" x="5220"/>
        <item m="1" x="4691"/>
        <item m="1" x="5384"/>
        <item m="1" x="7386"/>
        <item m="1" x="4937"/>
        <item m="1" x="4978"/>
        <item m="1" x="4314"/>
        <item m="1" x="7138"/>
        <item m="1" x="6961"/>
        <item m="1" x="7333"/>
        <item m="1" x="4260"/>
        <item m="1" x="7238"/>
        <item m="1" x="6158"/>
        <item m="1" x="5007"/>
        <item m="1" x="4582"/>
        <item m="1" x="5057"/>
        <item m="1" x="7494"/>
        <item m="1" x="7219"/>
        <item m="1" x="6394"/>
        <item m="1" x="6204"/>
        <item m="1" x="5199"/>
        <item m="1" x="4077"/>
        <item m="1" x="4210"/>
        <item m="1" x="7094"/>
        <item m="1" x="4332"/>
        <item m="1" x="6013"/>
        <item m="1" x="5222"/>
        <item m="1" x="5393"/>
        <item m="1" x="4471"/>
        <item m="1" x="6377"/>
        <item m="1" x="4818"/>
        <item m="1" x="4430"/>
        <item m="1" x="5611"/>
        <item m="1" x="7461"/>
        <item m="1" x="4432"/>
        <item m="1" x="4078"/>
        <item m="1" x="6094"/>
        <item m="1" x="5707"/>
        <item m="1" x="7776"/>
        <item m="1" x="7662"/>
        <item m="1" x="4145"/>
        <item m="1" x="6666"/>
        <item m="1" x="7717"/>
        <item m="1" x="5159"/>
        <item m="1" x="4056"/>
        <item m="1" x="4673"/>
        <item m="1" x="6865"/>
        <item m="1" x="7884"/>
        <item m="1" x="6785"/>
        <item m="1" x="7415"/>
        <item m="1" x="4996"/>
        <item m="1" x="5256"/>
        <item m="1" x="4049"/>
        <item m="1" x="7963"/>
        <item m="1" x="4809"/>
        <item m="1" x="5198"/>
        <item m="1" x="5599"/>
        <item m="1" x="7650"/>
        <item m="1" x="4076"/>
        <item m="1" x="4936"/>
        <item m="1" x="4224"/>
        <item m="1" x="4594"/>
        <item m="1" x="6178"/>
        <item m="1" x="7150"/>
        <item m="1" x="5700"/>
        <item m="1" x="7589"/>
        <item m="1" x="5507"/>
        <item m="1" x="4419"/>
        <item m="1" x="4850"/>
        <item m="1" x="7573"/>
        <item m="1" x="6600"/>
        <item m="1" x="3999"/>
        <item m="1" x="7786"/>
        <item m="1" x="7896"/>
        <item m="1" x="4595"/>
        <item m="1" x="7087"/>
        <item m="1" x="6866"/>
        <item m="1" x="4130"/>
        <item m="1" x="4483"/>
        <item m="1" x="5436"/>
        <item m="1" x="4550"/>
        <item m="1" x="6022"/>
        <item m="1" x="7590"/>
        <item m="1" x="5221"/>
        <item m="1" x="6051"/>
        <item m="1" x="5209"/>
        <item m="1" x="5294"/>
        <item m="1" x="4521"/>
        <item m="1" x="7186"/>
        <item m="1" x="6601"/>
        <item m="1" x="4886"/>
        <item m="1" x="6912"/>
        <item m="1" x="7519"/>
        <item m="1" x="6109"/>
        <item m="1" x="7800"/>
        <item m="1" x="6838"/>
        <item m="1" x="5524"/>
        <item m="1" x="5835"/>
        <item m="1" x="6133"/>
        <item m="1" x="4431"/>
        <item m="1" x="7066"/>
        <item m="1" x="5733"/>
        <item m="1" x="6757"/>
        <item m="1" x="7160"/>
        <item m="1" x="7606"/>
        <item m="1" x="5961"/>
        <item m="1" x="5150"/>
        <item m="1" x="5938"/>
        <item m="1" x="4323"/>
        <item m="1" x="7785"/>
        <item m="1" x="6025"/>
        <item m="1" x="4018"/>
        <item m="1" x="6220"/>
        <item m="1" x="4313"/>
        <item m="1" x="5962"/>
        <item m="1" x="6540"/>
        <item m="1" x="4034"/>
        <item m="1" x="4470"/>
        <item m="1" x="5939"/>
        <item m="1" x="6901"/>
        <item m="1" x="4182"/>
        <item m="1" x="6624"/>
        <item m="1" x="4644"/>
        <item m="1" x="6895"/>
        <item m="1" x="5310"/>
        <item m="1" x="6934"/>
        <item m="1" x="5874"/>
        <item m="1" x="4193"/>
        <item m="1" x="4194"/>
        <item m="1" x="4482"/>
        <item m="1" x="4703"/>
        <item m="1" x="7663"/>
        <item m="1" x="4583"/>
        <item m="1" x="6441"/>
        <item m="1" x="5834"/>
        <item m="1" x="5963"/>
        <item m="1" x="5200"/>
        <item m="1" x="7276"/>
        <item m="1" x="6337"/>
        <item m="1" x="4923"/>
        <item m="1" x="7509"/>
        <item m="1" x="4556"/>
        <item m="1" x="7056"/>
        <item m="1" x="6412"/>
        <item m="1" x="4568"/>
        <item m="1" x="7742"/>
        <item m="1" x="7045"/>
        <item m="1" x="5424"/>
        <item m="1" x="4615"/>
        <item m="1" x="5908"/>
        <item m="1" x="4645"/>
        <item m="1" x="6874"/>
        <item m="1" x="7321"/>
        <item m="1" x="6436"/>
        <item m="1" x="7787"/>
        <item m="1" x="5964"/>
        <item m="1" x="5283"/>
        <item m="1" x="5782"/>
        <item m="1" x="6690"/>
        <item m="1" x="4652"/>
        <item m="1" x="6499"/>
        <item m="1" x="4569"/>
        <item m="1" x="7733"/>
        <item m="1" x="5525"/>
        <item m="1" x="4333"/>
        <item m="1" x="4211"/>
        <item m="1" x="4732"/>
        <item m="1" x="6839"/>
        <item m="1" x="7825"/>
        <item m="1" x="4957"/>
        <item m="1" x="4761"/>
        <item m="1" x="5909"/>
        <item m="1" x="5910"/>
        <item m="1" x="6876"/>
        <item m="1" x="5762"/>
        <item m="1" x="4837"/>
        <item m="1" x="6902"/>
        <item m="1" x="7076"/>
        <item m="1" x="3960"/>
        <item m="1" x="4968"/>
        <item m="1" x="6296"/>
        <item m="1" x="5091"/>
        <item m="1" x="7248"/>
        <item m="1" x="7287"/>
        <item m="1" x="6357"/>
        <item m="1" x="5028"/>
        <item m="1" x="5039"/>
        <item m="1" x="5741"/>
        <item m="1" x="7788"/>
        <item m="1" x="4733"/>
        <item m="1" x="7387"/>
        <item m="1" x="5898"/>
        <item m="1" x="5635"/>
        <item m="1" x="4070"/>
        <item m="1" x="5692"/>
        <item m="1" x="7127"/>
        <item m="1" x="7372"/>
        <item m="1" x="6452"/>
        <item m="1" x="7006"/>
        <item m="1" x="5160"/>
        <item m="1" x="5172"/>
        <item m="1" x="4716"/>
        <item m="1" x="6498"/>
        <item m="1" x="5465"/>
        <item m="1" x="6179"/>
        <item m="1" x="7416"/>
        <item m="1" x="7046"/>
        <item m="1" x="4384"/>
        <item m="1" x="7166"/>
        <item m="1" x="6142"/>
        <item m="1" x="5981"/>
        <item m="1" x="5537"/>
        <item m="1" x="5863"/>
        <item m="1" x="6948"/>
        <item m="1" x="4261"/>
        <item m="1" x="6875"/>
        <item m="1" x="7869"/>
        <item m="1" x="7558"/>
        <item m="1" x="7995"/>
        <item m="1" x="5455"/>
        <item m="1" x="4533"/>
        <item m="1" x="6490"/>
        <item m="1" x="7541"/>
        <item m="1" x="7724"/>
        <item m="1" x="7607"/>
        <item m="1" x="6532"/>
        <item m="1" x="4440"/>
        <item m="1" x="5965"/>
        <item m="1" x="4352"/>
        <item m="1" x="7826"/>
        <item m="1" x="7196"/>
        <item m="1" x="6668"/>
        <item m="1" x="4131"/>
        <item m="1" x="5373"/>
        <item m="1" x="5099"/>
        <item m="1" x="5770"/>
        <item m="1" x="5385"/>
        <item m="1" x="4603"/>
        <item m="1" x="6819"/>
        <item m="1" x="5754"/>
        <item m="1" x="7111"/>
        <item m="1" x="5113"/>
        <item m="1" x="5783"/>
        <item m="1" x="4514"/>
        <item m="1" x="6770"/>
        <item m="1" x="4762"/>
        <item m="1" x="5151"/>
        <item m="1" x="5171"/>
        <item m="1" x="4938"/>
        <item m="1" x="7639"/>
        <item m="1" x="5724"/>
        <item m="1" x="4406"/>
        <item m="1" x="4887"/>
        <item m="1" x="7403"/>
        <item m="1" x="6667"/>
        <item m="1" x="7346"/>
        <item m="1" x="4967"/>
        <item m="1" x="4399"/>
        <item m="1" x="4717"/>
        <item m="1" x="5257"/>
        <item m="1" x="4602"/>
        <item m="1" x="5138"/>
        <item m="1" x="5363"/>
        <item m="1" x="6979"/>
        <item m="1" x="6886"/>
        <item m="1" x="4472"/>
        <item m="1" x="5922"/>
        <item m="1" x="4433"/>
        <item m="1" x="7435"/>
        <item m="1" x="6287"/>
        <item m="1" x="6189"/>
        <item m="1" x="4692"/>
        <item m="1" x="4718"/>
        <item m="1" x="5864"/>
        <item m="1" x="7485"/>
        <item m="1" x="5585"/>
        <item m="1" x="6033"/>
        <item m="1" x="6297"/>
        <item m="1" x="7651"/>
        <item m="1" x="7810"/>
        <item m="1" x="5274"/>
        <item m="1" x="7669"/>
        <item m="1" x="6348"/>
        <item m="1" x="6190"/>
        <item m="1" x="6614"/>
        <item m="1" x="6134"/>
        <item m="1" x="5267"/>
        <item m="1" x="5600"/>
        <item m="1" x="5029"/>
        <item m="1" x="5161"/>
        <item m="1" x="4276"/>
        <item m="1" x="6615"/>
        <item m="1" x="6718"/>
        <item m="1" x="6424"/>
        <item m="1" x="5351"/>
        <item m="1" x="4212"/>
        <item m="1" x="7207"/>
        <item m="1" x="4378"/>
        <item m="1" x="5836"/>
        <item m="1" x="4170"/>
        <item m="1" x="4774"/>
        <item m="1" x="4315"/>
        <item m="1" x="5923"/>
        <item m="1" x="7981"/>
        <item m="1" x="5794"/>
        <item m="1" x="6191"/>
        <item m="1" x="4704"/>
        <item m="1" x="6541"/>
        <item m="1" x="5823"/>
        <item m="1" x="7652"/>
        <item m="1" x="5051"/>
        <item m="1" x="7404"/>
        <item m="1" x="7167"/>
        <item m="1" x="7941"/>
        <item m="1" x="7034"/>
        <item m="1" x="6996"/>
        <item m="1" x="4316"/>
        <item m="1" x="6728"/>
        <item m="1" x="6205"/>
        <item m="1" x="4534"/>
        <item m="1" x="5556"/>
        <item m="1" x="7469"/>
        <item m="1" x="5499"/>
        <item m="1" x="6305"/>
        <item m="1" x="7725"/>
        <item m="1" x="7789"/>
        <item m="1" x="6074"/>
        <item m="1" x="7933"/>
        <item m="1" x="5716"/>
        <item m="1" x="7347"/>
        <item m="1" x="4079"/>
        <item m="1" x="5100"/>
        <item m="1" x="7112"/>
        <item m="1" x="6316"/>
        <item m="1" x="5966"/>
        <item m="1" x="6691"/>
        <item m="1" x="5693"/>
        <item m="1" x="6548"/>
        <item m="1" x="7446"/>
        <item m="1" x="6378"/>
        <item m="1" x="6014"/>
        <item m="1" x="5008"/>
        <item m="1" x="5875"/>
        <item m="1" x="6913"/>
        <item m="1" x="5352"/>
        <item m="1" x="5526"/>
        <item m="1" x="7230"/>
        <item m="1" x="6692"/>
        <item m="1" x="6258"/>
        <item m="1" x="6935"/>
        <item m="1" x="5406"/>
        <item m="1" x="6709"/>
        <item m="1" x="5569"/>
        <item m="1" x="6567"/>
        <item m="1" x="4369"/>
        <item m="1" x="6110"/>
        <item m="1" x="5591"/>
        <item m="1" x="4441"/>
        <item m="1" x="7388"/>
        <item m="1" x="7354"/>
        <item m="1" x="6887"/>
        <item m="1" x="6507"/>
        <item m="1" x="4625"/>
        <item m="1" x="5544"/>
        <item m="1" x="7996"/>
        <item m="1" x="4604"/>
        <item m="1" x="5021"/>
        <item m="1" x="7057"/>
        <item m="1" x="4026"/>
        <item m="1" x="7047"/>
        <item m="1" x="3961"/>
        <item m="1" x="6850"/>
        <item m="1" x="5182"/>
        <item m="1" x="6260"/>
        <item m="1" x="4626"/>
        <item m="1" x="7470"/>
        <item m="1" x="4820"/>
        <item m="1" x="5210"/>
        <item m="1" x="4334"/>
        <item m="1" x="6401"/>
        <item m="1" x="7036"/>
        <item m="1" x="7632"/>
        <item m="1" x="4775"/>
        <item m="1" x="5637"/>
        <item m="1" x="5674"/>
        <item m="1" x="4570"/>
        <item m="1" x="4324"/>
        <item m="1" x="4420"/>
        <item m="1" x="4240"/>
        <item m="1" x="7187"/>
        <item m="1" x="6306"/>
        <item m="1" x="4705"/>
        <item m="1" x="5223"/>
        <item m="1" x="5638"/>
        <item m="1" x="7417"/>
        <item m="1" x="6027"/>
        <item m="1" x="4157"/>
        <item m="1" x="4025"/>
        <item m="1" x="4693"/>
        <item m="1" x="4287"/>
        <item m="1" x="6039"/>
        <item m="1" x="4001"/>
        <item m="1" x="4946"/>
        <item m="1" x="5734"/>
        <item m="1" x="4795"/>
        <item m="1" x="4490"/>
        <item m="1" x="4763"/>
        <item m="1" x="7757"/>
        <item m="1" x="7486"/>
        <item m="1" x="5275"/>
        <item m="1" x="4286"/>
        <item m="1" x="6758"/>
        <item m="1" x="4391"/>
        <item m="1" x="7559"/>
        <item m="1" x="6634"/>
        <item m="1" x="6797"/>
        <item m="1" x="7035"/>
        <item m="1" x="5466"/>
        <item m="1" x="6478"/>
        <item m="1" x="7703"/>
        <item m="1" x="6602"/>
        <item m="1" x="6259"/>
        <item m="1" x="5650"/>
        <item m="1" x="5592"/>
        <item m="1" x="4385"/>
        <item m="1" x="5805"/>
        <item m="1" x="7462"/>
        <item m="1" x="5425"/>
        <item m="1" x="4734"/>
        <item m="1" x="7574"/>
        <item m="1" x="6442"/>
        <item m="1" x="7790"/>
        <item m="1" x="4867"/>
        <item m="1" x="6269"/>
        <item m="1" x="5374"/>
        <item m="1" x="4132"/>
        <item m="1" x="5311"/>
        <item m="1" x="4454"/>
        <item m="1" x="7959"/>
        <item m="1" x="3983"/>
        <item m="1" x="6211"/>
        <item m="1" x="6323"/>
        <item m="1" x="5073"/>
        <item m="1" x="7239"/>
        <item m="1" x="6250"/>
        <item m="1" x="7827"/>
        <item m="1" x="6616"/>
        <item m="1" x="7982"/>
        <item m="1" x="4442"/>
        <item m="1" x="5139"/>
        <item m="1" x="7397"/>
        <item m="1" x="7208"/>
        <item m="1" x="7270"/>
        <item m="1" x="5763"/>
        <item m="1" x="6111"/>
        <item m="1" x="5865"/>
        <item m="1" x="4214"/>
        <item m="1" x="5290"/>
        <item m="1" x="7801"/>
        <item m="1" x="7802"/>
        <item m="1" x="4915"/>
        <item m="1" x="7653"/>
        <item m="1" x="6298"/>
        <item m="1" x="5899"/>
        <item m="1" x="7139"/>
        <item m="1" x="7249"/>
        <item m="1" x="5426"/>
        <item m="1" x="6085"/>
        <item m="1" x="6550"/>
        <item m="1" x="6238"/>
        <item m="1" x="5649"/>
        <item m="1" x="4213"/>
        <item m="1" x="5717"/>
        <item m="1" x="5876"/>
        <item m="1" x="6026"/>
        <item m="1" x="5636"/>
        <item m="1" x="4914"/>
        <item m="1" x="5445"/>
        <item m="1" x="4819"/>
        <item m="1" x="6151"/>
        <item m="1" x="7616"/>
        <item m="1" x="6268"/>
        <item m="1" x="5415"/>
        <item m="1" x="5625"/>
        <item m="1" x="6635"/>
        <item m="1" x="6903"/>
        <item m="1" x="4071"/>
        <item m="1" x="3962"/>
        <item m="1" x="6095"/>
        <item m="1" x="5708"/>
        <item m="1" x="4000"/>
        <item m="1" x="5074"/>
        <item m="1" x="4674"/>
        <item m="1" x="6549"/>
        <item m="1" x="4133"/>
        <item m="1" x="7791"/>
        <item m="1" x="5118"/>
        <item m="1" x="7734"/>
        <item m="1" x="4719"/>
        <item m="1" x="5101"/>
        <item m="1" x="4901"/>
        <item m="1" x="4225"/>
        <item m="1" x="5742"/>
        <item m="1" x="7972"/>
        <item m="1" x="6221"/>
        <item m="1" x="5128"/>
        <item m="1" x="5211"/>
        <item m="1" x="4216"/>
        <item m="1" x="4506"/>
        <item m="1" x="6698"/>
        <item m="1" x="4869"/>
        <item m="1" x="7499"/>
        <item m="1" x="4036"/>
        <item m="1" x="6324"/>
        <item m="1" x="3985"/>
        <item m="1" x="6889"/>
        <item m="1" x="5141"/>
        <item m="1" x="5639"/>
        <item m="1" x="7768"/>
        <item m="1" x="6350"/>
        <item m="1" x="6605"/>
        <item m="1" x="5785"/>
        <item m="1" x="6730"/>
        <item m="1" x="7097"/>
        <item m="1" x="4979"/>
        <item m="1" x="6772"/>
        <item m="1" x="4400"/>
        <item m="1" x="7464"/>
        <item m="1" x="4136"/>
        <item m="1" x="6576"/>
        <item m="1" x="5337"/>
        <item m="1" x="4980"/>
        <item m="1" x="4338"/>
        <item m="1" x="5297"/>
        <item m="1" x="4748"/>
        <item m="1" x="7986"/>
        <item m="1" x="6699"/>
        <item m="1" x="5889"/>
        <item m="1" x="7168"/>
        <item m="1" x="4749"/>
        <item m="1" x="7130"/>
        <item m="1" x="4949"/>
        <item m="1" x="6169"/>
        <item m="1" x="7909"/>
        <item m="1" x="5786"/>
        <item m="1" x="6402"/>
        <item m="1" x="4392"/>
        <item m="1" x="7769"/>
        <item m="1" x="5152"/>
        <item m="1" x="7277"/>
        <item m="1" x="5284"/>
        <item m="1" x="5852"/>
        <item m="1" x="7058"/>
        <item m="1" x="6656"/>
        <item m="1" x="7250"/>
        <item m="1" x="7077"/>
        <item m="1" x="7348"/>
        <item m="1" x="6143"/>
        <item m="1" x="6603"/>
        <item m="1" x="4097"/>
        <item m="1" x="7640"/>
        <item m="1" x="4080"/>
        <item m="1" x="7496"/>
        <item m="1" x="6358"/>
        <item m="1" x="5276"/>
        <item m="1" x="6384"/>
        <item m="1" x="4288"/>
        <item m="1" x="7777"/>
        <item m="1" x="5364"/>
        <item m="1" x="4010"/>
        <item m="1" x="7510"/>
        <item m="1" x="6192"/>
        <item m="1" x="4134"/>
        <item m="1" x="4571"/>
        <item m="1" x="6949"/>
        <item m="1" x="4359"/>
        <item m="1" x="7664"/>
        <item m="1" x="4111"/>
        <item m="1" x="5784"/>
        <item m="1" x="5140"/>
        <item m="1" x="4776"/>
        <item m="1" x="7511"/>
        <item m="1" x="6669"/>
        <item m="1" x="7838"/>
        <item m="1" x="4386"/>
        <item m="1" x="7897"/>
        <item m="1" x="6551"/>
        <item m="1" x="7309"/>
        <item m="1" x="7608"/>
        <item m="1" x="6625"/>
        <item m="1" x="4720"/>
        <item m="1" x="5394"/>
        <item m="1" x="5102"/>
        <item m="1" x="6617"/>
        <item m="1" x="4646"/>
        <item m="1" x="4035"/>
        <item m="1" x="6359"/>
        <item m="1" x="6307"/>
        <item m="1" x="4868"/>
        <item m="1" x="7811"/>
        <item m="1" x="7128"/>
        <item m="1" x="5030"/>
        <item m="1" x="7622"/>
        <item m="1" x="4851"/>
        <item m="1" x="5235"/>
        <item m="1" x="7048"/>
        <item m="1" x="7680"/>
        <item m="1" x="5236"/>
        <item m="1" x="5755"/>
        <item m="1" x="7355"/>
        <item m="1" x="4002"/>
        <item m="1" x="5744"/>
        <item m="1" x="4336"/>
        <item m="1" x="6193"/>
        <item m="1" x="5527"/>
        <item m="1" x="5386"/>
        <item m="1" x="4491"/>
        <item m="1" x="3984"/>
        <item m="1" x="5612"/>
        <item m="1" x="5446"/>
        <item m="1" x="4810"/>
        <item m="1" x="6759"/>
        <item m="1" x="5952"/>
        <item m="1" x="4081"/>
        <item m="1" x="6086"/>
        <item m="1" x="7819"/>
        <item m="1" x="5601"/>
        <item m="1" x="5456"/>
        <item m="1" x="5563"/>
        <item m="1" x="5772"/>
        <item m="1" x="6075"/>
        <item m="1" x="4821"/>
        <item m="1" x="5248"/>
        <item m="1" x="6552"/>
        <item m="1" x="7220"/>
        <item m="1" x="5613"/>
        <item m="1" x="6920"/>
        <item m="1" x="4902"/>
        <item m="1" x="5009"/>
        <item m="1" x="6710"/>
        <item m="1" x="5725"/>
        <item m="1" x="5258"/>
        <item m="1" x="4289"/>
        <item m="1" x="4057"/>
        <item m="1" x="7447"/>
        <item m="1" x="7859"/>
        <item m="1" x="6604"/>
        <item m="1" x="4455"/>
        <item m="1" x="7718"/>
        <item m="1" x="6349"/>
        <item m="1" x="5924"/>
        <item m="1" x="7876"/>
        <item m="1" x="5127"/>
        <item m="1" x="6500"/>
        <item m="1" x="4360"/>
        <item m="1" x="5594"/>
        <item m="1" x="4113"/>
        <item m="1" x="5815"/>
        <item m="1" x="6076"/>
        <item m="1" x="7609"/>
        <item m="1" x="7642"/>
        <item m="1" x="7067"/>
        <item m="1" x="5375"/>
        <item m="1" x="7113"/>
        <item m="1" x="4515"/>
        <item m="1" x="7527"/>
        <item m="1" x="7151"/>
        <item m="1" x="5953"/>
        <item m="1" x="6212"/>
        <item m="1" x="7512"/>
        <item m="1" x="6619"/>
        <item m="1" x="5694"/>
        <item m="1" x="4584"/>
        <item m="1" x="4852"/>
        <item m="1" x="5224"/>
        <item m="1" x="5515"/>
        <item m="1" x="5578"/>
        <item m="1" x="6591"/>
        <item m="1" x="5478"/>
        <item m="1" x="7949"/>
        <item m="1" x="7849"/>
        <item m="1" x="6749"/>
        <item m="1" x="6096"/>
        <item m="1" x="5173"/>
        <item m="1" x="7059"/>
        <item m="1" x="7839"/>
        <item m="1" x="7349"/>
        <item m="1" x="6740"/>
        <item m="1" x="4638"/>
        <item m="1" x="7934"/>
        <item m="1" x="5900"/>
        <item m="1" x="5866"/>
        <item m="1" x="5457"/>
        <item m="1" x="7271"/>
        <item m="1" x="5031"/>
        <item m="1" x="5912"/>
        <item m="1" x="4738"/>
        <item m="1" x="7481"/>
        <item m="1" x="5756"/>
        <item m="1" x="5982"/>
        <item m="1" x="4811"/>
        <item m="1" x="6929"/>
        <item m="1" x="5727"/>
        <item m="1" x="7610"/>
        <item m="1" x="7654"/>
        <item m="1" x="5528"/>
        <item m="1" x="5323"/>
        <item m="1" x="7513"/>
        <item m="1" x="7141"/>
        <item m="1" x="4916"/>
        <item m="1" x="7984"/>
        <item m="1" x="5867"/>
        <item m="1" x="7850"/>
        <item m="1" x="5579"/>
        <item m="1" x="6144"/>
        <item m="1" x="7364"/>
        <item m="1" x="5825"/>
        <item m="1" x="7812"/>
        <item m="1" x="7500"/>
        <item m="1" x="4747"/>
        <item m="1" x="6526"/>
        <item m="1" x="4888"/>
        <item m="1" x="4764"/>
        <item m="1" x="6904"/>
        <item m="1" x="4904"/>
        <item m="1" x="4379"/>
        <item m="1" x="6338"/>
        <item m="1" x="7425"/>
        <item m="1" x="4011"/>
        <item m="1" x="5718"/>
        <item m="1" x="6362"/>
        <item m="1" x="4917"/>
        <item m="1" x="5184"/>
        <item m="1" x="6194"/>
        <item m="1" x="7501"/>
        <item m="1" x="4443"/>
        <item m="1" x="5103"/>
        <item m="1" x="4675"/>
        <item m="1" x="7877"/>
        <item m="1" x="5119"/>
        <item m="1" x="6671"/>
        <item m="1" x="5664"/>
        <item m="1" x="6533"/>
        <item m="1" x="5324"/>
        <item m="1" x="7575"/>
        <item m="1" x="5516"/>
        <item m="1" x="5479"/>
        <item m="1" x="5295"/>
        <item m="1" x="7495"/>
        <item m="1" x="6928"/>
        <item m="1" x="7983"/>
        <item m="1" x="5296"/>
        <item m="1" x="6771"/>
        <item m="1" x="7997"/>
        <item m="1" x="6366"/>
        <item m="1" x="7463"/>
        <item m="1" x="7037"/>
        <item m="1" x="5771"/>
        <item m="1" x="5508"/>
        <item m="1" x="7803"/>
        <item m="1" x="7176"/>
        <item m="1" x="5853"/>
        <item m="1" x="6729"/>
        <item m="1" x="5509"/>
        <item m="1" x="6867"/>
        <item m="1" x="4407"/>
        <item m="1" x="7704"/>
        <item m="1" x="4098"/>
        <item m="1" x="5593"/>
        <item m="1" x="5318"/>
        <item m="1" x="5247"/>
        <item m="1" x="6748"/>
        <item m="1" x="7743"/>
        <item m="1" x="4335"/>
        <item m="1" x="5888"/>
        <item m="1" x="5911"/>
        <item m="1" x="5743"/>
        <item m="1" x="4947"/>
        <item m="1" x="5824"/>
        <item m="1" x="5277"/>
        <item m="1" x="5162"/>
        <item m="1" x="7209"/>
        <item m="1" x="5663"/>
        <item m="1" x="4969"/>
        <item m="1" x="5651"/>
        <item m="1" x="6135"/>
        <item m="1" x="7898"/>
        <item m="1" x="5126"/>
        <item m="1" x="7908"/>
        <item m="1" x="6425"/>
        <item m="1" x="7560"/>
        <item m="1" x="6962"/>
        <item m="1" x="7140"/>
        <item m="1" x="6066"/>
        <item m="1" x="5795"/>
        <item m="1" x="7681"/>
        <item m="1" x="4215"/>
        <item m="1" x="6618"/>
        <item m="1" x="5183"/>
        <item m="1" x="4796"/>
        <item m="1" x="6168"/>
        <item m="1" x="7641"/>
        <item m="1" x="4838"/>
        <item m="1" x="4492"/>
        <item m="1" x="7682"/>
        <item m="1" x="5557"/>
        <item m="1" x="6786"/>
        <item m="1" x="4171"/>
        <item m="1" x="6519"/>
        <item m="1" x="5249"/>
        <item m="1" x="6112"/>
        <item m="1" x="7095"/>
        <item m="1" x="6590"/>
        <item m="1" x="4195"/>
        <item m="1" x="6813"/>
        <item m="1" x="7497"/>
        <item m="1" x="6896"/>
        <item m="1" x="6087"/>
        <item m="1" x="6360"/>
        <item m="1" x="7848"/>
        <item m="1" x="5735"/>
        <item m="1" x="5064"/>
        <item m="1" x="4337"/>
        <item m="1" x="4099"/>
        <item m="1" x="5602"/>
        <item m="1" x="6280"/>
        <item m="1" x="6077"/>
        <item m="1" x="6888"/>
        <item m="1" x="4706"/>
        <item m="1" x="5437"/>
        <item m="1" x="7007"/>
        <item m="1" x="6367"/>
        <item m="1" x="5726"/>
        <item m="1" x="4694"/>
        <item m="1" x="7705"/>
        <item m="1" x="6361"/>
        <item m="1" x="7860"/>
        <item m="1" x="7840"/>
        <item m="1" x="7498"/>
        <item m="1" x="4853"/>
        <item m="1" x="5075"/>
        <item m="1" x="6877"/>
        <item m="1" x="6479"/>
        <item m="1" x="5163"/>
        <item m="1" x="4948"/>
        <item m="1" x="7310"/>
        <item m="1" x="7695"/>
        <item m="1" x="4135"/>
        <item m="1" x="7373"/>
        <item m="1" x="7665"/>
        <item m="1" x="6261"/>
        <item m="1" x="4739"/>
        <item m="1" x="4082"/>
        <item m="1" x="7096"/>
        <item m="1" x="4903"/>
        <item m="1" x="6670"/>
        <item m="1" x="7683"/>
        <item m="1" x="7985"/>
        <item m="1" x="5427"/>
        <item m="1" x="7899"/>
        <item m="1" x="7129"/>
        <item m="1" x="4100"/>
        <item m="1" x="4172"/>
        <item m="1" x="4596"/>
        <item m="1" x="5796"/>
        <item m="1" x="6239"/>
        <item m="1" x="5930"/>
        <item m="1" x="7177"/>
        <item m="1" x="7719"/>
        <item m="1" x="6213"/>
        <item m="1" x="6195"/>
        <item m="1" x="4958"/>
        <item m="1" x="6820"/>
        <item m="1" x="6988"/>
        <item m="1" x="7334"/>
        <item m="1" x="7561"/>
        <item m="1" x="6805"/>
        <item m="1" x="6741"/>
        <item m="1" x="6067"/>
        <item m="1" x="5010"/>
        <item m="1" x="7231"/>
        <item m="1" x="6052"/>
        <item m="1" x="4605"/>
        <item m="1" x="5529"/>
        <item m="1" x="7335"/>
        <item m="1" x="4997"/>
        <item m="1" x="6840"/>
        <item m="1" x="5185"/>
        <item m="1" x="7114"/>
        <item m="1" x="6750"/>
        <item m="1" x="4536"/>
        <item m="1" x="7528"/>
        <item m="1" x="6481"/>
        <item m="1" x="5353"/>
        <item m="1" x="7068"/>
        <item m="1" x="4173"/>
        <item m="1" x="5438"/>
        <item m="1" x="5684"/>
        <item m="1" x="6413"/>
        <item m="1" x="5354"/>
        <item m="1" x="7910"/>
        <item m="1" x="5212"/>
        <item m="1" x="5395"/>
        <item m="1" x="4339"/>
        <item m="1" x="5652"/>
        <item m="1" x="5428"/>
        <item m="1" x="7706"/>
        <item m="1" x="7311"/>
        <item m="1" x="4507"/>
        <item m="1" x="6159"/>
        <item m="1" x="3987"/>
        <item m="1" x="7950"/>
        <item m="1" x="4003"/>
        <item m="1" x="6160"/>
        <item m="1" x="4325"/>
        <item m="1" x="5614"/>
        <item m="1" x="7562"/>
        <item m="1" x="7197"/>
        <item m="1" x="6841"/>
        <item m="1" x="6914"/>
        <item m="1" x="6206"/>
        <item m="1" x="4537"/>
        <item m="1" x="6339"/>
        <item m="1" x="4950"/>
        <item m="1" x="6281"/>
        <item m="1" x="3976"/>
        <item m="1" x="5913"/>
        <item m="1" x="6592"/>
        <item m="1" x="7322"/>
        <item m="1" x="4535"/>
        <item m="1" x="5338"/>
        <item m="1" x="7623"/>
        <item m="1" x="5719"/>
        <item m="1" x="5467"/>
        <item m="1" x="4353"/>
        <item m="1" x="6251"/>
        <item m="1" x="7251"/>
        <item m="1" x="6480"/>
        <item m="1" x="6963"/>
        <item m="1" x="7487"/>
        <item m="1" x="3986"/>
        <item m="1" x="5250"/>
        <item m="1" x="4114"/>
        <item m="1" x="5757"/>
        <item m="1" x="7998"/>
        <item m="1" x="7987"/>
        <item m="1" x="5837"/>
        <item m="1" x="6414"/>
        <item m="1" x="4572"/>
        <item m="1" x="6693"/>
        <item m="1" x="4660"/>
        <item m="1" x="7633"/>
        <item m="1" x="5653"/>
        <item m="1" x="5545"/>
        <item m="1" x="7820"/>
        <item m="1" x="4037"/>
        <item m="1" x="5396"/>
        <item m="1" x="7684"/>
        <item m="1" x="5480"/>
        <item m="1" x="4115"/>
        <item m="1" x="4393"/>
        <item m="1" x="6814"/>
        <item m="1" x="6288"/>
        <item m="1" x="4158"/>
        <item m="1" x="4408"/>
        <item m="1" x="4290"/>
        <item m="1" x="5844"/>
        <item m="1" x="6821"/>
        <item m="1" x="7744"/>
        <item m="1" x="6553"/>
        <item m="1" x="4434"/>
        <item m="1" x="5701"/>
        <item m="1" x="7870"/>
        <item m="1" x="4159"/>
        <item m="1" x="6936"/>
        <item m="1" x="7078"/>
        <item m="1" x="7198"/>
        <item m="1" x="6113"/>
        <item m="1" x="5447"/>
        <item m="1" x="6453"/>
        <item m="1" x="7288"/>
        <item m="1" x="5312"/>
        <item m="1" x="4740"/>
        <item m="1" x="5510"/>
        <item m="1" x="6773"/>
        <item m="1" x="6851"/>
        <item m="1" x="5416"/>
        <item m="1" x="6463"/>
        <item m="1" x="4585"/>
        <item m="1" x="7563"/>
        <item m="1" x="4226"/>
        <item m="1" x="6636"/>
        <item m="1" x="7770"/>
        <item m="1" x="7278"/>
        <item m="1" x="5615"/>
        <item m="1" x="6034"/>
        <item m="1" x="4538"/>
        <item m="1" x="5120"/>
        <item m="1" x="7735"/>
        <item m="1" x="6554"/>
        <item m="1" x="4262"/>
        <item m="1" x="4998"/>
        <item m="1" x="6004"/>
        <item m="1" x="6088"/>
        <item m="1" x="7115"/>
        <item m="1" x="5702"/>
        <item m="1" x="4116"/>
        <item m="1" x="4970"/>
        <item m="1" x="6694"/>
        <item m="1" x="4522"/>
        <item m="1" x="5313"/>
        <item m="1" x="6989"/>
        <item m="1" x="6527"/>
        <item m="1" x="4822"/>
        <item m="1" x="7745"/>
        <item m="1" x="5517"/>
        <item m="1" x="6657"/>
        <item m="1" x="4812"/>
        <item m="1" x="4516"/>
        <item m="1" x="4839"/>
        <item m="1" x="6719"/>
        <item m="1" x="6197"/>
        <item m="1" x="7131"/>
        <item m="1" x="7257"/>
        <item m="1" x="4039"/>
        <item m="1" x="7726"/>
        <item m="1" x="7018"/>
        <item m="1" x="7871"/>
        <item m="1" x="5319"/>
        <item m="1" x="6403"/>
        <item m="1" x="6542"/>
        <item m="1" x="6395"/>
        <item m="1" x="4101"/>
        <item m="1" x="4616"/>
        <item m="1" x="4951"/>
        <item m="1" x="5186"/>
        <item m="1" x="4361"/>
        <item m="1" x="4241"/>
        <item m="1" x="7911"/>
        <item m="1" x="6742"/>
        <item m="1" x="6905"/>
        <item m="1" x="5538"/>
        <item m="1" x="6368"/>
        <item m="1" x="6145"/>
        <item m="1" x="5665"/>
        <item m="1" x="3963"/>
        <item m="1" x="6568"/>
        <item m="1" x="6196"/>
        <item m="1" x="6482"/>
        <item m="1" x="5877"/>
        <item m="1" x="4493"/>
        <item m="1" x="6385"/>
        <item m="1" x="6508"/>
        <item m="1" x="6351"/>
        <item m="1" x="4299"/>
        <item m="1" x="6415"/>
        <item m="1" x="7132"/>
        <item m="1" x="6997"/>
        <item m="1" x="4340"/>
        <item m="1" x="7178"/>
        <item m="1" x="4722"/>
        <item m="1" x="6815"/>
        <item m="1" x="5626"/>
        <item m="1" x="5153"/>
        <item m="1" x="7389"/>
        <item m="1" x="4038"/>
        <item m="1" x="6040"/>
        <item m="1" x="6672"/>
        <item m="1" x="7964"/>
        <item m="1" x="7049"/>
        <item m="1" x="4707"/>
        <item m="1" x="5174"/>
        <item m="1" x="4160"/>
        <item m="1" x="6240"/>
        <item m="1" x="5703"/>
        <item m="1" x="4721"/>
        <item m="1" x="5720"/>
        <item m="1" x="6593"/>
        <item m="1" x="4083"/>
        <item m="1" x="5901"/>
        <item m="1" x="7008"/>
        <item m="1" x="7942"/>
        <item m="1" x="3964"/>
        <item m="1" x="6114"/>
        <item m="1" x="7828"/>
        <item m="1" x="6626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3790"/>
        <item m="1" x="3791"/>
        <item m="1" x="3792"/>
        <item m="1" x="3793"/>
        <item m="1" x="3794"/>
        <item m="1" x="3795"/>
        <item m="1" x="3796"/>
        <item m="1" x="3797"/>
        <item m="1" x="3798"/>
        <item m="1" x="3799"/>
        <item m="1" x="3800"/>
        <item m="1" x="3801"/>
        <item m="1" x="3802"/>
        <item m="1" x="3803"/>
        <item m="1" x="3804"/>
        <item m="1" x="3805"/>
        <item m="1" x="3806"/>
        <item m="1" x="3807"/>
        <item m="1" x="3808"/>
        <item m="1" x="3809"/>
        <item m="1" x="3810"/>
        <item m="1" x="3811"/>
        <item m="1" x="3812"/>
        <item m="1" x="3813"/>
        <item m="1" x="3814"/>
        <item m="1" x="3815"/>
        <item m="1" x="3816"/>
        <item m="1" x="3817"/>
        <item m="1" x="3818"/>
        <item m="1" x="3819"/>
        <item m="1" x="3820"/>
        <item m="1" x="3821"/>
        <item m="1" x="3822"/>
        <item m="1" x="3823"/>
        <item m="1" x="3824"/>
        <item m="1" x="3825"/>
        <item m="1" x="3826"/>
        <item m="1" x="3827"/>
        <item m="1" x="3828"/>
        <item m="1" x="3829"/>
        <item m="1" x="3830"/>
        <item m="1" x="3831"/>
        <item m="1" x="3832"/>
        <item m="1" x="3833"/>
        <item m="1" x="3834"/>
        <item m="1" x="3835"/>
        <item m="1" x="3836"/>
        <item m="1" x="3837"/>
        <item m="1" x="3838"/>
        <item m="1" x="3839"/>
        <item m="1" x="3840"/>
        <item m="1" x="3841"/>
        <item m="1" x="3842"/>
        <item m="1" x="3843"/>
        <item m="1" x="3844"/>
        <item m="1" x="3845"/>
        <item m="1" x="3846"/>
        <item m="1" x="3847"/>
        <item m="1" x="3848"/>
        <item m="1" x="3849"/>
        <item m="1" x="3850"/>
        <item m="1" x="3851"/>
        <item m="1" x="3852"/>
        <item m="1" x="3853"/>
        <item m="1" x="3854"/>
        <item m="1" x="3855"/>
        <item m="1" x="3856"/>
        <item m="1" x="3857"/>
        <item m="1" x="3858"/>
        <item m="1" x="3859"/>
        <item m="1" x="3860"/>
        <item m="1" x="3861"/>
        <item m="1" x="3862"/>
        <item m="1" x="3863"/>
        <item m="1" x="3864"/>
        <item m="1" x="3865"/>
        <item m="1" x="3866"/>
        <item m="1" x="3867"/>
        <item m="1" x="3868"/>
        <item m="1" x="3869"/>
        <item m="1" x="3870"/>
        <item m="1" x="3871"/>
        <item m="1" x="3872"/>
        <item m="1" x="3873"/>
        <item m="1" x="3874"/>
        <item m="1" x="3875"/>
        <item m="1" x="3876"/>
        <item m="1" x="3877"/>
        <item m="1" x="3878"/>
        <item m="1" x="3879"/>
        <item m="1" x="3880"/>
        <item m="1" x="3881"/>
        <item m="1" x="3882"/>
        <item m="1" x="3883"/>
        <item m="1" x="3884"/>
        <item m="1" x="3885"/>
        <item m="1" x="3886"/>
        <item m="1" x="3887"/>
        <item m="1" x="3888"/>
        <item m="1" x="3889"/>
        <item m="1" x="3890"/>
        <item m="1" x="3891"/>
        <item m="1" x="3892"/>
        <item m="1" x="3893"/>
        <item m="1" x="3894"/>
        <item m="1" x="3895"/>
        <item m="1" x="3896"/>
        <item m="1" x="3897"/>
        <item m="1" x="3898"/>
        <item m="1" x="3899"/>
        <item m="1" x="3900"/>
        <item m="1" x="3901"/>
        <item m="1" x="3902"/>
        <item m="1" x="3903"/>
        <item m="1" x="3904"/>
        <item m="1" x="3905"/>
        <item m="1" x="3906"/>
        <item m="1" x="3907"/>
        <item m="1" x="3908"/>
        <item m="1" x="3909"/>
        <item m="1" x="3910"/>
        <item m="1" x="3911"/>
        <item m="1" x="3912"/>
        <item m="1" x="3913"/>
        <item m="1" x="3914"/>
        <item m="1" x="3915"/>
        <item m="1" x="3916"/>
        <item m="1" x="3917"/>
        <item m="1" x="3918"/>
        <item m="1" x="3919"/>
        <item m="1" x="3920"/>
        <item m="1" x="3921"/>
        <item m="1" x="3922"/>
        <item m="1" x="3923"/>
        <item m="1" x="3924"/>
        <item m="1" x="3925"/>
        <item m="1" x="3926"/>
        <item m="1" x="3927"/>
        <item m="1" x="3928"/>
        <item m="1" x="3929"/>
        <item m="1" x="3930"/>
        <item m="1" x="3931"/>
        <item m="1" x="3932"/>
        <item m="1" x="3933"/>
        <item m="1" x="3934"/>
        <item m="1" x="3935"/>
        <item m="1" x="3936"/>
        <item m="1" x="3937"/>
        <item m="1" x="3938"/>
        <item m="1" x="3939"/>
        <item m="1" x="3940"/>
        <item m="1" x="3941"/>
        <item m="1" x="3942"/>
        <item m="1" x="3943"/>
        <item m="1" x="3944"/>
        <item m="1" x="3945"/>
        <item m="1" x="3946"/>
        <item m="1" x="3947"/>
        <item m="1" x="3948"/>
        <item m="1" x="3949"/>
        <item m="1" x="3950"/>
        <item m="1" x="3951"/>
        <item m="1" x="2916"/>
        <item m="1" x="2917"/>
        <item m="1" x="2918"/>
        <item m="1" x="2919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0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2"/>
        <item m="1" x="2963"/>
        <item m="1" x="2964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3547"/>
        <item m="1" x="3548"/>
        <item m="1" x="3549"/>
        <item m="1" x="3550"/>
        <item m="1" x="3551"/>
        <item m="1" x="3552"/>
        <item m="1" x="3553"/>
        <item m="1" x="3554"/>
        <item m="1" x="3555"/>
        <item m="1" x="3556"/>
        <item m="1" x="3557"/>
        <item m="1" x="3558"/>
        <item m="1" x="3559"/>
        <item m="1" x="3560"/>
        <item m="1" x="3561"/>
        <item m="1" x="3562"/>
        <item m="1" x="3563"/>
        <item m="1" x="3564"/>
        <item m="1" x="3565"/>
        <item m="1" x="3566"/>
        <item m="1" x="3567"/>
        <item m="1" x="3568"/>
        <item m="1" x="3569"/>
        <item m="1" x="3570"/>
        <item m="1" x="3571"/>
        <item m="1" x="3572"/>
        <item m="1" x="3573"/>
        <item m="1" x="3574"/>
        <item m="1" x="3575"/>
        <item m="1" x="3576"/>
        <item m="1" x="3577"/>
        <item m="1" x="3578"/>
        <item m="1" x="3579"/>
        <item m="1" x="3580"/>
        <item m="1" x="3581"/>
        <item m="1" x="3582"/>
        <item m="1" x="3583"/>
        <item m="1" x="3584"/>
        <item m="1" x="3585"/>
        <item m="1" x="3586"/>
        <item m="1" x="3587"/>
        <item m="1" x="3588"/>
        <item m="1" x="3589"/>
        <item m="1" x="3590"/>
        <item m="1" x="3591"/>
        <item m="1" x="3592"/>
        <item m="1" x="3593"/>
        <item m="1" x="3594"/>
        <item m="1" x="3595"/>
        <item m="1" x="3596"/>
        <item m="1" x="3597"/>
        <item m="1" x="3598"/>
        <item m="1" x="3599"/>
        <item m="1" x="3600"/>
        <item m="1" x="3601"/>
        <item m="1" x="3602"/>
        <item m="1" x="3603"/>
        <item m="1" x="3604"/>
        <item m="1" x="3605"/>
        <item m="1" x="3606"/>
        <item m="1" x="3607"/>
        <item m="1" x="3608"/>
        <item m="1" x="3609"/>
        <item m="1" x="3610"/>
        <item m="1" x="3611"/>
        <item m="1" x="3612"/>
        <item m="1" x="3613"/>
        <item m="1" x="3614"/>
        <item m="1" x="3615"/>
        <item m="1" x="3616"/>
        <item m="1" x="3617"/>
        <item m="1" x="3618"/>
        <item m="1" x="3619"/>
        <item m="1" x="3620"/>
        <item m="1" x="3621"/>
        <item m="1" x="3622"/>
        <item m="1" x="3623"/>
        <item m="1" x="3624"/>
        <item m="1" x="3625"/>
        <item m="1" x="3626"/>
        <item m="1" x="3627"/>
        <item m="1" x="3628"/>
        <item m="1" x="3629"/>
        <item m="1" x="3630"/>
        <item m="1" x="3631"/>
        <item m="1" x="3632"/>
        <item m="1" x="3633"/>
        <item m="1" x="3634"/>
        <item m="1" x="3635"/>
        <item m="1" x="3636"/>
        <item m="1" x="3637"/>
        <item m="1" x="3638"/>
        <item m="1" x="3639"/>
        <item m="1" x="3640"/>
        <item m="1" x="3641"/>
        <item m="1" x="3642"/>
        <item m="1" x="3643"/>
        <item m="1" x="3644"/>
        <item m="1" x="3645"/>
        <item m="1" x="3646"/>
        <item m="1" x="3647"/>
        <item m="1" x="3648"/>
        <item m="1" x="3649"/>
        <item m="1" x="3650"/>
        <item m="1" x="3651"/>
        <item m="1" x="3652"/>
        <item m="1" x="3653"/>
        <item m="1" x="3654"/>
        <item m="1" x="3655"/>
        <item m="1" x="3656"/>
        <item m="1" x="3657"/>
        <item m="1" x="3658"/>
        <item m="1" x="3659"/>
        <item m="1" x="3660"/>
        <item m="1" x="3661"/>
        <item m="1" x="3662"/>
        <item m="1" x="3663"/>
        <item m="1" x="3664"/>
        <item m="1" x="3665"/>
        <item m="1" x="3666"/>
        <item m="1" x="3667"/>
        <item m="1" x="3668"/>
        <item m="1" x="3669"/>
        <item m="1" x="3670"/>
        <item m="1" x="3671"/>
        <item m="1" x="3672"/>
        <item m="1" x="3673"/>
        <item m="1" x="3674"/>
        <item m="1" x="3675"/>
        <item m="1" x="3676"/>
        <item m="1" x="3677"/>
        <item m="1" x="3678"/>
        <item m="1" x="3679"/>
        <item m="1" x="3680"/>
        <item m="1" x="3681"/>
        <item m="1" x="3682"/>
        <item m="1" x="3683"/>
        <item m="1" x="3684"/>
        <item m="1" x="3685"/>
        <item m="1" x="3686"/>
        <item m="1" x="3687"/>
        <item m="1" x="3688"/>
        <item m="1" x="3689"/>
        <item m="1" x="3690"/>
        <item m="1" x="3691"/>
        <item m="1" x="3692"/>
        <item m="1" x="3693"/>
        <item m="1" x="3694"/>
        <item m="1" x="3695"/>
        <item m="1" x="3696"/>
        <item m="1" x="3697"/>
        <item m="1" x="3698"/>
        <item m="1" x="3699"/>
        <item m="1" x="3700"/>
        <item m="1" x="3701"/>
        <item m="1" x="3702"/>
        <item m="1" x="3703"/>
        <item m="1" x="3704"/>
        <item m="1" x="3705"/>
        <item m="1" x="3706"/>
        <item m="1" x="3707"/>
        <item m="1" x="3708"/>
        <item m="1" x="3709"/>
        <item m="1" x="3710"/>
        <item m="1" x="3711"/>
        <item m="1" x="3712"/>
        <item m="1" x="3713"/>
        <item m="1" x="3714"/>
        <item m="1" x="3715"/>
        <item m="1" x="3716"/>
        <item m="1" x="3717"/>
        <item m="1" x="3718"/>
        <item m="1" x="3719"/>
        <item m="1" x="3720"/>
        <item m="1" x="3721"/>
        <item m="1" x="3722"/>
        <item m="1" x="3723"/>
        <item m="1" x="3724"/>
        <item m="1" x="3725"/>
        <item m="1" x="3726"/>
        <item m="1" x="3727"/>
        <item m="1" x="3728"/>
        <item m="1" x="3729"/>
        <item m="1" x="3730"/>
        <item m="1" x="3731"/>
        <item m="1" x="3732"/>
        <item m="1" x="3733"/>
        <item m="1" x="3734"/>
        <item m="1" x="3735"/>
        <item m="1" x="3736"/>
        <item m="1" x="3737"/>
        <item m="1" x="3738"/>
        <item m="1" x="3739"/>
        <item m="1" x="3740"/>
        <item m="1" x="3741"/>
        <item m="1" x="3742"/>
        <item m="1" x="3743"/>
        <item m="1" x="3744"/>
        <item m="1" x="3745"/>
        <item m="1" x="3746"/>
        <item m="1" x="3747"/>
        <item m="1" x="3748"/>
        <item m="1" x="3749"/>
        <item m="1" x="3750"/>
        <item m="1" x="3751"/>
        <item m="1" x="3752"/>
        <item m="1" x="3753"/>
        <item m="1" x="3754"/>
        <item m="1" x="3755"/>
        <item m="1" x="3756"/>
        <item m="1" x="3757"/>
        <item m="1" x="3758"/>
        <item m="1" x="3759"/>
        <item m="1" x="3760"/>
        <item m="1" x="3761"/>
        <item m="1" x="3762"/>
        <item m="1" x="3763"/>
        <item m="1" x="3764"/>
        <item m="1" x="3765"/>
        <item m="1" x="3766"/>
        <item m="1" x="3767"/>
        <item m="1" x="3768"/>
        <item m="1" x="3769"/>
        <item m="1" x="3770"/>
        <item m="1" x="3771"/>
        <item m="1" x="3772"/>
        <item m="1" x="3773"/>
        <item m="1" x="3774"/>
        <item m="1" x="3775"/>
        <item m="1" x="3776"/>
        <item m="1" x="3777"/>
        <item m="1" x="3778"/>
        <item m="1" x="3779"/>
        <item m="1" x="3780"/>
        <item m="1" x="3781"/>
        <item m="1" x="3782"/>
        <item m="1" x="3783"/>
        <item m="1" x="3784"/>
        <item m="1" x="3785"/>
        <item m="1" x="3786"/>
        <item m="1" x="3787"/>
        <item m="1" x="3788"/>
        <item m="1" x="3789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09"/>
        <item m="1" x="2910"/>
        <item m="1" x="2911"/>
        <item m="1" x="2912"/>
        <item m="1" x="2913"/>
        <item m="1" x="2914"/>
        <item m="1" x="2915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m="1" x="3257"/>
        <item m="1" x="3258"/>
        <item m="1" x="3259"/>
        <item m="1" x="3260"/>
        <item m="1" x="3261"/>
        <item m="1" x="3262"/>
        <item m="1" x="3263"/>
        <item m="1" x="3264"/>
        <item m="1" x="3265"/>
        <item m="1" x="3266"/>
        <item m="1" x="3267"/>
        <item m="1" x="3268"/>
        <item m="1" x="3269"/>
        <item m="1" x="3270"/>
        <item m="1" x="3271"/>
        <item m="1" x="3272"/>
        <item m="1" x="3273"/>
        <item m="1" x="3274"/>
        <item m="1" x="3275"/>
        <item m="1" x="3276"/>
        <item m="1" x="3277"/>
        <item m="1" x="3278"/>
        <item m="1" x="3279"/>
        <item m="1" x="3280"/>
        <item m="1" x="3281"/>
        <item m="1" x="3282"/>
        <item m="1" x="3283"/>
        <item m="1" x="3284"/>
        <item m="1" x="3285"/>
        <item m="1" x="3286"/>
        <item m="1" x="3287"/>
        <item m="1" x="3288"/>
        <item m="1" x="3289"/>
        <item m="1" x="3290"/>
        <item m="1" x="3291"/>
        <item m="1" x="3292"/>
        <item m="1" x="3293"/>
        <item m="1" x="3294"/>
        <item m="1" x="3295"/>
        <item m="1" x="3296"/>
        <item m="1" x="3297"/>
        <item m="1" x="3298"/>
        <item m="1" x="3299"/>
        <item m="1" x="3300"/>
        <item m="1" x="3301"/>
        <item m="1" x="3302"/>
        <item m="1" x="3303"/>
        <item m="1" x="3304"/>
        <item m="1" x="3305"/>
        <item m="1" x="3306"/>
        <item m="1" x="3307"/>
        <item m="1" x="3308"/>
        <item m="1" x="3309"/>
        <item m="1" x="3310"/>
        <item m="1" x="3311"/>
        <item m="1" x="3312"/>
        <item m="1" x="3313"/>
        <item m="1" x="3314"/>
        <item m="1" x="3315"/>
        <item m="1" x="3316"/>
        <item m="1" x="3317"/>
        <item m="1" x="3318"/>
        <item m="1" x="3319"/>
        <item m="1" x="3320"/>
        <item m="1" x="3321"/>
        <item m="1" x="3322"/>
        <item m="1" x="3323"/>
        <item m="1" x="3324"/>
        <item m="1" x="3325"/>
        <item m="1" x="3326"/>
        <item m="1" x="3327"/>
        <item m="1" x="3328"/>
        <item m="1" x="3329"/>
        <item m="1" x="3330"/>
        <item m="1" x="3331"/>
        <item m="1" x="3332"/>
        <item m="1" x="3333"/>
        <item m="1" x="3334"/>
        <item m="1" x="3335"/>
        <item m="1" x="3336"/>
        <item m="1" x="3337"/>
        <item m="1" x="3338"/>
        <item m="1" x="3339"/>
        <item m="1" x="3340"/>
        <item m="1" x="3341"/>
        <item m="1" x="3342"/>
        <item m="1" x="3343"/>
        <item m="1" x="3344"/>
        <item m="1" x="3345"/>
        <item m="1" x="3346"/>
        <item m="1" x="3347"/>
        <item m="1" x="3348"/>
        <item m="1" x="3349"/>
        <item m="1" x="3350"/>
        <item m="1" x="3351"/>
        <item m="1" x="3352"/>
        <item m="1" x="3353"/>
        <item m="1" x="3354"/>
        <item m="1" x="3355"/>
        <item m="1" x="3356"/>
        <item m="1" x="3357"/>
        <item m="1" x="3358"/>
        <item m="1" x="3359"/>
        <item m="1" x="3360"/>
        <item m="1" x="3361"/>
        <item m="1" x="3362"/>
        <item m="1" x="3363"/>
        <item m="1" x="3364"/>
        <item m="1" x="3365"/>
        <item m="1" x="3366"/>
        <item m="1" x="3367"/>
        <item m="1" x="3368"/>
        <item m="1" x="3369"/>
        <item m="1" x="3370"/>
        <item m="1" x="3371"/>
        <item m="1" x="3372"/>
        <item m="1" x="3373"/>
        <item m="1" x="3374"/>
        <item m="1" x="3375"/>
        <item m="1" x="3376"/>
        <item m="1" x="3377"/>
        <item m="1" x="3378"/>
        <item m="1" x="3379"/>
        <item m="1" x="3380"/>
        <item m="1" x="3381"/>
        <item m="1" x="3382"/>
        <item m="1" x="3383"/>
        <item m="1" x="3384"/>
        <item m="1" x="3385"/>
        <item m="1" x="3386"/>
        <item m="1" x="3387"/>
        <item m="1" x="3388"/>
        <item m="1" x="3389"/>
        <item m="1" x="3390"/>
        <item m="1" x="3391"/>
        <item m="1" x="3392"/>
        <item m="1" x="3393"/>
        <item m="1" x="3394"/>
        <item m="1" x="3395"/>
        <item m="1" x="3396"/>
        <item m="1" x="3397"/>
        <item m="1" x="3398"/>
        <item m="1" x="3399"/>
        <item m="1" x="3400"/>
        <item m="1" x="3401"/>
        <item m="1" x="3402"/>
        <item m="1" x="3403"/>
        <item m="1" x="3404"/>
        <item m="1" x="3405"/>
        <item m="1" x="3406"/>
        <item m="1" x="3407"/>
        <item m="1" x="3408"/>
        <item m="1" x="3409"/>
        <item m="1" x="3410"/>
        <item m="1" x="3411"/>
        <item m="1" x="3412"/>
        <item m="1" x="3413"/>
        <item m="1" x="3414"/>
        <item m="1" x="3415"/>
        <item m="1" x="3416"/>
        <item m="1" x="3417"/>
        <item m="1" x="3418"/>
        <item m="1" x="3419"/>
        <item m="1" x="3420"/>
        <item m="1" x="3421"/>
        <item m="1" x="3422"/>
        <item m="1" x="3423"/>
        <item m="1" x="3424"/>
        <item m="1" x="3425"/>
        <item m="1" x="3426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343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m="1" x="3450"/>
        <item m="1" x="3451"/>
        <item m="1" x="3452"/>
        <item m="1" x="3453"/>
        <item m="1" x="3454"/>
        <item m="1" x="3455"/>
        <item m="1" x="3456"/>
        <item m="1" x="3457"/>
        <item m="1" x="3458"/>
        <item m="1" x="3459"/>
        <item m="1" x="3460"/>
        <item m="1" x="3461"/>
        <item m="1" x="3462"/>
        <item m="1" x="3463"/>
        <item m="1" x="3464"/>
        <item m="1" x="3465"/>
        <item m="1" x="3466"/>
        <item m="1" x="3467"/>
        <item m="1" x="3468"/>
        <item m="1" x="3469"/>
        <item m="1" x="3470"/>
        <item m="1" x="3471"/>
        <item m="1" x="3472"/>
        <item m="1" x="3473"/>
        <item m="1" x="3474"/>
        <item m="1" x="3475"/>
        <item m="1" x="3476"/>
        <item m="1" x="3477"/>
        <item m="1" x="3478"/>
        <item m="1" x="3479"/>
        <item m="1" x="3480"/>
        <item m="1" x="3481"/>
        <item m="1" x="3482"/>
        <item m="1" x="3483"/>
        <item m="1" x="3484"/>
        <item m="1" x="3485"/>
        <item m="1" x="3486"/>
        <item m="1" x="3487"/>
        <item m="1" x="3488"/>
        <item m="1" x="3489"/>
        <item m="1" x="3490"/>
        <item m="1" x="3491"/>
        <item m="1" x="3492"/>
        <item m="1" x="3493"/>
        <item m="1" x="3494"/>
        <item m="1" x="3495"/>
        <item m="1" x="3496"/>
        <item m="1" x="3497"/>
        <item m="1" x="3498"/>
        <item m="1" x="3499"/>
        <item m="1" x="3500"/>
        <item m="1" x="3501"/>
        <item m="1" x="3502"/>
        <item m="1" x="3503"/>
        <item m="1" x="3504"/>
        <item m="1" x="3505"/>
        <item m="1" x="3506"/>
        <item m="1" x="3507"/>
        <item m="1" x="3508"/>
        <item m="1" x="3509"/>
        <item m="1" x="3510"/>
        <item m="1" x="3511"/>
        <item m="1" x="3512"/>
        <item m="1" x="3513"/>
        <item m="1" x="3514"/>
        <item m="1" x="3515"/>
        <item m="1" x="3516"/>
        <item m="1" x="3517"/>
        <item m="1" x="3518"/>
        <item m="1" x="3519"/>
        <item m="1" x="3520"/>
        <item m="1" x="3521"/>
        <item m="1" x="3522"/>
        <item m="1" x="3523"/>
        <item m="1" x="3524"/>
        <item m="1" x="3525"/>
        <item m="1" x="3526"/>
        <item m="1" x="3527"/>
        <item m="1" x="3528"/>
        <item m="1" x="3529"/>
        <item m="1" x="3530"/>
        <item m="1" x="3531"/>
        <item m="1" x="3532"/>
        <item m="1" x="3533"/>
        <item m="1" x="3534"/>
        <item m="1" x="3535"/>
        <item m="1" x="3536"/>
        <item m="1" x="3537"/>
        <item m="1" x="3538"/>
        <item m="1" x="3539"/>
        <item m="1" x="3540"/>
        <item m="1" x="3541"/>
        <item m="1" x="3542"/>
        <item m="1" x="3543"/>
        <item m="1" x="3544"/>
        <item m="1" x="3545"/>
        <item m="1" x="3546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507"/>
        <item m="1" x="1508"/>
        <item m="1" x="1509"/>
        <item m="1" x="1510"/>
        <item m="1" x="1511"/>
        <item m="1" x="1512"/>
        <item m="1" x="1513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828"/>
        <item m="1" x="1829"/>
        <item m="1" x="1830"/>
        <item m="1" x="1831"/>
        <item m="1" x="1832"/>
        <item m="1" x="1833"/>
        <item m="1" x="1834"/>
        <item m="1" x="1514"/>
        <item m="1" x="1515"/>
        <item m="1" x="1516"/>
        <item m="1" x="1517"/>
        <item m="1" x="1518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852"/>
        <item m="1" x="1853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409"/>
        <item m="1" x="1410"/>
        <item m="1" x="1411"/>
        <item m="1" x="1412"/>
        <item m="1" x="1413"/>
        <item m="1" x="1414"/>
        <item m="1" x="1415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1"/>
      </items>
    </pivotField>
    <pivotField axis="axisRow" compact="0" outline="0" showAll="0">
      <items count="5">
        <item x="0"/>
        <item x="1"/>
        <item x="2"/>
        <item m="1" x="3"/>
        <item t="default"/>
      </items>
    </pivotField>
    <pivotField axis="axisRow" compact="0" outline="0" showAll="0">
      <items count="12">
        <item x="3"/>
        <item x="1"/>
        <item x="0"/>
        <item x="5"/>
        <item m="1" x="10"/>
        <item m="1" x="7"/>
        <item m="1" x="8"/>
        <item x="6"/>
        <item m="1" x="9"/>
        <item x="2"/>
        <item x="4"/>
        <item t="default"/>
      </items>
    </pivotField>
    <pivotField compact="0" outline="0" showAll="0"/>
    <pivotField axis="axisPage" dataField="1" compact="0" outline="0" multipleItemSelectionAllowed="1" showAll="0">
      <items count="10">
        <item m="1" x="8"/>
        <item x="5"/>
        <item x="4"/>
        <item m="1" x="7"/>
        <item h="1" x="1"/>
        <item h="1" x="3"/>
        <item h="1" x="0"/>
        <item h="1" x="2"/>
        <item h="1" m="1" x="6"/>
        <item t="default"/>
      </items>
    </pivotField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"/>
    <field x="0"/>
    <field x="2"/>
  </rowFields>
  <rowItems count="24">
    <i>
      <x/>
      <x v="6951"/>
      <x/>
    </i>
    <i r="1">
      <x v="6996"/>
      <x/>
    </i>
    <i r="1">
      <x v="7026"/>
      <x/>
    </i>
    <i r="1">
      <x v="7270"/>
      <x/>
    </i>
    <i r="1">
      <x v="7362"/>
      <x/>
    </i>
    <i r="1">
      <x v="7378"/>
      <x/>
    </i>
    <i r="1">
      <x v="7416"/>
      <x/>
    </i>
    <i r="1">
      <x v="7417"/>
      <x/>
    </i>
    <i r="1">
      <x v="7420"/>
      <x/>
    </i>
    <i t="default">
      <x/>
    </i>
    <i>
      <x v="1"/>
      <x v="7809"/>
      <x v="3"/>
    </i>
    <i r="1">
      <x v="7823"/>
      <x v="3"/>
    </i>
    <i r="1">
      <x v="7824"/>
      <x v="3"/>
    </i>
    <i r="1">
      <x v="7845"/>
      <x v="3"/>
    </i>
    <i r="1">
      <x v="7935"/>
      <x v="3"/>
    </i>
    <i r="1">
      <x v="7938"/>
      <x/>
    </i>
    <i r="1">
      <x v="7941"/>
      <x/>
    </i>
    <i r="1">
      <x v="7944"/>
      <x/>
    </i>
    <i t="default">
      <x v="1"/>
    </i>
    <i>
      <x v="2"/>
      <x v="7564"/>
      <x/>
    </i>
    <i r="1">
      <x v="7585"/>
      <x/>
    </i>
    <i r="1">
      <x v="7616"/>
      <x/>
    </i>
    <i t="default">
      <x v="2"/>
    </i>
    <i t="grand">
      <x/>
    </i>
  </rowItems>
  <colItems count="1">
    <i/>
  </colItems>
  <pageFields count="1">
    <pageField fld="4" hier="-1"/>
  </pageFields>
  <dataFields count="1">
    <dataField name="加總 - Count" fld="4" baseField="2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來自 WEHQDBMS02 的查詢" refreshOnLoad="1" fillFormulas="1" connectionId="1" xr16:uid="{00000000-0016-0000-0000-000000000000}" autoFormatId="16" applyNumberFormats="0" applyBorderFormats="0" applyFontFormats="1" applyPatternFormats="1" applyAlignmentFormats="0" applyWidthHeightFormats="0">
  <queryTableRefresh nextId="12">
    <queryTableFields count="6">
      <queryTableField id="4" name="Date"/>
      <queryTableField id="2" name="Entity"/>
      <queryTableField id="3" name="Recipe"/>
      <queryTableField id="8" dataBound="0" fillFormulas="1"/>
      <queryTableField id="9" dataBound="0" fillFormulas="1"/>
      <queryTableField id="11" dataBound="0" fillFormulas="1"/>
    </queryTableFields>
    <sortState xmlns:xlrd2="http://schemas.microsoft.com/office/spreadsheetml/2017/richdata2" ref="A2:F2912">
      <sortCondition ref="B2"/>
      <sortCondition ref="A2"/>
    </sortState>
  </queryTableRefresh>
</query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30A0"/>
  </sheetPr>
  <dimension ref="A1:U23108"/>
  <sheetViews>
    <sheetView tabSelected="1" topLeftCell="B1" workbookViewId="0">
      <selection activeCell="N4" sqref="N4"/>
    </sheetView>
  </sheetViews>
  <sheetFormatPr defaultColWidth="9" defaultRowHeight="16.5"/>
  <cols>
    <col min="1" max="1" width="20.125" style="3" bestFit="1" customWidth="1"/>
    <col min="2" max="2" width="6.125" style="3" bestFit="1" customWidth="1"/>
    <col min="3" max="3" width="6.125" style="2" bestFit="1" customWidth="1"/>
    <col min="4" max="4" width="7.875" style="7" bestFit="1" customWidth="1"/>
    <col min="5" max="5" width="5.875" style="8" bestFit="1" customWidth="1"/>
    <col min="6" max="6" width="5.25" style="8" bestFit="1" customWidth="1"/>
    <col min="7" max="7" width="1.5" style="2" customWidth="1"/>
    <col min="8" max="8" width="4.25" customWidth="1"/>
    <col min="9" max="9" width="7.375" customWidth="1"/>
    <col min="10" max="10" width="19.375" style="2" bestFit="1" customWidth="1"/>
    <col min="11" max="11" width="17.875" style="2" customWidth="1"/>
    <col min="12" max="12" width="1.5" style="2" customWidth="1"/>
    <col min="13" max="13" width="8.875" style="2" bestFit="1" customWidth="1"/>
    <col min="14" max="14" width="9" style="2" bestFit="1" customWidth="1"/>
    <col min="15" max="15" width="20.75" style="22" customWidth="1"/>
    <col min="16" max="16" width="9" style="2" customWidth="1"/>
    <col min="17" max="17" width="8.875" style="2" bestFit="1" customWidth="1"/>
    <col min="18" max="18" width="4.875" style="2" bestFit="1" customWidth="1"/>
    <col min="19" max="19" width="5.5" style="6" customWidth="1"/>
    <col min="20" max="20" width="6.5" style="5" bestFit="1" customWidth="1"/>
    <col min="21" max="21" width="6.5" style="6" bestFit="1" customWidth="1"/>
    <col min="22" max="16384" width="9" style="2"/>
  </cols>
  <sheetData>
    <row r="1" spans="1:21">
      <c r="A1" s="1" t="s">
        <v>2</v>
      </c>
      <c r="B1" s="20" t="s">
        <v>0</v>
      </c>
      <c r="C1" s="20" t="s">
        <v>1</v>
      </c>
      <c r="D1" s="20" t="s">
        <v>5</v>
      </c>
      <c r="E1" s="21" t="s">
        <v>3</v>
      </c>
      <c r="F1" s="21" t="s">
        <v>3</v>
      </c>
      <c r="G1"/>
      <c r="H1" s="35" t="s">
        <v>4</v>
      </c>
      <c r="I1" s="23" t="s">
        <v>9</v>
      </c>
      <c r="J1" s="24" t="s">
        <v>8</v>
      </c>
      <c r="K1" s="24" t="s">
        <v>17</v>
      </c>
      <c r="L1"/>
      <c r="M1" s="10" t="s">
        <v>10</v>
      </c>
      <c r="N1" s="11"/>
      <c r="P1" s="10" t="s">
        <v>18</v>
      </c>
      <c r="Q1" s="15"/>
      <c r="R1" s="11"/>
      <c r="S1"/>
      <c r="T1" s="4">
        <v>0.5</v>
      </c>
      <c r="U1" s="4">
        <f>T2-T1</f>
        <v>2.083333333333337E-2</v>
      </c>
    </row>
    <row r="2" spans="1:21">
      <c r="A2" s="3">
        <v>45625.762731481482</v>
      </c>
      <c r="B2" s="2" t="s">
        <v>26</v>
      </c>
      <c r="C2" s="2" t="s">
        <v>11</v>
      </c>
      <c r="D2" s="6" t="str">
        <f>CONCATENATE(YEAR(A2),"/",IF(MONTH(A2)&lt;10,CONCATENATE("0",MONTH(A2)),MONTH(A2)))</f>
        <v>2024/11</v>
      </c>
      <c r="E2" s="8">
        <f>IF(IF(D2&lt;&gt;D1,1,IF(OR(B2&lt;&gt;B1,A2-A1&gt;$U$1),1,""))&lt;&gt;1,"",IF(C2="B01",1965,IF(C2="B02",1020,IF(C2="B05",2400,IF(C2="B03",4260,IF(C2="B04",2880,IF(C2="B20",1260,0)))))))</f>
        <v>2400</v>
      </c>
      <c r="F2" s="8">
        <f>IF(IF(D2&lt;&gt;D1,1,IF(OR(B2&lt;&gt;B1,A2-A1&gt;$U$1),1,""))&lt;&gt;1,"",IF(C2="B01",1,IF(C2="B05",1,IF(C2="B03",1,IF(C2="B04",1,IF(C2="B20",1,IF(C2="B02",1,0)))))))</f>
        <v>1</v>
      </c>
      <c r="G2"/>
      <c r="H2" s="35"/>
      <c r="I2" s="23" t="s">
        <v>15</v>
      </c>
      <c r="J2" s="31">
        <v>45625.541666666664</v>
      </c>
      <c r="K2" s="25">
        <v>46022</v>
      </c>
      <c r="L2"/>
      <c r="M2" s="10" t="s">
        <v>0</v>
      </c>
      <c r="N2" s="11" t="s">
        <v>6</v>
      </c>
      <c r="O2" s="22" t="s">
        <v>25</v>
      </c>
      <c r="P2" s="10" t="s">
        <v>0</v>
      </c>
      <c r="Q2" s="10" t="s">
        <v>1</v>
      </c>
      <c r="R2" s="11" t="s">
        <v>6</v>
      </c>
      <c r="S2"/>
      <c r="T2" s="4">
        <v>0.52083333333333337</v>
      </c>
      <c r="U2" s="5"/>
    </row>
    <row r="3" spans="1:21">
      <c r="A3" s="3">
        <v>45625.762731481482</v>
      </c>
      <c r="B3" s="2" t="s">
        <v>26</v>
      </c>
      <c r="C3" s="2" t="s">
        <v>11</v>
      </c>
      <c r="D3" s="6" t="str">
        <f>CONCATENATE(YEAR(A3),"/",IF(MONTH(A3)&lt;10,CONCATENATE("0",MONTH(A3)),MONTH(A3)))</f>
        <v>2024/11</v>
      </c>
      <c r="E3" s="8" t="str">
        <f>IF(IF(D3&lt;&gt;D2,1,IF(OR(B3&lt;&gt;B2,A3-A2&gt;$U$1),1,""))&lt;&gt;1,"",IF(C3="B01",1965,IF(C3="B02",1020,IF(C3="B05",2400,IF(C3="B03",4260,IF(C3="B04",2880,IF(C3="B20",1260,0)))))))</f>
        <v/>
      </c>
      <c r="F3" s="8" t="str">
        <f>IF(IF(D3&lt;&gt;D2,1,IF(OR(B3&lt;&gt;B2,A3-A2&gt;$U$1),1,""))&lt;&gt;1,"",IF(C3="B01",1,IF(C3="B05",1,IF(C3="B03",1,IF(C3="B04",1,IF(C3="B20",1,IF(C3="B02",1,0)))))))</f>
        <v/>
      </c>
      <c r="G3"/>
      <c r="H3" s="35"/>
      <c r="I3" s="23" t="s">
        <v>14</v>
      </c>
      <c r="J3" s="31">
        <v>45740.708333333336</v>
      </c>
      <c r="K3" s="25">
        <v>46022</v>
      </c>
      <c r="L3"/>
      <c r="M3" s="26" t="s">
        <v>26</v>
      </c>
      <c r="N3" s="28">
        <v>506.21249999999998</v>
      </c>
      <c r="O3" s="30" t="s">
        <v>30</v>
      </c>
      <c r="P3" s="12" t="s">
        <v>26</v>
      </c>
      <c r="Q3" s="12" t="s">
        <v>34</v>
      </c>
      <c r="R3" s="36">
        <v>9</v>
      </c>
      <c r="S3"/>
      <c r="U3" s="5"/>
    </row>
    <row r="4" spans="1:21">
      <c r="A4" s="3">
        <v>45625.762731481482</v>
      </c>
      <c r="B4" s="2" t="s">
        <v>26</v>
      </c>
      <c r="C4" s="2" t="s">
        <v>11</v>
      </c>
      <c r="D4" s="6" t="str">
        <f>CONCATENATE(YEAR(A4),"/",IF(MONTH(A4)&lt;10,CONCATENATE("0",MONTH(A4)),MONTH(A4)))</f>
        <v>2024/11</v>
      </c>
      <c r="E4" s="8" t="str">
        <f>IF(IF(D4&lt;&gt;D3,1,IF(OR(B4&lt;&gt;B3,A4-A3&gt;$U$1),1,""))&lt;&gt;1,"",IF(C4="B01",1965,IF(C4="B02",1020,IF(C4="B05",2400,IF(C4="B03",4260,IF(C4="B04",2880,IF(C4="B20",1260,0)))))))</f>
        <v/>
      </c>
      <c r="F4" s="8" t="str">
        <f>IF(IF(D4&lt;&gt;D3,1,IF(OR(B4&lt;&gt;B3,A4-A3&gt;$U$1),1,""))&lt;&gt;1,"",IF(C4="B01",1,IF(C4="B05",1,IF(C4="B03",1,IF(C4="B04",1,IF(C4="B20",1,IF(C4="B02",1,0)))))))</f>
        <v/>
      </c>
      <c r="G4"/>
      <c r="H4" s="35"/>
      <c r="I4" s="23" t="s">
        <v>13</v>
      </c>
      <c r="J4" s="31">
        <v>45629.375</v>
      </c>
      <c r="K4" s="25">
        <v>46022</v>
      </c>
      <c r="L4"/>
      <c r="M4" s="27" t="s">
        <v>28</v>
      </c>
      <c r="N4" s="29">
        <v>156.05416666666667</v>
      </c>
      <c r="O4" s="30" t="s">
        <v>31</v>
      </c>
      <c r="P4" s="33"/>
      <c r="Q4" s="32" t="s">
        <v>12</v>
      </c>
      <c r="R4" s="37">
        <v>178</v>
      </c>
      <c r="S4"/>
      <c r="U4" s="5"/>
    </row>
    <row r="5" spans="1:21">
      <c r="A5" s="3">
        <v>45625.881331018521</v>
      </c>
      <c r="B5" s="2" t="s">
        <v>26</v>
      </c>
      <c r="C5" s="2" t="s">
        <v>11</v>
      </c>
      <c r="D5" s="6" t="str">
        <f>CONCATENATE(YEAR(A5),"/",IF(MONTH(A5)&lt;10,CONCATENATE("0",MONTH(A5)),MONTH(A5)))</f>
        <v>2024/11</v>
      </c>
      <c r="E5" s="8">
        <f>IF(IF(D5&lt;&gt;D4,1,IF(OR(B5&lt;&gt;B4,A5-A4&gt;$U$1),1,""))&lt;&gt;1,"",IF(C5="B01",1965,IF(C5="B02",1020,IF(C5="B05",2400,IF(C5="B03",4260,IF(C5="B04",2880,IF(C5="B20",1260,0)))))))</f>
        <v>2400</v>
      </c>
      <c r="F5" s="8">
        <f>IF(IF(D5&lt;&gt;D4,1,IF(OR(B5&lt;&gt;B4,A5-A4&gt;$U$1),1,""))&lt;&gt;1,"",IF(C5="B01",1,IF(C5="B05",1,IF(C5="B03",1,IF(C5="B04",1,IF(C5="B20",1,IF(C5="B02",1,0)))))))</f>
        <v>1</v>
      </c>
      <c r="G5"/>
      <c r="I5" s="2"/>
      <c r="J5" s="19" t="s">
        <v>24</v>
      </c>
      <c r="L5"/>
      <c r="M5" s="27" t="s">
        <v>33</v>
      </c>
      <c r="N5" s="29">
        <v>154.62083333333334</v>
      </c>
      <c r="O5" s="30" t="s">
        <v>32</v>
      </c>
      <c r="P5" s="33"/>
      <c r="Q5" s="32" t="s">
        <v>11</v>
      </c>
      <c r="R5" s="37">
        <v>436</v>
      </c>
      <c r="S5"/>
      <c r="U5" s="5"/>
    </row>
    <row r="6" spans="1:21">
      <c r="A6" s="3">
        <v>45625.881331018521</v>
      </c>
      <c r="B6" s="2" t="s">
        <v>26</v>
      </c>
      <c r="C6" s="2" t="s">
        <v>11</v>
      </c>
      <c r="D6" s="6" t="str">
        <f>CONCATENATE(YEAR(A6),"/",IF(MONTH(A6)&lt;10,CONCATENATE("0",MONTH(A6)),MONTH(A6)))</f>
        <v>2024/11</v>
      </c>
      <c r="E6" s="8" t="str">
        <f>IF(IF(D6&lt;&gt;D5,1,IF(OR(B6&lt;&gt;B5,A6-A5&gt;$U$1),1,""))&lt;&gt;1,"",IF(C6="B01",1965,IF(C6="B02",1020,IF(C6="B05",2400,IF(C6="B03",4260,IF(C6="B04",2880,IF(C6="B20",1260,0)))))))</f>
        <v/>
      </c>
      <c r="F6" s="8" t="str">
        <f>IF(IF(D6&lt;&gt;D5,1,IF(OR(B6&lt;&gt;B5,A6-A5&gt;$U$1),1,""))&lt;&gt;1,"",IF(C6="B01",1,IF(C6="B05",1,IF(C6="B03",1,IF(C6="B04",1,IF(C6="B20",1,IF(C6="B02",1,0)))))))</f>
        <v/>
      </c>
      <c r="G6"/>
      <c r="I6" s="2"/>
      <c r="L6"/>
      <c r="M6" s="13" t="s">
        <v>7</v>
      </c>
      <c r="N6" s="14">
        <v>816.88750000000005</v>
      </c>
      <c r="P6" s="33"/>
      <c r="Q6" s="32" t="s">
        <v>37</v>
      </c>
      <c r="R6" s="37">
        <v>0</v>
      </c>
      <c r="S6"/>
      <c r="U6" s="5"/>
    </row>
    <row r="7" spans="1:21">
      <c r="A7" s="3">
        <v>45626.097511574073</v>
      </c>
      <c r="B7" s="2" t="s">
        <v>26</v>
      </c>
      <c r="C7" s="2" t="s">
        <v>11</v>
      </c>
      <c r="D7" s="6" t="str">
        <f>CONCATENATE(YEAR(A7),"/",IF(MONTH(A7)&lt;10,CONCATENATE("0",MONTH(A7)),MONTH(A7)))</f>
        <v>2024/11</v>
      </c>
      <c r="E7" s="8">
        <f>IF(IF(D7&lt;&gt;D6,1,IF(OR(B7&lt;&gt;B6,A7-A6&gt;$U$1),1,""))&lt;&gt;1,"",IF(C7="B01",1965,IF(C7="B02",1020,IF(C7="B05",2400,IF(C7="B03",4260,IF(C7="B04",2880,IF(C7="B20",1260,0)))))))</f>
        <v>2400</v>
      </c>
      <c r="F7" s="8">
        <f>IF(IF(D7&lt;&gt;D6,1,IF(OR(B7&lt;&gt;B6,A7-A6&gt;$U$1),1,""))&lt;&gt;1,"",IF(C7="B01",1,IF(C7="B05",1,IF(C7="B03",1,IF(C7="B04",1,IF(C7="B20",1,IF(C7="B02",1,0)))))))</f>
        <v>1</v>
      </c>
      <c r="G7"/>
      <c r="I7" s="2"/>
      <c r="L7"/>
      <c r="M7"/>
      <c r="N7"/>
      <c r="P7" s="33"/>
      <c r="Q7" s="32" t="s">
        <v>35</v>
      </c>
      <c r="R7" s="37">
        <v>0</v>
      </c>
      <c r="S7"/>
      <c r="U7" s="5"/>
    </row>
    <row r="8" spans="1:21">
      <c r="A8" s="3">
        <v>45626.097511574073</v>
      </c>
      <c r="B8" s="2" t="s">
        <v>26</v>
      </c>
      <c r="C8" s="2" t="s">
        <v>11</v>
      </c>
      <c r="D8" s="6" t="str">
        <f>CONCATENATE(YEAR(A8),"/",IF(MONTH(A8)&lt;10,CONCATENATE("0",MONTH(A8)),MONTH(A8)))</f>
        <v>2024/11</v>
      </c>
      <c r="E8" s="8" t="str">
        <f>IF(IF(D8&lt;&gt;D7,1,IF(OR(B8&lt;&gt;B7,A8-A7&gt;$U$1),1,""))&lt;&gt;1,"",IF(C8="B01",1965,IF(C8="B02",1020,IF(C8="B05",2400,IF(C8="B03",4260,IF(C8="B04",2880,IF(C8="B20",1260,0)))))))</f>
        <v/>
      </c>
      <c r="F8" s="8" t="str">
        <f>IF(IF(D8&lt;&gt;D7,1,IF(OR(B8&lt;&gt;B7,A8-A7&gt;$U$1),1,""))&lt;&gt;1,"",IF(C8="B01",1,IF(C8="B05",1,IF(C8="B03",1,IF(C8="B04",1,IF(C8="B20",1,IF(C8="B02",1,0)))))))</f>
        <v/>
      </c>
      <c r="G8"/>
      <c r="I8" s="2"/>
      <c r="L8"/>
      <c r="M8"/>
      <c r="N8"/>
      <c r="P8" s="17" t="s">
        <v>27</v>
      </c>
      <c r="Q8" s="18"/>
      <c r="R8" s="39">
        <v>623</v>
      </c>
      <c r="S8"/>
      <c r="U8" s="5"/>
    </row>
    <row r="9" spans="1:21">
      <c r="A9" s="3">
        <v>45626.097511574073</v>
      </c>
      <c r="B9" s="2" t="s">
        <v>26</v>
      </c>
      <c r="C9" s="2" t="s">
        <v>11</v>
      </c>
      <c r="D9" s="6" t="str">
        <f>CONCATENATE(YEAR(A9),"/",IF(MONTH(A9)&lt;10,CONCATENATE("0",MONTH(A9)),MONTH(A9)))</f>
        <v>2024/11</v>
      </c>
      <c r="E9" s="8" t="str">
        <f>IF(IF(D9&lt;&gt;D8,1,IF(OR(B9&lt;&gt;B8,A9-A8&gt;$U$1),1,""))&lt;&gt;1,"",IF(C9="B01",1965,IF(C9="B02",1020,IF(C9="B05",2400,IF(C9="B03",4260,IF(C9="B04",2880,IF(C9="B20",1260,0)))))))</f>
        <v/>
      </c>
      <c r="F9" s="8" t="str">
        <f>IF(IF(D9&lt;&gt;D8,1,IF(OR(B9&lt;&gt;B8,A9-A8&gt;$U$1),1,""))&lt;&gt;1,"",IF(C9="B01",1,IF(C9="B05",1,IF(C9="B03",1,IF(C9="B04",1,IF(C9="B20",1,IF(C9="B02",1,0)))))))</f>
        <v/>
      </c>
      <c r="G9"/>
      <c r="I9" s="2"/>
      <c r="L9"/>
      <c r="M9"/>
      <c r="N9"/>
      <c r="P9" s="12" t="s">
        <v>28</v>
      </c>
      <c r="Q9" s="12" t="s">
        <v>34</v>
      </c>
      <c r="R9" s="36">
        <v>3</v>
      </c>
      <c r="S9"/>
      <c r="U9" s="5"/>
    </row>
    <row r="10" spans="1:21">
      <c r="A10" s="3">
        <v>45626.097511574073</v>
      </c>
      <c r="B10" s="2" t="s">
        <v>26</v>
      </c>
      <c r="C10" s="2" t="s">
        <v>11</v>
      </c>
      <c r="D10" s="6" t="str">
        <f>CONCATENATE(YEAR(A10),"/",IF(MONTH(A10)&lt;10,CONCATENATE("0",MONTH(A10)),MONTH(A10)))</f>
        <v>2024/11</v>
      </c>
      <c r="E10" s="8" t="str">
        <f>IF(IF(D10&lt;&gt;D9,1,IF(OR(B10&lt;&gt;B9,A10-A9&gt;$U$1),1,""))&lt;&gt;1,"",IF(C10="B01",1965,IF(C10="B02",1020,IF(C10="B05",2400,IF(C10="B03",4260,IF(C10="B04",2880,IF(C10="B20",1260,0)))))))</f>
        <v/>
      </c>
      <c r="F10" s="8" t="str">
        <f>IF(IF(D10&lt;&gt;D9,1,IF(OR(B10&lt;&gt;B9,A10-A9&gt;$U$1),1,""))&lt;&gt;1,"",IF(C10="B01",1,IF(C10="B05",1,IF(C10="B03",1,IF(C10="B04",1,IF(C10="B20",1,IF(C10="B02",1,0)))))))</f>
        <v/>
      </c>
      <c r="G10"/>
      <c r="H10" s="2"/>
      <c r="I10" s="2"/>
      <c r="L10"/>
      <c r="M10"/>
      <c r="N10"/>
      <c r="P10" s="33"/>
      <c r="Q10" s="32" t="s">
        <v>11</v>
      </c>
      <c r="R10" s="37">
        <v>229</v>
      </c>
      <c r="S10"/>
      <c r="U10" s="5"/>
    </row>
    <row r="11" spans="1:21">
      <c r="A11" s="3">
        <v>45626.451226851852</v>
      </c>
      <c r="B11" s="2" t="s">
        <v>26</v>
      </c>
      <c r="C11" s="2" t="s">
        <v>11</v>
      </c>
      <c r="D11" s="6" t="str">
        <f>CONCATENATE(YEAR(A11),"/",IF(MONTH(A11)&lt;10,CONCATENATE("0",MONTH(A11)),MONTH(A11)))</f>
        <v>2024/11</v>
      </c>
      <c r="E11" s="8">
        <f>IF(IF(D11&lt;&gt;D10,1,IF(OR(B11&lt;&gt;B10,A11-A10&gt;$U$1),1,""))&lt;&gt;1,"",IF(C11="B01",1965,IF(C11="B02",1020,IF(C11="B05",2400,IF(C11="B03",4260,IF(C11="B04",2880,IF(C11="B20",1260,0)))))))</f>
        <v>2400</v>
      </c>
      <c r="F11" s="8">
        <f>IF(IF(D11&lt;&gt;D10,1,IF(OR(B11&lt;&gt;B10,A11-A10&gt;$U$1),1,""))&lt;&gt;1,"",IF(C11="B01",1,IF(C11="B05",1,IF(C11="B03",1,IF(C11="B04",1,IF(C11="B20",1,IF(C11="B02",1,0)))))))</f>
        <v>1</v>
      </c>
      <c r="G11"/>
      <c r="H11" s="2"/>
      <c r="I11" s="2"/>
      <c r="L11"/>
      <c r="M11"/>
      <c r="N11"/>
      <c r="P11" s="33"/>
      <c r="Q11" s="32" t="s">
        <v>39</v>
      </c>
      <c r="R11" s="37">
        <v>5</v>
      </c>
      <c r="S11"/>
      <c r="U11" s="5"/>
    </row>
    <row r="12" spans="1:21">
      <c r="A12" s="3">
        <v>45626.451226851852</v>
      </c>
      <c r="B12" s="2" t="s">
        <v>26</v>
      </c>
      <c r="C12" s="2" t="s">
        <v>11</v>
      </c>
      <c r="D12" s="6" t="str">
        <f>CONCATENATE(YEAR(A12),"/",IF(MONTH(A12)&lt;10,CONCATENATE("0",MONTH(A12)),MONTH(A12)))</f>
        <v>2024/11</v>
      </c>
      <c r="E12" s="8" t="str">
        <f>IF(IF(D12&lt;&gt;D11,1,IF(OR(B12&lt;&gt;B11,A12-A11&gt;$U$1),1,""))&lt;&gt;1,"",IF(C12="B01",1965,IF(C12="B02",1020,IF(C12="B05",2400,IF(C12="B03",4260,IF(C12="B04",2880,IF(C12="B20",1260,0)))))))</f>
        <v/>
      </c>
      <c r="F12" s="8" t="str">
        <f>IF(IF(D12&lt;&gt;D11,1,IF(OR(B12&lt;&gt;B11,A12-A11&gt;$U$1),1,""))&lt;&gt;1,"",IF(C12="B01",1,IF(C12="B05",1,IF(C12="B03",1,IF(C12="B04",1,IF(C12="B20",1,IF(C12="B02",1,0)))))))</f>
        <v/>
      </c>
      <c r="G12"/>
      <c r="H12" s="2"/>
      <c r="I12" s="2" t="s">
        <v>20</v>
      </c>
      <c r="J12" s="2">
        <f>32*60+45</f>
        <v>1965</v>
      </c>
      <c r="L12"/>
      <c r="M12"/>
      <c r="N12"/>
      <c r="P12" s="17" t="s">
        <v>29</v>
      </c>
      <c r="Q12" s="18"/>
      <c r="R12" s="39">
        <v>237</v>
      </c>
      <c r="S12"/>
      <c r="U12" s="5"/>
    </row>
    <row r="13" spans="1:21">
      <c r="A13" s="3">
        <v>45626.451226851852</v>
      </c>
      <c r="B13" s="2" t="s">
        <v>26</v>
      </c>
      <c r="C13" s="2" t="s">
        <v>11</v>
      </c>
      <c r="D13" s="6" t="str">
        <f>CONCATENATE(YEAR(A13),"/",IF(MONTH(A13)&lt;10,CONCATENATE("0",MONTH(A13)),MONTH(A13)))</f>
        <v>2024/11</v>
      </c>
      <c r="E13" s="8" t="str">
        <f>IF(IF(D13&lt;&gt;D12,1,IF(OR(B13&lt;&gt;B12,A13-A12&gt;$U$1),1,""))&lt;&gt;1,"",IF(C13="B01",1965,IF(C13="B02",1020,IF(C13="B05",2400,IF(C13="B03",4260,IF(C13="B04",2880,IF(C13="B20",1260,0)))))))</f>
        <v/>
      </c>
      <c r="F13" s="8" t="str">
        <f>IF(IF(D13&lt;&gt;D12,1,IF(OR(B13&lt;&gt;B12,A13-A12&gt;$U$1),1,""))&lt;&gt;1,"",IF(C13="B01",1,IF(C13="B05",1,IF(C13="B03",1,IF(C13="B04",1,IF(C13="B20",1,IF(C13="B02",1,0)))))))</f>
        <v/>
      </c>
      <c r="G13"/>
      <c r="H13" s="2"/>
      <c r="I13" s="2" t="s">
        <v>21</v>
      </c>
      <c r="J13" s="2">
        <f>17*60</f>
        <v>1020</v>
      </c>
      <c r="L13"/>
      <c r="M13"/>
      <c r="N13"/>
      <c r="P13" s="12" t="s">
        <v>33</v>
      </c>
      <c r="Q13" s="12" t="s">
        <v>34</v>
      </c>
      <c r="R13" s="36">
        <v>3</v>
      </c>
      <c r="S13"/>
      <c r="U13" s="5"/>
    </row>
    <row r="14" spans="1:21">
      <c r="A14" s="3">
        <v>45626.451226851852</v>
      </c>
      <c r="B14" s="2" t="s">
        <v>26</v>
      </c>
      <c r="C14" s="2" t="s">
        <v>11</v>
      </c>
      <c r="D14" s="6" t="str">
        <f>CONCATENATE(YEAR(A14),"/",IF(MONTH(A14)&lt;10,CONCATENATE("0",MONTH(A14)),MONTH(A14)))</f>
        <v>2024/11</v>
      </c>
      <c r="E14" s="8" t="str">
        <f>IF(IF(D14&lt;&gt;D13,1,IF(OR(B14&lt;&gt;B13,A14-A13&gt;$U$1),1,""))&lt;&gt;1,"",IF(C14="B01",1965,IF(C14="B02",1020,IF(C14="B05",2400,IF(C14="B03",4260,IF(C14="B04",2880,IF(C14="B20",1260,0)))))))</f>
        <v/>
      </c>
      <c r="F14" s="8" t="str">
        <f>IF(IF(D14&lt;&gt;D13,1,IF(OR(B14&lt;&gt;B13,A14-A13&gt;$U$1),1,""))&lt;&gt;1,"",IF(C14="B01",1,IF(C14="B05",1,IF(C14="B03",1,IF(C14="B04",1,IF(C14="B20",1,IF(C14="B02",1,0)))))))</f>
        <v/>
      </c>
      <c r="G14"/>
      <c r="H14" s="2"/>
      <c r="I14" s="2" t="s">
        <v>12</v>
      </c>
      <c r="J14" s="2">
        <f>(35*60)+30</f>
        <v>2130</v>
      </c>
      <c r="K14" s="2">
        <f>J14*2</f>
        <v>4260</v>
      </c>
      <c r="L14"/>
      <c r="M14"/>
      <c r="N14"/>
      <c r="P14" s="33"/>
      <c r="Q14" s="32" t="s">
        <v>12</v>
      </c>
      <c r="R14" s="37">
        <v>29</v>
      </c>
      <c r="S14"/>
      <c r="U14" s="5"/>
    </row>
    <row r="15" spans="1:21">
      <c r="A15" s="3">
        <v>45626.451226851852</v>
      </c>
      <c r="B15" s="2" t="s">
        <v>26</v>
      </c>
      <c r="C15" s="2" t="s">
        <v>11</v>
      </c>
      <c r="D15" s="6" t="str">
        <f>CONCATENATE(YEAR(A15),"/",IF(MONTH(A15)&lt;10,CONCATENATE("0",MONTH(A15)),MONTH(A15)))</f>
        <v>2024/11</v>
      </c>
      <c r="E15" s="8" t="str">
        <f>IF(IF(D15&lt;&gt;D14,1,IF(OR(B15&lt;&gt;B14,A15-A14&gt;$U$1),1,""))&lt;&gt;1,"",IF(C15="B01",1965,IF(C15="B02",1020,IF(C15="B05",2400,IF(C15="B03",4260,IF(C15="B04",2880,IF(C15="B20",1260,0)))))))</f>
        <v/>
      </c>
      <c r="F15" s="8" t="str">
        <f>IF(IF(D15&lt;&gt;D14,1,IF(OR(B15&lt;&gt;B14,A15-A14&gt;$U$1),1,""))&lt;&gt;1,"",IF(C15="B01",1,IF(C15="B05",1,IF(C15="B03",1,IF(C15="B04",1,IF(C15="B20",1,IF(C15="B02",1,0)))))))</f>
        <v/>
      </c>
      <c r="G15"/>
      <c r="H15" s="2"/>
      <c r="I15" s="2" t="s">
        <v>22</v>
      </c>
      <c r="J15" s="2">
        <f>24*60</f>
        <v>1440</v>
      </c>
      <c r="K15" s="2">
        <f t="shared" ref="K15:K16" si="0">J15*2</f>
        <v>2880</v>
      </c>
      <c r="L15"/>
      <c r="P15" s="33"/>
      <c r="Q15" s="32" t="s">
        <v>11</v>
      </c>
      <c r="R15" s="37">
        <v>178</v>
      </c>
      <c r="S15"/>
      <c r="U15" s="5"/>
    </row>
    <row r="16" spans="1:21">
      <c r="A16" s="3">
        <v>45626.671087962961</v>
      </c>
      <c r="B16" s="2" t="s">
        <v>26</v>
      </c>
      <c r="C16" s="2" t="s">
        <v>11</v>
      </c>
      <c r="D16" s="6" t="str">
        <f>CONCATENATE(YEAR(A16),"/",IF(MONTH(A16)&lt;10,CONCATENATE("0",MONTH(A16)),MONTH(A16)))</f>
        <v>2024/11</v>
      </c>
      <c r="E16" s="8">
        <f>IF(IF(D16&lt;&gt;D15,1,IF(OR(B16&lt;&gt;B15,A16-A15&gt;$U$1),1,""))&lt;&gt;1,"",IF(C16="B01",1965,IF(C16="B02",1020,IF(C16="B05",2400,IF(C16="B03",4260,IF(C16="B04",2880,IF(C16="B20",1260,0)))))))</f>
        <v>2400</v>
      </c>
      <c r="F16" s="8">
        <f>IF(IF(D16&lt;&gt;D15,1,IF(OR(B16&lt;&gt;B15,A16-A15&gt;$U$1),1,""))&lt;&gt;1,"",IF(C16="B01",1,IF(C16="B05",1,IF(C16="B03",1,IF(C16="B04",1,IF(C16="B20",1,IF(C16="B02",1,0)))))))</f>
        <v>1</v>
      </c>
      <c r="G16"/>
      <c r="H16" s="2"/>
      <c r="I16" s="2" t="s">
        <v>11</v>
      </c>
      <c r="J16" s="2">
        <f>20*60</f>
        <v>1200</v>
      </c>
      <c r="K16" s="2">
        <f t="shared" si="0"/>
        <v>2400</v>
      </c>
      <c r="L16"/>
      <c r="P16" s="33"/>
      <c r="Q16" s="32" t="s">
        <v>36</v>
      </c>
      <c r="R16" s="37">
        <v>0</v>
      </c>
      <c r="S16"/>
      <c r="U16" s="5"/>
    </row>
    <row r="17" spans="1:21">
      <c r="A17" s="3">
        <v>45626.671087962961</v>
      </c>
      <c r="B17" s="2" t="s">
        <v>26</v>
      </c>
      <c r="C17" s="2" t="s">
        <v>11</v>
      </c>
      <c r="D17" s="6" t="str">
        <f>CONCATENATE(YEAR(A17),"/",IF(MONTH(A17)&lt;10,CONCATENATE("0",MONTH(A17)),MONTH(A17)))</f>
        <v>2024/11</v>
      </c>
      <c r="E17" s="8" t="str">
        <f>IF(IF(D17&lt;&gt;D16,1,IF(OR(B17&lt;&gt;B16,A17-A16&gt;$U$1),1,""))&lt;&gt;1,"",IF(C17="B01",1965,IF(C17="B02",1020,IF(C17="B05",2400,IF(C17="B03",4260,IF(C17="B04",2880,IF(C17="B20",1260,0)))))))</f>
        <v/>
      </c>
      <c r="F17" s="8" t="str">
        <f>IF(IF(D17&lt;&gt;D16,1,IF(OR(B17&lt;&gt;B16,A17-A16&gt;$U$1),1,""))&lt;&gt;1,"",IF(C17="B01",1,IF(C17="B05",1,IF(C17="B03",1,IF(C17="B04",1,IF(C17="B20",1,IF(C17="B02",1,0)))))))</f>
        <v/>
      </c>
      <c r="G17"/>
      <c r="H17" s="2"/>
      <c r="I17" s="2" t="s">
        <v>23</v>
      </c>
      <c r="J17" s="2">
        <f>21*60</f>
        <v>1260</v>
      </c>
      <c r="L17"/>
      <c r="P17" s="17" t="s">
        <v>38</v>
      </c>
      <c r="Q17" s="18"/>
      <c r="R17" s="39">
        <v>210</v>
      </c>
      <c r="S17"/>
      <c r="U17" s="5"/>
    </row>
    <row r="18" spans="1:21">
      <c r="A18" s="3">
        <v>45626.671087962961</v>
      </c>
      <c r="B18" s="2" t="s">
        <v>26</v>
      </c>
      <c r="C18" s="2" t="s">
        <v>11</v>
      </c>
      <c r="D18" s="6" t="str">
        <f>CONCATENATE(YEAR(A18),"/",IF(MONTH(A18)&lt;10,CONCATENATE("0",MONTH(A18)),MONTH(A18)))</f>
        <v>2024/11</v>
      </c>
      <c r="E18" s="8" t="str">
        <f>IF(IF(D18&lt;&gt;D17,1,IF(OR(B18&lt;&gt;B17,A18-A17&gt;$U$1),1,""))&lt;&gt;1,"",IF(C18="B01",1965,IF(C18="B02",1020,IF(C18="B05",2400,IF(C18="B03",4260,IF(C18="B04",2880,IF(C18="B20",1260,0)))))))</f>
        <v/>
      </c>
      <c r="F18" s="8" t="str">
        <f>IF(IF(D18&lt;&gt;D17,1,IF(OR(B18&lt;&gt;B17,A18-A17&gt;$U$1),1,""))&lt;&gt;1,"",IF(C18="B01",1,IF(C18="B05",1,IF(C18="B03",1,IF(C18="B04",1,IF(C18="B20",1,IF(C18="B02",1,0)))))))</f>
        <v/>
      </c>
      <c r="G18"/>
      <c r="H18" s="2"/>
      <c r="I18" s="2"/>
      <c r="L18"/>
      <c r="P18" s="13" t="s">
        <v>7</v>
      </c>
      <c r="Q18" s="16"/>
      <c r="R18" s="38">
        <v>1070</v>
      </c>
      <c r="S18"/>
      <c r="U18" s="5"/>
    </row>
    <row r="19" spans="1:21">
      <c r="A19" s="3">
        <v>45626.84270833333</v>
      </c>
      <c r="B19" s="2" t="s">
        <v>26</v>
      </c>
      <c r="C19" s="2" t="s">
        <v>11</v>
      </c>
      <c r="D19" s="6" t="str">
        <f>CONCATENATE(YEAR(A19),"/",IF(MONTH(A19)&lt;10,CONCATENATE("0",MONTH(A19)),MONTH(A19)))</f>
        <v>2024/11</v>
      </c>
      <c r="E19" s="8">
        <f>IF(IF(D19&lt;&gt;D18,1,IF(OR(B19&lt;&gt;B18,A19-A18&gt;$U$1),1,""))&lt;&gt;1,"",IF(C19="B01",1965,IF(C19="B02",1020,IF(C19="B05",2400,IF(C19="B03",4260,IF(C19="B04",2880,IF(C19="B20",1260,0)))))))</f>
        <v>2400</v>
      </c>
      <c r="F19" s="8">
        <f>IF(IF(D19&lt;&gt;D18,1,IF(OR(B19&lt;&gt;B18,A19-A18&gt;$U$1),1,""))&lt;&gt;1,"",IF(C19="B01",1,IF(C19="B05",1,IF(C19="B03",1,IF(C19="B04",1,IF(C19="B20",1,IF(C19="B02",1,0)))))))</f>
        <v>1</v>
      </c>
      <c r="G19"/>
      <c r="H19" s="2"/>
      <c r="I19" s="2"/>
      <c r="L19"/>
      <c r="P19"/>
      <c r="Q19"/>
      <c r="R19"/>
      <c r="S19"/>
      <c r="U19" s="5"/>
    </row>
    <row r="20" spans="1:21">
      <c r="A20" s="3">
        <v>45626.84270833333</v>
      </c>
      <c r="B20" s="2" t="s">
        <v>26</v>
      </c>
      <c r="C20" s="2" t="s">
        <v>11</v>
      </c>
      <c r="D20" s="6" t="str">
        <f>CONCATENATE(YEAR(A20),"/",IF(MONTH(A20)&lt;10,CONCATENATE("0",MONTH(A20)),MONTH(A20)))</f>
        <v>2024/11</v>
      </c>
      <c r="E20" s="8" t="str">
        <f>IF(IF(D20&lt;&gt;D19,1,IF(OR(B20&lt;&gt;B19,A20-A19&gt;$U$1),1,""))&lt;&gt;1,"",IF(C20="B01",1965,IF(C20="B02",1020,IF(C20="B05",2400,IF(C20="B03",4260,IF(C20="B04",2880,IF(C20="B20",1260,0)))))))</f>
        <v/>
      </c>
      <c r="F20" s="8" t="str">
        <f>IF(IF(D20&lt;&gt;D19,1,IF(OR(B20&lt;&gt;B19,A20-A19&gt;$U$1),1,""))&lt;&gt;1,"",IF(C20="B01",1,IF(C20="B05",1,IF(C20="B03",1,IF(C20="B04",1,IF(C20="B20",1,IF(C20="B02",1,0)))))))</f>
        <v/>
      </c>
      <c r="G20"/>
      <c r="H20" s="2"/>
      <c r="I20" s="2"/>
      <c r="L20"/>
      <c r="P20"/>
      <c r="Q20"/>
      <c r="R20"/>
      <c r="S20"/>
      <c r="U20" s="5"/>
    </row>
    <row r="21" spans="1:21">
      <c r="A21" s="3">
        <v>45626.84270833333</v>
      </c>
      <c r="B21" s="2" t="s">
        <v>26</v>
      </c>
      <c r="C21" s="2" t="s">
        <v>11</v>
      </c>
      <c r="D21" s="6" t="str">
        <f>CONCATENATE(YEAR(A21),"/",IF(MONTH(A21)&lt;10,CONCATENATE("0",MONTH(A21)),MONTH(A21)))</f>
        <v>2024/11</v>
      </c>
      <c r="E21" s="8" t="str">
        <f>IF(IF(D21&lt;&gt;D20,1,IF(OR(B21&lt;&gt;B20,A21-A20&gt;$U$1),1,""))&lt;&gt;1,"",IF(C21="B01",1965,IF(C21="B02",1020,IF(C21="B05",2400,IF(C21="B03",4260,IF(C21="B04",2880,IF(C21="B20",1260,0)))))))</f>
        <v/>
      </c>
      <c r="F21" s="8" t="str">
        <f>IF(IF(D21&lt;&gt;D20,1,IF(OR(B21&lt;&gt;B20,A21-A20&gt;$U$1),1,""))&lt;&gt;1,"",IF(C21="B01",1,IF(C21="B05",1,IF(C21="B03",1,IF(C21="B04",1,IF(C21="B20",1,IF(C21="B02",1,0)))))))</f>
        <v/>
      </c>
      <c r="G21"/>
      <c r="H21" s="2"/>
      <c r="I21" s="2"/>
      <c r="L21"/>
      <c r="P21"/>
      <c r="Q21"/>
      <c r="R21"/>
      <c r="S21"/>
      <c r="U21" s="5"/>
    </row>
    <row r="22" spans="1:21">
      <c r="A22" s="3">
        <v>45627.017766203702</v>
      </c>
      <c r="B22" s="2" t="s">
        <v>26</v>
      </c>
      <c r="C22" s="2" t="s">
        <v>11</v>
      </c>
      <c r="D22" s="6" t="str">
        <f>CONCATENATE(YEAR(A22),"/",IF(MONTH(A22)&lt;10,CONCATENATE("0",MONTH(A22)),MONTH(A22)))</f>
        <v>2024/12</v>
      </c>
      <c r="E22" s="8">
        <f>IF(IF(D22&lt;&gt;D21,1,IF(OR(B22&lt;&gt;B21,A22-A21&gt;$U$1),1,""))&lt;&gt;1,"",IF(C22="B01",1965,IF(C22="B02",1020,IF(C22="B05",2400,IF(C22="B03",4260,IF(C22="B04",2880,IF(C22="B20",1260,0)))))))</f>
        <v>2400</v>
      </c>
      <c r="F22" s="8">
        <f>IF(IF(D22&lt;&gt;D21,1,IF(OR(B22&lt;&gt;B21,A22-A21&gt;$U$1),1,""))&lt;&gt;1,"",IF(C22="B01",1,IF(C22="B05",1,IF(C22="B03",1,IF(C22="B04",1,IF(C22="B20",1,IF(C22="B02",1,0)))))))</f>
        <v>1</v>
      </c>
      <c r="G22"/>
      <c r="H22" s="2"/>
      <c r="I22" s="2"/>
      <c r="L22"/>
      <c r="P22"/>
      <c r="Q22"/>
      <c r="R22"/>
      <c r="S22"/>
      <c r="U22" s="5"/>
    </row>
    <row r="23" spans="1:21">
      <c r="A23" s="3">
        <v>45627.017766203702</v>
      </c>
      <c r="B23" s="2" t="s">
        <v>26</v>
      </c>
      <c r="C23" s="2" t="s">
        <v>11</v>
      </c>
      <c r="D23" s="6" t="str">
        <f>CONCATENATE(YEAR(A23),"/",IF(MONTH(A23)&lt;10,CONCATENATE("0",MONTH(A23)),MONTH(A23)))</f>
        <v>2024/12</v>
      </c>
      <c r="E23" s="8" t="str">
        <f>IF(IF(D23&lt;&gt;D22,1,IF(OR(B23&lt;&gt;B22,A23-A22&gt;$U$1),1,""))&lt;&gt;1,"",IF(C23="B01",1965,IF(C23="B02",1020,IF(C23="B05",2400,IF(C23="B03",4260,IF(C23="B04",2880,IF(C23="B20",1260,0)))))))</f>
        <v/>
      </c>
      <c r="F23" s="8" t="str">
        <f>IF(IF(D23&lt;&gt;D22,1,IF(OR(B23&lt;&gt;B22,A23-A22&gt;$U$1),1,""))&lt;&gt;1,"",IF(C23="B01",1,IF(C23="B05",1,IF(C23="B03",1,IF(C23="B04",1,IF(C23="B20",1,IF(C23="B02",1,0)))))))</f>
        <v/>
      </c>
      <c r="G23"/>
      <c r="H23" s="2"/>
      <c r="I23" s="2"/>
      <c r="L23"/>
      <c r="P23"/>
      <c r="Q23"/>
      <c r="R23"/>
      <c r="S23"/>
      <c r="U23" s="5"/>
    </row>
    <row r="24" spans="1:21">
      <c r="A24" s="3">
        <v>45627.017766203702</v>
      </c>
      <c r="B24" s="2" t="s">
        <v>26</v>
      </c>
      <c r="C24" s="2" t="s">
        <v>11</v>
      </c>
      <c r="D24" s="6" t="str">
        <f>CONCATENATE(YEAR(A24),"/",IF(MONTH(A24)&lt;10,CONCATENATE("0",MONTH(A24)),MONTH(A24)))</f>
        <v>2024/12</v>
      </c>
      <c r="E24" s="8" t="str">
        <f>IF(IF(D24&lt;&gt;D23,1,IF(OR(B24&lt;&gt;B23,A24-A23&gt;$U$1),1,""))&lt;&gt;1,"",IF(C24="B01",1965,IF(C24="B02",1020,IF(C24="B05",2400,IF(C24="B03",4260,IF(C24="B04",2880,IF(C24="B20",1260,0)))))))</f>
        <v/>
      </c>
      <c r="F24" s="8" t="str">
        <f>IF(IF(D24&lt;&gt;D23,1,IF(OR(B24&lt;&gt;B23,A24-A23&gt;$U$1),1,""))&lt;&gt;1,"",IF(C24="B01",1,IF(C24="B05",1,IF(C24="B03",1,IF(C24="B04",1,IF(C24="B20",1,IF(C24="B02",1,0)))))))</f>
        <v/>
      </c>
      <c r="G24"/>
      <c r="H24" s="2"/>
      <c r="I24" s="2"/>
      <c r="L24"/>
      <c r="P24"/>
      <c r="Q24"/>
      <c r="R24"/>
      <c r="S24"/>
      <c r="U24" s="5"/>
    </row>
    <row r="25" spans="1:21">
      <c r="A25" s="3">
        <v>45627.017766203702</v>
      </c>
      <c r="B25" s="2" t="s">
        <v>26</v>
      </c>
      <c r="C25" s="2" t="s">
        <v>11</v>
      </c>
      <c r="D25" s="6" t="str">
        <f>CONCATENATE(YEAR(A25),"/",IF(MONTH(A25)&lt;10,CONCATENATE("0",MONTH(A25)),MONTH(A25)))</f>
        <v>2024/12</v>
      </c>
      <c r="E25" s="8" t="str">
        <f>IF(IF(D25&lt;&gt;D24,1,IF(OR(B25&lt;&gt;B24,A25-A24&gt;$U$1),1,""))&lt;&gt;1,"",IF(C25="B01",1965,IF(C25="B02",1020,IF(C25="B05",2400,IF(C25="B03",4260,IF(C25="B04",2880,IF(C25="B20",1260,0)))))))</f>
        <v/>
      </c>
      <c r="F25" s="8" t="str">
        <f>IF(IF(D25&lt;&gt;D24,1,IF(OR(B25&lt;&gt;B24,A25-A24&gt;$U$1),1,""))&lt;&gt;1,"",IF(C25="B01",1,IF(C25="B05",1,IF(C25="B03",1,IF(C25="B04",1,IF(C25="B20",1,IF(C25="B02",1,0)))))))</f>
        <v/>
      </c>
      <c r="G25"/>
      <c r="H25" s="2"/>
      <c r="I25" s="2"/>
      <c r="L25"/>
      <c r="P25"/>
      <c r="Q25"/>
      <c r="R25"/>
      <c r="S25"/>
      <c r="U25" s="5"/>
    </row>
    <row r="26" spans="1:21">
      <c r="A26" s="3">
        <v>45627.281967592593</v>
      </c>
      <c r="B26" s="2" t="s">
        <v>26</v>
      </c>
      <c r="C26" s="2" t="s">
        <v>11</v>
      </c>
      <c r="D26" s="6" t="str">
        <f>CONCATENATE(YEAR(A26),"/",IF(MONTH(A26)&lt;10,CONCATENATE("0",MONTH(A26)),MONTH(A26)))</f>
        <v>2024/12</v>
      </c>
      <c r="E26" s="8">
        <f>IF(IF(D26&lt;&gt;D25,1,IF(OR(B26&lt;&gt;B25,A26-A25&gt;$U$1),1,""))&lt;&gt;1,"",IF(C26="B01",1965,IF(C26="B02",1020,IF(C26="B05",2400,IF(C26="B03",4260,IF(C26="B04",2880,IF(C26="B20",1260,0)))))))</f>
        <v>2400</v>
      </c>
      <c r="F26" s="8">
        <f>IF(IF(D26&lt;&gt;D25,1,IF(OR(B26&lt;&gt;B25,A26-A25&gt;$U$1),1,""))&lt;&gt;1,"",IF(C26="B01",1,IF(C26="B05",1,IF(C26="B03",1,IF(C26="B04",1,IF(C26="B20",1,IF(C26="B02",1,0)))))))</f>
        <v>1</v>
      </c>
      <c r="G26"/>
      <c r="H26" s="2"/>
      <c r="I26" s="2"/>
      <c r="L26"/>
      <c r="R26"/>
      <c r="S26" s="5"/>
      <c r="U26" s="5"/>
    </row>
    <row r="27" spans="1:21">
      <c r="A27" s="3">
        <v>45627.281967592593</v>
      </c>
      <c r="B27" s="2" t="s">
        <v>26</v>
      </c>
      <c r="C27" s="2" t="s">
        <v>11</v>
      </c>
      <c r="D27" s="6" t="str">
        <f>CONCATENATE(YEAR(A27),"/",IF(MONTH(A27)&lt;10,CONCATENATE("0",MONTH(A27)),MONTH(A27)))</f>
        <v>2024/12</v>
      </c>
      <c r="E27" s="8" t="str">
        <f>IF(IF(D27&lt;&gt;D26,1,IF(OR(B27&lt;&gt;B26,A27-A26&gt;$U$1),1,""))&lt;&gt;1,"",IF(C27="B01",1965,IF(C27="B02",1020,IF(C27="B05",2400,IF(C27="B03",4260,IF(C27="B04",2880,IF(C27="B20",1260,0)))))))</f>
        <v/>
      </c>
      <c r="F27" s="8" t="str">
        <f>IF(IF(D27&lt;&gt;D26,1,IF(OR(B27&lt;&gt;B26,A27-A26&gt;$U$1),1,""))&lt;&gt;1,"",IF(C27="B01",1,IF(C27="B05",1,IF(C27="B03",1,IF(C27="B04",1,IF(C27="B20",1,IF(C27="B02",1,0)))))))</f>
        <v/>
      </c>
      <c r="G27"/>
      <c r="H27" s="2"/>
      <c r="I27" s="2"/>
      <c r="L27"/>
      <c r="R27"/>
      <c r="S27" s="5"/>
      <c r="U27" s="5"/>
    </row>
    <row r="28" spans="1:21">
      <c r="A28" s="3">
        <v>45627.281967592593</v>
      </c>
      <c r="B28" s="2" t="s">
        <v>26</v>
      </c>
      <c r="C28" s="2" t="s">
        <v>11</v>
      </c>
      <c r="D28" s="6" t="str">
        <f>CONCATENATE(YEAR(A28),"/",IF(MONTH(A28)&lt;10,CONCATENATE("0",MONTH(A28)),MONTH(A28)))</f>
        <v>2024/12</v>
      </c>
      <c r="E28" s="8" t="str">
        <f>IF(IF(D28&lt;&gt;D27,1,IF(OR(B28&lt;&gt;B27,A28-A27&gt;$U$1),1,""))&lt;&gt;1,"",IF(C28="B01",1965,IF(C28="B02",1020,IF(C28="B05",2400,IF(C28="B03",4260,IF(C28="B04",2880,IF(C28="B20",1260,0)))))))</f>
        <v/>
      </c>
      <c r="F28" s="8" t="str">
        <f>IF(IF(D28&lt;&gt;D27,1,IF(OR(B28&lt;&gt;B27,A28-A27&gt;$U$1),1,""))&lt;&gt;1,"",IF(C28="B01",1,IF(C28="B05",1,IF(C28="B03",1,IF(C28="B04",1,IF(C28="B20",1,IF(C28="B02",1,0)))))))</f>
        <v/>
      </c>
      <c r="G28"/>
      <c r="H28" s="2"/>
      <c r="I28" s="2"/>
      <c r="L28"/>
      <c r="R28"/>
      <c r="S28" s="5"/>
      <c r="U28" s="5"/>
    </row>
    <row r="29" spans="1:21">
      <c r="A29" s="3">
        <v>45627.281967592593</v>
      </c>
      <c r="B29" s="2" t="s">
        <v>26</v>
      </c>
      <c r="C29" s="2" t="s">
        <v>11</v>
      </c>
      <c r="D29" s="6" t="str">
        <f>CONCATENATE(YEAR(A29),"/",IF(MONTH(A29)&lt;10,CONCATENATE("0",MONTH(A29)),MONTH(A29)))</f>
        <v>2024/12</v>
      </c>
      <c r="E29" s="8" t="str">
        <f>IF(IF(D29&lt;&gt;D28,1,IF(OR(B29&lt;&gt;B28,A29-A28&gt;$U$1),1,""))&lt;&gt;1,"",IF(C29="B01",1965,IF(C29="B02",1020,IF(C29="B05",2400,IF(C29="B03",4260,IF(C29="B04",2880,IF(C29="B20",1260,0)))))))</f>
        <v/>
      </c>
      <c r="F29" s="8" t="str">
        <f>IF(IF(D29&lt;&gt;D28,1,IF(OR(B29&lt;&gt;B28,A29-A28&gt;$U$1),1,""))&lt;&gt;1,"",IF(C29="B01",1,IF(C29="B05",1,IF(C29="B03",1,IF(C29="B04",1,IF(C29="B20",1,IF(C29="B02",1,0)))))))</f>
        <v/>
      </c>
      <c r="G29"/>
      <c r="H29" s="2"/>
      <c r="I29" s="2"/>
      <c r="L29"/>
      <c r="R29"/>
      <c r="S29" s="5"/>
      <c r="U29" s="5"/>
    </row>
    <row r="30" spans="1:21">
      <c r="A30" s="3">
        <v>45627.436666666668</v>
      </c>
      <c r="B30" s="2" t="s">
        <v>26</v>
      </c>
      <c r="C30" s="2" t="s">
        <v>11</v>
      </c>
      <c r="D30" s="6" t="str">
        <f>CONCATENATE(YEAR(A30),"/",IF(MONTH(A30)&lt;10,CONCATENATE("0",MONTH(A30)),MONTH(A30)))</f>
        <v>2024/12</v>
      </c>
      <c r="E30" s="8">
        <f>IF(IF(D30&lt;&gt;D29,1,IF(OR(B30&lt;&gt;B29,A30-A29&gt;$U$1),1,""))&lt;&gt;1,"",IF(C30="B01",1965,IF(C30="B02",1020,IF(C30="B05",2400,IF(C30="B03",4260,IF(C30="B04",2880,IF(C30="B20",1260,0)))))))</f>
        <v>2400</v>
      </c>
      <c r="F30" s="8">
        <f>IF(IF(D30&lt;&gt;D29,1,IF(OR(B30&lt;&gt;B29,A30-A29&gt;$U$1),1,""))&lt;&gt;1,"",IF(C30="B01",1,IF(C30="B05",1,IF(C30="B03",1,IF(C30="B04",1,IF(C30="B20",1,IF(C30="B02",1,0)))))))</f>
        <v>1</v>
      </c>
      <c r="G30"/>
      <c r="H30" s="2"/>
      <c r="I30" s="2"/>
      <c r="L30"/>
      <c r="R30"/>
      <c r="S30" s="5"/>
      <c r="U30" s="5"/>
    </row>
    <row r="31" spans="1:21">
      <c r="A31" s="3">
        <v>45627.436666666668</v>
      </c>
      <c r="B31" s="2" t="s">
        <v>26</v>
      </c>
      <c r="C31" s="2" t="s">
        <v>11</v>
      </c>
      <c r="D31" s="6" t="str">
        <f>CONCATENATE(YEAR(A31),"/",IF(MONTH(A31)&lt;10,CONCATENATE("0",MONTH(A31)),MONTH(A31)))</f>
        <v>2024/12</v>
      </c>
      <c r="E31" s="8" t="str">
        <f>IF(IF(D31&lt;&gt;D30,1,IF(OR(B31&lt;&gt;B30,A31-A30&gt;$U$1),1,""))&lt;&gt;1,"",IF(C31="B01",1965,IF(C31="B02",1020,IF(C31="B05",2400,IF(C31="B03",4260,IF(C31="B04",2880,IF(C31="B20",1260,0)))))))</f>
        <v/>
      </c>
      <c r="F31" s="8" t="str">
        <f>IF(IF(D31&lt;&gt;D30,1,IF(OR(B31&lt;&gt;B30,A31-A30&gt;$U$1),1,""))&lt;&gt;1,"",IF(C31="B01",1,IF(C31="B05",1,IF(C31="B03",1,IF(C31="B04",1,IF(C31="B20",1,IF(C31="B02",1,0)))))))</f>
        <v/>
      </c>
      <c r="G31"/>
      <c r="H31" s="2"/>
      <c r="I31" s="2"/>
      <c r="L31"/>
      <c r="R31"/>
      <c r="S31" s="5"/>
      <c r="U31" s="5"/>
    </row>
    <row r="32" spans="1:21">
      <c r="A32" s="3">
        <v>45627.436666666668</v>
      </c>
      <c r="B32" s="2" t="s">
        <v>26</v>
      </c>
      <c r="C32" s="2" t="s">
        <v>11</v>
      </c>
      <c r="D32" s="6" t="str">
        <f>CONCATENATE(YEAR(A32),"/",IF(MONTH(A32)&lt;10,CONCATENATE("0",MONTH(A32)),MONTH(A32)))</f>
        <v>2024/12</v>
      </c>
      <c r="E32" s="8" t="str">
        <f>IF(IF(D32&lt;&gt;D31,1,IF(OR(B32&lt;&gt;B31,A32-A31&gt;$U$1),1,""))&lt;&gt;1,"",IF(C32="B01",1965,IF(C32="B02",1020,IF(C32="B05",2400,IF(C32="B03",4260,IF(C32="B04",2880,IF(C32="B20",1260,0)))))))</f>
        <v/>
      </c>
      <c r="F32" s="8" t="str">
        <f>IF(IF(D32&lt;&gt;D31,1,IF(OR(B32&lt;&gt;B31,A32-A31&gt;$U$1),1,""))&lt;&gt;1,"",IF(C32="B01",1,IF(C32="B05",1,IF(C32="B03",1,IF(C32="B04",1,IF(C32="B20",1,IF(C32="B02",1,0)))))))</f>
        <v/>
      </c>
      <c r="G32"/>
      <c r="H32" s="2"/>
      <c r="I32" s="2"/>
      <c r="L32"/>
      <c r="R32"/>
      <c r="S32" s="5"/>
      <c r="U32" s="5"/>
    </row>
    <row r="33" spans="1:21">
      <c r="A33" s="3">
        <v>45627.436666666668</v>
      </c>
      <c r="B33" s="2" t="s">
        <v>26</v>
      </c>
      <c r="C33" s="2" t="s">
        <v>11</v>
      </c>
      <c r="D33" s="6" t="str">
        <f>CONCATENATE(YEAR(A33),"/",IF(MONTH(A33)&lt;10,CONCATENATE("0",MONTH(A33)),MONTH(A33)))</f>
        <v>2024/12</v>
      </c>
      <c r="E33" s="8" t="str">
        <f>IF(IF(D33&lt;&gt;D32,1,IF(OR(B33&lt;&gt;B32,A33-A32&gt;$U$1),1,""))&lt;&gt;1,"",IF(C33="B01",1965,IF(C33="B02",1020,IF(C33="B05",2400,IF(C33="B03",4260,IF(C33="B04",2880,IF(C33="B20",1260,0)))))))</f>
        <v/>
      </c>
      <c r="F33" s="8" t="str">
        <f>IF(IF(D33&lt;&gt;D32,1,IF(OR(B33&lt;&gt;B32,A33-A32&gt;$U$1),1,""))&lt;&gt;1,"",IF(C33="B01",1,IF(C33="B05",1,IF(C33="B03",1,IF(C33="B04",1,IF(C33="B20",1,IF(C33="B02",1,0)))))))</f>
        <v/>
      </c>
      <c r="G33"/>
      <c r="H33" s="2"/>
      <c r="I33" s="2"/>
      <c r="L33"/>
      <c r="R33"/>
      <c r="S33" s="5"/>
      <c r="U33" s="5"/>
    </row>
    <row r="34" spans="1:21">
      <c r="A34" s="3">
        <v>45627.436666666668</v>
      </c>
      <c r="B34" s="2" t="s">
        <v>26</v>
      </c>
      <c r="C34" s="2" t="s">
        <v>11</v>
      </c>
      <c r="D34" s="6" t="str">
        <f>CONCATENATE(YEAR(A34),"/",IF(MONTH(A34)&lt;10,CONCATENATE("0",MONTH(A34)),MONTH(A34)))</f>
        <v>2024/12</v>
      </c>
      <c r="E34" s="8" t="str">
        <f>IF(IF(D34&lt;&gt;D33,1,IF(OR(B34&lt;&gt;B33,A34-A33&gt;$U$1),1,""))&lt;&gt;1,"",IF(C34="B01",1965,IF(C34="B02",1020,IF(C34="B05",2400,IF(C34="B03",4260,IF(C34="B04",2880,IF(C34="B20",1260,0)))))))</f>
        <v/>
      </c>
      <c r="F34" s="8" t="str">
        <f>IF(IF(D34&lt;&gt;D33,1,IF(OR(B34&lt;&gt;B33,A34-A33&gt;$U$1),1,""))&lt;&gt;1,"",IF(C34="B01",1,IF(C34="B05",1,IF(C34="B03",1,IF(C34="B04",1,IF(C34="B20",1,IF(C34="B02",1,0)))))))</f>
        <v/>
      </c>
      <c r="G34"/>
      <c r="H34" s="2"/>
      <c r="I34" s="2"/>
      <c r="L34"/>
      <c r="R34"/>
      <c r="S34" s="5"/>
      <c r="U34" s="5"/>
    </row>
    <row r="35" spans="1:21">
      <c r="A35" s="3">
        <v>45627.61209490741</v>
      </c>
      <c r="B35" s="2" t="s">
        <v>26</v>
      </c>
      <c r="C35" s="2" t="s">
        <v>11</v>
      </c>
      <c r="D35" s="6" t="str">
        <f>CONCATENATE(YEAR(A35),"/",IF(MONTH(A35)&lt;10,CONCATENATE("0",MONTH(A35)),MONTH(A35)))</f>
        <v>2024/12</v>
      </c>
      <c r="E35" s="8">
        <f>IF(IF(D35&lt;&gt;D34,1,IF(OR(B35&lt;&gt;B34,A35-A34&gt;$U$1),1,""))&lt;&gt;1,"",IF(C35="B01",1965,IF(C35="B02",1020,IF(C35="B05",2400,IF(C35="B03",4260,IF(C35="B04",2880,IF(C35="B20",1260,0)))))))</f>
        <v>2400</v>
      </c>
      <c r="F35" s="8">
        <f>IF(IF(D35&lt;&gt;D34,1,IF(OR(B35&lt;&gt;B34,A35-A34&gt;$U$1),1,""))&lt;&gt;1,"",IF(C35="B01",1,IF(C35="B05",1,IF(C35="B03",1,IF(C35="B04",1,IF(C35="B20",1,IF(C35="B02",1,0)))))))</f>
        <v>1</v>
      </c>
      <c r="G35"/>
      <c r="H35" s="2"/>
      <c r="I35" s="2"/>
      <c r="L35"/>
      <c r="R35"/>
      <c r="S35" s="5"/>
      <c r="U35" s="5"/>
    </row>
    <row r="36" spans="1:21">
      <c r="A36" s="3">
        <v>45627.61209490741</v>
      </c>
      <c r="B36" s="2" t="s">
        <v>26</v>
      </c>
      <c r="C36" s="2" t="s">
        <v>11</v>
      </c>
      <c r="D36" s="6" t="str">
        <f>CONCATENATE(YEAR(A36),"/",IF(MONTH(A36)&lt;10,CONCATENATE("0",MONTH(A36)),MONTH(A36)))</f>
        <v>2024/12</v>
      </c>
      <c r="E36" s="8" t="str">
        <f>IF(IF(D36&lt;&gt;D35,1,IF(OR(B36&lt;&gt;B35,A36-A35&gt;$U$1),1,""))&lt;&gt;1,"",IF(C36="B01",1965,IF(C36="B02",1020,IF(C36="B05",2400,IF(C36="B03",4260,IF(C36="B04",2880,IF(C36="B20",1260,0)))))))</f>
        <v/>
      </c>
      <c r="F36" s="8" t="str">
        <f>IF(IF(D36&lt;&gt;D35,1,IF(OR(B36&lt;&gt;B35,A36-A35&gt;$U$1),1,""))&lt;&gt;1,"",IF(C36="B01",1,IF(C36="B05",1,IF(C36="B03",1,IF(C36="B04",1,IF(C36="B20",1,IF(C36="B02",1,0)))))))</f>
        <v/>
      </c>
      <c r="G36"/>
      <c r="H36" s="2"/>
      <c r="I36" s="2"/>
      <c r="L36"/>
      <c r="R36"/>
      <c r="S36" s="5"/>
      <c r="U36" s="5"/>
    </row>
    <row r="37" spans="1:21">
      <c r="A37" s="3">
        <v>45627.61209490741</v>
      </c>
      <c r="B37" s="2" t="s">
        <v>26</v>
      </c>
      <c r="C37" s="2" t="s">
        <v>11</v>
      </c>
      <c r="D37" s="6" t="str">
        <f>CONCATENATE(YEAR(A37),"/",IF(MONTH(A37)&lt;10,CONCATENATE("0",MONTH(A37)),MONTH(A37)))</f>
        <v>2024/12</v>
      </c>
      <c r="E37" s="8" t="str">
        <f>IF(IF(D37&lt;&gt;D36,1,IF(OR(B37&lt;&gt;B36,A37-A36&gt;$U$1),1,""))&lt;&gt;1,"",IF(C37="B01",1965,IF(C37="B02",1020,IF(C37="B05",2400,IF(C37="B03",4260,IF(C37="B04",2880,IF(C37="B20",1260,0)))))))</f>
        <v/>
      </c>
      <c r="F37" s="8" t="str">
        <f>IF(IF(D37&lt;&gt;D36,1,IF(OR(B37&lt;&gt;B36,A37-A36&gt;$U$1),1,""))&lt;&gt;1,"",IF(C37="B01",1,IF(C37="B05",1,IF(C37="B03",1,IF(C37="B04",1,IF(C37="B20",1,IF(C37="B02",1,0)))))))</f>
        <v/>
      </c>
      <c r="G37"/>
      <c r="H37" s="2"/>
      <c r="I37" s="2"/>
      <c r="L37"/>
      <c r="R37"/>
      <c r="S37" s="5"/>
      <c r="U37" s="5"/>
    </row>
    <row r="38" spans="1:21">
      <c r="A38" s="3">
        <v>45627.61209490741</v>
      </c>
      <c r="B38" s="2" t="s">
        <v>26</v>
      </c>
      <c r="C38" s="2" t="s">
        <v>11</v>
      </c>
      <c r="D38" s="6" t="str">
        <f>CONCATENATE(YEAR(A38),"/",IF(MONTH(A38)&lt;10,CONCATENATE("0",MONTH(A38)),MONTH(A38)))</f>
        <v>2024/12</v>
      </c>
      <c r="E38" s="8" t="str">
        <f>IF(IF(D38&lt;&gt;D37,1,IF(OR(B38&lt;&gt;B37,A38-A37&gt;$U$1),1,""))&lt;&gt;1,"",IF(C38="B01",1965,IF(C38="B02",1020,IF(C38="B05",2400,IF(C38="B03",4260,IF(C38="B04",2880,IF(C38="B20",1260,0)))))))</f>
        <v/>
      </c>
      <c r="F38" s="8" t="str">
        <f>IF(IF(D38&lt;&gt;D37,1,IF(OR(B38&lt;&gt;B37,A38-A37&gt;$U$1),1,""))&lt;&gt;1,"",IF(C38="B01",1,IF(C38="B05",1,IF(C38="B03",1,IF(C38="B04",1,IF(C38="B20",1,IF(C38="B02",1,0)))))))</f>
        <v/>
      </c>
      <c r="G38"/>
      <c r="H38" s="2"/>
      <c r="I38" s="2"/>
      <c r="L38"/>
      <c r="R38"/>
      <c r="S38" s="5"/>
      <c r="U38" s="5"/>
    </row>
    <row r="39" spans="1:21">
      <c r="A39" s="3">
        <v>45627.861481481479</v>
      </c>
      <c r="B39" s="2" t="s">
        <v>26</v>
      </c>
      <c r="C39" s="2" t="s">
        <v>11</v>
      </c>
      <c r="D39" s="6" t="str">
        <f>CONCATENATE(YEAR(A39),"/",IF(MONTH(A39)&lt;10,CONCATENATE("0",MONTH(A39)),MONTH(A39)))</f>
        <v>2024/12</v>
      </c>
      <c r="E39" s="8">
        <f>IF(IF(D39&lt;&gt;D38,1,IF(OR(B39&lt;&gt;B38,A39-A38&gt;$U$1),1,""))&lt;&gt;1,"",IF(C39="B01",1965,IF(C39="B02",1020,IF(C39="B05",2400,IF(C39="B03",4260,IF(C39="B04",2880,IF(C39="B20",1260,0)))))))</f>
        <v>2400</v>
      </c>
      <c r="F39" s="8">
        <f>IF(IF(D39&lt;&gt;D38,1,IF(OR(B39&lt;&gt;B38,A39-A38&gt;$U$1),1,""))&lt;&gt;1,"",IF(C39="B01",1,IF(C39="B05",1,IF(C39="B03",1,IF(C39="B04",1,IF(C39="B20",1,IF(C39="B02",1,0)))))))</f>
        <v>1</v>
      </c>
      <c r="G39"/>
      <c r="H39" s="2"/>
      <c r="I39" s="2"/>
      <c r="L39"/>
      <c r="R39"/>
      <c r="S39" s="5"/>
      <c r="U39" s="5"/>
    </row>
    <row r="40" spans="1:21">
      <c r="A40" s="3">
        <v>45627.861481481479</v>
      </c>
      <c r="B40" s="2" t="s">
        <v>26</v>
      </c>
      <c r="C40" s="2" t="s">
        <v>11</v>
      </c>
      <c r="D40" s="6" t="str">
        <f>CONCATENATE(YEAR(A40),"/",IF(MONTH(A40)&lt;10,CONCATENATE("0",MONTH(A40)),MONTH(A40)))</f>
        <v>2024/12</v>
      </c>
      <c r="E40" s="8" t="str">
        <f>IF(IF(D40&lt;&gt;D39,1,IF(OR(B40&lt;&gt;B39,A40-A39&gt;$U$1),1,""))&lt;&gt;1,"",IF(C40="B01",1965,IF(C40="B02",1020,IF(C40="B05",2400,IF(C40="B03",4260,IF(C40="B04",2880,IF(C40="B20",1260,0)))))))</f>
        <v/>
      </c>
      <c r="F40" s="8" t="str">
        <f>IF(IF(D40&lt;&gt;D39,1,IF(OR(B40&lt;&gt;B39,A40-A39&gt;$U$1),1,""))&lt;&gt;1,"",IF(C40="B01",1,IF(C40="B05",1,IF(C40="B03",1,IF(C40="B04",1,IF(C40="B20",1,IF(C40="B02",1,0)))))))</f>
        <v/>
      </c>
      <c r="G40"/>
      <c r="H40" s="2"/>
      <c r="I40" s="2"/>
      <c r="L40"/>
      <c r="R40"/>
      <c r="S40" s="5"/>
      <c r="U40" s="5"/>
    </row>
    <row r="41" spans="1:21">
      <c r="A41" s="3">
        <v>45627.861481481479</v>
      </c>
      <c r="B41" s="2" t="s">
        <v>26</v>
      </c>
      <c r="C41" s="2" t="s">
        <v>11</v>
      </c>
      <c r="D41" s="6" t="str">
        <f>CONCATENATE(YEAR(A41),"/",IF(MONTH(A41)&lt;10,CONCATENATE("0",MONTH(A41)),MONTH(A41)))</f>
        <v>2024/12</v>
      </c>
      <c r="E41" s="8" t="str">
        <f>IF(IF(D41&lt;&gt;D40,1,IF(OR(B41&lt;&gt;B40,A41-A40&gt;$U$1),1,""))&lt;&gt;1,"",IF(C41="B01",1965,IF(C41="B02",1020,IF(C41="B05",2400,IF(C41="B03",4260,IF(C41="B04",2880,IF(C41="B20",1260,0)))))))</f>
        <v/>
      </c>
      <c r="F41" s="8" t="str">
        <f>IF(IF(D41&lt;&gt;D40,1,IF(OR(B41&lt;&gt;B40,A41-A40&gt;$U$1),1,""))&lt;&gt;1,"",IF(C41="B01",1,IF(C41="B05",1,IF(C41="B03",1,IF(C41="B04",1,IF(C41="B20",1,IF(C41="B02",1,0)))))))</f>
        <v/>
      </c>
      <c r="G41"/>
      <c r="H41" s="2"/>
      <c r="I41" s="2"/>
      <c r="L41"/>
      <c r="R41"/>
      <c r="S41" s="5"/>
      <c r="U41" s="5"/>
    </row>
    <row r="42" spans="1:21">
      <c r="A42" s="3">
        <v>45627.861481481479</v>
      </c>
      <c r="B42" s="2" t="s">
        <v>26</v>
      </c>
      <c r="C42" s="2" t="s">
        <v>11</v>
      </c>
      <c r="D42" s="6" t="str">
        <f>CONCATENATE(YEAR(A42),"/",IF(MONTH(A42)&lt;10,CONCATENATE("0",MONTH(A42)),MONTH(A42)))</f>
        <v>2024/12</v>
      </c>
      <c r="E42" s="8" t="str">
        <f>IF(IF(D42&lt;&gt;D41,1,IF(OR(B42&lt;&gt;B41,A42-A41&gt;$U$1),1,""))&lt;&gt;1,"",IF(C42="B01",1965,IF(C42="B02",1020,IF(C42="B05",2400,IF(C42="B03",4260,IF(C42="B04",2880,IF(C42="B20",1260,0)))))))</f>
        <v/>
      </c>
      <c r="F42" s="8" t="str">
        <f>IF(IF(D42&lt;&gt;D41,1,IF(OR(B42&lt;&gt;B41,A42-A41&gt;$U$1),1,""))&lt;&gt;1,"",IF(C42="B01",1,IF(C42="B05",1,IF(C42="B03",1,IF(C42="B04",1,IF(C42="B20",1,IF(C42="B02",1,0)))))))</f>
        <v/>
      </c>
      <c r="G42"/>
      <c r="H42" s="2"/>
      <c r="I42" s="2"/>
      <c r="L42"/>
      <c r="R42"/>
      <c r="S42" s="5"/>
      <c r="U42" s="5"/>
    </row>
    <row r="43" spans="1:21">
      <c r="A43" s="3">
        <v>45627.861481481479</v>
      </c>
      <c r="B43" s="2" t="s">
        <v>26</v>
      </c>
      <c r="C43" s="2" t="s">
        <v>11</v>
      </c>
      <c r="D43" s="6" t="str">
        <f>CONCATENATE(YEAR(A43),"/",IF(MONTH(A43)&lt;10,CONCATENATE("0",MONTH(A43)),MONTH(A43)))</f>
        <v>2024/12</v>
      </c>
      <c r="E43" s="8" t="str">
        <f>IF(IF(D43&lt;&gt;D42,1,IF(OR(B43&lt;&gt;B42,A43-A42&gt;$U$1),1,""))&lt;&gt;1,"",IF(C43="B01",1965,IF(C43="B02",1020,IF(C43="B05",2400,IF(C43="B03",4260,IF(C43="B04",2880,IF(C43="B20",1260,0)))))))</f>
        <v/>
      </c>
      <c r="F43" s="8" t="str">
        <f>IF(IF(D43&lt;&gt;D42,1,IF(OR(B43&lt;&gt;B42,A43-A42&gt;$U$1),1,""))&lt;&gt;1,"",IF(C43="B01",1,IF(C43="B05",1,IF(C43="B03",1,IF(C43="B04",1,IF(C43="B20",1,IF(C43="B02",1,0)))))))</f>
        <v/>
      </c>
      <c r="G43"/>
      <c r="H43" s="2"/>
      <c r="I43" s="2"/>
      <c r="L43"/>
      <c r="R43"/>
      <c r="S43" s="5"/>
      <c r="U43" s="5"/>
    </row>
    <row r="44" spans="1:21">
      <c r="A44" s="3">
        <v>45627.861481481479</v>
      </c>
      <c r="B44" s="2" t="s">
        <v>26</v>
      </c>
      <c r="C44" s="2" t="s">
        <v>11</v>
      </c>
      <c r="D44" s="6" t="str">
        <f>CONCATENATE(YEAR(A44),"/",IF(MONTH(A44)&lt;10,CONCATENATE("0",MONTH(A44)),MONTH(A44)))</f>
        <v>2024/12</v>
      </c>
      <c r="E44" s="8" t="str">
        <f>IF(IF(D44&lt;&gt;D43,1,IF(OR(B44&lt;&gt;B43,A44-A43&gt;$U$1),1,""))&lt;&gt;1,"",IF(C44="B01",1965,IF(C44="B02",1020,IF(C44="B05",2400,IF(C44="B03",4260,IF(C44="B04",2880,IF(C44="B20",1260,0)))))))</f>
        <v/>
      </c>
      <c r="F44" s="8" t="str">
        <f>IF(IF(D44&lt;&gt;D43,1,IF(OR(B44&lt;&gt;B43,A44-A43&gt;$U$1),1,""))&lt;&gt;1,"",IF(C44="B01",1,IF(C44="B05",1,IF(C44="B03",1,IF(C44="B04",1,IF(C44="B20",1,IF(C44="B02",1,0)))))))</f>
        <v/>
      </c>
      <c r="G44"/>
      <c r="H44" s="2"/>
      <c r="I44" s="2"/>
      <c r="L44"/>
      <c r="R44"/>
      <c r="S44" s="5"/>
      <c r="U44" s="5"/>
    </row>
    <row r="45" spans="1:21">
      <c r="A45" s="3">
        <v>45628.071666666663</v>
      </c>
      <c r="B45" s="2" t="s">
        <v>26</v>
      </c>
      <c r="C45" s="2" t="s">
        <v>11</v>
      </c>
      <c r="D45" s="6" t="str">
        <f>CONCATENATE(YEAR(A45),"/",IF(MONTH(A45)&lt;10,CONCATENATE("0",MONTH(A45)),MONTH(A45)))</f>
        <v>2024/12</v>
      </c>
      <c r="E45" s="8">
        <f>IF(IF(D45&lt;&gt;D44,1,IF(OR(B45&lt;&gt;B44,A45-A44&gt;$U$1),1,""))&lt;&gt;1,"",IF(C45="B01",1965,IF(C45="B02",1020,IF(C45="B05",2400,IF(C45="B03",4260,IF(C45="B04",2880,IF(C45="B20",1260,0)))))))</f>
        <v>2400</v>
      </c>
      <c r="F45" s="8">
        <f>IF(IF(D45&lt;&gt;D44,1,IF(OR(B45&lt;&gt;B44,A45-A44&gt;$U$1),1,""))&lt;&gt;1,"",IF(C45="B01",1,IF(C45="B05",1,IF(C45="B03",1,IF(C45="B04",1,IF(C45="B20",1,IF(C45="B02",1,0)))))))</f>
        <v>1</v>
      </c>
      <c r="G45"/>
      <c r="H45" s="2"/>
      <c r="I45" s="2"/>
      <c r="L45"/>
      <c r="R45"/>
      <c r="S45" s="5"/>
      <c r="U45" s="5"/>
    </row>
    <row r="46" spans="1:21">
      <c r="A46" s="3">
        <v>45628.071666666663</v>
      </c>
      <c r="B46" s="2" t="s">
        <v>26</v>
      </c>
      <c r="C46" s="2" t="s">
        <v>11</v>
      </c>
      <c r="D46" s="6" t="str">
        <f>CONCATENATE(YEAR(A46),"/",IF(MONTH(A46)&lt;10,CONCATENATE("0",MONTH(A46)),MONTH(A46)))</f>
        <v>2024/12</v>
      </c>
      <c r="E46" s="8" t="str">
        <f>IF(IF(D46&lt;&gt;D45,1,IF(OR(B46&lt;&gt;B45,A46-A45&gt;$U$1),1,""))&lt;&gt;1,"",IF(C46="B01",1965,IF(C46="B02",1020,IF(C46="B05",2400,IF(C46="B03",4260,IF(C46="B04",2880,IF(C46="B20",1260,0)))))))</f>
        <v/>
      </c>
      <c r="F46" s="8" t="str">
        <f>IF(IF(D46&lt;&gt;D45,1,IF(OR(B46&lt;&gt;B45,A46-A45&gt;$U$1),1,""))&lt;&gt;1,"",IF(C46="B01",1,IF(C46="B05",1,IF(C46="B03",1,IF(C46="B04",1,IF(C46="B20",1,IF(C46="B02",1,0)))))))</f>
        <v/>
      </c>
      <c r="G46"/>
      <c r="H46" s="2"/>
      <c r="I46" s="2"/>
      <c r="L46"/>
      <c r="R46"/>
      <c r="S46" s="5"/>
      <c r="U46" s="5"/>
    </row>
    <row r="47" spans="1:21">
      <c r="A47" s="3">
        <v>45628.071666666663</v>
      </c>
      <c r="B47" s="2" t="s">
        <v>26</v>
      </c>
      <c r="C47" s="2" t="s">
        <v>11</v>
      </c>
      <c r="D47" s="6" t="str">
        <f>CONCATENATE(YEAR(A47),"/",IF(MONTH(A47)&lt;10,CONCATENATE("0",MONTH(A47)),MONTH(A47)))</f>
        <v>2024/12</v>
      </c>
      <c r="E47" s="8" t="str">
        <f>IF(IF(D47&lt;&gt;D46,1,IF(OR(B47&lt;&gt;B46,A47-A46&gt;$U$1),1,""))&lt;&gt;1,"",IF(C47="B01",1965,IF(C47="B02",1020,IF(C47="B05",2400,IF(C47="B03",4260,IF(C47="B04",2880,IF(C47="B20",1260,0)))))))</f>
        <v/>
      </c>
      <c r="F47" s="8" t="str">
        <f>IF(IF(D47&lt;&gt;D46,1,IF(OR(B47&lt;&gt;B46,A47-A46&gt;$U$1),1,""))&lt;&gt;1,"",IF(C47="B01",1,IF(C47="B05",1,IF(C47="B03",1,IF(C47="B04",1,IF(C47="B20",1,IF(C47="B02",1,0)))))))</f>
        <v/>
      </c>
      <c r="G47"/>
      <c r="H47" s="2"/>
      <c r="I47" s="2"/>
      <c r="L47"/>
      <c r="R47"/>
      <c r="S47" s="5"/>
      <c r="U47" s="5"/>
    </row>
    <row r="48" spans="1:21">
      <c r="A48" s="3">
        <v>45628.277326388888</v>
      </c>
      <c r="B48" s="2" t="s">
        <v>26</v>
      </c>
      <c r="C48" s="2" t="s">
        <v>11</v>
      </c>
      <c r="D48" s="6" t="str">
        <f>CONCATENATE(YEAR(A48),"/",IF(MONTH(A48)&lt;10,CONCATENATE("0",MONTH(A48)),MONTH(A48)))</f>
        <v>2024/12</v>
      </c>
      <c r="E48" s="8">
        <f>IF(IF(D48&lt;&gt;D47,1,IF(OR(B48&lt;&gt;B47,A48-A47&gt;$U$1),1,""))&lt;&gt;1,"",IF(C48="B01",1965,IF(C48="B02",1020,IF(C48="B05",2400,IF(C48="B03",4260,IF(C48="B04",2880,IF(C48="B20",1260,0)))))))</f>
        <v>2400</v>
      </c>
      <c r="F48" s="8">
        <f>IF(IF(D48&lt;&gt;D47,1,IF(OR(B48&lt;&gt;B47,A48-A47&gt;$U$1),1,""))&lt;&gt;1,"",IF(C48="B01",1,IF(C48="B05",1,IF(C48="B03",1,IF(C48="B04",1,IF(C48="B20",1,IF(C48="B02",1,0)))))))</f>
        <v>1</v>
      </c>
      <c r="G48"/>
      <c r="H48" s="2"/>
      <c r="I48" s="2"/>
      <c r="L48"/>
      <c r="R48"/>
      <c r="S48" s="5"/>
      <c r="U48" s="5"/>
    </row>
    <row r="49" spans="1:21">
      <c r="A49" s="3">
        <v>45628.277326388888</v>
      </c>
      <c r="B49" s="2" t="s">
        <v>26</v>
      </c>
      <c r="C49" s="2" t="s">
        <v>11</v>
      </c>
      <c r="D49" s="6" t="str">
        <f>CONCATENATE(YEAR(A49),"/",IF(MONTH(A49)&lt;10,CONCATENATE("0",MONTH(A49)),MONTH(A49)))</f>
        <v>2024/12</v>
      </c>
      <c r="E49" s="8" t="str">
        <f>IF(IF(D49&lt;&gt;D48,1,IF(OR(B49&lt;&gt;B48,A49-A48&gt;$U$1),1,""))&lt;&gt;1,"",IF(C49="B01",1965,IF(C49="B02",1020,IF(C49="B05",2400,IF(C49="B03",4260,IF(C49="B04",2880,IF(C49="B20",1260,0)))))))</f>
        <v/>
      </c>
      <c r="F49" s="8" t="str">
        <f>IF(IF(D49&lt;&gt;D48,1,IF(OR(B49&lt;&gt;B48,A49-A48&gt;$U$1),1,""))&lt;&gt;1,"",IF(C49="B01",1,IF(C49="B05",1,IF(C49="B03",1,IF(C49="B04",1,IF(C49="B20",1,IF(C49="B02",1,0)))))))</f>
        <v/>
      </c>
      <c r="G49"/>
      <c r="H49" s="2"/>
      <c r="I49" s="2"/>
      <c r="L49"/>
      <c r="R49"/>
      <c r="S49" s="5"/>
      <c r="U49" s="5"/>
    </row>
    <row r="50" spans="1:21">
      <c r="A50" s="3">
        <v>45628.630636574075</v>
      </c>
      <c r="B50" s="2" t="s">
        <v>26</v>
      </c>
      <c r="C50" s="2" t="s">
        <v>11</v>
      </c>
      <c r="D50" s="6" t="str">
        <f>CONCATENATE(YEAR(A50),"/",IF(MONTH(A50)&lt;10,CONCATENATE("0",MONTH(A50)),MONTH(A50)))</f>
        <v>2024/12</v>
      </c>
      <c r="E50" s="8">
        <f>IF(IF(D50&lt;&gt;D49,1,IF(OR(B50&lt;&gt;B49,A50-A49&gt;$U$1),1,""))&lt;&gt;1,"",IF(C50="B01",1965,IF(C50="B02",1020,IF(C50="B05",2400,IF(C50="B03",4260,IF(C50="B04",2880,IF(C50="B20",1260,0)))))))</f>
        <v>2400</v>
      </c>
      <c r="F50" s="8">
        <f>IF(IF(D50&lt;&gt;D49,1,IF(OR(B50&lt;&gt;B49,A50-A49&gt;$U$1),1,""))&lt;&gt;1,"",IF(C50="B01",1,IF(C50="B05",1,IF(C50="B03",1,IF(C50="B04",1,IF(C50="B20",1,IF(C50="B02",1,0)))))))</f>
        <v>1</v>
      </c>
      <c r="G50"/>
      <c r="H50" s="2"/>
      <c r="I50" s="2"/>
      <c r="L50"/>
      <c r="R50"/>
      <c r="S50" s="5"/>
      <c r="U50" s="5"/>
    </row>
    <row r="51" spans="1:21">
      <c r="A51" s="3">
        <v>45628.630636574075</v>
      </c>
      <c r="B51" s="2" t="s">
        <v>26</v>
      </c>
      <c r="C51" s="2" t="s">
        <v>11</v>
      </c>
      <c r="D51" s="6" t="str">
        <f>CONCATENATE(YEAR(A51),"/",IF(MONTH(A51)&lt;10,CONCATENATE("0",MONTH(A51)),MONTH(A51)))</f>
        <v>2024/12</v>
      </c>
      <c r="E51" s="8" t="str">
        <f>IF(IF(D51&lt;&gt;D50,1,IF(OR(B51&lt;&gt;B50,A51-A50&gt;$U$1),1,""))&lt;&gt;1,"",IF(C51="B01",1965,IF(C51="B02",1020,IF(C51="B05",2400,IF(C51="B03",4260,IF(C51="B04",2880,IF(C51="B20",1260,0)))))))</f>
        <v/>
      </c>
      <c r="F51" s="8" t="str">
        <f>IF(IF(D51&lt;&gt;D50,1,IF(OR(B51&lt;&gt;B50,A51-A50&gt;$U$1),1,""))&lt;&gt;1,"",IF(C51="B01",1,IF(C51="B05",1,IF(C51="B03",1,IF(C51="B04",1,IF(C51="B20",1,IF(C51="B02",1,0)))))))</f>
        <v/>
      </c>
      <c r="G51"/>
      <c r="H51" s="2"/>
      <c r="I51" s="2"/>
      <c r="L51"/>
      <c r="R51"/>
      <c r="S51" s="5"/>
      <c r="U51" s="5"/>
    </row>
    <row r="52" spans="1:21">
      <c r="A52" s="3">
        <v>45628.630636574075</v>
      </c>
      <c r="B52" s="2" t="s">
        <v>26</v>
      </c>
      <c r="C52" s="2" t="s">
        <v>11</v>
      </c>
      <c r="D52" s="6" t="str">
        <f>CONCATENATE(YEAR(A52),"/",IF(MONTH(A52)&lt;10,CONCATENATE("0",MONTH(A52)),MONTH(A52)))</f>
        <v>2024/12</v>
      </c>
      <c r="E52" s="8" t="str">
        <f>IF(IF(D52&lt;&gt;D51,1,IF(OR(B52&lt;&gt;B51,A52-A51&gt;$U$1),1,""))&lt;&gt;1,"",IF(C52="B01",1965,IF(C52="B02",1020,IF(C52="B05",2400,IF(C52="B03",4260,IF(C52="B04",2880,IF(C52="B20",1260,0)))))))</f>
        <v/>
      </c>
      <c r="F52" s="8" t="str">
        <f>IF(IF(D52&lt;&gt;D51,1,IF(OR(B52&lt;&gt;B51,A52-A51&gt;$U$1),1,""))&lt;&gt;1,"",IF(C52="B01",1,IF(C52="B05",1,IF(C52="B03",1,IF(C52="B04",1,IF(C52="B20",1,IF(C52="B02",1,0)))))))</f>
        <v/>
      </c>
      <c r="G52"/>
      <c r="H52" s="2"/>
      <c r="I52" s="2"/>
      <c r="L52"/>
      <c r="R52"/>
      <c r="S52" s="5"/>
      <c r="U52" s="5"/>
    </row>
    <row r="53" spans="1:21">
      <c r="A53" s="3">
        <v>45628.768634259257</v>
      </c>
      <c r="B53" s="2" t="s">
        <v>26</v>
      </c>
      <c r="C53" s="2" t="s">
        <v>11</v>
      </c>
      <c r="D53" s="6" t="str">
        <f>CONCATENATE(YEAR(A53),"/",IF(MONTH(A53)&lt;10,CONCATENATE("0",MONTH(A53)),MONTH(A53)))</f>
        <v>2024/12</v>
      </c>
      <c r="E53" s="8">
        <f>IF(IF(D53&lt;&gt;D52,1,IF(OR(B53&lt;&gt;B52,A53-A52&gt;$U$1),1,""))&lt;&gt;1,"",IF(C53="B01",1965,IF(C53="B02",1020,IF(C53="B05",2400,IF(C53="B03",4260,IF(C53="B04",2880,IF(C53="B20",1260,0)))))))</f>
        <v>2400</v>
      </c>
      <c r="F53" s="8">
        <f>IF(IF(D53&lt;&gt;D52,1,IF(OR(B53&lt;&gt;B52,A53-A52&gt;$U$1),1,""))&lt;&gt;1,"",IF(C53="B01",1,IF(C53="B05",1,IF(C53="B03",1,IF(C53="B04",1,IF(C53="B20",1,IF(C53="B02",1,0)))))))</f>
        <v>1</v>
      </c>
      <c r="G53"/>
      <c r="H53" s="2"/>
      <c r="I53" s="2"/>
      <c r="L53"/>
      <c r="R53"/>
      <c r="S53" s="5"/>
      <c r="U53" s="5"/>
    </row>
    <row r="54" spans="1:21">
      <c r="A54" s="3">
        <v>45628.768634259257</v>
      </c>
      <c r="B54" s="2" t="s">
        <v>26</v>
      </c>
      <c r="C54" s="2" t="s">
        <v>11</v>
      </c>
      <c r="D54" s="6" t="str">
        <f>CONCATENATE(YEAR(A54),"/",IF(MONTH(A54)&lt;10,CONCATENATE("0",MONTH(A54)),MONTH(A54)))</f>
        <v>2024/12</v>
      </c>
      <c r="E54" s="8" t="str">
        <f>IF(IF(D54&lt;&gt;D53,1,IF(OR(B54&lt;&gt;B53,A54-A53&gt;$U$1),1,""))&lt;&gt;1,"",IF(C54="B01",1965,IF(C54="B02",1020,IF(C54="B05",2400,IF(C54="B03",4260,IF(C54="B04",2880,IF(C54="B20",1260,0)))))))</f>
        <v/>
      </c>
      <c r="F54" s="8" t="str">
        <f>IF(IF(D54&lt;&gt;D53,1,IF(OR(B54&lt;&gt;B53,A54-A53&gt;$U$1),1,""))&lt;&gt;1,"",IF(C54="B01",1,IF(C54="B05",1,IF(C54="B03",1,IF(C54="B04",1,IF(C54="B20",1,IF(C54="B02",1,0)))))))</f>
        <v/>
      </c>
      <c r="G54"/>
      <c r="H54" s="2"/>
      <c r="I54" s="2"/>
      <c r="L54"/>
      <c r="R54"/>
      <c r="S54" s="5"/>
      <c r="U54" s="5"/>
    </row>
    <row r="55" spans="1:21">
      <c r="A55" s="3">
        <v>45628.768634259257</v>
      </c>
      <c r="B55" s="2" t="s">
        <v>26</v>
      </c>
      <c r="C55" s="2" t="s">
        <v>11</v>
      </c>
      <c r="D55" s="6" t="str">
        <f>CONCATENATE(YEAR(A55),"/",IF(MONTH(A55)&lt;10,CONCATENATE("0",MONTH(A55)),MONTH(A55)))</f>
        <v>2024/12</v>
      </c>
      <c r="E55" s="8" t="str">
        <f>IF(IF(D55&lt;&gt;D54,1,IF(OR(B55&lt;&gt;B54,A55-A54&gt;$U$1),1,""))&lt;&gt;1,"",IF(C55="B01",1965,IF(C55="B02",1020,IF(C55="B05",2400,IF(C55="B03",4260,IF(C55="B04",2880,IF(C55="B20",1260,0)))))))</f>
        <v/>
      </c>
      <c r="F55" s="8" t="str">
        <f>IF(IF(D55&lt;&gt;D54,1,IF(OR(B55&lt;&gt;B54,A55-A54&gt;$U$1),1,""))&lt;&gt;1,"",IF(C55="B01",1,IF(C55="B05",1,IF(C55="B03",1,IF(C55="B04",1,IF(C55="B20",1,IF(C55="B02",1,0)))))))</f>
        <v/>
      </c>
      <c r="G55"/>
      <c r="H55" s="2"/>
      <c r="I55" s="2"/>
      <c r="L55"/>
      <c r="R55"/>
      <c r="S55" s="5"/>
      <c r="U55" s="5"/>
    </row>
    <row r="56" spans="1:21">
      <c r="A56" s="3">
        <v>45628.768634259257</v>
      </c>
      <c r="B56" s="2" t="s">
        <v>26</v>
      </c>
      <c r="C56" s="2" t="s">
        <v>11</v>
      </c>
      <c r="D56" s="6" t="str">
        <f>CONCATENATE(YEAR(A56),"/",IF(MONTH(A56)&lt;10,CONCATENATE("0",MONTH(A56)),MONTH(A56)))</f>
        <v>2024/12</v>
      </c>
      <c r="E56" s="8" t="str">
        <f>IF(IF(D56&lt;&gt;D55,1,IF(OR(B56&lt;&gt;B55,A56-A55&gt;$U$1),1,""))&lt;&gt;1,"",IF(C56="B01",1965,IF(C56="B02",1020,IF(C56="B05",2400,IF(C56="B03",4260,IF(C56="B04",2880,IF(C56="B20",1260,0)))))))</f>
        <v/>
      </c>
      <c r="F56" s="8" t="str">
        <f>IF(IF(D56&lt;&gt;D55,1,IF(OR(B56&lt;&gt;B55,A56-A55&gt;$U$1),1,""))&lt;&gt;1,"",IF(C56="B01",1,IF(C56="B05",1,IF(C56="B03",1,IF(C56="B04",1,IF(C56="B20",1,IF(C56="B02",1,0)))))))</f>
        <v/>
      </c>
      <c r="G56"/>
      <c r="H56" s="2"/>
      <c r="I56" s="2"/>
      <c r="L56"/>
      <c r="R56"/>
      <c r="S56" s="5"/>
      <c r="U56" s="5"/>
    </row>
    <row r="57" spans="1:21">
      <c r="A57" s="3">
        <v>45628.768634259257</v>
      </c>
      <c r="B57" s="2" t="s">
        <v>26</v>
      </c>
      <c r="C57" s="2" t="s">
        <v>11</v>
      </c>
      <c r="D57" s="6" t="str">
        <f>CONCATENATE(YEAR(A57),"/",IF(MONTH(A57)&lt;10,CONCATENATE("0",MONTH(A57)),MONTH(A57)))</f>
        <v>2024/12</v>
      </c>
      <c r="E57" s="8" t="str">
        <f>IF(IF(D57&lt;&gt;D56,1,IF(OR(B57&lt;&gt;B56,A57-A56&gt;$U$1),1,""))&lt;&gt;1,"",IF(C57="B01",1965,IF(C57="B02",1020,IF(C57="B05",2400,IF(C57="B03",4260,IF(C57="B04",2880,IF(C57="B20",1260,0)))))))</f>
        <v/>
      </c>
      <c r="F57" s="8" t="str">
        <f>IF(IF(D57&lt;&gt;D56,1,IF(OR(B57&lt;&gt;B56,A57-A56&gt;$U$1),1,""))&lt;&gt;1,"",IF(C57="B01",1,IF(C57="B05",1,IF(C57="B03",1,IF(C57="B04",1,IF(C57="B20",1,IF(C57="B02",1,0)))))))</f>
        <v/>
      </c>
      <c r="G57"/>
      <c r="H57" s="2"/>
      <c r="I57" s="2"/>
      <c r="L57"/>
      <c r="R57"/>
      <c r="S57" s="5"/>
      <c r="U57" s="5"/>
    </row>
    <row r="58" spans="1:21">
      <c r="A58" s="3">
        <v>45628.768634259257</v>
      </c>
      <c r="B58" s="2" t="s">
        <v>26</v>
      </c>
      <c r="C58" s="2" t="s">
        <v>11</v>
      </c>
      <c r="D58" s="6" t="str">
        <f>CONCATENATE(YEAR(A58),"/",IF(MONTH(A58)&lt;10,CONCATENATE("0",MONTH(A58)),MONTH(A58)))</f>
        <v>2024/12</v>
      </c>
      <c r="E58" s="8" t="str">
        <f>IF(IF(D58&lt;&gt;D57,1,IF(OR(B58&lt;&gt;B57,A58-A57&gt;$U$1),1,""))&lt;&gt;1,"",IF(C58="B01",1965,IF(C58="B02",1020,IF(C58="B05",2400,IF(C58="B03",4260,IF(C58="B04",2880,IF(C58="B20",1260,0)))))))</f>
        <v/>
      </c>
      <c r="F58" s="8" t="str">
        <f>IF(IF(D58&lt;&gt;D57,1,IF(OR(B58&lt;&gt;B57,A58-A57&gt;$U$1),1,""))&lt;&gt;1,"",IF(C58="B01",1,IF(C58="B05",1,IF(C58="B03",1,IF(C58="B04",1,IF(C58="B20",1,IF(C58="B02",1,0)))))))</f>
        <v/>
      </c>
      <c r="G58"/>
      <c r="H58" s="2"/>
      <c r="I58" s="2"/>
      <c r="L58"/>
      <c r="R58"/>
      <c r="S58" s="5"/>
      <c r="U58" s="5"/>
    </row>
    <row r="59" spans="1:21">
      <c r="A59" s="3">
        <v>45628.96166666667</v>
      </c>
      <c r="B59" s="2" t="s">
        <v>26</v>
      </c>
      <c r="C59" s="2" t="s">
        <v>11</v>
      </c>
      <c r="D59" s="6" t="str">
        <f>CONCATENATE(YEAR(A59),"/",IF(MONTH(A59)&lt;10,CONCATENATE("0",MONTH(A59)),MONTH(A59)))</f>
        <v>2024/12</v>
      </c>
      <c r="E59" s="8">
        <f>IF(IF(D59&lt;&gt;D58,1,IF(OR(B59&lt;&gt;B58,A59-A58&gt;$U$1),1,""))&lt;&gt;1,"",IF(C59="B01",1965,IF(C59="B02",1020,IF(C59="B05",2400,IF(C59="B03",4260,IF(C59="B04",2880,IF(C59="B20",1260,0)))))))</f>
        <v>2400</v>
      </c>
      <c r="F59" s="8">
        <f>IF(IF(D59&lt;&gt;D58,1,IF(OR(B59&lt;&gt;B58,A59-A58&gt;$U$1),1,""))&lt;&gt;1,"",IF(C59="B01",1,IF(C59="B05",1,IF(C59="B03",1,IF(C59="B04",1,IF(C59="B20",1,IF(C59="B02",1,0)))))))</f>
        <v>1</v>
      </c>
      <c r="G59"/>
      <c r="H59" s="2"/>
      <c r="I59" s="2"/>
      <c r="L59"/>
      <c r="R59"/>
      <c r="S59" s="5"/>
      <c r="U59" s="5"/>
    </row>
    <row r="60" spans="1:21">
      <c r="A60" s="3">
        <v>45628.96166666667</v>
      </c>
      <c r="B60" s="2" t="s">
        <v>26</v>
      </c>
      <c r="C60" s="2" t="s">
        <v>11</v>
      </c>
      <c r="D60" s="6" t="str">
        <f>CONCATENATE(YEAR(A60),"/",IF(MONTH(A60)&lt;10,CONCATENATE("0",MONTH(A60)),MONTH(A60)))</f>
        <v>2024/12</v>
      </c>
      <c r="E60" s="8" t="str">
        <f>IF(IF(D60&lt;&gt;D59,1,IF(OR(B60&lt;&gt;B59,A60-A59&gt;$U$1),1,""))&lt;&gt;1,"",IF(C60="B01",1965,IF(C60="B02",1020,IF(C60="B05",2400,IF(C60="B03",4260,IF(C60="B04",2880,IF(C60="B20",1260,0)))))))</f>
        <v/>
      </c>
      <c r="F60" s="8" t="str">
        <f>IF(IF(D60&lt;&gt;D59,1,IF(OR(B60&lt;&gt;B59,A60-A59&gt;$U$1),1,""))&lt;&gt;1,"",IF(C60="B01",1,IF(C60="B05",1,IF(C60="B03",1,IF(C60="B04",1,IF(C60="B20",1,IF(C60="B02",1,0)))))))</f>
        <v/>
      </c>
      <c r="G60"/>
      <c r="H60" s="2"/>
      <c r="I60" s="2"/>
      <c r="L60"/>
      <c r="R60"/>
      <c r="S60" s="5"/>
      <c r="U60" s="5"/>
    </row>
    <row r="61" spans="1:21">
      <c r="A61" s="3">
        <v>45628.96166666667</v>
      </c>
      <c r="B61" s="2" t="s">
        <v>26</v>
      </c>
      <c r="C61" s="2" t="s">
        <v>11</v>
      </c>
      <c r="D61" s="6" t="str">
        <f>CONCATENATE(YEAR(A61),"/",IF(MONTH(A61)&lt;10,CONCATENATE("0",MONTH(A61)),MONTH(A61)))</f>
        <v>2024/12</v>
      </c>
      <c r="E61" s="8" t="str">
        <f>IF(IF(D61&lt;&gt;D60,1,IF(OR(B61&lt;&gt;B60,A61-A60&gt;$U$1),1,""))&lt;&gt;1,"",IF(C61="B01",1965,IF(C61="B02",1020,IF(C61="B05",2400,IF(C61="B03",4260,IF(C61="B04",2880,IF(C61="B20",1260,0)))))))</f>
        <v/>
      </c>
      <c r="F61" s="8" t="str">
        <f>IF(IF(D61&lt;&gt;D60,1,IF(OR(B61&lt;&gt;B60,A61-A60&gt;$U$1),1,""))&lt;&gt;1,"",IF(C61="B01",1,IF(C61="B05",1,IF(C61="B03",1,IF(C61="B04",1,IF(C61="B20",1,IF(C61="B02",1,0)))))))</f>
        <v/>
      </c>
      <c r="G61"/>
      <c r="H61" s="2"/>
      <c r="I61" s="2"/>
      <c r="L61"/>
      <c r="R61"/>
      <c r="S61" s="5"/>
      <c r="U61" s="5"/>
    </row>
    <row r="62" spans="1:21">
      <c r="A62" s="3">
        <v>45629.077384259261</v>
      </c>
      <c r="B62" s="2" t="s">
        <v>26</v>
      </c>
      <c r="C62" s="2" t="s">
        <v>11</v>
      </c>
      <c r="D62" s="6" t="str">
        <f>CONCATENATE(YEAR(A62),"/",IF(MONTH(A62)&lt;10,CONCATENATE("0",MONTH(A62)),MONTH(A62)))</f>
        <v>2024/12</v>
      </c>
      <c r="E62" s="8">
        <f>IF(IF(D62&lt;&gt;D61,1,IF(OR(B62&lt;&gt;B61,A62-A61&gt;$U$1),1,""))&lt;&gt;1,"",IF(C62="B01",1965,IF(C62="B02",1020,IF(C62="B05",2400,IF(C62="B03",4260,IF(C62="B04",2880,IF(C62="B20",1260,0)))))))</f>
        <v>2400</v>
      </c>
      <c r="F62" s="8">
        <f>IF(IF(D62&lt;&gt;D61,1,IF(OR(B62&lt;&gt;B61,A62-A61&gt;$U$1),1,""))&lt;&gt;1,"",IF(C62="B01",1,IF(C62="B05",1,IF(C62="B03",1,IF(C62="B04",1,IF(C62="B20",1,IF(C62="B02",1,0)))))))</f>
        <v>1</v>
      </c>
      <c r="G62"/>
      <c r="H62" s="2"/>
      <c r="I62" s="2"/>
      <c r="L62"/>
      <c r="R62"/>
      <c r="S62" s="5"/>
      <c r="U62" s="5"/>
    </row>
    <row r="63" spans="1:21">
      <c r="A63" s="3">
        <v>45629.077384259261</v>
      </c>
      <c r="B63" s="2" t="s">
        <v>26</v>
      </c>
      <c r="C63" s="2" t="s">
        <v>11</v>
      </c>
      <c r="D63" s="6" t="str">
        <f>CONCATENATE(YEAR(A63),"/",IF(MONTH(A63)&lt;10,CONCATENATE("0",MONTH(A63)),MONTH(A63)))</f>
        <v>2024/12</v>
      </c>
      <c r="E63" s="8" t="str">
        <f>IF(IF(D63&lt;&gt;D62,1,IF(OR(B63&lt;&gt;B62,A63-A62&gt;$U$1),1,""))&lt;&gt;1,"",IF(C63="B01",1965,IF(C63="B02",1020,IF(C63="B05",2400,IF(C63="B03",4260,IF(C63="B04",2880,IF(C63="B20",1260,0)))))))</f>
        <v/>
      </c>
      <c r="F63" s="8" t="str">
        <f>IF(IF(D63&lt;&gt;D62,1,IF(OR(B63&lt;&gt;B62,A63-A62&gt;$U$1),1,""))&lt;&gt;1,"",IF(C63="B01",1,IF(C63="B05",1,IF(C63="B03",1,IF(C63="B04",1,IF(C63="B20",1,IF(C63="B02",1,0)))))))</f>
        <v/>
      </c>
      <c r="G63"/>
      <c r="H63" s="2"/>
      <c r="I63" s="2"/>
      <c r="L63"/>
      <c r="R63"/>
      <c r="S63" s="5"/>
      <c r="U63" s="5"/>
    </row>
    <row r="64" spans="1:21">
      <c r="A64" s="3">
        <v>45629.077384259261</v>
      </c>
      <c r="B64" s="2" t="s">
        <v>26</v>
      </c>
      <c r="C64" s="2" t="s">
        <v>11</v>
      </c>
      <c r="D64" s="6" t="str">
        <f>CONCATENATE(YEAR(A64),"/",IF(MONTH(A64)&lt;10,CONCATENATE("0",MONTH(A64)),MONTH(A64)))</f>
        <v>2024/12</v>
      </c>
      <c r="E64" s="8" t="str">
        <f>IF(IF(D64&lt;&gt;D63,1,IF(OR(B64&lt;&gt;B63,A64-A63&gt;$U$1),1,""))&lt;&gt;1,"",IF(C64="B01",1965,IF(C64="B02",1020,IF(C64="B05",2400,IF(C64="B03",4260,IF(C64="B04",2880,IF(C64="B20",1260,0)))))))</f>
        <v/>
      </c>
      <c r="F64" s="8" t="str">
        <f>IF(IF(D64&lt;&gt;D63,1,IF(OR(B64&lt;&gt;B63,A64-A63&gt;$U$1),1,""))&lt;&gt;1,"",IF(C64="B01",1,IF(C64="B05",1,IF(C64="B03",1,IF(C64="B04",1,IF(C64="B20",1,IF(C64="B02",1,0)))))))</f>
        <v/>
      </c>
      <c r="G64"/>
      <c r="H64" s="2"/>
      <c r="I64" s="2"/>
      <c r="L64"/>
      <c r="R64"/>
      <c r="S64" s="5"/>
      <c r="U64" s="5"/>
    </row>
    <row r="65" spans="1:21">
      <c r="A65" s="3">
        <v>45629.416770833333</v>
      </c>
      <c r="B65" s="2" t="s">
        <v>26</v>
      </c>
      <c r="C65" s="2" t="s">
        <v>11</v>
      </c>
      <c r="D65" s="6" t="str">
        <f>CONCATENATE(YEAR(A65),"/",IF(MONTH(A65)&lt;10,CONCATENATE("0",MONTH(A65)),MONTH(A65)))</f>
        <v>2024/12</v>
      </c>
      <c r="E65" s="8">
        <f>IF(IF(D65&lt;&gt;D64,1,IF(OR(B65&lt;&gt;B64,A65-A64&gt;$U$1),1,""))&lt;&gt;1,"",IF(C65="B01",1965,IF(C65="B02",1020,IF(C65="B05",2400,IF(C65="B03",4260,IF(C65="B04",2880,IF(C65="B20",1260,0)))))))</f>
        <v>2400</v>
      </c>
      <c r="F65" s="8">
        <f>IF(IF(D65&lt;&gt;D64,1,IF(OR(B65&lt;&gt;B64,A65-A64&gt;$U$1),1,""))&lt;&gt;1,"",IF(C65="B01",1,IF(C65="B05",1,IF(C65="B03",1,IF(C65="B04",1,IF(C65="B20",1,IF(C65="B02",1,0)))))))</f>
        <v>1</v>
      </c>
      <c r="G65"/>
      <c r="H65" s="2"/>
      <c r="I65" s="2"/>
      <c r="L65"/>
      <c r="R65"/>
      <c r="S65" s="5"/>
      <c r="U65" s="5"/>
    </row>
    <row r="66" spans="1:21">
      <c r="A66" s="3">
        <v>45629.416770833333</v>
      </c>
      <c r="B66" s="2" t="s">
        <v>26</v>
      </c>
      <c r="C66" s="2" t="s">
        <v>11</v>
      </c>
      <c r="D66" s="6" t="str">
        <f>CONCATENATE(YEAR(A66),"/",IF(MONTH(A66)&lt;10,CONCATENATE("0",MONTH(A66)),MONTH(A66)))</f>
        <v>2024/12</v>
      </c>
      <c r="E66" s="8" t="str">
        <f>IF(IF(D66&lt;&gt;D65,1,IF(OR(B66&lt;&gt;B65,A66-A65&gt;$U$1),1,""))&lt;&gt;1,"",IF(C66="B01",1965,IF(C66="B02",1020,IF(C66="B05",2400,IF(C66="B03",4260,IF(C66="B04",2880,IF(C66="B20",1260,0)))))))</f>
        <v/>
      </c>
      <c r="F66" s="8" t="str">
        <f>IF(IF(D66&lt;&gt;D65,1,IF(OR(B66&lt;&gt;B65,A66-A65&gt;$U$1),1,""))&lt;&gt;1,"",IF(C66="B01",1,IF(C66="B05",1,IF(C66="B03",1,IF(C66="B04",1,IF(C66="B20",1,IF(C66="B02",1,0)))))))</f>
        <v/>
      </c>
      <c r="G66"/>
      <c r="H66" s="2"/>
      <c r="I66" s="2"/>
      <c r="L66"/>
      <c r="R66"/>
      <c r="S66" s="5"/>
      <c r="U66" s="5"/>
    </row>
    <row r="67" spans="1:21">
      <c r="A67" s="3">
        <v>45629.41678240741</v>
      </c>
      <c r="B67" s="2" t="s">
        <v>26</v>
      </c>
      <c r="C67" s="2" t="s">
        <v>11</v>
      </c>
      <c r="D67" s="6" t="str">
        <f>CONCATENATE(YEAR(A67),"/",IF(MONTH(A67)&lt;10,CONCATENATE("0",MONTH(A67)),MONTH(A67)))</f>
        <v>2024/12</v>
      </c>
      <c r="E67" s="8" t="str">
        <f>IF(IF(D67&lt;&gt;D66,1,IF(OR(B67&lt;&gt;B66,A67-A66&gt;$U$1),1,""))&lt;&gt;1,"",IF(C67="B01",1965,IF(C67="B02",1020,IF(C67="B05",2400,IF(C67="B03",4260,IF(C67="B04",2880,IF(C67="B20",1260,0)))))))</f>
        <v/>
      </c>
      <c r="F67" s="8" t="str">
        <f>IF(IF(D67&lt;&gt;D66,1,IF(OR(B67&lt;&gt;B66,A67-A66&gt;$U$1),1,""))&lt;&gt;1,"",IF(C67="B01",1,IF(C67="B05",1,IF(C67="B03",1,IF(C67="B04",1,IF(C67="B20",1,IF(C67="B02",1,0)))))))</f>
        <v/>
      </c>
      <c r="G67"/>
      <c r="H67" s="2"/>
      <c r="I67" s="2"/>
      <c r="L67"/>
      <c r="R67"/>
      <c r="S67" s="5"/>
      <c r="U67" s="5"/>
    </row>
    <row r="68" spans="1:21">
      <c r="A68" s="3">
        <v>45629.41678240741</v>
      </c>
      <c r="B68" s="2" t="s">
        <v>26</v>
      </c>
      <c r="C68" s="2" t="s">
        <v>11</v>
      </c>
      <c r="D68" s="6" t="str">
        <f>CONCATENATE(YEAR(A68),"/",IF(MONTH(A68)&lt;10,CONCATENATE("0",MONTH(A68)),MONTH(A68)))</f>
        <v>2024/12</v>
      </c>
      <c r="E68" s="8" t="str">
        <f>IF(IF(D68&lt;&gt;D67,1,IF(OR(B68&lt;&gt;B67,A68-A67&gt;$U$1),1,""))&lt;&gt;1,"",IF(C68="B01",1965,IF(C68="B02",1020,IF(C68="B05",2400,IF(C68="B03",4260,IF(C68="B04",2880,IF(C68="B20",1260,0)))))))</f>
        <v/>
      </c>
      <c r="F68" s="8" t="str">
        <f>IF(IF(D68&lt;&gt;D67,1,IF(OR(B68&lt;&gt;B67,A68-A67&gt;$U$1),1,""))&lt;&gt;1,"",IF(C68="B01",1,IF(C68="B05",1,IF(C68="B03",1,IF(C68="B04",1,IF(C68="B20",1,IF(C68="B02",1,0)))))))</f>
        <v/>
      </c>
      <c r="G68"/>
      <c r="H68" s="2"/>
      <c r="I68" s="2"/>
      <c r="L68"/>
      <c r="R68"/>
      <c r="S68" s="5"/>
      <c r="U68" s="5"/>
    </row>
    <row r="69" spans="1:21">
      <c r="A69" s="3">
        <v>45629.731793981482</v>
      </c>
      <c r="B69" s="2" t="s">
        <v>26</v>
      </c>
      <c r="C69" s="2" t="s">
        <v>12</v>
      </c>
      <c r="D69" s="6" t="str">
        <f>CONCATENATE(YEAR(A69),"/",IF(MONTH(A69)&lt;10,CONCATENATE("0",MONTH(A69)),MONTH(A69)))</f>
        <v>2024/12</v>
      </c>
      <c r="E69" s="8">
        <f>IF(IF(D69&lt;&gt;D68,1,IF(OR(B69&lt;&gt;B68,A69-A68&gt;$U$1),1,""))&lt;&gt;1,"",IF(C69="B01",1965,IF(C69="B02",1020,IF(C69="B05",2400,IF(C69="B03",4260,IF(C69="B04",2880,IF(C69="B20",1260,0)))))))</f>
        <v>4260</v>
      </c>
      <c r="F69" s="8">
        <f>IF(IF(D69&lt;&gt;D68,1,IF(OR(B69&lt;&gt;B68,A69-A68&gt;$U$1),1,""))&lt;&gt;1,"",IF(C69="B01",1,IF(C69="B05",1,IF(C69="B03",1,IF(C69="B04",1,IF(C69="B20",1,IF(C69="B02",1,0)))))))</f>
        <v>1</v>
      </c>
      <c r="G69"/>
      <c r="H69" s="2"/>
      <c r="I69" s="2"/>
      <c r="L69"/>
      <c r="R69"/>
      <c r="S69" s="5"/>
      <c r="U69" s="5"/>
    </row>
    <row r="70" spans="1:21">
      <c r="A70" s="3">
        <v>45629.731793981482</v>
      </c>
      <c r="B70" s="2" t="s">
        <v>26</v>
      </c>
      <c r="C70" s="2" t="s">
        <v>12</v>
      </c>
      <c r="D70" s="6" t="str">
        <f>CONCATENATE(YEAR(A70),"/",IF(MONTH(A70)&lt;10,CONCATENATE("0",MONTH(A70)),MONTH(A70)))</f>
        <v>2024/12</v>
      </c>
      <c r="E70" s="8" t="str">
        <f>IF(IF(D70&lt;&gt;D69,1,IF(OR(B70&lt;&gt;B69,A70-A69&gt;$U$1),1,""))&lt;&gt;1,"",IF(C70="B01",1965,IF(C70="B02",1020,IF(C70="B05",2400,IF(C70="B03",4260,IF(C70="B04",2880,IF(C70="B20",1260,0)))))))</f>
        <v/>
      </c>
      <c r="F70" s="8" t="str">
        <f>IF(IF(D70&lt;&gt;D69,1,IF(OR(B70&lt;&gt;B69,A70-A69&gt;$U$1),1,""))&lt;&gt;1,"",IF(C70="B01",1,IF(C70="B05",1,IF(C70="B03",1,IF(C70="B04",1,IF(C70="B20",1,IF(C70="B02",1,0)))))))</f>
        <v/>
      </c>
      <c r="G70"/>
      <c r="H70" s="2"/>
      <c r="I70" s="2"/>
      <c r="L70"/>
      <c r="R70"/>
      <c r="S70" s="5"/>
      <c r="U70" s="5"/>
    </row>
    <row r="71" spans="1:21">
      <c r="A71" s="3">
        <v>45629.975949074076</v>
      </c>
      <c r="B71" s="2" t="s">
        <v>26</v>
      </c>
      <c r="C71" s="2" t="s">
        <v>11</v>
      </c>
      <c r="D71" s="6" t="str">
        <f>CONCATENATE(YEAR(A71),"/",IF(MONTH(A71)&lt;10,CONCATENATE("0",MONTH(A71)),MONTH(A71)))</f>
        <v>2024/12</v>
      </c>
      <c r="E71" s="8">
        <f>IF(IF(D71&lt;&gt;D70,1,IF(OR(B71&lt;&gt;B70,A71-A70&gt;$U$1),1,""))&lt;&gt;1,"",IF(C71="B01",1965,IF(C71="B02",1020,IF(C71="B05",2400,IF(C71="B03",4260,IF(C71="B04",2880,IF(C71="B20",1260,0)))))))</f>
        <v>2400</v>
      </c>
      <c r="F71" s="8">
        <f>IF(IF(D71&lt;&gt;D70,1,IF(OR(B71&lt;&gt;B70,A71-A70&gt;$U$1),1,""))&lt;&gt;1,"",IF(C71="B01",1,IF(C71="B05",1,IF(C71="B03",1,IF(C71="B04",1,IF(C71="B20",1,IF(C71="B02",1,0)))))))</f>
        <v>1</v>
      </c>
      <c r="G71"/>
      <c r="H71" s="2"/>
      <c r="I71" s="2"/>
      <c r="L71"/>
      <c r="R71"/>
      <c r="S71" s="5"/>
      <c r="U71" s="5"/>
    </row>
    <row r="72" spans="1:21">
      <c r="A72" s="3">
        <v>45629.975949074076</v>
      </c>
      <c r="B72" s="2" t="s">
        <v>26</v>
      </c>
      <c r="C72" s="2" t="s">
        <v>11</v>
      </c>
      <c r="D72" s="6" t="str">
        <f>CONCATENATE(YEAR(A72),"/",IF(MONTH(A72)&lt;10,CONCATENATE("0",MONTH(A72)),MONTH(A72)))</f>
        <v>2024/12</v>
      </c>
      <c r="E72" s="8" t="str">
        <f>IF(IF(D72&lt;&gt;D71,1,IF(OR(B72&lt;&gt;B71,A72-A71&gt;$U$1),1,""))&lt;&gt;1,"",IF(C72="B01",1965,IF(C72="B02",1020,IF(C72="B05",2400,IF(C72="B03",4260,IF(C72="B04",2880,IF(C72="B20",1260,0)))))))</f>
        <v/>
      </c>
      <c r="F72" s="8" t="str">
        <f>IF(IF(D72&lt;&gt;D71,1,IF(OR(B72&lt;&gt;B71,A72-A71&gt;$U$1),1,""))&lt;&gt;1,"",IF(C72="B01",1,IF(C72="B05",1,IF(C72="B03",1,IF(C72="B04",1,IF(C72="B20",1,IF(C72="B02",1,0)))))))</f>
        <v/>
      </c>
      <c r="G72"/>
      <c r="H72" s="2"/>
      <c r="I72" s="2"/>
      <c r="L72"/>
      <c r="R72"/>
      <c r="S72" s="5"/>
      <c r="U72" s="5"/>
    </row>
    <row r="73" spans="1:21">
      <c r="A73" s="3">
        <v>45629.975949074076</v>
      </c>
      <c r="B73" s="2" t="s">
        <v>26</v>
      </c>
      <c r="C73" s="2" t="s">
        <v>11</v>
      </c>
      <c r="D73" s="6" t="str">
        <f>CONCATENATE(YEAR(A73),"/",IF(MONTH(A73)&lt;10,CONCATENATE("0",MONTH(A73)),MONTH(A73)))</f>
        <v>2024/12</v>
      </c>
      <c r="E73" s="8" t="str">
        <f>IF(IF(D73&lt;&gt;D72,1,IF(OR(B73&lt;&gt;B72,A73-A72&gt;$U$1),1,""))&lt;&gt;1,"",IF(C73="B01",1965,IF(C73="B02",1020,IF(C73="B05",2400,IF(C73="B03",4260,IF(C73="B04",2880,IF(C73="B20",1260,0)))))))</f>
        <v/>
      </c>
      <c r="F73" s="8" t="str">
        <f>IF(IF(D73&lt;&gt;D72,1,IF(OR(B73&lt;&gt;B72,A73-A72&gt;$U$1),1,""))&lt;&gt;1,"",IF(C73="B01",1,IF(C73="B05",1,IF(C73="B03",1,IF(C73="B04",1,IF(C73="B20",1,IF(C73="B02",1,0)))))))</f>
        <v/>
      </c>
      <c r="G73"/>
      <c r="H73" s="2"/>
      <c r="I73" s="2"/>
      <c r="L73"/>
      <c r="R73"/>
      <c r="S73" s="5"/>
      <c r="U73" s="5"/>
    </row>
    <row r="74" spans="1:21">
      <c r="A74" s="3">
        <v>45630.194305555553</v>
      </c>
      <c r="B74" s="2" t="s">
        <v>26</v>
      </c>
      <c r="C74" s="2" t="s">
        <v>11</v>
      </c>
      <c r="D74" s="6" t="str">
        <f>CONCATENATE(YEAR(A74),"/",IF(MONTH(A74)&lt;10,CONCATENATE("0",MONTH(A74)),MONTH(A74)))</f>
        <v>2024/12</v>
      </c>
      <c r="E74" s="8">
        <f>IF(IF(D74&lt;&gt;D73,1,IF(OR(B74&lt;&gt;B73,A74-A73&gt;$U$1),1,""))&lt;&gt;1,"",IF(C74="B01",1965,IF(C74="B02",1020,IF(C74="B05",2400,IF(C74="B03",4260,IF(C74="B04",2880,IF(C74="B20",1260,0)))))))</f>
        <v>2400</v>
      </c>
      <c r="F74" s="8">
        <f>IF(IF(D74&lt;&gt;D73,1,IF(OR(B74&lt;&gt;B73,A74-A73&gt;$U$1),1,""))&lt;&gt;1,"",IF(C74="B01",1,IF(C74="B05",1,IF(C74="B03",1,IF(C74="B04",1,IF(C74="B20",1,IF(C74="B02",1,0)))))))</f>
        <v>1</v>
      </c>
      <c r="G74"/>
      <c r="H74" s="2"/>
      <c r="I74" s="2"/>
      <c r="L74"/>
      <c r="R74"/>
      <c r="S74" s="5"/>
      <c r="U74" s="5"/>
    </row>
    <row r="75" spans="1:21">
      <c r="A75" s="3">
        <v>45630.194305555553</v>
      </c>
      <c r="B75" s="2" t="s">
        <v>26</v>
      </c>
      <c r="C75" s="2" t="s">
        <v>11</v>
      </c>
      <c r="D75" s="6" t="str">
        <f>CONCATENATE(YEAR(A75),"/",IF(MONTH(A75)&lt;10,CONCATENATE("0",MONTH(A75)),MONTH(A75)))</f>
        <v>2024/12</v>
      </c>
      <c r="E75" s="8" t="str">
        <f>IF(IF(D75&lt;&gt;D74,1,IF(OR(B75&lt;&gt;B74,A75-A74&gt;$U$1),1,""))&lt;&gt;1,"",IF(C75="B01",1965,IF(C75="B02",1020,IF(C75="B05",2400,IF(C75="B03",4260,IF(C75="B04",2880,IF(C75="B20",1260,0)))))))</f>
        <v/>
      </c>
      <c r="F75" s="8" t="str">
        <f>IF(IF(D75&lt;&gt;D74,1,IF(OR(B75&lt;&gt;B74,A75-A74&gt;$U$1),1,""))&lt;&gt;1,"",IF(C75="B01",1,IF(C75="B05",1,IF(C75="B03",1,IF(C75="B04",1,IF(C75="B20",1,IF(C75="B02",1,0)))))))</f>
        <v/>
      </c>
      <c r="G75"/>
      <c r="H75" s="2"/>
      <c r="I75" s="2"/>
      <c r="L75"/>
      <c r="R75"/>
      <c r="S75" s="5"/>
      <c r="U75" s="5"/>
    </row>
    <row r="76" spans="1:21">
      <c r="A76" s="3">
        <v>45630.19431712963</v>
      </c>
      <c r="B76" s="2" t="s">
        <v>26</v>
      </c>
      <c r="C76" s="2" t="s">
        <v>11</v>
      </c>
      <c r="D76" s="6" t="str">
        <f>CONCATENATE(YEAR(A76),"/",IF(MONTH(A76)&lt;10,CONCATENATE("0",MONTH(A76)),MONTH(A76)))</f>
        <v>2024/12</v>
      </c>
      <c r="E76" s="8" t="str">
        <f>IF(IF(D76&lt;&gt;D75,1,IF(OR(B76&lt;&gt;B75,A76-A75&gt;$U$1),1,""))&lt;&gt;1,"",IF(C76="B01",1965,IF(C76="B02",1020,IF(C76="B05",2400,IF(C76="B03",4260,IF(C76="B04",2880,IF(C76="B20",1260,0)))))))</f>
        <v/>
      </c>
      <c r="F76" s="8" t="str">
        <f>IF(IF(D76&lt;&gt;D75,1,IF(OR(B76&lt;&gt;B75,A76-A75&gt;$U$1),1,""))&lt;&gt;1,"",IF(C76="B01",1,IF(C76="B05",1,IF(C76="B03",1,IF(C76="B04",1,IF(C76="B20",1,IF(C76="B02",1,0)))))))</f>
        <v/>
      </c>
      <c r="G76"/>
      <c r="H76" s="2"/>
      <c r="I76" s="2"/>
      <c r="L76"/>
      <c r="R76"/>
      <c r="S76" s="5"/>
      <c r="U76" s="5"/>
    </row>
    <row r="77" spans="1:21">
      <c r="A77" s="3">
        <v>45630.42260416667</v>
      </c>
      <c r="B77" s="2" t="s">
        <v>26</v>
      </c>
      <c r="C77" s="2" t="s">
        <v>11</v>
      </c>
      <c r="D77" s="6" t="str">
        <f>CONCATENATE(YEAR(A77),"/",IF(MONTH(A77)&lt;10,CONCATENATE("0",MONTH(A77)),MONTH(A77)))</f>
        <v>2024/12</v>
      </c>
      <c r="E77" s="8">
        <f>IF(IF(D77&lt;&gt;D76,1,IF(OR(B77&lt;&gt;B76,A77-A76&gt;$U$1),1,""))&lt;&gt;1,"",IF(C77="B01",1965,IF(C77="B02",1020,IF(C77="B05",2400,IF(C77="B03",4260,IF(C77="B04",2880,IF(C77="B20",1260,0)))))))</f>
        <v>2400</v>
      </c>
      <c r="F77" s="8">
        <f>IF(IF(D77&lt;&gt;D76,1,IF(OR(B77&lt;&gt;B76,A77-A76&gt;$U$1),1,""))&lt;&gt;1,"",IF(C77="B01",1,IF(C77="B05",1,IF(C77="B03",1,IF(C77="B04",1,IF(C77="B20",1,IF(C77="B02",1,0)))))))</f>
        <v>1</v>
      </c>
      <c r="G77"/>
      <c r="H77" s="2"/>
      <c r="I77" s="2"/>
      <c r="L77"/>
      <c r="R77"/>
      <c r="S77" s="5"/>
      <c r="U77" s="5"/>
    </row>
    <row r="78" spans="1:21">
      <c r="A78" s="3">
        <v>45630.42260416667</v>
      </c>
      <c r="B78" s="2" t="s">
        <v>26</v>
      </c>
      <c r="C78" s="2" t="s">
        <v>11</v>
      </c>
      <c r="D78" s="6" t="str">
        <f>CONCATENATE(YEAR(A78),"/",IF(MONTH(A78)&lt;10,CONCATENATE("0",MONTH(A78)),MONTH(A78)))</f>
        <v>2024/12</v>
      </c>
      <c r="E78" s="8" t="str">
        <f>IF(IF(D78&lt;&gt;D77,1,IF(OR(B78&lt;&gt;B77,A78-A77&gt;$U$1),1,""))&lt;&gt;1,"",IF(C78="B01",1965,IF(C78="B02",1020,IF(C78="B05",2400,IF(C78="B03",4260,IF(C78="B04",2880,IF(C78="B20",1260,0)))))))</f>
        <v/>
      </c>
      <c r="F78" s="8" t="str">
        <f>IF(IF(D78&lt;&gt;D77,1,IF(OR(B78&lt;&gt;B77,A78-A77&gt;$U$1),1,""))&lt;&gt;1,"",IF(C78="B01",1,IF(C78="B05",1,IF(C78="B03",1,IF(C78="B04",1,IF(C78="B20",1,IF(C78="B02",1,0)))))))</f>
        <v/>
      </c>
      <c r="G78"/>
      <c r="H78" s="2"/>
      <c r="I78" s="2"/>
      <c r="L78"/>
      <c r="R78"/>
      <c r="S78" s="5"/>
      <c r="U78" s="5"/>
    </row>
    <row r="79" spans="1:21">
      <c r="A79" s="3">
        <v>45630.42260416667</v>
      </c>
      <c r="B79" s="2" t="s">
        <v>26</v>
      </c>
      <c r="C79" s="2" t="s">
        <v>11</v>
      </c>
      <c r="D79" s="6" t="str">
        <f>CONCATENATE(YEAR(A79),"/",IF(MONTH(A79)&lt;10,CONCATENATE("0",MONTH(A79)),MONTH(A79)))</f>
        <v>2024/12</v>
      </c>
      <c r="E79" s="8" t="str">
        <f>IF(IF(D79&lt;&gt;D78,1,IF(OR(B79&lt;&gt;B78,A79-A78&gt;$U$1),1,""))&lt;&gt;1,"",IF(C79="B01",1965,IF(C79="B02",1020,IF(C79="B05",2400,IF(C79="B03",4260,IF(C79="B04",2880,IF(C79="B20",1260,0)))))))</f>
        <v/>
      </c>
      <c r="F79" s="8" t="str">
        <f>IF(IF(D79&lt;&gt;D78,1,IF(OR(B79&lt;&gt;B78,A79-A78&gt;$U$1),1,""))&lt;&gt;1,"",IF(C79="B01",1,IF(C79="B05",1,IF(C79="B03",1,IF(C79="B04",1,IF(C79="B20",1,IF(C79="B02",1,0)))))))</f>
        <v/>
      </c>
      <c r="G79"/>
      <c r="H79" s="2"/>
      <c r="I79" s="2"/>
      <c r="L79"/>
      <c r="R79"/>
      <c r="S79" s="5"/>
      <c r="U79" s="5"/>
    </row>
    <row r="80" spans="1:21">
      <c r="A80" s="3">
        <v>45630.678576388891</v>
      </c>
      <c r="B80" s="2" t="s">
        <v>26</v>
      </c>
      <c r="C80" s="2" t="s">
        <v>12</v>
      </c>
      <c r="D80" s="6" t="str">
        <f>CONCATENATE(YEAR(A80),"/",IF(MONTH(A80)&lt;10,CONCATENATE("0",MONTH(A80)),MONTH(A80)))</f>
        <v>2024/12</v>
      </c>
      <c r="E80" s="8">
        <f>IF(IF(D80&lt;&gt;D79,1,IF(OR(B80&lt;&gt;B79,A80-A79&gt;$U$1),1,""))&lt;&gt;1,"",IF(C80="B01",1965,IF(C80="B02",1020,IF(C80="B05",2400,IF(C80="B03",4260,IF(C80="B04",2880,IF(C80="B20",1260,0)))))))</f>
        <v>4260</v>
      </c>
      <c r="F80" s="8">
        <f>IF(IF(D80&lt;&gt;D79,1,IF(OR(B80&lt;&gt;B79,A80-A79&gt;$U$1),1,""))&lt;&gt;1,"",IF(C80="B01",1,IF(C80="B05",1,IF(C80="B03",1,IF(C80="B04",1,IF(C80="B20",1,IF(C80="B02",1,0)))))))</f>
        <v>1</v>
      </c>
      <c r="G80"/>
      <c r="H80" s="2"/>
      <c r="I80" s="2"/>
      <c r="L80"/>
      <c r="R80"/>
      <c r="S80" s="5"/>
      <c r="U80" s="5"/>
    </row>
    <row r="81" spans="1:21">
      <c r="A81" s="3">
        <v>45630.678576388891</v>
      </c>
      <c r="B81" s="2" t="s">
        <v>26</v>
      </c>
      <c r="C81" s="2" t="s">
        <v>12</v>
      </c>
      <c r="D81" s="6" t="str">
        <f>CONCATENATE(YEAR(A81),"/",IF(MONTH(A81)&lt;10,CONCATENATE("0",MONTH(A81)),MONTH(A81)))</f>
        <v>2024/12</v>
      </c>
      <c r="E81" s="8" t="str">
        <f>IF(IF(D81&lt;&gt;D80,1,IF(OR(B81&lt;&gt;B80,A81-A80&gt;$U$1),1,""))&lt;&gt;1,"",IF(C81="B01",1965,IF(C81="B02",1020,IF(C81="B05",2400,IF(C81="B03",4260,IF(C81="B04",2880,IF(C81="B20",1260,0)))))))</f>
        <v/>
      </c>
      <c r="F81" s="8" t="str">
        <f>IF(IF(D81&lt;&gt;D80,1,IF(OR(B81&lt;&gt;B80,A81-A80&gt;$U$1),1,""))&lt;&gt;1,"",IF(C81="B01",1,IF(C81="B05",1,IF(C81="B03",1,IF(C81="B04",1,IF(C81="B20",1,IF(C81="B02",1,0)))))))</f>
        <v/>
      </c>
      <c r="G81"/>
      <c r="H81" s="2"/>
      <c r="I81" s="2"/>
      <c r="L81"/>
      <c r="R81"/>
      <c r="S81" s="5"/>
      <c r="U81" s="5"/>
    </row>
    <row r="82" spans="1:21">
      <c r="A82" s="3">
        <v>45631.055902777778</v>
      </c>
      <c r="B82" s="2" t="s">
        <v>26</v>
      </c>
      <c r="C82" s="2" t="s">
        <v>11</v>
      </c>
      <c r="D82" s="6" t="str">
        <f>CONCATENATE(YEAR(A82),"/",IF(MONTH(A82)&lt;10,CONCATENATE("0",MONTH(A82)),MONTH(A82)))</f>
        <v>2024/12</v>
      </c>
      <c r="E82" s="8">
        <f>IF(IF(D82&lt;&gt;D81,1,IF(OR(B82&lt;&gt;B81,A82-A81&gt;$U$1),1,""))&lt;&gt;1,"",IF(C82="B01",1965,IF(C82="B02",1020,IF(C82="B05",2400,IF(C82="B03",4260,IF(C82="B04",2880,IF(C82="B20",1260,0)))))))</f>
        <v>2400</v>
      </c>
      <c r="F82" s="8">
        <f>IF(IF(D82&lt;&gt;D81,1,IF(OR(B82&lt;&gt;B81,A82-A81&gt;$U$1),1,""))&lt;&gt;1,"",IF(C82="B01",1,IF(C82="B05",1,IF(C82="B03",1,IF(C82="B04",1,IF(C82="B20",1,IF(C82="B02",1,0)))))))</f>
        <v>1</v>
      </c>
      <c r="G82"/>
      <c r="H82" s="2"/>
      <c r="I82" s="2"/>
      <c r="L82"/>
      <c r="R82"/>
      <c r="S82" s="5"/>
      <c r="U82" s="5"/>
    </row>
    <row r="83" spans="1:21">
      <c r="A83" s="3">
        <v>45631.055902777778</v>
      </c>
      <c r="B83" s="2" t="s">
        <v>26</v>
      </c>
      <c r="C83" s="2" t="s">
        <v>11</v>
      </c>
      <c r="D83" s="6" t="str">
        <f>CONCATENATE(YEAR(A83),"/",IF(MONTH(A83)&lt;10,CONCATENATE("0",MONTH(A83)),MONTH(A83)))</f>
        <v>2024/12</v>
      </c>
      <c r="E83" s="8" t="str">
        <f>IF(IF(D83&lt;&gt;D82,1,IF(OR(B83&lt;&gt;B82,A83-A82&gt;$U$1),1,""))&lt;&gt;1,"",IF(C83="B01",1965,IF(C83="B02",1020,IF(C83="B05",2400,IF(C83="B03",4260,IF(C83="B04",2880,IF(C83="B20",1260,0)))))))</f>
        <v/>
      </c>
      <c r="F83" s="8" t="str">
        <f>IF(IF(D83&lt;&gt;D82,1,IF(OR(B83&lt;&gt;B82,A83-A82&gt;$U$1),1,""))&lt;&gt;1,"",IF(C83="B01",1,IF(C83="B05",1,IF(C83="B03",1,IF(C83="B04",1,IF(C83="B20",1,IF(C83="B02",1,0)))))))</f>
        <v/>
      </c>
      <c r="G83"/>
      <c r="H83" s="2"/>
      <c r="I83" s="2"/>
      <c r="L83"/>
      <c r="R83"/>
      <c r="S83" s="5"/>
      <c r="U83" s="5"/>
    </row>
    <row r="84" spans="1:21">
      <c r="A84" s="3">
        <v>45631.055902777778</v>
      </c>
      <c r="B84" s="2" t="s">
        <v>26</v>
      </c>
      <c r="C84" s="2" t="s">
        <v>11</v>
      </c>
      <c r="D84" s="6" t="str">
        <f>CONCATENATE(YEAR(A84),"/",IF(MONTH(A84)&lt;10,CONCATENATE("0",MONTH(A84)),MONTH(A84)))</f>
        <v>2024/12</v>
      </c>
      <c r="E84" s="8" t="str">
        <f>IF(IF(D84&lt;&gt;D83,1,IF(OR(B84&lt;&gt;B83,A84-A83&gt;$U$1),1,""))&lt;&gt;1,"",IF(C84="B01",1965,IF(C84="B02",1020,IF(C84="B05",2400,IF(C84="B03",4260,IF(C84="B04",2880,IF(C84="B20",1260,0)))))))</f>
        <v/>
      </c>
      <c r="F84" s="8" t="str">
        <f>IF(IF(D84&lt;&gt;D83,1,IF(OR(B84&lt;&gt;B83,A84-A83&gt;$U$1),1,""))&lt;&gt;1,"",IF(C84="B01",1,IF(C84="B05",1,IF(C84="B03",1,IF(C84="B04",1,IF(C84="B20",1,IF(C84="B02",1,0)))))))</f>
        <v/>
      </c>
      <c r="G84"/>
      <c r="H84" s="2"/>
      <c r="I84" s="2"/>
      <c r="L84"/>
      <c r="R84"/>
      <c r="S84" s="5"/>
      <c r="U84" s="5"/>
    </row>
    <row r="85" spans="1:21">
      <c r="A85" s="3">
        <v>45631.244201388887</v>
      </c>
      <c r="B85" s="2" t="s">
        <v>26</v>
      </c>
      <c r="C85" s="2" t="s">
        <v>11</v>
      </c>
      <c r="D85" s="6" t="str">
        <f>CONCATENATE(YEAR(A85),"/",IF(MONTH(A85)&lt;10,CONCATENATE("0",MONTH(A85)),MONTH(A85)))</f>
        <v>2024/12</v>
      </c>
      <c r="E85" s="8">
        <f>IF(IF(D85&lt;&gt;D84,1,IF(OR(B85&lt;&gt;B84,A85-A84&gt;$U$1),1,""))&lt;&gt;1,"",IF(C85="B01",1965,IF(C85="B02",1020,IF(C85="B05",2400,IF(C85="B03",4260,IF(C85="B04",2880,IF(C85="B20",1260,0)))))))</f>
        <v>2400</v>
      </c>
      <c r="F85" s="8">
        <f>IF(IF(D85&lt;&gt;D84,1,IF(OR(B85&lt;&gt;B84,A85-A84&gt;$U$1),1,""))&lt;&gt;1,"",IF(C85="B01",1,IF(C85="B05",1,IF(C85="B03",1,IF(C85="B04",1,IF(C85="B20",1,IF(C85="B02",1,0)))))))</f>
        <v>1</v>
      </c>
      <c r="G85"/>
      <c r="H85" s="2"/>
      <c r="I85" s="2"/>
      <c r="L85"/>
      <c r="R85"/>
      <c r="S85" s="5"/>
      <c r="U85" s="5"/>
    </row>
    <row r="86" spans="1:21">
      <c r="A86" s="3">
        <v>45631.244201388887</v>
      </c>
      <c r="B86" s="2" t="s">
        <v>26</v>
      </c>
      <c r="C86" s="2" t="s">
        <v>11</v>
      </c>
      <c r="D86" s="6" t="str">
        <f>CONCATENATE(YEAR(A86),"/",IF(MONTH(A86)&lt;10,CONCATENATE("0",MONTH(A86)),MONTH(A86)))</f>
        <v>2024/12</v>
      </c>
      <c r="E86" s="8" t="str">
        <f>IF(IF(D86&lt;&gt;D85,1,IF(OR(B86&lt;&gt;B85,A86-A85&gt;$U$1),1,""))&lt;&gt;1,"",IF(C86="B01",1965,IF(C86="B02",1020,IF(C86="B05",2400,IF(C86="B03",4260,IF(C86="B04",2880,IF(C86="B20",1260,0)))))))</f>
        <v/>
      </c>
      <c r="F86" s="8" t="str">
        <f>IF(IF(D86&lt;&gt;D85,1,IF(OR(B86&lt;&gt;B85,A86-A85&gt;$U$1),1,""))&lt;&gt;1,"",IF(C86="B01",1,IF(C86="B05",1,IF(C86="B03",1,IF(C86="B04",1,IF(C86="B20",1,IF(C86="B02",1,0)))))))</f>
        <v/>
      </c>
      <c r="G86"/>
      <c r="H86" s="2"/>
      <c r="I86" s="2"/>
      <c r="L86"/>
      <c r="R86"/>
      <c r="S86" s="5"/>
      <c r="U86" s="5"/>
    </row>
    <row r="87" spans="1:21">
      <c r="A87" s="3">
        <v>45631.605347222219</v>
      </c>
      <c r="B87" s="2" t="s">
        <v>26</v>
      </c>
      <c r="C87" s="2" t="s">
        <v>11</v>
      </c>
      <c r="D87" s="6" t="str">
        <f>CONCATENATE(YEAR(A87),"/",IF(MONTH(A87)&lt;10,CONCATENATE("0",MONTH(A87)),MONTH(A87)))</f>
        <v>2024/12</v>
      </c>
      <c r="E87" s="8">
        <f>IF(IF(D87&lt;&gt;D86,1,IF(OR(B87&lt;&gt;B86,A87-A86&gt;$U$1),1,""))&lt;&gt;1,"",IF(C87="B01",1965,IF(C87="B02",1020,IF(C87="B05",2400,IF(C87="B03",4260,IF(C87="B04",2880,IF(C87="B20",1260,0)))))))</f>
        <v>2400</v>
      </c>
      <c r="F87" s="8">
        <f>IF(IF(D87&lt;&gt;D86,1,IF(OR(B87&lt;&gt;B86,A87-A86&gt;$U$1),1,""))&lt;&gt;1,"",IF(C87="B01",1,IF(C87="B05",1,IF(C87="B03",1,IF(C87="B04",1,IF(C87="B20",1,IF(C87="B02",1,0)))))))</f>
        <v>1</v>
      </c>
      <c r="G87"/>
      <c r="H87" s="2"/>
      <c r="I87" s="2"/>
      <c r="L87"/>
      <c r="R87"/>
      <c r="S87" s="5"/>
      <c r="U87" s="5"/>
    </row>
    <row r="88" spans="1:21">
      <c r="A88" s="3">
        <v>45631.605347222219</v>
      </c>
      <c r="B88" s="2" t="s">
        <v>26</v>
      </c>
      <c r="C88" s="2" t="s">
        <v>11</v>
      </c>
      <c r="D88" s="6" t="str">
        <f>CONCATENATE(YEAR(A88),"/",IF(MONTH(A88)&lt;10,CONCATENATE("0",MONTH(A88)),MONTH(A88)))</f>
        <v>2024/12</v>
      </c>
      <c r="E88" s="8" t="str">
        <f>IF(IF(D88&lt;&gt;D87,1,IF(OR(B88&lt;&gt;B87,A88-A87&gt;$U$1),1,""))&lt;&gt;1,"",IF(C88="B01",1965,IF(C88="B02",1020,IF(C88="B05",2400,IF(C88="B03",4260,IF(C88="B04",2880,IF(C88="B20",1260,0)))))))</f>
        <v/>
      </c>
      <c r="F88" s="8" t="str">
        <f>IF(IF(D88&lt;&gt;D87,1,IF(OR(B88&lt;&gt;B87,A88-A87&gt;$U$1),1,""))&lt;&gt;1,"",IF(C88="B01",1,IF(C88="B05",1,IF(C88="B03",1,IF(C88="B04",1,IF(C88="B20",1,IF(C88="B02",1,0)))))))</f>
        <v/>
      </c>
      <c r="G88"/>
      <c r="H88" s="2"/>
      <c r="I88" s="2"/>
      <c r="L88"/>
      <c r="R88"/>
      <c r="S88" s="5"/>
      <c r="U88" s="5"/>
    </row>
    <row r="89" spans="1:21">
      <c r="A89" s="3">
        <v>45631.605347222219</v>
      </c>
      <c r="B89" s="2" t="s">
        <v>26</v>
      </c>
      <c r="C89" s="2" t="s">
        <v>11</v>
      </c>
      <c r="D89" s="6" t="str">
        <f>CONCATENATE(YEAR(A89),"/",IF(MONTH(A89)&lt;10,CONCATENATE("0",MONTH(A89)),MONTH(A89)))</f>
        <v>2024/12</v>
      </c>
      <c r="E89" s="8" t="str">
        <f>IF(IF(D89&lt;&gt;D88,1,IF(OR(B89&lt;&gt;B88,A89-A88&gt;$U$1),1,""))&lt;&gt;1,"",IF(C89="B01",1965,IF(C89="B02",1020,IF(C89="B05",2400,IF(C89="B03",4260,IF(C89="B04",2880,IF(C89="B20",1260,0)))))))</f>
        <v/>
      </c>
      <c r="F89" s="8" t="str">
        <f>IF(IF(D89&lt;&gt;D88,1,IF(OR(B89&lt;&gt;B88,A89-A88&gt;$U$1),1,""))&lt;&gt;1,"",IF(C89="B01",1,IF(C89="B05",1,IF(C89="B03",1,IF(C89="B04",1,IF(C89="B20",1,IF(C89="B02",1,0)))))))</f>
        <v/>
      </c>
      <c r="G89"/>
      <c r="H89" s="2"/>
      <c r="I89" s="2"/>
      <c r="L89"/>
      <c r="R89"/>
      <c r="S89" s="5"/>
      <c r="U89" s="5"/>
    </row>
    <row r="90" spans="1:21">
      <c r="A90" s="3">
        <v>45631.833009259259</v>
      </c>
      <c r="B90" s="2" t="s">
        <v>26</v>
      </c>
      <c r="C90" s="2" t="s">
        <v>11</v>
      </c>
      <c r="D90" s="6" t="str">
        <f>CONCATENATE(YEAR(A90),"/",IF(MONTH(A90)&lt;10,CONCATENATE("0",MONTH(A90)),MONTH(A90)))</f>
        <v>2024/12</v>
      </c>
      <c r="E90" s="8">
        <f>IF(IF(D90&lt;&gt;D89,1,IF(OR(B90&lt;&gt;B89,A90-A89&gt;$U$1),1,""))&lt;&gt;1,"",IF(C90="B01",1965,IF(C90="B02",1020,IF(C90="B05",2400,IF(C90="B03",4260,IF(C90="B04",2880,IF(C90="B20",1260,0)))))))</f>
        <v>2400</v>
      </c>
      <c r="F90" s="8">
        <f>IF(IF(D90&lt;&gt;D89,1,IF(OR(B90&lt;&gt;B89,A90-A89&gt;$U$1),1,""))&lt;&gt;1,"",IF(C90="B01",1,IF(C90="B05",1,IF(C90="B03",1,IF(C90="B04",1,IF(C90="B20",1,IF(C90="B02",1,0)))))))</f>
        <v>1</v>
      </c>
      <c r="G90"/>
      <c r="H90" s="2"/>
      <c r="I90" s="2"/>
      <c r="L90"/>
      <c r="R90"/>
      <c r="S90" s="5"/>
      <c r="U90" s="5"/>
    </row>
    <row r="91" spans="1:21">
      <c r="A91" s="3">
        <v>45631.833009259259</v>
      </c>
      <c r="B91" s="2" t="s">
        <v>26</v>
      </c>
      <c r="C91" s="2" t="s">
        <v>11</v>
      </c>
      <c r="D91" s="6" t="str">
        <f>CONCATENATE(YEAR(A91),"/",IF(MONTH(A91)&lt;10,CONCATENATE("0",MONTH(A91)),MONTH(A91)))</f>
        <v>2024/12</v>
      </c>
      <c r="E91" s="8" t="str">
        <f>IF(IF(D91&lt;&gt;D90,1,IF(OR(B91&lt;&gt;B90,A91-A90&gt;$U$1),1,""))&lt;&gt;1,"",IF(C91="B01",1965,IF(C91="B02",1020,IF(C91="B05",2400,IF(C91="B03",4260,IF(C91="B04",2880,IF(C91="B20",1260,0)))))))</f>
        <v/>
      </c>
      <c r="F91" s="8" t="str">
        <f>IF(IF(D91&lt;&gt;D90,1,IF(OR(B91&lt;&gt;B90,A91-A90&gt;$U$1),1,""))&lt;&gt;1,"",IF(C91="B01",1,IF(C91="B05",1,IF(C91="B03",1,IF(C91="B04",1,IF(C91="B20",1,IF(C91="B02",1,0)))))))</f>
        <v/>
      </c>
      <c r="G91"/>
      <c r="H91" s="2"/>
      <c r="I91" s="2"/>
      <c r="L91"/>
      <c r="R91"/>
      <c r="S91" s="5"/>
      <c r="U91" s="5"/>
    </row>
    <row r="92" spans="1:21">
      <c r="A92" s="3">
        <v>45632.03125</v>
      </c>
      <c r="B92" s="2" t="s">
        <v>26</v>
      </c>
      <c r="C92" s="2" t="s">
        <v>11</v>
      </c>
      <c r="D92" s="6" t="str">
        <f>CONCATENATE(YEAR(A92),"/",IF(MONTH(A92)&lt;10,CONCATENATE("0",MONTH(A92)),MONTH(A92)))</f>
        <v>2024/12</v>
      </c>
      <c r="E92" s="8">
        <f>IF(IF(D92&lt;&gt;D91,1,IF(OR(B92&lt;&gt;B91,A92-A91&gt;$U$1),1,""))&lt;&gt;1,"",IF(C92="B01",1965,IF(C92="B02",1020,IF(C92="B05",2400,IF(C92="B03",4260,IF(C92="B04",2880,IF(C92="B20",1260,0)))))))</f>
        <v>2400</v>
      </c>
      <c r="F92" s="8">
        <f>IF(IF(D92&lt;&gt;D91,1,IF(OR(B92&lt;&gt;B91,A92-A91&gt;$U$1),1,""))&lt;&gt;1,"",IF(C92="B01",1,IF(C92="B05",1,IF(C92="B03",1,IF(C92="B04",1,IF(C92="B20",1,IF(C92="B02",1,0)))))))</f>
        <v>1</v>
      </c>
      <c r="G92"/>
      <c r="H92" s="2"/>
      <c r="I92" s="2"/>
      <c r="L92"/>
      <c r="R92"/>
      <c r="S92" s="5"/>
      <c r="U92" s="5"/>
    </row>
    <row r="93" spans="1:21">
      <c r="A93" s="3">
        <v>45632.03125</v>
      </c>
      <c r="B93" s="2" t="s">
        <v>26</v>
      </c>
      <c r="C93" s="2" t="s">
        <v>11</v>
      </c>
      <c r="D93" s="6" t="str">
        <f>CONCATENATE(YEAR(A93),"/",IF(MONTH(A93)&lt;10,CONCATENATE("0",MONTH(A93)),MONTH(A93)))</f>
        <v>2024/12</v>
      </c>
      <c r="E93" s="8" t="str">
        <f>IF(IF(D93&lt;&gt;D92,1,IF(OR(B93&lt;&gt;B92,A93-A92&gt;$U$1),1,""))&lt;&gt;1,"",IF(C93="B01",1965,IF(C93="B02",1020,IF(C93="B05",2400,IF(C93="B03",4260,IF(C93="B04",2880,IF(C93="B20",1260,0)))))))</f>
        <v/>
      </c>
      <c r="F93" s="8" t="str">
        <f>IF(IF(D93&lt;&gt;D92,1,IF(OR(B93&lt;&gt;B92,A93-A92&gt;$U$1),1,""))&lt;&gt;1,"",IF(C93="B01",1,IF(C93="B05",1,IF(C93="B03",1,IF(C93="B04",1,IF(C93="B20",1,IF(C93="B02",1,0)))))))</f>
        <v/>
      </c>
      <c r="G93"/>
      <c r="H93" s="2"/>
      <c r="I93" s="2"/>
      <c r="L93"/>
      <c r="R93"/>
      <c r="S93" s="5"/>
      <c r="U93" s="5"/>
    </row>
    <row r="94" spans="1:21">
      <c r="A94" s="3">
        <v>45632.03125</v>
      </c>
      <c r="B94" s="2" t="s">
        <v>26</v>
      </c>
      <c r="C94" s="2" t="s">
        <v>11</v>
      </c>
      <c r="D94" s="6" t="str">
        <f>CONCATENATE(YEAR(A94),"/",IF(MONTH(A94)&lt;10,CONCATENATE("0",MONTH(A94)),MONTH(A94)))</f>
        <v>2024/12</v>
      </c>
      <c r="E94" s="8" t="str">
        <f>IF(IF(D94&lt;&gt;D93,1,IF(OR(B94&lt;&gt;B93,A94-A93&gt;$U$1),1,""))&lt;&gt;1,"",IF(C94="B01",1965,IF(C94="B02",1020,IF(C94="B05",2400,IF(C94="B03",4260,IF(C94="B04",2880,IF(C94="B20",1260,0)))))))</f>
        <v/>
      </c>
      <c r="F94" s="8" t="str">
        <f>IF(IF(D94&lt;&gt;D93,1,IF(OR(B94&lt;&gt;B93,A94-A93&gt;$U$1),1,""))&lt;&gt;1,"",IF(C94="B01",1,IF(C94="B05",1,IF(C94="B03",1,IF(C94="B04",1,IF(C94="B20",1,IF(C94="B02",1,0)))))))</f>
        <v/>
      </c>
      <c r="G94"/>
      <c r="H94" s="2"/>
      <c r="I94" s="2"/>
      <c r="L94"/>
      <c r="R94"/>
      <c r="S94" s="5"/>
      <c r="U94" s="5"/>
    </row>
    <row r="95" spans="1:21">
      <c r="A95" s="3">
        <v>45637.614803240744</v>
      </c>
      <c r="B95" s="2" t="s">
        <v>26</v>
      </c>
      <c r="C95" s="2" t="s">
        <v>11</v>
      </c>
      <c r="D95" s="6" t="str">
        <f>CONCATENATE(YEAR(A95),"/",IF(MONTH(A95)&lt;10,CONCATENATE("0",MONTH(A95)),MONTH(A95)))</f>
        <v>2024/12</v>
      </c>
      <c r="E95" s="8">
        <f>IF(IF(D95&lt;&gt;D94,1,IF(OR(B95&lt;&gt;B94,A95-A94&gt;$U$1),1,""))&lt;&gt;1,"",IF(C95="B01",1965,IF(C95="B02",1020,IF(C95="B05",2400,IF(C95="B03",4260,IF(C95="B04",2880,IF(C95="B20",1260,0)))))))</f>
        <v>2400</v>
      </c>
      <c r="F95" s="8">
        <f>IF(IF(D95&lt;&gt;D94,1,IF(OR(B95&lt;&gt;B94,A95-A94&gt;$U$1),1,""))&lt;&gt;1,"",IF(C95="B01",1,IF(C95="B05",1,IF(C95="B03",1,IF(C95="B04",1,IF(C95="B20",1,IF(C95="B02",1,0)))))))</f>
        <v>1</v>
      </c>
      <c r="G95"/>
      <c r="H95" s="2"/>
      <c r="I95" s="2"/>
      <c r="L95"/>
      <c r="R95"/>
      <c r="S95" s="5"/>
      <c r="U95" s="5"/>
    </row>
    <row r="96" spans="1:21">
      <c r="A96" s="3">
        <v>45637.614803240744</v>
      </c>
      <c r="B96" s="2" t="s">
        <v>26</v>
      </c>
      <c r="C96" s="2" t="s">
        <v>11</v>
      </c>
      <c r="D96" s="6" t="str">
        <f>CONCATENATE(YEAR(A96),"/",IF(MONTH(A96)&lt;10,CONCATENATE("0",MONTH(A96)),MONTH(A96)))</f>
        <v>2024/12</v>
      </c>
      <c r="E96" s="8" t="str">
        <f>IF(IF(D96&lt;&gt;D95,1,IF(OR(B96&lt;&gt;B95,A96-A95&gt;$U$1),1,""))&lt;&gt;1,"",IF(C96="B01",1965,IF(C96="B02",1020,IF(C96="B05",2400,IF(C96="B03",4260,IF(C96="B04",2880,IF(C96="B20",1260,0)))))))</f>
        <v/>
      </c>
      <c r="F96" s="8" t="str">
        <f>IF(IF(D96&lt;&gt;D95,1,IF(OR(B96&lt;&gt;B95,A96-A95&gt;$U$1),1,""))&lt;&gt;1,"",IF(C96="B01",1,IF(C96="B05",1,IF(C96="B03",1,IF(C96="B04",1,IF(C96="B20",1,IF(C96="B02",1,0)))))))</f>
        <v/>
      </c>
      <c r="G96"/>
      <c r="H96" s="2"/>
      <c r="I96" s="2"/>
      <c r="L96"/>
      <c r="R96"/>
      <c r="S96" s="5"/>
      <c r="U96" s="5"/>
    </row>
    <row r="97" spans="1:21">
      <c r="A97" s="3">
        <v>45637.7500462963</v>
      </c>
      <c r="B97" s="2" t="s">
        <v>26</v>
      </c>
      <c r="C97" s="2" t="s">
        <v>11</v>
      </c>
      <c r="D97" s="6" t="str">
        <f>CONCATENATE(YEAR(A97),"/",IF(MONTH(A97)&lt;10,CONCATENATE("0",MONTH(A97)),MONTH(A97)))</f>
        <v>2024/12</v>
      </c>
      <c r="E97" s="8">
        <f>IF(IF(D97&lt;&gt;D96,1,IF(OR(B97&lt;&gt;B96,A97-A96&gt;$U$1),1,""))&lt;&gt;1,"",IF(C97="B01",1965,IF(C97="B02",1020,IF(C97="B05",2400,IF(C97="B03",4260,IF(C97="B04",2880,IF(C97="B20",1260,0)))))))</f>
        <v>2400</v>
      </c>
      <c r="F97" s="8">
        <f>IF(IF(D97&lt;&gt;D96,1,IF(OR(B97&lt;&gt;B96,A97-A96&gt;$U$1),1,""))&lt;&gt;1,"",IF(C97="B01",1,IF(C97="B05",1,IF(C97="B03",1,IF(C97="B04",1,IF(C97="B20",1,IF(C97="B02",1,0)))))))</f>
        <v>1</v>
      </c>
      <c r="G97"/>
      <c r="H97" s="2"/>
      <c r="I97" s="2"/>
      <c r="L97"/>
      <c r="R97"/>
      <c r="S97" s="5"/>
      <c r="U97" s="5"/>
    </row>
    <row r="98" spans="1:21">
      <c r="A98" s="3">
        <v>45637.7500462963</v>
      </c>
      <c r="B98" s="2" t="s">
        <v>26</v>
      </c>
      <c r="C98" s="2" t="s">
        <v>11</v>
      </c>
      <c r="D98" s="6" t="str">
        <f>CONCATENATE(YEAR(A98),"/",IF(MONTH(A98)&lt;10,CONCATENATE("0",MONTH(A98)),MONTH(A98)))</f>
        <v>2024/12</v>
      </c>
      <c r="E98" s="8" t="str">
        <f>IF(IF(D98&lt;&gt;D97,1,IF(OR(B98&lt;&gt;B97,A98-A97&gt;$U$1),1,""))&lt;&gt;1,"",IF(C98="B01",1965,IF(C98="B02",1020,IF(C98="B05",2400,IF(C98="B03",4260,IF(C98="B04",2880,IF(C98="B20",1260,0)))))))</f>
        <v/>
      </c>
      <c r="F98" s="8" t="str">
        <f>IF(IF(D98&lt;&gt;D97,1,IF(OR(B98&lt;&gt;B97,A98-A97&gt;$U$1),1,""))&lt;&gt;1,"",IF(C98="B01",1,IF(C98="B05",1,IF(C98="B03",1,IF(C98="B04",1,IF(C98="B20",1,IF(C98="B02",1,0)))))))</f>
        <v/>
      </c>
      <c r="G98"/>
      <c r="H98" s="2"/>
      <c r="I98" s="2"/>
      <c r="L98"/>
      <c r="R98"/>
      <c r="S98" s="5"/>
      <c r="U98" s="5"/>
    </row>
    <row r="99" spans="1:21">
      <c r="A99" s="3">
        <v>45637.7500462963</v>
      </c>
      <c r="B99" s="2" t="s">
        <v>26</v>
      </c>
      <c r="C99" s="2" t="s">
        <v>11</v>
      </c>
      <c r="D99" s="6" t="str">
        <f>CONCATENATE(YEAR(A99),"/",IF(MONTH(A99)&lt;10,CONCATENATE("0",MONTH(A99)),MONTH(A99)))</f>
        <v>2024/12</v>
      </c>
      <c r="E99" s="8" t="str">
        <f>IF(IF(D99&lt;&gt;D98,1,IF(OR(B99&lt;&gt;B98,A99-A98&gt;$U$1),1,""))&lt;&gt;1,"",IF(C99="B01",1965,IF(C99="B02",1020,IF(C99="B05",2400,IF(C99="B03",4260,IF(C99="B04",2880,IF(C99="B20",1260,0)))))))</f>
        <v/>
      </c>
      <c r="F99" s="8" t="str">
        <f>IF(IF(D99&lt;&gt;D98,1,IF(OR(B99&lt;&gt;B98,A99-A98&gt;$U$1),1,""))&lt;&gt;1,"",IF(C99="B01",1,IF(C99="B05",1,IF(C99="B03",1,IF(C99="B04",1,IF(C99="B20",1,IF(C99="B02",1,0)))))))</f>
        <v/>
      </c>
      <c r="G99"/>
      <c r="H99" s="2"/>
      <c r="I99" s="2"/>
      <c r="L99"/>
      <c r="R99"/>
      <c r="S99" s="5"/>
      <c r="U99" s="5"/>
    </row>
    <row r="100" spans="1:21">
      <c r="A100" s="3">
        <v>45637.7500462963</v>
      </c>
      <c r="B100" s="2" t="s">
        <v>26</v>
      </c>
      <c r="C100" s="2" t="s">
        <v>11</v>
      </c>
      <c r="D100" s="6" t="str">
        <f>CONCATENATE(YEAR(A100),"/",IF(MONTH(A100)&lt;10,CONCATENATE("0",MONTH(A100)),MONTH(A100)))</f>
        <v>2024/12</v>
      </c>
      <c r="E100" s="8" t="str">
        <f>IF(IF(D100&lt;&gt;D99,1,IF(OR(B100&lt;&gt;B99,A100-A99&gt;$U$1),1,""))&lt;&gt;1,"",IF(C100="B01",1965,IF(C100="B02",1020,IF(C100="B05",2400,IF(C100="B03",4260,IF(C100="B04",2880,IF(C100="B20",1260,0)))))))</f>
        <v/>
      </c>
      <c r="F100" s="8" t="str">
        <f>IF(IF(D100&lt;&gt;D99,1,IF(OR(B100&lt;&gt;B99,A100-A99&gt;$U$1),1,""))&lt;&gt;1,"",IF(C100="B01",1,IF(C100="B05",1,IF(C100="B03",1,IF(C100="B04",1,IF(C100="B20",1,IF(C100="B02",1,0)))))))</f>
        <v/>
      </c>
      <c r="G100"/>
      <c r="H100" s="2"/>
      <c r="I100" s="2"/>
      <c r="L100"/>
      <c r="R100"/>
      <c r="S100" s="5"/>
      <c r="U100" s="5"/>
    </row>
    <row r="101" spans="1:21">
      <c r="A101" s="3">
        <v>45637.875243055554</v>
      </c>
      <c r="B101" s="2" t="s">
        <v>26</v>
      </c>
      <c r="C101" s="2" t="s">
        <v>11</v>
      </c>
      <c r="D101" s="6" t="str">
        <f>CONCATENATE(YEAR(A101),"/",IF(MONTH(A101)&lt;10,CONCATENATE("0",MONTH(A101)),MONTH(A101)))</f>
        <v>2024/12</v>
      </c>
      <c r="E101" s="8">
        <f>IF(IF(D101&lt;&gt;D100,1,IF(OR(B101&lt;&gt;B100,A101-A100&gt;$U$1),1,""))&lt;&gt;1,"",IF(C101="B01",1965,IF(C101="B02",1020,IF(C101="B05",2400,IF(C101="B03",4260,IF(C101="B04",2880,IF(C101="B20",1260,0)))))))</f>
        <v>2400</v>
      </c>
      <c r="F101" s="8">
        <f>IF(IF(D101&lt;&gt;D100,1,IF(OR(B101&lt;&gt;B100,A101-A100&gt;$U$1),1,""))&lt;&gt;1,"",IF(C101="B01",1,IF(C101="B05",1,IF(C101="B03",1,IF(C101="B04",1,IF(C101="B20",1,IF(C101="B02",1,0)))))))</f>
        <v>1</v>
      </c>
      <c r="G101"/>
      <c r="H101" s="2"/>
      <c r="I101" s="2"/>
      <c r="L101"/>
      <c r="R101"/>
      <c r="S101" s="5"/>
      <c r="U101" s="5"/>
    </row>
    <row r="102" spans="1:21">
      <c r="A102" s="3">
        <v>45637.875243055554</v>
      </c>
      <c r="B102" s="2" t="s">
        <v>26</v>
      </c>
      <c r="C102" s="2" t="s">
        <v>11</v>
      </c>
      <c r="D102" s="6" t="str">
        <f>CONCATENATE(YEAR(A102),"/",IF(MONTH(A102)&lt;10,CONCATENATE("0",MONTH(A102)),MONTH(A102)))</f>
        <v>2024/12</v>
      </c>
      <c r="E102" s="8" t="str">
        <f>IF(IF(D102&lt;&gt;D101,1,IF(OR(B102&lt;&gt;B101,A102-A101&gt;$U$1),1,""))&lt;&gt;1,"",IF(C102="B01",1965,IF(C102="B02",1020,IF(C102="B05",2400,IF(C102="B03",4260,IF(C102="B04",2880,IF(C102="B20",1260,0)))))))</f>
        <v/>
      </c>
      <c r="F102" s="8" t="str">
        <f>IF(IF(D102&lt;&gt;D101,1,IF(OR(B102&lt;&gt;B101,A102-A101&gt;$U$1),1,""))&lt;&gt;1,"",IF(C102="B01",1,IF(C102="B05",1,IF(C102="B03",1,IF(C102="B04",1,IF(C102="B20",1,IF(C102="B02",1,0)))))))</f>
        <v/>
      </c>
      <c r="G102"/>
      <c r="H102" s="2"/>
      <c r="I102" s="2"/>
      <c r="L102"/>
      <c r="R102"/>
      <c r="S102" s="5"/>
      <c r="U102" s="5"/>
    </row>
    <row r="103" spans="1:21">
      <c r="A103" s="3">
        <v>45637.875243055554</v>
      </c>
      <c r="B103" s="2" t="s">
        <v>26</v>
      </c>
      <c r="C103" s="2" t="s">
        <v>11</v>
      </c>
      <c r="D103" s="6" t="str">
        <f>CONCATENATE(YEAR(A103),"/",IF(MONTH(A103)&lt;10,CONCATENATE("0",MONTH(A103)),MONTH(A103)))</f>
        <v>2024/12</v>
      </c>
      <c r="E103" s="8" t="str">
        <f>IF(IF(D103&lt;&gt;D102,1,IF(OR(B103&lt;&gt;B102,A103-A102&gt;$U$1),1,""))&lt;&gt;1,"",IF(C103="B01",1965,IF(C103="B02",1020,IF(C103="B05",2400,IF(C103="B03",4260,IF(C103="B04",2880,IF(C103="B20",1260,0)))))))</f>
        <v/>
      </c>
      <c r="F103" s="8" t="str">
        <f>IF(IF(D103&lt;&gt;D102,1,IF(OR(B103&lt;&gt;B102,A103-A102&gt;$U$1),1,""))&lt;&gt;1,"",IF(C103="B01",1,IF(C103="B05",1,IF(C103="B03",1,IF(C103="B04",1,IF(C103="B20",1,IF(C103="B02",1,0)))))))</f>
        <v/>
      </c>
      <c r="G103"/>
      <c r="H103" s="2"/>
      <c r="I103" s="2"/>
      <c r="L103"/>
      <c r="R103"/>
      <c r="S103" s="5"/>
      <c r="U103" s="5"/>
    </row>
    <row r="104" spans="1:21">
      <c r="A104" s="3">
        <v>45637.875243055554</v>
      </c>
      <c r="B104" s="2" t="s">
        <v>26</v>
      </c>
      <c r="C104" s="2" t="s">
        <v>11</v>
      </c>
      <c r="D104" s="6" t="str">
        <f>CONCATENATE(YEAR(A104),"/",IF(MONTH(A104)&lt;10,CONCATENATE("0",MONTH(A104)),MONTH(A104)))</f>
        <v>2024/12</v>
      </c>
      <c r="E104" s="8" t="str">
        <f>IF(IF(D104&lt;&gt;D103,1,IF(OR(B104&lt;&gt;B103,A104-A103&gt;$U$1),1,""))&lt;&gt;1,"",IF(C104="B01",1965,IF(C104="B02",1020,IF(C104="B05",2400,IF(C104="B03",4260,IF(C104="B04",2880,IF(C104="B20",1260,0)))))))</f>
        <v/>
      </c>
      <c r="F104" s="8" t="str">
        <f>IF(IF(D104&lt;&gt;D103,1,IF(OR(B104&lt;&gt;B103,A104-A103&gt;$U$1),1,""))&lt;&gt;1,"",IF(C104="B01",1,IF(C104="B05",1,IF(C104="B03",1,IF(C104="B04",1,IF(C104="B20",1,IF(C104="B02",1,0)))))))</f>
        <v/>
      </c>
      <c r="G104"/>
      <c r="H104" s="2"/>
      <c r="I104" s="2"/>
      <c r="L104"/>
      <c r="R104"/>
      <c r="S104" s="5"/>
      <c r="U104" s="5"/>
    </row>
    <row r="105" spans="1:21">
      <c r="A105" s="3">
        <v>45637.875243055554</v>
      </c>
      <c r="B105" s="2" t="s">
        <v>26</v>
      </c>
      <c r="C105" s="2" t="s">
        <v>11</v>
      </c>
      <c r="D105" s="6" t="str">
        <f>CONCATENATE(YEAR(A105),"/",IF(MONTH(A105)&lt;10,CONCATENATE("0",MONTH(A105)),MONTH(A105)))</f>
        <v>2024/12</v>
      </c>
      <c r="E105" s="8" t="str">
        <f>IF(IF(D105&lt;&gt;D104,1,IF(OR(B105&lt;&gt;B104,A105-A104&gt;$U$1),1,""))&lt;&gt;1,"",IF(C105="B01",1965,IF(C105="B02",1020,IF(C105="B05",2400,IF(C105="B03",4260,IF(C105="B04",2880,IF(C105="B20",1260,0)))))))</f>
        <v/>
      </c>
      <c r="F105" s="8" t="str">
        <f>IF(IF(D105&lt;&gt;D104,1,IF(OR(B105&lt;&gt;B104,A105-A104&gt;$U$1),1,""))&lt;&gt;1,"",IF(C105="B01",1,IF(C105="B05",1,IF(C105="B03",1,IF(C105="B04",1,IF(C105="B20",1,IF(C105="B02",1,0)))))))</f>
        <v/>
      </c>
      <c r="G105"/>
      <c r="H105" s="2"/>
      <c r="I105" s="2"/>
      <c r="L105"/>
      <c r="R105"/>
      <c r="S105" s="5"/>
      <c r="U105" s="5"/>
    </row>
    <row r="106" spans="1:21">
      <c r="A106" s="3">
        <v>45638.387199074074</v>
      </c>
      <c r="B106" s="2" t="s">
        <v>26</v>
      </c>
      <c r="C106" s="2" t="s">
        <v>11</v>
      </c>
      <c r="D106" s="6" t="str">
        <f>CONCATENATE(YEAR(A106),"/",IF(MONTH(A106)&lt;10,CONCATENATE("0",MONTH(A106)),MONTH(A106)))</f>
        <v>2024/12</v>
      </c>
      <c r="E106" s="8">
        <f>IF(IF(D106&lt;&gt;D105,1,IF(OR(B106&lt;&gt;B105,A106-A105&gt;$U$1),1,""))&lt;&gt;1,"",IF(C106="B01",1965,IF(C106="B02",1020,IF(C106="B05",2400,IF(C106="B03",4260,IF(C106="B04",2880,IF(C106="B20",1260,0)))))))</f>
        <v>2400</v>
      </c>
      <c r="F106" s="8">
        <f>IF(IF(D106&lt;&gt;D105,1,IF(OR(B106&lt;&gt;B105,A106-A105&gt;$U$1),1,""))&lt;&gt;1,"",IF(C106="B01",1,IF(C106="B05",1,IF(C106="B03",1,IF(C106="B04",1,IF(C106="B20",1,IF(C106="B02",1,0)))))))</f>
        <v>1</v>
      </c>
      <c r="G106"/>
      <c r="H106" s="2"/>
      <c r="I106" s="2"/>
      <c r="L106"/>
      <c r="R106"/>
      <c r="S106" s="5"/>
      <c r="U106" s="5"/>
    </row>
    <row r="107" spans="1:21">
      <c r="A107" s="3">
        <v>45638.387199074074</v>
      </c>
      <c r="B107" s="2" t="s">
        <v>26</v>
      </c>
      <c r="C107" s="2" t="s">
        <v>11</v>
      </c>
      <c r="D107" s="6" t="str">
        <f>CONCATENATE(YEAR(A107),"/",IF(MONTH(A107)&lt;10,CONCATENATE("0",MONTH(A107)),MONTH(A107)))</f>
        <v>2024/12</v>
      </c>
      <c r="E107" s="8" t="str">
        <f>IF(IF(D107&lt;&gt;D106,1,IF(OR(B107&lt;&gt;B106,A107-A106&gt;$U$1),1,""))&lt;&gt;1,"",IF(C107="B01",1965,IF(C107="B02",1020,IF(C107="B05",2400,IF(C107="B03",4260,IF(C107="B04",2880,IF(C107="B20",1260,0)))))))</f>
        <v/>
      </c>
      <c r="F107" s="8" t="str">
        <f>IF(IF(D107&lt;&gt;D106,1,IF(OR(B107&lt;&gt;B106,A107-A106&gt;$U$1),1,""))&lt;&gt;1,"",IF(C107="B01",1,IF(C107="B05",1,IF(C107="B03",1,IF(C107="B04",1,IF(C107="B20",1,IF(C107="B02",1,0)))))))</f>
        <v/>
      </c>
      <c r="G107"/>
      <c r="H107" s="2"/>
      <c r="I107" s="2"/>
      <c r="L107"/>
      <c r="R107"/>
      <c r="S107" s="5"/>
      <c r="U107" s="5"/>
    </row>
    <row r="108" spans="1:21">
      <c r="A108" s="3">
        <v>45638.581469907411</v>
      </c>
      <c r="B108" s="2" t="s">
        <v>26</v>
      </c>
      <c r="C108" s="2" t="s">
        <v>11</v>
      </c>
      <c r="D108" s="6" t="str">
        <f>CONCATENATE(YEAR(A108),"/",IF(MONTH(A108)&lt;10,CONCATENATE("0",MONTH(A108)),MONTH(A108)))</f>
        <v>2024/12</v>
      </c>
      <c r="E108" s="8">
        <f>IF(IF(D108&lt;&gt;D107,1,IF(OR(B108&lt;&gt;B107,A108-A107&gt;$U$1),1,""))&lt;&gt;1,"",IF(C108="B01",1965,IF(C108="B02",1020,IF(C108="B05",2400,IF(C108="B03",4260,IF(C108="B04",2880,IF(C108="B20",1260,0)))))))</f>
        <v>2400</v>
      </c>
      <c r="F108" s="8">
        <f>IF(IF(D108&lt;&gt;D107,1,IF(OR(B108&lt;&gt;B107,A108-A107&gt;$U$1),1,""))&lt;&gt;1,"",IF(C108="B01",1,IF(C108="B05",1,IF(C108="B03",1,IF(C108="B04",1,IF(C108="B20",1,IF(C108="B02",1,0)))))))</f>
        <v>1</v>
      </c>
      <c r="G108"/>
      <c r="H108" s="2"/>
      <c r="I108" s="2"/>
      <c r="L108"/>
      <c r="R108"/>
      <c r="S108" s="5"/>
      <c r="U108" s="5"/>
    </row>
    <row r="109" spans="1:21">
      <c r="A109" s="3">
        <v>45638.58148148148</v>
      </c>
      <c r="B109" s="2" t="s">
        <v>26</v>
      </c>
      <c r="C109" s="2" t="s">
        <v>11</v>
      </c>
      <c r="D109" s="6" t="str">
        <f>CONCATENATE(YEAR(A109),"/",IF(MONTH(A109)&lt;10,CONCATENATE("0",MONTH(A109)),MONTH(A109)))</f>
        <v>2024/12</v>
      </c>
      <c r="E109" s="8" t="str">
        <f>IF(IF(D109&lt;&gt;D108,1,IF(OR(B109&lt;&gt;B108,A109-A108&gt;$U$1),1,""))&lt;&gt;1,"",IF(C109="B01",1965,IF(C109="B02",1020,IF(C109="B05",2400,IF(C109="B03",4260,IF(C109="B04",2880,IF(C109="B20",1260,0)))))))</f>
        <v/>
      </c>
      <c r="F109" s="8" t="str">
        <f>IF(IF(D109&lt;&gt;D108,1,IF(OR(B109&lt;&gt;B108,A109-A108&gt;$U$1),1,""))&lt;&gt;1,"",IF(C109="B01",1,IF(C109="B05",1,IF(C109="B03",1,IF(C109="B04",1,IF(C109="B20",1,IF(C109="B02",1,0)))))))</f>
        <v/>
      </c>
      <c r="G109"/>
      <c r="H109" s="2"/>
      <c r="I109" s="2"/>
      <c r="L109"/>
      <c r="R109"/>
      <c r="S109" s="5"/>
      <c r="U109" s="5"/>
    </row>
    <row r="110" spans="1:21">
      <c r="A110" s="3">
        <v>45638.58148148148</v>
      </c>
      <c r="B110" s="2" t="s">
        <v>26</v>
      </c>
      <c r="C110" s="2" t="s">
        <v>11</v>
      </c>
      <c r="D110" s="6" t="str">
        <f>CONCATENATE(YEAR(A110),"/",IF(MONTH(A110)&lt;10,CONCATENATE("0",MONTH(A110)),MONTH(A110)))</f>
        <v>2024/12</v>
      </c>
      <c r="E110" s="8" t="str">
        <f>IF(IF(D110&lt;&gt;D109,1,IF(OR(B110&lt;&gt;B109,A110-A109&gt;$U$1),1,""))&lt;&gt;1,"",IF(C110="B01",1965,IF(C110="B02",1020,IF(C110="B05",2400,IF(C110="B03",4260,IF(C110="B04",2880,IF(C110="B20",1260,0)))))))</f>
        <v/>
      </c>
      <c r="F110" s="8" t="str">
        <f>IF(IF(D110&lt;&gt;D109,1,IF(OR(B110&lt;&gt;B109,A110-A109&gt;$U$1),1,""))&lt;&gt;1,"",IF(C110="B01",1,IF(C110="B05",1,IF(C110="B03",1,IF(C110="B04",1,IF(C110="B20",1,IF(C110="B02",1,0)))))))</f>
        <v/>
      </c>
      <c r="G110"/>
      <c r="H110" s="2"/>
      <c r="I110" s="2"/>
      <c r="L110"/>
      <c r="R110"/>
      <c r="S110" s="5"/>
      <c r="U110" s="5"/>
    </row>
    <row r="111" spans="1:21">
      <c r="A111" s="3">
        <v>45638.717407407406</v>
      </c>
      <c r="B111" s="2" t="s">
        <v>26</v>
      </c>
      <c r="C111" s="2" t="s">
        <v>11</v>
      </c>
      <c r="D111" s="6" t="str">
        <f>CONCATENATE(YEAR(A111),"/",IF(MONTH(A111)&lt;10,CONCATENATE("0",MONTH(A111)),MONTH(A111)))</f>
        <v>2024/12</v>
      </c>
      <c r="E111" s="8">
        <f>IF(IF(D111&lt;&gt;D110,1,IF(OR(B111&lt;&gt;B110,A111-A110&gt;$U$1),1,""))&lt;&gt;1,"",IF(C111="B01",1965,IF(C111="B02",1020,IF(C111="B05",2400,IF(C111="B03",4260,IF(C111="B04",2880,IF(C111="B20",1260,0)))))))</f>
        <v>2400</v>
      </c>
      <c r="F111" s="8">
        <f>IF(IF(D111&lt;&gt;D110,1,IF(OR(B111&lt;&gt;B110,A111-A110&gt;$U$1),1,""))&lt;&gt;1,"",IF(C111="B01",1,IF(C111="B05",1,IF(C111="B03",1,IF(C111="B04",1,IF(C111="B20",1,IF(C111="B02",1,0)))))))</f>
        <v>1</v>
      </c>
      <c r="G111"/>
      <c r="H111" s="2"/>
      <c r="I111" s="2"/>
      <c r="L111"/>
      <c r="R111"/>
      <c r="S111" s="5"/>
      <c r="U111" s="5"/>
    </row>
    <row r="112" spans="1:21">
      <c r="A112" s="3">
        <v>45638.717407407406</v>
      </c>
      <c r="B112" s="2" t="s">
        <v>26</v>
      </c>
      <c r="C112" s="2" t="s">
        <v>11</v>
      </c>
      <c r="D112" s="6" t="str">
        <f>CONCATENATE(YEAR(A112),"/",IF(MONTH(A112)&lt;10,CONCATENATE("0",MONTH(A112)),MONTH(A112)))</f>
        <v>2024/12</v>
      </c>
      <c r="E112" s="8" t="str">
        <f>IF(IF(D112&lt;&gt;D111,1,IF(OR(B112&lt;&gt;B111,A112-A111&gt;$U$1),1,""))&lt;&gt;1,"",IF(C112="B01",1965,IF(C112="B02",1020,IF(C112="B05",2400,IF(C112="B03",4260,IF(C112="B04",2880,IF(C112="B20",1260,0)))))))</f>
        <v/>
      </c>
      <c r="F112" s="8" t="str">
        <f>IF(IF(D112&lt;&gt;D111,1,IF(OR(B112&lt;&gt;B111,A112-A111&gt;$U$1),1,""))&lt;&gt;1,"",IF(C112="B01",1,IF(C112="B05",1,IF(C112="B03",1,IF(C112="B04",1,IF(C112="B20",1,IF(C112="B02",1,0)))))))</f>
        <v/>
      </c>
      <c r="G112"/>
      <c r="H112" s="2"/>
      <c r="I112" s="2"/>
      <c r="L112"/>
      <c r="R112"/>
      <c r="S112" s="5"/>
      <c r="U112" s="5"/>
    </row>
    <row r="113" spans="1:21">
      <c r="A113" s="3">
        <v>45638.717407407406</v>
      </c>
      <c r="B113" s="2" t="s">
        <v>26</v>
      </c>
      <c r="C113" s="2" t="s">
        <v>11</v>
      </c>
      <c r="D113" s="6" t="str">
        <f>CONCATENATE(YEAR(A113),"/",IF(MONTH(A113)&lt;10,CONCATENATE("0",MONTH(A113)),MONTH(A113)))</f>
        <v>2024/12</v>
      </c>
      <c r="E113" s="8" t="str">
        <f>IF(IF(D113&lt;&gt;D112,1,IF(OR(B113&lt;&gt;B112,A113-A112&gt;$U$1),1,""))&lt;&gt;1,"",IF(C113="B01",1965,IF(C113="B02",1020,IF(C113="B05",2400,IF(C113="B03",4260,IF(C113="B04",2880,IF(C113="B20",1260,0)))))))</f>
        <v/>
      </c>
      <c r="F113" s="8" t="str">
        <f>IF(IF(D113&lt;&gt;D112,1,IF(OR(B113&lt;&gt;B112,A113-A112&gt;$U$1),1,""))&lt;&gt;1,"",IF(C113="B01",1,IF(C113="B05",1,IF(C113="B03",1,IF(C113="B04",1,IF(C113="B20",1,IF(C113="B02",1,0)))))))</f>
        <v/>
      </c>
      <c r="G113"/>
      <c r="H113" s="2"/>
      <c r="I113" s="2"/>
      <c r="L113"/>
      <c r="R113"/>
      <c r="S113" s="5"/>
      <c r="U113" s="5"/>
    </row>
    <row r="114" spans="1:21">
      <c r="A114" s="3">
        <v>45638.717407407406</v>
      </c>
      <c r="B114" s="2" t="s">
        <v>26</v>
      </c>
      <c r="C114" s="2" t="s">
        <v>11</v>
      </c>
      <c r="D114" s="6" t="str">
        <f>CONCATENATE(YEAR(A114),"/",IF(MONTH(A114)&lt;10,CONCATENATE("0",MONTH(A114)),MONTH(A114)))</f>
        <v>2024/12</v>
      </c>
      <c r="E114" s="8" t="str">
        <f>IF(IF(D114&lt;&gt;D113,1,IF(OR(B114&lt;&gt;B113,A114-A113&gt;$U$1),1,""))&lt;&gt;1,"",IF(C114="B01",1965,IF(C114="B02",1020,IF(C114="B05",2400,IF(C114="B03",4260,IF(C114="B04",2880,IF(C114="B20",1260,0)))))))</f>
        <v/>
      </c>
      <c r="F114" s="8" t="str">
        <f>IF(IF(D114&lt;&gt;D113,1,IF(OR(B114&lt;&gt;B113,A114-A113&gt;$U$1),1,""))&lt;&gt;1,"",IF(C114="B01",1,IF(C114="B05",1,IF(C114="B03",1,IF(C114="B04",1,IF(C114="B20",1,IF(C114="B02",1,0)))))))</f>
        <v/>
      </c>
      <c r="G114"/>
      <c r="H114" s="2"/>
      <c r="I114" s="2"/>
      <c r="L114"/>
      <c r="R114"/>
      <c r="S114" s="5"/>
      <c r="U114" s="5"/>
    </row>
    <row r="115" spans="1:21">
      <c r="A115" s="3">
        <v>45638.717407407406</v>
      </c>
      <c r="B115" s="2" t="s">
        <v>26</v>
      </c>
      <c r="C115" s="2" t="s">
        <v>11</v>
      </c>
      <c r="D115" s="6" t="str">
        <f>CONCATENATE(YEAR(A115),"/",IF(MONTH(A115)&lt;10,CONCATENATE("0",MONTH(A115)),MONTH(A115)))</f>
        <v>2024/12</v>
      </c>
      <c r="E115" s="8" t="str">
        <f>IF(IF(D115&lt;&gt;D114,1,IF(OR(B115&lt;&gt;B114,A115-A114&gt;$U$1),1,""))&lt;&gt;1,"",IF(C115="B01",1965,IF(C115="B02",1020,IF(C115="B05",2400,IF(C115="B03",4260,IF(C115="B04",2880,IF(C115="B20",1260,0)))))))</f>
        <v/>
      </c>
      <c r="F115" s="8" t="str">
        <f>IF(IF(D115&lt;&gt;D114,1,IF(OR(B115&lt;&gt;B114,A115-A114&gt;$U$1),1,""))&lt;&gt;1,"",IF(C115="B01",1,IF(C115="B05",1,IF(C115="B03",1,IF(C115="B04",1,IF(C115="B20",1,IF(C115="B02",1,0)))))))</f>
        <v/>
      </c>
      <c r="G115"/>
      <c r="H115" s="2"/>
      <c r="I115" s="2"/>
      <c r="L115"/>
      <c r="R115"/>
      <c r="S115" s="5"/>
      <c r="U115" s="5"/>
    </row>
    <row r="116" spans="1:21">
      <c r="A116" s="3">
        <v>45638.858634259261</v>
      </c>
      <c r="B116" s="2" t="s">
        <v>26</v>
      </c>
      <c r="C116" s="2" t="s">
        <v>11</v>
      </c>
      <c r="D116" s="6" t="str">
        <f>CONCATENATE(YEAR(A116),"/",IF(MONTH(A116)&lt;10,CONCATENATE("0",MONTH(A116)),MONTH(A116)))</f>
        <v>2024/12</v>
      </c>
      <c r="E116" s="8">
        <f>IF(IF(D116&lt;&gt;D115,1,IF(OR(B116&lt;&gt;B115,A116-A115&gt;$U$1),1,""))&lt;&gt;1,"",IF(C116="B01",1965,IF(C116="B02",1020,IF(C116="B05",2400,IF(C116="B03",4260,IF(C116="B04",2880,IF(C116="B20",1260,0)))))))</f>
        <v>2400</v>
      </c>
      <c r="F116" s="8">
        <f>IF(IF(D116&lt;&gt;D115,1,IF(OR(B116&lt;&gt;B115,A116-A115&gt;$U$1),1,""))&lt;&gt;1,"",IF(C116="B01",1,IF(C116="B05",1,IF(C116="B03",1,IF(C116="B04",1,IF(C116="B20",1,IF(C116="B02",1,0)))))))</f>
        <v>1</v>
      </c>
      <c r="G116"/>
      <c r="H116" s="2"/>
      <c r="I116" s="2"/>
      <c r="L116"/>
      <c r="R116"/>
      <c r="S116" s="5"/>
      <c r="U116" s="5"/>
    </row>
    <row r="117" spans="1:21">
      <c r="A117" s="3">
        <v>45638.858634259261</v>
      </c>
      <c r="B117" s="2" t="s">
        <v>26</v>
      </c>
      <c r="C117" s="2" t="s">
        <v>11</v>
      </c>
      <c r="D117" s="6" t="str">
        <f>CONCATENATE(YEAR(A117),"/",IF(MONTH(A117)&lt;10,CONCATENATE("0",MONTH(A117)),MONTH(A117)))</f>
        <v>2024/12</v>
      </c>
      <c r="E117" s="8" t="str">
        <f>IF(IF(D117&lt;&gt;D116,1,IF(OR(B117&lt;&gt;B116,A117-A116&gt;$U$1),1,""))&lt;&gt;1,"",IF(C117="B01",1965,IF(C117="B02",1020,IF(C117="B05",2400,IF(C117="B03",4260,IF(C117="B04",2880,IF(C117="B20",1260,0)))))))</f>
        <v/>
      </c>
      <c r="F117" s="8" t="str">
        <f>IF(IF(D117&lt;&gt;D116,1,IF(OR(B117&lt;&gt;B116,A117-A116&gt;$U$1),1,""))&lt;&gt;1,"",IF(C117="B01",1,IF(C117="B05",1,IF(C117="B03",1,IF(C117="B04",1,IF(C117="B20",1,IF(C117="B02",1,0)))))))</f>
        <v/>
      </c>
      <c r="G117"/>
      <c r="H117" s="2"/>
      <c r="I117" s="2"/>
      <c r="L117"/>
      <c r="R117"/>
      <c r="S117" s="5"/>
      <c r="U117" s="5"/>
    </row>
    <row r="118" spans="1:21">
      <c r="A118" s="3">
        <v>45638.858634259261</v>
      </c>
      <c r="B118" s="2" t="s">
        <v>26</v>
      </c>
      <c r="C118" s="2" t="s">
        <v>11</v>
      </c>
      <c r="D118" s="6" t="str">
        <f>CONCATENATE(YEAR(A118),"/",IF(MONTH(A118)&lt;10,CONCATENATE("0",MONTH(A118)),MONTH(A118)))</f>
        <v>2024/12</v>
      </c>
      <c r="E118" s="8" t="str">
        <f>IF(IF(D118&lt;&gt;D117,1,IF(OR(B118&lt;&gt;B117,A118-A117&gt;$U$1),1,""))&lt;&gt;1,"",IF(C118="B01",1965,IF(C118="B02",1020,IF(C118="B05",2400,IF(C118="B03",4260,IF(C118="B04",2880,IF(C118="B20",1260,0)))))))</f>
        <v/>
      </c>
      <c r="F118" s="8" t="str">
        <f>IF(IF(D118&lt;&gt;D117,1,IF(OR(B118&lt;&gt;B117,A118-A117&gt;$U$1),1,""))&lt;&gt;1,"",IF(C118="B01",1,IF(C118="B05",1,IF(C118="B03",1,IF(C118="B04",1,IF(C118="B20",1,IF(C118="B02",1,0)))))))</f>
        <v/>
      </c>
      <c r="G118"/>
      <c r="H118" s="2"/>
      <c r="I118" s="2"/>
      <c r="L118"/>
      <c r="R118"/>
      <c r="S118" s="5"/>
      <c r="U118" s="5"/>
    </row>
    <row r="119" spans="1:21">
      <c r="A119" s="3">
        <v>45639.041944444441</v>
      </c>
      <c r="B119" s="2" t="s">
        <v>26</v>
      </c>
      <c r="C119" s="2" t="s">
        <v>11</v>
      </c>
      <c r="D119" s="6" t="str">
        <f>CONCATENATE(YEAR(A119),"/",IF(MONTH(A119)&lt;10,CONCATENATE("0",MONTH(A119)),MONTH(A119)))</f>
        <v>2024/12</v>
      </c>
      <c r="E119" s="8">
        <f>IF(IF(D119&lt;&gt;D118,1,IF(OR(B119&lt;&gt;B118,A119-A118&gt;$U$1),1,""))&lt;&gt;1,"",IF(C119="B01",1965,IF(C119="B02",1020,IF(C119="B05",2400,IF(C119="B03",4260,IF(C119="B04",2880,IF(C119="B20",1260,0)))))))</f>
        <v>2400</v>
      </c>
      <c r="F119" s="8">
        <f>IF(IF(D119&lt;&gt;D118,1,IF(OR(B119&lt;&gt;B118,A119-A118&gt;$U$1),1,""))&lt;&gt;1,"",IF(C119="B01",1,IF(C119="B05",1,IF(C119="B03",1,IF(C119="B04",1,IF(C119="B20",1,IF(C119="B02",1,0)))))))</f>
        <v>1</v>
      </c>
      <c r="G119"/>
      <c r="H119" s="2"/>
      <c r="I119" s="2"/>
      <c r="L119"/>
      <c r="R119"/>
      <c r="S119" s="5"/>
      <c r="U119" s="5"/>
    </row>
    <row r="120" spans="1:21">
      <c r="A120" s="3">
        <v>45639.041944444441</v>
      </c>
      <c r="B120" s="2" t="s">
        <v>26</v>
      </c>
      <c r="C120" s="2" t="s">
        <v>11</v>
      </c>
      <c r="D120" s="6" t="str">
        <f>CONCATENATE(YEAR(A120),"/",IF(MONTH(A120)&lt;10,CONCATENATE("0",MONTH(A120)),MONTH(A120)))</f>
        <v>2024/12</v>
      </c>
      <c r="E120" s="8" t="str">
        <f>IF(IF(D120&lt;&gt;D119,1,IF(OR(B120&lt;&gt;B119,A120-A119&gt;$U$1),1,""))&lt;&gt;1,"",IF(C120="B01",1965,IF(C120="B02",1020,IF(C120="B05",2400,IF(C120="B03",4260,IF(C120="B04",2880,IF(C120="B20",1260,0)))))))</f>
        <v/>
      </c>
      <c r="F120" s="8" t="str">
        <f>IF(IF(D120&lt;&gt;D119,1,IF(OR(B120&lt;&gt;B119,A120-A119&gt;$U$1),1,""))&lt;&gt;1,"",IF(C120="B01",1,IF(C120="B05",1,IF(C120="B03",1,IF(C120="B04",1,IF(C120="B20",1,IF(C120="B02",1,0)))))))</f>
        <v/>
      </c>
      <c r="G120"/>
      <c r="H120" s="2"/>
      <c r="I120" s="2"/>
      <c r="L120"/>
      <c r="R120"/>
      <c r="S120" s="5"/>
      <c r="U120" s="5"/>
    </row>
    <row r="121" spans="1:21">
      <c r="A121" s="3">
        <v>45639.041944444441</v>
      </c>
      <c r="B121" s="2" t="s">
        <v>26</v>
      </c>
      <c r="C121" s="2" t="s">
        <v>11</v>
      </c>
      <c r="D121" s="6" t="str">
        <f>CONCATENATE(YEAR(A121),"/",IF(MONTH(A121)&lt;10,CONCATENATE("0",MONTH(A121)),MONTH(A121)))</f>
        <v>2024/12</v>
      </c>
      <c r="E121" s="8" t="str">
        <f>IF(IF(D121&lt;&gt;D120,1,IF(OR(B121&lt;&gt;B120,A121-A120&gt;$U$1),1,""))&lt;&gt;1,"",IF(C121="B01",1965,IF(C121="B02",1020,IF(C121="B05",2400,IF(C121="B03",4260,IF(C121="B04",2880,IF(C121="B20",1260,0)))))))</f>
        <v/>
      </c>
      <c r="F121" s="8" t="str">
        <f>IF(IF(D121&lt;&gt;D120,1,IF(OR(B121&lt;&gt;B120,A121-A120&gt;$U$1),1,""))&lt;&gt;1,"",IF(C121="B01",1,IF(C121="B05",1,IF(C121="B03",1,IF(C121="B04",1,IF(C121="B20",1,IF(C121="B02",1,0)))))))</f>
        <v/>
      </c>
      <c r="G121"/>
      <c r="H121" s="2"/>
      <c r="I121" s="2"/>
      <c r="L121"/>
      <c r="R121"/>
      <c r="S121" s="5"/>
      <c r="U121" s="5"/>
    </row>
    <row r="122" spans="1:21">
      <c r="A122" s="3">
        <v>45639.229131944441</v>
      </c>
      <c r="B122" s="2" t="s">
        <v>26</v>
      </c>
      <c r="C122" s="2" t="s">
        <v>11</v>
      </c>
      <c r="D122" s="6" t="str">
        <f>CONCATENATE(YEAR(A122),"/",IF(MONTH(A122)&lt;10,CONCATENATE("0",MONTH(A122)),MONTH(A122)))</f>
        <v>2024/12</v>
      </c>
      <c r="E122" s="8">
        <f>IF(IF(D122&lt;&gt;D121,1,IF(OR(B122&lt;&gt;B121,A122-A121&gt;$U$1),1,""))&lt;&gt;1,"",IF(C122="B01",1965,IF(C122="B02",1020,IF(C122="B05",2400,IF(C122="B03",4260,IF(C122="B04",2880,IF(C122="B20",1260,0)))))))</f>
        <v>2400</v>
      </c>
      <c r="F122" s="8">
        <f>IF(IF(D122&lt;&gt;D121,1,IF(OR(B122&lt;&gt;B121,A122-A121&gt;$U$1),1,""))&lt;&gt;1,"",IF(C122="B01",1,IF(C122="B05",1,IF(C122="B03",1,IF(C122="B04",1,IF(C122="B20",1,IF(C122="B02",1,0)))))))</f>
        <v>1</v>
      </c>
      <c r="G122"/>
      <c r="H122" s="2"/>
      <c r="I122" s="2"/>
      <c r="L122"/>
      <c r="R122"/>
      <c r="S122" s="5"/>
      <c r="U122" s="5"/>
    </row>
    <row r="123" spans="1:21">
      <c r="A123" s="3">
        <v>45639.229131944441</v>
      </c>
      <c r="B123" s="2" t="s">
        <v>26</v>
      </c>
      <c r="C123" s="2" t="s">
        <v>11</v>
      </c>
      <c r="D123" s="6" t="str">
        <f>CONCATENATE(YEAR(A123),"/",IF(MONTH(A123)&lt;10,CONCATENATE("0",MONTH(A123)),MONTH(A123)))</f>
        <v>2024/12</v>
      </c>
      <c r="E123" s="8" t="str">
        <f>IF(IF(D123&lt;&gt;D122,1,IF(OR(B123&lt;&gt;B122,A123-A122&gt;$U$1),1,""))&lt;&gt;1,"",IF(C123="B01",1965,IF(C123="B02",1020,IF(C123="B05",2400,IF(C123="B03",4260,IF(C123="B04",2880,IF(C123="B20",1260,0)))))))</f>
        <v/>
      </c>
      <c r="F123" s="8" t="str">
        <f>IF(IF(D123&lt;&gt;D122,1,IF(OR(B123&lt;&gt;B122,A123-A122&gt;$U$1),1,""))&lt;&gt;1,"",IF(C123="B01",1,IF(C123="B05",1,IF(C123="B03",1,IF(C123="B04",1,IF(C123="B20",1,IF(C123="B02",1,0)))))))</f>
        <v/>
      </c>
      <c r="G123"/>
      <c r="H123" s="2"/>
      <c r="I123" s="2"/>
      <c r="L123"/>
      <c r="R123"/>
      <c r="S123" s="5"/>
      <c r="U123" s="5"/>
    </row>
    <row r="124" spans="1:21">
      <c r="A124" s="3">
        <v>45639.229131944441</v>
      </c>
      <c r="B124" s="2" t="s">
        <v>26</v>
      </c>
      <c r="C124" s="2" t="s">
        <v>11</v>
      </c>
      <c r="D124" s="6" t="str">
        <f>CONCATENATE(YEAR(A124),"/",IF(MONTH(A124)&lt;10,CONCATENATE("0",MONTH(A124)),MONTH(A124)))</f>
        <v>2024/12</v>
      </c>
      <c r="E124" s="8" t="str">
        <f>IF(IF(D124&lt;&gt;D123,1,IF(OR(B124&lt;&gt;B123,A124-A123&gt;$U$1),1,""))&lt;&gt;1,"",IF(C124="B01",1965,IF(C124="B02",1020,IF(C124="B05",2400,IF(C124="B03",4260,IF(C124="B04",2880,IF(C124="B20",1260,0)))))))</f>
        <v/>
      </c>
      <c r="F124" s="8" t="str">
        <f>IF(IF(D124&lt;&gt;D123,1,IF(OR(B124&lt;&gt;B123,A124-A123&gt;$U$1),1,""))&lt;&gt;1,"",IF(C124="B01",1,IF(C124="B05",1,IF(C124="B03",1,IF(C124="B04",1,IF(C124="B20",1,IF(C124="B02",1,0)))))))</f>
        <v/>
      </c>
      <c r="G124"/>
      <c r="H124" s="2"/>
      <c r="I124" s="2"/>
      <c r="L124"/>
      <c r="R124"/>
      <c r="S124" s="5"/>
      <c r="U124" s="5"/>
    </row>
    <row r="125" spans="1:21">
      <c r="A125" s="3">
        <v>45639.347395833334</v>
      </c>
      <c r="B125" s="2" t="s">
        <v>26</v>
      </c>
      <c r="C125" s="2" t="s">
        <v>11</v>
      </c>
      <c r="D125" s="6" t="str">
        <f>CONCATENATE(YEAR(A125),"/",IF(MONTH(A125)&lt;10,CONCATENATE("0",MONTH(A125)),MONTH(A125)))</f>
        <v>2024/12</v>
      </c>
      <c r="E125" s="8">
        <f>IF(IF(D125&lt;&gt;D124,1,IF(OR(B125&lt;&gt;B124,A125-A124&gt;$U$1),1,""))&lt;&gt;1,"",IF(C125="B01",1965,IF(C125="B02",1020,IF(C125="B05",2400,IF(C125="B03",4260,IF(C125="B04",2880,IF(C125="B20",1260,0)))))))</f>
        <v>2400</v>
      </c>
      <c r="F125" s="8">
        <f>IF(IF(D125&lt;&gt;D124,1,IF(OR(B125&lt;&gt;B124,A125-A124&gt;$U$1),1,""))&lt;&gt;1,"",IF(C125="B01",1,IF(C125="B05",1,IF(C125="B03",1,IF(C125="B04",1,IF(C125="B20",1,IF(C125="B02",1,0)))))))</f>
        <v>1</v>
      </c>
      <c r="G125"/>
      <c r="H125" s="2"/>
      <c r="I125" s="2"/>
      <c r="L125"/>
      <c r="R125"/>
      <c r="S125" s="5"/>
      <c r="U125" s="5"/>
    </row>
    <row r="126" spans="1:21">
      <c r="A126" s="3">
        <v>45639.347395833334</v>
      </c>
      <c r="B126" s="2" t="s">
        <v>26</v>
      </c>
      <c r="C126" s="2" t="s">
        <v>11</v>
      </c>
      <c r="D126" s="6" t="str">
        <f>CONCATENATE(YEAR(A126),"/",IF(MONTH(A126)&lt;10,CONCATENATE("0",MONTH(A126)),MONTH(A126)))</f>
        <v>2024/12</v>
      </c>
      <c r="E126" s="8" t="str">
        <f>IF(IF(D126&lt;&gt;D125,1,IF(OR(B126&lt;&gt;B125,A126-A125&gt;$U$1),1,""))&lt;&gt;1,"",IF(C126="B01",1965,IF(C126="B02",1020,IF(C126="B05",2400,IF(C126="B03",4260,IF(C126="B04",2880,IF(C126="B20",1260,0)))))))</f>
        <v/>
      </c>
      <c r="F126" s="8" t="str">
        <f>IF(IF(D126&lt;&gt;D125,1,IF(OR(B126&lt;&gt;B125,A126-A125&gt;$U$1),1,""))&lt;&gt;1,"",IF(C126="B01",1,IF(C126="B05",1,IF(C126="B03",1,IF(C126="B04",1,IF(C126="B20",1,IF(C126="B02",1,0)))))))</f>
        <v/>
      </c>
      <c r="G126"/>
      <c r="H126" s="2"/>
      <c r="I126" s="2"/>
      <c r="L126"/>
      <c r="R126"/>
      <c r="S126" s="5"/>
      <c r="U126" s="5"/>
    </row>
    <row r="127" spans="1:21">
      <c r="A127" s="3">
        <v>45639.347395833334</v>
      </c>
      <c r="B127" s="2" t="s">
        <v>26</v>
      </c>
      <c r="C127" s="2" t="s">
        <v>11</v>
      </c>
      <c r="D127" s="6" t="str">
        <f>CONCATENATE(YEAR(A127),"/",IF(MONTH(A127)&lt;10,CONCATENATE("0",MONTH(A127)),MONTH(A127)))</f>
        <v>2024/12</v>
      </c>
      <c r="E127" s="8" t="str">
        <f>IF(IF(D127&lt;&gt;D126,1,IF(OR(B127&lt;&gt;B126,A127-A126&gt;$U$1),1,""))&lt;&gt;1,"",IF(C127="B01",1965,IF(C127="B02",1020,IF(C127="B05",2400,IF(C127="B03",4260,IF(C127="B04",2880,IF(C127="B20",1260,0)))))))</f>
        <v/>
      </c>
      <c r="F127" s="8" t="str">
        <f>IF(IF(D127&lt;&gt;D126,1,IF(OR(B127&lt;&gt;B126,A127-A126&gt;$U$1),1,""))&lt;&gt;1,"",IF(C127="B01",1,IF(C127="B05",1,IF(C127="B03",1,IF(C127="B04",1,IF(C127="B20",1,IF(C127="B02",1,0)))))))</f>
        <v/>
      </c>
      <c r="G127"/>
      <c r="H127" s="2"/>
      <c r="I127" s="2"/>
      <c r="L127"/>
      <c r="R127"/>
      <c r="S127" s="5"/>
      <c r="U127" s="5"/>
    </row>
    <row r="128" spans="1:21">
      <c r="A128" s="3">
        <v>45639.347395833334</v>
      </c>
      <c r="B128" s="2" t="s">
        <v>26</v>
      </c>
      <c r="C128" s="2" t="s">
        <v>11</v>
      </c>
      <c r="D128" s="6" t="str">
        <f>CONCATENATE(YEAR(A128),"/",IF(MONTH(A128)&lt;10,CONCATENATE("0",MONTH(A128)),MONTH(A128)))</f>
        <v>2024/12</v>
      </c>
      <c r="E128" s="8" t="str">
        <f>IF(IF(D128&lt;&gt;D127,1,IF(OR(B128&lt;&gt;B127,A128-A127&gt;$U$1),1,""))&lt;&gt;1,"",IF(C128="B01",1965,IF(C128="B02",1020,IF(C128="B05",2400,IF(C128="B03",4260,IF(C128="B04",2880,IF(C128="B20",1260,0)))))))</f>
        <v/>
      </c>
      <c r="F128" s="8" t="str">
        <f>IF(IF(D128&lt;&gt;D127,1,IF(OR(B128&lt;&gt;B127,A128-A127&gt;$U$1),1,""))&lt;&gt;1,"",IF(C128="B01",1,IF(C128="B05",1,IF(C128="B03",1,IF(C128="B04",1,IF(C128="B20",1,IF(C128="B02",1,0)))))))</f>
        <v/>
      </c>
      <c r="G128"/>
      <c r="H128" s="2"/>
      <c r="I128" s="2"/>
      <c r="L128"/>
      <c r="R128"/>
      <c r="S128" s="5"/>
      <c r="U128" s="5"/>
    </row>
    <row r="129" spans="1:21">
      <c r="A129" s="3">
        <v>45639.475995370369</v>
      </c>
      <c r="B129" s="2" t="s">
        <v>26</v>
      </c>
      <c r="C129" s="2" t="s">
        <v>11</v>
      </c>
      <c r="D129" s="6" t="str">
        <f>CONCATENATE(YEAR(A129),"/",IF(MONTH(A129)&lt;10,CONCATENATE("0",MONTH(A129)),MONTH(A129)))</f>
        <v>2024/12</v>
      </c>
      <c r="E129" s="8">
        <f>IF(IF(D129&lt;&gt;D128,1,IF(OR(B129&lt;&gt;B128,A129-A128&gt;$U$1),1,""))&lt;&gt;1,"",IF(C129="B01",1965,IF(C129="B02",1020,IF(C129="B05",2400,IF(C129="B03",4260,IF(C129="B04",2880,IF(C129="B20",1260,0)))))))</f>
        <v>2400</v>
      </c>
      <c r="F129" s="8">
        <f>IF(IF(D129&lt;&gt;D128,1,IF(OR(B129&lt;&gt;B128,A129-A128&gt;$U$1),1,""))&lt;&gt;1,"",IF(C129="B01",1,IF(C129="B05",1,IF(C129="B03",1,IF(C129="B04",1,IF(C129="B20",1,IF(C129="B02",1,0)))))))</f>
        <v>1</v>
      </c>
      <c r="G129"/>
      <c r="H129" s="2"/>
      <c r="I129" s="2"/>
      <c r="L129"/>
      <c r="R129"/>
      <c r="S129" s="5"/>
      <c r="U129" s="5"/>
    </row>
    <row r="130" spans="1:21">
      <c r="A130" s="3">
        <v>45639.475995370369</v>
      </c>
      <c r="B130" s="2" t="s">
        <v>26</v>
      </c>
      <c r="C130" s="2" t="s">
        <v>11</v>
      </c>
      <c r="D130" s="6" t="str">
        <f>CONCATENATE(YEAR(A130),"/",IF(MONTH(A130)&lt;10,CONCATENATE("0",MONTH(A130)),MONTH(A130)))</f>
        <v>2024/12</v>
      </c>
      <c r="E130" s="8" t="str">
        <f>IF(IF(D130&lt;&gt;D129,1,IF(OR(B130&lt;&gt;B129,A130-A129&gt;$U$1),1,""))&lt;&gt;1,"",IF(C130="B01",1965,IF(C130="B02",1020,IF(C130="B05",2400,IF(C130="B03",4260,IF(C130="B04",2880,IF(C130="B20",1260,0)))))))</f>
        <v/>
      </c>
      <c r="F130" s="8" t="str">
        <f>IF(IF(D130&lt;&gt;D129,1,IF(OR(B130&lt;&gt;B129,A130-A129&gt;$U$1),1,""))&lt;&gt;1,"",IF(C130="B01",1,IF(C130="B05",1,IF(C130="B03",1,IF(C130="B04",1,IF(C130="B20",1,IF(C130="B02",1,0)))))))</f>
        <v/>
      </c>
      <c r="G130"/>
      <c r="H130" s="2"/>
      <c r="I130" s="2"/>
      <c r="L130"/>
      <c r="R130"/>
      <c r="S130" s="5"/>
      <c r="U130" s="5"/>
    </row>
    <row r="131" spans="1:21">
      <c r="A131" s="3">
        <v>45639.475995370369</v>
      </c>
      <c r="B131" s="2" t="s">
        <v>26</v>
      </c>
      <c r="C131" s="2" t="s">
        <v>11</v>
      </c>
      <c r="D131" s="6" t="str">
        <f>CONCATENATE(YEAR(A131),"/",IF(MONTH(A131)&lt;10,CONCATENATE("0",MONTH(A131)),MONTH(A131)))</f>
        <v>2024/12</v>
      </c>
      <c r="E131" s="8" t="str">
        <f>IF(IF(D131&lt;&gt;D130,1,IF(OR(B131&lt;&gt;B130,A131-A130&gt;$U$1),1,""))&lt;&gt;1,"",IF(C131="B01",1965,IF(C131="B02",1020,IF(C131="B05",2400,IF(C131="B03",4260,IF(C131="B04",2880,IF(C131="B20",1260,0)))))))</f>
        <v/>
      </c>
      <c r="F131" s="8" t="str">
        <f>IF(IF(D131&lt;&gt;D130,1,IF(OR(B131&lt;&gt;B130,A131-A130&gt;$U$1),1,""))&lt;&gt;1,"",IF(C131="B01",1,IF(C131="B05",1,IF(C131="B03",1,IF(C131="B04",1,IF(C131="B20",1,IF(C131="B02",1,0)))))))</f>
        <v/>
      </c>
      <c r="G131"/>
      <c r="H131" s="2"/>
      <c r="I131" s="2"/>
      <c r="L131"/>
      <c r="R131"/>
      <c r="S131" s="5"/>
      <c r="U131" s="5"/>
    </row>
    <row r="132" spans="1:21">
      <c r="A132" s="3">
        <v>45639.705555555556</v>
      </c>
      <c r="B132" s="2" t="s">
        <v>26</v>
      </c>
      <c r="C132" s="2" t="s">
        <v>11</v>
      </c>
      <c r="D132" s="6" t="str">
        <f>CONCATENATE(YEAR(A132),"/",IF(MONTH(A132)&lt;10,CONCATENATE("0",MONTH(A132)),MONTH(A132)))</f>
        <v>2024/12</v>
      </c>
      <c r="E132" s="8">
        <f>IF(IF(D132&lt;&gt;D131,1,IF(OR(B132&lt;&gt;B131,A132-A131&gt;$U$1),1,""))&lt;&gt;1,"",IF(C132="B01",1965,IF(C132="B02",1020,IF(C132="B05",2400,IF(C132="B03",4260,IF(C132="B04",2880,IF(C132="B20",1260,0)))))))</f>
        <v>2400</v>
      </c>
      <c r="F132" s="8">
        <f>IF(IF(D132&lt;&gt;D131,1,IF(OR(B132&lt;&gt;B131,A132-A131&gt;$U$1),1,""))&lt;&gt;1,"",IF(C132="B01",1,IF(C132="B05",1,IF(C132="B03",1,IF(C132="B04",1,IF(C132="B20",1,IF(C132="B02",1,0)))))))</f>
        <v>1</v>
      </c>
      <c r="G132"/>
      <c r="H132" s="2"/>
      <c r="I132" s="2"/>
      <c r="L132"/>
      <c r="R132"/>
      <c r="S132" s="5"/>
      <c r="U132" s="5"/>
    </row>
    <row r="133" spans="1:21">
      <c r="A133" s="3">
        <v>45639.705555555556</v>
      </c>
      <c r="B133" s="2" t="s">
        <v>26</v>
      </c>
      <c r="C133" s="2" t="s">
        <v>11</v>
      </c>
      <c r="D133" s="6" t="str">
        <f>CONCATENATE(YEAR(A133),"/",IF(MONTH(A133)&lt;10,CONCATENATE("0",MONTH(A133)),MONTH(A133)))</f>
        <v>2024/12</v>
      </c>
      <c r="E133" s="8" t="str">
        <f>IF(IF(D133&lt;&gt;D132,1,IF(OR(B133&lt;&gt;B132,A133-A132&gt;$U$1),1,""))&lt;&gt;1,"",IF(C133="B01",1965,IF(C133="B02",1020,IF(C133="B05",2400,IF(C133="B03",4260,IF(C133="B04",2880,IF(C133="B20",1260,0)))))))</f>
        <v/>
      </c>
      <c r="F133" s="8" t="str">
        <f>IF(IF(D133&lt;&gt;D132,1,IF(OR(B133&lt;&gt;B132,A133-A132&gt;$U$1),1,""))&lt;&gt;1,"",IF(C133="B01",1,IF(C133="B05",1,IF(C133="B03",1,IF(C133="B04",1,IF(C133="B20",1,IF(C133="B02",1,0)))))))</f>
        <v/>
      </c>
      <c r="G133"/>
      <c r="H133" s="2"/>
      <c r="I133" s="2"/>
      <c r="L133"/>
      <c r="R133"/>
      <c r="S133" s="5"/>
      <c r="U133" s="5"/>
    </row>
    <row r="134" spans="1:21">
      <c r="A134" s="3">
        <v>45639.846307870372</v>
      </c>
      <c r="B134" s="2" t="s">
        <v>26</v>
      </c>
      <c r="C134" s="2" t="s">
        <v>12</v>
      </c>
      <c r="D134" s="6" t="str">
        <f>CONCATENATE(YEAR(A134),"/",IF(MONTH(A134)&lt;10,CONCATENATE("0",MONTH(A134)),MONTH(A134)))</f>
        <v>2024/12</v>
      </c>
      <c r="E134" s="8">
        <f>IF(IF(D134&lt;&gt;D133,1,IF(OR(B134&lt;&gt;B133,A134-A133&gt;$U$1),1,""))&lt;&gt;1,"",IF(C134="B01",1965,IF(C134="B02",1020,IF(C134="B05",2400,IF(C134="B03",4260,IF(C134="B04",2880,IF(C134="B20",1260,0)))))))</f>
        <v>4260</v>
      </c>
      <c r="F134" s="8">
        <f>IF(IF(D134&lt;&gt;D133,1,IF(OR(B134&lt;&gt;B133,A134-A133&gt;$U$1),1,""))&lt;&gt;1,"",IF(C134="B01",1,IF(C134="B05",1,IF(C134="B03",1,IF(C134="B04",1,IF(C134="B20",1,IF(C134="B02",1,0)))))))</f>
        <v>1</v>
      </c>
      <c r="G134"/>
      <c r="H134" s="2"/>
      <c r="I134" s="2"/>
      <c r="L134"/>
      <c r="R134"/>
      <c r="S134" s="5"/>
      <c r="U134" s="5"/>
    </row>
    <row r="135" spans="1:21">
      <c r="A135" s="3">
        <v>45639.846307870372</v>
      </c>
      <c r="B135" s="2" t="s">
        <v>26</v>
      </c>
      <c r="C135" s="2" t="s">
        <v>12</v>
      </c>
      <c r="D135" s="6" t="str">
        <f>CONCATENATE(YEAR(A135),"/",IF(MONTH(A135)&lt;10,CONCATENATE("0",MONTH(A135)),MONTH(A135)))</f>
        <v>2024/12</v>
      </c>
      <c r="E135" s="8" t="str">
        <f>IF(IF(D135&lt;&gt;D134,1,IF(OR(B135&lt;&gt;B134,A135-A134&gt;$U$1),1,""))&lt;&gt;1,"",IF(C135="B01",1965,IF(C135="B02",1020,IF(C135="B05",2400,IF(C135="B03",4260,IF(C135="B04",2880,IF(C135="B20",1260,0)))))))</f>
        <v/>
      </c>
      <c r="F135" s="8" t="str">
        <f>IF(IF(D135&lt;&gt;D134,1,IF(OR(B135&lt;&gt;B134,A135-A134&gt;$U$1),1,""))&lt;&gt;1,"",IF(C135="B01",1,IF(C135="B05",1,IF(C135="B03",1,IF(C135="B04",1,IF(C135="B20",1,IF(C135="B02",1,0)))))))</f>
        <v/>
      </c>
      <c r="G135"/>
      <c r="H135" s="2"/>
      <c r="I135" s="2"/>
      <c r="L135"/>
      <c r="R135"/>
      <c r="S135" s="5"/>
      <c r="U135" s="5"/>
    </row>
    <row r="136" spans="1:21">
      <c r="A136" s="3">
        <v>45640.022210648145</v>
      </c>
      <c r="B136" s="2" t="s">
        <v>26</v>
      </c>
      <c r="C136" s="2" t="s">
        <v>11</v>
      </c>
      <c r="D136" s="6" t="str">
        <f>CONCATENATE(YEAR(A136),"/",IF(MONTH(A136)&lt;10,CONCATENATE("0",MONTH(A136)),MONTH(A136)))</f>
        <v>2024/12</v>
      </c>
      <c r="E136" s="8">
        <f>IF(IF(D136&lt;&gt;D135,1,IF(OR(B136&lt;&gt;B135,A136-A135&gt;$U$1),1,""))&lt;&gt;1,"",IF(C136="B01",1965,IF(C136="B02",1020,IF(C136="B05",2400,IF(C136="B03",4260,IF(C136="B04",2880,IF(C136="B20",1260,0)))))))</f>
        <v>2400</v>
      </c>
      <c r="F136" s="8">
        <f>IF(IF(D136&lt;&gt;D135,1,IF(OR(B136&lt;&gt;B135,A136-A135&gt;$U$1),1,""))&lt;&gt;1,"",IF(C136="B01",1,IF(C136="B05",1,IF(C136="B03",1,IF(C136="B04",1,IF(C136="B20",1,IF(C136="B02",1,0)))))))</f>
        <v>1</v>
      </c>
      <c r="G136"/>
      <c r="H136" s="2"/>
      <c r="I136" s="2"/>
      <c r="L136"/>
      <c r="R136"/>
      <c r="S136" s="5"/>
      <c r="U136" s="5"/>
    </row>
    <row r="137" spans="1:21">
      <c r="A137" s="3">
        <v>45640.022210648145</v>
      </c>
      <c r="B137" s="2" t="s">
        <v>26</v>
      </c>
      <c r="C137" s="2" t="s">
        <v>11</v>
      </c>
      <c r="D137" s="6" t="str">
        <f>CONCATENATE(YEAR(A137),"/",IF(MONTH(A137)&lt;10,CONCATENATE("0",MONTH(A137)),MONTH(A137)))</f>
        <v>2024/12</v>
      </c>
      <c r="E137" s="8" t="str">
        <f>IF(IF(D137&lt;&gt;D136,1,IF(OR(B137&lt;&gt;B136,A137-A136&gt;$U$1),1,""))&lt;&gt;1,"",IF(C137="B01",1965,IF(C137="B02",1020,IF(C137="B05",2400,IF(C137="B03",4260,IF(C137="B04",2880,IF(C137="B20",1260,0)))))))</f>
        <v/>
      </c>
      <c r="F137" s="8" t="str">
        <f>IF(IF(D137&lt;&gt;D136,1,IF(OR(B137&lt;&gt;B136,A137-A136&gt;$U$1),1,""))&lt;&gt;1,"",IF(C137="B01",1,IF(C137="B05",1,IF(C137="B03",1,IF(C137="B04",1,IF(C137="B20",1,IF(C137="B02",1,0)))))))</f>
        <v/>
      </c>
      <c r="G137"/>
      <c r="H137" s="2"/>
      <c r="I137" s="2"/>
      <c r="L137"/>
      <c r="R137"/>
      <c r="S137" s="5"/>
      <c r="U137" s="5"/>
    </row>
    <row r="138" spans="1:21">
      <c r="A138" s="3">
        <v>45640.022210648145</v>
      </c>
      <c r="B138" s="2" t="s">
        <v>26</v>
      </c>
      <c r="C138" s="2" t="s">
        <v>11</v>
      </c>
      <c r="D138" s="6" t="str">
        <f>CONCATENATE(YEAR(A138),"/",IF(MONTH(A138)&lt;10,CONCATENATE("0",MONTH(A138)),MONTH(A138)))</f>
        <v>2024/12</v>
      </c>
      <c r="E138" s="8" t="str">
        <f>IF(IF(D138&lt;&gt;D137,1,IF(OR(B138&lt;&gt;B137,A138-A137&gt;$U$1),1,""))&lt;&gt;1,"",IF(C138="B01",1965,IF(C138="B02",1020,IF(C138="B05",2400,IF(C138="B03",4260,IF(C138="B04",2880,IF(C138="B20",1260,0)))))))</f>
        <v/>
      </c>
      <c r="F138" s="8" t="str">
        <f>IF(IF(D138&lt;&gt;D137,1,IF(OR(B138&lt;&gt;B137,A138-A137&gt;$U$1),1,""))&lt;&gt;1,"",IF(C138="B01",1,IF(C138="B05",1,IF(C138="B03",1,IF(C138="B04",1,IF(C138="B20",1,IF(C138="B02",1,0)))))))</f>
        <v/>
      </c>
      <c r="G138"/>
      <c r="H138" s="2"/>
      <c r="I138" s="2"/>
      <c r="L138"/>
      <c r="R138"/>
      <c r="S138" s="5"/>
      <c r="U138" s="5"/>
    </row>
    <row r="139" spans="1:21">
      <c r="A139" s="3">
        <v>45640.201956018522</v>
      </c>
      <c r="B139" s="2" t="s">
        <v>26</v>
      </c>
      <c r="C139" s="2" t="s">
        <v>11</v>
      </c>
      <c r="D139" s="6" t="str">
        <f>CONCATENATE(YEAR(A139),"/",IF(MONTH(A139)&lt;10,CONCATENATE("0",MONTH(A139)),MONTH(A139)))</f>
        <v>2024/12</v>
      </c>
      <c r="E139" s="8">
        <f>IF(IF(D139&lt;&gt;D138,1,IF(OR(B139&lt;&gt;B138,A139-A138&gt;$U$1),1,""))&lt;&gt;1,"",IF(C139="B01",1965,IF(C139="B02",1020,IF(C139="B05",2400,IF(C139="B03",4260,IF(C139="B04",2880,IF(C139="B20",1260,0)))))))</f>
        <v>2400</v>
      </c>
      <c r="F139" s="8">
        <f>IF(IF(D139&lt;&gt;D138,1,IF(OR(B139&lt;&gt;B138,A139-A138&gt;$U$1),1,""))&lt;&gt;1,"",IF(C139="B01",1,IF(C139="B05",1,IF(C139="B03",1,IF(C139="B04",1,IF(C139="B20",1,IF(C139="B02",1,0)))))))</f>
        <v>1</v>
      </c>
      <c r="G139"/>
      <c r="H139" s="2"/>
      <c r="I139" s="2"/>
      <c r="L139"/>
      <c r="R139"/>
      <c r="S139" s="5"/>
      <c r="U139" s="5"/>
    </row>
    <row r="140" spans="1:21">
      <c r="A140" s="3">
        <v>45640.201956018522</v>
      </c>
      <c r="B140" s="2" t="s">
        <v>26</v>
      </c>
      <c r="C140" s="2" t="s">
        <v>11</v>
      </c>
      <c r="D140" s="6" t="str">
        <f>CONCATENATE(YEAR(A140),"/",IF(MONTH(A140)&lt;10,CONCATENATE("0",MONTH(A140)),MONTH(A140)))</f>
        <v>2024/12</v>
      </c>
      <c r="E140" s="8" t="str">
        <f>IF(IF(D140&lt;&gt;D139,1,IF(OR(B140&lt;&gt;B139,A140-A139&gt;$U$1),1,""))&lt;&gt;1,"",IF(C140="B01",1965,IF(C140="B02",1020,IF(C140="B05",2400,IF(C140="B03",4260,IF(C140="B04",2880,IF(C140="B20",1260,0)))))))</f>
        <v/>
      </c>
      <c r="F140" s="8" t="str">
        <f>IF(IF(D140&lt;&gt;D139,1,IF(OR(B140&lt;&gt;B139,A140-A139&gt;$U$1),1,""))&lt;&gt;1,"",IF(C140="B01",1,IF(C140="B05",1,IF(C140="B03",1,IF(C140="B04",1,IF(C140="B20",1,IF(C140="B02",1,0)))))))</f>
        <v/>
      </c>
      <c r="G140"/>
      <c r="H140" s="2"/>
      <c r="I140" s="2"/>
      <c r="L140"/>
      <c r="R140"/>
      <c r="S140" s="5"/>
      <c r="U140" s="5"/>
    </row>
    <row r="141" spans="1:21">
      <c r="A141" s="3">
        <v>45640.327106481483</v>
      </c>
      <c r="B141" s="2" t="s">
        <v>26</v>
      </c>
      <c r="C141" s="2" t="s">
        <v>11</v>
      </c>
      <c r="D141" s="6" t="str">
        <f>CONCATENATE(YEAR(A141),"/",IF(MONTH(A141)&lt;10,CONCATENATE("0",MONTH(A141)),MONTH(A141)))</f>
        <v>2024/12</v>
      </c>
      <c r="E141" s="8">
        <f>IF(IF(D141&lt;&gt;D140,1,IF(OR(B141&lt;&gt;B140,A141-A140&gt;$U$1),1,""))&lt;&gt;1,"",IF(C141="B01",1965,IF(C141="B02",1020,IF(C141="B05",2400,IF(C141="B03",4260,IF(C141="B04",2880,IF(C141="B20",1260,0)))))))</f>
        <v>2400</v>
      </c>
      <c r="F141" s="8">
        <f>IF(IF(D141&lt;&gt;D140,1,IF(OR(B141&lt;&gt;B140,A141-A140&gt;$U$1),1,""))&lt;&gt;1,"",IF(C141="B01",1,IF(C141="B05",1,IF(C141="B03",1,IF(C141="B04",1,IF(C141="B20",1,IF(C141="B02",1,0)))))))</f>
        <v>1</v>
      </c>
      <c r="G141"/>
      <c r="H141" s="2"/>
      <c r="I141" s="2"/>
      <c r="L141"/>
      <c r="R141"/>
      <c r="S141" s="5"/>
      <c r="U141" s="5"/>
    </row>
    <row r="142" spans="1:21">
      <c r="A142" s="3">
        <v>45640.327106481483</v>
      </c>
      <c r="B142" s="2" t="s">
        <v>26</v>
      </c>
      <c r="C142" s="2" t="s">
        <v>11</v>
      </c>
      <c r="D142" s="6" t="str">
        <f>CONCATENATE(YEAR(A142),"/",IF(MONTH(A142)&lt;10,CONCATENATE("0",MONTH(A142)),MONTH(A142)))</f>
        <v>2024/12</v>
      </c>
      <c r="E142" s="8" t="str">
        <f>IF(IF(D142&lt;&gt;D141,1,IF(OR(B142&lt;&gt;B141,A142-A141&gt;$U$1),1,""))&lt;&gt;1,"",IF(C142="B01",1965,IF(C142="B02",1020,IF(C142="B05",2400,IF(C142="B03",4260,IF(C142="B04",2880,IF(C142="B20",1260,0)))))))</f>
        <v/>
      </c>
      <c r="F142" s="8" t="str">
        <f>IF(IF(D142&lt;&gt;D141,1,IF(OR(B142&lt;&gt;B141,A142-A141&gt;$U$1),1,""))&lt;&gt;1,"",IF(C142="B01",1,IF(C142="B05",1,IF(C142="B03",1,IF(C142="B04",1,IF(C142="B20",1,IF(C142="B02",1,0)))))))</f>
        <v/>
      </c>
      <c r="G142"/>
      <c r="H142" s="2"/>
      <c r="I142" s="2"/>
      <c r="L142"/>
      <c r="R142"/>
      <c r="S142" s="5"/>
      <c r="U142" s="5"/>
    </row>
    <row r="143" spans="1:21">
      <c r="A143" s="3">
        <v>45640.754479166666</v>
      </c>
      <c r="B143" s="2" t="s">
        <v>26</v>
      </c>
      <c r="C143" s="2" t="s">
        <v>11</v>
      </c>
      <c r="D143" s="6" t="str">
        <f>CONCATENATE(YEAR(A143),"/",IF(MONTH(A143)&lt;10,CONCATENATE("0",MONTH(A143)),MONTH(A143)))</f>
        <v>2024/12</v>
      </c>
      <c r="E143" s="8">
        <f>IF(IF(D143&lt;&gt;D142,1,IF(OR(B143&lt;&gt;B142,A143-A142&gt;$U$1),1,""))&lt;&gt;1,"",IF(C143="B01",1965,IF(C143="B02",1020,IF(C143="B05",2400,IF(C143="B03",4260,IF(C143="B04",2880,IF(C143="B20",1260,0)))))))</f>
        <v>2400</v>
      </c>
      <c r="F143" s="8">
        <f>IF(IF(D143&lt;&gt;D142,1,IF(OR(B143&lt;&gt;B142,A143-A142&gt;$U$1),1,""))&lt;&gt;1,"",IF(C143="B01",1,IF(C143="B05",1,IF(C143="B03",1,IF(C143="B04",1,IF(C143="B20",1,IF(C143="B02",1,0)))))))</f>
        <v>1</v>
      </c>
      <c r="G143"/>
      <c r="H143" s="2"/>
      <c r="I143" s="2"/>
      <c r="L143"/>
      <c r="R143"/>
      <c r="S143" s="5"/>
      <c r="U143" s="5"/>
    </row>
    <row r="144" spans="1:21">
      <c r="A144" s="3">
        <v>45640.754479166666</v>
      </c>
      <c r="B144" s="2" t="s">
        <v>26</v>
      </c>
      <c r="C144" s="2" t="s">
        <v>11</v>
      </c>
      <c r="D144" s="6" t="str">
        <f>CONCATENATE(YEAR(A144),"/",IF(MONTH(A144)&lt;10,CONCATENATE("0",MONTH(A144)),MONTH(A144)))</f>
        <v>2024/12</v>
      </c>
      <c r="E144" s="8" t="str">
        <f>IF(IF(D144&lt;&gt;D143,1,IF(OR(B144&lt;&gt;B143,A144-A143&gt;$U$1),1,""))&lt;&gt;1,"",IF(C144="B01",1965,IF(C144="B02",1020,IF(C144="B05",2400,IF(C144="B03",4260,IF(C144="B04",2880,IF(C144="B20",1260,0)))))))</f>
        <v/>
      </c>
      <c r="F144" s="8" t="str">
        <f>IF(IF(D144&lt;&gt;D143,1,IF(OR(B144&lt;&gt;B143,A144-A143&gt;$U$1),1,""))&lt;&gt;1,"",IF(C144="B01",1,IF(C144="B05",1,IF(C144="B03",1,IF(C144="B04",1,IF(C144="B20",1,IF(C144="B02",1,0)))))))</f>
        <v/>
      </c>
      <c r="G144"/>
      <c r="H144" s="2"/>
      <c r="I144" s="2"/>
      <c r="L144"/>
      <c r="R144"/>
      <c r="S144" s="5"/>
      <c r="U144" s="5"/>
    </row>
    <row r="145" spans="1:21">
      <c r="A145" s="3">
        <v>45640.950879629629</v>
      </c>
      <c r="B145" s="2" t="s">
        <v>26</v>
      </c>
      <c r="C145" s="2" t="s">
        <v>12</v>
      </c>
      <c r="D145" s="6" t="str">
        <f>CONCATENATE(YEAR(A145),"/",IF(MONTH(A145)&lt;10,CONCATENATE("0",MONTH(A145)),MONTH(A145)))</f>
        <v>2024/12</v>
      </c>
      <c r="E145" s="8">
        <f>IF(IF(D145&lt;&gt;D144,1,IF(OR(B145&lt;&gt;B144,A145-A144&gt;$U$1),1,""))&lt;&gt;1,"",IF(C145="B01",1965,IF(C145="B02",1020,IF(C145="B05",2400,IF(C145="B03",4260,IF(C145="B04",2880,IF(C145="B20",1260,0)))))))</f>
        <v>4260</v>
      </c>
      <c r="F145" s="8">
        <f>IF(IF(D145&lt;&gt;D144,1,IF(OR(B145&lt;&gt;B144,A145-A144&gt;$U$1),1,""))&lt;&gt;1,"",IF(C145="B01",1,IF(C145="B05",1,IF(C145="B03",1,IF(C145="B04",1,IF(C145="B20",1,IF(C145="B02",1,0)))))))</f>
        <v>1</v>
      </c>
      <c r="G145"/>
      <c r="H145" s="2"/>
      <c r="I145" s="2"/>
      <c r="L145"/>
      <c r="R145"/>
      <c r="S145" s="5"/>
      <c r="U145" s="5"/>
    </row>
    <row r="146" spans="1:21">
      <c r="A146" s="3">
        <v>45641.213182870371</v>
      </c>
      <c r="B146" s="2" t="s">
        <v>26</v>
      </c>
      <c r="C146" s="2" t="s">
        <v>11</v>
      </c>
      <c r="D146" s="6" t="str">
        <f>CONCATENATE(YEAR(A146),"/",IF(MONTH(A146)&lt;10,CONCATENATE("0",MONTH(A146)),MONTH(A146)))</f>
        <v>2024/12</v>
      </c>
      <c r="E146" s="8">
        <f>IF(IF(D146&lt;&gt;D145,1,IF(OR(B146&lt;&gt;B145,A146-A145&gt;$U$1),1,""))&lt;&gt;1,"",IF(C146="B01",1965,IF(C146="B02",1020,IF(C146="B05",2400,IF(C146="B03",4260,IF(C146="B04",2880,IF(C146="B20",1260,0)))))))</f>
        <v>2400</v>
      </c>
      <c r="F146" s="8">
        <f>IF(IF(D146&lt;&gt;D145,1,IF(OR(B146&lt;&gt;B145,A146-A145&gt;$U$1),1,""))&lt;&gt;1,"",IF(C146="B01",1,IF(C146="B05",1,IF(C146="B03",1,IF(C146="B04",1,IF(C146="B20",1,IF(C146="B02",1,0)))))))</f>
        <v>1</v>
      </c>
      <c r="G146"/>
      <c r="H146" s="2"/>
      <c r="I146" s="2"/>
      <c r="L146"/>
      <c r="R146"/>
      <c r="S146" s="5"/>
      <c r="U146" s="5"/>
    </row>
    <row r="147" spans="1:21">
      <c r="A147" s="3">
        <v>45641.213182870371</v>
      </c>
      <c r="B147" s="2" t="s">
        <v>26</v>
      </c>
      <c r="C147" s="2" t="s">
        <v>11</v>
      </c>
      <c r="D147" s="6" t="str">
        <f>CONCATENATE(YEAR(A147),"/",IF(MONTH(A147)&lt;10,CONCATENATE("0",MONTH(A147)),MONTH(A147)))</f>
        <v>2024/12</v>
      </c>
      <c r="E147" s="8" t="str">
        <f>IF(IF(D147&lt;&gt;D146,1,IF(OR(B147&lt;&gt;B146,A147-A146&gt;$U$1),1,""))&lt;&gt;1,"",IF(C147="B01",1965,IF(C147="B02",1020,IF(C147="B05",2400,IF(C147="B03",4260,IF(C147="B04",2880,IF(C147="B20",1260,0)))))))</f>
        <v/>
      </c>
      <c r="F147" s="8" t="str">
        <f>IF(IF(D147&lt;&gt;D146,1,IF(OR(B147&lt;&gt;B146,A147-A146&gt;$U$1),1,""))&lt;&gt;1,"",IF(C147="B01",1,IF(C147="B05",1,IF(C147="B03",1,IF(C147="B04",1,IF(C147="B20",1,IF(C147="B02",1,0)))))))</f>
        <v/>
      </c>
      <c r="G147"/>
      <c r="H147" s="2"/>
      <c r="I147" s="2"/>
      <c r="L147"/>
      <c r="R147"/>
      <c r="S147" s="5"/>
      <c r="U147" s="5"/>
    </row>
    <row r="148" spans="1:21">
      <c r="A148" s="3">
        <v>45641.213182870371</v>
      </c>
      <c r="B148" s="2" t="s">
        <v>26</v>
      </c>
      <c r="C148" s="2" t="s">
        <v>11</v>
      </c>
      <c r="D148" s="6" t="str">
        <f>CONCATENATE(YEAR(A148),"/",IF(MONTH(A148)&lt;10,CONCATENATE("0",MONTH(A148)),MONTH(A148)))</f>
        <v>2024/12</v>
      </c>
      <c r="E148" s="8" t="str">
        <f>IF(IF(D148&lt;&gt;D147,1,IF(OR(B148&lt;&gt;B147,A148-A147&gt;$U$1),1,""))&lt;&gt;1,"",IF(C148="B01",1965,IF(C148="B02",1020,IF(C148="B05",2400,IF(C148="B03",4260,IF(C148="B04",2880,IF(C148="B20",1260,0)))))))</f>
        <v/>
      </c>
      <c r="F148" s="8" t="str">
        <f>IF(IF(D148&lt;&gt;D147,1,IF(OR(B148&lt;&gt;B147,A148-A147&gt;$U$1),1,""))&lt;&gt;1,"",IF(C148="B01",1,IF(C148="B05",1,IF(C148="B03",1,IF(C148="B04",1,IF(C148="B20",1,IF(C148="B02",1,0)))))))</f>
        <v/>
      </c>
      <c r="G148"/>
      <c r="H148" s="2"/>
      <c r="I148" s="2"/>
      <c r="L148"/>
      <c r="R148"/>
      <c r="S148" s="5"/>
      <c r="U148" s="5"/>
    </row>
    <row r="149" spans="1:21">
      <c r="A149" s="3">
        <v>45641.566365740742</v>
      </c>
      <c r="B149" s="2" t="s">
        <v>26</v>
      </c>
      <c r="C149" s="2" t="s">
        <v>12</v>
      </c>
      <c r="D149" s="6" t="str">
        <f>CONCATENATE(YEAR(A149),"/",IF(MONTH(A149)&lt;10,CONCATENATE("0",MONTH(A149)),MONTH(A149)))</f>
        <v>2024/12</v>
      </c>
      <c r="E149" s="8">
        <f>IF(IF(D149&lt;&gt;D148,1,IF(OR(B149&lt;&gt;B148,A149-A148&gt;$U$1),1,""))&lt;&gt;1,"",IF(C149="B01",1965,IF(C149="B02",1020,IF(C149="B05",2400,IF(C149="B03",4260,IF(C149="B04",2880,IF(C149="B20",1260,0)))))))</f>
        <v>4260</v>
      </c>
      <c r="F149" s="8">
        <f>IF(IF(D149&lt;&gt;D148,1,IF(OR(B149&lt;&gt;B148,A149-A148&gt;$U$1),1,""))&lt;&gt;1,"",IF(C149="B01",1,IF(C149="B05",1,IF(C149="B03",1,IF(C149="B04",1,IF(C149="B20",1,IF(C149="B02",1,0)))))))</f>
        <v>1</v>
      </c>
      <c r="G149"/>
      <c r="H149" s="2"/>
      <c r="I149" s="2"/>
      <c r="L149"/>
      <c r="R149"/>
      <c r="S149" s="5"/>
      <c r="U149" s="5"/>
    </row>
    <row r="150" spans="1:21">
      <c r="A150" s="3">
        <v>45641.566365740742</v>
      </c>
      <c r="B150" s="2" t="s">
        <v>26</v>
      </c>
      <c r="C150" s="2" t="s">
        <v>12</v>
      </c>
      <c r="D150" s="6" t="str">
        <f>CONCATENATE(YEAR(A150),"/",IF(MONTH(A150)&lt;10,CONCATENATE("0",MONTH(A150)),MONTH(A150)))</f>
        <v>2024/12</v>
      </c>
      <c r="E150" s="8" t="str">
        <f>IF(IF(D150&lt;&gt;D149,1,IF(OR(B150&lt;&gt;B149,A150-A149&gt;$U$1),1,""))&lt;&gt;1,"",IF(C150="B01",1965,IF(C150="B02",1020,IF(C150="B05",2400,IF(C150="B03",4260,IF(C150="B04",2880,IF(C150="B20",1260,0)))))))</f>
        <v/>
      </c>
      <c r="F150" s="8" t="str">
        <f>IF(IF(D150&lt;&gt;D149,1,IF(OR(B150&lt;&gt;B149,A150-A149&gt;$U$1),1,""))&lt;&gt;1,"",IF(C150="B01",1,IF(C150="B05",1,IF(C150="B03",1,IF(C150="B04",1,IF(C150="B20",1,IF(C150="B02",1,0)))))))</f>
        <v/>
      </c>
      <c r="G150"/>
      <c r="H150" s="2"/>
      <c r="I150" s="2"/>
      <c r="L150"/>
      <c r="R150"/>
      <c r="S150" s="5"/>
      <c r="U150" s="5"/>
    </row>
    <row r="151" spans="1:21">
      <c r="A151" s="3">
        <v>45641.566365740742</v>
      </c>
      <c r="B151" s="2" t="s">
        <v>26</v>
      </c>
      <c r="C151" s="2" t="s">
        <v>12</v>
      </c>
      <c r="D151" s="6" t="str">
        <f>CONCATENATE(YEAR(A151),"/",IF(MONTH(A151)&lt;10,CONCATENATE("0",MONTH(A151)),MONTH(A151)))</f>
        <v>2024/12</v>
      </c>
      <c r="E151" s="8" t="str">
        <f>IF(IF(D151&lt;&gt;D150,1,IF(OR(B151&lt;&gt;B150,A151-A150&gt;$U$1),1,""))&lt;&gt;1,"",IF(C151="B01",1965,IF(C151="B02",1020,IF(C151="B05",2400,IF(C151="B03",4260,IF(C151="B04",2880,IF(C151="B20",1260,0)))))))</f>
        <v/>
      </c>
      <c r="F151" s="8" t="str">
        <f>IF(IF(D151&lt;&gt;D150,1,IF(OR(B151&lt;&gt;B150,A151-A150&gt;$U$1),1,""))&lt;&gt;1,"",IF(C151="B01",1,IF(C151="B05",1,IF(C151="B03",1,IF(C151="B04",1,IF(C151="B20",1,IF(C151="B02",1,0)))))))</f>
        <v/>
      </c>
      <c r="G151"/>
      <c r="H151" s="2"/>
      <c r="I151" s="2"/>
      <c r="L151"/>
      <c r="R151"/>
      <c r="S151" s="5"/>
      <c r="U151" s="5"/>
    </row>
    <row r="152" spans="1:21">
      <c r="A152" s="3">
        <v>45641.764166666668</v>
      </c>
      <c r="B152" s="2" t="s">
        <v>26</v>
      </c>
      <c r="C152" s="2" t="s">
        <v>11</v>
      </c>
      <c r="D152" s="6" t="str">
        <f>CONCATENATE(YEAR(A152),"/",IF(MONTH(A152)&lt;10,CONCATENATE("0",MONTH(A152)),MONTH(A152)))</f>
        <v>2024/12</v>
      </c>
      <c r="E152" s="8">
        <f>IF(IF(D152&lt;&gt;D151,1,IF(OR(B152&lt;&gt;B151,A152-A151&gt;$U$1),1,""))&lt;&gt;1,"",IF(C152="B01",1965,IF(C152="B02",1020,IF(C152="B05",2400,IF(C152="B03",4260,IF(C152="B04",2880,IF(C152="B20",1260,0)))))))</f>
        <v>2400</v>
      </c>
      <c r="F152" s="8">
        <f>IF(IF(D152&lt;&gt;D151,1,IF(OR(B152&lt;&gt;B151,A152-A151&gt;$U$1),1,""))&lt;&gt;1,"",IF(C152="B01",1,IF(C152="B05",1,IF(C152="B03",1,IF(C152="B04",1,IF(C152="B20",1,IF(C152="B02",1,0)))))))</f>
        <v>1</v>
      </c>
      <c r="G152"/>
      <c r="H152" s="2"/>
      <c r="I152" s="2"/>
      <c r="L152"/>
      <c r="R152"/>
      <c r="S152" s="5"/>
      <c r="U152" s="5"/>
    </row>
    <row r="153" spans="1:21">
      <c r="A153" s="3">
        <v>45641.764166666668</v>
      </c>
      <c r="B153" s="2" t="s">
        <v>26</v>
      </c>
      <c r="C153" s="2" t="s">
        <v>11</v>
      </c>
      <c r="D153" s="6" t="str">
        <f>CONCATENATE(YEAR(A153),"/",IF(MONTH(A153)&lt;10,CONCATENATE("0",MONTH(A153)),MONTH(A153)))</f>
        <v>2024/12</v>
      </c>
      <c r="E153" s="8" t="str">
        <f>IF(IF(D153&lt;&gt;D152,1,IF(OR(B153&lt;&gt;B152,A153-A152&gt;$U$1),1,""))&lt;&gt;1,"",IF(C153="B01",1965,IF(C153="B02",1020,IF(C153="B05",2400,IF(C153="B03",4260,IF(C153="B04",2880,IF(C153="B20",1260,0)))))))</f>
        <v/>
      </c>
      <c r="F153" s="8" t="str">
        <f>IF(IF(D153&lt;&gt;D152,1,IF(OR(B153&lt;&gt;B152,A153-A152&gt;$U$1),1,""))&lt;&gt;1,"",IF(C153="B01",1,IF(C153="B05",1,IF(C153="B03",1,IF(C153="B04",1,IF(C153="B20",1,IF(C153="B02",1,0)))))))</f>
        <v/>
      </c>
      <c r="G153"/>
      <c r="H153" s="2"/>
      <c r="I153" s="2"/>
      <c r="L153"/>
      <c r="R153"/>
      <c r="S153" s="5"/>
      <c r="U153" s="5"/>
    </row>
    <row r="154" spans="1:21">
      <c r="A154" s="3">
        <v>45641.764166666668</v>
      </c>
      <c r="B154" s="2" t="s">
        <v>26</v>
      </c>
      <c r="C154" s="2" t="s">
        <v>11</v>
      </c>
      <c r="D154" s="6" t="str">
        <f>CONCATENATE(YEAR(A154),"/",IF(MONTH(A154)&lt;10,CONCATENATE("0",MONTH(A154)),MONTH(A154)))</f>
        <v>2024/12</v>
      </c>
      <c r="E154" s="8" t="str">
        <f>IF(IF(D154&lt;&gt;D153,1,IF(OR(B154&lt;&gt;B153,A154-A153&gt;$U$1),1,""))&lt;&gt;1,"",IF(C154="B01",1965,IF(C154="B02",1020,IF(C154="B05",2400,IF(C154="B03",4260,IF(C154="B04",2880,IF(C154="B20",1260,0)))))))</f>
        <v/>
      </c>
      <c r="F154" s="8" t="str">
        <f>IF(IF(D154&lt;&gt;D153,1,IF(OR(B154&lt;&gt;B153,A154-A153&gt;$U$1),1,""))&lt;&gt;1,"",IF(C154="B01",1,IF(C154="B05",1,IF(C154="B03",1,IF(C154="B04",1,IF(C154="B20",1,IF(C154="B02",1,0)))))))</f>
        <v/>
      </c>
      <c r="G154"/>
      <c r="H154" s="2"/>
      <c r="I154" s="2"/>
      <c r="L154"/>
      <c r="R154"/>
      <c r="S154" s="5"/>
      <c r="U154" s="5"/>
    </row>
    <row r="155" spans="1:21">
      <c r="A155" s="3">
        <v>45641.764166666668</v>
      </c>
      <c r="B155" s="2" t="s">
        <v>26</v>
      </c>
      <c r="C155" s="2" t="s">
        <v>11</v>
      </c>
      <c r="D155" s="6" t="str">
        <f>CONCATENATE(YEAR(A155),"/",IF(MONTH(A155)&lt;10,CONCATENATE("0",MONTH(A155)),MONTH(A155)))</f>
        <v>2024/12</v>
      </c>
      <c r="E155" s="8" t="str">
        <f>IF(IF(D155&lt;&gt;D154,1,IF(OR(B155&lt;&gt;B154,A155-A154&gt;$U$1),1,""))&lt;&gt;1,"",IF(C155="B01",1965,IF(C155="B02",1020,IF(C155="B05",2400,IF(C155="B03",4260,IF(C155="B04",2880,IF(C155="B20",1260,0)))))))</f>
        <v/>
      </c>
      <c r="F155" s="8" t="str">
        <f>IF(IF(D155&lt;&gt;D154,1,IF(OR(B155&lt;&gt;B154,A155-A154&gt;$U$1),1,""))&lt;&gt;1,"",IF(C155="B01",1,IF(C155="B05",1,IF(C155="B03",1,IF(C155="B04",1,IF(C155="B20",1,IF(C155="B02",1,0)))))))</f>
        <v/>
      </c>
      <c r="G155"/>
      <c r="H155" s="2"/>
      <c r="I155" s="2"/>
      <c r="L155"/>
      <c r="R155"/>
      <c r="S155" s="5"/>
      <c r="U155" s="5"/>
    </row>
    <row r="156" spans="1:21">
      <c r="A156" s="3">
        <v>45641.764166666668</v>
      </c>
      <c r="B156" s="2" t="s">
        <v>26</v>
      </c>
      <c r="C156" s="2" t="s">
        <v>11</v>
      </c>
      <c r="D156" s="6" t="str">
        <f>CONCATENATE(YEAR(A156),"/",IF(MONTH(A156)&lt;10,CONCATENATE("0",MONTH(A156)),MONTH(A156)))</f>
        <v>2024/12</v>
      </c>
      <c r="E156" s="8" t="str">
        <f>IF(IF(D156&lt;&gt;D155,1,IF(OR(B156&lt;&gt;B155,A156-A155&gt;$U$1),1,""))&lt;&gt;1,"",IF(C156="B01",1965,IF(C156="B02",1020,IF(C156="B05",2400,IF(C156="B03",4260,IF(C156="B04",2880,IF(C156="B20",1260,0)))))))</f>
        <v/>
      </c>
      <c r="F156" s="8" t="str">
        <f>IF(IF(D156&lt;&gt;D155,1,IF(OR(B156&lt;&gt;B155,A156-A155&gt;$U$1),1,""))&lt;&gt;1,"",IF(C156="B01",1,IF(C156="B05",1,IF(C156="B03",1,IF(C156="B04",1,IF(C156="B20",1,IF(C156="B02",1,0)))))))</f>
        <v/>
      </c>
      <c r="G156"/>
      <c r="H156" s="2"/>
      <c r="I156" s="2"/>
      <c r="L156"/>
      <c r="R156"/>
      <c r="S156" s="5"/>
      <c r="U156" s="5"/>
    </row>
    <row r="157" spans="1:21">
      <c r="A157" s="3">
        <v>45641.884884259256</v>
      </c>
      <c r="B157" s="2" t="s">
        <v>26</v>
      </c>
      <c r="C157" s="2" t="s">
        <v>11</v>
      </c>
      <c r="D157" s="6" t="str">
        <f>CONCATENATE(YEAR(A157),"/",IF(MONTH(A157)&lt;10,CONCATENATE("0",MONTH(A157)),MONTH(A157)))</f>
        <v>2024/12</v>
      </c>
      <c r="E157" s="8">
        <f>IF(IF(D157&lt;&gt;D156,1,IF(OR(B157&lt;&gt;B156,A157-A156&gt;$U$1),1,""))&lt;&gt;1,"",IF(C157="B01",1965,IF(C157="B02",1020,IF(C157="B05",2400,IF(C157="B03",4260,IF(C157="B04",2880,IF(C157="B20",1260,0)))))))</f>
        <v>2400</v>
      </c>
      <c r="F157" s="8">
        <f>IF(IF(D157&lt;&gt;D156,1,IF(OR(B157&lt;&gt;B156,A157-A156&gt;$U$1),1,""))&lt;&gt;1,"",IF(C157="B01",1,IF(C157="B05",1,IF(C157="B03",1,IF(C157="B04",1,IF(C157="B20",1,IF(C157="B02",1,0)))))))</f>
        <v>1</v>
      </c>
      <c r="G157"/>
      <c r="H157" s="2"/>
      <c r="I157" s="2"/>
      <c r="L157"/>
      <c r="R157"/>
      <c r="S157" s="5"/>
      <c r="U157" s="5"/>
    </row>
    <row r="158" spans="1:21">
      <c r="A158" s="3">
        <v>45641.884884259256</v>
      </c>
      <c r="B158" s="2" t="s">
        <v>26</v>
      </c>
      <c r="C158" s="2" t="s">
        <v>11</v>
      </c>
      <c r="D158" s="6" t="str">
        <f>CONCATENATE(YEAR(A158),"/",IF(MONTH(A158)&lt;10,CONCATENATE("0",MONTH(A158)),MONTH(A158)))</f>
        <v>2024/12</v>
      </c>
      <c r="E158" s="8" t="str">
        <f>IF(IF(D158&lt;&gt;D157,1,IF(OR(B158&lt;&gt;B157,A158-A157&gt;$U$1),1,""))&lt;&gt;1,"",IF(C158="B01",1965,IF(C158="B02",1020,IF(C158="B05",2400,IF(C158="B03",4260,IF(C158="B04",2880,IF(C158="B20",1260,0)))))))</f>
        <v/>
      </c>
      <c r="F158" s="8" t="str">
        <f>IF(IF(D158&lt;&gt;D157,1,IF(OR(B158&lt;&gt;B157,A158-A157&gt;$U$1),1,""))&lt;&gt;1,"",IF(C158="B01",1,IF(C158="B05",1,IF(C158="B03",1,IF(C158="B04",1,IF(C158="B20",1,IF(C158="B02",1,0)))))))</f>
        <v/>
      </c>
      <c r="G158"/>
      <c r="H158" s="2"/>
      <c r="I158" s="2"/>
      <c r="L158"/>
      <c r="R158"/>
      <c r="S158" s="5"/>
      <c r="U158" s="5"/>
    </row>
    <row r="159" spans="1:21">
      <c r="A159" s="3">
        <v>45641.884884259256</v>
      </c>
      <c r="B159" s="2" t="s">
        <v>26</v>
      </c>
      <c r="C159" s="2" t="s">
        <v>11</v>
      </c>
      <c r="D159" s="6" t="str">
        <f>CONCATENATE(YEAR(A159),"/",IF(MONTH(A159)&lt;10,CONCATENATE("0",MONTH(A159)),MONTH(A159)))</f>
        <v>2024/12</v>
      </c>
      <c r="E159" s="8" t="str">
        <f>IF(IF(D159&lt;&gt;D158,1,IF(OR(B159&lt;&gt;B158,A159-A158&gt;$U$1),1,""))&lt;&gt;1,"",IF(C159="B01",1965,IF(C159="B02",1020,IF(C159="B05",2400,IF(C159="B03",4260,IF(C159="B04",2880,IF(C159="B20",1260,0)))))))</f>
        <v/>
      </c>
      <c r="F159" s="8" t="str">
        <f>IF(IF(D159&lt;&gt;D158,1,IF(OR(B159&lt;&gt;B158,A159-A158&gt;$U$1),1,""))&lt;&gt;1,"",IF(C159="B01",1,IF(C159="B05",1,IF(C159="B03",1,IF(C159="B04",1,IF(C159="B20",1,IF(C159="B02",1,0)))))))</f>
        <v/>
      </c>
      <c r="G159"/>
      <c r="H159" s="2"/>
      <c r="I159" s="2"/>
      <c r="L159"/>
      <c r="R159"/>
      <c r="S159" s="5"/>
      <c r="U159" s="5"/>
    </row>
    <row r="160" spans="1:21">
      <c r="A160" s="3">
        <v>45642.064803240741</v>
      </c>
      <c r="B160" s="2" t="s">
        <v>26</v>
      </c>
      <c r="C160" s="2" t="s">
        <v>11</v>
      </c>
      <c r="D160" s="6" t="str">
        <f>CONCATENATE(YEAR(A160),"/",IF(MONTH(A160)&lt;10,CONCATENATE("0",MONTH(A160)),MONTH(A160)))</f>
        <v>2024/12</v>
      </c>
      <c r="E160" s="8">
        <f>IF(IF(D160&lt;&gt;D159,1,IF(OR(B160&lt;&gt;B159,A160-A159&gt;$U$1),1,""))&lt;&gt;1,"",IF(C160="B01",1965,IF(C160="B02",1020,IF(C160="B05",2400,IF(C160="B03",4260,IF(C160="B04",2880,IF(C160="B20",1260,0)))))))</f>
        <v>2400</v>
      </c>
      <c r="F160" s="8">
        <f>IF(IF(D160&lt;&gt;D159,1,IF(OR(B160&lt;&gt;B159,A160-A159&gt;$U$1),1,""))&lt;&gt;1,"",IF(C160="B01",1,IF(C160="B05",1,IF(C160="B03",1,IF(C160="B04",1,IF(C160="B20",1,IF(C160="B02",1,0)))))))</f>
        <v>1</v>
      </c>
      <c r="G160"/>
      <c r="H160" s="2"/>
      <c r="I160" s="2"/>
      <c r="L160"/>
      <c r="R160"/>
      <c r="S160" s="5"/>
      <c r="U160" s="5"/>
    </row>
    <row r="161" spans="1:21">
      <c r="A161" s="3">
        <v>45642.064803240741</v>
      </c>
      <c r="B161" s="2" t="s">
        <v>26</v>
      </c>
      <c r="C161" s="2" t="s">
        <v>11</v>
      </c>
      <c r="D161" s="6" t="str">
        <f>CONCATENATE(YEAR(A161),"/",IF(MONTH(A161)&lt;10,CONCATENATE("0",MONTH(A161)),MONTH(A161)))</f>
        <v>2024/12</v>
      </c>
      <c r="E161" s="8" t="str">
        <f>IF(IF(D161&lt;&gt;D160,1,IF(OR(B161&lt;&gt;B160,A161-A160&gt;$U$1),1,""))&lt;&gt;1,"",IF(C161="B01",1965,IF(C161="B02",1020,IF(C161="B05",2400,IF(C161="B03",4260,IF(C161="B04",2880,IF(C161="B20",1260,0)))))))</f>
        <v/>
      </c>
      <c r="F161" s="8" t="str">
        <f>IF(IF(D161&lt;&gt;D160,1,IF(OR(B161&lt;&gt;B160,A161-A160&gt;$U$1),1,""))&lt;&gt;1,"",IF(C161="B01",1,IF(C161="B05",1,IF(C161="B03",1,IF(C161="B04",1,IF(C161="B20",1,IF(C161="B02",1,0)))))))</f>
        <v/>
      </c>
      <c r="G161"/>
      <c r="H161" s="2"/>
      <c r="I161" s="2"/>
      <c r="L161"/>
      <c r="R161"/>
      <c r="S161" s="5"/>
      <c r="U161" s="5"/>
    </row>
    <row r="162" spans="1:21">
      <c r="A162" s="3">
        <v>45642.064803240741</v>
      </c>
      <c r="B162" s="2" t="s">
        <v>26</v>
      </c>
      <c r="C162" s="2" t="s">
        <v>11</v>
      </c>
      <c r="D162" s="6" t="str">
        <f>CONCATENATE(YEAR(A162),"/",IF(MONTH(A162)&lt;10,CONCATENATE("0",MONTH(A162)),MONTH(A162)))</f>
        <v>2024/12</v>
      </c>
      <c r="E162" s="8" t="str">
        <f>IF(IF(D162&lt;&gt;D161,1,IF(OR(B162&lt;&gt;B161,A162-A161&gt;$U$1),1,""))&lt;&gt;1,"",IF(C162="B01",1965,IF(C162="B02",1020,IF(C162="B05",2400,IF(C162="B03",4260,IF(C162="B04",2880,IF(C162="B20",1260,0)))))))</f>
        <v/>
      </c>
      <c r="F162" s="8" t="str">
        <f>IF(IF(D162&lt;&gt;D161,1,IF(OR(B162&lt;&gt;B161,A162-A161&gt;$U$1),1,""))&lt;&gt;1,"",IF(C162="B01",1,IF(C162="B05",1,IF(C162="B03",1,IF(C162="B04",1,IF(C162="B20",1,IF(C162="B02",1,0)))))))</f>
        <v/>
      </c>
      <c r="G162"/>
      <c r="H162" s="2"/>
      <c r="I162" s="2"/>
      <c r="L162"/>
      <c r="R162"/>
      <c r="S162" s="5"/>
      <c r="U162" s="5"/>
    </row>
    <row r="163" spans="1:21">
      <c r="A163" s="3">
        <v>45642.064803240741</v>
      </c>
      <c r="B163" s="2" t="s">
        <v>26</v>
      </c>
      <c r="C163" s="2" t="s">
        <v>11</v>
      </c>
      <c r="D163" s="6" t="str">
        <f>CONCATENATE(YEAR(A163),"/",IF(MONTH(A163)&lt;10,CONCATENATE("0",MONTH(A163)),MONTH(A163)))</f>
        <v>2024/12</v>
      </c>
      <c r="E163" s="8" t="str">
        <f>IF(IF(D163&lt;&gt;D162,1,IF(OR(B163&lt;&gt;B162,A163-A162&gt;$U$1),1,""))&lt;&gt;1,"",IF(C163="B01",1965,IF(C163="B02",1020,IF(C163="B05",2400,IF(C163="B03",4260,IF(C163="B04",2880,IF(C163="B20",1260,0)))))))</f>
        <v/>
      </c>
      <c r="F163" s="8" t="str">
        <f>IF(IF(D163&lt;&gt;D162,1,IF(OR(B163&lt;&gt;B162,A163-A162&gt;$U$1),1,""))&lt;&gt;1,"",IF(C163="B01",1,IF(C163="B05",1,IF(C163="B03",1,IF(C163="B04",1,IF(C163="B20",1,IF(C163="B02",1,0)))))))</f>
        <v/>
      </c>
      <c r="G163"/>
      <c r="H163" s="2"/>
      <c r="I163" s="2"/>
      <c r="L163"/>
      <c r="R163"/>
      <c r="S163" s="5"/>
      <c r="U163" s="5"/>
    </row>
    <row r="164" spans="1:21">
      <c r="A164" s="3">
        <v>45642.262569444443</v>
      </c>
      <c r="B164" s="2" t="s">
        <v>26</v>
      </c>
      <c r="C164" s="2" t="s">
        <v>12</v>
      </c>
      <c r="D164" s="6" t="str">
        <f>CONCATENATE(YEAR(A164),"/",IF(MONTH(A164)&lt;10,CONCATENATE("0",MONTH(A164)),MONTH(A164)))</f>
        <v>2024/12</v>
      </c>
      <c r="E164" s="8">
        <f>IF(IF(D164&lt;&gt;D163,1,IF(OR(B164&lt;&gt;B163,A164-A163&gt;$U$1),1,""))&lt;&gt;1,"",IF(C164="B01",1965,IF(C164="B02",1020,IF(C164="B05",2400,IF(C164="B03",4260,IF(C164="B04",2880,IF(C164="B20",1260,0)))))))</f>
        <v>4260</v>
      </c>
      <c r="F164" s="8">
        <f>IF(IF(D164&lt;&gt;D163,1,IF(OR(B164&lt;&gt;B163,A164-A163&gt;$U$1),1,""))&lt;&gt;1,"",IF(C164="B01",1,IF(C164="B05",1,IF(C164="B03",1,IF(C164="B04",1,IF(C164="B20",1,IF(C164="B02",1,0)))))))</f>
        <v>1</v>
      </c>
      <c r="G164"/>
      <c r="H164" s="2"/>
      <c r="I164" s="2"/>
      <c r="L164"/>
      <c r="R164"/>
      <c r="S164" s="5"/>
      <c r="U164" s="5"/>
    </row>
    <row r="165" spans="1:21">
      <c r="A165" s="3">
        <v>45642.262569444443</v>
      </c>
      <c r="B165" s="2" t="s">
        <v>26</v>
      </c>
      <c r="C165" s="2" t="s">
        <v>12</v>
      </c>
      <c r="D165" s="6" t="str">
        <f>CONCATENATE(YEAR(A165),"/",IF(MONTH(A165)&lt;10,CONCATENATE("0",MONTH(A165)),MONTH(A165)))</f>
        <v>2024/12</v>
      </c>
      <c r="E165" s="8" t="str">
        <f>IF(IF(D165&lt;&gt;D164,1,IF(OR(B165&lt;&gt;B164,A165-A164&gt;$U$1),1,""))&lt;&gt;1,"",IF(C165="B01",1965,IF(C165="B02",1020,IF(C165="B05",2400,IF(C165="B03",4260,IF(C165="B04",2880,IF(C165="B20",1260,0)))))))</f>
        <v/>
      </c>
      <c r="F165" s="8" t="str">
        <f>IF(IF(D165&lt;&gt;D164,1,IF(OR(B165&lt;&gt;B164,A165-A164&gt;$U$1),1,""))&lt;&gt;1,"",IF(C165="B01",1,IF(C165="B05",1,IF(C165="B03",1,IF(C165="B04",1,IF(C165="B20",1,IF(C165="B02",1,0)))))))</f>
        <v/>
      </c>
      <c r="G165"/>
      <c r="H165" s="2"/>
      <c r="I165" s="2"/>
      <c r="L165"/>
      <c r="R165"/>
      <c r="S165" s="5"/>
      <c r="U165" s="5"/>
    </row>
    <row r="166" spans="1:21">
      <c r="A166" s="3">
        <v>45642.525439814817</v>
      </c>
      <c r="B166" s="2" t="s">
        <v>26</v>
      </c>
      <c r="C166" s="2" t="s">
        <v>11</v>
      </c>
      <c r="D166" s="6" t="str">
        <f>CONCATENATE(YEAR(A166),"/",IF(MONTH(A166)&lt;10,CONCATENATE("0",MONTH(A166)),MONTH(A166)))</f>
        <v>2024/12</v>
      </c>
      <c r="E166" s="8">
        <f>IF(IF(D166&lt;&gt;D165,1,IF(OR(B166&lt;&gt;B165,A166-A165&gt;$U$1),1,""))&lt;&gt;1,"",IF(C166="B01",1965,IF(C166="B02",1020,IF(C166="B05",2400,IF(C166="B03",4260,IF(C166="B04",2880,IF(C166="B20",1260,0)))))))</f>
        <v>2400</v>
      </c>
      <c r="F166" s="8">
        <f>IF(IF(D166&lt;&gt;D165,1,IF(OR(B166&lt;&gt;B165,A166-A165&gt;$U$1),1,""))&lt;&gt;1,"",IF(C166="B01",1,IF(C166="B05",1,IF(C166="B03",1,IF(C166="B04",1,IF(C166="B20",1,IF(C166="B02",1,0)))))))</f>
        <v>1</v>
      </c>
      <c r="G166"/>
      <c r="H166" s="2"/>
      <c r="I166" s="2"/>
      <c r="L166"/>
      <c r="R166"/>
      <c r="S166" s="5"/>
      <c r="U166" s="5"/>
    </row>
    <row r="167" spans="1:21">
      <c r="A167" s="3">
        <v>45642.525439814817</v>
      </c>
      <c r="B167" s="2" t="s">
        <v>26</v>
      </c>
      <c r="C167" s="2" t="s">
        <v>11</v>
      </c>
      <c r="D167" s="6" t="str">
        <f>CONCATENATE(YEAR(A167),"/",IF(MONTH(A167)&lt;10,CONCATENATE("0",MONTH(A167)),MONTH(A167)))</f>
        <v>2024/12</v>
      </c>
      <c r="E167" s="8" t="str">
        <f>IF(IF(D167&lt;&gt;D166,1,IF(OR(B167&lt;&gt;B166,A167-A166&gt;$U$1),1,""))&lt;&gt;1,"",IF(C167="B01",1965,IF(C167="B02",1020,IF(C167="B05",2400,IF(C167="B03",4260,IF(C167="B04",2880,IF(C167="B20",1260,0)))))))</f>
        <v/>
      </c>
      <c r="F167" s="8" t="str">
        <f>IF(IF(D167&lt;&gt;D166,1,IF(OR(B167&lt;&gt;B166,A167-A166&gt;$U$1),1,""))&lt;&gt;1,"",IF(C167="B01",1,IF(C167="B05",1,IF(C167="B03",1,IF(C167="B04",1,IF(C167="B20",1,IF(C167="B02",1,0)))))))</f>
        <v/>
      </c>
      <c r="G167"/>
      <c r="H167" s="2"/>
      <c r="I167" s="2"/>
      <c r="L167"/>
      <c r="R167"/>
      <c r="S167" s="5"/>
      <c r="U167" s="5"/>
    </row>
    <row r="168" spans="1:21">
      <c r="A168" s="3">
        <v>45642.670358796298</v>
      </c>
      <c r="B168" s="2" t="s">
        <v>26</v>
      </c>
      <c r="C168" s="2" t="s">
        <v>11</v>
      </c>
      <c r="D168" s="6" t="str">
        <f>CONCATENATE(YEAR(A168),"/",IF(MONTH(A168)&lt;10,CONCATENATE("0",MONTH(A168)),MONTH(A168)))</f>
        <v>2024/12</v>
      </c>
      <c r="E168" s="8">
        <f>IF(IF(D168&lt;&gt;D167,1,IF(OR(B168&lt;&gt;B167,A168-A167&gt;$U$1),1,""))&lt;&gt;1,"",IF(C168="B01",1965,IF(C168="B02",1020,IF(C168="B05",2400,IF(C168="B03",4260,IF(C168="B04",2880,IF(C168="B20",1260,0)))))))</f>
        <v>2400</v>
      </c>
      <c r="F168" s="8">
        <f>IF(IF(D168&lt;&gt;D167,1,IF(OR(B168&lt;&gt;B167,A168-A167&gt;$U$1),1,""))&lt;&gt;1,"",IF(C168="B01",1,IF(C168="B05",1,IF(C168="B03",1,IF(C168="B04",1,IF(C168="B20",1,IF(C168="B02",1,0)))))))</f>
        <v>1</v>
      </c>
      <c r="G168"/>
      <c r="H168" s="2"/>
      <c r="I168" s="2"/>
      <c r="L168"/>
      <c r="R168"/>
      <c r="S168" s="5"/>
      <c r="U168" s="5"/>
    </row>
    <row r="169" spans="1:21">
      <c r="A169" s="3">
        <v>45642.670358796298</v>
      </c>
      <c r="B169" s="2" t="s">
        <v>26</v>
      </c>
      <c r="C169" s="2" t="s">
        <v>11</v>
      </c>
      <c r="D169" s="6" t="str">
        <f>CONCATENATE(YEAR(A169),"/",IF(MONTH(A169)&lt;10,CONCATENATE("0",MONTH(A169)),MONTH(A169)))</f>
        <v>2024/12</v>
      </c>
      <c r="E169" s="8" t="str">
        <f>IF(IF(D169&lt;&gt;D168,1,IF(OR(B169&lt;&gt;B168,A169-A168&gt;$U$1),1,""))&lt;&gt;1,"",IF(C169="B01",1965,IF(C169="B02",1020,IF(C169="B05",2400,IF(C169="B03",4260,IF(C169="B04",2880,IF(C169="B20",1260,0)))))))</f>
        <v/>
      </c>
      <c r="F169" s="8" t="str">
        <f>IF(IF(D169&lt;&gt;D168,1,IF(OR(B169&lt;&gt;B168,A169-A168&gt;$U$1),1,""))&lt;&gt;1,"",IF(C169="B01",1,IF(C169="B05",1,IF(C169="B03",1,IF(C169="B04",1,IF(C169="B20",1,IF(C169="B02",1,0)))))))</f>
        <v/>
      </c>
      <c r="G169"/>
      <c r="H169" s="2"/>
      <c r="I169" s="2"/>
      <c r="L169"/>
      <c r="R169"/>
      <c r="S169" s="5"/>
      <c r="U169" s="5"/>
    </row>
    <row r="170" spans="1:21">
      <c r="A170" s="3">
        <v>45642.670358796298</v>
      </c>
      <c r="B170" s="2" t="s">
        <v>26</v>
      </c>
      <c r="C170" s="2" t="s">
        <v>11</v>
      </c>
      <c r="D170" s="6" t="str">
        <f>CONCATENATE(YEAR(A170),"/",IF(MONTH(A170)&lt;10,CONCATENATE("0",MONTH(A170)),MONTH(A170)))</f>
        <v>2024/12</v>
      </c>
      <c r="E170" s="8" t="str">
        <f>IF(IF(D170&lt;&gt;D169,1,IF(OR(B170&lt;&gt;B169,A170-A169&gt;$U$1),1,""))&lt;&gt;1,"",IF(C170="B01",1965,IF(C170="B02",1020,IF(C170="B05",2400,IF(C170="B03",4260,IF(C170="B04",2880,IF(C170="B20",1260,0)))))))</f>
        <v/>
      </c>
      <c r="F170" s="8" t="str">
        <f>IF(IF(D170&lt;&gt;D169,1,IF(OR(B170&lt;&gt;B169,A170-A169&gt;$U$1),1,""))&lt;&gt;1,"",IF(C170="B01",1,IF(C170="B05",1,IF(C170="B03",1,IF(C170="B04",1,IF(C170="B20",1,IF(C170="B02",1,0)))))))</f>
        <v/>
      </c>
      <c r="G170"/>
      <c r="H170" s="2"/>
      <c r="I170" s="2"/>
      <c r="L170"/>
      <c r="R170"/>
      <c r="S170" s="5"/>
      <c r="U170" s="5"/>
    </row>
    <row r="171" spans="1:21">
      <c r="A171" s="3">
        <v>45642.887777777774</v>
      </c>
      <c r="B171" s="2" t="s">
        <v>26</v>
      </c>
      <c r="C171" s="2" t="s">
        <v>11</v>
      </c>
      <c r="D171" s="6" t="str">
        <f>CONCATENATE(YEAR(A171),"/",IF(MONTH(A171)&lt;10,CONCATENATE("0",MONTH(A171)),MONTH(A171)))</f>
        <v>2024/12</v>
      </c>
      <c r="E171" s="8">
        <f>IF(IF(D171&lt;&gt;D170,1,IF(OR(B171&lt;&gt;B170,A171-A170&gt;$U$1),1,""))&lt;&gt;1,"",IF(C171="B01",1965,IF(C171="B02",1020,IF(C171="B05",2400,IF(C171="B03",4260,IF(C171="B04",2880,IF(C171="B20",1260,0)))))))</f>
        <v>2400</v>
      </c>
      <c r="F171" s="8">
        <f>IF(IF(D171&lt;&gt;D170,1,IF(OR(B171&lt;&gt;B170,A171-A170&gt;$U$1),1,""))&lt;&gt;1,"",IF(C171="B01",1,IF(C171="B05",1,IF(C171="B03",1,IF(C171="B04",1,IF(C171="B20",1,IF(C171="B02",1,0)))))))</f>
        <v>1</v>
      </c>
      <c r="G171"/>
      <c r="H171" s="2"/>
      <c r="I171" s="2"/>
      <c r="L171"/>
      <c r="R171"/>
      <c r="S171" s="5"/>
      <c r="U171" s="5"/>
    </row>
    <row r="172" spans="1:21">
      <c r="A172" s="3">
        <v>45642.887777777774</v>
      </c>
      <c r="B172" s="2" t="s">
        <v>26</v>
      </c>
      <c r="C172" s="2" t="s">
        <v>11</v>
      </c>
      <c r="D172" s="6" t="str">
        <f>CONCATENATE(YEAR(A172),"/",IF(MONTH(A172)&lt;10,CONCATENATE("0",MONTH(A172)),MONTH(A172)))</f>
        <v>2024/12</v>
      </c>
      <c r="E172" s="8" t="str">
        <f>IF(IF(D172&lt;&gt;D171,1,IF(OR(B172&lt;&gt;B171,A172-A171&gt;$U$1),1,""))&lt;&gt;1,"",IF(C172="B01",1965,IF(C172="B02",1020,IF(C172="B05",2400,IF(C172="B03",4260,IF(C172="B04",2880,IF(C172="B20",1260,0)))))))</f>
        <v/>
      </c>
      <c r="F172" s="8" t="str">
        <f>IF(IF(D172&lt;&gt;D171,1,IF(OR(B172&lt;&gt;B171,A172-A171&gt;$U$1),1,""))&lt;&gt;1,"",IF(C172="B01",1,IF(C172="B05",1,IF(C172="B03",1,IF(C172="B04",1,IF(C172="B20",1,IF(C172="B02",1,0)))))))</f>
        <v/>
      </c>
      <c r="G172"/>
      <c r="H172" s="2"/>
      <c r="I172" s="2"/>
      <c r="L172"/>
      <c r="R172"/>
      <c r="S172" s="5"/>
      <c r="U172" s="5"/>
    </row>
    <row r="173" spans="1:21">
      <c r="A173" s="3">
        <v>45642.887777777774</v>
      </c>
      <c r="B173" s="2" t="s">
        <v>26</v>
      </c>
      <c r="C173" s="2" t="s">
        <v>11</v>
      </c>
      <c r="D173" s="6" t="str">
        <f>CONCATENATE(YEAR(A173),"/",IF(MONTH(A173)&lt;10,CONCATENATE("0",MONTH(A173)),MONTH(A173)))</f>
        <v>2024/12</v>
      </c>
      <c r="E173" s="8" t="str">
        <f>IF(IF(D173&lt;&gt;D172,1,IF(OR(B173&lt;&gt;B172,A173-A172&gt;$U$1),1,""))&lt;&gt;1,"",IF(C173="B01",1965,IF(C173="B02",1020,IF(C173="B05",2400,IF(C173="B03",4260,IF(C173="B04",2880,IF(C173="B20",1260,0)))))))</f>
        <v/>
      </c>
      <c r="F173" s="8" t="str">
        <f>IF(IF(D173&lt;&gt;D172,1,IF(OR(B173&lt;&gt;B172,A173-A172&gt;$U$1),1,""))&lt;&gt;1,"",IF(C173="B01",1,IF(C173="B05",1,IF(C173="B03",1,IF(C173="B04",1,IF(C173="B20",1,IF(C173="B02",1,0)))))))</f>
        <v/>
      </c>
      <c r="G173"/>
      <c r="H173" s="2"/>
      <c r="I173" s="2"/>
      <c r="L173"/>
      <c r="R173"/>
      <c r="S173" s="5"/>
      <c r="U173" s="5"/>
    </row>
    <row r="174" spans="1:21">
      <c r="A174" s="3">
        <v>45643.04010416667</v>
      </c>
      <c r="B174" s="2" t="s">
        <v>26</v>
      </c>
      <c r="C174" s="2" t="s">
        <v>11</v>
      </c>
      <c r="D174" s="6" t="str">
        <f>CONCATENATE(YEAR(A174),"/",IF(MONTH(A174)&lt;10,CONCATENATE("0",MONTH(A174)),MONTH(A174)))</f>
        <v>2024/12</v>
      </c>
      <c r="E174" s="8">
        <f>IF(IF(D174&lt;&gt;D173,1,IF(OR(B174&lt;&gt;B173,A174-A173&gt;$U$1),1,""))&lt;&gt;1,"",IF(C174="B01",1965,IF(C174="B02",1020,IF(C174="B05",2400,IF(C174="B03",4260,IF(C174="B04",2880,IF(C174="B20",1260,0)))))))</f>
        <v>2400</v>
      </c>
      <c r="F174" s="8">
        <f>IF(IF(D174&lt;&gt;D173,1,IF(OR(B174&lt;&gt;B173,A174-A173&gt;$U$1),1,""))&lt;&gt;1,"",IF(C174="B01",1,IF(C174="B05",1,IF(C174="B03",1,IF(C174="B04",1,IF(C174="B20",1,IF(C174="B02",1,0)))))))</f>
        <v>1</v>
      </c>
      <c r="G174"/>
      <c r="H174" s="2"/>
      <c r="I174" s="2"/>
      <c r="L174"/>
      <c r="R174"/>
      <c r="S174" s="5"/>
      <c r="U174" s="5"/>
    </row>
    <row r="175" spans="1:21">
      <c r="A175" s="3">
        <v>45643.04010416667</v>
      </c>
      <c r="B175" s="2" t="s">
        <v>26</v>
      </c>
      <c r="C175" s="2" t="s">
        <v>11</v>
      </c>
      <c r="D175" s="6" t="str">
        <f>CONCATENATE(YEAR(A175),"/",IF(MONTH(A175)&lt;10,CONCATENATE("0",MONTH(A175)),MONTH(A175)))</f>
        <v>2024/12</v>
      </c>
      <c r="E175" s="8" t="str">
        <f>IF(IF(D175&lt;&gt;D174,1,IF(OR(B175&lt;&gt;B174,A175-A174&gt;$U$1),1,""))&lt;&gt;1,"",IF(C175="B01",1965,IF(C175="B02",1020,IF(C175="B05",2400,IF(C175="B03",4260,IF(C175="B04",2880,IF(C175="B20",1260,0)))))))</f>
        <v/>
      </c>
      <c r="F175" s="8" t="str">
        <f>IF(IF(D175&lt;&gt;D174,1,IF(OR(B175&lt;&gt;B174,A175-A174&gt;$U$1),1,""))&lt;&gt;1,"",IF(C175="B01",1,IF(C175="B05",1,IF(C175="B03",1,IF(C175="B04",1,IF(C175="B20",1,IF(C175="B02",1,0)))))))</f>
        <v/>
      </c>
      <c r="G175"/>
      <c r="H175" s="2"/>
      <c r="I175" s="2"/>
      <c r="L175"/>
      <c r="R175"/>
      <c r="S175" s="5"/>
      <c r="U175" s="5"/>
    </row>
    <row r="176" spans="1:21">
      <c r="A176" s="3">
        <v>45643.04010416667</v>
      </c>
      <c r="B176" s="2" t="s">
        <v>26</v>
      </c>
      <c r="C176" s="2" t="s">
        <v>11</v>
      </c>
      <c r="D176" s="6" t="str">
        <f>CONCATENATE(YEAR(A176),"/",IF(MONTH(A176)&lt;10,CONCATENATE("0",MONTH(A176)),MONTH(A176)))</f>
        <v>2024/12</v>
      </c>
      <c r="E176" s="8" t="str">
        <f>IF(IF(D176&lt;&gt;D175,1,IF(OR(B176&lt;&gt;B175,A176-A175&gt;$U$1),1,""))&lt;&gt;1,"",IF(C176="B01",1965,IF(C176="B02",1020,IF(C176="B05",2400,IF(C176="B03",4260,IF(C176="B04",2880,IF(C176="B20",1260,0)))))))</f>
        <v/>
      </c>
      <c r="F176" s="8" t="str">
        <f>IF(IF(D176&lt;&gt;D175,1,IF(OR(B176&lt;&gt;B175,A176-A175&gt;$U$1),1,""))&lt;&gt;1,"",IF(C176="B01",1,IF(C176="B05",1,IF(C176="B03",1,IF(C176="B04",1,IF(C176="B20",1,IF(C176="B02",1,0)))))))</f>
        <v/>
      </c>
      <c r="G176"/>
      <c r="H176" s="2"/>
      <c r="I176" s="2"/>
      <c r="L176"/>
      <c r="R176"/>
      <c r="S176" s="5"/>
      <c r="U176" s="5"/>
    </row>
    <row r="177" spans="1:21">
      <c r="A177" s="3">
        <v>45643.04010416667</v>
      </c>
      <c r="B177" s="2" t="s">
        <v>26</v>
      </c>
      <c r="C177" s="2" t="s">
        <v>11</v>
      </c>
      <c r="D177" s="6" t="str">
        <f>CONCATENATE(YEAR(A177),"/",IF(MONTH(A177)&lt;10,CONCATENATE("0",MONTH(A177)),MONTH(A177)))</f>
        <v>2024/12</v>
      </c>
      <c r="E177" s="8" t="str">
        <f>IF(IF(D177&lt;&gt;D176,1,IF(OR(B177&lt;&gt;B176,A177-A176&gt;$U$1),1,""))&lt;&gt;1,"",IF(C177="B01",1965,IF(C177="B02",1020,IF(C177="B05",2400,IF(C177="B03",4260,IF(C177="B04",2880,IF(C177="B20",1260,0)))))))</f>
        <v/>
      </c>
      <c r="F177" s="8" t="str">
        <f>IF(IF(D177&lt;&gt;D176,1,IF(OR(B177&lt;&gt;B176,A177-A176&gt;$U$1),1,""))&lt;&gt;1,"",IF(C177="B01",1,IF(C177="B05",1,IF(C177="B03",1,IF(C177="B04",1,IF(C177="B20",1,IF(C177="B02",1,0)))))))</f>
        <v/>
      </c>
      <c r="G177"/>
      <c r="H177" s="2"/>
      <c r="I177" s="2"/>
      <c r="L177"/>
      <c r="R177"/>
      <c r="S177" s="5"/>
      <c r="U177" s="5"/>
    </row>
    <row r="178" spans="1:21">
      <c r="A178" s="3">
        <v>45643.301215277781</v>
      </c>
      <c r="B178" s="2" t="s">
        <v>26</v>
      </c>
      <c r="C178" s="2" t="s">
        <v>11</v>
      </c>
      <c r="D178" s="6" t="str">
        <f>CONCATENATE(YEAR(A178),"/",IF(MONTH(A178)&lt;10,CONCATENATE("0",MONTH(A178)),MONTH(A178)))</f>
        <v>2024/12</v>
      </c>
      <c r="E178" s="8">
        <f>IF(IF(D178&lt;&gt;D177,1,IF(OR(B178&lt;&gt;B177,A178-A177&gt;$U$1),1,""))&lt;&gt;1,"",IF(C178="B01",1965,IF(C178="B02",1020,IF(C178="B05",2400,IF(C178="B03",4260,IF(C178="B04",2880,IF(C178="B20",1260,0)))))))</f>
        <v>2400</v>
      </c>
      <c r="F178" s="8">
        <f>IF(IF(D178&lt;&gt;D177,1,IF(OR(B178&lt;&gt;B177,A178-A177&gt;$U$1),1,""))&lt;&gt;1,"",IF(C178="B01",1,IF(C178="B05",1,IF(C178="B03",1,IF(C178="B04",1,IF(C178="B20",1,IF(C178="B02",1,0)))))))</f>
        <v>1</v>
      </c>
      <c r="G178"/>
      <c r="H178" s="2"/>
      <c r="I178" s="2"/>
      <c r="L178"/>
      <c r="R178"/>
      <c r="S178" s="5"/>
      <c r="U178" s="5"/>
    </row>
    <row r="179" spans="1:21">
      <c r="A179" s="3">
        <v>45643.301215277781</v>
      </c>
      <c r="B179" s="2" t="s">
        <v>26</v>
      </c>
      <c r="C179" s="2" t="s">
        <v>11</v>
      </c>
      <c r="D179" s="6" t="str">
        <f>CONCATENATE(YEAR(A179),"/",IF(MONTH(A179)&lt;10,CONCATENATE("0",MONTH(A179)),MONTH(A179)))</f>
        <v>2024/12</v>
      </c>
      <c r="E179" s="8" t="str">
        <f>IF(IF(D179&lt;&gt;D178,1,IF(OR(B179&lt;&gt;B178,A179-A178&gt;$U$1),1,""))&lt;&gt;1,"",IF(C179="B01",1965,IF(C179="B02",1020,IF(C179="B05",2400,IF(C179="B03",4260,IF(C179="B04",2880,IF(C179="B20",1260,0)))))))</f>
        <v/>
      </c>
      <c r="F179" s="8" t="str">
        <f>IF(IF(D179&lt;&gt;D178,1,IF(OR(B179&lt;&gt;B178,A179-A178&gt;$U$1),1,""))&lt;&gt;1,"",IF(C179="B01",1,IF(C179="B05",1,IF(C179="B03",1,IF(C179="B04",1,IF(C179="B20",1,IF(C179="B02",1,0)))))))</f>
        <v/>
      </c>
      <c r="G179"/>
      <c r="H179" s="2"/>
      <c r="I179" s="2"/>
      <c r="L179"/>
      <c r="R179"/>
      <c r="S179" s="5"/>
      <c r="U179" s="5"/>
    </row>
    <row r="180" spans="1:21">
      <c r="A180" s="3">
        <v>45643.301215277781</v>
      </c>
      <c r="B180" s="2" t="s">
        <v>26</v>
      </c>
      <c r="C180" s="2" t="s">
        <v>11</v>
      </c>
      <c r="D180" s="6" t="str">
        <f>CONCATENATE(YEAR(A180),"/",IF(MONTH(A180)&lt;10,CONCATENATE("0",MONTH(A180)),MONTH(A180)))</f>
        <v>2024/12</v>
      </c>
      <c r="E180" s="8" t="str">
        <f>IF(IF(D180&lt;&gt;D179,1,IF(OR(B180&lt;&gt;B179,A180-A179&gt;$U$1),1,""))&lt;&gt;1,"",IF(C180="B01",1965,IF(C180="B02",1020,IF(C180="B05",2400,IF(C180="B03",4260,IF(C180="B04",2880,IF(C180="B20",1260,0)))))))</f>
        <v/>
      </c>
      <c r="F180" s="8" t="str">
        <f>IF(IF(D180&lt;&gt;D179,1,IF(OR(B180&lt;&gt;B179,A180-A179&gt;$U$1),1,""))&lt;&gt;1,"",IF(C180="B01",1,IF(C180="B05",1,IF(C180="B03",1,IF(C180="B04",1,IF(C180="B20",1,IF(C180="B02",1,0)))))))</f>
        <v/>
      </c>
      <c r="G180"/>
      <c r="H180" s="2"/>
      <c r="I180" s="2"/>
      <c r="L180"/>
      <c r="R180"/>
      <c r="S180" s="5"/>
      <c r="U180" s="5"/>
    </row>
    <row r="181" spans="1:21">
      <c r="A181" s="3">
        <v>45643.511643518519</v>
      </c>
      <c r="B181" s="2" t="s">
        <v>26</v>
      </c>
      <c r="C181" s="2" t="s">
        <v>12</v>
      </c>
      <c r="D181" s="6" t="str">
        <f>CONCATENATE(YEAR(A181),"/",IF(MONTH(A181)&lt;10,CONCATENATE("0",MONTH(A181)),MONTH(A181)))</f>
        <v>2024/12</v>
      </c>
      <c r="E181" s="8">
        <f>IF(IF(D181&lt;&gt;D180,1,IF(OR(B181&lt;&gt;B180,A181-A180&gt;$U$1),1,""))&lt;&gt;1,"",IF(C181="B01",1965,IF(C181="B02",1020,IF(C181="B05",2400,IF(C181="B03",4260,IF(C181="B04",2880,IF(C181="B20",1260,0)))))))</f>
        <v>4260</v>
      </c>
      <c r="F181" s="8">
        <f>IF(IF(D181&lt;&gt;D180,1,IF(OR(B181&lt;&gt;B180,A181-A180&gt;$U$1),1,""))&lt;&gt;1,"",IF(C181="B01",1,IF(C181="B05",1,IF(C181="B03",1,IF(C181="B04",1,IF(C181="B20",1,IF(C181="B02",1,0)))))))</f>
        <v>1</v>
      </c>
      <c r="G181"/>
      <c r="H181" s="2"/>
      <c r="I181" s="2"/>
      <c r="L181"/>
      <c r="R181"/>
      <c r="S181" s="5"/>
      <c r="U181" s="5"/>
    </row>
    <row r="182" spans="1:21">
      <c r="A182" s="3">
        <v>45643.511643518519</v>
      </c>
      <c r="B182" s="2" t="s">
        <v>26</v>
      </c>
      <c r="C182" s="2" t="s">
        <v>12</v>
      </c>
      <c r="D182" s="6" t="str">
        <f>CONCATENATE(YEAR(A182),"/",IF(MONTH(A182)&lt;10,CONCATENATE("0",MONTH(A182)),MONTH(A182)))</f>
        <v>2024/12</v>
      </c>
      <c r="E182" s="8" t="str">
        <f>IF(IF(D182&lt;&gt;D181,1,IF(OR(B182&lt;&gt;B181,A182-A181&gt;$U$1),1,""))&lt;&gt;1,"",IF(C182="B01",1965,IF(C182="B02",1020,IF(C182="B05",2400,IF(C182="B03",4260,IF(C182="B04",2880,IF(C182="B20",1260,0)))))))</f>
        <v/>
      </c>
      <c r="F182" s="8" t="str">
        <f>IF(IF(D182&lt;&gt;D181,1,IF(OR(B182&lt;&gt;B181,A182-A181&gt;$U$1),1,""))&lt;&gt;1,"",IF(C182="B01",1,IF(C182="B05",1,IF(C182="B03",1,IF(C182="B04",1,IF(C182="B20",1,IF(C182="B02",1,0)))))))</f>
        <v/>
      </c>
      <c r="G182"/>
      <c r="H182" s="2"/>
      <c r="I182" s="2"/>
      <c r="L182"/>
      <c r="R182"/>
      <c r="S182" s="5"/>
      <c r="U182" s="5"/>
    </row>
    <row r="183" spans="1:21">
      <c r="A183" s="3">
        <v>45643.511643518519</v>
      </c>
      <c r="B183" s="2" t="s">
        <v>26</v>
      </c>
      <c r="C183" s="2" t="s">
        <v>12</v>
      </c>
      <c r="D183" s="6" t="str">
        <f>CONCATENATE(YEAR(A183),"/",IF(MONTH(A183)&lt;10,CONCATENATE("0",MONTH(A183)),MONTH(A183)))</f>
        <v>2024/12</v>
      </c>
      <c r="E183" s="8" t="str">
        <f>IF(IF(D183&lt;&gt;D182,1,IF(OR(B183&lt;&gt;B182,A183-A182&gt;$U$1),1,""))&lt;&gt;1,"",IF(C183="B01",1965,IF(C183="B02",1020,IF(C183="B05",2400,IF(C183="B03",4260,IF(C183="B04",2880,IF(C183="B20",1260,0)))))))</f>
        <v/>
      </c>
      <c r="F183" s="8" t="str">
        <f>IF(IF(D183&lt;&gt;D182,1,IF(OR(B183&lt;&gt;B182,A183-A182&gt;$U$1),1,""))&lt;&gt;1,"",IF(C183="B01",1,IF(C183="B05",1,IF(C183="B03",1,IF(C183="B04",1,IF(C183="B20",1,IF(C183="B02",1,0)))))))</f>
        <v/>
      </c>
      <c r="G183"/>
      <c r="H183" s="2"/>
      <c r="I183" s="2"/>
      <c r="L183"/>
      <c r="R183"/>
      <c r="S183" s="5"/>
      <c r="U183" s="5"/>
    </row>
    <row r="184" spans="1:21">
      <c r="A184" s="3">
        <v>45643.663888888892</v>
      </c>
      <c r="B184" s="2" t="s">
        <v>26</v>
      </c>
      <c r="C184" s="2" t="s">
        <v>11</v>
      </c>
      <c r="D184" s="6" t="str">
        <f>CONCATENATE(YEAR(A184),"/",IF(MONTH(A184)&lt;10,CONCATENATE("0",MONTH(A184)),MONTH(A184)))</f>
        <v>2024/12</v>
      </c>
      <c r="E184" s="8">
        <f>IF(IF(D184&lt;&gt;D183,1,IF(OR(B184&lt;&gt;B183,A184-A183&gt;$U$1),1,""))&lt;&gt;1,"",IF(C184="B01",1965,IF(C184="B02",1020,IF(C184="B05",2400,IF(C184="B03",4260,IF(C184="B04",2880,IF(C184="B20",1260,0)))))))</f>
        <v>2400</v>
      </c>
      <c r="F184" s="8">
        <f>IF(IF(D184&lt;&gt;D183,1,IF(OR(B184&lt;&gt;B183,A184-A183&gt;$U$1),1,""))&lt;&gt;1,"",IF(C184="B01",1,IF(C184="B05",1,IF(C184="B03",1,IF(C184="B04",1,IF(C184="B20",1,IF(C184="B02",1,0)))))))</f>
        <v>1</v>
      </c>
      <c r="G184"/>
      <c r="H184" s="2"/>
      <c r="I184" s="2"/>
      <c r="L184"/>
      <c r="R184"/>
      <c r="S184" s="5"/>
      <c r="U184" s="5"/>
    </row>
    <row r="185" spans="1:21">
      <c r="A185" s="3">
        <v>45643.663888888892</v>
      </c>
      <c r="B185" s="2" t="s">
        <v>26</v>
      </c>
      <c r="C185" s="2" t="s">
        <v>11</v>
      </c>
      <c r="D185" s="6" t="str">
        <f>CONCATENATE(YEAR(A185),"/",IF(MONTH(A185)&lt;10,CONCATENATE("0",MONTH(A185)),MONTH(A185)))</f>
        <v>2024/12</v>
      </c>
      <c r="E185" s="8" t="str">
        <f>IF(IF(D185&lt;&gt;D184,1,IF(OR(B185&lt;&gt;B184,A185-A184&gt;$U$1),1,""))&lt;&gt;1,"",IF(C185="B01",1965,IF(C185="B02",1020,IF(C185="B05",2400,IF(C185="B03",4260,IF(C185="B04",2880,IF(C185="B20",1260,0)))))))</f>
        <v/>
      </c>
      <c r="F185" s="8" t="str">
        <f>IF(IF(D185&lt;&gt;D184,1,IF(OR(B185&lt;&gt;B184,A185-A184&gt;$U$1),1,""))&lt;&gt;1,"",IF(C185="B01",1,IF(C185="B05",1,IF(C185="B03",1,IF(C185="B04",1,IF(C185="B20",1,IF(C185="B02",1,0)))))))</f>
        <v/>
      </c>
      <c r="G185"/>
      <c r="H185" s="2"/>
      <c r="I185" s="2"/>
      <c r="L185"/>
      <c r="R185"/>
      <c r="S185" s="5"/>
      <c r="U185" s="5"/>
    </row>
    <row r="186" spans="1:21">
      <c r="A186" s="3">
        <v>45643.663888888892</v>
      </c>
      <c r="B186" s="2" t="s">
        <v>26</v>
      </c>
      <c r="C186" s="2" t="s">
        <v>11</v>
      </c>
      <c r="D186" s="6" t="str">
        <f>CONCATENATE(YEAR(A186),"/",IF(MONTH(A186)&lt;10,CONCATENATE("0",MONTH(A186)),MONTH(A186)))</f>
        <v>2024/12</v>
      </c>
      <c r="E186" s="8" t="str">
        <f>IF(IF(D186&lt;&gt;D185,1,IF(OR(B186&lt;&gt;B185,A186-A185&gt;$U$1),1,""))&lt;&gt;1,"",IF(C186="B01",1965,IF(C186="B02",1020,IF(C186="B05",2400,IF(C186="B03",4260,IF(C186="B04",2880,IF(C186="B20",1260,0)))))))</f>
        <v/>
      </c>
      <c r="F186" s="8" t="str">
        <f>IF(IF(D186&lt;&gt;D185,1,IF(OR(B186&lt;&gt;B185,A186-A185&gt;$U$1),1,""))&lt;&gt;1,"",IF(C186="B01",1,IF(C186="B05",1,IF(C186="B03",1,IF(C186="B04",1,IF(C186="B20",1,IF(C186="B02",1,0)))))))</f>
        <v/>
      </c>
      <c r="G186"/>
      <c r="H186" s="2"/>
      <c r="I186" s="2"/>
      <c r="L186"/>
      <c r="R186"/>
      <c r="S186" s="5"/>
      <c r="U186" s="5"/>
    </row>
    <row r="187" spans="1:21">
      <c r="A187" s="3">
        <v>45643.90861111111</v>
      </c>
      <c r="B187" s="2" t="s">
        <v>26</v>
      </c>
      <c r="C187" s="2" t="s">
        <v>11</v>
      </c>
      <c r="D187" s="6" t="str">
        <f>CONCATENATE(YEAR(A187),"/",IF(MONTH(A187)&lt;10,CONCATENATE("0",MONTH(A187)),MONTH(A187)))</f>
        <v>2024/12</v>
      </c>
      <c r="E187" s="8">
        <f>IF(IF(D187&lt;&gt;D186,1,IF(OR(B187&lt;&gt;B186,A187-A186&gt;$U$1),1,""))&lt;&gt;1,"",IF(C187="B01",1965,IF(C187="B02",1020,IF(C187="B05",2400,IF(C187="B03",4260,IF(C187="B04",2880,IF(C187="B20",1260,0)))))))</f>
        <v>2400</v>
      </c>
      <c r="F187" s="8">
        <f>IF(IF(D187&lt;&gt;D186,1,IF(OR(B187&lt;&gt;B186,A187-A186&gt;$U$1),1,""))&lt;&gt;1,"",IF(C187="B01",1,IF(C187="B05",1,IF(C187="B03",1,IF(C187="B04",1,IF(C187="B20",1,IF(C187="B02",1,0)))))))</f>
        <v>1</v>
      </c>
      <c r="G187"/>
      <c r="H187" s="2"/>
      <c r="I187" s="2"/>
      <c r="L187"/>
      <c r="R187"/>
      <c r="S187" s="5"/>
      <c r="U187" s="5"/>
    </row>
    <row r="188" spans="1:21">
      <c r="A188" s="3">
        <v>45643.90861111111</v>
      </c>
      <c r="B188" s="2" t="s">
        <v>26</v>
      </c>
      <c r="C188" s="2" t="s">
        <v>11</v>
      </c>
      <c r="D188" s="6" t="str">
        <f>CONCATENATE(YEAR(A188),"/",IF(MONTH(A188)&lt;10,CONCATENATE("0",MONTH(A188)),MONTH(A188)))</f>
        <v>2024/12</v>
      </c>
      <c r="E188" s="8" t="str">
        <f>IF(IF(D188&lt;&gt;D187,1,IF(OR(B188&lt;&gt;B187,A188-A187&gt;$U$1),1,""))&lt;&gt;1,"",IF(C188="B01",1965,IF(C188="B02",1020,IF(C188="B05",2400,IF(C188="B03",4260,IF(C188="B04",2880,IF(C188="B20",1260,0)))))))</f>
        <v/>
      </c>
      <c r="F188" s="8" t="str">
        <f>IF(IF(D188&lt;&gt;D187,1,IF(OR(B188&lt;&gt;B187,A188-A187&gt;$U$1),1,""))&lt;&gt;1,"",IF(C188="B01",1,IF(C188="B05",1,IF(C188="B03",1,IF(C188="B04",1,IF(C188="B20",1,IF(C188="B02",1,0)))))))</f>
        <v/>
      </c>
      <c r="G188"/>
      <c r="H188" s="2"/>
      <c r="I188" s="2"/>
      <c r="L188"/>
      <c r="R188"/>
      <c r="S188" s="5"/>
      <c r="U188" s="5"/>
    </row>
    <row r="189" spans="1:21">
      <c r="A189" s="3">
        <v>45644.126562500001</v>
      </c>
      <c r="B189" s="2" t="s">
        <v>26</v>
      </c>
      <c r="C189" s="2" t="s">
        <v>12</v>
      </c>
      <c r="D189" s="6" t="str">
        <f>CONCATENATE(YEAR(A189),"/",IF(MONTH(A189)&lt;10,CONCATENATE("0",MONTH(A189)),MONTH(A189)))</f>
        <v>2024/12</v>
      </c>
      <c r="E189" s="8">
        <f>IF(IF(D189&lt;&gt;D188,1,IF(OR(B189&lt;&gt;B188,A189-A188&gt;$U$1),1,""))&lt;&gt;1,"",IF(C189="B01",1965,IF(C189="B02",1020,IF(C189="B05",2400,IF(C189="B03",4260,IF(C189="B04",2880,IF(C189="B20",1260,0)))))))</f>
        <v>4260</v>
      </c>
      <c r="F189" s="8">
        <f>IF(IF(D189&lt;&gt;D188,1,IF(OR(B189&lt;&gt;B188,A189-A188&gt;$U$1),1,""))&lt;&gt;1,"",IF(C189="B01",1,IF(C189="B05",1,IF(C189="B03",1,IF(C189="B04",1,IF(C189="B20",1,IF(C189="B02",1,0)))))))</f>
        <v>1</v>
      </c>
      <c r="G189"/>
      <c r="H189" s="2"/>
      <c r="I189" s="2"/>
      <c r="L189"/>
      <c r="R189"/>
      <c r="S189" s="5"/>
      <c r="U189" s="5"/>
    </row>
    <row r="190" spans="1:21">
      <c r="A190" s="3">
        <v>45644.126574074071</v>
      </c>
      <c r="B190" s="2" t="s">
        <v>26</v>
      </c>
      <c r="C190" s="2" t="s">
        <v>12</v>
      </c>
      <c r="D190" s="6" t="str">
        <f>CONCATENATE(YEAR(A190),"/",IF(MONTH(A190)&lt;10,CONCATENATE("0",MONTH(A190)),MONTH(A190)))</f>
        <v>2024/12</v>
      </c>
      <c r="E190" s="8" t="str">
        <f>IF(IF(D190&lt;&gt;D189,1,IF(OR(B190&lt;&gt;B189,A190-A189&gt;$U$1),1,""))&lt;&gt;1,"",IF(C190="B01",1965,IF(C190="B02",1020,IF(C190="B05",2400,IF(C190="B03",4260,IF(C190="B04",2880,IF(C190="B20",1260,0)))))))</f>
        <v/>
      </c>
      <c r="F190" s="8" t="str">
        <f>IF(IF(D190&lt;&gt;D189,1,IF(OR(B190&lt;&gt;B189,A190-A189&gt;$U$1),1,""))&lt;&gt;1,"",IF(C190="B01",1,IF(C190="B05",1,IF(C190="B03",1,IF(C190="B04",1,IF(C190="B20",1,IF(C190="B02",1,0)))))))</f>
        <v/>
      </c>
      <c r="G190"/>
      <c r="H190" s="2"/>
      <c r="I190" s="2"/>
      <c r="L190"/>
      <c r="R190"/>
      <c r="S190" s="5"/>
      <c r="U190" s="5"/>
    </row>
    <row r="191" spans="1:21">
      <c r="A191" s="3">
        <v>45644.278749999998</v>
      </c>
      <c r="B191" s="2" t="s">
        <v>26</v>
      </c>
      <c r="C191" s="2" t="s">
        <v>11</v>
      </c>
      <c r="D191" s="6" t="str">
        <f>CONCATENATE(YEAR(A191),"/",IF(MONTH(A191)&lt;10,CONCATENATE("0",MONTH(A191)),MONTH(A191)))</f>
        <v>2024/12</v>
      </c>
      <c r="E191" s="8">
        <f>IF(IF(D191&lt;&gt;D190,1,IF(OR(B191&lt;&gt;B190,A191-A190&gt;$U$1),1,""))&lt;&gt;1,"",IF(C191="B01",1965,IF(C191="B02",1020,IF(C191="B05",2400,IF(C191="B03",4260,IF(C191="B04",2880,IF(C191="B20",1260,0)))))))</f>
        <v>2400</v>
      </c>
      <c r="F191" s="8">
        <f>IF(IF(D191&lt;&gt;D190,1,IF(OR(B191&lt;&gt;B190,A191-A190&gt;$U$1),1,""))&lt;&gt;1,"",IF(C191="B01",1,IF(C191="B05",1,IF(C191="B03",1,IF(C191="B04",1,IF(C191="B20",1,IF(C191="B02",1,0)))))))</f>
        <v>1</v>
      </c>
      <c r="G191"/>
      <c r="H191" s="2"/>
      <c r="I191" s="2"/>
      <c r="L191"/>
      <c r="R191"/>
      <c r="S191" s="5"/>
      <c r="U191" s="5"/>
    </row>
    <row r="192" spans="1:21">
      <c r="A192" s="3">
        <v>45644.278749999998</v>
      </c>
      <c r="B192" s="2" t="s">
        <v>26</v>
      </c>
      <c r="C192" s="2" t="s">
        <v>11</v>
      </c>
      <c r="D192" s="6" t="str">
        <f>CONCATENATE(YEAR(A192),"/",IF(MONTH(A192)&lt;10,CONCATENATE("0",MONTH(A192)),MONTH(A192)))</f>
        <v>2024/12</v>
      </c>
      <c r="E192" s="8" t="str">
        <f>IF(IF(D192&lt;&gt;D191,1,IF(OR(B192&lt;&gt;B191,A192-A191&gt;$U$1),1,""))&lt;&gt;1,"",IF(C192="B01",1965,IF(C192="B02",1020,IF(C192="B05",2400,IF(C192="B03",4260,IF(C192="B04",2880,IF(C192="B20",1260,0)))))))</f>
        <v/>
      </c>
      <c r="F192" s="8" t="str">
        <f>IF(IF(D192&lt;&gt;D191,1,IF(OR(B192&lt;&gt;B191,A192-A191&gt;$U$1),1,""))&lt;&gt;1,"",IF(C192="B01",1,IF(C192="B05",1,IF(C192="B03",1,IF(C192="B04",1,IF(C192="B20",1,IF(C192="B02",1,0)))))))</f>
        <v/>
      </c>
      <c r="G192"/>
      <c r="H192" s="2"/>
      <c r="I192" s="2"/>
      <c r="L192"/>
      <c r="R192"/>
      <c r="S192" s="5"/>
      <c r="U192" s="5"/>
    </row>
    <row r="193" spans="1:21">
      <c r="A193" s="3">
        <v>45644.278749999998</v>
      </c>
      <c r="B193" s="2" t="s">
        <v>26</v>
      </c>
      <c r="C193" s="2" t="s">
        <v>11</v>
      </c>
      <c r="D193" s="6" t="str">
        <f>CONCATENATE(YEAR(A193),"/",IF(MONTH(A193)&lt;10,CONCATENATE("0",MONTH(A193)),MONTH(A193)))</f>
        <v>2024/12</v>
      </c>
      <c r="E193" s="8" t="str">
        <f>IF(IF(D193&lt;&gt;D192,1,IF(OR(B193&lt;&gt;B192,A193-A192&gt;$U$1),1,""))&lt;&gt;1,"",IF(C193="B01",1965,IF(C193="B02",1020,IF(C193="B05",2400,IF(C193="B03",4260,IF(C193="B04",2880,IF(C193="B20",1260,0)))))))</f>
        <v/>
      </c>
      <c r="F193" s="8" t="str">
        <f>IF(IF(D193&lt;&gt;D192,1,IF(OR(B193&lt;&gt;B192,A193-A192&gt;$U$1),1,""))&lt;&gt;1,"",IF(C193="B01",1,IF(C193="B05",1,IF(C193="B03",1,IF(C193="B04",1,IF(C193="B20",1,IF(C193="B02",1,0)))))))</f>
        <v/>
      </c>
      <c r="G193"/>
      <c r="H193" s="2"/>
      <c r="I193" s="2"/>
      <c r="L193"/>
      <c r="R193"/>
      <c r="S193" s="5"/>
      <c r="U193" s="5"/>
    </row>
    <row r="194" spans="1:21">
      <c r="A194" s="3">
        <v>45644.3984375</v>
      </c>
      <c r="B194" s="2" t="s">
        <v>26</v>
      </c>
      <c r="C194" s="2" t="s">
        <v>37</v>
      </c>
      <c r="D194" s="6" t="str">
        <f>CONCATENATE(YEAR(A194),"/",IF(MONTH(A194)&lt;10,CONCATENATE("0",MONTH(A194)),MONTH(A194)))</f>
        <v>2024/12</v>
      </c>
      <c r="E194" s="8">
        <f>IF(IF(D194&lt;&gt;D193,1,IF(OR(B194&lt;&gt;B193,A194-A193&gt;$U$1),1,""))&lt;&gt;1,"",IF(C194="B01",1965,IF(C194="B02",1020,IF(C194="B05",2400,IF(C194="B03",4260,IF(C194="B04",2880,IF(C194="B20",1260,0)))))))</f>
        <v>0</v>
      </c>
      <c r="F194" s="8">
        <f>IF(IF(D194&lt;&gt;D193,1,IF(OR(B194&lt;&gt;B193,A194-A193&gt;$U$1),1,""))&lt;&gt;1,"",IF(C194="B01",1,IF(C194="B05",1,IF(C194="B03",1,IF(C194="B04",1,IF(C194="B20",1,IF(C194="B02",1,0)))))))</f>
        <v>0</v>
      </c>
      <c r="G194"/>
      <c r="H194" s="2"/>
      <c r="I194" s="2"/>
      <c r="L194"/>
      <c r="R194"/>
      <c r="S194" s="5"/>
      <c r="U194" s="5"/>
    </row>
    <row r="195" spans="1:21">
      <c r="A195" s="3">
        <v>45645.194097222222</v>
      </c>
      <c r="B195" s="2" t="s">
        <v>26</v>
      </c>
      <c r="C195" s="2" t="s">
        <v>12</v>
      </c>
      <c r="D195" s="6" t="str">
        <f>CONCATENATE(YEAR(A195),"/",IF(MONTH(A195)&lt;10,CONCATENATE("0",MONTH(A195)),MONTH(A195)))</f>
        <v>2024/12</v>
      </c>
      <c r="E195" s="8">
        <f>IF(IF(D195&lt;&gt;D194,1,IF(OR(B195&lt;&gt;B194,A195-A194&gt;$U$1),1,""))&lt;&gt;1,"",IF(C195="B01",1965,IF(C195="B02",1020,IF(C195="B05",2400,IF(C195="B03",4260,IF(C195="B04",2880,IF(C195="B20",1260,0)))))))</f>
        <v>4260</v>
      </c>
      <c r="F195" s="8">
        <f>IF(IF(D195&lt;&gt;D194,1,IF(OR(B195&lt;&gt;B194,A195-A194&gt;$U$1),1,""))&lt;&gt;1,"",IF(C195="B01",1,IF(C195="B05",1,IF(C195="B03",1,IF(C195="B04",1,IF(C195="B20",1,IF(C195="B02",1,0)))))))</f>
        <v>1</v>
      </c>
      <c r="G195"/>
      <c r="H195" s="2"/>
      <c r="I195" s="2"/>
      <c r="L195"/>
      <c r="R195"/>
      <c r="S195" s="5"/>
      <c r="U195" s="5"/>
    </row>
    <row r="196" spans="1:21">
      <c r="A196" s="3">
        <v>45645.194097222222</v>
      </c>
      <c r="B196" s="2" t="s">
        <v>26</v>
      </c>
      <c r="C196" s="2" t="s">
        <v>12</v>
      </c>
      <c r="D196" s="6" t="str">
        <f>CONCATENATE(YEAR(A196),"/",IF(MONTH(A196)&lt;10,CONCATENATE("0",MONTH(A196)),MONTH(A196)))</f>
        <v>2024/12</v>
      </c>
      <c r="E196" s="8" t="str">
        <f>IF(IF(D196&lt;&gt;D195,1,IF(OR(B196&lt;&gt;B195,A196-A195&gt;$U$1),1,""))&lt;&gt;1,"",IF(C196="B01",1965,IF(C196="B02",1020,IF(C196="B05",2400,IF(C196="B03",4260,IF(C196="B04",2880,IF(C196="B20",1260,0)))))))</f>
        <v/>
      </c>
      <c r="F196" s="8" t="str">
        <f>IF(IF(D196&lt;&gt;D195,1,IF(OR(B196&lt;&gt;B195,A196-A195&gt;$U$1),1,""))&lt;&gt;1,"",IF(C196="B01",1,IF(C196="B05",1,IF(C196="B03",1,IF(C196="B04",1,IF(C196="B20",1,IF(C196="B02",1,0)))))))</f>
        <v/>
      </c>
      <c r="G196"/>
      <c r="H196" s="2"/>
      <c r="I196" s="2"/>
      <c r="L196"/>
      <c r="R196"/>
      <c r="S196" s="5"/>
      <c r="U196" s="5"/>
    </row>
    <row r="197" spans="1:21">
      <c r="A197" s="3">
        <v>45645.194097222222</v>
      </c>
      <c r="B197" s="2" t="s">
        <v>26</v>
      </c>
      <c r="C197" s="2" t="s">
        <v>12</v>
      </c>
      <c r="D197" s="6" t="str">
        <f>CONCATENATE(YEAR(A197),"/",IF(MONTH(A197)&lt;10,CONCATENATE("0",MONTH(A197)),MONTH(A197)))</f>
        <v>2024/12</v>
      </c>
      <c r="E197" s="8" t="str">
        <f>IF(IF(D197&lt;&gt;D196,1,IF(OR(B197&lt;&gt;B196,A197-A196&gt;$U$1),1,""))&lt;&gt;1,"",IF(C197="B01",1965,IF(C197="B02",1020,IF(C197="B05",2400,IF(C197="B03",4260,IF(C197="B04",2880,IF(C197="B20",1260,0)))))))</f>
        <v/>
      </c>
      <c r="F197" s="8" t="str">
        <f>IF(IF(D197&lt;&gt;D196,1,IF(OR(B197&lt;&gt;B196,A197-A196&gt;$U$1),1,""))&lt;&gt;1,"",IF(C197="B01",1,IF(C197="B05",1,IF(C197="B03",1,IF(C197="B04",1,IF(C197="B20",1,IF(C197="B02",1,0)))))))</f>
        <v/>
      </c>
      <c r="G197"/>
      <c r="H197" s="2"/>
      <c r="I197" s="2"/>
      <c r="L197"/>
      <c r="R197"/>
      <c r="S197" s="5"/>
      <c r="U197" s="5"/>
    </row>
    <row r="198" spans="1:21">
      <c r="A198" s="3">
        <v>45645.336365740739</v>
      </c>
      <c r="B198" s="2" t="s">
        <v>26</v>
      </c>
      <c r="C198" s="2" t="s">
        <v>11</v>
      </c>
      <c r="D198" s="6" t="str">
        <f>CONCATENATE(YEAR(A198),"/",IF(MONTH(A198)&lt;10,CONCATENATE("0",MONTH(A198)),MONTH(A198)))</f>
        <v>2024/12</v>
      </c>
      <c r="E198" s="8">
        <f>IF(IF(D198&lt;&gt;D197,1,IF(OR(B198&lt;&gt;B197,A198-A197&gt;$U$1),1,""))&lt;&gt;1,"",IF(C198="B01",1965,IF(C198="B02",1020,IF(C198="B05",2400,IF(C198="B03",4260,IF(C198="B04",2880,IF(C198="B20",1260,0)))))))</f>
        <v>2400</v>
      </c>
      <c r="F198" s="8">
        <f>IF(IF(D198&lt;&gt;D197,1,IF(OR(B198&lt;&gt;B197,A198-A197&gt;$U$1),1,""))&lt;&gt;1,"",IF(C198="B01",1,IF(C198="B05",1,IF(C198="B03",1,IF(C198="B04",1,IF(C198="B20",1,IF(C198="B02",1,0)))))))</f>
        <v>1</v>
      </c>
      <c r="G198"/>
      <c r="H198" s="2"/>
      <c r="I198" s="2"/>
      <c r="L198"/>
      <c r="R198"/>
      <c r="S198" s="5"/>
      <c r="U198" s="5"/>
    </row>
    <row r="199" spans="1:21">
      <c r="A199" s="3">
        <v>45645.336365740739</v>
      </c>
      <c r="B199" s="2" t="s">
        <v>26</v>
      </c>
      <c r="C199" s="2" t="s">
        <v>11</v>
      </c>
      <c r="D199" s="6" t="str">
        <f>CONCATENATE(YEAR(A199),"/",IF(MONTH(A199)&lt;10,CONCATENATE("0",MONTH(A199)),MONTH(A199)))</f>
        <v>2024/12</v>
      </c>
      <c r="E199" s="8" t="str">
        <f>IF(IF(D199&lt;&gt;D198,1,IF(OR(B199&lt;&gt;B198,A199-A198&gt;$U$1),1,""))&lt;&gt;1,"",IF(C199="B01",1965,IF(C199="B02",1020,IF(C199="B05",2400,IF(C199="B03",4260,IF(C199="B04",2880,IF(C199="B20",1260,0)))))))</f>
        <v/>
      </c>
      <c r="F199" s="8" t="str">
        <f>IF(IF(D199&lt;&gt;D198,1,IF(OR(B199&lt;&gt;B198,A199-A198&gt;$U$1),1,""))&lt;&gt;1,"",IF(C199="B01",1,IF(C199="B05",1,IF(C199="B03",1,IF(C199="B04",1,IF(C199="B20",1,IF(C199="B02",1,0)))))))</f>
        <v/>
      </c>
      <c r="G199"/>
      <c r="H199" s="2"/>
      <c r="I199" s="2"/>
      <c r="L199"/>
      <c r="R199"/>
      <c r="S199" s="5"/>
      <c r="U199" s="5"/>
    </row>
    <row r="200" spans="1:21">
      <c r="A200" s="3">
        <v>45645.470185185186</v>
      </c>
      <c r="B200" s="2" t="s">
        <v>26</v>
      </c>
      <c r="C200" s="2" t="s">
        <v>11</v>
      </c>
      <c r="D200" s="6" t="str">
        <f>CONCATENATE(YEAR(A200),"/",IF(MONTH(A200)&lt;10,CONCATENATE("0",MONTH(A200)),MONTH(A200)))</f>
        <v>2024/12</v>
      </c>
      <c r="E200" s="8">
        <f>IF(IF(D200&lt;&gt;D199,1,IF(OR(B200&lt;&gt;B199,A200-A199&gt;$U$1),1,""))&lt;&gt;1,"",IF(C200="B01",1965,IF(C200="B02",1020,IF(C200="B05",2400,IF(C200="B03",4260,IF(C200="B04",2880,IF(C200="B20",1260,0)))))))</f>
        <v>2400</v>
      </c>
      <c r="F200" s="8">
        <f>IF(IF(D200&lt;&gt;D199,1,IF(OR(B200&lt;&gt;B199,A200-A199&gt;$U$1),1,""))&lt;&gt;1,"",IF(C200="B01",1,IF(C200="B05",1,IF(C200="B03",1,IF(C200="B04",1,IF(C200="B20",1,IF(C200="B02",1,0)))))))</f>
        <v>1</v>
      </c>
      <c r="G200"/>
      <c r="H200" s="2"/>
      <c r="I200" s="2"/>
      <c r="L200"/>
      <c r="R200"/>
      <c r="S200" s="5"/>
      <c r="U200" s="5"/>
    </row>
    <row r="201" spans="1:21">
      <c r="A201" s="3">
        <v>45645.470185185186</v>
      </c>
      <c r="B201" s="2" t="s">
        <v>26</v>
      </c>
      <c r="C201" s="2" t="s">
        <v>11</v>
      </c>
      <c r="D201" s="6" t="str">
        <f>CONCATENATE(YEAR(A201),"/",IF(MONTH(A201)&lt;10,CONCATENATE("0",MONTH(A201)),MONTH(A201)))</f>
        <v>2024/12</v>
      </c>
      <c r="E201" s="8" t="str">
        <f>IF(IF(D201&lt;&gt;D200,1,IF(OR(B201&lt;&gt;B200,A201-A200&gt;$U$1),1,""))&lt;&gt;1,"",IF(C201="B01",1965,IF(C201="B02",1020,IF(C201="B05",2400,IF(C201="B03",4260,IF(C201="B04",2880,IF(C201="B20",1260,0)))))))</f>
        <v/>
      </c>
      <c r="F201" s="8" t="str">
        <f>IF(IF(D201&lt;&gt;D200,1,IF(OR(B201&lt;&gt;B200,A201-A200&gt;$U$1),1,""))&lt;&gt;1,"",IF(C201="B01",1,IF(C201="B05",1,IF(C201="B03",1,IF(C201="B04",1,IF(C201="B20",1,IF(C201="B02",1,0)))))))</f>
        <v/>
      </c>
      <c r="G201"/>
      <c r="H201" s="2"/>
      <c r="I201" s="2"/>
      <c r="L201"/>
      <c r="R201"/>
      <c r="S201" s="5"/>
      <c r="U201" s="5"/>
    </row>
    <row r="202" spans="1:21">
      <c r="A202" s="3">
        <v>45645.596493055556</v>
      </c>
      <c r="B202" s="2" t="s">
        <v>26</v>
      </c>
      <c r="C202" s="2" t="s">
        <v>11</v>
      </c>
      <c r="D202" s="6" t="str">
        <f>CONCATENATE(YEAR(A202),"/",IF(MONTH(A202)&lt;10,CONCATENATE("0",MONTH(A202)),MONTH(A202)))</f>
        <v>2024/12</v>
      </c>
      <c r="E202" s="8">
        <f>IF(IF(D202&lt;&gt;D201,1,IF(OR(B202&lt;&gt;B201,A202-A201&gt;$U$1),1,""))&lt;&gt;1,"",IF(C202="B01",1965,IF(C202="B02",1020,IF(C202="B05",2400,IF(C202="B03",4260,IF(C202="B04",2880,IF(C202="B20",1260,0)))))))</f>
        <v>2400</v>
      </c>
      <c r="F202" s="8">
        <f>IF(IF(D202&lt;&gt;D201,1,IF(OR(B202&lt;&gt;B201,A202-A201&gt;$U$1),1,""))&lt;&gt;1,"",IF(C202="B01",1,IF(C202="B05",1,IF(C202="B03",1,IF(C202="B04",1,IF(C202="B20",1,IF(C202="B02",1,0)))))))</f>
        <v>1</v>
      </c>
      <c r="G202"/>
      <c r="H202" s="2"/>
      <c r="I202" s="2"/>
      <c r="L202"/>
      <c r="R202"/>
      <c r="S202" s="5"/>
      <c r="U202" s="5"/>
    </row>
    <row r="203" spans="1:21">
      <c r="A203" s="3">
        <v>45645.596493055556</v>
      </c>
      <c r="B203" s="2" t="s">
        <v>26</v>
      </c>
      <c r="C203" s="2" t="s">
        <v>11</v>
      </c>
      <c r="D203" s="6" t="str">
        <f>CONCATENATE(YEAR(A203),"/",IF(MONTH(A203)&lt;10,CONCATENATE("0",MONTH(A203)),MONTH(A203)))</f>
        <v>2024/12</v>
      </c>
      <c r="E203" s="8" t="str">
        <f>IF(IF(D203&lt;&gt;D202,1,IF(OR(B203&lt;&gt;B202,A203-A202&gt;$U$1),1,""))&lt;&gt;1,"",IF(C203="B01",1965,IF(C203="B02",1020,IF(C203="B05",2400,IF(C203="B03",4260,IF(C203="B04",2880,IF(C203="B20",1260,0)))))))</f>
        <v/>
      </c>
      <c r="F203" s="8" t="str">
        <f>IF(IF(D203&lt;&gt;D202,1,IF(OR(B203&lt;&gt;B202,A203-A202&gt;$U$1),1,""))&lt;&gt;1,"",IF(C203="B01",1,IF(C203="B05",1,IF(C203="B03",1,IF(C203="B04",1,IF(C203="B20",1,IF(C203="B02",1,0)))))))</f>
        <v/>
      </c>
      <c r="G203"/>
      <c r="H203" s="2"/>
      <c r="I203" s="2"/>
      <c r="L203"/>
      <c r="R203"/>
      <c r="S203" s="5"/>
      <c r="U203" s="5"/>
    </row>
    <row r="204" spans="1:21">
      <c r="A204" s="3">
        <v>45645.717951388891</v>
      </c>
      <c r="B204" s="2" t="s">
        <v>26</v>
      </c>
      <c r="C204" s="2" t="s">
        <v>11</v>
      </c>
      <c r="D204" s="6" t="str">
        <f>CONCATENATE(YEAR(A204),"/",IF(MONTH(A204)&lt;10,CONCATENATE("0",MONTH(A204)),MONTH(A204)))</f>
        <v>2024/12</v>
      </c>
      <c r="E204" s="8">
        <f>IF(IF(D204&lt;&gt;D203,1,IF(OR(B204&lt;&gt;B203,A204-A203&gt;$U$1),1,""))&lt;&gt;1,"",IF(C204="B01",1965,IF(C204="B02",1020,IF(C204="B05",2400,IF(C204="B03",4260,IF(C204="B04",2880,IF(C204="B20",1260,0)))))))</f>
        <v>2400</v>
      </c>
      <c r="F204" s="8">
        <f>IF(IF(D204&lt;&gt;D203,1,IF(OR(B204&lt;&gt;B203,A204-A203&gt;$U$1),1,""))&lt;&gt;1,"",IF(C204="B01",1,IF(C204="B05",1,IF(C204="B03",1,IF(C204="B04",1,IF(C204="B20",1,IF(C204="B02",1,0)))))))</f>
        <v>1</v>
      </c>
      <c r="G204"/>
      <c r="H204" s="2"/>
      <c r="I204" s="2"/>
      <c r="L204"/>
      <c r="R204"/>
      <c r="S204" s="5"/>
      <c r="U204" s="5"/>
    </row>
    <row r="205" spans="1:21">
      <c r="A205" s="3">
        <v>45645.717951388891</v>
      </c>
      <c r="B205" s="2" t="s">
        <v>26</v>
      </c>
      <c r="C205" s="2" t="s">
        <v>11</v>
      </c>
      <c r="D205" s="6" t="str">
        <f>CONCATENATE(YEAR(A205),"/",IF(MONTH(A205)&lt;10,CONCATENATE("0",MONTH(A205)),MONTH(A205)))</f>
        <v>2024/12</v>
      </c>
      <c r="E205" s="8" t="str">
        <f>IF(IF(D205&lt;&gt;D204,1,IF(OR(B205&lt;&gt;B204,A205-A204&gt;$U$1),1,""))&lt;&gt;1,"",IF(C205="B01",1965,IF(C205="B02",1020,IF(C205="B05",2400,IF(C205="B03",4260,IF(C205="B04",2880,IF(C205="B20",1260,0)))))))</f>
        <v/>
      </c>
      <c r="F205" s="8" t="str">
        <f>IF(IF(D205&lt;&gt;D204,1,IF(OR(B205&lt;&gt;B204,A205-A204&gt;$U$1),1,""))&lt;&gt;1,"",IF(C205="B01",1,IF(C205="B05",1,IF(C205="B03",1,IF(C205="B04",1,IF(C205="B20",1,IF(C205="B02",1,0)))))))</f>
        <v/>
      </c>
      <c r="G205"/>
      <c r="H205" s="2"/>
      <c r="I205" s="2"/>
      <c r="L205"/>
      <c r="R205"/>
      <c r="S205" s="5"/>
      <c r="U205" s="5"/>
    </row>
    <row r="206" spans="1:21">
      <c r="A206" s="3">
        <v>45645.717951388891</v>
      </c>
      <c r="B206" s="2" t="s">
        <v>26</v>
      </c>
      <c r="C206" s="2" t="s">
        <v>11</v>
      </c>
      <c r="D206" s="6" t="str">
        <f>CONCATENATE(YEAR(A206),"/",IF(MONTH(A206)&lt;10,CONCATENATE("0",MONTH(A206)),MONTH(A206)))</f>
        <v>2024/12</v>
      </c>
      <c r="E206" s="8" t="str">
        <f>IF(IF(D206&lt;&gt;D205,1,IF(OR(B206&lt;&gt;B205,A206-A205&gt;$U$1),1,""))&lt;&gt;1,"",IF(C206="B01",1965,IF(C206="B02",1020,IF(C206="B05",2400,IF(C206="B03",4260,IF(C206="B04",2880,IF(C206="B20",1260,0)))))))</f>
        <v/>
      </c>
      <c r="F206" s="8" t="str">
        <f>IF(IF(D206&lt;&gt;D205,1,IF(OR(B206&lt;&gt;B205,A206-A205&gt;$U$1),1,""))&lt;&gt;1,"",IF(C206="B01",1,IF(C206="B05",1,IF(C206="B03",1,IF(C206="B04",1,IF(C206="B20",1,IF(C206="B02",1,0)))))))</f>
        <v/>
      </c>
      <c r="G206"/>
      <c r="H206" s="2"/>
      <c r="I206" s="2"/>
      <c r="L206"/>
      <c r="R206"/>
      <c r="S206" s="5"/>
      <c r="U206" s="5"/>
    </row>
    <row r="207" spans="1:21">
      <c r="A207" s="3">
        <v>45645.834999999999</v>
      </c>
      <c r="B207" s="2" t="s">
        <v>26</v>
      </c>
      <c r="C207" s="2" t="s">
        <v>11</v>
      </c>
      <c r="D207" s="6" t="str">
        <f>CONCATENATE(YEAR(A207),"/",IF(MONTH(A207)&lt;10,CONCATENATE("0",MONTH(A207)),MONTH(A207)))</f>
        <v>2024/12</v>
      </c>
      <c r="E207" s="8">
        <f>IF(IF(D207&lt;&gt;D206,1,IF(OR(B207&lt;&gt;B206,A207-A206&gt;$U$1),1,""))&lt;&gt;1,"",IF(C207="B01",1965,IF(C207="B02",1020,IF(C207="B05",2400,IF(C207="B03",4260,IF(C207="B04",2880,IF(C207="B20",1260,0)))))))</f>
        <v>2400</v>
      </c>
      <c r="F207" s="8">
        <f>IF(IF(D207&lt;&gt;D206,1,IF(OR(B207&lt;&gt;B206,A207-A206&gt;$U$1),1,""))&lt;&gt;1,"",IF(C207="B01",1,IF(C207="B05",1,IF(C207="B03",1,IF(C207="B04",1,IF(C207="B20",1,IF(C207="B02",1,0)))))))</f>
        <v>1</v>
      </c>
      <c r="G207"/>
      <c r="H207" s="2"/>
      <c r="I207" s="2"/>
      <c r="L207"/>
      <c r="R207"/>
      <c r="S207" s="5"/>
      <c r="U207" s="5"/>
    </row>
    <row r="208" spans="1:21">
      <c r="A208" s="3">
        <v>45645.834999999999</v>
      </c>
      <c r="B208" s="2" t="s">
        <v>26</v>
      </c>
      <c r="C208" s="2" t="s">
        <v>11</v>
      </c>
      <c r="D208" s="6" t="str">
        <f>CONCATENATE(YEAR(A208),"/",IF(MONTH(A208)&lt;10,CONCATENATE("0",MONTH(A208)),MONTH(A208)))</f>
        <v>2024/12</v>
      </c>
      <c r="E208" s="8" t="str">
        <f>IF(IF(D208&lt;&gt;D207,1,IF(OR(B208&lt;&gt;B207,A208-A207&gt;$U$1),1,""))&lt;&gt;1,"",IF(C208="B01",1965,IF(C208="B02",1020,IF(C208="B05",2400,IF(C208="B03",4260,IF(C208="B04",2880,IF(C208="B20",1260,0)))))))</f>
        <v/>
      </c>
      <c r="F208" s="8" t="str">
        <f>IF(IF(D208&lt;&gt;D207,1,IF(OR(B208&lt;&gt;B207,A208-A207&gt;$U$1),1,""))&lt;&gt;1,"",IF(C208="B01",1,IF(C208="B05",1,IF(C208="B03",1,IF(C208="B04",1,IF(C208="B20",1,IF(C208="B02",1,0)))))))</f>
        <v/>
      </c>
      <c r="G208"/>
      <c r="H208" s="2"/>
      <c r="I208" s="2"/>
      <c r="L208"/>
      <c r="R208"/>
      <c r="S208" s="5"/>
      <c r="U208" s="5"/>
    </row>
    <row r="209" spans="1:21">
      <c r="A209" s="3">
        <v>45645.834999999999</v>
      </c>
      <c r="B209" s="2" t="s">
        <v>26</v>
      </c>
      <c r="C209" s="2" t="s">
        <v>11</v>
      </c>
      <c r="D209" s="6" t="str">
        <f>CONCATENATE(YEAR(A209),"/",IF(MONTH(A209)&lt;10,CONCATENATE("0",MONTH(A209)),MONTH(A209)))</f>
        <v>2024/12</v>
      </c>
      <c r="E209" s="8" t="str">
        <f>IF(IF(D209&lt;&gt;D208,1,IF(OR(B209&lt;&gt;B208,A209-A208&gt;$U$1),1,""))&lt;&gt;1,"",IF(C209="B01",1965,IF(C209="B02",1020,IF(C209="B05",2400,IF(C209="B03",4260,IF(C209="B04",2880,IF(C209="B20",1260,0)))))))</f>
        <v/>
      </c>
      <c r="F209" s="8" t="str">
        <f>IF(IF(D209&lt;&gt;D208,1,IF(OR(B209&lt;&gt;B208,A209-A208&gt;$U$1),1,""))&lt;&gt;1,"",IF(C209="B01",1,IF(C209="B05",1,IF(C209="B03",1,IF(C209="B04",1,IF(C209="B20",1,IF(C209="B02",1,0)))))))</f>
        <v/>
      </c>
      <c r="G209"/>
      <c r="H209" s="2"/>
      <c r="I209" s="2"/>
      <c r="L209"/>
      <c r="R209"/>
      <c r="S209" s="5"/>
      <c r="U209" s="5"/>
    </row>
    <row r="210" spans="1:21">
      <c r="A210" s="3">
        <v>45645.962800925925</v>
      </c>
      <c r="B210" s="2" t="s">
        <v>26</v>
      </c>
      <c r="C210" s="2" t="s">
        <v>11</v>
      </c>
      <c r="D210" s="6" t="str">
        <f>CONCATENATE(YEAR(A210),"/",IF(MONTH(A210)&lt;10,CONCATENATE("0",MONTH(A210)),MONTH(A210)))</f>
        <v>2024/12</v>
      </c>
      <c r="E210" s="8">
        <f>IF(IF(D210&lt;&gt;D209,1,IF(OR(B210&lt;&gt;B209,A210-A209&gt;$U$1),1,""))&lt;&gt;1,"",IF(C210="B01",1965,IF(C210="B02",1020,IF(C210="B05",2400,IF(C210="B03",4260,IF(C210="B04",2880,IF(C210="B20",1260,0)))))))</f>
        <v>2400</v>
      </c>
      <c r="F210" s="8">
        <f>IF(IF(D210&lt;&gt;D209,1,IF(OR(B210&lt;&gt;B209,A210-A209&gt;$U$1),1,""))&lt;&gt;1,"",IF(C210="B01",1,IF(C210="B05",1,IF(C210="B03",1,IF(C210="B04",1,IF(C210="B20",1,IF(C210="B02",1,0)))))))</f>
        <v>1</v>
      </c>
      <c r="G210"/>
      <c r="H210" s="2"/>
      <c r="I210" s="2"/>
      <c r="L210"/>
      <c r="R210"/>
      <c r="S210" s="5"/>
      <c r="U210" s="5"/>
    </row>
    <row r="211" spans="1:21">
      <c r="A211" s="3">
        <v>45645.962800925925</v>
      </c>
      <c r="B211" s="2" t="s">
        <v>26</v>
      </c>
      <c r="C211" s="2" t="s">
        <v>11</v>
      </c>
      <c r="D211" s="6" t="str">
        <f>CONCATENATE(YEAR(A211),"/",IF(MONTH(A211)&lt;10,CONCATENATE("0",MONTH(A211)),MONTH(A211)))</f>
        <v>2024/12</v>
      </c>
      <c r="E211" s="8" t="str">
        <f>IF(IF(D211&lt;&gt;D210,1,IF(OR(B211&lt;&gt;B210,A211-A210&gt;$U$1),1,""))&lt;&gt;1,"",IF(C211="B01",1965,IF(C211="B02",1020,IF(C211="B05",2400,IF(C211="B03",4260,IF(C211="B04",2880,IF(C211="B20",1260,0)))))))</f>
        <v/>
      </c>
      <c r="F211" s="8" t="str">
        <f>IF(IF(D211&lt;&gt;D210,1,IF(OR(B211&lt;&gt;B210,A211-A210&gt;$U$1),1,""))&lt;&gt;1,"",IF(C211="B01",1,IF(C211="B05",1,IF(C211="B03",1,IF(C211="B04",1,IF(C211="B20",1,IF(C211="B02",1,0)))))))</f>
        <v/>
      </c>
      <c r="G211"/>
      <c r="H211" s="2"/>
      <c r="I211" s="2"/>
      <c r="L211"/>
      <c r="R211"/>
      <c r="S211" s="5"/>
      <c r="U211" s="5"/>
    </row>
    <row r="212" spans="1:21">
      <c r="A212" s="3">
        <v>45645.962800925925</v>
      </c>
      <c r="B212" s="2" t="s">
        <v>26</v>
      </c>
      <c r="C212" s="2" t="s">
        <v>11</v>
      </c>
      <c r="D212" s="6" t="str">
        <f>CONCATENATE(YEAR(A212),"/",IF(MONTH(A212)&lt;10,CONCATENATE("0",MONTH(A212)),MONTH(A212)))</f>
        <v>2024/12</v>
      </c>
      <c r="E212" s="8" t="str">
        <f>IF(IF(D212&lt;&gt;D211,1,IF(OR(B212&lt;&gt;B211,A212-A211&gt;$U$1),1,""))&lt;&gt;1,"",IF(C212="B01",1965,IF(C212="B02",1020,IF(C212="B05",2400,IF(C212="B03",4260,IF(C212="B04",2880,IF(C212="B20",1260,0)))))))</f>
        <v/>
      </c>
      <c r="F212" s="8" t="str">
        <f>IF(IF(D212&lt;&gt;D211,1,IF(OR(B212&lt;&gt;B211,A212-A211&gt;$U$1),1,""))&lt;&gt;1,"",IF(C212="B01",1,IF(C212="B05",1,IF(C212="B03",1,IF(C212="B04",1,IF(C212="B20",1,IF(C212="B02",1,0)))))))</f>
        <v/>
      </c>
      <c r="G212"/>
      <c r="H212" s="2"/>
      <c r="I212" s="2"/>
      <c r="L212"/>
      <c r="R212"/>
      <c r="S212" s="5"/>
      <c r="U212" s="5"/>
    </row>
    <row r="213" spans="1:21">
      <c r="A213" s="3">
        <v>45646.07707175926</v>
      </c>
      <c r="B213" s="2" t="s">
        <v>26</v>
      </c>
      <c r="C213" s="2" t="s">
        <v>11</v>
      </c>
      <c r="D213" s="6" t="str">
        <f>CONCATENATE(YEAR(A213),"/",IF(MONTH(A213)&lt;10,CONCATENATE("0",MONTH(A213)),MONTH(A213)))</f>
        <v>2024/12</v>
      </c>
      <c r="E213" s="8">
        <f>IF(IF(D213&lt;&gt;D212,1,IF(OR(B213&lt;&gt;B212,A213-A212&gt;$U$1),1,""))&lt;&gt;1,"",IF(C213="B01",1965,IF(C213="B02",1020,IF(C213="B05",2400,IF(C213="B03",4260,IF(C213="B04",2880,IF(C213="B20",1260,0)))))))</f>
        <v>2400</v>
      </c>
      <c r="F213" s="8">
        <f>IF(IF(D213&lt;&gt;D212,1,IF(OR(B213&lt;&gt;B212,A213-A212&gt;$U$1),1,""))&lt;&gt;1,"",IF(C213="B01",1,IF(C213="B05",1,IF(C213="B03",1,IF(C213="B04",1,IF(C213="B20",1,IF(C213="B02",1,0)))))))</f>
        <v>1</v>
      </c>
      <c r="G213"/>
      <c r="H213" s="2"/>
      <c r="I213" s="2"/>
      <c r="L213"/>
      <c r="R213"/>
      <c r="S213" s="5"/>
      <c r="U213" s="5"/>
    </row>
    <row r="214" spans="1:21">
      <c r="A214" s="3">
        <v>45646.07707175926</v>
      </c>
      <c r="B214" s="2" t="s">
        <v>26</v>
      </c>
      <c r="C214" s="2" t="s">
        <v>11</v>
      </c>
      <c r="D214" s="6" t="str">
        <f>CONCATENATE(YEAR(A214),"/",IF(MONTH(A214)&lt;10,CONCATENATE("0",MONTH(A214)),MONTH(A214)))</f>
        <v>2024/12</v>
      </c>
      <c r="E214" s="8" t="str">
        <f>IF(IF(D214&lt;&gt;D213,1,IF(OR(B214&lt;&gt;B213,A214-A213&gt;$U$1),1,""))&lt;&gt;1,"",IF(C214="B01",1965,IF(C214="B02",1020,IF(C214="B05",2400,IF(C214="B03",4260,IF(C214="B04",2880,IF(C214="B20",1260,0)))))))</f>
        <v/>
      </c>
      <c r="F214" s="8" t="str">
        <f>IF(IF(D214&lt;&gt;D213,1,IF(OR(B214&lt;&gt;B213,A214-A213&gt;$U$1),1,""))&lt;&gt;1,"",IF(C214="B01",1,IF(C214="B05",1,IF(C214="B03",1,IF(C214="B04",1,IF(C214="B20",1,IF(C214="B02",1,0)))))))</f>
        <v/>
      </c>
      <c r="G214"/>
      <c r="H214" s="2"/>
      <c r="I214" s="2"/>
      <c r="L214"/>
      <c r="R214"/>
      <c r="S214" s="5"/>
      <c r="U214" s="5"/>
    </row>
    <row r="215" spans="1:21">
      <c r="A215" s="3">
        <v>45646.07707175926</v>
      </c>
      <c r="B215" s="2" t="s">
        <v>26</v>
      </c>
      <c r="C215" s="2" t="s">
        <v>11</v>
      </c>
      <c r="D215" s="6" t="str">
        <f>CONCATENATE(YEAR(A215),"/",IF(MONTH(A215)&lt;10,CONCATENATE("0",MONTH(A215)),MONTH(A215)))</f>
        <v>2024/12</v>
      </c>
      <c r="E215" s="8" t="str">
        <f>IF(IF(D215&lt;&gt;D214,1,IF(OR(B215&lt;&gt;B214,A215-A214&gt;$U$1),1,""))&lt;&gt;1,"",IF(C215="B01",1965,IF(C215="B02",1020,IF(C215="B05",2400,IF(C215="B03",4260,IF(C215="B04",2880,IF(C215="B20",1260,0)))))))</f>
        <v/>
      </c>
      <c r="F215" s="8" t="str">
        <f>IF(IF(D215&lt;&gt;D214,1,IF(OR(B215&lt;&gt;B214,A215-A214&gt;$U$1),1,""))&lt;&gt;1,"",IF(C215="B01",1,IF(C215="B05",1,IF(C215="B03",1,IF(C215="B04",1,IF(C215="B20",1,IF(C215="B02",1,0)))))))</f>
        <v/>
      </c>
      <c r="G215"/>
      <c r="H215" s="2"/>
      <c r="I215" s="2"/>
      <c r="L215"/>
      <c r="R215"/>
      <c r="S215" s="5"/>
      <c r="U215" s="5"/>
    </row>
    <row r="216" spans="1:21">
      <c r="A216" s="3">
        <v>45646.214699074073</v>
      </c>
      <c r="B216" s="2" t="s">
        <v>26</v>
      </c>
      <c r="C216" s="2" t="s">
        <v>34</v>
      </c>
      <c r="D216" s="6" t="str">
        <f>CONCATENATE(YEAR(A216),"/",IF(MONTH(A216)&lt;10,CONCATENATE("0",MONTH(A216)),MONTH(A216)))</f>
        <v>2024/12</v>
      </c>
      <c r="E216" s="8">
        <f>IF(IF(D216&lt;&gt;D215,1,IF(OR(B216&lt;&gt;B215,A216-A215&gt;$U$1),1,""))&lt;&gt;1,"",IF(C216="B01",1965,IF(C216="B02",1020,IF(C216="B05",2400,IF(C216="B03",4260,IF(C216="B04",2880,IF(C216="B20",1260,0)))))))</f>
        <v>1965</v>
      </c>
      <c r="F216" s="8">
        <f>IF(IF(D216&lt;&gt;D215,1,IF(OR(B216&lt;&gt;B215,A216-A215&gt;$U$1),1,""))&lt;&gt;1,"",IF(C216="B01",1,IF(C216="B05",1,IF(C216="B03",1,IF(C216="B04",1,IF(C216="B20",1,IF(C216="B02",1,0)))))))</f>
        <v>1</v>
      </c>
      <c r="G216"/>
      <c r="H216" s="2"/>
      <c r="I216" s="2"/>
      <c r="L216"/>
      <c r="R216"/>
      <c r="S216" s="5"/>
      <c r="U216" s="5"/>
    </row>
    <row r="217" spans="1:21">
      <c r="A217" s="3">
        <v>45646.424872685187</v>
      </c>
      <c r="B217" s="2" t="s">
        <v>26</v>
      </c>
      <c r="C217" s="2" t="s">
        <v>11</v>
      </c>
      <c r="D217" s="6" t="str">
        <f>CONCATENATE(YEAR(A217),"/",IF(MONTH(A217)&lt;10,CONCATENATE("0",MONTH(A217)),MONTH(A217)))</f>
        <v>2024/12</v>
      </c>
      <c r="E217" s="8">
        <f>IF(IF(D217&lt;&gt;D216,1,IF(OR(B217&lt;&gt;B216,A217-A216&gt;$U$1),1,""))&lt;&gt;1,"",IF(C217="B01",1965,IF(C217="B02",1020,IF(C217="B05",2400,IF(C217="B03",4260,IF(C217="B04",2880,IF(C217="B20",1260,0)))))))</f>
        <v>2400</v>
      </c>
      <c r="F217" s="8">
        <f>IF(IF(D217&lt;&gt;D216,1,IF(OR(B217&lt;&gt;B216,A217-A216&gt;$U$1),1,""))&lt;&gt;1,"",IF(C217="B01",1,IF(C217="B05",1,IF(C217="B03",1,IF(C217="B04",1,IF(C217="B20",1,IF(C217="B02",1,0)))))))</f>
        <v>1</v>
      </c>
      <c r="G217"/>
      <c r="H217" s="2"/>
      <c r="I217" s="2"/>
      <c r="L217"/>
      <c r="R217"/>
      <c r="S217" s="5"/>
      <c r="U217" s="5"/>
    </row>
    <row r="218" spans="1:21">
      <c r="A218" s="3">
        <v>45646.424872685187</v>
      </c>
      <c r="B218" s="2" t="s">
        <v>26</v>
      </c>
      <c r="C218" s="2" t="s">
        <v>11</v>
      </c>
      <c r="D218" s="6" t="str">
        <f>CONCATENATE(YEAR(A218),"/",IF(MONTH(A218)&lt;10,CONCATENATE("0",MONTH(A218)),MONTH(A218)))</f>
        <v>2024/12</v>
      </c>
      <c r="E218" s="8" t="str">
        <f>IF(IF(D218&lt;&gt;D217,1,IF(OR(B218&lt;&gt;B217,A218-A217&gt;$U$1),1,""))&lt;&gt;1,"",IF(C218="B01",1965,IF(C218="B02",1020,IF(C218="B05",2400,IF(C218="B03",4260,IF(C218="B04",2880,IF(C218="B20",1260,0)))))))</f>
        <v/>
      </c>
      <c r="F218" s="8" t="str">
        <f>IF(IF(D218&lt;&gt;D217,1,IF(OR(B218&lt;&gt;B217,A218-A217&gt;$U$1),1,""))&lt;&gt;1,"",IF(C218="B01",1,IF(C218="B05",1,IF(C218="B03",1,IF(C218="B04",1,IF(C218="B20",1,IF(C218="B02",1,0)))))))</f>
        <v/>
      </c>
      <c r="G218"/>
      <c r="H218" s="2"/>
      <c r="I218" s="2"/>
      <c r="L218"/>
      <c r="R218"/>
      <c r="S218" s="5"/>
      <c r="U218" s="5"/>
    </row>
    <row r="219" spans="1:21">
      <c r="A219" s="3">
        <v>45646.424872685187</v>
      </c>
      <c r="B219" s="2" t="s">
        <v>26</v>
      </c>
      <c r="C219" s="2" t="s">
        <v>11</v>
      </c>
      <c r="D219" s="6" t="str">
        <f>CONCATENATE(YEAR(A219),"/",IF(MONTH(A219)&lt;10,CONCATENATE("0",MONTH(A219)),MONTH(A219)))</f>
        <v>2024/12</v>
      </c>
      <c r="E219" s="8" t="str">
        <f>IF(IF(D219&lt;&gt;D218,1,IF(OR(B219&lt;&gt;B218,A219-A218&gt;$U$1),1,""))&lt;&gt;1,"",IF(C219="B01",1965,IF(C219="B02",1020,IF(C219="B05",2400,IF(C219="B03",4260,IF(C219="B04",2880,IF(C219="B20",1260,0)))))))</f>
        <v/>
      </c>
      <c r="F219" s="8" t="str">
        <f>IF(IF(D219&lt;&gt;D218,1,IF(OR(B219&lt;&gt;B218,A219-A218&gt;$U$1),1,""))&lt;&gt;1,"",IF(C219="B01",1,IF(C219="B05",1,IF(C219="B03",1,IF(C219="B04",1,IF(C219="B20",1,IF(C219="B02",1,0)))))))</f>
        <v/>
      </c>
      <c r="G219"/>
      <c r="H219" s="2"/>
      <c r="I219" s="2"/>
      <c r="L219"/>
      <c r="R219"/>
      <c r="S219" s="5"/>
      <c r="U219" s="5"/>
    </row>
    <row r="220" spans="1:21">
      <c r="A220" s="3">
        <v>45646.54142361111</v>
      </c>
      <c r="B220" s="2" t="s">
        <v>26</v>
      </c>
      <c r="C220" s="2" t="s">
        <v>11</v>
      </c>
      <c r="D220" s="6" t="str">
        <f>CONCATENATE(YEAR(A220),"/",IF(MONTH(A220)&lt;10,CONCATENATE("0",MONTH(A220)),MONTH(A220)))</f>
        <v>2024/12</v>
      </c>
      <c r="E220" s="8">
        <f>IF(IF(D220&lt;&gt;D219,1,IF(OR(B220&lt;&gt;B219,A220-A219&gt;$U$1),1,""))&lt;&gt;1,"",IF(C220="B01",1965,IF(C220="B02",1020,IF(C220="B05",2400,IF(C220="B03",4260,IF(C220="B04",2880,IF(C220="B20",1260,0)))))))</f>
        <v>2400</v>
      </c>
      <c r="F220" s="8">
        <f>IF(IF(D220&lt;&gt;D219,1,IF(OR(B220&lt;&gt;B219,A220-A219&gt;$U$1),1,""))&lt;&gt;1,"",IF(C220="B01",1,IF(C220="B05",1,IF(C220="B03",1,IF(C220="B04",1,IF(C220="B20",1,IF(C220="B02",1,0)))))))</f>
        <v>1</v>
      </c>
      <c r="G220"/>
      <c r="H220" s="2"/>
      <c r="I220" s="2"/>
      <c r="L220"/>
      <c r="R220"/>
      <c r="S220" s="5"/>
      <c r="U220" s="5"/>
    </row>
    <row r="221" spans="1:21">
      <c r="A221" s="3">
        <v>45646.54142361111</v>
      </c>
      <c r="B221" s="2" t="s">
        <v>26</v>
      </c>
      <c r="C221" s="2" t="s">
        <v>11</v>
      </c>
      <c r="D221" s="6" t="str">
        <f>CONCATENATE(YEAR(A221),"/",IF(MONTH(A221)&lt;10,CONCATENATE("0",MONTH(A221)),MONTH(A221)))</f>
        <v>2024/12</v>
      </c>
      <c r="E221" s="8" t="str">
        <f>IF(IF(D221&lt;&gt;D220,1,IF(OR(B221&lt;&gt;B220,A221-A220&gt;$U$1),1,""))&lt;&gt;1,"",IF(C221="B01",1965,IF(C221="B02",1020,IF(C221="B05",2400,IF(C221="B03",4260,IF(C221="B04",2880,IF(C221="B20",1260,0)))))))</f>
        <v/>
      </c>
      <c r="F221" s="8" t="str">
        <f>IF(IF(D221&lt;&gt;D220,1,IF(OR(B221&lt;&gt;B220,A221-A220&gt;$U$1),1,""))&lt;&gt;1,"",IF(C221="B01",1,IF(C221="B05",1,IF(C221="B03",1,IF(C221="B04",1,IF(C221="B20",1,IF(C221="B02",1,0)))))))</f>
        <v/>
      </c>
      <c r="G221"/>
      <c r="H221" s="2"/>
      <c r="I221" s="2"/>
      <c r="L221"/>
      <c r="R221"/>
      <c r="S221" s="5"/>
      <c r="U221" s="5"/>
    </row>
    <row r="222" spans="1:21">
      <c r="A222" s="3">
        <v>45646.54142361111</v>
      </c>
      <c r="B222" s="2" t="s">
        <v>26</v>
      </c>
      <c r="C222" s="2" t="s">
        <v>11</v>
      </c>
      <c r="D222" s="6" t="str">
        <f>CONCATENATE(YEAR(A222),"/",IF(MONTH(A222)&lt;10,CONCATENATE("0",MONTH(A222)),MONTH(A222)))</f>
        <v>2024/12</v>
      </c>
      <c r="E222" s="8" t="str">
        <f>IF(IF(D222&lt;&gt;D221,1,IF(OR(B222&lt;&gt;B221,A222-A221&gt;$U$1),1,""))&lt;&gt;1,"",IF(C222="B01",1965,IF(C222="B02",1020,IF(C222="B05",2400,IF(C222="B03",4260,IF(C222="B04",2880,IF(C222="B20",1260,0)))))))</f>
        <v/>
      </c>
      <c r="F222" s="8" t="str">
        <f>IF(IF(D222&lt;&gt;D221,1,IF(OR(B222&lt;&gt;B221,A222-A221&gt;$U$1),1,""))&lt;&gt;1,"",IF(C222="B01",1,IF(C222="B05",1,IF(C222="B03",1,IF(C222="B04",1,IF(C222="B20",1,IF(C222="B02",1,0)))))))</f>
        <v/>
      </c>
      <c r="G222"/>
      <c r="H222" s="2"/>
      <c r="I222" s="2"/>
      <c r="L222"/>
      <c r="R222"/>
      <c r="S222" s="5"/>
      <c r="U222" s="5"/>
    </row>
    <row r="223" spans="1:21">
      <c r="A223" s="3">
        <v>45646.677511574075</v>
      </c>
      <c r="B223" s="2" t="s">
        <v>26</v>
      </c>
      <c r="C223" s="2" t="s">
        <v>12</v>
      </c>
      <c r="D223" s="6" t="str">
        <f>CONCATENATE(YEAR(A223),"/",IF(MONTH(A223)&lt;10,CONCATENATE("0",MONTH(A223)),MONTH(A223)))</f>
        <v>2024/12</v>
      </c>
      <c r="E223" s="8">
        <f>IF(IF(D223&lt;&gt;D222,1,IF(OR(B223&lt;&gt;B222,A223-A222&gt;$U$1),1,""))&lt;&gt;1,"",IF(C223="B01",1965,IF(C223="B02",1020,IF(C223="B05",2400,IF(C223="B03",4260,IF(C223="B04",2880,IF(C223="B20",1260,0)))))))</f>
        <v>4260</v>
      </c>
      <c r="F223" s="8">
        <f>IF(IF(D223&lt;&gt;D222,1,IF(OR(B223&lt;&gt;B222,A223-A222&gt;$U$1),1,""))&lt;&gt;1,"",IF(C223="B01",1,IF(C223="B05",1,IF(C223="B03",1,IF(C223="B04",1,IF(C223="B20",1,IF(C223="B02",1,0)))))))</f>
        <v>1</v>
      </c>
      <c r="G223"/>
      <c r="H223" s="2"/>
      <c r="I223" s="2"/>
      <c r="L223"/>
      <c r="R223"/>
      <c r="S223" s="5"/>
      <c r="U223" s="5"/>
    </row>
    <row r="224" spans="1:21">
      <c r="A224" s="3">
        <v>45646.677511574075</v>
      </c>
      <c r="B224" s="2" t="s">
        <v>26</v>
      </c>
      <c r="C224" s="2" t="s">
        <v>12</v>
      </c>
      <c r="D224" s="6" t="str">
        <f>CONCATENATE(YEAR(A224),"/",IF(MONTH(A224)&lt;10,CONCATENATE("0",MONTH(A224)),MONTH(A224)))</f>
        <v>2024/12</v>
      </c>
      <c r="E224" s="8" t="str">
        <f>IF(IF(D224&lt;&gt;D223,1,IF(OR(B224&lt;&gt;B223,A224-A223&gt;$U$1),1,""))&lt;&gt;1,"",IF(C224="B01",1965,IF(C224="B02",1020,IF(C224="B05",2400,IF(C224="B03",4260,IF(C224="B04",2880,IF(C224="B20",1260,0)))))))</f>
        <v/>
      </c>
      <c r="F224" s="8" t="str">
        <f>IF(IF(D224&lt;&gt;D223,1,IF(OR(B224&lt;&gt;B223,A224-A223&gt;$U$1),1,""))&lt;&gt;1,"",IF(C224="B01",1,IF(C224="B05",1,IF(C224="B03",1,IF(C224="B04",1,IF(C224="B20",1,IF(C224="B02",1,0)))))))</f>
        <v/>
      </c>
      <c r="G224"/>
      <c r="H224" s="2"/>
      <c r="I224" s="2"/>
      <c r="L224"/>
      <c r="R224"/>
      <c r="S224" s="5"/>
      <c r="U224" s="5"/>
    </row>
    <row r="225" spans="1:21">
      <c r="A225" s="3">
        <v>45646.894166666665</v>
      </c>
      <c r="B225" s="2" t="s">
        <v>26</v>
      </c>
      <c r="C225" s="2" t="s">
        <v>11</v>
      </c>
      <c r="D225" s="6" t="str">
        <f>CONCATENATE(YEAR(A225),"/",IF(MONTH(A225)&lt;10,CONCATENATE("0",MONTH(A225)),MONTH(A225)))</f>
        <v>2024/12</v>
      </c>
      <c r="E225" s="8">
        <f>IF(IF(D225&lt;&gt;D224,1,IF(OR(B225&lt;&gt;B224,A225-A224&gt;$U$1),1,""))&lt;&gt;1,"",IF(C225="B01",1965,IF(C225="B02",1020,IF(C225="B05",2400,IF(C225="B03",4260,IF(C225="B04",2880,IF(C225="B20",1260,0)))))))</f>
        <v>2400</v>
      </c>
      <c r="F225" s="8">
        <f>IF(IF(D225&lt;&gt;D224,1,IF(OR(B225&lt;&gt;B224,A225-A224&gt;$U$1),1,""))&lt;&gt;1,"",IF(C225="B01",1,IF(C225="B05",1,IF(C225="B03",1,IF(C225="B04",1,IF(C225="B20",1,IF(C225="B02",1,0)))))))</f>
        <v>1</v>
      </c>
      <c r="G225"/>
      <c r="H225" s="2"/>
      <c r="I225" s="2"/>
      <c r="L225"/>
      <c r="R225"/>
      <c r="S225" s="5"/>
      <c r="U225" s="5"/>
    </row>
    <row r="226" spans="1:21">
      <c r="A226" s="3">
        <v>45646.894166666665</v>
      </c>
      <c r="B226" s="2" t="s">
        <v>26</v>
      </c>
      <c r="C226" s="2" t="s">
        <v>11</v>
      </c>
      <c r="D226" s="6" t="str">
        <f>CONCATENATE(YEAR(A226),"/",IF(MONTH(A226)&lt;10,CONCATENATE("0",MONTH(A226)),MONTH(A226)))</f>
        <v>2024/12</v>
      </c>
      <c r="E226" s="8" t="str">
        <f>IF(IF(D226&lt;&gt;D225,1,IF(OR(B226&lt;&gt;B225,A226-A225&gt;$U$1),1,""))&lt;&gt;1,"",IF(C226="B01",1965,IF(C226="B02",1020,IF(C226="B05",2400,IF(C226="B03",4260,IF(C226="B04",2880,IF(C226="B20",1260,0)))))))</f>
        <v/>
      </c>
      <c r="F226" s="8" t="str">
        <f>IF(IF(D226&lt;&gt;D225,1,IF(OR(B226&lt;&gt;B225,A226-A225&gt;$U$1),1,""))&lt;&gt;1,"",IF(C226="B01",1,IF(C226="B05",1,IF(C226="B03",1,IF(C226="B04",1,IF(C226="B20",1,IF(C226="B02",1,0)))))))</f>
        <v/>
      </c>
      <c r="G226"/>
      <c r="H226" s="2"/>
      <c r="I226" s="2"/>
      <c r="L226"/>
      <c r="R226"/>
      <c r="S226" s="5"/>
      <c r="U226" s="5"/>
    </row>
    <row r="227" spans="1:21">
      <c r="A227" s="3">
        <v>45646.894166666665</v>
      </c>
      <c r="B227" s="2" t="s">
        <v>26</v>
      </c>
      <c r="C227" s="2" t="s">
        <v>11</v>
      </c>
      <c r="D227" s="6" t="str">
        <f>CONCATENATE(YEAR(A227),"/",IF(MONTH(A227)&lt;10,CONCATENATE("0",MONTH(A227)),MONTH(A227)))</f>
        <v>2024/12</v>
      </c>
      <c r="E227" s="8" t="str">
        <f>IF(IF(D227&lt;&gt;D226,1,IF(OR(B227&lt;&gt;B226,A227-A226&gt;$U$1),1,""))&lt;&gt;1,"",IF(C227="B01",1965,IF(C227="B02",1020,IF(C227="B05",2400,IF(C227="B03",4260,IF(C227="B04",2880,IF(C227="B20",1260,0)))))))</f>
        <v/>
      </c>
      <c r="F227" s="8" t="str">
        <f>IF(IF(D227&lt;&gt;D226,1,IF(OR(B227&lt;&gt;B226,A227-A226&gt;$U$1),1,""))&lt;&gt;1,"",IF(C227="B01",1,IF(C227="B05",1,IF(C227="B03",1,IF(C227="B04",1,IF(C227="B20",1,IF(C227="B02",1,0)))))))</f>
        <v/>
      </c>
      <c r="G227"/>
      <c r="H227" s="2"/>
      <c r="I227" s="2"/>
      <c r="L227"/>
      <c r="R227"/>
      <c r="S227" s="5"/>
      <c r="U227" s="5"/>
    </row>
    <row r="228" spans="1:21">
      <c r="A228" s="3">
        <v>45647.1565625</v>
      </c>
      <c r="B228" s="2" t="s">
        <v>26</v>
      </c>
      <c r="C228" s="2" t="s">
        <v>11</v>
      </c>
      <c r="D228" s="6" t="str">
        <f>CONCATENATE(YEAR(A228),"/",IF(MONTH(A228)&lt;10,CONCATENATE("0",MONTH(A228)),MONTH(A228)))</f>
        <v>2024/12</v>
      </c>
      <c r="E228" s="8">
        <f>IF(IF(D228&lt;&gt;D227,1,IF(OR(B228&lt;&gt;B227,A228-A227&gt;$U$1),1,""))&lt;&gt;1,"",IF(C228="B01",1965,IF(C228="B02",1020,IF(C228="B05",2400,IF(C228="B03",4260,IF(C228="B04",2880,IF(C228="B20",1260,0)))))))</f>
        <v>2400</v>
      </c>
      <c r="F228" s="8">
        <f>IF(IF(D228&lt;&gt;D227,1,IF(OR(B228&lt;&gt;B227,A228-A227&gt;$U$1),1,""))&lt;&gt;1,"",IF(C228="B01",1,IF(C228="B05",1,IF(C228="B03",1,IF(C228="B04",1,IF(C228="B20",1,IF(C228="B02",1,0)))))))</f>
        <v>1</v>
      </c>
      <c r="G228"/>
      <c r="H228" s="2"/>
      <c r="I228" s="2"/>
      <c r="L228"/>
      <c r="R228"/>
      <c r="S228" s="5"/>
      <c r="U228" s="5"/>
    </row>
    <row r="229" spans="1:21">
      <c r="A229" s="3">
        <v>45647.1565625</v>
      </c>
      <c r="B229" s="2" t="s">
        <v>26</v>
      </c>
      <c r="C229" s="2" t="s">
        <v>11</v>
      </c>
      <c r="D229" s="6" t="str">
        <f>CONCATENATE(YEAR(A229),"/",IF(MONTH(A229)&lt;10,CONCATENATE("0",MONTH(A229)),MONTH(A229)))</f>
        <v>2024/12</v>
      </c>
      <c r="E229" s="8" t="str">
        <f>IF(IF(D229&lt;&gt;D228,1,IF(OR(B229&lt;&gt;B228,A229-A228&gt;$U$1),1,""))&lt;&gt;1,"",IF(C229="B01",1965,IF(C229="B02",1020,IF(C229="B05",2400,IF(C229="B03",4260,IF(C229="B04",2880,IF(C229="B20",1260,0)))))))</f>
        <v/>
      </c>
      <c r="F229" s="8" t="str">
        <f>IF(IF(D229&lt;&gt;D228,1,IF(OR(B229&lt;&gt;B228,A229-A228&gt;$U$1),1,""))&lt;&gt;1,"",IF(C229="B01",1,IF(C229="B05",1,IF(C229="B03",1,IF(C229="B04",1,IF(C229="B20",1,IF(C229="B02",1,0)))))))</f>
        <v/>
      </c>
      <c r="G229"/>
      <c r="H229" s="2"/>
      <c r="I229" s="2"/>
      <c r="L229"/>
      <c r="R229"/>
      <c r="S229" s="5"/>
      <c r="U229" s="5"/>
    </row>
    <row r="230" spans="1:21">
      <c r="A230" s="3">
        <v>45647.278622685182</v>
      </c>
      <c r="B230" s="2" t="s">
        <v>26</v>
      </c>
      <c r="C230" s="2" t="s">
        <v>11</v>
      </c>
      <c r="D230" s="6" t="str">
        <f>CONCATENATE(YEAR(A230),"/",IF(MONTH(A230)&lt;10,CONCATENATE("0",MONTH(A230)),MONTH(A230)))</f>
        <v>2024/12</v>
      </c>
      <c r="E230" s="8">
        <f>IF(IF(D230&lt;&gt;D229,1,IF(OR(B230&lt;&gt;B229,A230-A229&gt;$U$1),1,""))&lt;&gt;1,"",IF(C230="B01",1965,IF(C230="B02",1020,IF(C230="B05",2400,IF(C230="B03",4260,IF(C230="B04",2880,IF(C230="B20",1260,0)))))))</f>
        <v>2400</v>
      </c>
      <c r="F230" s="8">
        <f>IF(IF(D230&lt;&gt;D229,1,IF(OR(B230&lt;&gt;B229,A230-A229&gt;$U$1),1,""))&lt;&gt;1,"",IF(C230="B01",1,IF(C230="B05",1,IF(C230="B03",1,IF(C230="B04",1,IF(C230="B20",1,IF(C230="B02",1,0)))))))</f>
        <v>1</v>
      </c>
      <c r="G230"/>
      <c r="H230" s="2"/>
      <c r="I230" s="2"/>
      <c r="L230"/>
      <c r="R230"/>
      <c r="S230" s="5"/>
      <c r="U230" s="5"/>
    </row>
    <row r="231" spans="1:21">
      <c r="A231" s="3">
        <v>45647.278622685182</v>
      </c>
      <c r="B231" s="2" t="s">
        <v>26</v>
      </c>
      <c r="C231" s="2" t="s">
        <v>11</v>
      </c>
      <c r="D231" s="6" t="str">
        <f>CONCATENATE(YEAR(A231),"/",IF(MONTH(A231)&lt;10,CONCATENATE("0",MONTH(A231)),MONTH(A231)))</f>
        <v>2024/12</v>
      </c>
      <c r="E231" s="8" t="str">
        <f>IF(IF(D231&lt;&gt;D230,1,IF(OR(B231&lt;&gt;B230,A231-A230&gt;$U$1),1,""))&lt;&gt;1,"",IF(C231="B01",1965,IF(C231="B02",1020,IF(C231="B05",2400,IF(C231="B03",4260,IF(C231="B04",2880,IF(C231="B20",1260,0)))))))</f>
        <v/>
      </c>
      <c r="F231" s="8" t="str">
        <f>IF(IF(D231&lt;&gt;D230,1,IF(OR(B231&lt;&gt;B230,A231-A230&gt;$U$1),1,""))&lt;&gt;1,"",IF(C231="B01",1,IF(C231="B05",1,IF(C231="B03",1,IF(C231="B04",1,IF(C231="B20",1,IF(C231="B02",1,0)))))))</f>
        <v/>
      </c>
      <c r="G231"/>
      <c r="H231" s="2"/>
      <c r="I231" s="2"/>
      <c r="L231"/>
      <c r="R231"/>
      <c r="S231" s="5"/>
      <c r="U231" s="5"/>
    </row>
    <row r="232" spans="1:21">
      <c r="A232" s="3">
        <v>45647.278622685182</v>
      </c>
      <c r="B232" s="2" t="s">
        <v>26</v>
      </c>
      <c r="C232" s="2" t="s">
        <v>11</v>
      </c>
      <c r="D232" s="6" t="str">
        <f>CONCATENATE(YEAR(A232),"/",IF(MONTH(A232)&lt;10,CONCATENATE("0",MONTH(A232)),MONTH(A232)))</f>
        <v>2024/12</v>
      </c>
      <c r="E232" s="8" t="str">
        <f>IF(IF(D232&lt;&gt;D231,1,IF(OR(B232&lt;&gt;B231,A232-A231&gt;$U$1),1,""))&lt;&gt;1,"",IF(C232="B01",1965,IF(C232="B02",1020,IF(C232="B05",2400,IF(C232="B03",4260,IF(C232="B04",2880,IF(C232="B20",1260,0)))))))</f>
        <v/>
      </c>
      <c r="F232" s="8" t="str">
        <f>IF(IF(D232&lt;&gt;D231,1,IF(OR(B232&lt;&gt;B231,A232-A231&gt;$U$1),1,""))&lt;&gt;1,"",IF(C232="B01",1,IF(C232="B05",1,IF(C232="B03",1,IF(C232="B04",1,IF(C232="B20",1,IF(C232="B02",1,0)))))))</f>
        <v/>
      </c>
      <c r="G232"/>
      <c r="H232" s="2"/>
      <c r="I232" s="2"/>
      <c r="L232"/>
      <c r="R232"/>
      <c r="S232" s="5"/>
      <c r="U232" s="5"/>
    </row>
    <row r="233" spans="1:21">
      <c r="A233" s="3">
        <v>45647.661782407406</v>
      </c>
      <c r="B233" s="2" t="s">
        <v>26</v>
      </c>
      <c r="C233" s="2" t="s">
        <v>11</v>
      </c>
      <c r="D233" s="6" t="str">
        <f>CONCATENATE(YEAR(A233),"/",IF(MONTH(A233)&lt;10,CONCATENATE("0",MONTH(A233)),MONTH(A233)))</f>
        <v>2024/12</v>
      </c>
      <c r="E233" s="8">
        <f>IF(IF(D233&lt;&gt;D232,1,IF(OR(B233&lt;&gt;B232,A233-A232&gt;$U$1),1,""))&lt;&gt;1,"",IF(C233="B01",1965,IF(C233="B02",1020,IF(C233="B05",2400,IF(C233="B03",4260,IF(C233="B04",2880,IF(C233="B20",1260,0)))))))</f>
        <v>2400</v>
      </c>
      <c r="F233" s="8">
        <f>IF(IF(D233&lt;&gt;D232,1,IF(OR(B233&lt;&gt;B232,A233-A232&gt;$U$1),1,""))&lt;&gt;1,"",IF(C233="B01",1,IF(C233="B05",1,IF(C233="B03",1,IF(C233="B04",1,IF(C233="B20",1,IF(C233="B02",1,0)))))))</f>
        <v>1</v>
      </c>
      <c r="G233"/>
      <c r="H233" s="2"/>
      <c r="I233" s="2"/>
      <c r="L233"/>
      <c r="R233"/>
      <c r="S233" s="5"/>
      <c r="U233" s="5"/>
    </row>
    <row r="234" spans="1:21">
      <c r="A234" s="3">
        <v>45647.661782407406</v>
      </c>
      <c r="B234" s="2" t="s">
        <v>26</v>
      </c>
      <c r="C234" s="2" t="s">
        <v>11</v>
      </c>
      <c r="D234" s="6" t="str">
        <f>CONCATENATE(YEAR(A234),"/",IF(MONTH(A234)&lt;10,CONCATENATE("0",MONTH(A234)),MONTH(A234)))</f>
        <v>2024/12</v>
      </c>
      <c r="E234" s="8" t="str">
        <f>IF(IF(D234&lt;&gt;D233,1,IF(OR(B234&lt;&gt;B233,A234-A233&gt;$U$1),1,""))&lt;&gt;1,"",IF(C234="B01",1965,IF(C234="B02",1020,IF(C234="B05",2400,IF(C234="B03",4260,IF(C234="B04",2880,IF(C234="B20",1260,0)))))))</f>
        <v/>
      </c>
      <c r="F234" s="8" t="str">
        <f>IF(IF(D234&lt;&gt;D233,1,IF(OR(B234&lt;&gt;B233,A234-A233&gt;$U$1),1,""))&lt;&gt;1,"",IF(C234="B01",1,IF(C234="B05",1,IF(C234="B03",1,IF(C234="B04",1,IF(C234="B20",1,IF(C234="B02",1,0)))))))</f>
        <v/>
      </c>
      <c r="G234"/>
      <c r="H234" s="2"/>
      <c r="I234" s="2"/>
      <c r="L234"/>
      <c r="R234"/>
      <c r="S234" s="5"/>
      <c r="U234" s="5"/>
    </row>
    <row r="235" spans="1:21">
      <c r="A235" s="3">
        <v>45647.661782407406</v>
      </c>
      <c r="B235" s="2" t="s">
        <v>26</v>
      </c>
      <c r="C235" s="2" t="s">
        <v>11</v>
      </c>
      <c r="D235" s="6" t="str">
        <f>CONCATENATE(YEAR(A235),"/",IF(MONTH(A235)&lt;10,CONCATENATE("0",MONTH(A235)),MONTH(A235)))</f>
        <v>2024/12</v>
      </c>
      <c r="E235" s="8" t="str">
        <f>IF(IF(D235&lt;&gt;D234,1,IF(OR(B235&lt;&gt;B234,A235-A234&gt;$U$1),1,""))&lt;&gt;1,"",IF(C235="B01",1965,IF(C235="B02",1020,IF(C235="B05",2400,IF(C235="B03",4260,IF(C235="B04",2880,IF(C235="B20",1260,0)))))))</f>
        <v/>
      </c>
      <c r="F235" s="8" t="str">
        <f>IF(IF(D235&lt;&gt;D234,1,IF(OR(B235&lt;&gt;B234,A235-A234&gt;$U$1),1,""))&lt;&gt;1,"",IF(C235="B01",1,IF(C235="B05",1,IF(C235="B03",1,IF(C235="B04",1,IF(C235="B20",1,IF(C235="B02",1,0)))))))</f>
        <v/>
      </c>
      <c r="G235"/>
      <c r="H235" s="2"/>
      <c r="I235" s="2"/>
      <c r="L235"/>
      <c r="R235"/>
      <c r="S235" s="5"/>
      <c r="U235" s="5"/>
    </row>
    <row r="236" spans="1:21">
      <c r="A236" s="3">
        <v>45647.661782407406</v>
      </c>
      <c r="B236" s="2" t="s">
        <v>26</v>
      </c>
      <c r="C236" s="2" t="s">
        <v>11</v>
      </c>
      <c r="D236" s="6" t="str">
        <f>CONCATENATE(YEAR(A236),"/",IF(MONTH(A236)&lt;10,CONCATENATE("0",MONTH(A236)),MONTH(A236)))</f>
        <v>2024/12</v>
      </c>
      <c r="E236" s="8" t="str">
        <f>IF(IF(D236&lt;&gt;D235,1,IF(OR(B236&lt;&gt;B235,A236-A235&gt;$U$1),1,""))&lt;&gt;1,"",IF(C236="B01",1965,IF(C236="B02",1020,IF(C236="B05",2400,IF(C236="B03",4260,IF(C236="B04",2880,IF(C236="B20",1260,0)))))))</f>
        <v/>
      </c>
      <c r="F236" s="8" t="str">
        <f>IF(IF(D236&lt;&gt;D235,1,IF(OR(B236&lt;&gt;B235,A236-A235&gt;$U$1),1,""))&lt;&gt;1,"",IF(C236="B01",1,IF(C236="B05",1,IF(C236="B03",1,IF(C236="B04",1,IF(C236="B20",1,IF(C236="B02",1,0)))))))</f>
        <v/>
      </c>
      <c r="G236"/>
      <c r="H236" s="2"/>
      <c r="I236" s="2"/>
      <c r="L236"/>
      <c r="R236"/>
      <c r="S236" s="5"/>
      <c r="U236" s="5"/>
    </row>
    <row r="237" spans="1:21">
      <c r="A237" s="3">
        <v>45647.661782407406</v>
      </c>
      <c r="B237" s="2" t="s">
        <v>26</v>
      </c>
      <c r="C237" s="2" t="s">
        <v>11</v>
      </c>
      <c r="D237" s="6" t="str">
        <f>CONCATENATE(YEAR(A237),"/",IF(MONTH(A237)&lt;10,CONCATENATE("0",MONTH(A237)),MONTH(A237)))</f>
        <v>2024/12</v>
      </c>
      <c r="E237" s="8" t="str">
        <f>IF(IF(D237&lt;&gt;D236,1,IF(OR(B237&lt;&gt;B236,A237-A236&gt;$U$1),1,""))&lt;&gt;1,"",IF(C237="B01",1965,IF(C237="B02",1020,IF(C237="B05",2400,IF(C237="B03",4260,IF(C237="B04",2880,IF(C237="B20",1260,0)))))))</f>
        <v/>
      </c>
      <c r="F237" s="8" t="str">
        <f>IF(IF(D237&lt;&gt;D236,1,IF(OR(B237&lt;&gt;B236,A237-A236&gt;$U$1),1,""))&lt;&gt;1,"",IF(C237="B01",1,IF(C237="B05",1,IF(C237="B03",1,IF(C237="B04",1,IF(C237="B20",1,IF(C237="B02",1,0)))))))</f>
        <v/>
      </c>
      <c r="G237"/>
      <c r="H237" s="2"/>
      <c r="I237" s="2"/>
      <c r="L237"/>
      <c r="R237"/>
      <c r="S237" s="5"/>
      <c r="U237" s="5"/>
    </row>
    <row r="238" spans="1:21">
      <c r="A238" s="3">
        <v>45647.779189814813</v>
      </c>
      <c r="B238" s="2" t="s">
        <v>26</v>
      </c>
      <c r="C238" s="2" t="s">
        <v>11</v>
      </c>
      <c r="D238" s="6" t="str">
        <f>CONCATENATE(YEAR(A238),"/",IF(MONTH(A238)&lt;10,CONCATENATE("0",MONTH(A238)),MONTH(A238)))</f>
        <v>2024/12</v>
      </c>
      <c r="E238" s="8">
        <f>IF(IF(D238&lt;&gt;D237,1,IF(OR(B238&lt;&gt;B237,A238-A237&gt;$U$1),1,""))&lt;&gt;1,"",IF(C238="B01",1965,IF(C238="B02",1020,IF(C238="B05",2400,IF(C238="B03",4260,IF(C238="B04",2880,IF(C238="B20",1260,0)))))))</f>
        <v>2400</v>
      </c>
      <c r="F238" s="8">
        <f>IF(IF(D238&lt;&gt;D237,1,IF(OR(B238&lt;&gt;B237,A238-A237&gt;$U$1),1,""))&lt;&gt;1,"",IF(C238="B01",1,IF(C238="B05",1,IF(C238="B03",1,IF(C238="B04",1,IF(C238="B20",1,IF(C238="B02",1,0)))))))</f>
        <v>1</v>
      </c>
      <c r="G238"/>
      <c r="H238" s="2"/>
      <c r="I238" s="2"/>
      <c r="L238"/>
      <c r="R238"/>
      <c r="S238" s="5"/>
      <c r="U238" s="5"/>
    </row>
    <row r="239" spans="1:21">
      <c r="A239" s="3">
        <v>45647.779189814813</v>
      </c>
      <c r="B239" s="2" t="s">
        <v>26</v>
      </c>
      <c r="C239" s="2" t="s">
        <v>11</v>
      </c>
      <c r="D239" s="6" t="str">
        <f>CONCATENATE(YEAR(A239),"/",IF(MONTH(A239)&lt;10,CONCATENATE("0",MONTH(A239)),MONTH(A239)))</f>
        <v>2024/12</v>
      </c>
      <c r="E239" s="8" t="str">
        <f>IF(IF(D239&lt;&gt;D238,1,IF(OR(B239&lt;&gt;B238,A239-A238&gt;$U$1),1,""))&lt;&gt;1,"",IF(C239="B01",1965,IF(C239="B02",1020,IF(C239="B05",2400,IF(C239="B03",4260,IF(C239="B04",2880,IF(C239="B20",1260,0)))))))</f>
        <v/>
      </c>
      <c r="F239" s="8" t="str">
        <f>IF(IF(D239&lt;&gt;D238,1,IF(OR(B239&lt;&gt;B238,A239-A238&gt;$U$1),1,""))&lt;&gt;1,"",IF(C239="B01",1,IF(C239="B05",1,IF(C239="B03",1,IF(C239="B04",1,IF(C239="B20",1,IF(C239="B02",1,0)))))))</f>
        <v/>
      </c>
      <c r="G239"/>
      <c r="H239" s="2"/>
      <c r="I239" s="2"/>
      <c r="L239"/>
      <c r="R239"/>
      <c r="S239" s="5"/>
      <c r="U239" s="5"/>
    </row>
    <row r="240" spans="1:21">
      <c r="A240" s="3">
        <v>45647.944606481484</v>
      </c>
      <c r="B240" s="2" t="s">
        <v>26</v>
      </c>
      <c r="C240" s="2" t="s">
        <v>11</v>
      </c>
      <c r="D240" s="6" t="str">
        <f>CONCATENATE(YEAR(A240),"/",IF(MONTH(A240)&lt;10,CONCATENATE("0",MONTH(A240)),MONTH(A240)))</f>
        <v>2024/12</v>
      </c>
      <c r="E240" s="8">
        <f>IF(IF(D240&lt;&gt;D239,1,IF(OR(B240&lt;&gt;B239,A240-A239&gt;$U$1),1,""))&lt;&gt;1,"",IF(C240="B01",1965,IF(C240="B02",1020,IF(C240="B05",2400,IF(C240="B03",4260,IF(C240="B04",2880,IF(C240="B20",1260,0)))))))</f>
        <v>2400</v>
      </c>
      <c r="F240" s="8">
        <f>IF(IF(D240&lt;&gt;D239,1,IF(OR(B240&lt;&gt;B239,A240-A239&gt;$U$1),1,""))&lt;&gt;1,"",IF(C240="B01",1,IF(C240="B05",1,IF(C240="B03",1,IF(C240="B04",1,IF(C240="B20",1,IF(C240="B02",1,0)))))))</f>
        <v>1</v>
      </c>
      <c r="G240"/>
      <c r="H240" s="2"/>
      <c r="I240" s="2"/>
      <c r="L240"/>
      <c r="R240"/>
      <c r="S240" s="5"/>
      <c r="U240" s="5"/>
    </row>
    <row r="241" spans="1:21">
      <c r="A241" s="3">
        <v>45647.944606481484</v>
      </c>
      <c r="B241" s="2" t="s">
        <v>26</v>
      </c>
      <c r="C241" s="2" t="s">
        <v>11</v>
      </c>
      <c r="D241" s="6" t="str">
        <f>CONCATENATE(YEAR(A241),"/",IF(MONTH(A241)&lt;10,CONCATENATE("0",MONTH(A241)),MONTH(A241)))</f>
        <v>2024/12</v>
      </c>
      <c r="E241" s="8" t="str">
        <f>IF(IF(D241&lt;&gt;D240,1,IF(OR(B241&lt;&gt;B240,A241-A240&gt;$U$1),1,""))&lt;&gt;1,"",IF(C241="B01",1965,IF(C241="B02",1020,IF(C241="B05",2400,IF(C241="B03",4260,IF(C241="B04",2880,IF(C241="B20",1260,0)))))))</f>
        <v/>
      </c>
      <c r="F241" s="8" t="str">
        <f>IF(IF(D241&lt;&gt;D240,1,IF(OR(B241&lt;&gt;B240,A241-A240&gt;$U$1),1,""))&lt;&gt;1,"",IF(C241="B01",1,IF(C241="B05",1,IF(C241="B03",1,IF(C241="B04",1,IF(C241="B20",1,IF(C241="B02",1,0)))))))</f>
        <v/>
      </c>
      <c r="G241"/>
      <c r="H241" s="2"/>
      <c r="I241" s="2"/>
      <c r="L241"/>
      <c r="R241"/>
      <c r="S241" s="5"/>
      <c r="U241" s="5"/>
    </row>
    <row r="242" spans="1:21">
      <c r="A242" s="3">
        <v>45647.944606481484</v>
      </c>
      <c r="B242" s="2" t="s">
        <v>26</v>
      </c>
      <c r="C242" s="2" t="s">
        <v>11</v>
      </c>
      <c r="D242" s="6" t="str">
        <f>CONCATENATE(YEAR(A242),"/",IF(MONTH(A242)&lt;10,CONCATENATE("0",MONTH(A242)),MONTH(A242)))</f>
        <v>2024/12</v>
      </c>
      <c r="E242" s="8" t="str">
        <f>IF(IF(D242&lt;&gt;D241,1,IF(OR(B242&lt;&gt;B241,A242-A241&gt;$U$1),1,""))&lt;&gt;1,"",IF(C242="B01",1965,IF(C242="B02",1020,IF(C242="B05",2400,IF(C242="B03",4260,IF(C242="B04",2880,IF(C242="B20",1260,0)))))))</f>
        <v/>
      </c>
      <c r="F242" s="8" t="str">
        <f>IF(IF(D242&lt;&gt;D241,1,IF(OR(B242&lt;&gt;B241,A242-A241&gt;$U$1),1,""))&lt;&gt;1,"",IF(C242="B01",1,IF(C242="B05",1,IF(C242="B03",1,IF(C242="B04",1,IF(C242="B20",1,IF(C242="B02",1,0)))))))</f>
        <v/>
      </c>
      <c r="G242"/>
      <c r="H242" s="2"/>
      <c r="I242" s="2"/>
      <c r="L242"/>
      <c r="R242"/>
      <c r="S242" s="5"/>
      <c r="U242" s="5"/>
    </row>
    <row r="243" spans="1:21">
      <c r="A243" s="3">
        <v>45648.21702546296</v>
      </c>
      <c r="B243" s="2" t="s">
        <v>26</v>
      </c>
      <c r="C243" s="2" t="s">
        <v>11</v>
      </c>
      <c r="D243" s="6" t="str">
        <f>CONCATENATE(YEAR(A243),"/",IF(MONTH(A243)&lt;10,CONCATENATE("0",MONTH(A243)),MONTH(A243)))</f>
        <v>2024/12</v>
      </c>
      <c r="E243" s="8">
        <f>IF(IF(D243&lt;&gt;D242,1,IF(OR(B243&lt;&gt;B242,A243-A242&gt;$U$1),1,""))&lt;&gt;1,"",IF(C243="B01",1965,IF(C243="B02",1020,IF(C243="B05",2400,IF(C243="B03",4260,IF(C243="B04",2880,IF(C243="B20",1260,0)))))))</f>
        <v>2400</v>
      </c>
      <c r="F243" s="8">
        <f>IF(IF(D243&lt;&gt;D242,1,IF(OR(B243&lt;&gt;B242,A243-A242&gt;$U$1),1,""))&lt;&gt;1,"",IF(C243="B01",1,IF(C243="B05",1,IF(C243="B03",1,IF(C243="B04",1,IF(C243="B20",1,IF(C243="B02",1,0)))))))</f>
        <v>1</v>
      </c>
      <c r="G243"/>
      <c r="H243" s="2"/>
      <c r="I243" s="2"/>
      <c r="L243"/>
      <c r="R243"/>
      <c r="S243" s="5"/>
      <c r="U243" s="5"/>
    </row>
    <row r="244" spans="1:21">
      <c r="A244" s="3">
        <v>45648.21702546296</v>
      </c>
      <c r="B244" s="2" t="s">
        <v>26</v>
      </c>
      <c r="C244" s="2" t="s">
        <v>11</v>
      </c>
      <c r="D244" s="6" t="str">
        <f>CONCATENATE(YEAR(A244),"/",IF(MONTH(A244)&lt;10,CONCATENATE("0",MONTH(A244)),MONTH(A244)))</f>
        <v>2024/12</v>
      </c>
      <c r="E244" s="8" t="str">
        <f>IF(IF(D244&lt;&gt;D243,1,IF(OR(B244&lt;&gt;B243,A244-A243&gt;$U$1),1,""))&lt;&gt;1,"",IF(C244="B01",1965,IF(C244="B02",1020,IF(C244="B05",2400,IF(C244="B03",4260,IF(C244="B04",2880,IF(C244="B20",1260,0)))))))</f>
        <v/>
      </c>
      <c r="F244" s="8" t="str">
        <f>IF(IF(D244&lt;&gt;D243,1,IF(OR(B244&lt;&gt;B243,A244-A243&gt;$U$1),1,""))&lt;&gt;1,"",IF(C244="B01",1,IF(C244="B05",1,IF(C244="B03",1,IF(C244="B04",1,IF(C244="B20",1,IF(C244="B02",1,0)))))))</f>
        <v/>
      </c>
      <c r="G244"/>
      <c r="H244" s="2"/>
      <c r="I244" s="2"/>
      <c r="L244"/>
      <c r="R244"/>
      <c r="S244" s="5"/>
      <c r="U244" s="5"/>
    </row>
    <row r="245" spans="1:21">
      <c r="A245" s="3">
        <v>45648.782442129632</v>
      </c>
      <c r="B245" s="2" t="s">
        <v>26</v>
      </c>
      <c r="C245" s="2" t="s">
        <v>11</v>
      </c>
      <c r="D245" s="6" t="str">
        <f>CONCATENATE(YEAR(A245),"/",IF(MONTH(A245)&lt;10,CONCATENATE("0",MONTH(A245)),MONTH(A245)))</f>
        <v>2024/12</v>
      </c>
      <c r="E245" s="8">
        <f>IF(IF(D245&lt;&gt;D244,1,IF(OR(B245&lt;&gt;B244,A245-A244&gt;$U$1),1,""))&lt;&gt;1,"",IF(C245="B01",1965,IF(C245="B02",1020,IF(C245="B05",2400,IF(C245="B03",4260,IF(C245="B04",2880,IF(C245="B20",1260,0)))))))</f>
        <v>2400</v>
      </c>
      <c r="F245" s="8">
        <f>IF(IF(D245&lt;&gt;D244,1,IF(OR(B245&lt;&gt;B244,A245-A244&gt;$U$1),1,""))&lt;&gt;1,"",IF(C245="B01",1,IF(C245="B05",1,IF(C245="B03",1,IF(C245="B04",1,IF(C245="B20",1,IF(C245="B02",1,0)))))))</f>
        <v>1</v>
      </c>
      <c r="G245"/>
      <c r="H245" s="2"/>
      <c r="I245" s="2"/>
      <c r="L245"/>
      <c r="R245"/>
      <c r="S245" s="5"/>
      <c r="U245" s="5"/>
    </row>
    <row r="246" spans="1:21">
      <c r="A246" s="3">
        <v>45648.782442129632</v>
      </c>
      <c r="B246" s="2" t="s">
        <v>26</v>
      </c>
      <c r="C246" s="2" t="s">
        <v>11</v>
      </c>
      <c r="D246" s="6" t="str">
        <f>CONCATENATE(YEAR(A246),"/",IF(MONTH(A246)&lt;10,CONCATENATE("0",MONTH(A246)),MONTH(A246)))</f>
        <v>2024/12</v>
      </c>
      <c r="E246" s="8" t="str">
        <f>IF(IF(D246&lt;&gt;D245,1,IF(OR(B246&lt;&gt;B245,A246-A245&gt;$U$1),1,""))&lt;&gt;1,"",IF(C246="B01",1965,IF(C246="B02",1020,IF(C246="B05",2400,IF(C246="B03",4260,IF(C246="B04",2880,IF(C246="B20",1260,0)))))))</f>
        <v/>
      </c>
      <c r="F246" s="8" t="str">
        <f>IF(IF(D246&lt;&gt;D245,1,IF(OR(B246&lt;&gt;B245,A246-A245&gt;$U$1),1,""))&lt;&gt;1,"",IF(C246="B01",1,IF(C246="B05",1,IF(C246="B03",1,IF(C246="B04",1,IF(C246="B20",1,IF(C246="B02",1,0)))))))</f>
        <v/>
      </c>
      <c r="G246"/>
      <c r="H246" s="2"/>
      <c r="I246" s="2"/>
      <c r="L246"/>
      <c r="R246"/>
      <c r="S246" s="5"/>
      <c r="U246" s="5"/>
    </row>
    <row r="247" spans="1:21">
      <c r="A247" s="3">
        <v>45648.898287037038</v>
      </c>
      <c r="B247" s="2" t="s">
        <v>26</v>
      </c>
      <c r="C247" s="2" t="s">
        <v>11</v>
      </c>
      <c r="D247" s="6" t="str">
        <f>CONCATENATE(YEAR(A247),"/",IF(MONTH(A247)&lt;10,CONCATENATE("0",MONTH(A247)),MONTH(A247)))</f>
        <v>2024/12</v>
      </c>
      <c r="E247" s="8">
        <f>IF(IF(D247&lt;&gt;D246,1,IF(OR(B247&lt;&gt;B246,A247-A246&gt;$U$1),1,""))&lt;&gt;1,"",IF(C247="B01",1965,IF(C247="B02",1020,IF(C247="B05",2400,IF(C247="B03",4260,IF(C247="B04",2880,IF(C247="B20",1260,0)))))))</f>
        <v>2400</v>
      </c>
      <c r="F247" s="8">
        <f>IF(IF(D247&lt;&gt;D246,1,IF(OR(B247&lt;&gt;B246,A247-A246&gt;$U$1),1,""))&lt;&gt;1,"",IF(C247="B01",1,IF(C247="B05",1,IF(C247="B03",1,IF(C247="B04",1,IF(C247="B20",1,IF(C247="B02",1,0)))))))</f>
        <v>1</v>
      </c>
      <c r="G247"/>
      <c r="H247" s="2"/>
      <c r="I247" s="2"/>
      <c r="L247"/>
      <c r="R247"/>
      <c r="S247" s="5"/>
      <c r="U247" s="5"/>
    </row>
    <row r="248" spans="1:21">
      <c r="A248" s="3">
        <v>45648.898287037038</v>
      </c>
      <c r="B248" s="2" t="s">
        <v>26</v>
      </c>
      <c r="C248" s="2" t="s">
        <v>11</v>
      </c>
      <c r="D248" s="6" t="str">
        <f>CONCATENATE(YEAR(A248),"/",IF(MONTH(A248)&lt;10,CONCATENATE("0",MONTH(A248)),MONTH(A248)))</f>
        <v>2024/12</v>
      </c>
      <c r="E248" s="8" t="str">
        <f>IF(IF(D248&lt;&gt;D247,1,IF(OR(B248&lt;&gt;B247,A248-A247&gt;$U$1),1,""))&lt;&gt;1,"",IF(C248="B01",1965,IF(C248="B02",1020,IF(C248="B05",2400,IF(C248="B03",4260,IF(C248="B04",2880,IF(C248="B20",1260,0)))))))</f>
        <v/>
      </c>
      <c r="F248" s="8" t="str">
        <f>IF(IF(D248&lt;&gt;D247,1,IF(OR(B248&lt;&gt;B247,A248-A247&gt;$U$1),1,""))&lt;&gt;1,"",IF(C248="B01",1,IF(C248="B05",1,IF(C248="B03",1,IF(C248="B04",1,IF(C248="B20",1,IF(C248="B02",1,0)))))))</f>
        <v/>
      </c>
      <c r="G248"/>
      <c r="H248" s="2"/>
      <c r="I248" s="2"/>
      <c r="L248"/>
      <c r="R248"/>
      <c r="S248" s="5"/>
      <c r="U248" s="5"/>
    </row>
    <row r="249" spans="1:21">
      <c r="A249" s="3">
        <v>45649.055393518516</v>
      </c>
      <c r="B249" s="2" t="s">
        <v>26</v>
      </c>
      <c r="C249" s="2" t="s">
        <v>11</v>
      </c>
      <c r="D249" s="6" t="str">
        <f>CONCATENATE(YEAR(A249),"/",IF(MONTH(A249)&lt;10,CONCATENATE("0",MONTH(A249)),MONTH(A249)))</f>
        <v>2024/12</v>
      </c>
      <c r="E249" s="8">
        <f>IF(IF(D249&lt;&gt;D248,1,IF(OR(B249&lt;&gt;B248,A249-A248&gt;$U$1),1,""))&lt;&gt;1,"",IF(C249="B01",1965,IF(C249="B02",1020,IF(C249="B05",2400,IF(C249="B03",4260,IF(C249="B04",2880,IF(C249="B20",1260,0)))))))</f>
        <v>2400</v>
      </c>
      <c r="F249" s="8">
        <f>IF(IF(D249&lt;&gt;D248,1,IF(OR(B249&lt;&gt;B248,A249-A248&gt;$U$1),1,""))&lt;&gt;1,"",IF(C249="B01",1,IF(C249="B05",1,IF(C249="B03",1,IF(C249="B04",1,IF(C249="B20",1,IF(C249="B02",1,0)))))))</f>
        <v>1</v>
      </c>
      <c r="G249"/>
      <c r="H249" s="2"/>
      <c r="I249" s="2"/>
      <c r="L249"/>
      <c r="R249"/>
      <c r="S249" s="5"/>
      <c r="U249" s="5"/>
    </row>
    <row r="250" spans="1:21">
      <c r="A250" s="3">
        <v>45649.055393518516</v>
      </c>
      <c r="B250" s="2" t="s">
        <v>26</v>
      </c>
      <c r="C250" s="2" t="s">
        <v>11</v>
      </c>
      <c r="D250" s="6" t="str">
        <f>CONCATENATE(YEAR(A250),"/",IF(MONTH(A250)&lt;10,CONCATENATE("0",MONTH(A250)),MONTH(A250)))</f>
        <v>2024/12</v>
      </c>
      <c r="E250" s="8" t="str">
        <f>IF(IF(D250&lt;&gt;D249,1,IF(OR(B250&lt;&gt;B249,A250-A249&gt;$U$1),1,""))&lt;&gt;1,"",IF(C250="B01",1965,IF(C250="B02",1020,IF(C250="B05",2400,IF(C250="B03",4260,IF(C250="B04",2880,IF(C250="B20",1260,0)))))))</f>
        <v/>
      </c>
      <c r="F250" s="8" t="str">
        <f>IF(IF(D250&lt;&gt;D249,1,IF(OR(B250&lt;&gt;B249,A250-A249&gt;$U$1),1,""))&lt;&gt;1,"",IF(C250="B01",1,IF(C250="B05",1,IF(C250="B03",1,IF(C250="B04",1,IF(C250="B20",1,IF(C250="B02",1,0)))))))</f>
        <v/>
      </c>
      <c r="G250"/>
      <c r="H250" s="2"/>
      <c r="I250" s="2"/>
      <c r="L250"/>
      <c r="R250"/>
      <c r="S250" s="5"/>
      <c r="U250" s="5"/>
    </row>
    <row r="251" spans="1:21">
      <c r="A251" s="3">
        <v>45649.182592592595</v>
      </c>
      <c r="B251" s="2" t="s">
        <v>26</v>
      </c>
      <c r="C251" s="2" t="s">
        <v>12</v>
      </c>
      <c r="D251" s="6" t="str">
        <f>CONCATENATE(YEAR(A251),"/",IF(MONTH(A251)&lt;10,CONCATENATE("0",MONTH(A251)),MONTH(A251)))</f>
        <v>2024/12</v>
      </c>
      <c r="E251" s="8">
        <f>IF(IF(D251&lt;&gt;D250,1,IF(OR(B251&lt;&gt;B250,A251-A250&gt;$U$1),1,""))&lt;&gt;1,"",IF(C251="B01",1965,IF(C251="B02",1020,IF(C251="B05",2400,IF(C251="B03",4260,IF(C251="B04",2880,IF(C251="B20",1260,0)))))))</f>
        <v>4260</v>
      </c>
      <c r="F251" s="8">
        <f>IF(IF(D251&lt;&gt;D250,1,IF(OR(B251&lt;&gt;B250,A251-A250&gt;$U$1),1,""))&lt;&gt;1,"",IF(C251="B01",1,IF(C251="B05",1,IF(C251="B03",1,IF(C251="B04",1,IF(C251="B20",1,IF(C251="B02",1,0)))))))</f>
        <v>1</v>
      </c>
      <c r="G251"/>
      <c r="H251" s="2"/>
      <c r="I251" s="2"/>
      <c r="L251"/>
      <c r="R251"/>
      <c r="S251" s="5"/>
      <c r="U251" s="5"/>
    </row>
    <row r="252" spans="1:21">
      <c r="A252" s="3">
        <v>45649.182604166665</v>
      </c>
      <c r="B252" s="2" t="s">
        <v>26</v>
      </c>
      <c r="C252" s="2" t="s">
        <v>12</v>
      </c>
      <c r="D252" s="6" t="str">
        <f>CONCATENATE(YEAR(A252),"/",IF(MONTH(A252)&lt;10,CONCATENATE("0",MONTH(A252)),MONTH(A252)))</f>
        <v>2024/12</v>
      </c>
      <c r="E252" s="8" t="str">
        <f>IF(IF(D252&lt;&gt;D251,1,IF(OR(B252&lt;&gt;B251,A252-A251&gt;$U$1),1,""))&lt;&gt;1,"",IF(C252="B01",1965,IF(C252="B02",1020,IF(C252="B05",2400,IF(C252="B03",4260,IF(C252="B04",2880,IF(C252="B20",1260,0)))))))</f>
        <v/>
      </c>
      <c r="F252" s="8" t="str">
        <f>IF(IF(D252&lt;&gt;D251,1,IF(OR(B252&lt;&gt;B251,A252-A251&gt;$U$1),1,""))&lt;&gt;1,"",IF(C252="B01",1,IF(C252="B05",1,IF(C252="B03",1,IF(C252="B04",1,IF(C252="B20",1,IF(C252="B02",1,0)))))))</f>
        <v/>
      </c>
      <c r="G252"/>
      <c r="H252" s="2"/>
      <c r="I252" s="2"/>
      <c r="L252"/>
      <c r="R252"/>
      <c r="S252" s="5"/>
      <c r="U252" s="5"/>
    </row>
    <row r="253" spans="1:21">
      <c r="A253" s="3">
        <v>45649.781805555554</v>
      </c>
      <c r="B253" s="2" t="s">
        <v>26</v>
      </c>
      <c r="C253" s="2" t="s">
        <v>11</v>
      </c>
      <c r="D253" s="6" t="str">
        <f>CONCATENATE(YEAR(A253),"/",IF(MONTH(A253)&lt;10,CONCATENATE("0",MONTH(A253)),MONTH(A253)))</f>
        <v>2024/12</v>
      </c>
      <c r="E253" s="8">
        <f>IF(IF(D253&lt;&gt;D252,1,IF(OR(B253&lt;&gt;B252,A253-A252&gt;$U$1),1,""))&lt;&gt;1,"",IF(C253="B01",1965,IF(C253="B02",1020,IF(C253="B05",2400,IF(C253="B03",4260,IF(C253="B04",2880,IF(C253="B20",1260,0)))))))</f>
        <v>2400</v>
      </c>
      <c r="F253" s="8">
        <f>IF(IF(D253&lt;&gt;D252,1,IF(OR(B253&lt;&gt;B252,A253-A252&gt;$U$1),1,""))&lt;&gt;1,"",IF(C253="B01",1,IF(C253="B05",1,IF(C253="B03",1,IF(C253="B04",1,IF(C253="B20",1,IF(C253="B02",1,0)))))))</f>
        <v>1</v>
      </c>
      <c r="G253"/>
      <c r="H253" s="2"/>
      <c r="I253" s="2"/>
      <c r="L253"/>
      <c r="R253"/>
      <c r="S253" s="5"/>
      <c r="U253" s="5"/>
    </row>
    <row r="254" spans="1:21">
      <c r="A254" s="3">
        <v>45649.781805555554</v>
      </c>
      <c r="B254" s="2" t="s">
        <v>26</v>
      </c>
      <c r="C254" s="2" t="s">
        <v>11</v>
      </c>
      <c r="D254" s="6" t="str">
        <f>CONCATENATE(YEAR(A254),"/",IF(MONTH(A254)&lt;10,CONCATENATE("0",MONTH(A254)),MONTH(A254)))</f>
        <v>2024/12</v>
      </c>
      <c r="E254" s="8" t="str">
        <f>IF(IF(D254&lt;&gt;D253,1,IF(OR(B254&lt;&gt;B253,A254-A253&gt;$U$1),1,""))&lt;&gt;1,"",IF(C254="B01",1965,IF(C254="B02",1020,IF(C254="B05",2400,IF(C254="B03",4260,IF(C254="B04",2880,IF(C254="B20",1260,0)))))))</f>
        <v/>
      </c>
      <c r="F254" s="8" t="str">
        <f>IF(IF(D254&lt;&gt;D253,1,IF(OR(B254&lt;&gt;B253,A254-A253&gt;$U$1),1,""))&lt;&gt;1,"",IF(C254="B01",1,IF(C254="B05",1,IF(C254="B03",1,IF(C254="B04",1,IF(C254="B20",1,IF(C254="B02",1,0)))))))</f>
        <v/>
      </c>
      <c r="G254"/>
      <c r="H254" s="2"/>
      <c r="I254" s="2"/>
      <c r="L254"/>
      <c r="R254"/>
      <c r="S254" s="5"/>
      <c r="U254" s="5"/>
    </row>
    <row r="255" spans="1:21">
      <c r="A255" s="3">
        <v>45649.781805555554</v>
      </c>
      <c r="B255" s="2" t="s">
        <v>26</v>
      </c>
      <c r="C255" s="2" t="s">
        <v>11</v>
      </c>
      <c r="D255" s="6" t="str">
        <f>CONCATENATE(YEAR(A255),"/",IF(MONTH(A255)&lt;10,CONCATENATE("0",MONTH(A255)),MONTH(A255)))</f>
        <v>2024/12</v>
      </c>
      <c r="E255" s="8" t="str">
        <f>IF(IF(D255&lt;&gt;D254,1,IF(OR(B255&lt;&gt;B254,A255-A254&gt;$U$1),1,""))&lt;&gt;1,"",IF(C255="B01",1965,IF(C255="B02",1020,IF(C255="B05",2400,IF(C255="B03",4260,IF(C255="B04",2880,IF(C255="B20",1260,0)))))))</f>
        <v/>
      </c>
      <c r="F255" s="8" t="str">
        <f>IF(IF(D255&lt;&gt;D254,1,IF(OR(B255&lt;&gt;B254,A255-A254&gt;$U$1),1,""))&lt;&gt;1,"",IF(C255="B01",1,IF(C255="B05",1,IF(C255="B03",1,IF(C255="B04",1,IF(C255="B20",1,IF(C255="B02",1,0)))))))</f>
        <v/>
      </c>
      <c r="G255"/>
      <c r="H255" s="2"/>
      <c r="I255" s="2"/>
      <c r="L255"/>
      <c r="R255"/>
      <c r="S255" s="5"/>
      <c r="U255" s="5"/>
    </row>
    <row r="256" spans="1:21">
      <c r="A256" s="3">
        <v>45649.971550925926</v>
      </c>
      <c r="B256" s="2" t="s">
        <v>26</v>
      </c>
      <c r="C256" s="2" t="s">
        <v>11</v>
      </c>
      <c r="D256" s="6" t="str">
        <f>CONCATENATE(YEAR(A256),"/",IF(MONTH(A256)&lt;10,CONCATENATE("0",MONTH(A256)),MONTH(A256)))</f>
        <v>2024/12</v>
      </c>
      <c r="E256" s="8">
        <f>IF(IF(D256&lt;&gt;D255,1,IF(OR(B256&lt;&gt;B255,A256-A255&gt;$U$1),1,""))&lt;&gt;1,"",IF(C256="B01",1965,IF(C256="B02",1020,IF(C256="B05",2400,IF(C256="B03",4260,IF(C256="B04",2880,IF(C256="B20",1260,0)))))))</f>
        <v>2400</v>
      </c>
      <c r="F256" s="8">
        <f>IF(IF(D256&lt;&gt;D255,1,IF(OR(B256&lt;&gt;B255,A256-A255&gt;$U$1),1,""))&lt;&gt;1,"",IF(C256="B01",1,IF(C256="B05",1,IF(C256="B03",1,IF(C256="B04",1,IF(C256="B20",1,IF(C256="B02",1,0)))))))</f>
        <v>1</v>
      </c>
      <c r="G256"/>
      <c r="H256" s="2"/>
      <c r="I256" s="2"/>
      <c r="L256"/>
      <c r="R256"/>
      <c r="S256" s="5"/>
      <c r="U256" s="5"/>
    </row>
    <row r="257" spans="1:21">
      <c r="A257" s="3">
        <v>45649.971550925926</v>
      </c>
      <c r="B257" s="2" t="s">
        <v>26</v>
      </c>
      <c r="C257" s="2" t="s">
        <v>11</v>
      </c>
      <c r="D257" s="6" t="str">
        <f>CONCATENATE(YEAR(A257),"/",IF(MONTH(A257)&lt;10,CONCATENATE("0",MONTH(A257)),MONTH(A257)))</f>
        <v>2024/12</v>
      </c>
      <c r="E257" s="8" t="str">
        <f>IF(IF(D257&lt;&gt;D256,1,IF(OR(B257&lt;&gt;B256,A257-A256&gt;$U$1),1,""))&lt;&gt;1,"",IF(C257="B01",1965,IF(C257="B02",1020,IF(C257="B05",2400,IF(C257="B03",4260,IF(C257="B04",2880,IF(C257="B20",1260,0)))))))</f>
        <v/>
      </c>
      <c r="F257" s="8" t="str">
        <f>IF(IF(D257&lt;&gt;D256,1,IF(OR(B257&lt;&gt;B256,A257-A256&gt;$U$1),1,""))&lt;&gt;1,"",IF(C257="B01",1,IF(C257="B05",1,IF(C257="B03",1,IF(C257="B04",1,IF(C257="B20",1,IF(C257="B02",1,0)))))))</f>
        <v/>
      </c>
      <c r="G257"/>
      <c r="H257" s="2"/>
      <c r="I257" s="2"/>
      <c r="L257"/>
      <c r="R257"/>
      <c r="S257" s="5"/>
      <c r="U257" s="5"/>
    </row>
    <row r="258" spans="1:21">
      <c r="A258" s="3">
        <v>45649.971550925926</v>
      </c>
      <c r="B258" s="2" t="s">
        <v>26</v>
      </c>
      <c r="C258" s="2" t="s">
        <v>11</v>
      </c>
      <c r="D258" s="6" t="str">
        <f>CONCATENATE(YEAR(A258),"/",IF(MONTH(A258)&lt;10,CONCATENATE("0",MONTH(A258)),MONTH(A258)))</f>
        <v>2024/12</v>
      </c>
      <c r="E258" s="8" t="str">
        <f>IF(IF(D258&lt;&gt;D257,1,IF(OR(B258&lt;&gt;B257,A258-A257&gt;$U$1),1,""))&lt;&gt;1,"",IF(C258="B01",1965,IF(C258="B02",1020,IF(C258="B05",2400,IF(C258="B03",4260,IF(C258="B04",2880,IF(C258="B20",1260,0)))))))</f>
        <v/>
      </c>
      <c r="F258" s="8" t="str">
        <f>IF(IF(D258&lt;&gt;D257,1,IF(OR(B258&lt;&gt;B257,A258-A257&gt;$U$1),1,""))&lt;&gt;1,"",IF(C258="B01",1,IF(C258="B05",1,IF(C258="B03",1,IF(C258="B04",1,IF(C258="B20",1,IF(C258="B02",1,0)))))))</f>
        <v/>
      </c>
      <c r="G258"/>
      <c r="H258" s="2"/>
      <c r="I258" s="2"/>
      <c r="L258"/>
      <c r="R258"/>
      <c r="S258" s="5"/>
      <c r="U258" s="5"/>
    </row>
    <row r="259" spans="1:21">
      <c r="A259" s="3">
        <v>45650.097048611111</v>
      </c>
      <c r="B259" s="2" t="s">
        <v>26</v>
      </c>
      <c r="C259" s="2" t="s">
        <v>11</v>
      </c>
      <c r="D259" s="6" t="str">
        <f>CONCATENATE(YEAR(A259),"/",IF(MONTH(A259)&lt;10,CONCATENATE("0",MONTH(A259)),MONTH(A259)))</f>
        <v>2024/12</v>
      </c>
      <c r="E259" s="8">
        <f>IF(IF(D259&lt;&gt;D258,1,IF(OR(B259&lt;&gt;B258,A259-A258&gt;$U$1),1,""))&lt;&gt;1,"",IF(C259="B01",1965,IF(C259="B02",1020,IF(C259="B05",2400,IF(C259="B03",4260,IF(C259="B04",2880,IF(C259="B20",1260,0)))))))</f>
        <v>2400</v>
      </c>
      <c r="F259" s="8">
        <f>IF(IF(D259&lt;&gt;D258,1,IF(OR(B259&lt;&gt;B258,A259-A258&gt;$U$1),1,""))&lt;&gt;1,"",IF(C259="B01",1,IF(C259="B05",1,IF(C259="B03",1,IF(C259="B04",1,IF(C259="B20",1,IF(C259="B02",1,0)))))))</f>
        <v>1</v>
      </c>
      <c r="G259"/>
      <c r="H259" s="2"/>
      <c r="I259" s="2"/>
      <c r="L259"/>
      <c r="R259"/>
      <c r="S259" s="5"/>
      <c r="U259" s="5"/>
    </row>
    <row r="260" spans="1:21">
      <c r="A260" s="3">
        <v>45650.097048611111</v>
      </c>
      <c r="B260" s="2" t="s">
        <v>26</v>
      </c>
      <c r="C260" s="2" t="s">
        <v>11</v>
      </c>
      <c r="D260" s="6" t="str">
        <f>CONCATENATE(YEAR(A260),"/",IF(MONTH(A260)&lt;10,CONCATENATE("0",MONTH(A260)),MONTH(A260)))</f>
        <v>2024/12</v>
      </c>
      <c r="E260" s="8" t="str">
        <f>IF(IF(D260&lt;&gt;D259,1,IF(OR(B260&lt;&gt;B259,A260-A259&gt;$U$1),1,""))&lt;&gt;1,"",IF(C260="B01",1965,IF(C260="B02",1020,IF(C260="B05",2400,IF(C260="B03",4260,IF(C260="B04",2880,IF(C260="B20",1260,0)))))))</f>
        <v/>
      </c>
      <c r="F260" s="8" t="str">
        <f>IF(IF(D260&lt;&gt;D259,1,IF(OR(B260&lt;&gt;B259,A260-A259&gt;$U$1),1,""))&lt;&gt;1,"",IF(C260="B01",1,IF(C260="B05",1,IF(C260="B03",1,IF(C260="B04",1,IF(C260="B20",1,IF(C260="B02",1,0)))))))</f>
        <v/>
      </c>
      <c r="G260"/>
      <c r="H260" s="2"/>
      <c r="I260" s="2"/>
      <c r="L260"/>
      <c r="R260"/>
      <c r="S260" s="5"/>
      <c r="U260" s="5"/>
    </row>
    <row r="261" spans="1:21">
      <c r="A261" s="3">
        <v>45650.097048611111</v>
      </c>
      <c r="B261" s="2" t="s">
        <v>26</v>
      </c>
      <c r="C261" s="2" t="s">
        <v>11</v>
      </c>
      <c r="D261" s="6" t="str">
        <f>CONCATENATE(YEAR(A261),"/",IF(MONTH(A261)&lt;10,CONCATENATE("0",MONTH(A261)),MONTH(A261)))</f>
        <v>2024/12</v>
      </c>
      <c r="E261" s="8" t="str">
        <f>IF(IF(D261&lt;&gt;D260,1,IF(OR(B261&lt;&gt;B260,A261-A260&gt;$U$1),1,""))&lt;&gt;1,"",IF(C261="B01",1965,IF(C261="B02",1020,IF(C261="B05",2400,IF(C261="B03",4260,IF(C261="B04",2880,IF(C261="B20",1260,0)))))))</f>
        <v/>
      </c>
      <c r="F261" s="8" t="str">
        <f>IF(IF(D261&lt;&gt;D260,1,IF(OR(B261&lt;&gt;B260,A261-A260&gt;$U$1),1,""))&lt;&gt;1,"",IF(C261="B01",1,IF(C261="B05",1,IF(C261="B03",1,IF(C261="B04",1,IF(C261="B20",1,IF(C261="B02",1,0)))))))</f>
        <v/>
      </c>
      <c r="G261"/>
      <c r="H261" s="2"/>
      <c r="I261" s="2"/>
      <c r="L261"/>
      <c r="R261"/>
      <c r="S261" s="5"/>
      <c r="U261" s="5"/>
    </row>
    <row r="262" spans="1:21">
      <c r="A262" s="3">
        <v>45650.097048611111</v>
      </c>
      <c r="B262" s="2" t="s">
        <v>26</v>
      </c>
      <c r="C262" s="2" t="s">
        <v>11</v>
      </c>
      <c r="D262" s="6" t="str">
        <f>CONCATENATE(YEAR(A262),"/",IF(MONTH(A262)&lt;10,CONCATENATE("0",MONTH(A262)),MONTH(A262)))</f>
        <v>2024/12</v>
      </c>
      <c r="E262" s="8" t="str">
        <f>IF(IF(D262&lt;&gt;D261,1,IF(OR(B262&lt;&gt;B261,A262-A261&gt;$U$1),1,""))&lt;&gt;1,"",IF(C262="B01",1965,IF(C262="B02",1020,IF(C262="B05",2400,IF(C262="B03",4260,IF(C262="B04",2880,IF(C262="B20",1260,0)))))))</f>
        <v/>
      </c>
      <c r="F262" s="8" t="str">
        <f>IF(IF(D262&lt;&gt;D261,1,IF(OR(B262&lt;&gt;B261,A262-A261&gt;$U$1),1,""))&lt;&gt;1,"",IF(C262="B01",1,IF(C262="B05",1,IF(C262="B03",1,IF(C262="B04",1,IF(C262="B20",1,IF(C262="B02",1,0)))))))</f>
        <v/>
      </c>
      <c r="G262"/>
      <c r="H262" s="2"/>
      <c r="I262" s="2"/>
      <c r="L262"/>
      <c r="R262"/>
      <c r="S262" s="5"/>
      <c r="U262" s="5"/>
    </row>
    <row r="263" spans="1:21">
      <c r="A263" s="3">
        <v>45650.223067129627</v>
      </c>
      <c r="B263" s="2" t="s">
        <v>26</v>
      </c>
      <c r="C263" s="2" t="s">
        <v>12</v>
      </c>
      <c r="D263" s="6" t="str">
        <f>CONCATENATE(YEAR(A263),"/",IF(MONTH(A263)&lt;10,CONCATENATE("0",MONTH(A263)),MONTH(A263)))</f>
        <v>2024/12</v>
      </c>
      <c r="E263" s="8">
        <f>IF(IF(D263&lt;&gt;D262,1,IF(OR(B263&lt;&gt;B262,A263-A262&gt;$U$1),1,""))&lt;&gt;1,"",IF(C263="B01",1965,IF(C263="B02",1020,IF(C263="B05",2400,IF(C263="B03",4260,IF(C263="B04",2880,IF(C263="B20",1260,0)))))))</f>
        <v>4260</v>
      </c>
      <c r="F263" s="8">
        <f>IF(IF(D263&lt;&gt;D262,1,IF(OR(B263&lt;&gt;B262,A263-A262&gt;$U$1),1,""))&lt;&gt;1,"",IF(C263="B01",1,IF(C263="B05",1,IF(C263="B03",1,IF(C263="B04",1,IF(C263="B20",1,IF(C263="B02",1,0)))))))</f>
        <v>1</v>
      </c>
      <c r="G263"/>
      <c r="H263" s="2"/>
      <c r="I263" s="2"/>
      <c r="L263"/>
      <c r="R263"/>
      <c r="S263" s="5"/>
      <c r="U263" s="5"/>
    </row>
    <row r="264" spans="1:21">
      <c r="A264" s="3">
        <v>45650.223067129627</v>
      </c>
      <c r="B264" s="2" t="s">
        <v>26</v>
      </c>
      <c r="C264" s="2" t="s">
        <v>12</v>
      </c>
      <c r="D264" s="6" t="str">
        <f>CONCATENATE(YEAR(A264),"/",IF(MONTH(A264)&lt;10,CONCATENATE("0",MONTH(A264)),MONTH(A264)))</f>
        <v>2024/12</v>
      </c>
      <c r="E264" s="8" t="str">
        <f>IF(IF(D264&lt;&gt;D263,1,IF(OR(B264&lt;&gt;B263,A264-A263&gt;$U$1),1,""))&lt;&gt;1,"",IF(C264="B01",1965,IF(C264="B02",1020,IF(C264="B05",2400,IF(C264="B03",4260,IF(C264="B04",2880,IF(C264="B20",1260,0)))))))</f>
        <v/>
      </c>
      <c r="F264" s="8" t="str">
        <f>IF(IF(D264&lt;&gt;D263,1,IF(OR(B264&lt;&gt;B263,A264-A263&gt;$U$1),1,""))&lt;&gt;1,"",IF(C264="B01",1,IF(C264="B05",1,IF(C264="B03",1,IF(C264="B04",1,IF(C264="B20",1,IF(C264="B02",1,0)))))))</f>
        <v/>
      </c>
      <c r="G264"/>
      <c r="H264" s="2"/>
      <c r="I264" s="2"/>
      <c r="L264"/>
      <c r="R264"/>
      <c r="S264" s="5"/>
      <c r="U264" s="5"/>
    </row>
    <row r="265" spans="1:21">
      <c r="A265" s="3">
        <v>45650.875787037039</v>
      </c>
      <c r="B265" s="2" t="s">
        <v>26</v>
      </c>
      <c r="C265" s="2" t="s">
        <v>12</v>
      </c>
      <c r="D265" s="6" t="str">
        <f>CONCATENATE(YEAR(A265),"/",IF(MONTH(A265)&lt;10,CONCATENATE("0",MONTH(A265)),MONTH(A265)))</f>
        <v>2024/12</v>
      </c>
      <c r="E265" s="8">
        <f>IF(IF(D265&lt;&gt;D264,1,IF(OR(B265&lt;&gt;B264,A265-A264&gt;$U$1),1,""))&lt;&gt;1,"",IF(C265="B01",1965,IF(C265="B02",1020,IF(C265="B05",2400,IF(C265="B03",4260,IF(C265="B04",2880,IF(C265="B20",1260,0)))))))</f>
        <v>4260</v>
      </c>
      <c r="F265" s="8">
        <f>IF(IF(D265&lt;&gt;D264,1,IF(OR(B265&lt;&gt;B264,A265-A264&gt;$U$1),1,""))&lt;&gt;1,"",IF(C265="B01",1,IF(C265="B05",1,IF(C265="B03",1,IF(C265="B04",1,IF(C265="B20",1,IF(C265="B02",1,0)))))))</f>
        <v>1</v>
      </c>
      <c r="G265"/>
      <c r="H265" s="2"/>
      <c r="I265" s="2"/>
      <c r="L265"/>
      <c r="R265"/>
      <c r="S265" s="5"/>
      <c r="U265" s="5"/>
    </row>
    <row r="266" spans="1:21">
      <c r="A266" s="3">
        <v>45650.875787037039</v>
      </c>
      <c r="B266" s="2" t="s">
        <v>26</v>
      </c>
      <c r="C266" s="2" t="s">
        <v>12</v>
      </c>
      <c r="D266" s="6" t="str">
        <f>CONCATENATE(YEAR(A266),"/",IF(MONTH(A266)&lt;10,CONCATENATE("0",MONTH(A266)),MONTH(A266)))</f>
        <v>2024/12</v>
      </c>
      <c r="E266" s="8" t="str">
        <f>IF(IF(D266&lt;&gt;D265,1,IF(OR(B266&lt;&gt;B265,A266-A265&gt;$U$1),1,""))&lt;&gt;1,"",IF(C266="B01",1965,IF(C266="B02",1020,IF(C266="B05",2400,IF(C266="B03",4260,IF(C266="B04",2880,IF(C266="B20",1260,0)))))))</f>
        <v/>
      </c>
      <c r="F266" s="8" t="str">
        <f>IF(IF(D266&lt;&gt;D265,1,IF(OR(B266&lt;&gt;B265,A266-A265&gt;$U$1),1,""))&lt;&gt;1,"",IF(C266="B01",1,IF(C266="B05",1,IF(C266="B03",1,IF(C266="B04",1,IF(C266="B20",1,IF(C266="B02",1,0)))))))</f>
        <v/>
      </c>
      <c r="G266"/>
      <c r="H266" s="2"/>
      <c r="I266" s="2"/>
      <c r="L266"/>
      <c r="R266"/>
      <c r="S266" s="5"/>
      <c r="U266" s="5"/>
    </row>
    <row r="267" spans="1:21">
      <c r="A267" s="3">
        <v>45651.134479166663</v>
      </c>
      <c r="B267" s="2" t="s">
        <v>26</v>
      </c>
      <c r="C267" s="2" t="s">
        <v>11</v>
      </c>
      <c r="D267" s="6" t="str">
        <f>CONCATENATE(YEAR(A267),"/",IF(MONTH(A267)&lt;10,CONCATENATE("0",MONTH(A267)),MONTH(A267)))</f>
        <v>2024/12</v>
      </c>
      <c r="E267" s="8">
        <f>IF(IF(D267&lt;&gt;D266,1,IF(OR(B267&lt;&gt;B266,A267-A266&gt;$U$1),1,""))&lt;&gt;1,"",IF(C267="B01",1965,IF(C267="B02",1020,IF(C267="B05",2400,IF(C267="B03",4260,IF(C267="B04",2880,IF(C267="B20",1260,0)))))))</f>
        <v>2400</v>
      </c>
      <c r="F267" s="8">
        <f>IF(IF(D267&lt;&gt;D266,1,IF(OR(B267&lt;&gt;B266,A267-A266&gt;$U$1),1,""))&lt;&gt;1,"",IF(C267="B01",1,IF(C267="B05",1,IF(C267="B03",1,IF(C267="B04",1,IF(C267="B20",1,IF(C267="B02",1,0)))))))</f>
        <v>1</v>
      </c>
      <c r="G267"/>
      <c r="H267" s="2"/>
      <c r="I267" s="2"/>
      <c r="L267"/>
      <c r="R267"/>
      <c r="S267" s="5"/>
      <c r="U267" s="5"/>
    </row>
    <row r="268" spans="1:21">
      <c r="A268" s="3">
        <v>45651.134479166663</v>
      </c>
      <c r="B268" s="2" t="s">
        <v>26</v>
      </c>
      <c r="C268" s="2" t="s">
        <v>11</v>
      </c>
      <c r="D268" s="6" t="str">
        <f>CONCATENATE(YEAR(A268),"/",IF(MONTH(A268)&lt;10,CONCATENATE("0",MONTH(A268)),MONTH(A268)))</f>
        <v>2024/12</v>
      </c>
      <c r="E268" s="8" t="str">
        <f>IF(IF(D268&lt;&gt;D267,1,IF(OR(B268&lt;&gt;B267,A268-A267&gt;$U$1),1,""))&lt;&gt;1,"",IF(C268="B01",1965,IF(C268="B02",1020,IF(C268="B05",2400,IF(C268="B03",4260,IF(C268="B04",2880,IF(C268="B20",1260,0)))))))</f>
        <v/>
      </c>
      <c r="F268" s="8" t="str">
        <f>IF(IF(D268&lt;&gt;D267,1,IF(OR(B268&lt;&gt;B267,A268-A267&gt;$U$1),1,""))&lt;&gt;1,"",IF(C268="B01",1,IF(C268="B05",1,IF(C268="B03",1,IF(C268="B04",1,IF(C268="B20",1,IF(C268="B02",1,0)))))))</f>
        <v/>
      </c>
      <c r="G268"/>
      <c r="H268" s="2"/>
      <c r="I268" s="2"/>
      <c r="L268"/>
      <c r="R268"/>
      <c r="S268" s="5"/>
      <c r="U268" s="5"/>
    </row>
    <row r="269" spans="1:21">
      <c r="A269" s="3">
        <v>45651.180393518516</v>
      </c>
      <c r="B269" s="2" t="s">
        <v>26</v>
      </c>
      <c r="C269" s="2" t="s">
        <v>11</v>
      </c>
      <c r="D269" s="6" t="str">
        <f>CONCATENATE(YEAR(A269),"/",IF(MONTH(A269)&lt;10,CONCATENATE("0",MONTH(A269)),MONTH(A269)))</f>
        <v>2024/12</v>
      </c>
      <c r="E269" s="8">
        <f>IF(IF(D269&lt;&gt;D268,1,IF(OR(B269&lt;&gt;B268,A269-A268&gt;$U$1),1,""))&lt;&gt;1,"",IF(C269="B01",1965,IF(C269="B02",1020,IF(C269="B05",2400,IF(C269="B03",4260,IF(C269="B04",2880,IF(C269="B20",1260,0)))))))</f>
        <v>2400</v>
      </c>
      <c r="F269" s="8">
        <f>IF(IF(D269&lt;&gt;D268,1,IF(OR(B269&lt;&gt;B268,A269-A268&gt;$U$1),1,""))&lt;&gt;1,"",IF(C269="B01",1,IF(C269="B05",1,IF(C269="B03",1,IF(C269="B04",1,IF(C269="B20",1,IF(C269="B02",1,0)))))))</f>
        <v>1</v>
      </c>
      <c r="G269"/>
      <c r="H269" s="2"/>
      <c r="I269" s="2"/>
      <c r="L269"/>
      <c r="R269"/>
      <c r="S269" s="5"/>
      <c r="U269" s="5"/>
    </row>
    <row r="270" spans="1:21">
      <c r="A270" s="3">
        <v>45651.185162037036</v>
      </c>
      <c r="B270" s="2" t="s">
        <v>26</v>
      </c>
      <c r="C270" s="2" t="s">
        <v>11</v>
      </c>
      <c r="D270" s="6" t="str">
        <f>CONCATENATE(YEAR(A270),"/",IF(MONTH(A270)&lt;10,CONCATENATE("0",MONTH(A270)),MONTH(A270)))</f>
        <v>2024/12</v>
      </c>
      <c r="E270" s="8" t="str">
        <f>IF(IF(D270&lt;&gt;D269,1,IF(OR(B270&lt;&gt;B269,A270-A269&gt;$U$1),1,""))&lt;&gt;1,"",IF(C270="B01",1965,IF(C270="B02",1020,IF(C270="B05",2400,IF(C270="B03",4260,IF(C270="B04",2880,IF(C270="B20",1260,0)))))))</f>
        <v/>
      </c>
      <c r="F270" s="8" t="str">
        <f>IF(IF(D270&lt;&gt;D269,1,IF(OR(B270&lt;&gt;B269,A270-A269&gt;$U$1),1,""))&lt;&gt;1,"",IF(C270="B01",1,IF(C270="B05",1,IF(C270="B03",1,IF(C270="B04",1,IF(C270="B20",1,IF(C270="B02",1,0)))))))</f>
        <v/>
      </c>
      <c r="G270"/>
      <c r="H270" s="2"/>
      <c r="I270" s="2"/>
      <c r="L270"/>
      <c r="R270"/>
      <c r="S270" s="5"/>
      <c r="U270" s="5"/>
    </row>
    <row r="271" spans="1:21">
      <c r="A271" s="3">
        <v>45651.382581018515</v>
      </c>
      <c r="B271" s="2" t="s">
        <v>26</v>
      </c>
      <c r="C271" s="2" t="s">
        <v>11</v>
      </c>
      <c r="D271" s="6" t="str">
        <f>CONCATENATE(YEAR(A271),"/",IF(MONTH(A271)&lt;10,CONCATENATE("0",MONTH(A271)),MONTH(A271)))</f>
        <v>2024/12</v>
      </c>
      <c r="E271" s="8">
        <f>IF(IF(D271&lt;&gt;D270,1,IF(OR(B271&lt;&gt;B270,A271-A270&gt;$U$1),1,""))&lt;&gt;1,"",IF(C271="B01",1965,IF(C271="B02",1020,IF(C271="B05",2400,IF(C271="B03",4260,IF(C271="B04",2880,IF(C271="B20",1260,0)))))))</f>
        <v>2400</v>
      </c>
      <c r="F271" s="8">
        <f>IF(IF(D271&lt;&gt;D270,1,IF(OR(B271&lt;&gt;B270,A271-A270&gt;$U$1),1,""))&lt;&gt;1,"",IF(C271="B01",1,IF(C271="B05",1,IF(C271="B03",1,IF(C271="B04",1,IF(C271="B20",1,IF(C271="B02",1,0)))))))</f>
        <v>1</v>
      </c>
      <c r="G271"/>
      <c r="H271" s="2"/>
      <c r="I271" s="2"/>
      <c r="L271"/>
      <c r="R271"/>
      <c r="S271" s="5"/>
      <c r="U271" s="5"/>
    </row>
    <row r="272" spans="1:21">
      <c r="A272" s="3">
        <v>45651.382581018515</v>
      </c>
      <c r="B272" s="2" t="s">
        <v>26</v>
      </c>
      <c r="C272" s="2" t="s">
        <v>11</v>
      </c>
      <c r="D272" s="6" t="str">
        <f>CONCATENATE(YEAR(A272),"/",IF(MONTH(A272)&lt;10,CONCATENATE("0",MONTH(A272)),MONTH(A272)))</f>
        <v>2024/12</v>
      </c>
      <c r="E272" s="8" t="str">
        <f>IF(IF(D272&lt;&gt;D271,1,IF(OR(B272&lt;&gt;B271,A272-A271&gt;$U$1),1,""))&lt;&gt;1,"",IF(C272="B01",1965,IF(C272="B02",1020,IF(C272="B05",2400,IF(C272="B03",4260,IF(C272="B04",2880,IF(C272="B20",1260,0)))))))</f>
        <v/>
      </c>
      <c r="F272" s="8" t="str">
        <f>IF(IF(D272&lt;&gt;D271,1,IF(OR(B272&lt;&gt;B271,A272-A271&gt;$U$1),1,""))&lt;&gt;1,"",IF(C272="B01",1,IF(C272="B05",1,IF(C272="B03",1,IF(C272="B04",1,IF(C272="B20",1,IF(C272="B02",1,0)))))))</f>
        <v/>
      </c>
      <c r="G272"/>
      <c r="H272" s="2"/>
      <c r="I272" s="2"/>
      <c r="L272"/>
      <c r="R272"/>
      <c r="S272" s="5"/>
      <c r="U272" s="5"/>
    </row>
    <row r="273" spans="1:21">
      <c r="A273" s="3">
        <v>45651.517858796295</v>
      </c>
      <c r="B273" s="2" t="s">
        <v>26</v>
      </c>
      <c r="C273" s="2" t="s">
        <v>12</v>
      </c>
      <c r="D273" s="6" t="str">
        <f>CONCATENATE(YEAR(A273),"/",IF(MONTH(A273)&lt;10,CONCATENATE("0",MONTH(A273)),MONTH(A273)))</f>
        <v>2024/12</v>
      </c>
      <c r="E273" s="8">
        <f>IF(IF(D273&lt;&gt;D272,1,IF(OR(B273&lt;&gt;B272,A273-A272&gt;$U$1),1,""))&lt;&gt;1,"",IF(C273="B01",1965,IF(C273="B02",1020,IF(C273="B05",2400,IF(C273="B03",4260,IF(C273="B04",2880,IF(C273="B20",1260,0)))))))</f>
        <v>4260</v>
      </c>
      <c r="F273" s="8">
        <f>IF(IF(D273&lt;&gt;D272,1,IF(OR(B273&lt;&gt;B272,A273-A272&gt;$U$1),1,""))&lt;&gt;1,"",IF(C273="B01",1,IF(C273="B05",1,IF(C273="B03",1,IF(C273="B04",1,IF(C273="B20",1,IF(C273="B02",1,0)))))))</f>
        <v>1</v>
      </c>
      <c r="G273"/>
      <c r="H273" s="2"/>
      <c r="I273" s="2"/>
      <c r="L273"/>
      <c r="R273"/>
      <c r="S273" s="5"/>
      <c r="U273" s="5"/>
    </row>
    <row r="274" spans="1:21">
      <c r="A274" s="3">
        <v>45651.517858796295</v>
      </c>
      <c r="B274" s="2" t="s">
        <v>26</v>
      </c>
      <c r="C274" s="2" t="s">
        <v>12</v>
      </c>
      <c r="D274" s="6" t="str">
        <f>CONCATENATE(YEAR(A274),"/",IF(MONTH(A274)&lt;10,CONCATENATE("0",MONTH(A274)),MONTH(A274)))</f>
        <v>2024/12</v>
      </c>
      <c r="E274" s="8" t="str">
        <f>IF(IF(D274&lt;&gt;D273,1,IF(OR(B274&lt;&gt;B273,A274-A273&gt;$U$1),1,""))&lt;&gt;1,"",IF(C274="B01",1965,IF(C274="B02",1020,IF(C274="B05",2400,IF(C274="B03",4260,IF(C274="B04",2880,IF(C274="B20",1260,0)))))))</f>
        <v/>
      </c>
      <c r="F274" s="8" t="str">
        <f>IF(IF(D274&lt;&gt;D273,1,IF(OR(B274&lt;&gt;B273,A274-A273&gt;$U$1),1,""))&lt;&gt;1,"",IF(C274="B01",1,IF(C274="B05",1,IF(C274="B03",1,IF(C274="B04",1,IF(C274="B20",1,IF(C274="B02",1,0)))))))</f>
        <v/>
      </c>
      <c r="G274"/>
      <c r="H274" s="2"/>
      <c r="I274" s="2"/>
      <c r="L274"/>
      <c r="R274"/>
      <c r="S274" s="5"/>
      <c r="U274" s="5"/>
    </row>
    <row r="275" spans="1:21">
      <c r="A275" s="3">
        <v>45651.668969907405</v>
      </c>
      <c r="B275" s="2" t="s">
        <v>26</v>
      </c>
      <c r="C275" s="2" t="s">
        <v>11</v>
      </c>
      <c r="D275" s="6" t="str">
        <f>CONCATENATE(YEAR(A275),"/",IF(MONTH(A275)&lt;10,CONCATENATE("0",MONTH(A275)),MONTH(A275)))</f>
        <v>2024/12</v>
      </c>
      <c r="E275" s="8">
        <f>IF(IF(D275&lt;&gt;D274,1,IF(OR(B275&lt;&gt;B274,A275-A274&gt;$U$1),1,""))&lt;&gt;1,"",IF(C275="B01",1965,IF(C275="B02",1020,IF(C275="B05",2400,IF(C275="B03",4260,IF(C275="B04",2880,IF(C275="B20",1260,0)))))))</f>
        <v>2400</v>
      </c>
      <c r="F275" s="8">
        <f>IF(IF(D275&lt;&gt;D274,1,IF(OR(B275&lt;&gt;B274,A275-A274&gt;$U$1),1,""))&lt;&gt;1,"",IF(C275="B01",1,IF(C275="B05",1,IF(C275="B03",1,IF(C275="B04",1,IF(C275="B20",1,IF(C275="B02",1,0)))))))</f>
        <v>1</v>
      </c>
      <c r="G275"/>
      <c r="H275" s="2"/>
      <c r="I275" s="2"/>
      <c r="L275"/>
      <c r="R275"/>
      <c r="S275" s="5"/>
      <c r="U275" s="5"/>
    </row>
    <row r="276" spans="1:21">
      <c r="A276" s="3">
        <v>45651.668969907405</v>
      </c>
      <c r="B276" s="2" t="s">
        <v>26</v>
      </c>
      <c r="C276" s="2" t="s">
        <v>11</v>
      </c>
      <c r="D276" s="6" t="str">
        <f>CONCATENATE(YEAR(A276),"/",IF(MONTH(A276)&lt;10,CONCATENATE("0",MONTH(A276)),MONTH(A276)))</f>
        <v>2024/12</v>
      </c>
      <c r="E276" s="8" t="str">
        <f>IF(IF(D276&lt;&gt;D275,1,IF(OR(B276&lt;&gt;B275,A276-A275&gt;$U$1),1,""))&lt;&gt;1,"",IF(C276="B01",1965,IF(C276="B02",1020,IF(C276="B05",2400,IF(C276="B03",4260,IF(C276="B04",2880,IF(C276="B20",1260,0)))))))</f>
        <v/>
      </c>
      <c r="F276" s="8" t="str">
        <f>IF(IF(D276&lt;&gt;D275,1,IF(OR(B276&lt;&gt;B275,A276-A275&gt;$U$1),1,""))&lt;&gt;1,"",IF(C276="B01",1,IF(C276="B05",1,IF(C276="B03",1,IF(C276="B04",1,IF(C276="B20",1,IF(C276="B02",1,0)))))))</f>
        <v/>
      </c>
      <c r="G276"/>
      <c r="H276" s="2"/>
      <c r="I276" s="2"/>
      <c r="L276"/>
      <c r="R276"/>
      <c r="S276" s="5"/>
      <c r="U276" s="5"/>
    </row>
    <row r="277" spans="1:21">
      <c r="A277" s="3">
        <v>45651.827025462961</v>
      </c>
      <c r="B277" s="2" t="s">
        <v>26</v>
      </c>
      <c r="C277" s="2" t="s">
        <v>11</v>
      </c>
      <c r="D277" s="6" t="str">
        <f>CONCATENATE(YEAR(A277),"/",IF(MONTH(A277)&lt;10,CONCATENATE("0",MONTH(A277)),MONTH(A277)))</f>
        <v>2024/12</v>
      </c>
      <c r="E277" s="8">
        <f>IF(IF(D277&lt;&gt;D276,1,IF(OR(B277&lt;&gt;B276,A277-A276&gt;$U$1),1,""))&lt;&gt;1,"",IF(C277="B01",1965,IF(C277="B02",1020,IF(C277="B05",2400,IF(C277="B03",4260,IF(C277="B04",2880,IF(C277="B20",1260,0)))))))</f>
        <v>2400</v>
      </c>
      <c r="F277" s="8">
        <f>IF(IF(D277&lt;&gt;D276,1,IF(OR(B277&lt;&gt;B276,A277-A276&gt;$U$1),1,""))&lt;&gt;1,"",IF(C277="B01",1,IF(C277="B05",1,IF(C277="B03",1,IF(C277="B04",1,IF(C277="B20",1,IF(C277="B02",1,0)))))))</f>
        <v>1</v>
      </c>
      <c r="G277"/>
      <c r="H277" s="2"/>
      <c r="I277" s="2"/>
      <c r="L277"/>
      <c r="R277"/>
      <c r="S277" s="5"/>
      <c r="U277" s="5"/>
    </row>
    <row r="278" spans="1:21">
      <c r="A278" s="3">
        <v>45651.827025462961</v>
      </c>
      <c r="B278" s="2" t="s">
        <v>26</v>
      </c>
      <c r="C278" s="2" t="s">
        <v>11</v>
      </c>
      <c r="D278" s="6" t="str">
        <f>CONCATENATE(YEAR(A278),"/",IF(MONTH(A278)&lt;10,CONCATENATE("0",MONTH(A278)),MONTH(A278)))</f>
        <v>2024/12</v>
      </c>
      <c r="E278" s="8" t="str">
        <f>IF(IF(D278&lt;&gt;D277,1,IF(OR(B278&lt;&gt;B277,A278-A277&gt;$U$1),1,""))&lt;&gt;1,"",IF(C278="B01",1965,IF(C278="B02",1020,IF(C278="B05",2400,IF(C278="B03",4260,IF(C278="B04",2880,IF(C278="B20",1260,0)))))))</f>
        <v/>
      </c>
      <c r="F278" s="8" t="str">
        <f>IF(IF(D278&lt;&gt;D277,1,IF(OR(B278&lt;&gt;B277,A278-A277&gt;$U$1),1,""))&lt;&gt;1,"",IF(C278="B01",1,IF(C278="B05",1,IF(C278="B03",1,IF(C278="B04",1,IF(C278="B20",1,IF(C278="B02",1,0)))))))</f>
        <v/>
      </c>
      <c r="G278"/>
      <c r="H278" s="2"/>
      <c r="I278" s="2"/>
      <c r="L278"/>
      <c r="R278"/>
      <c r="S278" s="5"/>
      <c r="U278" s="5"/>
    </row>
    <row r="279" spans="1:21">
      <c r="A279" s="3">
        <v>45651.966006944444</v>
      </c>
      <c r="B279" s="2" t="s">
        <v>26</v>
      </c>
      <c r="C279" s="2" t="s">
        <v>11</v>
      </c>
      <c r="D279" s="6" t="str">
        <f>CONCATENATE(YEAR(A279),"/",IF(MONTH(A279)&lt;10,CONCATENATE("0",MONTH(A279)),MONTH(A279)))</f>
        <v>2024/12</v>
      </c>
      <c r="E279" s="8">
        <f>IF(IF(D279&lt;&gt;D278,1,IF(OR(B279&lt;&gt;B278,A279-A278&gt;$U$1),1,""))&lt;&gt;1,"",IF(C279="B01",1965,IF(C279="B02",1020,IF(C279="B05",2400,IF(C279="B03",4260,IF(C279="B04",2880,IF(C279="B20",1260,0)))))))</f>
        <v>2400</v>
      </c>
      <c r="F279" s="8">
        <f>IF(IF(D279&lt;&gt;D278,1,IF(OR(B279&lt;&gt;B278,A279-A278&gt;$U$1),1,""))&lt;&gt;1,"",IF(C279="B01",1,IF(C279="B05",1,IF(C279="B03",1,IF(C279="B04",1,IF(C279="B20",1,IF(C279="B02",1,0)))))))</f>
        <v>1</v>
      </c>
      <c r="G279"/>
      <c r="H279" s="2"/>
      <c r="I279" s="2"/>
      <c r="L279"/>
      <c r="R279"/>
      <c r="S279" s="5"/>
      <c r="U279" s="5"/>
    </row>
    <row r="280" spans="1:21">
      <c r="A280" s="3">
        <v>45651.966006944444</v>
      </c>
      <c r="B280" s="2" t="s">
        <v>26</v>
      </c>
      <c r="C280" s="2" t="s">
        <v>11</v>
      </c>
      <c r="D280" s="6" t="str">
        <f>CONCATENATE(YEAR(A280),"/",IF(MONTH(A280)&lt;10,CONCATENATE("0",MONTH(A280)),MONTH(A280)))</f>
        <v>2024/12</v>
      </c>
      <c r="E280" s="8" t="str">
        <f>IF(IF(D280&lt;&gt;D279,1,IF(OR(B280&lt;&gt;B279,A280-A279&gt;$U$1),1,""))&lt;&gt;1,"",IF(C280="B01",1965,IF(C280="B02",1020,IF(C280="B05",2400,IF(C280="B03",4260,IF(C280="B04",2880,IF(C280="B20",1260,0)))))))</f>
        <v/>
      </c>
      <c r="F280" s="8" t="str">
        <f>IF(IF(D280&lt;&gt;D279,1,IF(OR(B280&lt;&gt;B279,A280-A279&gt;$U$1),1,""))&lt;&gt;1,"",IF(C280="B01",1,IF(C280="B05",1,IF(C280="B03",1,IF(C280="B04",1,IF(C280="B20",1,IF(C280="B02",1,0)))))))</f>
        <v/>
      </c>
      <c r="G280"/>
      <c r="H280" s="2"/>
      <c r="I280" s="2"/>
      <c r="L280"/>
      <c r="R280"/>
      <c r="S280" s="5"/>
      <c r="U280" s="5"/>
    </row>
    <row r="281" spans="1:21">
      <c r="A281" s="3">
        <v>45651.966006944444</v>
      </c>
      <c r="B281" s="2" t="s">
        <v>26</v>
      </c>
      <c r="C281" s="2" t="s">
        <v>11</v>
      </c>
      <c r="D281" s="6" t="str">
        <f>CONCATENATE(YEAR(A281),"/",IF(MONTH(A281)&lt;10,CONCATENATE("0",MONTH(A281)),MONTH(A281)))</f>
        <v>2024/12</v>
      </c>
      <c r="E281" s="8" t="str">
        <f>IF(IF(D281&lt;&gt;D280,1,IF(OR(B281&lt;&gt;B280,A281-A280&gt;$U$1),1,""))&lt;&gt;1,"",IF(C281="B01",1965,IF(C281="B02",1020,IF(C281="B05",2400,IF(C281="B03",4260,IF(C281="B04",2880,IF(C281="B20",1260,0)))))))</f>
        <v/>
      </c>
      <c r="F281" s="8" t="str">
        <f>IF(IF(D281&lt;&gt;D280,1,IF(OR(B281&lt;&gt;B280,A281-A280&gt;$U$1),1,""))&lt;&gt;1,"",IF(C281="B01",1,IF(C281="B05",1,IF(C281="B03",1,IF(C281="B04",1,IF(C281="B20",1,IF(C281="B02",1,0)))))))</f>
        <v/>
      </c>
      <c r="G281"/>
      <c r="H281" s="2"/>
      <c r="I281" s="2"/>
      <c r="L281"/>
      <c r="R281"/>
      <c r="S281" s="5"/>
      <c r="U281" s="5"/>
    </row>
    <row r="282" spans="1:21">
      <c r="A282" s="3">
        <v>45652.091226851851</v>
      </c>
      <c r="B282" s="2" t="s">
        <v>26</v>
      </c>
      <c r="C282" s="2" t="s">
        <v>11</v>
      </c>
      <c r="D282" s="6" t="str">
        <f>CONCATENATE(YEAR(A282),"/",IF(MONTH(A282)&lt;10,CONCATENATE("0",MONTH(A282)),MONTH(A282)))</f>
        <v>2024/12</v>
      </c>
      <c r="E282" s="8">
        <f>IF(IF(D282&lt;&gt;D281,1,IF(OR(B282&lt;&gt;B281,A282-A281&gt;$U$1),1,""))&lt;&gt;1,"",IF(C282="B01",1965,IF(C282="B02",1020,IF(C282="B05",2400,IF(C282="B03",4260,IF(C282="B04",2880,IF(C282="B20",1260,0)))))))</f>
        <v>2400</v>
      </c>
      <c r="F282" s="8">
        <f>IF(IF(D282&lt;&gt;D281,1,IF(OR(B282&lt;&gt;B281,A282-A281&gt;$U$1),1,""))&lt;&gt;1,"",IF(C282="B01",1,IF(C282="B05",1,IF(C282="B03",1,IF(C282="B04",1,IF(C282="B20",1,IF(C282="B02",1,0)))))))</f>
        <v>1</v>
      </c>
      <c r="G282"/>
      <c r="H282" s="2"/>
      <c r="I282" s="2"/>
      <c r="L282"/>
      <c r="R282"/>
      <c r="S282" s="5"/>
      <c r="U282" s="5"/>
    </row>
    <row r="283" spans="1:21">
      <c r="A283" s="3">
        <v>45652.091226851851</v>
      </c>
      <c r="B283" s="2" t="s">
        <v>26</v>
      </c>
      <c r="C283" s="2" t="s">
        <v>11</v>
      </c>
      <c r="D283" s="6" t="str">
        <f>CONCATENATE(YEAR(A283),"/",IF(MONTH(A283)&lt;10,CONCATENATE("0",MONTH(A283)),MONTH(A283)))</f>
        <v>2024/12</v>
      </c>
      <c r="E283" s="8" t="str">
        <f>IF(IF(D283&lt;&gt;D282,1,IF(OR(B283&lt;&gt;B282,A283-A282&gt;$U$1),1,""))&lt;&gt;1,"",IF(C283="B01",1965,IF(C283="B02",1020,IF(C283="B05",2400,IF(C283="B03",4260,IF(C283="B04",2880,IF(C283="B20",1260,0)))))))</f>
        <v/>
      </c>
      <c r="F283" s="8" t="str">
        <f>IF(IF(D283&lt;&gt;D282,1,IF(OR(B283&lt;&gt;B282,A283-A282&gt;$U$1),1,""))&lt;&gt;1,"",IF(C283="B01",1,IF(C283="B05",1,IF(C283="B03",1,IF(C283="B04",1,IF(C283="B20",1,IF(C283="B02",1,0)))))))</f>
        <v/>
      </c>
      <c r="G283"/>
      <c r="H283" s="2"/>
      <c r="I283" s="2"/>
      <c r="L283"/>
      <c r="R283"/>
      <c r="S283" s="5"/>
      <c r="U283" s="5"/>
    </row>
    <row r="284" spans="1:21">
      <c r="A284" s="3">
        <v>45652.091226851851</v>
      </c>
      <c r="B284" s="2" t="s">
        <v>26</v>
      </c>
      <c r="C284" s="2" t="s">
        <v>11</v>
      </c>
      <c r="D284" s="6" t="str">
        <f>CONCATENATE(YEAR(A284),"/",IF(MONTH(A284)&lt;10,CONCATENATE("0",MONTH(A284)),MONTH(A284)))</f>
        <v>2024/12</v>
      </c>
      <c r="E284" s="8" t="str">
        <f>IF(IF(D284&lt;&gt;D283,1,IF(OR(B284&lt;&gt;B283,A284-A283&gt;$U$1),1,""))&lt;&gt;1,"",IF(C284="B01",1965,IF(C284="B02",1020,IF(C284="B05",2400,IF(C284="B03",4260,IF(C284="B04",2880,IF(C284="B20",1260,0)))))))</f>
        <v/>
      </c>
      <c r="F284" s="8" t="str">
        <f>IF(IF(D284&lt;&gt;D283,1,IF(OR(B284&lt;&gt;B283,A284-A283&gt;$U$1),1,""))&lt;&gt;1,"",IF(C284="B01",1,IF(C284="B05",1,IF(C284="B03",1,IF(C284="B04",1,IF(C284="B20",1,IF(C284="B02",1,0)))))))</f>
        <v/>
      </c>
      <c r="G284"/>
      <c r="H284" s="2"/>
      <c r="I284" s="2"/>
      <c r="L284"/>
      <c r="R284"/>
      <c r="S284" s="5"/>
      <c r="U284" s="5"/>
    </row>
    <row r="285" spans="1:21">
      <c r="A285" s="3">
        <v>45652.243344907409</v>
      </c>
      <c r="B285" s="2" t="s">
        <v>26</v>
      </c>
      <c r="C285" s="2" t="s">
        <v>12</v>
      </c>
      <c r="D285" s="6" t="str">
        <f>CONCATENATE(YEAR(A285),"/",IF(MONTH(A285)&lt;10,CONCATENATE("0",MONTH(A285)),MONTH(A285)))</f>
        <v>2024/12</v>
      </c>
      <c r="E285" s="8">
        <f>IF(IF(D285&lt;&gt;D284,1,IF(OR(B285&lt;&gt;B284,A285-A284&gt;$U$1),1,""))&lt;&gt;1,"",IF(C285="B01",1965,IF(C285="B02",1020,IF(C285="B05",2400,IF(C285="B03",4260,IF(C285="B04",2880,IF(C285="B20",1260,0)))))))</f>
        <v>4260</v>
      </c>
      <c r="F285" s="8">
        <f>IF(IF(D285&lt;&gt;D284,1,IF(OR(B285&lt;&gt;B284,A285-A284&gt;$U$1),1,""))&lt;&gt;1,"",IF(C285="B01",1,IF(C285="B05",1,IF(C285="B03",1,IF(C285="B04",1,IF(C285="B20",1,IF(C285="B02",1,0)))))))</f>
        <v>1</v>
      </c>
      <c r="G285"/>
      <c r="H285" s="2"/>
      <c r="I285" s="2"/>
      <c r="L285"/>
      <c r="R285"/>
      <c r="S285" s="5"/>
      <c r="U285" s="5"/>
    </row>
    <row r="286" spans="1:21">
      <c r="A286" s="3">
        <v>45652.243344907409</v>
      </c>
      <c r="B286" s="2" t="s">
        <v>26</v>
      </c>
      <c r="C286" s="2" t="s">
        <v>12</v>
      </c>
      <c r="D286" s="6" t="str">
        <f>CONCATENATE(YEAR(A286),"/",IF(MONTH(A286)&lt;10,CONCATENATE("0",MONTH(A286)),MONTH(A286)))</f>
        <v>2024/12</v>
      </c>
      <c r="E286" s="8" t="str">
        <f>IF(IF(D286&lt;&gt;D285,1,IF(OR(B286&lt;&gt;B285,A286-A285&gt;$U$1),1,""))&lt;&gt;1,"",IF(C286="B01",1965,IF(C286="B02",1020,IF(C286="B05",2400,IF(C286="B03",4260,IF(C286="B04",2880,IF(C286="B20",1260,0)))))))</f>
        <v/>
      </c>
      <c r="F286" s="8" t="str">
        <f>IF(IF(D286&lt;&gt;D285,1,IF(OR(B286&lt;&gt;B285,A286-A285&gt;$U$1),1,""))&lt;&gt;1,"",IF(C286="B01",1,IF(C286="B05",1,IF(C286="B03",1,IF(C286="B04",1,IF(C286="B20",1,IF(C286="B02",1,0)))))))</f>
        <v/>
      </c>
      <c r="G286"/>
      <c r="H286" s="2"/>
      <c r="I286" s="2"/>
      <c r="L286"/>
      <c r="R286"/>
      <c r="S286" s="5"/>
      <c r="U286" s="5"/>
    </row>
    <row r="287" spans="1:21">
      <c r="A287" s="3">
        <v>45652.400659722225</v>
      </c>
      <c r="B287" s="2" t="s">
        <v>26</v>
      </c>
      <c r="C287" s="2" t="s">
        <v>11</v>
      </c>
      <c r="D287" s="6" t="str">
        <f>CONCATENATE(YEAR(A287),"/",IF(MONTH(A287)&lt;10,CONCATENATE("0",MONTH(A287)),MONTH(A287)))</f>
        <v>2024/12</v>
      </c>
      <c r="E287" s="8">
        <f>IF(IF(D287&lt;&gt;D286,1,IF(OR(B287&lt;&gt;B286,A287-A286&gt;$U$1),1,""))&lt;&gt;1,"",IF(C287="B01",1965,IF(C287="B02",1020,IF(C287="B05",2400,IF(C287="B03",4260,IF(C287="B04",2880,IF(C287="B20",1260,0)))))))</f>
        <v>2400</v>
      </c>
      <c r="F287" s="8">
        <f>IF(IF(D287&lt;&gt;D286,1,IF(OR(B287&lt;&gt;B286,A287-A286&gt;$U$1),1,""))&lt;&gt;1,"",IF(C287="B01",1,IF(C287="B05",1,IF(C287="B03",1,IF(C287="B04",1,IF(C287="B20",1,IF(C287="B02",1,0)))))))</f>
        <v>1</v>
      </c>
      <c r="G287"/>
      <c r="H287" s="2"/>
      <c r="I287" s="2"/>
      <c r="L287"/>
      <c r="R287"/>
      <c r="S287" s="5"/>
      <c r="U287" s="5"/>
    </row>
    <row r="288" spans="1:21">
      <c r="A288" s="3">
        <v>45652.400671296295</v>
      </c>
      <c r="B288" s="2" t="s">
        <v>26</v>
      </c>
      <c r="C288" s="2" t="s">
        <v>11</v>
      </c>
      <c r="D288" s="6" t="str">
        <f>CONCATENATE(YEAR(A288),"/",IF(MONTH(A288)&lt;10,CONCATENATE("0",MONTH(A288)),MONTH(A288)))</f>
        <v>2024/12</v>
      </c>
      <c r="E288" s="8" t="str">
        <f>IF(IF(D288&lt;&gt;D287,1,IF(OR(B288&lt;&gt;B287,A288-A287&gt;$U$1),1,""))&lt;&gt;1,"",IF(C288="B01",1965,IF(C288="B02",1020,IF(C288="B05",2400,IF(C288="B03",4260,IF(C288="B04",2880,IF(C288="B20",1260,0)))))))</f>
        <v/>
      </c>
      <c r="F288" s="8" t="str">
        <f>IF(IF(D288&lt;&gt;D287,1,IF(OR(B288&lt;&gt;B287,A288-A287&gt;$U$1),1,""))&lt;&gt;1,"",IF(C288="B01",1,IF(C288="B05",1,IF(C288="B03",1,IF(C288="B04",1,IF(C288="B20",1,IF(C288="B02",1,0)))))))</f>
        <v/>
      </c>
      <c r="G288"/>
      <c r="H288" s="2"/>
      <c r="I288" s="2"/>
      <c r="L288"/>
      <c r="R288"/>
      <c r="S288" s="5"/>
      <c r="U288" s="5"/>
    </row>
    <row r="289" spans="1:21">
      <c r="A289" s="3">
        <v>45652.582754629628</v>
      </c>
      <c r="B289" s="2" t="s">
        <v>26</v>
      </c>
      <c r="C289" s="2" t="s">
        <v>11</v>
      </c>
      <c r="D289" s="6" t="str">
        <f>CONCATENATE(YEAR(A289),"/",IF(MONTH(A289)&lt;10,CONCATENATE("0",MONTH(A289)),MONTH(A289)))</f>
        <v>2024/12</v>
      </c>
      <c r="E289" s="8">
        <f>IF(IF(D289&lt;&gt;D288,1,IF(OR(B289&lt;&gt;B288,A289-A288&gt;$U$1),1,""))&lt;&gt;1,"",IF(C289="B01",1965,IF(C289="B02",1020,IF(C289="B05",2400,IF(C289="B03",4260,IF(C289="B04",2880,IF(C289="B20",1260,0)))))))</f>
        <v>2400</v>
      </c>
      <c r="F289" s="8">
        <f>IF(IF(D289&lt;&gt;D288,1,IF(OR(B289&lt;&gt;B288,A289-A288&gt;$U$1),1,""))&lt;&gt;1,"",IF(C289="B01",1,IF(C289="B05",1,IF(C289="B03",1,IF(C289="B04",1,IF(C289="B20",1,IF(C289="B02",1,0)))))))</f>
        <v>1</v>
      </c>
      <c r="G289"/>
      <c r="H289" s="2"/>
      <c r="I289" s="2"/>
      <c r="L289"/>
      <c r="R289"/>
      <c r="S289" s="5"/>
      <c r="U289" s="5"/>
    </row>
    <row r="290" spans="1:21">
      <c r="A290" s="3">
        <v>45652.582754629628</v>
      </c>
      <c r="B290" s="2" t="s">
        <v>26</v>
      </c>
      <c r="C290" s="2" t="s">
        <v>11</v>
      </c>
      <c r="D290" s="6" t="str">
        <f>CONCATENATE(YEAR(A290),"/",IF(MONTH(A290)&lt;10,CONCATENATE("0",MONTH(A290)),MONTH(A290)))</f>
        <v>2024/12</v>
      </c>
      <c r="E290" s="8" t="str">
        <f>IF(IF(D290&lt;&gt;D289,1,IF(OR(B290&lt;&gt;B289,A290-A289&gt;$U$1),1,""))&lt;&gt;1,"",IF(C290="B01",1965,IF(C290="B02",1020,IF(C290="B05",2400,IF(C290="B03",4260,IF(C290="B04",2880,IF(C290="B20",1260,0)))))))</f>
        <v/>
      </c>
      <c r="F290" s="8" t="str">
        <f>IF(IF(D290&lt;&gt;D289,1,IF(OR(B290&lt;&gt;B289,A290-A289&gt;$U$1),1,""))&lt;&gt;1,"",IF(C290="B01",1,IF(C290="B05",1,IF(C290="B03",1,IF(C290="B04",1,IF(C290="B20",1,IF(C290="B02",1,0)))))))</f>
        <v/>
      </c>
      <c r="G290"/>
      <c r="H290" s="2"/>
      <c r="I290" s="2"/>
      <c r="L290"/>
      <c r="R290"/>
      <c r="S290" s="5"/>
      <c r="U290" s="5"/>
    </row>
    <row r="291" spans="1:21">
      <c r="A291" s="3">
        <v>45652.582754629628</v>
      </c>
      <c r="B291" s="2" t="s">
        <v>26</v>
      </c>
      <c r="C291" s="2" t="s">
        <v>11</v>
      </c>
      <c r="D291" s="6" t="str">
        <f>CONCATENATE(YEAR(A291),"/",IF(MONTH(A291)&lt;10,CONCATENATE("0",MONTH(A291)),MONTH(A291)))</f>
        <v>2024/12</v>
      </c>
      <c r="E291" s="8" t="str">
        <f>IF(IF(D291&lt;&gt;D290,1,IF(OR(B291&lt;&gt;B290,A291-A290&gt;$U$1),1,""))&lt;&gt;1,"",IF(C291="B01",1965,IF(C291="B02",1020,IF(C291="B05",2400,IF(C291="B03",4260,IF(C291="B04",2880,IF(C291="B20",1260,0)))))))</f>
        <v/>
      </c>
      <c r="F291" s="8" t="str">
        <f>IF(IF(D291&lt;&gt;D290,1,IF(OR(B291&lt;&gt;B290,A291-A290&gt;$U$1),1,""))&lt;&gt;1,"",IF(C291="B01",1,IF(C291="B05",1,IF(C291="B03",1,IF(C291="B04",1,IF(C291="B20",1,IF(C291="B02",1,0)))))))</f>
        <v/>
      </c>
      <c r="G291"/>
      <c r="H291" s="2"/>
      <c r="I291" s="2"/>
      <c r="L291"/>
      <c r="R291"/>
      <c r="S291" s="5"/>
      <c r="U291" s="5"/>
    </row>
    <row r="292" spans="1:21">
      <c r="A292" s="3">
        <v>45652.582754629628</v>
      </c>
      <c r="B292" s="2" t="s">
        <v>26</v>
      </c>
      <c r="C292" s="2" t="s">
        <v>11</v>
      </c>
      <c r="D292" s="6" t="str">
        <f>CONCATENATE(YEAR(A292),"/",IF(MONTH(A292)&lt;10,CONCATENATE("0",MONTH(A292)),MONTH(A292)))</f>
        <v>2024/12</v>
      </c>
      <c r="E292" s="8" t="str">
        <f>IF(IF(D292&lt;&gt;D291,1,IF(OR(B292&lt;&gt;B291,A292-A291&gt;$U$1),1,""))&lt;&gt;1,"",IF(C292="B01",1965,IF(C292="B02",1020,IF(C292="B05",2400,IF(C292="B03",4260,IF(C292="B04",2880,IF(C292="B20",1260,0)))))))</f>
        <v/>
      </c>
      <c r="F292" s="8" t="str">
        <f>IF(IF(D292&lt;&gt;D291,1,IF(OR(B292&lt;&gt;B291,A292-A291&gt;$U$1),1,""))&lt;&gt;1,"",IF(C292="B01",1,IF(C292="B05",1,IF(C292="B03",1,IF(C292="B04",1,IF(C292="B20",1,IF(C292="B02",1,0)))))))</f>
        <v/>
      </c>
      <c r="G292"/>
      <c r="H292" s="2"/>
      <c r="I292" s="2"/>
      <c r="L292"/>
      <c r="R292"/>
      <c r="S292" s="5"/>
      <c r="U292" s="5"/>
    </row>
    <row r="293" spans="1:21">
      <c r="A293" s="3">
        <v>45652.940625000003</v>
      </c>
      <c r="B293" s="2" t="s">
        <v>26</v>
      </c>
      <c r="C293" s="2" t="s">
        <v>11</v>
      </c>
      <c r="D293" s="6" t="str">
        <f>CONCATENATE(YEAR(A293),"/",IF(MONTH(A293)&lt;10,CONCATENATE("0",MONTH(A293)),MONTH(A293)))</f>
        <v>2024/12</v>
      </c>
      <c r="E293" s="8">
        <f>IF(IF(D293&lt;&gt;D292,1,IF(OR(B293&lt;&gt;B292,A293-A292&gt;$U$1),1,""))&lt;&gt;1,"",IF(C293="B01",1965,IF(C293="B02",1020,IF(C293="B05",2400,IF(C293="B03",4260,IF(C293="B04",2880,IF(C293="B20",1260,0)))))))</f>
        <v>2400</v>
      </c>
      <c r="F293" s="8">
        <f>IF(IF(D293&lt;&gt;D292,1,IF(OR(B293&lt;&gt;B292,A293-A292&gt;$U$1),1,""))&lt;&gt;1,"",IF(C293="B01",1,IF(C293="B05",1,IF(C293="B03",1,IF(C293="B04",1,IF(C293="B20",1,IF(C293="B02",1,0)))))))</f>
        <v>1</v>
      </c>
      <c r="G293"/>
      <c r="H293" s="2"/>
      <c r="I293" s="2"/>
      <c r="L293"/>
      <c r="R293"/>
      <c r="S293" s="5"/>
      <c r="U293" s="5"/>
    </row>
    <row r="294" spans="1:21">
      <c r="A294" s="3">
        <v>45652.940625000003</v>
      </c>
      <c r="B294" s="2" t="s">
        <v>26</v>
      </c>
      <c r="C294" s="2" t="s">
        <v>11</v>
      </c>
      <c r="D294" s="6" t="str">
        <f>CONCATENATE(YEAR(A294),"/",IF(MONTH(A294)&lt;10,CONCATENATE("0",MONTH(A294)),MONTH(A294)))</f>
        <v>2024/12</v>
      </c>
      <c r="E294" s="8" t="str">
        <f>IF(IF(D294&lt;&gt;D293,1,IF(OR(B294&lt;&gt;B293,A294-A293&gt;$U$1),1,""))&lt;&gt;1,"",IF(C294="B01",1965,IF(C294="B02",1020,IF(C294="B05",2400,IF(C294="B03",4260,IF(C294="B04",2880,IF(C294="B20",1260,0)))))))</f>
        <v/>
      </c>
      <c r="F294" s="8" t="str">
        <f>IF(IF(D294&lt;&gt;D293,1,IF(OR(B294&lt;&gt;B293,A294-A293&gt;$U$1),1,""))&lt;&gt;1,"",IF(C294="B01",1,IF(C294="B05",1,IF(C294="B03",1,IF(C294="B04",1,IF(C294="B20",1,IF(C294="B02",1,0)))))))</f>
        <v/>
      </c>
      <c r="G294"/>
      <c r="H294" s="2"/>
      <c r="I294" s="2"/>
      <c r="L294"/>
      <c r="R294"/>
      <c r="S294" s="5"/>
      <c r="U294" s="5"/>
    </row>
    <row r="295" spans="1:21">
      <c r="A295" s="3">
        <v>45653.070798611108</v>
      </c>
      <c r="B295" s="2" t="s">
        <v>26</v>
      </c>
      <c r="C295" s="2" t="s">
        <v>12</v>
      </c>
      <c r="D295" s="6" t="str">
        <f>CONCATENATE(YEAR(A295),"/",IF(MONTH(A295)&lt;10,CONCATENATE("0",MONTH(A295)),MONTH(A295)))</f>
        <v>2024/12</v>
      </c>
      <c r="E295" s="8">
        <f>IF(IF(D295&lt;&gt;D294,1,IF(OR(B295&lt;&gt;B294,A295-A294&gt;$U$1),1,""))&lt;&gt;1,"",IF(C295="B01",1965,IF(C295="B02",1020,IF(C295="B05",2400,IF(C295="B03",4260,IF(C295="B04",2880,IF(C295="B20",1260,0)))))))</f>
        <v>4260</v>
      </c>
      <c r="F295" s="8">
        <f>IF(IF(D295&lt;&gt;D294,1,IF(OR(B295&lt;&gt;B294,A295-A294&gt;$U$1),1,""))&lt;&gt;1,"",IF(C295="B01",1,IF(C295="B05",1,IF(C295="B03",1,IF(C295="B04",1,IF(C295="B20",1,IF(C295="B02",1,0)))))))</f>
        <v>1</v>
      </c>
      <c r="G295"/>
      <c r="H295" s="2"/>
      <c r="I295" s="2"/>
      <c r="L295"/>
      <c r="R295"/>
      <c r="S295" s="5"/>
      <c r="U295" s="5"/>
    </row>
    <row r="296" spans="1:21">
      <c r="A296" s="3">
        <v>45653.070798611108</v>
      </c>
      <c r="B296" s="2" t="s">
        <v>26</v>
      </c>
      <c r="C296" s="2" t="s">
        <v>12</v>
      </c>
      <c r="D296" s="6" t="str">
        <f>CONCATENATE(YEAR(A296),"/",IF(MONTH(A296)&lt;10,CONCATENATE("0",MONTH(A296)),MONTH(A296)))</f>
        <v>2024/12</v>
      </c>
      <c r="E296" s="8" t="str">
        <f>IF(IF(D296&lt;&gt;D295,1,IF(OR(B296&lt;&gt;B295,A296-A295&gt;$U$1),1,""))&lt;&gt;1,"",IF(C296="B01",1965,IF(C296="B02",1020,IF(C296="B05",2400,IF(C296="B03",4260,IF(C296="B04",2880,IF(C296="B20",1260,0)))))))</f>
        <v/>
      </c>
      <c r="F296" s="8" t="str">
        <f>IF(IF(D296&lt;&gt;D295,1,IF(OR(B296&lt;&gt;B295,A296-A295&gt;$U$1),1,""))&lt;&gt;1,"",IF(C296="B01",1,IF(C296="B05",1,IF(C296="B03",1,IF(C296="B04",1,IF(C296="B20",1,IF(C296="B02",1,0)))))))</f>
        <v/>
      </c>
      <c r="G296"/>
      <c r="H296" s="2"/>
      <c r="I296" s="2"/>
      <c r="L296"/>
      <c r="R296"/>
      <c r="S296" s="5"/>
      <c r="U296" s="5"/>
    </row>
    <row r="297" spans="1:21">
      <c r="A297" s="3">
        <v>45653.400231481479</v>
      </c>
      <c r="B297" s="2" t="s">
        <v>26</v>
      </c>
      <c r="C297" s="2" t="s">
        <v>12</v>
      </c>
      <c r="D297" s="6" t="str">
        <f>CONCATENATE(YEAR(A297),"/",IF(MONTH(A297)&lt;10,CONCATENATE("0",MONTH(A297)),MONTH(A297)))</f>
        <v>2024/12</v>
      </c>
      <c r="E297" s="8">
        <f>IF(IF(D297&lt;&gt;D296,1,IF(OR(B297&lt;&gt;B296,A297-A296&gt;$U$1),1,""))&lt;&gt;1,"",IF(C297="B01",1965,IF(C297="B02",1020,IF(C297="B05",2400,IF(C297="B03",4260,IF(C297="B04",2880,IF(C297="B20",1260,0)))))))</f>
        <v>4260</v>
      </c>
      <c r="F297" s="8">
        <f>IF(IF(D297&lt;&gt;D296,1,IF(OR(B297&lt;&gt;B296,A297-A296&gt;$U$1),1,""))&lt;&gt;1,"",IF(C297="B01",1,IF(C297="B05",1,IF(C297="B03",1,IF(C297="B04",1,IF(C297="B20",1,IF(C297="B02",1,0)))))))</f>
        <v>1</v>
      </c>
      <c r="G297"/>
      <c r="H297" s="2"/>
      <c r="I297" s="2"/>
      <c r="L297"/>
      <c r="R297"/>
      <c r="S297" s="5"/>
      <c r="U297" s="5"/>
    </row>
    <row r="298" spans="1:21">
      <c r="A298" s="3">
        <v>45653.400231481479</v>
      </c>
      <c r="B298" s="2" t="s">
        <v>26</v>
      </c>
      <c r="C298" s="2" t="s">
        <v>12</v>
      </c>
      <c r="D298" s="6" t="str">
        <f>CONCATENATE(YEAR(A298),"/",IF(MONTH(A298)&lt;10,CONCATENATE("0",MONTH(A298)),MONTH(A298)))</f>
        <v>2024/12</v>
      </c>
      <c r="E298" s="8" t="str">
        <f>IF(IF(D298&lt;&gt;D297,1,IF(OR(B298&lt;&gt;B297,A298-A297&gt;$U$1),1,""))&lt;&gt;1,"",IF(C298="B01",1965,IF(C298="B02",1020,IF(C298="B05",2400,IF(C298="B03",4260,IF(C298="B04",2880,IF(C298="B20",1260,0)))))))</f>
        <v/>
      </c>
      <c r="F298" s="8" t="str">
        <f>IF(IF(D298&lt;&gt;D297,1,IF(OR(B298&lt;&gt;B297,A298-A297&gt;$U$1),1,""))&lt;&gt;1,"",IF(C298="B01",1,IF(C298="B05",1,IF(C298="B03",1,IF(C298="B04",1,IF(C298="B20",1,IF(C298="B02",1,0)))))))</f>
        <v/>
      </c>
      <c r="G298"/>
      <c r="H298" s="2"/>
      <c r="I298" s="2"/>
      <c r="L298"/>
      <c r="R298"/>
      <c r="S298" s="5"/>
      <c r="U298" s="5"/>
    </row>
    <row r="299" spans="1:21">
      <c r="A299" s="3">
        <v>45653.400231481479</v>
      </c>
      <c r="B299" s="2" t="s">
        <v>26</v>
      </c>
      <c r="C299" s="2" t="s">
        <v>12</v>
      </c>
      <c r="D299" s="6" t="str">
        <f>CONCATENATE(YEAR(A299),"/",IF(MONTH(A299)&lt;10,CONCATENATE("0",MONTH(A299)),MONTH(A299)))</f>
        <v>2024/12</v>
      </c>
      <c r="E299" s="8" t="str">
        <f>IF(IF(D299&lt;&gt;D298,1,IF(OR(B299&lt;&gt;B298,A299-A298&gt;$U$1),1,""))&lt;&gt;1,"",IF(C299="B01",1965,IF(C299="B02",1020,IF(C299="B05",2400,IF(C299="B03",4260,IF(C299="B04",2880,IF(C299="B20",1260,0)))))))</f>
        <v/>
      </c>
      <c r="F299" s="8" t="str">
        <f>IF(IF(D299&lt;&gt;D298,1,IF(OR(B299&lt;&gt;B298,A299-A298&gt;$U$1),1,""))&lt;&gt;1,"",IF(C299="B01",1,IF(C299="B05",1,IF(C299="B03",1,IF(C299="B04",1,IF(C299="B20",1,IF(C299="B02",1,0)))))))</f>
        <v/>
      </c>
      <c r="G299"/>
      <c r="H299" s="2"/>
      <c r="I299" s="2"/>
      <c r="L299"/>
      <c r="R299"/>
      <c r="S299" s="5"/>
      <c r="U299" s="5"/>
    </row>
    <row r="300" spans="1:21">
      <c r="A300" s="3">
        <v>45653.403020833335</v>
      </c>
      <c r="B300" s="2" t="s">
        <v>26</v>
      </c>
      <c r="C300" s="2" t="s">
        <v>12</v>
      </c>
      <c r="D300" s="6" t="str">
        <f>CONCATENATE(YEAR(A300),"/",IF(MONTH(A300)&lt;10,CONCATENATE("0",MONTH(A300)),MONTH(A300)))</f>
        <v>2024/12</v>
      </c>
      <c r="E300" s="8" t="str">
        <f>IF(IF(D300&lt;&gt;D299,1,IF(OR(B300&lt;&gt;B299,A300-A299&gt;$U$1),1,""))&lt;&gt;1,"",IF(C300="B01",1965,IF(C300="B02",1020,IF(C300="B05",2400,IF(C300="B03",4260,IF(C300="B04",2880,IF(C300="B20",1260,0)))))))</f>
        <v/>
      </c>
      <c r="F300" s="8" t="str">
        <f>IF(IF(D300&lt;&gt;D299,1,IF(OR(B300&lt;&gt;B299,A300-A299&gt;$U$1),1,""))&lt;&gt;1,"",IF(C300="B01",1,IF(C300="B05",1,IF(C300="B03",1,IF(C300="B04",1,IF(C300="B20",1,IF(C300="B02",1,0)))))))</f>
        <v/>
      </c>
      <c r="G300"/>
      <c r="H300" s="2"/>
      <c r="I300" s="2"/>
      <c r="L300"/>
      <c r="R300"/>
      <c r="S300" s="5"/>
      <c r="U300" s="5"/>
    </row>
    <row r="301" spans="1:21">
      <c r="A301" s="3">
        <v>45653.551944444444</v>
      </c>
      <c r="B301" s="2" t="s">
        <v>26</v>
      </c>
      <c r="C301" s="2" t="s">
        <v>12</v>
      </c>
      <c r="D301" s="6" t="str">
        <f>CONCATENATE(YEAR(A301),"/",IF(MONTH(A301)&lt;10,CONCATENATE("0",MONTH(A301)),MONTH(A301)))</f>
        <v>2024/12</v>
      </c>
      <c r="E301" s="8">
        <f>IF(IF(D301&lt;&gt;D300,1,IF(OR(B301&lt;&gt;B300,A301-A300&gt;$U$1),1,""))&lt;&gt;1,"",IF(C301="B01",1965,IF(C301="B02",1020,IF(C301="B05",2400,IF(C301="B03",4260,IF(C301="B04",2880,IF(C301="B20",1260,0)))))))</f>
        <v>4260</v>
      </c>
      <c r="F301" s="8">
        <f>IF(IF(D301&lt;&gt;D300,1,IF(OR(B301&lt;&gt;B300,A301-A300&gt;$U$1),1,""))&lt;&gt;1,"",IF(C301="B01",1,IF(C301="B05",1,IF(C301="B03",1,IF(C301="B04",1,IF(C301="B20",1,IF(C301="B02",1,0)))))))</f>
        <v>1</v>
      </c>
      <c r="G301"/>
      <c r="H301" s="2"/>
      <c r="I301" s="2"/>
      <c r="L301"/>
      <c r="R301"/>
      <c r="S301" s="5"/>
      <c r="U301" s="5"/>
    </row>
    <row r="302" spans="1:21">
      <c r="A302" s="3">
        <v>45653.551944444444</v>
      </c>
      <c r="B302" s="2" t="s">
        <v>26</v>
      </c>
      <c r="C302" s="2" t="s">
        <v>12</v>
      </c>
      <c r="D302" s="6" t="str">
        <f>CONCATENATE(YEAR(A302),"/",IF(MONTH(A302)&lt;10,CONCATENATE("0",MONTH(A302)),MONTH(A302)))</f>
        <v>2024/12</v>
      </c>
      <c r="E302" s="8" t="str">
        <f>IF(IF(D302&lt;&gt;D301,1,IF(OR(B302&lt;&gt;B301,A302-A301&gt;$U$1),1,""))&lt;&gt;1,"",IF(C302="B01",1965,IF(C302="B02",1020,IF(C302="B05",2400,IF(C302="B03",4260,IF(C302="B04",2880,IF(C302="B20",1260,0)))))))</f>
        <v/>
      </c>
      <c r="F302" s="8" t="str">
        <f>IF(IF(D302&lt;&gt;D301,1,IF(OR(B302&lt;&gt;B301,A302-A301&gt;$U$1),1,""))&lt;&gt;1,"",IF(C302="B01",1,IF(C302="B05",1,IF(C302="B03",1,IF(C302="B04",1,IF(C302="B20",1,IF(C302="B02",1,0)))))))</f>
        <v/>
      </c>
      <c r="G302"/>
      <c r="H302" s="2"/>
      <c r="I302" s="2"/>
      <c r="L302"/>
      <c r="R302"/>
      <c r="S302" s="5"/>
      <c r="U302" s="5"/>
    </row>
    <row r="303" spans="1:21">
      <c r="A303" s="3">
        <v>45653.75104166667</v>
      </c>
      <c r="B303" s="2" t="s">
        <v>26</v>
      </c>
      <c r="C303" s="2" t="s">
        <v>11</v>
      </c>
      <c r="D303" s="6" t="str">
        <f>CONCATENATE(YEAR(A303),"/",IF(MONTH(A303)&lt;10,CONCATENATE("0",MONTH(A303)),MONTH(A303)))</f>
        <v>2024/12</v>
      </c>
      <c r="E303" s="8">
        <f>IF(IF(D303&lt;&gt;D302,1,IF(OR(B303&lt;&gt;B302,A303-A302&gt;$U$1),1,""))&lt;&gt;1,"",IF(C303="B01",1965,IF(C303="B02",1020,IF(C303="B05",2400,IF(C303="B03",4260,IF(C303="B04",2880,IF(C303="B20",1260,0)))))))</f>
        <v>2400</v>
      </c>
      <c r="F303" s="8">
        <f>IF(IF(D303&lt;&gt;D302,1,IF(OR(B303&lt;&gt;B302,A303-A302&gt;$U$1),1,""))&lt;&gt;1,"",IF(C303="B01",1,IF(C303="B05",1,IF(C303="B03",1,IF(C303="B04",1,IF(C303="B20",1,IF(C303="B02",1,0)))))))</f>
        <v>1</v>
      </c>
      <c r="G303"/>
      <c r="H303" s="2"/>
      <c r="I303" s="2"/>
      <c r="L303"/>
      <c r="R303"/>
      <c r="S303" s="5"/>
      <c r="U303" s="5"/>
    </row>
    <row r="304" spans="1:21">
      <c r="A304" s="3">
        <v>45653.75104166667</v>
      </c>
      <c r="B304" s="2" t="s">
        <v>26</v>
      </c>
      <c r="C304" s="2" t="s">
        <v>11</v>
      </c>
      <c r="D304" s="6" t="str">
        <f>CONCATENATE(YEAR(A304),"/",IF(MONTH(A304)&lt;10,CONCATENATE("0",MONTH(A304)),MONTH(A304)))</f>
        <v>2024/12</v>
      </c>
      <c r="E304" s="8" t="str">
        <f>IF(IF(D304&lt;&gt;D303,1,IF(OR(B304&lt;&gt;B303,A304-A303&gt;$U$1),1,""))&lt;&gt;1,"",IF(C304="B01",1965,IF(C304="B02",1020,IF(C304="B05",2400,IF(C304="B03",4260,IF(C304="B04",2880,IF(C304="B20",1260,0)))))))</f>
        <v/>
      </c>
      <c r="F304" s="8" t="str">
        <f>IF(IF(D304&lt;&gt;D303,1,IF(OR(B304&lt;&gt;B303,A304-A303&gt;$U$1),1,""))&lt;&gt;1,"",IF(C304="B01",1,IF(C304="B05",1,IF(C304="B03",1,IF(C304="B04",1,IF(C304="B20",1,IF(C304="B02",1,0)))))))</f>
        <v/>
      </c>
      <c r="G304"/>
      <c r="H304" s="2"/>
      <c r="I304" s="2"/>
      <c r="L304"/>
      <c r="R304"/>
      <c r="S304" s="5"/>
      <c r="U304" s="5"/>
    </row>
    <row r="305" spans="1:21">
      <c r="A305" s="3">
        <v>45653.75104166667</v>
      </c>
      <c r="B305" s="2" t="s">
        <v>26</v>
      </c>
      <c r="C305" s="2" t="s">
        <v>11</v>
      </c>
      <c r="D305" s="6" t="str">
        <f>CONCATENATE(YEAR(A305),"/",IF(MONTH(A305)&lt;10,CONCATENATE("0",MONTH(A305)),MONTH(A305)))</f>
        <v>2024/12</v>
      </c>
      <c r="E305" s="8" t="str">
        <f>IF(IF(D305&lt;&gt;D304,1,IF(OR(B305&lt;&gt;B304,A305-A304&gt;$U$1),1,""))&lt;&gt;1,"",IF(C305="B01",1965,IF(C305="B02",1020,IF(C305="B05",2400,IF(C305="B03",4260,IF(C305="B04",2880,IF(C305="B20",1260,0)))))))</f>
        <v/>
      </c>
      <c r="F305" s="8" t="str">
        <f>IF(IF(D305&lt;&gt;D304,1,IF(OR(B305&lt;&gt;B304,A305-A304&gt;$U$1),1,""))&lt;&gt;1,"",IF(C305="B01",1,IF(C305="B05",1,IF(C305="B03",1,IF(C305="B04",1,IF(C305="B20",1,IF(C305="B02",1,0)))))))</f>
        <v/>
      </c>
      <c r="G305"/>
      <c r="H305" s="2"/>
      <c r="I305" s="2"/>
      <c r="L305"/>
      <c r="R305"/>
      <c r="S305" s="5"/>
      <c r="U305" s="5"/>
    </row>
    <row r="306" spans="1:21">
      <c r="A306" s="3">
        <v>45653.869363425925</v>
      </c>
      <c r="B306" s="2" t="s">
        <v>26</v>
      </c>
      <c r="C306" s="2" t="s">
        <v>12</v>
      </c>
      <c r="D306" s="6" t="str">
        <f>CONCATENATE(YEAR(A306),"/",IF(MONTH(A306)&lt;10,CONCATENATE("0",MONTH(A306)),MONTH(A306)))</f>
        <v>2024/12</v>
      </c>
      <c r="E306" s="8">
        <f>IF(IF(D306&lt;&gt;D305,1,IF(OR(B306&lt;&gt;B305,A306-A305&gt;$U$1),1,""))&lt;&gt;1,"",IF(C306="B01",1965,IF(C306="B02",1020,IF(C306="B05",2400,IF(C306="B03",4260,IF(C306="B04",2880,IF(C306="B20",1260,0)))))))</f>
        <v>4260</v>
      </c>
      <c r="F306" s="8">
        <f>IF(IF(D306&lt;&gt;D305,1,IF(OR(B306&lt;&gt;B305,A306-A305&gt;$U$1),1,""))&lt;&gt;1,"",IF(C306="B01",1,IF(C306="B05",1,IF(C306="B03",1,IF(C306="B04",1,IF(C306="B20",1,IF(C306="B02",1,0)))))))</f>
        <v>1</v>
      </c>
      <c r="G306"/>
      <c r="H306" s="2"/>
      <c r="I306" s="2"/>
      <c r="L306"/>
      <c r="R306"/>
      <c r="S306" s="5"/>
      <c r="U306" s="5"/>
    </row>
    <row r="307" spans="1:21">
      <c r="A307" s="3">
        <v>45653.995625000003</v>
      </c>
      <c r="B307" s="2" t="s">
        <v>26</v>
      </c>
      <c r="C307" s="2" t="s">
        <v>12</v>
      </c>
      <c r="D307" s="6" t="str">
        <f>CONCATENATE(YEAR(A307),"/",IF(MONTH(A307)&lt;10,CONCATENATE("0",MONTH(A307)),MONTH(A307)))</f>
        <v>2024/12</v>
      </c>
      <c r="E307" s="8">
        <f>IF(IF(D307&lt;&gt;D306,1,IF(OR(B307&lt;&gt;B306,A307-A306&gt;$U$1),1,""))&lt;&gt;1,"",IF(C307="B01",1965,IF(C307="B02",1020,IF(C307="B05",2400,IF(C307="B03",4260,IF(C307="B04",2880,IF(C307="B20",1260,0)))))))</f>
        <v>4260</v>
      </c>
      <c r="F307" s="8">
        <f>IF(IF(D307&lt;&gt;D306,1,IF(OR(B307&lt;&gt;B306,A307-A306&gt;$U$1),1,""))&lt;&gt;1,"",IF(C307="B01",1,IF(C307="B05",1,IF(C307="B03",1,IF(C307="B04",1,IF(C307="B20",1,IF(C307="B02",1,0)))))))</f>
        <v>1</v>
      </c>
      <c r="G307"/>
      <c r="H307" s="2"/>
      <c r="I307" s="2"/>
      <c r="L307"/>
      <c r="R307"/>
      <c r="S307" s="5"/>
      <c r="U307" s="5"/>
    </row>
    <row r="308" spans="1:21">
      <c r="A308" s="3">
        <v>45653.995625000003</v>
      </c>
      <c r="B308" s="2" t="s">
        <v>26</v>
      </c>
      <c r="C308" s="2" t="s">
        <v>12</v>
      </c>
      <c r="D308" s="6" t="str">
        <f>CONCATENATE(YEAR(A308),"/",IF(MONTH(A308)&lt;10,CONCATENATE("0",MONTH(A308)),MONTH(A308)))</f>
        <v>2024/12</v>
      </c>
      <c r="E308" s="8" t="str">
        <f>IF(IF(D308&lt;&gt;D307,1,IF(OR(B308&lt;&gt;B307,A308-A307&gt;$U$1),1,""))&lt;&gt;1,"",IF(C308="B01",1965,IF(C308="B02",1020,IF(C308="B05",2400,IF(C308="B03",4260,IF(C308="B04",2880,IF(C308="B20",1260,0)))))))</f>
        <v/>
      </c>
      <c r="F308" s="8" t="str">
        <f>IF(IF(D308&lt;&gt;D307,1,IF(OR(B308&lt;&gt;B307,A308-A307&gt;$U$1),1,""))&lt;&gt;1,"",IF(C308="B01",1,IF(C308="B05",1,IF(C308="B03",1,IF(C308="B04",1,IF(C308="B20",1,IF(C308="B02",1,0)))))))</f>
        <v/>
      </c>
      <c r="G308"/>
      <c r="H308" s="2"/>
      <c r="I308" s="2"/>
      <c r="L308"/>
      <c r="R308"/>
      <c r="S308" s="5"/>
      <c r="U308" s="5"/>
    </row>
    <row r="309" spans="1:21">
      <c r="A309" s="3">
        <v>45654.136956018519</v>
      </c>
      <c r="B309" s="2" t="s">
        <v>26</v>
      </c>
      <c r="C309" s="2" t="s">
        <v>11</v>
      </c>
      <c r="D309" s="6" t="str">
        <f>CONCATENATE(YEAR(A309),"/",IF(MONTH(A309)&lt;10,CONCATENATE("0",MONTH(A309)),MONTH(A309)))</f>
        <v>2024/12</v>
      </c>
      <c r="E309" s="8">
        <f>IF(IF(D309&lt;&gt;D308,1,IF(OR(B309&lt;&gt;B308,A309-A308&gt;$U$1),1,""))&lt;&gt;1,"",IF(C309="B01",1965,IF(C309="B02",1020,IF(C309="B05",2400,IF(C309="B03",4260,IF(C309="B04",2880,IF(C309="B20",1260,0)))))))</f>
        <v>2400</v>
      </c>
      <c r="F309" s="8">
        <f>IF(IF(D309&lt;&gt;D308,1,IF(OR(B309&lt;&gt;B308,A309-A308&gt;$U$1),1,""))&lt;&gt;1,"",IF(C309="B01",1,IF(C309="B05",1,IF(C309="B03",1,IF(C309="B04",1,IF(C309="B20",1,IF(C309="B02",1,0)))))))</f>
        <v>1</v>
      </c>
      <c r="G309"/>
      <c r="H309" s="2"/>
      <c r="I309" s="2"/>
      <c r="L309"/>
      <c r="R309"/>
      <c r="S309" s="5"/>
      <c r="U309" s="5"/>
    </row>
    <row r="310" spans="1:21">
      <c r="A310" s="3">
        <v>45654.136956018519</v>
      </c>
      <c r="B310" s="2" t="s">
        <v>26</v>
      </c>
      <c r="C310" s="2" t="s">
        <v>11</v>
      </c>
      <c r="D310" s="6" t="str">
        <f>CONCATENATE(YEAR(A310),"/",IF(MONTH(A310)&lt;10,CONCATENATE("0",MONTH(A310)),MONTH(A310)))</f>
        <v>2024/12</v>
      </c>
      <c r="E310" s="8" t="str">
        <f>IF(IF(D310&lt;&gt;D309,1,IF(OR(B310&lt;&gt;B309,A310-A309&gt;$U$1),1,""))&lt;&gt;1,"",IF(C310="B01",1965,IF(C310="B02",1020,IF(C310="B05",2400,IF(C310="B03",4260,IF(C310="B04",2880,IF(C310="B20",1260,0)))))))</f>
        <v/>
      </c>
      <c r="F310" s="8" t="str">
        <f>IF(IF(D310&lt;&gt;D309,1,IF(OR(B310&lt;&gt;B309,A310-A309&gt;$U$1),1,""))&lt;&gt;1,"",IF(C310="B01",1,IF(C310="B05",1,IF(C310="B03",1,IF(C310="B04",1,IF(C310="B20",1,IF(C310="B02",1,0)))))))</f>
        <v/>
      </c>
      <c r="G310"/>
      <c r="H310" s="2"/>
      <c r="I310" s="2"/>
      <c r="L310"/>
      <c r="R310"/>
      <c r="S310" s="5"/>
      <c r="U310" s="5"/>
    </row>
    <row r="311" spans="1:21">
      <c r="A311" s="3">
        <v>45654.278379629628</v>
      </c>
      <c r="B311" s="2" t="s">
        <v>26</v>
      </c>
      <c r="C311" s="2" t="s">
        <v>11</v>
      </c>
      <c r="D311" s="6" t="str">
        <f>CONCATENATE(YEAR(A311),"/",IF(MONTH(A311)&lt;10,CONCATENATE("0",MONTH(A311)),MONTH(A311)))</f>
        <v>2024/12</v>
      </c>
      <c r="E311" s="8">
        <f>IF(IF(D311&lt;&gt;D310,1,IF(OR(B311&lt;&gt;B310,A311-A310&gt;$U$1),1,""))&lt;&gt;1,"",IF(C311="B01",1965,IF(C311="B02",1020,IF(C311="B05",2400,IF(C311="B03",4260,IF(C311="B04",2880,IF(C311="B20",1260,0)))))))</f>
        <v>2400</v>
      </c>
      <c r="F311" s="8">
        <f>IF(IF(D311&lt;&gt;D310,1,IF(OR(B311&lt;&gt;B310,A311-A310&gt;$U$1),1,""))&lt;&gt;1,"",IF(C311="B01",1,IF(C311="B05",1,IF(C311="B03",1,IF(C311="B04",1,IF(C311="B20",1,IF(C311="B02",1,0)))))))</f>
        <v>1</v>
      </c>
      <c r="G311"/>
      <c r="H311" s="2"/>
      <c r="I311" s="2"/>
      <c r="L311"/>
      <c r="R311"/>
      <c r="S311" s="5"/>
      <c r="U311" s="5"/>
    </row>
    <row r="312" spans="1:21">
      <c r="A312" s="3">
        <v>45654.395648148151</v>
      </c>
      <c r="B312" s="2" t="s">
        <v>26</v>
      </c>
      <c r="C312" s="2" t="s">
        <v>11</v>
      </c>
      <c r="D312" s="6" t="str">
        <f>CONCATENATE(YEAR(A312),"/",IF(MONTH(A312)&lt;10,CONCATENATE("0",MONTH(A312)),MONTH(A312)))</f>
        <v>2024/12</v>
      </c>
      <c r="E312" s="8">
        <f>IF(IF(D312&lt;&gt;D311,1,IF(OR(B312&lt;&gt;B311,A312-A311&gt;$U$1),1,""))&lt;&gt;1,"",IF(C312="B01",1965,IF(C312="B02",1020,IF(C312="B05",2400,IF(C312="B03",4260,IF(C312="B04",2880,IF(C312="B20",1260,0)))))))</f>
        <v>2400</v>
      </c>
      <c r="F312" s="8">
        <f>IF(IF(D312&lt;&gt;D311,1,IF(OR(B312&lt;&gt;B311,A312-A311&gt;$U$1),1,""))&lt;&gt;1,"",IF(C312="B01",1,IF(C312="B05",1,IF(C312="B03",1,IF(C312="B04",1,IF(C312="B20",1,IF(C312="B02",1,0)))))))</f>
        <v>1</v>
      </c>
      <c r="G312"/>
      <c r="H312" s="2"/>
      <c r="I312" s="2"/>
      <c r="L312"/>
      <c r="R312"/>
      <c r="S312" s="5"/>
      <c r="U312" s="5"/>
    </row>
    <row r="313" spans="1:21">
      <c r="A313" s="3">
        <v>45654.395648148151</v>
      </c>
      <c r="B313" s="2" t="s">
        <v>26</v>
      </c>
      <c r="C313" s="2" t="s">
        <v>11</v>
      </c>
      <c r="D313" s="6" t="str">
        <f>CONCATENATE(YEAR(A313),"/",IF(MONTH(A313)&lt;10,CONCATENATE("0",MONTH(A313)),MONTH(A313)))</f>
        <v>2024/12</v>
      </c>
      <c r="E313" s="8" t="str">
        <f>IF(IF(D313&lt;&gt;D312,1,IF(OR(B313&lt;&gt;B312,A313-A312&gt;$U$1),1,""))&lt;&gt;1,"",IF(C313="B01",1965,IF(C313="B02",1020,IF(C313="B05",2400,IF(C313="B03",4260,IF(C313="B04",2880,IF(C313="B20",1260,0)))))))</f>
        <v/>
      </c>
      <c r="F313" s="8" t="str">
        <f>IF(IF(D313&lt;&gt;D312,1,IF(OR(B313&lt;&gt;B312,A313-A312&gt;$U$1),1,""))&lt;&gt;1,"",IF(C313="B01",1,IF(C313="B05",1,IF(C313="B03",1,IF(C313="B04",1,IF(C313="B20",1,IF(C313="B02",1,0)))))))</f>
        <v/>
      </c>
      <c r="G313"/>
      <c r="H313" s="2"/>
      <c r="I313" s="2"/>
      <c r="L313"/>
      <c r="R313"/>
      <c r="S313" s="5"/>
      <c r="U313" s="5"/>
    </row>
    <row r="314" spans="1:21">
      <c r="A314" s="3">
        <v>45654.395648148151</v>
      </c>
      <c r="B314" s="2" t="s">
        <v>26</v>
      </c>
      <c r="C314" s="2" t="s">
        <v>11</v>
      </c>
      <c r="D314" s="6" t="str">
        <f>CONCATENATE(YEAR(A314),"/",IF(MONTH(A314)&lt;10,CONCATENATE("0",MONTH(A314)),MONTH(A314)))</f>
        <v>2024/12</v>
      </c>
      <c r="E314" s="8" t="str">
        <f>IF(IF(D314&lt;&gt;D313,1,IF(OR(B314&lt;&gt;B313,A314-A313&gt;$U$1),1,""))&lt;&gt;1,"",IF(C314="B01",1965,IF(C314="B02",1020,IF(C314="B05",2400,IF(C314="B03",4260,IF(C314="B04",2880,IF(C314="B20",1260,0)))))))</f>
        <v/>
      </c>
      <c r="F314" s="8" t="str">
        <f>IF(IF(D314&lt;&gt;D313,1,IF(OR(B314&lt;&gt;B313,A314-A313&gt;$U$1),1,""))&lt;&gt;1,"",IF(C314="B01",1,IF(C314="B05",1,IF(C314="B03",1,IF(C314="B04",1,IF(C314="B20",1,IF(C314="B02",1,0)))))))</f>
        <v/>
      </c>
      <c r="G314"/>
      <c r="H314" s="2"/>
      <c r="I314" s="2"/>
      <c r="L314"/>
      <c r="R314"/>
      <c r="S314" s="5"/>
      <c r="U314" s="5"/>
    </row>
    <row r="315" spans="1:21">
      <c r="A315" s="3">
        <v>45654.967789351853</v>
      </c>
      <c r="B315" s="2" t="s">
        <v>26</v>
      </c>
      <c r="C315" s="2" t="s">
        <v>34</v>
      </c>
      <c r="D315" s="6" t="str">
        <f>CONCATENATE(YEAR(A315),"/",IF(MONTH(A315)&lt;10,CONCATENATE("0",MONTH(A315)),MONTH(A315)))</f>
        <v>2024/12</v>
      </c>
      <c r="E315" s="8">
        <f>IF(IF(D315&lt;&gt;D314,1,IF(OR(B315&lt;&gt;B314,A315-A314&gt;$U$1),1,""))&lt;&gt;1,"",IF(C315="B01",1965,IF(C315="B02",1020,IF(C315="B05",2400,IF(C315="B03",4260,IF(C315="B04",2880,IF(C315="B20",1260,0)))))))</f>
        <v>1965</v>
      </c>
      <c r="F315" s="8">
        <f>IF(IF(D315&lt;&gt;D314,1,IF(OR(B315&lt;&gt;B314,A315-A314&gt;$U$1),1,""))&lt;&gt;1,"",IF(C315="B01",1,IF(C315="B05",1,IF(C315="B03",1,IF(C315="B04",1,IF(C315="B20",1,IF(C315="B02",1,0)))))))</f>
        <v>1</v>
      </c>
      <c r="G315"/>
      <c r="H315" s="2"/>
      <c r="I315" s="2"/>
      <c r="L315"/>
      <c r="R315"/>
      <c r="S315" s="5"/>
      <c r="U315" s="5"/>
    </row>
    <row r="316" spans="1:21">
      <c r="A316" s="3">
        <v>45655.477592592593</v>
      </c>
      <c r="B316" s="2" t="s">
        <v>26</v>
      </c>
      <c r="C316" s="2" t="s">
        <v>11</v>
      </c>
      <c r="D316" s="6" t="str">
        <f>CONCATENATE(YEAR(A316),"/",IF(MONTH(A316)&lt;10,CONCATENATE("0",MONTH(A316)),MONTH(A316)))</f>
        <v>2024/12</v>
      </c>
      <c r="E316" s="8">
        <f>IF(IF(D316&lt;&gt;D315,1,IF(OR(B316&lt;&gt;B315,A316-A315&gt;$U$1),1,""))&lt;&gt;1,"",IF(C316="B01",1965,IF(C316="B02",1020,IF(C316="B05",2400,IF(C316="B03",4260,IF(C316="B04",2880,IF(C316="B20",1260,0)))))))</f>
        <v>2400</v>
      </c>
      <c r="F316" s="8">
        <f>IF(IF(D316&lt;&gt;D315,1,IF(OR(B316&lt;&gt;B315,A316-A315&gt;$U$1),1,""))&lt;&gt;1,"",IF(C316="B01",1,IF(C316="B05",1,IF(C316="B03",1,IF(C316="B04",1,IF(C316="B20",1,IF(C316="B02",1,0)))))))</f>
        <v>1</v>
      </c>
      <c r="G316"/>
      <c r="H316" s="2"/>
      <c r="I316" s="2"/>
      <c r="L316"/>
      <c r="R316"/>
      <c r="S316" s="5"/>
      <c r="U316" s="5"/>
    </row>
    <row r="317" spans="1:21">
      <c r="A317" s="3">
        <v>45655.477592592593</v>
      </c>
      <c r="B317" s="2" t="s">
        <v>26</v>
      </c>
      <c r="C317" s="2" t="s">
        <v>11</v>
      </c>
      <c r="D317" s="6" t="str">
        <f>CONCATENATE(YEAR(A317),"/",IF(MONTH(A317)&lt;10,CONCATENATE("0",MONTH(A317)),MONTH(A317)))</f>
        <v>2024/12</v>
      </c>
      <c r="E317" s="8" t="str">
        <f>IF(IF(D317&lt;&gt;D316,1,IF(OR(B317&lt;&gt;B316,A317-A316&gt;$U$1),1,""))&lt;&gt;1,"",IF(C317="B01",1965,IF(C317="B02",1020,IF(C317="B05",2400,IF(C317="B03",4260,IF(C317="B04",2880,IF(C317="B20",1260,0)))))))</f>
        <v/>
      </c>
      <c r="F317" s="8" t="str">
        <f>IF(IF(D317&lt;&gt;D316,1,IF(OR(B317&lt;&gt;B316,A317-A316&gt;$U$1),1,""))&lt;&gt;1,"",IF(C317="B01",1,IF(C317="B05",1,IF(C317="B03",1,IF(C317="B04",1,IF(C317="B20",1,IF(C317="B02",1,0)))))))</f>
        <v/>
      </c>
      <c r="G317"/>
      <c r="H317" s="2"/>
      <c r="I317" s="2"/>
      <c r="L317"/>
      <c r="R317"/>
      <c r="S317" s="5"/>
      <c r="U317" s="5"/>
    </row>
    <row r="318" spans="1:21">
      <c r="A318" s="3">
        <v>45655.842685185184</v>
      </c>
      <c r="B318" s="2" t="s">
        <v>26</v>
      </c>
      <c r="C318" s="2" t="s">
        <v>12</v>
      </c>
      <c r="D318" s="6" t="str">
        <f>CONCATENATE(YEAR(A318),"/",IF(MONTH(A318)&lt;10,CONCATENATE("0",MONTH(A318)),MONTH(A318)))</f>
        <v>2024/12</v>
      </c>
      <c r="E318" s="8">
        <f>IF(IF(D318&lt;&gt;D317,1,IF(OR(B318&lt;&gt;B317,A318-A317&gt;$U$1),1,""))&lt;&gt;1,"",IF(C318="B01",1965,IF(C318="B02",1020,IF(C318="B05",2400,IF(C318="B03",4260,IF(C318="B04",2880,IF(C318="B20",1260,0)))))))</f>
        <v>4260</v>
      </c>
      <c r="F318" s="8">
        <f>IF(IF(D318&lt;&gt;D317,1,IF(OR(B318&lt;&gt;B317,A318-A317&gt;$U$1),1,""))&lt;&gt;1,"",IF(C318="B01",1,IF(C318="B05",1,IF(C318="B03",1,IF(C318="B04",1,IF(C318="B20",1,IF(C318="B02",1,0)))))))</f>
        <v>1</v>
      </c>
      <c r="G318"/>
      <c r="H318" s="2"/>
      <c r="I318" s="2"/>
      <c r="L318"/>
      <c r="R318"/>
      <c r="S318" s="5"/>
      <c r="U318" s="5"/>
    </row>
    <row r="319" spans="1:21">
      <c r="A319" s="3">
        <v>45655.84269675926</v>
      </c>
      <c r="B319" s="2" t="s">
        <v>26</v>
      </c>
      <c r="C319" s="2" t="s">
        <v>12</v>
      </c>
      <c r="D319" s="6" t="str">
        <f>CONCATENATE(YEAR(A319),"/",IF(MONTH(A319)&lt;10,CONCATENATE("0",MONTH(A319)),MONTH(A319)))</f>
        <v>2024/12</v>
      </c>
      <c r="E319" s="8" t="str">
        <f>IF(IF(D319&lt;&gt;D318,1,IF(OR(B319&lt;&gt;B318,A319-A318&gt;$U$1),1,""))&lt;&gt;1,"",IF(C319="B01",1965,IF(C319="B02",1020,IF(C319="B05",2400,IF(C319="B03",4260,IF(C319="B04",2880,IF(C319="B20",1260,0)))))))</f>
        <v/>
      </c>
      <c r="F319" s="8" t="str">
        <f>IF(IF(D319&lt;&gt;D318,1,IF(OR(B319&lt;&gt;B318,A319-A318&gt;$U$1),1,""))&lt;&gt;1,"",IF(C319="B01",1,IF(C319="B05",1,IF(C319="B03",1,IF(C319="B04",1,IF(C319="B20",1,IF(C319="B02",1,0)))))))</f>
        <v/>
      </c>
      <c r="G319"/>
      <c r="H319" s="2"/>
      <c r="I319" s="2"/>
      <c r="L319"/>
      <c r="R319"/>
      <c r="S319" s="5"/>
      <c r="U319" s="5"/>
    </row>
    <row r="320" spans="1:21">
      <c r="A320" s="3">
        <v>45658.026284722226</v>
      </c>
      <c r="B320" s="2" t="s">
        <v>26</v>
      </c>
      <c r="C320" s="2" t="s">
        <v>12</v>
      </c>
      <c r="D320" s="6" t="str">
        <f>CONCATENATE(YEAR(A320),"/",IF(MONTH(A320)&lt;10,CONCATENATE("0",MONTH(A320)),MONTH(A320)))</f>
        <v>2025/01</v>
      </c>
      <c r="E320" s="8">
        <f>IF(IF(D320&lt;&gt;D319,1,IF(OR(B320&lt;&gt;B319,A320-A319&gt;$U$1),1,""))&lt;&gt;1,"",IF(C320="B01",1965,IF(C320="B02",1020,IF(C320="B05",2400,IF(C320="B03",4260,IF(C320="B04",2880,IF(C320="B20",1260,0)))))))</f>
        <v>4260</v>
      </c>
      <c r="F320" s="8">
        <f>IF(IF(D320&lt;&gt;D319,1,IF(OR(B320&lt;&gt;B319,A320-A319&gt;$U$1),1,""))&lt;&gt;1,"",IF(C320="B01",1,IF(C320="B05",1,IF(C320="B03",1,IF(C320="B04",1,IF(C320="B20",1,IF(C320="B02",1,0)))))))</f>
        <v>1</v>
      </c>
      <c r="G320"/>
      <c r="H320" s="2"/>
      <c r="I320" s="2"/>
      <c r="L320"/>
      <c r="R320"/>
      <c r="S320" s="5"/>
      <c r="U320" s="5"/>
    </row>
    <row r="321" spans="1:21">
      <c r="A321" s="3">
        <v>45658.026284722226</v>
      </c>
      <c r="B321" s="2" t="s">
        <v>26</v>
      </c>
      <c r="C321" s="2" t="s">
        <v>12</v>
      </c>
      <c r="D321" s="6" t="str">
        <f>CONCATENATE(YEAR(A321),"/",IF(MONTH(A321)&lt;10,CONCATENATE("0",MONTH(A321)),MONTH(A321)))</f>
        <v>2025/01</v>
      </c>
      <c r="E321" s="8" t="str">
        <f>IF(IF(D321&lt;&gt;D320,1,IF(OR(B321&lt;&gt;B320,A321-A320&gt;$U$1),1,""))&lt;&gt;1,"",IF(C321="B01",1965,IF(C321="B02",1020,IF(C321="B05",2400,IF(C321="B03",4260,IF(C321="B04",2880,IF(C321="B20",1260,0)))))))</f>
        <v/>
      </c>
      <c r="F321" s="8" t="str">
        <f>IF(IF(D321&lt;&gt;D320,1,IF(OR(B321&lt;&gt;B320,A321-A320&gt;$U$1),1,""))&lt;&gt;1,"",IF(C321="B01",1,IF(C321="B05",1,IF(C321="B03",1,IF(C321="B04",1,IF(C321="B20",1,IF(C321="B02",1,0)))))))</f>
        <v/>
      </c>
      <c r="G321"/>
      <c r="H321" s="2"/>
      <c r="I321" s="2"/>
      <c r="L321"/>
      <c r="R321"/>
      <c r="S321" s="5"/>
      <c r="U321" s="5"/>
    </row>
    <row r="322" spans="1:21">
      <c r="A322" s="3">
        <v>45658.026284722226</v>
      </c>
      <c r="B322" s="2" t="s">
        <v>26</v>
      </c>
      <c r="C322" s="2" t="s">
        <v>12</v>
      </c>
      <c r="D322" s="6" t="str">
        <f>CONCATENATE(YEAR(A322),"/",IF(MONTH(A322)&lt;10,CONCATENATE("0",MONTH(A322)),MONTH(A322)))</f>
        <v>2025/01</v>
      </c>
      <c r="E322" s="8" t="str">
        <f>IF(IF(D322&lt;&gt;D321,1,IF(OR(B322&lt;&gt;B321,A322-A321&gt;$U$1),1,""))&lt;&gt;1,"",IF(C322="B01",1965,IF(C322="B02",1020,IF(C322="B05",2400,IF(C322="B03",4260,IF(C322="B04",2880,IF(C322="B20",1260,0)))))))</f>
        <v/>
      </c>
      <c r="F322" s="8" t="str">
        <f>IF(IF(D322&lt;&gt;D321,1,IF(OR(B322&lt;&gt;B321,A322-A321&gt;$U$1),1,""))&lt;&gt;1,"",IF(C322="B01",1,IF(C322="B05",1,IF(C322="B03",1,IF(C322="B04",1,IF(C322="B20",1,IF(C322="B02",1,0)))))))</f>
        <v/>
      </c>
      <c r="G322"/>
      <c r="H322" s="2"/>
      <c r="I322" s="2"/>
      <c r="L322"/>
      <c r="R322"/>
      <c r="S322" s="5"/>
      <c r="U322" s="5"/>
    </row>
    <row r="323" spans="1:21">
      <c r="A323" s="3">
        <v>45658.19327546296</v>
      </c>
      <c r="B323" s="2" t="s">
        <v>26</v>
      </c>
      <c r="C323" s="2" t="s">
        <v>11</v>
      </c>
      <c r="D323" s="6" t="str">
        <f>CONCATENATE(YEAR(A323),"/",IF(MONTH(A323)&lt;10,CONCATENATE("0",MONTH(A323)),MONTH(A323)))</f>
        <v>2025/01</v>
      </c>
      <c r="E323" s="8">
        <f>IF(IF(D323&lt;&gt;D322,1,IF(OR(B323&lt;&gt;B322,A323-A322&gt;$U$1),1,""))&lt;&gt;1,"",IF(C323="B01",1965,IF(C323="B02",1020,IF(C323="B05",2400,IF(C323="B03",4260,IF(C323="B04",2880,IF(C323="B20",1260,0)))))))</f>
        <v>2400</v>
      </c>
      <c r="F323" s="8">
        <f>IF(IF(D323&lt;&gt;D322,1,IF(OR(B323&lt;&gt;B322,A323-A322&gt;$U$1),1,""))&lt;&gt;1,"",IF(C323="B01",1,IF(C323="B05",1,IF(C323="B03",1,IF(C323="B04",1,IF(C323="B20",1,IF(C323="B02",1,0)))))))</f>
        <v>1</v>
      </c>
      <c r="G323"/>
      <c r="H323" s="2"/>
      <c r="I323" s="2"/>
      <c r="L323"/>
      <c r="R323"/>
      <c r="S323" s="5"/>
      <c r="U323" s="5"/>
    </row>
    <row r="324" spans="1:21">
      <c r="A324" s="3">
        <v>45658.19327546296</v>
      </c>
      <c r="B324" s="2" t="s">
        <v>26</v>
      </c>
      <c r="C324" s="2" t="s">
        <v>11</v>
      </c>
      <c r="D324" s="6" t="str">
        <f>CONCATENATE(YEAR(A324),"/",IF(MONTH(A324)&lt;10,CONCATENATE("0",MONTH(A324)),MONTH(A324)))</f>
        <v>2025/01</v>
      </c>
      <c r="E324" s="8" t="str">
        <f>IF(IF(D324&lt;&gt;D323,1,IF(OR(B324&lt;&gt;B323,A324-A323&gt;$U$1),1,""))&lt;&gt;1,"",IF(C324="B01",1965,IF(C324="B02",1020,IF(C324="B05",2400,IF(C324="B03",4260,IF(C324="B04",2880,IF(C324="B20",1260,0)))))))</f>
        <v/>
      </c>
      <c r="F324" s="8" t="str">
        <f>IF(IF(D324&lt;&gt;D323,1,IF(OR(B324&lt;&gt;B323,A324-A323&gt;$U$1),1,""))&lt;&gt;1,"",IF(C324="B01",1,IF(C324="B05",1,IF(C324="B03",1,IF(C324="B04",1,IF(C324="B20",1,IF(C324="B02",1,0)))))))</f>
        <v/>
      </c>
      <c r="G324"/>
      <c r="H324" s="2"/>
      <c r="I324" s="2"/>
      <c r="L324"/>
      <c r="R324"/>
      <c r="S324" s="5"/>
      <c r="U324" s="5"/>
    </row>
    <row r="325" spans="1:21">
      <c r="A325" s="3">
        <v>45658.19327546296</v>
      </c>
      <c r="B325" s="2" t="s">
        <v>26</v>
      </c>
      <c r="C325" s="2" t="s">
        <v>11</v>
      </c>
      <c r="D325" s="6" t="str">
        <f>CONCATENATE(YEAR(A325),"/",IF(MONTH(A325)&lt;10,CONCATENATE("0",MONTH(A325)),MONTH(A325)))</f>
        <v>2025/01</v>
      </c>
      <c r="E325" s="8" t="str">
        <f>IF(IF(D325&lt;&gt;D324,1,IF(OR(B325&lt;&gt;B324,A325-A324&gt;$U$1),1,""))&lt;&gt;1,"",IF(C325="B01",1965,IF(C325="B02",1020,IF(C325="B05",2400,IF(C325="B03",4260,IF(C325="B04",2880,IF(C325="B20",1260,0)))))))</f>
        <v/>
      </c>
      <c r="F325" s="8" t="str">
        <f>IF(IF(D325&lt;&gt;D324,1,IF(OR(B325&lt;&gt;B324,A325-A324&gt;$U$1),1,""))&lt;&gt;1,"",IF(C325="B01",1,IF(C325="B05",1,IF(C325="B03",1,IF(C325="B04",1,IF(C325="B20",1,IF(C325="B02",1,0)))))))</f>
        <v/>
      </c>
      <c r="G325"/>
      <c r="H325" s="2"/>
      <c r="I325" s="2"/>
      <c r="L325"/>
      <c r="R325"/>
      <c r="S325" s="5"/>
      <c r="U325" s="5"/>
    </row>
    <row r="326" spans="1:21">
      <c r="A326" s="3">
        <v>45658.523217592592</v>
      </c>
      <c r="B326" s="2" t="s">
        <v>26</v>
      </c>
      <c r="C326" s="2" t="s">
        <v>11</v>
      </c>
      <c r="D326" s="6" t="str">
        <f>CONCATENATE(YEAR(A326),"/",IF(MONTH(A326)&lt;10,CONCATENATE("0",MONTH(A326)),MONTH(A326)))</f>
        <v>2025/01</v>
      </c>
      <c r="E326" s="8">
        <f>IF(IF(D326&lt;&gt;D325,1,IF(OR(B326&lt;&gt;B325,A326-A325&gt;$U$1),1,""))&lt;&gt;1,"",IF(C326="B01",1965,IF(C326="B02",1020,IF(C326="B05",2400,IF(C326="B03",4260,IF(C326="B04",2880,IF(C326="B20",1260,0)))))))</f>
        <v>2400</v>
      </c>
      <c r="F326" s="8">
        <f>IF(IF(D326&lt;&gt;D325,1,IF(OR(B326&lt;&gt;B325,A326-A325&gt;$U$1),1,""))&lt;&gt;1,"",IF(C326="B01",1,IF(C326="B05",1,IF(C326="B03",1,IF(C326="B04",1,IF(C326="B20",1,IF(C326="B02",1,0)))))))</f>
        <v>1</v>
      </c>
      <c r="G326"/>
      <c r="H326" s="2"/>
      <c r="I326" s="2"/>
      <c r="L326"/>
      <c r="R326"/>
      <c r="S326" s="5"/>
      <c r="U326" s="5"/>
    </row>
    <row r="327" spans="1:21">
      <c r="A327" s="3">
        <v>45658.523217592592</v>
      </c>
      <c r="B327" s="2" t="s">
        <v>26</v>
      </c>
      <c r="C327" s="2" t="s">
        <v>11</v>
      </c>
      <c r="D327" s="6" t="str">
        <f>CONCATENATE(YEAR(A327),"/",IF(MONTH(A327)&lt;10,CONCATENATE("0",MONTH(A327)),MONTH(A327)))</f>
        <v>2025/01</v>
      </c>
      <c r="E327" s="8" t="str">
        <f>IF(IF(D327&lt;&gt;D326,1,IF(OR(B327&lt;&gt;B326,A327-A326&gt;$U$1),1,""))&lt;&gt;1,"",IF(C327="B01",1965,IF(C327="B02",1020,IF(C327="B05",2400,IF(C327="B03",4260,IF(C327="B04",2880,IF(C327="B20",1260,0)))))))</f>
        <v/>
      </c>
      <c r="F327" s="8" t="str">
        <f>IF(IF(D327&lt;&gt;D326,1,IF(OR(B327&lt;&gt;B326,A327-A326&gt;$U$1),1,""))&lt;&gt;1,"",IF(C327="B01",1,IF(C327="B05",1,IF(C327="B03",1,IF(C327="B04",1,IF(C327="B20",1,IF(C327="B02",1,0)))))))</f>
        <v/>
      </c>
      <c r="G327"/>
      <c r="H327" s="2"/>
      <c r="I327" s="2"/>
      <c r="L327"/>
      <c r="R327"/>
      <c r="S327" s="5"/>
      <c r="U327" s="5"/>
    </row>
    <row r="328" spans="1:21">
      <c r="A328" s="3">
        <v>45658.523217592592</v>
      </c>
      <c r="B328" s="2" t="s">
        <v>26</v>
      </c>
      <c r="C328" s="2" t="s">
        <v>11</v>
      </c>
      <c r="D328" s="6" t="str">
        <f>CONCATENATE(YEAR(A328),"/",IF(MONTH(A328)&lt;10,CONCATENATE("0",MONTH(A328)),MONTH(A328)))</f>
        <v>2025/01</v>
      </c>
      <c r="E328" s="8" t="str">
        <f>IF(IF(D328&lt;&gt;D327,1,IF(OR(B328&lt;&gt;B327,A328-A327&gt;$U$1),1,""))&lt;&gt;1,"",IF(C328="B01",1965,IF(C328="B02",1020,IF(C328="B05",2400,IF(C328="B03",4260,IF(C328="B04",2880,IF(C328="B20",1260,0)))))))</f>
        <v/>
      </c>
      <c r="F328" s="8" t="str">
        <f>IF(IF(D328&lt;&gt;D327,1,IF(OR(B328&lt;&gt;B327,A328-A327&gt;$U$1),1,""))&lt;&gt;1,"",IF(C328="B01",1,IF(C328="B05",1,IF(C328="B03",1,IF(C328="B04",1,IF(C328="B20",1,IF(C328="B02",1,0)))))))</f>
        <v/>
      </c>
      <c r="G328"/>
      <c r="H328" s="2"/>
      <c r="I328" s="2"/>
      <c r="L328"/>
      <c r="R328"/>
      <c r="S328" s="5"/>
      <c r="U328" s="5"/>
    </row>
    <row r="329" spans="1:21">
      <c r="A329" s="3">
        <v>45658.911400462966</v>
      </c>
      <c r="B329" s="2" t="s">
        <v>26</v>
      </c>
      <c r="C329" s="2" t="s">
        <v>12</v>
      </c>
      <c r="D329" s="6" t="str">
        <f>CONCATENATE(YEAR(A329),"/",IF(MONTH(A329)&lt;10,CONCATENATE("0",MONTH(A329)),MONTH(A329)))</f>
        <v>2025/01</v>
      </c>
      <c r="E329" s="8">
        <f>IF(IF(D329&lt;&gt;D328,1,IF(OR(B329&lt;&gt;B328,A329-A328&gt;$U$1),1,""))&lt;&gt;1,"",IF(C329="B01",1965,IF(C329="B02",1020,IF(C329="B05",2400,IF(C329="B03",4260,IF(C329="B04",2880,IF(C329="B20",1260,0)))))))</f>
        <v>4260</v>
      </c>
      <c r="F329" s="8">
        <f>IF(IF(D329&lt;&gt;D328,1,IF(OR(B329&lt;&gt;B328,A329-A328&gt;$U$1),1,""))&lt;&gt;1,"",IF(C329="B01",1,IF(C329="B05",1,IF(C329="B03",1,IF(C329="B04",1,IF(C329="B20",1,IF(C329="B02",1,0)))))))</f>
        <v>1</v>
      </c>
      <c r="G329"/>
      <c r="H329" s="2"/>
      <c r="I329" s="2"/>
      <c r="L329"/>
      <c r="R329"/>
      <c r="S329" s="5"/>
      <c r="U329" s="5"/>
    </row>
    <row r="330" spans="1:21">
      <c r="A330" s="3">
        <v>45658.911400462966</v>
      </c>
      <c r="B330" s="2" t="s">
        <v>26</v>
      </c>
      <c r="C330" s="2" t="s">
        <v>12</v>
      </c>
      <c r="D330" s="6" t="str">
        <f>CONCATENATE(YEAR(A330),"/",IF(MONTH(A330)&lt;10,CONCATENATE("0",MONTH(A330)),MONTH(A330)))</f>
        <v>2025/01</v>
      </c>
      <c r="E330" s="8" t="str">
        <f>IF(IF(D330&lt;&gt;D329,1,IF(OR(B330&lt;&gt;B329,A330-A329&gt;$U$1),1,""))&lt;&gt;1,"",IF(C330="B01",1965,IF(C330="B02",1020,IF(C330="B05",2400,IF(C330="B03",4260,IF(C330="B04",2880,IF(C330="B20",1260,0)))))))</f>
        <v/>
      </c>
      <c r="F330" s="8" t="str">
        <f>IF(IF(D330&lt;&gt;D329,1,IF(OR(B330&lt;&gt;B329,A330-A329&gt;$U$1),1,""))&lt;&gt;1,"",IF(C330="B01",1,IF(C330="B05",1,IF(C330="B03",1,IF(C330="B04",1,IF(C330="B20",1,IF(C330="B02",1,0)))))))</f>
        <v/>
      </c>
      <c r="G330"/>
      <c r="H330" s="2"/>
      <c r="I330" s="2"/>
      <c r="L330"/>
      <c r="R330"/>
      <c r="S330" s="5"/>
      <c r="U330" s="5"/>
    </row>
    <row r="331" spans="1:21">
      <c r="A331" s="3">
        <v>45659.705613425926</v>
      </c>
      <c r="B331" s="2" t="s">
        <v>26</v>
      </c>
      <c r="C331" s="2" t="s">
        <v>11</v>
      </c>
      <c r="D331" s="6" t="str">
        <f>CONCATENATE(YEAR(A331),"/",IF(MONTH(A331)&lt;10,CONCATENATE("0",MONTH(A331)),MONTH(A331)))</f>
        <v>2025/01</v>
      </c>
      <c r="E331" s="8">
        <f>IF(IF(D331&lt;&gt;D330,1,IF(OR(B331&lt;&gt;B330,A331-A330&gt;$U$1),1,""))&lt;&gt;1,"",IF(C331="B01",1965,IF(C331="B02",1020,IF(C331="B05",2400,IF(C331="B03",4260,IF(C331="B04",2880,IF(C331="B20",1260,0)))))))</f>
        <v>2400</v>
      </c>
      <c r="F331" s="8">
        <f>IF(IF(D331&lt;&gt;D330,1,IF(OR(B331&lt;&gt;B330,A331-A330&gt;$U$1),1,""))&lt;&gt;1,"",IF(C331="B01",1,IF(C331="B05",1,IF(C331="B03",1,IF(C331="B04",1,IF(C331="B20",1,IF(C331="B02",1,0)))))))</f>
        <v>1</v>
      </c>
      <c r="G331"/>
      <c r="H331" s="2"/>
      <c r="I331" s="2"/>
      <c r="L331"/>
      <c r="R331"/>
      <c r="S331" s="5"/>
      <c r="U331" s="5"/>
    </row>
    <row r="332" spans="1:21">
      <c r="A332" s="3">
        <v>45659.705613425926</v>
      </c>
      <c r="B332" s="2" t="s">
        <v>26</v>
      </c>
      <c r="C332" s="2" t="s">
        <v>11</v>
      </c>
      <c r="D332" s="6" t="str">
        <f>CONCATENATE(YEAR(A332),"/",IF(MONTH(A332)&lt;10,CONCATENATE("0",MONTH(A332)),MONTH(A332)))</f>
        <v>2025/01</v>
      </c>
      <c r="E332" s="8" t="str">
        <f>IF(IF(D332&lt;&gt;D331,1,IF(OR(B332&lt;&gt;B331,A332-A331&gt;$U$1),1,""))&lt;&gt;1,"",IF(C332="B01",1965,IF(C332="B02",1020,IF(C332="B05",2400,IF(C332="B03",4260,IF(C332="B04",2880,IF(C332="B20",1260,0)))))))</f>
        <v/>
      </c>
      <c r="F332" s="8" t="str">
        <f>IF(IF(D332&lt;&gt;D331,1,IF(OR(B332&lt;&gt;B331,A332-A331&gt;$U$1),1,""))&lt;&gt;1,"",IF(C332="B01",1,IF(C332="B05",1,IF(C332="B03",1,IF(C332="B04",1,IF(C332="B20",1,IF(C332="B02",1,0)))))))</f>
        <v/>
      </c>
      <c r="G332"/>
      <c r="H332" s="2"/>
      <c r="I332" s="2"/>
      <c r="L332"/>
      <c r="R332"/>
      <c r="S332" s="5"/>
      <c r="U332" s="5"/>
    </row>
    <row r="333" spans="1:21">
      <c r="A333" s="3">
        <v>45659.705613425926</v>
      </c>
      <c r="B333" s="2" t="s">
        <v>26</v>
      </c>
      <c r="C333" s="2" t="s">
        <v>11</v>
      </c>
      <c r="D333" s="6" t="str">
        <f>CONCATENATE(YEAR(A333),"/",IF(MONTH(A333)&lt;10,CONCATENATE("0",MONTH(A333)),MONTH(A333)))</f>
        <v>2025/01</v>
      </c>
      <c r="E333" s="8" t="str">
        <f>IF(IF(D333&lt;&gt;D332,1,IF(OR(B333&lt;&gt;B332,A333-A332&gt;$U$1),1,""))&lt;&gt;1,"",IF(C333="B01",1965,IF(C333="B02",1020,IF(C333="B05",2400,IF(C333="B03",4260,IF(C333="B04",2880,IF(C333="B20",1260,0)))))))</f>
        <v/>
      </c>
      <c r="F333" s="8" t="str">
        <f>IF(IF(D333&lt;&gt;D332,1,IF(OR(B333&lt;&gt;B332,A333-A332&gt;$U$1),1,""))&lt;&gt;1,"",IF(C333="B01",1,IF(C333="B05",1,IF(C333="B03",1,IF(C333="B04",1,IF(C333="B20",1,IF(C333="B02",1,0)))))))</f>
        <v/>
      </c>
      <c r="G333"/>
      <c r="H333" s="2"/>
      <c r="I333" s="2"/>
      <c r="L333"/>
      <c r="R333"/>
      <c r="S333" s="5"/>
      <c r="U333" s="5"/>
    </row>
    <row r="334" spans="1:21">
      <c r="A334" s="3">
        <v>45660.344664351855</v>
      </c>
      <c r="B334" s="2" t="s">
        <v>26</v>
      </c>
      <c r="C334" s="2" t="s">
        <v>11</v>
      </c>
      <c r="D334" s="6" t="str">
        <f>CONCATENATE(YEAR(A334),"/",IF(MONTH(A334)&lt;10,CONCATENATE("0",MONTH(A334)),MONTH(A334)))</f>
        <v>2025/01</v>
      </c>
      <c r="E334" s="8">
        <f>IF(IF(D334&lt;&gt;D333,1,IF(OR(B334&lt;&gt;B333,A334-A333&gt;$U$1),1,""))&lt;&gt;1,"",IF(C334="B01",1965,IF(C334="B02",1020,IF(C334="B05",2400,IF(C334="B03",4260,IF(C334="B04",2880,IF(C334="B20",1260,0)))))))</f>
        <v>2400</v>
      </c>
      <c r="F334" s="8">
        <f>IF(IF(D334&lt;&gt;D333,1,IF(OR(B334&lt;&gt;B333,A334-A333&gt;$U$1),1,""))&lt;&gt;1,"",IF(C334="B01",1,IF(C334="B05",1,IF(C334="B03",1,IF(C334="B04",1,IF(C334="B20",1,IF(C334="B02",1,0)))))))</f>
        <v>1</v>
      </c>
      <c r="G334"/>
      <c r="H334" s="2"/>
      <c r="I334" s="2"/>
      <c r="L334"/>
      <c r="R334"/>
      <c r="S334" s="5"/>
      <c r="U334" s="5"/>
    </row>
    <row r="335" spans="1:21">
      <c r="A335" s="3">
        <v>45660.344664351855</v>
      </c>
      <c r="B335" s="2" t="s">
        <v>26</v>
      </c>
      <c r="C335" s="2" t="s">
        <v>11</v>
      </c>
      <c r="D335" s="6" t="str">
        <f>CONCATENATE(YEAR(A335),"/",IF(MONTH(A335)&lt;10,CONCATENATE("0",MONTH(A335)),MONTH(A335)))</f>
        <v>2025/01</v>
      </c>
      <c r="E335" s="8" t="str">
        <f>IF(IF(D335&lt;&gt;D334,1,IF(OR(B335&lt;&gt;B334,A335-A334&gt;$U$1),1,""))&lt;&gt;1,"",IF(C335="B01",1965,IF(C335="B02",1020,IF(C335="B05",2400,IF(C335="B03",4260,IF(C335="B04",2880,IF(C335="B20",1260,0)))))))</f>
        <v/>
      </c>
      <c r="F335" s="8" t="str">
        <f>IF(IF(D335&lt;&gt;D334,1,IF(OR(B335&lt;&gt;B334,A335-A334&gt;$U$1),1,""))&lt;&gt;1,"",IF(C335="B01",1,IF(C335="B05",1,IF(C335="B03",1,IF(C335="B04",1,IF(C335="B20",1,IF(C335="B02",1,0)))))))</f>
        <v/>
      </c>
      <c r="G335"/>
      <c r="H335" s="2"/>
      <c r="I335" s="2"/>
      <c r="L335"/>
      <c r="R335"/>
      <c r="S335" s="5"/>
      <c r="U335" s="5"/>
    </row>
    <row r="336" spans="1:21">
      <c r="A336" s="3">
        <v>45660.344664351855</v>
      </c>
      <c r="B336" s="2" t="s">
        <v>26</v>
      </c>
      <c r="C336" s="2" t="s">
        <v>11</v>
      </c>
      <c r="D336" s="6" t="str">
        <f>CONCATENATE(YEAR(A336),"/",IF(MONTH(A336)&lt;10,CONCATENATE("0",MONTH(A336)),MONTH(A336)))</f>
        <v>2025/01</v>
      </c>
      <c r="E336" s="8" t="str">
        <f>IF(IF(D336&lt;&gt;D335,1,IF(OR(B336&lt;&gt;B335,A336-A335&gt;$U$1),1,""))&lt;&gt;1,"",IF(C336="B01",1965,IF(C336="B02",1020,IF(C336="B05",2400,IF(C336="B03",4260,IF(C336="B04",2880,IF(C336="B20",1260,0)))))))</f>
        <v/>
      </c>
      <c r="F336" s="8" t="str">
        <f>IF(IF(D336&lt;&gt;D335,1,IF(OR(B336&lt;&gt;B335,A336-A335&gt;$U$1),1,""))&lt;&gt;1,"",IF(C336="B01",1,IF(C336="B05",1,IF(C336="B03",1,IF(C336="B04",1,IF(C336="B20",1,IF(C336="B02",1,0)))))))</f>
        <v/>
      </c>
      <c r="G336"/>
      <c r="H336" s="2"/>
      <c r="I336" s="2"/>
      <c r="L336"/>
      <c r="R336"/>
      <c r="S336" s="5"/>
      <c r="U336" s="5"/>
    </row>
    <row r="337" spans="1:21">
      <c r="A337" s="3">
        <v>45660.344664351855</v>
      </c>
      <c r="B337" s="2" t="s">
        <v>26</v>
      </c>
      <c r="C337" s="2" t="s">
        <v>11</v>
      </c>
      <c r="D337" s="6" t="str">
        <f>CONCATENATE(YEAR(A337),"/",IF(MONTH(A337)&lt;10,CONCATENATE("0",MONTH(A337)),MONTH(A337)))</f>
        <v>2025/01</v>
      </c>
      <c r="E337" s="8" t="str">
        <f>IF(IF(D337&lt;&gt;D336,1,IF(OR(B337&lt;&gt;B336,A337-A336&gt;$U$1),1,""))&lt;&gt;1,"",IF(C337="B01",1965,IF(C337="B02",1020,IF(C337="B05",2400,IF(C337="B03",4260,IF(C337="B04",2880,IF(C337="B20",1260,0)))))))</f>
        <v/>
      </c>
      <c r="F337" s="8" t="str">
        <f>IF(IF(D337&lt;&gt;D336,1,IF(OR(B337&lt;&gt;B336,A337-A336&gt;$U$1),1,""))&lt;&gt;1,"",IF(C337="B01",1,IF(C337="B05",1,IF(C337="B03",1,IF(C337="B04",1,IF(C337="B20",1,IF(C337="B02",1,0)))))))</f>
        <v/>
      </c>
      <c r="G337"/>
      <c r="H337" s="2"/>
      <c r="I337" s="2"/>
      <c r="L337"/>
      <c r="R337"/>
      <c r="S337" s="5"/>
      <c r="U337" s="5"/>
    </row>
    <row r="338" spans="1:21">
      <c r="A338" s="3">
        <v>45660.460405092592</v>
      </c>
      <c r="B338" s="2" t="s">
        <v>26</v>
      </c>
      <c r="C338" s="2" t="s">
        <v>11</v>
      </c>
      <c r="D338" s="6" t="str">
        <f>CONCATENATE(YEAR(A338),"/",IF(MONTH(A338)&lt;10,CONCATENATE("0",MONTH(A338)),MONTH(A338)))</f>
        <v>2025/01</v>
      </c>
      <c r="E338" s="8">
        <f>IF(IF(D338&lt;&gt;D337,1,IF(OR(B338&lt;&gt;B337,A338-A337&gt;$U$1),1,""))&lt;&gt;1,"",IF(C338="B01",1965,IF(C338="B02",1020,IF(C338="B05",2400,IF(C338="B03",4260,IF(C338="B04",2880,IF(C338="B20",1260,0)))))))</f>
        <v>2400</v>
      </c>
      <c r="F338" s="8">
        <f>IF(IF(D338&lt;&gt;D337,1,IF(OR(B338&lt;&gt;B337,A338-A337&gt;$U$1),1,""))&lt;&gt;1,"",IF(C338="B01",1,IF(C338="B05",1,IF(C338="B03",1,IF(C338="B04",1,IF(C338="B20",1,IF(C338="B02",1,0)))))))</f>
        <v>1</v>
      </c>
      <c r="G338"/>
      <c r="H338" s="2"/>
      <c r="I338" s="2"/>
      <c r="L338"/>
      <c r="R338"/>
      <c r="S338" s="5"/>
      <c r="U338" s="5"/>
    </row>
    <row r="339" spans="1:21">
      <c r="A339" s="3">
        <v>45660.460405092592</v>
      </c>
      <c r="B339" s="2" t="s">
        <v>26</v>
      </c>
      <c r="C339" s="2" t="s">
        <v>11</v>
      </c>
      <c r="D339" s="6" t="str">
        <f>CONCATENATE(YEAR(A339),"/",IF(MONTH(A339)&lt;10,CONCATENATE("0",MONTH(A339)),MONTH(A339)))</f>
        <v>2025/01</v>
      </c>
      <c r="E339" s="8" t="str">
        <f>IF(IF(D339&lt;&gt;D338,1,IF(OR(B339&lt;&gt;B338,A339-A338&gt;$U$1),1,""))&lt;&gt;1,"",IF(C339="B01",1965,IF(C339="B02",1020,IF(C339="B05",2400,IF(C339="B03",4260,IF(C339="B04",2880,IF(C339="B20",1260,0)))))))</f>
        <v/>
      </c>
      <c r="F339" s="8" t="str">
        <f>IF(IF(D339&lt;&gt;D338,1,IF(OR(B339&lt;&gt;B338,A339-A338&gt;$U$1),1,""))&lt;&gt;1,"",IF(C339="B01",1,IF(C339="B05",1,IF(C339="B03",1,IF(C339="B04",1,IF(C339="B20",1,IF(C339="B02",1,0)))))))</f>
        <v/>
      </c>
      <c r="G339"/>
      <c r="H339" s="2"/>
      <c r="I339" s="2"/>
      <c r="L339"/>
      <c r="R339"/>
      <c r="S339" s="5"/>
      <c r="U339" s="5"/>
    </row>
    <row r="340" spans="1:21">
      <c r="A340" s="3">
        <v>45660.663946759261</v>
      </c>
      <c r="B340" s="2" t="s">
        <v>26</v>
      </c>
      <c r="C340" s="2" t="s">
        <v>12</v>
      </c>
      <c r="D340" s="6" t="str">
        <f>CONCATENATE(YEAR(A340),"/",IF(MONTH(A340)&lt;10,CONCATENATE("0",MONTH(A340)),MONTH(A340)))</f>
        <v>2025/01</v>
      </c>
      <c r="E340" s="8">
        <f>IF(IF(D340&lt;&gt;D339,1,IF(OR(B340&lt;&gt;B339,A340-A339&gt;$U$1),1,""))&lt;&gt;1,"",IF(C340="B01",1965,IF(C340="B02",1020,IF(C340="B05",2400,IF(C340="B03",4260,IF(C340="B04",2880,IF(C340="B20",1260,0)))))))</f>
        <v>4260</v>
      </c>
      <c r="F340" s="8">
        <f>IF(IF(D340&lt;&gt;D339,1,IF(OR(B340&lt;&gt;B339,A340-A339&gt;$U$1),1,""))&lt;&gt;1,"",IF(C340="B01",1,IF(C340="B05",1,IF(C340="B03",1,IF(C340="B04",1,IF(C340="B20",1,IF(C340="B02",1,0)))))))</f>
        <v>1</v>
      </c>
      <c r="G340"/>
      <c r="H340" s="2"/>
      <c r="I340" s="2"/>
      <c r="L340"/>
      <c r="R340"/>
      <c r="S340" s="5"/>
      <c r="U340" s="5"/>
    </row>
    <row r="341" spans="1:21">
      <c r="A341" s="3">
        <v>45660.825972222221</v>
      </c>
      <c r="B341" s="2" t="s">
        <v>26</v>
      </c>
      <c r="C341" s="2" t="s">
        <v>11</v>
      </c>
      <c r="D341" s="6" t="str">
        <f>CONCATENATE(YEAR(A341),"/",IF(MONTH(A341)&lt;10,CONCATENATE("0",MONTH(A341)),MONTH(A341)))</f>
        <v>2025/01</v>
      </c>
      <c r="E341" s="8">
        <f>IF(IF(D341&lt;&gt;D340,1,IF(OR(B341&lt;&gt;B340,A341-A340&gt;$U$1),1,""))&lt;&gt;1,"",IF(C341="B01",1965,IF(C341="B02",1020,IF(C341="B05",2400,IF(C341="B03",4260,IF(C341="B04",2880,IF(C341="B20",1260,0)))))))</f>
        <v>2400</v>
      </c>
      <c r="F341" s="8">
        <f>IF(IF(D341&lt;&gt;D340,1,IF(OR(B341&lt;&gt;B340,A341-A340&gt;$U$1),1,""))&lt;&gt;1,"",IF(C341="B01",1,IF(C341="B05",1,IF(C341="B03",1,IF(C341="B04",1,IF(C341="B20",1,IF(C341="B02",1,0)))))))</f>
        <v>1</v>
      </c>
      <c r="G341"/>
      <c r="H341" s="2"/>
      <c r="I341" s="2"/>
      <c r="L341"/>
      <c r="R341"/>
      <c r="S341" s="5"/>
      <c r="U341" s="5"/>
    </row>
    <row r="342" spans="1:21">
      <c r="A342" s="3">
        <v>45660.825972222221</v>
      </c>
      <c r="B342" s="2" t="s">
        <v>26</v>
      </c>
      <c r="C342" s="2" t="s">
        <v>11</v>
      </c>
      <c r="D342" s="6" t="str">
        <f>CONCATENATE(YEAR(A342),"/",IF(MONTH(A342)&lt;10,CONCATENATE("0",MONTH(A342)),MONTH(A342)))</f>
        <v>2025/01</v>
      </c>
      <c r="E342" s="8" t="str">
        <f>IF(IF(D342&lt;&gt;D341,1,IF(OR(B342&lt;&gt;B341,A342-A341&gt;$U$1),1,""))&lt;&gt;1,"",IF(C342="B01",1965,IF(C342="B02",1020,IF(C342="B05",2400,IF(C342="B03",4260,IF(C342="B04",2880,IF(C342="B20",1260,0)))))))</f>
        <v/>
      </c>
      <c r="F342" s="8" t="str">
        <f>IF(IF(D342&lt;&gt;D341,1,IF(OR(B342&lt;&gt;B341,A342-A341&gt;$U$1),1,""))&lt;&gt;1,"",IF(C342="B01",1,IF(C342="B05",1,IF(C342="B03",1,IF(C342="B04",1,IF(C342="B20",1,IF(C342="B02",1,0)))))))</f>
        <v/>
      </c>
      <c r="G342"/>
      <c r="H342" s="2"/>
      <c r="I342" s="2"/>
      <c r="L342"/>
      <c r="R342"/>
      <c r="S342" s="5"/>
      <c r="U342" s="5"/>
    </row>
    <row r="343" spans="1:21">
      <c r="A343" s="3">
        <v>45661.021064814813</v>
      </c>
      <c r="B343" s="2" t="s">
        <v>26</v>
      </c>
      <c r="C343" s="2" t="s">
        <v>11</v>
      </c>
      <c r="D343" s="6" t="str">
        <f>CONCATENATE(YEAR(A343),"/",IF(MONTH(A343)&lt;10,CONCATENATE("0",MONTH(A343)),MONTH(A343)))</f>
        <v>2025/01</v>
      </c>
      <c r="E343" s="8">
        <f>IF(IF(D343&lt;&gt;D342,1,IF(OR(B343&lt;&gt;B342,A343-A342&gt;$U$1),1,""))&lt;&gt;1,"",IF(C343="B01",1965,IF(C343="B02",1020,IF(C343="B05",2400,IF(C343="B03",4260,IF(C343="B04",2880,IF(C343="B20",1260,0)))))))</f>
        <v>2400</v>
      </c>
      <c r="F343" s="8">
        <f>IF(IF(D343&lt;&gt;D342,1,IF(OR(B343&lt;&gt;B342,A343-A342&gt;$U$1),1,""))&lt;&gt;1,"",IF(C343="B01",1,IF(C343="B05",1,IF(C343="B03",1,IF(C343="B04",1,IF(C343="B20",1,IF(C343="B02",1,0)))))))</f>
        <v>1</v>
      </c>
      <c r="G343"/>
      <c r="H343" s="2"/>
      <c r="I343" s="2"/>
      <c r="L343"/>
      <c r="R343"/>
      <c r="S343" s="5"/>
      <c r="U343" s="5"/>
    </row>
    <row r="344" spans="1:21">
      <c r="A344" s="3">
        <v>45661.021064814813</v>
      </c>
      <c r="B344" s="2" t="s">
        <v>26</v>
      </c>
      <c r="C344" s="2" t="s">
        <v>11</v>
      </c>
      <c r="D344" s="6" t="str">
        <f>CONCATENATE(YEAR(A344),"/",IF(MONTH(A344)&lt;10,CONCATENATE("0",MONTH(A344)),MONTH(A344)))</f>
        <v>2025/01</v>
      </c>
      <c r="E344" s="8" t="str">
        <f>IF(IF(D344&lt;&gt;D343,1,IF(OR(B344&lt;&gt;B343,A344-A343&gt;$U$1),1,""))&lt;&gt;1,"",IF(C344="B01",1965,IF(C344="B02",1020,IF(C344="B05",2400,IF(C344="B03",4260,IF(C344="B04",2880,IF(C344="B20",1260,0)))))))</f>
        <v/>
      </c>
      <c r="F344" s="8" t="str">
        <f>IF(IF(D344&lt;&gt;D343,1,IF(OR(B344&lt;&gt;B343,A344-A343&gt;$U$1),1,""))&lt;&gt;1,"",IF(C344="B01",1,IF(C344="B05",1,IF(C344="B03",1,IF(C344="B04",1,IF(C344="B20",1,IF(C344="B02",1,0)))))))</f>
        <v/>
      </c>
      <c r="G344"/>
      <c r="H344" s="2"/>
      <c r="I344" s="2"/>
      <c r="L344"/>
      <c r="R344"/>
      <c r="S344" s="5"/>
      <c r="U344" s="5"/>
    </row>
    <row r="345" spans="1:21">
      <c r="A345" s="3">
        <v>45661.253807870373</v>
      </c>
      <c r="B345" s="2" t="s">
        <v>26</v>
      </c>
      <c r="C345" s="2" t="s">
        <v>11</v>
      </c>
      <c r="D345" s="6" t="str">
        <f>CONCATENATE(YEAR(A345),"/",IF(MONTH(A345)&lt;10,CONCATENATE("0",MONTH(A345)),MONTH(A345)))</f>
        <v>2025/01</v>
      </c>
      <c r="E345" s="8">
        <f>IF(IF(D345&lt;&gt;D344,1,IF(OR(B345&lt;&gt;B344,A345-A344&gt;$U$1),1,""))&lt;&gt;1,"",IF(C345="B01",1965,IF(C345="B02",1020,IF(C345="B05",2400,IF(C345="B03",4260,IF(C345="B04",2880,IF(C345="B20",1260,0)))))))</f>
        <v>2400</v>
      </c>
      <c r="F345" s="8">
        <f>IF(IF(D345&lt;&gt;D344,1,IF(OR(B345&lt;&gt;B344,A345-A344&gt;$U$1),1,""))&lt;&gt;1,"",IF(C345="B01",1,IF(C345="B05",1,IF(C345="B03",1,IF(C345="B04",1,IF(C345="B20",1,IF(C345="B02",1,0)))))))</f>
        <v>1</v>
      </c>
      <c r="G345"/>
      <c r="H345" s="2"/>
      <c r="I345" s="2"/>
      <c r="L345"/>
      <c r="R345"/>
      <c r="S345" s="5"/>
      <c r="U345" s="5"/>
    </row>
    <row r="346" spans="1:21">
      <c r="A346" s="3">
        <v>45661.253807870373</v>
      </c>
      <c r="B346" s="2" t="s">
        <v>26</v>
      </c>
      <c r="C346" s="2" t="s">
        <v>11</v>
      </c>
      <c r="D346" s="6" t="str">
        <f>CONCATENATE(YEAR(A346),"/",IF(MONTH(A346)&lt;10,CONCATENATE("0",MONTH(A346)),MONTH(A346)))</f>
        <v>2025/01</v>
      </c>
      <c r="E346" s="8" t="str">
        <f>IF(IF(D346&lt;&gt;D345,1,IF(OR(B346&lt;&gt;B345,A346-A345&gt;$U$1),1,""))&lt;&gt;1,"",IF(C346="B01",1965,IF(C346="B02",1020,IF(C346="B05",2400,IF(C346="B03",4260,IF(C346="B04",2880,IF(C346="B20",1260,0)))))))</f>
        <v/>
      </c>
      <c r="F346" s="8" t="str">
        <f>IF(IF(D346&lt;&gt;D345,1,IF(OR(B346&lt;&gt;B345,A346-A345&gt;$U$1),1,""))&lt;&gt;1,"",IF(C346="B01",1,IF(C346="B05",1,IF(C346="B03",1,IF(C346="B04",1,IF(C346="B20",1,IF(C346="B02",1,0)))))))</f>
        <v/>
      </c>
      <c r="G346"/>
      <c r="H346" s="2"/>
      <c r="I346" s="2"/>
      <c r="L346"/>
      <c r="R346"/>
      <c r="S346" s="5"/>
      <c r="U346" s="5"/>
    </row>
    <row r="347" spans="1:21">
      <c r="A347" s="3">
        <v>45661.253807870373</v>
      </c>
      <c r="B347" s="2" t="s">
        <v>26</v>
      </c>
      <c r="C347" s="2" t="s">
        <v>11</v>
      </c>
      <c r="D347" s="6" t="str">
        <f>CONCATENATE(YEAR(A347),"/",IF(MONTH(A347)&lt;10,CONCATENATE("0",MONTH(A347)),MONTH(A347)))</f>
        <v>2025/01</v>
      </c>
      <c r="E347" s="8" t="str">
        <f>IF(IF(D347&lt;&gt;D346,1,IF(OR(B347&lt;&gt;B346,A347-A346&gt;$U$1),1,""))&lt;&gt;1,"",IF(C347="B01",1965,IF(C347="B02",1020,IF(C347="B05",2400,IF(C347="B03",4260,IF(C347="B04",2880,IF(C347="B20",1260,0)))))))</f>
        <v/>
      </c>
      <c r="F347" s="8" t="str">
        <f>IF(IF(D347&lt;&gt;D346,1,IF(OR(B347&lt;&gt;B346,A347-A346&gt;$U$1),1,""))&lt;&gt;1,"",IF(C347="B01",1,IF(C347="B05",1,IF(C347="B03",1,IF(C347="B04",1,IF(C347="B20",1,IF(C347="B02",1,0)))))))</f>
        <v/>
      </c>
      <c r="G347"/>
      <c r="H347" s="2"/>
      <c r="I347" s="2"/>
      <c r="L347"/>
      <c r="R347"/>
      <c r="S347" s="5"/>
      <c r="U347" s="5"/>
    </row>
    <row r="348" spans="1:21">
      <c r="A348" s="3">
        <v>45661.441111111111</v>
      </c>
      <c r="B348" s="2" t="s">
        <v>26</v>
      </c>
      <c r="C348" s="2" t="s">
        <v>11</v>
      </c>
      <c r="D348" s="6" t="str">
        <f>CONCATENATE(YEAR(A348),"/",IF(MONTH(A348)&lt;10,CONCATENATE("0",MONTH(A348)),MONTH(A348)))</f>
        <v>2025/01</v>
      </c>
      <c r="E348" s="8">
        <f>IF(IF(D348&lt;&gt;D347,1,IF(OR(B348&lt;&gt;B347,A348-A347&gt;$U$1),1,""))&lt;&gt;1,"",IF(C348="B01",1965,IF(C348="B02",1020,IF(C348="B05",2400,IF(C348="B03",4260,IF(C348="B04",2880,IF(C348="B20",1260,0)))))))</f>
        <v>2400</v>
      </c>
      <c r="F348" s="8">
        <f>IF(IF(D348&lt;&gt;D347,1,IF(OR(B348&lt;&gt;B347,A348-A347&gt;$U$1),1,""))&lt;&gt;1,"",IF(C348="B01",1,IF(C348="B05",1,IF(C348="B03",1,IF(C348="B04",1,IF(C348="B20",1,IF(C348="B02",1,0)))))))</f>
        <v>1</v>
      </c>
      <c r="G348"/>
      <c r="H348" s="2"/>
      <c r="I348" s="2"/>
      <c r="L348"/>
      <c r="R348"/>
      <c r="S348" s="5"/>
      <c r="U348" s="5"/>
    </row>
    <row r="349" spans="1:21">
      <c r="A349" s="3">
        <v>45661.441111111111</v>
      </c>
      <c r="B349" s="2" t="s">
        <v>26</v>
      </c>
      <c r="C349" s="2" t="s">
        <v>11</v>
      </c>
      <c r="D349" s="6" t="str">
        <f>CONCATENATE(YEAR(A349),"/",IF(MONTH(A349)&lt;10,CONCATENATE("0",MONTH(A349)),MONTH(A349)))</f>
        <v>2025/01</v>
      </c>
      <c r="E349" s="8" t="str">
        <f>IF(IF(D349&lt;&gt;D348,1,IF(OR(B349&lt;&gt;B348,A349-A348&gt;$U$1),1,""))&lt;&gt;1,"",IF(C349="B01",1965,IF(C349="B02",1020,IF(C349="B05",2400,IF(C349="B03",4260,IF(C349="B04",2880,IF(C349="B20",1260,0)))))))</f>
        <v/>
      </c>
      <c r="F349" s="8" t="str">
        <f>IF(IF(D349&lt;&gt;D348,1,IF(OR(B349&lt;&gt;B348,A349-A348&gt;$U$1),1,""))&lt;&gt;1,"",IF(C349="B01",1,IF(C349="B05",1,IF(C349="B03",1,IF(C349="B04",1,IF(C349="B20",1,IF(C349="B02",1,0)))))))</f>
        <v/>
      </c>
      <c r="G349"/>
      <c r="H349" s="2"/>
      <c r="I349" s="2"/>
      <c r="L349"/>
      <c r="R349"/>
      <c r="S349" s="5"/>
      <c r="U349" s="5"/>
    </row>
    <row r="350" spans="1:21">
      <c r="A350" s="3">
        <v>45661.441122685188</v>
      </c>
      <c r="B350" s="2" t="s">
        <v>26</v>
      </c>
      <c r="C350" s="2" t="s">
        <v>11</v>
      </c>
      <c r="D350" s="6" t="str">
        <f>CONCATENATE(YEAR(A350),"/",IF(MONTH(A350)&lt;10,CONCATENATE("0",MONTH(A350)),MONTH(A350)))</f>
        <v>2025/01</v>
      </c>
      <c r="E350" s="8" t="str">
        <f>IF(IF(D350&lt;&gt;D349,1,IF(OR(B350&lt;&gt;B349,A350-A349&gt;$U$1),1,""))&lt;&gt;1,"",IF(C350="B01",1965,IF(C350="B02",1020,IF(C350="B05",2400,IF(C350="B03",4260,IF(C350="B04",2880,IF(C350="B20",1260,0)))))))</f>
        <v/>
      </c>
      <c r="F350" s="8" t="str">
        <f>IF(IF(D350&lt;&gt;D349,1,IF(OR(B350&lt;&gt;B349,A350-A349&gt;$U$1),1,""))&lt;&gt;1,"",IF(C350="B01",1,IF(C350="B05",1,IF(C350="B03",1,IF(C350="B04",1,IF(C350="B20",1,IF(C350="B02",1,0)))))))</f>
        <v/>
      </c>
      <c r="G350"/>
      <c r="H350" s="2"/>
      <c r="I350" s="2"/>
      <c r="L350"/>
      <c r="R350"/>
      <c r="S350" s="5"/>
      <c r="U350" s="5"/>
    </row>
    <row r="351" spans="1:21">
      <c r="A351" s="3">
        <v>45661.620787037034</v>
      </c>
      <c r="B351" s="2" t="s">
        <v>26</v>
      </c>
      <c r="C351" s="2" t="s">
        <v>11</v>
      </c>
      <c r="D351" s="6" t="str">
        <f>CONCATENATE(YEAR(A351),"/",IF(MONTH(A351)&lt;10,CONCATENATE("0",MONTH(A351)),MONTH(A351)))</f>
        <v>2025/01</v>
      </c>
      <c r="E351" s="8">
        <f>IF(IF(D351&lt;&gt;D350,1,IF(OR(B351&lt;&gt;B350,A351-A350&gt;$U$1),1,""))&lt;&gt;1,"",IF(C351="B01",1965,IF(C351="B02",1020,IF(C351="B05",2400,IF(C351="B03",4260,IF(C351="B04",2880,IF(C351="B20",1260,0)))))))</f>
        <v>2400</v>
      </c>
      <c r="F351" s="8">
        <f>IF(IF(D351&lt;&gt;D350,1,IF(OR(B351&lt;&gt;B350,A351-A350&gt;$U$1),1,""))&lt;&gt;1,"",IF(C351="B01",1,IF(C351="B05",1,IF(C351="B03",1,IF(C351="B04",1,IF(C351="B20",1,IF(C351="B02",1,0)))))))</f>
        <v>1</v>
      </c>
      <c r="G351"/>
      <c r="H351" s="2"/>
      <c r="I351" s="2"/>
      <c r="L351"/>
      <c r="R351"/>
      <c r="S351" s="5"/>
      <c r="U351" s="5"/>
    </row>
    <row r="352" spans="1:21">
      <c r="A352" s="3">
        <v>45661.620787037034</v>
      </c>
      <c r="B352" s="2" t="s">
        <v>26</v>
      </c>
      <c r="C352" s="2" t="s">
        <v>11</v>
      </c>
      <c r="D352" s="6" t="str">
        <f>CONCATENATE(YEAR(A352),"/",IF(MONTH(A352)&lt;10,CONCATENATE("0",MONTH(A352)),MONTH(A352)))</f>
        <v>2025/01</v>
      </c>
      <c r="E352" s="8" t="str">
        <f>IF(IF(D352&lt;&gt;D351,1,IF(OR(B352&lt;&gt;B351,A352-A351&gt;$U$1),1,""))&lt;&gt;1,"",IF(C352="B01",1965,IF(C352="B02",1020,IF(C352="B05",2400,IF(C352="B03",4260,IF(C352="B04",2880,IF(C352="B20",1260,0)))))))</f>
        <v/>
      </c>
      <c r="F352" s="8" t="str">
        <f>IF(IF(D352&lt;&gt;D351,1,IF(OR(B352&lt;&gt;B351,A352-A351&gt;$U$1),1,""))&lt;&gt;1,"",IF(C352="B01",1,IF(C352="B05",1,IF(C352="B03",1,IF(C352="B04",1,IF(C352="B20",1,IF(C352="B02",1,0)))))))</f>
        <v/>
      </c>
      <c r="G352"/>
      <c r="H352" s="2"/>
      <c r="I352" s="2"/>
      <c r="L352"/>
      <c r="R352"/>
      <c r="S352" s="5"/>
      <c r="U352" s="5"/>
    </row>
    <row r="353" spans="1:21">
      <c r="A353" s="3">
        <v>45661.620787037034</v>
      </c>
      <c r="B353" s="2" t="s">
        <v>26</v>
      </c>
      <c r="C353" s="2" t="s">
        <v>11</v>
      </c>
      <c r="D353" s="6" t="str">
        <f>CONCATENATE(YEAR(A353),"/",IF(MONTH(A353)&lt;10,CONCATENATE("0",MONTH(A353)),MONTH(A353)))</f>
        <v>2025/01</v>
      </c>
      <c r="E353" s="8" t="str">
        <f>IF(IF(D353&lt;&gt;D352,1,IF(OR(B353&lt;&gt;B352,A353-A352&gt;$U$1),1,""))&lt;&gt;1,"",IF(C353="B01",1965,IF(C353="B02",1020,IF(C353="B05",2400,IF(C353="B03",4260,IF(C353="B04",2880,IF(C353="B20",1260,0)))))))</f>
        <v/>
      </c>
      <c r="F353" s="8" t="str">
        <f>IF(IF(D353&lt;&gt;D352,1,IF(OR(B353&lt;&gt;B352,A353-A352&gt;$U$1),1,""))&lt;&gt;1,"",IF(C353="B01",1,IF(C353="B05",1,IF(C353="B03",1,IF(C353="B04",1,IF(C353="B20",1,IF(C353="B02",1,0)))))))</f>
        <v/>
      </c>
      <c r="G353"/>
      <c r="H353" s="2"/>
      <c r="I353" s="2"/>
      <c r="L353"/>
      <c r="R353"/>
      <c r="S353" s="5"/>
      <c r="U353" s="5"/>
    </row>
    <row r="354" spans="1:21">
      <c r="A354" s="3">
        <v>45661.777754629627</v>
      </c>
      <c r="B354" s="2" t="s">
        <v>26</v>
      </c>
      <c r="C354" s="2" t="s">
        <v>11</v>
      </c>
      <c r="D354" s="6" t="str">
        <f>CONCATENATE(YEAR(A354),"/",IF(MONTH(A354)&lt;10,CONCATENATE("0",MONTH(A354)),MONTH(A354)))</f>
        <v>2025/01</v>
      </c>
      <c r="E354" s="8">
        <f>IF(IF(D354&lt;&gt;D353,1,IF(OR(B354&lt;&gt;B353,A354-A353&gt;$U$1),1,""))&lt;&gt;1,"",IF(C354="B01",1965,IF(C354="B02",1020,IF(C354="B05",2400,IF(C354="B03",4260,IF(C354="B04",2880,IF(C354="B20",1260,0)))))))</f>
        <v>2400</v>
      </c>
      <c r="F354" s="8">
        <f>IF(IF(D354&lt;&gt;D353,1,IF(OR(B354&lt;&gt;B353,A354-A353&gt;$U$1),1,""))&lt;&gt;1,"",IF(C354="B01",1,IF(C354="B05",1,IF(C354="B03",1,IF(C354="B04",1,IF(C354="B20",1,IF(C354="B02",1,0)))))))</f>
        <v>1</v>
      </c>
      <c r="G354"/>
      <c r="H354" s="2"/>
      <c r="I354" s="2"/>
      <c r="L354"/>
      <c r="R354"/>
      <c r="S354" s="5"/>
      <c r="U354" s="5"/>
    </row>
    <row r="355" spans="1:21">
      <c r="A355" s="3">
        <v>45661.777754629627</v>
      </c>
      <c r="B355" s="2" t="s">
        <v>26</v>
      </c>
      <c r="C355" s="2" t="s">
        <v>11</v>
      </c>
      <c r="D355" s="6" t="str">
        <f>CONCATENATE(YEAR(A355),"/",IF(MONTH(A355)&lt;10,CONCATENATE("0",MONTH(A355)),MONTH(A355)))</f>
        <v>2025/01</v>
      </c>
      <c r="E355" s="8" t="str">
        <f>IF(IF(D355&lt;&gt;D354,1,IF(OR(B355&lt;&gt;B354,A355-A354&gt;$U$1),1,""))&lt;&gt;1,"",IF(C355="B01",1965,IF(C355="B02",1020,IF(C355="B05",2400,IF(C355="B03",4260,IF(C355="B04",2880,IF(C355="B20",1260,0)))))))</f>
        <v/>
      </c>
      <c r="F355" s="8" t="str">
        <f>IF(IF(D355&lt;&gt;D354,1,IF(OR(B355&lt;&gt;B354,A355-A354&gt;$U$1),1,""))&lt;&gt;1,"",IF(C355="B01",1,IF(C355="B05",1,IF(C355="B03",1,IF(C355="B04",1,IF(C355="B20",1,IF(C355="B02",1,0)))))))</f>
        <v/>
      </c>
      <c r="G355"/>
      <c r="H355" s="2"/>
      <c r="I355" s="2"/>
      <c r="L355"/>
      <c r="R355"/>
      <c r="S355" s="5"/>
      <c r="U355" s="5"/>
    </row>
    <row r="356" spans="1:21">
      <c r="A356" s="3">
        <v>45662.052048611113</v>
      </c>
      <c r="B356" s="2" t="s">
        <v>26</v>
      </c>
      <c r="C356" s="2" t="s">
        <v>11</v>
      </c>
      <c r="D356" s="6" t="str">
        <f>CONCATENATE(YEAR(A356),"/",IF(MONTH(A356)&lt;10,CONCATENATE("0",MONTH(A356)),MONTH(A356)))</f>
        <v>2025/01</v>
      </c>
      <c r="E356" s="8">
        <f>IF(IF(D356&lt;&gt;D355,1,IF(OR(B356&lt;&gt;B355,A356-A355&gt;$U$1),1,""))&lt;&gt;1,"",IF(C356="B01",1965,IF(C356="B02",1020,IF(C356="B05",2400,IF(C356="B03",4260,IF(C356="B04",2880,IF(C356="B20",1260,0)))))))</f>
        <v>2400</v>
      </c>
      <c r="F356" s="8">
        <f>IF(IF(D356&lt;&gt;D355,1,IF(OR(B356&lt;&gt;B355,A356-A355&gt;$U$1),1,""))&lt;&gt;1,"",IF(C356="B01",1,IF(C356="B05",1,IF(C356="B03",1,IF(C356="B04",1,IF(C356="B20",1,IF(C356="B02",1,0)))))))</f>
        <v>1</v>
      </c>
      <c r="G356"/>
      <c r="H356" s="2"/>
      <c r="I356" s="2"/>
      <c r="L356"/>
      <c r="R356"/>
      <c r="S356" s="5"/>
      <c r="U356" s="5"/>
    </row>
    <row r="357" spans="1:21">
      <c r="A357" s="3">
        <v>45662.052048611113</v>
      </c>
      <c r="B357" s="2" t="s">
        <v>26</v>
      </c>
      <c r="C357" s="2" t="s">
        <v>11</v>
      </c>
      <c r="D357" s="6" t="str">
        <f>CONCATENATE(YEAR(A357),"/",IF(MONTH(A357)&lt;10,CONCATENATE("0",MONTH(A357)),MONTH(A357)))</f>
        <v>2025/01</v>
      </c>
      <c r="E357" s="8" t="str">
        <f>IF(IF(D357&lt;&gt;D356,1,IF(OR(B357&lt;&gt;B356,A357-A356&gt;$U$1),1,""))&lt;&gt;1,"",IF(C357="B01",1965,IF(C357="B02",1020,IF(C357="B05",2400,IF(C357="B03",4260,IF(C357="B04",2880,IF(C357="B20",1260,0)))))))</f>
        <v/>
      </c>
      <c r="F357" s="8" t="str">
        <f>IF(IF(D357&lt;&gt;D356,1,IF(OR(B357&lt;&gt;B356,A357-A356&gt;$U$1),1,""))&lt;&gt;1,"",IF(C357="B01",1,IF(C357="B05",1,IF(C357="B03",1,IF(C357="B04",1,IF(C357="B20",1,IF(C357="B02",1,0)))))))</f>
        <v/>
      </c>
      <c r="G357"/>
      <c r="H357" s="2"/>
      <c r="I357" s="2"/>
      <c r="L357"/>
      <c r="R357"/>
      <c r="S357" s="5"/>
      <c r="U357" s="5"/>
    </row>
    <row r="358" spans="1:21">
      <c r="A358" s="3">
        <v>45662.052048611113</v>
      </c>
      <c r="B358" s="2" t="s">
        <v>26</v>
      </c>
      <c r="C358" s="2" t="s">
        <v>11</v>
      </c>
      <c r="D358" s="6" t="str">
        <f>CONCATENATE(YEAR(A358),"/",IF(MONTH(A358)&lt;10,CONCATENATE("0",MONTH(A358)),MONTH(A358)))</f>
        <v>2025/01</v>
      </c>
      <c r="E358" s="8" t="str">
        <f>IF(IF(D358&lt;&gt;D357,1,IF(OR(B358&lt;&gt;B357,A358-A357&gt;$U$1),1,""))&lt;&gt;1,"",IF(C358="B01",1965,IF(C358="B02",1020,IF(C358="B05",2400,IF(C358="B03",4260,IF(C358="B04",2880,IF(C358="B20",1260,0)))))))</f>
        <v/>
      </c>
      <c r="F358" s="8" t="str">
        <f>IF(IF(D358&lt;&gt;D357,1,IF(OR(B358&lt;&gt;B357,A358-A357&gt;$U$1),1,""))&lt;&gt;1,"",IF(C358="B01",1,IF(C358="B05",1,IF(C358="B03",1,IF(C358="B04",1,IF(C358="B20",1,IF(C358="B02",1,0)))))))</f>
        <v/>
      </c>
      <c r="G358"/>
      <c r="H358" s="2"/>
      <c r="I358" s="2"/>
      <c r="L358"/>
      <c r="R358"/>
      <c r="S358" s="5"/>
      <c r="U358" s="5"/>
    </row>
    <row r="359" spans="1:21">
      <c r="A359" s="3">
        <v>45662.246435185189</v>
      </c>
      <c r="B359" s="2" t="s">
        <v>26</v>
      </c>
      <c r="C359" s="2" t="s">
        <v>12</v>
      </c>
      <c r="D359" s="6" t="str">
        <f>CONCATENATE(YEAR(A359),"/",IF(MONTH(A359)&lt;10,CONCATENATE("0",MONTH(A359)),MONTH(A359)))</f>
        <v>2025/01</v>
      </c>
      <c r="E359" s="8">
        <f>IF(IF(D359&lt;&gt;D358,1,IF(OR(B359&lt;&gt;B358,A359-A358&gt;$U$1),1,""))&lt;&gt;1,"",IF(C359="B01",1965,IF(C359="B02",1020,IF(C359="B05",2400,IF(C359="B03",4260,IF(C359="B04",2880,IF(C359="B20",1260,0)))))))</f>
        <v>4260</v>
      </c>
      <c r="F359" s="8">
        <f>IF(IF(D359&lt;&gt;D358,1,IF(OR(B359&lt;&gt;B358,A359-A358&gt;$U$1),1,""))&lt;&gt;1,"",IF(C359="B01",1,IF(C359="B05",1,IF(C359="B03",1,IF(C359="B04",1,IF(C359="B20",1,IF(C359="B02",1,0)))))))</f>
        <v>1</v>
      </c>
      <c r="G359"/>
      <c r="H359" s="2"/>
      <c r="I359" s="2"/>
      <c r="L359"/>
      <c r="R359"/>
      <c r="S359" s="5"/>
      <c r="U359" s="5"/>
    </row>
    <row r="360" spans="1:21">
      <c r="A360" s="3">
        <v>45662.246435185189</v>
      </c>
      <c r="B360" s="2" t="s">
        <v>26</v>
      </c>
      <c r="C360" s="2" t="s">
        <v>12</v>
      </c>
      <c r="D360" s="6" t="str">
        <f>CONCATENATE(YEAR(A360),"/",IF(MONTH(A360)&lt;10,CONCATENATE("0",MONTH(A360)),MONTH(A360)))</f>
        <v>2025/01</v>
      </c>
      <c r="E360" s="8" t="str">
        <f>IF(IF(D360&lt;&gt;D359,1,IF(OR(B360&lt;&gt;B359,A360-A359&gt;$U$1),1,""))&lt;&gt;1,"",IF(C360="B01",1965,IF(C360="B02",1020,IF(C360="B05",2400,IF(C360="B03",4260,IF(C360="B04",2880,IF(C360="B20",1260,0)))))))</f>
        <v/>
      </c>
      <c r="F360" s="8" t="str">
        <f>IF(IF(D360&lt;&gt;D359,1,IF(OR(B360&lt;&gt;B359,A360-A359&gt;$U$1),1,""))&lt;&gt;1,"",IF(C360="B01",1,IF(C360="B05",1,IF(C360="B03",1,IF(C360="B04",1,IF(C360="B20",1,IF(C360="B02",1,0)))))))</f>
        <v/>
      </c>
      <c r="G360"/>
      <c r="H360" s="2"/>
      <c r="I360" s="2"/>
      <c r="L360"/>
      <c r="R360"/>
      <c r="S360" s="5"/>
      <c r="U360" s="5"/>
    </row>
    <row r="361" spans="1:21">
      <c r="A361" s="3">
        <v>45662.374861111108</v>
      </c>
      <c r="B361" s="2" t="s">
        <v>26</v>
      </c>
      <c r="C361" s="2" t="s">
        <v>12</v>
      </c>
      <c r="D361" s="6" t="str">
        <f>CONCATENATE(YEAR(A361),"/",IF(MONTH(A361)&lt;10,CONCATENATE("0",MONTH(A361)),MONTH(A361)))</f>
        <v>2025/01</v>
      </c>
      <c r="E361" s="8">
        <f>IF(IF(D361&lt;&gt;D360,1,IF(OR(B361&lt;&gt;B360,A361-A360&gt;$U$1),1,""))&lt;&gt;1,"",IF(C361="B01",1965,IF(C361="B02",1020,IF(C361="B05",2400,IF(C361="B03",4260,IF(C361="B04",2880,IF(C361="B20",1260,0)))))))</f>
        <v>4260</v>
      </c>
      <c r="F361" s="8">
        <f>IF(IF(D361&lt;&gt;D360,1,IF(OR(B361&lt;&gt;B360,A361-A360&gt;$U$1),1,""))&lt;&gt;1,"",IF(C361="B01",1,IF(C361="B05",1,IF(C361="B03",1,IF(C361="B04",1,IF(C361="B20",1,IF(C361="B02",1,0)))))))</f>
        <v>1</v>
      </c>
      <c r="G361"/>
      <c r="H361" s="2"/>
      <c r="I361" s="2"/>
      <c r="L361"/>
      <c r="R361"/>
      <c r="S361" s="5"/>
      <c r="U361" s="5"/>
    </row>
    <row r="362" spans="1:21">
      <c r="A362" s="3">
        <v>45662.374861111108</v>
      </c>
      <c r="B362" s="2" t="s">
        <v>26</v>
      </c>
      <c r="C362" s="2" t="s">
        <v>12</v>
      </c>
      <c r="D362" s="6" t="str">
        <f>CONCATENATE(YEAR(A362),"/",IF(MONTH(A362)&lt;10,CONCATENATE("0",MONTH(A362)),MONTH(A362)))</f>
        <v>2025/01</v>
      </c>
      <c r="E362" s="8" t="str">
        <f>IF(IF(D362&lt;&gt;D361,1,IF(OR(B362&lt;&gt;B361,A362-A361&gt;$U$1),1,""))&lt;&gt;1,"",IF(C362="B01",1965,IF(C362="B02",1020,IF(C362="B05",2400,IF(C362="B03",4260,IF(C362="B04",2880,IF(C362="B20",1260,0)))))))</f>
        <v/>
      </c>
      <c r="F362" s="8" t="str">
        <f>IF(IF(D362&lt;&gt;D361,1,IF(OR(B362&lt;&gt;B361,A362-A361&gt;$U$1),1,""))&lt;&gt;1,"",IF(C362="B01",1,IF(C362="B05",1,IF(C362="B03",1,IF(C362="B04",1,IF(C362="B20",1,IF(C362="B02",1,0)))))))</f>
        <v/>
      </c>
      <c r="G362"/>
      <c r="H362" s="2"/>
      <c r="I362" s="2"/>
      <c r="L362"/>
      <c r="R362"/>
      <c r="S362" s="5"/>
      <c r="U362" s="5"/>
    </row>
    <row r="363" spans="1:21">
      <c r="A363" s="3">
        <v>45662.583969907406</v>
      </c>
      <c r="B363" s="2" t="s">
        <v>26</v>
      </c>
      <c r="C363" s="2" t="s">
        <v>11</v>
      </c>
      <c r="D363" s="6" t="str">
        <f>CONCATENATE(YEAR(A363),"/",IF(MONTH(A363)&lt;10,CONCATENATE("0",MONTH(A363)),MONTH(A363)))</f>
        <v>2025/01</v>
      </c>
      <c r="E363" s="8">
        <f>IF(IF(D363&lt;&gt;D362,1,IF(OR(B363&lt;&gt;B362,A363-A362&gt;$U$1),1,""))&lt;&gt;1,"",IF(C363="B01",1965,IF(C363="B02",1020,IF(C363="B05",2400,IF(C363="B03",4260,IF(C363="B04",2880,IF(C363="B20",1260,0)))))))</f>
        <v>2400</v>
      </c>
      <c r="F363" s="8">
        <f>IF(IF(D363&lt;&gt;D362,1,IF(OR(B363&lt;&gt;B362,A363-A362&gt;$U$1),1,""))&lt;&gt;1,"",IF(C363="B01",1,IF(C363="B05",1,IF(C363="B03",1,IF(C363="B04",1,IF(C363="B20",1,IF(C363="B02",1,0)))))))</f>
        <v>1</v>
      </c>
      <c r="G363"/>
      <c r="H363" s="2"/>
      <c r="I363" s="2"/>
      <c r="L363"/>
      <c r="R363"/>
      <c r="S363" s="5"/>
      <c r="U363" s="5"/>
    </row>
    <row r="364" spans="1:21">
      <c r="A364" s="3">
        <v>45662.583969907406</v>
      </c>
      <c r="B364" s="2" t="s">
        <v>26</v>
      </c>
      <c r="C364" s="2" t="s">
        <v>11</v>
      </c>
      <c r="D364" s="6" t="str">
        <f>CONCATENATE(YEAR(A364),"/",IF(MONTH(A364)&lt;10,CONCATENATE("0",MONTH(A364)),MONTH(A364)))</f>
        <v>2025/01</v>
      </c>
      <c r="E364" s="8" t="str">
        <f>IF(IF(D364&lt;&gt;D363,1,IF(OR(B364&lt;&gt;B363,A364-A363&gt;$U$1),1,""))&lt;&gt;1,"",IF(C364="B01",1965,IF(C364="B02",1020,IF(C364="B05",2400,IF(C364="B03",4260,IF(C364="B04",2880,IF(C364="B20",1260,0)))))))</f>
        <v/>
      </c>
      <c r="F364" s="8" t="str">
        <f>IF(IF(D364&lt;&gt;D363,1,IF(OR(B364&lt;&gt;B363,A364-A363&gt;$U$1),1,""))&lt;&gt;1,"",IF(C364="B01",1,IF(C364="B05",1,IF(C364="B03",1,IF(C364="B04",1,IF(C364="B20",1,IF(C364="B02",1,0)))))))</f>
        <v/>
      </c>
      <c r="G364"/>
      <c r="H364" s="2"/>
      <c r="I364" s="2"/>
      <c r="L364"/>
      <c r="R364"/>
      <c r="S364" s="5"/>
      <c r="U364" s="5"/>
    </row>
    <row r="365" spans="1:21">
      <c r="A365" s="3">
        <v>45662.95784722222</v>
      </c>
      <c r="B365" s="2" t="s">
        <v>26</v>
      </c>
      <c r="C365" s="2" t="s">
        <v>11</v>
      </c>
      <c r="D365" s="6" t="str">
        <f>CONCATENATE(YEAR(A365),"/",IF(MONTH(A365)&lt;10,CONCATENATE("0",MONTH(A365)),MONTH(A365)))</f>
        <v>2025/01</v>
      </c>
      <c r="E365" s="8">
        <f>IF(IF(D365&lt;&gt;D364,1,IF(OR(B365&lt;&gt;B364,A365-A364&gt;$U$1),1,""))&lt;&gt;1,"",IF(C365="B01",1965,IF(C365="B02",1020,IF(C365="B05",2400,IF(C365="B03",4260,IF(C365="B04",2880,IF(C365="B20",1260,0)))))))</f>
        <v>2400</v>
      </c>
      <c r="F365" s="8">
        <f>IF(IF(D365&lt;&gt;D364,1,IF(OR(B365&lt;&gt;B364,A365-A364&gt;$U$1),1,""))&lt;&gt;1,"",IF(C365="B01",1,IF(C365="B05",1,IF(C365="B03",1,IF(C365="B04",1,IF(C365="B20",1,IF(C365="B02",1,0)))))))</f>
        <v>1</v>
      </c>
      <c r="G365"/>
      <c r="H365" s="2"/>
      <c r="I365" s="2"/>
      <c r="L365"/>
      <c r="R365"/>
      <c r="S365" s="5"/>
      <c r="U365" s="5"/>
    </row>
    <row r="366" spans="1:21">
      <c r="A366" s="3">
        <v>45662.95784722222</v>
      </c>
      <c r="B366" s="2" t="s">
        <v>26</v>
      </c>
      <c r="C366" s="2" t="s">
        <v>11</v>
      </c>
      <c r="D366" s="6" t="str">
        <f>CONCATENATE(YEAR(A366),"/",IF(MONTH(A366)&lt;10,CONCATENATE("0",MONTH(A366)),MONTH(A366)))</f>
        <v>2025/01</v>
      </c>
      <c r="E366" s="8" t="str">
        <f>IF(IF(D366&lt;&gt;D365,1,IF(OR(B366&lt;&gt;B365,A366-A365&gt;$U$1),1,""))&lt;&gt;1,"",IF(C366="B01",1965,IF(C366="B02",1020,IF(C366="B05",2400,IF(C366="B03",4260,IF(C366="B04",2880,IF(C366="B20",1260,0)))))))</f>
        <v/>
      </c>
      <c r="F366" s="8" t="str">
        <f>IF(IF(D366&lt;&gt;D365,1,IF(OR(B366&lt;&gt;B365,A366-A365&gt;$U$1),1,""))&lt;&gt;1,"",IF(C366="B01",1,IF(C366="B05",1,IF(C366="B03",1,IF(C366="B04",1,IF(C366="B20",1,IF(C366="B02",1,0)))))))</f>
        <v/>
      </c>
      <c r="G366"/>
      <c r="H366" s="2"/>
      <c r="I366" s="2"/>
      <c r="L366"/>
      <c r="R366"/>
      <c r="S366" s="5"/>
      <c r="U366" s="5"/>
    </row>
    <row r="367" spans="1:21">
      <c r="A367" s="3">
        <v>45663.091932870368</v>
      </c>
      <c r="B367" s="2" t="s">
        <v>26</v>
      </c>
      <c r="C367" s="2" t="s">
        <v>11</v>
      </c>
      <c r="D367" s="6" t="str">
        <f>CONCATENATE(YEAR(A367),"/",IF(MONTH(A367)&lt;10,CONCATENATE("0",MONTH(A367)),MONTH(A367)))</f>
        <v>2025/01</v>
      </c>
      <c r="E367" s="8">
        <f>IF(IF(D367&lt;&gt;D366,1,IF(OR(B367&lt;&gt;B366,A367-A366&gt;$U$1),1,""))&lt;&gt;1,"",IF(C367="B01",1965,IF(C367="B02",1020,IF(C367="B05",2400,IF(C367="B03",4260,IF(C367="B04",2880,IF(C367="B20",1260,0)))))))</f>
        <v>2400</v>
      </c>
      <c r="F367" s="8">
        <f>IF(IF(D367&lt;&gt;D366,1,IF(OR(B367&lt;&gt;B366,A367-A366&gt;$U$1),1,""))&lt;&gt;1,"",IF(C367="B01",1,IF(C367="B05",1,IF(C367="B03",1,IF(C367="B04",1,IF(C367="B20",1,IF(C367="B02",1,0)))))))</f>
        <v>1</v>
      </c>
      <c r="G367"/>
      <c r="H367" s="2"/>
      <c r="I367" s="2"/>
      <c r="L367"/>
      <c r="R367"/>
      <c r="S367" s="5"/>
      <c r="U367" s="5"/>
    </row>
    <row r="368" spans="1:21">
      <c r="A368" s="3">
        <v>45663.263402777775</v>
      </c>
      <c r="B368" s="2" t="s">
        <v>26</v>
      </c>
      <c r="C368" s="2" t="s">
        <v>11</v>
      </c>
      <c r="D368" s="6" t="str">
        <f>CONCATENATE(YEAR(A368),"/",IF(MONTH(A368)&lt;10,CONCATENATE("0",MONTH(A368)),MONTH(A368)))</f>
        <v>2025/01</v>
      </c>
      <c r="E368" s="8">
        <f>IF(IF(D368&lt;&gt;D367,1,IF(OR(B368&lt;&gt;B367,A368-A367&gt;$U$1),1,""))&lt;&gt;1,"",IF(C368="B01",1965,IF(C368="B02",1020,IF(C368="B05",2400,IF(C368="B03",4260,IF(C368="B04",2880,IF(C368="B20",1260,0)))))))</f>
        <v>2400</v>
      </c>
      <c r="F368" s="8">
        <f>IF(IF(D368&lt;&gt;D367,1,IF(OR(B368&lt;&gt;B367,A368-A367&gt;$U$1),1,""))&lt;&gt;1,"",IF(C368="B01",1,IF(C368="B05",1,IF(C368="B03",1,IF(C368="B04",1,IF(C368="B20",1,IF(C368="B02",1,0)))))))</f>
        <v>1</v>
      </c>
      <c r="G368"/>
      <c r="H368" s="2"/>
      <c r="I368" s="2"/>
      <c r="L368"/>
      <c r="R368"/>
      <c r="S368" s="5"/>
      <c r="U368" s="5"/>
    </row>
    <row r="369" spans="1:21">
      <c r="A369" s="3">
        <v>45663.393101851849</v>
      </c>
      <c r="B369" s="2" t="s">
        <v>26</v>
      </c>
      <c r="C369" s="2" t="s">
        <v>12</v>
      </c>
      <c r="D369" s="6" t="str">
        <f>CONCATENATE(YEAR(A369),"/",IF(MONTH(A369)&lt;10,CONCATENATE("0",MONTH(A369)),MONTH(A369)))</f>
        <v>2025/01</v>
      </c>
      <c r="E369" s="8">
        <f>IF(IF(D369&lt;&gt;D368,1,IF(OR(B369&lt;&gt;B368,A369-A368&gt;$U$1),1,""))&lt;&gt;1,"",IF(C369="B01",1965,IF(C369="B02",1020,IF(C369="B05",2400,IF(C369="B03",4260,IF(C369="B04",2880,IF(C369="B20",1260,0)))))))</f>
        <v>4260</v>
      </c>
      <c r="F369" s="8">
        <f>IF(IF(D369&lt;&gt;D368,1,IF(OR(B369&lt;&gt;B368,A369-A368&gt;$U$1),1,""))&lt;&gt;1,"",IF(C369="B01",1,IF(C369="B05",1,IF(C369="B03",1,IF(C369="B04",1,IF(C369="B20",1,IF(C369="B02",1,0)))))))</f>
        <v>1</v>
      </c>
      <c r="G369"/>
      <c r="H369" s="2"/>
      <c r="I369" s="2"/>
      <c r="L369"/>
      <c r="R369"/>
      <c r="S369" s="5"/>
      <c r="U369" s="5"/>
    </row>
    <row r="370" spans="1:21">
      <c r="A370" s="3">
        <v>45663.393101851849</v>
      </c>
      <c r="B370" s="2" t="s">
        <v>26</v>
      </c>
      <c r="C370" s="2" t="s">
        <v>12</v>
      </c>
      <c r="D370" s="6" t="str">
        <f>CONCATENATE(YEAR(A370),"/",IF(MONTH(A370)&lt;10,CONCATENATE("0",MONTH(A370)),MONTH(A370)))</f>
        <v>2025/01</v>
      </c>
      <c r="E370" s="8" t="str">
        <f>IF(IF(D370&lt;&gt;D369,1,IF(OR(B370&lt;&gt;B369,A370-A369&gt;$U$1),1,""))&lt;&gt;1,"",IF(C370="B01",1965,IF(C370="B02",1020,IF(C370="B05",2400,IF(C370="B03",4260,IF(C370="B04",2880,IF(C370="B20",1260,0)))))))</f>
        <v/>
      </c>
      <c r="F370" s="8" t="str">
        <f>IF(IF(D370&lt;&gt;D369,1,IF(OR(B370&lt;&gt;B369,A370-A369&gt;$U$1),1,""))&lt;&gt;1,"",IF(C370="B01",1,IF(C370="B05",1,IF(C370="B03",1,IF(C370="B04",1,IF(C370="B20",1,IF(C370="B02",1,0)))))))</f>
        <v/>
      </c>
      <c r="G370"/>
      <c r="H370" s="2"/>
      <c r="I370" s="2"/>
      <c r="L370"/>
      <c r="R370"/>
      <c r="S370" s="5"/>
      <c r="U370" s="5"/>
    </row>
    <row r="371" spans="1:21">
      <c r="A371" s="3">
        <v>45663.536932870367</v>
      </c>
      <c r="B371" s="2" t="s">
        <v>26</v>
      </c>
      <c r="C371" s="2" t="s">
        <v>11</v>
      </c>
      <c r="D371" s="6" t="str">
        <f>CONCATENATE(YEAR(A371),"/",IF(MONTH(A371)&lt;10,CONCATENATE("0",MONTH(A371)),MONTH(A371)))</f>
        <v>2025/01</v>
      </c>
      <c r="E371" s="8">
        <f>IF(IF(D371&lt;&gt;D370,1,IF(OR(B371&lt;&gt;B370,A371-A370&gt;$U$1),1,""))&lt;&gt;1,"",IF(C371="B01",1965,IF(C371="B02",1020,IF(C371="B05",2400,IF(C371="B03",4260,IF(C371="B04",2880,IF(C371="B20",1260,0)))))))</f>
        <v>2400</v>
      </c>
      <c r="F371" s="8">
        <f>IF(IF(D371&lt;&gt;D370,1,IF(OR(B371&lt;&gt;B370,A371-A370&gt;$U$1),1,""))&lt;&gt;1,"",IF(C371="B01",1,IF(C371="B05",1,IF(C371="B03",1,IF(C371="B04",1,IF(C371="B20",1,IF(C371="B02",1,0)))))))</f>
        <v>1</v>
      </c>
      <c r="G371"/>
      <c r="H371" s="2"/>
      <c r="I371" s="2"/>
      <c r="L371"/>
      <c r="R371"/>
      <c r="S371" s="5"/>
      <c r="U371" s="5"/>
    </row>
    <row r="372" spans="1:21">
      <c r="A372" s="3">
        <v>45663.536932870367</v>
      </c>
      <c r="B372" s="2" t="s">
        <v>26</v>
      </c>
      <c r="C372" s="2" t="s">
        <v>11</v>
      </c>
      <c r="D372" s="6" t="str">
        <f>CONCATENATE(YEAR(A372),"/",IF(MONTH(A372)&lt;10,CONCATENATE("0",MONTH(A372)),MONTH(A372)))</f>
        <v>2025/01</v>
      </c>
      <c r="E372" s="8" t="str">
        <f>IF(IF(D372&lt;&gt;D371,1,IF(OR(B372&lt;&gt;B371,A372-A371&gt;$U$1),1,""))&lt;&gt;1,"",IF(C372="B01",1965,IF(C372="B02",1020,IF(C372="B05",2400,IF(C372="B03",4260,IF(C372="B04",2880,IF(C372="B20",1260,0)))))))</f>
        <v/>
      </c>
      <c r="F372" s="8" t="str">
        <f>IF(IF(D372&lt;&gt;D371,1,IF(OR(B372&lt;&gt;B371,A372-A371&gt;$U$1),1,""))&lt;&gt;1,"",IF(C372="B01",1,IF(C372="B05",1,IF(C372="B03",1,IF(C372="B04",1,IF(C372="B20",1,IF(C372="B02",1,0)))))))</f>
        <v/>
      </c>
      <c r="G372"/>
      <c r="H372" s="2"/>
      <c r="I372" s="2"/>
      <c r="L372"/>
      <c r="R372"/>
      <c r="S372" s="5"/>
      <c r="U372" s="5"/>
    </row>
    <row r="373" spans="1:21">
      <c r="A373" s="3">
        <v>45663.674733796295</v>
      </c>
      <c r="B373" s="2" t="s">
        <v>26</v>
      </c>
      <c r="C373" s="2" t="s">
        <v>12</v>
      </c>
      <c r="D373" s="6" t="str">
        <f>CONCATENATE(YEAR(A373),"/",IF(MONTH(A373)&lt;10,CONCATENATE("0",MONTH(A373)),MONTH(A373)))</f>
        <v>2025/01</v>
      </c>
      <c r="E373" s="8">
        <f>IF(IF(D373&lt;&gt;D372,1,IF(OR(B373&lt;&gt;B372,A373-A372&gt;$U$1),1,""))&lt;&gt;1,"",IF(C373="B01",1965,IF(C373="B02",1020,IF(C373="B05",2400,IF(C373="B03",4260,IF(C373="B04",2880,IF(C373="B20",1260,0)))))))</f>
        <v>4260</v>
      </c>
      <c r="F373" s="8">
        <f>IF(IF(D373&lt;&gt;D372,1,IF(OR(B373&lt;&gt;B372,A373-A372&gt;$U$1),1,""))&lt;&gt;1,"",IF(C373="B01",1,IF(C373="B05",1,IF(C373="B03",1,IF(C373="B04",1,IF(C373="B20",1,IF(C373="B02",1,0)))))))</f>
        <v>1</v>
      </c>
      <c r="G373"/>
      <c r="H373" s="2"/>
      <c r="I373" s="2"/>
      <c r="L373"/>
      <c r="R373"/>
      <c r="S373" s="5"/>
      <c r="U373" s="5"/>
    </row>
    <row r="374" spans="1:21">
      <c r="A374" s="3">
        <v>45664.126064814816</v>
      </c>
      <c r="B374" s="2" t="s">
        <v>26</v>
      </c>
      <c r="C374" s="2" t="s">
        <v>11</v>
      </c>
      <c r="D374" s="6" t="str">
        <f>CONCATENATE(YEAR(A374),"/",IF(MONTH(A374)&lt;10,CONCATENATE("0",MONTH(A374)),MONTH(A374)))</f>
        <v>2025/01</v>
      </c>
      <c r="E374" s="8">
        <f>IF(IF(D374&lt;&gt;D373,1,IF(OR(B374&lt;&gt;B373,A374-A373&gt;$U$1),1,""))&lt;&gt;1,"",IF(C374="B01",1965,IF(C374="B02",1020,IF(C374="B05",2400,IF(C374="B03",4260,IF(C374="B04",2880,IF(C374="B20",1260,0)))))))</f>
        <v>2400</v>
      </c>
      <c r="F374" s="8">
        <f>IF(IF(D374&lt;&gt;D373,1,IF(OR(B374&lt;&gt;B373,A374-A373&gt;$U$1),1,""))&lt;&gt;1,"",IF(C374="B01",1,IF(C374="B05",1,IF(C374="B03",1,IF(C374="B04",1,IF(C374="B20",1,IF(C374="B02",1,0)))))))</f>
        <v>1</v>
      </c>
      <c r="G374"/>
      <c r="H374" s="2"/>
      <c r="I374" s="2"/>
      <c r="L374"/>
      <c r="R374"/>
      <c r="S374" s="5"/>
      <c r="U374" s="5"/>
    </row>
    <row r="375" spans="1:21">
      <c r="A375" s="3">
        <v>45664.126064814816</v>
      </c>
      <c r="B375" s="2" t="s">
        <v>26</v>
      </c>
      <c r="C375" s="2" t="s">
        <v>11</v>
      </c>
      <c r="D375" s="6" t="str">
        <f>CONCATENATE(YEAR(A375),"/",IF(MONTH(A375)&lt;10,CONCATENATE("0",MONTH(A375)),MONTH(A375)))</f>
        <v>2025/01</v>
      </c>
      <c r="E375" s="8" t="str">
        <f>IF(IF(D375&lt;&gt;D374,1,IF(OR(B375&lt;&gt;B374,A375-A374&gt;$U$1),1,""))&lt;&gt;1,"",IF(C375="B01",1965,IF(C375="B02",1020,IF(C375="B05",2400,IF(C375="B03",4260,IF(C375="B04",2880,IF(C375="B20",1260,0)))))))</f>
        <v/>
      </c>
      <c r="F375" s="8" t="str">
        <f>IF(IF(D375&lt;&gt;D374,1,IF(OR(B375&lt;&gt;B374,A375-A374&gt;$U$1),1,""))&lt;&gt;1,"",IF(C375="B01",1,IF(C375="B05",1,IF(C375="B03",1,IF(C375="B04",1,IF(C375="B20",1,IF(C375="B02",1,0)))))))</f>
        <v/>
      </c>
      <c r="G375"/>
      <c r="H375" s="2"/>
      <c r="I375" s="2"/>
      <c r="L375"/>
      <c r="R375"/>
      <c r="S375" s="5"/>
      <c r="U375" s="5"/>
    </row>
    <row r="376" spans="1:21">
      <c r="A376" s="3">
        <v>45664.126064814816</v>
      </c>
      <c r="B376" s="2" t="s">
        <v>26</v>
      </c>
      <c r="C376" s="2" t="s">
        <v>11</v>
      </c>
      <c r="D376" s="6" t="str">
        <f>CONCATENATE(YEAR(A376),"/",IF(MONTH(A376)&lt;10,CONCATENATE("0",MONTH(A376)),MONTH(A376)))</f>
        <v>2025/01</v>
      </c>
      <c r="E376" s="8" t="str">
        <f>IF(IF(D376&lt;&gt;D375,1,IF(OR(B376&lt;&gt;B375,A376-A375&gt;$U$1),1,""))&lt;&gt;1,"",IF(C376="B01",1965,IF(C376="B02",1020,IF(C376="B05",2400,IF(C376="B03",4260,IF(C376="B04",2880,IF(C376="B20",1260,0)))))))</f>
        <v/>
      </c>
      <c r="F376" s="8" t="str">
        <f>IF(IF(D376&lt;&gt;D375,1,IF(OR(B376&lt;&gt;B375,A376-A375&gt;$U$1),1,""))&lt;&gt;1,"",IF(C376="B01",1,IF(C376="B05",1,IF(C376="B03",1,IF(C376="B04",1,IF(C376="B20",1,IF(C376="B02",1,0)))))))</f>
        <v/>
      </c>
      <c r="G376"/>
      <c r="H376" s="2"/>
      <c r="I376" s="2"/>
      <c r="L376"/>
      <c r="R376"/>
      <c r="S376" s="5"/>
      <c r="U376" s="5"/>
    </row>
    <row r="377" spans="1:21">
      <c r="A377" s="3">
        <v>45664.126064814816</v>
      </c>
      <c r="B377" s="2" t="s">
        <v>26</v>
      </c>
      <c r="C377" s="2" t="s">
        <v>11</v>
      </c>
      <c r="D377" s="6" t="str">
        <f>CONCATENATE(YEAR(A377),"/",IF(MONTH(A377)&lt;10,CONCATENATE("0",MONTH(A377)),MONTH(A377)))</f>
        <v>2025/01</v>
      </c>
      <c r="E377" s="8" t="str">
        <f>IF(IF(D377&lt;&gt;D376,1,IF(OR(B377&lt;&gt;B376,A377-A376&gt;$U$1),1,""))&lt;&gt;1,"",IF(C377="B01",1965,IF(C377="B02",1020,IF(C377="B05",2400,IF(C377="B03",4260,IF(C377="B04",2880,IF(C377="B20",1260,0)))))))</f>
        <v/>
      </c>
      <c r="F377" s="8" t="str">
        <f>IF(IF(D377&lt;&gt;D376,1,IF(OR(B377&lt;&gt;B376,A377-A376&gt;$U$1),1,""))&lt;&gt;1,"",IF(C377="B01",1,IF(C377="B05",1,IF(C377="B03",1,IF(C377="B04",1,IF(C377="B20",1,IF(C377="B02",1,0)))))))</f>
        <v/>
      </c>
      <c r="G377"/>
      <c r="H377" s="2"/>
      <c r="I377" s="2"/>
      <c r="L377"/>
      <c r="R377"/>
      <c r="S377" s="5"/>
      <c r="U377" s="5"/>
    </row>
    <row r="378" spans="1:21">
      <c r="A378" s="3">
        <v>45664.633518518516</v>
      </c>
      <c r="B378" s="2" t="s">
        <v>26</v>
      </c>
      <c r="C378" s="2" t="s">
        <v>34</v>
      </c>
      <c r="D378" s="6" t="str">
        <f>CONCATENATE(YEAR(A378),"/",IF(MONTH(A378)&lt;10,CONCATENATE("0",MONTH(A378)),MONTH(A378)))</f>
        <v>2025/01</v>
      </c>
      <c r="E378" s="8">
        <f>IF(IF(D378&lt;&gt;D377,1,IF(OR(B378&lt;&gt;B377,A378-A377&gt;$U$1),1,""))&lt;&gt;1,"",IF(C378="B01",1965,IF(C378="B02",1020,IF(C378="B05",2400,IF(C378="B03",4260,IF(C378="B04",2880,IF(C378="B20",1260,0)))))))</f>
        <v>1965</v>
      </c>
      <c r="F378" s="8">
        <f>IF(IF(D378&lt;&gt;D377,1,IF(OR(B378&lt;&gt;B377,A378-A377&gt;$U$1),1,""))&lt;&gt;1,"",IF(C378="B01",1,IF(C378="B05",1,IF(C378="B03",1,IF(C378="B04",1,IF(C378="B20",1,IF(C378="B02",1,0)))))))</f>
        <v>1</v>
      </c>
      <c r="G378"/>
      <c r="H378" s="2"/>
      <c r="I378" s="2"/>
      <c r="L378"/>
      <c r="R378"/>
      <c r="S378" s="5"/>
      <c r="U378" s="5"/>
    </row>
    <row r="379" spans="1:21">
      <c r="A379" s="3">
        <v>45664.779513888891</v>
      </c>
      <c r="B379" s="2" t="s">
        <v>26</v>
      </c>
      <c r="C379" s="2" t="s">
        <v>11</v>
      </c>
      <c r="D379" s="6" t="str">
        <f>CONCATENATE(YEAR(A379),"/",IF(MONTH(A379)&lt;10,CONCATENATE("0",MONTH(A379)),MONTH(A379)))</f>
        <v>2025/01</v>
      </c>
      <c r="E379" s="8">
        <f>IF(IF(D379&lt;&gt;D378,1,IF(OR(B379&lt;&gt;B378,A379-A378&gt;$U$1),1,""))&lt;&gt;1,"",IF(C379="B01",1965,IF(C379="B02",1020,IF(C379="B05",2400,IF(C379="B03",4260,IF(C379="B04",2880,IF(C379="B20",1260,0)))))))</f>
        <v>2400</v>
      </c>
      <c r="F379" s="8">
        <f>IF(IF(D379&lt;&gt;D378,1,IF(OR(B379&lt;&gt;B378,A379-A378&gt;$U$1),1,""))&lt;&gt;1,"",IF(C379="B01",1,IF(C379="B05",1,IF(C379="B03",1,IF(C379="B04",1,IF(C379="B20",1,IF(C379="B02",1,0)))))))</f>
        <v>1</v>
      </c>
      <c r="G379"/>
      <c r="H379" s="2"/>
      <c r="I379" s="2"/>
      <c r="L379"/>
      <c r="R379"/>
      <c r="S379" s="5"/>
      <c r="U379" s="5"/>
    </row>
    <row r="380" spans="1:21">
      <c r="A380" s="3">
        <v>45664.779513888891</v>
      </c>
      <c r="B380" s="2" t="s">
        <v>26</v>
      </c>
      <c r="C380" s="2" t="s">
        <v>11</v>
      </c>
      <c r="D380" s="6" t="str">
        <f>CONCATENATE(YEAR(A380),"/",IF(MONTH(A380)&lt;10,CONCATENATE("0",MONTH(A380)),MONTH(A380)))</f>
        <v>2025/01</v>
      </c>
      <c r="E380" s="8" t="str">
        <f>IF(IF(D380&lt;&gt;D379,1,IF(OR(B380&lt;&gt;B379,A380-A379&gt;$U$1),1,""))&lt;&gt;1,"",IF(C380="B01",1965,IF(C380="B02",1020,IF(C380="B05",2400,IF(C380="B03",4260,IF(C380="B04",2880,IF(C380="B20",1260,0)))))))</f>
        <v/>
      </c>
      <c r="F380" s="8" t="str">
        <f>IF(IF(D380&lt;&gt;D379,1,IF(OR(B380&lt;&gt;B379,A380-A379&gt;$U$1),1,""))&lt;&gt;1,"",IF(C380="B01",1,IF(C380="B05",1,IF(C380="B03",1,IF(C380="B04",1,IF(C380="B20",1,IF(C380="B02",1,0)))))))</f>
        <v/>
      </c>
      <c r="G380"/>
      <c r="H380" s="2"/>
      <c r="I380" s="2"/>
      <c r="L380"/>
      <c r="R380"/>
      <c r="S380" s="5"/>
      <c r="U380" s="5"/>
    </row>
    <row r="381" spans="1:21">
      <c r="A381" s="3">
        <v>45664.779513888891</v>
      </c>
      <c r="B381" s="2" t="s">
        <v>26</v>
      </c>
      <c r="C381" s="2" t="s">
        <v>11</v>
      </c>
      <c r="D381" s="6" t="str">
        <f>CONCATENATE(YEAR(A381),"/",IF(MONTH(A381)&lt;10,CONCATENATE("0",MONTH(A381)),MONTH(A381)))</f>
        <v>2025/01</v>
      </c>
      <c r="E381" s="8" t="str">
        <f>IF(IF(D381&lt;&gt;D380,1,IF(OR(B381&lt;&gt;B380,A381-A380&gt;$U$1),1,""))&lt;&gt;1,"",IF(C381="B01",1965,IF(C381="B02",1020,IF(C381="B05",2400,IF(C381="B03",4260,IF(C381="B04",2880,IF(C381="B20",1260,0)))))))</f>
        <v/>
      </c>
      <c r="F381" s="8" t="str">
        <f>IF(IF(D381&lt;&gt;D380,1,IF(OR(B381&lt;&gt;B380,A381-A380&gt;$U$1),1,""))&lt;&gt;1,"",IF(C381="B01",1,IF(C381="B05",1,IF(C381="B03",1,IF(C381="B04",1,IF(C381="B20",1,IF(C381="B02",1,0)))))))</f>
        <v/>
      </c>
      <c r="G381"/>
      <c r="H381" s="2"/>
      <c r="I381" s="2"/>
      <c r="L381"/>
      <c r="R381"/>
      <c r="S381" s="5"/>
      <c r="U381" s="5"/>
    </row>
    <row r="382" spans="1:21">
      <c r="A382" s="3">
        <v>45665.090995370374</v>
      </c>
      <c r="B382" s="2" t="s">
        <v>26</v>
      </c>
      <c r="C382" s="2" t="s">
        <v>11</v>
      </c>
      <c r="D382" s="6" t="str">
        <f>CONCATENATE(YEAR(A382),"/",IF(MONTH(A382)&lt;10,CONCATENATE("0",MONTH(A382)),MONTH(A382)))</f>
        <v>2025/01</v>
      </c>
      <c r="E382" s="8">
        <f>IF(IF(D382&lt;&gt;D381,1,IF(OR(B382&lt;&gt;B381,A382-A381&gt;$U$1),1,""))&lt;&gt;1,"",IF(C382="B01",1965,IF(C382="B02",1020,IF(C382="B05",2400,IF(C382="B03",4260,IF(C382="B04",2880,IF(C382="B20",1260,0)))))))</f>
        <v>2400</v>
      </c>
      <c r="F382" s="8">
        <f>IF(IF(D382&lt;&gt;D381,1,IF(OR(B382&lt;&gt;B381,A382-A381&gt;$U$1),1,""))&lt;&gt;1,"",IF(C382="B01",1,IF(C382="B05",1,IF(C382="B03",1,IF(C382="B04",1,IF(C382="B20",1,IF(C382="B02",1,0)))))))</f>
        <v>1</v>
      </c>
      <c r="G382"/>
      <c r="H382" s="2"/>
      <c r="I382" s="2"/>
      <c r="L382"/>
      <c r="R382"/>
      <c r="S382" s="5"/>
      <c r="U382" s="5"/>
    </row>
    <row r="383" spans="1:21">
      <c r="A383" s="3">
        <v>45665.090995370374</v>
      </c>
      <c r="B383" s="2" t="s">
        <v>26</v>
      </c>
      <c r="C383" s="2" t="s">
        <v>11</v>
      </c>
      <c r="D383" s="6" t="str">
        <f>CONCATENATE(YEAR(A383),"/",IF(MONTH(A383)&lt;10,CONCATENATE("0",MONTH(A383)),MONTH(A383)))</f>
        <v>2025/01</v>
      </c>
      <c r="E383" s="8" t="str">
        <f>IF(IF(D383&lt;&gt;D382,1,IF(OR(B383&lt;&gt;B382,A383-A382&gt;$U$1),1,""))&lt;&gt;1,"",IF(C383="B01",1965,IF(C383="B02",1020,IF(C383="B05",2400,IF(C383="B03",4260,IF(C383="B04",2880,IF(C383="B20",1260,0)))))))</f>
        <v/>
      </c>
      <c r="F383" s="8" t="str">
        <f>IF(IF(D383&lt;&gt;D382,1,IF(OR(B383&lt;&gt;B382,A383-A382&gt;$U$1),1,""))&lt;&gt;1,"",IF(C383="B01",1,IF(C383="B05",1,IF(C383="B03",1,IF(C383="B04",1,IF(C383="B20",1,IF(C383="B02",1,0)))))))</f>
        <v/>
      </c>
      <c r="G383"/>
      <c r="H383" s="2"/>
      <c r="I383" s="2"/>
      <c r="L383"/>
      <c r="R383"/>
      <c r="S383" s="5"/>
      <c r="U383" s="5"/>
    </row>
    <row r="384" spans="1:21">
      <c r="A384" s="3">
        <v>45665.259872685187</v>
      </c>
      <c r="B384" s="2" t="s">
        <v>26</v>
      </c>
      <c r="C384" s="2" t="s">
        <v>12</v>
      </c>
      <c r="D384" s="6" t="str">
        <f>CONCATENATE(YEAR(A384),"/",IF(MONTH(A384)&lt;10,CONCATENATE("0",MONTH(A384)),MONTH(A384)))</f>
        <v>2025/01</v>
      </c>
      <c r="E384" s="8">
        <f>IF(IF(D384&lt;&gt;D383,1,IF(OR(B384&lt;&gt;B383,A384-A383&gt;$U$1),1,""))&lt;&gt;1,"",IF(C384="B01",1965,IF(C384="B02",1020,IF(C384="B05",2400,IF(C384="B03",4260,IF(C384="B04",2880,IF(C384="B20",1260,0)))))))</f>
        <v>4260</v>
      </c>
      <c r="F384" s="8">
        <f>IF(IF(D384&lt;&gt;D383,1,IF(OR(B384&lt;&gt;B383,A384-A383&gt;$U$1),1,""))&lt;&gt;1,"",IF(C384="B01",1,IF(C384="B05",1,IF(C384="B03",1,IF(C384="B04",1,IF(C384="B20",1,IF(C384="B02",1,0)))))))</f>
        <v>1</v>
      </c>
      <c r="G384"/>
      <c r="H384" s="2"/>
      <c r="I384" s="2"/>
      <c r="L384"/>
      <c r="R384"/>
      <c r="S384" s="5"/>
      <c r="U384" s="5"/>
    </row>
    <row r="385" spans="1:21">
      <c r="A385" s="3">
        <v>45665.550381944442</v>
      </c>
      <c r="B385" s="2" t="s">
        <v>26</v>
      </c>
      <c r="C385" s="2" t="s">
        <v>11</v>
      </c>
      <c r="D385" s="6" t="str">
        <f>CONCATENATE(YEAR(A385),"/",IF(MONTH(A385)&lt;10,CONCATENATE("0",MONTH(A385)),MONTH(A385)))</f>
        <v>2025/01</v>
      </c>
      <c r="E385" s="8">
        <f>IF(IF(D385&lt;&gt;D384,1,IF(OR(B385&lt;&gt;B384,A385-A384&gt;$U$1),1,""))&lt;&gt;1,"",IF(C385="B01",1965,IF(C385="B02",1020,IF(C385="B05",2400,IF(C385="B03",4260,IF(C385="B04",2880,IF(C385="B20",1260,0)))))))</f>
        <v>2400</v>
      </c>
      <c r="F385" s="8">
        <f>IF(IF(D385&lt;&gt;D384,1,IF(OR(B385&lt;&gt;B384,A385-A384&gt;$U$1),1,""))&lt;&gt;1,"",IF(C385="B01",1,IF(C385="B05",1,IF(C385="B03",1,IF(C385="B04",1,IF(C385="B20",1,IF(C385="B02",1,0)))))))</f>
        <v>1</v>
      </c>
      <c r="G385"/>
      <c r="H385" s="2"/>
      <c r="I385" s="2"/>
      <c r="L385"/>
      <c r="R385"/>
      <c r="S385" s="5"/>
      <c r="U385" s="5"/>
    </row>
    <row r="386" spans="1:21">
      <c r="A386" s="3">
        <v>45665.550381944442</v>
      </c>
      <c r="B386" s="2" t="s">
        <v>26</v>
      </c>
      <c r="C386" s="2" t="s">
        <v>11</v>
      </c>
      <c r="D386" s="6" t="str">
        <f>CONCATENATE(YEAR(A386),"/",IF(MONTH(A386)&lt;10,CONCATENATE("0",MONTH(A386)),MONTH(A386)))</f>
        <v>2025/01</v>
      </c>
      <c r="E386" s="8" t="str">
        <f>IF(IF(D386&lt;&gt;D385,1,IF(OR(B386&lt;&gt;B385,A386-A385&gt;$U$1),1,""))&lt;&gt;1,"",IF(C386="B01",1965,IF(C386="B02",1020,IF(C386="B05",2400,IF(C386="B03",4260,IF(C386="B04",2880,IF(C386="B20",1260,0)))))))</f>
        <v/>
      </c>
      <c r="F386" s="8" t="str">
        <f>IF(IF(D386&lt;&gt;D385,1,IF(OR(B386&lt;&gt;B385,A386-A385&gt;$U$1),1,""))&lt;&gt;1,"",IF(C386="B01",1,IF(C386="B05",1,IF(C386="B03",1,IF(C386="B04",1,IF(C386="B20",1,IF(C386="B02",1,0)))))))</f>
        <v/>
      </c>
      <c r="G386"/>
      <c r="H386" s="2"/>
      <c r="I386" s="2"/>
      <c r="L386"/>
      <c r="R386"/>
      <c r="S386" s="5"/>
      <c r="U386" s="5"/>
    </row>
    <row r="387" spans="1:21">
      <c r="A387" s="3">
        <v>45665.879236111112</v>
      </c>
      <c r="B387" s="2" t="s">
        <v>26</v>
      </c>
      <c r="C387" s="2" t="s">
        <v>12</v>
      </c>
      <c r="D387" s="6" t="str">
        <f>CONCATENATE(YEAR(A387),"/",IF(MONTH(A387)&lt;10,CONCATENATE("0",MONTH(A387)),MONTH(A387)))</f>
        <v>2025/01</v>
      </c>
      <c r="E387" s="8">
        <f>IF(IF(D387&lt;&gt;D386,1,IF(OR(B387&lt;&gt;B386,A387-A386&gt;$U$1),1,""))&lt;&gt;1,"",IF(C387="B01",1965,IF(C387="B02",1020,IF(C387="B05",2400,IF(C387="B03",4260,IF(C387="B04",2880,IF(C387="B20",1260,0)))))))</f>
        <v>4260</v>
      </c>
      <c r="F387" s="8">
        <f>IF(IF(D387&lt;&gt;D386,1,IF(OR(B387&lt;&gt;B386,A387-A386&gt;$U$1),1,""))&lt;&gt;1,"",IF(C387="B01",1,IF(C387="B05",1,IF(C387="B03",1,IF(C387="B04",1,IF(C387="B20",1,IF(C387="B02",1,0)))))))</f>
        <v>1</v>
      </c>
      <c r="G387"/>
      <c r="H387" s="2"/>
      <c r="I387" s="2"/>
      <c r="L387"/>
      <c r="R387"/>
      <c r="S387" s="5"/>
      <c r="U387" s="5"/>
    </row>
    <row r="388" spans="1:21">
      <c r="A388" s="3">
        <v>45665.879236111112</v>
      </c>
      <c r="B388" s="2" t="s">
        <v>26</v>
      </c>
      <c r="C388" s="2" t="s">
        <v>12</v>
      </c>
      <c r="D388" s="6" t="str">
        <f>CONCATENATE(YEAR(A388),"/",IF(MONTH(A388)&lt;10,CONCATENATE("0",MONTH(A388)),MONTH(A388)))</f>
        <v>2025/01</v>
      </c>
      <c r="E388" s="8" t="str">
        <f>IF(IF(D388&lt;&gt;D387,1,IF(OR(B388&lt;&gt;B387,A388-A387&gt;$U$1),1,""))&lt;&gt;1,"",IF(C388="B01",1965,IF(C388="B02",1020,IF(C388="B05",2400,IF(C388="B03",4260,IF(C388="B04",2880,IF(C388="B20",1260,0)))))))</f>
        <v/>
      </c>
      <c r="F388" s="8" t="str">
        <f>IF(IF(D388&lt;&gt;D387,1,IF(OR(B388&lt;&gt;B387,A388-A387&gt;$U$1),1,""))&lt;&gt;1,"",IF(C388="B01",1,IF(C388="B05",1,IF(C388="B03",1,IF(C388="B04",1,IF(C388="B20",1,IF(C388="B02",1,0)))))))</f>
        <v/>
      </c>
      <c r="G388"/>
      <c r="H388" s="2"/>
      <c r="I388" s="2"/>
      <c r="L388"/>
      <c r="R388"/>
      <c r="S388" s="5"/>
      <c r="U388" s="5"/>
    </row>
    <row r="389" spans="1:21">
      <c r="A389" s="3">
        <v>45666.067627314813</v>
      </c>
      <c r="B389" s="2" t="s">
        <v>26</v>
      </c>
      <c r="C389" s="2" t="s">
        <v>11</v>
      </c>
      <c r="D389" s="6" t="str">
        <f>CONCATENATE(YEAR(A389),"/",IF(MONTH(A389)&lt;10,CONCATENATE("0",MONTH(A389)),MONTH(A389)))</f>
        <v>2025/01</v>
      </c>
      <c r="E389" s="8">
        <f>IF(IF(D389&lt;&gt;D388,1,IF(OR(B389&lt;&gt;B388,A389-A388&gt;$U$1),1,""))&lt;&gt;1,"",IF(C389="B01",1965,IF(C389="B02",1020,IF(C389="B05",2400,IF(C389="B03",4260,IF(C389="B04",2880,IF(C389="B20",1260,0)))))))</f>
        <v>2400</v>
      </c>
      <c r="F389" s="8">
        <f>IF(IF(D389&lt;&gt;D388,1,IF(OR(B389&lt;&gt;B388,A389-A388&gt;$U$1),1,""))&lt;&gt;1,"",IF(C389="B01",1,IF(C389="B05",1,IF(C389="B03",1,IF(C389="B04",1,IF(C389="B20",1,IF(C389="B02",1,0)))))))</f>
        <v>1</v>
      </c>
      <c r="G389"/>
      <c r="H389" s="2"/>
      <c r="I389" s="2"/>
      <c r="L389"/>
      <c r="R389"/>
      <c r="S389" s="5"/>
      <c r="U389" s="5"/>
    </row>
    <row r="390" spans="1:21">
      <c r="A390" s="3">
        <v>45666.067627314813</v>
      </c>
      <c r="B390" s="2" t="s">
        <v>26</v>
      </c>
      <c r="C390" s="2" t="s">
        <v>11</v>
      </c>
      <c r="D390" s="6" t="str">
        <f>CONCATENATE(YEAR(A390),"/",IF(MONTH(A390)&lt;10,CONCATENATE("0",MONTH(A390)),MONTH(A390)))</f>
        <v>2025/01</v>
      </c>
      <c r="E390" s="8" t="str">
        <f>IF(IF(D390&lt;&gt;D389,1,IF(OR(B390&lt;&gt;B389,A390-A389&gt;$U$1),1,""))&lt;&gt;1,"",IF(C390="B01",1965,IF(C390="B02",1020,IF(C390="B05",2400,IF(C390="B03",4260,IF(C390="B04",2880,IF(C390="B20",1260,0)))))))</f>
        <v/>
      </c>
      <c r="F390" s="8" t="str">
        <f>IF(IF(D390&lt;&gt;D389,1,IF(OR(B390&lt;&gt;B389,A390-A389&gt;$U$1),1,""))&lt;&gt;1,"",IF(C390="B01",1,IF(C390="B05",1,IF(C390="B03",1,IF(C390="B04",1,IF(C390="B20",1,IF(C390="B02",1,0)))))))</f>
        <v/>
      </c>
      <c r="G390"/>
      <c r="H390" s="2"/>
      <c r="I390" s="2"/>
      <c r="L390"/>
      <c r="R390"/>
      <c r="S390" s="5"/>
      <c r="U390" s="5"/>
    </row>
    <row r="391" spans="1:21">
      <c r="A391" s="3">
        <v>45666.067627314813</v>
      </c>
      <c r="B391" s="2" t="s">
        <v>26</v>
      </c>
      <c r="C391" s="2" t="s">
        <v>11</v>
      </c>
      <c r="D391" s="6" t="str">
        <f>CONCATENATE(YEAR(A391),"/",IF(MONTH(A391)&lt;10,CONCATENATE("0",MONTH(A391)),MONTH(A391)))</f>
        <v>2025/01</v>
      </c>
      <c r="E391" s="8" t="str">
        <f>IF(IF(D391&lt;&gt;D390,1,IF(OR(B391&lt;&gt;B390,A391-A390&gt;$U$1),1,""))&lt;&gt;1,"",IF(C391="B01",1965,IF(C391="B02",1020,IF(C391="B05",2400,IF(C391="B03",4260,IF(C391="B04",2880,IF(C391="B20",1260,0)))))))</f>
        <v/>
      </c>
      <c r="F391" s="8" t="str">
        <f>IF(IF(D391&lt;&gt;D390,1,IF(OR(B391&lt;&gt;B390,A391-A390&gt;$U$1),1,""))&lt;&gt;1,"",IF(C391="B01",1,IF(C391="B05",1,IF(C391="B03",1,IF(C391="B04",1,IF(C391="B20",1,IF(C391="B02",1,0)))))))</f>
        <v/>
      </c>
      <c r="G391"/>
      <c r="H391" s="2"/>
      <c r="I391" s="2"/>
      <c r="L391"/>
      <c r="R391"/>
      <c r="S391" s="5"/>
      <c r="U391" s="5"/>
    </row>
    <row r="392" spans="1:21">
      <c r="A392" s="3">
        <v>45666.258831018517</v>
      </c>
      <c r="B392" s="2" t="s">
        <v>26</v>
      </c>
      <c r="C392" s="2" t="s">
        <v>12</v>
      </c>
      <c r="D392" s="6" t="str">
        <f>CONCATENATE(YEAR(A392),"/",IF(MONTH(A392)&lt;10,CONCATENATE("0",MONTH(A392)),MONTH(A392)))</f>
        <v>2025/01</v>
      </c>
      <c r="E392" s="8">
        <f>IF(IF(D392&lt;&gt;D391,1,IF(OR(B392&lt;&gt;B391,A392-A391&gt;$U$1),1,""))&lt;&gt;1,"",IF(C392="B01",1965,IF(C392="B02",1020,IF(C392="B05",2400,IF(C392="B03",4260,IF(C392="B04",2880,IF(C392="B20",1260,0)))))))</f>
        <v>4260</v>
      </c>
      <c r="F392" s="8">
        <f>IF(IF(D392&lt;&gt;D391,1,IF(OR(B392&lt;&gt;B391,A392-A391&gt;$U$1),1,""))&lt;&gt;1,"",IF(C392="B01",1,IF(C392="B05",1,IF(C392="B03",1,IF(C392="B04",1,IF(C392="B20",1,IF(C392="B02",1,0)))))))</f>
        <v>1</v>
      </c>
      <c r="G392"/>
      <c r="H392" s="2"/>
      <c r="I392" s="2"/>
      <c r="L392"/>
      <c r="R392"/>
      <c r="S392" s="5"/>
      <c r="U392" s="5"/>
    </row>
    <row r="393" spans="1:21">
      <c r="A393" s="3">
        <v>45666.898217592592</v>
      </c>
      <c r="B393" s="2" t="s">
        <v>26</v>
      </c>
      <c r="C393" s="2" t="s">
        <v>11</v>
      </c>
      <c r="D393" s="6" t="str">
        <f>CONCATENATE(YEAR(A393),"/",IF(MONTH(A393)&lt;10,CONCATENATE("0",MONTH(A393)),MONTH(A393)))</f>
        <v>2025/01</v>
      </c>
      <c r="E393" s="8">
        <f>IF(IF(D393&lt;&gt;D392,1,IF(OR(B393&lt;&gt;B392,A393-A392&gt;$U$1),1,""))&lt;&gt;1,"",IF(C393="B01",1965,IF(C393="B02",1020,IF(C393="B05",2400,IF(C393="B03",4260,IF(C393="B04",2880,IF(C393="B20",1260,0)))))))</f>
        <v>2400</v>
      </c>
      <c r="F393" s="8">
        <f>IF(IF(D393&lt;&gt;D392,1,IF(OR(B393&lt;&gt;B392,A393-A392&gt;$U$1),1,""))&lt;&gt;1,"",IF(C393="B01",1,IF(C393="B05",1,IF(C393="B03",1,IF(C393="B04",1,IF(C393="B20",1,IF(C393="B02",1,0)))))))</f>
        <v>1</v>
      </c>
      <c r="G393"/>
      <c r="H393" s="2"/>
      <c r="I393" s="2"/>
      <c r="L393"/>
      <c r="R393"/>
      <c r="S393" s="5"/>
      <c r="U393" s="5"/>
    </row>
    <row r="394" spans="1:21">
      <c r="A394" s="3">
        <v>45666.898217592592</v>
      </c>
      <c r="B394" s="2" t="s">
        <v>26</v>
      </c>
      <c r="C394" s="2" t="s">
        <v>11</v>
      </c>
      <c r="D394" s="6" t="str">
        <f>CONCATENATE(YEAR(A394),"/",IF(MONTH(A394)&lt;10,CONCATENATE("0",MONTH(A394)),MONTH(A394)))</f>
        <v>2025/01</v>
      </c>
      <c r="E394" s="8" t="str">
        <f>IF(IF(D394&lt;&gt;D393,1,IF(OR(B394&lt;&gt;B393,A394-A393&gt;$U$1),1,""))&lt;&gt;1,"",IF(C394="B01",1965,IF(C394="B02",1020,IF(C394="B05",2400,IF(C394="B03",4260,IF(C394="B04",2880,IF(C394="B20",1260,0)))))))</f>
        <v/>
      </c>
      <c r="F394" s="8" t="str">
        <f>IF(IF(D394&lt;&gt;D393,1,IF(OR(B394&lt;&gt;B393,A394-A393&gt;$U$1),1,""))&lt;&gt;1,"",IF(C394="B01",1,IF(C394="B05",1,IF(C394="B03",1,IF(C394="B04",1,IF(C394="B20",1,IF(C394="B02",1,0)))))))</f>
        <v/>
      </c>
      <c r="G394"/>
      <c r="H394" s="2"/>
      <c r="I394" s="2"/>
      <c r="L394"/>
      <c r="R394"/>
      <c r="S394" s="5"/>
      <c r="U394" s="5"/>
    </row>
    <row r="395" spans="1:21">
      <c r="A395" s="3">
        <v>45667.179814814815</v>
      </c>
      <c r="B395" s="2" t="s">
        <v>26</v>
      </c>
      <c r="C395" s="2" t="s">
        <v>12</v>
      </c>
      <c r="D395" s="6" t="str">
        <f>CONCATENATE(YEAR(A395),"/",IF(MONTH(A395)&lt;10,CONCATENATE("0",MONTH(A395)),MONTH(A395)))</f>
        <v>2025/01</v>
      </c>
      <c r="E395" s="8">
        <f>IF(IF(D395&lt;&gt;D394,1,IF(OR(B395&lt;&gt;B394,A395-A394&gt;$U$1),1,""))&lt;&gt;1,"",IF(C395="B01",1965,IF(C395="B02",1020,IF(C395="B05",2400,IF(C395="B03",4260,IF(C395="B04",2880,IF(C395="B20",1260,0)))))))</f>
        <v>4260</v>
      </c>
      <c r="F395" s="8">
        <f>IF(IF(D395&lt;&gt;D394,1,IF(OR(B395&lt;&gt;B394,A395-A394&gt;$U$1),1,""))&lt;&gt;1,"",IF(C395="B01",1,IF(C395="B05",1,IF(C395="B03",1,IF(C395="B04",1,IF(C395="B20",1,IF(C395="B02",1,0)))))))</f>
        <v>1</v>
      </c>
      <c r="G395"/>
      <c r="H395" s="2"/>
      <c r="I395" s="2"/>
      <c r="L395"/>
      <c r="R395"/>
      <c r="S395" s="5"/>
      <c r="U395" s="5"/>
    </row>
    <row r="396" spans="1:21">
      <c r="A396" s="3">
        <v>45667.179814814815</v>
      </c>
      <c r="B396" s="2" t="s">
        <v>26</v>
      </c>
      <c r="C396" s="2" t="s">
        <v>12</v>
      </c>
      <c r="D396" s="6" t="str">
        <f>CONCATENATE(YEAR(A396),"/",IF(MONTH(A396)&lt;10,CONCATENATE("0",MONTH(A396)),MONTH(A396)))</f>
        <v>2025/01</v>
      </c>
      <c r="E396" s="8" t="str">
        <f>IF(IF(D396&lt;&gt;D395,1,IF(OR(B396&lt;&gt;B395,A396-A395&gt;$U$1),1,""))&lt;&gt;1,"",IF(C396="B01",1965,IF(C396="B02",1020,IF(C396="B05",2400,IF(C396="B03",4260,IF(C396="B04",2880,IF(C396="B20",1260,0)))))))</f>
        <v/>
      </c>
      <c r="F396" s="8" t="str">
        <f>IF(IF(D396&lt;&gt;D395,1,IF(OR(B396&lt;&gt;B395,A396-A395&gt;$U$1),1,""))&lt;&gt;1,"",IF(C396="B01",1,IF(C396="B05",1,IF(C396="B03",1,IF(C396="B04",1,IF(C396="B20",1,IF(C396="B02",1,0)))))))</f>
        <v/>
      </c>
      <c r="G396"/>
      <c r="H396" s="2"/>
      <c r="I396" s="2"/>
      <c r="L396"/>
      <c r="R396"/>
      <c r="S396" s="5"/>
      <c r="U396" s="5"/>
    </row>
    <row r="397" spans="1:21">
      <c r="A397" s="3">
        <v>45667.749583333331</v>
      </c>
      <c r="B397" s="2" t="s">
        <v>26</v>
      </c>
      <c r="C397" s="2" t="s">
        <v>11</v>
      </c>
      <c r="D397" s="6" t="str">
        <f>CONCATENATE(YEAR(A397),"/",IF(MONTH(A397)&lt;10,CONCATENATE("0",MONTH(A397)),MONTH(A397)))</f>
        <v>2025/01</v>
      </c>
      <c r="E397" s="8">
        <f>IF(IF(D397&lt;&gt;D396,1,IF(OR(B397&lt;&gt;B396,A397-A396&gt;$U$1),1,""))&lt;&gt;1,"",IF(C397="B01",1965,IF(C397="B02",1020,IF(C397="B05",2400,IF(C397="B03",4260,IF(C397="B04",2880,IF(C397="B20",1260,0)))))))</f>
        <v>2400</v>
      </c>
      <c r="F397" s="8">
        <f>IF(IF(D397&lt;&gt;D396,1,IF(OR(B397&lt;&gt;B396,A397-A396&gt;$U$1),1,""))&lt;&gt;1,"",IF(C397="B01",1,IF(C397="B05",1,IF(C397="B03",1,IF(C397="B04",1,IF(C397="B20",1,IF(C397="B02",1,0)))))))</f>
        <v>1</v>
      </c>
      <c r="G397"/>
      <c r="H397" s="2"/>
      <c r="I397" s="2"/>
      <c r="L397"/>
      <c r="R397"/>
      <c r="S397" s="5"/>
      <c r="U397" s="5"/>
    </row>
    <row r="398" spans="1:21">
      <c r="A398" s="3">
        <v>45667.749583333331</v>
      </c>
      <c r="B398" s="2" t="s">
        <v>26</v>
      </c>
      <c r="C398" s="2" t="s">
        <v>11</v>
      </c>
      <c r="D398" s="6" t="str">
        <f>CONCATENATE(YEAR(A398),"/",IF(MONTH(A398)&lt;10,CONCATENATE("0",MONTH(A398)),MONTH(A398)))</f>
        <v>2025/01</v>
      </c>
      <c r="E398" s="8" t="str">
        <f>IF(IF(D398&lt;&gt;D397,1,IF(OR(B398&lt;&gt;B397,A398-A397&gt;$U$1),1,""))&lt;&gt;1,"",IF(C398="B01",1965,IF(C398="B02",1020,IF(C398="B05",2400,IF(C398="B03",4260,IF(C398="B04",2880,IF(C398="B20",1260,0)))))))</f>
        <v/>
      </c>
      <c r="F398" s="8" t="str">
        <f>IF(IF(D398&lt;&gt;D397,1,IF(OR(B398&lt;&gt;B397,A398-A397&gt;$U$1),1,""))&lt;&gt;1,"",IF(C398="B01",1,IF(C398="B05",1,IF(C398="B03",1,IF(C398="B04",1,IF(C398="B20",1,IF(C398="B02",1,0)))))))</f>
        <v/>
      </c>
      <c r="G398"/>
      <c r="H398" s="2"/>
      <c r="I398" s="2"/>
      <c r="L398"/>
      <c r="R398"/>
      <c r="S398" s="5"/>
      <c r="U398" s="5"/>
    </row>
    <row r="399" spans="1:21">
      <c r="A399" s="3">
        <v>45667.749583333331</v>
      </c>
      <c r="B399" s="2" t="s">
        <v>26</v>
      </c>
      <c r="C399" s="2" t="s">
        <v>11</v>
      </c>
      <c r="D399" s="6" t="str">
        <f>CONCATENATE(YEAR(A399),"/",IF(MONTH(A399)&lt;10,CONCATENATE("0",MONTH(A399)),MONTH(A399)))</f>
        <v>2025/01</v>
      </c>
      <c r="E399" s="8" t="str">
        <f>IF(IF(D399&lt;&gt;D398,1,IF(OR(B399&lt;&gt;B398,A399-A398&gt;$U$1),1,""))&lt;&gt;1,"",IF(C399="B01",1965,IF(C399="B02",1020,IF(C399="B05",2400,IF(C399="B03",4260,IF(C399="B04",2880,IF(C399="B20",1260,0)))))))</f>
        <v/>
      </c>
      <c r="F399" s="8" t="str">
        <f>IF(IF(D399&lt;&gt;D398,1,IF(OR(B399&lt;&gt;B398,A399-A398&gt;$U$1),1,""))&lt;&gt;1,"",IF(C399="B01",1,IF(C399="B05",1,IF(C399="B03",1,IF(C399="B04",1,IF(C399="B20",1,IF(C399="B02",1,0)))))))</f>
        <v/>
      </c>
      <c r="G399"/>
      <c r="H399" s="2"/>
      <c r="I399" s="2"/>
      <c r="L399"/>
      <c r="R399"/>
      <c r="S399" s="5"/>
      <c r="U399" s="5"/>
    </row>
    <row r="400" spans="1:21">
      <c r="A400" s="3">
        <v>45667.963275462964</v>
      </c>
      <c r="B400" s="2" t="s">
        <v>26</v>
      </c>
      <c r="C400" s="2" t="s">
        <v>12</v>
      </c>
      <c r="D400" s="6" t="str">
        <f>CONCATENATE(YEAR(A400),"/",IF(MONTH(A400)&lt;10,CONCATENATE("0",MONTH(A400)),MONTH(A400)))</f>
        <v>2025/01</v>
      </c>
      <c r="E400" s="8">
        <f>IF(IF(D400&lt;&gt;D399,1,IF(OR(B400&lt;&gt;B399,A400-A399&gt;$U$1),1,""))&lt;&gt;1,"",IF(C400="B01",1965,IF(C400="B02",1020,IF(C400="B05",2400,IF(C400="B03",4260,IF(C400="B04",2880,IF(C400="B20",1260,0)))))))</f>
        <v>4260</v>
      </c>
      <c r="F400" s="8">
        <f>IF(IF(D400&lt;&gt;D399,1,IF(OR(B400&lt;&gt;B399,A400-A399&gt;$U$1),1,""))&lt;&gt;1,"",IF(C400="B01",1,IF(C400="B05",1,IF(C400="B03",1,IF(C400="B04",1,IF(C400="B20",1,IF(C400="B02",1,0)))))))</f>
        <v>1</v>
      </c>
      <c r="G400"/>
      <c r="H400" s="2"/>
      <c r="I400" s="2"/>
      <c r="L400"/>
      <c r="R400"/>
      <c r="S400" s="5"/>
      <c r="U400" s="5"/>
    </row>
    <row r="401" spans="1:21">
      <c r="A401" s="3">
        <v>45668.127326388887</v>
      </c>
      <c r="B401" s="2" t="s">
        <v>26</v>
      </c>
      <c r="C401" s="2" t="s">
        <v>11</v>
      </c>
      <c r="D401" s="6" t="str">
        <f>CONCATENATE(YEAR(A401),"/",IF(MONTH(A401)&lt;10,CONCATENATE("0",MONTH(A401)),MONTH(A401)))</f>
        <v>2025/01</v>
      </c>
      <c r="E401" s="8">
        <f>IF(IF(D401&lt;&gt;D400,1,IF(OR(B401&lt;&gt;B400,A401-A400&gt;$U$1),1,""))&lt;&gt;1,"",IF(C401="B01",1965,IF(C401="B02",1020,IF(C401="B05",2400,IF(C401="B03",4260,IF(C401="B04",2880,IF(C401="B20",1260,0)))))))</f>
        <v>2400</v>
      </c>
      <c r="F401" s="8">
        <f>IF(IF(D401&lt;&gt;D400,1,IF(OR(B401&lt;&gt;B400,A401-A400&gt;$U$1),1,""))&lt;&gt;1,"",IF(C401="B01",1,IF(C401="B05",1,IF(C401="B03",1,IF(C401="B04",1,IF(C401="B20",1,IF(C401="B02",1,0)))))))</f>
        <v>1</v>
      </c>
      <c r="G401"/>
      <c r="H401" s="2"/>
      <c r="I401" s="2"/>
      <c r="L401"/>
      <c r="R401"/>
      <c r="S401" s="5"/>
      <c r="U401" s="5"/>
    </row>
    <row r="402" spans="1:21">
      <c r="A402" s="3">
        <v>45668.127326388887</v>
      </c>
      <c r="B402" s="2" t="s">
        <v>26</v>
      </c>
      <c r="C402" s="2" t="s">
        <v>11</v>
      </c>
      <c r="D402" s="6" t="str">
        <f>CONCATENATE(YEAR(A402),"/",IF(MONTH(A402)&lt;10,CONCATENATE("0",MONTH(A402)),MONTH(A402)))</f>
        <v>2025/01</v>
      </c>
      <c r="E402" s="8" t="str">
        <f>IF(IF(D402&lt;&gt;D401,1,IF(OR(B402&lt;&gt;B401,A402-A401&gt;$U$1),1,""))&lt;&gt;1,"",IF(C402="B01",1965,IF(C402="B02",1020,IF(C402="B05",2400,IF(C402="B03",4260,IF(C402="B04",2880,IF(C402="B20",1260,0)))))))</f>
        <v/>
      </c>
      <c r="F402" s="8" t="str">
        <f>IF(IF(D402&lt;&gt;D401,1,IF(OR(B402&lt;&gt;B401,A402-A401&gt;$U$1),1,""))&lt;&gt;1,"",IF(C402="B01",1,IF(C402="B05",1,IF(C402="B03",1,IF(C402="B04",1,IF(C402="B20",1,IF(C402="B02",1,0)))))))</f>
        <v/>
      </c>
      <c r="G402"/>
      <c r="H402" s="2"/>
      <c r="I402" s="2"/>
      <c r="L402"/>
      <c r="R402"/>
      <c r="S402" s="5"/>
      <c r="U402" s="5"/>
    </row>
    <row r="403" spans="1:21">
      <c r="A403" s="3">
        <v>45668.127326388887</v>
      </c>
      <c r="B403" s="2" t="s">
        <v>26</v>
      </c>
      <c r="C403" s="2" t="s">
        <v>11</v>
      </c>
      <c r="D403" s="6" t="str">
        <f>CONCATENATE(YEAR(A403),"/",IF(MONTH(A403)&lt;10,CONCATENATE("0",MONTH(A403)),MONTH(A403)))</f>
        <v>2025/01</v>
      </c>
      <c r="E403" s="8" t="str">
        <f>IF(IF(D403&lt;&gt;D402,1,IF(OR(B403&lt;&gt;B402,A403-A402&gt;$U$1),1,""))&lt;&gt;1,"",IF(C403="B01",1965,IF(C403="B02",1020,IF(C403="B05",2400,IF(C403="B03",4260,IF(C403="B04",2880,IF(C403="B20",1260,0)))))))</f>
        <v/>
      </c>
      <c r="F403" s="8" t="str">
        <f>IF(IF(D403&lt;&gt;D402,1,IF(OR(B403&lt;&gt;B402,A403-A402&gt;$U$1),1,""))&lt;&gt;1,"",IF(C403="B01",1,IF(C403="B05",1,IF(C403="B03",1,IF(C403="B04",1,IF(C403="B20",1,IF(C403="B02",1,0)))))))</f>
        <v/>
      </c>
      <c r="G403"/>
      <c r="H403" s="2"/>
      <c r="I403" s="2"/>
      <c r="L403"/>
      <c r="R403"/>
      <c r="S403" s="5"/>
      <c r="U403" s="5"/>
    </row>
    <row r="404" spans="1:21">
      <c r="A404" s="3">
        <v>45668.643935185188</v>
      </c>
      <c r="B404" s="2" t="s">
        <v>26</v>
      </c>
      <c r="C404" s="2" t="s">
        <v>11</v>
      </c>
      <c r="D404" s="6" t="str">
        <f>CONCATENATE(YEAR(A404),"/",IF(MONTH(A404)&lt;10,CONCATENATE("0",MONTH(A404)),MONTH(A404)))</f>
        <v>2025/01</v>
      </c>
      <c r="E404" s="8">
        <f>IF(IF(D404&lt;&gt;D403,1,IF(OR(B404&lt;&gt;B403,A404-A403&gt;$U$1),1,""))&lt;&gt;1,"",IF(C404="B01",1965,IF(C404="B02",1020,IF(C404="B05",2400,IF(C404="B03",4260,IF(C404="B04",2880,IF(C404="B20",1260,0)))))))</f>
        <v>2400</v>
      </c>
      <c r="F404" s="8">
        <f>IF(IF(D404&lt;&gt;D403,1,IF(OR(B404&lt;&gt;B403,A404-A403&gt;$U$1),1,""))&lt;&gt;1,"",IF(C404="B01",1,IF(C404="B05",1,IF(C404="B03",1,IF(C404="B04",1,IF(C404="B20",1,IF(C404="B02",1,0)))))))</f>
        <v>1</v>
      </c>
      <c r="G404"/>
      <c r="H404" s="2"/>
      <c r="I404" s="2"/>
      <c r="L404"/>
      <c r="R404"/>
      <c r="S404" s="5"/>
      <c r="U404" s="5"/>
    </row>
    <row r="405" spans="1:21">
      <c r="A405" s="3">
        <v>45668.643935185188</v>
      </c>
      <c r="B405" s="2" t="s">
        <v>26</v>
      </c>
      <c r="C405" s="2" t="s">
        <v>11</v>
      </c>
      <c r="D405" s="6" t="str">
        <f>CONCATENATE(YEAR(A405),"/",IF(MONTH(A405)&lt;10,CONCATENATE("0",MONTH(A405)),MONTH(A405)))</f>
        <v>2025/01</v>
      </c>
      <c r="E405" s="8" t="str">
        <f>IF(IF(D405&lt;&gt;D404,1,IF(OR(B405&lt;&gt;B404,A405-A404&gt;$U$1),1,""))&lt;&gt;1,"",IF(C405="B01",1965,IF(C405="B02",1020,IF(C405="B05",2400,IF(C405="B03",4260,IF(C405="B04",2880,IF(C405="B20",1260,0)))))))</f>
        <v/>
      </c>
      <c r="F405" s="8" t="str">
        <f>IF(IF(D405&lt;&gt;D404,1,IF(OR(B405&lt;&gt;B404,A405-A404&gt;$U$1),1,""))&lt;&gt;1,"",IF(C405="B01",1,IF(C405="B05",1,IF(C405="B03",1,IF(C405="B04",1,IF(C405="B20",1,IF(C405="B02",1,0)))))))</f>
        <v/>
      </c>
      <c r="G405"/>
      <c r="H405" s="2"/>
      <c r="I405" s="2"/>
      <c r="L405"/>
      <c r="R405"/>
      <c r="S405" s="5"/>
      <c r="U405" s="5"/>
    </row>
    <row r="406" spans="1:21">
      <c r="A406" s="3">
        <v>45668.840416666666</v>
      </c>
      <c r="B406" s="2" t="s">
        <v>26</v>
      </c>
      <c r="C406" s="2" t="s">
        <v>12</v>
      </c>
      <c r="D406" s="6" t="str">
        <f>CONCATENATE(YEAR(A406),"/",IF(MONTH(A406)&lt;10,CONCATENATE("0",MONTH(A406)),MONTH(A406)))</f>
        <v>2025/01</v>
      </c>
      <c r="E406" s="8">
        <f>IF(IF(D406&lt;&gt;D405,1,IF(OR(B406&lt;&gt;B405,A406-A405&gt;$U$1),1,""))&lt;&gt;1,"",IF(C406="B01",1965,IF(C406="B02",1020,IF(C406="B05",2400,IF(C406="B03",4260,IF(C406="B04",2880,IF(C406="B20",1260,0)))))))</f>
        <v>4260</v>
      </c>
      <c r="F406" s="8">
        <f>IF(IF(D406&lt;&gt;D405,1,IF(OR(B406&lt;&gt;B405,A406-A405&gt;$U$1),1,""))&lt;&gt;1,"",IF(C406="B01",1,IF(C406="B05",1,IF(C406="B03",1,IF(C406="B04",1,IF(C406="B20",1,IF(C406="B02",1,0)))))))</f>
        <v>1</v>
      </c>
      <c r="G406"/>
      <c r="H406" s="2"/>
      <c r="I406" s="2"/>
      <c r="L406"/>
      <c r="R406"/>
      <c r="S406" s="5"/>
      <c r="U406" s="5"/>
    </row>
    <row r="407" spans="1:21">
      <c r="A407" s="3">
        <v>45668.840416666666</v>
      </c>
      <c r="B407" s="2" t="s">
        <v>26</v>
      </c>
      <c r="C407" s="2" t="s">
        <v>12</v>
      </c>
      <c r="D407" s="6" t="str">
        <f>CONCATENATE(YEAR(A407),"/",IF(MONTH(A407)&lt;10,CONCATENATE("0",MONTH(A407)),MONTH(A407)))</f>
        <v>2025/01</v>
      </c>
      <c r="E407" s="8" t="str">
        <f>IF(IF(D407&lt;&gt;D406,1,IF(OR(B407&lt;&gt;B406,A407-A406&gt;$U$1),1,""))&lt;&gt;1,"",IF(C407="B01",1965,IF(C407="B02",1020,IF(C407="B05",2400,IF(C407="B03",4260,IF(C407="B04",2880,IF(C407="B20",1260,0)))))))</f>
        <v/>
      </c>
      <c r="F407" s="8" t="str">
        <f>IF(IF(D407&lt;&gt;D406,1,IF(OR(B407&lt;&gt;B406,A407-A406&gt;$U$1),1,""))&lt;&gt;1,"",IF(C407="B01",1,IF(C407="B05",1,IF(C407="B03",1,IF(C407="B04",1,IF(C407="B20",1,IF(C407="B02",1,0)))))))</f>
        <v/>
      </c>
      <c r="G407"/>
      <c r="H407" s="2"/>
      <c r="I407" s="2"/>
      <c r="L407"/>
      <c r="R407"/>
      <c r="S407" s="5"/>
      <c r="U407" s="5"/>
    </row>
    <row r="408" spans="1:21">
      <c r="A408" s="3">
        <v>45669.06695601852</v>
      </c>
      <c r="B408" s="2" t="s">
        <v>26</v>
      </c>
      <c r="C408" s="2" t="s">
        <v>12</v>
      </c>
      <c r="D408" s="6" t="str">
        <f>CONCATENATE(YEAR(A408),"/",IF(MONTH(A408)&lt;10,CONCATENATE("0",MONTH(A408)),MONTH(A408)))</f>
        <v>2025/01</v>
      </c>
      <c r="E408" s="8">
        <f>IF(IF(D408&lt;&gt;D407,1,IF(OR(B408&lt;&gt;B407,A408-A407&gt;$U$1),1,""))&lt;&gt;1,"",IF(C408="B01",1965,IF(C408="B02",1020,IF(C408="B05",2400,IF(C408="B03",4260,IF(C408="B04",2880,IF(C408="B20",1260,0)))))))</f>
        <v>4260</v>
      </c>
      <c r="F408" s="8">
        <f>IF(IF(D408&lt;&gt;D407,1,IF(OR(B408&lt;&gt;B407,A408-A407&gt;$U$1),1,""))&lt;&gt;1,"",IF(C408="B01",1,IF(C408="B05",1,IF(C408="B03",1,IF(C408="B04",1,IF(C408="B20",1,IF(C408="B02",1,0)))))))</f>
        <v>1</v>
      </c>
      <c r="G408"/>
      <c r="H408" s="2"/>
      <c r="I408" s="2"/>
      <c r="L408"/>
      <c r="R408"/>
      <c r="S408" s="5"/>
      <c r="U408" s="5"/>
    </row>
    <row r="409" spans="1:21">
      <c r="A409" s="3">
        <v>45669.316134259258</v>
      </c>
      <c r="B409" s="2" t="s">
        <v>26</v>
      </c>
      <c r="C409" s="2" t="s">
        <v>11</v>
      </c>
      <c r="D409" s="6" t="str">
        <f>CONCATENATE(YEAR(A409),"/",IF(MONTH(A409)&lt;10,CONCATENATE("0",MONTH(A409)),MONTH(A409)))</f>
        <v>2025/01</v>
      </c>
      <c r="E409" s="8">
        <f>IF(IF(D409&lt;&gt;D408,1,IF(OR(B409&lt;&gt;B408,A409-A408&gt;$U$1),1,""))&lt;&gt;1,"",IF(C409="B01",1965,IF(C409="B02",1020,IF(C409="B05",2400,IF(C409="B03",4260,IF(C409="B04",2880,IF(C409="B20",1260,0)))))))</f>
        <v>2400</v>
      </c>
      <c r="F409" s="8">
        <f>IF(IF(D409&lt;&gt;D408,1,IF(OR(B409&lt;&gt;B408,A409-A408&gt;$U$1),1,""))&lt;&gt;1,"",IF(C409="B01",1,IF(C409="B05",1,IF(C409="B03",1,IF(C409="B04",1,IF(C409="B20",1,IF(C409="B02",1,0)))))))</f>
        <v>1</v>
      </c>
      <c r="G409"/>
      <c r="H409" s="2"/>
      <c r="I409" s="2"/>
      <c r="L409"/>
      <c r="R409"/>
      <c r="S409" s="5"/>
      <c r="U409" s="5"/>
    </row>
    <row r="410" spans="1:21">
      <c r="A410" s="3">
        <v>45669.316134259258</v>
      </c>
      <c r="B410" s="2" t="s">
        <v>26</v>
      </c>
      <c r="C410" s="2" t="s">
        <v>11</v>
      </c>
      <c r="D410" s="6" t="str">
        <f>CONCATENATE(YEAR(A410),"/",IF(MONTH(A410)&lt;10,CONCATENATE("0",MONTH(A410)),MONTH(A410)))</f>
        <v>2025/01</v>
      </c>
      <c r="E410" s="8" t="str">
        <f>IF(IF(D410&lt;&gt;D409,1,IF(OR(B410&lt;&gt;B409,A410-A409&gt;$U$1),1,""))&lt;&gt;1,"",IF(C410="B01",1965,IF(C410="B02",1020,IF(C410="B05",2400,IF(C410="B03",4260,IF(C410="B04",2880,IF(C410="B20",1260,0)))))))</f>
        <v/>
      </c>
      <c r="F410" s="8" t="str">
        <f>IF(IF(D410&lt;&gt;D409,1,IF(OR(B410&lt;&gt;B409,A410-A409&gt;$U$1),1,""))&lt;&gt;1,"",IF(C410="B01",1,IF(C410="B05",1,IF(C410="B03",1,IF(C410="B04",1,IF(C410="B20",1,IF(C410="B02",1,0)))))))</f>
        <v/>
      </c>
      <c r="G410"/>
      <c r="H410" s="2"/>
      <c r="I410" s="2"/>
      <c r="L410"/>
      <c r="R410"/>
      <c r="S410" s="5"/>
      <c r="U410" s="5"/>
    </row>
    <row r="411" spans="1:21">
      <c r="A411" s="3">
        <v>45669.316134259258</v>
      </c>
      <c r="B411" s="2" t="s">
        <v>26</v>
      </c>
      <c r="C411" s="2" t="s">
        <v>11</v>
      </c>
      <c r="D411" s="6" t="str">
        <f>CONCATENATE(YEAR(A411),"/",IF(MONTH(A411)&lt;10,CONCATENATE("0",MONTH(A411)),MONTH(A411)))</f>
        <v>2025/01</v>
      </c>
      <c r="E411" s="8" t="str">
        <f>IF(IF(D411&lt;&gt;D410,1,IF(OR(B411&lt;&gt;B410,A411-A410&gt;$U$1),1,""))&lt;&gt;1,"",IF(C411="B01",1965,IF(C411="B02",1020,IF(C411="B05",2400,IF(C411="B03",4260,IF(C411="B04",2880,IF(C411="B20",1260,0)))))))</f>
        <v/>
      </c>
      <c r="F411" s="8" t="str">
        <f>IF(IF(D411&lt;&gt;D410,1,IF(OR(B411&lt;&gt;B410,A411-A410&gt;$U$1),1,""))&lt;&gt;1,"",IF(C411="B01",1,IF(C411="B05",1,IF(C411="B03",1,IF(C411="B04",1,IF(C411="B20",1,IF(C411="B02",1,0)))))))</f>
        <v/>
      </c>
      <c r="G411"/>
      <c r="H411" s="2"/>
      <c r="I411" s="2"/>
      <c r="L411"/>
      <c r="R411"/>
      <c r="S411" s="5"/>
      <c r="U411" s="5"/>
    </row>
    <row r="412" spans="1:21">
      <c r="A412" s="3">
        <v>45669.851689814815</v>
      </c>
      <c r="B412" s="2" t="s">
        <v>26</v>
      </c>
      <c r="C412" s="2" t="s">
        <v>11</v>
      </c>
      <c r="D412" s="6" t="str">
        <f>CONCATENATE(YEAR(A412),"/",IF(MONTH(A412)&lt;10,CONCATENATE("0",MONTH(A412)),MONTH(A412)))</f>
        <v>2025/01</v>
      </c>
      <c r="E412" s="8">
        <f>IF(IF(D412&lt;&gt;D411,1,IF(OR(B412&lt;&gt;B411,A412-A411&gt;$U$1),1,""))&lt;&gt;1,"",IF(C412="B01",1965,IF(C412="B02",1020,IF(C412="B05",2400,IF(C412="B03",4260,IF(C412="B04",2880,IF(C412="B20",1260,0)))))))</f>
        <v>2400</v>
      </c>
      <c r="F412" s="8">
        <f>IF(IF(D412&lt;&gt;D411,1,IF(OR(B412&lt;&gt;B411,A412-A411&gt;$U$1),1,""))&lt;&gt;1,"",IF(C412="B01",1,IF(C412="B05",1,IF(C412="B03",1,IF(C412="B04",1,IF(C412="B20",1,IF(C412="B02",1,0)))))))</f>
        <v>1</v>
      </c>
      <c r="G412"/>
      <c r="H412" s="2"/>
      <c r="I412" s="2"/>
      <c r="L412"/>
      <c r="R412"/>
      <c r="S412" s="5"/>
      <c r="U412" s="5"/>
    </row>
    <row r="413" spans="1:21">
      <c r="A413" s="3">
        <v>45669.851689814815</v>
      </c>
      <c r="B413" s="2" t="s">
        <v>26</v>
      </c>
      <c r="C413" s="2" t="s">
        <v>11</v>
      </c>
      <c r="D413" s="6" t="str">
        <f>CONCATENATE(YEAR(A413),"/",IF(MONTH(A413)&lt;10,CONCATENATE("0",MONTH(A413)),MONTH(A413)))</f>
        <v>2025/01</v>
      </c>
      <c r="E413" s="8" t="str">
        <f>IF(IF(D413&lt;&gt;D412,1,IF(OR(B413&lt;&gt;B412,A413-A412&gt;$U$1),1,""))&lt;&gt;1,"",IF(C413="B01",1965,IF(C413="B02",1020,IF(C413="B05",2400,IF(C413="B03",4260,IF(C413="B04",2880,IF(C413="B20",1260,0)))))))</f>
        <v/>
      </c>
      <c r="F413" s="8" t="str">
        <f>IF(IF(D413&lt;&gt;D412,1,IF(OR(B413&lt;&gt;B412,A413-A412&gt;$U$1),1,""))&lt;&gt;1,"",IF(C413="B01",1,IF(C413="B05",1,IF(C413="B03",1,IF(C413="B04",1,IF(C413="B20",1,IF(C413="B02",1,0)))))))</f>
        <v/>
      </c>
      <c r="G413"/>
      <c r="H413" s="2"/>
      <c r="I413" s="2"/>
      <c r="L413"/>
      <c r="R413"/>
      <c r="S413" s="5"/>
      <c r="U413" s="5"/>
    </row>
    <row r="414" spans="1:21">
      <c r="A414" s="3">
        <v>45669.970451388886</v>
      </c>
      <c r="B414" s="2" t="s">
        <v>26</v>
      </c>
      <c r="C414" s="2" t="s">
        <v>12</v>
      </c>
      <c r="D414" s="6" t="str">
        <f>CONCATENATE(YEAR(A414),"/",IF(MONTH(A414)&lt;10,CONCATENATE("0",MONTH(A414)),MONTH(A414)))</f>
        <v>2025/01</v>
      </c>
      <c r="E414" s="8">
        <f>IF(IF(D414&lt;&gt;D413,1,IF(OR(B414&lt;&gt;B413,A414-A413&gt;$U$1),1,""))&lt;&gt;1,"",IF(C414="B01",1965,IF(C414="B02",1020,IF(C414="B05",2400,IF(C414="B03",4260,IF(C414="B04",2880,IF(C414="B20",1260,0)))))))</f>
        <v>4260</v>
      </c>
      <c r="F414" s="8">
        <f>IF(IF(D414&lt;&gt;D413,1,IF(OR(B414&lt;&gt;B413,A414-A413&gt;$U$1),1,""))&lt;&gt;1,"",IF(C414="B01",1,IF(C414="B05",1,IF(C414="B03",1,IF(C414="B04",1,IF(C414="B20",1,IF(C414="B02",1,0)))))))</f>
        <v>1</v>
      </c>
      <c r="G414"/>
      <c r="H414" s="2"/>
      <c r="I414" s="2"/>
      <c r="L414"/>
      <c r="R414"/>
      <c r="S414" s="5"/>
      <c r="U414" s="5"/>
    </row>
    <row r="415" spans="1:21">
      <c r="A415" s="3">
        <v>45669.970451388886</v>
      </c>
      <c r="B415" s="2" t="s">
        <v>26</v>
      </c>
      <c r="C415" s="2" t="s">
        <v>12</v>
      </c>
      <c r="D415" s="6" t="str">
        <f>CONCATENATE(YEAR(A415),"/",IF(MONTH(A415)&lt;10,CONCATENATE("0",MONTH(A415)),MONTH(A415)))</f>
        <v>2025/01</v>
      </c>
      <c r="E415" s="8" t="str">
        <f>IF(IF(D415&lt;&gt;D414,1,IF(OR(B415&lt;&gt;B414,A415-A414&gt;$U$1),1,""))&lt;&gt;1,"",IF(C415="B01",1965,IF(C415="B02",1020,IF(C415="B05",2400,IF(C415="B03",4260,IF(C415="B04",2880,IF(C415="B20",1260,0)))))))</f>
        <v/>
      </c>
      <c r="F415" s="8" t="str">
        <f>IF(IF(D415&lt;&gt;D414,1,IF(OR(B415&lt;&gt;B414,A415-A414&gt;$U$1),1,""))&lt;&gt;1,"",IF(C415="B01",1,IF(C415="B05",1,IF(C415="B03",1,IF(C415="B04",1,IF(C415="B20",1,IF(C415="B02",1,0)))))))</f>
        <v/>
      </c>
      <c r="G415"/>
      <c r="H415" s="2"/>
      <c r="I415" s="2"/>
      <c r="L415"/>
      <c r="R415"/>
      <c r="S415" s="5"/>
      <c r="U415" s="5"/>
    </row>
    <row r="416" spans="1:21">
      <c r="A416" s="3">
        <v>45669.970451388886</v>
      </c>
      <c r="B416" s="2" t="s">
        <v>26</v>
      </c>
      <c r="C416" s="2" t="s">
        <v>12</v>
      </c>
      <c r="D416" s="6" t="str">
        <f>CONCATENATE(YEAR(A416),"/",IF(MONTH(A416)&lt;10,CONCATENATE("0",MONTH(A416)),MONTH(A416)))</f>
        <v>2025/01</v>
      </c>
      <c r="E416" s="8" t="str">
        <f>IF(IF(D416&lt;&gt;D415,1,IF(OR(B416&lt;&gt;B415,A416-A415&gt;$U$1),1,""))&lt;&gt;1,"",IF(C416="B01",1965,IF(C416="B02",1020,IF(C416="B05",2400,IF(C416="B03",4260,IF(C416="B04",2880,IF(C416="B20",1260,0)))))))</f>
        <v/>
      </c>
      <c r="F416" s="8" t="str">
        <f>IF(IF(D416&lt;&gt;D415,1,IF(OR(B416&lt;&gt;B415,A416-A415&gt;$U$1),1,""))&lt;&gt;1,"",IF(C416="B01",1,IF(C416="B05",1,IF(C416="B03",1,IF(C416="B04",1,IF(C416="B20",1,IF(C416="B02",1,0)))))))</f>
        <v/>
      </c>
      <c r="G416"/>
      <c r="H416" s="2"/>
      <c r="I416" s="2"/>
      <c r="L416"/>
      <c r="R416"/>
      <c r="S416" s="5"/>
      <c r="U416" s="5"/>
    </row>
    <row r="417" spans="1:21">
      <c r="A417" s="3">
        <v>45670.336134259262</v>
      </c>
      <c r="B417" s="2" t="s">
        <v>26</v>
      </c>
      <c r="C417" s="2" t="s">
        <v>12</v>
      </c>
      <c r="D417" s="6" t="str">
        <f>CONCATENATE(YEAR(A417),"/",IF(MONTH(A417)&lt;10,CONCATENATE("0",MONTH(A417)),MONTH(A417)))</f>
        <v>2025/01</v>
      </c>
      <c r="E417" s="8">
        <f>IF(IF(D417&lt;&gt;D416,1,IF(OR(B417&lt;&gt;B416,A417-A416&gt;$U$1),1,""))&lt;&gt;1,"",IF(C417="B01",1965,IF(C417="B02",1020,IF(C417="B05",2400,IF(C417="B03",4260,IF(C417="B04",2880,IF(C417="B20",1260,0)))))))</f>
        <v>4260</v>
      </c>
      <c r="F417" s="8">
        <f>IF(IF(D417&lt;&gt;D416,1,IF(OR(B417&lt;&gt;B416,A417-A416&gt;$U$1),1,""))&lt;&gt;1,"",IF(C417="B01",1,IF(C417="B05",1,IF(C417="B03",1,IF(C417="B04",1,IF(C417="B20",1,IF(C417="B02",1,0)))))))</f>
        <v>1</v>
      </c>
      <c r="G417"/>
      <c r="H417" s="2"/>
      <c r="I417" s="2"/>
      <c r="L417"/>
      <c r="R417"/>
      <c r="S417" s="5"/>
      <c r="U417" s="5"/>
    </row>
    <row r="418" spans="1:21">
      <c r="A418" s="3">
        <v>45670.336134259262</v>
      </c>
      <c r="B418" s="2" t="s">
        <v>26</v>
      </c>
      <c r="C418" s="2" t="s">
        <v>12</v>
      </c>
      <c r="D418" s="6" t="str">
        <f>CONCATENATE(YEAR(A418),"/",IF(MONTH(A418)&lt;10,CONCATENATE("0",MONTH(A418)),MONTH(A418)))</f>
        <v>2025/01</v>
      </c>
      <c r="E418" s="8" t="str">
        <f>IF(IF(D418&lt;&gt;D417,1,IF(OR(B418&lt;&gt;B417,A418-A417&gt;$U$1),1,""))&lt;&gt;1,"",IF(C418="B01",1965,IF(C418="B02",1020,IF(C418="B05",2400,IF(C418="B03",4260,IF(C418="B04",2880,IF(C418="B20",1260,0)))))))</f>
        <v/>
      </c>
      <c r="F418" s="8" t="str">
        <f>IF(IF(D418&lt;&gt;D417,1,IF(OR(B418&lt;&gt;B417,A418-A417&gt;$U$1),1,""))&lt;&gt;1,"",IF(C418="B01",1,IF(C418="B05",1,IF(C418="B03",1,IF(C418="B04",1,IF(C418="B20",1,IF(C418="B02",1,0)))))))</f>
        <v/>
      </c>
      <c r="G418"/>
      <c r="H418" s="2"/>
      <c r="I418" s="2"/>
      <c r="L418"/>
      <c r="R418"/>
      <c r="S418" s="5"/>
      <c r="U418" s="5"/>
    </row>
    <row r="419" spans="1:21">
      <c r="A419" s="3">
        <v>45670.544872685183</v>
      </c>
      <c r="B419" s="2" t="s">
        <v>26</v>
      </c>
      <c r="C419" s="2" t="s">
        <v>11</v>
      </c>
      <c r="D419" s="6" t="str">
        <f>CONCATENATE(YEAR(A419),"/",IF(MONTH(A419)&lt;10,CONCATENATE("0",MONTH(A419)),MONTH(A419)))</f>
        <v>2025/01</v>
      </c>
      <c r="E419" s="8">
        <f>IF(IF(D419&lt;&gt;D418,1,IF(OR(B419&lt;&gt;B418,A419-A418&gt;$U$1),1,""))&lt;&gt;1,"",IF(C419="B01",1965,IF(C419="B02",1020,IF(C419="B05",2400,IF(C419="B03",4260,IF(C419="B04",2880,IF(C419="B20",1260,0)))))))</f>
        <v>2400</v>
      </c>
      <c r="F419" s="8">
        <f>IF(IF(D419&lt;&gt;D418,1,IF(OR(B419&lt;&gt;B418,A419-A418&gt;$U$1),1,""))&lt;&gt;1,"",IF(C419="B01",1,IF(C419="B05",1,IF(C419="B03",1,IF(C419="B04",1,IF(C419="B20",1,IF(C419="B02",1,0)))))))</f>
        <v>1</v>
      </c>
      <c r="G419"/>
      <c r="H419" s="2"/>
      <c r="I419" s="2"/>
      <c r="L419"/>
      <c r="R419"/>
      <c r="S419" s="5"/>
      <c r="U419" s="5"/>
    </row>
    <row r="420" spans="1:21">
      <c r="A420" s="3">
        <v>45670.544872685183</v>
      </c>
      <c r="B420" s="2" t="s">
        <v>26</v>
      </c>
      <c r="C420" s="2" t="s">
        <v>11</v>
      </c>
      <c r="D420" s="6" t="str">
        <f>CONCATENATE(YEAR(A420),"/",IF(MONTH(A420)&lt;10,CONCATENATE("0",MONTH(A420)),MONTH(A420)))</f>
        <v>2025/01</v>
      </c>
      <c r="E420" s="8" t="str">
        <f>IF(IF(D420&lt;&gt;D419,1,IF(OR(B420&lt;&gt;B419,A420-A419&gt;$U$1),1,""))&lt;&gt;1,"",IF(C420="B01",1965,IF(C420="B02",1020,IF(C420="B05",2400,IF(C420="B03",4260,IF(C420="B04",2880,IF(C420="B20",1260,0)))))))</f>
        <v/>
      </c>
      <c r="F420" s="8" t="str">
        <f>IF(IF(D420&lt;&gt;D419,1,IF(OR(B420&lt;&gt;B419,A420-A419&gt;$U$1),1,""))&lt;&gt;1,"",IF(C420="B01",1,IF(C420="B05",1,IF(C420="B03",1,IF(C420="B04",1,IF(C420="B20",1,IF(C420="B02",1,0)))))))</f>
        <v/>
      </c>
      <c r="G420"/>
      <c r="H420" s="2"/>
      <c r="I420" s="2"/>
      <c r="L420"/>
      <c r="R420"/>
      <c r="S420" s="5"/>
      <c r="U420" s="5"/>
    </row>
    <row r="421" spans="1:21">
      <c r="A421" s="3">
        <v>45670.544872685183</v>
      </c>
      <c r="B421" s="2" t="s">
        <v>26</v>
      </c>
      <c r="C421" s="2" t="s">
        <v>11</v>
      </c>
      <c r="D421" s="6" t="str">
        <f>CONCATENATE(YEAR(A421),"/",IF(MONTH(A421)&lt;10,CONCATENATE("0",MONTH(A421)),MONTH(A421)))</f>
        <v>2025/01</v>
      </c>
      <c r="E421" s="8" t="str">
        <f>IF(IF(D421&lt;&gt;D420,1,IF(OR(B421&lt;&gt;B420,A421-A420&gt;$U$1),1,""))&lt;&gt;1,"",IF(C421="B01",1965,IF(C421="B02",1020,IF(C421="B05",2400,IF(C421="B03",4260,IF(C421="B04",2880,IF(C421="B20",1260,0)))))))</f>
        <v/>
      </c>
      <c r="F421" s="8" t="str">
        <f>IF(IF(D421&lt;&gt;D420,1,IF(OR(B421&lt;&gt;B420,A421-A420&gt;$U$1),1,""))&lt;&gt;1,"",IF(C421="B01",1,IF(C421="B05",1,IF(C421="B03",1,IF(C421="B04",1,IF(C421="B20",1,IF(C421="B02",1,0)))))))</f>
        <v/>
      </c>
      <c r="G421"/>
      <c r="H421" s="2"/>
      <c r="I421" s="2"/>
      <c r="L421"/>
      <c r="R421"/>
      <c r="S421" s="5"/>
      <c r="U421" s="5"/>
    </row>
    <row r="422" spans="1:21">
      <c r="A422" s="3">
        <v>45670.880543981482</v>
      </c>
      <c r="B422" s="2" t="s">
        <v>26</v>
      </c>
      <c r="C422" s="2" t="s">
        <v>11</v>
      </c>
      <c r="D422" s="6" t="str">
        <f>CONCATENATE(YEAR(A422),"/",IF(MONTH(A422)&lt;10,CONCATENATE("0",MONTH(A422)),MONTH(A422)))</f>
        <v>2025/01</v>
      </c>
      <c r="E422" s="8">
        <f>IF(IF(D422&lt;&gt;D421,1,IF(OR(B422&lt;&gt;B421,A422-A421&gt;$U$1),1,""))&lt;&gt;1,"",IF(C422="B01",1965,IF(C422="B02",1020,IF(C422="B05",2400,IF(C422="B03",4260,IF(C422="B04",2880,IF(C422="B20",1260,0)))))))</f>
        <v>2400</v>
      </c>
      <c r="F422" s="8">
        <f>IF(IF(D422&lt;&gt;D421,1,IF(OR(B422&lt;&gt;B421,A422-A421&gt;$U$1),1,""))&lt;&gt;1,"",IF(C422="B01",1,IF(C422="B05",1,IF(C422="B03",1,IF(C422="B04",1,IF(C422="B20",1,IF(C422="B02",1,0)))))))</f>
        <v>1</v>
      </c>
      <c r="G422"/>
      <c r="H422" s="2"/>
      <c r="I422" s="2"/>
      <c r="L422"/>
      <c r="R422"/>
      <c r="S422" s="5"/>
      <c r="U422" s="5"/>
    </row>
    <row r="423" spans="1:21">
      <c r="A423" s="3">
        <v>45670.880543981482</v>
      </c>
      <c r="B423" s="2" t="s">
        <v>26</v>
      </c>
      <c r="C423" s="2" t="s">
        <v>11</v>
      </c>
      <c r="D423" s="6" t="str">
        <f>CONCATENATE(YEAR(A423),"/",IF(MONTH(A423)&lt;10,CONCATENATE("0",MONTH(A423)),MONTH(A423)))</f>
        <v>2025/01</v>
      </c>
      <c r="E423" s="8" t="str">
        <f>IF(IF(D423&lt;&gt;D422,1,IF(OR(B423&lt;&gt;B422,A423-A422&gt;$U$1),1,""))&lt;&gt;1,"",IF(C423="B01",1965,IF(C423="B02",1020,IF(C423="B05",2400,IF(C423="B03",4260,IF(C423="B04",2880,IF(C423="B20",1260,0)))))))</f>
        <v/>
      </c>
      <c r="F423" s="8" t="str">
        <f>IF(IF(D423&lt;&gt;D422,1,IF(OR(B423&lt;&gt;B422,A423-A422&gt;$U$1),1,""))&lt;&gt;1,"",IF(C423="B01",1,IF(C423="B05",1,IF(C423="B03",1,IF(C423="B04",1,IF(C423="B20",1,IF(C423="B02",1,0)))))))</f>
        <v/>
      </c>
      <c r="G423"/>
      <c r="H423" s="2"/>
      <c r="I423" s="2"/>
      <c r="L423"/>
      <c r="R423"/>
      <c r="S423" s="5"/>
      <c r="U423" s="5"/>
    </row>
    <row r="424" spans="1:21">
      <c r="A424" s="3">
        <v>45670.880543981482</v>
      </c>
      <c r="B424" s="2" t="s">
        <v>26</v>
      </c>
      <c r="C424" s="2" t="s">
        <v>11</v>
      </c>
      <c r="D424" s="6" t="str">
        <f>CONCATENATE(YEAR(A424),"/",IF(MONTH(A424)&lt;10,CONCATENATE("0",MONTH(A424)),MONTH(A424)))</f>
        <v>2025/01</v>
      </c>
      <c r="E424" s="8" t="str">
        <f>IF(IF(D424&lt;&gt;D423,1,IF(OR(B424&lt;&gt;B423,A424-A423&gt;$U$1),1,""))&lt;&gt;1,"",IF(C424="B01",1965,IF(C424="B02",1020,IF(C424="B05",2400,IF(C424="B03",4260,IF(C424="B04",2880,IF(C424="B20",1260,0)))))))</f>
        <v/>
      </c>
      <c r="F424" s="8" t="str">
        <f>IF(IF(D424&lt;&gt;D423,1,IF(OR(B424&lt;&gt;B423,A424-A423&gt;$U$1),1,""))&lt;&gt;1,"",IF(C424="B01",1,IF(C424="B05",1,IF(C424="B03",1,IF(C424="B04",1,IF(C424="B20",1,IF(C424="B02",1,0)))))))</f>
        <v/>
      </c>
      <c r="G424"/>
      <c r="H424" s="2"/>
      <c r="I424" s="2"/>
      <c r="L424"/>
      <c r="R424"/>
      <c r="S424" s="5"/>
      <c r="U424" s="5"/>
    </row>
    <row r="425" spans="1:21">
      <c r="A425" s="3">
        <v>45670.880543981482</v>
      </c>
      <c r="B425" s="2" t="s">
        <v>26</v>
      </c>
      <c r="C425" s="2" t="s">
        <v>11</v>
      </c>
      <c r="D425" s="6" t="str">
        <f>CONCATENATE(YEAR(A425),"/",IF(MONTH(A425)&lt;10,CONCATENATE("0",MONTH(A425)),MONTH(A425)))</f>
        <v>2025/01</v>
      </c>
      <c r="E425" s="8" t="str">
        <f>IF(IF(D425&lt;&gt;D424,1,IF(OR(B425&lt;&gt;B424,A425-A424&gt;$U$1),1,""))&lt;&gt;1,"",IF(C425="B01",1965,IF(C425="B02",1020,IF(C425="B05",2400,IF(C425="B03",4260,IF(C425="B04",2880,IF(C425="B20",1260,0)))))))</f>
        <v/>
      </c>
      <c r="F425" s="8" t="str">
        <f>IF(IF(D425&lt;&gt;D424,1,IF(OR(B425&lt;&gt;B424,A425-A424&gt;$U$1),1,""))&lt;&gt;1,"",IF(C425="B01",1,IF(C425="B05",1,IF(C425="B03",1,IF(C425="B04",1,IF(C425="B20",1,IF(C425="B02",1,0)))))))</f>
        <v/>
      </c>
      <c r="G425"/>
      <c r="H425" s="2"/>
      <c r="I425" s="2"/>
      <c r="L425"/>
      <c r="R425"/>
      <c r="S425" s="5"/>
      <c r="U425" s="5"/>
    </row>
    <row r="426" spans="1:21">
      <c r="A426" s="3">
        <v>45671.210185185184</v>
      </c>
      <c r="B426" s="2" t="s">
        <v>26</v>
      </c>
      <c r="C426" s="2" t="s">
        <v>12</v>
      </c>
      <c r="D426" s="6" t="str">
        <f>CONCATENATE(YEAR(A426),"/",IF(MONTH(A426)&lt;10,CONCATENATE("0",MONTH(A426)),MONTH(A426)))</f>
        <v>2025/01</v>
      </c>
      <c r="E426" s="8">
        <f>IF(IF(D426&lt;&gt;D425,1,IF(OR(B426&lt;&gt;B425,A426-A425&gt;$U$1),1,""))&lt;&gt;1,"",IF(C426="B01",1965,IF(C426="B02",1020,IF(C426="B05",2400,IF(C426="B03",4260,IF(C426="B04",2880,IF(C426="B20",1260,0)))))))</f>
        <v>4260</v>
      </c>
      <c r="F426" s="8">
        <f>IF(IF(D426&lt;&gt;D425,1,IF(OR(B426&lt;&gt;B425,A426-A425&gt;$U$1),1,""))&lt;&gt;1,"",IF(C426="B01",1,IF(C426="B05",1,IF(C426="B03",1,IF(C426="B04",1,IF(C426="B20",1,IF(C426="B02",1,0)))))))</f>
        <v>1</v>
      </c>
      <c r="G426"/>
      <c r="H426" s="2"/>
      <c r="I426" s="2"/>
      <c r="L426"/>
      <c r="R426"/>
      <c r="S426" s="5"/>
      <c r="U426" s="5"/>
    </row>
    <row r="427" spans="1:21">
      <c r="A427" s="3">
        <v>45671.210185185184</v>
      </c>
      <c r="B427" s="2" t="s">
        <v>26</v>
      </c>
      <c r="C427" s="2" t="s">
        <v>12</v>
      </c>
      <c r="D427" s="6" t="str">
        <f>CONCATENATE(YEAR(A427),"/",IF(MONTH(A427)&lt;10,CONCATENATE("0",MONTH(A427)),MONTH(A427)))</f>
        <v>2025/01</v>
      </c>
      <c r="E427" s="8" t="str">
        <f>IF(IF(D427&lt;&gt;D426,1,IF(OR(B427&lt;&gt;B426,A427-A426&gt;$U$1),1,""))&lt;&gt;1,"",IF(C427="B01",1965,IF(C427="B02",1020,IF(C427="B05",2400,IF(C427="B03",4260,IF(C427="B04",2880,IF(C427="B20",1260,0)))))))</f>
        <v/>
      </c>
      <c r="F427" s="8" t="str">
        <f>IF(IF(D427&lt;&gt;D426,1,IF(OR(B427&lt;&gt;B426,A427-A426&gt;$U$1),1,""))&lt;&gt;1,"",IF(C427="B01",1,IF(C427="B05",1,IF(C427="B03",1,IF(C427="B04",1,IF(C427="B20",1,IF(C427="B02",1,0)))))))</f>
        <v/>
      </c>
      <c r="G427"/>
      <c r="H427" s="2"/>
      <c r="I427" s="2"/>
      <c r="L427"/>
      <c r="R427"/>
      <c r="S427" s="5"/>
      <c r="U427" s="5"/>
    </row>
    <row r="428" spans="1:21">
      <c r="A428" s="3">
        <v>45671.341562499998</v>
      </c>
      <c r="B428" s="2" t="s">
        <v>26</v>
      </c>
      <c r="C428" s="2" t="s">
        <v>11</v>
      </c>
      <c r="D428" s="6" t="str">
        <f>CONCATENATE(YEAR(A428),"/",IF(MONTH(A428)&lt;10,CONCATENATE("0",MONTH(A428)),MONTH(A428)))</f>
        <v>2025/01</v>
      </c>
      <c r="E428" s="8">
        <f>IF(IF(D428&lt;&gt;D427,1,IF(OR(B428&lt;&gt;B427,A428-A427&gt;$U$1),1,""))&lt;&gt;1,"",IF(C428="B01",1965,IF(C428="B02",1020,IF(C428="B05",2400,IF(C428="B03",4260,IF(C428="B04",2880,IF(C428="B20",1260,0)))))))</f>
        <v>2400</v>
      </c>
      <c r="F428" s="8">
        <f>IF(IF(D428&lt;&gt;D427,1,IF(OR(B428&lt;&gt;B427,A428-A427&gt;$U$1),1,""))&lt;&gt;1,"",IF(C428="B01",1,IF(C428="B05",1,IF(C428="B03",1,IF(C428="B04",1,IF(C428="B20",1,IF(C428="B02",1,0)))))))</f>
        <v>1</v>
      </c>
      <c r="G428"/>
      <c r="H428" s="2"/>
      <c r="I428" s="2"/>
      <c r="L428"/>
      <c r="R428"/>
      <c r="S428" s="5"/>
      <c r="U428" s="5"/>
    </row>
    <row r="429" spans="1:21">
      <c r="A429" s="3">
        <v>45671.341562499998</v>
      </c>
      <c r="B429" s="2" t="s">
        <v>26</v>
      </c>
      <c r="C429" s="2" t="s">
        <v>11</v>
      </c>
      <c r="D429" s="6" t="str">
        <f>CONCATENATE(YEAR(A429),"/",IF(MONTH(A429)&lt;10,CONCATENATE("0",MONTH(A429)),MONTH(A429)))</f>
        <v>2025/01</v>
      </c>
      <c r="E429" s="8" t="str">
        <f>IF(IF(D429&lt;&gt;D428,1,IF(OR(B429&lt;&gt;B428,A429-A428&gt;$U$1),1,""))&lt;&gt;1,"",IF(C429="B01",1965,IF(C429="B02",1020,IF(C429="B05",2400,IF(C429="B03",4260,IF(C429="B04",2880,IF(C429="B20",1260,0)))))))</f>
        <v/>
      </c>
      <c r="F429" s="8" t="str">
        <f>IF(IF(D429&lt;&gt;D428,1,IF(OR(B429&lt;&gt;B428,A429-A428&gt;$U$1),1,""))&lt;&gt;1,"",IF(C429="B01",1,IF(C429="B05",1,IF(C429="B03",1,IF(C429="B04",1,IF(C429="B20",1,IF(C429="B02",1,0)))))))</f>
        <v/>
      </c>
      <c r="G429"/>
      <c r="H429" s="2"/>
      <c r="I429" s="2"/>
      <c r="L429"/>
      <c r="R429"/>
      <c r="S429" s="5"/>
      <c r="U429" s="5"/>
    </row>
    <row r="430" spans="1:21">
      <c r="A430" s="3">
        <v>45671.341562499998</v>
      </c>
      <c r="B430" s="2" t="s">
        <v>26</v>
      </c>
      <c r="C430" s="2" t="s">
        <v>11</v>
      </c>
      <c r="D430" s="6" t="str">
        <f>CONCATENATE(YEAR(A430),"/",IF(MONTH(A430)&lt;10,CONCATENATE("0",MONTH(A430)),MONTH(A430)))</f>
        <v>2025/01</v>
      </c>
      <c r="E430" s="8" t="str">
        <f>IF(IF(D430&lt;&gt;D429,1,IF(OR(B430&lt;&gt;B429,A430-A429&gt;$U$1),1,""))&lt;&gt;1,"",IF(C430="B01",1965,IF(C430="B02",1020,IF(C430="B05",2400,IF(C430="B03",4260,IF(C430="B04",2880,IF(C430="B20",1260,0)))))))</f>
        <v/>
      </c>
      <c r="F430" s="8" t="str">
        <f>IF(IF(D430&lt;&gt;D429,1,IF(OR(B430&lt;&gt;B429,A430-A429&gt;$U$1),1,""))&lt;&gt;1,"",IF(C430="B01",1,IF(C430="B05",1,IF(C430="B03",1,IF(C430="B04",1,IF(C430="B20",1,IF(C430="B02",1,0)))))))</f>
        <v/>
      </c>
      <c r="G430"/>
      <c r="H430" s="2"/>
      <c r="I430" s="2"/>
      <c r="L430"/>
      <c r="R430"/>
      <c r="S430" s="5"/>
      <c r="U430" s="5"/>
    </row>
    <row r="431" spans="1:21">
      <c r="A431" s="3">
        <v>45671.60292824074</v>
      </c>
      <c r="B431" s="2" t="s">
        <v>26</v>
      </c>
      <c r="C431" s="2" t="s">
        <v>11</v>
      </c>
      <c r="D431" s="6" t="str">
        <f>CONCATENATE(YEAR(A431),"/",IF(MONTH(A431)&lt;10,CONCATENATE("0",MONTH(A431)),MONTH(A431)))</f>
        <v>2025/01</v>
      </c>
      <c r="E431" s="8">
        <f>IF(IF(D431&lt;&gt;D430,1,IF(OR(B431&lt;&gt;B430,A431-A430&gt;$U$1),1,""))&lt;&gt;1,"",IF(C431="B01",1965,IF(C431="B02",1020,IF(C431="B05",2400,IF(C431="B03",4260,IF(C431="B04",2880,IF(C431="B20",1260,0)))))))</f>
        <v>2400</v>
      </c>
      <c r="F431" s="8">
        <f>IF(IF(D431&lt;&gt;D430,1,IF(OR(B431&lt;&gt;B430,A431-A430&gt;$U$1),1,""))&lt;&gt;1,"",IF(C431="B01",1,IF(C431="B05",1,IF(C431="B03",1,IF(C431="B04",1,IF(C431="B20",1,IF(C431="B02",1,0)))))))</f>
        <v>1</v>
      </c>
      <c r="G431"/>
      <c r="H431" s="2"/>
      <c r="I431" s="2"/>
      <c r="L431"/>
      <c r="R431"/>
      <c r="S431" s="5"/>
      <c r="U431" s="5"/>
    </row>
    <row r="432" spans="1:21">
      <c r="A432" s="3">
        <v>45671.60292824074</v>
      </c>
      <c r="B432" s="2" t="s">
        <v>26</v>
      </c>
      <c r="C432" s="2" t="s">
        <v>11</v>
      </c>
      <c r="D432" s="6" t="str">
        <f>CONCATENATE(YEAR(A432),"/",IF(MONTH(A432)&lt;10,CONCATENATE("0",MONTH(A432)),MONTH(A432)))</f>
        <v>2025/01</v>
      </c>
      <c r="E432" s="8" t="str">
        <f>IF(IF(D432&lt;&gt;D431,1,IF(OR(B432&lt;&gt;B431,A432-A431&gt;$U$1),1,""))&lt;&gt;1,"",IF(C432="B01",1965,IF(C432="B02",1020,IF(C432="B05",2400,IF(C432="B03",4260,IF(C432="B04",2880,IF(C432="B20",1260,0)))))))</f>
        <v/>
      </c>
      <c r="F432" s="8" t="str">
        <f>IF(IF(D432&lt;&gt;D431,1,IF(OR(B432&lt;&gt;B431,A432-A431&gt;$U$1),1,""))&lt;&gt;1,"",IF(C432="B01",1,IF(C432="B05",1,IF(C432="B03",1,IF(C432="B04",1,IF(C432="B20",1,IF(C432="B02",1,0)))))))</f>
        <v/>
      </c>
      <c r="G432"/>
      <c r="H432" s="2"/>
      <c r="I432" s="2"/>
      <c r="L432"/>
      <c r="R432"/>
      <c r="S432" s="5"/>
      <c r="U432" s="5"/>
    </row>
    <row r="433" spans="1:21">
      <c r="A433" s="3">
        <v>45672.049907407411</v>
      </c>
      <c r="B433" s="2" t="s">
        <v>26</v>
      </c>
      <c r="C433" s="2" t="s">
        <v>12</v>
      </c>
      <c r="D433" s="6" t="str">
        <f>CONCATENATE(YEAR(A433),"/",IF(MONTH(A433)&lt;10,CONCATENATE("0",MONTH(A433)),MONTH(A433)))</f>
        <v>2025/01</v>
      </c>
      <c r="E433" s="8">
        <f>IF(IF(D433&lt;&gt;D432,1,IF(OR(B433&lt;&gt;B432,A433-A432&gt;$U$1),1,""))&lt;&gt;1,"",IF(C433="B01",1965,IF(C433="B02",1020,IF(C433="B05",2400,IF(C433="B03",4260,IF(C433="B04",2880,IF(C433="B20",1260,0)))))))</f>
        <v>4260</v>
      </c>
      <c r="F433" s="8">
        <f>IF(IF(D433&lt;&gt;D432,1,IF(OR(B433&lt;&gt;B432,A433-A432&gt;$U$1),1,""))&lt;&gt;1,"",IF(C433="B01",1,IF(C433="B05",1,IF(C433="B03",1,IF(C433="B04",1,IF(C433="B20",1,IF(C433="B02",1,0)))))))</f>
        <v>1</v>
      </c>
      <c r="G433"/>
      <c r="H433" s="2"/>
      <c r="I433" s="2"/>
      <c r="L433"/>
      <c r="R433"/>
      <c r="S433" s="5"/>
      <c r="U433" s="5"/>
    </row>
    <row r="434" spans="1:21">
      <c r="A434" s="3">
        <v>45672.049907407411</v>
      </c>
      <c r="B434" s="2" t="s">
        <v>26</v>
      </c>
      <c r="C434" s="2" t="s">
        <v>12</v>
      </c>
      <c r="D434" s="6" t="str">
        <f>CONCATENATE(YEAR(A434),"/",IF(MONTH(A434)&lt;10,CONCATENATE("0",MONTH(A434)),MONTH(A434)))</f>
        <v>2025/01</v>
      </c>
      <c r="E434" s="8" t="str">
        <f>IF(IF(D434&lt;&gt;D433,1,IF(OR(B434&lt;&gt;B433,A434-A433&gt;$U$1),1,""))&lt;&gt;1,"",IF(C434="B01",1965,IF(C434="B02",1020,IF(C434="B05",2400,IF(C434="B03",4260,IF(C434="B04",2880,IF(C434="B20",1260,0)))))))</f>
        <v/>
      </c>
      <c r="F434" s="8" t="str">
        <f>IF(IF(D434&lt;&gt;D433,1,IF(OR(B434&lt;&gt;B433,A434-A433&gt;$U$1),1,""))&lt;&gt;1,"",IF(C434="B01",1,IF(C434="B05",1,IF(C434="B03",1,IF(C434="B04",1,IF(C434="B20",1,IF(C434="B02",1,0)))))))</f>
        <v/>
      </c>
      <c r="G434"/>
      <c r="H434" s="2"/>
      <c r="I434" s="2"/>
      <c r="L434"/>
      <c r="R434"/>
      <c r="S434" s="5"/>
      <c r="U434" s="5"/>
    </row>
    <row r="435" spans="1:21">
      <c r="A435" s="3">
        <v>45672.049907407411</v>
      </c>
      <c r="B435" s="2" t="s">
        <v>26</v>
      </c>
      <c r="C435" s="2" t="s">
        <v>12</v>
      </c>
      <c r="D435" s="6" t="str">
        <f>CONCATENATE(YEAR(A435),"/",IF(MONTH(A435)&lt;10,CONCATENATE("0",MONTH(A435)),MONTH(A435)))</f>
        <v>2025/01</v>
      </c>
      <c r="E435" s="8" t="str">
        <f>IF(IF(D435&lt;&gt;D434,1,IF(OR(B435&lt;&gt;B434,A435-A434&gt;$U$1),1,""))&lt;&gt;1,"",IF(C435="B01",1965,IF(C435="B02",1020,IF(C435="B05",2400,IF(C435="B03",4260,IF(C435="B04",2880,IF(C435="B20",1260,0)))))))</f>
        <v/>
      </c>
      <c r="F435" s="8" t="str">
        <f>IF(IF(D435&lt;&gt;D434,1,IF(OR(B435&lt;&gt;B434,A435-A434&gt;$U$1),1,""))&lt;&gt;1,"",IF(C435="B01",1,IF(C435="B05",1,IF(C435="B03",1,IF(C435="B04",1,IF(C435="B20",1,IF(C435="B02",1,0)))))))</f>
        <v/>
      </c>
      <c r="G435"/>
      <c r="H435" s="2"/>
      <c r="I435" s="2"/>
      <c r="L435"/>
      <c r="R435"/>
      <c r="S435" s="5"/>
      <c r="U435" s="5"/>
    </row>
    <row r="436" spans="1:21">
      <c r="A436" s="3">
        <v>45672.049907407411</v>
      </c>
      <c r="B436" s="2" t="s">
        <v>26</v>
      </c>
      <c r="C436" s="2" t="s">
        <v>12</v>
      </c>
      <c r="D436" s="6" t="str">
        <f>CONCATENATE(YEAR(A436),"/",IF(MONTH(A436)&lt;10,CONCATENATE("0",MONTH(A436)),MONTH(A436)))</f>
        <v>2025/01</v>
      </c>
      <c r="E436" s="8" t="str">
        <f>IF(IF(D436&lt;&gt;D435,1,IF(OR(B436&lt;&gt;B435,A436-A435&gt;$U$1),1,""))&lt;&gt;1,"",IF(C436="B01",1965,IF(C436="B02",1020,IF(C436="B05",2400,IF(C436="B03",4260,IF(C436="B04",2880,IF(C436="B20",1260,0)))))))</f>
        <v/>
      </c>
      <c r="F436" s="8" t="str">
        <f>IF(IF(D436&lt;&gt;D435,1,IF(OR(B436&lt;&gt;B435,A436-A435&gt;$U$1),1,""))&lt;&gt;1,"",IF(C436="B01",1,IF(C436="B05",1,IF(C436="B03",1,IF(C436="B04",1,IF(C436="B20",1,IF(C436="B02",1,0)))))))</f>
        <v/>
      </c>
      <c r="G436"/>
      <c r="H436" s="2"/>
      <c r="I436" s="2"/>
      <c r="L436"/>
      <c r="R436"/>
      <c r="S436" s="5"/>
      <c r="U436" s="5"/>
    </row>
    <row r="437" spans="1:21">
      <c r="A437" s="3">
        <v>45672.253240740742</v>
      </c>
      <c r="B437" s="2" t="s">
        <v>26</v>
      </c>
      <c r="C437" s="2" t="s">
        <v>12</v>
      </c>
      <c r="D437" s="6" t="str">
        <f>CONCATENATE(YEAR(A437),"/",IF(MONTH(A437)&lt;10,CONCATENATE("0",MONTH(A437)),MONTH(A437)))</f>
        <v>2025/01</v>
      </c>
      <c r="E437" s="8">
        <f>IF(IF(D437&lt;&gt;D436,1,IF(OR(B437&lt;&gt;B436,A437-A436&gt;$U$1),1,""))&lt;&gt;1,"",IF(C437="B01",1965,IF(C437="B02",1020,IF(C437="B05",2400,IF(C437="B03",4260,IF(C437="B04",2880,IF(C437="B20",1260,0)))))))</f>
        <v>4260</v>
      </c>
      <c r="F437" s="8">
        <f>IF(IF(D437&lt;&gt;D436,1,IF(OR(B437&lt;&gt;B436,A437-A436&gt;$U$1),1,""))&lt;&gt;1,"",IF(C437="B01",1,IF(C437="B05",1,IF(C437="B03",1,IF(C437="B04",1,IF(C437="B20",1,IF(C437="B02",1,0)))))))</f>
        <v>1</v>
      </c>
      <c r="G437"/>
      <c r="H437" s="2"/>
      <c r="I437" s="2"/>
      <c r="L437"/>
      <c r="R437"/>
      <c r="S437" s="5"/>
      <c r="U437" s="5"/>
    </row>
    <row r="438" spans="1:21">
      <c r="A438" s="3">
        <v>45672.389456018522</v>
      </c>
      <c r="B438" s="2" t="s">
        <v>26</v>
      </c>
      <c r="C438" s="2" t="s">
        <v>11</v>
      </c>
      <c r="D438" s="6" t="str">
        <f>CONCATENATE(YEAR(A438),"/",IF(MONTH(A438)&lt;10,CONCATENATE("0",MONTH(A438)),MONTH(A438)))</f>
        <v>2025/01</v>
      </c>
      <c r="E438" s="8">
        <f>IF(IF(D438&lt;&gt;D437,1,IF(OR(B438&lt;&gt;B437,A438-A437&gt;$U$1),1,""))&lt;&gt;1,"",IF(C438="B01",1965,IF(C438="B02",1020,IF(C438="B05",2400,IF(C438="B03",4260,IF(C438="B04",2880,IF(C438="B20",1260,0)))))))</f>
        <v>2400</v>
      </c>
      <c r="F438" s="8">
        <f>IF(IF(D438&lt;&gt;D437,1,IF(OR(B438&lt;&gt;B437,A438-A437&gt;$U$1),1,""))&lt;&gt;1,"",IF(C438="B01",1,IF(C438="B05",1,IF(C438="B03",1,IF(C438="B04",1,IF(C438="B20",1,IF(C438="B02",1,0)))))))</f>
        <v>1</v>
      </c>
      <c r="G438"/>
      <c r="H438" s="2"/>
      <c r="I438" s="2"/>
      <c r="L438"/>
      <c r="R438"/>
      <c r="S438" s="5"/>
      <c r="U438" s="5"/>
    </row>
    <row r="439" spans="1:21">
      <c r="A439" s="3">
        <v>45672.389456018522</v>
      </c>
      <c r="B439" s="2" t="s">
        <v>26</v>
      </c>
      <c r="C439" s="2" t="s">
        <v>11</v>
      </c>
      <c r="D439" s="6" t="str">
        <f>CONCATENATE(YEAR(A439),"/",IF(MONTH(A439)&lt;10,CONCATENATE("0",MONTH(A439)),MONTH(A439)))</f>
        <v>2025/01</v>
      </c>
      <c r="E439" s="8" t="str">
        <f>IF(IF(D439&lt;&gt;D438,1,IF(OR(B439&lt;&gt;B438,A439-A438&gt;$U$1),1,""))&lt;&gt;1,"",IF(C439="B01",1965,IF(C439="B02",1020,IF(C439="B05",2400,IF(C439="B03",4260,IF(C439="B04",2880,IF(C439="B20",1260,0)))))))</f>
        <v/>
      </c>
      <c r="F439" s="8" t="str">
        <f>IF(IF(D439&lt;&gt;D438,1,IF(OR(B439&lt;&gt;B438,A439-A438&gt;$U$1),1,""))&lt;&gt;1,"",IF(C439="B01",1,IF(C439="B05",1,IF(C439="B03",1,IF(C439="B04",1,IF(C439="B20",1,IF(C439="B02",1,0)))))))</f>
        <v/>
      </c>
      <c r="G439"/>
      <c r="H439" s="2"/>
      <c r="I439" s="2"/>
      <c r="L439"/>
      <c r="R439"/>
      <c r="S439" s="5"/>
      <c r="U439" s="5"/>
    </row>
    <row r="440" spans="1:21">
      <c r="A440" s="3">
        <v>45672.389456018522</v>
      </c>
      <c r="B440" s="2" t="s">
        <v>26</v>
      </c>
      <c r="C440" s="2" t="s">
        <v>11</v>
      </c>
      <c r="D440" s="6" t="str">
        <f>CONCATENATE(YEAR(A440),"/",IF(MONTH(A440)&lt;10,CONCATENATE("0",MONTH(A440)),MONTH(A440)))</f>
        <v>2025/01</v>
      </c>
      <c r="E440" s="8" t="str">
        <f>IF(IF(D440&lt;&gt;D439,1,IF(OR(B440&lt;&gt;B439,A440-A439&gt;$U$1),1,""))&lt;&gt;1,"",IF(C440="B01",1965,IF(C440="B02",1020,IF(C440="B05",2400,IF(C440="B03",4260,IF(C440="B04",2880,IF(C440="B20",1260,0)))))))</f>
        <v/>
      </c>
      <c r="F440" s="8" t="str">
        <f>IF(IF(D440&lt;&gt;D439,1,IF(OR(B440&lt;&gt;B439,A440-A439&gt;$U$1),1,""))&lt;&gt;1,"",IF(C440="B01",1,IF(C440="B05",1,IF(C440="B03",1,IF(C440="B04",1,IF(C440="B20",1,IF(C440="B02",1,0)))))))</f>
        <v/>
      </c>
      <c r="G440"/>
      <c r="H440" s="2"/>
      <c r="I440" s="2"/>
      <c r="L440"/>
      <c r="R440"/>
      <c r="S440" s="5"/>
      <c r="U440" s="5"/>
    </row>
    <row r="441" spans="1:21">
      <c r="A441" s="3">
        <v>45673.045381944445</v>
      </c>
      <c r="B441" s="2" t="s">
        <v>26</v>
      </c>
      <c r="C441" s="2" t="s">
        <v>11</v>
      </c>
      <c r="D441" s="6" t="str">
        <f>CONCATENATE(YEAR(A441),"/",IF(MONTH(A441)&lt;10,CONCATENATE("0",MONTH(A441)),MONTH(A441)))</f>
        <v>2025/01</v>
      </c>
      <c r="E441" s="8">
        <f>IF(IF(D441&lt;&gt;D440,1,IF(OR(B441&lt;&gt;B440,A441-A440&gt;$U$1),1,""))&lt;&gt;1,"",IF(C441="B01",1965,IF(C441="B02",1020,IF(C441="B05",2400,IF(C441="B03",4260,IF(C441="B04",2880,IF(C441="B20",1260,0)))))))</f>
        <v>2400</v>
      </c>
      <c r="F441" s="8">
        <f>IF(IF(D441&lt;&gt;D440,1,IF(OR(B441&lt;&gt;B440,A441-A440&gt;$U$1),1,""))&lt;&gt;1,"",IF(C441="B01",1,IF(C441="B05",1,IF(C441="B03",1,IF(C441="B04",1,IF(C441="B20",1,IF(C441="B02",1,0)))))))</f>
        <v>1</v>
      </c>
      <c r="G441"/>
      <c r="H441" s="2"/>
      <c r="I441" s="2"/>
      <c r="L441"/>
      <c r="R441"/>
      <c r="S441" s="5"/>
      <c r="U441" s="5"/>
    </row>
    <row r="442" spans="1:21">
      <c r="A442" s="3">
        <v>45673.045381944445</v>
      </c>
      <c r="B442" s="2" t="s">
        <v>26</v>
      </c>
      <c r="C442" s="2" t="s">
        <v>11</v>
      </c>
      <c r="D442" s="6" t="str">
        <f>CONCATENATE(YEAR(A442),"/",IF(MONTH(A442)&lt;10,CONCATENATE("0",MONTH(A442)),MONTH(A442)))</f>
        <v>2025/01</v>
      </c>
      <c r="E442" s="8" t="str">
        <f>IF(IF(D442&lt;&gt;D441,1,IF(OR(B442&lt;&gt;B441,A442-A441&gt;$U$1),1,""))&lt;&gt;1,"",IF(C442="B01",1965,IF(C442="B02",1020,IF(C442="B05",2400,IF(C442="B03",4260,IF(C442="B04",2880,IF(C442="B20",1260,0)))))))</f>
        <v/>
      </c>
      <c r="F442" s="8" t="str">
        <f>IF(IF(D442&lt;&gt;D441,1,IF(OR(B442&lt;&gt;B441,A442-A441&gt;$U$1),1,""))&lt;&gt;1,"",IF(C442="B01",1,IF(C442="B05",1,IF(C442="B03",1,IF(C442="B04",1,IF(C442="B20",1,IF(C442="B02",1,0)))))))</f>
        <v/>
      </c>
      <c r="G442"/>
      <c r="H442" s="2"/>
      <c r="I442" s="2"/>
      <c r="L442"/>
      <c r="R442"/>
      <c r="S442" s="5"/>
      <c r="U442" s="5"/>
    </row>
    <row r="443" spans="1:21">
      <c r="A443" s="3">
        <v>45673.045381944445</v>
      </c>
      <c r="B443" s="2" t="s">
        <v>26</v>
      </c>
      <c r="C443" s="2" t="s">
        <v>11</v>
      </c>
      <c r="D443" s="6" t="str">
        <f>CONCATENATE(YEAR(A443),"/",IF(MONTH(A443)&lt;10,CONCATENATE("0",MONTH(A443)),MONTH(A443)))</f>
        <v>2025/01</v>
      </c>
      <c r="E443" s="8" t="str">
        <f>IF(IF(D443&lt;&gt;D442,1,IF(OR(B443&lt;&gt;B442,A443-A442&gt;$U$1),1,""))&lt;&gt;1,"",IF(C443="B01",1965,IF(C443="B02",1020,IF(C443="B05",2400,IF(C443="B03",4260,IF(C443="B04",2880,IF(C443="B20",1260,0)))))))</f>
        <v/>
      </c>
      <c r="F443" s="8" t="str">
        <f>IF(IF(D443&lt;&gt;D442,1,IF(OR(B443&lt;&gt;B442,A443-A442&gt;$U$1),1,""))&lt;&gt;1,"",IF(C443="B01",1,IF(C443="B05",1,IF(C443="B03",1,IF(C443="B04",1,IF(C443="B20",1,IF(C443="B02",1,0)))))))</f>
        <v/>
      </c>
      <c r="G443"/>
      <c r="H443" s="2"/>
      <c r="I443" s="2"/>
      <c r="L443"/>
      <c r="R443"/>
      <c r="S443" s="5"/>
      <c r="U443" s="5"/>
    </row>
    <row r="444" spans="1:21">
      <c r="A444" s="3">
        <v>45673.067141203705</v>
      </c>
      <c r="B444" s="2" t="s">
        <v>26</v>
      </c>
      <c r="C444" s="2" t="s">
        <v>11</v>
      </c>
      <c r="D444" s="6" t="str">
        <f>CONCATENATE(YEAR(A444),"/",IF(MONTH(A444)&lt;10,CONCATENATE("0",MONTH(A444)),MONTH(A444)))</f>
        <v>2025/01</v>
      </c>
      <c r="E444" s="8">
        <f>IF(IF(D444&lt;&gt;D443,1,IF(OR(B444&lt;&gt;B443,A444-A443&gt;$U$1),1,""))&lt;&gt;1,"",IF(C444="B01",1965,IF(C444="B02",1020,IF(C444="B05",2400,IF(C444="B03",4260,IF(C444="B04",2880,IF(C444="B20",1260,0)))))))</f>
        <v>2400</v>
      </c>
      <c r="F444" s="8">
        <f>IF(IF(D444&lt;&gt;D443,1,IF(OR(B444&lt;&gt;B443,A444-A443&gt;$U$1),1,""))&lt;&gt;1,"",IF(C444="B01",1,IF(C444="B05",1,IF(C444="B03",1,IF(C444="B04",1,IF(C444="B20",1,IF(C444="B02",1,0)))))))</f>
        <v>1</v>
      </c>
      <c r="G444"/>
      <c r="H444" s="2"/>
      <c r="I444" s="2"/>
      <c r="L444"/>
      <c r="R444"/>
      <c r="S444" s="5"/>
      <c r="U444" s="5"/>
    </row>
    <row r="445" spans="1:21">
      <c r="A445" s="3">
        <v>45673.350671296299</v>
      </c>
      <c r="B445" s="2" t="s">
        <v>26</v>
      </c>
      <c r="C445" s="2" t="s">
        <v>12</v>
      </c>
      <c r="D445" s="6" t="str">
        <f>CONCATENATE(YEAR(A445),"/",IF(MONTH(A445)&lt;10,CONCATENATE("0",MONTH(A445)),MONTH(A445)))</f>
        <v>2025/01</v>
      </c>
      <c r="E445" s="8">
        <f>IF(IF(D445&lt;&gt;D444,1,IF(OR(B445&lt;&gt;B444,A445-A444&gt;$U$1),1,""))&lt;&gt;1,"",IF(C445="B01",1965,IF(C445="B02",1020,IF(C445="B05",2400,IF(C445="B03",4260,IF(C445="B04",2880,IF(C445="B20",1260,0)))))))</f>
        <v>4260</v>
      </c>
      <c r="F445" s="8">
        <f>IF(IF(D445&lt;&gt;D444,1,IF(OR(B445&lt;&gt;B444,A445-A444&gt;$U$1),1,""))&lt;&gt;1,"",IF(C445="B01",1,IF(C445="B05",1,IF(C445="B03",1,IF(C445="B04",1,IF(C445="B20",1,IF(C445="B02",1,0)))))))</f>
        <v>1</v>
      </c>
      <c r="G445"/>
      <c r="H445" s="2"/>
      <c r="I445" s="2"/>
      <c r="L445"/>
      <c r="R445"/>
      <c r="S445" s="5"/>
      <c r="U445" s="5"/>
    </row>
    <row r="446" spans="1:21">
      <c r="A446" s="3">
        <v>45673.350671296299</v>
      </c>
      <c r="B446" s="2" t="s">
        <v>26</v>
      </c>
      <c r="C446" s="2" t="s">
        <v>12</v>
      </c>
      <c r="D446" s="6" t="str">
        <f>CONCATENATE(YEAR(A446),"/",IF(MONTH(A446)&lt;10,CONCATENATE("0",MONTH(A446)),MONTH(A446)))</f>
        <v>2025/01</v>
      </c>
      <c r="E446" s="8" t="str">
        <f>IF(IF(D446&lt;&gt;D445,1,IF(OR(B446&lt;&gt;B445,A446-A445&gt;$U$1),1,""))&lt;&gt;1,"",IF(C446="B01",1965,IF(C446="B02",1020,IF(C446="B05",2400,IF(C446="B03",4260,IF(C446="B04",2880,IF(C446="B20",1260,0)))))))</f>
        <v/>
      </c>
      <c r="F446" s="8" t="str">
        <f>IF(IF(D446&lt;&gt;D445,1,IF(OR(B446&lt;&gt;B445,A446-A445&gt;$U$1),1,""))&lt;&gt;1,"",IF(C446="B01",1,IF(C446="B05",1,IF(C446="B03",1,IF(C446="B04",1,IF(C446="B20",1,IF(C446="B02",1,0)))))))</f>
        <v/>
      </c>
      <c r="G446"/>
      <c r="H446" s="2"/>
      <c r="I446" s="2"/>
      <c r="L446"/>
      <c r="R446"/>
      <c r="S446" s="5"/>
      <c r="U446" s="5"/>
    </row>
    <row r="447" spans="1:21">
      <c r="A447" s="3">
        <v>45673.350671296299</v>
      </c>
      <c r="B447" s="2" t="s">
        <v>26</v>
      </c>
      <c r="C447" s="2" t="s">
        <v>12</v>
      </c>
      <c r="D447" s="6" t="str">
        <f>CONCATENATE(YEAR(A447),"/",IF(MONTH(A447)&lt;10,CONCATENATE("0",MONTH(A447)),MONTH(A447)))</f>
        <v>2025/01</v>
      </c>
      <c r="E447" s="8" t="str">
        <f>IF(IF(D447&lt;&gt;D446,1,IF(OR(B447&lt;&gt;B446,A447-A446&gt;$U$1),1,""))&lt;&gt;1,"",IF(C447="B01",1965,IF(C447="B02",1020,IF(C447="B05",2400,IF(C447="B03",4260,IF(C447="B04",2880,IF(C447="B20",1260,0)))))))</f>
        <v/>
      </c>
      <c r="F447" s="8" t="str">
        <f>IF(IF(D447&lt;&gt;D446,1,IF(OR(B447&lt;&gt;B446,A447-A446&gt;$U$1),1,""))&lt;&gt;1,"",IF(C447="B01",1,IF(C447="B05",1,IF(C447="B03",1,IF(C447="B04",1,IF(C447="B20",1,IF(C447="B02",1,0)))))))</f>
        <v/>
      </c>
      <c r="G447"/>
      <c r="H447" s="2"/>
      <c r="I447" s="2"/>
      <c r="L447"/>
      <c r="R447"/>
      <c r="S447" s="5"/>
      <c r="U447" s="5"/>
    </row>
    <row r="448" spans="1:21">
      <c r="A448" s="3">
        <v>45673.535416666666</v>
      </c>
      <c r="B448" s="2" t="s">
        <v>26</v>
      </c>
      <c r="C448" s="2" t="s">
        <v>11</v>
      </c>
      <c r="D448" s="6" t="str">
        <f>CONCATENATE(YEAR(A448),"/",IF(MONTH(A448)&lt;10,CONCATENATE("0",MONTH(A448)),MONTH(A448)))</f>
        <v>2025/01</v>
      </c>
      <c r="E448" s="8">
        <f>IF(IF(D448&lt;&gt;D447,1,IF(OR(B448&lt;&gt;B447,A448-A447&gt;$U$1),1,""))&lt;&gt;1,"",IF(C448="B01",1965,IF(C448="B02",1020,IF(C448="B05",2400,IF(C448="B03",4260,IF(C448="B04",2880,IF(C448="B20",1260,0)))))))</f>
        <v>2400</v>
      </c>
      <c r="F448" s="8">
        <f>IF(IF(D448&lt;&gt;D447,1,IF(OR(B448&lt;&gt;B447,A448-A447&gt;$U$1),1,""))&lt;&gt;1,"",IF(C448="B01",1,IF(C448="B05",1,IF(C448="B03",1,IF(C448="B04",1,IF(C448="B20",1,IF(C448="B02",1,0)))))))</f>
        <v>1</v>
      </c>
      <c r="G448"/>
      <c r="H448" s="2"/>
      <c r="I448" s="2"/>
      <c r="L448"/>
      <c r="R448"/>
      <c r="S448" s="5"/>
      <c r="U448" s="5"/>
    </row>
    <row r="449" spans="1:21">
      <c r="A449" s="3">
        <v>45673.535416666666</v>
      </c>
      <c r="B449" s="2" t="s">
        <v>26</v>
      </c>
      <c r="C449" s="2" t="s">
        <v>11</v>
      </c>
      <c r="D449" s="6" t="str">
        <f>CONCATENATE(YEAR(A449),"/",IF(MONTH(A449)&lt;10,CONCATENATE("0",MONTH(A449)),MONTH(A449)))</f>
        <v>2025/01</v>
      </c>
      <c r="E449" s="8" t="str">
        <f>IF(IF(D449&lt;&gt;D448,1,IF(OR(B449&lt;&gt;B448,A449-A448&gt;$U$1),1,""))&lt;&gt;1,"",IF(C449="B01",1965,IF(C449="B02",1020,IF(C449="B05",2400,IF(C449="B03",4260,IF(C449="B04",2880,IF(C449="B20",1260,0)))))))</f>
        <v/>
      </c>
      <c r="F449" s="8" t="str">
        <f>IF(IF(D449&lt;&gt;D448,1,IF(OR(B449&lt;&gt;B448,A449-A448&gt;$U$1),1,""))&lt;&gt;1,"",IF(C449="B01",1,IF(C449="B05",1,IF(C449="B03",1,IF(C449="B04",1,IF(C449="B20",1,IF(C449="B02",1,0)))))))</f>
        <v/>
      </c>
      <c r="G449"/>
      <c r="H449" s="2"/>
      <c r="I449" s="2"/>
      <c r="L449"/>
      <c r="R449"/>
      <c r="S449" s="5"/>
      <c r="U449" s="5"/>
    </row>
    <row r="450" spans="1:21">
      <c r="A450" s="3">
        <v>45673.535416666666</v>
      </c>
      <c r="B450" s="2" t="s">
        <v>26</v>
      </c>
      <c r="C450" s="2" t="s">
        <v>11</v>
      </c>
      <c r="D450" s="6" t="str">
        <f>CONCATENATE(YEAR(A450),"/",IF(MONTH(A450)&lt;10,CONCATENATE("0",MONTH(A450)),MONTH(A450)))</f>
        <v>2025/01</v>
      </c>
      <c r="E450" s="8" t="str">
        <f>IF(IF(D450&lt;&gt;D449,1,IF(OR(B450&lt;&gt;B449,A450-A449&gt;$U$1),1,""))&lt;&gt;1,"",IF(C450="B01",1965,IF(C450="B02",1020,IF(C450="B05",2400,IF(C450="B03",4260,IF(C450="B04",2880,IF(C450="B20",1260,0)))))))</f>
        <v/>
      </c>
      <c r="F450" s="8" t="str">
        <f>IF(IF(D450&lt;&gt;D449,1,IF(OR(B450&lt;&gt;B449,A450-A449&gt;$U$1),1,""))&lt;&gt;1,"",IF(C450="B01",1,IF(C450="B05",1,IF(C450="B03",1,IF(C450="B04",1,IF(C450="B20",1,IF(C450="B02",1,0)))))))</f>
        <v/>
      </c>
      <c r="G450"/>
      <c r="H450" s="2"/>
      <c r="I450" s="2"/>
      <c r="L450"/>
      <c r="R450"/>
      <c r="S450" s="5"/>
      <c r="U450" s="5"/>
    </row>
    <row r="451" spans="1:21">
      <c r="A451" s="3">
        <v>45673.535416666666</v>
      </c>
      <c r="B451" s="2" t="s">
        <v>26</v>
      </c>
      <c r="C451" s="2" t="s">
        <v>11</v>
      </c>
      <c r="D451" s="6" t="str">
        <f>CONCATENATE(YEAR(A451),"/",IF(MONTH(A451)&lt;10,CONCATENATE("0",MONTH(A451)),MONTH(A451)))</f>
        <v>2025/01</v>
      </c>
      <c r="E451" s="8" t="str">
        <f>IF(IF(D451&lt;&gt;D450,1,IF(OR(B451&lt;&gt;B450,A451-A450&gt;$U$1),1,""))&lt;&gt;1,"",IF(C451="B01",1965,IF(C451="B02",1020,IF(C451="B05",2400,IF(C451="B03",4260,IF(C451="B04",2880,IF(C451="B20",1260,0)))))))</f>
        <v/>
      </c>
      <c r="F451" s="8" t="str">
        <f>IF(IF(D451&lt;&gt;D450,1,IF(OR(B451&lt;&gt;B450,A451-A450&gt;$U$1),1,""))&lt;&gt;1,"",IF(C451="B01",1,IF(C451="B05",1,IF(C451="B03",1,IF(C451="B04",1,IF(C451="B20",1,IF(C451="B02",1,0)))))))</f>
        <v/>
      </c>
      <c r="G451"/>
      <c r="H451" s="2"/>
      <c r="I451" s="2"/>
      <c r="L451"/>
      <c r="R451"/>
      <c r="S451" s="5"/>
      <c r="U451" s="5"/>
    </row>
    <row r="452" spans="1:21">
      <c r="A452" s="3">
        <v>45673.754363425927</v>
      </c>
      <c r="B452" s="2" t="s">
        <v>26</v>
      </c>
      <c r="C452" s="2" t="s">
        <v>12</v>
      </c>
      <c r="D452" s="6" t="str">
        <f>CONCATENATE(YEAR(A452),"/",IF(MONTH(A452)&lt;10,CONCATENATE("0",MONTH(A452)),MONTH(A452)))</f>
        <v>2025/01</v>
      </c>
      <c r="E452" s="8">
        <f>IF(IF(D452&lt;&gt;D451,1,IF(OR(B452&lt;&gt;B451,A452-A451&gt;$U$1),1,""))&lt;&gt;1,"",IF(C452="B01",1965,IF(C452="B02",1020,IF(C452="B05",2400,IF(C452="B03",4260,IF(C452="B04",2880,IF(C452="B20",1260,0)))))))</f>
        <v>4260</v>
      </c>
      <c r="F452" s="8">
        <f>IF(IF(D452&lt;&gt;D451,1,IF(OR(B452&lt;&gt;B451,A452-A451&gt;$U$1),1,""))&lt;&gt;1,"",IF(C452="B01",1,IF(C452="B05",1,IF(C452="B03",1,IF(C452="B04",1,IF(C452="B20",1,IF(C452="B02",1,0)))))))</f>
        <v>1</v>
      </c>
      <c r="G452"/>
      <c r="H452" s="2"/>
      <c r="I452" s="2"/>
      <c r="L452"/>
      <c r="R452"/>
      <c r="S452" s="5"/>
      <c r="U452" s="5"/>
    </row>
    <row r="453" spans="1:21">
      <c r="A453" s="3">
        <v>45673.754363425927</v>
      </c>
      <c r="B453" s="2" t="s">
        <v>26</v>
      </c>
      <c r="C453" s="2" t="s">
        <v>12</v>
      </c>
      <c r="D453" s="6" t="str">
        <f>CONCATENATE(YEAR(A453),"/",IF(MONTH(A453)&lt;10,CONCATENATE("0",MONTH(A453)),MONTH(A453)))</f>
        <v>2025/01</v>
      </c>
      <c r="E453" s="8" t="str">
        <f>IF(IF(D453&lt;&gt;D452,1,IF(OR(B453&lt;&gt;B452,A453-A452&gt;$U$1),1,""))&lt;&gt;1,"",IF(C453="B01",1965,IF(C453="B02",1020,IF(C453="B05",2400,IF(C453="B03",4260,IF(C453="B04",2880,IF(C453="B20",1260,0)))))))</f>
        <v/>
      </c>
      <c r="F453" s="8" t="str">
        <f>IF(IF(D453&lt;&gt;D452,1,IF(OR(B453&lt;&gt;B452,A453-A452&gt;$U$1),1,""))&lt;&gt;1,"",IF(C453="B01",1,IF(C453="B05",1,IF(C453="B03",1,IF(C453="B04",1,IF(C453="B20",1,IF(C453="B02",1,0)))))))</f>
        <v/>
      </c>
      <c r="G453"/>
      <c r="H453" s="2"/>
      <c r="I453" s="2"/>
      <c r="L453"/>
      <c r="R453"/>
      <c r="S453" s="5"/>
      <c r="U453" s="5"/>
    </row>
    <row r="454" spans="1:21">
      <c r="A454" s="3">
        <v>45673.961956018517</v>
      </c>
      <c r="B454" s="2" t="s">
        <v>26</v>
      </c>
      <c r="C454" s="2" t="s">
        <v>11</v>
      </c>
      <c r="D454" s="6" t="str">
        <f>CONCATENATE(YEAR(A454),"/",IF(MONTH(A454)&lt;10,CONCATENATE("0",MONTH(A454)),MONTH(A454)))</f>
        <v>2025/01</v>
      </c>
      <c r="E454" s="8">
        <f>IF(IF(D454&lt;&gt;D453,1,IF(OR(B454&lt;&gt;B453,A454-A453&gt;$U$1),1,""))&lt;&gt;1,"",IF(C454="B01",1965,IF(C454="B02",1020,IF(C454="B05",2400,IF(C454="B03",4260,IF(C454="B04",2880,IF(C454="B20",1260,0)))))))</f>
        <v>2400</v>
      </c>
      <c r="F454" s="8">
        <f>IF(IF(D454&lt;&gt;D453,1,IF(OR(B454&lt;&gt;B453,A454-A453&gt;$U$1),1,""))&lt;&gt;1,"",IF(C454="B01",1,IF(C454="B05",1,IF(C454="B03",1,IF(C454="B04",1,IF(C454="B20",1,IF(C454="B02",1,0)))))))</f>
        <v>1</v>
      </c>
      <c r="G454"/>
      <c r="H454" s="2"/>
      <c r="I454" s="2"/>
      <c r="L454"/>
      <c r="R454"/>
      <c r="S454" s="5"/>
      <c r="U454" s="5"/>
    </row>
    <row r="455" spans="1:21">
      <c r="A455" s="3">
        <v>45673.961956018517</v>
      </c>
      <c r="B455" s="2" t="s">
        <v>26</v>
      </c>
      <c r="C455" s="2" t="s">
        <v>11</v>
      </c>
      <c r="D455" s="6" t="str">
        <f>CONCATENATE(YEAR(A455),"/",IF(MONTH(A455)&lt;10,CONCATENATE("0",MONTH(A455)),MONTH(A455)))</f>
        <v>2025/01</v>
      </c>
      <c r="E455" s="8" t="str">
        <f>IF(IF(D455&lt;&gt;D454,1,IF(OR(B455&lt;&gt;B454,A455-A454&gt;$U$1),1,""))&lt;&gt;1,"",IF(C455="B01",1965,IF(C455="B02",1020,IF(C455="B05",2400,IF(C455="B03",4260,IF(C455="B04",2880,IF(C455="B20",1260,0)))))))</f>
        <v/>
      </c>
      <c r="F455" s="8" t="str">
        <f>IF(IF(D455&lt;&gt;D454,1,IF(OR(B455&lt;&gt;B454,A455-A454&gt;$U$1),1,""))&lt;&gt;1,"",IF(C455="B01",1,IF(C455="B05",1,IF(C455="B03",1,IF(C455="B04",1,IF(C455="B20",1,IF(C455="B02",1,0)))))))</f>
        <v/>
      </c>
      <c r="G455"/>
      <c r="H455" s="2"/>
      <c r="I455" s="2"/>
      <c r="L455"/>
      <c r="R455"/>
      <c r="S455" s="5"/>
      <c r="U455" s="5"/>
    </row>
    <row r="456" spans="1:21">
      <c r="A456" s="3">
        <v>45674.354432870372</v>
      </c>
      <c r="B456" s="2" t="s">
        <v>26</v>
      </c>
      <c r="C456" s="2" t="s">
        <v>11</v>
      </c>
      <c r="D456" s="6" t="str">
        <f>CONCATENATE(YEAR(A456),"/",IF(MONTH(A456)&lt;10,CONCATENATE("0",MONTH(A456)),MONTH(A456)))</f>
        <v>2025/01</v>
      </c>
      <c r="E456" s="8">
        <f>IF(IF(D456&lt;&gt;D455,1,IF(OR(B456&lt;&gt;B455,A456-A455&gt;$U$1),1,""))&lt;&gt;1,"",IF(C456="B01",1965,IF(C456="B02",1020,IF(C456="B05",2400,IF(C456="B03",4260,IF(C456="B04",2880,IF(C456="B20",1260,0)))))))</f>
        <v>2400</v>
      </c>
      <c r="F456" s="8">
        <f>IF(IF(D456&lt;&gt;D455,1,IF(OR(B456&lt;&gt;B455,A456-A455&gt;$U$1),1,""))&lt;&gt;1,"",IF(C456="B01",1,IF(C456="B05",1,IF(C456="B03",1,IF(C456="B04",1,IF(C456="B20",1,IF(C456="B02",1,0)))))))</f>
        <v>1</v>
      </c>
      <c r="G456"/>
      <c r="H456" s="2"/>
      <c r="I456" s="2"/>
      <c r="L456"/>
      <c r="R456"/>
      <c r="S456" s="5"/>
      <c r="U456" s="5"/>
    </row>
    <row r="457" spans="1:21">
      <c r="A457" s="3">
        <v>45674.354432870372</v>
      </c>
      <c r="B457" s="2" t="s">
        <v>26</v>
      </c>
      <c r="C457" s="2" t="s">
        <v>11</v>
      </c>
      <c r="D457" s="6" t="str">
        <f>CONCATENATE(YEAR(A457),"/",IF(MONTH(A457)&lt;10,CONCATENATE("0",MONTH(A457)),MONTH(A457)))</f>
        <v>2025/01</v>
      </c>
      <c r="E457" s="8" t="str">
        <f>IF(IF(D457&lt;&gt;D456,1,IF(OR(B457&lt;&gt;B456,A457-A456&gt;$U$1),1,""))&lt;&gt;1,"",IF(C457="B01",1965,IF(C457="B02",1020,IF(C457="B05",2400,IF(C457="B03",4260,IF(C457="B04",2880,IF(C457="B20",1260,0)))))))</f>
        <v/>
      </c>
      <c r="F457" s="8" t="str">
        <f>IF(IF(D457&lt;&gt;D456,1,IF(OR(B457&lt;&gt;B456,A457-A456&gt;$U$1),1,""))&lt;&gt;1,"",IF(C457="B01",1,IF(C457="B05",1,IF(C457="B03",1,IF(C457="B04",1,IF(C457="B20",1,IF(C457="B02",1,0)))))))</f>
        <v/>
      </c>
      <c r="G457"/>
      <c r="H457" s="2"/>
      <c r="I457" s="2"/>
      <c r="L457"/>
      <c r="R457"/>
      <c r="S457" s="5"/>
      <c r="U457" s="5"/>
    </row>
    <row r="458" spans="1:21">
      <c r="A458" s="3">
        <v>45674.354432870372</v>
      </c>
      <c r="B458" s="2" t="s">
        <v>26</v>
      </c>
      <c r="C458" s="2" t="s">
        <v>11</v>
      </c>
      <c r="D458" s="6" t="str">
        <f>CONCATENATE(YEAR(A458),"/",IF(MONTH(A458)&lt;10,CONCATENATE("0",MONTH(A458)),MONTH(A458)))</f>
        <v>2025/01</v>
      </c>
      <c r="E458" s="8" t="str">
        <f>IF(IF(D458&lt;&gt;D457,1,IF(OR(B458&lt;&gt;B457,A458-A457&gt;$U$1),1,""))&lt;&gt;1,"",IF(C458="B01",1965,IF(C458="B02",1020,IF(C458="B05",2400,IF(C458="B03",4260,IF(C458="B04",2880,IF(C458="B20",1260,0)))))))</f>
        <v/>
      </c>
      <c r="F458" s="8" t="str">
        <f>IF(IF(D458&lt;&gt;D457,1,IF(OR(B458&lt;&gt;B457,A458-A457&gt;$U$1),1,""))&lt;&gt;1,"",IF(C458="B01",1,IF(C458="B05",1,IF(C458="B03",1,IF(C458="B04",1,IF(C458="B20",1,IF(C458="B02",1,0)))))))</f>
        <v/>
      </c>
      <c r="G458"/>
      <c r="H458" s="2"/>
      <c r="I458" s="2"/>
      <c r="L458"/>
      <c r="R458"/>
      <c r="S458" s="5"/>
      <c r="U458" s="5"/>
    </row>
    <row r="459" spans="1:21">
      <c r="A459" s="3">
        <v>45674.526122685187</v>
      </c>
      <c r="B459" s="2" t="s">
        <v>26</v>
      </c>
      <c r="C459" s="2" t="s">
        <v>11</v>
      </c>
      <c r="D459" s="6" t="str">
        <f>CONCATENATE(YEAR(A459),"/",IF(MONTH(A459)&lt;10,CONCATENATE("0",MONTH(A459)),MONTH(A459)))</f>
        <v>2025/01</v>
      </c>
      <c r="E459" s="8">
        <f>IF(IF(D459&lt;&gt;D458,1,IF(OR(B459&lt;&gt;B458,A459-A458&gt;$U$1),1,""))&lt;&gt;1,"",IF(C459="B01",1965,IF(C459="B02",1020,IF(C459="B05",2400,IF(C459="B03",4260,IF(C459="B04",2880,IF(C459="B20",1260,0)))))))</f>
        <v>2400</v>
      </c>
      <c r="F459" s="8">
        <f>IF(IF(D459&lt;&gt;D458,1,IF(OR(B459&lt;&gt;B458,A459-A458&gt;$U$1),1,""))&lt;&gt;1,"",IF(C459="B01",1,IF(C459="B05",1,IF(C459="B03",1,IF(C459="B04",1,IF(C459="B20",1,IF(C459="B02",1,0)))))))</f>
        <v>1</v>
      </c>
      <c r="G459"/>
      <c r="H459" s="2"/>
      <c r="I459" s="2"/>
      <c r="L459"/>
      <c r="R459"/>
      <c r="S459" s="5"/>
      <c r="U459" s="5"/>
    </row>
    <row r="460" spans="1:21">
      <c r="A460" s="3">
        <v>45674.526122685187</v>
      </c>
      <c r="B460" s="2" t="s">
        <v>26</v>
      </c>
      <c r="C460" s="2" t="s">
        <v>11</v>
      </c>
      <c r="D460" s="6" t="str">
        <f>CONCATENATE(YEAR(A460),"/",IF(MONTH(A460)&lt;10,CONCATENATE("0",MONTH(A460)),MONTH(A460)))</f>
        <v>2025/01</v>
      </c>
      <c r="E460" s="8" t="str">
        <f>IF(IF(D460&lt;&gt;D459,1,IF(OR(B460&lt;&gt;B459,A460-A459&gt;$U$1),1,""))&lt;&gt;1,"",IF(C460="B01",1965,IF(C460="B02",1020,IF(C460="B05",2400,IF(C460="B03",4260,IF(C460="B04",2880,IF(C460="B20",1260,0)))))))</f>
        <v/>
      </c>
      <c r="F460" s="8" t="str">
        <f>IF(IF(D460&lt;&gt;D459,1,IF(OR(B460&lt;&gt;B459,A460-A459&gt;$U$1),1,""))&lt;&gt;1,"",IF(C460="B01",1,IF(C460="B05",1,IF(C460="B03",1,IF(C460="B04",1,IF(C460="B20",1,IF(C460="B02",1,0)))))))</f>
        <v/>
      </c>
      <c r="G460"/>
      <c r="H460" s="2"/>
      <c r="I460" s="2"/>
      <c r="L460"/>
      <c r="R460"/>
      <c r="S460" s="5"/>
      <c r="U460" s="5"/>
    </row>
    <row r="461" spans="1:21">
      <c r="A461" s="3">
        <v>45674.717638888891</v>
      </c>
      <c r="B461" s="2" t="s">
        <v>26</v>
      </c>
      <c r="C461" s="2" t="s">
        <v>11</v>
      </c>
      <c r="D461" s="6" t="str">
        <f>CONCATENATE(YEAR(A461),"/",IF(MONTH(A461)&lt;10,CONCATENATE("0",MONTH(A461)),MONTH(A461)))</f>
        <v>2025/01</v>
      </c>
      <c r="E461" s="8">
        <f>IF(IF(D461&lt;&gt;D460,1,IF(OR(B461&lt;&gt;B460,A461-A460&gt;$U$1),1,""))&lt;&gt;1,"",IF(C461="B01",1965,IF(C461="B02",1020,IF(C461="B05",2400,IF(C461="B03",4260,IF(C461="B04",2880,IF(C461="B20",1260,0)))))))</f>
        <v>2400</v>
      </c>
      <c r="F461" s="8">
        <f>IF(IF(D461&lt;&gt;D460,1,IF(OR(B461&lt;&gt;B460,A461-A460&gt;$U$1),1,""))&lt;&gt;1,"",IF(C461="B01",1,IF(C461="B05",1,IF(C461="B03",1,IF(C461="B04",1,IF(C461="B20",1,IF(C461="B02",1,0)))))))</f>
        <v>1</v>
      </c>
      <c r="G461"/>
      <c r="H461" s="2"/>
      <c r="I461" s="2"/>
      <c r="L461"/>
      <c r="R461"/>
      <c r="S461" s="5"/>
      <c r="U461" s="5"/>
    </row>
    <row r="462" spans="1:21">
      <c r="A462" s="3">
        <v>45674.717638888891</v>
      </c>
      <c r="B462" s="2" t="s">
        <v>26</v>
      </c>
      <c r="C462" s="2" t="s">
        <v>11</v>
      </c>
      <c r="D462" s="6" t="str">
        <f>CONCATENATE(YEAR(A462),"/",IF(MONTH(A462)&lt;10,CONCATENATE("0",MONTH(A462)),MONTH(A462)))</f>
        <v>2025/01</v>
      </c>
      <c r="E462" s="8" t="str">
        <f>IF(IF(D462&lt;&gt;D461,1,IF(OR(B462&lt;&gt;B461,A462-A461&gt;$U$1),1,""))&lt;&gt;1,"",IF(C462="B01",1965,IF(C462="B02",1020,IF(C462="B05",2400,IF(C462="B03",4260,IF(C462="B04",2880,IF(C462="B20",1260,0)))))))</f>
        <v/>
      </c>
      <c r="F462" s="8" t="str">
        <f>IF(IF(D462&lt;&gt;D461,1,IF(OR(B462&lt;&gt;B461,A462-A461&gt;$U$1),1,""))&lt;&gt;1,"",IF(C462="B01",1,IF(C462="B05",1,IF(C462="B03",1,IF(C462="B04",1,IF(C462="B20",1,IF(C462="B02",1,0)))))))</f>
        <v/>
      </c>
      <c r="G462"/>
      <c r="H462" s="2"/>
      <c r="I462" s="2"/>
      <c r="L462"/>
      <c r="R462"/>
      <c r="S462" s="5"/>
      <c r="U462" s="5"/>
    </row>
    <row r="463" spans="1:21">
      <c r="A463" s="3">
        <v>45674.717638888891</v>
      </c>
      <c r="B463" s="2" t="s">
        <v>26</v>
      </c>
      <c r="C463" s="2" t="s">
        <v>11</v>
      </c>
      <c r="D463" s="6" t="str">
        <f>CONCATENATE(YEAR(A463),"/",IF(MONTH(A463)&lt;10,CONCATENATE("0",MONTH(A463)),MONTH(A463)))</f>
        <v>2025/01</v>
      </c>
      <c r="E463" s="8" t="str">
        <f>IF(IF(D463&lt;&gt;D462,1,IF(OR(B463&lt;&gt;B462,A463-A462&gt;$U$1),1,""))&lt;&gt;1,"",IF(C463="B01",1965,IF(C463="B02",1020,IF(C463="B05",2400,IF(C463="B03",4260,IF(C463="B04",2880,IF(C463="B20",1260,0)))))))</f>
        <v/>
      </c>
      <c r="F463" s="8" t="str">
        <f>IF(IF(D463&lt;&gt;D462,1,IF(OR(B463&lt;&gt;B462,A463-A462&gt;$U$1),1,""))&lt;&gt;1,"",IF(C463="B01",1,IF(C463="B05",1,IF(C463="B03",1,IF(C463="B04",1,IF(C463="B20",1,IF(C463="B02",1,0)))))))</f>
        <v/>
      </c>
      <c r="G463"/>
      <c r="H463" s="2"/>
      <c r="I463" s="2"/>
      <c r="L463"/>
      <c r="R463"/>
      <c r="S463" s="5"/>
      <c r="U463" s="5"/>
    </row>
    <row r="464" spans="1:21">
      <c r="A464" s="3">
        <v>45674.850613425922</v>
      </c>
      <c r="B464" s="2" t="s">
        <v>26</v>
      </c>
      <c r="C464" s="2" t="s">
        <v>11</v>
      </c>
      <c r="D464" s="6" t="str">
        <f>CONCATENATE(YEAR(A464),"/",IF(MONTH(A464)&lt;10,CONCATENATE("0",MONTH(A464)),MONTH(A464)))</f>
        <v>2025/01</v>
      </c>
      <c r="E464" s="8">
        <f>IF(IF(D464&lt;&gt;D463,1,IF(OR(B464&lt;&gt;B463,A464-A463&gt;$U$1),1,""))&lt;&gt;1,"",IF(C464="B01",1965,IF(C464="B02",1020,IF(C464="B05",2400,IF(C464="B03",4260,IF(C464="B04",2880,IF(C464="B20",1260,0)))))))</f>
        <v>2400</v>
      </c>
      <c r="F464" s="8">
        <f>IF(IF(D464&lt;&gt;D463,1,IF(OR(B464&lt;&gt;B463,A464-A463&gt;$U$1),1,""))&lt;&gt;1,"",IF(C464="B01",1,IF(C464="B05",1,IF(C464="B03",1,IF(C464="B04",1,IF(C464="B20",1,IF(C464="B02",1,0)))))))</f>
        <v>1</v>
      </c>
      <c r="G464"/>
      <c r="H464" s="2"/>
      <c r="I464" s="2"/>
      <c r="L464"/>
      <c r="R464"/>
      <c r="S464" s="5"/>
      <c r="U464" s="5"/>
    </row>
    <row r="465" spans="1:21">
      <c r="A465" s="3">
        <v>45674.850613425922</v>
      </c>
      <c r="B465" s="2" t="s">
        <v>26</v>
      </c>
      <c r="C465" s="2" t="s">
        <v>11</v>
      </c>
      <c r="D465" s="6" t="str">
        <f>CONCATENATE(YEAR(A465),"/",IF(MONTH(A465)&lt;10,CONCATENATE("0",MONTH(A465)),MONTH(A465)))</f>
        <v>2025/01</v>
      </c>
      <c r="E465" s="8" t="str">
        <f>IF(IF(D465&lt;&gt;D464,1,IF(OR(B465&lt;&gt;B464,A465-A464&gt;$U$1),1,""))&lt;&gt;1,"",IF(C465="B01",1965,IF(C465="B02",1020,IF(C465="B05",2400,IF(C465="B03",4260,IF(C465="B04",2880,IF(C465="B20",1260,0)))))))</f>
        <v/>
      </c>
      <c r="F465" s="8" t="str">
        <f>IF(IF(D465&lt;&gt;D464,1,IF(OR(B465&lt;&gt;B464,A465-A464&gt;$U$1),1,""))&lt;&gt;1,"",IF(C465="B01",1,IF(C465="B05",1,IF(C465="B03",1,IF(C465="B04",1,IF(C465="B20",1,IF(C465="B02",1,0)))))))</f>
        <v/>
      </c>
      <c r="G465"/>
      <c r="H465" s="2"/>
      <c r="I465" s="2"/>
      <c r="L465"/>
      <c r="R465"/>
      <c r="S465" s="5"/>
      <c r="U465" s="5"/>
    </row>
    <row r="466" spans="1:21">
      <c r="A466" s="3">
        <v>45674.850613425922</v>
      </c>
      <c r="B466" s="2" t="s">
        <v>26</v>
      </c>
      <c r="C466" s="2" t="s">
        <v>11</v>
      </c>
      <c r="D466" s="6" t="str">
        <f>CONCATENATE(YEAR(A466),"/",IF(MONTH(A466)&lt;10,CONCATENATE("0",MONTH(A466)),MONTH(A466)))</f>
        <v>2025/01</v>
      </c>
      <c r="E466" s="8" t="str">
        <f>IF(IF(D466&lt;&gt;D465,1,IF(OR(B466&lt;&gt;B465,A466-A465&gt;$U$1),1,""))&lt;&gt;1,"",IF(C466="B01",1965,IF(C466="B02",1020,IF(C466="B05",2400,IF(C466="B03",4260,IF(C466="B04",2880,IF(C466="B20",1260,0)))))))</f>
        <v/>
      </c>
      <c r="F466" s="8" t="str">
        <f>IF(IF(D466&lt;&gt;D465,1,IF(OR(B466&lt;&gt;B465,A466-A465&gt;$U$1),1,""))&lt;&gt;1,"",IF(C466="B01",1,IF(C466="B05",1,IF(C466="B03",1,IF(C466="B04",1,IF(C466="B20",1,IF(C466="B02",1,0)))))))</f>
        <v/>
      </c>
      <c r="G466"/>
      <c r="H466" s="2"/>
      <c r="I466" s="2"/>
      <c r="L466"/>
      <c r="R466"/>
      <c r="S466" s="5"/>
      <c r="U466" s="5"/>
    </row>
    <row r="467" spans="1:21">
      <c r="A467" s="3">
        <v>45674.97278935185</v>
      </c>
      <c r="B467" s="2" t="s">
        <v>26</v>
      </c>
      <c r="C467" s="2" t="s">
        <v>12</v>
      </c>
      <c r="D467" s="6" t="str">
        <f>CONCATENATE(YEAR(A467),"/",IF(MONTH(A467)&lt;10,CONCATENATE("0",MONTH(A467)),MONTH(A467)))</f>
        <v>2025/01</v>
      </c>
      <c r="E467" s="8">
        <f>IF(IF(D467&lt;&gt;D466,1,IF(OR(B467&lt;&gt;B466,A467-A466&gt;$U$1),1,""))&lt;&gt;1,"",IF(C467="B01",1965,IF(C467="B02",1020,IF(C467="B05",2400,IF(C467="B03",4260,IF(C467="B04",2880,IF(C467="B20",1260,0)))))))</f>
        <v>4260</v>
      </c>
      <c r="F467" s="8">
        <f>IF(IF(D467&lt;&gt;D466,1,IF(OR(B467&lt;&gt;B466,A467-A466&gt;$U$1),1,""))&lt;&gt;1,"",IF(C467="B01",1,IF(C467="B05",1,IF(C467="B03",1,IF(C467="B04",1,IF(C467="B20",1,IF(C467="B02",1,0)))))))</f>
        <v>1</v>
      </c>
      <c r="G467"/>
      <c r="H467" s="2"/>
      <c r="I467" s="2"/>
      <c r="L467"/>
      <c r="R467"/>
      <c r="S467" s="5"/>
      <c r="U467" s="5"/>
    </row>
    <row r="468" spans="1:21">
      <c r="A468" s="3">
        <v>45674.97278935185</v>
      </c>
      <c r="B468" s="2" t="s">
        <v>26</v>
      </c>
      <c r="C468" s="2" t="s">
        <v>12</v>
      </c>
      <c r="D468" s="6" t="str">
        <f>CONCATENATE(YEAR(A468),"/",IF(MONTH(A468)&lt;10,CONCATENATE("0",MONTH(A468)),MONTH(A468)))</f>
        <v>2025/01</v>
      </c>
      <c r="E468" s="8" t="str">
        <f>IF(IF(D468&lt;&gt;D467,1,IF(OR(B468&lt;&gt;B467,A468-A467&gt;$U$1),1,""))&lt;&gt;1,"",IF(C468="B01",1965,IF(C468="B02",1020,IF(C468="B05",2400,IF(C468="B03",4260,IF(C468="B04",2880,IF(C468="B20",1260,0)))))))</f>
        <v/>
      </c>
      <c r="F468" s="8" t="str">
        <f>IF(IF(D468&lt;&gt;D467,1,IF(OR(B468&lt;&gt;B467,A468-A467&gt;$U$1),1,""))&lt;&gt;1,"",IF(C468="B01",1,IF(C468="B05",1,IF(C468="B03",1,IF(C468="B04",1,IF(C468="B20",1,IF(C468="B02",1,0)))))))</f>
        <v/>
      </c>
      <c r="G468"/>
      <c r="H468" s="2"/>
      <c r="I468" s="2"/>
      <c r="L468"/>
      <c r="R468"/>
      <c r="S468" s="5"/>
      <c r="U468" s="5"/>
    </row>
    <row r="469" spans="1:21">
      <c r="A469" s="3">
        <v>45675.103587962964</v>
      </c>
      <c r="B469" s="2" t="s">
        <v>26</v>
      </c>
      <c r="C469" s="2" t="s">
        <v>11</v>
      </c>
      <c r="D469" s="6" t="str">
        <f>CONCATENATE(YEAR(A469),"/",IF(MONTH(A469)&lt;10,CONCATENATE("0",MONTH(A469)),MONTH(A469)))</f>
        <v>2025/01</v>
      </c>
      <c r="E469" s="8">
        <f>IF(IF(D469&lt;&gt;D468,1,IF(OR(B469&lt;&gt;B468,A469-A468&gt;$U$1),1,""))&lt;&gt;1,"",IF(C469="B01",1965,IF(C469="B02",1020,IF(C469="B05",2400,IF(C469="B03",4260,IF(C469="B04",2880,IF(C469="B20",1260,0)))))))</f>
        <v>2400</v>
      </c>
      <c r="F469" s="8">
        <f>IF(IF(D469&lt;&gt;D468,1,IF(OR(B469&lt;&gt;B468,A469-A468&gt;$U$1),1,""))&lt;&gt;1,"",IF(C469="B01",1,IF(C469="B05",1,IF(C469="B03",1,IF(C469="B04",1,IF(C469="B20",1,IF(C469="B02",1,0)))))))</f>
        <v>1</v>
      </c>
      <c r="G469"/>
      <c r="H469" s="2"/>
      <c r="I469" s="2"/>
      <c r="L469"/>
      <c r="R469"/>
      <c r="S469" s="5"/>
      <c r="U469" s="5"/>
    </row>
    <row r="470" spans="1:21">
      <c r="A470" s="3">
        <v>45675.271828703706</v>
      </c>
      <c r="B470" s="2" t="s">
        <v>26</v>
      </c>
      <c r="C470" s="2" t="s">
        <v>11</v>
      </c>
      <c r="D470" s="6" t="str">
        <f>CONCATENATE(YEAR(A470),"/",IF(MONTH(A470)&lt;10,CONCATENATE("0",MONTH(A470)),MONTH(A470)))</f>
        <v>2025/01</v>
      </c>
      <c r="E470" s="8">
        <f>IF(IF(D470&lt;&gt;D469,1,IF(OR(B470&lt;&gt;B469,A470-A469&gt;$U$1),1,""))&lt;&gt;1,"",IF(C470="B01",1965,IF(C470="B02",1020,IF(C470="B05",2400,IF(C470="B03",4260,IF(C470="B04",2880,IF(C470="B20",1260,0)))))))</f>
        <v>2400</v>
      </c>
      <c r="F470" s="8">
        <f>IF(IF(D470&lt;&gt;D469,1,IF(OR(B470&lt;&gt;B469,A470-A469&gt;$U$1),1,""))&lt;&gt;1,"",IF(C470="B01",1,IF(C470="B05",1,IF(C470="B03",1,IF(C470="B04",1,IF(C470="B20",1,IF(C470="B02",1,0)))))))</f>
        <v>1</v>
      </c>
      <c r="G470"/>
      <c r="H470" s="2"/>
      <c r="I470" s="2"/>
      <c r="L470"/>
      <c r="R470"/>
      <c r="S470" s="5"/>
      <c r="U470" s="5"/>
    </row>
    <row r="471" spans="1:21">
      <c r="A471" s="3">
        <v>45675.271828703706</v>
      </c>
      <c r="B471" s="2" t="s">
        <v>26</v>
      </c>
      <c r="C471" s="2" t="s">
        <v>11</v>
      </c>
      <c r="D471" s="6" t="str">
        <f>CONCATENATE(YEAR(A471),"/",IF(MONTH(A471)&lt;10,CONCATENATE("0",MONTH(A471)),MONTH(A471)))</f>
        <v>2025/01</v>
      </c>
      <c r="E471" s="8" t="str">
        <f>IF(IF(D471&lt;&gt;D470,1,IF(OR(B471&lt;&gt;B470,A471-A470&gt;$U$1),1,""))&lt;&gt;1,"",IF(C471="B01",1965,IF(C471="B02",1020,IF(C471="B05",2400,IF(C471="B03",4260,IF(C471="B04",2880,IF(C471="B20",1260,0)))))))</f>
        <v/>
      </c>
      <c r="F471" s="8" t="str">
        <f>IF(IF(D471&lt;&gt;D470,1,IF(OR(B471&lt;&gt;B470,A471-A470&gt;$U$1),1,""))&lt;&gt;1,"",IF(C471="B01",1,IF(C471="B05",1,IF(C471="B03",1,IF(C471="B04",1,IF(C471="B20",1,IF(C471="B02",1,0)))))))</f>
        <v/>
      </c>
      <c r="G471"/>
      <c r="H471" s="2"/>
      <c r="I471" s="2"/>
      <c r="L471"/>
      <c r="R471"/>
      <c r="S471" s="5"/>
      <c r="U471" s="5"/>
    </row>
    <row r="472" spans="1:21">
      <c r="A472" s="3">
        <v>45675.529328703706</v>
      </c>
      <c r="B472" s="2" t="s">
        <v>26</v>
      </c>
      <c r="C472" s="2" t="s">
        <v>11</v>
      </c>
      <c r="D472" s="6" t="str">
        <f>CONCATENATE(YEAR(A472),"/",IF(MONTH(A472)&lt;10,CONCATENATE("0",MONTH(A472)),MONTH(A472)))</f>
        <v>2025/01</v>
      </c>
      <c r="E472" s="8">
        <f>IF(IF(D472&lt;&gt;D471,1,IF(OR(B472&lt;&gt;B471,A472-A471&gt;$U$1),1,""))&lt;&gt;1,"",IF(C472="B01",1965,IF(C472="B02",1020,IF(C472="B05",2400,IF(C472="B03",4260,IF(C472="B04",2880,IF(C472="B20",1260,0)))))))</f>
        <v>2400</v>
      </c>
      <c r="F472" s="8">
        <f>IF(IF(D472&lt;&gt;D471,1,IF(OR(B472&lt;&gt;B471,A472-A471&gt;$U$1),1,""))&lt;&gt;1,"",IF(C472="B01",1,IF(C472="B05",1,IF(C472="B03",1,IF(C472="B04",1,IF(C472="B20",1,IF(C472="B02",1,0)))))))</f>
        <v>1</v>
      </c>
      <c r="G472"/>
      <c r="H472" s="2"/>
      <c r="I472" s="2"/>
      <c r="L472"/>
      <c r="R472"/>
      <c r="S472" s="5"/>
      <c r="U472" s="5"/>
    </row>
    <row r="473" spans="1:21">
      <c r="A473" s="3">
        <v>45675.529328703706</v>
      </c>
      <c r="B473" s="2" t="s">
        <v>26</v>
      </c>
      <c r="C473" s="2" t="s">
        <v>11</v>
      </c>
      <c r="D473" s="6" t="str">
        <f>CONCATENATE(YEAR(A473),"/",IF(MONTH(A473)&lt;10,CONCATENATE("0",MONTH(A473)),MONTH(A473)))</f>
        <v>2025/01</v>
      </c>
      <c r="E473" s="8" t="str">
        <f>IF(IF(D473&lt;&gt;D472,1,IF(OR(B473&lt;&gt;B472,A473-A472&gt;$U$1),1,""))&lt;&gt;1,"",IF(C473="B01",1965,IF(C473="B02",1020,IF(C473="B05",2400,IF(C473="B03",4260,IF(C473="B04",2880,IF(C473="B20",1260,0)))))))</f>
        <v/>
      </c>
      <c r="F473" s="8" t="str">
        <f>IF(IF(D473&lt;&gt;D472,1,IF(OR(B473&lt;&gt;B472,A473-A472&gt;$U$1),1,""))&lt;&gt;1,"",IF(C473="B01",1,IF(C473="B05",1,IF(C473="B03",1,IF(C473="B04",1,IF(C473="B20",1,IF(C473="B02",1,0)))))))</f>
        <v/>
      </c>
      <c r="G473"/>
      <c r="H473" s="2"/>
      <c r="I473" s="2"/>
      <c r="L473"/>
      <c r="R473"/>
      <c r="S473" s="5"/>
      <c r="U473" s="5"/>
    </row>
    <row r="474" spans="1:21">
      <c r="A474" s="3">
        <v>45675.698923611111</v>
      </c>
      <c r="B474" s="2" t="s">
        <v>26</v>
      </c>
      <c r="C474" s="2" t="s">
        <v>11</v>
      </c>
      <c r="D474" s="6" t="str">
        <f>CONCATENATE(YEAR(A474),"/",IF(MONTH(A474)&lt;10,CONCATENATE("0",MONTH(A474)),MONTH(A474)))</f>
        <v>2025/01</v>
      </c>
      <c r="E474" s="8">
        <f>IF(IF(D474&lt;&gt;D473,1,IF(OR(B474&lt;&gt;B473,A474-A473&gt;$U$1),1,""))&lt;&gt;1,"",IF(C474="B01",1965,IF(C474="B02",1020,IF(C474="B05",2400,IF(C474="B03",4260,IF(C474="B04",2880,IF(C474="B20",1260,0)))))))</f>
        <v>2400</v>
      </c>
      <c r="F474" s="8">
        <f>IF(IF(D474&lt;&gt;D473,1,IF(OR(B474&lt;&gt;B473,A474-A473&gt;$U$1),1,""))&lt;&gt;1,"",IF(C474="B01",1,IF(C474="B05",1,IF(C474="B03",1,IF(C474="B04",1,IF(C474="B20",1,IF(C474="B02",1,0)))))))</f>
        <v>1</v>
      </c>
      <c r="G474"/>
      <c r="H474" s="2"/>
      <c r="I474" s="2"/>
      <c r="L474"/>
      <c r="R474"/>
      <c r="S474" s="5"/>
      <c r="U474" s="5"/>
    </row>
    <row r="475" spans="1:21">
      <c r="A475" s="3">
        <v>45675.698923611111</v>
      </c>
      <c r="B475" s="2" t="s">
        <v>26</v>
      </c>
      <c r="C475" s="2" t="s">
        <v>11</v>
      </c>
      <c r="D475" s="6" t="str">
        <f>CONCATENATE(YEAR(A475),"/",IF(MONTH(A475)&lt;10,CONCATENATE("0",MONTH(A475)),MONTH(A475)))</f>
        <v>2025/01</v>
      </c>
      <c r="E475" s="8" t="str">
        <f>IF(IF(D475&lt;&gt;D474,1,IF(OR(B475&lt;&gt;B474,A475-A474&gt;$U$1),1,""))&lt;&gt;1,"",IF(C475="B01",1965,IF(C475="B02",1020,IF(C475="B05",2400,IF(C475="B03",4260,IF(C475="B04",2880,IF(C475="B20",1260,0)))))))</f>
        <v/>
      </c>
      <c r="F475" s="8" t="str">
        <f>IF(IF(D475&lt;&gt;D474,1,IF(OR(B475&lt;&gt;B474,A475-A474&gt;$U$1),1,""))&lt;&gt;1,"",IF(C475="B01",1,IF(C475="B05",1,IF(C475="B03",1,IF(C475="B04",1,IF(C475="B20",1,IF(C475="B02",1,0)))))))</f>
        <v/>
      </c>
      <c r="G475"/>
      <c r="H475" s="2"/>
      <c r="I475" s="2"/>
      <c r="L475"/>
      <c r="R475"/>
      <c r="S475" s="5"/>
      <c r="U475" s="5"/>
    </row>
    <row r="476" spans="1:21">
      <c r="A476" s="3">
        <v>45675.698923611111</v>
      </c>
      <c r="B476" s="2" t="s">
        <v>26</v>
      </c>
      <c r="C476" s="2" t="s">
        <v>11</v>
      </c>
      <c r="D476" s="6" t="str">
        <f>CONCATENATE(YEAR(A476),"/",IF(MONTH(A476)&lt;10,CONCATENATE("0",MONTH(A476)),MONTH(A476)))</f>
        <v>2025/01</v>
      </c>
      <c r="E476" s="8" t="str">
        <f>IF(IF(D476&lt;&gt;D475,1,IF(OR(B476&lt;&gt;B475,A476-A475&gt;$U$1),1,""))&lt;&gt;1,"",IF(C476="B01",1965,IF(C476="B02",1020,IF(C476="B05",2400,IF(C476="B03",4260,IF(C476="B04",2880,IF(C476="B20",1260,0)))))))</f>
        <v/>
      </c>
      <c r="F476" s="8" t="str">
        <f>IF(IF(D476&lt;&gt;D475,1,IF(OR(B476&lt;&gt;B475,A476-A475&gt;$U$1),1,""))&lt;&gt;1,"",IF(C476="B01",1,IF(C476="B05",1,IF(C476="B03",1,IF(C476="B04",1,IF(C476="B20",1,IF(C476="B02",1,0)))))))</f>
        <v/>
      </c>
      <c r="G476"/>
      <c r="H476" s="2"/>
      <c r="I476" s="2"/>
      <c r="L476"/>
      <c r="R476"/>
      <c r="S476" s="5"/>
      <c r="U476" s="5"/>
    </row>
    <row r="477" spans="1:21">
      <c r="A477" s="3">
        <v>45676.362326388888</v>
      </c>
      <c r="B477" s="2" t="s">
        <v>26</v>
      </c>
      <c r="C477" s="2" t="s">
        <v>12</v>
      </c>
      <c r="D477" s="6" t="str">
        <f>CONCATENATE(YEAR(A477),"/",IF(MONTH(A477)&lt;10,CONCATENATE("0",MONTH(A477)),MONTH(A477)))</f>
        <v>2025/01</v>
      </c>
      <c r="E477" s="8">
        <f>IF(IF(D477&lt;&gt;D476,1,IF(OR(B477&lt;&gt;B476,A477-A476&gt;$U$1),1,""))&lt;&gt;1,"",IF(C477="B01",1965,IF(C477="B02",1020,IF(C477="B05",2400,IF(C477="B03",4260,IF(C477="B04",2880,IF(C477="B20",1260,0)))))))</f>
        <v>4260</v>
      </c>
      <c r="F477" s="8">
        <f>IF(IF(D477&lt;&gt;D476,1,IF(OR(B477&lt;&gt;B476,A477-A476&gt;$U$1),1,""))&lt;&gt;1,"",IF(C477="B01",1,IF(C477="B05",1,IF(C477="B03",1,IF(C477="B04",1,IF(C477="B20",1,IF(C477="B02",1,0)))))))</f>
        <v>1</v>
      </c>
      <c r="G477"/>
      <c r="H477" s="2"/>
      <c r="I477" s="2"/>
      <c r="L477"/>
      <c r="R477"/>
      <c r="S477" s="5"/>
      <c r="U477" s="5"/>
    </row>
    <row r="478" spans="1:21">
      <c r="A478" s="3">
        <v>45676.565879629627</v>
      </c>
      <c r="B478" s="2" t="s">
        <v>26</v>
      </c>
      <c r="C478" s="2" t="s">
        <v>11</v>
      </c>
      <c r="D478" s="6" t="str">
        <f>CONCATENATE(YEAR(A478),"/",IF(MONTH(A478)&lt;10,CONCATENATE("0",MONTH(A478)),MONTH(A478)))</f>
        <v>2025/01</v>
      </c>
      <c r="E478" s="8">
        <f>IF(IF(D478&lt;&gt;D477,1,IF(OR(B478&lt;&gt;B477,A478-A477&gt;$U$1),1,""))&lt;&gt;1,"",IF(C478="B01",1965,IF(C478="B02",1020,IF(C478="B05",2400,IF(C478="B03",4260,IF(C478="B04",2880,IF(C478="B20",1260,0)))))))</f>
        <v>2400</v>
      </c>
      <c r="F478" s="8">
        <f>IF(IF(D478&lt;&gt;D477,1,IF(OR(B478&lt;&gt;B477,A478-A477&gt;$U$1),1,""))&lt;&gt;1,"",IF(C478="B01",1,IF(C478="B05",1,IF(C478="B03",1,IF(C478="B04",1,IF(C478="B20",1,IF(C478="B02",1,0)))))))</f>
        <v>1</v>
      </c>
      <c r="G478"/>
      <c r="H478" s="2"/>
      <c r="I478" s="2"/>
      <c r="L478"/>
      <c r="R478"/>
      <c r="S478" s="5"/>
      <c r="U478" s="5"/>
    </row>
    <row r="479" spans="1:21">
      <c r="A479" s="3">
        <v>45676.565879629627</v>
      </c>
      <c r="B479" s="2" t="s">
        <v>26</v>
      </c>
      <c r="C479" s="2" t="s">
        <v>11</v>
      </c>
      <c r="D479" s="6" t="str">
        <f>CONCATENATE(YEAR(A479),"/",IF(MONTH(A479)&lt;10,CONCATENATE("0",MONTH(A479)),MONTH(A479)))</f>
        <v>2025/01</v>
      </c>
      <c r="E479" s="8" t="str">
        <f>IF(IF(D479&lt;&gt;D478,1,IF(OR(B479&lt;&gt;B478,A479-A478&gt;$U$1),1,""))&lt;&gt;1,"",IF(C479="B01",1965,IF(C479="B02",1020,IF(C479="B05",2400,IF(C479="B03",4260,IF(C479="B04",2880,IF(C479="B20",1260,0)))))))</f>
        <v/>
      </c>
      <c r="F479" s="8" t="str">
        <f>IF(IF(D479&lt;&gt;D478,1,IF(OR(B479&lt;&gt;B478,A479-A478&gt;$U$1),1,""))&lt;&gt;1,"",IF(C479="B01",1,IF(C479="B05",1,IF(C479="B03",1,IF(C479="B04",1,IF(C479="B20",1,IF(C479="B02",1,0)))))))</f>
        <v/>
      </c>
      <c r="G479"/>
      <c r="H479" s="2"/>
      <c r="I479" s="2"/>
      <c r="L479"/>
      <c r="R479"/>
      <c r="S479" s="5"/>
      <c r="U479" s="5"/>
    </row>
    <row r="480" spans="1:21">
      <c r="A480" s="3">
        <v>45676.722870370373</v>
      </c>
      <c r="B480" s="2" t="s">
        <v>26</v>
      </c>
      <c r="C480" s="2" t="s">
        <v>11</v>
      </c>
      <c r="D480" s="6" t="str">
        <f>CONCATENATE(YEAR(A480),"/",IF(MONTH(A480)&lt;10,CONCATENATE("0",MONTH(A480)),MONTH(A480)))</f>
        <v>2025/01</v>
      </c>
      <c r="E480" s="8">
        <f>IF(IF(D480&lt;&gt;D479,1,IF(OR(B480&lt;&gt;B479,A480-A479&gt;$U$1),1,""))&lt;&gt;1,"",IF(C480="B01",1965,IF(C480="B02",1020,IF(C480="B05",2400,IF(C480="B03",4260,IF(C480="B04",2880,IF(C480="B20",1260,0)))))))</f>
        <v>2400</v>
      </c>
      <c r="F480" s="8">
        <f>IF(IF(D480&lt;&gt;D479,1,IF(OR(B480&lt;&gt;B479,A480-A479&gt;$U$1),1,""))&lt;&gt;1,"",IF(C480="B01",1,IF(C480="B05",1,IF(C480="B03",1,IF(C480="B04",1,IF(C480="B20",1,IF(C480="B02",1,0)))))))</f>
        <v>1</v>
      </c>
      <c r="G480"/>
      <c r="H480" s="2"/>
      <c r="I480" s="2"/>
      <c r="L480"/>
      <c r="R480"/>
      <c r="S480" s="5"/>
      <c r="U480" s="5"/>
    </row>
    <row r="481" spans="1:21">
      <c r="A481" s="3">
        <v>45676.722870370373</v>
      </c>
      <c r="B481" s="2" t="s">
        <v>26</v>
      </c>
      <c r="C481" s="2" t="s">
        <v>11</v>
      </c>
      <c r="D481" s="6" t="str">
        <f>CONCATENATE(YEAR(A481),"/",IF(MONTH(A481)&lt;10,CONCATENATE("0",MONTH(A481)),MONTH(A481)))</f>
        <v>2025/01</v>
      </c>
      <c r="E481" s="8" t="str">
        <f>IF(IF(D481&lt;&gt;D480,1,IF(OR(B481&lt;&gt;B480,A481-A480&gt;$U$1),1,""))&lt;&gt;1,"",IF(C481="B01",1965,IF(C481="B02",1020,IF(C481="B05",2400,IF(C481="B03",4260,IF(C481="B04",2880,IF(C481="B20",1260,0)))))))</f>
        <v/>
      </c>
      <c r="F481" s="8" t="str">
        <f>IF(IF(D481&lt;&gt;D480,1,IF(OR(B481&lt;&gt;B480,A481-A480&gt;$U$1),1,""))&lt;&gt;1,"",IF(C481="B01",1,IF(C481="B05",1,IF(C481="B03",1,IF(C481="B04",1,IF(C481="B20",1,IF(C481="B02",1,0)))))))</f>
        <v/>
      </c>
      <c r="G481"/>
      <c r="H481" s="2"/>
      <c r="I481" s="2"/>
      <c r="L481"/>
      <c r="R481"/>
      <c r="S481" s="5"/>
      <c r="U481" s="5"/>
    </row>
    <row r="482" spans="1:21">
      <c r="A482" s="3">
        <v>45677.548078703701</v>
      </c>
      <c r="B482" s="2" t="s">
        <v>26</v>
      </c>
      <c r="C482" s="2" t="s">
        <v>11</v>
      </c>
      <c r="D482" s="6" t="str">
        <f>CONCATENATE(YEAR(A482),"/",IF(MONTH(A482)&lt;10,CONCATENATE("0",MONTH(A482)),MONTH(A482)))</f>
        <v>2025/01</v>
      </c>
      <c r="E482" s="8">
        <f>IF(IF(D482&lt;&gt;D481,1,IF(OR(B482&lt;&gt;B481,A482-A481&gt;$U$1),1,""))&lt;&gt;1,"",IF(C482="B01",1965,IF(C482="B02",1020,IF(C482="B05",2400,IF(C482="B03",4260,IF(C482="B04",2880,IF(C482="B20",1260,0)))))))</f>
        <v>2400</v>
      </c>
      <c r="F482" s="8">
        <f>IF(IF(D482&lt;&gt;D481,1,IF(OR(B482&lt;&gt;B481,A482-A481&gt;$U$1),1,""))&lt;&gt;1,"",IF(C482="B01",1,IF(C482="B05",1,IF(C482="B03",1,IF(C482="B04",1,IF(C482="B20",1,IF(C482="B02",1,0)))))))</f>
        <v>1</v>
      </c>
      <c r="G482"/>
      <c r="H482" s="2"/>
      <c r="I482" s="2"/>
      <c r="L482"/>
      <c r="R482"/>
      <c r="S482" s="5"/>
      <c r="U482" s="5"/>
    </row>
    <row r="483" spans="1:21">
      <c r="A483" s="3">
        <v>45677.548078703701</v>
      </c>
      <c r="B483" s="2" t="s">
        <v>26</v>
      </c>
      <c r="C483" s="2" t="s">
        <v>11</v>
      </c>
      <c r="D483" s="6" t="str">
        <f>CONCATENATE(YEAR(A483),"/",IF(MONTH(A483)&lt;10,CONCATENATE("0",MONTH(A483)),MONTH(A483)))</f>
        <v>2025/01</v>
      </c>
      <c r="E483" s="8" t="str">
        <f>IF(IF(D483&lt;&gt;D482,1,IF(OR(B483&lt;&gt;B482,A483-A482&gt;$U$1),1,""))&lt;&gt;1,"",IF(C483="B01",1965,IF(C483="B02",1020,IF(C483="B05",2400,IF(C483="B03",4260,IF(C483="B04",2880,IF(C483="B20",1260,0)))))))</f>
        <v/>
      </c>
      <c r="F483" s="8" t="str">
        <f>IF(IF(D483&lt;&gt;D482,1,IF(OR(B483&lt;&gt;B482,A483-A482&gt;$U$1),1,""))&lt;&gt;1,"",IF(C483="B01",1,IF(C483="B05",1,IF(C483="B03",1,IF(C483="B04",1,IF(C483="B20",1,IF(C483="B02",1,0)))))))</f>
        <v/>
      </c>
      <c r="G483"/>
      <c r="H483" s="2"/>
      <c r="I483" s="2"/>
      <c r="L483"/>
      <c r="R483"/>
      <c r="S483" s="5"/>
      <c r="U483" s="5"/>
    </row>
    <row r="484" spans="1:21">
      <c r="A484" s="3">
        <v>45677.673217592594</v>
      </c>
      <c r="B484" s="2" t="s">
        <v>26</v>
      </c>
      <c r="C484" s="2" t="s">
        <v>11</v>
      </c>
      <c r="D484" s="6" t="str">
        <f>CONCATENATE(YEAR(A484),"/",IF(MONTH(A484)&lt;10,CONCATENATE("0",MONTH(A484)),MONTH(A484)))</f>
        <v>2025/01</v>
      </c>
      <c r="E484" s="8">
        <f>IF(IF(D484&lt;&gt;D483,1,IF(OR(B484&lt;&gt;B483,A484-A483&gt;$U$1),1,""))&lt;&gt;1,"",IF(C484="B01",1965,IF(C484="B02",1020,IF(C484="B05",2400,IF(C484="B03",4260,IF(C484="B04",2880,IF(C484="B20",1260,0)))))))</f>
        <v>2400</v>
      </c>
      <c r="F484" s="8">
        <f>IF(IF(D484&lt;&gt;D483,1,IF(OR(B484&lt;&gt;B483,A484-A483&gt;$U$1),1,""))&lt;&gt;1,"",IF(C484="B01",1,IF(C484="B05",1,IF(C484="B03",1,IF(C484="B04",1,IF(C484="B20",1,IF(C484="B02",1,0)))))))</f>
        <v>1</v>
      </c>
      <c r="G484"/>
      <c r="H484" s="2"/>
      <c r="I484" s="2"/>
      <c r="L484"/>
      <c r="R484"/>
      <c r="S484" s="5"/>
      <c r="U484" s="5"/>
    </row>
    <row r="485" spans="1:21">
      <c r="A485" s="3">
        <v>45677.673217592594</v>
      </c>
      <c r="B485" s="2" t="s">
        <v>26</v>
      </c>
      <c r="C485" s="2" t="s">
        <v>11</v>
      </c>
      <c r="D485" s="6" t="str">
        <f>CONCATENATE(YEAR(A485),"/",IF(MONTH(A485)&lt;10,CONCATENATE("0",MONTH(A485)),MONTH(A485)))</f>
        <v>2025/01</v>
      </c>
      <c r="E485" s="8" t="str">
        <f>IF(IF(D485&lt;&gt;D484,1,IF(OR(B485&lt;&gt;B484,A485-A484&gt;$U$1),1,""))&lt;&gt;1,"",IF(C485="B01",1965,IF(C485="B02",1020,IF(C485="B05",2400,IF(C485="B03",4260,IF(C485="B04",2880,IF(C485="B20",1260,0)))))))</f>
        <v/>
      </c>
      <c r="F485" s="8" t="str">
        <f>IF(IF(D485&lt;&gt;D484,1,IF(OR(B485&lt;&gt;B484,A485-A484&gt;$U$1),1,""))&lt;&gt;1,"",IF(C485="B01",1,IF(C485="B05",1,IF(C485="B03",1,IF(C485="B04",1,IF(C485="B20",1,IF(C485="B02",1,0)))))))</f>
        <v/>
      </c>
      <c r="G485"/>
      <c r="H485" s="2"/>
      <c r="I485" s="2"/>
      <c r="L485"/>
      <c r="R485"/>
      <c r="S485" s="5"/>
      <c r="U485" s="5"/>
    </row>
    <row r="486" spans="1:21">
      <c r="A486" s="3">
        <v>45677.868414351855</v>
      </c>
      <c r="B486" s="2" t="s">
        <v>26</v>
      </c>
      <c r="C486" s="2" t="s">
        <v>11</v>
      </c>
      <c r="D486" s="6" t="str">
        <f>CONCATENATE(YEAR(A486),"/",IF(MONTH(A486)&lt;10,CONCATENATE("0",MONTH(A486)),MONTH(A486)))</f>
        <v>2025/01</v>
      </c>
      <c r="E486" s="8">
        <f>IF(IF(D486&lt;&gt;D485,1,IF(OR(B486&lt;&gt;B485,A486-A485&gt;$U$1),1,""))&lt;&gt;1,"",IF(C486="B01",1965,IF(C486="B02",1020,IF(C486="B05",2400,IF(C486="B03",4260,IF(C486="B04",2880,IF(C486="B20",1260,0)))))))</f>
        <v>2400</v>
      </c>
      <c r="F486" s="8">
        <f>IF(IF(D486&lt;&gt;D485,1,IF(OR(B486&lt;&gt;B485,A486-A485&gt;$U$1),1,""))&lt;&gt;1,"",IF(C486="B01",1,IF(C486="B05",1,IF(C486="B03",1,IF(C486="B04",1,IF(C486="B20",1,IF(C486="B02",1,0)))))))</f>
        <v>1</v>
      </c>
      <c r="G486"/>
      <c r="H486" s="2"/>
      <c r="I486" s="2"/>
      <c r="L486"/>
      <c r="R486"/>
      <c r="S486" s="5"/>
      <c r="U486" s="5"/>
    </row>
    <row r="487" spans="1:21">
      <c r="A487" s="3">
        <v>45677.868414351855</v>
      </c>
      <c r="B487" s="2" t="s">
        <v>26</v>
      </c>
      <c r="C487" s="2" t="s">
        <v>11</v>
      </c>
      <c r="D487" s="6" t="str">
        <f>CONCATENATE(YEAR(A487),"/",IF(MONTH(A487)&lt;10,CONCATENATE("0",MONTH(A487)),MONTH(A487)))</f>
        <v>2025/01</v>
      </c>
      <c r="E487" s="8" t="str">
        <f>IF(IF(D487&lt;&gt;D486,1,IF(OR(B487&lt;&gt;B486,A487-A486&gt;$U$1),1,""))&lt;&gt;1,"",IF(C487="B01",1965,IF(C487="B02",1020,IF(C487="B05",2400,IF(C487="B03",4260,IF(C487="B04",2880,IF(C487="B20",1260,0)))))))</f>
        <v/>
      </c>
      <c r="F487" s="8" t="str">
        <f>IF(IF(D487&lt;&gt;D486,1,IF(OR(B487&lt;&gt;B486,A487-A486&gt;$U$1),1,""))&lt;&gt;1,"",IF(C487="B01",1,IF(C487="B05",1,IF(C487="B03",1,IF(C487="B04",1,IF(C487="B20",1,IF(C487="B02",1,0)))))))</f>
        <v/>
      </c>
      <c r="G487"/>
      <c r="H487" s="2"/>
      <c r="I487" s="2"/>
      <c r="L487"/>
      <c r="R487"/>
      <c r="S487" s="5"/>
      <c r="U487" s="5"/>
    </row>
    <row r="488" spans="1:21">
      <c r="A488" s="3">
        <v>45677.868414351855</v>
      </c>
      <c r="B488" s="2" t="s">
        <v>26</v>
      </c>
      <c r="C488" s="2" t="s">
        <v>11</v>
      </c>
      <c r="D488" s="6" t="str">
        <f>CONCATENATE(YEAR(A488),"/",IF(MONTH(A488)&lt;10,CONCATENATE("0",MONTH(A488)),MONTH(A488)))</f>
        <v>2025/01</v>
      </c>
      <c r="E488" s="8" t="str">
        <f>IF(IF(D488&lt;&gt;D487,1,IF(OR(B488&lt;&gt;B487,A488-A487&gt;$U$1),1,""))&lt;&gt;1,"",IF(C488="B01",1965,IF(C488="B02",1020,IF(C488="B05",2400,IF(C488="B03",4260,IF(C488="B04",2880,IF(C488="B20",1260,0)))))))</f>
        <v/>
      </c>
      <c r="F488" s="8" t="str">
        <f>IF(IF(D488&lt;&gt;D487,1,IF(OR(B488&lt;&gt;B487,A488-A487&gt;$U$1),1,""))&lt;&gt;1,"",IF(C488="B01",1,IF(C488="B05",1,IF(C488="B03",1,IF(C488="B04",1,IF(C488="B20",1,IF(C488="B02",1,0)))))))</f>
        <v/>
      </c>
      <c r="G488"/>
      <c r="H488" s="2"/>
      <c r="I488" s="2"/>
      <c r="L488"/>
      <c r="R488"/>
      <c r="S488" s="5"/>
      <c r="U488" s="5"/>
    </row>
    <row r="489" spans="1:21">
      <c r="A489" s="3">
        <v>45678.136446759258</v>
      </c>
      <c r="B489" s="2" t="s">
        <v>26</v>
      </c>
      <c r="C489" s="2" t="s">
        <v>11</v>
      </c>
      <c r="D489" s="6" t="str">
        <f>CONCATENATE(YEAR(A489),"/",IF(MONTH(A489)&lt;10,CONCATENATE("0",MONTH(A489)),MONTH(A489)))</f>
        <v>2025/01</v>
      </c>
      <c r="E489" s="8">
        <f>IF(IF(D489&lt;&gt;D488,1,IF(OR(B489&lt;&gt;B488,A489-A488&gt;$U$1),1,""))&lt;&gt;1,"",IF(C489="B01",1965,IF(C489="B02",1020,IF(C489="B05",2400,IF(C489="B03",4260,IF(C489="B04",2880,IF(C489="B20",1260,0)))))))</f>
        <v>2400</v>
      </c>
      <c r="F489" s="8">
        <f>IF(IF(D489&lt;&gt;D488,1,IF(OR(B489&lt;&gt;B488,A489-A488&gt;$U$1),1,""))&lt;&gt;1,"",IF(C489="B01",1,IF(C489="B05",1,IF(C489="B03",1,IF(C489="B04",1,IF(C489="B20",1,IF(C489="B02",1,0)))))))</f>
        <v>1</v>
      </c>
      <c r="G489"/>
      <c r="H489" s="2"/>
      <c r="I489" s="2"/>
      <c r="L489"/>
      <c r="R489"/>
      <c r="S489" s="5"/>
      <c r="U489" s="5"/>
    </row>
    <row r="490" spans="1:21">
      <c r="A490" s="3">
        <v>45678.136458333334</v>
      </c>
      <c r="B490" s="2" t="s">
        <v>26</v>
      </c>
      <c r="C490" s="2" t="s">
        <v>11</v>
      </c>
      <c r="D490" s="6" t="str">
        <f>CONCATENATE(YEAR(A490),"/",IF(MONTH(A490)&lt;10,CONCATENATE("0",MONTH(A490)),MONTH(A490)))</f>
        <v>2025/01</v>
      </c>
      <c r="E490" s="8" t="str">
        <f>IF(IF(D490&lt;&gt;D489,1,IF(OR(B490&lt;&gt;B489,A490-A489&gt;$U$1),1,""))&lt;&gt;1,"",IF(C490="B01",1965,IF(C490="B02",1020,IF(C490="B05",2400,IF(C490="B03",4260,IF(C490="B04",2880,IF(C490="B20",1260,0)))))))</f>
        <v/>
      </c>
      <c r="F490" s="8" t="str">
        <f>IF(IF(D490&lt;&gt;D489,1,IF(OR(B490&lt;&gt;B489,A490-A489&gt;$U$1),1,""))&lt;&gt;1,"",IF(C490="B01",1,IF(C490="B05",1,IF(C490="B03",1,IF(C490="B04",1,IF(C490="B20",1,IF(C490="B02",1,0)))))))</f>
        <v/>
      </c>
      <c r="G490"/>
      <c r="H490" s="2"/>
      <c r="I490" s="2"/>
      <c r="L490"/>
      <c r="R490"/>
      <c r="S490" s="5"/>
      <c r="U490" s="5"/>
    </row>
    <row r="491" spans="1:21">
      <c r="A491" s="3">
        <v>45678.376354166663</v>
      </c>
      <c r="B491" s="2" t="s">
        <v>26</v>
      </c>
      <c r="C491" s="2" t="s">
        <v>12</v>
      </c>
      <c r="D491" s="6" t="str">
        <f>CONCATENATE(YEAR(A491),"/",IF(MONTH(A491)&lt;10,CONCATENATE("0",MONTH(A491)),MONTH(A491)))</f>
        <v>2025/01</v>
      </c>
      <c r="E491" s="8">
        <f>IF(IF(D491&lt;&gt;D490,1,IF(OR(B491&lt;&gt;B490,A491-A490&gt;$U$1),1,""))&lt;&gt;1,"",IF(C491="B01",1965,IF(C491="B02",1020,IF(C491="B05",2400,IF(C491="B03",4260,IF(C491="B04",2880,IF(C491="B20",1260,0)))))))</f>
        <v>4260</v>
      </c>
      <c r="F491" s="8">
        <f>IF(IF(D491&lt;&gt;D490,1,IF(OR(B491&lt;&gt;B490,A491-A490&gt;$U$1),1,""))&lt;&gt;1,"",IF(C491="B01",1,IF(C491="B05",1,IF(C491="B03",1,IF(C491="B04",1,IF(C491="B20",1,IF(C491="B02",1,0)))))))</f>
        <v>1</v>
      </c>
      <c r="G491"/>
      <c r="H491" s="2"/>
      <c r="I491" s="2"/>
      <c r="L491"/>
      <c r="R491"/>
      <c r="S491" s="5"/>
      <c r="U491" s="5"/>
    </row>
    <row r="492" spans="1:21">
      <c r="A492" s="3">
        <v>45678.376354166663</v>
      </c>
      <c r="B492" s="2" t="s">
        <v>26</v>
      </c>
      <c r="C492" s="2" t="s">
        <v>12</v>
      </c>
      <c r="D492" s="6" t="str">
        <f>CONCATENATE(YEAR(A492),"/",IF(MONTH(A492)&lt;10,CONCATENATE("0",MONTH(A492)),MONTH(A492)))</f>
        <v>2025/01</v>
      </c>
      <c r="E492" s="8" t="str">
        <f>IF(IF(D492&lt;&gt;D491,1,IF(OR(B492&lt;&gt;B491,A492-A491&gt;$U$1),1,""))&lt;&gt;1,"",IF(C492="B01",1965,IF(C492="B02",1020,IF(C492="B05",2400,IF(C492="B03",4260,IF(C492="B04",2880,IF(C492="B20",1260,0)))))))</f>
        <v/>
      </c>
      <c r="F492" s="8" t="str">
        <f>IF(IF(D492&lt;&gt;D491,1,IF(OR(B492&lt;&gt;B491,A492-A491&gt;$U$1),1,""))&lt;&gt;1,"",IF(C492="B01",1,IF(C492="B05",1,IF(C492="B03",1,IF(C492="B04",1,IF(C492="B20",1,IF(C492="B02",1,0)))))))</f>
        <v/>
      </c>
      <c r="G492"/>
      <c r="H492" s="2"/>
      <c r="I492" s="2"/>
      <c r="L492"/>
      <c r="R492"/>
      <c r="S492" s="5"/>
      <c r="U492" s="5"/>
    </row>
    <row r="493" spans="1:21">
      <c r="A493" s="3">
        <v>45678.702893518515</v>
      </c>
      <c r="B493" s="2" t="s">
        <v>26</v>
      </c>
      <c r="C493" s="2" t="s">
        <v>11</v>
      </c>
      <c r="D493" s="6" t="str">
        <f>CONCATENATE(YEAR(A493),"/",IF(MONTH(A493)&lt;10,CONCATENATE("0",MONTH(A493)),MONTH(A493)))</f>
        <v>2025/01</v>
      </c>
      <c r="E493" s="8">
        <f>IF(IF(D493&lt;&gt;D492,1,IF(OR(B493&lt;&gt;B492,A493-A492&gt;$U$1),1,""))&lt;&gt;1,"",IF(C493="B01",1965,IF(C493="B02",1020,IF(C493="B05",2400,IF(C493="B03",4260,IF(C493="B04",2880,IF(C493="B20",1260,0)))))))</f>
        <v>2400</v>
      </c>
      <c r="F493" s="8">
        <f>IF(IF(D493&lt;&gt;D492,1,IF(OR(B493&lt;&gt;B492,A493-A492&gt;$U$1),1,""))&lt;&gt;1,"",IF(C493="B01",1,IF(C493="B05",1,IF(C493="B03",1,IF(C493="B04",1,IF(C493="B20",1,IF(C493="B02",1,0)))))))</f>
        <v>1</v>
      </c>
      <c r="G493"/>
      <c r="H493" s="2"/>
      <c r="I493" s="2"/>
      <c r="L493"/>
      <c r="R493"/>
      <c r="S493" s="5"/>
      <c r="U493" s="5"/>
    </row>
    <row r="494" spans="1:21">
      <c r="A494" s="3">
        <v>45678.702893518515</v>
      </c>
      <c r="B494" s="2" t="s">
        <v>26</v>
      </c>
      <c r="C494" s="2" t="s">
        <v>11</v>
      </c>
      <c r="D494" s="6" t="str">
        <f>CONCATENATE(YEAR(A494),"/",IF(MONTH(A494)&lt;10,CONCATENATE("0",MONTH(A494)),MONTH(A494)))</f>
        <v>2025/01</v>
      </c>
      <c r="E494" s="8" t="str">
        <f>IF(IF(D494&lt;&gt;D493,1,IF(OR(B494&lt;&gt;B493,A494-A493&gt;$U$1),1,""))&lt;&gt;1,"",IF(C494="B01",1965,IF(C494="B02",1020,IF(C494="B05",2400,IF(C494="B03",4260,IF(C494="B04",2880,IF(C494="B20",1260,0)))))))</f>
        <v/>
      </c>
      <c r="F494" s="8" t="str">
        <f>IF(IF(D494&lt;&gt;D493,1,IF(OR(B494&lt;&gt;B493,A494-A493&gt;$U$1),1,""))&lt;&gt;1,"",IF(C494="B01",1,IF(C494="B05",1,IF(C494="B03",1,IF(C494="B04",1,IF(C494="B20",1,IF(C494="B02",1,0)))))))</f>
        <v/>
      </c>
      <c r="G494"/>
      <c r="H494" s="2"/>
      <c r="I494" s="2"/>
      <c r="L494"/>
      <c r="R494"/>
      <c r="S494" s="5"/>
      <c r="U494" s="5"/>
    </row>
    <row r="495" spans="1:21">
      <c r="A495" s="3">
        <v>45678.702893518515</v>
      </c>
      <c r="B495" s="2" t="s">
        <v>26</v>
      </c>
      <c r="C495" s="2" t="s">
        <v>11</v>
      </c>
      <c r="D495" s="6" t="str">
        <f>CONCATENATE(YEAR(A495),"/",IF(MONTH(A495)&lt;10,CONCATENATE("0",MONTH(A495)),MONTH(A495)))</f>
        <v>2025/01</v>
      </c>
      <c r="E495" s="8" t="str">
        <f>IF(IF(D495&lt;&gt;D494,1,IF(OR(B495&lt;&gt;B494,A495-A494&gt;$U$1),1,""))&lt;&gt;1,"",IF(C495="B01",1965,IF(C495="B02",1020,IF(C495="B05",2400,IF(C495="B03",4260,IF(C495="B04",2880,IF(C495="B20",1260,0)))))))</f>
        <v/>
      </c>
      <c r="F495" s="8" t="str">
        <f>IF(IF(D495&lt;&gt;D494,1,IF(OR(B495&lt;&gt;B494,A495-A494&gt;$U$1),1,""))&lt;&gt;1,"",IF(C495="B01",1,IF(C495="B05",1,IF(C495="B03",1,IF(C495="B04",1,IF(C495="B20",1,IF(C495="B02",1,0)))))))</f>
        <v/>
      </c>
      <c r="G495"/>
      <c r="H495" s="2"/>
      <c r="I495" s="2"/>
      <c r="L495"/>
      <c r="R495"/>
      <c r="S495" s="5"/>
      <c r="U495" s="5"/>
    </row>
    <row r="496" spans="1:21">
      <c r="A496" s="3">
        <v>45678.702893518515</v>
      </c>
      <c r="B496" s="2" t="s">
        <v>26</v>
      </c>
      <c r="C496" s="2" t="s">
        <v>11</v>
      </c>
      <c r="D496" s="6" t="str">
        <f>CONCATENATE(YEAR(A496),"/",IF(MONTH(A496)&lt;10,CONCATENATE("0",MONTH(A496)),MONTH(A496)))</f>
        <v>2025/01</v>
      </c>
      <c r="E496" s="8" t="str">
        <f>IF(IF(D496&lt;&gt;D495,1,IF(OR(B496&lt;&gt;B495,A496-A495&gt;$U$1),1,""))&lt;&gt;1,"",IF(C496="B01",1965,IF(C496="B02",1020,IF(C496="B05",2400,IF(C496="B03",4260,IF(C496="B04",2880,IF(C496="B20",1260,0)))))))</f>
        <v/>
      </c>
      <c r="F496" s="8" t="str">
        <f>IF(IF(D496&lt;&gt;D495,1,IF(OR(B496&lt;&gt;B495,A496-A495&gt;$U$1),1,""))&lt;&gt;1,"",IF(C496="B01",1,IF(C496="B05",1,IF(C496="B03",1,IF(C496="B04",1,IF(C496="B20",1,IF(C496="B02",1,0)))))))</f>
        <v/>
      </c>
      <c r="G496"/>
      <c r="H496" s="2"/>
      <c r="I496" s="2"/>
      <c r="L496"/>
      <c r="R496"/>
      <c r="S496" s="5"/>
      <c r="U496" s="5"/>
    </row>
    <row r="497" spans="1:21">
      <c r="A497" s="3">
        <v>45679.188900462963</v>
      </c>
      <c r="B497" s="2" t="s">
        <v>26</v>
      </c>
      <c r="C497" s="2" t="s">
        <v>11</v>
      </c>
      <c r="D497" s="6" t="str">
        <f>CONCATENATE(YEAR(A497),"/",IF(MONTH(A497)&lt;10,CONCATENATE("0",MONTH(A497)),MONTH(A497)))</f>
        <v>2025/01</v>
      </c>
      <c r="E497" s="8">
        <f>IF(IF(D497&lt;&gt;D496,1,IF(OR(B497&lt;&gt;B496,A497-A496&gt;$U$1),1,""))&lt;&gt;1,"",IF(C497="B01",1965,IF(C497="B02",1020,IF(C497="B05",2400,IF(C497="B03",4260,IF(C497="B04",2880,IF(C497="B20",1260,0)))))))</f>
        <v>2400</v>
      </c>
      <c r="F497" s="8">
        <f>IF(IF(D497&lt;&gt;D496,1,IF(OR(B497&lt;&gt;B496,A497-A496&gt;$U$1),1,""))&lt;&gt;1,"",IF(C497="B01",1,IF(C497="B05",1,IF(C497="B03",1,IF(C497="B04",1,IF(C497="B20",1,IF(C497="B02",1,0)))))))</f>
        <v>1</v>
      </c>
      <c r="G497"/>
      <c r="H497" s="2"/>
      <c r="I497" s="2"/>
      <c r="L497"/>
      <c r="R497"/>
      <c r="S497" s="5"/>
      <c r="U497" s="5"/>
    </row>
    <row r="498" spans="1:21">
      <c r="A498" s="3">
        <v>45679.188900462963</v>
      </c>
      <c r="B498" s="2" t="s">
        <v>26</v>
      </c>
      <c r="C498" s="2" t="s">
        <v>11</v>
      </c>
      <c r="D498" s="6" t="str">
        <f>CONCATENATE(YEAR(A498),"/",IF(MONTH(A498)&lt;10,CONCATENATE("0",MONTH(A498)),MONTH(A498)))</f>
        <v>2025/01</v>
      </c>
      <c r="E498" s="8" t="str">
        <f>IF(IF(D498&lt;&gt;D497,1,IF(OR(B498&lt;&gt;B497,A498-A497&gt;$U$1),1,""))&lt;&gt;1,"",IF(C498="B01",1965,IF(C498="B02",1020,IF(C498="B05",2400,IF(C498="B03",4260,IF(C498="B04",2880,IF(C498="B20",1260,0)))))))</f>
        <v/>
      </c>
      <c r="F498" s="8" t="str">
        <f>IF(IF(D498&lt;&gt;D497,1,IF(OR(B498&lt;&gt;B497,A498-A497&gt;$U$1),1,""))&lt;&gt;1,"",IF(C498="B01",1,IF(C498="B05",1,IF(C498="B03",1,IF(C498="B04",1,IF(C498="B20",1,IF(C498="B02",1,0)))))))</f>
        <v/>
      </c>
      <c r="G498"/>
      <c r="H498" s="2"/>
      <c r="I498" s="2"/>
      <c r="L498"/>
      <c r="R498"/>
      <c r="S498" s="5"/>
      <c r="U498" s="5"/>
    </row>
    <row r="499" spans="1:21">
      <c r="A499" s="3">
        <v>45679.188900462963</v>
      </c>
      <c r="B499" s="2" t="s">
        <v>26</v>
      </c>
      <c r="C499" s="2" t="s">
        <v>11</v>
      </c>
      <c r="D499" s="6" t="str">
        <f>CONCATENATE(YEAR(A499),"/",IF(MONTH(A499)&lt;10,CONCATENATE("0",MONTH(A499)),MONTH(A499)))</f>
        <v>2025/01</v>
      </c>
      <c r="E499" s="8" t="str">
        <f>IF(IF(D499&lt;&gt;D498,1,IF(OR(B499&lt;&gt;B498,A499-A498&gt;$U$1),1,""))&lt;&gt;1,"",IF(C499="B01",1965,IF(C499="B02",1020,IF(C499="B05",2400,IF(C499="B03",4260,IF(C499="B04",2880,IF(C499="B20",1260,0)))))))</f>
        <v/>
      </c>
      <c r="F499" s="8" t="str">
        <f>IF(IF(D499&lt;&gt;D498,1,IF(OR(B499&lt;&gt;B498,A499-A498&gt;$U$1),1,""))&lt;&gt;1,"",IF(C499="B01",1,IF(C499="B05",1,IF(C499="B03",1,IF(C499="B04",1,IF(C499="B20",1,IF(C499="B02",1,0)))))))</f>
        <v/>
      </c>
      <c r="G499"/>
      <c r="H499" s="2"/>
      <c r="I499" s="2"/>
      <c r="L499"/>
      <c r="R499"/>
      <c r="S499" s="5"/>
      <c r="U499" s="5"/>
    </row>
    <row r="500" spans="1:21">
      <c r="A500" s="3">
        <v>45679.188900462963</v>
      </c>
      <c r="B500" s="2" t="s">
        <v>26</v>
      </c>
      <c r="C500" s="2" t="s">
        <v>11</v>
      </c>
      <c r="D500" s="6" t="str">
        <f>CONCATENATE(YEAR(A500),"/",IF(MONTH(A500)&lt;10,CONCATENATE("0",MONTH(A500)),MONTH(A500)))</f>
        <v>2025/01</v>
      </c>
      <c r="E500" s="8" t="str">
        <f>IF(IF(D500&lt;&gt;D499,1,IF(OR(B500&lt;&gt;B499,A500-A499&gt;$U$1),1,""))&lt;&gt;1,"",IF(C500="B01",1965,IF(C500="B02",1020,IF(C500="B05",2400,IF(C500="B03",4260,IF(C500="B04",2880,IF(C500="B20",1260,0)))))))</f>
        <v/>
      </c>
      <c r="F500" s="8" t="str">
        <f>IF(IF(D500&lt;&gt;D499,1,IF(OR(B500&lt;&gt;B499,A500-A499&gt;$U$1),1,""))&lt;&gt;1,"",IF(C500="B01",1,IF(C500="B05",1,IF(C500="B03",1,IF(C500="B04",1,IF(C500="B20",1,IF(C500="B02",1,0)))))))</f>
        <v/>
      </c>
      <c r="G500"/>
      <c r="H500" s="2"/>
      <c r="I500" s="2"/>
      <c r="L500"/>
      <c r="R500"/>
      <c r="S500" s="5"/>
      <c r="U500" s="5"/>
    </row>
    <row r="501" spans="1:21">
      <c r="A501" s="3">
        <v>45679.411481481482</v>
      </c>
      <c r="B501" s="2" t="s">
        <v>26</v>
      </c>
      <c r="C501" s="2" t="s">
        <v>12</v>
      </c>
      <c r="D501" s="6" t="str">
        <f>CONCATENATE(YEAR(A501),"/",IF(MONTH(A501)&lt;10,CONCATENATE("0",MONTH(A501)),MONTH(A501)))</f>
        <v>2025/01</v>
      </c>
      <c r="E501" s="8">
        <f>IF(IF(D501&lt;&gt;D500,1,IF(OR(B501&lt;&gt;B500,A501-A500&gt;$U$1),1,""))&lt;&gt;1,"",IF(C501="B01",1965,IF(C501="B02",1020,IF(C501="B05",2400,IF(C501="B03",4260,IF(C501="B04",2880,IF(C501="B20",1260,0)))))))</f>
        <v>4260</v>
      </c>
      <c r="F501" s="8">
        <f>IF(IF(D501&lt;&gt;D500,1,IF(OR(B501&lt;&gt;B500,A501-A500&gt;$U$1),1,""))&lt;&gt;1,"",IF(C501="B01",1,IF(C501="B05",1,IF(C501="B03",1,IF(C501="B04",1,IF(C501="B20",1,IF(C501="B02",1,0)))))))</f>
        <v>1</v>
      </c>
      <c r="G501"/>
      <c r="H501" s="2"/>
      <c r="I501" s="2"/>
      <c r="L501"/>
      <c r="R501"/>
      <c r="S501" s="5"/>
      <c r="U501" s="5"/>
    </row>
    <row r="502" spans="1:21">
      <c r="A502" s="3">
        <v>45679.411481481482</v>
      </c>
      <c r="B502" s="2" t="s">
        <v>26</v>
      </c>
      <c r="C502" s="2" t="s">
        <v>12</v>
      </c>
      <c r="D502" s="6" t="str">
        <f>CONCATENATE(YEAR(A502),"/",IF(MONTH(A502)&lt;10,CONCATENATE("0",MONTH(A502)),MONTH(A502)))</f>
        <v>2025/01</v>
      </c>
      <c r="E502" s="8" t="str">
        <f>IF(IF(D502&lt;&gt;D501,1,IF(OR(B502&lt;&gt;B501,A502-A501&gt;$U$1),1,""))&lt;&gt;1,"",IF(C502="B01",1965,IF(C502="B02",1020,IF(C502="B05",2400,IF(C502="B03",4260,IF(C502="B04",2880,IF(C502="B20",1260,0)))))))</f>
        <v/>
      </c>
      <c r="F502" s="8" t="str">
        <f>IF(IF(D502&lt;&gt;D501,1,IF(OR(B502&lt;&gt;B501,A502-A501&gt;$U$1),1,""))&lt;&gt;1,"",IF(C502="B01",1,IF(C502="B05",1,IF(C502="B03",1,IF(C502="B04",1,IF(C502="B20",1,IF(C502="B02",1,0)))))))</f>
        <v/>
      </c>
      <c r="G502"/>
      <c r="H502" s="2"/>
      <c r="I502" s="2"/>
      <c r="L502"/>
      <c r="R502"/>
      <c r="S502" s="5"/>
      <c r="U502" s="5"/>
    </row>
    <row r="503" spans="1:21">
      <c r="A503" s="3">
        <v>45679.7031712963</v>
      </c>
      <c r="B503" s="2" t="s">
        <v>26</v>
      </c>
      <c r="C503" s="2" t="s">
        <v>11</v>
      </c>
      <c r="D503" s="6" t="str">
        <f>CONCATENATE(YEAR(A503),"/",IF(MONTH(A503)&lt;10,CONCATENATE("0",MONTH(A503)),MONTH(A503)))</f>
        <v>2025/01</v>
      </c>
      <c r="E503" s="8">
        <f>IF(IF(D503&lt;&gt;D502,1,IF(OR(B503&lt;&gt;B502,A503-A502&gt;$U$1),1,""))&lt;&gt;1,"",IF(C503="B01",1965,IF(C503="B02",1020,IF(C503="B05",2400,IF(C503="B03",4260,IF(C503="B04",2880,IF(C503="B20",1260,0)))))))</f>
        <v>2400</v>
      </c>
      <c r="F503" s="8">
        <f>IF(IF(D503&lt;&gt;D502,1,IF(OR(B503&lt;&gt;B502,A503-A502&gt;$U$1),1,""))&lt;&gt;1,"",IF(C503="B01",1,IF(C503="B05",1,IF(C503="B03",1,IF(C503="B04",1,IF(C503="B20",1,IF(C503="B02",1,0)))))))</f>
        <v>1</v>
      </c>
      <c r="G503"/>
      <c r="H503" s="2"/>
      <c r="I503" s="2"/>
      <c r="L503"/>
      <c r="R503"/>
      <c r="S503" s="5"/>
      <c r="U503" s="5"/>
    </row>
    <row r="504" spans="1:21">
      <c r="A504" s="3">
        <v>45679.7031712963</v>
      </c>
      <c r="B504" s="2" t="s">
        <v>26</v>
      </c>
      <c r="C504" s="2" t="s">
        <v>11</v>
      </c>
      <c r="D504" s="6" t="str">
        <f>CONCATENATE(YEAR(A504),"/",IF(MONTH(A504)&lt;10,CONCATENATE("0",MONTH(A504)),MONTH(A504)))</f>
        <v>2025/01</v>
      </c>
      <c r="E504" s="8" t="str">
        <f>IF(IF(D504&lt;&gt;D503,1,IF(OR(B504&lt;&gt;B503,A504-A503&gt;$U$1),1,""))&lt;&gt;1,"",IF(C504="B01",1965,IF(C504="B02",1020,IF(C504="B05",2400,IF(C504="B03",4260,IF(C504="B04",2880,IF(C504="B20",1260,0)))))))</f>
        <v/>
      </c>
      <c r="F504" s="8" t="str">
        <f>IF(IF(D504&lt;&gt;D503,1,IF(OR(B504&lt;&gt;B503,A504-A503&gt;$U$1),1,""))&lt;&gt;1,"",IF(C504="B01",1,IF(C504="B05",1,IF(C504="B03",1,IF(C504="B04",1,IF(C504="B20",1,IF(C504="B02",1,0)))))))</f>
        <v/>
      </c>
      <c r="G504"/>
      <c r="H504" s="2"/>
      <c r="I504" s="2"/>
      <c r="L504"/>
      <c r="R504"/>
      <c r="S504" s="5"/>
      <c r="U504" s="5"/>
    </row>
    <row r="505" spans="1:21">
      <c r="A505" s="3">
        <v>45679.7031712963</v>
      </c>
      <c r="B505" s="2" t="s">
        <v>26</v>
      </c>
      <c r="C505" s="2" t="s">
        <v>11</v>
      </c>
      <c r="D505" s="6" t="str">
        <f>CONCATENATE(YEAR(A505),"/",IF(MONTH(A505)&lt;10,CONCATENATE("0",MONTH(A505)),MONTH(A505)))</f>
        <v>2025/01</v>
      </c>
      <c r="E505" s="8" t="str">
        <f>IF(IF(D505&lt;&gt;D504,1,IF(OR(B505&lt;&gt;B504,A505-A504&gt;$U$1),1,""))&lt;&gt;1,"",IF(C505="B01",1965,IF(C505="B02",1020,IF(C505="B05",2400,IF(C505="B03",4260,IF(C505="B04",2880,IF(C505="B20",1260,0)))))))</f>
        <v/>
      </c>
      <c r="F505" s="8" t="str">
        <f>IF(IF(D505&lt;&gt;D504,1,IF(OR(B505&lt;&gt;B504,A505-A504&gt;$U$1),1,""))&lt;&gt;1,"",IF(C505="B01",1,IF(C505="B05",1,IF(C505="B03",1,IF(C505="B04",1,IF(C505="B20",1,IF(C505="B02",1,0)))))))</f>
        <v/>
      </c>
      <c r="G505"/>
      <c r="H505" s="2"/>
      <c r="I505" s="2"/>
      <c r="L505"/>
      <c r="R505"/>
      <c r="S505" s="5"/>
      <c r="U505" s="5"/>
    </row>
    <row r="506" spans="1:21">
      <c r="A506" s="3">
        <v>45680.338078703702</v>
      </c>
      <c r="B506" s="2" t="s">
        <v>26</v>
      </c>
      <c r="C506" s="2" t="s">
        <v>12</v>
      </c>
      <c r="D506" s="6" t="str">
        <f>CONCATENATE(YEAR(A506),"/",IF(MONTH(A506)&lt;10,CONCATENATE("0",MONTH(A506)),MONTH(A506)))</f>
        <v>2025/01</v>
      </c>
      <c r="E506" s="8">
        <f>IF(IF(D506&lt;&gt;D505,1,IF(OR(B506&lt;&gt;B505,A506-A505&gt;$U$1),1,""))&lt;&gt;1,"",IF(C506="B01",1965,IF(C506="B02",1020,IF(C506="B05",2400,IF(C506="B03",4260,IF(C506="B04",2880,IF(C506="B20",1260,0)))))))</f>
        <v>4260</v>
      </c>
      <c r="F506" s="8">
        <f>IF(IF(D506&lt;&gt;D505,1,IF(OR(B506&lt;&gt;B505,A506-A505&gt;$U$1),1,""))&lt;&gt;1,"",IF(C506="B01",1,IF(C506="B05",1,IF(C506="B03",1,IF(C506="B04",1,IF(C506="B20",1,IF(C506="B02",1,0)))))))</f>
        <v>1</v>
      </c>
      <c r="G506"/>
      <c r="H506" s="2"/>
      <c r="I506" s="2"/>
      <c r="L506"/>
      <c r="R506"/>
      <c r="S506" s="5"/>
      <c r="U506" s="5"/>
    </row>
    <row r="507" spans="1:21">
      <c r="A507" s="3">
        <v>45680.338078703702</v>
      </c>
      <c r="B507" s="2" t="s">
        <v>26</v>
      </c>
      <c r="C507" s="2" t="s">
        <v>12</v>
      </c>
      <c r="D507" s="6" t="str">
        <f>CONCATENATE(YEAR(A507),"/",IF(MONTH(A507)&lt;10,CONCATENATE("0",MONTH(A507)),MONTH(A507)))</f>
        <v>2025/01</v>
      </c>
      <c r="E507" s="8" t="str">
        <f>IF(IF(D507&lt;&gt;D506,1,IF(OR(B507&lt;&gt;B506,A507-A506&gt;$U$1),1,""))&lt;&gt;1,"",IF(C507="B01",1965,IF(C507="B02",1020,IF(C507="B05",2400,IF(C507="B03",4260,IF(C507="B04",2880,IF(C507="B20",1260,0)))))))</f>
        <v/>
      </c>
      <c r="F507" s="8" t="str">
        <f>IF(IF(D507&lt;&gt;D506,1,IF(OR(B507&lt;&gt;B506,A507-A506&gt;$U$1),1,""))&lt;&gt;1,"",IF(C507="B01",1,IF(C507="B05",1,IF(C507="B03",1,IF(C507="B04",1,IF(C507="B20",1,IF(C507="B02",1,0)))))))</f>
        <v/>
      </c>
      <c r="G507"/>
      <c r="H507" s="2"/>
      <c r="I507" s="2"/>
      <c r="L507"/>
      <c r="R507"/>
      <c r="S507" s="5"/>
      <c r="U507" s="5"/>
    </row>
    <row r="508" spans="1:21">
      <c r="A508" s="3">
        <v>45680.871215277781</v>
      </c>
      <c r="B508" s="2" t="s">
        <v>26</v>
      </c>
      <c r="C508" s="2" t="s">
        <v>11</v>
      </c>
      <c r="D508" s="6" t="str">
        <f>CONCATENATE(YEAR(A508),"/",IF(MONTH(A508)&lt;10,CONCATENATE("0",MONTH(A508)),MONTH(A508)))</f>
        <v>2025/01</v>
      </c>
      <c r="E508" s="8">
        <f>IF(IF(D508&lt;&gt;D507,1,IF(OR(B508&lt;&gt;B507,A508-A507&gt;$U$1),1,""))&lt;&gt;1,"",IF(C508="B01",1965,IF(C508="B02",1020,IF(C508="B05",2400,IF(C508="B03",4260,IF(C508="B04",2880,IF(C508="B20",1260,0)))))))</f>
        <v>2400</v>
      </c>
      <c r="F508" s="8">
        <f>IF(IF(D508&lt;&gt;D507,1,IF(OR(B508&lt;&gt;B507,A508-A507&gt;$U$1),1,""))&lt;&gt;1,"",IF(C508="B01",1,IF(C508="B05",1,IF(C508="B03",1,IF(C508="B04",1,IF(C508="B20",1,IF(C508="B02",1,0)))))))</f>
        <v>1</v>
      </c>
      <c r="G508"/>
      <c r="H508" s="2"/>
      <c r="I508" s="2"/>
      <c r="L508"/>
      <c r="R508"/>
      <c r="S508" s="5"/>
      <c r="U508" s="5"/>
    </row>
    <row r="509" spans="1:21">
      <c r="A509" s="3">
        <v>45680.871215277781</v>
      </c>
      <c r="B509" s="2" t="s">
        <v>26</v>
      </c>
      <c r="C509" s="2" t="s">
        <v>11</v>
      </c>
      <c r="D509" s="6" t="str">
        <f>CONCATENATE(YEAR(A509),"/",IF(MONTH(A509)&lt;10,CONCATENATE("0",MONTH(A509)),MONTH(A509)))</f>
        <v>2025/01</v>
      </c>
      <c r="E509" s="8" t="str">
        <f>IF(IF(D509&lt;&gt;D508,1,IF(OR(B509&lt;&gt;B508,A509-A508&gt;$U$1),1,""))&lt;&gt;1,"",IF(C509="B01",1965,IF(C509="B02",1020,IF(C509="B05",2400,IF(C509="B03",4260,IF(C509="B04",2880,IF(C509="B20",1260,0)))))))</f>
        <v/>
      </c>
      <c r="F509" s="8" t="str">
        <f>IF(IF(D509&lt;&gt;D508,1,IF(OR(B509&lt;&gt;B508,A509-A508&gt;$U$1),1,""))&lt;&gt;1,"",IF(C509="B01",1,IF(C509="B05",1,IF(C509="B03",1,IF(C509="B04",1,IF(C509="B20",1,IF(C509="B02",1,0)))))))</f>
        <v/>
      </c>
      <c r="G509"/>
      <c r="H509" s="2"/>
      <c r="I509" s="2"/>
      <c r="L509"/>
      <c r="R509"/>
      <c r="S509" s="5"/>
      <c r="U509" s="5"/>
    </row>
    <row r="510" spans="1:21">
      <c r="A510" s="3">
        <v>45680.871215277781</v>
      </c>
      <c r="B510" s="2" t="s">
        <v>26</v>
      </c>
      <c r="C510" s="2" t="s">
        <v>11</v>
      </c>
      <c r="D510" s="6" t="str">
        <f>CONCATENATE(YEAR(A510),"/",IF(MONTH(A510)&lt;10,CONCATENATE("0",MONTH(A510)),MONTH(A510)))</f>
        <v>2025/01</v>
      </c>
      <c r="E510" s="8" t="str">
        <f>IF(IF(D510&lt;&gt;D509,1,IF(OR(B510&lt;&gt;B509,A510-A509&gt;$U$1),1,""))&lt;&gt;1,"",IF(C510="B01",1965,IF(C510="B02",1020,IF(C510="B05",2400,IF(C510="B03",4260,IF(C510="B04",2880,IF(C510="B20",1260,0)))))))</f>
        <v/>
      </c>
      <c r="F510" s="8" t="str">
        <f>IF(IF(D510&lt;&gt;D509,1,IF(OR(B510&lt;&gt;B509,A510-A509&gt;$U$1),1,""))&lt;&gt;1,"",IF(C510="B01",1,IF(C510="B05",1,IF(C510="B03",1,IF(C510="B04",1,IF(C510="B20",1,IF(C510="B02",1,0)))))))</f>
        <v/>
      </c>
      <c r="G510"/>
      <c r="H510" s="2"/>
      <c r="I510" s="2"/>
      <c r="L510"/>
      <c r="R510"/>
      <c r="S510" s="5"/>
      <c r="U510" s="5"/>
    </row>
    <row r="511" spans="1:21">
      <c r="A511" s="3">
        <v>45681.117708333331</v>
      </c>
      <c r="B511" s="2" t="s">
        <v>26</v>
      </c>
      <c r="C511" s="2" t="s">
        <v>12</v>
      </c>
      <c r="D511" s="6" t="str">
        <f>CONCATENATE(YEAR(A511),"/",IF(MONTH(A511)&lt;10,CONCATENATE("0",MONTH(A511)),MONTH(A511)))</f>
        <v>2025/01</v>
      </c>
      <c r="E511" s="8">
        <f>IF(IF(D511&lt;&gt;D510,1,IF(OR(B511&lt;&gt;B510,A511-A510&gt;$U$1),1,""))&lt;&gt;1,"",IF(C511="B01",1965,IF(C511="B02",1020,IF(C511="B05",2400,IF(C511="B03",4260,IF(C511="B04",2880,IF(C511="B20",1260,0)))))))</f>
        <v>4260</v>
      </c>
      <c r="F511" s="8">
        <f>IF(IF(D511&lt;&gt;D510,1,IF(OR(B511&lt;&gt;B510,A511-A510&gt;$U$1),1,""))&lt;&gt;1,"",IF(C511="B01",1,IF(C511="B05",1,IF(C511="B03",1,IF(C511="B04",1,IF(C511="B20",1,IF(C511="B02",1,0)))))))</f>
        <v>1</v>
      </c>
      <c r="G511"/>
      <c r="H511" s="2"/>
      <c r="I511" s="2"/>
      <c r="L511"/>
      <c r="R511"/>
      <c r="S511" s="5"/>
      <c r="U511" s="5"/>
    </row>
    <row r="512" spans="1:21">
      <c r="A512" s="3">
        <v>45681.117708333331</v>
      </c>
      <c r="B512" s="2" t="s">
        <v>26</v>
      </c>
      <c r="C512" s="2" t="s">
        <v>12</v>
      </c>
      <c r="D512" s="6" t="str">
        <f>CONCATENATE(YEAR(A512),"/",IF(MONTH(A512)&lt;10,CONCATENATE("0",MONTH(A512)),MONTH(A512)))</f>
        <v>2025/01</v>
      </c>
      <c r="E512" s="8" t="str">
        <f>IF(IF(D512&lt;&gt;D511,1,IF(OR(B512&lt;&gt;B511,A512-A511&gt;$U$1),1,""))&lt;&gt;1,"",IF(C512="B01",1965,IF(C512="B02",1020,IF(C512="B05",2400,IF(C512="B03",4260,IF(C512="B04",2880,IF(C512="B20",1260,0)))))))</f>
        <v/>
      </c>
      <c r="F512" s="8" t="str">
        <f>IF(IF(D512&lt;&gt;D511,1,IF(OR(B512&lt;&gt;B511,A512-A511&gt;$U$1),1,""))&lt;&gt;1,"",IF(C512="B01",1,IF(C512="B05",1,IF(C512="B03",1,IF(C512="B04",1,IF(C512="B20",1,IF(C512="B02",1,0)))))))</f>
        <v/>
      </c>
      <c r="G512"/>
      <c r="H512" s="2"/>
      <c r="I512" s="2"/>
      <c r="L512"/>
      <c r="R512"/>
      <c r="S512" s="5"/>
      <c r="U512" s="5"/>
    </row>
    <row r="513" spans="1:21">
      <c r="A513" s="3">
        <v>45681.117708333331</v>
      </c>
      <c r="B513" s="2" t="s">
        <v>26</v>
      </c>
      <c r="C513" s="2" t="s">
        <v>12</v>
      </c>
      <c r="D513" s="6" t="str">
        <f>CONCATENATE(YEAR(A513),"/",IF(MONTH(A513)&lt;10,CONCATENATE("0",MONTH(A513)),MONTH(A513)))</f>
        <v>2025/01</v>
      </c>
      <c r="E513" s="8" t="str">
        <f>IF(IF(D513&lt;&gt;D512,1,IF(OR(B513&lt;&gt;B512,A513-A512&gt;$U$1),1,""))&lt;&gt;1,"",IF(C513="B01",1965,IF(C513="B02",1020,IF(C513="B05",2400,IF(C513="B03",4260,IF(C513="B04",2880,IF(C513="B20",1260,0)))))))</f>
        <v/>
      </c>
      <c r="F513" s="8" t="str">
        <f>IF(IF(D513&lt;&gt;D512,1,IF(OR(B513&lt;&gt;B512,A513-A512&gt;$U$1),1,""))&lt;&gt;1,"",IF(C513="B01",1,IF(C513="B05",1,IF(C513="B03",1,IF(C513="B04",1,IF(C513="B20",1,IF(C513="B02",1,0)))))))</f>
        <v/>
      </c>
      <c r="G513"/>
      <c r="H513" s="2"/>
      <c r="I513" s="2"/>
      <c r="L513"/>
      <c r="R513"/>
      <c r="S513" s="5"/>
      <c r="U513" s="5"/>
    </row>
    <row r="514" spans="1:21">
      <c r="A514" s="3">
        <v>45681.117708333331</v>
      </c>
      <c r="B514" s="2" t="s">
        <v>26</v>
      </c>
      <c r="C514" s="2" t="s">
        <v>12</v>
      </c>
      <c r="D514" s="6" t="str">
        <f>CONCATENATE(YEAR(A514),"/",IF(MONTH(A514)&lt;10,CONCATENATE("0",MONTH(A514)),MONTH(A514)))</f>
        <v>2025/01</v>
      </c>
      <c r="E514" s="8" t="str">
        <f>IF(IF(D514&lt;&gt;D513,1,IF(OR(B514&lt;&gt;B513,A514-A513&gt;$U$1),1,""))&lt;&gt;1,"",IF(C514="B01",1965,IF(C514="B02",1020,IF(C514="B05",2400,IF(C514="B03",4260,IF(C514="B04",2880,IF(C514="B20",1260,0)))))))</f>
        <v/>
      </c>
      <c r="F514" s="8" t="str">
        <f>IF(IF(D514&lt;&gt;D513,1,IF(OR(B514&lt;&gt;B513,A514-A513&gt;$U$1),1,""))&lt;&gt;1,"",IF(C514="B01",1,IF(C514="B05",1,IF(C514="B03",1,IF(C514="B04",1,IF(C514="B20",1,IF(C514="B02",1,0)))))))</f>
        <v/>
      </c>
      <c r="G514"/>
      <c r="H514" s="2"/>
      <c r="I514" s="2"/>
      <c r="L514"/>
      <c r="R514"/>
      <c r="S514" s="5"/>
      <c r="U514" s="5"/>
    </row>
    <row r="515" spans="1:21">
      <c r="A515" s="3">
        <v>45681.353842592594</v>
      </c>
      <c r="B515" s="2" t="s">
        <v>26</v>
      </c>
      <c r="C515" s="2" t="s">
        <v>11</v>
      </c>
      <c r="D515" s="6" t="str">
        <f>CONCATENATE(YEAR(A515),"/",IF(MONTH(A515)&lt;10,CONCATENATE("0",MONTH(A515)),MONTH(A515)))</f>
        <v>2025/01</v>
      </c>
      <c r="E515" s="8">
        <f>IF(IF(D515&lt;&gt;D514,1,IF(OR(B515&lt;&gt;B514,A515-A514&gt;$U$1),1,""))&lt;&gt;1,"",IF(C515="B01",1965,IF(C515="B02",1020,IF(C515="B05",2400,IF(C515="B03",4260,IF(C515="B04",2880,IF(C515="B20",1260,0)))))))</f>
        <v>2400</v>
      </c>
      <c r="F515" s="8">
        <f>IF(IF(D515&lt;&gt;D514,1,IF(OR(B515&lt;&gt;B514,A515-A514&gt;$U$1),1,""))&lt;&gt;1,"",IF(C515="B01",1,IF(C515="B05",1,IF(C515="B03",1,IF(C515="B04",1,IF(C515="B20",1,IF(C515="B02",1,0)))))))</f>
        <v>1</v>
      </c>
      <c r="G515"/>
      <c r="H515" s="2"/>
      <c r="I515" s="2"/>
      <c r="L515"/>
      <c r="R515"/>
      <c r="S515" s="5"/>
      <c r="U515" s="5"/>
    </row>
    <row r="516" spans="1:21">
      <c r="A516" s="3">
        <v>45681.353842592594</v>
      </c>
      <c r="B516" s="2" t="s">
        <v>26</v>
      </c>
      <c r="C516" s="2" t="s">
        <v>11</v>
      </c>
      <c r="D516" s="6" t="str">
        <f>CONCATENATE(YEAR(A516),"/",IF(MONTH(A516)&lt;10,CONCATENATE("0",MONTH(A516)),MONTH(A516)))</f>
        <v>2025/01</v>
      </c>
      <c r="E516" s="8" t="str">
        <f>IF(IF(D516&lt;&gt;D515,1,IF(OR(B516&lt;&gt;B515,A516-A515&gt;$U$1),1,""))&lt;&gt;1,"",IF(C516="B01",1965,IF(C516="B02",1020,IF(C516="B05",2400,IF(C516="B03",4260,IF(C516="B04",2880,IF(C516="B20",1260,0)))))))</f>
        <v/>
      </c>
      <c r="F516" s="8" t="str">
        <f>IF(IF(D516&lt;&gt;D515,1,IF(OR(B516&lt;&gt;B515,A516-A515&gt;$U$1),1,""))&lt;&gt;1,"",IF(C516="B01",1,IF(C516="B05",1,IF(C516="B03",1,IF(C516="B04",1,IF(C516="B20",1,IF(C516="B02",1,0)))))))</f>
        <v/>
      </c>
      <c r="G516"/>
      <c r="H516" s="2"/>
      <c r="I516" s="2"/>
      <c r="L516"/>
      <c r="R516"/>
      <c r="S516" s="5"/>
      <c r="U516" s="5"/>
    </row>
    <row r="517" spans="1:21">
      <c r="A517" s="3">
        <v>45681.469317129631</v>
      </c>
      <c r="B517" s="2" t="s">
        <v>26</v>
      </c>
      <c r="C517" s="2" t="s">
        <v>11</v>
      </c>
      <c r="D517" s="6" t="str">
        <f>CONCATENATE(YEAR(A517),"/",IF(MONTH(A517)&lt;10,CONCATENATE("0",MONTH(A517)),MONTH(A517)))</f>
        <v>2025/01</v>
      </c>
      <c r="E517" s="8">
        <f>IF(IF(D517&lt;&gt;D516,1,IF(OR(B517&lt;&gt;B516,A517-A516&gt;$U$1),1,""))&lt;&gt;1,"",IF(C517="B01",1965,IF(C517="B02",1020,IF(C517="B05",2400,IF(C517="B03",4260,IF(C517="B04",2880,IF(C517="B20",1260,0)))))))</f>
        <v>2400</v>
      </c>
      <c r="F517" s="8">
        <f>IF(IF(D517&lt;&gt;D516,1,IF(OR(B517&lt;&gt;B516,A517-A516&gt;$U$1),1,""))&lt;&gt;1,"",IF(C517="B01",1,IF(C517="B05",1,IF(C517="B03",1,IF(C517="B04",1,IF(C517="B20",1,IF(C517="B02",1,0)))))))</f>
        <v>1</v>
      </c>
      <c r="G517"/>
      <c r="H517" s="2"/>
      <c r="I517" s="2"/>
      <c r="L517"/>
      <c r="R517"/>
      <c r="S517" s="5"/>
      <c r="U517" s="5"/>
    </row>
    <row r="518" spans="1:21">
      <c r="A518" s="3">
        <v>45681.469317129631</v>
      </c>
      <c r="B518" s="2" t="s">
        <v>26</v>
      </c>
      <c r="C518" s="2" t="s">
        <v>11</v>
      </c>
      <c r="D518" s="6" t="str">
        <f>CONCATENATE(YEAR(A518),"/",IF(MONTH(A518)&lt;10,CONCATENATE("0",MONTH(A518)),MONTH(A518)))</f>
        <v>2025/01</v>
      </c>
      <c r="E518" s="8" t="str">
        <f>IF(IF(D518&lt;&gt;D517,1,IF(OR(B518&lt;&gt;B517,A518-A517&gt;$U$1),1,""))&lt;&gt;1,"",IF(C518="B01",1965,IF(C518="B02",1020,IF(C518="B05",2400,IF(C518="B03",4260,IF(C518="B04",2880,IF(C518="B20",1260,0)))))))</f>
        <v/>
      </c>
      <c r="F518" s="8" t="str">
        <f>IF(IF(D518&lt;&gt;D517,1,IF(OR(B518&lt;&gt;B517,A518-A517&gt;$U$1),1,""))&lt;&gt;1,"",IF(C518="B01",1,IF(C518="B05",1,IF(C518="B03",1,IF(C518="B04",1,IF(C518="B20",1,IF(C518="B02",1,0)))))))</f>
        <v/>
      </c>
      <c r="G518"/>
      <c r="H518" s="2"/>
      <c r="I518" s="2"/>
      <c r="L518"/>
      <c r="R518"/>
      <c r="S518" s="5"/>
      <c r="U518" s="5"/>
    </row>
    <row r="519" spans="1:21">
      <c r="A519" s="3">
        <v>45681.708090277774</v>
      </c>
      <c r="B519" s="2" t="s">
        <v>26</v>
      </c>
      <c r="C519" s="2" t="s">
        <v>11</v>
      </c>
      <c r="D519" s="6" t="str">
        <f>CONCATENATE(YEAR(A519),"/",IF(MONTH(A519)&lt;10,CONCATENATE("0",MONTH(A519)),MONTH(A519)))</f>
        <v>2025/01</v>
      </c>
      <c r="E519" s="8">
        <f>IF(IF(D519&lt;&gt;D518,1,IF(OR(B519&lt;&gt;B518,A519-A518&gt;$U$1),1,""))&lt;&gt;1,"",IF(C519="B01",1965,IF(C519="B02",1020,IF(C519="B05",2400,IF(C519="B03",4260,IF(C519="B04",2880,IF(C519="B20",1260,0)))))))</f>
        <v>2400</v>
      </c>
      <c r="F519" s="8">
        <f>IF(IF(D519&lt;&gt;D518,1,IF(OR(B519&lt;&gt;B518,A519-A518&gt;$U$1),1,""))&lt;&gt;1,"",IF(C519="B01",1,IF(C519="B05",1,IF(C519="B03",1,IF(C519="B04",1,IF(C519="B20",1,IF(C519="B02",1,0)))))))</f>
        <v>1</v>
      </c>
      <c r="G519"/>
      <c r="H519" s="2"/>
      <c r="I519" s="2"/>
      <c r="L519"/>
      <c r="R519"/>
      <c r="S519" s="5"/>
      <c r="U519" s="5"/>
    </row>
    <row r="520" spans="1:21">
      <c r="A520" s="3">
        <v>45681.708090277774</v>
      </c>
      <c r="B520" s="2" t="s">
        <v>26</v>
      </c>
      <c r="C520" s="2" t="s">
        <v>11</v>
      </c>
      <c r="D520" s="6" t="str">
        <f>CONCATENATE(YEAR(A520),"/",IF(MONTH(A520)&lt;10,CONCATENATE("0",MONTH(A520)),MONTH(A520)))</f>
        <v>2025/01</v>
      </c>
      <c r="E520" s="8" t="str">
        <f>IF(IF(D520&lt;&gt;D519,1,IF(OR(B520&lt;&gt;B519,A520-A519&gt;$U$1),1,""))&lt;&gt;1,"",IF(C520="B01",1965,IF(C520="B02",1020,IF(C520="B05",2400,IF(C520="B03",4260,IF(C520="B04",2880,IF(C520="B20",1260,0)))))))</f>
        <v/>
      </c>
      <c r="F520" s="8" t="str">
        <f>IF(IF(D520&lt;&gt;D519,1,IF(OR(B520&lt;&gt;B519,A520-A519&gt;$U$1),1,""))&lt;&gt;1,"",IF(C520="B01",1,IF(C520="B05",1,IF(C520="B03",1,IF(C520="B04",1,IF(C520="B20",1,IF(C520="B02",1,0)))))))</f>
        <v/>
      </c>
      <c r="G520"/>
      <c r="H520" s="2"/>
      <c r="I520" s="2"/>
      <c r="L520"/>
      <c r="R520"/>
      <c r="S520" s="5"/>
      <c r="U520" s="5"/>
    </row>
    <row r="521" spans="1:21">
      <c r="A521" s="3">
        <v>45682.109444444446</v>
      </c>
      <c r="B521" s="2" t="s">
        <v>26</v>
      </c>
      <c r="C521" s="2" t="s">
        <v>12</v>
      </c>
      <c r="D521" s="6" t="str">
        <f>CONCATENATE(YEAR(A521),"/",IF(MONTH(A521)&lt;10,CONCATENATE("0",MONTH(A521)),MONTH(A521)))</f>
        <v>2025/01</v>
      </c>
      <c r="E521" s="8">
        <f>IF(IF(D521&lt;&gt;D520,1,IF(OR(B521&lt;&gt;B520,A521-A520&gt;$U$1),1,""))&lt;&gt;1,"",IF(C521="B01",1965,IF(C521="B02",1020,IF(C521="B05",2400,IF(C521="B03",4260,IF(C521="B04",2880,IF(C521="B20",1260,0)))))))</f>
        <v>4260</v>
      </c>
      <c r="F521" s="8">
        <f>IF(IF(D521&lt;&gt;D520,1,IF(OR(B521&lt;&gt;B520,A521-A520&gt;$U$1),1,""))&lt;&gt;1,"",IF(C521="B01",1,IF(C521="B05",1,IF(C521="B03",1,IF(C521="B04",1,IF(C521="B20",1,IF(C521="B02",1,0)))))))</f>
        <v>1</v>
      </c>
      <c r="G521"/>
      <c r="H521" s="2"/>
      <c r="I521" s="2"/>
      <c r="L521"/>
      <c r="R521"/>
      <c r="S521" s="5"/>
      <c r="U521" s="5"/>
    </row>
    <row r="522" spans="1:21">
      <c r="A522" s="3">
        <v>45682.109444444446</v>
      </c>
      <c r="B522" s="2" t="s">
        <v>26</v>
      </c>
      <c r="C522" s="2" t="s">
        <v>12</v>
      </c>
      <c r="D522" s="6" t="str">
        <f>CONCATENATE(YEAR(A522),"/",IF(MONTH(A522)&lt;10,CONCATENATE("0",MONTH(A522)),MONTH(A522)))</f>
        <v>2025/01</v>
      </c>
      <c r="E522" s="8" t="str">
        <f>IF(IF(D522&lt;&gt;D521,1,IF(OR(B522&lt;&gt;B521,A522-A521&gt;$U$1),1,""))&lt;&gt;1,"",IF(C522="B01",1965,IF(C522="B02",1020,IF(C522="B05",2400,IF(C522="B03",4260,IF(C522="B04",2880,IF(C522="B20",1260,0)))))))</f>
        <v/>
      </c>
      <c r="F522" s="8" t="str">
        <f>IF(IF(D522&lt;&gt;D521,1,IF(OR(B522&lt;&gt;B521,A522-A521&gt;$U$1),1,""))&lt;&gt;1,"",IF(C522="B01",1,IF(C522="B05",1,IF(C522="B03",1,IF(C522="B04",1,IF(C522="B20",1,IF(C522="B02",1,0)))))))</f>
        <v/>
      </c>
      <c r="G522"/>
      <c r="H522" s="2"/>
      <c r="I522" s="2"/>
      <c r="L522"/>
      <c r="R522"/>
      <c r="S522" s="5"/>
      <c r="U522" s="5"/>
    </row>
    <row r="523" spans="1:21">
      <c r="A523" s="3">
        <v>45682.109444444446</v>
      </c>
      <c r="B523" s="2" t="s">
        <v>26</v>
      </c>
      <c r="C523" s="2" t="s">
        <v>12</v>
      </c>
      <c r="D523" s="6" t="str">
        <f>CONCATENATE(YEAR(A523),"/",IF(MONTH(A523)&lt;10,CONCATENATE("0",MONTH(A523)),MONTH(A523)))</f>
        <v>2025/01</v>
      </c>
      <c r="E523" s="8" t="str">
        <f>IF(IF(D523&lt;&gt;D522,1,IF(OR(B523&lt;&gt;B522,A523-A522&gt;$U$1),1,""))&lt;&gt;1,"",IF(C523="B01",1965,IF(C523="B02",1020,IF(C523="B05",2400,IF(C523="B03",4260,IF(C523="B04",2880,IF(C523="B20",1260,0)))))))</f>
        <v/>
      </c>
      <c r="F523" s="8" t="str">
        <f>IF(IF(D523&lt;&gt;D522,1,IF(OR(B523&lt;&gt;B522,A523-A522&gt;$U$1),1,""))&lt;&gt;1,"",IF(C523="B01",1,IF(C523="B05",1,IF(C523="B03",1,IF(C523="B04",1,IF(C523="B20",1,IF(C523="B02",1,0)))))))</f>
        <v/>
      </c>
      <c r="G523"/>
      <c r="H523" s="2"/>
      <c r="I523" s="2"/>
      <c r="L523"/>
      <c r="R523"/>
      <c r="S523" s="5"/>
      <c r="U523" s="5"/>
    </row>
    <row r="524" spans="1:21">
      <c r="A524" s="3">
        <v>45682.851053240738</v>
      </c>
      <c r="B524" s="2" t="s">
        <v>26</v>
      </c>
      <c r="C524" s="2" t="s">
        <v>12</v>
      </c>
      <c r="D524" s="6" t="str">
        <f>CONCATENATE(YEAR(A524),"/",IF(MONTH(A524)&lt;10,CONCATENATE("0",MONTH(A524)),MONTH(A524)))</f>
        <v>2025/01</v>
      </c>
      <c r="E524" s="8">
        <f>IF(IF(D524&lt;&gt;D523,1,IF(OR(B524&lt;&gt;B523,A524-A523&gt;$U$1),1,""))&lt;&gt;1,"",IF(C524="B01",1965,IF(C524="B02",1020,IF(C524="B05",2400,IF(C524="B03",4260,IF(C524="B04",2880,IF(C524="B20",1260,0)))))))</f>
        <v>4260</v>
      </c>
      <c r="F524" s="8">
        <f>IF(IF(D524&lt;&gt;D523,1,IF(OR(B524&lt;&gt;B523,A524-A523&gt;$U$1),1,""))&lt;&gt;1,"",IF(C524="B01",1,IF(C524="B05",1,IF(C524="B03",1,IF(C524="B04",1,IF(C524="B20",1,IF(C524="B02",1,0)))))))</f>
        <v>1</v>
      </c>
      <c r="G524"/>
      <c r="H524" s="2"/>
      <c r="I524" s="2"/>
      <c r="L524"/>
      <c r="R524"/>
      <c r="S524" s="5"/>
      <c r="U524" s="5"/>
    </row>
    <row r="525" spans="1:21">
      <c r="A525" s="3">
        <v>45682.851053240738</v>
      </c>
      <c r="B525" s="2" t="s">
        <v>26</v>
      </c>
      <c r="C525" s="2" t="s">
        <v>12</v>
      </c>
      <c r="D525" s="6" t="str">
        <f>CONCATENATE(YEAR(A525),"/",IF(MONTH(A525)&lt;10,CONCATENATE("0",MONTH(A525)),MONTH(A525)))</f>
        <v>2025/01</v>
      </c>
      <c r="E525" s="8" t="str">
        <f>IF(IF(D525&lt;&gt;D524,1,IF(OR(B525&lt;&gt;B524,A525-A524&gt;$U$1),1,""))&lt;&gt;1,"",IF(C525="B01",1965,IF(C525="B02",1020,IF(C525="B05",2400,IF(C525="B03",4260,IF(C525="B04",2880,IF(C525="B20",1260,0)))))))</f>
        <v/>
      </c>
      <c r="F525" s="8" t="str">
        <f>IF(IF(D525&lt;&gt;D524,1,IF(OR(B525&lt;&gt;B524,A525-A524&gt;$U$1),1,""))&lt;&gt;1,"",IF(C525="B01",1,IF(C525="B05",1,IF(C525="B03",1,IF(C525="B04",1,IF(C525="B20",1,IF(C525="B02",1,0)))))))</f>
        <v/>
      </c>
      <c r="G525"/>
      <c r="H525" s="2"/>
      <c r="I525" s="2"/>
      <c r="L525"/>
      <c r="R525"/>
      <c r="S525" s="5"/>
      <c r="U525" s="5"/>
    </row>
    <row r="526" spans="1:21">
      <c r="A526" s="3">
        <v>45683.306666666664</v>
      </c>
      <c r="B526" s="2" t="s">
        <v>26</v>
      </c>
      <c r="C526" s="2" t="s">
        <v>11</v>
      </c>
      <c r="D526" s="6" t="str">
        <f>CONCATENATE(YEAR(A526),"/",IF(MONTH(A526)&lt;10,CONCATENATE("0",MONTH(A526)),MONTH(A526)))</f>
        <v>2025/01</v>
      </c>
      <c r="E526" s="8">
        <f>IF(IF(D526&lt;&gt;D525,1,IF(OR(B526&lt;&gt;B525,A526-A525&gt;$U$1),1,""))&lt;&gt;1,"",IF(C526="B01",1965,IF(C526="B02",1020,IF(C526="B05",2400,IF(C526="B03",4260,IF(C526="B04",2880,IF(C526="B20",1260,0)))))))</f>
        <v>2400</v>
      </c>
      <c r="F526" s="8">
        <f>IF(IF(D526&lt;&gt;D525,1,IF(OR(B526&lt;&gt;B525,A526-A525&gt;$U$1),1,""))&lt;&gt;1,"",IF(C526="B01",1,IF(C526="B05",1,IF(C526="B03",1,IF(C526="B04",1,IF(C526="B20",1,IF(C526="B02",1,0)))))))</f>
        <v>1</v>
      </c>
      <c r="G526"/>
      <c r="H526" s="2"/>
      <c r="I526" s="2"/>
      <c r="L526"/>
      <c r="R526"/>
      <c r="S526" s="5"/>
      <c r="U526" s="5"/>
    </row>
    <row r="527" spans="1:21">
      <c r="A527" s="3">
        <v>45683.306666666664</v>
      </c>
      <c r="B527" s="2" t="s">
        <v>26</v>
      </c>
      <c r="C527" s="2" t="s">
        <v>11</v>
      </c>
      <c r="D527" s="6" t="str">
        <f>CONCATENATE(YEAR(A527),"/",IF(MONTH(A527)&lt;10,CONCATENATE("0",MONTH(A527)),MONTH(A527)))</f>
        <v>2025/01</v>
      </c>
      <c r="E527" s="8" t="str">
        <f>IF(IF(D527&lt;&gt;D526,1,IF(OR(B527&lt;&gt;B526,A527-A526&gt;$U$1),1,""))&lt;&gt;1,"",IF(C527="B01",1965,IF(C527="B02",1020,IF(C527="B05",2400,IF(C527="B03",4260,IF(C527="B04",2880,IF(C527="B20",1260,0)))))))</f>
        <v/>
      </c>
      <c r="F527" s="8" t="str">
        <f>IF(IF(D527&lt;&gt;D526,1,IF(OR(B527&lt;&gt;B526,A527-A526&gt;$U$1),1,""))&lt;&gt;1,"",IF(C527="B01",1,IF(C527="B05",1,IF(C527="B03",1,IF(C527="B04",1,IF(C527="B20",1,IF(C527="B02",1,0)))))))</f>
        <v/>
      </c>
      <c r="G527"/>
      <c r="H527" s="2"/>
      <c r="I527" s="2"/>
      <c r="L527"/>
      <c r="R527"/>
      <c r="S527" s="5"/>
      <c r="U527" s="5"/>
    </row>
    <row r="528" spans="1:21">
      <c r="A528" s="3">
        <v>45683.306666666664</v>
      </c>
      <c r="B528" s="2" t="s">
        <v>26</v>
      </c>
      <c r="C528" s="2" t="s">
        <v>11</v>
      </c>
      <c r="D528" s="6" t="str">
        <f>CONCATENATE(YEAR(A528),"/",IF(MONTH(A528)&lt;10,CONCATENATE("0",MONTH(A528)),MONTH(A528)))</f>
        <v>2025/01</v>
      </c>
      <c r="E528" s="8" t="str">
        <f>IF(IF(D528&lt;&gt;D527,1,IF(OR(B528&lt;&gt;B527,A528-A527&gt;$U$1),1,""))&lt;&gt;1,"",IF(C528="B01",1965,IF(C528="B02",1020,IF(C528="B05",2400,IF(C528="B03",4260,IF(C528="B04",2880,IF(C528="B20",1260,0)))))))</f>
        <v/>
      </c>
      <c r="F528" s="8" t="str">
        <f>IF(IF(D528&lt;&gt;D527,1,IF(OR(B528&lt;&gt;B527,A528-A527&gt;$U$1),1,""))&lt;&gt;1,"",IF(C528="B01",1,IF(C528="B05",1,IF(C528="B03",1,IF(C528="B04",1,IF(C528="B20",1,IF(C528="B02",1,0)))))))</f>
        <v/>
      </c>
      <c r="G528"/>
      <c r="H528" s="2"/>
      <c r="I528" s="2"/>
      <c r="L528"/>
      <c r="R528"/>
      <c r="S528" s="5"/>
      <c r="U528" s="5"/>
    </row>
    <row r="529" spans="1:21">
      <c r="A529" s="3">
        <v>45683.306666666664</v>
      </c>
      <c r="B529" s="2" t="s">
        <v>26</v>
      </c>
      <c r="C529" s="2" t="s">
        <v>11</v>
      </c>
      <c r="D529" s="6" t="str">
        <f>CONCATENATE(YEAR(A529),"/",IF(MONTH(A529)&lt;10,CONCATENATE("0",MONTH(A529)),MONTH(A529)))</f>
        <v>2025/01</v>
      </c>
      <c r="E529" s="8" t="str">
        <f>IF(IF(D529&lt;&gt;D528,1,IF(OR(B529&lt;&gt;B528,A529-A528&gt;$U$1),1,""))&lt;&gt;1,"",IF(C529="B01",1965,IF(C529="B02",1020,IF(C529="B05",2400,IF(C529="B03",4260,IF(C529="B04",2880,IF(C529="B20",1260,0)))))))</f>
        <v/>
      </c>
      <c r="F529" s="8" t="str">
        <f>IF(IF(D529&lt;&gt;D528,1,IF(OR(B529&lt;&gt;B528,A529-A528&gt;$U$1),1,""))&lt;&gt;1,"",IF(C529="B01",1,IF(C529="B05",1,IF(C529="B03",1,IF(C529="B04",1,IF(C529="B20",1,IF(C529="B02",1,0)))))))</f>
        <v/>
      </c>
      <c r="G529"/>
      <c r="H529" s="2"/>
      <c r="I529" s="2"/>
      <c r="L529"/>
      <c r="R529"/>
      <c r="S529" s="5"/>
      <c r="U529" s="5"/>
    </row>
    <row r="530" spans="1:21">
      <c r="A530" s="3">
        <v>45683.633622685185</v>
      </c>
      <c r="B530" s="2" t="s">
        <v>26</v>
      </c>
      <c r="C530" s="2" t="s">
        <v>37</v>
      </c>
      <c r="D530" s="6" t="str">
        <f>CONCATENATE(YEAR(A530),"/",IF(MONTH(A530)&lt;10,CONCATENATE("0",MONTH(A530)),MONTH(A530)))</f>
        <v>2025/01</v>
      </c>
      <c r="E530" s="8">
        <f>IF(IF(D530&lt;&gt;D529,1,IF(OR(B530&lt;&gt;B529,A530-A529&gt;$U$1),1,""))&lt;&gt;1,"",IF(C530="B01",1965,IF(C530="B02",1020,IF(C530="B05",2400,IF(C530="B03",4260,IF(C530="B04",2880,IF(C530="B20",1260,0)))))))</f>
        <v>0</v>
      </c>
      <c r="F530" s="8">
        <f>IF(IF(D530&lt;&gt;D529,1,IF(OR(B530&lt;&gt;B529,A530-A529&gt;$U$1),1,""))&lt;&gt;1,"",IF(C530="B01",1,IF(C530="B05",1,IF(C530="B03",1,IF(C530="B04",1,IF(C530="B20",1,IF(C530="B02",1,0)))))))</f>
        <v>0</v>
      </c>
      <c r="G530"/>
      <c r="H530" s="2"/>
      <c r="I530" s="2"/>
      <c r="L530"/>
      <c r="R530"/>
      <c r="S530" s="5"/>
      <c r="U530" s="5"/>
    </row>
    <row r="531" spans="1:21">
      <c r="A531" s="3">
        <v>45683.840937499997</v>
      </c>
      <c r="B531" s="2" t="s">
        <v>26</v>
      </c>
      <c r="C531" s="2" t="s">
        <v>35</v>
      </c>
      <c r="D531" s="6" t="str">
        <f>CONCATENATE(YEAR(A531),"/",IF(MONTH(A531)&lt;10,CONCATENATE("0",MONTH(A531)),MONTH(A531)))</f>
        <v>2025/01</v>
      </c>
      <c r="E531" s="8">
        <f>IF(IF(D531&lt;&gt;D530,1,IF(OR(B531&lt;&gt;B530,A531-A530&gt;$U$1),1,""))&lt;&gt;1,"",IF(C531="B01",1965,IF(C531="B02",1020,IF(C531="B05",2400,IF(C531="B03",4260,IF(C531="B04",2880,IF(C531="B20",1260,0)))))))</f>
        <v>0</v>
      </c>
      <c r="F531" s="8">
        <f>IF(IF(D531&lt;&gt;D530,1,IF(OR(B531&lt;&gt;B530,A531-A530&gt;$U$1),1,""))&lt;&gt;1,"",IF(C531="B01",1,IF(C531="B05",1,IF(C531="B03",1,IF(C531="B04",1,IF(C531="B20",1,IF(C531="B02",1,0)))))))</f>
        <v>0</v>
      </c>
      <c r="G531"/>
      <c r="H531" s="2"/>
      <c r="I531" s="2"/>
      <c r="L531"/>
      <c r="R531"/>
      <c r="S531" s="5"/>
      <c r="U531" s="5"/>
    </row>
    <row r="532" spans="1:21">
      <c r="A532" s="3">
        <v>45684.078263888892</v>
      </c>
      <c r="B532" s="2" t="s">
        <v>26</v>
      </c>
      <c r="C532" s="2" t="s">
        <v>37</v>
      </c>
      <c r="D532" s="6" t="str">
        <f>CONCATENATE(YEAR(A532),"/",IF(MONTH(A532)&lt;10,CONCATENATE("0",MONTH(A532)),MONTH(A532)))</f>
        <v>2025/01</v>
      </c>
      <c r="E532" s="8">
        <f>IF(IF(D532&lt;&gt;D531,1,IF(OR(B532&lt;&gt;B531,A532-A531&gt;$U$1),1,""))&lt;&gt;1,"",IF(C532="B01",1965,IF(C532="B02",1020,IF(C532="B05",2400,IF(C532="B03",4260,IF(C532="B04",2880,IF(C532="B20",1260,0)))))))</f>
        <v>0</v>
      </c>
      <c r="F532" s="8">
        <f>IF(IF(D532&lt;&gt;D531,1,IF(OR(B532&lt;&gt;B531,A532-A531&gt;$U$1),1,""))&lt;&gt;1,"",IF(C532="B01",1,IF(C532="B05",1,IF(C532="B03",1,IF(C532="B04",1,IF(C532="B20",1,IF(C532="B02",1,0)))))))</f>
        <v>0</v>
      </c>
      <c r="G532"/>
      <c r="H532" s="2"/>
      <c r="I532" s="2"/>
      <c r="L532"/>
      <c r="R532"/>
      <c r="S532" s="5"/>
      <c r="U532" s="5"/>
    </row>
    <row r="533" spans="1:21">
      <c r="A533" s="3">
        <v>45684.334155092591</v>
      </c>
      <c r="B533" s="2" t="s">
        <v>26</v>
      </c>
      <c r="C533" s="2" t="s">
        <v>11</v>
      </c>
      <c r="D533" s="6" t="str">
        <f>CONCATENATE(YEAR(A533),"/",IF(MONTH(A533)&lt;10,CONCATENATE("0",MONTH(A533)),MONTH(A533)))</f>
        <v>2025/01</v>
      </c>
      <c r="E533" s="8">
        <f>IF(IF(D533&lt;&gt;D532,1,IF(OR(B533&lt;&gt;B532,A533-A532&gt;$U$1),1,""))&lt;&gt;1,"",IF(C533="B01",1965,IF(C533="B02",1020,IF(C533="B05",2400,IF(C533="B03",4260,IF(C533="B04",2880,IF(C533="B20",1260,0)))))))</f>
        <v>2400</v>
      </c>
      <c r="F533" s="8">
        <f>IF(IF(D533&lt;&gt;D532,1,IF(OR(B533&lt;&gt;B532,A533-A532&gt;$U$1),1,""))&lt;&gt;1,"",IF(C533="B01",1,IF(C533="B05",1,IF(C533="B03",1,IF(C533="B04",1,IF(C533="B20",1,IF(C533="B02",1,0)))))))</f>
        <v>1</v>
      </c>
      <c r="G533"/>
      <c r="H533" s="2"/>
      <c r="I533" s="2"/>
      <c r="L533"/>
      <c r="R533"/>
      <c r="S533" s="5"/>
      <c r="U533" s="5"/>
    </row>
    <row r="534" spans="1:21">
      <c r="A534" s="3">
        <v>45684.334155092591</v>
      </c>
      <c r="B534" s="2" t="s">
        <v>26</v>
      </c>
      <c r="C534" s="2" t="s">
        <v>11</v>
      </c>
      <c r="D534" s="6" t="str">
        <f>CONCATENATE(YEAR(A534),"/",IF(MONTH(A534)&lt;10,CONCATENATE("0",MONTH(A534)),MONTH(A534)))</f>
        <v>2025/01</v>
      </c>
      <c r="E534" s="8" t="str">
        <f>IF(IF(D534&lt;&gt;D533,1,IF(OR(B534&lt;&gt;B533,A534-A533&gt;$U$1),1,""))&lt;&gt;1,"",IF(C534="B01",1965,IF(C534="B02",1020,IF(C534="B05",2400,IF(C534="B03",4260,IF(C534="B04",2880,IF(C534="B20",1260,0)))))))</f>
        <v/>
      </c>
      <c r="F534" s="8" t="str">
        <f>IF(IF(D534&lt;&gt;D533,1,IF(OR(B534&lt;&gt;B533,A534-A533&gt;$U$1),1,""))&lt;&gt;1,"",IF(C534="B01",1,IF(C534="B05",1,IF(C534="B03",1,IF(C534="B04",1,IF(C534="B20",1,IF(C534="B02",1,0)))))))</f>
        <v/>
      </c>
      <c r="G534"/>
      <c r="H534" s="2"/>
      <c r="I534" s="2"/>
      <c r="L534"/>
      <c r="R534"/>
      <c r="S534" s="5"/>
      <c r="U534" s="5"/>
    </row>
    <row r="535" spans="1:21">
      <c r="A535" s="3">
        <v>45684.334155092591</v>
      </c>
      <c r="B535" s="2" t="s">
        <v>26</v>
      </c>
      <c r="C535" s="2" t="s">
        <v>11</v>
      </c>
      <c r="D535" s="6" t="str">
        <f>CONCATENATE(YEAR(A535),"/",IF(MONTH(A535)&lt;10,CONCATENATE("0",MONTH(A535)),MONTH(A535)))</f>
        <v>2025/01</v>
      </c>
      <c r="E535" s="8" t="str">
        <f>IF(IF(D535&lt;&gt;D534,1,IF(OR(B535&lt;&gt;B534,A535-A534&gt;$U$1),1,""))&lt;&gt;1,"",IF(C535="B01",1965,IF(C535="B02",1020,IF(C535="B05",2400,IF(C535="B03",4260,IF(C535="B04",2880,IF(C535="B20",1260,0)))))))</f>
        <v/>
      </c>
      <c r="F535" s="8" t="str">
        <f>IF(IF(D535&lt;&gt;D534,1,IF(OR(B535&lt;&gt;B534,A535-A534&gt;$U$1),1,""))&lt;&gt;1,"",IF(C535="B01",1,IF(C535="B05",1,IF(C535="B03",1,IF(C535="B04",1,IF(C535="B20",1,IF(C535="B02",1,0)))))))</f>
        <v/>
      </c>
      <c r="G535"/>
      <c r="H535" s="2"/>
      <c r="I535" s="2"/>
      <c r="L535"/>
      <c r="R535"/>
      <c r="S535" s="5"/>
      <c r="U535" s="5"/>
    </row>
    <row r="536" spans="1:21">
      <c r="A536" s="3">
        <v>45684.457442129627</v>
      </c>
      <c r="B536" s="2" t="s">
        <v>26</v>
      </c>
      <c r="C536" s="2" t="s">
        <v>12</v>
      </c>
      <c r="D536" s="6" t="str">
        <f>CONCATENATE(YEAR(A536),"/",IF(MONTH(A536)&lt;10,CONCATENATE("0",MONTH(A536)),MONTH(A536)))</f>
        <v>2025/01</v>
      </c>
      <c r="E536" s="8">
        <f>IF(IF(D536&lt;&gt;D535,1,IF(OR(B536&lt;&gt;B535,A536-A535&gt;$U$1),1,""))&lt;&gt;1,"",IF(C536="B01",1965,IF(C536="B02",1020,IF(C536="B05",2400,IF(C536="B03",4260,IF(C536="B04",2880,IF(C536="B20",1260,0)))))))</f>
        <v>4260</v>
      </c>
      <c r="F536" s="8">
        <f>IF(IF(D536&lt;&gt;D535,1,IF(OR(B536&lt;&gt;B535,A536-A535&gt;$U$1),1,""))&lt;&gt;1,"",IF(C536="B01",1,IF(C536="B05",1,IF(C536="B03",1,IF(C536="B04",1,IF(C536="B20",1,IF(C536="B02",1,0)))))))</f>
        <v>1</v>
      </c>
      <c r="G536"/>
      <c r="H536" s="2"/>
      <c r="I536" s="2"/>
      <c r="L536"/>
      <c r="R536"/>
      <c r="S536" s="5"/>
      <c r="U536" s="5"/>
    </row>
    <row r="537" spans="1:21">
      <c r="A537" s="3">
        <v>45684.457442129627</v>
      </c>
      <c r="B537" s="2" t="s">
        <v>26</v>
      </c>
      <c r="C537" s="2" t="s">
        <v>12</v>
      </c>
      <c r="D537" s="6" t="str">
        <f>CONCATENATE(YEAR(A537),"/",IF(MONTH(A537)&lt;10,CONCATENATE("0",MONTH(A537)),MONTH(A537)))</f>
        <v>2025/01</v>
      </c>
      <c r="E537" s="8" t="str">
        <f>IF(IF(D537&lt;&gt;D536,1,IF(OR(B537&lt;&gt;B536,A537-A536&gt;$U$1),1,""))&lt;&gt;1,"",IF(C537="B01",1965,IF(C537="B02",1020,IF(C537="B05",2400,IF(C537="B03",4260,IF(C537="B04",2880,IF(C537="B20",1260,0)))))))</f>
        <v/>
      </c>
      <c r="F537" s="8" t="str">
        <f>IF(IF(D537&lt;&gt;D536,1,IF(OR(B537&lt;&gt;B536,A537-A536&gt;$U$1),1,""))&lt;&gt;1,"",IF(C537="B01",1,IF(C537="B05",1,IF(C537="B03",1,IF(C537="B04",1,IF(C537="B20",1,IF(C537="B02",1,0)))))))</f>
        <v/>
      </c>
      <c r="G537"/>
      <c r="H537" s="2"/>
      <c r="I537" s="2"/>
      <c r="L537"/>
      <c r="R537"/>
      <c r="S537" s="5"/>
      <c r="U537" s="5"/>
    </row>
    <row r="538" spans="1:21">
      <c r="A538" s="3">
        <v>45684.84574074074</v>
      </c>
      <c r="B538" s="2" t="s">
        <v>26</v>
      </c>
      <c r="C538" s="2" t="s">
        <v>12</v>
      </c>
      <c r="D538" s="6" t="str">
        <f>CONCATENATE(YEAR(A538),"/",IF(MONTH(A538)&lt;10,CONCATENATE("0",MONTH(A538)),MONTH(A538)))</f>
        <v>2025/01</v>
      </c>
      <c r="E538" s="8">
        <f>IF(IF(D538&lt;&gt;D537,1,IF(OR(B538&lt;&gt;B537,A538-A537&gt;$U$1),1,""))&lt;&gt;1,"",IF(C538="B01",1965,IF(C538="B02",1020,IF(C538="B05",2400,IF(C538="B03",4260,IF(C538="B04",2880,IF(C538="B20",1260,0)))))))</f>
        <v>4260</v>
      </c>
      <c r="F538" s="8">
        <f>IF(IF(D538&lt;&gt;D537,1,IF(OR(B538&lt;&gt;B537,A538-A537&gt;$U$1),1,""))&lt;&gt;1,"",IF(C538="B01",1,IF(C538="B05",1,IF(C538="B03",1,IF(C538="B04",1,IF(C538="B20",1,IF(C538="B02",1,0)))))))</f>
        <v>1</v>
      </c>
      <c r="G538"/>
      <c r="H538" s="2"/>
      <c r="I538" s="2"/>
      <c r="L538"/>
      <c r="R538"/>
      <c r="S538" s="5"/>
      <c r="U538" s="5"/>
    </row>
    <row r="539" spans="1:21">
      <c r="A539" s="3">
        <v>45684.84574074074</v>
      </c>
      <c r="B539" s="2" t="s">
        <v>26</v>
      </c>
      <c r="C539" s="2" t="s">
        <v>12</v>
      </c>
      <c r="D539" s="6" t="str">
        <f>CONCATENATE(YEAR(A539),"/",IF(MONTH(A539)&lt;10,CONCATENATE("0",MONTH(A539)),MONTH(A539)))</f>
        <v>2025/01</v>
      </c>
      <c r="E539" s="8" t="str">
        <f>IF(IF(D539&lt;&gt;D538,1,IF(OR(B539&lt;&gt;B538,A539-A538&gt;$U$1),1,""))&lt;&gt;1,"",IF(C539="B01",1965,IF(C539="B02",1020,IF(C539="B05",2400,IF(C539="B03",4260,IF(C539="B04",2880,IF(C539="B20",1260,0)))))))</f>
        <v/>
      </c>
      <c r="F539" s="8" t="str">
        <f>IF(IF(D539&lt;&gt;D538,1,IF(OR(B539&lt;&gt;B538,A539-A538&gt;$U$1),1,""))&lt;&gt;1,"",IF(C539="B01",1,IF(C539="B05",1,IF(C539="B03",1,IF(C539="B04",1,IF(C539="B20",1,IF(C539="B02",1,0)))))))</f>
        <v/>
      </c>
      <c r="G539"/>
      <c r="H539" s="2"/>
      <c r="I539" s="2"/>
      <c r="L539"/>
      <c r="R539"/>
      <c r="S539" s="5"/>
      <c r="U539" s="5"/>
    </row>
    <row r="540" spans="1:21">
      <c r="A540" s="3">
        <v>45684.84574074074</v>
      </c>
      <c r="B540" s="2" t="s">
        <v>26</v>
      </c>
      <c r="C540" s="2" t="s">
        <v>12</v>
      </c>
      <c r="D540" s="6" t="str">
        <f>CONCATENATE(YEAR(A540),"/",IF(MONTH(A540)&lt;10,CONCATENATE("0",MONTH(A540)),MONTH(A540)))</f>
        <v>2025/01</v>
      </c>
      <c r="E540" s="8" t="str">
        <f>IF(IF(D540&lt;&gt;D539,1,IF(OR(B540&lt;&gt;B539,A540-A539&gt;$U$1),1,""))&lt;&gt;1,"",IF(C540="B01",1965,IF(C540="B02",1020,IF(C540="B05",2400,IF(C540="B03",4260,IF(C540="B04",2880,IF(C540="B20",1260,0)))))))</f>
        <v/>
      </c>
      <c r="F540" s="8" t="str">
        <f>IF(IF(D540&lt;&gt;D539,1,IF(OR(B540&lt;&gt;B539,A540-A539&gt;$U$1),1,""))&lt;&gt;1,"",IF(C540="B01",1,IF(C540="B05",1,IF(C540="B03",1,IF(C540="B04",1,IF(C540="B20",1,IF(C540="B02",1,0)))))))</f>
        <v/>
      </c>
      <c r="G540"/>
      <c r="H540" s="2"/>
      <c r="I540" s="2"/>
      <c r="L540"/>
      <c r="R540"/>
      <c r="S540" s="5"/>
      <c r="U540" s="5"/>
    </row>
    <row r="541" spans="1:21">
      <c r="A541" s="3">
        <v>45689.519074074073</v>
      </c>
      <c r="B541" s="2" t="s">
        <v>26</v>
      </c>
      <c r="C541" s="2" t="s">
        <v>11</v>
      </c>
      <c r="D541" s="6" t="str">
        <f>CONCATENATE(YEAR(A541),"/",IF(MONTH(A541)&lt;10,CONCATENATE("0",MONTH(A541)),MONTH(A541)))</f>
        <v>2025/02</v>
      </c>
      <c r="E541" s="8">
        <f>IF(IF(D541&lt;&gt;D540,1,IF(OR(B541&lt;&gt;B540,A541-A540&gt;$U$1),1,""))&lt;&gt;1,"",IF(C541="B01",1965,IF(C541="B02",1020,IF(C541="B05",2400,IF(C541="B03",4260,IF(C541="B04",2880,IF(C541="B20",1260,0)))))))</f>
        <v>2400</v>
      </c>
      <c r="F541" s="8">
        <f>IF(IF(D541&lt;&gt;D540,1,IF(OR(B541&lt;&gt;B540,A541-A540&gt;$U$1),1,""))&lt;&gt;1,"",IF(C541="B01",1,IF(C541="B05",1,IF(C541="B03",1,IF(C541="B04",1,IF(C541="B20",1,IF(C541="B02",1,0)))))))</f>
        <v>1</v>
      </c>
      <c r="G541"/>
      <c r="H541" s="2"/>
      <c r="I541" s="2"/>
      <c r="L541"/>
      <c r="R541"/>
      <c r="S541" s="5"/>
      <c r="U541" s="5"/>
    </row>
    <row r="542" spans="1:21">
      <c r="A542" s="3">
        <v>45689.519074074073</v>
      </c>
      <c r="B542" s="2" t="s">
        <v>26</v>
      </c>
      <c r="C542" s="2" t="s">
        <v>11</v>
      </c>
      <c r="D542" s="6" t="str">
        <f>CONCATENATE(YEAR(A542),"/",IF(MONTH(A542)&lt;10,CONCATENATE("0",MONTH(A542)),MONTH(A542)))</f>
        <v>2025/02</v>
      </c>
      <c r="E542" s="8" t="str">
        <f>IF(IF(D542&lt;&gt;D541,1,IF(OR(B542&lt;&gt;B541,A542-A541&gt;$U$1),1,""))&lt;&gt;1,"",IF(C542="B01",1965,IF(C542="B02",1020,IF(C542="B05",2400,IF(C542="B03",4260,IF(C542="B04",2880,IF(C542="B20",1260,0)))))))</f>
        <v/>
      </c>
      <c r="F542" s="8" t="str">
        <f>IF(IF(D542&lt;&gt;D541,1,IF(OR(B542&lt;&gt;B541,A542-A541&gt;$U$1),1,""))&lt;&gt;1,"",IF(C542="B01",1,IF(C542="B05",1,IF(C542="B03",1,IF(C542="B04",1,IF(C542="B20",1,IF(C542="B02",1,0)))))))</f>
        <v/>
      </c>
      <c r="G542"/>
      <c r="H542" s="2"/>
      <c r="I542" s="2"/>
      <c r="L542"/>
      <c r="R542"/>
      <c r="S542" s="5"/>
      <c r="U542" s="5"/>
    </row>
    <row r="543" spans="1:21">
      <c r="A543" s="3">
        <v>45689.519074074073</v>
      </c>
      <c r="B543" s="2" t="s">
        <v>26</v>
      </c>
      <c r="C543" s="2" t="s">
        <v>11</v>
      </c>
      <c r="D543" s="6" t="str">
        <f>CONCATENATE(YEAR(A543),"/",IF(MONTH(A543)&lt;10,CONCATENATE("0",MONTH(A543)),MONTH(A543)))</f>
        <v>2025/02</v>
      </c>
      <c r="E543" s="8" t="str">
        <f>IF(IF(D543&lt;&gt;D542,1,IF(OR(B543&lt;&gt;B542,A543-A542&gt;$U$1),1,""))&lt;&gt;1,"",IF(C543="B01",1965,IF(C543="B02",1020,IF(C543="B05",2400,IF(C543="B03",4260,IF(C543="B04",2880,IF(C543="B20",1260,0)))))))</f>
        <v/>
      </c>
      <c r="F543" s="8" t="str">
        <f>IF(IF(D543&lt;&gt;D542,1,IF(OR(B543&lt;&gt;B542,A543-A542&gt;$U$1),1,""))&lt;&gt;1,"",IF(C543="B01",1,IF(C543="B05",1,IF(C543="B03",1,IF(C543="B04",1,IF(C543="B20",1,IF(C543="B02",1,0)))))))</f>
        <v/>
      </c>
      <c r="G543"/>
      <c r="H543" s="2"/>
      <c r="I543" s="2"/>
      <c r="L543"/>
      <c r="R543"/>
      <c r="S543" s="5"/>
      <c r="U543" s="5"/>
    </row>
    <row r="544" spans="1:21">
      <c r="A544" s="3">
        <v>45689.657604166663</v>
      </c>
      <c r="B544" s="2" t="s">
        <v>26</v>
      </c>
      <c r="C544" s="2" t="s">
        <v>12</v>
      </c>
      <c r="D544" s="6" t="str">
        <f>CONCATENATE(YEAR(A544),"/",IF(MONTH(A544)&lt;10,CONCATENATE("0",MONTH(A544)),MONTH(A544)))</f>
        <v>2025/02</v>
      </c>
      <c r="E544" s="8">
        <f>IF(IF(D544&lt;&gt;D543,1,IF(OR(B544&lt;&gt;B543,A544-A543&gt;$U$1),1,""))&lt;&gt;1,"",IF(C544="B01",1965,IF(C544="B02",1020,IF(C544="B05",2400,IF(C544="B03",4260,IF(C544="B04",2880,IF(C544="B20",1260,0)))))))</f>
        <v>4260</v>
      </c>
      <c r="F544" s="8">
        <f>IF(IF(D544&lt;&gt;D543,1,IF(OR(B544&lt;&gt;B543,A544-A543&gt;$U$1),1,""))&lt;&gt;1,"",IF(C544="B01",1,IF(C544="B05",1,IF(C544="B03",1,IF(C544="B04",1,IF(C544="B20",1,IF(C544="B02",1,0)))))))</f>
        <v>1</v>
      </c>
      <c r="G544"/>
      <c r="H544" s="2"/>
      <c r="I544" s="2"/>
      <c r="L544"/>
      <c r="R544"/>
      <c r="S544" s="5"/>
      <c r="U544" s="5"/>
    </row>
    <row r="545" spans="1:21">
      <c r="A545" s="3">
        <v>45689.657604166663</v>
      </c>
      <c r="B545" s="2" t="s">
        <v>26</v>
      </c>
      <c r="C545" s="2" t="s">
        <v>12</v>
      </c>
      <c r="D545" s="6" t="str">
        <f>CONCATENATE(YEAR(A545),"/",IF(MONTH(A545)&lt;10,CONCATENATE("0",MONTH(A545)),MONTH(A545)))</f>
        <v>2025/02</v>
      </c>
      <c r="E545" s="8" t="str">
        <f>IF(IF(D545&lt;&gt;D544,1,IF(OR(B545&lt;&gt;B544,A545-A544&gt;$U$1),1,""))&lt;&gt;1,"",IF(C545="B01",1965,IF(C545="B02",1020,IF(C545="B05",2400,IF(C545="B03",4260,IF(C545="B04",2880,IF(C545="B20",1260,0)))))))</f>
        <v/>
      </c>
      <c r="F545" s="8" t="str">
        <f>IF(IF(D545&lt;&gt;D544,1,IF(OR(B545&lt;&gt;B544,A545-A544&gt;$U$1),1,""))&lt;&gt;1,"",IF(C545="B01",1,IF(C545="B05",1,IF(C545="B03",1,IF(C545="B04",1,IF(C545="B20",1,IF(C545="B02",1,0)))))))</f>
        <v/>
      </c>
      <c r="G545"/>
      <c r="H545" s="2"/>
      <c r="I545" s="2"/>
      <c r="L545"/>
      <c r="R545"/>
      <c r="S545" s="5"/>
      <c r="U545" s="5"/>
    </row>
    <row r="546" spans="1:21">
      <c r="A546" s="3">
        <v>45690.07230324074</v>
      </c>
      <c r="B546" s="2" t="s">
        <v>26</v>
      </c>
      <c r="C546" s="2" t="s">
        <v>12</v>
      </c>
      <c r="D546" s="6" t="str">
        <f>CONCATENATE(YEAR(A546),"/",IF(MONTH(A546)&lt;10,CONCATENATE("0",MONTH(A546)),MONTH(A546)))</f>
        <v>2025/02</v>
      </c>
      <c r="E546" s="8">
        <f>IF(IF(D546&lt;&gt;D545,1,IF(OR(B546&lt;&gt;B545,A546-A545&gt;$U$1),1,""))&lt;&gt;1,"",IF(C546="B01",1965,IF(C546="B02",1020,IF(C546="B05",2400,IF(C546="B03",4260,IF(C546="B04",2880,IF(C546="B20",1260,0)))))))</f>
        <v>4260</v>
      </c>
      <c r="F546" s="8">
        <f>IF(IF(D546&lt;&gt;D545,1,IF(OR(B546&lt;&gt;B545,A546-A545&gt;$U$1),1,""))&lt;&gt;1,"",IF(C546="B01",1,IF(C546="B05",1,IF(C546="B03",1,IF(C546="B04",1,IF(C546="B20",1,IF(C546="B02",1,0)))))))</f>
        <v>1</v>
      </c>
      <c r="G546"/>
      <c r="H546" s="2"/>
      <c r="I546" s="2"/>
      <c r="L546"/>
      <c r="R546"/>
      <c r="S546" s="5"/>
      <c r="U546" s="5"/>
    </row>
    <row r="547" spans="1:21">
      <c r="A547" s="3">
        <v>45690.07230324074</v>
      </c>
      <c r="B547" s="2" t="s">
        <v>26</v>
      </c>
      <c r="C547" s="2" t="s">
        <v>12</v>
      </c>
      <c r="D547" s="6" t="str">
        <f>CONCATENATE(YEAR(A547),"/",IF(MONTH(A547)&lt;10,CONCATENATE("0",MONTH(A547)),MONTH(A547)))</f>
        <v>2025/02</v>
      </c>
      <c r="E547" s="8" t="str">
        <f>IF(IF(D547&lt;&gt;D546,1,IF(OR(B547&lt;&gt;B546,A547-A546&gt;$U$1),1,""))&lt;&gt;1,"",IF(C547="B01",1965,IF(C547="B02",1020,IF(C547="B05",2400,IF(C547="B03",4260,IF(C547="B04",2880,IF(C547="B20",1260,0)))))))</f>
        <v/>
      </c>
      <c r="F547" s="8" t="str">
        <f>IF(IF(D547&lt;&gt;D546,1,IF(OR(B547&lt;&gt;B546,A547-A546&gt;$U$1),1,""))&lt;&gt;1,"",IF(C547="B01",1,IF(C547="B05",1,IF(C547="B03",1,IF(C547="B04",1,IF(C547="B20",1,IF(C547="B02",1,0)))))))</f>
        <v/>
      </c>
      <c r="G547"/>
      <c r="H547" s="2"/>
      <c r="I547" s="2"/>
      <c r="L547"/>
      <c r="R547"/>
      <c r="S547" s="5"/>
      <c r="U547" s="5"/>
    </row>
    <row r="548" spans="1:21">
      <c r="A548" s="3">
        <v>45690.200613425928</v>
      </c>
      <c r="B548" s="2" t="s">
        <v>26</v>
      </c>
      <c r="C548" s="2" t="s">
        <v>12</v>
      </c>
      <c r="D548" s="6" t="str">
        <f>CONCATENATE(YEAR(A548),"/",IF(MONTH(A548)&lt;10,CONCATENATE("0",MONTH(A548)),MONTH(A548)))</f>
        <v>2025/02</v>
      </c>
      <c r="E548" s="8">
        <f>IF(IF(D548&lt;&gt;D547,1,IF(OR(B548&lt;&gt;B547,A548-A547&gt;$U$1),1,""))&lt;&gt;1,"",IF(C548="B01",1965,IF(C548="B02",1020,IF(C548="B05",2400,IF(C548="B03",4260,IF(C548="B04",2880,IF(C548="B20",1260,0)))))))</f>
        <v>4260</v>
      </c>
      <c r="F548" s="8">
        <f>IF(IF(D548&lt;&gt;D547,1,IF(OR(B548&lt;&gt;B547,A548-A547&gt;$U$1),1,""))&lt;&gt;1,"",IF(C548="B01",1,IF(C548="B05",1,IF(C548="B03",1,IF(C548="B04",1,IF(C548="B20",1,IF(C548="B02",1,0)))))))</f>
        <v>1</v>
      </c>
      <c r="G548"/>
      <c r="H548" s="2"/>
      <c r="I548" s="2"/>
      <c r="L548"/>
      <c r="R548"/>
      <c r="S548" s="5"/>
      <c r="U548" s="5"/>
    </row>
    <row r="549" spans="1:21">
      <c r="A549" s="3">
        <v>45690.200613425928</v>
      </c>
      <c r="B549" s="2" t="s">
        <v>26</v>
      </c>
      <c r="C549" s="2" t="s">
        <v>12</v>
      </c>
      <c r="D549" s="6" t="str">
        <f>CONCATENATE(YEAR(A549),"/",IF(MONTH(A549)&lt;10,CONCATENATE("0",MONTH(A549)),MONTH(A549)))</f>
        <v>2025/02</v>
      </c>
      <c r="E549" s="8" t="str">
        <f>IF(IF(D549&lt;&gt;D548,1,IF(OR(B549&lt;&gt;B548,A549-A548&gt;$U$1),1,""))&lt;&gt;1,"",IF(C549="B01",1965,IF(C549="B02",1020,IF(C549="B05",2400,IF(C549="B03",4260,IF(C549="B04",2880,IF(C549="B20",1260,0)))))))</f>
        <v/>
      </c>
      <c r="F549" s="8" t="str">
        <f>IF(IF(D549&lt;&gt;D548,1,IF(OR(B549&lt;&gt;B548,A549-A548&gt;$U$1),1,""))&lt;&gt;1,"",IF(C549="B01",1,IF(C549="B05",1,IF(C549="B03",1,IF(C549="B04",1,IF(C549="B20",1,IF(C549="B02",1,0)))))))</f>
        <v/>
      </c>
      <c r="G549"/>
      <c r="H549" s="2"/>
      <c r="I549" s="2"/>
      <c r="L549"/>
      <c r="R549"/>
      <c r="S549" s="5"/>
      <c r="U549" s="5"/>
    </row>
    <row r="550" spans="1:21">
      <c r="A550" s="3">
        <v>45690.333761574075</v>
      </c>
      <c r="B550" s="2" t="s">
        <v>26</v>
      </c>
      <c r="C550" s="2" t="s">
        <v>11</v>
      </c>
      <c r="D550" s="6" t="str">
        <f>CONCATENATE(YEAR(A550),"/",IF(MONTH(A550)&lt;10,CONCATENATE("0",MONTH(A550)),MONTH(A550)))</f>
        <v>2025/02</v>
      </c>
      <c r="E550" s="8">
        <f>IF(IF(D550&lt;&gt;D549,1,IF(OR(B550&lt;&gt;B549,A550-A549&gt;$U$1),1,""))&lt;&gt;1,"",IF(C550="B01",1965,IF(C550="B02",1020,IF(C550="B05",2400,IF(C550="B03",4260,IF(C550="B04",2880,IF(C550="B20",1260,0)))))))</f>
        <v>2400</v>
      </c>
      <c r="F550" s="8">
        <f>IF(IF(D550&lt;&gt;D549,1,IF(OR(B550&lt;&gt;B549,A550-A549&gt;$U$1),1,""))&lt;&gt;1,"",IF(C550="B01",1,IF(C550="B05",1,IF(C550="B03",1,IF(C550="B04",1,IF(C550="B20",1,IF(C550="B02",1,0)))))))</f>
        <v>1</v>
      </c>
      <c r="G550"/>
      <c r="H550" s="2"/>
      <c r="I550" s="2"/>
      <c r="L550"/>
      <c r="R550"/>
      <c r="S550" s="5"/>
      <c r="U550" s="5"/>
    </row>
    <row r="551" spans="1:21">
      <c r="A551" s="3">
        <v>45690.333761574075</v>
      </c>
      <c r="B551" s="2" t="s">
        <v>26</v>
      </c>
      <c r="C551" s="2" t="s">
        <v>11</v>
      </c>
      <c r="D551" s="6" t="str">
        <f>CONCATENATE(YEAR(A551),"/",IF(MONTH(A551)&lt;10,CONCATENATE("0",MONTH(A551)),MONTH(A551)))</f>
        <v>2025/02</v>
      </c>
      <c r="E551" s="8" t="str">
        <f>IF(IF(D551&lt;&gt;D550,1,IF(OR(B551&lt;&gt;B550,A551-A550&gt;$U$1),1,""))&lt;&gt;1,"",IF(C551="B01",1965,IF(C551="B02",1020,IF(C551="B05",2400,IF(C551="B03",4260,IF(C551="B04",2880,IF(C551="B20",1260,0)))))))</f>
        <v/>
      </c>
      <c r="F551" s="8" t="str">
        <f>IF(IF(D551&lt;&gt;D550,1,IF(OR(B551&lt;&gt;B550,A551-A550&gt;$U$1),1,""))&lt;&gt;1,"",IF(C551="B01",1,IF(C551="B05",1,IF(C551="B03",1,IF(C551="B04",1,IF(C551="B20",1,IF(C551="B02",1,0)))))))</f>
        <v/>
      </c>
      <c r="G551"/>
      <c r="H551" s="2"/>
      <c r="I551" s="2"/>
      <c r="L551"/>
      <c r="R551"/>
      <c r="S551" s="5"/>
      <c r="U551" s="5"/>
    </row>
    <row r="552" spans="1:21">
      <c r="A552" s="3">
        <v>45690.455381944441</v>
      </c>
      <c r="B552" s="2" t="s">
        <v>26</v>
      </c>
      <c r="C552" s="2" t="s">
        <v>12</v>
      </c>
      <c r="D552" s="6" t="str">
        <f>CONCATENATE(YEAR(A552),"/",IF(MONTH(A552)&lt;10,CONCATENATE("0",MONTH(A552)),MONTH(A552)))</f>
        <v>2025/02</v>
      </c>
      <c r="E552" s="8">
        <f>IF(IF(D552&lt;&gt;D551,1,IF(OR(B552&lt;&gt;B551,A552-A551&gt;$U$1),1,""))&lt;&gt;1,"",IF(C552="B01",1965,IF(C552="B02",1020,IF(C552="B05",2400,IF(C552="B03",4260,IF(C552="B04",2880,IF(C552="B20",1260,0)))))))</f>
        <v>4260</v>
      </c>
      <c r="F552" s="8">
        <f>IF(IF(D552&lt;&gt;D551,1,IF(OR(B552&lt;&gt;B551,A552-A551&gt;$U$1),1,""))&lt;&gt;1,"",IF(C552="B01",1,IF(C552="B05",1,IF(C552="B03",1,IF(C552="B04",1,IF(C552="B20",1,IF(C552="B02",1,0)))))))</f>
        <v>1</v>
      </c>
      <c r="G552"/>
      <c r="H552" s="2"/>
      <c r="I552" s="2"/>
      <c r="L552"/>
      <c r="R552"/>
      <c r="S552" s="5"/>
      <c r="U552" s="5"/>
    </row>
    <row r="553" spans="1:21">
      <c r="A553" s="3">
        <v>45690.455381944441</v>
      </c>
      <c r="B553" s="2" t="s">
        <v>26</v>
      </c>
      <c r="C553" s="2" t="s">
        <v>12</v>
      </c>
      <c r="D553" s="6" t="str">
        <f>CONCATENATE(YEAR(A553),"/",IF(MONTH(A553)&lt;10,CONCATENATE("0",MONTH(A553)),MONTH(A553)))</f>
        <v>2025/02</v>
      </c>
      <c r="E553" s="8" t="str">
        <f>IF(IF(D553&lt;&gt;D552,1,IF(OR(B553&lt;&gt;B552,A553-A552&gt;$U$1),1,""))&lt;&gt;1,"",IF(C553="B01",1965,IF(C553="B02",1020,IF(C553="B05",2400,IF(C553="B03",4260,IF(C553="B04",2880,IF(C553="B20",1260,0)))))))</f>
        <v/>
      </c>
      <c r="F553" s="8" t="str">
        <f>IF(IF(D553&lt;&gt;D552,1,IF(OR(B553&lt;&gt;B552,A553-A552&gt;$U$1),1,""))&lt;&gt;1,"",IF(C553="B01",1,IF(C553="B05",1,IF(C553="B03",1,IF(C553="B04",1,IF(C553="B20",1,IF(C553="B02",1,0)))))))</f>
        <v/>
      </c>
      <c r="G553"/>
      <c r="H553" s="2"/>
      <c r="I553" s="2"/>
      <c r="L553"/>
      <c r="R553"/>
      <c r="S553" s="5"/>
      <c r="U553" s="5"/>
    </row>
    <row r="554" spans="1:21">
      <c r="A554" s="3">
        <v>45690.581689814811</v>
      </c>
      <c r="B554" s="2" t="s">
        <v>26</v>
      </c>
      <c r="C554" s="2" t="s">
        <v>11</v>
      </c>
      <c r="D554" s="6" t="str">
        <f>CONCATENATE(YEAR(A554),"/",IF(MONTH(A554)&lt;10,CONCATENATE("0",MONTH(A554)),MONTH(A554)))</f>
        <v>2025/02</v>
      </c>
      <c r="E554" s="8">
        <f>IF(IF(D554&lt;&gt;D553,1,IF(OR(B554&lt;&gt;B553,A554-A553&gt;$U$1),1,""))&lt;&gt;1,"",IF(C554="B01",1965,IF(C554="B02",1020,IF(C554="B05",2400,IF(C554="B03",4260,IF(C554="B04",2880,IF(C554="B20",1260,0)))))))</f>
        <v>2400</v>
      </c>
      <c r="F554" s="8">
        <f>IF(IF(D554&lt;&gt;D553,1,IF(OR(B554&lt;&gt;B553,A554-A553&gt;$U$1),1,""))&lt;&gt;1,"",IF(C554="B01",1,IF(C554="B05",1,IF(C554="B03",1,IF(C554="B04",1,IF(C554="B20",1,IF(C554="B02",1,0)))))))</f>
        <v>1</v>
      </c>
      <c r="G554"/>
      <c r="H554" s="2"/>
      <c r="I554" s="2"/>
      <c r="L554"/>
      <c r="R554"/>
      <c r="S554" s="5"/>
      <c r="U554" s="5"/>
    </row>
    <row r="555" spans="1:21">
      <c r="A555" s="3">
        <v>45690.581689814811</v>
      </c>
      <c r="B555" s="2" t="s">
        <v>26</v>
      </c>
      <c r="C555" s="2" t="s">
        <v>11</v>
      </c>
      <c r="D555" s="6" t="str">
        <f>CONCATENATE(YEAR(A555),"/",IF(MONTH(A555)&lt;10,CONCATENATE("0",MONTH(A555)),MONTH(A555)))</f>
        <v>2025/02</v>
      </c>
      <c r="E555" s="8" t="str">
        <f>IF(IF(D555&lt;&gt;D554,1,IF(OR(B555&lt;&gt;B554,A555-A554&gt;$U$1),1,""))&lt;&gt;1,"",IF(C555="B01",1965,IF(C555="B02",1020,IF(C555="B05",2400,IF(C555="B03",4260,IF(C555="B04",2880,IF(C555="B20",1260,0)))))))</f>
        <v/>
      </c>
      <c r="F555" s="8" t="str">
        <f>IF(IF(D555&lt;&gt;D554,1,IF(OR(B555&lt;&gt;B554,A555-A554&gt;$U$1),1,""))&lt;&gt;1,"",IF(C555="B01",1,IF(C555="B05",1,IF(C555="B03",1,IF(C555="B04",1,IF(C555="B20",1,IF(C555="B02",1,0)))))))</f>
        <v/>
      </c>
      <c r="G555"/>
      <c r="H555" s="2"/>
      <c r="I555" s="2"/>
      <c r="L555"/>
      <c r="R555"/>
      <c r="S555" s="5"/>
      <c r="U555" s="5"/>
    </row>
    <row r="556" spans="1:21">
      <c r="A556" s="3">
        <v>45690.770810185182</v>
      </c>
      <c r="B556" s="2" t="s">
        <v>26</v>
      </c>
      <c r="C556" s="2" t="s">
        <v>11</v>
      </c>
      <c r="D556" s="6" t="str">
        <f>CONCATENATE(YEAR(A556),"/",IF(MONTH(A556)&lt;10,CONCATENATE("0",MONTH(A556)),MONTH(A556)))</f>
        <v>2025/02</v>
      </c>
      <c r="E556" s="8">
        <f>IF(IF(D556&lt;&gt;D555,1,IF(OR(B556&lt;&gt;B555,A556-A555&gt;$U$1),1,""))&lt;&gt;1,"",IF(C556="B01",1965,IF(C556="B02",1020,IF(C556="B05",2400,IF(C556="B03",4260,IF(C556="B04",2880,IF(C556="B20",1260,0)))))))</f>
        <v>2400</v>
      </c>
      <c r="F556" s="8">
        <f>IF(IF(D556&lt;&gt;D555,1,IF(OR(B556&lt;&gt;B555,A556-A555&gt;$U$1),1,""))&lt;&gt;1,"",IF(C556="B01",1,IF(C556="B05",1,IF(C556="B03",1,IF(C556="B04",1,IF(C556="B20",1,IF(C556="B02",1,0)))))))</f>
        <v>1</v>
      </c>
      <c r="G556"/>
      <c r="H556" s="2"/>
      <c r="I556" s="2"/>
      <c r="L556"/>
      <c r="R556"/>
      <c r="S556" s="5"/>
      <c r="U556" s="5"/>
    </row>
    <row r="557" spans="1:21">
      <c r="A557" s="3">
        <v>45690.770810185182</v>
      </c>
      <c r="B557" s="2" t="s">
        <v>26</v>
      </c>
      <c r="C557" s="2" t="s">
        <v>11</v>
      </c>
      <c r="D557" s="6" t="str">
        <f>CONCATENATE(YEAR(A557),"/",IF(MONTH(A557)&lt;10,CONCATENATE("0",MONTH(A557)),MONTH(A557)))</f>
        <v>2025/02</v>
      </c>
      <c r="E557" s="8" t="str">
        <f>IF(IF(D557&lt;&gt;D556,1,IF(OR(B557&lt;&gt;B556,A557-A556&gt;$U$1),1,""))&lt;&gt;1,"",IF(C557="B01",1965,IF(C557="B02",1020,IF(C557="B05",2400,IF(C557="B03",4260,IF(C557="B04",2880,IF(C557="B20",1260,0)))))))</f>
        <v/>
      </c>
      <c r="F557" s="8" t="str">
        <f>IF(IF(D557&lt;&gt;D556,1,IF(OR(B557&lt;&gt;B556,A557-A556&gt;$U$1),1,""))&lt;&gt;1,"",IF(C557="B01",1,IF(C557="B05",1,IF(C557="B03",1,IF(C557="B04",1,IF(C557="B20",1,IF(C557="B02",1,0)))))))</f>
        <v/>
      </c>
      <c r="G557"/>
      <c r="H557" s="2"/>
      <c r="I557" s="2"/>
      <c r="L557"/>
      <c r="R557"/>
      <c r="S557" s="5"/>
      <c r="U557" s="5"/>
    </row>
    <row r="558" spans="1:21">
      <c r="A558" s="3">
        <v>45690.927268518521</v>
      </c>
      <c r="B558" s="2" t="s">
        <v>26</v>
      </c>
      <c r="C558" s="2" t="s">
        <v>11</v>
      </c>
      <c r="D558" s="6" t="str">
        <f>CONCATENATE(YEAR(A558),"/",IF(MONTH(A558)&lt;10,CONCATENATE("0",MONTH(A558)),MONTH(A558)))</f>
        <v>2025/02</v>
      </c>
      <c r="E558" s="8">
        <f>IF(IF(D558&lt;&gt;D557,1,IF(OR(B558&lt;&gt;B557,A558-A557&gt;$U$1),1,""))&lt;&gt;1,"",IF(C558="B01",1965,IF(C558="B02",1020,IF(C558="B05",2400,IF(C558="B03",4260,IF(C558="B04",2880,IF(C558="B20",1260,0)))))))</f>
        <v>2400</v>
      </c>
      <c r="F558" s="8">
        <f>IF(IF(D558&lt;&gt;D557,1,IF(OR(B558&lt;&gt;B557,A558-A557&gt;$U$1),1,""))&lt;&gt;1,"",IF(C558="B01",1,IF(C558="B05",1,IF(C558="B03",1,IF(C558="B04",1,IF(C558="B20",1,IF(C558="B02",1,0)))))))</f>
        <v>1</v>
      </c>
      <c r="G558"/>
      <c r="H558" s="2"/>
      <c r="I558" s="2"/>
      <c r="L558"/>
      <c r="R558"/>
      <c r="S558" s="5"/>
      <c r="U558" s="5"/>
    </row>
    <row r="559" spans="1:21">
      <c r="A559" s="3">
        <v>45690.927268518521</v>
      </c>
      <c r="B559" s="2" t="s">
        <v>26</v>
      </c>
      <c r="C559" s="2" t="s">
        <v>11</v>
      </c>
      <c r="D559" s="6" t="str">
        <f>CONCATENATE(YEAR(A559),"/",IF(MONTH(A559)&lt;10,CONCATENATE("0",MONTH(A559)),MONTH(A559)))</f>
        <v>2025/02</v>
      </c>
      <c r="E559" s="8" t="str">
        <f>IF(IF(D559&lt;&gt;D558,1,IF(OR(B559&lt;&gt;B558,A559-A558&gt;$U$1),1,""))&lt;&gt;1,"",IF(C559="B01",1965,IF(C559="B02",1020,IF(C559="B05",2400,IF(C559="B03",4260,IF(C559="B04",2880,IF(C559="B20",1260,0)))))))</f>
        <v/>
      </c>
      <c r="F559" s="8" t="str">
        <f>IF(IF(D559&lt;&gt;D558,1,IF(OR(B559&lt;&gt;B558,A559-A558&gt;$U$1),1,""))&lt;&gt;1,"",IF(C559="B01",1,IF(C559="B05",1,IF(C559="B03",1,IF(C559="B04",1,IF(C559="B20",1,IF(C559="B02",1,0)))))))</f>
        <v/>
      </c>
      <c r="G559"/>
      <c r="H559" s="2"/>
      <c r="I559" s="2"/>
      <c r="L559"/>
      <c r="R559"/>
      <c r="S559" s="5"/>
      <c r="U559" s="5"/>
    </row>
    <row r="560" spans="1:21">
      <c r="A560" s="3">
        <v>45690.927268518521</v>
      </c>
      <c r="B560" s="2" t="s">
        <v>26</v>
      </c>
      <c r="C560" s="2" t="s">
        <v>11</v>
      </c>
      <c r="D560" s="6" t="str">
        <f>CONCATENATE(YEAR(A560),"/",IF(MONTH(A560)&lt;10,CONCATENATE("0",MONTH(A560)),MONTH(A560)))</f>
        <v>2025/02</v>
      </c>
      <c r="E560" s="8" t="str">
        <f>IF(IF(D560&lt;&gt;D559,1,IF(OR(B560&lt;&gt;B559,A560-A559&gt;$U$1),1,""))&lt;&gt;1,"",IF(C560="B01",1965,IF(C560="B02",1020,IF(C560="B05",2400,IF(C560="B03",4260,IF(C560="B04",2880,IF(C560="B20",1260,0)))))))</f>
        <v/>
      </c>
      <c r="F560" s="8" t="str">
        <f>IF(IF(D560&lt;&gt;D559,1,IF(OR(B560&lt;&gt;B559,A560-A559&gt;$U$1),1,""))&lt;&gt;1,"",IF(C560="B01",1,IF(C560="B05",1,IF(C560="B03",1,IF(C560="B04",1,IF(C560="B20",1,IF(C560="B02",1,0)))))))</f>
        <v/>
      </c>
      <c r="G560"/>
      <c r="H560" s="2"/>
      <c r="I560" s="2"/>
      <c r="L560"/>
      <c r="R560"/>
      <c r="S560" s="5"/>
      <c r="U560" s="5"/>
    </row>
    <row r="561" spans="1:21">
      <c r="A561" s="3">
        <v>45691.127523148149</v>
      </c>
      <c r="B561" s="2" t="s">
        <v>26</v>
      </c>
      <c r="C561" s="2" t="s">
        <v>11</v>
      </c>
      <c r="D561" s="6" t="str">
        <f>CONCATENATE(YEAR(A561),"/",IF(MONTH(A561)&lt;10,CONCATENATE("0",MONTH(A561)),MONTH(A561)))</f>
        <v>2025/02</v>
      </c>
      <c r="E561" s="8">
        <f>IF(IF(D561&lt;&gt;D560,1,IF(OR(B561&lt;&gt;B560,A561-A560&gt;$U$1),1,""))&lt;&gt;1,"",IF(C561="B01",1965,IF(C561="B02",1020,IF(C561="B05",2400,IF(C561="B03",4260,IF(C561="B04",2880,IF(C561="B20",1260,0)))))))</f>
        <v>2400</v>
      </c>
      <c r="F561" s="8">
        <f>IF(IF(D561&lt;&gt;D560,1,IF(OR(B561&lt;&gt;B560,A561-A560&gt;$U$1),1,""))&lt;&gt;1,"",IF(C561="B01",1,IF(C561="B05",1,IF(C561="B03",1,IF(C561="B04",1,IF(C561="B20",1,IF(C561="B02",1,0)))))))</f>
        <v>1</v>
      </c>
      <c r="G561"/>
      <c r="H561" s="2"/>
      <c r="I561" s="2"/>
      <c r="L561"/>
      <c r="R561"/>
      <c r="S561" s="5"/>
      <c r="U561" s="5"/>
    </row>
    <row r="562" spans="1:21">
      <c r="A562" s="3">
        <v>45691.127523148149</v>
      </c>
      <c r="B562" s="2" t="s">
        <v>26</v>
      </c>
      <c r="C562" s="2" t="s">
        <v>11</v>
      </c>
      <c r="D562" s="6" t="str">
        <f>CONCATENATE(YEAR(A562),"/",IF(MONTH(A562)&lt;10,CONCATENATE("0",MONTH(A562)),MONTH(A562)))</f>
        <v>2025/02</v>
      </c>
      <c r="E562" s="8" t="str">
        <f>IF(IF(D562&lt;&gt;D561,1,IF(OR(B562&lt;&gt;B561,A562-A561&gt;$U$1),1,""))&lt;&gt;1,"",IF(C562="B01",1965,IF(C562="B02",1020,IF(C562="B05",2400,IF(C562="B03",4260,IF(C562="B04",2880,IF(C562="B20",1260,0)))))))</f>
        <v/>
      </c>
      <c r="F562" s="8" t="str">
        <f>IF(IF(D562&lt;&gt;D561,1,IF(OR(B562&lt;&gt;B561,A562-A561&gt;$U$1),1,""))&lt;&gt;1,"",IF(C562="B01",1,IF(C562="B05",1,IF(C562="B03",1,IF(C562="B04",1,IF(C562="B20",1,IF(C562="B02",1,0)))))))</f>
        <v/>
      </c>
      <c r="G562"/>
      <c r="H562" s="2"/>
      <c r="I562" s="2"/>
      <c r="L562"/>
      <c r="R562"/>
      <c r="S562" s="5"/>
      <c r="U562" s="5"/>
    </row>
    <row r="563" spans="1:21">
      <c r="A563" s="3">
        <v>45691.337071759262</v>
      </c>
      <c r="B563" s="2" t="s">
        <v>26</v>
      </c>
      <c r="C563" s="2" t="s">
        <v>11</v>
      </c>
      <c r="D563" s="6" t="str">
        <f>CONCATENATE(YEAR(A563),"/",IF(MONTH(A563)&lt;10,CONCATENATE("0",MONTH(A563)),MONTH(A563)))</f>
        <v>2025/02</v>
      </c>
      <c r="E563" s="8">
        <f>IF(IF(D563&lt;&gt;D562,1,IF(OR(B563&lt;&gt;B562,A563-A562&gt;$U$1),1,""))&lt;&gt;1,"",IF(C563="B01",1965,IF(C563="B02",1020,IF(C563="B05",2400,IF(C563="B03",4260,IF(C563="B04",2880,IF(C563="B20",1260,0)))))))</f>
        <v>2400</v>
      </c>
      <c r="F563" s="8">
        <f>IF(IF(D563&lt;&gt;D562,1,IF(OR(B563&lt;&gt;B562,A563-A562&gt;$U$1),1,""))&lt;&gt;1,"",IF(C563="B01",1,IF(C563="B05",1,IF(C563="B03",1,IF(C563="B04",1,IF(C563="B20",1,IF(C563="B02",1,0)))))))</f>
        <v>1</v>
      </c>
      <c r="G563"/>
      <c r="H563" s="2"/>
      <c r="I563" s="2"/>
      <c r="L563"/>
      <c r="R563"/>
      <c r="S563" s="5"/>
      <c r="U563" s="5"/>
    </row>
    <row r="564" spans="1:21">
      <c r="A564" s="3">
        <v>45691.337071759262</v>
      </c>
      <c r="B564" s="2" t="s">
        <v>26</v>
      </c>
      <c r="C564" s="2" t="s">
        <v>11</v>
      </c>
      <c r="D564" s="6" t="str">
        <f>CONCATENATE(YEAR(A564),"/",IF(MONTH(A564)&lt;10,CONCATENATE("0",MONTH(A564)),MONTH(A564)))</f>
        <v>2025/02</v>
      </c>
      <c r="E564" s="8" t="str">
        <f>IF(IF(D564&lt;&gt;D563,1,IF(OR(B564&lt;&gt;B563,A564-A563&gt;$U$1),1,""))&lt;&gt;1,"",IF(C564="B01",1965,IF(C564="B02",1020,IF(C564="B05",2400,IF(C564="B03",4260,IF(C564="B04",2880,IF(C564="B20",1260,0)))))))</f>
        <v/>
      </c>
      <c r="F564" s="8" t="str">
        <f>IF(IF(D564&lt;&gt;D563,1,IF(OR(B564&lt;&gt;B563,A564-A563&gt;$U$1),1,""))&lt;&gt;1,"",IF(C564="B01",1,IF(C564="B05",1,IF(C564="B03",1,IF(C564="B04",1,IF(C564="B20",1,IF(C564="B02",1,0)))))))</f>
        <v/>
      </c>
      <c r="G564"/>
      <c r="H564" s="2"/>
      <c r="I564" s="2"/>
      <c r="L564"/>
      <c r="R564"/>
      <c r="S564" s="5"/>
      <c r="U564" s="5"/>
    </row>
    <row r="565" spans="1:21">
      <c r="A565" s="3">
        <v>45691.337071759262</v>
      </c>
      <c r="B565" s="2" t="s">
        <v>26</v>
      </c>
      <c r="C565" s="2" t="s">
        <v>11</v>
      </c>
      <c r="D565" s="6" t="str">
        <f>CONCATENATE(YEAR(A565),"/",IF(MONTH(A565)&lt;10,CONCATENATE("0",MONTH(A565)),MONTH(A565)))</f>
        <v>2025/02</v>
      </c>
      <c r="E565" s="8" t="str">
        <f>IF(IF(D565&lt;&gt;D564,1,IF(OR(B565&lt;&gt;B564,A565-A564&gt;$U$1),1,""))&lt;&gt;1,"",IF(C565="B01",1965,IF(C565="B02",1020,IF(C565="B05",2400,IF(C565="B03",4260,IF(C565="B04",2880,IF(C565="B20",1260,0)))))))</f>
        <v/>
      </c>
      <c r="F565" s="8" t="str">
        <f>IF(IF(D565&lt;&gt;D564,1,IF(OR(B565&lt;&gt;B564,A565-A564&gt;$U$1),1,""))&lt;&gt;1,"",IF(C565="B01",1,IF(C565="B05",1,IF(C565="B03",1,IF(C565="B04",1,IF(C565="B20",1,IF(C565="B02",1,0)))))))</f>
        <v/>
      </c>
      <c r="G565"/>
      <c r="H565" s="2"/>
      <c r="I565" s="2"/>
      <c r="L565"/>
      <c r="R565"/>
      <c r="S565" s="5"/>
      <c r="U565" s="5"/>
    </row>
    <row r="566" spans="1:21">
      <c r="A566" s="3">
        <v>45691.337071759262</v>
      </c>
      <c r="B566" s="2" t="s">
        <v>26</v>
      </c>
      <c r="C566" s="2" t="s">
        <v>11</v>
      </c>
      <c r="D566" s="6" t="str">
        <f>CONCATENATE(YEAR(A566),"/",IF(MONTH(A566)&lt;10,CONCATENATE("0",MONTH(A566)),MONTH(A566)))</f>
        <v>2025/02</v>
      </c>
      <c r="E566" s="8" t="str">
        <f>IF(IF(D566&lt;&gt;D565,1,IF(OR(B566&lt;&gt;B565,A566-A565&gt;$U$1),1,""))&lt;&gt;1,"",IF(C566="B01",1965,IF(C566="B02",1020,IF(C566="B05",2400,IF(C566="B03",4260,IF(C566="B04",2880,IF(C566="B20",1260,0)))))))</f>
        <v/>
      </c>
      <c r="F566" s="8" t="str">
        <f>IF(IF(D566&lt;&gt;D565,1,IF(OR(B566&lt;&gt;B565,A566-A565&gt;$U$1),1,""))&lt;&gt;1,"",IF(C566="B01",1,IF(C566="B05",1,IF(C566="B03",1,IF(C566="B04",1,IF(C566="B20",1,IF(C566="B02",1,0)))))))</f>
        <v/>
      </c>
      <c r="G566"/>
      <c r="H566" s="2"/>
      <c r="I566" s="2"/>
      <c r="L566"/>
      <c r="R566"/>
      <c r="S566" s="5"/>
      <c r="U566" s="5"/>
    </row>
    <row r="567" spans="1:21">
      <c r="A567" s="3">
        <v>45691.337071759262</v>
      </c>
      <c r="B567" s="2" t="s">
        <v>26</v>
      </c>
      <c r="C567" s="2" t="s">
        <v>11</v>
      </c>
      <c r="D567" s="6" t="str">
        <f>CONCATENATE(YEAR(A567),"/",IF(MONTH(A567)&lt;10,CONCATENATE("0",MONTH(A567)),MONTH(A567)))</f>
        <v>2025/02</v>
      </c>
      <c r="E567" s="8" t="str">
        <f>IF(IF(D567&lt;&gt;D566,1,IF(OR(B567&lt;&gt;B566,A567-A566&gt;$U$1),1,""))&lt;&gt;1,"",IF(C567="B01",1965,IF(C567="B02",1020,IF(C567="B05",2400,IF(C567="B03",4260,IF(C567="B04",2880,IF(C567="B20",1260,0)))))))</f>
        <v/>
      </c>
      <c r="F567" s="8" t="str">
        <f>IF(IF(D567&lt;&gt;D566,1,IF(OR(B567&lt;&gt;B566,A567-A566&gt;$U$1),1,""))&lt;&gt;1,"",IF(C567="B01",1,IF(C567="B05",1,IF(C567="B03",1,IF(C567="B04",1,IF(C567="B20",1,IF(C567="B02",1,0)))))))</f>
        <v/>
      </c>
      <c r="G567"/>
      <c r="H567" s="2"/>
      <c r="I567" s="2"/>
      <c r="L567"/>
      <c r="R567"/>
      <c r="S567" s="5"/>
      <c r="U567" s="5"/>
    </row>
    <row r="568" spans="1:21">
      <c r="A568" s="3">
        <v>45691.454652777778</v>
      </c>
      <c r="B568" s="2" t="s">
        <v>26</v>
      </c>
      <c r="C568" s="2" t="s">
        <v>11</v>
      </c>
      <c r="D568" s="6" t="str">
        <f>CONCATENATE(YEAR(A568),"/",IF(MONTH(A568)&lt;10,CONCATENATE("0",MONTH(A568)),MONTH(A568)))</f>
        <v>2025/02</v>
      </c>
      <c r="E568" s="8">
        <f>IF(IF(D568&lt;&gt;D567,1,IF(OR(B568&lt;&gt;B567,A568-A567&gt;$U$1),1,""))&lt;&gt;1,"",IF(C568="B01",1965,IF(C568="B02",1020,IF(C568="B05",2400,IF(C568="B03",4260,IF(C568="B04",2880,IF(C568="B20",1260,0)))))))</f>
        <v>2400</v>
      </c>
      <c r="F568" s="8">
        <f>IF(IF(D568&lt;&gt;D567,1,IF(OR(B568&lt;&gt;B567,A568-A567&gt;$U$1),1,""))&lt;&gt;1,"",IF(C568="B01",1,IF(C568="B05",1,IF(C568="B03",1,IF(C568="B04",1,IF(C568="B20",1,IF(C568="B02",1,0)))))))</f>
        <v>1</v>
      </c>
      <c r="G568"/>
      <c r="H568" s="2"/>
      <c r="I568" s="2"/>
      <c r="L568"/>
      <c r="R568"/>
      <c r="S568" s="5"/>
      <c r="U568" s="5"/>
    </row>
    <row r="569" spans="1:21">
      <c r="A569" s="3">
        <v>45691.454652777778</v>
      </c>
      <c r="B569" s="2" t="s">
        <v>26</v>
      </c>
      <c r="C569" s="2" t="s">
        <v>11</v>
      </c>
      <c r="D569" s="6" t="str">
        <f>CONCATENATE(YEAR(A569),"/",IF(MONTH(A569)&lt;10,CONCATENATE("0",MONTH(A569)),MONTH(A569)))</f>
        <v>2025/02</v>
      </c>
      <c r="E569" s="8" t="str">
        <f>IF(IF(D569&lt;&gt;D568,1,IF(OR(B569&lt;&gt;B568,A569-A568&gt;$U$1),1,""))&lt;&gt;1,"",IF(C569="B01",1965,IF(C569="B02",1020,IF(C569="B05",2400,IF(C569="B03",4260,IF(C569="B04",2880,IF(C569="B20",1260,0)))))))</f>
        <v/>
      </c>
      <c r="F569" s="8" t="str">
        <f>IF(IF(D569&lt;&gt;D568,1,IF(OR(B569&lt;&gt;B568,A569-A568&gt;$U$1),1,""))&lt;&gt;1,"",IF(C569="B01",1,IF(C569="B05",1,IF(C569="B03",1,IF(C569="B04",1,IF(C569="B20",1,IF(C569="B02",1,0)))))))</f>
        <v/>
      </c>
      <c r="G569"/>
      <c r="H569" s="2"/>
      <c r="I569" s="2"/>
      <c r="L569"/>
      <c r="R569"/>
      <c r="S569" s="5"/>
      <c r="U569" s="5"/>
    </row>
    <row r="570" spans="1:21">
      <c r="A570" s="3">
        <v>45691.454652777778</v>
      </c>
      <c r="B570" s="2" t="s">
        <v>26</v>
      </c>
      <c r="C570" s="2" t="s">
        <v>11</v>
      </c>
      <c r="D570" s="6" t="str">
        <f>CONCATENATE(YEAR(A570),"/",IF(MONTH(A570)&lt;10,CONCATENATE("0",MONTH(A570)),MONTH(A570)))</f>
        <v>2025/02</v>
      </c>
      <c r="E570" s="8" t="str">
        <f>IF(IF(D570&lt;&gt;D569,1,IF(OR(B570&lt;&gt;B569,A570-A569&gt;$U$1),1,""))&lt;&gt;1,"",IF(C570="B01",1965,IF(C570="B02",1020,IF(C570="B05",2400,IF(C570="B03",4260,IF(C570="B04",2880,IF(C570="B20",1260,0)))))))</f>
        <v/>
      </c>
      <c r="F570" s="8" t="str">
        <f>IF(IF(D570&lt;&gt;D569,1,IF(OR(B570&lt;&gt;B569,A570-A569&gt;$U$1),1,""))&lt;&gt;1,"",IF(C570="B01",1,IF(C570="B05",1,IF(C570="B03",1,IF(C570="B04",1,IF(C570="B20",1,IF(C570="B02",1,0)))))))</f>
        <v/>
      </c>
      <c r="G570"/>
      <c r="H570" s="2"/>
      <c r="I570" s="2"/>
      <c r="L570"/>
      <c r="R570"/>
      <c r="S570" s="5"/>
      <c r="U570" s="5"/>
    </row>
    <row r="571" spans="1:21">
      <c r="A571" s="3">
        <v>45691.454652777778</v>
      </c>
      <c r="B571" s="2" t="s">
        <v>26</v>
      </c>
      <c r="C571" s="2" t="s">
        <v>11</v>
      </c>
      <c r="D571" s="6" t="str">
        <f>CONCATENATE(YEAR(A571),"/",IF(MONTH(A571)&lt;10,CONCATENATE("0",MONTH(A571)),MONTH(A571)))</f>
        <v>2025/02</v>
      </c>
      <c r="E571" s="8" t="str">
        <f>IF(IF(D571&lt;&gt;D570,1,IF(OR(B571&lt;&gt;B570,A571-A570&gt;$U$1),1,""))&lt;&gt;1,"",IF(C571="B01",1965,IF(C571="B02",1020,IF(C571="B05",2400,IF(C571="B03",4260,IF(C571="B04",2880,IF(C571="B20",1260,0)))))))</f>
        <v/>
      </c>
      <c r="F571" s="8" t="str">
        <f>IF(IF(D571&lt;&gt;D570,1,IF(OR(B571&lt;&gt;B570,A571-A570&gt;$U$1),1,""))&lt;&gt;1,"",IF(C571="B01",1,IF(C571="B05",1,IF(C571="B03",1,IF(C571="B04",1,IF(C571="B20",1,IF(C571="B02",1,0)))))))</f>
        <v/>
      </c>
      <c r="G571"/>
      <c r="H571" s="2"/>
      <c r="I571" s="2"/>
      <c r="L571"/>
      <c r="R571"/>
      <c r="S571" s="5"/>
      <c r="U571" s="5"/>
    </row>
    <row r="572" spans="1:21">
      <c r="A572" s="3">
        <v>45691.580509259256</v>
      </c>
      <c r="B572" s="2" t="s">
        <v>26</v>
      </c>
      <c r="C572" s="2" t="s">
        <v>11</v>
      </c>
      <c r="D572" s="6" t="str">
        <f>CONCATENATE(YEAR(A572),"/",IF(MONTH(A572)&lt;10,CONCATENATE("0",MONTH(A572)),MONTH(A572)))</f>
        <v>2025/02</v>
      </c>
      <c r="E572" s="8">
        <f>IF(IF(D572&lt;&gt;D571,1,IF(OR(B572&lt;&gt;B571,A572-A571&gt;$U$1),1,""))&lt;&gt;1,"",IF(C572="B01",1965,IF(C572="B02",1020,IF(C572="B05",2400,IF(C572="B03",4260,IF(C572="B04",2880,IF(C572="B20",1260,0)))))))</f>
        <v>2400</v>
      </c>
      <c r="F572" s="8">
        <f>IF(IF(D572&lt;&gt;D571,1,IF(OR(B572&lt;&gt;B571,A572-A571&gt;$U$1),1,""))&lt;&gt;1,"",IF(C572="B01",1,IF(C572="B05",1,IF(C572="B03",1,IF(C572="B04",1,IF(C572="B20",1,IF(C572="B02",1,0)))))))</f>
        <v>1</v>
      </c>
      <c r="G572"/>
      <c r="H572" s="2"/>
      <c r="I572" s="2"/>
      <c r="L572"/>
      <c r="R572"/>
      <c r="S572" s="5"/>
      <c r="U572" s="5"/>
    </row>
    <row r="573" spans="1:21">
      <c r="A573" s="3">
        <v>45691.580509259256</v>
      </c>
      <c r="B573" s="2" t="s">
        <v>26</v>
      </c>
      <c r="C573" s="2" t="s">
        <v>11</v>
      </c>
      <c r="D573" s="6" t="str">
        <f>CONCATENATE(YEAR(A573),"/",IF(MONTH(A573)&lt;10,CONCATENATE("0",MONTH(A573)),MONTH(A573)))</f>
        <v>2025/02</v>
      </c>
      <c r="E573" s="8" t="str">
        <f>IF(IF(D573&lt;&gt;D572,1,IF(OR(B573&lt;&gt;B572,A573-A572&gt;$U$1),1,""))&lt;&gt;1,"",IF(C573="B01",1965,IF(C573="B02",1020,IF(C573="B05",2400,IF(C573="B03",4260,IF(C573="B04",2880,IF(C573="B20",1260,0)))))))</f>
        <v/>
      </c>
      <c r="F573" s="8" t="str">
        <f>IF(IF(D573&lt;&gt;D572,1,IF(OR(B573&lt;&gt;B572,A573-A572&gt;$U$1),1,""))&lt;&gt;1,"",IF(C573="B01",1,IF(C573="B05",1,IF(C573="B03",1,IF(C573="B04",1,IF(C573="B20",1,IF(C573="B02",1,0)))))))</f>
        <v/>
      </c>
      <c r="G573"/>
      <c r="H573" s="2"/>
      <c r="I573" s="2"/>
      <c r="L573"/>
      <c r="R573"/>
      <c r="S573" s="5"/>
      <c r="U573" s="5"/>
    </row>
    <row r="574" spans="1:21">
      <c r="A574" s="3">
        <v>45691.699386574073</v>
      </c>
      <c r="B574" s="2" t="s">
        <v>26</v>
      </c>
      <c r="C574" s="2" t="s">
        <v>11</v>
      </c>
      <c r="D574" s="6" t="str">
        <f>CONCATENATE(YEAR(A574),"/",IF(MONTH(A574)&lt;10,CONCATENATE("0",MONTH(A574)),MONTH(A574)))</f>
        <v>2025/02</v>
      </c>
      <c r="E574" s="8">
        <f>IF(IF(D574&lt;&gt;D573,1,IF(OR(B574&lt;&gt;B573,A574-A573&gt;$U$1),1,""))&lt;&gt;1,"",IF(C574="B01",1965,IF(C574="B02",1020,IF(C574="B05",2400,IF(C574="B03",4260,IF(C574="B04",2880,IF(C574="B20",1260,0)))))))</f>
        <v>2400</v>
      </c>
      <c r="F574" s="8">
        <f>IF(IF(D574&lt;&gt;D573,1,IF(OR(B574&lt;&gt;B573,A574-A573&gt;$U$1),1,""))&lt;&gt;1,"",IF(C574="B01",1,IF(C574="B05",1,IF(C574="B03",1,IF(C574="B04",1,IF(C574="B20",1,IF(C574="B02",1,0)))))))</f>
        <v>1</v>
      </c>
      <c r="G574"/>
      <c r="H574" s="2"/>
      <c r="I574" s="2"/>
      <c r="L574"/>
      <c r="R574"/>
      <c r="S574" s="5"/>
      <c r="U574" s="5"/>
    </row>
    <row r="575" spans="1:21">
      <c r="A575" s="3">
        <v>45691.699386574073</v>
      </c>
      <c r="B575" s="2" t="s">
        <v>26</v>
      </c>
      <c r="C575" s="2" t="s">
        <v>11</v>
      </c>
      <c r="D575" s="6" t="str">
        <f>CONCATENATE(YEAR(A575),"/",IF(MONTH(A575)&lt;10,CONCATENATE("0",MONTH(A575)),MONTH(A575)))</f>
        <v>2025/02</v>
      </c>
      <c r="E575" s="8" t="str">
        <f>IF(IF(D575&lt;&gt;D574,1,IF(OR(B575&lt;&gt;B574,A575-A574&gt;$U$1),1,""))&lt;&gt;1,"",IF(C575="B01",1965,IF(C575="B02",1020,IF(C575="B05",2400,IF(C575="B03",4260,IF(C575="B04",2880,IF(C575="B20",1260,0)))))))</f>
        <v/>
      </c>
      <c r="F575" s="8" t="str">
        <f>IF(IF(D575&lt;&gt;D574,1,IF(OR(B575&lt;&gt;B574,A575-A574&gt;$U$1),1,""))&lt;&gt;1,"",IF(C575="B01",1,IF(C575="B05",1,IF(C575="B03",1,IF(C575="B04",1,IF(C575="B20",1,IF(C575="B02",1,0)))))))</f>
        <v/>
      </c>
      <c r="G575"/>
      <c r="H575" s="2"/>
      <c r="I575" s="2"/>
      <c r="L575"/>
      <c r="R575"/>
      <c r="S575" s="5"/>
      <c r="U575" s="5"/>
    </row>
    <row r="576" spans="1:21">
      <c r="A576" s="3">
        <v>45691.699386574073</v>
      </c>
      <c r="B576" s="2" t="s">
        <v>26</v>
      </c>
      <c r="C576" s="2" t="s">
        <v>11</v>
      </c>
      <c r="D576" s="6" t="str">
        <f>CONCATENATE(YEAR(A576),"/",IF(MONTH(A576)&lt;10,CONCATENATE("0",MONTH(A576)),MONTH(A576)))</f>
        <v>2025/02</v>
      </c>
      <c r="E576" s="8" t="str">
        <f>IF(IF(D576&lt;&gt;D575,1,IF(OR(B576&lt;&gt;B575,A576-A575&gt;$U$1),1,""))&lt;&gt;1,"",IF(C576="B01",1965,IF(C576="B02",1020,IF(C576="B05",2400,IF(C576="B03",4260,IF(C576="B04",2880,IF(C576="B20",1260,0)))))))</f>
        <v/>
      </c>
      <c r="F576" s="8" t="str">
        <f>IF(IF(D576&lt;&gt;D575,1,IF(OR(B576&lt;&gt;B575,A576-A575&gt;$U$1),1,""))&lt;&gt;1,"",IF(C576="B01",1,IF(C576="B05",1,IF(C576="B03",1,IF(C576="B04",1,IF(C576="B20",1,IF(C576="B02",1,0)))))))</f>
        <v/>
      </c>
      <c r="G576"/>
      <c r="H576" s="2"/>
      <c r="I576" s="2"/>
      <c r="L576"/>
      <c r="R576"/>
      <c r="S576" s="5"/>
      <c r="U576" s="5"/>
    </row>
    <row r="577" spans="1:21">
      <c r="A577" s="3">
        <v>45691.900671296295</v>
      </c>
      <c r="B577" s="2" t="s">
        <v>26</v>
      </c>
      <c r="C577" s="2" t="s">
        <v>11</v>
      </c>
      <c r="D577" s="6" t="str">
        <f>CONCATENATE(YEAR(A577),"/",IF(MONTH(A577)&lt;10,CONCATENATE("0",MONTH(A577)),MONTH(A577)))</f>
        <v>2025/02</v>
      </c>
      <c r="E577" s="8">
        <f>IF(IF(D577&lt;&gt;D576,1,IF(OR(B577&lt;&gt;B576,A577-A576&gt;$U$1),1,""))&lt;&gt;1,"",IF(C577="B01",1965,IF(C577="B02",1020,IF(C577="B05",2400,IF(C577="B03",4260,IF(C577="B04",2880,IF(C577="B20",1260,0)))))))</f>
        <v>2400</v>
      </c>
      <c r="F577" s="8">
        <f>IF(IF(D577&lt;&gt;D576,1,IF(OR(B577&lt;&gt;B576,A577-A576&gt;$U$1),1,""))&lt;&gt;1,"",IF(C577="B01",1,IF(C577="B05",1,IF(C577="B03",1,IF(C577="B04",1,IF(C577="B20",1,IF(C577="B02",1,0)))))))</f>
        <v>1</v>
      </c>
      <c r="G577"/>
      <c r="H577" s="2"/>
      <c r="I577" s="2"/>
      <c r="L577"/>
      <c r="R577"/>
      <c r="S577" s="5"/>
      <c r="U577" s="5"/>
    </row>
    <row r="578" spans="1:21">
      <c r="A578" s="3">
        <v>45691.900671296295</v>
      </c>
      <c r="B578" s="2" t="s">
        <v>26</v>
      </c>
      <c r="C578" s="2" t="s">
        <v>11</v>
      </c>
      <c r="D578" s="6" t="str">
        <f>CONCATENATE(YEAR(A578),"/",IF(MONTH(A578)&lt;10,CONCATENATE("0",MONTH(A578)),MONTH(A578)))</f>
        <v>2025/02</v>
      </c>
      <c r="E578" s="8" t="str">
        <f>IF(IF(D578&lt;&gt;D577,1,IF(OR(B578&lt;&gt;B577,A578-A577&gt;$U$1),1,""))&lt;&gt;1,"",IF(C578="B01",1965,IF(C578="B02",1020,IF(C578="B05",2400,IF(C578="B03",4260,IF(C578="B04",2880,IF(C578="B20",1260,0)))))))</f>
        <v/>
      </c>
      <c r="F578" s="8" t="str">
        <f>IF(IF(D578&lt;&gt;D577,1,IF(OR(B578&lt;&gt;B577,A578-A577&gt;$U$1),1,""))&lt;&gt;1,"",IF(C578="B01",1,IF(C578="B05",1,IF(C578="B03",1,IF(C578="B04",1,IF(C578="B20",1,IF(C578="B02",1,0)))))))</f>
        <v/>
      </c>
      <c r="G578"/>
      <c r="H578" s="2"/>
      <c r="I578" s="2"/>
      <c r="L578"/>
      <c r="R578"/>
      <c r="S578" s="5"/>
      <c r="U578" s="5"/>
    </row>
    <row r="579" spans="1:21">
      <c r="A579" s="3">
        <v>45692.049907407411</v>
      </c>
      <c r="B579" s="2" t="s">
        <v>26</v>
      </c>
      <c r="C579" s="2" t="s">
        <v>11</v>
      </c>
      <c r="D579" s="6" t="str">
        <f>CONCATENATE(YEAR(A579),"/",IF(MONTH(A579)&lt;10,CONCATENATE("0",MONTH(A579)),MONTH(A579)))</f>
        <v>2025/02</v>
      </c>
      <c r="E579" s="8">
        <f>IF(IF(D579&lt;&gt;D578,1,IF(OR(B579&lt;&gt;B578,A579-A578&gt;$U$1),1,""))&lt;&gt;1,"",IF(C579="B01",1965,IF(C579="B02",1020,IF(C579="B05",2400,IF(C579="B03",4260,IF(C579="B04",2880,IF(C579="B20",1260,0)))))))</f>
        <v>2400</v>
      </c>
      <c r="F579" s="8">
        <f>IF(IF(D579&lt;&gt;D578,1,IF(OR(B579&lt;&gt;B578,A579-A578&gt;$U$1),1,""))&lt;&gt;1,"",IF(C579="B01",1,IF(C579="B05",1,IF(C579="B03",1,IF(C579="B04",1,IF(C579="B20",1,IF(C579="B02",1,0)))))))</f>
        <v>1</v>
      </c>
      <c r="G579"/>
      <c r="H579" s="2"/>
      <c r="I579" s="2"/>
      <c r="L579"/>
      <c r="R579"/>
      <c r="S579" s="5"/>
      <c r="U579" s="5"/>
    </row>
    <row r="580" spans="1:21">
      <c r="A580" s="3">
        <v>45692.049907407411</v>
      </c>
      <c r="B580" s="2" t="s">
        <v>26</v>
      </c>
      <c r="C580" s="2" t="s">
        <v>11</v>
      </c>
      <c r="D580" s="6" t="str">
        <f>CONCATENATE(YEAR(A580),"/",IF(MONTH(A580)&lt;10,CONCATENATE("0",MONTH(A580)),MONTH(A580)))</f>
        <v>2025/02</v>
      </c>
      <c r="E580" s="8" t="str">
        <f>IF(IF(D580&lt;&gt;D579,1,IF(OR(B580&lt;&gt;B579,A580-A579&gt;$U$1),1,""))&lt;&gt;1,"",IF(C580="B01",1965,IF(C580="B02",1020,IF(C580="B05",2400,IF(C580="B03",4260,IF(C580="B04",2880,IF(C580="B20",1260,0)))))))</f>
        <v/>
      </c>
      <c r="F580" s="8" t="str">
        <f>IF(IF(D580&lt;&gt;D579,1,IF(OR(B580&lt;&gt;B579,A580-A579&gt;$U$1),1,""))&lt;&gt;1,"",IF(C580="B01",1,IF(C580="B05",1,IF(C580="B03",1,IF(C580="B04",1,IF(C580="B20",1,IF(C580="B02",1,0)))))))</f>
        <v/>
      </c>
      <c r="G580"/>
      <c r="H580" s="2"/>
      <c r="I580" s="2"/>
      <c r="L580"/>
      <c r="R580"/>
      <c r="S580" s="5"/>
      <c r="U580" s="5"/>
    </row>
    <row r="581" spans="1:21">
      <c r="A581" s="3">
        <v>45692.272743055553</v>
      </c>
      <c r="B581" s="2" t="s">
        <v>26</v>
      </c>
      <c r="C581" s="2" t="s">
        <v>12</v>
      </c>
      <c r="D581" s="6" t="str">
        <f>CONCATENATE(YEAR(A581),"/",IF(MONTH(A581)&lt;10,CONCATENATE("0",MONTH(A581)),MONTH(A581)))</f>
        <v>2025/02</v>
      </c>
      <c r="E581" s="8">
        <f>IF(IF(D581&lt;&gt;D580,1,IF(OR(B581&lt;&gt;B580,A581-A580&gt;$U$1),1,""))&lt;&gt;1,"",IF(C581="B01",1965,IF(C581="B02",1020,IF(C581="B05",2400,IF(C581="B03",4260,IF(C581="B04",2880,IF(C581="B20",1260,0)))))))</f>
        <v>4260</v>
      </c>
      <c r="F581" s="8">
        <f>IF(IF(D581&lt;&gt;D580,1,IF(OR(B581&lt;&gt;B580,A581-A580&gt;$U$1),1,""))&lt;&gt;1,"",IF(C581="B01",1,IF(C581="B05",1,IF(C581="B03",1,IF(C581="B04",1,IF(C581="B20",1,IF(C581="B02",1,0)))))))</f>
        <v>1</v>
      </c>
      <c r="G581"/>
      <c r="H581" s="2"/>
      <c r="I581" s="2"/>
      <c r="L581"/>
      <c r="R581"/>
      <c r="S581" s="5"/>
      <c r="U581" s="5"/>
    </row>
    <row r="582" spans="1:21">
      <c r="A582" s="3">
        <v>45692.272743055553</v>
      </c>
      <c r="B582" s="2" t="s">
        <v>26</v>
      </c>
      <c r="C582" s="2" t="s">
        <v>12</v>
      </c>
      <c r="D582" s="6" t="str">
        <f>CONCATENATE(YEAR(A582),"/",IF(MONTH(A582)&lt;10,CONCATENATE("0",MONTH(A582)),MONTH(A582)))</f>
        <v>2025/02</v>
      </c>
      <c r="E582" s="8" t="str">
        <f>IF(IF(D582&lt;&gt;D581,1,IF(OR(B582&lt;&gt;B581,A582-A581&gt;$U$1),1,""))&lt;&gt;1,"",IF(C582="B01",1965,IF(C582="B02",1020,IF(C582="B05",2400,IF(C582="B03",4260,IF(C582="B04",2880,IF(C582="B20",1260,0)))))))</f>
        <v/>
      </c>
      <c r="F582" s="8" t="str">
        <f>IF(IF(D582&lt;&gt;D581,1,IF(OR(B582&lt;&gt;B581,A582-A581&gt;$U$1),1,""))&lt;&gt;1,"",IF(C582="B01",1,IF(C582="B05",1,IF(C582="B03",1,IF(C582="B04",1,IF(C582="B20",1,IF(C582="B02",1,0)))))))</f>
        <v/>
      </c>
      <c r="G582"/>
      <c r="H582" s="2"/>
      <c r="I582" s="2"/>
      <c r="L582"/>
      <c r="R582"/>
      <c r="S582" s="5"/>
      <c r="U582" s="5"/>
    </row>
    <row r="583" spans="1:21">
      <c r="A583" s="3">
        <v>45692.732164351852</v>
      </c>
      <c r="B583" s="2" t="s">
        <v>26</v>
      </c>
      <c r="C583" s="2" t="s">
        <v>12</v>
      </c>
      <c r="D583" s="6" t="str">
        <f>CONCATENATE(YEAR(A583),"/",IF(MONTH(A583)&lt;10,CONCATENATE("0",MONTH(A583)),MONTH(A583)))</f>
        <v>2025/02</v>
      </c>
      <c r="E583" s="8">
        <f>IF(IF(D583&lt;&gt;D582,1,IF(OR(B583&lt;&gt;B582,A583-A582&gt;$U$1),1,""))&lt;&gt;1,"",IF(C583="B01",1965,IF(C583="B02",1020,IF(C583="B05",2400,IF(C583="B03",4260,IF(C583="B04",2880,IF(C583="B20",1260,0)))))))</f>
        <v>4260</v>
      </c>
      <c r="F583" s="8">
        <f>IF(IF(D583&lt;&gt;D582,1,IF(OR(B583&lt;&gt;B582,A583-A582&gt;$U$1),1,""))&lt;&gt;1,"",IF(C583="B01",1,IF(C583="B05",1,IF(C583="B03",1,IF(C583="B04",1,IF(C583="B20",1,IF(C583="B02",1,0)))))))</f>
        <v>1</v>
      </c>
      <c r="G583"/>
      <c r="H583" s="2"/>
      <c r="I583" s="2"/>
      <c r="L583"/>
      <c r="R583"/>
      <c r="S583" s="5"/>
      <c r="U583" s="5"/>
    </row>
    <row r="584" spans="1:21">
      <c r="A584" s="3">
        <v>45692.732164351852</v>
      </c>
      <c r="B584" s="2" t="s">
        <v>26</v>
      </c>
      <c r="C584" s="2" t="s">
        <v>12</v>
      </c>
      <c r="D584" s="6" t="str">
        <f>CONCATENATE(YEAR(A584),"/",IF(MONTH(A584)&lt;10,CONCATENATE("0",MONTH(A584)),MONTH(A584)))</f>
        <v>2025/02</v>
      </c>
      <c r="E584" s="8" t="str">
        <f>IF(IF(D584&lt;&gt;D583,1,IF(OR(B584&lt;&gt;B583,A584-A583&gt;$U$1),1,""))&lt;&gt;1,"",IF(C584="B01",1965,IF(C584="B02",1020,IF(C584="B05",2400,IF(C584="B03",4260,IF(C584="B04",2880,IF(C584="B20",1260,0)))))))</f>
        <v/>
      </c>
      <c r="F584" s="8" t="str">
        <f>IF(IF(D584&lt;&gt;D583,1,IF(OR(B584&lt;&gt;B583,A584-A583&gt;$U$1),1,""))&lt;&gt;1,"",IF(C584="B01",1,IF(C584="B05",1,IF(C584="B03",1,IF(C584="B04",1,IF(C584="B20",1,IF(C584="B02",1,0)))))))</f>
        <v/>
      </c>
      <c r="G584"/>
      <c r="H584" s="2"/>
      <c r="I584" s="2"/>
      <c r="L584"/>
      <c r="R584"/>
      <c r="S584" s="5"/>
      <c r="U584" s="5"/>
    </row>
    <row r="585" spans="1:21">
      <c r="A585" s="3">
        <v>45692.732164351852</v>
      </c>
      <c r="B585" s="2" t="s">
        <v>26</v>
      </c>
      <c r="C585" s="2" t="s">
        <v>12</v>
      </c>
      <c r="D585" s="6" t="str">
        <f>CONCATENATE(YEAR(A585),"/",IF(MONTH(A585)&lt;10,CONCATENATE("0",MONTH(A585)),MONTH(A585)))</f>
        <v>2025/02</v>
      </c>
      <c r="E585" s="8" t="str">
        <f>IF(IF(D585&lt;&gt;D584,1,IF(OR(B585&lt;&gt;B584,A585-A584&gt;$U$1),1,""))&lt;&gt;1,"",IF(C585="B01",1965,IF(C585="B02",1020,IF(C585="B05",2400,IF(C585="B03",4260,IF(C585="B04",2880,IF(C585="B20",1260,0)))))))</f>
        <v/>
      </c>
      <c r="F585" s="8" t="str">
        <f>IF(IF(D585&lt;&gt;D584,1,IF(OR(B585&lt;&gt;B584,A585-A584&gt;$U$1),1,""))&lt;&gt;1,"",IF(C585="B01",1,IF(C585="B05",1,IF(C585="B03",1,IF(C585="B04",1,IF(C585="B20",1,IF(C585="B02",1,0)))))))</f>
        <v/>
      </c>
      <c r="G585"/>
      <c r="H585" s="2"/>
      <c r="I585" s="2"/>
      <c r="L585"/>
      <c r="R585"/>
      <c r="S585" s="5"/>
      <c r="U585" s="5"/>
    </row>
    <row r="586" spans="1:21">
      <c r="A586" s="3">
        <v>45692.865173611113</v>
      </c>
      <c r="B586" s="2" t="s">
        <v>26</v>
      </c>
      <c r="C586" s="2" t="s">
        <v>11</v>
      </c>
      <c r="D586" s="6" t="str">
        <f>CONCATENATE(YEAR(A586),"/",IF(MONTH(A586)&lt;10,CONCATENATE("0",MONTH(A586)),MONTH(A586)))</f>
        <v>2025/02</v>
      </c>
      <c r="E586" s="8">
        <f>IF(IF(D586&lt;&gt;D585,1,IF(OR(B586&lt;&gt;B585,A586-A585&gt;$U$1),1,""))&lt;&gt;1,"",IF(C586="B01",1965,IF(C586="B02",1020,IF(C586="B05",2400,IF(C586="B03",4260,IF(C586="B04",2880,IF(C586="B20",1260,0)))))))</f>
        <v>2400</v>
      </c>
      <c r="F586" s="8">
        <f>IF(IF(D586&lt;&gt;D585,1,IF(OR(B586&lt;&gt;B585,A586-A585&gt;$U$1),1,""))&lt;&gt;1,"",IF(C586="B01",1,IF(C586="B05",1,IF(C586="B03",1,IF(C586="B04",1,IF(C586="B20",1,IF(C586="B02",1,0)))))))</f>
        <v>1</v>
      </c>
      <c r="G586"/>
      <c r="H586" s="2"/>
      <c r="I586" s="2"/>
      <c r="L586"/>
      <c r="R586"/>
      <c r="S586" s="5"/>
      <c r="U586" s="5"/>
    </row>
    <row r="587" spans="1:21">
      <c r="A587" s="3">
        <v>45692.865173611113</v>
      </c>
      <c r="B587" s="2" t="s">
        <v>26</v>
      </c>
      <c r="C587" s="2" t="s">
        <v>11</v>
      </c>
      <c r="D587" s="6" t="str">
        <f>CONCATENATE(YEAR(A587),"/",IF(MONTH(A587)&lt;10,CONCATENATE("0",MONTH(A587)),MONTH(A587)))</f>
        <v>2025/02</v>
      </c>
      <c r="E587" s="8" t="str">
        <f>IF(IF(D587&lt;&gt;D586,1,IF(OR(B587&lt;&gt;B586,A587-A586&gt;$U$1),1,""))&lt;&gt;1,"",IF(C587="B01",1965,IF(C587="B02",1020,IF(C587="B05",2400,IF(C587="B03",4260,IF(C587="B04",2880,IF(C587="B20",1260,0)))))))</f>
        <v/>
      </c>
      <c r="F587" s="8" t="str">
        <f>IF(IF(D587&lt;&gt;D586,1,IF(OR(B587&lt;&gt;B586,A587-A586&gt;$U$1),1,""))&lt;&gt;1,"",IF(C587="B01",1,IF(C587="B05",1,IF(C587="B03",1,IF(C587="B04",1,IF(C587="B20",1,IF(C587="B02",1,0)))))))</f>
        <v/>
      </c>
      <c r="G587"/>
      <c r="H587" s="2"/>
      <c r="I587" s="2"/>
      <c r="L587"/>
      <c r="R587"/>
      <c r="S587" s="5"/>
      <c r="U587" s="5"/>
    </row>
    <row r="588" spans="1:21">
      <c r="A588" s="3">
        <v>45692.865173611113</v>
      </c>
      <c r="B588" s="2" t="s">
        <v>26</v>
      </c>
      <c r="C588" s="2" t="s">
        <v>11</v>
      </c>
      <c r="D588" s="6" t="str">
        <f>CONCATENATE(YEAR(A588),"/",IF(MONTH(A588)&lt;10,CONCATENATE("0",MONTH(A588)),MONTH(A588)))</f>
        <v>2025/02</v>
      </c>
      <c r="E588" s="8" t="str">
        <f>IF(IF(D588&lt;&gt;D587,1,IF(OR(B588&lt;&gt;B587,A588-A587&gt;$U$1),1,""))&lt;&gt;1,"",IF(C588="B01",1965,IF(C588="B02",1020,IF(C588="B05",2400,IF(C588="B03",4260,IF(C588="B04",2880,IF(C588="B20",1260,0)))))))</f>
        <v/>
      </c>
      <c r="F588" s="8" t="str">
        <f>IF(IF(D588&lt;&gt;D587,1,IF(OR(B588&lt;&gt;B587,A588-A587&gt;$U$1),1,""))&lt;&gt;1,"",IF(C588="B01",1,IF(C588="B05",1,IF(C588="B03",1,IF(C588="B04",1,IF(C588="B20",1,IF(C588="B02",1,0)))))))</f>
        <v/>
      </c>
      <c r="G588"/>
      <c r="H588" s="2"/>
      <c r="I588" s="2"/>
      <c r="L588"/>
      <c r="R588"/>
      <c r="S588" s="5"/>
      <c r="U588" s="5"/>
    </row>
    <row r="589" spans="1:21">
      <c r="A589" s="3">
        <v>45693.066354166665</v>
      </c>
      <c r="B589" s="2" t="s">
        <v>26</v>
      </c>
      <c r="C589" s="2" t="s">
        <v>11</v>
      </c>
      <c r="D589" s="6" t="str">
        <f>CONCATENATE(YEAR(A589),"/",IF(MONTH(A589)&lt;10,CONCATENATE("0",MONTH(A589)),MONTH(A589)))</f>
        <v>2025/02</v>
      </c>
      <c r="E589" s="8">
        <f>IF(IF(D589&lt;&gt;D588,1,IF(OR(B589&lt;&gt;B588,A589-A588&gt;$U$1),1,""))&lt;&gt;1,"",IF(C589="B01",1965,IF(C589="B02",1020,IF(C589="B05",2400,IF(C589="B03",4260,IF(C589="B04",2880,IF(C589="B20",1260,0)))))))</f>
        <v>2400</v>
      </c>
      <c r="F589" s="8">
        <f>IF(IF(D589&lt;&gt;D588,1,IF(OR(B589&lt;&gt;B588,A589-A588&gt;$U$1),1,""))&lt;&gt;1,"",IF(C589="B01",1,IF(C589="B05",1,IF(C589="B03",1,IF(C589="B04",1,IF(C589="B20",1,IF(C589="B02",1,0)))))))</f>
        <v>1</v>
      </c>
      <c r="G589"/>
      <c r="H589" s="2"/>
      <c r="I589" s="2"/>
      <c r="L589"/>
      <c r="R589"/>
      <c r="S589" s="5"/>
      <c r="U589" s="5"/>
    </row>
    <row r="590" spans="1:21">
      <c r="A590" s="3">
        <v>45693.066354166665</v>
      </c>
      <c r="B590" s="2" t="s">
        <v>26</v>
      </c>
      <c r="C590" s="2" t="s">
        <v>11</v>
      </c>
      <c r="D590" s="6" t="str">
        <f>CONCATENATE(YEAR(A590),"/",IF(MONTH(A590)&lt;10,CONCATENATE("0",MONTH(A590)),MONTH(A590)))</f>
        <v>2025/02</v>
      </c>
      <c r="E590" s="8" t="str">
        <f>IF(IF(D590&lt;&gt;D589,1,IF(OR(B590&lt;&gt;B589,A590-A589&gt;$U$1),1,""))&lt;&gt;1,"",IF(C590="B01",1965,IF(C590="B02",1020,IF(C590="B05",2400,IF(C590="B03",4260,IF(C590="B04",2880,IF(C590="B20",1260,0)))))))</f>
        <v/>
      </c>
      <c r="F590" s="8" t="str">
        <f>IF(IF(D590&lt;&gt;D589,1,IF(OR(B590&lt;&gt;B589,A590-A589&gt;$U$1),1,""))&lt;&gt;1,"",IF(C590="B01",1,IF(C590="B05",1,IF(C590="B03",1,IF(C590="B04",1,IF(C590="B20",1,IF(C590="B02",1,0)))))))</f>
        <v/>
      </c>
      <c r="G590"/>
      <c r="H590" s="2"/>
      <c r="I590" s="2"/>
      <c r="L590"/>
      <c r="R590"/>
      <c r="S590" s="5"/>
      <c r="U590" s="5"/>
    </row>
    <row r="591" spans="1:21">
      <c r="A591" s="3">
        <v>45693.066354166665</v>
      </c>
      <c r="B591" s="2" t="s">
        <v>26</v>
      </c>
      <c r="C591" s="2" t="s">
        <v>11</v>
      </c>
      <c r="D591" s="6" t="str">
        <f>CONCATENATE(YEAR(A591),"/",IF(MONTH(A591)&lt;10,CONCATENATE("0",MONTH(A591)),MONTH(A591)))</f>
        <v>2025/02</v>
      </c>
      <c r="E591" s="8" t="str">
        <f>IF(IF(D591&lt;&gt;D590,1,IF(OR(B591&lt;&gt;B590,A591-A590&gt;$U$1),1,""))&lt;&gt;1,"",IF(C591="B01",1965,IF(C591="B02",1020,IF(C591="B05",2400,IF(C591="B03",4260,IF(C591="B04",2880,IF(C591="B20",1260,0)))))))</f>
        <v/>
      </c>
      <c r="F591" s="8" t="str">
        <f>IF(IF(D591&lt;&gt;D590,1,IF(OR(B591&lt;&gt;B590,A591-A590&gt;$U$1),1,""))&lt;&gt;1,"",IF(C591="B01",1,IF(C591="B05",1,IF(C591="B03",1,IF(C591="B04",1,IF(C591="B20",1,IF(C591="B02",1,0)))))))</f>
        <v/>
      </c>
      <c r="G591"/>
      <c r="H591" s="2"/>
      <c r="I591" s="2"/>
      <c r="L591"/>
      <c r="R591"/>
      <c r="S591" s="5"/>
      <c r="U591" s="5"/>
    </row>
    <row r="592" spans="1:21">
      <c r="A592" s="3">
        <v>45693.356759259259</v>
      </c>
      <c r="B592" s="2" t="s">
        <v>26</v>
      </c>
      <c r="C592" s="2" t="s">
        <v>11</v>
      </c>
      <c r="D592" s="6" t="str">
        <f>CONCATENATE(YEAR(A592),"/",IF(MONTH(A592)&lt;10,CONCATENATE("0",MONTH(A592)),MONTH(A592)))</f>
        <v>2025/02</v>
      </c>
      <c r="E592" s="8">
        <f>IF(IF(D592&lt;&gt;D591,1,IF(OR(B592&lt;&gt;B591,A592-A591&gt;$U$1),1,""))&lt;&gt;1,"",IF(C592="B01",1965,IF(C592="B02",1020,IF(C592="B05",2400,IF(C592="B03",4260,IF(C592="B04",2880,IF(C592="B20",1260,0)))))))</f>
        <v>2400</v>
      </c>
      <c r="F592" s="8">
        <f>IF(IF(D592&lt;&gt;D591,1,IF(OR(B592&lt;&gt;B591,A592-A591&gt;$U$1),1,""))&lt;&gt;1,"",IF(C592="B01",1,IF(C592="B05",1,IF(C592="B03",1,IF(C592="B04",1,IF(C592="B20",1,IF(C592="B02",1,0)))))))</f>
        <v>1</v>
      </c>
      <c r="G592"/>
      <c r="H592" s="2"/>
      <c r="I592" s="2"/>
      <c r="L592"/>
      <c r="R592"/>
      <c r="S592" s="5"/>
      <c r="U592" s="5"/>
    </row>
    <row r="593" spans="1:21">
      <c r="A593" s="3">
        <v>45693.356759259259</v>
      </c>
      <c r="B593" s="2" t="s">
        <v>26</v>
      </c>
      <c r="C593" s="2" t="s">
        <v>11</v>
      </c>
      <c r="D593" s="6" t="str">
        <f>CONCATENATE(YEAR(A593),"/",IF(MONTH(A593)&lt;10,CONCATENATE("0",MONTH(A593)),MONTH(A593)))</f>
        <v>2025/02</v>
      </c>
      <c r="E593" s="8" t="str">
        <f>IF(IF(D593&lt;&gt;D592,1,IF(OR(B593&lt;&gt;B592,A593-A592&gt;$U$1),1,""))&lt;&gt;1,"",IF(C593="B01",1965,IF(C593="B02",1020,IF(C593="B05",2400,IF(C593="B03",4260,IF(C593="B04",2880,IF(C593="B20",1260,0)))))))</f>
        <v/>
      </c>
      <c r="F593" s="8" t="str">
        <f>IF(IF(D593&lt;&gt;D592,1,IF(OR(B593&lt;&gt;B592,A593-A592&gt;$U$1),1,""))&lt;&gt;1,"",IF(C593="B01",1,IF(C593="B05",1,IF(C593="B03",1,IF(C593="B04",1,IF(C593="B20",1,IF(C593="B02",1,0)))))))</f>
        <v/>
      </c>
      <c r="G593"/>
      <c r="H593" s="2"/>
      <c r="I593" s="2"/>
      <c r="L593"/>
      <c r="R593"/>
      <c r="S593" s="5"/>
      <c r="U593" s="5"/>
    </row>
    <row r="594" spans="1:21">
      <c r="A594" s="3">
        <v>45693.474826388891</v>
      </c>
      <c r="B594" s="2" t="s">
        <v>26</v>
      </c>
      <c r="C594" s="2" t="s">
        <v>12</v>
      </c>
      <c r="D594" s="6" t="str">
        <f>CONCATENATE(YEAR(A594),"/",IF(MONTH(A594)&lt;10,CONCATENATE("0",MONTH(A594)),MONTH(A594)))</f>
        <v>2025/02</v>
      </c>
      <c r="E594" s="8">
        <f>IF(IF(D594&lt;&gt;D593,1,IF(OR(B594&lt;&gt;B593,A594-A593&gt;$U$1),1,""))&lt;&gt;1,"",IF(C594="B01",1965,IF(C594="B02",1020,IF(C594="B05",2400,IF(C594="B03",4260,IF(C594="B04",2880,IF(C594="B20",1260,0)))))))</f>
        <v>4260</v>
      </c>
      <c r="F594" s="8">
        <f>IF(IF(D594&lt;&gt;D593,1,IF(OR(B594&lt;&gt;B593,A594-A593&gt;$U$1),1,""))&lt;&gt;1,"",IF(C594="B01",1,IF(C594="B05",1,IF(C594="B03",1,IF(C594="B04",1,IF(C594="B20",1,IF(C594="B02",1,0)))))))</f>
        <v>1</v>
      </c>
      <c r="G594"/>
      <c r="H594" s="2"/>
      <c r="I594" s="2"/>
      <c r="L594"/>
      <c r="R594"/>
      <c r="S594" s="5"/>
      <c r="U594" s="5"/>
    </row>
    <row r="595" spans="1:21">
      <c r="A595" s="3">
        <v>45693.474826388891</v>
      </c>
      <c r="B595" s="2" t="s">
        <v>26</v>
      </c>
      <c r="C595" s="2" t="s">
        <v>12</v>
      </c>
      <c r="D595" s="6" t="str">
        <f>CONCATENATE(YEAR(A595),"/",IF(MONTH(A595)&lt;10,CONCATENATE("0",MONTH(A595)),MONTH(A595)))</f>
        <v>2025/02</v>
      </c>
      <c r="E595" s="8" t="str">
        <f>IF(IF(D595&lt;&gt;D594,1,IF(OR(B595&lt;&gt;B594,A595-A594&gt;$U$1),1,""))&lt;&gt;1,"",IF(C595="B01",1965,IF(C595="B02",1020,IF(C595="B05",2400,IF(C595="B03",4260,IF(C595="B04",2880,IF(C595="B20",1260,0)))))))</f>
        <v/>
      </c>
      <c r="F595" s="8" t="str">
        <f>IF(IF(D595&lt;&gt;D594,1,IF(OR(B595&lt;&gt;B594,A595-A594&gt;$U$1),1,""))&lt;&gt;1,"",IF(C595="B01",1,IF(C595="B05",1,IF(C595="B03",1,IF(C595="B04",1,IF(C595="B20",1,IF(C595="B02",1,0)))))))</f>
        <v/>
      </c>
      <c r="G595"/>
      <c r="H595" s="2"/>
      <c r="I595" s="2"/>
      <c r="L595"/>
      <c r="R595"/>
      <c r="S595" s="5"/>
      <c r="U595" s="5"/>
    </row>
    <row r="596" spans="1:21">
      <c r="A596" s="3">
        <v>45693.474826388891</v>
      </c>
      <c r="B596" s="2" t="s">
        <v>26</v>
      </c>
      <c r="C596" s="2" t="s">
        <v>12</v>
      </c>
      <c r="D596" s="6" t="str">
        <f>CONCATENATE(YEAR(A596),"/",IF(MONTH(A596)&lt;10,CONCATENATE("0",MONTH(A596)),MONTH(A596)))</f>
        <v>2025/02</v>
      </c>
      <c r="E596" s="8" t="str">
        <f>IF(IF(D596&lt;&gt;D595,1,IF(OR(B596&lt;&gt;B595,A596-A595&gt;$U$1),1,""))&lt;&gt;1,"",IF(C596="B01",1965,IF(C596="B02",1020,IF(C596="B05",2400,IF(C596="B03",4260,IF(C596="B04",2880,IF(C596="B20",1260,0)))))))</f>
        <v/>
      </c>
      <c r="F596" s="8" t="str">
        <f>IF(IF(D596&lt;&gt;D595,1,IF(OR(B596&lt;&gt;B595,A596-A595&gt;$U$1),1,""))&lt;&gt;1,"",IF(C596="B01",1,IF(C596="B05",1,IF(C596="B03",1,IF(C596="B04",1,IF(C596="B20",1,IF(C596="B02",1,0)))))))</f>
        <v/>
      </c>
      <c r="G596"/>
      <c r="H596" s="2"/>
      <c r="I596" s="2"/>
      <c r="L596"/>
      <c r="R596"/>
      <c r="S596" s="5"/>
      <c r="U596" s="5"/>
    </row>
    <row r="597" spans="1:21">
      <c r="A597" s="3">
        <v>45693.474826388891</v>
      </c>
      <c r="B597" s="2" t="s">
        <v>26</v>
      </c>
      <c r="C597" s="2" t="s">
        <v>12</v>
      </c>
      <c r="D597" s="6" t="str">
        <f>CONCATENATE(YEAR(A597),"/",IF(MONTH(A597)&lt;10,CONCATENATE("0",MONTH(A597)),MONTH(A597)))</f>
        <v>2025/02</v>
      </c>
      <c r="E597" s="8" t="str">
        <f>IF(IF(D597&lt;&gt;D596,1,IF(OR(B597&lt;&gt;B596,A597-A596&gt;$U$1),1,""))&lt;&gt;1,"",IF(C597="B01",1965,IF(C597="B02",1020,IF(C597="B05",2400,IF(C597="B03",4260,IF(C597="B04",2880,IF(C597="B20",1260,0)))))))</f>
        <v/>
      </c>
      <c r="F597" s="8" t="str">
        <f>IF(IF(D597&lt;&gt;D596,1,IF(OR(B597&lt;&gt;B596,A597-A596&gt;$U$1),1,""))&lt;&gt;1,"",IF(C597="B01",1,IF(C597="B05",1,IF(C597="B03",1,IF(C597="B04",1,IF(C597="B20",1,IF(C597="B02",1,0)))))))</f>
        <v/>
      </c>
      <c r="G597"/>
      <c r="H597" s="2"/>
      <c r="I597" s="2"/>
      <c r="L597"/>
      <c r="R597"/>
      <c r="S597" s="5"/>
      <c r="U597" s="5"/>
    </row>
    <row r="598" spans="1:21">
      <c r="A598" s="3">
        <v>45693.60665509259</v>
      </c>
      <c r="B598" s="2" t="s">
        <v>26</v>
      </c>
      <c r="C598" s="2" t="s">
        <v>11</v>
      </c>
      <c r="D598" s="6" t="str">
        <f>CONCATENATE(YEAR(A598),"/",IF(MONTH(A598)&lt;10,CONCATENATE("0",MONTH(A598)),MONTH(A598)))</f>
        <v>2025/02</v>
      </c>
      <c r="E598" s="8">
        <f>IF(IF(D598&lt;&gt;D597,1,IF(OR(B598&lt;&gt;B597,A598-A597&gt;$U$1),1,""))&lt;&gt;1,"",IF(C598="B01",1965,IF(C598="B02",1020,IF(C598="B05",2400,IF(C598="B03",4260,IF(C598="B04",2880,IF(C598="B20",1260,0)))))))</f>
        <v>2400</v>
      </c>
      <c r="F598" s="8">
        <f>IF(IF(D598&lt;&gt;D597,1,IF(OR(B598&lt;&gt;B597,A598-A597&gt;$U$1),1,""))&lt;&gt;1,"",IF(C598="B01",1,IF(C598="B05",1,IF(C598="B03",1,IF(C598="B04",1,IF(C598="B20",1,IF(C598="B02",1,0)))))))</f>
        <v>1</v>
      </c>
      <c r="G598"/>
      <c r="H598" s="2"/>
      <c r="I598" s="2"/>
      <c r="L598"/>
      <c r="R598"/>
      <c r="S598" s="5"/>
      <c r="U598" s="5"/>
    </row>
    <row r="599" spans="1:21">
      <c r="A599" s="3">
        <v>45693.60665509259</v>
      </c>
      <c r="B599" s="2" t="s">
        <v>26</v>
      </c>
      <c r="C599" s="2" t="s">
        <v>11</v>
      </c>
      <c r="D599" s="6" t="str">
        <f>CONCATENATE(YEAR(A599),"/",IF(MONTH(A599)&lt;10,CONCATENATE("0",MONTH(A599)),MONTH(A599)))</f>
        <v>2025/02</v>
      </c>
      <c r="E599" s="8" t="str">
        <f>IF(IF(D599&lt;&gt;D598,1,IF(OR(B599&lt;&gt;B598,A599-A598&gt;$U$1),1,""))&lt;&gt;1,"",IF(C599="B01",1965,IF(C599="B02",1020,IF(C599="B05",2400,IF(C599="B03",4260,IF(C599="B04",2880,IF(C599="B20",1260,0)))))))</f>
        <v/>
      </c>
      <c r="F599" s="8" t="str">
        <f>IF(IF(D599&lt;&gt;D598,1,IF(OR(B599&lt;&gt;B598,A599-A598&gt;$U$1),1,""))&lt;&gt;1,"",IF(C599="B01",1,IF(C599="B05",1,IF(C599="B03",1,IF(C599="B04",1,IF(C599="B20",1,IF(C599="B02",1,0)))))))</f>
        <v/>
      </c>
      <c r="G599"/>
      <c r="H599" s="2"/>
      <c r="I599" s="2"/>
      <c r="L599"/>
      <c r="R599"/>
      <c r="S599" s="5"/>
      <c r="U599" s="5"/>
    </row>
    <row r="600" spans="1:21">
      <c r="A600" s="3">
        <v>45693.60665509259</v>
      </c>
      <c r="B600" s="2" t="s">
        <v>26</v>
      </c>
      <c r="C600" s="2" t="s">
        <v>11</v>
      </c>
      <c r="D600" s="6" t="str">
        <f>CONCATENATE(YEAR(A600),"/",IF(MONTH(A600)&lt;10,CONCATENATE("0",MONTH(A600)),MONTH(A600)))</f>
        <v>2025/02</v>
      </c>
      <c r="E600" s="8" t="str">
        <f>IF(IF(D600&lt;&gt;D599,1,IF(OR(B600&lt;&gt;B599,A600-A599&gt;$U$1),1,""))&lt;&gt;1,"",IF(C600="B01",1965,IF(C600="B02",1020,IF(C600="B05",2400,IF(C600="B03",4260,IF(C600="B04",2880,IF(C600="B20",1260,0)))))))</f>
        <v/>
      </c>
      <c r="F600" s="8" t="str">
        <f>IF(IF(D600&lt;&gt;D599,1,IF(OR(B600&lt;&gt;B599,A600-A599&gt;$U$1),1,""))&lt;&gt;1,"",IF(C600="B01",1,IF(C600="B05",1,IF(C600="B03",1,IF(C600="B04",1,IF(C600="B20",1,IF(C600="B02",1,0)))))))</f>
        <v/>
      </c>
      <c r="G600"/>
      <c r="H600" s="2"/>
      <c r="I600" s="2"/>
      <c r="L600"/>
      <c r="R600"/>
      <c r="S600" s="5"/>
      <c r="U600" s="5"/>
    </row>
    <row r="601" spans="1:21">
      <c r="A601" s="3">
        <v>45693.60665509259</v>
      </c>
      <c r="B601" s="2" t="s">
        <v>26</v>
      </c>
      <c r="C601" s="2" t="s">
        <v>11</v>
      </c>
      <c r="D601" s="6" t="str">
        <f>CONCATENATE(YEAR(A601),"/",IF(MONTH(A601)&lt;10,CONCATENATE("0",MONTH(A601)),MONTH(A601)))</f>
        <v>2025/02</v>
      </c>
      <c r="E601" s="8" t="str">
        <f>IF(IF(D601&lt;&gt;D600,1,IF(OR(B601&lt;&gt;B600,A601-A600&gt;$U$1),1,""))&lt;&gt;1,"",IF(C601="B01",1965,IF(C601="B02",1020,IF(C601="B05",2400,IF(C601="B03",4260,IF(C601="B04",2880,IF(C601="B20",1260,0)))))))</f>
        <v/>
      </c>
      <c r="F601" s="8" t="str">
        <f>IF(IF(D601&lt;&gt;D600,1,IF(OR(B601&lt;&gt;B600,A601-A600&gt;$U$1),1,""))&lt;&gt;1,"",IF(C601="B01",1,IF(C601="B05",1,IF(C601="B03",1,IF(C601="B04",1,IF(C601="B20",1,IF(C601="B02",1,0)))))))</f>
        <v/>
      </c>
      <c r="G601"/>
      <c r="H601" s="2"/>
      <c r="I601" s="2"/>
      <c r="L601"/>
      <c r="R601"/>
      <c r="S601" s="5"/>
      <c r="U601" s="5"/>
    </row>
    <row r="602" spans="1:21">
      <c r="A602" s="3">
        <v>45693.858182870368</v>
      </c>
      <c r="B602" s="2" t="s">
        <v>26</v>
      </c>
      <c r="C602" s="2" t="s">
        <v>11</v>
      </c>
      <c r="D602" s="6" t="str">
        <f>CONCATENATE(YEAR(A602),"/",IF(MONTH(A602)&lt;10,CONCATENATE("0",MONTH(A602)),MONTH(A602)))</f>
        <v>2025/02</v>
      </c>
      <c r="E602" s="8">
        <f>IF(IF(D602&lt;&gt;D601,1,IF(OR(B602&lt;&gt;B601,A602-A601&gt;$U$1),1,""))&lt;&gt;1,"",IF(C602="B01",1965,IF(C602="B02",1020,IF(C602="B05",2400,IF(C602="B03",4260,IF(C602="B04",2880,IF(C602="B20",1260,0)))))))</f>
        <v>2400</v>
      </c>
      <c r="F602" s="8">
        <f>IF(IF(D602&lt;&gt;D601,1,IF(OR(B602&lt;&gt;B601,A602-A601&gt;$U$1),1,""))&lt;&gt;1,"",IF(C602="B01",1,IF(C602="B05",1,IF(C602="B03",1,IF(C602="B04",1,IF(C602="B20",1,IF(C602="B02",1,0)))))))</f>
        <v>1</v>
      </c>
      <c r="G602"/>
      <c r="H602" s="2"/>
      <c r="I602" s="2"/>
      <c r="L602"/>
      <c r="R602"/>
      <c r="S602" s="5"/>
      <c r="U602" s="5"/>
    </row>
    <row r="603" spans="1:21">
      <c r="A603" s="3">
        <v>45693.858182870368</v>
      </c>
      <c r="B603" s="2" t="s">
        <v>26</v>
      </c>
      <c r="C603" s="2" t="s">
        <v>11</v>
      </c>
      <c r="D603" s="6" t="str">
        <f>CONCATENATE(YEAR(A603),"/",IF(MONTH(A603)&lt;10,CONCATENATE("0",MONTH(A603)),MONTH(A603)))</f>
        <v>2025/02</v>
      </c>
      <c r="E603" s="8" t="str">
        <f>IF(IF(D603&lt;&gt;D602,1,IF(OR(B603&lt;&gt;B602,A603-A602&gt;$U$1),1,""))&lt;&gt;1,"",IF(C603="B01",1965,IF(C603="B02",1020,IF(C603="B05",2400,IF(C603="B03",4260,IF(C603="B04",2880,IF(C603="B20",1260,0)))))))</f>
        <v/>
      </c>
      <c r="F603" s="8" t="str">
        <f>IF(IF(D603&lt;&gt;D602,1,IF(OR(B603&lt;&gt;B602,A603-A602&gt;$U$1),1,""))&lt;&gt;1,"",IF(C603="B01",1,IF(C603="B05",1,IF(C603="B03",1,IF(C603="B04",1,IF(C603="B20",1,IF(C603="B02",1,0)))))))</f>
        <v/>
      </c>
      <c r="G603"/>
      <c r="H603" s="2"/>
      <c r="I603" s="2"/>
      <c r="L603"/>
      <c r="R603"/>
      <c r="S603" s="5"/>
      <c r="U603" s="5"/>
    </row>
    <row r="604" spans="1:21">
      <c r="A604" s="3">
        <v>45693.863495370373</v>
      </c>
      <c r="B604" s="2" t="s">
        <v>26</v>
      </c>
      <c r="C604" s="2" t="s">
        <v>11</v>
      </c>
      <c r="D604" s="6" t="str">
        <f>CONCATENATE(YEAR(A604),"/",IF(MONTH(A604)&lt;10,CONCATENATE("0",MONTH(A604)),MONTH(A604)))</f>
        <v>2025/02</v>
      </c>
      <c r="E604" s="8" t="str">
        <f>IF(IF(D604&lt;&gt;D603,1,IF(OR(B604&lt;&gt;B603,A604-A603&gt;$U$1),1,""))&lt;&gt;1,"",IF(C604="B01",1965,IF(C604="B02",1020,IF(C604="B05",2400,IF(C604="B03",4260,IF(C604="B04",2880,IF(C604="B20",1260,0)))))))</f>
        <v/>
      </c>
      <c r="F604" s="8" t="str">
        <f>IF(IF(D604&lt;&gt;D603,1,IF(OR(B604&lt;&gt;B603,A604-A603&gt;$U$1),1,""))&lt;&gt;1,"",IF(C604="B01",1,IF(C604="B05",1,IF(C604="B03",1,IF(C604="B04",1,IF(C604="B20",1,IF(C604="B02",1,0)))))))</f>
        <v/>
      </c>
      <c r="G604"/>
      <c r="H604" s="2"/>
      <c r="I604" s="2"/>
      <c r="L604"/>
      <c r="R604"/>
      <c r="S604" s="5"/>
      <c r="U604" s="5"/>
    </row>
    <row r="605" spans="1:21">
      <c r="A605" s="3">
        <v>45694.071250000001</v>
      </c>
      <c r="B605" s="2" t="s">
        <v>26</v>
      </c>
      <c r="C605" s="2" t="s">
        <v>11</v>
      </c>
      <c r="D605" s="6" t="str">
        <f>CONCATENATE(YEAR(A605),"/",IF(MONTH(A605)&lt;10,CONCATENATE("0",MONTH(A605)),MONTH(A605)))</f>
        <v>2025/02</v>
      </c>
      <c r="E605" s="8">
        <f>IF(IF(D605&lt;&gt;D604,1,IF(OR(B605&lt;&gt;B604,A605-A604&gt;$U$1),1,""))&lt;&gt;1,"",IF(C605="B01",1965,IF(C605="B02",1020,IF(C605="B05",2400,IF(C605="B03",4260,IF(C605="B04",2880,IF(C605="B20",1260,0)))))))</f>
        <v>2400</v>
      </c>
      <c r="F605" s="8">
        <f>IF(IF(D605&lt;&gt;D604,1,IF(OR(B605&lt;&gt;B604,A605-A604&gt;$U$1),1,""))&lt;&gt;1,"",IF(C605="B01",1,IF(C605="B05",1,IF(C605="B03",1,IF(C605="B04",1,IF(C605="B20",1,IF(C605="B02",1,0)))))))</f>
        <v>1</v>
      </c>
      <c r="G605"/>
      <c r="H605" s="2"/>
      <c r="I605" s="2"/>
      <c r="L605"/>
      <c r="R605"/>
      <c r="S605" s="5"/>
      <c r="U605" s="5"/>
    </row>
    <row r="606" spans="1:21">
      <c r="A606" s="3">
        <v>45694.307395833333</v>
      </c>
      <c r="B606" s="2" t="s">
        <v>26</v>
      </c>
      <c r="C606" s="2" t="s">
        <v>11</v>
      </c>
      <c r="D606" s="6" t="str">
        <f>CONCATENATE(YEAR(A606),"/",IF(MONTH(A606)&lt;10,CONCATENATE("0",MONTH(A606)),MONTH(A606)))</f>
        <v>2025/02</v>
      </c>
      <c r="E606" s="8">
        <f>IF(IF(D606&lt;&gt;D605,1,IF(OR(B606&lt;&gt;B605,A606-A605&gt;$U$1),1,""))&lt;&gt;1,"",IF(C606="B01",1965,IF(C606="B02",1020,IF(C606="B05",2400,IF(C606="B03",4260,IF(C606="B04",2880,IF(C606="B20",1260,0)))))))</f>
        <v>2400</v>
      </c>
      <c r="F606" s="8">
        <f>IF(IF(D606&lt;&gt;D605,1,IF(OR(B606&lt;&gt;B605,A606-A605&gt;$U$1),1,""))&lt;&gt;1,"",IF(C606="B01",1,IF(C606="B05",1,IF(C606="B03",1,IF(C606="B04",1,IF(C606="B20",1,IF(C606="B02",1,0)))))))</f>
        <v>1</v>
      </c>
      <c r="G606"/>
      <c r="H606" s="2"/>
      <c r="I606" s="2"/>
      <c r="L606"/>
      <c r="R606"/>
      <c r="S606" s="5"/>
      <c r="U606" s="5"/>
    </row>
    <row r="607" spans="1:21">
      <c r="A607" s="3">
        <v>45694.307395833333</v>
      </c>
      <c r="B607" s="2" t="s">
        <v>26</v>
      </c>
      <c r="C607" s="2" t="s">
        <v>11</v>
      </c>
      <c r="D607" s="6" t="str">
        <f>CONCATENATE(YEAR(A607),"/",IF(MONTH(A607)&lt;10,CONCATENATE("0",MONTH(A607)),MONTH(A607)))</f>
        <v>2025/02</v>
      </c>
      <c r="E607" s="8" t="str">
        <f>IF(IF(D607&lt;&gt;D606,1,IF(OR(B607&lt;&gt;B606,A607-A606&gt;$U$1),1,""))&lt;&gt;1,"",IF(C607="B01",1965,IF(C607="B02",1020,IF(C607="B05",2400,IF(C607="B03",4260,IF(C607="B04",2880,IF(C607="B20",1260,0)))))))</f>
        <v/>
      </c>
      <c r="F607" s="8" t="str">
        <f>IF(IF(D607&lt;&gt;D606,1,IF(OR(B607&lt;&gt;B606,A607-A606&gt;$U$1),1,""))&lt;&gt;1,"",IF(C607="B01",1,IF(C607="B05",1,IF(C607="B03",1,IF(C607="B04",1,IF(C607="B20",1,IF(C607="B02",1,0)))))))</f>
        <v/>
      </c>
      <c r="G607"/>
      <c r="H607" s="2"/>
      <c r="I607" s="2"/>
      <c r="L607"/>
      <c r="R607"/>
      <c r="S607" s="5"/>
      <c r="U607" s="5"/>
    </row>
    <row r="608" spans="1:21">
      <c r="A608" s="3">
        <v>45694.307395833333</v>
      </c>
      <c r="B608" s="2" t="s">
        <v>26</v>
      </c>
      <c r="C608" s="2" t="s">
        <v>11</v>
      </c>
      <c r="D608" s="6" t="str">
        <f>CONCATENATE(YEAR(A608),"/",IF(MONTH(A608)&lt;10,CONCATENATE("0",MONTH(A608)),MONTH(A608)))</f>
        <v>2025/02</v>
      </c>
      <c r="E608" s="8" t="str">
        <f>IF(IF(D608&lt;&gt;D607,1,IF(OR(B608&lt;&gt;B607,A608-A607&gt;$U$1),1,""))&lt;&gt;1,"",IF(C608="B01",1965,IF(C608="B02",1020,IF(C608="B05",2400,IF(C608="B03",4260,IF(C608="B04",2880,IF(C608="B20",1260,0)))))))</f>
        <v/>
      </c>
      <c r="F608" s="8" t="str">
        <f>IF(IF(D608&lt;&gt;D607,1,IF(OR(B608&lt;&gt;B607,A608-A607&gt;$U$1),1,""))&lt;&gt;1,"",IF(C608="B01",1,IF(C608="B05",1,IF(C608="B03",1,IF(C608="B04",1,IF(C608="B20",1,IF(C608="B02",1,0)))))))</f>
        <v/>
      </c>
      <c r="G608"/>
      <c r="H608" s="2"/>
      <c r="I608" s="2"/>
      <c r="L608"/>
      <c r="R608"/>
      <c r="S608" s="5"/>
      <c r="U608" s="5"/>
    </row>
    <row r="609" spans="1:21">
      <c r="A609" s="3">
        <v>45694.307395833333</v>
      </c>
      <c r="B609" s="2" t="s">
        <v>26</v>
      </c>
      <c r="C609" s="2" t="s">
        <v>11</v>
      </c>
      <c r="D609" s="6" t="str">
        <f>CONCATENATE(YEAR(A609),"/",IF(MONTH(A609)&lt;10,CONCATENATE("0",MONTH(A609)),MONTH(A609)))</f>
        <v>2025/02</v>
      </c>
      <c r="E609" s="8" t="str">
        <f>IF(IF(D609&lt;&gt;D608,1,IF(OR(B609&lt;&gt;B608,A609-A608&gt;$U$1),1,""))&lt;&gt;1,"",IF(C609="B01",1965,IF(C609="B02",1020,IF(C609="B05",2400,IF(C609="B03",4260,IF(C609="B04",2880,IF(C609="B20",1260,0)))))))</f>
        <v/>
      </c>
      <c r="F609" s="8" t="str">
        <f>IF(IF(D609&lt;&gt;D608,1,IF(OR(B609&lt;&gt;B608,A609-A608&gt;$U$1),1,""))&lt;&gt;1,"",IF(C609="B01",1,IF(C609="B05",1,IF(C609="B03",1,IF(C609="B04",1,IF(C609="B20",1,IF(C609="B02",1,0)))))))</f>
        <v/>
      </c>
      <c r="G609"/>
      <c r="H609" s="2"/>
      <c r="I609" s="2"/>
      <c r="L609"/>
      <c r="R609"/>
      <c r="S609" s="5"/>
      <c r="U609" s="5"/>
    </row>
    <row r="610" spans="1:21">
      <c r="A610" s="3">
        <v>45694.307395833333</v>
      </c>
      <c r="B610" s="2" t="s">
        <v>26</v>
      </c>
      <c r="C610" s="2" t="s">
        <v>11</v>
      </c>
      <c r="D610" s="6" t="str">
        <f>CONCATENATE(YEAR(A610),"/",IF(MONTH(A610)&lt;10,CONCATENATE("0",MONTH(A610)),MONTH(A610)))</f>
        <v>2025/02</v>
      </c>
      <c r="E610" s="8" t="str">
        <f>IF(IF(D610&lt;&gt;D609,1,IF(OR(B610&lt;&gt;B609,A610-A609&gt;$U$1),1,""))&lt;&gt;1,"",IF(C610="B01",1965,IF(C610="B02",1020,IF(C610="B05",2400,IF(C610="B03",4260,IF(C610="B04",2880,IF(C610="B20",1260,0)))))))</f>
        <v/>
      </c>
      <c r="F610" s="8" t="str">
        <f>IF(IF(D610&lt;&gt;D609,1,IF(OR(B610&lt;&gt;B609,A610-A609&gt;$U$1),1,""))&lt;&gt;1,"",IF(C610="B01",1,IF(C610="B05",1,IF(C610="B03",1,IF(C610="B04",1,IF(C610="B20",1,IF(C610="B02",1,0)))))))</f>
        <v/>
      </c>
      <c r="G610"/>
      <c r="H610" s="2"/>
      <c r="I610" s="2"/>
      <c r="L610"/>
      <c r="R610"/>
      <c r="S610" s="5"/>
      <c r="U610" s="5"/>
    </row>
    <row r="611" spans="1:21">
      <c r="A611" s="3">
        <v>45694.307395833333</v>
      </c>
      <c r="B611" s="2" t="s">
        <v>26</v>
      </c>
      <c r="C611" s="2" t="s">
        <v>11</v>
      </c>
      <c r="D611" s="6" t="str">
        <f>CONCATENATE(YEAR(A611),"/",IF(MONTH(A611)&lt;10,CONCATENATE("0",MONTH(A611)),MONTH(A611)))</f>
        <v>2025/02</v>
      </c>
      <c r="E611" s="8" t="str">
        <f>IF(IF(D611&lt;&gt;D610,1,IF(OR(B611&lt;&gt;B610,A611-A610&gt;$U$1),1,""))&lt;&gt;1,"",IF(C611="B01",1965,IF(C611="B02",1020,IF(C611="B05",2400,IF(C611="B03",4260,IF(C611="B04",2880,IF(C611="B20",1260,0)))))))</f>
        <v/>
      </c>
      <c r="F611" s="8" t="str">
        <f>IF(IF(D611&lt;&gt;D610,1,IF(OR(B611&lt;&gt;B610,A611-A610&gt;$U$1),1,""))&lt;&gt;1,"",IF(C611="B01",1,IF(C611="B05",1,IF(C611="B03",1,IF(C611="B04",1,IF(C611="B20",1,IF(C611="B02",1,0)))))))</f>
        <v/>
      </c>
      <c r="G611"/>
      <c r="H611" s="2"/>
      <c r="I611" s="2"/>
      <c r="L611"/>
      <c r="R611"/>
      <c r="S611" s="5"/>
      <c r="U611" s="5"/>
    </row>
    <row r="612" spans="1:21">
      <c r="A612" s="3">
        <v>45694.550891203704</v>
      </c>
      <c r="B612" s="2" t="s">
        <v>26</v>
      </c>
      <c r="C612" s="2" t="s">
        <v>11</v>
      </c>
      <c r="D612" s="6" t="str">
        <f>CONCATENATE(YEAR(A612),"/",IF(MONTH(A612)&lt;10,CONCATENATE("0",MONTH(A612)),MONTH(A612)))</f>
        <v>2025/02</v>
      </c>
      <c r="E612" s="8">
        <f>IF(IF(D612&lt;&gt;D611,1,IF(OR(B612&lt;&gt;B611,A612-A611&gt;$U$1),1,""))&lt;&gt;1,"",IF(C612="B01",1965,IF(C612="B02",1020,IF(C612="B05",2400,IF(C612="B03",4260,IF(C612="B04",2880,IF(C612="B20",1260,0)))))))</f>
        <v>2400</v>
      </c>
      <c r="F612" s="8">
        <f>IF(IF(D612&lt;&gt;D611,1,IF(OR(B612&lt;&gt;B611,A612-A611&gt;$U$1),1,""))&lt;&gt;1,"",IF(C612="B01",1,IF(C612="B05",1,IF(C612="B03",1,IF(C612="B04",1,IF(C612="B20",1,IF(C612="B02",1,0)))))))</f>
        <v>1</v>
      </c>
      <c r="G612"/>
      <c r="H612" s="2"/>
      <c r="I612" s="2"/>
      <c r="L612"/>
      <c r="R612"/>
      <c r="S612" s="5"/>
      <c r="U612" s="5"/>
    </row>
    <row r="613" spans="1:21">
      <c r="A613" s="3">
        <v>45694.550891203704</v>
      </c>
      <c r="B613" s="2" t="s">
        <v>26</v>
      </c>
      <c r="C613" s="2" t="s">
        <v>11</v>
      </c>
      <c r="D613" s="6" t="str">
        <f>CONCATENATE(YEAR(A613),"/",IF(MONTH(A613)&lt;10,CONCATENATE("0",MONTH(A613)),MONTH(A613)))</f>
        <v>2025/02</v>
      </c>
      <c r="E613" s="8" t="str">
        <f>IF(IF(D613&lt;&gt;D612,1,IF(OR(B613&lt;&gt;B612,A613-A612&gt;$U$1),1,""))&lt;&gt;1,"",IF(C613="B01",1965,IF(C613="B02",1020,IF(C613="B05",2400,IF(C613="B03",4260,IF(C613="B04",2880,IF(C613="B20",1260,0)))))))</f>
        <v/>
      </c>
      <c r="F613" s="8" t="str">
        <f>IF(IF(D613&lt;&gt;D612,1,IF(OR(B613&lt;&gt;B612,A613-A612&gt;$U$1),1,""))&lt;&gt;1,"",IF(C613="B01",1,IF(C613="B05",1,IF(C613="B03",1,IF(C613="B04",1,IF(C613="B20",1,IF(C613="B02",1,0)))))))</f>
        <v/>
      </c>
      <c r="G613"/>
      <c r="H613" s="2"/>
      <c r="I613" s="2"/>
      <c r="L613"/>
      <c r="R613"/>
      <c r="S613" s="5"/>
      <c r="U613" s="5"/>
    </row>
    <row r="614" spans="1:21">
      <c r="A614" s="3">
        <v>45694.712395833332</v>
      </c>
      <c r="B614" s="2" t="s">
        <v>26</v>
      </c>
      <c r="C614" s="2" t="s">
        <v>11</v>
      </c>
      <c r="D614" s="6" t="str">
        <f>CONCATENATE(YEAR(A614),"/",IF(MONTH(A614)&lt;10,CONCATENATE("0",MONTH(A614)),MONTH(A614)))</f>
        <v>2025/02</v>
      </c>
      <c r="E614" s="8">
        <f>IF(IF(D614&lt;&gt;D613,1,IF(OR(B614&lt;&gt;B613,A614-A613&gt;$U$1),1,""))&lt;&gt;1,"",IF(C614="B01",1965,IF(C614="B02",1020,IF(C614="B05",2400,IF(C614="B03",4260,IF(C614="B04",2880,IF(C614="B20",1260,0)))))))</f>
        <v>2400</v>
      </c>
      <c r="F614" s="8">
        <f>IF(IF(D614&lt;&gt;D613,1,IF(OR(B614&lt;&gt;B613,A614-A613&gt;$U$1),1,""))&lt;&gt;1,"",IF(C614="B01",1,IF(C614="B05",1,IF(C614="B03",1,IF(C614="B04",1,IF(C614="B20",1,IF(C614="B02",1,0)))))))</f>
        <v>1</v>
      </c>
      <c r="G614"/>
      <c r="H614" s="2"/>
      <c r="I614" s="2"/>
      <c r="L614"/>
      <c r="R614"/>
      <c r="S614" s="5"/>
      <c r="U614" s="5"/>
    </row>
    <row r="615" spans="1:21">
      <c r="A615" s="3">
        <v>45694.712395833332</v>
      </c>
      <c r="B615" s="2" t="s">
        <v>26</v>
      </c>
      <c r="C615" s="2" t="s">
        <v>11</v>
      </c>
      <c r="D615" s="6" t="str">
        <f>CONCATENATE(YEAR(A615),"/",IF(MONTH(A615)&lt;10,CONCATENATE("0",MONTH(A615)),MONTH(A615)))</f>
        <v>2025/02</v>
      </c>
      <c r="E615" s="8" t="str">
        <f>IF(IF(D615&lt;&gt;D614,1,IF(OR(B615&lt;&gt;B614,A615-A614&gt;$U$1),1,""))&lt;&gt;1,"",IF(C615="B01",1965,IF(C615="B02",1020,IF(C615="B05",2400,IF(C615="B03",4260,IF(C615="B04",2880,IF(C615="B20",1260,0)))))))</f>
        <v/>
      </c>
      <c r="F615" s="8" t="str">
        <f>IF(IF(D615&lt;&gt;D614,1,IF(OR(B615&lt;&gt;B614,A615-A614&gt;$U$1),1,""))&lt;&gt;1,"",IF(C615="B01",1,IF(C615="B05",1,IF(C615="B03",1,IF(C615="B04",1,IF(C615="B20",1,IF(C615="B02",1,0)))))))</f>
        <v/>
      </c>
      <c r="G615"/>
      <c r="H615" s="2"/>
      <c r="I615" s="2"/>
      <c r="L615"/>
      <c r="R615"/>
      <c r="S615" s="5"/>
      <c r="U615" s="5"/>
    </row>
    <row r="616" spans="1:21">
      <c r="A616" s="3">
        <v>45694.919363425928</v>
      </c>
      <c r="B616" s="2" t="s">
        <v>26</v>
      </c>
      <c r="C616" s="2" t="s">
        <v>12</v>
      </c>
      <c r="D616" s="6" t="str">
        <f>CONCATENATE(YEAR(A616),"/",IF(MONTH(A616)&lt;10,CONCATENATE("0",MONTH(A616)),MONTH(A616)))</f>
        <v>2025/02</v>
      </c>
      <c r="E616" s="8">
        <f>IF(IF(D616&lt;&gt;D615,1,IF(OR(B616&lt;&gt;B615,A616-A615&gt;$U$1),1,""))&lt;&gt;1,"",IF(C616="B01",1965,IF(C616="B02",1020,IF(C616="B05",2400,IF(C616="B03",4260,IF(C616="B04",2880,IF(C616="B20",1260,0)))))))</f>
        <v>4260</v>
      </c>
      <c r="F616" s="8">
        <f>IF(IF(D616&lt;&gt;D615,1,IF(OR(B616&lt;&gt;B615,A616-A615&gt;$U$1),1,""))&lt;&gt;1,"",IF(C616="B01",1,IF(C616="B05",1,IF(C616="B03",1,IF(C616="B04",1,IF(C616="B20",1,IF(C616="B02",1,0)))))))</f>
        <v>1</v>
      </c>
      <c r="G616"/>
      <c r="H616" s="2"/>
      <c r="I616" s="2"/>
      <c r="L616"/>
      <c r="R616"/>
      <c r="S616" s="5"/>
      <c r="U616" s="5"/>
    </row>
    <row r="617" spans="1:21">
      <c r="A617" s="3">
        <v>45694.919363425928</v>
      </c>
      <c r="B617" s="2" t="s">
        <v>26</v>
      </c>
      <c r="C617" s="2" t="s">
        <v>12</v>
      </c>
      <c r="D617" s="6" t="str">
        <f>CONCATENATE(YEAR(A617),"/",IF(MONTH(A617)&lt;10,CONCATENATE("0",MONTH(A617)),MONTH(A617)))</f>
        <v>2025/02</v>
      </c>
      <c r="E617" s="8" t="str">
        <f>IF(IF(D617&lt;&gt;D616,1,IF(OR(B617&lt;&gt;B616,A617-A616&gt;$U$1),1,""))&lt;&gt;1,"",IF(C617="B01",1965,IF(C617="B02",1020,IF(C617="B05",2400,IF(C617="B03",4260,IF(C617="B04",2880,IF(C617="B20",1260,0)))))))</f>
        <v/>
      </c>
      <c r="F617" s="8" t="str">
        <f>IF(IF(D617&lt;&gt;D616,1,IF(OR(B617&lt;&gt;B616,A617-A616&gt;$U$1),1,""))&lt;&gt;1,"",IF(C617="B01",1,IF(C617="B05",1,IF(C617="B03",1,IF(C617="B04",1,IF(C617="B20",1,IF(C617="B02",1,0)))))))</f>
        <v/>
      </c>
      <c r="G617"/>
      <c r="H617" s="2"/>
      <c r="I617" s="2"/>
      <c r="L617"/>
      <c r="R617"/>
      <c r="S617" s="5"/>
      <c r="U617" s="5"/>
    </row>
    <row r="618" spans="1:21">
      <c r="A618" s="3">
        <v>45695.106006944443</v>
      </c>
      <c r="B618" s="2" t="s">
        <v>26</v>
      </c>
      <c r="C618" s="2" t="s">
        <v>11</v>
      </c>
      <c r="D618" s="6" t="str">
        <f>CONCATENATE(YEAR(A618),"/",IF(MONTH(A618)&lt;10,CONCATENATE("0",MONTH(A618)),MONTH(A618)))</f>
        <v>2025/02</v>
      </c>
      <c r="E618" s="8">
        <f>IF(IF(D618&lt;&gt;D617,1,IF(OR(B618&lt;&gt;B617,A618-A617&gt;$U$1),1,""))&lt;&gt;1,"",IF(C618="B01",1965,IF(C618="B02",1020,IF(C618="B05",2400,IF(C618="B03",4260,IF(C618="B04",2880,IF(C618="B20",1260,0)))))))</f>
        <v>2400</v>
      </c>
      <c r="F618" s="8">
        <f>IF(IF(D618&lt;&gt;D617,1,IF(OR(B618&lt;&gt;B617,A618-A617&gt;$U$1),1,""))&lt;&gt;1,"",IF(C618="B01",1,IF(C618="B05",1,IF(C618="B03",1,IF(C618="B04",1,IF(C618="B20",1,IF(C618="B02",1,0)))))))</f>
        <v>1</v>
      </c>
      <c r="G618"/>
      <c r="H618" s="2"/>
      <c r="I618" s="2"/>
      <c r="L618"/>
      <c r="R618"/>
      <c r="S618" s="5"/>
      <c r="U618" s="5"/>
    </row>
    <row r="619" spans="1:21">
      <c r="A619" s="3">
        <v>45695.106006944443</v>
      </c>
      <c r="B619" s="2" t="s">
        <v>26</v>
      </c>
      <c r="C619" s="2" t="s">
        <v>11</v>
      </c>
      <c r="D619" s="6" t="str">
        <f>CONCATENATE(YEAR(A619),"/",IF(MONTH(A619)&lt;10,CONCATENATE("0",MONTH(A619)),MONTH(A619)))</f>
        <v>2025/02</v>
      </c>
      <c r="E619" s="8" t="str">
        <f>IF(IF(D619&lt;&gt;D618,1,IF(OR(B619&lt;&gt;B618,A619-A618&gt;$U$1),1,""))&lt;&gt;1,"",IF(C619="B01",1965,IF(C619="B02",1020,IF(C619="B05",2400,IF(C619="B03",4260,IF(C619="B04",2880,IF(C619="B20",1260,0)))))))</f>
        <v/>
      </c>
      <c r="F619" s="8" t="str">
        <f>IF(IF(D619&lt;&gt;D618,1,IF(OR(B619&lt;&gt;B618,A619-A618&gt;$U$1),1,""))&lt;&gt;1,"",IF(C619="B01",1,IF(C619="B05",1,IF(C619="B03",1,IF(C619="B04",1,IF(C619="B20",1,IF(C619="B02",1,0)))))))</f>
        <v/>
      </c>
      <c r="G619"/>
      <c r="H619" s="2"/>
      <c r="I619" s="2"/>
      <c r="L619"/>
      <c r="R619"/>
      <c r="S619" s="5"/>
      <c r="U619" s="5"/>
    </row>
    <row r="620" spans="1:21">
      <c r="A620" s="3">
        <v>45695.106006944443</v>
      </c>
      <c r="B620" s="2" t="s">
        <v>26</v>
      </c>
      <c r="C620" s="2" t="s">
        <v>11</v>
      </c>
      <c r="D620" s="6" t="str">
        <f>CONCATENATE(YEAR(A620),"/",IF(MONTH(A620)&lt;10,CONCATENATE("0",MONTH(A620)),MONTH(A620)))</f>
        <v>2025/02</v>
      </c>
      <c r="E620" s="8" t="str">
        <f>IF(IF(D620&lt;&gt;D619,1,IF(OR(B620&lt;&gt;B619,A620-A619&gt;$U$1),1,""))&lt;&gt;1,"",IF(C620="B01",1965,IF(C620="B02",1020,IF(C620="B05",2400,IF(C620="B03",4260,IF(C620="B04",2880,IF(C620="B20",1260,0)))))))</f>
        <v/>
      </c>
      <c r="F620" s="8" t="str">
        <f>IF(IF(D620&lt;&gt;D619,1,IF(OR(B620&lt;&gt;B619,A620-A619&gt;$U$1),1,""))&lt;&gt;1,"",IF(C620="B01",1,IF(C620="B05",1,IF(C620="B03",1,IF(C620="B04",1,IF(C620="B20",1,IF(C620="B02",1,0)))))))</f>
        <v/>
      </c>
      <c r="G620"/>
      <c r="H620" s="2"/>
      <c r="I620" s="2"/>
      <c r="L620"/>
      <c r="R620"/>
      <c r="S620" s="5"/>
      <c r="U620" s="5"/>
    </row>
    <row r="621" spans="1:21">
      <c r="A621" s="3">
        <v>45695.224548611113</v>
      </c>
      <c r="B621" s="2" t="s">
        <v>26</v>
      </c>
      <c r="C621" s="2" t="s">
        <v>11</v>
      </c>
      <c r="D621" s="6" t="str">
        <f>CONCATENATE(YEAR(A621),"/",IF(MONTH(A621)&lt;10,CONCATENATE("0",MONTH(A621)),MONTH(A621)))</f>
        <v>2025/02</v>
      </c>
      <c r="E621" s="8">
        <f>IF(IF(D621&lt;&gt;D620,1,IF(OR(B621&lt;&gt;B620,A621-A620&gt;$U$1),1,""))&lt;&gt;1,"",IF(C621="B01",1965,IF(C621="B02",1020,IF(C621="B05",2400,IF(C621="B03",4260,IF(C621="B04",2880,IF(C621="B20",1260,0)))))))</f>
        <v>2400</v>
      </c>
      <c r="F621" s="8">
        <f>IF(IF(D621&lt;&gt;D620,1,IF(OR(B621&lt;&gt;B620,A621-A620&gt;$U$1),1,""))&lt;&gt;1,"",IF(C621="B01",1,IF(C621="B05",1,IF(C621="B03",1,IF(C621="B04",1,IF(C621="B20",1,IF(C621="B02",1,0)))))))</f>
        <v>1</v>
      </c>
      <c r="G621"/>
      <c r="H621" s="2"/>
      <c r="I621" s="2"/>
      <c r="L621"/>
      <c r="R621"/>
      <c r="S621" s="5"/>
      <c r="U621" s="5"/>
    </row>
    <row r="622" spans="1:21">
      <c r="A622" s="3">
        <v>45695.224548611113</v>
      </c>
      <c r="B622" s="2" t="s">
        <v>26</v>
      </c>
      <c r="C622" s="2" t="s">
        <v>11</v>
      </c>
      <c r="D622" s="6" t="str">
        <f>CONCATENATE(YEAR(A622),"/",IF(MONTH(A622)&lt;10,CONCATENATE("0",MONTH(A622)),MONTH(A622)))</f>
        <v>2025/02</v>
      </c>
      <c r="E622" s="8" t="str">
        <f>IF(IF(D622&lt;&gt;D621,1,IF(OR(B622&lt;&gt;B621,A622-A621&gt;$U$1),1,""))&lt;&gt;1,"",IF(C622="B01",1965,IF(C622="B02",1020,IF(C622="B05",2400,IF(C622="B03",4260,IF(C622="B04",2880,IF(C622="B20",1260,0)))))))</f>
        <v/>
      </c>
      <c r="F622" s="8" t="str">
        <f>IF(IF(D622&lt;&gt;D621,1,IF(OR(B622&lt;&gt;B621,A622-A621&gt;$U$1),1,""))&lt;&gt;1,"",IF(C622="B01",1,IF(C622="B05",1,IF(C622="B03",1,IF(C622="B04",1,IF(C622="B20",1,IF(C622="B02",1,0)))))))</f>
        <v/>
      </c>
      <c r="G622"/>
      <c r="H622" s="2"/>
      <c r="I622" s="2"/>
      <c r="L622"/>
      <c r="R622"/>
      <c r="S622" s="5"/>
      <c r="U622" s="5"/>
    </row>
    <row r="623" spans="1:21">
      <c r="A623" s="3">
        <v>45695.340509259258</v>
      </c>
      <c r="B623" s="2" t="s">
        <v>26</v>
      </c>
      <c r="C623" s="2" t="s">
        <v>11</v>
      </c>
      <c r="D623" s="6" t="str">
        <f>CONCATENATE(YEAR(A623),"/",IF(MONTH(A623)&lt;10,CONCATENATE("0",MONTH(A623)),MONTH(A623)))</f>
        <v>2025/02</v>
      </c>
      <c r="E623" s="8">
        <f>IF(IF(D623&lt;&gt;D622,1,IF(OR(B623&lt;&gt;B622,A623-A622&gt;$U$1),1,""))&lt;&gt;1,"",IF(C623="B01",1965,IF(C623="B02",1020,IF(C623="B05",2400,IF(C623="B03",4260,IF(C623="B04",2880,IF(C623="B20",1260,0)))))))</f>
        <v>2400</v>
      </c>
      <c r="F623" s="8">
        <f>IF(IF(D623&lt;&gt;D622,1,IF(OR(B623&lt;&gt;B622,A623-A622&gt;$U$1),1,""))&lt;&gt;1,"",IF(C623="B01",1,IF(C623="B05",1,IF(C623="B03",1,IF(C623="B04",1,IF(C623="B20",1,IF(C623="B02",1,0)))))))</f>
        <v>1</v>
      </c>
      <c r="G623"/>
      <c r="H623" s="2"/>
      <c r="I623" s="2"/>
      <c r="L623"/>
      <c r="R623"/>
      <c r="S623" s="5"/>
      <c r="U623" s="5"/>
    </row>
    <row r="624" spans="1:21">
      <c r="A624" s="3">
        <v>45695.340509259258</v>
      </c>
      <c r="B624" s="2" t="s">
        <v>26</v>
      </c>
      <c r="C624" s="2" t="s">
        <v>11</v>
      </c>
      <c r="D624" s="6" t="str">
        <f>CONCATENATE(YEAR(A624),"/",IF(MONTH(A624)&lt;10,CONCATENATE("0",MONTH(A624)),MONTH(A624)))</f>
        <v>2025/02</v>
      </c>
      <c r="E624" s="8" t="str">
        <f>IF(IF(D624&lt;&gt;D623,1,IF(OR(B624&lt;&gt;B623,A624-A623&gt;$U$1),1,""))&lt;&gt;1,"",IF(C624="B01",1965,IF(C624="B02",1020,IF(C624="B05",2400,IF(C624="B03",4260,IF(C624="B04",2880,IF(C624="B20",1260,0)))))))</f>
        <v/>
      </c>
      <c r="F624" s="8" t="str">
        <f>IF(IF(D624&lt;&gt;D623,1,IF(OR(B624&lt;&gt;B623,A624-A623&gt;$U$1),1,""))&lt;&gt;1,"",IF(C624="B01",1,IF(C624="B05",1,IF(C624="B03",1,IF(C624="B04",1,IF(C624="B20",1,IF(C624="B02",1,0)))))))</f>
        <v/>
      </c>
      <c r="G624"/>
      <c r="H624" s="2"/>
      <c r="I624" s="2"/>
      <c r="L624"/>
      <c r="R624"/>
      <c r="S624" s="5"/>
      <c r="U624" s="5"/>
    </row>
    <row r="625" spans="1:21">
      <c r="A625" s="3">
        <v>45695.340509259258</v>
      </c>
      <c r="B625" s="2" t="s">
        <v>26</v>
      </c>
      <c r="C625" s="2" t="s">
        <v>11</v>
      </c>
      <c r="D625" s="6" t="str">
        <f>CONCATENATE(YEAR(A625),"/",IF(MONTH(A625)&lt;10,CONCATENATE("0",MONTH(A625)),MONTH(A625)))</f>
        <v>2025/02</v>
      </c>
      <c r="E625" s="8" t="str">
        <f>IF(IF(D625&lt;&gt;D624,1,IF(OR(B625&lt;&gt;B624,A625-A624&gt;$U$1),1,""))&lt;&gt;1,"",IF(C625="B01",1965,IF(C625="B02",1020,IF(C625="B05",2400,IF(C625="B03",4260,IF(C625="B04",2880,IF(C625="B20",1260,0)))))))</f>
        <v/>
      </c>
      <c r="F625" s="8" t="str">
        <f>IF(IF(D625&lt;&gt;D624,1,IF(OR(B625&lt;&gt;B624,A625-A624&gt;$U$1),1,""))&lt;&gt;1,"",IF(C625="B01",1,IF(C625="B05",1,IF(C625="B03",1,IF(C625="B04",1,IF(C625="B20",1,IF(C625="B02",1,0)))))))</f>
        <v/>
      </c>
      <c r="G625"/>
      <c r="H625" s="2"/>
      <c r="I625" s="2"/>
      <c r="L625"/>
      <c r="R625"/>
      <c r="S625" s="5"/>
      <c r="U625" s="5"/>
    </row>
    <row r="626" spans="1:21">
      <c r="A626" s="3">
        <v>45695.508356481485</v>
      </c>
      <c r="B626" s="2" t="s">
        <v>26</v>
      </c>
      <c r="C626" s="2" t="s">
        <v>11</v>
      </c>
      <c r="D626" s="6" t="str">
        <f>CONCATENATE(YEAR(A626),"/",IF(MONTH(A626)&lt;10,CONCATENATE("0",MONTH(A626)),MONTH(A626)))</f>
        <v>2025/02</v>
      </c>
      <c r="E626" s="8">
        <f>IF(IF(D626&lt;&gt;D625,1,IF(OR(B626&lt;&gt;B625,A626-A625&gt;$U$1),1,""))&lt;&gt;1,"",IF(C626="B01",1965,IF(C626="B02",1020,IF(C626="B05",2400,IF(C626="B03",4260,IF(C626="B04",2880,IF(C626="B20",1260,0)))))))</f>
        <v>2400</v>
      </c>
      <c r="F626" s="8">
        <f>IF(IF(D626&lt;&gt;D625,1,IF(OR(B626&lt;&gt;B625,A626-A625&gt;$U$1),1,""))&lt;&gt;1,"",IF(C626="B01",1,IF(C626="B05",1,IF(C626="B03",1,IF(C626="B04",1,IF(C626="B20",1,IF(C626="B02",1,0)))))))</f>
        <v>1</v>
      </c>
      <c r="G626"/>
      <c r="H626" s="2"/>
      <c r="I626" s="2"/>
      <c r="L626"/>
      <c r="R626"/>
      <c r="S626" s="5"/>
      <c r="U626" s="5"/>
    </row>
    <row r="627" spans="1:21">
      <c r="A627" s="3">
        <v>45695.508356481485</v>
      </c>
      <c r="B627" s="2" t="s">
        <v>26</v>
      </c>
      <c r="C627" s="2" t="s">
        <v>11</v>
      </c>
      <c r="D627" s="6" t="str">
        <f>CONCATENATE(YEAR(A627),"/",IF(MONTH(A627)&lt;10,CONCATENATE("0",MONTH(A627)),MONTH(A627)))</f>
        <v>2025/02</v>
      </c>
      <c r="E627" s="8" t="str">
        <f>IF(IF(D627&lt;&gt;D626,1,IF(OR(B627&lt;&gt;B626,A627-A626&gt;$U$1),1,""))&lt;&gt;1,"",IF(C627="B01",1965,IF(C627="B02",1020,IF(C627="B05",2400,IF(C627="B03",4260,IF(C627="B04",2880,IF(C627="B20",1260,0)))))))</f>
        <v/>
      </c>
      <c r="F627" s="8" t="str">
        <f>IF(IF(D627&lt;&gt;D626,1,IF(OR(B627&lt;&gt;B626,A627-A626&gt;$U$1),1,""))&lt;&gt;1,"",IF(C627="B01",1,IF(C627="B05",1,IF(C627="B03",1,IF(C627="B04",1,IF(C627="B20",1,IF(C627="B02",1,0)))))))</f>
        <v/>
      </c>
      <c r="G627"/>
      <c r="H627" s="2"/>
      <c r="I627" s="2"/>
      <c r="L627"/>
      <c r="R627"/>
      <c r="S627" s="5"/>
      <c r="U627" s="5"/>
    </row>
    <row r="628" spans="1:21">
      <c r="A628" s="3">
        <v>45695.508356481485</v>
      </c>
      <c r="B628" s="2" t="s">
        <v>26</v>
      </c>
      <c r="C628" s="2" t="s">
        <v>11</v>
      </c>
      <c r="D628" s="6" t="str">
        <f>CONCATENATE(YEAR(A628),"/",IF(MONTH(A628)&lt;10,CONCATENATE("0",MONTH(A628)),MONTH(A628)))</f>
        <v>2025/02</v>
      </c>
      <c r="E628" s="8" t="str">
        <f>IF(IF(D628&lt;&gt;D627,1,IF(OR(B628&lt;&gt;B627,A628-A627&gt;$U$1),1,""))&lt;&gt;1,"",IF(C628="B01",1965,IF(C628="B02",1020,IF(C628="B05",2400,IF(C628="B03",4260,IF(C628="B04",2880,IF(C628="B20",1260,0)))))))</f>
        <v/>
      </c>
      <c r="F628" s="8" t="str">
        <f>IF(IF(D628&lt;&gt;D627,1,IF(OR(B628&lt;&gt;B627,A628-A627&gt;$U$1),1,""))&lt;&gt;1,"",IF(C628="B01",1,IF(C628="B05",1,IF(C628="B03",1,IF(C628="B04",1,IF(C628="B20",1,IF(C628="B02",1,0)))))))</f>
        <v/>
      </c>
      <c r="G628"/>
      <c r="H628" s="2"/>
      <c r="I628" s="2"/>
      <c r="L628"/>
      <c r="R628"/>
      <c r="S628" s="5"/>
      <c r="U628" s="5"/>
    </row>
    <row r="629" spans="1:21">
      <c r="A629" s="3">
        <v>45695.703113425923</v>
      </c>
      <c r="B629" s="2" t="s">
        <v>26</v>
      </c>
      <c r="C629" s="2" t="s">
        <v>11</v>
      </c>
      <c r="D629" s="6" t="str">
        <f>CONCATENATE(YEAR(A629),"/",IF(MONTH(A629)&lt;10,CONCATENATE("0",MONTH(A629)),MONTH(A629)))</f>
        <v>2025/02</v>
      </c>
      <c r="E629" s="8">
        <f>IF(IF(D629&lt;&gt;D628,1,IF(OR(B629&lt;&gt;B628,A629-A628&gt;$U$1),1,""))&lt;&gt;1,"",IF(C629="B01",1965,IF(C629="B02",1020,IF(C629="B05",2400,IF(C629="B03",4260,IF(C629="B04",2880,IF(C629="B20",1260,0)))))))</f>
        <v>2400</v>
      </c>
      <c r="F629" s="8">
        <f>IF(IF(D629&lt;&gt;D628,1,IF(OR(B629&lt;&gt;B628,A629-A628&gt;$U$1),1,""))&lt;&gt;1,"",IF(C629="B01",1,IF(C629="B05",1,IF(C629="B03",1,IF(C629="B04",1,IF(C629="B20",1,IF(C629="B02",1,0)))))))</f>
        <v>1</v>
      </c>
      <c r="G629"/>
      <c r="H629" s="2"/>
      <c r="I629" s="2"/>
      <c r="L629"/>
      <c r="R629"/>
      <c r="S629" s="5"/>
      <c r="U629" s="5"/>
    </row>
    <row r="630" spans="1:21">
      <c r="A630" s="3">
        <v>45695.703113425923</v>
      </c>
      <c r="B630" s="2" t="s">
        <v>26</v>
      </c>
      <c r="C630" s="2" t="s">
        <v>11</v>
      </c>
      <c r="D630" s="6" t="str">
        <f>CONCATENATE(YEAR(A630),"/",IF(MONTH(A630)&lt;10,CONCATENATE("0",MONTH(A630)),MONTH(A630)))</f>
        <v>2025/02</v>
      </c>
      <c r="E630" s="8" t="str">
        <f>IF(IF(D630&lt;&gt;D629,1,IF(OR(B630&lt;&gt;B629,A630-A629&gt;$U$1),1,""))&lt;&gt;1,"",IF(C630="B01",1965,IF(C630="B02",1020,IF(C630="B05",2400,IF(C630="B03",4260,IF(C630="B04",2880,IF(C630="B20",1260,0)))))))</f>
        <v/>
      </c>
      <c r="F630" s="8" t="str">
        <f>IF(IF(D630&lt;&gt;D629,1,IF(OR(B630&lt;&gt;B629,A630-A629&gt;$U$1),1,""))&lt;&gt;1,"",IF(C630="B01",1,IF(C630="B05",1,IF(C630="B03",1,IF(C630="B04",1,IF(C630="B20",1,IF(C630="B02",1,0)))))))</f>
        <v/>
      </c>
      <c r="G630"/>
      <c r="H630" s="2"/>
      <c r="I630" s="2"/>
      <c r="L630"/>
      <c r="R630"/>
      <c r="S630" s="5"/>
      <c r="U630" s="5"/>
    </row>
    <row r="631" spans="1:21">
      <c r="A631" s="3">
        <v>45695.703113425923</v>
      </c>
      <c r="B631" s="2" t="s">
        <v>26</v>
      </c>
      <c r="C631" s="2" t="s">
        <v>11</v>
      </c>
      <c r="D631" s="6" t="str">
        <f>CONCATENATE(YEAR(A631),"/",IF(MONTH(A631)&lt;10,CONCATENATE("0",MONTH(A631)),MONTH(A631)))</f>
        <v>2025/02</v>
      </c>
      <c r="E631" s="8" t="str">
        <f>IF(IF(D631&lt;&gt;D630,1,IF(OR(B631&lt;&gt;B630,A631-A630&gt;$U$1),1,""))&lt;&gt;1,"",IF(C631="B01",1965,IF(C631="B02",1020,IF(C631="B05",2400,IF(C631="B03",4260,IF(C631="B04",2880,IF(C631="B20",1260,0)))))))</f>
        <v/>
      </c>
      <c r="F631" s="8" t="str">
        <f>IF(IF(D631&lt;&gt;D630,1,IF(OR(B631&lt;&gt;B630,A631-A630&gt;$U$1),1,""))&lt;&gt;1,"",IF(C631="B01",1,IF(C631="B05",1,IF(C631="B03",1,IF(C631="B04",1,IF(C631="B20",1,IF(C631="B02",1,0)))))))</f>
        <v/>
      </c>
      <c r="G631"/>
      <c r="H631" s="2"/>
      <c r="I631" s="2"/>
      <c r="L631"/>
      <c r="R631"/>
      <c r="S631" s="5"/>
      <c r="U631" s="5"/>
    </row>
    <row r="632" spans="1:21">
      <c r="A632" s="3">
        <v>45695.915069444447</v>
      </c>
      <c r="B632" s="2" t="s">
        <v>26</v>
      </c>
      <c r="C632" s="2" t="s">
        <v>11</v>
      </c>
      <c r="D632" s="6" t="str">
        <f>CONCATENATE(YEAR(A632),"/",IF(MONTH(A632)&lt;10,CONCATENATE("0",MONTH(A632)),MONTH(A632)))</f>
        <v>2025/02</v>
      </c>
      <c r="E632" s="8">
        <f>IF(IF(D632&lt;&gt;D631,1,IF(OR(B632&lt;&gt;B631,A632-A631&gt;$U$1),1,""))&lt;&gt;1,"",IF(C632="B01",1965,IF(C632="B02",1020,IF(C632="B05",2400,IF(C632="B03",4260,IF(C632="B04",2880,IF(C632="B20",1260,0)))))))</f>
        <v>2400</v>
      </c>
      <c r="F632" s="8">
        <f>IF(IF(D632&lt;&gt;D631,1,IF(OR(B632&lt;&gt;B631,A632-A631&gt;$U$1),1,""))&lt;&gt;1,"",IF(C632="B01",1,IF(C632="B05",1,IF(C632="B03",1,IF(C632="B04",1,IF(C632="B20",1,IF(C632="B02",1,0)))))))</f>
        <v>1</v>
      </c>
      <c r="G632"/>
      <c r="H632" s="2"/>
      <c r="I632" s="2"/>
      <c r="L632"/>
      <c r="R632"/>
      <c r="S632" s="5"/>
      <c r="U632" s="5"/>
    </row>
    <row r="633" spans="1:21">
      <c r="A633" s="3">
        <v>45695.915069444447</v>
      </c>
      <c r="B633" s="2" t="s">
        <v>26</v>
      </c>
      <c r="C633" s="2" t="s">
        <v>11</v>
      </c>
      <c r="D633" s="6" t="str">
        <f>CONCATENATE(YEAR(A633),"/",IF(MONTH(A633)&lt;10,CONCATENATE("0",MONTH(A633)),MONTH(A633)))</f>
        <v>2025/02</v>
      </c>
      <c r="E633" s="8" t="str">
        <f>IF(IF(D633&lt;&gt;D632,1,IF(OR(B633&lt;&gt;B632,A633-A632&gt;$U$1),1,""))&lt;&gt;1,"",IF(C633="B01",1965,IF(C633="B02",1020,IF(C633="B05",2400,IF(C633="B03",4260,IF(C633="B04",2880,IF(C633="B20",1260,0)))))))</f>
        <v/>
      </c>
      <c r="F633" s="8" t="str">
        <f>IF(IF(D633&lt;&gt;D632,1,IF(OR(B633&lt;&gt;B632,A633-A632&gt;$U$1),1,""))&lt;&gt;1,"",IF(C633="B01",1,IF(C633="B05",1,IF(C633="B03",1,IF(C633="B04",1,IF(C633="B20",1,IF(C633="B02",1,0)))))))</f>
        <v/>
      </c>
      <c r="G633"/>
      <c r="H633" s="2"/>
      <c r="I633" s="2"/>
      <c r="L633"/>
      <c r="R633"/>
      <c r="S633" s="5"/>
      <c r="U633" s="5"/>
    </row>
    <row r="634" spans="1:21">
      <c r="A634" s="3">
        <v>45695.915069444447</v>
      </c>
      <c r="B634" s="2" t="s">
        <v>26</v>
      </c>
      <c r="C634" s="2" t="s">
        <v>11</v>
      </c>
      <c r="D634" s="6" t="str">
        <f>CONCATENATE(YEAR(A634),"/",IF(MONTH(A634)&lt;10,CONCATENATE("0",MONTH(A634)),MONTH(A634)))</f>
        <v>2025/02</v>
      </c>
      <c r="E634" s="8" t="str">
        <f>IF(IF(D634&lt;&gt;D633,1,IF(OR(B634&lt;&gt;B633,A634-A633&gt;$U$1),1,""))&lt;&gt;1,"",IF(C634="B01",1965,IF(C634="B02",1020,IF(C634="B05",2400,IF(C634="B03",4260,IF(C634="B04",2880,IF(C634="B20",1260,0)))))))</f>
        <v/>
      </c>
      <c r="F634" s="8" t="str">
        <f>IF(IF(D634&lt;&gt;D633,1,IF(OR(B634&lt;&gt;B633,A634-A633&gt;$U$1),1,""))&lt;&gt;1,"",IF(C634="B01",1,IF(C634="B05",1,IF(C634="B03",1,IF(C634="B04",1,IF(C634="B20",1,IF(C634="B02",1,0)))))))</f>
        <v/>
      </c>
      <c r="G634"/>
      <c r="H634" s="2"/>
      <c r="I634" s="2"/>
      <c r="L634"/>
      <c r="R634"/>
      <c r="S634" s="5"/>
      <c r="U634" s="5"/>
    </row>
    <row r="635" spans="1:21">
      <c r="A635" s="3">
        <v>45695.915069444447</v>
      </c>
      <c r="B635" s="2" t="s">
        <v>26</v>
      </c>
      <c r="C635" s="2" t="s">
        <v>11</v>
      </c>
      <c r="D635" s="6" t="str">
        <f>CONCATENATE(YEAR(A635),"/",IF(MONTH(A635)&lt;10,CONCATENATE("0",MONTH(A635)),MONTH(A635)))</f>
        <v>2025/02</v>
      </c>
      <c r="E635" s="8" t="str">
        <f>IF(IF(D635&lt;&gt;D634,1,IF(OR(B635&lt;&gt;B634,A635-A634&gt;$U$1),1,""))&lt;&gt;1,"",IF(C635="B01",1965,IF(C635="B02",1020,IF(C635="B05",2400,IF(C635="B03",4260,IF(C635="B04",2880,IF(C635="B20",1260,0)))))))</f>
        <v/>
      </c>
      <c r="F635" s="8" t="str">
        <f>IF(IF(D635&lt;&gt;D634,1,IF(OR(B635&lt;&gt;B634,A635-A634&gt;$U$1),1,""))&lt;&gt;1,"",IF(C635="B01",1,IF(C635="B05",1,IF(C635="B03",1,IF(C635="B04",1,IF(C635="B20",1,IF(C635="B02",1,0)))))))</f>
        <v/>
      </c>
      <c r="G635"/>
      <c r="H635" s="2"/>
      <c r="I635" s="2"/>
      <c r="L635"/>
      <c r="R635"/>
      <c r="S635" s="5"/>
      <c r="U635" s="5"/>
    </row>
    <row r="636" spans="1:21">
      <c r="A636" s="3">
        <v>45696.062604166669</v>
      </c>
      <c r="B636" s="2" t="s">
        <v>26</v>
      </c>
      <c r="C636" s="2" t="s">
        <v>11</v>
      </c>
      <c r="D636" s="6" t="str">
        <f>CONCATENATE(YEAR(A636),"/",IF(MONTH(A636)&lt;10,CONCATENATE("0",MONTH(A636)),MONTH(A636)))</f>
        <v>2025/02</v>
      </c>
      <c r="E636" s="8">
        <f>IF(IF(D636&lt;&gt;D635,1,IF(OR(B636&lt;&gt;B635,A636-A635&gt;$U$1),1,""))&lt;&gt;1,"",IF(C636="B01",1965,IF(C636="B02",1020,IF(C636="B05",2400,IF(C636="B03",4260,IF(C636="B04",2880,IF(C636="B20",1260,0)))))))</f>
        <v>2400</v>
      </c>
      <c r="F636" s="8">
        <f>IF(IF(D636&lt;&gt;D635,1,IF(OR(B636&lt;&gt;B635,A636-A635&gt;$U$1),1,""))&lt;&gt;1,"",IF(C636="B01",1,IF(C636="B05",1,IF(C636="B03",1,IF(C636="B04",1,IF(C636="B20",1,IF(C636="B02",1,0)))))))</f>
        <v>1</v>
      </c>
      <c r="G636"/>
      <c r="H636" s="2"/>
      <c r="I636" s="2"/>
      <c r="L636"/>
      <c r="R636"/>
      <c r="S636" s="5"/>
      <c r="U636" s="5"/>
    </row>
    <row r="637" spans="1:21">
      <c r="A637" s="3">
        <v>45696.062604166669</v>
      </c>
      <c r="B637" s="2" t="s">
        <v>26</v>
      </c>
      <c r="C637" s="2" t="s">
        <v>11</v>
      </c>
      <c r="D637" s="6" t="str">
        <f>CONCATENATE(YEAR(A637),"/",IF(MONTH(A637)&lt;10,CONCATENATE("0",MONTH(A637)),MONTH(A637)))</f>
        <v>2025/02</v>
      </c>
      <c r="E637" s="8" t="str">
        <f>IF(IF(D637&lt;&gt;D636,1,IF(OR(B637&lt;&gt;B636,A637-A636&gt;$U$1),1,""))&lt;&gt;1,"",IF(C637="B01",1965,IF(C637="B02",1020,IF(C637="B05",2400,IF(C637="B03",4260,IF(C637="B04",2880,IF(C637="B20",1260,0)))))))</f>
        <v/>
      </c>
      <c r="F637" s="8" t="str">
        <f>IF(IF(D637&lt;&gt;D636,1,IF(OR(B637&lt;&gt;B636,A637-A636&gt;$U$1),1,""))&lt;&gt;1,"",IF(C637="B01",1,IF(C637="B05",1,IF(C637="B03",1,IF(C637="B04",1,IF(C637="B20",1,IF(C637="B02",1,0)))))))</f>
        <v/>
      </c>
      <c r="G637"/>
      <c r="H637" s="2"/>
      <c r="I637" s="2"/>
      <c r="L637"/>
      <c r="R637"/>
      <c r="S637" s="5"/>
      <c r="U637" s="5"/>
    </row>
    <row r="638" spans="1:21">
      <c r="A638" s="3">
        <v>45696.062604166669</v>
      </c>
      <c r="B638" s="2" t="s">
        <v>26</v>
      </c>
      <c r="C638" s="2" t="s">
        <v>11</v>
      </c>
      <c r="D638" s="6" t="str">
        <f>CONCATENATE(YEAR(A638),"/",IF(MONTH(A638)&lt;10,CONCATENATE("0",MONTH(A638)),MONTH(A638)))</f>
        <v>2025/02</v>
      </c>
      <c r="E638" s="8" t="str">
        <f>IF(IF(D638&lt;&gt;D637,1,IF(OR(B638&lt;&gt;B637,A638-A637&gt;$U$1),1,""))&lt;&gt;1,"",IF(C638="B01",1965,IF(C638="B02",1020,IF(C638="B05",2400,IF(C638="B03",4260,IF(C638="B04",2880,IF(C638="B20",1260,0)))))))</f>
        <v/>
      </c>
      <c r="F638" s="8" t="str">
        <f>IF(IF(D638&lt;&gt;D637,1,IF(OR(B638&lt;&gt;B637,A638-A637&gt;$U$1),1,""))&lt;&gt;1,"",IF(C638="B01",1,IF(C638="B05",1,IF(C638="B03",1,IF(C638="B04",1,IF(C638="B20",1,IF(C638="B02",1,0)))))))</f>
        <v/>
      </c>
      <c r="G638"/>
      <c r="H638" s="2"/>
      <c r="I638" s="2"/>
      <c r="L638"/>
      <c r="R638"/>
      <c r="S638" s="5"/>
      <c r="U638" s="5"/>
    </row>
    <row r="639" spans="1:21">
      <c r="A639" s="3">
        <v>45696.213379629633</v>
      </c>
      <c r="B639" s="2" t="s">
        <v>26</v>
      </c>
      <c r="C639" s="2" t="s">
        <v>11</v>
      </c>
      <c r="D639" s="6" t="str">
        <f>CONCATENATE(YEAR(A639),"/",IF(MONTH(A639)&lt;10,CONCATENATE("0",MONTH(A639)),MONTH(A639)))</f>
        <v>2025/02</v>
      </c>
      <c r="E639" s="8">
        <f>IF(IF(D639&lt;&gt;D638,1,IF(OR(B639&lt;&gt;B638,A639-A638&gt;$U$1),1,""))&lt;&gt;1,"",IF(C639="B01",1965,IF(C639="B02",1020,IF(C639="B05",2400,IF(C639="B03",4260,IF(C639="B04",2880,IF(C639="B20",1260,0)))))))</f>
        <v>2400</v>
      </c>
      <c r="F639" s="8">
        <f>IF(IF(D639&lt;&gt;D638,1,IF(OR(B639&lt;&gt;B638,A639-A638&gt;$U$1),1,""))&lt;&gt;1,"",IF(C639="B01",1,IF(C639="B05",1,IF(C639="B03",1,IF(C639="B04",1,IF(C639="B20",1,IF(C639="B02",1,0)))))))</f>
        <v>1</v>
      </c>
      <c r="G639"/>
      <c r="H639" s="2"/>
      <c r="I639" s="2"/>
      <c r="L639"/>
      <c r="R639"/>
      <c r="S639" s="5"/>
      <c r="U639" s="5"/>
    </row>
    <row r="640" spans="1:21">
      <c r="A640" s="3">
        <v>45696.213379629633</v>
      </c>
      <c r="B640" s="2" t="s">
        <v>26</v>
      </c>
      <c r="C640" s="2" t="s">
        <v>11</v>
      </c>
      <c r="D640" s="6" t="str">
        <f>CONCATENATE(YEAR(A640),"/",IF(MONTH(A640)&lt;10,CONCATENATE("0",MONTH(A640)),MONTH(A640)))</f>
        <v>2025/02</v>
      </c>
      <c r="E640" s="8" t="str">
        <f>IF(IF(D640&lt;&gt;D639,1,IF(OR(B640&lt;&gt;B639,A640-A639&gt;$U$1),1,""))&lt;&gt;1,"",IF(C640="B01",1965,IF(C640="B02",1020,IF(C640="B05",2400,IF(C640="B03",4260,IF(C640="B04",2880,IF(C640="B20",1260,0)))))))</f>
        <v/>
      </c>
      <c r="F640" s="8" t="str">
        <f>IF(IF(D640&lt;&gt;D639,1,IF(OR(B640&lt;&gt;B639,A640-A639&gt;$U$1),1,""))&lt;&gt;1,"",IF(C640="B01",1,IF(C640="B05",1,IF(C640="B03",1,IF(C640="B04",1,IF(C640="B20",1,IF(C640="B02",1,0)))))))</f>
        <v/>
      </c>
      <c r="G640"/>
      <c r="H640" s="2"/>
      <c r="I640" s="2"/>
      <c r="L640"/>
      <c r="R640"/>
      <c r="S640" s="5"/>
      <c r="U640" s="5"/>
    </row>
    <row r="641" spans="1:21">
      <c r="A641" s="3">
        <v>45696.744201388887</v>
      </c>
      <c r="B641" s="2" t="s">
        <v>26</v>
      </c>
      <c r="C641" s="2" t="s">
        <v>11</v>
      </c>
      <c r="D641" s="6" t="str">
        <f>CONCATENATE(YEAR(A641),"/",IF(MONTH(A641)&lt;10,CONCATENATE("0",MONTH(A641)),MONTH(A641)))</f>
        <v>2025/02</v>
      </c>
      <c r="E641" s="8">
        <f>IF(IF(D641&lt;&gt;D640,1,IF(OR(B641&lt;&gt;B640,A641-A640&gt;$U$1),1,""))&lt;&gt;1,"",IF(C641="B01",1965,IF(C641="B02",1020,IF(C641="B05",2400,IF(C641="B03",4260,IF(C641="B04",2880,IF(C641="B20",1260,0)))))))</f>
        <v>2400</v>
      </c>
      <c r="F641" s="8">
        <f>IF(IF(D641&lt;&gt;D640,1,IF(OR(B641&lt;&gt;B640,A641-A640&gt;$U$1),1,""))&lt;&gt;1,"",IF(C641="B01",1,IF(C641="B05",1,IF(C641="B03",1,IF(C641="B04",1,IF(C641="B20",1,IF(C641="B02",1,0)))))))</f>
        <v>1</v>
      </c>
      <c r="G641"/>
      <c r="H641" s="2"/>
      <c r="I641" s="2"/>
      <c r="L641"/>
      <c r="R641"/>
      <c r="S641" s="5"/>
      <c r="U641" s="5"/>
    </row>
    <row r="642" spans="1:21">
      <c r="A642" s="3">
        <v>45696.744201388887</v>
      </c>
      <c r="B642" s="2" t="s">
        <v>26</v>
      </c>
      <c r="C642" s="2" t="s">
        <v>11</v>
      </c>
      <c r="D642" s="6" t="str">
        <f>CONCATENATE(YEAR(A642),"/",IF(MONTH(A642)&lt;10,CONCATENATE("0",MONTH(A642)),MONTH(A642)))</f>
        <v>2025/02</v>
      </c>
      <c r="E642" s="8" t="str">
        <f>IF(IF(D642&lt;&gt;D641,1,IF(OR(B642&lt;&gt;B641,A642-A641&gt;$U$1),1,""))&lt;&gt;1,"",IF(C642="B01",1965,IF(C642="B02",1020,IF(C642="B05",2400,IF(C642="B03",4260,IF(C642="B04",2880,IF(C642="B20",1260,0)))))))</f>
        <v/>
      </c>
      <c r="F642" s="8" t="str">
        <f>IF(IF(D642&lt;&gt;D641,1,IF(OR(B642&lt;&gt;B641,A642-A641&gt;$U$1),1,""))&lt;&gt;1,"",IF(C642="B01",1,IF(C642="B05",1,IF(C642="B03",1,IF(C642="B04",1,IF(C642="B20",1,IF(C642="B02",1,0)))))))</f>
        <v/>
      </c>
      <c r="G642"/>
      <c r="H642" s="2"/>
      <c r="I642" s="2"/>
      <c r="L642"/>
      <c r="R642"/>
      <c r="S642" s="5"/>
      <c r="U642" s="5"/>
    </row>
    <row r="643" spans="1:21">
      <c r="A643" s="3">
        <v>45696.744201388887</v>
      </c>
      <c r="B643" s="2" t="s">
        <v>26</v>
      </c>
      <c r="C643" s="2" t="s">
        <v>11</v>
      </c>
      <c r="D643" s="6" t="str">
        <f>CONCATENATE(YEAR(A643),"/",IF(MONTH(A643)&lt;10,CONCATENATE("0",MONTH(A643)),MONTH(A643)))</f>
        <v>2025/02</v>
      </c>
      <c r="E643" s="8" t="str">
        <f>IF(IF(D643&lt;&gt;D642,1,IF(OR(B643&lt;&gt;B642,A643-A642&gt;$U$1),1,""))&lt;&gt;1,"",IF(C643="B01",1965,IF(C643="B02",1020,IF(C643="B05",2400,IF(C643="B03",4260,IF(C643="B04",2880,IF(C643="B20",1260,0)))))))</f>
        <v/>
      </c>
      <c r="F643" s="8" t="str">
        <f>IF(IF(D643&lt;&gt;D642,1,IF(OR(B643&lt;&gt;B642,A643-A642&gt;$U$1),1,""))&lt;&gt;1,"",IF(C643="B01",1,IF(C643="B05",1,IF(C643="B03",1,IF(C643="B04",1,IF(C643="B20",1,IF(C643="B02",1,0)))))))</f>
        <v/>
      </c>
      <c r="G643"/>
      <c r="H643" s="2"/>
      <c r="I643" s="2"/>
      <c r="L643"/>
      <c r="R643"/>
      <c r="S643" s="5"/>
      <c r="U643" s="5"/>
    </row>
    <row r="644" spans="1:21">
      <c r="A644" s="3">
        <v>45696.92564814815</v>
      </c>
      <c r="B644" s="2" t="s">
        <v>26</v>
      </c>
      <c r="C644" s="2" t="s">
        <v>11</v>
      </c>
      <c r="D644" s="6" t="str">
        <f>CONCATENATE(YEAR(A644),"/",IF(MONTH(A644)&lt;10,CONCATENATE("0",MONTH(A644)),MONTH(A644)))</f>
        <v>2025/02</v>
      </c>
      <c r="E644" s="8">
        <f>IF(IF(D644&lt;&gt;D643,1,IF(OR(B644&lt;&gt;B643,A644-A643&gt;$U$1),1,""))&lt;&gt;1,"",IF(C644="B01",1965,IF(C644="B02",1020,IF(C644="B05",2400,IF(C644="B03",4260,IF(C644="B04",2880,IF(C644="B20",1260,0)))))))</f>
        <v>2400</v>
      </c>
      <c r="F644" s="8">
        <f>IF(IF(D644&lt;&gt;D643,1,IF(OR(B644&lt;&gt;B643,A644-A643&gt;$U$1),1,""))&lt;&gt;1,"",IF(C644="B01",1,IF(C644="B05",1,IF(C644="B03",1,IF(C644="B04",1,IF(C644="B20",1,IF(C644="B02",1,0)))))))</f>
        <v>1</v>
      </c>
      <c r="G644"/>
      <c r="H644" s="2"/>
      <c r="I644" s="2"/>
      <c r="L644"/>
      <c r="R644"/>
      <c r="S644" s="5"/>
      <c r="U644" s="5"/>
    </row>
    <row r="645" spans="1:21">
      <c r="A645" s="3">
        <v>45696.92564814815</v>
      </c>
      <c r="B645" s="2" t="s">
        <v>26</v>
      </c>
      <c r="C645" s="2" t="s">
        <v>11</v>
      </c>
      <c r="D645" s="6" t="str">
        <f>CONCATENATE(YEAR(A645),"/",IF(MONTH(A645)&lt;10,CONCATENATE("0",MONTH(A645)),MONTH(A645)))</f>
        <v>2025/02</v>
      </c>
      <c r="E645" s="8" t="str">
        <f>IF(IF(D645&lt;&gt;D644,1,IF(OR(B645&lt;&gt;B644,A645-A644&gt;$U$1),1,""))&lt;&gt;1,"",IF(C645="B01",1965,IF(C645="B02",1020,IF(C645="B05",2400,IF(C645="B03",4260,IF(C645="B04",2880,IF(C645="B20",1260,0)))))))</f>
        <v/>
      </c>
      <c r="F645" s="8" t="str">
        <f>IF(IF(D645&lt;&gt;D644,1,IF(OR(B645&lt;&gt;B644,A645-A644&gt;$U$1),1,""))&lt;&gt;1,"",IF(C645="B01",1,IF(C645="B05",1,IF(C645="B03",1,IF(C645="B04",1,IF(C645="B20",1,IF(C645="B02",1,0)))))))</f>
        <v/>
      </c>
      <c r="G645"/>
      <c r="H645" s="2"/>
      <c r="I645" s="2"/>
      <c r="L645"/>
      <c r="R645"/>
      <c r="S645" s="5"/>
      <c r="U645" s="5"/>
    </row>
    <row r="646" spans="1:21">
      <c r="A646" s="3">
        <v>45696.92564814815</v>
      </c>
      <c r="B646" s="2" t="s">
        <v>26</v>
      </c>
      <c r="C646" s="2" t="s">
        <v>11</v>
      </c>
      <c r="D646" s="6" t="str">
        <f>CONCATENATE(YEAR(A646),"/",IF(MONTH(A646)&lt;10,CONCATENATE("0",MONTH(A646)),MONTH(A646)))</f>
        <v>2025/02</v>
      </c>
      <c r="E646" s="8" t="str">
        <f>IF(IF(D646&lt;&gt;D645,1,IF(OR(B646&lt;&gt;B645,A646-A645&gt;$U$1),1,""))&lt;&gt;1,"",IF(C646="B01",1965,IF(C646="B02",1020,IF(C646="B05",2400,IF(C646="B03",4260,IF(C646="B04",2880,IF(C646="B20",1260,0)))))))</f>
        <v/>
      </c>
      <c r="F646" s="8" t="str">
        <f>IF(IF(D646&lt;&gt;D645,1,IF(OR(B646&lt;&gt;B645,A646-A645&gt;$U$1),1,""))&lt;&gt;1,"",IF(C646="B01",1,IF(C646="B05",1,IF(C646="B03",1,IF(C646="B04",1,IF(C646="B20",1,IF(C646="B02",1,0)))))))</f>
        <v/>
      </c>
      <c r="G646"/>
      <c r="H646" s="2"/>
      <c r="I646" s="2"/>
      <c r="L646"/>
      <c r="R646"/>
      <c r="S646" s="5"/>
      <c r="U646" s="5"/>
    </row>
    <row r="647" spans="1:21">
      <c r="A647" s="3">
        <v>45697.121574074074</v>
      </c>
      <c r="B647" s="2" t="s">
        <v>26</v>
      </c>
      <c r="C647" s="2" t="s">
        <v>11</v>
      </c>
      <c r="D647" s="6" t="str">
        <f>CONCATENATE(YEAR(A647),"/",IF(MONTH(A647)&lt;10,CONCATENATE("0",MONTH(A647)),MONTH(A647)))</f>
        <v>2025/02</v>
      </c>
      <c r="E647" s="8">
        <f>IF(IF(D647&lt;&gt;D646,1,IF(OR(B647&lt;&gt;B646,A647-A646&gt;$U$1),1,""))&lt;&gt;1,"",IF(C647="B01",1965,IF(C647="B02",1020,IF(C647="B05",2400,IF(C647="B03",4260,IF(C647="B04",2880,IF(C647="B20",1260,0)))))))</f>
        <v>2400</v>
      </c>
      <c r="F647" s="8">
        <f>IF(IF(D647&lt;&gt;D646,1,IF(OR(B647&lt;&gt;B646,A647-A646&gt;$U$1),1,""))&lt;&gt;1,"",IF(C647="B01",1,IF(C647="B05",1,IF(C647="B03",1,IF(C647="B04",1,IF(C647="B20",1,IF(C647="B02",1,0)))))))</f>
        <v>1</v>
      </c>
      <c r="G647"/>
      <c r="H647" s="2"/>
      <c r="I647" s="2"/>
      <c r="L647"/>
      <c r="R647"/>
      <c r="S647" s="5"/>
      <c r="U647" s="5"/>
    </row>
    <row r="648" spans="1:21">
      <c r="A648" s="3">
        <v>45697.121574074074</v>
      </c>
      <c r="B648" s="2" t="s">
        <v>26</v>
      </c>
      <c r="C648" s="2" t="s">
        <v>11</v>
      </c>
      <c r="D648" s="6" t="str">
        <f>CONCATENATE(YEAR(A648),"/",IF(MONTH(A648)&lt;10,CONCATENATE("0",MONTH(A648)),MONTH(A648)))</f>
        <v>2025/02</v>
      </c>
      <c r="E648" s="8" t="str">
        <f>IF(IF(D648&lt;&gt;D647,1,IF(OR(B648&lt;&gt;B647,A648-A647&gt;$U$1),1,""))&lt;&gt;1,"",IF(C648="B01",1965,IF(C648="B02",1020,IF(C648="B05",2400,IF(C648="B03",4260,IF(C648="B04",2880,IF(C648="B20",1260,0)))))))</f>
        <v/>
      </c>
      <c r="F648" s="8" t="str">
        <f>IF(IF(D648&lt;&gt;D647,1,IF(OR(B648&lt;&gt;B647,A648-A647&gt;$U$1),1,""))&lt;&gt;1,"",IF(C648="B01",1,IF(C648="B05",1,IF(C648="B03",1,IF(C648="B04",1,IF(C648="B20",1,IF(C648="B02",1,0)))))))</f>
        <v/>
      </c>
      <c r="G648"/>
      <c r="H648" s="2"/>
      <c r="I648" s="2"/>
      <c r="L648"/>
      <c r="R648"/>
      <c r="S648" s="5"/>
      <c r="U648" s="5"/>
    </row>
    <row r="649" spans="1:21">
      <c r="A649" s="3">
        <v>45697.470335648148</v>
      </c>
      <c r="B649" s="2" t="s">
        <v>26</v>
      </c>
      <c r="C649" s="2" t="s">
        <v>12</v>
      </c>
      <c r="D649" s="6" t="str">
        <f>CONCATENATE(YEAR(A649),"/",IF(MONTH(A649)&lt;10,CONCATENATE("0",MONTH(A649)),MONTH(A649)))</f>
        <v>2025/02</v>
      </c>
      <c r="E649" s="8">
        <f>IF(IF(D649&lt;&gt;D648,1,IF(OR(B649&lt;&gt;B648,A649-A648&gt;$U$1),1,""))&lt;&gt;1,"",IF(C649="B01",1965,IF(C649="B02",1020,IF(C649="B05",2400,IF(C649="B03",4260,IF(C649="B04",2880,IF(C649="B20",1260,0)))))))</f>
        <v>4260</v>
      </c>
      <c r="F649" s="8">
        <f>IF(IF(D649&lt;&gt;D648,1,IF(OR(B649&lt;&gt;B648,A649-A648&gt;$U$1),1,""))&lt;&gt;1,"",IF(C649="B01",1,IF(C649="B05",1,IF(C649="B03",1,IF(C649="B04",1,IF(C649="B20",1,IF(C649="B02",1,0)))))))</f>
        <v>1</v>
      </c>
      <c r="G649"/>
      <c r="H649" s="2"/>
      <c r="I649" s="2"/>
      <c r="L649"/>
      <c r="R649"/>
      <c r="S649" s="5"/>
      <c r="U649" s="5"/>
    </row>
    <row r="650" spans="1:21">
      <c r="A650" s="3">
        <v>45697.470335648148</v>
      </c>
      <c r="B650" s="2" t="s">
        <v>26</v>
      </c>
      <c r="C650" s="2" t="s">
        <v>12</v>
      </c>
      <c r="D650" s="6" t="str">
        <f>CONCATENATE(YEAR(A650),"/",IF(MONTH(A650)&lt;10,CONCATENATE("0",MONTH(A650)),MONTH(A650)))</f>
        <v>2025/02</v>
      </c>
      <c r="E650" s="8" t="str">
        <f>IF(IF(D650&lt;&gt;D649,1,IF(OR(B650&lt;&gt;B649,A650-A649&gt;$U$1),1,""))&lt;&gt;1,"",IF(C650="B01",1965,IF(C650="B02",1020,IF(C650="B05",2400,IF(C650="B03",4260,IF(C650="B04",2880,IF(C650="B20",1260,0)))))))</f>
        <v/>
      </c>
      <c r="F650" s="8" t="str">
        <f>IF(IF(D650&lt;&gt;D649,1,IF(OR(B650&lt;&gt;B649,A650-A649&gt;$U$1),1,""))&lt;&gt;1,"",IF(C650="B01",1,IF(C650="B05",1,IF(C650="B03",1,IF(C650="B04",1,IF(C650="B20",1,IF(C650="B02",1,0)))))))</f>
        <v/>
      </c>
      <c r="G650"/>
      <c r="H650" s="2"/>
      <c r="I650" s="2"/>
      <c r="L650"/>
      <c r="R650"/>
      <c r="S650" s="5"/>
      <c r="U650" s="5"/>
    </row>
    <row r="651" spans="1:21">
      <c r="A651" s="3">
        <v>45697.860069444447</v>
      </c>
      <c r="B651" s="2" t="s">
        <v>26</v>
      </c>
      <c r="C651" s="2" t="s">
        <v>12</v>
      </c>
      <c r="D651" s="6" t="str">
        <f>CONCATENATE(YEAR(A651),"/",IF(MONTH(A651)&lt;10,CONCATENATE("0",MONTH(A651)),MONTH(A651)))</f>
        <v>2025/02</v>
      </c>
      <c r="E651" s="8">
        <f>IF(IF(D651&lt;&gt;D650,1,IF(OR(B651&lt;&gt;B650,A651-A650&gt;$U$1),1,""))&lt;&gt;1,"",IF(C651="B01",1965,IF(C651="B02",1020,IF(C651="B05",2400,IF(C651="B03",4260,IF(C651="B04",2880,IF(C651="B20",1260,0)))))))</f>
        <v>4260</v>
      </c>
      <c r="F651" s="8">
        <f>IF(IF(D651&lt;&gt;D650,1,IF(OR(B651&lt;&gt;B650,A651-A650&gt;$U$1),1,""))&lt;&gt;1,"",IF(C651="B01",1,IF(C651="B05",1,IF(C651="B03",1,IF(C651="B04",1,IF(C651="B20",1,IF(C651="B02",1,0)))))))</f>
        <v>1</v>
      </c>
      <c r="G651"/>
      <c r="H651" s="2"/>
      <c r="I651" s="2"/>
      <c r="L651"/>
      <c r="R651"/>
      <c r="S651" s="5"/>
      <c r="U651" s="5"/>
    </row>
    <row r="652" spans="1:21">
      <c r="A652" s="3">
        <v>45697.860069444447</v>
      </c>
      <c r="B652" s="2" t="s">
        <v>26</v>
      </c>
      <c r="C652" s="2" t="s">
        <v>12</v>
      </c>
      <c r="D652" s="6" t="str">
        <f>CONCATENATE(YEAR(A652),"/",IF(MONTH(A652)&lt;10,CONCATENATE("0",MONTH(A652)),MONTH(A652)))</f>
        <v>2025/02</v>
      </c>
      <c r="E652" s="8" t="str">
        <f>IF(IF(D652&lt;&gt;D651,1,IF(OR(B652&lt;&gt;B651,A652-A651&gt;$U$1),1,""))&lt;&gt;1,"",IF(C652="B01",1965,IF(C652="B02",1020,IF(C652="B05",2400,IF(C652="B03",4260,IF(C652="B04",2880,IF(C652="B20",1260,0)))))))</f>
        <v/>
      </c>
      <c r="F652" s="8" t="str">
        <f>IF(IF(D652&lt;&gt;D651,1,IF(OR(B652&lt;&gt;B651,A652-A651&gt;$U$1),1,""))&lt;&gt;1,"",IF(C652="B01",1,IF(C652="B05",1,IF(C652="B03",1,IF(C652="B04",1,IF(C652="B20",1,IF(C652="B02",1,0)))))))</f>
        <v/>
      </c>
      <c r="G652"/>
      <c r="H652" s="2"/>
      <c r="I652" s="2"/>
      <c r="L652"/>
      <c r="R652"/>
      <c r="S652" s="5"/>
      <c r="U652" s="5"/>
    </row>
    <row r="653" spans="1:21">
      <c r="A653" s="3">
        <v>45698.204224537039</v>
      </c>
      <c r="B653" s="2" t="s">
        <v>26</v>
      </c>
      <c r="C653" s="2" t="s">
        <v>12</v>
      </c>
      <c r="D653" s="6" t="str">
        <f>CONCATENATE(YEAR(A653),"/",IF(MONTH(A653)&lt;10,CONCATENATE("0",MONTH(A653)),MONTH(A653)))</f>
        <v>2025/02</v>
      </c>
      <c r="E653" s="8">
        <f>IF(IF(D653&lt;&gt;D652,1,IF(OR(B653&lt;&gt;B652,A653-A652&gt;$U$1),1,""))&lt;&gt;1,"",IF(C653="B01",1965,IF(C653="B02",1020,IF(C653="B05",2400,IF(C653="B03",4260,IF(C653="B04",2880,IF(C653="B20",1260,0)))))))</f>
        <v>4260</v>
      </c>
      <c r="F653" s="8">
        <f>IF(IF(D653&lt;&gt;D652,1,IF(OR(B653&lt;&gt;B652,A653-A652&gt;$U$1),1,""))&lt;&gt;1,"",IF(C653="B01",1,IF(C653="B05",1,IF(C653="B03",1,IF(C653="B04",1,IF(C653="B20",1,IF(C653="B02",1,0)))))))</f>
        <v>1</v>
      </c>
      <c r="G653"/>
      <c r="H653" s="2"/>
      <c r="I653" s="2"/>
      <c r="L653"/>
      <c r="R653"/>
      <c r="S653" s="5"/>
      <c r="U653" s="5"/>
    </row>
    <row r="654" spans="1:21">
      <c r="A654" s="3">
        <v>45698.204224537039</v>
      </c>
      <c r="B654" s="2" t="s">
        <v>26</v>
      </c>
      <c r="C654" s="2" t="s">
        <v>12</v>
      </c>
      <c r="D654" s="6" t="str">
        <f>CONCATENATE(YEAR(A654),"/",IF(MONTH(A654)&lt;10,CONCATENATE("0",MONTH(A654)),MONTH(A654)))</f>
        <v>2025/02</v>
      </c>
      <c r="E654" s="8" t="str">
        <f>IF(IF(D654&lt;&gt;D653,1,IF(OR(B654&lt;&gt;B653,A654-A653&gt;$U$1),1,""))&lt;&gt;1,"",IF(C654="B01",1965,IF(C654="B02",1020,IF(C654="B05",2400,IF(C654="B03",4260,IF(C654="B04",2880,IF(C654="B20",1260,0)))))))</f>
        <v/>
      </c>
      <c r="F654" s="8" t="str">
        <f>IF(IF(D654&lt;&gt;D653,1,IF(OR(B654&lt;&gt;B653,A654-A653&gt;$U$1),1,""))&lt;&gt;1,"",IF(C654="B01",1,IF(C654="B05",1,IF(C654="B03",1,IF(C654="B04",1,IF(C654="B20",1,IF(C654="B02",1,0)))))))</f>
        <v/>
      </c>
      <c r="G654"/>
      <c r="H654" s="2"/>
      <c r="I654" s="2"/>
      <c r="L654"/>
      <c r="R654"/>
      <c r="S654" s="5"/>
      <c r="U654" s="5"/>
    </row>
    <row r="655" spans="1:21">
      <c r="A655" s="3">
        <v>45698.204224537039</v>
      </c>
      <c r="B655" s="2" t="s">
        <v>26</v>
      </c>
      <c r="C655" s="2" t="s">
        <v>12</v>
      </c>
      <c r="D655" s="6" t="str">
        <f>CONCATENATE(YEAR(A655),"/",IF(MONTH(A655)&lt;10,CONCATENATE("0",MONTH(A655)),MONTH(A655)))</f>
        <v>2025/02</v>
      </c>
      <c r="E655" s="8" t="str">
        <f>IF(IF(D655&lt;&gt;D654,1,IF(OR(B655&lt;&gt;B654,A655-A654&gt;$U$1),1,""))&lt;&gt;1,"",IF(C655="B01",1965,IF(C655="B02",1020,IF(C655="B05",2400,IF(C655="B03",4260,IF(C655="B04",2880,IF(C655="B20",1260,0)))))))</f>
        <v/>
      </c>
      <c r="F655" s="8" t="str">
        <f>IF(IF(D655&lt;&gt;D654,1,IF(OR(B655&lt;&gt;B654,A655-A654&gt;$U$1),1,""))&lt;&gt;1,"",IF(C655="B01",1,IF(C655="B05",1,IF(C655="B03",1,IF(C655="B04",1,IF(C655="B20",1,IF(C655="B02",1,0)))))))</f>
        <v/>
      </c>
      <c r="G655"/>
      <c r="H655" s="2"/>
      <c r="I655" s="2"/>
      <c r="L655"/>
      <c r="R655"/>
      <c r="S655" s="5"/>
      <c r="U655" s="5"/>
    </row>
    <row r="656" spans="1:21">
      <c r="A656" s="3">
        <v>45698.637245370373</v>
      </c>
      <c r="B656" s="2" t="s">
        <v>26</v>
      </c>
      <c r="C656" s="2" t="s">
        <v>12</v>
      </c>
      <c r="D656" s="6" t="str">
        <f>CONCATENATE(YEAR(A656),"/",IF(MONTH(A656)&lt;10,CONCATENATE("0",MONTH(A656)),MONTH(A656)))</f>
        <v>2025/02</v>
      </c>
      <c r="E656" s="8">
        <f>IF(IF(D656&lt;&gt;D655,1,IF(OR(B656&lt;&gt;B655,A656-A655&gt;$U$1),1,""))&lt;&gt;1,"",IF(C656="B01",1965,IF(C656="B02",1020,IF(C656="B05",2400,IF(C656="B03",4260,IF(C656="B04",2880,IF(C656="B20",1260,0)))))))</f>
        <v>4260</v>
      </c>
      <c r="F656" s="8">
        <f>IF(IF(D656&lt;&gt;D655,1,IF(OR(B656&lt;&gt;B655,A656-A655&gt;$U$1),1,""))&lt;&gt;1,"",IF(C656="B01",1,IF(C656="B05",1,IF(C656="B03",1,IF(C656="B04",1,IF(C656="B20",1,IF(C656="B02",1,0)))))))</f>
        <v>1</v>
      </c>
      <c r="G656"/>
      <c r="H656" s="2"/>
      <c r="I656" s="2"/>
      <c r="L656"/>
      <c r="R656"/>
      <c r="S656" s="5"/>
      <c r="U656" s="5"/>
    </row>
    <row r="657" spans="1:21">
      <c r="A657" s="3">
        <v>45698.637245370373</v>
      </c>
      <c r="B657" s="2" t="s">
        <v>26</v>
      </c>
      <c r="C657" s="2" t="s">
        <v>12</v>
      </c>
      <c r="D657" s="6" t="str">
        <f>CONCATENATE(YEAR(A657),"/",IF(MONTH(A657)&lt;10,CONCATENATE("0",MONTH(A657)),MONTH(A657)))</f>
        <v>2025/02</v>
      </c>
      <c r="E657" s="8" t="str">
        <f>IF(IF(D657&lt;&gt;D656,1,IF(OR(B657&lt;&gt;B656,A657-A656&gt;$U$1),1,""))&lt;&gt;1,"",IF(C657="B01",1965,IF(C657="B02",1020,IF(C657="B05",2400,IF(C657="B03",4260,IF(C657="B04",2880,IF(C657="B20",1260,0)))))))</f>
        <v/>
      </c>
      <c r="F657" s="8" t="str">
        <f>IF(IF(D657&lt;&gt;D656,1,IF(OR(B657&lt;&gt;B656,A657-A656&gt;$U$1),1,""))&lt;&gt;1,"",IF(C657="B01",1,IF(C657="B05",1,IF(C657="B03",1,IF(C657="B04",1,IF(C657="B20",1,IF(C657="B02",1,0)))))))</f>
        <v/>
      </c>
      <c r="G657"/>
      <c r="H657" s="2"/>
      <c r="I657" s="2"/>
      <c r="L657"/>
      <c r="R657"/>
      <c r="S657" s="5"/>
      <c r="U657" s="5"/>
    </row>
    <row r="658" spans="1:21">
      <c r="A658" s="3">
        <v>45699.039236111108</v>
      </c>
      <c r="B658" s="2" t="s">
        <v>26</v>
      </c>
      <c r="C658" s="2" t="s">
        <v>12</v>
      </c>
      <c r="D658" s="6" t="str">
        <f>CONCATENATE(YEAR(A658),"/",IF(MONTH(A658)&lt;10,CONCATENATE("0",MONTH(A658)),MONTH(A658)))</f>
        <v>2025/02</v>
      </c>
      <c r="E658" s="8">
        <f>IF(IF(D658&lt;&gt;D657,1,IF(OR(B658&lt;&gt;B657,A658-A657&gt;$U$1),1,""))&lt;&gt;1,"",IF(C658="B01",1965,IF(C658="B02",1020,IF(C658="B05",2400,IF(C658="B03",4260,IF(C658="B04",2880,IF(C658="B20",1260,0)))))))</f>
        <v>4260</v>
      </c>
      <c r="F658" s="8">
        <f>IF(IF(D658&lt;&gt;D657,1,IF(OR(B658&lt;&gt;B657,A658-A657&gt;$U$1),1,""))&lt;&gt;1,"",IF(C658="B01",1,IF(C658="B05",1,IF(C658="B03",1,IF(C658="B04",1,IF(C658="B20",1,IF(C658="B02",1,0)))))))</f>
        <v>1</v>
      </c>
      <c r="G658"/>
      <c r="H658" s="2"/>
      <c r="I658" s="2"/>
      <c r="L658"/>
      <c r="R658"/>
      <c r="S658" s="5"/>
      <c r="U658" s="5"/>
    </row>
    <row r="659" spans="1:21">
      <c r="A659" s="3">
        <v>45699.039236111108</v>
      </c>
      <c r="B659" s="2" t="s">
        <v>26</v>
      </c>
      <c r="C659" s="2" t="s">
        <v>12</v>
      </c>
      <c r="D659" s="6" t="str">
        <f>CONCATENATE(YEAR(A659),"/",IF(MONTH(A659)&lt;10,CONCATENATE("0",MONTH(A659)),MONTH(A659)))</f>
        <v>2025/02</v>
      </c>
      <c r="E659" s="8" t="str">
        <f>IF(IF(D659&lt;&gt;D658,1,IF(OR(B659&lt;&gt;B658,A659-A658&gt;$U$1),1,""))&lt;&gt;1,"",IF(C659="B01",1965,IF(C659="B02",1020,IF(C659="B05",2400,IF(C659="B03",4260,IF(C659="B04",2880,IF(C659="B20",1260,0)))))))</f>
        <v/>
      </c>
      <c r="F659" s="8" t="str">
        <f>IF(IF(D659&lt;&gt;D658,1,IF(OR(B659&lt;&gt;B658,A659-A658&gt;$U$1),1,""))&lt;&gt;1,"",IF(C659="B01",1,IF(C659="B05",1,IF(C659="B03",1,IF(C659="B04",1,IF(C659="B20",1,IF(C659="B02",1,0)))))))</f>
        <v/>
      </c>
      <c r="G659"/>
      <c r="H659" s="2"/>
      <c r="I659" s="2"/>
      <c r="L659"/>
      <c r="R659"/>
      <c r="S659" s="5"/>
      <c r="U659" s="5"/>
    </row>
    <row r="660" spans="1:21">
      <c r="A660" s="3">
        <v>45699.476574074077</v>
      </c>
      <c r="B660" s="2" t="s">
        <v>26</v>
      </c>
      <c r="C660" s="2" t="s">
        <v>11</v>
      </c>
      <c r="D660" s="6" t="str">
        <f>CONCATENATE(YEAR(A660),"/",IF(MONTH(A660)&lt;10,CONCATENATE("0",MONTH(A660)),MONTH(A660)))</f>
        <v>2025/02</v>
      </c>
      <c r="E660" s="8">
        <f>IF(IF(D660&lt;&gt;D659,1,IF(OR(B660&lt;&gt;B659,A660-A659&gt;$U$1),1,""))&lt;&gt;1,"",IF(C660="B01",1965,IF(C660="B02",1020,IF(C660="B05",2400,IF(C660="B03",4260,IF(C660="B04",2880,IF(C660="B20",1260,0)))))))</f>
        <v>2400</v>
      </c>
      <c r="F660" s="8">
        <f>IF(IF(D660&lt;&gt;D659,1,IF(OR(B660&lt;&gt;B659,A660-A659&gt;$U$1),1,""))&lt;&gt;1,"",IF(C660="B01",1,IF(C660="B05",1,IF(C660="B03",1,IF(C660="B04",1,IF(C660="B20",1,IF(C660="B02",1,0)))))))</f>
        <v>1</v>
      </c>
      <c r="G660"/>
      <c r="H660" s="2"/>
      <c r="I660" s="2"/>
      <c r="L660"/>
      <c r="R660"/>
      <c r="S660" s="5"/>
      <c r="U660" s="5"/>
    </row>
    <row r="661" spans="1:21">
      <c r="A661" s="3">
        <v>45699.476574074077</v>
      </c>
      <c r="B661" s="2" t="s">
        <v>26</v>
      </c>
      <c r="C661" s="2" t="s">
        <v>11</v>
      </c>
      <c r="D661" s="6" t="str">
        <f>CONCATENATE(YEAR(A661),"/",IF(MONTH(A661)&lt;10,CONCATENATE("0",MONTH(A661)),MONTH(A661)))</f>
        <v>2025/02</v>
      </c>
      <c r="E661" s="8" t="str">
        <f>IF(IF(D661&lt;&gt;D660,1,IF(OR(B661&lt;&gt;B660,A661-A660&gt;$U$1),1,""))&lt;&gt;1,"",IF(C661="B01",1965,IF(C661="B02",1020,IF(C661="B05",2400,IF(C661="B03",4260,IF(C661="B04",2880,IF(C661="B20",1260,0)))))))</f>
        <v/>
      </c>
      <c r="F661" s="8" t="str">
        <f>IF(IF(D661&lt;&gt;D660,1,IF(OR(B661&lt;&gt;B660,A661-A660&gt;$U$1),1,""))&lt;&gt;1,"",IF(C661="B01",1,IF(C661="B05",1,IF(C661="B03",1,IF(C661="B04",1,IF(C661="B20",1,IF(C661="B02",1,0)))))))</f>
        <v/>
      </c>
      <c r="G661"/>
      <c r="H661" s="2"/>
      <c r="I661" s="2"/>
      <c r="L661"/>
      <c r="R661"/>
      <c r="S661" s="5"/>
      <c r="U661" s="5"/>
    </row>
    <row r="662" spans="1:21">
      <c r="A662" s="3">
        <v>45699.476574074077</v>
      </c>
      <c r="B662" s="2" t="s">
        <v>26</v>
      </c>
      <c r="C662" s="2" t="s">
        <v>11</v>
      </c>
      <c r="D662" s="6" t="str">
        <f>CONCATENATE(YEAR(A662),"/",IF(MONTH(A662)&lt;10,CONCATENATE("0",MONTH(A662)),MONTH(A662)))</f>
        <v>2025/02</v>
      </c>
      <c r="E662" s="8" t="str">
        <f>IF(IF(D662&lt;&gt;D661,1,IF(OR(B662&lt;&gt;B661,A662-A661&gt;$U$1),1,""))&lt;&gt;1,"",IF(C662="B01",1965,IF(C662="B02",1020,IF(C662="B05",2400,IF(C662="B03",4260,IF(C662="B04",2880,IF(C662="B20",1260,0)))))))</f>
        <v/>
      </c>
      <c r="F662" s="8" t="str">
        <f>IF(IF(D662&lt;&gt;D661,1,IF(OR(B662&lt;&gt;B661,A662-A661&gt;$U$1),1,""))&lt;&gt;1,"",IF(C662="B01",1,IF(C662="B05",1,IF(C662="B03",1,IF(C662="B04",1,IF(C662="B20",1,IF(C662="B02",1,0)))))))</f>
        <v/>
      </c>
      <c r="G662"/>
      <c r="H662" s="2"/>
      <c r="I662" s="2"/>
      <c r="L662"/>
      <c r="R662"/>
      <c r="S662" s="5"/>
      <c r="U662" s="5"/>
    </row>
    <row r="663" spans="1:21">
      <c r="A663" s="3">
        <v>45699.648229166669</v>
      </c>
      <c r="B663" s="2" t="s">
        <v>26</v>
      </c>
      <c r="C663" s="2" t="s">
        <v>11</v>
      </c>
      <c r="D663" s="6" t="str">
        <f>CONCATENATE(YEAR(A663),"/",IF(MONTH(A663)&lt;10,CONCATENATE("0",MONTH(A663)),MONTH(A663)))</f>
        <v>2025/02</v>
      </c>
      <c r="E663" s="8">
        <f>IF(IF(D663&lt;&gt;D662,1,IF(OR(B663&lt;&gt;B662,A663-A662&gt;$U$1),1,""))&lt;&gt;1,"",IF(C663="B01",1965,IF(C663="B02",1020,IF(C663="B05",2400,IF(C663="B03",4260,IF(C663="B04",2880,IF(C663="B20",1260,0)))))))</f>
        <v>2400</v>
      </c>
      <c r="F663" s="8">
        <f>IF(IF(D663&lt;&gt;D662,1,IF(OR(B663&lt;&gt;B662,A663-A662&gt;$U$1),1,""))&lt;&gt;1,"",IF(C663="B01",1,IF(C663="B05",1,IF(C663="B03",1,IF(C663="B04",1,IF(C663="B20",1,IF(C663="B02",1,0)))))))</f>
        <v>1</v>
      </c>
      <c r="G663"/>
      <c r="H663" s="2"/>
      <c r="I663" s="2"/>
      <c r="L663"/>
      <c r="R663"/>
      <c r="S663" s="5"/>
      <c r="U663" s="5"/>
    </row>
    <row r="664" spans="1:21">
      <c r="A664" s="3">
        <v>45699.648229166669</v>
      </c>
      <c r="B664" s="2" t="s">
        <v>26</v>
      </c>
      <c r="C664" s="2" t="s">
        <v>11</v>
      </c>
      <c r="D664" s="6" t="str">
        <f>CONCATENATE(YEAR(A664),"/",IF(MONTH(A664)&lt;10,CONCATENATE("0",MONTH(A664)),MONTH(A664)))</f>
        <v>2025/02</v>
      </c>
      <c r="E664" s="8" t="str">
        <f>IF(IF(D664&lt;&gt;D663,1,IF(OR(B664&lt;&gt;B663,A664-A663&gt;$U$1),1,""))&lt;&gt;1,"",IF(C664="B01",1965,IF(C664="B02",1020,IF(C664="B05",2400,IF(C664="B03",4260,IF(C664="B04",2880,IF(C664="B20",1260,0)))))))</f>
        <v/>
      </c>
      <c r="F664" s="8" t="str">
        <f>IF(IF(D664&lt;&gt;D663,1,IF(OR(B664&lt;&gt;B663,A664-A663&gt;$U$1),1,""))&lt;&gt;1,"",IF(C664="B01",1,IF(C664="B05",1,IF(C664="B03",1,IF(C664="B04",1,IF(C664="B20",1,IF(C664="B02",1,0)))))))</f>
        <v/>
      </c>
      <c r="G664"/>
      <c r="H664" s="2"/>
      <c r="I664" s="2"/>
      <c r="L664"/>
      <c r="R664"/>
      <c r="S664" s="5"/>
      <c r="U664" s="5"/>
    </row>
    <row r="665" spans="1:21">
      <c r="A665" s="3">
        <v>45700.643472222226</v>
      </c>
      <c r="B665" s="2" t="s">
        <v>26</v>
      </c>
      <c r="C665" s="2" t="s">
        <v>11</v>
      </c>
      <c r="D665" s="6" t="str">
        <f>CONCATENATE(YEAR(A665),"/",IF(MONTH(A665)&lt;10,CONCATENATE("0",MONTH(A665)),MONTH(A665)))</f>
        <v>2025/02</v>
      </c>
      <c r="E665" s="8">
        <f>IF(IF(D665&lt;&gt;D664,1,IF(OR(B665&lt;&gt;B664,A665-A664&gt;$U$1),1,""))&lt;&gt;1,"",IF(C665="B01",1965,IF(C665="B02",1020,IF(C665="B05",2400,IF(C665="B03",4260,IF(C665="B04",2880,IF(C665="B20",1260,0)))))))</f>
        <v>2400</v>
      </c>
      <c r="F665" s="8">
        <f>IF(IF(D665&lt;&gt;D664,1,IF(OR(B665&lt;&gt;B664,A665-A664&gt;$U$1),1,""))&lt;&gt;1,"",IF(C665="B01",1,IF(C665="B05",1,IF(C665="B03",1,IF(C665="B04",1,IF(C665="B20",1,IF(C665="B02",1,0)))))))</f>
        <v>1</v>
      </c>
      <c r="G665"/>
      <c r="H665" s="2"/>
      <c r="I665" s="2"/>
      <c r="L665"/>
      <c r="R665"/>
      <c r="S665" s="5"/>
      <c r="U665" s="5"/>
    </row>
    <row r="666" spans="1:21">
      <c r="A666" s="3">
        <v>45700.643472222226</v>
      </c>
      <c r="B666" s="2" t="s">
        <v>26</v>
      </c>
      <c r="C666" s="2" t="s">
        <v>11</v>
      </c>
      <c r="D666" s="6" t="str">
        <f>CONCATENATE(YEAR(A666),"/",IF(MONTH(A666)&lt;10,CONCATENATE("0",MONTH(A666)),MONTH(A666)))</f>
        <v>2025/02</v>
      </c>
      <c r="E666" s="8" t="str">
        <f>IF(IF(D666&lt;&gt;D665,1,IF(OR(B666&lt;&gt;B665,A666-A665&gt;$U$1),1,""))&lt;&gt;1,"",IF(C666="B01",1965,IF(C666="B02",1020,IF(C666="B05",2400,IF(C666="B03",4260,IF(C666="B04",2880,IF(C666="B20",1260,0)))))))</f>
        <v/>
      </c>
      <c r="F666" s="8" t="str">
        <f>IF(IF(D666&lt;&gt;D665,1,IF(OR(B666&lt;&gt;B665,A666-A665&gt;$U$1),1,""))&lt;&gt;1,"",IF(C666="B01",1,IF(C666="B05",1,IF(C666="B03",1,IF(C666="B04",1,IF(C666="B20",1,IF(C666="B02",1,0)))))))</f>
        <v/>
      </c>
      <c r="G666"/>
      <c r="H666" s="2"/>
      <c r="I666" s="2"/>
      <c r="L666"/>
      <c r="R666"/>
      <c r="S666" s="5"/>
      <c r="U666" s="5"/>
    </row>
    <row r="667" spans="1:21">
      <c r="A667" s="3">
        <v>45700.643472222226</v>
      </c>
      <c r="B667" s="2" t="s">
        <v>26</v>
      </c>
      <c r="C667" s="2" t="s">
        <v>11</v>
      </c>
      <c r="D667" s="6" t="str">
        <f>CONCATENATE(YEAR(A667),"/",IF(MONTH(A667)&lt;10,CONCATENATE("0",MONTH(A667)),MONTH(A667)))</f>
        <v>2025/02</v>
      </c>
      <c r="E667" s="8" t="str">
        <f>IF(IF(D667&lt;&gt;D666,1,IF(OR(B667&lt;&gt;B666,A667-A666&gt;$U$1),1,""))&lt;&gt;1,"",IF(C667="B01",1965,IF(C667="B02",1020,IF(C667="B05",2400,IF(C667="B03",4260,IF(C667="B04",2880,IF(C667="B20",1260,0)))))))</f>
        <v/>
      </c>
      <c r="F667" s="8" t="str">
        <f>IF(IF(D667&lt;&gt;D666,1,IF(OR(B667&lt;&gt;B666,A667-A666&gt;$U$1),1,""))&lt;&gt;1,"",IF(C667="B01",1,IF(C667="B05",1,IF(C667="B03",1,IF(C667="B04",1,IF(C667="B20",1,IF(C667="B02",1,0)))))))</f>
        <v/>
      </c>
      <c r="G667"/>
      <c r="H667" s="2"/>
      <c r="I667" s="2"/>
      <c r="L667"/>
      <c r="R667"/>
      <c r="S667" s="5"/>
      <c r="U667" s="5"/>
    </row>
    <row r="668" spans="1:21">
      <c r="A668" s="3">
        <v>45700.64707175926</v>
      </c>
      <c r="B668" s="2" t="s">
        <v>26</v>
      </c>
      <c r="C668" s="2" t="s">
        <v>11</v>
      </c>
      <c r="D668" s="6" t="str">
        <f>CONCATENATE(YEAR(A668),"/",IF(MONTH(A668)&lt;10,CONCATENATE("0",MONTH(A668)),MONTH(A668)))</f>
        <v>2025/02</v>
      </c>
      <c r="E668" s="8" t="str">
        <f>IF(IF(D668&lt;&gt;D667,1,IF(OR(B668&lt;&gt;B667,A668-A667&gt;$U$1),1,""))&lt;&gt;1,"",IF(C668="B01",1965,IF(C668="B02",1020,IF(C668="B05",2400,IF(C668="B03",4260,IF(C668="B04",2880,IF(C668="B20",1260,0)))))))</f>
        <v/>
      </c>
      <c r="F668" s="8" t="str">
        <f>IF(IF(D668&lt;&gt;D667,1,IF(OR(B668&lt;&gt;B667,A668-A667&gt;$U$1),1,""))&lt;&gt;1,"",IF(C668="B01",1,IF(C668="B05",1,IF(C668="B03",1,IF(C668="B04",1,IF(C668="B20",1,IF(C668="B02",1,0)))))))</f>
        <v/>
      </c>
      <c r="G668"/>
      <c r="H668" s="2"/>
      <c r="I668" s="2"/>
      <c r="L668"/>
      <c r="R668"/>
      <c r="S668" s="5"/>
      <c r="U668" s="5"/>
    </row>
    <row r="669" spans="1:21">
      <c r="A669" s="3">
        <v>45700.671064814815</v>
      </c>
      <c r="B669" s="2" t="s">
        <v>26</v>
      </c>
      <c r="C669" s="2" t="s">
        <v>11</v>
      </c>
      <c r="D669" s="6" t="str">
        <f>CONCATENATE(YEAR(A669),"/",IF(MONTH(A669)&lt;10,CONCATENATE("0",MONTH(A669)),MONTH(A669)))</f>
        <v>2025/02</v>
      </c>
      <c r="E669" s="8">
        <f>IF(IF(D669&lt;&gt;D668,1,IF(OR(B669&lt;&gt;B668,A669-A668&gt;$U$1),1,""))&lt;&gt;1,"",IF(C669="B01",1965,IF(C669="B02",1020,IF(C669="B05",2400,IF(C669="B03",4260,IF(C669="B04",2880,IF(C669="B20",1260,0)))))))</f>
        <v>2400</v>
      </c>
      <c r="F669" s="8">
        <f>IF(IF(D669&lt;&gt;D668,1,IF(OR(B669&lt;&gt;B668,A669-A668&gt;$U$1),1,""))&lt;&gt;1,"",IF(C669="B01",1,IF(C669="B05",1,IF(C669="B03",1,IF(C669="B04",1,IF(C669="B20",1,IF(C669="B02",1,0)))))))</f>
        <v>1</v>
      </c>
      <c r="G669"/>
      <c r="H669" s="2"/>
      <c r="I669" s="2"/>
      <c r="L669"/>
      <c r="R669"/>
      <c r="S669" s="5"/>
      <c r="U669" s="5"/>
    </row>
    <row r="670" spans="1:21">
      <c r="A670" s="3">
        <v>45700.720868055556</v>
      </c>
      <c r="B670" s="2" t="s">
        <v>26</v>
      </c>
      <c r="C670" s="2" t="s">
        <v>11</v>
      </c>
      <c r="D670" s="6" t="str">
        <f>CONCATENATE(YEAR(A670),"/",IF(MONTH(A670)&lt;10,CONCATENATE("0",MONTH(A670)),MONTH(A670)))</f>
        <v>2025/02</v>
      </c>
      <c r="E670" s="8">
        <f>IF(IF(D670&lt;&gt;D669,1,IF(OR(B670&lt;&gt;B669,A670-A669&gt;$U$1),1,""))&lt;&gt;1,"",IF(C670="B01",1965,IF(C670="B02",1020,IF(C670="B05",2400,IF(C670="B03",4260,IF(C670="B04",2880,IF(C670="B20",1260,0)))))))</f>
        <v>2400</v>
      </c>
      <c r="F670" s="8">
        <f>IF(IF(D670&lt;&gt;D669,1,IF(OR(B670&lt;&gt;B669,A670-A669&gt;$U$1),1,""))&lt;&gt;1,"",IF(C670="B01",1,IF(C670="B05",1,IF(C670="B03",1,IF(C670="B04",1,IF(C670="B20",1,IF(C670="B02",1,0)))))))</f>
        <v>1</v>
      </c>
      <c r="G670"/>
      <c r="H670" s="2"/>
      <c r="I670" s="2"/>
      <c r="L670"/>
      <c r="R670"/>
      <c r="S670" s="5"/>
      <c r="U670" s="5"/>
    </row>
    <row r="671" spans="1:21">
      <c r="A671" s="3">
        <v>45700.720868055556</v>
      </c>
      <c r="B671" s="2" t="s">
        <v>26</v>
      </c>
      <c r="C671" s="2" t="s">
        <v>11</v>
      </c>
      <c r="D671" s="6" t="str">
        <f>CONCATENATE(YEAR(A671),"/",IF(MONTH(A671)&lt;10,CONCATENATE("0",MONTH(A671)),MONTH(A671)))</f>
        <v>2025/02</v>
      </c>
      <c r="E671" s="8" t="str">
        <f>IF(IF(D671&lt;&gt;D670,1,IF(OR(B671&lt;&gt;B670,A671-A670&gt;$U$1),1,""))&lt;&gt;1,"",IF(C671="B01",1965,IF(C671="B02",1020,IF(C671="B05",2400,IF(C671="B03",4260,IF(C671="B04",2880,IF(C671="B20",1260,0)))))))</f>
        <v/>
      </c>
      <c r="F671" s="8" t="str">
        <f>IF(IF(D671&lt;&gt;D670,1,IF(OR(B671&lt;&gt;B670,A671-A670&gt;$U$1),1,""))&lt;&gt;1,"",IF(C671="B01",1,IF(C671="B05",1,IF(C671="B03",1,IF(C671="B04",1,IF(C671="B20",1,IF(C671="B02",1,0)))))))</f>
        <v/>
      </c>
      <c r="G671"/>
      <c r="H671" s="2"/>
      <c r="I671" s="2"/>
      <c r="L671"/>
      <c r="R671"/>
      <c r="S671" s="5"/>
      <c r="U671" s="5"/>
    </row>
    <row r="672" spans="1:21">
      <c r="A672" s="3">
        <v>45700.720879629633</v>
      </c>
      <c r="B672" s="2" t="s">
        <v>26</v>
      </c>
      <c r="C672" s="2" t="s">
        <v>11</v>
      </c>
      <c r="D672" s="6" t="str">
        <f>CONCATENATE(YEAR(A672),"/",IF(MONTH(A672)&lt;10,CONCATENATE("0",MONTH(A672)),MONTH(A672)))</f>
        <v>2025/02</v>
      </c>
      <c r="E672" s="8" t="str">
        <f>IF(IF(D672&lt;&gt;D671,1,IF(OR(B672&lt;&gt;B671,A672-A671&gt;$U$1),1,""))&lt;&gt;1,"",IF(C672="B01",1965,IF(C672="B02",1020,IF(C672="B05",2400,IF(C672="B03",4260,IF(C672="B04",2880,IF(C672="B20",1260,0)))))))</f>
        <v/>
      </c>
      <c r="F672" s="8" t="str">
        <f>IF(IF(D672&lt;&gt;D671,1,IF(OR(B672&lt;&gt;B671,A672-A671&gt;$U$1),1,""))&lt;&gt;1,"",IF(C672="B01",1,IF(C672="B05",1,IF(C672="B03",1,IF(C672="B04",1,IF(C672="B20",1,IF(C672="B02",1,0)))))))</f>
        <v/>
      </c>
      <c r="G672"/>
      <c r="H672" s="2"/>
      <c r="I672" s="2"/>
      <c r="L672"/>
      <c r="R672"/>
      <c r="S672" s="5"/>
      <c r="U672" s="5"/>
    </row>
    <row r="673" spans="1:21">
      <c r="A673" s="3">
        <v>45700.871932870374</v>
      </c>
      <c r="B673" s="2" t="s">
        <v>26</v>
      </c>
      <c r="C673" s="2" t="s">
        <v>12</v>
      </c>
      <c r="D673" s="6" t="str">
        <f>CONCATENATE(YEAR(A673),"/",IF(MONTH(A673)&lt;10,CONCATENATE("0",MONTH(A673)),MONTH(A673)))</f>
        <v>2025/02</v>
      </c>
      <c r="E673" s="8">
        <f>IF(IF(D673&lt;&gt;D672,1,IF(OR(B673&lt;&gt;B672,A673-A672&gt;$U$1),1,""))&lt;&gt;1,"",IF(C673="B01",1965,IF(C673="B02",1020,IF(C673="B05",2400,IF(C673="B03",4260,IF(C673="B04",2880,IF(C673="B20",1260,0)))))))</f>
        <v>4260</v>
      </c>
      <c r="F673" s="8">
        <f>IF(IF(D673&lt;&gt;D672,1,IF(OR(B673&lt;&gt;B672,A673-A672&gt;$U$1),1,""))&lt;&gt;1,"",IF(C673="B01",1,IF(C673="B05",1,IF(C673="B03",1,IF(C673="B04",1,IF(C673="B20",1,IF(C673="B02",1,0)))))))</f>
        <v>1</v>
      </c>
      <c r="G673"/>
      <c r="H673" s="2"/>
      <c r="I673" s="2"/>
      <c r="L673"/>
      <c r="R673"/>
      <c r="S673" s="5"/>
      <c r="U673" s="5"/>
    </row>
    <row r="674" spans="1:21">
      <c r="A674" s="3">
        <v>45700.871932870374</v>
      </c>
      <c r="B674" s="2" t="s">
        <v>26</v>
      </c>
      <c r="C674" s="2" t="s">
        <v>12</v>
      </c>
      <c r="D674" s="6" t="str">
        <f>CONCATENATE(YEAR(A674),"/",IF(MONTH(A674)&lt;10,CONCATENATE("0",MONTH(A674)),MONTH(A674)))</f>
        <v>2025/02</v>
      </c>
      <c r="E674" s="8" t="str">
        <f>IF(IF(D674&lt;&gt;D673,1,IF(OR(B674&lt;&gt;B673,A674-A673&gt;$U$1),1,""))&lt;&gt;1,"",IF(C674="B01",1965,IF(C674="B02",1020,IF(C674="B05",2400,IF(C674="B03",4260,IF(C674="B04",2880,IF(C674="B20",1260,0)))))))</f>
        <v/>
      </c>
      <c r="F674" s="8" t="str">
        <f>IF(IF(D674&lt;&gt;D673,1,IF(OR(B674&lt;&gt;B673,A674-A673&gt;$U$1),1,""))&lt;&gt;1,"",IF(C674="B01",1,IF(C674="B05",1,IF(C674="B03",1,IF(C674="B04",1,IF(C674="B20",1,IF(C674="B02",1,0)))))))</f>
        <v/>
      </c>
      <c r="G674"/>
      <c r="H674" s="2"/>
      <c r="I674" s="2"/>
      <c r="L674"/>
      <c r="R674"/>
      <c r="S674" s="5"/>
      <c r="U674" s="5"/>
    </row>
    <row r="675" spans="1:21">
      <c r="A675" s="3">
        <v>45701.112337962964</v>
      </c>
      <c r="B675" s="2" t="s">
        <v>26</v>
      </c>
      <c r="C675" s="2" t="s">
        <v>11</v>
      </c>
      <c r="D675" s="6" t="str">
        <f>CONCATENATE(YEAR(A675),"/",IF(MONTH(A675)&lt;10,CONCATENATE("0",MONTH(A675)),MONTH(A675)))</f>
        <v>2025/02</v>
      </c>
      <c r="E675" s="8">
        <f>IF(IF(D675&lt;&gt;D674,1,IF(OR(B675&lt;&gt;B674,A675-A674&gt;$U$1),1,""))&lt;&gt;1,"",IF(C675="B01",1965,IF(C675="B02",1020,IF(C675="B05",2400,IF(C675="B03",4260,IF(C675="B04",2880,IF(C675="B20",1260,0)))))))</f>
        <v>2400</v>
      </c>
      <c r="F675" s="8">
        <f>IF(IF(D675&lt;&gt;D674,1,IF(OR(B675&lt;&gt;B674,A675-A674&gt;$U$1),1,""))&lt;&gt;1,"",IF(C675="B01",1,IF(C675="B05",1,IF(C675="B03",1,IF(C675="B04",1,IF(C675="B20",1,IF(C675="B02",1,0)))))))</f>
        <v>1</v>
      </c>
      <c r="G675"/>
      <c r="H675" s="2"/>
      <c r="I675" s="2"/>
      <c r="L675"/>
      <c r="R675"/>
      <c r="S675" s="5"/>
      <c r="U675" s="5"/>
    </row>
    <row r="676" spans="1:21">
      <c r="A676" s="3">
        <v>45701.112337962964</v>
      </c>
      <c r="B676" s="2" t="s">
        <v>26</v>
      </c>
      <c r="C676" s="2" t="s">
        <v>11</v>
      </c>
      <c r="D676" s="6" t="str">
        <f>CONCATENATE(YEAR(A676),"/",IF(MONTH(A676)&lt;10,CONCATENATE("0",MONTH(A676)),MONTH(A676)))</f>
        <v>2025/02</v>
      </c>
      <c r="E676" s="8" t="str">
        <f>IF(IF(D676&lt;&gt;D675,1,IF(OR(B676&lt;&gt;B675,A676-A675&gt;$U$1),1,""))&lt;&gt;1,"",IF(C676="B01",1965,IF(C676="B02",1020,IF(C676="B05",2400,IF(C676="B03",4260,IF(C676="B04",2880,IF(C676="B20",1260,0)))))))</f>
        <v/>
      </c>
      <c r="F676" s="8" t="str">
        <f>IF(IF(D676&lt;&gt;D675,1,IF(OR(B676&lt;&gt;B675,A676-A675&gt;$U$1),1,""))&lt;&gt;1,"",IF(C676="B01",1,IF(C676="B05",1,IF(C676="B03",1,IF(C676="B04",1,IF(C676="B20",1,IF(C676="B02",1,0)))))))</f>
        <v/>
      </c>
      <c r="G676"/>
      <c r="H676" s="2"/>
      <c r="I676" s="2"/>
      <c r="L676"/>
      <c r="R676"/>
      <c r="S676" s="5"/>
      <c r="U676" s="5"/>
    </row>
    <row r="677" spans="1:21">
      <c r="A677" s="3">
        <v>45701.112337962964</v>
      </c>
      <c r="B677" s="2" t="s">
        <v>26</v>
      </c>
      <c r="C677" s="2" t="s">
        <v>11</v>
      </c>
      <c r="D677" s="6" t="str">
        <f>CONCATENATE(YEAR(A677),"/",IF(MONTH(A677)&lt;10,CONCATENATE("0",MONTH(A677)),MONTH(A677)))</f>
        <v>2025/02</v>
      </c>
      <c r="E677" s="8" t="str">
        <f>IF(IF(D677&lt;&gt;D676,1,IF(OR(B677&lt;&gt;B676,A677-A676&gt;$U$1),1,""))&lt;&gt;1,"",IF(C677="B01",1965,IF(C677="B02",1020,IF(C677="B05",2400,IF(C677="B03",4260,IF(C677="B04",2880,IF(C677="B20",1260,0)))))))</f>
        <v/>
      </c>
      <c r="F677" s="8" t="str">
        <f>IF(IF(D677&lt;&gt;D676,1,IF(OR(B677&lt;&gt;B676,A677-A676&gt;$U$1),1,""))&lt;&gt;1,"",IF(C677="B01",1,IF(C677="B05",1,IF(C677="B03",1,IF(C677="B04",1,IF(C677="B20",1,IF(C677="B02",1,0)))))))</f>
        <v/>
      </c>
      <c r="G677"/>
      <c r="H677" s="2"/>
      <c r="I677" s="2"/>
      <c r="L677"/>
      <c r="R677"/>
      <c r="S677" s="5"/>
      <c r="U677" s="5"/>
    </row>
    <row r="678" spans="1:21">
      <c r="A678" s="3">
        <v>45701.27548611111</v>
      </c>
      <c r="B678" s="2" t="s">
        <v>26</v>
      </c>
      <c r="C678" s="2" t="s">
        <v>11</v>
      </c>
      <c r="D678" s="6" t="str">
        <f>CONCATENATE(YEAR(A678),"/",IF(MONTH(A678)&lt;10,CONCATENATE("0",MONTH(A678)),MONTH(A678)))</f>
        <v>2025/02</v>
      </c>
      <c r="E678" s="8">
        <f>IF(IF(D678&lt;&gt;D677,1,IF(OR(B678&lt;&gt;B677,A678-A677&gt;$U$1),1,""))&lt;&gt;1,"",IF(C678="B01",1965,IF(C678="B02",1020,IF(C678="B05",2400,IF(C678="B03",4260,IF(C678="B04",2880,IF(C678="B20",1260,0)))))))</f>
        <v>2400</v>
      </c>
      <c r="F678" s="8">
        <f>IF(IF(D678&lt;&gt;D677,1,IF(OR(B678&lt;&gt;B677,A678-A677&gt;$U$1),1,""))&lt;&gt;1,"",IF(C678="B01",1,IF(C678="B05",1,IF(C678="B03",1,IF(C678="B04",1,IF(C678="B20",1,IF(C678="B02",1,0)))))))</f>
        <v>1</v>
      </c>
      <c r="G678"/>
      <c r="H678" s="2"/>
      <c r="I678" s="2"/>
      <c r="L678"/>
      <c r="R678"/>
      <c r="S678" s="5"/>
      <c r="U678" s="5"/>
    </row>
    <row r="679" spans="1:21">
      <c r="A679" s="3">
        <v>45701.27548611111</v>
      </c>
      <c r="B679" s="2" t="s">
        <v>26</v>
      </c>
      <c r="C679" s="2" t="s">
        <v>11</v>
      </c>
      <c r="D679" s="6" t="str">
        <f>CONCATENATE(YEAR(A679),"/",IF(MONTH(A679)&lt;10,CONCATENATE("0",MONTH(A679)),MONTH(A679)))</f>
        <v>2025/02</v>
      </c>
      <c r="E679" s="8" t="str">
        <f>IF(IF(D679&lt;&gt;D678,1,IF(OR(B679&lt;&gt;B678,A679-A678&gt;$U$1),1,""))&lt;&gt;1,"",IF(C679="B01",1965,IF(C679="B02",1020,IF(C679="B05",2400,IF(C679="B03",4260,IF(C679="B04",2880,IF(C679="B20",1260,0)))))))</f>
        <v/>
      </c>
      <c r="F679" s="8" t="str">
        <f>IF(IF(D679&lt;&gt;D678,1,IF(OR(B679&lt;&gt;B678,A679-A678&gt;$U$1),1,""))&lt;&gt;1,"",IF(C679="B01",1,IF(C679="B05",1,IF(C679="B03",1,IF(C679="B04",1,IF(C679="B20",1,IF(C679="B02",1,0)))))))</f>
        <v/>
      </c>
      <c r="G679"/>
      <c r="H679" s="2"/>
      <c r="I679" s="2"/>
      <c r="L679"/>
      <c r="R679"/>
      <c r="S679" s="5"/>
      <c r="U679" s="5"/>
    </row>
    <row r="680" spans="1:21">
      <c r="A680" s="3">
        <v>45701.415254629632</v>
      </c>
      <c r="B680" s="2" t="s">
        <v>26</v>
      </c>
      <c r="C680" s="2" t="s">
        <v>11</v>
      </c>
      <c r="D680" s="6" t="str">
        <f>CONCATENATE(YEAR(A680),"/",IF(MONTH(A680)&lt;10,CONCATENATE("0",MONTH(A680)),MONTH(A680)))</f>
        <v>2025/02</v>
      </c>
      <c r="E680" s="8">
        <f>IF(IF(D680&lt;&gt;D679,1,IF(OR(B680&lt;&gt;B679,A680-A679&gt;$U$1),1,""))&lt;&gt;1,"",IF(C680="B01",1965,IF(C680="B02",1020,IF(C680="B05",2400,IF(C680="B03",4260,IF(C680="B04",2880,IF(C680="B20",1260,0)))))))</f>
        <v>2400</v>
      </c>
      <c r="F680" s="8">
        <f>IF(IF(D680&lt;&gt;D679,1,IF(OR(B680&lt;&gt;B679,A680-A679&gt;$U$1),1,""))&lt;&gt;1,"",IF(C680="B01",1,IF(C680="B05",1,IF(C680="B03",1,IF(C680="B04",1,IF(C680="B20",1,IF(C680="B02",1,0)))))))</f>
        <v>1</v>
      </c>
      <c r="G680"/>
      <c r="H680" s="2"/>
      <c r="I680" s="2"/>
      <c r="L680"/>
      <c r="R680"/>
      <c r="S680" s="5"/>
      <c r="U680" s="5"/>
    </row>
    <row r="681" spans="1:21">
      <c r="A681" s="3">
        <v>45701.415254629632</v>
      </c>
      <c r="B681" s="2" t="s">
        <v>26</v>
      </c>
      <c r="C681" s="2" t="s">
        <v>11</v>
      </c>
      <c r="D681" s="6" t="str">
        <f>CONCATENATE(YEAR(A681),"/",IF(MONTH(A681)&lt;10,CONCATENATE("0",MONTH(A681)),MONTH(A681)))</f>
        <v>2025/02</v>
      </c>
      <c r="E681" s="8" t="str">
        <f>IF(IF(D681&lt;&gt;D680,1,IF(OR(B681&lt;&gt;B680,A681-A680&gt;$U$1),1,""))&lt;&gt;1,"",IF(C681="B01",1965,IF(C681="B02",1020,IF(C681="B05",2400,IF(C681="B03",4260,IF(C681="B04",2880,IF(C681="B20",1260,0)))))))</f>
        <v/>
      </c>
      <c r="F681" s="8" t="str">
        <f>IF(IF(D681&lt;&gt;D680,1,IF(OR(B681&lt;&gt;B680,A681-A680&gt;$U$1),1,""))&lt;&gt;1,"",IF(C681="B01",1,IF(C681="B05",1,IF(C681="B03",1,IF(C681="B04",1,IF(C681="B20",1,IF(C681="B02",1,0)))))))</f>
        <v/>
      </c>
      <c r="G681"/>
      <c r="H681" s="2"/>
      <c r="I681" s="2"/>
      <c r="L681"/>
      <c r="R681"/>
      <c r="S681" s="5"/>
      <c r="U681" s="5"/>
    </row>
    <row r="682" spans="1:21">
      <c r="A682" s="3">
        <v>45701.677141203705</v>
      </c>
      <c r="B682" s="2" t="s">
        <v>26</v>
      </c>
      <c r="C682" s="2" t="s">
        <v>11</v>
      </c>
      <c r="D682" s="6" t="str">
        <f>CONCATENATE(YEAR(A682),"/",IF(MONTH(A682)&lt;10,CONCATENATE("0",MONTH(A682)),MONTH(A682)))</f>
        <v>2025/02</v>
      </c>
      <c r="E682" s="8">
        <f>IF(IF(D682&lt;&gt;D681,1,IF(OR(B682&lt;&gt;B681,A682-A681&gt;$U$1),1,""))&lt;&gt;1,"",IF(C682="B01",1965,IF(C682="B02",1020,IF(C682="B05",2400,IF(C682="B03",4260,IF(C682="B04",2880,IF(C682="B20",1260,0)))))))</f>
        <v>2400</v>
      </c>
      <c r="F682" s="8">
        <f>IF(IF(D682&lt;&gt;D681,1,IF(OR(B682&lt;&gt;B681,A682-A681&gt;$U$1),1,""))&lt;&gt;1,"",IF(C682="B01",1,IF(C682="B05",1,IF(C682="B03",1,IF(C682="B04",1,IF(C682="B20",1,IF(C682="B02",1,0)))))))</f>
        <v>1</v>
      </c>
      <c r="G682"/>
      <c r="H682" s="2"/>
      <c r="I682" s="2"/>
      <c r="L682"/>
      <c r="R682"/>
      <c r="S682" s="5"/>
      <c r="U682" s="5"/>
    </row>
    <row r="683" spans="1:21">
      <c r="A683" s="3">
        <v>45701.677141203705</v>
      </c>
      <c r="B683" s="2" t="s">
        <v>26</v>
      </c>
      <c r="C683" s="2" t="s">
        <v>11</v>
      </c>
      <c r="D683" s="6" t="str">
        <f>CONCATENATE(YEAR(A683),"/",IF(MONTH(A683)&lt;10,CONCATENATE("0",MONTH(A683)),MONTH(A683)))</f>
        <v>2025/02</v>
      </c>
      <c r="E683" s="8" t="str">
        <f>IF(IF(D683&lt;&gt;D682,1,IF(OR(B683&lt;&gt;B682,A683-A682&gt;$U$1),1,""))&lt;&gt;1,"",IF(C683="B01",1965,IF(C683="B02",1020,IF(C683="B05",2400,IF(C683="B03",4260,IF(C683="B04",2880,IF(C683="B20",1260,0)))))))</f>
        <v/>
      </c>
      <c r="F683" s="8" t="str">
        <f>IF(IF(D683&lt;&gt;D682,1,IF(OR(B683&lt;&gt;B682,A683-A682&gt;$U$1),1,""))&lt;&gt;1,"",IF(C683="B01",1,IF(C683="B05",1,IF(C683="B03",1,IF(C683="B04",1,IF(C683="B20",1,IF(C683="B02",1,0)))))))</f>
        <v/>
      </c>
      <c r="G683"/>
      <c r="H683" s="2"/>
      <c r="I683" s="2"/>
      <c r="L683"/>
      <c r="R683"/>
      <c r="S683" s="5"/>
      <c r="U683" s="5"/>
    </row>
    <row r="684" spans="1:21">
      <c r="A684" s="3">
        <v>45701.677141203705</v>
      </c>
      <c r="B684" s="2" t="s">
        <v>26</v>
      </c>
      <c r="C684" s="2" t="s">
        <v>11</v>
      </c>
      <c r="D684" s="6" t="str">
        <f>CONCATENATE(YEAR(A684),"/",IF(MONTH(A684)&lt;10,CONCATENATE("0",MONTH(A684)),MONTH(A684)))</f>
        <v>2025/02</v>
      </c>
      <c r="E684" s="8" t="str">
        <f>IF(IF(D684&lt;&gt;D683,1,IF(OR(B684&lt;&gt;B683,A684-A683&gt;$U$1),1,""))&lt;&gt;1,"",IF(C684="B01",1965,IF(C684="B02",1020,IF(C684="B05",2400,IF(C684="B03",4260,IF(C684="B04",2880,IF(C684="B20",1260,0)))))))</f>
        <v/>
      </c>
      <c r="F684" s="8" t="str">
        <f>IF(IF(D684&lt;&gt;D683,1,IF(OR(B684&lt;&gt;B683,A684-A683&gt;$U$1),1,""))&lt;&gt;1,"",IF(C684="B01",1,IF(C684="B05",1,IF(C684="B03",1,IF(C684="B04",1,IF(C684="B20",1,IF(C684="B02",1,0)))))))</f>
        <v/>
      </c>
      <c r="G684"/>
      <c r="H684" s="2"/>
      <c r="I684" s="2"/>
      <c r="L684"/>
      <c r="R684"/>
      <c r="S684" s="5"/>
      <c r="U684" s="5"/>
    </row>
    <row r="685" spans="1:21">
      <c r="A685" s="3">
        <v>45701.872372685182</v>
      </c>
      <c r="B685" s="2" t="s">
        <v>26</v>
      </c>
      <c r="C685" s="2" t="s">
        <v>11</v>
      </c>
      <c r="D685" s="6" t="str">
        <f>CONCATENATE(YEAR(A685),"/",IF(MONTH(A685)&lt;10,CONCATENATE("0",MONTH(A685)),MONTH(A685)))</f>
        <v>2025/02</v>
      </c>
      <c r="E685" s="8">
        <f>IF(IF(D685&lt;&gt;D684,1,IF(OR(B685&lt;&gt;B684,A685-A684&gt;$U$1),1,""))&lt;&gt;1,"",IF(C685="B01",1965,IF(C685="B02",1020,IF(C685="B05",2400,IF(C685="B03",4260,IF(C685="B04",2880,IF(C685="B20",1260,0)))))))</f>
        <v>2400</v>
      </c>
      <c r="F685" s="8">
        <f>IF(IF(D685&lt;&gt;D684,1,IF(OR(B685&lt;&gt;B684,A685-A684&gt;$U$1),1,""))&lt;&gt;1,"",IF(C685="B01",1,IF(C685="B05",1,IF(C685="B03",1,IF(C685="B04",1,IF(C685="B20",1,IF(C685="B02",1,0)))))))</f>
        <v>1</v>
      </c>
      <c r="G685"/>
      <c r="H685" s="2"/>
      <c r="I685" s="2"/>
      <c r="L685"/>
      <c r="R685"/>
      <c r="S685" s="5"/>
      <c r="U685" s="5"/>
    </row>
    <row r="686" spans="1:21">
      <c r="A686" s="3">
        <v>45701.872372685182</v>
      </c>
      <c r="B686" s="2" t="s">
        <v>26</v>
      </c>
      <c r="C686" s="2" t="s">
        <v>11</v>
      </c>
      <c r="D686" s="6" t="str">
        <f>CONCATENATE(YEAR(A686),"/",IF(MONTH(A686)&lt;10,CONCATENATE("0",MONTH(A686)),MONTH(A686)))</f>
        <v>2025/02</v>
      </c>
      <c r="E686" s="8" t="str">
        <f>IF(IF(D686&lt;&gt;D685,1,IF(OR(B686&lt;&gt;B685,A686-A685&gt;$U$1),1,""))&lt;&gt;1,"",IF(C686="B01",1965,IF(C686="B02",1020,IF(C686="B05",2400,IF(C686="B03",4260,IF(C686="B04",2880,IF(C686="B20",1260,0)))))))</f>
        <v/>
      </c>
      <c r="F686" s="8" t="str">
        <f>IF(IF(D686&lt;&gt;D685,1,IF(OR(B686&lt;&gt;B685,A686-A685&gt;$U$1),1,""))&lt;&gt;1,"",IF(C686="B01",1,IF(C686="B05",1,IF(C686="B03",1,IF(C686="B04",1,IF(C686="B20",1,IF(C686="B02",1,0)))))))</f>
        <v/>
      </c>
      <c r="G686"/>
      <c r="H686" s="2"/>
      <c r="I686" s="2"/>
      <c r="L686"/>
      <c r="R686"/>
      <c r="S686" s="5"/>
      <c r="U686" s="5"/>
    </row>
    <row r="687" spans="1:21">
      <c r="A687" s="3">
        <v>45701.872372685182</v>
      </c>
      <c r="B687" s="2" t="s">
        <v>26</v>
      </c>
      <c r="C687" s="2" t="s">
        <v>11</v>
      </c>
      <c r="D687" s="6" t="str">
        <f>CONCATENATE(YEAR(A687),"/",IF(MONTH(A687)&lt;10,CONCATENATE("0",MONTH(A687)),MONTH(A687)))</f>
        <v>2025/02</v>
      </c>
      <c r="E687" s="8" t="str">
        <f>IF(IF(D687&lt;&gt;D686,1,IF(OR(B687&lt;&gt;B686,A687-A686&gt;$U$1),1,""))&lt;&gt;1,"",IF(C687="B01",1965,IF(C687="B02",1020,IF(C687="B05",2400,IF(C687="B03",4260,IF(C687="B04",2880,IF(C687="B20",1260,0)))))))</f>
        <v/>
      </c>
      <c r="F687" s="8" t="str">
        <f>IF(IF(D687&lt;&gt;D686,1,IF(OR(B687&lt;&gt;B686,A687-A686&gt;$U$1),1,""))&lt;&gt;1,"",IF(C687="B01",1,IF(C687="B05",1,IF(C687="B03",1,IF(C687="B04",1,IF(C687="B20",1,IF(C687="B02",1,0)))))))</f>
        <v/>
      </c>
      <c r="G687"/>
      <c r="H687" s="2"/>
      <c r="I687" s="2"/>
      <c r="L687"/>
      <c r="R687"/>
      <c r="S687" s="5"/>
      <c r="U687" s="5"/>
    </row>
    <row r="688" spans="1:21">
      <c r="A688" s="3">
        <v>45702.081018518518</v>
      </c>
      <c r="B688" s="2" t="s">
        <v>26</v>
      </c>
      <c r="C688" s="2" t="s">
        <v>11</v>
      </c>
      <c r="D688" s="6" t="str">
        <f>CONCATENATE(YEAR(A688),"/",IF(MONTH(A688)&lt;10,CONCATENATE("0",MONTH(A688)),MONTH(A688)))</f>
        <v>2025/02</v>
      </c>
      <c r="E688" s="8">
        <f>IF(IF(D688&lt;&gt;D687,1,IF(OR(B688&lt;&gt;B687,A688-A687&gt;$U$1),1,""))&lt;&gt;1,"",IF(C688="B01",1965,IF(C688="B02",1020,IF(C688="B05",2400,IF(C688="B03",4260,IF(C688="B04",2880,IF(C688="B20",1260,0)))))))</f>
        <v>2400</v>
      </c>
      <c r="F688" s="8">
        <f>IF(IF(D688&lt;&gt;D687,1,IF(OR(B688&lt;&gt;B687,A688-A687&gt;$U$1),1,""))&lt;&gt;1,"",IF(C688="B01",1,IF(C688="B05",1,IF(C688="B03",1,IF(C688="B04",1,IF(C688="B20",1,IF(C688="B02",1,0)))))))</f>
        <v>1</v>
      </c>
      <c r="G688"/>
      <c r="H688" s="2"/>
      <c r="I688" s="2"/>
      <c r="L688"/>
      <c r="R688"/>
      <c r="S688" s="5"/>
      <c r="U688" s="5"/>
    </row>
    <row r="689" spans="1:21">
      <c r="A689" s="3">
        <v>45702.081018518518</v>
      </c>
      <c r="B689" s="2" t="s">
        <v>26</v>
      </c>
      <c r="C689" s="2" t="s">
        <v>11</v>
      </c>
      <c r="D689" s="6" t="str">
        <f>CONCATENATE(YEAR(A689),"/",IF(MONTH(A689)&lt;10,CONCATENATE("0",MONTH(A689)),MONTH(A689)))</f>
        <v>2025/02</v>
      </c>
      <c r="E689" s="8" t="str">
        <f>IF(IF(D689&lt;&gt;D688,1,IF(OR(B689&lt;&gt;B688,A689-A688&gt;$U$1),1,""))&lt;&gt;1,"",IF(C689="B01",1965,IF(C689="B02",1020,IF(C689="B05",2400,IF(C689="B03",4260,IF(C689="B04",2880,IF(C689="B20",1260,0)))))))</f>
        <v/>
      </c>
      <c r="F689" s="8" t="str">
        <f>IF(IF(D689&lt;&gt;D688,1,IF(OR(B689&lt;&gt;B688,A689-A688&gt;$U$1),1,""))&lt;&gt;1,"",IF(C689="B01",1,IF(C689="B05",1,IF(C689="B03",1,IF(C689="B04",1,IF(C689="B20",1,IF(C689="B02",1,0)))))))</f>
        <v/>
      </c>
      <c r="G689"/>
      <c r="H689" s="2"/>
      <c r="I689" s="2"/>
      <c r="L689"/>
      <c r="R689"/>
      <c r="S689" s="5"/>
      <c r="U689" s="5"/>
    </row>
    <row r="690" spans="1:21">
      <c r="A690" s="3">
        <v>45702.203356481485</v>
      </c>
      <c r="B690" s="2" t="s">
        <v>26</v>
      </c>
      <c r="C690" s="2" t="s">
        <v>11</v>
      </c>
      <c r="D690" s="6" t="str">
        <f>CONCATENATE(YEAR(A690),"/",IF(MONTH(A690)&lt;10,CONCATENATE("0",MONTH(A690)),MONTH(A690)))</f>
        <v>2025/02</v>
      </c>
      <c r="E690" s="8">
        <f>IF(IF(D690&lt;&gt;D689,1,IF(OR(B690&lt;&gt;B689,A690-A689&gt;$U$1),1,""))&lt;&gt;1,"",IF(C690="B01",1965,IF(C690="B02",1020,IF(C690="B05",2400,IF(C690="B03",4260,IF(C690="B04",2880,IF(C690="B20",1260,0)))))))</f>
        <v>2400</v>
      </c>
      <c r="F690" s="8">
        <f>IF(IF(D690&lt;&gt;D689,1,IF(OR(B690&lt;&gt;B689,A690-A689&gt;$U$1),1,""))&lt;&gt;1,"",IF(C690="B01",1,IF(C690="B05",1,IF(C690="B03",1,IF(C690="B04",1,IF(C690="B20",1,IF(C690="B02",1,0)))))))</f>
        <v>1</v>
      </c>
      <c r="G690"/>
      <c r="H690" s="2"/>
      <c r="I690" s="2"/>
      <c r="L690"/>
      <c r="R690"/>
      <c r="S690" s="5"/>
      <c r="U690" s="5"/>
    </row>
    <row r="691" spans="1:21">
      <c r="A691" s="3">
        <v>45702.203356481485</v>
      </c>
      <c r="B691" s="2" t="s">
        <v>26</v>
      </c>
      <c r="C691" s="2" t="s">
        <v>11</v>
      </c>
      <c r="D691" s="6" t="str">
        <f>CONCATENATE(YEAR(A691),"/",IF(MONTH(A691)&lt;10,CONCATENATE("0",MONTH(A691)),MONTH(A691)))</f>
        <v>2025/02</v>
      </c>
      <c r="E691" s="8" t="str">
        <f>IF(IF(D691&lt;&gt;D690,1,IF(OR(B691&lt;&gt;B690,A691-A690&gt;$U$1),1,""))&lt;&gt;1,"",IF(C691="B01",1965,IF(C691="B02",1020,IF(C691="B05",2400,IF(C691="B03",4260,IF(C691="B04",2880,IF(C691="B20",1260,0)))))))</f>
        <v/>
      </c>
      <c r="F691" s="8" t="str">
        <f>IF(IF(D691&lt;&gt;D690,1,IF(OR(B691&lt;&gt;B690,A691-A690&gt;$U$1),1,""))&lt;&gt;1,"",IF(C691="B01",1,IF(C691="B05",1,IF(C691="B03",1,IF(C691="B04",1,IF(C691="B20",1,IF(C691="B02",1,0)))))))</f>
        <v/>
      </c>
      <c r="G691"/>
      <c r="H691" s="2"/>
      <c r="I691" s="2"/>
      <c r="L691"/>
      <c r="R691"/>
      <c r="S691" s="5"/>
      <c r="U691" s="5"/>
    </row>
    <row r="692" spans="1:21">
      <c r="A692" s="3">
        <v>45702.203356481485</v>
      </c>
      <c r="B692" s="2" t="s">
        <v>26</v>
      </c>
      <c r="C692" s="2" t="s">
        <v>11</v>
      </c>
      <c r="D692" s="6" t="str">
        <f>CONCATENATE(YEAR(A692),"/",IF(MONTH(A692)&lt;10,CONCATENATE("0",MONTH(A692)),MONTH(A692)))</f>
        <v>2025/02</v>
      </c>
      <c r="E692" s="8" t="str">
        <f>IF(IF(D692&lt;&gt;D691,1,IF(OR(B692&lt;&gt;B691,A692-A691&gt;$U$1),1,""))&lt;&gt;1,"",IF(C692="B01",1965,IF(C692="B02",1020,IF(C692="B05",2400,IF(C692="B03",4260,IF(C692="B04",2880,IF(C692="B20",1260,0)))))))</f>
        <v/>
      </c>
      <c r="F692" s="8" t="str">
        <f>IF(IF(D692&lt;&gt;D691,1,IF(OR(B692&lt;&gt;B691,A692-A691&gt;$U$1),1,""))&lt;&gt;1,"",IF(C692="B01",1,IF(C692="B05",1,IF(C692="B03",1,IF(C692="B04",1,IF(C692="B20",1,IF(C692="B02",1,0)))))))</f>
        <v/>
      </c>
      <c r="G692"/>
      <c r="H692" s="2"/>
      <c r="I692" s="2"/>
      <c r="L692"/>
      <c r="R692"/>
      <c r="S692" s="5"/>
      <c r="U692" s="5"/>
    </row>
    <row r="693" spans="1:21">
      <c r="A693" s="3">
        <v>45702.203356481485</v>
      </c>
      <c r="B693" s="2" t="s">
        <v>26</v>
      </c>
      <c r="C693" s="2" t="s">
        <v>11</v>
      </c>
      <c r="D693" s="6" t="str">
        <f>CONCATENATE(YEAR(A693),"/",IF(MONTH(A693)&lt;10,CONCATENATE("0",MONTH(A693)),MONTH(A693)))</f>
        <v>2025/02</v>
      </c>
      <c r="E693" s="8" t="str">
        <f>IF(IF(D693&lt;&gt;D692,1,IF(OR(B693&lt;&gt;B692,A693-A692&gt;$U$1),1,""))&lt;&gt;1,"",IF(C693="B01",1965,IF(C693="B02",1020,IF(C693="B05",2400,IF(C693="B03",4260,IF(C693="B04",2880,IF(C693="B20",1260,0)))))))</f>
        <v/>
      </c>
      <c r="F693" s="8" t="str">
        <f>IF(IF(D693&lt;&gt;D692,1,IF(OR(B693&lt;&gt;B692,A693-A692&gt;$U$1),1,""))&lt;&gt;1,"",IF(C693="B01",1,IF(C693="B05",1,IF(C693="B03",1,IF(C693="B04",1,IF(C693="B20",1,IF(C693="B02",1,0)))))))</f>
        <v/>
      </c>
      <c r="G693"/>
      <c r="H693" s="2"/>
      <c r="I693" s="2"/>
      <c r="L693"/>
      <c r="R693"/>
      <c r="S693" s="5"/>
      <c r="U693" s="5"/>
    </row>
    <row r="694" spans="1:21">
      <c r="A694" s="3">
        <v>45702.33834490741</v>
      </c>
      <c r="B694" s="2" t="s">
        <v>26</v>
      </c>
      <c r="C694" s="2" t="s">
        <v>11</v>
      </c>
      <c r="D694" s="6" t="str">
        <f>CONCATENATE(YEAR(A694),"/",IF(MONTH(A694)&lt;10,CONCATENATE("0",MONTH(A694)),MONTH(A694)))</f>
        <v>2025/02</v>
      </c>
      <c r="E694" s="8">
        <f>IF(IF(D694&lt;&gt;D693,1,IF(OR(B694&lt;&gt;B693,A694-A693&gt;$U$1),1,""))&lt;&gt;1,"",IF(C694="B01",1965,IF(C694="B02",1020,IF(C694="B05",2400,IF(C694="B03",4260,IF(C694="B04",2880,IF(C694="B20",1260,0)))))))</f>
        <v>2400</v>
      </c>
      <c r="F694" s="8">
        <f>IF(IF(D694&lt;&gt;D693,1,IF(OR(B694&lt;&gt;B693,A694-A693&gt;$U$1),1,""))&lt;&gt;1,"",IF(C694="B01",1,IF(C694="B05",1,IF(C694="B03",1,IF(C694="B04",1,IF(C694="B20",1,IF(C694="B02",1,0)))))))</f>
        <v>1</v>
      </c>
      <c r="G694"/>
      <c r="H694" s="2"/>
      <c r="I694" s="2"/>
      <c r="L694"/>
      <c r="R694"/>
      <c r="S694" s="5"/>
      <c r="U694" s="5"/>
    </row>
    <row r="695" spans="1:21">
      <c r="A695" s="3">
        <v>45702.33834490741</v>
      </c>
      <c r="B695" s="2" t="s">
        <v>26</v>
      </c>
      <c r="C695" s="2" t="s">
        <v>11</v>
      </c>
      <c r="D695" s="6" t="str">
        <f>CONCATENATE(YEAR(A695),"/",IF(MONTH(A695)&lt;10,CONCATENATE("0",MONTH(A695)),MONTH(A695)))</f>
        <v>2025/02</v>
      </c>
      <c r="E695" s="8" t="str">
        <f>IF(IF(D695&lt;&gt;D694,1,IF(OR(B695&lt;&gt;B694,A695-A694&gt;$U$1),1,""))&lt;&gt;1,"",IF(C695="B01",1965,IF(C695="B02",1020,IF(C695="B05",2400,IF(C695="B03",4260,IF(C695="B04",2880,IF(C695="B20",1260,0)))))))</f>
        <v/>
      </c>
      <c r="F695" s="8" t="str">
        <f>IF(IF(D695&lt;&gt;D694,1,IF(OR(B695&lt;&gt;B694,A695-A694&gt;$U$1),1,""))&lt;&gt;1,"",IF(C695="B01",1,IF(C695="B05",1,IF(C695="B03",1,IF(C695="B04",1,IF(C695="B20",1,IF(C695="B02",1,0)))))))</f>
        <v/>
      </c>
      <c r="G695"/>
      <c r="H695" s="2"/>
      <c r="I695" s="2"/>
      <c r="L695"/>
      <c r="R695"/>
      <c r="S695" s="5"/>
      <c r="U695" s="5"/>
    </row>
    <row r="696" spans="1:21">
      <c r="A696" s="3">
        <v>45702.471307870372</v>
      </c>
      <c r="B696" s="2" t="s">
        <v>26</v>
      </c>
      <c r="C696" s="2" t="s">
        <v>11</v>
      </c>
      <c r="D696" s="6" t="str">
        <f>CONCATENATE(YEAR(A696),"/",IF(MONTH(A696)&lt;10,CONCATENATE("0",MONTH(A696)),MONTH(A696)))</f>
        <v>2025/02</v>
      </c>
      <c r="E696" s="8">
        <f>IF(IF(D696&lt;&gt;D695,1,IF(OR(B696&lt;&gt;B695,A696-A695&gt;$U$1),1,""))&lt;&gt;1,"",IF(C696="B01",1965,IF(C696="B02",1020,IF(C696="B05",2400,IF(C696="B03",4260,IF(C696="B04",2880,IF(C696="B20",1260,0)))))))</f>
        <v>2400</v>
      </c>
      <c r="F696" s="8">
        <f>IF(IF(D696&lt;&gt;D695,1,IF(OR(B696&lt;&gt;B695,A696-A695&gt;$U$1),1,""))&lt;&gt;1,"",IF(C696="B01",1,IF(C696="B05",1,IF(C696="B03",1,IF(C696="B04",1,IF(C696="B20",1,IF(C696="B02",1,0)))))))</f>
        <v>1</v>
      </c>
      <c r="G696"/>
      <c r="H696" s="2"/>
      <c r="I696" s="2"/>
      <c r="L696"/>
      <c r="R696"/>
      <c r="S696" s="5"/>
      <c r="U696" s="5"/>
    </row>
    <row r="697" spans="1:21">
      <c r="A697" s="3">
        <v>45702.471307870372</v>
      </c>
      <c r="B697" s="2" t="s">
        <v>26</v>
      </c>
      <c r="C697" s="2" t="s">
        <v>11</v>
      </c>
      <c r="D697" s="6" t="str">
        <f>CONCATENATE(YEAR(A697),"/",IF(MONTH(A697)&lt;10,CONCATENATE("0",MONTH(A697)),MONTH(A697)))</f>
        <v>2025/02</v>
      </c>
      <c r="E697" s="8" t="str">
        <f>IF(IF(D697&lt;&gt;D696,1,IF(OR(B697&lt;&gt;B696,A697-A696&gt;$U$1),1,""))&lt;&gt;1,"",IF(C697="B01",1965,IF(C697="B02",1020,IF(C697="B05",2400,IF(C697="B03",4260,IF(C697="B04",2880,IF(C697="B20",1260,0)))))))</f>
        <v/>
      </c>
      <c r="F697" s="8" t="str">
        <f>IF(IF(D697&lt;&gt;D696,1,IF(OR(B697&lt;&gt;B696,A697-A696&gt;$U$1),1,""))&lt;&gt;1,"",IF(C697="B01",1,IF(C697="B05",1,IF(C697="B03",1,IF(C697="B04",1,IF(C697="B20",1,IF(C697="B02",1,0)))))))</f>
        <v/>
      </c>
      <c r="G697"/>
      <c r="H697" s="2"/>
      <c r="I697" s="2"/>
      <c r="L697"/>
      <c r="R697"/>
      <c r="S697" s="5"/>
      <c r="U697" s="5"/>
    </row>
    <row r="698" spans="1:21">
      <c r="A698" s="3">
        <v>45702.935312499998</v>
      </c>
      <c r="B698" s="2" t="s">
        <v>26</v>
      </c>
      <c r="C698" s="2" t="s">
        <v>11</v>
      </c>
      <c r="D698" s="6" t="str">
        <f>CONCATENATE(YEAR(A698),"/",IF(MONTH(A698)&lt;10,CONCATENATE("0",MONTH(A698)),MONTH(A698)))</f>
        <v>2025/02</v>
      </c>
      <c r="E698" s="8">
        <f>IF(IF(D698&lt;&gt;D697,1,IF(OR(B698&lt;&gt;B697,A698-A697&gt;$U$1),1,""))&lt;&gt;1,"",IF(C698="B01",1965,IF(C698="B02",1020,IF(C698="B05",2400,IF(C698="B03",4260,IF(C698="B04",2880,IF(C698="B20",1260,0)))))))</f>
        <v>2400</v>
      </c>
      <c r="F698" s="8">
        <f>IF(IF(D698&lt;&gt;D697,1,IF(OR(B698&lt;&gt;B697,A698-A697&gt;$U$1),1,""))&lt;&gt;1,"",IF(C698="B01",1,IF(C698="B05",1,IF(C698="B03",1,IF(C698="B04",1,IF(C698="B20",1,IF(C698="B02",1,0)))))))</f>
        <v>1</v>
      </c>
      <c r="G698"/>
      <c r="H698" s="2"/>
      <c r="I698" s="2"/>
      <c r="L698"/>
      <c r="R698"/>
      <c r="S698" s="5"/>
      <c r="U698" s="5"/>
    </row>
    <row r="699" spans="1:21">
      <c r="A699" s="3">
        <v>45702.935312499998</v>
      </c>
      <c r="B699" s="2" t="s">
        <v>26</v>
      </c>
      <c r="C699" s="2" t="s">
        <v>11</v>
      </c>
      <c r="D699" s="6" t="str">
        <f>CONCATENATE(YEAR(A699),"/",IF(MONTH(A699)&lt;10,CONCATENATE("0",MONTH(A699)),MONTH(A699)))</f>
        <v>2025/02</v>
      </c>
      <c r="E699" s="8" t="str">
        <f>IF(IF(D699&lt;&gt;D698,1,IF(OR(B699&lt;&gt;B698,A699-A698&gt;$U$1),1,""))&lt;&gt;1,"",IF(C699="B01",1965,IF(C699="B02",1020,IF(C699="B05",2400,IF(C699="B03",4260,IF(C699="B04",2880,IF(C699="B20",1260,0)))))))</f>
        <v/>
      </c>
      <c r="F699" s="8" t="str">
        <f>IF(IF(D699&lt;&gt;D698,1,IF(OR(B699&lt;&gt;B698,A699-A698&gt;$U$1),1,""))&lt;&gt;1,"",IF(C699="B01",1,IF(C699="B05",1,IF(C699="B03",1,IF(C699="B04",1,IF(C699="B20",1,IF(C699="B02",1,0)))))))</f>
        <v/>
      </c>
      <c r="G699"/>
      <c r="H699" s="2"/>
      <c r="I699" s="2"/>
      <c r="L699"/>
      <c r="R699"/>
      <c r="S699" s="5"/>
      <c r="U699" s="5"/>
    </row>
    <row r="700" spans="1:21">
      <c r="A700" s="3">
        <v>45702.935312499998</v>
      </c>
      <c r="B700" s="2" t="s">
        <v>26</v>
      </c>
      <c r="C700" s="2" t="s">
        <v>11</v>
      </c>
      <c r="D700" s="6" t="str">
        <f>CONCATENATE(YEAR(A700),"/",IF(MONTH(A700)&lt;10,CONCATENATE("0",MONTH(A700)),MONTH(A700)))</f>
        <v>2025/02</v>
      </c>
      <c r="E700" s="8" t="str">
        <f>IF(IF(D700&lt;&gt;D699,1,IF(OR(B700&lt;&gt;B699,A700-A699&gt;$U$1),1,""))&lt;&gt;1,"",IF(C700="B01",1965,IF(C700="B02",1020,IF(C700="B05",2400,IF(C700="B03",4260,IF(C700="B04",2880,IF(C700="B20",1260,0)))))))</f>
        <v/>
      </c>
      <c r="F700" s="8" t="str">
        <f>IF(IF(D700&lt;&gt;D699,1,IF(OR(B700&lt;&gt;B699,A700-A699&gt;$U$1),1,""))&lt;&gt;1,"",IF(C700="B01",1,IF(C700="B05",1,IF(C700="B03",1,IF(C700="B04",1,IF(C700="B20",1,IF(C700="B02",1,0)))))))</f>
        <v/>
      </c>
      <c r="G700"/>
      <c r="H700" s="2"/>
      <c r="I700" s="2"/>
      <c r="L700"/>
      <c r="R700"/>
      <c r="S700" s="5"/>
      <c r="U700" s="5"/>
    </row>
    <row r="701" spans="1:21">
      <c r="A701" s="3">
        <v>45703.052002314813</v>
      </c>
      <c r="B701" s="2" t="s">
        <v>26</v>
      </c>
      <c r="C701" s="2" t="s">
        <v>11</v>
      </c>
      <c r="D701" s="6" t="str">
        <f>CONCATENATE(YEAR(A701),"/",IF(MONTH(A701)&lt;10,CONCATENATE("0",MONTH(A701)),MONTH(A701)))</f>
        <v>2025/02</v>
      </c>
      <c r="E701" s="8">
        <f>IF(IF(D701&lt;&gt;D700,1,IF(OR(B701&lt;&gt;B700,A701-A700&gt;$U$1),1,""))&lt;&gt;1,"",IF(C701="B01",1965,IF(C701="B02",1020,IF(C701="B05",2400,IF(C701="B03",4260,IF(C701="B04",2880,IF(C701="B20",1260,0)))))))</f>
        <v>2400</v>
      </c>
      <c r="F701" s="8">
        <f>IF(IF(D701&lt;&gt;D700,1,IF(OR(B701&lt;&gt;B700,A701-A700&gt;$U$1),1,""))&lt;&gt;1,"",IF(C701="B01",1,IF(C701="B05",1,IF(C701="B03",1,IF(C701="B04",1,IF(C701="B20",1,IF(C701="B02",1,0)))))))</f>
        <v>1</v>
      </c>
      <c r="G701"/>
      <c r="H701" s="2"/>
      <c r="I701" s="2"/>
      <c r="L701"/>
      <c r="R701"/>
      <c r="S701" s="5"/>
      <c r="U701" s="5"/>
    </row>
    <row r="702" spans="1:21">
      <c r="A702" s="3">
        <v>45703.052002314813</v>
      </c>
      <c r="B702" s="2" t="s">
        <v>26</v>
      </c>
      <c r="C702" s="2" t="s">
        <v>11</v>
      </c>
      <c r="D702" s="6" t="str">
        <f>CONCATENATE(YEAR(A702),"/",IF(MONTH(A702)&lt;10,CONCATENATE("0",MONTH(A702)),MONTH(A702)))</f>
        <v>2025/02</v>
      </c>
      <c r="E702" s="8" t="str">
        <f>IF(IF(D702&lt;&gt;D701,1,IF(OR(B702&lt;&gt;B701,A702-A701&gt;$U$1),1,""))&lt;&gt;1,"",IF(C702="B01",1965,IF(C702="B02",1020,IF(C702="B05",2400,IF(C702="B03",4260,IF(C702="B04",2880,IF(C702="B20",1260,0)))))))</f>
        <v/>
      </c>
      <c r="F702" s="8" t="str">
        <f>IF(IF(D702&lt;&gt;D701,1,IF(OR(B702&lt;&gt;B701,A702-A701&gt;$U$1),1,""))&lt;&gt;1,"",IF(C702="B01",1,IF(C702="B05",1,IF(C702="B03",1,IF(C702="B04",1,IF(C702="B20",1,IF(C702="B02",1,0)))))))</f>
        <v/>
      </c>
      <c r="G702"/>
      <c r="H702" s="2"/>
      <c r="I702" s="2"/>
      <c r="L702"/>
      <c r="R702"/>
      <c r="S702" s="5"/>
      <c r="U702" s="5"/>
    </row>
    <row r="703" spans="1:21">
      <c r="A703" s="3">
        <v>45703.232361111113</v>
      </c>
      <c r="B703" s="2" t="s">
        <v>26</v>
      </c>
      <c r="C703" s="2" t="s">
        <v>11</v>
      </c>
      <c r="D703" s="6" t="str">
        <f>CONCATENATE(YEAR(A703),"/",IF(MONTH(A703)&lt;10,CONCATENATE("0",MONTH(A703)),MONTH(A703)))</f>
        <v>2025/02</v>
      </c>
      <c r="E703" s="8">
        <f>IF(IF(D703&lt;&gt;D702,1,IF(OR(B703&lt;&gt;B702,A703-A702&gt;$U$1),1,""))&lt;&gt;1,"",IF(C703="B01",1965,IF(C703="B02",1020,IF(C703="B05",2400,IF(C703="B03",4260,IF(C703="B04",2880,IF(C703="B20",1260,0)))))))</f>
        <v>2400</v>
      </c>
      <c r="F703" s="8">
        <f>IF(IF(D703&lt;&gt;D702,1,IF(OR(B703&lt;&gt;B702,A703-A702&gt;$U$1),1,""))&lt;&gt;1,"",IF(C703="B01",1,IF(C703="B05",1,IF(C703="B03",1,IF(C703="B04",1,IF(C703="B20",1,IF(C703="B02",1,0)))))))</f>
        <v>1</v>
      </c>
      <c r="G703"/>
      <c r="H703" s="2"/>
      <c r="I703" s="2"/>
      <c r="L703"/>
      <c r="R703"/>
      <c r="S703" s="5"/>
      <c r="U703" s="5"/>
    </row>
    <row r="704" spans="1:21">
      <c r="A704" s="3">
        <v>45703.232361111113</v>
      </c>
      <c r="B704" s="2" t="s">
        <v>26</v>
      </c>
      <c r="C704" s="2" t="s">
        <v>11</v>
      </c>
      <c r="D704" s="6" t="str">
        <f>CONCATENATE(YEAR(A704),"/",IF(MONTH(A704)&lt;10,CONCATENATE("0",MONTH(A704)),MONTH(A704)))</f>
        <v>2025/02</v>
      </c>
      <c r="E704" s="8" t="str">
        <f>IF(IF(D704&lt;&gt;D703,1,IF(OR(B704&lt;&gt;B703,A704-A703&gt;$U$1),1,""))&lt;&gt;1,"",IF(C704="B01",1965,IF(C704="B02",1020,IF(C704="B05",2400,IF(C704="B03",4260,IF(C704="B04",2880,IF(C704="B20",1260,0)))))))</f>
        <v/>
      </c>
      <c r="F704" s="8" t="str">
        <f>IF(IF(D704&lt;&gt;D703,1,IF(OR(B704&lt;&gt;B703,A704-A703&gt;$U$1),1,""))&lt;&gt;1,"",IF(C704="B01",1,IF(C704="B05",1,IF(C704="B03",1,IF(C704="B04",1,IF(C704="B20",1,IF(C704="B02",1,0)))))))</f>
        <v/>
      </c>
      <c r="G704"/>
      <c r="H704" s="2"/>
      <c r="I704" s="2"/>
      <c r="L704"/>
      <c r="R704"/>
      <c r="S704" s="5"/>
      <c r="U704" s="5"/>
    </row>
    <row r="705" spans="1:21">
      <c r="A705" s="3">
        <v>45703.829050925924</v>
      </c>
      <c r="B705" s="2" t="s">
        <v>26</v>
      </c>
      <c r="C705" s="2" t="s">
        <v>11</v>
      </c>
      <c r="D705" s="6" t="str">
        <f>CONCATENATE(YEAR(A705),"/",IF(MONTH(A705)&lt;10,CONCATENATE("0",MONTH(A705)),MONTH(A705)))</f>
        <v>2025/02</v>
      </c>
      <c r="E705" s="8">
        <f>IF(IF(D705&lt;&gt;D704,1,IF(OR(B705&lt;&gt;B704,A705-A704&gt;$U$1),1,""))&lt;&gt;1,"",IF(C705="B01",1965,IF(C705="B02",1020,IF(C705="B05",2400,IF(C705="B03",4260,IF(C705="B04",2880,IF(C705="B20",1260,0)))))))</f>
        <v>2400</v>
      </c>
      <c r="F705" s="8">
        <f>IF(IF(D705&lt;&gt;D704,1,IF(OR(B705&lt;&gt;B704,A705-A704&gt;$U$1),1,""))&lt;&gt;1,"",IF(C705="B01",1,IF(C705="B05",1,IF(C705="B03",1,IF(C705="B04",1,IF(C705="B20",1,IF(C705="B02",1,0)))))))</f>
        <v>1</v>
      </c>
      <c r="G705"/>
      <c r="H705" s="2"/>
      <c r="I705" s="2"/>
      <c r="L705"/>
      <c r="R705"/>
      <c r="S705" s="5"/>
      <c r="U705" s="5"/>
    </row>
    <row r="706" spans="1:21">
      <c r="A706" s="3">
        <v>45703.829050925924</v>
      </c>
      <c r="B706" s="2" t="s">
        <v>26</v>
      </c>
      <c r="C706" s="2" t="s">
        <v>11</v>
      </c>
      <c r="D706" s="6" t="str">
        <f>CONCATENATE(YEAR(A706),"/",IF(MONTH(A706)&lt;10,CONCATENATE("0",MONTH(A706)),MONTH(A706)))</f>
        <v>2025/02</v>
      </c>
      <c r="E706" s="8" t="str">
        <f>IF(IF(D706&lt;&gt;D705,1,IF(OR(B706&lt;&gt;B705,A706-A705&gt;$U$1),1,""))&lt;&gt;1,"",IF(C706="B01",1965,IF(C706="B02",1020,IF(C706="B05",2400,IF(C706="B03",4260,IF(C706="B04",2880,IF(C706="B20",1260,0)))))))</f>
        <v/>
      </c>
      <c r="F706" s="8" t="str">
        <f>IF(IF(D706&lt;&gt;D705,1,IF(OR(B706&lt;&gt;B705,A706-A705&gt;$U$1),1,""))&lt;&gt;1,"",IF(C706="B01",1,IF(C706="B05",1,IF(C706="B03",1,IF(C706="B04",1,IF(C706="B20",1,IF(C706="B02",1,0)))))))</f>
        <v/>
      </c>
      <c r="G706"/>
      <c r="H706" s="2"/>
      <c r="I706" s="2"/>
      <c r="L706"/>
      <c r="R706"/>
      <c r="S706" s="5"/>
      <c r="U706" s="5"/>
    </row>
    <row r="707" spans="1:21">
      <c r="A707" s="3">
        <v>45703.958310185182</v>
      </c>
      <c r="B707" s="2" t="s">
        <v>26</v>
      </c>
      <c r="C707" s="2" t="s">
        <v>12</v>
      </c>
      <c r="D707" s="6" t="str">
        <f>CONCATENATE(YEAR(A707),"/",IF(MONTH(A707)&lt;10,CONCATENATE("0",MONTH(A707)),MONTH(A707)))</f>
        <v>2025/02</v>
      </c>
      <c r="E707" s="8">
        <f>IF(IF(D707&lt;&gt;D706,1,IF(OR(B707&lt;&gt;B706,A707-A706&gt;$U$1),1,""))&lt;&gt;1,"",IF(C707="B01",1965,IF(C707="B02",1020,IF(C707="B05",2400,IF(C707="B03",4260,IF(C707="B04",2880,IF(C707="B20",1260,0)))))))</f>
        <v>4260</v>
      </c>
      <c r="F707" s="8">
        <f>IF(IF(D707&lt;&gt;D706,1,IF(OR(B707&lt;&gt;B706,A707-A706&gt;$U$1),1,""))&lt;&gt;1,"",IF(C707="B01",1,IF(C707="B05",1,IF(C707="B03",1,IF(C707="B04",1,IF(C707="B20",1,IF(C707="B02",1,0)))))))</f>
        <v>1</v>
      </c>
      <c r="G707"/>
      <c r="H707" s="2"/>
      <c r="I707" s="2"/>
      <c r="L707"/>
      <c r="R707"/>
      <c r="S707" s="5"/>
      <c r="U707" s="5"/>
    </row>
    <row r="708" spans="1:21">
      <c r="A708" s="3">
        <v>45703.958310185182</v>
      </c>
      <c r="B708" s="2" t="s">
        <v>26</v>
      </c>
      <c r="C708" s="2" t="s">
        <v>12</v>
      </c>
      <c r="D708" s="6" t="str">
        <f>CONCATENATE(YEAR(A708),"/",IF(MONTH(A708)&lt;10,CONCATENATE("0",MONTH(A708)),MONTH(A708)))</f>
        <v>2025/02</v>
      </c>
      <c r="E708" s="8" t="str">
        <f>IF(IF(D708&lt;&gt;D707,1,IF(OR(B708&lt;&gt;B707,A708-A707&gt;$U$1),1,""))&lt;&gt;1,"",IF(C708="B01",1965,IF(C708="B02",1020,IF(C708="B05",2400,IF(C708="B03",4260,IF(C708="B04",2880,IF(C708="B20",1260,0)))))))</f>
        <v/>
      </c>
      <c r="F708" s="8" t="str">
        <f>IF(IF(D708&lt;&gt;D707,1,IF(OR(B708&lt;&gt;B707,A708-A707&gt;$U$1),1,""))&lt;&gt;1,"",IF(C708="B01",1,IF(C708="B05",1,IF(C708="B03",1,IF(C708="B04",1,IF(C708="B20",1,IF(C708="B02",1,0)))))))</f>
        <v/>
      </c>
      <c r="G708"/>
      <c r="H708" s="2"/>
      <c r="I708" s="2"/>
      <c r="L708"/>
      <c r="R708"/>
      <c r="S708" s="5"/>
      <c r="U708" s="5"/>
    </row>
    <row r="709" spans="1:21">
      <c r="A709" s="3">
        <v>45704.084641203706</v>
      </c>
      <c r="B709" s="2" t="s">
        <v>26</v>
      </c>
      <c r="C709" s="2" t="s">
        <v>11</v>
      </c>
      <c r="D709" s="6" t="str">
        <f>CONCATENATE(YEAR(A709),"/",IF(MONTH(A709)&lt;10,CONCATENATE("0",MONTH(A709)),MONTH(A709)))</f>
        <v>2025/02</v>
      </c>
      <c r="E709" s="8">
        <f>IF(IF(D709&lt;&gt;D708,1,IF(OR(B709&lt;&gt;B708,A709-A708&gt;$U$1),1,""))&lt;&gt;1,"",IF(C709="B01",1965,IF(C709="B02",1020,IF(C709="B05",2400,IF(C709="B03",4260,IF(C709="B04",2880,IF(C709="B20",1260,0)))))))</f>
        <v>2400</v>
      </c>
      <c r="F709" s="8">
        <f>IF(IF(D709&lt;&gt;D708,1,IF(OR(B709&lt;&gt;B708,A709-A708&gt;$U$1),1,""))&lt;&gt;1,"",IF(C709="B01",1,IF(C709="B05",1,IF(C709="B03",1,IF(C709="B04",1,IF(C709="B20",1,IF(C709="B02",1,0)))))))</f>
        <v>1</v>
      </c>
      <c r="G709"/>
      <c r="H709" s="2"/>
      <c r="I709" s="2"/>
      <c r="L709"/>
      <c r="R709"/>
      <c r="S709" s="5"/>
      <c r="U709" s="5"/>
    </row>
    <row r="710" spans="1:21">
      <c r="A710" s="3">
        <v>45704.084641203706</v>
      </c>
      <c r="B710" s="2" t="s">
        <v>26</v>
      </c>
      <c r="C710" s="2" t="s">
        <v>11</v>
      </c>
      <c r="D710" s="6" t="str">
        <f>CONCATENATE(YEAR(A710),"/",IF(MONTH(A710)&lt;10,CONCATENATE("0",MONTH(A710)),MONTH(A710)))</f>
        <v>2025/02</v>
      </c>
      <c r="E710" s="8" t="str">
        <f>IF(IF(D710&lt;&gt;D709,1,IF(OR(B710&lt;&gt;B709,A710-A709&gt;$U$1),1,""))&lt;&gt;1,"",IF(C710="B01",1965,IF(C710="B02",1020,IF(C710="B05",2400,IF(C710="B03",4260,IF(C710="B04",2880,IF(C710="B20",1260,0)))))))</f>
        <v/>
      </c>
      <c r="F710" s="8" t="str">
        <f>IF(IF(D710&lt;&gt;D709,1,IF(OR(B710&lt;&gt;B709,A710-A709&gt;$U$1),1,""))&lt;&gt;1,"",IF(C710="B01",1,IF(C710="B05",1,IF(C710="B03",1,IF(C710="B04",1,IF(C710="B20",1,IF(C710="B02",1,0)))))))</f>
        <v/>
      </c>
      <c r="G710"/>
      <c r="H710" s="2"/>
      <c r="I710" s="2"/>
      <c r="L710"/>
      <c r="R710"/>
      <c r="S710" s="5"/>
      <c r="U710" s="5"/>
    </row>
    <row r="711" spans="1:21">
      <c r="A711" s="3">
        <v>45704.084641203706</v>
      </c>
      <c r="B711" s="2" t="s">
        <v>26</v>
      </c>
      <c r="C711" s="2" t="s">
        <v>11</v>
      </c>
      <c r="D711" s="6" t="str">
        <f>CONCATENATE(YEAR(A711),"/",IF(MONTH(A711)&lt;10,CONCATENATE("0",MONTH(A711)),MONTH(A711)))</f>
        <v>2025/02</v>
      </c>
      <c r="E711" s="8" t="str">
        <f>IF(IF(D711&lt;&gt;D710,1,IF(OR(B711&lt;&gt;B710,A711-A710&gt;$U$1),1,""))&lt;&gt;1,"",IF(C711="B01",1965,IF(C711="B02",1020,IF(C711="B05",2400,IF(C711="B03",4260,IF(C711="B04",2880,IF(C711="B20",1260,0)))))))</f>
        <v/>
      </c>
      <c r="F711" s="8" t="str">
        <f>IF(IF(D711&lt;&gt;D710,1,IF(OR(B711&lt;&gt;B710,A711-A710&gt;$U$1),1,""))&lt;&gt;1,"",IF(C711="B01",1,IF(C711="B05",1,IF(C711="B03",1,IF(C711="B04",1,IF(C711="B20",1,IF(C711="B02",1,0)))))))</f>
        <v/>
      </c>
      <c r="G711"/>
      <c r="H711" s="2"/>
      <c r="I711" s="2"/>
      <c r="L711"/>
      <c r="R711"/>
      <c r="S711" s="5"/>
      <c r="U711" s="5"/>
    </row>
    <row r="712" spans="1:21">
      <c r="A712" s="3">
        <v>45704.248645833337</v>
      </c>
      <c r="B712" s="2" t="s">
        <v>26</v>
      </c>
      <c r="C712" s="2" t="s">
        <v>11</v>
      </c>
      <c r="D712" s="6" t="str">
        <f>CONCATENATE(YEAR(A712),"/",IF(MONTH(A712)&lt;10,CONCATENATE("0",MONTH(A712)),MONTH(A712)))</f>
        <v>2025/02</v>
      </c>
      <c r="E712" s="8">
        <f>IF(IF(D712&lt;&gt;D711,1,IF(OR(B712&lt;&gt;B711,A712-A711&gt;$U$1),1,""))&lt;&gt;1,"",IF(C712="B01",1965,IF(C712="B02",1020,IF(C712="B05",2400,IF(C712="B03",4260,IF(C712="B04",2880,IF(C712="B20",1260,0)))))))</f>
        <v>2400</v>
      </c>
      <c r="F712" s="8">
        <f>IF(IF(D712&lt;&gt;D711,1,IF(OR(B712&lt;&gt;B711,A712-A711&gt;$U$1),1,""))&lt;&gt;1,"",IF(C712="B01",1,IF(C712="B05",1,IF(C712="B03",1,IF(C712="B04",1,IF(C712="B20",1,IF(C712="B02",1,0)))))))</f>
        <v>1</v>
      </c>
      <c r="G712"/>
      <c r="H712" s="2"/>
      <c r="I712" s="2"/>
      <c r="L712"/>
      <c r="R712"/>
      <c r="S712" s="5"/>
      <c r="U712" s="5"/>
    </row>
    <row r="713" spans="1:21">
      <c r="A713" s="3">
        <v>45704.248645833337</v>
      </c>
      <c r="B713" s="2" t="s">
        <v>26</v>
      </c>
      <c r="C713" s="2" t="s">
        <v>11</v>
      </c>
      <c r="D713" s="6" t="str">
        <f>CONCATENATE(YEAR(A713),"/",IF(MONTH(A713)&lt;10,CONCATENATE("0",MONTH(A713)),MONTH(A713)))</f>
        <v>2025/02</v>
      </c>
      <c r="E713" s="8" t="str">
        <f>IF(IF(D713&lt;&gt;D712,1,IF(OR(B713&lt;&gt;B712,A713-A712&gt;$U$1),1,""))&lt;&gt;1,"",IF(C713="B01",1965,IF(C713="B02",1020,IF(C713="B05",2400,IF(C713="B03",4260,IF(C713="B04",2880,IF(C713="B20",1260,0)))))))</f>
        <v/>
      </c>
      <c r="F713" s="8" t="str">
        <f>IF(IF(D713&lt;&gt;D712,1,IF(OR(B713&lt;&gt;B712,A713-A712&gt;$U$1),1,""))&lt;&gt;1,"",IF(C713="B01",1,IF(C713="B05",1,IF(C713="B03",1,IF(C713="B04",1,IF(C713="B20",1,IF(C713="B02",1,0)))))))</f>
        <v/>
      </c>
      <c r="G713"/>
      <c r="H713" s="2"/>
      <c r="I713" s="2"/>
      <c r="L713"/>
      <c r="R713"/>
      <c r="S713" s="5"/>
      <c r="U713" s="5"/>
    </row>
    <row r="714" spans="1:21">
      <c r="A714" s="3">
        <v>45704.523449074077</v>
      </c>
      <c r="B714" s="2" t="s">
        <v>26</v>
      </c>
      <c r="C714" s="2" t="s">
        <v>12</v>
      </c>
      <c r="D714" s="6" t="str">
        <f>CONCATENATE(YEAR(A714),"/",IF(MONTH(A714)&lt;10,CONCATENATE("0",MONTH(A714)),MONTH(A714)))</f>
        <v>2025/02</v>
      </c>
      <c r="E714" s="8">
        <f>IF(IF(D714&lt;&gt;D713,1,IF(OR(B714&lt;&gt;B713,A714-A713&gt;$U$1),1,""))&lt;&gt;1,"",IF(C714="B01",1965,IF(C714="B02",1020,IF(C714="B05",2400,IF(C714="B03",4260,IF(C714="B04",2880,IF(C714="B20",1260,0)))))))</f>
        <v>4260</v>
      </c>
      <c r="F714" s="8">
        <f>IF(IF(D714&lt;&gt;D713,1,IF(OR(B714&lt;&gt;B713,A714-A713&gt;$U$1),1,""))&lt;&gt;1,"",IF(C714="B01",1,IF(C714="B05",1,IF(C714="B03",1,IF(C714="B04",1,IF(C714="B20",1,IF(C714="B02",1,0)))))))</f>
        <v>1</v>
      </c>
      <c r="G714"/>
      <c r="H714" s="2"/>
      <c r="I714" s="2"/>
      <c r="L714"/>
      <c r="R714"/>
      <c r="S714" s="5"/>
      <c r="U714" s="5"/>
    </row>
    <row r="715" spans="1:21">
      <c r="A715" s="3">
        <v>45704.8125462963</v>
      </c>
      <c r="B715" s="2" t="s">
        <v>26</v>
      </c>
      <c r="C715" s="2" t="s">
        <v>11</v>
      </c>
      <c r="D715" s="6" t="str">
        <f>CONCATENATE(YEAR(A715),"/",IF(MONTH(A715)&lt;10,CONCATENATE("0",MONTH(A715)),MONTH(A715)))</f>
        <v>2025/02</v>
      </c>
      <c r="E715" s="8">
        <f>IF(IF(D715&lt;&gt;D714,1,IF(OR(B715&lt;&gt;B714,A715-A714&gt;$U$1),1,""))&lt;&gt;1,"",IF(C715="B01",1965,IF(C715="B02",1020,IF(C715="B05",2400,IF(C715="B03",4260,IF(C715="B04",2880,IF(C715="B20",1260,0)))))))</f>
        <v>2400</v>
      </c>
      <c r="F715" s="8">
        <f>IF(IF(D715&lt;&gt;D714,1,IF(OR(B715&lt;&gt;B714,A715-A714&gt;$U$1),1,""))&lt;&gt;1,"",IF(C715="B01",1,IF(C715="B05",1,IF(C715="B03",1,IF(C715="B04",1,IF(C715="B20",1,IF(C715="B02",1,0)))))))</f>
        <v>1</v>
      </c>
      <c r="G715"/>
      <c r="H715" s="2"/>
      <c r="I715" s="2"/>
      <c r="L715"/>
      <c r="R715"/>
      <c r="S715" s="5"/>
      <c r="U715" s="5"/>
    </row>
    <row r="716" spans="1:21">
      <c r="A716" s="3">
        <v>45704.8125462963</v>
      </c>
      <c r="B716" s="2" t="s">
        <v>26</v>
      </c>
      <c r="C716" s="2" t="s">
        <v>11</v>
      </c>
      <c r="D716" s="6" t="str">
        <f>CONCATENATE(YEAR(A716),"/",IF(MONTH(A716)&lt;10,CONCATENATE("0",MONTH(A716)),MONTH(A716)))</f>
        <v>2025/02</v>
      </c>
      <c r="E716" s="8" t="str">
        <f>IF(IF(D716&lt;&gt;D715,1,IF(OR(B716&lt;&gt;B715,A716-A715&gt;$U$1),1,""))&lt;&gt;1,"",IF(C716="B01",1965,IF(C716="B02",1020,IF(C716="B05",2400,IF(C716="B03",4260,IF(C716="B04",2880,IF(C716="B20",1260,0)))))))</f>
        <v/>
      </c>
      <c r="F716" s="8" t="str">
        <f>IF(IF(D716&lt;&gt;D715,1,IF(OR(B716&lt;&gt;B715,A716-A715&gt;$U$1),1,""))&lt;&gt;1,"",IF(C716="B01",1,IF(C716="B05",1,IF(C716="B03",1,IF(C716="B04",1,IF(C716="B20",1,IF(C716="B02",1,0)))))))</f>
        <v/>
      </c>
      <c r="G716"/>
      <c r="H716" s="2"/>
      <c r="I716" s="2"/>
      <c r="L716"/>
      <c r="R716"/>
      <c r="S716" s="5"/>
      <c r="U716" s="5"/>
    </row>
    <row r="717" spans="1:21">
      <c r="A717" s="3">
        <v>45704.8125462963</v>
      </c>
      <c r="B717" s="2" t="s">
        <v>26</v>
      </c>
      <c r="C717" s="2" t="s">
        <v>11</v>
      </c>
      <c r="D717" s="6" t="str">
        <f>CONCATENATE(YEAR(A717),"/",IF(MONTH(A717)&lt;10,CONCATENATE("0",MONTH(A717)),MONTH(A717)))</f>
        <v>2025/02</v>
      </c>
      <c r="E717" s="8" t="str">
        <f>IF(IF(D717&lt;&gt;D716,1,IF(OR(B717&lt;&gt;B716,A717-A716&gt;$U$1),1,""))&lt;&gt;1,"",IF(C717="B01",1965,IF(C717="B02",1020,IF(C717="B05",2400,IF(C717="B03",4260,IF(C717="B04",2880,IF(C717="B20",1260,0)))))))</f>
        <v/>
      </c>
      <c r="F717" s="8" t="str">
        <f>IF(IF(D717&lt;&gt;D716,1,IF(OR(B717&lt;&gt;B716,A717-A716&gt;$U$1),1,""))&lt;&gt;1,"",IF(C717="B01",1,IF(C717="B05",1,IF(C717="B03",1,IF(C717="B04",1,IF(C717="B20",1,IF(C717="B02",1,0)))))))</f>
        <v/>
      </c>
      <c r="G717"/>
      <c r="H717" s="2"/>
      <c r="I717" s="2"/>
      <c r="L717"/>
      <c r="R717"/>
      <c r="S717" s="5"/>
      <c r="U717" s="5"/>
    </row>
    <row r="718" spans="1:21">
      <c r="A718" s="3">
        <v>45704.926979166667</v>
      </c>
      <c r="B718" s="2" t="s">
        <v>26</v>
      </c>
      <c r="C718" s="2" t="s">
        <v>11</v>
      </c>
      <c r="D718" s="6" t="str">
        <f>CONCATENATE(YEAR(A718),"/",IF(MONTH(A718)&lt;10,CONCATENATE("0",MONTH(A718)),MONTH(A718)))</f>
        <v>2025/02</v>
      </c>
      <c r="E718" s="8">
        <f>IF(IF(D718&lt;&gt;D717,1,IF(OR(B718&lt;&gt;B717,A718-A717&gt;$U$1),1,""))&lt;&gt;1,"",IF(C718="B01",1965,IF(C718="B02",1020,IF(C718="B05",2400,IF(C718="B03",4260,IF(C718="B04",2880,IF(C718="B20",1260,0)))))))</f>
        <v>2400</v>
      </c>
      <c r="F718" s="8">
        <f>IF(IF(D718&lt;&gt;D717,1,IF(OR(B718&lt;&gt;B717,A718-A717&gt;$U$1),1,""))&lt;&gt;1,"",IF(C718="B01",1,IF(C718="B05",1,IF(C718="B03",1,IF(C718="B04",1,IF(C718="B20",1,IF(C718="B02",1,0)))))))</f>
        <v>1</v>
      </c>
      <c r="G718"/>
      <c r="H718" s="2"/>
      <c r="I718" s="2"/>
      <c r="L718"/>
      <c r="R718"/>
      <c r="S718" s="5"/>
      <c r="U718" s="5"/>
    </row>
    <row r="719" spans="1:21">
      <c r="A719" s="3">
        <v>45704.926979166667</v>
      </c>
      <c r="B719" s="2" t="s">
        <v>26</v>
      </c>
      <c r="C719" s="2" t="s">
        <v>11</v>
      </c>
      <c r="D719" s="6" t="str">
        <f>CONCATENATE(YEAR(A719),"/",IF(MONTH(A719)&lt;10,CONCATENATE("0",MONTH(A719)),MONTH(A719)))</f>
        <v>2025/02</v>
      </c>
      <c r="E719" s="8" t="str">
        <f>IF(IF(D719&lt;&gt;D718,1,IF(OR(B719&lt;&gt;B718,A719-A718&gt;$U$1),1,""))&lt;&gt;1,"",IF(C719="B01",1965,IF(C719="B02",1020,IF(C719="B05",2400,IF(C719="B03",4260,IF(C719="B04",2880,IF(C719="B20",1260,0)))))))</f>
        <v/>
      </c>
      <c r="F719" s="8" t="str">
        <f>IF(IF(D719&lt;&gt;D718,1,IF(OR(B719&lt;&gt;B718,A719-A718&gt;$U$1),1,""))&lt;&gt;1,"",IF(C719="B01",1,IF(C719="B05",1,IF(C719="B03",1,IF(C719="B04",1,IF(C719="B20",1,IF(C719="B02",1,0)))))))</f>
        <v/>
      </c>
      <c r="G719"/>
      <c r="H719" s="2"/>
      <c r="I719" s="2"/>
      <c r="L719"/>
      <c r="R719"/>
      <c r="S719" s="5"/>
      <c r="U719" s="5"/>
    </row>
    <row r="720" spans="1:21">
      <c r="A720" s="3">
        <v>45705.109085648146</v>
      </c>
      <c r="B720" s="2" t="s">
        <v>26</v>
      </c>
      <c r="C720" s="2" t="s">
        <v>11</v>
      </c>
      <c r="D720" s="6" t="str">
        <f>CONCATENATE(YEAR(A720),"/",IF(MONTH(A720)&lt;10,CONCATENATE("0",MONTH(A720)),MONTH(A720)))</f>
        <v>2025/02</v>
      </c>
      <c r="E720" s="8">
        <f>IF(IF(D720&lt;&gt;D719,1,IF(OR(B720&lt;&gt;B719,A720-A719&gt;$U$1),1,""))&lt;&gt;1,"",IF(C720="B01",1965,IF(C720="B02",1020,IF(C720="B05",2400,IF(C720="B03",4260,IF(C720="B04",2880,IF(C720="B20",1260,0)))))))</f>
        <v>2400</v>
      </c>
      <c r="F720" s="8">
        <f>IF(IF(D720&lt;&gt;D719,1,IF(OR(B720&lt;&gt;B719,A720-A719&gt;$U$1),1,""))&lt;&gt;1,"",IF(C720="B01",1,IF(C720="B05",1,IF(C720="B03",1,IF(C720="B04",1,IF(C720="B20",1,IF(C720="B02",1,0)))))))</f>
        <v>1</v>
      </c>
      <c r="G720"/>
      <c r="H720" s="2"/>
      <c r="I720" s="2"/>
      <c r="L720"/>
      <c r="R720"/>
      <c r="S720" s="5"/>
      <c r="U720" s="5"/>
    </row>
    <row r="721" spans="1:21">
      <c r="A721" s="3">
        <v>45705.109085648146</v>
      </c>
      <c r="B721" s="2" t="s">
        <v>26</v>
      </c>
      <c r="C721" s="2" t="s">
        <v>11</v>
      </c>
      <c r="D721" s="6" t="str">
        <f>CONCATENATE(YEAR(A721),"/",IF(MONTH(A721)&lt;10,CONCATENATE("0",MONTH(A721)),MONTH(A721)))</f>
        <v>2025/02</v>
      </c>
      <c r="E721" s="8" t="str">
        <f>IF(IF(D721&lt;&gt;D720,1,IF(OR(B721&lt;&gt;B720,A721-A720&gt;$U$1),1,""))&lt;&gt;1,"",IF(C721="B01",1965,IF(C721="B02",1020,IF(C721="B05",2400,IF(C721="B03",4260,IF(C721="B04",2880,IF(C721="B20",1260,0)))))))</f>
        <v/>
      </c>
      <c r="F721" s="8" t="str">
        <f>IF(IF(D721&lt;&gt;D720,1,IF(OR(B721&lt;&gt;B720,A721-A720&gt;$U$1),1,""))&lt;&gt;1,"",IF(C721="B01",1,IF(C721="B05",1,IF(C721="B03",1,IF(C721="B04",1,IF(C721="B20",1,IF(C721="B02",1,0)))))))</f>
        <v/>
      </c>
      <c r="G721"/>
      <c r="H721" s="2"/>
      <c r="I721" s="2"/>
      <c r="L721"/>
      <c r="R721"/>
      <c r="S721" s="5"/>
      <c r="U721" s="5"/>
    </row>
    <row r="722" spans="1:21">
      <c r="A722" s="3">
        <v>45705.332916666666</v>
      </c>
      <c r="B722" s="2" t="s">
        <v>26</v>
      </c>
      <c r="C722" s="2" t="s">
        <v>11</v>
      </c>
      <c r="D722" s="6" t="str">
        <f>CONCATENATE(YEAR(A722),"/",IF(MONTH(A722)&lt;10,CONCATENATE("0",MONTH(A722)),MONTH(A722)))</f>
        <v>2025/02</v>
      </c>
      <c r="E722" s="8">
        <f>IF(IF(D722&lt;&gt;D721,1,IF(OR(B722&lt;&gt;B721,A722-A721&gt;$U$1),1,""))&lt;&gt;1,"",IF(C722="B01",1965,IF(C722="B02",1020,IF(C722="B05",2400,IF(C722="B03",4260,IF(C722="B04",2880,IF(C722="B20",1260,0)))))))</f>
        <v>2400</v>
      </c>
      <c r="F722" s="8">
        <f>IF(IF(D722&lt;&gt;D721,1,IF(OR(B722&lt;&gt;B721,A722-A721&gt;$U$1),1,""))&lt;&gt;1,"",IF(C722="B01",1,IF(C722="B05",1,IF(C722="B03",1,IF(C722="B04",1,IF(C722="B20",1,IF(C722="B02",1,0)))))))</f>
        <v>1</v>
      </c>
      <c r="G722"/>
      <c r="H722" s="2"/>
      <c r="I722" s="2"/>
      <c r="L722"/>
      <c r="R722"/>
      <c r="S722" s="5"/>
      <c r="U722" s="5"/>
    </row>
    <row r="723" spans="1:21">
      <c r="A723" s="3">
        <v>45705.332916666666</v>
      </c>
      <c r="B723" s="2" t="s">
        <v>26</v>
      </c>
      <c r="C723" s="2" t="s">
        <v>11</v>
      </c>
      <c r="D723" s="6" t="str">
        <f>CONCATENATE(YEAR(A723),"/",IF(MONTH(A723)&lt;10,CONCATENATE("0",MONTH(A723)),MONTH(A723)))</f>
        <v>2025/02</v>
      </c>
      <c r="E723" s="8" t="str">
        <f>IF(IF(D723&lt;&gt;D722,1,IF(OR(B723&lt;&gt;B722,A723-A722&gt;$U$1),1,""))&lt;&gt;1,"",IF(C723="B01",1965,IF(C723="B02",1020,IF(C723="B05",2400,IF(C723="B03",4260,IF(C723="B04",2880,IF(C723="B20",1260,0)))))))</f>
        <v/>
      </c>
      <c r="F723" s="8" t="str">
        <f>IF(IF(D723&lt;&gt;D722,1,IF(OR(B723&lt;&gt;B722,A723-A722&gt;$U$1),1,""))&lt;&gt;1,"",IF(C723="B01",1,IF(C723="B05",1,IF(C723="B03",1,IF(C723="B04",1,IF(C723="B20",1,IF(C723="B02",1,0)))))))</f>
        <v/>
      </c>
      <c r="G723"/>
      <c r="H723" s="2"/>
      <c r="I723" s="2"/>
      <c r="L723"/>
      <c r="R723"/>
      <c r="S723" s="5"/>
      <c r="U723" s="5"/>
    </row>
    <row r="724" spans="1:21">
      <c r="A724" s="3">
        <v>45705.46199074074</v>
      </c>
      <c r="B724" s="2" t="s">
        <v>26</v>
      </c>
      <c r="C724" s="2" t="s">
        <v>12</v>
      </c>
      <c r="D724" s="6" t="str">
        <f>CONCATENATE(YEAR(A724),"/",IF(MONTH(A724)&lt;10,CONCATENATE("0",MONTH(A724)),MONTH(A724)))</f>
        <v>2025/02</v>
      </c>
      <c r="E724" s="8">
        <f>IF(IF(D724&lt;&gt;D723,1,IF(OR(B724&lt;&gt;B723,A724-A723&gt;$U$1),1,""))&lt;&gt;1,"",IF(C724="B01",1965,IF(C724="B02",1020,IF(C724="B05",2400,IF(C724="B03",4260,IF(C724="B04",2880,IF(C724="B20",1260,0)))))))</f>
        <v>4260</v>
      </c>
      <c r="F724" s="8">
        <f>IF(IF(D724&lt;&gt;D723,1,IF(OR(B724&lt;&gt;B723,A724-A723&gt;$U$1),1,""))&lt;&gt;1,"",IF(C724="B01",1,IF(C724="B05",1,IF(C724="B03",1,IF(C724="B04",1,IF(C724="B20",1,IF(C724="B02",1,0)))))))</f>
        <v>1</v>
      </c>
      <c r="G724"/>
      <c r="H724" s="2"/>
      <c r="I724" s="2"/>
      <c r="L724"/>
      <c r="R724"/>
      <c r="S724" s="5"/>
      <c r="U724" s="5"/>
    </row>
    <row r="725" spans="1:21">
      <c r="A725" s="3">
        <v>45705.588472222225</v>
      </c>
      <c r="B725" s="2" t="s">
        <v>26</v>
      </c>
      <c r="C725" s="2" t="s">
        <v>11</v>
      </c>
      <c r="D725" s="6" t="str">
        <f>CONCATENATE(YEAR(A725),"/",IF(MONTH(A725)&lt;10,CONCATENATE("0",MONTH(A725)),MONTH(A725)))</f>
        <v>2025/02</v>
      </c>
      <c r="E725" s="8">
        <f>IF(IF(D725&lt;&gt;D724,1,IF(OR(B725&lt;&gt;B724,A725-A724&gt;$U$1),1,""))&lt;&gt;1,"",IF(C725="B01",1965,IF(C725="B02",1020,IF(C725="B05",2400,IF(C725="B03",4260,IF(C725="B04",2880,IF(C725="B20",1260,0)))))))</f>
        <v>2400</v>
      </c>
      <c r="F725" s="8">
        <f>IF(IF(D725&lt;&gt;D724,1,IF(OR(B725&lt;&gt;B724,A725-A724&gt;$U$1),1,""))&lt;&gt;1,"",IF(C725="B01",1,IF(C725="B05",1,IF(C725="B03",1,IF(C725="B04",1,IF(C725="B20",1,IF(C725="B02",1,0)))))))</f>
        <v>1</v>
      </c>
      <c r="G725"/>
      <c r="H725" s="2"/>
      <c r="I725" s="2"/>
      <c r="L725"/>
      <c r="R725"/>
      <c r="S725" s="5"/>
      <c r="U725" s="5"/>
    </row>
    <row r="726" spans="1:21">
      <c r="A726" s="3">
        <v>45705.588472222225</v>
      </c>
      <c r="B726" s="2" t="s">
        <v>26</v>
      </c>
      <c r="C726" s="2" t="s">
        <v>11</v>
      </c>
      <c r="D726" s="6" t="str">
        <f>CONCATENATE(YEAR(A726),"/",IF(MONTH(A726)&lt;10,CONCATENATE("0",MONTH(A726)),MONTH(A726)))</f>
        <v>2025/02</v>
      </c>
      <c r="E726" s="8" t="str">
        <f>IF(IF(D726&lt;&gt;D725,1,IF(OR(B726&lt;&gt;B725,A726-A725&gt;$U$1),1,""))&lt;&gt;1,"",IF(C726="B01",1965,IF(C726="B02",1020,IF(C726="B05",2400,IF(C726="B03",4260,IF(C726="B04",2880,IF(C726="B20",1260,0)))))))</f>
        <v/>
      </c>
      <c r="F726" s="8" t="str">
        <f>IF(IF(D726&lt;&gt;D725,1,IF(OR(B726&lt;&gt;B725,A726-A725&gt;$U$1),1,""))&lt;&gt;1,"",IF(C726="B01",1,IF(C726="B05",1,IF(C726="B03",1,IF(C726="B04",1,IF(C726="B20",1,IF(C726="B02",1,0)))))))</f>
        <v/>
      </c>
      <c r="G726"/>
      <c r="H726" s="2"/>
      <c r="I726" s="2"/>
      <c r="L726"/>
      <c r="R726"/>
      <c r="S726" s="5"/>
      <c r="U726" s="5"/>
    </row>
    <row r="727" spans="1:21">
      <c r="A727" s="3">
        <v>45705.751307870371</v>
      </c>
      <c r="B727" s="2" t="s">
        <v>26</v>
      </c>
      <c r="C727" s="2" t="s">
        <v>11</v>
      </c>
      <c r="D727" s="6" t="str">
        <f>CONCATENATE(YEAR(A727),"/",IF(MONTH(A727)&lt;10,CONCATENATE("0",MONTH(A727)),MONTH(A727)))</f>
        <v>2025/02</v>
      </c>
      <c r="E727" s="8">
        <f>IF(IF(D727&lt;&gt;D726,1,IF(OR(B727&lt;&gt;B726,A727-A726&gt;$U$1),1,""))&lt;&gt;1,"",IF(C727="B01",1965,IF(C727="B02",1020,IF(C727="B05",2400,IF(C727="B03",4260,IF(C727="B04",2880,IF(C727="B20",1260,0)))))))</f>
        <v>2400</v>
      </c>
      <c r="F727" s="8">
        <f>IF(IF(D727&lt;&gt;D726,1,IF(OR(B727&lt;&gt;B726,A727-A726&gt;$U$1),1,""))&lt;&gt;1,"",IF(C727="B01",1,IF(C727="B05",1,IF(C727="B03",1,IF(C727="B04",1,IF(C727="B20",1,IF(C727="B02",1,0)))))))</f>
        <v>1</v>
      </c>
      <c r="G727"/>
      <c r="H727" s="2"/>
      <c r="I727" s="2"/>
      <c r="L727"/>
      <c r="R727"/>
      <c r="S727" s="5"/>
      <c r="U727" s="5"/>
    </row>
    <row r="728" spans="1:21">
      <c r="A728" s="3">
        <v>45705.751307870371</v>
      </c>
      <c r="B728" s="2" t="s">
        <v>26</v>
      </c>
      <c r="C728" s="2" t="s">
        <v>11</v>
      </c>
      <c r="D728" s="6" t="str">
        <f>CONCATENATE(YEAR(A728),"/",IF(MONTH(A728)&lt;10,CONCATENATE("0",MONTH(A728)),MONTH(A728)))</f>
        <v>2025/02</v>
      </c>
      <c r="E728" s="8" t="str">
        <f>IF(IF(D728&lt;&gt;D727,1,IF(OR(B728&lt;&gt;B727,A728-A727&gt;$U$1),1,""))&lt;&gt;1,"",IF(C728="B01",1965,IF(C728="B02",1020,IF(C728="B05",2400,IF(C728="B03",4260,IF(C728="B04",2880,IF(C728="B20",1260,0)))))))</f>
        <v/>
      </c>
      <c r="F728" s="8" t="str">
        <f>IF(IF(D728&lt;&gt;D727,1,IF(OR(B728&lt;&gt;B727,A728-A727&gt;$U$1),1,""))&lt;&gt;1,"",IF(C728="B01",1,IF(C728="B05",1,IF(C728="B03",1,IF(C728="B04",1,IF(C728="B20",1,IF(C728="B02",1,0)))))))</f>
        <v/>
      </c>
      <c r="G728"/>
      <c r="H728" s="2"/>
      <c r="I728" s="2"/>
      <c r="L728"/>
      <c r="R728"/>
      <c r="S728" s="5"/>
      <c r="U728" s="5"/>
    </row>
    <row r="729" spans="1:21">
      <c r="A729" s="3">
        <v>45705.870625000003</v>
      </c>
      <c r="B729" s="2" t="s">
        <v>26</v>
      </c>
      <c r="C729" s="2" t="s">
        <v>11</v>
      </c>
      <c r="D729" s="6" t="str">
        <f>CONCATENATE(YEAR(A729),"/",IF(MONTH(A729)&lt;10,CONCATENATE("0",MONTH(A729)),MONTH(A729)))</f>
        <v>2025/02</v>
      </c>
      <c r="E729" s="8">
        <f>IF(IF(D729&lt;&gt;D728,1,IF(OR(B729&lt;&gt;B728,A729-A728&gt;$U$1),1,""))&lt;&gt;1,"",IF(C729="B01",1965,IF(C729="B02",1020,IF(C729="B05",2400,IF(C729="B03",4260,IF(C729="B04",2880,IF(C729="B20",1260,0)))))))</f>
        <v>2400</v>
      </c>
      <c r="F729" s="8">
        <f>IF(IF(D729&lt;&gt;D728,1,IF(OR(B729&lt;&gt;B728,A729-A728&gt;$U$1),1,""))&lt;&gt;1,"",IF(C729="B01",1,IF(C729="B05",1,IF(C729="B03",1,IF(C729="B04",1,IF(C729="B20",1,IF(C729="B02",1,0)))))))</f>
        <v>1</v>
      </c>
      <c r="G729"/>
      <c r="H729" s="2"/>
      <c r="I729" s="2"/>
      <c r="L729"/>
      <c r="R729"/>
      <c r="S729" s="5"/>
      <c r="U729" s="5"/>
    </row>
    <row r="730" spans="1:21">
      <c r="A730" s="3">
        <v>45705.870625000003</v>
      </c>
      <c r="B730" s="2" t="s">
        <v>26</v>
      </c>
      <c r="C730" s="2" t="s">
        <v>11</v>
      </c>
      <c r="D730" s="6" t="str">
        <f>CONCATENATE(YEAR(A730),"/",IF(MONTH(A730)&lt;10,CONCATENATE("0",MONTH(A730)),MONTH(A730)))</f>
        <v>2025/02</v>
      </c>
      <c r="E730" s="8" t="str">
        <f>IF(IF(D730&lt;&gt;D729,1,IF(OR(B730&lt;&gt;B729,A730-A729&gt;$U$1),1,""))&lt;&gt;1,"",IF(C730="B01",1965,IF(C730="B02",1020,IF(C730="B05",2400,IF(C730="B03",4260,IF(C730="B04",2880,IF(C730="B20",1260,0)))))))</f>
        <v/>
      </c>
      <c r="F730" s="8" t="str">
        <f>IF(IF(D730&lt;&gt;D729,1,IF(OR(B730&lt;&gt;B729,A730-A729&gt;$U$1),1,""))&lt;&gt;1,"",IF(C730="B01",1,IF(C730="B05",1,IF(C730="B03",1,IF(C730="B04",1,IF(C730="B20",1,IF(C730="B02",1,0)))))))</f>
        <v/>
      </c>
      <c r="G730"/>
      <c r="H730" s="2"/>
      <c r="I730" s="2"/>
      <c r="L730"/>
      <c r="R730"/>
      <c r="S730" s="5"/>
      <c r="U730" s="5"/>
    </row>
    <row r="731" spans="1:21">
      <c r="A731" s="3">
        <v>45706.061006944445</v>
      </c>
      <c r="B731" s="2" t="s">
        <v>26</v>
      </c>
      <c r="C731" s="2" t="s">
        <v>12</v>
      </c>
      <c r="D731" s="6" t="str">
        <f>CONCATENATE(YEAR(A731),"/",IF(MONTH(A731)&lt;10,CONCATENATE("0",MONTH(A731)),MONTH(A731)))</f>
        <v>2025/02</v>
      </c>
      <c r="E731" s="8">
        <f>IF(IF(D731&lt;&gt;D730,1,IF(OR(B731&lt;&gt;B730,A731-A730&gt;$U$1),1,""))&lt;&gt;1,"",IF(C731="B01",1965,IF(C731="B02",1020,IF(C731="B05",2400,IF(C731="B03",4260,IF(C731="B04",2880,IF(C731="B20",1260,0)))))))</f>
        <v>4260</v>
      </c>
      <c r="F731" s="8">
        <f>IF(IF(D731&lt;&gt;D730,1,IF(OR(B731&lt;&gt;B730,A731-A730&gt;$U$1),1,""))&lt;&gt;1,"",IF(C731="B01",1,IF(C731="B05",1,IF(C731="B03",1,IF(C731="B04",1,IF(C731="B20",1,IF(C731="B02",1,0)))))))</f>
        <v>1</v>
      </c>
      <c r="G731"/>
      <c r="H731" s="2"/>
      <c r="I731" s="2"/>
      <c r="L731"/>
      <c r="R731"/>
      <c r="S731" s="5"/>
      <c r="U731" s="5"/>
    </row>
    <row r="732" spans="1:21">
      <c r="A732" s="3">
        <v>45706.061006944445</v>
      </c>
      <c r="B732" s="2" t="s">
        <v>26</v>
      </c>
      <c r="C732" s="2" t="s">
        <v>12</v>
      </c>
      <c r="D732" s="6" t="str">
        <f>CONCATENATE(YEAR(A732),"/",IF(MONTH(A732)&lt;10,CONCATENATE("0",MONTH(A732)),MONTH(A732)))</f>
        <v>2025/02</v>
      </c>
      <c r="E732" s="8" t="str">
        <f>IF(IF(D732&lt;&gt;D731,1,IF(OR(B732&lt;&gt;B731,A732-A731&gt;$U$1),1,""))&lt;&gt;1,"",IF(C732="B01",1965,IF(C732="B02",1020,IF(C732="B05",2400,IF(C732="B03",4260,IF(C732="B04",2880,IF(C732="B20",1260,0)))))))</f>
        <v/>
      </c>
      <c r="F732" s="8" t="str">
        <f>IF(IF(D732&lt;&gt;D731,1,IF(OR(B732&lt;&gt;B731,A732-A731&gt;$U$1),1,""))&lt;&gt;1,"",IF(C732="B01",1,IF(C732="B05",1,IF(C732="B03",1,IF(C732="B04",1,IF(C732="B20",1,IF(C732="B02",1,0)))))))</f>
        <v/>
      </c>
      <c r="G732"/>
      <c r="H732" s="2"/>
      <c r="I732" s="2"/>
      <c r="L732"/>
      <c r="R732"/>
      <c r="S732" s="5"/>
      <c r="U732" s="5"/>
    </row>
    <row r="733" spans="1:21">
      <c r="A733" s="3">
        <v>45706.528391203705</v>
      </c>
      <c r="B733" s="2" t="s">
        <v>26</v>
      </c>
      <c r="C733" s="2" t="s">
        <v>11</v>
      </c>
      <c r="D733" s="6" t="str">
        <f>CONCATENATE(YEAR(A733),"/",IF(MONTH(A733)&lt;10,CONCATENATE("0",MONTH(A733)),MONTH(A733)))</f>
        <v>2025/02</v>
      </c>
      <c r="E733" s="8">
        <f>IF(IF(D733&lt;&gt;D732,1,IF(OR(B733&lt;&gt;B732,A733-A732&gt;$U$1),1,""))&lt;&gt;1,"",IF(C733="B01",1965,IF(C733="B02",1020,IF(C733="B05",2400,IF(C733="B03",4260,IF(C733="B04",2880,IF(C733="B20",1260,0)))))))</f>
        <v>2400</v>
      </c>
      <c r="F733" s="8">
        <f>IF(IF(D733&lt;&gt;D732,1,IF(OR(B733&lt;&gt;B732,A733-A732&gt;$U$1),1,""))&lt;&gt;1,"",IF(C733="B01",1,IF(C733="B05",1,IF(C733="B03",1,IF(C733="B04",1,IF(C733="B20",1,IF(C733="B02",1,0)))))))</f>
        <v>1</v>
      </c>
      <c r="G733"/>
      <c r="H733" s="2"/>
      <c r="I733" s="2"/>
      <c r="L733"/>
      <c r="R733"/>
      <c r="S733" s="5"/>
      <c r="U733" s="5"/>
    </row>
    <row r="734" spans="1:21">
      <c r="A734" s="3">
        <v>45706.528391203705</v>
      </c>
      <c r="B734" s="2" t="s">
        <v>26</v>
      </c>
      <c r="C734" s="2" t="s">
        <v>11</v>
      </c>
      <c r="D734" s="6" t="str">
        <f>CONCATENATE(YEAR(A734),"/",IF(MONTH(A734)&lt;10,CONCATENATE("0",MONTH(A734)),MONTH(A734)))</f>
        <v>2025/02</v>
      </c>
      <c r="E734" s="8" t="str">
        <f>IF(IF(D734&lt;&gt;D733,1,IF(OR(B734&lt;&gt;B733,A734-A733&gt;$U$1),1,""))&lt;&gt;1,"",IF(C734="B01",1965,IF(C734="B02",1020,IF(C734="B05",2400,IF(C734="B03",4260,IF(C734="B04",2880,IF(C734="B20",1260,0)))))))</f>
        <v/>
      </c>
      <c r="F734" s="8" t="str">
        <f>IF(IF(D734&lt;&gt;D733,1,IF(OR(B734&lt;&gt;B733,A734-A733&gt;$U$1),1,""))&lt;&gt;1,"",IF(C734="B01",1,IF(C734="B05",1,IF(C734="B03",1,IF(C734="B04",1,IF(C734="B20",1,IF(C734="B02",1,0)))))))</f>
        <v/>
      </c>
      <c r="G734"/>
      <c r="H734" s="2"/>
      <c r="I734" s="2"/>
      <c r="L734"/>
      <c r="R734"/>
      <c r="S734" s="5"/>
      <c r="U734" s="5"/>
    </row>
    <row r="735" spans="1:21">
      <c r="A735" s="3">
        <v>45706.528391203705</v>
      </c>
      <c r="B735" s="2" t="s">
        <v>26</v>
      </c>
      <c r="C735" s="2" t="s">
        <v>11</v>
      </c>
      <c r="D735" s="6" t="str">
        <f>CONCATENATE(YEAR(A735),"/",IF(MONTH(A735)&lt;10,CONCATENATE("0",MONTH(A735)),MONTH(A735)))</f>
        <v>2025/02</v>
      </c>
      <c r="E735" s="8" t="str">
        <f>IF(IF(D735&lt;&gt;D734,1,IF(OR(B735&lt;&gt;B734,A735-A734&gt;$U$1),1,""))&lt;&gt;1,"",IF(C735="B01",1965,IF(C735="B02",1020,IF(C735="B05",2400,IF(C735="B03",4260,IF(C735="B04",2880,IF(C735="B20",1260,0)))))))</f>
        <v/>
      </c>
      <c r="F735" s="8" t="str">
        <f>IF(IF(D735&lt;&gt;D734,1,IF(OR(B735&lt;&gt;B734,A735-A734&gt;$U$1),1,""))&lt;&gt;1,"",IF(C735="B01",1,IF(C735="B05",1,IF(C735="B03",1,IF(C735="B04",1,IF(C735="B20",1,IF(C735="B02",1,0)))))))</f>
        <v/>
      </c>
      <c r="G735"/>
      <c r="H735" s="2"/>
      <c r="I735" s="2"/>
      <c r="L735"/>
      <c r="R735"/>
      <c r="S735" s="5"/>
      <c r="U735" s="5"/>
    </row>
    <row r="736" spans="1:21">
      <c r="A736" s="3">
        <v>45706.721736111111</v>
      </c>
      <c r="B736" s="2" t="s">
        <v>26</v>
      </c>
      <c r="C736" s="2" t="s">
        <v>11</v>
      </c>
      <c r="D736" s="6" t="str">
        <f>CONCATENATE(YEAR(A736),"/",IF(MONTH(A736)&lt;10,CONCATENATE("0",MONTH(A736)),MONTH(A736)))</f>
        <v>2025/02</v>
      </c>
      <c r="E736" s="8">
        <f>IF(IF(D736&lt;&gt;D735,1,IF(OR(B736&lt;&gt;B735,A736-A735&gt;$U$1),1,""))&lt;&gt;1,"",IF(C736="B01",1965,IF(C736="B02",1020,IF(C736="B05",2400,IF(C736="B03",4260,IF(C736="B04",2880,IF(C736="B20",1260,0)))))))</f>
        <v>2400</v>
      </c>
      <c r="F736" s="8">
        <f>IF(IF(D736&lt;&gt;D735,1,IF(OR(B736&lt;&gt;B735,A736-A735&gt;$U$1),1,""))&lt;&gt;1,"",IF(C736="B01",1,IF(C736="B05",1,IF(C736="B03",1,IF(C736="B04",1,IF(C736="B20",1,IF(C736="B02",1,0)))))))</f>
        <v>1</v>
      </c>
      <c r="G736"/>
      <c r="H736" s="2"/>
      <c r="I736" s="2"/>
      <c r="L736"/>
      <c r="R736"/>
      <c r="S736" s="5"/>
      <c r="U736" s="5"/>
    </row>
    <row r="737" spans="1:21">
      <c r="A737" s="3">
        <v>45706.721736111111</v>
      </c>
      <c r="B737" s="2" t="s">
        <v>26</v>
      </c>
      <c r="C737" s="2" t="s">
        <v>11</v>
      </c>
      <c r="D737" s="6" t="str">
        <f>CONCATENATE(YEAR(A737),"/",IF(MONTH(A737)&lt;10,CONCATENATE("0",MONTH(A737)),MONTH(A737)))</f>
        <v>2025/02</v>
      </c>
      <c r="E737" s="8" t="str">
        <f>IF(IF(D737&lt;&gt;D736,1,IF(OR(B737&lt;&gt;B736,A737-A736&gt;$U$1),1,""))&lt;&gt;1,"",IF(C737="B01",1965,IF(C737="B02",1020,IF(C737="B05",2400,IF(C737="B03",4260,IF(C737="B04",2880,IF(C737="B20",1260,0)))))))</f>
        <v/>
      </c>
      <c r="F737" s="8" t="str">
        <f>IF(IF(D737&lt;&gt;D736,1,IF(OR(B737&lt;&gt;B736,A737-A736&gt;$U$1),1,""))&lt;&gt;1,"",IF(C737="B01",1,IF(C737="B05",1,IF(C737="B03",1,IF(C737="B04",1,IF(C737="B20",1,IF(C737="B02",1,0)))))))</f>
        <v/>
      </c>
      <c r="G737"/>
      <c r="H737" s="2"/>
      <c r="I737" s="2"/>
      <c r="L737"/>
      <c r="R737"/>
      <c r="S737" s="5"/>
      <c r="U737" s="5"/>
    </row>
    <row r="738" spans="1:21">
      <c r="A738" s="3">
        <v>45706.721736111111</v>
      </c>
      <c r="B738" s="2" t="s">
        <v>26</v>
      </c>
      <c r="C738" s="2" t="s">
        <v>11</v>
      </c>
      <c r="D738" s="6" t="str">
        <f>CONCATENATE(YEAR(A738),"/",IF(MONTH(A738)&lt;10,CONCATENATE("0",MONTH(A738)),MONTH(A738)))</f>
        <v>2025/02</v>
      </c>
      <c r="E738" s="8" t="str">
        <f>IF(IF(D738&lt;&gt;D737,1,IF(OR(B738&lt;&gt;B737,A738-A737&gt;$U$1),1,""))&lt;&gt;1,"",IF(C738="B01",1965,IF(C738="B02",1020,IF(C738="B05",2400,IF(C738="B03",4260,IF(C738="B04",2880,IF(C738="B20",1260,0)))))))</f>
        <v/>
      </c>
      <c r="F738" s="8" t="str">
        <f>IF(IF(D738&lt;&gt;D737,1,IF(OR(B738&lt;&gt;B737,A738-A737&gt;$U$1),1,""))&lt;&gt;1,"",IF(C738="B01",1,IF(C738="B05",1,IF(C738="B03",1,IF(C738="B04",1,IF(C738="B20",1,IF(C738="B02",1,0)))))))</f>
        <v/>
      </c>
      <c r="G738"/>
      <c r="H738" s="2"/>
      <c r="I738" s="2"/>
      <c r="L738"/>
      <c r="R738"/>
      <c r="S738" s="5"/>
      <c r="U738" s="5"/>
    </row>
    <row r="739" spans="1:21">
      <c r="A739" s="3">
        <v>45706.886874999997</v>
      </c>
      <c r="B739" s="2" t="s">
        <v>26</v>
      </c>
      <c r="C739" s="2" t="s">
        <v>11</v>
      </c>
      <c r="D739" s="6" t="str">
        <f>CONCATENATE(YEAR(A739),"/",IF(MONTH(A739)&lt;10,CONCATENATE("0",MONTH(A739)),MONTH(A739)))</f>
        <v>2025/02</v>
      </c>
      <c r="E739" s="8">
        <f>IF(IF(D739&lt;&gt;D738,1,IF(OR(B739&lt;&gt;B738,A739-A738&gt;$U$1),1,""))&lt;&gt;1,"",IF(C739="B01",1965,IF(C739="B02",1020,IF(C739="B05",2400,IF(C739="B03",4260,IF(C739="B04",2880,IF(C739="B20",1260,0)))))))</f>
        <v>2400</v>
      </c>
      <c r="F739" s="8">
        <f>IF(IF(D739&lt;&gt;D738,1,IF(OR(B739&lt;&gt;B738,A739-A738&gt;$U$1),1,""))&lt;&gt;1,"",IF(C739="B01",1,IF(C739="B05",1,IF(C739="B03",1,IF(C739="B04",1,IF(C739="B20",1,IF(C739="B02",1,0)))))))</f>
        <v>1</v>
      </c>
      <c r="G739"/>
      <c r="H739" s="2"/>
      <c r="I739" s="2"/>
      <c r="L739"/>
      <c r="R739"/>
      <c r="S739" s="5"/>
      <c r="U739" s="5"/>
    </row>
    <row r="740" spans="1:21">
      <c r="A740" s="3">
        <v>45706.886874999997</v>
      </c>
      <c r="B740" s="2" t="s">
        <v>26</v>
      </c>
      <c r="C740" s="2" t="s">
        <v>11</v>
      </c>
      <c r="D740" s="6" t="str">
        <f>CONCATENATE(YEAR(A740),"/",IF(MONTH(A740)&lt;10,CONCATENATE("0",MONTH(A740)),MONTH(A740)))</f>
        <v>2025/02</v>
      </c>
      <c r="E740" s="8" t="str">
        <f>IF(IF(D740&lt;&gt;D739,1,IF(OR(B740&lt;&gt;B739,A740-A739&gt;$U$1),1,""))&lt;&gt;1,"",IF(C740="B01",1965,IF(C740="B02",1020,IF(C740="B05",2400,IF(C740="B03",4260,IF(C740="B04",2880,IF(C740="B20",1260,0)))))))</f>
        <v/>
      </c>
      <c r="F740" s="8" t="str">
        <f>IF(IF(D740&lt;&gt;D739,1,IF(OR(B740&lt;&gt;B739,A740-A739&gt;$U$1),1,""))&lt;&gt;1,"",IF(C740="B01",1,IF(C740="B05",1,IF(C740="B03",1,IF(C740="B04",1,IF(C740="B20",1,IF(C740="B02",1,0)))))))</f>
        <v/>
      </c>
      <c r="G740"/>
      <c r="H740" s="2"/>
      <c r="I740" s="2"/>
      <c r="L740"/>
      <c r="R740"/>
      <c r="S740" s="5"/>
      <c r="U740" s="5"/>
    </row>
    <row r="741" spans="1:21">
      <c r="A741" s="3">
        <v>45710.282986111109</v>
      </c>
      <c r="B741" s="2" t="s">
        <v>26</v>
      </c>
      <c r="C741" s="2" t="s">
        <v>11</v>
      </c>
      <c r="D741" s="6" t="str">
        <f>CONCATENATE(YEAR(A741),"/",IF(MONTH(A741)&lt;10,CONCATENATE("0",MONTH(A741)),MONTH(A741)))</f>
        <v>2025/02</v>
      </c>
      <c r="E741" s="8">
        <f>IF(IF(D741&lt;&gt;D740,1,IF(OR(B741&lt;&gt;B740,A741-A740&gt;$U$1),1,""))&lt;&gt;1,"",IF(C741="B01",1965,IF(C741="B02",1020,IF(C741="B05",2400,IF(C741="B03",4260,IF(C741="B04",2880,IF(C741="B20",1260,0)))))))</f>
        <v>2400</v>
      </c>
      <c r="F741" s="8">
        <f>IF(IF(D741&lt;&gt;D740,1,IF(OR(B741&lt;&gt;B740,A741-A740&gt;$U$1),1,""))&lt;&gt;1,"",IF(C741="B01",1,IF(C741="B05",1,IF(C741="B03",1,IF(C741="B04",1,IF(C741="B20",1,IF(C741="B02",1,0)))))))</f>
        <v>1</v>
      </c>
      <c r="G741"/>
      <c r="H741" s="2"/>
      <c r="I741" s="2"/>
      <c r="L741"/>
      <c r="R741"/>
      <c r="S741" s="5"/>
      <c r="U741" s="5"/>
    </row>
    <row r="742" spans="1:21">
      <c r="A742" s="3">
        <v>45710.282986111109</v>
      </c>
      <c r="B742" s="2" t="s">
        <v>26</v>
      </c>
      <c r="C742" s="2" t="s">
        <v>11</v>
      </c>
      <c r="D742" s="6" t="str">
        <f>CONCATENATE(YEAR(A742),"/",IF(MONTH(A742)&lt;10,CONCATENATE("0",MONTH(A742)),MONTH(A742)))</f>
        <v>2025/02</v>
      </c>
      <c r="E742" s="8" t="str">
        <f>IF(IF(D742&lt;&gt;D741,1,IF(OR(B742&lt;&gt;B741,A742-A741&gt;$U$1),1,""))&lt;&gt;1,"",IF(C742="B01",1965,IF(C742="B02",1020,IF(C742="B05",2400,IF(C742="B03",4260,IF(C742="B04",2880,IF(C742="B20",1260,0)))))))</f>
        <v/>
      </c>
      <c r="F742" s="8" t="str">
        <f>IF(IF(D742&lt;&gt;D741,1,IF(OR(B742&lt;&gt;B741,A742-A741&gt;$U$1),1,""))&lt;&gt;1,"",IF(C742="B01",1,IF(C742="B05",1,IF(C742="B03",1,IF(C742="B04",1,IF(C742="B20",1,IF(C742="B02",1,0)))))))</f>
        <v/>
      </c>
      <c r="G742"/>
      <c r="H742" s="2"/>
      <c r="I742" s="2"/>
      <c r="L742"/>
      <c r="R742"/>
      <c r="S742" s="5"/>
      <c r="U742" s="5"/>
    </row>
    <row r="743" spans="1:21">
      <c r="A743" s="3">
        <v>45710.282986111109</v>
      </c>
      <c r="B743" s="2" t="s">
        <v>26</v>
      </c>
      <c r="C743" s="2" t="s">
        <v>11</v>
      </c>
      <c r="D743" s="6" t="str">
        <f>CONCATENATE(YEAR(A743),"/",IF(MONTH(A743)&lt;10,CONCATENATE("0",MONTH(A743)),MONTH(A743)))</f>
        <v>2025/02</v>
      </c>
      <c r="E743" s="8" t="str">
        <f>IF(IF(D743&lt;&gt;D742,1,IF(OR(B743&lt;&gt;B742,A743-A742&gt;$U$1),1,""))&lt;&gt;1,"",IF(C743="B01",1965,IF(C743="B02",1020,IF(C743="B05",2400,IF(C743="B03",4260,IF(C743="B04",2880,IF(C743="B20",1260,0)))))))</f>
        <v/>
      </c>
      <c r="F743" s="8" t="str">
        <f>IF(IF(D743&lt;&gt;D742,1,IF(OR(B743&lt;&gt;B742,A743-A742&gt;$U$1),1,""))&lt;&gt;1,"",IF(C743="B01",1,IF(C743="B05",1,IF(C743="B03",1,IF(C743="B04",1,IF(C743="B20",1,IF(C743="B02",1,0)))))))</f>
        <v/>
      </c>
      <c r="G743"/>
      <c r="H743" s="2"/>
      <c r="I743" s="2"/>
      <c r="L743"/>
      <c r="R743"/>
      <c r="S743" s="5"/>
      <c r="U743" s="5"/>
    </row>
    <row r="744" spans="1:21">
      <c r="A744" s="3">
        <v>45710.562974537039</v>
      </c>
      <c r="B744" s="2" t="s">
        <v>26</v>
      </c>
      <c r="C744" s="2" t="s">
        <v>11</v>
      </c>
      <c r="D744" s="6" t="str">
        <f>CONCATENATE(YEAR(A744),"/",IF(MONTH(A744)&lt;10,CONCATENATE("0",MONTH(A744)),MONTH(A744)))</f>
        <v>2025/02</v>
      </c>
      <c r="E744" s="8">
        <f>IF(IF(D744&lt;&gt;D743,1,IF(OR(B744&lt;&gt;B743,A744-A743&gt;$U$1),1,""))&lt;&gt;1,"",IF(C744="B01",1965,IF(C744="B02",1020,IF(C744="B05",2400,IF(C744="B03",4260,IF(C744="B04",2880,IF(C744="B20",1260,0)))))))</f>
        <v>2400</v>
      </c>
      <c r="F744" s="8">
        <f>IF(IF(D744&lt;&gt;D743,1,IF(OR(B744&lt;&gt;B743,A744-A743&gt;$U$1),1,""))&lt;&gt;1,"",IF(C744="B01",1,IF(C744="B05",1,IF(C744="B03",1,IF(C744="B04",1,IF(C744="B20",1,IF(C744="B02",1,0)))))))</f>
        <v>1</v>
      </c>
      <c r="G744"/>
      <c r="H744" s="2"/>
      <c r="I744" s="2"/>
      <c r="L744"/>
      <c r="R744"/>
      <c r="S744" s="5"/>
      <c r="U744" s="5"/>
    </row>
    <row r="745" spans="1:21">
      <c r="A745" s="3">
        <v>45710.562974537039</v>
      </c>
      <c r="B745" s="2" t="s">
        <v>26</v>
      </c>
      <c r="C745" s="2" t="s">
        <v>11</v>
      </c>
      <c r="D745" s="6" t="str">
        <f>CONCATENATE(YEAR(A745),"/",IF(MONTH(A745)&lt;10,CONCATENATE("0",MONTH(A745)),MONTH(A745)))</f>
        <v>2025/02</v>
      </c>
      <c r="E745" s="8" t="str">
        <f>IF(IF(D745&lt;&gt;D744,1,IF(OR(B745&lt;&gt;B744,A745-A744&gt;$U$1),1,""))&lt;&gt;1,"",IF(C745="B01",1965,IF(C745="B02",1020,IF(C745="B05",2400,IF(C745="B03",4260,IF(C745="B04",2880,IF(C745="B20",1260,0)))))))</f>
        <v/>
      </c>
      <c r="F745" s="8" t="str">
        <f>IF(IF(D745&lt;&gt;D744,1,IF(OR(B745&lt;&gt;B744,A745-A744&gt;$U$1),1,""))&lt;&gt;1,"",IF(C745="B01",1,IF(C745="B05",1,IF(C745="B03",1,IF(C745="B04",1,IF(C745="B20",1,IF(C745="B02",1,0)))))))</f>
        <v/>
      </c>
      <c r="G745"/>
      <c r="H745" s="2"/>
      <c r="I745" s="2"/>
      <c r="L745"/>
      <c r="R745"/>
      <c r="S745" s="5"/>
      <c r="U745" s="5"/>
    </row>
    <row r="746" spans="1:21">
      <c r="A746" s="3">
        <v>45710.562974537039</v>
      </c>
      <c r="B746" s="2" t="s">
        <v>26</v>
      </c>
      <c r="C746" s="2" t="s">
        <v>11</v>
      </c>
      <c r="D746" s="6" t="str">
        <f>CONCATENATE(YEAR(A746),"/",IF(MONTH(A746)&lt;10,CONCATENATE("0",MONTH(A746)),MONTH(A746)))</f>
        <v>2025/02</v>
      </c>
      <c r="E746" s="8" t="str">
        <f>IF(IF(D746&lt;&gt;D745,1,IF(OR(B746&lt;&gt;B745,A746-A745&gt;$U$1),1,""))&lt;&gt;1,"",IF(C746="B01",1965,IF(C746="B02",1020,IF(C746="B05",2400,IF(C746="B03",4260,IF(C746="B04",2880,IF(C746="B20",1260,0)))))))</f>
        <v/>
      </c>
      <c r="F746" s="8" t="str">
        <f>IF(IF(D746&lt;&gt;D745,1,IF(OR(B746&lt;&gt;B745,A746-A745&gt;$U$1),1,""))&lt;&gt;1,"",IF(C746="B01",1,IF(C746="B05",1,IF(C746="B03",1,IF(C746="B04",1,IF(C746="B20",1,IF(C746="B02",1,0)))))))</f>
        <v/>
      </c>
      <c r="G746"/>
      <c r="H746" s="2"/>
      <c r="I746" s="2"/>
      <c r="L746"/>
      <c r="R746"/>
      <c r="S746" s="5"/>
      <c r="U746" s="5"/>
    </row>
    <row r="747" spans="1:21">
      <c r="A747" s="3">
        <v>45710.919421296298</v>
      </c>
      <c r="B747" s="2" t="s">
        <v>26</v>
      </c>
      <c r="C747" s="2" t="s">
        <v>11</v>
      </c>
      <c r="D747" s="6" t="str">
        <f>CONCATENATE(YEAR(A747),"/",IF(MONTH(A747)&lt;10,CONCATENATE("0",MONTH(A747)),MONTH(A747)))</f>
        <v>2025/02</v>
      </c>
      <c r="E747" s="8">
        <f>IF(IF(D747&lt;&gt;D746,1,IF(OR(B747&lt;&gt;B746,A747-A746&gt;$U$1),1,""))&lt;&gt;1,"",IF(C747="B01",1965,IF(C747="B02",1020,IF(C747="B05",2400,IF(C747="B03",4260,IF(C747="B04",2880,IF(C747="B20",1260,0)))))))</f>
        <v>2400</v>
      </c>
      <c r="F747" s="8">
        <f>IF(IF(D747&lt;&gt;D746,1,IF(OR(B747&lt;&gt;B746,A747-A746&gt;$U$1),1,""))&lt;&gt;1,"",IF(C747="B01",1,IF(C747="B05",1,IF(C747="B03",1,IF(C747="B04",1,IF(C747="B20",1,IF(C747="B02",1,0)))))))</f>
        <v>1</v>
      </c>
      <c r="G747"/>
      <c r="H747" s="2"/>
      <c r="I747" s="2"/>
      <c r="L747"/>
      <c r="R747"/>
      <c r="S747" s="5"/>
      <c r="U747" s="5"/>
    </row>
    <row r="748" spans="1:21">
      <c r="A748" s="3">
        <v>45710.919421296298</v>
      </c>
      <c r="B748" s="2" t="s">
        <v>26</v>
      </c>
      <c r="C748" s="2" t="s">
        <v>11</v>
      </c>
      <c r="D748" s="6" t="str">
        <f>CONCATENATE(YEAR(A748),"/",IF(MONTH(A748)&lt;10,CONCATENATE("0",MONTH(A748)),MONTH(A748)))</f>
        <v>2025/02</v>
      </c>
      <c r="E748" s="8" t="str">
        <f>IF(IF(D748&lt;&gt;D747,1,IF(OR(B748&lt;&gt;B747,A748-A747&gt;$U$1),1,""))&lt;&gt;1,"",IF(C748="B01",1965,IF(C748="B02",1020,IF(C748="B05",2400,IF(C748="B03",4260,IF(C748="B04",2880,IF(C748="B20",1260,0)))))))</f>
        <v/>
      </c>
      <c r="F748" s="8" t="str">
        <f>IF(IF(D748&lt;&gt;D747,1,IF(OR(B748&lt;&gt;B747,A748-A747&gt;$U$1),1,""))&lt;&gt;1,"",IF(C748="B01",1,IF(C748="B05",1,IF(C748="B03",1,IF(C748="B04",1,IF(C748="B20",1,IF(C748="B02",1,0)))))))</f>
        <v/>
      </c>
      <c r="G748"/>
      <c r="H748" s="2"/>
      <c r="I748" s="2"/>
      <c r="L748"/>
      <c r="R748"/>
      <c r="S748" s="5"/>
      <c r="U748" s="5"/>
    </row>
    <row r="749" spans="1:21">
      <c r="A749" s="3">
        <v>45711.042060185187</v>
      </c>
      <c r="B749" s="2" t="s">
        <v>26</v>
      </c>
      <c r="C749" s="2" t="s">
        <v>11</v>
      </c>
      <c r="D749" s="6" t="str">
        <f>CONCATENATE(YEAR(A749),"/",IF(MONTH(A749)&lt;10,CONCATENATE("0",MONTH(A749)),MONTH(A749)))</f>
        <v>2025/02</v>
      </c>
      <c r="E749" s="8">
        <f>IF(IF(D749&lt;&gt;D748,1,IF(OR(B749&lt;&gt;B748,A749-A748&gt;$U$1),1,""))&lt;&gt;1,"",IF(C749="B01",1965,IF(C749="B02",1020,IF(C749="B05",2400,IF(C749="B03",4260,IF(C749="B04",2880,IF(C749="B20",1260,0)))))))</f>
        <v>2400</v>
      </c>
      <c r="F749" s="8">
        <f>IF(IF(D749&lt;&gt;D748,1,IF(OR(B749&lt;&gt;B748,A749-A748&gt;$U$1),1,""))&lt;&gt;1,"",IF(C749="B01",1,IF(C749="B05",1,IF(C749="B03",1,IF(C749="B04",1,IF(C749="B20",1,IF(C749="B02",1,0)))))))</f>
        <v>1</v>
      </c>
      <c r="G749"/>
      <c r="H749" s="2"/>
      <c r="I749" s="2"/>
      <c r="L749"/>
      <c r="R749"/>
      <c r="S749" s="5"/>
      <c r="U749" s="5"/>
    </row>
    <row r="750" spans="1:21">
      <c r="A750" s="3">
        <v>45711.042071759257</v>
      </c>
      <c r="B750" s="2" t="s">
        <v>26</v>
      </c>
      <c r="C750" s="2" t="s">
        <v>11</v>
      </c>
      <c r="D750" s="6" t="str">
        <f>CONCATENATE(YEAR(A750),"/",IF(MONTH(A750)&lt;10,CONCATENATE("0",MONTH(A750)),MONTH(A750)))</f>
        <v>2025/02</v>
      </c>
      <c r="E750" s="8" t="str">
        <f>IF(IF(D750&lt;&gt;D749,1,IF(OR(B750&lt;&gt;B749,A750-A749&gt;$U$1),1,""))&lt;&gt;1,"",IF(C750="B01",1965,IF(C750="B02",1020,IF(C750="B05",2400,IF(C750="B03",4260,IF(C750="B04",2880,IF(C750="B20",1260,0)))))))</f>
        <v/>
      </c>
      <c r="F750" s="8" t="str">
        <f>IF(IF(D750&lt;&gt;D749,1,IF(OR(B750&lt;&gt;B749,A750-A749&gt;$U$1),1,""))&lt;&gt;1,"",IF(C750="B01",1,IF(C750="B05",1,IF(C750="B03",1,IF(C750="B04",1,IF(C750="B20",1,IF(C750="B02",1,0)))))))</f>
        <v/>
      </c>
      <c r="G750"/>
      <c r="H750" s="2"/>
      <c r="I750" s="2"/>
      <c r="L750"/>
      <c r="R750"/>
      <c r="S750" s="5"/>
      <c r="U750" s="5"/>
    </row>
    <row r="751" spans="1:21">
      <c r="A751" s="3">
        <v>45711.042071759257</v>
      </c>
      <c r="B751" s="2" t="s">
        <v>26</v>
      </c>
      <c r="C751" s="2" t="s">
        <v>11</v>
      </c>
      <c r="D751" s="6" t="str">
        <f>CONCATENATE(YEAR(A751),"/",IF(MONTH(A751)&lt;10,CONCATENATE("0",MONTH(A751)),MONTH(A751)))</f>
        <v>2025/02</v>
      </c>
      <c r="E751" s="8" t="str">
        <f>IF(IF(D751&lt;&gt;D750,1,IF(OR(B751&lt;&gt;B750,A751-A750&gt;$U$1),1,""))&lt;&gt;1,"",IF(C751="B01",1965,IF(C751="B02",1020,IF(C751="B05",2400,IF(C751="B03",4260,IF(C751="B04",2880,IF(C751="B20",1260,0)))))))</f>
        <v/>
      </c>
      <c r="F751" s="8" t="str">
        <f>IF(IF(D751&lt;&gt;D750,1,IF(OR(B751&lt;&gt;B750,A751-A750&gt;$U$1),1,""))&lt;&gt;1,"",IF(C751="B01",1,IF(C751="B05",1,IF(C751="B03",1,IF(C751="B04",1,IF(C751="B20",1,IF(C751="B02",1,0)))))))</f>
        <v/>
      </c>
      <c r="G751"/>
      <c r="H751" s="2"/>
      <c r="I751" s="2"/>
      <c r="L751"/>
      <c r="R751"/>
      <c r="S751" s="5"/>
      <c r="U751" s="5"/>
    </row>
    <row r="752" spans="1:21">
      <c r="A752" s="3">
        <v>45711.042071759257</v>
      </c>
      <c r="B752" s="2" t="s">
        <v>26</v>
      </c>
      <c r="C752" s="2" t="s">
        <v>11</v>
      </c>
      <c r="D752" s="6" t="str">
        <f>CONCATENATE(YEAR(A752),"/",IF(MONTH(A752)&lt;10,CONCATENATE("0",MONTH(A752)),MONTH(A752)))</f>
        <v>2025/02</v>
      </c>
      <c r="E752" s="8" t="str">
        <f>IF(IF(D752&lt;&gt;D751,1,IF(OR(B752&lt;&gt;B751,A752-A751&gt;$U$1),1,""))&lt;&gt;1,"",IF(C752="B01",1965,IF(C752="B02",1020,IF(C752="B05",2400,IF(C752="B03",4260,IF(C752="B04",2880,IF(C752="B20",1260,0)))))))</f>
        <v/>
      </c>
      <c r="F752" s="8" t="str">
        <f>IF(IF(D752&lt;&gt;D751,1,IF(OR(B752&lt;&gt;B751,A752-A751&gt;$U$1),1,""))&lt;&gt;1,"",IF(C752="B01",1,IF(C752="B05",1,IF(C752="B03",1,IF(C752="B04",1,IF(C752="B20",1,IF(C752="B02",1,0)))))))</f>
        <v/>
      </c>
      <c r="G752"/>
      <c r="H752" s="2"/>
      <c r="I752" s="2"/>
      <c r="L752"/>
      <c r="R752"/>
      <c r="S752" s="5"/>
      <c r="U752" s="5"/>
    </row>
    <row r="753" spans="1:21">
      <c r="A753" s="3">
        <v>45711.254513888889</v>
      </c>
      <c r="B753" s="2" t="s">
        <v>26</v>
      </c>
      <c r="C753" s="2" t="s">
        <v>12</v>
      </c>
      <c r="D753" s="6" t="str">
        <f>CONCATENATE(YEAR(A753),"/",IF(MONTH(A753)&lt;10,CONCATENATE("0",MONTH(A753)),MONTH(A753)))</f>
        <v>2025/02</v>
      </c>
      <c r="E753" s="8">
        <f>IF(IF(D753&lt;&gt;D752,1,IF(OR(B753&lt;&gt;B752,A753-A752&gt;$U$1),1,""))&lt;&gt;1,"",IF(C753="B01",1965,IF(C753="B02",1020,IF(C753="B05",2400,IF(C753="B03",4260,IF(C753="B04",2880,IF(C753="B20",1260,0)))))))</f>
        <v>4260</v>
      </c>
      <c r="F753" s="8">
        <f>IF(IF(D753&lt;&gt;D752,1,IF(OR(B753&lt;&gt;B752,A753-A752&gt;$U$1),1,""))&lt;&gt;1,"",IF(C753="B01",1,IF(C753="B05",1,IF(C753="B03",1,IF(C753="B04",1,IF(C753="B20",1,IF(C753="B02",1,0)))))))</f>
        <v>1</v>
      </c>
      <c r="G753"/>
      <c r="H753" s="2"/>
      <c r="I753" s="2"/>
      <c r="L753"/>
      <c r="R753"/>
      <c r="S753" s="5"/>
      <c r="U753" s="5"/>
    </row>
    <row r="754" spans="1:21">
      <c r="A754" s="3">
        <v>45711.401562500003</v>
      </c>
      <c r="B754" s="2" t="s">
        <v>26</v>
      </c>
      <c r="C754" s="2" t="s">
        <v>11</v>
      </c>
      <c r="D754" s="6" t="str">
        <f>CONCATENATE(YEAR(A754),"/",IF(MONTH(A754)&lt;10,CONCATENATE("0",MONTH(A754)),MONTH(A754)))</f>
        <v>2025/02</v>
      </c>
      <c r="E754" s="8">
        <f>IF(IF(D754&lt;&gt;D753,1,IF(OR(B754&lt;&gt;B753,A754-A753&gt;$U$1),1,""))&lt;&gt;1,"",IF(C754="B01",1965,IF(C754="B02",1020,IF(C754="B05",2400,IF(C754="B03",4260,IF(C754="B04",2880,IF(C754="B20",1260,0)))))))</f>
        <v>2400</v>
      </c>
      <c r="F754" s="8">
        <f>IF(IF(D754&lt;&gt;D753,1,IF(OR(B754&lt;&gt;B753,A754-A753&gt;$U$1),1,""))&lt;&gt;1,"",IF(C754="B01",1,IF(C754="B05",1,IF(C754="B03",1,IF(C754="B04",1,IF(C754="B20",1,IF(C754="B02",1,0)))))))</f>
        <v>1</v>
      </c>
      <c r="G754"/>
      <c r="H754" s="2"/>
      <c r="I754" s="2"/>
      <c r="L754"/>
      <c r="R754"/>
      <c r="S754" s="5"/>
      <c r="U754" s="5"/>
    </row>
    <row r="755" spans="1:21">
      <c r="A755" s="3">
        <v>45711.401562500003</v>
      </c>
      <c r="B755" s="2" t="s">
        <v>26</v>
      </c>
      <c r="C755" s="2" t="s">
        <v>11</v>
      </c>
      <c r="D755" s="6" t="str">
        <f>CONCATENATE(YEAR(A755),"/",IF(MONTH(A755)&lt;10,CONCATENATE("0",MONTH(A755)),MONTH(A755)))</f>
        <v>2025/02</v>
      </c>
      <c r="E755" s="8" t="str">
        <f>IF(IF(D755&lt;&gt;D754,1,IF(OR(B755&lt;&gt;B754,A755-A754&gt;$U$1),1,""))&lt;&gt;1,"",IF(C755="B01",1965,IF(C755="B02",1020,IF(C755="B05",2400,IF(C755="B03",4260,IF(C755="B04",2880,IF(C755="B20",1260,0)))))))</f>
        <v/>
      </c>
      <c r="F755" s="8" t="str">
        <f>IF(IF(D755&lt;&gt;D754,1,IF(OR(B755&lt;&gt;B754,A755-A754&gt;$U$1),1,""))&lt;&gt;1,"",IF(C755="B01",1,IF(C755="B05",1,IF(C755="B03",1,IF(C755="B04",1,IF(C755="B20",1,IF(C755="B02",1,0)))))))</f>
        <v/>
      </c>
      <c r="G755"/>
      <c r="H755" s="2"/>
      <c r="I755" s="2"/>
      <c r="L755"/>
      <c r="R755"/>
      <c r="S755" s="5"/>
      <c r="U755" s="5"/>
    </row>
    <row r="756" spans="1:21">
      <c r="A756" s="3">
        <v>45711.704293981478</v>
      </c>
      <c r="B756" s="2" t="s">
        <v>26</v>
      </c>
      <c r="C756" s="2" t="s">
        <v>11</v>
      </c>
      <c r="D756" s="6" t="str">
        <f>CONCATENATE(YEAR(A756),"/",IF(MONTH(A756)&lt;10,CONCATENATE("0",MONTH(A756)),MONTH(A756)))</f>
        <v>2025/02</v>
      </c>
      <c r="E756" s="8">
        <f>IF(IF(D756&lt;&gt;D755,1,IF(OR(B756&lt;&gt;B755,A756-A755&gt;$U$1),1,""))&lt;&gt;1,"",IF(C756="B01",1965,IF(C756="B02",1020,IF(C756="B05",2400,IF(C756="B03",4260,IF(C756="B04",2880,IF(C756="B20",1260,0)))))))</f>
        <v>2400</v>
      </c>
      <c r="F756" s="8">
        <f>IF(IF(D756&lt;&gt;D755,1,IF(OR(B756&lt;&gt;B755,A756-A755&gt;$U$1),1,""))&lt;&gt;1,"",IF(C756="B01",1,IF(C756="B05",1,IF(C756="B03",1,IF(C756="B04",1,IF(C756="B20",1,IF(C756="B02",1,0)))))))</f>
        <v>1</v>
      </c>
      <c r="G756"/>
      <c r="H756" s="2"/>
      <c r="I756" s="2"/>
      <c r="L756"/>
      <c r="R756"/>
      <c r="S756" s="5"/>
      <c r="U756" s="5"/>
    </row>
    <row r="757" spans="1:21">
      <c r="A757" s="3">
        <v>45711.704293981478</v>
      </c>
      <c r="B757" s="2" t="s">
        <v>26</v>
      </c>
      <c r="C757" s="2" t="s">
        <v>11</v>
      </c>
      <c r="D757" s="6" t="str">
        <f>CONCATENATE(YEAR(A757),"/",IF(MONTH(A757)&lt;10,CONCATENATE("0",MONTH(A757)),MONTH(A757)))</f>
        <v>2025/02</v>
      </c>
      <c r="E757" s="8" t="str">
        <f>IF(IF(D757&lt;&gt;D756,1,IF(OR(B757&lt;&gt;B756,A757-A756&gt;$U$1),1,""))&lt;&gt;1,"",IF(C757="B01",1965,IF(C757="B02",1020,IF(C757="B05",2400,IF(C757="B03",4260,IF(C757="B04",2880,IF(C757="B20",1260,0)))))))</f>
        <v/>
      </c>
      <c r="F757" s="8" t="str">
        <f>IF(IF(D757&lt;&gt;D756,1,IF(OR(B757&lt;&gt;B756,A757-A756&gt;$U$1),1,""))&lt;&gt;1,"",IF(C757="B01",1,IF(C757="B05",1,IF(C757="B03",1,IF(C757="B04",1,IF(C757="B20",1,IF(C757="B02",1,0)))))))</f>
        <v/>
      </c>
      <c r="G757"/>
      <c r="H757" s="2"/>
      <c r="I757" s="2"/>
      <c r="L757"/>
      <c r="R757"/>
      <c r="S757" s="5"/>
      <c r="U757" s="5"/>
    </row>
    <row r="758" spans="1:21">
      <c r="A758" s="3">
        <v>45711.704293981478</v>
      </c>
      <c r="B758" s="2" t="s">
        <v>26</v>
      </c>
      <c r="C758" s="2" t="s">
        <v>11</v>
      </c>
      <c r="D758" s="6" t="str">
        <f>CONCATENATE(YEAR(A758),"/",IF(MONTH(A758)&lt;10,CONCATENATE("0",MONTH(A758)),MONTH(A758)))</f>
        <v>2025/02</v>
      </c>
      <c r="E758" s="8" t="str">
        <f>IF(IF(D758&lt;&gt;D757,1,IF(OR(B758&lt;&gt;B757,A758-A757&gt;$U$1),1,""))&lt;&gt;1,"",IF(C758="B01",1965,IF(C758="B02",1020,IF(C758="B05",2400,IF(C758="B03",4260,IF(C758="B04",2880,IF(C758="B20",1260,0)))))))</f>
        <v/>
      </c>
      <c r="F758" s="8" t="str">
        <f>IF(IF(D758&lt;&gt;D757,1,IF(OR(B758&lt;&gt;B757,A758-A757&gt;$U$1),1,""))&lt;&gt;1,"",IF(C758="B01",1,IF(C758="B05",1,IF(C758="B03",1,IF(C758="B04",1,IF(C758="B20",1,IF(C758="B02",1,0)))))))</f>
        <v/>
      </c>
      <c r="G758"/>
      <c r="H758" s="2"/>
      <c r="I758" s="2"/>
      <c r="L758"/>
      <c r="R758"/>
      <c r="S758" s="5"/>
      <c r="U758" s="5"/>
    </row>
    <row r="759" spans="1:21">
      <c r="A759" s="3">
        <v>45712.079143518517</v>
      </c>
      <c r="B759" s="2" t="s">
        <v>26</v>
      </c>
      <c r="C759" s="2" t="s">
        <v>12</v>
      </c>
      <c r="D759" s="6" t="str">
        <f>CONCATENATE(YEAR(A759),"/",IF(MONTH(A759)&lt;10,CONCATENATE("0",MONTH(A759)),MONTH(A759)))</f>
        <v>2025/02</v>
      </c>
      <c r="E759" s="8">
        <f>IF(IF(D759&lt;&gt;D758,1,IF(OR(B759&lt;&gt;B758,A759-A758&gt;$U$1),1,""))&lt;&gt;1,"",IF(C759="B01",1965,IF(C759="B02",1020,IF(C759="B05",2400,IF(C759="B03",4260,IF(C759="B04",2880,IF(C759="B20",1260,0)))))))</f>
        <v>4260</v>
      </c>
      <c r="F759" s="8">
        <f>IF(IF(D759&lt;&gt;D758,1,IF(OR(B759&lt;&gt;B758,A759-A758&gt;$U$1),1,""))&lt;&gt;1,"",IF(C759="B01",1,IF(C759="B05",1,IF(C759="B03",1,IF(C759="B04",1,IF(C759="B20",1,IF(C759="B02",1,0)))))))</f>
        <v>1</v>
      </c>
      <c r="G759"/>
      <c r="H759" s="2"/>
      <c r="I759" s="2"/>
      <c r="L759"/>
      <c r="R759"/>
      <c r="S759" s="5"/>
      <c r="U759" s="5"/>
    </row>
    <row r="760" spans="1:21">
      <c r="A760" s="3">
        <v>45712.350023148145</v>
      </c>
      <c r="B760" s="2" t="s">
        <v>26</v>
      </c>
      <c r="C760" s="2" t="s">
        <v>11</v>
      </c>
      <c r="D760" s="6" t="str">
        <f>CONCATENATE(YEAR(A760),"/",IF(MONTH(A760)&lt;10,CONCATENATE("0",MONTH(A760)),MONTH(A760)))</f>
        <v>2025/02</v>
      </c>
      <c r="E760" s="8">
        <f>IF(IF(D760&lt;&gt;D759,1,IF(OR(B760&lt;&gt;B759,A760-A759&gt;$U$1),1,""))&lt;&gt;1,"",IF(C760="B01",1965,IF(C760="B02",1020,IF(C760="B05",2400,IF(C760="B03",4260,IF(C760="B04",2880,IF(C760="B20",1260,0)))))))</f>
        <v>2400</v>
      </c>
      <c r="F760" s="8">
        <f>IF(IF(D760&lt;&gt;D759,1,IF(OR(B760&lt;&gt;B759,A760-A759&gt;$U$1),1,""))&lt;&gt;1,"",IF(C760="B01",1,IF(C760="B05",1,IF(C760="B03",1,IF(C760="B04",1,IF(C760="B20",1,IF(C760="B02",1,0)))))))</f>
        <v>1</v>
      </c>
      <c r="G760"/>
      <c r="H760" s="2"/>
      <c r="I760" s="2"/>
      <c r="L760"/>
      <c r="R760"/>
      <c r="S760" s="5"/>
      <c r="U760" s="5"/>
    </row>
    <row r="761" spans="1:21">
      <c r="A761" s="3">
        <v>45712.350023148145</v>
      </c>
      <c r="B761" s="2" t="s">
        <v>26</v>
      </c>
      <c r="C761" s="2" t="s">
        <v>11</v>
      </c>
      <c r="D761" s="6" t="str">
        <f>CONCATENATE(YEAR(A761),"/",IF(MONTH(A761)&lt;10,CONCATENATE("0",MONTH(A761)),MONTH(A761)))</f>
        <v>2025/02</v>
      </c>
      <c r="E761" s="8" t="str">
        <f>IF(IF(D761&lt;&gt;D760,1,IF(OR(B761&lt;&gt;B760,A761-A760&gt;$U$1),1,""))&lt;&gt;1,"",IF(C761="B01",1965,IF(C761="B02",1020,IF(C761="B05",2400,IF(C761="B03",4260,IF(C761="B04",2880,IF(C761="B20",1260,0)))))))</f>
        <v/>
      </c>
      <c r="F761" s="8" t="str">
        <f>IF(IF(D761&lt;&gt;D760,1,IF(OR(B761&lt;&gt;B760,A761-A760&gt;$U$1),1,""))&lt;&gt;1,"",IF(C761="B01",1,IF(C761="B05",1,IF(C761="B03",1,IF(C761="B04",1,IF(C761="B20",1,IF(C761="B02",1,0)))))))</f>
        <v/>
      </c>
      <c r="G761"/>
      <c r="H761" s="2"/>
      <c r="I761" s="2"/>
      <c r="L761"/>
      <c r="R761"/>
      <c r="S761" s="5"/>
      <c r="U761" s="5"/>
    </row>
    <row r="762" spans="1:21">
      <c r="A762" s="3">
        <v>45712.708356481482</v>
      </c>
      <c r="B762" s="2" t="s">
        <v>26</v>
      </c>
      <c r="C762" s="2" t="s">
        <v>11</v>
      </c>
      <c r="D762" s="6" t="str">
        <f>CONCATENATE(YEAR(A762),"/",IF(MONTH(A762)&lt;10,CONCATENATE("0",MONTH(A762)),MONTH(A762)))</f>
        <v>2025/02</v>
      </c>
      <c r="E762" s="8">
        <f>IF(IF(D762&lt;&gt;D761,1,IF(OR(B762&lt;&gt;B761,A762-A761&gt;$U$1),1,""))&lt;&gt;1,"",IF(C762="B01",1965,IF(C762="B02",1020,IF(C762="B05",2400,IF(C762="B03",4260,IF(C762="B04",2880,IF(C762="B20",1260,0)))))))</f>
        <v>2400</v>
      </c>
      <c r="F762" s="8">
        <f>IF(IF(D762&lt;&gt;D761,1,IF(OR(B762&lt;&gt;B761,A762-A761&gt;$U$1),1,""))&lt;&gt;1,"",IF(C762="B01",1,IF(C762="B05",1,IF(C762="B03",1,IF(C762="B04",1,IF(C762="B20",1,IF(C762="B02",1,0)))))))</f>
        <v>1</v>
      </c>
      <c r="G762"/>
      <c r="H762" s="2"/>
      <c r="I762" s="2"/>
      <c r="L762"/>
      <c r="R762"/>
      <c r="S762" s="5"/>
      <c r="U762" s="5"/>
    </row>
    <row r="763" spans="1:21">
      <c r="A763" s="3">
        <v>45712.708356481482</v>
      </c>
      <c r="B763" s="2" t="s">
        <v>26</v>
      </c>
      <c r="C763" s="2" t="s">
        <v>11</v>
      </c>
      <c r="D763" s="6" t="str">
        <f>CONCATENATE(YEAR(A763),"/",IF(MONTH(A763)&lt;10,CONCATENATE("0",MONTH(A763)),MONTH(A763)))</f>
        <v>2025/02</v>
      </c>
      <c r="E763" s="8" t="str">
        <f>IF(IF(D763&lt;&gt;D762,1,IF(OR(B763&lt;&gt;B762,A763-A762&gt;$U$1),1,""))&lt;&gt;1,"",IF(C763="B01",1965,IF(C763="B02",1020,IF(C763="B05",2400,IF(C763="B03",4260,IF(C763="B04",2880,IF(C763="B20",1260,0)))))))</f>
        <v/>
      </c>
      <c r="F763" s="8" t="str">
        <f>IF(IF(D763&lt;&gt;D762,1,IF(OR(B763&lt;&gt;B762,A763-A762&gt;$U$1),1,""))&lt;&gt;1,"",IF(C763="B01",1,IF(C763="B05",1,IF(C763="B03",1,IF(C763="B04",1,IF(C763="B20",1,IF(C763="B02",1,0)))))))</f>
        <v/>
      </c>
      <c r="G763"/>
      <c r="H763" s="2"/>
      <c r="I763" s="2"/>
      <c r="L763"/>
      <c r="R763"/>
      <c r="S763" s="5"/>
      <c r="U763" s="5"/>
    </row>
    <row r="764" spans="1:21">
      <c r="A764" s="3">
        <v>45712.708356481482</v>
      </c>
      <c r="B764" s="2" t="s">
        <v>26</v>
      </c>
      <c r="C764" s="2" t="s">
        <v>11</v>
      </c>
      <c r="D764" s="6" t="str">
        <f>CONCATENATE(YEAR(A764),"/",IF(MONTH(A764)&lt;10,CONCATENATE("0",MONTH(A764)),MONTH(A764)))</f>
        <v>2025/02</v>
      </c>
      <c r="E764" s="8" t="str">
        <f>IF(IF(D764&lt;&gt;D763,1,IF(OR(B764&lt;&gt;B763,A764-A763&gt;$U$1),1,""))&lt;&gt;1,"",IF(C764="B01",1965,IF(C764="B02",1020,IF(C764="B05",2400,IF(C764="B03",4260,IF(C764="B04",2880,IF(C764="B20",1260,0)))))))</f>
        <v/>
      </c>
      <c r="F764" s="8" t="str">
        <f>IF(IF(D764&lt;&gt;D763,1,IF(OR(B764&lt;&gt;B763,A764-A763&gt;$U$1),1,""))&lt;&gt;1,"",IF(C764="B01",1,IF(C764="B05",1,IF(C764="B03",1,IF(C764="B04",1,IF(C764="B20",1,IF(C764="B02",1,0)))))))</f>
        <v/>
      </c>
      <c r="G764"/>
      <c r="H764" s="2"/>
      <c r="I764" s="2"/>
      <c r="L764"/>
      <c r="R764"/>
      <c r="S764" s="5"/>
      <c r="U764" s="5"/>
    </row>
    <row r="765" spans="1:21">
      <c r="A765" s="3">
        <v>45712.708356481482</v>
      </c>
      <c r="B765" s="2" t="s">
        <v>26</v>
      </c>
      <c r="C765" s="2" t="s">
        <v>11</v>
      </c>
      <c r="D765" s="6" t="str">
        <f>CONCATENATE(YEAR(A765),"/",IF(MONTH(A765)&lt;10,CONCATENATE("0",MONTH(A765)),MONTH(A765)))</f>
        <v>2025/02</v>
      </c>
      <c r="E765" s="8" t="str">
        <f>IF(IF(D765&lt;&gt;D764,1,IF(OR(B765&lt;&gt;B764,A765-A764&gt;$U$1),1,""))&lt;&gt;1,"",IF(C765="B01",1965,IF(C765="B02",1020,IF(C765="B05",2400,IF(C765="B03",4260,IF(C765="B04",2880,IF(C765="B20",1260,0)))))))</f>
        <v/>
      </c>
      <c r="F765" s="8" t="str">
        <f>IF(IF(D765&lt;&gt;D764,1,IF(OR(B765&lt;&gt;B764,A765-A764&gt;$U$1),1,""))&lt;&gt;1,"",IF(C765="B01",1,IF(C765="B05",1,IF(C765="B03",1,IF(C765="B04",1,IF(C765="B20",1,IF(C765="B02",1,0)))))))</f>
        <v/>
      </c>
      <c r="G765"/>
      <c r="H765" s="2"/>
      <c r="I765" s="2"/>
      <c r="L765"/>
      <c r="R765"/>
      <c r="S765" s="5"/>
      <c r="U765" s="5"/>
    </row>
    <row r="766" spans="1:21">
      <c r="A766" s="3">
        <v>45712.708356481482</v>
      </c>
      <c r="B766" s="2" t="s">
        <v>26</v>
      </c>
      <c r="C766" s="2" t="s">
        <v>11</v>
      </c>
      <c r="D766" s="6" t="str">
        <f>CONCATENATE(YEAR(A766),"/",IF(MONTH(A766)&lt;10,CONCATENATE("0",MONTH(A766)),MONTH(A766)))</f>
        <v>2025/02</v>
      </c>
      <c r="E766" s="8" t="str">
        <f>IF(IF(D766&lt;&gt;D765,1,IF(OR(B766&lt;&gt;B765,A766-A765&gt;$U$1),1,""))&lt;&gt;1,"",IF(C766="B01",1965,IF(C766="B02",1020,IF(C766="B05",2400,IF(C766="B03",4260,IF(C766="B04",2880,IF(C766="B20",1260,0)))))))</f>
        <v/>
      </c>
      <c r="F766" s="8" t="str">
        <f>IF(IF(D766&lt;&gt;D765,1,IF(OR(B766&lt;&gt;B765,A766-A765&gt;$U$1),1,""))&lt;&gt;1,"",IF(C766="B01",1,IF(C766="B05",1,IF(C766="B03",1,IF(C766="B04",1,IF(C766="B20",1,IF(C766="B02",1,0)))))))</f>
        <v/>
      </c>
      <c r="G766"/>
      <c r="H766" s="2"/>
      <c r="I766" s="2"/>
      <c r="L766"/>
      <c r="R766"/>
      <c r="S766" s="5"/>
      <c r="U766" s="5"/>
    </row>
    <row r="767" spans="1:21">
      <c r="A767" s="3">
        <v>45712.837465277778</v>
      </c>
      <c r="B767" s="2" t="s">
        <v>26</v>
      </c>
      <c r="C767" s="2" t="s">
        <v>11</v>
      </c>
      <c r="D767" s="6" t="str">
        <f>CONCATENATE(YEAR(A767),"/",IF(MONTH(A767)&lt;10,CONCATENATE("0",MONTH(A767)),MONTH(A767)))</f>
        <v>2025/02</v>
      </c>
      <c r="E767" s="8">
        <f>IF(IF(D767&lt;&gt;D766,1,IF(OR(B767&lt;&gt;B766,A767-A766&gt;$U$1),1,""))&lt;&gt;1,"",IF(C767="B01",1965,IF(C767="B02",1020,IF(C767="B05",2400,IF(C767="B03",4260,IF(C767="B04",2880,IF(C767="B20",1260,0)))))))</f>
        <v>2400</v>
      </c>
      <c r="F767" s="8">
        <f>IF(IF(D767&lt;&gt;D766,1,IF(OR(B767&lt;&gt;B766,A767-A766&gt;$U$1),1,""))&lt;&gt;1,"",IF(C767="B01",1,IF(C767="B05",1,IF(C767="B03",1,IF(C767="B04",1,IF(C767="B20",1,IF(C767="B02",1,0)))))))</f>
        <v>1</v>
      </c>
      <c r="G767"/>
      <c r="H767" s="2"/>
      <c r="I767" s="2"/>
      <c r="L767"/>
      <c r="R767"/>
      <c r="S767" s="5"/>
      <c r="U767" s="5"/>
    </row>
    <row r="768" spans="1:21">
      <c r="A768" s="3">
        <v>45712.837465277778</v>
      </c>
      <c r="B768" s="2" t="s">
        <v>26</v>
      </c>
      <c r="C768" s="2" t="s">
        <v>11</v>
      </c>
      <c r="D768" s="6" t="str">
        <f>CONCATENATE(YEAR(A768),"/",IF(MONTH(A768)&lt;10,CONCATENATE("0",MONTH(A768)),MONTH(A768)))</f>
        <v>2025/02</v>
      </c>
      <c r="E768" s="8" t="str">
        <f>IF(IF(D768&lt;&gt;D767,1,IF(OR(B768&lt;&gt;B767,A768-A767&gt;$U$1),1,""))&lt;&gt;1,"",IF(C768="B01",1965,IF(C768="B02",1020,IF(C768="B05",2400,IF(C768="B03",4260,IF(C768="B04",2880,IF(C768="B20",1260,0)))))))</f>
        <v/>
      </c>
      <c r="F768" s="8" t="str">
        <f>IF(IF(D768&lt;&gt;D767,1,IF(OR(B768&lt;&gt;B767,A768-A767&gt;$U$1),1,""))&lt;&gt;1,"",IF(C768="B01",1,IF(C768="B05",1,IF(C768="B03",1,IF(C768="B04",1,IF(C768="B20",1,IF(C768="B02",1,0)))))))</f>
        <v/>
      </c>
      <c r="G768"/>
      <c r="H768" s="2"/>
      <c r="I768" s="2"/>
      <c r="L768"/>
      <c r="R768"/>
      <c r="S768" s="5"/>
      <c r="U768" s="5"/>
    </row>
    <row r="769" spans="1:21">
      <c r="A769" s="3">
        <v>45712.837465277778</v>
      </c>
      <c r="B769" s="2" t="s">
        <v>26</v>
      </c>
      <c r="C769" s="2" t="s">
        <v>11</v>
      </c>
      <c r="D769" s="6" t="str">
        <f>CONCATENATE(YEAR(A769),"/",IF(MONTH(A769)&lt;10,CONCATENATE("0",MONTH(A769)),MONTH(A769)))</f>
        <v>2025/02</v>
      </c>
      <c r="E769" s="8" t="str">
        <f>IF(IF(D769&lt;&gt;D768,1,IF(OR(B769&lt;&gt;B768,A769-A768&gt;$U$1),1,""))&lt;&gt;1,"",IF(C769="B01",1965,IF(C769="B02",1020,IF(C769="B05",2400,IF(C769="B03",4260,IF(C769="B04",2880,IF(C769="B20",1260,0)))))))</f>
        <v/>
      </c>
      <c r="F769" s="8" t="str">
        <f>IF(IF(D769&lt;&gt;D768,1,IF(OR(B769&lt;&gt;B768,A769-A768&gt;$U$1),1,""))&lt;&gt;1,"",IF(C769="B01",1,IF(C769="B05",1,IF(C769="B03",1,IF(C769="B04",1,IF(C769="B20",1,IF(C769="B02",1,0)))))))</f>
        <v/>
      </c>
      <c r="G769"/>
      <c r="H769" s="2"/>
      <c r="I769" s="2"/>
      <c r="L769"/>
      <c r="R769"/>
      <c r="S769" s="5"/>
      <c r="U769" s="5"/>
    </row>
    <row r="770" spans="1:21">
      <c r="A770" s="3">
        <v>45713.064305555556</v>
      </c>
      <c r="B770" s="2" t="s">
        <v>26</v>
      </c>
      <c r="C770" s="2" t="s">
        <v>12</v>
      </c>
      <c r="D770" s="6" t="str">
        <f>CONCATENATE(YEAR(A770),"/",IF(MONTH(A770)&lt;10,CONCATENATE("0",MONTH(A770)),MONTH(A770)))</f>
        <v>2025/02</v>
      </c>
      <c r="E770" s="8">
        <f>IF(IF(D770&lt;&gt;D769,1,IF(OR(B770&lt;&gt;B769,A770-A769&gt;$U$1),1,""))&lt;&gt;1,"",IF(C770="B01",1965,IF(C770="B02",1020,IF(C770="B05",2400,IF(C770="B03",4260,IF(C770="B04",2880,IF(C770="B20",1260,0)))))))</f>
        <v>4260</v>
      </c>
      <c r="F770" s="8">
        <f>IF(IF(D770&lt;&gt;D769,1,IF(OR(B770&lt;&gt;B769,A770-A769&gt;$U$1),1,""))&lt;&gt;1,"",IF(C770="B01",1,IF(C770="B05",1,IF(C770="B03",1,IF(C770="B04",1,IF(C770="B20",1,IF(C770="B02",1,0)))))))</f>
        <v>1</v>
      </c>
      <c r="G770"/>
      <c r="H770" s="2"/>
      <c r="I770" s="2"/>
      <c r="L770"/>
      <c r="R770"/>
      <c r="S770" s="5"/>
      <c r="U770" s="5"/>
    </row>
    <row r="771" spans="1:21">
      <c r="A771" s="3">
        <v>45713.064305555556</v>
      </c>
      <c r="B771" s="2" t="s">
        <v>26</v>
      </c>
      <c r="C771" s="2" t="s">
        <v>12</v>
      </c>
      <c r="D771" s="6" t="str">
        <f>CONCATENATE(YEAR(A771),"/",IF(MONTH(A771)&lt;10,CONCATENATE("0",MONTH(A771)),MONTH(A771)))</f>
        <v>2025/02</v>
      </c>
      <c r="E771" s="8" t="str">
        <f>IF(IF(D771&lt;&gt;D770,1,IF(OR(B771&lt;&gt;B770,A771-A770&gt;$U$1),1,""))&lt;&gt;1,"",IF(C771="B01",1965,IF(C771="B02",1020,IF(C771="B05",2400,IF(C771="B03",4260,IF(C771="B04",2880,IF(C771="B20",1260,0)))))))</f>
        <v/>
      </c>
      <c r="F771" s="8" t="str">
        <f>IF(IF(D771&lt;&gt;D770,1,IF(OR(B771&lt;&gt;B770,A771-A770&gt;$U$1),1,""))&lt;&gt;1,"",IF(C771="B01",1,IF(C771="B05",1,IF(C771="B03",1,IF(C771="B04",1,IF(C771="B20",1,IF(C771="B02",1,0)))))))</f>
        <v/>
      </c>
      <c r="G771"/>
      <c r="H771" s="2"/>
      <c r="I771" s="2"/>
      <c r="L771"/>
      <c r="R771"/>
      <c r="S771" s="5"/>
      <c r="U771" s="5"/>
    </row>
    <row r="772" spans="1:21">
      <c r="A772" s="3">
        <v>45713.064305555556</v>
      </c>
      <c r="B772" s="2" t="s">
        <v>26</v>
      </c>
      <c r="C772" s="2" t="s">
        <v>12</v>
      </c>
      <c r="D772" s="6" t="str">
        <f>CONCATENATE(YEAR(A772),"/",IF(MONTH(A772)&lt;10,CONCATENATE("0",MONTH(A772)),MONTH(A772)))</f>
        <v>2025/02</v>
      </c>
      <c r="E772" s="8" t="str">
        <f>IF(IF(D772&lt;&gt;D771,1,IF(OR(B772&lt;&gt;B771,A772-A771&gt;$U$1),1,""))&lt;&gt;1,"",IF(C772="B01",1965,IF(C772="B02",1020,IF(C772="B05",2400,IF(C772="B03",4260,IF(C772="B04",2880,IF(C772="B20",1260,0)))))))</f>
        <v/>
      </c>
      <c r="F772" s="8" t="str">
        <f>IF(IF(D772&lt;&gt;D771,1,IF(OR(B772&lt;&gt;B771,A772-A771&gt;$U$1),1,""))&lt;&gt;1,"",IF(C772="B01",1,IF(C772="B05",1,IF(C772="B03",1,IF(C772="B04",1,IF(C772="B20",1,IF(C772="B02",1,0)))))))</f>
        <v/>
      </c>
      <c r="G772"/>
      <c r="H772" s="2"/>
      <c r="I772" s="2"/>
      <c r="L772"/>
      <c r="R772"/>
      <c r="S772" s="5"/>
      <c r="U772" s="5"/>
    </row>
    <row r="773" spans="1:21">
      <c r="A773" s="3">
        <v>45713.56554398148</v>
      </c>
      <c r="B773" s="2" t="s">
        <v>26</v>
      </c>
      <c r="C773" s="2" t="s">
        <v>11</v>
      </c>
      <c r="D773" s="6" t="str">
        <f>CONCATENATE(YEAR(A773),"/",IF(MONTH(A773)&lt;10,CONCATENATE("0",MONTH(A773)),MONTH(A773)))</f>
        <v>2025/02</v>
      </c>
      <c r="E773" s="8">
        <f>IF(IF(D773&lt;&gt;D772,1,IF(OR(B773&lt;&gt;B772,A773-A772&gt;$U$1),1,""))&lt;&gt;1,"",IF(C773="B01",1965,IF(C773="B02",1020,IF(C773="B05",2400,IF(C773="B03",4260,IF(C773="B04",2880,IF(C773="B20",1260,0)))))))</f>
        <v>2400</v>
      </c>
      <c r="F773" s="8">
        <f>IF(IF(D773&lt;&gt;D772,1,IF(OR(B773&lt;&gt;B772,A773-A772&gt;$U$1),1,""))&lt;&gt;1,"",IF(C773="B01",1,IF(C773="B05",1,IF(C773="B03",1,IF(C773="B04",1,IF(C773="B20",1,IF(C773="B02",1,0)))))))</f>
        <v>1</v>
      </c>
      <c r="G773"/>
      <c r="H773" s="2"/>
      <c r="I773" s="2"/>
      <c r="L773"/>
      <c r="R773"/>
      <c r="S773" s="5"/>
      <c r="U773" s="5"/>
    </row>
    <row r="774" spans="1:21">
      <c r="A774" s="3">
        <v>45713.56554398148</v>
      </c>
      <c r="B774" s="2" t="s">
        <v>26</v>
      </c>
      <c r="C774" s="2" t="s">
        <v>11</v>
      </c>
      <c r="D774" s="6" t="str">
        <f>CONCATENATE(YEAR(A774),"/",IF(MONTH(A774)&lt;10,CONCATENATE("0",MONTH(A774)),MONTH(A774)))</f>
        <v>2025/02</v>
      </c>
      <c r="E774" s="8" t="str">
        <f>IF(IF(D774&lt;&gt;D773,1,IF(OR(B774&lt;&gt;B773,A774-A773&gt;$U$1),1,""))&lt;&gt;1,"",IF(C774="B01",1965,IF(C774="B02",1020,IF(C774="B05",2400,IF(C774="B03",4260,IF(C774="B04",2880,IF(C774="B20",1260,0)))))))</f>
        <v/>
      </c>
      <c r="F774" s="8" t="str">
        <f>IF(IF(D774&lt;&gt;D773,1,IF(OR(B774&lt;&gt;B773,A774-A773&gt;$U$1),1,""))&lt;&gt;1,"",IF(C774="B01",1,IF(C774="B05",1,IF(C774="B03",1,IF(C774="B04",1,IF(C774="B20",1,IF(C774="B02",1,0)))))))</f>
        <v/>
      </c>
      <c r="G774"/>
      <c r="H774" s="2"/>
      <c r="I774" s="2"/>
      <c r="L774"/>
      <c r="R774"/>
      <c r="S774" s="5"/>
      <c r="U774" s="5"/>
    </row>
    <row r="775" spans="1:21">
      <c r="A775" s="3">
        <v>45713.56554398148</v>
      </c>
      <c r="B775" s="2" t="s">
        <v>26</v>
      </c>
      <c r="C775" s="2" t="s">
        <v>11</v>
      </c>
      <c r="D775" s="6" t="str">
        <f>CONCATENATE(YEAR(A775),"/",IF(MONTH(A775)&lt;10,CONCATENATE("0",MONTH(A775)),MONTH(A775)))</f>
        <v>2025/02</v>
      </c>
      <c r="E775" s="8" t="str">
        <f>IF(IF(D775&lt;&gt;D774,1,IF(OR(B775&lt;&gt;B774,A775-A774&gt;$U$1),1,""))&lt;&gt;1,"",IF(C775="B01",1965,IF(C775="B02",1020,IF(C775="B05",2400,IF(C775="B03",4260,IF(C775="B04",2880,IF(C775="B20",1260,0)))))))</f>
        <v/>
      </c>
      <c r="F775" s="8" t="str">
        <f>IF(IF(D775&lt;&gt;D774,1,IF(OR(B775&lt;&gt;B774,A775-A774&gt;$U$1),1,""))&lt;&gt;1,"",IF(C775="B01",1,IF(C775="B05",1,IF(C775="B03",1,IF(C775="B04",1,IF(C775="B20",1,IF(C775="B02",1,0)))))))</f>
        <v/>
      </c>
      <c r="G775"/>
      <c r="H775" s="2"/>
      <c r="I775" s="2"/>
      <c r="L775"/>
      <c r="R775"/>
      <c r="S775" s="5"/>
      <c r="U775" s="5"/>
    </row>
    <row r="776" spans="1:21">
      <c r="A776" s="3">
        <v>45713.752187500002</v>
      </c>
      <c r="B776" s="2" t="s">
        <v>26</v>
      </c>
      <c r="C776" s="2" t="s">
        <v>11</v>
      </c>
      <c r="D776" s="6" t="str">
        <f>CONCATENATE(YEAR(A776),"/",IF(MONTH(A776)&lt;10,CONCATENATE("0",MONTH(A776)),MONTH(A776)))</f>
        <v>2025/02</v>
      </c>
      <c r="E776" s="8">
        <f>IF(IF(D776&lt;&gt;D775,1,IF(OR(B776&lt;&gt;B775,A776-A775&gt;$U$1),1,""))&lt;&gt;1,"",IF(C776="B01",1965,IF(C776="B02",1020,IF(C776="B05",2400,IF(C776="B03",4260,IF(C776="B04",2880,IF(C776="B20",1260,0)))))))</f>
        <v>2400</v>
      </c>
      <c r="F776" s="8">
        <f>IF(IF(D776&lt;&gt;D775,1,IF(OR(B776&lt;&gt;B775,A776-A775&gt;$U$1),1,""))&lt;&gt;1,"",IF(C776="B01",1,IF(C776="B05",1,IF(C776="B03",1,IF(C776="B04",1,IF(C776="B20",1,IF(C776="B02",1,0)))))))</f>
        <v>1</v>
      </c>
      <c r="G776"/>
      <c r="H776" s="2"/>
      <c r="I776" s="2"/>
      <c r="L776"/>
      <c r="R776"/>
      <c r="S776" s="5"/>
      <c r="U776" s="5"/>
    </row>
    <row r="777" spans="1:21">
      <c r="A777" s="3">
        <v>45713.752187500002</v>
      </c>
      <c r="B777" s="2" t="s">
        <v>26</v>
      </c>
      <c r="C777" s="2" t="s">
        <v>11</v>
      </c>
      <c r="D777" s="6" t="str">
        <f>CONCATENATE(YEAR(A777),"/",IF(MONTH(A777)&lt;10,CONCATENATE("0",MONTH(A777)),MONTH(A777)))</f>
        <v>2025/02</v>
      </c>
      <c r="E777" s="8" t="str">
        <f>IF(IF(D777&lt;&gt;D776,1,IF(OR(B777&lt;&gt;B776,A777-A776&gt;$U$1),1,""))&lt;&gt;1,"",IF(C777="B01",1965,IF(C777="B02",1020,IF(C777="B05",2400,IF(C777="B03",4260,IF(C777="B04",2880,IF(C777="B20",1260,0)))))))</f>
        <v/>
      </c>
      <c r="F777" s="8" t="str">
        <f>IF(IF(D777&lt;&gt;D776,1,IF(OR(B777&lt;&gt;B776,A777-A776&gt;$U$1),1,""))&lt;&gt;1,"",IF(C777="B01",1,IF(C777="B05",1,IF(C777="B03",1,IF(C777="B04",1,IF(C777="B20",1,IF(C777="B02",1,0)))))))</f>
        <v/>
      </c>
      <c r="G777"/>
      <c r="H777" s="2"/>
      <c r="I777" s="2"/>
      <c r="L777"/>
      <c r="R777"/>
      <c r="S777" s="5"/>
      <c r="U777" s="5"/>
    </row>
    <row r="778" spans="1:21">
      <c r="A778" s="3">
        <v>45713.752187500002</v>
      </c>
      <c r="B778" s="2" t="s">
        <v>26</v>
      </c>
      <c r="C778" s="2" t="s">
        <v>11</v>
      </c>
      <c r="D778" s="6" t="str">
        <f>CONCATENATE(YEAR(A778),"/",IF(MONTH(A778)&lt;10,CONCATENATE("0",MONTH(A778)),MONTH(A778)))</f>
        <v>2025/02</v>
      </c>
      <c r="E778" s="8" t="str">
        <f>IF(IF(D778&lt;&gt;D777,1,IF(OR(B778&lt;&gt;B777,A778-A777&gt;$U$1),1,""))&lt;&gt;1,"",IF(C778="B01",1965,IF(C778="B02",1020,IF(C778="B05",2400,IF(C778="B03",4260,IF(C778="B04",2880,IF(C778="B20",1260,0)))))))</f>
        <v/>
      </c>
      <c r="F778" s="8" t="str">
        <f>IF(IF(D778&lt;&gt;D777,1,IF(OR(B778&lt;&gt;B777,A778-A777&gt;$U$1),1,""))&lt;&gt;1,"",IF(C778="B01",1,IF(C778="B05",1,IF(C778="B03",1,IF(C778="B04",1,IF(C778="B20",1,IF(C778="B02",1,0)))))))</f>
        <v/>
      </c>
      <c r="G778"/>
      <c r="H778" s="2"/>
      <c r="I778" s="2"/>
      <c r="L778"/>
      <c r="R778"/>
      <c r="S778" s="5"/>
      <c r="U778" s="5"/>
    </row>
    <row r="779" spans="1:21">
      <c r="A779" s="3">
        <v>45713.935057870367</v>
      </c>
      <c r="B779" s="2" t="s">
        <v>26</v>
      </c>
      <c r="C779" s="2" t="s">
        <v>11</v>
      </c>
      <c r="D779" s="6" t="str">
        <f>CONCATENATE(YEAR(A779),"/",IF(MONTH(A779)&lt;10,CONCATENATE("0",MONTH(A779)),MONTH(A779)))</f>
        <v>2025/02</v>
      </c>
      <c r="E779" s="8">
        <f>IF(IF(D779&lt;&gt;D778,1,IF(OR(B779&lt;&gt;B778,A779-A778&gt;$U$1),1,""))&lt;&gt;1,"",IF(C779="B01",1965,IF(C779="B02",1020,IF(C779="B05",2400,IF(C779="B03",4260,IF(C779="B04",2880,IF(C779="B20",1260,0)))))))</f>
        <v>2400</v>
      </c>
      <c r="F779" s="8">
        <f>IF(IF(D779&lt;&gt;D778,1,IF(OR(B779&lt;&gt;B778,A779-A778&gt;$U$1),1,""))&lt;&gt;1,"",IF(C779="B01",1,IF(C779="B05",1,IF(C779="B03",1,IF(C779="B04",1,IF(C779="B20",1,IF(C779="B02",1,0)))))))</f>
        <v>1</v>
      </c>
      <c r="G779"/>
      <c r="H779" s="2"/>
      <c r="I779" s="2"/>
      <c r="L779"/>
      <c r="R779"/>
      <c r="S779" s="5"/>
      <c r="U779" s="5"/>
    </row>
    <row r="780" spans="1:21">
      <c r="A780" s="3">
        <v>45713.935057870367</v>
      </c>
      <c r="B780" s="2" t="s">
        <v>26</v>
      </c>
      <c r="C780" s="2" t="s">
        <v>11</v>
      </c>
      <c r="D780" s="6" t="str">
        <f>CONCATENATE(YEAR(A780),"/",IF(MONTH(A780)&lt;10,CONCATENATE("0",MONTH(A780)),MONTH(A780)))</f>
        <v>2025/02</v>
      </c>
      <c r="E780" s="8" t="str">
        <f>IF(IF(D780&lt;&gt;D779,1,IF(OR(B780&lt;&gt;B779,A780-A779&gt;$U$1),1,""))&lt;&gt;1,"",IF(C780="B01",1965,IF(C780="B02",1020,IF(C780="B05",2400,IF(C780="B03",4260,IF(C780="B04",2880,IF(C780="B20",1260,0)))))))</f>
        <v/>
      </c>
      <c r="F780" s="8" t="str">
        <f>IF(IF(D780&lt;&gt;D779,1,IF(OR(B780&lt;&gt;B779,A780-A779&gt;$U$1),1,""))&lt;&gt;1,"",IF(C780="B01",1,IF(C780="B05",1,IF(C780="B03",1,IF(C780="B04",1,IF(C780="B20",1,IF(C780="B02",1,0)))))))</f>
        <v/>
      </c>
      <c r="G780"/>
      <c r="H780" s="2"/>
      <c r="I780" s="2"/>
      <c r="L780"/>
      <c r="R780"/>
      <c r="S780" s="5"/>
      <c r="U780" s="5"/>
    </row>
    <row r="781" spans="1:21">
      <c r="A781" s="3">
        <v>45713.935057870367</v>
      </c>
      <c r="B781" s="2" t="s">
        <v>26</v>
      </c>
      <c r="C781" s="2" t="s">
        <v>11</v>
      </c>
      <c r="D781" s="6" t="str">
        <f>CONCATENATE(YEAR(A781),"/",IF(MONTH(A781)&lt;10,CONCATENATE("0",MONTH(A781)),MONTH(A781)))</f>
        <v>2025/02</v>
      </c>
      <c r="E781" s="8" t="str">
        <f>IF(IF(D781&lt;&gt;D780,1,IF(OR(B781&lt;&gt;B780,A781-A780&gt;$U$1),1,""))&lt;&gt;1,"",IF(C781="B01",1965,IF(C781="B02",1020,IF(C781="B05",2400,IF(C781="B03",4260,IF(C781="B04",2880,IF(C781="B20",1260,0)))))))</f>
        <v/>
      </c>
      <c r="F781" s="8" t="str">
        <f>IF(IF(D781&lt;&gt;D780,1,IF(OR(B781&lt;&gt;B780,A781-A780&gt;$U$1),1,""))&lt;&gt;1,"",IF(C781="B01",1,IF(C781="B05",1,IF(C781="B03",1,IF(C781="B04",1,IF(C781="B20",1,IF(C781="B02",1,0)))))))</f>
        <v/>
      </c>
      <c r="G781"/>
      <c r="H781" s="2"/>
      <c r="I781" s="2"/>
      <c r="L781"/>
      <c r="R781"/>
      <c r="S781" s="5"/>
      <c r="U781" s="5"/>
    </row>
    <row r="782" spans="1:21">
      <c r="A782" s="3">
        <v>45713.935057870367</v>
      </c>
      <c r="B782" s="2" t="s">
        <v>26</v>
      </c>
      <c r="C782" s="2" t="s">
        <v>11</v>
      </c>
      <c r="D782" s="6" t="str">
        <f>CONCATENATE(YEAR(A782),"/",IF(MONTH(A782)&lt;10,CONCATENATE("0",MONTH(A782)),MONTH(A782)))</f>
        <v>2025/02</v>
      </c>
      <c r="E782" s="8" t="str">
        <f>IF(IF(D782&lt;&gt;D781,1,IF(OR(B782&lt;&gt;B781,A782-A781&gt;$U$1),1,""))&lt;&gt;1,"",IF(C782="B01",1965,IF(C782="B02",1020,IF(C782="B05",2400,IF(C782="B03",4260,IF(C782="B04",2880,IF(C782="B20",1260,0)))))))</f>
        <v/>
      </c>
      <c r="F782" s="8" t="str">
        <f>IF(IF(D782&lt;&gt;D781,1,IF(OR(B782&lt;&gt;B781,A782-A781&gt;$U$1),1,""))&lt;&gt;1,"",IF(C782="B01",1,IF(C782="B05",1,IF(C782="B03",1,IF(C782="B04",1,IF(C782="B20",1,IF(C782="B02",1,0)))))))</f>
        <v/>
      </c>
      <c r="G782"/>
      <c r="H782" s="2"/>
      <c r="I782" s="2"/>
      <c r="L782"/>
      <c r="R782"/>
      <c r="S782" s="5"/>
      <c r="U782" s="5"/>
    </row>
    <row r="783" spans="1:21">
      <c r="A783" s="3">
        <v>45714.145543981482</v>
      </c>
      <c r="B783" s="2" t="s">
        <v>26</v>
      </c>
      <c r="C783" s="2" t="s">
        <v>11</v>
      </c>
      <c r="D783" s="6" t="str">
        <f>CONCATENATE(YEAR(A783),"/",IF(MONTH(A783)&lt;10,CONCATENATE("0",MONTH(A783)),MONTH(A783)))</f>
        <v>2025/02</v>
      </c>
      <c r="E783" s="8">
        <f>IF(IF(D783&lt;&gt;D782,1,IF(OR(B783&lt;&gt;B782,A783-A782&gt;$U$1),1,""))&lt;&gt;1,"",IF(C783="B01",1965,IF(C783="B02",1020,IF(C783="B05",2400,IF(C783="B03",4260,IF(C783="B04",2880,IF(C783="B20",1260,0)))))))</f>
        <v>2400</v>
      </c>
      <c r="F783" s="8">
        <f>IF(IF(D783&lt;&gt;D782,1,IF(OR(B783&lt;&gt;B782,A783-A782&gt;$U$1),1,""))&lt;&gt;1,"",IF(C783="B01",1,IF(C783="B05",1,IF(C783="B03",1,IF(C783="B04",1,IF(C783="B20",1,IF(C783="B02",1,0)))))))</f>
        <v>1</v>
      </c>
      <c r="G783"/>
      <c r="H783" s="2"/>
      <c r="I783" s="2"/>
      <c r="L783"/>
      <c r="R783"/>
      <c r="S783" s="5"/>
      <c r="U783" s="5"/>
    </row>
    <row r="784" spans="1:21">
      <c r="A784" s="3">
        <v>45714.145555555559</v>
      </c>
      <c r="B784" s="2" t="s">
        <v>26</v>
      </c>
      <c r="C784" s="2" t="s">
        <v>11</v>
      </c>
      <c r="D784" s="6" t="str">
        <f>CONCATENATE(YEAR(A784),"/",IF(MONTH(A784)&lt;10,CONCATENATE("0",MONTH(A784)),MONTH(A784)))</f>
        <v>2025/02</v>
      </c>
      <c r="E784" s="8" t="str">
        <f>IF(IF(D784&lt;&gt;D783,1,IF(OR(B784&lt;&gt;B783,A784-A783&gt;$U$1),1,""))&lt;&gt;1,"",IF(C784="B01",1965,IF(C784="B02",1020,IF(C784="B05",2400,IF(C784="B03",4260,IF(C784="B04",2880,IF(C784="B20",1260,0)))))))</f>
        <v/>
      </c>
      <c r="F784" s="8" t="str">
        <f>IF(IF(D784&lt;&gt;D783,1,IF(OR(B784&lt;&gt;B783,A784-A783&gt;$U$1),1,""))&lt;&gt;1,"",IF(C784="B01",1,IF(C784="B05",1,IF(C784="B03",1,IF(C784="B04",1,IF(C784="B20",1,IF(C784="B02",1,0)))))))</f>
        <v/>
      </c>
      <c r="G784"/>
      <c r="H784" s="2"/>
      <c r="I784" s="2"/>
      <c r="L784"/>
      <c r="R784"/>
      <c r="S784" s="5"/>
      <c r="U784" s="5"/>
    </row>
    <row r="785" spans="1:21">
      <c r="A785" s="3">
        <v>45714.145555555559</v>
      </c>
      <c r="B785" s="2" t="s">
        <v>26</v>
      </c>
      <c r="C785" s="2" t="s">
        <v>11</v>
      </c>
      <c r="D785" s="6" t="str">
        <f>CONCATENATE(YEAR(A785),"/",IF(MONTH(A785)&lt;10,CONCATENATE("0",MONTH(A785)),MONTH(A785)))</f>
        <v>2025/02</v>
      </c>
      <c r="E785" s="8" t="str">
        <f>IF(IF(D785&lt;&gt;D784,1,IF(OR(B785&lt;&gt;B784,A785-A784&gt;$U$1),1,""))&lt;&gt;1,"",IF(C785="B01",1965,IF(C785="B02",1020,IF(C785="B05",2400,IF(C785="B03",4260,IF(C785="B04",2880,IF(C785="B20",1260,0)))))))</f>
        <v/>
      </c>
      <c r="F785" s="8" t="str">
        <f>IF(IF(D785&lt;&gt;D784,1,IF(OR(B785&lt;&gt;B784,A785-A784&gt;$U$1),1,""))&lt;&gt;1,"",IF(C785="B01",1,IF(C785="B05",1,IF(C785="B03",1,IF(C785="B04",1,IF(C785="B20",1,IF(C785="B02",1,0)))))))</f>
        <v/>
      </c>
      <c r="G785"/>
      <c r="H785" s="2"/>
      <c r="I785" s="2"/>
      <c r="L785"/>
      <c r="R785"/>
      <c r="S785" s="5"/>
      <c r="U785" s="5"/>
    </row>
    <row r="786" spans="1:21">
      <c r="A786" s="3">
        <v>45714.145555555559</v>
      </c>
      <c r="B786" s="2" t="s">
        <v>26</v>
      </c>
      <c r="C786" s="2" t="s">
        <v>11</v>
      </c>
      <c r="D786" s="6" t="str">
        <f>CONCATENATE(YEAR(A786),"/",IF(MONTH(A786)&lt;10,CONCATENATE("0",MONTH(A786)),MONTH(A786)))</f>
        <v>2025/02</v>
      </c>
      <c r="E786" s="8" t="str">
        <f>IF(IF(D786&lt;&gt;D785,1,IF(OR(B786&lt;&gt;B785,A786-A785&gt;$U$1),1,""))&lt;&gt;1,"",IF(C786="B01",1965,IF(C786="B02",1020,IF(C786="B05",2400,IF(C786="B03",4260,IF(C786="B04",2880,IF(C786="B20",1260,0)))))))</f>
        <v/>
      </c>
      <c r="F786" s="8" t="str">
        <f>IF(IF(D786&lt;&gt;D785,1,IF(OR(B786&lt;&gt;B785,A786-A785&gt;$U$1),1,""))&lt;&gt;1,"",IF(C786="B01",1,IF(C786="B05",1,IF(C786="B03",1,IF(C786="B04",1,IF(C786="B20",1,IF(C786="B02",1,0)))))))</f>
        <v/>
      </c>
      <c r="G786"/>
      <c r="H786" s="2"/>
      <c r="I786" s="2"/>
      <c r="L786"/>
      <c r="R786"/>
      <c r="S786" s="5"/>
      <c r="U786" s="5"/>
    </row>
    <row r="787" spans="1:21">
      <c r="A787" s="3">
        <v>45714.379502314812</v>
      </c>
      <c r="B787" s="2" t="s">
        <v>26</v>
      </c>
      <c r="C787" s="2" t="s">
        <v>11</v>
      </c>
      <c r="D787" s="6" t="str">
        <f>CONCATENATE(YEAR(A787),"/",IF(MONTH(A787)&lt;10,CONCATENATE("0",MONTH(A787)),MONTH(A787)))</f>
        <v>2025/02</v>
      </c>
      <c r="E787" s="8">
        <f>IF(IF(D787&lt;&gt;D786,1,IF(OR(B787&lt;&gt;B786,A787-A786&gt;$U$1),1,""))&lt;&gt;1,"",IF(C787="B01",1965,IF(C787="B02",1020,IF(C787="B05",2400,IF(C787="B03",4260,IF(C787="B04",2880,IF(C787="B20",1260,0)))))))</f>
        <v>2400</v>
      </c>
      <c r="F787" s="8">
        <f>IF(IF(D787&lt;&gt;D786,1,IF(OR(B787&lt;&gt;B786,A787-A786&gt;$U$1),1,""))&lt;&gt;1,"",IF(C787="B01",1,IF(C787="B05",1,IF(C787="B03",1,IF(C787="B04",1,IF(C787="B20",1,IF(C787="B02",1,0)))))))</f>
        <v>1</v>
      </c>
      <c r="G787"/>
      <c r="H787" s="2"/>
      <c r="I787" s="2"/>
      <c r="L787"/>
      <c r="R787"/>
      <c r="S787" s="5"/>
      <c r="U787" s="5"/>
    </row>
    <row r="788" spans="1:21">
      <c r="A788" s="3">
        <v>45714.379502314812</v>
      </c>
      <c r="B788" s="2" t="s">
        <v>26</v>
      </c>
      <c r="C788" s="2" t="s">
        <v>11</v>
      </c>
      <c r="D788" s="6" t="str">
        <f>CONCATENATE(YEAR(A788),"/",IF(MONTH(A788)&lt;10,CONCATENATE("0",MONTH(A788)),MONTH(A788)))</f>
        <v>2025/02</v>
      </c>
      <c r="E788" s="8" t="str">
        <f>IF(IF(D788&lt;&gt;D787,1,IF(OR(B788&lt;&gt;B787,A788-A787&gt;$U$1),1,""))&lt;&gt;1,"",IF(C788="B01",1965,IF(C788="B02",1020,IF(C788="B05",2400,IF(C788="B03",4260,IF(C788="B04",2880,IF(C788="B20",1260,0)))))))</f>
        <v/>
      </c>
      <c r="F788" s="8" t="str">
        <f>IF(IF(D788&lt;&gt;D787,1,IF(OR(B788&lt;&gt;B787,A788-A787&gt;$U$1),1,""))&lt;&gt;1,"",IF(C788="B01",1,IF(C788="B05",1,IF(C788="B03",1,IF(C788="B04",1,IF(C788="B20",1,IF(C788="B02",1,0)))))))</f>
        <v/>
      </c>
      <c r="G788"/>
      <c r="H788" s="2"/>
      <c r="I788" s="2"/>
      <c r="L788"/>
      <c r="R788"/>
      <c r="S788" s="5"/>
      <c r="U788" s="5"/>
    </row>
    <row r="789" spans="1:21">
      <c r="A789" s="3">
        <v>45714.50545138889</v>
      </c>
      <c r="B789" s="2" t="s">
        <v>26</v>
      </c>
      <c r="C789" s="2" t="s">
        <v>11</v>
      </c>
      <c r="D789" s="6" t="str">
        <f>CONCATENATE(YEAR(A789),"/",IF(MONTH(A789)&lt;10,CONCATENATE("0",MONTH(A789)),MONTH(A789)))</f>
        <v>2025/02</v>
      </c>
      <c r="E789" s="8">
        <f>IF(IF(D789&lt;&gt;D788,1,IF(OR(B789&lt;&gt;B788,A789-A788&gt;$U$1),1,""))&lt;&gt;1,"",IF(C789="B01",1965,IF(C789="B02",1020,IF(C789="B05",2400,IF(C789="B03",4260,IF(C789="B04",2880,IF(C789="B20",1260,0)))))))</f>
        <v>2400</v>
      </c>
      <c r="F789" s="8">
        <f>IF(IF(D789&lt;&gt;D788,1,IF(OR(B789&lt;&gt;B788,A789-A788&gt;$U$1),1,""))&lt;&gt;1,"",IF(C789="B01",1,IF(C789="B05",1,IF(C789="B03",1,IF(C789="B04",1,IF(C789="B20",1,IF(C789="B02",1,0)))))))</f>
        <v>1</v>
      </c>
      <c r="G789"/>
      <c r="H789" s="2"/>
      <c r="I789" s="2"/>
      <c r="L789"/>
      <c r="R789"/>
      <c r="S789" s="5"/>
      <c r="U789" s="5"/>
    </row>
    <row r="790" spans="1:21">
      <c r="A790" s="3">
        <v>45714.50545138889</v>
      </c>
      <c r="B790" s="2" t="s">
        <v>26</v>
      </c>
      <c r="C790" s="2" t="s">
        <v>11</v>
      </c>
      <c r="D790" s="6" t="str">
        <f>CONCATENATE(YEAR(A790),"/",IF(MONTH(A790)&lt;10,CONCATENATE("0",MONTH(A790)),MONTH(A790)))</f>
        <v>2025/02</v>
      </c>
      <c r="E790" s="8" t="str">
        <f>IF(IF(D790&lt;&gt;D789,1,IF(OR(B790&lt;&gt;B789,A790-A789&gt;$U$1),1,""))&lt;&gt;1,"",IF(C790="B01",1965,IF(C790="B02",1020,IF(C790="B05",2400,IF(C790="B03",4260,IF(C790="B04",2880,IF(C790="B20",1260,0)))))))</f>
        <v/>
      </c>
      <c r="F790" s="8" t="str">
        <f>IF(IF(D790&lt;&gt;D789,1,IF(OR(B790&lt;&gt;B789,A790-A789&gt;$U$1),1,""))&lt;&gt;1,"",IF(C790="B01",1,IF(C790="B05",1,IF(C790="B03",1,IF(C790="B04",1,IF(C790="B20",1,IF(C790="B02",1,0)))))))</f>
        <v/>
      </c>
      <c r="G790"/>
      <c r="H790" s="2"/>
      <c r="I790" s="2"/>
      <c r="L790"/>
      <c r="R790"/>
      <c r="S790" s="5"/>
      <c r="U790" s="5"/>
    </row>
    <row r="791" spans="1:21">
      <c r="A791" s="3">
        <v>45714.623865740738</v>
      </c>
      <c r="B791" s="2" t="s">
        <v>26</v>
      </c>
      <c r="C791" s="2" t="s">
        <v>11</v>
      </c>
      <c r="D791" s="6" t="str">
        <f>CONCATENATE(YEAR(A791),"/",IF(MONTH(A791)&lt;10,CONCATENATE("0",MONTH(A791)),MONTH(A791)))</f>
        <v>2025/02</v>
      </c>
      <c r="E791" s="8">
        <f>IF(IF(D791&lt;&gt;D790,1,IF(OR(B791&lt;&gt;B790,A791-A790&gt;$U$1),1,""))&lt;&gt;1,"",IF(C791="B01",1965,IF(C791="B02",1020,IF(C791="B05",2400,IF(C791="B03",4260,IF(C791="B04",2880,IF(C791="B20",1260,0)))))))</f>
        <v>2400</v>
      </c>
      <c r="F791" s="8">
        <f>IF(IF(D791&lt;&gt;D790,1,IF(OR(B791&lt;&gt;B790,A791-A790&gt;$U$1),1,""))&lt;&gt;1,"",IF(C791="B01",1,IF(C791="B05",1,IF(C791="B03",1,IF(C791="B04",1,IF(C791="B20",1,IF(C791="B02",1,0)))))))</f>
        <v>1</v>
      </c>
      <c r="G791"/>
      <c r="H791" s="2"/>
      <c r="I791" s="2"/>
      <c r="L791"/>
      <c r="R791"/>
      <c r="S791" s="5"/>
      <c r="U791" s="5"/>
    </row>
    <row r="792" spans="1:21">
      <c r="A792" s="3">
        <v>45714.623865740738</v>
      </c>
      <c r="B792" s="2" t="s">
        <v>26</v>
      </c>
      <c r="C792" s="2" t="s">
        <v>11</v>
      </c>
      <c r="D792" s="6" t="str">
        <f>CONCATENATE(YEAR(A792),"/",IF(MONTH(A792)&lt;10,CONCATENATE("0",MONTH(A792)),MONTH(A792)))</f>
        <v>2025/02</v>
      </c>
      <c r="E792" s="8" t="str">
        <f>IF(IF(D792&lt;&gt;D791,1,IF(OR(B792&lt;&gt;B791,A792-A791&gt;$U$1),1,""))&lt;&gt;1,"",IF(C792="B01",1965,IF(C792="B02",1020,IF(C792="B05",2400,IF(C792="B03",4260,IF(C792="B04",2880,IF(C792="B20",1260,0)))))))</f>
        <v/>
      </c>
      <c r="F792" s="8" t="str">
        <f>IF(IF(D792&lt;&gt;D791,1,IF(OR(B792&lt;&gt;B791,A792-A791&gt;$U$1),1,""))&lt;&gt;1,"",IF(C792="B01",1,IF(C792="B05",1,IF(C792="B03",1,IF(C792="B04",1,IF(C792="B20",1,IF(C792="B02",1,0)))))))</f>
        <v/>
      </c>
      <c r="G792"/>
      <c r="H792" s="2"/>
      <c r="I792" s="2"/>
      <c r="L792"/>
      <c r="R792"/>
      <c r="S792" s="5"/>
      <c r="U792" s="5"/>
    </row>
    <row r="793" spans="1:21">
      <c r="A793" s="3">
        <v>45714.623865740738</v>
      </c>
      <c r="B793" s="2" t="s">
        <v>26</v>
      </c>
      <c r="C793" s="2" t="s">
        <v>11</v>
      </c>
      <c r="D793" s="6" t="str">
        <f>CONCATENATE(YEAR(A793),"/",IF(MONTH(A793)&lt;10,CONCATENATE("0",MONTH(A793)),MONTH(A793)))</f>
        <v>2025/02</v>
      </c>
      <c r="E793" s="8" t="str">
        <f>IF(IF(D793&lt;&gt;D792,1,IF(OR(B793&lt;&gt;B792,A793-A792&gt;$U$1),1,""))&lt;&gt;1,"",IF(C793="B01",1965,IF(C793="B02",1020,IF(C793="B05",2400,IF(C793="B03",4260,IF(C793="B04",2880,IF(C793="B20",1260,0)))))))</f>
        <v/>
      </c>
      <c r="F793" s="8" t="str">
        <f>IF(IF(D793&lt;&gt;D792,1,IF(OR(B793&lt;&gt;B792,A793-A792&gt;$U$1),1,""))&lt;&gt;1,"",IF(C793="B01",1,IF(C793="B05",1,IF(C793="B03",1,IF(C793="B04",1,IF(C793="B20",1,IF(C793="B02",1,0)))))))</f>
        <v/>
      </c>
      <c r="G793"/>
      <c r="H793" s="2"/>
      <c r="I793" s="2"/>
      <c r="L793"/>
      <c r="R793"/>
      <c r="S793" s="5"/>
      <c r="U793" s="5"/>
    </row>
    <row r="794" spans="1:21">
      <c r="A794" s="3">
        <v>45714.878101851849</v>
      </c>
      <c r="B794" s="2" t="s">
        <v>26</v>
      </c>
      <c r="C794" s="2" t="s">
        <v>11</v>
      </c>
      <c r="D794" s="6" t="str">
        <f>CONCATENATE(YEAR(A794),"/",IF(MONTH(A794)&lt;10,CONCATENATE("0",MONTH(A794)),MONTH(A794)))</f>
        <v>2025/02</v>
      </c>
      <c r="E794" s="8">
        <f>IF(IF(D794&lt;&gt;D793,1,IF(OR(B794&lt;&gt;B793,A794-A793&gt;$U$1),1,""))&lt;&gt;1,"",IF(C794="B01",1965,IF(C794="B02",1020,IF(C794="B05",2400,IF(C794="B03",4260,IF(C794="B04",2880,IF(C794="B20",1260,0)))))))</f>
        <v>2400</v>
      </c>
      <c r="F794" s="8">
        <f>IF(IF(D794&lt;&gt;D793,1,IF(OR(B794&lt;&gt;B793,A794-A793&gt;$U$1),1,""))&lt;&gt;1,"",IF(C794="B01",1,IF(C794="B05",1,IF(C794="B03",1,IF(C794="B04",1,IF(C794="B20",1,IF(C794="B02",1,0)))))))</f>
        <v>1</v>
      </c>
      <c r="G794"/>
      <c r="H794" s="2"/>
      <c r="I794" s="2"/>
      <c r="L794"/>
      <c r="R794"/>
      <c r="S794" s="5"/>
      <c r="U794" s="5"/>
    </row>
    <row r="795" spans="1:21">
      <c r="A795" s="3">
        <v>45714.878101851849</v>
      </c>
      <c r="B795" s="2" t="s">
        <v>26</v>
      </c>
      <c r="C795" s="2" t="s">
        <v>11</v>
      </c>
      <c r="D795" s="6" t="str">
        <f>CONCATENATE(YEAR(A795),"/",IF(MONTH(A795)&lt;10,CONCATENATE("0",MONTH(A795)),MONTH(A795)))</f>
        <v>2025/02</v>
      </c>
      <c r="E795" s="8" t="str">
        <f>IF(IF(D795&lt;&gt;D794,1,IF(OR(B795&lt;&gt;B794,A795-A794&gt;$U$1),1,""))&lt;&gt;1,"",IF(C795="B01",1965,IF(C795="B02",1020,IF(C795="B05",2400,IF(C795="B03",4260,IF(C795="B04",2880,IF(C795="B20",1260,0)))))))</f>
        <v/>
      </c>
      <c r="F795" s="8" t="str">
        <f>IF(IF(D795&lt;&gt;D794,1,IF(OR(B795&lt;&gt;B794,A795-A794&gt;$U$1),1,""))&lt;&gt;1,"",IF(C795="B01",1,IF(C795="B05",1,IF(C795="B03",1,IF(C795="B04",1,IF(C795="B20",1,IF(C795="B02",1,0)))))))</f>
        <v/>
      </c>
      <c r="G795"/>
      <c r="H795" s="2"/>
      <c r="I795" s="2"/>
      <c r="L795"/>
      <c r="R795"/>
      <c r="S795" s="5"/>
      <c r="U795" s="5"/>
    </row>
    <row r="796" spans="1:21">
      <c r="A796" s="3">
        <v>45715.526562500003</v>
      </c>
      <c r="B796" s="2" t="s">
        <v>26</v>
      </c>
      <c r="C796" s="2" t="s">
        <v>12</v>
      </c>
      <c r="D796" s="6" t="str">
        <f>CONCATENATE(YEAR(A796),"/",IF(MONTH(A796)&lt;10,CONCATENATE("0",MONTH(A796)),MONTH(A796)))</f>
        <v>2025/02</v>
      </c>
      <c r="E796" s="8">
        <f>IF(IF(D796&lt;&gt;D795,1,IF(OR(B796&lt;&gt;B795,A796-A795&gt;$U$1),1,""))&lt;&gt;1,"",IF(C796="B01",1965,IF(C796="B02",1020,IF(C796="B05",2400,IF(C796="B03",4260,IF(C796="B04",2880,IF(C796="B20",1260,0)))))))</f>
        <v>4260</v>
      </c>
      <c r="F796" s="8">
        <f>IF(IF(D796&lt;&gt;D795,1,IF(OR(B796&lt;&gt;B795,A796-A795&gt;$U$1),1,""))&lt;&gt;1,"",IF(C796="B01",1,IF(C796="B05",1,IF(C796="B03",1,IF(C796="B04",1,IF(C796="B20",1,IF(C796="B02",1,0)))))))</f>
        <v>1</v>
      </c>
      <c r="G796"/>
      <c r="H796" s="2"/>
      <c r="I796" s="2"/>
      <c r="L796"/>
      <c r="R796"/>
      <c r="S796" s="5"/>
      <c r="U796" s="5"/>
    </row>
    <row r="797" spans="1:21">
      <c r="A797" s="3">
        <v>45715.526562500003</v>
      </c>
      <c r="B797" s="2" t="s">
        <v>26</v>
      </c>
      <c r="C797" s="2" t="s">
        <v>12</v>
      </c>
      <c r="D797" s="6" t="str">
        <f>CONCATENATE(YEAR(A797),"/",IF(MONTH(A797)&lt;10,CONCATENATE("0",MONTH(A797)),MONTH(A797)))</f>
        <v>2025/02</v>
      </c>
      <c r="E797" s="8" t="str">
        <f>IF(IF(D797&lt;&gt;D796,1,IF(OR(B797&lt;&gt;B796,A797-A796&gt;$U$1),1,""))&lt;&gt;1,"",IF(C797="B01",1965,IF(C797="B02",1020,IF(C797="B05",2400,IF(C797="B03",4260,IF(C797="B04",2880,IF(C797="B20",1260,0)))))))</f>
        <v/>
      </c>
      <c r="F797" s="8" t="str">
        <f>IF(IF(D797&lt;&gt;D796,1,IF(OR(B797&lt;&gt;B796,A797-A796&gt;$U$1),1,""))&lt;&gt;1,"",IF(C797="B01",1,IF(C797="B05",1,IF(C797="B03",1,IF(C797="B04",1,IF(C797="B20",1,IF(C797="B02",1,0)))))))</f>
        <v/>
      </c>
      <c r="G797"/>
      <c r="H797" s="2"/>
      <c r="I797" s="2"/>
      <c r="L797"/>
      <c r="R797"/>
      <c r="S797" s="5"/>
      <c r="U797" s="5"/>
    </row>
    <row r="798" spans="1:21">
      <c r="A798" s="3">
        <v>45715.777905092589</v>
      </c>
      <c r="B798" s="2" t="s">
        <v>26</v>
      </c>
      <c r="C798" s="2" t="s">
        <v>11</v>
      </c>
      <c r="D798" s="6" t="str">
        <f>CONCATENATE(YEAR(A798),"/",IF(MONTH(A798)&lt;10,CONCATENATE("0",MONTH(A798)),MONTH(A798)))</f>
        <v>2025/02</v>
      </c>
      <c r="E798" s="8">
        <f>IF(IF(D798&lt;&gt;D797,1,IF(OR(B798&lt;&gt;B797,A798-A797&gt;$U$1),1,""))&lt;&gt;1,"",IF(C798="B01",1965,IF(C798="B02",1020,IF(C798="B05",2400,IF(C798="B03",4260,IF(C798="B04",2880,IF(C798="B20",1260,0)))))))</f>
        <v>2400</v>
      </c>
      <c r="F798" s="8">
        <f>IF(IF(D798&lt;&gt;D797,1,IF(OR(B798&lt;&gt;B797,A798-A797&gt;$U$1),1,""))&lt;&gt;1,"",IF(C798="B01",1,IF(C798="B05",1,IF(C798="B03",1,IF(C798="B04",1,IF(C798="B20",1,IF(C798="B02",1,0)))))))</f>
        <v>1</v>
      </c>
      <c r="G798"/>
      <c r="H798" s="2"/>
      <c r="I798" s="2"/>
      <c r="L798"/>
      <c r="R798"/>
      <c r="S798" s="5"/>
      <c r="U798" s="5"/>
    </row>
    <row r="799" spans="1:21">
      <c r="A799" s="3">
        <v>45715.777905092589</v>
      </c>
      <c r="B799" s="2" t="s">
        <v>26</v>
      </c>
      <c r="C799" s="2" t="s">
        <v>11</v>
      </c>
      <c r="D799" s="6" t="str">
        <f>CONCATENATE(YEAR(A799),"/",IF(MONTH(A799)&lt;10,CONCATENATE("0",MONTH(A799)),MONTH(A799)))</f>
        <v>2025/02</v>
      </c>
      <c r="E799" s="8" t="str">
        <f>IF(IF(D799&lt;&gt;D798,1,IF(OR(B799&lt;&gt;B798,A799-A798&gt;$U$1),1,""))&lt;&gt;1,"",IF(C799="B01",1965,IF(C799="B02",1020,IF(C799="B05",2400,IF(C799="B03",4260,IF(C799="B04",2880,IF(C799="B20",1260,0)))))))</f>
        <v/>
      </c>
      <c r="F799" s="8" t="str">
        <f>IF(IF(D799&lt;&gt;D798,1,IF(OR(B799&lt;&gt;B798,A799-A798&gt;$U$1),1,""))&lt;&gt;1,"",IF(C799="B01",1,IF(C799="B05",1,IF(C799="B03",1,IF(C799="B04",1,IF(C799="B20",1,IF(C799="B02",1,0)))))))</f>
        <v/>
      </c>
      <c r="G799"/>
      <c r="H799" s="2"/>
      <c r="I799" s="2"/>
      <c r="L799"/>
      <c r="R799"/>
      <c r="S799" s="5"/>
      <c r="U799" s="5"/>
    </row>
    <row r="800" spans="1:21">
      <c r="A800" s="3">
        <v>45715.777905092589</v>
      </c>
      <c r="B800" s="2" t="s">
        <v>26</v>
      </c>
      <c r="C800" s="2" t="s">
        <v>11</v>
      </c>
      <c r="D800" s="6" t="str">
        <f>CONCATENATE(YEAR(A800),"/",IF(MONTH(A800)&lt;10,CONCATENATE("0",MONTH(A800)),MONTH(A800)))</f>
        <v>2025/02</v>
      </c>
      <c r="E800" s="8" t="str">
        <f>IF(IF(D800&lt;&gt;D799,1,IF(OR(B800&lt;&gt;B799,A800-A799&gt;$U$1),1,""))&lt;&gt;1,"",IF(C800="B01",1965,IF(C800="B02",1020,IF(C800="B05",2400,IF(C800="B03",4260,IF(C800="B04",2880,IF(C800="B20",1260,0)))))))</f>
        <v/>
      </c>
      <c r="F800" s="8" t="str">
        <f>IF(IF(D800&lt;&gt;D799,1,IF(OR(B800&lt;&gt;B799,A800-A799&gt;$U$1),1,""))&lt;&gt;1,"",IF(C800="B01",1,IF(C800="B05",1,IF(C800="B03",1,IF(C800="B04",1,IF(C800="B20",1,IF(C800="B02",1,0)))))))</f>
        <v/>
      </c>
      <c r="G800"/>
      <c r="H800" s="2"/>
      <c r="I800" s="2"/>
      <c r="L800"/>
      <c r="R800"/>
      <c r="S800" s="5"/>
      <c r="U800" s="5"/>
    </row>
    <row r="801" spans="1:21">
      <c r="A801" s="3">
        <v>45715.777905092589</v>
      </c>
      <c r="B801" s="2" t="s">
        <v>26</v>
      </c>
      <c r="C801" s="2" t="s">
        <v>11</v>
      </c>
      <c r="D801" s="6" t="str">
        <f>CONCATENATE(YEAR(A801),"/",IF(MONTH(A801)&lt;10,CONCATENATE("0",MONTH(A801)),MONTH(A801)))</f>
        <v>2025/02</v>
      </c>
      <c r="E801" s="8" t="str">
        <f>IF(IF(D801&lt;&gt;D800,1,IF(OR(B801&lt;&gt;B800,A801-A800&gt;$U$1),1,""))&lt;&gt;1,"",IF(C801="B01",1965,IF(C801="B02",1020,IF(C801="B05",2400,IF(C801="B03",4260,IF(C801="B04",2880,IF(C801="B20",1260,0)))))))</f>
        <v/>
      </c>
      <c r="F801" s="8" t="str">
        <f>IF(IF(D801&lt;&gt;D800,1,IF(OR(B801&lt;&gt;B800,A801-A800&gt;$U$1),1,""))&lt;&gt;1,"",IF(C801="B01",1,IF(C801="B05",1,IF(C801="B03",1,IF(C801="B04",1,IF(C801="B20",1,IF(C801="B02",1,0)))))))</f>
        <v/>
      </c>
      <c r="G801"/>
      <c r="H801" s="2"/>
      <c r="I801" s="2"/>
      <c r="L801"/>
      <c r="R801"/>
      <c r="S801" s="5"/>
      <c r="U801" s="5"/>
    </row>
    <row r="802" spans="1:21">
      <c r="A802" s="3">
        <v>45716.443518518521</v>
      </c>
      <c r="B802" s="2" t="s">
        <v>26</v>
      </c>
      <c r="C802" s="2" t="s">
        <v>12</v>
      </c>
      <c r="D802" s="6" t="str">
        <f>CONCATENATE(YEAR(A802),"/",IF(MONTH(A802)&lt;10,CONCATENATE("0",MONTH(A802)),MONTH(A802)))</f>
        <v>2025/02</v>
      </c>
      <c r="E802" s="8">
        <f>IF(IF(D802&lt;&gt;D801,1,IF(OR(B802&lt;&gt;B801,A802-A801&gt;$U$1),1,""))&lt;&gt;1,"",IF(C802="B01",1965,IF(C802="B02",1020,IF(C802="B05",2400,IF(C802="B03",4260,IF(C802="B04",2880,IF(C802="B20",1260,0)))))))</f>
        <v>4260</v>
      </c>
      <c r="F802" s="8">
        <f>IF(IF(D802&lt;&gt;D801,1,IF(OR(B802&lt;&gt;B801,A802-A801&gt;$U$1),1,""))&lt;&gt;1,"",IF(C802="B01",1,IF(C802="B05",1,IF(C802="B03",1,IF(C802="B04",1,IF(C802="B20",1,IF(C802="B02",1,0)))))))</f>
        <v>1</v>
      </c>
      <c r="G802"/>
      <c r="H802" s="2"/>
      <c r="I802" s="2"/>
      <c r="L802"/>
      <c r="R802"/>
      <c r="S802" s="5"/>
      <c r="U802" s="5"/>
    </row>
    <row r="803" spans="1:21">
      <c r="A803" s="3">
        <v>45716.443518518521</v>
      </c>
      <c r="B803" s="2" t="s">
        <v>26</v>
      </c>
      <c r="C803" s="2" t="s">
        <v>12</v>
      </c>
      <c r="D803" s="6" t="str">
        <f>CONCATENATE(YEAR(A803),"/",IF(MONTH(A803)&lt;10,CONCATENATE("0",MONTH(A803)),MONTH(A803)))</f>
        <v>2025/02</v>
      </c>
      <c r="E803" s="8" t="str">
        <f>IF(IF(D803&lt;&gt;D802,1,IF(OR(B803&lt;&gt;B802,A803-A802&gt;$U$1),1,""))&lt;&gt;1,"",IF(C803="B01",1965,IF(C803="B02",1020,IF(C803="B05",2400,IF(C803="B03",4260,IF(C803="B04",2880,IF(C803="B20",1260,0)))))))</f>
        <v/>
      </c>
      <c r="F803" s="8" t="str">
        <f>IF(IF(D803&lt;&gt;D802,1,IF(OR(B803&lt;&gt;B802,A803-A802&gt;$U$1),1,""))&lt;&gt;1,"",IF(C803="B01",1,IF(C803="B05",1,IF(C803="B03",1,IF(C803="B04",1,IF(C803="B20",1,IF(C803="B02",1,0)))))))</f>
        <v/>
      </c>
      <c r="G803"/>
      <c r="H803" s="2"/>
      <c r="I803" s="2"/>
      <c r="L803"/>
      <c r="R803"/>
      <c r="S803" s="5"/>
      <c r="U803" s="5"/>
    </row>
    <row r="804" spans="1:21">
      <c r="A804" s="3">
        <v>45716.443518518521</v>
      </c>
      <c r="B804" s="2" t="s">
        <v>26</v>
      </c>
      <c r="C804" s="2" t="s">
        <v>12</v>
      </c>
      <c r="D804" s="6" t="str">
        <f>CONCATENATE(YEAR(A804),"/",IF(MONTH(A804)&lt;10,CONCATENATE("0",MONTH(A804)),MONTH(A804)))</f>
        <v>2025/02</v>
      </c>
      <c r="E804" s="8" t="str">
        <f>IF(IF(D804&lt;&gt;D803,1,IF(OR(B804&lt;&gt;B803,A804-A803&gt;$U$1),1,""))&lt;&gt;1,"",IF(C804="B01",1965,IF(C804="B02",1020,IF(C804="B05",2400,IF(C804="B03",4260,IF(C804="B04",2880,IF(C804="B20",1260,0)))))))</f>
        <v/>
      </c>
      <c r="F804" s="8" t="str">
        <f>IF(IF(D804&lt;&gt;D803,1,IF(OR(B804&lt;&gt;B803,A804-A803&gt;$U$1),1,""))&lt;&gt;1,"",IF(C804="B01",1,IF(C804="B05",1,IF(C804="B03",1,IF(C804="B04",1,IF(C804="B20",1,IF(C804="B02",1,0)))))))</f>
        <v/>
      </c>
      <c r="G804"/>
      <c r="H804" s="2"/>
      <c r="I804" s="2"/>
      <c r="L804"/>
      <c r="R804"/>
      <c r="S804" s="5"/>
      <c r="U804" s="5"/>
    </row>
    <row r="805" spans="1:21">
      <c r="A805" s="3">
        <v>45716.443518518521</v>
      </c>
      <c r="B805" s="2" t="s">
        <v>26</v>
      </c>
      <c r="C805" s="2" t="s">
        <v>12</v>
      </c>
      <c r="D805" s="6" t="str">
        <f>CONCATENATE(YEAR(A805),"/",IF(MONTH(A805)&lt;10,CONCATENATE("0",MONTH(A805)),MONTH(A805)))</f>
        <v>2025/02</v>
      </c>
      <c r="E805" s="8" t="str">
        <f>IF(IF(D805&lt;&gt;D804,1,IF(OR(B805&lt;&gt;B804,A805-A804&gt;$U$1),1,""))&lt;&gt;1,"",IF(C805="B01",1965,IF(C805="B02",1020,IF(C805="B05",2400,IF(C805="B03",4260,IF(C805="B04",2880,IF(C805="B20",1260,0)))))))</f>
        <v/>
      </c>
      <c r="F805" s="8" t="str">
        <f>IF(IF(D805&lt;&gt;D804,1,IF(OR(B805&lt;&gt;B804,A805-A804&gt;$U$1),1,""))&lt;&gt;1,"",IF(C805="B01",1,IF(C805="B05",1,IF(C805="B03",1,IF(C805="B04",1,IF(C805="B20",1,IF(C805="B02",1,0)))))))</f>
        <v/>
      </c>
      <c r="G805"/>
      <c r="H805" s="2"/>
      <c r="I805" s="2"/>
      <c r="L805"/>
      <c r="R805"/>
      <c r="S805" s="5"/>
      <c r="U805" s="5"/>
    </row>
    <row r="806" spans="1:21">
      <c r="A806" s="3">
        <v>45716.910416666666</v>
      </c>
      <c r="B806" s="2" t="s">
        <v>26</v>
      </c>
      <c r="C806" s="2" t="s">
        <v>12</v>
      </c>
      <c r="D806" s="6" t="str">
        <f>CONCATENATE(YEAR(A806),"/",IF(MONTH(A806)&lt;10,CONCATENATE("0",MONTH(A806)),MONTH(A806)))</f>
        <v>2025/02</v>
      </c>
      <c r="E806" s="8">
        <f>IF(IF(D806&lt;&gt;D805,1,IF(OR(B806&lt;&gt;B805,A806-A805&gt;$U$1),1,""))&lt;&gt;1,"",IF(C806="B01",1965,IF(C806="B02",1020,IF(C806="B05",2400,IF(C806="B03",4260,IF(C806="B04",2880,IF(C806="B20",1260,0)))))))</f>
        <v>4260</v>
      </c>
      <c r="F806" s="8">
        <f>IF(IF(D806&lt;&gt;D805,1,IF(OR(B806&lt;&gt;B805,A806-A805&gt;$U$1),1,""))&lt;&gt;1,"",IF(C806="B01",1,IF(C806="B05",1,IF(C806="B03",1,IF(C806="B04",1,IF(C806="B20",1,IF(C806="B02",1,0)))))))</f>
        <v>1</v>
      </c>
      <c r="G806"/>
      <c r="H806" s="2"/>
      <c r="I806" s="2"/>
      <c r="L806"/>
      <c r="R806"/>
      <c r="S806" s="5"/>
      <c r="U806" s="5"/>
    </row>
    <row r="807" spans="1:21">
      <c r="A807" s="3">
        <v>45717.5625462963</v>
      </c>
      <c r="B807" s="2" t="s">
        <v>26</v>
      </c>
      <c r="C807" s="2" t="s">
        <v>11</v>
      </c>
      <c r="D807" s="6" t="str">
        <f>CONCATENATE(YEAR(A807),"/",IF(MONTH(A807)&lt;10,CONCATENATE("0",MONTH(A807)),MONTH(A807)))</f>
        <v>2025/03</v>
      </c>
      <c r="E807" s="8">
        <f>IF(IF(D807&lt;&gt;D806,1,IF(OR(B807&lt;&gt;B806,A807-A806&gt;$U$1),1,""))&lt;&gt;1,"",IF(C807="B01",1965,IF(C807="B02",1020,IF(C807="B05",2400,IF(C807="B03",4260,IF(C807="B04",2880,IF(C807="B20",1260,0)))))))</f>
        <v>2400</v>
      </c>
      <c r="F807" s="8">
        <f>IF(IF(D807&lt;&gt;D806,1,IF(OR(B807&lt;&gt;B806,A807-A806&gt;$U$1),1,""))&lt;&gt;1,"",IF(C807="B01",1,IF(C807="B05",1,IF(C807="B03",1,IF(C807="B04",1,IF(C807="B20",1,IF(C807="B02",1,0)))))))</f>
        <v>1</v>
      </c>
      <c r="G807"/>
      <c r="H807" s="2"/>
      <c r="I807" s="2"/>
      <c r="L807"/>
      <c r="R807"/>
      <c r="S807" s="5"/>
      <c r="U807" s="5"/>
    </row>
    <row r="808" spans="1:21">
      <c r="A808" s="3">
        <v>45717.5625462963</v>
      </c>
      <c r="B808" s="2" t="s">
        <v>26</v>
      </c>
      <c r="C808" s="2" t="s">
        <v>11</v>
      </c>
      <c r="D808" s="6" t="str">
        <f>CONCATENATE(YEAR(A808),"/",IF(MONTH(A808)&lt;10,CONCATENATE("0",MONTH(A808)),MONTH(A808)))</f>
        <v>2025/03</v>
      </c>
      <c r="E808" s="8" t="str">
        <f>IF(IF(D808&lt;&gt;D807,1,IF(OR(B808&lt;&gt;B807,A808-A807&gt;$U$1),1,""))&lt;&gt;1,"",IF(C808="B01",1965,IF(C808="B02",1020,IF(C808="B05",2400,IF(C808="B03",4260,IF(C808="B04",2880,IF(C808="B20",1260,0)))))))</f>
        <v/>
      </c>
      <c r="F808" s="8" t="str">
        <f>IF(IF(D808&lt;&gt;D807,1,IF(OR(B808&lt;&gt;B807,A808-A807&gt;$U$1),1,""))&lt;&gt;1,"",IF(C808="B01",1,IF(C808="B05",1,IF(C808="B03",1,IF(C808="B04",1,IF(C808="B20",1,IF(C808="B02",1,0)))))))</f>
        <v/>
      </c>
      <c r="G808"/>
      <c r="H808" s="2"/>
      <c r="I808" s="2"/>
      <c r="L808"/>
      <c r="R808"/>
      <c r="S808" s="5"/>
      <c r="U808" s="5"/>
    </row>
    <row r="809" spans="1:21">
      <c r="A809" s="3">
        <v>45717.5625462963</v>
      </c>
      <c r="B809" s="2" t="s">
        <v>26</v>
      </c>
      <c r="C809" s="2" t="s">
        <v>11</v>
      </c>
      <c r="D809" s="6" t="str">
        <f>CONCATENATE(YEAR(A809),"/",IF(MONTH(A809)&lt;10,CONCATENATE("0",MONTH(A809)),MONTH(A809)))</f>
        <v>2025/03</v>
      </c>
      <c r="E809" s="8" t="str">
        <f>IF(IF(D809&lt;&gt;D808,1,IF(OR(B809&lt;&gt;B808,A809-A808&gt;$U$1),1,""))&lt;&gt;1,"",IF(C809="B01",1965,IF(C809="B02",1020,IF(C809="B05",2400,IF(C809="B03",4260,IF(C809="B04",2880,IF(C809="B20",1260,0)))))))</f>
        <v/>
      </c>
      <c r="F809" s="8" t="str">
        <f>IF(IF(D809&lt;&gt;D808,1,IF(OR(B809&lt;&gt;B808,A809-A808&gt;$U$1),1,""))&lt;&gt;1,"",IF(C809="B01",1,IF(C809="B05",1,IF(C809="B03",1,IF(C809="B04",1,IF(C809="B20",1,IF(C809="B02",1,0)))))))</f>
        <v/>
      </c>
      <c r="G809"/>
      <c r="H809" s="2"/>
      <c r="I809" s="2"/>
      <c r="L809"/>
      <c r="R809"/>
      <c r="S809" s="5"/>
      <c r="U809" s="5"/>
    </row>
    <row r="810" spans="1:21">
      <c r="A810" s="3">
        <v>45717.5625462963</v>
      </c>
      <c r="B810" s="2" t="s">
        <v>26</v>
      </c>
      <c r="C810" s="2" t="s">
        <v>11</v>
      </c>
      <c r="D810" s="6" t="str">
        <f>CONCATENATE(YEAR(A810),"/",IF(MONTH(A810)&lt;10,CONCATENATE("0",MONTH(A810)),MONTH(A810)))</f>
        <v>2025/03</v>
      </c>
      <c r="E810" s="8" t="str">
        <f>IF(IF(D810&lt;&gt;D809,1,IF(OR(B810&lt;&gt;B809,A810-A809&gt;$U$1),1,""))&lt;&gt;1,"",IF(C810="B01",1965,IF(C810="B02",1020,IF(C810="B05",2400,IF(C810="B03",4260,IF(C810="B04",2880,IF(C810="B20",1260,0)))))))</f>
        <v/>
      </c>
      <c r="F810" s="8" t="str">
        <f>IF(IF(D810&lt;&gt;D809,1,IF(OR(B810&lt;&gt;B809,A810-A809&gt;$U$1),1,""))&lt;&gt;1,"",IF(C810="B01",1,IF(C810="B05",1,IF(C810="B03",1,IF(C810="B04",1,IF(C810="B20",1,IF(C810="B02",1,0)))))))</f>
        <v/>
      </c>
      <c r="G810"/>
      <c r="H810" s="2"/>
      <c r="I810" s="2"/>
      <c r="L810"/>
      <c r="R810"/>
      <c r="S810" s="5"/>
      <c r="U810" s="5"/>
    </row>
    <row r="811" spans="1:21">
      <c r="A811" s="3">
        <v>45717.696435185186</v>
      </c>
      <c r="B811" s="2" t="s">
        <v>26</v>
      </c>
      <c r="C811" s="2" t="s">
        <v>12</v>
      </c>
      <c r="D811" s="6" t="str">
        <f>CONCATENATE(YEAR(A811),"/",IF(MONTH(A811)&lt;10,CONCATENATE("0",MONTH(A811)),MONTH(A811)))</f>
        <v>2025/03</v>
      </c>
      <c r="E811" s="8">
        <f>IF(IF(D811&lt;&gt;D810,1,IF(OR(B811&lt;&gt;B810,A811-A810&gt;$U$1),1,""))&lt;&gt;1,"",IF(C811="B01",1965,IF(C811="B02",1020,IF(C811="B05",2400,IF(C811="B03",4260,IF(C811="B04",2880,IF(C811="B20",1260,0)))))))</f>
        <v>4260</v>
      </c>
      <c r="F811" s="8">
        <f>IF(IF(D811&lt;&gt;D810,1,IF(OR(B811&lt;&gt;B810,A811-A810&gt;$U$1),1,""))&lt;&gt;1,"",IF(C811="B01",1,IF(C811="B05",1,IF(C811="B03",1,IF(C811="B04",1,IF(C811="B20",1,IF(C811="B02",1,0)))))))</f>
        <v>1</v>
      </c>
      <c r="G811"/>
      <c r="H811" s="2"/>
      <c r="I811" s="2"/>
      <c r="L811"/>
      <c r="R811"/>
      <c r="S811" s="5"/>
      <c r="U811" s="5"/>
    </row>
    <row r="812" spans="1:21">
      <c r="A812" s="3">
        <v>45717.95449074074</v>
      </c>
      <c r="B812" s="2" t="s">
        <v>26</v>
      </c>
      <c r="C812" s="2" t="s">
        <v>12</v>
      </c>
      <c r="D812" s="6" t="str">
        <f>CONCATENATE(YEAR(A812),"/",IF(MONTH(A812)&lt;10,CONCATENATE("0",MONTH(A812)),MONTH(A812)))</f>
        <v>2025/03</v>
      </c>
      <c r="E812" s="8">
        <f>IF(IF(D812&lt;&gt;D811,1,IF(OR(B812&lt;&gt;B811,A812-A811&gt;$U$1),1,""))&lt;&gt;1,"",IF(C812="B01",1965,IF(C812="B02",1020,IF(C812="B05",2400,IF(C812="B03",4260,IF(C812="B04",2880,IF(C812="B20",1260,0)))))))</f>
        <v>4260</v>
      </c>
      <c r="F812" s="8">
        <f>IF(IF(D812&lt;&gt;D811,1,IF(OR(B812&lt;&gt;B811,A812-A811&gt;$U$1),1,""))&lt;&gt;1,"",IF(C812="B01",1,IF(C812="B05",1,IF(C812="B03",1,IF(C812="B04",1,IF(C812="B20",1,IF(C812="B02",1,0)))))))</f>
        <v>1</v>
      </c>
      <c r="G812"/>
      <c r="H812" s="2"/>
      <c r="I812" s="2"/>
      <c r="L812"/>
      <c r="R812"/>
      <c r="S812" s="5"/>
      <c r="U812" s="5"/>
    </row>
    <row r="813" spans="1:21">
      <c r="A813" s="3">
        <v>45718.109895833331</v>
      </c>
      <c r="B813" s="2" t="s">
        <v>26</v>
      </c>
      <c r="C813" s="2" t="s">
        <v>11</v>
      </c>
      <c r="D813" s="6" t="str">
        <f>CONCATENATE(YEAR(A813),"/",IF(MONTH(A813)&lt;10,CONCATENATE("0",MONTH(A813)),MONTH(A813)))</f>
        <v>2025/03</v>
      </c>
      <c r="E813" s="8">
        <f>IF(IF(D813&lt;&gt;D812,1,IF(OR(B813&lt;&gt;B812,A813-A812&gt;$U$1),1,""))&lt;&gt;1,"",IF(C813="B01",1965,IF(C813="B02",1020,IF(C813="B05",2400,IF(C813="B03",4260,IF(C813="B04",2880,IF(C813="B20",1260,0)))))))</f>
        <v>2400</v>
      </c>
      <c r="F813" s="8">
        <f>IF(IF(D813&lt;&gt;D812,1,IF(OR(B813&lt;&gt;B812,A813-A812&gt;$U$1),1,""))&lt;&gt;1,"",IF(C813="B01",1,IF(C813="B05",1,IF(C813="B03",1,IF(C813="B04",1,IF(C813="B20",1,IF(C813="B02",1,0)))))))</f>
        <v>1</v>
      </c>
      <c r="G813"/>
      <c r="H813" s="2"/>
      <c r="I813" s="2"/>
      <c r="L813"/>
      <c r="R813"/>
      <c r="S813" s="5"/>
      <c r="U813" s="5"/>
    </row>
    <row r="814" spans="1:21">
      <c r="A814" s="3">
        <v>45718.109895833331</v>
      </c>
      <c r="B814" s="2" t="s">
        <v>26</v>
      </c>
      <c r="C814" s="2" t="s">
        <v>11</v>
      </c>
      <c r="D814" s="6" t="str">
        <f>CONCATENATE(YEAR(A814),"/",IF(MONTH(A814)&lt;10,CONCATENATE("0",MONTH(A814)),MONTH(A814)))</f>
        <v>2025/03</v>
      </c>
      <c r="E814" s="8" t="str">
        <f>IF(IF(D814&lt;&gt;D813,1,IF(OR(B814&lt;&gt;B813,A814-A813&gt;$U$1),1,""))&lt;&gt;1,"",IF(C814="B01",1965,IF(C814="B02",1020,IF(C814="B05",2400,IF(C814="B03",4260,IF(C814="B04",2880,IF(C814="B20",1260,0)))))))</f>
        <v/>
      </c>
      <c r="F814" s="8" t="str">
        <f>IF(IF(D814&lt;&gt;D813,1,IF(OR(B814&lt;&gt;B813,A814-A813&gt;$U$1),1,""))&lt;&gt;1,"",IF(C814="B01",1,IF(C814="B05",1,IF(C814="B03",1,IF(C814="B04",1,IF(C814="B20",1,IF(C814="B02",1,0)))))))</f>
        <v/>
      </c>
      <c r="G814"/>
      <c r="H814" s="2"/>
      <c r="I814" s="2"/>
      <c r="L814"/>
      <c r="R814"/>
      <c r="S814" s="5"/>
      <c r="U814" s="5"/>
    </row>
    <row r="815" spans="1:21">
      <c r="A815" s="3">
        <v>45718.329270833332</v>
      </c>
      <c r="B815" s="2" t="s">
        <v>26</v>
      </c>
      <c r="C815" s="2" t="s">
        <v>11</v>
      </c>
      <c r="D815" s="6" t="str">
        <f>CONCATENATE(YEAR(A815),"/",IF(MONTH(A815)&lt;10,CONCATENATE("0",MONTH(A815)),MONTH(A815)))</f>
        <v>2025/03</v>
      </c>
      <c r="E815" s="8">
        <f>IF(IF(D815&lt;&gt;D814,1,IF(OR(B815&lt;&gt;B814,A815-A814&gt;$U$1),1,""))&lt;&gt;1,"",IF(C815="B01",1965,IF(C815="B02",1020,IF(C815="B05",2400,IF(C815="B03",4260,IF(C815="B04",2880,IF(C815="B20",1260,0)))))))</f>
        <v>2400</v>
      </c>
      <c r="F815" s="8">
        <f>IF(IF(D815&lt;&gt;D814,1,IF(OR(B815&lt;&gt;B814,A815-A814&gt;$U$1),1,""))&lt;&gt;1,"",IF(C815="B01",1,IF(C815="B05",1,IF(C815="B03",1,IF(C815="B04",1,IF(C815="B20",1,IF(C815="B02",1,0)))))))</f>
        <v>1</v>
      </c>
      <c r="G815"/>
      <c r="H815" s="2"/>
      <c r="I815" s="2"/>
      <c r="L815"/>
      <c r="R815"/>
      <c r="S815" s="5"/>
      <c r="U815" s="5"/>
    </row>
    <row r="816" spans="1:21">
      <c r="A816" s="3">
        <v>45718.329270833332</v>
      </c>
      <c r="B816" s="2" t="s">
        <v>26</v>
      </c>
      <c r="C816" s="2" t="s">
        <v>11</v>
      </c>
      <c r="D816" s="6" t="str">
        <f>CONCATENATE(YEAR(A816),"/",IF(MONTH(A816)&lt;10,CONCATENATE("0",MONTH(A816)),MONTH(A816)))</f>
        <v>2025/03</v>
      </c>
      <c r="E816" s="8" t="str">
        <f>IF(IF(D816&lt;&gt;D815,1,IF(OR(B816&lt;&gt;B815,A816-A815&gt;$U$1),1,""))&lt;&gt;1,"",IF(C816="B01",1965,IF(C816="B02",1020,IF(C816="B05",2400,IF(C816="B03",4260,IF(C816="B04",2880,IF(C816="B20",1260,0)))))))</f>
        <v/>
      </c>
      <c r="F816" s="8" t="str">
        <f>IF(IF(D816&lt;&gt;D815,1,IF(OR(B816&lt;&gt;B815,A816-A815&gt;$U$1),1,""))&lt;&gt;1,"",IF(C816="B01",1,IF(C816="B05",1,IF(C816="B03",1,IF(C816="B04",1,IF(C816="B20",1,IF(C816="B02",1,0)))))))</f>
        <v/>
      </c>
      <c r="G816"/>
      <c r="H816" s="2"/>
      <c r="I816" s="2"/>
      <c r="L816"/>
      <c r="R816"/>
      <c r="S816" s="5"/>
      <c r="U816" s="5"/>
    </row>
    <row r="817" spans="1:21">
      <c r="A817" s="3">
        <v>45718.475069444445</v>
      </c>
      <c r="B817" s="2" t="s">
        <v>26</v>
      </c>
      <c r="C817" s="2" t="s">
        <v>11</v>
      </c>
      <c r="D817" s="6" t="str">
        <f>CONCATENATE(YEAR(A817),"/",IF(MONTH(A817)&lt;10,CONCATENATE("0",MONTH(A817)),MONTH(A817)))</f>
        <v>2025/03</v>
      </c>
      <c r="E817" s="8">
        <f>IF(IF(D817&lt;&gt;D816,1,IF(OR(B817&lt;&gt;B816,A817-A816&gt;$U$1),1,""))&lt;&gt;1,"",IF(C817="B01",1965,IF(C817="B02",1020,IF(C817="B05",2400,IF(C817="B03",4260,IF(C817="B04",2880,IF(C817="B20",1260,0)))))))</f>
        <v>2400</v>
      </c>
      <c r="F817" s="8">
        <f>IF(IF(D817&lt;&gt;D816,1,IF(OR(B817&lt;&gt;B816,A817-A816&gt;$U$1),1,""))&lt;&gt;1,"",IF(C817="B01",1,IF(C817="B05",1,IF(C817="B03",1,IF(C817="B04",1,IF(C817="B20",1,IF(C817="B02",1,0)))))))</f>
        <v>1</v>
      </c>
      <c r="G817"/>
      <c r="H817" s="2"/>
      <c r="I817" s="2"/>
      <c r="L817"/>
      <c r="R817"/>
      <c r="S817" s="5"/>
      <c r="U817" s="5"/>
    </row>
    <row r="818" spans="1:21">
      <c r="A818" s="3">
        <v>45718.475069444445</v>
      </c>
      <c r="B818" s="2" t="s">
        <v>26</v>
      </c>
      <c r="C818" s="2" t="s">
        <v>11</v>
      </c>
      <c r="D818" s="6" t="str">
        <f>CONCATENATE(YEAR(A818),"/",IF(MONTH(A818)&lt;10,CONCATENATE("0",MONTH(A818)),MONTH(A818)))</f>
        <v>2025/03</v>
      </c>
      <c r="E818" s="8" t="str">
        <f>IF(IF(D818&lt;&gt;D817,1,IF(OR(B818&lt;&gt;B817,A818-A817&gt;$U$1),1,""))&lt;&gt;1,"",IF(C818="B01",1965,IF(C818="B02",1020,IF(C818="B05",2400,IF(C818="B03",4260,IF(C818="B04",2880,IF(C818="B20",1260,0)))))))</f>
        <v/>
      </c>
      <c r="F818" s="8" t="str">
        <f>IF(IF(D818&lt;&gt;D817,1,IF(OR(B818&lt;&gt;B817,A818-A817&gt;$U$1),1,""))&lt;&gt;1,"",IF(C818="B01",1,IF(C818="B05",1,IF(C818="B03",1,IF(C818="B04",1,IF(C818="B20",1,IF(C818="B02",1,0)))))))</f>
        <v/>
      </c>
      <c r="G818"/>
      <c r="H818" s="2"/>
      <c r="I818" s="2"/>
      <c r="L818"/>
      <c r="R818"/>
      <c r="S818" s="5"/>
      <c r="U818" s="5"/>
    </row>
    <row r="819" spans="1:21">
      <c r="A819" s="3">
        <v>45718.475069444445</v>
      </c>
      <c r="B819" s="2" t="s">
        <v>26</v>
      </c>
      <c r="C819" s="2" t="s">
        <v>11</v>
      </c>
      <c r="D819" s="6" t="str">
        <f>CONCATENATE(YEAR(A819),"/",IF(MONTH(A819)&lt;10,CONCATENATE("0",MONTH(A819)),MONTH(A819)))</f>
        <v>2025/03</v>
      </c>
      <c r="E819" s="8" t="str">
        <f>IF(IF(D819&lt;&gt;D818,1,IF(OR(B819&lt;&gt;B818,A819-A818&gt;$U$1),1,""))&lt;&gt;1,"",IF(C819="B01",1965,IF(C819="B02",1020,IF(C819="B05",2400,IF(C819="B03",4260,IF(C819="B04",2880,IF(C819="B20",1260,0)))))))</f>
        <v/>
      </c>
      <c r="F819" s="8" t="str">
        <f>IF(IF(D819&lt;&gt;D818,1,IF(OR(B819&lt;&gt;B818,A819-A818&gt;$U$1),1,""))&lt;&gt;1,"",IF(C819="B01",1,IF(C819="B05",1,IF(C819="B03",1,IF(C819="B04",1,IF(C819="B20",1,IF(C819="B02",1,0)))))))</f>
        <v/>
      </c>
      <c r="G819"/>
      <c r="H819" s="2"/>
      <c r="I819" s="2"/>
      <c r="L819"/>
      <c r="R819"/>
      <c r="S819" s="5"/>
      <c r="U819" s="5"/>
    </row>
    <row r="820" spans="1:21">
      <c r="A820" s="3">
        <v>45718.74491898148</v>
      </c>
      <c r="B820" s="2" t="s">
        <v>26</v>
      </c>
      <c r="C820" s="2" t="s">
        <v>11</v>
      </c>
      <c r="D820" s="6" t="str">
        <f>CONCATENATE(YEAR(A820),"/",IF(MONTH(A820)&lt;10,CONCATENATE("0",MONTH(A820)),MONTH(A820)))</f>
        <v>2025/03</v>
      </c>
      <c r="E820" s="8">
        <f>IF(IF(D820&lt;&gt;D819,1,IF(OR(B820&lt;&gt;B819,A820-A819&gt;$U$1),1,""))&lt;&gt;1,"",IF(C820="B01",1965,IF(C820="B02",1020,IF(C820="B05",2400,IF(C820="B03",4260,IF(C820="B04",2880,IF(C820="B20",1260,0)))))))</f>
        <v>2400</v>
      </c>
      <c r="F820" s="8">
        <f>IF(IF(D820&lt;&gt;D819,1,IF(OR(B820&lt;&gt;B819,A820-A819&gt;$U$1),1,""))&lt;&gt;1,"",IF(C820="B01",1,IF(C820="B05",1,IF(C820="B03",1,IF(C820="B04",1,IF(C820="B20",1,IF(C820="B02",1,0)))))))</f>
        <v>1</v>
      </c>
      <c r="G820"/>
      <c r="H820" s="2"/>
      <c r="I820" s="2"/>
      <c r="L820"/>
      <c r="R820"/>
      <c r="S820" s="5"/>
      <c r="U820" s="5"/>
    </row>
    <row r="821" spans="1:21">
      <c r="A821" s="3">
        <v>45718.74491898148</v>
      </c>
      <c r="B821" s="2" t="s">
        <v>26</v>
      </c>
      <c r="C821" s="2" t="s">
        <v>11</v>
      </c>
      <c r="D821" s="6" t="str">
        <f>CONCATENATE(YEAR(A821),"/",IF(MONTH(A821)&lt;10,CONCATENATE("0",MONTH(A821)),MONTH(A821)))</f>
        <v>2025/03</v>
      </c>
      <c r="E821" s="8" t="str">
        <f>IF(IF(D821&lt;&gt;D820,1,IF(OR(B821&lt;&gt;B820,A821-A820&gt;$U$1),1,""))&lt;&gt;1,"",IF(C821="B01",1965,IF(C821="B02",1020,IF(C821="B05",2400,IF(C821="B03",4260,IF(C821="B04",2880,IF(C821="B20",1260,0)))))))</f>
        <v/>
      </c>
      <c r="F821" s="8" t="str">
        <f>IF(IF(D821&lt;&gt;D820,1,IF(OR(B821&lt;&gt;B820,A821-A820&gt;$U$1),1,""))&lt;&gt;1,"",IF(C821="B01",1,IF(C821="B05",1,IF(C821="B03",1,IF(C821="B04",1,IF(C821="B20",1,IF(C821="B02",1,0)))))))</f>
        <v/>
      </c>
      <c r="G821"/>
      <c r="H821" s="2"/>
      <c r="I821" s="2"/>
      <c r="L821"/>
      <c r="R821"/>
      <c r="S821" s="5"/>
      <c r="U821" s="5"/>
    </row>
    <row r="822" spans="1:21">
      <c r="A822" s="3">
        <v>45718.74491898148</v>
      </c>
      <c r="B822" s="2" t="s">
        <v>26</v>
      </c>
      <c r="C822" s="2" t="s">
        <v>11</v>
      </c>
      <c r="D822" s="6" t="str">
        <f>CONCATENATE(YEAR(A822),"/",IF(MONTH(A822)&lt;10,CONCATENATE("0",MONTH(A822)),MONTH(A822)))</f>
        <v>2025/03</v>
      </c>
      <c r="E822" s="8" t="str">
        <f>IF(IF(D822&lt;&gt;D821,1,IF(OR(B822&lt;&gt;B821,A822-A821&gt;$U$1),1,""))&lt;&gt;1,"",IF(C822="B01",1965,IF(C822="B02",1020,IF(C822="B05",2400,IF(C822="B03",4260,IF(C822="B04",2880,IF(C822="B20",1260,0)))))))</f>
        <v/>
      </c>
      <c r="F822" s="8" t="str">
        <f>IF(IF(D822&lt;&gt;D821,1,IF(OR(B822&lt;&gt;B821,A822-A821&gt;$U$1),1,""))&lt;&gt;1,"",IF(C822="B01",1,IF(C822="B05",1,IF(C822="B03",1,IF(C822="B04",1,IF(C822="B20",1,IF(C822="B02",1,0)))))))</f>
        <v/>
      </c>
      <c r="G822"/>
      <c r="H822" s="2"/>
      <c r="I822" s="2"/>
      <c r="L822"/>
      <c r="R822"/>
      <c r="S822" s="5"/>
      <c r="U822" s="5"/>
    </row>
    <row r="823" spans="1:21">
      <c r="A823" s="3">
        <v>45719.160324074073</v>
      </c>
      <c r="B823" s="2" t="s">
        <v>26</v>
      </c>
      <c r="C823" s="2" t="s">
        <v>11</v>
      </c>
      <c r="D823" s="6" t="str">
        <f>CONCATENATE(YEAR(A823),"/",IF(MONTH(A823)&lt;10,CONCATENATE("0",MONTH(A823)),MONTH(A823)))</f>
        <v>2025/03</v>
      </c>
      <c r="E823" s="8">
        <f>IF(IF(D823&lt;&gt;D822,1,IF(OR(B823&lt;&gt;B822,A823-A822&gt;$U$1),1,""))&lt;&gt;1,"",IF(C823="B01",1965,IF(C823="B02",1020,IF(C823="B05",2400,IF(C823="B03",4260,IF(C823="B04",2880,IF(C823="B20",1260,0)))))))</f>
        <v>2400</v>
      </c>
      <c r="F823" s="8">
        <f>IF(IF(D823&lt;&gt;D822,1,IF(OR(B823&lt;&gt;B822,A823-A822&gt;$U$1),1,""))&lt;&gt;1,"",IF(C823="B01",1,IF(C823="B05",1,IF(C823="B03",1,IF(C823="B04",1,IF(C823="B20",1,IF(C823="B02",1,0)))))))</f>
        <v>1</v>
      </c>
      <c r="G823"/>
      <c r="H823" s="2"/>
      <c r="I823" s="2"/>
      <c r="L823"/>
      <c r="R823"/>
      <c r="S823" s="5"/>
      <c r="U823" s="5"/>
    </row>
    <row r="824" spans="1:21">
      <c r="A824" s="3">
        <v>45719.160324074073</v>
      </c>
      <c r="B824" s="2" t="s">
        <v>26</v>
      </c>
      <c r="C824" s="2" t="s">
        <v>11</v>
      </c>
      <c r="D824" s="6" t="str">
        <f>CONCATENATE(YEAR(A824),"/",IF(MONTH(A824)&lt;10,CONCATENATE("0",MONTH(A824)),MONTH(A824)))</f>
        <v>2025/03</v>
      </c>
      <c r="E824" s="8" t="str">
        <f>IF(IF(D824&lt;&gt;D823,1,IF(OR(B824&lt;&gt;B823,A824-A823&gt;$U$1),1,""))&lt;&gt;1,"",IF(C824="B01",1965,IF(C824="B02",1020,IF(C824="B05",2400,IF(C824="B03",4260,IF(C824="B04",2880,IF(C824="B20",1260,0)))))))</f>
        <v/>
      </c>
      <c r="F824" s="8" t="str">
        <f>IF(IF(D824&lt;&gt;D823,1,IF(OR(B824&lt;&gt;B823,A824-A823&gt;$U$1),1,""))&lt;&gt;1,"",IF(C824="B01",1,IF(C824="B05",1,IF(C824="B03",1,IF(C824="B04",1,IF(C824="B20",1,IF(C824="B02",1,0)))))))</f>
        <v/>
      </c>
      <c r="G824"/>
      <c r="H824" s="2"/>
      <c r="I824" s="2"/>
      <c r="L824"/>
      <c r="R824"/>
      <c r="S824" s="5"/>
      <c r="U824" s="5"/>
    </row>
    <row r="825" spans="1:21">
      <c r="A825" s="3">
        <v>45719.160324074073</v>
      </c>
      <c r="B825" s="2" t="s">
        <v>26</v>
      </c>
      <c r="C825" s="2" t="s">
        <v>11</v>
      </c>
      <c r="D825" s="6" t="str">
        <f>CONCATENATE(YEAR(A825),"/",IF(MONTH(A825)&lt;10,CONCATENATE("0",MONTH(A825)),MONTH(A825)))</f>
        <v>2025/03</v>
      </c>
      <c r="E825" s="8" t="str">
        <f>IF(IF(D825&lt;&gt;D824,1,IF(OR(B825&lt;&gt;B824,A825-A824&gt;$U$1),1,""))&lt;&gt;1,"",IF(C825="B01",1965,IF(C825="B02",1020,IF(C825="B05",2400,IF(C825="B03",4260,IF(C825="B04",2880,IF(C825="B20",1260,0)))))))</f>
        <v/>
      </c>
      <c r="F825" s="8" t="str">
        <f>IF(IF(D825&lt;&gt;D824,1,IF(OR(B825&lt;&gt;B824,A825-A824&gt;$U$1),1,""))&lt;&gt;1,"",IF(C825="B01",1,IF(C825="B05",1,IF(C825="B03",1,IF(C825="B04",1,IF(C825="B20",1,IF(C825="B02",1,0)))))))</f>
        <v/>
      </c>
      <c r="G825"/>
      <c r="H825" s="2"/>
      <c r="I825" s="2"/>
      <c r="L825"/>
      <c r="R825"/>
      <c r="S825" s="5"/>
      <c r="U825" s="5"/>
    </row>
    <row r="826" spans="1:21">
      <c r="A826" s="3">
        <v>45719.551041666666</v>
      </c>
      <c r="B826" s="2" t="s">
        <v>26</v>
      </c>
      <c r="C826" s="2" t="s">
        <v>12</v>
      </c>
      <c r="D826" s="6" t="str">
        <f>CONCATENATE(YEAR(A826),"/",IF(MONTH(A826)&lt;10,CONCATENATE("0",MONTH(A826)),MONTH(A826)))</f>
        <v>2025/03</v>
      </c>
      <c r="E826" s="8">
        <f>IF(IF(D826&lt;&gt;D825,1,IF(OR(B826&lt;&gt;B825,A826-A825&gt;$U$1),1,""))&lt;&gt;1,"",IF(C826="B01",1965,IF(C826="B02",1020,IF(C826="B05",2400,IF(C826="B03",4260,IF(C826="B04",2880,IF(C826="B20",1260,0)))))))</f>
        <v>4260</v>
      </c>
      <c r="F826" s="8">
        <f>IF(IF(D826&lt;&gt;D825,1,IF(OR(B826&lt;&gt;B825,A826-A825&gt;$U$1),1,""))&lt;&gt;1,"",IF(C826="B01",1,IF(C826="B05",1,IF(C826="B03",1,IF(C826="B04",1,IF(C826="B20",1,IF(C826="B02",1,0)))))))</f>
        <v>1</v>
      </c>
      <c r="G826"/>
      <c r="H826" s="2"/>
      <c r="I826" s="2"/>
      <c r="L826"/>
      <c r="R826"/>
      <c r="S826" s="5"/>
      <c r="U826" s="5"/>
    </row>
    <row r="827" spans="1:21">
      <c r="A827" s="3">
        <v>45719.551041666666</v>
      </c>
      <c r="B827" s="2" t="s">
        <v>26</v>
      </c>
      <c r="C827" s="2" t="s">
        <v>12</v>
      </c>
      <c r="D827" s="6" t="str">
        <f>CONCATENATE(YEAR(A827),"/",IF(MONTH(A827)&lt;10,CONCATENATE("0",MONTH(A827)),MONTH(A827)))</f>
        <v>2025/03</v>
      </c>
      <c r="E827" s="8" t="str">
        <f>IF(IF(D827&lt;&gt;D826,1,IF(OR(B827&lt;&gt;B826,A827-A826&gt;$U$1),1,""))&lt;&gt;1,"",IF(C827="B01",1965,IF(C827="B02",1020,IF(C827="B05",2400,IF(C827="B03",4260,IF(C827="B04",2880,IF(C827="B20",1260,0)))))))</f>
        <v/>
      </c>
      <c r="F827" s="8" t="str">
        <f>IF(IF(D827&lt;&gt;D826,1,IF(OR(B827&lt;&gt;B826,A827-A826&gt;$U$1),1,""))&lt;&gt;1,"",IF(C827="B01",1,IF(C827="B05",1,IF(C827="B03",1,IF(C827="B04",1,IF(C827="B20",1,IF(C827="B02",1,0)))))))</f>
        <v/>
      </c>
      <c r="G827"/>
      <c r="H827" s="2"/>
      <c r="I827" s="2"/>
      <c r="L827"/>
      <c r="R827"/>
      <c r="S827" s="5"/>
      <c r="U827" s="5"/>
    </row>
    <row r="828" spans="1:21">
      <c r="A828" s="3">
        <v>45719.782824074071</v>
      </c>
      <c r="B828" s="2" t="s">
        <v>26</v>
      </c>
      <c r="C828" s="2" t="s">
        <v>11</v>
      </c>
      <c r="D828" s="6" t="str">
        <f>CONCATENATE(YEAR(A828),"/",IF(MONTH(A828)&lt;10,CONCATENATE("0",MONTH(A828)),MONTH(A828)))</f>
        <v>2025/03</v>
      </c>
      <c r="E828" s="8">
        <f>IF(IF(D828&lt;&gt;D827,1,IF(OR(B828&lt;&gt;B827,A828-A827&gt;$U$1),1,""))&lt;&gt;1,"",IF(C828="B01",1965,IF(C828="B02",1020,IF(C828="B05",2400,IF(C828="B03",4260,IF(C828="B04",2880,IF(C828="B20",1260,0)))))))</f>
        <v>2400</v>
      </c>
      <c r="F828" s="8">
        <f>IF(IF(D828&lt;&gt;D827,1,IF(OR(B828&lt;&gt;B827,A828-A827&gt;$U$1),1,""))&lt;&gt;1,"",IF(C828="B01",1,IF(C828="B05",1,IF(C828="B03",1,IF(C828="B04",1,IF(C828="B20",1,IF(C828="B02",1,0)))))))</f>
        <v>1</v>
      </c>
      <c r="G828"/>
      <c r="H828" s="2"/>
      <c r="I828" s="2"/>
      <c r="L828"/>
      <c r="R828"/>
      <c r="S828" s="5"/>
      <c r="U828" s="5"/>
    </row>
    <row r="829" spans="1:21">
      <c r="A829" s="3">
        <v>45719.782824074071</v>
      </c>
      <c r="B829" s="2" t="s">
        <v>26</v>
      </c>
      <c r="C829" s="2" t="s">
        <v>11</v>
      </c>
      <c r="D829" s="6" t="str">
        <f>CONCATENATE(YEAR(A829),"/",IF(MONTH(A829)&lt;10,CONCATENATE("0",MONTH(A829)),MONTH(A829)))</f>
        <v>2025/03</v>
      </c>
      <c r="E829" s="8" t="str">
        <f>IF(IF(D829&lt;&gt;D828,1,IF(OR(B829&lt;&gt;B828,A829-A828&gt;$U$1),1,""))&lt;&gt;1,"",IF(C829="B01",1965,IF(C829="B02",1020,IF(C829="B05",2400,IF(C829="B03",4260,IF(C829="B04",2880,IF(C829="B20",1260,0)))))))</f>
        <v/>
      </c>
      <c r="F829" s="8" t="str">
        <f>IF(IF(D829&lt;&gt;D828,1,IF(OR(B829&lt;&gt;B828,A829-A828&gt;$U$1),1,""))&lt;&gt;1,"",IF(C829="B01",1,IF(C829="B05",1,IF(C829="B03",1,IF(C829="B04",1,IF(C829="B20",1,IF(C829="B02",1,0)))))))</f>
        <v/>
      </c>
      <c r="G829"/>
      <c r="H829" s="2"/>
      <c r="I829" s="2"/>
      <c r="L829"/>
      <c r="R829"/>
      <c r="S829" s="5"/>
      <c r="U829" s="5"/>
    </row>
    <row r="830" spans="1:21">
      <c r="A830" s="3">
        <v>45719.782824074071</v>
      </c>
      <c r="B830" s="2" t="s">
        <v>26</v>
      </c>
      <c r="C830" s="2" t="s">
        <v>11</v>
      </c>
      <c r="D830" s="6" t="str">
        <f>CONCATENATE(YEAR(A830),"/",IF(MONTH(A830)&lt;10,CONCATENATE("0",MONTH(A830)),MONTH(A830)))</f>
        <v>2025/03</v>
      </c>
      <c r="E830" s="8" t="str">
        <f>IF(IF(D830&lt;&gt;D829,1,IF(OR(B830&lt;&gt;B829,A830-A829&gt;$U$1),1,""))&lt;&gt;1,"",IF(C830="B01",1965,IF(C830="B02",1020,IF(C830="B05",2400,IF(C830="B03",4260,IF(C830="B04",2880,IF(C830="B20",1260,0)))))))</f>
        <v/>
      </c>
      <c r="F830" s="8" t="str">
        <f>IF(IF(D830&lt;&gt;D829,1,IF(OR(B830&lt;&gt;B829,A830-A829&gt;$U$1),1,""))&lt;&gt;1,"",IF(C830="B01",1,IF(C830="B05",1,IF(C830="B03",1,IF(C830="B04",1,IF(C830="B20",1,IF(C830="B02",1,0)))))))</f>
        <v/>
      </c>
      <c r="G830"/>
      <c r="H830" s="2"/>
      <c r="I830" s="2"/>
      <c r="L830"/>
      <c r="R830"/>
      <c r="S830" s="5"/>
      <c r="U830" s="5"/>
    </row>
    <row r="831" spans="1:21">
      <c r="A831" s="3">
        <v>45720.464687500003</v>
      </c>
      <c r="B831" s="2" t="s">
        <v>26</v>
      </c>
      <c r="C831" s="2" t="s">
        <v>11</v>
      </c>
      <c r="D831" s="6" t="str">
        <f>CONCATENATE(YEAR(A831),"/",IF(MONTH(A831)&lt;10,CONCATENATE("0",MONTH(A831)),MONTH(A831)))</f>
        <v>2025/03</v>
      </c>
      <c r="E831" s="8">
        <f>IF(IF(D831&lt;&gt;D830,1,IF(OR(B831&lt;&gt;B830,A831-A830&gt;$U$1),1,""))&lt;&gt;1,"",IF(C831="B01",1965,IF(C831="B02",1020,IF(C831="B05",2400,IF(C831="B03",4260,IF(C831="B04",2880,IF(C831="B20",1260,0)))))))</f>
        <v>2400</v>
      </c>
      <c r="F831" s="8">
        <f>IF(IF(D831&lt;&gt;D830,1,IF(OR(B831&lt;&gt;B830,A831-A830&gt;$U$1),1,""))&lt;&gt;1,"",IF(C831="B01",1,IF(C831="B05",1,IF(C831="B03",1,IF(C831="B04",1,IF(C831="B20",1,IF(C831="B02",1,0)))))))</f>
        <v>1</v>
      </c>
      <c r="G831"/>
      <c r="H831" s="2"/>
      <c r="I831" s="2"/>
      <c r="L831"/>
      <c r="R831"/>
      <c r="S831" s="5"/>
      <c r="U831" s="5"/>
    </row>
    <row r="832" spans="1:21">
      <c r="A832" s="3">
        <v>45720.464687500003</v>
      </c>
      <c r="B832" s="2" t="s">
        <v>26</v>
      </c>
      <c r="C832" s="2" t="s">
        <v>11</v>
      </c>
      <c r="D832" s="6" t="str">
        <f>CONCATENATE(YEAR(A832),"/",IF(MONTH(A832)&lt;10,CONCATENATE("0",MONTH(A832)),MONTH(A832)))</f>
        <v>2025/03</v>
      </c>
      <c r="E832" s="8" t="str">
        <f>IF(IF(D832&lt;&gt;D831,1,IF(OR(B832&lt;&gt;B831,A832-A831&gt;$U$1),1,""))&lt;&gt;1,"",IF(C832="B01",1965,IF(C832="B02",1020,IF(C832="B05",2400,IF(C832="B03",4260,IF(C832="B04",2880,IF(C832="B20",1260,0)))))))</f>
        <v/>
      </c>
      <c r="F832" s="8" t="str">
        <f>IF(IF(D832&lt;&gt;D831,1,IF(OR(B832&lt;&gt;B831,A832-A831&gt;$U$1),1,""))&lt;&gt;1,"",IF(C832="B01",1,IF(C832="B05",1,IF(C832="B03",1,IF(C832="B04",1,IF(C832="B20",1,IF(C832="B02",1,0)))))))</f>
        <v/>
      </c>
      <c r="G832"/>
      <c r="H832" s="2"/>
      <c r="I832" s="2"/>
      <c r="L832"/>
      <c r="R832"/>
      <c r="S832" s="5"/>
      <c r="U832" s="5"/>
    </row>
    <row r="833" spans="1:21">
      <c r="A833" s="3">
        <v>45720.464687500003</v>
      </c>
      <c r="B833" s="2" t="s">
        <v>26</v>
      </c>
      <c r="C833" s="2" t="s">
        <v>11</v>
      </c>
      <c r="D833" s="6" t="str">
        <f>CONCATENATE(YEAR(A833),"/",IF(MONTH(A833)&lt;10,CONCATENATE("0",MONTH(A833)),MONTH(A833)))</f>
        <v>2025/03</v>
      </c>
      <c r="E833" s="8" t="str">
        <f>IF(IF(D833&lt;&gt;D832,1,IF(OR(B833&lt;&gt;B832,A833-A832&gt;$U$1),1,""))&lt;&gt;1,"",IF(C833="B01",1965,IF(C833="B02",1020,IF(C833="B05",2400,IF(C833="B03",4260,IF(C833="B04",2880,IF(C833="B20",1260,0)))))))</f>
        <v/>
      </c>
      <c r="F833" s="8" t="str">
        <f>IF(IF(D833&lt;&gt;D832,1,IF(OR(B833&lt;&gt;B832,A833-A832&gt;$U$1),1,""))&lt;&gt;1,"",IF(C833="B01",1,IF(C833="B05",1,IF(C833="B03",1,IF(C833="B04",1,IF(C833="B20",1,IF(C833="B02",1,0)))))))</f>
        <v/>
      </c>
      <c r="G833"/>
      <c r="H833" s="2"/>
      <c r="I833" s="2"/>
      <c r="L833"/>
      <c r="R833"/>
      <c r="S833" s="5"/>
      <c r="U833" s="5"/>
    </row>
    <row r="834" spans="1:21">
      <c r="A834" s="3">
        <v>45720.90929398148</v>
      </c>
      <c r="B834" s="2" t="s">
        <v>26</v>
      </c>
      <c r="C834" s="2" t="s">
        <v>11</v>
      </c>
      <c r="D834" s="6" t="str">
        <f>CONCATENATE(YEAR(A834),"/",IF(MONTH(A834)&lt;10,CONCATENATE("0",MONTH(A834)),MONTH(A834)))</f>
        <v>2025/03</v>
      </c>
      <c r="E834" s="8">
        <f>IF(IF(D834&lt;&gt;D833,1,IF(OR(B834&lt;&gt;B833,A834-A833&gt;$U$1),1,""))&lt;&gt;1,"",IF(C834="B01",1965,IF(C834="B02",1020,IF(C834="B05",2400,IF(C834="B03",4260,IF(C834="B04",2880,IF(C834="B20",1260,0)))))))</f>
        <v>2400</v>
      </c>
      <c r="F834" s="8">
        <f>IF(IF(D834&lt;&gt;D833,1,IF(OR(B834&lt;&gt;B833,A834-A833&gt;$U$1),1,""))&lt;&gt;1,"",IF(C834="B01",1,IF(C834="B05",1,IF(C834="B03",1,IF(C834="B04",1,IF(C834="B20",1,IF(C834="B02",1,0)))))))</f>
        <v>1</v>
      </c>
      <c r="G834"/>
      <c r="H834" s="2"/>
      <c r="I834" s="2"/>
      <c r="L834"/>
      <c r="R834"/>
      <c r="S834" s="5"/>
      <c r="U834" s="5"/>
    </row>
    <row r="835" spans="1:21">
      <c r="A835" s="3">
        <v>45720.90929398148</v>
      </c>
      <c r="B835" s="2" t="s">
        <v>26</v>
      </c>
      <c r="C835" s="2" t="s">
        <v>11</v>
      </c>
      <c r="D835" s="6" t="str">
        <f>CONCATENATE(YEAR(A835),"/",IF(MONTH(A835)&lt;10,CONCATENATE("0",MONTH(A835)),MONTH(A835)))</f>
        <v>2025/03</v>
      </c>
      <c r="E835" s="8" t="str">
        <f>IF(IF(D835&lt;&gt;D834,1,IF(OR(B835&lt;&gt;B834,A835-A834&gt;$U$1),1,""))&lt;&gt;1,"",IF(C835="B01",1965,IF(C835="B02",1020,IF(C835="B05",2400,IF(C835="B03",4260,IF(C835="B04",2880,IF(C835="B20",1260,0)))))))</f>
        <v/>
      </c>
      <c r="F835" s="8" t="str">
        <f>IF(IF(D835&lt;&gt;D834,1,IF(OR(B835&lt;&gt;B834,A835-A834&gt;$U$1),1,""))&lt;&gt;1,"",IF(C835="B01",1,IF(C835="B05",1,IF(C835="B03",1,IF(C835="B04",1,IF(C835="B20",1,IF(C835="B02",1,0)))))))</f>
        <v/>
      </c>
      <c r="G835"/>
      <c r="H835" s="2"/>
      <c r="I835" s="2"/>
      <c r="L835"/>
      <c r="R835"/>
      <c r="S835" s="5"/>
      <c r="U835" s="5"/>
    </row>
    <row r="836" spans="1:21">
      <c r="A836" s="3">
        <v>45720.90929398148</v>
      </c>
      <c r="B836" s="2" t="s">
        <v>26</v>
      </c>
      <c r="C836" s="2" t="s">
        <v>11</v>
      </c>
      <c r="D836" s="6" t="str">
        <f>CONCATENATE(YEAR(A836),"/",IF(MONTH(A836)&lt;10,CONCATENATE("0",MONTH(A836)),MONTH(A836)))</f>
        <v>2025/03</v>
      </c>
      <c r="E836" s="8" t="str">
        <f>IF(IF(D836&lt;&gt;D835,1,IF(OR(B836&lt;&gt;B835,A836-A835&gt;$U$1),1,""))&lt;&gt;1,"",IF(C836="B01",1965,IF(C836="B02",1020,IF(C836="B05",2400,IF(C836="B03",4260,IF(C836="B04",2880,IF(C836="B20",1260,0)))))))</f>
        <v/>
      </c>
      <c r="F836" s="8" t="str">
        <f>IF(IF(D836&lt;&gt;D835,1,IF(OR(B836&lt;&gt;B835,A836-A835&gt;$U$1),1,""))&lt;&gt;1,"",IF(C836="B01",1,IF(C836="B05",1,IF(C836="B03",1,IF(C836="B04",1,IF(C836="B20",1,IF(C836="B02",1,0)))))))</f>
        <v/>
      </c>
      <c r="G836"/>
      <c r="H836" s="2"/>
      <c r="I836" s="2"/>
      <c r="L836"/>
      <c r="R836"/>
      <c r="S836" s="5"/>
      <c r="U836" s="5"/>
    </row>
    <row r="837" spans="1:21">
      <c r="A837" s="3">
        <v>45721.868622685186</v>
      </c>
      <c r="B837" s="2" t="s">
        <v>26</v>
      </c>
      <c r="C837" s="2" t="s">
        <v>35</v>
      </c>
      <c r="D837" s="6" t="str">
        <f>CONCATENATE(YEAR(A837),"/",IF(MONTH(A837)&lt;10,CONCATENATE("0",MONTH(A837)),MONTH(A837)))</f>
        <v>2025/03</v>
      </c>
      <c r="E837" s="8">
        <f>IF(IF(D837&lt;&gt;D836,1,IF(OR(B837&lt;&gt;B836,A837-A836&gt;$U$1),1,""))&lt;&gt;1,"",IF(C837="B01",1965,IF(C837="B02",1020,IF(C837="B05",2400,IF(C837="B03",4260,IF(C837="B04",2880,IF(C837="B20",1260,0)))))))</f>
        <v>0</v>
      </c>
      <c r="F837" s="8">
        <f>IF(IF(D837&lt;&gt;D836,1,IF(OR(B837&lt;&gt;B836,A837-A836&gt;$U$1),1,""))&lt;&gt;1,"",IF(C837="B01",1,IF(C837="B05",1,IF(C837="B03",1,IF(C837="B04",1,IF(C837="B20",1,IF(C837="B02",1,0)))))))</f>
        <v>0</v>
      </c>
      <c r="G837"/>
      <c r="H837" s="2"/>
      <c r="I837" s="2"/>
      <c r="L837"/>
      <c r="R837"/>
      <c r="S837" s="5"/>
      <c r="U837" s="5"/>
    </row>
    <row r="838" spans="1:21">
      <c r="A838" s="3">
        <v>45722.207731481481</v>
      </c>
      <c r="B838" s="2" t="s">
        <v>26</v>
      </c>
      <c r="C838" s="2" t="s">
        <v>12</v>
      </c>
      <c r="D838" s="6" t="str">
        <f>CONCATENATE(YEAR(A838),"/",IF(MONTH(A838)&lt;10,CONCATENATE("0",MONTH(A838)),MONTH(A838)))</f>
        <v>2025/03</v>
      </c>
      <c r="E838" s="8">
        <f>IF(IF(D838&lt;&gt;D837,1,IF(OR(B838&lt;&gt;B837,A838-A837&gt;$U$1),1,""))&lt;&gt;1,"",IF(C838="B01",1965,IF(C838="B02",1020,IF(C838="B05",2400,IF(C838="B03",4260,IF(C838="B04",2880,IF(C838="B20",1260,0)))))))</f>
        <v>4260</v>
      </c>
      <c r="F838" s="8">
        <f>IF(IF(D838&lt;&gt;D837,1,IF(OR(B838&lt;&gt;B837,A838-A837&gt;$U$1),1,""))&lt;&gt;1,"",IF(C838="B01",1,IF(C838="B05",1,IF(C838="B03",1,IF(C838="B04",1,IF(C838="B20",1,IF(C838="B02",1,0)))))))</f>
        <v>1</v>
      </c>
      <c r="G838"/>
      <c r="H838" s="2"/>
      <c r="I838" s="2"/>
      <c r="L838"/>
      <c r="R838"/>
      <c r="S838" s="5"/>
      <c r="U838" s="5"/>
    </row>
    <row r="839" spans="1:21">
      <c r="A839" s="3">
        <v>45722.207731481481</v>
      </c>
      <c r="B839" s="2" t="s">
        <v>26</v>
      </c>
      <c r="C839" s="2" t="s">
        <v>12</v>
      </c>
      <c r="D839" s="6" t="str">
        <f>CONCATENATE(YEAR(A839),"/",IF(MONTH(A839)&lt;10,CONCATENATE("0",MONTH(A839)),MONTH(A839)))</f>
        <v>2025/03</v>
      </c>
      <c r="E839" s="8" t="str">
        <f>IF(IF(D839&lt;&gt;D838,1,IF(OR(B839&lt;&gt;B838,A839-A838&gt;$U$1),1,""))&lt;&gt;1,"",IF(C839="B01",1965,IF(C839="B02",1020,IF(C839="B05",2400,IF(C839="B03",4260,IF(C839="B04",2880,IF(C839="B20",1260,0)))))))</f>
        <v/>
      </c>
      <c r="F839" s="8" t="str">
        <f>IF(IF(D839&lt;&gt;D838,1,IF(OR(B839&lt;&gt;B838,A839-A838&gt;$U$1),1,""))&lt;&gt;1,"",IF(C839="B01",1,IF(C839="B05",1,IF(C839="B03",1,IF(C839="B04",1,IF(C839="B20",1,IF(C839="B02",1,0)))))))</f>
        <v/>
      </c>
      <c r="G839"/>
      <c r="H839" s="2"/>
      <c r="I839" s="2"/>
      <c r="L839"/>
      <c r="R839"/>
      <c r="S839" s="5"/>
      <c r="U839" s="5"/>
    </row>
    <row r="840" spans="1:21">
      <c r="A840" s="3">
        <v>45722.467962962961</v>
      </c>
      <c r="B840" s="2" t="s">
        <v>26</v>
      </c>
      <c r="C840" s="2" t="s">
        <v>35</v>
      </c>
      <c r="D840" s="6" t="str">
        <f>CONCATENATE(YEAR(A840),"/",IF(MONTH(A840)&lt;10,CONCATENATE("0",MONTH(A840)),MONTH(A840)))</f>
        <v>2025/03</v>
      </c>
      <c r="E840" s="8">
        <f>IF(IF(D840&lt;&gt;D839,1,IF(OR(B840&lt;&gt;B839,A840-A839&gt;$U$1),1,""))&lt;&gt;1,"",IF(C840="B01",1965,IF(C840="B02",1020,IF(C840="B05",2400,IF(C840="B03",4260,IF(C840="B04",2880,IF(C840="B20",1260,0)))))))</f>
        <v>0</v>
      </c>
      <c r="F840" s="8">
        <f>IF(IF(D840&lt;&gt;D839,1,IF(OR(B840&lt;&gt;B839,A840-A839&gt;$U$1),1,""))&lt;&gt;1,"",IF(C840="B01",1,IF(C840="B05",1,IF(C840="B03",1,IF(C840="B04",1,IF(C840="B20",1,IF(C840="B02",1,0)))))))</f>
        <v>0</v>
      </c>
      <c r="G840"/>
      <c r="H840" s="2"/>
      <c r="I840" s="2"/>
      <c r="L840"/>
      <c r="R840"/>
      <c r="S840" s="5"/>
      <c r="U840" s="5"/>
    </row>
    <row r="841" spans="1:21">
      <c r="A841" s="3">
        <v>45722.680821759262</v>
      </c>
      <c r="B841" s="2" t="s">
        <v>26</v>
      </c>
      <c r="C841" s="2" t="s">
        <v>11</v>
      </c>
      <c r="D841" s="6" t="str">
        <f>CONCATENATE(YEAR(A841),"/",IF(MONTH(A841)&lt;10,CONCATENATE("0",MONTH(A841)),MONTH(A841)))</f>
        <v>2025/03</v>
      </c>
      <c r="E841" s="8">
        <f>IF(IF(D841&lt;&gt;D840,1,IF(OR(B841&lt;&gt;B840,A841-A840&gt;$U$1),1,""))&lt;&gt;1,"",IF(C841="B01",1965,IF(C841="B02",1020,IF(C841="B05",2400,IF(C841="B03",4260,IF(C841="B04",2880,IF(C841="B20",1260,0)))))))</f>
        <v>2400</v>
      </c>
      <c r="F841" s="8">
        <f>IF(IF(D841&lt;&gt;D840,1,IF(OR(B841&lt;&gt;B840,A841-A840&gt;$U$1),1,""))&lt;&gt;1,"",IF(C841="B01",1,IF(C841="B05",1,IF(C841="B03",1,IF(C841="B04",1,IF(C841="B20",1,IF(C841="B02",1,0)))))))</f>
        <v>1</v>
      </c>
      <c r="G841"/>
      <c r="H841" s="2"/>
      <c r="I841" s="2"/>
      <c r="L841"/>
      <c r="R841"/>
      <c r="S841" s="5"/>
      <c r="U841" s="5"/>
    </row>
    <row r="842" spans="1:21">
      <c r="A842" s="3">
        <v>45722.680821759262</v>
      </c>
      <c r="B842" s="2" t="s">
        <v>26</v>
      </c>
      <c r="C842" s="2" t="s">
        <v>11</v>
      </c>
      <c r="D842" s="6" t="str">
        <f>CONCATENATE(YEAR(A842),"/",IF(MONTH(A842)&lt;10,CONCATENATE("0",MONTH(A842)),MONTH(A842)))</f>
        <v>2025/03</v>
      </c>
      <c r="E842" s="8" t="str">
        <f>IF(IF(D842&lt;&gt;D841,1,IF(OR(B842&lt;&gt;B841,A842-A841&gt;$U$1),1,""))&lt;&gt;1,"",IF(C842="B01",1965,IF(C842="B02",1020,IF(C842="B05",2400,IF(C842="B03",4260,IF(C842="B04",2880,IF(C842="B20",1260,0)))))))</f>
        <v/>
      </c>
      <c r="F842" s="8" t="str">
        <f>IF(IF(D842&lt;&gt;D841,1,IF(OR(B842&lt;&gt;B841,A842-A841&gt;$U$1),1,""))&lt;&gt;1,"",IF(C842="B01",1,IF(C842="B05",1,IF(C842="B03",1,IF(C842="B04",1,IF(C842="B20",1,IF(C842="B02",1,0)))))))</f>
        <v/>
      </c>
      <c r="G842"/>
      <c r="H842" s="2"/>
      <c r="I842" s="2"/>
      <c r="L842"/>
      <c r="R842"/>
      <c r="S842" s="5"/>
      <c r="U842" s="5"/>
    </row>
    <row r="843" spans="1:21">
      <c r="A843" s="3">
        <v>45722.680821759262</v>
      </c>
      <c r="B843" s="2" t="s">
        <v>26</v>
      </c>
      <c r="C843" s="2" t="s">
        <v>11</v>
      </c>
      <c r="D843" s="6" t="str">
        <f>CONCATENATE(YEAR(A843),"/",IF(MONTH(A843)&lt;10,CONCATENATE("0",MONTH(A843)),MONTH(A843)))</f>
        <v>2025/03</v>
      </c>
      <c r="E843" s="8" t="str">
        <f>IF(IF(D843&lt;&gt;D842,1,IF(OR(B843&lt;&gt;B842,A843-A842&gt;$U$1),1,""))&lt;&gt;1,"",IF(C843="B01",1965,IF(C843="B02",1020,IF(C843="B05",2400,IF(C843="B03",4260,IF(C843="B04",2880,IF(C843="B20",1260,0)))))))</f>
        <v/>
      </c>
      <c r="F843" s="8" t="str">
        <f>IF(IF(D843&lt;&gt;D842,1,IF(OR(B843&lt;&gt;B842,A843-A842&gt;$U$1),1,""))&lt;&gt;1,"",IF(C843="B01",1,IF(C843="B05",1,IF(C843="B03",1,IF(C843="B04",1,IF(C843="B20",1,IF(C843="B02",1,0)))))))</f>
        <v/>
      </c>
      <c r="G843"/>
      <c r="H843" s="2"/>
      <c r="I843" s="2"/>
      <c r="L843"/>
      <c r="R843"/>
      <c r="S843" s="5"/>
      <c r="U843" s="5"/>
    </row>
    <row r="844" spans="1:21">
      <c r="A844" s="3">
        <v>45722.967002314814</v>
      </c>
      <c r="B844" s="2" t="s">
        <v>26</v>
      </c>
      <c r="C844" s="2" t="s">
        <v>11</v>
      </c>
      <c r="D844" s="6" t="str">
        <f>CONCATENATE(YEAR(A844),"/",IF(MONTH(A844)&lt;10,CONCATENATE("0",MONTH(A844)),MONTH(A844)))</f>
        <v>2025/03</v>
      </c>
      <c r="E844" s="8">
        <f>IF(IF(D844&lt;&gt;D843,1,IF(OR(B844&lt;&gt;B843,A844-A843&gt;$U$1),1,""))&lt;&gt;1,"",IF(C844="B01",1965,IF(C844="B02",1020,IF(C844="B05",2400,IF(C844="B03",4260,IF(C844="B04",2880,IF(C844="B20",1260,0)))))))</f>
        <v>2400</v>
      </c>
      <c r="F844" s="8">
        <f>IF(IF(D844&lt;&gt;D843,1,IF(OR(B844&lt;&gt;B843,A844-A843&gt;$U$1),1,""))&lt;&gt;1,"",IF(C844="B01",1,IF(C844="B05",1,IF(C844="B03",1,IF(C844="B04",1,IF(C844="B20",1,IF(C844="B02",1,0)))))))</f>
        <v>1</v>
      </c>
      <c r="G844"/>
      <c r="H844" s="2"/>
      <c r="I844" s="2"/>
      <c r="L844"/>
      <c r="R844"/>
      <c r="S844" s="5"/>
      <c r="U844" s="5"/>
    </row>
    <row r="845" spans="1:21">
      <c r="A845" s="3">
        <v>45722.967002314814</v>
      </c>
      <c r="B845" s="2" t="s">
        <v>26</v>
      </c>
      <c r="C845" s="2" t="s">
        <v>11</v>
      </c>
      <c r="D845" s="6" t="str">
        <f>CONCATENATE(YEAR(A845),"/",IF(MONTH(A845)&lt;10,CONCATENATE("0",MONTH(A845)),MONTH(A845)))</f>
        <v>2025/03</v>
      </c>
      <c r="E845" s="8" t="str">
        <f>IF(IF(D845&lt;&gt;D844,1,IF(OR(B845&lt;&gt;B844,A845-A844&gt;$U$1),1,""))&lt;&gt;1,"",IF(C845="B01",1965,IF(C845="B02",1020,IF(C845="B05",2400,IF(C845="B03",4260,IF(C845="B04",2880,IF(C845="B20",1260,0)))))))</f>
        <v/>
      </c>
      <c r="F845" s="8" t="str">
        <f>IF(IF(D845&lt;&gt;D844,1,IF(OR(B845&lt;&gt;B844,A845-A844&gt;$U$1),1,""))&lt;&gt;1,"",IF(C845="B01",1,IF(C845="B05",1,IF(C845="B03",1,IF(C845="B04",1,IF(C845="B20",1,IF(C845="B02",1,0)))))))</f>
        <v/>
      </c>
      <c r="G845"/>
      <c r="H845" s="2"/>
      <c r="I845" s="2"/>
      <c r="L845"/>
      <c r="R845"/>
      <c r="S845" s="5"/>
      <c r="U845" s="5"/>
    </row>
    <row r="846" spans="1:21">
      <c r="A846" s="3">
        <v>45722.967002314814</v>
      </c>
      <c r="B846" s="2" t="s">
        <v>26</v>
      </c>
      <c r="C846" s="2" t="s">
        <v>11</v>
      </c>
      <c r="D846" s="6" t="str">
        <f>CONCATENATE(YEAR(A846),"/",IF(MONTH(A846)&lt;10,CONCATENATE("0",MONTH(A846)),MONTH(A846)))</f>
        <v>2025/03</v>
      </c>
      <c r="E846" s="8" t="str">
        <f>IF(IF(D846&lt;&gt;D845,1,IF(OR(B846&lt;&gt;B845,A846-A845&gt;$U$1),1,""))&lt;&gt;1,"",IF(C846="B01",1965,IF(C846="B02",1020,IF(C846="B05",2400,IF(C846="B03",4260,IF(C846="B04",2880,IF(C846="B20",1260,0)))))))</f>
        <v/>
      </c>
      <c r="F846" s="8" t="str">
        <f>IF(IF(D846&lt;&gt;D845,1,IF(OR(B846&lt;&gt;B845,A846-A845&gt;$U$1),1,""))&lt;&gt;1,"",IF(C846="B01",1,IF(C846="B05",1,IF(C846="B03",1,IF(C846="B04",1,IF(C846="B20",1,IF(C846="B02",1,0)))))))</f>
        <v/>
      </c>
      <c r="G846"/>
      <c r="H846" s="2"/>
      <c r="I846" s="2"/>
      <c r="L846"/>
      <c r="R846"/>
      <c r="S846" s="5"/>
      <c r="U846" s="5"/>
    </row>
    <row r="847" spans="1:21">
      <c r="A847" s="3">
        <v>45723.36917824074</v>
      </c>
      <c r="B847" s="2" t="s">
        <v>26</v>
      </c>
      <c r="C847" s="2" t="s">
        <v>12</v>
      </c>
      <c r="D847" s="6" t="str">
        <f>CONCATENATE(YEAR(A847),"/",IF(MONTH(A847)&lt;10,CONCATENATE("0",MONTH(A847)),MONTH(A847)))</f>
        <v>2025/03</v>
      </c>
      <c r="E847" s="8">
        <f>IF(IF(D847&lt;&gt;D846,1,IF(OR(B847&lt;&gt;B846,A847-A846&gt;$U$1),1,""))&lt;&gt;1,"",IF(C847="B01",1965,IF(C847="B02",1020,IF(C847="B05",2400,IF(C847="B03",4260,IF(C847="B04",2880,IF(C847="B20",1260,0)))))))</f>
        <v>4260</v>
      </c>
      <c r="F847" s="8">
        <f>IF(IF(D847&lt;&gt;D846,1,IF(OR(B847&lt;&gt;B846,A847-A846&gt;$U$1),1,""))&lt;&gt;1,"",IF(C847="B01",1,IF(C847="B05",1,IF(C847="B03",1,IF(C847="B04",1,IF(C847="B20",1,IF(C847="B02",1,0)))))))</f>
        <v>1</v>
      </c>
      <c r="G847"/>
      <c r="H847" s="2"/>
      <c r="I847" s="2"/>
      <c r="L847"/>
      <c r="R847"/>
      <c r="S847" s="5"/>
      <c r="U847" s="5"/>
    </row>
    <row r="848" spans="1:21">
      <c r="A848" s="3">
        <v>45723.768310185187</v>
      </c>
      <c r="B848" s="2" t="s">
        <v>26</v>
      </c>
      <c r="C848" s="2" t="s">
        <v>11</v>
      </c>
      <c r="D848" s="6" t="str">
        <f>CONCATENATE(YEAR(A848),"/",IF(MONTH(A848)&lt;10,CONCATENATE("0",MONTH(A848)),MONTH(A848)))</f>
        <v>2025/03</v>
      </c>
      <c r="E848" s="8">
        <f>IF(IF(D848&lt;&gt;D847,1,IF(OR(B848&lt;&gt;B847,A848-A847&gt;$U$1),1,""))&lt;&gt;1,"",IF(C848="B01",1965,IF(C848="B02",1020,IF(C848="B05",2400,IF(C848="B03",4260,IF(C848="B04",2880,IF(C848="B20",1260,0)))))))</f>
        <v>2400</v>
      </c>
      <c r="F848" s="8">
        <f>IF(IF(D848&lt;&gt;D847,1,IF(OR(B848&lt;&gt;B847,A848-A847&gt;$U$1),1,""))&lt;&gt;1,"",IF(C848="B01",1,IF(C848="B05",1,IF(C848="B03",1,IF(C848="B04",1,IF(C848="B20",1,IF(C848="B02",1,0)))))))</f>
        <v>1</v>
      </c>
      <c r="G848"/>
      <c r="H848" s="2"/>
      <c r="I848" s="2"/>
      <c r="L848"/>
      <c r="R848"/>
      <c r="S848" s="5"/>
      <c r="U848" s="5"/>
    </row>
    <row r="849" spans="1:21">
      <c r="A849" s="3">
        <v>45723.768310185187</v>
      </c>
      <c r="B849" s="2" t="s">
        <v>26</v>
      </c>
      <c r="C849" s="2" t="s">
        <v>11</v>
      </c>
      <c r="D849" s="6" t="str">
        <f>CONCATENATE(YEAR(A849),"/",IF(MONTH(A849)&lt;10,CONCATENATE("0",MONTH(A849)),MONTH(A849)))</f>
        <v>2025/03</v>
      </c>
      <c r="E849" s="8" t="str">
        <f>IF(IF(D849&lt;&gt;D848,1,IF(OR(B849&lt;&gt;B848,A849-A848&gt;$U$1),1,""))&lt;&gt;1,"",IF(C849="B01",1965,IF(C849="B02",1020,IF(C849="B05",2400,IF(C849="B03",4260,IF(C849="B04",2880,IF(C849="B20",1260,0)))))))</f>
        <v/>
      </c>
      <c r="F849" s="8" t="str">
        <f>IF(IF(D849&lt;&gt;D848,1,IF(OR(B849&lt;&gt;B848,A849-A848&gt;$U$1),1,""))&lt;&gt;1,"",IF(C849="B01",1,IF(C849="B05",1,IF(C849="B03",1,IF(C849="B04",1,IF(C849="B20",1,IF(C849="B02",1,0)))))))</f>
        <v/>
      </c>
      <c r="G849"/>
      <c r="H849" s="2"/>
      <c r="I849" s="2"/>
      <c r="L849"/>
      <c r="R849"/>
      <c r="S849" s="5"/>
      <c r="U849" s="5"/>
    </row>
    <row r="850" spans="1:21">
      <c r="A850" s="3">
        <v>45723.768310185187</v>
      </c>
      <c r="B850" s="2" t="s">
        <v>26</v>
      </c>
      <c r="C850" s="2" t="s">
        <v>11</v>
      </c>
      <c r="D850" s="6" t="str">
        <f>CONCATENATE(YEAR(A850),"/",IF(MONTH(A850)&lt;10,CONCATENATE("0",MONTH(A850)),MONTH(A850)))</f>
        <v>2025/03</v>
      </c>
      <c r="E850" s="8" t="str">
        <f>IF(IF(D850&lt;&gt;D849,1,IF(OR(B850&lt;&gt;B849,A850-A849&gt;$U$1),1,""))&lt;&gt;1,"",IF(C850="B01",1965,IF(C850="B02",1020,IF(C850="B05",2400,IF(C850="B03",4260,IF(C850="B04",2880,IF(C850="B20",1260,0)))))))</f>
        <v/>
      </c>
      <c r="F850" s="8" t="str">
        <f>IF(IF(D850&lt;&gt;D849,1,IF(OR(B850&lt;&gt;B849,A850-A849&gt;$U$1),1,""))&lt;&gt;1,"",IF(C850="B01",1,IF(C850="B05",1,IF(C850="B03",1,IF(C850="B04",1,IF(C850="B20",1,IF(C850="B02",1,0)))))))</f>
        <v/>
      </c>
      <c r="G850"/>
      <c r="H850" s="2"/>
      <c r="I850" s="2"/>
      <c r="L850"/>
      <c r="R850"/>
      <c r="S850" s="5"/>
      <c r="U850" s="5"/>
    </row>
    <row r="851" spans="1:21">
      <c r="A851" s="3">
        <v>45723.926180555558</v>
      </c>
      <c r="B851" s="2" t="s">
        <v>26</v>
      </c>
      <c r="C851" s="2" t="s">
        <v>11</v>
      </c>
      <c r="D851" s="6" t="str">
        <f>CONCATENATE(YEAR(A851),"/",IF(MONTH(A851)&lt;10,CONCATENATE("0",MONTH(A851)),MONTH(A851)))</f>
        <v>2025/03</v>
      </c>
      <c r="E851" s="8">
        <f>IF(IF(D851&lt;&gt;D850,1,IF(OR(B851&lt;&gt;B850,A851-A850&gt;$U$1),1,""))&lt;&gt;1,"",IF(C851="B01",1965,IF(C851="B02",1020,IF(C851="B05",2400,IF(C851="B03",4260,IF(C851="B04",2880,IF(C851="B20",1260,0)))))))</f>
        <v>2400</v>
      </c>
      <c r="F851" s="8">
        <f>IF(IF(D851&lt;&gt;D850,1,IF(OR(B851&lt;&gt;B850,A851-A850&gt;$U$1),1,""))&lt;&gt;1,"",IF(C851="B01",1,IF(C851="B05",1,IF(C851="B03",1,IF(C851="B04",1,IF(C851="B20",1,IF(C851="B02",1,0)))))))</f>
        <v>1</v>
      </c>
      <c r="G851"/>
      <c r="H851" s="2"/>
      <c r="I851" s="2"/>
      <c r="L851"/>
      <c r="R851"/>
      <c r="S851" s="5"/>
      <c r="U851" s="5"/>
    </row>
    <row r="852" spans="1:21">
      <c r="A852" s="3">
        <v>45723.926180555558</v>
      </c>
      <c r="B852" s="2" t="s">
        <v>26</v>
      </c>
      <c r="C852" s="2" t="s">
        <v>11</v>
      </c>
      <c r="D852" s="6" t="str">
        <f>CONCATENATE(YEAR(A852),"/",IF(MONTH(A852)&lt;10,CONCATENATE("0",MONTH(A852)),MONTH(A852)))</f>
        <v>2025/03</v>
      </c>
      <c r="E852" s="8" t="str">
        <f>IF(IF(D852&lt;&gt;D851,1,IF(OR(B852&lt;&gt;B851,A852-A851&gt;$U$1),1,""))&lt;&gt;1,"",IF(C852="B01",1965,IF(C852="B02",1020,IF(C852="B05",2400,IF(C852="B03",4260,IF(C852="B04",2880,IF(C852="B20",1260,0)))))))</f>
        <v/>
      </c>
      <c r="F852" s="8" t="str">
        <f>IF(IF(D852&lt;&gt;D851,1,IF(OR(B852&lt;&gt;B851,A852-A851&gt;$U$1),1,""))&lt;&gt;1,"",IF(C852="B01",1,IF(C852="B05",1,IF(C852="B03",1,IF(C852="B04",1,IF(C852="B20",1,IF(C852="B02",1,0)))))))</f>
        <v/>
      </c>
      <c r="G852"/>
      <c r="H852" s="2"/>
      <c r="I852" s="2"/>
      <c r="L852"/>
      <c r="R852"/>
      <c r="S852" s="5"/>
      <c r="U852" s="5"/>
    </row>
    <row r="853" spans="1:21">
      <c r="A853" s="3">
        <v>45724.073773148149</v>
      </c>
      <c r="B853" s="2" t="s">
        <v>26</v>
      </c>
      <c r="C853" s="2" t="s">
        <v>11</v>
      </c>
      <c r="D853" s="6" t="str">
        <f>CONCATENATE(YEAR(A853),"/",IF(MONTH(A853)&lt;10,CONCATENATE("0",MONTH(A853)),MONTH(A853)))</f>
        <v>2025/03</v>
      </c>
      <c r="E853" s="8">
        <f>IF(IF(D853&lt;&gt;D852,1,IF(OR(B853&lt;&gt;B852,A853-A852&gt;$U$1),1,""))&lt;&gt;1,"",IF(C853="B01",1965,IF(C853="B02",1020,IF(C853="B05",2400,IF(C853="B03",4260,IF(C853="B04",2880,IF(C853="B20",1260,0)))))))</f>
        <v>2400</v>
      </c>
      <c r="F853" s="8">
        <f>IF(IF(D853&lt;&gt;D852,1,IF(OR(B853&lt;&gt;B852,A853-A852&gt;$U$1),1,""))&lt;&gt;1,"",IF(C853="B01",1,IF(C853="B05",1,IF(C853="B03",1,IF(C853="B04",1,IF(C853="B20",1,IF(C853="B02",1,0)))))))</f>
        <v>1</v>
      </c>
      <c r="G853"/>
      <c r="H853" s="2"/>
      <c r="I853" s="2"/>
      <c r="L853"/>
      <c r="R853"/>
      <c r="S853" s="5"/>
      <c r="U853" s="5"/>
    </row>
    <row r="854" spans="1:21">
      <c r="A854" s="3">
        <v>45724.073773148149</v>
      </c>
      <c r="B854" s="2" t="s">
        <v>26</v>
      </c>
      <c r="C854" s="2" t="s">
        <v>11</v>
      </c>
      <c r="D854" s="6" t="str">
        <f>CONCATENATE(YEAR(A854),"/",IF(MONTH(A854)&lt;10,CONCATENATE("0",MONTH(A854)),MONTH(A854)))</f>
        <v>2025/03</v>
      </c>
      <c r="E854" s="8" t="str">
        <f>IF(IF(D854&lt;&gt;D853,1,IF(OR(B854&lt;&gt;B853,A854-A853&gt;$U$1),1,""))&lt;&gt;1,"",IF(C854="B01",1965,IF(C854="B02",1020,IF(C854="B05",2400,IF(C854="B03",4260,IF(C854="B04",2880,IF(C854="B20",1260,0)))))))</f>
        <v/>
      </c>
      <c r="F854" s="8" t="str">
        <f>IF(IF(D854&lt;&gt;D853,1,IF(OR(B854&lt;&gt;B853,A854-A853&gt;$U$1),1,""))&lt;&gt;1,"",IF(C854="B01",1,IF(C854="B05",1,IF(C854="B03",1,IF(C854="B04",1,IF(C854="B20",1,IF(C854="B02",1,0)))))))</f>
        <v/>
      </c>
      <c r="G854"/>
      <c r="H854" s="2"/>
      <c r="I854" s="2"/>
      <c r="L854"/>
      <c r="R854"/>
      <c r="S854" s="5"/>
      <c r="U854" s="5"/>
    </row>
    <row r="855" spans="1:21">
      <c r="A855" s="3">
        <v>45724.073773148149</v>
      </c>
      <c r="B855" s="2" t="s">
        <v>26</v>
      </c>
      <c r="C855" s="2" t="s">
        <v>11</v>
      </c>
      <c r="D855" s="6" t="str">
        <f>CONCATENATE(YEAR(A855),"/",IF(MONTH(A855)&lt;10,CONCATENATE("0",MONTH(A855)),MONTH(A855)))</f>
        <v>2025/03</v>
      </c>
      <c r="E855" s="8" t="str">
        <f>IF(IF(D855&lt;&gt;D854,1,IF(OR(B855&lt;&gt;B854,A855-A854&gt;$U$1),1,""))&lt;&gt;1,"",IF(C855="B01",1965,IF(C855="B02",1020,IF(C855="B05",2400,IF(C855="B03",4260,IF(C855="B04",2880,IF(C855="B20",1260,0)))))))</f>
        <v/>
      </c>
      <c r="F855" s="8" t="str">
        <f>IF(IF(D855&lt;&gt;D854,1,IF(OR(B855&lt;&gt;B854,A855-A854&gt;$U$1),1,""))&lt;&gt;1,"",IF(C855="B01",1,IF(C855="B05",1,IF(C855="B03",1,IF(C855="B04",1,IF(C855="B20",1,IF(C855="B02",1,0)))))))</f>
        <v/>
      </c>
      <c r="G855"/>
      <c r="H855" s="2"/>
      <c r="I855" s="2"/>
      <c r="L855"/>
      <c r="R855"/>
      <c r="S855" s="5"/>
      <c r="U855" s="5"/>
    </row>
    <row r="856" spans="1:21">
      <c r="A856" s="3">
        <v>45724.241342592592</v>
      </c>
      <c r="B856" s="2" t="s">
        <v>26</v>
      </c>
      <c r="C856" s="2" t="s">
        <v>11</v>
      </c>
      <c r="D856" s="6" t="str">
        <f>CONCATENATE(YEAR(A856),"/",IF(MONTH(A856)&lt;10,CONCATENATE("0",MONTH(A856)),MONTH(A856)))</f>
        <v>2025/03</v>
      </c>
      <c r="E856" s="8">
        <f>IF(IF(D856&lt;&gt;D855,1,IF(OR(B856&lt;&gt;B855,A856-A855&gt;$U$1),1,""))&lt;&gt;1,"",IF(C856="B01",1965,IF(C856="B02",1020,IF(C856="B05",2400,IF(C856="B03",4260,IF(C856="B04",2880,IF(C856="B20",1260,0)))))))</f>
        <v>2400</v>
      </c>
      <c r="F856" s="8">
        <f>IF(IF(D856&lt;&gt;D855,1,IF(OR(B856&lt;&gt;B855,A856-A855&gt;$U$1),1,""))&lt;&gt;1,"",IF(C856="B01",1,IF(C856="B05",1,IF(C856="B03",1,IF(C856="B04",1,IF(C856="B20",1,IF(C856="B02",1,0)))))))</f>
        <v>1</v>
      </c>
      <c r="G856"/>
      <c r="H856" s="2"/>
      <c r="I856" s="2"/>
      <c r="L856"/>
      <c r="R856"/>
      <c r="S856" s="5"/>
      <c r="U856" s="5"/>
    </row>
    <row r="857" spans="1:21">
      <c r="A857" s="3">
        <v>45724.241342592592</v>
      </c>
      <c r="B857" s="2" t="s">
        <v>26</v>
      </c>
      <c r="C857" s="2" t="s">
        <v>11</v>
      </c>
      <c r="D857" s="6" t="str">
        <f>CONCATENATE(YEAR(A857),"/",IF(MONTH(A857)&lt;10,CONCATENATE("0",MONTH(A857)),MONTH(A857)))</f>
        <v>2025/03</v>
      </c>
      <c r="E857" s="8" t="str">
        <f>IF(IF(D857&lt;&gt;D856,1,IF(OR(B857&lt;&gt;B856,A857-A856&gt;$U$1),1,""))&lt;&gt;1,"",IF(C857="B01",1965,IF(C857="B02",1020,IF(C857="B05",2400,IF(C857="B03",4260,IF(C857="B04",2880,IF(C857="B20",1260,0)))))))</f>
        <v/>
      </c>
      <c r="F857" s="8" t="str">
        <f>IF(IF(D857&lt;&gt;D856,1,IF(OR(B857&lt;&gt;B856,A857-A856&gt;$U$1),1,""))&lt;&gt;1,"",IF(C857="B01",1,IF(C857="B05",1,IF(C857="B03",1,IF(C857="B04",1,IF(C857="B20",1,IF(C857="B02",1,0)))))))</f>
        <v/>
      </c>
      <c r="G857"/>
      <c r="H857" s="2"/>
      <c r="I857" s="2"/>
      <c r="L857"/>
      <c r="R857"/>
      <c r="S857" s="5"/>
      <c r="U857" s="5"/>
    </row>
    <row r="858" spans="1:21">
      <c r="A858" s="3">
        <v>45724.241342592592</v>
      </c>
      <c r="B858" s="2" t="s">
        <v>26</v>
      </c>
      <c r="C858" s="2" t="s">
        <v>11</v>
      </c>
      <c r="D858" s="6" t="str">
        <f>CONCATENATE(YEAR(A858),"/",IF(MONTH(A858)&lt;10,CONCATENATE("0",MONTH(A858)),MONTH(A858)))</f>
        <v>2025/03</v>
      </c>
      <c r="E858" s="8" t="str">
        <f>IF(IF(D858&lt;&gt;D857,1,IF(OR(B858&lt;&gt;B857,A858-A857&gt;$U$1),1,""))&lt;&gt;1,"",IF(C858="B01",1965,IF(C858="B02",1020,IF(C858="B05",2400,IF(C858="B03",4260,IF(C858="B04",2880,IF(C858="B20",1260,0)))))))</f>
        <v/>
      </c>
      <c r="F858" s="8" t="str">
        <f>IF(IF(D858&lt;&gt;D857,1,IF(OR(B858&lt;&gt;B857,A858-A857&gt;$U$1),1,""))&lt;&gt;1,"",IF(C858="B01",1,IF(C858="B05",1,IF(C858="B03",1,IF(C858="B04",1,IF(C858="B20",1,IF(C858="B02",1,0)))))))</f>
        <v/>
      </c>
      <c r="G858"/>
      <c r="H858" s="2"/>
      <c r="I858" s="2"/>
      <c r="L858"/>
      <c r="R858"/>
      <c r="S858" s="5"/>
      <c r="U858" s="5"/>
    </row>
    <row r="859" spans="1:21">
      <c r="A859" s="3">
        <v>45724.452546296299</v>
      </c>
      <c r="B859" s="2" t="s">
        <v>26</v>
      </c>
      <c r="C859" s="2" t="s">
        <v>11</v>
      </c>
      <c r="D859" s="6" t="str">
        <f>CONCATENATE(YEAR(A859),"/",IF(MONTH(A859)&lt;10,CONCATENATE("0",MONTH(A859)),MONTH(A859)))</f>
        <v>2025/03</v>
      </c>
      <c r="E859" s="8">
        <f>IF(IF(D859&lt;&gt;D858,1,IF(OR(B859&lt;&gt;B858,A859-A858&gt;$U$1),1,""))&lt;&gt;1,"",IF(C859="B01",1965,IF(C859="B02",1020,IF(C859="B05",2400,IF(C859="B03",4260,IF(C859="B04",2880,IF(C859="B20",1260,0)))))))</f>
        <v>2400</v>
      </c>
      <c r="F859" s="8">
        <f>IF(IF(D859&lt;&gt;D858,1,IF(OR(B859&lt;&gt;B858,A859-A858&gt;$U$1),1,""))&lt;&gt;1,"",IF(C859="B01",1,IF(C859="B05",1,IF(C859="B03",1,IF(C859="B04",1,IF(C859="B20",1,IF(C859="B02",1,0)))))))</f>
        <v>1</v>
      </c>
      <c r="G859"/>
      <c r="H859" s="2"/>
      <c r="I859" s="2"/>
      <c r="L859"/>
      <c r="R859"/>
      <c r="S859" s="5"/>
      <c r="U859" s="5"/>
    </row>
    <row r="860" spans="1:21">
      <c r="A860" s="3">
        <v>45724.452546296299</v>
      </c>
      <c r="B860" s="2" t="s">
        <v>26</v>
      </c>
      <c r="C860" s="2" t="s">
        <v>11</v>
      </c>
      <c r="D860" s="6" t="str">
        <f>CONCATENATE(YEAR(A860),"/",IF(MONTH(A860)&lt;10,CONCATENATE("0",MONTH(A860)),MONTH(A860)))</f>
        <v>2025/03</v>
      </c>
      <c r="E860" s="8" t="str">
        <f>IF(IF(D860&lt;&gt;D859,1,IF(OR(B860&lt;&gt;B859,A860-A859&gt;$U$1),1,""))&lt;&gt;1,"",IF(C860="B01",1965,IF(C860="B02",1020,IF(C860="B05",2400,IF(C860="B03",4260,IF(C860="B04",2880,IF(C860="B20",1260,0)))))))</f>
        <v/>
      </c>
      <c r="F860" s="8" t="str">
        <f>IF(IF(D860&lt;&gt;D859,1,IF(OR(B860&lt;&gt;B859,A860-A859&gt;$U$1),1,""))&lt;&gt;1,"",IF(C860="B01",1,IF(C860="B05",1,IF(C860="B03",1,IF(C860="B04",1,IF(C860="B20",1,IF(C860="B02",1,0)))))))</f>
        <v/>
      </c>
      <c r="G860"/>
      <c r="H860" s="2"/>
      <c r="I860" s="2"/>
      <c r="L860"/>
      <c r="R860"/>
      <c r="S860" s="5"/>
      <c r="U860" s="5"/>
    </row>
    <row r="861" spans="1:21">
      <c r="A861" s="3">
        <v>45724.452546296299</v>
      </c>
      <c r="B861" s="2" t="s">
        <v>26</v>
      </c>
      <c r="C861" s="2" t="s">
        <v>11</v>
      </c>
      <c r="D861" s="6" t="str">
        <f>CONCATENATE(YEAR(A861),"/",IF(MONTH(A861)&lt;10,CONCATENATE("0",MONTH(A861)),MONTH(A861)))</f>
        <v>2025/03</v>
      </c>
      <c r="E861" s="8" t="str">
        <f>IF(IF(D861&lt;&gt;D860,1,IF(OR(B861&lt;&gt;B860,A861-A860&gt;$U$1),1,""))&lt;&gt;1,"",IF(C861="B01",1965,IF(C861="B02",1020,IF(C861="B05",2400,IF(C861="B03",4260,IF(C861="B04",2880,IF(C861="B20",1260,0)))))))</f>
        <v/>
      </c>
      <c r="F861" s="8" t="str">
        <f>IF(IF(D861&lt;&gt;D860,1,IF(OR(B861&lt;&gt;B860,A861-A860&gt;$U$1),1,""))&lt;&gt;1,"",IF(C861="B01",1,IF(C861="B05",1,IF(C861="B03",1,IF(C861="B04",1,IF(C861="B20",1,IF(C861="B02",1,0)))))))</f>
        <v/>
      </c>
      <c r="G861"/>
      <c r="H861" s="2"/>
      <c r="I861" s="2"/>
      <c r="L861"/>
      <c r="R861"/>
      <c r="S861" s="5"/>
      <c r="U861" s="5"/>
    </row>
    <row r="862" spans="1:21">
      <c r="A862" s="3">
        <v>45724.717569444445</v>
      </c>
      <c r="B862" s="2" t="s">
        <v>26</v>
      </c>
      <c r="C862" s="2" t="s">
        <v>11</v>
      </c>
      <c r="D862" s="6" t="str">
        <f>CONCATENATE(YEAR(A862),"/",IF(MONTH(A862)&lt;10,CONCATENATE("0",MONTH(A862)),MONTH(A862)))</f>
        <v>2025/03</v>
      </c>
      <c r="E862" s="8">
        <f>IF(IF(D862&lt;&gt;D861,1,IF(OR(B862&lt;&gt;B861,A862-A861&gt;$U$1),1,""))&lt;&gt;1,"",IF(C862="B01",1965,IF(C862="B02",1020,IF(C862="B05",2400,IF(C862="B03",4260,IF(C862="B04",2880,IF(C862="B20",1260,0)))))))</f>
        <v>2400</v>
      </c>
      <c r="F862" s="8">
        <f>IF(IF(D862&lt;&gt;D861,1,IF(OR(B862&lt;&gt;B861,A862-A861&gt;$U$1),1,""))&lt;&gt;1,"",IF(C862="B01",1,IF(C862="B05",1,IF(C862="B03",1,IF(C862="B04",1,IF(C862="B20",1,IF(C862="B02",1,0)))))))</f>
        <v>1</v>
      </c>
      <c r="G862"/>
      <c r="H862" s="2"/>
      <c r="I862" s="2"/>
      <c r="L862"/>
      <c r="R862"/>
      <c r="S862" s="5"/>
      <c r="U862" s="5"/>
    </row>
    <row r="863" spans="1:21">
      <c r="A863" s="3">
        <v>45724.717569444445</v>
      </c>
      <c r="B863" s="2" t="s">
        <v>26</v>
      </c>
      <c r="C863" s="2" t="s">
        <v>11</v>
      </c>
      <c r="D863" s="6" t="str">
        <f>CONCATENATE(YEAR(A863),"/",IF(MONTH(A863)&lt;10,CONCATENATE("0",MONTH(A863)),MONTH(A863)))</f>
        <v>2025/03</v>
      </c>
      <c r="E863" s="8" t="str">
        <f>IF(IF(D863&lt;&gt;D862,1,IF(OR(B863&lt;&gt;B862,A863-A862&gt;$U$1),1,""))&lt;&gt;1,"",IF(C863="B01",1965,IF(C863="B02",1020,IF(C863="B05",2400,IF(C863="B03",4260,IF(C863="B04",2880,IF(C863="B20",1260,0)))))))</f>
        <v/>
      </c>
      <c r="F863" s="8" t="str">
        <f>IF(IF(D863&lt;&gt;D862,1,IF(OR(B863&lt;&gt;B862,A863-A862&gt;$U$1),1,""))&lt;&gt;1,"",IF(C863="B01",1,IF(C863="B05",1,IF(C863="B03",1,IF(C863="B04",1,IF(C863="B20",1,IF(C863="B02",1,0)))))))</f>
        <v/>
      </c>
      <c r="G863"/>
      <c r="H863" s="2"/>
      <c r="I863" s="2"/>
      <c r="L863"/>
      <c r="R863"/>
      <c r="S863" s="5"/>
      <c r="U863" s="5"/>
    </row>
    <row r="864" spans="1:21">
      <c r="A864" s="3">
        <v>45724.839409722219</v>
      </c>
      <c r="B864" s="2" t="s">
        <v>26</v>
      </c>
      <c r="C864" s="2" t="s">
        <v>11</v>
      </c>
      <c r="D864" s="6" t="str">
        <f>CONCATENATE(YEAR(A864),"/",IF(MONTH(A864)&lt;10,CONCATENATE("0",MONTH(A864)),MONTH(A864)))</f>
        <v>2025/03</v>
      </c>
      <c r="E864" s="8">
        <f>IF(IF(D864&lt;&gt;D863,1,IF(OR(B864&lt;&gt;B863,A864-A863&gt;$U$1),1,""))&lt;&gt;1,"",IF(C864="B01",1965,IF(C864="B02",1020,IF(C864="B05",2400,IF(C864="B03",4260,IF(C864="B04",2880,IF(C864="B20",1260,0)))))))</f>
        <v>2400</v>
      </c>
      <c r="F864" s="8">
        <f>IF(IF(D864&lt;&gt;D863,1,IF(OR(B864&lt;&gt;B863,A864-A863&gt;$U$1),1,""))&lt;&gt;1,"",IF(C864="B01",1,IF(C864="B05",1,IF(C864="B03",1,IF(C864="B04",1,IF(C864="B20",1,IF(C864="B02",1,0)))))))</f>
        <v>1</v>
      </c>
      <c r="G864"/>
      <c r="H864" s="2"/>
      <c r="I864" s="2"/>
      <c r="L864"/>
      <c r="R864"/>
      <c r="S864" s="5"/>
      <c r="U864" s="5"/>
    </row>
    <row r="865" spans="1:21">
      <c r="A865" s="3">
        <v>45724.839409722219</v>
      </c>
      <c r="B865" s="2" t="s">
        <v>26</v>
      </c>
      <c r="C865" s="2" t="s">
        <v>11</v>
      </c>
      <c r="D865" s="6" t="str">
        <f>CONCATENATE(YEAR(A865),"/",IF(MONTH(A865)&lt;10,CONCATENATE("0",MONTH(A865)),MONTH(A865)))</f>
        <v>2025/03</v>
      </c>
      <c r="E865" s="8" t="str">
        <f>IF(IF(D865&lt;&gt;D864,1,IF(OR(B865&lt;&gt;B864,A865-A864&gt;$U$1),1,""))&lt;&gt;1,"",IF(C865="B01",1965,IF(C865="B02",1020,IF(C865="B05",2400,IF(C865="B03",4260,IF(C865="B04",2880,IF(C865="B20",1260,0)))))))</f>
        <v/>
      </c>
      <c r="F865" s="8" t="str">
        <f>IF(IF(D865&lt;&gt;D864,1,IF(OR(B865&lt;&gt;B864,A865-A864&gt;$U$1),1,""))&lt;&gt;1,"",IF(C865="B01",1,IF(C865="B05",1,IF(C865="B03",1,IF(C865="B04",1,IF(C865="B20",1,IF(C865="B02",1,0)))))))</f>
        <v/>
      </c>
      <c r="G865"/>
      <c r="H865" s="2"/>
      <c r="I865" s="2"/>
      <c r="L865"/>
      <c r="R865"/>
      <c r="S865" s="5"/>
      <c r="U865" s="5"/>
    </row>
    <row r="866" spans="1:21">
      <c r="A866" s="3">
        <v>45724.965902777774</v>
      </c>
      <c r="B866" s="2" t="s">
        <v>26</v>
      </c>
      <c r="C866" s="2" t="s">
        <v>11</v>
      </c>
      <c r="D866" s="6" t="str">
        <f>CONCATENATE(YEAR(A866),"/",IF(MONTH(A866)&lt;10,CONCATENATE("0",MONTH(A866)),MONTH(A866)))</f>
        <v>2025/03</v>
      </c>
      <c r="E866" s="8">
        <f>IF(IF(D866&lt;&gt;D865,1,IF(OR(B866&lt;&gt;B865,A866-A865&gt;$U$1),1,""))&lt;&gt;1,"",IF(C866="B01",1965,IF(C866="B02",1020,IF(C866="B05",2400,IF(C866="B03",4260,IF(C866="B04",2880,IF(C866="B20",1260,0)))))))</f>
        <v>2400</v>
      </c>
      <c r="F866" s="8">
        <f>IF(IF(D866&lt;&gt;D865,1,IF(OR(B866&lt;&gt;B865,A866-A865&gt;$U$1),1,""))&lt;&gt;1,"",IF(C866="B01",1,IF(C866="B05",1,IF(C866="B03",1,IF(C866="B04",1,IF(C866="B20",1,IF(C866="B02",1,0)))))))</f>
        <v>1</v>
      </c>
      <c r="G866"/>
      <c r="H866" s="2"/>
      <c r="I866" s="2"/>
      <c r="L866"/>
      <c r="R866"/>
      <c r="S866" s="5"/>
      <c r="U866" s="5"/>
    </row>
    <row r="867" spans="1:21">
      <c r="A867" s="3">
        <v>45724.965902777774</v>
      </c>
      <c r="B867" s="2" t="s">
        <v>26</v>
      </c>
      <c r="C867" s="2" t="s">
        <v>11</v>
      </c>
      <c r="D867" s="6" t="str">
        <f>CONCATENATE(YEAR(A867),"/",IF(MONTH(A867)&lt;10,CONCATENATE("0",MONTH(A867)),MONTH(A867)))</f>
        <v>2025/03</v>
      </c>
      <c r="E867" s="8" t="str">
        <f>IF(IF(D867&lt;&gt;D866,1,IF(OR(B867&lt;&gt;B866,A867-A866&gt;$U$1),1,""))&lt;&gt;1,"",IF(C867="B01",1965,IF(C867="B02",1020,IF(C867="B05",2400,IF(C867="B03",4260,IF(C867="B04",2880,IF(C867="B20",1260,0)))))))</f>
        <v/>
      </c>
      <c r="F867" s="8" t="str">
        <f>IF(IF(D867&lt;&gt;D866,1,IF(OR(B867&lt;&gt;B866,A867-A866&gt;$U$1),1,""))&lt;&gt;1,"",IF(C867="B01",1,IF(C867="B05",1,IF(C867="B03",1,IF(C867="B04",1,IF(C867="B20",1,IF(C867="B02",1,0)))))))</f>
        <v/>
      </c>
      <c r="G867"/>
      <c r="H867" s="2"/>
      <c r="I867" s="2"/>
      <c r="L867"/>
      <c r="R867"/>
      <c r="S867" s="5"/>
      <c r="U867" s="5"/>
    </row>
    <row r="868" spans="1:21">
      <c r="A868" s="3">
        <v>45724.965902777774</v>
      </c>
      <c r="B868" s="2" t="s">
        <v>26</v>
      </c>
      <c r="C868" s="2" t="s">
        <v>11</v>
      </c>
      <c r="D868" s="6" t="str">
        <f>CONCATENATE(YEAR(A868),"/",IF(MONTH(A868)&lt;10,CONCATENATE("0",MONTH(A868)),MONTH(A868)))</f>
        <v>2025/03</v>
      </c>
      <c r="E868" s="8" t="str">
        <f>IF(IF(D868&lt;&gt;D867,1,IF(OR(B868&lt;&gt;B867,A868-A867&gt;$U$1),1,""))&lt;&gt;1,"",IF(C868="B01",1965,IF(C868="B02",1020,IF(C868="B05",2400,IF(C868="B03",4260,IF(C868="B04",2880,IF(C868="B20",1260,0)))))))</f>
        <v/>
      </c>
      <c r="F868" s="8" t="str">
        <f>IF(IF(D868&lt;&gt;D867,1,IF(OR(B868&lt;&gt;B867,A868-A867&gt;$U$1),1,""))&lt;&gt;1,"",IF(C868="B01",1,IF(C868="B05",1,IF(C868="B03",1,IF(C868="B04",1,IF(C868="B20",1,IF(C868="B02",1,0)))))))</f>
        <v/>
      </c>
      <c r="G868"/>
      <c r="H868" s="2"/>
      <c r="I868" s="2"/>
      <c r="L868"/>
      <c r="R868"/>
      <c r="S868" s="5"/>
      <c r="U868" s="5"/>
    </row>
    <row r="869" spans="1:21">
      <c r="A869" s="3">
        <v>45724.965902777774</v>
      </c>
      <c r="B869" s="2" t="s">
        <v>26</v>
      </c>
      <c r="C869" s="2" t="s">
        <v>11</v>
      </c>
      <c r="D869" s="6" t="str">
        <f>CONCATENATE(YEAR(A869),"/",IF(MONTH(A869)&lt;10,CONCATENATE("0",MONTH(A869)),MONTH(A869)))</f>
        <v>2025/03</v>
      </c>
      <c r="E869" s="8" t="str">
        <f>IF(IF(D869&lt;&gt;D868,1,IF(OR(B869&lt;&gt;B868,A869-A868&gt;$U$1),1,""))&lt;&gt;1,"",IF(C869="B01",1965,IF(C869="B02",1020,IF(C869="B05",2400,IF(C869="B03",4260,IF(C869="B04",2880,IF(C869="B20",1260,0)))))))</f>
        <v/>
      </c>
      <c r="F869" s="8" t="str">
        <f>IF(IF(D869&lt;&gt;D868,1,IF(OR(B869&lt;&gt;B868,A869-A868&gt;$U$1),1,""))&lt;&gt;1,"",IF(C869="B01",1,IF(C869="B05",1,IF(C869="B03",1,IF(C869="B04",1,IF(C869="B20",1,IF(C869="B02",1,0)))))))</f>
        <v/>
      </c>
      <c r="G869"/>
      <c r="H869" s="2"/>
      <c r="I869" s="2"/>
      <c r="L869"/>
      <c r="R869"/>
      <c r="S869" s="5"/>
      <c r="U869" s="5"/>
    </row>
    <row r="870" spans="1:21">
      <c r="A870" s="3">
        <v>45725.362060185187</v>
      </c>
      <c r="B870" s="2" t="s">
        <v>26</v>
      </c>
      <c r="C870" s="2" t="s">
        <v>11</v>
      </c>
      <c r="D870" s="6" t="str">
        <f>CONCATENATE(YEAR(A870),"/",IF(MONTH(A870)&lt;10,CONCATENATE("0",MONTH(A870)),MONTH(A870)))</f>
        <v>2025/03</v>
      </c>
      <c r="E870" s="8">
        <f>IF(IF(D870&lt;&gt;D869,1,IF(OR(B870&lt;&gt;B869,A870-A869&gt;$U$1),1,""))&lt;&gt;1,"",IF(C870="B01",1965,IF(C870="B02",1020,IF(C870="B05",2400,IF(C870="B03",4260,IF(C870="B04",2880,IF(C870="B20",1260,0)))))))</f>
        <v>2400</v>
      </c>
      <c r="F870" s="8">
        <f>IF(IF(D870&lt;&gt;D869,1,IF(OR(B870&lt;&gt;B869,A870-A869&gt;$U$1),1,""))&lt;&gt;1,"",IF(C870="B01",1,IF(C870="B05",1,IF(C870="B03",1,IF(C870="B04",1,IF(C870="B20",1,IF(C870="B02",1,0)))))))</f>
        <v>1</v>
      </c>
      <c r="G870"/>
      <c r="H870" s="2"/>
      <c r="I870" s="2"/>
      <c r="L870"/>
      <c r="R870"/>
    </row>
    <row r="871" spans="1:21">
      <c r="A871" s="3">
        <v>45725.362060185187</v>
      </c>
      <c r="B871" s="2" t="s">
        <v>26</v>
      </c>
      <c r="C871" s="2" t="s">
        <v>11</v>
      </c>
      <c r="D871" s="6" t="str">
        <f>CONCATENATE(YEAR(A871),"/",IF(MONTH(A871)&lt;10,CONCATENATE("0",MONTH(A871)),MONTH(A871)))</f>
        <v>2025/03</v>
      </c>
      <c r="E871" s="8" t="str">
        <f>IF(IF(D871&lt;&gt;D870,1,IF(OR(B871&lt;&gt;B870,A871-A870&gt;$U$1),1,""))&lt;&gt;1,"",IF(C871="B01",1965,IF(C871="B02",1020,IF(C871="B05",2400,IF(C871="B03",4260,IF(C871="B04",2880,IF(C871="B20",1260,0)))))))</f>
        <v/>
      </c>
      <c r="F871" s="8" t="str">
        <f>IF(IF(D871&lt;&gt;D870,1,IF(OR(B871&lt;&gt;B870,A871-A870&gt;$U$1),1,""))&lt;&gt;1,"",IF(C871="B01",1,IF(C871="B05",1,IF(C871="B03",1,IF(C871="B04",1,IF(C871="B20",1,IF(C871="B02",1,0)))))))</f>
        <v/>
      </c>
      <c r="G871"/>
      <c r="H871" s="2"/>
      <c r="I871" s="2"/>
      <c r="L871"/>
      <c r="R871"/>
    </row>
    <row r="872" spans="1:21">
      <c r="A872" s="3">
        <v>45725.362060185187</v>
      </c>
      <c r="B872" s="2" t="s">
        <v>26</v>
      </c>
      <c r="C872" s="2" t="s">
        <v>11</v>
      </c>
      <c r="D872" s="6" t="str">
        <f>CONCATENATE(YEAR(A872),"/",IF(MONTH(A872)&lt;10,CONCATENATE("0",MONTH(A872)),MONTH(A872)))</f>
        <v>2025/03</v>
      </c>
      <c r="E872" s="8" t="str">
        <f>IF(IF(D872&lt;&gt;D871,1,IF(OR(B872&lt;&gt;B871,A872-A871&gt;$U$1),1,""))&lt;&gt;1,"",IF(C872="B01",1965,IF(C872="B02",1020,IF(C872="B05",2400,IF(C872="B03",4260,IF(C872="B04",2880,IF(C872="B20",1260,0)))))))</f>
        <v/>
      </c>
      <c r="F872" s="8" t="str">
        <f>IF(IF(D872&lt;&gt;D871,1,IF(OR(B872&lt;&gt;B871,A872-A871&gt;$U$1),1,""))&lt;&gt;1,"",IF(C872="B01",1,IF(C872="B05",1,IF(C872="B03",1,IF(C872="B04",1,IF(C872="B20",1,IF(C872="B02",1,0)))))))</f>
        <v/>
      </c>
      <c r="G872"/>
      <c r="H872" s="2"/>
      <c r="I872" s="2"/>
      <c r="L872"/>
      <c r="R872"/>
    </row>
    <row r="873" spans="1:21">
      <c r="A873" s="3">
        <v>45725.362060185187</v>
      </c>
      <c r="B873" s="2" t="s">
        <v>26</v>
      </c>
      <c r="C873" s="2" t="s">
        <v>11</v>
      </c>
      <c r="D873" s="6" t="str">
        <f>CONCATENATE(YEAR(A873),"/",IF(MONTH(A873)&lt;10,CONCATENATE("0",MONTH(A873)),MONTH(A873)))</f>
        <v>2025/03</v>
      </c>
      <c r="E873" s="8" t="str">
        <f>IF(IF(D873&lt;&gt;D872,1,IF(OR(B873&lt;&gt;B872,A873-A872&gt;$U$1),1,""))&lt;&gt;1,"",IF(C873="B01",1965,IF(C873="B02",1020,IF(C873="B05",2400,IF(C873="B03",4260,IF(C873="B04",2880,IF(C873="B20",1260,0)))))))</f>
        <v/>
      </c>
      <c r="F873" s="8" t="str">
        <f>IF(IF(D873&lt;&gt;D872,1,IF(OR(B873&lt;&gt;B872,A873-A872&gt;$U$1),1,""))&lt;&gt;1,"",IF(C873="B01",1,IF(C873="B05",1,IF(C873="B03",1,IF(C873="B04",1,IF(C873="B20",1,IF(C873="B02",1,0)))))))</f>
        <v/>
      </c>
      <c r="G873"/>
      <c r="H873" s="2"/>
      <c r="I873" s="2"/>
      <c r="L873"/>
      <c r="R873"/>
    </row>
    <row r="874" spans="1:21">
      <c r="A874" s="3">
        <v>45725.365370370368</v>
      </c>
      <c r="B874" s="2" t="s">
        <v>26</v>
      </c>
      <c r="C874" s="2" t="s">
        <v>11</v>
      </c>
      <c r="D874" s="6" t="str">
        <f>CONCATENATE(YEAR(A874),"/",IF(MONTH(A874)&lt;10,CONCATENATE("0",MONTH(A874)),MONTH(A874)))</f>
        <v>2025/03</v>
      </c>
      <c r="E874" s="8" t="str">
        <f>IF(IF(D874&lt;&gt;D873,1,IF(OR(B874&lt;&gt;B873,A874-A873&gt;$U$1),1,""))&lt;&gt;1,"",IF(C874="B01",1965,IF(C874="B02",1020,IF(C874="B05",2400,IF(C874="B03",4260,IF(C874="B04",2880,IF(C874="B20",1260,0)))))))</f>
        <v/>
      </c>
      <c r="F874" s="8" t="str">
        <f>IF(IF(D874&lt;&gt;D873,1,IF(OR(B874&lt;&gt;B873,A874-A873&gt;$U$1),1,""))&lt;&gt;1,"",IF(C874="B01",1,IF(C874="B05",1,IF(C874="B03",1,IF(C874="B04",1,IF(C874="B20",1,IF(C874="B02",1,0)))))))</f>
        <v/>
      </c>
      <c r="G874"/>
      <c r="H874" s="2"/>
      <c r="I874" s="2"/>
      <c r="L874"/>
      <c r="R874"/>
    </row>
    <row r="875" spans="1:21">
      <c r="A875" s="3">
        <v>45725.365370370368</v>
      </c>
      <c r="B875" s="2" t="s">
        <v>26</v>
      </c>
      <c r="C875" s="2" t="s">
        <v>11</v>
      </c>
      <c r="D875" s="6" t="str">
        <f>CONCATENATE(YEAR(A875),"/",IF(MONTH(A875)&lt;10,CONCATENATE("0",MONTH(A875)),MONTH(A875)))</f>
        <v>2025/03</v>
      </c>
      <c r="E875" s="8" t="str">
        <f>IF(IF(D875&lt;&gt;D874,1,IF(OR(B875&lt;&gt;B874,A875-A874&gt;$U$1),1,""))&lt;&gt;1,"",IF(C875="B01",1965,IF(C875="B02",1020,IF(C875="B05",2400,IF(C875="B03",4260,IF(C875="B04",2880,IF(C875="B20",1260,0)))))))</f>
        <v/>
      </c>
      <c r="F875" s="8" t="str">
        <f>IF(IF(D875&lt;&gt;D874,1,IF(OR(B875&lt;&gt;B874,A875-A874&gt;$U$1),1,""))&lt;&gt;1,"",IF(C875="B01",1,IF(C875="B05",1,IF(C875="B03",1,IF(C875="B04",1,IF(C875="B20",1,IF(C875="B02",1,0)))))))</f>
        <v/>
      </c>
      <c r="G875"/>
      <c r="H875" s="2"/>
      <c r="I875" s="2"/>
      <c r="L875"/>
      <c r="R875"/>
    </row>
    <row r="876" spans="1:21">
      <c r="A876" s="3">
        <v>45725.664884259262</v>
      </c>
      <c r="B876" s="2" t="s">
        <v>26</v>
      </c>
      <c r="C876" s="2" t="s">
        <v>11</v>
      </c>
      <c r="D876" s="6" t="str">
        <f>CONCATENATE(YEAR(A876),"/",IF(MONTH(A876)&lt;10,CONCATENATE("0",MONTH(A876)),MONTH(A876)))</f>
        <v>2025/03</v>
      </c>
      <c r="E876" s="8">
        <f>IF(IF(D876&lt;&gt;D875,1,IF(OR(B876&lt;&gt;B875,A876-A875&gt;$U$1),1,""))&lt;&gt;1,"",IF(C876="B01",1965,IF(C876="B02",1020,IF(C876="B05",2400,IF(C876="B03",4260,IF(C876="B04",2880,IF(C876="B20",1260,0)))))))</f>
        <v>2400</v>
      </c>
      <c r="F876" s="8">
        <f>IF(IF(D876&lt;&gt;D875,1,IF(OR(B876&lt;&gt;B875,A876-A875&gt;$U$1),1,""))&lt;&gt;1,"",IF(C876="B01",1,IF(C876="B05",1,IF(C876="B03",1,IF(C876="B04",1,IF(C876="B20",1,IF(C876="B02",1,0)))))))</f>
        <v>1</v>
      </c>
      <c r="G876"/>
      <c r="H876" s="2"/>
      <c r="I876" s="2"/>
      <c r="L876"/>
      <c r="R876"/>
    </row>
    <row r="877" spans="1:21">
      <c r="A877" s="3">
        <v>45725.664884259262</v>
      </c>
      <c r="B877" s="2" t="s">
        <v>26</v>
      </c>
      <c r="C877" s="2" t="s">
        <v>11</v>
      </c>
      <c r="D877" s="6" t="str">
        <f>CONCATENATE(YEAR(A877),"/",IF(MONTH(A877)&lt;10,CONCATENATE("0",MONTH(A877)),MONTH(A877)))</f>
        <v>2025/03</v>
      </c>
      <c r="E877" s="8" t="str">
        <f>IF(IF(D877&lt;&gt;D876,1,IF(OR(B877&lt;&gt;B876,A877-A876&gt;$U$1),1,""))&lt;&gt;1,"",IF(C877="B01",1965,IF(C877="B02",1020,IF(C877="B05",2400,IF(C877="B03",4260,IF(C877="B04",2880,IF(C877="B20",1260,0)))))))</f>
        <v/>
      </c>
      <c r="F877" s="8" t="str">
        <f>IF(IF(D877&lt;&gt;D876,1,IF(OR(B877&lt;&gt;B876,A877-A876&gt;$U$1),1,""))&lt;&gt;1,"",IF(C877="B01",1,IF(C877="B05",1,IF(C877="B03",1,IF(C877="B04",1,IF(C877="B20",1,IF(C877="B02",1,0)))))))</f>
        <v/>
      </c>
      <c r="G877"/>
      <c r="H877" s="2"/>
      <c r="I877" s="2"/>
      <c r="L877"/>
      <c r="R877"/>
    </row>
    <row r="878" spans="1:21">
      <c r="A878" s="3">
        <v>45725.664884259262</v>
      </c>
      <c r="B878" s="2" t="s">
        <v>26</v>
      </c>
      <c r="C878" s="2" t="s">
        <v>11</v>
      </c>
      <c r="D878" s="6" t="str">
        <f>CONCATENATE(YEAR(A878),"/",IF(MONTH(A878)&lt;10,CONCATENATE("0",MONTH(A878)),MONTH(A878)))</f>
        <v>2025/03</v>
      </c>
      <c r="E878" s="8" t="str">
        <f>IF(IF(D878&lt;&gt;D877,1,IF(OR(B878&lt;&gt;B877,A878-A877&gt;$U$1),1,""))&lt;&gt;1,"",IF(C878="B01",1965,IF(C878="B02",1020,IF(C878="B05",2400,IF(C878="B03",4260,IF(C878="B04",2880,IF(C878="B20",1260,0)))))))</f>
        <v/>
      </c>
      <c r="F878" s="8" t="str">
        <f>IF(IF(D878&lt;&gt;D877,1,IF(OR(B878&lt;&gt;B877,A878-A877&gt;$U$1),1,""))&lt;&gt;1,"",IF(C878="B01",1,IF(C878="B05",1,IF(C878="B03",1,IF(C878="B04",1,IF(C878="B20",1,IF(C878="B02",1,0)))))))</f>
        <v/>
      </c>
      <c r="G878"/>
      <c r="H878" s="2"/>
      <c r="I878" s="2"/>
      <c r="L878"/>
      <c r="R878"/>
    </row>
    <row r="879" spans="1:21">
      <c r="A879" s="3">
        <v>45726.060543981483</v>
      </c>
      <c r="B879" s="2" t="s">
        <v>26</v>
      </c>
      <c r="C879" s="2" t="s">
        <v>11</v>
      </c>
      <c r="D879" s="6" t="str">
        <f>CONCATENATE(YEAR(A879),"/",IF(MONTH(A879)&lt;10,CONCATENATE("0",MONTH(A879)),MONTH(A879)))</f>
        <v>2025/03</v>
      </c>
      <c r="E879" s="8">
        <f>IF(IF(D879&lt;&gt;D878,1,IF(OR(B879&lt;&gt;B878,A879-A878&gt;$U$1),1,""))&lt;&gt;1,"",IF(C879="B01",1965,IF(C879="B02",1020,IF(C879="B05",2400,IF(C879="B03",4260,IF(C879="B04",2880,IF(C879="B20",1260,0)))))))</f>
        <v>2400</v>
      </c>
      <c r="F879" s="8">
        <f>IF(IF(D879&lt;&gt;D878,1,IF(OR(B879&lt;&gt;B878,A879-A878&gt;$U$1),1,""))&lt;&gt;1,"",IF(C879="B01",1,IF(C879="B05",1,IF(C879="B03",1,IF(C879="B04",1,IF(C879="B20",1,IF(C879="B02",1,0)))))))</f>
        <v>1</v>
      </c>
      <c r="G879"/>
      <c r="H879" s="2"/>
      <c r="I879" s="2"/>
      <c r="L879"/>
      <c r="R879"/>
    </row>
    <row r="880" spans="1:21">
      <c r="A880" s="3">
        <v>45726.060543981483</v>
      </c>
      <c r="B880" s="2" t="s">
        <v>26</v>
      </c>
      <c r="C880" s="2" t="s">
        <v>11</v>
      </c>
      <c r="D880" s="6" t="str">
        <f>CONCATENATE(YEAR(A880),"/",IF(MONTH(A880)&lt;10,CONCATENATE("0",MONTH(A880)),MONTH(A880)))</f>
        <v>2025/03</v>
      </c>
      <c r="E880" s="8" t="str">
        <f>IF(IF(D880&lt;&gt;D879,1,IF(OR(B880&lt;&gt;B879,A880-A879&gt;$U$1),1,""))&lt;&gt;1,"",IF(C880="B01",1965,IF(C880="B02",1020,IF(C880="B05",2400,IF(C880="B03",4260,IF(C880="B04",2880,IF(C880="B20",1260,0)))))))</f>
        <v/>
      </c>
      <c r="F880" s="8" t="str">
        <f>IF(IF(D880&lt;&gt;D879,1,IF(OR(B880&lt;&gt;B879,A880-A879&gt;$U$1),1,""))&lt;&gt;1,"",IF(C880="B01",1,IF(C880="B05",1,IF(C880="B03",1,IF(C880="B04",1,IF(C880="B20",1,IF(C880="B02",1,0)))))))</f>
        <v/>
      </c>
      <c r="G880"/>
      <c r="H880" s="2"/>
      <c r="I880" s="2"/>
      <c r="L880"/>
      <c r="R880"/>
    </row>
    <row r="881" spans="1:18">
      <c r="A881" s="3">
        <v>45726.060543981483</v>
      </c>
      <c r="B881" s="2" t="s">
        <v>26</v>
      </c>
      <c r="C881" s="2" t="s">
        <v>11</v>
      </c>
      <c r="D881" s="6" t="str">
        <f>CONCATENATE(YEAR(A881),"/",IF(MONTH(A881)&lt;10,CONCATENATE("0",MONTH(A881)),MONTH(A881)))</f>
        <v>2025/03</v>
      </c>
      <c r="E881" s="8" t="str">
        <f>IF(IF(D881&lt;&gt;D880,1,IF(OR(B881&lt;&gt;B880,A881-A880&gt;$U$1),1,""))&lt;&gt;1,"",IF(C881="B01",1965,IF(C881="B02",1020,IF(C881="B05",2400,IF(C881="B03",4260,IF(C881="B04",2880,IF(C881="B20",1260,0)))))))</f>
        <v/>
      </c>
      <c r="F881" s="8" t="str">
        <f>IF(IF(D881&lt;&gt;D880,1,IF(OR(B881&lt;&gt;B880,A881-A880&gt;$U$1),1,""))&lt;&gt;1,"",IF(C881="B01",1,IF(C881="B05",1,IF(C881="B03",1,IF(C881="B04",1,IF(C881="B20",1,IF(C881="B02",1,0)))))))</f>
        <v/>
      </c>
      <c r="G881"/>
      <c r="H881" s="2"/>
      <c r="I881" s="2"/>
      <c r="L881"/>
      <c r="R881"/>
    </row>
    <row r="882" spans="1:18">
      <c r="A882" s="3">
        <v>45726.060543981483</v>
      </c>
      <c r="B882" s="2" t="s">
        <v>26</v>
      </c>
      <c r="C882" s="2" t="s">
        <v>11</v>
      </c>
      <c r="D882" s="6" t="str">
        <f>CONCATENATE(YEAR(A882),"/",IF(MONTH(A882)&lt;10,CONCATENATE("0",MONTH(A882)),MONTH(A882)))</f>
        <v>2025/03</v>
      </c>
      <c r="E882" s="8" t="str">
        <f>IF(IF(D882&lt;&gt;D881,1,IF(OR(B882&lt;&gt;B881,A882-A881&gt;$U$1),1,""))&lt;&gt;1,"",IF(C882="B01",1965,IF(C882="B02",1020,IF(C882="B05",2400,IF(C882="B03",4260,IF(C882="B04",2880,IF(C882="B20",1260,0)))))))</f>
        <v/>
      </c>
      <c r="F882" s="8" t="str">
        <f>IF(IF(D882&lt;&gt;D881,1,IF(OR(B882&lt;&gt;B881,A882-A881&gt;$U$1),1,""))&lt;&gt;1,"",IF(C882="B01",1,IF(C882="B05",1,IF(C882="B03",1,IF(C882="B04",1,IF(C882="B20",1,IF(C882="B02",1,0)))))))</f>
        <v/>
      </c>
      <c r="G882"/>
      <c r="H882" s="2"/>
      <c r="I882" s="2"/>
      <c r="L882"/>
      <c r="R882"/>
    </row>
    <row r="883" spans="1:18">
      <c r="A883" s="3">
        <v>45726.228148148148</v>
      </c>
      <c r="B883" s="2" t="s">
        <v>26</v>
      </c>
      <c r="C883" s="2" t="s">
        <v>11</v>
      </c>
      <c r="D883" s="6" t="str">
        <f>CONCATENATE(YEAR(A883),"/",IF(MONTH(A883)&lt;10,CONCATENATE("0",MONTH(A883)),MONTH(A883)))</f>
        <v>2025/03</v>
      </c>
      <c r="E883" s="8">
        <f>IF(IF(D883&lt;&gt;D882,1,IF(OR(B883&lt;&gt;B882,A883-A882&gt;$U$1),1,""))&lt;&gt;1,"",IF(C883="B01",1965,IF(C883="B02",1020,IF(C883="B05",2400,IF(C883="B03",4260,IF(C883="B04",2880,IF(C883="B20",1260,0)))))))</f>
        <v>2400</v>
      </c>
      <c r="F883" s="8">
        <f>IF(IF(D883&lt;&gt;D882,1,IF(OR(B883&lt;&gt;B882,A883-A882&gt;$U$1),1,""))&lt;&gt;1,"",IF(C883="B01",1,IF(C883="B05",1,IF(C883="B03",1,IF(C883="B04",1,IF(C883="B20",1,IF(C883="B02",1,0)))))))</f>
        <v>1</v>
      </c>
      <c r="G883"/>
      <c r="H883" s="2"/>
      <c r="I883" s="2"/>
      <c r="L883"/>
      <c r="R883"/>
    </row>
    <row r="884" spans="1:18">
      <c r="A884" s="3">
        <v>45726.228148148148</v>
      </c>
      <c r="B884" s="2" t="s">
        <v>26</v>
      </c>
      <c r="C884" s="2" t="s">
        <v>11</v>
      </c>
      <c r="D884" s="6" t="str">
        <f>CONCATENATE(YEAR(A884),"/",IF(MONTH(A884)&lt;10,CONCATENATE("0",MONTH(A884)),MONTH(A884)))</f>
        <v>2025/03</v>
      </c>
      <c r="E884" s="8" t="str">
        <f>IF(IF(D884&lt;&gt;D883,1,IF(OR(B884&lt;&gt;B883,A884-A883&gt;$U$1),1,""))&lt;&gt;1,"",IF(C884="B01",1965,IF(C884="B02",1020,IF(C884="B05",2400,IF(C884="B03",4260,IF(C884="B04",2880,IF(C884="B20",1260,0)))))))</f>
        <v/>
      </c>
      <c r="F884" s="8" t="str">
        <f>IF(IF(D884&lt;&gt;D883,1,IF(OR(B884&lt;&gt;B883,A884-A883&gt;$U$1),1,""))&lt;&gt;1,"",IF(C884="B01",1,IF(C884="B05",1,IF(C884="B03",1,IF(C884="B04",1,IF(C884="B20",1,IF(C884="B02",1,0)))))))</f>
        <v/>
      </c>
      <c r="G884"/>
      <c r="H884" s="2"/>
      <c r="I884" s="2"/>
      <c r="L884"/>
      <c r="R884"/>
    </row>
    <row r="885" spans="1:18">
      <c r="A885" s="3">
        <v>45727.670185185183</v>
      </c>
      <c r="B885" s="2" t="s">
        <v>26</v>
      </c>
      <c r="C885" s="2" t="s">
        <v>11</v>
      </c>
      <c r="D885" s="6" t="str">
        <f>CONCATENATE(YEAR(A885),"/",IF(MONTH(A885)&lt;10,CONCATENATE("0",MONTH(A885)),MONTH(A885)))</f>
        <v>2025/03</v>
      </c>
      <c r="E885" s="8">
        <f>IF(IF(D885&lt;&gt;D884,1,IF(OR(B885&lt;&gt;B884,A885-A884&gt;$U$1),1,""))&lt;&gt;1,"",IF(C885="B01",1965,IF(C885="B02",1020,IF(C885="B05",2400,IF(C885="B03",4260,IF(C885="B04",2880,IF(C885="B20",1260,0)))))))</f>
        <v>2400</v>
      </c>
      <c r="F885" s="8">
        <f>IF(IF(D885&lt;&gt;D884,1,IF(OR(B885&lt;&gt;B884,A885-A884&gt;$U$1),1,""))&lt;&gt;1,"",IF(C885="B01",1,IF(C885="B05",1,IF(C885="B03",1,IF(C885="B04",1,IF(C885="B20",1,IF(C885="B02",1,0)))))))</f>
        <v>1</v>
      </c>
      <c r="G885"/>
      <c r="H885" s="2"/>
      <c r="I885" s="2"/>
      <c r="L885"/>
      <c r="R885"/>
    </row>
    <row r="886" spans="1:18">
      <c r="A886" s="3">
        <v>45727.670185185183</v>
      </c>
      <c r="B886" s="2" t="s">
        <v>26</v>
      </c>
      <c r="C886" s="2" t="s">
        <v>11</v>
      </c>
      <c r="D886" s="6" t="str">
        <f>CONCATENATE(YEAR(A886),"/",IF(MONTH(A886)&lt;10,CONCATENATE("0",MONTH(A886)),MONTH(A886)))</f>
        <v>2025/03</v>
      </c>
      <c r="E886" s="8" t="str">
        <f>IF(IF(D886&lt;&gt;D885,1,IF(OR(B886&lt;&gt;B885,A886-A885&gt;$U$1),1,""))&lt;&gt;1,"",IF(C886="B01",1965,IF(C886="B02",1020,IF(C886="B05",2400,IF(C886="B03",4260,IF(C886="B04",2880,IF(C886="B20",1260,0)))))))</f>
        <v/>
      </c>
      <c r="F886" s="8" t="str">
        <f>IF(IF(D886&lt;&gt;D885,1,IF(OR(B886&lt;&gt;B885,A886-A885&gt;$U$1),1,""))&lt;&gt;1,"",IF(C886="B01",1,IF(C886="B05",1,IF(C886="B03",1,IF(C886="B04",1,IF(C886="B20",1,IF(C886="B02",1,0)))))))</f>
        <v/>
      </c>
      <c r="G886"/>
      <c r="H886" s="2"/>
      <c r="I886" s="2"/>
      <c r="L886"/>
      <c r="R886"/>
    </row>
    <row r="887" spans="1:18">
      <c r="A887" s="3">
        <v>45727.674837962964</v>
      </c>
      <c r="B887" s="2" t="s">
        <v>26</v>
      </c>
      <c r="C887" s="2" t="s">
        <v>11</v>
      </c>
      <c r="D887" s="6" t="str">
        <f>CONCATENATE(YEAR(A887),"/",IF(MONTH(A887)&lt;10,CONCATENATE("0",MONTH(A887)),MONTH(A887)))</f>
        <v>2025/03</v>
      </c>
      <c r="E887" s="8" t="str">
        <f>IF(IF(D887&lt;&gt;D886,1,IF(OR(B887&lt;&gt;B886,A887-A886&gt;$U$1),1,""))&lt;&gt;1,"",IF(C887="B01",1965,IF(C887="B02",1020,IF(C887="B05",2400,IF(C887="B03",4260,IF(C887="B04",2880,IF(C887="B20",1260,0)))))))</f>
        <v/>
      </c>
      <c r="F887" s="8" t="str">
        <f>IF(IF(D887&lt;&gt;D886,1,IF(OR(B887&lt;&gt;B886,A887-A886&gt;$U$1),1,""))&lt;&gt;1,"",IF(C887="B01",1,IF(C887="B05",1,IF(C887="B03",1,IF(C887="B04",1,IF(C887="B20",1,IF(C887="B02",1,0)))))))</f>
        <v/>
      </c>
      <c r="G887"/>
      <c r="H887" s="2"/>
      <c r="I887" s="2"/>
      <c r="L887"/>
      <c r="R887"/>
    </row>
    <row r="888" spans="1:18">
      <c r="A888" s="3">
        <v>45727.674837962964</v>
      </c>
      <c r="B888" s="2" t="s">
        <v>26</v>
      </c>
      <c r="C888" s="2" t="s">
        <v>11</v>
      </c>
      <c r="D888" s="6" t="str">
        <f>CONCATENATE(YEAR(A888),"/",IF(MONTH(A888)&lt;10,CONCATENATE("0",MONTH(A888)),MONTH(A888)))</f>
        <v>2025/03</v>
      </c>
      <c r="E888" s="8" t="str">
        <f>IF(IF(D888&lt;&gt;D887,1,IF(OR(B888&lt;&gt;B887,A888-A887&gt;$U$1),1,""))&lt;&gt;1,"",IF(C888="B01",1965,IF(C888="B02",1020,IF(C888="B05",2400,IF(C888="B03",4260,IF(C888="B04",2880,IF(C888="B20",1260,0)))))))</f>
        <v/>
      </c>
      <c r="F888" s="8" t="str">
        <f>IF(IF(D888&lt;&gt;D887,1,IF(OR(B888&lt;&gt;B887,A888-A887&gt;$U$1),1,""))&lt;&gt;1,"",IF(C888="B01",1,IF(C888="B05",1,IF(C888="B03",1,IF(C888="B04",1,IF(C888="B20",1,IF(C888="B02",1,0)))))))</f>
        <v/>
      </c>
      <c r="G888"/>
      <c r="H888" s="2"/>
      <c r="I888" s="2"/>
      <c r="L888"/>
      <c r="R888"/>
    </row>
    <row r="889" spans="1:18">
      <c r="A889" s="3">
        <v>45727.863437499997</v>
      </c>
      <c r="B889" s="2" t="s">
        <v>26</v>
      </c>
      <c r="C889" s="2" t="s">
        <v>11</v>
      </c>
      <c r="D889" s="6" t="str">
        <f>CONCATENATE(YEAR(A889),"/",IF(MONTH(A889)&lt;10,CONCATENATE("0",MONTH(A889)),MONTH(A889)))</f>
        <v>2025/03</v>
      </c>
      <c r="E889" s="8">
        <f>IF(IF(D889&lt;&gt;D888,1,IF(OR(B889&lt;&gt;B888,A889-A888&gt;$U$1),1,""))&lt;&gt;1,"",IF(C889="B01",1965,IF(C889="B02",1020,IF(C889="B05",2400,IF(C889="B03",4260,IF(C889="B04",2880,IF(C889="B20",1260,0)))))))</f>
        <v>2400</v>
      </c>
      <c r="F889" s="8">
        <f>IF(IF(D889&lt;&gt;D888,1,IF(OR(B889&lt;&gt;B888,A889-A888&gt;$U$1),1,""))&lt;&gt;1,"",IF(C889="B01",1,IF(C889="B05",1,IF(C889="B03",1,IF(C889="B04",1,IF(C889="B20",1,IF(C889="B02",1,0)))))))</f>
        <v>1</v>
      </c>
      <c r="G889"/>
      <c r="H889" s="2"/>
      <c r="I889" s="2"/>
      <c r="L889"/>
      <c r="R889"/>
    </row>
    <row r="890" spans="1:18">
      <c r="A890" s="3">
        <v>45727.863437499997</v>
      </c>
      <c r="B890" s="2" t="s">
        <v>26</v>
      </c>
      <c r="C890" s="2" t="s">
        <v>11</v>
      </c>
      <c r="D890" s="6" t="str">
        <f>CONCATENATE(YEAR(A890),"/",IF(MONTH(A890)&lt;10,CONCATENATE("0",MONTH(A890)),MONTH(A890)))</f>
        <v>2025/03</v>
      </c>
      <c r="E890" s="8" t="str">
        <f>IF(IF(D890&lt;&gt;D889,1,IF(OR(B890&lt;&gt;B889,A890-A889&gt;$U$1),1,""))&lt;&gt;1,"",IF(C890="B01",1965,IF(C890="B02",1020,IF(C890="B05",2400,IF(C890="B03",4260,IF(C890="B04",2880,IF(C890="B20",1260,0)))))))</f>
        <v/>
      </c>
      <c r="F890" s="8" t="str">
        <f>IF(IF(D890&lt;&gt;D889,1,IF(OR(B890&lt;&gt;B889,A890-A889&gt;$U$1),1,""))&lt;&gt;1,"",IF(C890="B01",1,IF(C890="B05",1,IF(C890="B03",1,IF(C890="B04",1,IF(C890="B20",1,IF(C890="B02",1,0)))))))</f>
        <v/>
      </c>
      <c r="G890"/>
      <c r="H890" s="2"/>
      <c r="I890" s="2"/>
      <c r="L890"/>
      <c r="R890"/>
    </row>
    <row r="891" spans="1:18">
      <c r="A891" s="3">
        <v>45728.703541666669</v>
      </c>
      <c r="B891" s="2" t="s">
        <v>26</v>
      </c>
      <c r="C891" s="2" t="s">
        <v>11</v>
      </c>
      <c r="D891" s="6" t="str">
        <f>CONCATENATE(YEAR(A891),"/",IF(MONTH(A891)&lt;10,CONCATENATE("0",MONTH(A891)),MONTH(A891)))</f>
        <v>2025/03</v>
      </c>
      <c r="E891" s="8">
        <f>IF(IF(D891&lt;&gt;D890,1,IF(OR(B891&lt;&gt;B890,A891-A890&gt;$U$1),1,""))&lt;&gt;1,"",IF(C891="B01",1965,IF(C891="B02",1020,IF(C891="B05",2400,IF(C891="B03",4260,IF(C891="B04",2880,IF(C891="B20",1260,0)))))))</f>
        <v>2400</v>
      </c>
      <c r="F891" s="8">
        <f>IF(IF(D891&lt;&gt;D890,1,IF(OR(B891&lt;&gt;B890,A891-A890&gt;$U$1),1,""))&lt;&gt;1,"",IF(C891="B01",1,IF(C891="B05",1,IF(C891="B03",1,IF(C891="B04",1,IF(C891="B20",1,IF(C891="B02",1,0)))))))</f>
        <v>1</v>
      </c>
      <c r="G891"/>
      <c r="H891" s="2"/>
      <c r="I891" s="2"/>
      <c r="L891"/>
      <c r="R891"/>
    </row>
    <row r="892" spans="1:18">
      <c r="A892" s="3">
        <v>45728.703541666669</v>
      </c>
      <c r="B892" s="2" t="s">
        <v>26</v>
      </c>
      <c r="C892" s="2" t="s">
        <v>11</v>
      </c>
      <c r="D892" s="6" t="str">
        <f>CONCATENATE(YEAR(A892),"/",IF(MONTH(A892)&lt;10,CONCATENATE("0",MONTH(A892)),MONTH(A892)))</f>
        <v>2025/03</v>
      </c>
      <c r="E892" s="8" t="str">
        <f>IF(IF(D892&lt;&gt;D891,1,IF(OR(B892&lt;&gt;B891,A892-A891&gt;$U$1),1,""))&lt;&gt;1,"",IF(C892="B01",1965,IF(C892="B02",1020,IF(C892="B05",2400,IF(C892="B03",4260,IF(C892="B04",2880,IF(C892="B20",1260,0)))))))</f>
        <v/>
      </c>
      <c r="F892" s="8" t="str">
        <f>IF(IF(D892&lt;&gt;D891,1,IF(OR(B892&lt;&gt;B891,A892-A891&gt;$U$1),1,""))&lt;&gt;1,"",IF(C892="B01",1,IF(C892="B05",1,IF(C892="B03",1,IF(C892="B04",1,IF(C892="B20",1,IF(C892="B02",1,0)))))))</f>
        <v/>
      </c>
      <c r="G892"/>
      <c r="H892" s="2"/>
      <c r="I892" s="2"/>
      <c r="L892"/>
      <c r="R892"/>
    </row>
    <row r="893" spans="1:18">
      <c r="A893" s="3">
        <v>45728.960034722222</v>
      </c>
      <c r="B893" s="2" t="s">
        <v>26</v>
      </c>
      <c r="C893" s="2" t="s">
        <v>11</v>
      </c>
      <c r="D893" s="6" t="str">
        <f>CONCATENATE(YEAR(A893),"/",IF(MONTH(A893)&lt;10,CONCATENATE("0",MONTH(A893)),MONTH(A893)))</f>
        <v>2025/03</v>
      </c>
      <c r="E893" s="8">
        <f>IF(IF(D893&lt;&gt;D892,1,IF(OR(B893&lt;&gt;B892,A893-A892&gt;$U$1),1,""))&lt;&gt;1,"",IF(C893="B01",1965,IF(C893="B02",1020,IF(C893="B05",2400,IF(C893="B03",4260,IF(C893="B04",2880,IF(C893="B20",1260,0)))))))</f>
        <v>2400</v>
      </c>
      <c r="F893" s="8">
        <f>IF(IF(D893&lt;&gt;D892,1,IF(OR(B893&lt;&gt;B892,A893-A892&gt;$U$1),1,""))&lt;&gt;1,"",IF(C893="B01",1,IF(C893="B05",1,IF(C893="B03",1,IF(C893="B04",1,IF(C893="B20",1,IF(C893="B02",1,0)))))))</f>
        <v>1</v>
      </c>
      <c r="G893"/>
      <c r="H893" s="2"/>
      <c r="I893" s="2"/>
      <c r="L893"/>
      <c r="R893"/>
    </row>
    <row r="894" spans="1:18">
      <c r="A894" s="3">
        <v>45728.960034722222</v>
      </c>
      <c r="B894" s="2" t="s">
        <v>26</v>
      </c>
      <c r="C894" s="2" t="s">
        <v>11</v>
      </c>
      <c r="D894" s="6" t="str">
        <f>CONCATENATE(YEAR(A894),"/",IF(MONTH(A894)&lt;10,CONCATENATE("0",MONTH(A894)),MONTH(A894)))</f>
        <v>2025/03</v>
      </c>
      <c r="E894" s="8" t="str">
        <f>IF(IF(D894&lt;&gt;D893,1,IF(OR(B894&lt;&gt;B893,A894-A893&gt;$U$1),1,""))&lt;&gt;1,"",IF(C894="B01",1965,IF(C894="B02",1020,IF(C894="B05",2400,IF(C894="B03",4260,IF(C894="B04",2880,IF(C894="B20",1260,0)))))))</f>
        <v/>
      </c>
      <c r="F894" s="8" t="str">
        <f>IF(IF(D894&lt;&gt;D893,1,IF(OR(B894&lt;&gt;B893,A894-A893&gt;$U$1),1,""))&lt;&gt;1,"",IF(C894="B01",1,IF(C894="B05",1,IF(C894="B03",1,IF(C894="B04",1,IF(C894="B20",1,IF(C894="B02",1,0)))))))</f>
        <v/>
      </c>
      <c r="G894"/>
      <c r="H894" s="2"/>
      <c r="I894" s="2"/>
      <c r="L894"/>
      <c r="R894"/>
    </row>
    <row r="895" spans="1:18">
      <c r="A895" s="3">
        <v>45728.960034722222</v>
      </c>
      <c r="B895" s="2" t="s">
        <v>26</v>
      </c>
      <c r="C895" s="2" t="s">
        <v>11</v>
      </c>
      <c r="D895" s="6" t="str">
        <f>CONCATENATE(YEAR(A895),"/",IF(MONTH(A895)&lt;10,CONCATENATE("0",MONTH(A895)),MONTH(A895)))</f>
        <v>2025/03</v>
      </c>
      <c r="E895" s="8" t="str">
        <f>IF(IF(D895&lt;&gt;D894,1,IF(OR(B895&lt;&gt;B894,A895-A894&gt;$U$1),1,""))&lt;&gt;1,"",IF(C895="B01",1965,IF(C895="B02",1020,IF(C895="B05",2400,IF(C895="B03",4260,IF(C895="B04",2880,IF(C895="B20",1260,0)))))))</f>
        <v/>
      </c>
      <c r="F895" s="8" t="str">
        <f>IF(IF(D895&lt;&gt;D894,1,IF(OR(B895&lt;&gt;B894,A895-A894&gt;$U$1),1,""))&lt;&gt;1,"",IF(C895="B01",1,IF(C895="B05",1,IF(C895="B03",1,IF(C895="B04",1,IF(C895="B20",1,IF(C895="B02",1,0)))))))</f>
        <v/>
      </c>
      <c r="G895"/>
      <c r="H895" s="2"/>
      <c r="I895" s="2"/>
      <c r="L895"/>
      <c r="R895"/>
    </row>
    <row r="896" spans="1:18">
      <c r="A896" s="3">
        <v>45729.101030092592</v>
      </c>
      <c r="B896" s="2" t="s">
        <v>26</v>
      </c>
      <c r="C896" s="2" t="s">
        <v>12</v>
      </c>
      <c r="D896" s="6" t="str">
        <f>CONCATENATE(YEAR(A896),"/",IF(MONTH(A896)&lt;10,CONCATENATE("0",MONTH(A896)),MONTH(A896)))</f>
        <v>2025/03</v>
      </c>
      <c r="E896" s="8">
        <f>IF(IF(D896&lt;&gt;D895,1,IF(OR(B896&lt;&gt;B895,A896-A895&gt;$U$1),1,""))&lt;&gt;1,"",IF(C896="B01",1965,IF(C896="B02",1020,IF(C896="B05",2400,IF(C896="B03",4260,IF(C896="B04",2880,IF(C896="B20",1260,0)))))))</f>
        <v>4260</v>
      </c>
      <c r="F896" s="8">
        <f>IF(IF(D896&lt;&gt;D895,1,IF(OR(B896&lt;&gt;B895,A896-A895&gt;$U$1),1,""))&lt;&gt;1,"",IF(C896="B01",1,IF(C896="B05",1,IF(C896="B03",1,IF(C896="B04",1,IF(C896="B20",1,IF(C896="B02",1,0)))))))</f>
        <v>1</v>
      </c>
      <c r="G896"/>
      <c r="H896" s="2"/>
      <c r="I896" s="2"/>
      <c r="L896"/>
      <c r="R896"/>
    </row>
    <row r="897" spans="1:18">
      <c r="A897" s="3">
        <v>45729.101030092592</v>
      </c>
      <c r="B897" s="2" t="s">
        <v>26</v>
      </c>
      <c r="C897" s="2" t="s">
        <v>12</v>
      </c>
      <c r="D897" s="6" t="str">
        <f>CONCATENATE(YEAR(A897),"/",IF(MONTH(A897)&lt;10,CONCATENATE("0",MONTH(A897)),MONTH(A897)))</f>
        <v>2025/03</v>
      </c>
      <c r="E897" s="8" t="str">
        <f>IF(IF(D897&lt;&gt;D896,1,IF(OR(B897&lt;&gt;B896,A897-A896&gt;$U$1),1,""))&lt;&gt;1,"",IF(C897="B01",1965,IF(C897="B02",1020,IF(C897="B05",2400,IF(C897="B03",4260,IF(C897="B04",2880,IF(C897="B20",1260,0)))))))</f>
        <v/>
      </c>
      <c r="F897" s="8" t="str">
        <f>IF(IF(D897&lt;&gt;D896,1,IF(OR(B897&lt;&gt;B896,A897-A896&gt;$U$1),1,""))&lt;&gt;1,"",IF(C897="B01",1,IF(C897="B05",1,IF(C897="B03",1,IF(C897="B04",1,IF(C897="B20",1,IF(C897="B02",1,0)))))))</f>
        <v/>
      </c>
      <c r="G897"/>
      <c r="H897" s="2"/>
      <c r="I897" s="2"/>
      <c r="L897"/>
      <c r="R897"/>
    </row>
    <row r="898" spans="1:18">
      <c r="A898" s="3">
        <v>45729.413275462961</v>
      </c>
      <c r="B898" s="2" t="s">
        <v>26</v>
      </c>
      <c r="C898" s="2" t="s">
        <v>11</v>
      </c>
      <c r="D898" s="6" t="str">
        <f>CONCATENATE(YEAR(A898),"/",IF(MONTH(A898)&lt;10,CONCATENATE("0",MONTH(A898)),MONTH(A898)))</f>
        <v>2025/03</v>
      </c>
      <c r="E898" s="8">
        <f>IF(IF(D898&lt;&gt;D897,1,IF(OR(B898&lt;&gt;B897,A898-A897&gt;$U$1),1,""))&lt;&gt;1,"",IF(C898="B01",1965,IF(C898="B02",1020,IF(C898="B05",2400,IF(C898="B03",4260,IF(C898="B04",2880,IF(C898="B20",1260,0)))))))</f>
        <v>2400</v>
      </c>
      <c r="F898" s="8">
        <f>IF(IF(D898&lt;&gt;D897,1,IF(OR(B898&lt;&gt;B897,A898-A897&gt;$U$1),1,""))&lt;&gt;1,"",IF(C898="B01",1,IF(C898="B05",1,IF(C898="B03",1,IF(C898="B04",1,IF(C898="B20",1,IF(C898="B02",1,0)))))))</f>
        <v>1</v>
      </c>
      <c r="G898"/>
      <c r="H898" s="2"/>
      <c r="I898" s="2"/>
      <c r="L898"/>
      <c r="R898"/>
    </row>
    <row r="899" spans="1:18">
      <c r="A899" s="3">
        <v>45729.413275462961</v>
      </c>
      <c r="B899" s="2" t="s">
        <v>26</v>
      </c>
      <c r="C899" s="2" t="s">
        <v>11</v>
      </c>
      <c r="D899" s="6" t="str">
        <f>CONCATENATE(YEAR(A899),"/",IF(MONTH(A899)&lt;10,CONCATENATE("0",MONTH(A899)),MONTH(A899)))</f>
        <v>2025/03</v>
      </c>
      <c r="E899" s="8" t="str">
        <f>IF(IF(D899&lt;&gt;D898,1,IF(OR(B899&lt;&gt;B898,A899-A898&gt;$U$1),1,""))&lt;&gt;1,"",IF(C899="B01",1965,IF(C899="B02",1020,IF(C899="B05",2400,IF(C899="B03",4260,IF(C899="B04",2880,IF(C899="B20",1260,0)))))))</f>
        <v/>
      </c>
      <c r="F899" s="8" t="str">
        <f>IF(IF(D899&lt;&gt;D898,1,IF(OR(B899&lt;&gt;B898,A899-A898&gt;$U$1),1,""))&lt;&gt;1,"",IF(C899="B01",1,IF(C899="B05",1,IF(C899="B03",1,IF(C899="B04",1,IF(C899="B20",1,IF(C899="B02",1,0)))))))</f>
        <v/>
      </c>
      <c r="G899"/>
      <c r="H899" s="2"/>
      <c r="I899" s="2"/>
      <c r="L899"/>
      <c r="R899"/>
    </row>
    <row r="900" spans="1:18">
      <c r="A900" s="3">
        <v>45730.226053240738</v>
      </c>
      <c r="B900" s="2" t="s">
        <v>26</v>
      </c>
      <c r="C900" s="2" t="s">
        <v>12</v>
      </c>
      <c r="D900" s="6" t="str">
        <f>CONCATENATE(YEAR(A900),"/",IF(MONTH(A900)&lt;10,CONCATENATE("0",MONTH(A900)),MONTH(A900)))</f>
        <v>2025/03</v>
      </c>
      <c r="E900" s="8">
        <f>IF(IF(D900&lt;&gt;D899,1,IF(OR(B900&lt;&gt;B899,A900-A899&gt;$U$1),1,""))&lt;&gt;1,"",IF(C900="B01",1965,IF(C900="B02",1020,IF(C900="B05",2400,IF(C900="B03",4260,IF(C900="B04",2880,IF(C900="B20",1260,0)))))))</f>
        <v>4260</v>
      </c>
      <c r="F900" s="8">
        <f>IF(IF(D900&lt;&gt;D899,1,IF(OR(B900&lt;&gt;B899,A900-A899&gt;$U$1),1,""))&lt;&gt;1,"",IF(C900="B01",1,IF(C900="B05",1,IF(C900="B03",1,IF(C900="B04",1,IF(C900="B20",1,IF(C900="B02",1,0)))))))</f>
        <v>1</v>
      </c>
      <c r="G900"/>
      <c r="H900" s="2"/>
      <c r="I900" s="2"/>
      <c r="L900"/>
      <c r="R900"/>
    </row>
    <row r="901" spans="1:18">
      <c r="A901" s="3">
        <v>45730.226053240738</v>
      </c>
      <c r="B901" s="2" t="s">
        <v>26</v>
      </c>
      <c r="C901" s="2" t="s">
        <v>12</v>
      </c>
      <c r="D901" s="6" t="str">
        <f>CONCATENATE(YEAR(A901),"/",IF(MONTH(A901)&lt;10,CONCATENATE("0",MONTH(A901)),MONTH(A901)))</f>
        <v>2025/03</v>
      </c>
      <c r="E901" s="8" t="str">
        <f>IF(IF(D901&lt;&gt;D900,1,IF(OR(B901&lt;&gt;B900,A901-A900&gt;$U$1),1,""))&lt;&gt;1,"",IF(C901="B01",1965,IF(C901="B02",1020,IF(C901="B05",2400,IF(C901="B03",4260,IF(C901="B04",2880,IF(C901="B20",1260,0)))))))</f>
        <v/>
      </c>
      <c r="F901" s="8" t="str">
        <f>IF(IF(D901&lt;&gt;D900,1,IF(OR(B901&lt;&gt;B900,A901-A900&gt;$U$1),1,""))&lt;&gt;1,"",IF(C901="B01",1,IF(C901="B05",1,IF(C901="B03",1,IF(C901="B04",1,IF(C901="B20",1,IF(C901="B02",1,0)))))))</f>
        <v/>
      </c>
      <c r="G901"/>
      <c r="H901" s="2"/>
      <c r="I901" s="2"/>
      <c r="L901"/>
      <c r="R901"/>
    </row>
    <row r="902" spans="1:18">
      <c r="A902" s="3">
        <v>45731.265011574076</v>
      </c>
      <c r="B902" s="2" t="s">
        <v>26</v>
      </c>
      <c r="C902" s="2" t="s">
        <v>11</v>
      </c>
      <c r="D902" s="6" t="str">
        <f>CONCATENATE(YEAR(A902),"/",IF(MONTH(A902)&lt;10,CONCATENATE("0",MONTH(A902)),MONTH(A902)))</f>
        <v>2025/03</v>
      </c>
      <c r="E902" s="8">
        <f>IF(IF(D902&lt;&gt;D901,1,IF(OR(B902&lt;&gt;B901,A902-A901&gt;$U$1),1,""))&lt;&gt;1,"",IF(C902="B01",1965,IF(C902="B02",1020,IF(C902="B05",2400,IF(C902="B03",4260,IF(C902="B04",2880,IF(C902="B20",1260,0)))))))</f>
        <v>2400</v>
      </c>
      <c r="F902" s="8">
        <f>IF(IF(D902&lt;&gt;D901,1,IF(OR(B902&lt;&gt;B901,A902-A901&gt;$U$1),1,""))&lt;&gt;1,"",IF(C902="B01",1,IF(C902="B05",1,IF(C902="B03",1,IF(C902="B04",1,IF(C902="B20",1,IF(C902="B02",1,0)))))))</f>
        <v>1</v>
      </c>
      <c r="G902"/>
      <c r="H902" s="2"/>
      <c r="I902" s="2"/>
      <c r="L902"/>
      <c r="R902"/>
    </row>
    <row r="903" spans="1:18">
      <c r="A903" s="3">
        <v>45731.265011574076</v>
      </c>
      <c r="B903" s="2" t="s">
        <v>26</v>
      </c>
      <c r="C903" s="2" t="s">
        <v>11</v>
      </c>
      <c r="D903" s="6" t="str">
        <f>CONCATENATE(YEAR(A903),"/",IF(MONTH(A903)&lt;10,CONCATENATE("0",MONTH(A903)),MONTH(A903)))</f>
        <v>2025/03</v>
      </c>
      <c r="E903" s="8" t="str">
        <f>IF(IF(D903&lt;&gt;D902,1,IF(OR(B903&lt;&gt;B902,A903-A902&gt;$U$1),1,""))&lt;&gt;1,"",IF(C903="B01",1965,IF(C903="B02",1020,IF(C903="B05",2400,IF(C903="B03",4260,IF(C903="B04",2880,IF(C903="B20",1260,0)))))))</f>
        <v/>
      </c>
      <c r="F903" s="8" t="str">
        <f>IF(IF(D903&lt;&gt;D902,1,IF(OR(B903&lt;&gt;B902,A903-A902&gt;$U$1),1,""))&lt;&gt;1,"",IF(C903="B01",1,IF(C903="B05",1,IF(C903="B03",1,IF(C903="B04",1,IF(C903="B20",1,IF(C903="B02",1,0)))))))</f>
        <v/>
      </c>
      <c r="G903"/>
      <c r="H903" s="2"/>
      <c r="I903" s="2"/>
      <c r="L903"/>
      <c r="R903"/>
    </row>
    <row r="904" spans="1:18">
      <c r="A904" s="3">
        <v>45731.265011574076</v>
      </c>
      <c r="B904" s="2" t="s">
        <v>26</v>
      </c>
      <c r="C904" s="2" t="s">
        <v>11</v>
      </c>
      <c r="D904" s="6" t="str">
        <f>CONCATENATE(YEAR(A904),"/",IF(MONTH(A904)&lt;10,CONCATENATE("0",MONTH(A904)),MONTH(A904)))</f>
        <v>2025/03</v>
      </c>
      <c r="E904" s="8" t="str">
        <f>IF(IF(D904&lt;&gt;D903,1,IF(OR(B904&lt;&gt;B903,A904-A903&gt;$U$1),1,""))&lt;&gt;1,"",IF(C904="B01",1965,IF(C904="B02",1020,IF(C904="B05",2400,IF(C904="B03",4260,IF(C904="B04",2880,IF(C904="B20",1260,0)))))))</f>
        <v/>
      </c>
      <c r="F904" s="8" t="str">
        <f>IF(IF(D904&lt;&gt;D903,1,IF(OR(B904&lt;&gt;B903,A904-A903&gt;$U$1),1,""))&lt;&gt;1,"",IF(C904="B01",1,IF(C904="B05",1,IF(C904="B03",1,IF(C904="B04",1,IF(C904="B20",1,IF(C904="B02",1,0)))))))</f>
        <v/>
      </c>
      <c r="G904"/>
      <c r="H904" s="2"/>
      <c r="I904" s="2"/>
      <c r="L904"/>
      <c r="R904"/>
    </row>
    <row r="905" spans="1:18">
      <c r="A905" s="3">
        <v>45731.265011574076</v>
      </c>
      <c r="B905" s="2" t="s">
        <v>26</v>
      </c>
      <c r="C905" s="2" t="s">
        <v>11</v>
      </c>
      <c r="D905" s="6" t="str">
        <f>CONCATENATE(YEAR(A905),"/",IF(MONTH(A905)&lt;10,CONCATENATE("0",MONTH(A905)),MONTH(A905)))</f>
        <v>2025/03</v>
      </c>
      <c r="E905" s="8" t="str">
        <f>IF(IF(D905&lt;&gt;D904,1,IF(OR(B905&lt;&gt;B904,A905-A904&gt;$U$1),1,""))&lt;&gt;1,"",IF(C905="B01",1965,IF(C905="B02",1020,IF(C905="B05",2400,IF(C905="B03",4260,IF(C905="B04",2880,IF(C905="B20",1260,0)))))))</f>
        <v/>
      </c>
      <c r="F905" s="8" t="str">
        <f>IF(IF(D905&lt;&gt;D904,1,IF(OR(B905&lt;&gt;B904,A905-A904&gt;$U$1),1,""))&lt;&gt;1,"",IF(C905="B01",1,IF(C905="B05",1,IF(C905="B03",1,IF(C905="B04",1,IF(C905="B20",1,IF(C905="B02",1,0)))))))</f>
        <v/>
      </c>
      <c r="G905"/>
      <c r="H905" s="2"/>
      <c r="I905" s="2"/>
      <c r="L905"/>
      <c r="R905"/>
    </row>
    <row r="906" spans="1:18">
      <c r="A906" s="3">
        <v>45731.43644675926</v>
      </c>
      <c r="B906" s="2" t="s">
        <v>26</v>
      </c>
      <c r="C906" s="2" t="s">
        <v>12</v>
      </c>
      <c r="D906" s="6" t="str">
        <f>CONCATENATE(YEAR(A906),"/",IF(MONTH(A906)&lt;10,CONCATENATE("0",MONTH(A906)),MONTH(A906)))</f>
        <v>2025/03</v>
      </c>
      <c r="E906" s="8">
        <f>IF(IF(D906&lt;&gt;D905,1,IF(OR(B906&lt;&gt;B905,A906-A905&gt;$U$1),1,""))&lt;&gt;1,"",IF(C906="B01",1965,IF(C906="B02",1020,IF(C906="B05",2400,IF(C906="B03",4260,IF(C906="B04",2880,IF(C906="B20",1260,0)))))))</f>
        <v>4260</v>
      </c>
      <c r="F906" s="8">
        <f>IF(IF(D906&lt;&gt;D905,1,IF(OR(B906&lt;&gt;B905,A906-A905&gt;$U$1),1,""))&lt;&gt;1,"",IF(C906="B01",1,IF(C906="B05",1,IF(C906="B03",1,IF(C906="B04",1,IF(C906="B20",1,IF(C906="B02",1,0)))))))</f>
        <v>1</v>
      </c>
      <c r="G906"/>
      <c r="H906" s="2"/>
      <c r="I906" s="2"/>
      <c r="L906"/>
      <c r="R906"/>
    </row>
    <row r="907" spans="1:18">
      <c r="A907" s="3">
        <v>45731.43644675926</v>
      </c>
      <c r="B907" s="2" t="s">
        <v>26</v>
      </c>
      <c r="C907" s="2" t="s">
        <v>12</v>
      </c>
      <c r="D907" s="6" t="str">
        <f>CONCATENATE(YEAR(A907),"/",IF(MONTH(A907)&lt;10,CONCATENATE("0",MONTH(A907)),MONTH(A907)))</f>
        <v>2025/03</v>
      </c>
      <c r="E907" s="8" t="str">
        <f>IF(IF(D907&lt;&gt;D906,1,IF(OR(B907&lt;&gt;B906,A907-A906&gt;$U$1),1,""))&lt;&gt;1,"",IF(C907="B01",1965,IF(C907="B02",1020,IF(C907="B05",2400,IF(C907="B03",4260,IF(C907="B04",2880,IF(C907="B20",1260,0)))))))</f>
        <v/>
      </c>
      <c r="F907" s="8" t="str">
        <f>IF(IF(D907&lt;&gt;D906,1,IF(OR(B907&lt;&gt;B906,A907-A906&gt;$U$1),1,""))&lt;&gt;1,"",IF(C907="B01",1,IF(C907="B05",1,IF(C907="B03",1,IF(C907="B04",1,IF(C907="B20",1,IF(C907="B02",1,0)))))))</f>
        <v/>
      </c>
      <c r="G907"/>
      <c r="H907" s="2"/>
      <c r="I907" s="2"/>
      <c r="L907"/>
      <c r="R907"/>
    </row>
    <row r="908" spans="1:18">
      <c r="A908" s="3">
        <v>45731.639398148145</v>
      </c>
      <c r="B908" s="2" t="s">
        <v>26</v>
      </c>
      <c r="C908" s="2" t="s">
        <v>12</v>
      </c>
      <c r="D908" s="6" t="str">
        <f>CONCATENATE(YEAR(A908),"/",IF(MONTH(A908)&lt;10,CONCATENATE("0",MONTH(A908)),MONTH(A908)))</f>
        <v>2025/03</v>
      </c>
      <c r="E908" s="8">
        <f>IF(IF(D908&lt;&gt;D907,1,IF(OR(B908&lt;&gt;B907,A908-A907&gt;$U$1),1,""))&lt;&gt;1,"",IF(C908="B01",1965,IF(C908="B02",1020,IF(C908="B05",2400,IF(C908="B03",4260,IF(C908="B04",2880,IF(C908="B20",1260,0)))))))</f>
        <v>4260</v>
      </c>
      <c r="F908" s="8">
        <f>IF(IF(D908&lt;&gt;D907,1,IF(OR(B908&lt;&gt;B907,A908-A907&gt;$U$1),1,""))&lt;&gt;1,"",IF(C908="B01",1,IF(C908="B05",1,IF(C908="B03",1,IF(C908="B04",1,IF(C908="B20",1,IF(C908="B02",1,0)))))))</f>
        <v>1</v>
      </c>
      <c r="G908"/>
      <c r="H908" s="2"/>
      <c r="I908" s="2"/>
      <c r="L908"/>
      <c r="R908"/>
    </row>
    <row r="909" spans="1:18">
      <c r="A909" s="3">
        <v>45731.639398148145</v>
      </c>
      <c r="B909" s="2" t="s">
        <v>26</v>
      </c>
      <c r="C909" s="2" t="s">
        <v>12</v>
      </c>
      <c r="D909" s="6" t="str">
        <f>CONCATENATE(YEAR(A909),"/",IF(MONTH(A909)&lt;10,CONCATENATE("0",MONTH(A909)),MONTH(A909)))</f>
        <v>2025/03</v>
      </c>
      <c r="E909" s="8" t="str">
        <f>IF(IF(D909&lt;&gt;D908,1,IF(OR(B909&lt;&gt;B908,A909-A908&gt;$U$1),1,""))&lt;&gt;1,"",IF(C909="B01",1965,IF(C909="B02",1020,IF(C909="B05",2400,IF(C909="B03",4260,IF(C909="B04",2880,IF(C909="B20",1260,0)))))))</f>
        <v/>
      </c>
      <c r="F909" s="8" t="str">
        <f>IF(IF(D909&lt;&gt;D908,1,IF(OR(B909&lt;&gt;B908,A909-A908&gt;$U$1),1,""))&lt;&gt;1,"",IF(C909="B01",1,IF(C909="B05",1,IF(C909="B03",1,IF(C909="B04",1,IF(C909="B20",1,IF(C909="B02",1,0)))))))</f>
        <v/>
      </c>
      <c r="G909"/>
      <c r="H909" s="2"/>
      <c r="I909" s="2"/>
      <c r="L909"/>
      <c r="R909"/>
    </row>
    <row r="910" spans="1:18">
      <c r="A910" s="3">
        <v>45732.042002314818</v>
      </c>
      <c r="B910" s="2" t="s">
        <v>26</v>
      </c>
      <c r="C910" s="2" t="s">
        <v>11</v>
      </c>
      <c r="D910" s="6" t="str">
        <f>CONCATENATE(YEAR(A910),"/",IF(MONTH(A910)&lt;10,CONCATENATE("0",MONTH(A910)),MONTH(A910)))</f>
        <v>2025/03</v>
      </c>
      <c r="E910" s="8">
        <f>IF(IF(D910&lt;&gt;D909,1,IF(OR(B910&lt;&gt;B909,A910-A909&gt;$U$1),1,""))&lt;&gt;1,"",IF(C910="B01",1965,IF(C910="B02",1020,IF(C910="B05",2400,IF(C910="B03",4260,IF(C910="B04",2880,IF(C910="B20",1260,0)))))))</f>
        <v>2400</v>
      </c>
      <c r="F910" s="8">
        <f>IF(IF(D910&lt;&gt;D909,1,IF(OR(B910&lt;&gt;B909,A910-A909&gt;$U$1),1,""))&lt;&gt;1,"",IF(C910="B01",1,IF(C910="B05",1,IF(C910="B03",1,IF(C910="B04",1,IF(C910="B20",1,IF(C910="B02",1,0)))))))</f>
        <v>1</v>
      </c>
      <c r="G910"/>
      <c r="H910" s="2"/>
      <c r="I910" s="2"/>
      <c r="L910"/>
      <c r="R910"/>
    </row>
    <row r="911" spans="1:18">
      <c r="A911" s="3">
        <v>45732.042002314818</v>
      </c>
      <c r="B911" s="2" t="s">
        <v>26</v>
      </c>
      <c r="C911" s="2" t="s">
        <v>11</v>
      </c>
      <c r="D911" s="6" t="str">
        <f>CONCATENATE(YEAR(A911),"/",IF(MONTH(A911)&lt;10,CONCATENATE("0",MONTH(A911)),MONTH(A911)))</f>
        <v>2025/03</v>
      </c>
      <c r="E911" s="8" t="str">
        <f>IF(IF(D911&lt;&gt;D910,1,IF(OR(B911&lt;&gt;B910,A911-A910&gt;$U$1),1,""))&lt;&gt;1,"",IF(C911="B01",1965,IF(C911="B02",1020,IF(C911="B05",2400,IF(C911="B03",4260,IF(C911="B04",2880,IF(C911="B20",1260,0)))))))</f>
        <v/>
      </c>
      <c r="F911" s="8" t="str">
        <f>IF(IF(D911&lt;&gt;D910,1,IF(OR(B911&lt;&gt;B910,A911-A910&gt;$U$1),1,""))&lt;&gt;1,"",IF(C911="B01",1,IF(C911="B05",1,IF(C911="B03",1,IF(C911="B04",1,IF(C911="B20",1,IF(C911="B02",1,0)))))))</f>
        <v/>
      </c>
      <c r="G911"/>
      <c r="H911" s="2"/>
      <c r="I911" s="2"/>
      <c r="L911"/>
      <c r="R911"/>
    </row>
    <row r="912" spans="1:18">
      <c r="A912" s="3">
        <v>45732.206759259258</v>
      </c>
      <c r="B912" s="2" t="s">
        <v>26</v>
      </c>
      <c r="C912" s="2" t="s">
        <v>12</v>
      </c>
      <c r="D912" s="6" t="str">
        <f>CONCATENATE(YEAR(A912),"/",IF(MONTH(A912)&lt;10,CONCATENATE("0",MONTH(A912)),MONTH(A912)))</f>
        <v>2025/03</v>
      </c>
      <c r="E912" s="8">
        <f>IF(IF(D912&lt;&gt;D911,1,IF(OR(B912&lt;&gt;B911,A912-A911&gt;$U$1),1,""))&lt;&gt;1,"",IF(C912="B01",1965,IF(C912="B02",1020,IF(C912="B05",2400,IF(C912="B03",4260,IF(C912="B04",2880,IF(C912="B20",1260,0)))))))</f>
        <v>4260</v>
      </c>
      <c r="F912" s="8">
        <f>IF(IF(D912&lt;&gt;D911,1,IF(OR(B912&lt;&gt;B911,A912-A911&gt;$U$1),1,""))&lt;&gt;1,"",IF(C912="B01",1,IF(C912="B05",1,IF(C912="B03",1,IF(C912="B04",1,IF(C912="B20",1,IF(C912="B02",1,0)))))))</f>
        <v>1</v>
      </c>
      <c r="G912"/>
      <c r="H912" s="2"/>
      <c r="I912" s="2"/>
      <c r="L912"/>
      <c r="R912"/>
    </row>
    <row r="913" spans="1:18">
      <c r="A913" s="3">
        <v>45732.206759259258</v>
      </c>
      <c r="B913" s="2" t="s">
        <v>26</v>
      </c>
      <c r="C913" s="2" t="s">
        <v>12</v>
      </c>
      <c r="D913" s="6" t="str">
        <f>CONCATENATE(YEAR(A913),"/",IF(MONTH(A913)&lt;10,CONCATENATE("0",MONTH(A913)),MONTH(A913)))</f>
        <v>2025/03</v>
      </c>
      <c r="E913" s="8" t="str">
        <f>IF(IF(D913&lt;&gt;D912,1,IF(OR(B913&lt;&gt;B912,A913-A912&gt;$U$1),1,""))&lt;&gt;1,"",IF(C913="B01",1965,IF(C913="B02",1020,IF(C913="B05",2400,IF(C913="B03",4260,IF(C913="B04",2880,IF(C913="B20",1260,0)))))))</f>
        <v/>
      </c>
      <c r="F913" s="8" t="str">
        <f>IF(IF(D913&lt;&gt;D912,1,IF(OR(B913&lt;&gt;B912,A913-A912&gt;$U$1),1,""))&lt;&gt;1,"",IF(C913="B01",1,IF(C913="B05",1,IF(C913="B03",1,IF(C913="B04",1,IF(C913="B20",1,IF(C913="B02",1,0)))))))</f>
        <v/>
      </c>
      <c r="G913"/>
      <c r="H913" s="2"/>
      <c r="I913" s="2"/>
      <c r="L913"/>
      <c r="R913"/>
    </row>
    <row r="914" spans="1:18">
      <c r="A914" s="3">
        <v>45732.369386574072</v>
      </c>
      <c r="B914" s="2" t="s">
        <v>26</v>
      </c>
      <c r="C914" s="2" t="s">
        <v>12</v>
      </c>
      <c r="D914" s="6" t="str">
        <f>CONCATENATE(YEAR(A914),"/",IF(MONTH(A914)&lt;10,CONCATENATE("0",MONTH(A914)),MONTH(A914)))</f>
        <v>2025/03</v>
      </c>
      <c r="E914" s="8">
        <f>IF(IF(D914&lt;&gt;D913,1,IF(OR(B914&lt;&gt;B913,A914-A913&gt;$U$1),1,""))&lt;&gt;1,"",IF(C914="B01",1965,IF(C914="B02",1020,IF(C914="B05",2400,IF(C914="B03",4260,IF(C914="B04",2880,IF(C914="B20",1260,0)))))))</f>
        <v>4260</v>
      </c>
      <c r="F914" s="8">
        <f>IF(IF(D914&lt;&gt;D913,1,IF(OR(B914&lt;&gt;B913,A914-A913&gt;$U$1),1,""))&lt;&gt;1,"",IF(C914="B01",1,IF(C914="B05",1,IF(C914="B03",1,IF(C914="B04",1,IF(C914="B20",1,IF(C914="B02",1,0)))))))</f>
        <v>1</v>
      </c>
      <c r="G914"/>
      <c r="H914" s="2"/>
      <c r="I914" s="2"/>
      <c r="L914"/>
      <c r="R914"/>
    </row>
    <row r="915" spans="1:18">
      <c r="A915" s="3">
        <v>45732.369386574072</v>
      </c>
      <c r="B915" s="2" t="s">
        <v>26</v>
      </c>
      <c r="C915" s="2" t="s">
        <v>12</v>
      </c>
      <c r="D915" s="6" t="str">
        <f>CONCATENATE(YEAR(A915),"/",IF(MONTH(A915)&lt;10,CONCATENATE("0",MONTH(A915)),MONTH(A915)))</f>
        <v>2025/03</v>
      </c>
      <c r="E915" s="8" t="str">
        <f>IF(IF(D915&lt;&gt;D914,1,IF(OR(B915&lt;&gt;B914,A915-A914&gt;$U$1),1,""))&lt;&gt;1,"",IF(C915="B01",1965,IF(C915="B02",1020,IF(C915="B05",2400,IF(C915="B03",4260,IF(C915="B04",2880,IF(C915="B20",1260,0)))))))</f>
        <v/>
      </c>
      <c r="F915" s="8" t="str">
        <f>IF(IF(D915&lt;&gt;D914,1,IF(OR(B915&lt;&gt;B914,A915-A914&gt;$U$1),1,""))&lt;&gt;1,"",IF(C915="B01",1,IF(C915="B05",1,IF(C915="B03",1,IF(C915="B04",1,IF(C915="B20",1,IF(C915="B02",1,0)))))))</f>
        <v/>
      </c>
      <c r="G915"/>
      <c r="H915" s="2"/>
      <c r="I915" s="2"/>
      <c r="L915"/>
      <c r="R915"/>
    </row>
    <row r="916" spans="1:18">
      <c r="A916" s="3">
        <v>45732.553414351853</v>
      </c>
      <c r="B916" s="2" t="s">
        <v>26</v>
      </c>
      <c r="C916" s="2" t="s">
        <v>12</v>
      </c>
      <c r="D916" s="6" t="str">
        <f>CONCATENATE(YEAR(A916),"/",IF(MONTH(A916)&lt;10,CONCATENATE("0",MONTH(A916)),MONTH(A916)))</f>
        <v>2025/03</v>
      </c>
      <c r="E916" s="8">
        <f>IF(IF(D916&lt;&gt;D915,1,IF(OR(B916&lt;&gt;B915,A916-A915&gt;$U$1),1,""))&lt;&gt;1,"",IF(C916="B01",1965,IF(C916="B02",1020,IF(C916="B05",2400,IF(C916="B03",4260,IF(C916="B04",2880,IF(C916="B20",1260,0)))))))</f>
        <v>4260</v>
      </c>
      <c r="F916" s="8">
        <f>IF(IF(D916&lt;&gt;D915,1,IF(OR(B916&lt;&gt;B915,A916-A915&gt;$U$1),1,""))&lt;&gt;1,"",IF(C916="B01",1,IF(C916="B05",1,IF(C916="B03",1,IF(C916="B04",1,IF(C916="B20",1,IF(C916="B02",1,0)))))))</f>
        <v>1</v>
      </c>
      <c r="G916"/>
      <c r="H916" s="2"/>
      <c r="I916" s="2"/>
      <c r="L916"/>
      <c r="R916"/>
    </row>
    <row r="917" spans="1:18">
      <c r="A917" s="3">
        <v>45732.553414351853</v>
      </c>
      <c r="B917" s="2" t="s">
        <v>26</v>
      </c>
      <c r="C917" s="2" t="s">
        <v>12</v>
      </c>
      <c r="D917" s="6" t="str">
        <f>CONCATENATE(YEAR(A917),"/",IF(MONTH(A917)&lt;10,CONCATENATE("0",MONTH(A917)),MONTH(A917)))</f>
        <v>2025/03</v>
      </c>
      <c r="E917" s="8" t="str">
        <f>IF(IF(D917&lt;&gt;D916,1,IF(OR(B917&lt;&gt;B916,A917-A916&gt;$U$1),1,""))&lt;&gt;1,"",IF(C917="B01",1965,IF(C917="B02",1020,IF(C917="B05",2400,IF(C917="B03",4260,IF(C917="B04",2880,IF(C917="B20",1260,0)))))))</f>
        <v/>
      </c>
      <c r="F917" s="8" t="str">
        <f>IF(IF(D917&lt;&gt;D916,1,IF(OR(B917&lt;&gt;B916,A917-A916&gt;$U$1),1,""))&lt;&gt;1,"",IF(C917="B01",1,IF(C917="B05",1,IF(C917="B03",1,IF(C917="B04",1,IF(C917="B20",1,IF(C917="B02",1,0)))))))</f>
        <v/>
      </c>
      <c r="G917"/>
      <c r="H917" s="2"/>
      <c r="I917" s="2"/>
      <c r="L917"/>
      <c r="R917"/>
    </row>
    <row r="918" spans="1:18">
      <c r="A918" s="3">
        <v>45732.789560185185</v>
      </c>
      <c r="B918" s="2" t="s">
        <v>26</v>
      </c>
      <c r="C918" s="2" t="s">
        <v>12</v>
      </c>
      <c r="D918" s="6" t="str">
        <f>CONCATENATE(YEAR(A918),"/",IF(MONTH(A918)&lt;10,CONCATENATE("0",MONTH(A918)),MONTH(A918)))</f>
        <v>2025/03</v>
      </c>
      <c r="E918" s="8">
        <f>IF(IF(D918&lt;&gt;D917,1,IF(OR(B918&lt;&gt;B917,A918-A917&gt;$U$1),1,""))&lt;&gt;1,"",IF(C918="B01",1965,IF(C918="B02",1020,IF(C918="B05",2400,IF(C918="B03",4260,IF(C918="B04",2880,IF(C918="B20",1260,0)))))))</f>
        <v>4260</v>
      </c>
      <c r="F918" s="8">
        <f>IF(IF(D918&lt;&gt;D917,1,IF(OR(B918&lt;&gt;B917,A918-A917&gt;$U$1),1,""))&lt;&gt;1,"",IF(C918="B01",1,IF(C918="B05",1,IF(C918="B03",1,IF(C918="B04",1,IF(C918="B20",1,IF(C918="B02",1,0)))))))</f>
        <v>1</v>
      </c>
      <c r="G918"/>
      <c r="H918" s="2"/>
      <c r="I918" s="2"/>
      <c r="L918"/>
      <c r="R918"/>
    </row>
    <row r="919" spans="1:18">
      <c r="A919" s="3">
        <v>45732.789560185185</v>
      </c>
      <c r="B919" s="2" t="s">
        <v>26</v>
      </c>
      <c r="C919" s="2" t="s">
        <v>12</v>
      </c>
      <c r="D919" s="6" t="str">
        <f>CONCATENATE(YEAR(A919),"/",IF(MONTH(A919)&lt;10,CONCATENATE("0",MONTH(A919)),MONTH(A919)))</f>
        <v>2025/03</v>
      </c>
      <c r="E919" s="8" t="str">
        <f>IF(IF(D919&lt;&gt;D918,1,IF(OR(B919&lt;&gt;B918,A919-A918&gt;$U$1),1,""))&lt;&gt;1,"",IF(C919="B01",1965,IF(C919="B02",1020,IF(C919="B05",2400,IF(C919="B03",4260,IF(C919="B04",2880,IF(C919="B20",1260,0)))))))</f>
        <v/>
      </c>
      <c r="F919" s="8" t="str">
        <f>IF(IF(D919&lt;&gt;D918,1,IF(OR(B919&lt;&gt;B918,A919-A918&gt;$U$1),1,""))&lt;&gt;1,"",IF(C919="B01",1,IF(C919="B05",1,IF(C919="B03",1,IF(C919="B04",1,IF(C919="B20",1,IF(C919="B02",1,0)))))))</f>
        <v/>
      </c>
      <c r="G919"/>
      <c r="H919" s="2"/>
      <c r="I919" s="2"/>
      <c r="L919"/>
      <c r="R919"/>
    </row>
    <row r="920" spans="1:18">
      <c r="A920" s="3">
        <v>45733.078993055555</v>
      </c>
      <c r="B920" s="2" t="s">
        <v>26</v>
      </c>
      <c r="C920" s="2" t="s">
        <v>11</v>
      </c>
      <c r="D920" s="6" t="str">
        <f>CONCATENATE(YEAR(A920),"/",IF(MONTH(A920)&lt;10,CONCATENATE("0",MONTH(A920)),MONTH(A920)))</f>
        <v>2025/03</v>
      </c>
      <c r="E920" s="8">
        <f>IF(IF(D920&lt;&gt;D919,1,IF(OR(B920&lt;&gt;B919,A920-A919&gt;$U$1),1,""))&lt;&gt;1,"",IF(C920="B01",1965,IF(C920="B02",1020,IF(C920="B05",2400,IF(C920="B03",4260,IF(C920="B04",2880,IF(C920="B20",1260,0)))))))</f>
        <v>2400</v>
      </c>
      <c r="F920" s="8">
        <f>IF(IF(D920&lt;&gt;D919,1,IF(OR(B920&lt;&gt;B919,A920-A919&gt;$U$1),1,""))&lt;&gt;1,"",IF(C920="B01",1,IF(C920="B05",1,IF(C920="B03",1,IF(C920="B04",1,IF(C920="B20",1,IF(C920="B02",1,0)))))))</f>
        <v>1</v>
      </c>
      <c r="G920"/>
      <c r="H920" s="2"/>
      <c r="I920" s="2"/>
      <c r="L920"/>
      <c r="R920"/>
    </row>
    <row r="921" spans="1:18">
      <c r="A921" s="3">
        <v>45733.078993055555</v>
      </c>
      <c r="B921" s="2" t="s">
        <v>26</v>
      </c>
      <c r="C921" s="2" t="s">
        <v>11</v>
      </c>
      <c r="D921" s="6" t="str">
        <f>CONCATENATE(YEAR(A921),"/",IF(MONTH(A921)&lt;10,CONCATENATE("0",MONTH(A921)),MONTH(A921)))</f>
        <v>2025/03</v>
      </c>
      <c r="E921" s="8" t="str">
        <f>IF(IF(D921&lt;&gt;D920,1,IF(OR(B921&lt;&gt;B920,A921-A920&gt;$U$1),1,""))&lt;&gt;1,"",IF(C921="B01",1965,IF(C921="B02",1020,IF(C921="B05",2400,IF(C921="B03",4260,IF(C921="B04",2880,IF(C921="B20",1260,0)))))))</f>
        <v/>
      </c>
      <c r="F921" s="8" t="str">
        <f>IF(IF(D921&lt;&gt;D920,1,IF(OR(B921&lt;&gt;B920,A921-A920&gt;$U$1),1,""))&lt;&gt;1,"",IF(C921="B01",1,IF(C921="B05",1,IF(C921="B03",1,IF(C921="B04",1,IF(C921="B20",1,IF(C921="B02",1,0)))))))</f>
        <v/>
      </c>
      <c r="G921"/>
      <c r="H921" s="2"/>
      <c r="I921" s="2"/>
      <c r="L921"/>
      <c r="R921"/>
    </row>
    <row r="922" spans="1:18">
      <c r="A922" s="3">
        <v>45733.589525462965</v>
      </c>
      <c r="B922" s="2" t="s">
        <v>26</v>
      </c>
      <c r="C922" s="2" t="s">
        <v>11</v>
      </c>
      <c r="D922" s="6" t="str">
        <f>CONCATENATE(YEAR(A922),"/",IF(MONTH(A922)&lt;10,CONCATENATE("0",MONTH(A922)),MONTH(A922)))</f>
        <v>2025/03</v>
      </c>
      <c r="E922" s="8">
        <f>IF(IF(D922&lt;&gt;D921,1,IF(OR(B922&lt;&gt;B921,A922-A921&gt;$U$1),1,""))&lt;&gt;1,"",IF(C922="B01",1965,IF(C922="B02",1020,IF(C922="B05",2400,IF(C922="B03",4260,IF(C922="B04",2880,IF(C922="B20",1260,0)))))))</f>
        <v>2400</v>
      </c>
      <c r="F922" s="8">
        <f>IF(IF(D922&lt;&gt;D921,1,IF(OR(B922&lt;&gt;B921,A922-A921&gt;$U$1),1,""))&lt;&gt;1,"",IF(C922="B01",1,IF(C922="B05",1,IF(C922="B03",1,IF(C922="B04",1,IF(C922="B20",1,IF(C922="B02",1,0)))))))</f>
        <v>1</v>
      </c>
      <c r="G922"/>
      <c r="H922" s="2"/>
      <c r="I922" s="2"/>
      <c r="L922"/>
      <c r="R922"/>
    </row>
    <row r="923" spans="1:18">
      <c r="A923" s="3">
        <v>45733.589525462965</v>
      </c>
      <c r="B923" s="2" t="s">
        <v>26</v>
      </c>
      <c r="C923" s="2" t="s">
        <v>11</v>
      </c>
      <c r="D923" s="6" t="str">
        <f>CONCATENATE(YEAR(A923),"/",IF(MONTH(A923)&lt;10,CONCATENATE("0",MONTH(A923)),MONTH(A923)))</f>
        <v>2025/03</v>
      </c>
      <c r="E923" s="8" t="str">
        <f>IF(IF(D923&lt;&gt;D922,1,IF(OR(B923&lt;&gt;B922,A923-A922&gt;$U$1),1,""))&lt;&gt;1,"",IF(C923="B01",1965,IF(C923="B02",1020,IF(C923="B05",2400,IF(C923="B03",4260,IF(C923="B04",2880,IF(C923="B20",1260,0)))))))</f>
        <v/>
      </c>
      <c r="F923" s="8" t="str">
        <f>IF(IF(D923&lt;&gt;D922,1,IF(OR(B923&lt;&gt;B922,A923-A922&gt;$U$1),1,""))&lt;&gt;1,"",IF(C923="B01",1,IF(C923="B05",1,IF(C923="B03",1,IF(C923="B04",1,IF(C923="B20",1,IF(C923="B02",1,0)))))))</f>
        <v/>
      </c>
      <c r="G923"/>
      <c r="H923" s="2"/>
      <c r="I923" s="2"/>
      <c r="L923"/>
      <c r="R923"/>
    </row>
    <row r="924" spans="1:18">
      <c r="A924" s="3">
        <v>45733.589525462965</v>
      </c>
      <c r="B924" s="2" t="s">
        <v>26</v>
      </c>
      <c r="C924" s="2" t="s">
        <v>11</v>
      </c>
      <c r="D924" s="6" t="str">
        <f>CONCATENATE(YEAR(A924),"/",IF(MONTH(A924)&lt;10,CONCATENATE("0",MONTH(A924)),MONTH(A924)))</f>
        <v>2025/03</v>
      </c>
      <c r="E924" s="8" t="str">
        <f>IF(IF(D924&lt;&gt;D923,1,IF(OR(B924&lt;&gt;B923,A924-A923&gt;$U$1),1,""))&lt;&gt;1,"",IF(C924="B01",1965,IF(C924="B02",1020,IF(C924="B05",2400,IF(C924="B03",4260,IF(C924="B04",2880,IF(C924="B20",1260,0)))))))</f>
        <v/>
      </c>
      <c r="F924" s="8" t="str">
        <f>IF(IF(D924&lt;&gt;D923,1,IF(OR(B924&lt;&gt;B923,A924-A923&gt;$U$1),1,""))&lt;&gt;1,"",IF(C924="B01",1,IF(C924="B05",1,IF(C924="B03",1,IF(C924="B04",1,IF(C924="B20",1,IF(C924="B02",1,0)))))))</f>
        <v/>
      </c>
      <c r="G924"/>
      <c r="H924" s="2"/>
      <c r="I924" s="2"/>
      <c r="L924"/>
      <c r="R924"/>
    </row>
    <row r="925" spans="1:18">
      <c r="A925" s="3">
        <v>45733.866550925923</v>
      </c>
      <c r="B925" s="2" t="s">
        <v>26</v>
      </c>
      <c r="C925" s="2" t="s">
        <v>11</v>
      </c>
      <c r="D925" s="6" t="str">
        <f>CONCATENATE(YEAR(A925),"/",IF(MONTH(A925)&lt;10,CONCATENATE("0",MONTH(A925)),MONTH(A925)))</f>
        <v>2025/03</v>
      </c>
      <c r="E925" s="8">
        <f>IF(IF(D925&lt;&gt;D924,1,IF(OR(B925&lt;&gt;B924,A925-A924&gt;$U$1),1,""))&lt;&gt;1,"",IF(C925="B01",1965,IF(C925="B02",1020,IF(C925="B05",2400,IF(C925="B03",4260,IF(C925="B04",2880,IF(C925="B20",1260,0)))))))</f>
        <v>2400</v>
      </c>
      <c r="F925" s="8">
        <f>IF(IF(D925&lt;&gt;D924,1,IF(OR(B925&lt;&gt;B924,A925-A924&gt;$U$1),1,""))&lt;&gt;1,"",IF(C925="B01",1,IF(C925="B05",1,IF(C925="B03",1,IF(C925="B04",1,IF(C925="B20",1,IF(C925="B02",1,0)))))))</f>
        <v>1</v>
      </c>
      <c r="G925"/>
      <c r="H925" s="2"/>
      <c r="I925" s="2"/>
      <c r="L925"/>
      <c r="R925"/>
    </row>
    <row r="926" spans="1:18">
      <c r="A926" s="3">
        <v>45733.866550925923</v>
      </c>
      <c r="B926" s="2" t="s">
        <v>26</v>
      </c>
      <c r="C926" s="2" t="s">
        <v>11</v>
      </c>
      <c r="D926" s="6" t="str">
        <f>CONCATENATE(YEAR(A926),"/",IF(MONTH(A926)&lt;10,CONCATENATE("0",MONTH(A926)),MONTH(A926)))</f>
        <v>2025/03</v>
      </c>
      <c r="E926" s="8" t="str">
        <f>IF(IF(D926&lt;&gt;D925,1,IF(OR(B926&lt;&gt;B925,A926-A925&gt;$U$1),1,""))&lt;&gt;1,"",IF(C926="B01",1965,IF(C926="B02",1020,IF(C926="B05",2400,IF(C926="B03",4260,IF(C926="B04",2880,IF(C926="B20",1260,0)))))))</f>
        <v/>
      </c>
      <c r="F926" s="8" t="str">
        <f>IF(IF(D926&lt;&gt;D925,1,IF(OR(B926&lt;&gt;B925,A926-A925&gt;$U$1),1,""))&lt;&gt;1,"",IF(C926="B01",1,IF(C926="B05",1,IF(C926="B03",1,IF(C926="B04",1,IF(C926="B20",1,IF(C926="B02",1,0)))))))</f>
        <v/>
      </c>
      <c r="G926"/>
      <c r="H926" s="2"/>
      <c r="I926" s="2"/>
      <c r="L926"/>
      <c r="R926"/>
    </row>
    <row r="927" spans="1:18">
      <c r="A927" s="3">
        <v>45733.866550925923</v>
      </c>
      <c r="B927" s="2" t="s">
        <v>26</v>
      </c>
      <c r="C927" s="2" t="s">
        <v>11</v>
      </c>
      <c r="D927" s="6" t="str">
        <f>CONCATENATE(YEAR(A927),"/",IF(MONTH(A927)&lt;10,CONCATENATE("0",MONTH(A927)),MONTH(A927)))</f>
        <v>2025/03</v>
      </c>
      <c r="E927" s="8" t="str">
        <f>IF(IF(D927&lt;&gt;D926,1,IF(OR(B927&lt;&gt;B926,A927-A926&gt;$U$1),1,""))&lt;&gt;1,"",IF(C927="B01",1965,IF(C927="B02",1020,IF(C927="B05",2400,IF(C927="B03",4260,IF(C927="B04",2880,IF(C927="B20",1260,0)))))))</f>
        <v/>
      </c>
      <c r="F927" s="8" t="str">
        <f>IF(IF(D927&lt;&gt;D926,1,IF(OR(B927&lt;&gt;B926,A927-A926&gt;$U$1),1,""))&lt;&gt;1,"",IF(C927="B01",1,IF(C927="B05",1,IF(C927="B03",1,IF(C927="B04",1,IF(C927="B20",1,IF(C927="B02",1,0)))))))</f>
        <v/>
      </c>
      <c r="G927"/>
      <c r="H927" s="2"/>
      <c r="I927" s="2"/>
      <c r="L927"/>
      <c r="R927"/>
    </row>
    <row r="928" spans="1:18">
      <c r="A928" s="3">
        <v>45734.117766203701</v>
      </c>
      <c r="B928" s="2" t="s">
        <v>26</v>
      </c>
      <c r="C928" s="2" t="s">
        <v>12</v>
      </c>
      <c r="D928" s="6" t="str">
        <f>CONCATENATE(YEAR(A928),"/",IF(MONTH(A928)&lt;10,CONCATENATE("0",MONTH(A928)),MONTH(A928)))</f>
        <v>2025/03</v>
      </c>
      <c r="E928" s="8">
        <f>IF(IF(D928&lt;&gt;D927,1,IF(OR(B928&lt;&gt;B927,A928-A927&gt;$U$1),1,""))&lt;&gt;1,"",IF(C928="B01",1965,IF(C928="B02",1020,IF(C928="B05",2400,IF(C928="B03",4260,IF(C928="B04",2880,IF(C928="B20",1260,0)))))))</f>
        <v>4260</v>
      </c>
      <c r="F928" s="8">
        <f>IF(IF(D928&lt;&gt;D927,1,IF(OR(B928&lt;&gt;B927,A928-A927&gt;$U$1),1,""))&lt;&gt;1,"",IF(C928="B01",1,IF(C928="B05",1,IF(C928="B03",1,IF(C928="B04",1,IF(C928="B20",1,IF(C928="B02",1,0)))))))</f>
        <v>1</v>
      </c>
      <c r="G928"/>
      <c r="H928" s="2"/>
      <c r="I928" s="2"/>
      <c r="L928"/>
      <c r="R928"/>
    </row>
    <row r="929" spans="1:18">
      <c r="A929" s="3">
        <v>45734.117766203701</v>
      </c>
      <c r="B929" s="2" t="s">
        <v>26</v>
      </c>
      <c r="C929" s="2" t="s">
        <v>12</v>
      </c>
      <c r="D929" s="6" t="str">
        <f>CONCATENATE(YEAR(A929),"/",IF(MONTH(A929)&lt;10,CONCATENATE("0",MONTH(A929)),MONTH(A929)))</f>
        <v>2025/03</v>
      </c>
      <c r="E929" s="8" t="str">
        <f>IF(IF(D929&lt;&gt;D928,1,IF(OR(B929&lt;&gt;B928,A929-A928&gt;$U$1),1,""))&lt;&gt;1,"",IF(C929="B01",1965,IF(C929="B02",1020,IF(C929="B05",2400,IF(C929="B03",4260,IF(C929="B04",2880,IF(C929="B20",1260,0)))))))</f>
        <v/>
      </c>
      <c r="F929" s="8" t="str">
        <f>IF(IF(D929&lt;&gt;D928,1,IF(OR(B929&lt;&gt;B928,A929-A928&gt;$U$1),1,""))&lt;&gt;1,"",IF(C929="B01",1,IF(C929="B05",1,IF(C929="B03",1,IF(C929="B04",1,IF(C929="B20",1,IF(C929="B02",1,0)))))))</f>
        <v/>
      </c>
      <c r="G929"/>
      <c r="H929" s="2"/>
      <c r="I929" s="2"/>
      <c r="L929"/>
      <c r="R929"/>
    </row>
    <row r="930" spans="1:18">
      <c r="A930" s="3">
        <v>45734.117766203701</v>
      </c>
      <c r="B930" s="2" t="s">
        <v>26</v>
      </c>
      <c r="C930" s="2" t="s">
        <v>12</v>
      </c>
      <c r="D930" s="6" t="str">
        <f>CONCATENATE(YEAR(A930),"/",IF(MONTH(A930)&lt;10,CONCATENATE("0",MONTH(A930)),MONTH(A930)))</f>
        <v>2025/03</v>
      </c>
      <c r="E930" s="8" t="str">
        <f>IF(IF(D930&lt;&gt;D929,1,IF(OR(B930&lt;&gt;B929,A930-A929&gt;$U$1),1,""))&lt;&gt;1,"",IF(C930="B01",1965,IF(C930="B02",1020,IF(C930="B05",2400,IF(C930="B03",4260,IF(C930="B04",2880,IF(C930="B20",1260,0)))))))</f>
        <v/>
      </c>
      <c r="F930" s="8" t="str">
        <f>IF(IF(D930&lt;&gt;D929,1,IF(OR(B930&lt;&gt;B929,A930-A929&gt;$U$1),1,""))&lt;&gt;1,"",IF(C930="B01",1,IF(C930="B05",1,IF(C930="B03",1,IF(C930="B04",1,IF(C930="B20",1,IF(C930="B02",1,0)))))))</f>
        <v/>
      </c>
      <c r="G930"/>
      <c r="H930" s="2"/>
      <c r="I930" s="2"/>
      <c r="L930"/>
      <c r="R930"/>
    </row>
    <row r="931" spans="1:18">
      <c r="A931" s="3">
        <v>45734.882245370369</v>
      </c>
      <c r="B931" s="2" t="s">
        <v>26</v>
      </c>
      <c r="C931" s="2" t="s">
        <v>12</v>
      </c>
      <c r="D931" s="6" t="str">
        <f>CONCATENATE(YEAR(A931),"/",IF(MONTH(A931)&lt;10,CONCATENATE("0",MONTH(A931)),MONTH(A931)))</f>
        <v>2025/03</v>
      </c>
      <c r="E931" s="8">
        <f>IF(IF(D931&lt;&gt;D930,1,IF(OR(B931&lt;&gt;B930,A931-A930&gt;$U$1),1,""))&lt;&gt;1,"",IF(C931="B01",1965,IF(C931="B02",1020,IF(C931="B05",2400,IF(C931="B03",4260,IF(C931="B04",2880,IF(C931="B20",1260,0)))))))</f>
        <v>4260</v>
      </c>
      <c r="F931" s="8">
        <f>IF(IF(D931&lt;&gt;D930,1,IF(OR(B931&lt;&gt;B930,A931-A930&gt;$U$1),1,""))&lt;&gt;1,"",IF(C931="B01",1,IF(C931="B05",1,IF(C931="B03",1,IF(C931="B04",1,IF(C931="B20",1,IF(C931="B02",1,0)))))))</f>
        <v>1</v>
      </c>
      <c r="G931"/>
      <c r="H931" s="2"/>
      <c r="I931" s="2"/>
      <c r="L931"/>
      <c r="R931"/>
    </row>
    <row r="932" spans="1:18">
      <c r="A932" s="3">
        <v>45734.882245370369</v>
      </c>
      <c r="B932" s="2" t="s">
        <v>26</v>
      </c>
      <c r="C932" s="2" t="s">
        <v>12</v>
      </c>
      <c r="D932" s="6" t="str">
        <f>CONCATENATE(YEAR(A932),"/",IF(MONTH(A932)&lt;10,CONCATENATE("0",MONTH(A932)),MONTH(A932)))</f>
        <v>2025/03</v>
      </c>
      <c r="E932" s="8" t="str">
        <f>IF(IF(D932&lt;&gt;D931,1,IF(OR(B932&lt;&gt;B931,A932-A931&gt;$U$1),1,""))&lt;&gt;1,"",IF(C932="B01",1965,IF(C932="B02",1020,IF(C932="B05",2400,IF(C932="B03",4260,IF(C932="B04",2880,IF(C932="B20",1260,0)))))))</f>
        <v/>
      </c>
      <c r="F932" s="8" t="str">
        <f>IF(IF(D932&lt;&gt;D931,1,IF(OR(B932&lt;&gt;B931,A932-A931&gt;$U$1),1,""))&lt;&gt;1,"",IF(C932="B01",1,IF(C932="B05",1,IF(C932="B03",1,IF(C932="B04",1,IF(C932="B20",1,IF(C932="B02",1,0)))))))</f>
        <v/>
      </c>
      <c r="G932"/>
      <c r="H932" s="2"/>
      <c r="I932" s="2"/>
      <c r="L932"/>
      <c r="R932"/>
    </row>
    <row r="933" spans="1:18">
      <c r="A933" s="3">
        <v>45734.882245370369</v>
      </c>
      <c r="B933" s="2" t="s">
        <v>26</v>
      </c>
      <c r="C933" s="2" t="s">
        <v>12</v>
      </c>
      <c r="D933" s="6" t="str">
        <f>CONCATENATE(YEAR(A933),"/",IF(MONTH(A933)&lt;10,CONCATENATE("0",MONTH(A933)),MONTH(A933)))</f>
        <v>2025/03</v>
      </c>
      <c r="E933" s="8" t="str">
        <f>IF(IF(D933&lt;&gt;D932,1,IF(OR(B933&lt;&gt;B932,A933-A932&gt;$U$1),1,""))&lt;&gt;1,"",IF(C933="B01",1965,IF(C933="B02",1020,IF(C933="B05",2400,IF(C933="B03",4260,IF(C933="B04",2880,IF(C933="B20",1260,0)))))))</f>
        <v/>
      </c>
      <c r="F933" s="8" t="str">
        <f>IF(IF(D933&lt;&gt;D932,1,IF(OR(B933&lt;&gt;B932,A933-A932&gt;$U$1),1,""))&lt;&gt;1,"",IF(C933="B01",1,IF(C933="B05",1,IF(C933="B03",1,IF(C933="B04",1,IF(C933="B20",1,IF(C933="B02",1,0)))))))</f>
        <v/>
      </c>
      <c r="G933"/>
      <c r="H933" s="2"/>
      <c r="I933" s="2"/>
      <c r="L933"/>
      <c r="R933"/>
    </row>
    <row r="934" spans="1:18">
      <c r="A934" s="3">
        <v>45734.882245370369</v>
      </c>
      <c r="B934" s="2" t="s">
        <v>26</v>
      </c>
      <c r="C934" s="2" t="s">
        <v>12</v>
      </c>
      <c r="D934" s="6" t="str">
        <f>CONCATENATE(YEAR(A934),"/",IF(MONTH(A934)&lt;10,CONCATENATE("0",MONTH(A934)),MONTH(A934)))</f>
        <v>2025/03</v>
      </c>
      <c r="E934" s="8" t="str">
        <f>IF(IF(D934&lt;&gt;D933,1,IF(OR(B934&lt;&gt;B933,A934-A933&gt;$U$1),1,""))&lt;&gt;1,"",IF(C934="B01",1965,IF(C934="B02",1020,IF(C934="B05",2400,IF(C934="B03",4260,IF(C934="B04",2880,IF(C934="B20",1260,0)))))))</f>
        <v/>
      </c>
      <c r="F934" s="8" t="str">
        <f>IF(IF(D934&lt;&gt;D933,1,IF(OR(B934&lt;&gt;B933,A934-A933&gt;$U$1),1,""))&lt;&gt;1,"",IF(C934="B01",1,IF(C934="B05",1,IF(C934="B03",1,IF(C934="B04",1,IF(C934="B20",1,IF(C934="B02",1,0)))))))</f>
        <v/>
      </c>
      <c r="G934"/>
      <c r="H934" s="2"/>
      <c r="I934" s="2"/>
      <c r="L934"/>
      <c r="R934"/>
    </row>
    <row r="935" spans="1:18">
      <c r="A935" s="3">
        <v>45735.343472222223</v>
      </c>
      <c r="B935" s="2" t="s">
        <v>26</v>
      </c>
      <c r="C935" s="2" t="s">
        <v>12</v>
      </c>
      <c r="D935" s="6" t="str">
        <f>CONCATENATE(YEAR(A935),"/",IF(MONTH(A935)&lt;10,CONCATENATE("0",MONTH(A935)),MONTH(A935)))</f>
        <v>2025/03</v>
      </c>
      <c r="E935" s="8">
        <f>IF(IF(D935&lt;&gt;D934,1,IF(OR(B935&lt;&gt;B934,A935-A934&gt;$U$1),1,""))&lt;&gt;1,"",IF(C935="B01",1965,IF(C935="B02",1020,IF(C935="B05",2400,IF(C935="B03",4260,IF(C935="B04",2880,IF(C935="B20",1260,0)))))))</f>
        <v>4260</v>
      </c>
      <c r="F935" s="8">
        <f>IF(IF(D935&lt;&gt;D934,1,IF(OR(B935&lt;&gt;B934,A935-A934&gt;$U$1),1,""))&lt;&gt;1,"",IF(C935="B01",1,IF(C935="B05",1,IF(C935="B03",1,IF(C935="B04",1,IF(C935="B20",1,IF(C935="B02",1,0)))))))</f>
        <v>1</v>
      </c>
      <c r="G935"/>
      <c r="H935" s="2"/>
      <c r="I935" s="2"/>
      <c r="L935"/>
      <c r="R935"/>
    </row>
    <row r="936" spans="1:18">
      <c r="A936" s="3">
        <v>45735.343472222223</v>
      </c>
      <c r="B936" s="2" t="s">
        <v>26</v>
      </c>
      <c r="C936" s="2" t="s">
        <v>12</v>
      </c>
      <c r="D936" s="6" t="str">
        <f>CONCATENATE(YEAR(A936),"/",IF(MONTH(A936)&lt;10,CONCATENATE("0",MONTH(A936)),MONTH(A936)))</f>
        <v>2025/03</v>
      </c>
      <c r="E936" s="8" t="str">
        <f>IF(IF(D936&lt;&gt;D935,1,IF(OR(B936&lt;&gt;B935,A936-A935&gt;$U$1),1,""))&lt;&gt;1,"",IF(C936="B01",1965,IF(C936="B02",1020,IF(C936="B05",2400,IF(C936="B03",4260,IF(C936="B04",2880,IF(C936="B20",1260,0)))))))</f>
        <v/>
      </c>
      <c r="F936" s="8" t="str">
        <f>IF(IF(D936&lt;&gt;D935,1,IF(OR(B936&lt;&gt;B935,A936-A935&gt;$U$1),1,""))&lt;&gt;1,"",IF(C936="B01",1,IF(C936="B05",1,IF(C936="B03",1,IF(C936="B04",1,IF(C936="B20",1,IF(C936="B02",1,0)))))))</f>
        <v/>
      </c>
      <c r="G936"/>
      <c r="H936" s="2"/>
      <c r="I936" s="2"/>
      <c r="L936"/>
      <c r="R936"/>
    </row>
    <row r="937" spans="1:18">
      <c r="A937" s="3">
        <v>45735.756122685183</v>
      </c>
      <c r="B937" s="2" t="s">
        <v>26</v>
      </c>
      <c r="C937" s="2" t="s">
        <v>11</v>
      </c>
      <c r="D937" s="6" t="str">
        <f>CONCATENATE(YEAR(A937),"/",IF(MONTH(A937)&lt;10,CONCATENATE("0",MONTH(A937)),MONTH(A937)))</f>
        <v>2025/03</v>
      </c>
      <c r="E937" s="8">
        <f>IF(IF(D937&lt;&gt;D936,1,IF(OR(B937&lt;&gt;B936,A937-A936&gt;$U$1),1,""))&lt;&gt;1,"",IF(C937="B01",1965,IF(C937="B02",1020,IF(C937="B05",2400,IF(C937="B03",4260,IF(C937="B04",2880,IF(C937="B20",1260,0)))))))</f>
        <v>2400</v>
      </c>
      <c r="F937" s="8">
        <f>IF(IF(D937&lt;&gt;D936,1,IF(OR(B937&lt;&gt;B936,A937-A936&gt;$U$1),1,""))&lt;&gt;1,"",IF(C937="B01",1,IF(C937="B05",1,IF(C937="B03",1,IF(C937="B04",1,IF(C937="B20",1,IF(C937="B02",1,0)))))))</f>
        <v>1</v>
      </c>
      <c r="G937"/>
      <c r="H937" s="2"/>
      <c r="I937" s="2"/>
      <c r="L937"/>
      <c r="R937"/>
    </row>
    <row r="938" spans="1:18">
      <c r="A938" s="3">
        <v>45735.756122685183</v>
      </c>
      <c r="B938" s="2" t="s">
        <v>26</v>
      </c>
      <c r="C938" s="2" t="s">
        <v>11</v>
      </c>
      <c r="D938" s="6" t="str">
        <f>CONCATENATE(YEAR(A938),"/",IF(MONTH(A938)&lt;10,CONCATENATE("0",MONTH(A938)),MONTH(A938)))</f>
        <v>2025/03</v>
      </c>
      <c r="E938" s="8" t="str">
        <f>IF(IF(D938&lt;&gt;D937,1,IF(OR(B938&lt;&gt;B937,A938-A937&gt;$U$1),1,""))&lt;&gt;1,"",IF(C938="B01",1965,IF(C938="B02",1020,IF(C938="B05",2400,IF(C938="B03",4260,IF(C938="B04",2880,IF(C938="B20",1260,0)))))))</f>
        <v/>
      </c>
      <c r="F938" s="8" t="str">
        <f>IF(IF(D938&lt;&gt;D937,1,IF(OR(B938&lt;&gt;B937,A938-A937&gt;$U$1),1,""))&lt;&gt;1,"",IF(C938="B01",1,IF(C938="B05",1,IF(C938="B03",1,IF(C938="B04",1,IF(C938="B20",1,IF(C938="B02",1,0)))))))</f>
        <v/>
      </c>
      <c r="G938"/>
      <c r="H938" s="2"/>
      <c r="I938" s="2"/>
      <c r="L938"/>
      <c r="R938"/>
    </row>
    <row r="939" spans="1:18">
      <c r="A939" s="3">
        <v>45735.887256944443</v>
      </c>
      <c r="B939" s="2" t="s">
        <v>26</v>
      </c>
      <c r="C939" s="2" t="s">
        <v>11</v>
      </c>
      <c r="D939" s="6" t="str">
        <f>CONCATENATE(YEAR(A939),"/",IF(MONTH(A939)&lt;10,CONCATENATE("0",MONTH(A939)),MONTH(A939)))</f>
        <v>2025/03</v>
      </c>
      <c r="E939" s="8">
        <f>IF(IF(D939&lt;&gt;D938,1,IF(OR(B939&lt;&gt;B938,A939-A938&gt;$U$1),1,""))&lt;&gt;1,"",IF(C939="B01",1965,IF(C939="B02",1020,IF(C939="B05",2400,IF(C939="B03",4260,IF(C939="B04",2880,IF(C939="B20",1260,0)))))))</f>
        <v>2400</v>
      </c>
      <c r="F939" s="8">
        <f>IF(IF(D939&lt;&gt;D938,1,IF(OR(B939&lt;&gt;B938,A939-A938&gt;$U$1),1,""))&lt;&gt;1,"",IF(C939="B01",1,IF(C939="B05",1,IF(C939="B03",1,IF(C939="B04",1,IF(C939="B20",1,IF(C939="B02",1,0)))))))</f>
        <v>1</v>
      </c>
      <c r="G939"/>
      <c r="H939" s="2"/>
      <c r="I939" s="2"/>
      <c r="L939"/>
      <c r="R939"/>
    </row>
    <row r="940" spans="1:18">
      <c r="A940" s="3">
        <v>45735.887256944443</v>
      </c>
      <c r="B940" s="2" t="s">
        <v>26</v>
      </c>
      <c r="C940" s="2" t="s">
        <v>11</v>
      </c>
      <c r="D940" s="6" t="str">
        <f>CONCATENATE(YEAR(A940),"/",IF(MONTH(A940)&lt;10,CONCATENATE("0",MONTH(A940)),MONTH(A940)))</f>
        <v>2025/03</v>
      </c>
      <c r="E940" s="8" t="str">
        <f>IF(IF(D940&lt;&gt;D939,1,IF(OR(B940&lt;&gt;B939,A940-A939&gt;$U$1),1,""))&lt;&gt;1,"",IF(C940="B01",1965,IF(C940="B02",1020,IF(C940="B05",2400,IF(C940="B03",4260,IF(C940="B04",2880,IF(C940="B20",1260,0)))))))</f>
        <v/>
      </c>
      <c r="F940" s="8" t="str">
        <f>IF(IF(D940&lt;&gt;D939,1,IF(OR(B940&lt;&gt;B939,A940-A939&gt;$U$1),1,""))&lt;&gt;1,"",IF(C940="B01",1,IF(C940="B05",1,IF(C940="B03",1,IF(C940="B04",1,IF(C940="B20",1,IF(C940="B02",1,0)))))))</f>
        <v/>
      </c>
      <c r="G940"/>
      <c r="H940" s="2"/>
      <c r="I940" s="2"/>
      <c r="L940"/>
      <c r="R940"/>
    </row>
    <row r="941" spans="1:18">
      <c r="A941" s="3">
        <v>45736.317314814813</v>
      </c>
      <c r="B941" s="2" t="s">
        <v>26</v>
      </c>
      <c r="C941" s="2" t="s">
        <v>11</v>
      </c>
      <c r="D941" s="6" t="str">
        <f>CONCATENATE(YEAR(A941),"/",IF(MONTH(A941)&lt;10,CONCATENATE("0",MONTH(A941)),MONTH(A941)))</f>
        <v>2025/03</v>
      </c>
      <c r="E941" s="8">
        <f>IF(IF(D941&lt;&gt;D940,1,IF(OR(B941&lt;&gt;B940,A941-A940&gt;$U$1),1,""))&lt;&gt;1,"",IF(C941="B01",1965,IF(C941="B02",1020,IF(C941="B05",2400,IF(C941="B03",4260,IF(C941="B04",2880,IF(C941="B20",1260,0)))))))</f>
        <v>2400</v>
      </c>
      <c r="F941" s="8">
        <f>IF(IF(D941&lt;&gt;D940,1,IF(OR(B941&lt;&gt;B940,A941-A940&gt;$U$1),1,""))&lt;&gt;1,"",IF(C941="B01",1,IF(C941="B05",1,IF(C941="B03",1,IF(C941="B04",1,IF(C941="B20",1,IF(C941="B02",1,0)))))))</f>
        <v>1</v>
      </c>
      <c r="G941"/>
      <c r="H941" s="2"/>
      <c r="I941" s="2"/>
      <c r="L941"/>
      <c r="R941"/>
    </row>
    <row r="942" spans="1:18">
      <c r="A942" s="3">
        <v>45736.317314814813</v>
      </c>
      <c r="B942" s="2" t="s">
        <v>26</v>
      </c>
      <c r="C942" s="2" t="s">
        <v>11</v>
      </c>
      <c r="D942" s="6" t="str">
        <f>CONCATENATE(YEAR(A942),"/",IF(MONTH(A942)&lt;10,CONCATENATE("0",MONTH(A942)),MONTH(A942)))</f>
        <v>2025/03</v>
      </c>
      <c r="E942" s="8" t="str">
        <f>IF(IF(D942&lt;&gt;D941,1,IF(OR(B942&lt;&gt;B941,A942-A941&gt;$U$1),1,""))&lt;&gt;1,"",IF(C942="B01",1965,IF(C942="B02",1020,IF(C942="B05",2400,IF(C942="B03",4260,IF(C942="B04",2880,IF(C942="B20",1260,0)))))))</f>
        <v/>
      </c>
      <c r="F942" s="8" t="str">
        <f>IF(IF(D942&lt;&gt;D941,1,IF(OR(B942&lt;&gt;B941,A942-A941&gt;$U$1),1,""))&lt;&gt;1,"",IF(C942="B01",1,IF(C942="B05",1,IF(C942="B03",1,IF(C942="B04",1,IF(C942="B20",1,IF(C942="B02",1,0)))))))</f>
        <v/>
      </c>
      <c r="G942"/>
      <c r="H942" s="2"/>
      <c r="I942" s="2"/>
      <c r="L942"/>
      <c r="R942"/>
    </row>
    <row r="943" spans="1:18">
      <c r="A943" s="3">
        <v>45736.553784722222</v>
      </c>
      <c r="B943" s="2" t="s">
        <v>26</v>
      </c>
      <c r="C943" s="2" t="s">
        <v>12</v>
      </c>
      <c r="D943" s="6" t="str">
        <f>CONCATENATE(YEAR(A943),"/",IF(MONTH(A943)&lt;10,CONCATENATE("0",MONTH(A943)),MONTH(A943)))</f>
        <v>2025/03</v>
      </c>
      <c r="E943" s="8">
        <f>IF(IF(D943&lt;&gt;D942,1,IF(OR(B943&lt;&gt;B942,A943-A942&gt;$U$1),1,""))&lt;&gt;1,"",IF(C943="B01",1965,IF(C943="B02",1020,IF(C943="B05",2400,IF(C943="B03",4260,IF(C943="B04",2880,IF(C943="B20",1260,0)))))))</f>
        <v>4260</v>
      </c>
      <c r="F943" s="8">
        <f>IF(IF(D943&lt;&gt;D942,1,IF(OR(B943&lt;&gt;B942,A943-A942&gt;$U$1),1,""))&lt;&gt;1,"",IF(C943="B01",1,IF(C943="B05",1,IF(C943="B03",1,IF(C943="B04",1,IF(C943="B20",1,IF(C943="B02",1,0)))))))</f>
        <v>1</v>
      </c>
      <c r="G943"/>
      <c r="H943" s="2"/>
      <c r="I943" s="2"/>
      <c r="L943"/>
      <c r="R943"/>
    </row>
    <row r="944" spans="1:18">
      <c r="A944" s="3">
        <v>45736.553784722222</v>
      </c>
      <c r="B944" s="2" t="s">
        <v>26</v>
      </c>
      <c r="C944" s="2" t="s">
        <v>12</v>
      </c>
      <c r="D944" s="6" t="str">
        <f>CONCATENATE(YEAR(A944),"/",IF(MONTH(A944)&lt;10,CONCATENATE("0",MONTH(A944)),MONTH(A944)))</f>
        <v>2025/03</v>
      </c>
      <c r="E944" s="8" t="str">
        <f>IF(IF(D944&lt;&gt;D943,1,IF(OR(B944&lt;&gt;B943,A944-A943&gt;$U$1),1,""))&lt;&gt;1,"",IF(C944="B01",1965,IF(C944="B02",1020,IF(C944="B05",2400,IF(C944="B03",4260,IF(C944="B04",2880,IF(C944="B20",1260,0)))))))</f>
        <v/>
      </c>
      <c r="F944" s="8" t="str">
        <f>IF(IF(D944&lt;&gt;D943,1,IF(OR(B944&lt;&gt;B943,A944-A943&gt;$U$1),1,""))&lt;&gt;1,"",IF(C944="B01",1,IF(C944="B05",1,IF(C944="B03",1,IF(C944="B04",1,IF(C944="B20",1,IF(C944="B02",1,0)))))))</f>
        <v/>
      </c>
      <c r="G944"/>
      <c r="H944" s="2"/>
      <c r="I944" s="2"/>
      <c r="L944"/>
      <c r="R944"/>
    </row>
    <row r="945" spans="1:18">
      <c r="A945" s="3">
        <v>45736.74077546296</v>
      </c>
      <c r="B945" s="2" t="s">
        <v>26</v>
      </c>
      <c r="C945" s="2" t="s">
        <v>12</v>
      </c>
      <c r="D945" s="6" t="str">
        <f>CONCATENATE(YEAR(A945),"/",IF(MONTH(A945)&lt;10,CONCATENATE("0",MONTH(A945)),MONTH(A945)))</f>
        <v>2025/03</v>
      </c>
      <c r="E945" s="8">
        <f>IF(IF(D945&lt;&gt;D944,1,IF(OR(B945&lt;&gt;B944,A945-A944&gt;$U$1),1,""))&lt;&gt;1,"",IF(C945="B01",1965,IF(C945="B02",1020,IF(C945="B05",2400,IF(C945="B03",4260,IF(C945="B04",2880,IF(C945="B20",1260,0)))))))</f>
        <v>4260</v>
      </c>
      <c r="F945" s="8">
        <f>IF(IF(D945&lt;&gt;D944,1,IF(OR(B945&lt;&gt;B944,A945-A944&gt;$U$1),1,""))&lt;&gt;1,"",IF(C945="B01",1,IF(C945="B05",1,IF(C945="B03",1,IF(C945="B04",1,IF(C945="B20",1,IF(C945="B02",1,0)))))))</f>
        <v>1</v>
      </c>
      <c r="G945"/>
      <c r="H945" s="2"/>
      <c r="I945" s="2"/>
      <c r="L945"/>
      <c r="R945"/>
    </row>
    <row r="946" spans="1:18">
      <c r="A946" s="3">
        <v>45736.74077546296</v>
      </c>
      <c r="B946" s="2" t="s">
        <v>26</v>
      </c>
      <c r="C946" s="2" t="s">
        <v>12</v>
      </c>
      <c r="D946" s="6" t="str">
        <f>CONCATENATE(YEAR(A946),"/",IF(MONTH(A946)&lt;10,CONCATENATE("0",MONTH(A946)),MONTH(A946)))</f>
        <v>2025/03</v>
      </c>
      <c r="E946" s="8" t="str">
        <f>IF(IF(D946&lt;&gt;D945,1,IF(OR(B946&lt;&gt;B945,A946-A945&gt;$U$1),1,""))&lt;&gt;1,"",IF(C946="B01",1965,IF(C946="B02",1020,IF(C946="B05",2400,IF(C946="B03",4260,IF(C946="B04",2880,IF(C946="B20",1260,0)))))))</f>
        <v/>
      </c>
      <c r="F946" s="8" t="str">
        <f>IF(IF(D946&lt;&gt;D945,1,IF(OR(B946&lt;&gt;B945,A946-A945&gt;$U$1),1,""))&lt;&gt;1,"",IF(C946="B01",1,IF(C946="B05",1,IF(C946="B03",1,IF(C946="B04",1,IF(C946="B20",1,IF(C946="B02",1,0)))))))</f>
        <v/>
      </c>
      <c r="G946"/>
      <c r="H946" s="2"/>
      <c r="I946" s="2"/>
      <c r="L946"/>
      <c r="R946"/>
    </row>
    <row r="947" spans="1:18">
      <c r="A947" s="3">
        <v>45736.946388888886</v>
      </c>
      <c r="B947" s="2" t="s">
        <v>26</v>
      </c>
      <c r="C947" s="2" t="s">
        <v>11</v>
      </c>
      <c r="D947" s="6" t="str">
        <f>CONCATENATE(YEAR(A947),"/",IF(MONTH(A947)&lt;10,CONCATENATE("0",MONTH(A947)),MONTH(A947)))</f>
        <v>2025/03</v>
      </c>
      <c r="E947" s="8">
        <f>IF(IF(D947&lt;&gt;D946,1,IF(OR(B947&lt;&gt;B946,A947-A946&gt;$U$1),1,""))&lt;&gt;1,"",IF(C947="B01",1965,IF(C947="B02",1020,IF(C947="B05",2400,IF(C947="B03",4260,IF(C947="B04",2880,IF(C947="B20",1260,0)))))))</f>
        <v>2400</v>
      </c>
      <c r="F947" s="8">
        <f>IF(IF(D947&lt;&gt;D946,1,IF(OR(B947&lt;&gt;B946,A947-A946&gt;$U$1),1,""))&lt;&gt;1,"",IF(C947="B01",1,IF(C947="B05",1,IF(C947="B03",1,IF(C947="B04",1,IF(C947="B20",1,IF(C947="B02",1,0)))))))</f>
        <v>1</v>
      </c>
      <c r="G947"/>
      <c r="H947" s="2"/>
      <c r="I947" s="2"/>
      <c r="L947"/>
      <c r="R947"/>
    </row>
    <row r="948" spans="1:18">
      <c r="A948" s="3">
        <v>45736.946388888886</v>
      </c>
      <c r="B948" s="2" t="s">
        <v>26</v>
      </c>
      <c r="C948" s="2" t="s">
        <v>11</v>
      </c>
      <c r="D948" s="6" t="str">
        <f>CONCATENATE(YEAR(A948),"/",IF(MONTH(A948)&lt;10,CONCATENATE("0",MONTH(A948)),MONTH(A948)))</f>
        <v>2025/03</v>
      </c>
      <c r="E948" s="8" t="str">
        <f>IF(IF(D948&lt;&gt;D947,1,IF(OR(B948&lt;&gt;B947,A948-A947&gt;$U$1),1,""))&lt;&gt;1,"",IF(C948="B01",1965,IF(C948="B02",1020,IF(C948="B05",2400,IF(C948="B03",4260,IF(C948="B04",2880,IF(C948="B20",1260,0)))))))</f>
        <v/>
      </c>
      <c r="F948" s="8" t="str">
        <f>IF(IF(D948&lt;&gt;D947,1,IF(OR(B948&lt;&gt;B947,A948-A947&gt;$U$1),1,""))&lt;&gt;1,"",IF(C948="B01",1,IF(C948="B05",1,IF(C948="B03",1,IF(C948="B04",1,IF(C948="B20",1,IF(C948="B02",1,0)))))))</f>
        <v/>
      </c>
      <c r="G948"/>
      <c r="H948" s="2"/>
      <c r="I948" s="2"/>
      <c r="L948"/>
      <c r="R948"/>
    </row>
    <row r="949" spans="1:18">
      <c r="A949" s="3">
        <v>45736.946388888886</v>
      </c>
      <c r="B949" s="2" t="s">
        <v>26</v>
      </c>
      <c r="C949" s="2" t="s">
        <v>11</v>
      </c>
      <c r="D949" s="6" t="str">
        <f>CONCATENATE(YEAR(A949),"/",IF(MONTH(A949)&lt;10,CONCATENATE("0",MONTH(A949)),MONTH(A949)))</f>
        <v>2025/03</v>
      </c>
      <c r="E949" s="8" t="str">
        <f>IF(IF(D949&lt;&gt;D948,1,IF(OR(B949&lt;&gt;B948,A949-A948&gt;$U$1),1,""))&lt;&gt;1,"",IF(C949="B01",1965,IF(C949="B02",1020,IF(C949="B05",2400,IF(C949="B03",4260,IF(C949="B04",2880,IF(C949="B20",1260,0)))))))</f>
        <v/>
      </c>
      <c r="F949" s="8" t="str">
        <f>IF(IF(D949&lt;&gt;D948,1,IF(OR(B949&lt;&gt;B948,A949-A948&gt;$U$1),1,""))&lt;&gt;1,"",IF(C949="B01",1,IF(C949="B05",1,IF(C949="B03",1,IF(C949="B04",1,IF(C949="B20",1,IF(C949="B02",1,0)))))))</f>
        <v/>
      </c>
      <c r="G949"/>
      <c r="H949" s="2"/>
      <c r="I949" s="2"/>
      <c r="L949"/>
      <c r="R949"/>
    </row>
    <row r="950" spans="1:18">
      <c r="A950" s="3">
        <v>45737.273935185185</v>
      </c>
      <c r="B950" s="2" t="s">
        <v>26</v>
      </c>
      <c r="C950" s="2" t="s">
        <v>11</v>
      </c>
      <c r="D950" s="6" t="str">
        <f>CONCATENATE(YEAR(A950),"/",IF(MONTH(A950)&lt;10,CONCATENATE("0",MONTH(A950)),MONTH(A950)))</f>
        <v>2025/03</v>
      </c>
      <c r="E950" s="8">
        <f>IF(IF(D950&lt;&gt;D949,1,IF(OR(B950&lt;&gt;B949,A950-A949&gt;$U$1),1,""))&lt;&gt;1,"",IF(C950="B01",1965,IF(C950="B02",1020,IF(C950="B05",2400,IF(C950="B03",4260,IF(C950="B04",2880,IF(C950="B20",1260,0)))))))</f>
        <v>2400</v>
      </c>
      <c r="F950" s="8">
        <f>IF(IF(D950&lt;&gt;D949,1,IF(OR(B950&lt;&gt;B949,A950-A949&gt;$U$1),1,""))&lt;&gt;1,"",IF(C950="B01",1,IF(C950="B05",1,IF(C950="B03",1,IF(C950="B04",1,IF(C950="B20",1,IF(C950="B02",1,0)))))))</f>
        <v>1</v>
      </c>
      <c r="G950"/>
      <c r="H950" s="2"/>
      <c r="I950" s="2"/>
      <c r="L950"/>
      <c r="R950"/>
    </row>
    <row r="951" spans="1:18">
      <c r="A951" s="3">
        <v>45737.273935185185</v>
      </c>
      <c r="B951" s="2" t="s">
        <v>26</v>
      </c>
      <c r="C951" s="2" t="s">
        <v>11</v>
      </c>
      <c r="D951" s="6" t="str">
        <f>CONCATENATE(YEAR(A951),"/",IF(MONTH(A951)&lt;10,CONCATENATE("0",MONTH(A951)),MONTH(A951)))</f>
        <v>2025/03</v>
      </c>
      <c r="E951" s="8" t="str">
        <f>IF(IF(D951&lt;&gt;D950,1,IF(OR(B951&lt;&gt;B950,A951-A950&gt;$U$1),1,""))&lt;&gt;1,"",IF(C951="B01",1965,IF(C951="B02",1020,IF(C951="B05",2400,IF(C951="B03",4260,IF(C951="B04",2880,IF(C951="B20",1260,0)))))))</f>
        <v/>
      </c>
      <c r="F951" s="8" t="str">
        <f>IF(IF(D951&lt;&gt;D950,1,IF(OR(B951&lt;&gt;B950,A951-A950&gt;$U$1),1,""))&lt;&gt;1,"",IF(C951="B01",1,IF(C951="B05",1,IF(C951="B03",1,IF(C951="B04",1,IF(C951="B20",1,IF(C951="B02",1,0)))))))</f>
        <v/>
      </c>
      <c r="G951"/>
      <c r="H951" s="2"/>
      <c r="I951" s="2"/>
      <c r="L951"/>
      <c r="R951"/>
    </row>
    <row r="952" spans="1:18">
      <c r="A952" s="3">
        <v>45737.273935185185</v>
      </c>
      <c r="B952" s="2" t="s">
        <v>26</v>
      </c>
      <c r="C952" s="2" t="s">
        <v>11</v>
      </c>
      <c r="D952" s="6" t="str">
        <f>CONCATENATE(YEAR(A952),"/",IF(MONTH(A952)&lt;10,CONCATENATE("0",MONTH(A952)),MONTH(A952)))</f>
        <v>2025/03</v>
      </c>
      <c r="E952" s="8" t="str">
        <f>IF(IF(D952&lt;&gt;D951,1,IF(OR(B952&lt;&gt;B951,A952-A951&gt;$U$1),1,""))&lt;&gt;1,"",IF(C952="B01",1965,IF(C952="B02",1020,IF(C952="B05",2400,IF(C952="B03",4260,IF(C952="B04",2880,IF(C952="B20",1260,0)))))))</f>
        <v/>
      </c>
      <c r="F952" s="8" t="str">
        <f>IF(IF(D952&lt;&gt;D951,1,IF(OR(B952&lt;&gt;B951,A952-A951&gt;$U$1),1,""))&lt;&gt;1,"",IF(C952="B01",1,IF(C952="B05",1,IF(C952="B03",1,IF(C952="B04",1,IF(C952="B20",1,IF(C952="B02",1,0)))))))</f>
        <v/>
      </c>
      <c r="G952"/>
      <c r="H952" s="2"/>
      <c r="I952" s="2"/>
      <c r="L952"/>
      <c r="R952"/>
    </row>
    <row r="953" spans="1:18">
      <c r="A953" s="3">
        <v>45737.486898148149</v>
      </c>
      <c r="B953" s="2" t="s">
        <v>26</v>
      </c>
      <c r="C953" s="2" t="s">
        <v>11</v>
      </c>
      <c r="D953" s="6" t="str">
        <f>CONCATENATE(YEAR(A953),"/",IF(MONTH(A953)&lt;10,CONCATENATE("0",MONTH(A953)),MONTH(A953)))</f>
        <v>2025/03</v>
      </c>
      <c r="E953" s="8">
        <f>IF(IF(D953&lt;&gt;D952,1,IF(OR(B953&lt;&gt;B952,A953-A952&gt;$U$1),1,""))&lt;&gt;1,"",IF(C953="B01",1965,IF(C953="B02",1020,IF(C953="B05",2400,IF(C953="B03",4260,IF(C953="B04",2880,IF(C953="B20",1260,0)))))))</f>
        <v>2400</v>
      </c>
      <c r="F953" s="8">
        <f>IF(IF(D953&lt;&gt;D952,1,IF(OR(B953&lt;&gt;B952,A953-A952&gt;$U$1),1,""))&lt;&gt;1,"",IF(C953="B01",1,IF(C953="B05",1,IF(C953="B03",1,IF(C953="B04",1,IF(C953="B20",1,IF(C953="B02",1,0)))))))</f>
        <v>1</v>
      </c>
      <c r="G953"/>
      <c r="H953" s="2"/>
      <c r="I953" s="2"/>
      <c r="L953"/>
      <c r="R953"/>
    </row>
    <row r="954" spans="1:18">
      <c r="A954" s="3">
        <v>45737.486898148149</v>
      </c>
      <c r="B954" s="2" t="s">
        <v>26</v>
      </c>
      <c r="C954" s="2" t="s">
        <v>11</v>
      </c>
      <c r="D954" s="6" t="str">
        <f>CONCATENATE(YEAR(A954),"/",IF(MONTH(A954)&lt;10,CONCATENATE("0",MONTH(A954)),MONTH(A954)))</f>
        <v>2025/03</v>
      </c>
      <c r="E954" s="8" t="str">
        <f>IF(IF(D954&lt;&gt;D953,1,IF(OR(B954&lt;&gt;B953,A954-A953&gt;$U$1),1,""))&lt;&gt;1,"",IF(C954="B01",1965,IF(C954="B02",1020,IF(C954="B05",2400,IF(C954="B03",4260,IF(C954="B04",2880,IF(C954="B20",1260,0)))))))</f>
        <v/>
      </c>
      <c r="F954" s="8" t="str">
        <f>IF(IF(D954&lt;&gt;D953,1,IF(OR(B954&lt;&gt;B953,A954-A953&gt;$U$1),1,""))&lt;&gt;1,"",IF(C954="B01",1,IF(C954="B05",1,IF(C954="B03",1,IF(C954="B04",1,IF(C954="B20",1,IF(C954="B02",1,0)))))))</f>
        <v/>
      </c>
      <c r="G954"/>
      <c r="H954" s="2"/>
      <c r="I954" s="2"/>
      <c r="L954"/>
      <c r="R954"/>
    </row>
    <row r="955" spans="1:18">
      <c r="A955" s="3">
        <v>45737.965289351851</v>
      </c>
      <c r="B955" s="2" t="s">
        <v>26</v>
      </c>
      <c r="C955" s="2" t="s">
        <v>12</v>
      </c>
      <c r="D955" s="6" t="str">
        <f>CONCATENATE(YEAR(A955),"/",IF(MONTH(A955)&lt;10,CONCATENATE("0",MONTH(A955)),MONTH(A955)))</f>
        <v>2025/03</v>
      </c>
      <c r="E955" s="8">
        <f>IF(IF(D955&lt;&gt;D954,1,IF(OR(B955&lt;&gt;B954,A955-A954&gt;$U$1),1,""))&lt;&gt;1,"",IF(C955="B01",1965,IF(C955="B02",1020,IF(C955="B05",2400,IF(C955="B03",4260,IF(C955="B04",2880,IF(C955="B20",1260,0)))))))</f>
        <v>4260</v>
      </c>
      <c r="F955" s="8">
        <f>IF(IF(D955&lt;&gt;D954,1,IF(OR(B955&lt;&gt;B954,A955-A954&gt;$U$1),1,""))&lt;&gt;1,"",IF(C955="B01",1,IF(C955="B05",1,IF(C955="B03",1,IF(C955="B04",1,IF(C955="B20",1,IF(C955="B02",1,0)))))))</f>
        <v>1</v>
      </c>
      <c r="G955"/>
      <c r="H955" s="2"/>
      <c r="I955" s="2"/>
      <c r="L955"/>
      <c r="R955"/>
    </row>
    <row r="956" spans="1:18">
      <c r="A956" s="3">
        <v>45737.965289351851</v>
      </c>
      <c r="B956" s="2" t="s">
        <v>26</v>
      </c>
      <c r="C956" s="2" t="s">
        <v>12</v>
      </c>
      <c r="D956" s="6" t="str">
        <f>CONCATENATE(YEAR(A956),"/",IF(MONTH(A956)&lt;10,CONCATENATE("0",MONTH(A956)),MONTH(A956)))</f>
        <v>2025/03</v>
      </c>
      <c r="E956" s="8" t="str">
        <f>IF(IF(D956&lt;&gt;D955,1,IF(OR(B956&lt;&gt;B955,A956-A955&gt;$U$1),1,""))&lt;&gt;1,"",IF(C956="B01",1965,IF(C956="B02",1020,IF(C956="B05",2400,IF(C956="B03",4260,IF(C956="B04",2880,IF(C956="B20",1260,0)))))))</f>
        <v/>
      </c>
      <c r="F956" s="8" t="str">
        <f>IF(IF(D956&lt;&gt;D955,1,IF(OR(B956&lt;&gt;B955,A956-A955&gt;$U$1),1,""))&lt;&gt;1,"",IF(C956="B01",1,IF(C956="B05",1,IF(C956="B03",1,IF(C956="B04",1,IF(C956="B20",1,IF(C956="B02",1,0)))))))</f>
        <v/>
      </c>
      <c r="G956"/>
      <c r="H956" s="2"/>
      <c r="I956" s="2"/>
      <c r="L956"/>
      <c r="R956"/>
    </row>
    <row r="957" spans="1:18">
      <c r="A957" s="3">
        <v>45737.965289351851</v>
      </c>
      <c r="B957" s="2" t="s">
        <v>26</v>
      </c>
      <c r="C957" s="2" t="s">
        <v>12</v>
      </c>
      <c r="D957" s="6" t="str">
        <f>CONCATENATE(YEAR(A957),"/",IF(MONTH(A957)&lt;10,CONCATENATE("0",MONTH(A957)),MONTH(A957)))</f>
        <v>2025/03</v>
      </c>
      <c r="E957" s="8" t="str">
        <f>IF(IF(D957&lt;&gt;D956,1,IF(OR(B957&lt;&gt;B956,A957-A956&gt;$U$1),1,""))&lt;&gt;1,"",IF(C957="B01",1965,IF(C957="B02",1020,IF(C957="B05",2400,IF(C957="B03",4260,IF(C957="B04",2880,IF(C957="B20",1260,0)))))))</f>
        <v/>
      </c>
      <c r="F957" s="8" t="str">
        <f>IF(IF(D957&lt;&gt;D956,1,IF(OR(B957&lt;&gt;B956,A957-A956&gt;$U$1),1,""))&lt;&gt;1,"",IF(C957="B01",1,IF(C957="B05",1,IF(C957="B03",1,IF(C957="B04",1,IF(C957="B20",1,IF(C957="B02",1,0)))))))</f>
        <v/>
      </c>
      <c r="G957"/>
      <c r="H957" s="2"/>
      <c r="I957" s="2"/>
      <c r="L957"/>
      <c r="R957"/>
    </row>
    <row r="958" spans="1:18">
      <c r="A958" s="3">
        <v>45738.090578703705</v>
      </c>
      <c r="B958" s="2" t="s">
        <v>26</v>
      </c>
      <c r="C958" s="2" t="s">
        <v>11</v>
      </c>
      <c r="D958" s="6" t="str">
        <f>CONCATENATE(YEAR(A958),"/",IF(MONTH(A958)&lt;10,CONCATENATE("0",MONTH(A958)),MONTH(A958)))</f>
        <v>2025/03</v>
      </c>
      <c r="E958" s="8">
        <f>IF(IF(D958&lt;&gt;D957,1,IF(OR(B958&lt;&gt;B957,A958-A957&gt;$U$1),1,""))&lt;&gt;1,"",IF(C958="B01",1965,IF(C958="B02",1020,IF(C958="B05",2400,IF(C958="B03",4260,IF(C958="B04",2880,IF(C958="B20",1260,0)))))))</f>
        <v>2400</v>
      </c>
      <c r="F958" s="8">
        <f>IF(IF(D958&lt;&gt;D957,1,IF(OR(B958&lt;&gt;B957,A958-A957&gt;$U$1),1,""))&lt;&gt;1,"",IF(C958="B01",1,IF(C958="B05",1,IF(C958="B03",1,IF(C958="B04",1,IF(C958="B20",1,IF(C958="B02",1,0)))))))</f>
        <v>1</v>
      </c>
      <c r="G958"/>
      <c r="H958" s="2"/>
      <c r="I958" s="2"/>
      <c r="L958"/>
      <c r="R958"/>
    </row>
    <row r="959" spans="1:18">
      <c r="A959" s="3">
        <v>45738.090590277781</v>
      </c>
      <c r="B959" s="2" t="s">
        <v>26</v>
      </c>
      <c r="C959" s="2" t="s">
        <v>11</v>
      </c>
      <c r="D959" s="6" t="str">
        <f>CONCATENATE(YEAR(A959),"/",IF(MONTH(A959)&lt;10,CONCATENATE("0",MONTH(A959)),MONTH(A959)))</f>
        <v>2025/03</v>
      </c>
      <c r="E959" s="8" t="str">
        <f>IF(IF(D959&lt;&gt;D958,1,IF(OR(B959&lt;&gt;B958,A959-A958&gt;$U$1),1,""))&lt;&gt;1,"",IF(C959="B01",1965,IF(C959="B02",1020,IF(C959="B05",2400,IF(C959="B03",4260,IF(C959="B04",2880,IF(C959="B20",1260,0)))))))</f>
        <v/>
      </c>
      <c r="F959" s="8" t="str">
        <f>IF(IF(D959&lt;&gt;D958,1,IF(OR(B959&lt;&gt;B958,A959-A958&gt;$U$1),1,""))&lt;&gt;1,"",IF(C959="B01",1,IF(C959="B05",1,IF(C959="B03",1,IF(C959="B04",1,IF(C959="B20",1,IF(C959="B02",1,0)))))))</f>
        <v/>
      </c>
      <c r="G959"/>
      <c r="H959" s="2"/>
      <c r="I959" s="2"/>
      <c r="L959"/>
      <c r="R959"/>
    </row>
    <row r="960" spans="1:18">
      <c r="A960" s="3">
        <v>45738.282152777778</v>
      </c>
      <c r="B960" s="2" t="s">
        <v>26</v>
      </c>
      <c r="C960" s="2" t="s">
        <v>34</v>
      </c>
      <c r="D960" s="6" t="str">
        <f>CONCATENATE(YEAR(A960),"/",IF(MONTH(A960)&lt;10,CONCATENATE("0",MONTH(A960)),MONTH(A960)))</f>
        <v>2025/03</v>
      </c>
      <c r="E960" s="8">
        <f>IF(IF(D960&lt;&gt;D959,1,IF(OR(B960&lt;&gt;B959,A960-A959&gt;$U$1),1,""))&lt;&gt;1,"",IF(C960="B01",1965,IF(C960="B02",1020,IF(C960="B05",2400,IF(C960="B03",4260,IF(C960="B04",2880,IF(C960="B20",1260,0)))))))</f>
        <v>1965</v>
      </c>
      <c r="F960" s="8">
        <f>IF(IF(D960&lt;&gt;D959,1,IF(OR(B960&lt;&gt;B959,A960-A959&gt;$U$1),1,""))&lt;&gt;1,"",IF(C960="B01",1,IF(C960="B05",1,IF(C960="B03",1,IF(C960="B04",1,IF(C960="B20",1,IF(C960="B02",1,0)))))))</f>
        <v>1</v>
      </c>
      <c r="G960"/>
      <c r="H960" s="2"/>
      <c r="I960" s="2"/>
      <c r="L960"/>
      <c r="R960"/>
    </row>
    <row r="961" spans="1:18">
      <c r="A961" s="3">
        <v>45738.282152777778</v>
      </c>
      <c r="B961" s="2" t="s">
        <v>26</v>
      </c>
      <c r="C961" s="2" t="s">
        <v>34</v>
      </c>
      <c r="D961" s="6" t="str">
        <f>CONCATENATE(YEAR(A961),"/",IF(MONTH(A961)&lt;10,CONCATENATE("0",MONTH(A961)),MONTH(A961)))</f>
        <v>2025/03</v>
      </c>
      <c r="E961" s="8" t="str">
        <f>IF(IF(D961&lt;&gt;D960,1,IF(OR(B961&lt;&gt;B960,A961-A960&gt;$U$1),1,""))&lt;&gt;1,"",IF(C961="B01",1965,IF(C961="B02",1020,IF(C961="B05",2400,IF(C961="B03",4260,IF(C961="B04",2880,IF(C961="B20",1260,0)))))))</f>
        <v/>
      </c>
      <c r="F961" s="8" t="str">
        <f>IF(IF(D961&lt;&gt;D960,1,IF(OR(B961&lt;&gt;B960,A961-A960&gt;$U$1),1,""))&lt;&gt;1,"",IF(C961="B01",1,IF(C961="B05",1,IF(C961="B03",1,IF(C961="B04",1,IF(C961="B20",1,IF(C961="B02",1,0)))))))</f>
        <v/>
      </c>
      <c r="G961"/>
      <c r="H961" s="2"/>
      <c r="I961" s="2"/>
      <c r="L961"/>
      <c r="R961"/>
    </row>
    <row r="962" spans="1:18">
      <c r="A962" s="3">
        <v>45738.282152777778</v>
      </c>
      <c r="B962" s="2" t="s">
        <v>26</v>
      </c>
      <c r="C962" s="2" t="s">
        <v>34</v>
      </c>
      <c r="D962" s="6" t="str">
        <f>CONCATENATE(YEAR(A962),"/",IF(MONTH(A962)&lt;10,CONCATENATE("0",MONTH(A962)),MONTH(A962)))</f>
        <v>2025/03</v>
      </c>
      <c r="E962" s="8" t="str">
        <f>IF(IF(D962&lt;&gt;D961,1,IF(OR(B962&lt;&gt;B961,A962-A961&gt;$U$1),1,""))&lt;&gt;1,"",IF(C962="B01",1965,IF(C962="B02",1020,IF(C962="B05",2400,IF(C962="B03",4260,IF(C962="B04",2880,IF(C962="B20",1260,0)))))))</f>
        <v/>
      </c>
      <c r="F962" s="8" t="str">
        <f>IF(IF(D962&lt;&gt;D961,1,IF(OR(B962&lt;&gt;B961,A962-A961&gt;$U$1),1,""))&lt;&gt;1,"",IF(C962="B01",1,IF(C962="B05",1,IF(C962="B03",1,IF(C962="B04",1,IF(C962="B20",1,IF(C962="B02",1,0)))))))</f>
        <v/>
      </c>
      <c r="G962"/>
      <c r="H962" s="2"/>
      <c r="I962" s="2"/>
      <c r="L962"/>
      <c r="R962"/>
    </row>
    <row r="963" spans="1:18">
      <c r="A963" s="3">
        <v>45738.42528935185</v>
      </c>
      <c r="B963" s="2" t="s">
        <v>26</v>
      </c>
      <c r="C963" s="2" t="s">
        <v>12</v>
      </c>
      <c r="D963" s="6" t="str">
        <f>CONCATENATE(YEAR(A963),"/",IF(MONTH(A963)&lt;10,CONCATENATE("0",MONTH(A963)),MONTH(A963)))</f>
        <v>2025/03</v>
      </c>
      <c r="E963" s="8">
        <f>IF(IF(D963&lt;&gt;D962,1,IF(OR(B963&lt;&gt;B962,A963-A962&gt;$U$1),1,""))&lt;&gt;1,"",IF(C963="B01",1965,IF(C963="B02",1020,IF(C963="B05",2400,IF(C963="B03",4260,IF(C963="B04",2880,IF(C963="B20",1260,0)))))))</f>
        <v>4260</v>
      </c>
      <c r="F963" s="8">
        <f>IF(IF(D963&lt;&gt;D962,1,IF(OR(B963&lt;&gt;B962,A963-A962&gt;$U$1),1,""))&lt;&gt;1,"",IF(C963="B01",1,IF(C963="B05",1,IF(C963="B03",1,IF(C963="B04",1,IF(C963="B20",1,IF(C963="B02",1,0)))))))</f>
        <v>1</v>
      </c>
      <c r="G963"/>
      <c r="H963" s="2"/>
      <c r="I963" s="2"/>
      <c r="L963"/>
      <c r="R963"/>
    </row>
    <row r="964" spans="1:18">
      <c r="A964" s="3">
        <v>45738.42528935185</v>
      </c>
      <c r="B964" s="2" t="s">
        <v>26</v>
      </c>
      <c r="C964" s="2" t="s">
        <v>12</v>
      </c>
      <c r="D964" s="6" t="str">
        <f>CONCATENATE(YEAR(A964),"/",IF(MONTH(A964)&lt;10,CONCATENATE("0",MONTH(A964)),MONTH(A964)))</f>
        <v>2025/03</v>
      </c>
      <c r="E964" s="8" t="str">
        <f>IF(IF(D964&lt;&gt;D963,1,IF(OR(B964&lt;&gt;B963,A964-A963&gt;$U$1),1,""))&lt;&gt;1,"",IF(C964="B01",1965,IF(C964="B02",1020,IF(C964="B05",2400,IF(C964="B03",4260,IF(C964="B04",2880,IF(C964="B20",1260,0)))))))</f>
        <v/>
      </c>
      <c r="F964" s="8" t="str">
        <f>IF(IF(D964&lt;&gt;D963,1,IF(OR(B964&lt;&gt;B963,A964-A963&gt;$U$1),1,""))&lt;&gt;1,"",IF(C964="B01",1,IF(C964="B05",1,IF(C964="B03",1,IF(C964="B04",1,IF(C964="B20",1,IF(C964="B02",1,0)))))))</f>
        <v/>
      </c>
      <c r="G964"/>
      <c r="H964" s="2"/>
      <c r="I964" s="2"/>
      <c r="L964"/>
      <c r="R964"/>
    </row>
    <row r="965" spans="1:18">
      <c r="A965" s="3">
        <v>45738.683761574073</v>
      </c>
      <c r="B965" s="2" t="s">
        <v>26</v>
      </c>
      <c r="C965" s="2" t="s">
        <v>11</v>
      </c>
      <c r="D965" s="6" t="str">
        <f>CONCATENATE(YEAR(A965),"/",IF(MONTH(A965)&lt;10,CONCATENATE("0",MONTH(A965)),MONTH(A965)))</f>
        <v>2025/03</v>
      </c>
      <c r="E965" s="8">
        <f>IF(IF(D965&lt;&gt;D964,1,IF(OR(B965&lt;&gt;B964,A965-A964&gt;$U$1),1,""))&lt;&gt;1,"",IF(C965="B01",1965,IF(C965="B02",1020,IF(C965="B05",2400,IF(C965="B03",4260,IF(C965="B04",2880,IF(C965="B20",1260,0)))))))</f>
        <v>2400</v>
      </c>
      <c r="F965" s="8">
        <f>IF(IF(D965&lt;&gt;D964,1,IF(OR(B965&lt;&gt;B964,A965-A964&gt;$U$1),1,""))&lt;&gt;1,"",IF(C965="B01",1,IF(C965="B05",1,IF(C965="B03",1,IF(C965="B04",1,IF(C965="B20",1,IF(C965="B02",1,0)))))))</f>
        <v>1</v>
      </c>
      <c r="G965"/>
      <c r="H965" s="2"/>
      <c r="I965" s="2"/>
      <c r="L965"/>
      <c r="R965"/>
    </row>
    <row r="966" spans="1:18">
      <c r="A966" s="3">
        <v>45738.683761574073</v>
      </c>
      <c r="B966" s="2" t="s">
        <v>26</v>
      </c>
      <c r="C966" s="2" t="s">
        <v>11</v>
      </c>
      <c r="D966" s="6" t="str">
        <f>CONCATENATE(YEAR(A966),"/",IF(MONTH(A966)&lt;10,CONCATENATE("0",MONTH(A966)),MONTH(A966)))</f>
        <v>2025/03</v>
      </c>
      <c r="E966" s="8" t="str">
        <f>IF(IF(D966&lt;&gt;D965,1,IF(OR(B966&lt;&gt;B965,A966-A965&gt;$U$1),1,""))&lt;&gt;1,"",IF(C966="B01",1965,IF(C966="B02",1020,IF(C966="B05",2400,IF(C966="B03",4260,IF(C966="B04",2880,IF(C966="B20",1260,0)))))))</f>
        <v/>
      </c>
      <c r="F966" s="8" t="str">
        <f>IF(IF(D966&lt;&gt;D965,1,IF(OR(B966&lt;&gt;B965,A966-A965&gt;$U$1),1,""))&lt;&gt;1,"",IF(C966="B01",1,IF(C966="B05",1,IF(C966="B03",1,IF(C966="B04",1,IF(C966="B20",1,IF(C966="B02",1,0)))))))</f>
        <v/>
      </c>
      <c r="G966"/>
      <c r="H966" s="2"/>
      <c r="I966" s="2"/>
      <c r="L966"/>
      <c r="R966"/>
    </row>
    <row r="967" spans="1:18">
      <c r="A967" s="3">
        <v>45738.975486111114</v>
      </c>
      <c r="B967" s="2" t="s">
        <v>26</v>
      </c>
      <c r="C967" s="2" t="s">
        <v>11</v>
      </c>
      <c r="D967" s="6" t="str">
        <f>CONCATENATE(YEAR(A967),"/",IF(MONTH(A967)&lt;10,CONCATENATE("0",MONTH(A967)),MONTH(A967)))</f>
        <v>2025/03</v>
      </c>
      <c r="E967" s="8">
        <f>IF(IF(D967&lt;&gt;D966,1,IF(OR(B967&lt;&gt;B966,A967-A966&gt;$U$1),1,""))&lt;&gt;1,"",IF(C967="B01",1965,IF(C967="B02",1020,IF(C967="B05",2400,IF(C967="B03",4260,IF(C967="B04",2880,IF(C967="B20",1260,0)))))))</f>
        <v>2400</v>
      </c>
      <c r="F967" s="8">
        <f>IF(IF(D967&lt;&gt;D966,1,IF(OR(B967&lt;&gt;B966,A967-A966&gt;$U$1),1,""))&lt;&gt;1,"",IF(C967="B01",1,IF(C967="B05",1,IF(C967="B03",1,IF(C967="B04",1,IF(C967="B20",1,IF(C967="B02",1,0)))))))</f>
        <v>1</v>
      </c>
      <c r="G967"/>
      <c r="H967" s="2"/>
      <c r="I967" s="2"/>
      <c r="L967"/>
      <c r="R967"/>
    </row>
    <row r="968" spans="1:18">
      <c r="A968" s="3">
        <v>45738.975486111114</v>
      </c>
      <c r="B968" s="2" t="s">
        <v>26</v>
      </c>
      <c r="C968" s="2" t="s">
        <v>11</v>
      </c>
      <c r="D968" s="6" t="str">
        <f>CONCATENATE(YEAR(A968),"/",IF(MONTH(A968)&lt;10,CONCATENATE("0",MONTH(A968)),MONTH(A968)))</f>
        <v>2025/03</v>
      </c>
      <c r="E968" s="8" t="str">
        <f>IF(IF(D968&lt;&gt;D967,1,IF(OR(B968&lt;&gt;B967,A968-A967&gt;$U$1),1,""))&lt;&gt;1,"",IF(C968="B01",1965,IF(C968="B02",1020,IF(C968="B05",2400,IF(C968="B03",4260,IF(C968="B04",2880,IF(C968="B20",1260,0)))))))</f>
        <v/>
      </c>
      <c r="F968" s="8" t="str">
        <f>IF(IF(D968&lt;&gt;D967,1,IF(OR(B968&lt;&gt;B967,A968-A967&gt;$U$1),1,""))&lt;&gt;1,"",IF(C968="B01",1,IF(C968="B05",1,IF(C968="B03",1,IF(C968="B04",1,IF(C968="B20",1,IF(C968="B02",1,0)))))))</f>
        <v/>
      </c>
      <c r="G968"/>
      <c r="H968" s="2"/>
      <c r="I968" s="2"/>
      <c r="L968"/>
      <c r="R968"/>
    </row>
    <row r="969" spans="1:18">
      <c r="A969" s="3">
        <v>45738.975486111114</v>
      </c>
      <c r="B969" s="2" t="s">
        <v>26</v>
      </c>
      <c r="C969" s="2" t="s">
        <v>11</v>
      </c>
      <c r="D969" s="6" t="str">
        <f>CONCATENATE(YEAR(A969),"/",IF(MONTH(A969)&lt;10,CONCATENATE("0",MONTH(A969)),MONTH(A969)))</f>
        <v>2025/03</v>
      </c>
      <c r="E969" s="8" t="str">
        <f>IF(IF(D969&lt;&gt;D968,1,IF(OR(B969&lt;&gt;B968,A969-A968&gt;$U$1),1,""))&lt;&gt;1,"",IF(C969="B01",1965,IF(C969="B02",1020,IF(C969="B05",2400,IF(C969="B03",4260,IF(C969="B04",2880,IF(C969="B20",1260,0)))))))</f>
        <v/>
      </c>
      <c r="F969" s="8" t="str">
        <f>IF(IF(D969&lt;&gt;D968,1,IF(OR(B969&lt;&gt;B968,A969-A968&gt;$U$1),1,""))&lt;&gt;1,"",IF(C969="B01",1,IF(C969="B05",1,IF(C969="B03",1,IF(C969="B04",1,IF(C969="B20",1,IF(C969="B02",1,0)))))))</f>
        <v/>
      </c>
      <c r="G969"/>
      <c r="H969" s="2"/>
      <c r="I969" s="2"/>
      <c r="L969"/>
      <c r="R969"/>
    </row>
    <row r="970" spans="1:18">
      <c r="A970" s="3">
        <v>45738.975486111114</v>
      </c>
      <c r="B970" s="2" t="s">
        <v>26</v>
      </c>
      <c r="C970" s="2" t="s">
        <v>11</v>
      </c>
      <c r="D970" s="6" t="str">
        <f>CONCATENATE(YEAR(A970),"/",IF(MONTH(A970)&lt;10,CONCATENATE("0",MONTH(A970)),MONTH(A970)))</f>
        <v>2025/03</v>
      </c>
      <c r="E970" s="8" t="str">
        <f>IF(IF(D970&lt;&gt;D969,1,IF(OR(B970&lt;&gt;B969,A970-A969&gt;$U$1),1,""))&lt;&gt;1,"",IF(C970="B01",1965,IF(C970="B02",1020,IF(C970="B05",2400,IF(C970="B03",4260,IF(C970="B04",2880,IF(C970="B20",1260,0)))))))</f>
        <v/>
      </c>
      <c r="F970" s="8" t="str">
        <f>IF(IF(D970&lt;&gt;D969,1,IF(OR(B970&lt;&gt;B969,A970-A969&gt;$U$1),1,""))&lt;&gt;1,"",IF(C970="B01",1,IF(C970="B05",1,IF(C970="B03",1,IF(C970="B04",1,IF(C970="B20",1,IF(C970="B02",1,0)))))))</f>
        <v/>
      </c>
      <c r="G970"/>
      <c r="H970" s="2"/>
      <c r="I970" s="2"/>
      <c r="L970"/>
      <c r="R970"/>
    </row>
    <row r="971" spans="1:18">
      <c r="A971" s="3">
        <v>45739.151423611111</v>
      </c>
      <c r="B971" s="2" t="s">
        <v>26</v>
      </c>
      <c r="C971" s="2" t="s">
        <v>12</v>
      </c>
      <c r="D971" s="6" t="str">
        <f>CONCATENATE(YEAR(A971),"/",IF(MONTH(A971)&lt;10,CONCATENATE("0",MONTH(A971)),MONTH(A971)))</f>
        <v>2025/03</v>
      </c>
      <c r="E971" s="8">
        <f>IF(IF(D971&lt;&gt;D970,1,IF(OR(B971&lt;&gt;B970,A971-A970&gt;$U$1),1,""))&lt;&gt;1,"",IF(C971="B01",1965,IF(C971="B02",1020,IF(C971="B05",2400,IF(C971="B03",4260,IF(C971="B04",2880,IF(C971="B20",1260,0)))))))</f>
        <v>4260</v>
      </c>
      <c r="F971" s="8">
        <f>IF(IF(D971&lt;&gt;D970,1,IF(OR(B971&lt;&gt;B970,A971-A970&gt;$U$1),1,""))&lt;&gt;1,"",IF(C971="B01",1,IF(C971="B05",1,IF(C971="B03",1,IF(C971="B04",1,IF(C971="B20",1,IF(C971="B02",1,0)))))))</f>
        <v>1</v>
      </c>
      <c r="G971"/>
      <c r="H971" s="2"/>
      <c r="I971" s="2"/>
      <c r="L971"/>
      <c r="R971"/>
    </row>
    <row r="972" spans="1:18">
      <c r="A972" s="3">
        <v>45739.151423611111</v>
      </c>
      <c r="B972" s="2" t="s">
        <v>26</v>
      </c>
      <c r="C972" s="2" t="s">
        <v>12</v>
      </c>
      <c r="D972" s="6" t="str">
        <f>CONCATENATE(YEAR(A972),"/",IF(MONTH(A972)&lt;10,CONCATENATE("0",MONTH(A972)),MONTH(A972)))</f>
        <v>2025/03</v>
      </c>
      <c r="E972" s="8" t="str">
        <f>IF(IF(D972&lt;&gt;D971,1,IF(OR(B972&lt;&gt;B971,A972-A971&gt;$U$1),1,""))&lt;&gt;1,"",IF(C972="B01",1965,IF(C972="B02",1020,IF(C972="B05",2400,IF(C972="B03",4260,IF(C972="B04",2880,IF(C972="B20",1260,0)))))))</f>
        <v/>
      </c>
      <c r="F972" s="8" t="str">
        <f>IF(IF(D972&lt;&gt;D971,1,IF(OR(B972&lt;&gt;B971,A972-A971&gt;$U$1),1,""))&lt;&gt;1,"",IF(C972="B01",1,IF(C972="B05",1,IF(C972="B03",1,IF(C972="B04",1,IF(C972="B20",1,IF(C972="B02",1,0)))))))</f>
        <v/>
      </c>
      <c r="G972"/>
      <c r="H972" s="2"/>
      <c r="I972" s="2"/>
      <c r="L972"/>
      <c r="R972"/>
    </row>
    <row r="973" spans="1:18">
      <c r="A973" s="3">
        <v>45739.307222222225</v>
      </c>
      <c r="B973" s="2" t="s">
        <v>26</v>
      </c>
      <c r="C973" s="2" t="s">
        <v>11</v>
      </c>
      <c r="D973" s="6" t="str">
        <f>CONCATENATE(YEAR(A973),"/",IF(MONTH(A973)&lt;10,CONCATENATE("0",MONTH(A973)),MONTH(A973)))</f>
        <v>2025/03</v>
      </c>
      <c r="E973" s="8">
        <f>IF(IF(D973&lt;&gt;D972,1,IF(OR(B973&lt;&gt;B972,A973-A972&gt;$U$1),1,""))&lt;&gt;1,"",IF(C973="B01",1965,IF(C973="B02",1020,IF(C973="B05",2400,IF(C973="B03",4260,IF(C973="B04",2880,IF(C973="B20",1260,0)))))))</f>
        <v>2400</v>
      </c>
      <c r="F973" s="8">
        <f>IF(IF(D973&lt;&gt;D972,1,IF(OR(B973&lt;&gt;B972,A973-A972&gt;$U$1),1,""))&lt;&gt;1,"",IF(C973="B01",1,IF(C973="B05",1,IF(C973="B03",1,IF(C973="B04",1,IF(C973="B20",1,IF(C973="B02",1,0)))))))</f>
        <v>1</v>
      </c>
      <c r="G973"/>
      <c r="H973" s="2"/>
      <c r="I973" s="2"/>
      <c r="L973"/>
      <c r="R973"/>
    </row>
    <row r="974" spans="1:18">
      <c r="A974" s="3">
        <v>45739.307222222225</v>
      </c>
      <c r="B974" s="2" t="s">
        <v>26</v>
      </c>
      <c r="C974" s="2" t="s">
        <v>11</v>
      </c>
      <c r="D974" s="6" t="str">
        <f>CONCATENATE(YEAR(A974),"/",IF(MONTH(A974)&lt;10,CONCATENATE("0",MONTH(A974)),MONTH(A974)))</f>
        <v>2025/03</v>
      </c>
      <c r="E974" s="8" t="str">
        <f>IF(IF(D974&lt;&gt;D973,1,IF(OR(B974&lt;&gt;B973,A974-A973&gt;$U$1),1,""))&lt;&gt;1,"",IF(C974="B01",1965,IF(C974="B02",1020,IF(C974="B05",2400,IF(C974="B03",4260,IF(C974="B04",2880,IF(C974="B20",1260,0)))))))</f>
        <v/>
      </c>
      <c r="F974" s="8" t="str">
        <f>IF(IF(D974&lt;&gt;D973,1,IF(OR(B974&lt;&gt;B973,A974-A973&gt;$U$1),1,""))&lt;&gt;1,"",IF(C974="B01",1,IF(C974="B05",1,IF(C974="B03",1,IF(C974="B04",1,IF(C974="B20",1,IF(C974="B02",1,0)))))))</f>
        <v/>
      </c>
      <c r="G974"/>
      <c r="H974" s="2"/>
      <c r="I974" s="2"/>
      <c r="L974"/>
      <c r="R974"/>
    </row>
    <row r="975" spans="1:18">
      <c r="A975" s="3">
        <v>45739.544652777775</v>
      </c>
      <c r="B975" s="2" t="s">
        <v>26</v>
      </c>
      <c r="C975" s="2" t="s">
        <v>11</v>
      </c>
      <c r="D975" s="6" t="str">
        <f>CONCATENATE(YEAR(A975),"/",IF(MONTH(A975)&lt;10,CONCATENATE("0",MONTH(A975)),MONTH(A975)))</f>
        <v>2025/03</v>
      </c>
      <c r="E975" s="8">
        <f>IF(IF(D975&lt;&gt;D974,1,IF(OR(B975&lt;&gt;B974,A975-A974&gt;$U$1),1,""))&lt;&gt;1,"",IF(C975="B01",1965,IF(C975="B02",1020,IF(C975="B05",2400,IF(C975="B03",4260,IF(C975="B04",2880,IF(C975="B20",1260,0)))))))</f>
        <v>2400</v>
      </c>
      <c r="F975" s="8">
        <f>IF(IF(D975&lt;&gt;D974,1,IF(OR(B975&lt;&gt;B974,A975-A974&gt;$U$1),1,""))&lt;&gt;1,"",IF(C975="B01",1,IF(C975="B05",1,IF(C975="B03",1,IF(C975="B04",1,IF(C975="B20",1,IF(C975="B02",1,0)))))))</f>
        <v>1</v>
      </c>
      <c r="G975"/>
      <c r="H975" s="2"/>
      <c r="I975" s="2"/>
      <c r="L975"/>
      <c r="R975"/>
    </row>
    <row r="976" spans="1:18">
      <c r="A976" s="3">
        <v>45739.544652777775</v>
      </c>
      <c r="B976" s="2" t="s">
        <v>26</v>
      </c>
      <c r="C976" s="2" t="s">
        <v>11</v>
      </c>
      <c r="D976" s="6" t="str">
        <f>CONCATENATE(YEAR(A976),"/",IF(MONTH(A976)&lt;10,CONCATENATE("0",MONTH(A976)),MONTH(A976)))</f>
        <v>2025/03</v>
      </c>
      <c r="E976" s="8" t="str">
        <f>IF(IF(D976&lt;&gt;D975,1,IF(OR(B976&lt;&gt;B975,A976-A975&gt;$U$1),1,""))&lt;&gt;1,"",IF(C976="B01",1965,IF(C976="B02",1020,IF(C976="B05",2400,IF(C976="B03",4260,IF(C976="B04",2880,IF(C976="B20",1260,0)))))))</f>
        <v/>
      </c>
      <c r="F976" s="8" t="str">
        <f>IF(IF(D976&lt;&gt;D975,1,IF(OR(B976&lt;&gt;B975,A976-A975&gt;$U$1),1,""))&lt;&gt;1,"",IF(C976="B01",1,IF(C976="B05",1,IF(C976="B03",1,IF(C976="B04",1,IF(C976="B20",1,IF(C976="B02",1,0)))))))</f>
        <v/>
      </c>
      <c r="G976"/>
      <c r="H976" s="2"/>
      <c r="I976" s="2"/>
      <c r="L976"/>
      <c r="R976"/>
    </row>
    <row r="977" spans="1:18">
      <c r="A977" s="3">
        <v>45739.764710648145</v>
      </c>
      <c r="B977" s="2" t="s">
        <v>26</v>
      </c>
      <c r="C977" s="2" t="s">
        <v>11</v>
      </c>
      <c r="D977" s="6" t="str">
        <f>CONCATENATE(YEAR(A977),"/",IF(MONTH(A977)&lt;10,CONCATENATE("0",MONTH(A977)),MONTH(A977)))</f>
        <v>2025/03</v>
      </c>
      <c r="E977" s="8">
        <f>IF(IF(D977&lt;&gt;D976,1,IF(OR(B977&lt;&gt;B976,A977-A976&gt;$U$1),1,""))&lt;&gt;1,"",IF(C977="B01",1965,IF(C977="B02",1020,IF(C977="B05",2400,IF(C977="B03",4260,IF(C977="B04",2880,IF(C977="B20",1260,0)))))))</f>
        <v>2400</v>
      </c>
      <c r="F977" s="8">
        <f>IF(IF(D977&lt;&gt;D976,1,IF(OR(B977&lt;&gt;B976,A977-A976&gt;$U$1),1,""))&lt;&gt;1,"",IF(C977="B01",1,IF(C977="B05",1,IF(C977="B03",1,IF(C977="B04",1,IF(C977="B20",1,IF(C977="B02",1,0)))))))</f>
        <v>1</v>
      </c>
      <c r="G977"/>
      <c r="H977" s="2"/>
      <c r="I977" s="2"/>
      <c r="L977"/>
      <c r="R977"/>
    </row>
    <row r="978" spans="1:18">
      <c r="A978" s="3">
        <v>45739.764710648145</v>
      </c>
      <c r="B978" s="2" t="s">
        <v>26</v>
      </c>
      <c r="C978" s="2" t="s">
        <v>11</v>
      </c>
      <c r="D978" s="6" t="str">
        <f>CONCATENATE(YEAR(A978),"/",IF(MONTH(A978)&lt;10,CONCATENATE("0",MONTH(A978)),MONTH(A978)))</f>
        <v>2025/03</v>
      </c>
      <c r="E978" s="8" t="str">
        <f>IF(IF(D978&lt;&gt;D977,1,IF(OR(B978&lt;&gt;B977,A978-A977&gt;$U$1),1,""))&lt;&gt;1,"",IF(C978="B01",1965,IF(C978="B02",1020,IF(C978="B05",2400,IF(C978="B03",4260,IF(C978="B04",2880,IF(C978="B20",1260,0)))))))</f>
        <v/>
      </c>
      <c r="F978" s="8" t="str">
        <f>IF(IF(D978&lt;&gt;D977,1,IF(OR(B978&lt;&gt;B977,A978-A977&gt;$U$1),1,""))&lt;&gt;1,"",IF(C978="B01",1,IF(C978="B05",1,IF(C978="B03",1,IF(C978="B04",1,IF(C978="B20",1,IF(C978="B02",1,0)))))))</f>
        <v/>
      </c>
      <c r="G978"/>
      <c r="H978" s="2"/>
      <c r="I978" s="2"/>
      <c r="L978"/>
      <c r="R978"/>
    </row>
    <row r="979" spans="1:18">
      <c r="A979" s="3">
        <v>45740.069027777776</v>
      </c>
      <c r="B979" s="2" t="s">
        <v>26</v>
      </c>
      <c r="C979" s="2" t="s">
        <v>11</v>
      </c>
      <c r="D979" s="6" t="str">
        <f>CONCATENATE(YEAR(A979),"/",IF(MONTH(A979)&lt;10,CONCATENATE("0",MONTH(A979)),MONTH(A979)))</f>
        <v>2025/03</v>
      </c>
      <c r="E979" s="8">
        <f>IF(IF(D979&lt;&gt;D978,1,IF(OR(B979&lt;&gt;B978,A979-A978&gt;$U$1),1,""))&lt;&gt;1,"",IF(C979="B01",1965,IF(C979="B02",1020,IF(C979="B05",2400,IF(C979="B03",4260,IF(C979="B04",2880,IF(C979="B20",1260,0)))))))</f>
        <v>2400</v>
      </c>
      <c r="F979" s="8">
        <f>IF(IF(D979&lt;&gt;D978,1,IF(OR(B979&lt;&gt;B978,A979-A978&gt;$U$1),1,""))&lt;&gt;1,"",IF(C979="B01",1,IF(C979="B05",1,IF(C979="B03",1,IF(C979="B04",1,IF(C979="B20",1,IF(C979="B02",1,0)))))))</f>
        <v>1</v>
      </c>
      <c r="G979"/>
      <c r="H979" s="2"/>
      <c r="I979" s="2"/>
      <c r="L979"/>
      <c r="R979"/>
    </row>
    <row r="980" spans="1:18">
      <c r="A980" s="3">
        <v>45740.069027777776</v>
      </c>
      <c r="B980" s="2" t="s">
        <v>26</v>
      </c>
      <c r="C980" s="2" t="s">
        <v>11</v>
      </c>
      <c r="D980" s="6" t="str">
        <f>CONCATENATE(YEAR(A980),"/",IF(MONTH(A980)&lt;10,CONCATENATE("0",MONTH(A980)),MONTH(A980)))</f>
        <v>2025/03</v>
      </c>
      <c r="E980" s="8" t="str">
        <f>IF(IF(D980&lt;&gt;D979,1,IF(OR(B980&lt;&gt;B979,A980-A979&gt;$U$1),1,""))&lt;&gt;1,"",IF(C980="B01",1965,IF(C980="B02",1020,IF(C980="B05",2400,IF(C980="B03",4260,IF(C980="B04",2880,IF(C980="B20",1260,0)))))))</f>
        <v/>
      </c>
      <c r="F980" s="8" t="str">
        <f>IF(IF(D980&lt;&gt;D979,1,IF(OR(B980&lt;&gt;B979,A980-A979&gt;$U$1),1,""))&lt;&gt;1,"",IF(C980="B01",1,IF(C980="B05",1,IF(C980="B03",1,IF(C980="B04",1,IF(C980="B20",1,IF(C980="B02",1,0)))))))</f>
        <v/>
      </c>
      <c r="G980"/>
      <c r="H980" s="2"/>
      <c r="I980" s="2"/>
      <c r="L980"/>
      <c r="R980"/>
    </row>
    <row r="981" spans="1:18">
      <c r="A981" s="3">
        <v>45740.069027777776</v>
      </c>
      <c r="B981" s="2" t="s">
        <v>26</v>
      </c>
      <c r="C981" s="2" t="s">
        <v>11</v>
      </c>
      <c r="D981" s="6" t="str">
        <f>CONCATENATE(YEAR(A981),"/",IF(MONTH(A981)&lt;10,CONCATENATE("0",MONTH(A981)),MONTH(A981)))</f>
        <v>2025/03</v>
      </c>
      <c r="E981" s="8" t="str">
        <f>IF(IF(D981&lt;&gt;D980,1,IF(OR(B981&lt;&gt;B980,A981-A980&gt;$U$1),1,""))&lt;&gt;1,"",IF(C981="B01",1965,IF(C981="B02",1020,IF(C981="B05",2400,IF(C981="B03",4260,IF(C981="B04",2880,IF(C981="B20",1260,0)))))))</f>
        <v/>
      </c>
      <c r="F981" s="8" t="str">
        <f>IF(IF(D981&lt;&gt;D980,1,IF(OR(B981&lt;&gt;B980,A981-A980&gt;$U$1),1,""))&lt;&gt;1,"",IF(C981="B01",1,IF(C981="B05",1,IF(C981="B03",1,IF(C981="B04",1,IF(C981="B20",1,IF(C981="B02",1,0)))))))</f>
        <v/>
      </c>
      <c r="G981"/>
      <c r="H981" s="2"/>
      <c r="I981" s="2"/>
      <c r="L981"/>
      <c r="R981"/>
    </row>
    <row r="982" spans="1:18">
      <c r="A982" s="3">
        <v>45740.191134259258</v>
      </c>
      <c r="B982" s="2" t="s">
        <v>26</v>
      </c>
      <c r="C982" s="2" t="s">
        <v>11</v>
      </c>
      <c r="D982" s="6" t="str">
        <f>CONCATENATE(YEAR(A982),"/",IF(MONTH(A982)&lt;10,CONCATENATE("0",MONTH(A982)),MONTH(A982)))</f>
        <v>2025/03</v>
      </c>
      <c r="E982" s="8">
        <f>IF(IF(D982&lt;&gt;D981,1,IF(OR(B982&lt;&gt;B981,A982-A981&gt;$U$1),1,""))&lt;&gt;1,"",IF(C982="B01",1965,IF(C982="B02",1020,IF(C982="B05",2400,IF(C982="B03",4260,IF(C982="B04",2880,IF(C982="B20",1260,0)))))))</f>
        <v>2400</v>
      </c>
      <c r="F982" s="8">
        <f>IF(IF(D982&lt;&gt;D981,1,IF(OR(B982&lt;&gt;B981,A982-A981&gt;$U$1),1,""))&lt;&gt;1,"",IF(C982="B01",1,IF(C982="B05",1,IF(C982="B03",1,IF(C982="B04",1,IF(C982="B20",1,IF(C982="B02",1,0)))))))</f>
        <v>1</v>
      </c>
      <c r="G982"/>
      <c r="H982" s="2"/>
      <c r="I982" s="2"/>
      <c r="L982"/>
      <c r="R982"/>
    </row>
    <row r="983" spans="1:18">
      <c r="A983" s="3">
        <v>45740.191134259258</v>
      </c>
      <c r="B983" s="2" t="s">
        <v>26</v>
      </c>
      <c r="C983" s="2" t="s">
        <v>11</v>
      </c>
      <c r="D983" s="6" t="str">
        <f>CONCATENATE(YEAR(A983),"/",IF(MONTH(A983)&lt;10,CONCATENATE("0",MONTH(A983)),MONTH(A983)))</f>
        <v>2025/03</v>
      </c>
      <c r="E983" s="8" t="str">
        <f>IF(IF(D983&lt;&gt;D982,1,IF(OR(B983&lt;&gt;B982,A983-A982&gt;$U$1),1,""))&lt;&gt;1,"",IF(C983="B01",1965,IF(C983="B02",1020,IF(C983="B05",2400,IF(C983="B03",4260,IF(C983="B04",2880,IF(C983="B20",1260,0)))))))</f>
        <v/>
      </c>
      <c r="F983" s="8" t="str">
        <f>IF(IF(D983&lt;&gt;D982,1,IF(OR(B983&lt;&gt;B982,A983-A982&gt;$U$1),1,""))&lt;&gt;1,"",IF(C983="B01",1,IF(C983="B05",1,IF(C983="B03",1,IF(C983="B04",1,IF(C983="B20",1,IF(C983="B02",1,0)))))))</f>
        <v/>
      </c>
      <c r="G983"/>
      <c r="H983" s="2"/>
      <c r="I983" s="2"/>
      <c r="L983"/>
      <c r="R983"/>
    </row>
    <row r="984" spans="1:18">
      <c r="A984" s="3">
        <v>45740.191134259258</v>
      </c>
      <c r="B984" s="2" t="s">
        <v>26</v>
      </c>
      <c r="C984" s="2" t="s">
        <v>11</v>
      </c>
      <c r="D984" s="6" t="str">
        <f>CONCATENATE(YEAR(A984),"/",IF(MONTH(A984)&lt;10,CONCATENATE("0",MONTH(A984)),MONTH(A984)))</f>
        <v>2025/03</v>
      </c>
      <c r="E984" s="8" t="str">
        <f>IF(IF(D984&lt;&gt;D983,1,IF(OR(B984&lt;&gt;B983,A984-A983&gt;$U$1),1,""))&lt;&gt;1,"",IF(C984="B01",1965,IF(C984="B02",1020,IF(C984="B05",2400,IF(C984="B03",4260,IF(C984="B04",2880,IF(C984="B20",1260,0)))))))</f>
        <v/>
      </c>
      <c r="F984" s="8" t="str">
        <f>IF(IF(D984&lt;&gt;D983,1,IF(OR(B984&lt;&gt;B983,A984-A983&gt;$U$1),1,""))&lt;&gt;1,"",IF(C984="B01",1,IF(C984="B05",1,IF(C984="B03",1,IF(C984="B04",1,IF(C984="B20",1,IF(C984="B02",1,0)))))))</f>
        <v/>
      </c>
      <c r="G984"/>
      <c r="H984" s="2"/>
      <c r="I984" s="2"/>
      <c r="L984"/>
      <c r="R984"/>
    </row>
    <row r="985" spans="1:18">
      <c r="A985" s="3">
        <v>45740.339189814818</v>
      </c>
      <c r="B985" s="2" t="s">
        <v>26</v>
      </c>
      <c r="C985" s="2" t="s">
        <v>11</v>
      </c>
      <c r="D985" s="6" t="str">
        <f>CONCATENATE(YEAR(A985),"/",IF(MONTH(A985)&lt;10,CONCATENATE("0",MONTH(A985)),MONTH(A985)))</f>
        <v>2025/03</v>
      </c>
      <c r="E985" s="8">
        <f>IF(IF(D985&lt;&gt;D984,1,IF(OR(B985&lt;&gt;B984,A985-A984&gt;$U$1),1,""))&lt;&gt;1,"",IF(C985="B01",1965,IF(C985="B02",1020,IF(C985="B05",2400,IF(C985="B03",4260,IF(C985="B04",2880,IF(C985="B20",1260,0)))))))</f>
        <v>2400</v>
      </c>
      <c r="F985" s="8">
        <f>IF(IF(D985&lt;&gt;D984,1,IF(OR(B985&lt;&gt;B984,A985-A984&gt;$U$1),1,""))&lt;&gt;1,"",IF(C985="B01",1,IF(C985="B05",1,IF(C985="B03",1,IF(C985="B04",1,IF(C985="B20",1,IF(C985="B02",1,0)))))))</f>
        <v>1</v>
      </c>
      <c r="G985"/>
      <c r="H985" s="2"/>
      <c r="I985" s="2"/>
      <c r="L985"/>
      <c r="R985"/>
    </row>
    <row r="986" spans="1:18">
      <c r="A986" s="3">
        <v>45740.339189814818</v>
      </c>
      <c r="B986" s="2" t="s">
        <v>26</v>
      </c>
      <c r="C986" s="2" t="s">
        <v>11</v>
      </c>
      <c r="D986" s="6" t="str">
        <f>CONCATENATE(YEAR(A986),"/",IF(MONTH(A986)&lt;10,CONCATENATE("0",MONTH(A986)),MONTH(A986)))</f>
        <v>2025/03</v>
      </c>
      <c r="E986" s="8" t="str">
        <f>IF(IF(D986&lt;&gt;D985,1,IF(OR(B986&lt;&gt;B985,A986-A985&gt;$U$1),1,""))&lt;&gt;1,"",IF(C986="B01",1965,IF(C986="B02",1020,IF(C986="B05",2400,IF(C986="B03",4260,IF(C986="B04",2880,IF(C986="B20",1260,0)))))))</f>
        <v/>
      </c>
      <c r="F986" s="8" t="str">
        <f>IF(IF(D986&lt;&gt;D985,1,IF(OR(B986&lt;&gt;B985,A986-A985&gt;$U$1),1,""))&lt;&gt;1,"",IF(C986="B01",1,IF(C986="B05",1,IF(C986="B03",1,IF(C986="B04",1,IF(C986="B20",1,IF(C986="B02",1,0)))))))</f>
        <v/>
      </c>
      <c r="G986"/>
      <c r="H986" s="2"/>
      <c r="I986" s="2"/>
      <c r="L986"/>
      <c r="R986"/>
    </row>
    <row r="987" spans="1:18">
      <c r="A987" s="3">
        <v>45740.339189814818</v>
      </c>
      <c r="B987" s="2" t="s">
        <v>26</v>
      </c>
      <c r="C987" s="2" t="s">
        <v>11</v>
      </c>
      <c r="D987" s="6" t="str">
        <f>CONCATENATE(YEAR(A987),"/",IF(MONTH(A987)&lt;10,CONCATENATE("0",MONTH(A987)),MONTH(A987)))</f>
        <v>2025/03</v>
      </c>
      <c r="E987" s="8" t="str">
        <f>IF(IF(D987&lt;&gt;D986,1,IF(OR(B987&lt;&gt;B986,A987-A986&gt;$U$1),1,""))&lt;&gt;1,"",IF(C987="B01",1965,IF(C987="B02",1020,IF(C987="B05",2400,IF(C987="B03",4260,IF(C987="B04",2880,IF(C987="B20",1260,0)))))))</f>
        <v/>
      </c>
      <c r="F987" s="8" t="str">
        <f>IF(IF(D987&lt;&gt;D986,1,IF(OR(B987&lt;&gt;B986,A987-A986&gt;$U$1),1,""))&lt;&gt;1,"",IF(C987="B01",1,IF(C987="B05",1,IF(C987="B03",1,IF(C987="B04",1,IF(C987="B20",1,IF(C987="B02",1,0)))))))</f>
        <v/>
      </c>
      <c r="G987"/>
      <c r="H987" s="2"/>
      <c r="I987" s="2"/>
      <c r="L987"/>
      <c r="R987"/>
    </row>
    <row r="988" spans="1:18">
      <c r="A988" s="3">
        <v>45740.554386574076</v>
      </c>
      <c r="B988" s="2" t="s">
        <v>26</v>
      </c>
      <c r="C988" s="2" t="s">
        <v>12</v>
      </c>
      <c r="D988" s="6" t="str">
        <f>CONCATENATE(YEAR(A988),"/",IF(MONTH(A988)&lt;10,CONCATENATE("0",MONTH(A988)),MONTH(A988)))</f>
        <v>2025/03</v>
      </c>
      <c r="E988" s="8">
        <f>IF(IF(D988&lt;&gt;D987,1,IF(OR(B988&lt;&gt;B987,A988-A987&gt;$U$1),1,""))&lt;&gt;1,"",IF(C988="B01",1965,IF(C988="B02",1020,IF(C988="B05",2400,IF(C988="B03",4260,IF(C988="B04",2880,IF(C988="B20",1260,0)))))))</f>
        <v>4260</v>
      </c>
      <c r="F988" s="8">
        <f>IF(IF(D988&lt;&gt;D987,1,IF(OR(B988&lt;&gt;B987,A988-A987&gt;$U$1),1,""))&lt;&gt;1,"",IF(C988="B01",1,IF(C988="B05",1,IF(C988="B03",1,IF(C988="B04",1,IF(C988="B20",1,IF(C988="B02",1,0)))))))</f>
        <v>1</v>
      </c>
      <c r="G988"/>
      <c r="H988" s="2"/>
      <c r="I988" s="2"/>
      <c r="L988"/>
      <c r="R988"/>
    </row>
    <row r="989" spans="1:18">
      <c r="A989" s="3">
        <v>45740.554386574076</v>
      </c>
      <c r="B989" s="2" t="s">
        <v>26</v>
      </c>
      <c r="C989" s="2" t="s">
        <v>12</v>
      </c>
      <c r="D989" s="6" t="str">
        <f>CONCATENATE(YEAR(A989),"/",IF(MONTH(A989)&lt;10,CONCATENATE("0",MONTH(A989)),MONTH(A989)))</f>
        <v>2025/03</v>
      </c>
      <c r="E989" s="8" t="str">
        <f>IF(IF(D989&lt;&gt;D988,1,IF(OR(B989&lt;&gt;B988,A989-A988&gt;$U$1),1,""))&lt;&gt;1,"",IF(C989="B01",1965,IF(C989="B02",1020,IF(C989="B05",2400,IF(C989="B03",4260,IF(C989="B04",2880,IF(C989="B20",1260,0)))))))</f>
        <v/>
      </c>
      <c r="F989" s="8" t="str">
        <f>IF(IF(D989&lt;&gt;D988,1,IF(OR(B989&lt;&gt;B988,A989-A988&gt;$U$1),1,""))&lt;&gt;1,"",IF(C989="B01",1,IF(C989="B05",1,IF(C989="B03",1,IF(C989="B04",1,IF(C989="B20",1,IF(C989="B02",1,0)))))))</f>
        <v/>
      </c>
      <c r="G989"/>
      <c r="H989" s="2"/>
      <c r="I989" s="2"/>
      <c r="L989"/>
      <c r="R989"/>
    </row>
    <row r="990" spans="1:18">
      <c r="A990" s="3">
        <v>45740.698981481481</v>
      </c>
      <c r="B990" s="2" t="s">
        <v>26</v>
      </c>
      <c r="C990" s="2" t="s">
        <v>12</v>
      </c>
      <c r="D990" s="6" t="str">
        <f>CONCATENATE(YEAR(A990),"/",IF(MONTH(A990)&lt;10,CONCATENATE("0",MONTH(A990)),MONTH(A990)))</f>
        <v>2025/03</v>
      </c>
      <c r="E990" s="8">
        <f>IF(IF(D990&lt;&gt;D989,1,IF(OR(B990&lt;&gt;B989,A990-A989&gt;$U$1),1,""))&lt;&gt;1,"",IF(C990="B01",1965,IF(C990="B02",1020,IF(C990="B05",2400,IF(C990="B03",4260,IF(C990="B04",2880,IF(C990="B20",1260,0)))))))</f>
        <v>4260</v>
      </c>
      <c r="F990" s="8">
        <f>IF(IF(D990&lt;&gt;D989,1,IF(OR(B990&lt;&gt;B989,A990-A989&gt;$U$1),1,""))&lt;&gt;1,"",IF(C990="B01",1,IF(C990="B05",1,IF(C990="B03",1,IF(C990="B04",1,IF(C990="B20",1,IF(C990="B02",1,0)))))))</f>
        <v>1</v>
      </c>
      <c r="G990"/>
      <c r="H990" s="2"/>
      <c r="I990" s="2"/>
      <c r="L990"/>
      <c r="R990"/>
    </row>
    <row r="991" spans="1:18">
      <c r="A991" s="3">
        <v>45740.698981481481</v>
      </c>
      <c r="B991" s="2" t="s">
        <v>26</v>
      </c>
      <c r="C991" s="2" t="s">
        <v>12</v>
      </c>
      <c r="D991" s="6" t="str">
        <f>CONCATENATE(YEAR(A991),"/",IF(MONTH(A991)&lt;10,CONCATENATE("0",MONTH(A991)),MONTH(A991)))</f>
        <v>2025/03</v>
      </c>
      <c r="E991" s="8" t="str">
        <f>IF(IF(D991&lt;&gt;D990,1,IF(OR(B991&lt;&gt;B990,A991-A990&gt;$U$1),1,""))&lt;&gt;1,"",IF(C991="B01",1965,IF(C991="B02",1020,IF(C991="B05",2400,IF(C991="B03",4260,IF(C991="B04",2880,IF(C991="B20",1260,0)))))))</f>
        <v/>
      </c>
      <c r="F991" s="8" t="str">
        <f>IF(IF(D991&lt;&gt;D990,1,IF(OR(B991&lt;&gt;B990,A991-A990&gt;$U$1),1,""))&lt;&gt;1,"",IF(C991="B01",1,IF(C991="B05",1,IF(C991="B03",1,IF(C991="B04",1,IF(C991="B20",1,IF(C991="B02",1,0)))))))</f>
        <v/>
      </c>
      <c r="G991"/>
      <c r="H991" s="2"/>
      <c r="I991" s="2"/>
      <c r="L991"/>
      <c r="R991"/>
    </row>
    <row r="992" spans="1:18">
      <c r="A992" s="3">
        <v>45740.698981481481</v>
      </c>
      <c r="B992" s="2" t="s">
        <v>26</v>
      </c>
      <c r="C992" s="2" t="s">
        <v>12</v>
      </c>
      <c r="D992" s="6" t="str">
        <f>CONCATENATE(YEAR(A992),"/",IF(MONTH(A992)&lt;10,CONCATENATE("0",MONTH(A992)),MONTH(A992)))</f>
        <v>2025/03</v>
      </c>
      <c r="E992" s="8" t="str">
        <f>IF(IF(D992&lt;&gt;D991,1,IF(OR(B992&lt;&gt;B991,A992-A991&gt;$U$1),1,""))&lt;&gt;1,"",IF(C992="B01",1965,IF(C992="B02",1020,IF(C992="B05",2400,IF(C992="B03",4260,IF(C992="B04",2880,IF(C992="B20",1260,0)))))))</f>
        <v/>
      </c>
      <c r="F992" s="8" t="str">
        <f>IF(IF(D992&lt;&gt;D991,1,IF(OR(B992&lt;&gt;B991,A992-A991&gt;$U$1),1,""))&lt;&gt;1,"",IF(C992="B01",1,IF(C992="B05",1,IF(C992="B03",1,IF(C992="B04",1,IF(C992="B20",1,IF(C992="B02",1,0)))))))</f>
        <v/>
      </c>
      <c r="G992"/>
      <c r="H992" s="2"/>
      <c r="I992" s="2"/>
      <c r="L992"/>
      <c r="R992"/>
    </row>
    <row r="993" spans="1:18">
      <c r="A993" s="3">
        <v>45741.080358796295</v>
      </c>
      <c r="B993" s="2" t="s">
        <v>26</v>
      </c>
      <c r="C993" s="2" t="s">
        <v>12</v>
      </c>
      <c r="D993" s="6" t="str">
        <f>CONCATENATE(YEAR(A993),"/",IF(MONTH(A993)&lt;10,CONCATENATE("0",MONTH(A993)),MONTH(A993)))</f>
        <v>2025/03</v>
      </c>
      <c r="E993" s="8">
        <f>IF(IF(D993&lt;&gt;D992,1,IF(OR(B993&lt;&gt;B992,A993-A992&gt;$U$1),1,""))&lt;&gt;1,"",IF(C993="B01",1965,IF(C993="B02",1020,IF(C993="B05",2400,IF(C993="B03",4260,IF(C993="B04",2880,IF(C993="B20",1260,0)))))))</f>
        <v>4260</v>
      </c>
      <c r="F993" s="8">
        <f>IF(IF(D993&lt;&gt;D992,1,IF(OR(B993&lt;&gt;B992,A993-A992&gt;$U$1),1,""))&lt;&gt;1,"",IF(C993="B01",1,IF(C993="B05",1,IF(C993="B03",1,IF(C993="B04",1,IF(C993="B20",1,IF(C993="B02",1,0)))))))</f>
        <v>1</v>
      </c>
      <c r="G993"/>
      <c r="H993" s="2"/>
      <c r="I993" s="2"/>
      <c r="L993"/>
      <c r="R993"/>
    </row>
    <row r="994" spans="1:18">
      <c r="A994" s="3">
        <v>45741.080358796295</v>
      </c>
      <c r="B994" s="2" t="s">
        <v>26</v>
      </c>
      <c r="C994" s="2" t="s">
        <v>12</v>
      </c>
      <c r="D994" s="6" t="str">
        <f>CONCATENATE(YEAR(A994),"/",IF(MONTH(A994)&lt;10,CONCATENATE("0",MONTH(A994)),MONTH(A994)))</f>
        <v>2025/03</v>
      </c>
      <c r="E994" s="8" t="str">
        <f>IF(IF(D994&lt;&gt;D993,1,IF(OR(B994&lt;&gt;B993,A994-A993&gt;$U$1),1,""))&lt;&gt;1,"",IF(C994="B01",1965,IF(C994="B02",1020,IF(C994="B05",2400,IF(C994="B03",4260,IF(C994="B04",2880,IF(C994="B20",1260,0)))))))</f>
        <v/>
      </c>
      <c r="F994" s="8" t="str">
        <f>IF(IF(D994&lt;&gt;D993,1,IF(OR(B994&lt;&gt;B993,A994-A993&gt;$U$1),1,""))&lt;&gt;1,"",IF(C994="B01",1,IF(C994="B05",1,IF(C994="B03",1,IF(C994="B04",1,IF(C994="B20",1,IF(C994="B02",1,0)))))))</f>
        <v/>
      </c>
      <c r="G994"/>
      <c r="H994" s="2"/>
      <c r="I994" s="2"/>
      <c r="L994"/>
      <c r="R994"/>
    </row>
    <row r="995" spans="1:18">
      <c r="A995" s="3">
        <v>45741.217662037037</v>
      </c>
      <c r="B995" s="2" t="s">
        <v>26</v>
      </c>
      <c r="C995" s="2" t="s">
        <v>12</v>
      </c>
      <c r="D995" s="6" t="str">
        <f>CONCATENATE(YEAR(A995),"/",IF(MONTH(A995)&lt;10,CONCATENATE("0",MONTH(A995)),MONTH(A995)))</f>
        <v>2025/03</v>
      </c>
      <c r="E995" s="8">
        <f>IF(IF(D995&lt;&gt;D994,1,IF(OR(B995&lt;&gt;B994,A995-A994&gt;$U$1),1,""))&lt;&gt;1,"",IF(C995="B01",1965,IF(C995="B02",1020,IF(C995="B05",2400,IF(C995="B03",4260,IF(C995="B04",2880,IF(C995="B20",1260,0)))))))</f>
        <v>4260</v>
      </c>
      <c r="F995" s="8">
        <f>IF(IF(D995&lt;&gt;D994,1,IF(OR(B995&lt;&gt;B994,A995-A994&gt;$U$1),1,""))&lt;&gt;1,"",IF(C995="B01",1,IF(C995="B05",1,IF(C995="B03",1,IF(C995="B04",1,IF(C995="B20",1,IF(C995="B02",1,0)))))))</f>
        <v>1</v>
      </c>
      <c r="G995"/>
      <c r="H995" s="2"/>
      <c r="I995" s="2"/>
      <c r="L995"/>
      <c r="R995"/>
    </row>
    <row r="996" spans="1:18">
      <c r="A996" s="3">
        <v>45741.217662037037</v>
      </c>
      <c r="B996" s="2" t="s">
        <v>26</v>
      </c>
      <c r="C996" s="2" t="s">
        <v>12</v>
      </c>
      <c r="D996" s="6" t="str">
        <f>CONCATENATE(YEAR(A996),"/",IF(MONTH(A996)&lt;10,CONCATENATE("0",MONTH(A996)),MONTH(A996)))</f>
        <v>2025/03</v>
      </c>
      <c r="E996" s="8" t="str">
        <f>IF(IF(D996&lt;&gt;D995,1,IF(OR(B996&lt;&gt;B995,A996-A995&gt;$U$1),1,""))&lt;&gt;1,"",IF(C996="B01",1965,IF(C996="B02",1020,IF(C996="B05",2400,IF(C996="B03",4260,IF(C996="B04",2880,IF(C996="B20",1260,0)))))))</f>
        <v/>
      </c>
      <c r="F996" s="8" t="str">
        <f>IF(IF(D996&lt;&gt;D995,1,IF(OR(B996&lt;&gt;B995,A996-A995&gt;$U$1),1,""))&lt;&gt;1,"",IF(C996="B01",1,IF(C996="B05",1,IF(C996="B03",1,IF(C996="B04",1,IF(C996="B20",1,IF(C996="B02",1,0)))))))</f>
        <v/>
      </c>
      <c r="G996"/>
      <c r="H996" s="2"/>
      <c r="I996" s="2"/>
      <c r="L996"/>
      <c r="R996"/>
    </row>
    <row r="997" spans="1:18">
      <c r="A997" s="3">
        <v>45741.526041666664</v>
      </c>
      <c r="B997" s="2" t="s">
        <v>26</v>
      </c>
      <c r="C997" s="2" t="s">
        <v>12</v>
      </c>
      <c r="D997" s="6" t="str">
        <f>CONCATENATE(YEAR(A997),"/",IF(MONTH(A997)&lt;10,CONCATENATE("0",MONTH(A997)),MONTH(A997)))</f>
        <v>2025/03</v>
      </c>
      <c r="E997" s="8">
        <f>IF(IF(D997&lt;&gt;D996,1,IF(OR(B997&lt;&gt;B996,A997-A996&gt;$U$1),1,""))&lt;&gt;1,"",IF(C997="B01",1965,IF(C997="B02",1020,IF(C997="B05",2400,IF(C997="B03",4260,IF(C997="B04",2880,IF(C997="B20",1260,0)))))))</f>
        <v>4260</v>
      </c>
      <c r="F997" s="8">
        <f>IF(IF(D997&lt;&gt;D996,1,IF(OR(B997&lt;&gt;B996,A997-A996&gt;$U$1),1,""))&lt;&gt;1,"",IF(C997="B01",1,IF(C997="B05",1,IF(C997="B03",1,IF(C997="B04",1,IF(C997="B20",1,IF(C997="B02",1,0)))))))</f>
        <v>1</v>
      </c>
      <c r="G997"/>
      <c r="H997" s="2"/>
      <c r="I997" s="2"/>
      <c r="L997"/>
      <c r="R997"/>
    </row>
    <row r="998" spans="1:18">
      <c r="A998" s="3">
        <v>45741.526041666664</v>
      </c>
      <c r="B998" s="2" t="s">
        <v>26</v>
      </c>
      <c r="C998" s="2" t="s">
        <v>12</v>
      </c>
      <c r="D998" s="6" t="str">
        <f>CONCATENATE(YEAR(A998),"/",IF(MONTH(A998)&lt;10,CONCATENATE("0",MONTH(A998)),MONTH(A998)))</f>
        <v>2025/03</v>
      </c>
      <c r="E998" s="8" t="str">
        <f>IF(IF(D998&lt;&gt;D997,1,IF(OR(B998&lt;&gt;B997,A998-A997&gt;$U$1),1,""))&lt;&gt;1,"",IF(C998="B01",1965,IF(C998="B02",1020,IF(C998="B05",2400,IF(C998="B03",4260,IF(C998="B04",2880,IF(C998="B20",1260,0)))))))</f>
        <v/>
      </c>
      <c r="F998" s="8" t="str">
        <f>IF(IF(D998&lt;&gt;D997,1,IF(OR(B998&lt;&gt;B997,A998-A997&gt;$U$1),1,""))&lt;&gt;1,"",IF(C998="B01",1,IF(C998="B05",1,IF(C998="B03",1,IF(C998="B04",1,IF(C998="B20",1,IF(C998="B02",1,0)))))))</f>
        <v/>
      </c>
      <c r="G998"/>
      <c r="H998" s="2"/>
      <c r="I998" s="2"/>
      <c r="L998"/>
      <c r="R998"/>
    </row>
    <row r="999" spans="1:18">
      <c r="A999" s="3">
        <v>45741.670856481483</v>
      </c>
      <c r="B999" s="2" t="s">
        <v>26</v>
      </c>
      <c r="C999" s="2" t="s">
        <v>11</v>
      </c>
      <c r="D999" s="6" t="str">
        <f>CONCATENATE(YEAR(A999),"/",IF(MONTH(A999)&lt;10,CONCATENATE("0",MONTH(A999)),MONTH(A999)))</f>
        <v>2025/03</v>
      </c>
      <c r="E999" s="8">
        <f>IF(IF(D999&lt;&gt;D998,1,IF(OR(B999&lt;&gt;B998,A999-A998&gt;$U$1),1,""))&lt;&gt;1,"",IF(C999="B01",1965,IF(C999="B02",1020,IF(C999="B05",2400,IF(C999="B03",4260,IF(C999="B04",2880,IF(C999="B20",1260,0)))))))</f>
        <v>2400</v>
      </c>
      <c r="F999" s="8">
        <f>IF(IF(D999&lt;&gt;D998,1,IF(OR(B999&lt;&gt;B998,A999-A998&gt;$U$1),1,""))&lt;&gt;1,"",IF(C999="B01",1,IF(C999="B05",1,IF(C999="B03",1,IF(C999="B04",1,IF(C999="B20",1,IF(C999="B02",1,0)))))))</f>
        <v>1</v>
      </c>
      <c r="G999"/>
      <c r="H999" s="2"/>
      <c r="I999" s="2"/>
      <c r="L999"/>
      <c r="R999"/>
    </row>
    <row r="1000" spans="1:18">
      <c r="A1000" s="3">
        <v>45741.670856481483</v>
      </c>
      <c r="B1000" s="2" t="s">
        <v>26</v>
      </c>
      <c r="C1000" s="2" t="s">
        <v>11</v>
      </c>
      <c r="D1000" s="6" t="str">
        <f>CONCATENATE(YEAR(A1000),"/",IF(MONTH(A1000)&lt;10,CONCATENATE("0",MONTH(A1000)),MONTH(A1000)))</f>
        <v>2025/03</v>
      </c>
      <c r="E1000" s="8" t="str">
        <f>IF(IF(D1000&lt;&gt;D999,1,IF(OR(B1000&lt;&gt;B999,A1000-A999&gt;$U$1),1,""))&lt;&gt;1,"",IF(C1000="B01",1965,IF(C1000="B02",1020,IF(C1000="B05",2400,IF(C1000="B03",4260,IF(C1000="B04",2880,IF(C1000="B20",1260,0)))))))</f>
        <v/>
      </c>
      <c r="F1000" s="8" t="str">
        <f>IF(IF(D1000&lt;&gt;D999,1,IF(OR(B1000&lt;&gt;B999,A1000-A999&gt;$U$1),1,""))&lt;&gt;1,"",IF(C1000="B01",1,IF(C1000="B05",1,IF(C1000="B03",1,IF(C1000="B04",1,IF(C1000="B20",1,IF(C1000="B02",1,0)))))))</f>
        <v/>
      </c>
      <c r="G1000"/>
      <c r="H1000" s="2"/>
      <c r="I1000" s="2"/>
      <c r="L1000"/>
      <c r="R1000"/>
    </row>
    <row r="1001" spans="1:18">
      <c r="A1001" s="3">
        <v>45741.670856481483</v>
      </c>
      <c r="B1001" s="2" t="s">
        <v>26</v>
      </c>
      <c r="C1001" s="2" t="s">
        <v>11</v>
      </c>
      <c r="D1001" s="6" t="str">
        <f>CONCATENATE(YEAR(A1001),"/",IF(MONTH(A1001)&lt;10,CONCATENATE("0",MONTH(A1001)),MONTH(A1001)))</f>
        <v>2025/03</v>
      </c>
      <c r="E1001" s="8" t="str">
        <f>IF(IF(D1001&lt;&gt;D1000,1,IF(OR(B1001&lt;&gt;B1000,A1001-A1000&gt;$U$1),1,""))&lt;&gt;1,"",IF(C1001="B01",1965,IF(C1001="B02",1020,IF(C1001="B05",2400,IF(C1001="B03",4260,IF(C1001="B04",2880,IF(C1001="B20",1260,0)))))))</f>
        <v/>
      </c>
      <c r="F1001" s="8" t="str">
        <f>IF(IF(D1001&lt;&gt;D1000,1,IF(OR(B1001&lt;&gt;B1000,A1001-A1000&gt;$U$1),1,""))&lt;&gt;1,"",IF(C1001="B01",1,IF(C1001="B05",1,IF(C1001="B03",1,IF(C1001="B04",1,IF(C1001="B20",1,IF(C1001="B02",1,0)))))))</f>
        <v/>
      </c>
      <c r="G1001"/>
      <c r="H1001" s="2"/>
      <c r="I1001" s="2"/>
      <c r="L1001"/>
      <c r="R1001"/>
    </row>
    <row r="1002" spans="1:18">
      <c r="A1002" s="3">
        <v>45741.670856481483</v>
      </c>
      <c r="B1002" s="2" t="s">
        <v>26</v>
      </c>
      <c r="C1002" s="2" t="s">
        <v>11</v>
      </c>
      <c r="D1002" s="6" t="str">
        <f>CONCATENATE(YEAR(A1002),"/",IF(MONTH(A1002)&lt;10,CONCATENATE("0",MONTH(A1002)),MONTH(A1002)))</f>
        <v>2025/03</v>
      </c>
      <c r="E1002" s="8" t="str">
        <f>IF(IF(D1002&lt;&gt;D1001,1,IF(OR(B1002&lt;&gt;B1001,A1002-A1001&gt;$U$1),1,""))&lt;&gt;1,"",IF(C1002="B01",1965,IF(C1002="B02",1020,IF(C1002="B05",2400,IF(C1002="B03",4260,IF(C1002="B04",2880,IF(C1002="B20",1260,0)))))))</f>
        <v/>
      </c>
      <c r="F1002" s="8" t="str">
        <f>IF(IF(D1002&lt;&gt;D1001,1,IF(OR(B1002&lt;&gt;B1001,A1002-A1001&gt;$U$1),1,""))&lt;&gt;1,"",IF(C1002="B01",1,IF(C1002="B05",1,IF(C1002="B03",1,IF(C1002="B04",1,IF(C1002="B20",1,IF(C1002="B02",1,0)))))))</f>
        <v/>
      </c>
      <c r="G1002"/>
      <c r="H1002" s="2"/>
      <c r="I1002" s="2"/>
      <c r="L1002"/>
      <c r="R1002"/>
    </row>
    <row r="1003" spans="1:18">
      <c r="A1003" s="3">
        <v>45742.0309837963</v>
      </c>
      <c r="B1003" s="2" t="s">
        <v>26</v>
      </c>
      <c r="C1003" s="2" t="s">
        <v>11</v>
      </c>
      <c r="D1003" s="6" t="str">
        <f>CONCATENATE(YEAR(A1003),"/",IF(MONTH(A1003)&lt;10,CONCATENATE("0",MONTH(A1003)),MONTH(A1003)))</f>
        <v>2025/03</v>
      </c>
      <c r="E1003" s="8">
        <f>IF(IF(D1003&lt;&gt;D1002,1,IF(OR(B1003&lt;&gt;B1002,A1003-A1002&gt;$U$1),1,""))&lt;&gt;1,"",IF(C1003="B01",1965,IF(C1003="B02",1020,IF(C1003="B05",2400,IF(C1003="B03",4260,IF(C1003="B04",2880,IF(C1003="B20",1260,0)))))))</f>
        <v>2400</v>
      </c>
      <c r="F1003" s="8">
        <f>IF(IF(D1003&lt;&gt;D1002,1,IF(OR(B1003&lt;&gt;B1002,A1003-A1002&gt;$U$1),1,""))&lt;&gt;1,"",IF(C1003="B01",1,IF(C1003="B05",1,IF(C1003="B03",1,IF(C1003="B04",1,IF(C1003="B20",1,IF(C1003="B02",1,0)))))))</f>
        <v>1</v>
      </c>
      <c r="G1003"/>
      <c r="H1003" s="2"/>
      <c r="I1003" s="2"/>
      <c r="L1003"/>
      <c r="R1003"/>
    </row>
    <row r="1004" spans="1:18">
      <c r="A1004" s="3">
        <v>45742.0309837963</v>
      </c>
      <c r="B1004" s="2" t="s">
        <v>26</v>
      </c>
      <c r="C1004" s="2" t="s">
        <v>11</v>
      </c>
      <c r="D1004" s="6" t="str">
        <f>CONCATENATE(YEAR(A1004),"/",IF(MONTH(A1004)&lt;10,CONCATENATE("0",MONTH(A1004)),MONTH(A1004)))</f>
        <v>2025/03</v>
      </c>
      <c r="E1004" s="8" t="str">
        <f>IF(IF(D1004&lt;&gt;D1003,1,IF(OR(B1004&lt;&gt;B1003,A1004-A1003&gt;$U$1),1,""))&lt;&gt;1,"",IF(C1004="B01",1965,IF(C1004="B02",1020,IF(C1004="B05",2400,IF(C1004="B03",4260,IF(C1004="B04",2880,IF(C1004="B20",1260,0)))))))</f>
        <v/>
      </c>
      <c r="F1004" s="8" t="str">
        <f>IF(IF(D1004&lt;&gt;D1003,1,IF(OR(B1004&lt;&gt;B1003,A1004-A1003&gt;$U$1),1,""))&lt;&gt;1,"",IF(C1004="B01",1,IF(C1004="B05",1,IF(C1004="B03",1,IF(C1004="B04",1,IF(C1004="B20",1,IF(C1004="B02",1,0)))))))</f>
        <v/>
      </c>
      <c r="G1004"/>
      <c r="H1004" s="2"/>
      <c r="I1004" s="2"/>
      <c r="L1004"/>
      <c r="R1004"/>
    </row>
    <row r="1005" spans="1:18">
      <c r="A1005" s="3">
        <v>45742.0309837963</v>
      </c>
      <c r="B1005" s="2" t="s">
        <v>26</v>
      </c>
      <c r="C1005" s="2" t="s">
        <v>11</v>
      </c>
      <c r="D1005" s="6" t="str">
        <f>CONCATENATE(YEAR(A1005),"/",IF(MONTH(A1005)&lt;10,CONCATENATE("0",MONTH(A1005)),MONTH(A1005)))</f>
        <v>2025/03</v>
      </c>
      <c r="E1005" s="8" t="str">
        <f>IF(IF(D1005&lt;&gt;D1004,1,IF(OR(B1005&lt;&gt;B1004,A1005-A1004&gt;$U$1),1,""))&lt;&gt;1,"",IF(C1005="B01",1965,IF(C1005="B02",1020,IF(C1005="B05",2400,IF(C1005="B03",4260,IF(C1005="B04",2880,IF(C1005="B20",1260,0)))))))</f>
        <v/>
      </c>
      <c r="F1005" s="8" t="str">
        <f>IF(IF(D1005&lt;&gt;D1004,1,IF(OR(B1005&lt;&gt;B1004,A1005-A1004&gt;$U$1),1,""))&lt;&gt;1,"",IF(C1005="B01",1,IF(C1005="B05",1,IF(C1005="B03",1,IF(C1005="B04",1,IF(C1005="B20",1,IF(C1005="B02",1,0)))))))</f>
        <v/>
      </c>
      <c r="G1005"/>
      <c r="H1005" s="2"/>
      <c r="I1005" s="2"/>
      <c r="L1005"/>
      <c r="R1005"/>
    </row>
    <row r="1006" spans="1:18">
      <c r="A1006" s="3">
        <v>45742.165196759262</v>
      </c>
      <c r="B1006" s="2" t="s">
        <v>26</v>
      </c>
      <c r="C1006" s="2" t="s">
        <v>12</v>
      </c>
      <c r="D1006" s="6" t="str">
        <f>CONCATENATE(YEAR(A1006),"/",IF(MONTH(A1006)&lt;10,CONCATENATE("0",MONTH(A1006)),MONTH(A1006)))</f>
        <v>2025/03</v>
      </c>
      <c r="E1006" s="8">
        <f>IF(IF(D1006&lt;&gt;D1005,1,IF(OR(B1006&lt;&gt;B1005,A1006-A1005&gt;$U$1),1,""))&lt;&gt;1,"",IF(C1006="B01",1965,IF(C1006="B02",1020,IF(C1006="B05",2400,IF(C1006="B03",4260,IF(C1006="B04",2880,IF(C1006="B20",1260,0)))))))</f>
        <v>4260</v>
      </c>
      <c r="F1006" s="8">
        <f>IF(IF(D1006&lt;&gt;D1005,1,IF(OR(B1006&lt;&gt;B1005,A1006-A1005&gt;$U$1),1,""))&lt;&gt;1,"",IF(C1006="B01",1,IF(C1006="B05",1,IF(C1006="B03",1,IF(C1006="B04",1,IF(C1006="B20",1,IF(C1006="B02",1,0)))))))</f>
        <v>1</v>
      </c>
      <c r="G1006"/>
      <c r="H1006" s="2"/>
      <c r="I1006" s="2"/>
      <c r="L1006"/>
      <c r="R1006"/>
    </row>
    <row r="1007" spans="1:18">
      <c r="A1007" s="3">
        <v>45742.165196759262</v>
      </c>
      <c r="B1007" s="2" t="s">
        <v>26</v>
      </c>
      <c r="C1007" s="2" t="s">
        <v>12</v>
      </c>
      <c r="D1007" s="6" t="str">
        <f>CONCATENATE(YEAR(A1007),"/",IF(MONTH(A1007)&lt;10,CONCATENATE("0",MONTH(A1007)),MONTH(A1007)))</f>
        <v>2025/03</v>
      </c>
      <c r="E1007" s="8" t="str">
        <f>IF(IF(D1007&lt;&gt;D1006,1,IF(OR(B1007&lt;&gt;B1006,A1007-A1006&gt;$U$1),1,""))&lt;&gt;1,"",IF(C1007="B01",1965,IF(C1007="B02",1020,IF(C1007="B05",2400,IF(C1007="B03",4260,IF(C1007="B04",2880,IF(C1007="B20",1260,0)))))))</f>
        <v/>
      </c>
      <c r="F1007" s="8" t="str">
        <f>IF(IF(D1007&lt;&gt;D1006,1,IF(OR(B1007&lt;&gt;B1006,A1007-A1006&gt;$U$1),1,""))&lt;&gt;1,"",IF(C1007="B01",1,IF(C1007="B05",1,IF(C1007="B03",1,IF(C1007="B04",1,IF(C1007="B20",1,IF(C1007="B02",1,0)))))))</f>
        <v/>
      </c>
      <c r="G1007"/>
      <c r="H1007" s="2"/>
      <c r="I1007" s="2"/>
      <c r="L1007"/>
      <c r="R1007"/>
    </row>
    <row r="1008" spans="1:18">
      <c r="A1008" s="3">
        <v>45742.323912037034</v>
      </c>
      <c r="B1008" s="2" t="s">
        <v>26</v>
      </c>
      <c r="C1008" s="2" t="s">
        <v>12</v>
      </c>
      <c r="D1008" s="6" t="str">
        <f>CONCATENATE(YEAR(A1008),"/",IF(MONTH(A1008)&lt;10,CONCATENATE("0",MONTH(A1008)),MONTH(A1008)))</f>
        <v>2025/03</v>
      </c>
      <c r="E1008" s="8">
        <f>IF(IF(D1008&lt;&gt;D1007,1,IF(OR(B1008&lt;&gt;B1007,A1008-A1007&gt;$U$1),1,""))&lt;&gt;1,"",IF(C1008="B01",1965,IF(C1008="B02",1020,IF(C1008="B05",2400,IF(C1008="B03",4260,IF(C1008="B04",2880,IF(C1008="B20",1260,0)))))))</f>
        <v>4260</v>
      </c>
      <c r="F1008" s="8">
        <f>IF(IF(D1008&lt;&gt;D1007,1,IF(OR(B1008&lt;&gt;B1007,A1008-A1007&gt;$U$1),1,""))&lt;&gt;1,"",IF(C1008="B01",1,IF(C1008="B05",1,IF(C1008="B03",1,IF(C1008="B04",1,IF(C1008="B20",1,IF(C1008="B02",1,0)))))))</f>
        <v>1</v>
      </c>
      <c r="G1008"/>
      <c r="H1008" s="2"/>
      <c r="I1008" s="2"/>
      <c r="L1008"/>
      <c r="R1008"/>
    </row>
    <row r="1009" spans="1:18">
      <c r="A1009" s="3">
        <v>45742.323912037034</v>
      </c>
      <c r="B1009" s="2" t="s">
        <v>26</v>
      </c>
      <c r="C1009" s="2" t="s">
        <v>12</v>
      </c>
      <c r="D1009" s="6" t="str">
        <f>CONCATENATE(YEAR(A1009),"/",IF(MONTH(A1009)&lt;10,CONCATENATE("0",MONTH(A1009)),MONTH(A1009)))</f>
        <v>2025/03</v>
      </c>
      <c r="E1009" s="8" t="str">
        <f>IF(IF(D1009&lt;&gt;D1008,1,IF(OR(B1009&lt;&gt;B1008,A1009-A1008&gt;$U$1),1,""))&lt;&gt;1,"",IF(C1009="B01",1965,IF(C1009="B02",1020,IF(C1009="B05",2400,IF(C1009="B03",4260,IF(C1009="B04",2880,IF(C1009="B20",1260,0)))))))</f>
        <v/>
      </c>
      <c r="F1009" s="8" t="str">
        <f>IF(IF(D1009&lt;&gt;D1008,1,IF(OR(B1009&lt;&gt;B1008,A1009-A1008&gt;$U$1),1,""))&lt;&gt;1,"",IF(C1009="B01",1,IF(C1009="B05",1,IF(C1009="B03",1,IF(C1009="B04",1,IF(C1009="B20",1,IF(C1009="B02",1,0)))))))</f>
        <v/>
      </c>
      <c r="G1009"/>
      <c r="H1009" s="2"/>
      <c r="I1009" s="2"/>
      <c r="L1009"/>
      <c r="R1009"/>
    </row>
    <row r="1010" spans="1:18">
      <c r="A1010" s="3">
        <v>45742.773784722223</v>
      </c>
      <c r="B1010" s="2" t="s">
        <v>26</v>
      </c>
      <c r="C1010" s="2" t="s">
        <v>11</v>
      </c>
      <c r="D1010" s="6" t="str">
        <f>CONCATENATE(YEAR(A1010),"/",IF(MONTH(A1010)&lt;10,CONCATENATE("0",MONTH(A1010)),MONTH(A1010)))</f>
        <v>2025/03</v>
      </c>
      <c r="E1010" s="8">
        <f>IF(IF(D1010&lt;&gt;D1009,1,IF(OR(B1010&lt;&gt;B1009,A1010-A1009&gt;$U$1),1,""))&lt;&gt;1,"",IF(C1010="B01",1965,IF(C1010="B02",1020,IF(C1010="B05",2400,IF(C1010="B03",4260,IF(C1010="B04",2880,IF(C1010="B20",1260,0)))))))</f>
        <v>2400</v>
      </c>
      <c r="F1010" s="8">
        <f>IF(IF(D1010&lt;&gt;D1009,1,IF(OR(B1010&lt;&gt;B1009,A1010-A1009&gt;$U$1),1,""))&lt;&gt;1,"",IF(C1010="B01",1,IF(C1010="B05",1,IF(C1010="B03",1,IF(C1010="B04",1,IF(C1010="B20",1,IF(C1010="B02",1,0)))))))</f>
        <v>1</v>
      </c>
      <c r="G1010"/>
      <c r="H1010" s="2"/>
      <c r="I1010" s="2"/>
      <c r="L1010"/>
      <c r="R1010"/>
    </row>
    <row r="1011" spans="1:18">
      <c r="A1011" s="3">
        <v>45742.773784722223</v>
      </c>
      <c r="B1011" s="2" t="s">
        <v>26</v>
      </c>
      <c r="C1011" s="2" t="s">
        <v>11</v>
      </c>
      <c r="D1011" s="6" t="str">
        <f>CONCATENATE(YEAR(A1011),"/",IF(MONTH(A1011)&lt;10,CONCATENATE("0",MONTH(A1011)),MONTH(A1011)))</f>
        <v>2025/03</v>
      </c>
      <c r="E1011" s="8" t="str">
        <f>IF(IF(D1011&lt;&gt;D1010,1,IF(OR(B1011&lt;&gt;B1010,A1011-A1010&gt;$U$1),1,""))&lt;&gt;1,"",IF(C1011="B01",1965,IF(C1011="B02",1020,IF(C1011="B05",2400,IF(C1011="B03",4260,IF(C1011="B04",2880,IF(C1011="B20",1260,0)))))))</f>
        <v/>
      </c>
      <c r="F1011" s="8" t="str">
        <f>IF(IF(D1011&lt;&gt;D1010,1,IF(OR(B1011&lt;&gt;B1010,A1011-A1010&gt;$U$1),1,""))&lt;&gt;1,"",IF(C1011="B01",1,IF(C1011="B05",1,IF(C1011="B03",1,IF(C1011="B04",1,IF(C1011="B20",1,IF(C1011="B02",1,0)))))))</f>
        <v/>
      </c>
      <c r="G1011"/>
      <c r="H1011" s="2"/>
      <c r="I1011" s="2"/>
      <c r="L1011"/>
      <c r="R1011"/>
    </row>
    <row r="1012" spans="1:18">
      <c r="A1012" s="3">
        <v>45742.773784722223</v>
      </c>
      <c r="B1012" s="2" t="s">
        <v>26</v>
      </c>
      <c r="C1012" s="2" t="s">
        <v>11</v>
      </c>
      <c r="D1012" s="6" t="str">
        <f>CONCATENATE(YEAR(A1012),"/",IF(MONTH(A1012)&lt;10,CONCATENATE("0",MONTH(A1012)),MONTH(A1012)))</f>
        <v>2025/03</v>
      </c>
      <c r="E1012" s="8" t="str">
        <f>IF(IF(D1012&lt;&gt;D1011,1,IF(OR(B1012&lt;&gt;B1011,A1012-A1011&gt;$U$1),1,""))&lt;&gt;1,"",IF(C1012="B01",1965,IF(C1012="B02",1020,IF(C1012="B05",2400,IF(C1012="B03",4260,IF(C1012="B04",2880,IF(C1012="B20",1260,0)))))))</f>
        <v/>
      </c>
      <c r="F1012" s="8" t="str">
        <f>IF(IF(D1012&lt;&gt;D1011,1,IF(OR(B1012&lt;&gt;B1011,A1012-A1011&gt;$U$1),1,""))&lt;&gt;1,"",IF(C1012="B01",1,IF(C1012="B05",1,IF(C1012="B03",1,IF(C1012="B04",1,IF(C1012="B20",1,IF(C1012="B02",1,0)))))))</f>
        <v/>
      </c>
      <c r="G1012"/>
      <c r="H1012" s="2"/>
      <c r="I1012" s="2"/>
      <c r="L1012"/>
      <c r="R1012"/>
    </row>
    <row r="1013" spans="1:18">
      <c r="A1013" s="3">
        <v>45743.085833333331</v>
      </c>
      <c r="B1013" s="2" t="s">
        <v>26</v>
      </c>
      <c r="C1013" s="2" t="s">
        <v>11</v>
      </c>
      <c r="D1013" s="6" t="str">
        <f>CONCATENATE(YEAR(A1013),"/",IF(MONTH(A1013)&lt;10,CONCATENATE("0",MONTH(A1013)),MONTH(A1013)))</f>
        <v>2025/03</v>
      </c>
      <c r="E1013" s="8">
        <f>IF(IF(D1013&lt;&gt;D1012,1,IF(OR(B1013&lt;&gt;B1012,A1013-A1012&gt;$U$1),1,""))&lt;&gt;1,"",IF(C1013="B01",1965,IF(C1013="B02",1020,IF(C1013="B05",2400,IF(C1013="B03",4260,IF(C1013="B04",2880,IF(C1013="B20",1260,0)))))))</f>
        <v>2400</v>
      </c>
      <c r="F1013" s="8">
        <f>IF(IF(D1013&lt;&gt;D1012,1,IF(OR(B1013&lt;&gt;B1012,A1013-A1012&gt;$U$1),1,""))&lt;&gt;1,"",IF(C1013="B01",1,IF(C1013="B05",1,IF(C1013="B03",1,IF(C1013="B04",1,IF(C1013="B20",1,IF(C1013="B02",1,0)))))))</f>
        <v>1</v>
      </c>
      <c r="G1013"/>
      <c r="H1013" s="2"/>
      <c r="I1013" s="2"/>
      <c r="L1013"/>
      <c r="R1013"/>
    </row>
    <row r="1014" spans="1:18">
      <c r="A1014" s="3">
        <v>45743.085833333331</v>
      </c>
      <c r="B1014" s="2" t="s">
        <v>26</v>
      </c>
      <c r="C1014" s="2" t="s">
        <v>11</v>
      </c>
      <c r="D1014" s="6" t="str">
        <f>CONCATENATE(YEAR(A1014),"/",IF(MONTH(A1014)&lt;10,CONCATENATE("0",MONTH(A1014)),MONTH(A1014)))</f>
        <v>2025/03</v>
      </c>
      <c r="E1014" s="8" t="str">
        <f>IF(IF(D1014&lt;&gt;D1013,1,IF(OR(B1014&lt;&gt;B1013,A1014-A1013&gt;$U$1),1,""))&lt;&gt;1,"",IF(C1014="B01",1965,IF(C1014="B02",1020,IF(C1014="B05",2400,IF(C1014="B03",4260,IF(C1014="B04",2880,IF(C1014="B20",1260,0)))))))</f>
        <v/>
      </c>
      <c r="F1014" s="8" t="str">
        <f>IF(IF(D1014&lt;&gt;D1013,1,IF(OR(B1014&lt;&gt;B1013,A1014-A1013&gt;$U$1),1,""))&lt;&gt;1,"",IF(C1014="B01",1,IF(C1014="B05",1,IF(C1014="B03",1,IF(C1014="B04",1,IF(C1014="B20",1,IF(C1014="B02",1,0)))))))</f>
        <v/>
      </c>
      <c r="G1014"/>
      <c r="H1014" s="2"/>
      <c r="I1014" s="2"/>
      <c r="L1014"/>
      <c r="R1014"/>
    </row>
    <row r="1015" spans="1:18">
      <c r="A1015" s="3">
        <v>45743.085833333331</v>
      </c>
      <c r="B1015" s="2" t="s">
        <v>26</v>
      </c>
      <c r="C1015" s="2" t="s">
        <v>11</v>
      </c>
      <c r="D1015" s="6" t="str">
        <f>CONCATENATE(YEAR(A1015),"/",IF(MONTH(A1015)&lt;10,CONCATENATE("0",MONTH(A1015)),MONTH(A1015)))</f>
        <v>2025/03</v>
      </c>
      <c r="E1015" s="8" t="str">
        <f>IF(IF(D1015&lt;&gt;D1014,1,IF(OR(B1015&lt;&gt;B1014,A1015-A1014&gt;$U$1),1,""))&lt;&gt;1,"",IF(C1015="B01",1965,IF(C1015="B02",1020,IF(C1015="B05",2400,IF(C1015="B03",4260,IF(C1015="B04",2880,IF(C1015="B20",1260,0)))))))</f>
        <v/>
      </c>
      <c r="F1015" s="8" t="str">
        <f>IF(IF(D1015&lt;&gt;D1014,1,IF(OR(B1015&lt;&gt;B1014,A1015-A1014&gt;$U$1),1,""))&lt;&gt;1,"",IF(C1015="B01",1,IF(C1015="B05",1,IF(C1015="B03",1,IF(C1015="B04",1,IF(C1015="B20",1,IF(C1015="B02",1,0)))))))</f>
        <v/>
      </c>
      <c r="G1015"/>
      <c r="H1015" s="2"/>
      <c r="I1015" s="2"/>
      <c r="L1015"/>
      <c r="R1015"/>
    </row>
    <row r="1016" spans="1:18">
      <c r="A1016" s="3">
        <v>45743.405659722222</v>
      </c>
      <c r="B1016" s="2" t="s">
        <v>26</v>
      </c>
      <c r="C1016" s="2" t="s">
        <v>12</v>
      </c>
      <c r="D1016" s="6" t="str">
        <f>CONCATENATE(YEAR(A1016),"/",IF(MONTH(A1016)&lt;10,CONCATENATE("0",MONTH(A1016)),MONTH(A1016)))</f>
        <v>2025/03</v>
      </c>
      <c r="E1016" s="8">
        <f>IF(IF(D1016&lt;&gt;D1015,1,IF(OR(B1016&lt;&gt;B1015,A1016-A1015&gt;$U$1),1,""))&lt;&gt;1,"",IF(C1016="B01",1965,IF(C1016="B02",1020,IF(C1016="B05",2400,IF(C1016="B03",4260,IF(C1016="B04",2880,IF(C1016="B20",1260,0)))))))</f>
        <v>4260</v>
      </c>
      <c r="F1016" s="8">
        <f>IF(IF(D1016&lt;&gt;D1015,1,IF(OR(B1016&lt;&gt;B1015,A1016-A1015&gt;$U$1),1,""))&lt;&gt;1,"",IF(C1016="B01",1,IF(C1016="B05",1,IF(C1016="B03",1,IF(C1016="B04",1,IF(C1016="B20",1,IF(C1016="B02",1,0)))))))</f>
        <v>1</v>
      </c>
      <c r="G1016"/>
      <c r="H1016" s="2"/>
      <c r="I1016" s="2"/>
      <c r="L1016"/>
      <c r="R1016"/>
    </row>
    <row r="1017" spans="1:18">
      <c r="A1017" s="3">
        <v>45743.405659722222</v>
      </c>
      <c r="B1017" s="2" t="s">
        <v>26</v>
      </c>
      <c r="C1017" s="2" t="s">
        <v>12</v>
      </c>
      <c r="D1017" s="6" t="str">
        <f>CONCATENATE(YEAR(A1017),"/",IF(MONTH(A1017)&lt;10,CONCATENATE("0",MONTH(A1017)),MONTH(A1017)))</f>
        <v>2025/03</v>
      </c>
      <c r="E1017" s="8" t="str">
        <f>IF(IF(D1017&lt;&gt;D1016,1,IF(OR(B1017&lt;&gt;B1016,A1017-A1016&gt;$U$1),1,""))&lt;&gt;1,"",IF(C1017="B01",1965,IF(C1017="B02",1020,IF(C1017="B05",2400,IF(C1017="B03",4260,IF(C1017="B04",2880,IF(C1017="B20",1260,0)))))))</f>
        <v/>
      </c>
      <c r="F1017" s="8" t="str">
        <f>IF(IF(D1017&lt;&gt;D1016,1,IF(OR(B1017&lt;&gt;B1016,A1017-A1016&gt;$U$1),1,""))&lt;&gt;1,"",IF(C1017="B01",1,IF(C1017="B05",1,IF(C1017="B03",1,IF(C1017="B04",1,IF(C1017="B20",1,IF(C1017="B02",1,0)))))))</f>
        <v/>
      </c>
      <c r="G1017"/>
      <c r="H1017" s="2"/>
      <c r="I1017" s="2"/>
      <c r="L1017"/>
      <c r="R1017"/>
    </row>
    <row r="1018" spans="1:18">
      <c r="A1018" s="3">
        <v>45743.405659722222</v>
      </c>
      <c r="B1018" s="2" t="s">
        <v>26</v>
      </c>
      <c r="C1018" s="2" t="s">
        <v>12</v>
      </c>
      <c r="D1018" s="6" t="str">
        <f>CONCATENATE(YEAR(A1018),"/",IF(MONTH(A1018)&lt;10,CONCATENATE("0",MONTH(A1018)),MONTH(A1018)))</f>
        <v>2025/03</v>
      </c>
      <c r="E1018" s="8" t="str">
        <f>IF(IF(D1018&lt;&gt;D1017,1,IF(OR(B1018&lt;&gt;B1017,A1018-A1017&gt;$U$1),1,""))&lt;&gt;1,"",IF(C1018="B01",1965,IF(C1018="B02",1020,IF(C1018="B05",2400,IF(C1018="B03",4260,IF(C1018="B04",2880,IF(C1018="B20",1260,0)))))))</f>
        <v/>
      </c>
      <c r="F1018" s="8" t="str">
        <f>IF(IF(D1018&lt;&gt;D1017,1,IF(OR(B1018&lt;&gt;B1017,A1018-A1017&gt;$U$1),1,""))&lt;&gt;1,"",IF(C1018="B01",1,IF(C1018="B05",1,IF(C1018="B03",1,IF(C1018="B04",1,IF(C1018="B20",1,IF(C1018="B02",1,0)))))))</f>
        <v/>
      </c>
      <c r="G1018"/>
      <c r="H1018" s="2"/>
      <c r="I1018" s="2"/>
      <c r="L1018"/>
      <c r="R1018"/>
    </row>
    <row r="1019" spans="1:18">
      <c r="A1019" s="3">
        <v>45743.776782407411</v>
      </c>
      <c r="B1019" s="2" t="s">
        <v>26</v>
      </c>
      <c r="C1019" s="2" t="s">
        <v>11</v>
      </c>
      <c r="D1019" s="6" t="str">
        <f>CONCATENATE(YEAR(A1019),"/",IF(MONTH(A1019)&lt;10,CONCATENATE("0",MONTH(A1019)),MONTH(A1019)))</f>
        <v>2025/03</v>
      </c>
      <c r="E1019" s="8">
        <f>IF(IF(D1019&lt;&gt;D1018,1,IF(OR(B1019&lt;&gt;B1018,A1019-A1018&gt;$U$1),1,""))&lt;&gt;1,"",IF(C1019="B01",1965,IF(C1019="B02",1020,IF(C1019="B05",2400,IF(C1019="B03",4260,IF(C1019="B04",2880,IF(C1019="B20",1260,0)))))))</f>
        <v>2400</v>
      </c>
      <c r="F1019" s="8">
        <f>IF(IF(D1019&lt;&gt;D1018,1,IF(OR(B1019&lt;&gt;B1018,A1019-A1018&gt;$U$1),1,""))&lt;&gt;1,"",IF(C1019="B01",1,IF(C1019="B05",1,IF(C1019="B03",1,IF(C1019="B04",1,IF(C1019="B20",1,IF(C1019="B02",1,0)))))))</f>
        <v>1</v>
      </c>
      <c r="G1019"/>
      <c r="H1019" s="2"/>
      <c r="I1019" s="2"/>
      <c r="L1019"/>
      <c r="R1019"/>
    </row>
    <row r="1020" spans="1:18">
      <c r="A1020" s="3">
        <v>45743.776782407411</v>
      </c>
      <c r="B1020" s="2" t="s">
        <v>26</v>
      </c>
      <c r="C1020" s="2" t="s">
        <v>11</v>
      </c>
      <c r="D1020" s="6" t="str">
        <f>CONCATENATE(YEAR(A1020),"/",IF(MONTH(A1020)&lt;10,CONCATENATE("0",MONTH(A1020)),MONTH(A1020)))</f>
        <v>2025/03</v>
      </c>
      <c r="E1020" s="8" t="str">
        <f>IF(IF(D1020&lt;&gt;D1019,1,IF(OR(B1020&lt;&gt;B1019,A1020-A1019&gt;$U$1),1,""))&lt;&gt;1,"",IF(C1020="B01",1965,IF(C1020="B02",1020,IF(C1020="B05",2400,IF(C1020="B03",4260,IF(C1020="B04",2880,IF(C1020="B20",1260,0)))))))</f>
        <v/>
      </c>
      <c r="F1020" s="8" t="str">
        <f>IF(IF(D1020&lt;&gt;D1019,1,IF(OR(B1020&lt;&gt;B1019,A1020-A1019&gt;$U$1),1,""))&lt;&gt;1,"",IF(C1020="B01",1,IF(C1020="B05",1,IF(C1020="B03",1,IF(C1020="B04",1,IF(C1020="B20",1,IF(C1020="B02",1,0)))))))</f>
        <v/>
      </c>
      <c r="G1020"/>
      <c r="H1020" s="2"/>
      <c r="I1020" s="2"/>
      <c r="L1020"/>
      <c r="R1020"/>
    </row>
    <row r="1021" spans="1:18">
      <c r="A1021" s="3">
        <v>45743.776782407411</v>
      </c>
      <c r="B1021" s="2" t="s">
        <v>26</v>
      </c>
      <c r="C1021" s="2" t="s">
        <v>11</v>
      </c>
      <c r="D1021" s="6" t="str">
        <f>CONCATENATE(YEAR(A1021),"/",IF(MONTH(A1021)&lt;10,CONCATENATE("0",MONTH(A1021)),MONTH(A1021)))</f>
        <v>2025/03</v>
      </c>
      <c r="E1021" s="8" t="str">
        <f>IF(IF(D1021&lt;&gt;D1020,1,IF(OR(B1021&lt;&gt;B1020,A1021-A1020&gt;$U$1),1,""))&lt;&gt;1,"",IF(C1021="B01",1965,IF(C1021="B02",1020,IF(C1021="B05",2400,IF(C1021="B03",4260,IF(C1021="B04",2880,IF(C1021="B20",1260,0)))))))</f>
        <v/>
      </c>
      <c r="F1021" s="8" t="str">
        <f>IF(IF(D1021&lt;&gt;D1020,1,IF(OR(B1021&lt;&gt;B1020,A1021-A1020&gt;$U$1),1,""))&lt;&gt;1,"",IF(C1021="B01",1,IF(C1021="B05",1,IF(C1021="B03",1,IF(C1021="B04",1,IF(C1021="B20",1,IF(C1021="B02",1,0)))))))</f>
        <v/>
      </c>
      <c r="G1021"/>
      <c r="H1021" s="2"/>
      <c r="I1021" s="2"/>
      <c r="L1021"/>
      <c r="R1021"/>
    </row>
    <row r="1022" spans="1:18">
      <c r="A1022" s="3">
        <v>45743.894259259258</v>
      </c>
      <c r="B1022" s="2" t="s">
        <v>26</v>
      </c>
      <c r="C1022" s="2" t="s">
        <v>11</v>
      </c>
      <c r="D1022" s="6" t="str">
        <f>CONCATENATE(YEAR(A1022),"/",IF(MONTH(A1022)&lt;10,CONCATENATE("0",MONTH(A1022)),MONTH(A1022)))</f>
        <v>2025/03</v>
      </c>
      <c r="E1022" s="8">
        <f>IF(IF(D1022&lt;&gt;D1021,1,IF(OR(B1022&lt;&gt;B1021,A1022-A1021&gt;$U$1),1,""))&lt;&gt;1,"",IF(C1022="B01",1965,IF(C1022="B02",1020,IF(C1022="B05",2400,IF(C1022="B03",4260,IF(C1022="B04",2880,IF(C1022="B20",1260,0)))))))</f>
        <v>2400</v>
      </c>
      <c r="F1022" s="8">
        <f>IF(IF(D1022&lt;&gt;D1021,1,IF(OR(B1022&lt;&gt;B1021,A1022-A1021&gt;$U$1),1,""))&lt;&gt;1,"",IF(C1022="B01",1,IF(C1022="B05",1,IF(C1022="B03",1,IF(C1022="B04",1,IF(C1022="B20",1,IF(C1022="B02",1,0)))))))</f>
        <v>1</v>
      </c>
      <c r="G1022"/>
      <c r="H1022" s="2"/>
      <c r="I1022" s="2"/>
      <c r="L1022"/>
      <c r="R1022"/>
    </row>
    <row r="1023" spans="1:18">
      <c r="A1023" s="3">
        <v>45743.894259259258</v>
      </c>
      <c r="B1023" s="2" t="s">
        <v>26</v>
      </c>
      <c r="C1023" s="2" t="s">
        <v>11</v>
      </c>
      <c r="D1023" s="6" t="str">
        <f>CONCATENATE(YEAR(A1023),"/",IF(MONTH(A1023)&lt;10,CONCATENATE("0",MONTH(A1023)),MONTH(A1023)))</f>
        <v>2025/03</v>
      </c>
      <c r="E1023" s="8" t="str">
        <f>IF(IF(D1023&lt;&gt;D1022,1,IF(OR(B1023&lt;&gt;B1022,A1023-A1022&gt;$U$1),1,""))&lt;&gt;1,"",IF(C1023="B01",1965,IF(C1023="B02",1020,IF(C1023="B05",2400,IF(C1023="B03",4260,IF(C1023="B04",2880,IF(C1023="B20",1260,0)))))))</f>
        <v/>
      </c>
      <c r="F1023" s="8" t="str">
        <f>IF(IF(D1023&lt;&gt;D1022,1,IF(OR(B1023&lt;&gt;B1022,A1023-A1022&gt;$U$1),1,""))&lt;&gt;1,"",IF(C1023="B01",1,IF(C1023="B05",1,IF(C1023="B03",1,IF(C1023="B04",1,IF(C1023="B20",1,IF(C1023="B02",1,0)))))))</f>
        <v/>
      </c>
      <c r="G1023"/>
      <c r="H1023" s="2"/>
      <c r="I1023" s="2"/>
      <c r="L1023"/>
      <c r="R1023"/>
    </row>
    <row r="1024" spans="1:18">
      <c r="A1024" s="3">
        <v>45743.894259259258</v>
      </c>
      <c r="B1024" s="2" t="s">
        <v>26</v>
      </c>
      <c r="C1024" s="2" t="s">
        <v>11</v>
      </c>
      <c r="D1024" s="6" t="str">
        <f>CONCATENATE(YEAR(A1024),"/",IF(MONTH(A1024)&lt;10,CONCATENATE("0",MONTH(A1024)),MONTH(A1024)))</f>
        <v>2025/03</v>
      </c>
      <c r="E1024" s="8" t="str">
        <f>IF(IF(D1024&lt;&gt;D1023,1,IF(OR(B1024&lt;&gt;B1023,A1024-A1023&gt;$U$1),1,""))&lt;&gt;1,"",IF(C1024="B01",1965,IF(C1024="B02",1020,IF(C1024="B05",2400,IF(C1024="B03",4260,IF(C1024="B04",2880,IF(C1024="B20",1260,0)))))))</f>
        <v/>
      </c>
      <c r="F1024" s="8" t="str">
        <f>IF(IF(D1024&lt;&gt;D1023,1,IF(OR(B1024&lt;&gt;B1023,A1024-A1023&gt;$U$1),1,""))&lt;&gt;1,"",IF(C1024="B01",1,IF(C1024="B05",1,IF(C1024="B03",1,IF(C1024="B04",1,IF(C1024="B20",1,IF(C1024="B02",1,0)))))))</f>
        <v/>
      </c>
      <c r="G1024"/>
      <c r="H1024" s="2"/>
      <c r="I1024" s="2"/>
      <c r="L1024"/>
      <c r="R1024"/>
    </row>
    <row r="1025" spans="1:18">
      <c r="A1025" s="3">
        <v>45744.237881944442</v>
      </c>
      <c r="B1025" s="2" t="s">
        <v>26</v>
      </c>
      <c r="C1025" s="2" t="s">
        <v>12</v>
      </c>
      <c r="D1025" s="6" t="str">
        <f>CONCATENATE(YEAR(A1025),"/",IF(MONTH(A1025)&lt;10,CONCATENATE("0",MONTH(A1025)),MONTH(A1025)))</f>
        <v>2025/03</v>
      </c>
      <c r="E1025" s="8">
        <f>IF(IF(D1025&lt;&gt;D1024,1,IF(OR(B1025&lt;&gt;B1024,A1025-A1024&gt;$U$1),1,""))&lt;&gt;1,"",IF(C1025="B01",1965,IF(C1025="B02",1020,IF(C1025="B05",2400,IF(C1025="B03",4260,IF(C1025="B04",2880,IF(C1025="B20",1260,0)))))))</f>
        <v>4260</v>
      </c>
      <c r="F1025" s="8">
        <f>IF(IF(D1025&lt;&gt;D1024,1,IF(OR(B1025&lt;&gt;B1024,A1025-A1024&gt;$U$1),1,""))&lt;&gt;1,"",IF(C1025="B01",1,IF(C1025="B05",1,IF(C1025="B03",1,IF(C1025="B04",1,IF(C1025="B20",1,IF(C1025="B02",1,0)))))))</f>
        <v>1</v>
      </c>
      <c r="G1025"/>
      <c r="H1025" s="2"/>
      <c r="I1025" s="2"/>
      <c r="L1025"/>
      <c r="R1025"/>
    </row>
    <row r="1026" spans="1:18">
      <c r="A1026" s="3">
        <v>45744.237881944442</v>
      </c>
      <c r="B1026" s="2" t="s">
        <v>26</v>
      </c>
      <c r="C1026" s="2" t="s">
        <v>12</v>
      </c>
      <c r="D1026" s="6" t="str">
        <f>CONCATENATE(YEAR(A1026),"/",IF(MONTH(A1026)&lt;10,CONCATENATE("0",MONTH(A1026)),MONTH(A1026)))</f>
        <v>2025/03</v>
      </c>
      <c r="E1026" s="8" t="str">
        <f>IF(IF(D1026&lt;&gt;D1025,1,IF(OR(B1026&lt;&gt;B1025,A1026-A1025&gt;$U$1),1,""))&lt;&gt;1,"",IF(C1026="B01",1965,IF(C1026="B02",1020,IF(C1026="B05",2400,IF(C1026="B03",4260,IF(C1026="B04",2880,IF(C1026="B20",1260,0)))))))</f>
        <v/>
      </c>
      <c r="F1026" s="8" t="str">
        <f>IF(IF(D1026&lt;&gt;D1025,1,IF(OR(B1026&lt;&gt;B1025,A1026-A1025&gt;$U$1),1,""))&lt;&gt;1,"",IF(C1026="B01",1,IF(C1026="B05",1,IF(C1026="B03",1,IF(C1026="B04",1,IF(C1026="B20",1,IF(C1026="B02",1,0)))))))</f>
        <v/>
      </c>
      <c r="G1026"/>
      <c r="H1026" s="2"/>
      <c r="I1026" s="2"/>
      <c r="L1026"/>
      <c r="R1026"/>
    </row>
    <row r="1027" spans="1:18">
      <c r="A1027" s="3">
        <v>45744.237881944442</v>
      </c>
      <c r="B1027" s="2" t="s">
        <v>26</v>
      </c>
      <c r="C1027" s="2" t="s">
        <v>12</v>
      </c>
      <c r="D1027" s="6" t="str">
        <f>CONCATENATE(YEAR(A1027),"/",IF(MONTH(A1027)&lt;10,CONCATENATE("0",MONTH(A1027)),MONTH(A1027)))</f>
        <v>2025/03</v>
      </c>
      <c r="E1027" s="8" t="str">
        <f>IF(IF(D1027&lt;&gt;D1026,1,IF(OR(B1027&lt;&gt;B1026,A1027-A1026&gt;$U$1),1,""))&lt;&gt;1,"",IF(C1027="B01",1965,IF(C1027="B02",1020,IF(C1027="B05",2400,IF(C1027="B03",4260,IF(C1027="B04",2880,IF(C1027="B20",1260,0)))))))</f>
        <v/>
      </c>
      <c r="F1027" s="8" t="str">
        <f>IF(IF(D1027&lt;&gt;D1026,1,IF(OR(B1027&lt;&gt;B1026,A1027-A1026&gt;$U$1),1,""))&lt;&gt;1,"",IF(C1027="B01",1,IF(C1027="B05",1,IF(C1027="B03",1,IF(C1027="B04",1,IF(C1027="B20",1,IF(C1027="B02",1,0)))))))</f>
        <v/>
      </c>
      <c r="G1027"/>
      <c r="H1027" s="2"/>
      <c r="I1027" s="2"/>
      <c r="L1027"/>
      <c r="R1027"/>
    </row>
    <row r="1028" spans="1:18">
      <c r="A1028" s="3">
        <v>45744.453587962962</v>
      </c>
      <c r="B1028" s="2" t="s">
        <v>26</v>
      </c>
      <c r="C1028" s="2" t="s">
        <v>12</v>
      </c>
      <c r="D1028" s="6" t="str">
        <f>CONCATENATE(YEAR(A1028),"/",IF(MONTH(A1028)&lt;10,CONCATENATE("0",MONTH(A1028)),MONTH(A1028)))</f>
        <v>2025/03</v>
      </c>
      <c r="E1028" s="8">
        <f>IF(IF(D1028&lt;&gt;D1027,1,IF(OR(B1028&lt;&gt;B1027,A1028-A1027&gt;$U$1),1,""))&lt;&gt;1,"",IF(C1028="B01",1965,IF(C1028="B02",1020,IF(C1028="B05",2400,IF(C1028="B03",4260,IF(C1028="B04",2880,IF(C1028="B20",1260,0)))))))</f>
        <v>4260</v>
      </c>
      <c r="F1028" s="8">
        <f>IF(IF(D1028&lt;&gt;D1027,1,IF(OR(B1028&lt;&gt;B1027,A1028-A1027&gt;$U$1),1,""))&lt;&gt;1,"",IF(C1028="B01",1,IF(C1028="B05",1,IF(C1028="B03",1,IF(C1028="B04",1,IF(C1028="B20",1,IF(C1028="B02",1,0)))))))</f>
        <v>1</v>
      </c>
      <c r="G1028"/>
      <c r="H1028" s="2"/>
      <c r="I1028" s="2"/>
      <c r="L1028"/>
      <c r="R1028"/>
    </row>
    <row r="1029" spans="1:18">
      <c r="A1029" s="3">
        <v>45744.453587962962</v>
      </c>
      <c r="B1029" s="2" t="s">
        <v>26</v>
      </c>
      <c r="C1029" s="2" t="s">
        <v>12</v>
      </c>
      <c r="D1029" s="6" t="str">
        <f>CONCATENATE(YEAR(A1029),"/",IF(MONTH(A1029)&lt;10,CONCATENATE("0",MONTH(A1029)),MONTH(A1029)))</f>
        <v>2025/03</v>
      </c>
      <c r="E1029" s="8" t="str">
        <f>IF(IF(D1029&lt;&gt;D1028,1,IF(OR(B1029&lt;&gt;B1028,A1029-A1028&gt;$U$1),1,""))&lt;&gt;1,"",IF(C1029="B01",1965,IF(C1029="B02",1020,IF(C1029="B05",2400,IF(C1029="B03",4260,IF(C1029="B04",2880,IF(C1029="B20",1260,0)))))))</f>
        <v/>
      </c>
      <c r="F1029" s="8" t="str">
        <f>IF(IF(D1029&lt;&gt;D1028,1,IF(OR(B1029&lt;&gt;B1028,A1029-A1028&gt;$U$1),1,""))&lt;&gt;1,"",IF(C1029="B01",1,IF(C1029="B05",1,IF(C1029="B03",1,IF(C1029="B04",1,IF(C1029="B20",1,IF(C1029="B02",1,0)))))))</f>
        <v/>
      </c>
      <c r="G1029"/>
      <c r="H1029" s="2"/>
      <c r="I1029" s="2"/>
      <c r="L1029"/>
      <c r="R1029"/>
    </row>
    <row r="1030" spans="1:18">
      <c r="A1030" s="3">
        <v>45744.456608796296</v>
      </c>
      <c r="B1030" s="2" t="s">
        <v>26</v>
      </c>
      <c r="C1030" s="2" t="s">
        <v>12</v>
      </c>
      <c r="D1030" s="6" t="str">
        <f>CONCATENATE(YEAR(A1030),"/",IF(MONTH(A1030)&lt;10,CONCATENATE("0",MONTH(A1030)),MONTH(A1030)))</f>
        <v>2025/03</v>
      </c>
      <c r="E1030" s="8" t="str">
        <f>IF(IF(D1030&lt;&gt;D1029,1,IF(OR(B1030&lt;&gt;B1029,A1030-A1029&gt;$U$1),1,""))&lt;&gt;1,"",IF(C1030="B01",1965,IF(C1030="B02",1020,IF(C1030="B05",2400,IF(C1030="B03",4260,IF(C1030="B04",2880,IF(C1030="B20",1260,0)))))))</f>
        <v/>
      </c>
      <c r="F1030" s="8" t="str">
        <f>IF(IF(D1030&lt;&gt;D1029,1,IF(OR(B1030&lt;&gt;B1029,A1030-A1029&gt;$U$1),1,""))&lt;&gt;1,"",IF(C1030="B01",1,IF(C1030="B05",1,IF(C1030="B03",1,IF(C1030="B04",1,IF(C1030="B20",1,IF(C1030="B02",1,0)))))))</f>
        <v/>
      </c>
      <c r="G1030"/>
      <c r="H1030" s="2"/>
      <c r="I1030" s="2"/>
      <c r="L1030"/>
      <c r="R1030"/>
    </row>
    <row r="1031" spans="1:18">
      <c r="A1031" s="3">
        <v>45744.655682870369</v>
      </c>
      <c r="B1031" s="2" t="s">
        <v>26</v>
      </c>
      <c r="C1031" s="2" t="s">
        <v>12</v>
      </c>
      <c r="D1031" s="6" t="str">
        <f>CONCATENATE(YEAR(A1031),"/",IF(MONTH(A1031)&lt;10,CONCATENATE("0",MONTH(A1031)),MONTH(A1031)))</f>
        <v>2025/03</v>
      </c>
      <c r="E1031" s="8">
        <f>IF(IF(D1031&lt;&gt;D1030,1,IF(OR(B1031&lt;&gt;B1030,A1031-A1030&gt;$U$1),1,""))&lt;&gt;1,"",IF(C1031="B01",1965,IF(C1031="B02",1020,IF(C1031="B05",2400,IF(C1031="B03",4260,IF(C1031="B04",2880,IF(C1031="B20",1260,0)))))))</f>
        <v>4260</v>
      </c>
      <c r="F1031" s="8">
        <f>IF(IF(D1031&lt;&gt;D1030,1,IF(OR(B1031&lt;&gt;B1030,A1031-A1030&gt;$U$1),1,""))&lt;&gt;1,"",IF(C1031="B01",1,IF(C1031="B05",1,IF(C1031="B03",1,IF(C1031="B04",1,IF(C1031="B20",1,IF(C1031="B02",1,0)))))))</f>
        <v>1</v>
      </c>
      <c r="G1031"/>
      <c r="H1031" s="2"/>
      <c r="I1031" s="2"/>
      <c r="L1031"/>
      <c r="R1031"/>
    </row>
    <row r="1032" spans="1:18">
      <c r="A1032" s="3">
        <v>45744.655682870369</v>
      </c>
      <c r="B1032" s="2" t="s">
        <v>26</v>
      </c>
      <c r="C1032" s="2" t="s">
        <v>12</v>
      </c>
      <c r="D1032" s="6" t="str">
        <f>CONCATENATE(YEAR(A1032),"/",IF(MONTH(A1032)&lt;10,CONCATENATE("0",MONTH(A1032)),MONTH(A1032)))</f>
        <v>2025/03</v>
      </c>
      <c r="E1032" s="8" t="str">
        <f>IF(IF(D1032&lt;&gt;D1031,1,IF(OR(B1032&lt;&gt;B1031,A1032-A1031&gt;$U$1),1,""))&lt;&gt;1,"",IF(C1032="B01",1965,IF(C1032="B02",1020,IF(C1032="B05",2400,IF(C1032="B03",4260,IF(C1032="B04",2880,IF(C1032="B20",1260,0)))))))</f>
        <v/>
      </c>
      <c r="F1032" s="8" t="str">
        <f>IF(IF(D1032&lt;&gt;D1031,1,IF(OR(B1032&lt;&gt;B1031,A1032-A1031&gt;$U$1),1,""))&lt;&gt;1,"",IF(C1032="B01",1,IF(C1032="B05",1,IF(C1032="B03",1,IF(C1032="B04",1,IF(C1032="B20",1,IF(C1032="B02",1,0)))))))</f>
        <v/>
      </c>
      <c r="G1032"/>
      <c r="H1032" s="2"/>
      <c r="I1032" s="2"/>
      <c r="L1032"/>
      <c r="R1032"/>
    </row>
    <row r="1033" spans="1:18">
      <c r="A1033" s="3">
        <v>45744.655682870369</v>
      </c>
      <c r="B1033" s="2" t="s">
        <v>26</v>
      </c>
      <c r="C1033" s="2" t="s">
        <v>12</v>
      </c>
      <c r="D1033" s="6" t="str">
        <f>CONCATENATE(YEAR(A1033),"/",IF(MONTH(A1033)&lt;10,CONCATENATE("0",MONTH(A1033)),MONTH(A1033)))</f>
        <v>2025/03</v>
      </c>
      <c r="E1033" s="8" t="str">
        <f>IF(IF(D1033&lt;&gt;D1032,1,IF(OR(B1033&lt;&gt;B1032,A1033-A1032&gt;$U$1),1,""))&lt;&gt;1,"",IF(C1033="B01",1965,IF(C1033="B02",1020,IF(C1033="B05",2400,IF(C1033="B03",4260,IF(C1033="B04",2880,IF(C1033="B20",1260,0)))))))</f>
        <v/>
      </c>
      <c r="F1033" s="8" t="str">
        <f>IF(IF(D1033&lt;&gt;D1032,1,IF(OR(B1033&lt;&gt;B1032,A1033-A1032&gt;$U$1),1,""))&lt;&gt;1,"",IF(C1033="B01",1,IF(C1033="B05",1,IF(C1033="B03",1,IF(C1033="B04",1,IF(C1033="B20",1,IF(C1033="B02",1,0)))))))</f>
        <v/>
      </c>
      <c r="G1033"/>
      <c r="H1033" s="2"/>
      <c r="I1033" s="2"/>
      <c r="L1033"/>
      <c r="R1033"/>
    </row>
    <row r="1034" spans="1:18">
      <c r="A1034" s="3">
        <v>45745.064733796295</v>
      </c>
      <c r="B1034" s="2" t="s">
        <v>26</v>
      </c>
      <c r="C1034" s="2" t="s">
        <v>11</v>
      </c>
      <c r="D1034" s="6" t="str">
        <f>CONCATENATE(YEAR(A1034),"/",IF(MONTH(A1034)&lt;10,CONCATENATE("0",MONTH(A1034)),MONTH(A1034)))</f>
        <v>2025/03</v>
      </c>
      <c r="E1034" s="8">
        <f>IF(IF(D1034&lt;&gt;D1033,1,IF(OR(B1034&lt;&gt;B1033,A1034-A1033&gt;$U$1),1,""))&lt;&gt;1,"",IF(C1034="B01",1965,IF(C1034="B02",1020,IF(C1034="B05",2400,IF(C1034="B03",4260,IF(C1034="B04",2880,IF(C1034="B20",1260,0)))))))</f>
        <v>2400</v>
      </c>
      <c r="F1034" s="8">
        <f>IF(IF(D1034&lt;&gt;D1033,1,IF(OR(B1034&lt;&gt;B1033,A1034-A1033&gt;$U$1),1,""))&lt;&gt;1,"",IF(C1034="B01",1,IF(C1034="B05",1,IF(C1034="B03",1,IF(C1034="B04",1,IF(C1034="B20",1,IF(C1034="B02",1,0)))))))</f>
        <v>1</v>
      </c>
      <c r="G1034"/>
      <c r="H1034" s="2"/>
      <c r="I1034" s="2"/>
      <c r="L1034"/>
      <c r="R1034"/>
    </row>
    <row r="1035" spans="1:18">
      <c r="A1035" s="3">
        <v>45745.064733796295</v>
      </c>
      <c r="B1035" s="2" t="s">
        <v>26</v>
      </c>
      <c r="C1035" s="2" t="s">
        <v>11</v>
      </c>
      <c r="D1035" s="6" t="str">
        <f>CONCATENATE(YEAR(A1035),"/",IF(MONTH(A1035)&lt;10,CONCATENATE("0",MONTH(A1035)),MONTH(A1035)))</f>
        <v>2025/03</v>
      </c>
      <c r="E1035" s="8" t="str">
        <f>IF(IF(D1035&lt;&gt;D1034,1,IF(OR(B1035&lt;&gt;B1034,A1035-A1034&gt;$U$1),1,""))&lt;&gt;1,"",IF(C1035="B01",1965,IF(C1035="B02",1020,IF(C1035="B05",2400,IF(C1035="B03",4260,IF(C1035="B04",2880,IF(C1035="B20",1260,0)))))))</f>
        <v/>
      </c>
      <c r="F1035" s="8" t="str">
        <f>IF(IF(D1035&lt;&gt;D1034,1,IF(OR(B1035&lt;&gt;B1034,A1035-A1034&gt;$U$1),1,""))&lt;&gt;1,"",IF(C1035="B01",1,IF(C1035="B05",1,IF(C1035="B03",1,IF(C1035="B04",1,IF(C1035="B20",1,IF(C1035="B02",1,0)))))))</f>
        <v/>
      </c>
      <c r="G1035"/>
      <c r="H1035" s="2"/>
      <c r="I1035" s="2"/>
      <c r="L1035"/>
      <c r="R1035"/>
    </row>
    <row r="1036" spans="1:18">
      <c r="A1036" s="3">
        <v>45745.064733796295</v>
      </c>
      <c r="B1036" s="2" t="s">
        <v>26</v>
      </c>
      <c r="C1036" s="2" t="s">
        <v>11</v>
      </c>
      <c r="D1036" s="6" t="str">
        <f>CONCATENATE(YEAR(A1036),"/",IF(MONTH(A1036)&lt;10,CONCATENATE("0",MONTH(A1036)),MONTH(A1036)))</f>
        <v>2025/03</v>
      </c>
      <c r="E1036" s="8" t="str">
        <f>IF(IF(D1036&lt;&gt;D1035,1,IF(OR(B1036&lt;&gt;B1035,A1036-A1035&gt;$U$1),1,""))&lt;&gt;1,"",IF(C1036="B01",1965,IF(C1036="B02",1020,IF(C1036="B05",2400,IF(C1036="B03",4260,IF(C1036="B04",2880,IF(C1036="B20",1260,0)))))))</f>
        <v/>
      </c>
      <c r="F1036" s="8" t="str">
        <f>IF(IF(D1036&lt;&gt;D1035,1,IF(OR(B1036&lt;&gt;B1035,A1036-A1035&gt;$U$1),1,""))&lt;&gt;1,"",IF(C1036="B01",1,IF(C1036="B05",1,IF(C1036="B03",1,IF(C1036="B04",1,IF(C1036="B20",1,IF(C1036="B02",1,0)))))))</f>
        <v/>
      </c>
      <c r="G1036"/>
      <c r="H1036" s="2"/>
      <c r="I1036" s="2"/>
      <c r="L1036"/>
      <c r="R1036"/>
    </row>
    <row r="1037" spans="1:18">
      <c r="A1037" s="3">
        <v>45745.347916666666</v>
      </c>
      <c r="B1037" s="2" t="s">
        <v>26</v>
      </c>
      <c r="C1037" s="2" t="s">
        <v>11</v>
      </c>
      <c r="D1037" s="6" t="str">
        <f>CONCATENATE(YEAR(A1037),"/",IF(MONTH(A1037)&lt;10,CONCATENATE("0",MONTH(A1037)),MONTH(A1037)))</f>
        <v>2025/03</v>
      </c>
      <c r="E1037" s="8">
        <f>IF(IF(D1037&lt;&gt;D1036,1,IF(OR(B1037&lt;&gt;B1036,A1037-A1036&gt;$U$1),1,""))&lt;&gt;1,"",IF(C1037="B01",1965,IF(C1037="B02",1020,IF(C1037="B05",2400,IF(C1037="B03",4260,IF(C1037="B04",2880,IF(C1037="B20",1260,0)))))))</f>
        <v>2400</v>
      </c>
      <c r="F1037" s="8">
        <f>IF(IF(D1037&lt;&gt;D1036,1,IF(OR(B1037&lt;&gt;B1036,A1037-A1036&gt;$U$1),1,""))&lt;&gt;1,"",IF(C1037="B01",1,IF(C1037="B05",1,IF(C1037="B03",1,IF(C1037="B04",1,IF(C1037="B20",1,IF(C1037="B02",1,0)))))))</f>
        <v>1</v>
      </c>
      <c r="G1037"/>
      <c r="H1037" s="2"/>
      <c r="I1037" s="2"/>
      <c r="L1037"/>
      <c r="R1037"/>
    </row>
    <row r="1038" spans="1:18">
      <c r="A1038" s="3">
        <v>45745.347916666666</v>
      </c>
      <c r="B1038" s="2" t="s">
        <v>26</v>
      </c>
      <c r="C1038" s="2" t="s">
        <v>11</v>
      </c>
      <c r="D1038" s="6" t="str">
        <f>CONCATENATE(YEAR(A1038),"/",IF(MONTH(A1038)&lt;10,CONCATENATE("0",MONTH(A1038)),MONTH(A1038)))</f>
        <v>2025/03</v>
      </c>
      <c r="E1038" s="8" t="str">
        <f>IF(IF(D1038&lt;&gt;D1037,1,IF(OR(B1038&lt;&gt;B1037,A1038-A1037&gt;$U$1),1,""))&lt;&gt;1,"",IF(C1038="B01",1965,IF(C1038="B02",1020,IF(C1038="B05",2400,IF(C1038="B03",4260,IF(C1038="B04",2880,IF(C1038="B20",1260,0)))))))</f>
        <v/>
      </c>
      <c r="F1038" s="8" t="str">
        <f>IF(IF(D1038&lt;&gt;D1037,1,IF(OR(B1038&lt;&gt;B1037,A1038-A1037&gt;$U$1),1,""))&lt;&gt;1,"",IF(C1038="B01",1,IF(C1038="B05",1,IF(C1038="B03",1,IF(C1038="B04",1,IF(C1038="B20",1,IF(C1038="B02",1,0)))))))</f>
        <v/>
      </c>
      <c r="G1038"/>
      <c r="H1038" s="2"/>
      <c r="I1038" s="2"/>
      <c r="L1038"/>
      <c r="R1038"/>
    </row>
    <row r="1039" spans="1:18">
      <c r="A1039" s="3">
        <v>45745.347916666666</v>
      </c>
      <c r="B1039" s="2" t="s">
        <v>26</v>
      </c>
      <c r="C1039" s="2" t="s">
        <v>11</v>
      </c>
      <c r="D1039" s="6" t="str">
        <f>CONCATENATE(YEAR(A1039),"/",IF(MONTH(A1039)&lt;10,CONCATENATE("0",MONTH(A1039)),MONTH(A1039)))</f>
        <v>2025/03</v>
      </c>
      <c r="E1039" s="8" t="str">
        <f>IF(IF(D1039&lt;&gt;D1038,1,IF(OR(B1039&lt;&gt;B1038,A1039-A1038&gt;$U$1),1,""))&lt;&gt;1,"",IF(C1039="B01",1965,IF(C1039="B02",1020,IF(C1039="B05",2400,IF(C1039="B03",4260,IF(C1039="B04",2880,IF(C1039="B20",1260,0)))))))</f>
        <v/>
      </c>
      <c r="F1039" s="8" t="str">
        <f>IF(IF(D1039&lt;&gt;D1038,1,IF(OR(B1039&lt;&gt;B1038,A1039-A1038&gt;$U$1),1,""))&lt;&gt;1,"",IF(C1039="B01",1,IF(C1039="B05",1,IF(C1039="B03",1,IF(C1039="B04",1,IF(C1039="B20",1,IF(C1039="B02",1,0)))))))</f>
        <v/>
      </c>
      <c r="G1039"/>
      <c r="H1039" s="2"/>
      <c r="I1039" s="2"/>
      <c r="L1039"/>
      <c r="R1039"/>
    </row>
    <row r="1040" spans="1:18">
      <c r="A1040" s="3">
        <v>45745.598495370374</v>
      </c>
      <c r="B1040" s="2" t="s">
        <v>26</v>
      </c>
      <c r="C1040" s="2" t="s">
        <v>11</v>
      </c>
      <c r="D1040" s="6" t="str">
        <f>CONCATENATE(YEAR(A1040),"/",IF(MONTH(A1040)&lt;10,CONCATENATE("0",MONTH(A1040)),MONTH(A1040)))</f>
        <v>2025/03</v>
      </c>
      <c r="E1040" s="8">
        <f>IF(IF(D1040&lt;&gt;D1039,1,IF(OR(B1040&lt;&gt;B1039,A1040-A1039&gt;$U$1),1,""))&lt;&gt;1,"",IF(C1040="B01",1965,IF(C1040="B02",1020,IF(C1040="B05",2400,IF(C1040="B03",4260,IF(C1040="B04",2880,IF(C1040="B20",1260,0)))))))</f>
        <v>2400</v>
      </c>
      <c r="F1040" s="8">
        <f>IF(IF(D1040&lt;&gt;D1039,1,IF(OR(B1040&lt;&gt;B1039,A1040-A1039&gt;$U$1),1,""))&lt;&gt;1,"",IF(C1040="B01",1,IF(C1040="B05",1,IF(C1040="B03",1,IF(C1040="B04",1,IF(C1040="B20",1,IF(C1040="B02",1,0)))))))</f>
        <v>1</v>
      </c>
      <c r="G1040"/>
      <c r="H1040" s="2"/>
      <c r="I1040" s="2"/>
      <c r="L1040"/>
      <c r="R1040"/>
    </row>
    <row r="1041" spans="1:18">
      <c r="A1041" s="3">
        <v>45745.598495370374</v>
      </c>
      <c r="B1041" s="2" t="s">
        <v>26</v>
      </c>
      <c r="C1041" s="2" t="s">
        <v>11</v>
      </c>
      <c r="D1041" s="6" t="str">
        <f>CONCATENATE(YEAR(A1041),"/",IF(MONTH(A1041)&lt;10,CONCATENATE("0",MONTH(A1041)),MONTH(A1041)))</f>
        <v>2025/03</v>
      </c>
      <c r="E1041" s="8" t="str">
        <f>IF(IF(D1041&lt;&gt;D1040,1,IF(OR(B1041&lt;&gt;B1040,A1041-A1040&gt;$U$1),1,""))&lt;&gt;1,"",IF(C1041="B01",1965,IF(C1041="B02",1020,IF(C1041="B05",2400,IF(C1041="B03",4260,IF(C1041="B04",2880,IF(C1041="B20",1260,0)))))))</f>
        <v/>
      </c>
      <c r="F1041" s="8" t="str">
        <f>IF(IF(D1041&lt;&gt;D1040,1,IF(OR(B1041&lt;&gt;B1040,A1041-A1040&gt;$U$1),1,""))&lt;&gt;1,"",IF(C1041="B01",1,IF(C1041="B05",1,IF(C1041="B03",1,IF(C1041="B04",1,IF(C1041="B20",1,IF(C1041="B02",1,0)))))))</f>
        <v/>
      </c>
      <c r="G1041"/>
      <c r="H1041" s="2"/>
      <c r="I1041" s="2"/>
      <c r="L1041"/>
      <c r="R1041"/>
    </row>
    <row r="1042" spans="1:18">
      <c r="A1042" s="3">
        <v>45745.598495370374</v>
      </c>
      <c r="B1042" s="2" t="s">
        <v>26</v>
      </c>
      <c r="C1042" s="2" t="s">
        <v>11</v>
      </c>
      <c r="D1042" s="6" t="str">
        <f>CONCATENATE(YEAR(A1042),"/",IF(MONTH(A1042)&lt;10,CONCATENATE("0",MONTH(A1042)),MONTH(A1042)))</f>
        <v>2025/03</v>
      </c>
      <c r="E1042" s="8" t="str">
        <f>IF(IF(D1042&lt;&gt;D1041,1,IF(OR(B1042&lt;&gt;B1041,A1042-A1041&gt;$U$1),1,""))&lt;&gt;1,"",IF(C1042="B01",1965,IF(C1042="B02",1020,IF(C1042="B05",2400,IF(C1042="B03",4260,IF(C1042="B04",2880,IF(C1042="B20",1260,0)))))))</f>
        <v/>
      </c>
      <c r="F1042" s="8" t="str">
        <f>IF(IF(D1042&lt;&gt;D1041,1,IF(OR(B1042&lt;&gt;B1041,A1042-A1041&gt;$U$1),1,""))&lt;&gt;1,"",IF(C1042="B01",1,IF(C1042="B05",1,IF(C1042="B03",1,IF(C1042="B04",1,IF(C1042="B20",1,IF(C1042="B02",1,0)))))))</f>
        <v/>
      </c>
      <c r="G1042"/>
      <c r="H1042" s="2"/>
      <c r="I1042" s="2"/>
      <c r="L1042"/>
      <c r="R1042"/>
    </row>
    <row r="1043" spans="1:18">
      <c r="A1043" s="3">
        <v>45745.841782407406</v>
      </c>
      <c r="B1043" s="2" t="s">
        <v>26</v>
      </c>
      <c r="C1043" s="2" t="s">
        <v>11</v>
      </c>
      <c r="D1043" s="6" t="str">
        <f>CONCATENATE(YEAR(A1043),"/",IF(MONTH(A1043)&lt;10,CONCATENATE("0",MONTH(A1043)),MONTH(A1043)))</f>
        <v>2025/03</v>
      </c>
      <c r="E1043" s="8">
        <f>IF(IF(D1043&lt;&gt;D1042,1,IF(OR(B1043&lt;&gt;B1042,A1043-A1042&gt;$U$1),1,""))&lt;&gt;1,"",IF(C1043="B01",1965,IF(C1043="B02",1020,IF(C1043="B05",2400,IF(C1043="B03",4260,IF(C1043="B04",2880,IF(C1043="B20",1260,0)))))))</f>
        <v>2400</v>
      </c>
      <c r="F1043" s="8">
        <f>IF(IF(D1043&lt;&gt;D1042,1,IF(OR(B1043&lt;&gt;B1042,A1043-A1042&gt;$U$1),1,""))&lt;&gt;1,"",IF(C1043="B01",1,IF(C1043="B05",1,IF(C1043="B03",1,IF(C1043="B04",1,IF(C1043="B20",1,IF(C1043="B02",1,0)))))))</f>
        <v>1</v>
      </c>
      <c r="G1043"/>
      <c r="H1043" s="2"/>
      <c r="I1043" s="2"/>
      <c r="L1043"/>
      <c r="R1043"/>
    </row>
    <row r="1044" spans="1:18">
      <c r="A1044" s="3">
        <v>45745.841782407406</v>
      </c>
      <c r="B1044" s="2" t="s">
        <v>26</v>
      </c>
      <c r="C1044" s="2" t="s">
        <v>11</v>
      </c>
      <c r="D1044" s="6" t="str">
        <f>CONCATENATE(YEAR(A1044),"/",IF(MONTH(A1044)&lt;10,CONCATENATE("0",MONTH(A1044)),MONTH(A1044)))</f>
        <v>2025/03</v>
      </c>
      <c r="E1044" s="8" t="str">
        <f>IF(IF(D1044&lt;&gt;D1043,1,IF(OR(B1044&lt;&gt;B1043,A1044-A1043&gt;$U$1),1,""))&lt;&gt;1,"",IF(C1044="B01",1965,IF(C1044="B02",1020,IF(C1044="B05",2400,IF(C1044="B03",4260,IF(C1044="B04",2880,IF(C1044="B20",1260,0)))))))</f>
        <v/>
      </c>
      <c r="F1044" s="8" t="str">
        <f>IF(IF(D1044&lt;&gt;D1043,1,IF(OR(B1044&lt;&gt;B1043,A1044-A1043&gt;$U$1),1,""))&lt;&gt;1,"",IF(C1044="B01",1,IF(C1044="B05",1,IF(C1044="B03",1,IF(C1044="B04",1,IF(C1044="B20",1,IF(C1044="B02",1,0)))))))</f>
        <v/>
      </c>
      <c r="G1044"/>
      <c r="H1044" s="2"/>
      <c r="I1044" s="2"/>
      <c r="L1044"/>
      <c r="R1044"/>
    </row>
    <row r="1045" spans="1:18">
      <c r="A1045" s="3">
        <v>45745.841782407406</v>
      </c>
      <c r="B1045" s="2" t="s">
        <v>26</v>
      </c>
      <c r="C1045" s="2" t="s">
        <v>11</v>
      </c>
      <c r="D1045" s="6" t="str">
        <f>CONCATENATE(YEAR(A1045),"/",IF(MONTH(A1045)&lt;10,CONCATENATE("0",MONTH(A1045)),MONTH(A1045)))</f>
        <v>2025/03</v>
      </c>
      <c r="E1045" s="8" t="str">
        <f>IF(IF(D1045&lt;&gt;D1044,1,IF(OR(B1045&lt;&gt;B1044,A1045-A1044&gt;$U$1),1,""))&lt;&gt;1,"",IF(C1045="B01",1965,IF(C1045="B02",1020,IF(C1045="B05",2400,IF(C1045="B03",4260,IF(C1045="B04",2880,IF(C1045="B20",1260,0)))))))</f>
        <v/>
      </c>
      <c r="F1045" s="8" t="str">
        <f>IF(IF(D1045&lt;&gt;D1044,1,IF(OR(B1045&lt;&gt;B1044,A1045-A1044&gt;$U$1),1,""))&lt;&gt;1,"",IF(C1045="B01",1,IF(C1045="B05",1,IF(C1045="B03",1,IF(C1045="B04",1,IF(C1045="B20",1,IF(C1045="B02",1,0)))))))</f>
        <v/>
      </c>
      <c r="G1045"/>
      <c r="H1045" s="2"/>
      <c r="I1045" s="2"/>
      <c r="L1045"/>
      <c r="R1045"/>
    </row>
    <row r="1046" spans="1:18">
      <c r="A1046" s="3">
        <v>45746.038553240738</v>
      </c>
      <c r="B1046" s="2" t="s">
        <v>26</v>
      </c>
      <c r="C1046" s="2" t="s">
        <v>12</v>
      </c>
      <c r="D1046" s="6" t="str">
        <f>CONCATENATE(YEAR(A1046),"/",IF(MONTH(A1046)&lt;10,CONCATENATE("0",MONTH(A1046)),MONTH(A1046)))</f>
        <v>2025/03</v>
      </c>
      <c r="E1046" s="8">
        <f>IF(IF(D1046&lt;&gt;D1045,1,IF(OR(B1046&lt;&gt;B1045,A1046-A1045&gt;$U$1),1,""))&lt;&gt;1,"",IF(C1046="B01",1965,IF(C1046="B02",1020,IF(C1046="B05",2400,IF(C1046="B03",4260,IF(C1046="B04",2880,IF(C1046="B20",1260,0)))))))</f>
        <v>4260</v>
      </c>
      <c r="F1046" s="8">
        <f>IF(IF(D1046&lt;&gt;D1045,1,IF(OR(B1046&lt;&gt;B1045,A1046-A1045&gt;$U$1),1,""))&lt;&gt;1,"",IF(C1046="B01",1,IF(C1046="B05",1,IF(C1046="B03",1,IF(C1046="B04",1,IF(C1046="B20",1,IF(C1046="B02",1,0)))))))</f>
        <v>1</v>
      </c>
      <c r="G1046"/>
      <c r="H1046" s="2"/>
      <c r="I1046" s="2"/>
      <c r="L1046"/>
      <c r="R1046"/>
    </row>
    <row r="1047" spans="1:18">
      <c r="A1047" s="3">
        <v>45746.038553240738</v>
      </c>
      <c r="B1047" s="2" t="s">
        <v>26</v>
      </c>
      <c r="C1047" s="2" t="s">
        <v>12</v>
      </c>
      <c r="D1047" s="6" t="str">
        <f>CONCATENATE(YEAR(A1047),"/",IF(MONTH(A1047)&lt;10,CONCATENATE("0",MONTH(A1047)),MONTH(A1047)))</f>
        <v>2025/03</v>
      </c>
      <c r="E1047" s="8" t="str">
        <f>IF(IF(D1047&lt;&gt;D1046,1,IF(OR(B1047&lt;&gt;B1046,A1047-A1046&gt;$U$1),1,""))&lt;&gt;1,"",IF(C1047="B01",1965,IF(C1047="B02",1020,IF(C1047="B05",2400,IF(C1047="B03",4260,IF(C1047="B04",2880,IF(C1047="B20",1260,0)))))))</f>
        <v/>
      </c>
      <c r="F1047" s="8" t="str">
        <f>IF(IF(D1047&lt;&gt;D1046,1,IF(OR(B1047&lt;&gt;B1046,A1047-A1046&gt;$U$1),1,""))&lt;&gt;1,"",IF(C1047="B01",1,IF(C1047="B05",1,IF(C1047="B03",1,IF(C1047="B04",1,IF(C1047="B20",1,IF(C1047="B02",1,0)))))))</f>
        <v/>
      </c>
      <c r="G1047"/>
      <c r="H1047" s="2"/>
      <c r="I1047" s="2"/>
      <c r="L1047"/>
      <c r="R1047"/>
    </row>
    <row r="1048" spans="1:18">
      <c r="A1048" s="3">
        <v>45746.225162037037</v>
      </c>
      <c r="B1048" s="2" t="s">
        <v>26</v>
      </c>
      <c r="C1048" s="2" t="s">
        <v>11</v>
      </c>
      <c r="D1048" s="6" t="str">
        <f>CONCATENATE(YEAR(A1048),"/",IF(MONTH(A1048)&lt;10,CONCATENATE("0",MONTH(A1048)),MONTH(A1048)))</f>
        <v>2025/03</v>
      </c>
      <c r="E1048" s="8">
        <f>IF(IF(D1048&lt;&gt;D1047,1,IF(OR(B1048&lt;&gt;B1047,A1048-A1047&gt;$U$1),1,""))&lt;&gt;1,"",IF(C1048="B01",1965,IF(C1048="B02",1020,IF(C1048="B05",2400,IF(C1048="B03",4260,IF(C1048="B04",2880,IF(C1048="B20",1260,0)))))))</f>
        <v>2400</v>
      </c>
      <c r="F1048" s="8">
        <f>IF(IF(D1048&lt;&gt;D1047,1,IF(OR(B1048&lt;&gt;B1047,A1048-A1047&gt;$U$1),1,""))&lt;&gt;1,"",IF(C1048="B01",1,IF(C1048="B05",1,IF(C1048="B03",1,IF(C1048="B04",1,IF(C1048="B20",1,IF(C1048="B02",1,0)))))))</f>
        <v>1</v>
      </c>
      <c r="G1048"/>
      <c r="H1048" s="2"/>
      <c r="I1048" s="2"/>
      <c r="L1048"/>
      <c r="R1048"/>
    </row>
    <row r="1049" spans="1:18">
      <c r="A1049" s="3">
        <v>45746.225162037037</v>
      </c>
      <c r="B1049" s="2" t="s">
        <v>26</v>
      </c>
      <c r="C1049" s="2" t="s">
        <v>11</v>
      </c>
      <c r="D1049" s="6" t="str">
        <f>CONCATENATE(YEAR(A1049),"/",IF(MONTH(A1049)&lt;10,CONCATENATE("0",MONTH(A1049)),MONTH(A1049)))</f>
        <v>2025/03</v>
      </c>
      <c r="E1049" s="8" t="str">
        <f>IF(IF(D1049&lt;&gt;D1048,1,IF(OR(B1049&lt;&gt;B1048,A1049-A1048&gt;$U$1),1,""))&lt;&gt;1,"",IF(C1049="B01",1965,IF(C1049="B02",1020,IF(C1049="B05",2400,IF(C1049="B03",4260,IF(C1049="B04",2880,IF(C1049="B20",1260,0)))))))</f>
        <v/>
      </c>
      <c r="F1049" s="8" t="str">
        <f>IF(IF(D1049&lt;&gt;D1048,1,IF(OR(B1049&lt;&gt;B1048,A1049-A1048&gt;$U$1),1,""))&lt;&gt;1,"",IF(C1049="B01",1,IF(C1049="B05",1,IF(C1049="B03",1,IF(C1049="B04",1,IF(C1049="B20",1,IF(C1049="B02",1,0)))))))</f>
        <v/>
      </c>
      <c r="G1049"/>
      <c r="H1049" s="2"/>
      <c r="I1049" s="2"/>
      <c r="L1049"/>
      <c r="R1049"/>
    </row>
    <row r="1050" spans="1:18">
      <c r="A1050" s="3">
        <v>45746.225162037037</v>
      </c>
      <c r="B1050" s="2" t="s">
        <v>26</v>
      </c>
      <c r="C1050" s="2" t="s">
        <v>11</v>
      </c>
      <c r="D1050" s="6" t="str">
        <f>CONCATENATE(YEAR(A1050),"/",IF(MONTH(A1050)&lt;10,CONCATENATE("0",MONTH(A1050)),MONTH(A1050)))</f>
        <v>2025/03</v>
      </c>
      <c r="E1050" s="8" t="str">
        <f>IF(IF(D1050&lt;&gt;D1049,1,IF(OR(B1050&lt;&gt;B1049,A1050-A1049&gt;$U$1),1,""))&lt;&gt;1,"",IF(C1050="B01",1965,IF(C1050="B02",1020,IF(C1050="B05",2400,IF(C1050="B03",4260,IF(C1050="B04",2880,IF(C1050="B20",1260,0)))))))</f>
        <v/>
      </c>
      <c r="F1050" s="8" t="str">
        <f>IF(IF(D1050&lt;&gt;D1049,1,IF(OR(B1050&lt;&gt;B1049,A1050-A1049&gt;$U$1),1,""))&lt;&gt;1,"",IF(C1050="B01",1,IF(C1050="B05",1,IF(C1050="B03",1,IF(C1050="B04",1,IF(C1050="B20",1,IF(C1050="B02",1,0)))))))</f>
        <v/>
      </c>
      <c r="G1050"/>
      <c r="H1050" s="2"/>
      <c r="I1050" s="2"/>
      <c r="L1050"/>
      <c r="R1050"/>
    </row>
    <row r="1051" spans="1:18">
      <c r="A1051" s="3">
        <v>45746.70921296296</v>
      </c>
      <c r="B1051" s="2" t="s">
        <v>26</v>
      </c>
      <c r="C1051" s="2" t="s">
        <v>12</v>
      </c>
      <c r="D1051" s="6" t="str">
        <f>CONCATENATE(YEAR(A1051),"/",IF(MONTH(A1051)&lt;10,CONCATENATE("0",MONTH(A1051)),MONTH(A1051)))</f>
        <v>2025/03</v>
      </c>
      <c r="E1051" s="8">
        <f>IF(IF(D1051&lt;&gt;D1050,1,IF(OR(B1051&lt;&gt;B1050,A1051-A1050&gt;$U$1),1,""))&lt;&gt;1,"",IF(C1051="B01",1965,IF(C1051="B02",1020,IF(C1051="B05",2400,IF(C1051="B03",4260,IF(C1051="B04",2880,IF(C1051="B20",1260,0)))))))</f>
        <v>4260</v>
      </c>
      <c r="F1051" s="8">
        <f>IF(IF(D1051&lt;&gt;D1050,1,IF(OR(B1051&lt;&gt;B1050,A1051-A1050&gt;$U$1),1,""))&lt;&gt;1,"",IF(C1051="B01",1,IF(C1051="B05",1,IF(C1051="B03",1,IF(C1051="B04",1,IF(C1051="B20",1,IF(C1051="B02",1,0)))))))</f>
        <v>1</v>
      </c>
      <c r="G1051"/>
      <c r="H1051" s="2"/>
      <c r="I1051" s="2"/>
      <c r="L1051"/>
      <c r="R1051"/>
    </row>
    <row r="1052" spans="1:18">
      <c r="A1052" s="3">
        <v>45746.849537037036</v>
      </c>
      <c r="B1052" s="2" t="s">
        <v>26</v>
      </c>
      <c r="C1052" s="2" t="s">
        <v>11</v>
      </c>
      <c r="D1052" s="6" t="str">
        <f>CONCATENATE(YEAR(A1052),"/",IF(MONTH(A1052)&lt;10,CONCATENATE("0",MONTH(A1052)),MONTH(A1052)))</f>
        <v>2025/03</v>
      </c>
      <c r="E1052" s="8">
        <f>IF(IF(D1052&lt;&gt;D1051,1,IF(OR(B1052&lt;&gt;B1051,A1052-A1051&gt;$U$1),1,""))&lt;&gt;1,"",IF(C1052="B01",1965,IF(C1052="B02",1020,IF(C1052="B05",2400,IF(C1052="B03",4260,IF(C1052="B04",2880,IF(C1052="B20",1260,0)))))))</f>
        <v>2400</v>
      </c>
      <c r="F1052" s="8">
        <f>IF(IF(D1052&lt;&gt;D1051,1,IF(OR(B1052&lt;&gt;B1051,A1052-A1051&gt;$U$1),1,""))&lt;&gt;1,"",IF(C1052="B01",1,IF(C1052="B05",1,IF(C1052="B03",1,IF(C1052="B04",1,IF(C1052="B20",1,IF(C1052="B02",1,0)))))))</f>
        <v>1</v>
      </c>
      <c r="G1052"/>
      <c r="H1052" s="2"/>
      <c r="I1052" s="2"/>
      <c r="L1052"/>
      <c r="R1052"/>
    </row>
    <row r="1053" spans="1:18">
      <c r="A1053" s="3">
        <v>45746.849537037036</v>
      </c>
      <c r="B1053" s="2" t="s">
        <v>26</v>
      </c>
      <c r="C1053" s="2" t="s">
        <v>11</v>
      </c>
      <c r="D1053" s="6" t="str">
        <f>CONCATENATE(YEAR(A1053),"/",IF(MONTH(A1053)&lt;10,CONCATENATE("0",MONTH(A1053)),MONTH(A1053)))</f>
        <v>2025/03</v>
      </c>
      <c r="E1053" s="8" t="str">
        <f>IF(IF(D1053&lt;&gt;D1052,1,IF(OR(B1053&lt;&gt;B1052,A1053-A1052&gt;$U$1),1,""))&lt;&gt;1,"",IF(C1053="B01",1965,IF(C1053="B02",1020,IF(C1053="B05",2400,IF(C1053="B03",4260,IF(C1053="B04",2880,IF(C1053="B20",1260,0)))))))</f>
        <v/>
      </c>
      <c r="F1053" s="8" t="str">
        <f>IF(IF(D1053&lt;&gt;D1052,1,IF(OR(B1053&lt;&gt;B1052,A1053-A1052&gt;$U$1),1,""))&lt;&gt;1,"",IF(C1053="B01",1,IF(C1053="B05",1,IF(C1053="B03",1,IF(C1053="B04",1,IF(C1053="B20",1,IF(C1053="B02",1,0)))))))</f>
        <v/>
      </c>
      <c r="G1053"/>
      <c r="H1053" s="2"/>
      <c r="I1053" s="2"/>
      <c r="L1053"/>
      <c r="R1053"/>
    </row>
    <row r="1054" spans="1:18">
      <c r="A1054" s="3">
        <v>45746.967048611114</v>
      </c>
      <c r="B1054" s="2" t="s">
        <v>26</v>
      </c>
      <c r="C1054" s="2" t="s">
        <v>11</v>
      </c>
      <c r="D1054" s="6" t="str">
        <f>CONCATENATE(YEAR(A1054),"/",IF(MONTH(A1054)&lt;10,CONCATENATE("0",MONTH(A1054)),MONTH(A1054)))</f>
        <v>2025/03</v>
      </c>
      <c r="E1054" s="8">
        <f>IF(IF(D1054&lt;&gt;D1053,1,IF(OR(B1054&lt;&gt;B1053,A1054-A1053&gt;$U$1),1,""))&lt;&gt;1,"",IF(C1054="B01",1965,IF(C1054="B02",1020,IF(C1054="B05",2400,IF(C1054="B03",4260,IF(C1054="B04",2880,IF(C1054="B20",1260,0)))))))</f>
        <v>2400</v>
      </c>
      <c r="F1054" s="8">
        <f>IF(IF(D1054&lt;&gt;D1053,1,IF(OR(B1054&lt;&gt;B1053,A1054-A1053&gt;$U$1),1,""))&lt;&gt;1,"",IF(C1054="B01",1,IF(C1054="B05",1,IF(C1054="B03",1,IF(C1054="B04",1,IF(C1054="B20",1,IF(C1054="B02",1,0)))))))</f>
        <v>1</v>
      </c>
      <c r="G1054"/>
      <c r="H1054" s="2"/>
      <c r="I1054" s="2"/>
      <c r="L1054"/>
      <c r="R1054"/>
    </row>
    <row r="1055" spans="1:18">
      <c r="A1055" s="3">
        <v>45746.967048611114</v>
      </c>
      <c r="B1055" s="2" t="s">
        <v>26</v>
      </c>
      <c r="C1055" s="2" t="s">
        <v>11</v>
      </c>
      <c r="D1055" s="6" t="str">
        <f>CONCATENATE(YEAR(A1055),"/",IF(MONTH(A1055)&lt;10,CONCATENATE("0",MONTH(A1055)),MONTH(A1055)))</f>
        <v>2025/03</v>
      </c>
      <c r="E1055" s="8" t="str">
        <f>IF(IF(D1055&lt;&gt;D1054,1,IF(OR(B1055&lt;&gt;B1054,A1055-A1054&gt;$U$1),1,""))&lt;&gt;1,"",IF(C1055="B01",1965,IF(C1055="B02",1020,IF(C1055="B05",2400,IF(C1055="B03",4260,IF(C1055="B04",2880,IF(C1055="B20",1260,0)))))))</f>
        <v/>
      </c>
      <c r="F1055" s="8" t="str">
        <f>IF(IF(D1055&lt;&gt;D1054,1,IF(OR(B1055&lt;&gt;B1054,A1055-A1054&gt;$U$1),1,""))&lt;&gt;1,"",IF(C1055="B01",1,IF(C1055="B05",1,IF(C1055="B03",1,IF(C1055="B04",1,IF(C1055="B20",1,IF(C1055="B02",1,0)))))))</f>
        <v/>
      </c>
      <c r="G1055"/>
      <c r="H1055" s="2"/>
      <c r="I1055" s="2"/>
      <c r="L1055"/>
      <c r="R1055"/>
    </row>
    <row r="1056" spans="1:18">
      <c r="A1056" s="3">
        <v>45746.967048611114</v>
      </c>
      <c r="B1056" s="2" t="s">
        <v>26</v>
      </c>
      <c r="C1056" s="2" t="s">
        <v>11</v>
      </c>
      <c r="D1056" s="6" t="str">
        <f>CONCATENATE(YEAR(A1056),"/",IF(MONTH(A1056)&lt;10,CONCATENATE("0",MONTH(A1056)),MONTH(A1056)))</f>
        <v>2025/03</v>
      </c>
      <c r="E1056" s="8" t="str">
        <f>IF(IF(D1056&lt;&gt;D1055,1,IF(OR(B1056&lt;&gt;B1055,A1056-A1055&gt;$U$1),1,""))&lt;&gt;1,"",IF(C1056="B01",1965,IF(C1056="B02",1020,IF(C1056="B05",2400,IF(C1056="B03",4260,IF(C1056="B04",2880,IF(C1056="B20",1260,0)))))))</f>
        <v/>
      </c>
      <c r="F1056" s="8" t="str">
        <f>IF(IF(D1056&lt;&gt;D1055,1,IF(OR(B1056&lt;&gt;B1055,A1056-A1055&gt;$U$1),1,""))&lt;&gt;1,"",IF(C1056="B01",1,IF(C1056="B05",1,IF(C1056="B03",1,IF(C1056="B04",1,IF(C1056="B20",1,IF(C1056="B02",1,0)))))))</f>
        <v/>
      </c>
      <c r="G1056"/>
      <c r="H1056" s="2"/>
      <c r="I1056" s="2"/>
      <c r="L1056"/>
      <c r="R1056"/>
    </row>
    <row r="1057" spans="1:18">
      <c r="A1057" s="3">
        <v>45747.212592592594</v>
      </c>
      <c r="B1057" s="2" t="s">
        <v>26</v>
      </c>
      <c r="C1057" s="2" t="s">
        <v>11</v>
      </c>
      <c r="D1057" s="6" t="str">
        <f>CONCATENATE(YEAR(A1057),"/",IF(MONTH(A1057)&lt;10,CONCATENATE("0",MONTH(A1057)),MONTH(A1057)))</f>
        <v>2025/03</v>
      </c>
      <c r="E1057" s="8">
        <f>IF(IF(D1057&lt;&gt;D1056,1,IF(OR(B1057&lt;&gt;B1056,A1057-A1056&gt;$U$1),1,""))&lt;&gt;1,"",IF(C1057="B01",1965,IF(C1057="B02",1020,IF(C1057="B05",2400,IF(C1057="B03",4260,IF(C1057="B04",2880,IF(C1057="B20",1260,0)))))))</f>
        <v>2400</v>
      </c>
      <c r="F1057" s="8">
        <f>IF(IF(D1057&lt;&gt;D1056,1,IF(OR(B1057&lt;&gt;B1056,A1057-A1056&gt;$U$1),1,""))&lt;&gt;1,"",IF(C1057="B01",1,IF(C1057="B05",1,IF(C1057="B03",1,IF(C1057="B04",1,IF(C1057="B20",1,IF(C1057="B02",1,0)))))))</f>
        <v>1</v>
      </c>
      <c r="G1057"/>
      <c r="H1057" s="2"/>
      <c r="I1057" s="2"/>
      <c r="L1057"/>
      <c r="R1057"/>
    </row>
    <row r="1058" spans="1:18">
      <c r="A1058" s="3">
        <v>45747.212592592594</v>
      </c>
      <c r="B1058" s="2" t="s">
        <v>26</v>
      </c>
      <c r="C1058" s="2" t="s">
        <v>11</v>
      </c>
      <c r="D1058" s="6" t="str">
        <f>CONCATENATE(YEAR(A1058),"/",IF(MONTH(A1058)&lt;10,CONCATENATE("0",MONTH(A1058)),MONTH(A1058)))</f>
        <v>2025/03</v>
      </c>
      <c r="E1058" s="8" t="str">
        <f>IF(IF(D1058&lt;&gt;D1057,1,IF(OR(B1058&lt;&gt;B1057,A1058-A1057&gt;$U$1),1,""))&lt;&gt;1,"",IF(C1058="B01",1965,IF(C1058="B02",1020,IF(C1058="B05",2400,IF(C1058="B03",4260,IF(C1058="B04",2880,IF(C1058="B20",1260,0)))))))</f>
        <v/>
      </c>
      <c r="F1058" s="8" t="str">
        <f>IF(IF(D1058&lt;&gt;D1057,1,IF(OR(B1058&lt;&gt;B1057,A1058-A1057&gt;$U$1),1,""))&lt;&gt;1,"",IF(C1058="B01",1,IF(C1058="B05",1,IF(C1058="B03",1,IF(C1058="B04",1,IF(C1058="B20",1,IF(C1058="B02",1,0)))))))</f>
        <v/>
      </c>
      <c r="G1058"/>
      <c r="H1058" s="2"/>
      <c r="I1058" s="2"/>
      <c r="L1058"/>
      <c r="R1058"/>
    </row>
    <row r="1059" spans="1:18">
      <c r="A1059" s="3">
        <v>45747.212592592594</v>
      </c>
      <c r="B1059" s="2" t="s">
        <v>26</v>
      </c>
      <c r="C1059" s="2" t="s">
        <v>11</v>
      </c>
      <c r="D1059" s="6" t="str">
        <f>CONCATENATE(YEAR(A1059),"/",IF(MONTH(A1059)&lt;10,CONCATENATE("0",MONTH(A1059)),MONTH(A1059)))</f>
        <v>2025/03</v>
      </c>
      <c r="E1059" s="8" t="str">
        <f>IF(IF(D1059&lt;&gt;D1058,1,IF(OR(B1059&lt;&gt;B1058,A1059-A1058&gt;$U$1),1,""))&lt;&gt;1,"",IF(C1059="B01",1965,IF(C1059="B02",1020,IF(C1059="B05",2400,IF(C1059="B03",4260,IF(C1059="B04",2880,IF(C1059="B20",1260,0)))))))</f>
        <v/>
      </c>
      <c r="F1059" s="8" t="str">
        <f>IF(IF(D1059&lt;&gt;D1058,1,IF(OR(B1059&lt;&gt;B1058,A1059-A1058&gt;$U$1),1,""))&lt;&gt;1,"",IF(C1059="B01",1,IF(C1059="B05",1,IF(C1059="B03",1,IF(C1059="B04",1,IF(C1059="B20",1,IF(C1059="B02",1,0)))))))</f>
        <v/>
      </c>
      <c r="G1059"/>
      <c r="H1059" s="2"/>
      <c r="I1059" s="2"/>
      <c r="L1059"/>
      <c r="R1059"/>
    </row>
    <row r="1060" spans="1:18">
      <c r="A1060" s="3">
        <v>45747.212592592594</v>
      </c>
      <c r="B1060" s="2" t="s">
        <v>26</v>
      </c>
      <c r="C1060" s="2" t="s">
        <v>11</v>
      </c>
      <c r="D1060" s="6" t="str">
        <f>CONCATENATE(YEAR(A1060),"/",IF(MONTH(A1060)&lt;10,CONCATENATE("0",MONTH(A1060)),MONTH(A1060)))</f>
        <v>2025/03</v>
      </c>
      <c r="E1060" s="8" t="str">
        <f>IF(IF(D1060&lt;&gt;D1059,1,IF(OR(B1060&lt;&gt;B1059,A1060-A1059&gt;$U$1),1,""))&lt;&gt;1,"",IF(C1060="B01",1965,IF(C1060="B02",1020,IF(C1060="B05",2400,IF(C1060="B03",4260,IF(C1060="B04",2880,IF(C1060="B20",1260,0)))))))</f>
        <v/>
      </c>
      <c r="F1060" s="8" t="str">
        <f>IF(IF(D1060&lt;&gt;D1059,1,IF(OR(B1060&lt;&gt;B1059,A1060-A1059&gt;$U$1),1,""))&lt;&gt;1,"",IF(C1060="B01",1,IF(C1060="B05",1,IF(C1060="B03",1,IF(C1060="B04",1,IF(C1060="B20",1,IF(C1060="B02",1,0)))))))</f>
        <v/>
      </c>
      <c r="G1060"/>
      <c r="H1060" s="2"/>
      <c r="I1060" s="2"/>
      <c r="L1060"/>
      <c r="R1060"/>
    </row>
    <row r="1061" spans="1:18">
      <c r="A1061" s="3">
        <v>45747.37023148148</v>
      </c>
      <c r="B1061" s="2" t="s">
        <v>26</v>
      </c>
      <c r="C1061" s="2" t="s">
        <v>11</v>
      </c>
      <c r="D1061" s="6" t="str">
        <f>CONCATENATE(YEAR(A1061),"/",IF(MONTH(A1061)&lt;10,CONCATENATE("0",MONTH(A1061)),MONTH(A1061)))</f>
        <v>2025/03</v>
      </c>
      <c r="E1061" s="8">
        <f>IF(IF(D1061&lt;&gt;D1060,1,IF(OR(B1061&lt;&gt;B1060,A1061-A1060&gt;$U$1),1,""))&lt;&gt;1,"",IF(C1061="B01",1965,IF(C1061="B02",1020,IF(C1061="B05",2400,IF(C1061="B03",4260,IF(C1061="B04",2880,IF(C1061="B20",1260,0)))))))</f>
        <v>2400</v>
      </c>
      <c r="F1061" s="8">
        <f>IF(IF(D1061&lt;&gt;D1060,1,IF(OR(B1061&lt;&gt;B1060,A1061-A1060&gt;$U$1),1,""))&lt;&gt;1,"",IF(C1061="B01",1,IF(C1061="B05",1,IF(C1061="B03",1,IF(C1061="B04",1,IF(C1061="B20",1,IF(C1061="B02",1,0)))))))</f>
        <v>1</v>
      </c>
      <c r="G1061"/>
      <c r="H1061" s="2"/>
      <c r="I1061" s="2"/>
      <c r="L1061"/>
      <c r="R1061"/>
    </row>
    <row r="1062" spans="1:18">
      <c r="A1062" s="3">
        <v>45747.37023148148</v>
      </c>
      <c r="B1062" s="2" t="s">
        <v>26</v>
      </c>
      <c r="C1062" s="2" t="s">
        <v>11</v>
      </c>
      <c r="D1062" s="6" t="str">
        <f>CONCATENATE(YEAR(A1062),"/",IF(MONTH(A1062)&lt;10,CONCATENATE("0",MONTH(A1062)),MONTH(A1062)))</f>
        <v>2025/03</v>
      </c>
      <c r="E1062" s="8" t="str">
        <f>IF(IF(D1062&lt;&gt;D1061,1,IF(OR(B1062&lt;&gt;B1061,A1062-A1061&gt;$U$1),1,""))&lt;&gt;1,"",IF(C1062="B01",1965,IF(C1062="B02",1020,IF(C1062="B05",2400,IF(C1062="B03",4260,IF(C1062="B04",2880,IF(C1062="B20",1260,0)))))))</f>
        <v/>
      </c>
      <c r="F1062" s="8" t="str">
        <f>IF(IF(D1062&lt;&gt;D1061,1,IF(OR(B1062&lt;&gt;B1061,A1062-A1061&gt;$U$1),1,""))&lt;&gt;1,"",IF(C1062="B01",1,IF(C1062="B05",1,IF(C1062="B03",1,IF(C1062="B04",1,IF(C1062="B20",1,IF(C1062="B02",1,0)))))))</f>
        <v/>
      </c>
      <c r="G1062"/>
      <c r="H1062" s="2"/>
      <c r="I1062" s="2"/>
      <c r="L1062"/>
      <c r="R1062"/>
    </row>
    <row r="1063" spans="1:18">
      <c r="A1063" s="3">
        <v>45747.688101851854</v>
      </c>
      <c r="B1063" s="2" t="s">
        <v>26</v>
      </c>
      <c r="C1063" s="2" t="s">
        <v>11</v>
      </c>
      <c r="D1063" s="6" t="str">
        <f>CONCATENATE(YEAR(A1063),"/",IF(MONTH(A1063)&lt;10,CONCATENATE("0",MONTH(A1063)),MONTH(A1063)))</f>
        <v>2025/03</v>
      </c>
      <c r="E1063" s="8">
        <f>IF(IF(D1063&lt;&gt;D1062,1,IF(OR(B1063&lt;&gt;B1062,A1063-A1062&gt;$U$1),1,""))&lt;&gt;1,"",IF(C1063="B01",1965,IF(C1063="B02",1020,IF(C1063="B05",2400,IF(C1063="B03",4260,IF(C1063="B04",2880,IF(C1063="B20",1260,0)))))))</f>
        <v>2400</v>
      </c>
      <c r="F1063" s="8">
        <f>IF(IF(D1063&lt;&gt;D1062,1,IF(OR(B1063&lt;&gt;B1062,A1063-A1062&gt;$U$1),1,""))&lt;&gt;1,"",IF(C1063="B01",1,IF(C1063="B05",1,IF(C1063="B03",1,IF(C1063="B04",1,IF(C1063="B20",1,IF(C1063="B02",1,0)))))))</f>
        <v>1</v>
      </c>
      <c r="G1063"/>
      <c r="H1063" s="2"/>
      <c r="I1063" s="2"/>
      <c r="L1063"/>
      <c r="R1063"/>
    </row>
    <row r="1064" spans="1:18">
      <c r="A1064" s="3">
        <v>45747.688101851854</v>
      </c>
      <c r="B1064" s="2" t="s">
        <v>26</v>
      </c>
      <c r="C1064" s="2" t="s">
        <v>11</v>
      </c>
      <c r="D1064" s="6" t="str">
        <f>CONCATENATE(YEAR(A1064),"/",IF(MONTH(A1064)&lt;10,CONCATENATE("0",MONTH(A1064)),MONTH(A1064)))</f>
        <v>2025/03</v>
      </c>
      <c r="E1064" s="8" t="str">
        <f>IF(IF(D1064&lt;&gt;D1063,1,IF(OR(B1064&lt;&gt;B1063,A1064-A1063&gt;$U$1),1,""))&lt;&gt;1,"",IF(C1064="B01",1965,IF(C1064="B02",1020,IF(C1064="B05",2400,IF(C1064="B03",4260,IF(C1064="B04",2880,IF(C1064="B20",1260,0)))))))</f>
        <v/>
      </c>
      <c r="F1064" s="8" t="str">
        <f>IF(IF(D1064&lt;&gt;D1063,1,IF(OR(B1064&lt;&gt;B1063,A1064-A1063&gt;$U$1),1,""))&lt;&gt;1,"",IF(C1064="B01",1,IF(C1064="B05",1,IF(C1064="B03",1,IF(C1064="B04",1,IF(C1064="B20",1,IF(C1064="B02",1,0)))))))</f>
        <v/>
      </c>
      <c r="G1064"/>
      <c r="H1064" s="2"/>
      <c r="I1064" s="2"/>
      <c r="L1064"/>
      <c r="R1064"/>
    </row>
    <row r="1065" spans="1:18">
      <c r="A1065" s="3">
        <v>45747.688101851854</v>
      </c>
      <c r="B1065" s="2" t="s">
        <v>26</v>
      </c>
      <c r="C1065" s="2" t="s">
        <v>11</v>
      </c>
      <c r="D1065" s="6" t="str">
        <f>CONCATENATE(YEAR(A1065),"/",IF(MONTH(A1065)&lt;10,CONCATENATE("0",MONTH(A1065)),MONTH(A1065)))</f>
        <v>2025/03</v>
      </c>
      <c r="E1065" s="8" t="str">
        <f>IF(IF(D1065&lt;&gt;D1064,1,IF(OR(B1065&lt;&gt;B1064,A1065-A1064&gt;$U$1),1,""))&lt;&gt;1,"",IF(C1065="B01",1965,IF(C1065="B02",1020,IF(C1065="B05",2400,IF(C1065="B03",4260,IF(C1065="B04",2880,IF(C1065="B20",1260,0)))))))</f>
        <v/>
      </c>
      <c r="F1065" s="8" t="str">
        <f>IF(IF(D1065&lt;&gt;D1064,1,IF(OR(B1065&lt;&gt;B1064,A1065-A1064&gt;$U$1),1,""))&lt;&gt;1,"",IF(C1065="B01",1,IF(C1065="B05",1,IF(C1065="B03",1,IF(C1065="B04",1,IF(C1065="B20",1,IF(C1065="B02",1,0)))))))</f>
        <v/>
      </c>
      <c r="G1065"/>
      <c r="H1065" s="2"/>
      <c r="I1065" s="2"/>
      <c r="L1065"/>
      <c r="R1065"/>
    </row>
    <row r="1066" spans="1:18">
      <c r="A1066" s="3">
        <v>45747.688101851854</v>
      </c>
      <c r="B1066" s="2" t="s">
        <v>26</v>
      </c>
      <c r="C1066" s="2" t="s">
        <v>11</v>
      </c>
      <c r="D1066" s="6" t="str">
        <f>CONCATENATE(YEAR(A1066),"/",IF(MONTH(A1066)&lt;10,CONCATENATE("0",MONTH(A1066)),MONTH(A1066)))</f>
        <v>2025/03</v>
      </c>
      <c r="E1066" s="8" t="str">
        <f>IF(IF(D1066&lt;&gt;D1065,1,IF(OR(B1066&lt;&gt;B1065,A1066-A1065&gt;$U$1),1,""))&lt;&gt;1,"",IF(C1066="B01",1965,IF(C1066="B02",1020,IF(C1066="B05",2400,IF(C1066="B03",4260,IF(C1066="B04",2880,IF(C1066="B20",1260,0)))))))</f>
        <v/>
      </c>
      <c r="F1066" s="8" t="str">
        <f>IF(IF(D1066&lt;&gt;D1065,1,IF(OR(B1066&lt;&gt;B1065,A1066-A1065&gt;$U$1),1,""))&lt;&gt;1,"",IF(C1066="B01",1,IF(C1066="B05",1,IF(C1066="B03",1,IF(C1066="B04",1,IF(C1066="B20",1,IF(C1066="B02",1,0)))))))</f>
        <v/>
      </c>
      <c r="G1066"/>
      <c r="H1066" s="2"/>
      <c r="I1066" s="2"/>
      <c r="L1066"/>
      <c r="R1066"/>
    </row>
    <row r="1067" spans="1:18">
      <c r="A1067" s="3">
        <v>45747.688101851854</v>
      </c>
      <c r="B1067" s="2" t="s">
        <v>26</v>
      </c>
      <c r="C1067" s="2" t="s">
        <v>11</v>
      </c>
      <c r="D1067" s="6" t="str">
        <f>CONCATENATE(YEAR(A1067),"/",IF(MONTH(A1067)&lt;10,CONCATENATE("0",MONTH(A1067)),MONTH(A1067)))</f>
        <v>2025/03</v>
      </c>
      <c r="E1067" s="8" t="str">
        <f>IF(IF(D1067&lt;&gt;D1066,1,IF(OR(B1067&lt;&gt;B1066,A1067-A1066&gt;$U$1),1,""))&lt;&gt;1,"",IF(C1067="B01",1965,IF(C1067="B02",1020,IF(C1067="B05",2400,IF(C1067="B03",4260,IF(C1067="B04",2880,IF(C1067="B20",1260,0)))))))</f>
        <v/>
      </c>
      <c r="F1067" s="8" t="str">
        <f>IF(IF(D1067&lt;&gt;D1066,1,IF(OR(B1067&lt;&gt;B1066,A1067-A1066&gt;$U$1),1,""))&lt;&gt;1,"",IF(C1067="B01",1,IF(C1067="B05",1,IF(C1067="B03",1,IF(C1067="B04",1,IF(C1067="B20",1,IF(C1067="B02",1,0)))))))</f>
        <v/>
      </c>
      <c r="G1067"/>
      <c r="H1067" s="2"/>
      <c r="I1067" s="2"/>
      <c r="L1067"/>
      <c r="R1067"/>
    </row>
    <row r="1068" spans="1:18">
      <c r="A1068" s="3">
        <v>45748.097986111112</v>
      </c>
      <c r="B1068" s="2" t="s">
        <v>26</v>
      </c>
      <c r="C1068" s="2" t="s">
        <v>11</v>
      </c>
      <c r="D1068" s="6" t="str">
        <f>CONCATENATE(YEAR(A1068),"/",IF(MONTH(A1068)&lt;10,CONCATENATE("0",MONTH(A1068)),MONTH(A1068)))</f>
        <v>2025/04</v>
      </c>
      <c r="E1068" s="8">
        <f>IF(IF(D1068&lt;&gt;D1067,1,IF(OR(B1068&lt;&gt;B1067,A1068-A1067&gt;$U$1),1,""))&lt;&gt;1,"",IF(C1068="B01",1965,IF(C1068="B02",1020,IF(C1068="B05",2400,IF(C1068="B03",4260,IF(C1068="B04",2880,IF(C1068="B20",1260,0)))))))</f>
        <v>2400</v>
      </c>
      <c r="F1068" s="8">
        <f>IF(IF(D1068&lt;&gt;D1067,1,IF(OR(B1068&lt;&gt;B1067,A1068-A1067&gt;$U$1),1,""))&lt;&gt;1,"",IF(C1068="B01",1,IF(C1068="B05",1,IF(C1068="B03",1,IF(C1068="B04",1,IF(C1068="B20",1,IF(C1068="B02",1,0)))))))</f>
        <v>1</v>
      </c>
      <c r="G1068"/>
      <c r="H1068" s="2"/>
      <c r="I1068" s="2"/>
      <c r="L1068"/>
      <c r="R1068"/>
    </row>
    <row r="1069" spans="1:18">
      <c r="A1069" s="3">
        <v>45748.097986111112</v>
      </c>
      <c r="B1069" s="2" t="s">
        <v>26</v>
      </c>
      <c r="C1069" s="2" t="s">
        <v>11</v>
      </c>
      <c r="D1069" s="6" t="str">
        <f>CONCATENATE(YEAR(A1069),"/",IF(MONTH(A1069)&lt;10,CONCATENATE("0",MONTH(A1069)),MONTH(A1069)))</f>
        <v>2025/04</v>
      </c>
      <c r="E1069" s="8" t="str">
        <f>IF(IF(D1069&lt;&gt;D1068,1,IF(OR(B1069&lt;&gt;B1068,A1069-A1068&gt;$U$1),1,""))&lt;&gt;1,"",IF(C1069="B01",1965,IF(C1069="B02",1020,IF(C1069="B05",2400,IF(C1069="B03",4260,IF(C1069="B04",2880,IF(C1069="B20",1260,0)))))))</f>
        <v/>
      </c>
      <c r="F1069" s="8" t="str">
        <f>IF(IF(D1069&lt;&gt;D1068,1,IF(OR(B1069&lt;&gt;B1068,A1069-A1068&gt;$U$1),1,""))&lt;&gt;1,"",IF(C1069="B01",1,IF(C1069="B05",1,IF(C1069="B03",1,IF(C1069="B04",1,IF(C1069="B20",1,IF(C1069="B02",1,0)))))))</f>
        <v/>
      </c>
      <c r="G1069"/>
      <c r="H1069" s="2"/>
      <c r="I1069" s="2"/>
      <c r="L1069"/>
      <c r="R1069"/>
    </row>
    <row r="1070" spans="1:18">
      <c r="A1070" s="3">
        <v>45748.222395833334</v>
      </c>
      <c r="B1070" s="2" t="s">
        <v>26</v>
      </c>
      <c r="C1070" s="2" t="s">
        <v>11</v>
      </c>
      <c r="D1070" s="6" t="str">
        <f>CONCATENATE(YEAR(A1070),"/",IF(MONTH(A1070)&lt;10,CONCATENATE("0",MONTH(A1070)),MONTH(A1070)))</f>
        <v>2025/04</v>
      </c>
      <c r="E1070" s="8">
        <f>IF(IF(D1070&lt;&gt;D1069,1,IF(OR(B1070&lt;&gt;B1069,A1070-A1069&gt;$U$1),1,""))&lt;&gt;1,"",IF(C1070="B01",1965,IF(C1070="B02",1020,IF(C1070="B05",2400,IF(C1070="B03",4260,IF(C1070="B04",2880,IF(C1070="B20",1260,0)))))))</f>
        <v>2400</v>
      </c>
      <c r="F1070" s="8">
        <f>IF(IF(D1070&lt;&gt;D1069,1,IF(OR(B1070&lt;&gt;B1069,A1070-A1069&gt;$U$1),1,""))&lt;&gt;1,"",IF(C1070="B01",1,IF(C1070="B05",1,IF(C1070="B03",1,IF(C1070="B04",1,IF(C1070="B20",1,IF(C1070="B02",1,0)))))))</f>
        <v>1</v>
      </c>
      <c r="G1070"/>
      <c r="H1070" s="2"/>
      <c r="I1070" s="2"/>
      <c r="L1070"/>
      <c r="R1070"/>
    </row>
    <row r="1071" spans="1:18">
      <c r="A1071" s="3">
        <v>45748.222395833334</v>
      </c>
      <c r="B1071" s="2" t="s">
        <v>26</v>
      </c>
      <c r="C1071" s="2" t="s">
        <v>11</v>
      </c>
      <c r="D1071" s="6" t="str">
        <f>CONCATENATE(YEAR(A1071),"/",IF(MONTH(A1071)&lt;10,CONCATENATE("0",MONTH(A1071)),MONTH(A1071)))</f>
        <v>2025/04</v>
      </c>
      <c r="E1071" s="8" t="str">
        <f>IF(IF(D1071&lt;&gt;D1070,1,IF(OR(B1071&lt;&gt;B1070,A1071-A1070&gt;$U$1),1,""))&lt;&gt;1,"",IF(C1071="B01",1965,IF(C1071="B02",1020,IF(C1071="B05",2400,IF(C1071="B03",4260,IF(C1071="B04",2880,IF(C1071="B20",1260,0)))))))</f>
        <v/>
      </c>
      <c r="F1071" s="8" t="str">
        <f>IF(IF(D1071&lt;&gt;D1070,1,IF(OR(B1071&lt;&gt;B1070,A1071-A1070&gt;$U$1),1,""))&lt;&gt;1,"",IF(C1071="B01",1,IF(C1071="B05",1,IF(C1071="B03",1,IF(C1071="B04",1,IF(C1071="B20",1,IF(C1071="B02",1,0)))))))</f>
        <v/>
      </c>
      <c r="G1071"/>
      <c r="H1071" s="2"/>
      <c r="I1071" s="2"/>
      <c r="L1071"/>
      <c r="R1071"/>
    </row>
    <row r="1072" spans="1:18">
      <c r="A1072" s="3">
        <v>45748.222395833334</v>
      </c>
      <c r="B1072" s="2" t="s">
        <v>26</v>
      </c>
      <c r="C1072" s="2" t="s">
        <v>11</v>
      </c>
      <c r="D1072" s="6" t="str">
        <f>CONCATENATE(YEAR(A1072),"/",IF(MONTH(A1072)&lt;10,CONCATENATE("0",MONTH(A1072)),MONTH(A1072)))</f>
        <v>2025/04</v>
      </c>
      <c r="E1072" s="8" t="str">
        <f>IF(IF(D1072&lt;&gt;D1071,1,IF(OR(B1072&lt;&gt;B1071,A1072-A1071&gt;$U$1),1,""))&lt;&gt;1,"",IF(C1072="B01",1965,IF(C1072="B02",1020,IF(C1072="B05",2400,IF(C1072="B03",4260,IF(C1072="B04",2880,IF(C1072="B20",1260,0)))))))</f>
        <v/>
      </c>
      <c r="F1072" s="8" t="str">
        <f>IF(IF(D1072&lt;&gt;D1071,1,IF(OR(B1072&lt;&gt;B1071,A1072-A1071&gt;$U$1),1,""))&lt;&gt;1,"",IF(C1072="B01",1,IF(C1072="B05",1,IF(C1072="B03",1,IF(C1072="B04",1,IF(C1072="B20",1,IF(C1072="B02",1,0)))))))</f>
        <v/>
      </c>
      <c r="G1072"/>
      <c r="H1072" s="2"/>
      <c r="I1072" s="2"/>
      <c r="L1072"/>
      <c r="R1072"/>
    </row>
    <row r="1073" spans="1:18">
      <c r="A1073" s="3">
        <v>45748.222395833334</v>
      </c>
      <c r="B1073" s="2" t="s">
        <v>26</v>
      </c>
      <c r="C1073" s="2" t="s">
        <v>11</v>
      </c>
      <c r="D1073" s="6" t="str">
        <f>CONCATENATE(YEAR(A1073),"/",IF(MONTH(A1073)&lt;10,CONCATENATE("0",MONTH(A1073)),MONTH(A1073)))</f>
        <v>2025/04</v>
      </c>
      <c r="E1073" s="8" t="str">
        <f>IF(IF(D1073&lt;&gt;D1072,1,IF(OR(B1073&lt;&gt;B1072,A1073-A1072&gt;$U$1),1,""))&lt;&gt;1,"",IF(C1073="B01",1965,IF(C1073="B02",1020,IF(C1073="B05",2400,IF(C1073="B03",4260,IF(C1073="B04",2880,IF(C1073="B20",1260,0)))))))</f>
        <v/>
      </c>
      <c r="F1073" s="8" t="str">
        <f>IF(IF(D1073&lt;&gt;D1072,1,IF(OR(B1073&lt;&gt;B1072,A1073-A1072&gt;$U$1),1,""))&lt;&gt;1,"",IF(C1073="B01",1,IF(C1073="B05",1,IF(C1073="B03",1,IF(C1073="B04",1,IF(C1073="B20",1,IF(C1073="B02",1,0)))))))</f>
        <v/>
      </c>
      <c r="G1073"/>
      <c r="H1073" s="2"/>
      <c r="I1073" s="2"/>
      <c r="L1073"/>
      <c r="R1073"/>
    </row>
    <row r="1074" spans="1:18">
      <c r="A1074" s="3">
        <v>45748.343078703707</v>
      </c>
      <c r="B1074" s="2" t="s">
        <v>26</v>
      </c>
      <c r="C1074" s="2" t="s">
        <v>11</v>
      </c>
      <c r="D1074" s="6" t="str">
        <f>CONCATENATE(YEAR(A1074),"/",IF(MONTH(A1074)&lt;10,CONCATENATE("0",MONTH(A1074)),MONTH(A1074)))</f>
        <v>2025/04</v>
      </c>
      <c r="E1074" s="8">
        <f>IF(IF(D1074&lt;&gt;D1073,1,IF(OR(B1074&lt;&gt;B1073,A1074-A1073&gt;$U$1),1,""))&lt;&gt;1,"",IF(C1074="B01",1965,IF(C1074="B02",1020,IF(C1074="B05",2400,IF(C1074="B03",4260,IF(C1074="B04",2880,IF(C1074="B20",1260,0)))))))</f>
        <v>2400</v>
      </c>
      <c r="F1074" s="8">
        <f>IF(IF(D1074&lt;&gt;D1073,1,IF(OR(B1074&lt;&gt;B1073,A1074-A1073&gt;$U$1),1,""))&lt;&gt;1,"",IF(C1074="B01",1,IF(C1074="B05",1,IF(C1074="B03",1,IF(C1074="B04",1,IF(C1074="B20",1,IF(C1074="B02",1,0)))))))</f>
        <v>1</v>
      </c>
      <c r="G1074"/>
      <c r="H1074" s="2"/>
      <c r="I1074" s="2"/>
      <c r="L1074"/>
      <c r="R1074"/>
    </row>
    <row r="1075" spans="1:18">
      <c r="A1075" s="3">
        <v>45748.343078703707</v>
      </c>
      <c r="B1075" s="2" t="s">
        <v>26</v>
      </c>
      <c r="C1075" s="2" t="s">
        <v>11</v>
      </c>
      <c r="D1075" s="6" t="str">
        <f>CONCATENATE(YEAR(A1075),"/",IF(MONTH(A1075)&lt;10,CONCATENATE("0",MONTH(A1075)),MONTH(A1075)))</f>
        <v>2025/04</v>
      </c>
      <c r="E1075" s="8" t="str">
        <f>IF(IF(D1075&lt;&gt;D1074,1,IF(OR(B1075&lt;&gt;B1074,A1075-A1074&gt;$U$1),1,""))&lt;&gt;1,"",IF(C1075="B01",1965,IF(C1075="B02",1020,IF(C1075="B05",2400,IF(C1075="B03",4260,IF(C1075="B04",2880,IF(C1075="B20",1260,0)))))))</f>
        <v/>
      </c>
      <c r="F1075" s="8" t="str">
        <f>IF(IF(D1075&lt;&gt;D1074,1,IF(OR(B1075&lt;&gt;B1074,A1075-A1074&gt;$U$1),1,""))&lt;&gt;1,"",IF(C1075="B01",1,IF(C1075="B05",1,IF(C1075="B03",1,IF(C1075="B04",1,IF(C1075="B20",1,IF(C1075="B02",1,0)))))))</f>
        <v/>
      </c>
      <c r="G1075"/>
      <c r="H1075" s="2"/>
      <c r="I1075" s="2"/>
      <c r="L1075"/>
      <c r="R1075"/>
    </row>
    <row r="1076" spans="1:18">
      <c r="A1076" s="3">
        <v>45748.343078703707</v>
      </c>
      <c r="B1076" s="2" t="s">
        <v>26</v>
      </c>
      <c r="C1076" s="2" t="s">
        <v>11</v>
      </c>
      <c r="D1076" s="6" t="str">
        <f>CONCATENATE(YEAR(A1076),"/",IF(MONTH(A1076)&lt;10,CONCATENATE("0",MONTH(A1076)),MONTH(A1076)))</f>
        <v>2025/04</v>
      </c>
      <c r="E1076" s="8" t="str">
        <f>IF(IF(D1076&lt;&gt;D1075,1,IF(OR(B1076&lt;&gt;B1075,A1076-A1075&gt;$U$1),1,""))&lt;&gt;1,"",IF(C1076="B01",1965,IF(C1076="B02",1020,IF(C1076="B05",2400,IF(C1076="B03",4260,IF(C1076="B04",2880,IF(C1076="B20",1260,0)))))))</f>
        <v/>
      </c>
      <c r="F1076" s="8" t="str">
        <f>IF(IF(D1076&lt;&gt;D1075,1,IF(OR(B1076&lt;&gt;B1075,A1076-A1075&gt;$U$1),1,""))&lt;&gt;1,"",IF(C1076="B01",1,IF(C1076="B05",1,IF(C1076="B03",1,IF(C1076="B04",1,IF(C1076="B20",1,IF(C1076="B02",1,0)))))))</f>
        <v/>
      </c>
      <c r="G1076"/>
      <c r="H1076" s="2"/>
      <c r="I1076" s="2"/>
      <c r="L1076"/>
      <c r="R1076"/>
    </row>
    <row r="1077" spans="1:18">
      <c r="A1077" s="3">
        <v>45748.497685185182</v>
      </c>
      <c r="B1077" s="2" t="s">
        <v>26</v>
      </c>
      <c r="C1077" s="2" t="s">
        <v>11</v>
      </c>
      <c r="D1077" s="6" t="str">
        <f>CONCATENATE(YEAR(A1077),"/",IF(MONTH(A1077)&lt;10,CONCATENATE("0",MONTH(A1077)),MONTH(A1077)))</f>
        <v>2025/04</v>
      </c>
      <c r="E1077" s="8">
        <f>IF(IF(D1077&lt;&gt;D1076,1,IF(OR(B1077&lt;&gt;B1076,A1077-A1076&gt;$U$1),1,""))&lt;&gt;1,"",IF(C1077="B01",1965,IF(C1077="B02",1020,IF(C1077="B05",2400,IF(C1077="B03",4260,IF(C1077="B04",2880,IF(C1077="B20",1260,0)))))))</f>
        <v>2400</v>
      </c>
      <c r="F1077" s="8">
        <f>IF(IF(D1077&lt;&gt;D1076,1,IF(OR(B1077&lt;&gt;B1076,A1077-A1076&gt;$U$1),1,""))&lt;&gt;1,"",IF(C1077="B01",1,IF(C1077="B05",1,IF(C1077="B03",1,IF(C1077="B04",1,IF(C1077="B20",1,IF(C1077="B02",1,0)))))))</f>
        <v>1</v>
      </c>
      <c r="G1077"/>
      <c r="H1077" s="2"/>
      <c r="I1077" s="2"/>
      <c r="L1077"/>
      <c r="R1077"/>
    </row>
    <row r="1078" spans="1:18">
      <c r="A1078" s="3">
        <v>45748.497685185182</v>
      </c>
      <c r="B1078" s="2" t="s">
        <v>26</v>
      </c>
      <c r="C1078" s="2" t="s">
        <v>11</v>
      </c>
      <c r="D1078" s="6" t="str">
        <f>CONCATENATE(YEAR(A1078),"/",IF(MONTH(A1078)&lt;10,CONCATENATE("0",MONTH(A1078)),MONTH(A1078)))</f>
        <v>2025/04</v>
      </c>
      <c r="E1078" s="8" t="str">
        <f>IF(IF(D1078&lt;&gt;D1077,1,IF(OR(B1078&lt;&gt;B1077,A1078-A1077&gt;$U$1),1,""))&lt;&gt;1,"",IF(C1078="B01",1965,IF(C1078="B02",1020,IF(C1078="B05",2400,IF(C1078="B03",4260,IF(C1078="B04",2880,IF(C1078="B20",1260,0)))))))</f>
        <v/>
      </c>
      <c r="F1078" s="8" t="str">
        <f>IF(IF(D1078&lt;&gt;D1077,1,IF(OR(B1078&lt;&gt;B1077,A1078-A1077&gt;$U$1),1,""))&lt;&gt;1,"",IF(C1078="B01",1,IF(C1078="B05",1,IF(C1078="B03",1,IF(C1078="B04",1,IF(C1078="B20",1,IF(C1078="B02",1,0)))))))</f>
        <v/>
      </c>
      <c r="G1078"/>
      <c r="H1078" s="2"/>
      <c r="I1078" s="2"/>
      <c r="L1078"/>
      <c r="R1078"/>
    </row>
    <row r="1079" spans="1:18">
      <c r="A1079" s="3">
        <v>45748.497685185182</v>
      </c>
      <c r="B1079" s="2" t="s">
        <v>26</v>
      </c>
      <c r="C1079" s="2" t="s">
        <v>11</v>
      </c>
      <c r="D1079" s="6" t="str">
        <f>CONCATENATE(YEAR(A1079),"/",IF(MONTH(A1079)&lt;10,CONCATENATE("0",MONTH(A1079)),MONTH(A1079)))</f>
        <v>2025/04</v>
      </c>
      <c r="E1079" s="8" t="str">
        <f>IF(IF(D1079&lt;&gt;D1078,1,IF(OR(B1079&lt;&gt;B1078,A1079-A1078&gt;$U$1),1,""))&lt;&gt;1,"",IF(C1079="B01",1965,IF(C1079="B02",1020,IF(C1079="B05",2400,IF(C1079="B03",4260,IF(C1079="B04",2880,IF(C1079="B20",1260,0)))))))</f>
        <v/>
      </c>
      <c r="F1079" s="8" t="str">
        <f>IF(IF(D1079&lt;&gt;D1078,1,IF(OR(B1079&lt;&gt;B1078,A1079-A1078&gt;$U$1),1,""))&lt;&gt;1,"",IF(C1079="B01",1,IF(C1079="B05",1,IF(C1079="B03",1,IF(C1079="B04",1,IF(C1079="B20",1,IF(C1079="B02",1,0)))))))</f>
        <v/>
      </c>
      <c r="G1079"/>
      <c r="H1079" s="2"/>
      <c r="I1079" s="2"/>
      <c r="L1079"/>
      <c r="R1079"/>
    </row>
    <row r="1080" spans="1:18">
      <c r="A1080" s="3">
        <v>45748.639131944445</v>
      </c>
      <c r="B1080" s="2" t="s">
        <v>26</v>
      </c>
      <c r="C1080" s="2" t="s">
        <v>11</v>
      </c>
      <c r="D1080" s="6" t="str">
        <f>CONCATENATE(YEAR(A1080),"/",IF(MONTH(A1080)&lt;10,CONCATENATE("0",MONTH(A1080)),MONTH(A1080)))</f>
        <v>2025/04</v>
      </c>
      <c r="E1080" s="8">
        <f>IF(IF(D1080&lt;&gt;D1079,1,IF(OR(B1080&lt;&gt;B1079,A1080-A1079&gt;$U$1),1,""))&lt;&gt;1,"",IF(C1080="B01",1965,IF(C1080="B02",1020,IF(C1080="B05",2400,IF(C1080="B03",4260,IF(C1080="B04",2880,IF(C1080="B20",1260,0)))))))</f>
        <v>2400</v>
      </c>
      <c r="F1080" s="8">
        <f>IF(IF(D1080&lt;&gt;D1079,1,IF(OR(B1080&lt;&gt;B1079,A1080-A1079&gt;$U$1),1,""))&lt;&gt;1,"",IF(C1080="B01",1,IF(C1080="B05",1,IF(C1080="B03",1,IF(C1080="B04",1,IF(C1080="B20",1,IF(C1080="B02",1,0)))))))</f>
        <v>1</v>
      </c>
      <c r="G1080"/>
      <c r="H1080" s="2"/>
      <c r="I1080" s="2"/>
      <c r="L1080"/>
      <c r="R1080"/>
    </row>
    <row r="1081" spans="1:18">
      <c r="A1081" s="3">
        <v>45748.639143518521</v>
      </c>
      <c r="B1081" s="2" t="s">
        <v>26</v>
      </c>
      <c r="C1081" s="2" t="s">
        <v>11</v>
      </c>
      <c r="D1081" s="6" t="str">
        <f>CONCATENATE(YEAR(A1081),"/",IF(MONTH(A1081)&lt;10,CONCATENATE("0",MONTH(A1081)),MONTH(A1081)))</f>
        <v>2025/04</v>
      </c>
      <c r="E1081" s="8" t="str">
        <f>IF(IF(D1081&lt;&gt;D1080,1,IF(OR(B1081&lt;&gt;B1080,A1081-A1080&gt;$U$1),1,""))&lt;&gt;1,"",IF(C1081="B01",1965,IF(C1081="B02",1020,IF(C1081="B05",2400,IF(C1081="B03",4260,IF(C1081="B04",2880,IF(C1081="B20",1260,0)))))))</f>
        <v/>
      </c>
      <c r="F1081" s="8" t="str">
        <f>IF(IF(D1081&lt;&gt;D1080,1,IF(OR(B1081&lt;&gt;B1080,A1081-A1080&gt;$U$1),1,""))&lt;&gt;1,"",IF(C1081="B01",1,IF(C1081="B05",1,IF(C1081="B03",1,IF(C1081="B04",1,IF(C1081="B20",1,IF(C1081="B02",1,0)))))))</f>
        <v/>
      </c>
      <c r="G1081"/>
      <c r="H1081" s="2"/>
      <c r="I1081" s="2"/>
      <c r="L1081"/>
      <c r="R1081"/>
    </row>
    <row r="1082" spans="1:18">
      <c r="A1082" s="3">
        <v>45748.77443287037</v>
      </c>
      <c r="B1082" s="2" t="s">
        <v>26</v>
      </c>
      <c r="C1082" s="2" t="s">
        <v>11</v>
      </c>
      <c r="D1082" s="6" t="str">
        <f>CONCATENATE(YEAR(A1082),"/",IF(MONTH(A1082)&lt;10,CONCATENATE("0",MONTH(A1082)),MONTH(A1082)))</f>
        <v>2025/04</v>
      </c>
      <c r="E1082" s="8">
        <f>IF(IF(D1082&lt;&gt;D1081,1,IF(OR(B1082&lt;&gt;B1081,A1082-A1081&gt;$U$1),1,""))&lt;&gt;1,"",IF(C1082="B01",1965,IF(C1082="B02",1020,IF(C1082="B05",2400,IF(C1082="B03",4260,IF(C1082="B04",2880,IF(C1082="B20",1260,0)))))))</f>
        <v>2400</v>
      </c>
      <c r="F1082" s="8">
        <f>IF(IF(D1082&lt;&gt;D1081,1,IF(OR(B1082&lt;&gt;B1081,A1082-A1081&gt;$U$1),1,""))&lt;&gt;1,"",IF(C1082="B01",1,IF(C1082="B05",1,IF(C1082="B03",1,IF(C1082="B04",1,IF(C1082="B20",1,IF(C1082="B02",1,0)))))))</f>
        <v>1</v>
      </c>
      <c r="G1082"/>
      <c r="H1082" s="2"/>
      <c r="I1082" s="2"/>
      <c r="L1082"/>
      <c r="R1082"/>
    </row>
    <row r="1083" spans="1:18">
      <c r="A1083" s="3">
        <v>45748.77443287037</v>
      </c>
      <c r="B1083" s="2" t="s">
        <v>26</v>
      </c>
      <c r="C1083" s="2" t="s">
        <v>11</v>
      </c>
      <c r="D1083" s="6" t="str">
        <f>CONCATENATE(YEAR(A1083),"/",IF(MONTH(A1083)&lt;10,CONCATENATE("0",MONTH(A1083)),MONTH(A1083)))</f>
        <v>2025/04</v>
      </c>
      <c r="E1083" s="8" t="str">
        <f>IF(IF(D1083&lt;&gt;D1082,1,IF(OR(B1083&lt;&gt;B1082,A1083-A1082&gt;$U$1),1,""))&lt;&gt;1,"",IF(C1083="B01",1965,IF(C1083="B02",1020,IF(C1083="B05",2400,IF(C1083="B03",4260,IF(C1083="B04",2880,IF(C1083="B20",1260,0)))))))</f>
        <v/>
      </c>
      <c r="F1083" s="8" t="str">
        <f>IF(IF(D1083&lt;&gt;D1082,1,IF(OR(B1083&lt;&gt;B1082,A1083-A1082&gt;$U$1),1,""))&lt;&gt;1,"",IF(C1083="B01",1,IF(C1083="B05",1,IF(C1083="B03",1,IF(C1083="B04",1,IF(C1083="B20",1,IF(C1083="B02",1,0)))))))</f>
        <v/>
      </c>
      <c r="G1083"/>
      <c r="H1083" s="2"/>
      <c r="I1083" s="2"/>
      <c r="L1083"/>
      <c r="R1083"/>
    </row>
    <row r="1084" spans="1:18">
      <c r="A1084" s="3">
        <v>45748.77443287037</v>
      </c>
      <c r="B1084" s="2" t="s">
        <v>26</v>
      </c>
      <c r="C1084" s="2" t="s">
        <v>11</v>
      </c>
      <c r="D1084" s="6" t="str">
        <f>CONCATENATE(YEAR(A1084),"/",IF(MONTH(A1084)&lt;10,CONCATENATE("0",MONTH(A1084)),MONTH(A1084)))</f>
        <v>2025/04</v>
      </c>
      <c r="E1084" s="8" t="str">
        <f>IF(IF(D1084&lt;&gt;D1083,1,IF(OR(B1084&lt;&gt;B1083,A1084-A1083&gt;$U$1),1,""))&lt;&gt;1,"",IF(C1084="B01",1965,IF(C1084="B02",1020,IF(C1084="B05",2400,IF(C1084="B03",4260,IF(C1084="B04",2880,IF(C1084="B20",1260,0)))))))</f>
        <v/>
      </c>
      <c r="F1084" s="8" t="str">
        <f>IF(IF(D1084&lt;&gt;D1083,1,IF(OR(B1084&lt;&gt;B1083,A1084-A1083&gt;$U$1),1,""))&lt;&gt;1,"",IF(C1084="B01",1,IF(C1084="B05",1,IF(C1084="B03",1,IF(C1084="B04",1,IF(C1084="B20",1,IF(C1084="B02",1,0)))))))</f>
        <v/>
      </c>
      <c r="G1084"/>
      <c r="H1084" s="2"/>
      <c r="I1084" s="2"/>
      <c r="L1084"/>
      <c r="R1084"/>
    </row>
    <row r="1085" spans="1:18">
      <c r="A1085" s="3">
        <v>45748.77443287037</v>
      </c>
      <c r="B1085" s="2" t="s">
        <v>26</v>
      </c>
      <c r="C1085" s="2" t="s">
        <v>11</v>
      </c>
      <c r="D1085" s="6" t="str">
        <f>CONCATENATE(YEAR(A1085),"/",IF(MONTH(A1085)&lt;10,CONCATENATE("0",MONTH(A1085)),MONTH(A1085)))</f>
        <v>2025/04</v>
      </c>
      <c r="E1085" s="8" t="str">
        <f>IF(IF(D1085&lt;&gt;D1084,1,IF(OR(B1085&lt;&gt;B1084,A1085-A1084&gt;$U$1),1,""))&lt;&gt;1,"",IF(C1085="B01",1965,IF(C1085="B02",1020,IF(C1085="B05",2400,IF(C1085="B03",4260,IF(C1085="B04",2880,IF(C1085="B20",1260,0)))))))</f>
        <v/>
      </c>
      <c r="F1085" s="8" t="str">
        <f>IF(IF(D1085&lt;&gt;D1084,1,IF(OR(B1085&lt;&gt;B1084,A1085-A1084&gt;$U$1),1,""))&lt;&gt;1,"",IF(C1085="B01",1,IF(C1085="B05",1,IF(C1085="B03",1,IF(C1085="B04",1,IF(C1085="B20",1,IF(C1085="B02",1,0)))))))</f>
        <v/>
      </c>
      <c r="G1085"/>
      <c r="H1085" s="2"/>
      <c r="I1085" s="2"/>
      <c r="L1085"/>
      <c r="R1085"/>
    </row>
    <row r="1086" spans="1:18">
      <c r="A1086" s="3">
        <v>45748.891273148147</v>
      </c>
      <c r="B1086" s="2" t="s">
        <v>26</v>
      </c>
      <c r="C1086" s="2" t="s">
        <v>12</v>
      </c>
      <c r="D1086" s="6" t="str">
        <f>CONCATENATE(YEAR(A1086),"/",IF(MONTH(A1086)&lt;10,CONCATENATE("0",MONTH(A1086)),MONTH(A1086)))</f>
        <v>2025/04</v>
      </c>
      <c r="E1086" s="8">
        <f>IF(IF(D1086&lt;&gt;D1085,1,IF(OR(B1086&lt;&gt;B1085,A1086-A1085&gt;$U$1),1,""))&lt;&gt;1,"",IF(C1086="B01",1965,IF(C1086="B02",1020,IF(C1086="B05",2400,IF(C1086="B03",4260,IF(C1086="B04",2880,IF(C1086="B20",1260,0)))))))</f>
        <v>4260</v>
      </c>
      <c r="F1086" s="8">
        <f>IF(IF(D1086&lt;&gt;D1085,1,IF(OR(B1086&lt;&gt;B1085,A1086-A1085&gt;$U$1),1,""))&lt;&gt;1,"",IF(C1086="B01",1,IF(C1086="B05",1,IF(C1086="B03",1,IF(C1086="B04",1,IF(C1086="B20",1,IF(C1086="B02",1,0)))))))</f>
        <v>1</v>
      </c>
      <c r="G1086"/>
      <c r="H1086" s="2"/>
      <c r="I1086" s="2"/>
      <c r="L1086"/>
      <c r="R1086"/>
    </row>
    <row r="1087" spans="1:18">
      <c r="A1087" s="3">
        <v>45748.891273148147</v>
      </c>
      <c r="B1087" s="2" t="s">
        <v>26</v>
      </c>
      <c r="C1087" s="2" t="s">
        <v>12</v>
      </c>
      <c r="D1087" s="6" t="str">
        <f>CONCATENATE(YEAR(A1087),"/",IF(MONTH(A1087)&lt;10,CONCATENATE("0",MONTH(A1087)),MONTH(A1087)))</f>
        <v>2025/04</v>
      </c>
      <c r="E1087" s="8" t="str">
        <f>IF(IF(D1087&lt;&gt;D1086,1,IF(OR(B1087&lt;&gt;B1086,A1087-A1086&gt;$U$1),1,""))&lt;&gt;1,"",IF(C1087="B01",1965,IF(C1087="B02",1020,IF(C1087="B05",2400,IF(C1087="B03",4260,IF(C1087="B04",2880,IF(C1087="B20",1260,0)))))))</f>
        <v/>
      </c>
      <c r="F1087" s="8" t="str">
        <f>IF(IF(D1087&lt;&gt;D1086,1,IF(OR(B1087&lt;&gt;B1086,A1087-A1086&gt;$U$1),1,""))&lt;&gt;1,"",IF(C1087="B01",1,IF(C1087="B05",1,IF(C1087="B03",1,IF(C1087="B04",1,IF(C1087="B20",1,IF(C1087="B02",1,0)))))))</f>
        <v/>
      </c>
      <c r="G1087"/>
      <c r="H1087" s="2"/>
      <c r="I1087" s="2"/>
      <c r="L1087"/>
      <c r="R1087"/>
    </row>
    <row r="1088" spans="1:18">
      <c r="A1088" s="3">
        <v>45749.074814814812</v>
      </c>
      <c r="B1088" s="2" t="s">
        <v>26</v>
      </c>
      <c r="C1088" s="2" t="s">
        <v>11</v>
      </c>
      <c r="D1088" s="6" t="str">
        <f>CONCATENATE(YEAR(A1088),"/",IF(MONTH(A1088)&lt;10,CONCATENATE("0",MONTH(A1088)),MONTH(A1088)))</f>
        <v>2025/04</v>
      </c>
      <c r="E1088" s="8">
        <f>IF(IF(D1088&lt;&gt;D1087,1,IF(OR(B1088&lt;&gt;B1087,A1088-A1087&gt;$U$1),1,""))&lt;&gt;1,"",IF(C1088="B01",1965,IF(C1088="B02",1020,IF(C1088="B05",2400,IF(C1088="B03",4260,IF(C1088="B04",2880,IF(C1088="B20",1260,0)))))))</f>
        <v>2400</v>
      </c>
      <c r="F1088" s="8">
        <f>IF(IF(D1088&lt;&gt;D1087,1,IF(OR(B1088&lt;&gt;B1087,A1088-A1087&gt;$U$1),1,""))&lt;&gt;1,"",IF(C1088="B01",1,IF(C1088="B05",1,IF(C1088="B03",1,IF(C1088="B04",1,IF(C1088="B20",1,IF(C1088="B02",1,0)))))))</f>
        <v>1</v>
      </c>
      <c r="G1088"/>
      <c r="H1088" s="2"/>
      <c r="I1088" s="2"/>
      <c r="L1088"/>
      <c r="R1088"/>
    </row>
    <row r="1089" spans="1:18">
      <c r="A1089" s="3">
        <v>45749.074814814812</v>
      </c>
      <c r="B1089" s="2" t="s">
        <v>26</v>
      </c>
      <c r="C1089" s="2" t="s">
        <v>11</v>
      </c>
      <c r="D1089" s="6" t="str">
        <f>CONCATENATE(YEAR(A1089),"/",IF(MONTH(A1089)&lt;10,CONCATENATE("0",MONTH(A1089)),MONTH(A1089)))</f>
        <v>2025/04</v>
      </c>
      <c r="E1089" s="8" t="str">
        <f>IF(IF(D1089&lt;&gt;D1088,1,IF(OR(B1089&lt;&gt;B1088,A1089-A1088&gt;$U$1),1,""))&lt;&gt;1,"",IF(C1089="B01",1965,IF(C1089="B02",1020,IF(C1089="B05",2400,IF(C1089="B03",4260,IF(C1089="B04",2880,IF(C1089="B20",1260,0)))))))</f>
        <v/>
      </c>
      <c r="F1089" s="8" t="str">
        <f>IF(IF(D1089&lt;&gt;D1088,1,IF(OR(B1089&lt;&gt;B1088,A1089-A1088&gt;$U$1),1,""))&lt;&gt;1,"",IF(C1089="B01",1,IF(C1089="B05",1,IF(C1089="B03",1,IF(C1089="B04",1,IF(C1089="B20",1,IF(C1089="B02",1,0)))))))</f>
        <v/>
      </c>
      <c r="G1089"/>
      <c r="H1089" s="2"/>
      <c r="I1089" s="2"/>
      <c r="L1089"/>
      <c r="R1089"/>
    </row>
    <row r="1090" spans="1:18">
      <c r="A1090" s="3">
        <v>45749.074814814812</v>
      </c>
      <c r="B1090" s="2" t="s">
        <v>26</v>
      </c>
      <c r="C1090" s="2" t="s">
        <v>11</v>
      </c>
      <c r="D1090" s="6" t="str">
        <f>CONCATENATE(YEAR(A1090),"/",IF(MONTH(A1090)&lt;10,CONCATENATE("0",MONTH(A1090)),MONTH(A1090)))</f>
        <v>2025/04</v>
      </c>
      <c r="E1090" s="8" t="str">
        <f>IF(IF(D1090&lt;&gt;D1089,1,IF(OR(B1090&lt;&gt;B1089,A1090-A1089&gt;$U$1),1,""))&lt;&gt;1,"",IF(C1090="B01",1965,IF(C1090="B02",1020,IF(C1090="B05",2400,IF(C1090="B03",4260,IF(C1090="B04",2880,IF(C1090="B20",1260,0)))))))</f>
        <v/>
      </c>
      <c r="F1090" s="8" t="str">
        <f>IF(IF(D1090&lt;&gt;D1089,1,IF(OR(B1090&lt;&gt;B1089,A1090-A1089&gt;$U$1),1,""))&lt;&gt;1,"",IF(C1090="B01",1,IF(C1090="B05",1,IF(C1090="B03",1,IF(C1090="B04",1,IF(C1090="B20",1,IF(C1090="B02",1,0)))))))</f>
        <v/>
      </c>
      <c r="G1090"/>
      <c r="H1090" s="2"/>
      <c r="I1090" s="2"/>
      <c r="L1090"/>
      <c r="R1090"/>
    </row>
    <row r="1091" spans="1:18">
      <c r="A1091" s="3">
        <v>45749.213460648149</v>
      </c>
      <c r="B1091" s="2" t="s">
        <v>26</v>
      </c>
      <c r="C1091" s="2" t="s">
        <v>11</v>
      </c>
      <c r="D1091" s="6" t="str">
        <f>CONCATENATE(YEAR(A1091),"/",IF(MONTH(A1091)&lt;10,CONCATENATE("0",MONTH(A1091)),MONTH(A1091)))</f>
        <v>2025/04</v>
      </c>
      <c r="E1091" s="8">
        <f>IF(IF(D1091&lt;&gt;D1090,1,IF(OR(B1091&lt;&gt;B1090,A1091-A1090&gt;$U$1),1,""))&lt;&gt;1,"",IF(C1091="B01",1965,IF(C1091="B02",1020,IF(C1091="B05",2400,IF(C1091="B03",4260,IF(C1091="B04",2880,IF(C1091="B20",1260,0)))))))</f>
        <v>2400</v>
      </c>
      <c r="F1091" s="8">
        <f>IF(IF(D1091&lt;&gt;D1090,1,IF(OR(B1091&lt;&gt;B1090,A1091-A1090&gt;$U$1),1,""))&lt;&gt;1,"",IF(C1091="B01",1,IF(C1091="B05",1,IF(C1091="B03",1,IF(C1091="B04",1,IF(C1091="B20",1,IF(C1091="B02",1,0)))))))</f>
        <v>1</v>
      </c>
      <c r="G1091"/>
      <c r="H1091" s="2"/>
      <c r="I1091" s="2"/>
      <c r="L1091"/>
      <c r="R1091"/>
    </row>
    <row r="1092" spans="1:18">
      <c r="A1092" s="3">
        <v>45749.213460648149</v>
      </c>
      <c r="B1092" s="2" t="s">
        <v>26</v>
      </c>
      <c r="C1092" s="2" t="s">
        <v>11</v>
      </c>
      <c r="D1092" s="6" t="str">
        <f>CONCATENATE(YEAR(A1092),"/",IF(MONTH(A1092)&lt;10,CONCATENATE("0",MONTH(A1092)),MONTH(A1092)))</f>
        <v>2025/04</v>
      </c>
      <c r="E1092" s="8" t="str">
        <f>IF(IF(D1092&lt;&gt;D1091,1,IF(OR(B1092&lt;&gt;B1091,A1092-A1091&gt;$U$1),1,""))&lt;&gt;1,"",IF(C1092="B01",1965,IF(C1092="B02",1020,IF(C1092="B05",2400,IF(C1092="B03",4260,IF(C1092="B04",2880,IF(C1092="B20",1260,0)))))))</f>
        <v/>
      </c>
      <c r="F1092" s="8" t="str">
        <f>IF(IF(D1092&lt;&gt;D1091,1,IF(OR(B1092&lt;&gt;B1091,A1092-A1091&gt;$U$1),1,""))&lt;&gt;1,"",IF(C1092="B01",1,IF(C1092="B05",1,IF(C1092="B03",1,IF(C1092="B04",1,IF(C1092="B20",1,IF(C1092="B02",1,0)))))))</f>
        <v/>
      </c>
      <c r="G1092"/>
      <c r="H1092" s="2"/>
      <c r="I1092" s="2"/>
      <c r="L1092"/>
      <c r="R1092"/>
    </row>
    <row r="1093" spans="1:18">
      <c r="A1093" s="3">
        <v>45749.213460648149</v>
      </c>
      <c r="B1093" s="2" t="s">
        <v>26</v>
      </c>
      <c r="C1093" s="2" t="s">
        <v>11</v>
      </c>
      <c r="D1093" s="6" t="str">
        <f>CONCATENATE(YEAR(A1093),"/",IF(MONTH(A1093)&lt;10,CONCATENATE("0",MONTH(A1093)),MONTH(A1093)))</f>
        <v>2025/04</v>
      </c>
      <c r="E1093" s="8" t="str">
        <f>IF(IF(D1093&lt;&gt;D1092,1,IF(OR(B1093&lt;&gt;B1092,A1093-A1092&gt;$U$1),1,""))&lt;&gt;1,"",IF(C1093="B01",1965,IF(C1093="B02",1020,IF(C1093="B05",2400,IF(C1093="B03",4260,IF(C1093="B04",2880,IF(C1093="B20",1260,0)))))))</f>
        <v/>
      </c>
      <c r="F1093" s="8" t="str">
        <f>IF(IF(D1093&lt;&gt;D1092,1,IF(OR(B1093&lt;&gt;B1092,A1093-A1092&gt;$U$1),1,""))&lt;&gt;1,"",IF(C1093="B01",1,IF(C1093="B05",1,IF(C1093="B03",1,IF(C1093="B04",1,IF(C1093="B20",1,IF(C1093="B02",1,0)))))))</f>
        <v/>
      </c>
      <c r="G1093"/>
      <c r="H1093" s="2"/>
      <c r="I1093" s="2"/>
      <c r="L1093"/>
      <c r="R1093"/>
    </row>
    <row r="1094" spans="1:18">
      <c r="A1094" s="3">
        <v>45749.213460648149</v>
      </c>
      <c r="B1094" s="2" t="s">
        <v>26</v>
      </c>
      <c r="C1094" s="2" t="s">
        <v>11</v>
      </c>
      <c r="D1094" s="6" t="str">
        <f>CONCATENATE(YEAR(A1094),"/",IF(MONTH(A1094)&lt;10,CONCATENATE("0",MONTH(A1094)),MONTH(A1094)))</f>
        <v>2025/04</v>
      </c>
      <c r="E1094" s="8" t="str">
        <f>IF(IF(D1094&lt;&gt;D1093,1,IF(OR(B1094&lt;&gt;B1093,A1094-A1093&gt;$U$1),1,""))&lt;&gt;1,"",IF(C1094="B01",1965,IF(C1094="B02",1020,IF(C1094="B05",2400,IF(C1094="B03",4260,IF(C1094="B04",2880,IF(C1094="B20",1260,0)))))))</f>
        <v/>
      </c>
      <c r="F1094" s="8" t="str">
        <f>IF(IF(D1094&lt;&gt;D1093,1,IF(OR(B1094&lt;&gt;B1093,A1094-A1093&gt;$U$1),1,""))&lt;&gt;1,"",IF(C1094="B01",1,IF(C1094="B05",1,IF(C1094="B03",1,IF(C1094="B04",1,IF(C1094="B20",1,IF(C1094="B02",1,0)))))))</f>
        <v/>
      </c>
      <c r="G1094"/>
      <c r="H1094" s="2"/>
      <c r="I1094" s="2"/>
      <c r="L1094"/>
      <c r="R1094"/>
    </row>
    <row r="1095" spans="1:18">
      <c r="A1095" s="3">
        <v>45749.33697916667</v>
      </c>
      <c r="B1095" s="2" t="s">
        <v>26</v>
      </c>
      <c r="C1095" s="2" t="s">
        <v>11</v>
      </c>
      <c r="D1095" s="6" t="str">
        <f>CONCATENATE(YEAR(A1095),"/",IF(MONTH(A1095)&lt;10,CONCATENATE("0",MONTH(A1095)),MONTH(A1095)))</f>
        <v>2025/04</v>
      </c>
      <c r="E1095" s="8">
        <f>IF(IF(D1095&lt;&gt;D1094,1,IF(OR(B1095&lt;&gt;B1094,A1095-A1094&gt;$U$1),1,""))&lt;&gt;1,"",IF(C1095="B01",1965,IF(C1095="B02",1020,IF(C1095="B05",2400,IF(C1095="B03",4260,IF(C1095="B04",2880,IF(C1095="B20",1260,0)))))))</f>
        <v>2400</v>
      </c>
      <c r="F1095" s="8">
        <f>IF(IF(D1095&lt;&gt;D1094,1,IF(OR(B1095&lt;&gt;B1094,A1095-A1094&gt;$U$1),1,""))&lt;&gt;1,"",IF(C1095="B01",1,IF(C1095="B05",1,IF(C1095="B03",1,IF(C1095="B04",1,IF(C1095="B20",1,IF(C1095="B02",1,0)))))))</f>
        <v>1</v>
      </c>
      <c r="G1095"/>
      <c r="H1095" s="2"/>
      <c r="I1095" s="2"/>
      <c r="L1095"/>
      <c r="R1095"/>
    </row>
    <row r="1096" spans="1:18">
      <c r="A1096" s="3">
        <v>45749.33697916667</v>
      </c>
      <c r="B1096" s="2" t="s">
        <v>26</v>
      </c>
      <c r="C1096" s="2" t="s">
        <v>11</v>
      </c>
      <c r="D1096" s="6" t="str">
        <f>CONCATENATE(YEAR(A1096),"/",IF(MONTH(A1096)&lt;10,CONCATENATE("0",MONTH(A1096)),MONTH(A1096)))</f>
        <v>2025/04</v>
      </c>
      <c r="E1096" s="8" t="str">
        <f>IF(IF(D1096&lt;&gt;D1095,1,IF(OR(B1096&lt;&gt;B1095,A1096-A1095&gt;$U$1),1,""))&lt;&gt;1,"",IF(C1096="B01",1965,IF(C1096="B02",1020,IF(C1096="B05",2400,IF(C1096="B03",4260,IF(C1096="B04",2880,IF(C1096="B20",1260,0)))))))</f>
        <v/>
      </c>
      <c r="F1096" s="8" t="str">
        <f>IF(IF(D1096&lt;&gt;D1095,1,IF(OR(B1096&lt;&gt;B1095,A1096-A1095&gt;$U$1),1,""))&lt;&gt;1,"",IF(C1096="B01",1,IF(C1096="B05",1,IF(C1096="B03",1,IF(C1096="B04",1,IF(C1096="B20",1,IF(C1096="B02",1,0)))))))</f>
        <v/>
      </c>
      <c r="G1096"/>
      <c r="H1096" s="2"/>
      <c r="I1096" s="2"/>
      <c r="L1096"/>
      <c r="R1096"/>
    </row>
    <row r="1097" spans="1:18">
      <c r="A1097" s="3">
        <v>45749.459768518522</v>
      </c>
      <c r="B1097" s="2" t="s">
        <v>26</v>
      </c>
      <c r="C1097" s="2" t="s">
        <v>12</v>
      </c>
      <c r="D1097" s="6" t="str">
        <f>CONCATENATE(YEAR(A1097),"/",IF(MONTH(A1097)&lt;10,CONCATENATE("0",MONTH(A1097)),MONTH(A1097)))</f>
        <v>2025/04</v>
      </c>
      <c r="E1097" s="8">
        <f>IF(IF(D1097&lt;&gt;D1096,1,IF(OR(B1097&lt;&gt;B1096,A1097-A1096&gt;$U$1),1,""))&lt;&gt;1,"",IF(C1097="B01",1965,IF(C1097="B02",1020,IF(C1097="B05",2400,IF(C1097="B03",4260,IF(C1097="B04",2880,IF(C1097="B20",1260,0)))))))</f>
        <v>4260</v>
      </c>
      <c r="F1097" s="8">
        <f>IF(IF(D1097&lt;&gt;D1096,1,IF(OR(B1097&lt;&gt;B1096,A1097-A1096&gt;$U$1),1,""))&lt;&gt;1,"",IF(C1097="B01",1,IF(C1097="B05",1,IF(C1097="B03",1,IF(C1097="B04",1,IF(C1097="B20",1,IF(C1097="B02",1,0)))))))</f>
        <v>1</v>
      </c>
      <c r="G1097"/>
      <c r="H1097" s="2"/>
      <c r="I1097" s="2"/>
      <c r="L1097"/>
      <c r="R1097"/>
    </row>
    <row r="1098" spans="1:18">
      <c r="A1098" s="3">
        <v>45749.459768518522</v>
      </c>
      <c r="B1098" s="2" t="s">
        <v>26</v>
      </c>
      <c r="C1098" s="2" t="s">
        <v>12</v>
      </c>
      <c r="D1098" s="6" t="str">
        <f>CONCATENATE(YEAR(A1098),"/",IF(MONTH(A1098)&lt;10,CONCATENATE("0",MONTH(A1098)),MONTH(A1098)))</f>
        <v>2025/04</v>
      </c>
      <c r="E1098" s="8" t="str">
        <f>IF(IF(D1098&lt;&gt;D1097,1,IF(OR(B1098&lt;&gt;B1097,A1098-A1097&gt;$U$1),1,""))&lt;&gt;1,"",IF(C1098="B01",1965,IF(C1098="B02",1020,IF(C1098="B05",2400,IF(C1098="B03",4260,IF(C1098="B04",2880,IF(C1098="B20",1260,0)))))))</f>
        <v/>
      </c>
      <c r="F1098" s="8" t="str">
        <f>IF(IF(D1098&lt;&gt;D1097,1,IF(OR(B1098&lt;&gt;B1097,A1098-A1097&gt;$U$1),1,""))&lt;&gt;1,"",IF(C1098="B01",1,IF(C1098="B05",1,IF(C1098="B03",1,IF(C1098="B04",1,IF(C1098="B20",1,IF(C1098="B02",1,0)))))))</f>
        <v/>
      </c>
      <c r="G1098"/>
      <c r="H1098" s="2"/>
      <c r="I1098" s="2"/>
      <c r="L1098"/>
      <c r="R1098"/>
    </row>
    <row r="1099" spans="1:18">
      <c r="A1099" s="3">
        <v>45749.459768518522</v>
      </c>
      <c r="B1099" s="2" t="s">
        <v>26</v>
      </c>
      <c r="C1099" s="2" t="s">
        <v>12</v>
      </c>
      <c r="D1099" s="6" t="str">
        <f>CONCATENATE(YEAR(A1099),"/",IF(MONTH(A1099)&lt;10,CONCATENATE("0",MONTH(A1099)),MONTH(A1099)))</f>
        <v>2025/04</v>
      </c>
      <c r="E1099" s="8" t="str">
        <f>IF(IF(D1099&lt;&gt;D1098,1,IF(OR(B1099&lt;&gt;B1098,A1099-A1098&gt;$U$1),1,""))&lt;&gt;1,"",IF(C1099="B01",1965,IF(C1099="B02",1020,IF(C1099="B05",2400,IF(C1099="B03",4260,IF(C1099="B04",2880,IF(C1099="B20",1260,0)))))))</f>
        <v/>
      </c>
      <c r="F1099" s="8" t="str">
        <f>IF(IF(D1099&lt;&gt;D1098,1,IF(OR(B1099&lt;&gt;B1098,A1099-A1098&gt;$U$1),1,""))&lt;&gt;1,"",IF(C1099="B01",1,IF(C1099="B05",1,IF(C1099="B03",1,IF(C1099="B04",1,IF(C1099="B20",1,IF(C1099="B02",1,0)))))))</f>
        <v/>
      </c>
      <c r="G1099"/>
      <c r="H1099" s="2"/>
      <c r="I1099" s="2"/>
      <c r="L1099"/>
      <c r="R1099"/>
    </row>
    <row r="1100" spans="1:18">
      <c r="A1100" s="3">
        <v>45749.663472222222</v>
      </c>
      <c r="B1100" s="2" t="s">
        <v>26</v>
      </c>
      <c r="C1100" s="2" t="s">
        <v>11</v>
      </c>
      <c r="D1100" s="6" t="str">
        <f>CONCATENATE(YEAR(A1100),"/",IF(MONTH(A1100)&lt;10,CONCATENATE("0",MONTH(A1100)),MONTH(A1100)))</f>
        <v>2025/04</v>
      </c>
      <c r="E1100" s="8">
        <f>IF(IF(D1100&lt;&gt;D1099,1,IF(OR(B1100&lt;&gt;B1099,A1100-A1099&gt;$U$1),1,""))&lt;&gt;1,"",IF(C1100="B01",1965,IF(C1100="B02",1020,IF(C1100="B05",2400,IF(C1100="B03",4260,IF(C1100="B04",2880,IF(C1100="B20",1260,0)))))))</f>
        <v>2400</v>
      </c>
      <c r="F1100" s="8">
        <f>IF(IF(D1100&lt;&gt;D1099,1,IF(OR(B1100&lt;&gt;B1099,A1100-A1099&gt;$U$1),1,""))&lt;&gt;1,"",IF(C1100="B01",1,IF(C1100="B05",1,IF(C1100="B03",1,IF(C1100="B04",1,IF(C1100="B20",1,IF(C1100="B02",1,0)))))))</f>
        <v>1</v>
      </c>
      <c r="G1100"/>
      <c r="H1100" s="2"/>
      <c r="I1100" s="2"/>
      <c r="L1100"/>
      <c r="R1100"/>
    </row>
    <row r="1101" spans="1:18">
      <c r="A1101" s="3">
        <v>45749.663472222222</v>
      </c>
      <c r="B1101" s="2" t="s">
        <v>26</v>
      </c>
      <c r="C1101" s="2" t="s">
        <v>11</v>
      </c>
      <c r="D1101" s="6" t="str">
        <f>CONCATENATE(YEAR(A1101),"/",IF(MONTH(A1101)&lt;10,CONCATENATE("0",MONTH(A1101)),MONTH(A1101)))</f>
        <v>2025/04</v>
      </c>
      <c r="E1101" s="8" t="str">
        <f>IF(IF(D1101&lt;&gt;D1100,1,IF(OR(B1101&lt;&gt;B1100,A1101-A1100&gt;$U$1),1,""))&lt;&gt;1,"",IF(C1101="B01",1965,IF(C1101="B02",1020,IF(C1101="B05",2400,IF(C1101="B03",4260,IF(C1101="B04",2880,IF(C1101="B20",1260,0)))))))</f>
        <v/>
      </c>
      <c r="F1101" s="8" t="str">
        <f>IF(IF(D1101&lt;&gt;D1100,1,IF(OR(B1101&lt;&gt;B1100,A1101-A1100&gt;$U$1),1,""))&lt;&gt;1,"",IF(C1101="B01",1,IF(C1101="B05",1,IF(C1101="B03",1,IF(C1101="B04",1,IF(C1101="B20",1,IF(C1101="B02",1,0)))))))</f>
        <v/>
      </c>
      <c r="G1101"/>
      <c r="H1101" s="2"/>
      <c r="I1101" s="2"/>
      <c r="L1101"/>
      <c r="R1101"/>
    </row>
    <row r="1102" spans="1:18">
      <c r="A1102" s="3">
        <v>45749.833287037036</v>
      </c>
      <c r="B1102" s="2" t="s">
        <v>26</v>
      </c>
      <c r="C1102" s="2" t="s">
        <v>11</v>
      </c>
      <c r="D1102" s="6" t="str">
        <f>CONCATENATE(YEAR(A1102),"/",IF(MONTH(A1102)&lt;10,CONCATENATE("0",MONTH(A1102)),MONTH(A1102)))</f>
        <v>2025/04</v>
      </c>
      <c r="E1102" s="8">
        <f>IF(IF(D1102&lt;&gt;D1101,1,IF(OR(B1102&lt;&gt;B1101,A1102-A1101&gt;$U$1),1,""))&lt;&gt;1,"",IF(C1102="B01",1965,IF(C1102="B02",1020,IF(C1102="B05",2400,IF(C1102="B03",4260,IF(C1102="B04",2880,IF(C1102="B20",1260,0)))))))</f>
        <v>2400</v>
      </c>
      <c r="F1102" s="8">
        <f>IF(IF(D1102&lt;&gt;D1101,1,IF(OR(B1102&lt;&gt;B1101,A1102-A1101&gt;$U$1),1,""))&lt;&gt;1,"",IF(C1102="B01",1,IF(C1102="B05",1,IF(C1102="B03",1,IF(C1102="B04",1,IF(C1102="B20",1,IF(C1102="B02",1,0)))))))</f>
        <v>1</v>
      </c>
      <c r="G1102"/>
      <c r="H1102" s="2"/>
      <c r="I1102" s="2"/>
      <c r="L1102"/>
      <c r="R1102"/>
    </row>
    <row r="1103" spans="1:18">
      <c r="A1103" s="3">
        <v>45749.833287037036</v>
      </c>
      <c r="B1103" s="2" t="s">
        <v>26</v>
      </c>
      <c r="C1103" s="2" t="s">
        <v>11</v>
      </c>
      <c r="D1103" s="6" t="str">
        <f>CONCATENATE(YEAR(A1103),"/",IF(MONTH(A1103)&lt;10,CONCATENATE("0",MONTH(A1103)),MONTH(A1103)))</f>
        <v>2025/04</v>
      </c>
      <c r="E1103" s="8" t="str">
        <f>IF(IF(D1103&lt;&gt;D1102,1,IF(OR(B1103&lt;&gt;B1102,A1103-A1102&gt;$U$1),1,""))&lt;&gt;1,"",IF(C1103="B01",1965,IF(C1103="B02",1020,IF(C1103="B05",2400,IF(C1103="B03",4260,IF(C1103="B04",2880,IF(C1103="B20",1260,0)))))))</f>
        <v/>
      </c>
      <c r="F1103" s="8" t="str">
        <f>IF(IF(D1103&lt;&gt;D1102,1,IF(OR(B1103&lt;&gt;B1102,A1103-A1102&gt;$U$1),1,""))&lt;&gt;1,"",IF(C1103="B01",1,IF(C1103="B05",1,IF(C1103="B03",1,IF(C1103="B04",1,IF(C1103="B20",1,IF(C1103="B02",1,0)))))))</f>
        <v/>
      </c>
      <c r="G1103"/>
      <c r="H1103" s="2"/>
      <c r="I1103" s="2"/>
      <c r="L1103"/>
      <c r="R1103"/>
    </row>
    <row r="1104" spans="1:18">
      <c r="A1104" s="3">
        <v>45750.055983796294</v>
      </c>
      <c r="B1104" s="2" t="s">
        <v>26</v>
      </c>
      <c r="C1104" s="2" t="s">
        <v>11</v>
      </c>
      <c r="D1104" s="6" t="str">
        <f>CONCATENATE(YEAR(A1104),"/",IF(MONTH(A1104)&lt;10,CONCATENATE("0",MONTH(A1104)),MONTH(A1104)))</f>
        <v>2025/04</v>
      </c>
      <c r="E1104" s="8">
        <f>IF(IF(D1104&lt;&gt;D1103,1,IF(OR(B1104&lt;&gt;B1103,A1104-A1103&gt;$U$1),1,""))&lt;&gt;1,"",IF(C1104="B01",1965,IF(C1104="B02",1020,IF(C1104="B05",2400,IF(C1104="B03",4260,IF(C1104="B04",2880,IF(C1104="B20",1260,0)))))))</f>
        <v>2400</v>
      </c>
      <c r="F1104" s="8">
        <f>IF(IF(D1104&lt;&gt;D1103,1,IF(OR(B1104&lt;&gt;B1103,A1104-A1103&gt;$U$1),1,""))&lt;&gt;1,"",IF(C1104="B01",1,IF(C1104="B05",1,IF(C1104="B03",1,IF(C1104="B04",1,IF(C1104="B20",1,IF(C1104="B02",1,0)))))))</f>
        <v>1</v>
      </c>
      <c r="G1104"/>
      <c r="H1104" s="2"/>
      <c r="I1104" s="2"/>
      <c r="L1104"/>
      <c r="R1104"/>
    </row>
    <row r="1105" spans="1:18">
      <c r="A1105" s="3">
        <v>45750.055983796294</v>
      </c>
      <c r="B1105" s="2" t="s">
        <v>26</v>
      </c>
      <c r="C1105" s="2" t="s">
        <v>11</v>
      </c>
      <c r="D1105" s="6" t="str">
        <f>CONCATENATE(YEAR(A1105),"/",IF(MONTH(A1105)&lt;10,CONCATENATE("0",MONTH(A1105)),MONTH(A1105)))</f>
        <v>2025/04</v>
      </c>
      <c r="E1105" s="8" t="str">
        <f>IF(IF(D1105&lt;&gt;D1104,1,IF(OR(B1105&lt;&gt;B1104,A1105-A1104&gt;$U$1),1,""))&lt;&gt;1,"",IF(C1105="B01",1965,IF(C1105="B02",1020,IF(C1105="B05",2400,IF(C1105="B03",4260,IF(C1105="B04",2880,IF(C1105="B20",1260,0)))))))</f>
        <v/>
      </c>
      <c r="F1105" s="8" t="str">
        <f>IF(IF(D1105&lt;&gt;D1104,1,IF(OR(B1105&lt;&gt;B1104,A1105-A1104&gt;$U$1),1,""))&lt;&gt;1,"",IF(C1105="B01",1,IF(C1105="B05",1,IF(C1105="B03",1,IF(C1105="B04",1,IF(C1105="B20",1,IF(C1105="B02",1,0)))))))</f>
        <v/>
      </c>
      <c r="G1105"/>
      <c r="H1105" s="2"/>
      <c r="I1105" s="2"/>
      <c r="L1105"/>
      <c r="R1105"/>
    </row>
    <row r="1106" spans="1:18">
      <c r="A1106" s="3">
        <v>45750.322997685187</v>
      </c>
      <c r="B1106" s="2" t="s">
        <v>26</v>
      </c>
      <c r="C1106" s="2" t="s">
        <v>11</v>
      </c>
      <c r="D1106" s="6" t="str">
        <f>CONCATENATE(YEAR(A1106),"/",IF(MONTH(A1106)&lt;10,CONCATENATE("0",MONTH(A1106)),MONTH(A1106)))</f>
        <v>2025/04</v>
      </c>
      <c r="E1106" s="8">
        <f>IF(IF(D1106&lt;&gt;D1105,1,IF(OR(B1106&lt;&gt;B1105,A1106-A1105&gt;$U$1),1,""))&lt;&gt;1,"",IF(C1106="B01",1965,IF(C1106="B02",1020,IF(C1106="B05",2400,IF(C1106="B03",4260,IF(C1106="B04",2880,IF(C1106="B20",1260,0)))))))</f>
        <v>2400</v>
      </c>
      <c r="F1106" s="8">
        <f>IF(IF(D1106&lt;&gt;D1105,1,IF(OR(B1106&lt;&gt;B1105,A1106-A1105&gt;$U$1),1,""))&lt;&gt;1,"",IF(C1106="B01",1,IF(C1106="B05",1,IF(C1106="B03",1,IF(C1106="B04",1,IF(C1106="B20",1,IF(C1106="B02",1,0)))))))</f>
        <v>1</v>
      </c>
      <c r="G1106"/>
      <c r="H1106" s="2"/>
      <c r="I1106" s="2"/>
      <c r="L1106"/>
      <c r="R1106"/>
    </row>
    <row r="1107" spans="1:18">
      <c r="A1107" s="3">
        <v>45750.322997685187</v>
      </c>
      <c r="B1107" s="2" t="s">
        <v>26</v>
      </c>
      <c r="C1107" s="2" t="s">
        <v>11</v>
      </c>
      <c r="D1107" s="6" t="str">
        <f>CONCATENATE(YEAR(A1107),"/",IF(MONTH(A1107)&lt;10,CONCATENATE("0",MONTH(A1107)),MONTH(A1107)))</f>
        <v>2025/04</v>
      </c>
      <c r="E1107" s="8" t="str">
        <f>IF(IF(D1107&lt;&gt;D1106,1,IF(OR(B1107&lt;&gt;B1106,A1107-A1106&gt;$U$1),1,""))&lt;&gt;1,"",IF(C1107="B01",1965,IF(C1107="B02",1020,IF(C1107="B05",2400,IF(C1107="B03",4260,IF(C1107="B04",2880,IF(C1107="B20",1260,0)))))))</f>
        <v/>
      </c>
      <c r="F1107" s="8" t="str">
        <f>IF(IF(D1107&lt;&gt;D1106,1,IF(OR(B1107&lt;&gt;B1106,A1107-A1106&gt;$U$1),1,""))&lt;&gt;1,"",IF(C1107="B01",1,IF(C1107="B05",1,IF(C1107="B03",1,IF(C1107="B04",1,IF(C1107="B20",1,IF(C1107="B02",1,0)))))))</f>
        <v/>
      </c>
      <c r="G1107"/>
      <c r="H1107" s="2"/>
      <c r="I1107" s="2"/>
      <c r="L1107"/>
      <c r="R1107"/>
    </row>
    <row r="1108" spans="1:18">
      <c r="A1108" s="3">
        <v>45750.322997685187</v>
      </c>
      <c r="B1108" s="2" t="s">
        <v>26</v>
      </c>
      <c r="C1108" s="2" t="s">
        <v>11</v>
      </c>
      <c r="D1108" s="6" t="str">
        <f>CONCATENATE(YEAR(A1108),"/",IF(MONTH(A1108)&lt;10,CONCATENATE("0",MONTH(A1108)),MONTH(A1108)))</f>
        <v>2025/04</v>
      </c>
      <c r="E1108" s="8" t="str">
        <f>IF(IF(D1108&lt;&gt;D1107,1,IF(OR(B1108&lt;&gt;B1107,A1108-A1107&gt;$U$1),1,""))&lt;&gt;1,"",IF(C1108="B01",1965,IF(C1108="B02",1020,IF(C1108="B05",2400,IF(C1108="B03",4260,IF(C1108="B04",2880,IF(C1108="B20",1260,0)))))))</f>
        <v/>
      </c>
      <c r="F1108" s="8" t="str">
        <f>IF(IF(D1108&lt;&gt;D1107,1,IF(OR(B1108&lt;&gt;B1107,A1108-A1107&gt;$U$1),1,""))&lt;&gt;1,"",IF(C1108="B01",1,IF(C1108="B05",1,IF(C1108="B03",1,IF(C1108="B04",1,IF(C1108="B20",1,IF(C1108="B02",1,0)))))))</f>
        <v/>
      </c>
      <c r="G1108"/>
      <c r="H1108" s="2"/>
      <c r="I1108" s="2"/>
      <c r="L1108"/>
      <c r="R1108"/>
    </row>
    <row r="1109" spans="1:18">
      <c r="A1109" s="3">
        <v>45750.459675925929</v>
      </c>
      <c r="B1109" s="2" t="s">
        <v>26</v>
      </c>
      <c r="C1109" s="2" t="s">
        <v>12</v>
      </c>
      <c r="D1109" s="6" t="str">
        <f>CONCATENATE(YEAR(A1109),"/",IF(MONTH(A1109)&lt;10,CONCATENATE("0",MONTH(A1109)),MONTH(A1109)))</f>
        <v>2025/04</v>
      </c>
      <c r="E1109" s="8">
        <f>IF(IF(D1109&lt;&gt;D1108,1,IF(OR(B1109&lt;&gt;B1108,A1109-A1108&gt;$U$1),1,""))&lt;&gt;1,"",IF(C1109="B01",1965,IF(C1109="B02",1020,IF(C1109="B05",2400,IF(C1109="B03",4260,IF(C1109="B04",2880,IF(C1109="B20",1260,0)))))))</f>
        <v>4260</v>
      </c>
      <c r="F1109" s="8">
        <f>IF(IF(D1109&lt;&gt;D1108,1,IF(OR(B1109&lt;&gt;B1108,A1109-A1108&gt;$U$1),1,""))&lt;&gt;1,"",IF(C1109="B01",1,IF(C1109="B05",1,IF(C1109="B03",1,IF(C1109="B04",1,IF(C1109="B20",1,IF(C1109="B02",1,0)))))))</f>
        <v>1</v>
      </c>
      <c r="G1109"/>
      <c r="H1109" s="2"/>
      <c r="I1109" s="2"/>
      <c r="L1109"/>
      <c r="R1109"/>
    </row>
    <row r="1110" spans="1:18">
      <c r="A1110" s="3">
        <v>45750.459675925929</v>
      </c>
      <c r="B1110" s="2" t="s">
        <v>26</v>
      </c>
      <c r="C1110" s="2" t="s">
        <v>12</v>
      </c>
      <c r="D1110" s="6" t="str">
        <f>CONCATENATE(YEAR(A1110),"/",IF(MONTH(A1110)&lt;10,CONCATENATE("0",MONTH(A1110)),MONTH(A1110)))</f>
        <v>2025/04</v>
      </c>
      <c r="E1110" s="8" t="str">
        <f>IF(IF(D1110&lt;&gt;D1109,1,IF(OR(B1110&lt;&gt;B1109,A1110-A1109&gt;$U$1),1,""))&lt;&gt;1,"",IF(C1110="B01",1965,IF(C1110="B02",1020,IF(C1110="B05",2400,IF(C1110="B03",4260,IF(C1110="B04",2880,IF(C1110="B20",1260,0)))))))</f>
        <v/>
      </c>
      <c r="F1110" s="8" t="str">
        <f>IF(IF(D1110&lt;&gt;D1109,1,IF(OR(B1110&lt;&gt;B1109,A1110-A1109&gt;$U$1),1,""))&lt;&gt;1,"",IF(C1110="B01",1,IF(C1110="B05",1,IF(C1110="B03",1,IF(C1110="B04",1,IF(C1110="B20",1,IF(C1110="B02",1,0)))))))</f>
        <v/>
      </c>
      <c r="G1110"/>
      <c r="H1110" s="2"/>
      <c r="I1110" s="2"/>
      <c r="L1110"/>
      <c r="R1110"/>
    </row>
    <row r="1111" spans="1:18">
      <c r="A1111" s="3">
        <v>45750.679675925923</v>
      </c>
      <c r="B1111" s="2" t="s">
        <v>26</v>
      </c>
      <c r="C1111" s="2" t="s">
        <v>12</v>
      </c>
      <c r="D1111" s="6" t="str">
        <f>CONCATENATE(YEAR(A1111),"/",IF(MONTH(A1111)&lt;10,CONCATENATE("0",MONTH(A1111)),MONTH(A1111)))</f>
        <v>2025/04</v>
      </c>
      <c r="E1111" s="8">
        <f>IF(IF(D1111&lt;&gt;D1110,1,IF(OR(B1111&lt;&gt;B1110,A1111-A1110&gt;$U$1),1,""))&lt;&gt;1,"",IF(C1111="B01",1965,IF(C1111="B02",1020,IF(C1111="B05",2400,IF(C1111="B03",4260,IF(C1111="B04",2880,IF(C1111="B20",1260,0)))))))</f>
        <v>4260</v>
      </c>
      <c r="F1111" s="8">
        <f>IF(IF(D1111&lt;&gt;D1110,1,IF(OR(B1111&lt;&gt;B1110,A1111-A1110&gt;$U$1),1,""))&lt;&gt;1,"",IF(C1111="B01",1,IF(C1111="B05",1,IF(C1111="B03",1,IF(C1111="B04",1,IF(C1111="B20",1,IF(C1111="B02",1,0)))))))</f>
        <v>1</v>
      </c>
      <c r="G1111"/>
      <c r="H1111" s="2"/>
      <c r="I1111" s="2"/>
      <c r="L1111"/>
      <c r="R1111"/>
    </row>
    <row r="1112" spans="1:18">
      <c r="A1112" s="3">
        <v>45750.679675925923</v>
      </c>
      <c r="B1112" s="2" t="s">
        <v>26</v>
      </c>
      <c r="C1112" s="2" t="s">
        <v>12</v>
      </c>
      <c r="D1112" s="6" t="str">
        <f>CONCATENATE(YEAR(A1112),"/",IF(MONTH(A1112)&lt;10,CONCATENATE("0",MONTH(A1112)),MONTH(A1112)))</f>
        <v>2025/04</v>
      </c>
      <c r="E1112" s="8" t="str">
        <f>IF(IF(D1112&lt;&gt;D1111,1,IF(OR(B1112&lt;&gt;B1111,A1112-A1111&gt;$U$1),1,""))&lt;&gt;1,"",IF(C1112="B01",1965,IF(C1112="B02",1020,IF(C1112="B05",2400,IF(C1112="B03",4260,IF(C1112="B04",2880,IF(C1112="B20",1260,0)))))))</f>
        <v/>
      </c>
      <c r="F1112" s="8" t="str">
        <f>IF(IF(D1112&lt;&gt;D1111,1,IF(OR(B1112&lt;&gt;B1111,A1112-A1111&gt;$U$1),1,""))&lt;&gt;1,"",IF(C1112="B01",1,IF(C1112="B05",1,IF(C1112="B03",1,IF(C1112="B04",1,IF(C1112="B20",1,IF(C1112="B02",1,0)))))))</f>
        <v/>
      </c>
      <c r="G1112"/>
      <c r="H1112" s="2"/>
      <c r="I1112" s="2"/>
      <c r="L1112"/>
      <c r="R1112"/>
    </row>
    <row r="1113" spans="1:18">
      <c r="A1113" s="3">
        <v>45750.679675925923</v>
      </c>
      <c r="B1113" s="2" t="s">
        <v>26</v>
      </c>
      <c r="C1113" s="2" t="s">
        <v>12</v>
      </c>
      <c r="D1113" s="6" t="str">
        <f>CONCATENATE(YEAR(A1113),"/",IF(MONTH(A1113)&lt;10,CONCATENATE("0",MONTH(A1113)),MONTH(A1113)))</f>
        <v>2025/04</v>
      </c>
      <c r="E1113" s="8" t="str">
        <f>IF(IF(D1113&lt;&gt;D1112,1,IF(OR(B1113&lt;&gt;B1112,A1113-A1112&gt;$U$1),1,""))&lt;&gt;1,"",IF(C1113="B01",1965,IF(C1113="B02",1020,IF(C1113="B05",2400,IF(C1113="B03",4260,IF(C1113="B04",2880,IF(C1113="B20",1260,0)))))))</f>
        <v/>
      </c>
      <c r="F1113" s="8" t="str">
        <f>IF(IF(D1113&lt;&gt;D1112,1,IF(OR(B1113&lt;&gt;B1112,A1113-A1112&gt;$U$1),1,""))&lt;&gt;1,"",IF(C1113="B01",1,IF(C1113="B05",1,IF(C1113="B03",1,IF(C1113="B04",1,IF(C1113="B20",1,IF(C1113="B02",1,0)))))))</f>
        <v/>
      </c>
      <c r="G1113"/>
      <c r="H1113" s="2"/>
      <c r="I1113" s="2"/>
      <c r="L1113"/>
      <c r="R1113"/>
    </row>
    <row r="1114" spans="1:18">
      <c r="A1114" s="3">
        <v>45750.943888888891</v>
      </c>
      <c r="B1114" s="2" t="s">
        <v>26</v>
      </c>
      <c r="C1114" s="2" t="s">
        <v>11</v>
      </c>
      <c r="D1114" s="6" t="str">
        <f>CONCATENATE(YEAR(A1114),"/",IF(MONTH(A1114)&lt;10,CONCATENATE("0",MONTH(A1114)),MONTH(A1114)))</f>
        <v>2025/04</v>
      </c>
      <c r="E1114" s="8">
        <f>IF(IF(D1114&lt;&gt;D1113,1,IF(OR(B1114&lt;&gt;B1113,A1114-A1113&gt;$U$1),1,""))&lt;&gt;1,"",IF(C1114="B01",1965,IF(C1114="B02",1020,IF(C1114="B05",2400,IF(C1114="B03",4260,IF(C1114="B04",2880,IF(C1114="B20",1260,0)))))))</f>
        <v>2400</v>
      </c>
      <c r="F1114" s="8">
        <f>IF(IF(D1114&lt;&gt;D1113,1,IF(OR(B1114&lt;&gt;B1113,A1114-A1113&gt;$U$1),1,""))&lt;&gt;1,"",IF(C1114="B01",1,IF(C1114="B05",1,IF(C1114="B03",1,IF(C1114="B04",1,IF(C1114="B20",1,IF(C1114="B02",1,0)))))))</f>
        <v>1</v>
      </c>
      <c r="G1114"/>
      <c r="H1114" s="2"/>
      <c r="I1114" s="2"/>
      <c r="L1114"/>
      <c r="R1114"/>
    </row>
    <row r="1115" spans="1:18">
      <c r="A1115" s="3">
        <v>45750.943888888891</v>
      </c>
      <c r="B1115" s="2" t="s">
        <v>26</v>
      </c>
      <c r="C1115" s="2" t="s">
        <v>11</v>
      </c>
      <c r="D1115" s="6" t="str">
        <f>CONCATENATE(YEAR(A1115),"/",IF(MONTH(A1115)&lt;10,CONCATENATE("0",MONTH(A1115)),MONTH(A1115)))</f>
        <v>2025/04</v>
      </c>
      <c r="E1115" s="8" t="str">
        <f>IF(IF(D1115&lt;&gt;D1114,1,IF(OR(B1115&lt;&gt;B1114,A1115-A1114&gt;$U$1),1,""))&lt;&gt;1,"",IF(C1115="B01",1965,IF(C1115="B02",1020,IF(C1115="B05",2400,IF(C1115="B03",4260,IF(C1115="B04",2880,IF(C1115="B20",1260,0)))))))</f>
        <v/>
      </c>
      <c r="F1115" s="8" t="str">
        <f>IF(IF(D1115&lt;&gt;D1114,1,IF(OR(B1115&lt;&gt;B1114,A1115-A1114&gt;$U$1),1,""))&lt;&gt;1,"",IF(C1115="B01",1,IF(C1115="B05",1,IF(C1115="B03",1,IF(C1115="B04",1,IF(C1115="B20",1,IF(C1115="B02",1,0)))))))</f>
        <v/>
      </c>
      <c r="G1115"/>
      <c r="H1115" s="2"/>
      <c r="I1115" s="2"/>
      <c r="L1115"/>
      <c r="R1115"/>
    </row>
    <row r="1116" spans="1:18">
      <c r="A1116" s="3">
        <v>45750.943888888891</v>
      </c>
      <c r="B1116" s="2" t="s">
        <v>26</v>
      </c>
      <c r="C1116" s="2" t="s">
        <v>11</v>
      </c>
      <c r="D1116" s="6" t="str">
        <f>CONCATENATE(YEAR(A1116),"/",IF(MONTH(A1116)&lt;10,CONCATENATE("0",MONTH(A1116)),MONTH(A1116)))</f>
        <v>2025/04</v>
      </c>
      <c r="E1116" s="8" t="str">
        <f>IF(IF(D1116&lt;&gt;D1115,1,IF(OR(B1116&lt;&gt;B1115,A1116-A1115&gt;$U$1),1,""))&lt;&gt;1,"",IF(C1116="B01",1965,IF(C1116="B02",1020,IF(C1116="B05",2400,IF(C1116="B03",4260,IF(C1116="B04",2880,IF(C1116="B20",1260,0)))))))</f>
        <v/>
      </c>
      <c r="F1116" s="8" t="str">
        <f>IF(IF(D1116&lt;&gt;D1115,1,IF(OR(B1116&lt;&gt;B1115,A1116-A1115&gt;$U$1),1,""))&lt;&gt;1,"",IF(C1116="B01",1,IF(C1116="B05",1,IF(C1116="B03",1,IF(C1116="B04",1,IF(C1116="B20",1,IF(C1116="B02",1,0)))))))</f>
        <v/>
      </c>
      <c r="G1116"/>
      <c r="H1116" s="2"/>
      <c r="I1116" s="2"/>
      <c r="L1116"/>
      <c r="R1116"/>
    </row>
    <row r="1117" spans="1:18">
      <c r="A1117" s="3">
        <v>45751.316076388888</v>
      </c>
      <c r="B1117" s="2" t="s">
        <v>26</v>
      </c>
      <c r="C1117" s="2" t="s">
        <v>12</v>
      </c>
      <c r="D1117" s="6" t="str">
        <f>CONCATENATE(YEAR(A1117),"/",IF(MONTH(A1117)&lt;10,CONCATENATE("0",MONTH(A1117)),MONTH(A1117)))</f>
        <v>2025/04</v>
      </c>
      <c r="E1117" s="8">
        <f>IF(IF(D1117&lt;&gt;D1116,1,IF(OR(B1117&lt;&gt;B1116,A1117-A1116&gt;$U$1),1,""))&lt;&gt;1,"",IF(C1117="B01",1965,IF(C1117="B02",1020,IF(C1117="B05",2400,IF(C1117="B03",4260,IF(C1117="B04",2880,IF(C1117="B20",1260,0)))))))</f>
        <v>4260</v>
      </c>
      <c r="F1117" s="8">
        <f>IF(IF(D1117&lt;&gt;D1116,1,IF(OR(B1117&lt;&gt;B1116,A1117-A1116&gt;$U$1),1,""))&lt;&gt;1,"",IF(C1117="B01",1,IF(C1117="B05",1,IF(C1117="B03",1,IF(C1117="B04",1,IF(C1117="B20",1,IF(C1117="B02",1,0)))))))</f>
        <v>1</v>
      </c>
      <c r="G1117"/>
      <c r="H1117" s="2"/>
      <c r="I1117" s="2"/>
      <c r="L1117"/>
      <c r="R1117"/>
    </row>
    <row r="1118" spans="1:18">
      <c r="A1118" s="3">
        <v>45751.316076388888</v>
      </c>
      <c r="B1118" s="2" t="s">
        <v>26</v>
      </c>
      <c r="C1118" s="2" t="s">
        <v>12</v>
      </c>
      <c r="D1118" s="6" t="str">
        <f>CONCATENATE(YEAR(A1118),"/",IF(MONTH(A1118)&lt;10,CONCATENATE("0",MONTH(A1118)),MONTH(A1118)))</f>
        <v>2025/04</v>
      </c>
      <c r="E1118" s="8" t="str">
        <f>IF(IF(D1118&lt;&gt;D1117,1,IF(OR(B1118&lt;&gt;B1117,A1118-A1117&gt;$U$1),1,""))&lt;&gt;1,"",IF(C1118="B01",1965,IF(C1118="B02",1020,IF(C1118="B05",2400,IF(C1118="B03",4260,IF(C1118="B04",2880,IF(C1118="B20",1260,0)))))))</f>
        <v/>
      </c>
      <c r="F1118" s="8" t="str">
        <f>IF(IF(D1118&lt;&gt;D1117,1,IF(OR(B1118&lt;&gt;B1117,A1118-A1117&gt;$U$1),1,""))&lt;&gt;1,"",IF(C1118="B01",1,IF(C1118="B05",1,IF(C1118="B03",1,IF(C1118="B04",1,IF(C1118="B20",1,IF(C1118="B02",1,0)))))))</f>
        <v/>
      </c>
      <c r="G1118"/>
      <c r="H1118" s="2"/>
      <c r="I1118" s="2"/>
      <c r="L1118"/>
      <c r="R1118"/>
    </row>
    <row r="1119" spans="1:18">
      <c r="A1119" s="3">
        <v>45751.316076388888</v>
      </c>
      <c r="B1119" s="2" t="s">
        <v>26</v>
      </c>
      <c r="C1119" s="2" t="s">
        <v>12</v>
      </c>
      <c r="D1119" s="6" t="str">
        <f>CONCATENATE(YEAR(A1119),"/",IF(MONTH(A1119)&lt;10,CONCATENATE("0",MONTH(A1119)),MONTH(A1119)))</f>
        <v>2025/04</v>
      </c>
      <c r="E1119" s="8" t="str">
        <f>IF(IF(D1119&lt;&gt;D1118,1,IF(OR(B1119&lt;&gt;B1118,A1119-A1118&gt;$U$1),1,""))&lt;&gt;1,"",IF(C1119="B01",1965,IF(C1119="B02",1020,IF(C1119="B05",2400,IF(C1119="B03",4260,IF(C1119="B04",2880,IF(C1119="B20",1260,0)))))))</f>
        <v/>
      </c>
      <c r="F1119" s="8" t="str">
        <f>IF(IF(D1119&lt;&gt;D1118,1,IF(OR(B1119&lt;&gt;B1118,A1119-A1118&gt;$U$1),1,""))&lt;&gt;1,"",IF(C1119="B01",1,IF(C1119="B05",1,IF(C1119="B03",1,IF(C1119="B04",1,IF(C1119="B20",1,IF(C1119="B02",1,0)))))))</f>
        <v/>
      </c>
      <c r="G1119"/>
      <c r="H1119" s="2"/>
      <c r="I1119" s="2"/>
      <c r="L1119"/>
      <c r="R1119"/>
    </row>
    <row r="1120" spans="1:18">
      <c r="A1120" s="3">
        <v>45751.623553240737</v>
      </c>
      <c r="B1120" s="2" t="s">
        <v>26</v>
      </c>
      <c r="C1120" s="2" t="s">
        <v>12</v>
      </c>
      <c r="D1120" s="6" t="str">
        <f>CONCATENATE(YEAR(A1120),"/",IF(MONTH(A1120)&lt;10,CONCATENATE("0",MONTH(A1120)),MONTH(A1120)))</f>
        <v>2025/04</v>
      </c>
      <c r="E1120" s="8">
        <f>IF(IF(D1120&lt;&gt;D1119,1,IF(OR(B1120&lt;&gt;B1119,A1120-A1119&gt;$U$1),1,""))&lt;&gt;1,"",IF(C1120="B01",1965,IF(C1120="B02",1020,IF(C1120="B05",2400,IF(C1120="B03",4260,IF(C1120="B04",2880,IF(C1120="B20",1260,0)))))))</f>
        <v>4260</v>
      </c>
      <c r="F1120" s="8">
        <f>IF(IF(D1120&lt;&gt;D1119,1,IF(OR(B1120&lt;&gt;B1119,A1120-A1119&gt;$U$1),1,""))&lt;&gt;1,"",IF(C1120="B01",1,IF(C1120="B05",1,IF(C1120="B03",1,IF(C1120="B04",1,IF(C1120="B20",1,IF(C1120="B02",1,0)))))))</f>
        <v>1</v>
      </c>
      <c r="G1120"/>
      <c r="H1120" s="2"/>
      <c r="I1120" s="2"/>
      <c r="L1120"/>
      <c r="R1120"/>
    </row>
    <row r="1121" spans="1:18">
      <c r="A1121" s="3">
        <v>45751.623553240737</v>
      </c>
      <c r="B1121" s="2" t="s">
        <v>26</v>
      </c>
      <c r="C1121" s="2" t="s">
        <v>12</v>
      </c>
      <c r="D1121" s="6" t="str">
        <f>CONCATENATE(YEAR(A1121),"/",IF(MONTH(A1121)&lt;10,CONCATENATE("0",MONTH(A1121)),MONTH(A1121)))</f>
        <v>2025/04</v>
      </c>
      <c r="E1121" s="8" t="str">
        <f>IF(IF(D1121&lt;&gt;D1120,1,IF(OR(B1121&lt;&gt;B1120,A1121-A1120&gt;$U$1),1,""))&lt;&gt;1,"",IF(C1121="B01",1965,IF(C1121="B02",1020,IF(C1121="B05",2400,IF(C1121="B03",4260,IF(C1121="B04",2880,IF(C1121="B20",1260,0)))))))</f>
        <v/>
      </c>
      <c r="F1121" s="8" t="str">
        <f>IF(IF(D1121&lt;&gt;D1120,1,IF(OR(B1121&lt;&gt;B1120,A1121-A1120&gt;$U$1),1,""))&lt;&gt;1,"",IF(C1121="B01",1,IF(C1121="B05",1,IF(C1121="B03",1,IF(C1121="B04",1,IF(C1121="B20",1,IF(C1121="B02",1,0)))))))</f>
        <v/>
      </c>
      <c r="G1121"/>
      <c r="H1121" s="2"/>
      <c r="I1121" s="2"/>
      <c r="L1121"/>
      <c r="R1121"/>
    </row>
    <row r="1122" spans="1:18">
      <c r="A1122" s="3">
        <v>45751.623553240737</v>
      </c>
      <c r="B1122" s="2" t="s">
        <v>26</v>
      </c>
      <c r="C1122" s="2" t="s">
        <v>12</v>
      </c>
      <c r="D1122" s="6" t="str">
        <f>CONCATENATE(YEAR(A1122),"/",IF(MONTH(A1122)&lt;10,CONCATENATE("0",MONTH(A1122)),MONTH(A1122)))</f>
        <v>2025/04</v>
      </c>
      <c r="E1122" s="8" t="str">
        <f>IF(IF(D1122&lt;&gt;D1121,1,IF(OR(B1122&lt;&gt;B1121,A1122-A1121&gt;$U$1),1,""))&lt;&gt;1,"",IF(C1122="B01",1965,IF(C1122="B02",1020,IF(C1122="B05",2400,IF(C1122="B03",4260,IF(C1122="B04",2880,IF(C1122="B20",1260,0)))))))</f>
        <v/>
      </c>
      <c r="F1122" s="8" t="str">
        <f>IF(IF(D1122&lt;&gt;D1121,1,IF(OR(B1122&lt;&gt;B1121,A1122-A1121&gt;$U$1),1,""))&lt;&gt;1,"",IF(C1122="B01",1,IF(C1122="B05",1,IF(C1122="B03",1,IF(C1122="B04",1,IF(C1122="B20",1,IF(C1122="B02",1,0)))))))</f>
        <v/>
      </c>
      <c r="G1122"/>
      <c r="H1122" s="2"/>
      <c r="I1122" s="2"/>
      <c r="L1122"/>
      <c r="R1122"/>
    </row>
    <row r="1123" spans="1:18">
      <c r="A1123" s="3">
        <v>45752.273449074077</v>
      </c>
      <c r="B1123" s="2" t="s">
        <v>26</v>
      </c>
      <c r="C1123" s="2" t="s">
        <v>11</v>
      </c>
      <c r="D1123" s="6" t="str">
        <f>CONCATENATE(YEAR(A1123),"/",IF(MONTH(A1123)&lt;10,CONCATENATE("0",MONTH(A1123)),MONTH(A1123)))</f>
        <v>2025/04</v>
      </c>
      <c r="E1123" s="8">
        <f>IF(IF(D1123&lt;&gt;D1122,1,IF(OR(B1123&lt;&gt;B1122,A1123-A1122&gt;$U$1),1,""))&lt;&gt;1,"",IF(C1123="B01",1965,IF(C1123="B02",1020,IF(C1123="B05",2400,IF(C1123="B03",4260,IF(C1123="B04",2880,IF(C1123="B20",1260,0)))))))</f>
        <v>2400</v>
      </c>
      <c r="F1123" s="8">
        <f>IF(IF(D1123&lt;&gt;D1122,1,IF(OR(B1123&lt;&gt;B1122,A1123-A1122&gt;$U$1),1,""))&lt;&gt;1,"",IF(C1123="B01",1,IF(C1123="B05",1,IF(C1123="B03",1,IF(C1123="B04",1,IF(C1123="B20",1,IF(C1123="B02",1,0)))))))</f>
        <v>1</v>
      </c>
      <c r="G1123"/>
      <c r="H1123" s="2"/>
      <c r="I1123" s="2"/>
      <c r="L1123"/>
      <c r="R1123"/>
    </row>
    <row r="1124" spans="1:18">
      <c r="A1124" s="3">
        <v>45752.273449074077</v>
      </c>
      <c r="B1124" s="2" t="s">
        <v>26</v>
      </c>
      <c r="C1124" s="2" t="s">
        <v>11</v>
      </c>
      <c r="D1124" s="6" t="str">
        <f>CONCATENATE(YEAR(A1124),"/",IF(MONTH(A1124)&lt;10,CONCATENATE("0",MONTH(A1124)),MONTH(A1124)))</f>
        <v>2025/04</v>
      </c>
      <c r="E1124" s="8" t="str">
        <f>IF(IF(D1124&lt;&gt;D1123,1,IF(OR(B1124&lt;&gt;B1123,A1124-A1123&gt;$U$1),1,""))&lt;&gt;1,"",IF(C1124="B01",1965,IF(C1124="B02",1020,IF(C1124="B05",2400,IF(C1124="B03",4260,IF(C1124="B04",2880,IF(C1124="B20",1260,0)))))))</f>
        <v/>
      </c>
      <c r="F1124" s="8" t="str">
        <f>IF(IF(D1124&lt;&gt;D1123,1,IF(OR(B1124&lt;&gt;B1123,A1124-A1123&gt;$U$1),1,""))&lt;&gt;1,"",IF(C1124="B01",1,IF(C1124="B05",1,IF(C1124="B03",1,IF(C1124="B04",1,IF(C1124="B20",1,IF(C1124="B02",1,0)))))))</f>
        <v/>
      </c>
      <c r="G1124"/>
      <c r="H1124" s="2"/>
      <c r="I1124" s="2"/>
      <c r="L1124"/>
      <c r="R1124"/>
    </row>
    <row r="1125" spans="1:18">
      <c r="A1125" s="3">
        <v>45752.273449074077</v>
      </c>
      <c r="B1125" s="2" t="s">
        <v>26</v>
      </c>
      <c r="C1125" s="2" t="s">
        <v>11</v>
      </c>
      <c r="D1125" s="6" t="str">
        <f>CONCATENATE(YEAR(A1125),"/",IF(MONTH(A1125)&lt;10,CONCATENATE("0",MONTH(A1125)),MONTH(A1125)))</f>
        <v>2025/04</v>
      </c>
      <c r="E1125" s="8" t="str">
        <f>IF(IF(D1125&lt;&gt;D1124,1,IF(OR(B1125&lt;&gt;B1124,A1125-A1124&gt;$U$1),1,""))&lt;&gt;1,"",IF(C1125="B01",1965,IF(C1125="B02",1020,IF(C1125="B05",2400,IF(C1125="B03",4260,IF(C1125="B04",2880,IF(C1125="B20",1260,0)))))))</f>
        <v/>
      </c>
      <c r="F1125" s="8" t="str">
        <f>IF(IF(D1125&lt;&gt;D1124,1,IF(OR(B1125&lt;&gt;B1124,A1125-A1124&gt;$U$1),1,""))&lt;&gt;1,"",IF(C1125="B01",1,IF(C1125="B05",1,IF(C1125="B03",1,IF(C1125="B04",1,IF(C1125="B20",1,IF(C1125="B02",1,0)))))))</f>
        <v/>
      </c>
      <c r="G1125"/>
      <c r="H1125" s="2"/>
      <c r="I1125" s="2"/>
      <c r="L1125"/>
      <c r="R1125"/>
    </row>
    <row r="1126" spans="1:18">
      <c r="A1126" s="3">
        <v>45752.391041666669</v>
      </c>
      <c r="B1126" s="2" t="s">
        <v>26</v>
      </c>
      <c r="C1126" s="2" t="s">
        <v>12</v>
      </c>
      <c r="D1126" s="6" t="str">
        <f>CONCATENATE(YEAR(A1126),"/",IF(MONTH(A1126)&lt;10,CONCATENATE("0",MONTH(A1126)),MONTH(A1126)))</f>
        <v>2025/04</v>
      </c>
      <c r="E1126" s="8">
        <f>IF(IF(D1126&lt;&gt;D1125,1,IF(OR(B1126&lt;&gt;B1125,A1126-A1125&gt;$U$1),1,""))&lt;&gt;1,"",IF(C1126="B01",1965,IF(C1126="B02",1020,IF(C1126="B05",2400,IF(C1126="B03",4260,IF(C1126="B04",2880,IF(C1126="B20",1260,0)))))))</f>
        <v>4260</v>
      </c>
      <c r="F1126" s="8">
        <f>IF(IF(D1126&lt;&gt;D1125,1,IF(OR(B1126&lt;&gt;B1125,A1126-A1125&gt;$U$1),1,""))&lt;&gt;1,"",IF(C1126="B01",1,IF(C1126="B05",1,IF(C1126="B03",1,IF(C1126="B04",1,IF(C1126="B20",1,IF(C1126="B02",1,0)))))))</f>
        <v>1</v>
      </c>
      <c r="G1126"/>
      <c r="H1126" s="2"/>
      <c r="I1126" s="2"/>
      <c r="L1126"/>
      <c r="R1126"/>
    </row>
    <row r="1127" spans="1:18">
      <c r="A1127" s="3">
        <v>45752.391041666669</v>
      </c>
      <c r="B1127" s="2" t="s">
        <v>26</v>
      </c>
      <c r="C1127" s="2" t="s">
        <v>12</v>
      </c>
      <c r="D1127" s="6" t="str">
        <f>CONCATENATE(YEAR(A1127),"/",IF(MONTH(A1127)&lt;10,CONCATENATE("0",MONTH(A1127)),MONTH(A1127)))</f>
        <v>2025/04</v>
      </c>
      <c r="E1127" s="8" t="str">
        <f>IF(IF(D1127&lt;&gt;D1126,1,IF(OR(B1127&lt;&gt;B1126,A1127-A1126&gt;$U$1),1,""))&lt;&gt;1,"",IF(C1127="B01",1965,IF(C1127="B02",1020,IF(C1127="B05",2400,IF(C1127="B03",4260,IF(C1127="B04",2880,IF(C1127="B20",1260,0)))))))</f>
        <v/>
      </c>
      <c r="F1127" s="8" t="str">
        <f>IF(IF(D1127&lt;&gt;D1126,1,IF(OR(B1127&lt;&gt;B1126,A1127-A1126&gt;$U$1),1,""))&lt;&gt;1,"",IF(C1127="B01",1,IF(C1127="B05",1,IF(C1127="B03",1,IF(C1127="B04",1,IF(C1127="B20",1,IF(C1127="B02",1,0)))))))</f>
        <v/>
      </c>
      <c r="G1127"/>
      <c r="H1127" s="2"/>
      <c r="I1127" s="2"/>
      <c r="L1127"/>
      <c r="R1127"/>
    </row>
    <row r="1128" spans="1:18">
      <c r="A1128" s="3">
        <v>45752.391041666669</v>
      </c>
      <c r="B1128" s="2" t="s">
        <v>26</v>
      </c>
      <c r="C1128" s="2" t="s">
        <v>12</v>
      </c>
      <c r="D1128" s="6" t="str">
        <f>CONCATENATE(YEAR(A1128),"/",IF(MONTH(A1128)&lt;10,CONCATENATE("0",MONTH(A1128)),MONTH(A1128)))</f>
        <v>2025/04</v>
      </c>
      <c r="E1128" s="8" t="str">
        <f>IF(IF(D1128&lt;&gt;D1127,1,IF(OR(B1128&lt;&gt;B1127,A1128-A1127&gt;$U$1),1,""))&lt;&gt;1,"",IF(C1128="B01",1965,IF(C1128="B02",1020,IF(C1128="B05",2400,IF(C1128="B03",4260,IF(C1128="B04",2880,IF(C1128="B20",1260,0)))))))</f>
        <v/>
      </c>
      <c r="F1128" s="8" t="str">
        <f>IF(IF(D1128&lt;&gt;D1127,1,IF(OR(B1128&lt;&gt;B1127,A1128-A1127&gt;$U$1),1,""))&lt;&gt;1,"",IF(C1128="B01",1,IF(C1128="B05",1,IF(C1128="B03",1,IF(C1128="B04",1,IF(C1128="B20",1,IF(C1128="B02",1,0)))))))</f>
        <v/>
      </c>
      <c r="G1128"/>
      <c r="H1128" s="2"/>
      <c r="I1128" s="2"/>
      <c r="L1128"/>
      <c r="R1128"/>
    </row>
    <row r="1129" spans="1:18">
      <c r="A1129" s="3">
        <v>45752.631724537037</v>
      </c>
      <c r="B1129" s="2" t="s">
        <v>26</v>
      </c>
      <c r="C1129" s="2" t="s">
        <v>11</v>
      </c>
      <c r="D1129" s="6" t="str">
        <f>CONCATENATE(YEAR(A1129),"/",IF(MONTH(A1129)&lt;10,CONCATENATE("0",MONTH(A1129)),MONTH(A1129)))</f>
        <v>2025/04</v>
      </c>
      <c r="E1129" s="8">
        <f>IF(IF(D1129&lt;&gt;D1128,1,IF(OR(B1129&lt;&gt;B1128,A1129-A1128&gt;$U$1),1,""))&lt;&gt;1,"",IF(C1129="B01",1965,IF(C1129="B02",1020,IF(C1129="B05",2400,IF(C1129="B03",4260,IF(C1129="B04",2880,IF(C1129="B20",1260,0)))))))</f>
        <v>2400</v>
      </c>
      <c r="F1129" s="8">
        <f>IF(IF(D1129&lt;&gt;D1128,1,IF(OR(B1129&lt;&gt;B1128,A1129-A1128&gt;$U$1),1,""))&lt;&gt;1,"",IF(C1129="B01",1,IF(C1129="B05",1,IF(C1129="B03",1,IF(C1129="B04",1,IF(C1129="B20",1,IF(C1129="B02",1,0)))))))</f>
        <v>1</v>
      </c>
      <c r="G1129"/>
      <c r="H1129" s="2"/>
      <c r="I1129" s="2"/>
      <c r="L1129"/>
      <c r="R1129"/>
    </row>
    <row r="1130" spans="1:18">
      <c r="A1130" s="3">
        <v>45752.631724537037</v>
      </c>
      <c r="B1130" s="2" t="s">
        <v>26</v>
      </c>
      <c r="C1130" s="2" t="s">
        <v>11</v>
      </c>
      <c r="D1130" s="6" t="str">
        <f>CONCATENATE(YEAR(A1130),"/",IF(MONTH(A1130)&lt;10,CONCATENATE("0",MONTH(A1130)),MONTH(A1130)))</f>
        <v>2025/04</v>
      </c>
      <c r="E1130" s="8" t="str">
        <f>IF(IF(D1130&lt;&gt;D1129,1,IF(OR(B1130&lt;&gt;B1129,A1130-A1129&gt;$U$1),1,""))&lt;&gt;1,"",IF(C1130="B01",1965,IF(C1130="B02",1020,IF(C1130="B05",2400,IF(C1130="B03",4260,IF(C1130="B04",2880,IF(C1130="B20",1260,0)))))))</f>
        <v/>
      </c>
      <c r="F1130" s="8" t="str">
        <f>IF(IF(D1130&lt;&gt;D1129,1,IF(OR(B1130&lt;&gt;B1129,A1130-A1129&gt;$U$1),1,""))&lt;&gt;1,"",IF(C1130="B01",1,IF(C1130="B05",1,IF(C1130="B03",1,IF(C1130="B04",1,IF(C1130="B20",1,IF(C1130="B02",1,0)))))))</f>
        <v/>
      </c>
      <c r="G1130"/>
      <c r="H1130" s="2"/>
      <c r="I1130" s="2"/>
      <c r="L1130"/>
      <c r="R1130"/>
    </row>
    <row r="1131" spans="1:18">
      <c r="A1131" s="3">
        <v>45752.758518518516</v>
      </c>
      <c r="B1131" s="2" t="s">
        <v>26</v>
      </c>
      <c r="C1131" s="2" t="s">
        <v>11</v>
      </c>
      <c r="D1131" s="6" t="str">
        <f>CONCATENATE(YEAR(A1131),"/",IF(MONTH(A1131)&lt;10,CONCATENATE("0",MONTH(A1131)),MONTH(A1131)))</f>
        <v>2025/04</v>
      </c>
      <c r="E1131" s="8">
        <f>IF(IF(D1131&lt;&gt;D1130,1,IF(OR(B1131&lt;&gt;B1130,A1131-A1130&gt;$U$1),1,""))&lt;&gt;1,"",IF(C1131="B01",1965,IF(C1131="B02",1020,IF(C1131="B05",2400,IF(C1131="B03",4260,IF(C1131="B04",2880,IF(C1131="B20",1260,0)))))))</f>
        <v>2400</v>
      </c>
      <c r="F1131" s="8">
        <f>IF(IF(D1131&lt;&gt;D1130,1,IF(OR(B1131&lt;&gt;B1130,A1131-A1130&gt;$U$1),1,""))&lt;&gt;1,"",IF(C1131="B01",1,IF(C1131="B05",1,IF(C1131="B03",1,IF(C1131="B04",1,IF(C1131="B20",1,IF(C1131="B02",1,0)))))))</f>
        <v>1</v>
      </c>
      <c r="G1131"/>
      <c r="H1131" s="2"/>
      <c r="I1131" s="2"/>
      <c r="L1131"/>
      <c r="R1131"/>
    </row>
    <row r="1132" spans="1:18">
      <c r="A1132" s="3">
        <v>45752.758518518516</v>
      </c>
      <c r="B1132" s="2" t="s">
        <v>26</v>
      </c>
      <c r="C1132" s="2" t="s">
        <v>11</v>
      </c>
      <c r="D1132" s="6" t="str">
        <f>CONCATENATE(YEAR(A1132),"/",IF(MONTH(A1132)&lt;10,CONCATENATE("0",MONTH(A1132)),MONTH(A1132)))</f>
        <v>2025/04</v>
      </c>
      <c r="E1132" s="8" t="str">
        <f>IF(IF(D1132&lt;&gt;D1131,1,IF(OR(B1132&lt;&gt;B1131,A1132-A1131&gt;$U$1),1,""))&lt;&gt;1,"",IF(C1132="B01",1965,IF(C1132="B02",1020,IF(C1132="B05",2400,IF(C1132="B03",4260,IF(C1132="B04",2880,IF(C1132="B20",1260,0)))))))</f>
        <v/>
      </c>
      <c r="F1132" s="8" t="str">
        <f>IF(IF(D1132&lt;&gt;D1131,1,IF(OR(B1132&lt;&gt;B1131,A1132-A1131&gt;$U$1),1,""))&lt;&gt;1,"",IF(C1132="B01",1,IF(C1132="B05",1,IF(C1132="B03",1,IF(C1132="B04",1,IF(C1132="B20",1,IF(C1132="B02",1,0)))))))</f>
        <v/>
      </c>
      <c r="G1132"/>
      <c r="H1132" s="2"/>
      <c r="I1132" s="2"/>
      <c r="L1132"/>
      <c r="R1132"/>
    </row>
    <row r="1133" spans="1:18">
      <c r="A1133" s="3">
        <v>45752.875520833331</v>
      </c>
      <c r="B1133" s="2" t="s">
        <v>26</v>
      </c>
      <c r="C1133" s="2" t="s">
        <v>12</v>
      </c>
      <c r="D1133" s="6" t="str">
        <f>CONCATENATE(YEAR(A1133),"/",IF(MONTH(A1133)&lt;10,CONCATENATE("0",MONTH(A1133)),MONTH(A1133)))</f>
        <v>2025/04</v>
      </c>
      <c r="E1133" s="8">
        <f>IF(IF(D1133&lt;&gt;D1132,1,IF(OR(B1133&lt;&gt;B1132,A1133-A1132&gt;$U$1),1,""))&lt;&gt;1,"",IF(C1133="B01",1965,IF(C1133="B02",1020,IF(C1133="B05",2400,IF(C1133="B03",4260,IF(C1133="B04",2880,IF(C1133="B20",1260,0)))))))</f>
        <v>4260</v>
      </c>
      <c r="F1133" s="8">
        <f>IF(IF(D1133&lt;&gt;D1132,1,IF(OR(B1133&lt;&gt;B1132,A1133-A1132&gt;$U$1),1,""))&lt;&gt;1,"",IF(C1133="B01",1,IF(C1133="B05",1,IF(C1133="B03",1,IF(C1133="B04",1,IF(C1133="B20",1,IF(C1133="B02",1,0)))))))</f>
        <v>1</v>
      </c>
      <c r="G1133"/>
      <c r="H1133" s="2"/>
      <c r="I1133" s="2"/>
      <c r="L1133"/>
      <c r="R1133"/>
    </row>
    <row r="1134" spans="1:18">
      <c r="A1134" s="3">
        <v>45752.875520833331</v>
      </c>
      <c r="B1134" s="2" t="s">
        <v>26</v>
      </c>
      <c r="C1134" s="2" t="s">
        <v>12</v>
      </c>
      <c r="D1134" s="6" t="str">
        <f>CONCATENATE(YEAR(A1134),"/",IF(MONTH(A1134)&lt;10,CONCATENATE("0",MONTH(A1134)),MONTH(A1134)))</f>
        <v>2025/04</v>
      </c>
      <c r="E1134" s="8" t="str">
        <f>IF(IF(D1134&lt;&gt;D1133,1,IF(OR(B1134&lt;&gt;B1133,A1134-A1133&gt;$U$1),1,""))&lt;&gt;1,"",IF(C1134="B01",1965,IF(C1134="B02",1020,IF(C1134="B05",2400,IF(C1134="B03",4260,IF(C1134="B04",2880,IF(C1134="B20",1260,0)))))))</f>
        <v/>
      </c>
      <c r="F1134" s="8" t="str">
        <f>IF(IF(D1134&lt;&gt;D1133,1,IF(OR(B1134&lt;&gt;B1133,A1134-A1133&gt;$U$1),1,""))&lt;&gt;1,"",IF(C1134="B01",1,IF(C1134="B05",1,IF(C1134="B03",1,IF(C1134="B04",1,IF(C1134="B20",1,IF(C1134="B02",1,0)))))))</f>
        <v/>
      </c>
      <c r="G1134"/>
      <c r="H1134" s="2"/>
      <c r="I1134" s="2"/>
      <c r="L1134"/>
      <c r="R1134"/>
    </row>
    <row r="1135" spans="1:18">
      <c r="A1135" s="3">
        <v>45753.058703703704</v>
      </c>
      <c r="B1135" s="2" t="s">
        <v>26</v>
      </c>
      <c r="C1135" s="2" t="s">
        <v>11</v>
      </c>
      <c r="D1135" s="6" t="str">
        <f>CONCATENATE(YEAR(A1135),"/",IF(MONTH(A1135)&lt;10,CONCATENATE("0",MONTH(A1135)),MONTH(A1135)))</f>
        <v>2025/04</v>
      </c>
      <c r="E1135" s="8">
        <f>IF(IF(D1135&lt;&gt;D1134,1,IF(OR(B1135&lt;&gt;B1134,A1135-A1134&gt;$U$1),1,""))&lt;&gt;1,"",IF(C1135="B01",1965,IF(C1135="B02",1020,IF(C1135="B05",2400,IF(C1135="B03",4260,IF(C1135="B04",2880,IF(C1135="B20",1260,0)))))))</f>
        <v>2400</v>
      </c>
      <c r="F1135" s="8">
        <f>IF(IF(D1135&lt;&gt;D1134,1,IF(OR(B1135&lt;&gt;B1134,A1135-A1134&gt;$U$1),1,""))&lt;&gt;1,"",IF(C1135="B01",1,IF(C1135="B05",1,IF(C1135="B03",1,IF(C1135="B04",1,IF(C1135="B20",1,IF(C1135="B02",1,0)))))))</f>
        <v>1</v>
      </c>
      <c r="G1135"/>
      <c r="H1135" s="2"/>
      <c r="I1135" s="2"/>
      <c r="L1135"/>
      <c r="R1135"/>
    </row>
    <row r="1136" spans="1:18">
      <c r="A1136" s="3">
        <v>45753.058703703704</v>
      </c>
      <c r="B1136" s="2" t="s">
        <v>26</v>
      </c>
      <c r="C1136" s="2" t="s">
        <v>11</v>
      </c>
      <c r="D1136" s="6" t="str">
        <f>CONCATENATE(YEAR(A1136),"/",IF(MONTH(A1136)&lt;10,CONCATENATE("0",MONTH(A1136)),MONTH(A1136)))</f>
        <v>2025/04</v>
      </c>
      <c r="E1136" s="8" t="str">
        <f>IF(IF(D1136&lt;&gt;D1135,1,IF(OR(B1136&lt;&gt;B1135,A1136-A1135&gt;$U$1),1,""))&lt;&gt;1,"",IF(C1136="B01",1965,IF(C1136="B02",1020,IF(C1136="B05",2400,IF(C1136="B03",4260,IF(C1136="B04",2880,IF(C1136="B20",1260,0)))))))</f>
        <v/>
      </c>
      <c r="F1136" s="8" t="str">
        <f>IF(IF(D1136&lt;&gt;D1135,1,IF(OR(B1136&lt;&gt;B1135,A1136-A1135&gt;$U$1),1,""))&lt;&gt;1,"",IF(C1136="B01",1,IF(C1136="B05",1,IF(C1136="B03",1,IF(C1136="B04",1,IF(C1136="B20",1,IF(C1136="B02",1,0)))))))</f>
        <v/>
      </c>
      <c r="G1136"/>
      <c r="H1136" s="2"/>
      <c r="I1136" s="2"/>
      <c r="L1136"/>
      <c r="R1136"/>
    </row>
    <row r="1137" spans="1:18">
      <c r="A1137" s="3">
        <v>45753.27244212963</v>
      </c>
      <c r="B1137" s="2" t="s">
        <v>26</v>
      </c>
      <c r="C1137" s="2" t="s">
        <v>11</v>
      </c>
      <c r="D1137" s="6" t="str">
        <f>CONCATENATE(YEAR(A1137),"/",IF(MONTH(A1137)&lt;10,CONCATENATE("0",MONTH(A1137)),MONTH(A1137)))</f>
        <v>2025/04</v>
      </c>
      <c r="E1137" s="8">
        <f>IF(IF(D1137&lt;&gt;D1136,1,IF(OR(B1137&lt;&gt;B1136,A1137-A1136&gt;$U$1),1,""))&lt;&gt;1,"",IF(C1137="B01",1965,IF(C1137="B02",1020,IF(C1137="B05",2400,IF(C1137="B03",4260,IF(C1137="B04",2880,IF(C1137="B20",1260,0)))))))</f>
        <v>2400</v>
      </c>
      <c r="F1137" s="8">
        <f>IF(IF(D1137&lt;&gt;D1136,1,IF(OR(B1137&lt;&gt;B1136,A1137-A1136&gt;$U$1),1,""))&lt;&gt;1,"",IF(C1137="B01",1,IF(C1137="B05",1,IF(C1137="B03",1,IF(C1137="B04",1,IF(C1137="B20",1,IF(C1137="B02",1,0)))))))</f>
        <v>1</v>
      </c>
      <c r="G1137"/>
      <c r="H1137" s="2"/>
      <c r="I1137" s="2"/>
      <c r="L1137"/>
      <c r="R1137"/>
    </row>
    <row r="1138" spans="1:18">
      <c r="A1138" s="3">
        <v>45753.27244212963</v>
      </c>
      <c r="B1138" s="2" t="s">
        <v>26</v>
      </c>
      <c r="C1138" s="2" t="s">
        <v>11</v>
      </c>
      <c r="D1138" s="6" t="str">
        <f>CONCATENATE(YEAR(A1138),"/",IF(MONTH(A1138)&lt;10,CONCATENATE("0",MONTH(A1138)),MONTH(A1138)))</f>
        <v>2025/04</v>
      </c>
      <c r="E1138" s="8" t="str">
        <f>IF(IF(D1138&lt;&gt;D1137,1,IF(OR(B1138&lt;&gt;B1137,A1138-A1137&gt;$U$1),1,""))&lt;&gt;1,"",IF(C1138="B01",1965,IF(C1138="B02",1020,IF(C1138="B05",2400,IF(C1138="B03",4260,IF(C1138="B04",2880,IF(C1138="B20",1260,0)))))))</f>
        <v/>
      </c>
      <c r="F1138" s="8" t="str">
        <f>IF(IF(D1138&lt;&gt;D1137,1,IF(OR(B1138&lt;&gt;B1137,A1138-A1137&gt;$U$1),1,""))&lt;&gt;1,"",IF(C1138="B01",1,IF(C1138="B05",1,IF(C1138="B03",1,IF(C1138="B04",1,IF(C1138="B20",1,IF(C1138="B02",1,0)))))))</f>
        <v/>
      </c>
      <c r="G1138"/>
      <c r="H1138" s="2"/>
      <c r="I1138" s="2"/>
      <c r="L1138"/>
      <c r="R1138"/>
    </row>
    <row r="1139" spans="1:18">
      <c r="A1139" s="3">
        <v>45753.27244212963</v>
      </c>
      <c r="B1139" s="2" t="s">
        <v>26</v>
      </c>
      <c r="C1139" s="2" t="s">
        <v>11</v>
      </c>
      <c r="D1139" s="6" t="str">
        <f>CONCATENATE(YEAR(A1139),"/",IF(MONTH(A1139)&lt;10,CONCATENATE("0",MONTH(A1139)),MONTH(A1139)))</f>
        <v>2025/04</v>
      </c>
      <c r="E1139" s="8" t="str">
        <f>IF(IF(D1139&lt;&gt;D1138,1,IF(OR(B1139&lt;&gt;B1138,A1139-A1138&gt;$U$1),1,""))&lt;&gt;1,"",IF(C1139="B01",1965,IF(C1139="B02",1020,IF(C1139="B05",2400,IF(C1139="B03",4260,IF(C1139="B04",2880,IF(C1139="B20",1260,0)))))))</f>
        <v/>
      </c>
      <c r="F1139" s="8" t="str">
        <f>IF(IF(D1139&lt;&gt;D1138,1,IF(OR(B1139&lt;&gt;B1138,A1139-A1138&gt;$U$1),1,""))&lt;&gt;1,"",IF(C1139="B01",1,IF(C1139="B05",1,IF(C1139="B03",1,IF(C1139="B04",1,IF(C1139="B20",1,IF(C1139="B02",1,0)))))))</f>
        <v/>
      </c>
      <c r="G1139"/>
      <c r="H1139" s="2"/>
      <c r="I1139" s="2"/>
      <c r="L1139"/>
      <c r="R1139"/>
    </row>
    <row r="1140" spans="1:18">
      <c r="A1140" s="3">
        <v>45753.426863425928</v>
      </c>
      <c r="B1140" s="2" t="s">
        <v>26</v>
      </c>
      <c r="C1140" s="2" t="s">
        <v>11</v>
      </c>
      <c r="D1140" s="6" t="str">
        <f>CONCATENATE(YEAR(A1140),"/",IF(MONTH(A1140)&lt;10,CONCATENATE("0",MONTH(A1140)),MONTH(A1140)))</f>
        <v>2025/04</v>
      </c>
      <c r="E1140" s="8">
        <f>IF(IF(D1140&lt;&gt;D1139,1,IF(OR(B1140&lt;&gt;B1139,A1140-A1139&gt;$U$1),1,""))&lt;&gt;1,"",IF(C1140="B01",1965,IF(C1140="B02",1020,IF(C1140="B05",2400,IF(C1140="B03",4260,IF(C1140="B04",2880,IF(C1140="B20",1260,0)))))))</f>
        <v>2400</v>
      </c>
      <c r="F1140" s="8">
        <f>IF(IF(D1140&lt;&gt;D1139,1,IF(OR(B1140&lt;&gt;B1139,A1140-A1139&gt;$U$1),1,""))&lt;&gt;1,"",IF(C1140="B01",1,IF(C1140="B05",1,IF(C1140="B03",1,IF(C1140="B04",1,IF(C1140="B20",1,IF(C1140="B02",1,0)))))))</f>
        <v>1</v>
      </c>
      <c r="G1140"/>
      <c r="H1140" s="2"/>
      <c r="I1140" s="2"/>
      <c r="L1140"/>
      <c r="R1140"/>
    </row>
    <row r="1141" spans="1:18">
      <c r="A1141" s="3">
        <v>45753.426863425928</v>
      </c>
      <c r="B1141" s="2" t="s">
        <v>26</v>
      </c>
      <c r="C1141" s="2" t="s">
        <v>11</v>
      </c>
      <c r="D1141" s="6" t="str">
        <f>CONCATENATE(YEAR(A1141),"/",IF(MONTH(A1141)&lt;10,CONCATENATE("0",MONTH(A1141)),MONTH(A1141)))</f>
        <v>2025/04</v>
      </c>
      <c r="E1141" s="8" t="str">
        <f>IF(IF(D1141&lt;&gt;D1140,1,IF(OR(B1141&lt;&gt;B1140,A1141-A1140&gt;$U$1),1,""))&lt;&gt;1,"",IF(C1141="B01",1965,IF(C1141="B02",1020,IF(C1141="B05",2400,IF(C1141="B03",4260,IF(C1141="B04",2880,IF(C1141="B20",1260,0)))))))</f>
        <v/>
      </c>
      <c r="F1141" s="8" t="str">
        <f>IF(IF(D1141&lt;&gt;D1140,1,IF(OR(B1141&lt;&gt;B1140,A1141-A1140&gt;$U$1),1,""))&lt;&gt;1,"",IF(C1141="B01",1,IF(C1141="B05",1,IF(C1141="B03",1,IF(C1141="B04",1,IF(C1141="B20",1,IF(C1141="B02",1,0)))))))</f>
        <v/>
      </c>
      <c r="G1141"/>
      <c r="H1141" s="2"/>
      <c r="I1141" s="2"/>
      <c r="L1141"/>
      <c r="R1141"/>
    </row>
    <row r="1142" spans="1:18">
      <c r="A1142" s="3">
        <v>45753.672384259262</v>
      </c>
      <c r="B1142" s="2" t="s">
        <v>26</v>
      </c>
      <c r="C1142" s="2" t="s">
        <v>11</v>
      </c>
      <c r="D1142" s="6" t="str">
        <f>CONCATENATE(YEAR(A1142),"/",IF(MONTH(A1142)&lt;10,CONCATENATE("0",MONTH(A1142)),MONTH(A1142)))</f>
        <v>2025/04</v>
      </c>
      <c r="E1142" s="8">
        <f>IF(IF(D1142&lt;&gt;D1141,1,IF(OR(B1142&lt;&gt;B1141,A1142-A1141&gt;$U$1),1,""))&lt;&gt;1,"",IF(C1142="B01",1965,IF(C1142="B02",1020,IF(C1142="B05",2400,IF(C1142="B03",4260,IF(C1142="B04",2880,IF(C1142="B20",1260,0)))))))</f>
        <v>2400</v>
      </c>
      <c r="F1142" s="8">
        <f>IF(IF(D1142&lt;&gt;D1141,1,IF(OR(B1142&lt;&gt;B1141,A1142-A1141&gt;$U$1),1,""))&lt;&gt;1,"",IF(C1142="B01",1,IF(C1142="B05",1,IF(C1142="B03",1,IF(C1142="B04",1,IF(C1142="B20",1,IF(C1142="B02",1,0)))))))</f>
        <v>1</v>
      </c>
      <c r="G1142"/>
      <c r="H1142" s="2"/>
      <c r="I1142" s="2"/>
      <c r="L1142"/>
      <c r="R1142"/>
    </row>
    <row r="1143" spans="1:18">
      <c r="A1143" s="3">
        <v>45753.672384259262</v>
      </c>
      <c r="B1143" s="2" t="s">
        <v>26</v>
      </c>
      <c r="C1143" s="2" t="s">
        <v>11</v>
      </c>
      <c r="D1143" s="6" t="str">
        <f>CONCATENATE(YEAR(A1143),"/",IF(MONTH(A1143)&lt;10,CONCATENATE("0",MONTH(A1143)),MONTH(A1143)))</f>
        <v>2025/04</v>
      </c>
      <c r="E1143" s="8" t="str">
        <f>IF(IF(D1143&lt;&gt;D1142,1,IF(OR(B1143&lt;&gt;B1142,A1143-A1142&gt;$U$1),1,""))&lt;&gt;1,"",IF(C1143="B01",1965,IF(C1143="B02",1020,IF(C1143="B05",2400,IF(C1143="B03",4260,IF(C1143="B04",2880,IF(C1143="B20",1260,0)))))))</f>
        <v/>
      </c>
      <c r="F1143" s="8" t="str">
        <f>IF(IF(D1143&lt;&gt;D1142,1,IF(OR(B1143&lt;&gt;B1142,A1143-A1142&gt;$U$1),1,""))&lt;&gt;1,"",IF(C1143="B01",1,IF(C1143="B05",1,IF(C1143="B03",1,IF(C1143="B04",1,IF(C1143="B20",1,IF(C1143="B02",1,0)))))))</f>
        <v/>
      </c>
      <c r="G1143"/>
      <c r="H1143" s="2"/>
      <c r="I1143" s="2"/>
      <c r="L1143"/>
      <c r="R1143"/>
    </row>
    <row r="1144" spans="1:18">
      <c r="A1144" s="3">
        <v>45753.887638888889</v>
      </c>
      <c r="B1144" s="2" t="s">
        <v>26</v>
      </c>
      <c r="C1144" s="2" t="s">
        <v>12</v>
      </c>
      <c r="D1144" s="6" t="str">
        <f>CONCATENATE(YEAR(A1144),"/",IF(MONTH(A1144)&lt;10,CONCATENATE("0",MONTH(A1144)),MONTH(A1144)))</f>
        <v>2025/04</v>
      </c>
      <c r="E1144" s="8">
        <f>IF(IF(D1144&lt;&gt;D1143,1,IF(OR(B1144&lt;&gt;B1143,A1144-A1143&gt;$U$1),1,""))&lt;&gt;1,"",IF(C1144="B01",1965,IF(C1144="B02",1020,IF(C1144="B05",2400,IF(C1144="B03",4260,IF(C1144="B04",2880,IF(C1144="B20",1260,0)))))))</f>
        <v>4260</v>
      </c>
      <c r="F1144" s="8">
        <f>IF(IF(D1144&lt;&gt;D1143,1,IF(OR(B1144&lt;&gt;B1143,A1144-A1143&gt;$U$1),1,""))&lt;&gt;1,"",IF(C1144="B01",1,IF(C1144="B05",1,IF(C1144="B03",1,IF(C1144="B04",1,IF(C1144="B20",1,IF(C1144="B02",1,0)))))))</f>
        <v>1</v>
      </c>
      <c r="G1144"/>
      <c r="H1144" s="2"/>
      <c r="I1144" s="2"/>
      <c r="L1144"/>
      <c r="R1144"/>
    </row>
    <row r="1145" spans="1:18">
      <c r="A1145" s="3">
        <v>45753.887638888889</v>
      </c>
      <c r="B1145" s="2" t="s">
        <v>26</v>
      </c>
      <c r="C1145" s="2" t="s">
        <v>12</v>
      </c>
      <c r="D1145" s="6" t="str">
        <f>CONCATENATE(YEAR(A1145),"/",IF(MONTH(A1145)&lt;10,CONCATENATE("0",MONTH(A1145)),MONTH(A1145)))</f>
        <v>2025/04</v>
      </c>
      <c r="E1145" s="8" t="str">
        <f>IF(IF(D1145&lt;&gt;D1144,1,IF(OR(B1145&lt;&gt;B1144,A1145-A1144&gt;$U$1),1,""))&lt;&gt;1,"",IF(C1145="B01",1965,IF(C1145="B02",1020,IF(C1145="B05",2400,IF(C1145="B03",4260,IF(C1145="B04",2880,IF(C1145="B20",1260,0)))))))</f>
        <v/>
      </c>
      <c r="F1145" s="8" t="str">
        <f>IF(IF(D1145&lt;&gt;D1144,1,IF(OR(B1145&lt;&gt;B1144,A1145-A1144&gt;$U$1),1,""))&lt;&gt;1,"",IF(C1145="B01",1,IF(C1145="B05",1,IF(C1145="B03",1,IF(C1145="B04",1,IF(C1145="B20",1,IF(C1145="B02",1,0)))))))</f>
        <v/>
      </c>
      <c r="G1145"/>
      <c r="H1145" s="2"/>
      <c r="I1145" s="2"/>
      <c r="L1145"/>
      <c r="R1145"/>
    </row>
    <row r="1146" spans="1:18">
      <c r="A1146" s="3">
        <v>45754.058981481481</v>
      </c>
      <c r="B1146" s="2" t="s">
        <v>26</v>
      </c>
      <c r="C1146" s="2" t="s">
        <v>11</v>
      </c>
      <c r="D1146" s="6" t="str">
        <f>CONCATENATE(YEAR(A1146),"/",IF(MONTH(A1146)&lt;10,CONCATENATE("0",MONTH(A1146)),MONTH(A1146)))</f>
        <v>2025/04</v>
      </c>
      <c r="E1146" s="8">
        <f>IF(IF(D1146&lt;&gt;D1145,1,IF(OR(B1146&lt;&gt;B1145,A1146-A1145&gt;$U$1),1,""))&lt;&gt;1,"",IF(C1146="B01",1965,IF(C1146="B02",1020,IF(C1146="B05",2400,IF(C1146="B03",4260,IF(C1146="B04",2880,IF(C1146="B20",1260,0)))))))</f>
        <v>2400</v>
      </c>
      <c r="F1146" s="8">
        <f>IF(IF(D1146&lt;&gt;D1145,1,IF(OR(B1146&lt;&gt;B1145,A1146-A1145&gt;$U$1),1,""))&lt;&gt;1,"",IF(C1146="B01",1,IF(C1146="B05",1,IF(C1146="B03",1,IF(C1146="B04",1,IF(C1146="B20",1,IF(C1146="B02",1,0)))))))</f>
        <v>1</v>
      </c>
      <c r="G1146"/>
      <c r="H1146" s="2"/>
      <c r="I1146" s="2"/>
      <c r="L1146"/>
      <c r="R1146"/>
    </row>
    <row r="1147" spans="1:18">
      <c r="A1147" s="3">
        <v>45754.058981481481</v>
      </c>
      <c r="B1147" s="2" t="s">
        <v>26</v>
      </c>
      <c r="C1147" s="2" t="s">
        <v>11</v>
      </c>
      <c r="D1147" s="6" t="str">
        <f>CONCATENATE(YEAR(A1147),"/",IF(MONTH(A1147)&lt;10,CONCATENATE("0",MONTH(A1147)),MONTH(A1147)))</f>
        <v>2025/04</v>
      </c>
      <c r="E1147" s="8" t="str">
        <f>IF(IF(D1147&lt;&gt;D1146,1,IF(OR(B1147&lt;&gt;B1146,A1147-A1146&gt;$U$1),1,""))&lt;&gt;1,"",IF(C1147="B01",1965,IF(C1147="B02",1020,IF(C1147="B05",2400,IF(C1147="B03",4260,IF(C1147="B04",2880,IF(C1147="B20",1260,0)))))))</f>
        <v/>
      </c>
      <c r="F1147" s="8" t="str">
        <f>IF(IF(D1147&lt;&gt;D1146,1,IF(OR(B1147&lt;&gt;B1146,A1147-A1146&gt;$U$1),1,""))&lt;&gt;1,"",IF(C1147="B01",1,IF(C1147="B05",1,IF(C1147="B03",1,IF(C1147="B04",1,IF(C1147="B20",1,IF(C1147="B02",1,0)))))))</f>
        <v/>
      </c>
      <c r="G1147"/>
      <c r="H1147" s="2"/>
      <c r="I1147" s="2"/>
      <c r="L1147"/>
      <c r="R1147"/>
    </row>
    <row r="1148" spans="1:18">
      <c r="A1148" s="3">
        <v>45754.058981481481</v>
      </c>
      <c r="B1148" s="2" t="s">
        <v>26</v>
      </c>
      <c r="C1148" s="2" t="s">
        <v>11</v>
      </c>
      <c r="D1148" s="6" t="str">
        <f>CONCATENATE(YEAR(A1148),"/",IF(MONTH(A1148)&lt;10,CONCATENATE("0",MONTH(A1148)),MONTH(A1148)))</f>
        <v>2025/04</v>
      </c>
      <c r="E1148" s="8" t="str">
        <f>IF(IF(D1148&lt;&gt;D1147,1,IF(OR(B1148&lt;&gt;B1147,A1148-A1147&gt;$U$1),1,""))&lt;&gt;1,"",IF(C1148="B01",1965,IF(C1148="B02",1020,IF(C1148="B05",2400,IF(C1148="B03",4260,IF(C1148="B04",2880,IF(C1148="B20",1260,0)))))))</f>
        <v/>
      </c>
      <c r="F1148" s="8" t="str">
        <f>IF(IF(D1148&lt;&gt;D1147,1,IF(OR(B1148&lt;&gt;B1147,A1148-A1147&gt;$U$1),1,""))&lt;&gt;1,"",IF(C1148="B01",1,IF(C1148="B05",1,IF(C1148="B03",1,IF(C1148="B04",1,IF(C1148="B20",1,IF(C1148="B02",1,0)))))))</f>
        <v/>
      </c>
      <c r="G1148"/>
      <c r="H1148" s="2"/>
      <c r="I1148" s="2"/>
      <c r="L1148"/>
      <c r="R1148"/>
    </row>
    <row r="1149" spans="1:18">
      <c r="A1149" s="3">
        <v>45754.309861111113</v>
      </c>
      <c r="B1149" s="2" t="s">
        <v>26</v>
      </c>
      <c r="C1149" s="2" t="s">
        <v>11</v>
      </c>
      <c r="D1149" s="6" t="str">
        <f>CONCATENATE(YEAR(A1149),"/",IF(MONTH(A1149)&lt;10,CONCATENATE("0",MONTH(A1149)),MONTH(A1149)))</f>
        <v>2025/04</v>
      </c>
      <c r="E1149" s="8">
        <f>IF(IF(D1149&lt;&gt;D1148,1,IF(OR(B1149&lt;&gt;B1148,A1149-A1148&gt;$U$1),1,""))&lt;&gt;1,"",IF(C1149="B01",1965,IF(C1149="B02",1020,IF(C1149="B05",2400,IF(C1149="B03",4260,IF(C1149="B04",2880,IF(C1149="B20",1260,0)))))))</f>
        <v>2400</v>
      </c>
      <c r="F1149" s="8">
        <f>IF(IF(D1149&lt;&gt;D1148,1,IF(OR(B1149&lt;&gt;B1148,A1149-A1148&gt;$U$1),1,""))&lt;&gt;1,"",IF(C1149="B01",1,IF(C1149="B05",1,IF(C1149="B03",1,IF(C1149="B04",1,IF(C1149="B20",1,IF(C1149="B02",1,0)))))))</f>
        <v>1</v>
      </c>
      <c r="G1149"/>
      <c r="H1149" s="2"/>
      <c r="I1149" s="2"/>
      <c r="L1149"/>
      <c r="R1149"/>
    </row>
    <row r="1150" spans="1:18">
      <c r="A1150" s="3">
        <v>45754.309861111113</v>
      </c>
      <c r="B1150" s="2" t="s">
        <v>26</v>
      </c>
      <c r="C1150" s="2" t="s">
        <v>11</v>
      </c>
      <c r="D1150" s="6" t="str">
        <f>CONCATENATE(YEAR(A1150),"/",IF(MONTH(A1150)&lt;10,CONCATENATE("0",MONTH(A1150)),MONTH(A1150)))</f>
        <v>2025/04</v>
      </c>
      <c r="E1150" s="8" t="str">
        <f>IF(IF(D1150&lt;&gt;D1149,1,IF(OR(B1150&lt;&gt;B1149,A1150-A1149&gt;$U$1),1,""))&lt;&gt;1,"",IF(C1150="B01",1965,IF(C1150="B02",1020,IF(C1150="B05",2400,IF(C1150="B03",4260,IF(C1150="B04",2880,IF(C1150="B20",1260,0)))))))</f>
        <v/>
      </c>
      <c r="F1150" s="8" t="str">
        <f>IF(IF(D1150&lt;&gt;D1149,1,IF(OR(B1150&lt;&gt;B1149,A1150-A1149&gt;$U$1),1,""))&lt;&gt;1,"",IF(C1150="B01",1,IF(C1150="B05",1,IF(C1150="B03",1,IF(C1150="B04",1,IF(C1150="B20",1,IF(C1150="B02",1,0)))))))</f>
        <v/>
      </c>
      <c r="G1150"/>
      <c r="H1150" s="2"/>
      <c r="I1150" s="2"/>
      <c r="L1150"/>
      <c r="R1150"/>
    </row>
    <row r="1151" spans="1:18">
      <c r="A1151" s="3">
        <v>45754.470462962963</v>
      </c>
      <c r="B1151" s="2" t="s">
        <v>26</v>
      </c>
      <c r="C1151" s="2" t="s">
        <v>12</v>
      </c>
      <c r="D1151" s="6" t="str">
        <f>CONCATENATE(YEAR(A1151),"/",IF(MONTH(A1151)&lt;10,CONCATENATE("0",MONTH(A1151)),MONTH(A1151)))</f>
        <v>2025/04</v>
      </c>
      <c r="E1151" s="8">
        <f>IF(IF(D1151&lt;&gt;D1150,1,IF(OR(B1151&lt;&gt;B1150,A1151-A1150&gt;$U$1),1,""))&lt;&gt;1,"",IF(C1151="B01",1965,IF(C1151="B02",1020,IF(C1151="B05",2400,IF(C1151="B03",4260,IF(C1151="B04",2880,IF(C1151="B20",1260,0)))))))</f>
        <v>4260</v>
      </c>
      <c r="F1151" s="8">
        <f>IF(IF(D1151&lt;&gt;D1150,1,IF(OR(B1151&lt;&gt;B1150,A1151-A1150&gt;$U$1),1,""))&lt;&gt;1,"",IF(C1151="B01",1,IF(C1151="B05",1,IF(C1151="B03",1,IF(C1151="B04",1,IF(C1151="B20",1,IF(C1151="B02",1,0)))))))</f>
        <v>1</v>
      </c>
      <c r="G1151"/>
      <c r="H1151" s="2"/>
      <c r="I1151" s="2"/>
      <c r="L1151"/>
      <c r="R1151"/>
    </row>
    <row r="1152" spans="1:18">
      <c r="A1152" s="3">
        <v>45754.470462962963</v>
      </c>
      <c r="B1152" s="2" t="s">
        <v>26</v>
      </c>
      <c r="C1152" s="2" t="s">
        <v>12</v>
      </c>
      <c r="D1152" s="6" t="str">
        <f>CONCATENATE(YEAR(A1152),"/",IF(MONTH(A1152)&lt;10,CONCATENATE("0",MONTH(A1152)),MONTH(A1152)))</f>
        <v>2025/04</v>
      </c>
      <c r="E1152" s="8" t="str">
        <f>IF(IF(D1152&lt;&gt;D1151,1,IF(OR(B1152&lt;&gt;B1151,A1152-A1151&gt;$U$1),1,""))&lt;&gt;1,"",IF(C1152="B01",1965,IF(C1152="B02",1020,IF(C1152="B05",2400,IF(C1152="B03",4260,IF(C1152="B04",2880,IF(C1152="B20",1260,0)))))))</f>
        <v/>
      </c>
      <c r="F1152" s="8" t="str">
        <f>IF(IF(D1152&lt;&gt;D1151,1,IF(OR(B1152&lt;&gt;B1151,A1152-A1151&gt;$U$1),1,""))&lt;&gt;1,"",IF(C1152="B01",1,IF(C1152="B05",1,IF(C1152="B03",1,IF(C1152="B04",1,IF(C1152="B20",1,IF(C1152="B02",1,0)))))))</f>
        <v/>
      </c>
      <c r="G1152"/>
      <c r="H1152" s="2"/>
      <c r="I1152" s="2"/>
      <c r="L1152"/>
      <c r="R1152"/>
    </row>
    <row r="1153" spans="1:18">
      <c r="A1153" s="3">
        <v>45754.607106481482</v>
      </c>
      <c r="B1153" s="2" t="s">
        <v>26</v>
      </c>
      <c r="C1153" s="2" t="s">
        <v>11</v>
      </c>
      <c r="D1153" s="6" t="str">
        <f>CONCATENATE(YEAR(A1153),"/",IF(MONTH(A1153)&lt;10,CONCATENATE("0",MONTH(A1153)),MONTH(A1153)))</f>
        <v>2025/04</v>
      </c>
      <c r="E1153" s="8">
        <f>IF(IF(D1153&lt;&gt;D1152,1,IF(OR(B1153&lt;&gt;B1152,A1153-A1152&gt;$U$1),1,""))&lt;&gt;1,"",IF(C1153="B01",1965,IF(C1153="B02",1020,IF(C1153="B05",2400,IF(C1153="B03",4260,IF(C1153="B04",2880,IF(C1153="B20",1260,0)))))))</f>
        <v>2400</v>
      </c>
      <c r="F1153" s="8">
        <f>IF(IF(D1153&lt;&gt;D1152,1,IF(OR(B1153&lt;&gt;B1152,A1153-A1152&gt;$U$1),1,""))&lt;&gt;1,"",IF(C1153="B01",1,IF(C1153="B05",1,IF(C1153="B03",1,IF(C1153="B04",1,IF(C1153="B20",1,IF(C1153="B02",1,0)))))))</f>
        <v>1</v>
      </c>
      <c r="G1153"/>
      <c r="H1153" s="2"/>
      <c r="I1153" s="2"/>
      <c r="L1153"/>
      <c r="R1153"/>
    </row>
    <row r="1154" spans="1:18">
      <c r="A1154" s="3">
        <v>45754.607106481482</v>
      </c>
      <c r="B1154" s="2" t="s">
        <v>26</v>
      </c>
      <c r="C1154" s="2" t="s">
        <v>11</v>
      </c>
      <c r="D1154" s="6" t="str">
        <f>CONCATENATE(YEAR(A1154),"/",IF(MONTH(A1154)&lt;10,CONCATENATE("0",MONTH(A1154)),MONTH(A1154)))</f>
        <v>2025/04</v>
      </c>
      <c r="E1154" s="8" t="str">
        <f>IF(IF(D1154&lt;&gt;D1153,1,IF(OR(B1154&lt;&gt;B1153,A1154-A1153&gt;$U$1),1,""))&lt;&gt;1,"",IF(C1154="B01",1965,IF(C1154="B02",1020,IF(C1154="B05",2400,IF(C1154="B03",4260,IF(C1154="B04",2880,IF(C1154="B20",1260,0)))))))</f>
        <v/>
      </c>
      <c r="F1154" s="8" t="str">
        <f>IF(IF(D1154&lt;&gt;D1153,1,IF(OR(B1154&lt;&gt;B1153,A1154-A1153&gt;$U$1),1,""))&lt;&gt;1,"",IF(C1154="B01",1,IF(C1154="B05",1,IF(C1154="B03",1,IF(C1154="B04",1,IF(C1154="B20",1,IF(C1154="B02",1,0)))))))</f>
        <v/>
      </c>
      <c r="G1154"/>
      <c r="H1154" s="2"/>
      <c r="I1154" s="2"/>
      <c r="L1154"/>
      <c r="R1154"/>
    </row>
    <row r="1155" spans="1:18">
      <c r="A1155" s="3">
        <v>45754.780219907407</v>
      </c>
      <c r="B1155" s="2" t="s">
        <v>26</v>
      </c>
      <c r="C1155" s="2" t="s">
        <v>11</v>
      </c>
      <c r="D1155" s="6" t="str">
        <f>CONCATENATE(YEAR(A1155),"/",IF(MONTH(A1155)&lt;10,CONCATENATE("0",MONTH(A1155)),MONTH(A1155)))</f>
        <v>2025/04</v>
      </c>
      <c r="E1155" s="8">
        <f>IF(IF(D1155&lt;&gt;D1154,1,IF(OR(B1155&lt;&gt;B1154,A1155-A1154&gt;$U$1),1,""))&lt;&gt;1,"",IF(C1155="B01",1965,IF(C1155="B02",1020,IF(C1155="B05",2400,IF(C1155="B03",4260,IF(C1155="B04",2880,IF(C1155="B20",1260,0)))))))</f>
        <v>2400</v>
      </c>
      <c r="F1155" s="8">
        <f>IF(IF(D1155&lt;&gt;D1154,1,IF(OR(B1155&lt;&gt;B1154,A1155-A1154&gt;$U$1),1,""))&lt;&gt;1,"",IF(C1155="B01",1,IF(C1155="B05",1,IF(C1155="B03",1,IF(C1155="B04",1,IF(C1155="B20",1,IF(C1155="B02",1,0)))))))</f>
        <v>1</v>
      </c>
      <c r="G1155"/>
      <c r="H1155" s="2"/>
      <c r="I1155" s="2"/>
      <c r="L1155"/>
      <c r="R1155"/>
    </row>
    <row r="1156" spans="1:18">
      <c r="A1156" s="3">
        <v>45754.780219907407</v>
      </c>
      <c r="B1156" s="2" t="s">
        <v>26</v>
      </c>
      <c r="C1156" s="2" t="s">
        <v>11</v>
      </c>
      <c r="D1156" s="6" t="str">
        <f>CONCATENATE(YEAR(A1156),"/",IF(MONTH(A1156)&lt;10,CONCATENATE("0",MONTH(A1156)),MONTH(A1156)))</f>
        <v>2025/04</v>
      </c>
      <c r="E1156" s="8" t="str">
        <f>IF(IF(D1156&lt;&gt;D1155,1,IF(OR(B1156&lt;&gt;B1155,A1156-A1155&gt;$U$1),1,""))&lt;&gt;1,"",IF(C1156="B01",1965,IF(C1156="B02",1020,IF(C1156="B05",2400,IF(C1156="B03",4260,IF(C1156="B04",2880,IF(C1156="B20",1260,0)))))))</f>
        <v/>
      </c>
      <c r="F1156" s="8" t="str">
        <f>IF(IF(D1156&lt;&gt;D1155,1,IF(OR(B1156&lt;&gt;B1155,A1156-A1155&gt;$U$1),1,""))&lt;&gt;1,"",IF(C1156="B01",1,IF(C1156="B05",1,IF(C1156="B03",1,IF(C1156="B04",1,IF(C1156="B20",1,IF(C1156="B02",1,0)))))))</f>
        <v/>
      </c>
      <c r="G1156"/>
      <c r="H1156" s="2"/>
      <c r="I1156" s="2"/>
      <c r="L1156"/>
      <c r="R1156"/>
    </row>
    <row r="1157" spans="1:18">
      <c r="A1157" s="3">
        <v>45754.780219907407</v>
      </c>
      <c r="B1157" s="2" t="s">
        <v>26</v>
      </c>
      <c r="C1157" s="2" t="s">
        <v>11</v>
      </c>
      <c r="D1157" s="6" t="str">
        <f>CONCATENATE(YEAR(A1157),"/",IF(MONTH(A1157)&lt;10,CONCATENATE("0",MONTH(A1157)),MONTH(A1157)))</f>
        <v>2025/04</v>
      </c>
      <c r="E1157" s="8" t="str">
        <f>IF(IF(D1157&lt;&gt;D1156,1,IF(OR(B1157&lt;&gt;B1156,A1157-A1156&gt;$U$1),1,""))&lt;&gt;1,"",IF(C1157="B01",1965,IF(C1157="B02",1020,IF(C1157="B05",2400,IF(C1157="B03",4260,IF(C1157="B04",2880,IF(C1157="B20",1260,0)))))))</f>
        <v/>
      </c>
      <c r="F1157" s="8" t="str">
        <f>IF(IF(D1157&lt;&gt;D1156,1,IF(OR(B1157&lt;&gt;B1156,A1157-A1156&gt;$U$1),1,""))&lt;&gt;1,"",IF(C1157="B01",1,IF(C1157="B05",1,IF(C1157="B03",1,IF(C1157="B04",1,IF(C1157="B20",1,IF(C1157="B02",1,0)))))))</f>
        <v/>
      </c>
      <c r="G1157"/>
      <c r="H1157" s="2"/>
      <c r="I1157" s="2"/>
      <c r="L1157"/>
      <c r="R1157"/>
    </row>
    <row r="1158" spans="1:18">
      <c r="A1158" s="3">
        <v>45754.982465277775</v>
      </c>
      <c r="B1158" s="2" t="s">
        <v>26</v>
      </c>
      <c r="C1158" s="2" t="s">
        <v>12</v>
      </c>
      <c r="D1158" s="6" t="str">
        <f>CONCATENATE(YEAR(A1158),"/",IF(MONTH(A1158)&lt;10,CONCATENATE("0",MONTH(A1158)),MONTH(A1158)))</f>
        <v>2025/04</v>
      </c>
      <c r="E1158" s="8">
        <f>IF(IF(D1158&lt;&gt;D1157,1,IF(OR(B1158&lt;&gt;B1157,A1158-A1157&gt;$U$1),1,""))&lt;&gt;1,"",IF(C1158="B01",1965,IF(C1158="B02",1020,IF(C1158="B05",2400,IF(C1158="B03",4260,IF(C1158="B04",2880,IF(C1158="B20",1260,0)))))))</f>
        <v>4260</v>
      </c>
      <c r="F1158" s="8">
        <f>IF(IF(D1158&lt;&gt;D1157,1,IF(OR(B1158&lt;&gt;B1157,A1158-A1157&gt;$U$1),1,""))&lt;&gt;1,"",IF(C1158="B01",1,IF(C1158="B05",1,IF(C1158="B03",1,IF(C1158="B04",1,IF(C1158="B20",1,IF(C1158="B02",1,0)))))))</f>
        <v>1</v>
      </c>
      <c r="G1158"/>
      <c r="H1158" s="2"/>
      <c r="I1158" s="2"/>
      <c r="L1158"/>
      <c r="R1158"/>
    </row>
    <row r="1159" spans="1:18">
      <c r="A1159" s="3">
        <v>45754.982465277775</v>
      </c>
      <c r="B1159" s="2" t="s">
        <v>26</v>
      </c>
      <c r="C1159" s="2" t="s">
        <v>12</v>
      </c>
      <c r="D1159" s="6" t="str">
        <f>CONCATENATE(YEAR(A1159),"/",IF(MONTH(A1159)&lt;10,CONCATENATE("0",MONTH(A1159)),MONTH(A1159)))</f>
        <v>2025/04</v>
      </c>
      <c r="E1159" s="8" t="str">
        <f>IF(IF(D1159&lt;&gt;D1158,1,IF(OR(B1159&lt;&gt;B1158,A1159-A1158&gt;$U$1),1,""))&lt;&gt;1,"",IF(C1159="B01",1965,IF(C1159="B02",1020,IF(C1159="B05",2400,IF(C1159="B03",4260,IF(C1159="B04",2880,IF(C1159="B20",1260,0)))))))</f>
        <v/>
      </c>
      <c r="F1159" s="8" t="str">
        <f>IF(IF(D1159&lt;&gt;D1158,1,IF(OR(B1159&lt;&gt;B1158,A1159-A1158&gt;$U$1),1,""))&lt;&gt;1,"",IF(C1159="B01",1,IF(C1159="B05",1,IF(C1159="B03",1,IF(C1159="B04",1,IF(C1159="B20",1,IF(C1159="B02",1,0)))))))</f>
        <v/>
      </c>
      <c r="G1159"/>
      <c r="H1159" s="2"/>
      <c r="I1159" s="2"/>
      <c r="L1159"/>
      <c r="R1159"/>
    </row>
    <row r="1160" spans="1:18">
      <c r="A1160" s="3">
        <v>45754.982465277775</v>
      </c>
      <c r="B1160" s="2" t="s">
        <v>26</v>
      </c>
      <c r="C1160" s="2" t="s">
        <v>12</v>
      </c>
      <c r="D1160" s="6" t="str">
        <f>CONCATENATE(YEAR(A1160),"/",IF(MONTH(A1160)&lt;10,CONCATENATE("0",MONTH(A1160)),MONTH(A1160)))</f>
        <v>2025/04</v>
      </c>
      <c r="E1160" s="8" t="str">
        <f>IF(IF(D1160&lt;&gt;D1159,1,IF(OR(B1160&lt;&gt;B1159,A1160-A1159&gt;$U$1),1,""))&lt;&gt;1,"",IF(C1160="B01",1965,IF(C1160="B02",1020,IF(C1160="B05",2400,IF(C1160="B03",4260,IF(C1160="B04",2880,IF(C1160="B20",1260,0)))))))</f>
        <v/>
      </c>
      <c r="F1160" s="8" t="str">
        <f>IF(IF(D1160&lt;&gt;D1159,1,IF(OR(B1160&lt;&gt;B1159,A1160-A1159&gt;$U$1),1,""))&lt;&gt;1,"",IF(C1160="B01",1,IF(C1160="B05",1,IF(C1160="B03",1,IF(C1160="B04",1,IF(C1160="B20",1,IF(C1160="B02",1,0)))))))</f>
        <v/>
      </c>
      <c r="G1160"/>
      <c r="H1160" s="2"/>
      <c r="I1160" s="2"/>
      <c r="L1160"/>
      <c r="R1160"/>
    </row>
    <row r="1161" spans="1:18">
      <c r="A1161" s="3">
        <v>45755.197268518517</v>
      </c>
      <c r="B1161" s="2" t="s">
        <v>26</v>
      </c>
      <c r="C1161" s="2" t="s">
        <v>11</v>
      </c>
      <c r="D1161" s="6" t="str">
        <f>CONCATENATE(YEAR(A1161),"/",IF(MONTH(A1161)&lt;10,CONCATENATE("0",MONTH(A1161)),MONTH(A1161)))</f>
        <v>2025/04</v>
      </c>
      <c r="E1161" s="8">
        <f>IF(IF(D1161&lt;&gt;D1160,1,IF(OR(B1161&lt;&gt;B1160,A1161-A1160&gt;$U$1),1,""))&lt;&gt;1,"",IF(C1161="B01",1965,IF(C1161="B02",1020,IF(C1161="B05",2400,IF(C1161="B03",4260,IF(C1161="B04",2880,IF(C1161="B20",1260,0)))))))</f>
        <v>2400</v>
      </c>
      <c r="F1161" s="8">
        <f>IF(IF(D1161&lt;&gt;D1160,1,IF(OR(B1161&lt;&gt;B1160,A1161-A1160&gt;$U$1),1,""))&lt;&gt;1,"",IF(C1161="B01",1,IF(C1161="B05",1,IF(C1161="B03",1,IF(C1161="B04",1,IF(C1161="B20",1,IF(C1161="B02",1,0)))))))</f>
        <v>1</v>
      </c>
      <c r="G1161"/>
      <c r="H1161" s="2"/>
      <c r="I1161" s="2"/>
      <c r="L1161"/>
      <c r="R1161"/>
    </row>
    <row r="1162" spans="1:18">
      <c r="A1162" s="3">
        <v>45755.197268518517</v>
      </c>
      <c r="B1162" s="2" t="s">
        <v>26</v>
      </c>
      <c r="C1162" s="2" t="s">
        <v>11</v>
      </c>
      <c r="D1162" s="6" t="str">
        <f>CONCATENATE(YEAR(A1162),"/",IF(MONTH(A1162)&lt;10,CONCATENATE("0",MONTH(A1162)),MONTH(A1162)))</f>
        <v>2025/04</v>
      </c>
      <c r="E1162" s="8" t="str">
        <f>IF(IF(D1162&lt;&gt;D1161,1,IF(OR(B1162&lt;&gt;B1161,A1162-A1161&gt;$U$1),1,""))&lt;&gt;1,"",IF(C1162="B01",1965,IF(C1162="B02",1020,IF(C1162="B05",2400,IF(C1162="B03",4260,IF(C1162="B04",2880,IF(C1162="B20",1260,0)))))))</f>
        <v/>
      </c>
      <c r="F1162" s="8" t="str">
        <f>IF(IF(D1162&lt;&gt;D1161,1,IF(OR(B1162&lt;&gt;B1161,A1162-A1161&gt;$U$1),1,""))&lt;&gt;1,"",IF(C1162="B01",1,IF(C1162="B05",1,IF(C1162="B03",1,IF(C1162="B04",1,IF(C1162="B20",1,IF(C1162="B02",1,0)))))))</f>
        <v/>
      </c>
      <c r="G1162"/>
      <c r="H1162" s="2"/>
      <c r="I1162" s="2"/>
      <c r="L1162"/>
      <c r="R1162"/>
    </row>
    <row r="1163" spans="1:18">
      <c r="A1163" s="3">
        <v>45755.197268518517</v>
      </c>
      <c r="B1163" s="2" t="s">
        <v>26</v>
      </c>
      <c r="C1163" s="2" t="s">
        <v>11</v>
      </c>
      <c r="D1163" s="6" t="str">
        <f>CONCATENATE(YEAR(A1163),"/",IF(MONTH(A1163)&lt;10,CONCATENATE("0",MONTH(A1163)),MONTH(A1163)))</f>
        <v>2025/04</v>
      </c>
      <c r="E1163" s="8" t="str">
        <f>IF(IF(D1163&lt;&gt;D1162,1,IF(OR(B1163&lt;&gt;B1162,A1163-A1162&gt;$U$1),1,""))&lt;&gt;1,"",IF(C1163="B01",1965,IF(C1163="B02",1020,IF(C1163="B05",2400,IF(C1163="B03",4260,IF(C1163="B04",2880,IF(C1163="B20",1260,0)))))))</f>
        <v/>
      </c>
      <c r="F1163" s="8" t="str">
        <f>IF(IF(D1163&lt;&gt;D1162,1,IF(OR(B1163&lt;&gt;B1162,A1163-A1162&gt;$U$1),1,""))&lt;&gt;1,"",IF(C1163="B01",1,IF(C1163="B05",1,IF(C1163="B03",1,IF(C1163="B04",1,IF(C1163="B20",1,IF(C1163="B02",1,0)))))))</f>
        <v/>
      </c>
      <c r="G1163"/>
      <c r="H1163" s="2"/>
      <c r="I1163" s="2"/>
      <c r="L1163"/>
      <c r="R1163"/>
    </row>
    <row r="1164" spans="1:18">
      <c r="A1164" s="3">
        <v>45755.380983796298</v>
      </c>
      <c r="B1164" s="2" t="s">
        <v>26</v>
      </c>
      <c r="C1164" s="2" t="s">
        <v>11</v>
      </c>
      <c r="D1164" s="6" t="str">
        <f>CONCATENATE(YEAR(A1164),"/",IF(MONTH(A1164)&lt;10,CONCATENATE("0",MONTH(A1164)),MONTH(A1164)))</f>
        <v>2025/04</v>
      </c>
      <c r="E1164" s="8">
        <f>IF(IF(D1164&lt;&gt;D1163,1,IF(OR(B1164&lt;&gt;B1163,A1164-A1163&gt;$U$1),1,""))&lt;&gt;1,"",IF(C1164="B01",1965,IF(C1164="B02",1020,IF(C1164="B05",2400,IF(C1164="B03",4260,IF(C1164="B04",2880,IF(C1164="B20",1260,0)))))))</f>
        <v>2400</v>
      </c>
      <c r="F1164" s="8">
        <f>IF(IF(D1164&lt;&gt;D1163,1,IF(OR(B1164&lt;&gt;B1163,A1164-A1163&gt;$U$1),1,""))&lt;&gt;1,"",IF(C1164="B01",1,IF(C1164="B05",1,IF(C1164="B03",1,IF(C1164="B04",1,IF(C1164="B20",1,IF(C1164="B02",1,0)))))))</f>
        <v>1</v>
      </c>
      <c r="G1164"/>
      <c r="H1164" s="2"/>
      <c r="I1164" s="2"/>
      <c r="L1164"/>
      <c r="R1164"/>
    </row>
    <row r="1165" spans="1:18">
      <c r="A1165" s="3">
        <v>45755.380983796298</v>
      </c>
      <c r="B1165" s="2" t="s">
        <v>26</v>
      </c>
      <c r="C1165" s="2" t="s">
        <v>11</v>
      </c>
      <c r="D1165" s="6" t="str">
        <f>CONCATENATE(YEAR(A1165),"/",IF(MONTH(A1165)&lt;10,CONCATENATE("0",MONTH(A1165)),MONTH(A1165)))</f>
        <v>2025/04</v>
      </c>
      <c r="E1165" s="8" t="str">
        <f>IF(IF(D1165&lt;&gt;D1164,1,IF(OR(B1165&lt;&gt;B1164,A1165-A1164&gt;$U$1),1,""))&lt;&gt;1,"",IF(C1165="B01",1965,IF(C1165="B02",1020,IF(C1165="B05",2400,IF(C1165="B03",4260,IF(C1165="B04",2880,IF(C1165="B20",1260,0)))))))</f>
        <v/>
      </c>
      <c r="F1165" s="8" t="str">
        <f>IF(IF(D1165&lt;&gt;D1164,1,IF(OR(B1165&lt;&gt;B1164,A1165-A1164&gt;$U$1),1,""))&lt;&gt;1,"",IF(C1165="B01",1,IF(C1165="B05",1,IF(C1165="B03",1,IF(C1165="B04",1,IF(C1165="B20",1,IF(C1165="B02",1,0)))))))</f>
        <v/>
      </c>
      <c r="G1165"/>
      <c r="H1165" s="2"/>
      <c r="I1165" s="2"/>
      <c r="L1165"/>
      <c r="R1165"/>
    </row>
    <row r="1166" spans="1:18">
      <c r="A1166" s="3">
        <v>45755.5546875</v>
      </c>
      <c r="B1166" s="2" t="s">
        <v>26</v>
      </c>
      <c r="C1166" s="2" t="s">
        <v>11</v>
      </c>
      <c r="D1166" s="6" t="str">
        <f>CONCATENATE(YEAR(A1166),"/",IF(MONTH(A1166)&lt;10,CONCATENATE("0",MONTH(A1166)),MONTH(A1166)))</f>
        <v>2025/04</v>
      </c>
      <c r="E1166" s="8">
        <f>IF(IF(D1166&lt;&gt;D1165,1,IF(OR(B1166&lt;&gt;B1165,A1166-A1165&gt;$U$1),1,""))&lt;&gt;1,"",IF(C1166="B01",1965,IF(C1166="B02",1020,IF(C1166="B05",2400,IF(C1166="B03",4260,IF(C1166="B04",2880,IF(C1166="B20",1260,0)))))))</f>
        <v>2400</v>
      </c>
      <c r="F1166" s="8">
        <f>IF(IF(D1166&lt;&gt;D1165,1,IF(OR(B1166&lt;&gt;B1165,A1166-A1165&gt;$U$1),1,""))&lt;&gt;1,"",IF(C1166="B01",1,IF(C1166="B05",1,IF(C1166="B03",1,IF(C1166="B04",1,IF(C1166="B20",1,IF(C1166="B02",1,0)))))))</f>
        <v>1</v>
      </c>
      <c r="G1166"/>
      <c r="H1166" s="2"/>
      <c r="I1166" s="2"/>
      <c r="L1166"/>
      <c r="R1166"/>
    </row>
    <row r="1167" spans="1:18">
      <c r="A1167" s="3">
        <v>45755.5546875</v>
      </c>
      <c r="B1167" s="2" t="s">
        <v>26</v>
      </c>
      <c r="C1167" s="2" t="s">
        <v>11</v>
      </c>
      <c r="D1167" s="6" t="str">
        <f>CONCATENATE(YEAR(A1167),"/",IF(MONTH(A1167)&lt;10,CONCATENATE("0",MONTH(A1167)),MONTH(A1167)))</f>
        <v>2025/04</v>
      </c>
      <c r="E1167" s="8" t="str">
        <f>IF(IF(D1167&lt;&gt;D1166,1,IF(OR(B1167&lt;&gt;B1166,A1167-A1166&gt;$U$1),1,""))&lt;&gt;1,"",IF(C1167="B01",1965,IF(C1167="B02",1020,IF(C1167="B05",2400,IF(C1167="B03",4260,IF(C1167="B04",2880,IF(C1167="B20",1260,0)))))))</f>
        <v/>
      </c>
      <c r="F1167" s="8" t="str">
        <f>IF(IF(D1167&lt;&gt;D1166,1,IF(OR(B1167&lt;&gt;B1166,A1167-A1166&gt;$U$1),1,""))&lt;&gt;1,"",IF(C1167="B01",1,IF(C1167="B05",1,IF(C1167="B03",1,IF(C1167="B04",1,IF(C1167="B20",1,IF(C1167="B02",1,0)))))))</f>
        <v/>
      </c>
      <c r="G1167"/>
      <c r="H1167" s="2"/>
      <c r="I1167" s="2"/>
      <c r="L1167"/>
      <c r="R1167"/>
    </row>
    <row r="1168" spans="1:18">
      <c r="A1168" s="3">
        <v>45755.720937500002</v>
      </c>
      <c r="B1168" s="2" t="s">
        <v>26</v>
      </c>
      <c r="C1168" s="2" t="s">
        <v>11</v>
      </c>
      <c r="D1168" s="6" t="str">
        <f>CONCATENATE(YEAR(A1168),"/",IF(MONTH(A1168)&lt;10,CONCATENATE("0",MONTH(A1168)),MONTH(A1168)))</f>
        <v>2025/04</v>
      </c>
      <c r="E1168" s="8">
        <f>IF(IF(D1168&lt;&gt;D1167,1,IF(OR(B1168&lt;&gt;B1167,A1168-A1167&gt;$U$1),1,""))&lt;&gt;1,"",IF(C1168="B01",1965,IF(C1168="B02",1020,IF(C1168="B05",2400,IF(C1168="B03",4260,IF(C1168="B04",2880,IF(C1168="B20",1260,0)))))))</f>
        <v>2400</v>
      </c>
      <c r="F1168" s="8">
        <f>IF(IF(D1168&lt;&gt;D1167,1,IF(OR(B1168&lt;&gt;B1167,A1168-A1167&gt;$U$1),1,""))&lt;&gt;1,"",IF(C1168="B01",1,IF(C1168="B05",1,IF(C1168="B03",1,IF(C1168="B04",1,IF(C1168="B20",1,IF(C1168="B02",1,0)))))))</f>
        <v>1</v>
      </c>
      <c r="G1168"/>
      <c r="H1168" s="2"/>
      <c r="I1168" s="2"/>
      <c r="L1168"/>
      <c r="R1168"/>
    </row>
    <row r="1169" spans="1:18">
      <c r="A1169" s="3">
        <v>45755.720937500002</v>
      </c>
      <c r="B1169" s="2" t="s">
        <v>26</v>
      </c>
      <c r="C1169" s="2" t="s">
        <v>11</v>
      </c>
      <c r="D1169" s="6" t="str">
        <f>CONCATENATE(YEAR(A1169),"/",IF(MONTH(A1169)&lt;10,CONCATENATE("0",MONTH(A1169)),MONTH(A1169)))</f>
        <v>2025/04</v>
      </c>
      <c r="E1169" s="8" t="str">
        <f>IF(IF(D1169&lt;&gt;D1168,1,IF(OR(B1169&lt;&gt;B1168,A1169-A1168&gt;$U$1),1,""))&lt;&gt;1,"",IF(C1169="B01",1965,IF(C1169="B02",1020,IF(C1169="B05",2400,IF(C1169="B03",4260,IF(C1169="B04",2880,IF(C1169="B20",1260,0)))))))</f>
        <v/>
      </c>
      <c r="F1169" s="8" t="str">
        <f>IF(IF(D1169&lt;&gt;D1168,1,IF(OR(B1169&lt;&gt;B1168,A1169-A1168&gt;$U$1),1,""))&lt;&gt;1,"",IF(C1169="B01",1,IF(C1169="B05",1,IF(C1169="B03",1,IF(C1169="B04",1,IF(C1169="B20",1,IF(C1169="B02",1,0)))))))</f>
        <v/>
      </c>
      <c r="G1169"/>
      <c r="H1169" s="2"/>
      <c r="I1169" s="2"/>
      <c r="L1169"/>
      <c r="R1169"/>
    </row>
    <row r="1170" spans="1:18">
      <c r="A1170" s="3">
        <v>45755.720937500002</v>
      </c>
      <c r="B1170" s="2" t="s">
        <v>26</v>
      </c>
      <c r="C1170" s="2" t="s">
        <v>11</v>
      </c>
      <c r="D1170" s="6" t="str">
        <f>CONCATENATE(YEAR(A1170),"/",IF(MONTH(A1170)&lt;10,CONCATENATE("0",MONTH(A1170)),MONTH(A1170)))</f>
        <v>2025/04</v>
      </c>
      <c r="E1170" s="8" t="str">
        <f>IF(IF(D1170&lt;&gt;D1169,1,IF(OR(B1170&lt;&gt;B1169,A1170-A1169&gt;$U$1),1,""))&lt;&gt;1,"",IF(C1170="B01",1965,IF(C1170="B02",1020,IF(C1170="B05",2400,IF(C1170="B03",4260,IF(C1170="B04",2880,IF(C1170="B20",1260,0)))))))</f>
        <v/>
      </c>
      <c r="F1170" s="8" t="str">
        <f>IF(IF(D1170&lt;&gt;D1169,1,IF(OR(B1170&lt;&gt;B1169,A1170-A1169&gt;$U$1),1,""))&lt;&gt;1,"",IF(C1170="B01",1,IF(C1170="B05",1,IF(C1170="B03",1,IF(C1170="B04",1,IF(C1170="B20",1,IF(C1170="B02",1,0)))))))</f>
        <v/>
      </c>
      <c r="G1170"/>
      <c r="H1170" s="2"/>
      <c r="I1170" s="2"/>
      <c r="L1170"/>
      <c r="R1170"/>
    </row>
    <row r="1171" spans="1:18">
      <c r="A1171" s="3">
        <v>45755.843078703707</v>
      </c>
      <c r="B1171" s="2" t="s">
        <v>26</v>
      </c>
      <c r="C1171" s="2" t="s">
        <v>12</v>
      </c>
      <c r="D1171" s="6" t="str">
        <f>CONCATENATE(YEAR(A1171),"/",IF(MONTH(A1171)&lt;10,CONCATENATE("0",MONTH(A1171)),MONTH(A1171)))</f>
        <v>2025/04</v>
      </c>
      <c r="E1171" s="8">
        <f>IF(IF(D1171&lt;&gt;D1170,1,IF(OR(B1171&lt;&gt;B1170,A1171-A1170&gt;$U$1),1,""))&lt;&gt;1,"",IF(C1171="B01",1965,IF(C1171="B02",1020,IF(C1171="B05",2400,IF(C1171="B03",4260,IF(C1171="B04",2880,IF(C1171="B20",1260,0)))))))</f>
        <v>4260</v>
      </c>
      <c r="F1171" s="8">
        <f>IF(IF(D1171&lt;&gt;D1170,1,IF(OR(B1171&lt;&gt;B1170,A1171-A1170&gt;$U$1),1,""))&lt;&gt;1,"",IF(C1171="B01",1,IF(C1171="B05",1,IF(C1171="B03",1,IF(C1171="B04",1,IF(C1171="B20",1,IF(C1171="B02",1,0)))))))</f>
        <v>1</v>
      </c>
      <c r="G1171"/>
      <c r="H1171" s="2"/>
      <c r="I1171" s="2"/>
      <c r="L1171"/>
      <c r="R1171"/>
    </row>
    <row r="1172" spans="1:18">
      <c r="A1172" s="3">
        <v>45755.843078703707</v>
      </c>
      <c r="B1172" s="2" t="s">
        <v>26</v>
      </c>
      <c r="C1172" s="2" t="s">
        <v>12</v>
      </c>
      <c r="D1172" s="6" t="str">
        <f>CONCATENATE(YEAR(A1172),"/",IF(MONTH(A1172)&lt;10,CONCATENATE("0",MONTH(A1172)),MONTH(A1172)))</f>
        <v>2025/04</v>
      </c>
      <c r="E1172" s="8" t="str">
        <f>IF(IF(D1172&lt;&gt;D1171,1,IF(OR(B1172&lt;&gt;B1171,A1172-A1171&gt;$U$1),1,""))&lt;&gt;1,"",IF(C1172="B01",1965,IF(C1172="B02",1020,IF(C1172="B05",2400,IF(C1172="B03",4260,IF(C1172="B04",2880,IF(C1172="B20",1260,0)))))))</f>
        <v/>
      </c>
      <c r="F1172" s="8" t="str">
        <f>IF(IF(D1172&lt;&gt;D1171,1,IF(OR(B1172&lt;&gt;B1171,A1172-A1171&gt;$U$1),1,""))&lt;&gt;1,"",IF(C1172="B01",1,IF(C1172="B05",1,IF(C1172="B03",1,IF(C1172="B04",1,IF(C1172="B20",1,IF(C1172="B02",1,0)))))))</f>
        <v/>
      </c>
      <c r="G1172"/>
      <c r="H1172" s="2"/>
      <c r="I1172" s="2"/>
      <c r="L1172"/>
      <c r="R1172"/>
    </row>
    <row r="1173" spans="1:18">
      <c r="A1173" s="3">
        <v>45755.843078703707</v>
      </c>
      <c r="B1173" s="2" t="s">
        <v>26</v>
      </c>
      <c r="C1173" s="2" t="s">
        <v>12</v>
      </c>
      <c r="D1173" s="6" t="str">
        <f>CONCATENATE(YEAR(A1173),"/",IF(MONTH(A1173)&lt;10,CONCATENATE("0",MONTH(A1173)),MONTH(A1173)))</f>
        <v>2025/04</v>
      </c>
      <c r="E1173" s="8" t="str">
        <f>IF(IF(D1173&lt;&gt;D1172,1,IF(OR(B1173&lt;&gt;B1172,A1173-A1172&gt;$U$1),1,""))&lt;&gt;1,"",IF(C1173="B01",1965,IF(C1173="B02",1020,IF(C1173="B05",2400,IF(C1173="B03",4260,IF(C1173="B04",2880,IF(C1173="B20",1260,0)))))))</f>
        <v/>
      </c>
      <c r="F1173" s="8" t="str">
        <f>IF(IF(D1173&lt;&gt;D1172,1,IF(OR(B1173&lt;&gt;B1172,A1173-A1172&gt;$U$1),1,""))&lt;&gt;1,"",IF(C1173="B01",1,IF(C1173="B05",1,IF(C1173="B03",1,IF(C1173="B04",1,IF(C1173="B20",1,IF(C1173="B02",1,0)))))))</f>
        <v/>
      </c>
      <c r="G1173"/>
      <c r="H1173" s="2"/>
      <c r="I1173" s="2"/>
      <c r="L1173"/>
      <c r="R1173"/>
    </row>
    <row r="1174" spans="1:18">
      <c r="A1174" s="3">
        <v>45756.098900462966</v>
      </c>
      <c r="B1174" s="2" t="s">
        <v>26</v>
      </c>
      <c r="C1174" s="2" t="s">
        <v>11</v>
      </c>
      <c r="D1174" s="6" t="str">
        <f>CONCATENATE(YEAR(A1174),"/",IF(MONTH(A1174)&lt;10,CONCATENATE("0",MONTH(A1174)),MONTH(A1174)))</f>
        <v>2025/04</v>
      </c>
      <c r="E1174" s="8">
        <f>IF(IF(D1174&lt;&gt;D1173,1,IF(OR(B1174&lt;&gt;B1173,A1174-A1173&gt;$U$1),1,""))&lt;&gt;1,"",IF(C1174="B01",1965,IF(C1174="B02",1020,IF(C1174="B05",2400,IF(C1174="B03",4260,IF(C1174="B04",2880,IF(C1174="B20",1260,0)))))))</f>
        <v>2400</v>
      </c>
      <c r="F1174" s="8">
        <f>IF(IF(D1174&lt;&gt;D1173,1,IF(OR(B1174&lt;&gt;B1173,A1174-A1173&gt;$U$1),1,""))&lt;&gt;1,"",IF(C1174="B01",1,IF(C1174="B05",1,IF(C1174="B03",1,IF(C1174="B04",1,IF(C1174="B20",1,IF(C1174="B02",1,0)))))))</f>
        <v>1</v>
      </c>
      <c r="G1174"/>
      <c r="H1174" s="2"/>
      <c r="I1174" s="2"/>
      <c r="L1174"/>
      <c r="R1174"/>
    </row>
    <row r="1175" spans="1:18">
      <c r="A1175" s="3">
        <v>45756.098900462966</v>
      </c>
      <c r="B1175" s="2" t="s">
        <v>26</v>
      </c>
      <c r="C1175" s="2" t="s">
        <v>11</v>
      </c>
      <c r="D1175" s="6" t="str">
        <f>CONCATENATE(YEAR(A1175),"/",IF(MONTH(A1175)&lt;10,CONCATENATE("0",MONTH(A1175)),MONTH(A1175)))</f>
        <v>2025/04</v>
      </c>
      <c r="E1175" s="8" t="str">
        <f>IF(IF(D1175&lt;&gt;D1174,1,IF(OR(B1175&lt;&gt;B1174,A1175-A1174&gt;$U$1),1,""))&lt;&gt;1,"",IF(C1175="B01",1965,IF(C1175="B02",1020,IF(C1175="B05",2400,IF(C1175="B03",4260,IF(C1175="B04",2880,IF(C1175="B20",1260,0)))))))</f>
        <v/>
      </c>
      <c r="F1175" s="8" t="str">
        <f>IF(IF(D1175&lt;&gt;D1174,1,IF(OR(B1175&lt;&gt;B1174,A1175-A1174&gt;$U$1),1,""))&lt;&gt;1,"",IF(C1175="B01",1,IF(C1175="B05",1,IF(C1175="B03",1,IF(C1175="B04",1,IF(C1175="B20",1,IF(C1175="B02",1,0)))))))</f>
        <v/>
      </c>
      <c r="G1175"/>
      <c r="H1175" s="2"/>
      <c r="I1175" s="2"/>
      <c r="L1175"/>
      <c r="R1175"/>
    </row>
    <row r="1176" spans="1:18">
      <c r="A1176" s="3">
        <v>45756.098900462966</v>
      </c>
      <c r="B1176" s="2" t="s">
        <v>26</v>
      </c>
      <c r="C1176" s="2" t="s">
        <v>11</v>
      </c>
      <c r="D1176" s="6" t="str">
        <f>CONCATENATE(YEAR(A1176),"/",IF(MONTH(A1176)&lt;10,CONCATENATE("0",MONTH(A1176)),MONTH(A1176)))</f>
        <v>2025/04</v>
      </c>
      <c r="E1176" s="8" t="str">
        <f>IF(IF(D1176&lt;&gt;D1175,1,IF(OR(B1176&lt;&gt;B1175,A1176-A1175&gt;$U$1),1,""))&lt;&gt;1,"",IF(C1176="B01",1965,IF(C1176="B02",1020,IF(C1176="B05",2400,IF(C1176="B03",4260,IF(C1176="B04",2880,IF(C1176="B20",1260,0)))))))</f>
        <v/>
      </c>
      <c r="F1176" s="8" t="str">
        <f>IF(IF(D1176&lt;&gt;D1175,1,IF(OR(B1176&lt;&gt;B1175,A1176-A1175&gt;$U$1),1,""))&lt;&gt;1,"",IF(C1176="B01",1,IF(C1176="B05",1,IF(C1176="B03",1,IF(C1176="B04",1,IF(C1176="B20",1,IF(C1176="B02",1,0)))))))</f>
        <v/>
      </c>
      <c r="G1176"/>
      <c r="H1176" s="2"/>
      <c r="I1176" s="2"/>
      <c r="L1176"/>
      <c r="R1176"/>
    </row>
    <row r="1177" spans="1:18">
      <c r="A1177" s="3">
        <v>45756.3671875</v>
      </c>
      <c r="B1177" s="2" t="s">
        <v>26</v>
      </c>
      <c r="C1177" s="2" t="s">
        <v>12</v>
      </c>
      <c r="D1177" s="6" t="str">
        <f>CONCATENATE(YEAR(A1177),"/",IF(MONTH(A1177)&lt;10,CONCATENATE("0",MONTH(A1177)),MONTH(A1177)))</f>
        <v>2025/04</v>
      </c>
      <c r="E1177" s="8">
        <f>IF(IF(D1177&lt;&gt;D1176,1,IF(OR(B1177&lt;&gt;B1176,A1177-A1176&gt;$U$1),1,""))&lt;&gt;1,"",IF(C1177="B01",1965,IF(C1177="B02",1020,IF(C1177="B05",2400,IF(C1177="B03",4260,IF(C1177="B04",2880,IF(C1177="B20",1260,0)))))))</f>
        <v>4260</v>
      </c>
      <c r="F1177" s="8">
        <f>IF(IF(D1177&lt;&gt;D1176,1,IF(OR(B1177&lt;&gt;B1176,A1177-A1176&gt;$U$1),1,""))&lt;&gt;1,"",IF(C1177="B01",1,IF(C1177="B05",1,IF(C1177="B03",1,IF(C1177="B04",1,IF(C1177="B20",1,IF(C1177="B02",1,0)))))))</f>
        <v>1</v>
      </c>
      <c r="G1177"/>
      <c r="H1177" s="2"/>
      <c r="I1177" s="2"/>
      <c r="L1177"/>
      <c r="R1177"/>
    </row>
    <row r="1178" spans="1:18">
      <c r="A1178" s="3">
        <v>45756.3671875</v>
      </c>
      <c r="B1178" s="2" t="s">
        <v>26</v>
      </c>
      <c r="C1178" s="2" t="s">
        <v>12</v>
      </c>
      <c r="D1178" s="6" t="str">
        <f>CONCATENATE(YEAR(A1178),"/",IF(MONTH(A1178)&lt;10,CONCATENATE("0",MONTH(A1178)),MONTH(A1178)))</f>
        <v>2025/04</v>
      </c>
      <c r="E1178" s="8" t="str">
        <f>IF(IF(D1178&lt;&gt;D1177,1,IF(OR(B1178&lt;&gt;B1177,A1178-A1177&gt;$U$1),1,""))&lt;&gt;1,"",IF(C1178="B01",1965,IF(C1178="B02",1020,IF(C1178="B05",2400,IF(C1178="B03",4260,IF(C1178="B04",2880,IF(C1178="B20",1260,0)))))))</f>
        <v/>
      </c>
      <c r="F1178" s="8" t="str">
        <f>IF(IF(D1178&lt;&gt;D1177,1,IF(OR(B1178&lt;&gt;B1177,A1178-A1177&gt;$U$1),1,""))&lt;&gt;1,"",IF(C1178="B01",1,IF(C1178="B05",1,IF(C1178="B03",1,IF(C1178="B04",1,IF(C1178="B20",1,IF(C1178="B02",1,0)))))))</f>
        <v/>
      </c>
      <c r="G1178"/>
      <c r="H1178" s="2"/>
      <c r="I1178" s="2"/>
      <c r="L1178"/>
      <c r="R1178"/>
    </row>
    <row r="1179" spans="1:18">
      <c r="A1179" s="3">
        <v>45756.530856481484</v>
      </c>
      <c r="B1179" s="2" t="s">
        <v>26</v>
      </c>
      <c r="C1179" s="2" t="s">
        <v>11</v>
      </c>
      <c r="D1179" s="6" t="str">
        <f>CONCATENATE(YEAR(A1179),"/",IF(MONTH(A1179)&lt;10,CONCATENATE("0",MONTH(A1179)),MONTH(A1179)))</f>
        <v>2025/04</v>
      </c>
      <c r="E1179" s="8">
        <f>IF(IF(D1179&lt;&gt;D1178,1,IF(OR(B1179&lt;&gt;B1178,A1179-A1178&gt;$U$1),1,""))&lt;&gt;1,"",IF(C1179="B01",1965,IF(C1179="B02",1020,IF(C1179="B05",2400,IF(C1179="B03",4260,IF(C1179="B04",2880,IF(C1179="B20",1260,0)))))))</f>
        <v>2400</v>
      </c>
      <c r="F1179" s="8">
        <f>IF(IF(D1179&lt;&gt;D1178,1,IF(OR(B1179&lt;&gt;B1178,A1179-A1178&gt;$U$1),1,""))&lt;&gt;1,"",IF(C1179="B01",1,IF(C1179="B05",1,IF(C1179="B03",1,IF(C1179="B04",1,IF(C1179="B20",1,IF(C1179="B02",1,0)))))))</f>
        <v>1</v>
      </c>
      <c r="G1179"/>
      <c r="H1179" s="2"/>
      <c r="I1179" s="2"/>
      <c r="L1179"/>
      <c r="R1179"/>
    </row>
    <row r="1180" spans="1:18">
      <c r="A1180" s="3">
        <v>45756.530856481484</v>
      </c>
      <c r="B1180" s="2" t="s">
        <v>26</v>
      </c>
      <c r="C1180" s="2" t="s">
        <v>11</v>
      </c>
      <c r="D1180" s="6" t="str">
        <f>CONCATENATE(YEAR(A1180),"/",IF(MONTH(A1180)&lt;10,CONCATENATE("0",MONTH(A1180)),MONTH(A1180)))</f>
        <v>2025/04</v>
      </c>
      <c r="E1180" s="8" t="str">
        <f>IF(IF(D1180&lt;&gt;D1179,1,IF(OR(B1180&lt;&gt;B1179,A1180-A1179&gt;$U$1),1,""))&lt;&gt;1,"",IF(C1180="B01",1965,IF(C1180="B02",1020,IF(C1180="B05",2400,IF(C1180="B03",4260,IF(C1180="B04",2880,IF(C1180="B20",1260,0)))))))</f>
        <v/>
      </c>
      <c r="F1180" s="8" t="str">
        <f>IF(IF(D1180&lt;&gt;D1179,1,IF(OR(B1180&lt;&gt;B1179,A1180-A1179&gt;$U$1),1,""))&lt;&gt;1,"",IF(C1180="B01",1,IF(C1180="B05",1,IF(C1180="B03",1,IF(C1180="B04",1,IF(C1180="B20",1,IF(C1180="B02",1,0)))))))</f>
        <v/>
      </c>
      <c r="G1180"/>
      <c r="H1180" s="2"/>
      <c r="I1180" s="2"/>
      <c r="L1180"/>
      <c r="R1180"/>
    </row>
    <row r="1181" spans="1:18">
      <c r="A1181" s="3">
        <v>45756.768217592595</v>
      </c>
      <c r="B1181" s="2" t="s">
        <v>26</v>
      </c>
      <c r="C1181" s="2" t="s">
        <v>11</v>
      </c>
      <c r="D1181" s="6" t="str">
        <f>CONCATENATE(YEAR(A1181),"/",IF(MONTH(A1181)&lt;10,CONCATENATE("0",MONTH(A1181)),MONTH(A1181)))</f>
        <v>2025/04</v>
      </c>
      <c r="E1181" s="8">
        <f>IF(IF(D1181&lt;&gt;D1180,1,IF(OR(B1181&lt;&gt;B1180,A1181-A1180&gt;$U$1),1,""))&lt;&gt;1,"",IF(C1181="B01",1965,IF(C1181="B02",1020,IF(C1181="B05",2400,IF(C1181="B03",4260,IF(C1181="B04",2880,IF(C1181="B20",1260,0)))))))</f>
        <v>2400</v>
      </c>
      <c r="F1181" s="8">
        <f>IF(IF(D1181&lt;&gt;D1180,1,IF(OR(B1181&lt;&gt;B1180,A1181-A1180&gt;$U$1),1,""))&lt;&gt;1,"",IF(C1181="B01",1,IF(C1181="B05",1,IF(C1181="B03",1,IF(C1181="B04",1,IF(C1181="B20",1,IF(C1181="B02",1,0)))))))</f>
        <v>1</v>
      </c>
      <c r="G1181"/>
      <c r="H1181" s="2"/>
      <c r="I1181" s="2"/>
      <c r="L1181"/>
      <c r="R1181"/>
    </row>
    <row r="1182" spans="1:18">
      <c r="A1182" s="3">
        <v>45756.768217592595</v>
      </c>
      <c r="B1182" s="2" t="s">
        <v>26</v>
      </c>
      <c r="C1182" s="2" t="s">
        <v>11</v>
      </c>
      <c r="D1182" s="6" t="str">
        <f>CONCATENATE(YEAR(A1182),"/",IF(MONTH(A1182)&lt;10,CONCATENATE("0",MONTH(A1182)),MONTH(A1182)))</f>
        <v>2025/04</v>
      </c>
      <c r="E1182" s="8" t="str">
        <f>IF(IF(D1182&lt;&gt;D1181,1,IF(OR(B1182&lt;&gt;B1181,A1182-A1181&gt;$U$1),1,""))&lt;&gt;1,"",IF(C1182="B01",1965,IF(C1182="B02",1020,IF(C1182="B05",2400,IF(C1182="B03",4260,IF(C1182="B04",2880,IF(C1182="B20",1260,0)))))))</f>
        <v/>
      </c>
      <c r="F1182" s="8" t="str">
        <f>IF(IF(D1182&lt;&gt;D1181,1,IF(OR(B1182&lt;&gt;B1181,A1182-A1181&gt;$U$1),1,""))&lt;&gt;1,"",IF(C1182="B01",1,IF(C1182="B05",1,IF(C1182="B03",1,IF(C1182="B04",1,IF(C1182="B20",1,IF(C1182="B02",1,0)))))))</f>
        <v/>
      </c>
      <c r="G1182"/>
      <c r="H1182" s="2"/>
      <c r="I1182" s="2"/>
      <c r="L1182"/>
      <c r="R1182"/>
    </row>
    <row r="1183" spans="1:18">
      <c r="A1183" s="3">
        <v>45756.768217592595</v>
      </c>
      <c r="B1183" s="2" t="s">
        <v>26</v>
      </c>
      <c r="C1183" s="2" t="s">
        <v>11</v>
      </c>
      <c r="D1183" s="6" t="str">
        <f>CONCATENATE(YEAR(A1183),"/",IF(MONTH(A1183)&lt;10,CONCATENATE("0",MONTH(A1183)),MONTH(A1183)))</f>
        <v>2025/04</v>
      </c>
      <c r="E1183" s="8" t="str">
        <f>IF(IF(D1183&lt;&gt;D1182,1,IF(OR(B1183&lt;&gt;B1182,A1183-A1182&gt;$U$1),1,""))&lt;&gt;1,"",IF(C1183="B01",1965,IF(C1183="B02",1020,IF(C1183="B05",2400,IF(C1183="B03",4260,IF(C1183="B04",2880,IF(C1183="B20",1260,0)))))))</f>
        <v/>
      </c>
      <c r="F1183" s="8" t="str">
        <f>IF(IF(D1183&lt;&gt;D1182,1,IF(OR(B1183&lt;&gt;B1182,A1183-A1182&gt;$U$1),1,""))&lt;&gt;1,"",IF(C1183="B01",1,IF(C1183="B05",1,IF(C1183="B03",1,IF(C1183="B04",1,IF(C1183="B20",1,IF(C1183="B02",1,0)))))))</f>
        <v/>
      </c>
      <c r="G1183"/>
      <c r="H1183" s="2"/>
      <c r="I1183" s="2"/>
      <c r="L1183"/>
      <c r="R1183"/>
    </row>
    <row r="1184" spans="1:18">
      <c r="A1184" s="3">
        <v>45756.899039351854</v>
      </c>
      <c r="B1184" s="2" t="s">
        <v>26</v>
      </c>
      <c r="C1184" s="2" t="s">
        <v>12</v>
      </c>
      <c r="D1184" s="6" t="str">
        <f>CONCATENATE(YEAR(A1184),"/",IF(MONTH(A1184)&lt;10,CONCATENATE("0",MONTH(A1184)),MONTH(A1184)))</f>
        <v>2025/04</v>
      </c>
      <c r="E1184" s="8">
        <f>IF(IF(D1184&lt;&gt;D1183,1,IF(OR(B1184&lt;&gt;B1183,A1184-A1183&gt;$U$1),1,""))&lt;&gt;1,"",IF(C1184="B01",1965,IF(C1184="B02",1020,IF(C1184="B05",2400,IF(C1184="B03",4260,IF(C1184="B04",2880,IF(C1184="B20",1260,0)))))))</f>
        <v>4260</v>
      </c>
      <c r="F1184" s="8">
        <f>IF(IF(D1184&lt;&gt;D1183,1,IF(OR(B1184&lt;&gt;B1183,A1184-A1183&gt;$U$1),1,""))&lt;&gt;1,"",IF(C1184="B01",1,IF(C1184="B05",1,IF(C1184="B03",1,IF(C1184="B04",1,IF(C1184="B20",1,IF(C1184="B02",1,0)))))))</f>
        <v>1</v>
      </c>
      <c r="G1184"/>
      <c r="H1184" s="2"/>
      <c r="I1184" s="2"/>
      <c r="L1184"/>
      <c r="R1184"/>
    </row>
    <row r="1185" spans="1:18">
      <c r="A1185" s="3">
        <v>45756.899039351854</v>
      </c>
      <c r="B1185" s="2" t="s">
        <v>26</v>
      </c>
      <c r="C1185" s="2" t="s">
        <v>12</v>
      </c>
      <c r="D1185" s="6" t="str">
        <f>CONCATENATE(YEAR(A1185),"/",IF(MONTH(A1185)&lt;10,CONCATENATE("0",MONTH(A1185)),MONTH(A1185)))</f>
        <v>2025/04</v>
      </c>
      <c r="E1185" s="8" t="str">
        <f>IF(IF(D1185&lt;&gt;D1184,1,IF(OR(B1185&lt;&gt;B1184,A1185-A1184&gt;$U$1),1,""))&lt;&gt;1,"",IF(C1185="B01",1965,IF(C1185="B02",1020,IF(C1185="B05",2400,IF(C1185="B03",4260,IF(C1185="B04",2880,IF(C1185="B20",1260,0)))))))</f>
        <v/>
      </c>
      <c r="F1185" s="8" t="str">
        <f>IF(IF(D1185&lt;&gt;D1184,1,IF(OR(B1185&lt;&gt;B1184,A1185-A1184&gt;$U$1),1,""))&lt;&gt;1,"",IF(C1185="B01",1,IF(C1185="B05",1,IF(C1185="B03",1,IF(C1185="B04",1,IF(C1185="B20",1,IF(C1185="B02",1,0)))))))</f>
        <v/>
      </c>
      <c r="G1185"/>
      <c r="H1185" s="2"/>
      <c r="I1185" s="2"/>
      <c r="L1185"/>
      <c r="R1185"/>
    </row>
    <row r="1186" spans="1:18">
      <c r="A1186" s="3">
        <v>45756.899039351854</v>
      </c>
      <c r="B1186" s="2" t="s">
        <v>26</v>
      </c>
      <c r="C1186" s="2" t="s">
        <v>12</v>
      </c>
      <c r="D1186" s="6" t="str">
        <f>CONCATENATE(YEAR(A1186),"/",IF(MONTH(A1186)&lt;10,CONCATENATE("0",MONTH(A1186)),MONTH(A1186)))</f>
        <v>2025/04</v>
      </c>
      <c r="E1186" s="8" t="str">
        <f>IF(IF(D1186&lt;&gt;D1185,1,IF(OR(B1186&lt;&gt;B1185,A1186-A1185&gt;$U$1),1,""))&lt;&gt;1,"",IF(C1186="B01",1965,IF(C1186="B02",1020,IF(C1186="B05",2400,IF(C1186="B03",4260,IF(C1186="B04",2880,IF(C1186="B20",1260,0)))))))</f>
        <v/>
      </c>
      <c r="F1186" s="8" t="str">
        <f>IF(IF(D1186&lt;&gt;D1185,1,IF(OR(B1186&lt;&gt;B1185,A1186-A1185&gt;$U$1),1,""))&lt;&gt;1,"",IF(C1186="B01",1,IF(C1186="B05",1,IF(C1186="B03",1,IF(C1186="B04",1,IF(C1186="B20",1,IF(C1186="B02",1,0)))))))</f>
        <v/>
      </c>
      <c r="G1186"/>
      <c r="H1186" s="2"/>
      <c r="I1186" s="2"/>
      <c r="L1186"/>
      <c r="R1186"/>
    </row>
    <row r="1187" spans="1:18">
      <c r="A1187" s="3">
        <v>45757.308819444443</v>
      </c>
      <c r="B1187" s="2" t="s">
        <v>26</v>
      </c>
      <c r="C1187" s="2" t="s">
        <v>11</v>
      </c>
      <c r="D1187" s="6" t="str">
        <f>CONCATENATE(YEAR(A1187),"/",IF(MONTH(A1187)&lt;10,CONCATENATE("0",MONTH(A1187)),MONTH(A1187)))</f>
        <v>2025/04</v>
      </c>
      <c r="E1187" s="8">
        <f>IF(IF(D1187&lt;&gt;D1186,1,IF(OR(B1187&lt;&gt;B1186,A1187-A1186&gt;$U$1),1,""))&lt;&gt;1,"",IF(C1187="B01",1965,IF(C1187="B02",1020,IF(C1187="B05",2400,IF(C1187="B03",4260,IF(C1187="B04",2880,IF(C1187="B20",1260,0)))))))</f>
        <v>2400</v>
      </c>
      <c r="F1187" s="8">
        <f>IF(IF(D1187&lt;&gt;D1186,1,IF(OR(B1187&lt;&gt;B1186,A1187-A1186&gt;$U$1),1,""))&lt;&gt;1,"",IF(C1187="B01",1,IF(C1187="B05",1,IF(C1187="B03",1,IF(C1187="B04",1,IF(C1187="B20",1,IF(C1187="B02",1,0)))))))</f>
        <v>1</v>
      </c>
      <c r="G1187"/>
      <c r="H1187" s="2"/>
      <c r="I1187" s="2"/>
      <c r="L1187"/>
      <c r="R1187"/>
    </row>
    <row r="1188" spans="1:18">
      <c r="A1188" s="3">
        <v>45757.308819444443</v>
      </c>
      <c r="B1188" s="2" t="s">
        <v>26</v>
      </c>
      <c r="C1188" s="2" t="s">
        <v>11</v>
      </c>
      <c r="D1188" s="6" t="str">
        <f>CONCATENATE(YEAR(A1188),"/",IF(MONTH(A1188)&lt;10,CONCATENATE("0",MONTH(A1188)),MONTH(A1188)))</f>
        <v>2025/04</v>
      </c>
      <c r="E1188" s="8" t="str">
        <f>IF(IF(D1188&lt;&gt;D1187,1,IF(OR(B1188&lt;&gt;B1187,A1188-A1187&gt;$U$1),1,""))&lt;&gt;1,"",IF(C1188="B01",1965,IF(C1188="B02",1020,IF(C1188="B05",2400,IF(C1188="B03",4260,IF(C1188="B04",2880,IF(C1188="B20",1260,0)))))))</f>
        <v/>
      </c>
      <c r="F1188" s="8" t="str">
        <f>IF(IF(D1188&lt;&gt;D1187,1,IF(OR(B1188&lt;&gt;B1187,A1188-A1187&gt;$U$1),1,""))&lt;&gt;1,"",IF(C1188="B01",1,IF(C1188="B05",1,IF(C1188="B03",1,IF(C1188="B04",1,IF(C1188="B20",1,IF(C1188="B02",1,0)))))))</f>
        <v/>
      </c>
      <c r="G1188"/>
      <c r="H1188" s="2"/>
      <c r="I1188" s="2"/>
      <c r="L1188"/>
      <c r="R1188"/>
    </row>
    <row r="1189" spans="1:18">
      <c r="A1189" s="3">
        <v>45757.308819444443</v>
      </c>
      <c r="B1189" s="2" t="s">
        <v>26</v>
      </c>
      <c r="C1189" s="2" t="s">
        <v>11</v>
      </c>
      <c r="D1189" s="6" t="str">
        <f>CONCATENATE(YEAR(A1189),"/",IF(MONTH(A1189)&lt;10,CONCATENATE("0",MONTH(A1189)),MONTH(A1189)))</f>
        <v>2025/04</v>
      </c>
      <c r="E1189" s="8" t="str">
        <f>IF(IF(D1189&lt;&gt;D1188,1,IF(OR(B1189&lt;&gt;B1188,A1189-A1188&gt;$U$1),1,""))&lt;&gt;1,"",IF(C1189="B01",1965,IF(C1189="B02",1020,IF(C1189="B05",2400,IF(C1189="B03",4260,IF(C1189="B04",2880,IF(C1189="B20",1260,0)))))))</f>
        <v/>
      </c>
      <c r="F1189" s="8" t="str">
        <f>IF(IF(D1189&lt;&gt;D1188,1,IF(OR(B1189&lt;&gt;B1188,A1189-A1188&gt;$U$1),1,""))&lt;&gt;1,"",IF(C1189="B01",1,IF(C1189="B05",1,IF(C1189="B03",1,IF(C1189="B04",1,IF(C1189="B20",1,IF(C1189="B02",1,0)))))))</f>
        <v/>
      </c>
      <c r="G1189"/>
      <c r="H1189" s="2"/>
      <c r="I1189" s="2"/>
      <c r="L1189"/>
      <c r="R1189"/>
    </row>
    <row r="1190" spans="1:18">
      <c r="A1190" s="3">
        <v>45757.527604166666</v>
      </c>
      <c r="B1190" s="2" t="s">
        <v>26</v>
      </c>
      <c r="C1190" s="2" t="s">
        <v>11</v>
      </c>
      <c r="D1190" s="6" t="str">
        <f>CONCATENATE(YEAR(A1190),"/",IF(MONTH(A1190)&lt;10,CONCATENATE("0",MONTH(A1190)),MONTH(A1190)))</f>
        <v>2025/04</v>
      </c>
      <c r="E1190" s="8">
        <f>IF(IF(D1190&lt;&gt;D1189,1,IF(OR(B1190&lt;&gt;B1189,A1190-A1189&gt;$U$1),1,""))&lt;&gt;1,"",IF(C1190="B01",1965,IF(C1190="B02",1020,IF(C1190="B05",2400,IF(C1190="B03",4260,IF(C1190="B04",2880,IF(C1190="B20",1260,0)))))))</f>
        <v>2400</v>
      </c>
      <c r="F1190" s="8">
        <f>IF(IF(D1190&lt;&gt;D1189,1,IF(OR(B1190&lt;&gt;B1189,A1190-A1189&gt;$U$1),1,""))&lt;&gt;1,"",IF(C1190="B01",1,IF(C1190="B05",1,IF(C1190="B03",1,IF(C1190="B04",1,IF(C1190="B20",1,IF(C1190="B02",1,0)))))))</f>
        <v>1</v>
      </c>
      <c r="G1190"/>
      <c r="H1190" s="2"/>
      <c r="I1190" s="2"/>
      <c r="L1190"/>
      <c r="R1190"/>
    </row>
    <row r="1191" spans="1:18">
      <c r="A1191" s="3">
        <v>45757.527604166666</v>
      </c>
      <c r="B1191" s="2" t="s">
        <v>26</v>
      </c>
      <c r="C1191" s="2" t="s">
        <v>11</v>
      </c>
      <c r="D1191" s="6" t="str">
        <f>CONCATENATE(YEAR(A1191),"/",IF(MONTH(A1191)&lt;10,CONCATENATE("0",MONTH(A1191)),MONTH(A1191)))</f>
        <v>2025/04</v>
      </c>
      <c r="E1191" s="8" t="str">
        <f>IF(IF(D1191&lt;&gt;D1190,1,IF(OR(B1191&lt;&gt;B1190,A1191-A1190&gt;$U$1),1,""))&lt;&gt;1,"",IF(C1191="B01",1965,IF(C1191="B02",1020,IF(C1191="B05",2400,IF(C1191="B03",4260,IF(C1191="B04",2880,IF(C1191="B20",1260,0)))))))</f>
        <v/>
      </c>
      <c r="F1191" s="8" t="str">
        <f>IF(IF(D1191&lt;&gt;D1190,1,IF(OR(B1191&lt;&gt;B1190,A1191-A1190&gt;$U$1),1,""))&lt;&gt;1,"",IF(C1191="B01",1,IF(C1191="B05",1,IF(C1191="B03",1,IF(C1191="B04",1,IF(C1191="B20",1,IF(C1191="B02",1,0)))))))</f>
        <v/>
      </c>
      <c r="G1191"/>
      <c r="H1191" s="2"/>
      <c r="I1191" s="2"/>
      <c r="L1191"/>
      <c r="R1191"/>
    </row>
    <row r="1192" spans="1:18">
      <c r="A1192" s="3">
        <v>45757.717013888891</v>
      </c>
      <c r="B1192" s="2" t="s">
        <v>26</v>
      </c>
      <c r="C1192" s="2" t="s">
        <v>11</v>
      </c>
      <c r="D1192" s="6" t="str">
        <f>CONCATENATE(YEAR(A1192),"/",IF(MONTH(A1192)&lt;10,CONCATENATE("0",MONTH(A1192)),MONTH(A1192)))</f>
        <v>2025/04</v>
      </c>
      <c r="E1192" s="8">
        <f>IF(IF(D1192&lt;&gt;D1191,1,IF(OR(B1192&lt;&gt;B1191,A1192-A1191&gt;$U$1),1,""))&lt;&gt;1,"",IF(C1192="B01",1965,IF(C1192="B02",1020,IF(C1192="B05",2400,IF(C1192="B03",4260,IF(C1192="B04",2880,IF(C1192="B20",1260,0)))))))</f>
        <v>2400</v>
      </c>
      <c r="F1192" s="8">
        <f>IF(IF(D1192&lt;&gt;D1191,1,IF(OR(B1192&lt;&gt;B1191,A1192-A1191&gt;$U$1),1,""))&lt;&gt;1,"",IF(C1192="B01",1,IF(C1192="B05",1,IF(C1192="B03",1,IF(C1192="B04",1,IF(C1192="B20",1,IF(C1192="B02",1,0)))))))</f>
        <v>1</v>
      </c>
      <c r="G1192"/>
      <c r="H1192" s="2"/>
      <c r="I1192" s="2"/>
      <c r="L1192"/>
      <c r="R1192"/>
    </row>
    <row r="1193" spans="1:18">
      <c r="A1193" s="3">
        <v>45757.717013888891</v>
      </c>
      <c r="B1193" s="2" t="s">
        <v>26</v>
      </c>
      <c r="C1193" s="2" t="s">
        <v>11</v>
      </c>
      <c r="D1193" s="6" t="str">
        <f>CONCATENATE(YEAR(A1193),"/",IF(MONTH(A1193)&lt;10,CONCATENATE("0",MONTH(A1193)),MONTH(A1193)))</f>
        <v>2025/04</v>
      </c>
      <c r="E1193" s="8" t="str">
        <f>IF(IF(D1193&lt;&gt;D1192,1,IF(OR(B1193&lt;&gt;B1192,A1193-A1192&gt;$U$1),1,""))&lt;&gt;1,"",IF(C1193="B01",1965,IF(C1193="B02",1020,IF(C1193="B05",2400,IF(C1193="B03",4260,IF(C1193="B04",2880,IF(C1193="B20",1260,0)))))))</f>
        <v/>
      </c>
      <c r="F1193" s="8" t="str">
        <f>IF(IF(D1193&lt;&gt;D1192,1,IF(OR(B1193&lt;&gt;B1192,A1193-A1192&gt;$U$1),1,""))&lt;&gt;1,"",IF(C1193="B01",1,IF(C1193="B05",1,IF(C1193="B03",1,IF(C1193="B04",1,IF(C1193="B20",1,IF(C1193="B02",1,0)))))))</f>
        <v/>
      </c>
      <c r="G1193"/>
      <c r="H1193" s="2"/>
      <c r="I1193" s="2"/>
      <c r="L1193"/>
      <c r="R1193"/>
    </row>
    <row r="1194" spans="1:18">
      <c r="A1194" s="3">
        <v>45757.717013888891</v>
      </c>
      <c r="B1194" s="2" t="s">
        <v>26</v>
      </c>
      <c r="C1194" s="2" t="s">
        <v>11</v>
      </c>
      <c r="D1194" s="6" t="str">
        <f>CONCATENATE(YEAR(A1194),"/",IF(MONTH(A1194)&lt;10,CONCATENATE("0",MONTH(A1194)),MONTH(A1194)))</f>
        <v>2025/04</v>
      </c>
      <c r="E1194" s="8" t="str">
        <f>IF(IF(D1194&lt;&gt;D1193,1,IF(OR(B1194&lt;&gt;B1193,A1194-A1193&gt;$U$1),1,""))&lt;&gt;1,"",IF(C1194="B01",1965,IF(C1194="B02",1020,IF(C1194="B05",2400,IF(C1194="B03",4260,IF(C1194="B04",2880,IF(C1194="B20",1260,0)))))))</f>
        <v/>
      </c>
      <c r="F1194" s="8" t="str">
        <f>IF(IF(D1194&lt;&gt;D1193,1,IF(OR(B1194&lt;&gt;B1193,A1194-A1193&gt;$U$1),1,""))&lt;&gt;1,"",IF(C1194="B01",1,IF(C1194="B05",1,IF(C1194="B03",1,IF(C1194="B04",1,IF(C1194="B20",1,IF(C1194="B02",1,0)))))))</f>
        <v/>
      </c>
      <c r="G1194"/>
      <c r="H1194" s="2"/>
      <c r="I1194" s="2"/>
      <c r="L1194"/>
      <c r="R1194"/>
    </row>
    <row r="1195" spans="1:18">
      <c r="A1195" s="3">
        <v>45757.91747685185</v>
      </c>
      <c r="B1195" s="2" t="s">
        <v>26</v>
      </c>
      <c r="C1195" s="2" t="s">
        <v>12</v>
      </c>
      <c r="D1195" s="6" t="str">
        <f>CONCATENATE(YEAR(A1195),"/",IF(MONTH(A1195)&lt;10,CONCATENATE("0",MONTH(A1195)),MONTH(A1195)))</f>
        <v>2025/04</v>
      </c>
      <c r="E1195" s="8">
        <f>IF(IF(D1195&lt;&gt;D1194,1,IF(OR(B1195&lt;&gt;B1194,A1195-A1194&gt;$U$1),1,""))&lt;&gt;1,"",IF(C1195="B01",1965,IF(C1195="B02",1020,IF(C1195="B05",2400,IF(C1195="B03",4260,IF(C1195="B04",2880,IF(C1195="B20",1260,0)))))))</f>
        <v>4260</v>
      </c>
      <c r="F1195" s="8">
        <f>IF(IF(D1195&lt;&gt;D1194,1,IF(OR(B1195&lt;&gt;B1194,A1195-A1194&gt;$U$1),1,""))&lt;&gt;1,"",IF(C1195="B01",1,IF(C1195="B05",1,IF(C1195="B03",1,IF(C1195="B04",1,IF(C1195="B20",1,IF(C1195="B02",1,0)))))))</f>
        <v>1</v>
      </c>
      <c r="G1195"/>
      <c r="H1195" s="2"/>
      <c r="I1195" s="2"/>
      <c r="L1195"/>
      <c r="R1195"/>
    </row>
    <row r="1196" spans="1:18">
      <c r="A1196" s="3">
        <v>45757.91747685185</v>
      </c>
      <c r="B1196" s="2" t="s">
        <v>26</v>
      </c>
      <c r="C1196" s="2" t="s">
        <v>12</v>
      </c>
      <c r="D1196" s="6" t="str">
        <f>CONCATENATE(YEAR(A1196),"/",IF(MONTH(A1196)&lt;10,CONCATENATE("0",MONTH(A1196)),MONTH(A1196)))</f>
        <v>2025/04</v>
      </c>
      <c r="E1196" s="8" t="str">
        <f>IF(IF(D1196&lt;&gt;D1195,1,IF(OR(B1196&lt;&gt;B1195,A1196-A1195&gt;$U$1),1,""))&lt;&gt;1,"",IF(C1196="B01",1965,IF(C1196="B02",1020,IF(C1196="B05",2400,IF(C1196="B03",4260,IF(C1196="B04",2880,IF(C1196="B20",1260,0)))))))</f>
        <v/>
      </c>
      <c r="F1196" s="8" t="str">
        <f>IF(IF(D1196&lt;&gt;D1195,1,IF(OR(B1196&lt;&gt;B1195,A1196-A1195&gt;$U$1),1,""))&lt;&gt;1,"",IF(C1196="B01",1,IF(C1196="B05",1,IF(C1196="B03",1,IF(C1196="B04",1,IF(C1196="B20",1,IF(C1196="B02",1,0)))))))</f>
        <v/>
      </c>
      <c r="G1196"/>
      <c r="H1196" s="2"/>
      <c r="I1196" s="2"/>
      <c r="L1196"/>
      <c r="R1196"/>
    </row>
    <row r="1197" spans="1:18">
      <c r="A1197" s="3">
        <v>45758.05740740741</v>
      </c>
      <c r="B1197" s="2" t="s">
        <v>26</v>
      </c>
      <c r="C1197" s="2" t="s">
        <v>34</v>
      </c>
      <c r="D1197" s="6" t="str">
        <f>CONCATENATE(YEAR(A1197),"/",IF(MONTH(A1197)&lt;10,CONCATENATE("0",MONTH(A1197)),MONTH(A1197)))</f>
        <v>2025/04</v>
      </c>
      <c r="E1197" s="8">
        <f>IF(IF(D1197&lt;&gt;D1196,1,IF(OR(B1197&lt;&gt;B1196,A1197-A1196&gt;$U$1),1,""))&lt;&gt;1,"",IF(C1197="B01",1965,IF(C1197="B02",1020,IF(C1197="B05",2400,IF(C1197="B03",4260,IF(C1197="B04",2880,IF(C1197="B20",1260,0)))))))</f>
        <v>1965</v>
      </c>
      <c r="F1197" s="8">
        <f>IF(IF(D1197&lt;&gt;D1196,1,IF(OR(B1197&lt;&gt;B1196,A1197-A1196&gt;$U$1),1,""))&lt;&gt;1,"",IF(C1197="B01",1,IF(C1197="B05",1,IF(C1197="B03",1,IF(C1197="B04",1,IF(C1197="B20",1,IF(C1197="B02",1,0)))))))</f>
        <v>1</v>
      </c>
      <c r="G1197"/>
      <c r="H1197" s="2"/>
      <c r="I1197" s="2"/>
      <c r="L1197"/>
      <c r="R1197"/>
    </row>
    <row r="1198" spans="1:18">
      <c r="A1198" s="3">
        <v>45758.05740740741</v>
      </c>
      <c r="B1198" s="2" t="s">
        <v>26</v>
      </c>
      <c r="C1198" s="2" t="s">
        <v>34</v>
      </c>
      <c r="D1198" s="6" t="str">
        <f>CONCATENATE(YEAR(A1198),"/",IF(MONTH(A1198)&lt;10,CONCATENATE("0",MONTH(A1198)),MONTH(A1198)))</f>
        <v>2025/04</v>
      </c>
      <c r="E1198" s="8" t="str">
        <f>IF(IF(D1198&lt;&gt;D1197,1,IF(OR(B1198&lt;&gt;B1197,A1198-A1197&gt;$U$1),1,""))&lt;&gt;1,"",IF(C1198="B01",1965,IF(C1198="B02",1020,IF(C1198="B05",2400,IF(C1198="B03",4260,IF(C1198="B04",2880,IF(C1198="B20",1260,0)))))))</f>
        <v/>
      </c>
      <c r="F1198" s="8" t="str">
        <f>IF(IF(D1198&lt;&gt;D1197,1,IF(OR(B1198&lt;&gt;B1197,A1198-A1197&gt;$U$1),1,""))&lt;&gt;1,"",IF(C1198="B01",1,IF(C1198="B05",1,IF(C1198="B03",1,IF(C1198="B04",1,IF(C1198="B20",1,IF(C1198="B02",1,0)))))))</f>
        <v/>
      </c>
      <c r="G1198"/>
      <c r="H1198" s="2"/>
      <c r="I1198" s="2"/>
      <c r="L1198"/>
      <c r="R1198"/>
    </row>
    <row r="1199" spans="1:18">
      <c r="A1199" s="3">
        <v>45758.226597222223</v>
      </c>
      <c r="B1199" s="2" t="s">
        <v>26</v>
      </c>
      <c r="C1199" s="2" t="s">
        <v>11</v>
      </c>
      <c r="D1199" s="6" t="str">
        <f>CONCATENATE(YEAR(A1199),"/",IF(MONTH(A1199)&lt;10,CONCATENATE("0",MONTH(A1199)),MONTH(A1199)))</f>
        <v>2025/04</v>
      </c>
      <c r="E1199" s="8">
        <f>IF(IF(D1199&lt;&gt;D1198,1,IF(OR(B1199&lt;&gt;B1198,A1199-A1198&gt;$U$1),1,""))&lt;&gt;1,"",IF(C1199="B01",1965,IF(C1199="B02",1020,IF(C1199="B05",2400,IF(C1199="B03",4260,IF(C1199="B04",2880,IF(C1199="B20",1260,0)))))))</f>
        <v>2400</v>
      </c>
      <c r="F1199" s="8">
        <f>IF(IF(D1199&lt;&gt;D1198,1,IF(OR(B1199&lt;&gt;B1198,A1199-A1198&gt;$U$1),1,""))&lt;&gt;1,"",IF(C1199="B01",1,IF(C1199="B05",1,IF(C1199="B03",1,IF(C1199="B04",1,IF(C1199="B20",1,IF(C1199="B02",1,0)))))))</f>
        <v>1</v>
      </c>
      <c r="G1199"/>
      <c r="H1199" s="2"/>
      <c r="I1199" s="2"/>
      <c r="L1199"/>
      <c r="R1199"/>
    </row>
    <row r="1200" spans="1:18">
      <c r="A1200" s="3">
        <v>45758.226597222223</v>
      </c>
      <c r="B1200" s="2" t="s">
        <v>26</v>
      </c>
      <c r="C1200" s="2" t="s">
        <v>11</v>
      </c>
      <c r="D1200" s="6" t="str">
        <f>CONCATENATE(YEAR(A1200),"/",IF(MONTH(A1200)&lt;10,CONCATENATE("0",MONTH(A1200)),MONTH(A1200)))</f>
        <v>2025/04</v>
      </c>
      <c r="E1200" s="8" t="str">
        <f>IF(IF(D1200&lt;&gt;D1199,1,IF(OR(B1200&lt;&gt;B1199,A1200-A1199&gt;$U$1),1,""))&lt;&gt;1,"",IF(C1200="B01",1965,IF(C1200="B02",1020,IF(C1200="B05",2400,IF(C1200="B03",4260,IF(C1200="B04",2880,IF(C1200="B20",1260,0)))))))</f>
        <v/>
      </c>
      <c r="F1200" s="8" t="str">
        <f>IF(IF(D1200&lt;&gt;D1199,1,IF(OR(B1200&lt;&gt;B1199,A1200-A1199&gt;$U$1),1,""))&lt;&gt;1,"",IF(C1200="B01",1,IF(C1200="B05",1,IF(C1200="B03",1,IF(C1200="B04",1,IF(C1200="B20",1,IF(C1200="B02",1,0)))))))</f>
        <v/>
      </c>
      <c r="G1200"/>
      <c r="H1200" s="2"/>
      <c r="I1200" s="2"/>
      <c r="L1200"/>
      <c r="R1200"/>
    </row>
    <row r="1201" spans="1:18">
      <c r="A1201" s="3">
        <v>45758.226597222223</v>
      </c>
      <c r="B1201" s="2" t="s">
        <v>26</v>
      </c>
      <c r="C1201" s="2" t="s">
        <v>11</v>
      </c>
      <c r="D1201" s="6" t="str">
        <f>CONCATENATE(YEAR(A1201),"/",IF(MONTH(A1201)&lt;10,CONCATENATE("0",MONTH(A1201)),MONTH(A1201)))</f>
        <v>2025/04</v>
      </c>
      <c r="E1201" s="8" t="str">
        <f>IF(IF(D1201&lt;&gt;D1200,1,IF(OR(B1201&lt;&gt;B1200,A1201-A1200&gt;$U$1),1,""))&lt;&gt;1,"",IF(C1201="B01",1965,IF(C1201="B02",1020,IF(C1201="B05",2400,IF(C1201="B03",4260,IF(C1201="B04",2880,IF(C1201="B20",1260,0)))))))</f>
        <v/>
      </c>
      <c r="F1201" s="8" t="str">
        <f>IF(IF(D1201&lt;&gt;D1200,1,IF(OR(B1201&lt;&gt;B1200,A1201-A1200&gt;$U$1),1,""))&lt;&gt;1,"",IF(C1201="B01",1,IF(C1201="B05",1,IF(C1201="B03",1,IF(C1201="B04",1,IF(C1201="B20",1,IF(C1201="B02",1,0)))))))</f>
        <v/>
      </c>
      <c r="G1201"/>
      <c r="H1201" s="2"/>
      <c r="I1201" s="2"/>
      <c r="L1201"/>
      <c r="R1201"/>
    </row>
    <row r="1202" spans="1:18">
      <c r="A1202" s="3">
        <v>45758.232465277775</v>
      </c>
      <c r="B1202" s="2" t="s">
        <v>26</v>
      </c>
      <c r="C1202" s="2" t="s">
        <v>11</v>
      </c>
      <c r="D1202" s="6" t="str">
        <f>CONCATENATE(YEAR(A1202),"/",IF(MONTH(A1202)&lt;10,CONCATENATE("0",MONTH(A1202)),MONTH(A1202)))</f>
        <v>2025/04</v>
      </c>
      <c r="E1202" s="8" t="str">
        <f>IF(IF(D1202&lt;&gt;D1201,1,IF(OR(B1202&lt;&gt;B1201,A1202-A1201&gt;$U$1),1,""))&lt;&gt;1,"",IF(C1202="B01",1965,IF(C1202="B02",1020,IF(C1202="B05",2400,IF(C1202="B03",4260,IF(C1202="B04",2880,IF(C1202="B20",1260,0)))))))</f>
        <v/>
      </c>
      <c r="F1202" s="8" t="str">
        <f>IF(IF(D1202&lt;&gt;D1201,1,IF(OR(B1202&lt;&gt;B1201,A1202-A1201&gt;$U$1),1,""))&lt;&gt;1,"",IF(C1202="B01",1,IF(C1202="B05",1,IF(C1202="B03",1,IF(C1202="B04",1,IF(C1202="B20",1,IF(C1202="B02",1,0)))))))</f>
        <v/>
      </c>
      <c r="G1202"/>
      <c r="H1202" s="2"/>
      <c r="I1202" s="2"/>
      <c r="L1202"/>
      <c r="R1202"/>
    </row>
    <row r="1203" spans="1:18">
      <c r="A1203" s="3">
        <v>45758.378993055558</v>
      </c>
      <c r="B1203" s="2" t="s">
        <v>26</v>
      </c>
      <c r="C1203" s="2" t="s">
        <v>11</v>
      </c>
      <c r="D1203" s="6" t="str">
        <f>CONCATENATE(YEAR(A1203),"/",IF(MONTH(A1203)&lt;10,CONCATENATE("0",MONTH(A1203)),MONTH(A1203)))</f>
        <v>2025/04</v>
      </c>
      <c r="E1203" s="8">
        <f>IF(IF(D1203&lt;&gt;D1202,1,IF(OR(B1203&lt;&gt;B1202,A1203-A1202&gt;$U$1),1,""))&lt;&gt;1,"",IF(C1203="B01",1965,IF(C1203="B02",1020,IF(C1203="B05",2400,IF(C1203="B03",4260,IF(C1203="B04",2880,IF(C1203="B20",1260,0)))))))</f>
        <v>2400</v>
      </c>
      <c r="F1203" s="8">
        <f>IF(IF(D1203&lt;&gt;D1202,1,IF(OR(B1203&lt;&gt;B1202,A1203-A1202&gt;$U$1),1,""))&lt;&gt;1,"",IF(C1203="B01",1,IF(C1203="B05",1,IF(C1203="B03",1,IF(C1203="B04",1,IF(C1203="B20",1,IF(C1203="B02",1,0)))))))</f>
        <v>1</v>
      </c>
      <c r="G1203"/>
      <c r="H1203" s="2"/>
      <c r="I1203" s="2"/>
      <c r="L1203"/>
      <c r="R1203"/>
    </row>
    <row r="1204" spans="1:18">
      <c r="A1204" s="3">
        <v>45758.378993055558</v>
      </c>
      <c r="B1204" s="2" t="s">
        <v>26</v>
      </c>
      <c r="C1204" s="2" t="s">
        <v>11</v>
      </c>
      <c r="D1204" s="6" t="str">
        <f>CONCATENATE(YEAR(A1204),"/",IF(MONTH(A1204)&lt;10,CONCATENATE("0",MONTH(A1204)),MONTH(A1204)))</f>
        <v>2025/04</v>
      </c>
      <c r="E1204" s="8" t="str">
        <f>IF(IF(D1204&lt;&gt;D1203,1,IF(OR(B1204&lt;&gt;B1203,A1204-A1203&gt;$U$1),1,""))&lt;&gt;1,"",IF(C1204="B01",1965,IF(C1204="B02",1020,IF(C1204="B05",2400,IF(C1204="B03",4260,IF(C1204="B04",2880,IF(C1204="B20",1260,0)))))))</f>
        <v/>
      </c>
      <c r="F1204" s="8" t="str">
        <f>IF(IF(D1204&lt;&gt;D1203,1,IF(OR(B1204&lt;&gt;B1203,A1204-A1203&gt;$U$1),1,""))&lt;&gt;1,"",IF(C1204="B01",1,IF(C1204="B05",1,IF(C1204="B03",1,IF(C1204="B04",1,IF(C1204="B20",1,IF(C1204="B02",1,0)))))))</f>
        <v/>
      </c>
      <c r="G1204"/>
      <c r="H1204" s="2"/>
      <c r="I1204" s="2"/>
      <c r="L1204"/>
      <c r="R1204"/>
    </row>
    <row r="1205" spans="1:18">
      <c r="A1205" s="3">
        <v>45758.750416666669</v>
      </c>
      <c r="B1205" s="2" t="s">
        <v>26</v>
      </c>
      <c r="C1205" s="2" t="s">
        <v>11</v>
      </c>
      <c r="D1205" s="6" t="str">
        <f>CONCATENATE(YEAR(A1205),"/",IF(MONTH(A1205)&lt;10,CONCATENATE("0",MONTH(A1205)),MONTH(A1205)))</f>
        <v>2025/04</v>
      </c>
      <c r="E1205" s="8">
        <f>IF(IF(D1205&lt;&gt;D1204,1,IF(OR(B1205&lt;&gt;B1204,A1205-A1204&gt;$U$1),1,""))&lt;&gt;1,"",IF(C1205="B01",1965,IF(C1205="B02",1020,IF(C1205="B05",2400,IF(C1205="B03",4260,IF(C1205="B04",2880,IF(C1205="B20",1260,0)))))))</f>
        <v>2400</v>
      </c>
      <c r="F1205" s="8">
        <f>IF(IF(D1205&lt;&gt;D1204,1,IF(OR(B1205&lt;&gt;B1204,A1205-A1204&gt;$U$1),1,""))&lt;&gt;1,"",IF(C1205="B01",1,IF(C1205="B05",1,IF(C1205="B03",1,IF(C1205="B04",1,IF(C1205="B20",1,IF(C1205="B02",1,0)))))))</f>
        <v>1</v>
      </c>
      <c r="G1205"/>
      <c r="H1205" s="2"/>
      <c r="I1205" s="2"/>
      <c r="L1205"/>
      <c r="R1205"/>
    </row>
    <row r="1206" spans="1:18">
      <c r="A1206" s="3">
        <v>45758.750416666669</v>
      </c>
      <c r="B1206" s="2" t="s">
        <v>26</v>
      </c>
      <c r="C1206" s="2" t="s">
        <v>11</v>
      </c>
      <c r="D1206" s="6" t="str">
        <f>CONCATENATE(YEAR(A1206),"/",IF(MONTH(A1206)&lt;10,CONCATENATE("0",MONTH(A1206)),MONTH(A1206)))</f>
        <v>2025/04</v>
      </c>
      <c r="E1206" s="8" t="str">
        <f>IF(IF(D1206&lt;&gt;D1205,1,IF(OR(B1206&lt;&gt;B1205,A1206-A1205&gt;$U$1),1,""))&lt;&gt;1,"",IF(C1206="B01",1965,IF(C1206="B02",1020,IF(C1206="B05",2400,IF(C1206="B03",4260,IF(C1206="B04",2880,IF(C1206="B20",1260,0)))))))</f>
        <v/>
      </c>
      <c r="F1206" s="8" t="str">
        <f>IF(IF(D1206&lt;&gt;D1205,1,IF(OR(B1206&lt;&gt;B1205,A1206-A1205&gt;$U$1),1,""))&lt;&gt;1,"",IF(C1206="B01",1,IF(C1206="B05",1,IF(C1206="B03",1,IF(C1206="B04",1,IF(C1206="B20",1,IF(C1206="B02",1,0)))))))</f>
        <v/>
      </c>
      <c r="G1206"/>
      <c r="H1206" s="2"/>
      <c r="I1206" s="2"/>
      <c r="L1206"/>
      <c r="R1206"/>
    </row>
    <row r="1207" spans="1:18">
      <c r="A1207" s="3">
        <v>45758.750416666669</v>
      </c>
      <c r="B1207" s="2" t="s">
        <v>26</v>
      </c>
      <c r="C1207" s="2" t="s">
        <v>11</v>
      </c>
      <c r="D1207" s="6" t="str">
        <f>CONCATENATE(YEAR(A1207),"/",IF(MONTH(A1207)&lt;10,CONCATENATE("0",MONTH(A1207)),MONTH(A1207)))</f>
        <v>2025/04</v>
      </c>
      <c r="E1207" s="8" t="str">
        <f>IF(IF(D1207&lt;&gt;D1206,1,IF(OR(B1207&lt;&gt;B1206,A1207-A1206&gt;$U$1),1,""))&lt;&gt;1,"",IF(C1207="B01",1965,IF(C1207="B02",1020,IF(C1207="B05",2400,IF(C1207="B03",4260,IF(C1207="B04",2880,IF(C1207="B20",1260,0)))))))</f>
        <v/>
      </c>
      <c r="F1207" s="8" t="str">
        <f>IF(IF(D1207&lt;&gt;D1206,1,IF(OR(B1207&lt;&gt;B1206,A1207-A1206&gt;$U$1),1,""))&lt;&gt;1,"",IF(C1207="B01",1,IF(C1207="B05",1,IF(C1207="B03",1,IF(C1207="B04",1,IF(C1207="B20",1,IF(C1207="B02",1,0)))))))</f>
        <v/>
      </c>
      <c r="G1207"/>
      <c r="H1207" s="2"/>
      <c r="I1207" s="2"/>
      <c r="L1207"/>
      <c r="R1207"/>
    </row>
    <row r="1208" spans="1:18">
      <c r="A1208" s="3">
        <v>45758.750416666669</v>
      </c>
      <c r="B1208" s="2" t="s">
        <v>26</v>
      </c>
      <c r="C1208" s="2" t="s">
        <v>11</v>
      </c>
      <c r="D1208" s="6" t="str">
        <f>CONCATENATE(YEAR(A1208),"/",IF(MONTH(A1208)&lt;10,CONCATENATE("0",MONTH(A1208)),MONTH(A1208)))</f>
        <v>2025/04</v>
      </c>
      <c r="E1208" s="8" t="str">
        <f>IF(IF(D1208&lt;&gt;D1207,1,IF(OR(B1208&lt;&gt;B1207,A1208-A1207&gt;$U$1),1,""))&lt;&gt;1,"",IF(C1208="B01",1965,IF(C1208="B02",1020,IF(C1208="B05",2400,IF(C1208="B03",4260,IF(C1208="B04",2880,IF(C1208="B20",1260,0)))))))</f>
        <v/>
      </c>
      <c r="F1208" s="8" t="str">
        <f>IF(IF(D1208&lt;&gt;D1207,1,IF(OR(B1208&lt;&gt;B1207,A1208-A1207&gt;$U$1),1,""))&lt;&gt;1,"",IF(C1208="B01",1,IF(C1208="B05",1,IF(C1208="B03",1,IF(C1208="B04",1,IF(C1208="B20",1,IF(C1208="B02",1,0)))))))</f>
        <v/>
      </c>
      <c r="G1208"/>
      <c r="H1208" s="2"/>
      <c r="I1208" s="2"/>
      <c r="L1208"/>
      <c r="R1208"/>
    </row>
    <row r="1209" spans="1:18">
      <c r="A1209" s="3">
        <v>45758.750416666669</v>
      </c>
      <c r="B1209" s="2" t="s">
        <v>26</v>
      </c>
      <c r="C1209" s="2" t="s">
        <v>11</v>
      </c>
      <c r="D1209" s="6" t="str">
        <f>CONCATENATE(YEAR(A1209),"/",IF(MONTH(A1209)&lt;10,CONCATENATE("0",MONTH(A1209)),MONTH(A1209)))</f>
        <v>2025/04</v>
      </c>
      <c r="E1209" s="8" t="str">
        <f>IF(IF(D1209&lt;&gt;D1208,1,IF(OR(B1209&lt;&gt;B1208,A1209-A1208&gt;$U$1),1,""))&lt;&gt;1,"",IF(C1209="B01",1965,IF(C1209="B02",1020,IF(C1209="B05",2400,IF(C1209="B03",4260,IF(C1209="B04",2880,IF(C1209="B20",1260,0)))))))</f>
        <v/>
      </c>
      <c r="F1209" s="8" t="str">
        <f>IF(IF(D1209&lt;&gt;D1208,1,IF(OR(B1209&lt;&gt;B1208,A1209-A1208&gt;$U$1),1,""))&lt;&gt;1,"",IF(C1209="B01",1,IF(C1209="B05",1,IF(C1209="B03",1,IF(C1209="B04",1,IF(C1209="B20",1,IF(C1209="B02",1,0)))))))</f>
        <v/>
      </c>
      <c r="G1209"/>
      <c r="H1209" s="2"/>
      <c r="I1209" s="2"/>
      <c r="L1209"/>
      <c r="R1209"/>
    </row>
    <row r="1210" spans="1:18">
      <c r="A1210" s="3">
        <v>45758.750416666669</v>
      </c>
      <c r="B1210" s="2" t="s">
        <v>26</v>
      </c>
      <c r="C1210" s="2" t="s">
        <v>11</v>
      </c>
      <c r="D1210" s="6" t="str">
        <f>CONCATENATE(YEAR(A1210),"/",IF(MONTH(A1210)&lt;10,CONCATENATE("0",MONTH(A1210)),MONTH(A1210)))</f>
        <v>2025/04</v>
      </c>
      <c r="E1210" s="8" t="str">
        <f>IF(IF(D1210&lt;&gt;D1209,1,IF(OR(B1210&lt;&gt;B1209,A1210-A1209&gt;$U$1),1,""))&lt;&gt;1,"",IF(C1210="B01",1965,IF(C1210="B02",1020,IF(C1210="B05",2400,IF(C1210="B03",4260,IF(C1210="B04",2880,IF(C1210="B20",1260,0)))))))</f>
        <v/>
      </c>
      <c r="F1210" s="8" t="str">
        <f>IF(IF(D1210&lt;&gt;D1209,1,IF(OR(B1210&lt;&gt;B1209,A1210-A1209&gt;$U$1),1,""))&lt;&gt;1,"",IF(C1210="B01",1,IF(C1210="B05",1,IF(C1210="B03",1,IF(C1210="B04",1,IF(C1210="B20",1,IF(C1210="B02",1,0)))))))</f>
        <v/>
      </c>
      <c r="G1210"/>
      <c r="H1210" s="2"/>
      <c r="I1210" s="2"/>
      <c r="L1210"/>
      <c r="R1210"/>
    </row>
    <row r="1211" spans="1:18">
      <c r="A1211" s="3">
        <v>45759.032696759263</v>
      </c>
      <c r="B1211" s="2" t="s">
        <v>26</v>
      </c>
      <c r="C1211" s="2" t="s">
        <v>11</v>
      </c>
      <c r="D1211" s="6" t="str">
        <f>CONCATENATE(YEAR(A1211),"/",IF(MONTH(A1211)&lt;10,CONCATENATE("0",MONTH(A1211)),MONTH(A1211)))</f>
        <v>2025/04</v>
      </c>
      <c r="E1211" s="8">
        <f>IF(IF(D1211&lt;&gt;D1210,1,IF(OR(B1211&lt;&gt;B1210,A1211-A1210&gt;$U$1),1,""))&lt;&gt;1,"",IF(C1211="B01",1965,IF(C1211="B02",1020,IF(C1211="B05",2400,IF(C1211="B03",4260,IF(C1211="B04",2880,IF(C1211="B20",1260,0)))))))</f>
        <v>2400</v>
      </c>
      <c r="F1211" s="8">
        <f>IF(IF(D1211&lt;&gt;D1210,1,IF(OR(B1211&lt;&gt;B1210,A1211-A1210&gt;$U$1),1,""))&lt;&gt;1,"",IF(C1211="B01",1,IF(C1211="B05",1,IF(C1211="B03",1,IF(C1211="B04",1,IF(C1211="B20",1,IF(C1211="B02",1,0)))))))</f>
        <v>1</v>
      </c>
      <c r="G1211"/>
      <c r="H1211" s="2"/>
      <c r="I1211" s="2"/>
      <c r="L1211"/>
      <c r="R1211"/>
    </row>
    <row r="1212" spans="1:18">
      <c r="A1212" s="3">
        <v>45759.032696759263</v>
      </c>
      <c r="B1212" s="2" t="s">
        <v>26</v>
      </c>
      <c r="C1212" s="2" t="s">
        <v>11</v>
      </c>
      <c r="D1212" s="6" t="str">
        <f>CONCATENATE(YEAR(A1212),"/",IF(MONTH(A1212)&lt;10,CONCATENATE("0",MONTH(A1212)),MONTH(A1212)))</f>
        <v>2025/04</v>
      </c>
      <c r="E1212" s="8" t="str">
        <f>IF(IF(D1212&lt;&gt;D1211,1,IF(OR(B1212&lt;&gt;B1211,A1212-A1211&gt;$U$1),1,""))&lt;&gt;1,"",IF(C1212="B01",1965,IF(C1212="B02",1020,IF(C1212="B05",2400,IF(C1212="B03",4260,IF(C1212="B04",2880,IF(C1212="B20",1260,0)))))))</f>
        <v/>
      </c>
      <c r="F1212" s="8" t="str">
        <f>IF(IF(D1212&lt;&gt;D1211,1,IF(OR(B1212&lt;&gt;B1211,A1212-A1211&gt;$U$1),1,""))&lt;&gt;1,"",IF(C1212="B01",1,IF(C1212="B05",1,IF(C1212="B03",1,IF(C1212="B04",1,IF(C1212="B20",1,IF(C1212="B02",1,0)))))))</f>
        <v/>
      </c>
      <c r="G1212"/>
      <c r="H1212" s="2"/>
      <c r="I1212" s="2"/>
      <c r="L1212"/>
      <c r="R1212"/>
    </row>
    <row r="1213" spans="1:18">
      <c r="A1213" s="3">
        <v>45759.032696759263</v>
      </c>
      <c r="B1213" s="2" t="s">
        <v>26</v>
      </c>
      <c r="C1213" s="2" t="s">
        <v>11</v>
      </c>
      <c r="D1213" s="6" t="str">
        <f>CONCATENATE(YEAR(A1213),"/",IF(MONTH(A1213)&lt;10,CONCATENATE("0",MONTH(A1213)),MONTH(A1213)))</f>
        <v>2025/04</v>
      </c>
      <c r="E1213" s="8" t="str">
        <f>IF(IF(D1213&lt;&gt;D1212,1,IF(OR(B1213&lt;&gt;B1212,A1213-A1212&gt;$U$1),1,""))&lt;&gt;1,"",IF(C1213="B01",1965,IF(C1213="B02",1020,IF(C1213="B05",2400,IF(C1213="B03",4260,IF(C1213="B04",2880,IF(C1213="B20",1260,0)))))))</f>
        <v/>
      </c>
      <c r="F1213" s="8" t="str">
        <f>IF(IF(D1213&lt;&gt;D1212,1,IF(OR(B1213&lt;&gt;B1212,A1213-A1212&gt;$U$1),1,""))&lt;&gt;1,"",IF(C1213="B01",1,IF(C1213="B05",1,IF(C1213="B03",1,IF(C1213="B04",1,IF(C1213="B20",1,IF(C1213="B02",1,0)))))))</f>
        <v/>
      </c>
      <c r="G1213"/>
      <c r="H1213" s="2"/>
      <c r="I1213" s="2"/>
      <c r="L1213"/>
      <c r="R1213"/>
    </row>
    <row r="1214" spans="1:18">
      <c r="A1214" s="3">
        <v>45759.032708333332</v>
      </c>
      <c r="B1214" s="2" t="s">
        <v>26</v>
      </c>
      <c r="C1214" s="2" t="s">
        <v>11</v>
      </c>
      <c r="D1214" s="6" t="str">
        <f>CONCATENATE(YEAR(A1214),"/",IF(MONTH(A1214)&lt;10,CONCATENATE("0",MONTH(A1214)),MONTH(A1214)))</f>
        <v>2025/04</v>
      </c>
      <c r="E1214" s="8" t="str">
        <f>IF(IF(D1214&lt;&gt;D1213,1,IF(OR(B1214&lt;&gt;B1213,A1214-A1213&gt;$U$1),1,""))&lt;&gt;1,"",IF(C1214="B01",1965,IF(C1214="B02",1020,IF(C1214="B05",2400,IF(C1214="B03",4260,IF(C1214="B04",2880,IF(C1214="B20",1260,0)))))))</f>
        <v/>
      </c>
      <c r="F1214" s="8" t="str">
        <f>IF(IF(D1214&lt;&gt;D1213,1,IF(OR(B1214&lt;&gt;B1213,A1214-A1213&gt;$U$1),1,""))&lt;&gt;1,"",IF(C1214="B01",1,IF(C1214="B05",1,IF(C1214="B03",1,IF(C1214="B04",1,IF(C1214="B20",1,IF(C1214="B02",1,0)))))))</f>
        <v/>
      </c>
      <c r="G1214"/>
      <c r="H1214" s="2"/>
      <c r="I1214" s="2"/>
      <c r="L1214"/>
      <c r="R1214"/>
    </row>
    <row r="1215" spans="1:18">
      <c r="A1215" s="3">
        <v>45759.032708333332</v>
      </c>
      <c r="B1215" s="2" t="s">
        <v>26</v>
      </c>
      <c r="C1215" s="2" t="s">
        <v>11</v>
      </c>
      <c r="D1215" s="6" t="str">
        <f>CONCATENATE(YEAR(A1215),"/",IF(MONTH(A1215)&lt;10,CONCATENATE("0",MONTH(A1215)),MONTH(A1215)))</f>
        <v>2025/04</v>
      </c>
      <c r="E1215" s="8" t="str">
        <f>IF(IF(D1215&lt;&gt;D1214,1,IF(OR(B1215&lt;&gt;B1214,A1215-A1214&gt;$U$1),1,""))&lt;&gt;1,"",IF(C1215="B01",1965,IF(C1215="B02",1020,IF(C1215="B05",2400,IF(C1215="B03",4260,IF(C1215="B04",2880,IF(C1215="B20",1260,0)))))))</f>
        <v/>
      </c>
      <c r="F1215" s="8" t="str">
        <f>IF(IF(D1215&lt;&gt;D1214,1,IF(OR(B1215&lt;&gt;B1214,A1215-A1214&gt;$U$1),1,""))&lt;&gt;1,"",IF(C1215="B01",1,IF(C1215="B05",1,IF(C1215="B03",1,IF(C1215="B04",1,IF(C1215="B20",1,IF(C1215="B02",1,0)))))))</f>
        <v/>
      </c>
      <c r="G1215"/>
      <c r="H1215" s="2"/>
      <c r="I1215" s="2"/>
      <c r="L1215"/>
      <c r="R1215"/>
    </row>
    <row r="1216" spans="1:18">
      <c r="A1216" s="3">
        <v>45759.203518518516</v>
      </c>
      <c r="B1216" s="2" t="s">
        <v>26</v>
      </c>
      <c r="C1216" s="2" t="s">
        <v>11</v>
      </c>
      <c r="D1216" s="6" t="str">
        <f>CONCATENATE(YEAR(A1216),"/",IF(MONTH(A1216)&lt;10,CONCATENATE("0",MONTH(A1216)),MONTH(A1216)))</f>
        <v>2025/04</v>
      </c>
      <c r="E1216" s="8">
        <f>IF(IF(D1216&lt;&gt;D1215,1,IF(OR(B1216&lt;&gt;B1215,A1216-A1215&gt;$U$1),1,""))&lt;&gt;1,"",IF(C1216="B01",1965,IF(C1216="B02",1020,IF(C1216="B05",2400,IF(C1216="B03",4260,IF(C1216="B04",2880,IF(C1216="B20",1260,0)))))))</f>
        <v>2400</v>
      </c>
      <c r="F1216" s="8">
        <f>IF(IF(D1216&lt;&gt;D1215,1,IF(OR(B1216&lt;&gt;B1215,A1216-A1215&gt;$U$1),1,""))&lt;&gt;1,"",IF(C1216="B01",1,IF(C1216="B05",1,IF(C1216="B03",1,IF(C1216="B04",1,IF(C1216="B20",1,IF(C1216="B02",1,0)))))))</f>
        <v>1</v>
      </c>
      <c r="G1216"/>
      <c r="H1216" s="2"/>
      <c r="I1216" s="2"/>
      <c r="L1216"/>
      <c r="R1216"/>
    </row>
    <row r="1217" spans="1:18">
      <c r="A1217" s="3">
        <v>45759.203518518516</v>
      </c>
      <c r="B1217" s="2" t="s">
        <v>26</v>
      </c>
      <c r="C1217" s="2" t="s">
        <v>11</v>
      </c>
      <c r="D1217" s="6" t="str">
        <f>CONCATENATE(YEAR(A1217),"/",IF(MONTH(A1217)&lt;10,CONCATENATE("0",MONTH(A1217)),MONTH(A1217)))</f>
        <v>2025/04</v>
      </c>
      <c r="E1217" s="8" t="str">
        <f>IF(IF(D1217&lt;&gt;D1216,1,IF(OR(B1217&lt;&gt;B1216,A1217-A1216&gt;$U$1),1,""))&lt;&gt;1,"",IF(C1217="B01",1965,IF(C1217="B02",1020,IF(C1217="B05",2400,IF(C1217="B03",4260,IF(C1217="B04",2880,IF(C1217="B20",1260,0)))))))</f>
        <v/>
      </c>
      <c r="F1217" s="8" t="str">
        <f>IF(IF(D1217&lt;&gt;D1216,1,IF(OR(B1217&lt;&gt;B1216,A1217-A1216&gt;$U$1),1,""))&lt;&gt;1,"",IF(C1217="B01",1,IF(C1217="B05",1,IF(C1217="B03",1,IF(C1217="B04",1,IF(C1217="B20",1,IF(C1217="B02",1,0)))))))</f>
        <v/>
      </c>
      <c r="G1217"/>
      <c r="H1217" s="2"/>
      <c r="I1217" s="2"/>
      <c r="L1217"/>
      <c r="R1217"/>
    </row>
    <row r="1218" spans="1:18">
      <c r="A1218" s="3">
        <v>45759.203518518516</v>
      </c>
      <c r="B1218" s="2" t="s">
        <v>26</v>
      </c>
      <c r="C1218" s="2" t="s">
        <v>11</v>
      </c>
      <c r="D1218" s="6" t="str">
        <f>CONCATENATE(YEAR(A1218),"/",IF(MONTH(A1218)&lt;10,CONCATENATE("0",MONTH(A1218)),MONTH(A1218)))</f>
        <v>2025/04</v>
      </c>
      <c r="E1218" s="8" t="str">
        <f>IF(IF(D1218&lt;&gt;D1217,1,IF(OR(B1218&lt;&gt;B1217,A1218-A1217&gt;$U$1),1,""))&lt;&gt;1,"",IF(C1218="B01",1965,IF(C1218="B02",1020,IF(C1218="B05",2400,IF(C1218="B03",4260,IF(C1218="B04",2880,IF(C1218="B20",1260,0)))))))</f>
        <v/>
      </c>
      <c r="F1218" s="8" t="str">
        <f>IF(IF(D1218&lt;&gt;D1217,1,IF(OR(B1218&lt;&gt;B1217,A1218-A1217&gt;$U$1),1,""))&lt;&gt;1,"",IF(C1218="B01",1,IF(C1218="B05",1,IF(C1218="B03",1,IF(C1218="B04",1,IF(C1218="B20",1,IF(C1218="B02",1,0)))))))</f>
        <v/>
      </c>
      <c r="G1218"/>
      <c r="H1218" s="2"/>
      <c r="I1218" s="2"/>
      <c r="L1218"/>
      <c r="R1218"/>
    </row>
    <row r="1219" spans="1:18">
      <c r="A1219" s="3">
        <v>45759.606793981482</v>
      </c>
      <c r="B1219" s="2" t="s">
        <v>26</v>
      </c>
      <c r="C1219" s="2" t="s">
        <v>11</v>
      </c>
      <c r="D1219" s="6" t="str">
        <f>CONCATENATE(YEAR(A1219),"/",IF(MONTH(A1219)&lt;10,CONCATENATE("0",MONTH(A1219)),MONTH(A1219)))</f>
        <v>2025/04</v>
      </c>
      <c r="E1219" s="8">
        <f>IF(IF(D1219&lt;&gt;D1218,1,IF(OR(B1219&lt;&gt;B1218,A1219-A1218&gt;$U$1),1,""))&lt;&gt;1,"",IF(C1219="B01",1965,IF(C1219="B02",1020,IF(C1219="B05",2400,IF(C1219="B03",4260,IF(C1219="B04",2880,IF(C1219="B20",1260,0)))))))</f>
        <v>2400</v>
      </c>
      <c r="F1219" s="8">
        <f>IF(IF(D1219&lt;&gt;D1218,1,IF(OR(B1219&lt;&gt;B1218,A1219-A1218&gt;$U$1),1,""))&lt;&gt;1,"",IF(C1219="B01",1,IF(C1219="B05",1,IF(C1219="B03",1,IF(C1219="B04",1,IF(C1219="B20",1,IF(C1219="B02",1,0)))))))</f>
        <v>1</v>
      </c>
      <c r="G1219"/>
      <c r="H1219" s="2"/>
      <c r="I1219" s="2"/>
      <c r="L1219"/>
      <c r="R1219"/>
    </row>
    <row r="1220" spans="1:18">
      <c r="A1220" s="3">
        <v>45759.606793981482</v>
      </c>
      <c r="B1220" s="2" t="s">
        <v>26</v>
      </c>
      <c r="C1220" s="2" t="s">
        <v>11</v>
      </c>
      <c r="D1220" s="6" t="str">
        <f>CONCATENATE(YEAR(A1220),"/",IF(MONTH(A1220)&lt;10,CONCATENATE("0",MONTH(A1220)),MONTH(A1220)))</f>
        <v>2025/04</v>
      </c>
      <c r="E1220" s="8" t="str">
        <f>IF(IF(D1220&lt;&gt;D1219,1,IF(OR(B1220&lt;&gt;B1219,A1220-A1219&gt;$U$1),1,""))&lt;&gt;1,"",IF(C1220="B01",1965,IF(C1220="B02",1020,IF(C1220="B05",2400,IF(C1220="B03",4260,IF(C1220="B04",2880,IF(C1220="B20",1260,0)))))))</f>
        <v/>
      </c>
      <c r="F1220" s="8" t="str">
        <f>IF(IF(D1220&lt;&gt;D1219,1,IF(OR(B1220&lt;&gt;B1219,A1220-A1219&gt;$U$1),1,""))&lt;&gt;1,"",IF(C1220="B01",1,IF(C1220="B05",1,IF(C1220="B03",1,IF(C1220="B04",1,IF(C1220="B20",1,IF(C1220="B02",1,0)))))))</f>
        <v/>
      </c>
      <c r="G1220"/>
      <c r="H1220" s="2"/>
      <c r="I1220" s="2"/>
      <c r="L1220"/>
      <c r="R1220"/>
    </row>
    <row r="1221" spans="1:18">
      <c r="A1221" s="3">
        <v>45759.606793981482</v>
      </c>
      <c r="B1221" s="2" t="s">
        <v>26</v>
      </c>
      <c r="C1221" s="2" t="s">
        <v>11</v>
      </c>
      <c r="D1221" s="6" t="str">
        <f>CONCATENATE(YEAR(A1221),"/",IF(MONTH(A1221)&lt;10,CONCATENATE("0",MONTH(A1221)),MONTH(A1221)))</f>
        <v>2025/04</v>
      </c>
      <c r="E1221" s="8" t="str">
        <f>IF(IF(D1221&lt;&gt;D1220,1,IF(OR(B1221&lt;&gt;B1220,A1221-A1220&gt;$U$1),1,""))&lt;&gt;1,"",IF(C1221="B01",1965,IF(C1221="B02",1020,IF(C1221="B05",2400,IF(C1221="B03",4260,IF(C1221="B04",2880,IF(C1221="B20",1260,0)))))))</f>
        <v/>
      </c>
      <c r="F1221" s="8" t="str">
        <f>IF(IF(D1221&lt;&gt;D1220,1,IF(OR(B1221&lt;&gt;B1220,A1221-A1220&gt;$U$1),1,""))&lt;&gt;1,"",IF(C1221="B01",1,IF(C1221="B05",1,IF(C1221="B03",1,IF(C1221="B04",1,IF(C1221="B20",1,IF(C1221="B02",1,0)))))))</f>
        <v/>
      </c>
      <c r="G1221"/>
      <c r="H1221" s="2"/>
      <c r="I1221" s="2"/>
      <c r="L1221"/>
      <c r="R1221"/>
    </row>
    <row r="1222" spans="1:18">
      <c r="A1222" s="3">
        <v>45759.741516203707</v>
      </c>
      <c r="B1222" s="2" t="s">
        <v>26</v>
      </c>
      <c r="C1222" s="2" t="s">
        <v>11</v>
      </c>
      <c r="D1222" s="6" t="str">
        <f>CONCATENATE(YEAR(A1222),"/",IF(MONTH(A1222)&lt;10,CONCATENATE("0",MONTH(A1222)),MONTH(A1222)))</f>
        <v>2025/04</v>
      </c>
      <c r="E1222" s="8">
        <f>IF(IF(D1222&lt;&gt;D1221,1,IF(OR(B1222&lt;&gt;B1221,A1222-A1221&gt;$U$1),1,""))&lt;&gt;1,"",IF(C1222="B01",1965,IF(C1222="B02",1020,IF(C1222="B05",2400,IF(C1222="B03",4260,IF(C1222="B04",2880,IF(C1222="B20",1260,0)))))))</f>
        <v>2400</v>
      </c>
      <c r="F1222" s="8">
        <f>IF(IF(D1222&lt;&gt;D1221,1,IF(OR(B1222&lt;&gt;B1221,A1222-A1221&gt;$U$1),1,""))&lt;&gt;1,"",IF(C1222="B01",1,IF(C1222="B05",1,IF(C1222="B03",1,IF(C1222="B04",1,IF(C1222="B20",1,IF(C1222="B02",1,0)))))))</f>
        <v>1</v>
      </c>
      <c r="G1222"/>
      <c r="H1222" s="2"/>
      <c r="I1222" s="2"/>
      <c r="L1222"/>
      <c r="R1222"/>
    </row>
    <row r="1223" spans="1:18">
      <c r="A1223" s="3">
        <v>45759.741516203707</v>
      </c>
      <c r="B1223" s="2" t="s">
        <v>26</v>
      </c>
      <c r="C1223" s="2" t="s">
        <v>11</v>
      </c>
      <c r="D1223" s="6" t="str">
        <f>CONCATENATE(YEAR(A1223),"/",IF(MONTH(A1223)&lt;10,CONCATENATE("0",MONTH(A1223)),MONTH(A1223)))</f>
        <v>2025/04</v>
      </c>
      <c r="E1223" s="8" t="str">
        <f>IF(IF(D1223&lt;&gt;D1222,1,IF(OR(B1223&lt;&gt;B1222,A1223-A1222&gt;$U$1),1,""))&lt;&gt;1,"",IF(C1223="B01",1965,IF(C1223="B02",1020,IF(C1223="B05",2400,IF(C1223="B03",4260,IF(C1223="B04",2880,IF(C1223="B20",1260,0)))))))</f>
        <v/>
      </c>
      <c r="F1223" s="8" t="str">
        <f>IF(IF(D1223&lt;&gt;D1222,1,IF(OR(B1223&lt;&gt;B1222,A1223-A1222&gt;$U$1),1,""))&lt;&gt;1,"",IF(C1223="B01",1,IF(C1223="B05",1,IF(C1223="B03",1,IF(C1223="B04",1,IF(C1223="B20",1,IF(C1223="B02",1,0)))))))</f>
        <v/>
      </c>
      <c r="G1223"/>
      <c r="H1223" s="2"/>
      <c r="I1223" s="2"/>
      <c r="L1223"/>
      <c r="R1223"/>
    </row>
    <row r="1224" spans="1:18">
      <c r="A1224" s="3">
        <v>45759.741516203707</v>
      </c>
      <c r="B1224" s="2" t="s">
        <v>26</v>
      </c>
      <c r="C1224" s="2" t="s">
        <v>11</v>
      </c>
      <c r="D1224" s="6" t="str">
        <f>CONCATENATE(YEAR(A1224),"/",IF(MONTH(A1224)&lt;10,CONCATENATE("0",MONTH(A1224)),MONTH(A1224)))</f>
        <v>2025/04</v>
      </c>
      <c r="E1224" s="8" t="str">
        <f>IF(IF(D1224&lt;&gt;D1223,1,IF(OR(B1224&lt;&gt;B1223,A1224-A1223&gt;$U$1),1,""))&lt;&gt;1,"",IF(C1224="B01",1965,IF(C1224="B02",1020,IF(C1224="B05",2400,IF(C1224="B03",4260,IF(C1224="B04",2880,IF(C1224="B20",1260,0)))))))</f>
        <v/>
      </c>
      <c r="F1224" s="8" t="str">
        <f>IF(IF(D1224&lt;&gt;D1223,1,IF(OR(B1224&lt;&gt;B1223,A1224-A1223&gt;$U$1),1,""))&lt;&gt;1,"",IF(C1224="B01",1,IF(C1224="B05",1,IF(C1224="B03",1,IF(C1224="B04",1,IF(C1224="B20",1,IF(C1224="B02",1,0)))))))</f>
        <v/>
      </c>
      <c r="G1224"/>
      <c r="H1224" s="2"/>
      <c r="I1224" s="2"/>
      <c r="L1224"/>
      <c r="R1224"/>
    </row>
    <row r="1225" spans="1:18">
      <c r="A1225" s="3">
        <v>45759.741516203707</v>
      </c>
      <c r="B1225" s="2" t="s">
        <v>26</v>
      </c>
      <c r="C1225" s="2" t="s">
        <v>11</v>
      </c>
      <c r="D1225" s="6" t="str">
        <f>CONCATENATE(YEAR(A1225),"/",IF(MONTH(A1225)&lt;10,CONCATENATE("0",MONTH(A1225)),MONTH(A1225)))</f>
        <v>2025/04</v>
      </c>
      <c r="E1225" s="8" t="str">
        <f>IF(IF(D1225&lt;&gt;D1224,1,IF(OR(B1225&lt;&gt;B1224,A1225-A1224&gt;$U$1),1,""))&lt;&gt;1,"",IF(C1225="B01",1965,IF(C1225="B02",1020,IF(C1225="B05",2400,IF(C1225="B03",4260,IF(C1225="B04",2880,IF(C1225="B20",1260,0)))))))</f>
        <v/>
      </c>
      <c r="F1225" s="8" t="str">
        <f>IF(IF(D1225&lt;&gt;D1224,1,IF(OR(B1225&lt;&gt;B1224,A1225-A1224&gt;$U$1),1,""))&lt;&gt;1,"",IF(C1225="B01",1,IF(C1225="B05",1,IF(C1225="B03",1,IF(C1225="B04",1,IF(C1225="B20",1,IF(C1225="B02",1,0)))))))</f>
        <v/>
      </c>
      <c r="G1225"/>
      <c r="H1225" s="2"/>
      <c r="I1225" s="2"/>
      <c r="L1225"/>
      <c r="R1225"/>
    </row>
    <row r="1226" spans="1:18">
      <c r="A1226" s="3">
        <v>45759.741516203707</v>
      </c>
      <c r="B1226" s="2" t="s">
        <v>26</v>
      </c>
      <c r="C1226" s="2" t="s">
        <v>11</v>
      </c>
      <c r="D1226" s="6" t="str">
        <f>CONCATENATE(YEAR(A1226),"/",IF(MONTH(A1226)&lt;10,CONCATENATE("0",MONTH(A1226)),MONTH(A1226)))</f>
        <v>2025/04</v>
      </c>
      <c r="E1226" s="8" t="str">
        <f>IF(IF(D1226&lt;&gt;D1225,1,IF(OR(B1226&lt;&gt;B1225,A1226-A1225&gt;$U$1),1,""))&lt;&gt;1,"",IF(C1226="B01",1965,IF(C1226="B02",1020,IF(C1226="B05",2400,IF(C1226="B03",4260,IF(C1226="B04",2880,IF(C1226="B20",1260,0)))))))</f>
        <v/>
      </c>
      <c r="F1226" s="8" t="str">
        <f>IF(IF(D1226&lt;&gt;D1225,1,IF(OR(B1226&lt;&gt;B1225,A1226-A1225&gt;$U$1),1,""))&lt;&gt;1,"",IF(C1226="B01",1,IF(C1226="B05",1,IF(C1226="B03",1,IF(C1226="B04",1,IF(C1226="B20",1,IF(C1226="B02",1,0)))))))</f>
        <v/>
      </c>
      <c r="G1226"/>
      <c r="H1226" s="2"/>
      <c r="I1226" s="2"/>
      <c r="L1226"/>
      <c r="R1226"/>
    </row>
    <row r="1227" spans="1:18">
      <c r="A1227" s="3">
        <v>45760.010972222219</v>
      </c>
      <c r="B1227" s="2" t="s">
        <v>26</v>
      </c>
      <c r="C1227" s="2" t="s">
        <v>11</v>
      </c>
      <c r="D1227" s="6" t="str">
        <f>CONCATENATE(YEAR(A1227),"/",IF(MONTH(A1227)&lt;10,CONCATENATE("0",MONTH(A1227)),MONTH(A1227)))</f>
        <v>2025/04</v>
      </c>
      <c r="E1227" s="8">
        <f>IF(IF(D1227&lt;&gt;D1226,1,IF(OR(B1227&lt;&gt;B1226,A1227-A1226&gt;$U$1),1,""))&lt;&gt;1,"",IF(C1227="B01",1965,IF(C1227="B02",1020,IF(C1227="B05",2400,IF(C1227="B03",4260,IF(C1227="B04",2880,IF(C1227="B20",1260,0)))))))</f>
        <v>2400</v>
      </c>
      <c r="F1227" s="8">
        <f>IF(IF(D1227&lt;&gt;D1226,1,IF(OR(B1227&lt;&gt;B1226,A1227-A1226&gt;$U$1),1,""))&lt;&gt;1,"",IF(C1227="B01",1,IF(C1227="B05",1,IF(C1227="B03",1,IF(C1227="B04",1,IF(C1227="B20",1,IF(C1227="B02",1,0)))))))</f>
        <v>1</v>
      </c>
      <c r="G1227"/>
      <c r="H1227" s="2"/>
      <c r="I1227" s="2"/>
      <c r="L1227"/>
      <c r="R1227"/>
    </row>
    <row r="1228" spans="1:18">
      <c r="A1228" s="3">
        <v>45760.010972222219</v>
      </c>
      <c r="B1228" s="2" t="s">
        <v>26</v>
      </c>
      <c r="C1228" s="2" t="s">
        <v>11</v>
      </c>
      <c r="D1228" s="6" t="str">
        <f>CONCATENATE(YEAR(A1228),"/",IF(MONTH(A1228)&lt;10,CONCATENATE("0",MONTH(A1228)),MONTH(A1228)))</f>
        <v>2025/04</v>
      </c>
      <c r="E1228" s="8" t="str">
        <f>IF(IF(D1228&lt;&gt;D1227,1,IF(OR(B1228&lt;&gt;B1227,A1228-A1227&gt;$U$1),1,""))&lt;&gt;1,"",IF(C1228="B01",1965,IF(C1228="B02",1020,IF(C1228="B05",2400,IF(C1228="B03",4260,IF(C1228="B04",2880,IF(C1228="B20",1260,0)))))))</f>
        <v/>
      </c>
      <c r="F1228" s="8" t="str">
        <f>IF(IF(D1228&lt;&gt;D1227,1,IF(OR(B1228&lt;&gt;B1227,A1228-A1227&gt;$U$1),1,""))&lt;&gt;1,"",IF(C1228="B01",1,IF(C1228="B05",1,IF(C1228="B03",1,IF(C1228="B04",1,IF(C1228="B20",1,IF(C1228="B02",1,0)))))))</f>
        <v/>
      </c>
      <c r="G1228"/>
      <c r="H1228" s="2"/>
      <c r="I1228" s="2"/>
      <c r="L1228"/>
      <c r="R1228"/>
    </row>
    <row r="1229" spans="1:18">
      <c r="A1229" s="3">
        <v>45760.010972222219</v>
      </c>
      <c r="B1229" s="2" t="s">
        <v>26</v>
      </c>
      <c r="C1229" s="2" t="s">
        <v>11</v>
      </c>
      <c r="D1229" s="6" t="str">
        <f>CONCATENATE(YEAR(A1229),"/",IF(MONTH(A1229)&lt;10,CONCATENATE("0",MONTH(A1229)),MONTH(A1229)))</f>
        <v>2025/04</v>
      </c>
      <c r="E1229" s="8" t="str">
        <f>IF(IF(D1229&lt;&gt;D1228,1,IF(OR(B1229&lt;&gt;B1228,A1229-A1228&gt;$U$1),1,""))&lt;&gt;1,"",IF(C1229="B01",1965,IF(C1229="B02",1020,IF(C1229="B05",2400,IF(C1229="B03",4260,IF(C1229="B04",2880,IF(C1229="B20",1260,0)))))))</f>
        <v/>
      </c>
      <c r="F1229" s="8" t="str">
        <f>IF(IF(D1229&lt;&gt;D1228,1,IF(OR(B1229&lt;&gt;B1228,A1229-A1228&gt;$U$1),1,""))&lt;&gt;1,"",IF(C1229="B01",1,IF(C1229="B05",1,IF(C1229="B03",1,IF(C1229="B04",1,IF(C1229="B20",1,IF(C1229="B02",1,0)))))))</f>
        <v/>
      </c>
      <c r="G1229"/>
      <c r="H1229" s="2"/>
      <c r="I1229" s="2"/>
      <c r="L1229"/>
      <c r="R1229"/>
    </row>
    <row r="1230" spans="1:18">
      <c r="A1230" s="3">
        <v>45760.010972222219</v>
      </c>
      <c r="B1230" s="2" t="s">
        <v>26</v>
      </c>
      <c r="C1230" s="2" t="s">
        <v>11</v>
      </c>
      <c r="D1230" s="6" t="str">
        <f>CONCATENATE(YEAR(A1230),"/",IF(MONTH(A1230)&lt;10,CONCATENATE("0",MONTH(A1230)),MONTH(A1230)))</f>
        <v>2025/04</v>
      </c>
      <c r="E1230" s="8" t="str">
        <f>IF(IF(D1230&lt;&gt;D1229,1,IF(OR(B1230&lt;&gt;B1229,A1230-A1229&gt;$U$1),1,""))&lt;&gt;1,"",IF(C1230="B01",1965,IF(C1230="B02",1020,IF(C1230="B05",2400,IF(C1230="B03",4260,IF(C1230="B04",2880,IF(C1230="B20",1260,0)))))))</f>
        <v/>
      </c>
      <c r="F1230" s="8" t="str">
        <f>IF(IF(D1230&lt;&gt;D1229,1,IF(OR(B1230&lt;&gt;B1229,A1230-A1229&gt;$U$1),1,""))&lt;&gt;1,"",IF(C1230="B01",1,IF(C1230="B05",1,IF(C1230="B03",1,IF(C1230="B04",1,IF(C1230="B20",1,IF(C1230="B02",1,0)))))))</f>
        <v/>
      </c>
      <c r="G1230"/>
      <c r="H1230" s="2"/>
      <c r="I1230" s="2"/>
      <c r="L1230"/>
      <c r="R1230"/>
    </row>
    <row r="1231" spans="1:18">
      <c r="A1231" s="3">
        <v>45760.010972222219</v>
      </c>
      <c r="B1231" s="2" t="s">
        <v>26</v>
      </c>
      <c r="C1231" s="2" t="s">
        <v>11</v>
      </c>
      <c r="D1231" s="6" t="str">
        <f>CONCATENATE(YEAR(A1231),"/",IF(MONTH(A1231)&lt;10,CONCATENATE("0",MONTH(A1231)),MONTH(A1231)))</f>
        <v>2025/04</v>
      </c>
      <c r="E1231" s="8" t="str">
        <f>IF(IF(D1231&lt;&gt;D1230,1,IF(OR(B1231&lt;&gt;B1230,A1231-A1230&gt;$U$1),1,""))&lt;&gt;1,"",IF(C1231="B01",1965,IF(C1231="B02",1020,IF(C1231="B05",2400,IF(C1231="B03",4260,IF(C1231="B04",2880,IF(C1231="B20",1260,0)))))))</f>
        <v/>
      </c>
      <c r="F1231" s="8" t="str">
        <f>IF(IF(D1231&lt;&gt;D1230,1,IF(OR(B1231&lt;&gt;B1230,A1231-A1230&gt;$U$1),1,""))&lt;&gt;1,"",IF(C1231="B01",1,IF(C1231="B05",1,IF(C1231="B03",1,IF(C1231="B04",1,IF(C1231="B20",1,IF(C1231="B02",1,0)))))))</f>
        <v/>
      </c>
      <c r="G1231"/>
      <c r="H1231" s="2"/>
      <c r="I1231" s="2"/>
      <c r="L1231"/>
      <c r="R1231"/>
    </row>
    <row r="1232" spans="1:18">
      <c r="A1232" s="3">
        <v>45760.200324074074</v>
      </c>
      <c r="B1232" s="2" t="s">
        <v>26</v>
      </c>
      <c r="C1232" s="2" t="s">
        <v>12</v>
      </c>
      <c r="D1232" s="6" t="str">
        <f>CONCATENATE(YEAR(A1232),"/",IF(MONTH(A1232)&lt;10,CONCATENATE("0",MONTH(A1232)),MONTH(A1232)))</f>
        <v>2025/04</v>
      </c>
      <c r="E1232" s="8">
        <f>IF(IF(D1232&lt;&gt;D1231,1,IF(OR(B1232&lt;&gt;B1231,A1232-A1231&gt;$U$1),1,""))&lt;&gt;1,"",IF(C1232="B01",1965,IF(C1232="B02",1020,IF(C1232="B05",2400,IF(C1232="B03",4260,IF(C1232="B04",2880,IF(C1232="B20",1260,0)))))))</f>
        <v>4260</v>
      </c>
      <c r="F1232" s="8">
        <f>IF(IF(D1232&lt;&gt;D1231,1,IF(OR(B1232&lt;&gt;B1231,A1232-A1231&gt;$U$1),1,""))&lt;&gt;1,"",IF(C1232="B01",1,IF(C1232="B05",1,IF(C1232="B03",1,IF(C1232="B04",1,IF(C1232="B20",1,IF(C1232="B02",1,0)))))))</f>
        <v>1</v>
      </c>
      <c r="G1232"/>
      <c r="H1232" s="2"/>
      <c r="I1232" s="2"/>
      <c r="L1232"/>
      <c r="R1232"/>
    </row>
    <row r="1233" spans="1:18">
      <c r="A1233" s="3">
        <v>45760.561261574076</v>
      </c>
      <c r="B1233" s="2" t="s">
        <v>26</v>
      </c>
      <c r="C1233" s="2" t="s">
        <v>11</v>
      </c>
      <c r="D1233" s="6" t="str">
        <f>CONCATENATE(YEAR(A1233),"/",IF(MONTH(A1233)&lt;10,CONCATENATE("0",MONTH(A1233)),MONTH(A1233)))</f>
        <v>2025/04</v>
      </c>
      <c r="E1233" s="8">
        <f>IF(IF(D1233&lt;&gt;D1232,1,IF(OR(B1233&lt;&gt;B1232,A1233-A1232&gt;$U$1),1,""))&lt;&gt;1,"",IF(C1233="B01",1965,IF(C1233="B02",1020,IF(C1233="B05",2400,IF(C1233="B03",4260,IF(C1233="B04",2880,IF(C1233="B20",1260,0)))))))</f>
        <v>2400</v>
      </c>
      <c r="F1233" s="8">
        <f>IF(IF(D1233&lt;&gt;D1232,1,IF(OR(B1233&lt;&gt;B1232,A1233-A1232&gt;$U$1),1,""))&lt;&gt;1,"",IF(C1233="B01",1,IF(C1233="B05",1,IF(C1233="B03",1,IF(C1233="B04",1,IF(C1233="B20",1,IF(C1233="B02",1,0)))))))</f>
        <v>1</v>
      </c>
      <c r="G1233"/>
      <c r="H1233" s="2"/>
      <c r="I1233" s="2"/>
      <c r="L1233"/>
      <c r="R1233"/>
    </row>
    <row r="1234" spans="1:18">
      <c r="A1234" s="3">
        <v>45760.561261574076</v>
      </c>
      <c r="B1234" s="2" t="s">
        <v>26</v>
      </c>
      <c r="C1234" s="2" t="s">
        <v>11</v>
      </c>
      <c r="D1234" s="6" t="str">
        <f>CONCATENATE(YEAR(A1234),"/",IF(MONTH(A1234)&lt;10,CONCATENATE("0",MONTH(A1234)),MONTH(A1234)))</f>
        <v>2025/04</v>
      </c>
      <c r="E1234" s="8" t="str">
        <f>IF(IF(D1234&lt;&gt;D1233,1,IF(OR(B1234&lt;&gt;B1233,A1234-A1233&gt;$U$1),1,""))&lt;&gt;1,"",IF(C1234="B01",1965,IF(C1234="B02",1020,IF(C1234="B05",2400,IF(C1234="B03",4260,IF(C1234="B04",2880,IF(C1234="B20",1260,0)))))))</f>
        <v/>
      </c>
      <c r="F1234" s="8" t="str">
        <f>IF(IF(D1234&lt;&gt;D1233,1,IF(OR(B1234&lt;&gt;B1233,A1234-A1233&gt;$U$1),1,""))&lt;&gt;1,"",IF(C1234="B01",1,IF(C1234="B05",1,IF(C1234="B03",1,IF(C1234="B04",1,IF(C1234="B20",1,IF(C1234="B02",1,0)))))))</f>
        <v/>
      </c>
      <c r="G1234"/>
      <c r="H1234" s="2"/>
      <c r="I1234" s="2"/>
      <c r="L1234"/>
      <c r="R1234"/>
    </row>
    <row r="1235" spans="1:18">
      <c r="A1235" s="3">
        <v>45760.561261574076</v>
      </c>
      <c r="B1235" s="2" t="s">
        <v>26</v>
      </c>
      <c r="C1235" s="2" t="s">
        <v>11</v>
      </c>
      <c r="D1235" s="6" t="str">
        <f>CONCATENATE(YEAR(A1235),"/",IF(MONTH(A1235)&lt;10,CONCATENATE("0",MONTH(A1235)),MONTH(A1235)))</f>
        <v>2025/04</v>
      </c>
      <c r="E1235" s="8" t="str">
        <f>IF(IF(D1235&lt;&gt;D1234,1,IF(OR(B1235&lt;&gt;B1234,A1235-A1234&gt;$U$1),1,""))&lt;&gt;1,"",IF(C1235="B01",1965,IF(C1235="B02",1020,IF(C1235="B05",2400,IF(C1235="B03",4260,IF(C1235="B04",2880,IF(C1235="B20",1260,0)))))))</f>
        <v/>
      </c>
      <c r="F1235" s="8" t="str">
        <f>IF(IF(D1235&lt;&gt;D1234,1,IF(OR(B1235&lt;&gt;B1234,A1235-A1234&gt;$U$1),1,""))&lt;&gt;1,"",IF(C1235="B01",1,IF(C1235="B05",1,IF(C1235="B03",1,IF(C1235="B04",1,IF(C1235="B20",1,IF(C1235="B02",1,0)))))))</f>
        <v/>
      </c>
      <c r="G1235"/>
      <c r="H1235" s="2"/>
      <c r="I1235" s="2"/>
      <c r="L1235"/>
      <c r="R1235"/>
    </row>
    <row r="1236" spans="1:18">
      <c r="A1236" s="3">
        <v>45760.561261574076</v>
      </c>
      <c r="B1236" s="2" t="s">
        <v>26</v>
      </c>
      <c r="C1236" s="2" t="s">
        <v>11</v>
      </c>
      <c r="D1236" s="6" t="str">
        <f>CONCATENATE(YEAR(A1236),"/",IF(MONTH(A1236)&lt;10,CONCATENATE("0",MONTH(A1236)),MONTH(A1236)))</f>
        <v>2025/04</v>
      </c>
      <c r="E1236" s="8" t="str">
        <f>IF(IF(D1236&lt;&gt;D1235,1,IF(OR(B1236&lt;&gt;B1235,A1236-A1235&gt;$U$1),1,""))&lt;&gt;1,"",IF(C1236="B01",1965,IF(C1236="B02",1020,IF(C1236="B05",2400,IF(C1236="B03",4260,IF(C1236="B04",2880,IF(C1236="B20",1260,0)))))))</f>
        <v/>
      </c>
      <c r="F1236" s="8" t="str">
        <f>IF(IF(D1236&lt;&gt;D1235,1,IF(OR(B1236&lt;&gt;B1235,A1236-A1235&gt;$U$1),1,""))&lt;&gt;1,"",IF(C1236="B01",1,IF(C1236="B05",1,IF(C1236="B03",1,IF(C1236="B04",1,IF(C1236="B20",1,IF(C1236="B02",1,0)))))))</f>
        <v/>
      </c>
      <c r="G1236"/>
      <c r="H1236" s="2"/>
      <c r="I1236" s="2"/>
      <c r="L1236"/>
      <c r="R1236"/>
    </row>
    <row r="1237" spans="1:18">
      <c r="A1237" s="3">
        <v>45760.561261574076</v>
      </c>
      <c r="B1237" s="2" t="s">
        <v>26</v>
      </c>
      <c r="C1237" s="2" t="s">
        <v>11</v>
      </c>
      <c r="D1237" s="6" t="str">
        <f>CONCATENATE(YEAR(A1237),"/",IF(MONTH(A1237)&lt;10,CONCATENATE("0",MONTH(A1237)),MONTH(A1237)))</f>
        <v>2025/04</v>
      </c>
      <c r="E1237" s="8" t="str">
        <f>IF(IF(D1237&lt;&gt;D1236,1,IF(OR(B1237&lt;&gt;B1236,A1237-A1236&gt;$U$1),1,""))&lt;&gt;1,"",IF(C1237="B01",1965,IF(C1237="B02",1020,IF(C1237="B05",2400,IF(C1237="B03",4260,IF(C1237="B04",2880,IF(C1237="B20",1260,0)))))))</f>
        <v/>
      </c>
      <c r="F1237" s="8" t="str">
        <f>IF(IF(D1237&lt;&gt;D1236,1,IF(OR(B1237&lt;&gt;B1236,A1237-A1236&gt;$U$1),1,""))&lt;&gt;1,"",IF(C1237="B01",1,IF(C1237="B05",1,IF(C1237="B03",1,IF(C1237="B04",1,IF(C1237="B20",1,IF(C1237="B02",1,0)))))))</f>
        <v/>
      </c>
      <c r="G1237"/>
      <c r="H1237" s="2"/>
      <c r="I1237" s="2"/>
      <c r="L1237"/>
      <c r="R1237"/>
    </row>
    <row r="1238" spans="1:18">
      <c r="A1238" s="3">
        <v>45760.770671296297</v>
      </c>
      <c r="B1238" s="2" t="s">
        <v>26</v>
      </c>
      <c r="C1238" s="2" t="s">
        <v>11</v>
      </c>
      <c r="D1238" s="6" t="str">
        <f>CONCATENATE(YEAR(A1238),"/",IF(MONTH(A1238)&lt;10,CONCATENATE("0",MONTH(A1238)),MONTH(A1238)))</f>
        <v>2025/04</v>
      </c>
      <c r="E1238" s="8">
        <f>IF(IF(D1238&lt;&gt;D1237,1,IF(OR(B1238&lt;&gt;B1237,A1238-A1237&gt;$U$1),1,""))&lt;&gt;1,"",IF(C1238="B01",1965,IF(C1238="B02",1020,IF(C1238="B05",2400,IF(C1238="B03",4260,IF(C1238="B04",2880,IF(C1238="B20",1260,0)))))))</f>
        <v>2400</v>
      </c>
      <c r="F1238" s="8">
        <f>IF(IF(D1238&lt;&gt;D1237,1,IF(OR(B1238&lt;&gt;B1237,A1238-A1237&gt;$U$1),1,""))&lt;&gt;1,"",IF(C1238="B01",1,IF(C1238="B05",1,IF(C1238="B03",1,IF(C1238="B04",1,IF(C1238="B20",1,IF(C1238="B02",1,0)))))))</f>
        <v>1</v>
      </c>
      <c r="G1238"/>
      <c r="H1238" s="2"/>
      <c r="I1238" s="2"/>
      <c r="L1238"/>
      <c r="R1238"/>
    </row>
    <row r="1239" spans="1:18">
      <c r="A1239" s="3">
        <v>45760.770671296297</v>
      </c>
      <c r="B1239" s="2" t="s">
        <v>26</v>
      </c>
      <c r="C1239" s="2" t="s">
        <v>11</v>
      </c>
      <c r="D1239" s="6" t="str">
        <f>CONCATENATE(YEAR(A1239),"/",IF(MONTH(A1239)&lt;10,CONCATENATE("0",MONTH(A1239)),MONTH(A1239)))</f>
        <v>2025/04</v>
      </c>
      <c r="E1239" s="8" t="str">
        <f>IF(IF(D1239&lt;&gt;D1238,1,IF(OR(B1239&lt;&gt;B1238,A1239-A1238&gt;$U$1),1,""))&lt;&gt;1,"",IF(C1239="B01",1965,IF(C1239="B02",1020,IF(C1239="B05",2400,IF(C1239="B03",4260,IF(C1239="B04",2880,IF(C1239="B20",1260,0)))))))</f>
        <v/>
      </c>
      <c r="F1239" s="8" t="str">
        <f>IF(IF(D1239&lt;&gt;D1238,1,IF(OR(B1239&lt;&gt;B1238,A1239-A1238&gt;$U$1),1,""))&lt;&gt;1,"",IF(C1239="B01",1,IF(C1239="B05",1,IF(C1239="B03",1,IF(C1239="B04",1,IF(C1239="B20",1,IF(C1239="B02",1,0)))))))</f>
        <v/>
      </c>
      <c r="G1239"/>
      <c r="H1239" s="2"/>
      <c r="I1239" s="2"/>
      <c r="L1239"/>
      <c r="R1239"/>
    </row>
    <row r="1240" spans="1:18">
      <c r="A1240" s="3">
        <v>45760.770671296297</v>
      </c>
      <c r="B1240" s="2" t="s">
        <v>26</v>
      </c>
      <c r="C1240" s="2" t="s">
        <v>11</v>
      </c>
      <c r="D1240" s="6" t="str">
        <f>CONCATENATE(YEAR(A1240),"/",IF(MONTH(A1240)&lt;10,CONCATENATE("0",MONTH(A1240)),MONTH(A1240)))</f>
        <v>2025/04</v>
      </c>
      <c r="E1240" s="8" t="str">
        <f>IF(IF(D1240&lt;&gt;D1239,1,IF(OR(B1240&lt;&gt;B1239,A1240-A1239&gt;$U$1),1,""))&lt;&gt;1,"",IF(C1240="B01",1965,IF(C1240="B02",1020,IF(C1240="B05",2400,IF(C1240="B03",4260,IF(C1240="B04",2880,IF(C1240="B20",1260,0)))))))</f>
        <v/>
      </c>
      <c r="F1240" s="8" t="str">
        <f>IF(IF(D1240&lt;&gt;D1239,1,IF(OR(B1240&lt;&gt;B1239,A1240-A1239&gt;$U$1),1,""))&lt;&gt;1,"",IF(C1240="B01",1,IF(C1240="B05",1,IF(C1240="B03",1,IF(C1240="B04",1,IF(C1240="B20",1,IF(C1240="B02",1,0)))))))</f>
        <v/>
      </c>
      <c r="G1240"/>
      <c r="H1240" s="2"/>
      <c r="I1240" s="2"/>
      <c r="L1240"/>
      <c r="R1240"/>
    </row>
    <row r="1241" spans="1:18">
      <c r="A1241" s="3">
        <v>45760.901886574073</v>
      </c>
      <c r="B1241" s="2" t="s">
        <v>26</v>
      </c>
      <c r="C1241" s="2" t="s">
        <v>12</v>
      </c>
      <c r="D1241" s="6" t="str">
        <f>CONCATENATE(YEAR(A1241),"/",IF(MONTH(A1241)&lt;10,CONCATENATE("0",MONTH(A1241)),MONTH(A1241)))</f>
        <v>2025/04</v>
      </c>
      <c r="E1241" s="8">
        <f>IF(IF(D1241&lt;&gt;D1240,1,IF(OR(B1241&lt;&gt;B1240,A1241-A1240&gt;$U$1),1,""))&lt;&gt;1,"",IF(C1241="B01",1965,IF(C1241="B02",1020,IF(C1241="B05",2400,IF(C1241="B03",4260,IF(C1241="B04",2880,IF(C1241="B20",1260,0)))))))</f>
        <v>4260</v>
      </c>
      <c r="F1241" s="8">
        <f>IF(IF(D1241&lt;&gt;D1240,1,IF(OR(B1241&lt;&gt;B1240,A1241-A1240&gt;$U$1),1,""))&lt;&gt;1,"",IF(C1241="B01",1,IF(C1241="B05",1,IF(C1241="B03",1,IF(C1241="B04",1,IF(C1241="B20",1,IF(C1241="B02",1,0)))))))</f>
        <v>1</v>
      </c>
      <c r="G1241"/>
      <c r="H1241" s="2"/>
      <c r="I1241" s="2"/>
      <c r="L1241"/>
      <c r="R1241"/>
    </row>
    <row r="1242" spans="1:18">
      <c r="A1242" s="3">
        <v>45760.901886574073</v>
      </c>
      <c r="B1242" s="2" t="s">
        <v>26</v>
      </c>
      <c r="C1242" s="2" t="s">
        <v>12</v>
      </c>
      <c r="D1242" s="6" t="str">
        <f>CONCATENATE(YEAR(A1242),"/",IF(MONTH(A1242)&lt;10,CONCATENATE("0",MONTH(A1242)),MONTH(A1242)))</f>
        <v>2025/04</v>
      </c>
      <c r="E1242" s="8" t="str">
        <f>IF(IF(D1242&lt;&gt;D1241,1,IF(OR(B1242&lt;&gt;B1241,A1242-A1241&gt;$U$1),1,""))&lt;&gt;1,"",IF(C1242="B01",1965,IF(C1242="B02",1020,IF(C1242="B05",2400,IF(C1242="B03",4260,IF(C1242="B04",2880,IF(C1242="B20",1260,0)))))))</f>
        <v/>
      </c>
      <c r="F1242" s="8" t="str">
        <f>IF(IF(D1242&lt;&gt;D1241,1,IF(OR(B1242&lt;&gt;B1241,A1242-A1241&gt;$U$1),1,""))&lt;&gt;1,"",IF(C1242="B01",1,IF(C1242="B05",1,IF(C1242="B03",1,IF(C1242="B04",1,IF(C1242="B20",1,IF(C1242="B02",1,0)))))))</f>
        <v/>
      </c>
      <c r="G1242"/>
      <c r="H1242" s="2"/>
      <c r="I1242" s="2"/>
      <c r="L1242"/>
      <c r="R1242"/>
    </row>
    <row r="1243" spans="1:18">
      <c r="A1243" s="3">
        <v>45761.121493055558</v>
      </c>
      <c r="B1243" s="2" t="s">
        <v>26</v>
      </c>
      <c r="C1243" s="2" t="s">
        <v>12</v>
      </c>
      <c r="D1243" s="6" t="str">
        <f>CONCATENATE(YEAR(A1243),"/",IF(MONTH(A1243)&lt;10,CONCATENATE("0",MONTH(A1243)),MONTH(A1243)))</f>
        <v>2025/04</v>
      </c>
      <c r="E1243" s="8">
        <f>IF(IF(D1243&lt;&gt;D1242,1,IF(OR(B1243&lt;&gt;B1242,A1243-A1242&gt;$U$1),1,""))&lt;&gt;1,"",IF(C1243="B01",1965,IF(C1243="B02",1020,IF(C1243="B05",2400,IF(C1243="B03",4260,IF(C1243="B04",2880,IF(C1243="B20",1260,0)))))))</f>
        <v>4260</v>
      </c>
      <c r="F1243" s="8">
        <f>IF(IF(D1243&lt;&gt;D1242,1,IF(OR(B1243&lt;&gt;B1242,A1243-A1242&gt;$U$1),1,""))&lt;&gt;1,"",IF(C1243="B01",1,IF(C1243="B05",1,IF(C1243="B03",1,IF(C1243="B04",1,IF(C1243="B20",1,IF(C1243="B02",1,0)))))))</f>
        <v>1</v>
      </c>
      <c r="G1243"/>
      <c r="H1243" s="2"/>
      <c r="I1243" s="2"/>
      <c r="L1243"/>
      <c r="R1243"/>
    </row>
    <row r="1244" spans="1:18">
      <c r="A1244" s="3">
        <v>45761.121493055558</v>
      </c>
      <c r="B1244" s="2" t="s">
        <v>26</v>
      </c>
      <c r="C1244" s="2" t="s">
        <v>12</v>
      </c>
      <c r="D1244" s="6" t="str">
        <f>CONCATENATE(YEAR(A1244),"/",IF(MONTH(A1244)&lt;10,CONCATENATE("0",MONTH(A1244)),MONTH(A1244)))</f>
        <v>2025/04</v>
      </c>
      <c r="E1244" s="8" t="str">
        <f>IF(IF(D1244&lt;&gt;D1243,1,IF(OR(B1244&lt;&gt;B1243,A1244-A1243&gt;$U$1),1,""))&lt;&gt;1,"",IF(C1244="B01",1965,IF(C1244="B02",1020,IF(C1244="B05",2400,IF(C1244="B03",4260,IF(C1244="B04",2880,IF(C1244="B20",1260,0)))))))</f>
        <v/>
      </c>
      <c r="F1244" s="8" t="str">
        <f>IF(IF(D1244&lt;&gt;D1243,1,IF(OR(B1244&lt;&gt;B1243,A1244-A1243&gt;$U$1),1,""))&lt;&gt;1,"",IF(C1244="B01",1,IF(C1244="B05",1,IF(C1244="B03",1,IF(C1244="B04",1,IF(C1244="B20",1,IF(C1244="B02",1,0)))))))</f>
        <v/>
      </c>
      <c r="G1244"/>
      <c r="H1244" s="2"/>
      <c r="I1244" s="2"/>
      <c r="L1244"/>
      <c r="R1244"/>
    </row>
    <row r="1245" spans="1:18">
      <c r="A1245" s="3">
        <v>45766.411400462966</v>
      </c>
      <c r="B1245" s="2" t="s">
        <v>26</v>
      </c>
      <c r="C1245" s="2" t="s">
        <v>34</v>
      </c>
      <c r="D1245" s="6" t="str">
        <f>CONCATENATE(YEAR(A1245),"/",IF(MONTH(A1245)&lt;10,CONCATENATE("0",MONTH(A1245)),MONTH(A1245)))</f>
        <v>2025/04</v>
      </c>
      <c r="E1245" s="8">
        <f>IF(IF(D1245&lt;&gt;D1244,1,IF(OR(B1245&lt;&gt;B1244,A1245-A1244&gt;$U$1),1,""))&lt;&gt;1,"",IF(C1245="B01",1965,IF(C1245="B02",1020,IF(C1245="B05",2400,IF(C1245="B03",4260,IF(C1245="B04",2880,IF(C1245="B20",1260,0)))))))</f>
        <v>1965</v>
      </c>
      <c r="F1245" s="8">
        <f>IF(IF(D1245&lt;&gt;D1244,1,IF(OR(B1245&lt;&gt;B1244,A1245-A1244&gt;$U$1),1,""))&lt;&gt;1,"",IF(C1245="B01",1,IF(C1245="B05",1,IF(C1245="B03",1,IF(C1245="B04",1,IF(C1245="B20",1,IF(C1245="B02",1,0)))))))</f>
        <v>1</v>
      </c>
      <c r="G1245"/>
      <c r="H1245" s="2"/>
      <c r="I1245" s="2"/>
      <c r="L1245"/>
      <c r="R1245"/>
    </row>
    <row r="1246" spans="1:18">
      <c r="A1246" s="3">
        <v>45766.411400462966</v>
      </c>
      <c r="B1246" s="2" t="s">
        <v>26</v>
      </c>
      <c r="C1246" s="2" t="s">
        <v>34</v>
      </c>
      <c r="D1246" s="6" t="str">
        <f>CONCATENATE(YEAR(A1246),"/",IF(MONTH(A1246)&lt;10,CONCATENATE("0",MONTH(A1246)),MONTH(A1246)))</f>
        <v>2025/04</v>
      </c>
      <c r="E1246" s="8" t="str">
        <f>IF(IF(D1246&lt;&gt;D1245,1,IF(OR(B1246&lt;&gt;B1245,A1246-A1245&gt;$U$1),1,""))&lt;&gt;1,"",IF(C1246="B01",1965,IF(C1246="B02",1020,IF(C1246="B05",2400,IF(C1246="B03",4260,IF(C1246="B04",2880,IF(C1246="B20",1260,0)))))))</f>
        <v/>
      </c>
      <c r="F1246" s="8" t="str">
        <f>IF(IF(D1246&lt;&gt;D1245,1,IF(OR(B1246&lt;&gt;B1245,A1246-A1245&gt;$U$1),1,""))&lt;&gt;1,"",IF(C1246="B01",1,IF(C1246="B05",1,IF(C1246="B03",1,IF(C1246="B04",1,IF(C1246="B20",1,IF(C1246="B02",1,0)))))))</f>
        <v/>
      </c>
      <c r="G1246"/>
      <c r="H1246" s="2"/>
      <c r="I1246" s="2"/>
      <c r="L1246"/>
      <c r="R1246"/>
    </row>
    <row r="1247" spans="1:18">
      <c r="A1247" s="3">
        <v>45766.411400462966</v>
      </c>
      <c r="B1247" s="2" t="s">
        <v>26</v>
      </c>
      <c r="C1247" s="2" t="s">
        <v>34</v>
      </c>
      <c r="D1247" s="6" t="str">
        <f>CONCATENATE(YEAR(A1247),"/",IF(MONTH(A1247)&lt;10,CONCATENATE("0",MONTH(A1247)),MONTH(A1247)))</f>
        <v>2025/04</v>
      </c>
      <c r="E1247" s="8" t="str">
        <f>IF(IF(D1247&lt;&gt;D1246,1,IF(OR(B1247&lt;&gt;B1246,A1247-A1246&gt;$U$1),1,""))&lt;&gt;1,"",IF(C1247="B01",1965,IF(C1247="B02",1020,IF(C1247="B05",2400,IF(C1247="B03",4260,IF(C1247="B04",2880,IF(C1247="B20",1260,0)))))))</f>
        <v/>
      </c>
      <c r="F1247" s="8" t="str">
        <f>IF(IF(D1247&lt;&gt;D1246,1,IF(OR(B1247&lt;&gt;B1246,A1247-A1246&gt;$U$1),1,""))&lt;&gt;1,"",IF(C1247="B01",1,IF(C1247="B05",1,IF(C1247="B03",1,IF(C1247="B04",1,IF(C1247="B20",1,IF(C1247="B02",1,0)))))))</f>
        <v/>
      </c>
      <c r="G1247"/>
      <c r="H1247" s="2"/>
      <c r="I1247" s="2"/>
      <c r="L1247"/>
      <c r="R1247"/>
    </row>
    <row r="1248" spans="1:18">
      <c r="A1248" s="3">
        <v>45767.341365740744</v>
      </c>
      <c r="B1248" s="2" t="s">
        <v>26</v>
      </c>
      <c r="C1248" s="2" t="s">
        <v>11</v>
      </c>
      <c r="D1248" s="6" t="str">
        <f>CONCATENATE(YEAR(A1248),"/",IF(MONTH(A1248)&lt;10,CONCATENATE("0",MONTH(A1248)),MONTH(A1248)))</f>
        <v>2025/04</v>
      </c>
      <c r="E1248" s="8">
        <f>IF(IF(D1248&lt;&gt;D1247,1,IF(OR(B1248&lt;&gt;B1247,A1248-A1247&gt;$U$1),1,""))&lt;&gt;1,"",IF(C1248="B01",1965,IF(C1248="B02",1020,IF(C1248="B05",2400,IF(C1248="B03",4260,IF(C1248="B04",2880,IF(C1248="B20",1260,0)))))))</f>
        <v>2400</v>
      </c>
      <c r="F1248" s="8">
        <f>IF(IF(D1248&lt;&gt;D1247,1,IF(OR(B1248&lt;&gt;B1247,A1248-A1247&gt;$U$1),1,""))&lt;&gt;1,"",IF(C1248="B01",1,IF(C1248="B05",1,IF(C1248="B03",1,IF(C1248="B04",1,IF(C1248="B20",1,IF(C1248="B02",1,0)))))))</f>
        <v>1</v>
      </c>
      <c r="G1248"/>
      <c r="H1248" s="2"/>
      <c r="I1248" s="2"/>
      <c r="L1248"/>
      <c r="R1248"/>
    </row>
    <row r="1249" spans="1:18">
      <c r="A1249" s="3">
        <v>45767.341365740744</v>
      </c>
      <c r="B1249" s="2" t="s">
        <v>26</v>
      </c>
      <c r="C1249" s="2" t="s">
        <v>11</v>
      </c>
      <c r="D1249" s="6" t="str">
        <f>CONCATENATE(YEAR(A1249),"/",IF(MONTH(A1249)&lt;10,CONCATENATE("0",MONTH(A1249)),MONTH(A1249)))</f>
        <v>2025/04</v>
      </c>
      <c r="E1249" s="8" t="str">
        <f>IF(IF(D1249&lt;&gt;D1248,1,IF(OR(B1249&lt;&gt;B1248,A1249-A1248&gt;$U$1),1,""))&lt;&gt;1,"",IF(C1249="B01",1965,IF(C1249="B02",1020,IF(C1249="B05",2400,IF(C1249="B03",4260,IF(C1249="B04",2880,IF(C1249="B20",1260,0)))))))</f>
        <v/>
      </c>
      <c r="F1249" s="8" t="str">
        <f>IF(IF(D1249&lt;&gt;D1248,1,IF(OR(B1249&lt;&gt;B1248,A1249-A1248&gt;$U$1),1,""))&lt;&gt;1,"",IF(C1249="B01",1,IF(C1249="B05",1,IF(C1249="B03",1,IF(C1249="B04",1,IF(C1249="B20",1,IF(C1249="B02",1,0)))))))</f>
        <v/>
      </c>
      <c r="G1249"/>
      <c r="H1249" s="2"/>
      <c r="I1249" s="2"/>
      <c r="L1249"/>
      <c r="R1249"/>
    </row>
    <row r="1250" spans="1:18">
      <c r="A1250" s="3">
        <v>45767.785717592589</v>
      </c>
      <c r="B1250" s="2" t="s">
        <v>26</v>
      </c>
      <c r="C1250" s="2" t="s">
        <v>11</v>
      </c>
      <c r="D1250" s="6" t="str">
        <f>CONCATENATE(YEAR(A1250),"/",IF(MONTH(A1250)&lt;10,CONCATENATE("0",MONTH(A1250)),MONTH(A1250)))</f>
        <v>2025/04</v>
      </c>
      <c r="E1250" s="8">
        <f>IF(IF(D1250&lt;&gt;D1249,1,IF(OR(B1250&lt;&gt;B1249,A1250-A1249&gt;$U$1),1,""))&lt;&gt;1,"",IF(C1250="B01",1965,IF(C1250="B02",1020,IF(C1250="B05",2400,IF(C1250="B03",4260,IF(C1250="B04",2880,IF(C1250="B20",1260,0)))))))</f>
        <v>2400</v>
      </c>
      <c r="F1250" s="8">
        <f>IF(IF(D1250&lt;&gt;D1249,1,IF(OR(B1250&lt;&gt;B1249,A1250-A1249&gt;$U$1),1,""))&lt;&gt;1,"",IF(C1250="B01",1,IF(C1250="B05",1,IF(C1250="B03",1,IF(C1250="B04",1,IF(C1250="B20",1,IF(C1250="B02",1,0)))))))</f>
        <v>1</v>
      </c>
      <c r="G1250"/>
      <c r="H1250" s="2"/>
      <c r="I1250" s="2"/>
      <c r="L1250"/>
      <c r="R1250"/>
    </row>
    <row r="1251" spans="1:18">
      <c r="A1251" s="3">
        <v>45767.785717592589</v>
      </c>
      <c r="B1251" s="2" t="s">
        <v>26</v>
      </c>
      <c r="C1251" s="2" t="s">
        <v>11</v>
      </c>
      <c r="D1251" s="6" t="str">
        <f>CONCATENATE(YEAR(A1251),"/",IF(MONTH(A1251)&lt;10,CONCATENATE("0",MONTH(A1251)),MONTH(A1251)))</f>
        <v>2025/04</v>
      </c>
      <c r="E1251" s="8" t="str">
        <f>IF(IF(D1251&lt;&gt;D1250,1,IF(OR(B1251&lt;&gt;B1250,A1251-A1250&gt;$U$1),1,""))&lt;&gt;1,"",IF(C1251="B01",1965,IF(C1251="B02",1020,IF(C1251="B05",2400,IF(C1251="B03",4260,IF(C1251="B04",2880,IF(C1251="B20",1260,0)))))))</f>
        <v/>
      </c>
      <c r="F1251" s="8" t="str">
        <f>IF(IF(D1251&lt;&gt;D1250,1,IF(OR(B1251&lt;&gt;B1250,A1251-A1250&gt;$U$1),1,""))&lt;&gt;1,"",IF(C1251="B01",1,IF(C1251="B05",1,IF(C1251="B03",1,IF(C1251="B04",1,IF(C1251="B20",1,IF(C1251="B02",1,0)))))))</f>
        <v/>
      </c>
      <c r="G1251"/>
      <c r="H1251" s="2"/>
      <c r="I1251" s="2"/>
      <c r="L1251"/>
      <c r="R1251"/>
    </row>
    <row r="1252" spans="1:18">
      <c r="A1252" s="3">
        <v>45768.508287037039</v>
      </c>
      <c r="B1252" s="2" t="s">
        <v>26</v>
      </c>
      <c r="C1252" s="2" t="s">
        <v>11</v>
      </c>
      <c r="D1252" s="6" t="str">
        <f>CONCATENATE(YEAR(A1252),"/",IF(MONTH(A1252)&lt;10,CONCATENATE("0",MONTH(A1252)),MONTH(A1252)))</f>
        <v>2025/04</v>
      </c>
      <c r="E1252" s="8">
        <f>IF(IF(D1252&lt;&gt;D1251,1,IF(OR(B1252&lt;&gt;B1251,A1252-A1251&gt;$U$1),1,""))&lt;&gt;1,"",IF(C1252="B01",1965,IF(C1252="B02",1020,IF(C1252="B05",2400,IF(C1252="B03",4260,IF(C1252="B04",2880,IF(C1252="B20",1260,0)))))))</f>
        <v>2400</v>
      </c>
      <c r="F1252" s="8">
        <f>IF(IF(D1252&lt;&gt;D1251,1,IF(OR(B1252&lt;&gt;B1251,A1252-A1251&gt;$U$1),1,""))&lt;&gt;1,"",IF(C1252="B01",1,IF(C1252="B05",1,IF(C1252="B03",1,IF(C1252="B04",1,IF(C1252="B20",1,IF(C1252="B02",1,0)))))))</f>
        <v>1</v>
      </c>
      <c r="G1252"/>
      <c r="H1252" s="2"/>
      <c r="I1252" s="2"/>
      <c r="L1252"/>
      <c r="R1252"/>
    </row>
    <row r="1253" spans="1:18">
      <c r="A1253" s="3">
        <v>45768.508287037039</v>
      </c>
      <c r="B1253" s="2" t="s">
        <v>26</v>
      </c>
      <c r="C1253" s="2" t="s">
        <v>11</v>
      </c>
      <c r="D1253" s="6" t="str">
        <f>CONCATENATE(YEAR(A1253),"/",IF(MONTH(A1253)&lt;10,CONCATENATE("0",MONTH(A1253)),MONTH(A1253)))</f>
        <v>2025/04</v>
      </c>
      <c r="E1253" s="8" t="str">
        <f>IF(IF(D1253&lt;&gt;D1252,1,IF(OR(B1253&lt;&gt;B1252,A1253-A1252&gt;$U$1),1,""))&lt;&gt;1,"",IF(C1253="B01",1965,IF(C1253="B02",1020,IF(C1253="B05",2400,IF(C1253="B03",4260,IF(C1253="B04",2880,IF(C1253="B20",1260,0)))))))</f>
        <v/>
      </c>
      <c r="F1253" s="8" t="str">
        <f>IF(IF(D1253&lt;&gt;D1252,1,IF(OR(B1253&lt;&gt;B1252,A1253-A1252&gt;$U$1),1,""))&lt;&gt;1,"",IF(C1253="B01",1,IF(C1253="B05",1,IF(C1253="B03",1,IF(C1253="B04",1,IF(C1253="B20",1,IF(C1253="B02",1,0)))))))</f>
        <v/>
      </c>
      <c r="G1253"/>
      <c r="H1253" s="2"/>
      <c r="I1253" s="2"/>
      <c r="L1253"/>
      <c r="R1253"/>
    </row>
    <row r="1254" spans="1:18">
      <c r="A1254" s="3">
        <v>45768.508287037039</v>
      </c>
      <c r="B1254" s="2" t="s">
        <v>26</v>
      </c>
      <c r="C1254" s="2" t="s">
        <v>11</v>
      </c>
      <c r="D1254" s="6" t="str">
        <f>CONCATENATE(YEAR(A1254),"/",IF(MONTH(A1254)&lt;10,CONCATENATE("0",MONTH(A1254)),MONTH(A1254)))</f>
        <v>2025/04</v>
      </c>
      <c r="E1254" s="8" t="str">
        <f>IF(IF(D1254&lt;&gt;D1253,1,IF(OR(B1254&lt;&gt;B1253,A1254-A1253&gt;$U$1),1,""))&lt;&gt;1,"",IF(C1254="B01",1965,IF(C1254="B02",1020,IF(C1254="B05",2400,IF(C1254="B03",4260,IF(C1254="B04",2880,IF(C1254="B20",1260,0)))))))</f>
        <v/>
      </c>
      <c r="F1254" s="8" t="str">
        <f>IF(IF(D1254&lt;&gt;D1253,1,IF(OR(B1254&lt;&gt;B1253,A1254-A1253&gt;$U$1),1,""))&lt;&gt;1,"",IF(C1254="B01",1,IF(C1254="B05",1,IF(C1254="B03",1,IF(C1254="B04",1,IF(C1254="B20",1,IF(C1254="B02",1,0)))))))</f>
        <v/>
      </c>
      <c r="G1254"/>
      <c r="H1254" s="2"/>
      <c r="I1254" s="2"/>
      <c r="L1254"/>
      <c r="R1254"/>
    </row>
    <row r="1255" spans="1:18">
      <c r="A1255" s="3">
        <v>45768.508287037039</v>
      </c>
      <c r="B1255" s="2" t="s">
        <v>26</v>
      </c>
      <c r="C1255" s="2" t="s">
        <v>11</v>
      </c>
      <c r="D1255" s="6" t="str">
        <f>CONCATENATE(YEAR(A1255),"/",IF(MONTH(A1255)&lt;10,CONCATENATE("0",MONTH(A1255)),MONTH(A1255)))</f>
        <v>2025/04</v>
      </c>
      <c r="E1255" s="8" t="str">
        <f>IF(IF(D1255&lt;&gt;D1254,1,IF(OR(B1255&lt;&gt;B1254,A1255-A1254&gt;$U$1),1,""))&lt;&gt;1,"",IF(C1255="B01",1965,IF(C1255="B02",1020,IF(C1255="B05",2400,IF(C1255="B03",4260,IF(C1255="B04",2880,IF(C1255="B20",1260,0)))))))</f>
        <v/>
      </c>
      <c r="F1255" s="8" t="str">
        <f>IF(IF(D1255&lt;&gt;D1254,1,IF(OR(B1255&lt;&gt;B1254,A1255-A1254&gt;$U$1),1,""))&lt;&gt;1,"",IF(C1255="B01",1,IF(C1255="B05",1,IF(C1255="B03",1,IF(C1255="B04",1,IF(C1255="B20",1,IF(C1255="B02",1,0)))))))</f>
        <v/>
      </c>
      <c r="G1255"/>
      <c r="H1255" s="2"/>
      <c r="I1255" s="2"/>
      <c r="L1255"/>
      <c r="R1255"/>
    </row>
    <row r="1256" spans="1:18">
      <c r="A1256" s="3">
        <v>45768.66983796296</v>
      </c>
      <c r="B1256" s="2" t="s">
        <v>26</v>
      </c>
      <c r="C1256" s="2" t="s">
        <v>11</v>
      </c>
      <c r="D1256" s="6" t="str">
        <f>CONCATENATE(YEAR(A1256),"/",IF(MONTH(A1256)&lt;10,CONCATENATE("0",MONTH(A1256)),MONTH(A1256)))</f>
        <v>2025/04</v>
      </c>
      <c r="E1256" s="8">
        <f>IF(IF(D1256&lt;&gt;D1255,1,IF(OR(B1256&lt;&gt;B1255,A1256-A1255&gt;$U$1),1,""))&lt;&gt;1,"",IF(C1256="B01",1965,IF(C1256="B02",1020,IF(C1256="B05",2400,IF(C1256="B03",4260,IF(C1256="B04",2880,IF(C1256="B20",1260,0)))))))</f>
        <v>2400</v>
      </c>
      <c r="F1256" s="8">
        <f>IF(IF(D1256&lt;&gt;D1255,1,IF(OR(B1256&lt;&gt;B1255,A1256-A1255&gt;$U$1),1,""))&lt;&gt;1,"",IF(C1256="B01",1,IF(C1256="B05",1,IF(C1256="B03",1,IF(C1256="B04",1,IF(C1256="B20",1,IF(C1256="B02",1,0)))))))</f>
        <v>1</v>
      </c>
      <c r="G1256"/>
      <c r="H1256" s="2"/>
      <c r="I1256" s="2"/>
      <c r="L1256"/>
      <c r="R1256"/>
    </row>
    <row r="1257" spans="1:18">
      <c r="A1257" s="3">
        <v>45768.66983796296</v>
      </c>
      <c r="B1257" s="2" t="s">
        <v>26</v>
      </c>
      <c r="C1257" s="2" t="s">
        <v>11</v>
      </c>
      <c r="D1257" s="6" t="str">
        <f>CONCATENATE(YEAR(A1257),"/",IF(MONTH(A1257)&lt;10,CONCATENATE("0",MONTH(A1257)),MONTH(A1257)))</f>
        <v>2025/04</v>
      </c>
      <c r="E1257" s="8" t="str">
        <f>IF(IF(D1257&lt;&gt;D1256,1,IF(OR(B1257&lt;&gt;B1256,A1257-A1256&gt;$U$1),1,""))&lt;&gt;1,"",IF(C1257="B01",1965,IF(C1257="B02",1020,IF(C1257="B05",2400,IF(C1257="B03",4260,IF(C1257="B04",2880,IF(C1257="B20",1260,0)))))))</f>
        <v/>
      </c>
      <c r="F1257" s="8" t="str">
        <f>IF(IF(D1257&lt;&gt;D1256,1,IF(OR(B1257&lt;&gt;B1256,A1257-A1256&gt;$U$1),1,""))&lt;&gt;1,"",IF(C1257="B01",1,IF(C1257="B05",1,IF(C1257="B03",1,IF(C1257="B04",1,IF(C1257="B20",1,IF(C1257="B02",1,0)))))))</f>
        <v/>
      </c>
      <c r="G1257"/>
      <c r="H1257" s="2"/>
      <c r="I1257" s="2"/>
      <c r="L1257"/>
      <c r="R1257"/>
    </row>
    <row r="1258" spans="1:18">
      <c r="A1258" s="3">
        <v>45768.66983796296</v>
      </c>
      <c r="B1258" s="2" t="s">
        <v>26</v>
      </c>
      <c r="C1258" s="2" t="s">
        <v>11</v>
      </c>
      <c r="D1258" s="6" t="str">
        <f>CONCATENATE(YEAR(A1258),"/",IF(MONTH(A1258)&lt;10,CONCATENATE("0",MONTH(A1258)),MONTH(A1258)))</f>
        <v>2025/04</v>
      </c>
      <c r="E1258" s="8" t="str">
        <f>IF(IF(D1258&lt;&gt;D1257,1,IF(OR(B1258&lt;&gt;B1257,A1258-A1257&gt;$U$1),1,""))&lt;&gt;1,"",IF(C1258="B01",1965,IF(C1258="B02",1020,IF(C1258="B05",2400,IF(C1258="B03",4260,IF(C1258="B04",2880,IF(C1258="B20",1260,0)))))))</f>
        <v/>
      </c>
      <c r="F1258" s="8" t="str">
        <f>IF(IF(D1258&lt;&gt;D1257,1,IF(OR(B1258&lt;&gt;B1257,A1258-A1257&gt;$U$1),1,""))&lt;&gt;1,"",IF(C1258="B01",1,IF(C1258="B05",1,IF(C1258="B03",1,IF(C1258="B04",1,IF(C1258="B20",1,IF(C1258="B02",1,0)))))))</f>
        <v/>
      </c>
      <c r="G1258"/>
      <c r="H1258" s="2"/>
      <c r="I1258" s="2"/>
      <c r="L1258"/>
      <c r="R1258"/>
    </row>
    <row r="1259" spans="1:18">
      <c r="A1259" s="3">
        <v>45768.66983796296</v>
      </c>
      <c r="B1259" s="2" t="s">
        <v>26</v>
      </c>
      <c r="C1259" s="2" t="s">
        <v>11</v>
      </c>
      <c r="D1259" s="6" t="str">
        <f>CONCATENATE(YEAR(A1259),"/",IF(MONTH(A1259)&lt;10,CONCATENATE("0",MONTH(A1259)),MONTH(A1259)))</f>
        <v>2025/04</v>
      </c>
      <c r="E1259" s="8" t="str">
        <f>IF(IF(D1259&lt;&gt;D1258,1,IF(OR(B1259&lt;&gt;B1258,A1259-A1258&gt;$U$1),1,""))&lt;&gt;1,"",IF(C1259="B01",1965,IF(C1259="B02",1020,IF(C1259="B05",2400,IF(C1259="B03",4260,IF(C1259="B04",2880,IF(C1259="B20",1260,0)))))))</f>
        <v/>
      </c>
      <c r="F1259" s="8" t="str">
        <f>IF(IF(D1259&lt;&gt;D1258,1,IF(OR(B1259&lt;&gt;B1258,A1259-A1258&gt;$U$1),1,""))&lt;&gt;1,"",IF(C1259="B01",1,IF(C1259="B05",1,IF(C1259="B03",1,IF(C1259="B04",1,IF(C1259="B20",1,IF(C1259="B02",1,0)))))))</f>
        <v/>
      </c>
      <c r="G1259"/>
      <c r="H1259" s="2"/>
      <c r="I1259" s="2"/>
      <c r="L1259"/>
      <c r="R1259"/>
    </row>
    <row r="1260" spans="1:18">
      <c r="A1260" s="3">
        <v>45769.19158564815</v>
      </c>
      <c r="B1260" s="2" t="s">
        <v>26</v>
      </c>
      <c r="C1260" s="2" t="s">
        <v>12</v>
      </c>
      <c r="D1260" s="6" t="str">
        <f>CONCATENATE(YEAR(A1260),"/",IF(MONTH(A1260)&lt;10,CONCATENATE("0",MONTH(A1260)),MONTH(A1260)))</f>
        <v>2025/04</v>
      </c>
      <c r="E1260" s="8">
        <f>IF(IF(D1260&lt;&gt;D1259,1,IF(OR(B1260&lt;&gt;B1259,A1260-A1259&gt;$U$1),1,""))&lt;&gt;1,"",IF(C1260="B01",1965,IF(C1260="B02",1020,IF(C1260="B05",2400,IF(C1260="B03",4260,IF(C1260="B04",2880,IF(C1260="B20",1260,0)))))))</f>
        <v>4260</v>
      </c>
      <c r="F1260" s="8">
        <f>IF(IF(D1260&lt;&gt;D1259,1,IF(OR(B1260&lt;&gt;B1259,A1260-A1259&gt;$U$1),1,""))&lt;&gt;1,"",IF(C1260="B01",1,IF(C1260="B05",1,IF(C1260="B03",1,IF(C1260="B04",1,IF(C1260="B20",1,IF(C1260="B02",1,0)))))))</f>
        <v>1</v>
      </c>
      <c r="G1260"/>
      <c r="H1260" s="2"/>
      <c r="I1260" s="2"/>
      <c r="L1260"/>
      <c r="R1260"/>
    </row>
    <row r="1261" spans="1:18">
      <c r="A1261" s="3">
        <v>45769.19158564815</v>
      </c>
      <c r="B1261" s="2" t="s">
        <v>26</v>
      </c>
      <c r="C1261" s="2" t="s">
        <v>12</v>
      </c>
      <c r="D1261" s="6" t="str">
        <f>CONCATENATE(YEAR(A1261),"/",IF(MONTH(A1261)&lt;10,CONCATENATE("0",MONTH(A1261)),MONTH(A1261)))</f>
        <v>2025/04</v>
      </c>
      <c r="E1261" s="8" t="str">
        <f>IF(IF(D1261&lt;&gt;D1260,1,IF(OR(B1261&lt;&gt;B1260,A1261-A1260&gt;$U$1),1,""))&lt;&gt;1,"",IF(C1261="B01",1965,IF(C1261="B02",1020,IF(C1261="B05",2400,IF(C1261="B03",4260,IF(C1261="B04",2880,IF(C1261="B20",1260,0)))))))</f>
        <v/>
      </c>
      <c r="F1261" s="8" t="str">
        <f>IF(IF(D1261&lt;&gt;D1260,1,IF(OR(B1261&lt;&gt;B1260,A1261-A1260&gt;$U$1),1,""))&lt;&gt;1,"",IF(C1261="B01",1,IF(C1261="B05",1,IF(C1261="B03",1,IF(C1261="B04",1,IF(C1261="B20",1,IF(C1261="B02",1,0)))))))</f>
        <v/>
      </c>
      <c r="G1261"/>
      <c r="H1261" s="2"/>
      <c r="I1261" s="2"/>
      <c r="L1261"/>
      <c r="R1261"/>
    </row>
    <row r="1262" spans="1:18">
      <c r="A1262" s="3">
        <v>45769.19158564815</v>
      </c>
      <c r="B1262" s="2" t="s">
        <v>26</v>
      </c>
      <c r="C1262" s="2" t="s">
        <v>12</v>
      </c>
      <c r="D1262" s="6" t="str">
        <f>CONCATENATE(YEAR(A1262),"/",IF(MONTH(A1262)&lt;10,CONCATENATE("0",MONTH(A1262)),MONTH(A1262)))</f>
        <v>2025/04</v>
      </c>
      <c r="E1262" s="8" t="str">
        <f>IF(IF(D1262&lt;&gt;D1261,1,IF(OR(B1262&lt;&gt;B1261,A1262-A1261&gt;$U$1),1,""))&lt;&gt;1,"",IF(C1262="B01",1965,IF(C1262="B02",1020,IF(C1262="B05",2400,IF(C1262="B03",4260,IF(C1262="B04",2880,IF(C1262="B20",1260,0)))))))</f>
        <v/>
      </c>
      <c r="F1262" s="8" t="str">
        <f>IF(IF(D1262&lt;&gt;D1261,1,IF(OR(B1262&lt;&gt;B1261,A1262-A1261&gt;$U$1),1,""))&lt;&gt;1,"",IF(C1262="B01",1,IF(C1262="B05",1,IF(C1262="B03",1,IF(C1262="B04",1,IF(C1262="B20",1,IF(C1262="B02",1,0)))))))</f>
        <v/>
      </c>
      <c r="G1262"/>
      <c r="H1262" s="2"/>
      <c r="I1262" s="2"/>
      <c r="L1262"/>
      <c r="R1262"/>
    </row>
    <row r="1263" spans="1:18">
      <c r="A1263" s="3">
        <v>45769.321851851855</v>
      </c>
      <c r="B1263" s="2" t="s">
        <v>26</v>
      </c>
      <c r="C1263" s="2" t="s">
        <v>11</v>
      </c>
      <c r="D1263" s="6" t="str">
        <f>CONCATENATE(YEAR(A1263),"/",IF(MONTH(A1263)&lt;10,CONCATENATE("0",MONTH(A1263)),MONTH(A1263)))</f>
        <v>2025/04</v>
      </c>
      <c r="E1263" s="8">
        <f>IF(IF(D1263&lt;&gt;D1262,1,IF(OR(B1263&lt;&gt;B1262,A1263-A1262&gt;$U$1),1,""))&lt;&gt;1,"",IF(C1263="B01",1965,IF(C1263="B02",1020,IF(C1263="B05",2400,IF(C1263="B03",4260,IF(C1263="B04",2880,IF(C1263="B20",1260,0)))))))</f>
        <v>2400</v>
      </c>
      <c r="F1263" s="8">
        <f>IF(IF(D1263&lt;&gt;D1262,1,IF(OR(B1263&lt;&gt;B1262,A1263-A1262&gt;$U$1),1,""))&lt;&gt;1,"",IF(C1263="B01",1,IF(C1263="B05",1,IF(C1263="B03",1,IF(C1263="B04",1,IF(C1263="B20",1,IF(C1263="B02",1,0)))))))</f>
        <v>1</v>
      </c>
      <c r="G1263"/>
      <c r="H1263" s="2"/>
      <c r="I1263" s="2"/>
      <c r="L1263"/>
      <c r="R1263"/>
    </row>
    <row r="1264" spans="1:18">
      <c r="A1264" s="3">
        <v>45769.321851851855</v>
      </c>
      <c r="B1264" s="2" t="s">
        <v>26</v>
      </c>
      <c r="C1264" s="2" t="s">
        <v>11</v>
      </c>
      <c r="D1264" s="6" t="str">
        <f>CONCATENATE(YEAR(A1264),"/",IF(MONTH(A1264)&lt;10,CONCATENATE("0",MONTH(A1264)),MONTH(A1264)))</f>
        <v>2025/04</v>
      </c>
      <c r="E1264" s="8" t="str">
        <f>IF(IF(D1264&lt;&gt;D1263,1,IF(OR(B1264&lt;&gt;B1263,A1264-A1263&gt;$U$1),1,""))&lt;&gt;1,"",IF(C1264="B01",1965,IF(C1264="B02",1020,IF(C1264="B05",2400,IF(C1264="B03",4260,IF(C1264="B04",2880,IF(C1264="B20",1260,0)))))))</f>
        <v/>
      </c>
      <c r="F1264" s="8" t="str">
        <f>IF(IF(D1264&lt;&gt;D1263,1,IF(OR(B1264&lt;&gt;B1263,A1264-A1263&gt;$U$1),1,""))&lt;&gt;1,"",IF(C1264="B01",1,IF(C1264="B05",1,IF(C1264="B03",1,IF(C1264="B04",1,IF(C1264="B20",1,IF(C1264="B02",1,0)))))))</f>
        <v/>
      </c>
      <c r="G1264"/>
      <c r="H1264" s="2"/>
      <c r="I1264" s="2"/>
      <c r="L1264"/>
      <c r="R1264"/>
    </row>
    <row r="1265" spans="1:18">
      <c r="A1265" s="3">
        <v>45769.534189814818</v>
      </c>
      <c r="B1265" s="2" t="s">
        <v>26</v>
      </c>
      <c r="C1265" s="2" t="s">
        <v>11</v>
      </c>
      <c r="D1265" s="6" t="str">
        <f>CONCATENATE(YEAR(A1265),"/",IF(MONTH(A1265)&lt;10,CONCATENATE("0",MONTH(A1265)),MONTH(A1265)))</f>
        <v>2025/04</v>
      </c>
      <c r="E1265" s="8">
        <f>IF(IF(D1265&lt;&gt;D1264,1,IF(OR(B1265&lt;&gt;B1264,A1265-A1264&gt;$U$1),1,""))&lt;&gt;1,"",IF(C1265="B01",1965,IF(C1265="B02",1020,IF(C1265="B05",2400,IF(C1265="B03",4260,IF(C1265="B04",2880,IF(C1265="B20",1260,0)))))))</f>
        <v>2400</v>
      </c>
      <c r="F1265" s="8">
        <f>IF(IF(D1265&lt;&gt;D1264,1,IF(OR(B1265&lt;&gt;B1264,A1265-A1264&gt;$U$1),1,""))&lt;&gt;1,"",IF(C1265="B01",1,IF(C1265="B05",1,IF(C1265="B03",1,IF(C1265="B04",1,IF(C1265="B20",1,IF(C1265="B02",1,0)))))))</f>
        <v>1</v>
      </c>
      <c r="G1265"/>
      <c r="H1265" s="2"/>
      <c r="I1265" s="2"/>
      <c r="L1265"/>
      <c r="R1265"/>
    </row>
    <row r="1266" spans="1:18">
      <c r="A1266" s="3">
        <v>45769.534189814818</v>
      </c>
      <c r="B1266" s="2" t="s">
        <v>26</v>
      </c>
      <c r="C1266" s="2" t="s">
        <v>11</v>
      </c>
      <c r="D1266" s="6" t="str">
        <f>CONCATENATE(YEAR(A1266),"/",IF(MONTH(A1266)&lt;10,CONCATENATE("0",MONTH(A1266)),MONTH(A1266)))</f>
        <v>2025/04</v>
      </c>
      <c r="E1266" s="8" t="str">
        <f>IF(IF(D1266&lt;&gt;D1265,1,IF(OR(B1266&lt;&gt;B1265,A1266-A1265&gt;$U$1),1,""))&lt;&gt;1,"",IF(C1266="B01",1965,IF(C1266="B02",1020,IF(C1266="B05",2400,IF(C1266="B03",4260,IF(C1266="B04",2880,IF(C1266="B20",1260,0)))))))</f>
        <v/>
      </c>
      <c r="F1266" s="8" t="str">
        <f>IF(IF(D1266&lt;&gt;D1265,1,IF(OR(B1266&lt;&gt;B1265,A1266-A1265&gt;$U$1),1,""))&lt;&gt;1,"",IF(C1266="B01",1,IF(C1266="B05",1,IF(C1266="B03",1,IF(C1266="B04",1,IF(C1266="B20",1,IF(C1266="B02",1,0)))))))</f>
        <v/>
      </c>
      <c r="G1266"/>
      <c r="H1266" s="2"/>
      <c r="I1266" s="2"/>
      <c r="L1266"/>
      <c r="R1266"/>
    </row>
    <row r="1267" spans="1:18">
      <c r="A1267" s="3">
        <v>45769.534189814818</v>
      </c>
      <c r="B1267" s="2" t="s">
        <v>26</v>
      </c>
      <c r="C1267" s="2" t="s">
        <v>11</v>
      </c>
      <c r="D1267" s="6" t="str">
        <f>CONCATENATE(YEAR(A1267),"/",IF(MONTH(A1267)&lt;10,CONCATENATE("0",MONTH(A1267)),MONTH(A1267)))</f>
        <v>2025/04</v>
      </c>
      <c r="E1267" s="8" t="str">
        <f>IF(IF(D1267&lt;&gt;D1266,1,IF(OR(B1267&lt;&gt;B1266,A1267-A1266&gt;$U$1),1,""))&lt;&gt;1,"",IF(C1267="B01",1965,IF(C1267="B02",1020,IF(C1267="B05",2400,IF(C1267="B03",4260,IF(C1267="B04",2880,IF(C1267="B20",1260,0)))))))</f>
        <v/>
      </c>
      <c r="F1267" s="8" t="str">
        <f>IF(IF(D1267&lt;&gt;D1266,1,IF(OR(B1267&lt;&gt;B1266,A1267-A1266&gt;$U$1),1,""))&lt;&gt;1,"",IF(C1267="B01",1,IF(C1267="B05",1,IF(C1267="B03",1,IF(C1267="B04",1,IF(C1267="B20",1,IF(C1267="B02",1,0)))))))</f>
        <v/>
      </c>
      <c r="G1267"/>
      <c r="H1267" s="2"/>
      <c r="I1267" s="2"/>
      <c r="L1267"/>
      <c r="R1267"/>
    </row>
    <row r="1268" spans="1:18">
      <c r="A1268" s="3">
        <v>45769.743217592593</v>
      </c>
      <c r="B1268" s="2" t="s">
        <v>26</v>
      </c>
      <c r="C1268" s="2" t="s">
        <v>11</v>
      </c>
      <c r="D1268" s="6" t="str">
        <f>CONCATENATE(YEAR(A1268),"/",IF(MONTH(A1268)&lt;10,CONCATENATE("0",MONTH(A1268)),MONTH(A1268)))</f>
        <v>2025/04</v>
      </c>
      <c r="E1268" s="8">
        <f>IF(IF(D1268&lt;&gt;D1267,1,IF(OR(B1268&lt;&gt;B1267,A1268-A1267&gt;$U$1),1,""))&lt;&gt;1,"",IF(C1268="B01",1965,IF(C1268="B02",1020,IF(C1268="B05",2400,IF(C1268="B03",4260,IF(C1268="B04",2880,IF(C1268="B20",1260,0)))))))</f>
        <v>2400</v>
      </c>
      <c r="F1268" s="8">
        <f>IF(IF(D1268&lt;&gt;D1267,1,IF(OR(B1268&lt;&gt;B1267,A1268-A1267&gt;$U$1),1,""))&lt;&gt;1,"",IF(C1268="B01",1,IF(C1268="B05",1,IF(C1268="B03",1,IF(C1268="B04",1,IF(C1268="B20",1,IF(C1268="B02",1,0)))))))</f>
        <v>1</v>
      </c>
      <c r="G1268"/>
      <c r="H1268" s="2"/>
      <c r="I1268" s="2"/>
      <c r="L1268"/>
      <c r="R1268"/>
    </row>
    <row r="1269" spans="1:18">
      <c r="A1269" s="3">
        <v>45769.743217592593</v>
      </c>
      <c r="B1269" s="2" t="s">
        <v>26</v>
      </c>
      <c r="C1269" s="2" t="s">
        <v>11</v>
      </c>
      <c r="D1269" s="6" t="str">
        <f>CONCATENATE(YEAR(A1269),"/",IF(MONTH(A1269)&lt;10,CONCATENATE("0",MONTH(A1269)),MONTH(A1269)))</f>
        <v>2025/04</v>
      </c>
      <c r="E1269" s="8" t="str">
        <f>IF(IF(D1269&lt;&gt;D1268,1,IF(OR(B1269&lt;&gt;B1268,A1269-A1268&gt;$U$1),1,""))&lt;&gt;1,"",IF(C1269="B01",1965,IF(C1269="B02",1020,IF(C1269="B05",2400,IF(C1269="B03",4260,IF(C1269="B04",2880,IF(C1269="B20",1260,0)))))))</f>
        <v/>
      </c>
      <c r="F1269" s="8" t="str">
        <f>IF(IF(D1269&lt;&gt;D1268,1,IF(OR(B1269&lt;&gt;B1268,A1269-A1268&gt;$U$1),1,""))&lt;&gt;1,"",IF(C1269="B01",1,IF(C1269="B05",1,IF(C1269="B03",1,IF(C1269="B04",1,IF(C1269="B20",1,IF(C1269="B02",1,0)))))))</f>
        <v/>
      </c>
      <c r="G1269"/>
      <c r="H1269" s="2"/>
      <c r="I1269" s="2"/>
      <c r="L1269"/>
      <c r="R1269"/>
    </row>
    <row r="1270" spans="1:18">
      <c r="A1270" s="3">
        <v>45769.743217592593</v>
      </c>
      <c r="B1270" s="2" t="s">
        <v>26</v>
      </c>
      <c r="C1270" s="2" t="s">
        <v>11</v>
      </c>
      <c r="D1270" s="6" t="str">
        <f>CONCATENATE(YEAR(A1270),"/",IF(MONTH(A1270)&lt;10,CONCATENATE("0",MONTH(A1270)),MONTH(A1270)))</f>
        <v>2025/04</v>
      </c>
      <c r="E1270" s="8" t="str">
        <f>IF(IF(D1270&lt;&gt;D1269,1,IF(OR(B1270&lt;&gt;B1269,A1270-A1269&gt;$U$1),1,""))&lt;&gt;1,"",IF(C1270="B01",1965,IF(C1270="B02",1020,IF(C1270="B05",2400,IF(C1270="B03",4260,IF(C1270="B04",2880,IF(C1270="B20",1260,0)))))))</f>
        <v/>
      </c>
      <c r="F1270" s="8" t="str">
        <f>IF(IF(D1270&lt;&gt;D1269,1,IF(OR(B1270&lt;&gt;B1269,A1270-A1269&gt;$U$1),1,""))&lt;&gt;1,"",IF(C1270="B01",1,IF(C1270="B05",1,IF(C1270="B03",1,IF(C1270="B04",1,IF(C1270="B20",1,IF(C1270="B02",1,0)))))))</f>
        <v/>
      </c>
      <c r="G1270"/>
      <c r="H1270" s="2"/>
      <c r="I1270" s="2"/>
      <c r="L1270"/>
      <c r="R1270"/>
    </row>
    <row r="1271" spans="1:18">
      <c r="A1271" s="3">
        <v>45769.875405092593</v>
      </c>
      <c r="B1271" s="2" t="s">
        <v>26</v>
      </c>
      <c r="C1271" s="2" t="s">
        <v>11</v>
      </c>
      <c r="D1271" s="6" t="str">
        <f>CONCATENATE(YEAR(A1271),"/",IF(MONTH(A1271)&lt;10,CONCATENATE("0",MONTH(A1271)),MONTH(A1271)))</f>
        <v>2025/04</v>
      </c>
      <c r="E1271" s="8">
        <f>IF(IF(D1271&lt;&gt;D1270,1,IF(OR(B1271&lt;&gt;B1270,A1271-A1270&gt;$U$1),1,""))&lt;&gt;1,"",IF(C1271="B01",1965,IF(C1271="B02",1020,IF(C1271="B05",2400,IF(C1271="B03",4260,IF(C1271="B04",2880,IF(C1271="B20",1260,0)))))))</f>
        <v>2400</v>
      </c>
      <c r="F1271" s="8">
        <f>IF(IF(D1271&lt;&gt;D1270,1,IF(OR(B1271&lt;&gt;B1270,A1271-A1270&gt;$U$1),1,""))&lt;&gt;1,"",IF(C1271="B01",1,IF(C1271="B05",1,IF(C1271="B03",1,IF(C1271="B04",1,IF(C1271="B20",1,IF(C1271="B02",1,0)))))))</f>
        <v>1</v>
      </c>
      <c r="G1271"/>
      <c r="H1271" s="2"/>
      <c r="I1271" s="2"/>
      <c r="L1271"/>
      <c r="R1271"/>
    </row>
    <row r="1272" spans="1:18">
      <c r="A1272" s="3">
        <v>45769.875405092593</v>
      </c>
      <c r="B1272" s="2" t="s">
        <v>26</v>
      </c>
      <c r="C1272" s="2" t="s">
        <v>11</v>
      </c>
      <c r="D1272" s="6" t="str">
        <f>CONCATENATE(YEAR(A1272),"/",IF(MONTH(A1272)&lt;10,CONCATENATE("0",MONTH(A1272)),MONTH(A1272)))</f>
        <v>2025/04</v>
      </c>
      <c r="E1272" s="8" t="str">
        <f>IF(IF(D1272&lt;&gt;D1271,1,IF(OR(B1272&lt;&gt;B1271,A1272-A1271&gt;$U$1),1,""))&lt;&gt;1,"",IF(C1272="B01",1965,IF(C1272="B02",1020,IF(C1272="B05",2400,IF(C1272="B03",4260,IF(C1272="B04",2880,IF(C1272="B20",1260,0)))))))</f>
        <v/>
      </c>
      <c r="F1272" s="8" t="str">
        <f>IF(IF(D1272&lt;&gt;D1271,1,IF(OR(B1272&lt;&gt;B1271,A1272-A1271&gt;$U$1),1,""))&lt;&gt;1,"",IF(C1272="B01",1,IF(C1272="B05",1,IF(C1272="B03",1,IF(C1272="B04",1,IF(C1272="B20",1,IF(C1272="B02",1,0)))))))</f>
        <v/>
      </c>
      <c r="G1272"/>
      <c r="H1272" s="2"/>
      <c r="I1272" s="2"/>
      <c r="L1272"/>
      <c r="R1272"/>
    </row>
    <row r="1273" spans="1:18">
      <c r="A1273" s="3">
        <v>45769.875405092593</v>
      </c>
      <c r="B1273" s="2" t="s">
        <v>26</v>
      </c>
      <c r="C1273" s="2" t="s">
        <v>11</v>
      </c>
      <c r="D1273" s="6" t="str">
        <f>CONCATENATE(YEAR(A1273),"/",IF(MONTH(A1273)&lt;10,CONCATENATE("0",MONTH(A1273)),MONTH(A1273)))</f>
        <v>2025/04</v>
      </c>
      <c r="E1273" s="8" t="str">
        <f>IF(IF(D1273&lt;&gt;D1272,1,IF(OR(B1273&lt;&gt;B1272,A1273-A1272&gt;$U$1),1,""))&lt;&gt;1,"",IF(C1273="B01",1965,IF(C1273="B02",1020,IF(C1273="B05",2400,IF(C1273="B03",4260,IF(C1273="B04",2880,IF(C1273="B20",1260,0)))))))</f>
        <v/>
      </c>
      <c r="F1273" s="8" t="str">
        <f>IF(IF(D1273&lt;&gt;D1272,1,IF(OR(B1273&lt;&gt;B1272,A1273-A1272&gt;$U$1),1,""))&lt;&gt;1,"",IF(C1273="B01",1,IF(C1273="B05",1,IF(C1273="B03",1,IF(C1273="B04",1,IF(C1273="B20",1,IF(C1273="B02",1,0)))))))</f>
        <v/>
      </c>
      <c r="G1273"/>
      <c r="H1273" s="2"/>
      <c r="I1273" s="2"/>
      <c r="L1273"/>
      <c r="R1273"/>
    </row>
    <row r="1274" spans="1:18">
      <c r="A1274" s="3">
        <v>45769.875405092593</v>
      </c>
      <c r="B1274" s="2" t="s">
        <v>26</v>
      </c>
      <c r="C1274" s="2" t="s">
        <v>11</v>
      </c>
      <c r="D1274" s="6" t="str">
        <f>CONCATENATE(YEAR(A1274),"/",IF(MONTH(A1274)&lt;10,CONCATENATE("0",MONTH(A1274)),MONTH(A1274)))</f>
        <v>2025/04</v>
      </c>
      <c r="E1274" s="8" t="str">
        <f>IF(IF(D1274&lt;&gt;D1273,1,IF(OR(B1274&lt;&gt;B1273,A1274-A1273&gt;$U$1),1,""))&lt;&gt;1,"",IF(C1274="B01",1965,IF(C1274="B02",1020,IF(C1274="B05",2400,IF(C1274="B03",4260,IF(C1274="B04",2880,IF(C1274="B20",1260,0)))))))</f>
        <v/>
      </c>
      <c r="F1274" s="8" t="str">
        <f>IF(IF(D1274&lt;&gt;D1273,1,IF(OR(B1274&lt;&gt;B1273,A1274-A1273&gt;$U$1),1,""))&lt;&gt;1,"",IF(C1274="B01",1,IF(C1274="B05",1,IF(C1274="B03",1,IF(C1274="B04",1,IF(C1274="B20",1,IF(C1274="B02",1,0)))))))</f>
        <v/>
      </c>
      <c r="G1274"/>
      <c r="H1274" s="2"/>
      <c r="I1274" s="2"/>
      <c r="L1274"/>
      <c r="R1274"/>
    </row>
    <row r="1275" spans="1:18">
      <c r="A1275" s="3">
        <v>45769.875405092593</v>
      </c>
      <c r="B1275" s="2" t="s">
        <v>26</v>
      </c>
      <c r="C1275" s="2" t="s">
        <v>11</v>
      </c>
      <c r="D1275" s="6" t="str">
        <f>CONCATENATE(YEAR(A1275),"/",IF(MONTH(A1275)&lt;10,CONCATENATE("0",MONTH(A1275)),MONTH(A1275)))</f>
        <v>2025/04</v>
      </c>
      <c r="E1275" s="8" t="str">
        <f>IF(IF(D1275&lt;&gt;D1274,1,IF(OR(B1275&lt;&gt;B1274,A1275-A1274&gt;$U$1),1,""))&lt;&gt;1,"",IF(C1275="B01",1965,IF(C1275="B02",1020,IF(C1275="B05",2400,IF(C1275="B03",4260,IF(C1275="B04",2880,IF(C1275="B20",1260,0)))))))</f>
        <v/>
      </c>
      <c r="F1275" s="8" t="str">
        <f>IF(IF(D1275&lt;&gt;D1274,1,IF(OR(B1275&lt;&gt;B1274,A1275-A1274&gt;$U$1),1,""))&lt;&gt;1,"",IF(C1275="B01",1,IF(C1275="B05",1,IF(C1275="B03",1,IF(C1275="B04",1,IF(C1275="B20",1,IF(C1275="B02",1,0)))))))</f>
        <v/>
      </c>
      <c r="G1275"/>
      <c r="H1275" s="2"/>
      <c r="I1275" s="2"/>
      <c r="L1275"/>
      <c r="R1275"/>
    </row>
    <row r="1276" spans="1:18">
      <c r="A1276" s="3">
        <v>45770.083784722221</v>
      </c>
      <c r="B1276" s="2" t="s">
        <v>26</v>
      </c>
      <c r="C1276" s="2" t="s">
        <v>12</v>
      </c>
      <c r="D1276" s="6" t="str">
        <f>CONCATENATE(YEAR(A1276),"/",IF(MONTH(A1276)&lt;10,CONCATENATE("0",MONTH(A1276)),MONTH(A1276)))</f>
        <v>2025/04</v>
      </c>
      <c r="E1276" s="8">
        <f>IF(IF(D1276&lt;&gt;D1275,1,IF(OR(B1276&lt;&gt;B1275,A1276-A1275&gt;$U$1),1,""))&lt;&gt;1,"",IF(C1276="B01",1965,IF(C1276="B02",1020,IF(C1276="B05",2400,IF(C1276="B03",4260,IF(C1276="B04",2880,IF(C1276="B20",1260,0)))))))</f>
        <v>4260</v>
      </c>
      <c r="F1276" s="8">
        <f>IF(IF(D1276&lt;&gt;D1275,1,IF(OR(B1276&lt;&gt;B1275,A1276-A1275&gt;$U$1),1,""))&lt;&gt;1,"",IF(C1276="B01",1,IF(C1276="B05",1,IF(C1276="B03",1,IF(C1276="B04",1,IF(C1276="B20",1,IF(C1276="B02",1,0)))))))</f>
        <v>1</v>
      </c>
      <c r="G1276"/>
      <c r="H1276" s="2"/>
      <c r="I1276" s="2"/>
      <c r="L1276"/>
      <c r="R1276"/>
    </row>
    <row r="1277" spans="1:18">
      <c r="A1277" s="3">
        <v>45770.306481481479</v>
      </c>
      <c r="B1277" s="2" t="s">
        <v>26</v>
      </c>
      <c r="C1277" s="2" t="s">
        <v>11</v>
      </c>
      <c r="D1277" s="6" t="str">
        <f>CONCATENATE(YEAR(A1277),"/",IF(MONTH(A1277)&lt;10,CONCATENATE("0",MONTH(A1277)),MONTH(A1277)))</f>
        <v>2025/04</v>
      </c>
      <c r="E1277" s="8">
        <f>IF(IF(D1277&lt;&gt;D1276,1,IF(OR(B1277&lt;&gt;B1276,A1277-A1276&gt;$U$1),1,""))&lt;&gt;1,"",IF(C1277="B01",1965,IF(C1277="B02",1020,IF(C1277="B05",2400,IF(C1277="B03",4260,IF(C1277="B04",2880,IF(C1277="B20",1260,0)))))))</f>
        <v>2400</v>
      </c>
      <c r="F1277" s="8">
        <f>IF(IF(D1277&lt;&gt;D1276,1,IF(OR(B1277&lt;&gt;B1276,A1277-A1276&gt;$U$1),1,""))&lt;&gt;1,"",IF(C1277="B01",1,IF(C1277="B05",1,IF(C1277="B03",1,IF(C1277="B04",1,IF(C1277="B20",1,IF(C1277="B02",1,0)))))))</f>
        <v>1</v>
      </c>
      <c r="G1277"/>
      <c r="H1277" s="2"/>
      <c r="I1277" s="2"/>
      <c r="L1277"/>
      <c r="R1277"/>
    </row>
    <row r="1278" spans="1:18">
      <c r="A1278" s="3">
        <v>45770.306481481479</v>
      </c>
      <c r="B1278" s="2" t="s">
        <v>26</v>
      </c>
      <c r="C1278" s="2" t="s">
        <v>11</v>
      </c>
      <c r="D1278" s="6" t="str">
        <f>CONCATENATE(YEAR(A1278),"/",IF(MONTH(A1278)&lt;10,CONCATENATE("0",MONTH(A1278)),MONTH(A1278)))</f>
        <v>2025/04</v>
      </c>
      <c r="E1278" s="8" t="str">
        <f>IF(IF(D1278&lt;&gt;D1277,1,IF(OR(B1278&lt;&gt;B1277,A1278-A1277&gt;$U$1),1,""))&lt;&gt;1,"",IF(C1278="B01",1965,IF(C1278="B02",1020,IF(C1278="B05",2400,IF(C1278="B03",4260,IF(C1278="B04",2880,IF(C1278="B20",1260,0)))))))</f>
        <v/>
      </c>
      <c r="F1278" s="8" t="str">
        <f>IF(IF(D1278&lt;&gt;D1277,1,IF(OR(B1278&lt;&gt;B1277,A1278-A1277&gt;$U$1),1,""))&lt;&gt;1,"",IF(C1278="B01",1,IF(C1278="B05",1,IF(C1278="B03",1,IF(C1278="B04",1,IF(C1278="B20",1,IF(C1278="B02",1,0)))))))</f>
        <v/>
      </c>
      <c r="G1278"/>
      <c r="H1278" s="2"/>
      <c r="I1278" s="2"/>
      <c r="L1278"/>
      <c r="R1278"/>
    </row>
    <row r="1279" spans="1:18">
      <c r="A1279" s="3">
        <v>45770.34652777778</v>
      </c>
      <c r="B1279" s="2" t="s">
        <v>26</v>
      </c>
      <c r="C1279" s="2" t="s">
        <v>11</v>
      </c>
      <c r="D1279" s="6" t="str">
        <f>CONCATENATE(YEAR(A1279),"/",IF(MONTH(A1279)&lt;10,CONCATENATE("0",MONTH(A1279)),MONTH(A1279)))</f>
        <v>2025/04</v>
      </c>
      <c r="E1279" s="8">
        <f>IF(IF(D1279&lt;&gt;D1278,1,IF(OR(B1279&lt;&gt;B1278,A1279-A1278&gt;$U$1),1,""))&lt;&gt;1,"",IF(C1279="B01",1965,IF(C1279="B02",1020,IF(C1279="B05",2400,IF(C1279="B03",4260,IF(C1279="B04",2880,IF(C1279="B20",1260,0)))))))</f>
        <v>2400</v>
      </c>
      <c r="F1279" s="8">
        <f>IF(IF(D1279&lt;&gt;D1278,1,IF(OR(B1279&lt;&gt;B1278,A1279-A1278&gt;$U$1),1,""))&lt;&gt;1,"",IF(C1279="B01",1,IF(C1279="B05",1,IF(C1279="B03",1,IF(C1279="B04",1,IF(C1279="B20",1,IF(C1279="B02",1,0)))))))</f>
        <v>1</v>
      </c>
      <c r="G1279"/>
      <c r="H1279" s="2"/>
      <c r="I1279" s="2"/>
      <c r="L1279"/>
      <c r="R1279"/>
    </row>
    <row r="1280" spans="1:18">
      <c r="A1280" s="3">
        <v>45770.34652777778</v>
      </c>
      <c r="B1280" s="2" t="s">
        <v>26</v>
      </c>
      <c r="C1280" s="2" t="s">
        <v>11</v>
      </c>
      <c r="D1280" s="6" t="str">
        <f>CONCATENATE(YEAR(A1280),"/",IF(MONTH(A1280)&lt;10,CONCATENATE("0",MONTH(A1280)),MONTH(A1280)))</f>
        <v>2025/04</v>
      </c>
      <c r="E1280" s="8" t="str">
        <f>IF(IF(D1280&lt;&gt;D1279,1,IF(OR(B1280&lt;&gt;B1279,A1280-A1279&gt;$U$1),1,""))&lt;&gt;1,"",IF(C1280="B01",1965,IF(C1280="B02",1020,IF(C1280="B05",2400,IF(C1280="B03",4260,IF(C1280="B04",2880,IF(C1280="B20",1260,0)))))))</f>
        <v/>
      </c>
      <c r="F1280" s="8" t="str">
        <f>IF(IF(D1280&lt;&gt;D1279,1,IF(OR(B1280&lt;&gt;B1279,A1280-A1279&gt;$U$1),1,""))&lt;&gt;1,"",IF(C1280="B01",1,IF(C1280="B05",1,IF(C1280="B03",1,IF(C1280="B04",1,IF(C1280="B20",1,IF(C1280="B02",1,0)))))))</f>
        <v/>
      </c>
      <c r="G1280"/>
      <c r="H1280" s="2"/>
      <c r="I1280" s="2"/>
      <c r="L1280"/>
      <c r="R1280"/>
    </row>
    <row r="1281" spans="1:18">
      <c r="A1281" s="3">
        <v>45770.560578703706</v>
      </c>
      <c r="B1281" s="2" t="s">
        <v>26</v>
      </c>
      <c r="C1281" s="2" t="s">
        <v>11</v>
      </c>
      <c r="D1281" s="6" t="str">
        <f>CONCATENATE(YEAR(A1281),"/",IF(MONTH(A1281)&lt;10,CONCATENATE("0",MONTH(A1281)),MONTH(A1281)))</f>
        <v>2025/04</v>
      </c>
      <c r="E1281" s="8">
        <f>IF(IF(D1281&lt;&gt;D1280,1,IF(OR(B1281&lt;&gt;B1280,A1281-A1280&gt;$U$1),1,""))&lt;&gt;1,"",IF(C1281="B01",1965,IF(C1281="B02",1020,IF(C1281="B05",2400,IF(C1281="B03",4260,IF(C1281="B04",2880,IF(C1281="B20",1260,0)))))))</f>
        <v>2400</v>
      </c>
      <c r="F1281" s="8">
        <f>IF(IF(D1281&lt;&gt;D1280,1,IF(OR(B1281&lt;&gt;B1280,A1281-A1280&gt;$U$1),1,""))&lt;&gt;1,"",IF(C1281="B01",1,IF(C1281="B05",1,IF(C1281="B03",1,IF(C1281="B04",1,IF(C1281="B20",1,IF(C1281="B02",1,0)))))))</f>
        <v>1</v>
      </c>
      <c r="G1281"/>
      <c r="H1281" s="2"/>
      <c r="I1281" s="2"/>
      <c r="L1281"/>
      <c r="R1281"/>
    </row>
    <row r="1282" spans="1:18">
      <c r="A1282" s="3">
        <v>45770.560578703706</v>
      </c>
      <c r="B1282" s="2" t="s">
        <v>26</v>
      </c>
      <c r="C1282" s="2" t="s">
        <v>11</v>
      </c>
      <c r="D1282" s="6" t="str">
        <f>CONCATENATE(YEAR(A1282),"/",IF(MONTH(A1282)&lt;10,CONCATENATE("0",MONTH(A1282)),MONTH(A1282)))</f>
        <v>2025/04</v>
      </c>
      <c r="E1282" s="8" t="str">
        <f>IF(IF(D1282&lt;&gt;D1281,1,IF(OR(B1282&lt;&gt;B1281,A1282-A1281&gt;$U$1),1,""))&lt;&gt;1,"",IF(C1282="B01",1965,IF(C1282="B02",1020,IF(C1282="B05",2400,IF(C1282="B03",4260,IF(C1282="B04",2880,IF(C1282="B20",1260,0)))))))</f>
        <v/>
      </c>
      <c r="F1282" s="8" t="str">
        <f>IF(IF(D1282&lt;&gt;D1281,1,IF(OR(B1282&lt;&gt;B1281,A1282-A1281&gt;$U$1),1,""))&lt;&gt;1,"",IF(C1282="B01",1,IF(C1282="B05",1,IF(C1282="B03",1,IF(C1282="B04",1,IF(C1282="B20",1,IF(C1282="B02",1,0)))))))</f>
        <v/>
      </c>
      <c r="G1282"/>
      <c r="H1282" s="2"/>
      <c r="I1282" s="2"/>
      <c r="L1282"/>
      <c r="R1282"/>
    </row>
    <row r="1283" spans="1:18">
      <c r="A1283" s="3">
        <v>45770.560578703706</v>
      </c>
      <c r="B1283" s="2" t="s">
        <v>26</v>
      </c>
      <c r="C1283" s="2" t="s">
        <v>11</v>
      </c>
      <c r="D1283" s="6" t="str">
        <f>CONCATENATE(YEAR(A1283),"/",IF(MONTH(A1283)&lt;10,CONCATENATE("0",MONTH(A1283)),MONTH(A1283)))</f>
        <v>2025/04</v>
      </c>
      <c r="E1283" s="8" t="str">
        <f>IF(IF(D1283&lt;&gt;D1282,1,IF(OR(B1283&lt;&gt;B1282,A1283-A1282&gt;$U$1),1,""))&lt;&gt;1,"",IF(C1283="B01",1965,IF(C1283="B02",1020,IF(C1283="B05",2400,IF(C1283="B03",4260,IF(C1283="B04",2880,IF(C1283="B20",1260,0)))))))</f>
        <v/>
      </c>
      <c r="F1283" s="8" t="str">
        <f>IF(IF(D1283&lt;&gt;D1282,1,IF(OR(B1283&lt;&gt;B1282,A1283-A1282&gt;$U$1),1,""))&lt;&gt;1,"",IF(C1283="B01",1,IF(C1283="B05",1,IF(C1283="B03",1,IF(C1283="B04",1,IF(C1283="B20",1,IF(C1283="B02",1,0)))))))</f>
        <v/>
      </c>
      <c r="G1283"/>
      <c r="H1283" s="2"/>
      <c r="I1283" s="2"/>
      <c r="L1283"/>
      <c r="R1283"/>
    </row>
    <row r="1284" spans="1:18">
      <c r="A1284" s="3">
        <v>45770.699155092596</v>
      </c>
      <c r="B1284" s="2" t="s">
        <v>26</v>
      </c>
      <c r="C1284" s="2" t="s">
        <v>11</v>
      </c>
      <c r="D1284" s="6" t="str">
        <f>CONCATENATE(YEAR(A1284),"/",IF(MONTH(A1284)&lt;10,CONCATENATE("0",MONTH(A1284)),MONTH(A1284)))</f>
        <v>2025/04</v>
      </c>
      <c r="E1284" s="8">
        <f>IF(IF(D1284&lt;&gt;D1283,1,IF(OR(B1284&lt;&gt;B1283,A1284-A1283&gt;$U$1),1,""))&lt;&gt;1,"",IF(C1284="B01",1965,IF(C1284="B02",1020,IF(C1284="B05",2400,IF(C1284="B03",4260,IF(C1284="B04",2880,IF(C1284="B20",1260,0)))))))</f>
        <v>2400</v>
      </c>
      <c r="F1284" s="8">
        <f>IF(IF(D1284&lt;&gt;D1283,1,IF(OR(B1284&lt;&gt;B1283,A1284-A1283&gt;$U$1),1,""))&lt;&gt;1,"",IF(C1284="B01",1,IF(C1284="B05",1,IF(C1284="B03",1,IF(C1284="B04",1,IF(C1284="B20",1,IF(C1284="B02",1,0)))))))</f>
        <v>1</v>
      </c>
      <c r="G1284"/>
      <c r="H1284" s="2"/>
      <c r="I1284" s="2"/>
      <c r="L1284"/>
      <c r="R1284"/>
    </row>
    <row r="1285" spans="1:18">
      <c r="A1285" s="3">
        <v>45770.699155092596</v>
      </c>
      <c r="B1285" s="2" t="s">
        <v>26</v>
      </c>
      <c r="C1285" s="2" t="s">
        <v>11</v>
      </c>
      <c r="D1285" s="6" t="str">
        <f>CONCATENATE(YEAR(A1285),"/",IF(MONTH(A1285)&lt;10,CONCATENATE("0",MONTH(A1285)),MONTH(A1285)))</f>
        <v>2025/04</v>
      </c>
      <c r="E1285" s="8" t="str">
        <f>IF(IF(D1285&lt;&gt;D1284,1,IF(OR(B1285&lt;&gt;B1284,A1285-A1284&gt;$U$1),1,""))&lt;&gt;1,"",IF(C1285="B01",1965,IF(C1285="B02",1020,IF(C1285="B05",2400,IF(C1285="B03",4260,IF(C1285="B04",2880,IF(C1285="B20",1260,0)))))))</f>
        <v/>
      </c>
      <c r="F1285" s="8" t="str">
        <f>IF(IF(D1285&lt;&gt;D1284,1,IF(OR(B1285&lt;&gt;B1284,A1285-A1284&gt;$U$1),1,""))&lt;&gt;1,"",IF(C1285="B01",1,IF(C1285="B05",1,IF(C1285="B03",1,IF(C1285="B04",1,IF(C1285="B20",1,IF(C1285="B02",1,0)))))))</f>
        <v/>
      </c>
      <c r="G1285"/>
      <c r="H1285" s="2"/>
      <c r="I1285" s="2"/>
      <c r="L1285"/>
      <c r="R1285"/>
    </row>
    <row r="1286" spans="1:18">
      <c r="A1286" s="3">
        <v>45770.843101851853</v>
      </c>
      <c r="B1286" s="2" t="s">
        <v>26</v>
      </c>
      <c r="C1286" s="2" t="s">
        <v>11</v>
      </c>
      <c r="D1286" s="6" t="str">
        <f>CONCATENATE(YEAR(A1286),"/",IF(MONTH(A1286)&lt;10,CONCATENATE("0",MONTH(A1286)),MONTH(A1286)))</f>
        <v>2025/04</v>
      </c>
      <c r="E1286" s="8">
        <f>IF(IF(D1286&lt;&gt;D1285,1,IF(OR(B1286&lt;&gt;B1285,A1286-A1285&gt;$U$1),1,""))&lt;&gt;1,"",IF(C1286="B01",1965,IF(C1286="B02",1020,IF(C1286="B05",2400,IF(C1286="B03",4260,IF(C1286="B04",2880,IF(C1286="B20",1260,0)))))))</f>
        <v>2400</v>
      </c>
      <c r="F1286" s="8">
        <f>IF(IF(D1286&lt;&gt;D1285,1,IF(OR(B1286&lt;&gt;B1285,A1286-A1285&gt;$U$1),1,""))&lt;&gt;1,"",IF(C1286="B01",1,IF(C1286="B05",1,IF(C1286="B03",1,IF(C1286="B04",1,IF(C1286="B20",1,IF(C1286="B02",1,0)))))))</f>
        <v>1</v>
      </c>
      <c r="G1286"/>
      <c r="H1286" s="2"/>
      <c r="I1286" s="2"/>
      <c r="L1286"/>
      <c r="R1286"/>
    </row>
    <row r="1287" spans="1:18">
      <c r="A1287" s="3">
        <v>45770.843101851853</v>
      </c>
      <c r="B1287" s="2" t="s">
        <v>26</v>
      </c>
      <c r="C1287" s="2" t="s">
        <v>11</v>
      </c>
      <c r="D1287" s="6" t="str">
        <f>CONCATENATE(YEAR(A1287),"/",IF(MONTH(A1287)&lt;10,CONCATENATE("0",MONTH(A1287)),MONTH(A1287)))</f>
        <v>2025/04</v>
      </c>
      <c r="E1287" s="8" t="str">
        <f>IF(IF(D1287&lt;&gt;D1286,1,IF(OR(B1287&lt;&gt;B1286,A1287-A1286&gt;$U$1),1,""))&lt;&gt;1,"",IF(C1287="B01",1965,IF(C1287="B02",1020,IF(C1287="B05",2400,IF(C1287="B03",4260,IF(C1287="B04",2880,IF(C1287="B20",1260,0)))))))</f>
        <v/>
      </c>
      <c r="F1287" s="8" t="str">
        <f>IF(IF(D1287&lt;&gt;D1286,1,IF(OR(B1287&lt;&gt;B1286,A1287-A1286&gt;$U$1),1,""))&lt;&gt;1,"",IF(C1287="B01",1,IF(C1287="B05",1,IF(C1287="B03",1,IF(C1287="B04",1,IF(C1287="B20",1,IF(C1287="B02",1,0)))))))</f>
        <v/>
      </c>
      <c r="G1287"/>
      <c r="H1287" s="2"/>
      <c r="I1287" s="2"/>
      <c r="L1287"/>
      <c r="R1287"/>
    </row>
    <row r="1288" spans="1:18">
      <c r="A1288" s="3">
        <v>45770.843101851853</v>
      </c>
      <c r="B1288" s="2" t="s">
        <v>26</v>
      </c>
      <c r="C1288" s="2" t="s">
        <v>11</v>
      </c>
      <c r="D1288" s="6" t="str">
        <f>CONCATENATE(YEAR(A1288),"/",IF(MONTH(A1288)&lt;10,CONCATENATE("0",MONTH(A1288)),MONTH(A1288)))</f>
        <v>2025/04</v>
      </c>
      <c r="E1288" s="8" t="str">
        <f>IF(IF(D1288&lt;&gt;D1287,1,IF(OR(B1288&lt;&gt;B1287,A1288-A1287&gt;$U$1),1,""))&lt;&gt;1,"",IF(C1288="B01",1965,IF(C1288="B02",1020,IF(C1288="B05",2400,IF(C1288="B03",4260,IF(C1288="B04",2880,IF(C1288="B20",1260,0)))))))</f>
        <v/>
      </c>
      <c r="F1288" s="8" t="str">
        <f>IF(IF(D1288&lt;&gt;D1287,1,IF(OR(B1288&lt;&gt;B1287,A1288-A1287&gt;$U$1),1,""))&lt;&gt;1,"",IF(C1288="B01",1,IF(C1288="B05",1,IF(C1288="B03",1,IF(C1288="B04",1,IF(C1288="B20",1,IF(C1288="B02",1,0)))))))</f>
        <v/>
      </c>
      <c r="G1288"/>
      <c r="H1288" s="2"/>
      <c r="I1288" s="2"/>
      <c r="L1288"/>
      <c r="R1288"/>
    </row>
    <row r="1289" spans="1:18">
      <c r="A1289" s="3">
        <v>45771.048587962963</v>
      </c>
      <c r="B1289" s="2" t="s">
        <v>26</v>
      </c>
      <c r="C1289" s="2" t="s">
        <v>11</v>
      </c>
      <c r="D1289" s="6" t="str">
        <f>CONCATENATE(YEAR(A1289),"/",IF(MONTH(A1289)&lt;10,CONCATENATE("0",MONTH(A1289)),MONTH(A1289)))</f>
        <v>2025/04</v>
      </c>
      <c r="E1289" s="8">
        <f>IF(IF(D1289&lt;&gt;D1288,1,IF(OR(B1289&lt;&gt;B1288,A1289-A1288&gt;$U$1),1,""))&lt;&gt;1,"",IF(C1289="B01",1965,IF(C1289="B02",1020,IF(C1289="B05",2400,IF(C1289="B03",4260,IF(C1289="B04",2880,IF(C1289="B20",1260,0)))))))</f>
        <v>2400</v>
      </c>
      <c r="F1289" s="8">
        <f>IF(IF(D1289&lt;&gt;D1288,1,IF(OR(B1289&lt;&gt;B1288,A1289-A1288&gt;$U$1),1,""))&lt;&gt;1,"",IF(C1289="B01",1,IF(C1289="B05",1,IF(C1289="B03",1,IF(C1289="B04",1,IF(C1289="B20",1,IF(C1289="B02",1,0)))))))</f>
        <v>1</v>
      </c>
      <c r="G1289"/>
      <c r="H1289" s="2"/>
      <c r="I1289" s="2"/>
      <c r="L1289"/>
      <c r="R1289"/>
    </row>
    <row r="1290" spans="1:18">
      <c r="A1290" s="3">
        <v>45771.048587962963</v>
      </c>
      <c r="B1290" s="2" t="s">
        <v>26</v>
      </c>
      <c r="C1290" s="2" t="s">
        <v>11</v>
      </c>
      <c r="D1290" s="6" t="str">
        <f>CONCATENATE(YEAR(A1290),"/",IF(MONTH(A1290)&lt;10,CONCATENATE("0",MONTH(A1290)),MONTH(A1290)))</f>
        <v>2025/04</v>
      </c>
      <c r="E1290" s="8" t="str">
        <f>IF(IF(D1290&lt;&gt;D1289,1,IF(OR(B1290&lt;&gt;B1289,A1290-A1289&gt;$U$1),1,""))&lt;&gt;1,"",IF(C1290="B01",1965,IF(C1290="B02",1020,IF(C1290="B05",2400,IF(C1290="B03",4260,IF(C1290="B04",2880,IF(C1290="B20",1260,0)))))))</f>
        <v/>
      </c>
      <c r="F1290" s="8" t="str">
        <f>IF(IF(D1290&lt;&gt;D1289,1,IF(OR(B1290&lt;&gt;B1289,A1290-A1289&gt;$U$1),1,""))&lt;&gt;1,"",IF(C1290="B01",1,IF(C1290="B05",1,IF(C1290="B03",1,IF(C1290="B04",1,IF(C1290="B20",1,IF(C1290="B02",1,0)))))))</f>
        <v/>
      </c>
      <c r="G1290"/>
      <c r="H1290" s="2"/>
      <c r="I1290" s="2"/>
      <c r="L1290"/>
      <c r="R1290"/>
    </row>
    <row r="1291" spans="1:18">
      <c r="A1291" s="3">
        <v>45771.573506944442</v>
      </c>
      <c r="B1291" s="2" t="s">
        <v>26</v>
      </c>
      <c r="C1291" s="2" t="s">
        <v>11</v>
      </c>
      <c r="D1291" s="6" t="str">
        <f>CONCATENATE(YEAR(A1291),"/",IF(MONTH(A1291)&lt;10,CONCATENATE("0",MONTH(A1291)),MONTH(A1291)))</f>
        <v>2025/04</v>
      </c>
      <c r="E1291" s="8">
        <f>IF(IF(D1291&lt;&gt;D1290,1,IF(OR(B1291&lt;&gt;B1290,A1291-A1290&gt;$U$1),1,""))&lt;&gt;1,"",IF(C1291="B01",1965,IF(C1291="B02",1020,IF(C1291="B05",2400,IF(C1291="B03",4260,IF(C1291="B04",2880,IF(C1291="B20",1260,0)))))))</f>
        <v>2400</v>
      </c>
      <c r="F1291" s="8">
        <f>IF(IF(D1291&lt;&gt;D1290,1,IF(OR(B1291&lt;&gt;B1290,A1291-A1290&gt;$U$1),1,""))&lt;&gt;1,"",IF(C1291="B01",1,IF(C1291="B05",1,IF(C1291="B03",1,IF(C1291="B04",1,IF(C1291="B20",1,IF(C1291="B02",1,0)))))))</f>
        <v>1</v>
      </c>
      <c r="G1291"/>
      <c r="H1291" s="2"/>
      <c r="I1291" s="2"/>
      <c r="L1291"/>
      <c r="R1291"/>
    </row>
    <row r="1292" spans="1:18">
      <c r="A1292" s="3">
        <v>45771.573506944442</v>
      </c>
      <c r="B1292" s="2" t="s">
        <v>26</v>
      </c>
      <c r="C1292" s="2" t="s">
        <v>11</v>
      </c>
      <c r="D1292" s="6" t="str">
        <f>CONCATENATE(YEAR(A1292),"/",IF(MONTH(A1292)&lt;10,CONCATENATE("0",MONTH(A1292)),MONTH(A1292)))</f>
        <v>2025/04</v>
      </c>
      <c r="E1292" s="8" t="str">
        <f>IF(IF(D1292&lt;&gt;D1291,1,IF(OR(B1292&lt;&gt;B1291,A1292-A1291&gt;$U$1),1,""))&lt;&gt;1,"",IF(C1292="B01",1965,IF(C1292="B02",1020,IF(C1292="B05",2400,IF(C1292="B03",4260,IF(C1292="B04",2880,IF(C1292="B20",1260,0)))))))</f>
        <v/>
      </c>
      <c r="F1292" s="8" t="str">
        <f>IF(IF(D1292&lt;&gt;D1291,1,IF(OR(B1292&lt;&gt;B1291,A1292-A1291&gt;$U$1),1,""))&lt;&gt;1,"",IF(C1292="B01",1,IF(C1292="B05",1,IF(C1292="B03",1,IF(C1292="B04",1,IF(C1292="B20",1,IF(C1292="B02",1,0)))))))</f>
        <v/>
      </c>
      <c r="G1292"/>
      <c r="H1292" s="2"/>
      <c r="I1292" s="2"/>
      <c r="L1292"/>
      <c r="R1292"/>
    </row>
    <row r="1293" spans="1:18">
      <c r="A1293" s="3">
        <v>45771.573506944442</v>
      </c>
      <c r="B1293" s="2" t="s">
        <v>26</v>
      </c>
      <c r="C1293" s="2" t="s">
        <v>11</v>
      </c>
      <c r="D1293" s="6" t="str">
        <f>CONCATENATE(YEAR(A1293),"/",IF(MONTH(A1293)&lt;10,CONCATENATE("0",MONTH(A1293)),MONTH(A1293)))</f>
        <v>2025/04</v>
      </c>
      <c r="E1293" s="8" t="str">
        <f>IF(IF(D1293&lt;&gt;D1292,1,IF(OR(B1293&lt;&gt;B1292,A1293-A1292&gt;$U$1),1,""))&lt;&gt;1,"",IF(C1293="B01",1965,IF(C1293="B02",1020,IF(C1293="B05",2400,IF(C1293="B03",4260,IF(C1293="B04",2880,IF(C1293="B20",1260,0)))))))</f>
        <v/>
      </c>
      <c r="F1293" s="8" t="str">
        <f>IF(IF(D1293&lt;&gt;D1292,1,IF(OR(B1293&lt;&gt;B1292,A1293-A1292&gt;$U$1),1,""))&lt;&gt;1,"",IF(C1293="B01",1,IF(C1293="B05",1,IF(C1293="B03",1,IF(C1293="B04",1,IF(C1293="B20",1,IF(C1293="B02",1,0)))))))</f>
        <v/>
      </c>
      <c r="G1293"/>
      <c r="H1293" s="2"/>
      <c r="I1293" s="2"/>
      <c r="L1293"/>
      <c r="R1293"/>
    </row>
    <row r="1294" spans="1:18">
      <c r="A1294" s="3">
        <v>45771.573506944442</v>
      </c>
      <c r="B1294" s="2" t="s">
        <v>26</v>
      </c>
      <c r="C1294" s="2" t="s">
        <v>11</v>
      </c>
      <c r="D1294" s="6" t="str">
        <f>CONCATENATE(YEAR(A1294),"/",IF(MONTH(A1294)&lt;10,CONCATENATE("0",MONTH(A1294)),MONTH(A1294)))</f>
        <v>2025/04</v>
      </c>
      <c r="E1294" s="8" t="str">
        <f>IF(IF(D1294&lt;&gt;D1293,1,IF(OR(B1294&lt;&gt;B1293,A1294-A1293&gt;$U$1),1,""))&lt;&gt;1,"",IF(C1294="B01",1965,IF(C1294="B02",1020,IF(C1294="B05",2400,IF(C1294="B03",4260,IF(C1294="B04",2880,IF(C1294="B20",1260,0)))))))</f>
        <v/>
      </c>
      <c r="F1294" s="8" t="str">
        <f>IF(IF(D1294&lt;&gt;D1293,1,IF(OR(B1294&lt;&gt;B1293,A1294-A1293&gt;$U$1),1,""))&lt;&gt;1,"",IF(C1294="B01",1,IF(C1294="B05",1,IF(C1294="B03",1,IF(C1294="B04",1,IF(C1294="B20",1,IF(C1294="B02",1,0)))))))</f>
        <v/>
      </c>
      <c r="G1294"/>
      <c r="H1294" s="2"/>
      <c r="I1294" s="2"/>
      <c r="L1294"/>
      <c r="R1294"/>
    </row>
    <row r="1295" spans="1:18">
      <c r="A1295" s="3">
        <v>45771.573506944442</v>
      </c>
      <c r="B1295" s="2" t="s">
        <v>26</v>
      </c>
      <c r="C1295" s="2" t="s">
        <v>11</v>
      </c>
      <c r="D1295" s="6" t="str">
        <f>CONCATENATE(YEAR(A1295),"/",IF(MONTH(A1295)&lt;10,CONCATENATE("0",MONTH(A1295)),MONTH(A1295)))</f>
        <v>2025/04</v>
      </c>
      <c r="E1295" s="8" t="str">
        <f>IF(IF(D1295&lt;&gt;D1294,1,IF(OR(B1295&lt;&gt;B1294,A1295-A1294&gt;$U$1),1,""))&lt;&gt;1,"",IF(C1295="B01",1965,IF(C1295="B02",1020,IF(C1295="B05",2400,IF(C1295="B03",4260,IF(C1295="B04",2880,IF(C1295="B20",1260,0)))))))</f>
        <v/>
      </c>
      <c r="F1295" s="8" t="str">
        <f>IF(IF(D1295&lt;&gt;D1294,1,IF(OR(B1295&lt;&gt;B1294,A1295-A1294&gt;$U$1),1,""))&lt;&gt;1,"",IF(C1295="B01",1,IF(C1295="B05",1,IF(C1295="B03",1,IF(C1295="B04",1,IF(C1295="B20",1,IF(C1295="B02",1,0)))))))</f>
        <v/>
      </c>
      <c r="G1295"/>
      <c r="H1295" s="2"/>
      <c r="I1295" s="2"/>
      <c r="L1295"/>
      <c r="R1295"/>
    </row>
    <row r="1296" spans="1:18">
      <c r="A1296" s="3">
        <v>45771.736817129633</v>
      </c>
      <c r="B1296" s="2" t="s">
        <v>26</v>
      </c>
      <c r="C1296" s="2" t="s">
        <v>11</v>
      </c>
      <c r="D1296" s="6" t="str">
        <f>CONCATENATE(YEAR(A1296),"/",IF(MONTH(A1296)&lt;10,CONCATENATE("0",MONTH(A1296)),MONTH(A1296)))</f>
        <v>2025/04</v>
      </c>
      <c r="E1296" s="8">
        <f>IF(IF(D1296&lt;&gt;D1295,1,IF(OR(B1296&lt;&gt;B1295,A1296-A1295&gt;$U$1),1,""))&lt;&gt;1,"",IF(C1296="B01",1965,IF(C1296="B02",1020,IF(C1296="B05",2400,IF(C1296="B03",4260,IF(C1296="B04",2880,IF(C1296="B20",1260,0)))))))</f>
        <v>2400</v>
      </c>
      <c r="F1296" s="8">
        <f>IF(IF(D1296&lt;&gt;D1295,1,IF(OR(B1296&lt;&gt;B1295,A1296-A1295&gt;$U$1),1,""))&lt;&gt;1,"",IF(C1296="B01",1,IF(C1296="B05",1,IF(C1296="B03",1,IF(C1296="B04",1,IF(C1296="B20",1,IF(C1296="B02",1,0)))))))</f>
        <v>1</v>
      </c>
      <c r="G1296"/>
      <c r="H1296" s="2"/>
      <c r="I1296" s="2"/>
      <c r="L1296"/>
      <c r="R1296"/>
    </row>
    <row r="1297" spans="1:18">
      <c r="A1297" s="3">
        <v>45771.736817129633</v>
      </c>
      <c r="B1297" s="2" t="s">
        <v>26</v>
      </c>
      <c r="C1297" s="2" t="s">
        <v>11</v>
      </c>
      <c r="D1297" s="6" t="str">
        <f>CONCATENATE(YEAR(A1297),"/",IF(MONTH(A1297)&lt;10,CONCATENATE("0",MONTH(A1297)),MONTH(A1297)))</f>
        <v>2025/04</v>
      </c>
      <c r="E1297" s="8" t="str">
        <f>IF(IF(D1297&lt;&gt;D1296,1,IF(OR(B1297&lt;&gt;B1296,A1297-A1296&gt;$U$1),1,""))&lt;&gt;1,"",IF(C1297="B01",1965,IF(C1297="B02",1020,IF(C1297="B05",2400,IF(C1297="B03",4260,IF(C1297="B04",2880,IF(C1297="B20",1260,0)))))))</f>
        <v/>
      </c>
      <c r="F1297" s="8" t="str">
        <f>IF(IF(D1297&lt;&gt;D1296,1,IF(OR(B1297&lt;&gt;B1296,A1297-A1296&gt;$U$1),1,""))&lt;&gt;1,"",IF(C1297="B01",1,IF(C1297="B05",1,IF(C1297="B03",1,IF(C1297="B04",1,IF(C1297="B20",1,IF(C1297="B02",1,0)))))))</f>
        <v/>
      </c>
      <c r="G1297"/>
      <c r="H1297" s="2"/>
      <c r="I1297" s="2"/>
      <c r="L1297"/>
      <c r="R1297"/>
    </row>
    <row r="1298" spans="1:18">
      <c r="A1298" s="3">
        <v>45771.864918981482</v>
      </c>
      <c r="B1298" s="2" t="s">
        <v>26</v>
      </c>
      <c r="C1298" s="2" t="s">
        <v>11</v>
      </c>
      <c r="D1298" s="6" t="str">
        <f>CONCATENATE(YEAR(A1298),"/",IF(MONTH(A1298)&lt;10,CONCATENATE("0",MONTH(A1298)),MONTH(A1298)))</f>
        <v>2025/04</v>
      </c>
      <c r="E1298" s="8">
        <f>IF(IF(D1298&lt;&gt;D1297,1,IF(OR(B1298&lt;&gt;B1297,A1298-A1297&gt;$U$1),1,""))&lt;&gt;1,"",IF(C1298="B01",1965,IF(C1298="B02",1020,IF(C1298="B05",2400,IF(C1298="B03",4260,IF(C1298="B04",2880,IF(C1298="B20",1260,0)))))))</f>
        <v>2400</v>
      </c>
      <c r="F1298" s="8">
        <f>IF(IF(D1298&lt;&gt;D1297,1,IF(OR(B1298&lt;&gt;B1297,A1298-A1297&gt;$U$1),1,""))&lt;&gt;1,"",IF(C1298="B01",1,IF(C1298="B05",1,IF(C1298="B03",1,IF(C1298="B04",1,IF(C1298="B20",1,IF(C1298="B02",1,0)))))))</f>
        <v>1</v>
      </c>
      <c r="G1298"/>
      <c r="H1298" s="2"/>
      <c r="I1298" s="2"/>
      <c r="L1298"/>
      <c r="R1298"/>
    </row>
    <row r="1299" spans="1:18">
      <c r="A1299" s="3">
        <v>45771.864918981482</v>
      </c>
      <c r="B1299" s="2" t="s">
        <v>26</v>
      </c>
      <c r="C1299" s="2" t="s">
        <v>11</v>
      </c>
      <c r="D1299" s="6" t="str">
        <f>CONCATENATE(YEAR(A1299),"/",IF(MONTH(A1299)&lt;10,CONCATENATE("0",MONTH(A1299)),MONTH(A1299)))</f>
        <v>2025/04</v>
      </c>
      <c r="E1299" s="8" t="str">
        <f>IF(IF(D1299&lt;&gt;D1298,1,IF(OR(B1299&lt;&gt;B1298,A1299-A1298&gt;$U$1),1,""))&lt;&gt;1,"",IF(C1299="B01",1965,IF(C1299="B02",1020,IF(C1299="B05",2400,IF(C1299="B03",4260,IF(C1299="B04",2880,IF(C1299="B20",1260,0)))))))</f>
        <v/>
      </c>
      <c r="F1299" s="8" t="str">
        <f>IF(IF(D1299&lt;&gt;D1298,1,IF(OR(B1299&lt;&gt;B1298,A1299-A1298&gt;$U$1),1,""))&lt;&gt;1,"",IF(C1299="B01",1,IF(C1299="B05",1,IF(C1299="B03",1,IF(C1299="B04",1,IF(C1299="B20",1,IF(C1299="B02",1,0)))))))</f>
        <v/>
      </c>
      <c r="G1299"/>
      <c r="H1299" s="2"/>
      <c r="I1299" s="2"/>
      <c r="L1299"/>
      <c r="R1299"/>
    </row>
    <row r="1300" spans="1:18">
      <c r="A1300" s="3">
        <v>45772.099374999998</v>
      </c>
      <c r="B1300" s="2" t="s">
        <v>26</v>
      </c>
      <c r="C1300" s="2" t="s">
        <v>11</v>
      </c>
      <c r="D1300" s="6" t="str">
        <f>CONCATENATE(YEAR(A1300),"/",IF(MONTH(A1300)&lt;10,CONCATENATE("0",MONTH(A1300)),MONTH(A1300)))</f>
        <v>2025/04</v>
      </c>
      <c r="E1300" s="8">
        <f>IF(IF(D1300&lt;&gt;D1299,1,IF(OR(B1300&lt;&gt;B1299,A1300-A1299&gt;$U$1),1,""))&lt;&gt;1,"",IF(C1300="B01",1965,IF(C1300="B02",1020,IF(C1300="B05",2400,IF(C1300="B03",4260,IF(C1300="B04",2880,IF(C1300="B20",1260,0)))))))</f>
        <v>2400</v>
      </c>
      <c r="F1300" s="8">
        <f>IF(IF(D1300&lt;&gt;D1299,1,IF(OR(B1300&lt;&gt;B1299,A1300-A1299&gt;$U$1),1,""))&lt;&gt;1,"",IF(C1300="B01",1,IF(C1300="B05",1,IF(C1300="B03",1,IF(C1300="B04",1,IF(C1300="B20",1,IF(C1300="B02",1,0)))))))</f>
        <v>1</v>
      </c>
      <c r="G1300"/>
      <c r="H1300" s="2"/>
      <c r="I1300" s="2"/>
      <c r="L1300"/>
      <c r="R1300"/>
    </row>
    <row r="1301" spans="1:18">
      <c r="A1301" s="3">
        <v>45772.099374999998</v>
      </c>
      <c r="B1301" s="2" t="s">
        <v>26</v>
      </c>
      <c r="C1301" s="2" t="s">
        <v>11</v>
      </c>
      <c r="D1301" s="6" t="str">
        <f>CONCATENATE(YEAR(A1301),"/",IF(MONTH(A1301)&lt;10,CONCATENATE("0",MONTH(A1301)),MONTH(A1301)))</f>
        <v>2025/04</v>
      </c>
      <c r="E1301" s="8" t="str">
        <f>IF(IF(D1301&lt;&gt;D1300,1,IF(OR(B1301&lt;&gt;B1300,A1301-A1300&gt;$U$1),1,""))&lt;&gt;1,"",IF(C1301="B01",1965,IF(C1301="B02",1020,IF(C1301="B05",2400,IF(C1301="B03",4260,IF(C1301="B04",2880,IF(C1301="B20",1260,0)))))))</f>
        <v/>
      </c>
      <c r="F1301" s="8" t="str">
        <f>IF(IF(D1301&lt;&gt;D1300,1,IF(OR(B1301&lt;&gt;B1300,A1301-A1300&gt;$U$1),1,""))&lt;&gt;1,"",IF(C1301="B01",1,IF(C1301="B05",1,IF(C1301="B03",1,IF(C1301="B04",1,IF(C1301="B20",1,IF(C1301="B02",1,0)))))))</f>
        <v/>
      </c>
      <c r="G1301"/>
      <c r="H1301" s="2"/>
      <c r="I1301" s="2"/>
      <c r="L1301"/>
      <c r="R1301"/>
    </row>
    <row r="1302" spans="1:18">
      <c r="A1302" s="3">
        <v>45772.357222222221</v>
      </c>
      <c r="B1302" s="2" t="s">
        <v>26</v>
      </c>
      <c r="C1302" s="2" t="s">
        <v>11</v>
      </c>
      <c r="D1302" s="6" t="str">
        <f>CONCATENATE(YEAR(A1302),"/",IF(MONTH(A1302)&lt;10,CONCATENATE("0",MONTH(A1302)),MONTH(A1302)))</f>
        <v>2025/04</v>
      </c>
      <c r="E1302" s="8">
        <f>IF(IF(D1302&lt;&gt;D1301,1,IF(OR(B1302&lt;&gt;B1301,A1302-A1301&gt;$U$1),1,""))&lt;&gt;1,"",IF(C1302="B01",1965,IF(C1302="B02",1020,IF(C1302="B05",2400,IF(C1302="B03",4260,IF(C1302="B04",2880,IF(C1302="B20",1260,0)))))))</f>
        <v>2400</v>
      </c>
      <c r="F1302" s="8">
        <f>IF(IF(D1302&lt;&gt;D1301,1,IF(OR(B1302&lt;&gt;B1301,A1302-A1301&gt;$U$1),1,""))&lt;&gt;1,"",IF(C1302="B01",1,IF(C1302="B05",1,IF(C1302="B03",1,IF(C1302="B04",1,IF(C1302="B20",1,IF(C1302="B02",1,0)))))))</f>
        <v>1</v>
      </c>
      <c r="G1302"/>
      <c r="H1302" s="2"/>
      <c r="I1302" s="2"/>
      <c r="L1302"/>
      <c r="R1302"/>
    </row>
    <row r="1303" spans="1:18">
      <c r="A1303" s="3">
        <v>45772.357222222221</v>
      </c>
      <c r="B1303" s="2" t="s">
        <v>26</v>
      </c>
      <c r="C1303" s="2" t="s">
        <v>11</v>
      </c>
      <c r="D1303" s="6" t="str">
        <f>CONCATENATE(YEAR(A1303),"/",IF(MONTH(A1303)&lt;10,CONCATENATE("0",MONTH(A1303)),MONTH(A1303)))</f>
        <v>2025/04</v>
      </c>
      <c r="E1303" s="8" t="str">
        <f>IF(IF(D1303&lt;&gt;D1302,1,IF(OR(B1303&lt;&gt;B1302,A1303-A1302&gt;$U$1),1,""))&lt;&gt;1,"",IF(C1303="B01",1965,IF(C1303="B02",1020,IF(C1303="B05",2400,IF(C1303="B03",4260,IF(C1303="B04",2880,IF(C1303="B20",1260,0)))))))</f>
        <v/>
      </c>
      <c r="F1303" s="8" t="str">
        <f>IF(IF(D1303&lt;&gt;D1302,1,IF(OR(B1303&lt;&gt;B1302,A1303-A1302&gt;$U$1),1,""))&lt;&gt;1,"",IF(C1303="B01",1,IF(C1303="B05",1,IF(C1303="B03",1,IF(C1303="B04",1,IF(C1303="B20",1,IF(C1303="B02",1,0)))))))</f>
        <v/>
      </c>
      <c r="G1303"/>
      <c r="H1303" s="2"/>
      <c r="I1303" s="2"/>
      <c r="L1303"/>
      <c r="R1303"/>
    </row>
    <row r="1304" spans="1:18">
      <c r="A1304" s="3">
        <v>45772.357222222221</v>
      </c>
      <c r="B1304" s="2" t="s">
        <v>26</v>
      </c>
      <c r="C1304" s="2" t="s">
        <v>11</v>
      </c>
      <c r="D1304" s="6" t="str">
        <f>CONCATENATE(YEAR(A1304),"/",IF(MONTH(A1304)&lt;10,CONCATENATE("0",MONTH(A1304)),MONTH(A1304)))</f>
        <v>2025/04</v>
      </c>
      <c r="E1304" s="8" t="str">
        <f>IF(IF(D1304&lt;&gt;D1303,1,IF(OR(B1304&lt;&gt;B1303,A1304-A1303&gt;$U$1),1,""))&lt;&gt;1,"",IF(C1304="B01",1965,IF(C1304="B02",1020,IF(C1304="B05",2400,IF(C1304="B03",4260,IF(C1304="B04",2880,IF(C1304="B20",1260,0)))))))</f>
        <v/>
      </c>
      <c r="F1304" s="8" t="str">
        <f>IF(IF(D1304&lt;&gt;D1303,1,IF(OR(B1304&lt;&gt;B1303,A1304-A1303&gt;$U$1),1,""))&lt;&gt;1,"",IF(C1304="B01",1,IF(C1304="B05",1,IF(C1304="B03",1,IF(C1304="B04",1,IF(C1304="B20",1,IF(C1304="B02",1,0)))))))</f>
        <v/>
      </c>
      <c r="G1304"/>
      <c r="H1304" s="2"/>
      <c r="I1304" s="2"/>
      <c r="L1304"/>
      <c r="R1304"/>
    </row>
    <row r="1305" spans="1:18">
      <c r="A1305" s="3">
        <v>45772.495393518519</v>
      </c>
      <c r="B1305" s="2" t="s">
        <v>26</v>
      </c>
      <c r="C1305" s="2" t="s">
        <v>12</v>
      </c>
      <c r="D1305" s="6" t="str">
        <f>CONCATENATE(YEAR(A1305),"/",IF(MONTH(A1305)&lt;10,CONCATENATE("0",MONTH(A1305)),MONTH(A1305)))</f>
        <v>2025/04</v>
      </c>
      <c r="E1305" s="8">
        <f>IF(IF(D1305&lt;&gt;D1304,1,IF(OR(B1305&lt;&gt;B1304,A1305-A1304&gt;$U$1),1,""))&lt;&gt;1,"",IF(C1305="B01",1965,IF(C1305="B02",1020,IF(C1305="B05",2400,IF(C1305="B03",4260,IF(C1305="B04",2880,IF(C1305="B20",1260,0)))))))</f>
        <v>4260</v>
      </c>
      <c r="F1305" s="8">
        <f>IF(IF(D1305&lt;&gt;D1304,1,IF(OR(B1305&lt;&gt;B1304,A1305-A1304&gt;$U$1),1,""))&lt;&gt;1,"",IF(C1305="B01",1,IF(C1305="B05",1,IF(C1305="B03",1,IF(C1305="B04",1,IF(C1305="B20",1,IF(C1305="B02",1,0)))))))</f>
        <v>1</v>
      </c>
      <c r="G1305"/>
      <c r="H1305" s="2"/>
      <c r="I1305" s="2"/>
      <c r="L1305"/>
      <c r="R1305"/>
    </row>
    <row r="1306" spans="1:18">
      <c r="A1306" s="3">
        <v>45772.841064814813</v>
      </c>
      <c r="B1306" s="2" t="s">
        <v>26</v>
      </c>
      <c r="C1306" s="2" t="s">
        <v>11</v>
      </c>
      <c r="D1306" s="6" t="str">
        <f>CONCATENATE(YEAR(A1306),"/",IF(MONTH(A1306)&lt;10,CONCATENATE("0",MONTH(A1306)),MONTH(A1306)))</f>
        <v>2025/04</v>
      </c>
      <c r="E1306" s="8">
        <f>IF(IF(D1306&lt;&gt;D1305,1,IF(OR(B1306&lt;&gt;B1305,A1306-A1305&gt;$U$1),1,""))&lt;&gt;1,"",IF(C1306="B01",1965,IF(C1306="B02",1020,IF(C1306="B05",2400,IF(C1306="B03",4260,IF(C1306="B04",2880,IF(C1306="B20",1260,0)))))))</f>
        <v>2400</v>
      </c>
      <c r="F1306" s="8">
        <f>IF(IF(D1306&lt;&gt;D1305,1,IF(OR(B1306&lt;&gt;B1305,A1306-A1305&gt;$U$1),1,""))&lt;&gt;1,"",IF(C1306="B01",1,IF(C1306="B05",1,IF(C1306="B03",1,IF(C1306="B04",1,IF(C1306="B20",1,IF(C1306="B02",1,0)))))))</f>
        <v>1</v>
      </c>
      <c r="G1306"/>
      <c r="H1306" s="2"/>
      <c r="I1306" s="2"/>
      <c r="L1306"/>
      <c r="R1306"/>
    </row>
    <row r="1307" spans="1:18">
      <c r="A1307" s="3">
        <v>45772.841064814813</v>
      </c>
      <c r="B1307" s="2" t="s">
        <v>26</v>
      </c>
      <c r="C1307" s="2" t="s">
        <v>11</v>
      </c>
      <c r="D1307" s="6" t="str">
        <f>CONCATENATE(YEAR(A1307),"/",IF(MONTH(A1307)&lt;10,CONCATENATE("0",MONTH(A1307)),MONTH(A1307)))</f>
        <v>2025/04</v>
      </c>
      <c r="E1307" s="8" t="str">
        <f>IF(IF(D1307&lt;&gt;D1306,1,IF(OR(B1307&lt;&gt;B1306,A1307-A1306&gt;$U$1),1,""))&lt;&gt;1,"",IF(C1307="B01",1965,IF(C1307="B02",1020,IF(C1307="B05",2400,IF(C1307="B03",4260,IF(C1307="B04",2880,IF(C1307="B20",1260,0)))))))</f>
        <v/>
      </c>
      <c r="F1307" s="8" t="str">
        <f>IF(IF(D1307&lt;&gt;D1306,1,IF(OR(B1307&lt;&gt;B1306,A1307-A1306&gt;$U$1),1,""))&lt;&gt;1,"",IF(C1307="B01",1,IF(C1307="B05",1,IF(C1307="B03",1,IF(C1307="B04",1,IF(C1307="B20",1,IF(C1307="B02",1,0)))))))</f>
        <v/>
      </c>
      <c r="G1307"/>
      <c r="H1307" s="2"/>
      <c r="I1307" s="2"/>
      <c r="L1307"/>
      <c r="R1307"/>
    </row>
    <row r="1308" spans="1:18">
      <c r="A1308" s="3">
        <v>45772.841064814813</v>
      </c>
      <c r="B1308" s="2" t="s">
        <v>26</v>
      </c>
      <c r="C1308" s="2" t="s">
        <v>11</v>
      </c>
      <c r="D1308" s="6" t="str">
        <f>CONCATENATE(YEAR(A1308),"/",IF(MONTH(A1308)&lt;10,CONCATENATE("0",MONTH(A1308)),MONTH(A1308)))</f>
        <v>2025/04</v>
      </c>
      <c r="E1308" s="8" t="str">
        <f>IF(IF(D1308&lt;&gt;D1307,1,IF(OR(B1308&lt;&gt;B1307,A1308-A1307&gt;$U$1),1,""))&lt;&gt;1,"",IF(C1308="B01",1965,IF(C1308="B02",1020,IF(C1308="B05",2400,IF(C1308="B03",4260,IF(C1308="B04",2880,IF(C1308="B20",1260,0)))))))</f>
        <v/>
      </c>
      <c r="F1308" s="8" t="str">
        <f>IF(IF(D1308&lt;&gt;D1307,1,IF(OR(B1308&lt;&gt;B1307,A1308-A1307&gt;$U$1),1,""))&lt;&gt;1,"",IF(C1308="B01",1,IF(C1308="B05",1,IF(C1308="B03",1,IF(C1308="B04",1,IF(C1308="B20",1,IF(C1308="B02",1,0)))))))</f>
        <v/>
      </c>
      <c r="G1308"/>
      <c r="H1308" s="2"/>
      <c r="I1308" s="2"/>
      <c r="L1308"/>
      <c r="R1308"/>
    </row>
    <row r="1309" spans="1:18">
      <c r="A1309" s="3">
        <v>45772.964247685188</v>
      </c>
      <c r="B1309" s="2" t="s">
        <v>26</v>
      </c>
      <c r="C1309" s="2" t="s">
        <v>12</v>
      </c>
      <c r="D1309" s="6" t="str">
        <f>CONCATENATE(YEAR(A1309),"/",IF(MONTH(A1309)&lt;10,CONCATENATE("0",MONTH(A1309)),MONTH(A1309)))</f>
        <v>2025/04</v>
      </c>
      <c r="E1309" s="8">
        <f>IF(IF(D1309&lt;&gt;D1308,1,IF(OR(B1309&lt;&gt;B1308,A1309-A1308&gt;$U$1),1,""))&lt;&gt;1,"",IF(C1309="B01",1965,IF(C1309="B02",1020,IF(C1309="B05",2400,IF(C1309="B03",4260,IF(C1309="B04",2880,IF(C1309="B20",1260,0)))))))</f>
        <v>4260</v>
      </c>
      <c r="F1309" s="8">
        <f>IF(IF(D1309&lt;&gt;D1308,1,IF(OR(B1309&lt;&gt;B1308,A1309-A1308&gt;$U$1),1,""))&lt;&gt;1,"",IF(C1309="B01",1,IF(C1309="B05",1,IF(C1309="B03",1,IF(C1309="B04",1,IF(C1309="B20",1,IF(C1309="B02",1,0)))))))</f>
        <v>1</v>
      </c>
      <c r="G1309"/>
      <c r="H1309" s="2"/>
      <c r="I1309" s="2"/>
      <c r="L1309"/>
      <c r="R1309"/>
    </row>
    <row r="1310" spans="1:18">
      <c r="A1310" s="3">
        <v>45773.281956018516</v>
      </c>
      <c r="B1310" s="2" t="s">
        <v>26</v>
      </c>
      <c r="C1310" s="2" t="s">
        <v>12</v>
      </c>
      <c r="D1310" s="6" t="str">
        <f>CONCATENATE(YEAR(A1310),"/",IF(MONTH(A1310)&lt;10,CONCATENATE("0",MONTH(A1310)),MONTH(A1310)))</f>
        <v>2025/04</v>
      </c>
      <c r="E1310" s="8">
        <f>IF(IF(D1310&lt;&gt;D1309,1,IF(OR(B1310&lt;&gt;B1309,A1310-A1309&gt;$U$1),1,""))&lt;&gt;1,"",IF(C1310="B01",1965,IF(C1310="B02",1020,IF(C1310="B05",2400,IF(C1310="B03",4260,IF(C1310="B04",2880,IF(C1310="B20",1260,0)))))))</f>
        <v>4260</v>
      </c>
      <c r="F1310" s="8">
        <f>IF(IF(D1310&lt;&gt;D1309,1,IF(OR(B1310&lt;&gt;B1309,A1310-A1309&gt;$U$1),1,""))&lt;&gt;1,"",IF(C1310="B01",1,IF(C1310="B05",1,IF(C1310="B03",1,IF(C1310="B04",1,IF(C1310="B20",1,IF(C1310="B02",1,0)))))))</f>
        <v>1</v>
      </c>
      <c r="G1310"/>
      <c r="H1310" s="2"/>
      <c r="I1310" s="2"/>
      <c r="L1310"/>
      <c r="R1310"/>
    </row>
    <row r="1311" spans="1:18">
      <c r="A1311" s="3">
        <v>45773.281956018516</v>
      </c>
      <c r="B1311" s="2" t="s">
        <v>26</v>
      </c>
      <c r="C1311" s="2" t="s">
        <v>12</v>
      </c>
      <c r="D1311" s="6" t="str">
        <f>CONCATENATE(YEAR(A1311),"/",IF(MONTH(A1311)&lt;10,CONCATENATE("0",MONTH(A1311)),MONTH(A1311)))</f>
        <v>2025/04</v>
      </c>
      <c r="E1311" s="8" t="str">
        <f>IF(IF(D1311&lt;&gt;D1310,1,IF(OR(B1311&lt;&gt;B1310,A1311-A1310&gt;$U$1),1,""))&lt;&gt;1,"",IF(C1311="B01",1965,IF(C1311="B02",1020,IF(C1311="B05",2400,IF(C1311="B03",4260,IF(C1311="B04",2880,IF(C1311="B20",1260,0)))))))</f>
        <v/>
      </c>
      <c r="F1311" s="8" t="str">
        <f>IF(IF(D1311&lt;&gt;D1310,1,IF(OR(B1311&lt;&gt;B1310,A1311-A1310&gt;$U$1),1,""))&lt;&gt;1,"",IF(C1311="B01",1,IF(C1311="B05",1,IF(C1311="B03",1,IF(C1311="B04",1,IF(C1311="B20",1,IF(C1311="B02",1,0)))))))</f>
        <v/>
      </c>
      <c r="G1311"/>
      <c r="H1311" s="2"/>
      <c r="I1311" s="2"/>
      <c r="L1311"/>
      <c r="R1311"/>
    </row>
    <row r="1312" spans="1:18">
      <c r="A1312" s="3">
        <v>45773.281956018516</v>
      </c>
      <c r="B1312" s="2" t="s">
        <v>26</v>
      </c>
      <c r="C1312" s="2" t="s">
        <v>12</v>
      </c>
      <c r="D1312" s="6" t="str">
        <f>CONCATENATE(YEAR(A1312),"/",IF(MONTH(A1312)&lt;10,CONCATENATE("0",MONTH(A1312)),MONTH(A1312)))</f>
        <v>2025/04</v>
      </c>
      <c r="E1312" s="8" t="str">
        <f>IF(IF(D1312&lt;&gt;D1311,1,IF(OR(B1312&lt;&gt;B1311,A1312-A1311&gt;$U$1),1,""))&lt;&gt;1,"",IF(C1312="B01",1965,IF(C1312="B02",1020,IF(C1312="B05",2400,IF(C1312="B03",4260,IF(C1312="B04",2880,IF(C1312="B20",1260,0)))))))</f>
        <v/>
      </c>
      <c r="F1312" s="8" t="str">
        <f>IF(IF(D1312&lt;&gt;D1311,1,IF(OR(B1312&lt;&gt;B1311,A1312-A1311&gt;$U$1),1,""))&lt;&gt;1,"",IF(C1312="B01",1,IF(C1312="B05",1,IF(C1312="B03",1,IF(C1312="B04",1,IF(C1312="B20",1,IF(C1312="B02",1,0)))))))</f>
        <v/>
      </c>
      <c r="G1312"/>
      <c r="H1312" s="2"/>
      <c r="I1312" s="2"/>
      <c r="L1312"/>
      <c r="R1312"/>
    </row>
    <row r="1313" spans="1:18">
      <c r="A1313" s="3">
        <v>45773.428923611114</v>
      </c>
      <c r="B1313" s="2" t="s">
        <v>26</v>
      </c>
      <c r="C1313" s="2" t="s">
        <v>12</v>
      </c>
      <c r="D1313" s="6" t="str">
        <f>CONCATENATE(YEAR(A1313),"/",IF(MONTH(A1313)&lt;10,CONCATENATE("0",MONTH(A1313)),MONTH(A1313)))</f>
        <v>2025/04</v>
      </c>
      <c r="E1313" s="8">
        <f>IF(IF(D1313&lt;&gt;D1312,1,IF(OR(B1313&lt;&gt;B1312,A1313-A1312&gt;$U$1),1,""))&lt;&gt;1,"",IF(C1313="B01",1965,IF(C1313="B02",1020,IF(C1313="B05",2400,IF(C1313="B03",4260,IF(C1313="B04",2880,IF(C1313="B20",1260,0)))))))</f>
        <v>4260</v>
      </c>
      <c r="F1313" s="8">
        <f>IF(IF(D1313&lt;&gt;D1312,1,IF(OR(B1313&lt;&gt;B1312,A1313-A1312&gt;$U$1),1,""))&lt;&gt;1,"",IF(C1313="B01",1,IF(C1313="B05",1,IF(C1313="B03",1,IF(C1313="B04",1,IF(C1313="B20",1,IF(C1313="B02",1,0)))))))</f>
        <v>1</v>
      </c>
      <c r="G1313"/>
      <c r="H1313" s="2"/>
      <c r="I1313" s="2"/>
      <c r="L1313"/>
      <c r="R1313"/>
    </row>
    <row r="1314" spans="1:18">
      <c r="A1314" s="3">
        <v>45773.428923611114</v>
      </c>
      <c r="B1314" s="2" t="s">
        <v>26</v>
      </c>
      <c r="C1314" s="2" t="s">
        <v>12</v>
      </c>
      <c r="D1314" s="6" t="str">
        <f>CONCATENATE(YEAR(A1314),"/",IF(MONTH(A1314)&lt;10,CONCATENATE("0",MONTH(A1314)),MONTH(A1314)))</f>
        <v>2025/04</v>
      </c>
      <c r="E1314" s="8" t="str">
        <f>IF(IF(D1314&lt;&gt;D1313,1,IF(OR(B1314&lt;&gt;B1313,A1314-A1313&gt;$U$1),1,""))&lt;&gt;1,"",IF(C1314="B01",1965,IF(C1314="B02",1020,IF(C1314="B05",2400,IF(C1314="B03",4260,IF(C1314="B04",2880,IF(C1314="B20",1260,0)))))))</f>
        <v/>
      </c>
      <c r="F1314" s="8" t="str">
        <f>IF(IF(D1314&lt;&gt;D1313,1,IF(OR(B1314&lt;&gt;B1313,A1314-A1313&gt;$U$1),1,""))&lt;&gt;1,"",IF(C1314="B01",1,IF(C1314="B05",1,IF(C1314="B03",1,IF(C1314="B04",1,IF(C1314="B20",1,IF(C1314="B02",1,0)))))))</f>
        <v/>
      </c>
      <c r="G1314"/>
      <c r="H1314" s="2"/>
      <c r="I1314" s="2"/>
      <c r="L1314"/>
      <c r="R1314"/>
    </row>
    <row r="1315" spans="1:18">
      <c r="A1315" s="3">
        <v>45773.575115740743</v>
      </c>
      <c r="B1315" s="2" t="s">
        <v>26</v>
      </c>
      <c r="C1315" s="2" t="s">
        <v>11</v>
      </c>
      <c r="D1315" s="6" t="str">
        <f>CONCATENATE(YEAR(A1315),"/",IF(MONTH(A1315)&lt;10,CONCATENATE("0",MONTH(A1315)),MONTH(A1315)))</f>
        <v>2025/04</v>
      </c>
      <c r="E1315" s="8">
        <f>IF(IF(D1315&lt;&gt;D1314,1,IF(OR(B1315&lt;&gt;B1314,A1315-A1314&gt;$U$1),1,""))&lt;&gt;1,"",IF(C1315="B01",1965,IF(C1315="B02",1020,IF(C1315="B05",2400,IF(C1315="B03",4260,IF(C1315="B04",2880,IF(C1315="B20",1260,0)))))))</f>
        <v>2400</v>
      </c>
      <c r="F1315" s="8">
        <f>IF(IF(D1315&lt;&gt;D1314,1,IF(OR(B1315&lt;&gt;B1314,A1315-A1314&gt;$U$1),1,""))&lt;&gt;1,"",IF(C1315="B01",1,IF(C1315="B05",1,IF(C1315="B03",1,IF(C1315="B04",1,IF(C1315="B20",1,IF(C1315="B02",1,0)))))))</f>
        <v>1</v>
      </c>
      <c r="G1315"/>
      <c r="H1315" s="2"/>
      <c r="I1315" s="2"/>
      <c r="L1315"/>
      <c r="R1315"/>
    </row>
    <row r="1316" spans="1:18">
      <c r="A1316" s="3">
        <v>45773.575115740743</v>
      </c>
      <c r="B1316" s="2" t="s">
        <v>26</v>
      </c>
      <c r="C1316" s="2" t="s">
        <v>11</v>
      </c>
      <c r="D1316" s="6" t="str">
        <f>CONCATENATE(YEAR(A1316),"/",IF(MONTH(A1316)&lt;10,CONCATENATE("0",MONTH(A1316)),MONTH(A1316)))</f>
        <v>2025/04</v>
      </c>
      <c r="E1316" s="8" t="str">
        <f>IF(IF(D1316&lt;&gt;D1315,1,IF(OR(B1316&lt;&gt;B1315,A1316-A1315&gt;$U$1),1,""))&lt;&gt;1,"",IF(C1316="B01",1965,IF(C1316="B02",1020,IF(C1316="B05",2400,IF(C1316="B03",4260,IF(C1316="B04",2880,IF(C1316="B20",1260,0)))))))</f>
        <v/>
      </c>
      <c r="F1316" s="8" t="str">
        <f>IF(IF(D1316&lt;&gt;D1315,1,IF(OR(B1316&lt;&gt;B1315,A1316-A1315&gt;$U$1),1,""))&lt;&gt;1,"",IF(C1316="B01",1,IF(C1316="B05",1,IF(C1316="B03",1,IF(C1316="B04",1,IF(C1316="B20",1,IF(C1316="B02",1,0)))))))</f>
        <v/>
      </c>
      <c r="G1316"/>
      <c r="H1316" s="2"/>
      <c r="I1316" s="2"/>
      <c r="L1316"/>
      <c r="R1316"/>
    </row>
    <row r="1317" spans="1:18">
      <c r="A1317" s="3">
        <v>45773.575115740743</v>
      </c>
      <c r="B1317" s="2" t="s">
        <v>26</v>
      </c>
      <c r="C1317" s="2" t="s">
        <v>11</v>
      </c>
      <c r="D1317" s="6" t="str">
        <f>CONCATENATE(YEAR(A1317),"/",IF(MONTH(A1317)&lt;10,CONCATENATE("0",MONTH(A1317)),MONTH(A1317)))</f>
        <v>2025/04</v>
      </c>
      <c r="E1317" s="8" t="str">
        <f>IF(IF(D1317&lt;&gt;D1316,1,IF(OR(B1317&lt;&gt;B1316,A1317-A1316&gt;$U$1),1,""))&lt;&gt;1,"",IF(C1317="B01",1965,IF(C1317="B02",1020,IF(C1317="B05",2400,IF(C1317="B03",4260,IF(C1317="B04",2880,IF(C1317="B20",1260,0)))))))</f>
        <v/>
      </c>
      <c r="F1317" s="8" t="str">
        <f>IF(IF(D1317&lt;&gt;D1316,1,IF(OR(B1317&lt;&gt;B1316,A1317-A1316&gt;$U$1),1,""))&lt;&gt;1,"",IF(C1317="B01",1,IF(C1317="B05",1,IF(C1317="B03",1,IF(C1317="B04",1,IF(C1317="B20",1,IF(C1317="B02",1,0)))))))</f>
        <v/>
      </c>
      <c r="G1317"/>
      <c r="H1317" s="2"/>
      <c r="I1317" s="2"/>
      <c r="L1317"/>
      <c r="R1317"/>
    </row>
    <row r="1318" spans="1:18">
      <c r="A1318" s="3">
        <v>45773.709722222222</v>
      </c>
      <c r="B1318" s="2" t="s">
        <v>26</v>
      </c>
      <c r="C1318" s="2" t="s">
        <v>12</v>
      </c>
      <c r="D1318" s="6" t="str">
        <f>CONCATENATE(YEAR(A1318),"/",IF(MONTH(A1318)&lt;10,CONCATENATE("0",MONTH(A1318)),MONTH(A1318)))</f>
        <v>2025/04</v>
      </c>
      <c r="E1318" s="8">
        <f>IF(IF(D1318&lt;&gt;D1317,1,IF(OR(B1318&lt;&gt;B1317,A1318-A1317&gt;$U$1),1,""))&lt;&gt;1,"",IF(C1318="B01",1965,IF(C1318="B02",1020,IF(C1318="B05",2400,IF(C1318="B03",4260,IF(C1318="B04",2880,IF(C1318="B20",1260,0)))))))</f>
        <v>4260</v>
      </c>
      <c r="F1318" s="8">
        <f>IF(IF(D1318&lt;&gt;D1317,1,IF(OR(B1318&lt;&gt;B1317,A1318-A1317&gt;$U$1),1,""))&lt;&gt;1,"",IF(C1318="B01",1,IF(C1318="B05",1,IF(C1318="B03",1,IF(C1318="B04",1,IF(C1318="B20",1,IF(C1318="B02",1,0)))))))</f>
        <v>1</v>
      </c>
      <c r="G1318"/>
      <c r="H1318" s="2"/>
      <c r="I1318" s="2"/>
      <c r="L1318"/>
      <c r="R1318"/>
    </row>
    <row r="1319" spans="1:18">
      <c r="A1319" s="3">
        <v>45773.709722222222</v>
      </c>
      <c r="B1319" s="2" t="s">
        <v>26</v>
      </c>
      <c r="C1319" s="2" t="s">
        <v>12</v>
      </c>
      <c r="D1319" s="6" t="str">
        <f>CONCATENATE(YEAR(A1319),"/",IF(MONTH(A1319)&lt;10,CONCATENATE("0",MONTH(A1319)),MONTH(A1319)))</f>
        <v>2025/04</v>
      </c>
      <c r="E1319" s="8" t="str">
        <f>IF(IF(D1319&lt;&gt;D1318,1,IF(OR(B1319&lt;&gt;B1318,A1319-A1318&gt;$U$1),1,""))&lt;&gt;1,"",IF(C1319="B01",1965,IF(C1319="B02",1020,IF(C1319="B05",2400,IF(C1319="B03",4260,IF(C1319="B04",2880,IF(C1319="B20",1260,0)))))))</f>
        <v/>
      </c>
      <c r="F1319" s="8" t="str">
        <f>IF(IF(D1319&lt;&gt;D1318,1,IF(OR(B1319&lt;&gt;B1318,A1319-A1318&gt;$U$1),1,""))&lt;&gt;1,"",IF(C1319="B01",1,IF(C1319="B05",1,IF(C1319="B03",1,IF(C1319="B04",1,IF(C1319="B20",1,IF(C1319="B02",1,0)))))))</f>
        <v/>
      </c>
      <c r="G1319"/>
      <c r="H1319" s="2"/>
      <c r="I1319" s="2"/>
      <c r="L1319"/>
      <c r="R1319"/>
    </row>
    <row r="1320" spans="1:18">
      <c r="A1320" s="3">
        <v>45773.709722222222</v>
      </c>
      <c r="B1320" s="2" t="s">
        <v>26</v>
      </c>
      <c r="C1320" s="2" t="s">
        <v>12</v>
      </c>
      <c r="D1320" s="6" t="str">
        <f>CONCATENATE(YEAR(A1320),"/",IF(MONTH(A1320)&lt;10,CONCATENATE("0",MONTH(A1320)),MONTH(A1320)))</f>
        <v>2025/04</v>
      </c>
      <c r="E1320" s="8" t="str">
        <f>IF(IF(D1320&lt;&gt;D1319,1,IF(OR(B1320&lt;&gt;B1319,A1320-A1319&gt;$U$1),1,""))&lt;&gt;1,"",IF(C1320="B01",1965,IF(C1320="B02",1020,IF(C1320="B05",2400,IF(C1320="B03",4260,IF(C1320="B04",2880,IF(C1320="B20",1260,0)))))))</f>
        <v/>
      </c>
      <c r="F1320" s="8" t="str">
        <f>IF(IF(D1320&lt;&gt;D1319,1,IF(OR(B1320&lt;&gt;B1319,A1320-A1319&gt;$U$1),1,""))&lt;&gt;1,"",IF(C1320="B01",1,IF(C1320="B05",1,IF(C1320="B03",1,IF(C1320="B04",1,IF(C1320="B20",1,IF(C1320="B02",1,0)))))))</f>
        <v/>
      </c>
      <c r="G1320"/>
      <c r="H1320" s="2"/>
      <c r="I1320" s="2"/>
      <c r="L1320"/>
      <c r="R1320"/>
    </row>
    <row r="1321" spans="1:18">
      <c r="A1321" s="3">
        <v>45773.888101851851</v>
      </c>
      <c r="B1321" s="2" t="s">
        <v>26</v>
      </c>
      <c r="C1321" s="2" t="s">
        <v>11</v>
      </c>
      <c r="D1321" s="6" t="str">
        <f>CONCATENATE(YEAR(A1321),"/",IF(MONTH(A1321)&lt;10,CONCATENATE("0",MONTH(A1321)),MONTH(A1321)))</f>
        <v>2025/04</v>
      </c>
      <c r="E1321" s="8">
        <f>IF(IF(D1321&lt;&gt;D1320,1,IF(OR(B1321&lt;&gt;B1320,A1321-A1320&gt;$U$1),1,""))&lt;&gt;1,"",IF(C1321="B01",1965,IF(C1321="B02",1020,IF(C1321="B05",2400,IF(C1321="B03",4260,IF(C1321="B04",2880,IF(C1321="B20",1260,0)))))))</f>
        <v>2400</v>
      </c>
      <c r="F1321" s="8">
        <f>IF(IF(D1321&lt;&gt;D1320,1,IF(OR(B1321&lt;&gt;B1320,A1321-A1320&gt;$U$1),1,""))&lt;&gt;1,"",IF(C1321="B01",1,IF(C1321="B05",1,IF(C1321="B03",1,IF(C1321="B04",1,IF(C1321="B20",1,IF(C1321="B02",1,0)))))))</f>
        <v>1</v>
      </c>
      <c r="G1321"/>
      <c r="H1321" s="2"/>
      <c r="I1321" s="2"/>
      <c r="L1321"/>
      <c r="R1321"/>
    </row>
    <row r="1322" spans="1:18">
      <c r="A1322" s="3">
        <v>45773.888101851851</v>
      </c>
      <c r="B1322" s="2" t="s">
        <v>26</v>
      </c>
      <c r="C1322" s="2" t="s">
        <v>11</v>
      </c>
      <c r="D1322" s="6" t="str">
        <f>CONCATENATE(YEAR(A1322),"/",IF(MONTH(A1322)&lt;10,CONCATENATE("0",MONTH(A1322)),MONTH(A1322)))</f>
        <v>2025/04</v>
      </c>
      <c r="E1322" s="8" t="str">
        <f>IF(IF(D1322&lt;&gt;D1321,1,IF(OR(B1322&lt;&gt;B1321,A1322-A1321&gt;$U$1),1,""))&lt;&gt;1,"",IF(C1322="B01",1965,IF(C1322="B02",1020,IF(C1322="B05",2400,IF(C1322="B03",4260,IF(C1322="B04",2880,IF(C1322="B20",1260,0)))))))</f>
        <v/>
      </c>
      <c r="F1322" s="8" t="str">
        <f>IF(IF(D1322&lt;&gt;D1321,1,IF(OR(B1322&lt;&gt;B1321,A1322-A1321&gt;$U$1),1,""))&lt;&gt;1,"",IF(C1322="B01",1,IF(C1322="B05",1,IF(C1322="B03",1,IF(C1322="B04",1,IF(C1322="B20",1,IF(C1322="B02",1,0)))))))</f>
        <v/>
      </c>
      <c r="G1322"/>
      <c r="H1322" s="2"/>
      <c r="I1322" s="2"/>
      <c r="L1322"/>
      <c r="R1322"/>
    </row>
    <row r="1323" spans="1:18">
      <c r="A1323" s="3">
        <v>45774.082071759258</v>
      </c>
      <c r="B1323" s="2" t="s">
        <v>26</v>
      </c>
      <c r="C1323" s="2" t="s">
        <v>12</v>
      </c>
      <c r="D1323" s="6" t="str">
        <f>CONCATENATE(YEAR(A1323),"/",IF(MONTH(A1323)&lt;10,CONCATENATE("0",MONTH(A1323)),MONTH(A1323)))</f>
        <v>2025/04</v>
      </c>
      <c r="E1323" s="8">
        <f>IF(IF(D1323&lt;&gt;D1322,1,IF(OR(B1323&lt;&gt;B1322,A1323-A1322&gt;$U$1),1,""))&lt;&gt;1,"",IF(C1323="B01",1965,IF(C1323="B02",1020,IF(C1323="B05",2400,IF(C1323="B03",4260,IF(C1323="B04",2880,IF(C1323="B20",1260,0)))))))</f>
        <v>4260</v>
      </c>
      <c r="F1323" s="8">
        <f>IF(IF(D1323&lt;&gt;D1322,1,IF(OR(B1323&lt;&gt;B1322,A1323-A1322&gt;$U$1),1,""))&lt;&gt;1,"",IF(C1323="B01",1,IF(C1323="B05",1,IF(C1323="B03",1,IF(C1323="B04",1,IF(C1323="B20",1,IF(C1323="B02",1,0)))))))</f>
        <v>1</v>
      </c>
      <c r="G1323"/>
      <c r="H1323" s="2"/>
      <c r="I1323" s="2"/>
      <c r="L1323"/>
      <c r="R1323"/>
    </row>
    <row r="1324" spans="1:18">
      <c r="A1324" s="3">
        <v>45774.082071759258</v>
      </c>
      <c r="B1324" s="2" t="s">
        <v>26</v>
      </c>
      <c r="C1324" s="2" t="s">
        <v>12</v>
      </c>
      <c r="D1324" s="6" t="str">
        <f>CONCATENATE(YEAR(A1324),"/",IF(MONTH(A1324)&lt;10,CONCATENATE("0",MONTH(A1324)),MONTH(A1324)))</f>
        <v>2025/04</v>
      </c>
      <c r="E1324" s="8" t="str">
        <f>IF(IF(D1324&lt;&gt;D1323,1,IF(OR(B1324&lt;&gt;B1323,A1324-A1323&gt;$U$1),1,""))&lt;&gt;1,"",IF(C1324="B01",1965,IF(C1324="B02",1020,IF(C1324="B05",2400,IF(C1324="B03",4260,IF(C1324="B04",2880,IF(C1324="B20",1260,0)))))))</f>
        <v/>
      </c>
      <c r="F1324" s="8" t="str">
        <f>IF(IF(D1324&lt;&gt;D1323,1,IF(OR(B1324&lt;&gt;B1323,A1324-A1323&gt;$U$1),1,""))&lt;&gt;1,"",IF(C1324="B01",1,IF(C1324="B05",1,IF(C1324="B03",1,IF(C1324="B04",1,IF(C1324="B20",1,IF(C1324="B02",1,0)))))))</f>
        <v/>
      </c>
      <c r="G1324"/>
      <c r="H1324" s="2"/>
      <c r="I1324" s="2"/>
      <c r="L1324"/>
      <c r="R1324"/>
    </row>
    <row r="1325" spans="1:18">
      <c r="A1325" s="3">
        <v>45774.339918981481</v>
      </c>
      <c r="B1325" s="2" t="s">
        <v>26</v>
      </c>
      <c r="C1325" s="2" t="s">
        <v>12</v>
      </c>
      <c r="D1325" s="6" t="str">
        <f>CONCATENATE(YEAR(A1325),"/",IF(MONTH(A1325)&lt;10,CONCATENATE("0",MONTH(A1325)),MONTH(A1325)))</f>
        <v>2025/04</v>
      </c>
      <c r="E1325" s="8">
        <f>IF(IF(D1325&lt;&gt;D1324,1,IF(OR(B1325&lt;&gt;B1324,A1325-A1324&gt;$U$1),1,""))&lt;&gt;1,"",IF(C1325="B01",1965,IF(C1325="B02",1020,IF(C1325="B05",2400,IF(C1325="B03",4260,IF(C1325="B04",2880,IF(C1325="B20",1260,0)))))))</f>
        <v>4260</v>
      </c>
      <c r="F1325" s="8">
        <f>IF(IF(D1325&lt;&gt;D1324,1,IF(OR(B1325&lt;&gt;B1324,A1325-A1324&gt;$U$1),1,""))&lt;&gt;1,"",IF(C1325="B01",1,IF(C1325="B05",1,IF(C1325="B03",1,IF(C1325="B04",1,IF(C1325="B20",1,IF(C1325="B02",1,0)))))))</f>
        <v>1</v>
      </c>
      <c r="G1325"/>
      <c r="H1325" s="2"/>
      <c r="I1325" s="2"/>
      <c r="L1325"/>
      <c r="R1325"/>
    </row>
    <row r="1326" spans="1:18">
      <c r="A1326" s="3">
        <v>45774.339918981481</v>
      </c>
      <c r="B1326" s="2" t="s">
        <v>26</v>
      </c>
      <c r="C1326" s="2" t="s">
        <v>12</v>
      </c>
      <c r="D1326" s="6" t="str">
        <f>CONCATENATE(YEAR(A1326),"/",IF(MONTH(A1326)&lt;10,CONCATENATE("0",MONTH(A1326)),MONTH(A1326)))</f>
        <v>2025/04</v>
      </c>
      <c r="E1326" s="8" t="str">
        <f>IF(IF(D1326&lt;&gt;D1325,1,IF(OR(B1326&lt;&gt;B1325,A1326-A1325&gt;$U$1),1,""))&lt;&gt;1,"",IF(C1326="B01",1965,IF(C1326="B02",1020,IF(C1326="B05",2400,IF(C1326="B03",4260,IF(C1326="B04",2880,IF(C1326="B20",1260,0)))))))</f>
        <v/>
      </c>
      <c r="F1326" s="8" t="str">
        <f>IF(IF(D1326&lt;&gt;D1325,1,IF(OR(B1326&lt;&gt;B1325,A1326-A1325&gt;$U$1),1,""))&lt;&gt;1,"",IF(C1326="B01",1,IF(C1326="B05",1,IF(C1326="B03",1,IF(C1326="B04",1,IF(C1326="B20",1,IF(C1326="B02",1,0)))))))</f>
        <v/>
      </c>
      <c r="G1326"/>
      <c r="H1326" s="2"/>
      <c r="I1326" s="2"/>
      <c r="L1326"/>
      <c r="R1326"/>
    </row>
    <row r="1327" spans="1:18">
      <c r="A1327" s="3">
        <v>45774.86923611111</v>
      </c>
      <c r="B1327" s="2" t="s">
        <v>26</v>
      </c>
      <c r="C1327" s="2" t="s">
        <v>11</v>
      </c>
      <c r="D1327" s="6" t="str">
        <f>CONCATENATE(YEAR(A1327),"/",IF(MONTH(A1327)&lt;10,CONCATENATE("0",MONTH(A1327)),MONTH(A1327)))</f>
        <v>2025/04</v>
      </c>
      <c r="E1327" s="8">
        <f>IF(IF(D1327&lt;&gt;D1326,1,IF(OR(B1327&lt;&gt;B1326,A1327-A1326&gt;$U$1),1,""))&lt;&gt;1,"",IF(C1327="B01",1965,IF(C1327="B02",1020,IF(C1327="B05",2400,IF(C1327="B03",4260,IF(C1327="B04",2880,IF(C1327="B20",1260,0)))))))</f>
        <v>2400</v>
      </c>
      <c r="F1327" s="8">
        <f>IF(IF(D1327&lt;&gt;D1326,1,IF(OR(B1327&lt;&gt;B1326,A1327-A1326&gt;$U$1),1,""))&lt;&gt;1,"",IF(C1327="B01",1,IF(C1327="B05",1,IF(C1327="B03",1,IF(C1327="B04",1,IF(C1327="B20",1,IF(C1327="B02",1,0)))))))</f>
        <v>1</v>
      </c>
      <c r="G1327"/>
      <c r="H1327" s="2"/>
      <c r="I1327" s="2"/>
      <c r="L1327"/>
      <c r="R1327"/>
    </row>
    <row r="1328" spans="1:18">
      <c r="A1328" s="3">
        <v>45774.86923611111</v>
      </c>
      <c r="B1328" s="2" t="s">
        <v>26</v>
      </c>
      <c r="C1328" s="2" t="s">
        <v>11</v>
      </c>
      <c r="D1328" s="6" t="str">
        <f>CONCATENATE(YEAR(A1328),"/",IF(MONTH(A1328)&lt;10,CONCATENATE("0",MONTH(A1328)),MONTH(A1328)))</f>
        <v>2025/04</v>
      </c>
      <c r="E1328" s="8" t="str">
        <f>IF(IF(D1328&lt;&gt;D1327,1,IF(OR(B1328&lt;&gt;B1327,A1328-A1327&gt;$U$1),1,""))&lt;&gt;1,"",IF(C1328="B01",1965,IF(C1328="B02",1020,IF(C1328="B05",2400,IF(C1328="B03",4260,IF(C1328="B04",2880,IF(C1328="B20",1260,0)))))))</f>
        <v/>
      </c>
      <c r="F1328" s="8" t="str">
        <f>IF(IF(D1328&lt;&gt;D1327,1,IF(OR(B1328&lt;&gt;B1327,A1328-A1327&gt;$U$1),1,""))&lt;&gt;1,"",IF(C1328="B01",1,IF(C1328="B05",1,IF(C1328="B03",1,IF(C1328="B04",1,IF(C1328="B20",1,IF(C1328="B02",1,0)))))))</f>
        <v/>
      </c>
      <c r="G1328"/>
      <c r="H1328" s="2"/>
      <c r="I1328" s="2"/>
      <c r="L1328"/>
      <c r="R1328"/>
    </row>
    <row r="1329" spans="1:18">
      <c r="A1329" s="3">
        <v>45775.126111111109</v>
      </c>
      <c r="B1329" s="2" t="s">
        <v>26</v>
      </c>
      <c r="C1329" s="2" t="s">
        <v>11</v>
      </c>
      <c r="D1329" s="6" t="str">
        <f>CONCATENATE(YEAR(A1329),"/",IF(MONTH(A1329)&lt;10,CONCATENATE("0",MONTH(A1329)),MONTH(A1329)))</f>
        <v>2025/04</v>
      </c>
      <c r="E1329" s="8">
        <f>IF(IF(D1329&lt;&gt;D1328,1,IF(OR(B1329&lt;&gt;B1328,A1329-A1328&gt;$U$1),1,""))&lt;&gt;1,"",IF(C1329="B01",1965,IF(C1329="B02",1020,IF(C1329="B05",2400,IF(C1329="B03",4260,IF(C1329="B04",2880,IF(C1329="B20",1260,0)))))))</f>
        <v>2400</v>
      </c>
      <c r="F1329" s="8">
        <f>IF(IF(D1329&lt;&gt;D1328,1,IF(OR(B1329&lt;&gt;B1328,A1329-A1328&gt;$U$1),1,""))&lt;&gt;1,"",IF(C1329="B01",1,IF(C1329="B05",1,IF(C1329="B03",1,IF(C1329="B04",1,IF(C1329="B20",1,IF(C1329="B02",1,0)))))))</f>
        <v>1</v>
      </c>
      <c r="G1329"/>
      <c r="H1329" s="2"/>
      <c r="I1329" s="2"/>
      <c r="L1329"/>
      <c r="R1329"/>
    </row>
    <row r="1330" spans="1:18">
      <c r="A1330" s="3">
        <v>45775.126111111109</v>
      </c>
      <c r="B1330" s="2" t="s">
        <v>26</v>
      </c>
      <c r="C1330" s="2" t="s">
        <v>11</v>
      </c>
      <c r="D1330" s="6" t="str">
        <f>CONCATENATE(YEAR(A1330),"/",IF(MONTH(A1330)&lt;10,CONCATENATE("0",MONTH(A1330)),MONTH(A1330)))</f>
        <v>2025/04</v>
      </c>
      <c r="E1330" s="8" t="str">
        <f>IF(IF(D1330&lt;&gt;D1329,1,IF(OR(B1330&lt;&gt;B1329,A1330-A1329&gt;$U$1),1,""))&lt;&gt;1,"",IF(C1330="B01",1965,IF(C1330="B02",1020,IF(C1330="B05",2400,IF(C1330="B03",4260,IF(C1330="B04",2880,IF(C1330="B20",1260,0)))))))</f>
        <v/>
      </c>
      <c r="F1330" s="8" t="str">
        <f>IF(IF(D1330&lt;&gt;D1329,1,IF(OR(B1330&lt;&gt;B1329,A1330-A1329&gt;$U$1),1,""))&lt;&gt;1,"",IF(C1330="B01",1,IF(C1330="B05",1,IF(C1330="B03",1,IF(C1330="B04",1,IF(C1330="B20",1,IF(C1330="B02",1,0)))))))</f>
        <v/>
      </c>
      <c r="G1330"/>
      <c r="H1330" s="2"/>
      <c r="I1330" s="2"/>
      <c r="L1330"/>
      <c r="R1330"/>
    </row>
    <row r="1331" spans="1:18">
      <c r="A1331" s="3">
        <v>45775.126111111109</v>
      </c>
      <c r="B1331" s="2" t="s">
        <v>26</v>
      </c>
      <c r="C1331" s="2" t="s">
        <v>11</v>
      </c>
      <c r="D1331" s="6" t="str">
        <f>CONCATENATE(YEAR(A1331),"/",IF(MONTH(A1331)&lt;10,CONCATENATE("0",MONTH(A1331)),MONTH(A1331)))</f>
        <v>2025/04</v>
      </c>
      <c r="E1331" s="8" t="str">
        <f>IF(IF(D1331&lt;&gt;D1330,1,IF(OR(B1331&lt;&gt;B1330,A1331-A1330&gt;$U$1),1,""))&lt;&gt;1,"",IF(C1331="B01",1965,IF(C1331="B02",1020,IF(C1331="B05",2400,IF(C1331="B03",4260,IF(C1331="B04",2880,IF(C1331="B20",1260,0)))))))</f>
        <v/>
      </c>
      <c r="F1331" s="8" t="str">
        <f>IF(IF(D1331&lt;&gt;D1330,1,IF(OR(B1331&lt;&gt;B1330,A1331-A1330&gt;$U$1),1,""))&lt;&gt;1,"",IF(C1331="B01",1,IF(C1331="B05",1,IF(C1331="B03",1,IF(C1331="B04",1,IF(C1331="B20",1,IF(C1331="B02",1,0)))))))</f>
        <v/>
      </c>
      <c r="G1331"/>
      <c r="H1331" s="2"/>
      <c r="I1331" s="2"/>
      <c r="L1331"/>
      <c r="R1331"/>
    </row>
    <row r="1332" spans="1:18">
      <c r="A1332" s="3">
        <v>45775.126111111109</v>
      </c>
      <c r="B1332" s="2" t="s">
        <v>26</v>
      </c>
      <c r="C1332" s="2" t="s">
        <v>11</v>
      </c>
      <c r="D1332" s="6" t="str">
        <f>CONCATENATE(YEAR(A1332),"/",IF(MONTH(A1332)&lt;10,CONCATENATE("0",MONTH(A1332)),MONTH(A1332)))</f>
        <v>2025/04</v>
      </c>
      <c r="E1332" s="8" t="str">
        <f>IF(IF(D1332&lt;&gt;D1331,1,IF(OR(B1332&lt;&gt;B1331,A1332-A1331&gt;$U$1),1,""))&lt;&gt;1,"",IF(C1332="B01",1965,IF(C1332="B02",1020,IF(C1332="B05",2400,IF(C1332="B03",4260,IF(C1332="B04",2880,IF(C1332="B20",1260,0)))))))</f>
        <v/>
      </c>
      <c r="F1332" s="8" t="str">
        <f>IF(IF(D1332&lt;&gt;D1331,1,IF(OR(B1332&lt;&gt;B1331,A1332-A1331&gt;$U$1),1,""))&lt;&gt;1,"",IF(C1332="B01",1,IF(C1332="B05",1,IF(C1332="B03",1,IF(C1332="B04",1,IF(C1332="B20",1,IF(C1332="B02",1,0)))))))</f>
        <v/>
      </c>
      <c r="G1332"/>
      <c r="H1332" s="2"/>
      <c r="I1332" s="2"/>
      <c r="L1332"/>
      <c r="R1332"/>
    </row>
    <row r="1333" spans="1:18">
      <c r="A1333" s="3">
        <v>45775.126111111109</v>
      </c>
      <c r="B1333" s="2" t="s">
        <v>26</v>
      </c>
      <c r="C1333" s="2" t="s">
        <v>11</v>
      </c>
      <c r="D1333" s="6" t="str">
        <f>CONCATENATE(YEAR(A1333),"/",IF(MONTH(A1333)&lt;10,CONCATENATE("0",MONTH(A1333)),MONTH(A1333)))</f>
        <v>2025/04</v>
      </c>
      <c r="E1333" s="8" t="str">
        <f>IF(IF(D1333&lt;&gt;D1332,1,IF(OR(B1333&lt;&gt;B1332,A1333-A1332&gt;$U$1),1,""))&lt;&gt;1,"",IF(C1333="B01",1965,IF(C1333="B02",1020,IF(C1333="B05",2400,IF(C1333="B03",4260,IF(C1333="B04",2880,IF(C1333="B20",1260,0)))))))</f>
        <v/>
      </c>
      <c r="F1333" s="8" t="str">
        <f>IF(IF(D1333&lt;&gt;D1332,1,IF(OR(B1333&lt;&gt;B1332,A1333-A1332&gt;$U$1),1,""))&lt;&gt;1,"",IF(C1333="B01",1,IF(C1333="B05",1,IF(C1333="B03",1,IF(C1333="B04",1,IF(C1333="B20",1,IF(C1333="B02",1,0)))))))</f>
        <v/>
      </c>
      <c r="G1333"/>
      <c r="H1333" s="2"/>
      <c r="I1333" s="2"/>
      <c r="L1333"/>
      <c r="R1333"/>
    </row>
    <row r="1334" spans="1:18">
      <c r="A1334" s="3">
        <v>45775.126111111109</v>
      </c>
      <c r="B1334" s="2" t="s">
        <v>26</v>
      </c>
      <c r="C1334" s="2" t="s">
        <v>11</v>
      </c>
      <c r="D1334" s="6" t="str">
        <f>CONCATENATE(YEAR(A1334),"/",IF(MONTH(A1334)&lt;10,CONCATENATE("0",MONTH(A1334)),MONTH(A1334)))</f>
        <v>2025/04</v>
      </c>
      <c r="E1334" s="8" t="str">
        <f>IF(IF(D1334&lt;&gt;D1333,1,IF(OR(B1334&lt;&gt;B1333,A1334-A1333&gt;$U$1),1,""))&lt;&gt;1,"",IF(C1334="B01",1965,IF(C1334="B02",1020,IF(C1334="B05",2400,IF(C1334="B03",4260,IF(C1334="B04",2880,IF(C1334="B20",1260,0)))))))</f>
        <v/>
      </c>
      <c r="F1334" s="8" t="str">
        <f>IF(IF(D1334&lt;&gt;D1333,1,IF(OR(B1334&lt;&gt;B1333,A1334-A1333&gt;$U$1),1,""))&lt;&gt;1,"",IF(C1334="B01",1,IF(C1334="B05",1,IF(C1334="B03",1,IF(C1334="B04",1,IF(C1334="B20",1,IF(C1334="B02",1,0)))))))</f>
        <v/>
      </c>
      <c r="G1334"/>
      <c r="H1334" s="2"/>
      <c r="I1334" s="2"/>
      <c r="L1334"/>
      <c r="R1334"/>
    </row>
    <row r="1335" spans="1:18">
      <c r="A1335" s="3">
        <v>45775.349861111114</v>
      </c>
      <c r="B1335" s="2" t="s">
        <v>26</v>
      </c>
      <c r="C1335" s="2" t="s">
        <v>12</v>
      </c>
      <c r="D1335" s="6" t="str">
        <f>CONCATENATE(YEAR(A1335),"/",IF(MONTH(A1335)&lt;10,CONCATENATE("0",MONTH(A1335)),MONTH(A1335)))</f>
        <v>2025/04</v>
      </c>
      <c r="E1335" s="8">
        <f>IF(IF(D1335&lt;&gt;D1334,1,IF(OR(B1335&lt;&gt;B1334,A1335-A1334&gt;$U$1),1,""))&lt;&gt;1,"",IF(C1335="B01",1965,IF(C1335="B02",1020,IF(C1335="B05",2400,IF(C1335="B03",4260,IF(C1335="B04",2880,IF(C1335="B20",1260,0)))))))</f>
        <v>4260</v>
      </c>
      <c r="F1335" s="8">
        <f>IF(IF(D1335&lt;&gt;D1334,1,IF(OR(B1335&lt;&gt;B1334,A1335-A1334&gt;$U$1),1,""))&lt;&gt;1,"",IF(C1335="B01",1,IF(C1335="B05",1,IF(C1335="B03",1,IF(C1335="B04",1,IF(C1335="B20",1,IF(C1335="B02",1,0)))))))</f>
        <v>1</v>
      </c>
      <c r="G1335"/>
      <c r="H1335" s="2"/>
      <c r="I1335" s="2"/>
      <c r="L1335"/>
      <c r="R1335"/>
    </row>
    <row r="1336" spans="1:18">
      <c r="A1336" s="3">
        <v>45775.349861111114</v>
      </c>
      <c r="B1336" s="2" t="s">
        <v>26</v>
      </c>
      <c r="C1336" s="2" t="s">
        <v>12</v>
      </c>
      <c r="D1336" s="6" t="str">
        <f>CONCATENATE(YEAR(A1336),"/",IF(MONTH(A1336)&lt;10,CONCATENATE("0",MONTH(A1336)),MONTH(A1336)))</f>
        <v>2025/04</v>
      </c>
      <c r="E1336" s="8" t="str">
        <f>IF(IF(D1336&lt;&gt;D1335,1,IF(OR(B1336&lt;&gt;B1335,A1336-A1335&gt;$U$1),1,""))&lt;&gt;1,"",IF(C1336="B01",1965,IF(C1336="B02",1020,IF(C1336="B05",2400,IF(C1336="B03",4260,IF(C1336="B04",2880,IF(C1336="B20",1260,0)))))))</f>
        <v/>
      </c>
      <c r="F1336" s="8" t="str">
        <f>IF(IF(D1336&lt;&gt;D1335,1,IF(OR(B1336&lt;&gt;B1335,A1336-A1335&gt;$U$1),1,""))&lt;&gt;1,"",IF(C1336="B01",1,IF(C1336="B05",1,IF(C1336="B03",1,IF(C1336="B04",1,IF(C1336="B20",1,IF(C1336="B02",1,0)))))))</f>
        <v/>
      </c>
      <c r="G1336"/>
      <c r="H1336" s="2"/>
      <c r="I1336" s="2"/>
      <c r="L1336"/>
      <c r="R1336"/>
    </row>
    <row r="1337" spans="1:18">
      <c r="A1337" s="3">
        <v>45775.655740740738</v>
      </c>
      <c r="B1337" s="2" t="s">
        <v>26</v>
      </c>
      <c r="C1337" s="2" t="s">
        <v>11</v>
      </c>
      <c r="D1337" s="6" t="str">
        <f>CONCATENATE(YEAR(A1337),"/",IF(MONTH(A1337)&lt;10,CONCATENATE("0",MONTH(A1337)),MONTH(A1337)))</f>
        <v>2025/04</v>
      </c>
      <c r="E1337" s="8">
        <f>IF(IF(D1337&lt;&gt;D1336,1,IF(OR(B1337&lt;&gt;B1336,A1337-A1336&gt;$U$1),1,""))&lt;&gt;1,"",IF(C1337="B01",1965,IF(C1337="B02",1020,IF(C1337="B05",2400,IF(C1337="B03",4260,IF(C1337="B04",2880,IF(C1337="B20",1260,0)))))))</f>
        <v>2400</v>
      </c>
      <c r="F1337" s="8">
        <f>IF(IF(D1337&lt;&gt;D1336,1,IF(OR(B1337&lt;&gt;B1336,A1337-A1336&gt;$U$1),1,""))&lt;&gt;1,"",IF(C1337="B01",1,IF(C1337="B05",1,IF(C1337="B03",1,IF(C1337="B04",1,IF(C1337="B20",1,IF(C1337="B02",1,0)))))))</f>
        <v>1</v>
      </c>
      <c r="G1337"/>
      <c r="H1337" s="2"/>
      <c r="I1337" s="2"/>
      <c r="L1337"/>
      <c r="R1337"/>
    </row>
    <row r="1338" spans="1:18">
      <c r="A1338" s="3">
        <v>45775.655740740738</v>
      </c>
      <c r="B1338" s="2" t="s">
        <v>26</v>
      </c>
      <c r="C1338" s="2" t="s">
        <v>11</v>
      </c>
      <c r="D1338" s="6" t="str">
        <f>CONCATENATE(YEAR(A1338),"/",IF(MONTH(A1338)&lt;10,CONCATENATE("0",MONTH(A1338)),MONTH(A1338)))</f>
        <v>2025/04</v>
      </c>
      <c r="E1338" s="8" t="str">
        <f>IF(IF(D1338&lt;&gt;D1337,1,IF(OR(B1338&lt;&gt;B1337,A1338-A1337&gt;$U$1),1,""))&lt;&gt;1,"",IF(C1338="B01",1965,IF(C1338="B02",1020,IF(C1338="B05",2400,IF(C1338="B03",4260,IF(C1338="B04",2880,IF(C1338="B20",1260,0)))))))</f>
        <v/>
      </c>
      <c r="F1338" s="8" t="str">
        <f>IF(IF(D1338&lt;&gt;D1337,1,IF(OR(B1338&lt;&gt;B1337,A1338-A1337&gt;$U$1),1,""))&lt;&gt;1,"",IF(C1338="B01",1,IF(C1338="B05",1,IF(C1338="B03",1,IF(C1338="B04",1,IF(C1338="B20",1,IF(C1338="B02",1,0)))))))</f>
        <v/>
      </c>
      <c r="G1338"/>
      <c r="H1338" s="2"/>
      <c r="I1338" s="2"/>
      <c r="L1338"/>
      <c r="R1338"/>
    </row>
    <row r="1339" spans="1:18">
      <c r="A1339" s="3">
        <v>45775.655740740738</v>
      </c>
      <c r="B1339" s="2" t="s">
        <v>26</v>
      </c>
      <c r="C1339" s="2" t="s">
        <v>11</v>
      </c>
      <c r="D1339" s="6" t="str">
        <f>CONCATENATE(YEAR(A1339),"/",IF(MONTH(A1339)&lt;10,CONCATENATE("0",MONTH(A1339)),MONTH(A1339)))</f>
        <v>2025/04</v>
      </c>
      <c r="E1339" s="8" t="str">
        <f>IF(IF(D1339&lt;&gt;D1338,1,IF(OR(B1339&lt;&gt;B1338,A1339-A1338&gt;$U$1),1,""))&lt;&gt;1,"",IF(C1339="B01",1965,IF(C1339="B02",1020,IF(C1339="B05",2400,IF(C1339="B03",4260,IF(C1339="B04",2880,IF(C1339="B20",1260,0)))))))</f>
        <v/>
      </c>
      <c r="F1339" s="8" t="str">
        <f>IF(IF(D1339&lt;&gt;D1338,1,IF(OR(B1339&lt;&gt;B1338,A1339-A1338&gt;$U$1),1,""))&lt;&gt;1,"",IF(C1339="B01",1,IF(C1339="B05",1,IF(C1339="B03",1,IF(C1339="B04",1,IF(C1339="B20",1,IF(C1339="B02",1,0)))))))</f>
        <v/>
      </c>
      <c r="G1339"/>
      <c r="H1339" s="2"/>
      <c r="I1339" s="2"/>
      <c r="L1339"/>
      <c r="R1339"/>
    </row>
    <row r="1340" spans="1:18">
      <c r="A1340" s="3">
        <v>45775.655740740738</v>
      </c>
      <c r="B1340" s="2" t="s">
        <v>26</v>
      </c>
      <c r="C1340" s="2" t="s">
        <v>11</v>
      </c>
      <c r="D1340" s="6" t="str">
        <f>CONCATENATE(YEAR(A1340),"/",IF(MONTH(A1340)&lt;10,CONCATENATE("0",MONTH(A1340)),MONTH(A1340)))</f>
        <v>2025/04</v>
      </c>
      <c r="E1340" s="8" t="str">
        <f>IF(IF(D1340&lt;&gt;D1339,1,IF(OR(B1340&lt;&gt;B1339,A1340-A1339&gt;$U$1),1,""))&lt;&gt;1,"",IF(C1340="B01",1965,IF(C1340="B02",1020,IF(C1340="B05",2400,IF(C1340="B03",4260,IF(C1340="B04",2880,IF(C1340="B20",1260,0)))))))</f>
        <v/>
      </c>
      <c r="F1340" s="8" t="str">
        <f>IF(IF(D1340&lt;&gt;D1339,1,IF(OR(B1340&lt;&gt;B1339,A1340-A1339&gt;$U$1),1,""))&lt;&gt;1,"",IF(C1340="B01",1,IF(C1340="B05",1,IF(C1340="B03",1,IF(C1340="B04",1,IF(C1340="B20",1,IF(C1340="B02",1,0)))))))</f>
        <v/>
      </c>
      <c r="G1340"/>
      <c r="H1340" s="2"/>
      <c r="I1340" s="2"/>
      <c r="L1340"/>
      <c r="R1340"/>
    </row>
    <row r="1341" spans="1:18">
      <c r="A1341" s="3">
        <v>45775.655740740738</v>
      </c>
      <c r="B1341" s="2" t="s">
        <v>26</v>
      </c>
      <c r="C1341" s="2" t="s">
        <v>11</v>
      </c>
      <c r="D1341" s="6" t="str">
        <f>CONCATENATE(YEAR(A1341),"/",IF(MONTH(A1341)&lt;10,CONCATENATE("0",MONTH(A1341)),MONTH(A1341)))</f>
        <v>2025/04</v>
      </c>
      <c r="E1341" s="8" t="str">
        <f>IF(IF(D1341&lt;&gt;D1340,1,IF(OR(B1341&lt;&gt;B1340,A1341-A1340&gt;$U$1),1,""))&lt;&gt;1,"",IF(C1341="B01",1965,IF(C1341="B02",1020,IF(C1341="B05",2400,IF(C1341="B03",4260,IF(C1341="B04",2880,IF(C1341="B20",1260,0)))))))</f>
        <v/>
      </c>
      <c r="F1341" s="8" t="str">
        <f>IF(IF(D1341&lt;&gt;D1340,1,IF(OR(B1341&lt;&gt;B1340,A1341-A1340&gt;$U$1),1,""))&lt;&gt;1,"",IF(C1341="B01",1,IF(C1341="B05",1,IF(C1341="B03",1,IF(C1341="B04",1,IF(C1341="B20",1,IF(C1341="B02",1,0)))))))</f>
        <v/>
      </c>
      <c r="G1341"/>
      <c r="H1341" s="2"/>
      <c r="I1341" s="2"/>
      <c r="L1341"/>
      <c r="R1341"/>
    </row>
    <row r="1342" spans="1:18">
      <c r="A1342" s="3">
        <v>45775.849942129629</v>
      </c>
      <c r="B1342" s="2" t="s">
        <v>26</v>
      </c>
      <c r="C1342" s="2" t="s">
        <v>11</v>
      </c>
      <c r="D1342" s="6" t="str">
        <f>CONCATENATE(YEAR(A1342),"/",IF(MONTH(A1342)&lt;10,CONCATENATE("0",MONTH(A1342)),MONTH(A1342)))</f>
        <v>2025/04</v>
      </c>
      <c r="E1342" s="8">
        <f>IF(IF(D1342&lt;&gt;D1341,1,IF(OR(B1342&lt;&gt;B1341,A1342-A1341&gt;$U$1),1,""))&lt;&gt;1,"",IF(C1342="B01",1965,IF(C1342="B02",1020,IF(C1342="B05",2400,IF(C1342="B03",4260,IF(C1342="B04",2880,IF(C1342="B20",1260,0)))))))</f>
        <v>2400</v>
      </c>
      <c r="F1342" s="8">
        <f>IF(IF(D1342&lt;&gt;D1341,1,IF(OR(B1342&lt;&gt;B1341,A1342-A1341&gt;$U$1),1,""))&lt;&gt;1,"",IF(C1342="B01",1,IF(C1342="B05",1,IF(C1342="B03",1,IF(C1342="B04",1,IF(C1342="B20",1,IF(C1342="B02",1,0)))))))</f>
        <v>1</v>
      </c>
      <c r="G1342"/>
      <c r="H1342" s="2"/>
      <c r="I1342" s="2"/>
      <c r="L1342"/>
      <c r="R1342"/>
    </row>
    <row r="1343" spans="1:18">
      <c r="A1343" s="3">
        <v>45775.849942129629</v>
      </c>
      <c r="B1343" s="2" t="s">
        <v>26</v>
      </c>
      <c r="C1343" s="2" t="s">
        <v>11</v>
      </c>
      <c r="D1343" s="6" t="str">
        <f>CONCATENATE(YEAR(A1343),"/",IF(MONTH(A1343)&lt;10,CONCATENATE("0",MONTH(A1343)),MONTH(A1343)))</f>
        <v>2025/04</v>
      </c>
      <c r="E1343" s="8" t="str">
        <f>IF(IF(D1343&lt;&gt;D1342,1,IF(OR(B1343&lt;&gt;B1342,A1343-A1342&gt;$U$1),1,""))&lt;&gt;1,"",IF(C1343="B01",1965,IF(C1343="B02",1020,IF(C1343="B05",2400,IF(C1343="B03",4260,IF(C1343="B04",2880,IF(C1343="B20",1260,0)))))))</f>
        <v/>
      </c>
      <c r="F1343" s="8" t="str">
        <f>IF(IF(D1343&lt;&gt;D1342,1,IF(OR(B1343&lt;&gt;B1342,A1343-A1342&gt;$U$1),1,""))&lt;&gt;1,"",IF(C1343="B01",1,IF(C1343="B05",1,IF(C1343="B03",1,IF(C1343="B04",1,IF(C1343="B20",1,IF(C1343="B02",1,0)))))))</f>
        <v/>
      </c>
      <c r="G1343"/>
      <c r="H1343" s="2"/>
      <c r="I1343" s="2"/>
      <c r="L1343"/>
      <c r="R1343"/>
    </row>
    <row r="1344" spans="1:18">
      <c r="A1344" s="3">
        <v>45775.849942129629</v>
      </c>
      <c r="B1344" s="2" t="s">
        <v>26</v>
      </c>
      <c r="C1344" s="2" t="s">
        <v>11</v>
      </c>
      <c r="D1344" s="6" t="str">
        <f>CONCATENATE(YEAR(A1344),"/",IF(MONTH(A1344)&lt;10,CONCATENATE("0",MONTH(A1344)),MONTH(A1344)))</f>
        <v>2025/04</v>
      </c>
      <c r="E1344" s="8" t="str">
        <f>IF(IF(D1344&lt;&gt;D1343,1,IF(OR(B1344&lt;&gt;B1343,A1344-A1343&gt;$U$1),1,""))&lt;&gt;1,"",IF(C1344="B01",1965,IF(C1344="B02",1020,IF(C1344="B05",2400,IF(C1344="B03",4260,IF(C1344="B04",2880,IF(C1344="B20",1260,0)))))))</f>
        <v/>
      </c>
      <c r="F1344" s="8" t="str">
        <f>IF(IF(D1344&lt;&gt;D1343,1,IF(OR(B1344&lt;&gt;B1343,A1344-A1343&gt;$U$1),1,""))&lt;&gt;1,"",IF(C1344="B01",1,IF(C1344="B05",1,IF(C1344="B03",1,IF(C1344="B04",1,IF(C1344="B20",1,IF(C1344="B02",1,0)))))))</f>
        <v/>
      </c>
      <c r="G1344"/>
      <c r="H1344" s="2"/>
      <c r="I1344" s="2"/>
      <c r="L1344"/>
      <c r="R1344"/>
    </row>
    <row r="1345" spans="1:18">
      <c r="A1345" s="3">
        <v>45775.972777777781</v>
      </c>
      <c r="B1345" s="2" t="s">
        <v>26</v>
      </c>
      <c r="C1345" s="2" t="s">
        <v>11</v>
      </c>
      <c r="D1345" s="6" t="str">
        <f>CONCATENATE(YEAR(A1345),"/",IF(MONTH(A1345)&lt;10,CONCATENATE("0",MONTH(A1345)),MONTH(A1345)))</f>
        <v>2025/04</v>
      </c>
      <c r="E1345" s="8">
        <f>IF(IF(D1345&lt;&gt;D1344,1,IF(OR(B1345&lt;&gt;B1344,A1345-A1344&gt;$U$1),1,""))&lt;&gt;1,"",IF(C1345="B01",1965,IF(C1345="B02",1020,IF(C1345="B05",2400,IF(C1345="B03",4260,IF(C1345="B04",2880,IF(C1345="B20",1260,0)))))))</f>
        <v>2400</v>
      </c>
      <c r="F1345" s="8">
        <f>IF(IF(D1345&lt;&gt;D1344,1,IF(OR(B1345&lt;&gt;B1344,A1345-A1344&gt;$U$1),1,""))&lt;&gt;1,"",IF(C1345="B01",1,IF(C1345="B05",1,IF(C1345="B03",1,IF(C1345="B04",1,IF(C1345="B20",1,IF(C1345="B02",1,0)))))))</f>
        <v>1</v>
      </c>
      <c r="G1345"/>
      <c r="H1345" s="2"/>
      <c r="I1345" s="2"/>
      <c r="L1345"/>
      <c r="R1345"/>
    </row>
    <row r="1346" spans="1:18">
      <c r="A1346" s="3">
        <v>45775.972777777781</v>
      </c>
      <c r="B1346" s="2" t="s">
        <v>26</v>
      </c>
      <c r="C1346" s="2" t="s">
        <v>11</v>
      </c>
      <c r="D1346" s="6" t="str">
        <f>CONCATENATE(YEAR(A1346),"/",IF(MONTH(A1346)&lt;10,CONCATENATE("0",MONTH(A1346)),MONTH(A1346)))</f>
        <v>2025/04</v>
      </c>
      <c r="E1346" s="8" t="str">
        <f>IF(IF(D1346&lt;&gt;D1345,1,IF(OR(B1346&lt;&gt;B1345,A1346-A1345&gt;$U$1),1,""))&lt;&gt;1,"",IF(C1346="B01",1965,IF(C1346="B02",1020,IF(C1346="B05",2400,IF(C1346="B03",4260,IF(C1346="B04",2880,IF(C1346="B20",1260,0)))))))</f>
        <v/>
      </c>
      <c r="F1346" s="8" t="str">
        <f>IF(IF(D1346&lt;&gt;D1345,1,IF(OR(B1346&lt;&gt;B1345,A1346-A1345&gt;$U$1),1,""))&lt;&gt;1,"",IF(C1346="B01",1,IF(C1346="B05",1,IF(C1346="B03",1,IF(C1346="B04",1,IF(C1346="B20",1,IF(C1346="B02",1,0)))))))</f>
        <v/>
      </c>
      <c r="G1346"/>
      <c r="H1346" s="2"/>
      <c r="I1346" s="2"/>
      <c r="L1346"/>
      <c r="R1346"/>
    </row>
    <row r="1347" spans="1:18">
      <c r="A1347" s="3">
        <v>45776.287673611114</v>
      </c>
      <c r="B1347" s="2" t="s">
        <v>26</v>
      </c>
      <c r="C1347" s="2" t="s">
        <v>34</v>
      </c>
      <c r="D1347" s="6" t="str">
        <f>CONCATENATE(YEAR(A1347),"/",IF(MONTH(A1347)&lt;10,CONCATENATE("0",MONTH(A1347)),MONTH(A1347)))</f>
        <v>2025/04</v>
      </c>
      <c r="E1347" s="8">
        <f>IF(IF(D1347&lt;&gt;D1346,1,IF(OR(B1347&lt;&gt;B1346,A1347-A1346&gt;$U$1),1,""))&lt;&gt;1,"",IF(C1347="B01",1965,IF(C1347="B02",1020,IF(C1347="B05",2400,IF(C1347="B03",4260,IF(C1347="B04",2880,IF(C1347="B20",1260,0)))))))</f>
        <v>1965</v>
      </c>
      <c r="F1347" s="8">
        <f>IF(IF(D1347&lt;&gt;D1346,1,IF(OR(B1347&lt;&gt;B1346,A1347-A1346&gt;$U$1),1,""))&lt;&gt;1,"",IF(C1347="B01",1,IF(C1347="B05",1,IF(C1347="B03",1,IF(C1347="B04",1,IF(C1347="B20",1,IF(C1347="B02",1,0)))))))</f>
        <v>1</v>
      </c>
      <c r="G1347"/>
      <c r="H1347" s="2"/>
      <c r="I1347" s="2"/>
      <c r="L1347"/>
      <c r="R1347"/>
    </row>
    <row r="1348" spans="1:18">
      <c r="A1348" s="3">
        <v>45776.287673611114</v>
      </c>
      <c r="B1348" s="2" t="s">
        <v>26</v>
      </c>
      <c r="C1348" s="2" t="s">
        <v>34</v>
      </c>
      <c r="D1348" s="6" t="str">
        <f>CONCATENATE(YEAR(A1348),"/",IF(MONTH(A1348)&lt;10,CONCATENATE("0",MONTH(A1348)),MONTH(A1348)))</f>
        <v>2025/04</v>
      </c>
      <c r="E1348" s="8" t="str">
        <f>IF(IF(D1348&lt;&gt;D1347,1,IF(OR(B1348&lt;&gt;B1347,A1348-A1347&gt;$U$1),1,""))&lt;&gt;1,"",IF(C1348="B01",1965,IF(C1348="B02",1020,IF(C1348="B05",2400,IF(C1348="B03",4260,IF(C1348="B04",2880,IF(C1348="B20",1260,0)))))))</f>
        <v/>
      </c>
      <c r="F1348" s="8" t="str">
        <f>IF(IF(D1348&lt;&gt;D1347,1,IF(OR(B1348&lt;&gt;B1347,A1348-A1347&gt;$U$1),1,""))&lt;&gt;1,"",IF(C1348="B01",1,IF(C1348="B05",1,IF(C1348="B03",1,IF(C1348="B04",1,IF(C1348="B20",1,IF(C1348="B02",1,0)))))))</f>
        <v/>
      </c>
      <c r="G1348"/>
      <c r="H1348" s="2"/>
      <c r="I1348" s="2"/>
      <c r="L1348"/>
      <c r="R1348"/>
    </row>
    <row r="1349" spans="1:18">
      <c r="A1349" s="3">
        <v>45776.287673611114</v>
      </c>
      <c r="B1349" s="2" t="s">
        <v>26</v>
      </c>
      <c r="C1349" s="2" t="s">
        <v>34</v>
      </c>
      <c r="D1349" s="6" t="str">
        <f>CONCATENATE(YEAR(A1349),"/",IF(MONTH(A1349)&lt;10,CONCATENATE("0",MONTH(A1349)),MONTH(A1349)))</f>
        <v>2025/04</v>
      </c>
      <c r="E1349" s="8" t="str">
        <f>IF(IF(D1349&lt;&gt;D1348,1,IF(OR(B1349&lt;&gt;B1348,A1349-A1348&gt;$U$1),1,""))&lt;&gt;1,"",IF(C1349="B01",1965,IF(C1349="B02",1020,IF(C1349="B05",2400,IF(C1349="B03",4260,IF(C1349="B04",2880,IF(C1349="B20",1260,0)))))))</f>
        <v/>
      </c>
      <c r="F1349" s="8" t="str">
        <f>IF(IF(D1349&lt;&gt;D1348,1,IF(OR(B1349&lt;&gt;B1348,A1349-A1348&gt;$U$1),1,""))&lt;&gt;1,"",IF(C1349="B01",1,IF(C1349="B05",1,IF(C1349="B03",1,IF(C1349="B04",1,IF(C1349="B20",1,IF(C1349="B02",1,0)))))))</f>
        <v/>
      </c>
      <c r="G1349"/>
      <c r="H1349" s="2"/>
      <c r="I1349" s="2"/>
      <c r="L1349"/>
      <c r="R1349"/>
    </row>
    <row r="1350" spans="1:18">
      <c r="A1350" s="3">
        <v>45776.561319444445</v>
      </c>
      <c r="B1350" s="2" t="s">
        <v>26</v>
      </c>
      <c r="C1350" s="2" t="s">
        <v>34</v>
      </c>
      <c r="D1350" s="6" t="str">
        <f>CONCATENATE(YEAR(A1350),"/",IF(MONTH(A1350)&lt;10,CONCATENATE("0",MONTH(A1350)),MONTH(A1350)))</f>
        <v>2025/04</v>
      </c>
      <c r="E1350" s="8">
        <f>IF(IF(D1350&lt;&gt;D1349,1,IF(OR(B1350&lt;&gt;B1349,A1350-A1349&gt;$U$1),1,""))&lt;&gt;1,"",IF(C1350="B01",1965,IF(C1350="B02",1020,IF(C1350="B05",2400,IF(C1350="B03",4260,IF(C1350="B04",2880,IF(C1350="B20",1260,0)))))))</f>
        <v>1965</v>
      </c>
      <c r="F1350" s="8">
        <f>IF(IF(D1350&lt;&gt;D1349,1,IF(OR(B1350&lt;&gt;B1349,A1350-A1349&gt;$U$1),1,""))&lt;&gt;1,"",IF(C1350="B01",1,IF(C1350="B05",1,IF(C1350="B03",1,IF(C1350="B04",1,IF(C1350="B20",1,IF(C1350="B02",1,0)))))))</f>
        <v>1</v>
      </c>
      <c r="G1350"/>
      <c r="H1350" s="2"/>
      <c r="I1350" s="2"/>
      <c r="L1350"/>
      <c r="R1350"/>
    </row>
    <row r="1351" spans="1:18">
      <c r="A1351" s="3">
        <v>45776.561319444445</v>
      </c>
      <c r="B1351" s="2" t="s">
        <v>26</v>
      </c>
      <c r="C1351" s="2" t="s">
        <v>34</v>
      </c>
      <c r="D1351" s="6" t="str">
        <f>CONCATENATE(YEAR(A1351),"/",IF(MONTH(A1351)&lt;10,CONCATENATE("0",MONTH(A1351)),MONTH(A1351)))</f>
        <v>2025/04</v>
      </c>
      <c r="E1351" s="8" t="str">
        <f>IF(IF(D1351&lt;&gt;D1350,1,IF(OR(B1351&lt;&gt;B1350,A1351-A1350&gt;$U$1),1,""))&lt;&gt;1,"",IF(C1351="B01",1965,IF(C1351="B02",1020,IF(C1351="B05",2400,IF(C1351="B03",4260,IF(C1351="B04",2880,IF(C1351="B20",1260,0)))))))</f>
        <v/>
      </c>
      <c r="F1351" s="8" t="str">
        <f>IF(IF(D1351&lt;&gt;D1350,1,IF(OR(B1351&lt;&gt;B1350,A1351-A1350&gt;$U$1),1,""))&lt;&gt;1,"",IF(C1351="B01",1,IF(C1351="B05",1,IF(C1351="B03",1,IF(C1351="B04",1,IF(C1351="B20",1,IF(C1351="B02",1,0)))))))</f>
        <v/>
      </c>
      <c r="G1351"/>
      <c r="H1351" s="2"/>
      <c r="I1351" s="2"/>
      <c r="L1351"/>
      <c r="R1351"/>
    </row>
    <row r="1352" spans="1:18">
      <c r="A1352" s="3">
        <v>45776.752615740741</v>
      </c>
      <c r="B1352" s="2" t="s">
        <v>26</v>
      </c>
      <c r="C1352" s="2" t="s">
        <v>11</v>
      </c>
      <c r="D1352" s="6" t="str">
        <f>CONCATENATE(YEAR(A1352),"/",IF(MONTH(A1352)&lt;10,CONCATENATE("0",MONTH(A1352)),MONTH(A1352)))</f>
        <v>2025/04</v>
      </c>
      <c r="E1352" s="8">
        <f>IF(IF(D1352&lt;&gt;D1351,1,IF(OR(B1352&lt;&gt;B1351,A1352-A1351&gt;$U$1),1,""))&lt;&gt;1,"",IF(C1352="B01",1965,IF(C1352="B02",1020,IF(C1352="B05",2400,IF(C1352="B03",4260,IF(C1352="B04",2880,IF(C1352="B20",1260,0)))))))</f>
        <v>2400</v>
      </c>
      <c r="F1352" s="8">
        <f>IF(IF(D1352&lt;&gt;D1351,1,IF(OR(B1352&lt;&gt;B1351,A1352-A1351&gt;$U$1),1,""))&lt;&gt;1,"",IF(C1352="B01",1,IF(C1352="B05",1,IF(C1352="B03",1,IF(C1352="B04",1,IF(C1352="B20",1,IF(C1352="B02",1,0)))))))</f>
        <v>1</v>
      </c>
      <c r="G1352"/>
      <c r="H1352" s="2"/>
      <c r="I1352" s="2"/>
      <c r="L1352"/>
      <c r="R1352"/>
    </row>
    <row r="1353" spans="1:18">
      <c r="A1353" s="3">
        <v>45776.752615740741</v>
      </c>
      <c r="B1353" s="2" t="s">
        <v>26</v>
      </c>
      <c r="C1353" s="2" t="s">
        <v>11</v>
      </c>
      <c r="D1353" s="6" t="str">
        <f>CONCATENATE(YEAR(A1353),"/",IF(MONTH(A1353)&lt;10,CONCATENATE("0",MONTH(A1353)),MONTH(A1353)))</f>
        <v>2025/04</v>
      </c>
      <c r="E1353" s="8" t="str">
        <f>IF(IF(D1353&lt;&gt;D1352,1,IF(OR(B1353&lt;&gt;B1352,A1353-A1352&gt;$U$1),1,""))&lt;&gt;1,"",IF(C1353="B01",1965,IF(C1353="B02",1020,IF(C1353="B05",2400,IF(C1353="B03",4260,IF(C1353="B04",2880,IF(C1353="B20",1260,0)))))))</f>
        <v/>
      </c>
      <c r="F1353" s="8" t="str">
        <f>IF(IF(D1353&lt;&gt;D1352,1,IF(OR(B1353&lt;&gt;B1352,A1353-A1352&gt;$U$1),1,""))&lt;&gt;1,"",IF(C1353="B01",1,IF(C1353="B05",1,IF(C1353="B03",1,IF(C1353="B04",1,IF(C1353="B20",1,IF(C1353="B02",1,0)))))))</f>
        <v/>
      </c>
      <c r="G1353"/>
      <c r="H1353" s="2"/>
      <c r="I1353" s="2"/>
      <c r="L1353"/>
      <c r="R1353"/>
    </row>
    <row r="1354" spans="1:18">
      <c r="A1354" s="3">
        <v>45776.752615740741</v>
      </c>
      <c r="B1354" s="2" t="s">
        <v>26</v>
      </c>
      <c r="C1354" s="2" t="s">
        <v>11</v>
      </c>
      <c r="D1354" s="6" t="str">
        <f>CONCATENATE(YEAR(A1354),"/",IF(MONTH(A1354)&lt;10,CONCATENATE("0",MONTH(A1354)),MONTH(A1354)))</f>
        <v>2025/04</v>
      </c>
      <c r="E1354" s="8" t="str">
        <f>IF(IF(D1354&lt;&gt;D1353,1,IF(OR(B1354&lt;&gt;B1353,A1354-A1353&gt;$U$1),1,""))&lt;&gt;1,"",IF(C1354="B01",1965,IF(C1354="B02",1020,IF(C1354="B05",2400,IF(C1354="B03",4260,IF(C1354="B04",2880,IF(C1354="B20",1260,0)))))))</f>
        <v/>
      </c>
      <c r="F1354" s="8" t="str">
        <f>IF(IF(D1354&lt;&gt;D1353,1,IF(OR(B1354&lt;&gt;B1353,A1354-A1353&gt;$U$1),1,""))&lt;&gt;1,"",IF(C1354="B01",1,IF(C1354="B05",1,IF(C1354="B03",1,IF(C1354="B04",1,IF(C1354="B20",1,IF(C1354="B02",1,0)))))))</f>
        <v/>
      </c>
      <c r="G1354"/>
      <c r="H1354" s="2"/>
      <c r="I1354" s="2"/>
      <c r="L1354"/>
      <c r="R1354"/>
    </row>
    <row r="1355" spans="1:18">
      <c r="A1355" s="3">
        <v>45776.881458333337</v>
      </c>
      <c r="B1355" s="2" t="s">
        <v>26</v>
      </c>
      <c r="C1355" s="2" t="s">
        <v>12</v>
      </c>
      <c r="D1355" s="6" t="str">
        <f>CONCATENATE(YEAR(A1355),"/",IF(MONTH(A1355)&lt;10,CONCATENATE("0",MONTH(A1355)),MONTH(A1355)))</f>
        <v>2025/04</v>
      </c>
      <c r="E1355" s="8">
        <f>IF(IF(D1355&lt;&gt;D1354,1,IF(OR(B1355&lt;&gt;B1354,A1355-A1354&gt;$U$1),1,""))&lt;&gt;1,"",IF(C1355="B01",1965,IF(C1355="B02",1020,IF(C1355="B05",2400,IF(C1355="B03",4260,IF(C1355="B04",2880,IF(C1355="B20",1260,0)))))))</f>
        <v>4260</v>
      </c>
      <c r="F1355" s="8">
        <f>IF(IF(D1355&lt;&gt;D1354,1,IF(OR(B1355&lt;&gt;B1354,A1355-A1354&gt;$U$1),1,""))&lt;&gt;1,"",IF(C1355="B01",1,IF(C1355="B05",1,IF(C1355="B03",1,IF(C1355="B04",1,IF(C1355="B20",1,IF(C1355="B02",1,0)))))))</f>
        <v>1</v>
      </c>
      <c r="G1355"/>
      <c r="H1355" s="2"/>
      <c r="I1355" s="2"/>
      <c r="L1355"/>
      <c r="R1355"/>
    </row>
    <row r="1356" spans="1:18">
      <c r="A1356" s="3">
        <v>45777.029826388891</v>
      </c>
      <c r="B1356" s="2" t="s">
        <v>26</v>
      </c>
      <c r="C1356" s="2" t="s">
        <v>34</v>
      </c>
      <c r="D1356" s="6" t="str">
        <f>CONCATENATE(YEAR(A1356),"/",IF(MONTH(A1356)&lt;10,CONCATENATE("0",MONTH(A1356)),MONTH(A1356)))</f>
        <v>2025/04</v>
      </c>
      <c r="E1356" s="8">
        <f>IF(IF(D1356&lt;&gt;D1355,1,IF(OR(B1356&lt;&gt;B1355,A1356-A1355&gt;$U$1),1,""))&lt;&gt;1,"",IF(C1356="B01",1965,IF(C1356="B02",1020,IF(C1356="B05",2400,IF(C1356="B03",4260,IF(C1356="B04",2880,IF(C1356="B20",1260,0)))))))</f>
        <v>1965</v>
      </c>
      <c r="F1356" s="8">
        <f>IF(IF(D1356&lt;&gt;D1355,1,IF(OR(B1356&lt;&gt;B1355,A1356-A1355&gt;$U$1),1,""))&lt;&gt;1,"",IF(C1356="B01",1,IF(C1356="B05",1,IF(C1356="B03",1,IF(C1356="B04",1,IF(C1356="B20",1,IF(C1356="B02",1,0)))))))</f>
        <v>1</v>
      </c>
      <c r="G1356"/>
      <c r="H1356" s="2"/>
      <c r="I1356" s="2"/>
      <c r="L1356"/>
      <c r="R1356"/>
    </row>
    <row r="1357" spans="1:18">
      <c r="A1357" s="3">
        <v>45777.029826388891</v>
      </c>
      <c r="B1357" s="2" t="s">
        <v>26</v>
      </c>
      <c r="C1357" s="2" t="s">
        <v>34</v>
      </c>
      <c r="D1357" s="6" t="str">
        <f>CONCATENATE(YEAR(A1357),"/",IF(MONTH(A1357)&lt;10,CONCATENATE("0",MONTH(A1357)),MONTH(A1357)))</f>
        <v>2025/04</v>
      </c>
      <c r="E1357" s="8" t="str">
        <f>IF(IF(D1357&lt;&gt;D1356,1,IF(OR(B1357&lt;&gt;B1356,A1357-A1356&gt;$U$1),1,""))&lt;&gt;1,"",IF(C1357="B01",1965,IF(C1357="B02",1020,IF(C1357="B05",2400,IF(C1357="B03",4260,IF(C1357="B04",2880,IF(C1357="B20",1260,0)))))))</f>
        <v/>
      </c>
      <c r="F1357" s="8" t="str">
        <f>IF(IF(D1357&lt;&gt;D1356,1,IF(OR(B1357&lt;&gt;B1356,A1357-A1356&gt;$U$1),1,""))&lt;&gt;1,"",IF(C1357="B01",1,IF(C1357="B05",1,IF(C1357="B03",1,IF(C1357="B04",1,IF(C1357="B20",1,IF(C1357="B02",1,0)))))))</f>
        <v/>
      </c>
      <c r="G1357"/>
      <c r="H1357" s="2"/>
      <c r="I1357" s="2"/>
      <c r="L1357"/>
      <c r="R1357"/>
    </row>
    <row r="1358" spans="1:18">
      <c r="A1358" s="3">
        <v>45777.261493055557</v>
      </c>
      <c r="B1358" s="2" t="s">
        <v>26</v>
      </c>
      <c r="C1358" s="2" t="s">
        <v>12</v>
      </c>
      <c r="D1358" s="6" t="str">
        <f>CONCATENATE(YEAR(A1358),"/",IF(MONTH(A1358)&lt;10,CONCATENATE("0",MONTH(A1358)),MONTH(A1358)))</f>
        <v>2025/04</v>
      </c>
      <c r="E1358" s="8">
        <f>IF(IF(D1358&lt;&gt;D1357,1,IF(OR(B1358&lt;&gt;B1357,A1358-A1357&gt;$U$1),1,""))&lt;&gt;1,"",IF(C1358="B01",1965,IF(C1358="B02",1020,IF(C1358="B05",2400,IF(C1358="B03",4260,IF(C1358="B04",2880,IF(C1358="B20",1260,0)))))))</f>
        <v>4260</v>
      </c>
      <c r="F1358" s="8">
        <f>IF(IF(D1358&lt;&gt;D1357,1,IF(OR(B1358&lt;&gt;B1357,A1358-A1357&gt;$U$1),1,""))&lt;&gt;1,"",IF(C1358="B01",1,IF(C1358="B05",1,IF(C1358="B03",1,IF(C1358="B04",1,IF(C1358="B20",1,IF(C1358="B02",1,0)))))))</f>
        <v>1</v>
      </c>
      <c r="G1358"/>
      <c r="H1358" s="2"/>
      <c r="I1358" s="2"/>
      <c r="L1358"/>
      <c r="R1358"/>
    </row>
    <row r="1359" spans="1:18">
      <c r="A1359" s="3">
        <v>45777.261493055557</v>
      </c>
      <c r="B1359" s="2" t="s">
        <v>26</v>
      </c>
      <c r="C1359" s="2" t="s">
        <v>12</v>
      </c>
      <c r="D1359" s="6" t="str">
        <f>CONCATENATE(YEAR(A1359),"/",IF(MONTH(A1359)&lt;10,CONCATENATE("0",MONTH(A1359)),MONTH(A1359)))</f>
        <v>2025/04</v>
      </c>
      <c r="E1359" s="8" t="str">
        <f>IF(IF(D1359&lt;&gt;D1358,1,IF(OR(B1359&lt;&gt;B1358,A1359-A1358&gt;$U$1),1,""))&lt;&gt;1,"",IF(C1359="B01",1965,IF(C1359="B02",1020,IF(C1359="B05",2400,IF(C1359="B03",4260,IF(C1359="B04",2880,IF(C1359="B20",1260,0)))))))</f>
        <v/>
      </c>
      <c r="F1359" s="8" t="str">
        <f>IF(IF(D1359&lt;&gt;D1358,1,IF(OR(B1359&lt;&gt;B1358,A1359-A1358&gt;$U$1),1,""))&lt;&gt;1,"",IF(C1359="B01",1,IF(C1359="B05",1,IF(C1359="B03",1,IF(C1359="B04",1,IF(C1359="B20",1,IF(C1359="B02",1,0)))))))</f>
        <v/>
      </c>
      <c r="G1359"/>
      <c r="H1359" s="2"/>
      <c r="I1359" s="2"/>
      <c r="L1359"/>
      <c r="R1359"/>
    </row>
    <row r="1360" spans="1:18">
      <c r="A1360" s="3">
        <v>45777.420185185183</v>
      </c>
      <c r="B1360" s="2" t="s">
        <v>26</v>
      </c>
      <c r="C1360" s="2" t="s">
        <v>11</v>
      </c>
      <c r="D1360" s="6" t="str">
        <f>CONCATENATE(YEAR(A1360),"/",IF(MONTH(A1360)&lt;10,CONCATENATE("0",MONTH(A1360)),MONTH(A1360)))</f>
        <v>2025/04</v>
      </c>
      <c r="E1360" s="8">
        <f>IF(IF(D1360&lt;&gt;D1359,1,IF(OR(B1360&lt;&gt;B1359,A1360-A1359&gt;$U$1),1,""))&lt;&gt;1,"",IF(C1360="B01",1965,IF(C1360="B02",1020,IF(C1360="B05",2400,IF(C1360="B03",4260,IF(C1360="B04",2880,IF(C1360="B20",1260,0)))))))</f>
        <v>2400</v>
      </c>
      <c r="F1360" s="8">
        <f>IF(IF(D1360&lt;&gt;D1359,1,IF(OR(B1360&lt;&gt;B1359,A1360-A1359&gt;$U$1),1,""))&lt;&gt;1,"",IF(C1360="B01",1,IF(C1360="B05",1,IF(C1360="B03",1,IF(C1360="B04",1,IF(C1360="B20",1,IF(C1360="B02",1,0)))))))</f>
        <v>1</v>
      </c>
      <c r="G1360"/>
      <c r="H1360" s="2"/>
      <c r="I1360" s="2"/>
      <c r="L1360"/>
      <c r="R1360"/>
    </row>
    <row r="1361" spans="1:18">
      <c r="A1361" s="3">
        <v>45777.420185185183</v>
      </c>
      <c r="B1361" s="2" t="s">
        <v>26</v>
      </c>
      <c r="C1361" s="2" t="s">
        <v>11</v>
      </c>
      <c r="D1361" s="6" t="str">
        <f>CONCATENATE(YEAR(A1361),"/",IF(MONTH(A1361)&lt;10,CONCATENATE("0",MONTH(A1361)),MONTH(A1361)))</f>
        <v>2025/04</v>
      </c>
      <c r="E1361" s="8" t="str">
        <f>IF(IF(D1361&lt;&gt;D1360,1,IF(OR(B1361&lt;&gt;B1360,A1361-A1360&gt;$U$1),1,""))&lt;&gt;1,"",IF(C1361="B01",1965,IF(C1361="B02",1020,IF(C1361="B05",2400,IF(C1361="B03",4260,IF(C1361="B04",2880,IF(C1361="B20",1260,0)))))))</f>
        <v/>
      </c>
      <c r="F1361" s="8" t="str">
        <f>IF(IF(D1361&lt;&gt;D1360,1,IF(OR(B1361&lt;&gt;B1360,A1361-A1360&gt;$U$1),1,""))&lt;&gt;1,"",IF(C1361="B01",1,IF(C1361="B05",1,IF(C1361="B03",1,IF(C1361="B04",1,IF(C1361="B20",1,IF(C1361="B02",1,0)))))))</f>
        <v/>
      </c>
      <c r="G1361"/>
      <c r="H1361" s="2"/>
      <c r="I1361" s="2"/>
      <c r="L1361"/>
      <c r="R1361"/>
    </row>
    <row r="1362" spans="1:18">
      <c r="A1362" s="3">
        <v>45777.420185185183</v>
      </c>
      <c r="B1362" s="2" t="s">
        <v>26</v>
      </c>
      <c r="C1362" s="2" t="s">
        <v>11</v>
      </c>
      <c r="D1362" s="6" t="str">
        <f>CONCATENATE(YEAR(A1362),"/",IF(MONTH(A1362)&lt;10,CONCATENATE("0",MONTH(A1362)),MONTH(A1362)))</f>
        <v>2025/04</v>
      </c>
      <c r="E1362" s="8" t="str">
        <f>IF(IF(D1362&lt;&gt;D1361,1,IF(OR(B1362&lt;&gt;B1361,A1362-A1361&gt;$U$1),1,""))&lt;&gt;1,"",IF(C1362="B01",1965,IF(C1362="B02",1020,IF(C1362="B05",2400,IF(C1362="B03",4260,IF(C1362="B04",2880,IF(C1362="B20",1260,0)))))))</f>
        <v/>
      </c>
      <c r="F1362" s="8" t="str">
        <f>IF(IF(D1362&lt;&gt;D1361,1,IF(OR(B1362&lt;&gt;B1361,A1362-A1361&gt;$U$1),1,""))&lt;&gt;1,"",IF(C1362="B01",1,IF(C1362="B05",1,IF(C1362="B03",1,IF(C1362="B04",1,IF(C1362="B20",1,IF(C1362="B02",1,0)))))))</f>
        <v/>
      </c>
      <c r="G1362"/>
      <c r="H1362" s="2"/>
      <c r="I1362" s="2"/>
      <c r="L1362"/>
      <c r="R1362"/>
    </row>
    <row r="1363" spans="1:18">
      <c r="A1363" s="3">
        <v>45777.420185185183</v>
      </c>
      <c r="B1363" s="2" t="s">
        <v>26</v>
      </c>
      <c r="C1363" s="2" t="s">
        <v>11</v>
      </c>
      <c r="D1363" s="6" t="str">
        <f>CONCATENATE(YEAR(A1363),"/",IF(MONTH(A1363)&lt;10,CONCATENATE("0",MONTH(A1363)),MONTH(A1363)))</f>
        <v>2025/04</v>
      </c>
      <c r="E1363" s="8" t="str">
        <f>IF(IF(D1363&lt;&gt;D1362,1,IF(OR(B1363&lt;&gt;B1362,A1363-A1362&gt;$U$1),1,""))&lt;&gt;1,"",IF(C1363="B01",1965,IF(C1363="B02",1020,IF(C1363="B05",2400,IF(C1363="B03",4260,IF(C1363="B04",2880,IF(C1363="B20",1260,0)))))))</f>
        <v/>
      </c>
      <c r="F1363" s="8" t="str">
        <f>IF(IF(D1363&lt;&gt;D1362,1,IF(OR(B1363&lt;&gt;B1362,A1363-A1362&gt;$U$1),1,""))&lt;&gt;1,"",IF(C1363="B01",1,IF(C1363="B05",1,IF(C1363="B03",1,IF(C1363="B04",1,IF(C1363="B20",1,IF(C1363="B02",1,0)))))))</f>
        <v/>
      </c>
      <c r="G1363"/>
      <c r="H1363" s="2"/>
      <c r="I1363" s="2"/>
      <c r="L1363"/>
      <c r="R1363"/>
    </row>
    <row r="1364" spans="1:18">
      <c r="A1364" s="3">
        <v>45777.420185185183</v>
      </c>
      <c r="B1364" s="2" t="s">
        <v>26</v>
      </c>
      <c r="C1364" s="2" t="s">
        <v>11</v>
      </c>
      <c r="D1364" s="6" t="str">
        <f>CONCATENATE(YEAR(A1364),"/",IF(MONTH(A1364)&lt;10,CONCATENATE("0",MONTH(A1364)),MONTH(A1364)))</f>
        <v>2025/04</v>
      </c>
      <c r="E1364" s="8" t="str">
        <f>IF(IF(D1364&lt;&gt;D1363,1,IF(OR(B1364&lt;&gt;B1363,A1364-A1363&gt;$U$1),1,""))&lt;&gt;1,"",IF(C1364="B01",1965,IF(C1364="B02",1020,IF(C1364="B05",2400,IF(C1364="B03",4260,IF(C1364="B04",2880,IF(C1364="B20",1260,0)))))))</f>
        <v/>
      </c>
      <c r="F1364" s="8" t="str">
        <f>IF(IF(D1364&lt;&gt;D1363,1,IF(OR(B1364&lt;&gt;B1363,A1364-A1363&gt;$U$1),1,""))&lt;&gt;1,"",IF(C1364="B01",1,IF(C1364="B05",1,IF(C1364="B03",1,IF(C1364="B04",1,IF(C1364="B20",1,IF(C1364="B02",1,0)))))))</f>
        <v/>
      </c>
      <c r="G1364"/>
      <c r="H1364" s="2"/>
      <c r="I1364" s="2"/>
      <c r="L1364"/>
      <c r="R1364"/>
    </row>
    <row r="1365" spans="1:18">
      <c r="A1365" s="3">
        <v>45777.628738425927</v>
      </c>
      <c r="B1365" s="2" t="s">
        <v>26</v>
      </c>
      <c r="C1365" s="2" t="s">
        <v>12</v>
      </c>
      <c r="D1365" s="6" t="str">
        <f>CONCATENATE(YEAR(A1365),"/",IF(MONTH(A1365)&lt;10,CONCATENATE("0",MONTH(A1365)),MONTH(A1365)))</f>
        <v>2025/04</v>
      </c>
      <c r="E1365" s="8">
        <f>IF(IF(D1365&lt;&gt;D1364,1,IF(OR(B1365&lt;&gt;B1364,A1365-A1364&gt;$U$1),1,""))&lt;&gt;1,"",IF(C1365="B01",1965,IF(C1365="B02",1020,IF(C1365="B05",2400,IF(C1365="B03",4260,IF(C1365="B04",2880,IF(C1365="B20",1260,0)))))))</f>
        <v>4260</v>
      </c>
      <c r="F1365" s="8">
        <f>IF(IF(D1365&lt;&gt;D1364,1,IF(OR(B1365&lt;&gt;B1364,A1365-A1364&gt;$U$1),1,""))&lt;&gt;1,"",IF(C1365="B01",1,IF(C1365="B05",1,IF(C1365="B03",1,IF(C1365="B04",1,IF(C1365="B20",1,IF(C1365="B02",1,0)))))))</f>
        <v>1</v>
      </c>
      <c r="G1365"/>
      <c r="H1365" s="2"/>
      <c r="I1365" s="2"/>
      <c r="L1365"/>
      <c r="R1365"/>
    </row>
    <row r="1366" spans="1:18">
      <c r="A1366" s="3">
        <v>45777.628738425927</v>
      </c>
      <c r="B1366" s="2" t="s">
        <v>26</v>
      </c>
      <c r="C1366" s="2" t="s">
        <v>12</v>
      </c>
      <c r="D1366" s="6" t="str">
        <f>CONCATENATE(YEAR(A1366),"/",IF(MONTH(A1366)&lt;10,CONCATENATE("0",MONTH(A1366)),MONTH(A1366)))</f>
        <v>2025/04</v>
      </c>
      <c r="E1366" s="8" t="str">
        <f>IF(IF(D1366&lt;&gt;D1365,1,IF(OR(B1366&lt;&gt;B1365,A1366-A1365&gt;$U$1),1,""))&lt;&gt;1,"",IF(C1366="B01",1965,IF(C1366="B02",1020,IF(C1366="B05",2400,IF(C1366="B03",4260,IF(C1366="B04",2880,IF(C1366="B20",1260,0)))))))</f>
        <v/>
      </c>
      <c r="F1366" s="8" t="str">
        <f>IF(IF(D1366&lt;&gt;D1365,1,IF(OR(B1366&lt;&gt;B1365,A1366-A1365&gt;$U$1),1,""))&lt;&gt;1,"",IF(C1366="B01",1,IF(C1366="B05",1,IF(C1366="B03",1,IF(C1366="B04",1,IF(C1366="B20",1,IF(C1366="B02",1,0)))))))</f>
        <v/>
      </c>
      <c r="G1366"/>
      <c r="H1366" s="2"/>
      <c r="I1366" s="2"/>
      <c r="L1366"/>
      <c r="R1366"/>
    </row>
    <row r="1367" spans="1:18">
      <c r="A1367" s="3">
        <v>45777.628738425927</v>
      </c>
      <c r="B1367" s="2" t="s">
        <v>26</v>
      </c>
      <c r="C1367" s="2" t="s">
        <v>12</v>
      </c>
      <c r="D1367" s="6" t="str">
        <f>CONCATENATE(YEAR(A1367),"/",IF(MONTH(A1367)&lt;10,CONCATENATE("0",MONTH(A1367)),MONTH(A1367)))</f>
        <v>2025/04</v>
      </c>
      <c r="E1367" s="8" t="str">
        <f>IF(IF(D1367&lt;&gt;D1366,1,IF(OR(B1367&lt;&gt;B1366,A1367-A1366&gt;$U$1),1,""))&lt;&gt;1,"",IF(C1367="B01",1965,IF(C1367="B02",1020,IF(C1367="B05",2400,IF(C1367="B03",4260,IF(C1367="B04",2880,IF(C1367="B20",1260,0)))))))</f>
        <v/>
      </c>
      <c r="F1367" s="8" t="str">
        <f>IF(IF(D1367&lt;&gt;D1366,1,IF(OR(B1367&lt;&gt;B1366,A1367-A1366&gt;$U$1),1,""))&lt;&gt;1,"",IF(C1367="B01",1,IF(C1367="B05",1,IF(C1367="B03",1,IF(C1367="B04",1,IF(C1367="B20",1,IF(C1367="B02",1,0)))))))</f>
        <v/>
      </c>
      <c r="G1367"/>
      <c r="H1367" s="2"/>
      <c r="I1367" s="2"/>
      <c r="L1367"/>
      <c r="R1367"/>
    </row>
    <row r="1368" spans="1:18">
      <c r="A1368" s="3">
        <v>45777.822581018518</v>
      </c>
      <c r="B1368" s="2" t="s">
        <v>26</v>
      </c>
      <c r="C1368" s="2" t="s">
        <v>11</v>
      </c>
      <c r="D1368" s="6" t="str">
        <f>CONCATENATE(YEAR(A1368),"/",IF(MONTH(A1368)&lt;10,CONCATENATE("0",MONTH(A1368)),MONTH(A1368)))</f>
        <v>2025/04</v>
      </c>
      <c r="E1368" s="8">
        <f>IF(IF(D1368&lt;&gt;D1367,1,IF(OR(B1368&lt;&gt;B1367,A1368-A1367&gt;$U$1),1,""))&lt;&gt;1,"",IF(C1368="B01",1965,IF(C1368="B02",1020,IF(C1368="B05",2400,IF(C1368="B03",4260,IF(C1368="B04",2880,IF(C1368="B20",1260,0)))))))</f>
        <v>2400</v>
      </c>
      <c r="F1368" s="8">
        <f>IF(IF(D1368&lt;&gt;D1367,1,IF(OR(B1368&lt;&gt;B1367,A1368-A1367&gt;$U$1),1,""))&lt;&gt;1,"",IF(C1368="B01",1,IF(C1368="B05",1,IF(C1368="B03",1,IF(C1368="B04",1,IF(C1368="B20",1,IF(C1368="B02",1,0)))))))</f>
        <v>1</v>
      </c>
      <c r="G1368"/>
      <c r="H1368" s="2"/>
      <c r="I1368" s="2"/>
      <c r="L1368"/>
      <c r="R1368"/>
    </row>
    <row r="1369" spans="1:18">
      <c r="A1369" s="3">
        <v>45777.822581018518</v>
      </c>
      <c r="B1369" s="2" t="s">
        <v>26</v>
      </c>
      <c r="C1369" s="2" t="s">
        <v>11</v>
      </c>
      <c r="D1369" s="6" t="str">
        <f>CONCATENATE(YEAR(A1369),"/",IF(MONTH(A1369)&lt;10,CONCATENATE("0",MONTH(A1369)),MONTH(A1369)))</f>
        <v>2025/04</v>
      </c>
      <c r="E1369" s="8" t="str">
        <f>IF(IF(D1369&lt;&gt;D1368,1,IF(OR(B1369&lt;&gt;B1368,A1369-A1368&gt;$U$1),1,""))&lt;&gt;1,"",IF(C1369="B01",1965,IF(C1369="B02",1020,IF(C1369="B05",2400,IF(C1369="B03",4260,IF(C1369="B04",2880,IF(C1369="B20",1260,0)))))))</f>
        <v/>
      </c>
      <c r="F1369" s="8" t="str">
        <f>IF(IF(D1369&lt;&gt;D1368,1,IF(OR(B1369&lt;&gt;B1368,A1369-A1368&gt;$U$1),1,""))&lt;&gt;1,"",IF(C1369="B01",1,IF(C1369="B05",1,IF(C1369="B03",1,IF(C1369="B04",1,IF(C1369="B20",1,IF(C1369="B02",1,0)))))))</f>
        <v/>
      </c>
      <c r="G1369"/>
      <c r="H1369" s="2"/>
      <c r="I1369" s="2"/>
      <c r="L1369"/>
      <c r="R1369"/>
    </row>
    <row r="1370" spans="1:18">
      <c r="A1370" s="3">
        <v>45777.938981481479</v>
      </c>
      <c r="B1370" s="2" t="s">
        <v>26</v>
      </c>
      <c r="C1370" s="2" t="s">
        <v>12</v>
      </c>
      <c r="D1370" s="6" t="str">
        <f>CONCATENATE(YEAR(A1370),"/",IF(MONTH(A1370)&lt;10,CONCATENATE("0",MONTH(A1370)),MONTH(A1370)))</f>
        <v>2025/04</v>
      </c>
      <c r="E1370" s="8">
        <f>IF(IF(D1370&lt;&gt;D1369,1,IF(OR(B1370&lt;&gt;B1369,A1370-A1369&gt;$U$1),1,""))&lt;&gt;1,"",IF(C1370="B01",1965,IF(C1370="B02",1020,IF(C1370="B05",2400,IF(C1370="B03",4260,IF(C1370="B04",2880,IF(C1370="B20",1260,0)))))))</f>
        <v>4260</v>
      </c>
      <c r="F1370" s="8">
        <f>IF(IF(D1370&lt;&gt;D1369,1,IF(OR(B1370&lt;&gt;B1369,A1370-A1369&gt;$U$1),1,""))&lt;&gt;1,"",IF(C1370="B01",1,IF(C1370="B05",1,IF(C1370="B03",1,IF(C1370="B04",1,IF(C1370="B20",1,IF(C1370="B02",1,0)))))))</f>
        <v>1</v>
      </c>
      <c r="G1370"/>
      <c r="H1370" s="2"/>
      <c r="I1370" s="2"/>
      <c r="L1370"/>
      <c r="R1370"/>
    </row>
    <row r="1371" spans="1:18">
      <c r="A1371" s="3">
        <v>45777.938981481479</v>
      </c>
      <c r="B1371" s="2" t="s">
        <v>26</v>
      </c>
      <c r="C1371" s="2" t="s">
        <v>12</v>
      </c>
      <c r="D1371" s="6" t="str">
        <f>CONCATENATE(YEAR(A1371),"/",IF(MONTH(A1371)&lt;10,CONCATENATE("0",MONTH(A1371)),MONTH(A1371)))</f>
        <v>2025/04</v>
      </c>
      <c r="E1371" s="8" t="str">
        <f>IF(IF(D1371&lt;&gt;D1370,1,IF(OR(B1371&lt;&gt;B1370,A1371-A1370&gt;$U$1),1,""))&lt;&gt;1,"",IF(C1371="B01",1965,IF(C1371="B02",1020,IF(C1371="B05",2400,IF(C1371="B03",4260,IF(C1371="B04",2880,IF(C1371="B20",1260,0)))))))</f>
        <v/>
      </c>
      <c r="F1371" s="8" t="str">
        <f>IF(IF(D1371&lt;&gt;D1370,1,IF(OR(B1371&lt;&gt;B1370,A1371-A1370&gt;$U$1),1,""))&lt;&gt;1,"",IF(C1371="B01",1,IF(C1371="B05",1,IF(C1371="B03",1,IF(C1371="B04",1,IF(C1371="B20",1,IF(C1371="B02",1,0)))))))</f>
        <v/>
      </c>
      <c r="G1371"/>
      <c r="H1371" s="2"/>
      <c r="I1371" s="2"/>
      <c r="L1371"/>
      <c r="R1371"/>
    </row>
    <row r="1372" spans="1:18">
      <c r="A1372" s="3">
        <v>45778.069664351853</v>
      </c>
      <c r="B1372" s="2" t="s">
        <v>26</v>
      </c>
      <c r="C1372" s="2" t="s">
        <v>12</v>
      </c>
      <c r="D1372" s="6" t="str">
        <f>CONCATENATE(YEAR(A1372),"/",IF(MONTH(A1372)&lt;10,CONCATENATE("0",MONTH(A1372)),MONTH(A1372)))</f>
        <v>2025/05</v>
      </c>
      <c r="E1372" s="8">
        <f>IF(IF(D1372&lt;&gt;D1371,1,IF(OR(B1372&lt;&gt;B1371,A1372-A1371&gt;$U$1),1,""))&lt;&gt;1,"",IF(C1372="B01",1965,IF(C1372="B02",1020,IF(C1372="B05",2400,IF(C1372="B03",4260,IF(C1372="B04",2880,IF(C1372="B20",1260,0)))))))</f>
        <v>4260</v>
      </c>
      <c r="F1372" s="8">
        <f>IF(IF(D1372&lt;&gt;D1371,1,IF(OR(B1372&lt;&gt;B1371,A1372-A1371&gt;$U$1),1,""))&lt;&gt;1,"",IF(C1372="B01",1,IF(C1372="B05",1,IF(C1372="B03",1,IF(C1372="B04",1,IF(C1372="B20",1,IF(C1372="B02",1,0)))))))</f>
        <v>1</v>
      </c>
      <c r="G1372"/>
      <c r="H1372" s="2"/>
      <c r="I1372" s="2"/>
      <c r="L1372"/>
      <c r="R1372"/>
    </row>
    <row r="1373" spans="1:18">
      <c r="A1373" s="3">
        <v>45778.069664351853</v>
      </c>
      <c r="B1373" s="2" t="s">
        <v>26</v>
      </c>
      <c r="C1373" s="2" t="s">
        <v>12</v>
      </c>
      <c r="D1373" s="6" t="str">
        <f>CONCATENATE(YEAR(A1373),"/",IF(MONTH(A1373)&lt;10,CONCATENATE("0",MONTH(A1373)),MONTH(A1373)))</f>
        <v>2025/05</v>
      </c>
      <c r="E1373" s="8" t="str">
        <f>IF(IF(D1373&lt;&gt;D1372,1,IF(OR(B1373&lt;&gt;B1372,A1373-A1372&gt;$U$1),1,""))&lt;&gt;1,"",IF(C1373="B01",1965,IF(C1373="B02",1020,IF(C1373="B05",2400,IF(C1373="B03",4260,IF(C1373="B04",2880,IF(C1373="B20",1260,0)))))))</f>
        <v/>
      </c>
      <c r="F1373" s="8" t="str">
        <f>IF(IF(D1373&lt;&gt;D1372,1,IF(OR(B1373&lt;&gt;B1372,A1373-A1372&gt;$U$1),1,""))&lt;&gt;1,"",IF(C1373="B01",1,IF(C1373="B05",1,IF(C1373="B03",1,IF(C1373="B04",1,IF(C1373="B20",1,IF(C1373="B02",1,0)))))))</f>
        <v/>
      </c>
      <c r="G1373"/>
      <c r="H1373" s="2"/>
      <c r="I1373" s="2"/>
      <c r="L1373"/>
      <c r="R1373"/>
    </row>
    <row r="1374" spans="1:18">
      <c r="A1374" s="3">
        <v>45778.279756944445</v>
      </c>
      <c r="B1374" s="2" t="s">
        <v>26</v>
      </c>
      <c r="C1374" s="2" t="s">
        <v>11</v>
      </c>
      <c r="D1374" s="6" t="str">
        <f>CONCATENATE(YEAR(A1374),"/",IF(MONTH(A1374)&lt;10,CONCATENATE("0",MONTH(A1374)),MONTH(A1374)))</f>
        <v>2025/05</v>
      </c>
      <c r="E1374" s="8">
        <f>IF(IF(D1374&lt;&gt;D1373,1,IF(OR(B1374&lt;&gt;B1373,A1374-A1373&gt;$U$1),1,""))&lt;&gt;1,"",IF(C1374="B01",1965,IF(C1374="B02",1020,IF(C1374="B05",2400,IF(C1374="B03",4260,IF(C1374="B04",2880,IF(C1374="B20",1260,0)))))))</f>
        <v>2400</v>
      </c>
      <c r="F1374" s="8">
        <f>IF(IF(D1374&lt;&gt;D1373,1,IF(OR(B1374&lt;&gt;B1373,A1374-A1373&gt;$U$1),1,""))&lt;&gt;1,"",IF(C1374="B01",1,IF(C1374="B05",1,IF(C1374="B03",1,IF(C1374="B04",1,IF(C1374="B20",1,IF(C1374="B02",1,0)))))))</f>
        <v>1</v>
      </c>
      <c r="G1374"/>
      <c r="H1374" s="2"/>
      <c r="I1374" s="2"/>
      <c r="L1374"/>
      <c r="R1374"/>
    </row>
    <row r="1375" spans="1:18">
      <c r="A1375" s="3">
        <v>45778.279756944445</v>
      </c>
      <c r="B1375" s="2" t="s">
        <v>26</v>
      </c>
      <c r="C1375" s="2" t="s">
        <v>11</v>
      </c>
      <c r="D1375" s="6" t="str">
        <f>CONCATENATE(YEAR(A1375),"/",IF(MONTH(A1375)&lt;10,CONCATENATE("0",MONTH(A1375)),MONTH(A1375)))</f>
        <v>2025/05</v>
      </c>
      <c r="E1375" s="8" t="str">
        <f>IF(IF(D1375&lt;&gt;D1374,1,IF(OR(B1375&lt;&gt;B1374,A1375-A1374&gt;$U$1),1,""))&lt;&gt;1,"",IF(C1375="B01",1965,IF(C1375="B02",1020,IF(C1375="B05",2400,IF(C1375="B03",4260,IF(C1375="B04",2880,IF(C1375="B20",1260,0)))))))</f>
        <v/>
      </c>
      <c r="F1375" s="8" t="str">
        <f>IF(IF(D1375&lt;&gt;D1374,1,IF(OR(B1375&lt;&gt;B1374,A1375-A1374&gt;$U$1),1,""))&lt;&gt;1,"",IF(C1375="B01",1,IF(C1375="B05",1,IF(C1375="B03",1,IF(C1375="B04",1,IF(C1375="B20",1,IF(C1375="B02",1,0)))))))</f>
        <v/>
      </c>
      <c r="G1375"/>
      <c r="H1375" s="2"/>
      <c r="I1375" s="2"/>
      <c r="L1375"/>
      <c r="R1375"/>
    </row>
    <row r="1376" spans="1:18">
      <c r="A1376" s="3">
        <v>45778.279756944445</v>
      </c>
      <c r="B1376" s="2" t="s">
        <v>26</v>
      </c>
      <c r="C1376" s="2" t="s">
        <v>11</v>
      </c>
      <c r="D1376" s="6" t="str">
        <f>CONCATENATE(YEAR(A1376),"/",IF(MONTH(A1376)&lt;10,CONCATENATE("0",MONTH(A1376)),MONTH(A1376)))</f>
        <v>2025/05</v>
      </c>
      <c r="E1376" s="8" t="str">
        <f>IF(IF(D1376&lt;&gt;D1375,1,IF(OR(B1376&lt;&gt;B1375,A1376-A1375&gt;$U$1),1,""))&lt;&gt;1,"",IF(C1376="B01",1965,IF(C1376="B02",1020,IF(C1376="B05",2400,IF(C1376="B03",4260,IF(C1376="B04",2880,IF(C1376="B20",1260,0)))))))</f>
        <v/>
      </c>
      <c r="F1376" s="8" t="str">
        <f>IF(IF(D1376&lt;&gt;D1375,1,IF(OR(B1376&lt;&gt;B1375,A1376-A1375&gt;$U$1),1,""))&lt;&gt;1,"",IF(C1376="B01",1,IF(C1376="B05",1,IF(C1376="B03",1,IF(C1376="B04",1,IF(C1376="B20",1,IF(C1376="B02",1,0)))))))</f>
        <v/>
      </c>
      <c r="G1376"/>
      <c r="H1376" s="2"/>
      <c r="I1376" s="2"/>
      <c r="L1376"/>
      <c r="R1376"/>
    </row>
    <row r="1377" spans="1:18">
      <c r="A1377" s="3">
        <v>45778.412465277775</v>
      </c>
      <c r="B1377" s="2" t="s">
        <v>26</v>
      </c>
      <c r="C1377" s="2" t="s">
        <v>11</v>
      </c>
      <c r="D1377" s="6" t="str">
        <f>CONCATENATE(YEAR(A1377),"/",IF(MONTH(A1377)&lt;10,CONCATENATE("0",MONTH(A1377)),MONTH(A1377)))</f>
        <v>2025/05</v>
      </c>
      <c r="E1377" s="8">
        <f>IF(IF(D1377&lt;&gt;D1376,1,IF(OR(B1377&lt;&gt;B1376,A1377-A1376&gt;$U$1),1,""))&lt;&gt;1,"",IF(C1377="B01",1965,IF(C1377="B02",1020,IF(C1377="B05",2400,IF(C1377="B03",4260,IF(C1377="B04",2880,IF(C1377="B20",1260,0)))))))</f>
        <v>2400</v>
      </c>
      <c r="F1377" s="8">
        <f>IF(IF(D1377&lt;&gt;D1376,1,IF(OR(B1377&lt;&gt;B1376,A1377-A1376&gt;$U$1),1,""))&lt;&gt;1,"",IF(C1377="B01",1,IF(C1377="B05",1,IF(C1377="B03",1,IF(C1377="B04",1,IF(C1377="B20",1,IF(C1377="B02",1,0)))))))</f>
        <v>1</v>
      </c>
      <c r="G1377"/>
      <c r="H1377" s="2"/>
      <c r="I1377" s="2"/>
      <c r="L1377"/>
      <c r="R1377"/>
    </row>
    <row r="1378" spans="1:18">
      <c r="A1378" s="3">
        <v>45778.412465277775</v>
      </c>
      <c r="B1378" s="2" t="s">
        <v>26</v>
      </c>
      <c r="C1378" s="2" t="s">
        <v>11</v>
      </c>
      <c r="D1378" s="6" t="str">
        <f>CONCATENATE(YEAR(A1378),"/",IF(MONTH(A1378)&lt;10,CONCATENATE("0",MONTH(A1378)),MONTH(A1378)))</f>
        <v>2025/05</v>
      </c>
      <c r="E1378" s="8" t="str">
        <f>IF(IF(D1378&lt;&gt;D1377,1,IF(OR(B1378&lt;&gt;B1377,A1378-A1377&gt;$U$1),1,""))&lt;&gt;1,"",IF(C1378="B01",1965,IF(C1378="B02",1020,IF(C1378="B05",2400,IF(C1378="B03",4260,IF(C1378="B04",2880,IF(C1378="B20",1260,0)))))))</f>
        <v/>
      </c>
      <c r="F1378" s="8" t="str">
        <f>IF(IF(D1378&lt;&gt;D1377,1,IF(OR(B1378&lt;&gt;B1377,A1378-A1377&gt;$U$1),1,""))&lt;&gt;1,"",IF(C1378="B01",1,IF(C1378="B05",1,IF(C1378="B03",1,IF(C1378="B04",1,IF(C1378="B20",1,IF(C1378="B02",1,0)))))))</f>
        <v/>
      </c>
      <c r="G1378"/>
      <c r="H1378" s="2"/>
      <c r="I1378" s="2"/>
      <c r="L1378"/>
      <c r="R1378"/>
    </row>
    <row r="1379" spans="1:18">
      <c r="A1379" s="3">
        <v>45778.412465277775</v>
      </c>
      <c r="B1379" s="2" t="s">
        <v>26</v>
      </c>
      <c r="C1379" s="2" t="s">
        <v>11</v>
      </c>
      <c r="D1379" s="6" t="str">
        <f>CONCATENATE(YEAR(A1379),"/",IF(MONTH(A1379)&lt;10,CONCATENATE("0",MONTH(A1379)),MONTH(A1379)))</f>
        <v>2025/05</v>
      </c>
      <c r="E1379" s="8" t="str">
        <f>IF(IF(D1379&lt;&gt;D1378,1,IF(OR(B1379&lt;&gt;B1378,A1379-A1378&gt;$U$1),1,""))&lt;&gt;1,"",IF(C1379="B01",1965,IF(C1379="B02",1020,IF(C1379="B05",2400,IF(C1379="B03",4260,IF(C1379="B04",2880,IF(C1379="B20",1260,0)))))))</f>
        <v/>
      </c>
      <c r="F1379" s="8" t="str">
        <f>IF(IF(D1379&lt;&gt;D1378,1,IF(OR(B1379&lt;&gt;B1378,A1379-A1378&gt;$U$1),1,""))&lt;&gt;1,"",IF(C1379="B01",1,IF(C1379="B05",1,IF(C1379="B03",1,IF(C1379="B04",1,IF(C1379="B20",1,IF(C1379="B02",1,0)))))))</f>
        <v/>
      </c>
      <c r="G1379"/>
      <c r="H1379" s="2"/>
      <c r="I1379" s="2"/>
      <c r="L1379"/>
      <c r="R1379"/>
    </row>
    <row r="1380" spans="1:18">
      <c r="A1380" s="3">
        <v>45778.615358796298</v>
      </c>
      <c r="B1380" s="2" t="s">
        <v>26</v>
      </c>
      <c r="C1380" s="2" t="s">
        <v>11</v>
      </c>
      <c r="D1380" s="6" t="str">
        <f>CONCATENATE(YEAR(A1380),"/",IF(MONTH(A1380)&lt;10,CONCATENATE("0",MONTH(A1380)),MONTH(A1380)))</f>
        <v>2025/05</v>
      </c>
      <c r="E1380" s="8">
        <f>IF(IF(D1380&lt;&gt;D1379,1,IF(OR(B1380&lt;&gt;B1379,A1380-A1379&gt;$U$1),1,""))&lt;&gt;1,"",IF(C1380="B01",1965,IF(C1380="B02",1020,IF(C1380="B05",2400,IF(C1380="B03",4260,IF(C1380="B04",2880,IF(C1380="B20",1260,0)))))))</f>
        <v>2400</v>
      </c>
      <c r="F1380" s="8">
        <f>IF(IF(D1380&lt;&gt;D1379,1,IF(OR(B1380&lt;&gt;B1379,A1380-A1379&gt;$U$1),1,""))&lt;&gt;1,"",IF(C1380="B01",1,IF(C1380="B05",1,IF(C1380="B03",1,IF(C1380="B04",1,IF(C1380="B20",1,IF(C1380="B02",1,0)))))))</f>
        <v>1</v>
      </c>
      <c r="G1380"/>
      <c r="H1380" s="2"/>
      <c r="I1380" s="2"/>
      <c r="L1380"/>
      <c r="R1380"/>
    </row>
    <row r="1381" spans="1:18">
      <c r="A1381" s="3">
        <v>45778.615358796298</v>
      </c>
      <c r="B1381" s="2" t="s">
        <v>26</v>
      </c>
      <c r="C1381" s="2" t="s">
        <v>11</v>
      </c>
      <c r="D1381" s="6" t="str">
        <f>CONCATENATE(YEAR(A1381),"/",IF(MONTH(A1381)&lt;10,CONCATENATE("0",MONTH(A1381)),MONTH(A1381)))</f>
        <v>2025/05</v>
      </c>
      <c r="E1381" s="8" t="str">
        <f>IF(IF(D1381&lt;&gt;D1380,1,IF(OR(B1381&lt;&gt;B1380,A1381-A1380&gt;$U$1),1,""))&lt;&gt;1,"",IF(C1381="B01",1965,IF(C1381="B02",1020,IF(C1381="B05",2400,IF(C1381="B03",4260,IF(C1381="B04",2880,IF(C1381="B20",1260,0)))))))</f>
        <v/>
      </c>
      <c r="F1381" s="8" t="str">
        <f>IF(IF(D1381&lt;&gt;D1380,1,IF(OR(B1381&lt;&gt;B1380,A1381-A1380&gt;$U$1),1,""))&lt;&gt;1,"",IF(C1381="B01",1,IF(C1381="B05",1,IF(C1381="B03",1,IF(C1381="B04",1,IF(C1381="B20",1,IF(C1381="B02",1,0)))))))</f>
        <v/>
      </c>
      <c r="G1381"/>
      <c r="H1381" s="2"/>
      <c r="I1381" s="2"/>
      <c r="L1381"/>
      <c r="R1381"/>
    </row>
    <row r="1382" spans="1:18">
      <c r="A1382" s="3">
        <v>45778.615358796298</v>
      </c>
      <c r="B1382" s="2" t="s">
        <v>26</v>
      </c>
      <c r="C1382" s="2" t="s">
        <v>11</v>
      </c>
      <c r="D1382" s="6" t="str">
        <f>CONCATENATE(YEAR(A1382),"/",IF(MONTH(A1382)&lt;10,CONCATENATE("0",MONTH(A1382)),MONTH(A1382)))</f>
        <v>2025/05</v>
      </c>
      <c r="E1382" s="8" t="str">
        <f>IF(IF(D1382&lt;&gt;D1381,1,IF(OR(B1382&lt;&gt;B1381,A1382-A1381&gt;$U$1),1,""))&lt;&gt;1,"",IF(C1382="B01",1965,IF(C1382="B02",1020,IF(C1382="B05",2400,IF(C1382="B03",4260,IF(C1382="B04",2880,IF(C1382="B20",1260,0)))))))</f>
        <v/>
      </c>
      <c r="F1382" s="8" t="str">
        <f>IF(IF(D1382&lt;&gt;D1381,1,IF(OR(B1382&lt;&gt;B1381,A1382-A1381&gt;$U$1),1,""))&lt;&gt;1,"",IF(C1382="B01",1,IF(C1382="B05",1,IF(C1382="B03",1,IF(C1382="B04",1,IF(C1382="B20",1,IF(C1382="B02",1,0)))))))</f>
        <v/>
      </c>
      <c r="G1382"/>
      <c r="H1382" s="2"/>
      <c r="I1382" s="2"/>
      <c r="L1382"/>
      <c r="R1382"/>
    </row>
    <row r="1383" spans="1:18">
      <c r="A1383" s="3">
        <v>45778.615358796298</v>
      </c>
      <c r="B1383" s="2" t="s">
        <v>26</v>
      </c>
      <c r="C1383" s="2" t="s">
        <v>11</v>
      </c>
      <c r="D1383" s="6" t="str">
        <f>CONCATENATE(YEAR(A1383),"/",IF(MONTH(A1383)&lt;10,CONCATENATE("0",MONTH(A1383)),MONTH(A1383)))</f>
        <v>2025/05</v>
      </c>
      <c r="E1383" s="8" t="str">
        <f>IF(IF(D1383&lt;&gt;D1382,1,IF(OR(B1383&lt;&gt;B1382,A1383-A1382&gt;$U$1),1,""))&lt;&gt;1,"",IF(C1383="B01",1965,IF(C1383="B02",1020,IF(C1383="B05",2400,IF(C1383="B03",4260,IF(C1383="B04",2880,IF(C1383="B20",1260,0)))))))</f>
        <v/>
      </c>
      <c r="F1383" s="8" t="str">
        <f>IF(IF(D1383&lt;&gt;D1382,1,IF(OR(B1383&lt;&gt;B1382,A1383-A1382&gt;$U$1),1,""))&lt;&gt;1,"",IF(C1383="B01",1,IF(C1383="B05",1,IF(C1383="B03",1,IF(C1383="B04",1,IF(C1383="B20",1,IF(C1383="B02",1,0)))))))</f>
        <v/>
      </c>
      <c r="G1383"/>
      <c r="H1383" s="2"/>
      <c r="I1383" s="2"/>
      <c r="L1383"/>
      <c r="R1383"/>
    </row>
    <row r="1384" spans="1:18">
      <c r="A1384" s="3">
        <v>45778.827893518515</v>
      </c>
      <c r="B1384" s="2" t="s">
        <v>26</v>
      </c>
      <c r="C1384" s="2" t="s">
        <v>11</v>
      </c>
      <c r="D1384" s="6" t="str">
        <f>CONCATENATE(YEAR(A1384),"/",IF(MONTH(A1384)&lt;10,CONCATENATE("0",MONTH(A1384)),MONTH(A1384)))</f>
        <v>2025/05</v>
      </c>
      <c r="E1384" s="8">
        <f>IF(IF(D1384&lt;&gt;D1383,1,IF(OR(B1384&lt;&gt;B1383,A1384-A1383&gt;$U$1),1,""))&lt;&gt;1,"",IF(C1384="B01",1965,IF(C1384="B02",1020,IF(C1384="B05",2400,IF(C1384="B03",4260,IF(C1384="B04",2880,IF(C1384="B20",1260,0)))))))</f>
        <v>2400</v>
      </c>
      <c r="F1384" s="8">
        <f>IF(IF(D1384&lt;&gt;D1383,1,IF(OR(B1384&lt;&gt;B1383,A1384-A1383&gt;$U$1),1,""))&lt;&gt;1,"",IF(C1384="B01",1,IF(C1384="B05",1,IF(C1384="B03",1,IF(C1384="B04",1,IF(C1384="B20",1,IF(C1384="B02",1,0)))))))</f>
        <v>1</v>
      </c>
      <c r="G1384"/>
      <c r="H1384" s="2"/>
      <c r="I1384" s="2"/>
      <c r="L1384"/>
      <c r="R1384"/>
    </row>
    <row r="1385" spans="1:18">
      <c r="A1385" s="3">
        <v>45778.827893518515</v>
      </c>
      <c r="B1385" s="2" t="s">
        <v>26</v>
      </c>
      <c r="C1385" s="2" t="s">
        <v>11</v>
      </c>
      <c r="D1385" s="6" t="str">
        <f>CONCATENATE(YEAR(A1385),"/",IF(MONTH(A1385)&lt;10,CONCATENATE("0",MONTH(A1385)),MONTH(A1385)))</f>
        <v>2025/05</v>
      </c>
      <c r="E1385" s="8" t="str">
        <f>IF(IF(D1385&lt;&gt;D1384,1,IF(OR(B1385&lt;&gt;B1384,A1385-A1384&gt;$U$1),1,""))&lt;&gt;1,"",IF(C1385="B01",1965,IF(C1385="B02",1020,IF(C1385="B05",2400,IF(C1385="B03",4260,IF(C1385="B04",2880,IF(C1385="B20",1260,0)))))))</f>
        <v/>
      </c>
      <c r="F1385" s="8" t="str">
        <f>IF(IF(D1385&lt;&gt;D1384,1,IF(OR(B1385&lt;&gt;B1384,A1385-A1384&gt;$U$1),1,""))&lt;&gt;1,"",IF(C1385="B01",1,IF(C1385="B05",1,IF(C1385="B03",1,IF(C1385="B04",1,IF(C1385="B20",1,IF(C1385="B02",1,0)))))))</f>
        <v/>
      </c>
      <c r="G1385"/>
      <c r="H1385" s="2"/>
      <c r="I1385" s="2"/>
      <c r="L1385"/>
      <c r="R1385"/>
    </row>
    <row r="1386" spans="1:18">
      <c r="A1386" s="3">
        <v>45779.024201388886</v>
      </c>
      <c r="B1386" s="2" t="s">
        <v>26</v>
      </c>
      <c r="C1386" s="2" t="s">
        <v>12</v>
      </c>
      <c r="D1386" s="6" t="str">
        <f>CONCATENATE(YEAR(A1386),"/",IF(MONTH(A1386)&lt;10,CONCATENATE("0",MONTH(A1386)),MONTH(A1386)))</f>
        <v>2025/05</v>
      </c>
      <c r="E1386" s="8">
        <f>IF(IF(D1386&lt;&gt;D1385,1,IF(OR(B1386&lt;&gt;B1385,A1386-A1385&gt;$U$1),1,""))&lt;&gt;1,"",IF(C1386="B01",1965,IF(C1386="B02",1020,IF(C1386="B05",2400,IF(C1386="B03",4260,IF(C1386="B04",2880,IF(C1386="B20",1260,0)))))))</f>
        <v>4260</v>
      </c>
      <c r="F1386" s="8">
        <f>IF(IF(D1386&lt;&gt;D1385,1,IF(OR(B1386&lt;&gt;B1385,A1386-A1385&gt;$U$1),1,""))&lt;&gt;1,"",IF(C1386="B01",1,IF(C1386="B05",1,IF(C1386="B03",1,IF(C1386="B04",1,IF(C1386="B20",1,IF(C1386="B02",1,0)))))))</f>
        <v>1</v>
      </c>
      <c r="G1386"/>
      <c r="H1386" s="2"/>
      <c r="I1386" s="2"/>
      <c r="L1386"/>
      <c r="R1386"/>
    </row>
    <row r="1387" spans="1:18">
      <c r="A1387" s="3">
        <v>45779.024201388886</v>
      </c>
      <c r="B1387" s="2" t="s">
        <v>26</v>
      </c>
      <c r="C1387" s="2" t="s">
        <v>12</v>
      </c>
      <c r="D1387" s="6" t="str">
        <f>CONCATENATE(YEAR(A1387),"/",IF(MONTH(A1387)&lt;10,CONCATENATE("0",MONTH(A1387)),MONTH(A1387)))</f>
        <v>2025/05</v>
      </c>
      <c r="E1387" s="8" t="str">
        <f>IF(IF(D1387&lt;&gt;D1386,1,IF(OR(B1387&lt;&gt;B1386,A1387-A1386&gt;$U$1),1,""))&lt;&gt;1,"",IF(C1387="B01",1965,IF(C1387="B02",1020,IF(C1387="B05",2400,IF(C1387="B03",4260,IF(C1387="B04",2880,IF(C1387="B20",1260,0)))))))</f>
        <v/>
      </c>
      <c r="F1387" s="8" t="str">
        <f>IF(IF(D1387&lt;&gt;D1386,1,IF(OR(B1387&lt;&gt;B1386,A1387-A1386&gt;$U$1),1,""))&lt;&gt;1,"",IF(C1387="B01",1,IF(C1387="B05",1,IF(C1387="B03",1,IF(C1387="B04",1,IF(C1387="B20",1,IF(C1387="B02",1,0)))))))</f>
        <v/>
      </c>
      <c r="G1387"/>
      <c r="H1387" s="2"/>
      <c r="I1387" s="2"/>
      <c r="L1387"/>
      <c r="R1387"/>
    </row>
    <row r="1388" spans="1:18">
      <c r="A1388" s="3">
        <v>45779.223819444444</v>
      </c>
      <c r="B1388" s="2" t="s">
        <v>26</v>
      </c>
      <c r="C1388" s="2" t="s">
        <v>12</v>
      </c>
      <c r="D1388" s="6" t="str">
        <f>CONCATENATE(YEAR(A1388),"/",IF(MONTH(A1388)&lt;10,CONCATENATE("0",MONTH(A1388)),MONTH(A1388)))</f>
        <v>2025/05</v>
      </c>
      <c r="E1388" s="8">
        <f>IF(IF(D1388&lt;&gt;D1387,1,IF(OR(B1388&lt;&gt;B1387,A1388-A1387&gt;$U$1),1,""))&lt;&gt;1,"",IF(C1388="B01",1965,IF(C1388="B02",1020,IF(C1388="B05",2400,IF(C1388="B03",4260,IF(C1388="B04",2880,IF(C1388="B20",1260,0)))))))</f>
        <v>4260</v>
      </c>
      <c r="F1388" s="8">
        <f>IF(IF(D1388&lt;&gt;D1387,1,IF(OR(B1388&lt;&gt;B1387,A1388-A1387&gt;$U$1),1,""))&lt;&gt;1,"",IF(C1388="B01",1,IF(C1388="B05",1,IF(C1388="B03",1,IF(C1388="B04",1,IF(C1388="B20",1,IF(C1388="B02",1,0)))))))</f>
        <v>1</v>
      </c>
      <c r="G1388"/>
      <c r="H1388" s="2"/>
      <c r="I1388" s="2"/>
      <c r="L1388"/>
      <c r="R1388"/>
    </row>
    <row r="1389" spans="1:18">
      <c r="A1389" s="3">
        <v>45779.223819444444</v>
      </c>
      <c r="B1389" s="2" t="s">
        <v>26</v>
      </c>
      <c r="C1389" s="2" t="s">
        <v>12</v>
      </c>
      <c r="D1389" s="6" t="str">
        <f>CONCATENATE(YEAR(A1389),"/",IF(MONTH(A1389)&lt;10,CONCATENATE("0",MONTH(A1389)),MONTH(A1389)))</f>
        <v>2025/05</v>
      </c>
      <c r="E1389" s="8" t="str">
        <f>IF(IF(D1389&lt;&gt;D1388,1,IF(OR(B1389&lt;&gt;B1388,A1389-A1388&gt;$U$1),1,""))&lt;&gt;1,"",IF(C1389="B01",1965,IF(C1389="B02",1020,IF(C1389="B05",2400,IF(C1389="B03",4260,IF(C1389="B04",2880,IF(C1389="B20",1260,0)))))))</f>
        <v/>
      </c>
      <c r="F1389" s="8" t="str">
        <f>IF(IF(D1389&lt;&gt;D1388,1,IF(OR(B1389&lt;&gt;B1388,A1389-A1388&gt;$U$1),1,""))&lt;&gt;1,"",IF(C1389="B01",1,IF(C1389="B05",1,IF(C1389="B03",1,IF(C1389="B04",1,IF(C1389="B20",1,IF(C1389="B02",1,0)))))))</f>
        <v/>
      </c>
      <c r="G1389"/>
      <c r="H1389" s="2"/>
      <c r="I1389" s="2"/>
      <c r="L1389"/>
      <c r="R1389"/>
    </row>
    <row r="1390" spans="1:18">
      <c r="A1390" s="3">
        <v>45779.433171296296</v>
      </c>
      <c r="B1390" s="2" t="s">
        <v>26</v>
      </c>
      <c r="C1390" s="2" t="s">
        <v>12</v>
      </c>
      <c r="D1390" s="6" t="str">
        <f>CONCATENATE(YEAR(A1390),"/",IF(MONTH(A1390)&lt;10,CONCATENATE("0",MONTH(A1390)),MONTH(A1390)))</f>
        <v>2025/05</v>
      </c>
      <c r="E1390" s="8">
        <f>IF(IF(D1390&lt;&gt;D1389,1,IF(OR(B1390&lt;&gt;B1389,A1390-A1389&gt;$U$1),1,""))&lt;&gt;1,"",IF(C1390="B01",1965,IF(C1390="B02",1020,IF(C1390="B05",2400,IF(C1390="B03",4260,IF(C1390="B04",2880,IF(C1390="B20",1260,0)))))))</f>
        <v>4260</v>
      </c>
      <c r="F1390" s="8">
        <f>IF(IF(D1390&lt;&gt;D1389,1,IF(OR(B1390&lt;&gt;B1389,A1390-A1389&gt;$U$1),1,""))&lt;&gt;1,"",IF(C1390="B01",1,IF(C1390="B05",1,IF(C1390="B03",1,IF(C1390="B04",1,IF(C1390="B20",1,IF(C1390="B02",1,0)))))))</f>
        <v>1</v>
      </c>
      <c r="G1390"/>
      <c r="H1390" s="2"/>
      <c r="I1390" s="2"/>
      <c r="L1390"/>
      <c r="R1390"/>
    </row>
    <row r="1391" spans="1:18">
      <c r="A1391" s="3">
        <v>45779.433171296296</v>
      </c>
      <c r="B1391" s="2" t="s">
        <v>26</v>
      </c>
      <c r="C1391" s="2" t="s">
        <v>12</v>
      </c>
      <c r="D1391" s="6" t="str">
        <f>CONCATENATE(YEAR(A1391),"/",IF(MONTH(A1391)&lt;10,CONCATENATE("0",MONTH(A1391)),MONTH(A1391)))</f>
        <v>2025/05</v>
      </c>
      <c r="E1391" s="8" t="str">
        <f>IF(IF(D1391&lt;&gt;D1390,1,IF(OR(B1391&lt;&gt;B1390,A1391-A1390&gt;$U$1),1,""))&lt;&gt;1,"",IF(C1391="B01",1965,IF(C1391="B02",1020,IF(C1391="B05",2400,IF(C1391="B03",4260,IF(C1391="B04",2880,IF(C1391="B20",1260,0)))))))</f>
        <v/>
      </c>
      <c r="F1391" s="8" t="str">
        <f>IF(IF(D1391&lt;&gt;D1390,1,IF(OR(B1391&lt;&gt;B1390,A1391-A1390&gt;$U$1),1,""))&lt;&gt;1,"",IF(C1391="B01",1,IF(C1391="B05",1,IF(C1391="B03",1,IF(C1391="B04",1,IF(C1391="B20",1,IF(C1391="B02",1,0)))))))</f>
        <v/>
      </c>
      <c r="G1391"/>
      <c r="H1391" s="2"/>
      <c r="I1391" s="2"/>
      <c r="L1391"/>
      <c r="R1391"/>
    </row>
    <row r="1392" spans="1:18">
      <c r="A1392" s="3">
        <v>45779.604131944441</v>
      </c>
      <c r="B1392" s="2" t="s">
        <v>26</v>
      </c>
      <c r="C1392" s="2" t="s">
        <v>12</v>
      </c>
      <c r="D1392" s="6" t="str">
        <f>CONCATENATE(YEAR(A1392),"/",IF(MONTH(A1392)&lt;10,CONCATENATE("0",MONTH(A1392)),MONTH(A1392)))</f>
        <v>2025/05</v>
      </c>
      <c r="E1392" s="8">
        <f>IF(IF(D1392&lt;&gt;D1391,1,IF(OR(B1392&lt;&gt;B1391,A1392-A1391&gt;$U$1),1,""))&lt;&gt;1,"",IF(C1392="B01",1965,IF(C1392="B02",1020,IF(C1392="B05",2400,IF(C1392="B03",4260,IF(C1392="B04",2880,IF(C1392="B20",1260,0)))))))</f>
        <v>4260</v>
      </c>
      <c r="F1392" s="8">
        <f>IF(IF(D1392&lt;&gt;D1391,1,IF(OR(B1392&lt;&gt;B1391,A1392-A1391&gt;$U$1),1,""))&lt;&gt;1,"",IF(C1392="B01",1,IF(C1392="B05",1,IF(C1392="B03",1,IF(C1392="B04",1,IF(C1392="B20",1,IF(C1392="B02",1,0)))))))</f>
        <v>1</v>
      </c>
      <c r="G1392"/>
      <c r="H1392" s="2"/>
      <c r="I1392" s="2"/>
      <c r="L1392"/>
      <c r="R1392"/>
    </row>
    <row r="1393" spans="1:18">
      <c r="A1393" s="3">
        <v>45779.604131944441</v>
      </c>
      <c r="B1393" s="2" t="s">
        <v>26</v>
      </c>
      <c r="C1393" s="2" t="s">
        <v>12</v>
      </c>
      <c r="D1393" s="6" t="str">
        <f>CONCATENATE(YEAR(A1393),"/",IF(MONTH(A1393)&lt;10,CONCATENATE("0",MONTH(A1393)),MONTH(A1393)))</f>
        <v>2025/05</v>
      </c>
      <c r="E1393" s="8" t="str">
        <f>IF(IF(D1393&lt;&gt;D1392,1,IF(OR(B1393&lt;&gt;B1392,A1393-A1392&gt;$U$1),1,""))&lt;&gt;1,"",IF(C1393="B01",1965,IF(C1393="B02",1020,IF(C1393="B05",2400,IF(C1393="B03",4260,IF(C1393="B04",2880,IF(C1393="B20",1260,0)))))))</f>
        <v/>
      </c>
      <c r="F1393" s="8" t="str">
        <f>IF(IF(D1393&lt;&gt;D1392,1,IF(OR(B1393&lt;&gt;B1392,A1393-A1392&gt;$U$1),1,""))&lt;&gt;1,"",IF(C1393="B01",1,IF(C1393="B05",1,IF(C1393="B03",1,IF(C1393="B04",1,IF(C1393="B20",1,IF(C1393="B02",1,0)))))))</f>
        <v/>
      </c>
      <c r="G1393"/>
      <c r="H1393" s="2"/>
      <c r="I1393" s="2"/>
      <c r="L1393"/>
      <c r="R1393"/>
    </row>
    <row r="1394" spans="1:18">
      <c r="A1394" s="3">
        <v>45779.783032407409</v>
      </c>
      <c r="B1394" s="2" t="s">
        <v>26</v>
      </c>
      <c r="C1394" s="2" t="s">
        <v>12</v>
      </c>
      <c r="D1394" s="6" t="str">
        <f>CONCATENATE(YEAR(A1394),"/",IF(MONTH(A1394)&lt;10,CONCATENATE("0",MONTH(A1394)),MONTH(A1394)))</f>
        <v>2025/05</v>
      </c>
      <c r="E1394" s="8">
        <f>IF(IF(D1394&lt;&gt;D1393,1,IF(OR(B1394&lt;&gt;B1393,A1394-A1393&gt;$U$1),1,""))&lt;&gt;1,"",IF(C1394="B01",1965,IF(C1394="B02",1020,IF(C1394="B05",2400,IF(C1394="B03",4260,IF(C1394="B04",2880,IF(C1394="B20",1260,0)))))))</f>
        <v>4260</v>
      </c>
      <c r="F1394" s="8">
        <f>IF(IF(D1394&lt;&gt;D1393,1,IF(OR(B1394&lt;&gt;B1393,A1394-A1393&gt;$U$1),1,""))&lt;&gt;1,"",IF(C1394="B01",1,IF(C1394="B05",1,IF(C1394="B03",1,IF(C1394="B04",1,IF(C1394="B20",1,IF(C1394="B02",1,0)))))))</f>
        <v>1</v>
      </c>
      <c r="G1394"/>
      <c r="H1394" s="2"/>
      <c r="I1394" s="2"/>
      <c r="L1394"/>
      <c r="R1394"/>
    </row>
    <row r="1395" spans="1:18">
      <c r="A1395" s="3">
        <v>45779.783032407409</v>
      </c>
      <c r="B1395" s="2" t="s">
        <v>26</v>
      </c>
      <c r="C1395" s="2" t="s">
        <v>12</v>
      </c>
      <c r="D1395" s="6" t="str">
        <f>CONCATENATE(YEAR(A1395),"/",IF(MONTH(A1395)&lt;10,CONCATENATE("0",MONTH(A1395)),MONTH(A1395)))</f>
        <v>2025/05</v>
      </c>
      <c r="E1395" s="8" t="str">
        <f>IF(IF(D1395&lt;&gt;D1394,1,IF(OR(B1395&lt;&gt;B1394,A1395-A1394&gt;$U$1),1,""))&lt;&gt;1,"",IF(C1395="B01",1965,IF(C1395="B02",1020,IF(C1395="B05",2400,IF(C1395="B03",4260,IF(C1395="B04",2880,IF(C1395="B20",1260,0)))))))</f>
        <v/>
      </c>
      <c r="F1395" s="8" t="str">
        <f>IF(IF(D1395&lt;&gt;D1394,1,IF(OR(B1395&lt;&gt;B1394,A1395-A1394&gt;$U$1),1,""))&lt;&gt;1,"",IF(C1395="B01",1,IF(C1395="B05",1,IF(C1395="B03",1,IF(C1395="B04",1,IF(C1395="B20",1,IF(C1395="B02",1,0)))))))</f>
        <v/>
      </c>
      <c r="G1395"/>
      <c r="H1395" s="2"/>
      <c r="I1395" s="2"/>
      <c r="L1395"/>
      <c r="R1395"/>
    </row>
    <row r="1396" spans="1:18">
      <c r="A1396" s="3">
        <v>45779.783032407409</v>
      </c>
      <c r="B1396" s="2" t="s">
        <v>26</v>
      </c>
      <c r="C1396" s="2" t="s">
        <v>12</v>
      </c>
      <c r="D1396" s="6" t="str">
        <f>CONCATENATE(YEAR(A1396),"/",IF(MONTH(A1396)&lt;10,CONCATENATE("0",MONTH(A1396)),MONTH(A1396)))</f>
        <v>2025/05</v>
      </c>
      <c r="E1396" s="8" t="str">
        <f>IF(IF(D1396&lt;&gt;D1395,1,IF(OR(B1396&lt;&gt;B1395,A1396-A1395&gt;$U$1),1,""))&lt;&gt;1,"",IF(C1396="B01",1965,IF(C1396="B02",1020,IF(C1396="B05",2400,IF(C1396="B03",4260,IF(C1396="B04",2880,IF(C1396="B20",1260,0)))))))</f>
        <v/>
      </c>
      <c r="F1396" s="8" t="str">
        <f>IF(IF(D1396&lt;&gt;D1395,1,IF(OR(B1396&lt;&gt;B1395,A1396-A1395&gt;$U$1),1,""))&lt;&gt;1,"",IF(C1396="B01",1,IF(C1396="B05",1,IF(C1396="B03",1,IF(C1396="B04",1,IF(C1396="B20",1,IF(C1396="B02",1,0)))))))</f>
        <v/>
      </c>
      <c r="G1396"/>
      <c r="H1396" s="2"/>
      <c r="I1396" s="2"/>
      <c r="L1396"/>
      <c r="R1396"/>
    </row>
    <row r="1397" spans="1:18">
      <c r="A1397" s="3">
        <v>45780.001168981478</v>
      </c>
      <c r="B1397" s="2" t="s">
        <v>26</v>
      </c>
      <c r="C1397" s="2" t="s">
        <v>12</v>
      </c>
      <c r="D1397" s="6" t="str">
        <f>CONCATENATE(YEAR(A1397),"/",IF(MONTH(A1397)&lt;10,CONCATENATE("0",MONTH(A1397)),MONTH(A1397)))</f>
        <v>2025/05</v>
      </c>
      <c r="E1397" s="8">
        <f>IF(IF(D1397&lt;&gt;D1396,1,IF(OR(B1397&lt;&gt;B1396,A1397-A1396&gt;$U$1),1,""))&lt;&gt;1,"",IF(C1397="B01",1965,IF(C1397="B02",1020,IF(C1397="B05",2400,IF(C1397="B03",4260,IF(C1397="B04",2880,IF(C1397="B20",1260,0)))))))</f>
        <v>4260</v>
      </c>
      <c r="F1397" s="8">
        <f>IF(IF(D1397&lt;&gt;D1396,1,IF(OR(B1397&lt;&gt;B1396,A1397-A1396&gt;$U$1),1,""))&lt;&gt;1,"",IF(C1397="B01",1,IF(C1397="B05",1,IF(C1397="B03",1,IF(C1397="B04",1,IF(C1397="B20",1,IF(C1397="B02",1,0)))))))</f>
        <v>1</v>
      </c>
      <c r="G1397"/>
      <c r="H1397" s="2"/>
      <c r="I1397" s="2"/>
      <c r="L1397"/>
      <c r="R1397"/>
    </row>
    <row r="1398" spans="1:18">
      <c r="A1398" s="3">
        <v>45780.001168981478</v>
      </c>
      <c r="B1398" s="2" t="s">
        <v>26</v>
      </c>
      <c r="C1398" s="2" t="s">
        <v>12</v>
      </c>
      <c r="D1398" s="6" t="str">
        <f>CONCATENATE(YEAR(A1398),"/",IF(MONTH(A1398)&lt;10,CONCATENATE("0",MONTH(A1398)),MONTH(A1398)))</f>
        <v>2025/05</v>
      </c>
      <c r="E1398" s="8" t="str">
        <f>IF(IF(D1398&lt;&gt;D1397,1,IF(OR(B1398&lt;&gt;B1397,A1398-A1397&gt;$U$1),1,""))&lt;&gt;1,"",IF(C1398="B01",1965,IF(C1398="B02",1020,IF(C1398="B05",2400,IF(C1398="B03",4260,IF(C1398="B04",2880,IF(C1398="B20",1260,0)))))))</f>
        <v/>
      </c>
      <c r="F1398" s="8" t="str">
        <f>IF(IF(D1398&lt;&gt;D1397,1,IF(OR(B1398&lt;&gt;B1397,A1398-A1397&gt;$U$1),1,""))&lt;&gt;1,"",IF(C1398="B01",1,IF(C1398="B05",1,IF(C1398="B03",1,IF(C1398="B04",1,IF(C1398="B20",1,IF(C1398="B02",1,0)))))))</f>
        <v/>
      </c>
      <c r="G1398"/>
      <c r="H1398" s="2"/>
      <c r="I1398" s="2"/>
      <c r="L1398"/>
      <c r="R1398"/>
    </row>
    <row r="1399" spans="1:18">
      <c r="A1399" s="3">
        <v>45780.001168981478</v>
      </c>
      <c r="B1399" s="2" t="s">
        <v>26</v>
      </c>
      <c r="C1399" s="2" t="s">
        <v>12</v>
      </c>
      <c r="D1399" s="6" t="str">
        <f>CONCATENATE(YEAR(A1399),"/",IF(MONTH(A1399)&lt;10,CONCATENATE("0",MONTH(A1399)),MONTH(A1399)))</f>
        <v>2025/05</v>
      </c>
      <c r="E1399" s="8" t="str">
        <f>IF(IF(D1399&lt;&gt;D1398,1,IF(OR(B1399&lt;&gt;B1398,A1399-A1398&gt;$U$1),1,""))&lt;&gt;1,"",IF(C1399="B01",1965,IF(C1399="B02",1020,IF(C1399="B05",2400,IF(C1399="B03",4260,IF(C1399="B04",2880,IF(C1399="B20",1260,0)))))))</f>
        <v/>
      </c>
      <c r="F1399" s="8" t="str">
        <f>IF(IF(D1399&lt;&gt;D1398,1,IF(OR(B1399&lt;&gt;B1398,A1399-A1398&gt;$U$1),1,""))&lt;&gt;1,"",IF(C1399="B01",1,IF(C1399="B05",1,IF(C1399="B03",1,IF(C1399="B04",1,IF(C1399="B20",1,IF(C1399="B02",1,0)))))))</f>
        <v/>
      </c>
      <c r="G1399"/>
      <c r="H1399" s="2"/>
      <c r="I1399" s="2"/>
      <c r="L1399"/>
      <c r="R1399"/>
    </row>
    <row r="1400" spans="1:18">
      <c r="A1400" s="3">
        <v>45780.278310185182</v>
      </c>
      <c r="B1400" s="2" t="s">
        <v>26</v>
      </c>
      <c r="C1400" s="2" t="s">
        <v>11</v>
      </c>
      <c r="D1400" s="6" t="str">
        <f>CONCATENATE(YEAR(A1400),"/",IF(MONTH(A1400)&lt;10,CONCATENATE("0",MONTH(A1400)),MONTH(A1400)))</f>
        <v>2025/05</v>
      </c>
      <c r="E1400" s="8">
        <f>IF(IF(D1400&lt;&gt;D1399,1,IF(OR(B1400&lt;&gt;B1399,A1400-A1399&gt;$U$1),1,""))&lt;&gt;1,"",IF(C1400="B01",1965,IF(C1400="B02",1020,IF(C1400="B05",2400,IF(C1400="B03",4260,IF(C1400="B04",2880,IF(C1400="B20",1260,0)))))))</f>
        <v>2400</v>
      </c>
      <c r="F1400" s="8">
        <f>IF(IF(D1400&lt;&gt;D1399,1,IF(OR(B1400&lt;&gt;B1399,A1400-A1399&gt;$U$1),1,""))&lt;&gt;1,"",IF(C1400="B01",1,IF(C1400="B05",1,IF(C1400="B03",1,IF(C1400="B04",1,IF(C1400="B20",1,IF(C1400="B02",1,0)))))))</f>
        <v>1</v>
      </c>
      <c r="G1400"/>
      <c r="H1400" s="2"/>
      <c r="I1400" s="2"/>
      <c r="L1400"/>
      <c r="R1400"/>
    </row>
    <row r="1401" spans="1:18">
      <c r="A1401" s="3">
        <v>45780.278310185182</v>
      </c>
      <c r="B1401" s="2" t="s">
        <v>26</v>
      </c>
      <c r="C1401" s="2" t="s">
        <v>11</v>
      </c>
      <c r="D1401" s="6" t="str">
        <f>CONCATENATE(YEAR(A1401),"/",IF(MONTH(A1401)&lt;10,CONCATENATE("0",MONTH(A1401)),MONTH(A1401)))</f>
        <v>2025/05</v>
      </c>
      <c r="E1401" s="8" t="str">
        <f>IF(IF(D1401&lt;&gt;D1400,1,IF(OR(B1401&lt;&gt;B1400,A1401-A1400&gt;$U$1),1,""))&lt;&gt;1,"",IF(C1401="B01",1965,IF(C1401="B02",1020,IF(C1401="B05",2400,IF(C1401="B03",4260,IF(C1401="B04",2880,IF(C1401="B20",1260,0)))))))</f>
        <v/>
      </c>
      <c r="F1401" s="8" t="str">
        <f>IF(IF(D1401&lt;&gt;D1400,1,IF(OR(B1401&lt;&gt;B1400,A1401-A1400&gt;$U$1),1,""))&lt;&gt;1,"",IF(C1401="B01",1,IF(C1401="B05",1,IF(C1401="B03",1,IF(C1401="B04",1,IF(C1401="B20",1,IF(C1401="B02",1,0)))))))</f>
        <v/>
      </c>
      <c r="G1401"/>
      <c r="H1401" s="2"/>
      <c r="I1401" s="2"/>
      <c r="L1401"/>
      <c r="R1401"/>
    </row>
    <row r="1402" spans="1:18">
      <c r="A1402" s="3">
        <v>45780.593182870369</v>
      </c>
      <c r="B1402" s="2" t="s">
        <v>26</v>
      </c>
      <c r="C1402" s="2" t="s">
        <v>12</v>
      </c>
      <c r="D1402" s="6" t="str">
        <f>CONCATENATE(YEAR(A1402),"/",IF(MONTH(A1402)&lt;10,CONCATENATE("0",MONTH(A1402)),MONTH(A1402)))</f>
        <v>2025/05</v>
      </c>
      <c r="E1402" s="8">
        <f>IF(IF(D1402&lt;&gt;D1401,1,IF(OR(B1402&lt;&gt;B1401,A1402-A1401&gt;$U$1),1,""))&lt;&gt;1,"",IF(C1402="B01",1965,IF(C1402="B02",1020,IF(C1402="B05",2400,IF(C1402="B03",4260,IF(C1402="B04",2880,IF(C1402="B20",1260,0)))))))</f>
        <v>4260</v>
      </c>
      <c r="F1402" s="8">
        <f>IF(IF(D1402&lt;&gt;D1401,1,IF(OR(B1402&lt;&gt;B1401,A1402-A1401&gt;$U$1),1,""))&lt;&gt;1,"",IF(C1402="B01",1,IF(C1402="B05",1,IF(C1402="B03",1,IF(C1402="B04",1,IF(C1402="B20",1,IF(C1402="B02",1,0)))))))</f>
        <v>1</v>
      </c>
      <c r="G1402"/>
      <c r="H1402" s="2"/>
      <c r="I1402" s="2"/>
      <c r="L1402"/>
      <c r="R1402"/>
    </row>
    <row r="1403" spans="1:18">
      <c r="A1403" s="3">
        <v>45780.593182870369</v>
      </c>
      <c r="B1403" s="2" t="s">
        <v>26</v>
      </c>
      <c r="C1403" s="2" t="s">
        <v>12</v>
      </c>
      <c r="D1403" s="6" t="str">
        <f>CONCATENATE(YEAR(A1403),"/",IF(MONTH(A1403)&lt;10,CONCATENATE("0",MONTH(A1403)),MONTH(A1403)))</f>
        <v>2025/05</v>
      </c>
      <c r="E1403" s="8" t="str">
        <f>IF(IF(D1403&lt;&gt;D1402,1,IF(OR(B1403&lt;&gt;B1402,A1403-A1402&gt;$U$1),1,""))&lt;&gt;1,"",IF(C1403="B01",1965,IF(C1403="B02",1020,IF(C1403="B05",2400,IF(C1403="B03",4260,IF(C1403="B04",2880,IF(C1403="B20",1260,0)))))))</f>
        <v/>
      </c>
      <c r="F1403" s="8" t="str">
        <f>IF(IF(D1403&lt;&gt;D1402,1,IF(OR(B1403&lt;&gt;B1402,A1403-A1402&gt;$U$1),1,""))&lt;&gt;1,"",IF(C1403="B01",1,IF(C1403="B05",1,IF(C1403="B03",1,IF(C1403="B04",1,IF(C1403="B20",1,IF(C1403="B02",1,0)))))))</f>
        <v/>
      </c>
      <c r="G1403"/>
      <c r="H1403" s="2"/>
      <c r="I1403" s="2"/>
      <c r="L1403"/>
      <c r="R1403"/>
    </row>
    <row r="1404" spans="1:18">
      <c r="A1404" s="3">
        <v>45780.810833333337</v>
      </c>
      <c r="B1404" s="2" t="s">
        <v>26</v>
      </c>
      <c r="C1404" s="2" t="s">
        <v>12</v>
      </c>
      <c r="D1404" s="6" t="str">
        <f>CONCATENATE(YEAR(A1404),"/",IF(MONTH(A1404)&lt;10,CONCATENATE("0",MONTH(A1404)),MONTH(A1404)))</f>
        <v>2025/05</v>
      </c>
      <c r="E1404" s="8">
        <f>IF(IF(D1404&lt;&gt;D1403,1,IF(OR(B1404&lt;&gt;B1403,A1404-A1403&gt;$U$1),1,""))&lt;&gt;1,"",IF(C1404="B01",1965,IF(C1404="B02",1020,IF(C1404="B05",2400,IF(C1404="B03",4260,IF(C1404="B04",2880,IF(C1404="B20",1260,0)))))))</f>
        <v>4260</v>
      </c>
      <c r="F1404" s="8">
        <f>IF(IF(D1404&lt;&gt;D1403,1,IF(OR(B1404&lt;&gt;B1403,A1404-A1403&gt;$U$1),1,""))&lt;&gt;1,"",IF(C1404="B01",1,IF(C1404="B05",1,IF(C1404="B03",1,IF(C1404="B04",1,IF(C1404="B20",1,IF(C1404="B02",1,0)))))))</f>
        <v>1</v>
      </c>
      <c r="G1404"/>
      <c r="H1404" s="2"/>
      <c r="I1404" s="2"/>
      <c r="L1404"/>
      <c r="R1404"/>
    </row>
    <row r="1405" spans="1:18">
      <c r="A1405" s="3">
        <v>45780.966168981482</v>
      </c>
      <c r="B1405" s="2" t="s">
        <v>26</v>
      </c>
      <c r="C1405" s="2" t="s">
        <v>11</v>
      </c>
      <c r="D1405" s="6" t="str">
        <f>CONCATENATE(YEAR(A1405),"/",IF(MONTH(A1405)&lt;10,CONCATENATE("0",MONTH(A1405)),MONTH(A1405)))</f>
        <v>2025/05</v>
      </c>
      <c r="E1405" s="8">
        <f>IF(IF(D1405&lt;&gt;D1404,1,IF(OR(B1405&lt;&gt;B1404,A1405-A1404&gt;$U$1),1,""))&lt;&gt;1,"",IF(C1405="B01",1965,IF(C1405="B02",1020,IF(C1405="B05",2400,IF(C1405="B03",4260,IF(C1405="B04",2880,IF(C1405="B20",1260,0)))))))</f>
        <v>2400</v>
      </c>
      <c r="F1405" s="8">
        <f>IF(IF(D1405&lt;&gt;D1404,1,IF(OR(B1405&lt;&gt;B1404,A1405-A1404&gt;$U$1),1,""))&lt;&gt;1,"",IF(C1405="B01",1,IF(C1405="B05",1,IF(C1405="B03",1,IF(C1405="B04",1,IF(C1405="B20",1,IF(C1405="B02",1,0)))))))</f>
        <v>1</v>
      </c>
      <c r="G1405"/>
      <c r="H1405" s="2"/>
      <c r="I1405" s="2"/>
      <c r="L1405"/>
      <c r="R1405"/>
    </row>
    <row r="1406" spans="1:18">
      <c r="A1406" s="3">
        <v>45780.966168981482</v>
      </c>
      <c r="B1406" s="2" t="s">
        <v>26</v>
      </c>
      <c r="C1406" s="2" t="s">
        <v>11</v>
      </c>
      <c r="D1406" s="6" t="str">
        <f>CONCATENATE(YEAR(A1406),"/",IF(MONTH(A1406)&lt;10,CONCATENATE("0",MONTH(A1406)),MONTH(A1406)))</f>
        <v>2025/05</v>
      </c>
      <c r="E1406" s="8" t="str">
        <f>IF(IF(D1406&lt;&gt;D1405,1,IF(OR(B1406&lt;&gt;B1405,A1406-A1405&gt;$U$1),1,""))&lt;&gt;1,"",IF(C1406="B01",1965,IF(C1406="B02",1020,IF(C1406="B05",2400,IF(C1406="B03",4260,IF(C1406="B04",2880,IF(C1406="B20",1260,0)))))))</f>
        <v/>
      </c>
      <c r="F1406" s="8" t="str">
        <f>IF(IF(D1406&lt;&gt;D1405,1,IF(OR(B1406&lt;&gt;B1405,A1406-A1405&gt;$U$1),1,""))&lt;&gt;1,"",IF(C1406="B01",1,IF(C1406="B05",1,IF(C1406="B03",1,IF(C1406="B04",1,IF(C1406="B20",1,IF(C1406="B02",1,0)))))))</f>
        <v/>
      </c>
      <c r="G1406"/>
      <c r="H1406" s="2"/>
      <c r="I1406" s="2"/>
      <c r="L1406"/>
      <c r="R1406"/>
    </row>
    <row r="1407" spans="1:18">
      <c r="A1407" s="3">
        <v>45780.966168981482</v>
      </c>
      <c r="B1407" s="2" t="s">
        <v>26</v>
      </c>
      <c r="C1407" s="2" t="s">
        <v>11</v>
      </c>
      <c r="D1407" s="6" t="str">
        <f>CONCATENATE(YEAR(A1407),"/",IF(MONTH(A1407)&lt;10,CONCATENATE("0",MONTH(A1407)),MONTH(A1407)))</f>
        <v>2025/05</v>
      </c>
      <c r="E1407" s="8" t="str">
        <f>IF(IF(D1407&lt;&gt;D1406,1,IF(OR(B1407&lt;&gt;B1406,A1407-A1406&gt;$U$1),1,""))&lt;&gt;1,"",IF(C1407="B01",1965,IF(C1407="B02",1020,IF(C1407="B05",2400,IF(C1407="B03",4260,IF(C1407="B04",2880,IF(C1407="B20",1260,0)))))))</f>
        <v/>
      </c>
      <c r="F1407" s="8" t="str">
        <f>IF(IF(D1407&lt;&gt;D1406,1,IF(OR(B1407&lt;&gt;B1406,A1407-A1406&gt;$U$1),1,""))&lt;&gt;1,"",IF(C1407="B01",1,IF(C1407="B05",1,IF(C1407="B03",1,IF(C1407="B04",1,IF(C1407="B20",1,IF(C1407="B02",1,0)))))))</f>
        <v/>
      </c>
      <c r="G1407"/>
      <c r="H1407" s="2"/>
      <c r="I1407" s="2"/>
      <c r="L1407"/>
      <c r="R1407"/>
    </row>
    <row r="1408" spans="1:18">
      <c r="A1408" s="3">
        <v>45781.16165509259</v>
      </c>
      <c r="B1408" s="2" t="s">
        <v>26</v>
      </c>
      <c r="C1408" s="2" t="s">
        <v>11</v>
      </c>
      <c r="D1408" s="6" t="str">
        <f>CONCATENATE(YEAR(A1408),"/",IF(MONTH(A1408)&lt;10,CONCATENATE("0",MONTH(A1408)),MONTH(A1408)))</f>
        <v>2025/05</v>
      </c>
      <c r="E1408" s="8">
        <f>IF(IF(D1408&lt;&gt;D1407,1,IF(OR(B1408&lt;&gt;B1407,A1408-A1407&gt;$U$1),1,""))&lt;&gt;1,"",IF(C1408="B01",1965,IF(C1408="B02",1020,IF(C1408="B05",2400,IF(C1408="B03",4260,IF(C1408="B04",2880,IF(C1408="B20",1260,0)))))))</f>
        <v>2400</v>
      </c>
      <c r="F1408" s="8">
        <f>IF(IF(D1408&lt;&gt;D1407,1,IF(OR(B1408&lt;&gt;B1407,A1408-A1407&gt;$U$1),1,""))&lt;&gt;1,"",IF(C1408="B01",1,IF(C1408="B05",1,IF(C1408="B03",1,IF(C1408="B04",1,IF(C1408="B20",1,IF(C1408="B02",1,0)))))))</f>
        <v>1</v>
      </c>
      <c r="G1408"/>
      <c r="H1408" s="2"/>
      <c r="I1408" s="2"/>
      <c r="L1408"/>
      <c r="R1408"/>
    </row>
    <row r="1409" spans="1:18">
      <c r="A1409" s="3">
        <v>45781.16165509259</v>
      </c>
      <c r="B1409" s="2" t="s">
        <v>26</v>
      </c>
      <c r="C1409" s="2" t="s">
        <v>11</v>
      </c>
      <c r="D1409" s="6" t="str">
        <f>CONCATENATE(YEAR(A1409),"/",IF(MONTH(A1409)&lt;10,CONCATENATE("0",MONTH(A1409)),MONTH(A1409)))</f>
        <v>2025/05</v>
      </c>
      <c r="E1409" s="8" t="str">
        <f>IF(IF(D1409&lt;&gt;D1408,1,IF(OR(B1409&lt;&gt;B1408,A1409-A1408&gt;$U$1),1,""))&lt;&gt;1,"",IF(C1409="B01",1965,IF(C1409="B02",1020,IF(C1409="B05",2400,IF(C1409="B03",4260,IF(C1409="B04",2880,IF(C1409="B20",1260,0)))))))</f>
        <v/>
      </c>
      <c r="F1409" s="8" t="str">
        <f>IF(IF(D1409&lt;&gt;D1408,1,IF(OR(B1409&lt;&gt;B1408,A1409-A1408&gt;$U$1),1,""))&lt;&gt;1,"",IF(C1409="B01",1,IF(C1409="B05",1,IF(C1409="B03",1,IF(C1409="B04",1,IF(C1409="B20",1,IF(C1409="B02",1,0)))))))</f>
        <v/>
      </c>
      <c r="G1409"/>
      <c r="H1409" s="2"/>
      <c r="I1409" s="2"/>
      <c r="L1409"/>
      <c r="R1409"/>
    </row>
    <row r="1410" spans="1:18">
      <c r="A1410" s="3">
        <v>45781.16165509259</v>
      </c>
      <c r="B1410" s="2" t="s">
        <v>26</v>
      </c>
      <c r="C1410" s="2" t="s">
        <v>11</v>
      </c>
      <c r="D1410" s="6" t="str">
        <f>CONCATENATE(YEAR(A1410),"/",IF(MONTH(A1410)&lt;10,CONCATENATE("0",MONTH(A1410)),MONTH(A1410)))</f>
        <v>2025/05</v>
      </c>
      <c r="E1410" s="8" t="str">
        <f>IF(IF(D1410&lt;&gt;D1409,1,IF(OR(B1410&lt;&gt;B1409,A1410-A1409&gt;$U$1),1,""))&lt;&gt;1,"",IF(C1410="B01",1965,IF(C1410="B02",1020,IF(C1410="B05",2400,IF(C1410="B03",4260,IF(C1410="B04",2880,IF(C1410="B20",1260,0)))))))</f>
        <v/>
      </c>
      <c r="F1410" s="8" t="str">
        <f>IF(IF(D1410&lt;&gt;D1409,1,IF(OR(B1410&lt;&gt;B1409,A1410-A1409&gt;$U$1),1,""))&lt;&gt;1,"",IF(C1410="B01",1,IF(C1410="B05",1,IF(C1410="B03",1,IF(C1410="B04",1,IF(C1410="B20",1,IF(C1410="B02",1,0)))))))</f>
        <v/>
      </c>
      <c r="G1410"/>
      <c r="H1410" s="2"/>
      <c r="I1410" s="2"/>
      <c r="L1410"/>
      <c r="R1410"/>
    </row>
    <row r="1411" spans="1:18">
      <c r="A1411" s="3">
        <v>45781.382418981484</v>
      </c>
      <c r="B1411" s="2" t="s">
        <v>26</v>
      </c>
      <c r="C1411" s="2" t="s">
        <v>11</v>
      </c>
      <c r="D1411" s="6" t="str">
        <f>CONCATENATE(YEAR(A1411),"/",IF(MONTH(A1411)&lt;10,CONCATENATE("0",MONTH(A1411)),MONTH(A1411)))</f>
        <v>2025/05</v>
      </c>
      <c r="E1411" s="8">
        <f>IF(IF(D1411&lt;&gt;D1410,1,IF(OR(B1411&lt;&gt;B1410,A1411-A1410&gt;$U$1),1,""))&lt;&gt;1,"",IF(C1411="B01",1965,IF(C1411="B02",1020,IF(C1411="B05",2400,IF(C1411="B03",4260,IF(C1411="B04",2880,IF(C1411="B20",1260,0)))))))</f>
        <v>2400</v>
      </c>
      <c r="F1411" s="8">
        <f>IF(IF(D1411&lt;&gt;D1410,1,IF(OR(B1411&lt;&gt;B1410,A1411-A1410&gt;$U$1),1,""))&lt;&gt;1,"",IF(C1411="B01",1,IF(C1411="B05",1,IF(C1411="B03",1,IF(C1411="B04",1,IF(C1411="B20",1,IF(C1411="B02",1,0)))))))</f>
        <v>1</v>
      </c>
      <c r="G1411"/>
      <c r="H1411" s="2"/>
      <c r="I1411" s="2"/>
      <c r="L1411"/>
      <c r="R1411"/>
    </row>
    <row r="1412" spans="1:18">
      <c r="A1412" s="3">
        <v>45781.382418981484</v>
      </c>
      <c r="B1412" s="2" t="s">
        <v>26</v>
      </c>
      <c r="C1412" s="2" t="s">
        <v>11</v>
      </c>
      <c r="D1412" s="6" t="str">
        <f>CONCATENATE(YEAR(A1412),"/",IF(MONTH(A1412)&lt;10,CONCATENATE("0",MONTH(A1412)),MONTH(A1412)))</f>
        <v>2025/05</v>
      </c>
      <c r="E1412" s="8" t="str">
        <f>IF(IF(D1412&lt;&gt;D1411,1,IF(OR(B1412&lt;&gt;B1411,A1412-A1411&gt;$U$1),1,""))&lt;&gt;1,"",IF(C1412="B01",1965,IF(C1412="B02",1020,IF(C1412="B05",2400,IF(C1412="B03",4260,IF(C1412="B04",2880,IF(C1412="B20",1260,0)))))))</f>
        <v/>
      </c>
      <c r="F1412" s="8" t="str">
        <f>IF(IF(D1412&lt;&gt;D1411,1,IF(OR(B1412&lt;&gt;B1411,A1412-A1411&gt;$U$1),1,""))&lt;&gt;1,"",IF(C1412="B01",1,IF(C1412="B05",1,IF(C1412="B03",1,IF(C1412="B04",1,IF(C1412="B20",1,IF(C1412="B02",1,0)))))))</f>
        <v/>
      </c>
      <c r="G1412"/>
      <c r="H1412" s="2"/>
      <c r="I1412" s="2"/>
      <c r="L1412"/>
      <c r="R1412"/>
    </row>
    <row r="1413" spans="1:18">
      <c r="A1413" s="3">
        <v>45781.382418981484</v>
      </c>
      <c r="B1413" s="2" t="s">
        <v>26</v>
      </c>
      <c r="C1413" s="2" t="s">
        <v>11</v>
      </c>
      <c r="D1413" s="6" t="str">
        <f>CONCATENATE(YEAR(A1413),"/",IF(MONTH(A1413)&lt;10,CONCATENATE("0",MONTH(A1413)),MONTH(A1413)))</f>
        <v>2025/05</v>
      </c>
      <c r="E1413" s="8" t="str">
        <f>IF(IF(D1413&lt;&gt;D1412,1,IF(OR(B1413&lt;&gt;B1412,A1413-A1412&gt;$U$1),1,""))&lt;&gt;1,"",IF(C1413="B01",1965,IF(C1413="B02",1020,IF(C1413="B05",2400,IF(C1413="B03",4260,IF(C1413="B04",2880,IF(C1413="B20",1260,0)))))))</f>
        <v/>
      </c>
      <c r="F1413" s="8" t="str">
        <f>IF(IF(D1413&lt;&gt;D1412,1,IF(OR(B1413&lt;&gt;B1412,A1413-A1412&gt;$U$1),1,""))&lt;&gt;1,"",IF(C1413="B01",1,IF(C1413="B05",1,IF(C1413="B03",1,IF(C1413="B04",1,IF(C1413="B20",1,IF(C1413="B02",1,0)))))))</f>
        <v/>
      </c>
      <c r="G1413"/>
      <c r="H1413" s="2"/>
      <c r="I1413" s="2"/>
      <c r="L1413"/>
      <c r="R1413"/>
    </row>
    <row r="1414" spans="1:18">
      <c r="A1414" s="3">
        <v>45781.578587962962</v>
      </c>
      <c r="B1414" s="2" t="s">
        <v>26</v>
      </c>
      <c r="C1414" s="2" t="s">
        <v>11</v>
      </c>
      <c r="D1414" s="6" t="str">
        <f>CONCATENATE(YEAR(A1414),"/",IF(MONTH(A1414)&lt;10,CONCATENATE("0",MONTH(A1414)),MONTH(A1414)))</f>
        <v>2025/05</v>
      </c>
      <c r="E1414" s="8">
        <f>IF(IF(D1414&lt;&gt;D1413,1,IF(OR(B1414&lt;&gt;B1413,A1414-A1413&gt;$U$1),1,""))&lt;&gt;1,"",IF(C1414="B01",1965,IF(C1414="B02",1020,IF(C1414="B05",2400,IF(C1414="B03",4260,IF(C1414="B04",2880,IF(C1414="B20",1260,0)))))))</f>
        <v>2400</v>
      </c>
      <c r="F1414" s="8">
        <f>IF(IF(D1414&lt;&gt;D1413,1,IF(OR(B1414&lt;&gt;B1413,A1414-A1413&gt;$U$1),1,""))&lt;&gt;1,"",IF(C1414="B01",1,IF(C1414="B05",1,IF(C1414="B03",1,IF(C1414="B04",1,IF(C1414="B20",1,IF(C1414="B02",1,0)))))))</f>
        <v>1</v>
      </c>
      <c r="G1414"/>
      <c r="H1414" s="2"/>
      <c r="I1414" s="2"/>
      <c r="L1414"/>
      <c r="R1414"/>
    </row>
    <row r="1415" spans="1:18">
      <c r="A1415" s="3">
        <v>45781.578587962962</v>
      </c>
      <c r="B1415" s="2" t="s">
        <v>26</v>
      </c>
      <c r="C1415" s="2" t="s">
        <v>11</v>
      </c>
      <c r="D1415" s="6" t="str">
        <f>CONCATENATE(YEAR(A1415),"/",IF(MONTH(A1415)&lt;10,CONCATENATE("0",MONTH(A1415)),MONTH(A1415)))</f>
        <v>2025/05</v>
      </c>
      <c r="E1415" s="8" t="str">
        <f>IF(IF(D1415&lt;&gt;D1414,1,IF(OR(B1415&lt;&gt;B1414,A1415-A1414&gt;$U$1),1,""))&lt;&gt;1,"",IF(C1415="B01",1965,IF(C1415="B02",1020,IF(C1415="B05",2400,IF(C1415="B03",4260,IF(C1415="B04",2880,IF(C1415="B20",1260,0)))))))</f>
        <v/>
      </c>
      <c r="F1415" s="8" t="str">
        <f>IF(IF(D1415&lt;&gt;D1414,1,IF(OR(B1415&lt;&gt;B1414,A1415-A1414&gt;$U$1),1,""))&lt;&gt;1,"",IF(C1415="B01",1,IF(C1415="B05",1,IF(C1415="B03",1,IF(C1415="B04",1,IF(C1415="B20",1,IF(C1415="B02",1,0)))))))</f>
        <v/>
      </c>
      <c r="G1415"/>
      <c r="H1415" s="2"/>
      <c r="I1415" s="2"/>
      <c r="L1415"/>
      <c r="R1415"/>
    </row>
    <row r="1416" spans="1:18">
      <c r="A1416" s="3">
        <v>45781.578587962962</v>
      </c>
      <c r="B1416" s="2" t="s">
        <v>26</v>
      </c>
      <c r="C1416" s="2" t="s">
        <v>11</v>
      </c>
      <c r="D1416" s="6" t="str">
        <f>CONCATENATE(YEAR(A1416),"/",IF(MONTH(A1416)&lt;10,CONCATENATE("0",MONTH(A1416)),MONTH(A1416)))</f>
        <v>2025/05</v>
      </c>
      <c r="E1416" s="8" t="str">
        <f>IF(IF(D1416&lt;&gt;D1415,1,IF(OR(B1416&lt;&gt;B1415,A1416-A1415&gt;$U$1),1,""))&lt;&gt;1,"",IF(C1416="B01",1965,IF(C1416="B02",1020,IF(C1416="B05",2400,IF(C1416="B03",4260,IF(C1416="B04",2880,IF(C1416="B20",1260,0)))))))</f>
        <v/>
      </c>
      <c r="F1416" s="8" t="str">
        <f>IF(IF(D1416&lt;&gt;D1415,1,IF(OR(B1416&lt;&gt;B1415,A1416-A1415&gt;$U$1),1,""))&lt;&gt;1,"",IF(C1416="B01",1,IF(C1416="B05",1,IF(C1416="B03",1,IF(C1416="B04",1,IF(C1416="B20",1,IF(C1416="B02",1,0)))))))</f>
        <v/>
      </c>
      <c r="G1416"/>
      <c r="H1416" s="2"/>
      <c r="I1416" s="2"/>
      <c r="L1416"/>
      <c r="R1416"/>
    </row>
    <row r="1417" spans="1:18">
      <c r="A1417" s="3">
        <v>45781.840891203705</v>
      </c>
      <c r="B1417" s="2" t="s">
        <v>26</v>
      </c>
      <c r="C1417" s="2" t="s">
        <v>12</v>
      </c>
      <c r="D1417" s="6" t="str">
        <f>CONCATENATE(YEAR(A1417),"/",IF(MONTH(A1417)&lt;10,CONCATENATE("0",MONTH(A1417)),MONTH(A1417)))</f>
        <v>2025/05</v>
      </c>
      <c r="E1417" s="8">
        <f>IF(IF(D1417&lt;&gt;D1416,1,IF(OR(B1417&lt;&gt;B1416,A1417-A1416&gt;$U$1),1,""))&lt;&gt;1,"",IF(C1417="B01",1965,IF(C1417="B02",1020,IF(C1417="B05",2400,IF(C1417="B03",4260,IF(C1417="B04",2880,IF(C1417="B20",1260,0)))))))</f>
        <v>4260</v>
      </c>
      <c r="F1417" s="8">
        <f>IF(IF(D1417&lt;&gt;D1416,1,IF(OR(B1417&lt;&gt;B1416,A1417-A1416&gt;$U$1),1,""))&lt;&gt;1,"",IF(C1417="B01",1,IF(C1417="B05",1,IF(C1417="B03",1,IF(C1417="B04",1,IF(C1417="B20",1,IF(C1417="B02",1,0)))))))</f>
        <v>1</v>
      </c>
      <c r="G1417"/>
      <c r="H1417" s="2"/>
      <c r="I1417" s="2"/>
      <c r="L1417"/>
      <c r="R1417"/>
    </row>
    <row r="1418" spans="1:18">
      <c r="A1418" s="3">
        <v>45781.840891203705</v>
      </c>
      <c r="B1418" s="2" t="s">
        <v>26</v>
      </c>
      <c r="C1418" s="2" t="s">
        <v>12</v>
      </c>
      <c r="D1418" s="6" t="str">
        <f>CONCATENATE(YEAR(A1418),"/",IF(MONTH(A1418)&lt;10,CONCATENATE("0",MONTH(A1418)),MONTH(A1418)))</f>
        <v>2025/05</v>
      </c>
      <c r="E1418" s="8" t="str">
        <f>IF(IF(D1418&lt;&gt;D1417,1,IF(OR(B1418&lt;&gt;B1417,A1418-A1417&gt;$U$1),1,""))&lt;&gt;1,"",IF(C1418="B01",1965,IF(C1418="B02",1020,IF(C1418="B05",2400,IF(C1418="B03",4260,IF(C1418="B04",2880,IF(C1418="B20",1260,0)))))))</f>
        <v/>
      </c>
      <c r="F1418" s="8" t="str">
        <f>IF(IF(D1418&lt;&gt;D1417,1,IF(OR(B1418&lt;&gt;B1417,A1418-A1417&gt;$U$1),1,""))&lt;&gt;1,"",IF(C1418="B01",1,IF(C1418="B05",1,IF(C1418="B03",1,IF(C1418="B04",1,IF(C1418="B20",1,IF(C1418="B02",1,0)))))))</f>
        <v/>
      </c>
      <c r="G1418"/>
      <c r="H1418" s="2"/>
      <c r="I1418" s="2"/>
      <c r="L1418"/>
      <c r="R1418"/>
    </row>
    <row r="1419" spans="1:18">
      <c r="A1419" s="3">
        <v>45782.060729166667</v>
      </c>
      <c r="B1419" s="2" t="s">
        <v>26</v>
      </c>
      <c r="C1419" s="2" t="s">
        <v>11</v>
      </c>
      <c r="D1419" s="6" t="str">
        <f>CONCATENATE(YEAR(A1419),"/",IF(MONTH(A1419)&lt;10,CONCATENATE("0",MONTH(A1419)),MONTH(A1419)))</f>
        <v>2025/05</v>
      </c>
      <c r="E1419" s="8">
        <f>IF(IF(D1419&lt;&gt;D1418,1,IF(OR(B1419&lt;&gt;B1418,A1419-A1418&gt;$U$1),1,""))&lt;&gt;1,"",IF(C1419="B01",1965,IF(C1419="B02",1020,IF(C1419="B05",2400,IF(C1419="B03",4260,IF(C1419="B04",2880,IF(C1419="B20",1260,0)))))))</f>
        <v>2400</v>
      </c>
      <c r="F1419" s="8">
        <f>IF(IF(D1419&lt;&gt;D1418,1,IF(OR(B1419&lt;&gt;B1418,A1419-A1418&gt;$U$1),1,""))&lt;&gt;1,"",IF(C1419="B01",1,IF(C1419="B05",1,IF(C1419="B03",1,IF(C1419="B04",1,IF(C1419="B20",1,IF(C1419="B02",1,0)))))))</f>
        <v>1</v>
      </c>
      <c r="G1419"/>
      <c r="H1419" s="2"/>
      <c r="I1419" s="2"/>
      <c r="L1419"/>
      <c r="R1419"/>
    </row>
    <row r="1420" spans="1:18">
      <c r="A1420" s="3">
        <v>45782.060729166667</v>
      </c>
      <c r="B1420" s="2" t="s">
        <v>26</v>
      </c>
      <c r="C1420" s="2" t="s">
        <v>11</v>
      </c>
      <c r="D1420" s="6" t="str">
        <f>CONCATENATE(YEAR(A1420),"/",IF(MONTH(A1420)&lt;10,CONCATENATE("0",MONTH(A1420)),MONTH(A1420)))</f>
        <v>2025/05</v>
      </c>
      <c r="E1420" s="8" t="str">
        <f>IF(IF(D1420&lt;&gt;D1419,1,IF(OR(B1420&lt;&gt;B1419,A1420-A1419&gt;$U$1),1,""))&lt;&gt;1,"",IF(C1420="B01",1965,IF(C1420="B02",1020,IF(C1420="B05",2400,IF(C1420="B03",4260,IF(C1420="B04",2880,IF(C1420="B20",1260,0)))))))</f>
        <v/>
      </c>
      <c r="F1420" s="8" t="str">
        <f>IF(IF(D1420&lt;&gt;D1419,1,IF(OR(B1420&lt;&gt;B1419,A1420-A1419&gt;$U$1),1,""))&lt;&gt;1,"",IF(C1420="B01",1,IF(C1420="B05",1,IF(C1420="B03",1,IF(C1420="B04",1,IF(C1420="B20",1,IF(C1420="B02",1,0)))))))</f>
        <v/>
      </c>
      <c r="G1420"/>
      <c r="H1420" s="2"/>
      <c r="I1420" s="2"/>
      <c r="L1420"/>
      <c r="R1420"/>
    </row>
    <row r="1421" spans="1:18">
      <c r="A1421" s="3">
        <v>45782.238506944443</v>
      </c>
      <c r="B1421" s="2" t="s">
        <v>26</v>
      </c>
      <c r="C1421" s="2" t="s">
        <v>12</v>
      </c>
      <c r="D1421" s="6" t="str">
        <f>CONCATENATE(YEAR(A1421),"/",IF(MONTH(A1421)&lt;10,CONCATENATE("0",MONTH(A1421)),MONTH(A1421)))</f>
        <v>2025/05</v>
      </c>
      <c r="E1421" s="8">
        <f>IF(IF(D1421&lt;&gt;D1420,1,IF(OR(B1421&lt;&gt;B1420,A1421-A1420&gt;$U$1),1,""))&lt;&gt;1,"",IF(C1421="B01",1965,IF(C1421="B02",1020,IF(C1421="B05",2400,IF(C1421="B03",4260,IF(C1421="B04",2880,IF(C1421="B20",1260,0)))))))</f>
        <v>4260</v>
      </c>
      <c r="F1421" s="8">
        <f>IF(IF(D1421&lt;&gt;D1420,1,IF(OR(B1421&lt;&gt;B1420,A1421-A1420&gt;$U$1),1,""))&lt;&gt;1,"",IF(C1421="B01",1,IF(C1421="B05",1,IF(C1421="B03",1,IF(C1421="B04",1,IF(C1421="B20",1,IF(C1421="B02",1,0)))))))</f>
        <v>1</v>
      </c>
      <c r="G1421"/>
      <c r="H1421" s="2"/>
      <c r="I1421" s="2"/>
      <c r="L1421"/>
      <c r="R1421"/>
    </row>
    <row r="1422" spans="1:18">
      <c r="A1422" s="3">
        <v>45782.238506944443</v>
      </c>
      <c r="B1422" s="2" t="s">
        <v>26</v>
      </c>
      <c r="C1422" s="2" t="s">
        <v>12</v>
      </c>
      <c r="D1422" s="6" t="str">
        <f>CONCATENATE(YEAR(A1422),"/",IF(MONTH(A1422)&lt;10,CONCATENATE("0",MONTH(A1422)),MONTH(A1422)))</f>
        <v>2025/05</v>
      </c>
      <c r="E1422" s="8" t="str">
        <f>IF(IF(D1422&lt;&gt;D1421,1,IF(OR(B1422&lt;&gt;B1421,A1422-A1421&gt;$U$1),1,""))&lt;&gt;1,"",IF(C1422="B01",1965,IF(C1422="B02",1020,IF(C1422="B05",2400,IF(C1422="B03",4260,IF(C1422="B04",2880,IF(C1422="B20",1260,0)))))))</f>
        <v/>
      </c>
      <c r="F1422" s="8" t="str">
        <f>IF(IF(D1422&lt;&gt;D1421,1,IF(OR(B1422&lt;&gt;B1421,A1422-A1421&gt;$U$1),1,""))&lt;&gt;1,"",IF(C1422="B01",1,IF(C1422="B05",1,IF(C1422="B03",1,IF(C1422="B04",1,IF(C1422="B20",1,IF(C1422="B02",1,0)))))))</f>
        <v/>
      </c>
      <c r="G1422"/>
      <c r="H1422" s="2"/>
      <c r="I1422" s="2"/>
      <c r="L1422"/>
      <c r="R1422"/>
    </row>
    <row r="1423" spans="1:18">
      <c r="A1423" s="3">
        <v>45782.472939814812</v>
      </c>
      <c r="B1423" s="2" t="s">
        <v>26</v>
      </c>
      <c r="C1423" s="2" t="s">
        <v>12</v>
      </c>
      <c r="D1423" s="6" t="str">
        <f>CONCATENATE(YEAR(A1423),"/",IF(MONTH(A1423)&lt;10,CONCATENATE("0",MONTH(A1423)),MONTH(A1423)))</f>
        <v>2025/05</v>
      </c>
      <c r="E1423" s="8">
        <f>IF(IF(D1423&lt;&gt;D1422,1,IF(OR(B1423&lt;&gt;B1422,A1423-A1422&gt;$U$1),1,""))&lt;&gt;1,"",IF(C1423="B01",1965,IF(C1423="B02",1020,IF(C1423="B05",2400,IF(C1423="B03",4260,IF(C1423="B04",2880,IF(C1423="B20",1260,0)))))))</f>
        <v>4260</v>
      </c>
      <c r="F1423" s="8">
        <f>IF(IF(D1423&lt;&gt;D1422,1,IF(OR(B1423&lt;&gt;B1422,A1423-A1422&gt;$U$1),1,""))&lt;&gt;1,"",IF(C1423="B01",1,IF(C1423="B05",1,IF(C1423="B03",1,IF(C1423="B04",1,IF(C1423="B20",1,IF(C1423="B02",1,0)))))))</f>
        <v>1</v>
      </c>
      <c r="G1423"/>
      <c r="H1423" s="2"/>
      <c r="I1423" s="2"/>
      <c r="L1423"/>
      <c r="R1423"/>
    </row>
    <row r="1424" spans="1:18">
      <c r="A1424" s="3">
        <v>45782.472939814812</v>
      </c>
      <c r="B1424" s="2" t="s">
        <v>26</v>
      </c>
      <c r="C1424" s="2" t="s">
        <v>12</v>
      </c>
      <c r="D1424" s="6" t="str">
        <f>CONCATENATE(YEAR(A1424),"/",IF(MONTH(A1424)&lt;10,CONCATENATE("0",MONTH(A1424)),MONTH(A1424)))</f>
        <v>2025/05</v>
      </c>
      <c r="E1424" s="8" t="str">
        <f>IF(IF(D1424&lt;&gt;D1423,1,IF(OR(B1424&lt;&gt;B1423,A1424-A1423&gt;$U$1),1,""))&lt;&gt;1,"",IF(C1424="B01",1965,IF(C1424="B02",1020,IF(C1424="B05",2400,IF(C1424="B03",4260,IF(C1424="B04",2880,IF(C1424="B20",1260,0)))))))</f>
        <v/>
      </c>
      <c r="F1424" s="8" t="str">
        <f>IF(IF(D1424&lt;&gt;D1423,1,IF(OR(B1424&lt;&gt;B1423,A1424-A1423&gt;$U$1),1,""))&lt;&gt;1,"",IF(C1424="B01",1,IF(C1424="B05",1,IF(C1424="B03",1,IF(C1424="B04",1,IF(C1424="B20",1,IF(C1424="B02",1,0)))))))</f>
        <v/>
      </c>
      <c r="G1424"/>
      <c r="H1424" s="2"/>
      <c r="I1424" s="2"/>
      <c r="L1424"/>
      <c r="R1424"/>
    </row>
    <row r="1425" spans="1:18">
      <c r="A1425" s="3">
        <v>45782.711319444446</v>
      </c>
      <c r="B1425" s="2" t="s">
        <v>26</v>
      </c>
      <c r="C1425" s="2" t="s">
        <v>12</v>
      </c>
      <c r="D1425" s="6" t="str">
        <f>CONCATENATE(YEAR(A1425),"/",IF(MONTH(A1425)&lt;10,CONCATENATE("0",MONTH(A1425)),MONTH(A1425)))</f>
        <v>2025/05</v>
      </c>
      <c r="E1425" s="8">
        <f>IF(IF(D1425&lt;&gt;D1424,1,IF(OR(B1425&lt;&gt;B1424,A1425-A1424&gt;$U$1),1,""))&lt;&gt;1,"",IF(C1425="B01",1965,IF(C1425="B02",1020,IF(C1425="B05",2400,IF(C1425="B03",4260,IF(C1425="B04",2880,IF(C1425="B20",1260,0)))))))</f>
        <v>4260</v>
      </c>
      <c r="F1425" s="8">
        <f>IF(IF(D1425&lt;&gt;D1424,1,IF(OR(B1425&lt;&gt;B1424,A1425-A1424&gt;$U$1),1,""))&lt;&gt;1,"",IF(C1425="B01",1,IF(C1425="B05",1,IF(C1425="B03",1,IF(C1425="B04",1,IF(C1425="B20",1,IF(C1425="B02",1,0)))))))</f>
        <v>1</v>
      </c>
      <c r="G1425"/>
      <c r="H1425" s="2"/>
      <c r="I1425" s="2"/>
      <c r="L1425"/>
      <c r="R1425"/>
    </row>
    <row r="1426" spans="1:18">
      <c r="A1426" s="3">
        <v>45782.711319444446</v>
      </c>
      <c r="B1426" s="2" t="s">
        <v>26</v>
      </c>
      <c r="C1426" s="2" t="s">
        <v>12</v>
      </c>
      <c r="D1426" s="6" t="str">
        <f>CONCATENATE(YEAR(A1426),"/",IF(MONTH(A1426)&lt;10,CONCATENATE("0",MONTH(A1426)),MONTH(A1426)))</f>
        <v>2025/05</v>
      </c>
      <c r="E1426" s="8" t="str">
        <f>IF(IF(D1426&lt;&gt;D1425,1,IF(OR(B1426&lt;&gt;B1425,A1426-A1425&gt;$U$1),1,""))&lt;&gt;1,"",IF(C1426="B01",1965,IF(C1426="B02",1020,IF(C1426="B05",2400,IF(C1426="B03",4260,IF(C1426="B04",2880,IF(C1426="B20",1260,0)))))))</f>
        <v/>
      </c>
      <c r="F1426" s="8" t="str">
        <f>IF(IF(D1426&lt;&gt;D1425,1,IF(OR(B1426&lt;&gt;B1425,A1426-A1425&gt;$U$1),1,""))&lt;&gt;1,"",IF(C1426="B01",1,IF(C1426="B05",1,IF(C1426="B03",1,IF(C1426="B04",1,IF(C1426="B20",1,IF(C1426="B02",1,0)))))))</f>
        <v/>
      </c>
      <c r="G1426"/>
      <c r="H1426" s="2"/>
      <c r="I1426" s="2"/>
      <c r="L1426"/>
      <c r="R1426"/>
    </row>
    <row r="1427" spans="1:18">
      <c r="A1427" s="3">
        <v>45782.904340277775</v>
      </c>
      <c r="B1427" s="2" t="s">
        <v>26</v>
      </c>
      <c r="C1427" s="2" t="s">
        <v>11</v>
      </c>
      <c r="D1427" s="6" t="str">
        <f>CONCATENATE(YEAR(A1427),"/",IF(MONTH(A1427)&lt;10,CONCATENATE("0",MONTH(A1427)),MONTH(A1427)))</f>
        <v>2025/05</v>
      </c>
      <c r="E1427" s="8">
        <f>IF(IF(D1427&lt;&gt;D1426,1,IF(OR(B1427&lt;&gt;B1426,A1427-A1426&gt;$U$1),1,""))&lt;&gt;1,"",IF(C1427="B01",1965,IF(C1427="B02",1020,IF(C1427="B05",2400,IF(C1427="B03",4260,IF(C1427="B04",2880,IF(C1427="B20",1260,0)))))))</f>
        <v>2400</v>
      </c>
      <c r="F1427" s="8">
        <f>IF(IF(D1427&lt;&gt;D1426,1,IF(OR(B1427&lt;&gt;B1426,A1427-A1426&gt;$U$1),1,""))&lt;&gt;1,"",IF(C1427="B01",1,IF(C1427="B05",1,IF(C1427="B03",1,IF(C1427="B04",1,IF(C1427="B20",1,IF(C1427="B02",1,0)))))))</f>
        <v>1</v>
      </c>
      <c r="G1427"/>
      <c r="H1427" s="2"/>
      <c r="I1427" s="2"/>
      <c r="L1427"/>
      <c r="R1427"/>
    </row>
    <row r="1428" spans="1:18">
      <c r="A1428" s="3">
        <v>45782.904340277775</v>
      </c>
      <c r="B1428" s="2" t="s">
        <v>26</v>
      </c>
      <c r="C1428" s="2" t="s">
        <v>11</v>
      </c>
      <c r="D1428" s="6" t="str">
        <f>CONCATENATE(YEAR(A1428),"/",IF(MONTH(A1428)&lt;10,CONCATENATE("0",MONTH(A1428)),MONTH(A1428)))</f>
        <v>2025/05</v>
      </c>
      <c r="E1428" s="8" t="str">
        <f>IF(IF(D1428&lt;&gt;D1427,1,IF(OR(B1428&lt;&gt;B1427,A1428-A1427&gt;$U$1),1,""))&lt;&gt;1,"",IF(C1428="B01",1965,IF(C1428="B02",1020,IF(C1428="B05",2400,IF(C1428="B03",4260,IF(C1428="B04",2880,IF(C1428="B20",1260,0)))))))</f>
        <v/>
      </c>
      <c r="F1428" s="8" t="str">
        <f>IF(IF(D1428&lt;&gt;D1427,1,IF(OR(B1428&lt;&gt;B1427,A1428-A1427&gt;$U$1),1,""))&lt;&gt;1,"",IF(C1428="B01",1,IF(C1428="B05",1,IF(C1428="B03",1,IF(C1428="B04",1,IF(C1428="B20",1,IF(C1428="B02",1,0)))))))</f>
        <v/>
      </c>
      <c r="G1428"/>
      <c r="H1428" s="2"/>
      <c r="I1428" s="2"/>
      <c r="L1428"/>
      <c r="R1428"/>
    </row>
    <row r="1429" spans="1:18">
      <c r="A1429" s="3">
        <v>45783.047349537039</v>
      </c>
      <c r="B1429" s="2" t="s">
        <v>26</v>
      </c>
      <c r="C1429" s="2" t="s">
        <v>12</v>
      </c>
      <c r="D1429" s="6" t="str">
        <f>CONCATENATE(YEAR(A1429),"/",IF(MONTH(A1429)&lt;10,CONCATENATE("0",MONTH(A1429)),MONTH(A1429)))</f>
        <v>2025/05</v>
      </c>
      <c r="E1429" s="8">
        <f>IF(IF(D1429&lt;&gt;D1428,1,IF(OR(B1429&lt;&gt;B1428,A1429-A1428&gt;$U$1),1,""))&lt;&gt;1,"",IF(C1429="B01",1965,IF(C1429="B02",1020,IF(C1429="B05",2400,IF(C1429="B03",4260,IF(C1429="B04",2880,IF(C1429="B20",1260,0)))))))</f>
        <v>4260</v>
      </c>
      <c r="F1429" s="8">
        <f>IF(IF(D1429&lt;&gt;D1428,1,IF(OR(B1429&lt;&gt;B1428,A1429-A1428&gt;$U$1),1,""))&lt;&gt;1,"",IF(C1429="B01",1,IF(C1429="B05",1,IF(C1429="B03",1,IF(C1429="B04",1,IF(C1429="B20",1,IF(C1429="B02",1,0)))))))</f>
        <v>1</v>
      </c>
      <c r="G1429"/>
      <c r="H1429" s="2"/>
      <c r="I1429" s="2"/>
      <c r="L1429"/>
      <c r="R1429"/>
    </row>
    <row r="1430" spans="1:18">
      <c r="A1430" s="3">
        <v>45783.047349537039</v>
      </c>
      <c r="B1430" s="2" t="s">
        <v>26</v>
      </c>
      <c r="C1430" s="2" t="s">
        <v>12</v>
      </c>
      <c r="D1430" s="6" t="str">
        <f>CONCATENATE(YEAR(A1430),"/",IF(MONTH(A1430)&lt;10,CONCATENATE("0",MONTH(A1430)),MONTH(A1430)))</f>
        <v>2025/05</v>
      </c>
      <c r="E1430" s="8" t="str">
        <f>IF(IF(D1430&lt;&gt;D1429,1,IF(OR(B1430&lt;&gt;B1429,A1430-A1429&gt;$U$1),1,""))&lt;&gt;1,"",IF(C1430="B01",1965,IF(C1430="B02",1020,IF(C1430="B05",2400,IF(C1430="B03",4260,IF(C1430="B04",2880,IF(C1430="B20",1260,0)))))))</f>
        <v/>
      </c>
      <c r="F1430" s="8" t="str">
        <f>IF(IF(D1430&lt;&gt;D1429,1,IF(OR(B1430&lt;&gt;B1429,A1430-A1429&gt;$U$1),1,""))&lt;&gt;1,"",IF(C1430="B01",1,IF(C1430="B05",1,IF(C1430="B03",1,IF(C1430="B04",1,IF(C1430="B20",1,IF(C1430="B02",1,0)))))))</f>
        <v/>
      </c>
      <c r="G1430"/>
      <c r="H1430" s="2"/>
      <c r="I1430" s="2"/>
      <c r="L1430"/>
      <c r="R1430"/>
    </row>
    <row r="1431" spans="1:18">
      <c r="A1431" s="3">
        <v>45783.178171296298</v>
      </c>
      <c r="B1431" s="2" t="s">
        <v>26</v>
      </c>
      <c r="C1431" s="2" t="s">
        <v>12</v>
      </c>
      <c r="D1431" s="6" t="str">
        <f>CONCATENATE(YEAR(A1431),"/",IF(MONTH(A1431)&lt;10,CONCATENATE("0",MONTH(A1431)),MONTH(A1431)))</f>
        <v>2025/05</v>
      </c>
      <c r="E1431" s="8">
        <f>IF(IF(D1431&lt;&gt;D1430,1,IF(OR(B1431&lt;&gt;B1430,A1431-A1430&gt;$U$1),1,""))&lt;&gt;1,"",IF(C1431="B01",1965,IF(C1431="B02",1020,IF(C1431="B05",2400,IF(C1431="B03",4260,IF(C1431="B04",2880,IF(C1431="B20",1260,0)))))))</f>
        <v>4260</v>
      </c>
      <c r="F1431" s="8">
        <f>IF(IF(D1431&lt;&gt;D1430,1,IF(OR(B1431&lt;&gt;B1430,A1431-A1430&gt;$U$1),1,""))&lt;&gt;1,"",IF(C1431="B01",1,IF(C1431="B05",1,IF(C1431="B03",1,IF(C1431="B04",1,IF(C1431="B20",1,IF(C1431="B02",1,0)))))))</f>
        <v>1</v>
      </c>
      <c r="G1431"/>
      <c r="H1431" s="2"/>
      <c r="I1431" s="2"/>
      <c r="L1431"/>
      <c r="R1431"/>
    </row>
    <row r="1432" spans="1:18">
      <c r="A1432" s="3">
        <v>45783.178171296298</v>
      </c>
      <c r="B1432" s="2" t="s">
        <v>26</v>
      </c>
      <c r="C1432" s="2" t="s">
        <v>12</v>
      </c>
      <c r="D1432" s="6" t="str">
        <f>CONCATENATE(YEAR(A1432),"/",IF(MONTH(A1432)&lt;10,CONCATENATE("0",MONTH(A1432)),MONTH(A1432)))</f>
        <v>2025/05</v>
      </c>
      <c r="E1432" s="8" t="str">
        <f>IF(IF(D1432&lt;&gt;D1431,1,IF(OR(B1432&lt;&gt;B1431,A1432-A1431&gt;$U$1),1,""))&lt;&gt;1,"",IF(C1432="B01",1965,IF(C1432="B02",1020,IF(C1432="B05",2400,IF(C1432="B03",4260,IF(C1432="B04",2880,IF(C1432="B20",1260,0)))))))</f>
        <v/>
      </c>
      <c r="F1432" s="8" t="str">
        <f>IF(IF(D1432&lt;&gt;D1431,1,IF(OR(B1432&lt;&gt;B1431,A1432-A1431&gt;$U$1),1,""))&lt;&gt;1,"",IF(C1432="B01",1,IF(C1432="B05",1,IF(C1432="B03",1,IF(C1432="B04",1,IF(C1432="B20",1,IF(C1432="B02",1,0)))))))</f>
        <v/>
      </c>
      <c r="G1432"/>
      <c r="H1432" s="2"/>
      <c r="I1432" s="2"/>
      <c r="L1432"/>
      <c r="R1432"/>
    </row>
    <row r="1433" spans="1:18">
      <c r="A1433" s="3">
        <v>45783.323877314811</v>
      </c>
      <c r="B1433" s="2" t="s">
        <v>26</v>
      </c>
      <c r="C1433" s="2" t="s">
        <v>11</v>
      </c>
      <c r="D1433" s="6" t="str">
        <f>CONCATENATE(YEAR(A1433),"/",IF(MONTH(A1433)&lt;10,CONCATENATE("0",MONTH(A1433)),MONTH(A1433)))</f>
        <v>2025/05</v>
      </c>
      <c r="E1433" s="8">
        <f>IF(IF(D1433&lt;&gt;D1432,1,IF(OR(B1433&lt;&gt;B1432,A1433-A1432&gt;$U$1),1,""))&lt;&gt;1,"",IF(C1433="B01",1965,IF(C1433="B02",1020,IF(C1433="B05",2400,IF(C1433="B03",4260,IF(C1433="B04",2880,IF(C1433="B20",1260,0)))))))</f>
        <v>2400</v>
      </c>
      <c r="F1433" s="8">
        <f>IF(IF(D1433&lt;&gt;D1432,1,IF(OR(B1433&lt;&gt;B1432,A1433-A1432&gt;$U$1),1,""))&lt;&gt;1,"",IF(C1433="B01",1,IF(C1433="B05",1,IF(C1433="B03",1,IF(C1433="B04",1,IF(C1433="B20",1,IF(C1433="B02",1,0)))))))</f>
        <v>1</v>
      </c>
      <c r="G1433"/>
      <c r="H1433" s="2"/>
      <c r="I1433" s="2"/>
      <c r="L1433"/>
      <c r="R1433"/>
    </row>
    <row r="1434" spans="1:18">
      <c r="A1434" s="3">
        <v>45783.323877314811</v>
      </c>
      <c r="B1434" s="2" t="s">
        <v>26</v>
      </c>
      <c r="C1434" s="2" t="s">
        <v>11</v>
      </c>
      <c r="D1434" s="6" t="str">
        <f>CONCATENATE(YEAR(A1434),"/",IF(MONTH(A1434)&lt;10,CONCATENATE("0",MONTH(A1434)),MONTH(A1434)))</f>
        <v>2025/05</v>
      </c>
      <c r="E1434" s="8" t="str">
        <f>IF(IF(D1434&lt;&gt;D1433,1,IF(OR(B1434&lt;&gt;B1433,A1434-A1433&gt;$U$1),1,""))&lt;&gt;1,"",IF(C1434="B01",1965,IF(C1434="B02",1020,IF(C1434="B05",2400,IF(C1434="B03",4260,IF(C1434="B04",2880,IF(C1434="B20",1260,0)))))))</f>
        <v/>
      </c>
      <c r="F1434" s="8" t="str">
        <f>IF(IF(D1434&lt;&gt;D1433,1,IF(OR(B1434&lt;&gt;B1433,A1434-A1433&gt;$U$1),1,""))&lt;&gt;1,"",IF(C1434="B01",1,IF(C1434="B05",1,IF(C1434="B03",1,IF(C1434="B04",1,IF(C1434="B20",1,IF(C1434="B02",1,0)))))))</f>
        <v/>
      </c>
      <c r="G1434"/>
      <c r="H1434" s="2"/>
      <c r="I1434" s="2"/>
      <c r="L1434"/>
      <c r="R1434"/>
    </row>
    <row r="1435" spans="1:18">
      <c r="A1435" s="3">
        <v>45783.323877314811</v>
      </c>
      <c r="B1435" s="2" t="s">
        <v>26</v>
      </c>
      <c r="C1435" s="2" t="s">
        <v>11</v>
      </c>
      <c r="D1435" s="6" t="str">
        <f>CONCATENATE(YEAR(A1435),"/",IF(MONTH(A1435)&lt;10,CONCATENATE("0",MONTH(A1435)),MONTH(A1435)))</f>
        <v>2025/05</v>
      </c>
      <c r="E1435" s="8" t="str">
        <f>IF(IF(D1435&lt;&gt;D1434,1,IF(OR(B1435&lt;&gt;B1434,A1435-A1434&gt;$U$1),1,""))&lt;&gt;1,"",IF(C1435="B01",1965,IF(C1435="B02",1020,IF(C1435="B05",2400,IF(C1435="B03",4260,IF(C1435="B04",2880,IF(C1435="B20",1260,0)))))))</f>
        <v/>
      </c>
      <c r="F1435" s="8" t="str">
        <f>IF(IF(D1435&lt;&gt;D1434,1,IF(OR(B1435&lt;&gt;B1434,A1435-A1434&gt;$U$1),1,""))&lt;&gt;1,"",IF(C1435="B01",1,IF(C1435="B05",1,IF(C1435="B03",1,IF(C1435="B04",1,IF(C1435="B20",1,IF(C1435="B02",1,0)))))))</f>
        <v/>
      </c>
      <c r="G1435"/>
      <c r="H1435" s="2"/>
      <c r="I1435" s="2"/>
      <c r="L1435"/>
      <c r="R1435"/>
    </row>
    <row r="1436" spans="1:18">
      <c r="A1436" s="3">
        <v>45783.466099537036</v>
      </c>
      <c r="B1436" s="2" t="s">
        <v>26</v>
      </c>
      <c r="C1436" s="2" t="s">
        <v>11</v>
      </c>
      <c r="D1436" s="6" t="str">
        <f>CONCATENATE(YEAR(A1436),"/",IF(MONTH(A1436)&lt;10,CONCATENATE("0",MONTH(A1436)),MONTH(A1436)))</f>
        <v>2025/05</v>
      </c>
      <c r="E1436" s="8">
        <f>IF(IF(D1436&lt;&gt;D1435,1,IF(OR(B1436&lt;&gt;B1435,A1436-A1435&gt;$U$1),1,""))&lt;&gt;1,"",IF(C1436="B01",1965,IF(C1436="B02",1020,IF(C1436="B05",2400,IF(C1436="B03",4260,IF(C1436="B04",2880,IF(C1436="B20",1260,0)))))))</f>
        <v>2400</v>
      </c>
      <c r="F1436" s="8">
        <f>IF(IF(D1436&lt;&gt;D1435,1,IF(OR(B1436&lt;&gt;B1435,A1436-A1435&gt;$U$1),1,""))&lt;&gt;1,"",IF(C1436="B01",1,IF(C1436="B05",1,IF(C1436="B03",1,IF(C1436="B04",1,IF(C1436="B20",1,IF(C1436="B02",1,0)))))))</f>
        <v>1</v>
      </c>
      <c r="G1436"/>
      <c r="H1436" s="2"/>
      <c r="I1436" s="2"/>
      <c r="L1436"/>
      <c r="R1436"/>
    </row>
    <row r="1437" spans="1:18">
      <c r="A1437" s="3">
        <v>45783.466099537036</v>
      </c>
      <c r="B1437" s="2" t="s">
        <v>26</v>
      </c>
      <c r="C1437" s="2" t="s">
        <v>11</v>
      </c>
      <c r="D1437" s="6" t="str">
        <f>CONCATENATE(YEAR(A1437),"/",IF(MONTH(A1437)&lt;10,CONCATENATE("0",MONTH(A1437)),MONTH(A1437)))</f>
        <v>2025/05</v>
      </c>
      <c r="E1437" s="8" t="str">
        <f>IF(IF(D1437&lt;&gt;D1436,1,IF(OR(B1437&lt;&gt;B1436,A1437-A1436&gt;$U$1),1,""))&lt;&gt;1,"",IF(C1437="B01",1965,IF(C1437="B02",1020,IF(C1437="B05",2400,IF(C1437="B03",4260,IF(C1437="B04",2880,IF(C1437="B20",1260,0)))))))</f>
        <v/>
      </c>
      <c r="F1437" s="8" t="str">
        <f>IF(IF(D1437&lt;&gt;D1436,1,IF(OR(B1437&lt;&gt;B1436,A1437-A1436&gt;$U$1),1,""))&lt;&gt;1,"",IF(C1437="B01",1,IF(C1437="B05",1,IF(C1437="B03",1,IF(C1437="B04",1,IF(C1437="B20",1,IF(C1437="B02",1,0)))))))</f>
        <v/>
      </c>
      <c r="G1437"/>
      <c r="H1437" s="2"/>
      <c r="I1437" s="2"/>
      <c r="L1437"/>
      <c r="R1437"/>
    </row>
    <row r="1438" spans="1:18">
      <c r="A1438" s="3">
        <v>45783.588159722225</v>
      </c>
      <c r="B1438" s="2" t="s">
        <v>26</v>
      </c>
      <c r="C1438" s="2" t="s">
        <v>11</v>
      </c>
      <c r="D1438" s="6" t="str">
        <f>CONCATENATE(YEAR(A1438),"/",IF(MONTH(A1438)&lt;10,CONCATENATE("0",MONTH(A1438)),MONTH(A1438)))</f>
        <v>2025/05</v>
      </c>
      <c r="E1438" s="8">
        <f>IF(IF(D1438&lt;&gt;D1437,1,IF(OR(B1438&lt;&gt;B1437,A1438-A1437&gt;$U$1),1,""))&lt;&gt;1,"",IF(C1438="B01",1965,IF(C1438="B02",1020,IF(C1438="B05",2400,IF(C1438="B03",4260,IF(C1438="B04",2880,IF(C1438="B20",1260,0)))))))</f>
        <v>2400</v>
      </c>
      <c r="F1438" s="8">
        <f>IF(IF(D1438&lt;&gt;D1437,1,IF(OR(B1438&lt;&gt;B1437,A1438-A1437&gt;$U$1),1,""))&lt;&gt;1,"",IF(C1438="B01",1,IF(C1438="B05",1,IF(C1438="B03",1,IF(C1438="B04",1,IF(C1438="B20",1,IF(C1438="B02",1,0)))))))</f>
        <v>1</v>
      </c>
      <c r="G1438"/>
      <c r="H1438" s="2"/>
      <c r="I1438" s="2"/>
      <c r="L1438"/>
      <c r="R1438"/>
    </row>
    <row r="1439" spans="1:18">
      <c r="A1439" s="3">
        <v>45783.588159722225</v>
      </c>
      <c r="B1439" s="2" t="s">
        <v>26</v>
      </c>
      <c r="C1439" s="2" t="s">
        <v>11</v>
      </c>
      <c r="D1439" s="6" t="str">
        <f>CONCATENATE(YEAR(A1439),"/",IF(MONTH(A1439)&lt;10,CONCATENATE("0",MONTH(A1439)),MONTH(A1439)))</f>
        <v>2025/05</v>
      </c>
      <c r="E1439" s="8" t="str">
        <f>IF(IF(D1439&lt;&gt;D1438,1,IF(OR(B1439&lt;&gt;B1438,A1439-A1438&gt;$U$1),1,""))&lt;&gt;1,"",IF(C1439="B01",1965,IF(C1439="B02",1020,IF(C1439="B05",2400,IF(C1439="B03",4260,IF(C1439="B04",2880,IF(C1439="B20",1260,0)))))))</f>
        <v/>
      </c>
      <c r="F1439" s="8" t="str">
        <f>IF(IF(D1439&lt;&gt;D1438,1,IF(OR(B1439&lt;&gt;B1438,A1439-A1438&gt;$U$1),1,""))&lt;&gt;1,"",IF(C1439="B01",1,IF(C1439="B05",1,IF(C1439="B03",1,IF(C1439="B04",1,IF(C1439="B20",1,IF(C1439="B02",1,0)))))))</f>
        <v/>
      </c>
      <c r="G1439"/>
      <c r="H1439" s="2"/>
      <c r="I1439" s="2"/>
      <c r="L1439"/>
      <c r="R1439"/>
    </row>
    <row r="1440" spans="1:18">
      <c r="A1440" s="3">
        <v>45783.709398148145</v>
      </c>
      <c r="B1440" s="2" t="s">
        <v>26</v>
      </c>
      <c r="C1440" s="2" t="s">
        <v>11</v>
      </c>
      <c r="D1440" s="6" t="str">
        <f>CONCATENATE(YEAR(A1440),"/",IF(MONTH(A1440)&lt;10,CONCATENATE("0",MONTH(A1440)),MONTH(A1440)))</f>
        <v>2025/05</v>
      </c>
      <c r="E1440" s="8">
        <f>IF(IF(D1440&lt;&gt;D1439,1,IF(OR(B1440&lt;&gt;B1439,A1440-A1439&gt;$U$1),1,""))&lt;&gt;1,"",IF(C1440="B01",1965,IF(C1440="B02",1020,IF(C1440="B05",2400,IF(C1440="B03",4260,IF(C1440="B04",2880,IF(C1440="B20",1260,0)))))))</f>
        <v>2400</v>
      </c>
      <c r="F1440" s="8">
        <f>IF(IF(D1440&lt;&gt;D1439,1,IF(OR(B1440&lt;&gt;B1439,A1440-A1439&gt;$U$1),1,""))&lt;&gt;1,"",IF(C1440="B01",1,IF(C1440="B05",1,IF(C1440="B03",1,IF(C1440="B04",1,IF(C1440="B20",1,IF(C1440="B02",1,0)))))))</f>
        <v>1</v>
      </c>
      <c r="G1440"/>
      <c r="H1440" s="2"/>
      <c r="I1440" s="2"/>
      <c r="L1440"/>
      <c r="R1440"/>
    </row>
    <row r="1441" spans="1:18">
      <c r="A1441" s="3">
        <v>45783.709398148145</v>
      </c>
      <c r="B1441" s="2" t="s">
        <v>26</v>
      </c>
      <c r="C1441" s="2" t="s">
        <v>11</v>
      </c>
      <c r="D1441" s="6" t="str">
        <f>CONCATENATE(YEAR(A1441),"/",IF(MONTH(A1441)&lt;10,CONCATENATE("0",MONTH(A1441)),MONTH(A1441)))</f>
        <v>2025/05</v>
      </c>
      <c r="E1441" s="8" t="str">
        <f>IF(IF(D1441&lt;&gt;D1440,1,IF(OR(B1441&lt;&gt;B1440,A1441-A1440&gt;$U$1),1,""))&lt;&gt;1,"",IF(C1441="B01",1965,IF(C1441="B02",1020,IF(C1441="B05",2400,IF(C1441="B03",4260,IF(C1441="B04",2880,IF(C1441="B20",1260,0)))))))</f>
        <v/>
      </c>
      <c r="F1441" s="8" t="str">
        <f>IF(IF(D1441&lt;&gt;D1440,1,IF(OR(B1441&lt;&gt;B1440,A1441-A1440&gt;$U$1),1,""))&lt;&gt;1,"",IF(C1441="B01",1,IF(C1441="B05",1,IF(C1441="B03",1,IF(C1441="B04",1,IF(C1441="B20",1,IF(C1441="B02",1,0)))))))</f>
        <v/>
      </c>
      <c r="G1441"/>
      <c r="H1441" s="2"/>
      <c r="I1441" s="2"/>
      <c r="L1441"/>
      <c r="R1441"/>
    </row>
    <row r="1442" spans="1:18">
      <c r="A1442" s="3">
        <v>45783.709398148145</v>
      </c>
      <c r="B1442" s="2" t="s">
        <v>26</v>
      </c>
      <c r="C1442" s="2" t="s">
        <v>11</v>
      </c>
      <c r="D1442" s="6" t="str">
        <f>CONCATENATE(YEAR(A1442),"/",IF(MONTH(A1442)&lt;10,CONCATENATE("0",MONTH(A1442)),MONTH(A1442)))</f>
        <v>2025/05</v>
      </c>
      <c r="E1442" s="8" t="str">
        <f>IF(IF(D1442&lt;&gt;D1441,1,IF(OR(B1442&lt;&gt;B1441,A1442-A1441&gt;$U$1),1,""))&lt;&gt;1,"",IF(C1442="B01",1965,IF(C1442="B02",1020,IF(C1442="B05",2400,IF(C1442="B03",4260,IF(C1442="B04",2880,IF(C1442="B20",1260,0)))))))</f>
        <v/>
      </c>
      <c r="F1442" s="8" t="str">
        <f>IF(IF(D1442&lt;&gt;D1441,1,IF(OR(B1442&lt;&gt;B1441,A1442-A1441&gt;$U$1),1,""))&lt;&gt;1,"",IF(C1442="B01",1,IF(C1442="B05",1,IF(C1442="B03",1,IF(C1442="B04",1,IF(C1442="B20",1,IF(C1442="B02",1,0)))))))</f>
        <v/>
      </c>
      <c r="G1442"/>
      <c r="H1442" s="2"/>
      <c r="I1442" s="2"/>
      <c r="L1442"/>
      <c r="R1442"/>
    </row>
    <row r="1443" spans="1:18">
      <c r="A1443" s="3">
        <v>45783.877893518518</v>
      </c>
      <c r="B1443" s="2" t="s">
        <v>26</v>
      </c>
      <c r="C1443" s="2" t="s">
        <v>12</v>
      </c>
      <c r="D1443" s="6" t="str">
        <f>CONCATENATE(YEAR(A1443),"/",IF(MONTH(A1443)&lt;10,CONCATENATE("0",MONTH(A1443)),MONTH(A1443)))</f>
        <v>2025/05</v>
      </c>
      <c r="E1443" s="8">
        <f>IF(IF(D1443&lt;&gt;D1442,1,IF(OR(B1443&lt;&gt;B1442,A1443-A1442&gt;$U$1),1,""))&lt;&gt;1,"",IF(C1443="B01",1965,IF(C1443="B02",1020,IF(C1443="B05",2400,IF(C1443="B03",4260,IF(C1443="B04",2880,IF(C1443="B20",1260,0)))))))</f>
        <v>4260</v>
      </c>
      <c r="F1443" s="8">
        <f>IF(IF(D1443&lt;&gt;D1442,1,IF(OR(B1443&lt;&gt;B1442,A1443-A1442&gt;$U$1),1,""))&lt;&gt;1,"",IF(C1443="B01",1,IF(C1443="B05",1,IF(C1443="B03",1,IF(C1443="B04",1,IF(C1443="B20",1,IF(C1443="B02",1,0)))))))</f>
        <v>1</v>
      </c>
      <c r="G1443"/>
      <c r="H1443" s="2"/>
      <c r="I1443" s="2"/>
      <c r="L1443"/>
      <c r="R1443"/>
    </row>
    <row r="1444" spans="1:18">
      <c r="A1444" s="3">
        <v>45783.877893518518</v>
      </c>
      <c r="B1444" s="2" t="s">
        <v>26</v>
      </c>
      <c r="C1444" s="2" t="s">
        <v>12</v>
      </c>
      <c r="D1444" s="6" t="str">
        <f>CONCATENATE(YEAR(A1444),"/",IF(MONTH(A1444)&lt;10,CONCATENATE("0",MONTH(A1444)),MONTH(A1444)))</f>
        <v>2025/05</v>
      </c>
      <c r="E1444" s="8" t="str">
        <f>IF(IF(D1444&lt;&gt;D1443,1,IF(OR(B1444&lt;&gt;B1443,A1444-A1443&gt;$U$1),1,""))&lt;&gt;1,"",IF(C1444="B01",1965,IF(C1444="B02",1020,IF(C1444="B05",2400,IF(C1444="B03",4260,IF(C1444="B04",2880,IF(C1444="B20",1260,0)))))))</f>
        <v/>
      </c>
      <c r="F1444" s="8" t="str">
        <f>IF(IF(D1444&lt;&gt;D1443,1,IF(OR(B1444&lt;&gt;B1443,A1444-A1443&gt;$U$1),1,""))&lt;&gt;1,"",IF(C1444="B01",1,IF(C1444="B05",1,IF(C1444="B03",1,IF(C1444="B04",1,IF(C1444="B20",1,IF(C1444="B02",1,0)))))))</f>
        <v/>
      </c>
      <c r="G1444"/>
      <c r="H1444" s="2"/>
      <c r="I1444" s="2"/>
      <c r="L1444"/>
      <c r="R1444"/>
    </row>
    <row r="1445" spans="1:18">
      <c r="A1445" s="3">
        <v>45784.085324074076</v>
      </c>
      <c r="B1445" s="2" t="s">
        <v>26</v>
      </c>
      <c r="C1445" s="2" t="s">
        <v>11</v>
      </c>
      <c r="D1445" s="6" t="str">
        <f>CONCATENATE(YEAR(A1445),"/",IF(MONTH(A1445)&lt;10,CONCATENATE("0",MONTH(A1445)),MONTH(A1445)))</f>
        <v>2025/05</v>
      </c>
      <c r="E1445" s="8">
        <f>IF(IF(D1445&lt;&gt;D1444,1,IF(OR(B1445&lt;&gt;B1444,A1445-A1444&gt;$U$1),1,""))&lt;&gt;1,"",IF(C1445="B01",1965,IF(C1445="B02",1020,IF(C1445="B05",2400,IF(C1445="B03",4260,IF(C1445="B04",2880,IF(C1445="B20",1260,0)))))))</f>
        <v>2400</v>
      </c>
      <c r="F1445" s="8">
        <f>IF(IF(D1445&lt;&gt;D1444,1,IF(OR(B1445&lt;&gt;B1444,A1445-A1444&gt;$U$1),1,""))&lt;&gt;1,"",IF(C1445="B01",1,IF(C1445="B05",1,IF(C1445="B03",1,IF(C1445="B04",1,IF(C1445="B20",1,IF(C1445="B02",1,0)))))))</f>
        <v>1</v>
      </c>
      <c r="G1445"/>
      <c r="H1445" s="2"/>
      <c r="I1445" s="2"/>
      <c r="L1445"/>
      <c r="R1445"/>
    </row>
    <row r="1446" spans="1:18">
      <c r="A1446" s="3">
        <v>45784.085324074076</v>
      </c>
      <c r="B1446" s="2" t="s">
        <v>26</v>
      </c>
      <c r="C1446" s="2" t="s">
        <v>11</v>
      </c>
      <c r="D1446" s="6" t="str">
        <f>CONCATENATE(YEAR(A1446),"/",IF(MONTH(A1446)&lt;10,CONCATENATE("0",MONTH(A1446)),MONTH(A1446)))</f>
        <v>2025/05</v>
      </c>
      <c r="E1446" s="8" t="str">
        <f>IF(IF(D1446&lt;&gt;D1445,1,IF(OR(B1446&lt;&gt;B1445,A1446-A1445&gt;$U$1),1,""))&lt;&gt;1,"",IF(C1446="B01",1965,IF(C1446="B02",1020,IF(C1446="B05",2400,IF(C1446="B03",4260,IF(C1446="B04",2880,IF(C1446="B20",1260,0)))))))</f>
        <v/>
      </c>
      <c r="F1446" s="8" t="str">
        <f>IF(IF(D1446&lt;&gt;D1445,1,IF(OR(B1446&lt;&gt;B1445,A1446-A1445&gt;$U$1),1,""))&lt;&gt;1,"",IF(C1446="B01",1,IF(C1446="B05",1,IF(C1446="B03",1,IF(C1446="B04",1,IF(C1446="B20",1,IF(C1446="B02",1,0)))))))</f>
        <v/>
      </c>
      <c r="G1446"/>
      <c r="H1446" s="2"/>
      <c r="I1446" s="2"/>
      <c r="L1446"/>
      <c r="R1446"/>
    </row>
    <row r="1447" spans="1:18">
      <c r="A1447" s="3">
        <v>45784.42291666667</v>
      </c>
      <c r="B1447" s="2" t="s">
        <v>26</v>
      </c>
      <c r="C1447" s="2" t="s">
        <v>11</v>
      </c>
      <c r="D1447" s="6" t="str">
        <f>CONCATENATE(YEAR(A1447),"/",IF(MONTH(A1447)&lt;10,CONCATENATE("0",MONTH(A1447)),MONTH(A1447)))</f>
        <v>2025/05</v>
      </c>
      <c r="E1447" s="8">
        <f>IF(IF(D1447&lt;&gt;D1446,1,IF(OR(B1447&lt;&gt;B1446,A1447-A1446&gt;$U$1),1,""))&lt;&gt;1,"",IF(C1447="B01",1965,IF(C1447="B02",1020,IF(C1447="B05",2400,IF(C1447="B03",4260,IF(C1447="B04",2880,IF(C1447="B20",1260,0)))))))</f>
        <v>2400</v>
      </c>
      <c r="F1447" s="8">
        <f>IF(IF(D1447&lt;&gt;D1446,1,IF(OR(B1447&lt;&gt;B1446,A1447-A1446&gt;$U$1),1,""))&lt;&gt;1,"",IF(C1447="B01",1,IF(C1447="B05",1,IF(C1447="B03",1,IF(C1447="B04",1,IF(C1447="B20",1,IF(C1447="B02",1,0)))))))</f>
        <v>1</v>
      </c>
      <c r="G1447"/>
      <c r="H1447" s="2"/>
      <c r="I1447" s="2"/>
      <c r="L1447"/>
      <c r="R1447"/>
    </row>
    <row r="1448" spans="1:18">
      <c r="A1448" s="3">
        <v>45784.42291666667</v>
      </c>
      <c r="B1448" s="2" t="s">
        <v>26</v>
      </c>
      <c r="C1448" s="2" t="s">
        <v>11</v>
      </c>
      <c r="D1448" s="6" t="str">
        <f>CONCATENATE(YEAR(A1448),"/",IF(MONTH(A1448)&lt;10,CONCATENATE("0",MONTH(A1448)),MONTH(A1448)))</f>
        <v>2025/05</v>
      </c>
      <c r="E1448" s="8" t="str">
        <f>IF(IF(D1448&lt;&gt;D1447,1,IF(OR(B1448&lt;&gt;B1447,A1448-A1447&gt;$U$1),1,""))&lt;&gt;1,"",IF(C1448="B01",1965,IF(C1448="B02",1020,IF(C1448="B05",2400,IF(C1448="B03",4260,IF(C1448="B04",2880,IF(C1448="B20",1260,0)))))))</f>
        <v/>
      </c>
      <c r="F1448" s="8" t="str">
        <f>IF(IF(D1448&lt;&gt;D1447,1,IF(OR(B1448&lt;&gt;B1447,A1448-A1447&gt;$U$1),1,""))&lt;&gt;1,"",IF(C1448="B01",1,IF(C1448="B05",1,IF(C1448="B03",1,IF(C1448="B04",1,IF(C1448="B20",1,IF(C1448="B02",1,0)))))))</f>
        <v/>
      </c>
      <c r="G1448"/>
      <c r="H1448" s="2"/>
      <c r="I1448" s="2"/>
      <c r="L1448"/>
      <c r="R1448"/>
    </row>
    <row r="1449" spans="1:18">
      <c r="A1449" s="3">
        <v>45784.42291666667</v>
      </c>
      <c r="B1449" s="2" t="s">
        <v>26</v>
      </c>
      <c r="C1449" s="2" t="s">
        <v>11</v>
      </c>
      <c r="D1449" s="6" t="str">
        <f>CONCATENATE(YEAR(A1449),"/",IF(MONTH(A1449)&lt;10,CONCATENATE("0",MONTH(A1449)),MONTH(A1449)))</f>
        <v>2025/05</v>
      </c>
      <c r="E1449" s="8" t="str">
        <f>IF(IF(D1449&lt;&gt;D1448,1,IF(OR(B1449&lt;&gt;B1448,A1449-A1448&gt;$U$1),1,""))&lt;&gt;1,"",IF(C1449="B01",1965,IF(C1449="B02",1020,IF(C1449="B05",2400,IF(C1449="B03",4260,IF(C1449="B04",2880,IF(C1449="B20",1260,0)))))))</f>
        <v/>
      </c>
      <c r="F1449" s="8" t="str">
        <f>IF(IF(D1449&lt;&gt;D1448,1,IF(OR(B1449&lt;&gt;B1448,A1449-A1448&gt;$U$1),1,""))&lt;&gt;1,"",IF(C1449="B01",1,IF(C1449="B05",1,IF(C1449="B03",1,IF(C1449="B04",1,IF(C1449="B20",1,IF(C1449="B02",1,0)))))))</f>
        <v/>
      </c>
      <c r="G1449"/>
      <c r="H1449" s="2"/>
      <c r="I1449" s="2"/>
      <c r="L1449"/>
      <c r="R1449"/>
    </row>
    <row r="1450" spans="1:18">
      <c r="A1450" s="3">
        <v>45784.545601851853</v>
      </c>
      <c r="B1450" s="2" t="s">
        <v>26</v>
      </c>
      <c r="C1450" s="2" t="s">
        <v>12</v>
      </c>
      <c r="D1450" s="6" t="str">
        <f>CONCATENATE(YEAR(A1450),"/",IF(MONTH(A1450)&lt;10,CONCATENATE("0",MONTH(A1450)),MONTH(A1450)))</f>
        <v>2025/05</v>
      </c>
      <c r="E1450" s="8">
        <f>IF(IF(D1450&lt;&gt;D1449,1,IF(OR(B1450&lt;&gt;B1449,A1450-A1449&gt;$U$1),1,""))&lt;&gt;1,"",IF(C1450="B01",1965,IF(C1450="B02",1020,IF(C1450="B05",2400,IF(C1450="B03",4260,IF(C1450="B04",2880,IF(C1450="B20",1260,0)))))))</f>
        <v>4260</v>
      </c>
      <c r="F1450" s="8">
        <f>IF(IF(D1450&lt;&gt;D1449,1,IF(OR(B1450&lt;&gt;B1449,A1450-A1449&gt;$U$1),1,""))&lt;&gt;1,"",IF(C1450="B01",1,IF(C1450="B05",1,IF(C1450="B03",1,IF(C1450="B04",1,IF(C1450="B20",1,IF(C1450="B02",1,0)))))))</f>
        <v>1</v>
      </c>
      <c r="G1450"/>
      <c r="H1450" s="2"/>
      <c r="I1450" s="2"/>
      <c r="L1450"/>
      <c r="R1450"/>
    </row>
    <row r="1451" spans="1:18">
      <c r="A1451" s="3">
        <v>45784.545601851853</v>
      </c>
      <c r="B1451" s="2" t="s">
        <v>26</v>
      </c>
      <c r="C1451" s="2" t="s">
        <v>12</v>
      </c>
      <c r="D1451" s="6" t="str">
        <f>CONCATENATE(YEAR(A1451),"/",IF(MONTH(A1451)&lt;10,CONCATENATE("0",MONTH(A1451)),MONTH(A1451)))</f>
        <v>2025/05</v>
      </c>
      <c r="E1451" s="8" t="str">
        <f>IF(IF(D1451&lt;&gt;D1450,1,IF(OR(B1451&lt;&gt;B1450,A1451-A1450&gt;$U$1),1,""))&lt;&gt;1,"",IF(C1451="B01",1965,IF(C1451="B02",1020,IF(C1451="B05",2400,IF(C1451="B03",4260,IF(C1451="B04",2880,IF(C1451="B20",1260,0)))))))</f>
        <v/>
      </c>
      <c r="F1451" s="8" t="str">
        <f>IF(IF(D1451&lt;&gt;D1450,1,IF(OR(B1451&lt;&gt;B1450,A1451-A1450&gt;$U$1),1,""))&lt;&gt;1,"",IF(C1451="B01",1,IF(C1451="B05",1,IF(C1451="B03",1,IF(C1451="B04",1,IF(C1451="B20",1,IF(C1451="B02",1,0)))))))</f>
        <v/>
      </c>
      <c r="G1451"/>
      <c r="H1451" s="2"/>
      <c r="I1451" s="2"/>
      <c r="L1451"/>
      <c r="R1451"/>
    </row>
    <row r="1452" spans="1:18">
      <c r="A1452" s="3">
        <v>45784.545601851853</v>
      </c>
      <c r="B1452" s="2" t="s">
        <v>26</v>
      </c>
      <c r="C1452" s="2" t="s">
        <v>12</v>
      </c>
      <c r="D1452" s="6" t="str">
        <f>CONCATENATE(YEAR(A1452),"/",IF(MONTH(A1452)&lt;10,CONCATENATE("0",MONTH(A1452)),MONTH(A1452)))</f>
        <v>2025/05</v>
      </c>
      <c r="E1452" s="8" t="str">
        <f>IF(IF(D1452&lt;&gt;D1451,1,IF(OR(B1452&lt;&gt;B1451,A1452-A1451&gt;$U$1),1,""))&lt;&gt;1,"",IF(C1452="B01",1965,IF(C1452="B02",1020,IF(C1452="B05",2400,IF(C1452="B03",4260,IF(C1452="B04",2880,IF(C1452="B20",1260,0)))))))</f>
        <v/>
      </c>
      <c r="F1452" s="8" t="str">
        <f>IF(IF(D1452&lt;&gt;D1451,1,IF(OR(B1452&lt;&gt;B1451,A1452-A1451&gt;$U$1),1,""))&lt;&gt;1,"",IF(C1452="B01",1,IF(C1452="B05",1,IF(C1452="B03",1,IF(C1452="B04",1,IF(C1452="B20",1,IF(C1452="B02",1,0)))))))</f>
        <v/>
      </c>
      <c r="G1452"/>
      <c r="H1452" s="2"/>
      <c r="I1452" s="2"/>
      <c r="L1452"/>
      <c r="R1452"/>
    </row>
    <row r="1453" spans="1:18">
      <c r="A1453" s="3">
        <v>45784.901493055557</v>
      </c>
      <c r="B1453" s="2" t="s">
        <v>26</v>
      </c>
      <c r="C1453" s="2" t="s">
        <v>12</v>
      </c>
      <c r="D1453" s="6" t="str">
        <f>CONCATENATE(YEAR(A1453),"/",IF(MONTH(A1453)&lt;10,CONCATENATE("0",MONTH(A1453)),MONTH(A1453)))</f>
        <v>2025/05</v>
      </c>
      <c r="E1453" s="8">
        <f>IF(IF(D1453&lt;&gt;D1452,1,IF(OR(B1453&lt;&gt;B1452,A1453-A1452&gt;$U$1),1,""))&lt;&gt;1,"",IF(C1453="B01",1965,IF(C1453="B02",1020,IF(C1453="B05",2400,IF(C1453="B03",4260,IF(C1453="B04",2880,IF(C1453="B20",1260,0)))))))</f>
        <v>4260</v>
      </c>
      <c r="F1453" s="8">
        <f>IF(IF(D1453&lt;&gt;D1452,1,IF(OR(B1453&lt;&gt;B1452,A1453-A1452&gt;$U$1),1,""))&lt;&gt;1,"",IF(C1453="B01",1,IF(C1453="B05",1,IF(C1453="B03",1,IF(C1453="B04",1,IF(C1453="B20",1,IF(C1453="B02",1,0)))))))</f>
        <v>1</v>
      </c>
      <c r="G1453"/>
      <c r="H1453" s="2"/>
      <c r="I1453" s="2"/>
      <c r="L1453"/>
      <c r="R1453"/>
    </row>
    <row r="1454" spans="1:18">
      <c r="A1454" s="3">
        <v>45784.901493055557</v>
      </c>
      <c r="B1454" s="2" t="s">
        <v>26</v>
      </c>
      <c r="C1454" s="2" t="s">
        <v>12</v>
      </c>
      <c r="D1454" s="6" t="str">
        <f>CONCATENATE(YEAR(A1454),"/",IF(MONTH(A1454)&lt;10,CONCATENATE("0",MONTH(A1454)),MONTH(A1454)))</f>
        <v>2025/05</v>
      </c>
      <c r="E1454" s="8" t="str">
        <f>IF(IF(D1454&lt;&gt;D1453,1,IF(OR(B1454&lt;&gt;B1453,A1454-A1453&gt;$U$1),1,""))&lt;&gt;1,"",IF(C1454="B01",1965,IF(C1454="B02",1020,IF(C1454="B05",2400,IF(C1454="B03",4260,IF(C1454="B04",2880,IF(C1454="B20",1260,0)))))))</f>
        <v/>
      </c>
      <c r="F1454" s="8" t="str">
        <f>IF(IF(D1454&lt;&gt;D1453,1,IF(OR(B1454&lt;&gt;B1453,A1454-A1453&gt;$U$1),1,""))&lt;&gt;1,"",IF(C1454="B01",1,IF(C1454="B05",1,IF(C1454="B03",1,IF(C1454="B04",1,IF(C1454="B20",1,IF(C1454="B02",1,0)))))))</f>
        <v/>
      </c>
      <c r="G1454"/>
      <c r="H1454" s="2"/>
      <c r="I1454" s="2"/>
      <c r="L1454"/>
      <c r="R1454"/>
    </row>
    <row r="1455" spans="1:18">
      <c r="A1455" s="3">
        <v>45784.901493055557</v>
      </c>
      <c r="B1455" s="2" t="s">
        <v>26</v>
      </c>
      <c r="C1455" s="2" t="s">
        <v>12</v>
      </c>
      <c r="D1455" s="6" t="str">
        <f>CONCATENATE(YEAR(A1455),"/",IF(MONTH(A1455)&lt;10,CONCATENATE("0",MONTH(A1455)),MONTH(A1455)))</f>
        <v>2025/05</v>
      </c>
      <c r="E1455" s="8" t="str">
        <f>IF(IF(D1455&lt;&gt;D1454,1,IF(OR(B1455&lt;&gt;B1454,A1455-A1454&gt;$U$1),1,""))&lt;&gt;1,"",IF(C1455="B01",1965,IF(C1455="B02",1020,IF(C1455="B05",2400,IF(C1455="B03",4260,IF(C1455="B04",2880,IF(C1455="B20",1260,0)))))))</f>
        <v/>
      </c>
      <c r="F1455" s="8" t="str">
        <f>IF(IF(D1455&lt;&gt;D1454,1,IF(OR(B1455&lt;&gt;B1454,A1455-A1454&gt;$U$1),1,""))&lt;&gt;1,"",IF(C1455="B01",1,IF(C1455="B05",1,IF(C1455="B03",1,IF(C1455="B04",1,IF(C1455="B20",1,IF(C1455="B02",1,0)))))))</f>
        <v/>
      </c>
      <c r="G1455"/>
      <c r="H1455" s="2"/>
      <c r="I1455" s="2"/>
      <c r="L1455"/>
      <c r="R1455"/>
    </row>
    <row r="1456" spans="1:18">
      <c r="A1456" s="3">
        <v>45785.055462962962</v>
      </c>
      <c r="B1456" s="2" t="s">
        <v>26</v>
      </c>
      <c r="C1456" s="2" t="s">
        <v>11</v>
      </c>
      <c r="D1456" s="6" t="str">
        <f>CONCATENATE(YEAR(A1456),"/",IF(MONTH(A1456)&lt;10,CONCATENATE("0",MONTH(A1456)),MONTH(A1456)))</f>
        <v>2025/05</v>
      </c>
      <c r="E1456" s="8">
        <f>IF(IF(D1456&lt;&gt;D1455,1,IF(OR(B1456&lt;&gt;B1455,A1456-A1455&gt;$U$1),1,""))&lt;&gt;1,"",IF(C1456="B01",1965,IF(C1456="B02",1020,IF(C1456="B05",2400,IF(C1456="B03",4260,IF(C1456="B04",2880,IF(C1456="B20",1260,0)))))))</f>
        <v>2400</v>
      </c>
      <c r="F1456" s="8">
        <f>IF(IF(D1456&lt;&gt;D1455,1,IF(OR(B1456&lt;&gt;B1455,A1456-A1455&gt;$U$1),1,""))&lt;&gt;1,"",IF(C1456="B01",1,IF(C1456="B05",1,IF(C1456="B03",1,IF(C1456="B04",1,IF(C1456="B20",1,IF(C1456="B02",1,0)))))))</f>
        <v>1</v>
      </c>
      <c r="G1456"/>
      <c r="H1456" s="2"/>
      <c r="I1456" s="2"/>
      <c r="L1456"/>
      <c r="R1456"/>
    </row>
    <row r="1457" spans="1:18">
      <c r="A1457" s="3">
        <v>45785.055462962962</v>
      </c>
      <c r="B1457" s="2" t="s">
        <v>26</v>
      </c>
      <c r="C1457" s="2" t="s">
        <v>11</v>
      </c>
      <c r="D1457" s="6" t="str">
        <f>CONCATENATE(YEAR(A1457),"/",IF(MONTH(A1457)&lt;10,CONCATENATE("0",MONTH(A1457)),MONTH(A1457)))</f>
        <v>2025/05</v>
      </c>
      <c r="E1457" s="8" t="str">
        <f>IF(IF(D1457&lt;&gt;D1456,1,IF(OR(B1457&lt;&gt;B1456,A1457-A1456&gt;$U$1),1,""))&lt;&gt;1,"",IF(C1457="B01",1965,IF(C1457="B02",1020,IF(C1457="B05",2400,IF(C1457="B03",4260,IF(C1457="B04",2880,IF(C1457="B20",1260,0)))))))</f>
        <v/>
      </c>
      <c r="F1457" s="8" t="str">
        <f>IF(IF(D1457&lt;&gt;D1456,1,IF(OR(B1457&lt;&gt;B1456,A1457-A1456&gt;$U$1),1,""))&lt;&gt;1,"",IF(C1457="B01",1,IF(C1457="B05",1,IF(C1457="B03",1,IF(C1457="B04",1,IF(C1457="B20",1,IF(C1457="B02",1,0)))))))</f>
        <v/>
      </c>
      <c r="G1457"/>
      <c r="H1457" s="2"/>
      <c r="I1457" s="2"/>
      <c r="L1457"/>
      <c r="R1457"/>
    </row>
    <row r="1458" spans="1:18">
      <c r="A1458" s="3">
        <v>45785.055462962962</v>
      </c>
      <c r="B1458" s="2" t="s">
        <v>26</v>
      </c>
      <c r="C1458" s="2" t="s">
        <v>11</v>
      </c>
      <c r="D1458" s="6" t="str">
        <f>CONCATENATE(YEAR(A1458),"/",IF(MONTH(A1458)&lt;10,CONCATENATE("0",MONTH(A1458)),MONTH(A1458)))</f>
        <v>2025/05</v>
      </c>
      <c r="E1458" s="8" t="str">
        <f>IF(IF(D1458&lt;&gt;D1457,1,IF(OR(B1458&lt;&gt;B1457,A1458-A1457&gt;$U$1),1,""))&lt;&gt;1,"",IF(C1458="B01",1965,IF(C1458="B02",1020,IF(C1458="B05",2400,IF(C1458="B03",4260,IF(C1458="B04",2880,IF(C1458="B20",1260,0)))))))</f>
        <v/>
      </c>
      <c r="F1458" s="8" t="str">
        <f>IF(IF(D1458&lt;&gt;D1457,1,IF(OR(B1458&lt;&gt;B1457,A1458-A1457&gt;$U$1),1,""))&lt;&gt;1,"",IF(C1458="B01",1,IF(C1458="B05",1,IF(C1458="B03",1,IF(C1458="B04",1,IF(C1458="B20",1,IF(C1458="B02",1,0)))))))</f>
        <v/>
      </c>
      <c r="G1458"/>
      <c r="H1458" s="2"/>
      <c r="I1458" s="2"/>
      <c r="L1458"/>
      <c r="R1458"/>
    </row>
    <row r="1459" spans="1:18">
      <c r="A1459" s="3">
        <v>45785.284004629626</v>
      </c>
      <c r="B1459" s="2" t="s">
        <v>26</v>
      </c>
      <c r="C1459" s="2" t="s">
        <v>11</v>
      </c>
      <c r="D1459" s="6" t="str">
        <f>CONCATENATE(YEAR(A1459),"/",IF(MONTH(A1459)&lt;10,CONCATENATE("0",MONTH(A1459)),MONTH(A1459)))</f>
        <v>2025/05</v>
      </c>
      <c r="E1459" s="8">
        <f>IF(IF(D1459&lt;&gt;D1458,1,IF(OR(B1459&lt;&gt;B1458,A1459-A1458&gt;$U$1),1,""))&lt;&gt;1,"",IF(C1459="B01",1965,IF(C1459="B02",1020,IF(C1459="B05",2400,IF(C1459="B03",4260,IF(C1459="B04",2880,IF(C1459="B20",1260,0)))))))</f>
        <v>2400</v>
      </c>
      <c r="F1459" s="8">
        <f>IF(IF(D1459&lt;&gt;D1458,1,IF(OR(B1459&lt;&gt;B1458,A1459-A1458&gt;$U$1),1,""))&lt;&gt;1,"",IF(C1459="B01",1,IF(C1459="B05",1,IF(C1459="B03",1,IF(C1459="B04",1,IF(C1459="B20",1,IF(C1459="B02",1,0)))))))</f>
        <v>1</v>
      </c>
      <c r="G1459"/>
      <c r="H1459" s="2"/>
      <c r="I1459" s="2"/>
      <c r="L1459"/>
      <c r="R1459"/>
    </row>
    <row r="1460" spans="1:18">
      <c r="A1460" s="3">
        <v>45785.284004629626</v>
      </c>
      <c r="B1460" s="2" t="s">
        <v>26</v>
      </c>
      <c r="C1460" s="2" t="s">
        <v>11</v>
      </c>
      <c r="D1460" s="6" t="str">
        <f>CONCATENATE(YEAR(A1460),"/",IF(MONTH(A1460)&lt;10,CONCATENATE("0",MONTH(A1460)),MONTH(A1460)))</f>
        <v>2025/05</v>
      </c>
      <c r="E1460" s="8" t="str">
        <f>IF(IF(D1460&lt;&gt;D1459,1,IF(OR(B1460&lt;&gt;B1459,A1460-A1459&gt;$U$1),1,""))&lt;&gt;1,"",IF(C1460="B01",1965,IF(C1460="B02",1020,IF(C1460="B05",2400,IF(C1460="B03",4260,IF(C1460="B04",2880,IF(C1460="B20",1260,0)))))))</f>
        <v/>
      </c>
      <c r="F1460" s="8" t="str">
        <f>IF(IF(D1460&lt;&gt;D1459,1,IF(OR(B1460&lt;&gt;B1459,A1460-A1459&gt;$U$1),1,""))&lt;&gt;1,"",IF(C1460="B01",1,IF(C1460="B05",1,IF(C1460="B03",1,IF(C1460="B04",1,IF(C1460="B20",1,IF(C1460="B02",1,0)))))))</f>
        <v/>
      </c>
      <c r="G1460"/>
      <c r="H1460" s="2"/>
      <c r="I1460" s="2"/>
      <c r="L1460"/>
      <c r="R1460"/>
    </row>
    <row r="1461" spans="1:18">
      <c r="A1461" s="3">
        <v>45785.284004629626</v>
      </c>
      <c r="B1461" s="2" t="s">
        <v>26</v>
      </c>
      <c r="C1461" s="2" t="s">
        <v>11</v>
      </c>
      <c r="D1461" s="6" t="str">
        <f>CONCATENATE(YEAR(A1461),"/",IF(MONTH(A1461)&lt;10,CONCATENATE("0",MONTH(A1461)),MONTH(A1461)))</f>
        <v>2025/05</v>
      </c>
      <c r="E1461" s="8" t="str">
        <f>IF(IF(D1461&lt;&gt;D1460,1,IF(OR(B1461&lt;&gt;B1460,A1461-A1460&gt;$U$1),1,""))&lt;&gt;1,"",IF(C1461="B01",1965,IF(C1461="B02",1020,IF(C1461="B05",2400,IF(C1461="B03",4260,IF(C1461="B04",2880,IF(C1461="B20",1260,0)))))))</f>
        <v/>
      </c>
      <c r="F1461" s="8" t="str">
        <f>IF(IF(D1461&lt;&gt;D1460,1,IF(OR(B1461&lt;&gt;B1460,A1461-A1460&gt;$U$1),1,""))&lt;&gt;1,"",IF(C1461="B01",1,IF(C1461="B05",1,IF(C1461="B03",1,IF(C1461="B04",1,IF(C1461="B20",1,IF(C1461="B02",1,0)))))))</f>
        <v/>
      </c>
      <c r="G1461"/>
      <c r="H1461" s="2"/>
      <c r="I1461" s="2"/>
      <c r="L1461"/>
      <c r="R1461"/>
    </row>
    <row r="1462" spans="1:18">
      <c r="A1462" s="3">
        <v>45785.41978009259</v>
      </c>
      <c r="B1462" s="2" t="s">
        <v>26</v>
      </c>
      <c r="C1462" s="2" t="s">
        <v>12</v>
      </c>
      <c r="D1462" s="6" t="str">
        <f>CONCATENATE(YEAR(A1462),"/",IF(MONTH(A1462)&lt;10,CONCATENATE("0",MONTH(A1462)),MONTH(A1462)))</f>
        <v>2025/05</v>
      </c>
      <c r="E1462" s="8">
        <f>IF(IF(D1462&lt;&gt;D1461,1,IF(OR(B1462&lt;&gt;B1461,A1462-A1461&gt;$U$1),1,""))&lt;&gt;1,"",IF(C1462="B01",1965,IF(C1462="B02",1020,IF(C1462="B05",2400,IF(C1462="B03",4260,IF(C1462="B04",2880,IF(C1462="B20",1260,0)))))))</f>
        <v>4260</v>
      </c>
      <c r="F1462" s="8">
        <f>IF(IF(D1462&lt;&gt;D1461,1,IF(OR(B1462&lt;&gt;B1461,A1462-A1461&gt;$U$1),1,""))&lt;&gt;1,"",IF(C1462="B01",1,IF(C1462="B05",1,IF(C1462="B03",1,IF(C1462="B04",1,IF(C1462="B20",1,IF(C1462="B02",1,0)))))))</f>
        <v>1</v>
      </c>
      <c r="G1462"/>
      <c r="H1462" s="2"/>
      <c r="I1462" s="2"/>
      <c r="L1462"/>
      <c r="R1462"/>
    </row>
    <row r="1463" spans="1:18">
      <c r="A1463" s="3">
        <v>45785.41978009259</v>
      </c>
      <c r="B1463" s="2" t="s">
        <v>26</v>
      </c>
      <c r="C1463" s="2" t="s">
        <v>12</v>
      </c>
      <c r="D1463" s="6" t="str">
        <f>CONCATENATE(YEAR(A1463),"/",IF(MONTH(A1463)&lt;10,CONCATENATE("0",MONTH(A1463)),MONTH(A1463)))</f>
        <v>2025/05</v>
      </c>
      <c r="E1463" s="8" t="str">
        <f>IF(IF(D1463&lt;&gt;D1462,1,IF(OR(B1463&lt;&gt;B1462,A1463-A1462&gt;$U$1),1,""))&lt;&gt;1,"",IF(C1463="B01",1965,IF(C1463="B02",1020,IF(C1463="B05",2400,IF(C1463="B03",4260,IF(C1463="B04",2880,IF(C1463="B20",1260,0)))))))</f>
        <v/>
      </c>
      <c r="F1463" s="8" t="str">
        <f>IF(IF(D1463&lt;&gt;D1462,1,IF(OR(B1463&lt;&gt;B1462,A1463-A1462&gt;$U$1),1,""))&lt;&gt;1,"",IF(C1463="B01",1,IF(C1463="B05",1,IF(C1463="B03",1,IF(C1463="B04",1,IF(C1463="B20",1,IF(C1463="B02",1,0)))))))</f>
        <v/>
      </c>
      <c r="G1463"/>
      <c r="H1463" s="2"/>
      <c r="I1463" s="2"/>
      <c r="L1463"/>
      <c r="R1463"/>
    </row>
    <row r="1464" spans="1:18">
      <c r="A1464" s="3">
        <v>45785.42728009259</v>
      </c>
      <c r="B1464" s="2" t="s">
        <v>26</v>
      </c>
      <c r="C1464" s="2" t="s">
        <v>12</v>
      </c>
      <c r="D1464" s="6" t="str">
        <f>CONCATENATE(YEAR(A1464),"/",IF(MONTH(A1464)&lt;10,CONCATENATE("0",MONTH(A1464)),MONTH(A1464)))</f>
        <v>2025/05</v>
      </c>
      <c r="E1464" s="8" t="str">
        <f>IF(IF(D1464&lt;&gt;D1463,1,IF(OR(B1464&lt;&gt;B1463,A1464-A1463&gt;$U$1),1,""))&lt;&gt;1,"",IF(C1464="B01",1965,IF(C1464="B02",1020,IF(C1464="B05",2400,IF(C1464="B03",4260,IF(C1464="B04",2880,IF(C1464="B20",1260,0)))))))</f>
        <v/>
      </c>
      <c r="F1464" s="8" t="str">
        <f>IF(IF(D1464&lt;&gt;D1463,1,IF(OR(B1464&lt;&gt;B1463,A1464-A1463&gt;$U$1),1,""))&lt;&gt;1,"",IF(C1464="B01",1,IF(C1464="B05",1,IF(C1464="B03",1,IF(C1464="B04",1,IF(C1464="B20",1,IF(C1464="B02",1,0)))))))</f>
        <v/>
      </c>
      <c r="G1464"/>
      <c r="H1464" s="2"/>
      <c r="I1464" s="2"/>
      <c r="L1464"/>
      <c r="R1464"/>
    </row>
    <row r="1465" spans="1:18">
      <c r="A1465" s="3">
        <v>45785.42728009259</v>
      </c>
      <c r="B1465" s="2" t="s">
        <v>26</v>
      </c>
      <c r="C1465" s="2" t="s">
        <v>12</v>
      </c>
      <c r="D1465" s="6" t="str">
        <f>CONCATENATE(YEAR(A1465),"/",IF(MONTH(A1465)&lt;10,CONCATENATE("0",MONTH(A1465)),MONTH(A1465)))</f>
        <v>2025/05</v>
      </c>
      <c r="E1465" s="8" t="str">
        <f>IF(IF(D1465&lt;&gt;D1464,1,IF(OR(B1465&lt;&gt;B1464,A1465-A1464&gt;$U$1),1,""))&lt;&gt;1,"",IF(C1465="B01",1965,IF(C1465="B02",1020,IF(C1465="B05",2400,IF(C1465="B03",4260,IF(C1465="B04",2880,IF(C1465="B20",1260,0)))))))</f>
        <v/>
      </c>
      <c r="F1465" s="8" t="str">
        <f>IF(IF(D1465&lt;&gt;D1464,1,IF(OR(B1465&lt;&gt;B1464,A1465-A1464&gt;$U$1),1,""))&lt;&gt;1,"",IF(C1465="B01",1,IF(C1465="B05",1,IF(C1465="B03",1,IF(C1465="B04",1,IF(C1465="B20",1,IF(C1465="B02",1,0)))))))</f>
        <v/>
      </c>
      <c r="G1465"/>
      <c r="H1465" s="2"/>
      <c r="I1465" s="2"/>
      <c r="L1465"/>
      <c r="R1465"/>
    </row>
    <row r="1466" spans="1:18">
      <c r="A1466" s="3">
        <v>45785.567696759259</v>
      </c>
      <c r="B1466" s="2" t="s">
        <v>26</v>
      </c>
      <c r="C1466" s="2" t="s">
        <v>12</v>
      </c>
      <c r="D1466" s="6" t="str">
        <f>CONCATENATE(YEAR(A1466),"/",IF(MONTH(A1466)&lt;10,CONCATENATE("0",MONTH(A1466)),MONTH(A1466)))</f>
        <v>2025/05</v>
      </c>
      <c r="E1466" s="8">
        <f>IF(IF(D1466&lt;&gt;D1465,1,IF(OR(B1466&lt;&gt;B1465,A1466-A1465&gt;$U$1),1,""))&lt;&gt;1,"",IF(C1466="B01",1965,IF(C1466="B02",1020,IF(C1466="B05",2400,IF(C1466="B03",4260,IF(C1466="B04",2880,IF(C1466="B20",1260,0)))))))</f>
        <v>4260</v>
      </c>
      <c r="F1466" s="8">
        <f>IF(IF(D1466&lt;&gt;D1465,1,IF(OR(B1466&lt;&gt;B1465,A1466-A1465&gt;$U$1),1,""))&lt;&gt;1,"",IF(C1466="B01",1,IF(C1466="B05",1,IF(C1466="B03",1,IF(C1466="B04",1,IF(C1466="B20",1,IF(C1466="B02",1,0)))))))</f>
        <v>1</v>
      </c>
      <c r="G1466"/>
      <c r="H1466" s="2"/>
      <c r="I1466" s="2"/>
      <c r="L1466"/>
      <c r="R1466"/>
    </row>
    <row r="1467" spans="1:18">
      <c r="A1467" s="3">
        <v>45785.567696759259</v>
      </c>
      <c r="B1467" s="2" t="s">
        <v>26</v>
      </c>
      <c r="C1467" s="2" t="s">
        <v>12</v>
      </c>
      <c r="D1467" s="6" t="str">
        <f>CONCATENATE(YEAR(A1467),"/",IF(MONTH(A1467)&lt;10,CONCATENATE("0",MONTH(A1467)),MONTH(A1467)))</f>
        <v>2025/05</v>
      </c>
      <c r="E1467" s="8" t="str">
        <f>IF(IF(D1467&lt;&gt;D1466,1,IF(OR(B1467&lt;&gt;B1466,A1467-A1466&gt;$U$1),1,""))&lt;&gt;1,"",IF(C1467="B01",1965,IF(C1467="B02",1020,IF(C1467="B05",2400,IF(C1467="B03",4260,IF(C1467="B04",2880,IF(C1467="B20",1260,0)))))))</f>
        <v/>
      </c>
      <c r="F1467" s="8" t="str">
        <f>IF(IF(D1467&lt;&gt;D1466,1,IF(OR(B1467&lt;&gt;B1466,A1467-A1466&gt;$U$1),1,""))&lt;&gt;1,"",IF(C1467="B01",1,IF(C1467="B05",1,IF(C1467="B03",1,IF(C1467="B04",1,IF(C1467="B20",1,IF(C1467="B02",1,0)))))))</f>
        <v/>
      </c>
      <c r="G1467"/>
      <c r="H1467" s="2"/>
      <c r="I1467" s="2"/>
      <c r="L1467"/>
      <c r="R1467"/>
    </row>
    <row r="1468" spans="1:18">
      <c r="A1468" s="3">
        <v>45785.717939814815</v>
      </c>
      <c r="B1468" s="2" t="s">
        <v>26</v>
      </c>
      <c r="C1468" s="2" t="s">
        <v>11</v>
      </c>
      <c r="D1468" s="6" t="str">
        <f>CONCATENATE(YEAR(A1468),"/",IF(MONTH(A1468)&lt;10,CONCATENATE("0",MONTH(A1468)),MONTH(A1468)))</f>
        <v>2025/05</v>
      </c>
      <c r="E1468" s="8">
        <f>IF(IF(D1468&lt;&gt;D1467,1,IF(OR(B1468&lt;&gt;B1467,A1468-A1467&gt;$U$1),1,""))&lt;&gt;1,"",IF(C1468="B01",1965,IF(C1468="B02",1020,IF(C1468="B05",2400,IF(C1468="B03",4260,IF(C1468="B04",2880,IF(C1468="B20",1260,0)))))))</f>
        <v>2400</v>
      </c>
      <c r="F1468" s="8">
        <f>IF(IF(D1468&lt;&gt;D1467,1,IF(OR(B1468&lt;&gt;B1467,A1468-A1467&gt;$U$1),1,""))&lt;&gt;1,"",IF(C1468="B01",1,IF(C1468="B05",1,IF(C1468="B03",1,IF(C1468="B04",1,IF(C1468="B20",1,IF(C1468="B02",1,0)))))))</f>
        <v>1</v>
      </c>
      <c r="G1468"/>
      <c r="H1468" s="2"/>
      <c r="I1468" s="2"/>
      <c r="L1468"/>
      <c r="R1468"/>
    </row>
    <row r="1469" spans="1:18">
      <c r="A1469" s="3">
        <v>45785.717939814815</v>
      </c>
      <c r="B1469" s="2" t="s">
        <v>26</v>
      </c>
      <c r="C1469" s="2" t="s">
        <v>11</v>
      </c>
      <c r="D1469" s="6" t="str">
        <f>CONCATENATE(YEAR(A1469),"/",IF(MONTH(A1469)&lt;10,CONCATENATE("0",MONTH(A1469)),MONTH(A1469)))</f>
        <v>2025/05</v>
      </c>
      <c r="E1469" s="8" t="str">
        <f>IF(IF(D1469&lt;&gt;D1468,1,IF(OR(B1469&lt;&gt;B1468,A1469-A1468&gt;$U$1),1,""))&lt;&gt;1,"",IF(C1469="B01",1965,IF(C1469="B02",1020,IF(C1469="B05",2400,IF(C1469="B03",4260,IF(C1469="B04",2880,IF(C1469="B20",1260,0)))))))</f>
        <v/>
      </c>
      <c r="F1469" s="8" t="str">
        <f>IF(IF(D1469&lt;&gt;D1468,1,IF(OR(B1469&lt;&gt;B1468,A1469-A1468&gt;$U$1),1,""))&lt;&gt;1,"",IF(C1469="B01",1,IF(C1469="B05",1,IF(C1469="B03",1,IF(C1469="B04",1,IF(C1469="B20",1,IF(C1469="B02",1,0)))))))</f>
        <v/>
      </c>
      <c r="G1469"/>
      <c r="H1469" s="2"/>
      <c r="I1469" s="2"/>
      <c r="L1469"/>
      <c r="R1469"/>
    </row>
    <row r="1470" spans="1:18">
      <c r="A1470" s="3">
        <v>45785.912893518522</v>
      </c>
      <c r="B1470" s="2" t="s">
        <v>26</v>
      </c>
      <c r="C1470" s="2" t="s">
        <v>12</v>
      </c>
      <c r="D1470" s="6" t="str">
        <f>CONCATENATE(YEAR(A1470),"/",IF(MONTH(A1470)&lt;10,CONCATENATE("0",MONTH(A1470)),MONTH(A1470)))</f>
        <v>2025/05</v>
      </c>
      <c r="E1470" s="8">
        <f>IF(IF(D1470&lt;&gt;D1469,1,IF(OR(B1470&lt;&gt;B1469,A1470-A1469&gt;$U$1),1,""))&lt;&gt;1,"",IF(C1470="B01",1965,IF(C1470="B02",1020,IF(C1470="B05",2400,IF(C1470="B03",4260,IF(C1470="B04",2880,IF(C1470="B20",1260,0)))))))</f>
        <v>4260</v>
      </c>
      <c r="F1470" s="8">
        <f>IF(IF(D1470&lt;&gt;D1469,1,IF(OR(B1470&lt;&gt;B1469,A1470-A1469&gt;$U$1),1,""))&lt;&gt;1,"",IF(C1470="B01",1,IF(C1470="B05",1,IF(C1470="B03",1,IF(C1470="B04",1,IF(C1470="B20",1,IF(C1470="B02",1,0)))))))</f>
        <v>1</v>
      </c>
      <c r="G1470"/>
      <c r="H1470" s="2"/>
      <c r="I1470" s="2"/>
      <c r="L1470"/>
      <c r="R1470"/>
    </row>
    <row r="1471" spans="1:18">
      <c r="A1471" s="3">
        <v>45785.912893518522</v>
      </c>
      <c r="B1471" s="2" t="s">
        <v>26</v>
      </c>
      <c r="C1471" s="2" t="s">
        <v>12</v>
      </c>
      <c r="D1471" s="6" t="str">
        <f>CONCATENATE(YEAR(A1471),"/",IF(MONTH(A1471)&lt;10,CONCATENATE("0",MONTH(A1471)),MONTH(A1471)))</f>
        <v>2025/05</v>
      </c>
      <c r="E1471" s="8" t="str">
        <f>IF(IF(D1471&lt;&gt;D1470,1,IF(OR(B1471&lt;&gt;B1470,A1471-A1470&gt;$U$1),1,""))&lt;&gt;1,"",IF(C1471="B01",1965,IF(C1471="B02",1020,IF(C1471="B05",2400,IF(C1471="B03",4260,IF(C1471="B04",2880,IF(C1471="B20",1260,0)))))))</f>
        <v/>
      </c>
      <c r="F1471" s="8" t="str">
        <f>IF(IF(D1471&lt;&gt;D1470,1,IF(OR(B1471&lt;&gt;B1470,A1471-A1470&gt;$U$1),1,""))&lt;&gt;1,"",IF(C1471="B01",1,IF(C1471="B05",1,IF(C1471="B03",1,IF(C1471="B04",1,IF(C1471="B20",1,IF(C1471="B02",1,0)))))))</f>
        <v/>
      </c>
      <c r="G1471"/>
      <c r="H1471" s="2"/>
      <c r="I1471" s="2"/>
      <c r="L1471"/>
      <c r="R1471"/>
    </row>
    <row r="1472" spans="1:18">
      <c r="A1472" s="3">
        <v>45786.037962962961</v>
      </c>
      <c r="B1472" s="2" t="s">
        <v>26</v>
      </c>
      <c r="C1472" s="2" t="s">
        <v>12</v>
      </c>
      <c r="D1472" s="6" t="str">
        <f>CONCATENATE(YEAR(A1472),"/",IF(MONTH(A1472)&lt;10,CONCATENATE("0",MONTH(A1472)),MONTH(A1472)))</f>
        <v>2025/05</v>
      </c>
      <c r="E1472" s="8">
        <f>IF(IF(D1472&lt;&gt;D1471,1,IF(OR(B1472&lt;&gt;B1471,A1472-A1471&gt;$U$1),1,""))&lt;&gt;1,"",IF(C1472="B01",1965,IF(C1472="B02",1020,IF(C1472="B05",2400,IF(C1472="B03",4260,IF(C1472="B04",2880,IF(C1472="B20",1260,0)))))))</f>
        <v>4260</v>
      </c>
      <c r="F1472" s="8">
        <f>IF(IF(D1472&lt;&gt;D1471,1,IF(OR(B1472&lt;&gt;B1471,A1472-A1471&gt;$U$1),1,""))&lt;&gt;1,"",IF(C1472="B01",1,IF(C1472="B05",1,IF(C1472="B03",1,IF(C1472="B04",1,IF(C1472="B20",1,IF(C1472="B02",1,0)))))))</f>
        <v>1</v>
      </c>
      <c r="G1472"/>
      <c r="H1472" s="2"/>
      <c r="I1472" s="2"/>
      <c r="L1472"/>
      <c r="R1472"/>
    </row>
    <row r="1473" spans="1:18">
      <c r="A1473" s="3">
        <v>45786.037962962961</v>
      </c>
      <c r="B1473" s="2" t="s">
        <v>26</v>
      </c>
      <c r="C1473" s="2" t="s">
        <v>12</v>
      </c>
      <c r="D1473" s="6" t="str">
        <f>CONCATENATE(YEAR(A1473),"/",IF(MONTH(A1473)&lt;10,CONCATENATE("0",MONTH(A1473)),MONTH(A1473)))</f>
        <v>2025/05</v>
      </c>
      <c r="E1473" s="8" t="str">
        <f>IF(IF(D1473&lt;&gt;D1472,1,IF(OR(B1473&lt;&gt;B1472,A1473-A1472&gt;$U$1),1,""))&lt;&gt;1,"",IF(C1473="B01",1965,IF(C1473="B02",1020,IF(C1473="B05",2400,IF(C1473="B03",4260,IF(C1473="B04",2880,IF(C1473="B20",1260,0)))))))</f>
        <v/>
      </c>
      <c r="F1473" s="8" t="str">
        <f>IF(IF(D1473&lt;&gt;D1472,1,IF(OR(B1473&lt;&gt;B1472,A1473-A1472&gt;$U$1),1,""))&lt;&gt;1,"",IF(C1473="B01",1,IF(C1473="B05",1,IF(C1473="B03",1,IF(C1473="B04",1,IF(C1473="B20",1,IF(C1473="B02",1,0)))))))</f>
        <v/>
      </c>
      <c r="G1473"/>
      <c r="H1473" s="2"/>
      <c r="I1473" s="2"/>
      <c r="L1473"/>
      <c r="R1473"/>
    </row>
    <row r="1474" spans="1:18">
      <c r="A1474" s="3">
        <v>45786.037962962961</v>
      </c>
      <c r="B1474" s="2" t="s">
        <v>26</v>
      </c>
      <c r="C1474" s="2" t="s">
        <v>12</v>
      </c>
      <c r="D1474" s="6" t="str">
        <f>CONCATENATE(YEAR(A1474),"/",IF(MONTH(A1474)&lt;10,CONCATENATE("0",MONTH(A1474)),MONTH(A1474)))</f>
        <v>2025/05</v>
      </c>
      <c r="E1474" s="8" t="str">
        <f>IF(IF(D1474&lt;&gt;D1473,1,IF(OR(B1474&lt;&gt;B1473,A1474-A1473&gt;$U$1),1,""))&lt;&gt;1,"",IF(C1474="B01",1965,IF(C1474="B02",1020,IF(C1474="B05",2400,IF(C1474="B03",4260,IF(C1474="B04",2880,IF(C1474="B20",1260,0)))))))</f>
        <v/>
      </c>
      <c r="F1474" s="8" t="str">
        <f>IF(IF(D1474&lt;&gt;D1473,1,IF(OR(B1474&lt;&gt;B1473,A1474-A1473&gt;$U$1),1,""))&lt;&gt;1,"",IF(C1474="B01",1,IF(C1474="B05",1,IF(C1474="B03",1,IF(C1474="B04",1,IF(C1474="B20",1,IF(C1474="B02",1,0)))))))</f>
        <v/>
      </c>
      <c r="G1474"/>
      <c r="H1474" s="2"/>
      <c r="I1474" s="2"/>
      <c r="L1474"/>
      <c r="R1474"/>
    </row>
    <row r="1475" spans="1:18">
      <c r="A1475" s="3">
        <v>45786.17695601852</v>
      </c>
      <c r="B1475" s="2" t="s">
        <v>26</v>
      </c>
      <c r="C1475" s="2" t="s">
        <v>12</v>
      </c>
      <c r="D1475" s="6" t="str">
        <f>CONCATENATE(YEAR(A1475),"/",IF(MONTH(A1475)&lt;10,CONCATENATE("0",MONTH(A1475)),MONTH(A1475)))</f>
        <v>2025/05</v>
      </c>
      <c r="E1475" s="8">
        <f>IF(IF(D1475&lt;&gt;D1474,1,IF(OR(B1475&lt;&gt;B1474,A1475-A1474&gt;$U$1),1,""))&lt;&gt;1,"",IF(C1475="B01",1965,IF(C1475="B02",1020,IF(C1475="B05",2400,IF(C1475="B03",4260,IF(C1475="B04",2880,IF(C1475="B20",1260,0)))))))</f>
        <v>4260</v>
      </c>
      <c r="F1475" s="8">
        <f>IF(IF(D1475&lt;&gt;D1474,1,IF(OR(B1475&lt;&gt;B1474,A1475-A1474&gt;$U$1),1,""))&lt;&gt;1,"",IF(C1475="B01",1,IF(C1475="B05",1,IF(C1475="B03",1,IF(C1475="B04",1,IF(C1475="B20",1,IF(C1475="B02",1,0)))))))</f>
        <v>1</v>
      </c>
      <c r="G1475"/>
      <c r="H1475" s="2"/>
      <c r="I1475" s="2"/>
      <c r="L1475"/>
      <c r="R1475"/>
    </row>
    <row r="1476" spans="1:18">
      <c r="A1476" s="3">
        <v>45786.17695601852</v>
      </c>
      <c r="B1476" s="2" t="s">
        <v>26</v>
      </c>
      <c r="C1476" s="2" t="s">
        <v>12</v>
      </c>
      <c r="D1476" s="6" t="str">
        <f>CONCATENATE(YEAR(A1476),"/",IF(MONTH(A1476)&lt;10,CONCATENATE("0",MONTH(A1476)),MONTH(A1476)))</f>
        <v>2025/05</v>
      </c>
      <c r="E1476" s="8" t="str">
        <f>IF(IF(D1476&lt;&gt;D1475,1,IF(OR(B1476&lt;&gt;B1475,A1476-A1475&gt;$U$1),1,""))&lt;&gt;1,"",IF(C1476="B01",1965,IF(C1476="B02",1020,IF(C1476="B05",2400,IF(C1476="B03",4260,IF(C1476="B04",2880,IF(C1476="B20",1260,0)))))))</f>
        <v/>
      </c>
      <c r="F1476" s="8" t="str">
        <f>IF(IF(D1476&lt;&gt;D1475,1,IF(OR(B1476&lt;&gt;B1475,A1476-A1475&gt;$U$1),1,""))&lt;&gt;1,"",IF(C1476="B01",1,IF(C1476="B05",1,IF(C1476="B03",1,IF(C1476="B04",1,IF(C1476="B20",1,IF(C1476="B02",1,0)))))))</f>
        <v/>
      </c>
      <c r="G1476"/>
      <c r="H1476" s="2"/>
      <c r="I1476" s="2"/>
      <c r="L1476"/>
      <c r="R1476"/>
    </row>
    <row r="1477" spans="1:18">
      <c r="A1477" s="3">
        <v>45786.352824074071</v>
      </c>
      <c r="B1477" s="2" t="s">
        <v>26</v>
      </c>
      <c r="C1477" s="2" t="s">
        <v>11</v>
      </c>
      <c r="D1477" s="6" t="str">
        <f>CONCATENATE(YEAR(A1477),"/",IF(MONTH(A1477)&lt;10,CONCATENATE("0",MONTH(A1477)),MONTH(A1477)))</f>
        <v>2025/05</v>
      </c>
      <c r="E1477" s="8">
        <f>IF(IF(D1477&lt;&gt;D1476,1,IF(OR(B1477&lt;&gt;B1476,A1477-A1476&gt;$U$1),1,""))&lt;&gt;1,"",IF(C1477="B01",1965,IF(C1477="B02",1020,IF(C1477="B05",2400,IF(C1477="B03",4260,IF(C1477="B04",2880,IF(C1477="B20",1260,0)))))))</f>
        <v>2400</v>
      </c>
      <c r="F1477" s="8">
        <f>IF(IF(D1477&lt;&gt;D1476,1,IF(OR(B1477&lt;&gt;B1476,A1477-A1476&gt;$U$1),1,""))&lt;&gt;1,"",IF(C1477="B01",1,IF(C1477="B05",1,IF(C1477="B03",1,IF(C1477="B04",1,IF(C1477="B20",1,IF(C1477="B02",1,0)))))))</f>
        <v>1</v>
      </c>
      <c r="G1477"/>
      <c r="H1477" s="2"/>
      <c r="I1477" s="2"/>
      <c r="L1477"/>
      <c r="R1477"/>
    </row>
    <row r="1478" spans="1:18">
      <c r="A1478" s="3">
        <v>45786.352824074071</v>
      </c>
      <c r="B1478" s="2" t="s">
        <v>26</v>
      </c>
      <c r="C1478" s="2" t="s">
        <v>11</v>
      </c>
      <c r="D1478" s="6" t="str">
        <f>CONCATENATE(YEAR(A1478),"/",IF(MONTH(A1478)&lt;10,CONCATENATE("0",MONTH(A1478)),MONTH(A1478)))</f>
        <v>2025/05</v>
      </c>
      <c r="E1478" s="8" t="str">
        <f>IF(IF(D1478&lt;&gt;D1477,1,IF(OR(B1478&lt;&gt;B1477,A1478-A1477&gt;$U$1),1,""))&lt;&gt;1,"",IF(C1478="B01",1965,IF(C1478="B02",1020,IF(C1478="B05",2400,IF(C1478="B03",4260,IF(C1478="B04",2880,IF(C1478="B20",1260,0)))))))</f>
        <v/>
      </c>
      <c r="F1478" s="8" t="str">
        <f>IF(IF(D1478&lt;&gt;D1477,1,IF(OR(B1478&lt;&gt;B1477,A1478-A1477&gt;$U$1),1,""))&lt;&gt;1,"",IF(C1478="B01",1,IF(C1478="B05",1,IF(C1478="B03",1,IF(C1478="B04",1,IF(C1478="B20",1,IF(C1478="B02",1,0)))))))</f>
        <v/>
      </c>
      <c r="G1478"/>
      <c r="H1478" s="2"/>
      <c r="I1478" s="2"/>
      <c r="L1478"/>
      <c r="R1478"/>
    </row>
    <row r="1479" spans="1:18">
      <c r="A1479" s="3">
        <v>45786.352824074071</v>
      </c>
      <c r="B1479" s="2" t="s">
        <v>26</v>
      </c>
      <c r="C1479" s="2" t="s">
        <v>11</v>
      </c>
      <c r="D1479" s="6" t="str">
        <f>CONCATENATE(YEAR(A1479),"/",IF(MONTH(A1479)&lt;10,CONCATENATE("0",MONTH(A1479)),MONTH(A1479)))</f>
        <v>2025/05</v>
      </c>
      <c r="E1479" s="8" t="str">
        <f>IF(IF(D1479&lt;&gt;D1478,1,IF(OR(B1479&lt;&gt;B1478,A1479-A1478&gt;$U$1),1,""))&lt;&gt;1,"",IF(C1479="B01",1965,IF(C1479="B02",1020,IF(C1479="B05",2400,IF(C1479="B03",4260,IF(C1479="B04",2880,IF(C1479="B20",1260,0)))))))</f>
        <v/>
      </c>
      <c r="F1479" s="8" t="str">
        <f>IF(IF(D1479&lt;&gt;D1478,1,IF(OR(B1479&lt;&gt;B1478,A1479-A1478&gt;$U$1),1,""))&lt;&gt;1,"",IF(C1479="B01",1,IF(C1479="B05",1,IF(C1479="B03",1,IF(C1479="B04",1,IF(C1479="B20",1,IF(C1479="B02",1,0)))))))</f>
        <v/>
      </c>
      <c r="G1479"/>
      <c r="H1479" s="2"/>
      <c r="I1479" s="2"/>
      <c r="L1479"/>
      <c r="R1479"/>
    </row>
    <row r="1480" spans="1:18">
      <c r="A1480" s="3">
        <v>45786.550347222219</v>
      </c>
      <c r="B1480" s="2" t="s">
        <v>26</v>
      </c>
      <c r="C1480" s="2" t="s">
        <v>12</v>
      </c>
      <c r="D1480" s="6" t="str">
        <f>CONCATENATE(YEAR(A1480),"/",IF(MONTH(A1480)&lt;10,CONCATENATE("0",MONTH(A1480)),MONTH(A1480)))</f>
        <v>2025/05</v>
      </c>
      <c r="E1480" s="8">
        <f>IF(IF(D1480&lt;&gt;D1479,1,IF(OR(B1480&lt;&gt;B1479,A1480-A1479&gt;$U$1),1,""))&lt;&gt;1,"",IF(C1480="B01",1965,IF(C1480="B02",1020,IF(C1480="B05",2400,IF(C1480="B03",4260,IF(C1480="B04",2880,IF(C1480="B20",1260,0)))))))</f>
        <v>4260</v>
      </c>
      <c r="F1480" s="8">
        <f>IF(IF(D1480&lt;&gt;D1479,1,IF(OR(B1480&lt;&gt;B1479,A1480-A1479&gt;$U$1),1,""))&lt;&gt;1,"",IF(C1480="B01",1,IF(C1480="B05",1,IF(C1480="B03",1,IF(C1480="B04",1,IF(C1480="B20",1,IF(C1480="B02",1,0)))))))</f>
        <v>1</v>
      </c>
      <c r="G1480"/>
      <c r="H1480" s="2"/>
      <c r="I1480" s="2"/>
      <c r="L1480"/>
      <c r="R1480"/>
    </row>
    <row r="1481" spans="1:18">
      <c r="A1481" s="3">
        <v>45786.550347222219</v>
      </c>
      <c r="B1481" s="2" t="s">
        <v>26</v>
      </c>
      <c r="C1481" s="2" t="s">
        <v>12</v>
      </c>
      <c r="D1481" s="6" t="str">
        <f>CONCATENATE(YEAR(A1481),"/",IF(MONTH(A1481)&lt;10,CONCATENATE("0",MONTH(A1481)),MONTH(A1481)))</f>
        <v>2025/05</v>
      </c>
      <c r="E1481" s="8" t="str">
        <f>IF(IF(D1481&lt;&gt;D1480,1,IF(OR(B1481&lt;&gt;B1480,A1481-A1480&gt;$U$1),1,""))&lt;&gt;1,"",IF(C1481="B01",1965,IF(C1481="B02",1020,IF(C1481="B05",2400,IF(C1481="B03",4260,IF(C1481="B04",2880,IF(C1481="B20",1260,0)))))))</f>
        <v/>
      </c>
      <c r="F1481" s="8" t="str">
        <f>IF(IF(D1481&lt;&gt;D1480,1,IF(OR(B1481&lt;&gt;B1480,A1481-A1480&gt;$U$1),1,""))&lt;&gt;1,"",IF(C1481="B01",1,IF(C1481="B05",1,IF(C1481="B03",1,IF(C1481="B04",1,IF(C1481="B20",1,IF(C1481="B02",1,0)))))))</f>
        <v/>
      </c>
      <c r="G1481"/>
      <c r="H1481" s="2"/>
      <c r="I1481" s="2"/>
      <c r="L1481"/>
      <c r="R1481"/>
    </row>
    <row r="1482" spans="1:18">
      <c r="A1482" s="3">
        <v>45786.766041666669</v>
      </c>
      <c r="B1482" s="2" t="s">
        <v>26</v>
      </c>
      <c r="C1482" s="2" t="s">
        <v>11</v>
      </c>
      <c r="D1482" s="6" t="str">
        <f>CONCATENATE(YEAR(A1482),"/",IF(MONTH(A1482)&lt;10,CONCATENATE("0",MONTH(A1482)),MONTH(A1482)))</f>
        <v>2025/05</v>
      </c>
      <c r="E1482" s="8">
        <f>IF(IF(D1482&lt;&gt;D1481,1,IF(OR(B1482&lt;&gt;B1481,A1482-A1481&gt;$U$1),1,""))&lt;&gt;1,"",IF(C1482="B01",1965,IF(C1482="B02",1020,IF(C1482="B05",2400,IF(C1482="B03",4260,IF(C1482="B04",2880,IF(C1482="B20",1260,0)))))))</f>
        <v>2400</v>
      </c>
      <c r="F1482" s="8">
        <f>IF(IF(D1482&lt;&gt;D1481,1,IF(OR(B1482&lt;&gt;B1481,A1482-A1481&gt;$U$1),1,""))&lt;&gt;1,"",IF(C1482="B01",1,IF(C1482="B05",1,IF(C1482="B03",1,IF(C1482="B04",1,IF(C1482="B20",1,IF(C1482="B02",1,0)))))))</f>
        <v>1</v>
      </c>
      <c r="G1482"/>
      <c r="H1482" s="2"/>
      <c r="I1482" s="2"/>
      <c r="L1482"/>
      <c r="R1482"/>
    </row>
    <row r="1483" spans="1:18">
      <c r="A1483" s="3">
        <v>45786.766041666669</v>
      </c>
      <c r="B1483" s="2" t="s">
        <v>26</v>
      </c>
      <c r="C1483" s="2" t="s">
        <v>11</v>
      </c>
      <c r="D1483" s="6" t="str">
        <f>CONCATENATE(YEAR(A1483),"/",IF(MONTH(A1483)&lt;10,CONCATENATE("0",MONTH(A1483)),MONTH(A1483)))</f>
        <v>2025/05</v>
      </c>
      <c r="E1483" s="8" t="str">
        <f>IF(IF(D1483&lt;&gt;D1482,1,IF(OR(B1483&lt;&gt;B1482,A1483-A1482&gt;$U$1),1,""))&lt;&gt;1,"",IF(C1483="B01",1965,IF(C1483="B02",1020,IF(C1483="B05",2400,IF(C1483="B03",4260,IF(C1483="B04",2880,IF(C1483="B20",1260,0)))))))</f>
        <v/>
      </c>
      <c r="F1483" s="8" t="str">
        <f>IF(IF(D1483&lt;&gt;D1482,1,IF(OR(B1483&lt;&gt;B1482,A1483-A1482&gt;$U$1),1,""))&lt;&gt;1,"",IF(C1483="B01",1,IF(C1483="B05",1,IF(C1483="B03",1,IF(C1483="B04",1,IF(C1483="B20",1,IF(C1483="B02",1,0)))))))</f>
        <v/>
      </c>
      <c r="G1483"/>
      <c r="H1483" s="2"/>
      <c r="I1483" s="2"/>
      <c r="L1483"/>
      <c r="R1483"/>
    </row>
    <row r="1484" spans="1:18">
      <c r="A1484" s="3">
        <v>45786.945219907408</v>
      </c>
      <c r="B1484" s="2" t="s">
        <v>26</v>
      </c>
      <c r="C1484" s="2" t="s">
        <v>11</v>
      </c>
      <c r="D1484" s="6" t="str">
        <f>CONCATENATE(YEAR(A1484),"/",IF(MONTH(A1484)&lt;10,CONCATENATE("0",MONTH(A1484)),MONTH(A1484)))</f>
        <v>2025/05</v>
      </c>
      <c r="E1484" s="8">
        <f>IF(IF(D1484&lt;&gt;D1483,1,IF(OR(B1484&lt;&gt;B1483,A1484-A1483&gt;$U$1),1,""))&lt;&gt;1,"",IF(C1484="B01",1965,IF(C1484="B02",1020,IF(C1484="B05",2400,IF(C1484="B03",4260,IF(C1484="B04",2880,IF(C1484="B20",1260,0)))))))</f>
        <v>2400</v>
      </c>
      <c r="F1484" s="8">
        <f>IF(IF(D1484&lt;&gt;D1483,1,IF(OR(B1484&lt;&gt;B1483,A1484-A1483&gt;$U$1),1,""))&lt;&gt;1,"",IF(C1484="B01",1,IF(C1484="B05",1,IF(C1484="B03",1,IF(C1484="B04",1,IF(C1484="B20",1,IF(C1484="B02",1,0)))))))</f>
        <v>1</v>
      </c>
      <c r="G1484"/>
      <c r="H1484" s="2"/>
      <c r="I1484" s="2"/>
      <c r="L1484"/>
      <c r="R1484"/>
    </row>
    <row r="1485" spans="1:18">
      <c r="A1485" s="3">
        <v>45786.945219907408</v>
      </c>
      <c r="B1485" s="2" t="s">
        <v>26</v>
      </c>
      <c r="C1485" s="2" t="s">
        <v>11</v>
      </c>
      <c r="D1485" s="6" t="str">
        <f>CONCATENATE(YEAR(A1485),"/",IF(MONTH(A1485)&lt;10,CONCATENATE("0",MONTH(A1485)),MONTH(A1485)))</f>
        <v>2025/05</v>
      </c>
      <c r="E1485" s="8" t="str">
        <f>IF(IF(D1485&lt;&gt;D1484,1,IF(OR(B1485&lt;&gt;B1484,A1485-A1484&gt;$U$1),1,""))&lt;&gt;1,"",IF(C1485="B01",1965,IF(C1485="B02",1020,IF(C1485="B05",2400,IF(C1485="B03",4260,IF(C1485="B04",2880,IF(C1485="B20",1260,0)))))))</f>
        <v/>
      </c>
      <c r="F1485" s="8" t="str">
        <f>IF(IF(D1485&lt;&gt;D1484,1,IF(OR(B1485&lt;&gt;B1484,A1485-A1484&gt;$U$1),1,""))&lt;&gt;1,"",IF(C1485="B01",1,IF(C1485="B05",1,IF(C1485="B03",1,IF(C1485="B04",1,IF(C1485="B20",1,IF(C1485="B02",1,0)))))))</f>
        <v/>
      </c>
      <c r="G1485"/>
      <c r="H1485" s="2"/>
      <c r="I1485" s="2"/>
      <c r="L1485"/>
      <c r="R1485"/>
    </row>
    <row r="1486" spans="1:18">
      <c r="A1486" s="3">
        <v>45787.066932870373</v>
      </c>
      <c r="B1486" s="2" t="s">
        <v>26</v>
      </c>
      <c r="C1486" s="2" t="s">
        <v>11</v>
      </c>
      <c r="D1486" s="6" t="str">
        <f>CONCATENATE(YEAR(A1486),"/",IF(MONTH(A1486)&lt;10,CONCATENATE("0",MONTH(A1486)),MONTH(A1486)))</f>
        <v>2025/05</v>
      </c>
      <c r="E1486" s="8">
        <f>IF(IF(D1486&lt;&gt;D1485,1,IF(OR(B1486&lt;&gt;B1485,A1486-A1485&gt;$U$1),1,""))&lt;&gt;1,"",IF(C1486="B01",1965,IF(C1486="B02",1020,IF(C1486="B05",2400,IF(C1486="B03",4260,IF(C1486="B04",2880,IF(C1486="B20",1260,0)))))))</f>
        <v>2400</v>
      </c>
      <c r="F1486" s="8">
        <f>IF(IF(D1486&lt;&gt;D1485,1,IF(OR(B1486&lt;&gt;B1485,A1486-A1485&gt;$U$1),1,""))&lt;&gt;1,"",IF(C1486="B01",1,IF(C1486="B05",1,IF(C1486="B03",1,IF(C1486="B04",1,IF(C1486="B20",1,IF(C1486="B02",1,0)))))))</f>
        <v>1</v>
      </c>
      <c r="G1486"/>
      <c r="H1486" s="2"/>
      <c r="I1486" s="2"/>
      <c r="L1486"/>
      <c r="R1486"/>
    </row>
    <row r="1487" spans="1:18">
      <c r="A1487" s="3">
        <v>45787.066932870373</v>
      </c>
      <c r="B1487" s="2" t="s">
        <v>26</v>
      </c>
      <c r="C1487" s="2" t="s">
        <v>11</v>
      </c>
      <c r="D1487" s="6" t="str">
        <f>CONCATENATE(YEAR(A1487),"/",IF(MONTH(A1487)&lt;10,CONCATENATE("0",MONTH(A1487)),MONTH(A1487)))</f>
        <v>2025/05</v>
      </c>
      <c r="E1487" s="8" t="str">
        <f>IF(IF(D1487&lt;&gt;D1486,1,IF(OR(B1487&lt;&gt;B1486,A1487-A1486&gt;$U$1),1,""))&lt;&gt;1,"",IF(C1487="B01",1965,IF(C1487="B02",1020,IF(C1487="B05",2400,IF(C1487="B03",4260,IF(C1487="B04",2880,IF(C1487="B20",1260,0)))))))</f>
        <v/>
      </c>
      <c r="F1487" s="8" t="str">
        <f>IF(IF(D1487&lt;&gt;D1486,1,IF(OR(B1487&lt;&gt;B1486,A1487-A1486&gt;$U$1),1,""))&lt;&gt;1,"",IF(C1487="B01",1,IF(C1487="B05",1,IF(C1487="B03",1,IF(C1487="B04",1,IF(C1487="B20",1,IF(C1487="B02",1,0)))))))</f>
        <v/>
      </c>
      <c r="G1487"/>
      <c r="H1487" s="2"/>
      <c r="I1487" s="2"/>
      <c r="L1487"/>
      <c r="R1487"/>
    </row>
    <row r="1488" spans="1:18">
      <c r="A1488" s="3">
        <v>45787.26258101852</v>
      </c>
      <c r="B1488" s="2" t="s">
        <v>26</v>
      </c>
      <c r="C1488" s="2" t="s">
        <v>11</v>
      </c>
      <c r="D1488" s="6" t="str">
        <f>CONCATENATE(YEAR(A1488),"/",IF(MONTH(A1488)&lt;10,CONCATENATE("0",MONTH(A1488)),MONTH(A1488)))</f>
        <v>2025/05</v>
      </c>
      <c r="E1488" s="8">
        <f>IF(IF(D1488&lt;&gt;D1487,1,IF(OR(B1488&lt;&gt;B1487,A1488-A1487&gt;$U$1),1,""))&lt;&gt;1,"",IF(C1488="B01",1965,IF(C1488="B02",1020,IF(C1488="B05",2400,IF(C1488="B03",4260,IF(C1488="B04",2880,IF(C1488="B20",1260,0)))))))</f>
        <v>2400</v>
      </c>
      <c r="F1488" s="8">
        <f>IF(IF(D1488&lt;&gt;D1487,1,IF(OR(B1488&lt;&gt;B1487,A1488-A1487&gt;$U$1),1,""))&lt;&gt;1,"",IF(C1488="B01",1,IF(C1488="B05",1,IF(C1488="B03",1,IF(C1488="B04",1,IF(C1488="B20",1,IF(C1488="B02",1,0)))))))</f>
        <v>1</v>
      </c>
      <c r="G1488"/>
      <c r="H1488" s="2"/>
      <c r="I1488" s="2"/>
      <c r="L1488"/>
      <c r="R1488"/>
    </row>
    <row r="1489" spans="1:18">
      <c r="A1489" s="3">
        <v>45787.26258101852</v>
      </c>
      <c r="B1489" s="2" t="s">
        <v>26</v>
      </c>
      <c r="C1489" s="2" t="s">
        <v>11</v>
      </c>
      <c r="D1489" s="6" t="str">
        <f>CONCATENATE(YEAR(A1489),"/",IF(MONTH(A1489)&lt;10,CONCATENATE("0",MONTH(A1489)),MONTH(A1489)))</f>
        <v>2025/05</v>
      </c>
      <c r="E1489" s="8" t="str">
        <f>IF(IF(D1489&lt;&gt;D1488,1,IF(OR(B1489&lt;&gt;B1488,A1489-A1488&gt;$U$1),1,""))&lt;&gt;1,"",IF(C1489="B01",1965,IF(C1489="B02",1020,IF(C1489="B05",2400,IF(C1489="B03",4260,IF(C1489="B04",2880,IF(C1489="B20",1260,0)))))))</f>
        <v/>
      </c>
      <c r="F1489" s="8" t="str">
        <f>IF(IF(D1489&lt;&gt;D1488,1,IF(OR(B1489&lt;&gt;B1488,A1489-A1488&gt;$U$1),1,""))&lt;&gt;1,"",IF(C1489="B01",1,IF(C1489="B05",1,IF(C1489="B03",1,IF(C1489="B04",1,IF(C1489="B20",1,IF(C1489="B02",1,0)))))))</f>
        <v/>
      </c>
      <c r="G1489"/>
      <c r="H1489" s="2"/>
      <c r="I1489" s="2"/>
      <c r="L1489"/>
      <c r="R1489"/>
    </row>
    <row r="1490" spans="1:18">
      <c r="A1490" s="3">
        <v>45787.437928240739</v>
      </c>
      <c r="B1490" s="2" t="s">
        <v>26</v>
      </c>
      <c r="C1490" s="2" t="s">
        <v>11</v>
      </c>
      <c r="D1490" s="6" t="str">
        <f>CONCATENATE(YEAR(A1490),"/",IF(MONTH(A1490)&lt;10,CONCATENATE("0",MONTH(A1490)),MONTH(A1490)))</f>
        <v>2025/05</v>
      </c>
      <c r="E1490" s="8">
        <f>IF(IF(D1490&lt;&gt;D1489,1,IF(OR(B1490&lt;&gt;B1489,A1490-A1489&gt;$U$1),1,""))&lt;&gt;1,"",IF(C1490="B01",1965,IF(C1490="B02",1020,IF(C1490="B05",2400,IF(C1490="B03",4260,IF(C1490="B04",2880,IF(C1490="B20",1260,0)))))))</f>
        <v>2400</v>
      </c>
      <c r="F1490" s="8">
        <f>IF(IF(D1490&lt;&gt;D1489,1,IF(OR(B1490&lt;&gt;B1489,A1490-A1489&gt;$U$1),1,""))&lt;&gt;1,"",IF(C1490="B01",1,IF(C1490="B05",1,IF(C1490="B03",1,IF(C1490="B04",1,IF(C1490="B20",1,IF(C1490="B02",1,0)))))))</f>
        <v>1</v>
      </c>
      <c r="G1490"/>
      <c r="H1490" s="2"/>
      <c r="I1490" s="2"/>
      <c r="L1490"/>
      <c r="R1490"/>
    </row>
    <row r="1491" spans="1:18">
      <c r="A1491" s="3">
        <v>45787.437928240739</v>
      </c>
      <c r="B1491" s="2" t="s">
        <v>26</v>
      </c>
      <c r="C1491" s="2" t="s">
        <v>11</v>
      </c>
      <c r="D1491" s="6" t="str">
        <f>CONCATENATE(YEAR(A1491),"/",IF(MONTH(A1491)&lt;10,CONCATENATE("0",MONTH(A1491)),MONTH(A1491)))</f>
        <v>2025/05</v>
      </c>
      <c r="E1491" s="8" t="str">
        <f>IF(IF(D1491&lt;&gt;D1490,1,IF(OR(B1491&lt;&gt;B1490,A1491-A1490&gt;$U$1),1,""))&lt;&gt;1,"",IF(C1491="B01",1965,IF(C1491="B02",1020,IF(C1491="B05",2400,IF(C1491="B03",4260,IF(C1491="B04",2880,IF(C1491="B20",1260,0)))))))</f>
        <v/>
      </c>
      <c r="F1491" s="8" t="str">
        <f>IF(IF(D1491&lt;&gt;D1490,1,IF(OR(B1491&lt;&gt;B1490,A1491-A1490&gt;$U$1),1,""))&lt;&gt;1,"",IF(C1491="B01",1,IF(C1491="B05",1,IF(C1491="B03",1,IF(C1491="B04",1,IF(C1491="B20",1,IF(C1491="B02",1,0)))))))</f>
        <v/>
      </c>
      <c r="G1491"/>
      <c r="H1491" s="2"/>
      <c r="I1491" s="2"/>
      <c r="L1491"/>
      <c r="R1491"/>
    </row>
    <row r="1492" spans="1:18">
      <c r="A1492" s="3">
        <v>45787.617615740739</v>
      </c>
      <c r="B1492" s="2" t="s">
        <v>26</v>
      </c>
      <c r="C1492" s="2" t="s">
        <v>11</v>
      </c>
      <c r="D1492" s="6" t="str">
        <f>CONCATENATE(YEAR(A1492),"/",IF(MONTH(A1492)&lt;10,CONCATENATE("0",MONTH(A1492)),MONTH(A1492)))</f>
        <v>2025/05</v>
      </c>
      <c r="E1492" s="8">
        <f>IF(IF(D1492&lt;&gt;D1491,1,IF(OR(B1492&lt;&gt;B1491,A1492-A1491&gt;$U$1),1,""))&lt;&gt;1,"",IF(C1492="B01",1965,IF(C1492="B02",1020,IF(C1492="B05",2400,IF(C1492="B03",4260,IF(C1492="B04",2880,IF(C1492="B20",1260,0)))))))</f>
        <v>2400</v>
      </c>
      <c r="F1492" s="8">
        <f>IF(IF(D1492&lt;&gt;D1491,1,IF(OR(B1492&lt;&gt;B1491,A1492-A1491&gt;$U$1),1,""))&lt;&gt;1,"",IF(C1492="B01",1,IF(C1492="B05",1,IF(C1492="B03",1,IF(C1492="B04",1,IF(C1492="B20",1,IF(C1492="B02",1,0)))))))</f>
        <v>1</v>
      </c>
      <c r="G1492"/>
      <c r="H1492" s="2"/>
      <c r="I1492" s="2"/>
      <c r="L1492"/>
      <c r="R1492"/>
    </row>
    <row r="1493" spans="1:18">
      <c r="A1493" s="3">
        <v>45787.617615740739</v>
      </c>
      <c r="B1493" s="2" t="s">
        <v>26</v>
      </c>
      <c r="C1493" s="2" t="s">
        <v>11</v>
      </c>
      <c r="D1493" s="6" t="str">
        <f>CONCATENATE(YEAR(A1493),"/",IF(MONTH(A1493)&lt;10,CONCATENATE("0",MONTH(A1493)),MONTH(A1493)))</f>
        <v>2025/05</v>
      </c>
      <c r="E1493" s="8" t="str">
        <f>IF(IF(D1493&lt;&gt;D1492,1,IF(OR(B1493&lt;&gt;B1492,A1493-A1492&gt;$U$1),1,""))&lt;&gt;1,"",IF(C1493="B01",1965,IF(C1493="B02",1020,IF(C1493="B05",2400,IF(C1493="B03",4260,IF(C1493="B04",2880,IF(C1493="B20",1260,0)))))))</f>
        <v/>
      </c>
      <c r="F1493" s="8" t="str">
        <f>IF(IF(D1493&lt;&gt;D1492,1,IF(OR(B1493&lt;&gt;B1492,A1493-A1492&gt;$U$1),1,""))&lt;&gt;1,"",IF(C1493="B01",1,IF(C1493="B05",1,IF(C1493="B03",1,IF(C1493="B04",1,IF(C1493="B20",1,IF(C1493="B02",1,0)))))))</f>
        <v/>
      </c>
      <c r="G1493"/>
      <c r="H1493" s="2"/>
      <c r="I1493" s="2"/>
      <c r="L1493"/>
      <c r="R1493"/>
    </row>
    <row r="1494" spans="1:18">
      <c r="A1494" s="3">
        <v>45787.747974537036</v>
      </c>
      <c r="B1494" s="2" t="s">
        <v>26</v>
      </c>
      <c r="C1494" s="2" t="s">
        <v>11</v>
      </c>
      <c r="D1494" s="6" t="str">
        <f>CONCATENATE(YEAR(A1494),"/",IF(MONTH(A1494)&lt;10,CONCATENATE("0",MONTH(A1494)),MONTH(A1494)))</f>
        <v>2025/05</v>
      </c>
      <c r="E1494" s="8">
        <f>IF(IF(D1494&lt;&gt;D1493,1,IF(OR(B1494&lt;&gt;B1493,A1494-A1493&gt;$U$1),1,""))&lt;&gt;1,"",IF(C1494="B01",1965,IF(C1494="B02",1020,IF(C1494="B05",2400,IF(C1494="B03",4260,IF(C1494="B04",2880,IF(C1494="B20",1260,0)))))))</f>
        <v>2400</v>
      </c>
      <c r="F1494" s="8">
        <f>IF(IF(D1494&lt;&gt;D1493,1,IF(OR(B1494&lt;&gt;B1493,A1494-A1493&gt;$U$1),1,""))&lt;&gt;1,"",IF(C1494="B01",1,IF(C1494="B05",1,IF(C1494="B03",1,IF(C1494="B04",1,IF(C1494="B20",1,IF(C1494="B02",1,0)))))))</f>
        <v>1</v>
      </c>
      <c r="G1494"/>
      <c r="H1494" s="2"/>
      <c r="I1494" s="2"/>
      <c r="L1494"/>
      <c r="R1494"/>
    </row>
    <row r="1495" spans="1:18">
      <c r="A1495" s="3">
        <v>45787.747974537036</v>
      </c>
      <c r="B1495" s="2" t="s">
        <v>26</v>
      </c>
      <c r="C1495" s="2" t="s">
        <v>11</v>
      </c>
      <c r="D1495" s="6" t="str">
        <f>CONCATENATE(YEAR(A1495),"/",IF(MONTH(A1495)&lt;10,CONCATENATE("0",MONTH(A1495)),MONTH(A1495)))</f>
        <v>2025/05</v>
      </c>
      <c r="E1495" s="8" t="str">
        <f>IF(IF(D1495&lt;&gt;D1494,1,IF(OR(B1495&lt;&gt;B1494,A1495-A1494&gt;$U$1),1,""))&lt;&gt;1,"",IF(C1495="B01",1965,IF(C1495="B02",1020,IF(C1495="B05",2400,IF(C1495="B03",4260,IF(C1495="B04",2880,IF(C1495="B20",1260,0)))))))</f>
        <v/>
      </c>
      <c r="F1495" s="8" t="str">
        <f>IF(IF(D1495&lt;&gt;D1494,1,IF(OR(B1495&lt;&gt;B1494,A1495-A1494&gt;$U$1),1,""))&lt;&gt;1,"",IF(C1495="B01",1,IF(C1495="B05",1,IF(C1495="B03",1,IF(C1495="B04",1,IF(C1495="B20",1,IF(C1495="B02",1,0)))))))</f>
        <v/>
      </c>
      <c r="G1495"/>
      <c r="H1495" s="2"/>
      <c r="I1495" s="2"/>
      <c r="L1495"/>
      <c r="R1495"/>
    </row>
    <row r="1496" spans="1:18">
      <c r="A1496" s="3">
        <v>45787.747974537036</v>
      </c>
      <c r="B1496" s="2" t="s">
        <v>26</v>
      </c>
      <c r="C1496" s="2" t="s">
        <v>11</v>
      </c>
      <c r="D1496" s="6" t="str">
        <f>CONCATENATE(YEAR(A1496),"/",IF(MONTH(A1496)&lt;10,CONCATENATE("0",MONTH(A1496)),MONTH(A1496)))</f>
        <v>2025/05</v>
      </c>
      <c r="E1496" s="8" t="str">
        <f>IF(IF(D1496&lt;&gt;D1495,1,IF(OR(B1496&lt;&gt;B1495,A1496-A1495&gt;$U$1),1,""))&lt;&gt;1,"",IF(C1496="B01",1965,IF(C1496="B02",1020,IF(C1496="B05",2400,IF(C1496="B03",4260,IF(C1496="B04",2880,IF(C1496="B20",1260,0)))))))</f>
        <v/>
      </c>
      <c r="F1496" s="8" t="str">
        <f>IF(IF(D1496&lt;&gt;D1495,1,IF(OR(B1496&lt;&gt;B1495,A1496-A1495&gt;$U$1),1,""))&lt;&gt;1,"",IF(C1496="B01",1,IF(C1496="B05",1,IF(C1496="B03",1,IF(C1496="B04",1,IF(C1496="B20",1,IF(C1496="B02",1,0)))))))</f>
        <v/>
      </c>
      <c r="G1496"/>
      <c r="H1496" s="2"/>
      <c r="I1496" s="2"/>
      <c r="L1496"/>
      <c r="R1496"/>
    </row>
    <row r="1497" spans="1:18">
      <c r="A1497" s="3">
        <v>45787.875405092593</v>
      </c>
      <c r="B1497" s="2" t="s">
        <v>26</v>
      </c>
      <c r="C1497" s="2" t="s">
        <v>11</v>
      </c>
      <c r="D1497" s="6" t="str">
        <f>CONCATENATE(YEAR(A1497),"/",IF(MONTH(A1497)&lt;10,CONCATENATE("0",MONTH(A1497)),MONTH(A1497)))</f>
        <v>2025/05</v>
      </c>
      <c r="E1497" s="8">
        <f>IF(IF(D1497&lt;&gt;D1496,1,IF(OR(B1497&lt;&gt;B1496,A1497-A1496&gt;$U$1),1,""))&lt;&gt;1,"",IF(C1497="B01",1965,IF(C1497="B02",1020,IF(C1497="B05",2400,IF(C1497="B03",4260,IF(C1497="B04",2880,IF(C1497="B20",1260,0)))))))</f>
        <v>2400</v>
      </c>
      <c r="F1497" s="8">
        <f>IF(IF(D1497&lt;&gt;D1496,1,IF(OR(B1497&lt;&gt;B1496,A1497-A1496&gt;$U$1),1,""))&lt;&gt;1,"",IF(C1497="B01",1,IF(C1497="B05",1,IF(C1497="B03",1,IF(C1497="B04",1,IF(C1497="B20",1,IF(C1497="B02",1,0)))))))</f>
        <v>1</v>
      </c>
      <c r="G1497"/>
      <c r="H1497" s="2"/>
      <c r="I1497" s="2"/>
      <c r="L1497"/>
      <c r="R1497"/>
    </row>
    <row r="1498" spans="1:18">
      <c r="A1498" s="3">
        <v>45787.875405092593</v>
      </c>
      <c r="B1498" s="2" t="s">
        <v>26</v>
      </c>
      <c r="C1498" s="2" t="s">
        <v>11</v>
      </c>
      <c r="D1498" s="6" t="str">
        <f>CONCATENATE(YEAR(A1498),"/",IF(MONTH(A1498)&lt;10,CONCATENATE("0",MONTH(A1498)),MONTH(A1498)))</f>
        <v>2025/05</v>
      </c>
      <c r="E1498" s="8" t="str">
        <f>IF(IF(D1498&lt;&gt;D1497,1,IF(OR(B1498&lt;&gt;B1497,A1498-A1497&gt;$U$1),1,""))&lt;&gt;1,"",IF(C1498="B01",1965,IF(C1498="B02",1020,IF(C1498="B05",2400,IF(C1498="B03",4260,IF(C1498="B04",2880,IF(C1498="B20",1260,0)))))))</f>
        <v/>
      </c>
      <c r="F1498" s="8" t="str">
        <f>IF(IF(D1498&lt;&gt;D1497,1,IF(OR(B1498&lt;&gt;B1497,A1498-A1497&gt;$U$1),1,""))&lt;&gt;1,"",IF(C1498="B01",1,IF(C1498="B05",1,IF(C1498="B03",1,IF(C1498="B04",1,IF(C1498="B20",1,IF(C1498="B02",1,0)))))))</f>
        <v/>
      </c>
      <c r="G1498"/>
      <c r="H1498" s="2"/>
      <c r="I1498" s="2"/>
      <c r="L1498"/>
      <c r="R1498"/>
    </row>
    <row r="1499" spans="1:18">
      <c r="A1499" s="3">
        <v>45787.875405092593</v>
      </c>
      <c r="B1499" s="2" t="s">
        <v>26</v>
      </c>
      <c r="C1499" s="2" t="s">
        <v>11</v>
      </c>
      <c r="D1499" s="6" t="str">
        <f>CONCATENATE(YEAR(A1499),"/",IF(MONTH(A1499)&lt;10,CONCATENATE("0",MONTH(A1499)),MONTH(A1499)))</f>
        <v>2025/05</v>
      </c>
      <c r="E1499" s="8" t="str">
        <f>IF(IF(D1499&lt;&gt;D1498,1,IF(OR(B1499&lt;&gt;B1498,A1499-A1498&gt;$U$1),1,""))&lt;&gt;1,"",IF(C1499="B01",1965,IF(C1499="B02",1020,IF(C1499="B05",2400,IF(C1499="B03",4260,IF(C1499="B04",2880,IF(C1499="B20",1260,0)))))))</f>
        <v/>
      </c>
      <c r="F1499" s="8" t="str">
        <f>IF(IF(D1499&lt;&gt;D1498,1,IF(OR(B1499&lt;&gt;B1498,A1499-A1498&gt;$U$1),1,""))&lt;&gt;1,"",IF(C1499="B01",1,IF(C1499="B05",1,IF(C1499="B03",1,IF(C1499="B04",1,IF(C1499="B20",1,IF(C1499="B02",1,0)))))))</f>
        <v/>
      </c>
      <c r="G1499"/>
      <c r="H1499" s="2"/>
      <c r="I1499" s="2"/>
      <c r="L1499"/>
      <c r="R1499"/>
    </row>
    <row r="1500" spans="1:18">
      <c r="A1500" s="3">
        <v>45788.020439814813</v>
      </c>
      <c r="B1500" s="2" t="s">
        <v>26</v>
      </c>
      <c r="C1500" s="2" t="s">
        <v>11</v>
      </c>
      <c r="D1500" s="6" t="str">
        <f>CONCATENATE(YEAR(A1500),"/",IF(MONTH(A1500)&lt;10,CONCATENATE("0",MONTH(A1500)),MONTH(A1500)))</f>
        <v>2025/05</v>
      </c>
      <c r="E1500" s="8">
        <f>IF(IF(D1500&lt;&gt;D1499,1,IF(OR(B1500&lt;&gt;B1499,A1500-A1499&gt;$U$1),1,""))&lt;&gt;1,"",IF(C1500="B01",1965,IF(C1500="B02",1020,IF(C1500="B05",2400,IF(C1500="B03",4260,IF(C1500="B04",2880,IF(C1500="B20",1260,0)))))))</f>
        <v>2400</v>
      </c>
      <c r="F1500" s="8">
        <f>IF(IF(D1500&lt;&gt;D1499,1,IF(OR(B1500&lt;&gt;B1499,A1500-A1499&gt;$U$1),1,""))&lt;&gt;1,"",IF(C1500="B01",1,IF(C1500="B05",1,IF(C1500="B03",1,IF(C1500="B04",1,IF(C1500="B20",1,IF(C1500="B02",1,0)))))))</f>
        <v>1</v>
      </c>
      <c r="G1500"/>
      <c r="H1500" s="2"/>
      <c r="I1500" s="2"/>
      <c r="L1500"/>
      <c r="R1500"/>
    </row>
    <row r="1501" spans="1:18">
      <c r="A1501" s="3">
        <v>45788.020439814813</v>
      </c>
      <c r="B1501" s="2" t="s">
        <v>26</v>
      </c>
      <c r="C1501" s="2" t="s">
        <v>11</v>
      </c>
      <c r="D1501" s="6" t="str">
        <f>CONCATENATE(YEAR(A1501),"/",IF(MONTH(A1501)&lt;10,CONCATENATE("0",MONTH(A1501)),MONTH(A1501)))</f>
        <v>2025/05</v>
      </c>
      <c r="E1501" s="8" t="str">
        <f>IF(IF(D1501&lt;&gt;D1500,1,IF(OR(B1501&lt;&gt;B1500,A1501-A1500&gt;$U$1),1,""))&lt;&gt;1,"",IF(C1501="B01",1965,IF(C1501="B02",1020,IF(C1501="B05",2400,IF(C1501="B03",4260,IF(C1501="B04",2880,IF(C1501="B20",1260,0)))))))</f>
        <v/>
      </c>
      <c r="F1501" s="8" t="str">
        <f>IF(IF(D1501&lt;&gt;D1500,1,IF(OR(B1501&lt;&gt;B1500,A1501-A1500&gt;$U$1),1,""))&lt;&gt;1,"",IF(C1501="B01",1,IF(C1501="B05",1,IF(C1501="B03",1,IF(C1501="B04",1,IF(C1501="B20",1,IF(C1501="B02",1,0)))))))</f>
        <v/>
      </c>
      <c r="G1501"/>
      <c r="H1501" s="2"/>
      <c r="I1501" s="2"/>
      <c r="L1501"/>
      <c r="R1501"/>
    </row>
    <row r="1502" spans="1:18">
      <c r="A1502" s="3">
        <v>45788.020451388889</v>
      </c>
      <c r="B1502" s="2" t="s">
        <v>26</v>
      </c>
      <c r="C1502" s="2" t="s">
        <v>11</v>
      </c>
      <c r="D1502" s="6" t="str">
        <f>CONCATENATE(YEAR(A1502),"/",IF(MONTH(A1502)&lt;10,CONCATENATE("0",MONTH(A1502)),MONTH(A1502)))</f>
        <v>2025/05</v>
      </c>
      <c r="E1502" s="8" t="str">
        <f>IF(IF(D1502&lt;&gt;D1501,1,IF(OR(B1502&lt;&gt;B1501,A1502-A1501&gt;$U$1),1,""))&lt;&gt;1,"",IF(C1502="B01",1965,IF(C1502="B02",1020,IF(C1502="B05",2400,IF(C1502="B03",4260,IF(C1502="B04",2880,IF(C1502="B20",1260,0)))))))</f>
        <v/>
      </c>
      <c r="F1502" s="8" t="str">
        <f>IF(IF(D1502&lt;&gt;D1501,1,IF(OR(B1502&lt;&gt;B1501,A1502-A1501&gt;$U$1),1,""))&lt;&gt;1,"",IF(C1502="B01",1,IF(C1502="B05",1,IF(C1502="B03",1,IF(C1502="B04",1,IF(C1502="B20",1,IF(C1502="B02",1,0)))))))</f>
        <v/>
      </c>
      <c r="G1502"/>
      <c r="H1502" s="2"/>
      <c r="I1502" s="2"/>
      <c r="L1502"/>
      <c r="R1502"/>
    </row>
    <row r="1503" spans="1:18">
      <c r="A1503" s="3">
        <v>45788.467673611114</v>
      </c>
      <c r="B1503" s="2" t="s">
        <v>26</v>
      </c>
      <c r="C1503" s="2" t="s">
        <v>12</v>
      </c>
      <c r="D1503" s="6" t="str">
        <f>CONCATENATE(YEAR(A1503),"/",IF(MONTH(A1503)&lt;10,CONCATENATE("0",MONTH(A1503)),MONTH(A1503)))</f>
        <v>2025/05</v>
      </c>
      <c r="E1503" s="8">
        <f>IF(IF(D1503&lt;&gt;D1502,1,IF(OR(B1503&lt;&gt;B1502,A1503-A1502&gt;$U$1),1,""))&lt;&gt;1,"",IF(C1503="B01",1965,IF(C1503="B02",1020,IF(C1503="B05",2400,IF(C1503="B03",4260,IF(C1503="B04",2880,IF(C1503="B20",1260,0)))))))</f>
        <v>4260</v>
      </c>
      <c r="F1503" s="8">
        <f>IF(IF(D1503&lt;&gt;D1502,1,IF(OR(B1503&lt;&gt;B1502,A1503-A1502&gt;$U$1),1,""))&lt;&gt;1,"",IF(C1503="B01",1,IF(C1503="B05",1,IF(C1503="B03",1,IF(C1503="B04",1,IF(C1503="B20",1,IF(C1503="B02",1,0)))))))</f>
        <v>1</v>
      </c>
      <c r="G1503"/>
      <c r="H1503" s="2"/>
      <c r="I1503" s="2"/>
      <c r="L1503"/>
      <c r="R1503"/>
    </row>
    <row r="1504" spans="1:18">
      <c r="A1504" s="3">
        <v>45788.467673611114</v>
      </c>
      <c r="B1504" s="2" t="s">
        <v>26</v>
      </c>
      <c r="C1504" s="2" t="s">
        <v>12</v>
      </c>
      <c r="D1504" s="6" t="str">
        <f>CONCATENATE(YEAR(A1504),"/",IF(MONTH(A1504)&lt;10,CONCATENATE("0",MONTH(A1504)),MONTH(A1504)))</f>
        <v>2025/05</v>
      </c>
      <c r="E1504" s="8" t="str">
        <f>IF(IF(D1504&lt;&gt;D1503,1,IF(OR(B1504&lt;&gt;B1503,A1504-A1503&gt;$U$1),1,""))&lt;&gt;1,"",IF(C1504="B01",1965,IF(C1504="B02",1020,IF(C1504="B05",2400,IF(C1504="B03",4260,IF(C1504="B04",2880,IF(C1504="B20",1260,0)))))))</f>
        <v/>
      </c>
      <c r="F1504" s="8" t="str">
        <f>IF(IF(D1504&lt;&gt;D1503,1,IF(OR(B1504&lt;&gt;B1503,A1504-A1503&gt;$U$1),1,""))&lt;&gt;1,"",IF(C1504="B01",1,IF(C1504="B05",1,IF(C1504="B03",1,IF(C1504="B04",1,IF(C1504="B20",1,IF(C1504="B02",1,0)))))))</f>
        <v/>
      </c>
      <c r="G1504"/>
      <c r="H1504" s="2"/>
      <c r="I1504" s="2"/>
      <c r="L1504"/>
      <c r="R1504"/>
    </row>
    <row r="1505" spans="1:18">
      <c r="A1505" s="3">
        <v>45788.467673611114</v>
      </c>
      <c r="B1505" s="2" t="s">
        <v>26</v>
      </c>
      <c r="C1505" s="2" t="s">
        <v>12</v>
      </c>
      <c r="D1505" s="6" t="str">
        <f>CONCATENATE(YEAR(A1505),"/",IF(MONTH(A1505)&lt;10,CONCATENATE("0",MONTH(A1505)),MONTH(A1505)))</f>
        <v>2025/05</v>
      </c>
      <c r="E1505" s="8" t="str">
        <f>IF(IF(D1505&lt;&gt;D1504,1,IF(OR(B1505&lt;&gt;B1504,A1505-A1504&gt;$U$1),1,""))&lt;&gt;1,"",IF(C1505="B01",1965,IF(C1505="B02",1020,IF(C1505="B05",2400,IF(C1505="B03",4260,IF(C1505="B04",2880,IF(C1505="B20",1260,0)))))))</f>
        <v/>
      </c>
      <c r="F1505" s="8" t="str">
        <f>IF(IF(D1505&lt;&gt;D1504,1,IF(OR(B1505&lt;&gt;B1504,A1505-A1504&gt;$U$1),1,""))&lt;&gt;1,"",IF(C1505="B01",1,IF(C1505="B05",1,IF(C1505="B03",1,IF(C1505="B04",1,IF(C1505="B20",1,IF(C1505="B02",1,0)))))))</f>
        <v/>
      </c>
      <c r="G1505"/>
      <c r="H1505" s="2"/>
      <c r="I1505" s="2"/>
      <c r="L1505"/>
      <c r="R1505"/>
    </row>
    <row r="1506" spans="1:18">
      <c r="A1506" s="3">
        <v>45788.692476851851</v>
      </c>
      <c r="B1506" s="2" t="s">
        <v>26</v>
      </c>
      <c r="C1506" s="2" t="s">
        <v>11</v>
      </c>
      <c r="D1506" s="6" t="str">
        <f>CONCATENATE(YEAR(A1506),"/",IF(MONTH(A1506)&lt;10,CONCATENATE("0",MONTH(A1506)),MONTH(A1506)))</f>
        <v>2025/05</v>
      </c>
      <c r="E1506" s="8">
        <f>IF(IF(D1506&lt;&gt;D1505,1,IF(OR(B1506&lt;&gt;B1505,A1506-A1505&gt;$U$1),1,""))&lt;&gt;1,"",IF(C1506="B01",1965,IF(C1506="B02",1020,IF(C1506="B05",2400,IF(C1506="B03",4260,IF(C1506="B04",2880,IF(C1506="B20",1260,0)))))))</f>
        <v>2400</v>
      </c>
      <c r="F1506" s="8">
        <f>IF(IF(D1506&lt;&gt;D1505,1,IF(OR(B1506&lt;&gt;B1505,A1506-A1505&gt;$U$1),1,""))&lt;&gt;1,"",IF(C1506="B01",1,IF(C1506="B05",1,IF(C1506="B03",1,IF(C1506="B04",1,IF(C1506="B20",1,IF(C1506="B02",1,0)))))))</f>
        <v>1</v>
      </c>
      <c r="G1506"/>
      <c r="H1506" s="2"/>
      <c r="I1506" s="2"/>
      <c r="L1506"/>
      <c r="R1506"/>
    </row>
    <row r="1507" spans="1:18">
      <c r="A1507" s="3">
        <v>45788.692476851851</v>
      </c>
      <c r="B1507" s="2" t="s">
        <v>26</v>
      </c>
      <c r="C1507" s="2" t="s">
        <v>11</v>
      </c>
      <c r="D1507" s="6" t="str">
        <f>CONCATENATE(YEAR(A1507),"/",IF(MONTH(A1507)&lt;10,CONCATENATE("0",MONTH(A1507)),MONTH(A1507)))</f>
        <v>2025/05</v>
      </c>
      <c r="E1507" s="8" t="str">
        <f>IF(IF(D1507&lt;&gt;D1506,1,IF(OR(B1507&lt;&gt;B1506,A1507-A1506&gt;$U$1),1,""))&lt;&gt;1,"",IF(C1507="B01",1965,IF(C1507="B02",1020,IF(C1507="B05",2400,IF(C1507="B03",4260,IF(C1507="B04",2880,IF(C1507="B20",1260,0)))))))</f>
        <v/>
      </c>
      <c r="F1507" s="8" t="str">
        <f>IF(IF(D1507&lt;&gt;D1506,1,IF(OR(B1507&lt;&gt;B1506,A1507-A1506&gt;$U$1),1,""))&lt;&gt;1,"",IF(C1507="B01",1,IF(C1507="B05",1,IF(C1507="B03",1,IF(C1507="B04",1,IF(C1507="B20",1,IF(C1507="B02",1,0)))))))</f>
        <v/>
      </c>
      <c r="G1507"/>
      <c r="H1507" s="2"/>
      <c r="I1507" s="2"/>
      <c r="L1507"/>
      <c r="R1507"/>
    </row>
    <row r="1508" spans="1:18">
      <c r="A1508" s="3">
        <v>45788.692476851851</v>
      </c>
      <c r="B1508" s="2" t="s">
        <v>26</v>
      </c>
      <c r="C1508" s="2" t="s">
        <v>11</v>
      </c>
      <c r="D1508" s="6" t="str">
        <f>CONCATENATE(YEAR(A1508),"/",IF(MONTH(A1508)&lt;10,CONCATENATE("0",MONTH(A1508)),MONTH(A1508)))</f>
        <v>2025/05</v>
      </c>
      <c r="E1508" s="8" t="str">
        <f>IF(IF(D1508&lt;&gt;D1507,1,IF(OR(B1508&lt;&gt;B1507,A1508-A1507&gt;$U$1),1,""))&lt;&gt;1,"",IF(C1508="B01",1965,IF(C1508="B02",1020,IF(C1508="B05",2400,IF(C1508="B03",4260,IF(C1508="B04",2880,IF(C1508="B20",1260,0)))))))</f>
        <v/>
      </c>
      <c r="F1508" s="8" t="str">
        <f>IF(IF(D1508&lt;&gt;D1507,1,IF(OR(B1508&lt;&gt;B1507,A1508-A1507&gt;$U$1),1,""))&lt;&gt;1,"",IF(C1508="B01",1,IF(C1508="B05",1,IF(C1508="B03",1,IF(C1508="B04",1,IF(C1508="B20",1,IF(C1508="B02",1,0)))))))</f>
        <v/>
      </c>
      <c r="G1508"/>
      <c r="H1508" s="2"/>
      <c r="I1508" s="2"/>
      <c r="L1508"/>
      <c r="R1508"/>
    </row>
    <row r="1509" spans="1:18">
      <c r="A1509" s="3">
        <v>45789.097638888888</v>
      </c>
      <c r="B1509" s="2" t="s">
        <v>26</v>
      </c>
      <c r="C1509" s="2" t="s">
        <v>11</v>
      </c>
      <c r="D1509" s="6" t="str">
        <f>CONCATENATE(YEAR(A1509),"/",IF(MONTH(A1509)&lt;10,CONCATENATE("0",MONTH(A1509)),MONTH(A1509)))</f>
        <v>2025/05</v>
      </c>
      <c r="E1509" s="8">
        <f>IF(IF(D1509&lt;&gt;D1508,1,IF(OR(B1509&lt;&gt;B1508,A1509-A1508&gt;$U$1),1,""))&lt;&gt;1,"",IF(C1509="B01",1965,IF(C1509="B02",1020,IF(C1509="B05",2400,IF(C1509="B03",4260,IF(C1509="B04",2880,IF(C1509="B20",1260,0)))))))</f>
        <v>2400</v>
      </c>
      <c r="F1509" s="8">
        <f>IF(IF(D1509&lt;&gt;D1508,1,IF(OR(B1509&lt;&gt;B1508,A1509-A1508&gt;$U$1),1,""))&lt;&gt;1,"",IF(C1509="B01",1,IF(C1509="B05",1,IF(C1509="B03",1,IF(C1509="B04",1,IF(C1509="B20",1,IF(C1509="B02",1,0)))))))</f>
        <v>1</v>
      </c>
      <c r="G1509"/>
      <c r="H1509" s="2"/>
      <c r="I1509" s="2"/>
      <c r="L1509"/>
      <c r="R1509"/>
    </row>
    <row r="1510" spans="1:18">
      <c r="A1510" s="3">
        <v>45789.097638888888</v>
      </c>
      <c r="B1510" s="2" t="s">
        <v>26</v>
      </c>
      <c r="C1510" s="2" t="s">
        <v>11</v>
      </c>
      <c r="D1510" s="6" t="str">
        <f>CONCATENATE(YEAR(A1510),"/",IF(MONTH(A1510)&lt;10,CONCATENATE("0",MONTH(A1510)),MONTH(A1510)))</f>
        <v>2025/05</v>
      </c>
      <c r="E1510" s="8" t="str">
        <f>IF(IF(D1510&lt;&gt;D1509,1,IF(OR(B1510&lt;&gt;B1509,A1510-A1509&gt;$U$1),1,""))&lt;&gt;1,"",IF(C1510="B01",1965,IF(C1510="B02",1020,IF(C1510="B05",2400,IF(C1510="B03",4260,IF(C1510="B04",2880,IF(C1510="B20",1260,0)))))))</f>
        <v/>
      </c>
      <c r="F1510" s="8" t="str">
        <f>IF(IF(D1510&lt;&gt;D1509,1,IF(OR(B1510&lt;&gt;B1509,A1510-A1509&gt;$U$1),1,""))&lt;&gt;1,"",IF(C1510="B01",1,IF(C1510="B05",1,IF(C1510="B03",1,IF(C1510="B04",1,IF(C1510="B20",1,IF(C1510="B02",1,0)))))))</f>
        <v/>
      </c>
      <c r="G1510"/>
      <c r="H1510" s="2"/>
      <c r="I1510" s="2"/>
      <c r="L1510"/>
      <c r="R1510"/>
    </row>
    <row r="1511" spans="1:18">
      <c r="A1511" s="3">
        <v>45789.097638888888</v>
      </c>
      <c r="B1511" s="2" t="s">
        <v>26</v>
      </c>
      <c r="C1511" s="2" t="s">
        <v>11</v>
      </c>
      <c r="D1511" s="6" t="str">
        <f>CONCATENATE(YEAR(A1511),"/",IF(MONTH(A1511)&lt;10,CONCATENATE("0",MONTH(A1511)),MONTH(A1511)))</f>
        <v>2025/05</v>
      </c>
      <c r="E1511" s="8" t="str">
        <f>IF(IF(D1511&lt;&gt;D1510,1,IF(OR(B1511&lt;&gt;B1510,A1511-A1510&gt;$U$1),1,""))&lt;&gt;1,"",IF(C1511="B01",1965,IF(C1511="B02",1020,IF(C1511="B05",2400,IF(C1511="B03",4260,IF(C1511="B04",2880,IF(C1511="B20",1260,0)))))))</f>
        <v/>
      </c>
      <c r="F1511" s="8" t="str">
        <f>IF(IF(D1511&lt;&gt;D1510,1,IF(OR(B1511&lt;&gt;B1510,A1511-A1510&gt;$U$1),1,""))&lt;&gt;1,"",IF(C1511="B01",1,IF(C1511="B05",1,IF(C1511="B03",1,IF(C1511="B04",1,IF(C1511="B20",1,IF(C1511="B02",1,0)))))))</f>
        <v/>
      </c>
      <c r="G1511"/>
      <c r="H1511" s="2"/>
      <c r="I1511" s="2"/>
      <c r="L1511"/>
      <c r="R1511"/>
    </row>
    <row r="1512" spans="1:18">
      <c r="A1512" s="3">
        <v>45789.097638888888</v>
      </c>
      <c r="B1512" s="2" t="s">
        <v>26</v>
      </c>
      <c r="C1512" s="2" t="s">
        <v>11</v>
      </c>
      <c r="D1512" s="6" t="str">
        <f>CONCATENATE(YEAR(A1512),"/",IF(MONTH(A1512)&lt;10,CONCATENATE("0",MONTH(A1512)),MONTH(A1512)))</f>
        <v>2025/05</v>
      </c>
      <c r="E1512" s="8" t="str">
        <f>IF(IF(D1512&lt;&gt;D1511,1,IF(OR(B1512&lt;&gt;B1511,A1512-A1511&gt;$U$1),1,""))&lt;&gt;1,"",IF(C1512="B01",1965,IF(C1512="B02",1020,IF(C1512="B05",2400,IF(C1512="B03",4260,IF(C1512="B04",2880,IF(C1512="B20",1260,0)))))))</f>
        <v/>
      </c>
      <c r="F1512" s="8" t="str">
        <f>IF(IF(D1512&lt;&gt;D1511,1,IF(OR(B1512&lt;&gt;B1511,A1512-A1511&gt;$U$1),1,""))&lt;&gt;1,"",IF(C1512="B01",1,IF(C1512="B05",1,IF(C1512="B03",1,IF(C1512="B04",1,IF(C1512="B20",1,IF(C1512="B02",1,0)))))))</f>
        <v/>
      </c>
      <c r="G1512"/>
      <c r="H1512" s="2"/>
      <c r="I1512" s="2"/>
      <c r="L1512"/>
      <c r="R1512"/>
    </row>
    <row r="1513" spans="1:18">
      <c r="A1513" s="3">
        <v>45789.232488425929</v>
      </c>
      <c r="B1513" s="2" t="s">
        <v>26</v>
      </c>
      <c r="C1513" s="2" t="s">
        <v>11</v>
      </c>
      <c r="D1513" s="6" t="str">
        <f>CONCATENATE(YEAR(A1513),"/",IF(MONTH(A1513)&lt;10,CONCATENATE("0",MONTH(A1513)),MONTH(A1513)))</f>
        <v>2025/05</v>
      </c>
      <c r="E1513" s="8">
        <f>IF(IF(D1513&lt;&gt;D1512,1,IF(OR(B1513&lt;&gt;B1512,A1513-A1512&gt;$U$1),1,""))&lt;&gt;1,"",IF(C1513="B01",1965,IF(C1513="B02",1020,IF(C1513="B05",2400,IF(C1513="B03",4260,IF(C1513="B04",2880,IF(C1513="B20",1260,0)))))))</f>
        <v>2400</v>
      </c>
      <c r="F1513" s="8">
        <f>IF(IF(D1513&lt;&gt;D1512,1,IF(OR(B1513&lt;&gt;B1512,A1513-A1512&gt;$U$1),1,""))&lt;&gt;1,"",IF(C1513="B01",1,IF(C1513="B05",1,IF(C1513="B03",1,IF(C1513="B04",1,IF(C1513="B20",1,IF(C1513="B02",1,0)))))))</f>
        <v>1</v>
      </c>
      <c r="G1513"/>
      <c r="H1513" s="2"/>
      <c r="I1513" s="2"/>
      <c r="L1513"/>
      <c r="R1513"/>
    </row>
    <row r="1514" spans="1:18">
      <c r="A1514" s="3">
        <v>45789.232488425929</v>
      </c>
      <c r="B1514" s="2" t="s">
        <v>26</v>
      </c>
      <c r="C1514" s="2" t="s">
        <v>11</v>
      </c>
      <c r="D1514" s="6" t="str">
        <f>CONCATENATE(YEAR(A1514),"/",IF(MONTH(A1514)&lt;10,CONCATENATE("0",MONTH(A1514)),MONTH(A1514)))</f>
        <v>2025/05</v>
      </c>
      <c r="E1514" s="8" t="str">
        <f>IF(IF(D1514&lt;&gt;D1513,1,IF(OR(B1514&lt;&gt;B1513,A1514-A1513&gt;$U$1),1,""))&lt;&gt;1,"",IF(C1514="B01",1965,IF(C1514="B02",1020,IF(C1514="B05",2400,IF(C1514="B03",4260,IF(C1514="B04",2880,IF(C1514="B20",1260,0)))))))</f>
        <v/>
      </c>
      <c r="F1514" s="8" t="str">
        <f>IF(IF(D1514&lt;&gt;D1513,1,IF(OR(B1514&lt;&gt;B1513,A1514-A1513&gt;$U$1),1,""))&lt;&gt;1,"",IF(C1514="B01",1,IF(C1514="B05",1,IF(C1514="B03",1,IF(C1514="B04",1,IF(C1514="B20",1,IF(C1514="B02",1,0)))))))</f>
        <v/>
      </c>
      <c r="G1514"/>
      <c r="H1514" s="2"/>
      <c r="I1514" s="2"/>
      <c r="L1514"/>
      <c r="R1514"/>
    </row>
    <row r="1515" spans="1:18">
      <c r="A1515" s="3">
        <v>45789.461192129631</v>
      </c>
      <c r="B1515" s="2" t="s">
        <v>26</v>
      </c>
      <c r="C1515" s="2" t="s">
        <v>12</v>
      </c>
      <c r="D1515" s="6" t="str">
        <f>CONCATENATE(YEAR(A1515),"/",IF(MONTH(A1515)&lt;10,CONCATENATE("0",MONTH(A1515)),MONTH(A1515)))</f>
        <v>2025/05</v>
      </c>
      <c r="E1515" s="8">
        <f>IF(IF(D1515&lt;&gt;D1514,1,IF(OR(B1515&lt;&gt;B1514,A1515-A1514&gt;$U$1),1,""))&lt;&gt;1,"",IF(C1515="B01",1965,IF(C1515="B02",1020,IF(C1515="B05",2400,IF(C1515="B03",4260,IF(C1515="B04",2880,IF(C1515="B20",1260,0)))))))</f>
        <v>4260</v>
      </c>
      <c r="F1515" s="8">
        <f>IF(IF(D1515&lt;&gt;D1514,1,IF(OR(B1515&lt;&gt;B1514,A1515-A1514&gt;$U$1),1,""))&lt;&gt;1,"",IF(C1515="B01",1,IF(C1515="B05",1,IF(C1515="B03",1,IF(C1515="B04",1,IF(C1515="B20",1,IF(C1515="B02",1,0)))))))</f>
        <v>1</v>
      </c>
      <c r="G1515"/>
      <c r="H1515" s="2"/>
      <c r="I1515" s="2"/>
      <c r="L1515"/>
      <c r="R1515"/>
    </row>
    <row r="1516" spans="1:18">
      <c r="A1516" s="3">
        <v>45789.461192129631</v>
      </c>
      <c r="B1516" s="2" t="s">
        <v>26</v>
      </c>
      <c r="C1516" s="2" t="s">
        <v>12</v>
      </c>
      <c r="D1516" s="6" t="str">
        <f>CONCATENATE(YEAR(A1516),"/",IF(MONTH(A1516)&lt;10,CONCATENATE("0",MONTH(A1516)),MONTH(A1516)))</f>
        <v>2025/05</v>
      </c>
      <c r="E1516" s="8" t="str">
        <f>IF(IF(D1516&lt;&gt;D1515,1,IF(OR(B1516&lt;&gt;B1515,A1516-A1515&gt;$U$1),1,""))&lt;&gt;1,"",IF(C1516="B01",1965,IF(C1516="B02",1020,IF(C1516="B05",2400,IF(C1516="B03",4260,IF(C1516="B04",2880,IF(C1516="B20",1260,0)))))))</f>
        <v/>
      </c>
      <c r="F1516" s="8" t="str">
        <f>IF(IF(D1516&lt;&gt;D1515,1,IF(OR(B1516&lt;&gt;B1515,A1516-A1515&gt;$U$1),1,""))&lt;&gt;1,"",IF(C1516="B01",1,IF(C1516="B05",1,IF(C1516="B03",1,IF(C1516="B04",1,IF(C1516="B20",1,IF(C1516="B02",1,0)))))))</f>
        <v/>
      </c>
      <c r="G1516"/>
      <c r="H1516" s="2"/>
      <c r="I1516" s="2"/>
      <c r="L1516"/>
      <c r="R1516"/>
    </row>
    <row r="1517" spans="1:18">
      <c r="A1517" s="3">
        <v>45789.461192129631</v>
      </c>
      <c r="B1517" s="2" t="s">
        <v>26</v>
      </c>
      <c r="C1517" s="2" t="s">
        <v>12</v>
      </c>
      <c r="D1517" s="6" t="str">
        <f>CONCATENATE(YEAR(A1517),"/",IF(MONTH(A1517)&lt;10,CONCATENATE("0",MONTH(A1517)),MONTH(A1517)))</f>
        <v>2025/05</v>
      </c>
      <c r="E1517" s="8" t="str">
        <f>IF(IF(D1517&lt;&gt;D1516,1,IF(OR(B1517&lt;&gt;B1516,A1517-A1516&gt;$U$1),1,""))&lt;&gt;1,"",IF(C1517="B01",1965,IF(C1517="B02",1020,IF(C1517="B05",2400,IF(C1517="B03",4260,IF(C1517="B04",2880,IF(C1517="B20",1260,0)))))))</f>
        <v/>
      </c>
      <c r="F1517" s="8" t="str">
        <f>IF(IF(D1517&lt;&gt;D1516,1,IF(OR(B1517&lt;&gt;B1516,A1517-A1516&gt;$U$1),1,""))&lt;&gt;1,"",IF(C1517="B01",1,IF(C1517="B05",1,IF(C1517="B03",1,IF(C1517="B04",1,IF(C1517="B20",1,IF(C1517="B02",1,0)))))))</f>
        <v/>
      </c>
      <c r="G1517"/>
      <c r="H1517" s="2"/>
      <c r="I1517" s="2"/>
      <c r="L1517"/>
      <c r="R1517"/>
    </row>
    <row r="1518" spans="1:18">
      <c r="A1518" s="3">
        <v>45789.461192129631</v>
      </c>
      <c r="B1518" s="2" t="s">
        <v>26</v>
      </c>
      <c r="C1518" s="2" t="s">
        <v>12</v>
      </c>
      <c r="D1518" s="6" t="str">
        <f>CONCATENATE(YEAR(A1518),"/",IF(MONTH(A1518)&lt;10,CONCATENATE("0",MONTH(A1518)),MONTH(A1518)))</f>
        <v>2025/05</v>
      </c>
      <c r="E1518" s="8" t="str">
        <f>IF(IF(D1518&lt;&gt;D1517,1,IF(OR(B1518&lt;&gt;B1517,A1518-A1517&gt;$U$1),1,""))&lt;&gt;1,"",IF(C1518="B01",1965,IF(C1518="B02",1020,IF(C1518="B05",2400,IF(C1518="B03",4260,IF(C1518="B04",2880,IF(C1518="B20",1260,0)))))))</f>
        <v/>
      </c>
      <c r="F1518" s="8" t="str">
        <f>IF(IF(D1518&lt;&gt;D1517,1,IF(OR(B1518&lt;&gt;B1517,A1518-A1517&gt;$U$1),1,""))&lt;&gt;1,"",IF(C1518="B01",1,IF(C1518="B05",1,IF(C1518="B03",1,IF(C1518="B04",1,IF(C1518="B20",1,IF(C1518="B02",1,0)))))))</f>
        <v/>
      </c>
      <c r="G1518"/>
      <c r="H1518" s="2"/>
      <c r="I1518" s="2"/>
      <c r="L1518"/>
      <c r="R1518"/>
    </row>
    <row r="1519" spans="1:18">
      <c r="A1519" s="3">
        <v>45789.461192129631</v>
      </c>
      <c r="B1519" s="2" t="s">
        <v>26</v>
      </c>
      <c r="C1519" s="2" t="s">
        <v>12</v>
      </c>
      <c r="D1519" s="6" t="str">
        <f>CONCATENATE(YEAR(A1519),"/",IF(MONTH(A1519)&lt;10,CONCATENATE("0",MONTH(A1519)),MONTH(A1519)))</f>
        <v>2025/05</v>
      </c>
      <c r="E1519" s="8" t="str">
        <f>IF(IF(D1519&lt;&gt;D1518,1,IF(OR(B1519&lt;&gt;B1518,A1519-A1518&gt;$U$1),1,""))&lt;&gt;1,"",IF(C1519="B01",1965,IF(C1519="B02",1020,IF(C1519="B05",2400,IF(C1519="B03",4260,IF(C1519="B04",2880,IF(C1519="B20",1260,0)))))))</f>
        <v/>
      </c>
      <c r="F1519" s="8" t="str">
        <f>IF(IF(D1519&lt;&gt;D1518,1,IF(OR(B1519&lt;&gt;B1518,A1519-A1518&gt;$U$1),1,""))&lt;&gt;1,"",IF(C1519="B01",1,IF(C1519="B05",1,IF(C1519="B03",1,IF(C1519="B04",1,IF(C1519="B20",1,IF(C1519="B02",1,0)))))))</f>
        <v/>
      </c>
      <c r="G1519"/>
      <c r="H1519" s="2"/>
      <c r="I1519" s="2"/>
      <c r="L1519"/>
      <c r="R1519"/>
    </row>
    <row r="1520" spans="1:18">
      <c r="A1520" s="3">
        <v>45789.461192129631</v>
      </c>
      <c r="B1520" s="2" t="s">
        <v>26</v>
      </c>
      <c r="C1520" s="2" t="s">
        <v>12</v>
      </c>
      <c r="D1520" s="6" t="str">
        <f>CONCATENATE(YEAR(A1520),"/",IF(MONTH(A1520)&lt;10,CONCATENATE("0",MONTH(A1520)),MONTH(A1520)))</f>
        <v>2025/05</v>
      </c>
      <c r="E1520" s="8" t="str">
        <f>IF(IF(D1520&lt;&gt;D1519,1,IF(OR(B1520&lt;&gt;B1519,A1520-A1519&gt;$U$1),1,""))&lt;&gt;1,"",IF(C1520="B01",1965,IF(C1520="B02",1020,IF(C1520="B05",2400,IF(C1520="B03",4260,IF(C1520="B04",2880,IF(C1520="B20",1260,0)))))))</f>
        <v/>
      </c>
      <c r="F1520" s="8" t="str">
        <f>IF(IF(D1520&lt;&gt;D1519,1,IF(OR(B1520&lt;&gt;B1519,A1520-A1519&gt;$U$1),1,""))&lt;&gt;1,"",IF(C1520="B01",1,IF(C1520="B05",1,IF(C1520="B03",1,IF(C1520="B04",1,IF(C1520="B20",1,IF(C1520="B02",1,0)))))))</f>
        <v/>
      </c>
      <c r="G1520"/>
      <c r="H1520" s="2"/>
      <c r="I1520" s="2"/>
      <c r="L1520"/>
      <c r="R1520"/>
    </row>
    <row r="1521" spans="1:18">
      <c r="A1521" s="3">
        <v>45789.627986111111</v>
      </c>
      <c r="B1521" s="2" t="s">
        <v>26</v>
      </c>
      <c r="C1521" s="2" t="s">
        <v>12</v>
      </c>
      <c r="D1521" s="6" t="str">
        <f>CONCATENATE(YEAR(A1521),"/",IF(MONTH(A1521)&lt;10,CONCATENATE("0",MONTH(A1521)),MONTH(A1521)))</f>
        <v>2025/05</v>
      </c>
      <c r="E1521" s="8">
        <f>IF(IF(D1521&lt;&gt;D1520,1,IF(OR(B1521&lt;&gt;B1520,A1521-A1520&gt;$U$1),1,""))&lt;&gt;1,"",IF(C1521="B01",1965,IF(C1521="B02",1020,IF(C1521="B05",2400,IF(C1521="B03",4260,IF(C1521="B04",2880,IF(C1521="B20",1260,0)))))))</f>
        <v>4260</v>
      </c>
      <c r="F1521" s="8">
        <f>IF(IF(D1521&lt;&gt;D1520,1,IF(OR(B1521&lt;&gt;B1520,A1521-A1520&gt;$U$1),1,""))&lt;&gt;1,"",IF(C1521="B01",1,IF(C1521="B05",1,IF(C1521="B03",1,IF(C1521="B04",1,IF(C1521="B20",1,IF(C1521="B02",1,0)))))))</f>
        <v>1</v>
      </c>
      <c r="G1521"/>
      <c r="H1521" s="2"/>
      <c r="I1521" s="2"/>
      <c r="L1521"/>
      <c r="R1521"/>
    </row>
    <row r="1522" spans="1:18">
      <c r="A1522" s="3">
        <v>45789.627986111111</v>
      </c>
      <c r="B1522" s="2" t="s">
        <v>26</v>
      </c>
      <c r="C1522" s="2" t="s">
        <v>12</v>
      </c>
      <c r="D1522" s="6" t="str">
        <f>CONCATENATE(YEAR(A1522),"/",IF(MONTH(A1522)&lt;10,CONCATENATE("0",MONTH(A1522)),MONTH(A1522)))</f>
        <v>2025/05</v>
      </c>
      <c r="E1522" s="8" t="str">
        <f>IF(IF(D1522&lt;&gt;D1521,1,IF(OR(B1522&lt;&gt;B1521,A1522-A1521&gt;$U$1),1,""))&lt;&gt;1,"",IF(C1522="B01",1965,IF(C1522="B02",1020,IF(C1522="B05",2400,IF(C1522="B03",4260,IF(C1522="B04",2880,IF(C1522="B20",1260,0)))))))</f>
        <v/>
      </c>
      <c r="F1522" s="8" t="str">
        <f>IF(IF(D1522&lt;&gt;D1521,1,IF(OR(B1522&lt;&gt;B1521,A1522-A1521&gt;$U$1),1,""))&lt;&gt;1,"",IF(C1522="B01",1,IF(C1522="B05",1,IF(C1522="B03",1,IF(C1522="B04",1,IF(C1522="B20",1,IF(C1522="B02",1,0)))))))</f>
        <v/>
      </c>
      <c r="G1522"/>
      <c r="H1522" s="2"/>
      <c r="I1522" s="2"/>
      <c r="L1522"/>
      <c r="R1522"/>
    </row>
    <row r="1523" spans="1:18">
      <c r="A1523" s="3">
        <v>45789.811030092591</v>
      </c>
      <c r="B1523" s="2" t="s">
        <v>26</v>
      </c>
      <c r="C1523" s="2" t="s">
        <v>11</v>
      </c>
      <c r="D1523" s="6" t="str">
        <f>CONCATENATE(YEAR(A1523),"/",IF(MONTH(A1523)&lt;10,CONCATENATE("0",MONTH(A1523)),MONTH(A1523)))</f>
        <v>2025/05</v>
      </c>
      <c r="E1523" s="8">
        <f>IF(IF(D1523&lt;&gt;D1522,1,IF(OR(B1523&lt;&gt;B1522,A1523-A1522&gt;$U$1),1,""))&lt;&gt;1,"",IF(C1523="B01",1965,IF(C1523="B02",1020,IF(C1523="B05",2400,IF(C1523="B03",4260,IF(C1523="B04",2880,IF(C1523="B20",1260,0)))))))</f>
        <v>2400</v>
      </c>
      <c r="F1523" s="8">
        <f>IF(IF(D1523&lt;&gt;D1522,1,IF(OR(B1523&lt;&gt;B1522,A1523-A1522&gt;$U$1),1,""))&lt;&gt;1,"",IF(C1523="B01",1,IF(C1523="B05",1,IF(C1523="B03",1,IF(C1523="B04",1,IF(C1523="B20",1,IF(C1523="B02",1,0)))))))</f>
        <v>1</v>
      </c>
      <c r="G1523"/>
      <c r="H1523" s="2"/>
      <c r="I1523" s="2"/>
      <c r="L1523"/>
      <c r="R1523"/>
    </row>
    <row r="1524" spans="1:18">
      <c r="A1524" s="3">
        <v>45789.811041666668</v>
      </c>
      <c r="B1524" s="2" t="s">
        <v>26</v>
      </c>
      <c r="C1524" s="2" t="s">
        <v>11</v>
      </c>
      <c r="D1524" s="6" t="str">
        <f>CONCATENATE(YEAR(A1524),"/",IF(MONTH(A1524)&lt;10,CONCATENATE("0",MONTH(A1524)),MONTH(A1524)))</f>
        <v>2025/05</v>
      </c>
      <c r="E1524" s="8" t="str">
        <f>IF(IF(D1524&lt;&gt;D1523,1,IF(OR(B1524&lt;&gt;B1523,A1524-A1523&gt;$U$1),1,""))&lt;&gt;1,"",IF(C1524="B01",1965,IF(C1524="B02",1020,IF(C1524="B05",2400,IF(C1524="B03",4260,IF(C1524="B04",2880,IF(C1524="B20",1260,0)))))))</f>
        <v/>
      </c>
      <c r="F1524" s="8" t="str">
        <f>IF(IF(D1524&lt;&gt;D1523,1,IF(OR(B1524&lt;&gt;B1523,A1524-A1523&gt;$U$1),1,""))&lt;&gt;1,"",IF(C1524="B01",1,IF(C1524="B05",1,IF(C1524="B03",1,IF(C1524="B04",1,IF(C1524="B20",1,IF(C1524="B02",1,0)))))))</f>
        <v/>
      </c>
      <c r="G1524"/>
      <c r="H1524" s="2"/>
      <c r="I1524" s="2"/>
      <c r="L1524"/>
      <c r="R1524"/>
    </row>
    <row r="1525" spans="1:18">
      <c r="A1525" s="3">
        <v>45790.065671296295</v>
      </c>
      <c r="B1525" s="2" t="s">
        <v>26</v>
      </c>
      <c r="C1525" s="2" t="s">
        <v>11</v>
      </c>
      <c r="D1525" s="6" t="str">
        <f>CONCATENATE(YEAR(A1525),"/",IF(MONTH(A1525)&lt;10,CONCATENATE("0",MONTH(A1525)),MONTH(A1525)))</f>
        <v>2025/05</v>
      </c>
      <c r="E1525" s="8">
        <f>IF(IF(D1525&lt;&gt;D1524,1,IF(OR(B1525&lt;&gt;B1524,A1525-A1524&gt;$U$1),1,""))&lt;&gt;1,"",IF(C1525="B01",1965,IF(C1525="B02",1020,IF(C1525="B05",2400,IF(C1525="B03",4260,IF(C1525="B04",2880,IF(C1525="B20",1260,0)))))))</f>
        <v>2400</v>
      </c>
      <c r="F1525" s="8">
        <f>IF(IF(D1525&lt;&gt;D1524,1,IF(OR(B1525&lt;&gt;B1524,A1525-A1524&gt;$U$1),1,""))&lt;&gt;1,"",IF(C1525="B01",1,IF(C1525="B05",1,IF(C1525="B03",1,IF(C1525="B04",1,IF(C1525="B20",1,IF(C1525="B02",1,0)))))))</f>
        <v>1</v>
      </c>
      <c r="G1525"/>
      <c r="H1525" s="2"/>
      <c r="I1525" s="2"/>
      <c r="L1525"/>
      <c r="R1525"/>
    </row>
    <row r="1526" spans="1:18">
      <c r="A1526" s="3">
        <v>45790.065671296295</v>
      </c>
      <c r="B1526" s="2" t="s">
        <v>26</v>
      </c>
      <c r="C1526" s="2" t="s">
        <v>11</v>
      </c>
      <c r="D1526" s="6" t="str">
        <f>CONCATENATE(YEAR(A1526),"/",IF(MONTH(A1526)&lt;10,CONCATENATE("0",MONTH(A1526)),MONTH(A1526)))</f>
        <v>2025/05</v>
      </c>
      <c r="E1526" s="8" t="str">
        <f>IF(IF(D1526&lt;&gt;D1525,1,IF(OR(B1526&lt;&gt;B1525,A1526-A1525&gt;$U$1),1,""))&lt;&gt;1,"",IF(C1526="B01",1965,IF(C1526="B02",1020,IF(C1526="B05",2400,IF(C1526="B03",4260,IF(C1526="B04",2880,IF(C1526="B20",1260,0)))))))</f>
        <v/>
      </c>
      <c r="F1526" s="8" t="str">
        <f>IF(IF(D1526&lt;&gt;D1525,1,IF(OR(B1526&lt;&gt;B1525,A1526-A1525&gt;$U$1),1,""))&lt;&gt;1,"",IF(C1526="B01",1,IF(C1526="B05",1,IF(C1526="B03",1,IF(C1526="B04",1,IF(C1526="B20",1,IF(C1526="B02",1,0)))))))</f>
        <v/>
      </c>
      <c r="G1526"/>
      <c r="H1526" s="2"/>
      <c r="I1526" s="2"/>
      <c r="L1526"/>
      <c r="R1526"/>
    </row>
    <row r="1527" spans="1:18">
      <c r="A1527" s="3">
        <v>45790.065671296295</v>
      </c>
      <c r="B1527" s="2" t="s">
        <v>26</v>
      </c>
      <c r="C1527" s="2" t="s">
        <v>11</v>
      </c>
      <c r="D1527" s="6" t="str">
        <f>CONCATENATE(YEAR(A1527),"/",IF(MONTH(A1527)&lt;10,CONCATENATE("0",MONTH(A1527)),MONTH(A1527)))</f>
        <v>2025/05</v>
      </c>
      <c r="E1527" s="8" t="str">
        <f>IF(IF(D1527&lt;&gt;D1526,1,IF(OR(B1527&lt;&gt;B1526,A1527-A1526&gt;$U$1),1,""))&lt;&gt;1,"",IF(C1527="B01",1965,IF(C1527="B02",1020,IF(C1527="B05",2400,IF(C1527="B03",4260,IF(C1527="B04",2880,IF(C1527="B20",1260,0)))))))</f>
        <v/>
      </c>
      <c r="F1527" s="8" t="str">
        <f>IF(IF(D1527&lt;&gt;D1526,1,IF(OR(B1527&lt;&gt;B1526,A1527-A1526&gt;$U$1),1,""))&lt;&gt;1,"",IF(C1527="B01",1,IF(C1527="B05",1,IF(C1527="B03",1,IF(C1527="B04",1,IF(C1527="B20",1,IF(C1527="B02",1,0)))))))</f>
        <v/>
      </c>
      <c r="G1527"/>
      <c r="H1527" s="2"/>
      <c r="I1527" s="2"/>
      <c r="L1527"/>
      <c r="R1527"/>
    </row>
    <row r="1528" spans="1:18">
      <c r="A1528" s="3">
        <v>45790.337025462963</v>
      </c>
      <c r="B1528" s="2" t="s">
        <v>26</v>
      </c>
      <c r="C1528" s="2" t="s">
        <v>12</v>
      </c>
      <c r="D1528" s="6" t="str">
        <f>CONCATENATE(YEAR(A1528),"/",IF(MONTH(A1528)&lt;10,CONCATENATE("0",MONTH(A1528)),MONTH(A1528)))</f>
        <v>2025/05</v>
      </c>
      <c r="E1528" s="8">
        <f>IF(IF(D1528&lt;&gt;D1527,1,IF(OR(B1528&lt;&gt;B1527,A1528-A1527&gt;$U$1),1,""))&lt;&gt;1,"",IF(C1528="B01",1965,IF(C1528="B02",1020,IF(C1528="B05",2400,IF(C1528="B03",4260,IF(C1528="B04",2880,IF(C1528="B20",1260,0)))))))</f>
        <v>4260</v>
      </c>
      <c r="F1528" s="8">
        <f>IF(IF(D1528&lt;&gt;D1527,1,IF(OR(B1528&lt;&gt;B1527,A1528-A1527&gt;$U$1),1,""))&lt;&gt;1,"",IF(C1528="B01",1,IF(C1528="B05",1,IF(C1528="B03",1,IF(C1528="B04",1,IF(C1528="B20",1,IF(C1528="B02",1,0)))))))</f>
        <v>1</v>
      </c>
      <c r="G1528"/>
      <c r="H1528" s="2"/>
      <c r="I1528" s="2"/>
      <c r="L1528"/>
      <c r="R1528"/>
    </row>
    <row r="1529" spans="1:18">
      <c r="A1529" s="3">
        <v>45790.337025462963</v>
      </c>
      <c r="B1529" s="2" t="s">
        <v>26</v>
      </c>
      <c r="C1529" s="2" t="s">
        <v>12</v>
      </c>
      <c r="D1529" s="6" t="str">
        <f>CONCATENATE(YEAR(A1529),"/",IF(MONTH(A1529)&lt;10,CONCATENATE("0",MONTH(A1529)),MONTH(A1529)))</f>
        <v>2025/05</v>
      </c>
      <c r="E1529" s="8" t="str">
        <f>IF(IF(D1529&lt;&gt;D1528,1,IF(OR(B1529&lt;&gt;B1528,A1529-A1528&gt;$U$1),1,""))&lt;&gt;1,"",IF(C1529="B01",1965,IF(C1529="B02",1020,IF(C1529="B05",2400,IF(C1529="B03",4260,IF(C1529="B04",2880,IF(C1529="B20",1260,0)))))))</f>
        <v/>
      </c>
      <c r="F1529" s="8" t="str">
        <f>IF(IF(D1529&lt;&gt;D1528,1,IF(OR(B1529&lt;&gt;B1528,A1529-A1528&gt;$U$1),1,""))&lt;&gt;1,"",IF(C1529="B01",1,IF(C1529="B05",1,IF(C1529="B03",1,IF(C1529="B04",1,IF(C1529="B20",1,IF(C1529="B02",1,0)))))))</f>
        <v/>
      </c>
      <c r="G1529"/>
      <c r="H1529" s="2"/>
      <c r="I1529" s="2"/>
      <c r="L1529"/>
      <c r="R1529"/>
    </row>
    <row r="1530" spans="1:18">
      <c r="A1530" s="3">
        <v>45790.484664351854</v>
      </c>
      <c r="B1530" s="2" t="s">
        <v>26</v>
      </c>
      <c r="C1530" s="2" t="s">
        <v>12</v>
      </c>
      <c r="D1530" s="6" t="str">
        <f>CONCATENATE(YEAR(A1530),"/",IF(MONTH(A1530)&lt;10,CONCATENATE("0",MONTH(A1530)),MONTH(A1530)))</f>
        <v>2025/05</v>
      </c>
      <c r="E1530" s="8">
        <f>IF(IF(D1530&lt;&gt;D1529,1,IF(OR(B1530&lt;&gt;B1529,A1530-A1529&gt;$U$1),1,""))&lt;&gt;1,"",IF(C1530="B01",1965,IF(C1530="B02",1020,IF(C1530="B05",2400,IF(C1530="B03",4260,IF(C1530="B04",2880,IF(C1530="B20",1260,0)))))))</f>
        <v>4260</v>
      </c>
      <c r="F1530" s="8">
        <f>IF(IF(D1530&lt;&gt;D1529,1,IF(OR(B1530&lt;&gt;B1529,A1530-A1529&gt;$U$1),1,""))&lt;&gt;1,"",IF(C1530="B01",1,IF(C1530="B05",1,IF(C1530="B03",1,IF(C1530="B04",1,IF(C1530="B20",1,IF(C1530="B02",1,0)))))))</f>
        <v>1</v>
      </c>
      <c r="G1530"/>
      <c r="H1530" s="2"/>
      <c r="I1530" s="2"/>
      <c r="L1530"/>
      <c r="R1530"/>
    </row>
    <row r="1531" spans="1:18">
      <c r="A1531" s="3">
        <v>45790.484664351854</v>
      </c>
      <c r="B1531" s="2" t="s">
        <v>26</v>
      </c>
      <c r="C1531" s="2" t="s">
        <v>12</v>
      </c>
      <c r="D1531" s="6" t="str">
        <f>CONCATENATE(YEAR(A1531),"/",IF(MONTH(A1531)&lt;10,CONCATENATE("0",MONTH(A1531)),MONTH(A1531)))</f>
        <v>2025/05</v>
      </c>
      <c r="E1531" s="8" t="str">
        <f>IF(IF(D1531&lt;&gt;D1530,1,IF(OR(B1531&lt;&gt;B1530,A1531-A1530&gt;$U$1),1,""))&lt;&gt;1,"",IF(C1531="B01",1965,IF(C1531="B02",1020,IF(C1531="B05",2400,IF(C1531="B03",4260,IF(C1531="B04",2880,IF(C1531="B20",1260,0)))))))</f>
        <v/>
      </c>
      <c r="F1531" s="8" t="str">
        <f>IF(IF(D1531&lt;&gt;D1530,1,IF(OR(B1531&lt;&gt;B1530,A1531-A1530&gt;$U$1),1,""))&lt;&gt;1,"",IF(C1531="B01",1,IF(C1531="B05",1,IF(C1531="B03",1,IF(C1531="B04",1,IF(C1531="B20",1,IF(C1531="B02",1,0)))))))</f>
        <v/>
      </c>
      <c r="G1531"/>
      <c r="H1531" s="2"/>
      <c r="I1531" s="2"/>
      <c r="L1531"/>
      <c r="R1531"/>
    </row>
    <row r="1532" spans="1:18">
      <c r="A1532" s="3">
        <v>45790.886562500003</v>
      </c>
      <c r="B1532" s="2" t="s">
        <v>26</v>
      </c>
      <c r="C1532" s="2" t="s">
        <v>12</v>
      </c>
      <c r="D1532" s="6" t="str">
        <f>CONCATENATE(YEAR(A1532),"/",IF(MONTH(A1532)&lt;10,CONCATENATE("0",MONTH(A1532)),MONTH(A1532)))</f>
        <v>2025/05</v>
      </c>
      <c r="E1532" s="8">
        <f>IF(IF(D1532&lt;&gt;D1531,1,IF(OR(B1532&lt;&gt;B1531,A1532-A1531&gt;$U$1),1,""))&lt;&gt;1,"",IF(C1532="B01",1965,IF(C1532="B02",1020,IF(C1532="B05",2400,IF(C1532="B03",4260,IF(C1532="B04",2880,IF(C1532="B20",1260,0)))))))</f>
        <v>4260</v>
      </c>
      <c r="F1532" s="8">
        <f>IF(IF(D1532&lt;&gt;D1531,1,IF(OR(B1532&lt;&gt;B1531,A1532-A1531&gt;$U$1),1,""))&lt;&gt;1,"",IF(C1532="B01",1,IF(C1532="B05",1,IF(C1532="B03",1,IF(C1532="B04",1,IF(C1532="B20",1,IF(C1532="B02",1,0)))))))</f>
        <v>1</v>
      </c>
      <c r="G1532"/>
      <c r="H1532" s="2"/>
      <c r="I1532" s="2"/>
      <c r="L1532"/>
      <c r="R1532"/>
    </row>
    <row r="1533" spans="1:18">
      <c r="A1533" s="3">
        <v>45790.886562500003</v>
      </c>
      <c r="B1533" s="2" t="s">
        <v>26</v>
      </c>
      <c r="C1533" s="2" t="s">
        <v>12</v>
      </c>
      <c r="D1533" s="6" t="str">
        <f>CONCATENATE(YEAR(A1533),"/",IF(MONTH(A1533)&lt;10,CONCATENATE("0",MONTH(A1533)),MONTH(A1533)))</f>
        <v>2025/05</v>
      </c>
      <c r="E1533" s="8" t="str">
        <f>IF(IF(D1533&lt;&gt;D1532,1,IF(OR(B1533&lt;&gt;B1532,A1533-A1532&gt;$U$1),1,""))&lt;&gt;1,"",IF(C1533="B01",1965,IF(C1533="B02",1020,IF(C1533="B05",2400,IF(C1533="B03",4260,IF(C1533="B04",2880,IF(C1533="B20",1260,0)))))))</f>
        <v/>
      </c>
      <c r="F1533" s="8" t="str">
        <f>IF(IF(D1533&lt;&gt;D1532,1,IF(OR(B1533&lt;&gt;B1532,A1533-A1532&gt;$U$1),1,""))&lt;&gt;1,"",IF(C1533="B01",1,IF(C1533="B05",1,IF(C1533="B03",1,IF(C1533="B04",1,IF(C1533="B20",1,IF(C1533="B02",1,0)))))))</f>
        <v/>
      </c>
      <c r="G1533"/>
      <c r="H1533" s="2"/>
      <c r="I1533" s="2"/>
      <c r="L1533"/>
      <c r="R1533"/>
    </row>
    <row r="1534" spans="1:18">
      <c r="A1534" s="3">
        <v>45790.918506944443</v>
      </c>
      <c r="B1534" s="2" t="s">
        <v>26</v>
      </c>
      <c r="C1534" s="2" t="s">
        <v>11</v>
      </c>
      <c r="D1534" s="6" t="str">
        <f>CONCATENATE(YEAR(A1534),"/",IF(MONTH(A1534)&lt;10,CONCATENATE("0",MONTH(A1534)),MONTH(A1534)))</f>
        <v>2025/05</v>
      </c>
      <c r="E1534" s="8">
        <f>IF(IF(D1534&lt;&gt;D1533,1,IF(OR(B1534&lt;&gt;B1533,A1534-A1533&gt;$U$1),1,""))&lt;&gt;1,"",IF(C1534="B01",1965,IF(C1534="B02",1020,IF(C1534="B05",2400,IF(C1534="B03",4260,IF(C1534="B04",2880,IF(C1534="B20",1260,0)))))))</f>
        <v>2400</v>
      </c>
      <c r="F1534" s="8">
        <f>IF(IF(D1534&lt;&gt;D1533,1,IF(OR(B1534&lt;&gt;B1533,A1534-A1533&gt;$U$1),1,""))&lt;&gt;1,"",IF(C1534="B01",1,IF(C1534="B05",1,IF(C1534="B03",1,IF(C1534="B04",1,IF(C1534="B20",1,IF(C1534="B02",1,0)))))))</f>
        <v>1</v>
      </c>
      <c r="G1534"/>
      <c r="H1534" s="2"/>
      <c r="I1534" s="2"/>
      <c r="L1534"/>
      <c r="R1534"/>
    </row>
    <row r="1535" spans="1:18">
      <c r="A1535" s="3">
        <v>45790.918506944443</v>
      </c>
      <c r="B1535" s="2" t="s">
        <v>26</v>
      </c>
      <c r="C1535" s="2" t="s">
        <v>11</v>
      </c>
      <c r="D1535" s="6" t="str">
        <f>CONCATENATE(YEAR(A1535),"/",IF(MONTH(A1535)&lt;10,CONCATENATE("0",MONTH(A1535)),MONTH(A1535)))</f>
        <v>2025/05</v>
      </c>
      <c r="E1535" s="8" t="str">
        <f>IF(IF(D1535&lt;&gt;D1534,1,IF(OR(B1535&lt;&gt;B1534,A1535-A1534&gt;$U$1),1,""))&lt;&gt;1,"",IF(C1535="B01",1965,IF(C1535="B02",1020,IF(C1535="B05",2400,IF(C1535="B03",4260,IF(C1535="B04",2880,IF(C1535="B20",1260,0)))))))</f>
        <v/>
      </c>
      <c r="F1535" s="8" t="str">
        <f>IF(IF(D1535&lt;&gt;D1534,1,IF(OR(B1535&lt;&gt;B1534,A1535-A1534&gt;$U$1),1,""))&lt;&gt;1,"",IF(C1535="B01",1,IF(C1535="B05",1,IF(C1535="B03",1,IF(C1535="B04",1,IF(C1535="B20",1,IF(C1535="B02",1,0)))))))</f>
        <v/>
      </c>
      <c r="G1535"/>
      <c r="H1535" s="2"/>
      <c r="I1535" s="2"/>
      <c r="L1535"/>
      <c r="R1535"/>
    </row>
    <row r="1536" spans="1:18">
      <c r="A1536" s="3">
        <v>45791.119259259256</v>
      </c>
      <c r="B1536" s="2" t="s">
        <v>26</v>
      </c>
      <c r="C1536" s="2" t="s">
        <v>11</v>
      </c>
      <c r="D1536" s="6" t="str">
        <f>CONCATENATE(YEAR(A1536),"/",IF(MONTH(A1536)&lt;10,CONCATENATE("0",MONTH(A1536)),MONTH(A1536)))</f>
        <v>2025/05</v>
      </c>
      <c r="E1536" s="8">
        <f>IF(IF(D1536&lt;&gt;D1535,1,IF(OR(B1536&lt;&gt;B1535,A1536-A1535&gt;$U$1),1,""))&lt;&gt;1,"",IF(C1536="B01",1965,IF(C1536="B02",1020,IF(C1536="B05",2400,IF(C1536="B03",4260,IF(C1536="B04",2880,IF(C1536="B20",1260,0)))))))</f>
        <v>2400</v>
      </c>
      <c r="F1536" s="8">
        <f>IF(IF(D1536&lt;&gt;D1535,1,IF(OR(B1536&lt;&gt;B1535,A1536-A1535&gt;$U$1),1,""))&lt;&gt;1,"",IF(C1536="B01",1,IF(C1536="B05",1,IF(C1536="B03",1,IF(C1536="B04",1,IF(C1536="B20",1,IF(C1536="B02",1,0)))))))</f>
        <v>1</v>
      </c>
      <c r="G1536"/>
      <c r="H1536" s="2"/>
      <c r="I1536" s="2"/>
      <c r="L1536"/>
      <c r="R1536"/>
    </row>
    <row r="1537" spans="1:18">
      <c r="A1537" s="3">
        <v>45791.119259259256</v>
      </c>
      <c r="B1537" s="2" t="s">
        <v>26</v>
      </c>
      <c r="C1537" s="2" t="s">
        <v>11</v>
      </c>
      <c r="D1537" s="6" t="str">
        <f>CONCATENATE(YEAR(A1537),"/",IF(MONTH(A1537)&lt;10,CONCATENATE("0",MONTH(A1537)),MONTH(A1537)))</f>
        <v>2025/05</v>
      </c>
      <c r="E1537" s="8" t="str">
        <f>IF(IF(D1537&lt;&gt;D1536,1,IF(OR(B1537&lt;&gt;B1536,A1537-A1536&gt;$U$1),1,""))&lt;&gt;1,"",IF(C1537="B01",1965,IF(C1537="B02",1020,IF(C1537="B05",2400,IF(C1537="B03",4260,IF(C1537="B04",2880,IF(C1537="B20",1260,0)))))))</f>
        <v/>
      </c>
      <c r="F1537" s="8" t="str">
        <f>IF(IF(D1537&lt;&gt;D1536,1,IF(OR(B1537&lt;&gt;B1536,A1537-A1536&gt;$U$1),1,""))&lt;&gt;1,"",IF(C1537="B01",1,IF(C1537="B05",1,IF(C1537="B03",1,IF(C1537="B04",1,IF(C1537="B20",1,IF(C1537="B02",1,0)))))))</f>
        <v/>
      </c>
      <c r="G1537"/>
      <c r="H1537" s="2"/>
      <c r="I1537" s="2"/>
      <c r="L1537"/>
      <c r="R1537"/>
    </row>
    <row r="1538" spans="1:18">
      <c r="A1538" s="3">
        <v>45791.535613425927</v>
      </c>
      <c r="B1538" s="2" t="s">
        <v>26</v>
      </c>
      <c r="C1538" s="2" t="s">
        <v>11</v>
      </c>
      <c r="D1538" s="6" t="str">
        <f>CONCATENATE(YEAR(A1538),"/",IF(MONTH(A1538)&lt;10,CONCATENATE("0",MONTH(A1538)),MONTH(A1538)))</f>
        <v>2025/05</v>
      </c>
      <c r="E1538" s="8">
        <f>IF(IF(D1538&lt;&gt;D1537,1,IF(OR(B1538&lt;&gt;B1537,A1538-A1537&gt;$U$1),1,""))&lt;&gt;1,"",IF(C1538="B01",1965,IF(C1538="B02",1020,IF(C1538="B05",2400,IF(C1538="B03",4260,IF(C1538="B04",2880,IF(C1538="B20",1260,0)))))))</f>
        <v>2400</v>
      </c>
      <c r="F1538" s="8">
        <f>IF(IF(D1538&lt;&gt;D1537,1,IF(OR(B1538&lt;&gt;B1537,A1538-A1537&gt;$U$1),1,""))&lt;&gt;1,"",IF(C1538="B01",1,IF(C1538="B05",1,IF(C1538="B03",1,IF(C1538="B04",1,IF(C1538="B20",1,IF(C1538="B02",1,0)))))))</f>
        <v>1</v>
      </c>
      <c r="G1538"/>
      <c r="H1538" s="2"/>
      <c r="I1538" s="2"/>
      <c r="L1538"/>
      <c r="R1538"/>
    </row>
    <row r="1539" spans="1:18">
      <c r="A1539" s="3">
        <v>45791.535613425927</v>
      </c>
      <c r="B1539" s="2" t="s">
        <v>26</v>
      </c>
      <c r="C1539" s="2" t="s">
        <v>11</v>
      </c>
      <c r="D1539" s="6" t="str">
        <f>CONCATENATE(YEAR(A1539),"/",IF(MONTH(A1539)&lt;10,CONCATENATE("0",MONTH(A1539)),MONTH(A1539)))</f>
        <v>2025/05</v>
      </c>
      <c r="E1539" s="8" t="str">
        <f>IF(IF(D1539&lt;&gt;D1538,1,IF(OR(B1539&lt;&gt;B1538,A1539-A1538&gt;$U$1),1,""))&lt;&gt;1,"",IF(C1539="B01",1965,IF(C1539="B02",1020,IF(C1539="B05",2400,IF(C1539="B03",4260,IF(C1539="B04",2880,IF(C1539="B20",1260,0)))))))</f>
        <v/>
      </c>
      <c r="F1539" s="8" t="str">
        <f>IF(IF(D1539&lt;&gt;D1538,1,IF(OR(B1539&lt;&gt;B1538,A1539-A1538&gt;$U$1),1,""))&lt;&gt;1,"",IF(C1539="B01",1,IF(C1539="B05",1,IF(C1539="B03",1,IF(C1539="B04",1,IF(C1539="B20",1,IF(C1539="B02",1,0)))))))</f>
        <v/>
      </c>
      <c r="G1539"/>
      <c r="H1539" s="2"/>
      <c r="I1539" s="2"/>
      <c r="L1539"/>
      <c r="R1539"/>
    </row>
    <row r="1540" spans="1:18">
      <c r="A1540" s="3">
        <v>45791.535613425927</v>
      </c>
      <c r="B1540" s="2" t="s">
        <v>26</v>
      </c>
      <c r="C1540" s="2" t="s">
        <v>11</v>
      </c>
      <c r="D1540" s="6" t="str">
        <f>CONCATENATE(YEAR(A1540),"/",IF(MONTH(A1540)&lt;10,CONCATENATE("0",MONTH(A1540)),MONTH(A1540)))</f>
        <v>2025/05</v>
      </c>
      <c r="E1540" s="8" t="str">
        <f>IF(IF(D1540&lt;&gt;D1539,1,IF(OR(B1540&lt;&gt;B1539,A1540-A1539&gt;$U$1),1,""))&lt;&gt;1,"",IF(C1540="B01",1965,IF(C1540="B02",1020,IF(C1540="B05",2400,IF(C1540="B03",4260,IF(C1540="B04",2880,IF(C1540="B20",1260,0)))))))</f>
        <v/>
      </c>
      <c r="F1540" s="8" t="str">
        <f>IF(IF(D1540&lt;&gt;D1539,1,IF(OR(B1540&lt;&gt;B1539,A1540-A1539&gt;$U$1),1,""))&lt;&gt;1,"",IF(C1540="B01",1,IF(C1540="B05",1,IF(C1540="B03",1,IF(C1540="B04",1,IF(C1540="B20",1,IF(C1540="B02",1,0)))))))</f>
        <v/>
      </c>
      <c r="G1540"/>
      <c r="H1540" s="2"/>
      <c r="I1540" s="2"/>
      <c r="L1540"/>
      <c r="R1540"/>
    </row>
    <row r="1541" spans="1:18">
      <c r="A1541" s="3">
        <v>45791.670289351852</v>
      </c>
      <c r="B1541" s="2" t="s">
        <v>26</v>
      </c>
      <c r="C1541" s="2" t="s">
        <v>11</v>
      </c>
      <c r="D1541" s="6" t="str">
        <f>CONCATENATE(YEAR(A1541),"/",IF(MONTH(A1541)&lt;10,CONCATENATE("0",MONTH(A1541)),MONTH(A1541)))</f>
        <v>2025/05</v>
      </c>
      <c r="E1541" s="8">
        <f>IF(IF(D1541&lt;&gt;D1540,1,IF(OR(B1541&lt;&gt;B1540,A1541-A1540&gt;$U$1),1,""))&lt;&gt;1,"",IF(C1541="B01",1965,IF(C1541="B02",1020,IF(C1541="B05",2400,IF(C1541="B03",4260,IF(C1541="B04",2880,IF(C1541="B20",1260,0)))))))</f>
        <v>2400</v>
      </c>
      <c r="F1541" s="8">
        <f>IF(IF(D1541&lt;&gt;D1540,1,IF(OR(B1541&lt;&gt;B1540,A1541-A1540&gt;$U$1),1,""))&lt;&gt;1,"",IF(C1541="B01",1,IF(C1541="B05",1,IF(C1541="B03",1,IF(C1541="B04",1,IF(C1541="B20",1,IF(C1541="B02",1,0)))))))</f>
        <v>1</v>
      </c>
      <c r="G1541"/>
      <c r="H1541" s="2"/>
      <c r="I1541" s="2"/>
      <c r="L1541"/>
      <c r="R1541"/>
    </row>
    <row r="1542" spans="1:18">
      <c r="A1542" s="3">
        <v>45791.670289351852</v>
      </c>
      <c r="B1542" s="2" t="s">
        <v>26</v>
      </c>
      <c r="C1542" s="2" t="s">
        <v>11</v>
      </c>
      <c r="D1542" s="6" t="str">
        <f>CONCATENATE(YEAR(A1542),"/",IF(MONTH(A1542)&lt;10,CONCATENATE("0",MONTH(A1542)),MONTH(A1542)))</f>
        <v>2025/05</v>
      </c>
      <c r="E1542" s="8" t="str">
        <f>IF(IF(D1542&lt;&gt;D1541,1,IF(OR(B1542&lt;&gt;B1541,A1542-A1541&gt;$U$1),1,""))&lt;&gt;1,"",IF(C1542="B01",1965,IF(C1542="B02",1020,IF(C1542="B05",2400,IF(C1542="B03",4260,IF(C1542="B04",2880,IF(C1542="B20",1260,0)))))))</f>
        <v/>
      </c>
      <c r="F1542" s="8" t="str">
        <f>IF(IF(D1542&lt;&gt;D1541,1,IF(OR(B1542&lt;&gt;B1541,A1542-A1541&gt;$U$1),1,""))&lt;&gt;1,"",IF(C1542="B01",1,IF(C1542="B05",1,IF(C1542="B03",1,IF(C1542="B04",1,IF(C1542="B20",1,IF(C1542="B02",1,0)))))))</f>
        <v/>
      </c>
      <c r="G1542"/>
      <c r="H1542" s="2"/>
      <c r="I1542" s="2"/>
      <c r="L1542"/>
      <c r="R1542"/>
    </row>
    <row r="1543" spans="1:18">
      <c r="A1543" s="3">
        <v>45791.670289351852</v>
      </c>
      <c r="B1543" s="2" t="s">
        <v>26</v>
      </c>
      <c r="C1543" s="2" t="s">
        <v>11</v>
      </c>
      <c r="D1543" s="6" t="str">
        <f>CONCATENATE(YEAR(A1543),"/",IF(MONTH(A1543)&lt;10,CONCATENATE("0",MONTH(A1543)),MONTH(A1543)))</f>
        <v>2025/05</v>
      </c>
      <c r="E1543" s="8" t="str">
        <f>IF(IF(D1543&lt;&gt;D1542,1,IF(OR(B1543&lt;&gt;B1542,A1543-A1542&gt;$U$1),1,""))&lt;&gt;1,"",IF(C1543="B01",1965,IF(C1543="B02",1020,IF(C1543="B05",2400,IF(C1543="B03",4260,IF(C1543="B04",2880,IF(C1543="B20",1260,0)))))))</f>
        <v/>
      </c>
      <c r="F1543" s="8" t="str">
        <f>IF(IF(D1543&lt;&gt;D1542,1,IF(OR(B1543&lt;&gt;B1542,A1543-A1542&gt;$U$1),1,""))&lt;&gt;1,"",IF(C1543="B01",1,IF(C1543="B05",1,IF(C1543="B03",1,IF(C1543="B04",1,IF(C1543="B20",1,IF(C1543="B02",1,0)))))))</f>
        <v/>
      </c>
      <c r="G1543"/>
      <c r="H1543" s="2"/>
      <c r="I1543" s="2"/>
      <c r="L1543"/>
      <c r="R1543"/>
    </row>
    <row r="1544" spans="1:18">
      <c r="A1544" s="3">
        <v>45791.670289351852</v>
      </c>
      <c r="B1544" s="2" t="s">
        <v>26</v>
      </c>
      <c r="C1544" s="2" t="s">
        <v>11</v>
      </c>
      <c r="D1544" s="6" t="str">
        <f>CONCATENATE(YEAR(A1544),"/",IF(MONTH(A1544)&lt;10,CONCATENATE("0",MONTH(A1544)),MONTH(A1544)))</f>
        <v>2025/05</v>
      </c>
      <c r="E1544" s="8" t="str">
        <f>IF(IF(D1544&lt;&gt;D1543,1,IF(OR(B1544&lt;&gt;B1543,A1544-A1543&gt;$U$1),1,""))&lt;&gt;1,"",IF(C1544="B01",1965,IF(C1544="B02",1020,IF(C1544="B05",2400,IF(C1544="B03",4260,IF(C1544="B04",2880,IF(C1544="B20",1260,0)))))))</f>
        <v/>
      </c>
      <c r="F1544" s="8" t="str">
        <f>IF(IF(D1544&lt;&gt;D1543,1,IF(OR(B1544&lt;&gt;B1543,A1544-A1543&gt;$U$1),1,""))&lt;&gt;1,"",IF(C1544="B01",1,IF(C1544="B05",1,IF(C1544="B03",1,IF(C1544="B04",1,IF(C1544="B20",1,IF(C1544="B02",1,0)))))))</f>
        <v/>
      </c>
      <c r="G1544"/>
      <c r="H1544" s="2"/>
      <c r="I1544" s="2"/>
      <c r="L1544"/>
      <c r="R1544"/>
    </row>
    <row r="1545" spans="1:18">
      <c r="A1545" s="3">
        <v>45791.842083333337</v>
      </c>
      <c r="B1545" s="2" t="s">
        <v>26</v>
      </c>
      <c r="C1545" s="2" t="s">
        <v>11</v>
      </c>
      <c r="D1545" s="6" t="str">
        <f>CONCATENATE(YEAR(A1545),"/",IF(MONTH(A1545)&lt;10,CONCATENATE("0",MONTH(A1545)),MONTH(A1545)))</f>
        <v>2025/05</v>
      </c>
      <c r="E1545" s="8">
        <f>IF(IF(D1545&lt;&gt;D1544,1,IF(OR(B1545&lt;&gt;B1544,A1545-A1544&gt;$U$1),1,""))&lt;&gt;1,"",IF(C1545="B01",1965,IF(C1545="B02",1020,IF(C1545="B05",2400,IF(C1545="B03",4260,IF(C1545="B04",2880,IF(C1545="B20",1260,0)))))))</f>
        <v>2400</v>
      </c>
      <c r="F1545" s="8">
        <f>IF(IF(D1545&lt;&gt;D1544,1,IF(OR(B1545&lt;&gt;B1544,A1545-A1544&gt;$U$1),1,""))&lt;&gt;1,"",IF(C1545="B01",1,IF(C1545="B05",1,IF(C1545="B03",1,IF(C1545="B04",1,IF(C1545="B20",1,IF(C1545="B02",1,0)))))))</f>
        <v>1</v>
      </c>
      <c r="G1545"/>
      <c r="H1545" s="2"/>
      <c r="I1545" s="2"/>
      <c r="L1545"/>
      <c r="R1545"/>
    </row>
    <row r="1546" spans="1:18">
      <c r="A1546" s="3">
        <v>45791.842083333337</v>
      </c>
      <c r="B1546" s="2" t="s">
        <v>26</v>
      </c>
      <c r="C1546" s="2" t="s">
        <v>11</v>
      </c>
      <c r="D1546" s="6" t="str">
        <f>CONCATENATE(YEAR(A1546),"/",IF(MONTH(A1546)&lt;10,CONCATENATE("0",MONTH(A1546)),MONTH(A1546)))</f>
        <v>2025/05</v>
      </c>
      <c r="E1546" s="8" t="str">
        <f>IF(IF(D1546&lt;&gt;D1545,1,IF(OR(B1546&lt;&gt;B1545,A1546-A1545&gt;$U$1),1,""))&lt;&gt;1,"",IF(C1546="B01",1965,IF(C1546="B02",1020,IF(C1546="B05",2400,IF(C1546="B03",4260,IF(C1546="B04",2880,IF(C1546="B20",1260,0)))))))</f>
        <v/>
      </c>
      <c r="F1546" s="8" t="str">
        <f>IF(IF(D1546&lt;&gt;D1545,1,IF(OR(B1546&lt;&gt;B1545,A1546-A1545&gt;$U$1),1,""))&lt;&gt;1,"",IF(C1546="B01",1,IF(C1546="B05",1,IF(C1546="B03",1,IF(C1546="B04",1,IF(C1546="B20",1,IF(C1546="B02",1,0)))))))</f>
        <v/>
      </c>
      <c r="G1546"/>
      <c r="H1546" s="2"/>
      <c r="I1546" s="2"/>
      <c r="L1546"/>
      <c r="R1546"/>
    </row>
    <row r="1547" spans="1:18">
      <c r="A1547" s="3">
        <v>45791.964756944442</v>
      </c>
      <c r="B1547" s="2" t="s">
        <v>26</v>
      </c>
      <c r="C1547" s="2" t="s">
        <v>11</v>
      </c>
      <c r="D1547" s="6" t="str">
        <f>CONCATENATE(YEAR(A1547),"/",IF(MONTH(A1547)&lt;10,CONCATENATE("0",MONTH(A1547)),MONTH(A1547)))</f>
        <v>2025/05</v>
      </c>
      <c r="E1547" s="8">
        <f>IF(IF(D1547&lt;&gt;D1546,1,IF(OR(B1547&lt;&gt;B1546,A1547-A1546&gt;$U$1),1,""))&lt;&gt;1,"",IF(C1547="B01",1965,IF(C1547="B02",1020,IF(C1547="B05",2400,IF(C1547="B03",4260,IF(C1547="B04",2880,IF(C1547="B20",1260,0)))))))</f>
        <v>2400</v>
      </c>
      <c r="F1547" s="8">
        <f>IF(IF(D1547&lt;&gt;D1546,1,IF(OR(B1547&lt;&gt;B1546,A1547-A1546&gt;$U$1),1,""))&lt;&gt;1,"",IF(C1547="B01",1,IF(C1547="B05",1,IF(C1547="B03",1,IF(C1547="B04",1,IF(C1547="B20",1,IF(C1547="B02",1,0)))))))</f>
        <v>1</v>
      </c>
      <c r="G1547"/>
      <c r="H1547" s="2"/>
      <c r="I1547" s="2"/>
      <c r="L1547"/>
      <c r="R1547"/>
    </row>
    <row r="1548" spans="1:18">
      <c r="A1548" s="3">
        <v>45791.964756944442</v>
      </c>
      <c r="B1548" s="2" t="s">
        <v>26</v>
      </c>
      <c r="C1548" s="2" t="s">
        <v>11</v>
      </c>
      <c r="D1548" s="6" t="str">
        <f>CONCATENATE(YEAR(A1548),"/",IF(MONTH(A1548)&lt;10,CONCATENATE("0",MONTH(A1548)),MONTH(A1548)))</f>
        <v>2025/05</v>
      </c>
      <c r="E1548" s="8" t="str">
        <f>IF(IF(D1548&lt;&gt;D1547,1,IF(OR(B1548&lt;&gt;B1547,A1548-A1547&gt;$U$1),1,""))&lt;&gt;1,"",IF(C1548="B01",1965,IF(C1548="B02",1020,IF(C1548="B05",2400,IF(C1548="B03",4260,IF(C1548="B04",2880,IF(C1548="B20",1260,0)))))))</f>
        <v/>
      </c>
      <c r="F1548" s="8" t="str">
        <f>IF(IF(D1548&lt;&gt;D1547,1,IF(OR(B1548&lt;&gt;B1547,A1548-A1547&gt;$U$1),1,""))&lt;&gt;1,"",IF(C1548="B01",1,IF(C1548="B05",1,IF(C1548="B03",1,IF(C1548="B04",1,IF(C1548="B20",1,IF(C1548="B02",1,0)))))))</f>
        <v/>
      </c>
      <c r="G1548"/>
      <c r="H1548" s="2"/>
      <c r="I1548" s="2"/>
      <c r="L1548"/>
      <c r="R1548"/>
    </row>
    <row r="1549" spans="1:18">
      <c r="A1549" s="3">
        <v>45792.118483796294</v>
      </c>
      <c r="B1549" s="2" t="s">
        <v>26</v>
      </c>
      <c r="C1549" s="2" t="s">
        <v>11</v>
      </c>
      <c r="D1549" s="6" t="str">
        <f>CONCATENATE(YEAR(A1549),"/",IF(MONTH(A1549)&lt;10,CONCATENATE("0",MONTH(A1549)),MONTH(A1549)))</f>
        <v>2025/05</v>
      </c>
      <c r="E1549" s="8">
        <f>IF(IF(D1549&lt;&gt;D1548,1,IF(OR(B1549&lt;&gt;B1548,A1549-A1548&gt;$U$1),1,""))&lt;&gt;1,"",IF(C1549="B01",1965,IF(C1549="B02",1020,IF(C1549="B05",2400,IF(C1549="B03",4260,IF(C1549="B04",2880,IF(C1549="B20",1260,0)))))))</f>
        <v>2400</v>
      </c>
      <c r="F1549" s="8">
        <f>IF(IF(D1549&lt;&gt;D1548,1,IF(OR(B1549&lt;&gt;B1548,A1549-A1548&gt;$U$1),1,""))&lt;&gt;1,"",IF(C1549="B01",1,IF(C1549="B05",1,IF(C1549="B03",1,IF(C1549="B04",1,IF(C1549="B20",1,IF(C1549="B02",1,0)))))))</f>
        <v>1</v>
      </c>
      <c r="G1549"/>
      <c r="H1549" s="2"/>
      <c r="I1549" s="2"/>
      <c r="L1549"/>
      <c r="R1549"/>
    </row>
    <row r="1550" spans="1:18">
      <c r="A1550" s="3">
        <v>45792.118483796294</v>
      </c>
      <c r="B1550" s="2" t="s">
        <v>26</v>
      </c>
      <c r="C1550" s="2" t="s">
        <v>11</v>
      </c>
      <c r="D1550" s="6" t="str">
        <f>CONCATENATE(YEAR(A1550),"/",IF(MONTH(A1550)&lt;10,CONCATENATE("0",MONTH(A1550)),MONTH(A1550)))</f>
        <v>2025/05</v>
      </c>
      <c r="E1550" s="8" t="str">
        <f>IF(IF(D1550&lt;&gt;D1549,1,IF(OR(B1550&lt;&gt;B1549,A1550-A1549&gt;$U$1),1,""))&lt;&gt;1,"",IF(C1550="B01",1965,IF(C1550="B02",1020,IF(C1550="B05",2400,IF(C1550="B03",4260,IF(C1550="B04",2880,IF(C1550="B20",1260,0)))))))</f>
        <v/>
      </c>
      <c r="F1550" s="8" t="str">
        <f>IF(IF(D1550&lt;&gt;D1549,1,IF(OR(B1550&lt;&gt;B1549,A1550-A1549&gt;$U$1),1,""))&lt;&gt;1,"",IF(C1550="B01",1,IF(C1550="B05",1,IF(C1550="B03",1,IF(C1550="B04",1,IF(C1550="B20",1,IF(C1550="B02",1,0)))))))</f>
        <v/>
      </c>
      <c r="G1550"/>
      <c r="H1550" s="2"/>
      <c r="I1550" s="2"/>
      <c r="L1550"/>
      <c r="R1550"/>
    </row>
    <row r="1551" spans="1:18">
      <c r="A1551" s="3">
        <v>45792.118483796294</v>
      </c>
      <c r="B1551" s="2" t="s">
        <v>26</v>
      </c>
      <c r="C1551" s="2" t="s">
        <v>11</v>
      </c>
      <c r="D1551" s="6" t="str">
        <f>CONCATENATE(YEAR(A1551),"/",IF(MONTH(A1551)&lt;10,CONCATENATE("0",MONTH(A1551)),MONTH(A1551)))</f>
        <v>2025/05</v>
      </c>
      <c r="E1551" s="8" t="str">
        <f>IF(IF(D1551&lt;&gt;D1550,1,IF(OR(B1551&lt;&gt;B1550,A1551-A1550&gt;$U$1),1,""))&lt;&gt;1,"",IF(C1551="B01",1965,IF(C1551="B02",1020,IF(C1551="B05",2400,IF(C1551="B03",4260,IF(C1551="B04",2880,IF(C1551="B20",1260,0)))))))</f>
        <v/>
      </c>
      <c r="F1551" s="8" t="str">
        <f>IF(IF(D1551&lt;&gt;D1550,1,IF(OR(B1551&lt;&gt;B1550,A1551-A1550&gt;$U$1),1,""))&lt;&gt;1,"",IF(C1551="B01",1,IF(C1551="B05",1,IF(C1551="B03",1,IF(C1551="B04",1,IF(C1551="B20",1,IF(C1551="B02",1,0)))))))</f>
        <v/>
      </c>
      <c r="G1551"/>
      <c r="H1551" s="2"/>
      <c r="I1551" s="2"/>
      <c r="L1551"/>
      <c r="R1551"/>
    </row>
    <row r="1552" spans="1:18">
      <c r="A1552" s="3">
        <v>45792.528495370374</v>
      </c>
      <c r="B1552" s="2" t="s">
        <v>26</v>
      </c>
      <c r="C1552" s="2" t="s">
        <v>11</v>
      </c>
      <c r="D1552" s="6" t="str">
        <f>CONCATENATE(YEAR(A1552),"/",IF(MONTH(A1552)&lt;10,CONCATENATE("0",MONTH(A1552)),MONTH(A1552)))</f>
        <v>2025/05</v>
      </c>
      <c r="E1552" s="8">
        <f>IF(IF(D1552&lt;&gt;D1551,1,IF(OR(B1552&lt;&gt;B1551,A1552-A1551&gt;$U$1),1,""))&lt;&gt;1,"",IF(C1552="B01",1965,IF(C1552="B02",1020,IF(C1552="B05",2400,IF(C1552="B03",4260,IF(C1552="B04",2880,IF(C1552="B20",1260,0)))))))</f>
        <v>2400</v>
      </c>
      <c r="F1552" s="8">
        <f>IF(IF(D1552&lt;&gt;D1551,1,IF(OR(B1552&lt;&gt;B1551,A1552-A1551&gt;$U$1),1,""))&lt;&gt;1,"",IF(C1552="B01",1,IF(C1552="B05",1,IF(C1552="B03",1,IF(C1552="B04",1,IF(C1552="B20",1,IF(C1552="B02",1,0)))))))</f>
        <v>1</v>
      </c>
      <c r="G1552"/>
      <c r="H1552" s="2"/>
      <c r="I1552" s="2"/>
      <c r="L1552"/>
      <c r="R1552"/>
    </row>
    <row r="1553" spans="1:18">
      <c r="A1553" s="3">
        <v>45792.528495370374</v>
      </c>
      <c r="B1553" s="2" t="s">
        <v>26</v>
      </c>
      <c r="C1553" s="2" t="s">
        <v>11</v>
      </c>
      <c r="D1553" s="6" t="str">
        <f>CONCATENATE(YEAR(A1553),"/",IF(MONTH(A1553)&lt;10,CONCATENATE("0",MONTH(A1553)),MONTH(A1553)))</f>
        <v>2025/05</v>
      </c>
      <c r="E1553" s="8" t="str">
        <f>IF(IF(D1553&lt;&gt;D1552,1,IF(OR(B1553&lt;&gt;B1552,A1553-A1552&gt;$U$1),1,""))&lt;&gt;1,"",IF(C1553="B01",1965,IF(C1553="B02",1020,IF(C1553="B05",2400,IF(C1553="B03",4260,IF(C1553="B04",2880,IF(C1553="B20",1260,0)))))))</f>
        <v/>
      </c>
      <c r="F1553" s="8" t="str">
        <f>IF(IF(D1553&lt;&gt;D1552,1,IF(OR(B1553&lt;&gt;B1552,A1553-A1552&gt;$U$1),1,""))&lt;&gt;1,"",IF(C1553="B01",1,IF(C1553="B05",1,IF(C1553="B03",1,IF(C1553="B04",1,IF(C1553="B20",1,IF(C1553="B02",1,0)))))))</f>
        <v/>
      </c>
      <c r="G1553"/>
      <c r="H1553" s="2"/>
      <c r="I1553" s="2"/>
      <c r="L1553"/>
      <c r="R1553"/>
    </row>
    <row r="1554" spans="1:18">
      <c r="A1554" s="3">
        <v>45792.528495370374</v>
      </c>
      <c r="B1554" s="2" t="s">
        <v>26</v>
      </c>
      <c r="C1554" s="2" t="s">
        <v>11</v>
      </c>
      <c r="D1554" s="6" t="str">
        <f>CONCATENATE(YEAR(A1554),"/",IF(MONTH(A1554)&lt;10,CONCATENATE("0",MONTH(A1554)),MONTH(A1554)))</f>
        <v>2025/05</v>
      </c>
      <c r="E1554" s="8" t="str">
        <f>IF(IF(D1554&lt;&gt;D1553,1,IF(OR(B1554&lt;&gt;B1553,A1554-A1553&gt;$U$1),1,""))&lt;&gt;1,"",IF(C1554="B01",1965,IF(C1554="B02",1020,IF(C1554="B05",2400,IF(C1554="B03",4260,IF(C1554="B04",2880,IF(C1554="B20",1260,0)))))))</f>
        <v/>
      </c>
      <c r="F1554" s="8" t="str">
        <f>IF(IF(D1554&lt;&gt;D1553,1,IF(OR(B1554&lt;&gt;B1553,A1554-A1553&gt;$U$1),1,""))&lt;&gt;1,"",IF(C1554="B01",1,IF(C1554="B05",1,IF(C1554="B03",1,IF(C1554="B04",1,IF(C1554="B20",1,IF(C1554="B02",1,0)))))))</f>
        <v/>
      </c>
      <c r="G1554"/>
      <c r="H1554" s="2"/>
      <c r="I1554" s="2"/>
      <c r="L1554"/>
      <c r="R1554"/>
    </row>
    <row r="1555" spans="1:18">
      <c r="A1555" s="3">
        <v>45792.733749999999</v>
      </c>
      <c r="B1555" s="2" t="s">
        <v>26</v>
      </c>
      <c r="C1555" s="2" t="s">
        <v>11</v>
      </c>
      <c r="D1555" s="6" t="str">
        <f>CONCATENATE(YEAR(A1555),"/",IF(MONTH(A1555)&lt;10,CONCATENATE("0",MONTH(A1555)),MONTH(A1555)))</f>
        <v>2025/05</v>
      </c>
      <c r="E1555" s="8">
        <f>IF(IF(D1555&lt;&gt;D1554,1,IF(OR(B1555&lt;&gt;B1554,A1555-A1554&gt;$U$1),1,""))&lt;&gt;1,"",IF(C1555="B01",1965,IF(C1555="B02",1020,IF(C1555="B05",2400,IF(C1555="B03",4260,IF(C1555="B04",2880,IF(C1555="B20",1260,0)))))))</f>
        <v>2400</v>
      </c>
      <c r="F1555" s="8">
        <f>IF(IF(D1555&lt;&gt;D1554,1,IF(OR(B1555&lt;&gt;B1554,A1555-A1554&gt;$U$1),1,""))&lt;&gt;1,"",IF(C1555="B01",1,IF(C1555="B05",1,IF(C1555="B03",1,IF(C1555="B04",1,IF(C1555="B20",1,IF(C1555="B02",1,0)))))))</f>
        <v>1</v>
      </c>
      <c r="G1555"/>
      <c r="H1555" s="2"/>
      <c r="I1555" s="2"/>
      <c r="L1555"/>
      <c r="R1555"/>
    </row>
    <row r="1556" spans="1:18">
      <c r="A1556" s="3">
        <v>45792.733749999999</v>
      </c>
      <c r="B1556" s="2" t="s">
        <v>26</v>
      </c>
      <c r="C1556" s="2" t="s">
        <v>11</v>
      </c>
      <c r="D1556" s="6" t="str">
        <f>CONCATENATE(YEAR(A1556),"/",IF(MONTH(A1556)&lt;10,CONCATENATE("0",MONTH(A1556)),MONTH(A1556)))</f>
        <v>2025/05</v>
      </c>
      <c r="E1556" s="8" t="str">
        <f>IF(IF(D1556&lt;&gt;D1555,1,IF(OR(B1556&lt;&gt;B1555,A1556-A1555&gt;$U$1),1,""))&lt;&gt;1,"",IF(C1556="B01",1965,IF(C1556="B02",1020,IF(C1556="B05",2400,IF(C1556="B03",4260,IF(C1556="B04",2880,IF(C1556="B20",1260,0)))))))</f>
        <v/>
      </c>
      <c r="F1556" s="8" t="str">
        <f>IF(IF(D1556&lt;&gt;D1555,1,IF(OR(B1556&lt;&gt;B1555,A1556-A1555&gt;$U$1),1,""))&lt;&gt;1,"",IF(C1556="B01",1,IF(C1556="B05",1,IF(C1556="B03",1,IF(C1556="B04",1,IF(C1556="B20",1,IF(C1556="B02",1,0)))))))</f>
        <v/>
      </c>
      <c r="G1556"/>
      <c r="H1556" s="2"/>
      <c r="I1556" s="2"/>
      <c r="L1556"/>
      <c r="R1556"/>
    </row>
    <row r="1557" spans="1:18">
      <c r="A1557" s="3">
        <v>45792.733749999999</v>
      </c>
      <c r="B1557" s="2" t="s">
        <v>26</v>
      </c>
      <c r="C1557" s="2" t="s">
        <v>11</v>
      </c>
      <c r="D1557" s="6" t="str">
        <f>CONCATENATE(YEAR(A1557),"/",IF(MONTH(A1557)&lt;10,CONCATENATE("0",MONTH(A1557)),MONTH(A1557)))</f>
        <v>2025/05</v>
      </c>
      <c r="E1557" s="8" t="str">
        <f>IF(IF(D1557&lt;&gt;D1556,1,IF(OR(B1557&lt;&gt;B1556,A1557-A1556&gt;$U$1),1,""))&lt;&gt;1,"",IF(C1557="B01",1965,IF(C1557="B02",1020,IF(C1557="B05",2400,IF(C1557="B03",4260,IF(C1557="B04",2880,IF(C1557="B20",1260,0)))))))</f>
        <v/>
      </c>
      <c r="F1557" s="8" t="str">
        <f>IF(IF(D1557&lt;&gt;D1556,1,IF(OR(B1557&lt;&gt;B1556,A1557-A1556&gt;$U$1),1,""))&lt;&gt;1,"",IF(C1557="B01",1,IF(C1557="B05",1,IF(C1557="B03",1,IF(C1557="B04",1,IF(C1557="B20",1,IF(C1557="B02",1,0)))))))</f>
        <v/>
      </c>
      <c r="G1557"/>
      <c r="H1557" s="2"/>
      <c r="I1557" s="2"/>
      <c r="L1557"/>
      <c r="R1557"/>
    </row>
    <row r="1558" spans="1:18">
      <c r="A1558" s="3">
        <v>45792.852939814817</v>
      </c>
      <c r="B1558" s="2" t="s">
        <v>26</v>
      </c>
      <c r="C1558" s="2" t="s">
        <v>11</v>
      </c>
      <c r="D1558" s="6" t="str">
        <f>CONCATENATE(YEAR(A1558),"/",IF(MONTH(A1558)&lt;10,CONCATENATE("0",MONTH(A1558)),MONTH(A1558)))</f>
        <v>2025/05</v>
      </c>
      <c r="E1558" s="8">
        <f>IF(IF(D1558&lt;&gt;D1557,1,IF(OR(B1558&lt;&gt;B1557,A1558-A1557&gt;$U$1),1,""))&lt;&gt;1,"",IF(C1558="B01",1965,IF(C1558="B02",1020,IF(C1558="B05",2400,IF(C1558="B03",4260,IF(C1558="B04",2880,IF(C1558="B20",1260,0)))))))</f>
        <v>2400</v>
      </c>
      <c r="F1558" s="8">
        <f>IF(IF(D1558&lt;&gt;D1557,1,IF(OR(B1558&lt;&gt;B1557,A1558-A1557&gt;$U$1),1,""))&lt;&gt;1,"",IF(C1558="B01",1,IF(C1558="B05",1,IF(C1558="B03",1,IF(C1558="B04",1,IF(C1558="B20",1,IF(C1558="B02",1,0)))))))</f>
        <v>1</v>
      </c>
      <c r="G1558"/>
      <c r="H1558" s="2"/>
      <c r="I1558" s="2"/>
      <c r="L1558"/>
      <c r="R1558"/>
    </row>
    <row r="1559" spans="1:18">
      <c r="A1559" s="3">
        <v>45792.852939814817</v>
      </c>
      <c r="B1559" s="2" t="s">
        <v>26</v>
      </c>
      <c r="C1559" s="2" t="s">
        <v>11</v>
      </c>
      <c r="D1559" s="6" t="str">
        <f>CONCATENATE(YEAR(A1559),"/",IF(MONTH(A1559)&lt;10,CONCATENATE("0",MONTH(A1559)),MONTH(A1559)))</f>
        <v>2025/05</v>
      </c>
      <c r="E1559" s="8" t="str">
        <f>IF(IF(D1559&lt;&gt;D1558,1,IF(OR(B1559&lt;&gt;B1558,A1559-A1558&gt;$U$1),1,""))&lt;&gt;1,"",IF(C1559="B01",1965,IF(C1559="B02",1020,IF(C1559="B05",2400,IF(C1559="B03",4260,IF(C1559="B04",2880,IF(C1559="B20",1260,0)))))))</f>
        <v/>
      </c>
      <c r="F1559" s="8" t="str">
        <f>IF(IF(D1559&lt;&gt;D1558,1,IF(OR(B1559&lt;&gt;B1558,A1559-A1558&gt;$U$1),1,""))&lt;&gt;1,"",IF(C1559="B01",1,IF(C1559="B05",1,IF(C1559="B03",1,IF(C1559="B04",1,IF(C1559="B20",1,IF(C1559="B02",1,0)))))))</f>
        <v/>
      </c>
      <c r="G1559"/>
      <c r="H1559" s="2"/>
      <c r="I1559" s="2"/>
      <c r="L1559"/>
      <c r="R1559"/>
    </row>
    <row r="1560" spans="1:18">
      <c r="A1560" s="3">
        <v>45793.030416666668</v>
      </c>
      <c r="B1560" s="2" t="s">
        <v>26</v>
      </c>
      <c r="C1560" s="2" t="s">
        <v>11</v>
      </c>
      <c r="D1560" s="6" t="str">
        <f>CONCATENATE(YEAR(A1560),"/",IF(MONTH(A1560)&lt;10,CONCATENATE("0",MONTH(A1560)),MONTH(A1560)))</f>
        <v>2025/05</v>
      </c>
      <c r="E1560" s="8">
        <f>IF(IF(D1560&lt;&gt;D1559,1,IF(OR(B1560&lt;&gt;B1559,A1560-A1559&gt;$U$1),1,""))&lt;&gt;1,"",IF(C1560="B01",1965,IF(C1560="B02",1020,IF(C1560="B05",2400,IF(C1560="B03",4260,IF(C1560="B04",2880,IF(C1560="B20",1260,0)))))))</f>
        <v>2400</v>
      </c>
      <c r="F1560" s="8">
        <f>IF(IF(D1560&lt;&gt;D1559,1,IF(OR(B1560&lt;&gt;B1559,A1560-A1559&gt;$U$1),1,""))&lt;&gt;1,"",IF(C1560="B01",1,IF(C1560="B05",1,IF(C1560="B03",1,IF(C1560="B04",1,IF(C1560="B20",1,IF(C1560="B02",1,0)))))))</f>
        <v>1</v>
      </c>
      <c r="G1560"/>
      <c r="H1560" s="2"/>
      <c r="I1560" s="2"/>
      <c r="L1560"/>
      <c r="R1560"/>
    </row>
    <row r="1561" spans="1:18">
      <c r="A1561" s="3">
        <v>45793.030416666668</v>
      </c>
      <c r="B1561" s="2" t="s">
        <v>26</v>
      </c>
      <c r="C1561" s="2" t="s">
        <v>11</v>
      </c>
      <c r="D1561" s="6" t="str">
        <f>CONCATENATE(YEAR(A1561),"/",IF(MONTH(A1561)&lt;10,CONCATENATE("0",MONTH(A1561)),MONTH(A1561)))</f>
        <v>2025/05</v>
      </c>
      <c r="E1561" s="8" t="str">
        <f>IF(IF(D1561&lt;&gt;D1560,1,IF(OR(B1561&lt;&gt;B1560,A1561-A1560&gt;$U$1),1,""))&lt;&gt;1,"",IF(C1561="B01",1965,IF(C1561="B02",1020,IF(C1561="B05",2400,IF(C1561="B03",4260,IF(C1561="B04",2880,IF(C1561="B20",1260,0)))))))</f>
        <v/>
      </c>
      <c r="F1561" s="8" t="str">
        <f>IF(IF(D1561&lt;&gt;D1560,1,IF(OR(B1561&lt;&gt;B1560,A1561-A1560&gt;$U$1),1,""))&lt;&gt;1,"",IF(C1561="B01",1,IF(C1561="B05",1,IF(C1561="B03",1,IF(C1561="B04",1,IF(C1561="B20",1,IF(C1561="B02",1,0)))))))</f>
        <v/>
      </c>
      <c r="G1561"/>
      <c r="H1561" s="2"/>
      <c r="I1561" s="2"/>
      <c r="L1561"/>
      <c r="R1561"/>
    </row>
    <row r="1562" spans="1:18">
      <c r="A1562" s="3">
        <v>45793.030416666668</v>
      </c>
      <c r="B1562" s="2" t="s">
        <v>26</v>
      </c>
      <c r="C1562" s="2" t="s">
        <v>11</v>
      </c>
      <c r="D1562" s="6" t="str">
        <f>CONCATENATE(YEAR(A1562),"/",IF(MONTH(A1562)&lt;10,CONCATENATE("0",MONTH(A1562)),MONTH(A1562)))</f>
        <v>2025/05</v>
      </c>
      <c r="E1562" s="8" t="str">
        <f>IF(IF(D1562&lt;&gt;D1561,1,IF(OR(B1562&lt;&gt;B1561,A1562-A1561&gt;$U$1),1,""))&lt;&gt;1,"",IF(C1562="B01",1965,IF(C1562="B02",1020,IF(C1562="B05",2400,IF(C1562="B03",4260,IF(C1562="B04",2880,IF(C1562="B20",1260,0)))))))</f>
        <v/>
      </c>
      <c r="F1562" s="8" t="str">
        <f>IF(IF(D1562&lt;&gt;D1561,1,IF(OR(B1562&lt;&gt;B1561,A1562-A1561&gt;$U$1),1,""))&lt;&gt;1,"",IF(C1562="B01",1,IF(C1562="B05",1,IF(C1562="B03",1,IF(C1562="B04",1,IF(C1562="B20",1,IF(C1562="B02",1,0)))))))</f>
        <v/>
      </c>
      <c r="G1562"/>
      <c r="H1562" s="2"/>
      <c r="I1562" s="2"/>
      <c r="L1562"/>
      <c r="R1562"/>
    </row>
    <row r="1563" spans="1:18">
      <c r="A1563" s="3">
        <v>45793.182372685187</v>
      </c>
      <c r="B1563" s="2" t="s">
        <v>26</v>
      </c>
      <c r="C1563" s="2" t="s">
        <v>11</v>
      </c>
      <c r="D1563" s="6" t="str">
        <f>CONCATENATE(YEAR(A1563),"/",IF(MONTH(A1563)&lt;10,CONCATENATE("0",MONTH(A1563)),MONTH(A1563)))</f>
        <v>2025/05</v>
      </c>
      <c r="E1563" s="8">
        <f>IF(IF(D1563&lt;&gt;D1562,1,IF(OR(B1563&lt;&gt;B1562,A1563-A1562&gt;$U$1),1,""))&lt;&gt;1,"",IF(C1563="B01",1965,IF(C1563="B02",1020,IF(C1563="B05",2400,IF(C1563="B03",4260,IF(C1563="B04",2880,IF(C1563="B20",1260,0)))))))</f>
        <v>2400</v>
      </c>
      <c r="F1563" s="8">
        <f>IF(IF(D1563&lt;&gt;D1562,1,IF(OR(B1563&lt;&gt;B1562,A1563-A1562&gt;$U$1),1,""))&lt;&gt;1,"",IF(C1563="B01",1,IF(C1563="B05",1,IF(C1563="B03",1,IF(C1563="B04",1,IF(C1563="B20",1,IF(C1563="B02",1,0)))))))</f>
        <v>1</v>
      </c>
      <c r="G1563"/>
      <c r="H1563" s="2"/>
      <c r="I1563" s="2"/>
      <c r="L1563"/>
      <c r="R1563"/>
    </row>
    <row r="1564" spans="1:18">
      <c r="A1564" s="3">
        <v>45793.182372685187</v>
      </c>
      <c r="B1564" s="2" t="s">
        <v>26</v>
      </c>
      <c r="C1564" s="2" t="s">
        <v>11</v>
      </c>
      <c r="D1564" s="6" t="str">
        <f>CONCATENATE(YEAR(A1564),"/",IF(MONTH(A1564)&lt;10,CONCATENATE("0",MONTH(A1564)),MONTH(A1564)))</f>
        <v>2025/05</v>
      </c>
      <c r="E1564" s="8" t="str">
        <f>IF(IF(D1564&lt;&gt;D1563,1,IF(OR(B1564&lt;&gt;B1563,A1564-A1563&gt;$U$1),1,""))&lt;&gt;1,"",IF(C1564="B01",1965,IF(C1564="B02",1020,IF(C1564="B05",2400,IF(C1564="B03",4260,IF(C1564="B04",2880,IF(C1564="B20",1260,0)))))))</f>
        <v/>
      </c>
      <c r="F1564" s="8" t="str">
        <f>IF(IF(D1564&lt;&gt;D1563,1,IF(OR(B1564&lt;&gt;B1563,A1564-A1563&gt;$U$1),1,""))&lt;&gt;1,"",IF(C1564="B01",1,IF(C1564="B05",1,IF(C1564="B03",1,IF(C1564="B04",1,IF(C1564="B20",1,IF(C1564="B02",1,0)))))))</f>
        <v/>
      </c>
      <c r="G1564"/>
      <c r="H1564" s="2"/>
      <c r="I1564" s="2"/>
      <c r="L1564"/>
      <c r="R1564"/>
    </row>
    <row r="1565" spans="1:18">
      <c r="A1565" s="3">
        <v>45793.182372685187</v>
      </c>
      <c r="B1565" s="2" t="s">
        <v>26</v>
      </c>
      <c r="C1565" s="2" t="s">
        <v>11</v>
      </c>
      <c r="D1565" s="6" t="str">
        <f>CONCATENATE(YEAR(A1565),"/",IF(MONTH(A1565)&lt;10,CONCATENATE("0",MONTH(A1565)),MONTH(A1565)))</f>
        <v>2025/05</v>
      </c>
      <c r="E1565" s="8" t="str">
        <f>IF(IF(D1565&lt;&gt;D1564,1,IF(OR(B1565&lt;&gt;B1564,A1565-A1564&gt;$U$1),1,""))&lt;&gt;1,"",IF(C1565="B01",1965,IF(C1565="B02",1020,IF(C1565="B05",2400,IF(C1565="B03",4260,IF(C1565="B04",2880,IF(C1565="B20",1260,0)))))))</f>
        <v/>
      </c>
      <c r="F1565" s="8" t="str">
        <f>IF(IF(D1565&lt;&gt;D1564,1,IF(OR(B1565&lt;&gt;B1564,A1565-A1564&gt;$U$1),1,""))&lt;&gt;1,"",IF(C1565="B01",1,IF(C1565="B05",1,IF(C1565="B03",1,IF(C1565="B04",1,IF(C1565="B20",1,IF(C1565="B02",1,0)))))))</f>
        <v/>
      </c>
      <c r="G1565"/>
      <c r="H1565" s="2"/>
      <c r="I1565" s="2"/>
      <c r="L1565"/>
      <c r="R1565"/>
    </row>
    <row r="1566" spans="1:18">
      <c r="A1566" s="3">
        <v>45793.425543981481</v>
      </c>
      <c r="B1566" s="2" t="s">
        <v>26</v>
      </c>
      <c r="C1566" s="2" t="s">
        <v>11</v>
      </c>
      <c r="D1566" s="6" t="str">
        <f>CONCATENATE(YEAR(A1566),"/",IF(MONTH(A1566)&lt;10,CONCATENATE("0",MONTH(A1566)),MONTH(A1566)))</f>
        <v>2025/05</v>
      </c>
      <c r="E1566" s="8">
        <f>IF(IF(D1566&lt;&gt;D1565,1,IF(OR(B1566&lt;&gt;B1565,A1566-A1565&gt;$U$1),1,""))&lt;&gt;1,"",IF(C1566="B01",1965,IF(C1566="B02",1020,IF(C1566="B05",2400,IF(C1566="B03",4260,IF(C1566="B04",2880,IF(C1566="B20",1260,0)))))))</f>
        <v>2400</v>
      </c>
      <c r="F1566" s="8">
        <f>IF(IF(D1566&lt;&gt;D1565,1,IF(OR(B1566&lt;&gt;B1565,A1566-A1565&gt;$U$1),1,""))&lt;&gt;1,"",IF(C1566="B01",1,IF(C1566="B05",1,IF(C1566="B03",1,IF(C1566="B04",1,IF(C1566="B20",1,IF(C1566="B02",1,0)))))))</f>
        <v>1</v>
      </c>
      <c r="G1566"/>
      <c r="H1566" s="2"/>
      <c r="I1566" s="2"/>
      <c r="L1566"/>
      <c r="R1566"/>
    </row>
    <row r="1567" spans="1:18">
      <c r="A1567" s="3">
        <v>45793.425543981481</v>
      </c>
      <c r="B1567" s="2" t="s">
        <v>26</v>
      </c>
      <c r="C1567" s="2" t="s">
        <v>11</v>
      </c>
      <c r="D1567" s="6" t="str">
        <f>CONCATENATE(YEAR(A1567),"/",IF(MONTH(A1567)&lt;10,CONCATENATE("0",MONTH(A1567)),MONTH(A1567)))</f>
        <v>2025/05</v>
      </c>
      <c r="E1567" s="8" t="str">
        <f>IF(IF(D1567&lt;&gt;D1566,1,IF(OR(B1567&lt;&gt;B1566,A1567-A1566&gt;$U$1),1,""))&lt;&gt;1,"",IF(C1567="B01",1965,IF(C1567="B02",1020,IF(C1567="B05",2400,IF(C1567="B03",4260,IF(C1567="B04",2880,IF(C1567="B20",1260,0)))))))</f>
        <v/>
      </c>
      <c r="F1567" s="8" t="str">
        <f>IF(IF(D1567&lt;&gt;D1566,1,IF(OR(B1567&lt;&gt;B1566,A1567-A1566&gt;$U$1),1,""))&lt;&gt;1,"",IF(C1567="B01",1,IF(C1567="B05",1,IF(C1567="B03",1,IF(C1567="B04",1,IF(C1567="B20",1,IF(C1567="B02",1,0)))))))</f>
        <v/>
      </c>
      <c r="G1567"/>
      <c r="H1567" s="2"/>
      <c r="I1567" s="2"/>
      <c r="L1567"/>
      <c r="R1567"/>
    </row>
    <row r="1568" spans="1:18">
      <c r="A1568" s="3">
        <v>45793.425543981481</v>
      </c>
      <c r="B1568" s="2" t="s">
        <v>26</v>
      </c>
      <c r="C1568" s="2" t="s">
        <v>11</v>
      </c>
      <c r="D1568" s="6" t="str">
        <f>CONCATENATE(YEAR(A1568),"/",IF(MONTH(A1568)&lt;10,CONCATENATE("0",MONTH(A1568)),MONTH(A1568)))</f>
        <v>2025/05</v>
      </c>
      <c r="E1568" s="8" t="str">
        <f>IF(IF(D1568&lt;&gt;D1567,1,IF(OR(B1568&lt;&gt;B1567,A1568-A1567&gt;$U$1),1,""))&lt;&gt;1,"",IF(C1568="B01",1965,IF(C1568="B02",1020,IF(C1568="B05",2400,IF(C1568="B03",4260,IF(C1568="B04",2880,IF(C1568="B20",1260,0)))))))</f>
        <v/>
      </c>
      <c r="F1568" s="8" t="str">
        <f>IF(IF(D1568&lt;&gt;D1567,1,IF(OR(B1568&lt;&gt;B1567,A1568-A1567&gt;$U$1),1,""))&lt;&gt;1,"",IF(C1568="B01",1,IF(C1568="B05",1,IF(C1568="B03",1,IF(C1568="B04",1,IF(C1568="B20",1,IF(C1568="B02",1,0)))))))</f>
        <v/>
      </c>
      <c r="G1568"/>
      <c r="H1568" s="2"/>
      <c r="I1568" s="2"/>
      <c r="L1568"/>
      <c r="R1568"/>
    </row>
    <row r="1569" spans="1:18">
      <c r="A1569" s="3">
        <v>45793.657094907408</v>
      </c>
      <c r="B1569" s="2" t="s">
        <v>26</v>
      </c>
      <c r="C1569" s="2" t="s">
        <v>11</v>
      </c>
      <c r="D1569" s="6" t="str">
        <f>CONCATENATE(YEAR(A1569),"/",IF(MONTH(A1569)&lt;10,CONCATENATE("0",MONTH(A1569)),MONTH(A1569)))</f>
        <v>2025/05</v>
      </c>
      <c r="E1569" s="8">
        <f>IF(IF(D1569&lt;&gt;D1568,1,IF(OR(B1569&lt;&gt;B1568,A1569-A1568&gt;$U$1),1,""))&lt;&gt;1,"",IF(C1569="B01",1965,IF(C1569="B02",1020,IF(C1569="B05",2400,IF(C1569="B03",4260,IF(C1569="B04",2880,IF(C1569="B20",1260,0)))))))</f>
        <v>2400</v>
      </c>
      <c r="F1569" s="8">
        <f>IF(IF(D1569&lt;&gt;D1568,1,IF(OR(B1569&lt;&gt;B1568,A1569-A1568&gt;$U$1),1,""))&lt;&gt;1,"",IF(C1569="B01",1,IF(C1569="B05",1,IF(C1569="B03",1,IF(C1569="B04",1,IF(C1569="B20",1,IF(C1569="B02",1,0)))))))</f>
        <v>1</v>
      </c>
      <c r="G1569"/>
      <c r="H1569" s="2"/>
      <c r="I1569" s="2"/>
      <c r="L1569"/>
      <c r="R1569"/>
    </row>
    <row r="1570" spans="1:18">
      <c r="A1570" s="3">
        <v>45793.657094907408</v>
      </c>
      <c r="B1570" s="2" t="s">
        <v>26</v>
      </c>
      <c r="C1570" s="2" t="s">
        <v>11</v>
      </c>
      <c r="D1570" s="6" t="str">
        <f>CONCATENATE(YEAR(A1570),"/",IF(MONTH(A1570)&lt;10,CONCATENATE("0",MONTH(A1570)),MONTH(A1570)))</f>
        <v>2025/05</v>
      </c>
      <c r="E1570" s="8" t="str">
        <f>IF(IF(D1570&lt;&gt;D1569,1,IF(OR(B1570&lt;&gt;B1569,A1570-A1569&gt;$U$1),1,""))&lt;&gt;1,"",IF(C1570="B01",1965,IF(C1570="B02",1020,IF(C1570="B05",2400,IF(C1570="B03",4260,IF(C1570="B04",2880,IF(C1570="B20",1260,0)))))))</f>
        <v/>
      </c>
      <c r="F1570" s="8" t="str">
        <f>IF(IF(D1570&lt;&gt;D1569,1,IF(OR(B1570&lt;&gt;B1569,A1570-A1569&gt;$U$1),1,""))&lt;&gt;1,"",IF(C1570="B01",1,IF(C1570="B05",1,IF(C1570="B03",1,IF(C1570="B04",1,IF(C1570="B20",1,IF(C1570="B02",1,0)))))))</f>
        <v/>
      </c>
      <c r="G1570"/>
      <c r="H1570" s="2"/>
      <c r="I1570" s="2"/>
      <c r="L1570"/>
      <c r="R1570"/>
    </row>
    <row r="1571" spans="1:18">
      <c r="A1571" s="3">
        <v>45793.657094907408</v>
      </c>
      <c r="B1571" s="2" t="s">
        <v>26</v>
      </c>
      <c r="C1571" s="2" t="s">
        <v>11</v>
      </c>
      <c r="D1571" s="6" t="str">
        <f>CONCATENATE(YEAR(A1571),"/",IF(MONTH(A1571)&lt;10,CONCATENATE("0",MONTH(A1571)),MONTH(A1571)))</f>
        <v>2025/05</v>
      </c>
      <c r="E1571" s="8" t="str">
        <f>IF(IF(D1571&lt;&gt;D1570,1,IF(OR(B1571&lt;&gt;B1570,A1571-A1570&gt;$U$1),1,""))&lt;&gt;1,"",IF(C1571="B01",1965,IF(C1571="B02",1020,IF(C1571="B05",2400,IF(C1571="B03",4260,IF(C1571="B04",2880,IF(C1571="B20",1260,0)))))))</f>
        <v/>
      </c>
      <c r="F1571" s="8" t="str">
        <f>IF(IF(D1571&lt;&gt;D1570,1,IF(OR(B1571&lt;&gt;B1570,A1571-A1570&gt;$U$1),1,""))&lt;&gt;1,"",IF(C1571="B01",1,IF(C1571="B05",1,IF(C1571="B03",1,IF(C1571="B04",1,IF(C1571="B20",1,IF(C1571="B02",1,0)))))))</f>
        <v/>
      </c>
      <c r="G1571"/>
      <c r="H1571" s="2"/>
      <c r="I1571" s="2"/>
      <c r="L1571"/>
      <c r="R1571"/>
    </row>
    <row r="1572" spans="1:18">
      <c r="A1572" s="3">
        <v>45793.657094907408</v>
      </c>
      <c r="B1572" s="2" t="s">
        <v>26</v>
      </c>
      <c r="C1572" s="2" t="s">
        <v>11</v>
      </c>
      <c r="D1572" s="6" t="str">
        <f>CONCATENATE(YEAR(A1572),"/",IF(MONTH(A1572)&lt;10,CONCATENATE("0",MONTH(A1572)),MONTH(A1572)))</f>
        <v>2025/05</v>
      </c>
      <c r="E1572" s="8" t="str">
        <f>IF(IF(D1572&lt;&gt;D1571,1,IF(OR(B1572&lt;&gt;B1571,A1572-A1571&gt;$U$1),1,""))&lt;&gt;1,"",IF(C1572="B01",1965,IF(C1572="B02",1020,IF(C1572="B05",2400,IF(C1572="B03",4260,IF(C1572="B04",2880,IF(C1572="B20",1260,0)))))))</f>
        <v/>
      </c>
      <c r="F1572" s="8" t="str">
        <f>IF(IF(D1572&lt;&gt;D1571,1,IF(OR(B1572&lt;&gt;B1571,A1572-A1571&gt;$U$1),1,""))&lt;&gt;1,"",IF(C1572="B01",1,IF(C1572="B05",1,IF(C1572="B03",1,IF(C1572="B04",1,IF(C1572="B20",1,IF(C1572="B02",1,0)))))))</f>
        <v/>
      </c>
      <c r="G1572"/>
      <c r="H1572" s="2"/>
      <c r="I1572" s="2"/>
      <c r="L1572"/>
      <c r="R1572"/>
    </row>
    <row r="1573" spans="1:18">
      <c r="A1573" s="3">
        <v>45793.772465277776</v>
      </c>
      <c r="B1573" s="2" t="s">
        <v>26</v>
      </c>
      <c r="C1573" s="2" t="s">
        <v>12</v>
      </c>
      <c r="D1573" s="6" t="str">
        <f>CONCATENATE(YEAR(A1573),"/",IF(MONTH(A1573)&lt;10,CONCATENATE("0",MONTH(A1573)),MONTH(A1573)))</f>
        <v>2025/05</v>
      </c>
      <c r="E1573" s="8">
        <f>IF(IF(D1573&lt;&gt;D1572,1,IF(OR(B1573&lt;&gt;B1572,A1573-A1572&gt;$U$1),1,""))&lt;&gt;1,"",IF(C1573="B01",1965,IF(C1573="B02",1020,IF(C1573="B05",2400,IF(C1573="B03",4260,IF(C1573="B04",2880,IF(C1573="B20",1260,0)))))))</f>
        <v>4260</v>
      </c>
      <c r="F1573" s="8">
        <f>IF(IF(D1573&lt;&gt;D1572,1,IF(OR(B1573&lt;&gt;B1572,A1573-A1572&gt;$U$1),1,""))&lt;&gt;1,"",IF(C1573="B01",1,IF(C1573="B05",1,IF(C1573="B03",1,IF(C1573="B04",1,IF(C1573="B20",1,IF(C1573="B02",1,0)))))))</f>
        <v>1</v>
      </c>
      <c r="G1573"/>
      <c r="H1573" s="2"/>
      <c r="I1573" s="2"/>
      <c r="L1573"/>
      <c r="R1573"/>
    </row>
    <row r="1574" spans="1:18">
      <c r="A1574" s="3">
        <v>45793.772465277776</v>
      </c>
      <c r="B1574" s="2" t="s">
        <v>26</v>
      </c>
      <c r="C1574" s="2" t="s">
        <v>12</v>
      </c>
      <c r="D1574" s="6" t="str">
        <f>CONCATENATE(YEAR(A1574),"/",IF(MONTH(A1574)&lt;10,CONCATENATE("0",MONTH(A1574)),MONTH(A1574)))</f>
        <v>2025/05</v>
      </c>
      <c r="E1574" s="8" t="str">
        <f>IF(IF(D1574&lt;&gt;D1573,1,IF(OR(B1574&lt;&gt;B1573,A1574-A1573&gt;$U$1),1,""))&lt;&gt;1,"",IF(C1574="B01",1965,IF(C1574="B02",1020,IF(C1574="B05",2400,IF(C1574="B03",4260,IF(C1574="B04",2880,IF(C1574="B20",1260,0)))))))</f>
        <v/>
      </c>
      <c r="F1574" s="8" t="str">
        <f>IF(IF(D1574&lt;&gt;D1573,1,IF(OR(B1574&lt;&gt;B1573,A1574-A1573&gt;$U$1),1,""))&lt;&gt;1,"",IF(C1574="B01",1,IF(C1574="B05",1,IF(C1574="B03",1,IF(C1574="B04",1,IF(C1574="B20",1,IF(C1574="B02",1,0)))))))</f>
        <v/>
      </c>
      <c r="G1574"/>
      <c r="H1574" s="2"/>
      <c r="I1574" s="2"/>
      <c r="L1574"/>
      <c r="R1574"/>
    </row>
    <row r="1575" spans="1:18">
      <c r="A1575" s="3">
        <v>45793.995659722219</v>
      </c>
      <c r="B1575" s="2" t="s">
        <v>26</v>
      </c>
      <c r="C1575" s="2" t="s">
        <v>11</v>
      </c>
      <c r="D1575" s="6" t="str">
        <f>CONCATENATE(YEAR(A1575),"/",IF(MONTH(A1575)&lt;10,CONCATENATE("0",MONTH(A1575)),MONTH(A1575)))</f>
        <v>2025/05</v>
      </c>
      <c r="E1575" s="8">
        <f>IF(IF(D1575&lt;&gt;D1574,1,IF(OR(B1575&lt;&gt;B1574,A1575-A1574&gt;$U$1),1,""))&lt;&gt;1,"",IF(C1575="B01",1965,IF(C1575="B02",1020,IF(C1575="B05",2400,IF(C1575="B03",4260,IF(C1575="B04",2880,IF(C1575="B20",1260,0)))))))</f>
        <v>2400</v>
      </c>
      <c r="F1575" s="8">
        <f>IF(IF(D1575&lt;&gt;D1574,1,IF(OR(B1575&lt;&gt;B1574,A1575-A1574&gt;$U$1),1,""))&lt;&gt;1,"",IF(C1575="B01",1,IF(C1575="B05",1,IF(C1575="B03",1,IF(C1575="B04",1,IF(C1575="B20",1,IF(C1575="B02",1,0)))))))</f>
        <v>1</v>
      </c>
      <c r="G1575"/>
      <c r="H1575" s="2"/>
      <c r="I1575" s="2"/>
      <c r="L1575"/>
      <c r="R1575"/>
    </row>
    <row r="1576" spans="1:18">
      <c r="A1576" s="3">
        <v>45793.995659722219</v>
      </c>
      <c r="B1576" s="2" t="s">
        <v>26</v>
      </c>
      <c r="C1576" s="2" t="s">
        <v>11</v>
      </c>
      <c r="D1576" s="6" t="str">
        <f>CONCATENATE(YEAR(A1576),"/",IF(MONTH(A1576)&lt;10,CONCATENATE("0",MONTH(A1576)),MONTH(A1576)))</f>
        <v>2025/05</v>
      </c>
      <c r="E1576" s="8" t="str">
        <f>IF(IF(D1576&lt;&gt;D1575,1,IF(OR(B1576&lt;&gt;B1575,A1576-A1575&gt;$U$1),1,""))&lt;&gt;1,"",IF(C1576="B01",1965,IF(C1576="B02",1020,IF(C1576="B05",2400,IF(C1576="B03",4260,IF(C1576="B04",2880,IF(C1576="B20",1260,0)))))))</f>
        <v/>
      </c>
      <c r="F1576" s="8" t="str">
        <f>IF(IF(D1576&lt;&gt;D1575,1,IF(OR(B1576&lt;&gt;B1575,A1576-A1575&gt;$U$1),1,""))&lt;&gt;1,"",IF(C1576="B01",1,IF(C1576="B05",1,IF(C1576="B03",1,IF(C1576="B04",1,IF(C1576="B20",1,IF(C1576="B02",1,0)))))))</f>
        <v/>
      </c>
      <c r="G1576"/>
      <c r="H1576" s="2"/>
      <c r="I1576" s="2"/>
      <c r="L1576"/>
      <c r="R1576"/>
    </row>
    <row r="1577" spans="1:18">
      <c r="A1577" s="3">
        <v>45793.995659722219</v>
      </c>
      <c r="B1577" s="2" t="s">
        <v>26</v>
      </c>
      <c r="C1577" s="2" t="s">
        <v>11</v>
      </c>
      <c r="D1577" s="6" t="str">
        <f>CONCATENATE(YEAR(A1577),"/",IF(MONTH(A1577)&lt;10,CONCATENATE("0",MONTH(A1577)),MONTH(A1577)))</f>
        <v>2025/05</v>
      </c>
      <c r="E1577" s="8" t="str">
        <f>IF(IF(D1577&lt;&gt;D1576,1,IF(OR(B1577&lt;&gt;B1576,A1577-A1576&gt;$U$1),1,""))&lt;&gt;1,"",IF(C1577="B01",1965,IF(C1577="B02",1020,IF(C1577="B05",2400,IF(C1577="B03",4260,IF(C1577="B04",2880,IF(C1577="B20",1260,0)))))))</f>
        <v/>
      </c>
      <c r="F1577" s="8" t="str">
        <f>IF(IF(D1577&lt;&gt;D1576,1,IF(OR(B1577&lt;&gt;B1576,A1577-A1576&gt;$U$1),1,""))&lt;&gt;1,"",IF(C1577="B01",1,IF(C1577="B05",1,IF(C1577="B03",1,IF(C1577="B04",1,IF(C1577="B20",1,IF(C1577="B02",1,0)))))))</f>
        <v/>
      </c>
      <c r="G1577"/>
      <c r="H1577" s="2"/>
      <c r="I1577" s="2"/>
      <c r="L1577"/>
      <c r="R1577"/>
    </row>
    <row r="1578" spans="1:18">
      <c r="A1578" s="3">
        <v>45794.252453703702</v>
      </c>
      <c r="B1578" s="2" t="s">
        <v>26</v>
      </c>
      <c r="C1578" s="2" t="s">
        <v>11</v>
      </c>
      <c r="D1578" s="6" t="str">
        <f>CONCATENATE(YEAR(A1578),"/",IF(MONTH(A1578)&lt;10,CONCATENATE("0",MONTH(A1578)),MONTH(A1578)))</f>
        <v>2025/05</v>
      </c>
      <c r="E1578" s="8">
        <f>IF(IF(D1578&lt;&gt;D1577,1,IF(OR(B1578&lt;&gt;B1577,A1578-A1577&gt;$U$1),1,""))&lt;&gt;1,"",IF(C1578="B01",1965,IF(C1578="B02",1020,IF(C1578="B05",2400,IF(C1578="B03",4260,IF(C1578="B04",2880,IF(C1578="B20",1260,0)))))))</f>
        <v>2400</v>
      </c>
      <c r="F1578" s="8">
        <f>IF(IF(D1578&lt;&gt;D1577,1,IF(OR(B1578&lt;&gt;B1577,A1578-A1577&gt;$U$1),1,""))&lt;&gt;1,"",IF(C1578="B01",1,IF(C1578="B05",1,IF(C1578="B03",1,IF(C1578="B04",1,IF(C1578="B20",1,IF(C1578="B02",1,0)))))))</f>
        <v>1</v>
      </c>
      <c r="G1578"/>
      <c r="H1578" s="2"/>
      <c r="I1578" s="2"/>
      <c r="L1578"/>
      <c r="R1578"/>
    </row>
    <row r="1579" spans="1:18">
      <c r="A1579" s="3">
        <v>45794.252453703702</v>
      </c>
      <c r="B1579" s="2" t="s">
        <v>26</v>
      </c>
      <c r="C1579" s="2" t="s">
        <v>11</v>
      </c>
      <c r="D1579" s="6" t="str">
        <f>CONCATENATE(YEAR(A1579),"/",IF(MONTH(A1579)&lt;10,CONCATENATE("0",MONTH(A1579)),MONTH(A1579)))</f>
        <v>2025/05</v>
      </c>
      <c r="E1579" s="8" t="str">
        <f>IF(IF(D1579&lt;&gt;D1578,1,IF(OR(B1579&lt;&gt;B1578,A1579-A1578&gt;$U$1),1,""))&lt;&gt;1,"",IF(C1579="B01",1965,IF(C1579="B02",1020,IF(C1579="B05",2400,IF(C1579="B03",4260,IF(C1579="B04",2880,IF(C1579="B20",1260,0)))))))</f>
        <v/>
      </c>
      <c r="F1579" s="8" t="str">
        <f>IF(IF(D1579&lt;&gt;D1578,1,IF(OR(B1579&lt;&gt;B1578,A1579-A1578&gt;$U$1),1,""))&lt;&gt;1,"",IF(C1579="B01",1,IF(C1579="B05",1,IF(C1579="B03",1,IF(C1579="B04",1,IF(C1579="B20",1,IF(C1579="B02",1,0)))))))</f>
        <v/>
      </c>
      <c r="G1579"/>
      <c r="H1579" s="2"/>
      <c r="I1579" s="2"/>
      <c r="L1579"/>
      <c r="R1579"/>
    </row>
    <row r="1580" spans="1:18">
      <c r="A1580" s="3">
        <v>45794.554710648146</v>
      </c>
      <c r="B1580" s="2" t="s">
        <v>26</v>
      </c>
      <c r="C1580" s="2" t="s">
        <v>12</v>
      </c>
      <c r="D1580" s="6" t="str">
        <f>CONCATENATE(YEAR(A1580),"/",IF(MONTH(A1580)&lt;10,CONCATENATE("0",MONTH(A1580)),MONTH(A1580)))</f>
        <v>2025/05</v>
      </c>
      <c r="E1580" s="8">
        <f>IF(IF(D1580&lt;&gt;D1579,1,IF(OR(B1580&lt;&gt;B1579,A1580-A1579&gt;$U$1),1,""))&lt;&gt;1,"",IF(C1580="B01",1965,IF(C1580="B02",1020,IF(C1580="B05",2400,IF(C1580="B03",4260,IF(C1580="B04",2880,IF(C1580="B20",1260,0)))))))</f>
        <v>4260</v>
      </c>
      <c r="F1580" s="8">
        <f>IF(IF(D1580&lt;&gt;D1579,1,IF(OR(B1580&lt;&gt;B1579,A1580-A1579&gt;$U$1),1,""))&lt;&gt;1,"",IF(C1580="B01",1,IF(C1580="B05",1,IF(C1580="B03",1,IF(C1580="B04",1,IF(C1580="B20",1,IF(C1580="B02",1,0)))))))</f>
        <v>1</v>
      </c>
      <c r="G1580"/>
      <c r="H1580" s="2"/>
      <c r="I1580" s="2"/>
      <c r="L1580"/>
      <c r="R1580"/>
    </row>
    <row r="1581" spans="1:18">
      <c r="A1581" s="3">
        <v>45794.554722222223</v>
      </c>
      <c r="B1581" s="2" t="s">
        <v>26</v>
      </c>
      <c r="C1581" s="2" t="s">
        <v>12</v>
      </c>
      <c r="D1581" s="6" t="str">
        <f>CONCATENATE(YEAR(A1581),"/",IF(MONTH(A1581)&lt;10,CONCATENATE("0",MONTH(A1581)),MONTH(A1581)))</f>
        <v>2025/05</v>
      </c>
      <c r="E1581" s="8" t="str">
        <f>IF(IF(D1581&lt;&gt;D1580,1,IF(OR(B1581&lt;&gt;B1580,A1581-A1580&gt;$U$1),1,""))&lt;&gt;1,"",IF(C1581="B01",1965,IF(C1581="B02",1020,IF(C1581="B05",2400,IF(C1581="B03",4260,IF(C1581="B04",2880,IF(C1581="B20",1260,0)))))))</f>
        <v/>
      </c>
      <c r="F1581" s="8" t="str">
        <f>IF(IF(D1581&lt;&gt;D1580,1,IF(OR(B1581&lt;&gt;B1580,A1581-A1580&gt;$U$1),1,""))&lt;&gt;1,"",IF(C1581="B01",1,IF(C1581="B05",1,IF(C1581="B03",1,IF(C1581="B04",1,IF(C1581="B20",1,IF(C1581="B02",1,0)))))))</f>
        <v/>
      </c>
      <c r="G1581"/>
      <c r="H1581" s="2"/>
      <c r="I1581" s="2"/>
      <c r="L1581"/>
      <c r="R1581"/>
    </row>
    <row r="1582" spans="1:18">
      <c r="A1582" s="3">
        <v>45794.554722222223</v>
      </c>
      <c r="B1582" s="2" t="s">
        <v>26</v>
      </c>
      <c r="C1582" s="2" t="s">
        <v>12</v>
      </c>
      <c r="D1582" s="6" t="str">
        <f>CONCATENATE(YEAR(A1582),"/",IF(MONTH(A1582)&lt;10,CONCATENATE("0",MONTH(A1582)),MONTH(A1582)))</f>
        <v>2025/05</v>
      </c>
      <c r="E1582" s="8" t="str">
        <f>IF(IF(D1582&lt;&gt;D1581,1,IF(OR(B1582&lt;&gt;B1581,A1582-A1581&gt;$U$1),1,""))&lt;&gt;1,"",IF(C1582="B01",1965,IF(C1582="B02",1020,IF(C1582="B05",2400,IF(C1582="B03",4260,IF(C1582="B04",2880,IF(C1582="B20",1260,0)))))))</f>
        <v/>
      </c>
      <c r="F1582" s="8" t="str">
        <f>IF(IF(D1582&lt;&gt;D1581,1,IF(OR(B1582&lt;&gt;B1581,A1582-A1581&gt;$U$1),1,""))&lt;&gt;1,"",IF(C1582="B01",1,IF(C1582="B05",1,IF(C1582="B03",1,IF(C1582="B04",1,IF(C1582="B20",1,IF(C1582="B02",1,0)))))))</f>
        <v/>
      </c>
      <c r="G1582"/>
      <c r="H1582" s="2"/>
      <c r="I1582" s="2"/>
      <c r="L1582"/>
      <c r="R1582"/>
    </row>
    <row r="1583" spans="1:18">
      <c r="A1583" s="3">
        <v>45794.709282407406</v>
      </c>
      <c r="B1583" s="2" t="s">
        <v>26</v>
      </c>
      <c r="C1583" s="2" t="s">
        <v>11</v>
      </c>
      <c r="D1583" s="6" t="str">
        <f>CONCATENATE(YEAR(A1583),"/",IF(MONTH(A1583)&lt;10,CONCATENATE("0",MONTH(A1583)),MONTH(A1583)))</f>
        <v>2025/05</v>
      </c>
      <c r="E1583" s="8">
        <f>IF(IF(D1583&lt;&gt;D1582,1,IF(OR(B1583&lt;&gt;B1582,A1583-A1582&gt;$U$1),1,""))&lt;&gt;1,"",IF(C1583="B01",1965,IF(C1583="B02",1020,IF(C1583="B05",2400,IF(C1583="B03",4260,IF(C1583="B04",2880,IF(C1583="B20",1260,0)))))))</f>
        <v>2400</v>
      </c>
      <c r="F1583" s="8">
        <f>IF(IF(D1583&lt;&gt;D1582,1,IF(OR(B1583&lt;&gt;B1582,A1583-A1582&gt;$U$1),1,""))&lt;&gt;1,"",IF(C1583="B01",1,IF(C1583="B05",1,IF(C1583="B03",1,IF(C1583="B04",1,IF(C1583="B20",1,IF(C1583="B02",1,0)))))))</f>
        <v>1</v>
      </c>
      <c r="G1583"/>
      <c r="H1583" s="2"/>
      <c r="I1583" s="2"/>
      <c r="L1583"/>
      <c r="R1583"/>
    </row>
    <row r="1584" spans="1:18">
      <c r="A1584" s="3">
        <v>45794.709282407406</v>
      </c>
      <c r="B1584" s="2" t="s">
        <v>26</v>
      </c>
      <c r="C1584" s="2" t="s">
        <v>11</v>
      </c>
      <c r="D1584" s="6" t="str">
        <f>CONCATENATE(YEAR(A1584),"/",IF(MONTH(A1584)&lt;10,CONCATENATE("0",MONTH(A1584)),MONTH(A1584)))</f>
        <v>2025/05</v>
      </c>
      <c r="E1584" s="8" t="str">
        <f>IF(IF(D1584&lt;&gt;D1583,1,IF(OR(B1584&lt;&gt;B1583,A1584-A1583&gt;$U$1),1,""))&lt;&gt;1,"",IF(C1584="B01",1965,IF(C1584="B02",1020,IF(C1584="B05",2400,IF(C1584="B03",4260,IF(C1584="B04",2880,IF(C1584="B20",1260,0)))))))</f>
        <v/>
      </c>
      <c r="F1584" s="8" t="str">
        <f>IF(IF(D1584&lt;&gt;D1583,1,IF(OR(B1584&lt;&gt;B1583,A1584-A1583&gt;$U$1),1,""))&lt;&gt;1,"",IF(C1584="B01",1,IF(C1584="B05",1,IF(C1584="B03",1,IF(C1584="B04",1,IF(C1584="B20",1,IF(C1584="B02",1,0)))))))</f>
        <v/>
      </c>
      <c r="G1584"/>
      <c r="H1584" s="2"/>
      <c r="I1584" s="2"/>
      <c r="L1584"/>
      <c r="R1584"/>
    </row>
    <row r="1585" spans="1:18">
      <c r="A1585" s="3">
        <v>45794.839456018519</v>
      </c>
      <c r="B1585" s="2" t="s">
        <v>26</v>
      </c>
      <c r="C1585" s="2" t="s">
        <v>12</v>
      </c>
      <c r="D1585" s="6" t="str">
        <f>CONCATENATE(YEAR(A1585),"/",IF(MONTH(A1585)&lt;10,CONCATENATE("0",MONTH(A1585)),MONTH(A1585)))</f>
        <v>2025/05</v>
      </c>
      <c r="E1585" s="8">
        <f>IF(IF(D1585&lt;&gt;D1584,1,IF(OR(B1585&lt;&gt;B1584,A1585-A1584&gt;$U$1),1,""))&lt;&gt;1,"",IF(C1585="B01",1965,IF(C1585="B02",1020,IF(C1585="B05",2400,IF(C1585="B03",4260,IF(C1585="B04",2880,IF(C1585="B20",1260,0)))))))</f>
        <v>4260</v>
      </c>
      <c r="F1585" s="8">
        <f>IF(IF(D1585&lt;&gt;D1584,1,IF(OR(B1585&lt;&gt;B1584,A1585-A1584&gt;$U$1),1,""))&lt;&gt;1,"",IF(C1585="B01",1,IF(C1585="B05",1,IF(C1585="B03",1,IF(C1585="B04",1,IF(C1585="B20",1,IF(C1585="B02",1,0)))))))</f>
        <v>1</v>
      </c>
      <c r="G1585"/>
      <c r="H1585" s="2"/>
      <c r="I1585" s="2"/>
      <c r="L1585"/>
      <c r="R1585"/>
    </row>
    <row r="1586" spans="1:18">
      <c r="A1586" s="3">
        <v>45794.839456018519</v>
      </c>
      <c r="B1586" s="2" t="s">
        <v>26</v>
      </c>
      <c r="C1586" s="2" t="s">
        <v>12</v>
      </c>
      <c r="D1586" s="6" t="str">
        <f>CONCATENATE(YEAR(A1586),"/",IF(MONTH(A1586)&lt;10,CONCATENATE("0",MONTH(A1586)),MONTH(A1586)))</f>
        <v>2025/05</v>
      </c>
      <c r="E1586" s="8" t="str">
        <f>IF(IF(D1586&lt;&gt;D1585,1,IF(OR(B1586&lt;&gt;B1585,A1586-A1585&gt;$U$1),1,""))&lt;&gt;1,"",IF(C1586="B01",1965,IF(C1586="B02",1020,IF(C1586="B05",2400,IF(C1586="B03",4260,IF(C1586="B04",2880,IF(C1586="B20",1260,0)))))))</f>
        <v/>
      </c>
      <c r="F1586" s="8" t="str">
        <f>IF(IF(D1586&lt;&gt;D1585,1,IF(OR(B1586&lt;&gt;B1585,A1586-A1585&gt;$U$1),1,""))&lt;&gt;1,"",IF(C1586="B01",1,IF(C1586="B05",1,IF(C1586="B03",1,IF(C1586="B04",1,IF(C1586="B20",1,IF(C1586="B02",1,0)))))))</f>
        <v/>
      </c>
      <c r="G1586"/>
      <c r="H1586" s="2"/>
      <c r="I1586" s="2"/>
      <c r="L1586"/>
      <c r="R1586"/>
    </row>
    <row r="1587" spans="1:18">
      <c r="A1587" s="3">
        <v>45795.099652777775</v>
      </c>
      <c r="B1587" s="2" t="s">
        <v>26</v>
      </c>
      <c r="C1587" s="2" t="s">
        <v>12</v>
      </c>
      <c r="D1587" s="6" t="str">
        <f>CONCATENATE(YEAR(A1587),"/",IF(MONTH(A1587)&lt;10,CONCATENATE("0",MONTH(A1587)),MONTH(A1587)))</f>
        <v>2025/05</v>
      </c>
      <c r="E1587" s="8">
        <f>IF(IF(D1587&lt;&gt;D1586,1,IF(OR(B1587&lt;&gt;B1586,A1587-A1586&gt;$U$1),1,""))&lt;&gt;1,"",IF(C1587="B01",1965,IF(C1587="B02",1020,IF(C1587="B05",2400,IF(C1587="B03",4260,IF(C1587="B04",2880,IF(C1587="B20",1260,0)))))))</f>
        <v>4260</v>
      </c>
      <c r="F1587" s="8">
        <f>IF(IF(D1587&lt;&gt;D1586,1,IF(OR(B1587&lt;&gt;B1586,A1587-A1586&gt;$U$1),1,""))&lt;&gt;1,"",IF(C1587="B01",1,IF(C1587="B05",1,IF(C1587="B03",1,IF(C1587="B04",1,IF(C1587="B20",1,IF(C1587="B02",1,0)))))))</f>
        <v>1</v>
      </c>
      <c r="G1587"/>
      <c r="H1587" s="2"/>
      <c r="I1587" s="2"/>
      <c r="L1587"/>
      <c r="R1587"/>
    </row>
    <row r="1588" spans="1:18">
      <c r="A1588" s="3">
        <v>45795.099652777775</v>
      </c>
      <c r="B1588" s="2" t="s">
        <v>26</v>
      </c>
      <c r="C1588" s="2" t="s">
        <v>12</v>
      </c>
      <c r="D1588" s="6" t="str">
        <f>CONCATENATE(YEAR(A1588),"/",IF(MONTH(A1588)&lt;10,CONCATENATE("0",MONTH(A1588)),MONTH(A1588)))</f>
        <v>2025/05</v>
      </c>
      <c r="E1588" s="8" t="str">
        <f>IF(IF(D1588&lt;&gt;D1587,1,IF(OR(B1588&lt;&gt;B1587,A1588-A1587&gt;$U$1),1,""))&lt;&gt;1,"",IF(C1588="B01",1965,IF(C1588="B02",1020,IF(C1588="B05",2400,IF(C1588="B03",4260,IF(C1588="B04",2880,IF(C1588="B20",1260,0)))))))</f>
        <v/>
      </c>
      <c r="F1588" s="8" t="str">
        <f>IF(IF(D1588&lt;&gt;D1587,1,IF(OR(B1588&lt;&gt;B1587,A1588-A1587&gt;$U$1),1,""))&lt;&gt;1,"",IF(C1588="B01",1,IF(C1588="B05",1,IF(C1588="B03",1,IF(C1588="B04",1,IF(C1588="B20",1,IF(C1588="B02",1,0)))))))</f>
        <v/>
      </c>
      <c r="G1588"/>
      <c r="H1588" s="2"/>
      <c r="I1588" s="2"/>
      <c r="L1588"/>
      <c r="R1588"/>
    </row>
    <row r="1589" spans="1:18">
      <c r="A1589" s="3">
        <v>45795.276643518519</v>
      </c>
      <c r="B1589" s="2" t="s">
        <v>26</v>
      </c>
      <c r="C1589" s="2" t="s">
        <v>11</v>
      </c>
      <c r="D1589" s="6" t="str">
        <f>CONCATENATE(YEAR(A1589),"/",IF(MONTH(A1589)&lt;10,CONCATENATE("0",MONTH(A1589)),MONTH(A1589)))</f>
        <v>2025/05</v>
      </c>
      <c r="E1589" s="8">
        <f>IF(IF(D1589&lt;&gt;D1588,1,IF(OR(B1589&lt;&gt;B1588,A1589-A1588&gt;$U$1),1,""))&lt;&gt;1,"",IF(C1589="B01",1965,IF(C1589="B02",1020,IF(C1589="B05",2400,IF(C1589="B03",4260,IF(C1589="B04",2880,IF(C1589="B20",1260,0)))))))</f>
        <v>2400</v>
      </c>
      <c r="F1589" s="8">
        <f>IF(IF(D1589&lt;&gt;D1588,1,IF(OR(B1589&lt;&gt;B1588,A1589-A1588&gt;$U$1),1,""))&lt;&gt;1,"",IF(C1589="B01",1,IF(C1589="B05",1,IF(C1589="B03",1,IF(C1589="B04",1,IF(C1589="B20",1,IF(C1589="B02",1,0)))))))</f>
        <v>1</v>
      </c>
      <c r="G1589"/>
      <c r="H1589" s="2"/>
      <c r="I1589" s="2"/>
      <c r="L1589"/>
      <c r="R1589"/>
    </row>
    <row r="1590" spans="1:18">
      <c r="A1590" s="3">
        <v>45795.276643518519</v>
      </c>
      <c r="B1590" s="2" t="s">
        <v>26</v>
      </c>
      <c r="C1590" s="2" t="s">
        <v>11</v>
      </c>
      <c r="D1590" s="6" t="str">
        <f>CONCATENATE(YEAR(A1590),"/",IF(MONTH(A1590)&lt;10,CONCATENATE("0",MONTH(A1590)),MONTH(A1590)))</f>
        <v>2025/05</v>
      </c>
      <c r="E1590" s="8" t="str">
        <f>IF(IF(D1590&lt;&gt;D1589,1,IF(OR(B1590&lt;&gt;B1589,A1590-A1589&gt;$U$1),1,""))&lt;&gt;1,"",IF(C1590="B01",1965,IF(C1590="B02",1020,IF(C1590="B05",2400,IF(C1590="B03",4260,IF(C1590="B04",2880,IF(C1590="B20",1260,0)))))))</f>
        <v/>
      </c>
      <c r="F1590" s="8" t="str">
        <f>IF(IF(D1590&lt;&gt;D1589,1,IF(OR(B1590&lt;&gt;B1589,A1590-A1589&gt;$U$1),1,""))&lt;&gt;1,"",IF(C1590="B01",1,IF(C1590="B05",1,IF(C1590="B03",1,IF(C1590="B04",1,IF(C1590="B20",1,IF(C1590="B02",1,0)))))))</f>
        <v/>
      </c>
      <c r="G1590"/>
      <c r="H1590" s="2"/>
      <c r="I1590" s="2"/>
      <c r="L1590"/>
      <c r="R1590"/>
    </row>
    <row r="1591" spans="1:18">
      <c r="A1591" s="3">
        <v>45795.521365740744</v>
      </c>
      <c r="B1591" s="2" t="s">
        <v>26</v>
      </c>
      <c r="C1591" s="2" t="s">
        <v>11</v>
      </c>
      <c r="D1591" s="6" t="str">
        <f>CONCATENATE(YEAR(A1591),"/",IF(MONTH(A1591)&lt;10,CONCATENATE("0",MONTH(A1591)),MONTH(A1591)))</f>
        <v>2025/05</v>
      </c>
      <c r="E1591" s="8">
        <f>IF(IF(D1591&lt;&gt;D1590,1,IF(OR(B1591&lt;&gt;B1590,A1591-A1590&gt;$U$1),1,""))&lt;&gt;1,"",IF(C1591="B01",1965,IF(C1591="B02",1020,IF(C1591="B05",2400,IF(C1591="B03",4260,IF(C1591="B04",2880,IF(C1591="B20",1260,0)))))))</f>
        <v>2400</v>
      </c>
      <c r="F1591" s="8">
        <f>IF(IF(D1591&lt;&gt;D1590,1,IF(OR(B1591&lt;&gt;B1590,A1591-A1590&gt;$U$1),1,""))&lt;&gt;1,"",IF(C1591="B01",1,IF(C1591="B05",1,IF(C1591="B03",1,IF(C1591="B04",1,IF(C1591="B20",1,IF(C1591="B02",1,0)))))))</f>
        <v>1</v>
      </c>
      <c r="G1591"/>
      <c r="H1591" s="2"/>
      <c r="I1591" s="2"/>
      <c r="L1591"/>
      <c r="R1591"/>
    </row>
    <row r="1592" spans="1:18">
      <c r="A1592" s="3">
        <v>45795.521365740744</v>
      </c>
      <c r="B1592" s="2" t="s">
        <v>26</v>
      </c>
      <c r="C1592" s="2" t="s">
        <v>11</v>
      </c>
      <c r="D1592" s="6" t="str">
        <f>CONCATENATE(YEAR(A1592),"/",IF(MONTH(A1592)&lt;10,CONCATENATE("0",MONTH(A1592)),MONTH(A1592)))</f>
        <v>2025/05</v>
      </c>
      <c r="E1592" s="8" t="str">
        <f>IF(IF(D1592&lt;&gt;D1591,1,IF(OR(B1592&lt;&gt;B1591,A1592-A1591&gt;$U$1),1,""))&lt;&gt;1,"",IF(C1592="B01",1965,IF(C1592="B02",1020,IF(C1592="B05",2400,IF(C1592="B03",4260,IF(C1592="B04",2880,IF(C1592="B20",1260,0)))))))</f>
        <v/>
      </c>
      <c r="F1592" s="8" t="str">
        <f>IF(IF(D1592&lt;&gt;D1591,1,IF(OR(B1592&lt;&gt;B1591,A1592-A1591&gt;$U$1),1,""))&lt;&gt;1,"",IF(C1592="B01",1,IF(C1592="B05",1,IF(C1592="B03",1,IF(C1592="B04",1,IF(C1592="B20",1,IF(C1592="B02",1,0)))))))</f>
        <v/>
      </c>
      <c r="G1592"/>
      <c r="H1592" s="2"/>
      <c r="I1592" s="2"/>
      <c r="L1592"/>
      <c r="R1592"/>
    </row>
    <row r="1593" spans="1:18">
      <c r="A1593" s="3">
        <v>45795.521365740744</v>
      </c>
      <c r="B1593" s="2" t="s">
        <v>26</v>
      </c>
      <c r="C1593" s="2" t="s">
        <v>11</v>
      </c>
      <c r="D1593" s="6" t="str">
        <f>CONCATENATE(YEAR(A1593),"/",IF(MONTH(A1593)&lt;10,CONCATENATE("0",MONTH(A1593)),MONTH(A1593)))</f>
        <v>2025/05</v>
      </c>
      <c r="E1593" s="8" t="str">
        <f>IF(IF(D1593&lt;&gt;D1592,1,IF(OR(B1593&lt;&gt;B1592,A1593-A1592&gt;$U$1),1,""))&lt;&gt;1,"",IF(C1593="B01",1965,IF(C1593="B02",1020,IF(C1593="B05",2400,IF(C1593="B03",4260,IF(C1593="B04",2880,IF(C1593="B20",1260,0)))))))</f>
        <v/>
      </c>
      <c r="F1593" s="8" t="str">
        <f>IF(IF(D1593&lt;&gt;D1592,1,IF(OR(B1593&lt;&gt;B1592,A1593-A1592&gt;$U$1),1,""))&lt;&gt;1,"",IF(C1593="B01",1,IF(C1593="B05",1,IF(C1593="B03",1,IF(C1593="B04",1,IF(C1593="B20",1,IF(C1593="B02",1,0)))))))</f>
        <v/>
      </c>
      <c r="G1593"/>
      <c r="H1593" s="2"/>
      <c r="I1593" s="2"/>
      <c r="L1593"/>
      <c r="R1593"/>
    </row>
    <row r="1594" spans="1:18">
      <c r="A1594" s="3">
        <v>45795.521365740744</v>
      </c>
      <c r="B1594" s="2" t="s">
        <v>26</v>
      </c>
      <c r="C1594" s="2" t="s">
        <v>11</v>
      </c>
      <c r="D1594" s="6" t="str">
        <f>CONCATENATE(YEAR(A1594),"/",IF(MONTH(A1594)&lt;10,CONCATENATE("0",MONTH(A1594)),MONTH(A1594)))</f>
        <v>2025/05</v>
      </c>
      <c r="E1594" s="8" t="str">
        <f>IF(IF(D1594&lt;&gt;D1593,1,IF(OR(B1594&lt;&gt;B1593,A1594-A1593&gt;$U$1),1,""))&lt;&gt;1,"",IF(C1594="B01",1965,IF(C1594="B02",1020,IF(C1594="B05",2400,IF(C1594="B03",4260,IF(C1594="B04",2880,IF(C1594="B20",1260,0)))))))</f>
        <v/>
      </c>
      <c r="F1594" s="8" t="str">
        <f>IF(IF(D1594&lt;&gt;D1593,1,IF(OR(B1594&lt;&gt;B1593,A1594-A1593&gt;$U$1),1,""))&lt;&gt;1,"",IF(C1594="B01",1,IF(C1594="B05",1,IF(C1594="B03",1,IF(C1594="B04",1,IF(C1594="B20",1,IF(C1594="B02",1,0)))))))</f>
        <v/>
      </c>
      <c r="G1594"/>
      <c r="H1594" s="2"/>
      <c r="I1594" s="2"/>
      <c r="L1594"/>
      <c r="R1594"/>
    </row>
    <row r="1595" spans="1:18">
      <c r="A1595" s="3">
        <v>45795.750636574077</v>
      </c>
      <c r="B1595" s="2" t="s">
        <v>26</v>
      </c>
      <c r="C1595" s="2" t="s">
        <v>11</v>
      </c>
      <c r="D1595" s="6" t="str">
        <f>CONCATENATE(YEAR(A1595),"/",IF(MONTH(A1595)&lt;10,CONCATENATE("0",MONTH(A1595)),MONTH(A1595)))</f>
        <v>2025/05</v>
      </c>
      <c r="E1595" s="8">
        <f>IF(IF(D1595&lt;&gt;D1594,1,IF(OR(B1595&lt;&gt;B1594,A1595-A1594&gt;$U$1),1,""))&lt;&gt;1,"",IF(C1595="B01",1965,IF(C1595="B02",1020,IF(C1595="B05",2400,IF(C1595="B03",4260,IF(C1595="B04",2880,IF(C1595="B20",1260,0)))))))</f>
        <v>2400</v>
      </c>
      <c r="F1595" s="8">
        <f>IF(IF(D1595&lt;&gt;D1594,1,IF(OR(B1595&lt;&gt;B1594,A1595-A1594&gt;$U$1),1,""))&lt;&gt;1,"",IF(C1595="B01",1,IF(C1595="B05",1,IF(C1595="B03",1,IF(C1595="B04",1,IF(C1595="B20",1,IF(C1595="B02",1,0)))))))</f>
        <v>1</v>
      </c>
      <c r="G1595"/>
      <c r="H1595" s="2"/>
      <c r="I1595" s="2"/>
      <c r="L1595"/>
      <c r="R1595"/>
    </row>
    <row r="1596" spans="1:18">
      <c r="A1596" s="3">
        <v>45795.750636574077</v>
      </c>
      <c r="B1596" s="2" t="s">
        <v>26</v>
      </c>
      <c r="C1596" s="2" t="s">
        <v>11</v>
      </c>
      <c r="D1596" s="6" t="str">
        <f>CONCATENATE(YEAR(A1596),"/",IF(MONTH(A1596)&lt;10,CONCATENATE("0",MONTH(A1596)),MONTH(A1596)))</f>
        <v>2025/05</v>
      </c>
      <c r="E1596" s="8" t="str">
        <f>IF(IF(D1596&lt;&gt;D1595,1,IF(OR(B1596&lt;&gt;B1595,A1596-A1595&gt;$U$1),1,""))&lt;&gt;1,"",IF(C1596="B01",1965,IF(C1596="B02",1020,IF(C1596="B05",2400,IF(C1596="B03",4260,IF(C1596="B04",2880,IF(C1596="B20",1260,0)))))))</f>
        <v/>
      </c>
      <c r="F1596" s="8" t="str">
        <f>IF(IF(D1596&lt;&gt;D1595,1,IF(OR(B1596&lt;&gt;B1595,A1596-A1595&gt;$U$1),1,""))&lt;&gt;1,"",IF(C1596="B01",1,IF(C1596="B05",1,IF(C1596="B03",1,IF(C1596="B04",1,IF(C1596="B20",1,IF(C1596="B02",1,0)))))))</f>
        <v/>
      </c>
      <c r="G1596"/>
      <c r="H1596" s="2"/>
      <c r="I1596" s="2"/>
      <c r="L1596"/>
      <c r="R1596"/>
    </row>
    <row r="1597" spans="1:18">
      <c r="A1597" s="3">
        <v>45795.750636574077</v>
      </c>
      <c r="B1597" s="2" t="s">
        <v>26</v>
      </c>
      <c r="C1597" s="2" t="s">
        <v>11</v>
      </c>
      <c r="D1597" s="6" t="str">
        <f>CONCATENATE(YEAR(A1597),"/",IF(MONTH(A1597)&lt;10,CONCATENATE("0",MONTH(A1597)),MONTH(A1597)))</f>
        <v>2025/05</v>
      </c>
      <c r="E1597" s="8" t="str">
        <f>IF(IF(D1597&lt;&gt;D1596,1,IF(OR(B1597&lt;&gt;B1596,A1597-A1596&gt;$U$1),1,""))&lt;&gt;1,"",IF(C1597="B01",1965,IF(C1597="B02",1020,IF(C1597="B05",2400,IF(C1597="B03",4260,IF(C1597="B04",2880,IF(C1597="B20",1260,0)))))))</f>
        <v/>
      </c>
      <c r="F1597" s="8" t="str">
        <f>IF(IF(D1597&lt;&gt;D1596,1,IF(OR(B1597&lt;&gt;B1596,A1597-A1596&gt;$U$1),1,""))&lt;&gt;1,"",IF(C1597="B01",1,IF(C1597="B05",1,IF(C1597="B03",1,IF(C1597="B04",1,IF(C1597="B20",1,IF(C1597="B02",1,0)))))))</f>
        <v/>
      </c>
      <c r="G1597"/>
      <c r="H1597" s="2"/>
      <c r="I1597" s="2"/>
      <c r="L1597"/>
      <c r="R1597"/>
    </row>
    <row r="1598" spans="1:18">
      <c r="A1598" s="3">
        <v>45795.750636574077</v>
      </c>
      <c r="B1598" s="2" t="s">
        <v>26</v>
      </c>
      <c r="C1598" s="2" t="s">
        <v>11</v>
      </c>
      <c r="D1598" s="6" t="str">
        <f>CONCATENATE(YEAR(A1598),"/",IF(MONTH(A1598)&lt;10,CONCATENATE("0",MONTH(A1598)),MONTH(A1598)))</f>
        <v>2025/05</v>
      </c>
      <c r="E1598" s="8" t="str">
        <f>IF(IF(D1598&lt;&gt;D1597,1,IF(OR(B1598&lt;&gt;B1597,A1598-A1597&gt;$U$1),1,""))&lt;&gt;1,"",IF(C1598="B01",1965,IF(C1598="B02",1020,IF(C1598="B05",2400,IF(C1598="B03",4260,IF(C1598="B04",2880,IF(C1598="B20",1260,0)))))))</f>
        <v/>
      </c>
      <c r="F1598" s="8" t="str">
        <f>IF(IF(D1598&lt;&gt;D1597,1,IF(OR(B1598&lt;&gt;B1597,A1598-A1597&gt;$U$1),1,""))&lt;&gt;1,"",IF(C1598="B01",1,IF(C1598="B05",1,IF(C1598="B03",1,IF(C1598="B04",1,IF(C1598="B20",1,IF(C1598="B02",1,0)))))))</f>
        <v/>
      </c>
      <c r="G1598"/>
      <c r="H1598" s="2"/>
      <c r="I1598" s="2"/>
      <c r="L1598"/>
      <c r="R1598"/>
    </row>
    <row r="1599" spans="1:18">
      <c r="A1599" s="3">
        <v>45795.880127314813</v>
      </c>
      <c r="B1599" s="2" t="s">
        <v>26</v>
      </c>
      <c r="C1599" s="2" t="s">
        <v>11</v>
      </c>
      <c r="D1599" s="6" t="str">
        <f>CONCATENATE(YEAR(A1599),"/",IF(MONTH(A1599)&lt;10,CONCATENATE("0",MONTH(A1599)),MONTH(A1599)))</f>
        <v>2025/05</v>
      </c>
      <c r="E1599" s="8">
        <f>IF(IF(D1599&lt;&gt;D1598,1,IF(OR(B1599&lt;&gt;B1598,A1599-A1598&gt;$U$1),1,""))&lt;&gt;1,"",IF(C1599="B01",1965,IF(C1599="B02",1020,IF(C1599="B05",2400,IF(C1599="B03",4260,IF(C1599="B04",2880,IF(C1599="B20",1260,0)))))))</f>
        <v>2400</v>
      </c>
      <c r="F1599" s="8">
        <f>IF(IF(D1599&lt;&gt;D1598,1,IF(OR(B1599&lt;&gt;B1598,A1599-A1598&gt;$U$1),1,""))&lt;&gt;1,"",IF(C1599="B01",1,IF(C1599="B05",1,IF(C1599="B03",1,IF(C1599="B04",1,IF(C1599="B20",1,IF(C1599="B02",1,0)))))))</f>
        <v>1</v>
      </c>
      <c r="G1599"/>
      <c r="H1599" s="2"/>
      <c r="I1599" s="2"/>
      <c r="L1599"/>
      <c r="R1599"/>
    </row>
    <row r="1600" spans="1:18">
      <c r="A1600" s="3">
        <v>45795.880127314813</v>
      </c>
      <c r="B1600" s="2" t="s">
        <v>26</v>
      </c>
      <c r="C1600" s="2" t="s">
        <v>11</v>
      </c>
      <c r="D1600" s="6" t="str">
        <f>CONCATENATE(YEAR(A1600),"/",IF(MONTH(A1600)&lt;10,CONCATENATE("0",MONTH(A1600)),MONTH(A1600)))</f>
        <v>2025/05</v>
      </c>
      <c r="E1600" s="8" t="str">
        <f>IF(IF(D1600&lt;&gt;D1599,1,IF(OR(B1600&lt;&gt;B1599,A1600-A1599&gt;$U$1),1,""))&lt;&gt;1,"",IF(C1600="B01",1965,IF(C1600="B02",1020,IF(C1600="B05",2400,IF(C1600="B03",4260,IF(C1600="B04",2880,IF(C1600="B20",1260,0)))))))</f>
        <v/>
      </c>
      <c r="F1600" s="8" t="str">
        <f>IF(IF(D1600&lt;&gt;D1599,1,IF(OR(B1600&lt;&gt;B1599,A1600-A1599&gt;$U$1),1,""))&lt;&gt;1,"",IF(C1600="B01",1,IF(C1600="B05",1,IF(C1600="B03",1,IF(C1600="B04",1,IF(C1600="B20",1,IF(C1600="B02",1,0)))))))</f>
        <v/>
      </c>
      <c r="G1600"/>
      <c r="H1600" s="2"/>
      <c r="I1600" s="2"/>
      <c r="L1600"/>
      <c r="R1600"/>
    </row>
    <row r="1601" spans="1:18">
      <c r="A1601" s="3">
        <v>45795.880127314813</v>
      </c>
      <c r="B1601" s="2" t="s">
        <v>26</v>
      </c>
      <c r="C1601" s="2" t="s">
        <v>11</v>
      </c>
      <c r="D1601" s="6" t="str">
        <f>CONCATENATE(YEAR(A1601),"/",IF(MONTH(A1601)&lt;10,CONCATENATE("0",MONTH(A1601)),MONTH(A1601)))</f>
        <v>2025/05</v>
      </c>
      <c r="E1601" s="8" t="str">
        <f>IF(IF(D1601&lt;&gt;D1600,1,IF(OR(B1601&lt;&gt;B1600,A1601-A1600&gt;$U$1),1,""))&lt;&gt;1,"",IF(C1601="B01",1965,IF(C1601="B02",1020,IF(C1601="B05",2400,IF(C1601="B03",4260,IF(C1601="B04",2880,IF(C1601="B20",1260,0)))))))</f>
        <v/>
      </c>
      <c r="F1601" s="8" t="str">
        <f>IF(IF(D1601&lt;&gt;D1600,1,IF(OR(B1601&lt;&gt;B1600,A1601-A1600&gt;$U$1),1,""))&lt;&gt;1,"",IF(C1601="B01",1,IF(C1601="B05",1,IF(C1601="B03",1,IF(C1601="B04",1,IF(C1601="B20",1,IF(C1601="B02",1,0)))))))</f>
        <v/>
      </c>
      <c r="G1601"/>
      <c r="H1601" s="2"/>
      <c r="I1601" s="2"/>
      <c r="L1601"/>
      <c r="R1601"/>
    </row>
    <row r="1602" spans="1:18">
      <c r="A1602" s="3">
        <v>45796.15152777778</v>
      </c>
      <c r="B1602" s="2" t="s">
        <v>26</v>
      </c>
      <c r="C1602" s="2" t="s">
        <v>11</v>
      </c>
      <c r="D1602" s="6" t="str">
        <f>CONCATENATE(YEAR(A1602),"/",IF(MONTH(A1602)&lt;10,CONCATENATE("0",MONTH(A1602)),MONTH(A1602)))</f>
        <v>2025/05</v>
      </c>
      <c r="E1602" s="8">
        <f>IF(IF(D1602&lt;&gt;D1601,1,IF(OR(B1602&lt;&gt;B1601,A1602-A1601&gt;$U$1),1,""))&lt;&gt;1,"",IF(C1602="B01",1965,IF(C1602="B02",1020,IF(C1602="B05",2400,IF(C1602="B03",4260,IF(C1602="B04",2880,IF(C1602="B20",1260,0)))))))</f>
        <v>2400</v>
      </c>
      <c r="F1602" s="8">
        <f>IF(IF(D1602&lt;&gt;D1601,1,IF(OR(B1602&lt;&gt;B1601,A1602-A1601&gt;$U$1),1,""))&lt;&gt;1,"",IF(C1602="B01",1,IF(C1602="B05",1,IF(C1602="B03",1,IF(C1602="B04",1,IF(C1602="B20",1,IF(C1602="B02",1,0)))))))</f>
        <v>1</v>
      </c>
      <c r="G1602"/>
      <c r="H1602" s="2"/>
      <c r="I1602" s="2"/>
      <c r="L1602"/>
      <c r="R1602"/>
    </row>
    <row r="1603" spans="1:18">
      <c r="A1603" s="3">
        <v>45796.15152777778</v>
      </c>
      <c r="B1603" s="2" t="s">
        <v>26</v>
      </c>
      <c r="C1603" s="2" t="s">
        <v>11</v>
      </c>
      <c r="D1603" s="6" t="str">
        <f>CONCATENATE(YEAR(A1603),"/",IF(MONTH(A1603)&lt;10,CONCATENATE("0",MONTH(A1603)),MONTH(A1603)))</f>
        <v>2025/05</v>
      </c>
      <c r="E1603" s="8" t="str">
        <f>IF(IF(D1603&lt;&gt;D1602,1,IF(OR(B1603&lt;&gt;B1602,A1603-A1602&gt;$U$1),1,""))&lt;&gt;1,"",IF(C1603="B01",1965,IF(C1603="B02",1020,IF(C1603="B05",2400,IF(C1603="B03",4260,IF(C1603="B04",2880,IF(C1603="B20",1260,0)))))))</f>
        <v/>
      </c>
      <c r="F1603" s="8" t="str">
        <f>IF(IF(D1603&lt;&gt;D1602,1,IF(OR(B1603&lt;&gt;B1602,A1603-A1602&gt;$U$1),1,""))&lt;&gt;1,"",IF(C1603="B01",1,IF(C1603="B05",1,IF(C1603="B03",1,IF(C1603="B04",1,IF(C1603="B20",1,IF(C1603="B02",1,0)))))))</f>
        <v/>
      </c>
      <c r="G1603"/>
      <c r="H1603" s="2"/>
      <c r="I1603" s="2"/>
      <c r="L1603"/>
      <c r="R1603"/>
    </row>
    <row r="1604" spans="1:18">
      <c r="A1604" s="3">
        <v>45796.15152777778</v>
      </c>
      <c r="B1604" s="2" t="s">
        <v>26</v>
      </c>
      <c r="C1604" s="2" t="s">
        <v>11</v>
      </c>
      <c r="D1604" s="6" t="str">
        <f>CONCATENATE(YEAR(A1604),"/",IF(MONTH(A1604)&lt;10,CONCATENATE("0",MONTH(A1604)),MONTH(A1604)))</f>
        <v>2025/05</v>
      </c>
      <c r="E1604" s="8" t="str">
        <f>IF(IF(D1604&lt;&gt;D1603,1,IF(OR(B1604&lt;&gt;B1603,A1604-A1603&gt;$U$1),1,""))&lt;&gt;1,"",IF(C1604="B01",1965,IF(C1604="B02",1020,IF(C1604="B05",2400,IF(C1604="B03",4260,IF(C1604="B04",2880,IF(C1604="B20",1260,0)))))))</f>
        <v/>
      </c>
      <c r="F1604" s="8" t="str">
        <f>IF(IF(D1604&lt;&gt;D1603,1,IF(OR(B1604&lt;&gt;B1603,A1604-A1603&gt;$U$1),1,""))&lt;&gt;1,"",IF(C1604="B01",1,IF(C1604="B05",1,IF(C1604="B03",1,IF(C1604="B04",1,IF(C1604="B20",1,IF(C1604="B02",1,0)))))))</f>
        <v/>
      </c>
      <c r="G1604"/>
      <c r="H1604" s="2"/>
      <c r="I1604" s="2"/>
      <c r="L1604"/>
      <c r="R1604"/>
    </row>
    <row r="1605" spans="1:18">
      <c r="A1605" s="3">
        <v>45796.15152777778</v>
      </c>
      <c r="B1605" s="2" t="s">
        <v>26</v>
      </c>
      <c r="C1605" s="2" t="s">
        <v>11</v>
      </c>
      <c r="D1605" s="6" t="str">
        <f>CONCATENATE(YEAR(A1605),"/",IF(MONTH(A1605)&lt;10,CONCATENATE("0",MONTH(A1605)),MONTH(A1605)))</f>
        <v>2025/05</v>
      </c>
      <c r="E1605" s="8" t="str">
        <f>IF(IF(D1605&lt;&gt;D1604,1,IF(OR(B1605&lt;&gt;B1604,A1605-A1604&gt;$U$1),1,""))&lt;&gt;1,"",IF(C1605="B01",1965,IF(C1605="B02",1020,IF(C1605="B05",2400,IF(C1605="B03",4260,IF(C1605="B04",2880,IF(C1605="B20",1260,0)))))))</f>
        <v/>
      </c>
      <c r="F1605" s="8" t="str">
        <f>IF(IF(D1605&lt;&gt;D1604,1,IF(OR(B1605&lt;&gt;B1604,A1605-A1604&gt;$U$1),1,""))&lt;&gt;1,"",IF(C1605="B01",1,IF(C1605="B05",1,IF(C1605="B03",1,IF(C1605="B04",1,IF(C1605="B20",1,IF(C1605="B02",1,0)))))))</f>
        <v/>
      </c>
      <c r="G1605"/>
      <c r="H1605" s="2"/>
      <c r="I1605" s="2"/>
      <c r="L1605"/>
      <c r="R1605"/>
    </row>
    <row r="1606" spans="1:18">
      <c r="A1606" s="3">
        <v>45796.566157407404</v>
      </c>
      <c r="B1606" s="2" t="s">
        <v>26</v>
      </c>
      <c r="C1606" s="2" t="s">
        <v>11</v>
      </c>
      <c r="D1606" s="6" t="str">
        <f>CONCATENATE(YEAR(A1606),"/",IF(MONTH(A1606)&lt;10,CONCATENATE("0",MONTH(A1606)),MONTH(A1606)))</f>
        <v>2025/05</v>
      </c>
      <c r="E1606" s="8">
        <f>IF(IF(D1606&lt;&gt;D1605,1,IF(OR(B1606&lt;&gt;B1605,A1606-A1605&gt;$U$1),1,""))&lt;&gt;1,"",IF(C1606="B01",1965,IF(C1606="B02",1020,IF(C1606="B05",2400,IF(C1606="B03",4260,IF(C1606="B04",2880,IF(C1606="B20",1260,0)))))))</f>
        <v>2400</v>
      </c>
      <c r="F1606" s="8">
        <f>IF(IF(D1606&lt;&gt;D1605,1,IF(OR(B1606&lt;&gt;B1605,A1606-A1605&gt;$U$1),1,""))&lt;&gt;1,"",IF(C1606="B01",1,IF(C1606="B05",1,IF(C1606="B03",1,IF(C1606="B04",1,IF(C1606="B20",1,IF(C1606="B02",1,0)))))))</f>
        <v>1</v>
      </c>
      <c r="G1606"/>
      <c r="H1606" s="2"/>
      <c r="I1606" s="2"/>
      <c r="L1606"/>
      <c r="R1606"/>
    </row>
    <row r="1607" spans="1:18">
      <c r="A1607" s="3">
        <v>45796.566157407404</v>
      </c>
      <c r="B1607" s="2" t="s">
        <v>26</v>
      </c>
      <c r="C1607" s="2" t="s">
        <v>11</v>
      </c>
      <c r="D1607" s="6" t="str">
        <f>CONCATENATE(YEAR(A1607),"/",IF(MONTH(A1607)&lt;10,CONCATENATE("0",MONTH(A1607)),MONTH(A1607)))</f>
        <v>2025/05</v>
      </c>
      <c r="E1607" s="8" t="str">
        <f>IF(IF(D1607&lt;&gt;D1606,1,IF(OR(B1607&lt;&gt;B1606,A1607-A1606&gt;$U$1),1,""))&lt;&gt;1,"",IF(C1607="B01",1965,IF(C1607="B02",1020,IF(C1607="B05",2400,IF(C1607="B03",4260,IF(C1607="B04",2880,IF(C1607="B20",1260,0)))))))</f>
        <v/>
      </c>
      <c r="F1607" s="8" t="str">
        <f>IF(IF(D1607&lt;&gt;D1606,1,IF(OR(B1607&lt;&gt;B1606,A1607-A1606&gt;$U$1),1,""))&lt;&gt;1,"",IF(C1607="B01",1,IF(C1607="B05",1,IF(C1607="B03",1,IF(C1607="B04",1,IF(C1607="B20",1,IF(C1607="B02",1,0)))))))</f>
        <v/>
      </c>
      <c r="G1607"/>
      <c r="H1607" s="2"/>
      <c r="I1607" s="2"/>
      <c r="L1607"/>
      <c r="R1607"/>
    </row>
    <row r="1608" spans="1:18">
      <c r="A1608" s="3">
        <v>45796.566157407404</v>
      </c>
      <c r="B1608" s="2" t="s">
        <v>26</v>
      </c>
      <c r="C1608" s="2" t="s">
        <v>11</v>
      </c>
      <c r="D1608" s="6" t="str">
        <f>CONCATENATE(YEAR(A1608),"/",IF(MONTH(A1608)&lt;10,CONCATENATE("0",MONTH(A1608)),MONTH(A1608)))</f>
        <v>2025/05</v>
      </c>
      <c r="E1608" s="8" t="str">
        <f>IF(IF(D1608&lt;&gt;D1607,1,IF(OR(B1608&lt;&gt;B1607,A1608-A1607&gt;$U$1),1,""))&lt;&gt;1,"",IF(C1608="B01",1965,IF(C1608="B02",1020,IF(C1608="B05",2400,IF(C1608="B03",4260,IF(C1608="B04",2880,IF(C1608="B20",1260,0)))))))</f>
        <v/>
      </c>
      <c r="F1608" s="8" t="str">
        <f>IF(IF(D1608&lt;&gt;D1607,1,IF(OR(B1608&lt;&gt;B1607,A1608-A1607&gt;$U$1),1,""))&lt;&gt;1,"",IF(C1608="B01",1,IF(C1608="B05",1,IF(C1608="B03",1,IF(C1608="B04",1,IF(C1608="B20",1,IF(C1608="B02",1,0)))))))</f>
        <v/>
      </c>
      <c r="G1608"/>
      <c r="H1608" s="2"/>
      <c r="I1608" s="2"/>
      <c r="L1608"/>
      <c r="R1608"/>
    </row>
    <row r="1609" spans="1:18">
      <c r="A1609" s="3">
        <v>45796.831620370373</v>
      </c>
      <c r="B1609" s="2" t="s">
        <v>26</v>
      </c>
      <c r="C1609" s="2" t="s">
        <v>12</v>
      </c>
      <c r="D1609" s="6" t="str">
        <f>CONCATENATE(YEAR(A1609),"/",IF(MONTH(A1609)&lt;10,CONCATENATE("0",MONTH(A1609)),MONTH(A1609)))</f>
        <v>2025/05</v>
      </c>
      <c r="E1609" s="8">
        <f>IF(IF(D1609&lt;&gt;D1608,1,IF(OR(B1609&lt;&gt;B1608,A1609-A1608&gt;$U$1),1,""))&lt;&gt;1,"",IF(C1609="B01",1965,IF(C1609="B02",1020,IF(C1609="B05",2400,IF(C1609="B03",4260,IF(C1609="B04",2880,IF(C1609="B20",1260,0)))))))</f>
        <v>4260</v>
      </c>
      <c r="F1609" s="8">
        <f>IF(IF(D1609&lt;&gt;D1608,1,IF(OR(B1609&lt;&gt;B1608,A1609-A1608&gt;$U$1),1,""))&lt;&gt;1,"",IF(C1609="B01",1,IF(C1609="B05",1,IF(C1609="B03",1,IF(C1609="B04",1,IF(C1609="B20",1,IF(C1609="B02",1,0)))))))</f>
        <v>1</v>
      </c>
      <c r="G1609"/>
      <c r="H1609" s="2"/>
      <c r="I1609" s="2"/>
      <c r="L1609"/>
      <c r="R1609"/>
    </row>
    <row r="1610" spans="1:18">
      <c r="A1610" s="3">
        <v>45796.831620370373</v>
      </c>
      <c r="B1610" s="2" t="s">
        <v>26</v>
      </c>
      <c r="C1610" s="2" t="s">
        <v>12</v>
      </c>
      <c r="D1610" s="6" t="str">
        <f>CONCATENATE(YEAR(A1610),"/",IF(MONTH(A1610)&lt;10,CONCATENATE("0",MONTH(A1610)),MONTH(A1610)))</f>
        <v>2025/05</v>
      </c>
      <c r="E1610" s="8" t="str">
        <f>IF(IF(D1610&lt;&gt;D1609,1,IF(OR(B1610&lt;&gt;B1609,A1610-A1609&gt;$U$1),1,""))&lt;&gt;1,"",IF(C1610="B01",1965,IF(C1610="B02",1020,IF(C1610="B05",2400,IF(C1610="B03",4260,IF(C1610="B04",2880,IF(C1610="B20",1260,0)))))))</f>
        <v/>
      </c>
      <c r="F1610" s="8" t="str">
        <f>IF(IF(D1610&lt;&gt;D1609,1,IF(OR(B1610&lt;&gt;B1609,A1610-A1609&gt;$U$1),1,""))&lt;&gt;1,"",IF(C1610="B01",1,IF(C1610="B05",1,IF(C1610="B03",1,IF(C1610="B04",1,IF(C1610="B20",1,IF(C1610="B02",1,0)))))))</f>
        <v/>
      </c>
      <c r="G1610"/>
      <c r="H1610" s="2"/>
      <c r="I1610" s="2"/>
      <c r="L1610"/>
      <c r="R1610"/>
    </row>
    <row r="1611" spans="1:18">
      <c r="A1611" s="3">
        <v>45796.831620370373</v>
      </c>
      <c r="B1611" s="2" t="s">
        <v>26</v>
      </c>
      <c r="C1611" s="2" t="s">
        <v>12</v>
      </c>
      <c r="D1611" s="6" t="str">
        <f>CONCATENATE(YEAR(A1611),"/",IF(MONTH(A1611)&lt;10,CONCATENATE("0",MONTH(A1611)),MONTH(A1611)))</f>
        <v>2025/05</v>
      </c>
      <c r="E1611" s="8" t="str">
        <f>IF(IF(D1611&lt;&gt;D1610,1,IF(OR(B1611&lt;&gt;B1610,A1611-A1610&gt;$U$1),1,""))&lt;&gt;1,"",IF(C1611="B01",1965,IF(C1611="B02",1020,IF(C1611="B05",2400,IF(C1611="B03",4260,IF(C1611="B04",2880,IF(C1611="B20",1260,0)))))))</f>
        <v/>
      </c>
      <c r="F1611" s="8" t="str">
        <f>IF(IF(D1611&lt;&gt;D1610,1,IF(OR(B1611&lt;&gt;B1610,A1611-A1610&gt;$U$1),1,""))&lt;&gt;1,"",IF(C1611="B01",1,IF(C1611="B05",1,IF(C1611="B03",1,IF(C1611="B04",1,IF(C1611="B20",1,IF(C1611="B02",1,0)))))))</f>
        <v/>
      </c>
      <c r="G1611"/>
      <c r="H1611" s="2"/>
      <c r="I1611" s="2"/>
      <c r="L1611"/>
      <c r="R1611"/>
    </row>
    <row r="1612" spans="1:18">
      <c r="A1612" s="3">
        <v>45797.07608796296</v>
      </c>
      <c r="B1612" s="2" t="s">
        <v>26</v>
      </c>
      <c r="C1612" s="2" t="s">
        <v>11</v>
      </c>
      <c r="D1612" s="6" t="str">
        <f>CONCATENATE(YEAR(A1612),"/",IF(MONTH(A1612)&lt;10,CONCATENATE("0",MONTH(A1612)),MONTH(A1612)))</f>
        <v>2025/05</v>
      </c>
      <c r="E1612" s="8">
        <f>IF(IF(D1612&lt;&gt;D1611,1,IF(OR(B1612&lt;&gt;B1611,A1612-A1611&gt;$U$1),1,""))&lt;&gt;1,"",IF(C1612="B01",1965,IF(C1612="B02",1020,IF(C1612="B05",2400,IF(C1612="B03",4260,IF(C1612="B04",2880,IF(C1612="B20",1260,0)))))))</f>
        <v>2400</v>
      </c>
      <c r="F1612" s="8">
        <f>IF(IF(D1612&lt;&gt;D1611,1,IF(OR(B1612&lt;&gt;B1611,A1612-A1611&gt;$U$1),1,""))&lt;&gt;1,"",IF(C1612="B01",1,IF(C1612="B05",1,IF(C1612="B03",1,IF(C1612="B04",1,IF(C1612="B20",1,IF(C1612="B02",1,0)))))))</f>
        <v>1</v>
      </c>
      <c r="G1612"/>
      <c r="H1612" s="2"/>
      <c r="I1612" s="2"/>
      <c r="L1612"/>
      <c r="R1612"/>
    </row>
    <row r="1613" spans="1:18">
      <c r="A1613" s="3">
        <v>45797.07608796296</v>
      </c>
      <c r="B1613" s="2" t="s">
        <v>26</v>
      </c>
      <c r="C1613" s="2" t="s">
        <v>11</v>
      </c>
      <c r="D1613" s="6" t="str">
        <f>CONCATENATE(YEAR(A1613),"/",IF(MONTH(A1613)&lt;10,CONCATENATE("0",MONTH(A1613)),MONTH(A1613)))</f>
        <v>2025/05</v>
      </c>
      <c r="E1613" s="8" t="str">
        <f>IF(IF(D1613&lt;&gt;D1612,1,IF(OR(B1613&lt;&gt;B1612,A1613-A1612&gt;$U$1),1,""))&lt;&gt;1,"",IF(C1613="B01",1965,IF(C1613="B02",1020,IF(C1613="B05",2400,IF(C1613="B03",4260,IF(C1613="B04",2880,IF(C1613="B20",1260,0)))))))</f>
        <v/>
      </c>
      <c r="F1613" s="8" t="str">
        <f>IF(IF(D1613&lt;&gt;D1612,1,IF(OR(B1613&lt;&gt;B1612,A1613-A1612&gt;$U$1),1,""))&lt;&gt;1,"",IF(C1613="B01",1,IF(C1613="B05",1,IF(C1613="B03",1,IF(C1613="B04",1,IF(C1613="B20",1,IF(C1613="B02",1,0)))))))</f>
        <v/>
      </c>
      <c r="G1613"/>
      <c r="H1613" s="2"/>
      <c r="I1613" s="2"/>
      <c r="L1613"/>
      <c r="R1613"/>
    </row>
    <row r="1614" spans="1:18">
      <c r="A1614" s="3">
        <v>45797.2812962963</v>
      </c>
      <c r="B1614" s="2" t="s">
        <v>26</v>
      </c>
      <c r="C1614" s="2" t="s">
        <v>11</v>
      </c>
      <c r="D1614" s="6" t="str">
        <f>CONCATENATE(YEAR(A1614),"/",IF(MONTH(A1614)&lt;10,CONCATENATE("0",MONTH(A1614)),MONTH(A1614)))</f>
        <v>2025/05</v>
      </c>
      <c r="E1614" s="8">
        <f>IF(IF(D1614&lt;&gt;D1613,1,IF(OR(B1614&lt;&gt;B1613,A1614-A1613&gt;$U$1),1,""))&lt;&gt;1,"",IF(C1614="B01",1965,IF(C1614="B02",1020,IF(C1614="B05",2400,IF(C1614="B03",4260,IF(C1614="B04",2880,IF(C1614="B20",1260,0)))))))</f>
        <v>2400</v>
      </c>
      <c r="F1614" s="8">
        <f>IF(IF(D1614&lt;&gt;D1613,1,IF(OR(B1614&lt;&gt;B1613,A1614-A1613&gt;$U$1),1,""))&lt;&gt;1,"",IF(C1614="B01",1,IF(C1614="B05",1,IF(C1614="B03",1,IF(C1614="B04",1,IF(C1614="B20",1,IF(C1614="B02",1,0)))))))</f>
        <v>1</v>
      </c>
      <c r="G1614"/>
      <c r="H1614" s="2"/>
      <c r="I1614" s="2"/>
      <c r="L1614"/>
      <c r="R1614"/>
    </row>
    <row r="1615" spans="1:18">
      <c r="A1615" s="3">
        <v>45797.2812962963</v>
      </c>
      <c r="B1615" s="2" t="s">
        <v>26</v>
      </c>
      <c r="C1615" s="2" t="s">
        <v>11</v>
      </c>
      <c r="D1615" s="6" t="str">
        <f>CONCATENATE(YEAR(A1615),"/",IF(MONTH(A1615)&lt;10,CONCATENATE("0",MONTH(A1615)),MONTH(A1615)))</f>
        <v>2025/05</v>
      </c>
      <c r="E1615" s="8" t="str">
        <f>IF(IF(D1615&lt;&gt;D1614,1,IF(OR(B1615&lt;&gt;B1614,A1615-A1614&gt;$U$1),1,""))&lt;&gt;1,"",IF(C1615="B01",1965,IF(C1615="B02",1020,IF(C1615="B05",2400,IF(C1615="B03",4260,IF(C1615="B04",2880,IF(C1615="B20",1260,0)))))))</f>
        <v/>
      </c>
      <c r="F1615" s="8" t="str">
        <f>IF(IF(D1615&lt;&gt;D1614,1,IF(OR(B1615&lt;&gt;B1614,A1615-A1614&gt;$U$1),1,""))&lt;&gt;1,"",IF(C1615="B01",1,IF(C1615="B05",1,IF(C1615="B03",1,IF(C1615="B04",1,IF(C1615="B20",1,IF(C1615="B02",1,0)))))))</f>
        <v/>
      </c>
      <c r="G1615"/>
      <c r="H1615" s="2"/>
      <c r="I1615" s="2"/>
      <c r="L1615"/>
      <c r="R1615"/>
    </row>
    <row r="1616" spans="1:18">
      <c r="A1616" s="3">
        <v>45797.510393518518</v>
      </c>
      <c r="B1616" s="2" t="s">
        <v>26</v>
      </c>
      <c r="C1616" s="2" t="s">
        <v>12</v>
      </c>
      <c r="D1616" s="6" t="str">
        <f>CONCATENATE(YEAR(A1616),"/",IF(MONTH(A1616)&lt;10,CONCATENATE("0",MONTH(A1616)),MONTH(A1616)))</f>
        <v>2025/05</v>
      </c>
      <c r="E1616" s="8">
        <f>IF(IF(D1616&lt;&gt;D1615,1,IF(OR(B1616&lt;&gt;B1615,A1616-A1615&gt;$U$1),1,""))&lt;&gt;1,"",IF(C1616="B01",1965,IF(C1616="B02",1020,IF(C1616="B05",2400,IF(C1616="B03",4260,IF(C1616="B04",2880,IF(C1616="B20",1260,0)))))))</f>
        <v>4260</v>
      </c>
      <c r="F1616" s="8">
        <f>IF(IF(D1616&lt;&gt;D1615,1,IF(OR(B1616&lt;&gt;B1615,A1616-A1615&gt;$U$1),1,""))&lt;&gt;1,"",IF(C1616="B01",1,IF(C1616="B05",1,IF(C1616="B03",1,IF(C1616="B04",1,IF(C1616="B20",1,IF(C1616="B02",1,0)))))))</f>
        <v>1</v>
      </c>
      <c r="G1616"/>
      <c r="H1616" s="2"/>
      <c r="I1616" s="2"/>
      <c r="L1616"/>
      <c r="R1616"/>
    </row>
    <row r="1617" spans="1:18">
      <c r="A1617" s="3">
        <v>45797.510393518518</v>
      </c>
      <c r="B1617" s="2" t="s">
        <v>26</v>
      </c>
      <c r="C1617" s="2" t="s">
        <v>12</v>
      </c>
      <c r="D1617" s="6" t="str">
        <f>CONCATENATE(YEAR(A1617),"/",IF(MONTH(A1617)&lt;10,CONCATENATE("0",MONTH(A1617)),MONTH(A1617)))</f>
        <v>2025/05</v>
      </c>
      <c r="E1617" s="8" t="str">
        <f>IF(IF(D1617&lt;&gt;D1616,1,IF(OR(B1617&lt;&gt;B1616,A1617-A1616&gt;$U$1),1,""))&lt;&gt;1,"",IF(C1617="B01",1965,IF(C1617="B02",1020,IF(C1617="B05",2400,IF(C1617="B03",4260,IF(C1617="B04",2880,IF(C1617="B20",1260,0)))))))</f>
        <v/>
      </c>
      <c r="F1617" s="8" t="str">
        <f>IF(IF(D1617&lt;&gt;D1616,1,IF(OR(B1617&lt;&gt;B1616,A1617-A1616&gt;$U$1),1,""))&lt;&gt;1,"",IF(C1617="B01",1,IF(C1617="B05",1,IF(C1617="B03",1,IF(C1617="B04",1,IF(C1617="B20",1,IF(C1617="B02",1,0)))))))</f>
        <v/>
      </c>
      <c r="G1617"/>
      <c r="H1617" s="2"/>
      <c r="I1617" s="2"/>
      <c r="L1617"/>
      <c r="R1617"/>
    </row>
    <row r="1618" spans="1:18">
      <c r="A1618" s="3">
        <v>45797.510393518518</v>
      </c>
      <c r="B1618" s="2" t="s">
        <v>26</v>
      </c>
      <c r="C1618" s="2" t="s">
        <v>12</v>
      </c>
      <c r="D1618" s="6" t="str">
        <f>CONCATENATE(YEAR(A1618),"/",IF(MONTH(A1618)&lt;10,CONCATENATE("0",MONTH(A1618)),MONTH(A1618)))</f>
        <v>2025/05</v>
      </c>
      <c r="E1618" s="8" t="str">
        <f>IF(IF(D1618&lt;&gt;D1617,1,IF(OR(B1618&lt;&gt;B1617,A1618-A1617&gt;$U$1),1,""))&lt;&gt;1,"",IF(C1618="B01",1965,IF(C1618="B02",1020,IF(C1618="B05",2400,IF(C1618="B03",4260,IF(C1618="B04",2880,IF(C1618="B20",1260,0)))))))</f>
        <v/>
      </c>
      <c r="F1618" s="8" t="str">
        <f>IF(IF(D1618&lt;&gt;D1617,1,IF(OR(B1618&lt;&gt;B1617,A1618-A1617&gt;$U$1),1,""))&lt;&gt;1,"",IF(C1618="B01",1,IF(C1618="B05",1,IF(C1618="B03",1,IF(C1618="B04",1,IF(C1618="B20",1,IF(C1618="B02",1,0)))))))</f>
        <v/>
      </c>
      <c r="G1618"/>
      <c r="H1618" s="2"/>
      <c r="I1618" s="2"/>
      <c r="L1618"/>
      <c r="R1618"/>
    </row>
    <row r="1619" spans="1:18">
      <c r="A1619" s="3">
        <v>45797.700358796297</v>
      </c>
      <c r="B1619" s="2" t="s">
        <v>26</v>
      </c>
      <c r="C1619" s="2" t="s">
        <v>11</v>
      </c>
      <c r="D1619" s="6" t="str">
        <f>CONCATENATE(YEAR(A1619),"/",IF(MONTH(A1619)&lt;10,CONCATENATE("0",MONTH(A1619)),MONTH(A1619)))</f>
        <v>2025/05</v>
      </c>
      <c r="E1619" s="8">
        <f>IF(IF(D1619&lt;&gt;D1618,1,IF(OR(B1619&lt;&gt;B1618,A1619-A1618&gt;$U$1),1,""))&lt;&gt;1,"",IF(C1619="B01",1965,IF(C1619="B02",1020,IF(C1619="B05",2400,IF(C1619="B03",4260,IF(C1619="B04",2880,IF(C1619="B20",1260,0)))))))</f>
        <v>2400</v>
      </c>
      <c r="F1619" s="8">
        <f>IF(IF(D1619&lt;&gt;D1618,1,IF(OR(B1619&lt;&gt;B1618,A1619-A1618&gt;$U$1),1,""))&lt;&gt;1,"",IF(C1619="B01",1,IF(C1619="B05",1,IF(C1619="B03",1,IF(C1619="B04",1,IF(C1619="B20",1,IF(C1619="B02",1,0)))))))</f>
        <v>1</v>
      </c>
      <c r="G1619"/>
      <c r="H1619" s="2"/>
      <c r="I1619" s="2"/>
      <c r="L1619"/>
      <c r="R1619"/>
    </row>
    <row r="1620" spans="1:18">
      <c r="A1620" s="3">
        <v>45797.700358796297</v>
      </c>
      <c r="B1620" s="2" t="s">
        <v>26</v>
      </c>
      <c r="C1620" s="2" t="s">
        <v>11</v>
      </c>
      <c r="D1620" s="6" t="str">
        <f>CONCATENATE(YEAR(A1620),"/",IF(MONTH(A1620)&lt;10,CONCATENATE("0",MONTH(A1620)),MONTH(A1620)))</f>
        <v>2025/05</v>
      </c>
      <c r="E1620" s="8" t="str">
        <f>IF(IF(D1620&lt;&gt;D1619,1,IF(OR(B1620&lt;&gt;B1619,A1620-A1619&gt;$U$1),1,""))&lt;&gt;1,"",IF(C1620="B01",1965,IF(C1620="B02",1020,IF(C1620="B05",2400,IF(C1620="B03",4260,IF(C1620="B04",2880,IF(C1620="B20",1260,0)))))))</f>
        <v/>
      </c>
      <c r="F1620" s="8" t="str">
        <f>IF(IF(D1620&lt;&gt;D1619,1,IF(OR(B1620&lt;&gt;B1619,A1620-A1619&gt;$U$1),1,""))&lt;&gt;1,"",IF(C1620="B01",1,IF(C1620="B05",1,IF(C1620="B03",1,IF(C1620="B04",1,IF(C1620="B20",1,IF(C1620="B02",1,0)))))))</f>
        <v/>
      </c>
      <c r="G1620"/>
      <c r="H1620" s="2"/>
      <c r="I1620" s="2"/>
      <c r="L1620"/>
      <c r="R1620"/>
    </row>
    <row r="1621" spans="1:18">
      <c r="A1621" s="3">
        <v>45797.871898148151</v>
      </c>
      <c r="B1621" s="2" t="s">
        <v>26</v>
      </c>
      <c r="C1621" s="2" t="s">
        <v>11</v>
      </c>
      <c r="D1621" s="6" t="str">
        <f>CONCATENATE(YEAR(A1621),"/",IF(MONTH(A1621)&lt;10,CONCATENATE("0",MONTH(A1621)),MONTH(A1621)))</f>
        <v>2025/05</v>
      </c>
      <c r="E1621" s="8">
        <f>IF(IF(D1621&lt;&gt;D1620,1,IF(OR(B1621&lt;&gt;B1620,A1621-A1620&gt;$U$1),1,""))&lt;&gt;1,"",IF(C1621="B01",1965,IF(C1621="B02",1020,IF(C1621="B05",2400,IF(C1621="B03",4260,IF(C1621="B04",2880,IF(C1621="B20",1260,0)))))))</f>
        <v>2400</v>
      </c>
      <c r="F1621" s="8">
        <f>IF(IF(D1621&lt;&gt;D1620,1,IF(OR(B1621&lt;&gt;B1620,A1621-A1620&gt;$U$1),1,""))&lt;&gt;1,"",IF(C1621="B01",1,IF(C1621="B05",1,IF(C1621="B03",1,IF(C1621="B04",1,IF(C1621="B20",1,IF(C1621="B02",1,0)))))))</f>
        <v>1</v>
      </c>
      <c r="G1621"/>
      <c r="H1621" s="2"/>
      <c r="I1621" s="2"/>
      <c r="L1621"/>
      <c r="R1621"/>
    </row>
    <row r="1622" spans="1:18">
      <c r="A1622" s="3">
        <v>45797.871898148151</v>
      </c>
      <c r="B1622" s="2" t="s">
        <v>26</v>
      </c>
      <c r="C1622" s="2" t="s">
        <v>11</v>
      </c>
      <c r="D1622" s="6" t="str">
        <f>CONCATENATE(YEAR(A1622),"/",IF(MONTH(A1622)&lt;10,CONCATENATE("0",MONTH(A1622)),MONTH(A1622)))</f>
        <v>2025/05</v>
      </c>
      <c r="E1622" s="8" t="str">
        <f>IF(IF(D1622&lt;&gt;D1621,1,IF(OR(B1622&lt;&gt;B1621,A1622-A1621&gt;$U$1),1,""))&lt;&gt;1,"",IF(C1622="B01",1965,IF(C1622="B02",1020,IF(C1622="B05",2400,IF(C1622="B03",4260,IF(C1622="B04",2880,IF(C1622="B20",1260,0)))))))</f>
        <v/>
      </c>
      <c r="F1622" s="8" t="str">
        <f>IF(IF(D1622&lt;&gt;D1621,1,IF(OR(B1622&lt;&gt;B1621,A1622-A1621&gt;$U$1),1,""))&lt;&gt;1,"",IF(C1622="B01",1,IF(C1622="B05",1,IF(C1622="B03",1,IF(C1622="B04",1,IF(C1622="B20",1,IF(C1622="B02",1,0)))))))</f>
        <v/>
      </c>
      <c r="G1622"/>
      <c r="H1622" s="2"/>
      <c r="I1622" s="2"/>
      <c r="L1622"/>
      <c r="R1622"/>
    </row>
    <row r="1623" spans="1:18">
      <c r="A1623" s="3">
        <v>45797.871898148151</v>
      </c>
      <c r="B1623" s="2" t="s">
        <v>26</v>
      </c>
      <c r="C1623" s="2" t="s">
        <v>11</v>
      </c>
      <c r="D1623" s="6" t="str">
        <f>CONCATENATE(YEAR(A1623),"/",IF(MONTH(A1623)&lt;10,CONCATENATE("0",MONTH(A1623)),MONTH(A1623)))</f>
        <v>2025/05</v>
      </c>
      <c r="E1623" s="8" t="str">
        <f>IF(IF(D1623&lt;&gt;D1622,1,IF(OR(B1623&lt;&gt;B1622,A1623-A1622&gt;$U$1),1,""))&lt;&gt;1,"",IF(C1623="B01",1965,IF(C1623="B02",1020,IF(C1623="B05",2400,IF(C1623="B03",4260,IF(C1623="B04",2880,IF(C1623="B20",1260,0)))))))</f>
        <v/>
      </c>
      <c r="F1623" s="8" t="str">
        <f>IF(IF(D1623&lt;&gt;D1622,1,IF(OR(B1623&lt;&gt;B1622,A1623-A1622&gt;$U$1),1,""))&lt;&gt;1,"",IF(C1623="B01",1,IF(C1623="B05",1,IF(C1623="B03",1,IF(C1623="B04",1,IF(C1623="B20",1,IF(C1623="B02",1,0)))))))</f>
        <v/>
      </c>
      <c r="G1623"/>
      <c r="H1623" s="2"/>
      <c r="I1623" s="2"/>
      <c r="L1623"/>
      <c r="R1623"/>
    </row>
    <row r="1624" spans="1:18">
      <c r="A1624" s="3">
        <v>45798.056840277779</v>
      </c>
      <c r="B1624" s="2" t="s">
        <v>26</v>
      </c>
      <c r="C1624" s="2" t="s">
        <v>11</v>
      </c>
      <c r="D1624" s="6" t="str">
        <f>CONCATENATE(YEAR(A1624),"/",IF(MONTH(A1624)&lt;10,CONCATENATE("0",MONTH(A1624)),MONTH(A1624)))</f>
        <v>2025/05</v>
      </c>
      <c r="E1624" s="8">
        <f>IF(IF(D1624&lt;&gt;D1623,1,IF(OR(B1624&lt;&gt;B1623,A1624-A1623&gt;$U$1),1,""))&lt;&gt;1,"",IF(C1624="B01",1965,IF(C1624="B02",1020,IF(C1624="B05",2400,IF(C1624="B03",4260,IF(C1624="B04",2880,IF(C1624="B20",1260,0)))))))</f>
        <v>2400</v>
      </c>
      <c r="F1624" s="8">
        <f>IF(IF(D1624&lt;&gt;D1623,1,IF(OR(B1624&lt;&gt;B1623,A1624-A1623&gt;$U$1),1,""))&lt;&gt;1,"",IF(C1624="B01",1,IF(C1624="B05",1,IF(C1624="B03",1,IF(C1624="B04",1,IF(C1624="B20",1,IF(C1624="B02",1,0)))))))</f>
        <v>1</v>
      </c>
      <c r="G1624"/>
      <c r="H1624" s="2"/>
      <c r="I1624" s="2"/>
      <c r="L1624"/>
      <c r="R1624"/>
    </row>
    <row r="1625" spans="1:18">
      <c r="A1625" s="3">
        <v>45798.056840277779</v>
      </c>
      <c r="B1625" s="2" t="s">
        <v>26</v>
      </c>
      <c r="C1625" s="2" t="s">
        <v>11</v>
      </c>
      <c r="D1625" s="6" t="str">
        <f>CONCATENATE(YEAR(A1625),"/",IF(MONTH(A1625)&lt;10,CONCATENATE("0",MONTH(A1625)),MONTH(A1625)))</f>
        <v>2025/05</v>
      </c>
      <c r="E1625" s="8" t="str">
        <f>IF(IF(D1625&lt;&gt;D1624,1,IF(OR(B1625&lt;&gt;B1624,A1625-A1624&gt;$U$1),1,""))&lt;&gt;1,"",IF(C1625="B01",1965,IF(C1625="B02",1020,IF(C1625="B05",2400,IF(C1625="B03",4260,IF(C1625="B04",2880,IF(C1625="B20",1260,0)))))))</f>
        <v/>
      </c>
      <c r="F1625" s="8" t="str">
        <f>IF(IF(D1625&lt;&gt;D1624,1,IF(OR(B1625&lt;&gt;B1624,A1625-A1624&gt;$U$1),1,""))&lt;&gt;1,"",IF(C1625="B01",1,IF(C1625="B05",1,IF(C1625="B03",1,IF(C1625="B04",1,IF(C1625="B20",1,IF(C1625="B02",1,0)))))))</f>
        <v/>
      </c>
      <c r="G1625"/>
      <c r="H1625" s="2"/>
      <c r="I1625" s="2"/>
      <c r="L1625"/>
      <c r="R1625"/>
    </row>
    <row r="1626" spans="1:18">
      <c r="A1626" s="3">
        <v>45798.227418981478</v>
      </c>
      <c r="B1626" s="2" t="s">
        <v>26</v>
      </c>
      <c r="C1626" s="2" t="s">
        <v>11</v>
      </c>
      <c r="D1626" s="6" t="str">
        <f>CONCATENATE(YEAR(A1626),"/",IF(MONTH(A1626)&lt;10,CONCATENATE("0",MONTH(A1626)),MONTH(A1626)))</f>
        <v>2025/05</v>
      </c>
      <c r="E1626" s="8">
        <f>IF(IF(D1626&lt;&gt;D1625,1,IF(OR(B1626&lt;&gt;B1625,A1626-A1625&gt;$U$1),1,""))&lt;&gt;1,"",IF(C1626="B01",1965,IF(C1626="B02",1020,IF(C1626="B05",2400,IF(C1626="B03",4260,IF(C1626="B04",2880,IF(C1626="B20",1260,0)))))))</f>
        <v>2400</v>
      </c>
      <c r="F1626" s="8">
        <f>IF(IF(D1626&lt;&gt;D1625,1,IF(OR(B1626&lt;&gt;B1625,A1626-A1625&gt;$U$1),1,""))&lt;&gt;1,"",IF(C1626="B01",1,IF(C1626="B05",1,IF(C1626="B03",1,IF(C1626="B04",1,IF(C1626="B20",1,IF(C1626="B02",1,0)))))))</f>
        <v>1</v>
      </c>
      <c r="G1626"/>
      <c r="H1626" s="2"/>
      <c r="I1626" s="2"/>
      <c r="L1626"/>
      <c r="R1626"/>
    </row>
    <row r="1627" spans="1:18">
      <c r="A1627" s="3">
        <v>45798.227418981478</v>
      </c>
      <c r="B1627" s="2" t="s">
        <v>26</v>
      </c>
      <c r="C1627" s="2" t="s">
        <v>11</v>
      </c>
      <c r="D1627" s="6" t="str">
        <f>CONCATENATE(YEAR(A1627),"/",IF(MONTH(A1627)&lt;10,CONCATENATE("0",MONTH(A1627)),MONTH(A1627)))</f>
        <v>2025/05</v>
      </c>
      <c r="E1627" s="8" t="str">
        <f>IF(IF(D1627&lt;&gt;D1626,1,IF(OR(B1627&lt;&gt;B1626,A1627-A1626&gt;$U$1),1,""))&lt;&gt;1,"",IF(C1627="B01",1965,IF(C1627="B02",1020,IF(C1627="B05",2400,IF(C1627="B03",4260,IF(C1627="B04",2880,IF(C1627="B20",1260,0)))))))</f>
        <v/>
      </c>
      <c r="F1627" s="8" t="str">
        <f>IF(IF(D1627&lt;&gt;D1626,1,IF(OR(B1627&lt;&gt;B1626,A1627-A1626&gt;$U$1),1,""))&lt;&gt;1,"",IF(C1627="B01",1,IF(C1627="B05",1,IF(C1627="B03",1,IF(C1627="B04",1,IF(C1627="B20",1,IF(C1627="B02",1,0)))))))</f>
        <v/>
      </c>
      <c r="G1627"/>
      <c r="H1627" s="2"/>
      <c r="I1627" s="2"/>
      <c r="L1627"/>
      <c r="R1627"/>
    </row>
    <row r="1628" spans="1:18">
      <c r="A1628" s="3">
        <v>45798.227418981478</v>
      </c>
      <c r="B1628" s="2" t="s">
        <v>26</v>
      </c>
      <c r="C1628" s="2" t="s">
        <v>11</v>
      </c>
      <c r="D1628" s="6" t="str">
        <f>CONCATENATE(YEAR(A1628),"/",IF(MONTH(A1628)&lt;10,CONCATENATE("0",MONTH(A1628)),MONTH(A1628)))</f>
        <v>2025/05</v>
      </c>
      <c r="E1628" s="8" t="str">
        <f>IF(IF(D1628&lt;&gt;D1627,1,IF(OR(B1628&lt;&gt;B1627,A1628-A1627&gt;$U$1),1,""))&lt;&gt;1,"",IF(C1628="B01",1965,IF(C1628="B02",1020,IF(C1628="B05",2400,IF(C1628="B03",4260,IF(C1628="B04",2880,IF(C1628="B20",1260,0)))))))</f>
        <v/>
      </c>
      <c r="F1628" s="8" t="str">
        <f>IF(IF(D1628&lt;&gt;D1627,1,IF(OR(B1628&lt;&gt;B1627,A1628-A1627&gt;$U$1),1,""))&lt;&gt;1,"",IF(C1628="B01",1,IF(C1628="B05",1,IF(C1628="B03",1,IF(C1628="B04",1,IF(C1628="B20",1,IF(C1628="B02",1,0)))))))</f>
        <v/>
      </c>
      <c r="G1628"/>
      <c r="H1628" s="2"/>
      <c r="I1628" s="2"/>
      <c r="L1628"/>
      <c r="R1628"/>
    </row>
    <row r="1629" spans="1:18">
      <c r="A1629" s="3">
        <v>45798.456886574073</v>
      </c>
      <c r="B1629" s="2" t="s">
        <v>26</v>
      </c>
      <c r="C1629" s="2" t="s">
        <v>11</v>
      </c>
      <c r="D1629" s="6" t="str">
        <f>CONCATENATE(YEAR(A1629),"/",IF(MONTH(A1629)&lt;10,CONCATENATE("0",MONTH(A1629)),MONTH(A1629)))</f>
        <v>2025/05</v>
      </c>
      <c r="E1629" s="8">
        <f>IF(IF(D1629&lt;&gt;D1628,1,IF(OR(B1629&lt;&gt;B1628,A1629-A1628&gt;$U$1),1,""))&lt;&gt;1,"",IF(C1629="B01",1965,IF(C1629="B02",1020,IF(C1629="B05",2400,IF(C1629="B03",4260,IF(C1629="B04",2880,IF(C1629="B20",1260,0)))))))</f>
        <v>2400</v>
      </c>
      <c r="F1629" s="8">
        <f>IF(IF(D1629&lt;&gt;D1628,1,IF(OR(B1629&lt;&gt;B1628,A1629-A1628&gt;$U$1),1,""))&lt;&gt;1,"",IF(C1629="B01",1,IF(C1629="B05",1,IF(C1629="B03",1,IF(C1629="B04",1,IF(C1629="B20",1,IF(C1629="B02",1,0)))))))</f>
        <v>1</v>
      </c>
      <c r="G1629"/>
      <c r="H1629" s="2"/>
      <c r="I1629" s="2"/>
      <c r="L1629"/>
      <c r="R1629"/>
    </row>
    <row r="1630" spans="1:18">
      <c r="A1630" s="3">
        <v>45798.456886574073</v>
      </c>
      <c r="B1630" s="2" t="s">
        <v>26</v>
      </c>
      <c r="C1630" s="2" t="s">
        <v>11</v>
      </c>
      <c r="D1630" s="6" t="str">
        <f>CONCATENATE(YEAR(A1630),"/",IF(MONTH(A1630)&lt;10,CONCATENATE("0",MONTH(A1630)),MONTH(A1630)))</f>
        <v>2025/05</v>
      </c>
      <c r="E1630" s="8" t="str">
        <f>IF(IF(D1630&lt;&gt;D1629,1,IF(OR(B1630&lt;&gt;B1629,A1630-A1629&gt;$U$1),1,""))&lt;&gt;1,"",IF(C1630="B01",1965,IF(C1630="B02",1020,IF(C1630="B05",2400,IF(C1630="B03",4260,IF(C1630="B04",2880,IF(C1630="B20",1260,0)))))))</f>
        <v/>
      </c>
      <c r="F1630" s="8" t="str">
        <f>IF(IF(D1630&lt;&gt;D1629,1,IF(OR(B1630&lt;&gt;B1629,A1630-A1629&gt;$U$1),1,""))&lt;&gt;1,"",IF(C1630="B01",1,IF(C1630="B05",1,IF(C1630="B03",1,IF(C1630="B04",1,IF(C1630="B20",1,IF(C1630="B02",1,0)))))))</f>
        <v/>
      </c>
      <c r="G1630"/>
      <c r="H1630" s="2"/>
      <c r="I1630" s="2"/>
      <c r="L1630"/>
      <c r="R1630"/>
    </row>
    <row r="1631" spans="1:18">
      <c r="A1631" s="3">
        <v>45798.456886574073</v>
      </c>
      <c r="B1631" s="2" t="s">
        <v>26</v>
      </c>
      <c r="C1631" s="2" t="s">
        <v>11</v>
      </c>
      <c r="D1631" s="6" t="str">
        <f>CONCATENATE(YEAR(A1631),"/",IF(MONTH(A1631)&lt;10,CONCATENATE("0",MONTH(A1631)),MONTH(A1631)))</f>
        <v>2025/05</v>
      </c>
      <c r="E1631" s="8" t="str">
        <f>IF(IF(D1631&lt;&gt;D1630,1,IF(OR(B1631&lt;&gt;B1630,A1631-A1630&gt;$U$1),1,""))&lt;&gt;1,"",IF(C1631="B01",1965,IF(C1631="B02",1020,IF(C1631="B05",2400,IF(C1631="B03",4260,IF(C1631="B04",2880,IF(C1631="B20",1260,0)))))))</f>
        <v/>
      </c>
      <c r="F1631" s="8" t="str">
        <f>IF(IF(D1631&lt;&gt;D1630,1,IF(OR(B1631&lt;&gt;B1630,A1631-A1630&gt;$U$1),1,""))&lt;&gt;1,"",IF(C1631="B01",1,IF(C1631="B05",1,IF(C1631="B03",1,IF(C1631="B04",1,IF(C1631="B20",1,IF(C1631="B02",1,0)))))))</f>
        <v/>
      </c>
      <c r="G1631"/>
      <c r="H1631" s="2"/>
      <c r="I1631" s="2"/>
      <c r="L1631"/>
      <c r="R1631"/>
    </row>
    <row r="1632" spans="1:18">
      <c r="A1632" s="3">
        <v>45798.456886574073</v>
      </c>
      <c r="B1632" s="2" t="s">
        <v>26</v>
      </c>
      <c r="C1632" s="2" t="s">
        <v>11</v>
      </c>
      <c r="D1632" s="6" t="str">
        <f>CONCATENATE(YEAR(A1632),"/",IF(MONTH(A1632)&lt;10,CONCATENATE("0",MONTH(A1632)),MONTH(A1632)))</f>
        <v>2025/05</v>
      </c>
      <c r="E1632" s="8" t="str">
        <f>IF(IF(D1632&lt;&gt;D1631,1,IF(OR(B1632&lt;&gt;B1631,A1632-A1631&gt;$U$1),1,""))&lt;&gt;1,"",IF(C1632="B01",1965,IF(C1632="B02",1020,IF(C1632="B05",2400,IF(C1632="B03",4260,IF(C1632="B04",2880,IF(C1632="B20",1260,0)))))))</f>
        <v/>
      </c>
      <c r="F1632" s="8" t="str">
        <f>IF(IF(D1632&lt;&gt;D1631,1,IF(OR(B1632&lt;&gt;B1631,A1632-A1631&gt;$U$1),1,""))&lt;&gt;1,"",IF(C1632="B01",1,IF(C1632="B05",1,IF(C1632="B03",1,IF(C1632="B04",1,IF(C1632="B20",1,IF(C1632="B02",1,0)))))))</f>
        <v/>
      </c>
      <c r="G1632"/>
      <c r="H1632" s="2"/>
      <c r="I1632" s="2"/>
      <c r="L1632"/>
      <c r="R1632"/>
    </row>
    <row r="1633" spans="1:18">
      <c r="A1633" s="3">
        <v>45798.456886574073</v>
      </c>
      <c r="B1633" s="2" t="s">
        <v>26</v>
      </c>
      <c r="C1633" s="2" t="s">
        <v>11</v>
      </c>
      <c r="D1633" s="6" t="str">
        <f>CONCATENATE(YEAR(A1633),"/",IF(MONTH(A1633)&lt;10,CONCATENATE("0",MONTH(A1633)),MONTH(A1633)))</f>
        <v>2025/05</v>
      </c>
      <c r="E1633" s="8" t="str">
        <f>IF(IF(D1633&lt;&gt;D1632,1,IF(OR(B1633&lt;&gt;B1632,A1633-A1632&gt;$U$1),1,""))&lt;&gt;1,"",IF(C1633="B01",1965,IF(C1633="B02",1020,IF(C1633="B05",2400,IF(C1633="B03",4260,IF(C1633="B04",2880,IF(C1633="B20",1260,0)))))))</f>
        <v/>
      </c>
      <c r="F1633" s="8" t="str">
        <f>IF(IF(D1633&lt;&gt;D1632,1,IF(OR(B1633&lt;&gt;B1632,A1633-A1632&gt;$U$1),1,""))&lt;&gt;1,"",IF(C1633="B01",1,IF(C1633="B05",1,IF(C1633="B03",1,IF(C1633="B04",1,IF(C1633="B20",1,IF(C1633="B02",1,0)))))))</f>
        <v/>
      </c>
      <c r="G1633"/>
      <c r="H1633" s="2"/>
      <c r="I1633" s="2"/>
      <c r="L1633"/>
      <c r="R1633"/>
    </row>
    <row r="1634" spans="1:18">
      <c r="A1634" s="3">
        <v>45798.616041666668</v>
      </c>
      <c r="B1634" s="2" t="s">
        <v>26</v>
      </c>
      <c r="C1634" s="2" t="s">
        <v>11</v>
      </c>
      <c r="D1634" s="6" t="str">
        <f>CONCATENATE(YEAR(A1634),"/",IF(MONTH(A1634)&lt;10,CONCATENATE("0",MONTH(A1634)),MONTH(A1634)))</f>
        <v>2025/05</v>
      </c>
      <c r="E1634" s="8">
        <f>IF(IF(D1634&lt;&gt;D1633,1,IF(OR(B1634&lt;&gt;B1633,A1634-A1633&gt;$U$1),1,""))&lt;&gt;1,"",IF(C1634="B01",1965,IF(C1634="B02",1020,IF(C1634="B05",2400,IF(C1634="B03",4260,IF(C1634="B04",2880,IF(C1634="B20",1260,0)))))))</f>
        <v>2400</v>
      </c>
      <c r="F1634" s="8">
        <f>IF(IF(D1634&lt;&gt;D1633,1,IF(OR(B1634&lt;&gt;B1633,A1634-A1633&gt;$U$1),1,""))&lt;&gt;1,"",IF(C1634="B01",1,IF(C1634="B05",1,IF(C1634="B03",1,IF(C1634="B04",1,IF(C1634="B20",1,IF(C1634="B02",1,0)))))))</f>
        <v>1</v>
      </c>
      <c r="G1634"/>
      <c r="H1634" s="2"/>
      <c r="I1634" s="2"/>
      <c r="L1634"/>
      <c r="R1634"/>
    </row>
    <row r="1635" spans="1:18">
      <c r="A1635" s="3">
        <v>45798.616041666668</v>
      </c>
      <c r="B1635" s="2" t="s">
        <v>26</v>
      </c>
      <c r="C1635" s="2" t="s">
        <v>11</v>
      </c>
      <c r="D1635" s="6" t="str">
        <f>CONCATENATE(YEAR(A1635),"/",IF(MONTH(A1635)&lt;10,CONCATENATE("0",MONTH(A1635)),MONTH(A1635)))</f>
        <v>2025/05</v>
      </c>
      <c r="E1635" s="8" t="str">
        <f>IF(IF(D1635&lt;&gt;D1634,1,IF(OR(B1635&lt;&gt;B1634,A1635-A1634&gt;$U$1),1,""))&lt;&gt;1,"",IF(C1635="B01",1965,IF(C1635="B02",1020,IF(C1635="B05",2400,IF(C1635="B03",4260,IF(C1635="B04",2880,IF(C1635="B20",1260,0)))))))</f>
        <v/>
      </c>
      <c r="F1635" s="8" t="str">
        <f>IF(IF(D1635&lt;&gt;D1634,1,IF(OR(B1635&lt;&gt;B1634,A1635-A1634&gt;$U$1),1,""))&lt;&gt;1,"",IF(C1635="B01",1,IF(C1635="B05",1,IF(C1635="B03",1,IF(C1635="B04",1,IF(C1635="B20",1,IF(C1635="B02",1,0)))))))</f>
        <v/>
      </c>
      <c r="G1635"/>
      <c r="H1635" s="2"/>
      <c r="I1635" s="2"/>
      <c r="L1635"/>
      <c r="R1635"/>
    </row>
    <row r="1636" spans="1:18">
      <c r="A1636" s="3">
        <v>45741.114398148151</v>
      </c>
      <c r="B1636" s="2" t="s">
        <v>28</v>
      </c>
      <c r="C1636" s="2" t="s">
        <v>11</v>
      </c>
      <c r="D1636" s="6" t="str">
        <f>CONCATENATE(YEAR(A1636),"/",IF(MONTH(A1636)&lt;10,CONCATENATE("0",MONTH(A1636)),MONTH(A1636)))</f>
        <v>2025/03</v>
      </c>
      <c r="E1636" s="8">
        <f>IF(IF(D1636&lt;&gt;D1635,1,IF(OR(B1636&lt;&gt;B1635,A1636-A1635&gt;$U$1),1,""))&lt;&gt;1,"",IF(C1636="B01",1965,IF(C1636="B02",1020,IF(C1636="B05",2400,IF(C1636="B03",4260,IF(C1636="B04",2880,IF(C1636="B20",1260,0)))))))</f>
        <v>2400</v>
      </c>
      <c r="F1636" s="8">
        <f>IF(IF(D1636&lt;&gt;D1635,1,IF(OR(B1636&lt;&gt;B1635,A1636-A1635&gt;$U$1),1,""))&lt;&gt;1,"",IF(C1636="B01",1,IF(C1636="B05",1,IF(C1636="B03",1,IF(C1636="B04",1,IF(C1636="B20",1,IF(C1636="B02",1,0)))))))</f>
        <v>1</v>
      </c>
      <c r="G1636"/>
      <c r="H1636" s="2"/>
      <c r="I1636" s="2"/>
      <c r="L1636"/>
      <c r="R1636"/>
    </row>
    <row r="1637" spans="1:18">
      <c r="A1637" s="3">
        <v>45741.114398148151</v>
      </c>
      <c r="B1637" s="2" t="s">
        <v>28</v>
      </c>
      <c r="C1637" s="2" t="s">
        <v>11</v>
      </c>
      <c r="D1637" s="6" t="str">
        <f>CONCATENATE(YEAR(A1637),"/",IF(MONTH(A1637)&lt;10,CONCATENATE("0",MONTH(A1637)),MONTH(A1637)))</f>
        <v>2025/03</v>
      </c>
      <c r="E1637" s="8" t="str">
        <f>IF(IF(D1637&lt;&gt;D1636,1,IF(OR(B1637&lt;&gt;B1636,A1637-A1636&gt;$U$1),1,""))&lt;&gt;1,"",IF(C1637="B01",1965,IF(C1637="B02",1020,IF(C1637="B05",2400,IF(C1637="B03",4260,IF(C1637="B04",2880,IF(C1637="B20",1260,0)))))))</f>
        <v/>
      </c>
      <c r="F1637" s="8" t="str">
        <f>IF(IF(D1637&lt;&gt;D1636,1,IF(OR(B1637&lt;&gt;B1636,A1637-A1636&gt;$U$1),1,""))&lt;&gt;1,"",IF(C1637="B01",1,IF(C1637="B05",1,IF(C1637="B03",1,IF(C1637="B04",1,IF(C1637="B20",1,IF(C1637="B02",1,0)))))))</f>
        <v/>
      </c>
      <c r="G1637"/>
      <c r="H1637" s="2"/>
      <c r="I1637" s="2"/>
      <c r="L1637"/>
      <c r="R1637"/>
    </row>
    <row r="1638" spans="1:18">
      <c r="A1638" s="3">
        <v>45741.114398148151</v>
      </c>
      <c r="B1638" s="2" t="s">
        <v>28</v>
      </c>
      <c r="C1638" s="2" t="s">
        <v>11</v>
      </c>
      <c r="D1638" s="6" t="str">
        <f>CONCATENATE(YEAR(A1638),"/",IF(MONTH(A1638)&lt;10,CONCATENATE("0",MONTH(A1638)),MONTH(A1638)))</f>
        <v>2025/03</v>
      </c>
      <c r="E1638" s="8" t="str">
        <f>IF(IF(D1638&lt;&gt;D1637,1,IF(OR(B1638&lt;&gt;B1637,A1638-A1637&gt;$U$1),1,""))&lt;&gt;1,"",IF(C1638="B01",1965,IF(C1638="B02",1020,IF(C1638="B05",2400,IF(C1638="B03",4260,IF(C1638="B04",2880,IF(C1638="B20",1260,0)))))))</f>
        <v/>
      </c>
      <c r="F1638" s="8" t="str">
        <f>IF(IF(D1638&lt;&gt;D1637,1,IF(OR(B1638&lt;&gt;B1637,A1638-A1637&gt;$U$1),1,""))&lt;&gt;1,"",IF(C1638="B01",1,IF(C1638="B05",1,IF(C1638="B03",1,IF(C1638="B04",1,IF(C1638="B20",1,IF(C1638="B02",1,0)))))))</f>
        <v/>
      </c>
      <c r="G1638"/>
      <c r="H1638" s="2"/>
      <c r="I1638" s="2"/>
      <c r="L1638"/>
      <c r="R1638"/>
    </row>
    <row r="1639" spans="1:18">
      <c r="A1639" s="3">
        <v>45741.458032407405</v>
      </c>
      <c r="B1639" s="2" t="s">
        <v>28</v>
      </c>
      <c r="C1639" s="2" t="s">
        <v>11</v>
      </c>
      <c r="D1639" s="6" t="str">
        <f>CONCATENATE(YEAR(A1639),"/",IF(MONTH(A1639)&lt;10,CONCATENATE("0",MONTH(A1639)),MONTH(A1639)))</f>
        <v>2025/03</v>
      </c>
      <c r="E1639" s="8">
        <f>IF(IF(D1639&lt;&gt;D1638,1,IF(OR(B1639&lt;&gt;B1638,A1639-A1638&gt;$U$1),1,""))&lt;&gt;1,"",IF(C1639="B01",1965,IF(C1639="B02",1020,IF(C1639="B05",2400,IF(C1639="B03",4260,IF(C1639="B04",2880,IF(C1639="B20",1260,0)))))))</f>
        <v>2400</v>
      </c>
      <c r="F1639" s="8">
        <f>IF(IF(D1639&lt;&gt;D1638,1,IF(OR(B1639&lt;&gt;B1638,A1639-A1638&gt;$U$1),1,""))&lt;&gt;1,"",IF(C1639="B01",1,IF(C1639="B05",1,IF(C1639="B03",1,IF(C1639="B04",1,IF(C1639="B20",1,IF(C1639="B02",1,0)))))))</f>
        <v>1</v>
      </c>
      <c r="G1639"/>
      <c r="H1639" s="2"/>
      <c r="I1639" s="2"/>
      <c r="L1639"/>
      <c r="R1639"/>
    </row>
    <row r="1640" spans="1:18">
      <c r="A1640" s="3">
        <v>45741.458032407405</v>
      </c>
      <c r="B1640" s="2" t="s">
        <v>28</v>
      </c>
      <c r="C1640" s="2" t="s">
        <v>11</v>
      </c>
      <c r="D1640" s="6" t="str">
        <f>CONCATENATE(YEAR(A1640),"/",IF(MONTH(A1640)&lt;10,CONCATENATE("0",MONTH(A1640)),MONTH(A1640)))</f>
        <v>2025/03</v>
      </c>
      <c r="E1640" s="8" t="str">
        <f>IF(IF(D1640&lt;&gt;D1639,1,IF(OR(B1640&lt;&gt;B1639,A1640-A1639&gt;$U$1),1,""))&lt;&gt;1,"",IF(C1640="B01",1965,IF(C1640="B02",1020,IF(C1640="B05",2400,IF(C1640="B03",4260,IF(C1640="B04",2880,IF(C1640="B20",1260,0)))))))</f>
        <v/>
      </c>
      <c r="F1640" s="8" t="str">
        <f>IF(IF(D1640&lt;&gt;D1639,1,IF(OR(B1640&lt;&gt;B1639,A1640-A1639&gt;$U$1),1,""))&lt;&gt;1,"",IF(C1640="B01",1,IF(C1640="B05",1,IF(C1640="B03",1,IF(C1640="B04",1,IF(C1640="B20",1,IF(C1640="B02",1,0)))))))</f>
        <v/>
      </c>
      <c r="G1640"/>
      <c r="H1640" s="2"/>
      <c r="I1640" s="2"/>
      <c r="L1640"/>
      <c r="R1640"/>
    </row>
    <row r="1641" spans="1:18">
      <c r="A1641" s="3">
        <v>45741.458032407405</v>
      </c>
      <c r="B1641" s="2" t="s">
        <v>28</v>
      </c>
      <c r="C1641" s="2" t="s">
        <v>11</v>
      </c>
      <c r="D1641" s="6" t="str">
        <f>CONCATENATE(YEAR(A1641),"/",IF(MONTH(A1641)&lt;10,CONCATENATE("0",MONTH(A1641)),MONTH(A1641)))</f>
        <v>2025/03</v>
      </c>
      <c r="E1641" s="8" t="str">
        <f>IF(IF(D1641&lt;&gt;D1640,1,IF(OR(B1641&lt;&gt;B1640,A1641-A1640&gt;$U$1),1,""))&lt;&gt;1,"",IF(C1641="B01",1965,IF(C1641="B02",1020,IF(C1641="B05",2400,IF(C1641="B03",4260,IF(C1641="B04",2880,IF(C1641="B20",1260,0)))))))</f>
        <v/>
      </c>
      <c r="F1641" s="8" t="str">
        <f>IF(IF(D1641&lt;&gt;D1640,1,IF(OR(B1641&lt;&gt;B1640,A1641-A1640&gt;$U$1),1,""))&lt;&gt;1,"",IF(C1641="B01",1,IF(C1641="B05",1,IF(C1641="B03",1,IF(C1641="B04",1,IF(C1641="B20",1,IF(C1641="B02",1,0)))))))</f>
        <v/>
      </c>
      <c r="G1641"/>
      <c r="H1641" s="2"/>
      <c r="I1641" s="2"/>
      <c r="L1641"/>
      <c r="R1641"/>
    </row>
    <row r="1642" spans="1:18">
      <c r="A1642" s="3">
        <v>45741.458032407405</v>
      </c>
      <c r="B1642" s="2" t="s">
        <v>28</v>
      </c>
      <c r="C1642" s="2" t="s">
        <v>11</v>
      </c>
      <c r="D1642" s="6" t="str">
        <f>CONCATENATE(YEAR(A1642),"/",IF(MONTH(A1642)&lt;10,CONCATENATE("0",MONTH(A1642)),MONTH(A1642)))</f>
        <v>2025/03</v>
      </c>
      <c r="E1642" s="8" t="str">
        <f>IF(IF(D1642&lt;&gt;D1641,1,IF(OR(B1642&lt;&gt;B1641,A1642-A1641&gt;$U$1),1,""))&lt;&gt;1,"",IF(C1642="B01",1965,IF(C1642="B02",1020,IF(C1642="B05",2400,IF(C1642="B03",4260,IF(C1642="B04",2880,IF(C1642="B20",1260,0)))))))</f>
        <v/>
      </c>
      <c r="F1642" s="8" t="str">
        <f>IF(IF(D1642&lt;&gt;D1641,1,IF(OR(B1642&lt;&gt;B1641,A1642-A1641&gt;$U$1),1,""))&lt;&gt;1,"",IF(C1642="B01",1,IF(C1642="B05",1,IF(C1642="B03",1,IF(C1642="B04",1,IF(C1642="B20",1,IF(C1642="B02",1,0)))))))</f>
        <v/>
      </c>
      <c r="G1642"/>
      <c r="H1642" s="2"/>
      <c r="I1642" s="2"/>
      <c r="L1642"/>
      <c r="R1642"/>
    </row>
    <row r="1643" spans="1:18">
      <c r="A1643" s="3">
        <v>45741.637615740743</v>
      </c>
      <c r="B1643" s="2" t="s">
        <v>28</v>
      </c>
      <c r="C1643" s="2" t="s">
        <v>11</v>
      </c>
      <c r="D1643" s="6" t="str">
        <f>CONCATENATE(YEAR(A1643),"/",IF(MONTH(A1643)&lt;10,CONCATENATE("0",MONTH(A1643)),MONTH(A1643)))</f>
        <v>2025/03</v>
      </c>
      <c r="E1643" s="8">
        <f>IF(IF(D1643&lt;&gt;D1642,1,IF(OR(B1643&lt;&gt;B1642,A1643-A1642&gt;$U$1),1,""))&lt;&gt;1,"",IF(C1643="B01",1965,IF(C1643="B02",1020,IF(C1643="B05",2400,IF(C1643="B03",4260,IF(C1643="B04",2880,IF(C1643="B20",1260,0)))))))</f>
        <v>2400</v>
      </c>
      <c r="F1643" s="8">
        <f>IF(IF(D1643&lt;&gt;D1642,1,IF(OR(B1643&lt;&gt;B1642,A1643-A1642&gt;$U$1),1,""))&lt;&gt;1,"",IF(C1643="B01",1,IF(C1643="B05",1,IF(C1643="B03",1,IF(C1643="B04",1,IF(C1643="B20",1,IF(C1643="B02",1,0)))))))</f>
        <v>1</v>
      </c>
      <c r="G1643"/>
      <c r="H1643" s="2"/>
      <c r="I1643" s="2"/>
      <c r="L1643"/>
      <c r="R1643"/>
    </row>
    <row r="1644" spans="1:18">
      <c r="A1644" s="3">
        <v>45741.637615740743</v>
      </c>
      <c r="B1644" s="2" t="s">
        <v>28</v>
      </c>
      <c r="C1644" s="2" t="s">
        <v>11</v>
      </c>
      <c r="D1644" s="6" t="str">
        <f>CONCATENATE(YEAR(A1644),"/",IF(MONTH(A1644)&lt;10,CONCATENATE("0",MONTH(A1644)),MONTH(A1644)))</f>
        <v>2025/03</v>
      </c>
      <c r="E1644" s="8" t="str">
        <f>IF(IF(D1644&lt;&gt;D1643,1,IF(OR(B1644&lt;&gt;B1643,A1644-A1643&gt;$U$1),1,""))&lt;&gt;1,"",IF(C1644="B01",1965,IF(C1644="B02",1020,IF(C1644="B05",2400,IF(C1644="B03",4260,IF(C1644="B04",2880,IF(C1644="B20",1260,0)))))))</f>
        <v/>
      </c>
      <c r="F1644" s="8" t="str">
        <f>IF(IF(D1644&lt;&gt;D1643,1,IF(OR(B1644&lt;&gt;B1643,A1644-A1643&gt;$U$1),1,""))&lt;&gt;1,"",IF(C1644="B01",1,IF(C1644="B05",1,IF(C1644="B03",1,IF(C1644="B04",1,IF(C1644="B20",1,IF(C1644="B02",1,0)))))))</f>
        <v/>
      </c>
      <c r="G1644"/>
      <c r="H1644" s="2"/>
      <c r="I1644" s="2"/>
      <c r="L1644"/>
      <c r="R1644"/>
    </row>
    <row r="1645" spans="1:18">
      <c r="A1645" s="3">
        <v>45741.637615740743</v>
      </c>
      <c r="B1645" s="2" t="s">
        <v>28</v>
      </c>
      <c r="C1645" s="2" t="s">
        <v>11</v>
      </c>
      <c r="D1645" s="6" t="str">
        <f>CONCATENATE(YEAR(A1645),"/",IF(MONTH(A1645)&lt;10,CONCATENATE("0",MONTH(A1645)),MONTH(A1645)))</f>
        <v>2025/03</v>
      </c>
      <c r="E1645" s="8" t="str">
        <f>IF(IF(D1645&lt;&gt;D1644,1,IF(OR(B1645&lt;&gt;B1644,A1645-A1644&gt;$U$1),1,""))&lt;&gt;1,"",IF(C1645="B01",1965,IF(C1645="B02",1020,IF(C1645="B05",2400,IF(C1645="B03",4260,IF(C1645="B04",2880,IF(C1645="B20",1260,0)))))))</f>
        <v/>
      </c>
      <c r="F1645" s="8" t="str">
        <f>IF(IF(D1645&lt;&gt;D1644,1,IF(OR(B1645&lt;&gt;B1644,A1645-A1644&gt;$U$1),1,""))&lt;&gt;1,"",IF(C1645="B01",1,IF(C1645="B05",1,IF(C1645="B03",1,IF(C1645="B04",1,IF(C1645="B20",1,IF(C1645="B02",1,0)))))))</f>
        <v/>
      </c>
      <c r="G1645"/>
      <c r="H1645" s="2"/>
      <c r="I1645" s="2"/>
      <c r="L1645"/>
      <c r="R1645"/>
    </row>
    <row r="1646" spans="1:18">
      <c r="A1646" s="3">
        <v>45741.847615740742</v>
      </c>
      <c r="B1646" s="2" t="s">
        <v>28</v>
      </c>
      <c r="C1646" s="2" t="s">
        <v>11</v>
      </c>
      <c r="D1646" s="6" t="str">
        <f>CONCATENATE(YEAR(A1646),"/",IF(MONTH(A1646)&lt;10,CONCATENATE("0",MONTH(A1646)),MONTH(A1646)))</f>
        <v>2025/03</v>
      </c>
      <c r="E1646" s="8">
        <f>IF(IF(D1646&lt;&gt;D1645,1,IF(OR(B1646&lt;&gt;B1645,A1646-A1645&gt;$U$1),1,""))&lt;&gt;1,"",IF(C1646="B01",1965,IF(C1646="B02",1020,IF(C1646="B05",2400,IF(C1646="B03",4260,IF(C1646="B04",2880,IF(C1646="B20",1260,0)))))))</f>
        <v>2400</v>
      </c>
      <c r="F1646" s="8">
        <f>IF(IF(D1646&lt;&gt;D1645,1,IF(OR(B1646&lt;&gt;B1645,A1646-A1645&gt;$U$1),1,""))&lt;&gt;1,"",IF(C1646="B01",1,IF(C1646="B05",1,IF(C1646="B03",1,IF(C1646="B04",1,IF(C1646="B20",1,IF(C1646="B02",1,0)))))))</f>
        <v>1</v>
      </c>
      <c r="G1646"/>
      <c r="H1646" s="2"/>
      <c r="I1646" s="2"/>
      <c r="L1646"/>
      <c r="R1646"/>
    </row>
    <row r="1647" spans="1:18">
      <c r="A1647" s="3">
        <v>45741.847615740742</v>
      </c>
      <c r="B1647" s="2" t="s">
        <v>28</v>
      </c>
      <c r="C1647" s="2" t="s">
        <v>11</v>
      </c>
      <c r="D1647" s="6" t="str">
        <f>CONCATENATE(YEAR(A1647),"/",IF(MONTH(A1647)&lt;10,CONCATENATE("0",MONTH(A1647)),MONTH(A1647)))</f>
        <v>2025/03</v>
      </c>
      <c r="E1647" s="8" t="str">
        <f>IF(IF(D1647&lt;&gt;D1646,1,IF(OR(B1647&lt;&gt;B1646,A1647-A1646&gt;$U$1),1,""))&lt;&gt;1,"",IF(C1647="B01",1965,IF(C1647="B02",1020,IF(C1647="B05",2400,IF(C1647="B03",4260,IF(C1647="B04",2880,IF(C1647="B20",1260,0)))))))</f>
        <v/>
      </c>
      <c r="F1647" s="8" t="str">
        <f>IF(IF(D1647&lt;&gt;D1646,1,IF(OR(B1647&lt;&gt;B1646,A1647-A1646&gt;$U$1),1,""))&lt;&gt;1,"",IF(C1647="B01",1,IF(C1647="B05",1,IF(C1647="B03",1,IF(C1647="B04",1,IF(C1647="B20",1,IF(C1647="B02",1,0)))))))</f>
        <v/>
      </c>
      <c r="G1647"/>
      <c r="H1647" s="2"/>
      <c r="I1647" s="2"/>
      <c r="L1647"/>
      <c r="R1647"/>
    </row>
    <row r="1648" spans="1:18">
      <c r="A1648" s="3">
        <v>45741.847615740742</v>
      </c>
      <c r="B1648" s="2" t="s">
        <v>28</v>
      </c>
      <c r="C1648" s="2" t="s">
        <v>11</v>
      </c>
      <c r="D1648" s="6" t="str">
        <f>CONCATENATE(YEAR(A1648),"/",IF(MONTH(A1648)&lt;10,CONCATENATE("0",MONTH(A1648)),MONTH(A1648)))</f>
        <v>2025/03</v>
      </c>
      <c r="E1648" s="8" t="str">
        <f>IF(IF(D1648&lt;&gt;D1647,1,IF(OR(B1648&lt;&gt;B1647,A1648-A1647&gt;$U$1),1,""))&lt;&gt;1,"",IF(C1648="B01",1965,IF(C1648="B02",1020,IF(C1648="B05",2400,IF(C1648="B03",4260,IF(C1648="B04",2880,IF(C1648="B20",1260,0)))))))</f>
        <v/>
      </c>
      <c r="F1648" s="8" t="str">
        <f>IF(IF(D1648&lt;&gt;D1647,1,IF(OR(B1648&lt;&gt;B1647,A1648-A1647&gt;$U$1),1,""))&lt;&gt;1,"",IF(C1648="B01",1,IF(C1648="B05",1,IF(C1648="B03",1,IF(C1648="B04",1,IF(C1648="B20",1,IF(C1648="B02",1,0)))))))</f>
        <v/>
      </c>
      <c r="G1648"/>
      <c r="H1648" s="2"/>
      <c r="I1648" s="2"/>
      <c r="L1648"/>
      <c r="R1648"/>
    </row>
    <row r="1649" spans="1:18">
      <c r="A1649" s="3">
        <v>45741.847615740742</v>
      </c>
      <c r="B1649" s="2" t="s">
        <v>28</v>
      </c>
      <c r="C1649" s="2" t="s">
        <v>11</v>
      </c>
      <c r="D1649" s="6" t="str">
        <f>CONCATENATE(YEAR(A1649),"/",IF(MONTH(A1649)&lt;10,CONCATENATE("0",MONTH(A1649)),MONTH(A1649)))</f>
        <v>2025/03</v>
      </c>
      <c r="E1649" s="8" t="str">
        <f>IF(IF(D1649&lt;&gt;D1648,1,IF(OR(B1649&lt;&gt;B1648,A1649-A1648&gt;$U$1),1,""))&lt;&gt;1,"",IF(C1649="B01",1965,IF(C1649="B02",1020,IF(C1649="B05",2400,IF(C1649="B03",4260,IF(C1649="B04",2880,IF(C1649="B20",1260,0)))))))</f>
        <v/>
      </c>
      <c r="F1649" s="8" t="str">
        <f>IF(IF(D1649&lt;&gt;D1648,1,IF(OR(B1649&lt;&gt;B1648,A1649-A1648&gt;$U$1),1,""))&lt;&gt;1,"",IF(C1649="B01",1,IF(C1649="B05",1,IF(C1649="B03",1,IF(C1649="B04",1,IF(C1649="B20",1,IF(C1649="B02",1,0)))))))</f>
        <v/>
      </c>
      <c r="G1649"/>
      <c r="H1649" s="2"/>
      <c r="I1649" s="2"/>
      <c r="L1649"/>
      <c r="R1649"/>
    </row>
    <row r="1650" spans="1:18">
      <c r="A1650" s="3">
        <v>45742.348622685182</v>
      </c>
      <c r="B1650" s="2" t="s">
        <v>28</v>
      </c>
      <c r="C1650" s="2" t="s">
        <v>11</v>
      </c>
      <c r="D1650" s="6" t="str">
        <f>CONCATENATE(YEAR(A1650),"/",IF(MONTH(A1650)&lt;10,CONCATENATE("0",MONTH(A1650)),MONTH(A1650)))</f>
        <v>2025/03</v>
      </c>
      <c r="E1650" s="8">
        <f>IF(IF(D1650&lt;&gt;D1649,1,IF(OR(B1650&lt;&gt;B1649,A1650-A1649&gt;$U$1),1,""))&lt;&gt;1,"",IF(C1650="B01",1965,IF(C1650="B02",1020,IF(C1650="B05",2400,IF(C1650="B03",4260,IF(C1650="B04",2880,IF(C1650="B20",1260,0)))))))</f>
        <v>2400</v>
      </c>
      <c r="F1650" s="8">
        <f>IF(IF(D1650&lt;&gt;D1649,1,IF(OR(B1650&lt;&gt;B1649,A1650-A1649&gt;$U$1),1,""))&lt;&gt;1,"",IF(C1650="B01",1,IF(C1650="B05",1,IF(C1650="B03",1,IF(C1650="B04",1,IF(C1650="B20",1,IF(C1650="B02",1,0)))))))</f>
        <v>1</v>
      </c>
      <c r="G1650"/>
      <c r="H1650" s="2"/>
      <c r="I1650" s="2"/>
      <c r="L1650"/>
      <c r="R1650"/>
    </row>
    <row r="1651" spans="1:18">
      <c r="A1651" s="3">
        <v>45742.348622685182</v>
      </c>
      <c r="B1651" s="2" t="s">
        <v>28</v>
      </c>
      <c r="C1651" s="2" t="s">
        <v>11</v>
      </c>
      <c r="D1651" s="6" t="str">
        <f>CONCATENATE(YEAR(A1651),"/",IF(MONTH(A1651)&lt;10,CONCATENATE("0",MONTH(A1651)),MONTH(A1651)))</f>
        <v>2025/03</v>
      </c>
      <c r="E1651" s="8" t="str">
        <f>IF(IF(D1651&lt;&gt;D1650,1,IF(OR(B1651&lt;&gt;B1650,A1651-A1650&gt;$U$1),1,""))&lt;&gt;1,"",IF(C1651="B01",1965,IF(C1651="B02",1020,IF(C1651="B05",2400,IF(C1651="B03",4260,IF(C1651="B04",2880,IF(C1651="B20",1260,0)))))))</f>
        <v/>
      </c>
      <c r="F1651" s="8" t="str">
        <f>IF(IF(D1651&lt;&gt;D1650,1,IF(OR(B1651&lt;&gt;B1650,A1651-A1650&gt;$U$1),1,""))&lt;&gt;1,"",IF(C1651="B01",1,IF(C1651="B05",1,IF(C1651="B03",1,IF(C1651="B04",1,IF(C1651="B20",1,IF(C1651="B02",1,0)))))))</f>
        <v/>
      </c>
      <c r="G1651"/>
      <c r="H1651" s="2"/>
      <c r="I1651" s="2"/>
      <c r="L1651"/>
      <c r="R1651"/>
    </row>
    <row r="1652" spans="1:18">
      <c r="A1652" s="3">
        <v>45742.542245370372</v>
      </c>
      <c r="B1652" s="2" t="s">
        <v>28</v>
      </c>
      <c r="C1652" s="2" t="s">
        <v>11</v>
      </c>
      <c r="D1652" s="6" t="str">
        <f>CONCATENATE(YEAR(A1652),"/",IF(MONTH(A1652)&lt;10,CONCATENATE("0",MONTH(A1652)),MONTH(A1652)))</f>
        <v>2025/03</v>
      </c>
      <c r="E1652" s="8">
        <f>IF(IF(D1652&lt;&gt;D1651,1,IF(OR(B1652&lt;&gt;B1651,A1652-A1651&gt;$U$1),1,""))&lt;&gt;1,"",IF(C1652="B01",1965,IF(C1652="B02",1020,IF(C1652="B05",2400,IF(C1652="B03",4260,IF(C1652="B04",2880,IF(C1652="B20",1260,0)))))))</f>
        <v>2400</v>
      </c>
      <c r="F1652" s="8">
        <f>IF(IF(D1652&lt;&gt;D1651,1,IF(OR(B1652&lt;&gt;B1651,A1652-A1651&gt;$U$1),1,""))&lt;&gt;1,"",IF(C1652="B01",1,IF(C1652="B05",1,IF(C1652="B03",1,IF(C1652="B04",1,IF(C1652="B20",1,IF(C1652="B02",1,0)))))))</f>
        <v>1</v>
      </c>
      <c r="G1652"/>
      <c r="H1652" s="2"/>
      <c r="I1652" s="2"/>
      <c r="L1652"/>
      <c r="R1652"/>
    </row>
    <row r="1653" spans="1:18">
      <c r="A1653" s="3">
        <v>45742.542245370372</v>
      </c>
      <c r="B1653" s="2" t="s">
        <v>28</v>
      </c>
      <c r="C1653" s="2" t="s">
        <v>11</v>
      </c>
      <c r="D1653" s="6" t="str">
        <f>CONCATENATE(YEAR(A1653),"/",IF(MONTH(A1653)&lt;10,CONCATENATE("0",MONTH(A1653)),MONTH(A1653)))</f>
        <v>2025/03</v>
      </c>
      <c r="E1653" s="8" t="str">
        <f>IF(IF(D1653&lt;&gt;D1652,1,IF(OR(B1653&lt;&gt;B1652,A1653-A1652&gt;$U$1),1,""))&lt;&gt;1,"",IF(C1653="B01",1965,IF(C1653="B02",1020,IF(C1653="B05",2400,IF(C1653="B03",4260,IF(C1653="B04",2880,IF(C1653="B20",1260,0)))))))</f>
        <v/>
      </c>
      <c r="F1653" s="8" t="str">
        <f>IF(IF(D1653&lt;&gt;D1652,1,IF(OR(B1653&lt;&gt;B1652,A1653-A1652&gt;$U$1),1,""))&lt;&gt;1,"",IF(C1653="B01",1,IF(C1653="B05",1,IF(C1653="B03",1,IF(C1653="B04",1,IF(C1653="B20",1,IF(C1653="B02",1,0)))))))</f>
        <v/>
      </c>
      <c r="G1653"/>
      <c r="H1653" s="2"/>
      <c r="I1653" s="2"/>
      <c r="L1653"/>
      <c r="R1653"/>
    </row>
    <row r="1654" spans="1:18">
      <c r="A1654" s="3">
        <v>45742.542245370372</v>
      </c>
      <c r="B1654" s="2" t="s">
        <v>28</v>
      </c>
      <c r="C1654" s="2" t="s">
        <v>11</v>
      </c>
      <c r="D1654" s="6" t="str">
        <f>CONCATENATE(YEAR(A1654),"/",IF(MONTH(A1654)&lt;10,CONCATENATE("0",MONTH(A1654)),MONTH(A1654)))</f>
        <v>2025/03</v>
      </c>
      <c r="E1654" s="8" t="str">
        <f>IF(IF(D1654&lt;&gt;D1653,1,IF(OR(B1654&lt;&gt;B1653,A1654-A1653&gt;$U$1),1,""))&lt;&gt;1,"",IF(C1654="B01",1965,IF(C1654="B02",1020,IF(C1654="B05",2400,IF(C1654="B03",4260,IF(C1654="B04",2880,IF(C1654="B20",1260,0)))))))</f>
        <v/>
      </c>
      <c r="F1654" s="8" t="str">
        <f>IF(IF(D1654&lt;&gt;D1653,1,IF(OR(B1654&lt;&gt;B1653,A1654-A1653&gt;$U$1),1,""))&lt;&gt;1,"",IF(C1654="B01",1,IF(C1654="B05",1,IF(C1654="B03",1,IF(C1654="B04",1,IF(C1654="B20",1,IF(C1654="B02",1,0)))))))</f>
        <v/>
      </c>
      <c r="G1654"/>
      <c r="H1654" s="2"/>
      <c r="I1654" s="2"/>
      <c r="L1654"/>
      <c r="R1654"/>
    </row>
    <row r="1655" spans="1:18">
      <c r="A1655" s="3">
        <v>45742.671249999999</v>
      </c>
      <c r="B1655" s="2" t="s">
        <v>28</v>
      </c>
      <c r="C1655" s="2" t="s">
        <v>11</v>
      </c>
      <c r="D1655" s="6" t="str">
        <f>CONCATENATE(YEAR(A1655),"/",IF(MONTH(A1655)&lt;10,CONCATENATE("0",MONTH(A1655)),MONTH(A1655)))</f>
        <v>2025/03</v>
      </c>
      <c r="E1655" s="8">
        <f>IF(IF(D1655&lt;&gt;D1654,1,IF(OR(B1655&lt;&gt;B1654,A1655-A1654&gt;$U$1),1,""))&lt;&gt;1,"",IF(C1655="B01",1965,IF(C1655="B02",1020,IF(C1655="B05",2400,IF(C1655="B03",4260,IF(C1655="B04",2880,IF(C1655="B20",1260,0)))))))</f>
        <v>2400</v>
      </c>
      <c r="F1655" s="8">
        <f>IF(IF(D1655&lt;&gt;D1654,1,IF(OR(B1655&lt;&gt;B1654,A1655-A1654&gt;$U$1),1,""))&lt;&gt;1,"",IF(C1655="B01",1,IF(C1655="B05",1,IF(C1655="B03",1,IF(C1655="B04",1,IF(C1655="B20",1,IF(C1655="B02",1,0)))))))</f>
        <v>1</v>
      </c>
      <c r="G1655"/>
      <c r="H1655" s="2"/>
      <c r="I1655" s="2"/>
      <c r="L1655"/>
      <c r="R1655"/>
    </row>
    <row r="1656" spans="1:18">
      <c r="A1656" s="3">
        <v>45742.671249999999</v>
      </c>
      <c r="B1656" s="2" t="s">
        <v>28</v>
      </c>
      <c r="C1656" s="2" t="s">
        <v>11</v>
      </c>
      <c r="D1656" s="6" t="str">
        <f>CONCATENATE(YEAR(A1656),"/",IF(MONTH(A1656)&lt;10,CONCATENATE("0",MONTH(A1656)),MONTH(A1656)))</f>
        <v>2025/03</v>
      </c>
      <c r="E1656" s="8" t="str">
        <f>IF(IF(D1656&lt;&gt;D1655,1,IF(OR(B1656&lt;&gt;B1655,A1656-A1655&gt;$U$1),1,""))&lt;&gt;1,"",IF(C1656="B01",1965,IF(C1656="B02",1020,IF(C1656="B05",2400,IF(C1656="B03",4260,IF(C1656="B04",2880,IF(C1656="B20",1260,0)))))))</f>
        <v/>
      </c>
      <c r="F1656" s="8" t="str">
        <f>IF(IF(D1656&lt;&gt;D1655,1,IF(OR(B1656&lt;&gt;B1655,A1656-A1655&gt;$U$1),1,""))&lt;&gt;1,"",IF(C1656="B01",1,IF(C1656="B05",1,IF(C1656="B03",1,IF(C1656="B04",1,IF(C1656="B20",1,IF(C1656="B02",1,0)))))))</f>
        <v/>
      </c>
      <c r="G1656"/>
      <c r="H1656" s="2"/>
      <c r="I1656" s="2"/>
      <c r="L1656"/>
      <c r="R1656"/>
    </row>
    <row r="1657" spans="1:18">
      <c r="A1657" s="3">
        <v>45742.671249999999</v>
      </c>
      <c r="B1657" s="2" t="s">
        <v>28</v>
      </c>
      <c r="C1657" s="2" t="s">
        <v>11</v>
      </c>
      <c r="D1657" s="6" t="str">
        <f>CONCATENATE(YEAR(A1657),"/",IF(MONTH(A1657)&lt;10,CONCATENATE("0",MONTH(A1657)),MONTH(A1657)))</f>
        <v>2025/03</v>
      </c>
      <c r="E1657" s="8" t="str">
        <f>IF(IF(D1657&lt;&gt;D1656,1,IF(OR(B1657&lt;&gt;B1656,A1657-A1656&gt;$U$1),1,""))&lt;&gt;1,"",IF(C1657="B01",1965,IF(C1657="B02",1020,IF(C1657="B05",2400,IF(C1657="B03",4260,IF(C1657="B04",2880,IF(C1657="B20",1260,0)))))))</f>
        <v/>
      </c>
      <c r="F1657" s="8" t="str">
        <f>IF(IF(D1657&lt;&gt;D1656,1,IF(OR(B1657&lt;&gt;B1656,A1657-A1656&gt;$U$1),1,""))&lt;&gt;1,"",IF(C1657="B01",1,IF(C1657="B05",1,IF(C1657="B03",1,IF(C1657="B04",1,IF(C1657="B20",1,IF(C1657="B02",1,0)))))))</f>
        <v/>
      </c>
      <c r="G1657"/>
      <c r="H1657" s="2"/>
      <c r="I1657" s="2"/>
      <c r="L1657"/>
      <c r="R1657"/>
    </row>
    <row r="1658" spans="1:18">
      <c r="A1658" s="3">
        <v>45742.862523148149</v>
      </c>
      <c r="B1658" s="2" t="s">
        <v>28</v>
      </c>
      <c r="C1658" s="2" t="s">
        <v>11</v>
      </c>
      <c r="D1658" s="6" t="str">
        <f>CONCATENATE(YEAR(A1658),"/",IF(MONTH(A1658)&lt;10,CONCATENATE("0",MONTH(A1658)),MONTH(A1658)))</f>
        <v>2025/03</v>
      </c>
      <c r="E1658" s="8">
        <f>IF(IF(D1658&lt;&gt;D1657,1,IF(OR(B1658&lt;&gt;B1657,A1658-A1657&gt;$U$1),1,""))&lt;&gt;1,"",IF(C1658="B01",1965,IF(C1658="B02",1020,IF(C1658="B05",2400,IF(C1658="B03",4260,IF(C1658="B04",2880,IF(C1658="B20",1260,0)))))))</f>
        <v>2400</v>
      </c>
      <c r="F1658" s="8">
        <f>IF(IF(D1658&lt;&gt;D1657,1,IF(OR(B1658&lt;&gt;B1657,A1658-A1657&gt;$U$1),1,""))&lt;&gt;1,"",IF(C1658="B01",1,IF(C1658="B05",1,IF(C1658="B03",1,IF(C1658="B04",1,IF(C1658="B20",1,IF(C1658="B02",1,0)))))))</f>
        <v>1</v>
      </c>
      <c r="G1658"/>
      <c r="H1658" s="2"/>
      <c r="I1658" s="2"/>
      <c r="L1658"/>
      <c r="R1658"/>
    </row>
    <row r="1659" spans="1:18">
      <c r="A1659" s="3">
        <v>45742.862523148149</v>
      </c>
      <c r="B1659" s="2" t="s">
        <v>28</v>
      </c>
      <c r="C1659" s="2" t="s">
        <v>11</v>
      </c>
      <c r="D1659" s="6" t="str">
        <f>CONCATENATE(YEAR(A1659),"/",IF(MONTH(A1659)&lt;10,CONCATENATE("0",MONTH(A1659)),MONTH(A1659)))</f>
        <v>2025/03</v>
      </c>
      <c r="E1659" s="8" t="str">
        <f>IF(IF(D1659&lt;&gt;D1658,1,IF(OR(B1659&lt;&gt;B1658,A1659-A1658&gt;$U$1),1,""))&lt;&gt;1,"",IF(C1659="B01",1965,IF(C1659="B02",1020,IF(C1659="B05",2400,IF(C1659="B03",4260,IF(C1659="B04",2880,IF(C1659="B20",1260,0)))))))</f>
        <v/>
      </c>
      <c r="F1659" s="8" t="str">
        <f>IF(IF(D1659&lt;&gt;D1658,1,IF(OR(B1659&lt;&gt;B1658,A1659-A1658&gt;$U$1),1,""))&lt;&gt;1,"",IF(C1659="B01",1,IF(C1659="B05",1,IF(C1659="B03",1,IF(C1659="B04",1,IF(C1659="B20",1,IF(C1659="B02",1,0)))))))</f>
        <v/>
      </c>
      <c r="G1659"/>
      <c r="H1659" s="2"/>
      <c r="I1659" s="2"/>
      <c r="L1659"/>
      <c r="R1659"/>
    </row>
    <row r="1660" spans="1:18">
      <c r="A1660" s="3">
        <v>45742.862523148149</v>
      </c>
      <c r="B1660" s="2" t="s">
        <v>28</v>
      </c>
      <c r="C1660" s="2" t="s">
        <v>11</v>
      </c>
      <c r="D1660" s="6" t="str">
        <f>CONCATENATE(YEAR(A1660),"/",IF(MONTH(A1660)&lt;10,CONCATENATE("0",MONTH(A1660)),MONTH(A1660)))</f>
        <v>2025/03</v>
      </c>
      <c r="E1660" s="8" t="str">
        <f>IF(IF(D1660&lt;&gt;D1659,1,IF(OR(B1660&lt;&gt;B1659,A1660-A1659&gt;$U$1),1,""))&lt;&gt;1,"",IF(C1660="B01",1965,IF(C1660="B02",1020,IF(C1660="B05",2400,IF(C1660="B03",4260,IF(C1660="B04",2880,IF(C1660="B20",1260,0)))))))</f>
        <v/>
      </c>
      <c r="F1660" s="8" t="str">
        <f>IF(IF(D1660&lt;&gt;D1659,1,IF(OR(B1660&lt;&gt;B1659,A1660-A1659&gt;$U$1),1,""))&lt;&gt;1,"",IF(C1660="B01",1,IF(C1660="B05",1,IF(C1660="B03",1,IF(C1660="B04",1,IF(C1660="B20",1,IF(C1660="B02",1,0)))))))</f>
        <v/>
      </c>
      <c r="G1660"/>
      <c r="H1660" s="2"/>
      <c r="I1660" s="2"/>
      <c r="L1660"/>
      <c r="R1660"/>
    </row>
    <row r="1661" spans="1:18">
      <c r="A1661" s="3">
        <v>45742.862523148149</v>
      </c>
      <c r="B1661" s="2" t="s">
        <v>28</v>
      </c>
      <c r="C1661" s="2" t="s">
        <v>11</v>
      </c>
      <c r="D1661" s="6" t="str">
        <f>CONCATENATE(YEAR(A1661),"/",IF(MONTH(A1661)&lt;10,CONCATENATE("0",MONTH(A1661)),MONTH(A1661)))</f>
        <v>2025/03</v>
      </c>
      <c r="E1661" s="8" t="str">
        <f>IF(IF(D1661&lt;&gt;D1660,1,IF(OR(B1661&lt;&gt;B1660,A1661-A1660&gt;$U$1),1,""))&lt;&gt;1,"",IF(C1661="B01",1965,IF(C1661="B02",1020,IF(C1661="B05",2400,IF(C1661="B03",4260,IF(C1661="B04",2880,IF(C1661="B20",1260,0)))))))</f>
        <v/>
      </c>
      <c r="F1661" s="8" t="str">
        <f>IF(IF(D1661&lt;&gt;D1660,1,IF(OR(B1661&lt;&gt;B1660,A1661-A1660&gt;$U$1),1,""))&lt;&gt;1,"",IF(C1661="B01",1,IF(C1661="B05",1,IF(C1661="B03",1,IF(C1661="B04",1,IF(C1661="B20",1,IF(C1661="B02",1,0)))))))</f>
        <v/>
      </c>
      <c r="G1661"/>
      <c r="H1661" s="2"/>
      <c r="I1661" s="2"/>
      <c r="L1661"/>
      <c r="R1661"/>
    </row>
    <row r="1662" spans="1:18">
      <c r="A1662" s="3">
        <v>45743.114247685182</v>
      </c>
      <c r="B1662" s="2" t="s">
        <v>28</v>
      </c>
      <c r="C1662" s="2" t="s">
        <v>11</v>
      </c>
      <c r="D1662" s="6" t="str">
        <f>CONCATENATE(YEAR(A1662),"/",IF(MONTH(A1662)&lt;10,CONCATENATE("0",MONTH(A1662)),MONTH(A1662)))</f>
        <v>2025/03</v>
      </c>
      <c r="E1662" s="8">
        <f>IF(IF(D1662&lt;&gt;D1661,1,IF(OR(B1662&lt;&gt;B1661,A1662-A1661&gt;$U$1),1,""))&lt;&gt;1,"",IF(C1662="B01",1965,IF(C1662="B02",1020,IF(C1662="B05",2400,IF(C1662="B03",4260,IF(C1662="B04",2880,IF(C1662="B20",1260,0)))))))</f>
        <v>2400</v>
      </c>
      <c r="F1662" s="8">
        <f>IF(IF(D1662&lt;&gt;D1661,1,IF(OR(B1662&lt;&gt;B1661,A1662-A1661&gt;$U$1),1,""))&lt;&gt;1,"",IF(C1662="B01",1,IF(C1662="B05",1,IF(C1662="B03",1,IF(C1662="B04",1,IF(C1662="B20",1,IF(C1662="B02",1,0)))))))</f>
        <v>1</v>
      </c>
      <c r="G1662"/>
      <c r="H1662" s="2"/>
      <c r="I1662" s="2"/>
      <c r="L1662"/>
      <c r="R1662"/>
    </row>
    <row r="1663" spans="1:18">
      <c r="A1663" s="3">
        <v>45743.114247685182</v>
      </c>
      <c r="B1663" s="2" t="s">
        <v>28</v>
      </c>
      <c r="C1663" s="2" t="s">
        <v>11</v>
      </c>
      <c r="D1663" s="6" t="str">
        <f>CONCATENATE(YEAR(A1663),"/",IF(MONTH(A1663)&lt;10,CONCATENATE("0",MONTH(A1663)),MONTH(A1663)))</f>
        <v>2025/03</v>
      </c>
      <c r="E1663" s="8" t="str">
        <f>IF(IF(D1663&lt;&gt;D1662,1,IF(OR(B1663&lt;&gt;B1662,A1663-A1662&gt;$U$1),1,""))&lt;&gt;1,"",IF(C1663="B01",1965,IF(C1663="B02",1020,IF(C1663="B05",2400,IF(C1663="B03",4260,IF(C1663="B04",2880,IF(C1663="B20",1260,0)))))))</f>
        <v/>
      </c>
      <c r="F1663" s="8" t="str">
        <f>IF(IF(D1663&lt;&gt;D1662,1,IF(OR(B1663&lt;&gt;B1662,A1663-A1662&gt;$U$1),1,""))&lt;&gt;1,"",IF(C1663="B01",1,IF(C1663="B05",1,IF(C1663="B03",1,IF(C1663="B04",1,IF(C1663="B20",1,IF(C1663="B02",1,0)))))))</f>
        <v/>
      </c>
      <c r="G1663"/>
      <c r="H1663" s="2"/>
      <c r="I1663" s="2"/>
      <c r="L1663"/>
      <c r="R1663"/>
    </row>
    <row r="1664" spans="1:18">
      <c r="A1664" s="3">
        <v>45743.114247685182</v>
      </c>
      <c r="B1664" s="2" t="s">
        <v>28</v>
      </c>
      <c r="C1664" s="2" t="s">
        <v>11</v>
      </c>
      <c r="D1664" s="6" t="str">
        <f>CONCATENATE(YEAR(A1664),"/",IF(MONTH(A1664)&lt;10,CONCATENATE("0",MONTH(A1664)),MONTH(A1664)))</f>
        <v>2025/03</v>
      </c>
      <c r="E1664" s="8" t="str">
        <f>IF(IF(D1664&lt;&gt;D1663,1,IF(OR(B1664&lt;&gt;B1663,A1664-A1663&gt;$U$1),1,""))&lt;&gt;1,"",IF(C1664="B01",1965,IF(C1664="B02",1020,IF(C1664="B05",2400,IF(C1664="B03",4260,IF(C1664="B04",2880,IF(C1664="B20",1260,0)))))))</f>
        <v/>
      </c>
      <c r="F1664" s="8" t="str">
        <f>IF(IF(D1664&lt;&gt;D1663,1,IF(OR(B1664&lt;&gt;B1663,A1664-A1663&gt;$U$1),1,""))&lt;&gt;1,"",IF(C1664="B01",1,IF(C1664="B05",1,IF(C1664="B03",1,IF(C1664="B04",1,IF(C1664="B20",1,IF(C1664="B02",1,0)))))))</f>
        <v/>
      </c>
      <c r="G1664"/>
      <c r="H1664" s="2"/>
      <c r="I1664" s="2"/>
      <c r="L1664"/>
      <c r="R1664"/>
    </row>
    <row r="1665" spans="1:18">
      <c r="A1665" s="3">
        <v>45743.337071759262</v>
      </c>
      <c r="B1665" s="2" t="s">
        <v>28</v>
      </c>
      <c r="C1665" s="2" t="s">
        <v>11</v>
      </c>
      <c r="D1665" s="6" t="str">
        <f>CONCATENATE(YEAR(A1665),"/",IF(MONTH(A1665)&lt;10,CONCATENATE("0",MONTH(A1665)),MONTH(A1665)))</f>
        <v>2025/03</v>
      </c>
      <c r="E1665" s="8">
        <f>IF(IF(D1665&lt;&gt;D1664,1,IF(OR(B1665&lt;&gt;B1664,A1665-A1664&gt;$U$1),1,""))&lt;&gt;1,"",IF(C1665="B01",1965,IF(C1665="B02",1020,IF(C1665="B05",2400,IF(C1665="B03",4260,IF(C1665="B04",2880,IF(C1665="B20",1260,0)))))))</f>
        <v>2400</v>
      </c>
      <c r="F1665" s="8">
        <f>IF(IF(D1665&lt;&gt;D1664,1,IF(OR(B1665&lt;&gt;B1664,A1665-A1664&gt;$U$1),1,""))&lt;&gt;1,"",IF(C1665="B01",1,IF(C1665="B05",1,IF(C1665="B03",1,IF(C1665="B04",1,IF(C1665="B20",1,IF(C1665="B02",1,0)))))))</f>
        <v>1</v>
      </c>
      <c r="G1665"/>
      <c r="H1665" s="2"/>
      <c r="I1665" s="2"/>
      <c r="L1665"/>
      <c r="R1665"/>
    </row>
    <row r="1666" spans="1:18">
      <c r="A1666" s="3">
        <v>45743.337071759262</v>
      </c>
      <c r="B1666" s="2" t="s">
        <v>28</v>
      </c>
      <c r="C1666" s="2" t="s">
        <v>11</v>
      </c>
      <c r="D1666" s="6" t="str">
        <f>CONCATENATE(YEAR(A1666),"/",IF(MONTH(A1666)&lt;10,CONCATENATE("0",MONTH(A1666)),MONTH(A1666)))</f>
        <v>2025/03</v>
      </c>
      <c r="E1666" s="8" t="str">
        <f>IF(IF(D1666&lt;&gt;D1665,1,IF(OR(B1666&lt;&gt;B1665,A1666-A1665&gt;$U$1),1,""))&lt;&gt;1,"",IF(C1666="B01",1965,IF(C1666="B02",1020,IF(C1666="B05",2400,IF(C1666="B03",4260,IF(C1666="B04",2880,IF(C1666="B20",1260,0)))))))</f>
        <v/>
      </c>
      <c r="F1666" s="8" t="str">
        <f>IF(IF(D1666&lt;&gt;D1665,1,IF(OR(B1666&lt;&gt;B1665,A1666-A1665&gt;$U$1),1,""))&lt;&gt;1,"",IF(C1666="B01",1,IF(C1666="B05",1,IF(C1666="B03",1,IF(C1666="B04",1,IF(C1666="B20",1,IF(C1666="B02",1,0)))))))</f>
        <v/>
      </c>
      <c r="G1666"/>
      <c r="H1666" s="2"/>
      <c r="I1666" s="2"/>
      <c r="L1666"/>
      <c r="R1666"/>
    </row>
    <row r="1667" spans="1:18">
      <c r="A1667" s="3">
        <v>45743.337071759262</v>
      </c>
      <c r="B1667" s="2" t="s">
        <v>28</v>
      </c>
      <c r="C1667" s="2" t="s">
        <v>11</v>
      </c>
      <c r="D1667" s="6" t="str">
        <f>CONCATENATE(YEAR(A1667),"/",IF(MONTH(A1667)&lt;10,CONCATENATE("0",MONTH(A1667)),MONTH(A1667)))</f>
        <v>2025/03</v>
      </c>
      <c r="E1667" s="8" t="str">
        <f>IF(IF(D1667&lt;&gt;D1666,1,IF(OR(B1667&lt;&gt;B1666,A1667-A1666&gt;$U$1),1,""))&lt;&gt;1,"",IF(C1667="B01",1965,IF(C1667="B02",1020,IF(C1667="B05",2400,IF(C1667="B03",4260,IF(C1667="B04",2880,IF(C1667="B20",1260,0)))))))</f>
        <v/>
      </c>
      <c r="F1667" s="8" t="str">
        <f>IF(IF(D1667&lt;&gt;D1666,1,IF(OR(B1667&lt;&gt;B1666,A1667-A1666&gt;$U$1),1,""))&lt;&gt;1,"",IF(C1667="B01",1,IF(C1667="B05",1,IF(C1667="B03",1,IF(C1667="B04",1,IF(C1667="B20",1,IF(C1667="B02",1,0)))))))</f>
        <v/>
      </c>
      <c r="G1667"/>
      <c r="H1667" s="2"/>
      <c r="I1667" s="2"/>
      <c r="L1667"/>
      <c r="R1667"/>
    </row>
    <row r="1668" spans="1:18">
      <c r="A1668" s="3">
        <v>45743.670763888891</v>
      </c>
      <c r="B1668" s="2" t="s">
        <v>28</v>
      </c>
      <c r="C1668" s="2" t="s">
        <v>11</v>
      </c>
      <c r="D1668" s="6" t="str">
        <f>CONCATENATE(YEAR(A1668),"/",IF(MONTH(A1668)&lt;10,CONCATENATE("0",MONTH(A1668)),MONTH(A1668)))</f>
        <v>2025/03</v>
      </c>
      <c r="E1668" s="8">
        <f>IF(IF(D1668&lt;&gt;D1667,1,IF(OR(B1668&lt;&gt;B1667,A1668-A1667&gt;$U$1),1,""))&lt;&gt;1,"",IF(C1668="B01",1965,IF(C1668="B02",1020,IF(C1668="B05",2400,IF(C1668="B03",4260,IF(C1668="B04",2880,IF(C1668="B20",1260,0)))))))</f>
        <v>2400</v>
      </c>
      <c r="F1668" s="8">
        <f>IF(IF(D1668&lt;&gt;D1667,1,IF(OR(B1668&lt;&gt;B1667,A1668-A1667&gt;$U$1),1,""))&lt;&gt;1,"",IF(C1668="B01",1,IF(C1668="B05",1,IF(C1668="B03",1,IF(C1668="B04",1,IF(C1668="B20",1,IF(C1668="B02",1,0)))))))</f>
        <v>1</v>
      </c>
      <c r="G1668"/>
      <c r="H1668" s="2"/>
      <c r="I1668" s="2"/>
      <c r="L1668"/>
      <c r="R1668"/>
    </row>
    <row r="1669" spans="1:18">
      <c r="A1669" s="3">
        <v>45743.670763888891</v>
      </c>
      <c r="B1669" s="2" t="s">
        <v>28</v>
      </c>
      <c r="C1669" s="2" t="s">
        <v>11</v>
      </c>
      <c r="D1669" s="6" t="str">
        <f>CONCATENATE(YEAR(A1669),"/",IF(MONTH(A1669)&lt;10,CONCATENATE("0",MONTH(A1669)),MONTH(A1669)))</f>
        <v>2025/03</v>
      </c>
      <c r="E1669" s="8" t="str">
        <f>IF(IF(D1669&lt;&gt;D1668,1,IF(OR(B1669&lt;&gt;B1668,A1669-A1668&gt;$U$1),1,""))&lt;&gt;1,"",IF(C1669="B01",1965,IF(C1669="B02",1020,IF(C1669="B05",2400,IF(C1669="B03",4260,IF(C1669="B04",2880,IF(C1669="B20",1260,0)))))))</f>
        <v/>
      </c>
      <c r="F1669" s="8" t="str">
        <f>IF(IF(D1669&lt;&gt;D1668,1,IF(OR(B1669&lt;&gt;B1668,A1669-A1668&gt;$U$1),1,""))&lt;&gt;1,"",IF(C1669="B01",1,IF(C1669="B05",1,IF(C1669="B03",1,IF(C1669="B04",1,IF(C1669="B20",1,IF(C1669="B02",1,0)))))))</f>
        <v/>
      </c>
      <c r="G1669"/>
      <c r="H1669" s="2"/>
      <c r="I1669" s="2"/>
      <c r="L1669"/>
      <c r="R1669"/>
    </row>
    <row r="1670" spans="1:18">
      <c r="A1670" s="3">
        <v>45743.670763888891</v>
      </c>
      <c r="B1670" s="2" t="s">
        <v>28</v>
      </c>
      <c r="C1670" s="2" t="s">
        <v>11</v>
      </c>
      <c r="D1670" s="6" t="str">
        <f>CONCATENATE(YEAR(A1670),"/",IF(MONTH(A1670)&lt;10,CONCATENATE("0",MONTH(A1670)),MONTH(A1670)))</f>
        <v>2025/03</v>
      </c>
      <c r="E1670" s="8" t="str">
        <f>IF(IF(D1670&lt;&gt;D1669,1,IF(OR(B1670&lt;&gt;B1669,A1670-A1669&gt;$U$1),1,""))&lt;&gt;1,"",IF(C1670="B01",1965,IF(C1670="B02",1020,IF(C1670="B05",2400,IF(C1670="B03",4260,IF(C1670="B04",2880,IF(C1670="B20",1260,0)))))))</f>
        <v/>
      </c>
      <c r="F1670" s="8" t="str">
        <f>IF(IF(D1670&lt;&gt;D1669,1,IF(OR(B1670&lt;&gt;B1669,A1670-A1669&gt;$U$1),1,""))&lt;&gt;1,"",IF(C1670="B01",1,IF(C1670="B05",1,IF(C1670="B03",1,IF(C1670="B04",1,IF(C1670="B20",1,IF(C1670="B02",1,0)))))))</f>
        <v/>
      </c>
      <c r="G1670"/>
      <c r="H1670" s="2"/>
      <c r="I1670" s="2"/>
      <c r="L1670"/>
      <c r="R1670"/>
    </row>
    <row r="1671" spans="1:18">
      <c r="A1671" s="3">
        <v>45743.670763888891</v>
      </c>
      <c r="B1671" s="2" t="s">
        <v>28</v>
      </c>
      <c r="C1671" s="2" t="s">
        <v>11</v>
      </c>
      <c r="D1671" s="6" t="str">
        <f>CONCATENATE(YEAR(A1671),"/",IF(MONTH(A1671)&lt;10,CONCATENATE("0",MONTH(A1671)),MONTH(A1671)))</f>
        <v>2025/03</v>
      </c>
      <c r="E1671" s="8" t="str">
        <f>IF(IF(D1671&lt;&gt;D1670,1,IF(OR(B1671&lt;&gt;B1670,A1671-A1670&gt;$U$1),1,""))&lt;&gt;1,"",IF(C1671="B01",1965,IF(C1671="B02",1020,IF(C1671="B05",2400,IF(C1671="B03",4260,IF(C1671="B04",2880,IF(C1671="B20",1260,0)))))))</f>
        <v/>
      </c>
      <c r="F1671" s="8" t="str">
        <f>IF(IF(D1671&lt;&gt;D1670,1,IF(OR(B1671&lt;&gt;B1670,A1671-A1670&gt;$U$1),1,""))&lt;&gt;1,"",IF(C1671="B01",1,IF(C1671="B05",1,IF(C1671="B03",1,IF(C1671="B04",1,IF(C1671="B20",1,IF(C1671="B02",1,0)))))))</f>
        <v/>
      </c>
      <c r="G1671"/>
      <c r="H1671" s="2"/>
      <c r="I1671" s="2"/>
      <c r="L1671"/>
      <c r="R1671"/>
    </row>
    <row r="1672" spans="1:18">
      <c r="A1672" s="3">
        <v>45743.843148148146</v>
      </c>
      <c r="B1672" s="2" t="s">
        <v>28</v>
      </c>
      <c r="C1672" s="2" t="s">
        <v>11</v>
      </c>
      <c r="D1672" s="6" t="str">
        <f>CONCATENATE(YEAR(A1672),"/",IF(MONTH(A1672)&lt;10,CONCATENATE("0",MONTH(A1672)),MONTH(A1672)))</f>
        <v>2025/03</v>
      </c>
      <c r="E1672" s="8">
        <f>IF(IF(D1672&lt;&gt;D1671,1,IF(OR(B1672&lt;&gt;B1671,A1672-A1671&gt;$U$1),1,""))&lt;&gt;1,"",IF(C1672="B01",1965,IF(C1672="B02",1020,IF(C1672="B05",2400,IF(C1672="B03",4260,IF(C1672="B04",2880,IF(C1672="B20",1260,0)))))))</f>
        <v>2400</v>
      </c>
      <c r="F1672" s="8">
        <f>IF(IF(D1672&lt;&gt;D1671,1,IF(OR(B1672&lt;&gt;B1671,A1672-A1671&gt;$U$1),1,""))&lt;&gt;1,"",IF(C1672="B01",1,IF(C1672="B05",1,IF(C1672="B03",1,IF(C1672="B04",1,IF(C1672="B20",1,IF(C1672="B02",1,0)))))))</f>
        <v>1</v>
      </c>
      <c r="G1672"/>
      <c r="H1672" s="2"/>
      <c r="I1672" s="2"/>
      <c r="L1672"/>
      <c r="R1672"/>
    </row>
    <row r="1673" spans="1:18">
      <c r="A1673" s="3">
        <v>45743.843148148146</v>
      </c>
      <c r="B1673" s="2" t="s">
        <v>28</v>
      </c>
      <c r="C1673" s="2" t="s">
        <v>11</v>
      </c>
      <c r="D1673" s="6" t="str">
        <f>CONCATENATE(YEAR(A1673),"/",IF(MONTH(A1673)&lt;10,CONCATENATE("0",MONTH(A1673)),MONTH(A1673)))</f>
        <v>2025/03</v>
      </c>
      <c r="E1673" s="8" t="str">
        <f>IF(IF(D1673&lt;&gt;D1672,1,IF(OR(B1673&lt;&gt;B1672,A1673-A1672&gt;$U$1),1,""))&lt;&gt;1,"",IF(C1673="B01",1965,IF(C1673="B02",1020,IF(C1673="B05",2400,IF(C1673="B03",4260,IF(C1673="B04",2880,IF(C1673="B20",1260,0)))))))</f>
        <v/>
      </c>
      <c r="F1673" s="8" t="str">
        <f>IF(IF(D1673&lt;&gt;D1672,1,IF(OR(B1673&lt;&gt;B1672,A1673-A1672&gt;$U$1),1,""))&lt;&gt;1,"",IF(C1673="B01",1,IF(C1673="B05",1,IF(C1673="B03",1,IF(C1673="B04",1,IF(C1673="B20",1,IF(C1673="B02",1,0)))))))</f>
        <v/>
      </c>
      <c r="G1673"/>
      <c r="H1673" s="2"/>
      <c r="I1673" s="2"/>
      <c r="L1673"/>
      <c r="R1673"/>
    </row>
    <row r="1674" spans="1:18">
      <c r="A1674" s="3">
        <v>45744.046805555554</v>
      </c>
      <c r="B1674" s="2" t="s">
        <v>28</v>
      </c>
      <c r="C1674" s="2" t="s">
        <v>11</v>
      </c>
      <c r="D1674" s="6" t="str">
        <f>CONCATENATE(YEAR(A1674),"/",IF(MONTH(A1674)&lt;10,CONCATENATE("0",MONTH(A1674)),MONTH(A1674)))</f>
        <v>2025/03</v>
      </c>
      <c r="E1674" s="8">
        <f>IF(IF(D1674&lt;&gt;D1673,1,IF(OR(B1674&lt;&gt;B1673,A1674-A1673&gt;$U$1),1,""))&lt;&gt;1,"",IF(C1674="B01",1965,IF(C1674="B02",1020,IF(C1674="B05",2400,IF(C1674="B03",4260,IF(C1674="B04",2880,IF(C1674="B20",1260,0)))))))</f>
        <v>2400</v>
      </c>
      <c r="F1674" s="8">
        <f>IF(IF(D1674&lt;&gt;D1673,1,IF(OR(B1674&lt;&gt;B1673,A1674-A1673&gt;$U$1),1,""))&lt;&gt;1,"",IF(C1674="B01",1,IF(C1674="B05",1,IF(C1674="B03",1,IF(C1674="B04",1,IF(C1674="B20",1,IF(C1674="B02",1,0)))))))</f>
        <v>1</v>
      </c>
      <c r="G1674"/>
      <c r="H1674" s="2"/>
      <c r="I1674" s="2"/>
      <c r="L1674"/>
      <c r="R1674"/>
    </row>
    <row r="1675" spans="1:18">
      <c r="A1675" s="3">
        <v>45744.046805555554</v>
      </c>
      <c r="B1675" s="2" t="s">
        <v>28</v>
      </c>
      <c r="C1675" s="2" t="s">
        <v>11</v>
      </c>
      <c r="D1675" s="6" t="str">
        <f>CONCATENATE(YEAR(A1675),"/",IF(MONTH(A1675)&lt;10,CONCATENATE("0",MONTH(A1675)),MONTH(A1675)))</f>
        <v>2025/03</v>
      </c>
      <c r="E1675" s="8" t="str">
        <f>IF(IF(D1675&lt;&gt;D1674,1,IF(OR(B1675&lt;&gt;B1674,A1675-A1674&gt;$U$1),1,""))&lt;&gt;1,"",IF(C1675="B01",1965,IF(C1675="B02",1020,IF(C1675="B05",2400,IF(C1675="B03",4260,IF(C1675="B04",2880,IF(C1675="B20",1260,0)))))))</f>
        <v/>
      </c>
      <c r="F1675" s="8" t="str">
        <f>IF(IF(D1675&lt;&gt;D1674,1,IF(OR(B1675&lt;&gt;B1674,A1675-A1674&gt;$U$1),1,""))&lt;&gt;1,"",IF(C1675="B01",1,IF(C1675="B05",1,IF(C1675="B03",1,IF(C1675="B04",1,IF(C1675="B20",1,IF(C1675="B02",1,0)))))))</f>
        <v/>
      </c>
      <c r="G1675"/>
      <c r="H1675" s="2"/>
      <c r="I1675" s="2"/>
      <c r="L1675"/>
      <c r="R1675"/>
    </row>
    <row r="1676" spans="1:18">
      <c r="A1676" s="3">
        <v>45744.255358796298</v>
      </c>
      <c r="B1676" s="2" t="s">
        <v>28</v>
      </c>
      <c r="C1676" s="2" t="s">
        <v>11</v>
      </c>
      <c r="D1676" s="6" t="str">
        <f>CONCATENATE(YEAR(A1676),"/",IF(MONTH(A1676)&lt;10,CONCATENATE("0",MONTH(A1676)),MONTH(A1676)))</f>
        <v>2025/03</v>
      </c>
      <c r="E1676" s="8">
        <f>IF(IF(D1676&lt;&gt;D1675,1,IF(OR(B1676&lt;&gt;B1675,A1676-A1675&gt;$U$1),1,""))&lt;&gt;1,"",IF(C1676="B01",1965,IF(C1676="B02",1020,IF(C1676="B05",2400,IF(C1676="B03",4260,IF(C1676="B04",2880,IF(C1676="B20",1260,0)))))))</f>
        <v>2400</v>
      </c>
      <c r="F1676" s="8">
        <f>IF(IF(D1676&lt;&gt;D1675,1,IF(OR(B1676&lt;&gt;B1675,A1676-A1675&gt;$U$1),1,""))&lt;&gt;1,"",IF(C1676="B01",1,IF(C1676="B05",1,IF(C1676="B03",1,IF(C1676="B04",1,IF(C1676="B20",1,IF(C1676="B02",1,0)))))))</f>
        <v>1</v>
      </c>
      <c r="G1676"/>
      <c r="H1676" s="2"/>
      <c r="I1676" s="2"/>
      <c r="L1676"/>
      <c r="R1676"/>
    </row>
    <row r="1677" spans="1:18">
      <c r="A1677" s="3">
        <v>45744.255358796298</v>
      </c>
      <c r="B1677" s="2" t="s">
        <v>28</v>
      </c>
      <c r="C1677" s="2" t="s">
        <v>11</v>
      </c>
      <c r="D1677" s="6" t="str">
        <f>CONCATENATE(YEAR(A1677),"/",IF(MONTH(A1677)&lt;10,CONCATENATE("0",MONTH(A1677)),MONTH(A1677)))</f>
        <v>2025/03</v>
      </c>
      <c r="E1677" s="8" t="str">
        <f>IF(IF(D1677&lt;&gt;D1676,1,IF(OR(B1677&lt;&gt;B1676,A1677-A1676&gt;$U$1),1,""))&lt;&gt;1,"",IF(C1677="B01",1965,IF(C1677="B02",1020,IF(C1677="B05",2400,IF(C1677="B03",4260,IF(C1677="B04",2880,IF(C1677="B20",1260,0)))))))</f>
        <v/>
      </c>
      <c r="F1677" s="8" t="str">
        <f>IF(IF(D1677&lt;&gt;D1676,1,IF(OR(B1677&lt;&gt;B1676,A1677-A1676&gt;$U$1),1,""))&lt;&gt;1,"",IF(C1677="B01",1,IF(C1677="B05",1,IF(C1677="B03",1,IF(C1677="B04",1,IF(C1677="B20",1,IF(C1677="B02",1,0)))))))</f>
        <v/>
      </c>
      <c r="G1677"/>
      <c r="H1677" s="2"/>
      <c r="I1677" s="2"/>
      <c r="L1677"/>
      <c r="R1677"/>
    </row>
    <row r="1678" spans="1:18">
      <c r="A1678" s="3">
        <v>45744.255358796298</v>
      </c>
      <c r="B1678" s="2" t="s">
        <v>28</v>
      </c>
      <c r="C1678" s="2" t="s">
        <v>11</v>
      </c>
      <c r="D1678" s="6" t="str">
        <f>CONCATENATE(YEAR(A1678),"/",IF(MONTH(A1678)&lt;10,CONCATENATE("0",MONTH(A1678)),MONTH(A1678)))</f>
        <v>2025/03</v>
      </c>
      <c r="E1678" s="8" t="str">
        <f>IF(IF(D1678&lt;&gt;D1677,1,IF(OR(B1678&lt;&gt;B1677,A1678-A1677&gt;$U$1),1,""))&lt;&gt;1,"",IF(C1678="B01",1965,IF(C1678="B02",1020,IF(C1678="B05",2400,IF(C1678="B03",4260,IF(C1678="B04",2880,IF(C1678="B20",1260,0)))))))</f>
        <v/>
      </c>
      <c r="F1678" s="8" t="str">
        <f>IF(IF(D1678&lt;&gt;D1677,1,IF(OR(B1678&lt;&gt;B1677,A1678-A1677&gt;$U$1),1,""))&lt;&gt;1,"",IF(C1678="B01",1,IF(C1678="B05",1,IF(C1678="B03",1,IF(C1678="B04",1,IF(C1678="B20",1,IF(C1678="B02",1,0)))))))</f>
        <v/>
      </c>
      <c r="G1678"/>
      <c r="H1678" s="2"/>
      <c r="I1678" s="2"/>
      <c r="L1678"/>
      <c r="R1678"/>
    </row>
    <row r="1679" spans="1:18">
      <c r="A1679" s="3">
        <v>45744.867326388892</v>
      </c>
      <c r="B1679" s="2" t="s">
        <v>28</v>
      </c>
      <c r="C1679" s="2" t="s">
        <v>11</v>
      </c>
      <c r="D1679" s="6" t="str">
        <f>CONCATENATE(YEAR(A1679),"/",IF(MONTH(A1679)&lt;10,CONCATENATE("0",MONTH(A1679)),MONTH(A1679)))</f>
        <v>2025/03</v>
      </c>
      <c r="E1679" s="8">
        <f>IF(IF(D1679&lt;&gt;D1678,1,IF(OR(B1679&lt;&gt;B1678,A1679-A1678&gt;$U$1),1,""))&lt;&gt;1,"",IF(C1679="B01",1965,IF(C1679="B02",1020,IF(C1679="B05",2400,IF(C1679="B03",4260,IF(C1679="B04",2880,IF(C1679="B20",1260,0)))))))</f>
        <v>2400</v>
      </c>
      <c r="F1679" s="8">
        <f>IF(IF(D1679&lt;&gt;D1678,1,IF(OR(B1679&lt;&gt;B1678,A1679-A1678&gt;$U$1),1,""))&lt;&gt;1,"",IF(C1679="B01",1,IF(C1679="B05",1,IF(C1679="B03",1,IF(C1679="B04",1,IF(C1679="B20",1,IF(C1679="B02",1,0)))))))</f>
        <v>1</v>
      </c>
      <c r="G1679"/>
      <c r="H1679" s="2"/>
      <c r="I1679" s="2"/>
      <c r="L1679"/>
      <c r="R1679"/>
    </row>
    <row r="1680" spans="1:18">
      <c r="A1680" s="3">
        <v>45744.867326388892</v>
      </c>
      <c r="B1680" s="2" t="s">
        <v>28</v>
      </c>
      <c r="C1680" s="2" t="s">
        <v>11</v>
      </c>
      <c r="D1680" s="6" t="str">
        <f>CONCATENATE(YEAR(A1680),"/",IF(MONTH(A1680)&lt;10,CONCATENATE("0",MONTH(A1680)),MONTH(A1680)))</f>
        <v>2025/03</v>
      </c>
      <c r="E1680" s="8" t="str">
        <f>IF(IF(D1680&lt;&gt;D1679,1,IF(OR(B1680&lt;&gt;B1679,A1680-A1679&gt;$U$1),1,""))&lt;&gt;1,"",IF(C1680="B01",1965,IF(C1680="B02",1020,IF(C1680="B05",2400,IF(C1680="B03",4260,IF(C1680="B04",2880,IF(C1680="B20",1260,0)))))))</f>
        <v/>
      </c>
      <c r="F1680" s="8" t="str">
        <f>IF(IF(D1680&lt;&gt;D1679,1,IF(OR(B1680&lt;&gt;B1679,A1680-A1679&gt;$U$1),1,""))&lt;&gt;1,"",IF(C1680="B01",1,IF(C1680="B05",1,IF(C1680="B03",1,IF(C1680="B04",1,IF(C1680="B20",1,IF(C1680="B02",1,0)))))))</f>
        <v/>
      </c>
      <c r="G1680"/>
      <c r="H1680" s="2"/>
      <c r="I1680" s="2"/>
      <c r="L1680"/>
      <c r="R1680"/>
    </row>
    <row r="1681" spans="1:18">
      <c r="A1681" s="3">
        <v>45744.867326388892</v>
      </c>
      <c r="B1681" s="2" t="s">
        <v>28</v>
      </c>
      <c r="C1681" s="2" t="s">
        <v>11</v>
      </c>
      <c r="D1681" s="6" t="str">
        <f>CONCATENATE(YEAR(A1681),"/",IF(MONTH(A1681)&lt;10,CONCATENATE("0",MONTH(A1681)),MONTH(A1681)))</f>
        <v>2025/03</v>
      </c>
      <c r="E1681" s="8" t="str">
        <f>IF(IF(D1681&lt;&gt;D1680,1,IF(OR(B1681&lt;&gt;B1680,A1681-A1680&gt;$U$1),1,""))&lt;&gt;1,"",IF(C1681="B01",1965,IF(C1681="B02",1020,IF(C1681="B05",2400,IF(C1681="B03",4260,IF(C1681="B04",2880,IF(C1681="B20",1260,0)))))))</f>
        <v/>
      </c>
      <c r="F1681" s="8" t="str">
        <f>IF(IF(D1681&lt;&gt;D1680,1,IF(OR(B1681&lt;&gt;B1680,A1681-A1680&gt;$U$1),1,""))&lt;&gt;1,"",IF(C1681="B01",1,IF(C1681="B05",1,IF(C1681="B03",1,IF(C1681="B04",1,IF(C1681="B20",1,IF(C1681="B02",1,0)))))))</f>
        <v/>
      </c>
      <c r="G1681"/>
      <c r="H1681" s="2"/>
      <c r="I1681" s="2"/>
      <c r="L1681"/>
      <c r="R1681"/>
    </row>
    <row r="1682" spans="1:18">
      <c r="A1682" s="3">
        <v>45745.024618055555</v>
      </c>
      <c r="B1682" s="2" t="s">
        <v>28</v>
      </c>
      <c r="C1682" s="2" t="s">
        <v>11</v>
      </c>
      <c r="D1682" s="6" t="str">
        <f>CONCATENATE(YEAR(A1682),"/",IF(MONTH(A1682)&lt;10,CONCATENATE("0",MONTH(A1682)),MONTH(A1682)))</f>
        <v>2025/03</v>
      </c>
      <c r="E1682" s="8">
        <f>IF(IF(D1682&lt;&gt;D1681,1,IF(OR(B1682&lt;&gt;B1681,A1682-A1681&gt;$U$1),1,""))&lt;&gt;1,"",IF(C1682="B01",1965,IF(C1682="B02",1020,IF(C1682="B05",2400,IF(C1682="B03",4260,IF(C1682="B04",2880,IF(C1682="B20",1260,0)))))))</f>
        <v>2400</v>
      </c>
      <c r="F1682" s="8">
        <f>IF(IF(D1682&lt;&gt;D1681,1,IF(OR(B1682&lt;&gt;B1681,A1682-A1681&gt;$U$1),1,""))&lt;&gt;1,"",IF(C1682="B01",1,IF(C1682="B05",1,IF(C1682="B03",1,IF(C1682="B04",1,IF(C1682="B20",1,IF(C1682="B02",1,0)))))))</f>
        <v>1</v>
      </c>
      <c r="G1682"/>
      <c r="H1682" s="2"/>
      <c r="I1682" s="2"/>
      <c r="L1682"/>
      <c r="R1682"/>
    </row>
    <row r="1683" spans="1:18">
      <c r="A1683" s="3">
        <v>45745.024618055555</v>
      </c>
      <c r="B1683" s="2" t="s">
        <v>28</v>
      </c>
      <c r="C1683" s="2" t="s">
        <v>11</v>
      </c>
      <c r="D1683" s="6" t="str">
        <f>CONCATENATE(YEAR(A1683),"/",IF(MONTH(A1683)&lt;10,CONCATENATE("0",MONTH(A1683)),MONTH(A1683)))</f>
        <v>2025/03</v>
      </c>
      <c r="E1683" s="8" t="str">
        <f>IF(IF(D1683&lt;&gt;D1682,1,IF(OR(B1683&lt;&gt;B1682,A1683-A1682&gt;$U$1),1,""))&lt;&gt;1,"",IF(C1683="B01",1965,IF(C1683="B02",1020,IF(C1683="B05",2400,IF(C1683="B03",4260,IF(C1683="B04",2880,IF(C1683="B20",1260,0)))))))</f>
        <v/>
      </c>
      <c r="F1683" s="8" t="str">
        <f>IF(IF(D1683&lt;&gt;D1682,1,IF(OR(B1683&lt;&gt;B1682,A1683-A1682&gt;$U$1),1,""))&lt;&gt;1,"",IF(C1683="B01",1,IF(C1683="B05",1,IF(C1683="B03",1,IF(C1683="B04",1,IF(C1683="B20",1,IF(C1683="B02",1,0)))))))</f>
        <v/>
      </c>
      <c r="G1683"/>
      <c r="H1683" s="2"/>
      <c r="I1683" s="2"/>
      <c r="L1683"/>
      <c r="R1683"/>
    </row>
    <row r="1684" spans="1:18">
      <c r="A1684" s="3">
        <v>45745.250671296293</v>
      </c>
      <c r="B1684" s="2" t="s">
        <v>28</v>
      </c>
      <c r="C1684" s="2" t="s">
        <v>11</v>
      </c>
      <c r="D1684" s="6" t="str">
        <f>CONCATENATE(YEAR(A1684),"/",IF(MONTH(A1684)&lt;10,CONCATENATE("0",MONTH(A1684)),MONTH(A1684)))</f>
        <v>2025/03</v>
      </c>
      <c r="E1684" s="8">
        <f>IF(IF(D1684&lt;&gt;D1683,1,IF(OR(B1684&lt;&gt;B1683,A1684-A1683&gt;$U$1),1,""))&lt;&gt;1,"",IF(C1684="B01",1965,IF(C1684="B02",1020,IF(C1684="B05",2400,IF(C1684="B03",4260,IF(C1684="B04",2880,IF(C1684="B20",1260,0)))))))</f>
        <v>2400</v>
      </c>
      <c r="F1684" s="8">
        <f>IF(IF(D1684&lt;&gt;D1683,1,IF(OR(B1684&lt;&gt;B1683,A1684-A1683&gt;$U$1),1,""))&lt;&gt;1,"",IF(C1684="B01",1,IF(C1684="B05",1,IF(C1684="B03",1,IF(C1684="B04",1,IF(C1684="B20",1,IF(C1684="B02",1,0)))))))</f>
        <v>1</v>
      </c>
      <c r="G1684"/>
      <c r="H1684" s="2"/>
      <c r="I1684" s="2"/>
      <c r="L1684"/>
      <c r="R1684"/>
    </row>
    <row r="1685" spans="1:18">
      <c r="A1685" s="3">
        <v>45745.250671296293</v>
      </c>
      <c r="B1685" s="2" t="s">
        <v>28</v>
      </c>
      <c r="C1685" s="2" t="s">
        <v>11</v>
      </c>
      <c r="D1685" s="6" t="str">
        <f>CONCATENATE(YEAR(A1685),"/",IF(MONTH(A1685)&lt;10,CONCATENATE("0",MONTH(A1685)),MONTH(A1685)))</f>
        <v>2025/03</v>
      </c>
      <c r="E1685" s="8" t="str">
        <f>IF(IF(D1685&lt;&gt;D1684,1,IF(OR(B1685&lt;&gt;B1684,A1685-A1684&gt;$U$1),1,""))&lt;&gt;1,"",IF(C1685="B01",1965,IF(C1685="B02",1020,IF(C1685="B05",2400,IF(C1685="B03",4260,IF(C1685="B04",2880,IF(C1685="B20",1260,0)))))))</f>
        <v/>
      </c>
      <c r="F1685" s="8" t="str">
        <f>IF(IF(D1685&lt;&gt;D1684,1,IF(OR(B1685&lt;&gt;B1684,A1685-A1684&gt;$U$1),1,""))&lt;&gt;1,"",IF(C1685="B01",1,IF(C1685="B05",1,IF(C1685="B03",1,IF(C1685="B04",1,IF(C1685="B20",1,IF(C1685="B02",1,0)))))))</f>
        <v/>
      </c>
      <c r="G1685"/>
      <c r="H1685" s="2"/>
      <c r="I1685" s="2"/>
      <c r="L1685"/>
      <c r="R1685"/>
    </row>
    <row r="1686" spans="1:18">
      <c r="A1686" s="3">
        <v>45745.250671296293</v>
      </c>
      <c r="B1686" s="2" t="s">
        <v>28</v>
      </c>
      <c r="C1686" s="2" t="s">
        <v>11</v>
      </c>
      <c r="D1686" s="6" t="str">
        <f>CONCATENATE(YEAR(A1686),"/",IF(MONTH(A1686)&lt;10,CONCATENATE("0",MONTH(A1686)),MONTH(A1686)))</f>
        <v>2025/03</v>
      </c>
      <c r="E1686" s="8" t="str">
        <f>IF(IF(D1686&lt;&gt;D1685,1,IF(OR(B1686&lt;&gt;B1685,A1686-A1685&gt;$U$1),1,""))&lt;&gt;1,"",IF(C1686="B01",1965,IF(C1686="B02",1020,IF(C1686="B05",2400,IF(C1686="B03",4260,IF(C1686="B04",2880,IF(C1686="B20",1260,0)))))))</f>
        <v/>
      </c>
      <c r="F1686" s="8" t="str">
        <f>IF(IF(D1686&lt;&gt;D1685,1,IF(OR(B1686&lt;&gt;B1685,A1686-A1685&gt;$U$1),1,""))&lt;&gt;1,"",IF(C1686="B01",1,IF(C1686="B05",1,IF(C1686="B03",1,IF(C1686="B04",1,IF(C1686="B20",1,IF(C1686="B02",1,0)))))))</f>
        <v/>
      </c>
      <c r="G1686"/>
      <c r="H1686" s="2"/>
      <c r="I1686" s="2"/>
      <c r="L1686"/>
      <c r="R1686"/>
    </row>
    <row r="1687" spans="1:18">
      <c r="A1687" s="3">
        <v>45745.519571759258</v>
      </c>
      <c r="B1687" s="2" t="s">
        <v>28</v>
      </c>
      <c r="C1687" s="2" t="s">
        <v>11</v>
      </c>
      <c r="D1687" s="6" t="str">
        <f>CONCATENATE(YEAR(A1687),"/",IF(MONTH(A1687)&lt;10,CONCATENATE("0",MONTH(A1687)),MONTH(A1687)))</f>
        <v>2025/03</v>
      </c>
      <c r="E1687" s="8">
        <f>IF(IF(D1687&lt;&gt;D1686,1,IF(OR(B1687&lt;&gt;B1686,A1687-A1686&gt;$U$1),1,""))&lt;&gt;1,"",IF(C1687="B01",1965,IF(C1687="B02",1020,IF(C1687="B05",2400,IF(C1687="B03",4260,IF(C1687="B04",2880,IF(C1687="B20",1260,0)))))))</f>
        <v>2400</v>
      </c>
      <c r="F1687" s="8">
        <f>IF(IF(D1687&lt;&gt;D1686,1,IF(OR(B1687&lt;&gt;B1686,A1687-A1686&gt;$U$1),1,""))&lt;&gt;1,"",IF(C1687="B01",1,IF(C1687="B05",1,IF(C1687="B03",1,IF(C1687="B04",1,IF(C1687="B20",1,IF(C1687="B02",1,0)))))))</f>
        <v>1</v>
      </c>
      <c r="G1687"/>
      <c r="H1687" s="2"/>
      <c r="I1687" s="2"/>
      <c r="L1687"/>
      <c r="R1687"/>
    </row>
    <row r="1688" spans="1:18">
      <c r="A1688" s="3">
        <v>45745.519571759258</v>
      </c>
      <c r="B1688" s="2" t="s">
        <v>28</v>
      </c>
      <c r="C1688" s="2" t="s">
        <v>11</v>
      </c>
      <c r="D1688" s="6" t="str">
        <f>CONCATENATE(YEAR(A1688),"/",IF(MONTH(A1688)&lt;10,CONCATENATE("0",MONTH(A1688)),MONTH(A1688)))</f>
        <v>2025/03</v>
      </c>
      <c r="E1688" s="8" t="str">
        <f>IF(IF(D1688&lt;&gt;D1687,1,IF(OR(B1688&lt;&gt;B1687,A1688-A1687&gt;$U$1),1,""))&lt;&gt;1,"",IF(C1688="B01",1965,IF(C1688="B02",1020,IF(C1688="B05",2400,IF(C1688="B03",4260,IF(C1688="B04",2880,IF(C1688="B20",1260,0)))))))</f>
        <v/>
      </c>
      <c r="F1688" s="8" t="str">
        <f>IF(IF(D1688&lt;&gt;D1687,1,IF(OR(B1688&lt;&gt;B1687,A1688-A1687&gt;$U$1),1,""))&lt;&gt;1,"",IF(C1688="B01",1,IF(C1688="B05",1,IF(C1688="B03",1,IF(C1688="B04",1,IF(C1688="B20",1,IF(C1688="B02",1,0)))))))</f>
        <v/>
      </c>
      <c r="G1688"/>
      <c r="H1688" s="2"/>
      <c r="I1688" s="2"/>
      <c r="L1688"/>
      <c r="R1688"/>
    </row>
    <row r="1689" spans="1:18">
      <c r="A1689" s="3">
        <v>45745.636759259258</v>
      </c>
      <c r="B1689" s="2" t="s">
        <v>28</v>
      </c>
      <c r="C1689" s="2" t="s">
        <v>11</v>
      </c>
      <c r="D1689" s="6" t="str">
        <f>CONCATENATE(YEAR(A1689),"/",IF(MONTH(A1689)&lt;10,CONCATENATE("0",MONTH(A1689)),MONTH(A1689)))</f>
        <v>2025/03</v>
      </c>
      <c r="E1689" s="8">
        <f>IF(IF(D1689&lt;&gt;D1688,1,IF(OR(B1689&lt;&gt;B1688,A1689-A1688&gt;$U$1),1,""))&lt;&gt;1,"",IF(C1689="B01",1965,IF(C1689="B02",1020,IF(C1689="B05",2400,IF(C1689="B03",4260,IF(C1689="B04",2880,IF(C1689="B20",1260,0)))))))</f>
        <v>2400</v>
      </c>
      <c r="F1689" s="8">
        <f>IF(IF(D1689&lt;&gt;D1688,1,IF(OR(B1689&lt;&gt;B1688,A1689-A1688&gt;$U$1),1,""))&lt;&gt;1,"",IF(C1689="B01",1,IF(C1689="B05",1,IF(C1689="B03",1,IF(C1689="B04",1,IF(C1689="B20",1,IF(C1689="B02",1,0)))))))</f>
        <v>1</v>
      </c>
      <c r="G1689"/>
      <c r="H1689" s="2"/>
      <c r="I1689" s="2"/>
      <c r="L1689"/>
      <c r="R1689"/>
    </row>
    <row r="1690" spans="1:18">
      <c r="A1690" s="3">
        <v>45745.636759259258</v>
      </c>
      <c r="B1690" s="2" t="s">
        <v>28</v>
      </c>
      <c r="C1690" s="2" t="s">
        <v>11</v>
      </c>
      <c r="D1690" s="6" t="str">
        <f>CONCATENATE(YEAR(A1690),"/",IF(MONTH(A1690)&lt;10,CONCATENATE("0",MONTH(A1690)),MONTH(A1690)))</f>
        <v>2025/03</v>
      </c>
      <c r="E1690" s="8" t="str">
        <f>IF(IF(D1690&lt;&gt;D1689,1,IF(OR(B1690&lt;&gt;B1689,A1690-A1689&gt;$U$1),1,""))&lt;&gt;1,"",IF(C1690="B01",1965,IF(C1690="B02",1020,IF(C1690="B05",2400,IF(C1690="B03",4260,IF(C1690="B04",2880,IF(C1690="B20",1260,0)))))))</f>
        <v/>
      </c>
      <c r="F1690" s="8" t="str">
        <f>IF(IF(D1690&lt;&gt;D1689,1,IF(OR(B1690&lt;&gt;B1689,A1690-A1689&gt;$U$1),1,""))&lt;&gt;1,"",IF(C1690="B01",1,IF(C1690="B05",1,IF(C1690="B03",1,IF(C1690="B04",1,IF(C1690="B20",1,IF(C1690="B02",1,0)))))))</f>
        <v/>
      </c>
      <c r="G1690"/>
      <c r="H1690" s="2"/>
      <c r="I1690" s="2"/>
      <c r="L1690"/>
      <c r="R1690"/>
    </row>
    <row r="1691" spans="1:18">
      <c r="A1691" s="3">
        <v>45745.636759259258</v>
      </c>
      <c r="B1691" s="2" t="s">
        <v>28</v>
      </c>
      <c r="C1691" s="2" t="s">
        <v>11</v>
      </c>
      <c r="D1691" s="6" t="str">
        <f>CONCATENATE(YEAR(A1691),"/",IF(MONTH(A1691)&lt;10,CONCATENATE("0",MONTH(A1691)),MONTH(A1691)))</f>
        <v>2025/03</v>
      </c>
      <c r="E1691" s="8" t="str">
        <f>IF(IF(D1691&lt;&gt;D1690,1,IF(OR(B1691&lt;&gt;B1690,A1691-A1690&gt;$U$1),1,""))&lt;&gt;1,"",IF(C1691="B01",1965,IF(C1691="B02",1020,IF(C1691="B05",2400,IF(C1691="B03",4260,IF(C1691="B04",2880,IF(C1691="B20",1260,0)))))))</f>
        <v/>
      </c>
      <c r="F1691" s="8" t="str">
        <f>IF(IF(D1691&lt;&gt;D1690,1,IF(OR(B1691&lt;&gt;B1690,A1691-A1690&gt;$U$1),1,""))&lt;&gt;1,"",IF(C1691="B01",1,IF(C1691="B05",1,IF(C1691="B03",1,IF(C1691="B04",1,IF(C1691="B20",1,IF(C1691="B02",1,0)))))))</f>
        <v/>
      </c>
      <c r="G1691"/>
      <c r="H1691" s="2"/>
      <c r="I1691" s="2"/>
      <c r="L1691"/>
      <c r="R1691"/>
    </row>
    <row r="1692" spans="1:18">
      <c r="A1692" s="3">
        <v>45745.852696759262</v>
      </c>
      <c r="B1692" s="2" t="s">
        <v>28</v>
      </c>
      <c r="C1692" s="2" t="s">
        <v>11</v>
      </c>
      <c r="D1692" s="6" t="str">
        <f>CONCATENATE(YEAR(A1692),"/",IF(MONTH(A1692)&lt;10,CONCATENATE("0",MONTH(A1692)),MONTH(A1692)))</f>
        <v>2025/03</v>
      </c>
      <c r="E1692" s="8">
        <f>IF(IF(D1692&lt;&gt;D1691,1,IF(OR(B1692&lt;&gt;B1691,A1692-A1691&gt;$U$1),1,""))&lt;&gt;1,"",IF(C1692="B01",1965,IF(C1692="B02",1020,IF(C1692="B05",2400,IF(C1692="B03",4260,IF(C1692="B04",2880,IF(C1692="B20",1260,0)))))))</f>
        <v>2400</v>
      </c>
      <c r="F1692" s="8">
        <f>IF(IF(D1692&lt;&gt;D1691,1,IF(OR(B1692&lt;&gt;B1691,A1692-A1691&gt;$U$1),1,""))&lt;&gt;1,"",IF(C1692="B01",1,IF(C1692="B05",1,IF(C1692="B03",1,IF(C1692="B04",1,IF(C1692="B20",1,IF(C1692="B02",1,0)))))))</f>
        <v>1</v>
      </c>
      <c r="G1692"/>
      <c r="H1692" s="2"/>
      <c r="I1692" s="2"/>
      <c r="L1692"/>
      <c r="R1692"/>
    </row>
    <row r="1693" spans="1:18">
      <c r="A1693" s="3">
        <v>45745.852696759262</v>
      </c>
      <c r="B1693" s="2" t="s">
        <v>28</v>
      </c>
      <c r="C1693" s="2" t="s">
        <v>11</v>
      </c>
      <c r="D1693" s="6" t="str">
        <f>CONCATENATE(YEAR(A1693),"/",IF(MONTH(A1693)&lt;10,CONCATENATE("0",MONTH(A1693)),MONTH(A1693)))</f>
        <v>2025/03</v>
      </c>
      <c r="E1693" s="8" t="str">
        <f>IF(IF(D1693&lt;&gt;D1692,1,IF(OR(B1693&lt;&gt;B1692,A1693-A1692&gt;$U$1),1,""))&lt;&gt;1,"",IF(C1693="B01",1965,IF(C1693="B02",1020,IF(C1693="B05",2400,IF(C1693="B03",4260,IF(C1693="B04",2880,IF(C1693="B20",1260,0)))))))</f>
        <v/>
      </c>
      <c r="F1693" s="8" t="str">
        <f>IF(IF(D1693&lt;&gt;D1692,1,IF(OR(B1693&lt;&gt;B1692,A1693-A1692&gt;$U$1),1,""))&lt;&gt;1,"",IF(C1693="B01",1,IF(C1693="B05",1,IF(C1693="B03",1,IF(C1693="B04",1,IF(C1693="B20",1,IF(C1693="B02",1,0)))))))</f>
        <v/>
      </c>
      <c r="G1693"/>
      <c r="H1693" s="2"/>
      <c r="I1693" s="2"/>
      <c r="L1693"/>
      <c r="R1693"/>
    </row>
    <row r="1694" spans="1:18">
      <c r="A1694" s="3">
        <v>45745.852696759262</v>
      </c>
      <c r="B1694" s="2" t="s">
        <v>28</v>
      </c>
      <c r="C1694" s="2" t="s">
        <v>11</v>
      </c>
      <c r="D1694" s="6" t="str">
        <f>CONCATENATE(YEAR(A1694),"/",IF(MONTH(A1694)&lt;10,CONCATENATE("0",MONTH(A1694)),MONTH(A1694)))</f>
        <v>2025/03</v>
      </c>
      <c r="E1694" s="8" t="str">
        <f>IF(IF(D1694&lt;&gt;D1693,1,IF(OR(B1694&lt;&gt;B1693,A1694-A1693&gt;$U$1),1,""))&lt;&gt;1,"",IF(C1694="B01",1965,IF(C1694="B02",1020,IF(C1694="B05",2400,IF(C1694="B03",4260,IF(C1694="B04",2880,IF(C1694="B20",1260,0)))))))</f>
        <v/>
      </c>
      <c r="F1694" s="8" t="str">
        <f>IF(IF(D1694&lt;&gt;D1693,1,IF(OR(B1694&lt;&gt;B1693,A1694-A1693&gt;$U$1),1,""))&lt;&gt;1,"",IF(C1694="B01",1,IF(C1694="B05",1,IF(C1694="B03",1,IF(C1694="B04",1,IF(C1694="B20",1,IF(C1694="B02",1,0)))))))</f>
        <v/>
      </c>
      <c r="G1694"/>
      <c r="H1694" s="2"/>
      <c r="I1694" s="2"/>
      <c r="L1694"/>
      <c r="R1694"/>
    </row>
    <row r="1695" spans="1:18">
      <c r="A1695" s="3">
        <v>45746.037754629629</v>
      </c>
      <c r="B1695" s="2" t="s">
        <v>28</v>
      </c>
      <c r="C1695" s="2" t="s">
        <v>11</v>
      </c>
      <c r="D1695" s="6" t="str">
        <f>CONCATENATE(YEAR(A1695),"/",IF(MONTH(A1695)&lt;10,CONCATENATE("0",MONTH(A1695)),MONTH(A1695)))</f>
        <v>2025/03</v>
      </c>
      <c r="E1695" s="8">
        <f>IF(IF(D1695&lt;&gt;D1694,1,IF(OR(B1695&lt;&gt;B1694,A1695-A1694&gt;$U$1),1,""))&lt;&gt;1,"",IF(C1695="B01",1965,IF(C1695="B02",1020,IF(C1695="B05",2400,IF(C1695="B03",4260,IF(C1695="B04",2880,IF(C1695="B20",1260,0)))))))</f>
        <v>2400</v>
      </c>
      <c r="F1695" s="8">
        <f>IF(IF(D1695&lt;&gt;D1694,1,IF(OR(B1695&lt;&gt;B1694,A1695-A1694&gt;$U$1),1,""))&lt;&gt;1,"",IF(C1695="B01",1,IF(C1695="B05",1,IF(C1695="B03",1,IF(C1695="B04",1,IF(C1695="B20",1,IF(C1695="B02",1,0)))))))</f>
        <v>1</v>
      </c>
      <c r="G1695"/>
      <c r="H1695" s="2"/>
      <c r="I1695" s="2"/>
      <c r="L1695"/>
      <c r="R1695"/>
    </row>
    <row r="1696" spans="1:18">
      <c r="A1696" s="3">
        <v>45746.037754629629</v>
      </c>
      <c r="B1696" s="2" t="s">
        <v>28</v>
      </c>
      <c r="C1696" s="2" t="s">
        <v>11</v>
      </c>
      <c r="D1696" s="6" t="str">
        <f>CONCATENATE(YEAR(A1696),"/",IF(MONTH(A1696)&lt;10,CONCATENATE("0",MONTH(A1696)),MONTH(A1696)))</f>
        <v>2025/03</v>
      </c>
      <c r="E1696" s="8" t="str">
        <f>IF(IF(D1696&lt;&gt;D1695,1,IF(OR(B1696&lt;&gt;B1695,A1696-A1695&gt;$U$1),1,""))&lt;&gt;1,"",IF(C1696="B01",1965,IF(C1696="B02",1020,IF(C1696="B05",2400,IF(C1696="B03",4260,IF(C1696="B04",2880,IF(C1696="B20",1260,0)))))))</f>
        <v/>
      </c>
      <c r="F1696" s="8" t="str">
        <f>IF(IF(D1696&lt;&gt;D1695,1,IF(OR(B1696&lt;&gt;B1695,A1696-A1695&gt;$U$1),1,""))&lt;&gt;1,"",IF(C1696="B01",1,IF(C1696="B05",1,IF(C1696="B03",1,IF(C1696="B04",1,IF(C1696="B20",1,IF(C1696="B02",1,0)))))))</f>
        <v/>
      </c>
      <c r="G1696"/>
      <c r="H1696" s="2"/>
      <c r="I1696" s="2"/>
      <c r="L1696"/>
      <c r="R1696"/>
    </row>
    <row r="1697" spans="1:18">
      <c r="A1697" s="3">
        <v>45746.701377314814</v>
      </c>
      <c r="B1697" s="2" t="s">
        <v>28</v>
      </c>
      <c r="C1697" s="2" t="s">
        <v>11</v>
      </c>
      <c r="D1697" s="6" t="str">
        <f>CONCATENATE(YEAR(A1697),"/",IF(MONTH(A1697)&lt;10,CONCATENATE("0",MONTH(A1697)),MONTH(A1697)))</f>
        <v>2025/03</v>
      </c>
      <c r="E1697" s="8">
        <f>IF(IF(D1697&lt;&gt;D1696,1,IF(OR(B1697&lt;&gt;B1696,A1697-A1696&gt;$U$1),1,""))&lt;&gt;1,"",IF(C1697="B01",1965,IF(C1697="B02",1020,IF(C1697="B05",2400,IF(C1697="B03",4260,IF(C1697="B04",2880,IF(C1697="B20",1260,0)))))))</f>
        <v>2400</v>
      </c>
      <c r="F1697" s="8">
        <f>IF(IF(D1697&lt;&gt;D1696,1,IF(OR(B1697&lt;&gt;B1696,A1697-A1696&gt;$U$1),1,""))&lt;&gt;1,"",IF(C1697="B01",1,IF(C1697="B05",1,IF(C1697="B03",1,IF(C1697="B04",1,IF(C1697="B20",1,IF(C1697="B02",1,0)))))))</f>
        <v>1</v>
      </c>
      <c r="G1697"/>
      <c r="H1697" s="2"/>
      <c r="I1697" s="2"/>
      <c r="L1697"/>
      <c r="R1697"/>
    </row>
    <row r="1698" spans="1:18">
      <c r="A1698" s="3">
        <v>45746.701377314814</v>
      </c>
      <c r="B1698" s="2" t="s">
        <v>28</v>
      </c>
      <c r="C1698" s="2" t="s">
        <v>11</v>
      </c>
      <c r="D1698" s="6" t="str">
        <f>CONCATENATE(YEAR(A1698),"/",IF(MONTH(A1698)&lt;10,CONCATENATE("0",MONTH(A1698)),MONTH(A1698)))</f>
        <v>2025/03</v>
      </c>
      <c r="E1698" s="8" t="str">
        <f>IF(IF(D1698&lt;&gt;D1697,1,IF(OR(B1698&lt;&gt;B1697,A1698-A1697&gt;$U$1),1,""))&lt;&gt;1,"",IF(C1698="B01",1965,IF(C1698="B02",1020,IF(C1698="B05",2400,IF(C1698="B03",4260,IF(C1698="B04",2880,IF(C1698="B20",1260,0)))))))</f>
        <v/>
      </c>
      <c r="F1698" s="8" t="str">
        <f>IF(IF(D1698&lt;&gt;D1697,1,IF(OR(B1698&lt;&gt;B1697,A1698-A1697&gt;$U$1),1,""))&lt;&gt;1,"",IF(C1698="B01",1,IF(C1698="B05",1,IF(C1698="B03",1,IF(C1698="B04",1,IF(C1698="B20",1,IF(C1698="B02",1,0)))))))</f>
        <v/>
      </c>
      <c r="G1698"/>
      <c r="H1698" s="2"/>
      <c r="I1698" s="2"/>
      <c r="L1698"/>
      <c r="R1698"/>
    </row>
    <row r="1699" spans="1:18">
      <c r="A1699" s="3">
        <v>45746.701377314814</v>
      </c>
      <c r="B1699" s="2" t="s">
        <v>28</v>
      </c>
      <c r="C1699" s="2" t="s">
        <v>11</v>
      </c>
      <c r="D1699" s="6" t="str">
        <f>CONCATENATE(YEAR(A1699),"/",IF(MONTH(A1699)&lt;10,CONCATENATE("0",MONTH(A1699)),MONTH(A1699)))</f>
        <v>2025/03</v>
      </c>
      <c r="E1699" s="8" t="str">
        <f>IF(IF(D1699&lt;&gt;D1698,1,IF(OR(B1699&lt;&gt;B1698,A1699-A1698&gt;$U$1),1,""))&lt;&gt;1,"",IF(C1699="B01",1965,IF(C1699="B02",1020,IF(C1699="B05",2400,IF(C1699="B03",4260,IF(C1699="B04",2880,IF(C1699="B20",1260,0)))))))</f>
        <v/>
      </c>
      <c r="F1699" s="8" t="str">
        <f>IF(IF(D1699&lt;&gt;D1698,1,IF(OR(B1699&lt;&gt;B1698,A1699-A1698&gt;$U$1),1,""))&lt;&gt;1,"",IF(C1699="B01",1,IF(C1699="B05",1,IF(C1699="B03",1,IF(C1699="B04",1,IF(C1699="B20",1,IF(C1699="B02",1,0)))))))</f>
        <v/>
      </c>
      <c r="G1699"/>
      <c r="H1699" s="2"/>
      <c r="I1699" s="2"/>
      <c r="L1699"/>
      <c r="R1699"/>
    </row>
    <row r="1700" spans="1:18">
      <c r="A1700" s="3">
        <v>45746.89744212963</v>
      </c>
      <c r="B1700" s="2" t="s">
        <v>28</v>
      </c>
      <c r="C1700" s="2" t="s">
        <v>11</v>
      </c>
      <c r="D1700" s="6" t="str">
        <f>CONCATENATE(YEAR(A1700),"/",IF(MONTH(A1700)&lt;10,CONCATENATE("0",MONTH(A1700)),MONTH(A1700)))</f>
        <v>2025/03</v>
      </c>
      <c r="E1700" s="8">
        <f>IF(IF(D1700&lt;&gt;D1699,1,IF(OR(B1700&lt;&gt;B1699,A1700-A1699&gt;$U$1),1,""))&lt;&gt;1,"",IF(C1700="B01",1965,IF(C1700="B02",1020,IF(C1700="B05",2400,IF(C1700="B03",4260,IF(C1700="B04",2880,IF(C1700="B20",1260,0)))))))</f>
        <v>2400</v>
      </c>
      <c r="F1700" s="8">
        <f>IF(IF(D1700&lt;&gt;D1699,1,IF(OR(B1700&lt;&gt;B1699,A1700-A1699&gt;$U$1),1,""))&lt;&gt;1,"",IF(C1700="B01",1,IF(C1700="B05",1,IF(C1700="B03",1,IF(C1700="B04",1,IF(C1700="B20",1,IF(C1700="B02",1,0)))))))</f>
        <v>1</v>
      </c>
      <c r="G1700"/>
      <c r="H1700" s="2"/>
      <c r="I1700" s="2"/>
      <c r="L1700"/>
      <c r="R1700"/>
    </row>
    <row r="1701" spans="1:18">
      <c r="A1701" s="3">
        <v>45746.89744212963</v>
      </c>
      <c r="B1701" s="2" t="s">
        <v>28</v>
      </c>
      <c r="C1701" s="2" t="s">
        <v>11</v>
      </c>
      <c r="D1701" s="6" t="str">
        <f>CONCATENATE(YEAR(A1701),"/",IF(MONTH(A1701)&lt;10,CONCATENATE("0",MONTH(A1701)),MONTH(A1701)))</f>
        <v>2025/03</v>
      </c>
      <c r="E1701" s="8" t="str">
        <f>IF(IF(D1701&lt;&gt;D1700,1,IF(OR(B1701&lt;&gt;B1700,A1701-A1700&gt;$U$1),1,""))&lt;&gt;1,"",IF(C1701="B01",1965,IF(C1701="B02",1020,IF(C1701="B05",2400,IF(C1701="B03",4260,IF(C1701="B04",2880,IF(C1701="B20",1260,0)))))))</f>
        <v/>
      </c>
      <c r="F1701" s="8" t="str">
        <f>IF(IF(D1701&lt;&gt;D1700,1,IF(OR(B1701&lt;&gt;B1700,A1701-A1700&gt;$U$1),1,""))&lt;&gt;1,"",IF(C1701="B01",1,IF(C1701="B05",1,IF(C1701="B03",1,IF(C1701="B04",1,IF(C1701="B20",1,IF(C1701="B02",1,0)))))))</f>
        <v/>
      </c>
      <c r="G1701"/>
      <c r="H1701" s="2"/>
      <c r="I1701" s="2"/>
      <c r="L1701"/>
      <c r="R1701"/>
    </row>
    <row r="1702" spans="1:18">
      <c r="A1702" s="3">
        <v>45747.251469907409</v>
      </c>
      <c r="B1702" s="2" t="s">
        <v>28</v>
      </c>
      <c r="C1702" s="2" t="s">
        <v>11</v>
      </c>
      <c r="D1702" s="6" t="str">
        <f>CONCATENATE(YEAR(A1702),"/",IF(MONTH(A1702)&lt;10,CONCATENATE("0",MONTH(A1702)),MONTH(A1702)))</f>
        <v>2025/03</v>
      </c>
      <c r="E1702" s="8">
        <f>IF(IF(D1702&lt;&gt;D1701,1,IF(OR(B1702&lt;&gt;B1701,A1702-A1701&gt;$U$1),1,""))&lt;&gt;1,"",IF(C1702="B01",1965,IF(C1702="B02",1020,IF(C1702="B05",2400,IF(C1702="B03",4260,IF(C1702="B04",2880,IF(C1702="B20",1260,0)))))))</f>
        <v>2400</v>
      </c>
      <c r="F1702" s="8">
        <f>IF(IF(D1702&lt;&gt;D1701,1,IF(OR(B1702&lt;&gt;B1701,A1702-A1701&gt;$U$1),1,""))&lt;&gt;1,"",IF(C1702="B01",1,IF(C1702="B05",1,IF(C1702="B03",1,IF(C1702="B04",1,IF(C1702="B20",1,IF(C1702="B02",1,0)))))))</f>
        <v>1</v>
      </c>
      <c r="G1702"/>
      <c r="H1702" s="2"/>
      <c r="I1702" s="2"/>
      <c r="L1702"/>
      <c r="R1702"/>
    </row>
    <row r="1703" spans="1:18">
      <c r="A1703" s="3">
        <v>45747.251481481479</v>
      </c>
      <c r="B1703" s="2" t="s">
        <v>28</v>
      </c>
      <c r="C1703" s="2" t="s">
        <v>11</v>
      </c>
      <c r="D1703" s="6" t="str">
        <f>CONCATENATE(YEAR(A1703),"/",IF(MONTH(A1703)&lt;10,CONCATENATE("0",MONTH(A1703)),MONTH(A1703)))</f>
        <v>2025/03</v>
      </c>
      <c r="E1703" s="8" t="str">
        <f>IF(IF(D1703&lt;&gt;D1702,1,IF(OR(B1703&lt;&gt;B1702,A1703-A1702&gt;$U$1),1,""))&lt;&gt;1,"",IF(C1703="B01",1965,IF(C1703="B02",1020,IF(C1703="B05",2400,IF(C1703="B03",4260,IF(C1703="B04",2880,IF(C1703="B20",1260,0)))))))</f>
        <v/>
      </c>
      <c r="F1703" s="8" t="str">
        <f>IF(IF(D1703&lt;&gt;D1702,1,IF(OR(B1703&lt;&gt;B1702,A1703-A1702&gt;$U$1),1,""))&lt;&gt;1,"",IF(C1703="B01",1,IF(C1703="B05",1,IF(C1703="B03",1,IF(C1703="B04",1,IF(C1703="B20",1,IF(C1703="B02",1,0)))))))</f>
        <v/>
      </c>
      <c r="G1703"/>
      <c r="H1703" s="2"/>
      <c r="I1703" s="2"/>
      <c r="L1703"/>
      <c r="R1703"/>
    </row>
    <row r="1704" spans="1:18">
      <c r="A1704" s="3">
        <v>45747.251481481479</v>
      </c>
      <c r="B1704" s="2" t="s">
        <v>28</v>
      </c>
      <c r="C1704" s="2" t="s">
        <v>11</v>
      </c>
      <c r="D1704" s="6" t="str">
        <f>CONCATENATE(YEAR(A1704),"/",IF(MONTH(A1704)&lt;10,CONCATENATE("0",MONTH(A1704)),MONTH(A1704)))</f>
        <v>2025/03</v>
      </c>
      <c r="E1704" s="8" t="str">
        <f>IF(IF(D1704&lt;&gt;D1703,1,IF(OR(B1704&lt;&gt;B1703,A1704-A1703&gt;$U$1),1,""))&lt;&gt;1,"",IF(C1704="B01",1965,IF(C1704="B02",1020,IF(C1704="B05",2400,IF(C1704="B03",4260,IF(C1704="B04",2880,IF(C1704="B20",1260,0)))))))</f>
        <v/>
      </c>
      <c r="F1704" s="8" t="str">
        <f>IF(IF(D1704&lt;&gt;D1703,1,IF(OR(B1704&lt;&gt;B1703,A1704-A1703&gt;$U$1),1,""))&lt;&gt;1,"",IF(C1704="B01",1,IF(C1704="B05",1,IF(C1704="B03",1,IF(C1704="B04",1,IF(C1704="B20",1,IF(C1704="B02",1,0)))))))</f>
        <v/>
      </c>
      <c r="G1704"/>
      <c r="H1704" s="2"/>
      <c r="I1704" s="2"/>
      <c r="L1704"/>
      <c r="R1704"/>
    </row>
    <row r="1705" spans="1:18">
      <c r="A1705" s="3">
        <v>45747.251481481479</v>
      </c>
      <c r="B1705" s="2" t="s">
        <v>28</v>
      </c>
      <c r="C1705" s="2" t="s">
        <v>11</v>
      </c>
      <c r="D1705" s="6" t="str">
        <f>CONCATENATE(YEAR(A1705),"/",IF(MONTH(A1705)&lt;10,CONCATENATE("0",MONTH(A1705)),MONTH(A1705)))</f>
        <v>2025/03</v>
      </c>
      <c r="E1705" s="8" t="str">
        <f>IF(IF(D1705&lt;&gt;D1704,1,IF(OR(B1705&lt;&gt;B1704,A1705-A1704&gt;$U$1),1,""))&lt;&gt;1,"",IF(C1705="B01",1965,IF(C1705="B02",1020,IF(C1705="B05",2400,IF(C1705="B03",4260,IF(C1705="B04",2880,IF(C1705="B20",1260,0)))))))</f>
        <v/>
      </c>
      <c r="F1705" s="8" t="str">
        <f>IF(IF(D1705&lt;&gt;D1704,1,IF(OR(B1705&lt;&gt;B1704,A1705-A1704&gt;$U$1),1,""))&lt;&gt;1,"",IF(C1705="B01",1,IF(C1705="B05",1,IF(C1705="B03",1,IF(C1705="B04",1,IF(C1705="B20",1,IF(C1705="B02",1,0)))))))</f>
        <v/>
      </c>
      <c r="G1705"/>
      <c r="H1705" s="2"/>
      <c r="I1705" s="2"/>
      <c r="L1705"/>
      <c r="R1705"/>
    </row>
    <row r="1706" spans="1:18">
      <c r="A1706" s="3">
        <v>45747.915219907409</v>
      </c>
      <c r="B1706" s="2" t="s">
        <v>28</v>
      </c>
      <c r="C1706" s="2" t="s">
        <v>11</v>
      </c>
      <c r="D1706" s="6" t="str">
        <f>CONCATENATE(YEAR(A1706),"/",IF(MONTH(A1706)&lt;10,CONCATENATE("0",MONTH(A1706)),MONTH(A1706)))</f>
        <v>2025/03</v>
      </c>
      <c r="E1706" s="8">
        <f>IF(IF(D1706&lt;&gt;D1705,1,IF(OR(B1706&lt;&gt;B1705,A1706-A1705&gt;$U$1),1,""))&lt;&gt;1,"",IF(C1706="B01",1965,IF(C1706="B02",1020,IF(C1706="B05",2400,IF(C1706="B03",4260,IF(C1706="B04",2880,IF(C1706="B20",1260,0)))))))</f>
        <v>2400</v>
      </c>
      <c r="F1706" s="8">
        <f>IF(IF(D1706&lt;&gt;D1705,1,IF(OR(B1706&lt;&gt;B1705,A1706-A1705&gt;$U$1),1,""))&lt;&gt;1,"",IF(C1706="B01",1,IF(C1706="B05",1,IF(C1706="B03",1,IF(C1706="B04",1,IF(C1706="B20",1,IF(C1706="B02",1,0)))))))</f>
        <v>1</v>
      </c>
      <c r="G1706"/>
      <c r="H1706" s="2"/>
      <c r="I1706" s="2"/>
      <c r="L1706"/>
      <c r="R1706"/>
    </row>
    <row r="1707" spans="1:18">
      <c r="A1707" s="3">
        <v>45747.915219907409</v>
      </c>
      <c r="B1707" s="2" t="s">
        <v>28</v>
      </c>
      <c r="C1707" s="2" t="s">
        <v>11</v>
      </c>
      <c r="D1707" s="6" t="str">
        <f>CONCATENATE(YEAR(A1707),"/",IF(MONTH(A1707)&lt;10,CONCATENATE("0",MONTH(A1707)),MONTH(A1707)))</f>
        <v>2025/03</v>
      </c>
      <c r="E1707" s="8" t="str">
        <f>IF(IF(D1707&lt;&gt;D1706,1,IF(OR(B1707&lt;&gt;B1706,A1707-A1706&gt;$U$1),1,""))&lt;&gt;1,"",IF(C1707="B01",1965,IF(C1707="B02",1020,IF(C1707="B05",2400,IF(C1707="B03",4260,IF(C1707="B04",2880,IF(C1707="B20",1260,0)))))))</f>
        <v/>
      </c>
      <c r="F1707" s="8" t="str">
        <f>IF(IF(D1707&lt;&gt;D1706,1,IF(OR(B1707&lt;&gt;B1706,A1707-A1706&gt;$U$1),1,""))&lt;&gt;1,"",IF(C1707="B01",1,IF(C1707="B05",1,IF(C1707="B03",1,IF(C1707="B04",1,IF(C1707="B20",1,IF(C1707="B02",1,0)))))))</f>
        <v/>
      </c>
      <c r="G1707"/>
      <c r="H1707" s="2"/>
      <c r="I1707" s="2"/>
      <c r="L1707"/>
      <c r="R1707"/>
    </row>
    <row r="1708" spans="1:18">
      <c r="A1708" s="3">
        <v>45747.915219907409</v>
      </c>
      <c r="B1708" s="2" t="s">
        <v>28</v>
      </c>
      <c r="C1708" s="2" t="s">
        <v>11</v>
      </c>
      <c r="D1708" s="6" t="str">
        <f>CONCATENATE(YEAR(A1708),"/",IF(MONTH(A1708)&lt;10,CONCATENATE("0",MONTH(A1708)),MONTH(A1708)))</f>
        <v>2025/03</v>
      </c>
      <c r="E1708" s="8" t="str">
        <f>IF(IF(D1708&lt;&gt;D1707,1,IF(OR(B1708&lt;&gt;B1707,A1708-A1707&gt;$U$1),1,""))&lt;&gt;1,"",IF(C1708="B01",1965,IF(C1708="B02",1020,IF(C1708="B05",2400,IF(C1708="B03",4260,IF(C1708="B04",2880,IF(C1708="B20",1260,0)))))))</f>
        <v/>
      </c>
      <c r="F1708" s="8" t="str">
        <f>IF(IF(D1708&lt;&gt;D1707,1,IF(OR(B1708&lt;&gt;B1707,A1708-A1707&gt;$U$1),1,""))&lt;&gt;1,"",IF(C1708="B01",1,IF(C1708="B05",1,IF(C1708="B03",1,IF(C1708="B04",1,IF(C1708="B20",1,IF(C1708="B02",1,0)))))))</f>
        <v/>
      </c>
      <c r="G1708"/>
      <c r="H1708" s="2"/>
      <c r="I1708" s="2"/>
      <c r="L1708"/>
      <c r="R1708"/>
    </row>
    <row r="1709" spans="1:18">
      <c r="A1709" s="3">
        <v>45747.915219907409</v>
      </c>
      <c r="B1709" s="2" t="s">
        <v>28</v>
      </c>
      <c r="C1709" s="2" t="s">
        <v>11</v>
      </c>
      <c r="D1709" s="6" t="str">
        <f>CONCATENATE(YEAR(A1709),"/",IF(MONTH(A1709)&lt;10,CONCATENATE("0",MONTH(A1709)),MONTH(A1709)))</f>
        <v>2025/03</v>
      </c>
      <c r="E1709" s="8" t="str">
        <f>IF(IF(D1709&lt;&gt;D1708,1,IF(OR(B1709&lt;&gt;B1708,A1709-A1708&gt;$U$1),1,""))&lt;&gt;1,"",IF(C1709="B01",1965,IF(C1709="B02",1020,IF(C1709="B05",2400,IF(C1709="B03",4260,IF(C1709="B04",2880,IF(C1709="B20",1260,0)))))))</f>
        <v/>
      </c>
      <c r="F1709" s="8" t="str">
        <f>IF(IF(D1709&lt;&gt;D1708,1,IF(OR(B1709&lt;&gt;B1708,A1709-A1708&gt;$U$1),1,""))&lt;&gt;1,"",IF(C1709="B01",1,IF(C1709="B05",1,IF(C1709="B03",1,IF(C1709="B04",1,IF(C1709="B20",1,IF(C1709="B02",1,0)))))))</f>
        <v/>
      </c>
      <c r="G1709"/>
      <c r="H1709" s="2"/>
      <c r="I1709" s="2"/>
      <c r="L1709"/>
      <c r="R1709"/>
    </row>
    <row r="1710" spans="1:18">
      <c r="A1710" s="3">
        <v>45749.758171296293</v>
      </c>
      <c r="B1710" s="2" t="s">
        <v>28</v>
      </c>
      <c r="C1710" s="2" t="s">
        <v>11</v>
      </c>
      <c r="D1710" s="6" t="str">
        <f>CONCATENATE(YEAR(A1710),"/",IF(MONTH(A1710)&lt;10,CONCATENATE("0",MONTH(A1710)),MONTH(A1710)))</f>
        <v>2025/04</v>
      </c>
      <c r="E1710" s="8">
        <f>IF(IF(D1710&lt;&gt;D1709,1,IF(OR(B1710&lt;&gt;B1709,A1710-A1709&gt;$U$1),1,""))&lt;&gt;1,"",IF(C1710="B01",1965,IF(C1710="B02",1020,IF(C1710="B05",2400,IF(C1710="B03",4260,IF(C1710="B04",2880,IF(C1710="B20",1260,0)))))))</f>
        <v>2400</v>
      </c>
      <c r="F1710" s="8">
        <f>IF(IF(D1710&lt;&gt;D1709,1,IF(OR(B1710&lt;&gt;B1709,A1710-A1709&gt;$U$1),1,""))&lt;&gt;1,"",IF(C1710="B01",1,IF(C1710="B05",1,IF(C1710="B03",1,IF(C1710="B04",1,IF(C1710="B20",1,IF(C1710="B02",1,0)))))))</f>
        <v>1</v>
      </c>
      <c r="G1710"/>
      <c r="H1710" s="2"/>
      <c r="I1710" s="2"/>
      <c r="L1710"/>
      <c r="R1710"/>
    </row>
    <row r="1711" spans="1:18">
      <c r="A1711" s="3">
        <v>45749.75818287037</v>
      </c>
      <c r="B1711" s="2" t="s">
        <v>28</v>
      </c>
      <c r="C1711" s="2" t="s">
        <v>11</v>
      </c>
      <c r="D1711" s="6" t="str">
        <f>CONCATENATE(YEAR(A1711),"/",IF(MONTH(A1711)&lt;10,CONCATENATE("0",MONTH(A1711)),MONTH(A1711)))</f>
        <v>2025/04</v>
      </c>
      <c r="E1711" s="8" t="str">
        <f>IF(IF(D1711&lt;&gt;D1710,1,IF(OR(B1711&lt;&gt;B1710,A1711-A1710&gt;$U$1),1,""))&lt;&gt;1,"",IF(C1711="B01",1965,IF(C1711="B02",1020,IF(C1711="B05",2400,IF(C1711="B03",4260,IF(C1711="B04",2880,IF(C1711="B20",1260,0)))))))</f>
        <v/>
      </c>
      <c r="F1711" s="8" t="str">
        <f>IF(IF(D1711&lt;&gt;D1710,1,IF(OR(B1711&lt;&gt;B1710,A1711-A1710&gt;$U$1),1,""))&lt;&gt;1,"",IF(C1711="B01",1,IF(C1711="B05",1,IF(C1711="B03",1,IF(C1711="B04",1,IF(C1711="B20",1,IF(C1711="B02",1,0)))))))</f>
        <v/>
      </c>
      <c r="G1711"/>
      <c r="H1711" s="2"/>
      <c r="I1711" s="2"/>
      <c r="L1711"/>
      <c r="R1711"/>
    </row>
    <row r="1712" spans="1:18">
      <c r="A1712" s="3">
        <v>45749.75818287037</v>
      </c>
      <c r="B1712" s="2" t="s">
        <v>28</v>
      </c>
      <c r="C1712" s="2" t="s">
        <v>11</v>
      </c>
      <c r="D1712" s="6" t="str">
        <f>CONCATENATE(YEAR(A1712),"/",IF(MONTH(A1712)&lt;10,CONCATENATE("0",MONTH(A1712)),MONTH(A1712)))</f>
        <v>2025/04</v>
      </c>
      <c r="E1712" s="8" t="str">
        <f>IF(IF(D1712&lt;&gt;D1711,1,IF(OR(B1712&lt;&gt;B1711,A1712-A1711&gt;$U$1),1,""))&lt;&gt;1,"",IF(C1712="B01",1965,IF(C1712="B02",1020,IF(C1712="B05",2400,IF(C1712="B03",4260,IF(C1712="B04",2880,IF(C1712="B20",1260,0)))))))</f>
        <v/>
      </c>
      <c r="F1712" s="8" t="str">
        <f>IF(IF(D1712&lt;&gt;D1711,1,IF(OR(B1712&lt;&gt;B1711,A1712-A1711&gt;$U$1),1,""))&lt;&gt;1,"",IF(C1712="B01",1,IF(C1712="B05",1,IF(C1712="B03",1,IF(C1712="B04",1,IF(C1712="B20",1,IF(C1712="B02",1,0)))))))</f>
        <v/>
      </c>
      <c r="G1712"/>
      <c r="H1712" s="2"/>
      <c r="I1712" s="2"/>
      <c r="L1712"/>
      <c r="R1712"/>
    </row>
    <row r="1713" spans="1:18">
      <c r="A1713" s="3">
        <v>45749.75818287037</v>
      </c>
      <c r="B1713" s="2" t="s">
        <v>28</v>
      </c>
      <c r="C1713" s="2" t="s">
        <v>11</v>
      </c>
      <c r="D1713" s="6" t="str">
        <f>CONCATENATE(YEAR(A1713),"/",IF(MONTH(A1713)&lt;10,CONCATENATE("0",MONTH(A1713)),MONTH(A1713)))</f>
        <v>2025/04</v>
      </c>
      <c r="E1713" s="8" t="str">
        <f>IF(IF(D1713&lt;&gt;D1712,1,IF(OR(B1713&lt;&gt;B1712,A1713-A1712&gt;$U$1),1,""))&lt;&gt;1,"",IF(C1713="B01",1965,IF(C1713="B02",1020,IF(C1713="B05",2400,IF(C1713="B03",4260,IF(C1713="B04",2880,IF(C1713="B20",1260,0)))))))</f>
        <v/>
      </c>
      <c r="F1713" s="8" t="str">
        <f>IF(IF(D1713&lt;&gt;D1712,1,IF(OR(B1713&lt;&gt;B1712,A1713-A1712&gt;$U$1),1,""))&lt;&gt;1,"",IF(C1713="B01",1,IF(C1713="B05",1,IF(C1713="B03",1,IF(C1713="B04",1,IF(C1713="B20",1,IF(C1713="B02",1,0)))))))</f>
        <v/>
      </c>
      <c r="G1713"/>
      <c r="H1713" s="2"/>
      <c r="I1713" s="2"/>
      <c r="L1713"/>
      <c r="R1713"/>
    </row>
    <row r="1714" spans="1:18">
      <c r="A1714" s="3">
        <v>45749.872604166667</v>
      </c>
      <c r="B1714" s="2" t="s">
        <v>28</v>
      </c>
      <c r="C1714" s="2" t="s">
        <v>11</v>
      </c>
      <c r="D1714" s="6" t="str">
        <f>CONCATENATE(YEAR(A1714),"/",IF(MONTH(A1714)&lt;10,CONCATENATE("0",MONTH(A1714)),MONTH(A1714)))</f>
        <v>2025/04</v>
      </c>
      <c r="E1714" s="8">
        <f>IF(IF(D1714&lt;&gt;D1713,1,IF(OR(B1714&lt;&gt;B1713,A1714-A1713&gt;$U$1),1,""))&lt;&gt;1,"",IF(C1714="B01",1965,IF(C1714="B02",1020,IF(C1714="B05",2400,IF(C1714="B03",4260,IF(C1714="B04",2880,IF(C1714="B20",1260,0)))))))</f>
        <v>2400</v>
      </c>
      <c r="F1714" s="8">
        <f>IF(IF(D1714&lt;&gt;D1713,1,IF(OR(B1714&lt;&gt;B1713,A1714-A1713&gt;$U$1),1,""))&lt;&gt;1,"",IF(C1714="B01",1,IF(C1714="B05",1,IF(C1714="B03",1,IF(C1714="B04",1,IF(C1714="B20",1,IF(C1714="B02",1,0)))))))</f>
        <v>1</v>
      </c>
      <c r="G1714"/>
      <c r="H1714" s="2"/>
      <c r="I1714" s="2"/>
      <c r="L1714"/>
      <c r="R1714"/>
    </row>
    <row r="1715" spans="1:18">
      <c r="A1715" s="3">
        <v>45749.872604166667</v>
      </c>
      <c r="B1715" s="2" t="s">
        <v>28</v>
      </c>
      <c r="C1715" s="2" t="s">
        <v>11</v>
      </c>
      <c r="D1715" s="6" t="str">
        <f>CONCATENATE(YEAR(A1715),"/",IF(MONTH(A1715)&lt;10,CONCATENATE("0",MONTH(A1715)),MONTH(A1715)))</f>
        <v>2025/04</v>
      </c>
      <c r="E1715" s="8" t="str">
        <f>IF(IF(D1715&lt;&gt;D1714,1,IF(OR(B1715&lt;&gt;B1714,A1715-A1714&gt;$U$1),1,""))&lt;&gt;1,"",IF(C1715="B01",1965,IF(C1715="B02",1020,IF(C1715="B05",2400,IF(C1715="B03",4260,IF(C1715="B04",2880,IF(C1715="B20",1260,0)))))))</f>
        <v/>
      </c>
      <c r="F1715" s="8" t="str">
        <f>IF(IF(D1715&lt;&gt;D1714,1,IF(OR(B1715&lt;&gt;B1714,A1715-A1714&gt;$U$1),1,""))&lt;&gt;1,"",IF(C1715="B01",1,IF(C1715="B05",1,IF(C1715="B03",1,IF(C1715="B04",1,IF(C1715="B20",1,IF(C1715="B02",1,0)))))))</f>
        <v/>
      </c>
      <c r="G1715"/>
      <c r="H1715" s="2"/>
      <c r="I1715" s="2"/>
      <c r="L1715"/>
      <c r="R1715"/>
    </row>
    <row r="1716" spans="1:18">
      <c r="A1716" s="3">
        <v>45749.872604166667</v>
      </c>
      <c r="B1716" s="2" t="s">
        <v>28</v>
      </c>
      <c r="C1716" s="2" t="s">
        <v>11</v>
      </c>
      <c r="D1716" s="6" t="str">
        <f>CONCATENATE(YEAR(A1716),"/",IF(MONTH(A1716)&lt;10,CONCATENATE("0",MONTH(A1716)),MONTH(A1716)))</f>
        <v>2025/04</v>
      </c>
      <c r="E1716" s="8" t="str">
        <f>IF(IF(D1716&lt;&gt;D1715,1,IF(OR(B1716&lt;&gt;B1715,A1716-A1715&gt;$U$1),1,""))&lt;&gt;1,"",IF(C1716="B01",1965,IF(C1716="B02",1020,IF(C1716="B05",2400,IF(C1716="B03",4260,IF(C1716="B04",2880,IF(C1716="B20",1260,0)))))))</f>
        <v/>
      </c>
      <c r="F1716" s="8" t="str">
        <f>IF(IF(D1716&lt;&gt;D1715,1,IF(OR(B1716&lt;&gt;B1715,A1716-A1715&gt;$U$1),1,""))&lt;&gt;1,"",IF(C1716="B01",1,IF(C1716="B05",1,IF(C1716="B03",1,IF(C1716="B04",1,IF(C1716="B20",1,IF(C1716="B02",1,0)))))))</f>
        <v/>
      </c>
      <c r="G1716"/>
      <c r="H1716" s="2"/>
      <c r="I1716" s="2"/>
      <c r="L1716"/>
      <c r="R1716"/>
    </row>
    <row r="1717" spans="1:18">
      <c r="A1717" s="3">
        <v>45749.872604166667</v>
      </c>
      <c r="B1717" s="2" t="s">
        <v>28</v>
      </c>
      <c r="C1717" s="2" t="s">
        <v>11</v>
      </c>
      <c r="D1717" s="6" t="str">
        <f>CONCATENATE(YEAR(A1717),"/",IF(MONTH(A1717)&lt;10,CONCATENATE("0",MONTH(A1717)),MONTH(A1717)))</f>
        <v>2025/04</v>
      </c>
      <c r="E1717" s="8" t="str">
        <f>IF(IF(D1717&lt;&gt;D1716,1,IF(OR(B1717&lt;&gt;B1716,A1717-A1716&gt;$U$1),1,""))&lt;&gt;1,"",IF(C1717="B01",1965,IF(C1717="B02",1020,IF(C1717="B05",2400,IF(C1717="B03",4260,IF(C1717="B04",2880,IF(C1717="B20",1260,0)))))))</f>
        <v/>
      </c>
      <c r="F1717" s="8" t="str">
        <f>IF(IF(D1717&lt;&gt;D1716,1,IF(OR(B1717&lt;&gt;B1716,A1717-A1716&gt;$U$1),1,""))&lt;&gt;1,"",IF(C1717="B01",1,IF(C1717="B05",1,IF(C1717="B03",1,IF(C1717="B04",1,IF(C1717="B20",1,IF(C1717="B02",1,0)))))))</f>
        <v/>
      </c>
      <c r="G1717"/>
      <c r="H1717" s="2"/>
      <c r="I1717" s="2"/>
      <c r="L1717"/>
      <c r="R1717"/>
    </row>
    <row r="1718" spans="1:18">
      <c r="A1718" s="3">
        <v>45750.05265046296</v>
      </c>
      <c r="B1718" s="2" t="s">
        <v>28</v>
      </c>
      <c r="C1718" s="2" t="s">
        <v>11</v>
      </c>
      <c r="D1718" s="6" t="str">
        <f>CONCATENATE(YEAR(A1718),"/",IF(MONTH(A1718)&lt;10,CONCATENATE("0",MONTH(A1718)),MONTH(A1718)))</f>
        <v>2025/04</v>
      </c>
      <c r="E1718" s="8">
        <f>IF(IF(D1718&lt;&gt;D1717,1,IF(OR(B1718&lt;&gt;B1717,A1718-A1717&gt;$U$1),1,""))&lt;&gt;1,"",IF(C1718="B01",1965,IF(C1718="B02",1020,IF(C1718="B05",2400,IF(C1718="B03",4260,IF(C1718="B04",2880,IF(C1718="B20",1260,0)))))))</f>
        <v>2400</v>
      </c>
      <c r="F1718" s="8">
        <f>IF(IF(D1718&lt;&gt;D1717,1,IF(OR(B1718&lt;&gt;B1717,A1718-A1717&gt;$U$1),1,""))&lt;&gt;1,"",IF(C1718="B01",1,IF(C1718="B05",1,IF(C1718="B03",1,IF(C1718="B04",1,IF(C1718="B20",1,IF(C1718="B02",1,0)))))))</f>
        <v>1</v>
      </c>
      <c r="G1718"/>
      <c r="H1718" s="2"/>
      <c r="I1718" s="2"/>
      <c r="L1718"/>
      <c r="R1718"/>
    </row>
    <row r="1719" spans="1:18">
      <c r="A1719" s="3">
        <v>45750.05265046296</v>
      </c>
      <c r="B1719" s="2" t="s">
        <v>28</v>
      </c>
      <c r="C1719" s="2" t="s">
        <v>11</v>
      </c>
      <c r="D1719" s="6" t="str">
        <f>CONCATENATE(YEAR(A1719),"/",IF(MONTH(A1719)&lt;10,CONCATENATE("0",MONTH(A1719)),MONTH(A1719)))</f>
        <v>2025/04</v>
      </c>
      <c r="E1719" s="8" t="str">
        <f>IF(IF(D1719&lt;&gt;D1718,1,IF(OR(B1719&lt;&gt;B1718,A1719-A1718&gt;$U$1),1,""))&lt;&gt;1,"",IF(C1719="B01",1965,IF(C1719="B02",1020,IF(C1719="B05",2400,IF(C1719="B03",4260,IF(C1719="B04",2880,IF(C1719="B20",1260,0)))))))</f>
        <v/>
      </c>
      <c r="F1719" s="8" t="str">
        <f>IF(IF(D1719&lt;&gt;D1718,1,IF(OR(B1719&lt;&gt;B1718,A1719-A1718&gt;$U$1),1,""))&lt;&gt;1,"",IF(C1719="B01",1,IF(C1719="B05",1,IF(C1719="B03",1,IF(C1719="B04",1,IF(C1719="B20",1,IF(C1719="B02",1,0)))))))</f>
        <v/>
      </c>
      <c r="G1719"/>
      <c r="H1719" s="2"/>
      <c r="I1719" s="2"/>
      <c r="L1719"/>
      <c r="R1719"/>
    </row>
    <row r="1720" spans="1:18">
      <c r="A1720" s="3">
        <v>45750.254328703704</v>
      </c>
      <c r="B1720" s="2" t="s">
        <v>28</v>
      </c>
      <c r="C1720" s="2" t="s">
        <v>11</v>
      </c>
      <c r="D1720" s="6" t="str">
        <f>CONCATENATE(YEAR(A1720),"/",IF(MONTH(A1720)&lt;10,CONCATENATE("0",MONTH(A1720)),MONTH(A1720)))</f>
        <v>2025/04</v>
      </c>
      <c r="E1720" s="8">
        <f>IF(IF(D1720&lt;&gt;D1719,1,IF(OR(B1720&lt;&gt;B1719,A1720-A1719&gt;$U$1),1,""))&lt;&gt;1,"",IF(C1720="B01",1965,IF(C1720="B02",1020,IF(C1720="B05",2400,IF(C1720="B03",4260,IF(C1720="B04",2880,IF(C1720="B20",1260,0)))))))</f>
        <v>2400</v>
      </c>
      <c r="F1720" s="8">
        <f>IF(IF(D1720&lt;&gt;D1719,1,IF(OR(B1720&lt;&gt;B1719,A1720-A1719&gt;$U$1),1,""))&lt;&gt;1,"",IF(C1720="B01",1,IF(C1720="B05",1,IF(C1720="B03",1,IF(C1720="B04",1,IF(C1720="B20",1,IF(C1720="B02",1,0)))))))</f>
        <v>1</v>
      </c>
      <c r="G1720"/>
      <c r="H1720" s="2"/>
      <c r="I1720" s="2"/>
      <c r="L1720"/>
      <c r="R1720"/>
    </row>
    <row r="1721" spans="1:18">
      <c r="A1721" s="3">
        <v>45750.254328703704</v>
      </c>
      <c r="B1721" s="2" t="s">
        <v>28</v>
      </c>
      <c r="C1721" s="2" t="s">
        <v>11</v>
      </c>
      <c r="D1721" s="6" t="str">
        <f>CONCATENATE(YEAR(A1721),"/",IF(MONTH(A1721)&lt;10,CONCATENATE("0",MONTH(A1721)),MONTH(A1721)))</f>
        <v>2025/04</v>
      </c>
      <c r="E1721" s="8" t="str">
        <f>IF(IF(D1721&lt;&gt;D1720,1,IF(OR(B1721&lt;&gt;B1720,A1721-A1720&gt;$U$1),1,""))&lt;&gt;1,"",IF(C1721="B01",1965,IF(C1721="B02",1020,IF(C1721="B05",2400,IF(C1721="B03",4260,IF(C1721="B04",2880,IF(C1721="B20",1260,0)))))))</f>
        <v/>
      </c>
      <c r="F1721" s="8" t="str">
        <f>IF(IF(D1721&lt;&gt;D1720,1,IF(OR(B1721&lt;&gt;B1720,A1721-A1720&gt;$U$1),1,""))&lt;&gt;1,"",IF(C1721="B01",1,IF(C1721="B05",1,IF(C1721="B03",1,IF(C1721="B04",1,IF(C1721="B20",1,IF(C1721="B02",1,0)))))))</f>
        <v/>
      </c>
      <c r="G1721"/>
      <c r="H1721" s="2"/>
      <c r="I1721" s="2"/>
      <c r="L1721"/>
      <c r="R1721"/>
    </row>
    <row r="1722" spans="1:18">
      <c r="A1722" s="3">
        <v>45750.254328703704</v>
      </c>
      <c r="B1722" s="2" t="s">
        <v>28</v>
      </c>
      <c r="C1722" s="2" t="s">
        <v>11</v>
      </c>
      <c r="D1722" s="6" t="str">
        <f>CONCATENATE(YEAR(A1722),"/",IF(MONTH(A1722)&lt;10,CONCATENATE("0",MONTH(A1722)),MONTH(A1722)))</f>
        <v>2025/04</v>
      </c>
      <c r="E1722" s="8" t="str">
        <f>IF(IF(D1722&lt;&gt;D1721,1,IF(OR(B1722&lt;&gt;B1721,A1722-A1721&gt;$U$1),1,""))&lt;&gt;1,"",IF(C1722="B01",1965,IF(C1722="B02",1020,IF(C1722="B05",2400,IF(C1722="B03",4260,IF(C1722="B04",2880,IF(C1722="B20",1260,0)))))))</f>
        <v/>
      </c>
      <c r="F1722" s="8" t="str">
        <f>IF(IF(D1722&lt;&gt;D1721,1,IF(OR(B1722&lt;&gt;B1721,A1722-A1721&gt;$U$1),1,""))&lt;&gt;1,"",IF(C1722="B01",1,IF(C1722="B05",1,IF(C1722="B03",1,IF(C1722="B04",1,IF(C1722="B20",1,IF(C1722="B02",1,0)))))))</f>
        <v/>
      </c>
      <c r="G1722"/>
      <c r="H1722" s="2"/>
      <c r="I1722" s="2"/>
      <c r="L1722"/>
      <c r="R1722"/>
    </row>
    <row r="1723" spans="1:18">
      <c r="A1723" s="3">
        <v>45750.457060185188</v>
      </c>
      <c r="B1723" s="2" t="s">
        <v>28</v>
      </c>
      <c r="C1723" s="2" t="s">
        <v>11</v>
      </c>
      <c r="D1723" s="6" t="str">
        <f>CONCATENATE(YEAR(A1723),"/",IF(MONTH(A1723)&lt;10,CONCATENATE("0",MONTH(A1723)),MONTH(A1723)))</f>
        <v>2025/04</v>
      </c>
      <c r="E1723" s="8">
        <f>IF(IF(D1723&lt;&gt;D1722,1,IF(OR(B1723&lt;&gt;B1722,A1723-A1722&gt;$U$1),1,""))&lt;&gt;1,"",IF(C1723="B01",1965,IF(C1723="B02",1020,IF(C1723="B05",2400,IF(C1723="B03",4260,IF(C1723="B04",2880,IF(C1723="B20",1260,0)))))))</f>
        <v>2400</v>
      </c>
      <c r="F1723" s="8">
        <f>IF(IF(D1723&lt;&gt;D1722,1,IF(OR(B1723&lt;&gt;B1722,A1723-A1722&gt;$U$1),1,""))&lt;&gt;1,"",IF(C1723="B01",1,IF(C1723="B05",1,IF(C1723="B03",1,IF(C1723="B04",1,IF(C1723="B20",1,IF(C1723="B02",1,0)))))))</f>
        <v>1</v>
      </c>
      <c r="G1723"/>
      <c r="H1723" s="2"/>
      <c r="I1723" s="2"/>
      <c r="L1723"/>
      <c r="R1723"/>
    </row>
    <row r="1724" spans="1:18">
      <c r="A1724" s="3">
        <v>45750.457060185188</v>
      </c>
      <c r="B1724" s="2" t="s">
        <v>28</v>
      </c>
      <c r="C1724" s="2" t="s">
        <v>11</v>
      </c>
      <c r="D1724" s="6" t="str">
        <f>CONCATENATE(YEAR(A1724),"/",IF(MONTH(A1724)&lt;10,CONCATENATE("0",MONTH(A1724)),MONTH(A1724)))</f>
        <v>2025/04</v>
      </c>
      <c r="E1724" s="8" t="str">
        <f>IF(IF(D1724&lt;&gt;D1723,1,IF(OR(B1724&lt;&gt;B1723,A1724-A1723&gt;$U$1),1,""))&lt;&gt;1,"",IF(C1724="B01",1965,IF(C1724="B02",1020,IF(C1724="B05",2400,IF(C1724="B03",4260,IF(C1724="B04",2880,IF(C1724="B20",1260,0)))))))</f>
        <v/>
      </c>
      <c r="F1724" s="8" t="str">
        <f>IF(IF(D1724&lt;&gt;D1723,1,IF(OR(B1724&lt;&gt;B1723,A1724-A1723&gt;$U$1),1,""))&lt;&gt;1,"",IF(C1724="B01",1,IF(C1724="B05",1,IF(C1724="B03",1,IF(C1724="B04",1,IF(C1724="B20",1,IF(C1724="B02",1,0)))))))</f>
        <v/>
      </c>
      <c r="G1724"/>
      <c r="H1724" s="2"/>
      <c r="I1724" s="2"/>
      <c r="L1724"/>
      <c r="R1724"/>
    </row>
    <row r="1725" spans="1:18">
      <c r="A1725" s="3">
        <v>45750.724247685182</v>
      </c>
      <c r="B1725" s="2" t="s">
        <v>28</v>
      </c>
      <c r="C1725" s="2" t="s">
        <v>11</v>
      </c>
      <c r="D1725" s="6" t="str">
        <f>CONCATENATE(YEAR(A1725),"/",IF(MONTH(A1725)&lt;10,CONCATENATE("0",MONTH(A1725)),MONTH(A1725)))</f>
        <v>2025/04</v>
      </c>
      <c r="E1725" s="8">
        <f>IF(IF(D1725&lt;&gt;D1724,1,IF(OR(B1725&lt;&gt;B1724,A1725-A1724&gt;$U$1),1,""))&lt;&gt;1,"",IF(C1725="B01",1965,IF(C1725="B02",1020,IF(C1725="B05",2400,IF(C1725="B03",4260,IF(C1725="B04",2880,IF(C1725="B20",1260,0)))))))</f>
        <v>2400</v>
      </c>
      <c r="F1725" s="8">
        <f>IF(IF(D1725&lt;&gt;D1724,1,IF(OR(B1725&lt;&gt;B1724,A1725-A1724&gt;$U$1),1,""))&lt;&gt;1,"",IF(C1725="B01",1,IF(C1725="B05",1,IF(C1725="B03",1,IF(C1725="B04",1,IF(C1725="B20",1,IF(C1725="B02",1,0)))))))</f>
        <v>1</v>
      </c>
      <c r="G1725"/>
      <c r="H1725" s="2"/>
      <c r="I1725" s="2"/>
      <c r="L1725"/>
      <c r="R1725"/>
    </row>
    <row r="1726" spans="1:18">
      <c r="A1726" s="3">
        <v>45750.724247685182</v>
      </c>
      <c r="B1726" s="2" t="s">
        <v>28</v>
      </c>
      <c r="C1726" s="2" t="s">
        <v>11</v>
      </c>
      <c r="D1726" s="6" t="str">
        <f>CONCATENATE(YEAR(A1726),"/",IF(MONTH(A1726)&lt;10,CONCATENATE("0",MONTH(A1726)),MONTH(A1726)))</f>
        <v>2025/04</v>
      </c>
      <c r="E1726" s="8" t="str">
        <f>IF(IF(D1726&lt;&gt;D1725,1,IF(OR(B1726&lt;&gt;B1725,A1726-A1725&gt;$U$1),1,""))&lt;&gt;1,"",IF(C1726="B01",1965,IF(C1726="B02",1020,IF(C1726="B05",2400,IF(C1726="B03",4260,IF(C1726="B04",2880,IF(C1726="B20",1260,0)))))))</f>
        <v/>
      </c>
      <c r="F1726" s="8" t="str">
        <f>IF(IF(D1726&lt;&gt;D1725,1,IF(OR(B1726&lt;&gt;B1725,A1726-A1725&gt;$U$1),1,""))&lt;&gt;1,"",IF(C1726="B01",1,IF(C1726="B05",1,IF(C1726="B03",1,IF(C1726="B04",1,IF(C1726="B20",1,IF(C1726="B02",1,0)))))))</f>
        <v/>
      </c>
      <c r="G1726"/>
      <c r="H1726" s="2"/>
      <c r="I1726" s="2"/>
      <c r="L1726"/>
      <c r="R1726"/>
    </row>
    <row r="1727" spans="1:18">
      <c r="A1727" s="3">
        <v>45750.724247685182</v>
      </c>
      <c r="B1727" s="2" t="s">
        <v>28</v>
      </c>
      <c r="C1727" s="2" t="s">
        <v>11</v>
      </c>
      <c r="D1727" s="6" t="str">
        <f>CONCATENATE(YEAR(A1727),"/",IF(MONTH(A1727)&lt;10,CONCATENATE("0",MONTH(A1727)),MONTH(A1727)))</f>
        <v>2025/04</v>
      </c>
      <c r="E1727" s="8" t="str">
        <f>IF(IF(D1727&lt;&gt;D1726,1,IF(OR(B1727&lt;&gt;B1726,A1727-A1726&gt;$U$1),1,""))&lt;&gt;1,"",IF(C1727="B01",1965,IF(C1727="B02",1020,IF(C1727="B05",2400,IF(C1727="B03",4260,IF(C1727="B04",2880,IF(C1727="B20",1260,0)))))))</f>
        <v/>
      </c>
      <c r="F1727" s="8" t="str">
        <f>IF(IF(D1727&lt;&gt;D1726,1,IF(OR(B1727&lt;&gt;B1726,A1727-A1726&gt;$U$1),1,""))&lt;&gt;1,"",IF(C1727="B01",1,IF(C1727="B05",1,IF(C1727="B03",1,IF(C1727="B04",1,IF(C1727="B20",1,IF(C1727="B02",1,0)))))))</f>
        <v/>
      </c>
      <c r="G1727"/>
      <c r="H1727" s="2"/>
      <c r="I1727" s="2"/>
      <c r="L1727"/>
      <c r="R1727"/>
    </row>
    <row r="1728" spans="1:18">
      <c r="A1728" s="3">
        <v>45750.919699074075</v>
      </c>
      <c r="B1728" s="2" t="s">
        <v>28</v>
      </c>
      <c r="C1728" s="2" t="s">
        <v>11</v>
      </c>
      <c r="D1728" s="6" t="str">
        <f>CONCATENATE(YEAR(A1728),"/",IF(MONTH(A1728)&lt;10,CONCATENATE("0",MONTH(A1728)),MONTH(A1728)))</f>
        <v>2025/04</v>
      </c>
      <c r="E1728" s="8">
        <f>IF(IF(D1728&lt;&gt;D1727,1,IF(OR(B1728&lt;&gt;B1727,A1728-A1727&gt;$U$1),1,""))&lt;&gt;1,"",IF(C1728="B01",1965,IF(C1728="B02",1020,IF(C1728="B05",2400,IF(C1728="B03",4260,IF(C1728="B04",2880,IF(C1728="B20",1260,0)))))))</f>
        <v>2400</v>
      </c>
      <c r="F1728" s="8">
        <f>IF(IF(D1728&lt;&gt;D1727,1,IF(OR(B1728&lt;&gt;B1727,A1728-A1727&gt;$U$1),1,""))&lt;&gt;1,"",IF(C1728="B01",1,IF(C1728="B05",1,IF(C1728="B03",1,IF(C1728="B04",1,IF(C1728="B20",1,IF(C1728="B02",1,0)))))))</f>
        <v>1</v>
      </c>
      <c r="G1728"/>
      <c r="H1728" s="2"/>
      <c r="I1728" s="2"/>
      <c r="L1728"/>
      <c r="R1728"/>
    </row>
    <row r="1729" spans="1:18">
      <c r="A1729" s="3">
        <v>45750.919699074075</v>
      </c>
      <c r="B1729" s="2" t="s">
        <v>28</v>
      </c>
      <c r="C1729" s="2" t="s">
        <v>11</v>
      </c>
      <c r="D1729" s="6" t="str">
        <f>CONCATENATE(YEAR(A1729),"/",IF(MONTH(A1729)&lt;10,CONCATENATE("0",MONTH(A1729)),MONTH(A1729)))</f>
        <v>2025/04</v>
      </c>
      <c r="E1729" s="8" t="str">
        <f>IF(IF(D1729&lt;&gt;D1728,1,IF(OR(B1729&lt;&gt;B1728,A1729-A1728&gt;$U$1),1,""))&lt;&gt;1,"",IF(C1729="B01",1965,IF(C1729="B02",1020,IF(C1729="B05",2400,IF(C1729="B03",4260,IF(C1729="B04",2880,IF(C1729="B20",1260,0)))))))</f>
        <v/>
      </c>
      <c r="F1729" s="8" t="str">
        <f>IF(IF(D1729&lt;&gt;D1728,1,IF(OR(B1729&lt;&gt;B1728,A1729-A1728&gt;$U$1),1,""))&lt;&gt;1,"",IF(C1729="B01",1,IF(C1729="B05",1,IF(C1729="B03",1,IF(C1729="B04",1,IF(C1729="B20",1,IF(C1729="B02",1,0)))))))</f>
        <v/>
      </c>
      <c r="G1729"/>
      <c r="H1729" s="2"/>
      <c r="I1729" s="2"/>
      <c r="L1729"/>
      <c r="R1729"/>
    </row>
    <row r="1730" spans="1:18">
      <c r="A1730" s="3">
        <v>45750.919699074075</v>
      </c>
      <c r="B1730" s="2" t="s">
        <v>28</v>
      </c>
      <c r="C1730" s="2" t="s">
        <v>11</v>
      </c>
      <c r="D1730" s="6" t="str">
        <f>CONCATENATE(YEAR(A1730),"/",IF(MONTH(A1730)&lt;10,CONCATENATE("0",MONTH(A1730)),MONTH(A1730)))</f>
        <v>2025/04</v>
      </c>
      <c r="E1730" s="8" t="str">
        <f>IF(IF(D1730&lt;&gt;D1729,1,IF(OR(B1730&lt;&gt;B1729,A1730-A1729&gt;$U$1),1,""))&lt;&gt;1,"",IF(C1730="B01",1965,IF(C1730="B02",1020,IF(C1730="B05",2400,IF(C1730="B03",4260,IF(C1730="B04",2880,IF(C1730="B20",1260,0)))))))</f>
        <v/>
      </c>
      <c r="F1730" s="8" t="str">
        <f>IF(IF(D1730&lt;&gt;D1729,1,IF(OR(B1730&lt;&gt;B1729,A1730-A1729&gt;$U$1),1,""))&lt;&gt;1,"",IF(C1730="B01",1,IF(C1730="B05",1,IF(C1730="B03",1,IF(C1730="B04",1,IF(C1730="B20",1,IF(C1730="B02",1,0)))))))</f>
        <v/>
      </c>
      <c r="G1730"/>
      <c r="H1730" s="2"/>
      <c r="I1730" s="2"/>
      <c r="L1730"/>
      <c r="R1730"/>
    </row>
    <row r="1731" spans="1:18">
      <c r="A1731" s="3">
        <v>45751.269201388888</v>
      </c>
      <c r="B1731" s="2" t="s">
        <v>28</v>
      </c>
      <c r="C1731" s="2" t="s">
        <v>11</v>
      </c>
      <c r="D1731" s="6" t="str">
        <f>CONCATENATE(YEAR(A1731),"/",IF(MONTH(A1731)&lt;10,CONCATENATE("0",MONTH(A1731)),MONTH(A1731)))</f>
        <v>2025/04</v>
      </c>
      <c r="E1731" s="8">
        <f>IF(IF(D1731&lt;&gt;D1730,1,IF(OR(B1731&lt;&gt;B1730,A1731-A1730&gt;$U$1),1,""))&lt;&gt;1,"",IF(C1731="B01",1965,IF(C1731="B02",1020,IF(C1731="B05",2400,IF(C1731="B03",4260,IF(C1731="B04",2880,IF(C1731="B20",1260,0)))))))</f>
        <v>2400</v>
      </c>
      <c r="F1731" s="8">
        <f>IF(IF(D1731&lt;&gt;D1730,1,IF(OR(B1731&lt;&gt;B1730,A1731-A1730&gt;$U$1),1,""))&lt;&gt;1,"",IF(C1731="B01",1,IF(C1731="B05",1,IF(C1731="B03",1,IF(C1731="B04",1,IF(C1731="B20",1,IF(C1731="B02",1,0)))))))</f>
        <v>1</v>
      </c>
      <c r="G1731"/>
      <c r="H1731" s="2"/>
      <c r="I1731" s="2"/>
      <c r="L1731"/>
      <c r="R1731"/>
    </row>
    <row r="1732" spans="1:18">
      <c r="A1732" s="3">
        <v>45751.269201388888</v>
      </c>
      <c r="B1732" s="2" t="s">
        <v>28</v>
      </c>
      <c r="C1732" s="2" t="s">
        <v>11</v>
      </c>
      <c r="D1732" s="6" t="str">
        <f>CONCATENATE(YEAR(A1732),"/",IF(MONTH(A1732)&lt;10,CONCATENATE("0",MONTH(A1732)),MONTH(A1732)))</f>
        <v>2025/04</v>
      </c>
      <c r="E1732" s="8" t="str">
        <f>IF(IF(D1732&lt;&gt;D1731,1,IF(OR(B1732&lt;&gt;B1731,A1732-A1731&gt;$U$1),1,""))&lt;&gt;1,"",IF(C1732="B01",1965,IF(C1732="B02",1020,IF(C1732="B05",2400,IF(C1732="B03",4260,IF(C1732="B04",2880,IF(C1732="B20",1260,0)))))))</f>
        <v/>
      </c>
      <c r="F1732" s="8" t="str">
        <f>IF(IF(D1732&lt;&gt;D1731,1,IF(OR(B1732&lt;&gt;B1731,A1732-A1731&gt;$U$1),1,""))&lt;&gt;1,"",IF(C1732="B01",1,IF(C1732="B05",1,IF(C1732="B03",1,IF(C1732="B04",1,IF(C1732="B20",1,IF(C1732="B02",1,0)))))))</f>
        <v/>
      </c>
      <c r="G1732"/>
      <c r="H1732" s="2"/>
      <c r="I1732" s="2"/>
      <c r="L1732"/>
      <c r="R1732"/>
    </row>
    <row r="1733" spans="1:18">
      <c r="A1733" s="3">
        <v>45751.269201388888</v>
      </c>
      <c r="B1733" s="2" t="s">
        <v>28</v>
      </c>
      <c r="C1733" s="2" t="s">
        <v>11</v>
      </c>
      <c r="D1733" s="6" t="str">
        <f>CONCATENATE(YEAR(A1733),"/",IF(MONTH(A1733)&lt;10,CONCATENATE("0",MONTH(A1733)),MONTH(A1733)))</f>
        <v>2025/04</v>
      </c>
      <c r="E1733" s="8" t="str">
        <f>IF(IF(D1733&lt;&gt;D1732,1,IF(OR(B1733&lt;&gt;B1732,A1733-A1732&gt;$U$1),1,""))&lt;&gt;1,"",IF(C1733="B01",1965,IF(C1733="B02",1020,IF(C1733="B05",2400,IF(C1733="B03",4260,IF(C1733="B04",2880,IF(C1733="B20",1260,0)))))))</f>
        <v/>
      </c>
      <c r="F1733" s="8" t="str">
        <f>IF(IF(D1733&lt;&gt;D1732,1,IF(OR(B1733&lt;&gt;B1732,A1733-A1732&gt;$U$1),1,""))&lt;&gt;1,"",IF(C1733="B01",1,IF(C1733="B05",1,IF(C1733="B03",1,IF(C1733="B04",1,IF(C1733="B20",1,IF(C1733="B02",1,0)))))))</f>
        <v/>
      </c>
      <c r="G1733"/>
      <c r="H1733" s="2"/>
      <c r="I1733" s="2"/>
      <c r="L1733"/>
      <c r="R1733"/>
    </row>
    <row r="1734" spans="1:18">
      <c r="A1734" s="3">
        <v>45751.269201388888</v>
      </c>
      <c r="B1734" s="2" t="s">
        <v>28</v>
      </c>
      <c r="C1734" s="2" t="s">
        <v>11</v>
      </c>
      <c r="D1734" s="6" t="str">
        <f>CONCATENATE(YEAR(A1734),"/",IF(MONTH(A1734)&lt;10,CONCATENATE("0",MONTH(A1734)),MONTH(A1734)))</f>
        <v>2025/04</v>
      </c>
      <c r="E1734" s="8" t="str">
        <f>IF(IF(D1734&lt;&gt;D1733,1,IF(OR(B1734&lt;&gt;B1733,A1734-A1733&gt;$U$1),1,""))&lt;&gt;1,"",IF(C1734="B01",1965,IF(C1734="B02",1020,IF(C1734="B05",2400,IF(C1734="B03",4260,IF(C1734="B04",2880,IF(C1734="B20",1260,0)))))))</f>
        <v/>
      </c>
      <c r="F1734" s="8" t="str">
        <f>IF(IF(D1734&lt;&gt;D1733,1,IF(OR(B1734&lt;&gt;B1733,A1734-A1733&gt;$U$1),1,""))&lt;&gt;1,"",IF(C1734="B01",1,IF(C1734="B05",1,IF(C1734="B03",1,IF(C1734="B04",1,IF(C1734="B20",1,IF(C1734="B02",1,0)))))))</f>
        <v/>
      </c>
      <c r="G1734"/>
      <c r="H1734" s="2"/>
      <c r="I1734" s="2"/>
      <c r="L1734"/>
      <c r="R1734"/>
    </row>
    <row r="1735" spans="1:18">
      <c r="A1735" s="3">
        <v>45751.396481481483</v>
      </c>
      <c r="B1735" s="2" t="s">
        <v>28</v>
      </c>
      <c r="C1735" s="2" t="s">
        <v>11</v>
      </c>
      <c r="D1735" s="6" t="str">
        <f>CONCATENATE(YEAR(A1735),"/",IF(MONTH(A1735)&lt;10,CONCATENATE("0",MONTH(A1735)),MONTH(A1735)))</f>
        <v>2025/04</v>
      </c>
      <c r="E1735" s="8">
        <f>IF(IF(D1735&lt;&gt;D1734,1,IF(OR(B1735&lt;&gt;B1734,A1735-A1734&gt;$U$1),1,""))&lt;&gt;1,"",IF(C1735="B01",1965,IF(C1735="B02",1020,IF(C1735="B05",2400,IF(C1735="B03",4260,IF(C1735="B04",2880,IF(C1735="B20",1260,0)))))))</f>
        <v>2400</v>
      </c>
      <c r="F1735" s="8">
        <f>IF(IF(D1735&lt;&gt;D1734,1,IF(OR(B1735&lt;&gt;B1734,A1735-A1734&gt;$U$1),1,""))&lt;&gt;1,"",IF(C1735="B01",1,IF(C1735="B05",1,IF(C1735="B03",1,IF(C1735="B04",1,IF(C1735="B20",1,IF(C1735="B02",1,0)))))))</f>
        <v>1</v>
      </c>
      <c r="G1735"/>
      <c r="H1735" s="2"/>
      <c r="I1735" s="2"/>
      <c r="L1735"/>
      <c r="R1735"/>
    </row>
    <row r="1736" spans="1:18">
      <c r="A1736" s="3">
        <v>45751.396481481483</v>
      </c>
      <c r="B1736" s="2" t="s">
        <v>28</v>
      </c>
      <c r="C1736" s="2" t="s">
        <v>11</v>
      </c>
      <c r="D1736" s="6" t="str">
        <f>CONCATENATE(YEAR(A1736),"/",IF(MONTH(A1736)&lt;10,CONCATENATE("0",MONTH(A1736)),MONTH(A1736)))</f>
        <v>2025/04</v>
      </c>
      <c r="E1736" s="8" t="str">
        <f>IF(IF(D1736&lt;&gt;D1735,1,IF(OR(B1736&lt;&gt;B1735,A1736-A1735&gt;$U$1),1,""))&lt;&gt;1,"",IF(C1736="B01",1965,IF(C1736="B02",1020,IF(C1736="B05",2400,IF(C1736="B03",4260,IF(C1736="B04",2880,IF(C1736="B20",1260,0)))))))</f>
        <v/>
      </c>
      <c r="F1736" s="8" t="str">
        <f>IF(IF(D1736&lt;&gt;D1735,1,IF(OR(B1736&lt;&gt;B1735,A1736-A1735&gt;$U$1),1,""))&lt;&gt;1,"",IF(C1736="B01",1,IF(C1736="B05",1,IF(C1736="B03",1,IF(C1736="B04",1,IF(C1736="B20",1,IF(C1736="B02",1,0)))))))</f>
        <v/>
      </c>
      <c r="G1736"/>
      <c r="H1736" s="2"/>
      <c r="I1736" s="2"/>
      <c r="L1736"/>
      <c r="R1736"/>
    </row>
    <row r="1737" spans="1:18">
      <c r="A1737" s="3">
        <v>45751.396481481483</v>
      </c>
      <c r="B1737" s="2" t="s">
        <v>28</v>
      </c>
      <c r="C1737" s="2" t="s">
        <v>11</v>
      </c>
      <c r="D1737" s="6" t="str">
        <f>CONCATENATE(YEAR(A1737),"/",IF(MONTH(A1737)&lt;10,CONCATENATE("0",MONTH(A1737)),MONTH(A1737)))</f>
        <v>2025/04</v>
      </c>
      <c r="E1737" s="8" t="str">
        <f>IF(IF(D1737&lt;&gt;D1736,1,IF(OR(B1737&lt;&gt;B1736,A1737-A1736&gt;$U$1),1,""))&lt;&gt;1,"",IF(C1737="B01",1965,IF(C1737="B02",1020,IF(C1737="B05",2400,IF(C1737="B03",4260,IF(C1737="B04",2880,IF(C1737="B20",1260,0)))))))</f>
        <v/>
      </c>
      <c r="F1737" s="8" t="str">
        <f>IF(IF(D1737&lt;&gt;D1736,1,IF(OR(B1737&lt;&gt;B1736,A1737-A1736&gt;$U$1),1,""))&lt;&gt;1,"",IF(C1737="B01",1,IF(C1737="B05",1,IF(C1737="B03",1,IF(C1737="B04",1,IF(C1737="B20",1,IF(C1737="B02",1,0)))))))</f>
        <v/>
      </c>
      <c r="G1737"/>
      <c r="H1737" s="2"/>
      <c r="I1737" s="2"/>
      <c r="L1737"/>
      <c r="R1737"/>
    </row>
    <row r="1738" spans="1:18">
      <c r="A1738" s="3">
        <v>45751.558935185189</v>
      </c>
      <c r="B1738" s="2" t="s">
        <v>28</v>
      </c>
      <c r="C1738" s="2" t="s">
        <v>11</v>
      </c>
      <c r="D1738" s="6" t="str">
        <f>CONCATENATE(YEAR(A1738),"/",IF(MONTH(A1738)&lt;10,CONCATENATE("0",MONTH(A1738)),MONTH(A1738)))</f>
        <v>2025/04</v>
      </c>
      <c r="E1738" s="8">
        <f>IF(IF(D1738&lt;&gt;D1737,1,IF(OR(B1738&lt;&gt;B1737,A1738-A1737&gt;$U$1),1,""))&lt;&gt;1,"",IF(C1738="B01",1965,IF(C1738="B02",1020,IF(C1738="B05",2400,IF(C1738="B03",4260,IF(C1738="B04",2880,IF(C1738="B20",1260,0)))))))</f>
        <v>2400</v>
      </c>
      <c r="F1738" s="8">
        <f>IF(IF(D1738&lt;&gt;D1737,1,IF(OR(B1738&lt;&gt;B1737,A1738-A1737&gt;$U$1),1,""))&lt;&gt;1,"",IF(C1738="B01",1,IF(C1738="B05",1,IF(C1738="B03",1,IF(C1738="B04",1,IF(C1738="B20",1,IF(C1738="B02",1,0)))))))</f>
        <v>1</v>
      </c>
      <c r="G1738"/>
      <c r="H1738" s="2"/>
      <c r="I1738" s="2"/>
      <c r="L1738"/>
      <c r="R1738"/>
    </row>
    <row r="1739" spans="1:18">
      <c r="A1739" s="3">
        <v>45751.558935185189</v>
      </c>
      <c r="B1739" s="2" t="s">
        <v>28</v>
      </c>
      <c r="C1739" s="2" t="s">
        <v>11</v>
      </c>
      <c r="D1739" s="6" t="str">
        <f>CONCATENATE(YEAR(A1739),"/",IF(MONTH(A1739)&lt;10,CONCATENATE("0",MONTH(A1739)),MONTH(A1739)))</f>
        <v>2025/04</v>
      </c>
      <c r="E1739" s="8" t="str">
        <f>IF(IF(D1739&lt;&gt;D1738,1,IF(OR(B1739&lt;&gt;B1738,A1739-A1738&gt;$U$1),1,""))&lt;&gt;1,"",IF(C1739="B01",1965,IF(C1739="B02",1020,IF(C1739="B05",2400,IF(C1739="B03",4260,IF(C1739="B04",2880,IF(C1739="B20",1260,0)))))))</f>
        <v/>
      </c>
      <c r="F1739" s="8" t="str">
        <f>IF(IF(D1739&lt;&gt;D1738,1,IF(OR(B1739&lt;&gt;B1738,A1739-A1738&gt;$U$1),1,""))&lt;&gt;1,"",IF(C1739="B01",1,IF(C1739="B05",1,IF(C1739="B03",1,IF(C1739="B04",1,IF(C1739="B20",1,IF(C1739="B02",1,0)))))))</f>
        <v/>
      </c>
      <c r="G1739"/>
      <c r="H1739" s="2"/>
      <c r="I1739" s="2"/>
      <c r="L1739"/>
      <c r="R1739"/>
    </row>
    <row r="1740" spans="1:18">
      <c r="A1740" s="3">
        <v>45751.558935185189</v>
      </c>
      <c r="B1740" s="2" t="s">
        <v>28</v>
      </c>
      <c r="C1740" s="2" t="s">
        <v>11</v>
      </c>
      <c r="D1740" s="6" t="str">
        <f>CONCATENATE(YEAR(A1740),"/",IF(MONTH(A1740)&lt;10,CONCATENATE("0",MONTH(A1740)),MONTH(A1740)))</f>
        <v>2025/04</v>
      </c>
      <c r="E1740" s="8" t="str">
        <f>IF(IF(D1740&lt;&gt;D1739,1,IF(OR(B1740&lt;&gt;B1739,A1740-A1739&gt;$U$1),1,""))&lt;&gt;1,"",IF(C1740="B01",1965,IF(C1740="B02",1020,IF(C1740="B05",2400,IF(C1740="B03",4260,IF(C1740="B04",2880,IF(C1740="B20",1260,0)))))))</f>
        <v/>
      </c>
      <c r="F1740" s="8" t="str">
        <f>IF(IF(D1740&lt;&gt;D1739,1,IF(OR(B1740&lt;&gt;B1739,A1740-A1739&gt;$U$1),1,""))&lt;&gt;1,"",IF(C1740="B01",1,IF(C1740="B05",1,IF(C1740="B03",1,IF(C1740="B04",1,IF(C1740="B20",1,IF(C1740="B02",1,0)))))))</f>
        <v/>
      </c>
      <c r="G1740"/>
      <c r="H1740" s="2"/>
      <c r="I1740" s="2"/>
      <c r="L1740"/>
      <c r="R1740"/>
    </row>
    <row r="1741" spans="1:18">
      <c r="A1741" s="3">
        <v>45751.558935185189</v>
      </c>
      <c r="B1741" s="2" t="s">
        <v>28</v>
      </c>
      <c r="C1741" s="2" t="s">
        <v>11</v>
      </c>
      <c r="D1741" s="6" t="str">
        <f>CONCATENATE(YEAR(A1741),"/",IF(MONTH(A1741)&lt;10,CONCATENATE("0",MONTH(A1741)),MONTH(A1741)))</f>
        <v>2025/04</v>
      </c>
      <c r="E1741" s="8" t="str">
        <f>IF(IF(D1741&lt;&gt;D1740,1,IF(OR(B1741&lt;&gt;B1740,A1741-A1740&gt;$U$1),1,""))&lt;&gt;1,"",IF(C1741="B01",1965,IF(C1741="B02",1020,IF(C1741="B05",2400,IF(C1741="B03",4260,IF(C1741="B04",2880,IF(C1741="B20",1260,0)))))))</f>
        <v/>
      </c>
      <c r="F1741" s="8" t="str">
        <f>IF(IF(D1741&lt;&gt;D1740,1,IF(OR(B1741&lt;&gt;B1740,A1741-A1740&gt;$U$1),1,""))&lt;&gt;1,"",IF(C1741="B01",1,IF(C1741="B05",1,IF(C1741="B03",1,IF(C1741="B04",1,IF(C1741="B20",1,IF(C1741="B02",1,0)))))))</f>
        <v/>
      </c>
      <c r="G1741"/>
      <c r="H1741" s="2"/>
      <c r="I1741" s="2"/>
      <c r="L1741"/>
      <c r="R1741"/>
    </row>
    <row r="1742" spans="1:18">
      <c r="A1742" s="3">
        <v>45751.763912037037</v>
      </c>
      <c r="B1742" s="2" t="s">
        <v>28</v>
      </c>
      <c r="C1742" s="2" t="s">
        <v>11</v>
      </c>
      <c r="D1742" s="6" t="str">
        <f>CONCATENATE(YEAR(A1742),"/",IF(MONTH(A1742)&lt;10,CONCATENATE("0",MONTH(A1742)),MONTH(A1742)))</f>
        <v>2025/04</v>
      </c>
      <c r="E1742" s="8">
        <f>IF(IF(D1742&lt;&gt;D1741,1,IF(OR(B1742&lt;&gt;B1741,A1742-A1741&gt;$U$1),1,""))&lt;&gt;1,"",IF(C1742="B01",1965,IF(C1742="B02",1020,IF(C1742="B05",2400,IF(C1742="B03",4260,IF(C1742="B04",2880,IF(C1742="B20",1260,0)))))))</f>
        <v>2400</v>
      </c>
      <c r="F1742" s="8">
        <f>IF(IF(D1742&lt;&gt;D1741,1,IF(OR(B1742&lt;&gt;B1741,A1742-A1741&gt;$U$1),1,""))&lt;&gt;1,"",IF(C1742="B01",1,IF(C1742="B05",1,IF(C1742="B03",1,IF(C1742="B04",1,IF(C1742="B20",1,IF(C1742="B02",1,0)))))))</f>
        <v>1</v>
      </c>
      <c r="G1742"/>
      <c r="H1742" s="2"/>
      <c r="I1742" s="2"/>
      <c r="L1742"/>
      <c r="R1742"/>
    </row>
    <row r="1743" spans="1:18">
      <c r="A1743" s="3">
        <v>45751.763923611114</v>
      </c>
      <c r="B1743" s="2" t="s">
        <v>28</v>
      </c>
      <c r="C1743" s="2" t="s">
        <v>11</v>
      </c>
      <c r="D1743" s="6" t="str">
        <f>CONCATENATE(YEAR(A1743),"/",IF(MONTH(A1743)&lt;10,CONCATENATE("0",MONTH(A1743)),MONTH(A1743)))</f>
        <v>2025/04</v>
      </c>
      <c r="E1743" s="8" t="str">
        <f>IF(IF(D1743&lt;&gt;D1742,1,IF(OR(B1743&lt;&gt;B1742,A1743-A1742&gt;$U$1),1,""))&lt;&gt;1,"",IF(C1743="B01",1965,IF(C1743="B02",1020,IF(C1743="B05",2400,IF(C1743="B03",4260,IF(C1743="B04",2880,IF(C1743="B20",1260,0)))))))</f>
        <v/>
      </c>
      <c r="F1743" s="8" t="str">
        <f>IF(IF(D1743&lt;&gt;D1742,1,IF(OR(B1743&lt;&gt;B1742,A1743-A1742&gt;$U$1),1,""))&lt;&gt;1,"",IF(C1743="B01",1,IF(C1743="B05",1,IF(C1743="B03",1,IF(C1743="B04",1,IF(C1743="B20",1,IF(C1743="B02",1,0)))))))</f>
        <v/>
      </c>
      <c r="G1743"/>
      <c r="H1743" s="2"/>
      <c r="I1743" s="2"/>
      <c r="L1743"/>
      <c r="R1743"/>
    </row>
    <row r="1744" spans="1:18">
      <c r="A1744" s="3">
        <v>45751.942233796297</v>
      </c>
      <c r="B1744" s="2" t="s">
        <v>28</v>
      </c>
      <c r="C1744" s="2" t="s">
        <v>11</v>
      </c>
      <c r="D1744" s="6" t="str">
        <f>CONCATENATE(YEAR(A1744),"/",IF(MONTH(A1744)&lt;10,CONCATENATE("0",MONTH(A1744)),MONTH(A1744)))</f>
        <v>2025/04</v>
      </c>
      <c r="E1744" s="8">
        <f>IF(IF(D1744&lt;&gt;D1743,1,IF(OR(B1744&lt;&gt;B1743,A1744-A1743&gt;$U$1),1,""))&lt;&gt;1,"",IF(C1744="B01",1965,IF(C1744="B02",1020,IF(C1744="B05",2400,IF(C1744="B03",4260,IF(C1744="B04",2880,IF(C1744="B20",1260,0)))))))</f>
        <v>2400</v>
      </c>
      <c r="F1744" s="8">
        <f>IF(IF(D1744&lt;&gt;D1743,1,IF(OR(B1744&lt;&gt;B1743,A1744-A1743&gt;$U$1),1,""))&lt;&gt;1,"",IF(C1744="B01",1,IF(C1744="B05",1,IF(C1744="B03",1,IF(C1744="B04",1,IF(C1744="B20",1,IF(C1744="B02",1,0)))))))</f>
        <v>1</v>
      </c>
      <c r="G1744"/>
      <c r="H1744" s="2"/>
      <c r="I1744" s="2"/>
      <c r="L1744"/>
      <c r="R1744"/>
    </row>
    <row r="1745" spans="1:18">
      <c r="A1745" s="3">
        <v>45751.942233796297</v>
      </c>
      <c r="B1745" s="2" t="s">
        <v>28</v>
      </c>
      <c r="C1745" s="2" t="s">
        <v>11</v>
      </c>
      <c r="D1745" s="6" t="str">
        <f>CONCATENATE(YEAR(A1745),"/",IF(MONTH(A1745)&lt;10,CONCATENATE("0",MONTH(A1745)),MONTH(A1745)))</f>
        <v>2025/04</v>
      </c>
      <c r="E1745" s="8" t="str">
        <f>IF(IF(D1745&lt;&gt;D1744,1,IF(OR(B1745&lt;&gt;B1744,A1745-A1744&gt;$U$1),1,""))&lt;&gt;1,"",IF(C1745="B01",1965,IF(C1745="B02",1020,IF(C1745="B05",2400,IF(C1745="B03",4260,IF(C1745="B04",2880,IF(C1745="B20",1260,0)))))))</f>
        <v/>
      </c>
      <c r="F1745" s="8" t="str">
        <f>IF(IF(D1745&lt;&gt;D1744,1,IF(OR(B1745&lt;&gt;B1744,A1745-A1744&gt;$U$1),1,""))&lt;&gt;1,"",IF(C1745="B01",1,IF(C1745="B05",1,IF(C1745="B03",1,IF(C1745="B04",1,IF(C1745="B20",1,IF(C1745="B02",1,0)))))))</f>
        <v/>
      </c>
      <c r="G1745"/>
      <c r="H1745" s="2"/>
      <c r="I1745" s="2"/>
      <c r="L1745"/>
      <c r="R1745"/>
    </row>
    <row r="1746" spans="1:18">
      <c r="A1746" s="3">
        <v>45752.157141203701</v>
      </c>
      <c r="B1746" s="2" t="s">
        <v>28</v>
      </c>
      <c r="C1746" s="2" t="s">
        <v>11</v>
      </c>
      <c r="D1746" s="6" t="str">
        <f>CONCATENATE(YEAR(A1746),"/",IF(MONTH(A1746)&lt;10,CONCATENATE("0",MONTH(A1746)),MONTH(A1746)))</f>
        <v>2025/04</v>
      </c>
      <c r="E1746" s="8">
        <f>IF(IF(D1746&lt;&gt;D1745,1,IF(OR(B1746&lt;&gt;B1745,A1746-A1745&gt;$U$1),1,""))&lt;&gt;1,"",IF(C1746="B01",1965,IF(C1746="B02",1020,IF(C1746="B05",2400,IF(C1746="B03",4260,IF(C1746="B04",2880,IF(C1746="B20",1260,0)))))))</f>
        <v>2400</v>
      </c>
      <c r="F1746" s="8">
        <f>IF(IF(D1746&lt;&gt;D1745,1,IF(OR(B1746&lt;&gt;B1745,A1746-A1745&gt;$U$1),1,""))&lt;&gt;1,"",IF(C1746="B01",1,IF(C1746="B05",1,IF(C1746="B03",1,IF(C1746="B04",1,IF(C1746="B20",1,IF(C1746="B02",1,0)))))))</f>
        <v>1</v>
      </c>
      <c r="G1746"/>
      <c r="H1746" s="2"/>
      <c r="I1746" s="2"/>
      <c r="L1746"/>
      <c r="R1746"/>
    </row>
    <row r="1747" spans="1:18">
      <c r="A1747" s="3">
        <v>45752.157141203701</v>
      </c>
      <c r="B1747" s="2" t="s">
        <v>28</v>
      </c>
      <c r="C1747" s="2" t="s">
        <v>11</v>
      </c>
      <c r="D1747" s="6" t="str">
        <f>CONCATENATE(YEAR(A1747),"/",IF(MONTH(A1747)&lt;10,CONCATENATE("0",MONTH(A1747)),MONTH(A1747)))</f>
        <v>2025/04</v>
      </c>
      <c r="E1747" s="8" t="str">
        <f>IF(IF(D1747&lt;&gt;D1746,1,IF(OR(B1747&lt;&gt;B1746,A1747-A1746&gt;$U$1),1,""))&lt;&gt;1,"",IF(C1747="B01",1965,IF(C1747="B02",1020,IF(C1747="B05",2400,IF(C1747="B03",4260,IF(C1747="B04",2880,IF(C1747="B20",1260,0)))))))</f>
        <v/>
      </c>
      <c r="F1747" s="8" t="str">
        <f>IF(IF(D1747&lt;&gt;D1746,1,IF(OR(B1747&lt;&gt;B1746,A1747-A1746&gt;$U$1),1,""))&lt;&gt;1,"",IF(C1747="B01",1,IF(C1747="B05",1,IF(C1747="B03",1,IF(C1747="B04",1,IF(C1747="B20",1,IF(C1747="B02",1,0)))))))</f>
        <v/>
      </c>
      <c r="G1747"/>
      <c r="H1747" s="2"/>
      <c r="I1747" s="2"/>
      <c r="L1747"/>
      <c r="R1747"/>
    </row>
    <row r="1748" spans="1:18">
      <c r="A1748" s="3">
        <v>45752.338634259257</v>
      </c>
      <c r="B1748" s="2" t="s">
        <v>28</v>
      </c>
      <c r="C1748" s="2" t="s">
        <v>11</v>
      </c>
      <c r="D1748" s="6" t="str">
        <f>CONCATENATE(YEAR(A1748),"/",IF(MONTH(A1748)&lt;10,CONCATENATE("0",MONTH(A1748)),MONTH(A1748)))</f>
        <v>2025/04</v>
      </c>
      <c r="E1748" s="8">
        <f>IF(IF(D1748&lt;&gt;D1747,1,IF(OR(B1748&lt;&gt;B1747,A1748-A1747&gt;$U$1),1,""))&lt;&gt;1,"",IF(C1748="B01",1965,IF(C1748="B02",1020,IF(C1748="B05",2400,IF(C1748="B03",4260,IF(C1748="B04",2880,IF(C1748="B20",1260,0)))))))</f>
        <v>2400</v>
      </c>
      <c r="F1748" s="8">
        <f>IF(IF(D1748&lt;&gt;D1747,1,IF(OR(B1748&lt;&gt;B1747,A1748-A1747&gt;$U$1),1,""))&lt;&gt;1,"",IF(C1748="B01",1,IF(C1748="B05",1,IF(C1748="B03",1,IF(C1748="B04",1,IF(C1748="B20",1,IF(C1748="B02",1,0)))))))</f>
        <v>1</v>
      </c>
      <c r="G1748"/>
      <c r="H1748" s="2"/>
      <c r="I1748" s="2"/>
      <c r="L1748"/>
      <c r="R1748"/>
    </row>
    <row r="1749" spans="1:18">
      <c r="A1749" s="3">
        <v>45752.338634259257</v>
      </c>
      <c r="B1749" s="2" t="s">
        <v>28</v>
      </c>
      <c r="C1749" s="2" t="s">
        <v>11</v>
      </c>
      <c r="D1749" s="6" t="str">
        <f>CONCATENATE(YEAR(A1749),"/",IF(MONTH(A1749)&lt;10,CONCATENATE("0",MONTH(A1749)),MONTH(A1749)))</f>
        <v>2025/04</v>
      </c>
      <c r="E1749" s="8" t="str">
        <f>IF(IF(D1749&lt;&gt;D1748,1,IF(OR(B1749&lt;&gt;B1748,A1749-A1748&gt;$U$1),1,""))&lt;&gt;1,"",IF(C1749="B01",1965,IF(C1749="B02",1020,IF(C1749="B05",2400,IF(C1749="B03",4260,IF(C1749="B04",2880,IF(C1749="B20",1260,0)))))))</f>
        <v/>
      </c>
      <c r="F1749" s="8" t="str">
        <f>IF(IF(D1749&lt;&gt;D1748,1,IF(OR(B1749&lt;&gt;B1748,A1749-A1748&gt;$U$1),1,""))&lt;&gt;1,"",IF(C1749="B01",1,IF(C1749="B05",1,IF(C1749="B03",1,IF(C1749="B04",1,IF(C1749="B20",1,IF(C1749="B02",1,0)))))))</f>
        <v/>
      </c>
      <c r="G1749"/>
      <c r="H1749" s="2"/>
      <c r="I1749" s="2"/>
      <c r="L1749"/>
      <c r="R1749"/>
    </row>
    <row r="1750" spans="1:18">
      <c r="A1750" s="3">
        <v>45752.553854166668</v>
      </c>
      <c r="B1750" s="2" t="s">
        <v>28</v>
      </c>
      <c r="C1750" s="2" t="s">
        <v>11</v>
      </c>
      <c r="D1750" s="6" t="str">
        <f>CONCATENATE(YEAR(A1750),"/",IF(MONTH(A1750)&lt;10,CONCATENATE("0",MONTH(A1750)),MONTH(A1750)))</f>
        <v>2025/04</v>
      </c>
      <c r="E1750" s="8">
        <f>IF(IF(D1750&lt;&gt;D1749,1,IF(OR(B1750&lt;&gt;B1749,A1750-A1749&gt;$U$1),1,""))&lt;&gt;1,"",IF(C1750="B01",1965,IF(C1750="B02",1020,IF(C1750="B05",2400,IF(C1750="B03",4260,IF(C1750="B04",2880,IF(C1750="B20",1260,0)))))))</f>
        <v>2400</v>
      </c>
      <c r="F1750" s="8">
        <f>IF(IF(D1750&lt;&gt;D1749,1,IF(OR(B1750&lt;&gt;B1749,A1750-A1749&gt;$U$1),1,""))&lt;&gt;1,"",IF(C1750="B01",1,IF(C1750="B05",1,IF(C1750="B03",1,IF(C1750="B04",1,IF(C1750="B20",1,IF(C1750="B02",1,0)))))))</f>
        <v>1</v>
      </c>
      <c r="G1750"/>
      <c r="H1750" s="2"/>
      <c r="I1750" s="2"/>
      <c r="L1750"/>
      <c r="R1750"/>
    </row>
    <row r="1751" spans="1:18">
      <c r="A1751" s="3">
        <v>45752.553854166668</v>
      </c>
      <c r="B1751" s="2" t="s">
        <v>28</v>
      </c>
      <c r="C1751" s="2" t="s">
        <v>11</v>
      </c>
      <c r="D1751" s="6" t="str">
        <f>CONCATENATE(YEAR(A1751),"/",IF(MONTH(A1751)&lt;10,CONCATENATE("0",MONTH(A1751)),MONTH(A1751)))</f>
        <v>2025/04</v>
      </c>
      <c r="E1751" s="8" t="str">
        <f>IF(IF(D1751&lt;&gt;D1750,1,IF(OR(B1751&lt;&gt;B1750,A1751-A1750&gt;$U$1),1,""))&lt;&gt;1,"",IF(C1751="B01",1965,IF(C1751="B02",1020,IF(C1751="B05",2400,IF(C1751="B03",4260,IF(C1751="B04",2880,IF(C1751="B20",1260,0)))))))</f>
        <v/>
      </c>
      <c r="F1751" s="8" t="str">
        <f>IF(IF(D1751&lt;&gt;D1750,1,IF(OR(B1751&lt;&gt;B1750,A1751-A1750&gt;$U$1),1,""))&lt;&gt;1,"",IF(C1751="B01",1,IF(C1751="B05",1,IF(C1751="B03",1,IF(C1751="B04",1,IF(C1751="B20",1,IF(C1751="B02",1,0)))))))</f>
        <v/>
      </c>
      <c r="G1751"/>
      <c r="H1751" s="2"/>
      <c r="I1751" s="2"/>
      <c r="L1751"/>
      <c r="R1751"/>
    </row>
    <row r="1752" spans="1:18">
      <c r="A1752" s="3">
        <v>45752.674629629626</v>
      </c>
      <c r="B1752" s="2" t="s">
        <v>28</v>
      </c>
      <c r="C1752" s="2" t="s">
        <v>11</v>
      </c>
      <c r="D1752" s="6" t="str">
        <f>CONCATENATE(YEAR(A1752),"/",IF(MONTH(A1752)&lt;10,CONCATENATE("0",MONTH(A1752)),MONTH(A1752)))</f>
        <v>2025/04</v>
      </c>
      <c r="E1752" s="8">
        <f>IF(IF(D1752&lt;&gt;D1751,1,IF(OR(B1752&lt;&gt;B1751,A1752-A1751&gt;$U$1),1,""))&lt;&gt;1,"",IF(C1752="B01",1965,IF(C1752="B02",1020,IF(C1752="B05",2400,IF(C1752="B03",4260,IF(C1752="B04",2880,IF(C1752="B20",1260,0)))))))</f>
        <v>2400</v>
      </c>
      <c r="F1752" s="8">
        <f>IF(IF(D1752&lt;&gt;D1751,1,IF(OR(B1752&lt;&gt;B1751,A1752-A1751&gt;$U$1),1,""))&lt;&gt;1,"",IF(C1752="B01",1,IF(C1752="B05",1,IF(C1752="B03",1,IF(C1752="B04",1,IF(C1752="B20",1,IF(C1752="B02",1,0)))))))</f>
        <v>1</v>
      </c>
      <c r="G1752"/>
      <c r="H1752" s="2"/>
      <c r="I1752" s="2"/>
      <c r="L1752"/>
      <c r="R1752"/>
    </row>
    <row r="1753" spans="1:18">
      <c r="A1753" s="3">
        <v>45752.674629629626</v>
      </c>
      <c r="B1753" s="2" t="s">
        <v>28</v>
      </c>
      <c r="C1753" s="2" t="s">
        <v>11</v>
      </c>
      <c r="D1753" s="6" t="str">
        <f>CONCATENATE(YEAR(A1753),"/",IF(MONTH(A1753)&lt;10,CONCATENATE("0",MONTH(A1753)),MONTH(A1753)))</f>
        <v>2025/04</v>
      </c>
      <c r="E1753" s="8" t="str">
        <f>IF(IF(D1753&lt;&gt;D1752,1,IF(OR(B1753&lt;&gt;B1752,A1753-A1752&gt;$U$1),1,""))&lt;&gt;1,"",IF(C1753="B01",1965,IF(C1753="B02",1020,IF(C1753="B05",2400,IF(C1753="B03",4260,IF(C1753="B04",2880,IF(C1753="B20",1260,0)))))))</f>
        <v/>
      </c>
      <c r="F1753" s="8" t="str">
        <f>IF(IF(D1753&lt;&gt;D1752,1,IF(OR(B1753&lt;&gt;B1752,A1753-A1752&gt;$U$1),1,""))&lt;&gt;1,"",IF(C1753="B01",1,IF(C1753="B05",1,IF(C1753="B03",1,IF(C1753="B04",1,IF(C1753="B20",1,IF(C1753="B02",1,0)))))))</f>
        <v/>
      </c>
      <c r="G1753"/>
      <c r="H1753" s="2"/>
      <c r="I1753" s="2"/>
      <c r="L1753"/>
      <c r="R1753"/>
    </row>
    <row r="1754" spans="1:18">
      <c r="A1754" s="3">
        <v>45752.674629629626</v>
      </c>
      <c r="B1754" s="2" t="s">
        <v>28</v>
      </c>
      <c r="C1754" s="2" t="s">
        <v>11</v>
      </c>
      <c r="D1754" s="6" t="str">
        <f>CONCATENATE(YEAR(A1754),"/",IF(MONTH(A1754)&lt;10,CONCATENATE("0",MONTH(A1754)),MONTH(A1754)))</f>
        <v>2025/04</v>
      </c>
      <c r="E1754" s="8" t="str">
        <f>IF(IF(D1754&lt;&gt;D1753,1,IF(OR(B1754&lt;&gt;B1753,A1754-A1753&gt;$U$1),1,""))&lt;&gt;1,"",IF(C1754="B01",1965,IF(C1754="B02",1020,IF(C1754="B05",2400,IF(C1754="B03",4260,IF(C1754="B04",2880,IF(C1754="B20",1260,0)))))))</f>
        <v/>
      </c>
      <c r="F1754" s="8" t="str">
        <f>IF(IF(D1754&lt;&gt;D1753,1,IF(OR(B1754&lt;&gt;B1753,A1754-A1753&gt;$U$1),1,""))&lt;&gt;1,"",IF(C1754="B01",1,IF(C1754="B05",1,IF(C1754="B03",1,IF(C1754="B04",1,IF(C1754="B20",1,IF(C1754="B02",1,0)))))))</f>
        <v/>
      </c>
      <c r="G1754"/>
      <c r="H1754" s="2"/>
      <c r="I1754" s="2"/>
      <c r="L1754"/>
      <c r="R1754"/>
    </row>
    <row r="1755" spans="1:18">
      <c r="A1755" s="3">
        <v>45752.674629629626</v>
      </c>
      <c r="B1755" s="2" t="s">
        <v>28</v>
      </c>
      <c r="C1755" s="2" t="s">
        <v>11</v>
      </c>
      <c r="D1755" s="6" t="str">
        <f>CONCATENATE(YEAR(A1755),"/",IF(MONTH(A1755)&lt;10,CONCATENATE("0",MONTH(A1755)),MONTH(A1755)))</f>
        <v>2025/04</v>
      </c>
      <c r="E1755" s="8" t="str">
        <f>IF(IF(D1755&lt;&gt;D1754,1,IF(OR(B1755&lt;&gt;B1754,A1755-A1754&gt;$U$1),1,""))&lt;&gt;1,"",IF(C1755="B01",1965,IF(C1755="B02",1020,IF(C1755="B05",2400,IF(C1755="B03",4260,IF(C1755="B04",2880,IF(C1755="B20",1260,0)))))))</f>
        <v/>
      </c>
      <c r="F1755" s="8" t="str">
        <f>IF(IF(D1755&lt;&gt;D1754,1,IF(OR(B1755&lt;&gt;B1754,A1755-A1754&gt;$U$1),1,""))&lt;&gt;1,"",IF(C1755="B01",1,IF(C1755="B05",1,IF(C1755="B03",1,IF(C1755="B04",1,IF(C1755="B20",1,IF(C1755="B02",1,0)))))))</f>
        <v/>
      </c>
      <c r="G1755"/>
      <c r="H1755" s="2"/>
      <c r="I1755" s="2"/>
      <c r="L1755"/>
      <c r="R1755"/>
    </row>
    <row r="1756" spans="1:18">
      <c r="A1756" s="3">
        <v>45752.856990740744</v>
      </c>
      <c r="B1756" s="2" t="s">
        <v>28</v>
      </c>
      <c r="C1756" s="2" t="s">
        <v>11</v>
      </c>
      <c r="D1756" s="6" t="str">
        <f>CONCATENATE(YEAR(A1756),"/",IF(MONTH(A1756)&lt;10,CONCATENATE("0",MONTH(A1756)),MONTH(A1756)))</f>
        <v>2025/04</v>
      </c>
      <c r="E1756" s="8">
        <f>IF(IF(D1756&lt;&gt;D1755,1,IF(OR(B1756&lt;&gt;B1755,A1756-A1755&gt;$U$1),1,""))&lt;&gt;1,"",IF(C1756="B01",1965,IF(C1756="B02",1020,IF(C1756="B05",2400,IF(C1756="B03",4260,IF(C1756="B04",2880,IF(C1756="B20",1260,0)))))))</f>
        <v>2400</v>
      </c>
      <c r="F1756" s="8">
        <f>IF(IF(D1756&lt;&gt;D1755,1,IF(OR(B1756&lt;&gt;B1755,A1756-A1755&gt;$U$1),1,""))&lt;&gt;1,"",IF(C1756="B01",1,IF(C1756="B05",1,IF(C1756="B03",1,IF(C1756="B04",1,IF(C1756="B20",1,IF(C1756="B02",1,0)))))))</f>
        <v>1</v>
      </c>
      <c r="G1756"/>
      <c r="H1756" s="2"/>
      <c r="I1756" s="2"/>
      <c r="L1756"/>
      <c r="R1756"/>
    </row>
    <row r="1757" spans="1:18">
      <c r="A1757" s="3">
        <v>45752.856990740744</v>
      </c>
      <c r="B1757" s="2" t="s">
        <v>28</v>
      </c>
      <c r="C1757" s="2" t="s">
        <v>11</v>
      </c>
      <c r="D1757" s="6" t="str">
        <f>CONCATENATE(YEAR(A1757),"/",IF(MONTH(A1757)&lt;10,CONCATENATE("0",MONTH(A1757)),MONTH(A1757)))</f>
        <v>2025/04</v>
      </c>
      <c r="E1757" s="8" t="str">
        <f>IF(IF(D1757&lt;&gt;D1756,1,IF(OR(B1757&lt;&gt;B1756,A1757-A1756&gt;$U$1),1,""))&lt;&gt;1,"",IF(C1757="B01",1965,IF(C1757="B02",1020,IF(C1757="B05",2400,IF(C1757="B03",4260,IF(C1757="B04",2880,IF(C1757="B20",1260,0)))))))</f>
        <v/>
      </c>
      <c r="F1757" s="8" t="str">
        <f>IF(IF(D1757&lt;&gt;D1756,1,IF(OR(B1757&lt;&gt;B1756,A1757-A1756&gt;$U$1),1,""))&lt;&gt;1,"",IF(C1757="B01",1,IF(C1757="B05",1,IF(C1757="B03",1,IF(C1757="B04",1,IF(C1757="B20",1,IF(C1757="B02",1,0)))))))</f>
        <v/>
      </c>
      <c r="G1757"/>
      <c r="H1757" s="2"/>
      <c r="I1757" s="2"/>
      <c r="L1757"/>
      <c r="R1757"/>
    </row>
    <row r="1758" spans="1:18">
      <c r="A1758" s="3">
        <v>45752.975775462961</v>
      </c>
      <c r="B1758" s="2" t="s">
        <v>28</v>
      </c>
      <c r="C1758" s="2" t="s">
        <v>11</v>
      </c>
      <c r="D1758" s="6" t="str">
        <f>CONCATENATE(YEAR(A1758),"/",IF(MONTH(A1758)&lt;10,CONCATENATE("0",MONTH(A1758)),MONTH(A1758)))</f>
        <v>2025/04</v>
      </c>
      <c r="E1758" s="8">
        <f>IF(IF(D1758&lt;&gt;D1757,1,IF(OR(B1758&lt;&gt;B1757,A1758-A1757&gt;$U$1),1,""))&lt;&gt;1,"",IF(C1758="B01",1965,IF(C1758="B02",1020,IF(C1758="B05",2400,IF(C1758="B03",4260,IF(C1758="B04",2880,IF(C1758="B20",1260,0)))))))</f>
        <v>2400</v>
      </c>
      <c r="F1758" s="8">
        <f>IF(IF(D1758&lt;&gt;D1757,1,IF(OR(B1758&lt;&gt;B1757,A1758-A1757&gt;$U$1),1,""))&lt;&gt;1,"",IF(C1758="B01",1,IF(C1758="B05",1,IF(C1758="B03",1,IF(C1758="B04",1,IF(C1758="B20",1,IF(C1758="B02",1,0)))))))</f>
        <v>1</v>
      </c>
      <c r="G1758"/>
      <c r="H1758" s="2"/>
      <c r="I1758" s="2"/>
      <c r="L1758"/>
      <c r="R1758"/>
    </row>
    <row r="1759" spans="1:18">
      <c r="A1759" s="3">
        <v>45752.975775462961</v>
      </c>
      <c r="B1759" s="2" t="s">
        <v>28</v>
      </c>
      <c r="C1759" s="2" t="s">
        <v>11</v>
      </c>
      <c r="D1759" s="6" t="str">
        <f>CONCATENATE(YEAR(A1759),"/",IF(MONTH(A1759)&lt;10,CONCATENATE("0",MONTH(A1759)),MONTH(A1759)))</f>
        <v>2025/04</v>
      </c>
      <c r="E1759" s="8" t="str">
        <f>IF(IF(D1759&lt;&gt;D1758,1,IF(OR(B1759&lt;&gt;B1758,A1759-A1758&gt;$U$1),1,""))&lt;&gt;1,"",IF(C1759="B01",1965,IF(C1759="B02",1020,IF(C1759="B05",2400,IF(C1759="B03",4260,IF(C1759="B04",2880,IF(C1759="B20",1260,0)))))))</f>
        <v/>
      </c>
      <c r="F1759" s="8" t="str">
        <f>IF(IF(D1759&lt;&gt;D1758,1,IF(OR(B1759&lt;&gt;B1758,A1759-A1758&gt;$U$1),1,""))&lt;&gt;1,"",IF(C1759="B01",1,IF(C1759="B05",1,IF(C1759="B03",1,IF(C1759="B04",1,IF(C1759="B20",1,IF(C1759="B02",1,0)))))))</f>
        <v/>
      </c>
      <c r="G1759"/>
      <c r="H1759" s="2"/>
      <c r="I1759" s="2"/>
      <c r="L1759"/>
      <c r="R1759"/>
    </row>
    <row r="1760" spans="1:18">
      <c r="A1760" s="3">
        <v>45753.425567129627</v>
      </c>
      <c r="B1760" s="2" t="s">
        <v>28</v>
      </c>
      <c r="C1760" s="2" t="s">
        <v>11</v>
      </c>
      <c r="D1760" s="6" t="str">
        <f>CONCATENATE(YEAR(A1760),"/",IF(MONTH(A1760)&lt;10,CONCATENATE("0",MONTH(A1760)),MONTH(A1760)))</f>
        <v>2025/04</v>
      </c>
      <c r="E1760" s="8">
        <f>IF(IF(D1760&lt;&gt;D1759,1,IF(OR(B1760&lt;&gt;B1759,A1760-A1759&gt;$U$1),1,""))&lt;&gt;1,"",IF(C1760="B01",1965,IF(C1760="B02",1020,IF(C1760="B05",2400,IF(C1760="B03",4260,IF(C1760="B04",2880,IF(C1760="B20",1260,0)))))))</f>
        <v>2400</v>
      </c>
      <c r="F1760" s="8">
        <f>IF(IF(D1760&lt;&gt;D1759,1,IF(OR(B1760&lt;&gt;B1759,A1760-A1759&gt;$U$1),1,""))&lt;&gt;1,"",IF(C1760="B01",1,IF(C1760="B05",1,IF(C1760="B03",1,IF(C1760="B04",1,IF(C1760="B20",1,IF(C1760="B02",1,0)))))))</f>
        <v>1</v>
      </c>
      <c r="G1760"/>
      <c r="H1760" s="2"/>
      <c r="I1760" s="2"/>
      <c r="L1760"/>
      <c r="R1760"/>
    </row>
    <row r="1761" spans="1:18">
      <c r="A1761" s="3">
        <v>45753.425567129627</v>
      </c>
      <c r="B1761" s="2" t="s">
        <v>28</v>
      </c>
      <c r="C1761" s="2" t="s">
        <v>11</v>
      </c>
      <c r="D1761" s="6" t="str">
        <f>CONCATENATE(YEAR(A1761),"/",IF(MONTH(A1761)&lt;10,CONCATENATE("0",MONTH(A1761)),MONTH(A1761)))</f>
        <v>2025/04</v>
      </c>
      <c r="E1761" s="8" t="str">
        <f>IF(IF(D1761&lt;&gt;D1760,1,IF(OR(B1761&lt;&gt;B1760,A1761-A1760&gt;$U$1),1,""))&lt;&gt;1,"",IF(C1761="B01",1965,IF(C1761="B02",1020,IF(C1761="B05",2400,IF(C1761="B03",4260,IF(C1761="B04",2880,IF(C1761="B20",1260,0)))))))</f>
        <v/>
      </c>
      <c r="F1761" s="8" t="str">
        <f>IF(IF(D1761&lt;&gt;D1760,1,IF(OR(B1761&lt;&gt;B1760,A1761-A1760&gt;$U$1),1,""))&lt;&gt;1,"",IF(C1761="B01",1,IF(C1761="B05",1,IF(C1761="B03",1,IF(C1761="B04",1,IF(C1761="B20",1,IF(C1761="B02",1,0)))))))</f>
        <v/>
      </c>
      <c r="G1761"/>
      <c r="H1761" s="2"/>
      <c r="I1761" s="2"/>
      <c r="L1761"/>
      <c r="R1761"/>
    </row>
    <row r="1762" spans="1:18">
      <c r="A1762" s="3">
        <v>45753.425567129627</v>
      </c>
      <c r="B1762" s="2" t="s">
        <v>28</v>
      </c>
      <c r="C1762" s="2" t="s">
        <v>11</v>
      </c>
      <c r="D1762" s="6" t="str">
        <f>CONCATENATE(YEAR(A1762),"/",IF(MONTH(A1762)&lt;10,CONCATENATE("0",MONTH(A1762)),MONTH(A1762)))</f>
        <v>2025/04</v>
      </c>
      <c r="E1762" s="8" t="str">
        <f>IF(IF(D1762&lt;&gt;D1761,1,IF(OR(B1762&lt;&gt;B1761,A1762-A1761&gt;$U$1),1,""))&lt;&gt;1,"",IF(C1762="B01",1965,IF(C1762="B02",1020,IF(C1762="B05",2400,IF(C1762="B03",4260,IF(C1762="B04",2880,IF(C1762="B20",1260,0)))))))</f>
        <v/>
      </c>
      <c r="F1762" s="8" t="str">
        <f>IF(IF(D1762&lt;&gt;D1761,1,IF(OR(B1762&lt;&gt;B1761,A1762-A1761&gt;$U$1),1,""))&lt;&gt;1,"",IF(C1762="B01",1,IF(C1762="B05",1,IF(C1762="B03",1,IF(C1762="B04",1,IF(C1762="B20",1,IF(C1762="B02",1,0)))))))</f>
        <v/>
      </c>
      <c r="G1762"/>
      <c r="H1762" s="2"/>
      <c r="I1762" s="2"/>
      <c r="L1762"/>
      <c r="R1762"/>
    </row>
    <row r="1763" spans="1:18">
      <c r="A1763" s="3">
        <v>45753.425567129627</v>
      </c>
      <c r="B1763" s="2" t="s">
        <v>28</v>
      </c>
      <c r="C1763" s="2" t="s">
        <v>11</v>
      </c>
      <c r="D1763" s="6" t="str">
        <f>CONCATENATE(YEAR(A1763),"/",IF(MONTH(A1763)&lt;10,CONCATENATE("0",MONTH(A1763)),MONTH(A1763)))</f>
        <v>2025/04</v>
      </c>
      <c r="E1763" s="8" t="str">
        <f>IF(IF(D1763&lt;&gt;D1762,1,IF(OR(B1763&lt;&gt;B1762,A1763-A1762&gt;$U$1),1,""))&lt;&gt;1,"",IF(C1763="B01",1965,IF(C1763="B02",1020,IF(C1763="B05",2400,IF(C1763="B03",4260,IF(C1763="B04",2880,IF(C1763="B20",1260,0)))))))</f>
        <v/>
      </c>
      <c r="F1763" s="8" t="str">
        <f>IF(IF(D1763&lt;&gt;D1762,1,IF(OR(B1763&lt;&gt;B1762,A1763-A1762&gt;$U$1),1,""))&lt;&gt;1,"",IF(C1763="B01",1,IF(C1763="B05",1,IF(C1763="B03",1,IF(C1763="B04",1,IF(C1763="B20",1,IF(C1763="B02",1,0)))))))</f>
        <v/>
      </c>
      <c r="G1763"/>
      <c r="H1763" s="2"/>
      <c r="I1763" s="2"/>
      <c r="L1763"/>
      <c r="R1763"/>
    </row>
    <row r="1764" spans="1:18">
      <c r="A1764" s="3">
        <v>45753.578414351854</v>
      </c>
      <c r="B1764" s="2" t="s">
        <v>28</v>
      </c>
      <c r="C1764" s="2" t="s">
        <v>11</v>
      </c>
      <c r="D1764" s="6" t="str">
        <f>CONCATENATE(YEAR(A1764),"/",IF(MONTH(A1764)&lt;10,CONCATENATE("0",MONTH(A1764)),MONTH(A1764)))</f>
        <v>2025/04</v>
      </c>
      <c r="E1764" s="8">
        <f>IF(IF(D1764&lt;&gt;D1763,1,IF(OR(B1764&lt;&gt;B1763,A1764-A1763&gt;$U$1),1,""))&lt;&gt;1,"",IF(C1764="B01",1965,IF(C1764="B02",1020,IF(C1764="B05",2400,IF(C1764="B03",4260,IF(C1764="B04",2880,IF(C1764="B20",1260,0)))))))</f>
        <v>2400</v>
      </c>
      <c r="F1764" s="8">
        <f>IF(IF(D1764&lt;&gt;D1763,1,IF(OR(B1764&lt;&gt;B1763,A1764-A1763&gt;$U$1),1,""))&lt;&gt;1,"",IF(C1764="B01",1,IF(C1764="B05",1,IF(C1764="B03",1,IF(C1764="B04",1,IF(C1764="B20",1,IF(C1764="B02",1,0)))))))</f>
        <v>1</v>
      </c>
      <c r="G1764"/>
      <c r="H1764" s="2"/>
      <c r="I1764" s="2"/>
      <c r="L1764"/>
      <c r="R1764"/>
    </row>
    <row r="1765" spans="1:18">
      <c r="A1765" s="3">
        <v>45753.578414351854</v>
      </c>
      <c r="B1765" s="2" t="s">
        <v>28</v>
      </c>
      <c r="C1765" s="2" t="s">
        <v>11</v>
      </c>
      <c r="D1765" s="6" t="str">
        <f>CONCATENATE(YEAR(A1765),"/",IF(MONTH(A1765)&lt;10,CONCATENATE("0",MONTH(A1765)),MONTH(A1765)))</f>
        <v>2025/04</v>
      </c>
      <c r="E1765" s="8" t="str">
        <f>IF(IF(D1765&lt;&gt;D1764,1,IF(OR(B1765&lt;&gt;B1764,A1765-A1764&gt;$U$1),1,""))&lt;&gt;1,"",IF(C1765="B01",1965,IF(C1765="B02",1020,IF(C1765="B05",2400,IF(C1765="B03",4260,IF(C1765="B04",2880,IF(C1765="B20",1260,0)))))))</f>
        <v/>
      </c>
      <c r="F1765" s="8" t="str">
        <f>IF(IF(D1765&lt;&gt;D1764,1,IF(OR(B1765&lt;&gt;B1764,A1765-A1764&gt;$U$1),1,""))&lt;&gt;1,"",IF(C1765="B01",1,IF(C1765="B05",1,IF(C1765="B03",1,IF(C1765="B04",1,IF(C1765="B20",1,IF(C1765="B02",1,0)))))))</f>
        <v/>
      </c>
      <c r="G1765"/>
      <c r="H1765" s="2"/>
      <c r="I1765" s="2"/>
      <c r="L1765"/>
      <c r="R1765"/>
    </row>
    <row r="1766" spans="1:18">
      <c r="A1766" s="3">
        <v>45753.578414351854</v>
      </c>
      <c r="B1766" s="2" t="s">
        <v>28</v>
      </c>
      <c r="C1766" s="2" t="s">
        <v>11</v>
      </c>
      <c r="D1766" s="6" t="str">
        <f>CONCATENATE(YEAR(A1766),"/",IF(MONTH(A1766)&lt;10,CONCATENATE("0",MONTH(A1766)),MONTH(A1766)))</f>
        <v>2025/04</v>
      </c>
      <c r="E1766" s="8" t="str">
        <f>IF(IF(D1766&lt;&gt;D1765,1,IF(OR(B1766&lt;&gt;B1765,A1766-A1765&gt;$U$1),1,""))&lt;&gt;1,"",IF(C1766="B01",1965,IF(C1766="B02",1020,IF(C1766="B05",2400,IF(C1766="B03",4260,IF(C1766="B04",2880,IF(C1766="B20",1260,0)))))))</f>
        <v/>
      </c>
      <c r="F1766" s="8" t="str">
        <f>IF(IF(D1766&lt;&gt;D1765,1,IF(OR(B1766&lt;&gt;B1765,A1766-A1765&gt;$U$1),1,""))&lt;&gt;1,"",IF(C1766="B01",1,IF(C1766="B05",1,IF(C1766="B03",1,IF(C1766="B04",1,IF(C1766="B20",1,IF(C1766="B02",1,0)))))))</f>
        <v/>
      </c>
      <c r="G1766"/>
      <c r="H1766" s="2"/>
      <c r="I1766" s="2"/>
      <c r="L1766"/>
      <c r="R1766"/>
    </row>
    <row r="1767" spans="1:18">
      <c r="A1767" s="3">
        <v>45753.779988425929</v>
      </c>
      <c r="B1767" s="2" t="s">
        <v>28</v>
      </c>
      <c r="C1767" s="2" t="s">
        <v>11</v>
      </c>
      <c r="D1767" s="6" t="str">
        <f>CONCATENATE(YEAR(A1767),"/",IF(MONTH(A1767)&lt;10,CONCATENATE("0",MONTH(A1767)),MONTH(A1767)))</f>
        <v>2025/04</v>
      </c>
      <c r="E1767" s="8">
        <f>IF(IF(D1767&lt;&gt;D1766,1,IF(OR(B1767&lt;&gt;B1766,A1767-A1766&gt;$U$1),1,""))&lt;&gt;1,"",IF(C1767="B01",1965,IF(C1767="B02",1020,IF(C1767="B05",2400,IF(C1767="B03",4260,IF(C1767="B04",2880,IF(C1767="B20",1260,0)))))))</f>
        <v>2400</v>
      </c>
      <c r="F1767" s="8">
        <f>IF(IF(D1767&lt;&gt;D1766,1,IF(OR(B1767&lt;&gt;B1766,A1767-A1766&gt;$U$1),1,""))&lt;&gt;1,"",IF(C1767="B01",1,IF(C1767="B05",1,IF(C1767="B03",1,IF(C1767="B04",1,IF(C1767="B20",1,IF(C1767="B02",1,0)))))))</f>
        <v>1</v>
      </c>
      <c r="G1767"/>
      <c r="H1767" s="2"/>
      <c r="I1767" s="2"/>
      <c r="L1767"/>
      <c r="R1767"/>
    </row>
    <row r="1768" spans="1:18">
      <c r="A1768" s="3">
        <v>45753.779988425929</v>
      </c>
      <c r="B1768" s="2" t="s">
        <v>28</v>
      </c>
      <c r="C1768" s="2" t="s">
        <v>11</v>
      </c>
      <c r="D1768" s="6" t="str">
        <f>CONCATENATE(YEAR(A1768),"/",IF(MONTH(A1768)&lt;10,CONCATENATE("0",MONTH(A1768)),MONTH(A1768)))</f>
        <v>2025/04</v>
      </c>
      <c r="E1768" s="8" t="str">
        <f>IF(IF(D1768&lt;&gt;D1767,1,IF(OR(B1768&lt;&gt;B1767,A1768-A1767&gt;$U$1),1,""))&lt;&gt;1,"",IF(C1768="B01",1965,IF(C1768="B02",1020,IF(C1768="B05",2400,IF(C1768="B03",4260,IF(C1768="B04",2880,IF(C1768="B20",1260,0)))))))</f>
        <v/>
      </c>
      <c r="F1768" s="8" t="str">
        <f>IF(IF(D1768&lt;&gt;D1767,1,IF(OR(B1768&lt;&gt;B1767,A1768-A1767&gt;$U$1),1,""))&lt;&gt;1,"",IF(C1768="B01",1,IF(C1768="B05",1,IF(C1768="B03",1,IF(C1768="B04",1,IF(C1768="B20",1,IF(C1768="B02",1,0)))))))</f>
        <v/>
      </c>
      <c r="G1768"/>
      <c r="H1768" s="2"/>
      <c r="I1768" s="2"/>
      <c r="L1768"/>
      <c r="R1768"/>
    </row>
    <row r="1769" spans="1:18">
      <c r="A1769" s="3">
        <v>45753.899270833332</v>
      </c>
      <c r="B1769" s="2" t="s">
        <v>28</v>
      </c>
      <c r="C1769" s="2" t="s">
        <v>11</v>
      </c>
      <c r="D1769" s="6" t="str">
        <f>CONCATENATE(YEAR(A1769),"/",IF(MONTH(A1769)&lt;10,CONCATENATE("0",MONTH(A1769)),MONTH(A1769)))</f>
        <v>2025/04</v>
      </c>
      <c r="E1769" s="8">
        <f>IF(IF(D1769&lt;&gt;D1768,1,IF(OR(B1769&lt;&gt;B1768,A1769-A1768&gt;$U$1),1,""))&lt;&gt;1,"",IF(C1769="B01",1965,IF(C1769="B02",1020,IF(C1769="B05",2400,IF(C1769="B03",4260,IF(C1769="B04",2880,IF(C1769="B20",1260,0)))))))</f>
        <v>2400</v>
      </c>
      <c r="F1769" s="8">
        <f>IF(IF(D1769&lt;&gt;D1768,1,IF(OR(B1769&lt;&gt;B1768,A1769-A1768&gt;$U$1),1,""))&lt;&gt;1,"",IF(C1769="B01",1,IF(C1769="B05",1,IF(C1769="B03",1,IF(C1769="B04",1,IF(C1769="B20",1,IF(C1769="B02",1,0)))))))</f>
        <v>1</v>
      </c>
      <c r="G1769"/>
      <c r="H1769" s="2"/>
      <c r="I1769" s="2"/>
      <c r="L1769"/>
      <c r="R1769"/>
    </row>
    <row r="1770" spans="1:18">
      <c r="A1770" s="3">
        <v>45753.899270833332</v>
      </c>
      <c r="B1770" s="2" t="s">
        <v>28</v>
      </c>
      <c r="C1770" s="2" t="s">
        <v>11</v>
      </c>
      <c r="D1770" s="6" t="str">
        <f>CONCATENATE(YEAR(A1770),"/",IF(MONTH(A1770)&lt;10,CONCATENATE("0",MONTH(A1770)),MONTH(A1770)))</f>
        <v>2025/04</v>
      </c>
      <c r="E1770" s="8" t="str">
        <f>IF(IF(D1770&lt;&gt;D1769,1,IF(OR(B1770&lt;&gt;B1769,A1770-A1769&gt;$U$1),1,""))&lt;&gt;1,"",IF(C1770="B01",1965,IF(C1770="B02",1020,IF(C1770="B05",2400,IF(C1770="B03",4260,IF(C1770="B04",2880,IF(C1770="B20",1260,0)))))))</f>
        <v/>
      </c>
      <c r="F1770" s="8" t="str">
        <f>IF(IF(D1770&lt;&gt;D1769,1,IF(OR(B1770&lt;&gt;B1769,A1770-A1769&gt;$U$1),1,""))&lt;&gt;1,"",IF(C1770="B01",1,IF(C1770="B05",1,IF(C1770="B03",1,IF(C1770="B04",1,IF(C1770="B20",1,IF(C1770="B02",1,0)))))))</f>
        <v/>
      </c>
      <c r="G1770"/>
      <c r="H1770" s="2"/>
      <c r="I1770" s="2"/>
      <c r="L1770"/>
      <c r="R1770"/>
    </row>
    <row r="1771" spans="1:18">
      <c r="A1771" s="3">
        <v>45754.034756944442</v>
      </c>
      <c r="B1771" s="2" t="s">
        <v>28</v>
      </c>
      <c r="C1771" s="2" t="s">
        <v>11</v>
      </c>
      <c r="D1771" s="6" t="str">
        <f>CONCATENATE(YEAR(A1771),"/",IF(MONTH(A1771)&lt;10,CONCATENATE("0",MONTH(A1771)),MONTH(A1771)))</f>
        <v>2025/04</v>
      </c>
      <c r="E1771" s="8">
        <f>IF(IF(D1771&lt;&gt;D1770,1,IF(OR(B1771&lt;&gt;B1770,A1771-A1770&gt;$U$1),1,""))&lt;&gt;1,"",IF(C1771="B01",1965,IF(C1771="B02",1020,IF(C1771="B05",2400,IF(C1771="B03",4260,IF(C1771="B04",2880,IF(C1771="B20",1260,0)))))))</f>
        <v>2400</v>
      </c>
      <c r="F1771" s="8">
        <f>IF(IF(D1771&lt;&gt;D1770,1,IF(OR(B1771&lt;&gt;B1770,A1771-A1770&gt;$U$1),1,""))&lt;&gt;1,"",IF(C1771="B01",1,IF(C1771="B05",1,IF(C1771="B03",1,IF(C1771="B04",1,IF(C1771="B20",1,IF(C1771="B02",1,0)))))))</f>
        <v>1</v>
      </c>
      <c r="G1771"/>
      <c r="H1771" s="2"/>
      <c r="I1771" s="2"/>
      <c r="L1771"/>
      <c r="R1771"/>
    </row>
    <row r="1772" spans="1:18">
      <c r="A1772" s="3">
        <v>45754.034756944442</v>
      </c>
      <c r="B1772" s="2" t="s">
        <v>28</v>
      </c>
      <c r="C1772" s="2" t="s">
        <v>11</v>
      </c>
      <c r="D1772" s="6" t="str">
        <f>CONCATENATE(YEAR(A1772),"/",IF(MONTH(A1772)&lt;10,CONCATENATE("0",MONTH(A1772)),MONTH(A1772)))</f>
        <v>2025/04</v>
      </c>
      <c r="E1772" s="8" t="str">
        <f>IF(IF(D1772&lt;&gt;D1771,1,IF(OR(B1772&lt;&gt;B1771,A1772-A1771&gt;$U$1),1,""))&lt;&gt;1,"",IF(C1772="B01",1965,IF(C1772="B02",1020,IF(C1772="B05",2400,IF(C1772="B03",4260,IF(C1772="B04",2880,IF(C1772="B20",1260,0)))))))</f>
        <v/>
      </c>
      <c r="F1772" s="8" t="str">
        <f>IF(IF(D1772&lt;&gt;D1771,1,IF(OR(B1772&lt;&gt;B1771,A1772-A1771&gt;$U$1),1,""))&lt;&gt;1,"",IF(C1772="B01",1,IF(C1772="B05",1,IF(C1772="B03",1,IF(C1772="B04",1,IF(C1772="B20",1,IF(C1772="B02",1,0)))))))</f>
        <v/>
      </c>
      <c r="G1772"/>
      <c r="H1772" s="2"/>
      <c r="I1772" s="2"/>
      <c r="L1772"/>
      <c r="R1772"/>
    </row>
    <row r="1773" spans="1:18">
      <c r="A1773" s="3">
        <v>45754.034756944442</v>
      </c>
      <c r="B1773" s="2" t="s">
        <v>28</v>
      </c>
      <c r="C1773" s="2" t="s">
        <v>11</v>
      </c>
      <c r="D1773" s="6" t="str">
        <f>CONCATENATE(YEAR(A1773),"/",IF(MONTH(A1773)&lt;10,CONCATENATE("0",MONTH(A1773)),MONTH(A1773)))</f>
        <v>2025/04</v>
      </c>
      <c r="E1773" s="8" t="str">
        <f>IF(IF(D1773&lt;&gt;D1772,1,IF(OR(B1773&lt;&gt;B1772,A1773-A1772&gt;$U$1),1,""))&lt;&gt;1,"",IF(C1773="B01",1965,IF(C1773="B02",1020,IF(C1773="B05",2400,IF(C1773="B03",4260,IF(C1773="B04",2880,IF(C1773="B20",1260,0)))))))</f>
        <v/>
      </c>
      <c r="F1773" s="8" t="str">
        <f>IF(IF(D1773&lt;&gt;D1772,1,IF(OR(B1773&lt;&gt;B1772,A1773-A1772&gt;$U$1),1,""))&lt;&gt;1,"",IF(C1773="B01",1,IF(C1773="B05",1,IF(C1773="B03",1,IF(C1773="B04",1,IF(C1773="B20",1,IF(C1773="B02",1,0)))))))</f>
        <v/>
      </c>
      <c r="G1773"/>
      <c r="H1773" s="2"/>
      <c r="I1773" s="2"/>
      <c r="L1773"/>
      <c r="R1773"/>
    </row>
    <row r="1774" spans="1:18">
      <c r="A1774" s="3">
        <v>45754.274780092594</v>
      </c>
      <c r="B1774" s="2" t="s">
        <v>28</v>
      </c>
      <c r="C1774" s="2" t="s">
        <v>11</v>
      </c>
      <c r="D1774" s="6" t="str">
        <f>CONCATENATE(YEAR(A1774),"/",IF(MONTH(A1774)&lt;10,CONCATENATE("0",MONTH(A1774)),MONTH(A1774)))</f>
        <v>2025/04</v>
      </c>
      <c r="E1774" s="8">
        <f>IF(IF(D1774&lt;&gt;D1773,1,IF(OR(B1774&lt;&gt;B1773,A1774-A1773&gt;$U$1),1,""))&lt;&gt;1,"",IF(C1774="B01",1965,IF(C1774="B02",1020,IF(C1774="B05",2400,IF(C1774="B03",4260,IF(C1774="B04",2880,IF(C1774="B20",1260,0)))))))</f>
        <v>2400</v>
      </c>
      <c r="F1774" s="8">
        <f>IF(IF(D1774&lt;&gt;D1773,1,IF(OR(B1774&lt;&gt;B1773,A1774-A1773&gt;$U$1),1,""))&lt;&gt;1,"",IF(C1774="B01",1,IF(C1774="B05",1,IF(C1774="B03",1,IF(C1774="B04",1,IF(C1774="B20",1,IF(C1774="B02",1,0)))))))</f>
        <v>1</v>
      </c>
      <c r="G1774"/>
      <c r="H1774" s="2"/>
      <c r="I1774" s="2"/>
      <c r="L1774"/>
      <c r="R1774"/>
    </row>
    <row r="1775" spans="1:18">
      <c r="A1775" s="3">
        <v>45754.274780092594</v>
      </c>
      <c r="B1775" s="2" t="s">
        <v>28</v>
      </c>
      <c r="C1775" s="2" t="s">
        <v>11</v>
      </c>
      <c r="D1775" s="6" t="str">
        <f>CONCATENATE(YEAR(A1775),"/",IF(MONTH(A1775)&lt;10,CONCATENATE("0",MONTH(A1775)),MONTH(A1775)))</f>
        <v>2025/04</v>
      </c>
      <c r="E1775" s="8" t="str">
        <f>IF(IF(D1775&lt;&gt;D1774,1,IF(OR(B1775&lt;&gt;B1774,A1775-A1774&gt;$U$1),1,""))&lt;&gt;1,"",IF(C1775="B01",1965,IF(C1775="B02",1020,IF(C1775="B05",2400,IF(C1775="B03",4260,IF(C1775="B04",2880,IF(C1775="B20",1260,0)))))))</f>
        <v/>
      </c>
      <c r="F1775" s="8" t="str">
        <f>IF(IF(D1775&lt;&gt;D1774,1,IF(OR(B1775&lt;&gt;B1774,A1775-A1774&gt;$U$1),1,""))&lt;&gt;1,"",IF(C1775="B01",1,IF(C1775="B05",1,IF(C1775="B03",1,IF(C1775="B04",1,IF(C1775="B20",1,IF(C1775="B02",1,0)))))))</f>
        <v/>
      </c>
      <c r="G1775"/>
      <c r="H1775" s="2"/>
      <c r="I1775" s="2"/>
      <c r="L1775"/>
      <c r="R1775"/>
    </row>
    <row r="1776" spans="1:18">
      <c r="A1776" s="3">
        <v>45754.773518518516</v>
      </c>
      <c r="B1776" s="2" t="s">
        <v>28</v>
      </c>
      <c r="C1776" s="2" t="s">
        <v>11</v>
      </c>
      <c r="D1776" s="6" t="str">
        <f>CONCATENATE(YEAR(A1776),"/",IF(MONTH(A1776)&lt;10,CONCATENATE("0",MONTH(A1776)),MONTH(A1776)))</f>
        <v>2025/04</v>
      </c>
      <c r="E1776" s="8">
        <f>IF(IF(D1776&lt;&gt;D1775,1,IF(OR(B1776&lt;&gt;B1775,A1776-A1775&gt;$U$1),1,""))&lt;&gt;1,"",IF(C1776="B01",1965,IF(C1776="B02",1020,IF(C1776="B05",2400,IF(C1776="B03",4260,IF(C1776="B04",2880,IF(C1776="B20",1260,0)))))))</f>
        <v>2400</v>
      </c>
      <c r="F1776" s="8">
        <f>IF(IF(D1776&lt;&gt;D1775,1,IF(OR(B1776&lt;&gt;B1775,A1776-A1775&gt;$U$1),1,""))&lt;&gt;1,"",IF(C1776="B01",1,IF(C1776="B05",1,IF(C1776="B03",1,IF(C1776="B04",1,IF(C1776="B20",1,IF(C1776="B02",1,0)))))))</f>
        <v>1</v>
      </c>
      <c r="G1776"/>
      <c r="H1776" s="2"/>
      <c r="I1776" s="2"/>
      <c r="L1776"/>
      <c r="R1776"/>
    </row>
    <row r="1777" spans="1:18">
      <c r="A1777" s="3">
        <v>45754.773518518516</v>
      </c>
      <c r="B1777" s="2" t="s">
        <v>28</v>
      </c>
      <c r="C1777" s="2" t="s">
        <v>11</v>
      </c>
      <c r="D1777" s="6" t="str">
        <f>CONCATENATE(YEAR(A1777),"/",IF(MONTH(A1777)&lt;10,CONCATENATE("0",MONTH(A1777)),MONTH(A1777)))</f>
        <v>2025/04</v>
      </c>
      <c r="E1777" s="8" t="str">
        <f>IF(IF(D1777&lt;&gt;D1776,1,IF(OR(B1777&lt;&gt;B1776,A1777-A1776&gt;$U$1),1,""))&lt;&gt;1,"",IF(C1777="B01",1965,IF(C1777="B02",1020,IF(C1777="B05",2400,IF(C1777="B03",4260,IF(C1777="B04",2880,IF(C1777="B20",1260,0)))))))</f>
        <v/>
      </c>
      <c r="F1777" s="8" t="str">
        <f>IF(IF(D1777&lt;&gt;D1776,1,IF(OR(B1777&lt;&gt;B1776,A1777-A1776&gt;$U$1),1,""))&lt;&gt;1,"",IF(C1777="B01",1,IF(C1777="B05",1,IF(C1777="B03",1,IF(C1777="B04",1,IF(C1777="B20",1,IF(C1777="B02",1,0)))))))</f>
        <v/>
      </c>
      <c r="G1777"/>
      <c r="H1777" s="2"/>
      <c r="I1777" s="2"/>
      <c r="L1777"/>
      <c r="R1777"/>
    </row>
    <row r="1778" spans="1:18">
      <c r="A1778" s="3">
        <v>45754.965601851851</v>
      </c>
      <c r="B1778" s="2" t="s">
        <v>28</v>
      </c>
      <c r="C1778" s="2" t="s">
        <v>11</v>
      </c>
      <c r="D1778" s="6" t="str">
        <f>CONCATENATE(YEAR(A1778),"/",IF(MONTH(A1778)&lt;10,CONCATENATE("0",MONTH(A1778)),MONTH(A1778)))</f>
        <v>2025/04</v>
      </c>
      <c r="E1778" s="8">
        <f>IF(IF(D1778&lt;&gt;D1777,1,IF(OR(B1778&lt;&gt;B1777,A1778-A1777&gt;$U$1),1,""))&lt;&gt;1,"",IF(C1778="B01",1965,IF(C1778="B02",1020,IF(C1778="B05",2400,IF(C1778="B03",4260,IF(C1778="B04",2880,IF(C1778="B20",1260,0)))))))</f>
        <v>2400</v>
      </c>
      <c r="F1778" s="8">
        <f>IF(IF(D1778&lt;&gt;D1777,1,IF(OR(B1778&lt;&gt;B1777,A1778-A1777&gt;$U$1),1,""))&lt;&gt;1,"",IF(C1778="B01",1,IF(C1778="B05",1,IF(C1778="B03",1,IF(C1778="B04",1,IF(C1778="B20",1,IF(C1778="B02",1,0)))))))</f>
        <v>1</v>
      </c>
      <c r="G1778"/>
      <c r="H1778" s="2"/>
      <c r="I1778" s="2"/>
      <c r="L1778"/>
      <c r="R1778"/>
    </row>
    <row r="1779" spans="1:18">
      <c r="A1779" s="3">
        <v>45754.965601851851</v>
      </c>
      <c r="B1779" s="2" t="s">
        <v>28</v>
      </c>
      <c r="C1779" s="2" t="s">
        <v>11</v>
      </c>
      <c r="D1779" s="6" t="str">
        <f>CONCATENATE(YEAR(A1779),"/",IF(MONTH(A1779)&lt;10,CONCATENATE("0",MONTH(A1779)),MONTH(A1779)))</f>
        <v>2025/04</v>
      </c>
      <c r="E1779" s="8" t="str">
        <f>IF(IF(D1779&lt;&gt;D1778,1,IF(OR(B1779&lt;&gt;B1778,A1779-A1778&gt;$U$1),1,""))&lt;&gt;1,"",IF(C1779="B01",1965,IF(C1779="B02",1020,IF(C1779="B05",2400,IF(C1779="B03",4260,IF(C1779="B04",2880,IF(C1779="B20",1260,0)))))))</f>
        <v/>
      </c>
      <c r="F1779" s="8" t="str">
        <f>IF(IF(D1779&lt;&gt;D1778,1,IF(OR(B1779&lt;&gt;B1778,A1779-A1778&gt;$U$1),1,""))&lt;&gt;1,"",IF(C1779="B01",1,IF(C1779="B05",1,IF(C1779="B03",1,IF(C1779="B04",1,IF(C1779="B20",1,IF(C1779="B02",1,0)))))))</f>
        <v/>
      </c>
      <c r="G1779"/>
      <c r="H1779" s="2"/>
      <c r="I1779" s="2"/>
      <c r="L1779"/>
      <c r="R1779"/>
    </row>
    <row r="1780" spans="1:18">
      <c r="A1780" s="3">
        <v>45754.965601851851</v>
      </c>
      <c r="B1780" s="2" t="s">
        <v>28</v>
      </c>
      <c r="C1780" s="2" t="s">
        <v>11</v>
      </c>
      <c r="D1780" s="6" t="str">
        <f>CONCATENATE(YEAR(A1780),"/",IF(MONTH(A1780)&lt;10,CONCATENATE("0",MONTH(A1780)),MONTH(A1780)))</f>
        <v>2025/04</v>
      </c>
      <c r="E1780" s="8" t="str">
        <f>IF(IF(D1780&lt;&gt;D1779,1,IF(OR(B1780&lt;&gt;B1779,A1780-A1779&gt;$U$1),1,""))&lt;&gt;1,"",IF(C1780="B01",1965,IF(C1780="B02",1020,IF(C1780="B05",2400,IF(C1780="B03",4260,IF(C1780="B04",2880,IF(C1780="B20",1260,0)))))))</f>
        <v/>
      </c>
      <c r="F1780" s="8" t="str">
        <f>IF(IF(D1780&lt;&gt;D1779,1,IF(OR(B1780&lt;&gt;B1779,A1780-A1779&gt;$U$1),1,""))&lt;&gt;1,"",IF(C1780="B01",1,IF(C1780="B05",1,IF(C1780="B03",1,IF(C1780="B04",1,IF(C1780="B20",1,IF(C1780="B02",1,0)))))))</f>
        <v/>
      </c>
      <c r="G1780"/>
      <c r="H1780" s="2"/>
      <c r="I1780" s="2"/>
      <c r="L1780"/>
      <c r="R1780"/>
    </row>
    <row r="1781" spans="1:18">
      <c r="A1781" s="3">
        <v>45755.124594907407</v>
      </c>
      <c r="B1781" s="2" t="s">
        <v>28</v>
      </c>
      <c r="C1781" s="2" t="s">
        <v>39</v>
      </c>
      <c r="D1781" s="6" t="str">
        <f>CONCATENATE(YEAR(A1781),"/",IF(MONTH(A1781)&lt;10,CONCATENATE("0",MONTH(A1781)),MONTH(A1781)))</f>
        <v>2025/04</v>
      </c>
      <c r="E1781" s="8">
        <f>IF(IF(D1781&lt;&gt;D1780,1,IF(OR(B1781&lt;&gt;B1780,A1781-A1780&gt;$U$1),1,""))&lt;&gt;1,"",IF(C1781="B01",1965,IF(C1781="B02",1020,IF(C1781="B05",2400,IF(C1781="B03",4260,IF(C1781="B04",2880,IF(C1781="B20",1260,0)))))))</f>
        <v>1260</v>
      </c>
      <c r="F1781" s="8">
        <f>IF(IF(D1781&lt;&gt;D1780,1,IF(OR(B1781&lt;&gt;B1780,A1781-A1780&gt;$U$1),1,""))&lt;&gt;1,"",IF(C1781="B01",1,IF(C1781="B05",1,IF(C1781="B03",1,IF(C1781="B04",1,IF(C1781="B20",1,IF(C1781="B02",1,0)))))))</f>
        <v>1</v>
      </c>
      <c r="G1781"/>
      <c r="H1781" s="2"/>
      <c r="I1781" s="2"/>
      <c r="L1781"/>
      <c r="R1781"/>
    </row>
    <row r="1782" spans="1:18">
      <c r="A1782" s="3">
        <v>45755.124594907407</v>
      </c>
      <c r="B1782" s="2" t="s">
        <v>28</v>
      </c>
      <c r="C1782" s="2" t="s">
        <v>39</v>
      </c>
      <c r="D1782" s="6" t="str">
        <f>CONCATENATE(YEAR(A1782),"/",IF(MONTH(A1782)&lt;10,CONCATENATE("0",MONTH(A1782)),MONTH(A1782)))</f>
        <v>2025/04</v>
      </c>
      <c r="E1782" s="8" t="str">
        <f>IF(IF(D1782&lt;&gt;D1781,1,IF(OR(B1782&lt;&gt;B1781,A1782-A1781&gt;$U$1),1,""))&lt;&gt;1,"",IF(C1782="B01",1965,IF(C1782="B02",1020,IF(C1782="B05",2400,IF(C1782="B03",4260,IF(C1782="B04",2880,IF(C1782="B20",1260,0)))))))</f>
        <v/>
      </c>
      <c r="F1782" s="8" t="str">
        <f>IF(IF(D1782&lt;&gt;D1781,1,IF(OR(B1782&lt;&gt;B1781,A1782-A1781&gt;$U$1),1,""))&lt;&gt;1,"",IF(C1782="B01",1,IF(C1782="B05",1,IF(C1782="B03",1,IF(C1782="B04",1,IF(C1782="B20",1,IF(C1782="B02",1,0)))))))</f>
        <v/>
      </c>
      <c r="G1782"/>
      <c r="H1782" s="2"/>
      <c r="I1782" s="2"/>
      <c r="L1782"/>
      <c r="R1782"/>
    </row>
    <row r="1783" spans="1:18">
      <c r="A1783" s="3">
        <v>45755.279976851853</v>
      </c>
      <c r="B1783" s="2" t="s">
        <v>28</v>
      </c>
      <c r="C1783" s="2" t="s">
        <v>11</v>
      </c>
      <c r="D1783" s="6" t="str">
        <f>CONCATENATE(YEAR(A1783),"/",IF(MONTH(A1783)&lt;10,CONCATENATE("0",MONTH(A1783)),MONTH(A1783)))</f>
        <v>2025/04</v>
      </c>
      <c r="E1783" s="8">
        <f>IF(IF(D1783&lt;&gt;D1782,1,IF(OR(B1783&lt;&gt;B1782,A1783-A1782&gt;$U$1),1,""))&lt;&gt;1,"",IF(C1783="B01",1965,IF(C1783="B02",1020,IF(C1783="B05",2400,IF(C1783="B03",4260,IF(C1783="B04",2880,IF(C1783="B20",1260,0)))))))</f>
        <v>2400</v>
      </c>
      <c r="F1783" s="8">
        <f>IF(IF(D1783&lt;&gt;D1782,1,IF(OR(B1783&lt;&gt;B1782,A1783-A1782&gt;$U$1),1,""))&lt;&gt;1,"",IF(C1783="B01",1,IF(C1783="B05",1,IF(C1783="B03",1,IF(C1783="B04",1,IF(C1783="B20",1,IF(C1783="B02",1,0)))))))</f>
        <v>1</v>
      </c>
      <c r="G1783"/>
      <c r="H1783" s="2"/>
      <c r="I1783" s="2"/>
      <c r="L1783"/>
      <c r="R1783"/>
    </row>
    <row r="1784" spans="1:18">
      <c r="A1784" s="3">
        <v>45755.279976851853</v>
      </c>
      <c r="B1784" s="2" t="s">
        <v>28</v>
      </c>
      <c r="C1784" s="2" t="s">
        <v>11</v>
      </c>
      <c r="D1784" s="6" t="str">
        <f>CONCATENATE(YEAR(A1784),"/",IF(MONTH(A1784)&lt;10,CONCATENATE("0",MONTH(A1784)),MONTH(A1784)))</f>
        <v>2025/04</v>
      </c>
      <c r="E1784" s="8" t="str">
        <f>IF(IF(D1784&lt;&gt;D1783,1,IF(OR(B1784&lt;&gt;B1783,A1784-A1783&gt;$U$1),1,""))&lt;&gt;1,"",IF(C1784="B01",1965,IF(C1784="B02",1020,IF(C1784="B05",2400,IF(C1784="B03",4260,IF(C1784="B04",2880,IF(C1784="B20",1260,0)))))))</f>
        <v/>
      </c>
      <c r="F1784" s="8" t="str">
        <f>IF(IF(D1784&lt;&gt;D1783,1,IF(OR(B1784&lt;&gt;B1783,A1784-A1783&gt;$U$1),1,""))&lt;&gt;1,"",IF(C1784="B01",1,IF(C1784="B05",1,IF(C1784="B03",1,IF(C1784="B04",1,IF(C1784="B20",1,IF(C1784="B02",1,0)))))))</f>
        <v/>
      </c>
      <c r="G1784"/>
      <c r="H1784" s="2"/>
      <c r="I1784" s="2"/>
      <c r="L1784"/>
      <c r="R1784"/>
    </row>
    <row r="1785" spans="1:18">
      <c r="A1785" s="3">
        <v>45755.396180555559</v>
      </c>
      <c r="B1785" s="2" t="s">
        <v>28</v>
      </c>
      <c r="C1785" s="2" t="s">
        <v>11</v>
      </c>
      <c r="D1785" s="6" t="str">
        <f>CONCATENATE(YEAR(A1785),"/",IF(MONTH(A1785)&lt;10,CONCATENATE("0",MONTH(A1785)),MONTH(A1785)))</f>
        <v>2025/04</v>
      </c>
      <c r="E1785" s="8">
        <f>IF(IF(D1785&lt;&gt;D1784,1,IF(OR(B1785&lt;&gt;B1784,A1785-A1784&gt;$U$1),1,""))&lt;&gt;1,"",IF(C1785="B01",1965,IF(C1785="B02",1020,IF(C1785="B05",2400,IF(C1785="B03",4260,IF(C1785="B04",2880,IF(C1785="B20",1260,0)))))))</f>
        <v>2400</v>
      </c>
      <c r="F1785" s="8">
        <f>IF(IF(D1785&lt;&gt;D1784,1,IF(OR(B1785&lt;&gt;B1784,A1785-A1784&gt;$U$1),1,""))&lt;&gt;1,"",IF(C1785="B01",1,IF(C1785="B05",1,IF(C1785="B03",1,IF(C1785="B04",1,IF(C1785="B20",1,IF(C1785="B02",1,0)))))))</f>
        <v>1</v>
      </c>
      <c r="G1785"/>
      <c r="H1785" s="2"/>
      <c r="I1785" s="2"/>
      <c r="L1785"/>
      <c r="R1785"/>
    </row>
    <row r="1786" spans="1:18">
      <c r="A1786" s="3">
        <v>45755.396180555559</v>
      </c>
      <c r="B1786" s="2" t="s">
        <v>28</v>
      </c>
      <c r="C1786" s="2" t="s">
        <v>11</v>
      </c>
      <c r="D1786" s="6" t="str">
        <f>CONCATENATE(YEAR(A1786),"/",IF(MONTH(A1786)&lt;10,CONCATENATE("0",MONTH(A1786)),MONTH(A1786)))</f>
        <v>2025/04</v>
      </c>
      <c r="E1786" s="8" t="str">
        <f>IF(IF(D1786&lt;&gt;D1785,1,IF(OR(B1786&lt;&gt;B1785,A1786-A1785&gt;$U$1),1,""))&lt;&gt;1,"",IF(C1786="B01",1965,IF(C1786="B02",1020,IF(C1786="B05",2400,IF(C1786="B03",4260,IF(C1786="B04",2880,IF(C1786="B20",1260,0)))))))</f>
        <v/>
      </c>
      <c r="F1786" s="8" t="str">
        <f>IF(IF(D1786&lt;&gt;D1785,1,IF(OR(B1786&lt;&gt;B1785,A1786-A1785&gt;$U$1),1,""))&lt;&gt;1,"",IF(C1786="B01",1,IF(C1786="B05",1,IF(C1786="B03",1,IF(C1786="B04",1,IF(C1786="B20",1,IF(C1786="B02",1,0)))))))</f>
        <v/>
      </c>
      <c r="G1786"/>
      <c r="H1786" s="2"/>
      <c r="I1786" s="2"/>
      <c r="L1786"/>
      <c r="R1786"/>
    </row>
    <row r="1787" spans="1:18">
      <c r="A1787" s="3">
        <v>45755.396180555559</v>
      </c>
      <c r="B1787" s="2" t="s">
        <v>28</v>
      </c>
      <c r="C1787" s="2" t="s">
        <v>11</v>
      </c>
      <c r="D1787" s="6" t="str">
        <f>CONCATENATE(YEAR(A1787),"/",IF(MONTH(A1787)&lt;10,CONCATENATE("0",MONTH(A1787)),MONTH(A1787)))</f>
        <v>2025/04</v>
      </c>
      <c r="E1787" s="8" t="str">
        <f>IF(IF(D1787&lt;&gt;D1786,1,IF(OR(B1787&lt;&gt;B1786,A1787-A1786&gt;$U$1),1,""))&lt;&gt;1,"",IF(C1787="B01",1965,IF(C1787="B02",1020,IF(C1787="B05",2400,IF(C1787="B03",4260,IF(C1787="B04",2880,IF(C1787="B20",1260,0)))))))</f>
        <v/>
      </c>
      <c r="F1787" s="8" t="str">
        <f>IF(IF(D1787&lt;&gt;D1786,1,IF(OR(B1787&lt;&gt;B1786,A1787-A1786&gt;$U$1),1,""))&lt;&gt;1,"",IF(C1787="B01",1,IF(C1787="B05",1,IF(C1787="B03",1,IF(C1787="B04",1,IF(C1787="B20",1,IF(C1787="B02",1,0)))))))</f>
        <v/>
      </c>
      <c r="G1787"/>
      <c r="H1787" s="2"/>
      <c r="I1787" s="2"/>
      <c r="L1787"/>
      <c r="R1787"/>
    </row>
    <row r="1788" spans="1:18">
      <c r="A1788" s="3">
        <v>45755.396180555559</v>
      </c>
      <c r="B1788" s="2" t="s">
        <v>28</v>
      </c>
      <c r="C1788" s="2" t="s">
        <v>11</v>
      </c>
      <c r="D1788" s="6" t="str">
        <f>CONCATENATE(YEAR(A1788),"/",IF(MONTH(A1788)&lt;10,CONCATENATE("0",MONTH(A1788)),MONTH(A1788)))</f>
        <v>2025/04</v>
      </c>
      <c r="E1788" s="8" t="str">
        <f>IF(IF(D1788&lt;&gt;D1787,1,IF(OR(B1788&lt;&gt;B1787,A1788-A1787&gt;$U$1),1,""))&lt;&gt;1,"",IF(C1788="B01",1965,IF(C1788="B02",1020,IF(C1788="B05",2400,IF(C1788="B03",4260,IF(C1788="B04",2880,IF(C1788="B20",1260,0)))))))</f>
        <v/>
      </c>
      <c r="F1788" s="8" t="str">
        <f>IF(IF(D1788&lt;&gt;D1787,1,IF(OR(B1788&lt;&gt;B1787,A1788-A1787&gt;$U$1),1,""))&lt;&gt;1,"",IF(C1788="B01",1,IF(C1788="B05",1,IF(C1788="B03",1,IF(C1788="B04",1,IF(C1788="B20",1,IF(C1788="B02",1,0)))))))</f>
        <v/>
      </c>
      <c r="G1788"/>
      <c r="H1788" s="2"/>
      <c r="I1788" s="2"/>
      <c r="L1788"/>
      <c r="R1788"/>
    </row>
    <row r="1789" spans="1:18">
      <c r="A1789" s="3">
        <v>45755.735937500001</v>
      </c>
      <c r="B1789" s="2" t="s">
        <v>28</v>
      </c>
      <c r="C1789" s="2" t="s">
        <v>11</v>
      </c>
      <c r="D1789" s="6" t="str">
        <f>CONCATENATE(YEAR(A1789),"/",IF(MONTH(A1789)&lt;10,CONCATENATE("0",MONTH(A1789)),MONTH(A1789)))</f>
        <v>2025/04</v>
      </c>
      <c r="E1789" s="8">
        <f>IF(IF(D1789&lt;&gt;D1788,1,IF(OR(B1789&lt;&gt;B1788,A1789-A1788&gt;$U$1),1,""))&lt;&gt;1,"",IF(C1789="B01",1965,IF(C1789="B02",1020,IF(C1789="B05",2400,IF(C1789="B03",4260,IF(C1789="B04",2880,IF(C1789="B20",1260,0)))))))</f>
        <v>2400</v>
      </c>
      <c r="F1789" s="8">
        <f>IF(IF(D1789&lt;&gt;D1788,1,IF(OR(B1789&lt;&gt;B1788,A1789-A1788&gt;$U$1),1,""))&lt;&gt;1,"",IF(C1789="B01",1,IF(C1789="B05",1,IF(C1789="B03",1,IF(C1789="B04",1,IF(C1789="B20",1,IF(C1789="B02",1,0)))))))</f>
        <v>1</v>
      </c>
      <c r="G1789"/>
      <c r="H1789" s="2"/>
      <c r="I1789" s="2"/>
      <c r="L1789"/>
      <c r="R1789"/>
    </row>
    <row r="1790" spans="1:18">
      <c r="A1790" s="3">
        <v>45755.735937500001</v>
      </c>
      <c r="B1790" s="2" t="s">
        <v>28</v>
      </c>
      <c r="C1790" s="2" t="s">
        <v>11</v>
      </c>
      <c r="D1790" s="6" t="str">
        <f>CONCATENATE(YEAR(A1790),"/",IF(MONTH(A1790)&lt;10,CONCATENATE("0",MONTH(A1790)),MONTH(A1790)))</f>
        <v>2025/04</v>
      </c>
      <c r="E1790" s="8" t="str">
        <f>IF(IF(D1790&lt;&gt;D1789,1,IF(OR(B1790&lt;&gt;B1789,A1790-A1789&gt;$U$1),1,""))&lt;&gt;1,"",IF(C1790="B01",1965,IF(C1790="B02",1020,IF(C1790="B05",2400,IF(C1790="B03",4260,IF(C1790="B04",2880,IF(C1790="B20",1260,0)))))))</f>
        <v/>
      </c>
      <c r="F1790" s="8" t="str">
        <f>IF(IF(D1790&lt;&gt;D1789,1,IF(OR(B1790&lt;&gt;B1789,A1790-A1789&gt;$U$1),1,""))&lt;&gt;1,"",IF(C1790="B01",1,IF(C1790="B05",1,IF(C1790="B03",1,IF(C1790="B04",1,IF(C1790="B20",1,IF(C1790="B02",1,0)))))))</f>
        <v/>
      </c>
      <c r="G1790"/>
      <c r="H1790" s="2"/>
      <c r="I1790" s="2"/>
      <c r="L1790"/>
      <c r="R1790"/>
    </row>
    <row r="1791" spans="1:18">
      <c r="A1791" s="3">
        <v>45755.735937500001</v>
      </c>
      <c r="B1791" s="2" t="s">
        <v>28</v>
      </c>
      <c r="C1791" s="2" t="s">
        <v>11</v>
      </c>
      <c r="D1791" s="6" t="str">
        <f>CONCATENATE(YEAR(A1791),"/",IF(MONTH(A1791)&lt;10,CONCATENATE("0",MONTH(A1791)),MONTH(A1791)))</f>
        <v>2025/04</v>
      </c>
      <c r="E1791" s="8" t="str">
        <f>IF(IF(D1791&lt;&gt;D1790,1,IF(OR(B1791&lt;&gt;B1790,A1791-A1790&gt;$U$1),1,""))&lt;&gt;1,"",IF(C1791="B01",1965,IF(C1791="B02",1020,IF(C1791="B05",2400,IF(C1791="B03",4260,IF(C1791="B04",2880,IF(C1791="B20",1260,0)))))))</f>
        <v/>
      </c>
      <c r="F1791" s="8" t="str">
        <f>IF(IF(D1791&lt;&gt;D1790,1,IF(OR(B1791&lt;&gt;B1790,A1791-A1790&gt;$U$1),1,""))&lt;&gt;1,"",IF(C1791="B01",1,IF(C1791="B05",1,IF(C1791="B03",1,IF(C1791="B04",1,IF(C1791="B20",1,IF(C1791="B02",1,0)))))))</f>
        <v/>
      </c>
      <c r="G1791"/>
      <c r="H1791" s="2"/>
      <c r="I1791" s="2"/>
      <c r="L1791"/>
      <c r="R1791"/>
    </row>
    <row r="1792" spans="1:18">
      <c r="A1792" s="3">
        <v>45755.853020833332</v>
      </c>
      <c r="B1792" s="2" t="s">
        <v>28</v>
      </c>
      <c r="C1792" s="2" t="s">
        <v>11</v>
      </c>
      <c r="D1792" s="6" t="str">
        <f>CONCATENATE(YEAR(A1792),"/",IF(MONTH(A1792)&lt;10,CONCATENATE("0",MONTH(A1792)),MONTH(A1792)))</f>
        <v>2025/04</v>
      </c>
      <c r="E1792" s="8">
        <f>IF(IF(D1792&lt;&gt;D1791,1,IF(OR(B1792&lt;&gt;B1791,A1792-A1791&gt;$U$1),1,""))&lt;&gt;1,"",IF(C1792="B01",1965,IF(C1792="B02",1020,IF(C1792="B05",2400,IF(C1792="B03",4260,IF(C1792="B04",2880,IF(C1792="B20",1260,0)))))))</f>
        <v>2400</v>
      </c>
      <c r="F1792" s="8">
        <f>IF(IF(D1792&lt;&gt;D1791,1,IF(OR(B1792&lt;&gt;B1791,A1792-A1791&gt;$U$1),1,""))&lt;&gt;1,"",IF(C1792="B01",1,IF(C1792="B05",1,IF(C1792="B03",1,IF(C1792="B04",1,IF(C1792="B20",1,IF(C1792="B02",1,0)))))))</f>
        <v>1</v>
      </c>
      <c r="G1792"/>
      <c r="H1792" s="2"/>
      <c r="I1792" s="2"/>
      <c r="L1792"/>
      <c r="R1792"/>
    </row>
    <row r="1793" spans="1:18">
      <c r="A1793" s="3">
        <v>45755.853020833332</v>
      </c>
      <c r="B1793" s="2" t="s">
        <v>28</v>
      </c>
      <c r="C1793" s="2" t="s">
        <v>11</v>
      </c>
      <c r="D1793" s="6" t="str">
        <f>CONCATENATE(YEAR(A1793),"/",IF(MONTH(A1793)&lt;10,CONCATENATE("0",MONTH(A1793)),MONTH(A1793)))</f>
        <v>2025/04</v>
      </c>
      <c r="E1793" s="8" t="str">
        <f>IF(IF(D1793&lt;&gt;D1792,1,IF(OR(B1793&lt;&gt;B1792,A1793-A1792&gt;$U$1),1,""))&lt;&gt;1,"",IF(C1793="B01",1965,IF(C1793="B02",1020,IF(C1793="B05",2400,IF(C1793="B03",4260,IF(C1793="B04",2880,IF(C1793="B20",1260,0)))))))</f>
        <v/>
      </c>
      <c r="F1793" s="8" t="str">
        <f>IF(IF(D1793&lt;&gt;D1792,1,IF(OR(B1793&lt;&gt;B1792,A1793-A1792&gt;$U$1),1,""))&lt;&gt;1,"",IF(C1793="B01",1,IF(C1793="B05",1,IF(C1793="B03",1,IF(C1793="B04",1,IF(C1793="B20",1,IF(C1793="B02",1,0)))))))</f>
        <v/>
      </c>
      <c r="G1793"/>
      <c r="H1793" s="2"/>
      <c r="I1793" s="2"/>
      <c r="L1793"/>
      <c r="R1793"/>
    </row>
    <row r="1794" spans="1:18">
      <c r="A1794" s="3">
        <v>45755.853020833332</v>
      </c>
      <c r="B1794" s="2" t="s">
        <v>28</v>
      </c>
      <c r="C1794" s="2" t="s">
        <v>11</v>
      </c>
      <c r="D1794" s="6" t="str">
        <f>CONCATENATE(YEAR(A1794),"/",IF(MONTH(A1794)&lt;10,CONCATENATE("0",MONTH(A1794)),MONTH(A1794)))</f>
        <v>2025/04</v>
      </c>
      <c r="E1794" s="8" t="str">
        <f>IF(IF(D1794&lt;&gt;D1793,1,IF(OR(B1794&lt;&gt;B1793,A1794-A1793&gt;$U$1),1,""))&lt;&gt;1,"",IF(C1794="B01",1965,IF(C1794="B02",1020,IF(C1794="B05",2400,IF(C1794="B03",4260,IF(C1794="B04",2880,IF(C1794="B20",1260,0)))))))</f>
        <v/>
      </c>
      <c r="F1794" s="8" t="str">
        <f>IF(IF(D1794&lt;&gt;D1793,1,IF(OR(B1794&lt;&gt;B1793,A1794-A1793&gt;$U$1),1,""))&lt;&gt;1,"",IF(C1794="B01",1,IF(C1794="B05",1,IF(C1794="B03",1,IF(C1794="B04",1,IF(C1794="B20",1,IF(C1794="B02",1,0)))))))</f>
        <v/>
      </c>
      <c r="G1794"/>
      <c r="H1794" s="2"/>
      <c r="I1794" s="2"/>
      <c r="L1794"/>
      <c r="R1794"/>
    </row>
    <row r="1795" spans="1:18">
      <c r="A1795" s="3">
        <v>45755.853020833332</v>
      </c>
      <c r="B1795" s="2" t="s">
        <v>28</v>
      </c>
      <c r="C1795" s="2" t="s">
        <v>11</v>
      </c>
      <c r="D1795" s="6" t="str">
        <f>CONCATENATE(YEAR(A1795),"/",IF(MONTH(A1795)&lt;10,CONCATENATE("0",MONTH(A1795)),MONTH(A1795)))</f>
        <v>2025/04</v>
      </c>
      <c r="E1795" s="8" t="str">
        <f>IF(IF(D1795&lt;&gt;D1794,1,IF(OR(B1795&lt;&gt;B1794,A1795-A1794&gt;$U$1),1,""))&lt;&gt;1,"",IF(C1795="B01",1965,IF(C1795="B02",1020,IF(C1795="B05",2400,IF(C1795="B03",4260,IF(C1795="B04",2880,IF(C1795="B20",1260,0)))))))</f>
        <v/>
      </c>
      <c r="F1795" s="8" t="str">
        <f>IF(IF(D1795&lt;&gt;D1794,1,IF(OR(B1795&lt;&gt;B1794,A1795-A1794&gt;$U$1),1,""))&lt;&gt;1,"",IF(C1795="B01",1,IF(C1795="B05",1,IF(C1795="B03",1,IF(C1795="B04",1,IF(C1795="B20",1,IF(C1795="B02",1,0)))))))</f>
        <v/>
      </c>
      <c r="G1795"/>
      <c r="H1795" s="2"/>
      <c r="I1795" s="2"/>
      <c r="L1795"/>
      <c r="R1795"/>
    </row>
    <row r="1796" spans="1:18">
      <c r="A1796" s="3">
        <v>45756.23778935185</v>
      </c>
      <c r="B1796" s="2" t="s">
        <v>28</v>
      </c>
      <c r="C1796" s="2" t="s">
        <v>11</v>
      </c>
      <c r="D1796" s="6" t="str">
        <f>CONCATENATE(YEAR(A1796),"/",IF(MONTH(A1796)&lt;10,CONCATENATE("0",MONTH(A1796)),MONTH(A1796)))</f>
        <v>2025/04</v>
      </c>
      <c r="E1796" s="8">
        <f>IF(IF(D1796&lt;&gt;D1795,1,IF(OR(B1796&lt;&gt;B1795,A1796-A1795&gt;$U$1),1,""))&lt;&gt;1,"",IF(C1796="B01",1965,IF(C1796="B02",1020,IF(C1796="B05",2400,IF(C1796="B03",4260,IF(C1796="B04",2880,IF(C1796="B20",1260,0)))))))</f>
        <v>2400</v>
      </c>
      <c r="F1796" s="8">
        <f>IF(IF(D1796&lt;&gt;D1795,1,IF(OR(B1796&lt;&gt;B1795,A1796-A1795&gt;$U$1),1,""))&lt;&gt;1,"",IF(C1796="B01",1,IF(C1796="B05",1,IF(C1796="B03",1,IF(C1796="B04",1,IF(C1796="B20",1,IF(C1796="B02",1,0)))))))</f>
        <v>1</v>
      </c>
      <c r="G1796"/>
      <c r="H1796" s="2"/>
      <c r="I1796" s="2"/>
      <c r="L1796"/>
      <c r="R1796"/>
    </row>
    <row r="1797" spans="1:18">
      <c r="A1797" s="3">
        <v>45756.23778935185</v>
      </c>
      <c r="B1797" s="2" t="s">
        <v>28</v>
      </c>
      <c r="C1797" s="2" t="s">
        <v>11</v>
      </c>
      <c r="D1797" s="6" t="str">
        <f>CONCATENATE(YEAR(A1797),"/",IF(MONTH(A1797)&lt;10,CONCATENATE("0",MONTH(A1797)),MONTH(A1797)))</f>
        <v>2025/04</v>
      </c>
      <c r="E1797" s="8" t="str">
        <f>IF(IF(D1797&lt;&gt;D1796,1,IF(OR(B1797&lt;&gt;B1796,A1797-A1796&gt;$U$1),1,""))&lt;&gt;1,"",IF(C1797="B01",1965,IF(C1797="B02",1020,IF(C1797="B05",2400,IF(C1797="B03",4260,IF(C1797="B04",2880,IF(C1797="B20",1260,0)))))))</f>
        <v/>
      </c>
      <c r="F1797" s="8" t="str">
        <f>IF(IF(D1797&lt;&gt;D1796,1,IF(OR(B1797&lt;&gt;B1796,A1797-A1796&gt;$U$1),1,""))&lt;&gt;1,"",IF(C1797="B01",1,IF(C1797="B05",1,IF(C1797="B03",1,IF(C1797="B04",1,IF(C1797="B20",1,IF(C1797="B02",1,0)))))))</f>
        <v/>
      </c>
      <c r="G1797"/>
      <c r="H1797" s="2"/>
      <c r="I1797" s="2"/>
      <c r="L1797"/>
      <c r="R1797"/>
    </row>
    <row r="1798" spans="1:18">
      <c r="A1798" s="3">
        <v>45756.23778935185</v>
      </c>
      <c r="B1798" s="2" t="s">
        <v>28</v>
      </c>
      <c r="C1798" s="2" t="s">
        <v>11</v>
      </c>
      <c r="D1798" s="6" t="str">
        <f>CONCATENATE(YEAR(A1798),"/",IF(MONTH(A1798)&lt;10,CONCATENATE("0",MONTH(A1798)),MONTH(A1798)))</f>
        <v>2025/04</v>
      </c>
      <c r="E1798" s="8" t="str">
        <f>IF(IF(D1798&lt;&gt;D1797,1,IF(OR(B1798&lt;&gt;B1797,A1798-A1797&gt;$U$1),1,""))&lt;&gt;1,"",IF(C1798="B01",1965,IF(C1798="B02",1020,IF(C1798="B05",2400,IF(C1798="B03",4260,IF(C1798="B04",2880,IF(C1798="B20",1260,0)))))))</f>
        <v/>
      </c>
      <c r="F1798" s="8" t="str">
        <f>IF(IF(D1798&lt;&gt;D1797,1,IF(OR(B1798&lt;&gt;B1797,A1798-A1797&gt;$U$1),1,""))&lt;&gt;1,"",IF(C1798="B01",1,IF(C1798="B05",1,IF(C1798="B03",1,IF(C1798="B04",1,IF(C1798="B20",1,IF(C1798="B02",1,0)))))))</f>
        <v/>
      </c>
      <c r="G1798"/>
      <c r="H1798" s="2"/>
      <c r="I1798" s="2"/>
      <c r="L1798"/>
      <c r="R1798"/>
    </row>
    <row r="1799" spans="1:18">
      <c r="A1799" s="3">
        <v>45756.23778935185</v>
      </c>
      <c r="B1799" s="2" t="s">
        <v>28</v>
      </c>
      <c r="C1799" s="2" t="s">
        <v>11</v>
      </c>
      <c r="D1799" s="6" t="str">
        <f>CONCATENATE(YEAR(A1799),"/",IF(MONTH(A1799)&lt;10,CONCATENATE("0",MONTH(A1799)),MONTH(A1799)))</f>
        <v>2025/04</v>
      </c>
      <c r="E1799" s="8" t="str">
        <f>IF(IF(D1799&lt;&gt;D1798,1,IF(OR(B1799&lt;&gt;B1798,A1799-A1798&gt;$U$1),1,""))&lt;&gt;1,"",IF(C1799="B01",1965,IF(C1799="B02",1020,IF(C1799="B05",2400,IF(C1799="B03",4260,IF(C1799="B04",2880,IF(C1799="B20",1260,0)))))))</f>
        <v/>
      </c>
      <c r="F1799" s="8" t="str">
        <f>IF(IF(D1799&lt;&gt;D1798,1,IF(OR(B1799&lt;&gt;B1798,A1799-A1798&gt;$U$1),1,""))&lt;&gt;1,"",IF(C1799="B01",1,IF(C1799="B05",1,IF(C1799="B03",1,IF(C1799="B04",1,IF(C1799="B20",1,IF(C1799="B02",1,0)))))))</f>
        <v/>
      </c>
      <c r="G1799"/>
      <c r="H1799" s="2"/>
      <c r="I1799" s="2"/>
      <c r="L1799"/>
      <c r="R1799"/>
    </row>
    <row r="1800" spans="1:18">
      <c r="A1800" s="3">
        <v>45756.357546296298</v>
      </c>
      <c r="B1800" s="2" t="s">
        <v>28</v>
      </c>
      <c r="C1800" s="2" t="s">
        <v>11</v>
      </c>
      <c r="D1800" s="6" t="str">
        <f>CONCATENATE(YEAR(A1800),"/",IF(MONTH(A1800)&lt;10,CONCATENATE("0",MONTH(A1800)),MONTH(A1800)))</f>
        <v>2025/04</v>
      </c>
      <c r="E1800" s="8">
        <f>IF(IF(D1800&lt;&gt;D1799,1,IF(OR(B1800&lt;&gt;B1799,A1800-A1799&gt;$U$1),1,""))&lt;&gt;1,"",IF(C1800="B01",1965,IF(C1800="B02",1020,IF(C1800="B05",2400,IF(C1800="B03",4260,IF(C1800="B04",2880,IF(C1800="B20",1260,0)))))))</f>
        <v>2400</v>
      </c>
      <c r="F1800" s="8">
        <f>IF(IF(D1800&lt;&gt;D1799,1,IF(OR(B1800&lt;&gt;B1799,A1800-A1799&gt;$U$1),1,""))&lt;&gt;1,"",IF(C1800="B01",1,IF(C1800="B05",1,IF(C1800="B03",1,IF(C1800="B04",1,IF(C1800="B20",1,IF(C1800="B02",1,0)))))))</f>
        <v>1</v>
      </c>
      <c r="G1800"/>
      <c r="H1800" s="2"/>
      <c r="I1800" s="2"/>
      <c r="L1800"/>
      <c r="R1800"/>
    </row>
    <row r="1801" spans="1:18">
      <c r="A1801" s="3">
        <v>45756.357546296298</v>
      </c>
      <c r="B1801" s="2" t="s">
        <v>28</v>
      </c>
      <c r="C1801" s="2" t="s">
        <v>11</v>
      </c>
      <c r="D1801" s="6" t="str">
        <f>CONCATENATE(YEAR(A1801),"/",IF(MONTH(A1801)&lt;10,CONCATENATE("0",MONTH(A1801)),MONTH(A1801)))</f>
        <v>2025/04</v>
      </c>
      <c r="E1801" s="8" t="str">
        <f>IF(IF(D1801&lt;&gt;D1800,1,IF(OR(B1801&lt;&gt;B1800,A1801-A1800&gt;$U$1),1,""))&lt;&gt;1,"",IF(C1801="B01",1965,IF(C1801="B02",1020,IF(C1801="B05",2400,IF(C1801="B03",4260,IF(C1801="B04",2880,IF(C1801="B20",1260,0)))))))</f>
        <v/>
      </c>
      <c r="F1801" s="8" t="str">
        <f>IF(IF(D1801&lt;&gt;D1800,1,IF(OR(B1801&lt;&gt;B1800,A1801-A1800&gt;$U$1),1,""))&lt;&gt;1,"",IF(C1801="B01",1,IF(C1801="B05",1,IF(C1801="B03",1,IF(C1801="B04",1,IF(C1801="B20",1,IF(C1801="B02",1,0)))))))</f>
        <v/>
      </c>
      <c r="G1801"/>
      <c r="H1801" s="2"/>
      <c r="I1801" s="2"/>
      <c r="L1801"/>
      <c r="R1801"/>
    </row>
    <row r="1802" spans="1:18">
      <c r="A1802" s="3">
        <v>45756.357546296298</v>
      </c>
      <c r="B1802" s="2" t="s">
        <v>28</v>
      </c>
      <c r="C1802" s="2" t="s">
        <v>11</v>
      </c>
      <c r="D1802" s="6" t="str">
        <f>CONCATENATE(YEAR(A1802),"/",IF(MONTH(A1802)&lt;10,CONCATENATE("0",MONTH(A1802)),MONTH(A1802)))</f>
        <v>2025/04</v>
      </c>
      <c r="E1802" s="8" t="str">
        <f>IF(IF(D1802&lt;&gt;D1801,1,IF(OR(B1802&lt;&gt;B1801,A1802-A1801&gt;$U$1),1,""))&lt;&gt;1,"",IF(C1802="B01",1965,IF(C1802="B02",1020,IF(C1802="B05",2400,IF(C1802="B03",4260,IF(C1802="B04",2880,IF(C1802="B20",1260,0)))))))</f>
        <v/>
      </c>
      <c r="F1802" s="8" t="str">
        <f>IF(IF(D1802&lt;&gt;D1801,1,IF(OR(B1802&lt;&gt;B1801,A1802-A1801&gt;$U$1),1,""))&lt;&gt;1,"",IF(C1802="B01",1,IF(C1802="B05",1,IF(C1802="B03",1,IF(C1802="B04",1,IF(C1802="B20",1,IF(C1802="B02",1,0)))))))</f>
        <v/>
      </c>
      <c r="G1802"/>
      <c r="H1802" s="2"/>
      <c r="I1802" s="2"/>
      <c r="L1802"/>
      <c r="R1802"/>
    </row>
    <row r="1803" spans="1:18">
      <c r="A1803" s="3">
        <v>45756.486828703702</v>
      </c>
      <c r="B1803" s="2" t="s">
        <v>28</v>
      </c>
      <c r="C1803" s="2" t="s">
        <v>11</v>
      </c>
      <c r="D1803" s="6" t="str">
        <f>CONCATENATE(YEAR(A1803),"/",IF(MONTH(A1803)&lt;10,CONCATENATE("0",MONTH(A1803)),MONTH(A1803)))</f>
        <v>2025/04</v>
      </c>
      <c r="E1803" s="8">
        <f>IF(IF(D1803&lt;&gt;D1802,1,IF(OR(B1803&lt;&gt;B1802,A1803-A1802&gt;$U$1),1,""))&lt;&gt;1,"",IF(C1803="B01",1965,IF(C1803="B02",1020,IF(C1803="B05",2400,IF(C1803="B03",4260,IF(C1803="B04",2880,IF(C1803="B20",1260,0)))))))</f>
        <v>2400</v>
      </c>
      <c r="F1803" s="8">
        <f>IF(IF(D1803&lt;&gt;D1802,1,IF(OR(B1803&lt;&gt;B1802,A1803-A1802&gt;$U$1),1,""))&lt;&gt;1,"",IF(C1803="B01",1,IF(C1803="B05",1,IF(C1803="B03",1,IF(C1803="B04",1,IF(C1803="B20",1,IF(C1803="B02",1,0)))))))</f>
        <v>1</v>
      </c>
      <c r="G1803"/>
      <c r="H1803" s="2"/>
      <c r="I1803" s="2"/>
      <c r="L1803"/>
      <c r="R1803"/>
    </row>
    <row r="1804" spans="1:18">
      <c r="A1804" s="3">
        <v>45756.486828703702</v>
      </c>
      <c r="B1804" s="2" t="s">
        <v>28</v>
      </c>
      <c r="C1804" s="2" t="s">
        <v>11</v>
      </c>
      <c r="D1804" s="6" t="str">
        <f>CONCATENATE(YEAR(A1804),"/",IF(MONTH(A1804)&lt;10,CONCATENATE("0",MONTH(A1804)),MONTH(A1804)))</f>
        <v>2025/04</v>
      </c>
      <c r="E1804" s="8" t="str">
        <f>IF(IF(D1804&lt;&gt;D1803,1,IF(OR(B1804&lt;&gt;B1803,A1804-A1803&gt;$U$1),1,""))&lt;&gt;1,"",IF(C1804="B01",1965,IF(C1804="B02",1020,IF(C1804="B05",2400,IF(C1804="B03",4260,IF(C1804="B04",2880,IF(C1804="B20",1260,0)))))))</f>
        <v/>
      </c>
      <c r="F1804" s="8" t="str">
        <f>IF(IF(D1804&lt;&gt;D1803,1,IF(OR(B1804&lt;&gt;B1803,A1804-A1803&gt;$U$1),1,""))&lt;&gt;1,"",IF(C1804="B01",1,IF(C1804="B05",1,IF(C1804="B03",1,IF(C1804="B04",1,IF(C1804="B20",1,IF(C1804="B02",1,0)))))))</f>
        <v/>
      </c>
      <c r="G1804"/>
      <c r="H1804" s="2"/>
      <c r="I1804" s="2"/>
      <c r="L1804"/>
      <c r="R1804"/>
    </row>
    <row r="1805" spans="1:18">
      <c r="A1805" s="3">
        <v>45756.486828703702</v>
      </c>
      <c r="B1805" s="2" t="s">
        <v>28</v>
      </c>
      <c r="C1805" s="2" t="s">
        <v>11</v>
      </c>
      <c r="D1805" s="6" t="str">
        <f>CONCATENATE(YEAR(A1805),"/",IF(MONTH(A1805)&lt;10,CONCATENATE("0",MONTH(A1805)),MONTH(A1805)))</f>
        <v>2025/04</v>
      </c>
      <c r="E1805" s="8" t="str">
        <f>IF(IF(D1805&lt;&gt;D1804,1,IF(OR(B1805&lt;&gt;B1804,A1805-A1804&gt;$U$1),1,""))&lt;&gt;1,"",IF(C1805="B01",1965,IF(C1805="B02",1020,IF(C1805="B05",2400,IF(C1805="B03",4260,IF(C1805="B04",2880,IF(C1805="B20",1260,0)))))))</f>
        <v/>
      </c>
      <c r="F1805" s="8" t="str">
        <f>IF(IF(D1805&lt;&gt;D1804,1,IF(OR(B1805&lt;&gt;B1804,A1805-A1804&gt;$U$1),1,""))&lt;&gt;1,"",IF(C1805="B01",1,IF(C1805="B05",1,IF(C1805="B03",1,IF(C1805="B04",1,IF(C1805="B20",1,IF(C1805="B02",1,0)))))))</f>
        <v/>
      </c>
      <c r="G1805"/>
      <c r="H1805" s="2"/>
      <c r="I1805" s="2"/>
      <c r="L1805"/>
      <c r="R1805"/>
    </row>
    <row r="1806" spans="1:18">
      <c r="A1806" s="3">
        <v>45756.486828703702</v>
      </c>
      <c r="B1806" s="2" t="s">
        <v>28</v>
      </c>
      <c r="C1806" s="2" t="s">
        <v>11</v>
      </c>
      <c r="D1806" s="6" t="str">
        <f>CONCATENATE(YEAR(A1806),"/",IF(MONTH(A1806)&lt;10,CONCATENATE("0",MONTH(A1806)),MONTH(A1806)))</f>
        <v>2025/04</v>
      </c>
      <c r="E1806" s="8" t="str">
        <f>IF(IF(D1806&lt;&gt;D1805,1,IF(OR(B1806&lt;&gt;B1805,A1806-A1805&gt;$U$1),1,""))&lt;&gt;1,"",IF(C1806="B01",1965,IF(C1806="B02",1020,IF(C1806="B05",2400,IF(C1806="B03",4260,IF(C1806="B04",2880,IF(C1806="B20",1260,0)))))))</f>
        <v/>
      </c>
      <c r="F1806" s="8" t="str">
        <f>IF(IF(D1806&lt;&gt;D1805,1,IF(OR(B1806&lt;&gt;B1805,A1806-A1805&gt;$U$1),1,""))&lt;&gt;1,"",IF(C1806="B01",1,IF(C1806="B05",1,IF(C1806="B03",1,IF(C1806="B04",1,IF(C1806="B20",1,IF(C1806="B02",1,0)))))))</f>
        <v/>
      </c>
      <c r="G1806"/>
      <c r="H1806" s="2"/>
      <c r="I1806" s="2"/>
      <c r="L1806"/>
      <c r="R1806"/>
    </row>
    <row r="1807" spans="1:18">
      <c r="A1807" s="3">
        <v>45756.671493055554</v>
      </c>
      <c r="B1807" s="2" t="s">
        <v>28</v>
      </c>
      <c r="C1807" s="2" t="s">
        <v>11</v>
      </c>
      <c r="D1807" s="6" t="str">
        <f>CONCATENATE(YEAR(A1807),"/",IF(MONTH(A1807)&lt;10,CONCATENATE("0",MONTH(A1807)),MONTH(A1807)))</f>
        <v>2025/04</v>
      </c>
      <c r="E1807" s="8">
        <f>IF(IF(D1807&lt;&gt;D1806,1,IF(OR(B1807&lt;&gt;B1806,A1807-A1806&gt;$U$1),1,""))&lt;&gt;1,"",IF(C1807="B01",1965,IF(C1807="B02",1020,IF(C1807="B05",2400,IF(C1807="B03",4260,IF(C1807="B04",2880,IF(C1807="B20",1260,0)))))))</f>
        <v>2400</v>
      </c>
      <c r="F1807" s="8">
        <f>IF(IF(D1807&lt;&gt;D1806,1,IF(OR(B1807&lt;&gt;B1806,A1807-A1806&gt;$U$1),1,""))&lt;&gt;1,"",IF(C1807="B01",1,IF(C1807="B05",1,IF(C1807="B03",1,IF(C1807="B04",1,IF(C1807="B20",1,IF(C1807="B02",1,0)))))))</f>
        <v>1</v>
      </c>
      <c r="G1807"/>
      <c r="H1807" s="2"/>
      <c r="I1807" s="2"/>
      <c r="L1807"/>
      <c r="R1807"/>
    </row>
    <row r="1808" spans="1:18">
      <c r="A1808" s="3">
        <v>45756.671493055554</v>
      </c>
      <c r="B1808" s="2" t="s">
        <v>28</v>
      </c>
      <c r="C1808" s="2" t="s">
        <v>11</v>
      </c>
      <c r="D1808" s="6" t="str">
        <f>CONCATENATE(YEAR(A1808),"/",IF(MONTH(A1808)&lt;10,CONCATENATE("0",MONTH(A1808)),MONTH(A1808)))</f>
        <v>2025/04</v>
      </c>
      <c r="E1808" s="8" t="str">
        <f>IF(IF(D1808&lt;&gt;D1807,1,IF(OR(B1808&lt;&gt;B1807,A1808-A1807&gt;$U$1),1,""))&lt;&gt;1,"",IF(C1808="B01",1965,IF(C1808="B02",1020,IF(C1808="B05",2400,IF(C1808="B03",4260,IF(C1808="B04",2880,IF(C1808="B20",1260,0)))))))</f>
        <v/>
      </c>
      <c r="F1808" s="8" t="str">
        <f>IF(IF(D1808&lt;&gt;D1807,1,IF(OR(B1808&lt;&gt;B1807,A1808-A1807&gt;$U$1),1,""))&lt;&gt;1,"",IF(C1808="B01",1,IF(C1808="B05",1,IF(C1808="B03",1,IF(C1808="B04",1,IF(C1808="B20",1,IF(C1808="B02",1,0)))))))</f>
        <v/>
      </c>
      <c r="G1808"/>
      <c r="H1808" s="2"/>
      <c r="I1808" s="2"/>
      <c r="L1808"/>
      <c r="R1808"/>
    </row>
    <row r="1809" spans="1:18">
      <c r="A1809" s="3">
        <v>45756.671493055554</v>
      </c>
      <c r="B1809" s="2" t="s">
        <v>28</v>
      </c>
      <c r="C1809" s="2" t="s">
        <v>11</v>
      </c>
      <c r="D1809" s="6" t="str">
        <f>CONCATENATE(YEAR(A1809),"/",IF(MONTH(A1809)&lt;10,CONCATENATE("0",MONTH(A1809)),MONTH(A1809)))</f>
        <v>2025/04</v>
      </c>
      <c r="E1809" s="8" t="str">
        <f>IF(IF(D1809&lt;&gt;D1808,1,IF(OR(B1809&lt;&gt;B1808,A1809-A1808&gt;$U$1),1,""))&lt;&gt;1,"",IF(C1809="B01",1965,IF(C1809="B02",1020,IF(C1809="B05",2400,IF(C1809="B03",4260,IF(C1809="B04",2880,IF(C1809="B20",1260,0)))))))</f>
        <v/>
      </c>
      <c r="F1809" s="8" t="str">
        <f>IF(IF(D1809&lt;&gt;D1808,1,IF(OR(B1809&lt;&gt;B1808,A1809-A1808&gt;$U$1),1,""))&lt;&gt;1,"",IF(C1809="B01",1,IF(C1809="B05",1,IF(C1809="B03",1,IF(C1809="B04",1,IF(C1809="B20",1,IF(C1809="B02",1,0)))))))</f>
        <v/>
      </c>
      <c r="G1809"/>
      <c r="H1809" s="2"/>
      <c r="I1809" s="2"/>
      <c r="L1809"/>
      <c r="R1809"/>
    </row>
    <row r="1810" spans="1:18">
      <c r="A1810" s="3">
        <v>45756.900833333333</v>
      </c>
      <c r="B1810" s="2" t="s">
        <v>28</v>
      </c>
      <c r="C1810" s="2" t="s">
        <v>11</v>
      </c>
      <c r="D1810" s="6" t="str">
        <f>CONCATENATE(YEAR(A1810),"/",IF(MONTH(A1810)&lt;10,CONCATENATE("0",MONTH(A1810)),MONTH(A1810)))</f>
        <v>2025/04</v>
      </c>
      <c r="E1810" s="8">
        <f>IF(IF(D1810&lt;&gt;D1809,1,IF(OR(B1810&lt;&gt;B1809,A1810-A1809&gt;$U$1),1,""))&lt;&gt;1,"",IF(C1810="B01",1965,IF(C1810="B02",1020,IF(C1810="B05",2400,IF(C1810="B03",4260,IF(C1810="B04",2880,IF(C1810="B20",1260,0)))))))</f>
        <v>2400</v>
      </c>
      <c r="F1810" s="8">
        <f>IF(IF(D1810&lt;&gt;D1809,1,IF(OR(B1810&lt;&gt;B1809,A1810-A1809&gt;$U$1),1,""))&lt;&gt;1,"",IF(C1810="B01",1,IF(C1810="B05",1,IF(C1810="B03",1,IF(C1810="B04",1,IF(C1810="B20",1,IF(C1810="B02",1,0)))))))</f>
        <v>1</v>
      </c>
      <c r="G1810"/>
      <c r="H1810" s="2"/>
      <c r="I1810" s="2"/>
      <c r="L1810"/>
      <c r="R1810"/>
    </row>
    <row r="1811" spans="1:18">
      <c r="A1811" s="3">
        <v>45756.900833333333</v>
      </c>
      <c r="B1811" s="2" t="s">
        <v>28</v>
      </c>
      <c r="C1811" s="2" t="s">
        <v>11</v>
      </c>
      <c r="D1811" s="6" t="str">
        <f>CONCATENATE(YEAR(A1811),"/",IF(MONTH(A1811)&lt;10,CONCATENATE("0",MONTH(A1811)),MONTH(A1811)))</f>
        <v>2025/04</v>
      </c>
      <c r="E1811" s="8" t="str">
        <f>IF(IF(D1811&lt;&gt;D1810,1,IF(OR(B1811&lt;&gt;B1810,A1811-A1810&gt;$U$1),1,""))&lt;&gt;1,"",IF(C1811="B01",1965,IF(C1811="B02",1020,IF(C1811="B05",2400,IF(C1811="B03",4260,IF(C1811="B04",2880,IF(C1811="B20",1260,0)))))))</f>
        <v/>
      </c>
      <c r="F1811" s="8" t="str">
        <f>IF(IF(D1811&lt;&gt;D1810,1,IF(OR(B1811&lt;&gt;B1810,A1811-A1810&gt;$U$1),1,""))&lt;&gt;1,"",IF(C1811="B01",1,IF(C1811="B05",1,IF(C1811="B03",1,IF(C1811="B04",1,IF(C1811="B20",1,IF(C1811="B02",1,0)))))))</f>
        <v/>
      </c>
      <c r="G1811"/>
      <c r="H1811" s="2"/>
      <c r="I1811" s="2"/>
      <c r="L1811"/>
      <c r="R1811"/>
    </row>
    <row r="1812" spans="1:18">
      <c r="A1812" s="3">
        <v>45757.078668981485</v>
      </c>
      <c r="B1812" s="2" t="s">
        <v>28</v>
      </c>
      <c r="C1812" s="2" t="s">
        <v>11</v>
      </c>
      <c r="D1812" s="6" t="str">
        <f>CONCATENATE(YEAR(A1812),"/",IF(MONTH(A1812)&lt;10,CONCATENATE("0",MONTH(A1812)),MONTH(A1812)))</f>
        <v>2025/04</v>
      </c>
      <c r="E1812" s="8">
        <f>IF(IF(D1812&lt;&gt;D1811,1,IF(OR(B1812&lt;&gt;B1811,A1812-A1811&gt;$U$1),1,""))&lt;&gt;1,"",IF(C1812="B01",1965,IF(C1812="B02",1020,IF(C1812="B05",2400,IF(C1812="B03",4260,IF(C1812="B04",2880,IF(C1812="B20",1260,0)))))))</f>
        <v>2400</v>
      </c>
      <c r="F1812" s="8">
        <f>IF(IF(D1812&lt;&gt;D1811,1,IF(OR(B1812&lt;&gt;B1811,A1812-A1811&gt;$U$1),1,""))&lt;&gt;1,"",IF(C1812="B01",1,IF(C1812="B05",1,IF(C1812="B03",1,IF(C1812="B04",1,IF(C1812="B20",1,IF(C1812="B02",1,0)))))))</f>
        <v>1</v>
      </c>
      <c r="G1812"/>
      <c r="H1812" s="2"/>
      <c r="I1812" s="2"/>
      <c r="L1812"/>
      <c r="R1812"/>
    </row>
    <row r="1813" spans="1:18">
      <c r="A1813" s="3">
        <v>45757.078668981485</v>
      </c>
      <c r="B1813" s="2" t="s">
        <v>28</v>
      </c>
      <c r="C1813" s="2" t="s">
        <v>11</v>
      </c>
      <c r="D1813" s="6" t="str">
        <f>CONCATENATE(YEAR(A1813),"/",IF(MONTH(A1813)&lt;10,CONCATENATE("0",MONTH(A1813)),MONTH(A1813)))</f>
        <v>2025/04</v>
      </c>
      <c r="E1813" s="8" t="str">
        <f>IF(IF(D1813&lt;&gt;D1812,1,IF(OR(B1813&lt;&gt;B1812,A1813-A1812&gt;$U$1),1,""))&lt;&gt;1,"",IF(C1813="B01",1965,IF(C1813="B02",1020,IF(C1813="B05",2400,IF(C1813="B03",4260,IF(C1813="B04",2880,IF(C1813="B20",1260,0)))))))</f>
        <v/>
      </c>
      <c r="F1813" s="8" t="str">
        <f>IF(IF(D1813&lt;&gt;D1812,1,IF(OR(B1813&lt;&gt;B1812,A1813-A1812&gt;$U$1),1,""))&lt;&gt;1,"",IF(C1813="B01",1,IF(C1813="B05",1,IF(C1813="B03",1,IF(C1813="B04",1,IF(C1813="B20",1,IF(C1813="B02",1,0)))))))</f>
        <v/>
      </c>
      <c r="G1813"/>
      <c r="H1813" s="2"/>
      <c r="I1813" s="2"/>
      <c r="L1813"/>
      <c r="R1813"/>
    </row>
    <row r="1814" spans="1:18">
      <c r="A1814" s="3">
        <v>45757.078668981485</v>
      </c>
      <c r="B1814" s="2" t="s">
        <v>28</v>
      </c>
      <c r="C1814" s="2" t="s">
        <v>11</v>
      </c>
      <c r="D1814" s="6" t="str">
        <f>CONCATENATE(YEAR(A1814),"/",IF(MONTH(A1814)&lt;10,CONCATENATE("0",MONTH(A1814)),MONTH(A1814)))</f>
        <v>2025/04</v>
      </c>
      <c r="E1814" s="8" t="str">
        <f>IF(IF(D1814&lt;&gt;D1813,1,IF(OR(B1814&lt;&gt;B1813,A1814-A1813&gt;$U$1),1,""))&lt;&gt;1,"",IF(C1814="B01",1965,IF(C1814="B02",1020,IF(C1814="B05",2400,IF(C1814="B03",4260,IF(C1814="B04",2880,IF(C1814="B20",1260,0)))))))</f>
        <v/>
      </c>
      <c r="F1814" s="8" t="str">
        <f>IF(IF(D1814&lt;&gt;D1813,1,IF(OR(B1814&lt;&gt;B1813,A1814-A1813&gt;$U$1),1,""))&lt;&gt;1,"",IF(C1814="B01",1,IF(C1814="B05",1,IF(C1814="B03",1,IF(C1814="B04",1,IF(C1814="B20",1,IF(C1814="B02",1,0)))))))</f>
        <v/>
      </c>
      <c r="G1814"/>
      <c r="H1814" s="2"/>
      <c r="I1814" s="2"/>
      <c r="L1814"/>
      <c r="R1814"/>
    </row>
    <row r="1815" spans="1:18">
      <c r="A1815" s="3">
        <v>45757.71162037037</v>
      </c>
      <c r="B1815" s="2" t="s">
        <v>28</v>
      </c>
      <c r="C1815" s="2" t="s">
        <v>11</v>
      </c>
      <c r="D1815" s="6" t="str">
        <f>CONCATENATE(YEAR(A1815),"/",IF(MONTH(A1815)&lt;10,CONCATENATE("0",MONTH(A1815)),MONTH(A1815)))</f>
        <v>2025/04</v>
      </c>
      <c r="E1815" s="8">
        <f>IF(IF(D1815&lt;&gt;D1814,1,IF(OR(B1815&lt;&gt;B1814,A1815-A1814&gt;$U$1),1,""))&lt;&gt;1,"",IF(C1815="B01",1965,IF(C1815="B02",1020,IF(C1815="B05",2400,IF(C1815="B03",4260,IF(C1815="B04",2880,IF(C1815="B20",1260,0)))))))</f>
        <v>2400</v>
      </c>
      <c r="F1815" s="8">
        <f>IF(IF(D1815&lt;&gt;D1814,1,IF(OR(B1815&lt;&gt;B1814,A1815-A1814&gt;$U$1),1,""))&lt;&gt;1,"",IF(C1815="B01",1,IF(C1815="B05",1,IF(C1815="B03",1,IF(C1815="B04",1,IF(C1815="B20",1,IF(C1815="B02",1,0)))))))</f>
        <v>1</v>
      </c>
      <c r="G1815"/>
      <c r="H1815" s="2"/>
      <c r="I1815" s="2"/>
      <c r="L1815"/>
      <c r="R1815"/>
    </row>
    <row r="1816" spans="1:18">
      <c r="A1816" s="3">
        <v>45757.71162037037</v>
      </c>
      <c r="B1816" s="2" t="s">
        <v>28</v>
      </c>
      <c r="C1816" s="2" t="s">
        <v>11</v>
      </c>
      <c r="D1816" s="6" t="str">
        <f>CONCATENATE(YEAR(A1816),"/",IF(MONTH(A1816)&lt;10,CONCATENATE("0",MONTH(A1816)),MONTH(A1816)))</f>
        <v>2025/04</v>
      </c>
      <c r="E1816" s="8" t="str">
        <f>IF(IF(D1816&lt;&gt;D1815,1,IF(OR(B1816&lt;&gt;B1815,A1816-A1815&gt;$U$1),1,""))&lt;&gt;1,"",IF(C1816="B01",1965,IF(C1816="B02",1020,IF(C1816="B05",2400,IF(C1816="B03",4260,IF(C1816="B04",2880,IF(C1816="B20",1260,0)))))))</f>
        <v/>
      </c>
      <c r="F1816" s="8" t="str">
        <f>IF(IF(D1816&lt;&gt;D1815,1,IF(OR(B1816&lt;&gt;B1815,A1816-A1815&gt;$U$1),1,""))&lt;&gt;1,"",IF(C1816="B01",1,IF(C1816="B05",1,IF(C1816="B03",1,IF(C1816="B04",1,IF(C1816="B20",1,IF(C1816="B02",1,0)))))))</f>
        <v/>
      </c>
      <c r="G1816"/>
      <c r="H1816" s="2"/>
      <c r="I1816" s="2"/>
      <c r="L1816"/>
      <c r="R1816"/>
    </row>
    <row r="1817" spans="1:18">
      <c r="A1817" s="3">
        <v>45757.71162037037</v>
      </c>
      <c r="B1817" s="2" t="s">
        <v>28</v>
      </c>
      <c r="C1817" s="2" t="s">
        <v>11</v>
      </c>
      <c r="D1817" s="6" t="str">
        <f>CONCATENATE(YEAR(A1817),"/",IF(MONTH(A1817)&lt;10,CONCATENATE("0",MONTH(A1817)),MONTH(A1817)))</f>
        <v>2025/04</v>
      </c>
      <c r="E1817" s="8" t="str">
        <f>IF(IF(D1817&lt;&gt;D1816,1,IF(OR(B1817&lt;&gt;B1816,A1817-A1816&gt;$U$1),1,""))&lt;&gt;1,"",IF(C1817="B01",1965,IF(C1817="B02",1020,IF(C1817="B05",2400,IF(C1817="B03",4260,IF(C1817="B04",2880,IF(C1817="B20",1260,0)))))))</f>
        <v/>
      </c>
      <c r="F1817" s="8" t="str">
        <f>IF(IF(D1817&lt;&gt;D1816,1,IF(OR(B1817&lt;&gt;B1816,A1817-A1816&gt;$U$1),1,""))&lt;&gt;1,"",IF(C1817="B01",1,IF(C1817="B05",1,IF(C1817="B03",1,IF(C1817="B04",1,IF(C1817="B20",1,IF(C1817="B02",1,0)))))))</f>
        <v/>
      </c>
      <c r="G1817"/>
      <c r="H1817" s="2"/>
      <c r="I1817" s="2"/>
      <c r="L1817"/>
      <c r="R1817"/>
    </row>
    <row r="1818" spans="1:18">
      <c r="A1818" s="3">
        <v>45757.71162037037</v>
      </c>
      <c r="B1818" s="2" t="s">
        <v>28</v>
      </c>
      <c r="C1818" s="2" t="s">
        <v>11</v>
      </c>
      <c r="D1818" s="6" t="str">
        <f>CONCATENATE(YEAR(A1818),"/",IF(MONTH(A1818)&lt;10,CONCATENATE("0",MONTH(A1818)),MONTH(A1818)))</f>
        <v>2025/04</v>
      </c>
      <c r="E1818" s="8" t="str">
        <f>IF(IF(D1818&lt;&gt;D1817,1,IF(OR(B1818&lt;&gt;B1817,A1818-A1817&gt;$U$1),1,""))&lt;&gt;1,"",IF(C1818="B01",1965,IF(C1818="B02",1020,IF(C1818="B05",2400,IF(C1818="B03",4260,IF(C1818="B04",2880,IF(C1818="B20",1260,0)))))))</f>
        <v/>
      </c>
      <c r="F1818" s="8" t="str">
        <f>IF(IF(D1818&lt;&gt;D1817,1,IF(OR(B1818&lt;&gt;B1817,A1818-A1817&gt;$U$1),1,""))&lt;&gt;1,"",IF(C1818="B01",1,IF(C1818="B05",1,IF(C1818="B03",1,IF(C1818="B04",1,IF(C1818="B20",1,IF(C1818="B02",1,0)))))))</f>
        <v/>
      </c>
      <c r="G1818"/>
      <c r="H1818" s="2"/>
      <c r="I1818" s="2"/>
      <c r="L1818"/>
      <c r="R1818"/>
    </row>
    <row r="1819" spans="1:18">
      <c r="A1819" s="3">
        <v>45758.032094907408</v>
      </c>
      <c r="B1819" s="2" t="s">
        <v>28</v>
      </c>
      <c r="C1819" s="2" t="s">
        <v>11</v>
      </c>
      <c r="D1819" s="6" t="str">
        <f>CONCATENATE(YEAR(A1819),"/",IF(MONTH(A1819)&lt;10,CONCATENATE("0",MONTH(A1819)),MONTH(A1819)))</f>
        <v>2025/04</v>
      </c>
      <c r="E1819" s="8">
        <f>IF(IF(D1819&lt;&gt;D1818,1,IF(OR(B1819&lt;&gt;B1818,A1819-A1818&gt;$U$1),1,""))&lt;&gt;1,"",IF(C1819="B01",1965,IF(C1819="B02",1020,IF(C1819="B05",2400,IF(C1819="B03",4260,IF(C1819="B04",2880,IF(C1819="B20",1260,0)))))))</f>
        <v>2400</v>
      </c>
      <c r="F1819" s="8">
        <f>IF(IF(D1819&lt;&gt;D1818,1,IF(OR(B1819&lt;&gt;B1818,A1819-A1818&gt;$U$1),1,""))&lt;&gt;1,"",IF(C1819="B01",1,IF(C1819="B05",1,IF(C1819="B03",1,IF(C1819="B04",1,IF(C1819="B20",1,IF(C1819="B02",1,0)))))))</f>
        <v>1</v>
      </c>
      <c r="G1819"/>
      <c r="H1819" s="2"/>
      <c r="I1819" s="2"/>
      <c r="L1819"/>
      <c r="R1819"/>
    </row>
    <row r="1820" spans="1:18">
      <c r="A1820" s="3">
        <v>45758.032094907408</v>
      </c>
      <c r="B1820" s="2" t="s">
        <v>28</v>
      </c>
      <c r="C1820" s="2" t="s">
        <v>11</v>
      </c>
      <c r="D1820" s="6" t="str">
        <f>CONCATENATE(YEAR(A1820),"/",IF(MONTH(A1820)&lt;10,CONCATENATE("0",MONTH(A1820)),MONTH(A1820)))</f>
        <v>2025/04</v>
      </c>
      <c r="E1820" s="8" t="str">
        <f>IF(IF(D1820&lt;&gt;D1819,1,IF(OR(B1820&lt;&gt;B1819,A1820-A1819&gt;$U$1),1,""))&lt;&gt;1,"",IF(C1820="B01",1965,IF(C1820="B02",1020,IF(C1820="B05",2400,IF(C1820="B03",4260,IF(C1820="B04",2880,IF(C1820="B20",1260,0)))))))</f>
        <v/>
      </c>
      <c r="F1820" s="8" t="str">
        <f>IF(IF(D1820&lt;&gt;D1819,1,IF(OR(B1820&lt;&gt;B1819,A1820-A1819&gt;$U$1),1,""))&lt;&gt;1,"",IF(C1820="B01",1,IF(C1820="B05",1,IF(C1820="B03",1,IF(C1820="B04",1,IF(C1820="B20",1,IF(C1820="B02",1,0)))))))</f>
        <v/>
      </c>
      <c r="G1820"/>
      <c r="H1820" s="2"/>
      <c r="I1820" s="2"/>
      <c r="L1820"/>
      <c r="R1820"/>
    </row>
    <row r="1821" spans="1:18">
      <c r="A1821" s="3">
        <v>45758.032094907408</v>
      </c>
      <c r="B1821" s="2" t="s">
        <v>28</v>
      </c>
      <c r="C1821" s="2" t="s">
        <v>11</v>
      </c>
      <c r="D1821" s="6" t="str">
        <f>CONCATENATE(YEAR(A1821),"/",IF(MONTH(A1821)&lt;10,CONCATENATE("0",MONTH(A1821)),MONTH(A1821)))</f>
        <v>2025/04</v>
      </c>
      <c r="E1821" s="8" t="str">
        <f>IF(IF(D1821&lt;&gt;D1820,1,IF(OR(B1821&lt;&gt;B1820,A1821-A1820&gt;$U$1),1,""))&lt;&gt;1,"",IF(C1821="B01",1965,IF(C1821="B02",1020,IF(C1821="B05",2400,IF(C1821="B03",4260,IF(C1821="B04",2880,IF(C1821="B20",1260,0)))))))</f>
        <v/>
      </c>
      <c r="F1821" s="8" t="str">
        <f>IF(IF(D1821&lt;&gt;D1820,1,IF(OR(B1821&lt;&gt;B1820,A1821-A1820&gt;$U$1),1,""))&lt;&gt;1,"",IF(C1821="B01",1,IF(C1821="B05",1,IF(C1821="B03",1,IF(C1821="B04",1,IF(C1821="B20",1,IF(C1821="B02",1,0)))))))</f>
        <v/>
      </c>
      <c r="G1821"/>
      <c r="H1821" s="2"/>
      <c r="I1821" s="2"/>
      <c r="L1821"/>
      <c r="R1821"/>
    </row>
    <row r="1822" spans="1:18">
      <c r="A1822" s="3">
        <v>45758.032094907408</v>
      </c>
      <c r="B1822" s="2" t="s">
        <v>28</v>
      </c>
      <c r="C1822" s="2" t="s">
        <v>11</v>
      </c>
      <c r="D1822" s="6" t="str">
        <f>CONCATENATE(YEAR(A1822),"/",IF(MONTH(A1822)&lt;10,CONCATENATE("0",MONTH(A1822)),MONTH(A1822)))</f>
        <v>2025/04</v>
      </c>
      <c r="E1822" s="8" t="str">
        <f>IF(IF(D1822&lt;&gt;D1821,1,IF(OR(B1822&lt;&gt;B1821,A1822-A1821&gt;$U$1),1,""))&lt;&gt;1,"",IF(C1822="B01",1965,IF(C1822="B02",1020,IF(C1822="B05",2400,IF(C1822="B03",4260,IF(C1822="B04",2880,IF(C1822="B20",1260,0)))))))</f>
        <v/>
      </c>
      <c r="F1822" s="8" t="str">
        <f>IF(IF(D1822&lt;&gt;D1821,1,IF(OR(B1822&lt;&gt;B1821,A1822-A1821&gt;$U$1),1,""))&lt;&gt;1,"",IF(C1822="B01",1,IF(C1822="B05",1,IF(C1822="B03",1,IF(C1822="B04",1,IF(C1822="B20",1,IF(C1822="B02",1,0)))))))</f>
        <v/>
      </c>
      <c r="G1822"/>
      <c r="H1822" s="2"/>
      <c r="I1822" s="2"/>
      <c r="L1822"/>
      <c r="R1822"/>
    </row>
    <row r="1823" spans="1:18">
      <c r="A1823" s="3">
        <v>45758.14949074074</v>
      </c>
      <c r="B1823" s="2" t="s">
        <v>28</v>
      </c>
      <c r="C1823" s="2" t="s">
        <v>11</v>
      </c>
      <c r="D1823" s="6" t="str">
        <f>CONCATENATE(YEAR(A1823),"/",IF(MONTH(A1823)&lt;10,CONCATENATE("0",MONTH(A1823)),MONTH(A1823)))</f>
        <v>2025/04</v>
      </c>
      <c r="E1823" s="8">
        <f>IF(IF(D1823&lt;&gt;D1822,1,IF(OR(B1823&lt;&gt;B1822,A1823-A1822&gt;$U$1),1,""))&lt;&gt;1,"",IF(C1823="B01",1965,IF(C1823="B02",1020,IF(C1823="B05",2400,IF(C1823="B03",4260,IF(C1823="B04",2880,IF(C1823="B20",1260,0)))))))</f>
        <v>2400</v>
      </c>
      <c r="F1823" s="8">
        <f>IF(IF(D1823&lt;&gt;D1822,1,IF(OR(B1823&lt;&gt;B1822,A1823-A1822&gt;$U$1),1,""))&lt;&gt;1,"",IF(C1823="B01",1,IF(C1823="B05",1,IF(C1823="B03",1,IF(C1823="B04",1,IF(C1823="B20",1,IF(C1823="B02",1,0)))))))</f>
        <v>1</v>
      </c>
      <c r="G1823"/>
      <c r="H1823" s="2"/>
      <c r="I1823" s="2"/>
      <c r="L1823"/>
      <c r="R1823"/>
    </row>
    <row r="1824" spans="1:18">
      <c r="A1824" s="3">
        <v>45758.14949074074</v>
      </c>
      <c r="B1824" s="2" t="s">
        <v>28</v>
      </c>
      <c r="C1824" s="2" t="s">
        <v>11</v>
      </c>
      <c r="D1824" s="6" t="str">
        <f>CONCATENATE(YEAR(A1824),"/",IF(MONTH(A1824)&lt;10,CONCATENATE("0",MONTH(A1824)),MONTH(A1824)))</f>
        <v>2025/04</v>
      </c>
      <c r="E1824" s="8" t="str">
        <f>IF(IF(D1824&lt;&gt;D1823,1,IF(OR(B1824&lt;&gt;B1823,A1824-A1823&gt;$U$1),1,""))&lt;&gt;1,"",IF(C1824="B01",1965,IF(C1824="B02",1020,IF(C1824="B05",2400,IF(C1824="B03",4260,IF(C1824="B04",2880,IF(C1824="B20",1260,0)))))))</f>
        <v/>
      </c>
      <c r="F1824" s="8" t="str">
        <f>IF(IF(D1824&lt;&gt;D1823,1,IF(OR(B1824&lt;&gt;B1823,A1824-A1823&gt;$U$1),1,""))&lt;&gt;1,"",IF(C1824="B01",1,IF(C1824="B05",1,IF(C1824="B03",1,IF(C1824="B04",1,IF(C1824="B20",1,IF(C1824="B02",1,0)))))))</f>
        <v/>
      </c>
      <c r="G1824"/>
      <c r="H1824" s="2"/>
      <c r="I1824" s="2"/>
      <c r="L1824"/>
      <c r="R1824"/>
    </row>
    <row r="1825" spans="1:18">
      <c r="A1825" s="3">
        <v>45758.14949074074</v>
      </c>
      <c r="B1825" s="2" t="s">
        <v>28</v>
      </c>
      <c r="C1825" s="2" t="s">
        <v>11</v>
      </c>
      <c r="D1825" s="6" t="str">
        <f>CONCATENATE(YEAR(A1825),"/",IF(MONTH(A1825)&lt;10,CONCATENATE("0",MONTH(A1825)),MONTH(A1825)))</f>
        <v>2025/04</v>
      </c>
      <c r="E1825" s="8" t="str">
        <f>IF(IF(D1825&lt;&gt;D1824,1,IF(OR(B1825&lt;&gt;B1824,A1825-A1824&gt;$U$1),1,""))&lt;&gt;1,"",IF(C1825="B01",1965,IF(C1825="B02",1020,IF(C1825="B05",2400,IF(C1825="B03",4260,IF(C1825="B04",2880,IF(C1825="B20",1260,0)))))))</f>
        <v/>
      </c>
      <c r="F1825" s="8" t="str">
        <f>IF(IF(D1825&lt;&gt;D1824,1,IF(OR(B1825&lt;&gt;B1824,A1825-A1824&gt;$U$1),1,""))&lt;&gt;1,"",IF(C1825="B01",1,IF(C1825="B05",1,IF(C1825="B03",1,IF(C1825="B04",1,IF(C1825="B20",1,IF(C1825="B02",1,0)))))))</f>
        <v/>
      </c>
      <c r="G1825"/>
      <c r="H1825" s="2"/>
      <c r="I1825" s="2"/>
      <c r="L1825"/>
      <c r="R1825"/>
    </row>
    <row r="1826" spans="1:18">
      <c r="A1826" s="3">
        <v>45758.14949074074</v>
      </c>
      <c r="B1826" s="2" t="s">
        <v>28</v>
      </c>
      <c r="C1826" s="2" t="s">
        <v>11</v>
      </c>
      <c r="D1826" s="6" t="str">
        <f>CONCATENATE(YEAR(A1826),"/",IF(MONTH(A1826)&lt;10,CONCATENATE("0",MONTH(A1826)),MONTH(A1826)))</f>
        <v>2025/04</v>
      </c>
      <c r="E1826" s="8" t="str">
        <f>IF(IF(D1826&lt;&gt;D1825,1,IF(OR(B1826&lt;&gt;B1825,A1826-A1825&gt;$U$1),1,""))&lt;&gt;1,"",IF(C1826="B01",1965,IF(C1826="B02",1020,IF(C1826="B05",2400,IF(C1826="B03",4260,IF(C1826="B04",2880,IF(C1826="B20",1260,0)))))))</f>
        <v/>
      </c>
      <c r="F1826" s="8" t="str">
        <f>IF(IF(D1826&lt;&gt;D1825,1,IF(OR(B1826&lt;&gt;B1825,A1826-A1825&gt;$U$1),1,""))&lt;&gt;1,"",IF(C1826="B01",1,IF(C1826="B05",1,IF(C1826="B03",1,IF(C1826="B04",1,IF(C1826="B20",1,IF(C1826="B02",1,0)))))))</f>
        <v/>
      </c>
      <c r="G1826"/>
      <c r="H1826" s="2"/>
      <c r="I1826" s="2"/>
      <c r="L1826"/>
      <c r="R1826"/>
    </row>
    <row r="1827" spans="1:18">
      <c r="A1827" s="3">
        <v>45758.284618055557</v>
      </c>
      <c r="B1827" s="2" t="s">
        <v>28</v>
      </c>
      <c r="C1827" s="2" t="s">
        <v>39</v>
      </c>
      <c r="D1827" s="6" t="str">
        <f>CONCATENATE(YEAR(A1827),"/",IF(MONTH(A1827)&lt;10,CONCATENATE("0",MONTH(A1827)),MONTH(A1827)))</f>
        <v>2025/04</v>
      </c>
      <c r="E1827" s="8">
        <f>IF(IF(D1827&lt;&gt;D1826,1,IF(OR(B1827&lt;&gt;B1826,A1827-A1826&gt;$U$1),1,""))&lt;&gt;1,"",IF(C1827="B01",1965,IF(C1827="B02",1020,IF(C1827="B05",2400,IF(C1827="B03",4260,IF(C1827="B04",2880,IF(C1827="B20",1260,0)))))))</f>
        <v>1260</v>
      </c>
      <c r="F1827" s="8">
        <f>IF(IF(D1827&lt;&gt;D1826,1,IF(OR(B1827&lt;&gt;B1826,A1827-A1826&gt;$U$1),1,""))&lt;&gt;1,"",IF(C1827="B01",1,IF(C1827="B05",1,IF(C1827="B03",1,IF(C1827="B04",1,IF(C1827="B20",1,IF(C1827="B02",1,0)))))))</f>
        <v>1</v>
      </c>
      <c r="G1827"/>
      <c r="H1827" s="2"/>
      <c r="I1827" s="2"/>
      <c r="L1827"/>
      <c r="R1827"/>
    </row>
    <row r="1828" spans="1:18">
      <c r="A1828" s="3">
        <v>45758.284618055557</v>
      </c>
      <c r="B1828" s="2" t="s">
        <v>28</v>
      </c>
      <c r="C1828" s="2" t="s">
        <v>39</v>
      </c>
      <c r="D1828" s="6" t="str">
        <f>CONCATENATE(YEAR(A1828),"/",IF(MONTH(A1828)&lt;10,CONCATENATE("0",MONTH(A1828)),MONTH(A1828)))</f>
        <v>2025/04</v>
      </c>
      <c r="E1828" s="8" t="str">
        <f>IF(IF(D1828&lt;&gt;D1827,1,IF(OR(B1828&lt;&gt;B1827,A1828-A1827&gt;$U$1),1,""))&lt;&gt;1,"",IF(C1828="B01",1965,IF(C1828="B02",1020,IF(C1828="B05",2400,IF(C1828="B03",4260,IF(C1828="B04",2880,IF(C1828="B20",1260,0)))))))</f>
        <v/>
      </c>
      <c r="F1828" s="8" t="str">
        <f>IF(IF(D1828&lt;&gt;D1827,1,IF(OR(B1828&lt;&gt;B1827,A1828-A1827&gt;$U$1),1,""))&lt;&gt;1,"",IF(C1828="B01",1,IF(C1828="B05",1,IF(C1828="B03",1,IF(C1828="B04",1,IF(C1828="B20",1,IF(C1828="B02",1,0)))))))</f>
        <v/>
      </c>
      <c r="G1828"/>
      <c r="H1828" s="2"/>
      <c r="I1828" s="2"/>
      <c r="L1828"/>
      <c r="R1828"/>
    </row>
    <row r="1829" spans="1:18">
      <c r="A1829" s="3">
        <v>45758.306990740741</v>
      </c>
      <c r="B1829" s="2" t="s">
        <v>28</v>
      </c>
      <c r="C1829" s="2" t="s">
        <v>39</v>
      </c>
      <c r="D1829" s="6" t="str">
        <f>CONCATENATE(YEAR(A1829),"/",IF(MONTH(A1829)&lt;10,CONCATENATE("0",MONTH(A1829)),MONTH(A1829)))</f>
        <v>2025/04</v>
      </c>
      <c r="E1829" s="8">
        <f>IF(IF(D1829&lt;&gt;D1828,1,IF(OR(B1829&lt;&gt;B1828,A1829-A1828&gt;$U$1),1,""))&lt;&gt;1,"",IF(C1829="B01",1965,IF(C1829="B02",1020,IF(C1829="B05",2400,IF(C1829="B03",4260,IF(C1829="B04",2880,IF(C1829="B20",1260,0)))))))</f>
        <v>1260</v>
      </c>
      <c r="F1829" s="8">
        <f>IF(IF(D1829&lt;&gt;D1828,1,IF(OR(B1829&lt;&gt;B1828,A1829-A1828&gt;$U$1),1,""))&lt;&gt;1,"",IF(C1829="B01",1,IF(C1829="B05",1,IF(C1829="B03",1,IF(C1829="B04",1,IF(C1829="B20",1,IF(C1829="B02",1,0)))))))</f>
        <v>1</v>
      </c>
      <c r="G1829"/>
      <c r="H1829" s="2"/>
      <c r="I1829" s="2"/>
      <c r="L1829"/>
      <c r="R1829"/>
    </row>
    <row r="1830" spans="1:18">
      <c r="A1830" s="3">
        <v>45758.306990740741</v>
      </c>
      <c r="B1830" s="2" t="s">
        <v>28</v>
      </c>
      <c r="C1830" s="2" t="s">
        <v>39</v>
      </c>
      <c r="D1830" s="6" t="str">
        <f>CONCATENATE(YEAR(A1830),"/",IF(MONTH(A1830)&lt;10,CONCATENATE("0",MONTH(A1830)),MONTH(A1830)))</f>
        <v>2025/04</v>
      </c>
      <c r="E1830" s="8" t="str">
        <f>IF(IF(D1830&lt;&gt;D1829,1,IF(OR(B1830&lt;&gt;B1829,A1830-A1829&gt;$U$1),1,""))&lt;&gt;1,"",IF(C1830="B01",1965,IF(C1830="B02",1020,IF(C1830="B05",2400,IF(C1830="B03",4260,IF(C1830="B04",2880,IF(C1830="B20",1260,0)))))))</f>
        <v/>
      </c>
      <c r="F1830" s="8" t="str">
        <f>IF(IF(D1830&lt;&gt;D1829,1,IF(OR(B1830&lt;&gt;B1829,A1830-A1829&gt;$U$1),1,""))&lt;&gt;1,"",IF(C1830="B01",1,IF(C1830="B05",1,IF(C1830="B03",1,IF(C1830="B04",1,IF(C1830="B20",1,IF(C1830="B02",1,0)))))))</f>
        <v/>
      </c>
      <c r="G1830"/>
      <c r="H1830" s="2"/>
      <c r="I1830" s="2"/>
      <c r="L1830"/>
      <c r="R1830"/>
    </row>
    <row r="1831" spans="1:18">
      <c r="A1831" s="3">
        <v>45758.57271990741</v>
      </c>
      <c r="B1831" s="2" t="s">
        <v>28</v>
      </c>
      <c r="C1831" s="2" t="s">
        <v>11</v>
      </c>
      <c r="D1831" s="6" t="str">
        <f>CONCATENATE(YEAR(A1831),"/",IF(MONTH(A1831)&lt;10,CONCATENATE("0",MONTH(A1831)),MONTH(A1831)))</f>
        <v>2025/04</v>
      </c>
      <c r="E1831" s="8">
        <f>IF(IF(D1831&lt;&gt;D1830,1,IF(OR(B1831&lt;&gt;B1830,A1831-A1830&gt;$U$1),1,""))&lt;&gt;1,"",IF(C1831="B01",1965,IF(C1831="B02",1020,IF(C1831="B05",2400,IF(C1831="B03",4260,IF(C1831="B04",2880,IF(C1831="B20",1260,0)))))))</f>
        <v>2400</v>
      </c>
      <c r="F1831" s="8">
        <f>IF(IF(D1831&lt;&gt;D1830,1,IF(OR(B1831&lt;&gt;B1830,A1831-A1830&gt;$U$1),1,""))&lt;&gt;1,"",IF(C1831="B01",1,IF(C1831="B05",1,IF(C1831="B03",1,IF(C1831="B04",1,IF(C1831="B20",1,IF(C1831="B02",1,0)))))))</f>
        <v>1</v>
      </c>
      <c r="G1831"/>
      <c r="H1831" s="2"/>
      <c r="I1831" s="2"/>
      <c r="L1831"/>
      <c r="R1831"/>
    </row>
    <row r="1832" spans="1:18">
      <c r="A1832" s="3">
        <v>45758.572731481479</v>
      </c>
      <c r="B1832" s="2" t="s">
        <v>28</v>
      </c>
      <c r="C1832" s="2" t="s">
        <v>11</v>
      </c>
      <c r="D1832" s="6" t="str">
        <f>CONCATENATE(YEAR(A1832),"/",IF(MONTH(A1832)&lt;10,CONCATENATE("0",MONTH(A1832)),MONTH(A1832)))</f>
        <v>2025/04</v>
      </c>
      <c r="E1832" s="8" t="str">
        <f>IF(IF(D1832&lt;&gt;D1831,1,IF(OR(B1832&lt;&gt;B1831,A1832-A1831&gt;$U$1),1,""))&lt;&gt;1,"",IF(C1832="B01",1965,IF(C1832="B02",1020,IF(C1832="B05",2400,IF(C1832="B03",4260,IF(C1832="B04",2880,IF(C1832="B20",1260,0)))))))</f>
        <v/>
      </c>
      <c r="F1832" s="8" t="str">
        <f>IF(IF(D1832&lt;&gt;D1831,1,IF(OR(B1832&lt;&gt;B1831,A1832-A1831&gt;$U$1),1,""))&lt;&gt;1,"",IF(C1832="B01",1,IF(C1832="B05",1,IF(C1832="B03",1,IF(C1832="B04",1,IF(C1832="B20",1,IF(C1832="B02",1,0)))))))</f>
        <v/>
      </c>
      <c r="G1832"/>
      <c r="H1832" s="2"/>
      <c r="I1832" s="2"/>
      <c r="L1832"/>
      <c r="R1832"/>
    </row>
    <row r="1833" spans="1:18">
      <c r="A1833" s="3">
        <v>45758.572731481479</v>
      </c>
      <c r="B1833" s="2" t="s">
        <v>28</v>
      </c>
      <c r="C1833" s="2" t="s">
        <v>11</v>
      </c>
      <c r="D1833" s="6" t="str">
        <f>CONCATENATE(YEAR(A1833),"/",IF(MONTH(A1833)&lt;10,CONCATENATE("0",MONTH(A1833)),MONTH(A1833)))</f>
        <v>2025/04</v>
      </c>
      <c r="E1833" s="8" t="str">
        <f>IF(IF(D1833&lt;&gt;D1832,1,IF(OR(B1833&lt;&gt;B1832,A1833-A1832&gt;$U$1),1,""))&lt;&gt;1,"",IF(C1833="B01",1965,IF(C1833="B02",1020,IF(C1833="B05",2400,IF(C1833="B03",4260,IF(C1833="B04",2880,IF(C1833="B20",1260,0)))))))</f>
        <v/>
      </c>
      <c r="F1833" s="8" t="str">
        <f>IF(IF(D1833&lt;&gt;D1832,1,IF(OR(B1833&lt;&gt;B1832,A1833-A1832&gt;$U$1),1,""))&lt;&gt;1,"",IF(C1833="B01",1,IF(C1833="B05",1,IF(C1833="B03",1,IF(C1833="B04",1,IF(C1833="B20",1,IF(C1833="B02",1,0)))))))</f>
        <v/>
      </c>
      <c r="G1833"/>
      <c r="H1833" s="2"/>
      <c r="I1833" s="2"/>
      <c r="L1833"/>
      <c r="R1833"/>
    </row>
    <row r="1834" spans="1:18">
      <c r="A1834" s="3">
        <v>45758.572731481479</v>
      </c>
      <c r="B1834" s="2" t="s">
        <v>28</v>
      </c>
      <c r="C1834" s="2" t="s">
        <v>11</v>
      </c>
      <c r="D1834" s="6" t="str">
        <f>CONCATENATE(YEAR(A1834),"/",IF(MONTH(A1834)&lt;10,CONCATENATE("0",MONTH(A1834)),MONTH(A1834)))</f>
        <v>2025/04</v>
      </c>
      <c r="E1834" s="8" t="str">
        <f>IF(IF(D1834&lt;&gt;D1833,1,IF(OR(B1834&lt;&gt;B1833,A1834-A1833&gt;$U$1),1,""))&lt;&gt;1,"",IF(C1834="B01",1965,IF(C1834="B02",1020,IF(C1834="B05",2400,IF(C1834="B03",4260,IF(C1834="B04",2880,IF(C1834="B20",1260,0)))))))</f>
        <v/>
      </c>
      <c r="F1834" s="8" t="str">
        <f>IF(IF(D1834&lt;&gt;D1833,1,IF(OR(B1834&lt;&gt;B1833,A1834-A1833&gt;$U$1),1,""))&lt;&gt;1,"",IF(C1834="B01",1,IF(C1834="B05",1,IF(C1834="B03",1,IF(C1834="B04",1,IF(C1834="B20",1,IF(C1834="B02",1,0)))))))</f>
        <v/>
      </c>
      <c r="G1834"/>
      <c r="H1834" s="2"/>
      <c r="I1834" s="2"/>
      <c r="L1834"/>
      <c r="R1834"/>
    </row>
    <row r="1835" spans="1:18">
      <c r="A1835" s="3">
        <v>45758.572731481479</v>
      </c>
      <c r="B1835" s="2" t="s">
        <v>28</v>
      </c>
      <c r="C1835" s="2" t="s">
        <v>11</v>
      </c>
      <c r="D1835" s="6" t="str">
        <f>CONCATENATE(YEAR(A1835),"/",IF(MONTH(A1835)&lt;10,CONCATENATE("0",MONTH(A1835)),MONTH(A1835)))</f>
        <v>2025/04</v>
      </c>
      <c r="E1835" s="8" t="str">
        <f>IF(IF(D1835&lt;&gt;D1834,1,IF(OR(B1835&lt;&gt;B1834,A1835-A1834&gt;$U$1),1,""))&lt;&gt;1,"",IF(C1835="B01",1965,IF(C1835="B02",1020,IF(C1835="B05",2400,IF(C1835="B03",4260,IF(C1835="B04",2880,IF(C1835="B20",1260,0)))))))</f>
        <v/>
      </c>
      <c r="F1835" s="8" t="str">
        <f>IF(IF(D1835&lt;&gt;D1834,1,IF(OR(B1835&lt;&gt;B1834,A1835-A1834&gt;$U$1),1,""))&lt;&gt;1,"",IF(C1835="B01",1,IF(C1835="B05",1,IF(C1835="B03",1,IF(C1835="B04",1,IF(C1835="B20",1,IF(C1835="B02",1,0)))))))</f>
        <v/>
      </c>
      <c r="G1835"/>
      <c r="H1835" s="2"/>
      <c r="I1835" s="2"/>
      <c r="L1835"/>
      <c r="R1835"/>
    </row>
    <row r="1836" spans="1:18">
      <c r="A1836" s="3">
        <v>45758.572731481479</v>
      </c>
      <c r="B1836" s="2" t="s">
        <v>28</v>
      </c>
      <c r="C1836" s="2" t="s">
        <v>11</v>
      </c>
      <c r="D1836" s="6" t="str">
        <f>CONCATENATE(YEAR(A1836),"/",IF(MONTH(A1836)&lt;10,CONCATENATE("0",MONTH(A1836)),MONTH(A1836)))</f>
        <v>2025/04</v>
      </c>
      <c r="E1836" s="8" t="str">
        <f>IF(IF(D1836&lt;&gt;D1835,1,IF(OR(B1836&lt;&gt;B1835,A1836-A1835&gt;$U$1),1,""))&lt;&gt;1,"",IF(C1836="B01",1965,IF(C1836="B02",1020,IF(C1836="B05",2400,IF(C1836="B03",4260,IF(C1836="B04",2880,IF(C1836="B20",1260,0)))))))</f>
        <v/>
      </c>
      <c r="F1836" s="8" t="str">
        <f>IF(IF(D1836&lt;&gt;D1835,1,IF(OR(B1836&lt;&gt;B1835,A1836-A1835&gt;$U$1),1,""))&lt;&gt;1,"",IF(C1836="B01",1,IF(C1836="B05",1,IF(C1836="B03",1,IF(C1836="B04",1,IF(C1836="B20",1,IF(C1836="B02",1,0)))))))</f>
        <v/>
      </c>
      <c r="G1836"/>
      <c r="H1836" s="2"/>
      <c r="I1836" s="2"/>
      <c r="L1836"/>
      <c r="R1836"/>
    </row>
    <row r="1837" spans="1:18">
      <c r="A1837" s="3">
        <v>45758.960428240738</v>
      </c>
      <c r="B1837" s="2" t="s">
        <v>28</v>
      </c>
      <c r="C1837" s="2" t="s">
        <v>11</v>
      </c>
      <c r="D1837" s="6" t="str">
        <f>CONCATENATE(YEAR(A1837),"/",IF(MONTH(A1837)&lt;10,CONCATENATE("0",MONTH(A1837)),MONTH(A1837)))</f>
        <v>2025/04</v>
      </c>
      <c r="E1837" s="8">
        <f>IF(IF(D1837&lt;&gt;D1836,1,IF(OR(B1837&lt;&gt;B1836,A1837-A1836&gt;$U$1),1,""))&lt;&gt;1,"",IF(C1837="B01",1965,IF(C1837="B02",1020,IF(C1837="B05",2400,IF(C1837="B03",4260,IF(C1837="B04",2880,IF(C1837="B20",1260,0)))))))</f>
        <v>2400</v>
      </c>
      <c r="F1837" s="8">
        <f>IF(IF(D1837&lt;&gt;D1836,1,IF(OR(B1837&lt;&gt;B1836,A1837-A1836&gt;$U$1),1,""))&lt;&gt;1,"",IF(C1837="B01",1,IF(C1837="B05",1,IF(C1837="B03",1,IF(C1837="B04",1,IF(C1837="B20",1,IF(C1837="B02",1,0)))))))</f>
        <v>1</v>
      </c>
      <c r="G1837"/>
      <c r="H1837" s="2"/>
      <c r="I1837" s="2"/>
      <c r="L1837"/>
      <c r="R1837"/>
    </row>
    <row r="1838" spans="1:18">
      <c r="A1838" s="3">
        <v>45758.960428240738</v>
      </c>
      <c r="B1838" s="2" t="s">
        <v>28</v>
      </c>
      <c r="C1838" s="2" t="s">
        <v>11</v>
      </c>
      <c r="D1838" s="6" t="str">
        <f>CONCATENATE(YEAR(A1838),"/",IF(MONTH(A1838)&lt;10,CONCATENATE("0",MONTH(A1838)),MONTH(A1838)))</f>
        <v>2025/04</v>
      </c>
      <c r="E1838" s="8" t="str">
        <f>IF(IF(D1838&lt;&gt;D1837,1,IF(OR(B1838&lt;&gt;B1837,A1838-A1837&gt;$U$1),1,""))&lt;&gt;1,"",IF(C1838="B01",1965,IF(C1838="B02",1020,IF(C1838="B05",2400,IF(C1838="B03",4260,IF(C1838="B04",2880,IF(C1838="B20",1260,0)))))))</f>
        <v/>
      </c>
      <c r="F1838" s="8" t="str">
        <f>IF(IF(D1838&lt;&gt;D1837,1,IF(OR(B1838&lt;&gt;B1837,A1838-A1837&gt;$U$1),1,""))&lt;&gt;1,"",IF(C1838="B01",1,IF(C1838="B05",1,IF(C1838="B03",1,IF(C1838="B04",1,IF(C1838="B20",1,IF(C1838="B02",1,0)))))))</f>
        <v/>
      </c>
      <c r="G1838"/>
      <c r="H1838" s="2"/>
      <c r="I1838" s="2"/>
      <c r="L1838"/>
      <c r="R1838"/>
    </row>
    <row r="1839" spans="1:18">
      <c r="A1839" s="3">
        <v>45758.960428240738</v>
      </c>
      <c r="B1839" s="2" t="s">
        <v>28</v>
      </c>
      <c r="C1839" s="2" t="s">
        <v>11</v>
      </c>
      <c r="D1839" s="6" t="str">
        <f>CONCATENATE(YEAR(A1839),"/",IF(MONTH(A1839)&lt;10,CONCATENATE("0",MONTH(A1839)),MONTH(A1839)))</f>
        <v>2025/04</v>
      </c>
      <c r="E1839" s="8" t="str">
        <f>IF(IF(D1839&lt;&gt;D1838,1,IF(OR(B1839&lt;&gt;B1838,A1839-A1838&gt;$U$1),1,""))&lt;&gt;1,"",IF(C1839="B01",1965,IF(C1839="B02",1020,IF(C1839="B05",2400,IF(C1839="B03",4260,IF(C1839="B04",2880,IF(C1839="B20",1260,0)))))))</f>
        <v/>
      </c>
      <c r="F1839" s="8" t="str">
        <f>IF(IF(D1839&lt;&gt;D1838,1,IF(OR(B1839&lt;&gt;B1838,A1839-A1838&gt;$U$1),1,""))&lt;&gt;1,"",IF(C1839="B01",1,IF(C1839="B05",1,IF(C1839="B03",1,IF(C1839="B04",1,IF(C1839="B20",1,IF(C1839="B02",1,0)))))))</f>
        <v/>
      </c>
      <c r="G1839"/>
      <c r="H1839" s="2"/>
      <c r="I1839" s="2"/>
      <c r="L1839"/>
      <c r="R1839"/>
    </row>
    <row r="1840" spans="1:18">
      <c r="A1840" s="3">
        <v>45758.960428240738</v>
      </c>
      <c r="B1840" s="2" t="s">
        <v>28</v>
      </c>
      <c r="C1840" s="2" t="s">
        <v>11</v>
      </c>
      <c r="D1840" s="6" t="str">
        <f>CONCATENATE(YEAR(A1840),"/",IF(MONTH(A1840)&lt;10,CONCATENATE("0",MONTH(A1840)),MONTH(A1840)))</f>
        <v>2025/04</v>
      </c>
      <c r="E1840" s="8" t="str">
        <f>IF(IF(D1840&lt;&gt;D1839,1,IF(OR(B1840&lt;&gt;B1839,A1840-A1839&gt;$U$1),1,""))&lt;&gt;1,"",IF(C1840="B01",1965,IF(C1840="B02",1020,IF(C1840="B05",2400,IF(C1840="B03",4260,IF(C1840="B04",2880,IF(C1840="B20",1260,0)))))))</f>
        <v/>
      </c>
      <c r="F1840" s="8" t="str">
        <f>IF(IF(D1840&lt;&gt;D1839,1,IF(OR(B1840&lt;&gt;B1839,A1840-A1839&gt;$U$1),1,""))&lt;&gt;1,"",IF(C1840="B01",1,IF(C1840="B05",1,IF(C1840="B03",1,IF(C1840="B04",1,IF(C1840="B20",1,IF(C1840="B02",1,0)))))))</f>
        <v/>
      </c>
      <c r="G1840"/>
      <c r="H1840" s="2"/>
      <c r="I1840" s="2"/>
      <c r="L1840"/>
      <c r="R1840"/>
    </row>
    <row r="1841" spans="1:18">
      <c r="A1841" s="3">
        <v>45759.08898148148</v>
      </c>
      <c r="B1841" s="2" t="s">
        <v>28</v>
      </c>
      <c r="C1841" s="2" t="s">
        <v>11</v>
      </c>
      <c r="D1841" s="6" t="str">
        <f>CONCATENATE(YEAR(A1841),"/",IF(MONTH(A1841)&lt;10,CONCATENATE("0",MONTH(A1841)),MONTH(A1841)))</f>
        <v>2025/04</v>
      </c>
      <c r="E1841" s="8">
        <f>IF(IF(D1841&lt;&gt;D1840,1,IF(OR(B1841&lt;&gt;B1840,A1841-A1840&gt;$U$1),1,""))&lt;&gt;1,"",IF(C1841="B01",1965,IF(C1841="B02",1020,IF(C1841="B05",2400,IF(C1841="B03",4260,IF(C1841="B04",2880,IF(C1841="B20",1260,0)))))))</f>
        <v>2400</v>
      </c>
      <c r="F1841" s="8">
        <f>IF(IF(D1841&lt;&gt;D1840,1,IF(OR(B1841&lt;&gt;B1840,A1841-A1840&gt;$U$1),1,""))&lt;&gt;1,"",IF(C1841="B01",1,IF(C1841="B05",1,IF(C1841="B03",1,IF(C1841="B04",1,IF(C1841="B20",1,IF(C1841="B02",1,0)))))))</f>
        <v>1</v>
      </c>
      <c r="G1841"/>
      <c r="H1841" s="2"/>
      <c r="I1841" s="2"/>
      <c r="L1841"/>
      <c r="R1841"/>
    </row>
    <row r="1842" spans="1:18">
      <c r="A1842" s="3">
        <v>45759.08898148148</v>
      </c>
      <c r="B1842" s="2" t="s">
        <v>28</v>
      </c>
      <c r="C1842" s="2" t="s">
        <v>11</v>
      </c>
      <c r="D1842" s="6" t="str">
        <f>CONCATENATE(YEAR(A1842),"/",IF(MONTH(A1842)&lt;10,CONCATENATE("0",MONTH(A1842)),MONTH(A1842)))</f>
        <v>2025/04</v>
      </c>
      <c r="E1842" s="8" t="str">
        <f>IF(IF(D1842&lt;&gt;D1841,1,IF(OR(B1842&lt;&gt;B1841,A1842-A1841&gt;$U$1),1,""))&lt;&gt;1,"",IF(C1842="B01",1965,IF(C1842="B02",1020,IF(C1842="B05",2400,IF(C1842="B03",4260,IF(C1842="B04",2880,IF(C1842="B20",1260,0)))))))</f>
        <v/>
      </c>
      <c r="F1842" s="8" t="str">
        <f>IF(IF(D1842&lt;&gt;D1841,1,IF(OR(B1842&lt;&gt;B1841,A1842-A1841&gt;$U$1),1,""))&lt;&gt;1,"",IF(C1842="B01",1,IF(C1842="B05",1,IF(C1842="B03",1,IF(C1842="B04",1,IF(C1842="B20",1,IF(C1842="B02",1,0)))))))</f>
        <v/>
      </c>
      <c r="G1842"/>
      <c r="H1842" s="2"/>
      <c r="I1842" s="2"/>
      <c r="L1842"/>
      <c r="R1842"/>
    </row>
    <row r="1843" spans="1:18">
      <c r="A1843" s="3">
        <v>45759.08898148148</v>
      </c>
      <c r="B1843" s="2" t="s">
        <v>28</v>
      </c>
      <c r="C1843" s="2" t="s">
        <v>11</v>
      </c>
      <c r="D1843" s="6" t="str">
        <f>CONCATENATE(YEAR(A1843),"/",IF(MONTH(A1843)&lt;10,CONCATENATE("0",MONTH(A1843)),MONTH(A1843)))</f>
        <v>2025/04</v>
      </c>
      <c r="E1843" s="8" t="str">
        <f>IF(IF(D1843&lt;&gt;D1842,1,IF(OR(B1843&lt;&gt;B1842,A1843-A1842&gt;$U$1),1,""))&lt;&gt;1,"",IF(C1843="B01",1965,IF(C1843="B02",1020,IF(C1843="B05",2400,IF(C1843="B03",4260,IF(C1843="B04",2880,IF(C1843="B20",1260,0)))))))</f>
        <v/>
      </c>
      <c r="F1843" s="8" t="str">
        <f>IF(IF(D1843&lt;&gt;D1842,1,IF(OR(B1843&lt;&gt;B1842,A1843-A1842&gt;$U$1),1,""))&lt;&gt;1,"",IF(C1843="B01",1,IF(C1843="B05",1,IF(C1843="B03",1,IF(C1843="B04",1,IF(C1843="B20",1,IF(C1843="B02",1,0)))))))</f>
        <v/>
      </c>
      <c r="G1843"/>
      <c r="H1843" s="2"/>
      <c r="I1843" s="2"/>
      <c r="L1843"/>
      <c r="R1843"/>
    </row>
    <row r="1844" spans="1:18">
      <c r="A1844" s="3">
        <v>45759.401412037034</v>
      </c>
      <c r="B1844" s="2" t="s">
        <v>28</v>
      </c>
      <c r="C1844" s="2" t="s">
        <v>11</v>
      </c>
      <c r="D1844" s="6" t="str">
        <f>CONCATENATE(YEAR(A1844),"/",IF(MONTH(A1844)&lt;10,CONCATENATE("0",MONTH(A1844)),MONTH(A1844)))</f>
        <v>2025/04</v>
      </c>
      <c r="E1844" s="8">
        <f>IF(IF(D1844&lt;&gt;D1843,1,IF(OR(B1844&lt;&gt;B1843,A1844-A1843&gt;$U$1),1,""))&lt;&gt;1,"",IF(C1844="B01",1965,IF(C1844="B02",1020,IF(C1844="B05",2400,IF(C1844="B03",4260,IF(C1844="B04",2880,IF(C1844="B20",1260,0)))))))</f>
        <v>2400</v>
      </c>
      <c r="F1844" s="8">
        <f>IF(IF(D1844&lt;&gt;D1843,1,IF(OR(B1844&lt;&gt;B1843,A1844-A1843&gt;$U$1),1,""))&lt;&gt;1,"",IF(C1844="B01",1,IF(C1844="B05",1,IF(C1844="B03",1,IF(C1844="B04",1,IF(C1844="B20",1,IF(C1844="B02",1,0)))))))</f>
        <v>1</v>
      </c>
      <c r="G1844"/>
      <c r="H1844" s="2"/>
      <c r="I1844" s="2"/>
      <c r="L1844"/>
      <c r="R1844"/>
    </row>
    <row r="1845" spans="1:18">
      <c r="A1845" s="3">
        <v>45759.401412037034</v>
      </c>
      <c r="B1845" s="2" t="s">
        <v>28</v>
      </c>
      <c r="C1845" s="2" t="s">
        <v>11</v>
      </c>
      <c r="D1845" s="6" t="str">
        <f>CONCATENATE(YEAR(A1845),"/",IF(MONTH(A1845)&lt;10,CONCATENATE("0",MONTH(A1845)),MONTH(A1845)))</f>
        <v>2025/04</v>
      </c>
      <c r="E1845" s="8" t="str">
        <f>IF(IF(D1845&lt;&gt;D1844,1,IF(OR(B1845&lt;&gt;B1844,A1845-A1844&gt;$U$1),1,""))&lt;&gt;1,"",IF(C1845="B01",1965,IF(C1845="B02",1020,IF(C1845="B05",2400,IF(C1845="B03",4260,IF(C1845="B04",2880,IF(C1845="B20",1260,0)))))))</f>
        <v/>
      </c>
      <c r="F1845" s="8" t="str">
        <f>IF(IF(D1845&lt;&gt;D1844,1,IF(OR(B1845&lt;&gt;B1844,A1845-A1844&gt;$U$1),1,""))&lt;&gt;1,"",IF(C1845="B01",1,IF(C1845="B05",1,IF(C1845="B03",1,IF(C1845="B04",1,IF(C1845="B20",1,IF(C1845="B02",1,0)))))))</f>
        <v/>
      </c>
      <c r="G1845"/>
      <c r="H1845" s="2"/>
      <c r="I1845" s="2"/>
      <c r="L1845"/>
      <c r="R1845"/>
    </row>
    <row r="1846" spans="1:18">
      <c r="A1846" s="3">
        <v>45759.401412037034</v>
      </c>
      <c r="B1846" s="2" t="s">
        <v>28</v>
      </c>
      <c r="C1846" s="2" t="s">
        <v>11</v>
      </c>
      <c r="D1846" s="6" t="str">
        <f>CONCATENATE(YEAR(A1846),"/",IF(MONTH(A1846)&lt;10,CONCATENATE("0",MONTH(A1846)),MONTH(A1846)))</f>
        <v>2025/04</v>
      </c>
      <c r="E1846" s="8" t="str">
        <f>IF(IF(D1846&lt;&gt;D1845,1,IF(OR(B1846&lt;&gt;B1845,A1846-A1845&gt;$U$1),1,""))&lt;&gt;1,"",IF(C1846="B01",1965,IF(C1846="B02",1020,IF(C1846="B05",2400,IF(C1846="B03",4260,IF(C1846="B04",2880,IF(C1846="B20",1260,0)))))))</f>
        <v/>
      </c>
      <c r="F1846" s="8" t="str">
        <f>IF(IF(D1846&lt;&gt;D1845,1,IF(OR(B1846&lt;&gt;B1845,A1846-A1845&gt;$U$1),1,""))&lt;&gt;1,"",IF(C1846="B01",1,IF(C1846="B05",1,IF(C1846="B03",1,IF(C1846="B04",1,IF(C1846="B20",1,IF(C1846="B02",1,0)))))))</f>
        <v/>
      </c>
      <c r="G1846"/>
      <c r="H1846" s="2"/>
      <c r="I1846" s="2"/>
      <c r="L1846"/>
      <c r="R1846"/>
    </row>
    <row r="1847" spans="1:18">
      <c r="A1847" s="3">
        <v>45759.678449074076</v>
      </c>
      <c r="B1847" s="2" t="s">
        <v>28</v>
      </c>
      <c r="C1847" s="2" t="s">
        <v>11</v>
      </c>
      <c r="D1847" s="6" t="str">
        <f>CONCATENATE(YEAR(A1847),"/",IF(MONTH(A1847)&lt;10,CONCATENATE("0",MONTH(A1847)),MONTH(A1847)))</f>
        <v>2025/04</v>
      </c>
      <c r="E1847" s="8">
        <f>IF(IF(D1847&lt;&gt;D1846,1,IF(OR(B1847&lt;&gt;B1846,A1847-A1846&gt;$U$1),1,""))&lt;&gt;1,"",IF(C1847="B01",1965,IF(C1847="B02",1020,IF(C1847="B05",2400,IF(C1847="B03",4260,IF(C1847="B04",2880,IF(C1847="B20",1260,0)))))))</f>
        <v>2400</v>
      </c>
      <c r="F1847" s="8">
        <f>IF(IF(D1847&lt;&gt;D1846,1,IF(OR(B1847&lt;&gt;B1846,A1847-A1846&gt;$U$1),1,""))&lt;&gt;1,"",IF(C1847="B01",1,IF(C1847="B05",1,IF(C1847="B03",1,IF(C1847="B04",1,IF(C1847="B20",1,IF(C1847="B02",1,0)))))))</f>
        <v>1</v>
      </c>
      <c r="G1847"/>
      <c r="H1847" s="2"/>
      <c r="I1847" s="2"/>
      <c r="L1847"/>
      <c r="R1847"/>
    </row>
    <row r="1848" spans="1:18">
      <c r="A1848" s="3">
        <v>45759.678449074076</v>
      </c>
      <c r="B1848" s="2" t="s">
        <v>28</v>
      </c>
      <c r="C1848" s="2" t="s">
        <v>11</v>
      </c>
      <c r="D1848" s="6" t="str">
        <f>CONCATENATE(YEAR(A1848),"/",IF(MONTH(A1848)&lt;10,CONCATENATE("0",MONTH(A1848)),MONTH(A1848)))</f>
        <v>2025/04</v>
      </c>
      <c r="E1848" s="8" t="str">
        <f>IF(IF(D1848&lt;&gt;D1847,1,IF(OR(B1848&lt;&gt;B1847,A1848-A1847&gt;$U$1),1,""))&lt;&gt;1,"",IF(C1848="B01",1965,IF(C1848="B02",1020,IF(C1848="B05",2400,IF(C1848="B03",4260,IF(C1848="B04",2880,IF(C1848="B20",1260,0)))))))</f>
        <v/>
      </c>
      <c r="F1848" s="8" t="str">
        <f>IF(IF(D1848&lt;&gt;D1847,1,IF(OR(B1848&lt;&gt;B1847,A1848-A1847&gt;$U$1),1,""))&lt;&gt;1,"",IF(C1848="B01",1,IF(C1848="B05",1,IF(C1848="B03",1,IF(C1848="B04",1,IF(C1848="B20",1,IF(C1848="B02",1,0)))))))</f>
        <v/>
      </c>
      <c r="G1848"/>
      <c r="H1848" s="2"/>
      <c r="I1848" s="2"/>
      <c r="L1848"/>
      <c r="R1848"/>
    </row>
    <row r="1849" spans="1:18">
      <c r="A1849" s="3">
        <v>45759.678449074076</v>
      </c>
      <c r="B1849" s="2" t="s">
        <v>28</v>
      </c>
      <c r="C1849" s="2" t="s">
        <v>11</v>
      </c>
      <c r="D1849" s="6" t="str">
        <f>CONCATENATE(YEAR(A1849),"/",IF(MONTH(A1849)&lt;10,CONCATENATE("0",MONTH(A1849)),MONTH(A1849)))</f>
        <v>2025/04</v>
      </c>
      <c r="E1849" s="8" t="str">
        <f>IF(IF(D1849&lt;&gt;D1848,1,IF(OR(B1849&lt;&gt;B1848,A1849-A1848&gt;$U$1),1,""))&lt;&gt;1,"",IF(C1849="B01",1965,IF(C1849="B02",1020,IF(C1849="B05",2400,IF(C1849="B03",4260,IF(C1849="B04",2880,IF(C1849="B20",1260,0)))))))</f>
        <v/>
      </c>
      <c r="F1849" s="8" t="str">
        <f>IF(IF(D1849&lt;&gt;D1848,1,IF(OR(B1849&lt;&gt;B1848,A1849-A1848&gt;$U$1),1,""))&lt;&gt;1,"",IF(C1849="B01",1,IF(C1849="B05",1,IF(C1849="B03",1,IF(C1849="B04",1,IF(C1849="B20",1,IF(C1849="B02",1,0)))))))</f>
        <v/>
      </c>
      <c r="G1849"/>
      <c r="H1849" s="2"/>
      <c r="I1849" s="2"/>
      <c r="L1849"/>
      <c r="R1849"/>
    </row>
    <row r="1850" spans="1:18">
      <c r="A1850" s="3">
        <v>45759.824918981481</v>
      </c>
      <c r="B1850" s="2" t="s">
        <v>28</v>
      </c>
      <c r="C1850" s="2" t="s">
        <v>11</v>
      </c>
      <c r="D1850" s="6" t="str">
        <f>CONCATENATE(YEAR(A1850),"/",IF(MONTH(A1850)&lt;10,CONCATENATE("0",MONTH(A1850)),MONTH(A1850)))</f>
        <v>2025/04</v>
      </c>
      <c r="E1850" s="8">
        <f>IF(IF(D1850&lt;&gt;D1849,1,IF(OR(B1850&lt;&gt;B1849,A1850-A1849&gt;$U$1),1,""))&lt;&gt;1,"",IF(C1850="B01",1965,IF(C1850="B02",1020,IF(C1850="B05",2400,IF(C1850="B03",4260,IF(C1850="B04",2880,IF(C1850="B20",1260,0)))))))</f>
        <v>2400</v>
      </c>
      <c r="F1850" s="8">
        <f>IF(IF(D1850&lt;&gt;D1849,1,IF(OR(B1850&lt;&gt;B1849,A1850-A1849&gt;$U$1),1,""))&lt;&gt;1,"",IF(C1850="B01",1,IF(C1850="B05",1,IF(C1850="B03",1,IF(C1850="B04",1,IF(C1850="B20",1,IF(C1850="B02",1,0)))))))</f>
        <v>1</v>
      </c>
      <c r="G1850"/>
      <c r="H1850" s="2"/>
      <c r="I1850" s="2"/>
      <c r="L1850"/>
      <c r="R1850"/>
    </row>
    <row r="1851" spans="1:18">
      <c r="A1851" s="3">
        <v>45759.824918981481</v>
      </c>
      <c r="B1851" s="2" t="s">
        <v>28</v>
      </c>
      <c r="C1851" s="2" t="s">
        <v>11</v>
      </c>
      <c r="D1851" s="6" t="str">
        <f>CONCATENATE(YEAR(A1851),"/",IF(MONTH(A1851)&lt;10,CONCATENATE("0",MONTH(A1851)),MONTH(A1851)))</f>
        <v>2025/04</v>
      </c>
      <c r="E1851" s="8" t="str">
        <f>IF(IF(D1851&lt;&gt;D1850,1,IF(OR(B1851&lt;&gt;B1850,A1851-A1850&gt;$U$1),1,""))&lt;&gt;1,"",IF(C1851="B01",1965,IF(C1851="B02",1020,IF(C1851="B05",2400,IF(C1851="B03",4260,IF(C1851="B04",2880,IF(C1851="B20",1260,0)))))))</f>
        <v/>
      </c>
      <c r="F1851" s="8" t="str">
        <f>IF(IF(D1851&lt;&gt;D1850,1,IF(OR(B1851&lt;&gt;B1850,A1851-A1850&gt;$U$1),1,""))&lt;&gt;1,"",IF(C1851="B01",1,IF(C1851="B05",1,IF(C1851="B03",1,IF(C1851="B04",1,IF(C1851="B20",1,IF(C1851="B02",1,0)))))))</f>
        <v/>
      </c>
      <c r="G1851"/>
      <c r="H1851" s="2"/>
      <c r="I1851" s="2"/>
      <c r="L1851"/>
      <c r="R1851"/>
    </row>
    <row r="1852" spans="1:18">
      <c r="A1852" s="3">
        <v>45759.947743055556</v>
      </c>
      <c r="B1852" s="2" t="s">
        <v>28</v>
      </c>
      <c r="C1852" s="2" t="s">
        <v>11</v>
      </c>
      <c r="D1852" s="6" t="str">
        <f>CONCATENATE(YEAR(A1852),"/",IF(MONTH(A1852)&lt;10,CONCATENATE("0",MONTH(A1852)),MONTH(A1852)))</f>
        <v>2025/04</v>
      </c>
      <c r="E1852" s="8">
        <f>IF(IF(D1852&lt;&gt;D1851,1,IF(OR(B1852&lt;&gt;B1851,A1852-A1851&gt;$U$1),1,""))&lt;&gt;1,"",IF(C1852="B01",1965,IF(C1852="B02",1020,IF(C1852="B05",2400,IF(C1852="B03",4260,IF(C1852="B04",2880,IF(C1852="B20",1260,0)))))))</f>
        <v>2400</v>
      </c>
      <c r="F1852" s="8">
        <f>IF(IF(D1852&lt;&gt;D1851,1,IF(OR(B1852&lt;&gt;B1851,A1852-A1851&gt;$U$1),1,""))&lt;&gt;1,"",IF(C1852="B01",1,IF(C1852="B05",1,IF(C1852="B03",1,IF(C1852="B04",1,IF(C1852="B20",1,IF(C1852="B02",1,0)))))))</f>
        <v>1</v>
      </c>
      <c r="G1852"/>
      <c r="H1852" s="2"/>
      <c r="I1852" s="2"/>
      <c r="L1852"/>
      <c r="R1852"/>
    </row>
    <row r="1853" spans="1:18">
      <c r="A1853" s="3">
        <v>45759.947743055556</v>
      </c>
      <c r="B1853" s="2" t="s">
        <v>28</v>
      </c>
      <c r="C1853" s="2" t="s">
        <v>11</v>
      </c>
      <c r="D1853" s="6" t="str">
        <f>CONCATENATE(YEAR(A1853),"/",IF(MONTH(A1853)&lt;10,CONCATENATE("0",MONTH(A1853)),MONTH(A1853)))</f>
        <v>2025/04</v>
      </c>
      <c r="E1853" s="8" t="str">
        <f>IF(IF(D1853&lt;&gt;D1852,1,IF(OR(B1853&lt;&gt;B1852,A1853-A1852&gt;$U$1),1,""))&lt;&gt;1,"",IF(C1853="B01",1965,IF(C1853="B02",1020,IF(C1853="B05",2400,IF(C1853="B03",4260,IF(C1853="B04",2880,IF(C1853="B20",1260,0)))))))</f>
        <v/>
      </c>
      <c r="F1853" s="8" t="str">
        <f>IF(IF(D1853&lt;&gt;D1852,1,IF(OR(B1853&lt;&gt;B1852,A1853-A1852&gt;$U$1),1,""))&lt;&gt;1,"",IF(C1853="B01",1,IF(C1853="B05",1,IF(C1853="B03",1,IF(C1853="B04",1,IF(C1853="B20",1,IF(C1853="B02",1,0)))))))</f>
        <v/>
      </c>
      <c r="G1853"/>
      <c r="H1853" s="2"/>
      <c r="I1853" s="2"/>
      <c r="L1853"/>
      <c r="R1853"/>
    </row>
    <row r="1854" spans="1:18">
      <c r="A1854" s="3">
        <v>45760.093611111108</v>
      </c>
      <c r="B1854" s="2" t="s">
        <v>28</v>
      </c>
      <c r="C1854" s="2" t="s">
        <v>11</v>
      </c>
      <c r="D1854" s="6" t="str">
        <f>CONCATENATE(YEAR(A1854),"/",IF(MONTH(A1854)&lt;10,CONCATENATE("0",MONTH(A1854)),MONTH(A1854)))</f>
        <v>2025/04</v>
      </c>
      <c r="E1854" s="8">
        <f>IF(IF(D1854&lt;&gt;D1853,1,IF(OR(B1854&lt;&gt;B1853,A1854-A1853&gt;$U$1),1,""))&lt;&gt;1,"",IF(C1854="B01",1965,IF(C1854="B02",1020,IF(C1854="B05",2400,IF(C1854="B03",4260,IF(C1854="B04",2880,IF(C1854="B20",1260,0)))))))</f>
        <v>2400</v>
      </c>
      <c r="F1854" s="8">
        <f>IF(IF(D1854&lt;&gt;D1853,1,IF(OR(B1854&lt;&gt;B1853,A1854-A1853&gt;$U$1),1,""))&lt;&gt;1,"",IF(C1854="B01",1,IF(C1854="B05",1,IF(C1854="B03",1,IF(C1854="B04",1,IF(C1854="B20",1,IF(C1854="B02",1,0)))))))</f>
        <v>1</v>
      </c>
      <c r="G1854"/>
      <c r="H1854" s="2"/>
      <c r="I1854" s="2"/>
      <c r="L1854"/>
      <c r="R1854"/>
    </row>
    <row r="1855" spans="1:18">
      <c r="A1855" s="3">
        <v>45760.093611111108</v>
      </c>
      <c r="B1855" s="2" t="s">
        <v>28</v>
      </c>
      <c r="C1855" s="2" t="s">
        <v>11</v>
      </c>
      <c r="D1855" s="6" t="str">
        <f>CONCATENATE(YEAR(A1855),"/",IF(MONTH(A1855)&lt;10,CONCATENATE("0",MONTH(A1855)),MONTH(A1855)))</f>
        <v>2025/04</v>
      </c>
      <c r="E1855" s="8" t="str">
        <f>IF(IF(D1855&lt;&gt;D1854,1,IF(OR(B1855&lt;&gt;B1854,A1855-A1854&gt;$U$1),1,""))&lt;&gt;1,"",IF(C1855="B01",1965,IF(C1855="B02",1020,IF(C1855="B05",2400,IF(C1855="B03",4260,IF(C1855="B04",2880,IF(C1855="B20",1260,0)))))))</f>
        <v/>
      </c>
      <c r="F1855" s="8" t="str">
        <f>IF(IF(D1855&lt;&gt;D1854,1,IF(OR(B1855&lt;&gt;B1854,A1855-A1854&gt;$U$1),1,""))&lt;&gt;1,"",IF(C1855="B01",1,IF(C1855="B05",1,IF(C1855="B03",1,IF(C1855="B04",1,IF(C1855="B20",1,IF(C1855="B02",1,0)))))))</f>
        <v/>
      </c>
      <c r="G1855"/>
      <c r="H1855" s="2"/>
      <c r="I1855" s="2"/>
      <c r="L1855"/>
      <c r="R1855"/>
    </row>
    <row r="1856" spans="1:18">
      <c r="A1856" s="3">
        <v>45760.212557870371</v>
      </c>
      <c r="B1856" s="2" t="s">
        <v>28</v>
      </c>
      <c r="C1856" s="2" t="s">
        <v>11</v>
      </c>
      <c r="D1856" s="6" t="str">
        <f>CONCATENATE(YEAR(A1856),"/",IF(MONTH(A1856)&lt;10,CONCATENATE("0",MONTH(A1856)),MONTH(A1856)))</f>
        <v>2025/04</v>
      </c>
      <c r="E1856" s="8">
        <f>IF(IF(D1856&lt;&gt;D1855,1,IF(OR(B1856&lt;&gt;B1855,A1856-A1855&gt;$U$1),1,""))&lt;&gt;1,"",IF(C1856="B01",1965,IF(C1856="B02",1020,IF(C1856="B05",2400,IF(C1856="B03",4260,IF(C1856="B04",2880,IF(C1856="B20",1260,0)))))))</f>
        <v>2400</v>
      </c>
      <c r="F1856" s="8">
        <f>IF(IF(D1856&lt;&gt;D1855,1,IF(OR(B1856&lt;&gt;B1855,A1856-A1855&gt;$U$1),1,""))&lt;&gt;1,"",IF(C1856="B01",1,IF(C1856="B05",1,IF(C1856="B03",1,IF(C1856="B04",1,IF(C1856="B20",1,IF(C1856="B02",1,0)))))))</f>
        <v>1</v>
      </c>
      <c r="G1856"/>
      <c r="H1856" s="2"/>
      <c r="I1856" s="2"/>
      <c r="L1856"/>
      <c r="R1856"/>
    </row>
    <row r="1857" spans="1:18">
      <c r="A1857" s="3">
        <v>45760.212557870371</v>
      </c>
      <c r="B1857" s="2" t="s">
        <v>28</v>
      </c>
      <c r="C1857" s="2" t="s">
        <v>11</v>
      </c>
      <c r="D1857" s="6" t="str">
        <f>CONCATENATE(YEAR(A1857),"/",IF(MONTH(A1857)&lt;10,CONCATENATE("0",MONTH(A1857)),MONTH(A1857)))</f>
        <v>2025/04</v>
      </c>
      <c r="E1857" s="8" t="str">
        <f>IF(IF(D1857&lt;&gt;D1856,1,IF(OR(B1857&lt;&gt;B1856,A1857-A1856&gt;$U$1),1,""))&lt;&gt;1,"",IF(C1857="B01",1965,IF(C1857="B02",1020,IF(C1857="B05",2400,IF(C1857="B03",4260,IF(C1857="B04",2880,IF(C1857="B20",1260,0)))))))</f>
        <v/>
      </c>
      <c r="F1857" s="8" t="str">
        <f>IF(IF(D1857&lt;&gt;D1856,1,IF(OR(B1857&lt;&gt;B1856,A1857-A1856&gt;$U$1),1,""))&lt;&gt;1,"",IF(C1857="B01",1,IF(C1857="B05",1,IF(C1857="B03",1,IF(C1857="B04",1,IF(C1857="B20",1,IF(C1857="B02",1,0)))))))</f>
        <v/>
      </c>
      <c r="G1857"/>
      <c r="H1857" s="2"/>
      <c r="I1857" s="2"/>
      <c r="L1857"/>
      <c r="R1857"/>
    </row>
    <row r="1858" spans="1:18">
      <c r="A1858" s="3">
        <v>45760.212557870371</v>
      </c>
      <c r="B1858" s="2" t="s">
        <v>28</v>
      </c>
      <c r="C1858" s="2" t="s">
        <v>11</v>
      </c>
      <c r="D1858" s="6" t="str">
        <f>CONCATENATE(YEAR(A1858),"/",IF(MONTH(A1858)&lt;10,CONCATENATE("0",MONTH(A1858)),MONTH(A1858)))</f>
        <v>2025/04</v>
      </c>
      <c r="E1858" s="8" t="str">
        <f>IF(IF(D1858&lt;&gt;D1857,1,IF(OR(B1858&lt;&gt;B1857,A1858-A1857&gt;$U$1),1,""))&lt;&gt;1,"",IF(C1858="B01",1965,IF(C1858="B02",1020,IF(C1858="B05",2400,IF(C1858="B03",4260,IF(C1858="B04",2880,IF(C1858="B20",1260,0)))))))</f>
        <v/>
      </c>
      <c r="F1858" s="8" t="str">
        <f>IF(IF(D1858&lt;&gt;D1857,1,IF(OR(B1858&lt;&gt;B1857,A1858-A1857&gt;$U$1),1,""))&lt;&gt;1,"",IF(C1858="B01",1,IF(C1858="B05",1,IF(C1858="B03",1,IF(C1858="B04",1,IF(C1858="B20",1,IF(C1858="B02",1,0)))))))</f>
        <v/>
      </c>
      <c r="G1858"/>
      <c r="H1858" s="2"/>
      <c r="I1858" s="2"/>
      <c r="L1858"/>
      <c r="R1858"/>
    </row>
    <row r="1859" spans="1:18">
      <c r="A1859" s="3">
        <v>45760.46675925926</v>
      </c>
      <c r="B1859" s="2" t="s">
        <v>28</v>
      </c>
      <c r="C1859" s="2" t="s">
        <v>11</v>
      </c>
      <c r="D1859" s="6" t="str">
        <f>CONCATENATE(YEAR(A1859),"/",IF(MONTH(A1859)&lt;10,CONCATENATE("0",MONTH(A1859)),MONTH(A1859)))</f>
        <v>2025/04</v>
      </c>
      <c r="E1859" s="8">
        <f>IF(IF(D1859&lt;&gt;D1858,1,IF(OR(B1859&lt;&gt;B1858,A1859-A1858&gt;$U$1),1,""))&lt;&gt;1,"",IF(C1859="B01",1965,IF(C1859="B02",1020,IF(C1859="B05",2400,IF(C1859="B03",4260,IF(C1859="B04",2880,IF(C1859="B20",1260,0)))))))</f>
        <v>2400</v>
      </c>
      <c r="F1859" s="8">
        <f>IF(IF(D1859&lt;&gt;D1858,1,IF(OR(B1859&lt;&gt;B1858,A1859-A1858&gt;$U$1),1,""))&lt;&gt;1,"",IF(C1859="B01",1,IF(C1859="B05",1,IF(C1859="B03",1,IF(C1859="B04",1,IF(C1859="B20",1,IF(C1859="B02",1,0)))))))</f>
        <v>1</v>
      </c>
      <c r="G1859"/>
      <c r="H1859" s="2"/>
      <c r="I1859" s="2"/>
      <c r="L1859"/>
      <c r="R1859"/>
    </row>
    <row r="1860" spans="1:18">
      <c r="A1860" s="3">
        <v>45760.46675925926</v>
      </c>
      <c r="B1860" s="2" t="s">
        <v>28</v>
      </c>
      <c r="C1860" s="2" t="s">
        <v>11</v>
      </c>
      <c r="D1860" s="6" t="str">
        <f>CONCATENATE(YEAR(A1860),"/",IF(MONTH(A1860)&lt;10,CONCATENATE("0",MONTH(A1860)),MONTH(A1860)))</f>
        <v>2025/04</v>
      </c>
      <c r="E1860" s="8" t="str">
        <f>IF(IF(D1860&lt;&gt;D1859,1,IF(OR(B1860&lt;&gt;B1859,A1860-A1859&gt;$U$1),1,""))&lt;&gt;1,"",IF(C1860="B01",1965,IF(C1860="B02",1020,IF(C1860="B05",2400,IF(C1860="B03",4260,IF(C1860="B04",2880,IF(C1860="B20",1260,0)))))))</f>
        <v/>
      </c>
      <c r="F1860" s="8" t="str">
        <f>IF(IF(D1860&lt;&gt;D1859,1,IF(OR(B1860&lt;&gt;B1859,A1860-A1859&gt;$U$1),1,""))&lt;&gt;1,"",IF(C1860="B01",1,IF(C1860="B05",1,IF(C1860="B03",1,IF(C1860="B04",1,IF(C1860="B20",1,IF(C1860="B02",1,0)))))))</f>
        <v/>
      </c>
      <c r="G1860"/>
      <c r="H1860" s="2"/>
      <c r="I1860" s="2"/>
      <c r="L1860"/>
      <c r="R1860"/>
    </row>
    <row r="1861" spans="1:18">
      <c r="A1861" s="3">
        <v>45760.46675925926</v>
      </c>
      <c r="B1861" s="2" t="s">
        <v>28</v>
      </c>
      <c r="C1861" s="2" t="s">
        <v>11</v>
      </c>
      <c r="D1861" s="6" t="str">
        <f>CONCATENATE(YEAR(A1861),"/",IF(MONTH(A1861)&lt;10,CONCATENATE("0",MONTH(A1861)),MONTH(A1861)))</f>
        <v>2025/04</v>
      </c>
      <c r="E1861" s="8" t="str">
        <f>IF(IF(D1861&lt;&gt;D1860,1,IF(OR(B1861&lt;&gt;B1860,A1861-A1860&gt;$U$1),1,""))&lt;&gt;1,"",IF(C1861="B01",1965,IF(C1861="B02",1020,IF(C1861="B05",2400,IF(C1861="B03",4260,IF(C1861="B04",2880,IF(C1861="B20",1260,0)))))))</f>
        <v/>
      </c>
      <c r="F1861" s="8" t="str">
        <f>IF(IF(D1861&lt;&gt;D1860,1,IF(OR(B1861&lt;&gt;B1860,A1861-A1860&gt;$U$1),1,""))&lt;&gt;1,"",IF(C1861="B01",1,IF(C1861="B05",1,IF(C1861="B03",1,IF(C1861="B04",1,IF(C1861="B20",1,IF(C1861="B02",1,0)))))))</f>
        <v/>
      </c>
      <c r="G1861"/>
      <c r="H1861" s="2"/>
      <c r="I1861" s="2"/>
      <c r="L1861"/>
      <c r="R1861"/>
    </row>
    <row r="1862" spans="1:18">
      <c r="A1862" s="3">
        <v>45760.597418981481</v>
      </c>
      <c r="B1862" s="2" t="s">
        <v>28</v>
      </c>
      <c r="C1862" s="2" t="s">
        <v>11</v>
      </c>
      <c r="D1862" s="6" t="str">
        <f>CONCATENATE(YEAR(A1862),"/",IF(MONTH(A1862)&lt;10,CONCATENATE("0",MONTH(A1862)),MONTH(A1862)))</f>
        <v>2025/04</v>
      </c>
      <c r="E1862" s="8">
        <f>IF(IF(D1862&lt;&gt;D1861,1,IF(OR(B1862&lt;&gt;B1861,A1862-A1861&gt;$U$1),1,""))&lt;&gt;1,"",IF(C1862="B01",1965,IF(C1862="B02",1020,IF(C1862="B05",2400,IF(C1862="B03",4260,IF(C1862="B04",2880,IF(C1862="B20",1260,0)))))))</f>
        <v>2400</v>
      </c>
      <c r="F1862" s="8">
        <f>IF(IF(D1862&lt;&gt;D1861,1,IF(OR(B1862&lt;&gt;B1861,A1862-A1861&gt;$U$1),1,""))&lt;&gt;1,"",IF(C1862="B01",1,IF(C1862="B05",1,IF(C1862="B03",1,IF(C1862="B04",1,IF(C1862="B20",1,IF(C1862="B02",1,0)))))))</f>
        <v>1</v>
      </c>
      <c r="G1862"/>
      <c r="H1862" s="2"/>
      <c r="I1862" s="2"/>
      <c r="L1862"/>
      <c r="R1862"/>
    </row>
    <row r="1863" spans="1:18">
      <c r="A1863" s="3">
        <v>45760.597418981481</v>
      </c>
      <c r="B1863" s="2" t="s">
        <v>28</v>
      </c>
      <c r="C1863" s="2" t="s">
        <v>11</v>
      </c>
      <c r="D1863" s="6" t="str">
        <f>CONCATENATE(YEAR(A1863),"/",IF(MONTH(A1863)&lt;10,CONCATENATE("0",MONTH(A1863)),MONTH(A1863)))</f>
        <v>2025/04</v>
      </c>
      <c r="E1863" s="8" t="str">
        <f>IF(IF(D1863&lt;&gt;D1862,1,IF(OR(B1863&lt;&gt;B1862,A1863-A1862&gt;$U$1),1,""))&lt;&gt;1,"",IF(C1863="B01",1965,IF(C1863="B02",1020,IF(C1863="B05",2400,IF(C1863="B03",4260,IF(C1863="B04",2880,IF(C1863="B20",1260,0)))))))</f>
        <v/>
      </c>
      <c r="F1863" s="8" t="str">
        <f>IF(IF(D1863&lt;&gt;D1862,1,IF(OR(B1863&lt;&gt;B1862,A1863-A1862&gt;$U$1),1,""))&lt;&gt;1,"",IF(C1863="B01",1,IF(C1863="B05",1,IF(C1863="B03",1,IF(C1863="B04",1,IF(C1863="B20",1,IF(C1863="B02",1,0)))))))</f>
        <v/>
      </c>
      <c r="G1863"/>
      <c r="H1863" s="2"/>
      <c r="I1863" s="2"/>
      <c r="L1863"/>
      <c r="R1863"/>
    </row>
    <row r="1864" spans="1:18">
      <c r="A1864" s="3">
        <v>45760.597418981481</v>
      </c>
      <c r="B1864" s="2" t="s">
        <v>28</v>
      </c>
      <c r="C1864" s="2" t="s">
        <v>11</v>
      </c>
      <c r="D1864" s="6" t="str">
        <f>CONCATENATE(YEAR(A1864),"/",IF(MONTH(A1864)&lt;10,CONCATENATE("0",MONTH(A1864)),MONTH(A1864)))</f>
        <v>2025/04</v>
      </c>
      <c r="E1864" s="8" t="str">
        <f>IF(IF(D1864&lt;&gt;D1863,1,IF(OR(B1864&lt;&gt;B1863,A1864-A1863&gt;$U$1),1,""))&lt;&gt;1,"",IF(C1864="B01",1965,IF(C1864="B02",1020,IF(C1864="B05",2400,IF(C1864="B03",4260,IF(C1864="B04",2880,IF(C1864="B20",1260,0)))))))</f>
        <v/>
      </c>
      <c r="F1864" s="8" t="str">
        <f>IF(IF(D1864&lt;&gt;D1863,1,IF(OR(B1864&lt;&gt;B1863,A1864-A1863&gt;$U$1),1,""))&lt;&gt;1,"",IF(C1864="B01",1,IF(C1864="B05",1,IF(C1864="B03",1,IF(C1864="B04",1,IF(C1864="B20",1,IF(C1864="B02",1,0)))))))</f>
        <v/>
      </c>
      <c r="G1864"/>
      <c r="H1864" s="2"/>
      <c r="I1864" s="2"/>
      <c r="L1864"/>
      <c r="R1864"/>
    </row>
    <row r="1865" spans="1:18">
      <c r="A1865" s="3">
        <v>45760.786064814813</v>
      </c>
      <c r="B1865" s="2" t="s">
        <v>28</v>
      </c>
      <c r="C1865" s="2" t="s">
        <v>11</v>
      </c>
      <c r="D1865" s="6" t="str">
        <f>CONCATENATE(YEAR(A1865),"/",IF(MONTH(A1865)&lt;10,CONCATENATE("0",MONTH(A1865)),MONTH(A1865)))</f>
        <v>2025/04</v>
      </c>
      <c r="E1865" s="8">
        <f>IF(IF(D1865&lt;&gt;D1864,1,IF(OR(B1865&lt;&gt;B1864,A1865-A1864&gt;$U$1),1,""))&lt;&gt;1,"",IF(C1865="B01",1965,IF(C1865="B02",1020,IF(C1865="B05",2400,IF(C1865="B03",4260,IF(C1865="B04",2880,IF(C1865="B20",1260,0)))))))</f>
        <v>2400</v>
      </c>
      <c r="F1865" s="8">
        <f>IF(IF(D1865&lt;&gt;D1864,1,IF(OR(B1865&lt;&gt;B1864,A1865-A1864&gt;$U$1),1,""))&lt;&gt;1,"",IF(C1865="B01",1,IF(C1865="B05",1,IF(C1865="B03",1,IF(C1865="B04",1,IF(C1865="B20",1,IF(C1865="B02",1,0)))))))</f>
        <v>1</v>
      </c>
      <c r="G1865"/>
      <c r="H1865" s="2"/>
      <c r="I1865" s="2"/>
      <c r="L1865"/>
      <c r="R1865"/>
    </row>
    <row r="1866" spans="1:18">
      <c r="A1866" s="3">
        <v>45760.786064814813</v>
      </c>
      <c r="B1866" s="2" t="s">
        <v>28</v>
      </c>
      <c r="C1866" s="2" t="s">
        <v>11</v>
      </c>
      <c r="D1866" s="6" t="str">
        <f>CONCATENATE(YEAR(A1866),"/",IF(MONTH(A1866)&lt;10,CONCATENATE("0",MONTH(A1866)),MONTH(A1866)))</f>
        <v>2025/04</v>
      </c>
      <c r="E1866" s="8" t="str">
        <f>IF(IF(D1866&lt;&gt;D1865,1,IF(OR(B1866&lt;&gt;B1865,A1866-A1865&gt;$U$1),1,""))&lt;&gt;1,"",IF(C1866="B01",1965,IF(C1866="B02",1020,IF(C1866="B05",2400,IF(C1866="B03",4260,IF(C1866="B04",2880,IF(C1866="B20",1260,0)))))))</f>
        <v/>
      </c>
      <c r="F1866" s="8" t="str">
        <f>IF(IF(D1866&lt;&gt;D1865,1,IF(OR(B1866&lt;&gt;B1865,A1866-A1865&gt;$U$1),1,""))&lt;&gt;1,"",IF(C1866="B01",1,IF(C1866="B05",1,IF(C1866="B03",1,IF(C1866="B04",1,IF(C1866="B20",1,IF(C1866="B02",1,0)))))))</f>
        <v/>
      </c>
      <c r="G1866"/>
      <c r="H1866" s="2"/>
      <c r="I1866" s="2"/>
      <c r="L1866"/>
      <c r="R1866"/>
    </row>
    <row r="1867" spans="1:18">
      <c r="A1867" s="3">
        <v>45760.918587962966</v>
      </c>
      <c r="B1867" s="2" t="s">
        <v>28</v>
      </c>
      <c r="C1867" s="2" t="s">
        <v>11</v>
      </c>
      <c r="D1867" s="6" t="str">
        <f>CONCATENATE(YEAR(A1867),"/",IF(MONTH(A1867)&lt;10,CONCATENATE("0",MONTH(A1867)),MONTH(A1867)))</f>
        <v>2025/04</v>
      </c>
      <c r="E1867" s="8">
        <f>IF(IF(D1867&lt;&gt;D1866,1,IF(OR(B1867&lt;&gt;B1866,A1867-A1866&gt;$U$1),1,""))&lt;&gt;1,"",IF(C1867="B01",1965,IF(C1867="B02",1020,IF(C1867="B05",2400,IF(C1867="B03",4260,IF(C1867="B04",2880,IF(C1867="B20",1260,0)))))))</f>
        <v>2400</v>
      </c>
      <c r="F1867" s="8">
        <f>IF(IF(D1867&lt;&gt;D1866,1,IF(OR(B1867&lt;&gt;B1866,A1867-A1866&gt;$U$1),1,""))&lt;&gt;1,"",IF(C1867="B01",1,IF(C1867="B05",1,IF(C1867="B03",1,IF(C1867="B04",1,IF(C1867="B20",1,IF(C1867="B02",1,0)))))))</f>
        <v>1</v>
      </c>
      <c r="G1867"/>
      <c r="H1867" s="2"/>
      <c r="I1867" s="2"/>
      <c r="L1867"/>
      <c r="R1867"/>
    </row>
    <row r="1868" spans="1:18">
      <c r="A1868" s="3">
        <v>45760.918587962966</v>
      </c>
      <c r="B1868" s="2" t="s">
        <v>28</v>
      </c>
      <c r="C1868" s="2" t="s">
        <v>11</v>
      </c>
      <c r="D1868" s="6" t="str">
        <f>CONCATENATE(YEAR(A1868),"/",IF(MONTH(A1868)&lt;10,CONCATENATE("0",MONTH(A1868)),MONTH(A1868)))</f>
        <v>2025/04</v>
      </c>
      <c r="E1868" s="8" t="str">
        <f>IF(IF(D1868&lt;&gt;D1867,1,IF(OR(B1868&lt;&gt;B1867,A1868-A1867&gt;$U$1),1,""))&lt;&gt;1,"",IF(C1868="B01",1965,IF(C1868="B02",1020,IF(C1868="B05",2400,IF(C1868="B03",4260,IF(C1868="B04",2880,IF(C1868="B20",1260,0)))))))</f>
        <v/>
      </c>
      <c r="F1868" s="8" t="str">
        <f>IF(IF(D1868&lt;&gt;D1867,1,IF(OR(B1868&lt;&gt;B1867,A1868-A1867&gt;$U$1),1,""))&lt;&gt;1,"",IF(C1868="B01",1,IF(C1868="B05",1,IF(C1868="B03",1,IF(C1868="B04",1,IF(C1868="B20",1,IF(C1868="B02",1,0)))))))</f>
        <v/>
      </c>
      <c r="G1868"/>
      <c r="H1868" s="2"/>
      <c r="I1868" s="2"/>
      <c r="L1868"/>
      <c r="R1868"/>
    </row>
    <row r="1869" spans="1:18">
      <c r="A1869" s="3">
        <v>45761.070335648146</v>
      </c>
      <c r="B1869" s="2" t="s">
        <v>28</v>
      </c>
      <c r="C1869" s="2" t="s">
        <v>11</v>
      </c>
      <c r="D1869" s="6" t="str">
        <f>CONCATENATE(YEAR(A1869),"/",IF(MONTH(A1869)&lt;10,CONCATENATE("0",MONTH(A1869)),MONTH(A1869)))</f>
        <v>2025/04</v>
      </c>
      <c r="E1869" s="8">
        <f>IF(IF(D1869&lt;&gt;D1868,1,IF(OR(B1869&lt;&gt;B1868,A1869-A1868&gt;$U$1),1,""))&lt;&gt;1,"",IF(C1869="B01",1965,IF(C1869="B02",1020,IF(C1869="B05",2400,IF(C1869="B03",4260,IF(C1869="B04",2880,IF(C1869="B20",1260,0)))))))</f>
        <v>2400</v>
      </c>
      <c r="F1869" s="8">
        <f>IF(IF(D1869&lt;&gt;D1868,1,IF(OR(B1869&lt;&gt;B1868,A1869-A1868&gt;$U$1),1,""))&lt;&gt;1,"",IF(C1869="B01",1,IF(C1869="B05",1,IF(C1869="B03",1,IF(C1869="B04",1,IF(C1869="B20",1,IF(C1869="B02",1,0)))))))</f>
        <v>1</v>
      </c>
      <c r="G1869"/>
      <c r="H1869" s="2"/>
      <c r="I1869" s="2"/>
      <c r="L1869"/>
      <c r="R1869"/>
    </row>
    <row r="1870" spans="1:18">
      <c r="A1870" s="3">
        <v>45761.070335648146</v>
      </c>
      <c r="B1870" s="2" t="s">
        <v>28</v>
      </c>
      <c r="C1870" s="2" t="s">
        <v>11</v>
      </c>
      <c r="D1870" s="6" t="str">
        <f>CONCATENATE(YEAR(A1870),"/",IF(MONTH(A1870)&lt;10,CONCATENATE("0",MONTH(A1870)),MONTH(A1870)))</f>
        <v>2025/04</v>
      </c>
      <c r="E1870" s="8" t="str">
        <f>IF(IF(D1870&lt;&gt;D1869,1,IF(OR(B1870&lt;&gt;B1869,A1870-A1869&gt;$U$1),1,""))&lt;&gt;1,"",IF(C1870="B01",1965,IF(C1870="B02",1020,IF(C1870="B05",2400,IF(C1870="B03",4260,IF(C1870="B04",2880,IF(C1870="B20",1260,0)))))))</f>
        <v/>
      </c>
      <c r="F1870" s="8" t="str">
        <f>IF(IF(D1870&lt;&gt;D1869,1,IF(OR(B1870&lt;&gt;B1869,A1870-A1869&gt;$U$1),1,""))&lt;&gt;1,"",IF(C1870="B01",1,IF(C1870="B05",1,IF(C1870="B03",1,IF(C1870="B04",1,IF(C1870="B20",1,IF(C1870="B02",1,0)))))))</f>
        <v/>
      </c>
      <c r="G1870"/>
      <c r="H1870" s="2"/>
      <c r="I1870" s="2"/>
      <c r="L1870"/>
      <c r="R1870"/>
    </row>
    <row r="1871" spans="1:18">
      <c r="A1871" s="3">
        <v>45761.070335648146</v>
      </c>
      <c r="B1871" s="2" t="s">
        <v>28</v>
      </c>
      <c r="C1871" s="2" t="s">
        <v>11</v>
      </c>
      <c r="D1871" s="6" t="str">
        <f>CONCATENATE(YEAR(A1871),"/",IF(MONTH(A1871)&lt;10,CONCATENATE("0",MONTH(A1871)),MONTH(A1871)))</f>
        <v>2025/04</v>
      </c>
      <c r="E1871" s="8" t="str">
        <f>IF(IF(D1871&lt;&gt;D1870,1,IF(OR(B1871&lt;&gt;B1870,A1871-A1870&gt;$U$1),1,""))&lt;&gt;1,"",IF(C1871="B01",1965,IF(C1871="B02",1020,IF(C1871="B05",2400,IF(C1871="B03",4260,IF(C1871="B04",2880,IF(C1871="B20",1260,0)))))))</f>
        <v/>
      </c>
      <c r="F1871" s="8" t="str">
        <f>IF(IF(D1871&lt;&gt;D1870,1,IF(OR(B1871&lt;&gt;B1870,A1871-A1870&gt;$U$1),1,""))&lt;&gt;1,"",IF(C1871="B01",1,IF(C1871="B05",1,IF(C1871="B03",1,IF(C1871="B04",1,IF(C1871="B20",1,IF(C1871="B02",1,0)))))))</f>
        <v/>
      </c>
      <c r="G1871"/>
      <c r="H1871" s="2"/>
      <c r="I1871" s="2"/>
      <c r="L1871"/>
      <c r="R1871"/>
    </row>
    <row r="1872" spans="1:18">
      <c r="A1872" s="3">
        <v>45761.188993055555</v>
      </c>
      <c r="B1872" s="2" t="s">
        <v>28</v>
      </c>
      <c r="C1872" s="2" t="s">
        <v>11</v>
      </c>
      <c r="D1872" s="6" t="str">
        <f>CONCATENATE(YEAR(A1872),"/",IF(MONTH(A1872)&lt;10,CONCATENATE("0",MONTH(A1872)),MONTH(A1872)))</f>
        <v>2025/04</v>
      </c>
      <c r="E1872" s="8">
        <f>IF(IF(D1872&lt;&gt;D1871,1,IF(OR(B1872&lt;&gt;B1871,A1872-A1871&gt;$U$1),1,""))&lt;&gt;1,"",IF(C1872="B01",1965,IF(C1872="B02",1020,IF(C1872="B05",2400,IF(C1872="B03",4260,IF(C1872="B04",2880,IF(C1872="B20",1260,0)))))))</f>
        <v>2400</v>
      </c>
      <c r="F1872" s="8">
        <f>IF(IF(D1872&lt;&gt;D1871,1,IF(OR(B1872&lt;&gt;B1871,A1872-A1871&gt;$U$1),1,""))&lt;&gt;1,"",IF(C1872="B01",1,IF(C1872="B05",1,IF(C1872="B03",1,IF(C1872="B04",1,IF(C1872="B20",1,IF(C1872="B02",1,0)))))))</f>
        <v>1</v>
      </c>
      <c r="G1872"/>
      <c r="H1872" s="2"/>
      <c r="I1872" s="2"/>
      <c r="L1872"/>
      <c r="R1872"/>
    </row>
    <row r="1873" spans="1:18">
      <c r="A1873" s="3">
        <v>45761.188993055555</v>
      </c>
      <c r="B1873" s="2" t="s">
        <v>28</v>
      </c>
      <c r="C1873" s="2" t="s">
        <v>11</v>
      </c>
      <c r="D1873" s="6" t="str">
        <f>CONCATENATE(YEAR(A1873),"/",IF(MONTH(A1873)&lt;10,CONCATENATE("0",MONTH(A1873)),MONTH(A1873)))</f>
        <v>2025/04</v>
      </c>
      <c r="E1873" s="8" t="str">
        <f>IF(IF(D1873&lt;&gt;D1872,1,IF(OR(B1873&lt;&gt;B1872,A1873-A1872&gt;$U$1),1,""))&lt;&gt;1,"",IF(C1873="B01",1965,IF(C1873="B02",1020,IF(C1873="B05",2400,IF(C1873="B03",4260,IF(C1873="B04",2880,IF(C1873="B20",1260,0)))))))</f>
        <v/>
      </c>
      <c r="F1873" s="8" t="str">
        <f>IF(IF(D1873&lt;&gt;D1872,1,IF(OR(B1873&lt;&gt;B1872,A1873-A1872&gt;$U$1),1,""))&lt;&gt;1,"",IF(C1873="B01",1,IF(C1873="B05",1,IF(C1873="B03",1,IF(C1873="B04",1,IF(C1873="B20",1,IF(C1873="B02",1,0)))))))</f>
        <v/>
      </c>
      <c r="G1873"/>
      <c r="H1873" s="2"/>
      <c r="I1873" s="2"/>
      <c r="L1873"/>
      <c r="R1873"/>
    </row>
    <row r="1874" spans="1:18">
      <c r="A1874" s="3">
        <v>45761.367881944447</v>
      </c>
      <c r="B1874" s="2" t="s">
        <v>28</v>
      </c>
      <c r="C1874" s="2" t="s">
        <v>11</v>
      </c>
      <c r="D1874" s="6" t="str">
        <f>CONCATENATE(YEAR(A1874),"/",IF(MONTH(A1874)&lt;10,CONCATENATE("0",MONTH(A1874)),MONTH(A1874)))</f>
        <v>2025/04</v>
      </c>
      <c r="E1874" s="8">
        <f>IF(IF(D1874&lt;&gt;D1873,1,IF(OR(B1874&lt;&gt;B1873,A1874-A1873&gt;$U$1),1,""))&lt;&gt;1,"",IF(C1874="B01",1965,IF(C1874="B02",1020,IF(C1874="B05",2400,IF(C1874="B03",4260,IF(C1874="B04",2880,IF(C1874="B20",1260,0)))))))</f>
        <v>2400</v>
      </c>
      <c r="F1874" s="8">
        <f>IF(IF(D1874&lt;&gt;D1873,1,IF(OR(B1874&lt;&gt;B1873,A1874-A1873&gt;$U$1),1,""))&lt;&gt;1,"",IF(C1874="B01",1,IF(C1874="B05",1,IF(C1874="B03",1,IF(C1874="B04",1,IF(C1874="B20",1,IF(C1874="B02",1,0)))))))</f>
        <v>1</v>
      </c>
      <c r="G1874"/>
      <c r="H1874" s="2"/>
      <c r="I1874" s="2"/>
      <c r="L1874"/>
      <c r="R1874"/>
    </row>
    <row r="1875" spans="1:18">
      <c r="A1875" s="3">
        <v>45761.367881944447</v>
      </c>
      <c r="B1875" s="2" t="s">
        <v>28</v>
      </c>
      <c r="C1875" s="2" t="s">
        <v>11</v>
      </c>
      <c r="D1875" s="6" t="str">
        <f>CONCATENATE(YEAR(A1875),"/",IF(MONTH(A1875)&lt;10,CONCATENATE("0",MONTH(A1875)),MONTH(A1875)))</f>
        <v>2025/04</v>
      </c>
      <c r="E1875" s="8" t="str">
        <f>IF(IF(D1875&lt;&gt;D1874,1,IF(OR(B1875&lt;&gt;B1874,A1875-A1874&gt;$U$1),1,""))&lt;&gt;1,"",IF(C1875="B01",1965,IF(C1875="B02",1020,IF(C1875="B05",2400,IF(C1875="B03",4260,IF(C1875="B04",2880,IF(C1875="B20",1260,0)))))))</f>
        <v/>
      </c>
      <c r="F1875" s="8" t="str">
        <f>IF(IF(D1875&lt;&gt;D1874,1,IF(OR(B1875&lt;&gt;B1874,A1875-A1874&gt;$U$1),1,""))&lt;&gt;1,"",IF(C1875="B01",1,IF(C1875="B05",1,IF(C1875="B03",1,IF(C1875="B04",1,IF(C1875="B20",1,IF(C1875="B02",1,0)))))))</f>
        <v/>
      </c>
      <c r="G1875"/>
      <c r="H1875" s="2"/>
      <c r="I1875" s="2"/>
      <c r="L1875"/>
      <c r="R1875"/>
    </row>
    <row r="1876" spans="1:18">
      <c r="A1876" s="3">
        <v>45761.367881944447</v>
      </c>
      <c r="B1876" s="2" t="s">
        <v>28</v>
      </c>
      <c r="C1876" s="2" t="s">
        <v>11</v>
      </c>
      <c r="D1876" s="6" t="str">
        <f>CONCATENATE(YEAR(A1876),"/",IF(MONTH(A1876)&lt;10,CONCATENATE("0",MONTH(A1876)),MONTH(A1876)))</f>
        <v>2025/04</v>
      </c>
      <c r="E1876" s="8" t="str">
        <f>IF(IF(D1876&lt;&gt;D1875,1,IF(OR(B1876&lt;&gt;B1875,A1876-A1875&gt;$U$1),1,""))&lt;&gt;1,"",IF(C1876="B01",1965,IF(C1876="B02",1020,IF(C1876="B05",2400,IF(C1876="B03",4260,IF(C1876="B04",2880,IF(C1876="B20",1260,0)))))))</f>
        <v/>
      </c>
      <c r="F1876" s="8" t="str">
        <f>IF(IF(D1876&lt;&gt;D1875,1,IF(OR(B1876&lt;&gt;B1875,A1876-A1875&gt;$U$1),1,""))&lt;&gt;1,"",IF(C1876="B01",1,IF(C1876="B05",1,IF(C1876="B03",1,IF(C1876="B04",1,IF(C1876="B20",1,IF(C1876="B02",1,0)))))))</f>
        <v/>
      </c>
      <c r="G1876"/>
      <c r="H1876" s="2"/>
      <c r="I1876" s="2"/>
      <c r="L1876"/>
      <c r="R1876"/>
    </row>
    <row r="1877" spans="1:18">
      <c r="A1877" s="3">
        <v>45761.573865740742</v>
      </c>
      <c r="B1877" s="2" t="s">
        <v>28</v>
      </c>
      <c r="C1877" s="2" t="s">
        <v>11</v>
      </c>
      <c r="D1877" s="6" t="str">
        <f>CONCATENATE(YEAR(A1877),"/",IF(MONTH(A1877)&lt;10,CONCATENATE("0",MONTH(A1877)),MONTH(A1877)))</f>
        <v>2025/04</v>
      </c>
      <c r="E1877" s="8">
        <f>IF(IF(D1877&lt;&gt;D1876,1,IF(OR(B1877&lt;&gt;B1876,A1877-A1876&gt;$U$1),1,""))&lt;&gt;1,"",IF(C1877="B01",1965,IF(C1877="B02",1020,IF(C1877="B05",2400,IF(C1877="B03",4260,IF(C1877="B04",2880,IF(C1877="B20",1260,0)))))))</f>
        <v>2400</v>
      </c>
      <c r="F1877" s="8">
        <f>IF(IF(D1877&lt;&gt;D1876,1,IF(OR(B1877&lt;&gt;B1876,A1877-A1876&gt;$U$1),1,""))&lt;&gt;1,"",IF(C1877="B01",1,IF(C1877="B05",1,IF(C1877="B03",1,IF(C1877="B04",1,IF(C1877="B20",1,IF(C1877="B02",1,0)))))))</f>
        <v>1</v>
      </c>
      <c r="G1877"/>
      <c r="H1877" s="2"/>
      <c r="I1877" s="2"/>
      <c r="L1877"/>
      <c r="R1877"/>
    </row>
    <row r="1878" spans="1:18">
      <c r="A1878" s="3">
        <v>45761.573865740742</v>
      </c>
      <c r="B1878" s="2" t="s">
        <v>28</v>
      </c>
      <c r="C1878" s="2" t="s">
        <v>11</v>
      </c>
      <c r="D1878" s="6" t="str">
        <f>CONCATENATE(YEAR(A1878),"/",IF(MONTH(A1878)&lt;10,CONCATENATE("0",MONTH(A1878)),MONTH(A1878)))</f>
        <v>2025/04</v>
      </c>
      <c r="E1878" s="8" t="str">
        <f>IF(IF(D1878&lt;&gt;D1877,1,IF(OR(B1878&lt;&gt;B1877,A1878-A1877&gt;$U$1),1,""))&lt;&gt;1,"",IF(C1878="B01",1965,IF(C1878="B02",1020,IF(C1878="B05",2400,IF(C1878="B03",4260,IF(C1878="B04",2880,IF(C1878="B20",1260,0)))))))</f>
        <v/>
      </c>
      <c r="F1878" s="8" t="str">
        <f>IF(IF(D1878&lt;&gt;D1877,1,IF(OR(B1878&lt;&gt;B1877,A1878-A1877&gt;$U$1),1,""))&lt;&gt;1,"",IF(C1878="B01",1,IF(C1878="B05",1,IF(C1878="B03",1,IF(C1878="B04",1,IF(C1878="B20",1,IF(C1878="B02",1,0)))))))</f>
        <v/>
      </c>
      <c r="G1878"/>
      <c r="H1878" s="2"/>
      <c r="I1878" s="2"/>
      <c r="L1878"/>
      <c r="R1878"/>
    </row>
    <row r="1879" spans="1:18">
      <c r="A1879" s="3">
        <v>45761.710810185185</v>
      </c>
      <c r="B1879" s="2" t="s">
        <v>28</v>
      </c>
      <c r="C1879" s="2" t="s">
        <v>11</v>
      </c>
      <c r="D1879" s="6" t="str">
        <f>CONCATENATE(YEAR(A1879),"/",IF(MONTH(A1879)&lt;10,CONCATENATE("0",MONTH(A1879)),MONTH(A1879)))</f>
        <v>2025/04</v>
      </c>
      <c r="E1879" s="8">
        <f>IF(IF(D1879&lt;&gt;D1878,1,IF(OR(B1879&lt;&gt;B1878,A1879-A1878&gt;$U$1),1,""))&lt;&gt;1,"",IF(C1879="B01",1965,IF(C1879="B02",1020,IF(C1879="B05",2400,IF(C1879="B03",4260,IF(C1879="B04",2880,IF(C1879="B20",1260,0)))))))</f>
        <v>2400</v>
      </c>
      <c r="F1879" s="8">
        <f>IF(IF(D1879&lt;&gt;D1878,1,IF(OR(B1879&lt;&gt;B1878,A1879-A1878&gt;$U$1),1,""))&lt;&gt;1,"",IF(C1879="B01",1,IF(C1879="B05",1,IF(C1879="B03",1,IF(C1879="B04",1,IF(C1879="B20",1,IF(C1879="B02",1,0)))))))</f>
        <v>1</v>
      </c>
      <c r="G1879"/>
      <c r="H1879" s="2"/>
      <c r="I1879" s="2"/>
      <c r="L1879"/>
      <c r="R1879"/>
    </row>
    <row r="1880" spans="1:18">
      <c r="A1880" s="3">
        <v>45761.710810185185</v>
      </c>
      <c r="B1880" s="2" t="s">
        <v>28</v>
      </c>
      <c r="C1880" s="2" t="s">
        <v>11</v>
      </c>
      <c r="D1880" s="6" t="str">
        <f>CONCATENATE(YEAR(A1880),"/",IF(MONTH(A1880)&lt;10,CONCATENATE("0",MONTH(A1880)),MONTH(A1880)))</f>
        <v>2025/04</v>
      </c>
      <c r="E1880" s="8" t="str">
        <f>IF(IF(D1880&lt;&gt;D1879,1,IF(OR(B1880&lt;&gt;B1879,A1880-A1879&gt;$U$1),1,""))&lt;&gt;1,"",IF(C1880="B01",1965,IF(C1880="B02",1020,IF(C1880="B05",2400,IF(C1880="B03",4260,IF(C1880="B04",2880,IF(C1880="B20",1260,0)))))))</f>
        <v/>
      </c>
      <c r="F1880" s="8" t="str">
        <f>IF(IF(D1880&lt;&gt;D1879,1,IF(OR(B1880&lt;&gt;B1879,A1880-A1879&gt;$U$1),1,""))&lt;&gt;1,"",IF(C1880="B01",1,IF(C1880="B05",1,IF(C1880="B03",1,IF(C1880="B04",1,IF(C1880="B20",1,IF(C1880="B02",1,0)))))))</f>
        <v/>
      </c>
      <c r="G1880"/>
      <c r="H1880" s="2"/>
      <c r="I1880" s="2"/>
      <c r="L1880"/>
      <c r="R1880"/>
    </row>
    <row r="1881" spans="1:18">
      <c r="A1881" s="3">
        <v>45761.710810185185</v>
      </c>
      <c r="B1881" s="2" t="s">
        <v>28</v>
      </c>
      <c r="C1881" s="2" t="s">
        <v>11</v>
      </c>
      <c r="D1881" s="6" t="str">
        <f>CONCATENATE(YEAR(A1881),"/",IF(MONTH(A1881)&lt;10,CONCATENATE("0",MONTH(A1881)),MONTH(A1881)))</f>
        <v>2025/04</v>
      </c>
      <c r="E1881" s="8" t="str">
        <f>IF(IF(D1881&lt;&gt;D1880,1,IF(OR(B1881&lt;&gt;B1880,A1881-A1880&gt;$U$1),1,""))&lt;&gt;1,"",IF(C1881="B01",1965,IF(C1881="B02",1020,IF(C1881="B05",2400,IF(C1881="B03",4260,IF(C1881="B04",2880,IF(C1881="B20",1260,0)))))))</f>
        <v/>
      </c>
      <c r="F1881" s="8" t="str">
        <f>IF(IF(D1881&lt;&gt;D1880,1,IF(OR(B1881&lt;&gt;B1880,A1881-A1880&gt;$U$1),1,""))&lt;&gt;1,"",IF(C1881="B01",1,IF(C1881="B05",1,IF(C1881="B03",1,IF(C1881="B04",1,IF(C1881="B20",1,IF(C1881="B02",1,0)))))))</f>
        <v/>
      </c>
      <c r="G1881"/>
      <c r="H1881" s="2"/>
      <c r="I1881" s="2"/>
      <c r="L1881"/>
      <c r="R1881"/>
    </row>
    <row r="1882" spans="1:18">
      <c r="A1882" s="3">
        <v>45761.850277777776</v>
      </c>
      <c r="B1882" s="2" t="s">
        <v>28</v>
      </c>
      <c r="C1882" s="2" t="s">
        <v>11</v>
      </c>
      <c r="D1882" s="6" t="str">
        <f>CONCATENATE(YEAR(A1882),"/",IF(MONTH(A1882)&lt;10,CONCATENATE("0",MONTH(A1882)),MONTH(A1882)))</f>
        <v>2025/04</v>
      </c>
      <c r="E1882" s="8">
        <f>IF(IF(D1882&lt;&gt;D1881,1,IF(OR(B1882&lt;&gt;B1881,A1882-A1881&gt;$U$1),1,""))&lt;&gt;1,"",IF(C1882="B01",1965,IF(C1882="B02",1020,IF(C1882="B05",2400,IF(C1882="B03",4260,IF(C1882="B04",2880,IF(C1882="B20",1260,0)))))))</f>
        <v>2400</v>
      </c>
      <c r="F1882" s="8">
        <f>IF(IF(D1882&lt;&gt;D1881,1,IF(OR(B1882&lt;&gt;B1881,A1882-A1881&gt;$U$1),1,""))&lt;&gt;1,"",IF(C1882="B01",1,IF(C1882="B05",1,IF(C1882="B03",1,IF(C1882="B04",1,IF(C1882="B20",1,IF(C1882="B02",1,0)))))))</f>
        <v>1</v>
      </c>
      <c r="G1882"/>
      <c r="H1882" s="2"/>
      <c r="I1882" s="2"/>
      <c r="L1882"/>
      <c r="R1882"/>
    </row>
    <row r="1883" spans="1:18">
      <c r="A1883" s="3">
        <v>45761.850277777776</v>
      </c>
      <c r="B1883" s="2" t="s">
        <v>28</v>
      </c>
      <c r="C1883" s="2" t="s">
        <v>11</v>
      </c>
      <c r="D1883" s="6" t="str">
        <f>CONCATENATE(YEAR(A1883),"/",IF(MONTH(A1883)&lt;10,CONCATENATE("0",MONTH(A1883)),MONTH(A1883)))</f>
        <v>2025/04</v>
      </c>
      <c r="E1883" s="8" t="str">
        <f>IF(IF(D1883&lt;&gt;D1882,1,IF(OR(B1883&lt;&gt;B1882,A1883-A1882&gt;$U$1),1,""))&lt;&gt;1,"",IF(C1883="B01",1965,IF(C1883="B02",1020,IF(C1883="B05",2400,IF(C1883="B03",4260,IF(C1883="B04",2880,IF(C1883="B20",1260,0)))))))</f>
        <v/>
      </c>
      <c r="F1883" s="8" t="str">
        <f>IF(IF(D1883&lt;&gt;D1882,1,IF(OR(B1883&lt;&gt;B1882,A1883-A1882&gt;$U$1),1,""))&lt;&gt;1,"",IF(C1883="B01",1,IF(C1883="B05",1,IF(C1883="B03",1,IF(C1883="B04",1,IF(C1883="B20",1,IF(C1883="B02",1,0)))))))</f>
        <v/>
      </c>
      <c r="G1883"/>
      <c r="H1883" s="2"/>
      <c r="I1883" s="2"/>
      <c r="L1883"/>
      <c r="R1883"/>
    </row>
    <row r="1884" spans="1:18">
      <c r="A1884" s="3">
        <v>45761.970405092594</v>
      </c>
      <c r="B1884" s="2" t="s">
        <v>28</v>
      </c>
      <c r="C1884" s="2" t="s">
        <v>39</v>
      </c>
      <c r="D1884" s="6" t="str">
        <f>CONCATENATE(YEAR(A1884),"/",IF(MONTH(A1884)&lt;10,CONCATENATE("0",MONTH(A1884)),MONTH(A1884)))</f>
        <v>2025/04</v>
      </c>
      <c r="E1884" s="8">
        <f>IF(IF(D1884&lt;&gt;D1883,1,IF(OR(B1884&lt;&gt;B1883,A1884-A1883&gt;$U$1),1,""))&lt;&gt;1,"",IF(C1884="B01",1965,IF(C1884="B02",1020,IF(C1884="B05",2400,IF(C1884="B03",4260,IF(C1884="B04",2880,IF(C1884="B20",1260,0)))))))</f>
        <v>1260</v>
      </c>
      <c r="F1884" s="8">
        <f>IF(IF(D1884&lt;&gt;D1883,1,IF(OR(B1884&lt;&gt;B1883,A1884-A1883&gt;$U$1),1,""))&lt;&gt;1,"",IF(C1884="B01",1,IF(C1884="B05",1,IF(C1884="B03",1,IF(C1884="B04",1,IF(C1884="B20",1,IF(C1884="B02",1,0)))))))</f>
        <v>1</v>
      </c>
      <c r="G1884"/>
      <c r="H1884" s="2"/>
      <c r="I1884" s="2"/>
      <c r="L1884"/>
      <c r="R1884"/>
    </row>
    <row r="1885" spans="1:18">
      <c r="A1885" s="3">
        <v>45762.102048611108</v>
      </c>
      <c r="B1885" s="2" t="s">
        <v>28</v>
      </c>
      <c r="C1885" s="2" t="s">
        <v>11</v>
      </c>
      <c r="D1885" s="6" t="str">
        <f>CONCATENATE(YEAR(A1885),"/",IF(MONTH(A1885)&lt;10,CONCATENATE("0",MONTH(A1885)),MONTH(A1885)))</f>
        <v>2025/04</v>
      </c>
      <c r="E1885" s="8">
        <f>IF(IF(D1885&lt;&gt;D1884,1,IF(OR(B1885&lt;&gt;B1884,A1885-A1884&gt;$U$1),1,""))&lt;&gt;1,"",IF(C1885="B01",1965,IF(C1885="B02",1020,IF(C1885="B05",2400,IF(C1885="B03",4260,IF(C1885="B04",2880,IF(C1885="B20",1260,0)))))))</f>
        <v>2400</v>
      </c>
      <c r="F1885" s="8">
        <f>IF(IF(D1885&lt;&gt;D1884,1,IF(OR(B1885&lt;&gt;B1884,A1885-A1884&gt;$U$1),1,""))&lt;&gt;1,"",IF(C1885="B01",1,IF(C1885="B05",1,IF(C1885="B03",1,IF(C1885="B04",1,IF(C1885="B20",1,IF(C1885="B02",1,0)))))))</f>
        <v>1</v>
      </c>
      <c r="G1885"/>
      <c r="H1885" s="2"/>
      <c r="I1885" s="2"/>
      <c r="L1885"/>
      <c r="R1885"/>
    </row>
    <row r="1886" spans="1:18">
      <c r="A1886" s="3">
        <v>45762.102048611108</v>
      </c>
      <c r="B1886" s="2" t="s">
        <v>28</v>
      </c>
      <c r="C1886" s="2" t="s">
        <v>11</v>
      </c>
      <c r="D1886" s="6" t="str">
        <f>CONCATENATE(YEAR(A1886),"/",IF(MONTH(A1886)&lt;10,CONCATENATE("0",MONTH(A1886)),MONTH(A1886)))</f>
        <v>2025/04</v>
      </c>
      <c r="E1886" s="8" t="str">
        <f>IF(IF(D1886&lt;&gt;D1885,1,IF(OR(B1886&lt;&gt;B1885,A1886-A1885&gt;$U$1),1,""))&lt;&gt;1,"",IF(C1886="B01",1965,IF(C1886="B02",1020,IF(C1886="B05",2400,IF(C1886="B03",4260,IF(C1886="B04",2880,IF(C1886="B20",1260,0)))))))</f>
        <v/>
      </c>
      <c r="F1886" s="8" t="str">
        <f>IF(IF(D1886&lt;&gt;D1885,1,IF(OR(B1886&lt;&gt;B1885,A1886-A1885&gt;$U$1),1,""))&lt;&gt;1,"",IF(C1886="B01",1,IF(C1886="B05",1,IF(C1886="B03",1,IF(C1886="B04",1,IF(C1886="B20",1,IF(C1886="B02",1,0)))))))</f>
        <v/>
      </c>
      <c r="G1886"/>
      <c r="H1886" s="2"/>
      <c r="I1886" s="2"/>
      <c r="L1886"/>
      <c r="R1886"/>
    </row>
    <row r="1887" spans="1:18">
      <c r="A1887" s="3">
        <v>45762.240011574075</v>
      </c>
      <c r="B1887" s="2" t="s">
        <v>28</v>
      </c>
      <c r="C1887" s="2" t="s">
        <v>11</v>
      </c>
      <c r="D1887" s="6" t="str">
        <f>CONCATENATE(YEAR(A1887),"/",IF(MONTH(A1887)&lt;10,CONCATENATE("0",MONTH(A1887)),MONTH(A1887)))</f>
        <v>2025/04</v>
      </c>
      <c r="E1887" s="8">
        <f>IF(IF(D1887&lt;&gt;D1886,1,IF(OR(B1887&lt;&gt;B1886,A1887-A1886&gt;$U$1),1,""))&lt;&gt;1,"",IF(C1887="B01",1965,IF(C1887="B02",1020,IF(C1887="B05",2400,IF(C1887="B03",4260,IF(C1887="B04",2880,IF(C1887="B20",1260,0)))))))</f>
        <v>2400</v>
      </c>
      <c r="F1887" s="8">
        <f>IF(IF(D1887&lt;&gt;D1886,1,IF(OR(B1887&lt;&gt;B1886,A1887-A1886&gt;$U$1),1,""))&lt;&gt;1,"",IF(C1887="B01",1,IF(C1887="B05",1,IF(C1887="B03",1,IF(C1887="B04",1,IF(C1887="B20",1,IF(C1887="B02",1,0)))))))</f>
        <v>1</v>
      </c>
      <c r="G1887"/>
      <c r="H1887" s="2"/>
      <c r="I1887" s="2"/>
      <c r="L1887"/>
      <c r="R1887"/>
    </row>
    <row r="1888" spans="1:18">
      <c r="A1888" s="3">
        <v>45762.240011574075</v>
      </c>
      <c r="B1888" s="2" t="s">
        <v>28</v>
      </c>
      <c r="C1888" s="2" t="s">
        <v>11</v>
      </c>
      <c r="D1888" s="6" t="str">
        <f>CONCATENATE(YEAR(A1888),"/",IF(MONTH(A1888)&lt;10,CONCATENATE("0",MONTH(A1888)),MONTH(A1888)))</f>
        <v>2025/04</v>
      </c>
      <c r="E1888" s="8" t="str">
        <f>IF(IF(D1888&lt;&gt;D1887,1,IF(OR(B1888&lt;&gt;B1887,A1888-A1887&gt;$U$1),1,""))&lt;&gt;1,"",IF(C1888="B01",1965,IF(C1888="B02",1020,IF(C1888="B05",2400,IF(C1888="B03",4260,IF(C1888="B04",2880,IF(C1888="B20",1260,0)))))))</f>
        <v/>
      </c>
      <c r="F1888" s="8" t="str">
        <f>IF(IF(D1888&lt;&gt;D1887,1,IF(OR(B1888&lt;&gt;B1887,A1888-A1887&gt;$U$1),1,""))&lt;&gt;1,"",IF(C1888="B01",1,IF(C1888="B05",1,IF(C1888="B03",1,IF(C1888="B04",1,IF(C1888="B20",1,IF(C1888="B02",1,0)))))))</f>
        <v/>
      </c>
      <c r="G1888"/>
      <c r="H1888" s="2"/>
      <c r="I1888" s="2"/>
      <c r="L1888"/>
      <c r="R1888"/>
    </row>
    <row r="1889" spans="1:18">
      <c r="A1889" s="3">
        <v>45762.240011574075</v>
      </c>
      <c r="B1889" s="2" t="s">
        <v>28</v>
      </c>
      <c r="C1889" s="2" t="s">
        <v>11</v>
      </c>
      <c r="D1889" s="6" t="str">
        <f>CONCATENATE(YEAR(A1889),"/",IF(MONTH(A1889)&lt;10,CONCATENATE("0",MONTH(A1889)),MONTH(A1889)))</f>
        <v>2025/04</v>
      </c>
      <c r="E1889" s="8" t="str">
        <f>IF(IF(D1889&lt;&gt;D1888,1,IF(OR(B1889&lt;&gt;B1888,A1889-A1888&gt;$U$1),1,""))&lt;&gt;1,"",IF(C1889="B01",1965,IF(C1889="B02",1020,IF(C1889="B05",2400,IF(C1889="B03",4260,IF(C1889="B04",2880,IF(C1889="B20",1260,0)))))))</f>
        <v/>
      </c>
      <c r="F1889" s="8" t="str">
        <f>IF(IF(D1889&lt;&gt;D1888,1,IF(OR(B1889&lt;&gt;B1888,A1889-A1888&gt;$U$1),1,""))&lt;&gt;1,"",IF(C1889="B01",1,IF(C1889="B05",1,IF(C1889="B03",1,IF(C1889="B04",1,IF(C1889="B20",1,IF(C1889="B02",1,0)))))))</f>
        <v/>
      </c>
      <c r="G1889"/>
      <c r="H1889" s="2"/>
      <c r="I1889" s="2"/>
      <c r="L1889"/>
      <c r="R1889"/>
    </row>
    <row r="1890" spans="1:18">
      <c r="A1890" s="3">
        <v>45762.383344907408</v>
      </c>
      <c r="B1890" s="2" t="s">
        <v>28</v>
      </c>
      <c r="C1890" s="2" t="s">
        <v>11</v>
      </c>
      <c r="D1890" s="6" t="str">
        <f>CONCATENATE(YEAR(A1890),"/",IF(MONTH(A1890)&lt;10,CONCATENATE("0",MONTH(A1890)),MONTH(A1890)))</f>
        <v>2025/04</v>
      </c>
      <c r="E1890" s="8">
        <f>IF(IF(D1890&lt;&gt;D1889,1,IF(OR(B1890&lt;&gt;B1889,A1890-A1889&gt;$U$1),1,""))&lt;&gt;1,"",IF(C1890="B01",1965,IF(C1890="B02",1020,IF(C1890="B05",2400,IF(C1890="B03",4260,IF(C1890="B04",2880,IF(C1890="B20",1260,0)))))))</f>
        <v>2400</v>
      </c>
      <c r="F1890" s="8">
        <f>IF(IF(D1890&lt;&gt;D1889,1,IF(OR(B1890&lt;&gt;B1889,A1890-A1889&gt;$U$1),1,""))&lt;&gt;1,"",IF(C1890="B01",1,IF(C1890="B05",1,IF(C1890="B03",1,IF(C1890="B04",1,IF(C1890="B20",1,IF(C1890="B02",1,0)))))))</f>
        <v>1</v>
      </c>
      <c r="G1890"/>
      <c r="H1890" s="2"/>
      <c r="I1890" s="2"/>
      <c r="L1890"/>
      <c r="R1890"/>
    </row>
    <row r="1891" spans="1:18">
      <c r="A1891" s="3">
        <v>45762.383344907408</v>
      </c>
      <c r="B1891" s="2" t="s">
        <v>28</v>
      </c>
      <c r="C1891" s="2" t="s">
        <v>11</v>
      </c>
      <c r="D1891" s="6" t="str">
        <f>CONCATENATE(YEAR(A1891),"/",IF(MONTH(A1891)&lt;10,CONCATENATE("0",MONTH(A1891)),MONTH(A1891)))</f>
        <v>2025/04</v>
      </c>
      <c r="E1891" s="8" t="str">
        <f>IF(IF(D1891&lt;&gt;D1890,1,IF(OR(B1891&lt;&gt;B1890,A1891-A1890&gt;$U$1),1,""))&lt;&gt;1,"",IF(C1891="B01",1965,IF(C1891="B02",1020,IF(C1891="B05",2400,IF(C1891="B03",4260,IF(C1891="B04",2880,IF(C1891="B20",1260,0)))))))</f>
        <v/>
      </c>
      <c r="F1891" s="8" t="str">
        <f>IF(IF(D1891&lt;&gt;D1890,1,IF(OR(B1891&lt;&gt;B1890,A1891-A1890&gt;$U$1),1,""))&lt;&gt;1,"",IF(C1891="B01",1,IF(C1891="B05",1,IF(C1891="B03",1,IF(C1891="B04",1,IF(C1891="B20",1,IF(C1891="B02",1,0)))))))</f>
        <v/>
      </c>
      <c r="G1891"/>
      <c r="H1891" s="2"/>
      <c r="I1891" s="2"/>
      <c r="L1891"/>
      <c r="R1891"/>
    </row>
    <row r="1892" spans="1:18">
      <c r="A1892" s="3">
        <v>45762.383344907408</v>
      </c>
      <c r="B1892" s="2" t="s">
        <v>28</v>
      </c>
      <c r="C1892" s="2" t="s">
        <v>11</v>
      </c>
      <c r="D1892" s="6" t="str">
        <f>CONCATENATE(YEAR(A1892),"/",IF(MONTH(A1892)&lt;10,CONCATENATE("0",MONTH(A1892)),MONTH(A1892)))</f>
        <v>2025/04</v>
      </c>
      <c r="E1892" s="8" t="str">
        <f>IF(IF(D1892&lt;&gt;D1891,1,IF(OR(B1892&lt;&gt;B1891,A1892-A1891&gt;$U$1),1,""))&lt;&gt;1,"",IF(C1892="B01",1965,IF(C1892="B02",1020,IF(C1892="B05",2400,IF(C1892="B03",4260,IF(C1892="B04",2880,IF(C1892="B20",1260,0)))))))</f>
        <v/>
      </c>
      <c r="F1892" s="8" t="str">
        <f>IF(IF(D1892&lt;&gt;D1891,1,IF(OR(B1892&lt;&gt;B1891,A1892-A1891&gt;$U$1),1,""))&lt;&gt;1,"",IF(C1892="B01",1,IF(C1892="B05",1,IF(C1892="B03",1,IF(C1892="B04",1,IF(C1892="B20",1,IF(C1892="B02",1,0)))))))</f>
        <v/>
      </c>
      <c r="G1892"/>
      <c r="H1892" s="2"/>
      <c r="I1892" s="2"/>
      <c r="L1892"/>
      <c r="R1892"/>
    </row>
    <row r="1893" spans="1:18">
      <c r="A1893" s="3">
        <v>45762.852916666663</v>
      </c>
      <c r="B1893" s="2" t="s">
        <v>28</v>
      </c>
      <c r="C1893" s="2" t="s">
        <v>11</v>
      </c>
      <c r="D1893" s="6" t="str">
        <f>CONCATENATE(YEAR(A1893),"/",IF(MONTH(A1893)&lt;10,CONCATENATE("0",MONTH(A1893)),MONTH(A1893)))</f>
        <v>2025/04</v>
      </c>
      <c r="E1893" s="8">
        <f>IF(IF(D1893&lt;&gt;D1892,1,IF(OR(B1893&lt;&gt;B1892,A1893-A1892&gt;$U$1),1,""))&lt;&gt;1,"",IF(C1893="B01",1965,IF(C1893="B02",1020,IF(C1893="B05",2400,IF(C1893="B03",4260,IF(C1893="B04",2880,IF(C1893="B20",1260,0)))))))</f>
        <v>2400</v>
      </c>
      <c r="F1893" s="8">
        <f>IF(IF(D1893&lt;&gt;D1892,1,IF(OR(B1893&lt;&gt;B1892,A1893-A1892&gt;$U$1),1,""))&lt;&gt;1,"",IF(C1893="B01",1,IF(C1893="B05",1,IF(C1893="B03",1,IF(C1893="B04",1,IF(C1893="B20",1,IF(C1893="B02",1,0)))))))</f>
        <v>1</v>
      </c>
      <c r="G1893"/>
      <c r="H1893" s="2"/>
      <c r="I1893" s="2"/>
      <c r="L1893"/>
      <c r="R1893"/>
    </row>
    <row r="1894" spans="1:18">
      <c r="A1894" s="3">
        <v>45762.852916666663</v>
      </c>
      <c r="B1894" s="2" t="s">
        <v>28</v>
      </c>
      <c r="C1894" s="2" t="s">
        <v>11</v>
      </c>
      <c r="D1894" s="6" t="str">
        <f>CONCATENATE(YEAR(A1894),"/",IF(MONTH(A1894)&lt;10,CONCATENATE("0",MONTH(A1894)),MONTH(A1894)))</f>
        <v>2025/04</v>
      </c>
      <c r="E1894" s="8" t="str">
        <f>IF(IF(D1894&lt;&gt;D1893,1,IF(OR(B1894&lt;&gt;B1893,A1894-A1893&gt;$U$1),1,""))&lt;&gt;1,"",IF(C1894="B01",1965,IF(C1894="B02",1020,IF(C1894="B05",2400,IF(C1894="B03",4260,IF(C1894="B04",2880,IF(C1894="B20",1260,0)))))))</f>
        <v/>
      </c>
      <c r="F1894" s="8" t="str">
        <f>IF(IF(D1894&lt;&gt;D1893,1,IF(OR(B1894&lt;&gt;B1893,A1894-A1893&gt;$U$1),1,""))&lt;&gt;1,"",IF(C1894="B01",1,IF(C1894="B05",1,IF(C1894="B03",1,IF(C1894="B04",1,IF(C1894="B20",1,IF(C1894="B02",1,0)))))))</f>
        <v/>
      </c>
      <c r="G1894"/>
      <c r="H1894" s="2"/>
      <c r="I1894" s="2"/>
      <c r="L1894"/>
      <c r="R1894"/>
    </row>
    <row r="1895" spans="1:18">
      <c r="A1895" s="3">
        <v>45762.852916666663</v>
      </c>
      <c r="B1895" s="2" t="s">
        <v>28</v>
      </c>
      <c r="C1895" s="2" t="s">
        <v>11</v>
      </c>
      <c r="D1895" s="6" t="str">
        <f>CONCATENATE(YEAR(A1895),"/",IF(MONTH(A1895)&lt;10,CONCATENATE("0",MONTH(A1895)),MONTH(A1895)))</f>
        <v>2025/04</v>
      </c>
      <c r="E1895" s="8" t="str">
        <f>IF(IF(D1895&lt;&gt;D1894,1,IF(OR(B1895&lt;&gt;B1894,A1895-A1894&gt;$U$1),1,""))&lt;&gt;1,"",IF(C1895="B01",1965,IF(C1895="B02",1020,IF(C1895="B05",2400,IF(C1895="B03",4260,IF(C1895="B04",2880,IF(C1895="B20",1260,0)))))))</f>
        <v/>
      </c>
      <c r="F1895" s="8" t="str">
        <f>IF(IF(D1895&lt;&gt;D1894,1,IF(OR(B1895&lt;&gt;B1894,A1895-A1894&gt;$U$1),1,""))&lt;&gt;1,"",IF(C1895="B01",1,IF(C1895="B05",1,IF(C1895="B03",1,IF(C1895="B04",1,IF(C1895="B20",1,IF(C1895="B02",1,0)))))))</f>
        <v/>
      </c>
      <c r="G1895"/>
      <c r="H1895" s="2"/>
      <c r="I1895" s="2"/>
      <c r="L1895"/>
      <c r="R1895"/>
    </row>
    <row r="1896" spans="1:18">
      <c r="A1896" s="3">
        <v>45762.852916666663</v>
      </c>
      <c r="B1896" s="2" t="s">
        <v>28</v>
      </c>
      <c r="C1896" s="2" t="s">
        <v>11</v>
      </c>
      <c r="D1896" s="6" t="str">
        <f>CONCATENATE(YEAR(A1896),"/",IF(MONTH(A1896)&lt;10,CONCATENATE("0",MONTH(A1896)),MONTH(A1896)))</f>
        <v>2025/04</v>
      </c>
      <c r="E1896" s="8" t="str">
        <f>IF(IF(D1896&lt;&gt;D1895,1,IF(OR(B1896&lt;&gt;B1895,A1896-A1895&gt;$U$1),1,""))&lt;&gt;1,"",IF(C1896="B01",1965,IF(C1896="B02",1020,IF(C1896="B05",2400,IF(C1896="B03",4260,IF(C1896="B04",2880,IF(C1896="B20",1260,0)))))))</f>
        <v/>
      </c>
      <c r="F1896" s="8" t="str">
        <f>IF(IF(D1896&lt;&gt;D1895,1,IF(OR(B1896&lt;&gt;B1895,A1896-A1895&gt;$U$1),1,""))&lt;&gt;1,"",IF(C1896="B01",1,IF(C1896="B05",1,IF(C1896="B03",1,IF(C1896="B04",1,IF(C1896="B20",1,IF(C1896="B02",1,0)))))))</f>
        <v/>
      </c>
      <c r="G1896"/>
      <c r="H1896" s="2"/>
      <c r="I1896" s="2"/>
      <c r="L1896"/>
      <c r="R1896"/>
    </row>
    <row r="1897" spans="1:18">
      <c r="A1897" s="3">
        <v>45763.392893518518</v>
      </c>
      <c r="B1897" s="2" t="s">
        <v>28</v>
      </c>
      <c r="C1897" s="2" t="s">
        <v>11</v>
      </c>
      <c r="D1897" s="6" t="str">
        <f>CONCATENATE(YEAR(A1897),"/",IF(MONTH(A1897)&lt;10,CONCATENATE("0",MONTH(A1897)),MONTH(A1897)))</f>
        <v>2025/04</v>
      </c>
      <c r="E1897" s="8">
        <f>IF(IF(D1897&lt;&gt;D1896,1,IF(OR(B1897&lt;&gt;B1896,A1897-A1896&gt;$U$1),1,""))&lt;&gt;1,"",IF(C1897="B01",1965,IF(C1897="B02",1020,IF(C1897="B05",2400,IF(C1897="B03",4260,IF(C1897="B04",2880,IF(C1897="B20",1260,0)))))))</f>
        <v>2400</v>
      </c>
      <c r="F1897" s="8">
        <f>IF(IF(D1897&lt;&gt;D1896,1,IF(OR(B1897&lt;&gt;B1896,A1897-A1896&gt;$U$1),1,""))&lt;&gt;1,"",IF(C1897="B01",1,IF(C1897="B05",1,IF(C1897="B03",1,IF(C1897="B04",1,IF(C1897="B20",1,IF(C1897="B02",1,0)))))))</f>
        <v>1</v>
      </c>
      <c r="G1897"/>
      <c r="H1897" s="2"/>
      <c r="I1897" s="2"/>
      <c r="L1897"/>
      <c r="R1897"/>
    </row>
    <row r="1898" spans="1:18">
      <c r="A1898" s="3">
        <v>45763.392893518518</v>
      </c>
      <c r="B1898" s="2" t="s">
        <v>28</v>
      </c>
      <c r="C1898" s="2" t="s">
        <v>11</v>
      </c>
      <c r="D1898" s="6" t="str">
        <f>CONCATENATE(YEAR(A1898),"/",IF(MONTH(A1898)&lt;10,CONCATENATE("0",MONTH(A1898)),MONTH(A1898)))</f>
        <v>2025/04</v>
      </c>
      <c r="E1898" s="8" t="str">
        <f>IF(IF(D1898&lt;&gt;D1897,1,IF(OR(B1898&lt;&gt;B1897,A1898-A1897&gt;$U$1),1,""))&lt;&gt;1,"",IF(C1898="B01",1965,IF(C1898="B02",1020,IF(C1898="B05",2400,IF(C1898="B03",4260,IF(C1898="B04",2880,IF(C1898="B20",1260,0)))))))</f>
        <v/>
      </c>
      <c r="F1898" s="8" t="str">
        <f>IF(IF(D1898&lt;&gt;D1897,1,IF(OR(B1898&lt;&gt;B1897,A1898-A1897&gt;$U$1),1,""))&lt;&gt;1,"",IF(C1898="B01",1,IF(C1898="B05",1,IF(C1898="B03",1,IF(C1898="B04",1,IF(C1898="B20",1,IF(C1898="B02",1,0)))))))</f>
        <v/>
      </c>
      <c r="G1898"/>
      <c r="H1898" s="2"/>
      <c r="I1898" s="2"/>
      <c r="L1898"/>
      <c r="R1898"/>
    </row>
    <row r="1899" spans="1:18">
      <c r="A1899" s="3">
        <v>45763.392893518518</v>
      </c>
      <c r="B1899" s="2" t="s">
        <v>28</v>
      </c>
      <c r="C1899" s="2" t="s">
        <v>11</v>
      </c>
      <c r="D1899" s="6" t="str">
        <f>CONCATENATE(YEAR(A1899),"/",IF(MONTH(A1899)&lt;10,CONCATENATE("0",MONTH(A1899)),MONTH(A1899)))</f>
        <v>2025/04</v>
      </c>
      <c r="E1899" s="8" t="str">
        <f>IF(IF(D1899&lt;&gt;D1898,1,IF(OR(B1899&lt;&gt;B1898,A1899-A1898&gt;$U$1),1,""))&lt;&gt;1,"",IF(C1899="B01",1965,IF(C1899="B02",1020,IF(C1899="B05",2400,IF(C1899="B03",4260,IF(C1899="B04",2880,IF(C1899="B20",1260,0)))))))</f>
        <v/>
      </c>
      <c r="F1899" s="8" t="str">
        <f>IF(IF(D1899&lt;&gt;D1898,1,IF(OR(B1899&lt;&gt;B1898,A1899-A1898&gt;$U$1),1,""))&lt;&gt;1,"",IF(C1899="B01",1,IF(C1899="B05",1,IF(C1899="B03",1,IF(C1899="B04",1,IF(C1899="B20",1,IF(C1899="B02",1,0)))))))</f>
        <v/>
      </c>
      <c r="G1899"/>
      <c r="H1899" s="2"/>
      <c r="I1899" s="2"/>
      <c r="L1899"/>
      <c r="R1899"/>
    </row>
    <row r="1900" spans="1:18">
      <c r="A1900" s="3">
        <v>45763.392893518518</v>
      </c>
      <c r="B1900" s="2" t="s">
        <v>28</v>
      </c>
      <c r="C1900" s="2" t="s">
        <v>11</v>
      </c>
      <c r="D1900" s="6" t="str">
        <f>CONCATENATE(YEAR(A1900),"/",IF(MONTH(A1900)&lt;10,CONCATENATE("0",MONTH(A1900)),MONTH(A1900)))</f>
        <v>2025/04</v>
      </c>
      <c r="E1900" s="8" t="str">
        <f>IF(IF(D1900&lt;&gt;D1899,1,IF(OR(B1900&lt;&gt;B1899,A1900-A1899&gt;$U$1),1,""))&lt;&gt;1,"",IF(C1900="B01",1965,IF(C1900="B02",1020,IF(C1900="B05",2400,IF(C1900="B03",4260,IF(C1900="B04",2880,IF(C1900="B20",1260,0)))))))</f>
        <v/>
      </c>
      <c r="F1900" s="8" t="str">
        <f>IF(IF(D1900&lt;&gt;D1899,1,IF(OR(B1900&lt;&gt;B1899,A1900-A1899&gt;$U$1),1,""))&lt;&gt;1,"",IF(C1900="B01",1,IF(C1900="B05",1,IF(C1900="B03",1,IF(C1900="B04",1,IF(C1900="B20",1,IF(C1900="B02",1,0)))))))</f>
        <v/>
      </c>
      <c r="G1900"/>
      <c r="H1900" s="2"/>
      <c r="I1900" s="2"/>
      <c r="L1900"/>
      <c r="R1900"/>
    </row>
    <row r="1901" spans="1:18">
      <c r="A1901" s="3">
        <v>45763.545949074076</v>
      </c>
      <c r="B1901" s="2" t="s">
        <v>28</v>
      </c>
      <c r="C1901" s="2" t="s">
        <v>11</v>
      </c>
      <c r="D1901" s="6" t="str">
        <f>CONCATENATE(YEAR(A1901),"/",IF(MONTH(A1901)&lt;10,CONCATENATE("0",MONTH(A1901)),MONTH(A1901)))</f>
        <v>2025/04</v>
      </c>
      <c r="E1901" s="8">
        <f>IF(IF(D1901&lt;&gt;D1900,1,IF(OR(B1901&lt;&gt;B1900,A1901-A1900&gt;$U$1),1,""))&lt;&gt;1,"",IF(C1901="B01",1965,IF(C1901="B02",1020,IF(C1901="B05",2400,IF(C1901="B03",4260,IF(C1901="B04",2880,IF(C1901="B20",1260,0)))))))</f>
        <v>2400</v>
      </c>
      <c r="F1901" s="8">
        <f>IF(IF(D1901&lt;&gt;D1900,1,IF(OR(B1901&lt;&gt;B1900,A1901-A1900&gt;$U$1),1,""))&lt;&gt;1,"",IF(C1901="B01",1,IF(C1901="B05",1,IF(C1901="B03",1,IF(C1901="B04",1,IF(C1901="B20",1,IF(C1901="B02",1,0)))))))</f>
        <v>1</v>
      </c>
      <c r="G1901"/>
      <c r="H1901" s="2"/>
      <c r="I1901" s="2"/>
      <c r="L1901"/>
      <c r="R1901"/>
    </row>
    <row r="1902" spans="1:18">
      <c r="A1902" s="3">
        <v>45763.545949074076</v>
      </c>
      <c r="B1902" s="2" t="s">
        <v>28</v>
      </c>
      <c r="C1902" s="2" t="s">
        <v>11</v>
      </c>
      <c r="D1902" s="6" t="str">
        <f>CONCATENATE(YEAR(A1902),"/",IF(MONTH(A1902)&lt;10,CONCATENATE("0",MONTH(A1902)),MONTH(A1902)))</f>
        <v>2025/04</v>
      </c>
      <c r="E1902" s="8" t="str">
        <f>IF(IF(D1902&lt;&gt;D1901,1,IF(OR(B1902&lt;&gt;B1901,A1902-A1901&gt;$U$1),1,""))&lt;&gt;1,"",IF(C1902="B01",1965,IF(C1902="B02",1020,IF(C1902="B05",2400,IF(C1902="B03",4260,IF(C1902="B04",2880,IF(C1902="B20",1260,0)))))))</f>
        <v/>
      </c>
      <c r="F1902" s="8" t="str">
        <f>IF(IF(D1902&lt;&gt;D1901,1,IF(OR(B1902&lt;&gt;B1901,A1902-A1901&gt;$U$1),1,""))&lt;&gt;1,"",IF(C1902="B01",1,IF(C1902="B05",1,IF(C1902="B03",1,IF(C1902="B04",1,IF(C1902="B20",1,IF(C1902="B02",1,0)))))))</f>
        <v/>
      </c>
      <c r="G1902"/>
      <c r="H1902" s="2"/>
      <c r="I1902" s="2"/>
      <c r="L1902"/>
      <c r="R1902"/>
    </row>
    <row r="1903" spans="1:18">
      <c r="A1903" s="3">
        <v>45763.665543981479</v>
      </c>
      <c r="B1903" s="2" t="s">
        <v>28</v>
      </c>
      <c r="C1903" s="2" t="s">
        <v>11</v>
      </c>
      <c r="D1903" s="6" t="str">
        <f>CONCATENATE(YEAR(A1903),"/",IF(MONTH(A1903)&lt;10,CONCATENATE("0",MONTH(A1903)),MONTH(A1903)))</f>
        <v>2025/04</v>
      </c>
      <c r="E1903" s="8">
        <f>IF(IF(D1903&lt;&gt;D1902,1,IF(OR(B1903&lt;&gt;B1902,A1903-A1902&gt;$U$1),1,""))&lt;&gt;1,"",IF(C1903="B01",1965,IF(C1903="B02",1020,IF(C1903="B05",2400,IF(C1903="B03",4260,IF(C1903="B04",2880,IF(C1903="B20",1260,0)))))))</f>
        <v>2400</v>
      </c>
      <c r="F1903" s="8">
        <f>IF(IF(D1903&lt;&gt;D1902,1,IF(OR(B1903&lt;&gt;B1902,A1903-A1902&gt;$U$1),1,""))&lt;&gt;1,"",IF(C1903="B01",1,IF(C1903="B05",1,IF(C1903="B03",1,IF(C1903="B04",1,IF(C1903="B20",1,IF(C1903="B02",1,0)))))))</f>
        <v>1</v>
      </c>
      <c r="G1903"/>
      <c r="H1903" s="2"/>
      <c r="I1903" s="2"/>
      <c r="L1903"/>
      <c r="R1903"/>
    </row>
    <row r="1904" spans="1:18">
      <c r="A1904" s="3">
        <v>45763.665543981479</v>
      </c>
      <c r="B1904" s="2" t="s">
        <v>28</v>
      </c>
      <c r="C1904" s="2" t="s">
        <v>11</v>
      </c>
      <c r="D1904" s="6" t="str">
        <f>CONCATENATE(YEAR(A1904),"/",IF(MONTH(A1904)&lt;10,CONCATENATE("0",MONTH(A1904)),MONTH(A1904)))</f>
        <v>2025/04</v>
      </c>
      <c r="E1904" s="8" t="str">
        <f>IF(IF(D1904&lt;&gt;D1903,1,IF(OR(B1904&lt;&gt;B1903,A1904-A1903&gt;$U$1),1,""))&lt;&gt;1,"",IF(C1904="B01",1965,IF(C1904="B02",1020,IF(C1904="B05",2400,IF(C1904="B03",4260,IF(C1904="B04",2880,IF(C1904="B20",1260,0)))))))</f>
        <v/>
      </c>
      <c r="F1904" s="8" t="str">
        <f>IF(IF(D1904&lt;&gt;D1903,1,IF(OR(B1904&lt;&gt;B1903,A1904-A1903&gt;$U$1),1,""))&lt;&gt;1,"",IF(C1904="B01",1,IF(C1904="B05",1,IF(C1904="B03",1,IF(C1904="B04",1,IF(C1904="B20",1,IF(C1904="B02",1,0)))))))</f>
        <v/>
      </c>
      <c r="G1904"/>
      <c r="H1904" s="2"/>
      <c r="I1904" s="2"/>
      <c r="L1904"/>
      <c r="R1904"/>
    </row>
    <row r="1905" spans="1:18">
      <c r="A1905" s="3">
        <v>45763.665543981479</v>
      </c>
      <c r="B1905" s="2" t="s">
        <v>28</v>
      </c>
      <c r="C1905" s="2" t="s">
        <v>11</v>
      </c>
      <c r="D1905" s="6" t="str">
        <f>CONCATENATE(YEAR(A1905),"/",IF(MONTH(A1905)&lt;10,CONCATENATE("0",MONTH(A1905)),MONTH(A1905)))</f>
        <v>2025/04</v>
      </c>
      <c r="E1905" s="8" t="str">
        <f>IF(IF(D1905&lt;&gt;D1904,1,IF(OR(B1905&lt;&gt;B1904,A1905-A1904&gt;$U$1),1,""))&lt;&gt;1,"",IF(C1905="B01",1965,IF(C1905="B02",1020,IF(C1905="B05",2400,IF(C1905="B03",4260,IF(C1905="B04",2880,IF(C1905="B20",1260,0)))))))</f>
        <v/>
      </c>
      <c r="F1905" s="8" t="str">
        <f>IF(IF(D1905&lt;&gt;D1904,1,IF(OR(B1905&lt;&gt;B1904,A1905-A1904&gt;$U$1),1,""))&lt;&gt;1,"",IF(C1905="B01",1,IF(C1905="B05",1,IF(C1905="B03",1,IF(C1905="B04",1,IF(C1905="B20",1,IF(C1905="B02",1,0)))))))</f>
        <v/>
      </c>
      <c r="G1905"/>
      <c r="H1905" s="2"/>
      <c r="I1905" s="2"/>
      <c r="L1905"/>
      <c r="R1905"/>
    </row>
    <row r="1906" spans="1:18">
      <c r="A1906" s="3">
        <v>45763.850902777776</v>
      </c>
      <c r="B1906" s="2" t="s">
        <v>28</v>
      </c>
      <c r="C1906" s="2" t="s">
        <v>11</v>
      </c>
      <c r="D1906" s="6" t="str">
        <f>CONCATENATE(YEAR(A1906),"/",IF(MONTH(A1906)&lt;10,CONCATENATE("0",MONTH(A1906)),MONTH(A1906)))</f>
        <v>2025/04</v>
      </c>
      <c r="E1906" s="8">
        <f>IF(IF(D1906&lt;&gt;D1905,1,IF(OR(B1906&lt;&gt;B1905,A1906-A1905&gt;$U$1),1,""))&lt;&gt;1,"",IF(C1906="B01",1965,IF(C1906="B02",1020,IF(C1906="B05",2400,IF(C1906="B03",4260,IF(C1906="B04",2880,IF(C1906="B20",1260,0)))))))</f>
        <v>2400</v>
      </c>
      <c r="F1906" s="8">
        <f>IF(IF(D1906&lt;&gt;D1905,1,IF(OR(B1906&lt;&gt;B1905,A1906-A1905&gt;$U$1),1,""))&lt;&gt;1,"",IF(C1906="B01",1,IF(C1906="B05",1,IF(C1906="B03",1,IF(C1906="B04",1,IF(C1906="B20",1,IF(C1906="B02",1,0)))))))</f>
        <v>1</v>
      </c>
      <c r="G1906"/>
      <c r="H1906" s="2"/>
      <c r="I1906" s="2"/>
      <c r="L1906"/>
      <c r="R1906"/>
    </row>
    <row r="1907" spans="1:18">
      <c r="A1907" s="3">
        <v>45763.850902777776</v>
      </c>
      <c r="B1907" s="2" t="s">
        <v>28</v>
      </c>
      <c r="C1907" s="2" t="s">
        <v>11</v>
      </c>
      <c r="D1907" s="6" t="str">
        <f>CONCATENATE(YEAR(A1907),"/",IF(MONTH(A1907)&lt;10,CONCATENATE("0",MONTH(A1907)),MONTH(A1907)))</f>
        <v>2025/04</v>
      </c>
      <c r="E1907" s="8" t="str">
        <f>IF(IF(D1907&lt;&gt;D1906,1,IF(OR(B1907&lt;&gt;B1906,A1907-A1906&gt;$U$1),1,""))&lt;&gt;1,"",IF(C1907="B01",1965,IF(C1907="B02",1020,IF(C1907="B05",2400,IF(C1907="B03",4260,IF(C1907="B04",2880,IF(C1907="B20",1260,0)))))))</f>
        <v/>
      </c>
      <c r="F1907" s="8" t="str">
        <f>IF(IF(D1907&lt;&gt;D1906,1,IF(OR(B1907&lt;&gt;B1906,A1907-A1906&gt;$U$1),1,""))&lt;&gt;1,"",IF(C1907="B01",1,IF(C1907="B05",1,IF(C1907="B03",1,IF(C1907="B04",1,IF(C1907="B20",1,IF(C1907="B02",1,0)))))))</f>
        <v/>
      </c>
      <c r="G1907"/>
      <c r="H1907" s="2"/>
      <c r="I1907" s="2"/>
      <c r="L1907"/>
      <c r="R1907"/>
    </row>
    <row r="1908" spans="1:18">
      <c r="A1908" s="3">
        <v>45763.850902777776</v>
      </c>
      <c r="B1908" s="2" t="s">
        <v>28</v>
      </c>
      <c r="C1908" s="2" t="s">
        <v>11</v>
      </c>
      <c r="D1908" s="6" t="str">
        <f>CONCATENATE(YEAR(A1908),"/",IF(MONTH(A1908)&lt;10,CONCATENATE("0",MONTH(A1908)),MONTH(A1908)))</f>
        <v>2025/04</v>
      </c>
      <c r="E1908" s="8" t="str">
        <f>IF(IF(D1908&lt;&gt;D1907,1,IF(OR(B1908&lt;&gt;B1907,A1908-A1907&gt;$U$1),1,""))&lt;&gt;1,"",IF(C1908="B01",1965,IF(C1908="B02",1020,IF(C1908="B05",2400,IF(C1908="B03",4260,IF(C1908="B04",2880,IF(C1908="B20",1260,0)))))))</f>
        <v/>
      </c>
      <c r="F1908" s="8" t="str">
        <f>IF(IF(D1908&lt;&gt;D1907,1,IF(OR(B1908&lt;&gt;B1907,A1908-A1907&gt;$U$1),1,""))&lt;&gt;1,"",IF(C1908="B01",1,IF(C1908="B05",1,IF(C1908="B03",1,IF(C1908="B04",1,IF(C1908="B20",1,IF(C1908="B02",1,0)))))))</f>
        <v/>
      </c>
      <c r="G1908"/>
      <c r="H1908" s="2"/>
      <c r="I1908" s="2"/>
      <c r="L1908"/>
      <c r="R1908"/>
    </row>
    <row r="1909" spans="1:18">
      <c r="A1909" s="3">
        <v>45764.098298611112</v>
      </c>
      <c r="B1909" s="2" t="s">
        <v>28</v>
      </c>
      <c r="C1909" s="2" t="s">
        <v>11</v>
      </c>
      <c r="D1909" s="6" t="str">
        <f>CONCATENATE(YEAR(A1909),"/",IF(MONTH(A1909)&lt;10,CONCATENATE("0",MONTH(A1909)),MONTH(A1909)))</f>
        <v>2025/04</v>
      </c>
      <c r="E1909" s="8">
        <f>IF(IF(D1909&lt;&gt;D1908,1,IF(OR(B1909&lt;&gt;B1908,A1909-A1908&gt;$U$1),1,""))&lt;&gt;1,"",IF(C1909="B01",1965,IF(C1909="B02",1020,IF(C1909="B05",2400,IF(C1909="B03",4260,IF(C1909="B04",2880,IF(C1909="B20",1260,0)))))))</f>
        <v>2400</v>
      </c>
      <c r="F1909" s="8">
        <f>IF(IF(D1909&lt;&gt;D1908,1,IF(OR(B1909&lt;&gt;B1908,A1909-A1908&gt;$U$1),1,""))&lt;&gt;1,"",IF(C1909="B01",1,IF(C1909="B05",1,IF(C1909="B03",1,IF(C1909="B04",1,IF(C1909="B20",1,IF(C1909="B02",1,0)))))))</f>
        <v>1</v>
      </c>
      <c r="G1909"/>
      <c r="H1909" s="2"/>
      <c r="I1909" s="2"/>
      <c r="L1909"/>
      <c r="R1909"/>
    </row>
    <row r="1910" spans="1:18">
      <c r="A1910" s="3">
        <v>45764.098298611112</v>
      </c>
      <c r="B1910" s="2" t="s">
        <v>28</v>
      </c>
      <c r="C1910" s="2" t="s">
        <v>11</v>
      </c>
      <c r="D1910" s="6" t="str">
        <f>CONCATENATE(YEAR(A1910),"/",IF(MONTH(A1910)&lt;10,CONCATENATE("0",MONTH(A1910)),MONTH(A1910)))</f>
        <v>2025/04</v>
      </c>
      <c r="E1910" s="8" t="str">
        <f>IF(IF(D1910&lt;&gt;D1909,1,IF(OR(B1910&lt;&gt;B1909,A1910-A1909&gt;$U$1),1,""))&lt;&gt;1,"",IF(C1910="B01",1965,IF(C1910="B02",1020,IF(C1910="B05",2400,IF(C1910="B03",4260,IF(C1910="B04",2880,IF(C1910="B20",1260,0)))))))</f>
        <v/>
      </c>
      <c r="F1910" s="8" t="str">
        <f>IF(IF(D1910&lt;&gt;D1909,1,IF(OR(B1910&lt;&gt;B1909,A1910-A1909&gt;$U$1),1,""))&lt;&gt;1,"",IF(C1910="B01",1,IF(C1910="B05",1,IF(C1910="B03",1,IF(C1910="B04",1,IF(C1910="B20",1,IF(C1910="B02",1,0)))))))</f>
        <v/>
      </c>
      <c r="G1910"/>
      <c r="H1910" s="2"/>
      <c r="I1910" s="2"/>
      <c r="L1910"/>
      <c r="R1910"/>
    </row>
    <row r="1911" spans="1:18">
      <c r="A1911" s="3">
        <v>45764.098298611112</v>
      </c>
      <c r="B1911" s="2" t="s">
        <v>28</v>
      </c>
      <c r="C1911" s="2" t="s">
        <v>11</v>
      </c>
      <c r="D1911" s="6" t="str">
        <f>CONCATENATE(YEAR(A1911),"/",IF(MONTH(A1911)&lt;10,CONCATENATE("0",MONTH(A1911)),MONTH(A1911)))</f>
        <v>2025/04</v>
      </c>
      <c r="E1911" s="8" t="str">
        <f>IF(IF(D1911&lt;&gt;D1910,1,IF(OR(B1911&lt;&gt;B1910,A1911-A1910&gt;$U$1),1,""))&lt;&gt;1,"",IF(C1911="B01",1965,IF(C1911="B02",1020,IF(C1911="B05",2400,IF(C1911="B03",4260,IF(C1911="B04",2880,IF(C1911="B20",1260,0)))))))</f>
        <v/>
      </c>
      <c r="F1911" s="8" t="str">
        <f>IF(IF(D1911&lt;&gt;D1910,1,IF(OR(B1911&lt;&gt;B1910,A1911-A1910&gt;$U$1),1,""))&lt;&gt;1,"",IF(C1911="B01",1,IF(C1911="B05",1,IF(C1911="B03",1,IF(C1911="B04",1,IF(C1911="B20",1,IF(C1911="B02",1,0)))))))</f>
        <v/>
      </c>
      <c r="G1911"/>
      <c r="H1911" s="2"/>
      <c r="I1911" s="2"/>
      <c r="L1911"/>
      <c r="R1911"/>
    </row>
    <row r="1912" spans="1:18">
      <c r="A1912" s="3">
        <v>45764.098298611112</v>
      </c>
      <c r="B1912" s="2" t="s">
        <v>28</v>
      </c>
      <c r="C1912" s="2" t="s">
        <v>11</v>
      </c>
      <c r="D1912" s="6" t="str">
        <f>CONCATENATE(YEAR(A1912),"/",IF(MONTH(A1912)&lt;10,CONCATENATE("0",MONTH(A1912)),MONTH(A1912)))</f>
        <v>2025/04</v>
      </c>
      <c r="E1912" s="8" t="str">
        <f>IF(IF(D1912&lt;&gt;D1911,1,IF(OR(B1912&lt;&gt;B1911,A1912-A1911&gt;$U$1),1,""))&lt;&gt;1,"",IF(C1912="B01",1965,IF(C1912="B02",1020,IF(C1912="B05",2400,IF(C1912="B03",4260,IF(C1912="B04",2880,IF(C1912="B20",1260,0)))))))</f>
        <v/>
      </c>
      <c r="F1912" s="8" t="str">
        <f>IF(IF(D1912&lt;&gt;D1911,1,IF(OR(B1912&lt;&gt;B1911,A1912-A1911&gt;$U$1),1,""))&lt;&gt;1,"",IF(C1912="B01",1,IF(C1912="B05",1,IF(C1912="B03",1,IF(C1912="B04",1,IF(C1912="B20",1,IF(C1912="B02",1,0)))))))</f>
        <v/>
      </c>
      <c r="G1912"/>
      <c r="H1912" s="2"/>
      <c r="I1912" s="2"/>
      <c r="L1912"/>
      <c r="R1912"/>
    </row>
    <row r="1913" spans="1:18">
      <c r="A1913" s="3">
        <v>45764.21802083333</v>
      </c>
      <c r="B1913" s="2" t="s">
        <v>28</v>
      </c>
      <c r="C1913" s="2" t="s">
        <v>11</v>
      </c>
      <c r="D1913" s="6" t="str">
        <f>CONCATENATE(YEAR(A1913),"/",IF(MONTH(A1913)&lt;10,CONCATENATE("0",MONTH(A1913)),MONTH(A1913)))</f>
        <v>2025/04</v>
      </c>
      <c r="E1913" s="8">
        <f>IF(IF(D1913&lt;&gt;D1912,1,IF(OR(B1913&lt;&gt;B1912,A1913-A1912&gt;$U$1),1,""))&lt;&gt;1,"",IF(C1913="B01",1965,IF(C1913="B02",1020,IF(C1913="B05",2400,IF(C1913="B03",4260,IF(C1913="B04",2880,IF(C1913="B20",1260,0)))))))</f>
        <v>2400</v>
      </c>
      <c r="F1913" s="8">
        <f>IF(IF(D1913&lt;&gt;D1912,1,IF(OR(B1913&lt;&gt;B1912,A1913-A1912&gt;$U$1),1,""))&lt;&gt;1,"",IF(C1913="B01",1,IF(C1913="B05",1,IF(C1913="B03",1,IF(C1913="B04",1,IF(C1913="B20",1,IF(C1913="B02",1,0)))))))</f>
        <v>1</v>
      </c>
      <c r="G1913"/>
      <c r="H1913" s="2"/>
      <c r="I1913" s="2"/>
      <c r="L1913"/>
      <c r="R1913"/>
    </row>
    <row r="1914" spans="1:18">
      <c r="A1914" s="3">
        <v>45764.21802083333</v>
      </c>
      <c r="B1914" s="2" t="s">
        <v>28</v>
      </c>
      <c r="C1914" s="2" t="s">
        <v>11</v>
      </c>
      <c r="D1914" s="6" t="str">
        <f>CONCATENATE(YEAR(A1914),"/",IF(MONTH(A1914)&lt;10,CONCATENATE("0",MONTH(A1914)),MONTH(A1914)))</f>
        <v>2025/04</v>
      </c>
      <c r="E1914" s="8" t="str">
        <f>IF(IF(D1914&lt;&gt;D1913,1,IF(OR(B1914&lt;&gt;B1913,A1914-A1913&gt;$U$1),1,""))&lt;&gt;1,"",IF(C1914="B01",1965,IF(C1914="B02",1020,IF(C1914="B05",2400,IF(C1914="B03",4260,IF(C1914="B04",2880,IF(C1914="B20",1260,0)))))))</f>
        <v/>
      </c>
      <c r="F1914" s="8" t="str">
        <f>IF(IF(D1914&lt;&gt;D1913,1,IF(OR(B1914&lt;&gt;B1913,A1914-A1913&gt;$U$1),1,""))&lt;&gt;1,"",IF(C1914="B01",1,IF(C1914="B05",1,IF(C1914="B03",1,IF(C1914="B04",1,IF(C1914="B20",1,IF(C1914="B02",1,0)))))))</f>
        <v/>
      </c>
      <c r="G1914"/>
      <c r="H1914" s="2"/>
      <c r="I1914" s="2"/>
      <c r="L1914"/>
      <c r="R1914"/>
    </row>
    <row r="1915" spans="1:18">
      <c r="A1915" s="3">
        <v>45764.409745370373</v>
      </c>
      <c r="B1915" s="2" t="s">
        <v>28</v>
      </c>
      <c r="C1915" s="2" t="s">
        <v>11</v>
      </c>
      <c r="D1915" s="6" t="str">
        <f>CONCATENATE(YEAR(A1915),"/",IF(MONTH(A1915)&lt;10,CONCATENATE("0",MONTH(A1915)),MONTH(A1915)))</f>
        <v>2025/04</v>
      </c>
      <c r="E1915" s="8">
        <f>IF(IF(D1915&lt;&gt;D1914,1,IF(OR(B1915&lt;&gt;B1914,A1915-A1914&gt;$U$1),1,""))&lt;&gt;1,"",IF(C1915="B01",1965,IF(C1915="B02",1020,IF(C1915="B05",2400,IF(C1915="B03",4260,IF(C1915="B04",2880,IF(C1915="B20",1260,0)))))))</f>
        <v>2400</v>
      </c>
      <c r="F1915" s="8">
        <f>IF(IF(D1915&lt;&gt;D1914,1,IF(OR(B1915&lt;&gt;B1914,A1915-A1914&gt;$U$1),1,""))&lt;&gt;1,"",IF(C1915="B01",1,IF(C1915="B05",1,IF(C1915="B03",1,IF(C1915="B04",1,IF(C1915="B20",1,IF(C1915="B02",1,0)))))))</f>
        <v>1</v>
      </c>
      <c r="G1915"/>
      <c r="H1915" s="2"/>
      <c r="I1915" s="2"/>
      <c r="L1915"/>
      <c r="R1915"/>
    </row>
    <row r="1916" spans="1:18">
      <c r="A1916" s="3">
        <v>45764.409745370373</v>
      </c>
      <c r="B1916" s="2" t="s">
        <v>28</v>
      </c>
      <c r="C1916" s="2" t="s">
        <v>11</v>
      </c>
      <c r="D1916" s="6" t="str">
        <f>CONCATENATE(YEAR(A1916),"/",IF(MONTH(A1916)&lt;10,CONCATENATE("0",MONTH(A1916)),MONTH(A1916)))</f>
        <v>2025/04</v>
      </c>
      <c r="E1916" s="8" t="str">
        <f>IF(IF(D1916&lt;&gt;D1915,1,IF(OR(B1916&lt;&gt;B1915,A1916-A1915&gt;$U$1),1,""))&lt;&gt;1,"",IF(C1916="B01",1965,IF(C1916="B02",1020,IF(C1916="B05",2400,IF(C1916="B03",4260,IF(C1916="B04",2880,IF(C1916="B20",1260,0)))))))</f>
        <v/>
      </c>
      <c r="F1916" s="8" t="str">
        <f>IF(IF(D1916&lt;&gt;D1915,1,IF(OR(B1916&lt;&gt;B1915,A1916-A1915&gt;$U$1),1,""))&lt;&gt;1,"",IF(C1916="B01",1,IF(C1916="B05",1,IF(C1916="B03",1,IF(C1916="B04",1,IF(C1916="B20",1,IF(C1916="B02",1,0)))))))</f>
        <v/>
      </c>
      <c r="G1916"/>
      <c r="H1916" s="2"/>
      <c r="I1916" s="2"/>
      <c r="L1916"/>
      <c r="R1916"/>
    </row>
    <row r="1917" spans="1:18">
      <c r="A1917" s="3">
        <v>45764.409745370373</v>
      </c>
      <c r="B1917" s="2" t="s">
        <v>28</v>
      </c>
      <c r="C1917" s="2" t="s">
        <v>11</v>
      </c>
      <c r="D1917" s="6" t="str">
        <f>CONCATENATE(YEAR(A1917),"/",IF(MONTH(A1917)&lt;10,CONCATENATE("0",MONTH(A1917)),MONTH(A1917)))</f>
        <v>2025/04</v>
      </c>
      <c r="E1917" s="8" t="str">
        <f>IF(IF(D1917&lt;&gt;D1916,1,IF(OR(B1917&lt;&gt;B1916,A1917-A1916&gt;$U$1),1,""))&lt;&gt;1,"",IF(C1917="B01",1965,IF(C1917="B02",1020,IF(C1917="B05",2400,IF(C1917="B03",4260,IF(C1917="B04",2880,IF(C1917="B20",1260,0)))))))</f>
        <v/>
      </c>
      <c r="F1917" s="8" t="str">
        <f>IF(IF(D1917&lt;&gt;D1916,1,IF(OR(B1917&lt;&gt;B1916,A1917-A1916&gt;$U$1),1,""))&lt;&gt;1,"",IF(C1917="B01",1,IF(C1917="B05",1,IF(C1917="B03",1,IF(C1917="B04",1,IF(C1917="B20",1,IF(C1917="B02",1,0)))))))</f>
        <v/>
      </c>
      <c r="G1917"/>
      <c r="H1917" s="2"/>
      <c r="I1917" s="2"/>
      <c r="L1917"/>
      <c r="R1917"/>
    </row>
    <row r="1918" spans="1:18">
      <c r="A1918" s="3">
        <v>45764.608437499999</v>
      </c>
      <c r="B1918" s="2" t="s">
        <v>28</v>
      </c>
      <c r="C1918" s="2" t="s">
        <v>11</v>
      </c>
      <c r="D1918" s="6" t="str">
        <f>CONCATENATE(YEAR(A1918),"/",IF(MONTH(A1918)&lt;10,CONCATENATE("0",MONTH(A1918)),MONTH(A1918)))</f>
        <v>2025/04</v>
      </c>
      <c r="E1918" s="8">
        <f>IF(IF(D1918&lt;&gt;D1917,1,IF(OR(B1918&lt;&gt;B1917,A1918-A1917&gt;$U$1),1,""))&lt;&gt;1,"",IF(C1918="B01",1965,IF(C1918="B02",1020,IF(C1918="B05",2400,IF(C1918="B03",4260,IF(C1918="B04",2880,IF(C1918="B20",1260,0)))))))</f>
        <v>2400</v>
      </c>
      <c r="F1918" s="8">
        <f>IF(IF(D1918&lt;&gt;D1917,1,IF(OR(B1918&lt;&gt;B1917,A1918-A1917&gt;$U$1),1,""))&lt;&gt;1,"",IF(C1918="B01",1,IF(C1918="B05",1,IF(C1918="B03",1,IF(C1918="B04",1,IF(C1918="B20",1,IF(C1918="B02",1,0)))))))</f>
        <v>1</v>
      </c>
      <c r="G1918"/>
      <c r="H1918" s="2"/>
      <c r="I1918" s="2"/>
      <c r="L1918"/>
      <c r="R1918"/>
    </row>
    <row r="1919" spans="1:18">
      <c r="A1919" s="3">
        <v>45764.608437499999</v>
      </c>
      <c r="B1919" s="2" t="s">
        <v>28</v>
      </c>
      <c r="C1919" s="2" t="s">
        <v>11</v>
      </c>
      <c r="D1919" s="6" t="str">
        <f>CONCATENATE(YEAR(A1919),"/",IF(MONTH(A1919)&lt;10,CONCATENATE("0",MONTH(A1919)),MONTH(A1919)))</f>
        <v>2025/04</v>
      </c>
      <c r="E1919" s="8" t="str">
        <f>IF(IF(D1919&lt;&gt;D1918,1,IF(OR(B1919&lt;&gt;B1918,A1919-A1918&gt;$U$1),1,""))&lt;&gt;1,"",IF(C1919="B01",1965,IF(C1919="B02",1020,IF(C1919="B05",2400,IF(C1919="B03",4260,IF(C1919="B04",2880,IF(C1919="B20",1260,0)))))))</f>
        <v/>
      </c>
      <c r="F1919" s="8" t="str">
        <f>IF(IF(D1919&lt;&gt;D1918,1,IF(OR(B1919&lt;&gt;B1918,A1919-A1918&gt;$U$1),1,""))&lt;&gt;1,"",IF(C1919="B01",1,IF(C1919="B05",1,IF(C1919="B03",1,IF(C1919="B04",1,IF(C1919="B20",1,IF(C1919="B02",1,0)))))))</f>
        <v/>
      </c>
      <c r="G1919"/>
      <c r="H1919" s="2"/>
      <c r="I1919" s="2"/>
      <c r="L1919"/>
      <c r="R1919"/>
    </row>
    <row r="1920" spans="1:18">
      <c r="A1920" s="3">
        <v>45764.821458333332</v>
      </c>
      <c r="B1920" s="2" t="s">
        <v>28</v>
      </c>
      <c r="C1920" s="2" t="s">
        <v>11</v>
      </c>
      <c r="D1920" s="6" t="str">
        <f>CONCATENATE(YEAR(A1920),"/",IF(MONTH(A1920)&lt;10,CONCATENATE("0",MONTH(A1920)),MONTH(A1920)))</f>
        <v>2025/04</v>
      </c>
      <c r="E1920" s="8">
        <f>IF(IF(D1920&lt;&gt;D1919,1,IF(OR(B1920&lt;&gt;B1919,A1920-A1919&gt;$U$1),1,""))&lt;&gt;1,"",IF(C1920="B01",1965,IF(C1920="B02",1020,IF(C1920="B05",2400,IF(C1920="B03",4260,IF(C1920="B04",2880,IF(C1920="B20",1260,0)))))))</f>
        <v>2400</v>
      </c>
      <c r="F1920" s="8">
        <f>IF(IF(D1920&lt;&gt;D1919,1,IF(OR(B1920&lt;&gt;B1919,A1920-A1919&gt;$U$1),1,""))&lt;&gt;1,"",IF(C1920="B01",1,IF(C1920="B05",1,IF(C1920="B03",1,IF(C1920="B04",1,IF(C1920="B20",1,IF(C1920="B02",1,0)))))))</f>
        <v>1</v>
      </c>
      <c r="G1920"/>
      <c r="H1920" s="2"/>
      <c r="I1920" s="2"/>
      <c r="L1920"/>
      <c r="R1920"/>
    </row>
    <row r="1921" spans="1:18">
      <c r="A1921" s="3">
        <v>45764.821458333332</v>
      </c>
      <c r="B1921" s="2" t="s">
        <v>28</v>
      </c>
      <c r="C1921" s="2" t="s">
        <v>11</v>
      </c>
      <c r="D1921" s="6" t="str">
        <f>CONCATENATE(YEAR(A1921),"/",IF(MONTH(A1921)&lt;10,CONCATENATE("0",MONTH(A1921)),MONTH(A1921)))</f>
        <v>2025/04</v>
      </c>
      <c r="E1921" s="8" t="str">
        <f>IF(IF(D1921&lt;&gt;D1920,1,IF(OR(B1921&lt;&gt;B1920,A1921-A1920&gt;$U$1),1,""))&lt;&gt;1,"",IF(C1921="B01",1965,IF(C1921="B02",1020,IF(C1921="B05",2400,IF(C1921="B03",4260,IF(C1921="B04",2880,IF(C1921="B20",1260,0)))))))</f>
        <v/>
      </c>
      <c r="F1921" s="8" t="str">
        <f>IF(IF(D1921&lt;&gt;D1920,1,IF(OR(B1921&lt;&gt;B1920,A1921-A1920&gt;$U$1),1,""))&lt;&gt;1,"",IF(C1921="B01",1,IF(C1921="B05",1,IF(C1921="B03",1,IF(C1921="B04",1,IF(C1921="B20",1,IF(C1921="B02",1,0)))))))</f>
        <v/>
      </c>
      <c r="G1921"/>
      <c r="H1921" s="2"/>
      <c r="I1921" s="2"/>
      <c r="L1921"/>
      <c r="R1921"/>
    </row>
    <row r="1922" spans="1:18">
      <c r="A1922" s="3">
        <v>45764.821458333332</v>
      </c>
      <c r="B1922" s="2" t="s">
        <v>28</v>
      </c>
      <c r="C1922" s="2" t="s">
        <v>11</v>
      </c>
      <c r="D1922" s="6" t="str">
        <f>CONCATENATE(YEAR(A1922),"/",IF(MONTH(A1922)&lt;10,CONCATENATE("0",MONTH(A1922)),MONTH(A1922)))</f>
        <v>2025/04</v>
      </c>
      <c r="E1922" s="8" t="str">
        <f>IF(IF(D1922&lt;&gt;D1921,1,IF(OR(B1922&lt;&gt;B1921,A1922-A1921&gt;$U$1),1,""))&lt;&gt;1,"",IF(C1922="B01",1965,IF(C1922="B02",1020,IF(C1922="B05",2400,IF(C1922="B03",4260,IF(C1922="B04",2880,IF(C1922="B20",1260,0)))))))</f>
        <v/>
      </c>
      <c r="F1922" s="8" t="str">
        <f>IF(IF(D1922&lt;&gt;D1921,1,IF(OR(B1922&lt;&gt;B1921,A1922-A1921&gt;$U$1),1,""))&lt;&gt;1,"",IF(C1922="B01",1,IF(C1922="B05",1,IF(C1922="B03",1,IF(C1922="B04",1,IF(C1922="B20",1,IF(C1922="B02",1,0)))))))</f>
        <v/>
      </c>
      <c r="G1922"/>
      <c r="H1922" s="2"/>
      <c r="I1922" s="2"/>
      <c r="L1922"/>
      <c r="R1922"/>
    </row>
    <row r="1923" spans="1:18">
      <c r="A1923" s="3">
        <v>45764.821458333332</v>
      </c>
      <c r="B1923" s="2" t="s">
        <v>28</v>
      </c>
      <c r="C1923" s="2" t="s">
        <v>11</v>
      </c>
      <c r="D1923" s="6" t="str">
        <f>CONCATENATE(YEAR(A1923),"/",IF(MONTH(A1923)&lt;10,CONCATENATE("0",MONTH(A1923)),MONTH(A1923)))</f>
        <v>2025/04</v>
      </c>
      <c r="E1923" s="8" t="str">
        <f>IF(IF(D1923&lt;&gt;D1922,1,IF(OR(B1923&lt;&gt;B1922,A1923-A1922&gt;$U$1),1,""))&lt;&gt;1,"",IF(C1923="B01",1965,IF(C1923="B02",1020,IF(C1923="B05",2400,IF(C1923="B03",4260,IF(C1923="B04",2880,IF(C1923="B20",1260,0)))))))</f>
        <v/>
      </c>
      <c r="F1923" s="8" t="str">
        <f>IF(IF(D1923&lt;&gt;D1922,1,IF(OR(B1923&lt;&gt;B1922,A1923-A1922&gt;$U$1),1,""))&lt;&gt;1,"",IF(C1923="B01",1,IF(C1923="B05",1,IF(C1923="B03",1,IF(C1923="B04",1,IF(C1923="B20",1,IF(C1923="B02",1,0)))))))</f>
        <v/>
      </c>
      <c r="G1923"/>
      <c r="H1923" s="2"/>
      <c r="I1923" s="2"/>
      <c r="L1923"/>
      <c r="R1923"/>
    </row>
    <row r="1924" spans="1:18">
      <c r="A1924" s="3">
        <v>45764.959976851853</v>
      </c>
      <c r="B1924" s="2" t="s">
        <v>28</v>
      </c>
      <c r="C1924" s="2" t="s">
        <v>11</v>
      </c>
      <c r="D1924" s="6" t="str">
        <f>CONCATENATE(YEAR(A1924),"/",IF(MONTH(A1924)&lt;10,CONCATENATE("0",MONTH(A1924)),MONTH(A1924)))</f>
        <v>2025/04</v>
      </c>
      <c r="E1924" s="8">
        <f>IF(IF(D1924&lt;&gt;D1923,1,IF(OR(B1924&lt;&gt;B1923,A1924-A1923&gt;$U$1),1,""))&lt;&gt;1,"",IF(C1924="B01",1965,IF(C1924="B02",1020,IF(C1924="B05",2400,IF(C1924="B03",4260,IF(C1924="B04",2880,IF(C1924="B20",1260,0)))))))</f>
        <v>2400</v>
      </c>
      <c r="F1924" s="8">
        <f>IF(IF(D1924&lt;&gt;D1923,1,IF(OR(B1924&lt;&gt;B1923,A1924-A1923&gt;$U$1),1,""))&lt;&gt;1,"",IF(C1924="B01",1,IF(C1924="B05",1,IF(C1924="B03",1,IF(C1924="B04",1,IF(C1924="B20",1,IF(C1924="B02",1,0)))))))</f>
        <v>1</v>
      </c>
      <c r="G1924"/>
      <c r="H1924" s="2"/>
      <c r="I1924" s="2"/>
      <c r="L1924"/>
      <c r="R1924"/>
    </row>
    <row r="1925" spans="1:18">
      <c r="A1925" s="3">
        <v>45764.959976851853</v>
      </c>
      <c r="B1925" s="2" t="s">
        <v>28</v>
      </c>
      <c r="C1925" s="2" t="s">
        <v>11</v>
      </c>
      <c r="D1925" s="6" t="str">
        <f>CONCATENATE(YEAR(A1925),"/",IF(MONTH(A1925)&lt;10,CONCATENATE("0",MONTH(A1925)),MONTH(A1925)))</f>
        <v>2025/04</v>
      </c>
      <c r="E1925" s="8" t="str">
        <f>IF(IF(D1925&lt;&gt;D1924,1,IF(OR(B1925&lt;&gt;B1924,A1925-A1924&gt;$U$1),1,""))&lt;&gt;1,"",IF(C1925="B01",1965,IF(C1925="B02",1020,IF(C1925="B05",2400,IF(C1925="B03",4260,IF(C1925="B04",2880,IF(C1925="B20",1260,0)))))))</f>
        <v/>
      </c>
      <c r="F1925" s="8" t="str">
        <f>IF(IF(D1925&lt;&gt;D1924,1,IF(OR(B1925&lt;&gt;B1924,A1925-A1924&gt;$U$1),1,""))&lt;&gt;1,"",IF(C1925="B01",1,IF(C1925="B05",1,IF(C1925="B03",1,IF(C1925="B04",1,IF(C1925="B20",1,IF(C1925="B02",1,0)))))))</f>
        <v/>
      </c>
      <c r="G1925"/>
      <c r="H1925" s="2"/>
      <c r="I1925" s="2"/>
      <c r="L1925"/>
      <c r="R1925"/>
    </row>
    <row r="1926" spans="1:18">
      <c r="A1926" s="3">
        <v>45764.959976851853</v>
      </c>
      <c r="B1926" s="2" t="s">
        <v>28</v>
      </c>
      <c r="C1926" s="2" t="s">
        <v>11</v>
      </c>
      <c r="D1926" s="6" t="str">
        <f>CONCATENATE(YEAR(A1926),"/",IF(MONTH(A1926)&lt;10,CONCATENATE("0",MONTH(A1926)),MONTH(A1926)))</f>
        <v>2025/04</v>
      </c>
      <c r="E1926" s="8" t="str">
        <f>IF(IF(D1926&lt;&gt;D1925,1,IF(OR(B1926&lt;&gt;B1925,A1926-A1925&gt;$U$1),1,""))&lt;&gt;1,"",IF(C1926="B01",1965,IF(C1926="B02",1020,IF(C1926="B05",2400,IF(C1926="B03",4260,IF(C1926="B04",2880,IF(C1926="B20",1260,0)))))))</f>
        <v/>
      </c>
      <c r="F1926" s="8" t="str">
        <f>IF(IF(D1926&lt;&gt;D1925,1,IF(OR(B1926&lt;&gt;B1925,A1926-A1925&gt;$U$1),1,""))&lt;&gt;1,"",IF(C1926="B01",1,IF(C1926="B05",1,IF(C1926="B03",1,IF(C1926="B04",1,IF(C1926="B20",1,IF(C1926="B02",1,0)))))))</f>
        <v/>
      </c>
      <c r="G1926"/>
      <c r="H1926" s="2"/>
      <c r="I1926" s="2"/>
      <c r="L1926"/>
      <c r="R1926"/>
    </row>
    <row r="1927" spans="1:18">
      <c r="A1927" s="3">
        <v>45765.085115740738</v>
      </c>
      <c r="B1927" s="2" t="s">
        <v>28</v>
      </c>
      <c r="C1927" s="2" t="s">
        <v>11</v>
      </c>
      <c r="D1927" s="6" t="str">
        <f>CONCATENATE(YEAR(A1927),"/",IF(MONTH(A1927)&lt;10,CONCATENATE("0",MONTH(A1927)),MONTH(A1927)))</f>
        <v>2025/04</v>
      </c>
      <c r="E1927" s="8">
        <f>IF(IF(D1927&lt;&gt;D1926,1,IF(OR(B1927&lt;&gt;B1926,A1927-A1926&gt;$U$1),1,""))&lt;&gt;1,"",IF(C1927="B01",1965,IF(C1927="B02",1020,IF(C1927="B05",2400,IF(C1927="B03",4260,IF(C1927="B04",2880,IF(C1927="B20",1260,0)))))))</f>
        <v>2400</v>
      </c>
      <c r="F1927" s="8">
        <f>IF(IF(D1927&lt;&gt;D1926,1,IF(OR(B1927&lt;&gt;B1926,A1927-A1926&gt;$U$1),1,""))&lt;&gt;1,"",IF(C1927="B01",1,IF(C1927="B05",1,IF(C1927="B03",1,IF(C1927="B04",1,IF(C1927="B20",1,IF(C1927="B02",1,0)))))))</f>
        <v>1</v>
      </c>
      <c r="G1927"/>
      <c r="H1927" s="2"/>
      <c r="I1927" s="2"/>
      <c r="L1927"/>
      <c r="R1927"/>
    </row>
    <row r="1928" spans="1:18">
      <c r="A1928" s="3">
        <v>45765.085115740738</v>
      </c>
      <c r="B1928" s="2" t="s">
        <v>28</v>
      </c>
      <c r="C1928" s="2" t="s">
        <v>11</v>
      </c>
      <c r="D1928" s="6" t="str">
        <f>CONCATENATE(YEAR(A1928),"/",IF(MONTH(A1928)&lt;10,CONCATENATE("0",MONTH(A1928)),MONTH(A1928)))</f>
        <v>2025/04</v>
      </c>
      <c r="E1928" s="8" t="str">
        <f>IF(IF(D1928&lt;&gt;D1927,1,IF(OR(B1928&lt;&gt;B1927,A1928-A1927&gt;$U$1),1,""))&lt;&gt;1,"",IF(C1928="B01",1965,IF(C1928="B02",1020,IF(C1928="B05",2400,IF(C1928="B03",4260,IF(C1928="B04",2880,IF(C1928="B20",1260,0)))))))</f>
        <v/>
      </c>
      <c r="F1928" s="8" t="str">
        <f>IF(IF(D1928&lt;&gt;D1927,1,IF(OR(B1928&lt;&gt;B1927,A1928-A1927&gt;$U$1),1,""))&lt;&gt;1,"",IF(C1928="B01",1,IF(C1928="B05",1,IF(C1928="B03",1,IF(C1928="B04",1,IF(C1928="B20",1,IF(C1928="B02",1,0)))))))</f>
        <v/>
      </c>
      <c r="G1928"/>
      <c r="H1928" s="2"/>
      <c r="I1928" s="2"/>
      <c r="L1928"/>
      <c r="R1928"/>
    </row>
    <row r="1929" spans="1:18">
      <c r="A1929" s="3">
        <v>45765.227847222224</v>
      </c>
      <c r="B1929" s="2" t="s">
        <v>28</v>
      </c>
      <c r="C1929" s="2" t="s">
        <v>11</v>
      </c>
      <c r="D1929" s="6" t="str">
        <f>CONCATENATE(YEAR(A1929),"/",IF(MONTH(A1929)&lt;10,CONCATENATE("0",MONTH(A1929)),MONTH(A1929)))</f>
        <v>2025/04</v>
      </c>
      <c r="E1929" s="8">
        <f>IF(IF(D1929&lt;&gt;D1928,1,IF(OR(B1929&lt;&gt;B1928,A1929-A1928&gt;$U$1),1,""))&lt;&gt;1,"",IF(C1929="B01",1965,IF(C1929="B02",1020,IF(C1929="B05",2400,IF(C1929="B03",4260,IF(C1929="B04",2880,IF(C1929="B20",1260,0)))))))</f>
        <v>2400</v>
      </c>
      <c r="F1929" s="8">
        <f>IF(IF(D1929&lt;&gt;D1928,1,IF(OR(B1929&lt;&gt;B1928,A1929-A1928&gt;$U$1),1,""))&lt;&gt;1,"",IF(C1929="B01",1,IF(C1929="B05",1,IF(C1929="B03",1,IF(C1929="B04",1,IF(C1929="B20",1,IF(C1929="B02",1,0)))))))</f>
        <v>1</v>
      </c>
      <c r="G1929"/>
      <c r="H1929" s="2"/>
      <c r="I1929" s="2"/>
      <c r="L1929"/>
      <c r="R1929"/>
    </row>
    <row r="1930" spans="1:18">
      <c r="A1930" s="3">
        <v>45765.227847222224</v>
      </c>
      <c r="B1930" s="2" t="s">
        <v>28</v>
      </c>
      <c r="C1930" s="2" t="s">
        <v>11</v>
      </c>
      <c r="D1930" s="6" t="str">
        <f>CONCATENATE(YEAR(A1930),"/",IF(MONTH(A1930)&lt;10,CONCATENATE("0",MONTH(A1930)),MONTH(A1930)))</f>
        <v>2025/04</v>
      </c>
      <c r="E1930" s="8" t="str">
        <f>IF(IF(D1930&lt;&gt;D1929,1,IF(OR(B1930&lt;&gt;B1929,A1930-A1929&gt;$U$1),1,""))&lt;&gt;1,"",IF(C1930="B01",1965,IF(C1930="B02",1020,IF(C1930="B05",2400,IF(C1930="B03",4260,IF(C1930="B04",2880,IF(C1930="B20",1260,0)))))))</f>
        <v/>
      </c>
      <c r="F1930" s="8" t="str">
        <f>IF(IF(D1930&lt;&gt;D1929,1,IF(OR(B1930&lt;&gt;B1929,A1930-A1929&gt;$U$1),1,""))&lt;&gt;1,"",IF(C1930="B01",1,IF(C1930="B05",1,IF(C1930="B03",1,IF(C1930="B04",1,IF(C1930="B20",1,IF(C1930="B02",1,0)))))))</f>
        <v/>
      </c>
      <c r="G1930"/>
      <c r="H1930" s="2"/>
      <c r="I1930" s="2"/>
      <c r="L1930"/>
      <c r="R1930"/>
    </row>
    <row r="1931" spans="1:18">
      <c r="A1931" s="3">
        <v>45765.579548611109</v>
      </c>
      <c r="B1931" s="2" t="s">
        <v>28</v>
      </c>
      <c r="C1931" s="2" t="s">
        <v>11</v>
      </c>
      <c r="D1931" s="6" t="str">
        <f>CONCATENATE(YEAR(A1931),"/",IF(MONTH(A1931)&lt;10,CONCATENATE("0",MONTH(A1931)),MONTH(A1931)))</f>
        <v>2025/04</v>
      </c>
      <c r="E1931" s="8">
        <f>IF(IF(D1931&lt;&gt;D1930,1,IF(OR(B1931&lt;&gt;B1930,A1931-A1930&gt;$U$1),1,""))&lt;&gt;1,"",IF(C1931="B01",1965,IF(C1931="B02",1020,IF(C1931="B05",2400,IF(C1931="B03",4260,IF(C1931="B04",2880,IF(C1931="B20",1260,0)))))))</f>
        <v>2400</v>
      </c>
      <c r="F1931" s="8">
        <f>IF(IF(D1931&lt;&gt;D1930,1,IF(OR(B1931&lt;&gt;B1930,A1931-A1930&gt;$U$1),1,""))&lt;&gt;1,"",IF(C1931="B01",1,IF(C1931="B05",1,IF(C1931="B03",1,IF(C1931="B04",1,IF(C1931="B20",1,IF(C1931="B02",1,0)))))))</f>
        <v>1</v>
      </c>
      <c r="G1931"/>
      <c r="H1931" s="2"/>
      <c r="I1931" s="2"/>
      <c r="L1931"/>
      <c r="R1931"/>
    </row>
    <row r="1932" spans="1:18">
      <c r="A1932" s="3">
        <v>45765.579548611109</v>
      </c>
      <c r="B1932" s="2" t="s">
        <v>28</v>
      </c>
      <c r="C1932" s="2" t="s">
        <v>11</v>
      </c>
      <c r="D1932" s="6" t="str">
        <f>CONCATENATE(YEAR(A1932),"/",IF(MONTH(A1932)&lt;10,CONCATENATE("0",MONTH(A1932)),MONTH(A1932)))</f>
        <v>2025/04</v>
      </c>
      <c r="E1932" s="8" t="str">
        <f>IF(IF(D1932&lt;&gt;D1931,1,IF(OR(B1932&lt;&gt;B1931,A1932-A1931&gt;$U$1),1,""))&lt;&gt;1,"",IF(C1932="B01",1965,IF(C1932="B02",1020,IF(C1932="B05",2400,IF(C1932="B03",4260,IF(C1932="B04",2880,IF(C1932="B20",1260,0)))))))</f>
        <v/>
      </c>
      <c r="F1932" s="8" t="str">
        <f>IF(IF(D1932&lt;&gt;D1931,1,IF(OR(B1932&lt;&gt;B1931,A1932-A1931&gt;$U$1),1,""))&lt;&gt;1,"",IF(C1932="B01",1,IF(C1932="B05",1,IF(C1932="B03",1,IF(C1932="B04",1,IF(C1932="B20",1,IF(C1932="B02",1,0)))))))</f>
        <v/>
      </c>
      <c r="G1932"/>
      <c r="H1932" s="2"/>
      <c r="I1932" s="2"/>
      <c r="L1932"/>
      <c r="R1932"/>
    </row>
    <row r="1933" spans="1:18">
      <c r="A1933" s="3">
        <v>45765.579548611109</v>
      </c>
      <c r="B1933" s="2" t="s">
        <v>28</v>
      </c>
      <c r="C1933" s="2" t="s">
        <v>11</v>
      </c>
      <c r="D1933" s="6" t="str">
        <f>CONCATENATE(YEAR(A1933),"/",IF(MONTH(A1933)&lt;10,CONCATENATE("0",MONTH(A1933)),MONTH(A1933)))</f>
        <v>2025/04</v>
      </c>
      <c r="E1933" s="8" t="str">
        <f>IF(IF(D1933&lt;&gt;D1932,1,IF(OR(B1933&lt;&gt;B1932,A1933-A1932&gt;$U$1),1,""))&lt;&gt;1,"",IF(C1933="B01",1965,IF(C1933="B02",1020,IF(C1933="B05",2400,IF(C1933="B03",4260,IF(C1933="B04",2880,IF(C1933="B20",1260,0)))))))</f>
        <v/>
      </c>
      <c r="F1933" s="8" t="str">
        <f>IF(IF(D1933&lt;&gt;D1932,1,IF(OR(B1933&lt;&gt;B1932,A1933-A1932&gt;$U$1),1,""))&lt;&gt;1,"",IF(C1933="B01",1,IF(C1933="B05",1,IF(C1933="B03",1,IF(C1933="B04",1,IF(C1933="B20",1,IF(C1933="B02",1,0)))))))</f>
        <v/>
      </c>
      <c r="G1933"/>
      <c r="H1933" s="2"/>
      <c r="I1933" s="2"/>
      <c r="L1933"/>
      <c r="R1933"/>
    </row>
    <row r="1934" spans="1:18">
      <c r="A1934" s="3">
        <v>45765.809618055559</v>
      </c>
      <c r="B1934" s="2" t="s">
        <v>28</v>
      </c>
      <c r="C1934" s="2" t="s">
        <v>11</v>
      </c>
      <c r="D1934" s="6" t="str">
        <f>CONCATENATE(YEAR(A1934),"/",IF(MONTH(A1934)&lt;10,CONCATENATE("0",MONTH(A1934)),MONTH(A1934)))</f>
        <v>2025/04</v>
      </c>
      <c r="E1934" s="8">
        <f>IF(IF(D1934&lt;&gt;D1933,1,IF(OR(B1934&lt;&gt;B1933,A1934-A1933&gt;$U$1),1,""))&lt;&gt;1,"",IF(C1934="B01",1965,IF(C1934="B02",1020,IF(C1934="B05",2400,IF(C1934="B03",4260,IF(C1934="B04",2880,IF(C1934="B20",1260,0)))))))</f>
        <v>2400</v>
      </c>
      <c r="F1934" s="8">
        <f>IF(IF(D1934&lt;&gt;D1933,1,IF(OR(B1934&lt;&gt;B1933,A1934-A1933&gt;$U$1),1,""))&lt;&gt;1,"",IF(C1934="B01",1,IF(C1934="B05",1,IF(C1934="B03",1,IF(C1934="B04",1,IF(C1934="B20",1,IF(C1934="B02",1,0)))))))</f>
        <v>1</v>
      </c>
      <c r="G1934"/>
      <c r="H1934" s="2"/>
      <c r="I1934" s="2"/>
      <c r="L1934"/>
      <c r="R1934"/>
    </row>
    <row r="1935" spans="1:18">
      <c r="A1935" s="3">
        <v>45765.809618055559</v>
      </c>
      <c r="B1935" s="2" t="s">
        <v>28</v>
      </c>
      <c r="C1935" s="2" t="s">
        <v>11</v>
      </c>
      <c r="D1935" s="6" t="str">
        <f>CONCATENATE(YEAR(A1935),"/",IF(MONTH(A1935)&lt;10,CONCATENATE("0",MONTH(A1935)),MONTH(A1935)))</f>
        <v>2025/04</v>
      </c>
      <c r="E1935" s="8" t="str">
        <f>IF(IF(D1935&lt;&gt;D1934,1,IF(OR(B1935&lt;&gt;B1934,A1935-A1934&gt;$U$1),1,""))&lt;&gt;1,"",IF(C1935="B01",1965,IF(C1935="B02",1020,IF(C1935="B05",2400,IF(C1935="B03",4260,IF(C1935="B04",2880,IF(C1935="B20",1260,0)))))))</f>
        <v/>
      </c>
      <c r="F1935" s="8" t="str">
        <f>IF(IF(D1935&lt;&gt;D1934,1,IF(OR(B1935&lt;&gt;B1934,A1935-A1934&gt;$U$1),1,""))&lt;&gt;1,"",IF(C1935="B01",1,IF(C1935="B05",1,IF(C1935="B03",1,IF(C1935="B04",1,IF(C1935="B20",1,IF(C1935="B02",1,0)))))))</f>
        <v/>
      </c>
      <c r="G1935"/>
      <c r="H1935" s="2"/>
      <c r="I1935" s="2"/>
      <c r="L1935"/>
      <c r="R1935"/>
    </row>
    <row r="1936" spans="1:18">
      <c r="A1936" s="3">
        <v>45765.809618055559</v>
      </c>
      <c r="B1936" s="2" t="s">
        <v>28</v>
      </c>
      <c r="C1936" s="2" t="s">
        <v>11</v>
      </c>
      <c r="D1936" s="6" t="str">
        <f>CONCATENATE(YEAR(A1936),"/",IF(MONTH(A1936)&lt;10,CONCATENATE("0",MONTH(A1936)),MONTH(A1936)))</f>
        <v>2025/04</v>
      </c>
      <c r="E1936" s="8" t="str">
        <f>IF(IF(D1936&lt;&gt;D1935,1,IF(OR(B1936&lt;&gt;B1935,A1936-A1935&gt;$U$1),1,""))&lt;&gt;1,"",IF(C1936="B01",1965,IF(C1936="B02",1020,IF(C1936="B05",2400,IF(C1936="B03",4260,IF(C1936="B04",2880,IF(C1936="B20",1260,0)))))))</f>
        <v/>
      </c>
      <c r="F1936" s="8" t="str">
        <f>IF(IF(D1936&lt;&gt;D1935,1,IF(OR(B1936&lt;&gt;B1935,A1936-A1935&gt;$U$1),1,""))&lt;&gt;1,"",IF(C1936="B01",1,IF(C1936="B05",1,IF(C1936="B03",1,IF(C1936="B04",1,IF(C1936="B20",1,IF(C1936="B02",1,0)))))))</f>
        <v/>
      </c>
      <c r="G1936"/>
      <c r="H1936" s="2"/>
      <c r="I1936" s="2"/>
      <c r="L1936"/>
      <c r="R1936"/>
    </row>
    <row r="1937" spans="1:18">
      <c r="A1937" s="3">
        <v>45765.966747685183</v>
      </c>
      <c r="B1937" s="2" t="s">
        <v>28</v>
      </c>
      <c r="C1937" s="2" t="s">
        <v>11</v>
      </c>
      <c r="D1937" s="6" t="str">
        <f>CONCATENATE(YEAR(A1937),"/",IF(MONTH(A1937)&lt;10,CONCATENATE("0",MONTH(A1937)),MONTH(A1937)))</f>
        <v>2025/04</v>
      </c>
      <c r="E1937" s="8">
        <f>IF(IF(D1937&lt;&gt;D1936,1,IF(OR(B1937&lt;&gt;B1936,A1937-A1936&gt;$U$1),1,""))&lt;&gt;1,"",IF(C1937="B01",1965,IF(C1937="B02",1020,IF(C1937="B05",2400,IF(C1937="B03",4260,IF(C1937="B04",2880,IF(C1937="B20",1260,0)))))))</f>
        <v>2400</v>
      </c>
      <c r="F1937" s="8">
        <f>IF(IF(D1937&lt;&gt;D1936,1,IF(OR(B1937&lt;&gt;B1936,A1937-A1936&gt;$U$1),1,""))&lt;&gt;1,"",IF(C1937="B01",1,IF(C1937="B05",1,IF(C1937="B03",1,IF(C1937="B04",1,IF(C1937="B20",1,IF(C1937="B02",1,0)))))))</f>
        <v>1</v>
      </c>
      <c r="G1937"/>
      <c r="H1937" s="2"/>
      <c r="I1937" s="2"/>
      <c r="L1937"/>
      <c r="R1937"/>
    </row>
    <row r="1938" spans="1:18">
      <c r="A1938" s="3">
        <v>45765.966747685183</v>
      </c>
      <c r="B1938" s="2" t="s">
        <v>28</v>
      </c>
      <c r="C1938" s="2" t="s">
        <v>11</v>
      </c>
      <c r="D1938" s="6" t="str">
        <f>CONCATENATE(YEAR(A1938),"/",IF(MONTH(A1938)&lt;10,CONCATENATE("0",MONTH(A1938)),MONTH(A1938)))</f>
        <v>2025/04</v>
      </c>
      <c r="E1938" s="8" t="str">
        <f>IF(IF(D1938&lt;&gt;D1937,1,IF(OR(B1938&lt;&gt;B1937,A1938-A1937&gt;$U$1),1,""))&lt;&gt;1,"",IF(C1938="B01",1965,IF(C1938="B02",1020,IF(C1938="B05",2400,IF(C1938="B03",4260,IF(C1938="B04",2880,IF(C1938="B20",1260,0)))))))</f>
        <v/>
      </c>
      <c r="F1938" s="8" t="str">
        <f>IF(IF(D1938&lt;&gt;D1937,1,IF(OR(B1938&lt;&gt;B1937,A1938-A1937&gt;$U$1),1,""))&lt;&gt;1,"",IF(C1938="B01",1,IF(C1938="B05",1,IF(C1938="B03",1,IF(C1938="B04",1,IF(C1938="B20",1,IF(C1938="B02",1,0)))))))</f>
        <v/>
      </c>
      <c r="G1938"/>
      <c r="H1938" s="2"/>
      <c r="I1938" s="2"/>
      <c r="L1938"/>
      <c r="R1938"/>
    </row>
    <row r="1939" spans="1:18">
      <c r="A1939" s="3">
        <v>45765.966747685183</v>
      </c>
      <c r="B1939" s="2" t="s">
        <v>28</v>
      </c>
      <c r="C1939" s="2" t="s">
        <v>11</v>
      </c>
      <c r="D1939" s="6" t="str">
        <f>CONCATENATE(YEAR(A1939),"/",IF(MONTH(A1939)&lt;10,CONCATENATE("0",MONTH(A1939)),MONTH(A1939)))</f>
        <v>2025/04</v>
      </c>
      <c r="E1939" s="8" t="str">
        <f>IF(IF(D1939&lt;&gt;D1938,1,IF(OR(B1939&lt;&gt;B1938,A1939-A1938&gt;$U$1),1,""))&lt;&gt;1,"",IF(C1939="B01",1965,IF(C1939="B02",1020,IF(C1939="B05",2400,IF(C1939="B03",4260,IF(C1939="B04",2880,IF(C1939="B20",1260,0)))))))</f>
        <v/>
      </c>
      <c r="F1939" s="8" t="str">
        <f>IF(IF(D1939&lt;&gt;D1938,1,IF(OR(B1939&lt;&gt;B1938,A1939-A1938&gt;$U$1),1,""))&lt;&gt;1,"",IF(C1939="B01",1,IF(C1939="B05",1,IF(C1939="B03",1,IF(C1939="B04",1,IF(C1939="B20",1,IF(C1939="B02",1,0)))))))</f>
        <v/>
      </c>
      <c r="G1939"/>
      <c r="H1939" s="2"/>
      <c r="I1939" s="2"/>
      <c r="L1939"/>
      <c r="R1939"/>
    </row>
    <row r="1940" spans="1:18">
      <c r="A1940" s="3">
        <v>45766.373437499999</v>
      </c>
      <c r="B1940" s="2" t="s">
        <v>28</v>
      </c>
      <c r="C1940" s="2" t="s">
        <v>11</v>
      </c>
      <c r="D1940" s="6" t="str">
        <f>CONCATENATE(YEAR(A1940),"/",IF(MONTH(A1940)&lt;10,CONCATENATE("0",MONTH(A1940)),MONTH(A1940)))</f>
        <v>2025/04</v>
      </c>
      <c r="E1940" s="8">
        <f>IF(IF(D1940&lt;&gt;D1939,1,IF(OR(B1940&lt;&gt;B1939,A1940-A1939&gt;$U$1),1,""))&lt;&gt;1,"",IF(C1940="B01",1965,IF(C1940="B02",1020,IF(C1940="B05",2400,IF(C1940="B03",4260,IF(C1940="B04",2880,IF(C1940="B20",1260,0)))))))</f>
        <v>2400</v>
      </c>
      <c r="F1940" s="8">
        <f>IF(IF(D1940&lt;&gt;D1939,1,IF(OR(B1940&lt;&gt;B1939,A1940-A1939&gt;$U$1),1,""))&lt;&gt;1,"",IF(C1940="B01",1,IF(C1940="B05",1,IF(C1940="B03",1,IF(C1940="B04",1,IF(C1940="B20",1,IF(C1940="B02",1,0)))))))</f>
        <v>1</v>
      </c>
      <c r="G1940"/>
      <c r="H1940" s="2"/>
      <c r="I1940" s="2"/>
      <c r="L1940"/>
      <c r="R1940"/>
    </row>
    <row r="1941" spans="1:18">
      <c r="A1941" s="3">
        <v>45766.373437499999</v>
      </c>
      <c r="B1941" s="2" t="s">
        <v>28</v>
      </c>
      <c r="C1941" s="2" t="s">
        <v>11</v>
      </c>
      <c r="D1941" s="6" t="str">
        <f>CONCATENATE(YEAR(A1941),"/",IF(MONTH(A1941)&lt;10,CONCATENATE("0",MONTH(A1941)),MONTH(A1941)))</f>
        <v>2025/04</v>
      </c>
      <c r="E1941" s="8" t="str">
        <f>IF(IF(D1941&lt;&gt;D1940,1,IF(OR(B1941&lt;&gt;B1940,A1941-A1940&gt;$U$1),1,""))&lt;&gt;1,"",IF(C1941="B01",1965,IF(C1941="B02",1020,IF(C1941="B05",2400,IF(C1941="B03",4260,IF(C1941="B04",2880,IF(C1941="B20",1260,0)))))))</f>
        <v/>
      </c>
      <c r="F1941" s="8" t="str">
        <f>IF(IF(D1941&lt;&gt;D1940,1,IF(OR(B1941&lt;&gt;B1940,A1941-A1940&gt;$U$1),1,""))&lt;&gt;1,"",IF(C1941="B01",1,IF(C1941="B05",1,IF(C1941="B03",1,IF(C1941="B04",1,IF(C1941="B20",1,IF(C1941="B02",1,0)))))))</f>
        <v/>
      </c>
      <c r="G1941"/>
      <c r="H1941" s="2"/>
      <c r="I1941" s="2"/>
      <c r="L1941"/>
      <c r="R1941"/>
    </row>
    <row r="1942" spans="1:18">
      <c r="A1942" s="3">
        <v>45766.373437499999</v>
      </c>
      <c r="B1942" s="2" t="s">
        <v>28</v>
      </c>
      <c r="C1942" s="2" t="s">
        <v>11</v>
      </c>
      <c r="D1942" s="6" t="str">
        <f>CONCATENATE(YEAR(A1942),"/",IF(MONTH(A1942)&lt;10,CONCATENATE("0",MONTH(A1942)),MONTH(A1942)))</f>
        <v>2025/04</v>
      </c>
      <c r="E1942" s="8" t="str">
        <f>IF(IF(D1942&lt;&gt;D1941,1,IF(OR(B1942&lt;&gt;B1941,A1942-A1941&gt;$U$1),1,""))&lt;&gt;1,"",IF(C1942="B01",1965,IF(C1942="B02",1020,IF(C1942="B05",2400,IF(C1942="B03",4260,IF(C1942="B04",2880,IF(C1942="B20",1260,0)))))))</f>
        <v/>
      </c>
      <c r="F1942" s="8" t="str">
        <f>IF(IF(D1942&lt;&gt;D1941,1,IF(OR(B1942&lt;&gt;B1941,A1942-A1941&gt;$U$1),1,""))&lt;&gt;1,"",IF(C1942="B01",1,IF(C1942="B05",1,IF(C1942="B03",1,IF(C1942="B04",1,IF(C1942="B20",1,IF(C1942="B02",1,0)))))))</f>
        <v/>
      </c>
      <c r="G1942"/>
      <c r="H1942" s="2"/>
      <c r="I1942" s="2"/>
      <c r="L1942"/>
      <c r="R1942"/>
    </row>
    <row r="1943" spans="1:18">
      <c r="A1943" s="3">
        <v>45766.373437499999</v>
      </c>
      <c r="B1943" s="2" t="s">
        <v>28</v>
      </c>
      <c r="C1943" s="2" t="s">
        <v>11</v>
      </c>
      <c r="D1943" s="6" t="str">
        <f>CONCATENATE(YEAR(A1943),"/",IF(MONTH(A1943)&lt;10,CONCATENATE("0",MONTH(A1943)),MONTH(A1943)))</f>
        <v>2025/04</v>
      </c>
      <c r="E1943" s="8" t="str">
        <f>IF(IF(D1943&lt;&gt;D1942,1,IF(OR(B1943&lt;&gt;B1942,A1943-A1942&gt;$U$1),1,""))&lt;&gt;1,"",IF(C1943="B01",1965,IF(C1943="B02",1020,IF(C1943="B05",2400,IF(C1943="B03",4260,IF(C1943="B04",2880,IF(C1943="B20",1260,0)))))))</f>
        <v/>
      </c>
      <c r="F1943" s="8" t="str">
        <f>IF(IF(D1943&lt;&gt;D1942,1,IF(OR(B1943&lt;&gt;B1942,A1943-A1942&gt;$U$1),1,""))&lt;&gt;1,"",IF(C1943="B01",1,IF(C1943="B05",1,IF(C1943="B03",1,IF(C1943="B04",1,IF(C1943="B20",1,IF(C1943="B02",1,0)))))))</f>
        <v/>
      </c>
      <c r="G1943"/>
      <c r="H1943" s="2"/>
      <c r="I1943" s="2"/>
      <c r="L1943"/>
      <c r="R1943"/>
    </row>
    <row r="1944" spans="1:18">
      <c r="A1944" s="3">
        <v>45766.566921296297</v>
      </c>
      <c r="B1944" s="2" t="s">
        <v>28</v>
      </c>
      <c r="C1944" s="2" t="s">
        <v>11</v>
      </c>
      <c r="D1944" s="6" t="str">
        <f>CONCATENATE(YEAR(A1944),"/",IF(MONTH(A1944)&lt;10,CONCATENATE("0",MONTH(A1944)),MONTH(A1944)))</f>
        <v>2025/04</v>
      </c>
      <c r="E1944" s="8">
        <f>IF(IF(D1944&lt;&gt;D1943,1,IF(OR(B1944&lt;&gt;B1943,A1944-A1943&gt;$U$1),1,""))&lt;&gt;1,"",IF(C1944="B01",1965,IF(C1944="B02",1020,IF(C1944="B05",2400,IF(C1944="B03",4260,IF(C1944="B04",2880,IF(C1944="B20",1260,0)))))))</f>
        <v>2400</v>
      </c>
      <c r="F1944" s="8">
        <f>IF(IF(D1944&lt;&gt;D1943,1,IF(OR(B1944&lt;&gt;B1943,A1944-A1943&gt;$U$1),1,""))&lt;&gt;1,"",IF(C1944="B01",1,IF(C1944="B05",1,IF(C1944="B03",1,IF(C1944="B04",1,IF(C1944="B20",1,IF(C1944="B02",1,0)))))))</f>
        <v>1</v>
      </c>
      <c r="G1944"/>
      <c r="H1944" s="2"/>
      <c r="I1944" s="2"/>
      <c r="L1944"/>
      <c r="R1944"/>
    </row>
    <row r="1945" spans="1:18">
      <c r="A1945" s="3">
        <v>45766.566921296297</v>
      </c>
      <c r="B1945" s="2" t="s">
        <v>28</v>
      </c>
      <c r="C1945" s="2" t="s">
        <v>11</v>
      </c>
      <c r="D1945" s="6" t="str">
        <f>CONCATENATE(YEAR(A1945),"/",IF(MONTH(A1945)&lt;10,CONCATENATE("0",MONTH(A1945)),MONTH(A1945)))</f>
        <v>2025/04</v>
      </c>
      <c r="E1945" s="8" t="str">
        <f>IF(IF(D1945&lt;&gt;D1944,1,IF(OR(B1945&lt;&gt;B1944,A1945-A1944&gt;$U$1),1,""))&lt;&gt;1,"",IF(C1945="B01",1965,IF(C1945="B02",1020,IF(C1945="B05",2400,IF(C1945="B03",4260,IF(C1945="B04",2880,IF(C1945="B20",1260,0)))))))</f>
        <v/>
      </c>
      <c r="F1945" s="8" t="str">
        <f>IF(IF(D1945&lt;&gt;D1944,1,IF(OR(B1945&lt;&gt;B1944,A1945-A1944&gt;$U$1),1,""))&lt;&gt;1,"",IF(C1945="B01",1,IF(C1945="B05",1,IF(C1945="B03",1,IF(C1945="B04",1,IF(C1945="B20",1,IF(C1945="B02",1,0)))))))</f>
        <v/>
      </c>
      <c r="G1945"/>
      <c r="H1945" s="2"/>
      <c r="I1945" s="2"/>
      <c r="L1945"/>
      <c r="R1945"/>
    </row>
    <row r="1946" spans="1:18">
      <c r="A1946" s="3">
        <v>45766.566921296297</v>
      </c>
      <c r="B1946" s="2" t="s">
        <v>28</v>
      </c>
      <c r="C1946" s="2" t="s">
        <v>11</v>
      </c>
      <c r="D1946" s="6" t="str">
        <f>CONCATENATE(YEAR(A1946),"/",IF(MONTH(A1946)&lt;10,CONCATENATE("0",MONTH(A1946)),MONTH(A1946)))</f>
        <v>2025/04</v>
      </c>
      <c r="E1946" s="8" t="str">
        <f>IF(IF(D1946&lt;&gt;D1945,1,IF(OR(B1946&lt;&gt;B1945,A1946-A1945&gt;$U$1),1,""))&lt;&gt;1,"",IF(C1946="B01",1965,IF(C1946="B02",1020,IF(C1946="B05",2400,IF(C1946="B03",4260,IF(C1946="B04",2880,IF(C1946="B20",1260,0)))))))</f>
        <v/>
      </c>
      <c r="F1946" s="8" t="str">
        <f>IF(IF(D1946&lt;&gt;D1945,1,IF(OR(B1946&lt;&gt;B1945,A1946-A1945&gt;$U$1),1,""))&lt;&gt;1,"",IF(C1946="B01",1,IF(C1946="B05",1,IF(C1946="B03",1,IF(C1946="B04",1,IF(C1946="B20",1,IF(C1946="B02",1,0)))))))</f>
        <v/>
      </c>
      <c r="G1946"/>
      <c r="H1946" s="2"/>
      <c r="I1946" s="2"/>
      <c r="L1946"/>
      <c r="R1946"/>
    </row>
    <row r="1947" spans="1:18">
      <c r="A1947" s="3">
        <v>45767.161111111112</v>
      </c>
      <c r="B1947" s="2" t="s">
        <v>28</v>
      </c>
      <c r="C1947" s="2" t="s">
        <v>11</v>
      </c>
      <c r="D1947" s="6" t="str">
        <f>CONCATENATE(YEAR(A1947),"/",IF(MONTH(A1947)&lt;10,CONCATENATE("0",MONTH(A1947)),MONTH(A1947)))</f>
        <v>2025/04</v>
      </c>
      <c r="E1947" s="8">
        <f>IF(IF(D1947&lt;&gt;D1946,1,IF(OR(B1947&lt;&gt;B1946,A1947-A1946&gt;$U$1),1,""))&lt;&gt;1,"",IF(C1947="B01",1965,IF(C1947="B02",1020,IF(C1947="B05",2400,IF(C1947="B03",4260,IF(C1947="B04",2880,IF(C1947="B20",1260,0)))))))</f>
        <v>2400</v>
      </c>
      <c r="F1947" s="8">
        <f>IF(IF(D1947&lt;&gt;D1946,1,IF(OR(B1947&lt;&gt;B1946,A1947-A1946&gt;$U$1),1,""))&lt;&gt;1,"",IF(C1947="B01",1,IF(C1947="B05",1,IF(C1947="B03",1,IF(C1947="B04",1,IF(C1947="B20",1,IF(C1947="B02",1,0)))))))</f>
        <v>1</v>
      </c>
      <c r="G1947"/>
      <c r="H1947" s="2"/>
      <c r="I1947" s="2"/>
      <c r="L1947"/>
      <c r="R1947"/>
    </row>
    <row r="1948" spans="1:18">
      <c r="A1948" s="3">
        <v>45767.161111111112</v>
      </c>
      <c r="B1948" s="2" t="s">
        <v>28</v>
      </c>
      <c r="C1948" s="2" t="s">
        <v>11</v>
      </c>
      <c r="D1948" s="6" t="str">
        <f>CONCATENATE(YEAR(A1948),"/",IF(MONTH(A1948)&lt;10,CONCATENATE("0",MONTH(A1948)),MONTH(A1948)))</f>
        <v>2025/04</v>
      </c>
      <c r="E1948" s="8" t="str">
        <f>IF(IF(D1948&lt;&gt;D1947,1,IF(OR(B1948&lt;&gt;B1947,A1948-A1947&gt;$U$1),1,""))&lt;&gt;1,"",IF(C1948="B01",1965,IF(C1948="B02",1020,IF(C1948="B05",2400,IF(C1948="B03",4260,IF(C1948="B04",2880,IF(C1948="B20",1260,0)))))))</f>
        <v/>
      </c>
      <c r="F1948" s="8" t="str">
        <f>IF(IF(D1948&lt;&gt;D1947,1,IF(OR(B1948&lt;&gt;B1947,A1948-A1947&gt;$U$1),1,""))&lt;&gt;1,"",IF(C1948="B01",1,IF(C1948="B05",1,IF(C1948="B03",1,IF(C1948="B04",1,IF(C1948="B20",1,IF(C1948="B02",1,0)))))))</f>
        <v/>
      </c>
      <c r="G1948"/>
      <c r="H1948" s="2"/>
      <c r="I1948" s="2"/>
      <c r="L1948"/>
      <c r="R1948"/>
    </row>
    <row r="1949" spans="1:18">
      <c r="A1949" s="3">
        <v>45767.161111111112</v>
      </c>
      <c r="B1949" s="2" t="s">
        <v>28</v>
      </c>
      <c r="C1949" s="2" t="s">
        <v>11</v>
      </c>
      <c r="D1949" s="6" t="str">
        <f>CONCATENATE(YEAR(A1949),"/",IF(MONTH(A1949)&lt;10,CONCATENATE("0",MONTH(A1949)),MONTH(A1949)))</f>
        <v>2025/04</v>
      </c>
      <c r="E1949" s="8" t="str">
        <f>IF(IF(D1949&lt;&gt;D1948,1,IF(OR(B1949&lt;&gt;B1948,A1949-A1948&gt;$U$1),1,""))&lt;&gt;1,"",IF(C1949="B01",1965,IF(C1949="B02",1020,IF(C1949="B05",2400,IF(C1949="B03",4260,IF(C1949="B04",2880,IF(C1949="B20",1260,0)))))))</f>
        <v/>
      </c>
      <c r="F1949" s="8" t="str">
        <f>IF(IF(D1949&lt;&gt;D1948,1,IF(OR(B1949&lt;&gt;B1948,A1949-A1948&gt;$U$1),1,""))&lt;&gt;1,"",IF(C1949="B01",1,IF(C1949="B05",1,IF(C1949="B03",1,IF(C1949="B04",1,IF(C1949="B20",1,IF(C1949="B02",1,0)))))))</f>
        <v/>
      </c>
      <c r="G1949"/>
      <c r="H1949" s="2"/>
      <c r="I1949" s="2"/>
      <c r="L1949"/>
      <c r="R1949"/>
    </row>
    <row r="1950" spans="1:18">
      <c r="A1950" s="3">
        <v>45767.161111111112</v>
      </c>
      <c r="B1950" s="2" t="s">
        <v>28</v>
      </c>
      <c r="C1950" s="2" t="s">
        <v>11</v>
      </c>
      <c r="D1950" s="6" t="str">
        <f>CONCATENATE(YEAR(A1950),"/",IF(MONTH(A1950)&lt;10,CONCATENATE("0",MONTH(A1950)),MONTH(A1950)))</f>
        <v>2025/04</v>
      </c>
      <c r="E1950" s="8" t="str">
        <f>IF(IF(D1950&lt;&gt;D1949,1,IF(OR(B1950&lt;&gt;B1949,A1950-A1949&gt;$U$1),1,""))&lt;&gt;1,"",IF(C1950="B01",1965,IF(C1950="B02",1020,IF(C1950="B05",2400,IF(C1950="B03",4260,IF(C1950="B04",2880,IF(C1950="B20",1260,0)))))))</f>
        <v/>
      </c>
      <c r="F1950" s="8" t="str">
        <f>IF(IF(D1950&lt;&gt;D1949,1,IF(OR(B1950&lt;&gt;B1949,A1950-A1949&gt;$U$1),1,""))&lt;&gt;1,"",IF(C1950="B01",1,IF(C1950="B05",1,IF(C1950="B03",1,IF(C1950="B04",1,IF(C1950="B20",1,IF(C1950="B02",1,0)))))))</f>
        <v/>
      </c>
      <c r="G1950"/>
      <c r="H1950" s="2"/>
      <c r="I1950" s="2"/>
      <c r="L1950"/>
      <c r="R1950"/>
    </row>
    <row r="1951" spans="1:18">
      <c r="A1951" s="3">
        <v>45767.161111111112</v>
      </c>
      <c r="B1951" s="2" t="s">
        <v>28</v>
      </c>
      <c r="C1951" s="2" t="s">
        <v>11</v>
      </c>
      <c r="D1951" s="6" t="str">
        <f>CONCATENATE(YEAR(A1951),"/",IF(MONTH(A1951)&lt;10,CONCATENATE("0",MONTH(A1951)),MONTH(A1951)))</f>
        <v>2025/04</v>
      </c>
      <c r="E1951" s="8" t="str">
        <f>IF(IF(D1951&lt;&gt;D1950,1,IF(OR(B1951&lt;&gt;B1950,A1951-A1950&gt;$U$1),1,""))&lt;&gt;1,"",IF(C1951="B01",1965,IF(C1951="B02",1020,IF(C1951="B05",2400,IF(C1951="B03",4260,IF(C1951="B04",2880,IF(C1951="B20",1260,0)))))))</f>
        <v/>
      </c>
      <c r="F1951" s="8" t="str">
        <f>IF(IF(D1951&lt;&gt;D1950,1,IF(OR(B1951&lt;&gt;B1950,A1951-A1950&gt;$U$1),1,""))&lt;&gt;1,"",IF(C1951="B01",1,IF(C1951="B05",1,IF(C1951="B03",1,IF(C1951="B04",1,IF(C1951="B20",1,IF(C1951="B02",1,0)))))))</f>
        <v/>
      </c>
      <c r="G1951"/>
      <c r="H1951" s="2"/>
      <c r="I1951" s="2"/>
      <c r="L1951"/>
      <c r="R1951"/>
    </row>
    <row r="1952" spans="1:18">
      <c r="A1952" s="3">
        <v>45767.710729166669</v>
      </c>
      <c r="B1952" s="2" t="s">
        <v>28</v>
      </c>
      <c r="C1952" s="2" t="s">
        <v>11</v>
      </c>
      <c r="D1952" s="6" t="str">
        <f>CONCATENATE(YEAR(A1952),"/",IF(MONTH(A1952)&lt;10,CONCATENATE("0",MONTH(A1952)),MONTH(A1952)))</f>
        <v>2025/04</v>
      </c>
      <c r="E1952" s="8">
        <f>IF(IF(D1952&lt;&gt;D1951,1,IF(OR(B1952&lt;&gt;B1951,A1952-A1951&gt;$U$1),1,""))&lt;&gt;1,"",IF(C1952="B01",1965,IF(C1952="B02",1020,IF(C1952="B05",2400,IF(C1952="B03",4260,IF(C1952="B04",2880,IF(C1952="B20",1260,0)))))))</f>
        <v>2400</v>
      </c>
      <c r="F1952" s="8">
        <f>IF(IF(D1952&lt;&gt;D1951,1,IF(OR(B1952&lt;&gt;B1951,A1952-A1951&gt;$U$1),1,""))&lt;&gt;1,"",IF(C1952="B01",1,IF(C1952="B05",1,IF(C1952="B03",1,IF(C1952="B04",1,IF(C1952="B20",1,IF(C1952="B02",1,0)))))))</f>
        <v>1</v>
      </c>
      <c r="G1952"/>
      <c r="H1952" s="2"/>
      <c r="I1952" s="2"/>
      <c r="L1952"/>
      <c r="R1952"/>
    </row>
    <row r="1953" spans="1:18">
      <c r="A1953" s="3">
        <v>45767.710729166669</v>
      </c>
      <c r="B1953" s="2" t="s">
        <v>28</v>
      </c>
      <c r="C1953" s="2" t="s">
        <v>11</v>
      </c>
      <c r="D1953" s="6" t="str">
        <f>CONCATENATE(YEAR(A1953),"/",IF(MONTH(A1953)&lt;10,CONCATENATE("0",MONTH(A1953)),MONTH(A1953)))</f>
        <v>2025/04</v>
      </c>
      <c r="E1953" s="8" t="str">
        <f>IF(IF(D1953&lt;&gt;D1952,1,IF(OR(B1953&lt;&gt;B1952,A1953-A1952&gt;$U$1),1,""))&lt;&gt;1,"",IF(C1953="B01",1965,IF(C1953="B02",1020,IF(C1953="B05",2400,IF(C1953="B03",4260,IF(C1953="B04",2880,IF(C1953="B20",1260,0)))))))</f>
        <v/>
      </c>
      <c r="F1953" s="8" t="str">
        <f>IF(IF(D1953&lt;&gt;D1952,1,IF(OR(B1953&lt;&gt;B1952,A1953-A1952&gt;$U$1),1,""))&lt;&gt;1,"",IF(C1953="B01",1,IF(C1953="B05",1,IF(C1953="B03",1,IF(C1953="B04",1,IF(C1953="B20",1,IF(C1953="B02",1,0)))))))</f>
        <v/>
      </c>
      <c r="G1953"/>
      <c r="H1953" s="2"/>
      <c r="I1953" s="2"/>
      <c r="L1953"/>
      <c r="R1953"/>
    </row>
    <row r="1954" spans="1:18">
      <c r="A1954" s="3">
        <v>45768.114236111112</v>
      </c>
      <c r="B1954" s="2" t="s">
        <v>28</v>
      </c>
      <c r="C1954" s="2" t="s">
        <v>11</v>
      </c>
      <c r="D1954" s="6" t="str">
        <f>CONCATENATE(YEAR(A1954),"/",IF(MONTH(A1954)&lt;10,CONCATENATE("0",MONTH(A1954)),MONTH(A1954)))</f>
        <v>2025/04</v>
      </c>
      <c r="E1954" s="8">
        <f>IF(IF(D1954&lt;&gt;D1953,1,IF(OR(B1954&lt;&gt;B1953,A1954-A1953&gt;$U$1),1,""))&lt;&gt;1,"",IF(C1954="B01",1965,IF(C1954="B02",1020,IF(C1954="B05",2400,IF(C1954="B03",4260,IF(C1954="B04",2880,IF(C1954="B20",1260,0)))))))</f>
        <v>2400</v>
      </c>
      <c r="F1954" s="8">
        <f>IF(IF(D1954&lt;&gt;D1953,1,IF(OR(B1954&lt;&gt;B1953,A1954-A1953&gt;$U$1),1,""))&lt;&gt;1,"",IF(C1954="B01",1,IF(C1954="B05",1,IF(C1954="B03",1,IF(C1954="B04",1,IF(C1954="B20",1,IF(C1954="B02",1,0)))))))</f>
        <v>1</v>
      </c>
      <c r="G1954"/>
      <c r="H1954" s="2"/>
      <c r="I1954" s="2"/>
      <c r="L1954"/>
      <c r="R1954"/>
    </row>
    <row r="1955" spans="1:18">
      <c r="A1955" s="3">
        <v>45768.114236111112</v>
      </c>
      <c r="B1955" s="2" t="s">
        <v>28</v>
      </c>
      <c r="C1955" s="2" t="s">
        <v>11</v>
      </c>
      <c r="D1955" s="6" t="str">
        <f>CONCATENATE(YEAR(A1955),"/",IF(MONTH(A1955)&lt;10,CONCATENATE("0",MONTH(A1955)),MONTH(A1955)))</f>
        <v>2025/04</v>
      </c>
      <c r="E1955" s="8" t="str">
        <f>IF(IF(D1955&lt;&gt;D1954,1,IF(OR(B1955&lt;&gt;B1954,A1955-A1954&gt;$U$1),1,""))&lt;&gt;1,"",IF(C1955="B01",1965,IF(C1955="B02",1020,IF(C1955="B05",2400,IF(C1955="B03",4260,IF(C1955="B04",2880,IF(C1955="B20",1260,0)))))))</f>
        <v/>
      </c>
      <c r="F1955" s="8" t="str">
        <f>IF(IF(D1955&lt;&gt;D1954,1,IF(OR(B1955&lt;&gt;B1954,A1955-A1954&gt;$U$1),1,""))&lt;&gt;1,"",IF(C1955="B01",1,IF(C1955="B05",1,IF(C1955="B03",1,IF(C1955="B04",1,IF(C1955="B20",1,IF(C1955="B02",1,0)))))))</f>
        <v/>
      </c>
      <c r="G1955"/>
      <c r="H1955" s="2"/>
      <c r="I1955" s="2"/>
      <c r="L1955"/>
      <c r="R1955"/>
    </row>
    <row r="1956" spans="1:18">
      <c r="A1956" s="3">
        <v>45768.114236111112</v>
      </c>
      <c r="B1956" s="2" t="s">
        <v>28</v>
      </c>
      <c r="C1956" s="2" t="s">
        <v>11</v>
      </c>
      <c r="D1956" s="6" t="str">
        <f>CONCATENATE(YEAR(A1956),"/",IF(MONTH(A1956)&lt;10,CONCATENATE("0",MONTH(A1956)),MONTH(A1956)))</f>
        <v>2025/04</v>
      </c>
      <c r="E1956" s="8" t="str">
        <f>IF(IF(D1956&lt;&gt;D1955,1,IF(OR(B1956&lt;&gt;B1955,A1956-A1955&gt;$U$1),1,""))&lt;&gt;1,"",IF(C1956="B01",1965,IF(C1956="B02",1020,IF(C1956="B05",2400,IF(C1956="B03",4260,IF(C1956="B04",2880,IF(C1956="B20",1260,0)))))))</f>
        <v/>
      </c>
      <c r="F1956" s="8" t="str">
        <f>IF(IF(D1956&lt;&gt;D1955,1,IF(OR(B1956&lt;&gt;B1955,A1956-A1955&gt;$U$1),1,""))&lt;&gt;1,"",IF(C1956="B01",1,IF(C1956="B05",1,IF(C1956="B03",1,IF(C1956="B04",1,IF(C1956="B20",1,IF(C1956="B02",1,0)))))))</f>
        <v/>
      </c>
      <c r="G1956"/>
      <c r="H1956" s="2"/>
      <c r="I1956" s="2"/>
      <c r="L1956"/>
      <c r="R1956"/>
    </row>
    <row r="1957" spans="1:18">
      <c r="A1957" s="3">
        <v>45768.5546875</v>
      </c>
      <c r="B1957" s="2" t="s">
        <v>28</v>
      </c>
      <c r="C1957" s="2" t="s">
        <v>11</v>
      </c>
      <c r="D1957" s="6" t="str">
        <f>CONCATENATE(YEAR(A1957),"/",IF(MONTH(A1957)&lt;10,CONCATENATE("0",MONTH(A1957)),MONTH(A1957)))</f>
        <v>2025/04</v>
      </c>
      <c r="E1957" s="8">
        <f>IF(IF(D1957&lt;&gt;D1956,1,IF(OR(B1957&lt;&gt;B1956,A1957-A1956&gt;$U$1),1,""))&lt;&gt;1,"",IF(C1957="B01",1965,IF(C1957="B02",1020,IF(C1957="B05",2400,IF(C1957="B03",4260,IF(C1957="B04",2880,IF(C1957="B20",1260,0)))))))</f>
        <v>2400</v>
      </c>
      <c r="F1957" s="8">
        <f>IF(IF(D1957&lt;&gt;D1956,1,IF(OR(B1957&lt;&gt;B1956,A1957-A1956&gt;$U$1),1,""))&lt;&gt;1,"",IF(C1957="B01",1,IF(C1957="B05",1,IF(C1957="B03",1,IF(C1957="B04",1,IF(C1957="B20",1,IF(C1957="B02",1,0)))))))</f>
        <v>1</v>
      </c>
      <c r="G1957"/>
      <c r="H1957" s="2"/>
      <c r="I1957" s="2"/>
      <c r="L1957"/>
      <c r="R1957"/>
    </row>
    <row r="1958" spans="1:18">
      <c r="A1958" s="3">
        <v>45768.5546875</v>
      </c>
      <c r="B1958" s="2" t="s">
        <v>28</v>
      </c>
      <c r="C1958" s="2" t="s">
        <v>11</v>
      </c>
      <c r="D1958" s="6" t="str">
        <f>CONCATENATE(YEAR(A1958),"/",IF(MONTH(A1958)&lt;10,CONCATENATE("0",MONTH(A1958)),MONTH(A1958)))</f>
        <v>2025/04</v>
      </c>
      <c r="E1958" s="8" t="str">
        <f>IF(IF(D1958&lt;&gt;D1957,1,IF(OR(B1958&lt;&gt;B1957,A1958-A1957&gt;$U$1),1,""))&lt;&gt;1,"",IF(C1958="B01",1965,IF(C1958="B02",1020,IF(C1958="B05",2400,IF(C1958="B03",4260,IF(C1958="B04",2880,IF(C1958="B20",1260,0)))))))</f>
        <v/>
      </c>
      <c r="F1958" s="8" t="str">
        <f>IF(IF(D1958&lt;&gt;D1957,1,IF(OR(B1958&lt;&gt;B1957,A1958-A1957&gt;$U$1),1,""))&lt;&gt;1,"",IF(C1958="B01",1,IF(C1958="B05",1,IF(C1958="B03",1,IF(C1958="B04",1,IF(C1958="B20",1,IF(C1958="B02",1,0)))))))</f>
        <v/>
      </c>
      <c r="G1958"/>
      <c r="H1958" s="2"/>
      <c r="I1958" s="2"/>
      <c r="L1958"/>
      <c r="R1958"/>
    </row>
    <row r="1959" spans="1:18">
      <c r="A1959" s="3">
        <v>45768.5546875</v>
      </c>
      <c r="B1959" s="2" t="s">
        <v>28</v>
      </c>
      <c r="C1959" s="2" t="s">
        <v>11</v>
      </c>
      <c r="D1959" s="6" t="str">
        <f>CONCATENATE(YEAR(A1959),"/",IF(MONTH(A1959)&lt;10,CONCATENATE("0",MONTH(A1959)),MONTH(A1959)))</f>
        <v>2025/04</v>
      </c>
      <c r="E1959" s="8" t="str">
        <f>IF(IF(D1959&lt;&gt;D1958,1,IF(OR(B1959&lt;&gt;B1958,A1959-A1958&gt;$U$1),1,""))&lt;&gt;1,"",IF(C1959="B01",1965,IF(C1959="B02",1020,IF(C1959="B05",2400,IF(C1959="B03",4260,IF(C1959="B04",2880,IF(C1959="B20",1260,0)))))))</f>
        <v/>
      </c>
      <c r="F1959" s="8" t="str">
        <f>IF(IF(D1959&lt;&gt;D1958,1,IF(OR(B1959&lt;&gt;B1958,A1959-A1958&gt;$U$1),1,""))&lt;&gt;1,"",IF(C1959="B01",1,IF(C1959="B05",1,IF(C1959="B03",1,IF(C1959="B04",1,IF(C1959="B20",1,IF(C1959="B02",1,0)))))))</f>
        <v/>
      </c>
      <c r="G1959"/>
      <c r="H1959" s="2"/>
      <c r="I1959" s="2"/>
      <c r="L1959"/>
      <c r="R1959"/>
    </row>
    <row r="1960" spans="1:18">
      <c r="A1960" s="3">
        <v>45768.864525462966</v>
      </c>
      <c r="B1960" s="2" t="s">
        <v>28</v>
      </c>
      <c r="C1960" s="2" t="s">
        <v>11</v>
      </c>
      <c r="D1960" s="6" t="str">
        <f>CONCATENATE(YEAR(A1960),"/",IF(MONTH(A1960)&lt;10,CONCATENATE("0",MONTH(A1960)),MONTH(A1960)))</f>
        <v>2025/04</v>
      </c>
      <c r="E1960" s="8">
        <f>IF(IF(D1960&lt;&gt;D1959,1,IF(OR(B1960&lt;&gt;B1959,A1960-A1959&gt;$U$1),1,""))&lt;&gt;1,"",IF(C1960="B01",1965,IF(C1960="B02",1020,IF(C1960="B05",2400,IF(C1960="B03",4260,IF(C1960="B04",2880,IF(C1960="B20",1260,0)))))))</f>
        <v>2400</v>
      </c>
      <c r="F1960" s="8">
        <f>IF(IF(D1960&lt;&gt;D1959,1,IF(OR(B1960&lt;&gt;B1959,A1960-A1959&gt;$U$1),1,""))&lt;&gt;1,"",IF(C1960="B01",1,IF(C1960="B05",1,IF(C1960="B03",1,IF(C1960="B04",1,IF(C1960="B20",1,IF(C1960="B02",1,0)))))))</f>
        <v>1</v>
      </c>
      <c r="G1960"/>
      <c r="H1960" s="2"/>
      <c r="I1960" s="2"/>
      <c r="L1960"/>
      <c r="R1960"/>
    </row>
    <row r="1961" spans="1:18">
      <c r="A1961" s="3">
        <v>45768.864525462966</v>
      </c>
      <c r="B1961" s="2" t="s">
        <v>28</v>
      </c>
      <c r="C1961" s="2" t="s">
        <v>11</v>
      </c>
      <c r="D1961" s="6" t="str">
        <f>CONCATENATE(YEAR(A1961),"/",IF(MONTH(A1961)&lt;10,CONCATENATE("0",MONTH(A1961)),MONTH(A1961)))</f>
        <v>2025/04</v>
      </c>
      <c r="E1961" s="8" t="str">
        <f>IF(IF(D1961&lt;&gt;D1960,1,IF(OR(B1961&lt;&gt;B1960,A1961-A1960&gt;$U$1),1,""))&lt;&gt;1,"",IF(C1961="B01",1965,IF(C1961="B02",1020,IF(C1961="B05",2400,IF(C1961="B03",4260,IF(C1961="B04",2880,IF(C1961="B20",1260,0)))))))</f>
        <v/>
      </c>
      <c r="F1961" s="8" t="str">
        <f>IF(IF(D1961&lt;&gt;D1960,1,IF(OR(B1961&lt;&gt;B1960,A1961-A1960&gt;$U$1),1,""))&lt;&gt;1,"",IF(C1961="B01",1,IF(C1961="B05",1,IF(C1961="B03",1,IF(C1961="B04",1,IF(C1961="B20",1,IF(C1961="B02",1,0)))))))</f>
        <v/>
      </c>
      <c r="G1961"/>
      <c r="H1961" s="2"/>
      <c r="I1961" s="2"/>
      <c r="L1961"/>
      <c r="R1961"/>
    </row>
    <row r="1962" spans="1:18">
      <c r="A1962" s="3">
        <v>45768.864525462966</v>
      </c>
      <c r="B1962" s="2" t="s">
        <v>28</v>
      </c>
      <c r="C1962" s="2" t="s">
        <v>11</v>
      </c>
      <c r="D1962" s="6" t="str">
        <f>CONCATENATE(YEAR(A1962),"/",IF(MONTH(A1962)&lt;10,CONCATENATE("0",MONTH(A1962)),MONTH(A1962)))</f>
        <v>2025/04</v>
      </c>
      <c r="E1962" s="8" t="str">
        <f>IF(IF(D1962&lt;&gt;D1961,1,IF(OR(B1962&lt;&gt;B1961,A1962-A1961&gt;$U$1),1,""))&lt;&gt;1,"",IF(C1962="B01",1965,IF(C1962="B02",1020,IF(C1962="B05",2400,IF(C1962="B03",4260,IF(C1962="B04",2880,IF(C1962="B20",1260,0)))))))</f>
        <v/>
      </c>
      <c r="F1962" s="8" t="str">
        <f>IF(IF(D1962&lt;&gt;D1961,1,IF(OR(B1962&lt;&gt;B1961,A1962-A1961&gt;$U$1),1,""))&lt;&gt;1,"",IF(C1962="B01",1,IF(C1962="B05",1,IF(C1962="B03",1,IF(C1962="B04",1,IF(C1962="B20",1,IF(C1962="B02",1,0)))))))</f>
        <v/>
      </c>
      <c r="G1962"/>
      <c r="H1962" s="2"/>
      <c r="I1962" s="2"/>
      <c r="L1962"/>
      <c r="R1962"/>
    </row>
    <row r="1963" spans="1:18">
      <c r="A1963" s="3">
        <v>45768.864525462966</v>
      </c>
      <c r="B1963" s="2" t="s">
        <v>28</v>
      </c>
      <c r="C1963" s="2" t="s">
        <v>11</v>
      </c>
      <c r="D1963" s="6" t="str">
        <f>CONCATENATE(YEAR(A1963),"/",IF(MONTH(A1963)&lt;10,CONCATENATE("0",MONTH(A1963)),MONTH(A1963)))</f>
        <v>2025/04</v>
      </c>
      <c r="E1963" s="8" t="str">
        <f>IF(IF(D1963&lt;&gt;D1962,1,IF(OR(B1963&lt;&gt;B1962,A1963-A1962&gt;$U$1),1,""))&lt;&gt;1,"",IF(C1963="B01",1965,IF(C1963="B02",1020,IF(C1963="B05",2400,IF(C1963="B03",4260,IF(C1963="B04",2880,IF(C1963="B20",1260,0)))))))</f>
        <v/>
      </c>
      <c r="F1963" s="8" t="str">
        <f>IF(IF(D1963&lt;&gt;D1962,1,IF(OR(B1963&lt;&gt;B1962,A1963-A1962&gt;$U$1),1,""))&lt;&gt;1,"",IF(C1963="B01",1,IF(C1963="B05",1,IF(C1963="B03",1,IF(C1963="B04",1,IF(C1963="B20",1,IF(C1963="B02",1,0)))))))</f>
        <v/>
      </c>
      <c r="G1963"/>
      <c r="H1963" s="2"/>
      <c r="I1963" s="2"/>
      <c r="L1963"/>
      <c r="R1963"/>
    </row>
    <row r="1964" spans="1:18">
      <c r="A1964" s="3">
        <v>45769.074259259258</v>
      </c>
      <c r="B1964" s="2" t="s">
        <v>28</v>
      </c>
      <c r="C1964" s="2" t="s">
        <v>11</v>
      </c>
      <c r="D1964" s="6" t="str">
        <f>CONCATENATE(YEAR(A1964),"/",IF(MONTH(A1964)&lt;10,CONCATENATE("0",MONTH(A1964)),MONTH(A1964)))</f>
        <v>2025/04</v>
      </c>
      <c r="E1964" s="8">
        <f>IF(IF(D1964&lt;&gt;D1963,1,IF(OR(B1964&lt;&gt;B1963,A1964-A1963&gt;$U$1),1,""))&lt;&gt;1,"",IF(C1964="B01",1965,IF(C1964="B02",1020,IF(C1964="B05",2400,IF(C1964="B03",4260,IF(C1964="B04",2880,IF(C1964="B20",1260,0)))))))</f>
        <v>2400</v>
      </c>
      <c r="F1964" s="8">
        <f>IF(IF(D1964&lt;&gt;D1963,1,IF(OR(B1964&lt;&gt;B1963,A1964-A1963&gt;$U$1),1,""))&lt;&gt;1,"",IF(C1964="B01",1,IF(C1964="B05",1,IF(C1964="B03",1,IF(C1964="B04",1,IF(C1964="B20",1,IF(C1964="B02",1,0)))))))</f>
        <v>1</v>
      </c>
      <c r="G1964"/>
      <c r="H1964" s="2"/>
      <c r="I1964" s="2"/>
      <c r="L1964"/>
      <c r="R1964"/>
    </row>
    <row r="1965" spans="1:18">
      <c r="A1965" s="3">
        <v>45769.074259259258</v>
      </c>
      <c r="B1965" s="2" t="s">
        <v>28</v>
      </c>
      <c r="C1965" s="2" t="s">
        <v>11</v>
      </c>
      <c r="D1965" s="6" t="str">
        <f>CONCATENATE(YEAR(A1965),"/",IF(MONTH(A1965)&lt;10,CONCATENATE("0",MONTH(A1965)),MONTH(A1965)))</f>
        <v>2025/04</v>
      </c>
      <c r="E1965" s="8" t="str">
        <f>IF(IF(D1965&lt;&gt;D1964,1,IF(OR(B1965&lt;&gt;B1964,A1965-A1964&gt;$U$1),1,""))&lt;&gt;1,"",IF(C1965="B01",1965,IF(C1965="B02",1020,IF(C1965="B05",2400,IF(C1965="B03",4260,IF(C1965="B04",2880,IF(C1965="B20",1260,0)))))))</f>
        <v/>
      </c>
      <c r="F1965" s="8" t="str">
        <f>IF(IF(D1965&lt;&gt;D1964,1,IF(OR(B1965&lt;&gt;B1964,A1965-A1964&gt;$U$1),1,""))&lt;&gt;1,"",IF(C1965="B01",1,IF(C1965="B05",1,IF(C1965="B03",1,IF(C1965="B04",1,IF(C1965="B20",1,IF(C1965="B02",1,0)))))))</f>
        <v/>
      </c>
      <c r="G1965"/>
      <c r="H1965" s="2"/>
      <c r="I1965" s="2"/>
      <c r="L1965"/>
      <c r="R1965"/>
    </row>
    <row r="1966" spans="1:18">
      <c r="A1966" s="3">
        <v>45769.074259259258</v>
      </c>
      <c r="B1966" s="2" t="s">
        <v>28</v>
      </c>
      <c r="C1966" s="2" t="s">
        <v>11</v>
      </c>
      <c r="D1966" s="6" t="str">
        <f>CONCATENATE(YEAR(A1966),"/",IF(MONTH(A1966)&lt;10,CONCATENATE("0",MONTH(A1966)),MONTH(A1966)))</f>
        <v>2025/04</v>
      </c>
      <c r="E1966" s="8" t="str">
        <f>IF(IF(D1966&lt;&gt;D1965,1,IF(OR(B1966&lt;&gt;B1965,A1966-A1965&gt;$U$1),1,""))&lt;&gt;1,"",IF(C1966="B01",1965,IF(C1966="B02",1020,IF(C1966="B05",2400,IF(C1966="B03",4260,IF(C1966="B04",2880,IF(C1966="B20",1260,0)))))))</f>
        <v/>
      </c>
      <c r="F1966" s="8" t="str">
        <f>IF(IF(D1966&lt;&gt;D1965,1,IF(OR(B1966&lt;&gt;B1965,A1966-A1965&gt;$U$1),1,""))&lt;&gt;1,"",IF(C1966="B01",1,IF(C1966="B05",1,IF(C1966="B03",1,IF(C1966="B04",1,IF(C1966="B20",1,IF(C1966="B02",1,0)))))))</f>
        <v/>
      </c>
      <c r="G1966"/>
      <c r="H1966" s="2"/>
      <c r="I1966" s="2"/>
      <c r="L1966"/>
      <c r="R1966"/>
    </row>
    <row r="1967" spans="1:18">
      <c r="A1967" s="3">
        <v>45769.074259259258</v>
      </c>
      <c r="B1967" s="2" t="s">
        <v>28</v>
      </c>
      <c r="C1967" s="2" t="s">
        <v>11</v>
      </c>
      <c r="D1967" s="6" t="str">
        <f>CONCATENATE(YEAR(A1967),"/",IF(MONTH(A1967)&lt;10,CONCATENATE("0",MONTH(A1967)),MONTH(A1967)))</f>
        <v>2025/04</v>
      </c>
      <c r="E1967" s="8" t="str">
        <f>IF(IF(D1967&lt;&gt;D1966,1,IF(OR(B1967&lt;&gt;B1966,A1967-A1966&gt;$U$1),1,""))&lt;&gt;1,"",IF(C1967="B01",1965,IF(C1967="B02",1020,IF(C1967="B05",2400,IF(C1967="B03",4260,IF(C1967="B04",2880,IF(C1967="B20",1260,0)))))))</f>
        <v/>
      </c>
      <c r="F1967" s="8" t="str">
        <f>IF(IF(D1967&lt;&gt;D1966,1,IF(OR(B1967&lt;&gt;B1966,A1967-A1966&gt;$U$1),1,""))&lt;&gt;1,"",IF(C1967="B01",1,IF(C1967="B05",1,IF(C1967="B03",1,IF(C1967="B04",1,IF(C1967="B20",1,IF(C1967="B02",1,0)))))))</f>
        <v/>
      </c>
      <c r="G1967"/>
      <c r="H1967" s="2"/>
      <c r="I1967" s="2"/>
      <c r="L1967"/>
      <c r="R1967"/>
    </row>
    <row r="1968" spans="1:18">
      <c r="A1968" s="3">
        <v>45769.074259259258</v>
      </c>
      <c r="B1968" s="2" t="s">
        <v>28</v>
      </c>
      <c r="C1968" s="2" t="s">
        <v>11</v>
      </c>
      <c r="D1968" s="6" t="str">
        <f>CONCATENATE(YEAR(A1968),"/",IF(MONTH(A1968)&lt;10,CONCATENATE("0",MONTH(A1968)),MONTH(A1968)))</f>
        <v>2025/04</v>
      </c>
      <c r="E1968" s="8" t="str">
        <f>IF(IF(D1968&lt;&gt;D1967,1,IF(OR(B1968&lt;&gt;B1967,A1968-A1967&gt;$U$1),1,""))&lt;&gt;1,"",IF(C1968="B01",1965,IF(C1968="B02",1020,IF(C1968="B05",2400,IF(C1968="B03",4260,IF(C1968="B04",2880,IF(C1968="B20",1260,0)))))))</f>
        <v/>
      </c>
      <c r="F1968" s="8" t="str">
        <f>IF(IF(D1968&lt;&gt;D1967,1,IF(OR(B1968&lt;&gt;B1967,A1968-A1967&gt;$U$1),1,""))&lt;&gt;1,"",IF(C1968="B01",1,IF(C1968="B05",1,IF(C1968="B03",1,IF(C1968="B04",1,IF(C1968="B20",1,IF(C1968="B02",1,0)))))))</f>
        <v/>
      </c>
      <c r="G1968"/>
      <c r="H1968" s="2"/>
      <c r="I1968" s="2"/>
      <c r="L1968"/>
      <c r="R1968"/>
    </row>
    <row r="1969" spans="1:18">
      <c r="A1969" s="3">
        <v>45769.255648148152</v>
      </c>
      <c r="B1969" s="2" t="s">
        <v>28</v>
      </c>
      <c r="C1969" s="2" t="s">
        <v>11</v>
      </c>
      <c r="D1969" s="6" t="str">
        <f>CONCATENATE(YEAR(A1969),"/",IF(MONTH(A1969)&lt;10,CONCATENATE("0",MONTH(A1969)),MONTH(A1969)))</f>
        <v>2025/04</v>
      </c>
      <c r="E1969" s="8">
        <f>IF(IF(D1969&lt;&gt;D1968,1,IF(OR(B1969&lt;&gt;B1968,A1969-A1968&gt;$U$1),1,""))&lt;&gt;1,"",IF(C1969="B01",1965,IF(C1969="B02",1020,IF(C1969="B05",2400,IF(C1969="B03",4260,IF(C1969="B04",2880,IF(C1969="B20",1260,0)))))))</f>
        <v>2400</v>
      </c>
      <c r="F1969" s="8">
        <f>IF(IF(D1969&lt;&gt;D1968,1,IF(OR(B1969&lt;&gt;B1968,A1969-A1968&gt;$U$1),1,""))&lt;&gt;1,"",IF(C1969="B01",1,IF(C1969="B05",1,IF(C1969="B03",1,IF(C1969="B04",1,IF(C1969="B20",1,IF(C1969="B02",1,0)))))))</f>
        <v>1</v>
      </c>
      <c r="G1969"/>
      <c r="H1969" s="2"/>
      <c r="I1969" s="2"/>
      <c r="L1969"/>
      <c r="R1969"/>
    </row>
    <row r="1970" spans="1:18">
      <c r="A1970" s="3">
        <v>45769.255648148152</v>
      </c>
      <c r="B1970" s="2" t="s">
        <v>28</v>
      </c>
      <c r="C1970" s="2" t="s">
        <v>11</v>
      </c>
      <c r="D1970" s="6" t="str">
        <f>CONCATENATE(YEAR(A1970),"/",IF(MONTH(A1970)&lt;10,CONCATENATE("0",MONTH(A1970)),MONTH(A1970)))</f>
        <v>2025/04</v>
      </c>
      <c r="E1970" s="8" t="str">
        <f>IF(IF(D1970&lt;&gt;D1969,1,IF(OR(B1970&lt;&gt;B1969,A1970-A1969&gt;$U$1),1,""))&lt;&gt;1,"",IF(C1970="B01",1965,IF(C1970="B02",1020,IF(C1970="B05",2400,IF(C1970="B03",4260,IF(C1970="B04",2880,IF(C1970="B20",1260,0)))))))</f>
        <v/>
      </c>
      <c r="F1970" s="8" t="str">
        <f>IF(IF(D1970&lt;&gt;D1969,1,IF(OR(B1970&lt;&gt;B1969,A1970-A1969&gt;$U$1),1,""))&lt;&gt;1,"",IF(C1970="B01",1,IF(C1970="B05",1,IF(C1970="B03",1,IF(C1970="B04",1,IF(C1970="B20",1,IF(C1970="B02",1,0)))))))</f>
        <v/>
      </c>
      <c r="G1970"/>
      <c r="H1970" s="2"/>
      <c r="I1970" s="2"/>
      <c r="L1970"/>
      <c r="R1970"/>
    </row>
    <row r="1971" spans="1:18">
      <c r="A1971" s="3">
        <v>45769.255648148152</v>
      </c>
      <c r="B1971" s="2" t="s">
        <v>28</v>
      </c>
      <c r="C1971" s="2" t="s">
        <v>11</v>
      </c>
      <c r="D1971" s="6" t="str">
        <f>CONCATENATE(YEAR(A1971),"/",IF(MONTH(A1971)&lt;10,CONCATENATE("0",MONTH(A1971)),MONTH(A1971)))</f>
        <v>2025/04</v>
      </c>
      <c r="E1971" s="8" t="str">
        <f>IF(IF(D1971&lt;&gt;D1970,1,IF(OR(B1971&lt;&gt;B1970,A1971-A1970&gt;$U$1),1,""))&lt;&gt;1,"",IF(C1971="B01",1965,IF(C1971="B02",1020,IF(C1971="B05",2400,IF(C1971="B03",4260,IF(C1971="B04",2880,IF(C1971="B20",1260,0)))))))</f>
        <v/>
      </c>
      <c r="F1971" s="8" t="str">
        <f>IF(IF(D1971&lt;&gt;D1970,1,IF(OR(B1971&lt;&gt;B1970,A1971-A1970&gt;$U$1),1,""))&lt;&gt;1,"",IF(C1971="B01",1,IF(C1971="B05",1,IF(C1971="B03",1,IF(C1971="B04",1,IF(C1971="B20",1,IF(C1971="B02",1,0)))))))</f>
        <v/>
      </c>
      <c r="G1971"/>
      <c r="H1971" s="2"/>
      <c r="I1971" s="2"/>
      <c r="L1971"/>
      <c r="R1971"/>
    </row>
    <row r="1972" spans="1:18">
      <c r="A1972" s="3">
        <v>45769.45921296296</v>
      </c>
      <c r="B1972" s="2" t="s">
        <v>28</v>
      </c>
      <c r="C1972" s="2" t="s">
        <v>11</v>
      </c>
      <c r="D1972" s="6" t="str">
        <f>CONCATENATE(YEAR(A1972),"/",IF(MONTH(A1972)&lt;10,CONCATENATE("0",MONTH(A1972)),MONTH(A1972)))</f>
        <v>2025/04</v>
      </c>
      <c r="E1972" s="8">
        <f>IF(IF(D1972&lt;&gt;D1971,1,IF(OR(B1972&lt;&gt;B1971,A1972-A1971&gt;$U$1),1,""))&lt;&gt;1,"",IF(C1972="B01",1965,IF(C1972="B02",1020,IF(C1972="B05",2400,IF(C1972="B03",4260,IF(C1972="B04",2880,IF(C1972="B20",1260,0)))))))</f>
        <v>2400</v>
      </c>
      <c r="F1972" s="8">
        <f>IF(IF(D1972&lt;&gt;D1971,1,IF(OR(B1972&lt;&gt;B1971,A1972-A1971&gt;$U$1),1,""))&lt;&gt;1,"",IF(C1972="B01",1,IF(C1972="B05",1,IF(C1972="B03",1,IF(C1972="B04",1,IF(C1972="B20",1,IF(C1972="B02",1,0)))))))</f>
        <v>1</v>
      </c>
      <c r="G1972"/>
      <c r="H1972" s="2"/>
      <c r="I1972" s="2"/>
      <c r="L1972"/>
      <c r="R1972"/>
    </row>
    <row r="1973" spans="1:18">
      <c r="A1973" s="3">
        <v>45769.45921296296</v>
      </c>
      <c r="B1973" s="2" t="s">
        <v>28</v>
      </c>
      <c r="C1973" s="2" t="s">
        <v>11</v>
      </c>
      <c r="D1973" s="6" t="str">
        <f>CONCATENATE(YEAR(A1973),"/",IF(MONTH(A1973)&lt;10,CONCATENATE("0",MONTH(A1973)),MONTH(A1973)))</f>
        <v>2025/04</v>
      </c>
      <c r="E1973" s="8" t="str">
        <f>IF(IF(D1973&lt;&gt;D1972,1,IF(OR(B1973&lt;&gt;B1972,A1973-A1972&gt;$U$1),1,""))&lt;&gt;1,"",IF(C1973="B01",1965,IF(C1973="B02",1020,IF(C1973="B05",2400,IF(C1973="B03",4260,IF(C1973="B04",2880,IF(C1973="B20",1260,0)))))))</f>
        <v/>
      </c>
      <c r="F1973" s="8" t="str">
        <f>IF(IF(D1973&lt;&gt;D1972,1,IF(OR(B1973&lt;&gt;B1972,A1973-A1972&gt;$U$1),1,""))&lt;&gt;1,"",IF(C1973="B01",1,IF(C1973="B05",1,IF(C1973="B03",1,IF(C1973="B04",1,IF(C1973="B20",1,IF(C1973="B02",1,0)))))))</f>
        <v/>
      </c>
      <c r="G1973"/>
      <c r="H1973" s="2"/>
      <c r="I1973" s="2"/>
      <c r="L1973"/>
      <c r="R1973"/>
    </row>
    <row r="1974" spans="1:18">
      <c r="A1974" s="3">
        <v>45769.45921296296</v>
      </c>
      <c r="B1974" s="2" t="s">
        <v>28</v>
      </c>
      <c r="C1974" s="2" t="s">
        <v>11</v>
      </c>
      <c r="D1974" s="6" t="str">
        <f>CONCATENATE(YEAR(A1974),"/",IF(MONTH(A1974)&lt;10,CONCATENATE("0",MONTH(A1974)),MONTH(A1974)))</f>
        <v>2025/04</v>
      </c>
      <c r="E1974" s="8" t="str">
        <f>IF(IF(D1974&lt;&gt;D1973,1,IF(OR(B1974&lt;&gt;B1973,A1974-A1973&gt;$U$1),1,""))&lt;&gt;1,"",IF(C1974="B01",1965,IF(C1974="B02",1020,IF(C1974="B05",2400,IF(C1974="B03",4260,IF(C1974="B04",2880,IF(C1974="B20",1260,0)))))))</f>
        <v/>
      </c>
      <c r="F1974" s="8" t="str">
        <f>IF(IF(D1974&lt;&gt;D1973,1,IF(OR(B1974&lt;&gt;B1973,A1974-A1973&gt;$U$1),1,""))&lt;&gt;1,"",IF(C1974="B01",1,IF(C1974="B05",1,IF(C1974="B03",1,IF(C1974="B04",1,IF(C1974="B20",1,IF(C1974="B02",1,0)))))))</f>
        <v/>
      </c>
      <c r="G1974"/>
      <c r="H1974" s="2"/>
      <c r="I1974" s="2"/>
      <c r="L1974"/>
      <c r="R1974"/>
    </row>
    <row r="1975" spans="1:18">
      <c r="A1975" s="3">
        <v>45769.45921296296</v>
      </c>
      <c r="B1975" s="2" t="s">
        <v>28</v>
      </c>
      <c r="C1975" s="2" t="s">
        <v>11</v>
      </c>
      <c r="D1975" s="6" t="str">
        <f>CONCATENATE(YEAR(A1975),"/",IF(MONTH(A1975)&lt;10,CONCATENATE("0",MONTH(A1975)),MONTH(A1975)))</f>
        <v>2025/04</v>
      </c>
      <c r="E1975" s="8" t="str">
        <f>IF(IF(D1975&lt;&gt;D1974,1,IF(OR(B1975&lt;&gt;B1974,A1975-A1974&gt;$U$1),1,""))&lt;&gt;1,"",IF(C1975="B01",1965,IF(C1975="B02",1020,IF(C1975="B05",2400,IF(C1975="B03",4260,IF(C1975="B04",2880,IF(C1975="B20",1260,0)))))))</f>
        <v/>
      </c>
      <c r="F1975" s="8" t="str">
        <f>IF(IF(D1975&lt;&gt;D1974,1,IF(OR(B1975&lt;&gt;B1974,A1975-A1974&gt;$U$1),1,""))&lt;&gt;1,"",IF(C1975="B01",1,IF(C1975="B05",1,IF(C1975="B03",1,IF(C1975="B04",1,IF(C1975="B20",1,IF(C1975="B02",1,0)))))))</f>
        <v/>
      </c>
      <c r="G1975"/>
      <c r="H1975" s="2"/>
      <c r="I1975" s="2"/>
      <c r="L1975"/>
      <c r="R1975"/>
    </row>
    <row r="1976" spans="1:18">
      <c r="A1976" s="3">
        <v>45769.772002314814</v>
      </c>
      <c r="B1976" s="2" t="s">
        <v>28</v>
      </c>
      <c r="C1976" s="2" t="s">
        <v>11</v>
      </c>
      <c r="D1976" s="6" t="str">
        <f>CONCATENATE(YEAR(A1976),"/",IF(MONTH(A1976)&lt;10,CONCATENATE("0",MONTH(A1976)),MONTH(A1976)))</f>
        <v>2025/04</v>
      </c>
      <c r="E1976" s="8">
        <f>IF(IF(D1976&lt;&gt;D1975,1,IF(OR(B1976&lt;&gt;B1975,A1976-A1975&gt;$U$1),1,""))&lt;&gt;1,"",IF(C1976="B01",1965,IF(C1976="B02",1020,IF(C1976="B05",2400,IF(C1976="B03",4260,IF(C1976="B04",2880,IF(C1976="B20",1260,0)))))))</f>
        <v>2400</v>
      </c>
      <c r="F1976" s="8">
        <f>IF(IF(D1976&lt;&gt;D1975,1,IF(OR(B1976&lt;&gt;B1975,A1976-A1975&gt;$U$1),1,""))&lt;&gt;1,"",IF(C1976="B01",1,IF(C1976="B05",1,IF(C1976="B03",1,IF(C1976="B04",1,IF(C1976="B20",1,IF(C1976="B02",1,0)))))))</f>
        <v>1</v>
      </c>
      <c r="G1976"/>
      <c r="H1976" s="2"/>
      <c r="I1976" s="2"/>
      <c r="L1976"/>
      <c r="R1976"/>
    </row>
    <row r="1977" spans="1:18">
      <c r="A1977" s="3">
        <v>45769.772002314814</v>
      </c>
      <c r="B1977" s="2" t="s">
        <v>28</v>
      </c>
      <c r="C1977" s="2" t="s">
        <v>11</v>
      </c>
      <c r="D1977" s="6" t="str">
        <f>CONCATENATE(YEAR(A1977),"/",IF(MONTH(A1977)&lt;10,CONCATENATE("0",MONTH(A1977)),MONTH(A1977)))</f>
        <v>2025/04</v>
      </c>
      <c r="E1977" s="8" t="str">
        <f>IF(IF(D1977&lt;&gt;D1976,1,IF(OR(B1977&lt;&gt;B1976,A1977-A1976&gt;$U$1),1,""))&lt;&gt;1,"",IF(C1977="B01",1965,IF(C1977="B02",1020,IF(C1977="B05",2400,IF(C1977="B03",4260,IF(C1977="B04",2880,IF(C1977="B20",1260,0)))))))</f>
        <v/>
      </c>
      <c r="F1977" s="8" t="str">
        <f>IF(IF(D1977&lt;&gt;D1976,1,IF(OR(B1977&lt;&gt;B1976,A1977-A1976&gt;$U$1),1,""))&lt;&gt;1,"",IF(C1977="B01",1,IF(C1977="B05",1,IF(C1977="B03",1,IF(C1977="B04",1,IF(C1977="B20",1,IF(C1977="B02",1,0)))))))</f>
        <v/>
      </c>
      <c r="G1977"/>
      <c r="H1977" s="2"/>
      <c r="I1977" s="2"/>
      <c r="L1977"/>
      <c r="R1977"/>
    </row>
    <row r="1978" spans="1:18">
      <c r="A1978" s="3">
        <v>45769.772002314814</v>
      </c>
      <c r="B1978" s="2" t="s">
        <v>28</v>
      </c>
      <c r="C1978" s="2" t="s">
        <v>11</v>
      </c>
      <c r="D1978" s="6" t="str">
        <f>CONCATENATE(YEAR(A1978),"/",IF(MONTH(A1978)&lt;10,CONCATENATE("0",MONTH(A1978)),MONTH(A1978)))</f>
        <v>2025/04</v>
      </c>
      <c r="E1978" s="8" t="str">
        <f>IF(IF(D1978&lt;&gt;D1977,1,IF(OR(B1978&lt;&gt;B1977,A1978-A1977&gt;$U$1),1,""))&lt;&gt;1,"",IF(C1978="B01",1965,IF(C1978="B02",1020,IF(C1978="B05",2400,IF(C1978="B03",4260,IF(C1978="B04",2880,IF(C1978="B20",1260,0)))))))</f>
        <v/>
      </c>
      <c r="F1978" s="8" t="str">
        <f>IF(IF(D1978&lt;&gt;D1977,1,IF(OR(B1978&lt;&gt;B1977,A1978-A1977&gt;$U$1),1,""))&lt;&gt;1,"",IF(C1978="B01",1,IF(C1978="B05",1,IF(C1978="B03",1,IF(C1978="B04",1,IF(C1978="B20",1,IF(C1978="B02",1,0)))))))</f>
        <v/>
      </c>
      <c r="G1978"/>
      <c r="H1978" s="2"/>
      <c r="I1978" s="2"/>
      <c r="L1978"/>
      <c r="R1978"/>
    </row>
    <row r="1979" spans="1:18">
      <c r="A1979" s="3">
        <v>45770.072766203702</v>
      </c>
      <c r="B1979" s="2" t="s">
        <v>28</v>
      </c>
      <c r="C1979" s="2" t="s">
        <v>11</v>
      </c>
      <c r="D1979" s="6" t="str">
        <f>CONCATENATE(YEAR(A1979),"/",IF(MONTH(A1979)&lt;10,CONCATENATE("0",MONTH(A1979)),MONTH(A1979)))</f>
        <v>2025/04</v>
      </c>
      <c r="E1979" s="8">
        <f>IF(IF(D1979&lt;&gt;D1978,1,IF(OR(B1979&lt;&gt;B1978,A1979-A1978&gt;$U$1),1,""))&lt;&gt;1,"",IF(C1979="B01",1965,IF(C1979="B02",1020,IF(C1979="B05",2400,IF(C1979="B03",4260,IF(C1979="B04",2880,IF(C1979="B20",1260,0)))))))</f>
        <v>2400</v>
      </c>
      <c r="F1979" s="8">
        <f>IF(IF(D1979&lt;&gt;D1978,1,IF(OR(B1979&lt;&gt;B1978,A1979-A1978&gt;$U$1),1,""))&lt;&gt;1,"",IF(C1979="B01",1,IF(C1979="B05",1,IF(C1979="B03",1,IF(C1979="B04",1,IF(C1979="B20",1,IF(C1979="B02",1,0)))))))</f>
        <v>1</v>
      </c>
      <c r="G1979"/>
      <c r="H1979" s="2"/>
      <c r="I1979" s="2"/>
      <c r="L1979"/>
      <c r="R1979"/>
    </row>
    <row r="1980" spans="1:18">
      <c r="A1980" s="3">
        <v>45770.072766203702</v>
      </c>
      <c r="B1980" s="2" t="s">
        <v>28</v>
      </c>
      <c r="C1980" s="2" t="s">
        <v>11</v>
      </c>
      <c r="D1980" s="6" t="str">
        <f>CONCATENATE(YEAR(A1980),"/",IF(MONTH(A1980)&lt;10,CONCATENATE("0",MONTH(A1980)),MONTH(A1980)))</f>
        <v>2025/04</v>
      </c>
      <c r="E1980" s="8" t="str">
        <f>IF(IF(D1980&lt;&gt;D1979,1,IF(OR(B1980&lt;&gt;B1979,A1980-A1979&gt;$U$1),1,""))&lt;&gt;1,"",IF(C1980="B01",1965,IF(C1980="B02",1020,IF(C1980="B05",2400,IF(C1980="B03",4260,IF(C1980="B04",2880,IF(C1980="B20",1260,0)))))))</f>
        <v/>
      </c>
      <c r="F1980" s="8" t="str">
        <f>IF(IF(D1980&lt;&gt;D1979,1,IF(OR(B1980&lt;&gt;B1979,A1980-A1979&gt;$U$1),1,""))&lt;&gt;1,"",IF(C1980="B01",1,IF(C1980="B05",1,IF(C1980="B03",1,IF(C1980="B04",1,IF(C1980="B20",1,IF(C1980="B02",1,0)))))))</f>
        <v/>
      </c>
      <c r="G1980"/>
      <c r="H1980" s="2"/>
      <c r="I1980" s="2"/>
      <c r="L1980"/>
      <c r="R1980"/>
    </row>
    <row r="1981" spans="1:18">
      <c r="A1981" s="3">
        <v>45770.072766203702</v>
      </c>
      <c r="B1981" s="2" t="s">
        <v>28</v>
      </c>
      <c r="C1981" s="2" t="s">
        <v>11</v>
      </c>
      <c r="D1981" s="6" t="str">
        <f>CONCATENATE(YEAR(A1981),"/",IF(MONTH(A1981)&lt;10,CONCATENATE("0",MONTH(A1981)),MONTH(A1981)))</f>
        <v>2025/04</v>
      </c>
      <c r="E1981" s="8" t="str">
        <f>IF(IF(D1981&lt;&gt;D1980,1,IF(OR(B1981&lt;&gt;B1980,A1981-A1980&gt;$U$1),1,""))&lt;&gt;1,"",IF(C1981="B01",1965,IF(C1981="B02",1020,IF(C1981="B05",2400,IF(C1981="B03",4260,IF(C1981="B04",2880,IF(C1981="B20",1260,0)))))))</f>
        <v/>
      </c>
      <c r="F1981" s="8" t="str">
        <f>IF(IF(D1981&lt;&gt;D1980,1,IF(OR(B1981&lt;&gt;B1980,A1981-A1980&gt;$U$1),1,""))&lt;&gt;1,"",IF(C1981="B01",1,IF(C1981="B05",1,IF(C1981="B03",1,IF(C1981="B04",1,IF(C1981="B20",1,IF(C1981="B02",1,0)))))))</f>
        <v/>
      </c>
      <c r="G1981"/>
      <c r="H1981" s="2"/>
      <c r="I1981" s="2"/>
      <c r="L1981"/>
      <c r="R1981"/>
    </row>
    <row r="1982" spans="1:18">
      <c r="A1982" s="3">
        <v>45770.275462962964</v>
      </c>
      <c r="B1982" s="2" t="s">
        <v>28</v>
      </c>
      <c r="C1982" s="2" t="s">
        <v>11</v>
      </c>
      <c r="D1982" s="6" t="str">
        <f>CONCATENATE(YEAR(A1982),"/",IF(MONTH(A1982)&lt;10,CONCATENATE("0",MONTH(A1982)),MONTH(A1982)))</f>
        <v>2025/04</v>
      </c>
      <c r="E1982" s="8">
        <f>IF(IF(D1982&lt;&gt;D1981,1,IF(OR(B1982&lt;&gt;B1981,A1982-A1981&gt;$U$1),1,""))&lt;&gt;1,"",IF(C1982="B01",1965,IF(C1982="B02",1020,IF(C1982="B05",2400,IF(C1982="B03",4260,IF(C1982="B04",2880,IF(C1982="B20",1260,0)))))))</f>
        <v>2400</v>
      </c>
      <c r="F1982" s="8">
        <f>IF(IF(D1982&lt;&gt;D1981,1,IF(OR(B1982&lt;&gt;B1981,A1982-A1981&gt;$U$1),1,""))&lt;&gt;1,"",IF(C1982="B01",1,IF(C1982="B05",1,IF(C1982="B03",1,IF(C1982="B04",1,IF(C1982="B20",1,IF(C1982="B02",1,0)))))))</f>
        <v>1</v>
      </c>
      <c r="G1982"/>
      <c r="H1982" s="2"/>
      <c r="I1982" s="2"/>
      <c r="L1982"/>
      <c r="R1982"/>
    </row>
    <row r="1983" spans="1:18">
      <c r="A1983" s="3">
        <v>45770.27547453704</v>
      </c>
      <c r="B1983" s="2" t="s">
        <v>28</v>
      </c>
      <c r="C1983" s="2" t="s">
        <v>11</v>
      </c>
      <c r="D1983" s="6" t="str">
        <f>CONCATENATE(YEAR(A1983),"/",IF(MONTH(A1983)&lt;10,CONCATENATE("0",MONTH(A1983)),MONTH(A1983)))</f>
        <v>2025/04</v>
      </c>
      <c r="E1983" s="8" t="str">
        <f>IF(IF(D1983&lt;&gt;D1982,1,IF(OR(B1983&lt;&gt;B1982,A1983-A1982&gt;$U$1),1,""))&lt;&gt;1,"",IF(C1983="B01",1965,IF(C1983="B02",1020,IF(C1983="B05",2400,IF(C1983="B03",4260,IF(C1983="B04",2880,IF(C1983="B20",1260,0)))))))</f>
        <v/>
      </c>
      <c r="F1983" s="8" t="str">
        <f>IF(IF(D1983&lt;&gt;D1982,1,IF(OR(B1983&lt;&gt;B1982,A1983-A1982&gt;$U$1),1,""))&lt;&gt;1,"",IF(C1983="B01",1,IF(C1983="B05",1,IF(C1983="B03",1,IF(C1983="B04",1,IF(C1983="B20",1,IF(C1983="B02",1,0)))))))</f>
        <v/>
      </c>
      <c r="G1983"/>
      <c r="H1983" s="2"/>
      <c r="I1983" s="2"/>
      <c r="L1983"/>
      <c r="R1983"/>
    </row>
    <row r="1984" spans="1:18">
      <c r="A1984" s="3">
        <v>45770.27547453704</v>
      </c>
      <c r="B1984" s="2" t="s">
        <v>28</v>
      </c>
      <c r="C1984" s="2" t="s">
        <v>11</v>
      </c>
      <c r="D1984" s="6" t="str">
        <f>CONCATENATE(YEAR(A1984),"/",IF(MONTH(A1984)&lt;10,CONCATENATE("0",MONTH(A1984)),MONTH(A1984)))</f>
        <v>2025/04</v>
      </c>
      <c r="E1984" s="8" t="str">
        <f>IF(IF(D1984&lt;&gt;D1983,1,IF(OR(B1984&lt;&gt;B1983,A1984-A1983&gt;$U$1),1,""))&lt;&gt;1,"",IF(C1984="B01",1965,IF(C1984="B02",1020,IF(C1984="B05",2400,IF(C1984="B03",4260,IF(C1984="B04",2880,IF(C1984="B20",1260,0)))))))</f>
        <v/>
      </c>
      <c r="F1984" s="8" t="str">
        <f>IF(IF(D1984&lt;&gt;D1983,1,IF(OR(B1984&lt;&gt;B1983,A1984-A1983&gt;$U$1),1,""))&lt;&gt;1,"",IF(C1984="B01",1,IF(C1984="B05",1,IF(C1984="B03",1,IF(C1984="B04",1,IF(C1984="B20",1,IF(C1984="B02",1,0)))))))</f>
        <v/>
      </c>
      <c r="G1984"/>
      <c r="H1984" s="2"/>
      <c r="I1984" s="2"/>
      <c r="L1984"/>
      <c r="R1984"/>
    </row>
    <row r="1985" spans="1:18">
      <c r="A1985" s="3">
        <v>45770.27547453704</v>
      </c>
      <c r="B1985" s="2" t="s">
        <v>28</v>
      </c>
      <c r="C1985" s="2" t="s">
        <v>11</v>
      </c>
      <c r="D1985" s="6" t="str">
        <f>CONCATENATE(YEAR(A1985),"/",IF(MONTH(A1985)&lt;10,CONCATENATE("0",MONTH(A1985)),MONTH(A1985)))</f>
        <v>2025/04</v>
      </c>
      <c r="E1985" s="8" t="str">
        <f>IF(IF(D1985&lt;&gt;D1984,1,IF(OR(B1985&lt;&gt;B1984,A1985-A1984&gt;$U$1),1,""))&lt;&gt;1,"",IF(C1985="B01",1965,IF(C1985="B02",1020,IF(C1985="B05",2400,IF(C1985="B03",4260,IF(C1985="B04",2880,IF(C1985="B20",1260,0)))))))</f>
        <v/>
      </c>
      <c r="F1985" s="8" t="str">
        <f>IF(IF(D1985&lt;&gt;D1984,1,IF(OR(B1985&lt;&gt;B1984,A1985-A1984&gt;$U$1),1,""))&lt;&gt;1,"",IF(C1985="B01",1,IF(C1985="B05",1,IF(C1985="B03",1,IF(C1985="B04",1,IF(C1985="B20",1,IF(C1985="B02",1,0)))))))</f>
        <v/>
      </c>
      <c r="G1985"/>
      <c r="H1985" s="2"/>
      <c r="I1985" s="2"/>
      <c r="L1985"/>
      <c r="R1985"/>
    </row>
    <row r="1986" spans="1:18">
      <c r="A1986" s="3">
        <v>45770.48101851852</v>
      </c>
      <c r="B1986" s="2" t="s">
        <v>28</v>
      </c>
      <c r="C1986" s="2" t="s">
        <v>11</v>
      </c>
      <c r="D1986" s="6" t="str">
        <f>CONCATENATE(YEAR(A1986),"/",IF(MONTH(A1986)&lt;10,CONCATENATE("0",MONTH(A1986)),MONTH(A1986)))</f>
        <v>2025/04</v>
      </c>
      <c r="E1986" s="8">
        <f>IF(IF(D1986&lt;&gt;D1985,1,IF(OR(B1986&lt;&gt;B1985,A1986-A1985&gt;$U$1),1,""))&lt;&gt;1,"",IF(C1986="B01",1965,IF(C1986="B02",1020,IF(C1986="B05",2400,IF(C1986="B03",4260,IF(C1986="B04",2880,IF(C1986="B20",1260,0)))))))</f>
        <v>2400</v>
      </c>
      <c r="F1986" s="8">
        <f>IF(IF(D1986&lt;&gt;D1985,1,IF(OR(B1986&lt;&gt;B1985,A1986-A1985&gt;$U$1),1,""))&lt;&gt;1,"",IF(C1986="B01",1,IF(C1986="B05",1,IF(C1986="B03",1,IF(C1986="B04",1,IF(C1986="B20",1,IF(C1986="B02",1,0)))))))</f>
        <v>1</v>
      </c>
      <c r="G1986"/>
      <c r="H1986" s="2"/>
      <c r="I1986" s="2"/>
      <c r="L1986"/>
      <c r="R1986"/>
    </row>
    <row r="1987" spans="1:18">
      <c r="A1987" s="3">
        <v>45770.48101851852</v>
      </c>
      <c r="B1987" s="2" t="s">
        <v>28</v>
      </c>
      <c r="C1987" s="2" t="s">
        <v>11</v>
      </c>
      <c r="D1987" s="6" t="str">
        <f>CONCATENATE(YEAR(A1987),"/",IF(MONTH(A1987)&lt;10,CONCATENATE("0",MONTH(A1987)),MONTH(A1987)))</f>
        <v>2025/04</v>
      </c>
      <c r="E1987" s="8" t="str">
        <f>IF(IF(D1987&lt;&gt;D1986,1,IF(OR(B1987&lt;&gt;B1986,A1987-A1986&gt;$U$1),1,""))&lt;&gt;1,"",IF(C1987="B01",1965,IF(C1987="B02",1020,IF(C1987="B05",2400,IF(C1987="B03",4260,IF(C1987="B04",2880,IF(C1987="B20",1260,0)))))))</f>
        <v/>
      </c>
      <c r="F1987" s="8" t="str">
        <f>IF(IF(D1987&lt;&gt;D1986,1,IF(OR(B1987&lt;&gt;B1986,A1987-A1986&gt;$U$1),1,""))&lt;&gt;1,"",IF(C1987="B01",1,IF(C1987="B05",1,IF(C1987="B03",1,IF(C1987="B04",1,IF(C1987="B20",1,IF(C1987="B02",1,0)))))))</f>
        <v/>
      </c>
      <c r="G1987"/>
      <c r="H1987" s="2"/>
      <c r="I1987" s="2"/>
      <c r="L1987"/>
      <c r="R1987"/>
    </row>
    <row r="1988" spans="1:18">
      <c r="A1988" s="3">
        <v>45770.48101851852</v>
      </c>
      <c r="B1988" s="2" t="s">
        <v>28</v>
      </c>
      <c r="C1988" s="2" t="s">
        <v>11</v>
      </c>
      <c r="D1988" s="6" t="str">
        <f>CONCATENATE(YEAR(A1988),"/",IF(MONTH(A1988)&lt;10,CONCATENATE("0",MONTH(A1988)),MONTH(A1988)))</f>
        <v>2025/04</v>
      </c>
      <c r="E1988" s="8" t="str">
        <f>IF(IF(D1988&lt;&gt;D1987,1,IF(OR(B1988&lt;&gt;B1987,A1988-A1987&gt;$U$1),1,""))&lt;&gt;1,"",IF(C1988="B01",1965,IF(C1988="B02",1020,IF(C1988="B05",2400,IF(C1988="B03",4260,IF(C1988="B04",2880,IF(C1988="B20",1260,0)))))))</f>
        <v/>
      </c>
      <c r="F1988" s="8" t="str">
        <f>IF(IF(D1988&lt;&gt;D1987,1,IF(OR(B1988&lt;&gt;B1987,A1988-A1987&gt;$U$1),1,""))&lt;&gt;1,"",IF(C1988="B01",1,IF(C1988="B05",1,IF(C1988="B03",1,IF(C1988="B04",1,IF(C1988="B20",1,IF(C1988="B02",1,0)))))))</f>
        <v/>
      </c>
      <c r="G1988"/>
      <c r="H1988" s="2"/>
      <c r="I1988" s="2"/>
      <c r="L1988"/>
      <c r="R1988"/>
    </row>
    <row r="1989" spans="1:18">
      <c r="A1989" s="3">
        <v>45770.750636574077</v>
      </c>
      <c r="B1989" s="2" t="s">
        <v>28</v>
      </c>
      <c r="C1989" s="2" t="s">
        <v>11</v>
      </c>
      <c r="D1989" s="6" t="str">
        <f>CONCATENATE(YEAR(A1989),"/",IF(MONTH(A1989)&lt;10,CONCATENATE("0",MONTH(A1989)),MONTH(A1989)))</f>
        <v>2025/04</v>
      </c>
      <c r="E1989" s="8">
        <f>IF(IF(D1989&lt;&gt;D1988,1,IF(OR(B1989&lt;&gt;B1988,A1989-A1988&gt;$U$1),1,""))&lt;&gt;1,"",IF(C1989="B01",1965,IF(C1989="B02",1020,IF(C1989="B05",2400,IF(C1989="B03",4260,IF(C1989="B04",2880,IF(C1989="B20",1260,0)))))))</f>
        <v>2400</v>
      </c>
      <c r="F1989" s="8">
        <f>IF(IF(D1989&lt;&gt;D1988,1,IF(OR(B1989&lt;&gt;B1988,A1989-A1988&gt;$U$1),1,""))&lt;&gt;1,"",IF(C1989="B01",1,IF(C1989="B05",1,IF(C1989="B03",1,IF(C1989="B04",1,IF(C1989="B20",1,IF(C1989="B02",1,0)))))))</f>
        <v>1</v>
      </c>
      <c r="G1989"/>
      <c r="H1989" s="2"/>
      <c r="I1989" s="2"/>
      <c r="L1989"/>
      <c r="R1989"/>
    </row>
    <row r="1990" spans="1:18">
      <c r="A1990" s="3">
        <v>45770.750636574077</v>
      </c>
      <c r="B1990" s="2" t="s">
        <v>28</v>
      </c>
      <c r="C1990" s="2" t="s">
        <v>11</v>
      </c>
      <c r="D1990" s="6" t="str">
        <f>CONCATENATE(YEAR(A1990),"/",IF(MONTH(A1990)&lt;10,CONCATENATE("0",MONTH(A1990)),MONTH(A1990)))</f>
        <v>2025/04</v>
      </c>
      <c r="E1990" s="8" t="str">
        <f>IF(IF(D1990&lt;&gt;D1989,1,IF(OR(B1990&lt;&gt;B1989,A1990-A1989&gt;$U$1),1,""))&lt;&gt;1,"",IF(C1990="B01",1965,IF(C1990="B02",1020,IF(C1990="B05",2400,IF(C1990="B03",4260,IF(C1990="B04",2880,IF(C1990="B20",1260,0)))))))</f>
        <v/>
      </c>
      <c r="F1990" s="8" t="str">
        <f>IF(IF(D1990&lt;&gt;D1989,1,IF(OR(B1990&lt;&gt;B1989,A1990-A1989&gt;$U$1),1,""))&lt;&gt;1,"",IF(C1990="B01",1,IF(C1990="B05",1,IF(C1990="B03",1,IF(C1990="B04",1,IF(C1990="B20",1,IF(C1990="B02",1,0)))))))</f>
        <v/>
      </c>
      <c r="G1990"/>
      <c r="H1990" s="2"/>
      <c r="I1990" s="2"/>
      <c r="L1990"/>
      <c r="R1990"/>
    </row>
    <row r="1991" spans="1:18">
      <c r="A1991" s="3">
        <v>45770.750636574077</v>
      </c>
      <c r="B1991" s="2" t="s">
        <v>28</v>
      </c>
      <c r="C1991" s="2" t="s">
        <v>11</v>
      </c>
      <c r="D1991" s="6" t="str">
        <f>CONCATENATE(YEAR(A1991),"/",IF(MONTH(A1991)&lt;10,CONCATENATE("0",MONTH(A1991)),MONTH(A1991)))</f>
        <v>2025/04</v>
      </c>
      <c r="E1991" s="8" t="str">
        <f>IF(IF(D1991&lt;&gt;D1990,1,IF(OR(B1991&lt;&gt;B1990,A1991-A1990&gt;$U$1),1,""))&lt;&gt;1,"",IF(C1991="B01",1965,IF(C1991="B02",1020,IF(C1991="B05",2400,IF(C1991="B03",4260,IF(C1991="B04",2880,IF(C1991="B20",1260,0)))))))</f>
        <v/>
      </c>
      <c r="F1991" s="8" t="str">
        <f>IF(IF(D1991&lt;&gt;D1990,1,IF(OR(B1991&lt;&gt;B1990,A1991-A1990&gt;$U$1),1,""))&lt;&gt;1,"",IF(C1991="B01",1,IF(C1991="B05",1,IF(C1991="B03",1,IF(C1991="B04",1,IF(C1991="B20",1,IF(C1991="B02",1,0)))))))</f>
        <v/>
      </c>
      <c r="G1991"/>
      <c r="H1991" s="2"/>
      <c r="I1991" s="2"/>
      <c r="L1991"/>
      <c r="R1991"/>
    </row>
    <row r="1992" spans="1:18">
      <c r="A1992" s="3">
        <v>45770.750636574077</v>
      </c>
      <c r="B1992" s="2" t="s">
        <v>28</v>
      </c>
      <c r="C1992" s="2" t="s">
        <v>11</v>
      </c>
      <c r="D1992" s="6" t="str">
        <f>CONCATENATE(YEAR(A1992),"/",IF(MONTH(A1992)&lt;10,CONCATENATE("0",MONTH(A1992)),MONTH(A1992)))</f>
        <v>2025/04</v>
      </c>
      <c r="E1992" s="8" t="str">
        <f>IF(IF(D1992&lt;&gt;D1991,1,IF(OR(B1992&lt;&gt;B1991,A1992-A1991&gt;$U$1),1,""))&lt;&gt;1,"",IF(C1992="B01",1965,IF(C1992="B02",1020,IF(C1992="B05",2400,IF(C1992="B03",4260,IF(C1992="B04",2880,IF(C1992="B20",1260,0)))))))</f>
        <v/>
      </c>
      <c r="F1992" s="8" t="str">
        <f>IF(IF(D1992&lt;&gt;D1991,1,IF(OR(B1992&lt;&gt;B1991,A1992-A1991&gt;$U$1),1,""))&lt;&gt;1,"",IF(C1992="B01",1,IF(C1992="B05",1,IF(C1992="B03",1,IF(C1992="B04",1,IF(C1992="B20",1,IF(C1992="B02",1,0)))))))</f>
        <v/>
      </c>
      <c r="G1992"/>
      <c r="H1992" s="2"/>
      <c r="I1992" s="2"/>
      <c r="L1992"/>
      <c r="R1992"/>
    </row>
    <row r="1993" spans="1:18">
      <c r="A1993" s="3">
        <v>45771.007268518515</v>
      </c>
      <c r="B1993" s="2" t="s">
        <v>28</v>
      </c>
      <c r="C1993" s="2" t="s">
        <v>11</v>
      </c>
      <c r="D1993" s="6" t="str">
        <f>CONCATENATE(YEAR(A1993),"/",IF(MONTH(A1993)&lt;10,CONCATENATE("0",MONTH(A1993)),MONTH(A1993)))</f>
        <v>2025/04</v>
      </c>
      <c r="E1993" s="8">
        <f>IF(IF(D1993&lt;&gt;D1992,1,IF(OR(B1993&lt;&gt;B1992,A1993-A1992&gt;$U$1),1,""))&lt;&gt;1,"",IF(C1993="B01",1965,IF(C1993="B02",1020,IF(C1993="B05",2400,IF(C1993="B03",4260,IF(C1993="B04",2880,IF(C1993="B20",1260,0)))))))</f>
        <v>2400</v>
      </c>
      <c r="F1993" s="8">
        <f>IF(IF(D1993&lt;&gt;D1992,1,IF(OR(B1993&lt;&gt;B1992,A1993-A1992&gt;$U$1),1,""))&lt;&gt;1,"",IF(C1993="B01",1,IF(C1993="B05",1,IF(C1993="B03",1,IF(C1993="B04",1,IF(C1993="B20",1,IF(C1993="B02",1,0)))))))</f>
        <v>1</v>
      </c>
      <c r="G1993"/>
      <c r="H1993" s="2"/>
      <c r="I1993" s="2"/>
      <c r="L1993"/>
      <c r="R1993"/>
    </row>
    <row r="1994" spans="1:18">
      <c r="A1994" s="3">
        <v>45771.007268518515</v>
      </c>
      <c r="B1994" s="2" t="s">
        <v>28</v>
      </c>
      <c r="C1994" s="2" t="s">
        <v>11</v>
      </c>
      <c r="D1994" s="6" t="str">
        <f>CONCATENATE(YEAR(A1994),"/",IF(MONTH(A1994)&lt;10,CONCATENATE("0",MONTH(A1994)),MONTH(A1994)))</f>
        <v>2025/04</v>
      </c>
      <c r="E1994" s="8" t="str">
        <f>IF(IF(D1994&lt;&gt;D1993,1,IF(OR(B1994&lt;&gt;B1993,A1994-A1993&gt;$U$1),1,""))&lt;&gt;1,"",IF(C1994="B01",1965,IF(C1994="B02",1020,IF(C1994="B05",2400,IF(C1994="B03",4260,IF(C1994="B04",2880,IF(C1994="B20",1260,0)))))))</f>
        <v/>
      </c>
      <c r="F1994" s="8" t="str">
        <f>IF(IF(D1994&lt;&gt;D1993,1,IF(OR(B1994&lt;&gt;B1993,A1994-A1993&gt;$U$1),1,""))&lt;&gt;1,"",IF(C1994="B01",1,IF(C1994="B05",1,IF(C1994="B03",1,IF(C1994="B04",1,IF(C1994="B20",1,IF(C1994="B02",1,0)))))))</f>
        <v/>
      </c>
      <c r="G1994"/>
      <c r="H1994" s="2"/>
      <c r="I1994" s="2"/>
      <c r="L1994"/>
      <c r="R1994"/>
    </row>
    <row r="1995" spans="1:18">
      <c r="A1995" s="3">
        <v>45771.007268518515</v>
      </c>
      <c r="B1995" s="2" t="s">
        <v>28</v>
      </c>
      <c r="C1995" s="2" t="s">
        <v>11</v>
      </c>
      <c r="D1995" s="6" t="str">
        <f>CONCATENATE(YEAR(A1995),"/",IF(MONTH(A1995)&lt;10,CONCATENATE("0",MONTH(A1995)),MONTH(A1995)))</f>
        <v>2025/04</v>
      </c>
      <c r="E1995" s="8" t="str">
        <f>IF(IF(D1995&lt;&gt;D1994,1,IF(OR(B1995&lt;&gt;B1994,A1995-A1994&gt;$U$1),1,""))&lt;&gt;1,"",IF(C1995="B01",1965,IF(C1995="B02",1020,IF(C1995="B05",2400,IF(C1995="B03",4260,IF(C1995="B04",2880,IF(C1995="B20",1260,0)))))))</f>
        <v/>
      </c>
      <c r="F1995" s="8" t="str">
        <f>IF(IF(D1995&lt;&gt;D1994,1,IF(OR(B1995&lt;&gt;B1994,A1995-A1994&gt;$U$1),1,""))&lt;&gt;1,"",IF(C1995="B01",1,IF(C1995="B05",1,IF(C1995="B03",1,IF(C1995="B04",1,IF(C1995="B20",1,IF(C1995="B02",1,0)))))))</f>
        <v/>
      </c>
      <c r="G1995"/>
      <c r="H1995" s="2"/>
      <c r="I1995" s="2"/>
      <c r="L1995"/>
      <c r="R1995"/>
    </row>
    <row r="1996" spans="1:18">
      <c r="A1996" s="3">
        <v>45771.209386574075</v>
      </c>
      <c r="B1996" s="2" t="s">
        <v>28</v>
      </c>
      <c r="C1996" s="2" t="s">
        <v>11</v>
      </c>
      <c r="D1996" s="6" t="str">
        <f>CONCATENATE(YEAR(A1996),"/",IF(MONTH(A1996)&lt;10,CONCATENATE("0",MONTH(A1996)),MONTH(A1996)))</f>
        <v>2025/04</v>
      </c>
      <c r="E1996" s="8">
        <f>IF(IF(D1996&lt;&gt;D1995,1,IF(OR(B1996&lt;&gt;B1995,A1996-A1995&gt;$U$1),1,""))&lt;&gt;1,"",IF(C1996="B01",1965,IF(C1996="B02",1020,IF(C1996="B05",2400,IF(C1996="B03",4260,IF(C1996="B04",2880,IF(C1996="B20",1260,0)))))))</f>
        <v>2400</v>
      </c>
      <c r="F1996" s="8">
        <f>IF(IF(D1996&lt;&gt;D1995,1,IF(OR(B1996&lt;&gt;B1995,A1996-A1995&gt;$U$1),1,""))&lt;&gt;1,"",IF(C1996="B01",1,IF(C1996="B05",1,IF(C1996="B03",1,IF(C1996="B04",1,IF(C1996="B20",1,IF(C1996="B02",1,0)))))))</f>
        <v>1</v>
      </c>
      <c r="G1996"/>
      <c r="H1996" s="2"/>
      <c r="I1996" s="2"/>
      <c r="L1996"/>
      <c r="R1996"/>
    </row>
    <row r="1997" spans="1:18">
      <c r="A1997" s="3">
        <v>45771.209386574075</v>
      </c>
      <c r="B1997" s="2" t="s">
        <v>28</v>
      </c>
      <c r="C1997" s="2" t="s">
        <v>11</v>
      </c>
      <c r="D1997" s="6" t="str">
        <f>CONCATENATE(YEAR(A1997),"/",IF(MONTH(A1997)&lt;10,CONCATENATE("0",MONTH(A1997)),MONTH(A1997)))</f>
        <v>2025/04</v>
      </c>
      <c r="E1997" s="8" t="str">
        <f>IF(IF(D1997&lt;&gt;D1996,1,IF(OR(B1997&lt;&gt;B1996,A1997-A1996&gt;$U$1),1,""))&lt;&gt;1,"",IF(C1997="B01",1965,IF(C1997="B02",1020,IF(C1997="B05",2400,IF(C1997="B03",4260,IF(C1997="B04",2880,IF(C1997="B20",1260,0)))))))</f>
        <v/>
      </c>
      <c r="F1997" s="8" t="str">
        <f>IF(IF(D1997&lt;&gt;D1996,1,IF(OR(B1997&lt;&gt;B1996,A1997-A1996&gt;$U$1),1,""))&lt;&gt;1,"",IF(C1997="B01",1,IF(C1997="B05",1,IF(C1997="B03",1,IF(C1997="B04",1,IF(C1997="B20",1,IF(C1997="B02",1,0)))))))</f>
        <v/>
      </c>
      <c r="G1997"/>
      <c r="H1997" s="2"/>
      <c r="I1997" s="2"/>
      <c r="L1997"/>
      <c r="R1997"/>
    </row>
    <row r="1998" spans="1:18">
      <c r="A1998" s="3">
        <v>45771.209386574075</v>
      </c>
      <c r="B1998" s="2" t="s">
        <v>28</v>
      </c>
      <c r="C1998" s="2" t="s">
        <v>11</v>
      </c>
      <c r="D1998" s="6" t="str">
        <f>CONCATENATE(YEAR(A1998),"/",IF(MONTH(A1998)&lt;10,CONCATENATE("0",MONTH(A1998)),MONTH(A1998)))</f>
        <v>2025/04</v>
      </c>
      <c r="E1998" s="8" t="str">
        <f>IF(IF(D1998&lt;&gt;D1997,1,IF(OR(B1998&lt;&gt;B1997,A1998-A1997&gt;$U$1),1,""))&lt;&gt;1,"",IF(C1998="B01",1965,IF(C1998="B02",1020,IF(C1998="B05",2400,IF(C1998="B03",4260,IF(C1998="B04",2880,IF(C1998="B20",1260,0)))))))</f>
        <v/>
      </c>
      <c r="F1998" s="8" t="str">
        <f>IF(IF(D1998&lt;&gt;D1997,1,IF(OR(B1998&lt;&gt;B1997,A1998-A1997&gt;$U$1),1,""))&lt;&gt;1,"",IF(C1998="B01",1,IF(C1998="B05",1,IF(C1998="B03",1,IF(C1998="B04",1,IF(C1998="B20",1,IF(C1998="B02",1,0)))))))</f>
        <v/>
      </c>
      <c r="G1998"/>
      <c r="H1998" s="2"/>
      <c r="I1998" s="2"/>
      <c r="L1998"/>
      <c r="R1998"/>
    </row>
    <row r="1999" spans="1:18">
      <c r="A1999" s="3">
        <v>45771.457743055558</v>
      </c>
      <c r="B1999" s="2" t="s">
        <v>28</v>
      </c>
      <c r="C1999" s="2" t="s">
        <v>11</v>
      </c>
      <c r="D1999" s="6" t="str">
        <f>CONCATENATE(YEAR(A1999),"/",IF(MONTH(A1999)&lt;10,CONCATENATE("0",MONTH(A1999)),MONTH(A1999)))</f>
        <v>2025/04</v>
      </c>
      <c r="E1999" s="8">
        <f>IF(IF(D1999&lt;&gt;D1998,1,IF(OR(B1999&lt;&gt;B1998,A1999-A1998&gt;$U$1),1,""))&lt;&gt;1,"",IF(C1999="B01",1965,IF(C1999="B02",1020,IF(C1999="B05",2400,IF(C1999="B03",4260,IF(C1999="B04",2880,IF(C1999="B20",1260,0)))))))</f>
        <v>2400</v>
      </c>
      <c r="F1999" s="8">
        <f>IF(IF(D1999&lt;&gt;D1998,1,IF(OR(B1999&lt;&gt;B1998,A1999-A1998&gt;$U$1),1,""))&lt;&gt;1,"",IF(C1999="B01",1,IF(C1999="B05",1,IF(C1999="B03",1,IF(C1999="B04",1,IF(C1999="B20",1,IF(C1999="B02",1,0)))))))</f>
        <v>1</v>
      </c>
      <c r="G1999"/>
      <c r="H1999" s="2"/>
      <c r="I1999" s="2"/>
      <c r="L1999"/>
      <c r="R1999"/>
    </row>
    <row r="2000" spans="1:18">
      <c r="A2000" s="3">
        <v>45771.457743055558</v>
      </c>
      <c r="B2000" s="2" t="s">
        <v>28</v>
      </c>
      <c r="C2000" s="2" t="s">
        <v>11</v>
      </c>
      <c r="D2000" s="6" t="str">
        <f>CONCATENATE(YEAR(A2000),"/",IF(MONTH(A2000)&lt;10,CONCATENATE("0",MONTH(A2000)),MONTH(A2000)))</f>
        <v>2025/04</v>
      </c>
      <c r="E2000" s="8" t="str">
        <f>IF(IF(D2000&lt;&gt;D1999,1,IF(OR(B2000&lt;&gt;B1999,A2000-A1999&gt;$U$1),1,""))&lt;&gt;1,"",IF(C2000="B01",1965,IF(C2000="B02",1020,IF(C2000="B05",2400,IF(C2000="B03",4260,IF(C2000="B04",2880,IF(C2000="B20",1260,0)))))))</f>
        <v/>
      </c>
      <c r="F2000" s="8" t="str">
        <f>IF(IF(D2000&lt;&gt;D1999,1,IF(OR(B2000&lt;&gt;B1999,A2000-A1999&gt;$U$1),1,""))&lt;&gt;1,"",IF(C2000="B01",1,IF(C2000="B05",1,IF(C2000="B03",1,IF(C2000="B04",1,IF(C2000="B20",1,IF(C2000="B02",1,0)))))))</f>
        <v/>
      </c>
      <c r="G2000"/>
      <c r="H2000" s="2"/>
      <c r="I2000" s="2"/>
      <c r="L2000"/>
      <c r="R2000"/>
    </row>
    <row r="2001" spans="1:18">
      <c r="A2001" s="3">
        <v>45771.457743055558</v>
      </c>
      <c r="B2001" s="2" t="s">
        <v>28</v>
      </c>
      <c r="C2001" s="2" t="s">
        <v>11</v>
      </c>
      <c r="D2001" s="6" t="str">
        <f>CONCATENATE(YEAR(A2001),"/",IF(MONTH(A2001)&lt;10,CONCATENATE("0",MONTH(A2001)),MONTH(A2001)))</f>
        <v>2025/04</v>
      </c>
      <c r="E2001" s="8" t="str">
        <f>IF(IF(D2001&lt;&gt;D2000,1,IF(OR(B2001&lt;&gt;B2000,A2001-A2000&gt;$U$1),1,""))&lt;&gt;1,"",IF(C2001="B01",1965,IF(C2001="B02",1020,IF(C2001="B05",2400,IF(C2001="B03",4260,IF(C2001="B04",2880,IF(C2001="B20",1260,0)))))))</f>
        <v/>
      </c>
      <c r="F2001" s="8" t="str">
        <f>IF(IF(D2001&lt;&gt;D2000,1,IF(OR(B2001&lt;&gt;B2000,A2001-A2000&gt;$U$1),1,""))&lt;&gt;1,"",IF(C2001="B01",1,IF(C2001="B05",1,IF(C2001="B03",1,IF(C2001="B04",1,IF(C2001="B20",1,IF(C2001="B02",1,0)))))))</f>
        <v/>
      </c>
      <c r="G2001"/>
      <c r="H2001" s="2"/>
      <c r="I2001" s="2"/>
      <c r="L2001"/>
      <c r="R2001"/>
    </row>
    <row r="2002" spans="1:18">
      <c r="A2002" s="3">
        <v>45771.457743055558</v>
      </c>
      <c r="B2002" s="2" t="s">
        <v>28</v>
      </c>
      <c r="C2002" s="2" t="s">
        <v>11</v>
      </c>
      <c r="D2002" s="6" t="str">
        <f>CONCATENATE(YEAR(A2002),"/",IF(MONTH(A2002)&lt;10,CONCATENATE("0",MONTH(A2002)),MONTH(A2002)))</f>
        <v>2025/04</v>
      </c>
      <c r="E2002" s="8" t="str">
        <f>IF(IF(D2002&lt;&gt;D2001,1,IF(OR(B2002&lt;&gt;B2001,A2002-A2001&gt;$U$1),1,""))&lt;&gt;1,"",IF(C2002="B01",1965,IF(C2002="B02",1020,IF(C2002="B05",2400,IF(C2002="B03",4260,IF(C2002="B04",2880,IF(C2002="B20",1260,0)))))))</f>
        <v/>
      </c>
      <c r="F2002" s="8" t="str">
        <f>IF(IF(D2002&lt;&gt;D2001,1,IF(OR(B2002&lt;&gt;B2001,A2002-A2001&gt;$U$1),1,""))&lt;&gt;1,"",IF(C2002="B01",1,IF(C2002="B05",1,IF(C2002="B03",1,IF(C2002="B04",1,IF(C2002="B20",1,IF(C2002="B02",1,0)))))))</f>
        <v/>
      </c>
      <c r="G2002"/>
      <c r="H2002" s="2"/>
      <c r="I2002" s="2"/>
      <c r="L2002"/>
      <c r="R2002"/>
    </row>
    <row r="2003" spans="1:18">
      <c r="A2003" s="3">
        <v>45771.656909722224</v>
      </c>
      <c r="B2003" s="2" t="s">
        <v>28</v>
      </c>
      <c r="C2003" s="2" t="s">
        <v>11</v>
      </c>
      <c r="D2003" s="6" t="str">
        <f>CONCATENATE(YEAR(A2003),"/",IF(MONTH(A2003)&lt;10,CONCATENATE("0",MONTH(A2003)),MONTH(A2003)))</f>
        <v>2025/04</v>
      </c>
      <c r="E2003" s="8">
        <f>IF(IF(D2003&lt;&gt;D2002,1,IF(OR(B2003&lt;&gt;B2002,A2003-A2002&gt;$U$1),1,""))&lt;&gt;1,"",IF(C2003="B01",1965,IF(C2003="B02",1020,IF(C2003="B05",2400,IF(C2003="B03",4260,IF(C2003="B04",2880,IF(C2003="B20",1260,0)))))))</f>
        <v>2400</v>
      </c>
      <c r="F2003" s="8">
        <f>IF(IF(D2003&lt;&gt;D2002,1,IF(OR(B2003&lt;&gt;B2002,A2003-A2002&gt;$U$1),1,""))&lt;&gt;1,"",IF(C2003="B01",1,IF(C2003="B05",1,IF(C2003="B03",1,IF(C2003="B04",1,IF(C2003="B20",1,IF(C2003="B02",1,0)))))))</f>
        <v>1</v>
      </c>
      <c r="G2003"/>
      <c r="H2003" s="2"/>
      <c r="I2003" s="2"/>
      <c r="L2003"/>
      <c r="R2003"/>
    </row>
    <row r="2004" spans="1:18">
      <c r="A2004" s="3">
        <v>45771.656909722224</v>
      </c>
      <c r="B2004" s="2" t="s">
        <v>28</v>
      </c>
      <c r="C2004" s="2" t="s">
        <v>11</v>
      </c>
      <c r="D2004" s="6" t="str">
        <f>CONCATENATE(YEAR(A2004),"/",IF(MONTH(A2004)&lt;10,CONCATENATE("0",MONTH(A2004)),MONTH(A2004)))</f>
        <v>2025/04</v>
      </c>
      <c r="E2004" s="8" t="str">
        <f>IF(IF(D2004&lt;&gt;D2003,1,IF(OR(B2004&lt;&gt;B2003,A2004-A2003&gt;$U$1),1,""))&lt;&gt;1,"",IF(C2004="B01",1965,IF(C2004="B02",1020,IF(C2004="B05",2400,IF(C2004="B03",4260,IF(C2004="B04",2880,IF(C2004="B20",1260,0)))))))</f>
        <v/>
      </c>
      <c r="F2004" s="8" t="str">
        <f>IF(IF(D2004&lt;&gt;D2003,1,IF(OR(B2004&lt;&gt;B2003,A2004-A2003&gt;$U$1),1,""))&lt;&gt;1,"",IF(C2004="B01",1,IF(C2004="B05",1,IF(C2004="B03",1,IF(C2004="B04",1,IF(C2004="B20",1,IF(C2004="B02",1,0)))))))</f>
        <v/>
      </c>
      <c r="G2004"/>
      <c r="H2004" s="2"/>
      <c r="I2004" s="2"/>
      <c r="L2004"/>
      <c r="R2004"/>
    </row>
    <row r="2005" spans="1:18">
      <c r="A2005" s="3">
        <v>45771.656909722224</v>
      </c>
      <c r="B2005" s="2" t="s">
        <v>28</v>
      </c>
      <c r="C2005" s="2" t="s">
        <v>11</v>
      </c>
      <c r="D2005" s="6" t="str">
        <f>CONCATENATE(YEAR(A2005),"/",IF(MONTH(A2005)&lt;10,CONCATENATE("0",MONTH(A2005)),MONTH(A2005)))</f>
        <v>2025/04</v>
      </c>
      <c r="E2005" s="8" t="str">
        <f>IF(IF(D2005&lt;&gt;D2004,1,IF(OR(B2005&lt;&gt;B2004,A2005-A2004&gt;$U$1),1,""))&lt;&gt;1,"",IF(C2005="B01",1965,IF(C2005="B02",1020,IF(C2005="B05",2400,IF(C2005="B03",4260,IF(C2005="B04",2880,IF(C2005="B20",1260,0)))))))</f>
        <v/>
      </c>
      <c r="F2005" s="8" t="str">
        <f>IF(IF(D2005&lt;&gt;D2004,1,IF(OR(B2005&lt;&gt;B2004,A2005-A2004&gt;$U$1),1,""))&lt;&gt;1,"",IF(C2005="B01",1,IF(C2005="B05",1,IF(C2005="B03",1,IF(C2005="B04",1,IF(C2005="B20",1,IF(C2005="B02",1,0)))))))</f>
        <v/>
      </c>
      <c r="G2005"/>
      <c r="H2005" s="2"/>
      <c r="I2005" s="2"/>
      <c r="L2005"/>
      <c r="R2005"/>
    </row>
    <row r="2006" spans="1:18">
      <c r="A2006" s="3">
        <v>45771.656909722224</v>
      </c>
      <c r="B2006" s="2" t="s">
        <v>28</v>
      </c>
      <c r="C2006" s="2" t="s">
        <v>11</v>
      </c>
      <c r="D2006" s="6" t="str">
        <f>CONCATENATE(YEAR(A2006),"/",IF(MONTH(A2006)&lt;10,CONCATENATE("0",MONTH(A2006)),MONTH(A2006)))</f>
        <v>2025/04</v>
      </c>
      <c r="E2006" s="8" t="str">
        <f>IF(IF(D2006&lt;&gt;D2005,1,IF(OR(B2006&lt;&gt;B2005,A2006-A2005&gt;$U$1),1,""))&lt;&gt;1,"",IF(C2006="B01",1965,IF(C2006="B02",1020,IF(C2006="B05",2400,IF(C2006="B03",4260,IF(C2006="B04",2880,IF(C2006="B20",1260,0)))))))</f>
        <v/>
      </c>
      <c r="F2006" s="8" t="str">
        <f>IF(IF(D2006&lt;&gt;D2005,1,IF(OR(B2006&lt;&gt;B2005,A2006-A2005&gt;$U$1),1,""))&lt;&gt;1,"",IF(C2006="B01",1,IF(C2006="B05",1,IF(C2006="B03",1,IF(C2006="B04",1,IF(C2006="B20",1,IF(C2006="B02",1,0)))))))</f>
        <v/>
      </c>
      <c r="G2006"/>
      <c r="H2006" s="2"/>
      <c r="I2006" s="2"/>
      <c r="L2006"/>
      <c r="R2006"/>
    </row>
    <row r="2007" spans="1:18">
      <c r="A2007" s="3">
        <v>45771.845219907409</v>
      </c>
      <c r="B2007" s="2" t="s">
        <v>28</v>
      </c>
      <c r="C2007" s="2" t="s">
        <v>11</v>
      </c>
      <c r="D2007" s="6" t="str">
        <f>CONCATENATE(YEAR(A2007),"/",IF(MONTH(A2007)&lt;10,CONCATENATE("0",MONTH(A2007)),MONTH(A2007)))</f>
        <v>2025/04</v>
      </c>
      <c r="E2007" s="8">
        <f>IF(IF(D2007&lt;&gt;D2006,1,IF(OR(B2007&lt;&gt;B2006,A2007-A2006&gt;$U$1),1,""))&lt;&gt;1,"",IF(C2007="B01",1965,IF(C2007="B02",1020,IF(C2007="B05",2400,IF(C2007="B03",4260,IF(C2007="B04",2880,IF(C2007="B20",1260,0)))))))</f>
        <v>2400</v>
      </c>
      <c r="F2007" s="8">
        <f>IF(IF(D2007&lt;&gt;D2006,1,IF(OR(B2007&lt;&gt;B2006,A2007-A2006&gt;$U$1),1,""))&lt;&gt;1,"",IF(C2007="B01",1,IF(C2007="B05",1,IF(C2007="B03",1,IF(C2007="B04",1,IF(C2007="B20",1,IF(C2007="B02",1,0)))))))</f>
        <v>1</v>
      </c>
      <c r="G2007"/>
      <c r="H2007" s="2"/>
      <c r="I2007" s="2"/>
      <c r="L2007"/>
      <c r="R2007"/>
    </row>
    <row r="2008" spans="1:18">
      <c r="A2008" s="3">
        <v>45771.845219907409</v>
      </c>
      <c r="B2008" s="2" t="s">
        <v>28</v>
      </c>
      <c r="C2008" s="2" t="s">
        <v>11</v>
      </c>
      <c r="D2008" s="6" t="str">
        <f>CONCATENATE(YEAR(A2008),"/",IF(MONTH(A2008)&lt;10,CONCATENATE("0",MONTH(A2008)),MONTH(A2008)))</f>
        <v>2025/04</v>
      </c>
      <c r="E2008" s="8" t="str">
        <f>IF(IF(D2008&lt;&gt;D2007,1,IF(OR(B2008&lt;&gt;B2007,A2008-A2007&gt;$U$1),1,""))&lt;&gt;1,"",IF(C2008="B01",1965,IF(C2008="B02",1020,IF(C2008="B05",2400,IF(C2008="B03",4260,IF(C2008="B04",2880,IF(C2008="B20",1260,0)))))))</f>
        <v/>
      </c>
      <c r="F2008" s="8" t="str">
        <f>IF(IF(D2008&lt;&gt;D2007,1,IF(OR(B2008&lt;&gt;B2007,A2008-A2007&gt;$U$1),1,""))&lt;&gt;1,"",IF(C2008="B01",1,IF(C2008="B05",1,IF(C2008="B03",1,IF(C2008="B04",1,IF(C2008="B20",1,IF(C2008="B02",1,0)))))))</f>
        <v/>
      </c>
      <c r="G2008"/>
      <c r="H2008" s="2"/>
      <c r="I2008" s="2"/>
      <c r="L2008"/>
      <c r="R2008"/>
    </row>
    <row r="2009" spans="1:18">
      <c r="A2009" s="3">
        <v>45771.95988425926</v>
      </c>
      <c r="B2009" s="2" t="s">
        <v>28</v>
      </c>
      <c r="C2009" s="2" t="s">
        <v>11</v>
      </c>
      <c r="D2009" s="6" t="str">
        <f>CONCATENATE(YEAR(A2009),"/",IF(MONTH(A2009)&lt;10,CONCATENATE("0",MONTH(A2009)),MONTH(A2009)))</f>
        <v>2025/04</v>
      </c>
      <c r="E2009" s="8">
        <f>IF(IF(D2009&lt;&gt;D2008,1,IF(OR(B2009&lt;&gt;B2008,A2009-A2008&gt;$U$1),1,""))&lt;&gt;1,"",IF(C2009="B01",1965,IF(C2009="B02",1020,IF(C2009="B05",2400,IF(C2009="B03",4260,IF(C2009="B04",2880,IF(C2009="B20",1260,0)))))))</f>
        <v>2400</v>
      </c>
      <c r="F2009" s="8">
        <f>IF(IF(D2009&lt;&gt;D2008,1,IF(OR(B2009&lt;&gt;B2008,A2009-A2008&gt;$U$1),1,""))&lt;&gt;1,"",IF(C2009="B01",1,IF(C2009="B05",1,IF(C2009="B03",1,IF(C2009="B04",1,IF(C2009="B20",1,IF(C2009="B02",1,0)))))))</f>
        <v>1</v>
      </c>
      <c r="G2009"/>
      <c r="H2009" s="2"/>
      <c r="I2009" s="2"/>
      <c r="L2009"/>
      <c r="R2009"/>
    </row>
    <row r="2010" spans="1:18">
      <c r="A2010" s="3">
        <v>45771.95988425926</v>
      </c>
      <c r="B2010" s="2" t="s">
        <v>28</v>
      </c>
      <c r="C2010" s="2" t="s">
        <v>11</v>
      </c>
      <c r="D2010" s="6" t="str">
        <f>CONCATENATE(YEAR(A2010),"/",IF(MONTH(A2010)&lt;10,CONCATENATE("0",MONTH(A2010)),MONTH(A2010)))</f>
        <v>2025/04</v>
      </c>
      <c r="E2010" s="8" t="str">
        <f>IF(IF(D2010&lt;&gt;D2009,1,IF(OR(B2010&lt;&gt;B2009,A2010-A2009&gt;$U$1),1,""))&lt;&gt;1,"",IF(C2010="B01",1965,IF(C2010="B02",1020,IF(C2010="B05",2400,IF(C2010="B03",4260,IF(C2010="B04",2880,IF(C2010="B20",1260,0)))))))</f>
        <v/>
      </c>
      <c r="F2010" s="8" t="str">
        <f>IF(IF(D2010&lt;&gt;D2009,1,IF(OR(B2010&lt;&gt;B2009,A2010-A2009&gt;$U$1),1,""))&lt;&gt;1,"",IF(C2010="B01",1,IF(C2010="B05",1,IF(C2010="B03",1,IF(C2010="B04",1,IF(C2010="B20",1,IF(C2010="B02",1,0)))))))</f>
        <v/>
      </c>
      <c r="G2010"/>
      <c r="H2010" s="2"/>
      <c r="I2010" s="2"/>
      <c r="L2010"/>
      <c r="R2010"/>
    </row>
    <row r="2011" spans="1:18">
      <c r="A2011" s="3">
        <v>45772.098726851851</v>
      </c>
      <c r="B2011" s="2" t="s">
        <v>28</v>
      </c>
      <c r="C2011" s="2" t="s">
        <v>11</v>
      </c>
      <c r="D2011" s="6" t="str">
        <f>CONCATENATE(YEAR(A2011),"/",IF(MONTH(A2011)&lt;10,CONCATENATE("0",MONTH(A2011)),MONTH(A2011)))</f>
        <v>2025/04</v>
      </c>
      <c r="E2011" s="8">
        <f>IF(IF(D2011&lt;&gt;D2010,1,IF(OR(B2011&lt;&gt;B2010,A2011-A2010&gt;$U$1),1,""))&lt;&gt;1,"",IF(C2011="B01",1965,IF(C2011="B02",1020,IF(C2011="B05",2400,IF(C2011="B03",4260,IF(C2011="B04",2880,IF(C2011="B20",1260,0)))))))</f>
        <v>2400</v>
      </c>
      <c r="F2011" s="8">
        <f>IF(IF(D2011&lt;&gt;D2010,1,IF(OR(B2011&lt;&gt;B2010,A2011-A2010&gt;$U$1),1,""))&lt;&gt;1,"",IF(C2011="B01",1,IF(C2011="B05",1,IF(C2011="B03",1,IF(C2011="B04",1,IF(C2011="B20",1,IF(C2011="B02",1,0)))))))</f>
        <v>1</v>
      </c>
      <c r="G2011"/>
      <c r="H2011" s="2"/>
      <c r="I2011" s="2"/>
      <c r="L2011"/>
      <c r="R2011"/>
    </row>
    <row r="2012" spans="1:18">
      <c r="A2012" s="3">
        <v>45772.098726851851</v>
      </c>
      <c r="B2012" s="2" t="s">
        <v>28</v>
      </c>
      <c r="C2012" s="2" t="s">
        <v>11</v>
      </c>
      <c r="D2012" s="6" t="str">
        <f>CONCATENATE(YEAR(A2012),"/",IF(MONTH(A2012)&lt;10,CONCATENATE("0",MONTH(A2012)),MONTH(A2012)))</f>
        <v>2025/04</v>
      </c>
      <c r="E2012" s="8" t="str">
        <f>IF(IF(D2012&lt;&gt;D2011,1,IF(OR(B2012&lt;&gt;B2011,A2012-A2011&gt;$U$1),1,""))&lt;&gt;1,"",IF(C2012="B01",1965,IF(C2012="B02",1020,IF(C2012="B05",2400,IF(C2012="B03",4260,IF(C2012="B04",2880,IF(C2012="B20",1260,0)))))))</f>
        <v/>
      </c>
      <c r="F2012" s="8" t="str">
        <f>IF(IF(D2012&lt;&gt;D2011,1,IF(OR(B2012&lt;&gt;B2011,A2012-A2011&gt;$U$1),1,""))&lt;&gt;1,"",IF(C2012="B01",1,IF(C2012="B05",1,IF(C2012="B03",1,IF(C2012="B04",1,IF(C2012="B20",1,IF(C2012="B02",1,0)))))))</f>
        <v/>
      </c>
      <c r="G2012"/>
      <c r="H2012" s="2"/>
      <c r="I2012" s="2"/>
      <c r="L2012"/>
      <c r="R2012"/>
    </row>
    <row r="2013" spans="1:18">
      <c r="A2013" s="3">
        <v>45772.330150462964</v>
      </c>
      <c r="B2013" s="2" t="s">
        <v>28</v>
      </c>
      <c r="C2013" s="2" t="s">
        <v>11</v>
      </c>
      <c r="D2013" s="6" t="str">
        <f>CONCATENATE(YEAR(A2013),"/",IF(MONTH(A2013)&lt;10,CONCATENATE("0",MONTH(A2013)),MONTH(A2013)))</f>
        <v>2025/04</v>
      </c>
      <c r="E2013" s="8">
        <f>IF(IF(D2013&lt;&gt;D2012,1,IF(OR(B2013&lt;&gt;B2012,A2013-A2012&gt;$U$1),1,""))&lt;&gt;1,"",IF(C2013="B01",1965,IF(C2013="B02",1020,IF(C2013="B05",2400,IF(C2013="B03",4260,IF(C2013="B04",2880,IF(C2013="B20",1260,0)))))))</f>
        <v>2400</v>
      </c>
      <c r="F2013" s="8">
        <f>IF(IF(D2013&lt;&gt;D2012,1,IF(OR(B2013&lt;&gt;B2012,A2013-A2012&gt;$U$1),1,""))&lt;&gt;1,"",IF(C2013="B01",1,IF(C2013="B05",1,IF(C2013="B03",1,IF(C2013="B04",1,IF(C2013="B20",1,IF(C2013="B02",1,0)))))))</f>
        <v>1</v>
      </c>
      <c r="G2013"/>
      <c r="H2013" s="2"/>
      <c r="I2013" s="2"/>
      <c r="L2013"/>
      <c r="R2013"/>
    </row>
    <row r="2014" spans="1:18">
      <c r="A2014" s="3">
        <v>45772.330150462964</v>
      </c>
      <c r="B2014" s="2" t="s">
        <v>28</v>
      </c>
      <c r="C2014" s="2" t="s">
        <v>11</v>
      </c>
      <c r="D2014" s="6" t="str">
        <f>CONCATENATE(YEAR(A2014),"/",IF(MONTH(A2014)&lt;10,CONCATENATE("0",MONTH(A2014)),MONTH(A2014)))</f>
        <v>2025/04</v>
      </c>
      <c r="E2014" s="8" t="str">
        <f>IF(IF(D2014&lt;&gt;D2013,1,IF(OR(B2014&lt;&gt;B2013,A2014-A2013&gt;$U$1),1,""))&lt;&gt;1,"",IF(C2014="B01",1965,IF(C2014="B02",1020,IF(C2014="B05",2400,IF(C2014="B03",4260,IF(C2014="B04",2880,IF(C2014="B20",1260,0)))))))</f>
        <v/>
      </c>
      <c r="F2014" s="8" t="str">
        <f>IF(IF(D2014&lt;&gt;D2013,1,IF(OR(B2014&lt;&gt;B2013,A2014-A2013&gt;$U$1),1,""))&lt;&gt;1,"",IF(C2014="B01",1,IF(C2014="B05",1,IF(C2014="B03",1,IF(C2014="B04",1,IF(C2014="B20",1,IF(C2014="B02",1,0)))))))</f>
        <v/>
      </c>
      <c r="G2014"/>
      <c r="H2014" s="2"/>
      <c r="I2014" s="2"/>
      <c r="L2014"/>
      <c r="R2014"/>
    </row>
    <row r="2015" spans="1:18">
      <c r="A2015" s="3">
        <v>45772.330150462964</v>
      </c>
      <c r="B2015" s="2" t="s">
        <v>28</v>
      </c>
      <c r="C2015" s="2" t="s">
        <v>11</v>
      </c>
      <c r="D2015" s="6" t="str">
        <f>CONCATENATE(YEAR(A2015),"/",IF(MONTH(A2015)&lt;10,CONCATENATE("0",MONTH(A2015)),MONTH(A2015)))</f>
        <v>2025/04</v>
      </c>
      <c r="E2015" s="8" t="str">
        <f>IF(IF(D2015&lt;&gt;D2014,1,IF(OR(B2015&lt;&gt;B2014,A2015-A2014&gt;$U$1),1,""))&lt;&gt;1,"",IF(C2015="B01",1965,IF(C2015="B02",1020,IF(C2015="B05",2400,IF(C2015="B03",4260,IF(C2015="B04",2880,IF(C2015="B20",1260,0)))))))</f>
        <v/>
      </c>
      <c r="F2015" s="8" t="str">
        <f>IF(IF(D2015&lt;&gt;D2014,1,IF(OR(B2015&lt;&gt;B2014,A2015-A2014&gt;$U$1),1,""))&lt;&gt;1,"",IF(C2015="B01",1,IF(C2015="B05",1,IF(C2015="B03",1,IF(C2015="B04",1,IF(C2015="B20",1,IF(C2015="B02",1,0)))))))</f>
        <v/>
      </c>
      <c r="G2015"/>
      <c r="H2015" s="2"/>
      <c r="I2015" s="2"/>
      <c r="L2015"/>
      <c r="R2015"/>
    </row>
    <row r="2016" spans="1:18">
      <c r="A2016" s="3">
        <v>45772.689768518518</v>
      </c>
      <c r="B2016" s="2" t="s">
        <v>28</v>
      </c>
      <c r="C2016" s="2" t="s">
        <v>11</v>
      </c>
      <c r="D2016" s="6" t="str">
        <f>CONCATENATE(YEAR(A2016),"/",IF(MONTH(A2016)&lt;10,CONCATENATE("0",MONTH(A2016)),MONTH(A2016)))</f>
        <v>2025/04</v>
      </c>
      <c r="E2016" s="8">
        <f>IF(IF(D2016&lt;&gt;D2015,1,IF(OR(B2016&lt;&gt;B2015,A2016-A2015&gt;$U$1),1,""))&lt;&gt;1,"",IF(C2016="B01",1965,IF(C2016="B02",1020,IF(C2016="B05",2400,IF(C2016="B03",4260,IF(C2016="B04",2880,IF(C2016="B20",1260,0)))))))</f>
        <v>2400</v>
      </c>
      <c r="F2016" s="8">
        <f>IF(IF(D2016&lt;&gt;D2015,1,IF(OR(B2016&lt;&gt;B2015,A2016-A2015&gt;$U$1),1,""))&lt;&gt;1,"",IF(C2016="B01",1,IF(C2016="B05",1,IF(C2016="B03",1,IF(C2016="B04",1,IF(C2016="B20",1,IF(C2016="B02",1,0)))))))</f>
        <v>1</v>
      </c>
      <c r="G2016"/>
      <c r="H2016" s="2"/>
      <c r="I2016" s="2"/>
      <c r="L2016"/>
      <c r="R2016"/>
    </row>
    <row r="2017" spans="1:18">
      <c r="A2017" s="3">
        <v>45772.689768518518</v>
      </c>
      <c r="B2017" s="2" t="s">
        <v>28</v>
      </c>
      <c r="C2017" s="2" t="s">
        <v>11</v>
      </c>
      <c r="D2017" s="6" t="str">
        <f>CONCATENATE(YEAR(A2017),"/",IF(MONTH(A2017)&lt;10,CONCATENATE("0",MONTH(A2017)),MONTH(A2017)))</f>
        <v>2025/04</v>
      </c>
      <c r="E2017" s="8" t="str">
        <f>IF(IF(D2017&lt;&gt;D2016,1,IF(OR(B2017&lt;&gt;B2016,A2017-A2016&gt;$U$1),1,""))&lt;&gt;1,"",IF(C2017="B01",1965,IF(C2017="B02",1020,IF(C2017="B05",2400,IF(C2017="B03",4260,IF(C2017="B04",2880,IF(C2017="B20",1260,0)))))))</f>
        <v/>
      </c>
      <c r="F2017" s="8" t="str">
        <f>IF(IF(D2017&lt;&gt;D2016,1,IF(OR(B2017&lt;&gt;B2016,A2017-A2016&gt;$U$1),1,""))&lt;&gt;1,"",IF(C2017="B01",1,IF(C2017="B05",1,IF(C2017="B03",1,IF(C2017="B04",1,IF(C2017="B20",1,IF(C2017="B02",1,0)))))))</f>
        <v/>
      </c>
      <c r="G2017"/>
      <c r="H2017" s="2"/>
      <c r="I2017" s="2"/>
      <c r="L2017"/>
      <c r="R2017"/>
    </row>
    <row r="2018" spans="1:18">
      <c r="A2018" s="3">
        <v>45772.689768518518</v>
      </c>
      <c r="B2018" s="2" t="s">
        <v>28</v>
      </c>
      <c r="C2018" s="2" t="s">
        <v>11</v>
      </c>
      <c r="D2018" s="6" t="str">
        <f>CONCATENATE(YEAR(A2018),"/",IF(MONTH(A2018)&lt;10,CONCATENATE("0",MONTH(A2018)),MONTH(A2018)))</f>
        <v>2025/04</v>
      </c>
      <c r="E2018" s="8" t="str">
        <f>IF(IF(D2018&lt;&gt;D2017,1,IF(OR(B2018&lt;&gt;B2017,A2018-A2017&gt;$U$1),1,""))&lt;&gt;1,"",IF(C2018="B01",1965,IF(C2018="B02",1020,IF(C2018="B05",2400,IF(C2018="B03",4260,IF(C2018="B04",2880,IF(C2018="B20",1260,0)))))))</f>
        <v/>
      </c>
      <c r="F2018" s="8" t="str">
        <f>IF(IF(D2018&lt;&gt;D2017,1,IF(OR(B2018&lt;&gt;B2017,A2018-A2017&gt;$U$1),1,""))&lt;&gt;1,"",IF(C2018="B01",1,IF(C2018="B05",1,IF(C2018="B03",1,IF(C2018="B04",1,IF(C2018="B20",1,IF(C2018="B02",1,0)))))))</f>
        <v/>
      </c>
      <c r="G2018"/>
      <c r="H2018" s="2"/>
      <c r="I2018" s="2"/>
      <c r="L2018"/>
      <c r="R2018"/>
    </row>
    <row r="2019" spans="1:18">
      <c r="A2019" s="3">
        <v>45772.959456018521</v>
      </c>
      <c r="B2019" s="2" t="s">
        <v>28</v>
      </c>
      <c r="C2019" s="2" t="s">
        <v>11</v>
      </c>
      <c r="D2019" s="6" t="str">
        <f>CONCATENATE(YEAR(A2019),"/",IF(MONTH(A2019)&lt;10,CONCATENATE("0",MONTH(A2019)),MONTH(A2019)))</f>
        <v>2025/04</v>
      </c>
      <c r="E2019" s="8">
        <f>IF(IF(D2019&lt;&gt;D2018,1,IF(OR(B2019&lt;&gt;B2018,A2019-A2018&gt;$U$1),1,""))&lt;&gt;1,"",IF(C2019="B01",1965,IF(C2019="B02",1020,IF(C2019="B05",2400,IF(C2019="B03",4260,IF(C2019="B04",2880,IF(C2019="B20",1260,0)))))))</f>
        <v>2400</v>
      </c>
      <c r="F2019" s="8">
        <f>IF(IF(D2019&lt;&gt;D2018,1,IF(OR(B2019&lt;&gt;B2018,A2019-A2018&gt;$U$1),1,""))&lt;&gt;1,"",IF(C2019="B01",1,IF(C2019="B05",1,IF(C2019="B03",1,IF(C2019="B04",1,IF(C2019="B20",1,IF(C2019="B02",1,0)))))))</f>
        <v>1</v>
      </c>
      <c r="G2019"/>
      <c r="H2019" s="2"/>
      <c r="I2019" s="2"/>
      <c r="L2019"/>
      <c r="R2019"/>
    </row>
    <row r="2020" spans="1:18">
      <c r="A2020" s="3">
        <v>45772.959456018521</v>
      </c>
      <c r="B2020" s="2" t="s">
        <v>28</v>
      </c>
      <c r="C2020" s="2" t="s">
        <v>11</v>
      </c>
      <c r="D2020" s="6" t="str">
        <f>CONCATENATE(YEAR(A2020),"/",IF(MONTH(A2020)&lt;10,CONCATENATE("0",MONTH(A2020)),MONTH(A2020)))</f>
        <v>2025/04</v>
      </c>
      <c r="E2020" s="8" t="str">
        <f>IF(IF(D2020&lt;&gt;D2019,1,IF(OR(B2020&lt;&gt;B2019,A2020-A2019&gt;$U$1),1,""))&lt;&gt;1,"",IF(C2020="B01",1965,IF(C2020="B02",1020,IF(C2020="B05",2400,IF(C2020="B03",4260,IF(C2020="B04",2880,IF(C2020="B20",1260,0)))))))</f>
        <v/>
      </c>
      <c r="F2020" s="8" t="str">
        <f>IF(IF(D2020&lt;&gt;D2019,1,IF(OR(B2020&lt;&gt;B2019,A2020-A2019&gt;$U$1),1,""))&lt;&gt;1,"",IF(C2020="B01",1,IF(C2020="B05",1,IF(C2020="B03",1,IF(C2020="B04",1,IF(C2020="B20",1,IF(C2020="B02",1,0)))))))</f>
        <v/>
      </c>
      <c r="G2020"/>
      <c r="H2020" s="2"/>
      <c r="I2020" s="2"/>
      <c r="L2020"/>
      <c r="R2020"/>
    </row>
    <row r="2021" spans="1:18">
      <c r="A2021" s="3">
        <v>45772.959456018521</v>
      </c>
      <c r="B2021" s="2" t="s">
        <v>28</v>
      </c>
      <c r="C2021" s="2" t="s">
        <v>11</v>
      </c>
      <c r="D2021" s="6" t="str">
        <f>CONCATENATE(YEAR(A2021),"/",IF(MONTH(A2021)&lt;10,CONCATENATE("0",MONTH(A2021)),MONTH(A2021)))</f>
        <v>2025/04</v>
      </c>
      <c r="E2021" s="8" t="str">
        <f>IF(IF(D2021&lt;&gt;D2020,1,IF(OR(B2021&lt;&gt;B2020,A2021-A2020&gt;$U$1),1,""))&lt;&gt;1,"",IF(C2021="B01",1965,IF(C2021="B02",1020,IF(C2021="B05",2400,IF(C2021="B03",4260,IF(C2021="B04",2880,IF(C2021="B20",1260,0)))))))</f>
        <v/>
      </c>
      <c r="F2021" s="8" t="str">
        <f>IF(IF(D2021&lt;&gt;D2020,1,IF(OR(B2021&lt;&gt;B2020,A2021-A2020&gt;$U$1),1,""))&lt;&gt;1,"",IF(C2021="B01",1,IF(C2021="B05",1,IF(C2021="B03",1,IF(C2021="B04",1,IF(C2021="B20",1,IF(C2021="B02",1,0)))))))</f>
        <v/>
      </c>
      <c r="G2021"/>
      <c r="H2021" s="2"/>
      <c r="I2021" s="2"/>
      <c r="L2021"/>
      <c r="R2021"/>
    </row>
    <row r="2022" spans="1:18">
      <c r="A2022" s="3">
        <v>45772.959456018521</v>
      </c>
      <c r="B2022" s="2" t="s">
        <v>28</v>
      </c>
      <c r="C2022" s="2" t="s">
        <v>11</v>
      </c>
      <c r="D2022" s="6" t="str">
        <f>CONCATENATE(YEAR(A2022),"/",IF(MONTH(A2022)&lt;10,CONCATENATE("0",MONTH(A2022)),MONTH(A2022)))</f>
        <v>2025/04</v>
      </c>
      <c r="E2022" s="8" t="str">
        <f>IF(IF(D2022&lt;&gt;D2021,1,IF(OR(B2022&lt;&gt;B2021,A2022-A2021&gt;$U$1),1,""))&lt;&gt;1,"",IF(C2022="B01",1965,IF(C2022="B02",1020,IF(C2022="B05",2400,IF(C2022="B03",4260,IF(C2022="B04",2880,IF(C2022="B20",1260,0)))))))</f>
        <v/>
      </c>
      <c r="F2022" s="8" t="str">
        <f>IF(IF(D2022&lt;&gt;D2021,1,IF(OR(B2022&lt;&gt;B2021,A2022-A2021&gt;$U$1),1,""))&lt;&gt;1,"",IF(C2022="B01",1,IF(C2022="B05",1,IF(C2022="B03",1,IF(C2022="B04",1,IF(C2022="B20",1,IF(C2022="B02",1,0)))))))</f>
        <v/>
      </c>
      <c r="G2022"/>
      <c r="H2022" s="2"/>
      <c r="I2022" s="2"/>
      <c r="L2022"/>
      <c r="R2022"/>
    </row>
    <row r="2023" spans="1:18">
      <c r="A2023" s="3">
        <v>45772.959456018521</v>
      </c>
      <c r="B2023" s="2" t="s">
        <v>28</v>
      </c>
      <c r="C2023" s="2" t="s">
        <v>11</v>
      </c>
      <c r="D2023" s="6" t="str">
        <f>CONCATENATE(YEAR(A2023),"/",IF(MONTH(A2023)&lt;10,CONCATENATE("0",MONTH(A2023)),MONTH(A2023)))</f>
        <v>2025/04</v>
      </c>
      <c r="E2023" s="8" t="str">
        <f>IF(IF(D2023&lt;&gt;D2022,1,IF(OR(B2023&lt;&gt;B2022,A2023-A2022&gt;$U$1),1,""))&lt;&gt;1,"",IF(C2023="B01",1965,IF(C2023="B02",1020,IF(C2023="B05",2400,IF(C2023="B03",4260,IF(C2023="B04",2880,IF(C2023="B20",1260,0)))))))</f>
        <v/>
      </c>
      <c r="F2023" s="8" t="str">
        <f>IF(IF(D2023&lt;&gt;D2022,1,IF(OR(B2023&lt;&gt;B2022,A2023-A2022&gt;$U$1),1,""))&lt;&gt;1,"",IF(C2023="B01",1,IF(C2023="B05",1,IF(C2023="B03",1,IF(C2023="B04",1,IF(C2023="B20",1,IF(C2023="B02",1,0)))))))</f>
        <v/>
      </c>
      <c r="G2023"/>
      <c r="H2023" s="2"/>
      <c r="I2023" s="2"/>
      <c r="L2023"/>
      <c r="R2023"/>
    </row>
    <row r="2024" spans="1:18">
      <c r="A2024" s="3">
        <v>45773.077152777776</v>
      </c>
      <c r="B2024" s="2" t="s">
        <v>28</v>
      </c>
      <c r="C2024" s="2" t="s">
        <v>11</v>
      </c>
      <c r="D2024" s="6" t="str">
        <f>CONCATENATE(YEAR(A2024),"/",IF(MONTH(A2024)&lt;10,CONCATENATE("0",MONTH(A2024)),MONTH(A2024)))</f>
        <v>2025/04</v>
      </c>
      <c r="E2024" s="8">
        <f>IF(IF(D2024&lt;&gt;D2023,1,IF(OR(B2024&lt;&gt;B2023,A2024-A2023&gt;$U$1),1,""))&lt;&gt;1,"",IF(C2024="B01",1965,IF(C2024="B02",1020,IF(C2024="B05",2400,IF(C2024="B03",4260,IF(C2024="B04",2880,IF(C2024="B20",1260,0)))))))</f>
        <v>2400</v>
      </c>
      <c r="F2024" s="8">
        <f>IF(IF(D2024&lt;&gt;D2023,1,IF(OR(B2024&lt;&gt;B2023,A2024-A2023&gt;$U$1),1,""))&lt;&gt;1,"",IF(C2024="B01",1,IF(C2024="B05",1,IF(C2024="B03",1,IF(C2024="B04",1,IF(C2024="B20",1,IF(C2024="B02",1,0)))))))</f>
        <v>1</v>
      </c>
      <c r="G2024"/>
      <c r="H2024" s="2"/>
      <c r="I2024" s="2"/>
      <c r="L2024"/>
      <c r="R2024"/>
    </row>
    <row r="2025" spans="1:18">
      <c r="A2025" s="3">
        <v>45773.077152777776</v>
      </c>
      <c r="B2025" s="2" t="s">
        <v>28</v>
      </c>
      <c r="C2025" s="2" t="s">
        <v>11</v>
      </c>
      <c r="D2025" s="6" t="str">
        <f>CONCATENATE(YEAR(A2025),"/",IF(MONTH(A2025)&lt;10,CONCATENATE("0",MONTH(A2025)),MONTH(A2025)))</f>
        <v>2025/04</v>
      </c>
      <c r="E2025" s="8" t="str">
        <f>IF(IF(D2025&lt;&gt;D2024,1,IF(OR(B2025&lt;&gt;B2024,A2025-A2024&gt;$U$1),1,""))&lt;&gt;1,"",IF(C2025="B01",1965,IF(C2025="B02",1020,IF(C2025="B05",2400,IF(C2025="B03",4260,IF(C2025="B04",2880,IF(C2025="B20",1260,0)))))))</f>
        <v/>
      </c>
      <c r="F2025" s="8" t="str">
        <f>IF(IF(D2025&lt;&gt;D2024,1,IF(OR(B2025&lt;&gt;B2024,A2025-A2024&gt;$U$1),1,""))&lt;&gt;1,"",IF(C2025="B01",1,IF(C2025="B05",1,IF(C2025="B03",1,IF(C2025="B04",1,IF(C2025="B20",1,IF(C2025="B02",1,0)))))))</f>
        <v/>
      </c>
      <c r="G2025"/>
      <c r="H2025" s="2"/>
      <c r="I2025" s="2"/>
      <c r="L2025"/>
      <c r="R2025"/>
    </row>
    <row r="2026" spans="1:18">
      <c r="A2026" s="3">
        <v>45773.492337962962</v>
      </c>
      <c r="B2026" s="2" t="s">
        <v>28</v>
      </c>
      <c r="C2026" s="2" t="s">
        <v>11</v>
      </c>
      <c r="D2026" s="6" t="str">
        <f>CONCATENATE(YEAR(A2026),"/",IF(MONTH(A2026)&lt;10,CONCATENATE("0",MONTH(A2026)),MONTH(A2026)))</f>
        <v>2025/04</v>
      </c>
      <c r="E2026" s="8">
        <f>IF(IF(D2026&lt;&gt;D2025,1,IF(OR(B2026&lt;&gt;B2025,A2026-A2025&gt;$U$1),1,""))&lt;&gt;1,"",IF(C2026="B01",1965,IF(C2026="B02",1020,IF(C2026="B05",2400,IF(C2026="B03",4260,IF(C2026="B04",2880,IF(C2026="B20",1260,0)))))))</f>
        <v>2400</v>
      </c>
      <c r="F2026" s="8">
        <f>IF(IF(D2026&lt;&gt;D2025,1,IF(OR(B2026&lt;&gt;B2025,A2026-A2025&gt;$U$1),1,""))&lt;&gt;1,"",IF(C2026="B01",1,IF(C2026="B05",1,IF(C2026="B03",1,IF(C2026="B04",1,IF(C2026="B20",1,IF(C2026="B02",1,0)))))))</f>
        <v>1</v>
      </c>
      <c r="G2026"/>
      <c r="H2026" s="2"/>
      <c r="I2026" s="2"/>
      <c r="L2026"/>
      <c r="R2026"/>
    </row>
    <row r="2027" spans="1:18">
      <c r="A2027" s="3">
        <v>45773.492337962962</v>
      </c>
      <c r="B2027" s="2" t="s">
        <v>28</v>
      </c>
      <c r="C2027" s="2" t="s">
        <v>11</v>
      </c>
      <c r="D2027" s="6" t="str">
        <f>CONCATENATE(YEAR(A2027),"/",IF(MONTH(A2027)&lt;10,CONCATENATE("0",MONTH(A2027)),MONTH(A2027)))</f>
        <v>2025/04</v>
      </c>
      <c r="E2027" s="8" t="str">
        <f>IF(IF(D2027&lt;&gt;D2026,1,IF(OR(B2027&lt;&gt;B2026,A2027-A2026&gt;$U$1),1,""))&lt;&gt;1,"",IF(C2027="B01",1965,IF(C2027="B02",1020,IF(C2027="B05",2400,IF(C2027="B03",4260,IF(C2027="B04",2880,IF(C2027="B20",1260,0)))))))</f>
        <v/>
      </c>
      <c r="F2027" s="8" t="str">
        <f>IF(IF(D2027&lt;&gt;D2026,1,IF(OR(B2027&lt;&gt;B2026,A2027-A2026&gt;$U$1),1,""))&lt;&gt;1,"",IF(C2027="B01",1,IF(C2027="B05",1,IF(C2027="B03",1,IF(C2027="B04",1,IF(C2027="B20",1,IF(C2027="B02",1,0)))))))</f>
        <v/>
      </c>
      <c r="G2027"/>
      <c r="H2027" s="2"/>
      <c r="I2027" s="2"/>
      <c r="L2027"/>
      <c r="R2027"/>
    </row>
    <row r="2028" spans="1:18">
      <c r="A2028" s="3">
        <v>45773.492337962962</v>
      </c>
      <c r="B2028" s="2" t="s">
        <v>28</v>
      </c>
      <c r="C2028" s="2" t="s">
        <v>11</v>
      </c>
      <c r="D2028" s="6" t="str">
        <f>CONCATENATE(YEAR(A2028),"/",IF(MONTH(A2028)&lt;10,CONCATENATE("0",MONTH(A2028)),MONTH(A2028)))</f>
        <v>2025/04</v>
      </c>
      <c r="E2028" s="8" t="str">
        <f>IF(IF(D2028&lt;&gt;D2027,1,IF(OR(B2028&lt;&gt;B2027,A2028-A2027&gt;$U$1),1,""))&lt;&gt;1,"",IF(C2028="B01",1965,IF(C2028="B02",1020,IF(C2028="B05",2400,IF(C2028="B03",4260,IF(C2028="B04",2880,IF(C2028="B20",1260,0)))))))</f>
        <v/>
      </c>
      <c r="F2028" s="8" t="str">
        <f>IF(IF(D2028&lt;&gt;D2027,1,IF(OR(B2028&lt;&gt;B2027,A2028-A2027&gt;$U$1),1,""))&lt;&gt;1,"",IF(C2028="B01",1,IF(C2028="B05",1,IF(C2028="B03",1,IF(C2028="B04",1,IF(C2028="B20",1,IF(C2028="B02",1,0)))))))</f>
        <v/>
      </c>
      <c r="G2028"/>
      <c r="H2028" s="2"/>
      <c r="I2028" s="2"/>
      <c r="L2028"/>
      <c r="R2028"/>
    </row>
    <row r="2029" spans="1:18">
      <c r="A2029" s="3">
        <v>45773.492337962962</v>
      </c>
      <c r="B2029" s="2" t="s">
        <v>28</v>
      </c>
      <c r="C2029" s="2" t="s">
        <v>11</v>
      </c>
      <c r="D2029" s="6" t="str">
        <f>CONCATENATE(YEAR(A2029),"/",IF(MONTH(A2029)&lt;10,CONCATENATE("0",MONTH(A2029)),MONTH(A2029)))</f>
        <v>2025/04</v>
      </c>
      <c r="E2029" s="8" t="str">
        <f>IF(IF(D2029&lt;&gt;D2028,1,IF(OR(B2029&lt;&gt;B2028,A2029-A2028&gt;$U$1),1,""))&lt;&gt;1,"",IF(C2029="B01",1965,IF(C2029="B02",1020,IF(C2029="B05",2400,IF(C2029="B03",4260,IF(C2029="B04",2880,IF(C2029="B20",1260,0)))))))</f>
        <v/>
      </c>
      <c r="F2029" s="8" t="str">
        <f>IF(IF(D2029&lt;&gt;D2028,1,IF(OR(B2029&lt;&gt;B2028,A2029-A2028&gt;$U$1),1,""))&lt;&gt;1,"",IF(C2029="B01",1,IF(C2029="B05",1,IF(C2029="B03",1,IF(C2029="B04",1,IF(C2029="B20",1,IF(C2029="B02",1,0)))))))</f>
        <v/>
      </c>
      <c r="G2029"/>
      <c r="H2029" s="2"/>
      <c r="I2029" s="2"/>
      <c r="L2029"/>
      <c r="R2029"/>
    </row>
    <row r="2030" spans="1:18">
      <c r="A2030" s="3">
        <v>45773.492337962962</v>
      </c>
      <c r="B2030" s="2" t="s">
        <v>28</v>
      </c>
      <c r="C2030" s="2" t="s">
        <v>11</v>
      </c>
      <c r="D2030" s="6" t="str">
        <f>CONCATENATE(YEAR(A2030),"/",IF(MONTH(A2030)&lt;10,CONCATENATE("0",MONTH(A2030)),MONTH(A2030)))</f>
        <v>2025/04</v>
      </c>
      <c r="E2030" s="8" t="str">
        <f>IF(IF(D2030&lt;&gt;D2029,1,IF(OR(B2030&lt;&gt;B2029,A2030-A2029&gt;$U$1),1,""))&lt;&gt;1,"",IF(C2030="B01",1965,IF(C2030="B02",1020,IF(C2030="B05",2400,IF(C2030="B03",4260,IF(C2030="B04",2880,IF(C2030="B20",1260,0)))))))</f>
        <v/>
      </c>
      <c r="F2030" s="8" t="str">
        <f>IF(IF(D2030&lt;&gt;D2029,1,IF(OR(B2030&lt;&gt;B2029,A2030-A2029&gt;$U$1),1,""))&lt;&gt;1,"",IF(C2030="B01",1,IF(C2030="B05",1,IF(C2030="B03",1,IF(C2030="B04",1,IF(C2030="B20",1,IF(C2030="B02",1,0)))))))</f>
        <v/>
      </c>
      <c r="G2030"/>
      <c r="H2030" s="2"/>
      <c r="I2030" s="2"/>
      <c r="L2030"/>
      <c r="R2030"/>
    </row>
    <row r="2031" spans="1:18">
      <c r="A2031" s="3">
        <v>45773.492337962962</v>
      </c>
      <c r="B2031" s="2" t="s">
        <v>28</v>
      </c>
      <c r="C2031" s="2" t="s">
        <v>11</v>
      </c>
      <c r="D2031" s="6" t="str">
        <f>CONCATENATE(YEAR(A2031),"/",IF(MONTH(A2031)&lt;10,CONCATENATE("0",MONTH(A2031)),MONTH(A2031)))</f>
        <v>2025/04</v>
      </c>
      <c r="E2031" s="8" t="str">
        <f>IF(IF(D2031&lt;&gt;D2030,1,IF(OR(B2031&lt;&gt;B2030,A2031-A2030&gt;$U$1),1,""))&lt;&gt;1,"",IF(C2031="B01",1965,IF(C2031="B02",1020,IF(C2031="B05",2400,IF(C2031="B03",4260,IF(C2031="B04",2880,IF(C2031="B20",1260,0)))))))</f>
        <v/>
      </c>
      <c r="F2031" s="8" t="str">
        <f>IF(IF(D2031&lt;&gt;D2030,1,IF(OR(B2031&lt;&gt;B2030,A2031-A2030&gt;$U$1),1,""))&lt;&gt;1,"",IF(C2031="B01",1,IF(C2031="B05",1,IF(C2031="B03",1,IF(C2031="B04",1,IF(C2031="B20",1,IF(C2031="B02",1,0)))))))</f>
        <v/>
      </c>
      <c r="G2031"/>
      <c r="H2031" s="2"/>
      <c r="I2031" s="2"/>
      <c r="L2031"/>
      <c r="R2031"/>
    </row>
    <row r="2032" spans="1:18">
      <c r="A2032" s="3">
        <v>45773.611898148149</v>
      </c>
      <c r="B2032" s="2" t="s">
        <v>28</v>
      </c>
      <c r="C2032" s="2" t="s">
        <v>11</v>
      </c>
      <c r="D2032" s="6" t="str">
        <f>CONCATENATE(YEAR(A2032),"/",IF(MONTH(A2032)&lt;10,CONCATENATE("0",MONTH(A2032)),MONTH(A2032)))</f>
        <v>2025/04</v>
      </c>
      <c r="E2032" s="8">
        <f>IF(IF(D2032&lt;&gt;D2031,1,IF(OR(B2032&lt;&gt;B2031,A2032-A2031&gt;$U$1),1,""))&lt;&gt;1,"",IF(C2032="B01",1965,IF(C2032="B02",1020,IF(C2032="B05",2400,IF(C2032="B03",4260,IF(C2032="B04",2880,IF(C2032="B20",1260,0)))))))</f>
        <v>2400</v>
      </c>
      <c r="F2032" s="8">
        <f>IF(IF(D2032&lt;&gt;D2031,1,IF(OR(B2032&lt;&gt;B2031,A2032-A2031&gt;$U$1),1,""))&lt;&gt;1,"",IF(C2032="B01",1,IF(C2032="B05",1,IF(C2032="B03",1,IF(C2032="B04",1,IF(C2032="B20",1,IF(C2032="B02",1,0)))))))</f>
        <v>1</v>
      </c>
      <c r="G2032"/>
      <c r="H2032" s="2"/>
      <c r="I2032" s="2"/>
      <c r="L2032"/>
      <c r="R2032"/>
    </row>
    <row r="2033" spans="1:18">
      <c r="A2033" s="3">
        <v>45773.611898148149</v>
      </c>
      <c r="B2033" s="2" t="s">
        <v>28</v>
      </c>
      <c r="C2033" s="2" t="s">
        <v>11</v>
      </c>
      <c r="D2033" s="6" t="str">
        <f>CONCATENATE(YEAR(A2033),"/",IF(MONTH(A2033)&lt;10,CONCATENATE("0",MONTH(A2033)),MONTH(A2033)))</f>
        <v>2025/04</v>
      </c>
      <c r="E2033" s="8" t="str">
        <f>IF(IF(D2033&lt;&gt;D2032,1,IF(OR(B2033&lt;&gt;B2032,A2033-A2032&gt;$U$1),1,""))&lt;&gt;1,"",IF(C2033="B01",1965,IF(C2033="B02",1020,IF(C2033="B05",2400,IF(C2033="B03",4260,IF(C2033="B04",2880,IF(C2033="B20",1260,0)))))))</f>
        <v/>
      </c>
      <c r="F2033" s="8" t="str">
        <f>IF(IF(D2033&lt;&gt;D2032,1,IF(OR(B2033&lt;&gt;B2032,A2033-A2032&gt;$U$1),1,""))&lt;&gt;1,"",IF(C2033="B01",1,IF(C2033="B05",1,IF(C2033="B03",1,IF(C2033="B04",1,IF(C2033="B20",1,IF(C2033="B02",1,0)))))))</f>
        <v/>
      </c>
      <c r="G2033"/>
      <c r="H2033" s="2"/>
      <c r="I2033" s="2"/>
      <c r="L2033"/>
      <c r="R2033"/>
    </row>
    <row r="2034" spans="1:18">
      <c r="A2034" s="3">
        <v>45773.88853009259</v>
      </c>
      <c r="B2034" s="2" t="s">
        <v>28</v>
      </c>
      <c r="C2034" s="2" t="s">
        <v>11</v>
      </c>
      <c r="D2034" s="6" t="str">
        <f>CONCATENATE(YEAR(A2034),"/",IF(MONTH(A2034)&lt;10,CONCATENATE("0",MONTH(A2034)),MONTH(A2034)))</f>
        <v>2025/04</v>
      </c>
      <c r="E2034" s="8">
        <f>IF(IF(D2034&lt;&gt;D2033,1,IF(OR(B2034&lt;&gt;B2033,A2034-A2033&gt;$U$1),1,""))&lt;&gt;1,"",IF(C2034="B01",1965,IF(C2034="B02",1020,IF(C2034="B05",2400,IF(C2034="B03",4260,IF(C2034="B04",2880,IF(C2034="B20",1260,0)))))))</f>
        <v>2400</v>
      </c>
      <c r="F2034" s="8">
        <f>IF(IF(D2034&lt;&gt;D2033,1,IF(OR(B2034&lt;&gt;B2033,A2034-A2033&gt;$U$1),1,""))&lt;&gt;1,"",IF(C2034="B01",1,IF(C2034="B05",1,IF(C2034="B03",1,IF(C2034="B04",1,IF(C2034="B20",1,IF(C2034="B02",1,0)))))))</f>
        <v>1</v>
      </c>
      <c r="G2034"/>
      <c r="H2034" s="2"/>
      <c r="I2034" s="2"/>
      <c r="L2034"/>
      <c r="R2034"/>
    </row>
    <row r="2035" spans="1:18">
      <c r="A2035" s="3">
        <v>45773.88853009259</v>
      </c>
      <c r="B2035" s="2" t="s">
        <v>28</v>
      </c>
      <c r="C2035" s="2" t="s">
        <v>11</v>
      </c>
      <c r="D2035" s="6" t="str">
        <f>CONCATENATE(YEAR(A2035),"/",IF(MONTH(A2035)&lt;10,CONCATENATE("0",MONTH(A2035)),MONTH(A2035)))</f>
        <v>2025/04</v>
      </c>
      <c r="E2035" s="8" t="str">
        <f>IF(IF(D2035&lt;&gt;D2034,1,IF(OR(B2035&lt;&gt;B2034,A2035-A2034&gt;$U$1),1,""))&lt;&gt;1,"",IF(C2035="B01",1965,IF(C2035="B02",1020,IF(C2035="B05",2400,IF(C2035="B03",4260,IF(C2035="B04",2880,IF(C2035="B20",1260,0)))))))</f>
        <v/>
      </c>
      <c r="F2035" s="8" t="str">
        <f>IF(IF(D2035&lt;&gt;D2034,1,IF(OR(B2035&lt;&gt;B2034,A2035-A2034&gt;$U$1),1,""))&lt;&gt;1,"",IF(C2035="B01",1,IF(C2035="B05",1,IF(C2035="B03",1,IF(C2035="B04",1,IF(C2035="B20",1,IF(C2035="B02",1,0)))))))</f>
        <v/>
      </c>
      <c r="G2035"/>
      <c r="H2035" s="2"/>
      <c r="I2035" s="2"/>
      <c r="L2035"/>
      <c r="R2035"/>
    </row>
    <row r="2036" spans="1:18">
      <c r="A2036" s="3">
        <v>45774.048449074071</v>
      </c>
      <c r="B2036" s="2" t="s">
        <v>28</v>
      </c>
      <c r="C2036" s="2" t="s">
        <v>11</v>
      </c>
      <c r="D2036" s="6" t="str">
        <f>CONCATENATE(YEAR(A2036),"/",IF(MONTH(A2036)&lt;10,CONCATENATE("0",MONTH(A2036)),MONTH(A2036)))</f>
        <v>2025/04</v>
      </c>
      <c r="E2036" s="8">
        <f>IF(IF(D2036&lt;&gt;D2035,1,IF(OR(B2036&lt;&gt;B2035,A2036-A2035&gt;$U$1),1,""))&lt;&gt;1,"",IF(C2036="B01",1965,IF(C2036="B02",1020,IF(C2036="B05",2400,IF(C2036="B03",4260,IF(C2036="B04",2880,IF(C2036="B20",1260,0)))))))</f>
        <v>2400</v>
      </c>
      <c r="F2036" s="8">
        <f>IF(IF(D2036&lt;&gt;D2035,1,IF(OR(B2036&lt;&gt;B2035,A2036-A2035&gt;$U$1),1,""))&lt;&gt;1,"",IF(C2036="B01",1,IF(C2036="B05",1,IF(C2036="B03",1,IF(C2036="B04",1,IF(C2036="B20",1,IF(C2036="B02",1,0)))))))</f>
        <v>1</v>
      </c>
      <c r="G2036"/>
      <c r="H2036" s="2"/>
      <c r="I2036" s="2"/>
      <c r="L2036"/>
      <c r="R2036"/>
    </row>
    <row r="2037" spans="1:18">
      <c r="A2037" s="3">
        <v>45774.048449074071</v>
      </c>
      <c r="B2037" s="2" t="s">
        <v>28</v>
      </c>
      <c r="C2037" s="2" t="s">
        <v>11</v>
      </c>
      <c r="D2037" s="6" t="str">
        <f>CONCATENATE(YEAR(A2037),"/",IF(MONTH(A2037)&lt;10,CONCATENATE("0",MONTH(A2037)),MONTH(A2037)))</f>
        <v>2025/04</v>
      </c>
      <c r="E2037" s="8" t="str">
        <f>IF(IF(D2037&lt;&gt;D2036,1,IF(OR(B2037&lt;&gt;B2036,A2037-A2036&gt;$U$1),1,""))&lt;&gt;1,"",IF(C2037="B01",1965,IF(C2037="B02",1020,IF(C2037="B05",2400,IF(C2037="B03",4260,IF(C2037="B04",2880,IF(C2037="B20",1260,0)))))))</f>
        <v/>
      </c>
      <c r="F2037" s="8" t="str">
        <f>IF(IF(D2037&lt;&gt;D2036,1,IF(OR(B2037&lt;&gt;B2036,A2037-A2036&gt;$U$1),1,""))&lt;&gt;1,"",IF(C2037="B01",1,IF(C2037="B05",1,IF(C2037="B03",1,IF(C2037="B04",1,IF(C2037="B20",1,IF(C2037="B02",1,0)))))))</f>
        <v/>
      </c>
      <c r="G2037"/>
      <c r="H2037" s="2"/>
      <c r="I2037" s="2"/>
      <c r="L2037"/>
      <c r="R2037"/>
    </row>
    <row r="2038" spans="1:18">
      <c r="A2038" s="3">
        <v>45774.048449074071</v>
      </c>
      <c r="B2038" s="2" t="s">
        <v>28</v>
      </c>
      <c r="C2038" s="2" t="s">
        <v>11</v>
      </c>
      <c r="D2038" s="6" t="str">
        <f>CONCATENATE(YEAR(A2038),"/",IF(MONTH(A2038)&lt;10,CONCATENATE("0",MONTH(A2038)),MONTH(A2038)))</f>
        <v>2025/04</v>
      </c>
      <c r="E2038" s="8" t="str">
        <f>IF(IF(D2038&lt;&gt;D2037,1,IF(OR(B2038&lt;&gt;B2037,A2038-A2037&gt;$U$1),1,""))&lt;&gt;1,"",IF(C2038="B01",1965,IF(C2038="B02",1020,IF(C2038="B05",2400,IF(C2038="B03",4260,IF(C2038="B04",2880,IF(C2038="B20",1260,0)))))))</f>
        <v/>
      </c>
      <c r="F2038" s="8" t="str">
        <f>IF(IF(D2038&lt;&gt;D2037,1,IF(OR(B2038&lt;&gt;B2037,A2038-A2037&gt;$U$1),1,""))&lt;&gt;1,"",IF(C2038="B01",1,IF(C2038="B05",1,IF(C2038="B03",1,IF(C2038="B04",1,IF(C2038="B20",1,IF(C2038="B02",1,0)))))))</f>
        <v/>
      </c>
      <c r="G2038"/>
      <c r="H2038" s="2"/>
      <c r="I2038" s="2"/>
      <c r="L2038"/>
      <c r="R2038"/>
    </row>
    <row r="2039" spans="1:18">
      <c r="A2039" s="3">
        <v>45774.048449074071</v>
      </c>
      <c r="B2039" s="2" t="s">
        <v>28</v>
      </c>
      <c r="C2039" s="2" t="s">
        <v>11</v>
      </c>
      <c r="D2039" s="6" t="str">
        <f>CONCATENATE(YEAR(A2039),"/",IF(MONTH(A2039)&lt;10,CONCATENATE("0",MONTH(A2039)),MONTH(A2039)))</f>
        <v>2025/04</v>
      </c>
      <c r="E2039" s="8" t="str">
        <f>IF(IF(D2039&lt;&gt;D2038,1,IF(OR(B2039&lt;&gt;B2038,A2039-A2038&gt;$U$1),1,""))&lt;&gt;1,"",IF(C2039="B01",1965,IF(C2039="B02",1020,IF(C2039="B05",2400,IF(C2039="B03",4260,IF(C2039="B04",2880,IF(C2039="B20",1260,0)))))))</f>
        <v/>
      </c>
      <c r="F2039" s="8" t="str">
        <f>IF(IF(D2039&lt;&gt;D2038,1,IF(OR(B2039&lt;&gt;B2038,A2039-A2038&gt;$U$1),1,""))&lt;&gt;1,"",IF(C2039="B01",1,IF(C2039="B05",1,IF(C2039="B03",1,IF(C2039="B04",1,IF(C2039="B20",1,IF(C2039="B02",1,0)))))))</f>
        <v/>
      </c>
      <c r="G2039"/>
      <c r="H2039" s="2"/>
      <c r="I2039" s="2"/>
      <c r="L2039"/>
      <c r="R2039"/>
    </row>
    <row r="2040" spans="1:18">
      <c r="A2040" s="3">
        <v>45774.232048611113</v>
      </c>
      <c r="B2040" s="2" t="s">
        <v>28</v>
      </c>
      <c r="C2040" s="2" t="s">
        <v>11</v>
      </c>
      <c r="D2040" s="6" t="str">
        <f>CONCATENATE(YEAR(A2040),"/",IF(MONTH(A2040)&lt;10,CONCATENATE("0",MONTH(A2040)),MONTH(A2040)))</f>
        <v>2025/04</v>
      </c>
      <c r="E2040" s="8">
        <f>IF(IF(D2040&lt;&gt;D2039,1,IF(OR(B2040&lt;&gt;B2039,A2040-A2039&gt;$U$1),1,""))&lt;&gt;1,"",IF(C2040="B01",1965,IF(C2040="B02",1020,IF(C2040="B05",2400,IF(C2040="B03",4260,IF(C2040="B04",2880,IF(C2040="B20",1260,0)))))))</f>
        <v>2400</v>
      </c>
      <c r="F2040" s="8">
        <f>IF(IF(D2040&lt;&gt;D2039,1,IF(OR(B2040&lt;&gt;B2039,A2040-A2039&gt;$U$1),1,""))&lt;&gt;1,"",IF(C2040="B01",1,IF(C2040="B05",1,IF(C2040="B03",1,IF(C2040="B04",1,IF(C2040="B20",1,IF(C2040="B02",1,0)))))))</f>
        <v>1</v>
      </c>
      <c r="G2040"/>
      <c r="H2040" s="2"/>
      <c r="I2040" s="2"/>
      <c r="L2040"/>
      <c r="R2040"/>
    </row>
    <row r="2041" spans="1:18">
      <c r="A2041" s="3">
        <v>45774.232048611113</v>
      </c>
      <c r="B2041" s="2" t="s">
        <v>28</v>
      </c>
      <c r="C2041" s="2" t="s">
        <v>11</v>
      </c>
      <c r="D2041" s="6" t="str">
        <f>CONCATENATE(YEAR(A2041),"/",IF(MONTH(A2041)&lt;10,CONCATENATE("0",MONTH(A2041)),MONTH(A2041)))</f>
        <v>2025/04</v>
      </c>
      <c r="E2041" s="8" t="str">
        <f>IF(IF(D2041&lt;&gt;D2040,1,IF(OR(B2041&lt;&gt;B2040,A2041-A2040&gt;$U$1),1,""))&lt;&gt;1,"",IF(C2041="B01",1965,IF(C2041="B02",1020,IF(C2041="B05",2400,IF(C2041="B03",4260,IF(C2041="B04",2880,IF(C2041="B20",1260,0)))))))</f>
        <v/>
      </c>
      <c r="F2041" s="8" t="str">
        <f>IF(IF(D2041&lt;&gt;D2040,1,IF(OR(B2041&lt;&gt;B2040,A2041-A2040&gt;$U$1),1,""))&lt;&gt;1,"",IF(C2041="B01",1,IF(C2041="B05",1,IF(C2041="B03",1,IF(C2041="B04",1,IF(C2041="B20",1,IF(C2041="B02",1,0)))))))</f>
        <v/>
      </c>
      <c r="G2041"/>
      <c r="H2041" s="2"/>
      <c r="I2041" s="2"/>
      <c r="L2041"/>
      <c r="R2041"/>
    </row>
    <row r="2042" spans="1:18">
      <c r="A2042" s="3">
        <v>45774.232048611113</v>
      </c>
      <c r="B2042" s="2" t="s">
        <v>28</v>
      </c>
      <c r="C2042" s="2" t="s">
        <v>11</v>
      </c>
      <c r="D2042" s="6" t="str">
        <f>CONCATENATE(YEAR(A2042),"/",IF(MONTH(A2042)&lt;10,CONCATENATE("0",MONTH(A2042)),MONTH(A2042)))</f>
        <v>2025/04</v>
      </c>
      <c r="E2042" s="8" t="str">
        <f>IF(IF(D2042&lt;&gt;D2041,1,IF(OR(B2042&lt;&gt;B2041,A2042-A2041&gt;$U$1),1,""))&lt;&gt;1,"",IF(C2042="B01",1965,IF(C2042="B02",1020,IF(C2042="B05",2400,IF(C2042="B03",4260,IF(C2042="B04",2880,IF(C2042="B20",1260,0)))))))</f>
        <v/>
      </c>
      <c r="F2042" s="8" t="str">
        <f>IF(IF(D2042&lt;&gt;D2041,1,IF(OR(B2042&lt;&gt;B2041,A2042-A2041&gt;$U$1),1,""))&lt;&gt;1,"",IF(C2042="B01",1,IF(C2042="B05",1,IF(C2042="B03",1,IF(C2042="B04",1,IF(C2042="B20",1,IF(C2042="B02",1,0)))))))</f>
        <v/>
      </c>
      <c r="G2042"/>
      <c r="H2042" s="2"/>
      <c r="I2042" s="2"/>
      <c r="L2042"/>
      <c r="R2042"/>
    </row>
    <row r="2043" spans="1:18">
      <c r="A2043" s="3">
        <v>45774.352997685186</v>
      </c>
      <c r="B2043" s="2" t="s">
        <v>28</v>
      </c>
      <c r="C2043" s="2" t="s">
        <v>11</v>
      </c>
      <c r="D2043" s="6" t="str">
        <f>CONCATENATE(YEAR(A2043),"/",IF(MONTH(A2043)&lt;10,CONCATENATE("0",MONTH(A2043)),MONTH(A2043)))</f>
        <v>2025/04</v>
      </c>
      <c r="E2043" s="8">
        <f>IF(IF(D2043&lt;&gt;D2042,1,IF(OR(B2043&lt;&gt;B2042,A2043-A2042&gt;$U$1),1,""))&lt;&gt;1,"",IF(C2043="B01",1965,IF(C2043="B02",1020,IF(C2043="B05",2400,IF(C2043="B03",4260,IF(C2043="B04",2880,IF(C2043="B20",1260,0)))))))</f>
        <v>2400</v>
      </c>
      <c r="F2043" s="8">
        <f>IF(IF(D2043&lt;&gt;D2042,1,IF(OR(B2043&lt;&gt;B2042,A2043-A2042&gt;$U$1),1,""))&lt;&gt;1,"",IF(C2043="B01",1,IF(C2043="B05",1,IF(C2043="B03",1,IF(C2043="B04",1,IF(C2043="B20",1,IF(C2043="B02",1,0)))))))</f>
        <v>1</v>
      </c>
      <c r="G2043"/>
      <c r="H2043" s="2"/>
      <c r="I2043" s="2"/>
      <c r="L2043"/>
      <c r="R2043"/>
    </row>
    <row r="2044" spans="1:18">
      <c r="A2044" s="3">
        <v>45774.352997685186</v>
      </c>
      <c r="B2044" s="2" t="s">
        <v>28</v>
      </c>
      <c r="C2044" s="2" t="s">
        <v>11</v>
      </c>
      <c r="D2044" s="6" t="str">
        <f>CONCATENATE(YEAR(A2044),"/",IF(MONTH(A2044)&lt;10,CONCATENATE("0",MONTH(A2044)),MONTH(A2044)))</f>
        <v>2025/04</v>
      </c>
      <c r="E2044" s="8" t="str">
        <f>IF(IF(D2044&lt;&gt;D2043,1,IF(OR(B2044&lt;&gt;B2043,A2044-A2043&gt;$U$1),1,""))&lt;&gt;1,"",IF(C2044="B01",1965,IF(C2044="B02",1020,IF(C2044="B05",2400,IF(C2044="B03",4260,IF(C2044="B04",2880,IF(C2044="B20",1260,0)))))))</f>
        <v/>
      </c>
      <c r="F2044" s="8" t="str">
        <f>IF(IF(D2044&lt;&gt;D2043,1,IF(OR(B2044&lt;&gt;B2043,A2044-A2043&gt;$U$1),1,""))&lt;&gt;1,"",IF(C2044="B01",1,IF(C2044="B05",1,IF(C2044="B03",1,IF(C2044="B04",1,IF(C2044="B20",1,IF(C2044="B02",1,0)))))))</f>
        <v/>
      </c>
      <c r="G2044"/>
      <c r="H2044" s="2"/>
      <c r="I2044" s="2"/>
      <c r="L2044"/>
      <c r="R2044"/>
    </row>
    <row r="2045" spans="1:18">
      <c r="A2045" s="3">
        <v>45774.352997685186</v>
      </c>
      <c r="B2045" s="2" t="s">
        <v>28</v>
      </c>
      <c r="C2045" s="2" t="s">
        <v>11</v>
      </c>
      <c r="D2045" s="6" t="str">
        <f>CONCATENATE(YEAR(A2045),"/",IF(MONTH(A2045)&lt;10,CONCATENATE("0",MONTH(A2045)),MONTH(A2045)))</f>
        <v>2025/04</v>
      </c>
      <c r="E2045" s="8" t="str">
        <f>IF(IF(D2045&lt;&gt;D2044,1,IF(OR(B2045&lt;&gt;B2044,A2045-A2044&gt;$U$1),1,""))&lt;&gt;1,"",IF(C2045="B01",1965,IF(C2045="B02",1020,IF(C2045="B05",2400,IF(C2045="B03",4260,IF(C2045="B04",2880,IF(C2045="B20",1260,0)))))))</f>
        <v/>
      </c>
      <c r="F2045" s="8" t="str">
        <f>IF(IF(D2045&lt;&gt;D2044,1,IF(OR(B2045&lt;&gt;B2044,A2045-A2044&gt;$U$1),1,""))&lt;&gt;1,"",IF(C2045="B01",1,IF(C2045="B05",1,IF(C2045="B03",1,IF(C2045="B04",1,IF(C2045="B20",1,IF(C2045="B02",1,0)))))))</f>
        <v/>
      </c>
      <c r="G2045"/>
      <c r="H2045" s="2"/>
      <c r="I2045" s="2"/>
      <c r="L2045"/>
      <c r="R2045"/>
    </row>
    <row r="2046" spans="1:18">
      <c r="A2046" s="3">
        <v>45774.764618055553</v>
      </c>
      <c r="B2046" s="2" t="s">
        <v>28</v>
      </c>
      <c r="C2046" s="2" t="s">
        <v>11</v>
      </c>
      <c r="D2046" s="6" t="str">
        <f>CONCATENATE(YEAR(A2046),"/",IF(MONTH(A2046)&lt;10,CONCATENATE("0",MONTH(A2046)),MONTH(A2046)))</f>
        <v>2025/04</v>
      </c>
      <c r="E2046" s="8">
        <f>IF(IF(D2046&lt;&gt;D2045,1,IF(OR(B2046&lt;&gt;B2045,A2046-A2045&gt;$U$1),1,""))&lt;&gt;1,"",IF(C2046="B01",1965,IF(C2046="B02",1020,IF(C2046="B05",2400,IF(C2046="B03",4260,IF(C2046="B04",2880,IF(C2046="B20",1260,0)))))))</f>
        <v>2400</v>
      </c>
      <c r="F2046" s="8">
        <f>IF(IF(D2046&lt;&gt;D2045,1,IF(OR(B2046&lt;&gt;B2045,A2046-A2045&gt;$U$1),1,""))&lt;&gt;1,"",IF(C2046="B01",1,IF(C2046="B05",1,IF(C2046="B03",1,IF(C2046="B04",1,IF(C2046="B20",1,IF(C2046="B02",1,0)))))))</f>
        <v>1</v>
      </c>
      <c r="G2046"/>
      <c r="H2046" s="2"/>
      <c r="I2046" s="2"/>
      <c r="L2046"/>
      <c r="R2046"/>
    </row>
    <row r="2047" spans="1:18">
      <c r="A2047" s="3">
        <v>45774.764618055553</v>
      </c>
      <c r="B2047" s="2" t="s">
        <v>28</v>
      </c>
      <c r="C2047" s="2" t="s">
        <v>11</v>
      </c>
      <c r="D2047" s="6" t="str">
        <f>CONCATENATE(YEAR(A2047),"/",IF(MONTH(A2047)&lt;10,CONCATENATE("0",MONTH(A2047)),MONTH(A2047)))</f>
        <v>2025/04</v>
      </c>
      <c r="E2047" s="8" t="str">
        <f>IF(IF(D2047&lt;&gt;D2046,1,IF(OR(B2047&lt;&gt;B2046,A2047-A2046&gt;$U$1),1,""))&lt;&gt;1,"",IF(C2047="B01",1965,IF(C2047="B02",1020,IF(C2047="B05",2400,IF(C2047="B03",4260,IF(C2047="B04",2880,IF(C2047="B20",1260,0)))))))</f>
        <v/>
      </c>
      <c r="F2047" s="8" t="str">
        <f>IF(IF(D2047&lt;&gt;D2046,1,IF(OR(B2047&lt;&gt;B2046,A2047-A2046&gt;$U$1),1,""))&lt;&gt;1,"",IF(C2047="B01",1,IF(C2047="B05",1,IF(C2047="B03",1,IF(C2047="B04",1,IF(C2047="B20",1,IF(C2047="B02",1,0)))))))</f>
        <v/>
      </c>
      <c r="G2047"/>
      <c r="H2047" s="2"/>
      <c r="I2047" s="2"/>
      <c r="L2047"/>
      <c r="R2047"/>
    </row>
    <row r="2048" spans="1:18">
      <c r="A2048" s="3">
        <v>45774.764618055553</v>
      </c>
      <c r="B2048" s="2" t="s">
        <v>28</v>
      </c>
      <c r="C2048" s="2" t="s">
        <v>11</v>
      </c>
      <c r="D2048" s="6" t="str">
        <f>CONCATENATE(YEAR(A2048),"/",IF(MONTH(A2048)&lt;10,CONCATENATE("0",MONTH(A2048)),MONTH(A2048)))</f>
        <v>2025/04</v>
      </c>
      <c r="E2048" s="8" t="str">
        <f>IF(IF(D2048&lt;&gt;D2047,1,IF(OR(B2048&lt;&gt;B2047,A2048-A2047&gt;$U$1),1,""))&lt;&gt;1,"",IF(C2048="B01",1965,IF(C2048="B02",1020,IF(C2048="B05",2400,IF(C2048="B03",4260,IF(C2048="B04",2880,IF(C2048="B20",1260,0)))))))</f>
        <v/>
      </c>
      <c r="F2048" s="8" t="str">
        <f>IF(IF(D2048&lt;&gt;D2047,1,IF(OR(B2048&lt;&gt;B2047,A2048-A2047&gt;$U$1),1,""))&lt;&gt;1,"",IF(C2048="B01",1,IF(C2048="B05",1,IF(C2048="B03",1,IF(C2048="B04",1,IF(C2048="B20",1,IF(C2048="B02",1,0)))))))</f>
        <v/>
      </c>
      <c r="G2048"/>
      <c r="H2048" s="2"/>
      <c r="I2048" s="2"/>
      <c r="L2048"/>
      <c r="R2048"/>
    </row>
    <row r="2049" spans="1:18">
      <c r="A2049" s="3">
        <v>45775.033020833333</v>
      </c>
      <c r="B2049" s="2" t="s">
        <v>28</v>
      </c>
      <c r="C2049" s="2" t="s">
        <v>11</v>
      </c>
      <c r="D2049" s="6" t="str">
        <f>CONCATENATE(YEAR(A2049),"/",IF(MONTH(A2049)&lt;10,CONCATENATE("0",MONTH(A2049)),MONTH(A2049)))</f>
        <v>2025/04</v>
      </c>
      <c r="E2049" s="8">
        <f>IF(IF(D2049&lt;&gt;D2048,1,IF(OR(B2049&lt;&gt;B2048,A2049-A2048&gt;$U$1),1,""))&lt;&gt;1,"",IF(C2049="B01",1965,IF(C2049="B02",1020,IF(C2049="B05",2400,IF(C2049="B03",4260,IF(C2049="B04",2880,IF(C2049="B20",1260,0)))))))</f>
        <v>2400</v>
      </c>
      <c r="F2049" s="8">
        <f>IF(IF(D2049&lt;&gt;D2048,1,IF(OR(B2049&lt;&gt;B2048,A2049-A2048&gt;$U$1),1,""))&lt;&gt;1,"",IF(C2049="B01",1,IF(C2049="B05",1,IF(C2049="B03",1,IF(C2049="B04",1,IF(C2049="B20",1,IF(C2049="B02",1,0)))))))</f>
        <v>1</v>
      </c>
      <c r="G2049"/>
      <c r="H2049" s="2"/>
      <c r="I2049" s="2"/>
      <c r="L2049"/>
      <c r="R2049"/>
    </row>
    <row r="2050" spans="1:18">
      <c r="A2050" s="3">
        <v>45775.033020833333</v>
      </c>
      <c r="B2050" s="2" t="s">
        <v>28</v>
      </c>
      <c r="C2050" s="2" t="s">
        <v>11</v>
      </c>
      <c r="D2050" s="6" t="str">
        <f>CONCATENATE(YEAR(A2050),"/",IF(MONTH(A2050)&lt;10,CONCATENATE("0",MONTH(A2050)),MONTH(A2050)))</f>
        <v>2025/04</v>
      </c>
      <c r="E2050" s="8" t="str">
        <f>IF(IF(D2050&lt;&gt;D2049,1,IF(OR(B2050&lt;&gt;B2049,A2050-A2049&gt;$U$1),1,""))&lt;&gt;1,"",IF(C2050="B01",1965,IF(C2050="B02",1020,IF(C2050="B05",2400,IF(C2050="B03",4260,IF(C2050="B04",2880,IF(C2050="B20",1260,0)))))))</f>
        <v/>
      </c>
      <c r="F2050" s="8" t="str">
        <f>IF(IF(D2050&lt;&gt;D2049,1,IF(OR(B2050&lt;&gt;B2049,A2050-A2049&gt;$U$1),1,""))&lt;&gt;1,"",IF(C2050="B01",1,IF(C2050="B05",1,IF(C2050="B03",1,IF(C2050="B04",1,IF(C2050="B20",1,IF(C2050="B02",1,0)))))))</f>
        <v/>
      </c>
      <c r="G2050"/>
      <c r="H2050" s="2"/>
      <c r="I2050" s="2"/>
      <c r="L2050"/>
      <c r="R2050"/>
    </row>
    <row r="2051" spans="1:18">
      <c r="A2051" s="3">
        <v>45775.32775462963</v>
      </c>
      <c r="B2051" s="2" t="s">
        <v>28</v>
      </c>
      <c r="C2051" s="2" t="s">
        <v>11</v>
      </c>
      <c r="D2051" s="6" t="str">
        <f>CONCATENATE(YEAR(A2051),"/",IF(MONTH(A2051)&lt;10,CONCATENATE("0",MONTH(A2051)),MONTH(A2051)))</f>
        <v>2025/04</v>
      </c>
      <c r="E2051" s="8">
        <f>IF(IF(D2051&lt;&gt;D2050,1,IF(OR(B2051&lt;&gt;B2050,A2051-A2050&gt;$U$1),1,""))&lt;&gt;1,"",IF(C2051="B01",1965,IF(C2051="B02",1020,IF(C2051="B05",2400,IF(C2051="B03",4260,IF(C2051="B04",2880,IF(C2051="B20",1260,0)))))))</f>
        <v>2400</v>
      </c>
      <c r="F2051" s="8">
        <f>IF(IF(D2051&lt;&gt;D2050,1,IF(OR(B2051&lt;&gt;B2050,A2051-A2050&gt;$U$1),1,""))&lt;&gt;1,"",IF(C2051="B01",1,IF(C2051="B05",1,IF(C2051="B03",1,IF(C2051="B04",1,IF(C2051="B20",1,IF(C2051="B02",1,0)))))))</f>
        <v>1</v>
      </c>
      <c r="G2051"/>
      <c r="H2051" s="2"/>
      <c r="I2051" s="2"/>
      <c r="L2051"/>
      <c r="R2051"/>
    </row>
    <row r="2052" spans="1:18">
      <c r="A2052" s="3">
        <v>45775.32775462963</v>
      </c>
      <c r="B2052" s="2" t="s">
        <v>28</v>
      </c>
      <c r="C2052" s="2" t="s">
        <v>11</v>
      </c>
      <c r="D2052" s="6" t="str">
        <f>CONCATENATE(YEAR(A2052),"/",IF(MONTH(A2052)&lt;10,CONCATENATE("0",MONTH(A2052)),MONTH(A2052)))</f>
        <v>2025/04</v>
      </c>
      <c r="E2052" s="8" t="str">
        <f>IF(IF(D2052&lt;&gt;D2051,1,IF(OR(B2052&lt;&gt;B2051,A2052-A2051&gt;$U$1),1,""))&lt;&gt;1,"",IF(C2052="B01",1965,IF(C2052="B02",1020,IF(C2052="B05",2400,IF(C2052="B03",4260,IF(C2052="B04",2880,IF(C2052="B20",1260,0)))))))</f>
        <v/>
      </c>
      <c r="F2052" s="8" t="str">
        <f>IF(IF(D2052&lt;&gt;D2051,1,IF(OR(B2052&lt;&gt;B2051,A2052-A2051&gt;$U$1),1,""))&lt;&gt;1,"",IF(C2052="B01",1,IF(C2052="B05",1,IF(C2052="B03",1,IF(C2052="B04",1,IF(C2052="B20",1,IF(C2052="B02",1,0)))))))</f>
        <v/>
      </c>
      <c r="G2052"/>
      <c r="H2052" s="2"/>
      <c r="I2052" s="2"/>
      <c r="L2052"/>
      <c r="R2052"/>
    </row>
    <row r="2053" spans="1:18">
      <c r="A2053" s="3">
        <v>45775.32775462963</v>
      </c>
      <c r="B2053" s="2" t="s">
        <v>28</v>
      </c>
      <c r="C2053" s="2" t="s">
        <v>11</v>
      </c>
      <c r="D2053" s="6" t="str">
        <f>CONCATENATE(YEAR(A2053),"/",IF(MONTH(A2053)&lt;10,CONCATENATE("0",MONTH(A2053)),MONTH(A2053)))</f>
        <v>2025/04</v>
      </c>
      <c r="E2053" s="8" t="str">
        <f>IF(IF(D2053&lt;&gt;D2052,1,IF(OR(B2053&lt;&gt;B2052,A2053-A2052&gt;$U$1),1,""))&lt;&gt;1,"",IF(C2053="B01",1965,IF(C2053="B02",1020,IF(C2053="B05",2400,IF(C2053="B03",4260,IF(C2053="B04",2880,IF(C2053="B20",1260,0)))))))</f>
        <v/>
      </c>
      <c r="F2053" s="8" t="str">
        <f>IF(IF(D2053&lt;&gt;D2052,1,IF(OR(B2053&lt;&gt;B2052,A2053-A2052&gt;$U$1),1,""))&lt;&gt;1,"",IF(C2053="B01",1,IF(C2053="B05",1,IF(C2053="B03",1,IF(C2053="B04",1,IF(C2053="B20",1,IF(C2053="B02",1,0)))))))</f>
        <v/>
      </c>
      <c r="G2053"/>
      <c r="H2053" s="2"/>
      <c r="I2053" s="2"/>
      <c r="L2053"/>
      <c r="R2053"/>
    </row>
    <row r="2054" spans="1:18">
      <c r="A2054" s="3">
        <v>45775.450972222221</v>
      </c>
      <c r="B2054" s="2" t="s">
        <v>28</v>
      </c>
      <c r="C2054" s="2" t="s">
        <v>11</v>
      </c>
      <c r="D2054" s="6" t="str">
        <f>CONCATENATE(YEAR(A2054),"/",IF(MONTH(A2054)&lt;10,CONCATENATE("0",MONTH(A2054)),MONTH(A2054)))</f>
        <v>2025/04</v>
      </c>
      <c r="E2054" s="8">
        <f>IF(IF(D2054&lt;&gt;D2053,1,IF(OR(B2054&lt;&gt;B2053,A2054-A2053&gt;$U$1),1,""))&lt;&gt;1,"",IF(C2054="B01",1965,IF(C2054="B02",1020,IF(C2054="B05",2400,IF(C2054="B03",4260,IF(C2054="B04",2880,IF(C2054="B20",1260,0)))))))</f>
        <v>2400</v>
      </c>
      <c r="F2054" s="8">
        <f>IF(IF(D2054&lt;&gt;D2053,1,IF(OR(B2054&lt;&gt;B2053,A2054-A2053&gt;$U$1),1,""))&lt;&gt;1,"",IF(C2054="B01",1,IF(C2054="B05",1,IF(C2054="B03",1,IF(C2054="B04",1,IF(C2054="B20",1,IF(C2054="B02",1,0)))))))</f>
        <v>1</v>
      </c>
      <c r="G2054"/>
      <c r="H2054" s="2"/>
      <c r="I2054" s="2"/>
      <c r="L2054"/>
      <c r="R2054"/>
    </row>
    <row r="2055" spans="1:18">
      <c r="A2055" s="3">
        <v>45775.450972222221</v>
      </c>
      <c r="B2055" s="2" t="s">
        <v>28</v>
      </c>
      <c r="C2055" s="2" t="s">
        <v>11</v>
      </c>
      <c r="D2055" s="6" t="str">
        <f>CONCATENATE(YEAR(A2055),"/",IF(MONTH(A2055)&lt;10,CONCATENATE("0",MONTH(A2055)),MONTH(A2055)))</f>
        <v>2025/04</v>
      </c>
      <c r="E2055" s="8" t="str">
        <f>IF(IF(D2055&lt;&gt;D2054,1,IF(OR(B2055&lt;&gt;B2054,A2055-A2054&gt;$U$1),1,""))&lt;&gt;1,"",IF(C2055="B01",1965,IF(C2055="B02",1020,IF(C2055="B05",2400,IF(C2055="B03",4260,IF(C2055="B04",2880,IF(C2055="B20",1260,0)))))))</f>
        <v/>
      </c>
      <c r="F2055" s="8" t="str">
        <f>IF(IF(D2055&lt;&gt;D2054,1,IF(OR(B2055&lt;&gt;B2054,A2055-A2054&gt;$U$1),1,""))&lt;&gt;1,"",IF(C2055="B01",1,IF(C2055="B05",1,IF(C2055="B03",1,IF(C2055="B04",1,IF(C2055="B20",1,IF(C2055="B02",1,0)))))))</f>
        <v/>
      </c>
      <c r="G2055"/>
      <c r="H2055" s="2"/>
      <c r="I2055" s="2"/>
      <c r="L2055"/>
      <c r="R2055"/>
    </row>
    <row r="2056" spans="1:18">
      <c r="A2056" s="3">
        <v>45775.772916666669</v>
      </c>
      <c r="B2056" s="2" t="s">
        <v>28</v>
      </c>
      <c r="C2056" s="2" t="s">
        <v>11</v>
      </c>
      <c r="D2056" s="6" t="str">
        <f>CONCATENATE(YEAR(A2056),"/",IF(MONTH(A2056)&lt;10,CONCATENATE("0",MONTH(A2056)),MONTH(A2056)))</f>
        <v>2025/04</v>
      </c>
      <c r="E2056" s="8">
        <f>IF(IF(D2056&lt;&gt;D2055,1,IF(OR(B2056&lt;&gt;B2055,A2056-A2055&gt;$U$1),1,""))&lt;&gt;1,"",IF(C2056="B01",1965,IF(C2056="B02",1020,IF(C2056="B05",2400,IF(C2056="B03",4260,IF(C2056="B04",2880,IF(C2056="B20",1260,0)))))))</f>
        <v>2400</v>
      </c>
      <c r="F2056" s="8">
        <f>IF(IF(D2056&lt;&gt;D2055,1,IF(OR(B2056&lt;&gt;B2055,A2056-A2055&gt;$U$1),1,""))&lt;&gt;1,"",IF(C2056="B01",1,IF(C2056="B05",1,IF(C2056="B03",1,IF(C2056="B04",1,IF(C2056="B20",1,IF(C2056="B02",1,0)))))))</f>
        <v>1</v>
      </c>
      <c r="G2056"/>
      <c r="H2056" s="2"/>
      <c r="I2056" s="2"/>
      <c r="L2056"/>
      <c r="R2056"/>
    </row>
    <row r="2057" spans="1:18">
      <c r="A2057" s="3">
        <v>45775.772916666669</v>
      </c>
      <c r="B2057" s="2" t="s">
        <v>28</v>
      </c>
      <c r="C2057" s="2" t="s">
        <v>11</v>
      </c>
      <c r="D2057" s="6" t="str">
        <f>CONCATENATE(YEAR(A2057),"/",IF(MONTH(A2057)&lt;10,CONCATENATE("0",MONTH(A2057)),MONTH(A2057)))</f>
        <v>2025/04</v>
      </c>
      <c r="E2057" s="8" t="str">
        <f>IF(IF(D2057&lt;&gt;D2056,1,IF(OR(B2057&lt;&gt;B2056,A2057-A2056&gt;$U$1),1,""))&lt;&gt;1,"",IF(C2057="B01",1965,IF(C2057="B02",1020,IF(C2057="B05",2400,IF(C2057="B03",4260,IF(C2057="B04",2880,IF(C2057="B20",1260,0)))))))</f>
        <v/>
      </c>
      <c r="F2057" s="8" t="str">
        <f>IF(IF(D2057&lt;&gt;D2056,1,IF(OR(B2057&lt;&gt;B2056,A2057-A2056&gt;$U$1),1,""))&lt;&gt;1,"",IF(C2057="B01",1,IF(C2057="B05",1,IF(C2057="B03",1,IF(C2057="B04",1,IF(C2057="B20",1,IF(C2057="B02",1,0)))))))</f>
        <v/>
      </c>
      <c r="G2057"/>
      <c r="H2057" s="2"/>
      <c r="I2057" s="2"/>
      <c r="L2057"/>
      <c r="R2057"/>
    </row>
    <row r="2058" spans="1:18">
      <c r="A2058" s="3">
        <v>45775.772916666669</v>
      </c>
      <c r="B2058" s="2" t="s">
        <v>28</v>
      </c>
      <c r="C2058" s="2" t="s">
        <v>11</v>
      </c>
      <c r="D2058" s="6" t="str">
        <f>CONCATENATE(YEAR(A2058),"/",IF(MONTH(A2058)&lt;10,CONCATENATE("0",MONTH(A2058)),MONTH(A2058)))</f>
        <v>2025/04</v>
      </c>
      <c r="E2058" s="8" t="str">
        <f>IF(IF(D2058&lt;&gt;D2057,1,IF(OR(B2058&lt;&gt;B2057,A2058-A2057&gt;$U$1),1,""))&lt;&gt;1,"",IF(C2058="B01",1965,IF(C2058="B02",1020,IF(C2058="B05",2400,IF(C2058="B03",4260,IF(C2058="B04",2880,IF(C2058="B20",1260,0)))))))</f>
        <v/>
      </c>
      <c r="F2058" s="8" t="str">
        <f>IF(IF(D2058&lt;&gt;D2057,1,IF(OR(B2058&lt;&gt;B2057,A2058-A2057&gt;$U$1),1,""))&lt;&gt;1,"",IF(C2058="B01",1,IF(C2058="B05",1,IF(C2058="B03",1,IF(C2058="B04",1,IF(C2058="B20",1,IF(C2058="B02",1,0)))))))</f>
        <v/>
      </c>
      <c r="G2058"/>
      <c r="H2058" s="2"/>
      <c r="I2058" s="2"/>
      <c r="L2058"/>
      <c r="R2058"/>
    </row>
    <row r="2059" spans="1:18">
      <c r="A2059" s="3">
        <v>45775.772916666669</v>
      </c>
      <c r="B2059" s="2" t="s">
        <v>28</v>
      </c>
      <c r="C2059" s="2" t="s">
        <v>11</v>
      </c>
      <c r="D2059" s="6" t="str">
        <f>CONCATENATE(YEAR(A2059),"/",IF(MONTH(A2059)&lt;10,CONCATENATE("0",MONTH(A2059)),MONTH(A2059)))</f>
        <v>2025/04</v>
      </c>
      <c r="E2059" s="8" t="str">
        <f>IF(IF(D2059&lt;&gt;D2058,1,IF(OR(B2059&lt;&gt;B2058,A2059-A2058&gt;$U$1),1,""))&lt;&gt;1,"",IF(C2059="B01",1965,IF(C2059="B02",1020,IF(C2059="B05",2400,IF(C2059="B03",4260,IF(C2059="B04",2880,IF(C2059="B20",1260,0)))))))</f>
        <v/>
      </c>
      <c r="F2059" s="8" t="str">
        <f>IF(IF(D2059&lt;&gt;D2058,1,IF(OR(B2059&lt;&gt;B2058,A2059-A2058&gt;$U$1),1,""))&lt;&gt;1,"",IF(C2059="B01",1,IF(C2059="B05",1,IF(C2059="B03",1,IF(C2059="B04",1,IF(C2059="B20",1,IF(C2059="B02",1,0)))))))</f>
        <v/>
      </c>
      <c r="G2059"/>
      <c r="H2059" s="2"/>
      <c r="I2059" s="2"/>
      <c r="L2059"/>
      <c r="R2059"/>
    </row>
    <row r="2060" spans="1:18">
      <c r="A2060" s="3">
        <v>45775.908414351848</v>
      </c>
      <c r="B2060" s="2" t="s">
        <v>28</v>
      </c>
      <c r="C2060" s="2" t="s">
        <v>11</v>
      </c>
      <c r="D2060" s="6" t="str">
        <f>CONCATENATE(YEAR(A2060),"/",IF(MONTH(A2060)&lt;10,CONCATENATE("0",MONTH(A2060)),MONTH(A2060)))</f>
        <v>2025/04</v>
      </c>
      <c r="E2060" s="8">
        <f>IF(IF(D2060&lt;&gt;D2059,1,IF(OR(B2060&lt;&gt;B2059,A2060-A2059&gt;$U$1),1,""))&lt;&gt;1,"",IF(C2060="B01",1965,IF(C2060="B02",1020,IF(C2060="B05",2400,IF(C2060="B03",4260,IF(C2060="B04",2880,IF(C2060="B20",1260,0)))))))</f>
        <v>2400</v>
      </c>
      <c r="F2060" s="8">
        <f>IF(IF(D2060&lt;&gt;D2059,1,IF(OR(B2060&lt;&gt;B2059,A2060-A2059&gt;$U$1),1,""))&lt;&gt;1,"",IF(C2060="B01",1,IF(C2060="B05",1,IF(C2060="B03",1,IF(C2060="B04",1,IF(C2060="B20",1,IF(C2060="B02",1,0)))))))</f>
        <v>1</v>
      </c>
      <c r="G2060"/>
      <c r="H2060" s="2"/>
      <c r="I2060" s="2"/>
      <c r="L2060"/>
      <c r="R2060"/>
    </row>
    <row r="2061" spans="1:18">
      <c r="A2061" s="3">
        <v>45775.908414351848</v>
      </c>
      <c r="B2061" s="2" t="s">
        <v>28</v>
      </c>
      <c r="C2061" s="2" t="s">
        <v>11</v>
      </c>
      <c r="D2061" s="6" t="str">
        <f>CONCATENATE(YEAR(A2061),"/",IF(MONTH(A2061)&lt;10,CONCATENATE("0",MONTH(A2061)),MONTH(A2061)))</f>
        <v>2025/04</v>
      </c>
      <c r="E2061" s="8" t="str">
        <f>IF(IF(D2061&lt;&gt;D2060,1,IF(OR(B2061&lt;&gt;B2060,A2061-A2060&gt;$U$1),1,""))&lt;&gt;1,"",IF(C2061="B01",1965,IF(C2061="B02",1020,IF(C2061="B05",2400,IF(C2061="B03",4260,IF(C2061="B04",2880,IF(C2061="B20",1260,0)))))))</f>
        <v/>
      </c>
      <c r="F2061" s="8" t="str">
        <f>IF(IF(D2061&lt;&gt;D2060,1,IF(OR(B2061&lt;&gt;B2060,A2061-A2060&gt;$U$1),1,""))&lt;&gt;1,"",IF(C2061="B01",1,IF(C2061="B05",1,IF(C2061="B03",1,IF(C2061="B04",1,IF(C2061="B20",1,IF(C2061="B02",1,0)))))))</f>
        <v/>
      </c>
      <c r="G2061"/>
      <c r="H2061" s="2"/>
      <c r="I2061" s="2"/>
      <c r="L2061"/>
      <c r="R2061"/>
    </row>
    <row r="2062" spans="1:18">
      <c r="A2062" s="3">
        <v>45775.908414351848</v>
      </c>
      <c r="B2062" s="2" t="s">
        <v>28</v>
      </c>
      <c r="C2062" s="2" t="s">
        <v>11</v>
      </c>
      <c r="D2062" s="6" t="str">
        <f>CONCATENATE(YEAR(A2062),"/",IF(MONTH(A2062)&lt;10,CONCATENATE("0",MONTH(A2062)),MONTH(A2062)))</f>
        <v>2025/04</v>
      </c>
      <c r="E2062" s="8" t="str">
        <f>IF(IF(D2062&lt;&gt;D2061,1,IF(OR(B2062&lt;&gt;B2061,A2062-A2061&gt;$U$1),1,""))&lt;&gt;1,"",IF(C2062="B01",1965,IF(C2062="B02",1020,IF(C2062="B05",2400,IF(C2062="B03",4260,IF(C2062="B04",2880,IF(C2062="B20",1260,0)))))))</f>
        <v/>
      </c>
      <c r="F2062" s="8" t="str">
        <f>IF(IF(D2062&lt;&gt;D2061,1,IF(OR(B2062&lt;&gt;B2061,A2062-A2061&gt;$U$1),1,""))&lt;&gt;1,"",IF(C2062="B01",1,IF(C2062="B05",1,IF(C2062="B03",1,IF(C2062="B04",1,IF(C2062="B20",1,IF(C2062="B02",1,0)))))))</f>
        <v/>
      </c>
      <c r="G2062"/>
      <c r="H2062" s="2"/>
      <c r="I2062" s="2"/>
      <c r="L2062"/>
      <c r="R2062"/>
    </row>
    <row r="2063" spans="1:18">
      <c r="A2063" s="3">
        <v>45776.067118055558</v>
      </c>
      <c r="B2063" s="2" t="s">
        <v>28</v>
      </c>
      <c r="C2063" s="2" t="s">
        <v>11</v>
      </c>
      <c r="D2063" s="6" t="str">
        <f>CONCATENATE(YEAR(A2063),"/",IF(MONTH(A2063)&lt;10,CONCATENATE("0",MONTH(A2063)),MONTH(A2063)))</f>
        <v>2025/04</v>
      </c>
      <c r="E2063" s="8">
        <f>IF(IF(D2063&lt;&gt;D2062,1,IF(OR(B2063&lt;&gt;B2062,A2063-A2062&gt;$U$1),1,""))&lt;&gt;1,"",IF(C2063="B01",1965,IF(C2063="B02",1020,IF(C2063="B05",2400,IF(C2063="B03",4260,IF(C2063="B04",2880,IF(C2063="B20",1260,0)))))))</f>
        <v>2400</v>
      </c>
      <c r="F2063" s="8">
        <f>IF(IF(D2063&lt;&gt;D2062,1,IF(OR(B2063&lt;&gt;B2062,A2063-A2062&gt;$U$1),1,""))&lt;&gt;1,"",IF(C2063="B01",1,IF(C2063="B05",1,IF(C2063="B03",1,IF(C2063="B04",1,IF(C2063="B20",1,IF(C2063="B02",1,0)))))))</f>
        <v>1</v>
      </c>
      <c r="G2063"/>
      <c r="H2063" s="2"/>
      <c r="I2063" s="2"/>
      <c r="L2063"/>
      <c r="R2063"/>
    </row>
    <row r="2064" spans="1:18">
      <c r="A2064" s="3">
        <v>45776.067118055558</v>
      </c>
      <c r="B2064" s="2" t="s">
        <v>28</v>
      </c>
      <c r="C2064" s="2" t="s">
        <v>11</v>
      </c>
      <c r="D2064" s="6" t="str">
        <f>CONCATENATE(YEAR(A2064),"/",IF(MONTH(A2064)&lt;10,CONCATENATE("0",MONTH(A2064)),MONTH(A2064)))</f>
        <v>2025/04</v>
      </c>
      <c r="E2064" s="8" t="str">
        <f>IF(IF(D2064&lt;&gt;D2063,1,IF(OR(B2064&lt;&gt;B2063,A2064-A2063&gt;$U$1),1,""))&lt;&gt;1,"",IF(C2064="B01",1965,IF(C2064="B02",1020,IF(C2064="B05",2400,IF(C2064="B03",4260,IF(C2064="B04",2880,IF(C2064="B20",1260,0)))))))</f>
        <v/>
      </c>
      <c r="F2064" s="8" t="str">
        <f>IF(IF(D2064&lt;&gt;D2063,1,IF(OR(B2064&lt;&gt;B2063,A2064-A2063&gt;$U$1),1,""))&lt;&gt;1,"",IF(C2064="B01",1,IF(C2064="B05",1,IF(C2064="B03",1,IF(C2064="B04",1,IF(C2064="B20",1,IF(C2064="B02",1,0)))))))</f>
        <v/>
      </c>
      <c r="G2064"/>
      <c r="H2064" s="2"/>
      <c r="I2064" s="2"/>
      <c r="L2064"/>
      <c r="R2064"/>
    </row>
    <row r="2065" spans="1:18">
      <c r="A2065" s="3">
        <v>45776.343715277777</v>
      </c>
      <c r="B2065" s="2" t="s">
        <v>28</v>
      </c>
      <c r="C2065" s="2" t="s">
        <v>11</v>
      </c>
      <c r="D2065" s="6" t="str">
        <f>CONCATENATE(YEAR(A2065),"/",IF(MONTH(A2065)&lt;10,CONCATENATE("0",MONTH(A2065)),MONTH(A2065)))</f>
        <v>2025/04</v>
      </c>
      <c r="E2065" s="8">
        <f>IF(IF(D2065&lt;&gt;D2064,1,IF(OR(B2065&lt;&gt;B2064,A2065-A2064&gt;$U$1),1,""))&lt;&gt;1,"",IF(C2065="B01",1965,IF(C2065="B02",1020,IF(C2065="B05",2400,IF(C2065="B03",4260,IF(C2065="B04",2880,IF(C2065="B20",1260,0)))))))</f>
        <v>2400</v>
      </c>
      <c r="F2065" s="8">
        <f>IF(IF(D2065&lt;&gt;D2064,1,IF(OR(B2065&lt;&gt;B2064,A2065-A2064&gt;$U$1),1,""))&lt;&gt;1,"",IF(C2065="B01",1,IF(C2065="B05",1,IF(C2065="B03",1,IF(C2065="B04",1,IF(C2065="B20",1,IF(C2065="B02",1,0)))))))</f>
        <v>1</v>
      </c>
      <c r="G2065"/>
      <c r="H2065" s="2"/>
      <c r="I2065" s="2"/>
      <c r="L2065"/>
      <c r="R2065"/>
    </row>
    <row r="2066" spans="1:18">
      <c r="A2066" s="3">
        <v>45776.343715277777</v>
      </c>
      <c r="B2066" s="2" t="s">
        <v>28</v>
      </c>
      <c r="C2066" s="2" t="s">
        <v>11</v>
      </c>
      <c r="D2066" s="6" t="str">
        <f>CONCATENATE(YEAR(A2066),"/",IF(MONTH(A2066)&lt;10,CONCATENATE("0",MONTH(A2066)),MONTH(A2066)))</f>
        <v>2025/04</v>
      </c>
      <c r="E2066" s="8" t="str">
        <f>IF(IF(D2066&lt;&gt;D2065,1,IF(OR(B2066&lt;&gt;B2065,A2066-A2065&gt;$U$1),1,""))&lt;&gt;1,"",IF(C2066="B01",1965,IF(C2066="B02",1020,IF(C2066="B05",2400,IF(C2066="B03",4260,IF(C2066="B04",2880,IF(C2066="B20",1260,0)))))))</f>
        <v/>
      </c>
      <c r="F2066" s="8" t="str">
        <f>IF(IF(D2066&lt;&gt;D2065,1,IF(OR(B2066&lt;&gt;B2065,A2066-A2065&gt;$U$1),1,""))&lt;&gt;1,"",IF(C2066="B01",1,IF(C2066="B05",1,IF(C2066="B03",1,IF(C2066="B04",1,IF(C2066="B20",1,IF(C2066="B02",1,0)))))))</f>
        <v/>
      </c>
      <c r="G2066"/>
      <c r="H2066" s="2"/>
      <c r="I2066" s="2"/>
      <c r="L2066"/>
      <c r="R2066"/>
    </row>
    <row r="2067" spans="1:18">
      <c r="A2067" s="3">
        <v>45776.343715277777</v>
      </c>
      <c r="B2067" s="2" t="s">
        <v>28</v>
      </c>
      <c r="C2067" s="2" t="s">
        <v>11</v>
      </c>
      <c r="D2067" s="6" t="str">
        <f>CONCATENATE(YEAR(A2067),"/",IF(MONTH(A2067)&lt;10,CONCATENATE("0",MONTH(A2067)),MONTH(A2067)))</f>
        <v>2025/04</v>
      </c>
      <c r="E2067" s="8" t="str">
        <f>IF(IF(D2067&lt;&gt;D2066,1,IF(OR(B2067&lt;&gt;B2066,A2067-A2066&gt;$U$1),1,""))&lt;&gt;1,"",IF(C2067="B01",1965,IF(C2067="B02",1020,IF(C2067="B05",2400,IF(C2067="B03",4260,IF(C2067="B04",2880,IF(C2067="B20",1260,0)))))))</f>
        <v/>
      </c>
      <c r="F2067" s="8" t="str">
        <f>IF(IF(D2067&lt;&gt;D2066,1,IF(OR(B2067&lt;&gt;B2066,A2067-A2066&gt;$U$1),1,""))&lt;&gt;1,"",IF(C2067="B01",1,IF(C2067="B05",1,IF(C2067="B03",1,IF(C2067="B04",1,IF(C2067="B20",1,IF(C2067="B02",1,0)))))))</f>
        <v/>
      </c>
      <c r="G2067"/>
      <c r="H2067" s="2"/>
      <c r="I2067" s="2"/>
      <c r="L2067"/>
      <c r="R2067"/>
    </row>
    <row r="2068" spans="1:18">
      <c r="A2068" s="3">
        <v>45776.466458333336</v>
      </c>
      <c r="B2068" s="2" t="s">
        <v>28</v>
      </c>
      <c r="C2068" s="2" t="s">
        <v>11</v>
      </c>
      <c r="D2068" s="6" t="str">
        <f>CONCATENATE(YEAR(A2068),"/",IF(MONTH(A2068)&lt;10,CONCATENATE("0",MONTH(A2068)),MONTH(A2068)))</f>
        <v>2025/04</v>
      </c>
      <c r="E2068" s="8">
        <f>IF(IF(D2068&lt;&gt;D2067,1,IF(OR(B2068&lt;&gt;B2067,A2068-A2067&gt;$U$1),1,""))&lt;&gt;1,"",IF(C2068="B01",1965,IF(C2068="B02",1020,IF(C2068="B05",2400,IF(C2068="B03",4260,IF(C2068="B04",2880,IF(C2068="B20",1260,0)))))))</f>
        <v>2400</v>
      </c>
      <c r="F2068" s="8">
        <f>IF(IF(D2068&lt;&gt;D2067,1,IF(OR(B2068&lt;&gt;B2067,A2068-A2067&gt;$U$1),1,""))&lt;&gt;1,"",IF(C2068="B01",1,IF(C2068="B05",1,IF(C2068="B03",1,IF(C2068="B04",1,IF(C2068="B20",1,IF(C2068="B02",1,0)))))))</f>
        <v>1</v>
      </c>
      <c r="G2068"/>
      <c r="H2068" s="2"/>
      <c r="I2068" s="2"/>
      <c r="L2068"/>
      <c r="R2068"/>
    </row>
    <row r="2069" spans="1:18">
      <c r="A2069" s="3">
        <v>45776.466458333336</v>
      </c>
      <c r="B2069" s="2" t="s">
        <v>28</v>
      </c>
      <c r="C2069" s="2" t="s">
        <v>11</v>
      </c>
      <c r="D2069" s="6" t="str">
        <f>CONCATENATE(YEAR(A2069),"/",IF(MONTH(A2069)&lt;10,CONCATENATE("0",MONTH(A2069)),MONTH(A2069)))</f>
        <v>2025/04</v>
      </c>
      <c r="E2069" s="8" t="str">
        <f>IF(IF(D2069&lt;&gt;D2068,1,IF(OR(B2069&lt;&gt;B2068,A2069-A2068&gt;$U$1),1,""))&lt;&gt;1,"",IF(C2069="B01",1965,IF(C2069="B02",1020,IF(C2069="B05",2400,IF(C2069="B03",4260,IF(C2069="B04",2880,IF(C2069="B20",1260,0)))))))</f>
        <v/>
      </c>
      <c r="F2069" s="8" t="str">
        <f>IF(IF(D2069&lt;&gt;D2068,1,IF(OR(B2069&lt;&gt;B2068,A2069-A2068&gt;$U$1),1,""))&lt;&gt;1,"",IF(C2069="B01",1,IF(C2069="B05",1,IF(C2069="B03",1,IF(C2069="B04",1,IF(C2069="B20",1,IF(C2069="B02",1,0)))))))</f>
        <v/>
      </c>
      <c r="G2069"/>
      <c r="H2069" s="2"/>
      <c r="I2069" s="2"/>
      <c r="L2069"/>
      <c r="R2069"/>
    </row>
    <row r="2070" spans="1:18">
      <c r="A2070" s="3">
        <v>45776.466458333336</v>
      </c>
      <c r="B2070" s="2" t="s">
        <v>28</v>
      </c>
      <c r="C2070" s="2" t="s">
        <v>11</v>
      </c>
      <c r="D2070" s="6" t="str">
        <f>CONCATENATE(YEAR(A2070),"/",IF(MONTH(A2070)&lt;10,CONCATENATE("0",MONTH(A2070)),MONTH(A2070)))</f>
        <v>2025/04</v>
      </c>
      <c r="E2070" s="8" t="str">
        <f>IF(IF(D2070&lt;&gt;D2069,1,IF(OR(B2070&lt;&gt;B2069,A2070-A2069&gt;$U$1),1,""))&lt;&gt;1,"",IF(C2070="B01",1965,IF(C2070="B02",1020,IF(C2070="B05",2400,IF(C2070="B03",4260,IF(C2070="B04",2880,IF(C2070="B20",1260,0)))))))</f>
        <v/>
      </c>
      <c r="F2070" s="8" t="str">
        <f>IF(IF(D2070&lt;&gt;D2069,1,IF(OR(B2070&lt;&gt;B2069,A2070-A2069&gt;$U$1),1,""))&lt;&gt;1,"",IF(C2070="B01",1,IF(C2070="B05",1,IF(C2070="B03",1,IF(C2070="B04",1,IF(C2070="B20",1,IF(C2070="B02",1,0)))))))</f>
        <v/>
      </c>
      <c r="G2070"/>
      <c r="H2070" s="2"/>
      <c r="I2070" s="2"/>
      <c r="L2070"/>
      <c r="R2070"/>
    </row>
    <row r="2071" spans="1:18">
      <c r="A2071" s="3">
        <v>45776.588425925926</v>
      </c>
      <c r="B2071" s="2" t="s">
        <v>28</v>
      </c>
      <c r="C2071" s="2" t="s">
        <v>11</v>
      </c>
      <c r="D2071" s="6" t="str">
        <f>CONCATENATE(YEAR(A2071),"/",IF(MONTH(A2071)&lt;10,CONCATENATE("0",MONTH(A2071)),MONTH(A2071)))</f>
        <v>2025/04</v>
      </c>
      <c r="E2071" s="8">
        <f>IF(IF(D2071&lt;&gt;D2070,1,IF(OR(B2071&lt;&gt;B2070,A2071-A2070&gt;$U$1),1,""))&lt;&gt;1,"",IF(C2071="B01",1965,IF(C2071="B02",1020,IF(C2071="B05",2400,IF(C2071="B03",4260,IF(C2071="B04",2880,IF(C2071="B20",1260,0)))))))</f>
        <v>2400</v>
      </c>
      <c r="F2071" s="8">
        <f>IF(IF(D2071&lt;&gt;D2070,1,IF(OR(B2071&lt;&gt;B2070,A2071-A2070&gt;$U$1),1,""))&lt;&gt;1,"",IF(C2071="B01",1,IF(C2071="B05",1,IF(C2071="B03",1,IF(C2071="B04",1,IF(C2071="B20",1,IF(C2071="B02",1,0)))))))</f>
        <v>1</v>
      </c>
      <c r="G2071"/>
      <c r="H2071" s="2"/>
      <c r="I2071" s="2"/>
      <c r="L2071"/>
      <c r="R2071"/>
    </row>
    <row r="2072" spans="1:18">
      <c r="A2072" s="3">
        <v>45776.588425925926</v>
      </c>
      <c r="B2072" s="2" t="s">
        <v>28</v>
      </c>
      <c r="C2072" s="2" t="s">
        <v>11</v>
      </c>
      <c r="D2072" s="6" t="str">
        <f>CONCATENATE(YEAR(A2072),"/",IF(MONTH(A2072)&lt;10,CONCATENATE("0",MONTH(A2072)),MONTH(A2072)))</f>
        <v>2025/04</v>
      </c>
      <c r="E2072" s="8" t="str">
        <f>IF(IF(D2072&lt;&gt;D2071,1,IF(OR(B2072&lt;&gt;B2071,A2072-A2071&gt;$U$1),1,""))&lt;&gt;1,"",IF(C2072="B01",1965,IF(C2072="B02",1020,IF(C2072="B05",2400,IF(C2072="B03",4260,IF(C2072="B04",2880,IF(C2072="B20",1260,0)))))))</f>
        <v/>
      </c>
      <c r="F2072" s="8" t="str">
        <f>IF(IF(D2072&lt;&gt;D2071,1,IF(OR(B2072&lt;&gt;B2071,A2072-A2071&gt;$U$1),1,""))&lt;&gt;1,"",IF(C2072="B01",1,IF(C2072="B05",1,IF(C2072="B03",1,IF(C2072="B04",1,IF(C2072="B20",1,IF(C2072="B02",1,0)))))))</f>
        <v/>
      </c>
      <c r="G2072"/>
      <c r="H2072" s="2"/>
      <c r="I2072" s="2"/>
      <c r="L2072"/>
      <c r="R2072"/>
    </row>
    <row r="2073" spans="1:18">
      <c r="A2073" s="3">
        <v>45776.967361111114</v>
      </c>
      <c r="B2073" s="2" t="s">
        <v>28</v>
      </c>
      <c r="C2073" s="2" t="s">
        <v>11</v>
      </c>
      <c r="D2073" s="6" t="str">
        <f>CONCATENATE(YEAR(A2073),"/",IF(MONTH(A2073)&lt;10,CONCATENATE("0",MONTH(A2073)),MONTH(A2073)))</f>
        <v>2025/04</v>
      </c>
      <c r="E2073" s="8">
        <f>IF(IF(D2073&lt;&gt;D2072,1,IF(OR(B2073&lt;&gt;B2072,A2073-A2072&gt;$U$1),1,""))&lt;&gt;1,"",IF(C2073="B01",1965,IF(C2073="B02",1020,IF(C2073="B05",2400,IF(C2073="B03",4260,IF(C2073="B04",2880,IF(C2073="B20",1260,0)))))))</f>
        <v>2400</v>
      </c>
      <c r="F2073" s="8">
        <f>IF(IF(D2073&lt;&gt;D2072,1,IF(OR(B2073&lt;&gt;B2072,A2073-A2072&gt;$U$1),1,""))&lt;&gt;1,"",IF(C2073="B01",1,IF(C2073="B05",1,IF(C2073="B03",1,IF(C2073="B04",1,IF(C2073="B20",1,IF(C2073="B02",1,0)))))))</f>
        <v>1</v>
      </c>
      <c r="G2073"/>
      <c r="H2073" s="2"/>
      <c r="I2073" s="2"/>
      <c r="L2073"/>
      <c r="R2073"/>
    </row>
    <row r="2074" spans="1:18">
      <c r="A2074" s="3">
        <v>45776.967361111114</v>
      </c>
      <c r="B2074" s="2" t="s">
        <v>28</v>
      </c>
      <c r="C2074" s="2" t="s">
        <v>11</v>
      </c>
      <c r="D2074" s="6" t="str">
        <f>CONCATENATE(YEAR(A2074),"/",IF(MONTH(A2074)&lt;10,CONCATENATE("0",MONTH(A2074)),MONTH(A2074)))</f>
        <v>2025/04</v>
      </c>
      <c r="E2074" s="8" t="str">
        <f>IF(IF(D2074&lt;&gt;D2073,1,IF(OR(B2074&lt;&gt;B2073,A2074-A2073&gt;$U$1),1,""))&lt;&gt;1,"",IF(C2074="B01",1965,IF(C2074="B02",1020,IF(C2074="B05",2400,IF(C2074="B03",4260,IF(C2074="B04",2880,IF(C2074="B20",1260,0)))))))</f>
        <v/>
      </c>
      <c r="F2074" s="8" t="str">
        <f>IF(IF(D2074&lt;&gt;D2073,1,IF(OR(B2074&lt;&gt;B2073,A2074-A2073&gt;$U$1),1,""))&lt;&gt;1,"",IF(C2074="B01",1,IF(C2074="B05",1,IF(C2074="B03",1,IF(C2074="B04",1,IF(C2074="B20",1,IF(C2074="B02",1,0)))))))</f>
        <v/>
      </c>
      <c r="G2074"/>
      <c r="H2074" s="2"/>
      <c r="I2074" s="2"/>
      <c r="L2074"/>
      <c r="R2074"/>
    </row>
    <row r="2075" spans="1:18">
      <c r="A2075" s="3">
        <v>45776.967361111114</v>
      </c>
      <c r="B2075" s="2" t="s">
        <v>28</v>
      </c>
      <c r="C2075" s="2" t="s">
        <v>11</v>
      </c>
      <c r="D2075" s="6" t="str">
        <f>CONCATENATE(YEAR(A2075),"/",IF(MONTH(A2075)&lt;10,CONCATENATE("0",MONTH(A2075)),MONTH(A2075)))</f>
        <v>2025/04</v>
      </c>
      <c r="E2075" s="8" t="str">
        <f>IF(IF(D2075&lt;&gt;D2074,1,IF(OR(B2075&lt;&gt;B2074,A2075-A2074&gt;$U$1),1,""))&lt;&gt;1,"",IF(C2075="B01",1965,IF(C2075="B02",1020,IF(C2075="B05",2400,IF(C2075="B03",4260,IF(C2075="B04",2880,IF(C2075="B20",1260,0)))))))</f>
        <v/>
      </c>
      <c r="F2075" s="8" t="str">
        <f>IF(IF(D2075&lt;&gt;D2074,1,IF(OR(B2075&lt;&gt;B2074,A2075-A2074&gt;$U$1),1,""))&lt;&gt;1,"",IF(C2075="B01",1,IF(C2075="B05",1,IF(C2075="B03",1,IF(C2075="B04",1,IF(C2075="B20",1,IF(C2075="B02",1,0)))))))</f>
        <v/>
      </c>
      <c r="G2075"/>
      <c r="H2075" s="2"/>
      <c r="I2075" s="2"/>
      <c r="L2075"/>
      <c r="R2075"/>
    </row>
    <row r="2076" spans="1:18">
      <c r="A2076" s="3">
        <v>45776.967361111114</v>
      </c>
      <c r="B2076" s="2" t="s">
        <v>28</v>
      </c>
      <c r="C2076" s="2" t="s">
        <v>11</v>
      </c>
      <c r="D2076" s="6" t="str">
        <f>CONCATENATE(YEAR(A2076),"/",IF(MONTH(A2076)&lt;10,CONCATENATE("0",MONTH(A2076)),MONTH(A2076)))</f>
        <v>2025/04</v>
      </c>
      <c r="E2076" s="8" t="str">
        <f>IF(IF(D2076&lt;&gt;D2075,1,IF(OR(B2076&lt;&gt;B2075,A2076-A2075&gt;$U$1),1,""))&lt;&gt;1,"",IF(C2076="B01",1965,IF(C2076="B02",1020,IF(C2076="B05",2400,IF(C2076="B03",4260,IF(C2076="B04",2880,IF(C2076="B20",1260,0)))))))</f>
        <v/>
      </c>
      <c r="F2076" s="8" t="str">
        <f>IF(IF(D2076&lt;&gt;D2075,1,IF(OR(B2076&lt;&gt;B2075,A2076-A2075&gt;$U$1),1,""))&lt;&gt;1,"",IF(C2076="B01",1,IF(C2076="B05",1,IF(C2076="B03",1,IF(C2076="B04",1,IF(C2076="B20",1,IF(C2076="B02",1,0)))))))</f>
        <v/>
      </c>
      <c r="G2076"/>
      <c r="H2076" s="2"/>
      <c r="I2076" s="2"/>
      <c r="L2076"/>
      <c r="R2076"/>
    </row>
    <row r="2077" spans="1:18">
      <c r="A2077" s="3">
        <v>45776.967361111114</v>
      </c>
      <c r="B2077" s="2" t="s">
        <v>28</v>
      </c>
      <c r="C2077" s="2" t="s">
        <v>11</v>
      </c>
      <c r="D2077" s="6" t="str">
        <f>CONCATENATE(YEAR(A2077),"/",IF(MONTH(A2077)&lt;10,CONCATENATE("0",MONTH(A2077)),MONTH(A2077)))</f>
        <v>2025/04</v>
      </c>
      <c r="E2077" s="8" t="str">
        <f>IF(IF(D2077&lt;&gt;D2076,1,IF(OR(B2077&lt;&gt;B2076,A2077-A2076&gt;$U$1),1,""))&lt;&gt;1,"",IF(C2077="B01",1965,IF(C2077="B02",1020,IF(C2077="B05",2400,IF(C2077="B03",4260,IF(C2077="B04",2880,IF(C2077="B20",1260,0)))))))</f>
        <v/>
      </c>
      <c r="F2077" s="8" t="str">
        <f>IF(IF(D2077&lt;&gt;D2076,1,IF(OR(B2077&lt;&gt;B2076,A2077-A2076&gt;$U$1),1,""))&lt;&gt;1,"",IF(C2077="B01",1,IF(C2077="B05",1,IF(C2077="B03",1,IF(C2077="B04",1,IF(C2077="B20",1,IF(C2077="B02",1,0)))))))</f>
        <v/>
      </c>
      <c r="G2077"/>
      <c r="H2077" s="2"/>
      <c r="I2077" s="2"/>
      <c r="L2077"/>
      <c r="R2077"/>
    </row>
    <row r="2078" spans="1:18">
      <c r="A2078" s="3">
        <v>45777.232592592591</v>
      </c>
      <c r="B2078" s="2" t="s">
        <v>28</v>
      </c>
      <c r="C2078" s="2" t="s">
        <v>11</v>
      </c>
      <c r="D2078" s="6" t="str">
        <f>CONCATENATE(YEAR(A2078),"/",IF(MONTH(A2078)&lt;10,CONCATENATE("0",MONTH(A2078)),MONTH(A2078)))</f>
        <v>2025/04</v>
      </c>
      <c r="E2078" s="8">
        <f>IF(IF(D2078&lt;&gt;D2077,1,IF(OR(B2078&lt;&gt;B2077,A2078-A2077&gt;$U$1),1,""))&lt;&gt;1,"",IF(C2078="B01",1965,IF(C2078="B02",1020,IF(C2078="B05",2400,IF(C2078="B03",4260,IF(C2078="B04",2880,IF(C2078="B20",1260,0)))))))</f>
        <v>2400</v>
      </c>
      <c r="F2078" s="8">
        <f>IF(IF(D2078&lt;&gt;D2077,1,IF(OR(B2078&lt;&gt;B2077,A2078-A2077&gt;$U$1),1,""))&lt;&gt;1,"",IF(C2078="B01",1,IF(C2078="B05",1,IF(C2078="B03",1,IF(C2078="B04",1,IF(C2078="B20",1,IF(C2078="B02",1,0)))))))</f>
        <v>1</v>
      </c>
      <c r="G2078"/>
      <c r="H2078" s="2"/>
      <c r="I2078" s="2"/>
      <c r="L2078"/>
      <c r="R2078"/>
    </row>
    <row r="2079" spans="1:18">
      <c r="A2079" s="3">
        <v>45777.232592592591</v>
      </c>
      <c r="B2079" s="2" t="s">
        <v>28</v>
      </c>
      <c r="C2079" s="2" t="s">
        <v>11</v>
      </c>
      <c r="D2079" s="6" t="str">
        <f>CONCATENATE(YEAR(A2079),"/",IF(MONTH(A2079)&lt;10,CONCATENATE("0",MONTH(A2079)),MONTH(A2079)))</f>
        <v>2025/04</v>
      </c>
      <c r="E2079" s="8" t="str">
        <f>IF(IF(D2079&lt;&gt;D2078,1,IF(OR(B2079&lt;&gt;B2078,A2079-A2078&gt;$U$1),1,""))&lt;&gt;1,"",IF(C2079="B01",1965,IF(C2079="B02",1020,IF(C2079="B05",2400,IF(C2079="B03",4260,IF(C2079="B04",2880,IF(C2079="B20",1260,0)))))))</f>
        <v/>
      </c>
      <c r="F2079" s="8" t="str">
        <f>IF(IF(D2079&lt;&gt;D2078,1,IF(OR(B2079&lt;&gt;B2078,A2079-A2078&gt;$U$1),1,""))&lt;&gt;1,"",IF(C2079="B01",1,IF(C2079="B05",1,IF(C2079="B03",1,IF(C2079="B04",1,IF(C2079="B20",1,IF(C2079="B02",1,0)))))))</f>
        <v/>
      </c>
      <c r="G2079"/>
      <c r="H2079" s="2"/>
      <c r="I2079" s="2"/>
      <c r="L2079"/>
      <c r="R2079"/>
    </row>
    <row r="2080" spans="1:18">
      <c r="A2080" s="3">
        <v>45777.232592592591</v>
      </c>
      <c r="B2080" s="2" t="s">
        <v>28</v>
      </c>
      <c r="C2080" s="2" t="s">
        <v>11</v>
      </c>
      <c r="D2080" s="6" t="str">
        <f>CONCATENATE(YEAR(A2080),"/",IF(MONTH(A2080)&lt;10,CONCATENATE("0",MONTH(A2080)),MONTH(A2080)))</f>
        <v>2025/04</v>
      </c>
      <c r="E2080" s="8" t="str">
        <f>IF(IF(D2080&lt;&gt;D2079,1,IF(OR(B2080&lt;&gt;B2079,A2080-A2079&gt;$U$1),1,""))&lt;&gt;1,"",IF(C2080="B01",1965,IF(C2080="B02",1020,IF(C2080="B05",2400,IF(C2080="B03",4260,IF(C2080="B04",2880,IF(C2080="B20",1260,0)))))))</f>
        <v/>
      </c>
      <c r="F2080" s="8" t="str">
        <f>IF(IF(D2080&lt;&gt;D2079,1,IF(OR(B2080&lt;&gt;B2079,A2080-A2079&gt;$U$1),1,""))&lt;&gt;1,"",IF(C2080="B01",1,IF(C2080="B05",1,IF(C2080="B03",1,IF(C2080="B04",1,IF(C2080="B20",1,IF(C2080="B02",1,0)))))))</f>
        <v/>
      </c>
      <c r="G2080"/>
      <c r="H2080" s="2"/>
      <c r="I2080" s="2"/>
      <c r="L2080"/>
      <c r="R2080"/>
    </row>
    <row r="2081" spans="1:18">
      <c r="A2081" s="3">
        <v>45777.348009259258</v>
      </c>
      <c r="B2081" s="2" t="s">
        <v>28</v>
      </c>
      <c r="C2081" s="2" t="s">
        <v>11</v>
      </c>
      <c r="D2081" s="6" t="str">
        <f>CONCATENATE(YEAR(A2081),"/",IF(MONTH(A2081)&lt;10,CONCATENATE("0",MONTH(A2081)),MONTH(A2081)))</f>
        <v>2025/04</v>
      </c>
      <c r="E2081" s="8">
        <f>IF(IF(D2081&lt;&gt;D2080,1,IF(OR(B2081&lt;&gt;B2080,A2081-A2080&gt;$U$1),1,""))&lt;&gt;1,"",IF(C2081="B01",1965,IF(C2081="B02",1020,IF(C2081="B05",2400,IF(C2081="B03",4260,IF(C2081="B04",2880,IF(C2081="B20",1260,0)))))))</f>
        <v>2400</v>
      </c>
      <c r="F2081" s="8">
        <f>IF(IF(D2081&lt;&gt;D2080,1,IF(OR(B2081&lt;&gt;B2080,A2081-A2080&gt;$U$1),1,""))&lt;&gt;1,"",IF(C2081="B01",1,IF(C2081="B05",1,IF(C2081="B03",1,IF(C2081="B04",1,IF(C2081="B20",1,IF(C2081="B02",1,0)))))))</f>
        <v>1</v>
      </c>
      <c r="G2081"/>
      <c r="H2081" s="2"/>
      <c r="I2081" s="2"/>
      <c r="L2081"/>
      <c r="R2081"/>
    </row>
    <row r="2082" spans="1:18">
      <c r="A2082" s="3">
        <v>45777.348009259258</v>
      </c>
      <c r="B2082" s="2" t="s">
        <v>28</v>
      </c>
      <c r="C2082" s="2" t="s">
        <v>11</v>
      </c>
      <c r="D2082" s="6" t="str">
        <f>CONCATENATE(YEAR(A2082),"/",IF(MONTH(A2082)&lt;10,CONCATENATE("0",MONTH(A2082)),MONTH(A2082)))</f>
        <v>2025/04</v>
      </c>
      <c r="E2082" s="8" t="str">
        <f>IF(IF(D2082&lt;&gt;D2081,1,IF(OR(B2082&lt;&gt;B2081,A2082-A2081&gt;$U$1),1,""))&lt;&gt;1,"",IF(C2082="B01",1965,IF(C2082="B02",1020,IF(C2082="B05",2400,IF(C2082="B03",4260,IF(C2082="B04",2880,IF(C2082="B20",1260,0)))))))</f>
        <v/>
      </c>
      <c r="F2082" s="8" t="str">
        <f>IF(IF(D2082&lt;&gt;D2081,1,IF(OR(B2082&lt;&gt;B2081,A2082-A2081&gt;$U$1),1,""))&lt;&gt;1,"",IF(C2082="B01",1,IF(C2082="B05",1,IF(C2082="B03",1,IF(C2082="B04",1,IF(C2082="B20",1,IF(C2082="B02",1,0)))))))</f>
        <v/>
      </c>
      <c r="G2082"/>
      <c r="H2082" s="2"/>
      <c r="I2082" s="2"/>
      <c r="L2082"/>
      <c r="R2082"/>
    </row>
    <row r="2083" spans="1:18">
      <c r="A2083" s="3">
        <v>45777.348009259258</v>
      </c>
      <c r="B2083" s="2" t="s">
        <v>28</v>
      </c>
      <c r="C2083" s="2" t="s">
        <v>11</v>
      </c>
      <c r="D2083" s="6" t="str">
        <f>CONCATENATE(YEAR(A2083),"/",IF(MONTH(A2083)&lt;10,CONCATENATE("0",MONTH(A2083)),MONTH(A2083)))</f>
        <v>2025/04</v>
      </c>
      <c r="E2083" s="8" t="str">
        <f>IF(IF(D2083&lt;&gt;D2082,1,IF(OR(B2083&lt;&gt;B2082,A2083-A2082&gt;$U$1),1,""))&lt;&gt;1,"",IF(C2083="B01",1965,IF(C2083="B02",1020,IF(C2083="B05",2400,IF(C2083="B03",4260,IF(C2083="B04",2880,IF(C2083="B20",1260,0)))))))</f>
        <v/>
      </c>
      <c r="F2083" s="8" t="str">
        <f>IF(IF(D2083&lt;&gt;D2082,1,IF(OR(B2083&lt;&gt;B2082,A2083-A2082&gt;$U$1),1,""))&lt;&gt;1,"",IF(C2083="B01",1,IF(C2083="B05",1,IF(C2083="B03",1,IF(C2083="B04",1,IF(C2083="B20",1,IF(C2083="B02",1,0)))))))</f>
        <v/>
      </c>
      <c r="G2083"/>
      <c r="H2083" s="2"/>
      <c r="I2083" s="2"/>
      <c r="L2083"/>
      <c r="R2083"/>
    </row>
    <row r="2084" spans="1:18">
      <c r="A2084" s="3">
        <v>45777.466979166667</v>
      </c>
      <c r="B2084" s="2" t="s">
        <v>28</v>
      </c>
      <c r="C2084" s="2" t="s">
        <v>11</v>
      </c>
      <c r="D2084" s="6" t="str">
        <f>CONCATENATE(YEAR(A2084),"/",IF(MONTH(A2084)&lt;10,CONCATENATE("0",MONTH(A2084)),MONTH(A2084)))</f>
        <v>2025/04</v>
      </c>
      <c r="E2084" s="8">
        <f>IF(IF(D2084&lt;&gt;D2083,1,IF(OR(B2084&lt;&gt;B2083,A2084-A2083&gt;$U$1),1,""))&lt;&gt;1,"",IF(C2084="B01",1965,IF(C2084="B02",1020,IF(C2084="B05",2400,IF(C2084="B03",4260,IF(C2084="B04",2880,IF(C2084="B20",1260,0)))))))</f>
        <v>2400</v>
      </c>
      <c r="F2084" s="8">
        <f>IF(IF(D2084&lt;&gt;D2083,1,IF(OR(B2084&lt;&gt;B2083,A2084-A2083&gt;$U$1),1,""))&lt;&gt;1,"",IF(C2084="B01",1,IF(C2084="B05",1,IF(C2084="B03",1,IF(C2084="B04",1,IF(C2084="B20",1,IF(C2084="B02",1,0)))))))</f>
        <v>1</v>
      </c>
      <c r="G2084"/>
      <c r="H2084" s="2"/>
      <c r="I2084" s="2"/>
      <c r="L2084"/>
      <c r="R2084"/>
    </row>
    <row r="2085" spans="1:18">
      <c r="A2085" s="3">
        <v>45777.466979166667</v>
      </c>
      <c r="B2085" s="2" t="s">
        <v>28</v>
      </c>
      <c r="C2085" s="2" t="s">
        <v>11</v>
      </c>
      <c r="D2085" s="6" t="str">
        <f>CONCATENATE(YEAR(A2085),"/",IF(MONTH(A2085)&lt;10,CONCATENATE("0",MONTH(A2085)),MONTH(A2085)))</f>
        <v>2025/04</v>
      </c>
      <c r="E2085" s="8" t="str">
        <f>IF(IF(D2085&lt;&gt;D2084,1,IF(OR(B2085&lt;&gt;B2084,A2085-A2084&gt;$U$1),1,""))&lt;&gt;1,"",IF(C2085="B01",1965,IF(C2085="B02",1020,IF(C2085="B05",2400,IF(C2085="B03",4260,IF(C2085="B04",2880,IF(C2085="B20",1260,0)))))))</f>
        <v/>
      </c>
      <c r="F2085" s="8" t="str">
        <f>IF(IF(D2085&lt;&gt;D2084,1,IF(OR(B2085&lt;&gt;B2084,A2085-A2084&gt;$U$1),1,""))&lt;&gt;1,"",IF(C2085="B01",1,IF(C2085="B05",1,IF(C2085="B03",1,IF(C2085="B04",1,IF(C2085="B20",1,IF(C2085="B02",1,0)))))))</f>
        <v/>
      </c>
      <c r="G2085"/>
      <c r="H2085" s="2"/>
      <c r="I2085" s="2"/>
      <c r="L2085"/>
      <c r="R2085"/>
    </row>
    <row r="2086" spans="1:18">
      <c r="A2086" s="3">
        <v>45777.631307870368</v>
      </c>
      <c r="B2086" s="2" t="s">
        <v>28</v>
      </c>
      <c r="C2086" s="2" t="s">
        <v>11</v>
      </c>
      <c r="D2086" s="6" t="str">
        <f>CONCATENATE(YEAR(A2086),"/",IF(MONTH(A2086)&lt;10,CONCATENATE("0",MONTH(A2086)),MONTH(A2086)))</f>
        <v>2025/04</v>
      </c>
      <c r="E2086" s="8">
        <f>IF(IF(D2086&lt;&gt;D2085,1,IF(OR(B2086&lt;&gt;B2085,A2086-A2085&gt;$U$1),1,""))&lt;&gt;1,"",IF(C2086="B01",1965,IF(C2086="B02",1020,IF(C2086="B05",2400,IF(C2086="B03",4260,IF(C2086="B04",2880,IF(C2086="B20",1260,0)))))))</f>
        <v>2400</v>
      </c>
      <c r="F2086" s="8">
        <f>IF(IF(D2086&lt;&gt;D2085,1,IF(OR(B2086&lt;&gt;B2085,A2086-A2085&gt;$U$1),1,""))&lt;&gt;1,"",IF(C2086="B01",1,IF(C2086="B05",1,IF(C2086="B03",1,IF(C2086="B04",1,IF(C2086="B20",1,IF(C2086="B02",1,0)))))))</f>
        <v>1</v>
      </c>
      <c r="G2086"/>
      <c r="H2086" s="2"/>
      <c r="I2086" s="2"/>
      <c r="L2086"/>
      <c r="R2086"/>
    </row>
    <row r="2087" spans="1:18">
      <c r="A2087" s="3">
        <v>45777.631307870368</v>
      </c>
      <c r="B2087" s="2" t="s">
        <v>28</v>
      </c>
      <c r="C2087" s="2" t="s">
        <v>11</v>
      </c>
      <c r="D2087" s="6" t="str">
        <f>CONCATENATE(YEAR(A2087),"/",IF(MONTH(A2087)&lt;10,CONCATENATE("0",MONTH(A2087)),MONTH(A2087)))</f>
        <v>2025/04</v>
      </c>
      <c r="E2087" s="8" t="str">
        <f>IF(IF(D2087&lt;&gt;D2086,1,IF(OR(B2087&lt;&gt;B2086,A2087-A2086&gt;$U$1),1,""))&lt;&gt;1,"",IF(C2087="B01",1965,IF(C2087="B02",1020,IF(C2087="B05",2400,IF(C2087="B03",4260,IF(C2087="B04",2880,IF(C2087="B20",1260,0)))))))</f>
        <v/>
      </c>
      <c r="F2087" s="8" t="str">
        <f>IF(IF(D2087&lt;&gt;D2086,1,IF(OR(B2087&lt;&gt;B2086,A2087-A2086&gt;$U$1),1,""))&lt;&gt;1,"",IF(C2087="B01",1,IF(C2087="B05",1,IF(C2087="B03",1,IF(C2087="B04",1,IF(C2087="B20",1,IF(C2087="B02",1,0)))))))</f>
        <v/>
      </c>
      <c r="G2087"/>
      <c r="H2087" s="2"/>
      <c r="I2087" s="2"/>
      <c r="L2087"/>
      <c r="R2087"/>
    </row>
    <row r="2088" spans="1:18">
      <c r="A2088" s="3">
        <v>45777.631307870368</v>
      </c>
      <c r="B2088" s="2" t="s">
        <v>28</v>
      </c>
      <c r="C2088" s="2" t="s">
        <v>11</v>
      </c>
      <c r="D2088" s="6" t="str">
        <f>CONCATENATE(YEAR(A2088),"/",IF(MONTH(A2088)&lt;10,CONCATENATE("0",MONTH(A2088)),MONTH(A2088)))</f>
        <v>2025/04</v>
      </c>
      <c r="E2088" s="8" t="str">
        <f>IF(IF(D2088&lt;&gt;D2087,1,IF(OR(B2088&lt;&gt;B2087,A2088-A2087&gt;$U$1),1,""))&lt;&gt;1,"",IF(C2088="B01",1965,IF(C2088="B02",1020,IF(C2088="B05",2400,IF(C2088="B03",4260,IF(C2088="B04",2880,IF(C2088="B20",1260,0)))))))</f>
        <v/>
      </c>
      <c r="F2088" s="8" t="str">
        <f>IF(IF(D2088&lt;&gt;D2087,1,IF(OR(B2088&lt;&gt;B2087,A2088-A2087&gt;$U$1),1,""))&lt;&gt;1,"",IF(C2088="B01",1,IF(C2088="B05",1,IF(C2088="B03",1,IF(C2088="B04",1,IF(C2088="B20",1,IF(C2088="B02",1,0)))))))</f>
        <v/>
      </c>
      <c r="G2088"/>
      <c r="H2088" s="2"/>
      <c r="I2088" s="2"/>
      <c r="L2088"/>
      <c r="R2088"/>
    </row>
    <row r="2089" spans="1:18">
      <c r="A2089" s="3">
        <v>45777.829050925924</v>
      </c>
      <c r="B2089" s="2" t="s">
        <v>28</v>
      </c>
      <c r="C2089" s="2" t="s">
        <v>11</v>
      </c>
      <c r="D2089" s="6" t="str">
        <f>CONCATENATE(YEAR(A2089),"/",IF(MONTH(A2089)&lt;10,CONCATENATE("0",MONTH(A2089)),MONTH(A2089)))</f>
        <v>2025/04</v>
      </c>
      <c r="E2089" s="8">
        <f>IF(IF(D2089&lt;&gt;D2088,1,IF(OR(B2089&lt;&gt;B2088,A2089-A2088&gt;$U$1),1,""))&lt;&gt;1,"",IF(C2089="B01",1965,IF(C2089="B02",1020,IF(C2089="B05",2400,IF(C2089="B03",4260,IF(C2089="B04",2880,IF(C2089="B20",1260,0)))))))</f>
        <v>2400</v>
      </c>
      <c r="F2089" s="8">
        <f>IF(IF(D2089&lt;&gt;D2088,1,IF(OR(B2089&lt;&gt;B2088,A2089-A2088&gt;$U$1),1,""))&lt;&gt;1,"",IF(C2089="B01",1,IF(C2089="B05",1,IF(C2089="B03",1,IF(C2089="B04",1,IF(C2089="B20",1,IF(C2089="B02",1,0)))))))</f>
        <v>1</v>
      </c>
      <c r="G2089"/>
      <c r="H2089" s="2"/>
      <c r="I2089" s="2"/>
      <c r="L2089"/>
      <c r="R2089"/>
    </row>
    <row r="2090" spans="1:18">
      <c r="A2090" s="3">
        <v>45777.829050925924</v>
      </c>
      <c r="B2090" s="2" t="s">
        <v>28</v>
      </c>
      <c r="C2090" s="2" t="s">
        <v>11</v>
      </c>
      <c r="D2090" s="6" t="str">
        <f>CONCATENATE(YEAR(A2090),"/",IF(MONTH(A2090)&lt;10,CONCATENATE("0",MONTH(A2090)),MONTH(A2090)))</f>
        <v>2025/04</v>
      </c>
      <c r="E2090" s="8" t="str">
        <f>IF(IF(D2090&lt;&gt;D2089,1,IF(OR(B2090&lt;&gt;B2089,A2090-A2089&gt;$U$1),1,""))&lt;&gt;1,"",IF(C2090="B01",1965,IF(C2090="B02",1020,IF(C2090="B05",2400,IF(C2090="B03",4260,IF(C2090="B04",2880,IF(C2090="B20",1260,0)))))))</f>
        <v/>
      </c>
      <c r="F2090" s="8" t="str">
        <f>IF(IF(D2090&lt;&gt;D2089,1,IF(OR(B2090&lt;&gt;B2089,A2090-A2089&gt;$U$1),1,""))&lt;&gt;1,"",IF(C2090="B01",1,IF(C2090="B05",1,IF(C2090="B03",1,IF(C2090="B04",1,IF(C2090="B20",1,IF(C2090="B02",1,0)))))))</f>
        <v/>
      </c>
      <c r="G2090"/>
      <c r="H2090" s="2"/>
      <c r="I2090" s="2"/>
      <c r="L2090"/>
      <c r="R2090"/>
    </row>
    <row r="2091" spans="1:18">
      <c r="A2091" s="3">
        <v>45778.03056712963</v>
      </c>
      <c r="B2091" s="2" t="s">
        <v>28</v>
      </c>
      <c r="C2091" s="2" t="s">
        <v>11</v>
      </c>
      <c r="D2091" s="6" t="str">
        <f>CONCATENATE(YEAR(A2091),"/",IF(MONTH(A2091)&lt;10,CONCATENATE("0",MONTH(A2091)),MONTH(A2091)))</f>
        <v>2025/05</v>
      </c>
      <c r="E2091" s="8">
        <f>IF(IF(D2091&lt;&gt;D2090,1,IF(OR(B2091&lt;&gt;B2090,A2091-A2090&gt;$U$1),1,""))&lt;&gt;1,"",IF(C2091="B01",1965,IF(C2091="B02",1020,IF(C2091="B05",2400,IF(C2091="B03",4260,IF(C2091="B04",2880,IF(C2091="B20",1260,0)))))))</f>
        <v>2400</v>
      </c>
      <c r="F2091" s="8">
        <f>IF(IF(D2091&lt;&gt;D2090,1,IF(OR(B2091&lt;&gt;B2090,A2091-A2090&gt;$U$1),1,""))&lt;&gt;1,"",IF(C2091="B01",1,IF(C2091="B05",1,IF(C2091="B03",1,IF(C2091="B04",1,IF(C2091="B20",1,IF(C2091="B02",1,0)))))))</f>
        <v>1</v>
      </c>
      <c r="G2091"/>
      <c r="H2091" s="2"/>
      <c r="I2091" s="2"/>
      <c r="L2091"/>
      <c r="R2091"/>
    </row>
    <row r="2092" spans="1:18">
      <c r="A2092" s="3">
        <v>45778.03056712963</v>
      </c>
      <c r="B2092" s="2" t="s">
        <v>28</v>
      </c>
      <c r="C2092" s="2" t="s">
        <v>11</v>
      </c>
      <c r="D2092" s="6" t="str">
        <f>CONCATENATE(YEAR(A2092),"/",IF(MONTH(A2092)&lt;10,CONCATENATE("0",MONTH(A2092)),MONTH(A2092)))</f>
        <v>2025/05</v>
      </c>
      <c r="E2092" s="8" t="str">
        <f>IF(IF(D2092&lt;&gt;D2091,1,IF(OR(B2092&lt;&gt;B2091,A2092-A2091&gt;$U$1),1,""))&lt;&gt;1,"",IF(C2092="B01",1965,IF(C2092="B02",1020,IF(C2092="B05",2400,IF(C2092="B03",4260,IF(C2092="B04",2880,IF(C2092="B20",1260,0)))))))</f>
        <v/>
      </c>
      <c r="F2092" s="8" t="str">
        <f>IF(IF(D2092&lt;&gt;D2091,1,IF(OR(B2092&lt;&gt;B2091,A2092-A2091&gt;$U$1),1,""))&lt;&gt;1,"",IF(C2092="B01",1,IF(C2092="B05",1,IF(C2092="B03",1,IF(C2092="B04",1,IF(C2092="B20",1,IF(C2092="B02",1,0)))))))</f>
        <v/>
      </c>
      <c r="G2092"/>
      <c r="H2092" s="2"/>
      <c r="I2092" s="2"/>
      <c r="L2092"/>
      <c r="R2092"/>
    </row>
    <row r="2093" spans="1:18">
      <c r="A2093" s="3">
        <v>45778.03056712963</v>
      </c>
      <c r="B2093" s="2" t="s">
        <v>28</v>
      </c>
      <c r="C2093" s="2" t="s">
        <v>11</v>
      </c>
      <c r="D2093" s="6" t="str">
        <f>CONCATENATE(YEAR(A2093),"/",IF(MONTH(A2093)&lt;10,CONCATENATE("0",MONTH(A2093)),MONTH(A2093)))</f>
        <v>2025/05</v>
      </c>
      <c r="E2093" s="8" t="str">
        <f>IF(IF(D2093&lt;&gt;D2092,1,IF(OR(B2093&lt;&gt;B2092,A2093-A2092&gt;$U$1),1,""))&lt;&gt;1,"",IF(C2093="B01",1965,IF(C2093="B02",1020,IF(C2093="B05",2400,IF(C2093="B03",4260,IF(C2093="B04",2880,IF(C2093="B20",1260,0)))))))</f>
        <v/>
      </c>
      <c r="F2093" s="8" t="str">
        <f>IF(IF(D2093&lt;&gt;D2092,1,IF(OR(B2093&lt;&gt;B2092,A2093-A2092&gt;$U$1),1,""))&lt;&gt;1,"",IF(C2093="B01",1,IF(C2093="B05",1,IF(C2093="B03",1,IF(C2093="B04",1,IF(C2093="B20",1,IF(C2093="B02",1,0)))))))</f>
        <v/>
      </c>
      <c r="G2093"/>
      <c r="H2093" s="2"/>
      <c r="I2093" s="2"/>
      <c r="L2093"/>
      <c r="R2093"/>
    </row>
    <row r="2094" spans="1:18">
      <c r="A2094" s="3">
        <v>45778.403252314813</v>
      </c>
      <c r="B2094" s="2" t="s">
        <v>28</v>
      </c>
      <c r="C2094" s="2" t="s">
        <v>11</v>
      </c>
      <c r="D2094" s="6" t="str">
        <f>CONCATENATE(YEAR(A2094),"/",IF(MONTH(A2094)&lt;10,CONCATENATE("0",MONTH(A2094)),MONTH(A2094)))</f>
        <v>2025/05</v>
      </c>
      <c r="E2094" s="8">
        <f>IF(IF(D2094&lt;&gt;D2093,1,IF(OR(B2094&lt;&gt;B2093,A2094-A2093&gt;$U$1),1,""))&lt;&gt;1,"",IF(C2094="B01",1965,IF(C2094="B02",1020,IF(C2094="B05",2400,IF(C2094="B03",4260,IF(C2094="B04",2880,IF(C2094="B20",1260,0)))))))</f>
        <v>2400</v>
      </c>
      <c r="F2094" s="8">
        <f>IF(IF(D2094&lt;&gt;D2093,1,IF(OR(B2094&lt;&gt;B2093,A2094-A2093&gt;$U$1),1,""))&lt;&gt;1,"",IF(C2094="B01",1,IF(C2094="B05",1,IF(C2094="B03",1,IF(C2094="B04",1,IF(C2094="B20",1,IF(C2094="B02",1,0)))))))</f>
        <v>1</v>
      </c>
      <c r="G2094"/>
      <c r="H2094" s="2"/>
      <c r="I2094" s="2"/>
      <c r="L2094"/>
      <c r="R2094"/>
    </row>
    <row r="2095" spans="1:18">
      <c r="A2095" s="3">
        <v>45778.403252314813</v>
      </c>
      <c r="B2095" s="2" t="s">
        <v>28</v>
      </c>
      <c r="C2095" s="2" t="s">
        <v>11</v>
      </c>
      <c r="D2095" s="6" t="str">
        <f>CONCATENATE(YEAR(A2095),"/",IF(MONTH(A2095)&lt;10,CONCATENATE("0",MONTH(A2095)),MONTH(A2095)))</f>
        <v>2025/05</v>
      </c>
      <c r="E2095" s="8" t="str">
        <f>IF(IF(D2095&lt;&gt;D2094,1,IF(OR(B2095&lt;&gt;B2094,A2095-A2094&gt;$U$1),1,""))&lt;&gt;1,"",IF(C2095="B01",1965,IF(C2095="B02",1020,IF(C2095="B05",2400,IF(C2095="B03",4260,IF(C2095="B04",2880,IF(C2095="B20",1260,0)))))))</f>
        <v/>
      </c>
      <c r="F2095" s="8" t="str">
        <f>IF(IF(D2095&lt;&gt;D2094,1,IF(OR(B2095&lt;&gt;B2094,A2095-A2094&gt;$U$1),1,""))&lt;&gt;1,"",IF(C2095="B01",1,IF(C2095="B05",1,IF(C2095="B03",1,IF(C2095="B04",1,IF(C2095="B20",1,IF(C2095="B02",1,0)))))))</f>
        <v/>
      </c>
      <c r="G2095"/>
      <c r="H2095" s="2"/>
      <c r="I2095" s="2"/>
      <c r="L2095"/>
      <c r="R2095"/>
    </row>
    <row r="2096" spans="1:18">
      <c r="A2096" s="3">
        <v>45778.403252314813</v>
      </c>
      <c r="B2096" s="2" t="s">
        <v>28</v>
      </c>
      <c r="C2096" s="2" t="s">
        <v>11</v>
      </c>
      <c r="D2096" s="6" t="str">
        <f>CONCATENATE(YEAR(A2096),"/",IF(MONTH(A2096)&lt;10,CONCATENATE("0",MONTH(A2096)),MONTH(A2096)))</f>
        <v>2025/05</v>
      </c>
      <c r="E2096" s="8" t="str">
        <f>IF(IF(D2096&lt;&gt;D2095,1,IF(OR(B2096&lt;&gt;B2095,A2096-A2095&gt;$U$1),1,""))&lt;&gt;1,"",IF(C2096="B01",1965,IF(C2096="B02",1020,IF(C2096="B05",2400,IF(C2096="B03",4260,IF(C2096="B04",2880,IF(C2096="B20",1260,0)))))))</f>
        <v/>
      </c>
      <c r="F2096" s="8" t="str">
        <f>IF(IF(D2096&lt;&gt;D2095,1,IF(OR(B2096&lt;&gt;B2095,A2096-A2095&gt;$U$1),1,""))&lt;&gt;1,"",IF(C2096="B01",1,IF(C2096="B05",1,IF(C2096="B03",1,IF(C2096="B04",1,IF(C2096="B20",1,IF(C2096="B02",1,0)))))))</f>
        <v/>
      </c>
      <c r="G2096"/>
      <c r="H2096" s="2"/>
      <c r="I2096" s="2"/>
      <c r="L2096"/>
      <c r="R2096"/>
    </row>
    <row r="2097" spans="1:18">
      <c r="A2097" s="3">
        <v>45778.403252314813</v>
      </c>
      <c r="B2097" s="2" t="s">
        <v>28</v>
      </c>
      <c r="C2097" s="2" t="s">
        <v>11</v>
      </c>
      <c r="D2097" s="6" t="str">
        <f>CONCATENATE(YEAR(A2097),"/",IF(MONTH(A2097)&lt;10,CONCATENATE("0",MONTH(A2097)),MONTH(A2097)))</f>
        <v>2025/05</v>
      </c>
      <c r="E2097" s="8" t="str">
        <f>IF(IF(D2097&lt;&gt;D2096,1,IF(OR(B2097&lt;&gt;B2096,A2097-A2096&gt;$U$1),1,""))&lt;&gt;1,"",IF(C2097="B01",1965,IF(C2097="B02",1020,IF(C2097="B05",2400,IF(C2097="B03",4260,IF(C2097="B04",2880,IF(C2097="B20",1260,0)))))))</f>
        <v/>
      </c>
      <c r="F2097" s="8" t="str">
        <f>IF(IF(D2097&lt;&gt;D2096,1,IF(OR(B2097&lt;&gt;B2096,A2097-A2096&gt;$U$1),1,""))&lt;&gt;1,"",IF(C2097="B01",1,IF(C2097="B05",1,IF(C2097="B03",1,IF(C2097="B04",1,IF(C2097="B20",1,IF(C2097="B02",1,0)))))))</f>
        <v/>
      </c>
      <c r="G2097"/>
      <c r="H2097" s="2"/>
      <c r="I2097" s="2"/>
      <c r="L2097"/>
      <c r="R2097"/>
    </row>
    <row r="2098" spans="1:18">
      <c r="A2098" s="3">
        <v>45778.970983796295</v>
      </c>
      <c r="B2098" s="2" t="s">
        <v>28</v>
      </c>
      <c r="C2098" s="2" t="s">
        <v>11</v>
      </c>
      <c r="D2098" s="6" t="str">
        <f>CONCATENATE(YEAR(A2098),"/",IF(MONTH(A2098)&lt;10,CONCATENATE("0",MONTH(A2098)),MONTH(A2098)))</f>
        <v>2025/05</v>
      </c>
      <c r="E2098" s="8">
        <f>IF(IF(D2098&lt;&gt;D2097,1,IF(OR(B2098&lt;&gt;B2097,A2098-A2097&gt;$U$1),1,""))&lt;&gt;1,"",IF(C2098="B01",1965,IF(C2098="B02",1020,IF(C2098="B05",2400,IF(C2098="B03",4260,IF(C2098="B04",2880,IF(C2098="B20",1260,0)))))))</f>
        <v>2400</v>
      </c>
      <c r="F2098" s="8">
        <f>IF(IF(D2098&lt;&gt;D2097,1,IF(OR(B2098&lt;&gt;B2097,A2098-A2097&gt;$U$1),1,""))&lt;&gt;1,"",IF(C2098="B01",1,IF(C2098="B05",1,IF(C2098="B03",1,IF(C2098="B04",1,IF(C2098="B20",1,IF(C2098="B02",1,0)))))))</f>
        <v>1</v>
      </c>
      <c r="G2098"/>
      <c r="H2098" s="2"/>
      <c r="I2098" s="2"/>
      <c r="L2098"/>
      <c r="R2098"/>
    </row>
    <row r="2099" spans="1:18">
      <c r="A2099" s="3">
        <v>45778.970983796295</v>
      </c>
      <c r="B2099" s="2" t="s">
        <v>28</v>
      </c>
      <c r="C2099" s="2" t="s">
        <v>11</v>
      </c>
      <c r="D2099" s="6" t="str">
        <f>CONCATENATE(YEAR(A2099),"/",IF(MONTH(A2099)&lt;10,CONCATENATE("0",MONTH(A2099)),MONTH(A2099)))</f>
        <v>2025/05</v>
      </c>
      <c r="E2099" s="8" t="str">
        <f>IF(IF(D2099&lt;&gt;D2098,1,IF(OR(B2099&lt;&gt;B2098,A2099-A2098&gt;$U$1),1,""))&lt;&gt;1,"",IF(C2099="B01",1965,IF(C2099="B02",1020,IF(C2099="B05",2400,IF(C2099="B03",4260,IF(C2099="B04",2880,IF(C2099="B20",1260,0)))))))</f>
        <v/>
      </c>
      <c r="F2099" s="8" t="str">
        <f>IF(IF(D2099&lt;&gt;D2098,1,IF(OR(B2099&lt;&gt;B2098,A2099-A2098&gt;$U$1),1,""))&lt;&gt;1,"",IF(C2099="B01",1,IF(C2099="B05",1,IF(C2099="B03",1,IF(C2099="B04",1,IF(C2099="B20",1,IF(C2099="B02",1,0)))))))</f>
        <v/>
      </c>
      <c r="G2099"/>
      <c r="H2099" s="2"/>
      <c r="I2099" s="2"/>
      <c r="L2099"/>
      <c r="R2099"/>
    </row>
    <row r="2100" spans="1:18">
      <c r="A2100" s="3">
        <v>45779.196180555555</v>
      </c>
      <c r="B2100" s="2" t="s">
        <v>28</v>
      </c>
      <c r="C2100" s="2" t="s">
        <v>11</v>
      </c>
      <c r="D2100" s="6" t="str">
        <f>CONCATENATE(YEAR(A2100),"/",IF(MONTH(A2100)&lt;10,CONCATENATE("0",MONTH(A2100)),MONTH(A2100)))</f>
        <v>2025/05</v>
      </c>
      <c r="E2100" s="8">
        <f>IF(IF(D2100&lt;&gt;D2099,1,IF(OR(B2100&lt;&gt;B2099,A2100-A2099&gt;$U$1),1,""))&lt;&gt;1,"",IF(C2100="B01",1965,IF(C2100="B02",1020,IF(C2100="B05",2400,IF(C2100="B03",4260,IF(C2100="B04",2880,IF(C2100="B20",1260,0)))))))</f>
        <v>2400</v>
      </c>
      <c r="F2100" s="8">
        <f>IF(IF(D2100&lt;&gt;D2099,1,IF(OR(B2100&lt;&gt;B2099,A2100-A2099&gt;$U$1),1,""))&lt;&gt;1,"",IF(C2100="B01",1,IF(C2100="B05",1,IF(C2100="B03",1,IF(C2100="B04",1,IF(C2100="B20",1,IF(C2100="B02",1,0)))))))</f>
        <v>1</v>
      </c>
      <c r="G2100"/>
      <c r="H2100" s="2"/>
      <c r="I2100" s="2"/>
      <c r="L2100"/>
      <c r="R2100"/>
    </row>
    <row r="2101" spans="1:18">
      <c r="A2101" s="3">
        <v>45779.196180555555</v>
      </c>
      <c r="B2101" s="2" t="s">
        <v>28</v>
      </c>
      <c r="C2101" s="2" t="s">
        <v>11</v>
      </c>
      <c r="D2101" s="6" t="str">
        <f>CONCATENATE(YEAR(A2101),"/",IF(MONTH(A2101)&lt;10,CONCATENATE("0",MONTH(A2101)),MONTH(A2101)))</f>
        <v>2025/05</v>
      </c>
      <c r="E2101" s="8" t="str">
        <f>IF(IF(D2101&lt;&gt;D2100,1,IF(OR(B2101&lt;&gt;B2100,A2101-A2100&gt;$U$1),1,""))&lt;&gt;1,"",IF(C2101="B01",1965,IF(C2101="B02",1020,IF(C2101="B05",2400,IF(C2101="B03",4260,IF(C2101="B04",2880,IF(C2101="B20",1260,0)))))))</f>
        <v/>
      </c>
      <c r="F2101" s="8" t="str">
        <f>IF(IF(D2101&lt;&gt;D2100,1,IF(OR(B2101&lt;&gt;B2100,A2101-A2100&gt;$U$1),1,""))&lt;&gt;1,"",IF(C2101="B01",1,IF(C2101="B05",1,IF(C2101="B03",1,IF(C2101="B04",1,IF(C2101="B20",1,IF(C2101="B02",1,0)))))))</f>
        <v/>
      </c>
      <c r="G2101"/>
      <c r="H2101" s="2"/>
      <c r="I2101" s="2"/>
      <c r="L2101"/>
      <c r="R2101"/>
    </row>
    <row r="2102" spans="1:18">
      <c r="A2102" s="3">
        <v>45779.196180555555</v>
      </c>
      <c r="B2102" s="2" t="s">
        <v>28</v>
      </c>
      <c r="C2102" s="2" t="s">
        <v>11</v>
      </c>
      <c r="D2102" s="6" t="str">
        <f>CONCATENATE(YEAR(A2102),"/",IF(MONTH(A2102)&lt;10,CONCATENATE("0",MONTH(A2102)),MONTH(A2102)))</f>
        <v>2025/05</v>
      </c>
      <c r="E2102" s="8" t="str">
        <f>IF(IF(D2102&lt;&gt;D2101,1,IF(OR(B2102&lt;&gt;B2101,A2102-A2101&gt;$U$1),1,""))&lt;&gt;1,"",IF(C2102="B01",1965,IF(C2102="B02",1020,IF(C2102="B05",2400,IF(C2102="B03",4260,IF(C2102="B04",2880,IF(C2102="B20",1260,0)))))))</f>
        <v/>
      </c>
      <c r="F2102" s="8" t="str">
        <f>IF(IF(D2102&lt;&gt;D2101,1,IF(OR(B2102&lt;&gt;B2101,A2102-A2101&gt;$U$1),1,""))&lt;&gt;1,"",IF(C2102="B01",1,IF(C2102="B05",1,IF(C2102="B03",1,IF(C2102="B04",1,IF(C2102="B20",1,IF(C2102="B02",1,0)))))))</f>
        <v/>
      </c>
      <c r="G2102"/>
      <c r="H2102" s="2"/>
      <c r="I2102" s="2"/>
      <c r="L2102"/>
      <c r="R2102"/>
    </row>
    <row r="2103" spans="1:18">
      <c r="A2103" s="3">
        <v>45779.196180555555</v>
      </c>
      <c r="B2103" s="2" t="s">
        <v>28</v>
      </c>
      <c r="C2103" s="2" t="s">
        <v>11</v>
      </c>
      <c r="D2103" s="6" t="str">
        <f>CONCATENATE(YEAR(A2103),"/",IF(MONTH(A2103)&lt;10,CONCATENATE("0",MONTH(A2103)),MONTH(A2103)))</f>
        <v>2025/05</v>
      </c>
      <c r="E2103" s="8" t="str">
        <f>IF(IF(D2103&lt;&gt;D2102,1,IF(OR(B2103&lt;&gt;B2102,A2103-A2102&gt;$U$1),1,""))&lt;&gt;1,"",IF(C2103="B01",1965,IF(C2103="B02",1020,IF(C2103="B05",2400,IF(C2103="B03",4260,IF(C2103="B04",2880,IF(C2103="B20",1260,0)))))))</f>
        <v/>
      </c>
      <c r="F2103" s="8" t="str">
        <f>IF(IF(D2103&lt;&gt;D2102,1,IF(OR(B2103&lt;&gt;B2102,A2103-A2102&gt;$U$1),1,""))&lt;&gt;1,"",IF(C2103="B01",1,IF(C2103="B05",1,IF(C2103="B03",1,IF(C2103="B04",1,IF(C2103="B20",1,IF(C2103="B02",1,0)))))))</f>
        <v/>
      </c>
      <c r="G2103"/>
      <c r="H2103" s="2"/>
      <c r="I2103" s="2"/>
      <c r="L2103"/>
      <c r="R2103"/>
    </row>
    <row r="2104" spans="1:18">
      <c r="A2104" s="3">
        <v>45779.408078703702</v>
      </c>
      <c r="B2104" s="2" t="s">
        <v>28</v>
      </c>
      <c r="C2104" s="2" t="s">
        <v>11</v>
      </c>
      <c r="D2104" s="6" t="str">
        <f>CONCATENATE(YEAR(A2104),"/",IF(MONTH(A2104)&lt;10,CONCATENATE("0",MONTH(A2104)),MONTH(A2104)))</f>
        <v>2025/05</v>
      </c>
      <c r="E2104" s="8">
        <f>IF(IF(D2104&lt;&gt;D2103,1,IF(OR(B2104&lt;&gt;B2103,A2104-A2103&gt;$U$1),1,""))&lt;&gt;1,"",IF(C2104="B01",1965,IF(C2104="B02",1020,IF(C2104="B05",2400,IF(C2104="B03",4260,IF(C2104="B04",2880,IF(C2104="B20",1260,0)))))))</f>
        <v>2400</v>
      </c>
      <c r="F2104" s="8">
        <f>IF(IF(D2104&lt;&gt;D2103,1,IF(OR(B2104&lt;&gt;B2103,A2104-A2103&gt;$U$1),1,""))&lt;&gt;1,"",IF(C2104="B01",1,IF(C2104="B05",1,IF(C2104="B03",1,IF(C2104="B04",1,IF(C2104="B20",1,IF(C2104="B02",1,0)))))))</f>
        <v>1</v>
      </c>
      <c r="G2104"/>
      <c r="H2104" s="2"/>
      <c r="I2104" s="2"/>
      <c r="L2104"/>
      <c r="R2104"/>
    </row>
    <row r="2105" spans="1:18">
      <c r="A2105" s="3">
        <v>45779.408078703702</v>
      </c>
      <c r="B2105" s="2" t="s">
        <v>28</v>
      </c>
      <c r="C2105" s="2" t="s">
        <v>11</v>
      </c>
      <c r="D2105" s="6" t="str">
        <f>CONCATENATE(YEAR(A2105),"/",IF(MONTH(A2105)&lt;10,CONCATENATE("0",MONTH(A2105)),MONTH(A2105)))</f>
        <v>2025/05</v>
      </c>
      <c r="E2105" s="8" t="str">
        <f>IF(IF(D2105&lt;&gt;D2104,1,IF(OR(B2105&lt;&gt;B2104,A2105-A2104&gt;$U$1),1,""))&lt;&gt;1,"",IF(C2105="B01",1965,IF(C2105="B02",1020,IF(C2105="B05",2400,IF(C2105="B03",4260,IF(C2105="B04",2880,IF(C2105="B20",1260,0)))))))</f>
        <v/>
      </c>
      <c r="F2105" s="8" t="str">
        <f>IF(IF(D2105&lt;&gt;D2104,1,IF(OR(B2105&lt;&gt;B2104,A2105-A2104&gt;$U$1),1,""))&lt;&gt;1,"",IF(C2105="B01",1,IF(C2105="B05",1,IF(C2105="B03",1,IF(C2105="B04",1,IF(C2105="B20",1,IF(C2105="B02",1,0)))))))</f>
        <v/>
      </c>
      <c r="G2105"/>
      <c r="H2105" s="2"/>
      <c r="I2105" s="2"/>
      <c r="L2105"/>
      <c r="R2105"/>
    </row>
    <row r="2106" spans="1:18">
      <c r="A2106" s="3">
        <v>45779.408078703702</v>
      </c>
      <c r="B2106" s="2" t="s">
        <v>28</v>
      </c>
      <c r="C2106" s="2" t="s">
        <v>11</v>
      </c>
      <c r="D2106" s="6" t="str">
        <f>CONCATENATE(YEAR(A2106),"/",IF(MONTH(A2106)&lt;10,CONCATENATE("0",MONTH(A2106)),MONTH(A2106)))</f>
        <v>2025/05</v>
      </c>
      <c r="E2106" s="8" t="str">
        <f>IF(IF(D2106&lt;&gt;D2105,1,IF(OR(B2106&lt;&gt;B2105,A2106-A2105&gt;$U$1),1,""))&lt;&gt;1,"",IF(C2106="B01",1965,IF(C2106="B02",1020,IF(C2106="B05",2400,IF(C2106="B03",4260,IF(C2106="B04",2880,IF(C2106="B20",1260,0)))))))</f>
        <v/>
      </c>
      <c r="F2106" s="8" t="str">
        <f>IF(IF(D2106&lt;&gt;D2105,1,IF(OR(B2106&lt;&gt;B2105,A2106-A2105&gt;$U$1),1,""))&lt;&gt;1,"",IF(C2106="B01",1,IF(C2106="B05",1,IF(C2106="B03",1,IF(C2106="B04",1,IF(C2106="B20",1,IF(C2106="B02",1,0)))))))</f>
        <v/>
      </c>
      <c r="G2106"/>
      <c r="H2106" s="2"/>
      <c r="I2106" s="2"/>
      <c r="L2106"/>
      <c r="R2106"/>
    </row>
    <row r="2107" spans="1:18">
      <c r="A2107" s="3">
        <v>45779.408078703702</v>
      </c>
      <c r="B2107" s="2" t="s">
        <v>28</v>
      </c>
      <c r="C2107" s="2" t="s">
        <v>11</v>
      </c>
      <c r="D2107" s="6" t="str">
        <f>CONCATENATE(YEAR(A2107),"/",IF(MONTH(A2107)&lt;10,CONCATENATE("0",MONTH(A2107)),MONTH(A2107)))</f>
        <v>2025/05</v>
      </c>
      <c r="E2107" s="8" t="str">
        <f>IF(IF(D2107&lt;&gt;D2106,1,IF(OR(B2107&lt;&gt;B2106,A2107-A2106&gt;$U$1),1,""))&lt;&gt;1,"",IF(C2107="B01",1965,IF(C2107="B02",1020,IF(C2107="B05",2400,IF(C2107="B03",4260,IF(C2107="B04",2880,IF(C2107="B20",1260,0)))))))</f>
        <v/>
      </c>
      <c r="F2107" s="8" t="str">
        <f>IF(IF(D2107&lt;&gt;D2106,1,IF(OR(B2107&lt;&gt;B2106,A2107-A2106&gt;$U$1),1,""))&lt;&gt;1,"",IF(C2107="B01",1,IF(C2107="B05",1,IF(C2107="B03",1,IF(C2107="B04",1,IF(C2107="B20",1,IF(C2107="B02",1,0)))))))</f>
        <v/>
      </c>
      <c r="G2107"/>
      <c r="H2107" s="2"/>
      <c r="I2107" s="2"/>
      <c r="L2107"/>
      <c r="R2107"/>
    </row>
    <row r="2108" spans="1:18">
      <c r="A2108" s="3">
        <v>45779.408078703702</v>
      </c>
      <c r="B2108" s="2" t="s">
        <v>28</v>
      </c>
      <c r="C2108" s="2" t="s">
        <v>11</v>
      </c>
      <c r="D2108" s="6" t="str">
        <f>CONCATENATE(YEAR(A2108),"/",IF(MONTH(A2108)&lt;10,CONCATENATE("0",MONTH(A2108)),MONTH(A2108)))</f>
        <v>2025/05</v>
      </c>
      <c r="E2108" s="8" t="str">
        <f>IF(IF(D2108&lt;&gt;D2107,1,IF(OR(B2108&lt;&gt;B2107,A2108-A2107&gt;$U$1),1,""))&lt;&gt;1,"",IF(C2108="B01",1965,IF(C2108="B02",1020,IF(C2108="B05",2400,IF(C2108="B03",4260,IF(C2108="B04",2880,IF(C2108="B20",1260,0)))))))</f>
        <v/>
      </c>
      <c r="F2108" s="8" t="str">
        <f>IF(IF(D2108&lt;&gt;D2107,1,IF(OR(B2108&lt;&gt;B2107,A2108-A2107&gt;$U$1),1,""))&lt;&gt;1,"",IF(C2108="B01",1,IF(C2108="B05",1,IF(C2108="B03",1,IF(C2108="B04",1,IF(C2108="B20",1,IF(C2108="B02",1,0)))))))</f>
        <v/>
      </c>
      <c r="G2108"/>
      <c r="H2108" s="2"/>
      <c r="I2108" s="2"/>
      <c r="L2108"/>
      <c r="R2108"/>
    </row>
    <row r="2109" spans="1:18">
      <c r="A2109" s="3">
        <v>45779.606400462966</v>
      </c>
      <c r="B2109" s="2" t="s">
        <v>28</v>
      </c>
      <c r="C2109" s="2" t="s">
        <v>11</v>
      </c>
      <c r="D2109" s="6" t="str">
        <f>CONCATENATE(YEAR(A2109),"/",IF(MONTH(A2109)&lt;10,CONCATENATE("0",MONTH(A2109)),MONTH(A2109)))</f>
        <v>2025/05</v>
      </c>
      <c r="E2109" s="8">
        <f>IF(IF(D2109&lt;&gt;D2108,1,IF(OR(B2109&lt;&gt;B2108,A2109-A2108&gt;$U$1),1,""))&lt;&gt;1,"",IF(C2109="B01",1965,IF(C2109="B02",1020,IF(C2109="B05",2400,IF(C2109="B03",4260,IF(C2109="B04",2880,IF(C2109="B20",1260,0)))))))</f>
        <v>2400</v>
      </c>
      <c r="F2109" s="8">
        <f>IF(IF(D2109&lt;&gt;D2108,1,IF(OR(B2109&lt;&gt;B2108,A2109-A2108&gt;$U$1),1,""))&lt;&gt;1,"",IF(C2109="B01",1,IF(C2109="B05",1,IF(C2109="B03",1,IF(C2109="B04",1,IF(C2109="B20",1,IF(C2109="B02",1,0)))))))</f>
        <v>1</v>
      </c>
      <c r="G2109"/>
      <c r="H2109" s="2"/>
      <c r="I2109" s="2"/>
      <c r="L2109"/>
      <c r="R2109"/>
    </row>
    <row r="2110" spans="1:18">
      <c r="A2110" s="3">
        <v>45779.606400462966</v>
      </c>
      <c r="B2110" s="2" t="s">
        <v>28</v>
      </c>
      <c r="C2110" s="2" t="s">
        <v>11</v>
      </c>
      <c r="D2110" s="6" t="str">
        <f>CONCATENATE(YEAR(A2110),"/",IF(MONTH(A2110)&lt;10,CONCATENATE("0",MONTH(A2110)),MONTH(A2110)))</f>
        <v>2025/05</v>
      </c>
      <c r="E2110" s="8" t="str">
        <f>IF(IF(D2110&lt;&gt;D2109,1,IF(OR(B2110&lt;&gt;B2109,A2110-A2109&gt;$U$1),1,""))&lt;&gt;1,"",IF(C2110="B01",1965,IF(C2110="B02",1020,IF(C2110="B05",2400,IF(C2110="B03",4260,IF(C2110="B04",2880,IF(C2110="B20",1260,0)))))))</f>
        <v/>
      </c>
      <c r="F2110" s="8" t="str">
        <f>IF(IF(D2110&lt;&gt;D2109,1,IF(OR(B2110&lt;&gt;B2109,A2110-A2109&gt;$U$1),1,""))&lt;&gt;1,"",IF(C2110="B01",1,IF(C2110="B05",1,IF(C2110="B03",1,IF(C2110="B04",1,IF(C2110="B20",1,IF(C2110="B02",1,0)))))))</f>
        <v/>
      </c>
      <c r="G2110"/>
      <c r="H2110" s="2"/>
      <c r="I2110" s="2"/>
      <c r="L2110"/>
      <c r="R2110"/>
    </row>
    <row r="2111" spans="1:18">
      <c r="A2111" s="3">
        <v>45779.606400462966</v>
      </c>
      <c r="B2111" s="2" t="s">
        <v>28</v>
      </c>
      <c r="C2111" s="2" t="s">
        <v>11</v>
      </c>
      <c r="D2111" s="6" t="str">
        <f>CONCATENATE(YEAR(A2111),"/",IF(MONTH(A2111)&lt;10,CONCATENATE("0",MONTH(A2111)),MONTH(A2111)))</f>
        <v>2025/05</v>
      </c>
      <c r="E2111" s="8" t="str">
        <f>IF(IF(D2111&lt;&gt;D2110,1,IF(OR(B2111&lt;&gt;B2110,A2111-A2110&gt;$U$1),1,""))&lt;&gt;1,"",IF(C2111="B01",1965,IF(C2111="B02",1020,IF(C2111="B05",2400,IF(C2111="B03",4260,IF(C2111="B04",2880,IF(C2111="B20",1260,0)))))))</f>
        <v/>
      </c>
      <c r="F2111" s="8" t="str">
        <f>IF(IF(D2111&lt;&gt;D2110,1,IF(OR(B2111&lt;&gt;B2110,A2111-A2110&gt;$U$1),1,""))&lt;&gt;1,"",IF(C2111="B01",1,IF(C2111="B05",1,IF(C2111="B03",1,IF(C2111="B04",1,IF(C2111="B20",1,IF(C2111="B02",1,0)))))))</f>
        <v/>
      </c>
      <c r="G2111"/>
      <c r="H2111" s="2"/>
      <c r="I2111" s="2"/>
      <c r="L2111"/>
      <c r="R2111"/>
    </row>
    <row r="2112" spans="1:18">
      <c r="A2112" s="3">
        <v>45779.606400462966</v>
      </c>
      <c r="B2112" s="2" t="s">
        <v>28</v>
      </c>
      <c r="C2112" s="2" t="s">
        <v>11</v>
      </c>
      <c r="D2112" s="6" t="str">
        <f>CONCATENATE(YEAR(A2112),"/",IF(MONTH(A2112)&lt;10,CONCATENATE("0",MONTH(A2112)),MONTH(A2112)))</f>
        <v>2025/05</v>
      </c>
      <c r="E2112" s="8" t="str">
        <f>IF(IF(D2112&lt;&gt;D2111,1,IF(OR(B2112&lt;&gt;B2111,A2112-A2111&gt;$U$1),1,""))&lt;&gt;1,"",IF(C2112="B01",1965,IF(C2112="B02",1020,IF(C2112="B05",2400,IF(C2112="B03",4260,IF(C2112="B04",2880,IF(C2112="B20",1260,0)))))))</f>
        <v/>
      </c>
      <c r="F2112" s="8" t="str">
        <f>IF(IF(D2112&lt;&gt;D2111,1,IF(OR(B2112&lt;&gt;B2111,A2112-A2111&gt;$U$1),1,""))&lt;&gt;1,"",IF(C2112="B01",1,IF(C2112="B05",1,IF(C2112="B03",1,IF(C2112="B04",1,IF(C2112="B20",1,IF(C2112="B02",1,0)))))))</f>
        <v/>
      </c>
      <c r="G2112"/>
      <c r="H2112" s="2"/>
      <c r="I2112" s="2"/>
      <c r="L2112"/>
      <c r="R2112"/>
    </row>
    <row r="2113" spans="1:18">
      <c r="A2113" s="3">
        <v>45779.606400462966</v>
      </c>
      <c r="B2113" s="2" t="s">
        <v>28</v>
      </c>
      <c r="C2113" s="2" t="s">
        <v>11</v>
      </c>
      <c r="D2113" s="6" t="str">
        <f>CONCATENATE(YEAR(A2113),"/",IF(MONTH(A2113)&lt;10,CONCATENATE("0",MONTH(A2113)),MONTH(A2113)))</f>
        <v>2025/05</v>
      </c>
      <c r="E2113" s="8" t="str">
        <f>IF(IF(D2113&lt;&gt;D2112,1,IF(OR(B2113&lt;&gt;B2112,A2113-A2112&gt;$U$1),1,""))&lt;&gt;1,"",IF(C2113="B01",1965,IF(C2113="B02",1020,IF(C2113="B05",2400,IF(C2113="B03",4260,IF(C2113="B04",2880,IF(C2113="B20",1260,0)))))))</f>
        <v/>
      </c>
      <c r="F2113" s="8" t="str">
        <f>IF(IF(D2113&lt;&gt;D2112,1,IF(OR(B2113&lt;&gt;B2112,A2113-A2112&gt;$U$1),1,""))&lt;&gt;1,"",IF(C2113="B01",1,IF(C2113="B05",1,IF(C2113="B03",1,IF(C2113="B04",1,IF(C2113="B20",1,IF(C2113="B02",1,0)))))))</f>
        <v/>
      </c>
      <c r="G2113"/>
      <c r="H2113" s="2"/>
      <c r="I2113" s="2"/>
      <c r="L2113"/>
      <c r="R2113"/>
    </row>
    <row r="2114" spans="1:18">
      <c r="A2114" s="3">
        <v>45779.958101851851</v>
      </c>
      <c r="B2114" s="2" t="s">
        <v>28</v>
      </c>
      <c r="C2114" s="2" t="s">
        <v>11</v>
      </c>
      <c r="D2114" s="6" t="str">
        <f>CONCATENATE(YEAR(A2114),"/",IF(MONTH(A2114)&lt;10,CONCATENATE("0",MONTH(A2114)),MONTH(A2114)))</f>
        <v>2025/05</v>
      </c>
      <c r="E2114" s="8">
        <f>IF(IF(D2114&lt;&gt;D2113,1,IF(OR(B2114&lt;&gt;B2113,A2114-A2113&gt;$U$1),1,""))&lt;&gt;1,"",IF(C2114="B01",1965,IF(C2114="B02",1020,IF(C2114="B05",2400,IF(C2114="B03",4260,IF(C2114="B04",2880,IF(C2114="B20",1260,0)))))))</f>
        <v>2400</v>
      </c>
      <c r="F2114" s="8">
        <f>IF(IF(D2114&lt;&gt;D2113,1,IF(OR(B2114&lt;&gt;B2113,A2114-A2113&gt;$U$1),1,""))&lt;&gt;1,"",IF(C2114="B01",1,IF(C2114="B05",1,IF(C2114="B03",1,IF(C2114="B04",1,IF(C2114="B20",1,IF(C2114="B02",1,0)))))))</f>
        <v>1</v>
      </c>
      <c r="G2114"/>
      <c r="H2114" s="2"/>
      <c r="I2114" s="2"/>
      <c r="L2114"/>
      <c r="R2114"/>
    </row>
    <row r="2115" spans="1:18">
      <c r="A2115" s="3">
        <v>45779.958101851851</v>
      </c>
      <c r="B2115" s="2" t="s">
        <v>28</v>
      </c>
      <c r="C2115" s="2" t="s">
        <v>11</v>
      </c>
      <c r="D2115" s="6" t="str">
        <f>CONCATENATE(YEAR(A2115),"/",IF(MONTH(A2115)&lt;10,CONCATENATE("0",MONTH(A2115)),MONTH(A2115)))</f>
        <v>2025/05</v>
      </c>
      <c r="E2115" s="8" t="str">
        <f>IF(IF(D2115&lt;&gt;D2114,1,IF(OR(B2115&lt;&gt;B2114,A2115-A2114&gt;$U$1),1,""))&lt;&gt;1,"",IF(C2115="B01",1965,IF(C2115="B02",1020,IF(C2115="B05",2400,IF(C2115="B03",4260,IF(C2115="B04",2880,IF(C2115="B20",1260,0)))))))</f>
        <v/>
      </c>
      <c r="F2115" s="8" t="str">
        <f>IF(IF(D2115&lt;&gt;D2114,1,IF(OR(B2115&lt;&gt;B2114,A2115-A2114&gt;$U$1),1,""))&lt;&gt;1,"",IF(C2115="B01",1,IF(C2115="B05",1,IF(C2115="B03",1,IF(C2115="B04",1,IF(C2115="B20",1,IF(C2115="B02",1,0)))))))</f>
        <v/>
      </c>
      <c r="G2115"/>
      <c r="H2115" s="2"/>
      <c r="I2115" s="2"/>
      <c r="L2115"/>
      <c r="R2115"/>
    </row>
    <row r="2116" spans="1:18">
      <c r="A2116" s="3">
        <v>45779.958101851851</v>
      </c>
      <c r="B2116" s="2" t="s">
        <v>28</v>
      </c>
      <c r="C2116" s="2" t="s">
        <v>11</v>
      </c>
      <c r="D2116" s="6" t="str">
        <f>CONCATENATE(YEAR(A2116),"/",IF(MONTH(A2116)&lt;10,CONCATENATE("0",MONTH(A2116)),MONTH(A2116)))</f>
        <v>2025/05</v>
      </c>
      <c r="E2116" s="8" t="str">
        <f>IF(IF(D2116&lt;&gt;D2115,1,IF(OR(B2116&lt;&gt;B2115,A2116-A2115&gt;$U$1),1,""))&lt;&gt;1,"",IF(C2116="B01",1965,IF(C2116="B02",1020,IF(C2116="B05",2400,IF(C2116="B03",4260,IF(C2116="B04",2880,IF(C2116="B20",1260,0)))))))</f>
        <v/>
      </c>
      <c r="F2116" s="8" t="str">
        <f>IF(IF(D2116&lt;&gt;D2115,1,IF(OR(B2116&lt;&gt;B2115,A2116-A2115&gt;$U$1),1,""))&lt;&gt;1,"",IF(C2116="B01",1,IF(C2116="B05",1,IF(C2116="B03",1,IF(C2116="B04",1,IF(C2116="B20",1,IF(C2116="B02",1,0)))))))</f>
        <v/>
      </c>
      <c r="G2116"/>
      <c r="H2116" s="2"/>
      <c r="I2116" s="2"/>
      <c r="L2116"/>
      <c r="R2116"/>
    </row>
    <row r="2117" spans="1:18">
      <c r="A2117" s="3">
        <v>45780.257384259261</v>
      </c>
      <c r="B2117" s="2" t="s">
        <v>28</v>
      </c>
      <c r="C2117" s="2" t="s">
        <v>11</v>
      </c>
      <c r="D2117" s="6" t="str">
        <f>CONCATENATE(YEAR(A2117),"/",IF(MONTH(A2117)&lt;10,CONCATENATE("0",MONTH(A2117)),MONTH(A2117)))</f>
        <v>2025/05</v>
      </c>
      <c r="E2117" s="8">
        <f>IF(IF(D2117&lt;&gt;D2116,1,IF(OR(B2117&lt;&gt;B2116,A2117-A2116&gt;$U$1),1,""))&lt;&gt;1,"",IF(C2117="B01",1965,IF(C2117="B02",1020,IF(C2117="B05",2400,IF(C2117="B03",4260,IF(C2117="B04",2880,IF(C2117="B20",1260,0)))))))</f>
        <v>2400</v>
      </c>
      <c r="F2117" s="8">
        <f>IF(IF(D2117&lt;&gt;D2116,1,IF(OR(B2117&lt;&gt;B2116,A2117-A2116&gt;$U$1),1,""))&lt;&gt;1,"",IF(C2117="B01",1,IF(C2117="B05",1,IF(C2117="B03",1,IF(C2117="B04",1,IF(C2117="B20",1,IF(C2117="B02",1,0)))))))</f>
        <v>1</v>
      </c>
      <c r="G2117"/>
      <c r="H2117" s="2"/>
      <c r="I2117" s="2"/>
      <c r="L2117"/>
      <c r="R2117"/>
    </row>
    <row r="2118" spans="1:18">
      <c r="A2118" s="3">
        <v>45780.257384259261</v>
      </c>
      <c r="B2118" s="2" t="s">
        <v>28</v>
      </c>
      <c r="C2118" s="2" t="s">
        <v>11</v>
      </c>
      <c r="D2118" s="6" t="str">
        <f>CONCATENATE(YEAR(A2118),"/",IF(MONTH(A2118)&lt;10,CONCATENATE("0",MONTH(A2118)),MONTH(A2118)))</f>
        <v>2025/05</v>
      </c>
      <c r="E2118" s="8" t="str">
        <f>IF(IF(D2118&lt;&gt;D2117,1,IF(OR(B2118&lt;&gt;B2117,A2118-A2117&gt;$U$1),1,""))&lt;&gt;1,"",IF(C2118="B01",1965,IF(C2118="B02",1020,IF(C2118="B05",2400,IF(C2118="B03",4260,IF(C2118="B04",2880,IF(C2118="B20",1260,0)))))))</f>
        <v/>
      </c>
      <c r="F2118" s="8" t="str">
        <f>IF(IF(D2118&lt;&gt;D2117,1,IF(OR(B2118&lt;&gt;B2117,A2118-A2117&gt;$U$1),1,""))&lt;&gt;1,"",IF(C2118="B01",1,IF(C2118="B05",1,IF(C2118="B03",1,IF(C2118="B04",1,IF(C2118="B20",1,IF(C2118="B02",1,0)))))))</f>
        <v/>
      </c>
      <c r="G2118"/>
      <c r="H2118" s="2"/>
      <c r="I2118" s="2"/>
      <c r="L2118"/>
      <c r="R2118"/>
    </row>
    <row r="2119" spans="1:18">
      <c r="A2119" s="3">
        <v>45780.257384259261</v>
      </c>
      <c r="B2119" s="2" t="s">
        <v>28</v>
      </c>
      <c r="C2119" s="2" t="s">
        <v>11</v>
      </c>
      <c r="D2119" s="6" t="str">
        <f>CONCATENATE(YEAR(A2119),"/",IF(MONTH(A2119)&lt;10,CONCATENATE("0",MONTH(A2119)),MONTH(A2119)))</f>
        <v>2025/05</v>
      </c>
      <c r="E2119" s="8" t="str">
        <f>IF(IF(D2119&lt;&gt;D2118,1,IF(OR(B2119&lt;&gt;B2118,A2119-A2118&gt;$U$1),1,""))&lt;&gt;1,"",IF(C2119="B01",1965,IF(C2119="B02",1020,IF(C2119="B05",2400,IF(C2119="B03",4260,IF(C2119="B04",2880,IF(C2119="B20",1260,0)))))))</f>
        <v/>
      </c>
      <c r="F2119" s="8" t="str">
        <f>IF(IF(D2119&lt;&gt;D2118,1,IF(OR(B2119&lt;&gt;B2118,A2119-A2118&gt;$U$1),1,""))&lt;&gt;1,"",IF(C2119="B01",1,IF(C2119="B05",1,IF(C2119="B03",1,IF(C2119="B04",1,IF(C2119="B20",1,IF(C2119="B02",1,0)))))))</f>
        <v/>
      </c>
      <c r="G2119"/>
      <c r="H2119" s="2"/>
      <c r="I2119" s="2"/>
      <c r="L2119"/>
      <c r="R2119"/>
    </row>
    <row r="2120" spans="1:18">
      <c r="A2120" s="3">
        <v>45780.493414351855</v>
      </c>
      <c r="B2120" s="2" t="s">
        <v>28</v>
      </c>
      <c r="C2120" s="2" t="s">
        <v>11</v>
      </c>
      <c r="D2120" s="6" t="str">
        <f>CONCATENATE(YEAR(A2120),"/",IF(MONTH(A2120)&lt;10,CONCATENATE("0",MONTH(A2120)),MONTH(A2120)))</f>
        <v>2025/05</v>
      </c>
      <c r="E2120" s="8">
        <f>IF(IF(D2120&lt;&gt;D2119,1,IF(OR(B2120&lt;&gt;B2119,A2120-A2119&gt;$U$1),1,""))&lt;&gt;1,"",IF(C2120="B01",1965,IF(C2120="B02",1020,IF(C2120="B05",2400,IF(C2120="B03",4260,IF(C2120="B04",2880,IF(C2120="B20",1260,0)))))))</f>
        <v>2400</v>
      </c>
      <c r="F2120" s="8">
        <f>IF(IF(D2120&lt;&gt;D2119,1,IF(OR(B2120&lt;&gt;B2119,A2120-A2119&gt;$U$1),1,""))&lt;&gt;1,"",IF(C2120="B01",1,IF(C2120="B05",1,IF(C2120="B03",1,IF(C2120="B04",1,IF(C2120="B20",1,IF(C2120="B02",1,0)))))))</f>
        <v>1</v>
      </c>
      <c r="G2120"/>
      <c r="H2120" s="2"/>
      <c r="I2120" s="2"/>
      <c r="L2120"/>
      <c r="R2120"/>
    </row>
    <row r="2121" spans="1:18">
      <c r="A2121" s="3">
        <v>45780.493414351855</v>
      </c>
      <c r="B2121" s="2" t="s">
        <v>28</v>
      </c>
      <c r="C2121" s="2" t="s">
        <v>11</v>
      </c>
      <c r="D2121" s="6" t="str">
        <f>CONCATENATE(YEAR(A2121),"/",IF(MONTH(A2121)&lt;10,CONCATENATE("0",MONTH(A2121)),MONTH(A2121)))</f>
        <v>2025/05</v>
      </c>
      <c r="E2121" s="8" t="str">
        <f>IF(IF(D2121&lt;&gt;D2120,1,IF(OR(B2121&lt;&gt;B2120,A2121-A2120&gt;$U$1),1,""))&lt;&gt;1,"",IF(C2121="B01",1965,IF(C2121="B02",1020,IF(C2121="B05",2400,IF(C2121="B03",4260,IF(C2121="B04",2880,IF(C2121="B20",1260,0)))))))</f>
        <v/>
      </c>
      <c r="F2121" s="8" t="str">
        <f>IF(IF(D2121&lt;&gt;D2120,1,IF(OR(B2121&lt;&gt;B2120,A2121-A2120&gt;$U$1),1,""))&lt;&gt;1,"",IF(C2121="B01",1,IF(C2121="B05",1,IF(C2121="B03",1,IF(C2121="B04",1,IF(C2121="B20",1,IF(C2121="B02",1,0)))))))</f>
        <v/>
      </c>
      <c r="G2121"/>
      <c r="H2121" s="2"/>
      <c r="I2121" s="2"/>
      <c r="L2121"/>
      <c r="R2121"/>
    </row>
    <row r="2122" spans="1:18">
      <c r="A2122" s="3">
        <v>45780.493414351855</v>
      </c>
      <c r="B2122" s="2" t="s">
        <v>28</v>
      </c>
      <c r="C2122" s="2" t="s">
        <v>11</v>
      </c>
      <c r="D2122" s="6" t="str">
        <f>CONCATENATE(YEAR(A2122),"/",IF(MONTH(A2122)&lt;10,CONCATENATE("0",MONTH(A2122)),MONTH(A2122)))</f>
        <v>2025/05</v>
      </c>
      <c r="E2122" s="8" t="str">
        <f>IF(IF(D2122&lt;&gt;D2121,1,IF(OR(B2122&lt;&gt;B2121,A2122-A2121&gt;$U$1),1,""))&lt;&gt;1,"",IF(C2122="B01",1965,IF(C2122="B02",1020,IF(C2122="B05",2400,IF(C2122="B03",4260,IF(C2122="B04",2880,IF(C2122="B20",1260,0)))))))</f>
        <v/>
      </c>
      <c r="F2122" s="8" t="str">
        <f>IF(IF(D2122&lt;&gt;D2121,1,IF(OR(B2122&lt;&gt;B2121,A2122-A2121&gt;$U$1),1,""))&lt;&gt;1,"",IF(C2122="B01",1,IF(C2122="B05",1,IF(C2122="B03",1,IF(C2122="B04",1,IF(C2122="B20",1,IF(C2122="B02",1,0)))))))</f>
        <v/>
      </c>
      <c r="G2122"/>
      <c r="H2122" s="2"/>
      <c r="I2122" s="2"/>
      <c r="L2122"/>
      <c r="R2122"/>
    </row>
    <row r="2123" spans="1:18">
      <c r="A2123" s="3">
        <v>45780.493414351855</v>
      </c>
      <c r="B2123" s="2" t="s">
        <v>28</v>
      </c>
      <c r="C2123" s="2" t="s">
        <v>11</v>
      </c>
      <c r="D2123" s="6" t="str">
        <f>CONCATENATE(YEAR(A2123),"/",IF(MONTH(A2123)&lt;10,CONCATENATE("0",MONTH(A2123)),MONTH(A2123)))</f>
        <v>2025/05</v>
      </c>
      <c r="E2123" s="8" t="str">
        <f>IF(IF(D2123&lt;&gt;D2122,1,IF(OR(B2123&lt;&gt;B2122,A2123-A2122&gt;$U$1),1,""))&lt;&gt;1,"",IF(C2123="B01",1965,IF(C2123="B02",1020,IF(C2123="B05",2400,IF(C2123="B03",4260,IF(C2123="B04",2880,IF(C2123="B20",1260,0)))))))</f>
        <v/>
      </c>
      <c r="F2123" s="8" t="str">
        <f>IF(IF(D2123&lt;&gt;D2122,1,IF(OR(B2123&lt;&gt;B2122,A2123-A2122&gt;$U$1),1,""))&lt;&gt;1,"",IF(C2123="B01",1,IF(C2123="B05",1,IF(C2123="B03",1,IF(C2123="B04",1,IF(C2123="B20",1,IF(C2123="B02",1,0)))))))</f>
        <v/>
      </c>
      <c r="G2123"/>
      <c r="H2123" s="2"/>
      <c r="I2123" s="2"/>
      <c r="L2123"/>
      <c r="R2123"/>
    </row>
    <row r="2124" spans="1:18">
      <c r="A2124" s="3">
        <v>45780.702731481484</v>
      </c>
      <c r="B2124" s="2" t="s">
        <v>28</v>
      </c>
      <c r="C2124" s="2" t="s">
        <v>11</v>
      </c>
      <c r="D2124" s="6" t="str">
        <f>CONCATENATE(YEAR(A2124),"/",IF(MONTH(A2124)&lt;10,CONCATENATE("0",MONTH(A2124)),MONTH(A2124)))</f>
        <v>2025/05</v>
      </c>
      <c r="E2124" s="8">
        <f>IF(IF(D2124&lt;&gt;D2123,1,IF(OR(B2124&lt;&gt;B2123,A2124-A2123&gt;$U$1),1,""))&lt;&gt;1,"",IF(C2124="B01",1965,IF(C2124="B02",1020,IF(C2124="B05",2400,IF(C2124="B03",4260,IF(C2124="B04",2880,IF(C2124="B20",1260,0)))))))</f>
        <v>2400</v>
      </c>
      <c r="F2124" s="8">
        <f>IF(IF(D2124&lt;&gt;D2123,1,IF(OR(B2124&lt;&gt;B2123,A2124-A2123&gt;$U$1),1,""))&lt;&gt;1,"",IF(C2124="B01",1,IF(C2124="B05",1,IF(C2124="B03",1,IF(C2124="B04",1,IF(C2124="B20",1,IF(C2124="B02",1,0)))))))</f>
        <v>1</v>
      </c>
      <c r="G2124"/>
      <c r="H2124" s="2"/>
      <c r="I2124" s="2"/>
      <c r="L2124"/>
      <c r="R2124"/>
    </row>
    <row r="2125" spans="1:18">
      <c r="A2125" s="3">
        <v>45780.702731481484</v>
      </c>
      <c r="B2125" s="2" t="s">
        <v>28</v>
      </c>
      <c r="C2125" s="2" t="s">
        <v>11</v>
      </c>
      <c r="D2125" s="6" t="str">
        <f>CONCATENATE(YEAR(A2125),"/",IF(MONTH(A2125)&lt;10,CONCATENATE("0",MONTH(A2125)),MONTH(A2125)))</f>
        <v>2025/05</v>
      </c>
      <c r="E2125" s="8" t="str">
        <f>IF(IF(D2125&lt;&gt;D2124,1,IF(OR(B2125&lt;&gt;B2124,A2125-A2124&gt;$U$1),1,""))&lt;&gt;1,"",IF(C2125="B01",1965,IF(C2125="B02",1020,IF(C2125="B05",2400,IF(C2125="B03",4260,IF(C2125="B04",2880,IF(C2125="B20",1260,0)))))))</f>
        <v/>
      </c>
      <c r="F2125" s="8" t="str">
        <f>IF(IF(D2125&lt;&gt;D2124,1,IF(OR(B2125&lt;&gt;B2124,A2125-A2124&gt;$U$1),1,""))&lt;&gt;1,"",IF(C2125="B01",1,IF(C2125="B05",1,IF(C2125="B03",1,IF(C2125="B04",1,IF(C2125="B20",1,IF(C2125="B02",1,0)))))))</f>
        <v/>
      </c>
      <c r="G2125"/>
      <c r="H2125" s="2"/>
      <c r="I2125" s="2"/>
      <c r="L2125"/>
      <c r="R2125"/>
    </row>
    <row r="2126" spans="1:18">
      <c r="A2126" s="3">
        <v>45780.702731481484</v>
      </c>
      <c r="B2126" s="2" t="s">
        <v>28</v>
      </c>
      <c r="C2126" s="2" t="s">
        <v>11</v>
      </c>
      <c r="D2126" s="6" t="str">
        <f>CONCATENATE(YEAR(A2126),"/",IF(MONTH(A2126)&lt;10,CONCATENATE("0",MONTH(A2126)),MONTH(A2126)))</f>
        <v>2025/05</v>
      </c>
      <c r="E2126" s="8" t="str">
        <f>IF(IF(D2126&lt;&gt;D2125,1,IF(OR(B2126&lt;&gt;B2125,A2126-A2125&gt;$U$1),1,""))&lt;&gt;1,"",IF(C2126="B01",1965,IF(C2126="B02",1020,IF(C2126="B05",2400,IF(C2126="B03",4260,IF(C2126="B04",2880,IF(C2126="B20",1260,0)))))))</f>
        <v/>
      </c>
      <c r="F2126" s="8" t="str">
        <f>IF(IF(D2126&lt;&gt;D2125,1,IF(OR(B2126&lt;&gt;B2125,A2126-A2125&gt;$U$1),1,""))&lt;&gt;1,"",IF(C2126="B01",1,IF(C2126="B05",1,IF(C2126="B03",1,IF(C2126="B04",1,IF(C2126="B20",1,IF(C2126="B02",1,0)))))))</f>
        <v/>
      </c>
      <c r="G2126"/>
      <c r="H2126" s="2"/>
      <c r="I2126" s="2"/>
      <c r="L2126"/>
      <c r="R2126"/>
    </row>
    <row r="2127" spans="1:18">
      <c r="A2127" s="3">
        <v>45780.848483796297</v>
      </c>
      <c r="B2127" s="2" t="s">
        <v>28</v>
      </c>
      <c r="C2127" s="2" t="s">
        <v>11</v>
      </c>
      <c r="D2127" s="6" t="str">
        <f>CONCATENATE(YEAR(A2127),"/",IF(MONTH(A2127)&lt;10,CONCATENATE("0",MONTH(A2127)),MONTH(A2127)))</f>
        <v>2025/05</v>
      </c>
      <c r="E2127" s="8">
        <f>IF(IF(D2127&lt;&gt;D2126,1,IF(OR(B2127&lt;&gt;B2126,A2127-A2126&gt;$U$1),1,""))&lt;&gt;1,"",IF(C2127="B01",1965,IF(C2127="B02",1020,IF(C2127="B05",2400,IF(C2127="B03",4260,IF(C2127="B04",2880,IF(C2127="B20",1260,0)))))))</f>
        <v>2400</v>
      </c>
      <c r="F2127" s="8">
        <f>IF(IF(D2127&lt;&gt;D2126,1,IF(OR(B2127&lt;&gt;B2126,A2127-A2126&gt;$U$1),1,""))&lt;&gt;1,"",IF(C2127="B01",1,IF(C2127="B05",1,IF(C2127="B03",1,IF(C2127="B04",1,IF(C2127="B20",1,IF(C2127="B02",1,0)))))))</f>
        <v>1</v>
      </c>
      <c r="G2127"/>
      <c r="H2127" s="2"/>
      <c r="I2127" s="2"/>
      <c r="L2127"/>
      <c r="R2127"/>
    </row>
    <row r="2128" spans="1:18">
      <c r="A2128" s="3">
        <v>45780.848483796297</v>
      </c>
      <c r="B2128" s="2" t="s">
        <v>28</v>
      </c>
      <c r="C2128" s="2" t="s">
        <v>11</v>
      </c>
      <c r="D2128" s="6" t="str">
        <f>CONCATENATE(YEAR(A2128),"/",IF(MONTH(A2128)&lt;10,CONCATENATE("0",MONTH(A2128)),MONTH(A2128)))</f>
        <v>2025/05</v>
      </c>
      <c r="E2128" s="8" t="str">
        <f>IF(IF(D2128&lt;&gt;D2127,1,IF(OR(B2128&lt;&gt;B2127,A2128-A2127&gt;$U$1),1,""))&lt;&gt;1,"",IF(C2128="B01",1965,IF(C2128="B02",1020,IF(C2128="B05",2400,IF(C2128="B03",4260,IF(C2128="B04",2880,IF(C2128="B20",1260,0)))))))</f>
        <v/>
      </c>
      <c r="F2128" s="8" t="str">
        <f>IF(IF(D2128&lt;&gt;D2127,1,IF(OR(B2128&lt;&gt;B2127,A2128-A2127&gt;$U$1),1,""))&lt;&gt;1,"",IF(C2128="B01",1,IF(C2128="B05",1,IF(C2128="B03",1,IF(C2128="B04",1,IF(C2128="B20",1,IF(C2128="B02",1,0)))))))</f>
        <v/>
      </c>
      <c r="G2128"/>
      <c r="H2128" s="2"/>
      <c r="I2128" s="2"/>
      <c r="L2128"/>
      <c r="R2128"/>
    </row>
    <row r="2129" spans="1:18">
      <c r="A2129" s="3">
        <v>45781.067754629628</v>
      </c>
      <c r="B2129" s="2" t="s">
        <v>28</v>
      </c>
      <c r="C2129" s="2" t="s">
        <v>11</v>
      </c>
      <c r="D2129" s="6" t="str">
        <f>CONCATENATE(YEAR(A2129),"/",IF(MONTH(A2129)&lt;10,CONCATENATE("0",MONTH(A2129)),MONTH(A2129)))</f>
        <v>2025/05</v>
      </c>
      <c r="E2129" s="8">
        <f>IF(IF(D2129&lt;&gt;D2128,1,IF(OR(B2129&lt;&gt;B2128,A2129-A2128&gt;$U$1),1,""))&lt;&gt;1,"",IF(C2129="B01",1965,IF(C2129="B02",1020,IF(C2129="B05",2400,IF(C2129="B03",4260,IF(C2129="B04",2880,IF(C2129="B20",1260,0)))))))</f>
        <v>2400</v>
      </c>
      <c r="F2129" s="8">
        <f>IF(IF(D2129&lt;&gt;D2128,1,IF(OR(B2129&lt;&gt;B2128,A2129-A2128&gt;$U$1),1,""))&lt;&gt;1,"",IF(C2129="B01",1,IF(C2129="B05",1,IF(C2129="B03",1,IF(C2129="B04",1,IF(C2129="B20",1,IF(C2129="B02",1,0)))))))</f>
        <v>1</v>
      </c>
      <c r="G2129"/>
      <c r="H2129" s="2"/>
      <c r="I2129" s="2"/>
      <c r="L2129"/>
      <c r="R2129"/>
    </row>
    <row r="2130" spans="1:18">
      <c r="A2130" s="3">
        <v>45781.067754629628</v>
      </c>
      <c r="B2130" s="2" t="s">
        <v>28</v>
      </c>
      <c r="C2130" s="2" t="s">
        <v>11</v>
      </c>
      <c r="D2130" s="6" t="str">
        <f>CONCATENATE(YEAR(A2130),"/",IF(MONTH(A2130)&lt;10,CONCATENATE("0",MONTH(A2130)),MONTH(A2130)))</f>
        <v>2025/05</v>
      </c>
      <c r="E2130" s="8" t="str">
        <f>IF(IF(D2130&lt;&gt;D2129,1,IF(OR(B2130&lt;&gt;B2129,A2130-A2129&gt;$U$1),1,""))&lt;&gt;1,"",IF(C2130="B01",1965,IF(C2130="B02",1020,IF(C2130="B05",2400,IF(C2130="B03",4260,IF(C2130="B04",2880,IF(C2130="B20",1260,0)))))))</f>
        <v/>
      </c>
      <c r="F2130" s="8" t="str">
        <f>IF(IF(D2130&lt;&gt;D2129,1,IF(OR(B2130&lt;&gt;B2129,A2130-A2129&gt;$U$1),1,""))&lt;&gt;1,"",IF(C2130="B01",1,IF(C2130="B05",1,IF(C2130="B03",1,IF(C2130="B04",1,IF(C2130="B20",1,IF(C2130="B02",1,0)))))))</f>
        <v/>
      </c>
      <c r="G2130"/>
      <c r="H2130" s="2"/>
      <c r="I2130" s="2"/>
      <c r="L2130"/>
      <c r="R2130"/>
    </row>
    <row r="2131" spans="1:18">
      <c r="A2131" s="3">
        <v>45781.338993055557</v>
      </c>
      <c r="B2131" s="2" t="s">
        <v>28</v>
      </c>
      <c r="C2131" s="2" t="s">
        <v>11</v>
      </c>
      <c r="D2131" s="6" t="str">
        <f>CONCATENATE(YEAR(A2131),"/",IF(MONTH(A2131)&lt;10,CONCATENATE("0",MONTH(A2131)),MONTH(A2131)))</f>
        <v>2025/05</v>
      </c>
      <c r="E2131" s="8">
        <f>IF(IF(D2131&lt;&gt;D2130,1,IF(OR(B2131&lt;&gt;B2130,A2131-A2130&gt;$U$1),1,""))&lt;&gt;1,"",IF(C2131="B01",1965,IF(C2131="B02",1020,IF(C2131="B05",2400,IF(C2131="B03",4260,IF(C2131="B04",2880,IF(C2131="B20",1260,0)))))))</f>
        <v>2400</v>
      </c>
      <c r="F2131" s="8">
        <f>IF(IF(D2131&lt;&gt;D2130,1,IF(OR(B2131&lt;&gt;B2130,A2131-A2130&gt;$U$1),1,""))&lt;&gt;1,"",IF(C2131="B01",1,IF(C2131="B05",1,IF(C2131="B03",1,IF(C2131="B04",1,IF(C2131="B20",1,IF(C2131="B02",1,0)))))))</f>
        <v>1</v>
      </c>
      <c r="G2131"/>
      <c r="H2131" s="2"/>
      <c r="I2131" s="2"/>
      <c r="L2131"/>
      <c r="R2131"/>
    </row>
    <row r="2132" spans="1:18">
      <c r="A2132" s="3">
        <v>45781.338993055557</v>
      </c>
      <c r="B2132" s="2" t="s">
        <v>28</v>
      </c>
      <c r="C2132" s="2" t="s">
        <v>11</v>
      </c>
      <c r="D2132" s="6" t="str">
        <f>CONCATENATE(YEAR(A2132),"/",IF(MONTH(A2132)&lt;10,CONCATENATE("0",MONTH(A2132)),MONTH(A2132)))</f>
        <v>2025/05</v>
      </c>
      <c r="E2132" s="8" t="str">
        <f>IF(IF(D2132&lt;&gt;D2131,1,IF(OR(B2132&lt;&gt;B2131,A2132-A2131&gt;$U$1),1,""))&lt;&gt;1,"",IF(C2132="B01",1965,IF(C2132="B02",1020,IF(C2132="B05",2400,IF(C2132="B03",4260,IF(C2132="B04",2880,IF(C2132="B20",1260,0)))))))</f>
        <v/>
      </c>
      <c r="F2132" s="8" t="str">
        <f>IF(IF(D2132&lt;&gt;D2131,1,IF(OR(B2132&lt;&gt;B2131,A2132-A2131&gt;$U$1),1,""))&lt;&gt;1,"",IF(C2132="B01",1,IF(C2132="B05",1,IF(C2132="B03",1,IF(C2132="B04",1,IF(C2132="B20",1,IF(C2132="B02",1,0)))))))</f>
        <v/>
      </c>
      <c r="G2132"/>
      <c r="H2132" s="2"/>
      <c r="I2132" s="2"/>
      <c r="L2132"/>
      <c r="R2132"/>
    </row>
    <row r="2133" spans="1:18">
      <c r="A2133" s="3">
        <v>45781.338993055557</v>
      </c>
      <c r="B2133" s="2" t="s">
        <v>28</v>
      </c>
      <c r="C2133" s="2" t="s">
        <v>11</v>
      </c>
      <c r="D2133" s="6" t="str">
        <f>CONCATENATE(YEAR(A2133),"/",IF(MONTH(A2133)&lt;10,CONCATENATE("0",MONTH(A2133)),MONTH(A2133)))</f>
        <v>2025/05</v>
      </c>
      <c r="E2133" s="8" t="str">
        <f>IF(IF(D2133&lt;&gt;D2132,1,IF(OR(B2133&lt;&gt;B2132,A2133-A2132&gt;$U$1),1,""))&lt;&gt;1,"",IF(C2133="B01",1965,IF(C2133="B02",1020,IF(C2133="B05",2400,IF(C2133="B03",4260,IF(C2133="B04",2880,IF(C2133="B20",1260,0)))))))</f>
        <v/>
      </c>
      <c r="F2133" s="8" t="str">
        <f>IF(IF(D2133&lt;&gt;D2132,1,IF(OR(B2133&lt;&gt;B2132,A2133-A2132&gt;$U$1),1,""))&lt;&gt;1,"",IF(C2133="B01",1,IF(C2133="B05",1,IF(C2133="B03",1,IF(C2133="B04",1,IF(C2133="B20",1,IF(C2133="B02",1,0)))))))</f>
        <v/>
      </c>
      <c r="G2133"/>
      <c r="H2133" s="2"/>
      <c r="I2133" s="2"/>
      <c r="L2133"/>
      <c r="R2133"/>
    </row>
    <row r="2134" spans="1:18">
      <c r="A2134" s="3">
        <v>45781.494074074071</v>
      </c>
      <c r="B2134" s="2" t="s">
        <v>28</v>
      </c>
      <c r="C2134" s="2" t="s">
        <v>11</v>
      </c>
      <c r="D2134" s="6" t="str">
        <f>CONCATENATE(YEAR(A2134),"/",IF(MONTH(A2134)&lt;10,CONCATENATE("0",MONTH(A2134)),MONTH(A2134)))</f>
        <v>2025/05</v>
      </c>
      <c r="E2134" s="8">
        <f>IF(IF(D2134&lt;&gt;D2133,1,IF(OR(B2134&lt;&gt;B2133,A2134-A2133&gt;$U$1),1,""))&lt;&gt;1,"",IF(C2134="B01",1965,IF(C2134="B02",1020,IF(C2134="B05",2400,IF(C2134="B03",4260,IF(C2134="B04",2880,IF(C2134="B20",1260,0)))))))</f>
        <v>2400</v>
      </c>
      <c r="F2134" s="8">
        <f>IF(IF(D2134&lt;&gt;D2133,1,IF(OR(B2134&lt;&gt;B2133,A2134-A2133&gt;$U$1),1,""))&lt;&gt;1,"",IF(C2134="B01",1,IF(C2134="B05",1,IF(C2134="B03",1,IF(C2134="B04",1,IF(C2134="B20",1,IF(C2134="B02",1,0)))))))</f>
        <v>1</v>
      </c>
      <c r="G2134"/>
      <c r="H2134" s="2"/>
      <c r="I2134" s="2"/>
      <c r="L2134"/>
      <c r="R2134"/>
    </row>
    <row r="2135" spans="1:18">
      <c r="A2135" s="3">
        <v>45781.494074074071</v>
      </c>
      <c r="B2135" s="2" t="s">
        <v>28</v>
      </c>
      <c r="C2135" s="2" t="s">
        <v>11</v>
      </c>
      <c r="D2135" s="6" t="str">
        <f>CONCATENATE(YEAR(A2135),"/",IF(MONTH(A2135)&lt;10,CONCATENATE("0",MONTH(A2135)),MONTH(A2135)))</f>
        <v>2025/05</v>
      </c>
      <c r="E2135" s="8" t="str">
        <f>IF(IF(D2135&lt;&gt;D2134,1,IF(OR(B2135&lt;&gt;B2134,A2135-A2134&gt;$U$1),1,""))&lt;&gt;1,"",IF(C2135="B01",1965,IF(C2135="B02",1020,IF(C2135="B05",2400,IF(C2135="B03",4260,IF(C2135="B04",2880,IF(C2135="B20",1260,0)))))))</f>
        <v/>
      </c>
      <c r="F2135" s="8" t="str">
        <f>IF(IF(D2135&lt;&gt;D2134,1,IF(OR(B2135&lt;&gt;B2134,A2135-A2134&gt;$U$1),1,""))&lt;&gt;1,"",IF(C2135="B01",1,IF(C2135="B05",1,IF(C2135="B03",1,IF(C2135="B04",1,IF(C2135="B20",1,IF(C2135="B02",1,0)))))))</f>
        <v/>
      </c>
      <c r="G2135"/>
      <c r="H2135" s="2"/>
      <c r="I2135" s="2"/>
      <c r="L2135"/>
      <c r="R2135"/>
    </row>
    <row r="2136" spans="1:18">
      <c r="A2136" s="3">
        <v>45781.494074074071</v>
      </c>
      <c r="B2136" s="2" t="s">
        <v>28</v>
      </c>
      <c r="C2136" s="2" t="s">
        <v>11</v>
      </c>
      <c r="D2136" s="6" t="str">
        <f>CONCATENATE(YEAR(A2136),"/",IF(MONTH(A2136)&lt;10,CONCATENATE("0",MONTH(A2136)),MONTH(A2136)))</f>
        <v>2025/05</v>
      </c>
      <c r="E2136" s="8" t="str">
        <f>IF(IF(D2136&lt;&gt;D2135,1,IF(OR(B2136&lt;&gt;B2135,A2136-A2135&gt;$U$1),1,""))&lt;&gt;1,"",IF(C2136="B01",1965,IF(C2136="B02",1020,IF(C2136="B05",2400,IF(C2136="B03",4260,IF(C2136="B04",2880,IF(C2136="B20",1260,0)))))))</f>
        <v/>
      </c>
      <c r="F2136" s="8" t="str">
        <f>IF(IF(D2136&lt;&gt;D2135,1,IF(OR(B2136&lt;&gt;B2135,A2136-A2135&gt;$U$1),1,""))&lt;&gt;1,"",IF(C2136="B01",1,IF(C2136="B05",1,IF(C2136="B03",1,IF(C2136="B04",1,IF(C2136="B20",1,IF(C2136="B02",1,0)))))))</f>
        <v/>
      </c>
      <c r="G2136"/>
      <c r="H2136" s="2"/>
      <c r="I2136" s="2"/>
      <c r="L2136"/>
      <c r="R2136"/>
    </row>
    <row r="2137" spans="1:18">
      <c r="A2137" s="3">
        <v>45781.824363425927</v>
      </c>
      <c r="B2137" s="2" t="s">
        <v>28</v>
      </c>
      <c r="C2137" s="2" t="s">
        <v>11</v>
      </c>
      <c r="D2137" s="6" t="str">
        <f>CONCATENATE(YEAR(A2137),"/",IF(MONTH(A2137)&lt;10,CONCATENATE("0",MONTH(A2137)),MONTH(A2137)))</f>
        <v>2025/05</v>
      </c>
      <c r="E2137" s="8">
        <f>IF(IF(D2137&lt;&gt;D2136,1,IF(OR(B2137&lt;&gt;B2136,A2137-A2136&gt;$U$1),1,""))&lt;&gt;1,"",IF(C2137="B01",1965,IF(C2137="B02",1020,IF(C2137="B05",2400,IF(C2137="B03",4260,IF(C2137="B04",2880,IF(C2137="B20",1260,0)))))))</f>
        <v>2400</v>
      </c>
      <c r="F2137" s="8">
        <f>IF(IF(D2137&lt;&gt;D2136,1,IF(OR(B2137&lt;&gt;B2136,A2137-A2136&gt;$U$1),1,""))&lt;&gt;1,"",IF(C2137="B01",1,IF(C2137="B05",1,IF(C2137="B03",1,IF(C2137="B04",1,IF(C2137="B20",1,IF(C2137="B02",1,0)))))))</f>
        <v>1</v>
      </c>
      <c r="G2137"/>
      <c r="H2137" s="2"/>
      <c r="I2137" s="2"/>
      <c r="L2137"/>
      <c r="R2137"/>
    </row>
    <row r="2138" spans="1:18">
      <c r="A2138" s="3">
        <v>45781.824363425927</v>
      </c>
      <c r="B2138" s="2" t="s">
        <v>28</v>
      </c>
      <c r="C2138" s="2" t="s">
        <v>11</v>
      </c>
      <c r="D2138" s="6" t="str">
        <f>CONCATENATE(YEAR(A2138),"/",IF(MONTH(A2138)&lt;10,CONCATENATE("0",MONTH(A2138)),MONTH(A2138)))</f>
        <v>2025/05</v>
      </c>
      <c r="E2138" s="8" t="str">
        <f>IF(IF(D2138&lt;&gt;D2137,1,IF(OR(B2138&lt;&gt;B2137,A2138-A2137&gt;$U$1),1,""))&lt;&gt;1,"",IF(C2138="B01",1965,IF(C2138="B02",1020,IF(C2138="B05",2400,IF(C2138="B03",4260,IF(C2138="B04",2880,IF(C2138="B20",1260,0)))))))</f>
        <v/>
      </c>
      <c r="F2138" s="8" t="str">
        <f>IF(IF(D2138&lt;&gt;D2137,1,IF(OR(B2138&lt;&gt;B2137,A2138-A2137&gt;$U$1),1,""))&lt;&gt;1,"",IF(C2138="B01",1,IF(C2138="B05",1,IF(C2138="B03",1,IF(C2138="B04",1,IF(C2138="B20",1,IF(C2138="B02",1,0)))))))</f>
        <v/>
      </c>
      <c r="G2138"/>
      <c r="H2138" s="2"/>
      <c r="I2138" s="2"/>
      <c r="L2138"/>
      <c r="R2138"/>
    </row>
    <row r="2139" spans="1:18">
      <c r="A2139" s="3">
        <v>45781.984606481485</v>
      </c>
      <c r="B2139" s="2" t="s">
        <v>28</v>
      </c>
      <c r="C2139" s="2" t="s">
        <v>11</v>
      </c>
      <c r="D2139" s="6" t="str">
        <f>CONCATENATE(YEAR(A2139),"/",IF(MONTH(A2139)&lt;10,CONCATENATE("0",MONTH(A2139)),MONTH(A2139)))</f>
        <v>2025/05</v>
      </c>
      <c r="E2139" s="8">
        <f>IF(IF(D2139&lt;&gt;D2138,1,IF(OR(B2139&lt;&gt;B2138,A2139-A2138&gt;$U$1),1,""))&lt;&gt;1,"",IF(C2139="B01",1965,IF(C2139="B02",1020,IF(C2139="B05",2400,IF(C2139="B03",4260,IF(C2139="B04",2880,IF(C2139="B20",1260,0)))))))</f>
        <v>2400</v>
      </c>
      <c r="F2139" s="8">
        <f>IF(IF(D2139&lt;&gt;D2138,1,IF(OR(B2139&lt;&gt;B2138,A2139-A2138&gt;$U$1),1,""))&lt;&gt;1,"",IF(C2139="B01",1,IF(C2139="B05",1,IF(C2139="B03",1,IF(C2139="B04",1,IF(C2139="B20",1,IF(C2139="B02",1,0)))))))</f>
        <v>1</v>
      </c>
      <c r="G2139"/>
      <c r="H2139" s="2"/>
      <c r="I2139" s="2"/>
      <c r="L2139"/>
      <c r="R2139"/>
    </row>
    <row r="2140" spans="1:18">
      <c r="A2140" s="3">
        <v>45781.984606481485</v>
      </c>
      <c r="B2140" s="2" t="s">
        <v>28</v>
      </c>
      <c r="C2140" s="2" t="s">
        <v>11</v>
      </c>
      <c r="D2140" s="6" t="str">
        <f>CONCATENATE(YEAR(A2140),"/",IF(MONTH(A2140)&lt;10,CONCATENATE("0",MONTH(A2140)),MONTH(A2140)))</f>
        <v>2025/05</v>
      </c>
      <c r="E2140" s="8" t="str">
        <f>IF(IF(D2140&lt;&gt;D2139,1,IF(OR(B2140&lt;&gt;B2139,A2140-A2139&gt;$U$1),1,""))&lt;&gt;1,"",IF(C2140="B01",1965,IF(C2140="B02",1020,IF(C2140="B05",2400,IF(C2140="B03",4260,IF(C2140="B04",2880,IF(C2140="B20",1260,0)))))))</f>
        <v/>
      </c>
      <c r="F2140" s="8" t="str">
        <f>IF(IF(D2140&lt;&gt;D2139,1,IF(OR(B2140&lt;&gt;B2139,A2140-A2139&gt;$U$1),1,""))&lt;&gt;1,"",IF(C2140="B01",1,IF(C2140="B05",1,IF(C2140="B03",1,IF(C2140="B04",1,IF(C2140="B20",1,IF(C2140="B02",1,0)))))))</f>
        <v/>
      </c>
      <c r="G2140"/>
      <c r="H2140" s="2"/>
      <c r="I2140" s="2"/>
      <c r="L2140"/>
      <c r="R2140"/>
    </row>
    <row r="2141" spans="1:18">
      <c r="A2141" s="3">
        <v>45782.394317129627</v>
      </c>
      <c r="B2141" s="2" t="s">
        <v>28</v>
      </c>
      <c r="C2141" s="2" t="s">
        <v>11</v>
      </c>
      <c r="D2141" s="6" t="str">
        <f>CONCATENATE(YEAR(A2141),"/",IF(MONTH(A2141)&lt;10,CONCATENATE("0",MONTH(A2141)),MONTH(A2141)))</f>
        <v>2025/05</v>
      </c>
      <c r="E2141" s="8">
        <f>IF(IF(D2141&lt;&gt;D2140,1,IF(OR(B2141&lt;&gt;B2140,A2141-A2140&gt;$U$1),1,""))&lt;&gt;1,"",IF(C2141="B01",1965,IF(C2141="B02",1020,IF(C2141="B05",2400,IF(C2141="B03",4260,IF(C2141="B04",2880,IF(C2141="B20",1260,0)))))))</f>
        <v>2400</v>
      </c>
      <c r="F2141" s="8">
        <f>IF(IF(D2141&lt;&gt;D2140,1,IF(OR(B2141&lt;&gt;B2140,A2141-A2140&gt;$U$1),1,""))&lt;&gt;1,"",IF(C2141="B01",1,IF(C2141="B05",1,IF(C2141="B03",1,IF(C2141="B04",1,IF(C2141="B20",1,IF(C2141="B02",1,0)))))))</f>
        <v>1</v>
      </c>
      <c r="G2141"/>
      <c r="H2141" s="2"/>
      <c r="I2141" s="2"/>
      <c r="L2141"/>
      <c r="R2141"/>
    </row>
    <row r="2142" spans="1:18">
      <c r="A2142" s="3">
        <v>45782.394317129627</v>
      </c>
      <c r="B2142" s="2" t="s">
        <v>28</v>
      </c>
      <c r="C2142" s="2" t="s">
        <v>11</v>
      </c>
      <c r="D2142" s="6" t="str">
        <f>CONCATENATE(YEAR(A2142),"/",IF(MONTH(A2142)&lt;10,CONCATENATE("0",MONTH(A2142)),MONTH(A2142)))</f>
        <v>2025/05</v>
      </c>
      <c r="E2142" s="8" t="str">
        <f>IF(IF(D2142&lt;&gt;D2141,1,IF(OR(B2142&lt;&gt;B2141,A2142-A2141&gt;$U$1),1,""))&lt;&gt;1,"",IF(C2142="B01",1965,IF(C2142="B02",1020,IF(C2142="B05",2400,IF(C2142="B03",4260,IF(C2142="B04",2880,IF(C2142="B20",1260,0)))))))</f>
        <v/>
      </c>
      <c r="F2142" s="8" t="str">
        <f>IF(IF(D2142&lt;&gt;D2141,1,IF(OR(B2142&lt;&gt;B2141,A2142-A2141&gt;$U$1),1,""))&lt;&gt;1,"",IF(C2142="B01",1,IF(C2142="B05",1,IF(C2142="B03",1,IF(C2142="B04",1,IF(C2142="B20",1,IF(C2142="B02",1,0)))))))</f>
        <v/>
      </c>
      <c r="G2142"/>
      <c r="H2142" s="2"/>
      <c r="I2142" s="2"/>
      <c r="L2142"/>
      <c r="R2142"/>
    </row>
    <row r="2143" spans="1:18">
      <c r="A2143" s="3">
        <v>45782.394317129627</v>
      </c>
      <c r="B2143" s="2" t="s">
        <v>28</v>
      </c>
      <c r="C2143" s="2" t="s">
        <v>11</v>
      </c>
      <c r="D2143" s="6" t="str">
        <f>CONCATENATE(YEAR(A2143),"/",IF(MONTH(A2143)&lt;10,CONCATENATE("0",MONTH(A2143)),MONTH(A2143)))</f>
        <v>2025/05</v>
      </c>
      <c r="E2143" s="8" t="str">
        <f>IF(IF(D2143&lt;&gt;D2142,1,IF(OR(B2143&lt;&gt;B2142,A2143-A2142&gt;$U$1),1,""))&lt;&gt;1,"",IF(C2143="B01",1965,IF(C2143="B02",1020,IF(C2143="B05",2400,IF(C2143="B03",4260,IF(C2143="B04",2880,IF(C2143="B20",1260,0)))))))</f>
        <v/>
      </c>
      <c r="F2143" s="8" t="str">
        <f>IF(IF(D2143&lt;&gt;D2142,1,IF(OR(B2143&lt;&gt;B2142,A2143-A2142&gt;$U$1),1,""))&lt;&gt;1,"",IF(C2143="B01",1,IF(C2143="B05",1,IF(C2143="B03",1,IF(C2143="B04",1,IF(C2143="B20",1,IF(C2143="B02",1,0)))))))</f>
        <v/>
      </c>
      <c r="G2143"/>
      <c r="H2143" s="2"/>
      <c r="I2143" s="2"/>
      <c r="L2143"/>
      <c r="R2143"/>
    </row>
    <row r="2144" spans="1:18">
      <c r="A2144" s="3">
        <v>45782.394317129627</v>
      </c>
      <c r="B2144" s="2" t="s">
        <v>28</v>
      </c>
      <c r="C2144" s="2" t="s">
        <v>11</v>
      </c>
      <c r="D2144" s="6" t="str">
        <f>CONCATENATE(YEAR(A2144),"/",IF(MONTH(A2144)&lt;10,CONCATENATE("0",MONTH(A2144)),MONTH(A2144)))</f>
        <v>2025/05</v>
      </c>
      <c r="E2144" s="8" t="str">
        <f>IF(IF(D2144&lt;&gt;D2143,1,IF(OR(B2144&lt;&gt;B2143,A2144-A2143&gt;$U$1),1,""))&lt;&gt;1,"",IF(C2144="B01",1965,IF(C2144="B02",1020,IF(C2144="B05",2400,IF(C2144="B03",4260,IF(C2144="B04",2880,IF(C2144="B20",1260,0)))))))</f>
        <v/>
      </c>
      <c r="F2144" s="8" t="str">
        <f>IF(IF(D2144&lt;&gt;D2143,1,IF(OR(B2144&lt;&gt;B2143,A2144-A2143&gt;$U$1),1,""))&lt;&gt;1,"",IF(C2144="B01",1,IF(C2144="B05",1,IF(C2144="B03",1,IF(C2144="B04",1,IF(C2144="B20",1,IF(C2144="B02",1,0)))))))</f>
        <v/>
      </c>
      <c r="G2144"/>
      <c r="H2144" s="2"/>
      <c r="I2144" s="2"/>
      <c r="L2144"/>
      <c r="R2144"/>
    </row>
    <row r="2145" spans="1:18">
      <c r="A2145" s="3">
        <v>45782.511377314811</v>
      </c>
      <c r="B2145" s="2" t="s">
        <v>28</v>
      </c>
      <c r="C2145" s="2" t="s">
        <v>11</v>
      </c>
      <c r="D2145" s="6" t="str">
        <f>CONCATENATE(YEAR(A2145),"/",IF(MONTH(A2145)&lt;10,CONCATENATE("0",MONTH(A2145)),MONTH(A2145)))</f>
        <v>2025/05</v>
      </c>
      <c r="E2145" s="8">
        <f>IF(IF(D2145&lt;&gt;D2144,1,IF(OR(B2145&lt;&gt;B2144,A2145-A2144&gt;$U$1),1,""))&lt;&gt;1,"",IF(C2145="B01",1965,IF(C2145="B02",1020,IF(C2145="B05",2400,IF(C2145="B03",4260,IF(C2145="B04",2880,IF(C2145="B20",1260,0)))))))</f>
        <v>2400</v>
      </c>
      <c r="F2145" s="8">
        <f>IF(IF(D2145&lt;&gt;D2144,1,IF(OR(B2145&lt;&gt;B2144,A2145-A2144&gt;$U$1),1,""))&lt;&gt;1,"",IF(C2145="B01",1,IF(C2145="B05",1,IF(C2145="B03",1,IF(C2145="B04",1,IF(C2145="B20",1,IF(C2145="B02",1,0)))))))</f>
        <v>1</v>
      </c>
      <c r="G2145"/>
      <c r="H2145" s="2"/>
      <c r="I2145" s="2"/>
      <c r="L2145"/>
      <c r="R2145"/>
    </row>
    <row r="2146" spans="1:18">
      <c r="A2146" s="3">
        <v>45782.511377314811</v>
      </c>
      <c r="B2146" s="2" t="s">
        <v>28</v>
      </c>
      <c r="C2146" s="2" t="s">
        <v>11</v>
      </c>
      <c r="D2146" s="6" t="str">
        <f>CONCATENATE(YEAR(A2146),"/",IF(MONTH(A2146)&lt;10,CONCATENATE("0",MONTH(A2146)),MONTH(A2146)))</f>
        <v>2025/05</v>
      </c>
      <c r="E2146" s="8" t="str">
        <f>IF(IF(D2146&lt;&gt;D2145,1,IF(OR(B2146&lt;&gt;B2145,A2146-A2145&gt;$U$1),1,""))&lt;&gt;1,"",IF(C2146="B01",1965,IF(C2146="B02",1020,IF(C2146="B05",2400,IF(C2146="B03",4260,IF(C2146="B04",2880,IF(C2146="B20",1260,0)))))))</f>
        <v/>
      </c>
      <c r="F2146" s="8" t="str">
        <f>IF(IF(D2146&lt;&gt;D2145,1,IF(OR(B2146&lt;&gt;B2145,A2146-A2145&gt;$U$1),1,""))&lt;&gt;1,"",IF(C2146="B01",1,IF(C2146="B05",1,IF(C2146="B03",1,IF(C2146="B04",1,IF(C2146="B20",1,IF(C2146="B02",1,0)))))))</f>
        <v/>
      </c>
      <c r="G2146"/>
      <c r="H2146" s="2"/>
      <c r="I2146" s="2"/>
      <c r="L2146"/>
      <c r="R2146"/>
    </row>
    <row r="2147" spans="1:18">
      <c r="A2147" s="3">
        <v>45782.511377314811</v>
      </c>
      <c r="B2147" s="2" t="s">
        <v>28</v>
      </c>
      <c r="C2147" s="2" t="s">
        <v>11</v>
      </c>
      <c r="D2147" s="6" t="str">
        <f>CONCATENATE(YEAR(A2147),"/",IF(MONTH(A2147)&lt;10,CONCATENATE("0",MONTH(A2147)),MONTH(A2147)))</f>
        <v>2025/05</v>
      </c>
      <c r="E2147" s="8" t="str">
        <f>IF(IF(D2147&lt;&gt;D2146,1,IF(OR(B2147&lt;&gt;B2146,A2147-A2146&gt;$U$1),1,""))&lt;&gt;1,"",IF(C2147="B01",1965,IF(C2147="B02",1020,IF(C2147="B05",2400,IF(C2147="B03",4260,IF(C2147="B04",2880,IF(C2147="B20",1260,0)))))))</f>
        <v/>
      </c>
      <c r="F2147" s="8" t="str">
        <f>IF(IF(D2147&lt;&gt;D2146,1,IF(OR(B2147&lt;&gt;B2146,A2147-A2146&gt;$U$1),1,""))&lt;&gt;1,"",IF(C2147="B01",1,IF(C2147="B05",1,IF(C2147="B03",1,IF(C2147="B04",1,IF(C2147="B20",1,IF(C2147="B02",1,0)))))))</f>
        <v/>
      </c>
      <c r="G2147"/>
      <c r="H2147" s="2"/>
      <c r="I2147" s="2"/>
      <c r="L2147"/>
      <c r="R2147"/>
    </row>
    <row r="2148" spans="1:18">
      <c r="A2148" s="3">
        <v>45782.668113425927</v>
      </c>
      <c r="B2148" s="2" t="s">
        <v>28</v>
      </c>
      <c r="C2148" s="2" t="s">
        <v>11</v>
      </c>
      <c r="D2148" s="6" t="str">
        <f>CONCATENATE(YEAR(A2148),"/",IF(MONTH(A2148)&lt;10,CONCATENATE("0",MONTH(A2148)),MONTH(A2148)))</f>
        <v>2025/05</v>
      </c>
      <c r="E2148" s="8">
        <f>IF(IF(D2148&lt;&gt;D2147,1,IF(OR(B2148&lt;&gt;B2147,A2148-A2147&gt;$U$1),1,""))&lt;&gt;1,"",IF(C2148="B01",1965,IF(C2148="B02",1020,IF(C2148="B05",2400,IF(C2148="B03",4260,IF(C2148="B04",2880,IF(C2148="B20",1260,0)))))))</f>
        <v>2400</v>
      </c>
      <c r="F2148" s="8">
        <f>IF(IF(D2148&lt;&gt;D2147,1,IF(OR(B2148&lt;&gt;B2147,A2148-A2147&gt;$U$1),1,""))&lt;&gt;1,"",IF(C2148="B01",1,IF(C2148="B05",1,IF(C2148="B03",1,IF(C2148="B04",1,IF(C2148="B20",1,IF(C2148="B02",1,0)))))))</f>
        <v>1</v>
      </c>
      <c r="G2148"/>
      <c r="H2148" s="2"/>
      <c r="I2148" s="2"/>
      <c r="L2148"/>
      <c r="R2148"/>
    </row>
    <row r="2149" spans="1:18">
      <c r="A2149" s="3">
        <v>45782.668113425927</v>
      </c>
      <c r="B2149" s="2" t="s">
        <v>28</v>
      </c>
      <c r="C2149" s="2" t="s">
        <v>11</v>
      </c>
      <c r="D2149" s="6" t="str">
        <f>CONCATENATE(YEAR(A2149),"/",IF(MONTH(A2149)&lt;10,CONCATENATE("0",MONTH(A2149)),MONTH(A2149)))</f>
        <v>2025/05</v>
      </c>
      <c r="E2149" s="8" t="str">
        <f>IF(IF(D2149&lt;&gt;D2148,1,IF(OR(B2149&lt;&gt;B2148,A2149-A2148&gt;$U$1),1,""))&lt;&gt;1,"",IF(C2149="B01",1965,IF(C2149="B02",1020,IF(C2149="B05",2400,IF(C2149="B03",4260,IF(C2149="B04",2880,IF(C2149="B20",1260,0)))))))</f>
        <v/>
      </c>
      <c r="F2149" s="8" t="str">
        <f>IF(IF(D2149&lt;&gt;D2148,1,IF(OR(B2149&lt;&gt;B2148,A2149-A2148&gt;$U$1),1,""))&lt;&gt;1,"",IF(C2149="B01",1,IF(C2149="B05",1,IF(C2149="B03",1,IF(C2149="B04",1,IF(C2149="B20",1,IF(C2149="B02",1,0)))))))</f>
        <v/>
      </c>
      <c r="G2149"/>
      <c r="H2149" s="2"/>
      <c r="I2149" s="2"/>
      <c r="L2149"/>
      <c r="R2149"/>
    </row>
    <row r="2150" spans="1:18">
      <c r="A2150" s="3">
        <v>45782.668113425927</v>
      </c>
      <c r="B2150" s="2" t="s">
        <v>28</v>
      </c>
      <c r="C2150" s="2" t="s">
        <v>11</v>
      </c>
      <c r="D2150" s="6" t="str">
        <f>CONCATENATE(YEAR(A2150),"/",IF(MONTH(A2150)&lt;10,CONCATENATE("0",MONTH(A2150)),MONTH(A2150)))</f>
        <v>2025/05</v>
      </c>
      <c r="E2150" s="8" t="str">
        <f>IF(IF(D2150&lt;&gt;D2149,1,IF(OR(B2150&lt;&gt;B2149,A2150-A2149&gt;$U$1),1,""))&lt;&gt;1,"",IF(C2150="B01",1965,IF(C2150="B02",1020,IF(C2150="B05",2400,IF(C2150="B03",4260,IF(C2150="B04",2880,IF(C2150="B20",1260,0)))))))</f>
        <v/>
      </c>
      <c r="F2150" s="8" t="str">
        <f>IF(IF(D2150&lt;&gt;D2149,1,IF(OR(B2150&lt;&gt;B2149,A2150-A2149&gt;$U$1),1,""))&lt;&gt;1,"",IF(C2150="B01",1,IF(C2150="B05",1,IF(C2150="B03",1,IF(C2150="B04",1,IF(C2150="B20",1,IF(C2150="B02",1,0)))))))</f>
        <v/>
      </c>
      <c r="G2150"/>
      <c r="H2150" s="2"/>
      <c r="I2150" s="2"/>
      <c r="L2150"/>
      <c r="R2150"/>
    </row>
    <row r="2151" spans="1:18">
      <c r="A2151" s="3">
        <v>45782.668113425927</v>
      </c>
      <c r="B2151" s="2" t="s">
        <v>28</v>
      </c>
      <c r="C2151" s="2" t="s">
        <v>11</v>
      </c>
      <c r="D2151" s="6" t="str">
        <f>CONCATENATE(YEAR(A2151),"/",IF(MONTH(A2151)&lt;10,CONCATENATE("0",MONTH(A2151)),MONTH(A2151)))</f>
        <v>2025/05</v>
      </c>
      <c r="E2151" s="8" t="str">
        <f>IF(IF(D2151&lt;&gt;D2150,1,IF(OR(B2151&lt;&gt;B2150,A2151-A2150&gt;$U$1),1,""))&lt;&gt;1,"",IF(C2151="B01",1965,IF(C2151="B02",1020,IF(C2151="B05",2400,IF(C2151="B03",4260,IF(C2151="B04",2880,IF(C2151="B20",1260,0)))))))</f>
        <v/>
      </c>
      <c r="F2151" s="8" t="str">
        <f>IF(IF(D2151&lt;&gt;D2150,1,IF(OR(B2151&lt;&gt;B2150,A2151-A2150&gt;$U$1),1,""))&lt;&gt;1,"",IF(C2151="B01",1,IF(C2151="B05",1,IF(C2151="B03",1,IF(C2151="B04",1,IF(C2151="B20",1,IF(C2151="B02",1,0)))))))</f>
        <v/>
      </c>
      <c r="G2151"/>
      <c r="H2151" s="2"/>
      <c r="I2151" s="2"/>
      <c r="L2151"/>
      <c r="R2151"/>
    </row>
    <row r="2152" spans="1:18">
      <c r="A2152" s="3">
        <v>45782.83315972222</v>
      </c>
      <c r="B2152" s="2" t="s">
        <v>28</v>
      </c>
      <c r="C2152" s="2" t="s">
        <v>11</v>
      </c>
      <c r="D2152" s="6" t="str">
        <f>CONCATENATE(YEAR(A2152),"/",IF(MONTH(A2152)&lt;10,CONCATENATE("0",MONTH(A2152)),MONTH(A2152)))</f>
        <v>2025/05</v>
      </c>
      <c r="E2152" s="8">
        <f>IF(IF(D2152&lt;&gt;D2151,1,IF(OR(B2152&lt;&gt;B2151,A2152-A2151&gt;$U$1),1,""))&lt;&gt;1,"",IF(C2152="B01",1965,IF(C2152="B02",1020,IF(C2152="B05",2400,IF(C2152="B03",4260,IF(C2152="B04",2880,IF(C2152="B20",1260,0)))))))</f>
        <v>2400</v>
      </c>
      <c r="F2152" s="8">
        <f>IF(IF(D2152&lt;&gt;D2151,1,IF(OR(B2152&lt;&gt;B2151,A2152-A2151&gt;$U$1),1,""))&lt;&gt;1,"",IF(C2152="B01",1,IF(C2152="B05",1,IF(C2152="B03",1,IF(C2152="B04",1,IF(C2152="B20",1,IF(C2152="B02",1,0)))))))</f>
        <v>1</v>
      </c>
      <c r="G2152"/>
      <c r="H2152" s="2"/>
      <c r="I2152" s="2"/>
      <c r="L2152"/>
      <c r="R2152"/>
    </row>
    <row r="2153" spans="1:18">
      <c r="A2153" s="3">
        <v>45782.83315972222</v>
      </c>
      <c r="B2153" s="2" t="s">
        <v>28</v>
      </c>
      <c r="C2153" s="2" t="s">
        <v>11</v>
      </c>
      <c r="D2153" s="6" t="str">
        <f>CONCATENATE(YEAR(A2153),"/",IF(MONTH(A2153)&lt;10,CONCATENATE("0",MONTH(A2153)),MONTH(A2153)))</f>
        <v>2025/05</v>
      </c>
      <c r="E2153" s="8" t="str">
        <f>IF(IF(D2153&lt;&gt;D2152,1,IF(OR(B2153&lt;&gt;B2152,A2153-A2152&gt;$U$1),1,""))&lt;&gt;1,"",IF(C2153="B01",1965,IF(C2153="B02",1020,IF(C2153="B05",2400,IF(C2153="B03",4260,IF(C2153="B04",2880,IF(C2153="B20",1260,0)))))))</f>
        <v/>
      </c>
      <c r="F2153" s="8" t="str">
        <f>IF(IF(D2153&lt;&gt;D2152,1,IF(OR(B2153&lt;&gt;B2152,A2153-A2152&gt;$U$1),1,""))&lt;&gt;1,"",IF(C2153="B01",1,IF(C2153="B05",1,IF(C2153="B03",1,IF(C2153="B04",1,IF(C2153="B20",1,IF(C2153="B02",1,0)))))))</f>
        <v/>
      </c>
      <c r="G2153"/>
      <c r="H2153" s="2"/>
      <c r="I2153" s="2"/>
      <c r="L2153"/>
      <c r="R2153"/>
    </row>
    <row r="2154" spans="1:18">
      <c r="A2154" s="3">
        <v>45783.129293981481</v>
      </c>
      <c r="B2154" s="2" t="s">
        <v>28</v>
      </c>
      <c r="C2154" s="2" t="s">
        <v>11</v>
      </c>
      <c r="D2154" s="6" t="str">
        <f>CONCATENATE(YEAR(A2154),"/",IF(MONTH(A2154)&lt;10,CONCATENATE("0",MONTH(A2154)),MONTH(A2154)))</f>
        <v>2025/05</v>
      </c>
      <c r="E2154" s="8">
        <f>IF(IF(D2154&lt;&gt;D2153,1,IF(OR(B2154&lt;&gt;B2153,A2154-A2153&gt;$U$1),1,""))&lt;&gt;1,"",IF(C2154="B01",1965,IF(C2154="B02",1020,IF(C2154="B05",2400,IF(C2154="B03",4260,IF(C2154="B04",2880,IF(C2154="B20",1260,0)))))))</f>
        <v>2400</v>
      </c>
      <c r="F2154" s="8">
        <f>IF(IF(D2154&lt;&gt;D2153,1,IF(OR(B2154&lt;&gt;B2153,A2154-A2153&gt;$U$1),1,""))&lt;&gt;1,"",IF(C2154="B01",1,IF(C2154="B05",1,IF(C2154="B03",1,IF(C2154="B04",1,IF(C2154="B20",1,IF(C2154="B02",1,0)))))))</f>
        <v>1</v>
      </c>
      <c r="G2154"/>
      <c r="H2154" s="2"/>
      <c r="I2154" s="2"/>
      <c r="L2154"/>
      <c r="R2154"/>
    </row>
    <row r="2155" spans="1:18">
      <c r="A2155" s="3">
        <v>45783.129293981481</v>
      </c>
      <c r="B2155" s="2" t="s">
        <v>28</v>
      </c>
      <c r="C2155" s="2" t="s">
        <v>11</v>
      </c>
      <c r="D2155" s="6" t="str">
        <f>CONCATENATE(YEAR(A2155),"/",IF(MONTH(A2155)&lt;10,CONCATENATE("0",MONTH(A2155)),MONTH(A2155)))</f>
        <v>2025/05</v>
      </c>
      <c r="E2155" s="8" t="str">
        <f>IF(IF(D2155&lt;&gt;D2154,1,IF(OR(B2155&lt;&gt;B2154,A2155-A2154&gt;$U$1),1,""))&lt;&gt;1,"",IF(C2155="B01",1965,IF(C2155="B02",1020,IF(C2155="B05",2400,IF(C2155="B03",4260,IF(C2155="B04",2880,IF(C2155="B20",1260,0)))))))</f>
        <v/>
      </c>
      <c r="F2155" s="8" t="str">
        <f>IF(IF(D2155&lt;&gt;D2154,1,IF(OR(B2155&lt;&gt;B2154,A2155-A2154&gt;$U$1),1,""))&lt;&gt;1,"",IF(C2155="B01",1,IF(C2155="B05",1,IF(C2155="B03",1,IF(C2155="B04",1,IF(C2155="B20",1,IF(C2155="B02",1,0)))))))</f>
        <v/>
      </c>
      <c r="G2155"/>
      <c r="H2155" s="2"/>
      <c r="I2155" s="2"/>
      <c r="L2155"/>
      <c r="R2155"/>
    </row>
    <row r="2156" spans="1:18">
      <c r="A2156" s="3">
        <v>45783.129293981481</v>
      </c>
      <c r="B2156" s="2" t="s">
        <v>28</v>
      </c>
      <c r="C2156" s="2" t="s">
        <v>11</v>
      </c>
      <c r="D2156" s="6" t="str">
        <f>CONCATENATE(YEAR(A2156),"/",IF(MONTH(A2156)&lt;10,CONCATENATE("0",MONTH(A2156)),MONTH(A2156)))</f>
        <v>2025/05</v>
      </c>
      <c r="E2156" s="8" t="str">
        <f>IF(IF(D2156&lt;&gt;D2155,1,IF(OR(B2156&lt;&gt;B2155,A2156-A2155&gt;$U$1),1,""))&lt;&gt;1,"",IF(C2156="B01",1965,IF(C2156="B02",1020,IF(C2156="B05",2400,IF(C2156="B03",4260,IF(C2156="B04",2880,IF(C2156="B20",1260,0)))))))</f>
        <v/>
      </c>
      <c r="F2156" s="8" t="str">
        <f>IF(IF(D2156&lt;&gt;D2155,1,IF(OR(B2156&lt;&gt;B2155,A2156-A2155&gt;$U$1),1,""))&lt;&gt;1,"",IF(C2156="B01",1,IF(C2156="B05",1,IF(C2156="B03",1,IF(C2156="B04",1,IF(C2156="B20",1,IF(C2156="B02",1,0)))))))</f>
        <v/>
      </c>
      <c r="G2156"/>
      <c r="H2156" s="2"/>
      <c r="I2156" s="2"/>
      <c r="L2156"/>
      <c r="R2156"/>
    </row>
    <row r="2157" spans="1:18">
      <c r="A2157" s="3">
        <v>45783.246261574073</v>
      </c>
      <c r="B2157" s="2" t="s">
        <v>28</v>
      </c>
      <c r="C2157" s="2" t="s">
        <v>39</v>
      </c>
      <c r="D2157" s="6" t="str">
        <f>CONCATENATE(YEAR(A2157),"/",IF(MONTH(A2157)&lt;10,CONCATENATE("0",MONTH(A2157)),MONTH(A2157)))</f>
        <v>2025/05</v>
      </c>
      <c r="E2157" s="8">
        <f>IF(IF(D2157&lt;&gt;D2156,1,IF(OR(B2157&lt;&gt;B2156,A2157-A2156&gt;$U$1),1,""))&lt;&gt;1,"",IF(C2157="B01",1965,IF(C2157="B02",1020,IF(C2157="B05",2400,IF(C2157="B03",4260,IF(C2157="B04",2880,IF(C2157="B20",1260,0)))))))</f>
        <v>1260</v>
      </c>
      <c r="F2157" s="8">
        <f>IF(IF(D2157&lt;&gt;D2156,1,IF(OR(B2157&lt;&gt;B2156,A2157-A2156&gt;$U$1),1,""))&lt;&gt;1,"",IF(C2157="B01",1,IF(C2157="B05",1,IF(C2157="B03",1,IF(C2157="B04",1,IF(C2157="B20",1,IF(C2157="B02",1,0)))))))</f>
        <v>1</v>
      </c>
      <c r="G2157"/>
      <c r="H2157" s="2"/>
      <c r="I2157" s="2"/>
      <c r="L2157"/>
      <c r="R2157"/>
    </row>
    <row r="2158" spans="1:18">
      <c r="A2158" s="3">
        <v>45783.246261574073</v>
      </c>
      <c r="B2158" s="2" t="s">
        <v>28</v>
      </c>
      <c r="C2158" s="2" t="s">
        <v>39</v>
      </c>
      <c r="D2158" s="6" t="str">
        <f>CONCATENATE(YEAR(A2158),"/",IF(MONTH(A2158)&lt;10,CONCATENATE("0",MONTH(A2158)),MONTH(A2158)))</f>
        <v>2025/05</v>
      </c>
      <c r="E2158" s="8" t="str">
        <f>IF(IF(D2158&lt;&gt;D2157,1,IF(OR(B2158&lt;&gt;B2157,A2158-A2157&gt;$U$1),1,""))&lt;&gt;1,"",IF(C2158="B01",1965,IF(C2158="B02",1020,IF(C2158="B05",2400,IF(C2158="B03",4260,IF(C2158="B04",2880,IF(C2158="B20",1260,0)))))))</f>
        <v/>
      </c>
      <c r="F2158" s="8" t="str">
        <f>IF(IF(D2158&lt;&gt;D2157,1,IF(OR(B2158&lt;&gt;B2157,A2158-A2157&gt;$U$1),1,""))&lt;&gt;1,"",IF(C2158="B01",1,IF(C2158="B05",1,IF(C2158="B03",1,IF(C2158="B04",1,IF(C2158="B20",1,IF(C2158="B02",1,0)))))))</f>
        <v/>
      </c>
      <c r="G2158"/>
      <c r="H2158" s="2"/>
      <c r="I2158" s="2"/>
      <c r="L2158"/>
      <c r="R2158"/>
    </row>
    <row r="2159" spans="1:18">
      <c r="A2159" s="3">
        <v>45783.406493055554</v>
      </c>
      <c r="B2159" s="2" t="s">
        <v>28</v>
      </c>
      <c r="C2159" s="2" t="s">
        <v>11</v>
      </c>
      <c r="D2159" s="6" t="str">
        <f>CONCATENATE(YEAR(A2159),"/",IF(MONTH(A2159)&lt;10,CONCATENATE("0",MONTH(A2159)),MONTH(A2159)))</f>
        <v>2025/05</v>
      </c>
      <c r="E2159" s="8">
        <f>IF(IF(D2159&lt;&gt;D2158,1,IF(OR(B2159&lt;&gt;B2158,A2159-A2158&gt;$U$1),1,""))&lt;&gt;1,"",IF(C2159="B01",1965,IF(C2159="B02",1020,IF(C2159="B05",2400,IF(C2159="B03",4260,IF(C2159="B04",2880,IF(C2159="B20",1260,0)))))))</f>
        <v>2400</v>
      </c>
      <c r="F2159" s="8">
        <f>IF(IF(D2159&lt;&gt;D2158,1,IF(OR(B2159&lt;&gt;B2158,A2159-A2158&gt;$U$1),1,""))&lt;&gt;1,"",IF(C2159="B01",1,IF(C2159="B05",1,IF(C2159="B03",1,IF(C2159="B04",1,IF(C2159="B20",1,IF(C2159="B02",1,0)))))))</f>
        <v>1</v>
      </c>
      <c r="G2159"/>
      <c r="H2159" s="2"/>
      <c r="I2159" s="2"/>
      <c r="L2159"/>
      <c r="R2159"/>
    </row>
    <row r="2160" spans="1:18">
      <c r="A2160" s="3">
        <v>45783.406493055554</v>
      </c>
      <c r="B2160" s="2" t="s">
        <v>28</v>
      </c>
      <c r="C2160" s="2" t="s">
        <v>11</v>
      </c>
      <c r="D2160" s="6" t="str">
        <f>CONCATENATE(YEAR(A2160),"/",IF(MONTH(A2160)&lt;10,CONCATENATE("0",MONTH(A2160)),MONTH(A2160)))</f>
        <v>2025/05</v>
      </c>
      <c r="E2160" s="8" t="str">
        <f>IF(IF(D2160&lt;&gt;D2159,1,IF(OR(B2160&lt;&gt;B2159,A2160-A2159&gt;$U$1),1,""))&lt;&gt;1,"",IF(C2160="B01",1965,IF(C2160="B02",1020,IF(C2160="B05",2400,IF(C2160="B03",4260,IF(C2160="B04",2880,IF(C2160="B20",1260,0)))))))</f>
        <v/>
      </c>
      <c r="F2160" s="8" t="str">
        <f>IF(IF(D2160&lt;&gt;D2159,1,IF(OR(B2160&lt;&gt;B2159,A2160-A2159&gt;$U$1),1,""))&lt;&gt;1,"",IF(C2160="B01",1,IF(C2160="B05",1,IF(C2160="B03",1,IF(C2160="B04",1,IF(C2160="B20",1,IF(C2160="B02",1,0)))))))</f>
        <v/>
      </c>
      <c r="G2160"/>
      <c r="H2160" s="2"/>
      <c r="I2160" s="2"/>
      <c r="L2160"/>
      <c r="R2160"/>
    </row>
    <row r="2161" spans="1:18">
      <c r="A2161" s="3">
        <v>45783.406493055554</v>
      </c>
      <c r="B2161" s="2" t="s">
        <v>28</v>
      </c>
      <c r="C2161" s="2" t="s">
        <v>11</v>
      </c>
      <c r="D2161" s="6" t="str">
        <f>CONCATENATE(YEAR(A2161),"/",IF(MONTH(A2161)&lt;10,CONCATENATE("0",MONTH(A2161)),MONTH(A2161)))</f>
        <v>2025/05</v>
      </c>
      <c r="E2161" s="8" t="str">
        <f>IF(IF(D2161&lt;&gt;D2160,1,IF(OR(B2161&lt;&gt;B2160,A2161-A2160&gt;$U$1),1,""))&lt;&gt;1,"",IF(C2161="B01",1965,IF(C2161="B02",1020,IF(C2161="B05",2400,IF(C2161="B03",4260,IF(C2161="B04",2880,IF(C2161="B20",1260,0)))))))</f>
        <v/>
      </c>
      <c r="F2161" s="8" t="str">
        <f>IF(IF(D2161&lt;&gt;D2160,1,IF(OR(B2161&lt;&gt;B2160,A2161-A2160&gt;$U$1),1,""))&lt;&gt;1,"",IF(C2161="B01",1,IF(C2161="B05",1,IF(C2161="B03",1,IF(C2161="B04",1,IF(C2161="B20",1,IF(C2161="B02",1,0)))))))</f>
        <v/>
      </c>
      <c r="G2161"/>
      <c r="H2161" s="2"/>
      <c r="I2161" s="2"/>
      <c r="L2161"/>
      <c r="R2161"/>
    </row>
    <row r="2162" spans="1:18">
      <c r="A2162" s="3">
        <v>45783.406493055554</v>
      </c>
      <c r="B2162" s="2" t="s">
        <v>28</v>
      </c>
      <c r="C2162" s="2" t="s">
        <v>11</v>
      </c>
      <c r="D2162" s="6" t="str">
        <f>CONCATENATE(YEAR(A2162),"/",IF(MONTH(A2162)&lt;10,CONCATENATE("0",MONTH(A2162)),MONTH(A2162)))</f>
        <v>2025/05</v>
      </c>
      <c r="E2162" s="8" t="str">
        <f>IF(IF(D2162&lt;&gt;D2161,1,IF(OR(B2162&lt;&gt;B2161,A2162-A2161&gt;$U$1),1,""))&lt;&gt;1,"",IF(C2162="B01",1965,IF(C2162="B02",1020,IF(C2162="B05",2400,IF(C2162="B03",4260,IF(C2162="B04",2880,IF(C2162="B20",1260,0)))))))</f>
        <v/>
      </c>
      <c r="F2162" s="8" t="str">
        <f>IF(IF(D2162&lt;&gt;D2161,1,IF(OR(B2162&lt;&gt;B2161,A2162-A2161&gt;$U$1),1,""))&lt;&gt;1,"",IF(C2162="B01",1,IF(C2162="B05",1,IF(C2162="B03",1,IF(C2162="B04",1,IF(C2162="B20",1,IF(C2162="B02",1,0)))))))</f>
        <v/>
      </c>
      <c r="G2162"/>
      <c r="H2162" s="2"/>
      <c r="I2162" s="2"/>
      <c r="L2162"/>
      <c r="R2162"/>
    </row>
    <row r="2163" spans="1:18">
      <c r="A2163" s="3">
        <v>45783.53020833333</v>
      </c>
      <c r="B2163" s="2" t="s">
        <v>28</v>
      </c>
      <c r="C2163" s="2" t="s">
        <v>11</v>
      </c>
      <c r="D2163" s="6" t="str">
        <f>CONCATENATE(YEAR(A2163),"/",IF(MONTH(A2163)&lt;10,CONCATENATE("0",MONTH(A2163)),MONTH(A2163)))</f>
        <v>2025/05</v>
      </c>
      <c r="E2163" s="8">
        <f>IF(IF(D2163&lt;&gt;D2162,1,IF(OR(B2163&lt;&gt;B2162,A2163-A2162&gt;$U$1),1,""))&lt;&gt;1,"",IF(C2163="B01",1965,IF(C2163="B02",1020,IF(C2163="B05",2400,IF(C2163="B03",4260,IF(C2163="B04",2880,IF(C2163="B20",1260,0)))))))</f>
        <v>2400</v>
      </c>
      <c r="F2163" s="8">
        <f>IF(IF(D2163&lt;&gt;D2162,1,IF(OR(B2163&lt;&gt;B2162,A2163-A2162&gt;$U$1),1,""))&lt;&gt;1,"",IF(C2163="B01",1,IF(C2163="B05",1,IF(C2163="B03",1,IF(C2163="B04",1,IF(C2163="B20",1,IF(C2163="B02",1,0)))))))</f>
        <v>1</v>
      </c>
      <c r="G2163"/>
      <c r="H2163" s="2"/>
      <c r="I2163" s="2"/>
      <c r="L2163"/>
      <c r="R2163"/>
    </row>
    <row r="2164" spans="1:18">
      <c r="A2164" s="3">
        <v>45783.53020833333</v>
      </c>
      <c r="B2164" s="2" t="s">
        <v>28</v>
      </c>
      <c r="C2164" s="2" t="s">
        <v>11</v>
      </c>
      <c r="D2164" s="6" t="str">
        <f>CONCATENATE(YEAR(A2164),"/",IF(MONTH(A2164)&lt;10,CONCATENATE("0",MONTH(A2164)),MONTH(A2164)))</f>
        <v>2025/05</v>
      </c>
      <c r="E2164" s="8" t="str">
        <f>IF(IF(D2164&lt;&gt;D2163,1,IF(OR(B2164&lt;&gt;B2163,A2164-A2163&gt;$U$1),1,""))&lt;&gt;1,"",IF(C2164="B01",1965,IF(C2164="B02",1020,IF(C2164="B05",2400,IF(C2164="B03",4260,IF(C2164="B04",2880,IF(C2164="B20",1260,0)))))))</f>
        <v/>
      </c>
      <c r="F2164" s="8" t="str">
        <f>IF(IF(D2164&lt;&gt;D2163,1,IF(OR(B2164&lt;&gt;B2163,A2164-A2163&gt;$U$1),1,""))&lt;&gt;1,"",IF(C2164="B01",1,IF(C2164="B05",1,IF(C2164="B03",1,IF(C2164="B04",1,IF(C2164="B20",1,IF(C2164="B02",1,0)))))))</f>
        <v/>
      </c>
      <c r="G2164"/>
      <c r="H2164" s="2"/>
      <c r="I2164" s="2"/>
      <c r="L2164"/>
      <c r="R2164"/>
    </row>
    <row r="2165" spans="1:18">
      <c r="A2165" s="3">
        <v>45783.669386574074</v>
      </c>
      <c r="B2165" s="2" t="s">
        <v>28</v>
      </c>
      <c r="C2165" s="2" t="s">
        <v>34</v>
      </c>
      <c r="D2165" s="6" t="str">
        <f>CONCATENATE(YEAR(A2165),"/",IF(MONTH(A2165)&lt;10,CONCATENATE("0",MONTH(A2165)),MONTH(A2165)))</f>
        <v>2025/05</v>
      </c>
      <c r="E2165" s="8">
        <f>IF(IF(D2165&lt;&gt;D2164,1,IF(OR(B2165&lt;&gt;B2164,A2165-A2164&gt;$U$1),1,""))&lt;&gt;1,"",IF(C2165="B01",1965,IF(C2165="B02",1020,IF(C2165="B05",2400,IF(C2165="B03",4260,IF(C2165="B04",2880,IF(C2165="B20",1260,0)))))))</f>
        <v>1965</v>
      </c>
      <c r="F2165" s="8">
        <f>IF(IF(D2165&lt;&gt;D2164,1,IF(OR(B2165&lt;&gt;B2164,A2165-A2164&gt;$U$1),1,""))&lt;&gt;1,"",IF(C2165="B01",1,IF(C2165="B05",1,IF(C2165="B03",1,IF(C2165="B04",1,IF(C2165="B20",1,IF(C2165="B02",1,0)))))))</f>
        <v>1</v>
      </c>
      <c r="G2165"/>
      <c r="H2165" s="2"/>
      <c r="I2165" s="2"/>
      <c r="L2165"/>
      <c r="R2165"/>
    </row>
    <row r="2166" spans="1:18">
      <c r="A2166" s="3">
        <v>45783.858668981484</v>
      </c>
      <c r="B2166" s="2" t="s">
        <v>28</v>
      </c>
      <c r="C2166" s="2" t="s">
        <v>11</v>
      </c>
      <c r="D2166" s="6" t="str">
        <f>CONCATENATE(YEAR(A2166),"/",IF(MONTH(A2166)&lt;10,CONCATENATE("0",MONTH(A2166)),MONTH(A2166)))</f>
        <v>2025/05</v>
      </c>
      <c r="E2166" s="8">
        <f>IF(IF(D2166&lt;&gt;D2165,1,IF(OR(B2166&lt;&gt;B2165,A2166-A2165&gt;$U$1),1,""))&lt;&gt;1,"",IF(C2166="B01",1965,IF(C2166="B02",1020,IF(C2166="B05",2400,IF(C2166="B03",4260,IF(C2166="B04",2880,IF(C2166="B20",1260,0)))))))</f>
        <v>2400</v>
      </c>
      <c r="F2166" s="8">
        <f>IF(IF(D2166&lt;&gt;D2165,1,IF(OR(B2166&lt;&gt;B2165,A2166-A2165&gt;$U$1),1,""))&lt;&gt;1,"",IF(C2166="B01",1,IF(C2166="B05",1,IF(C2166="B03",1,IF(C2166="B04",1,IF(C2166="B20",1,IF(C2166="B02",1,0)))))))</f>
        <v>1</v>
      </c>
      <c r="G2166"/>
      <c r="H2166" s="2"/>
      <c r="I2166" s="2"/>
      <c r="L2166"/>
      <c r="R2166"/>
    </row>
    <row r="2167" spans="1:18">
      <c r="A2167" s="3">
        <v>45783.858668981484</v>
      </c>
      <c r="B2167" s="2" t="s">
        <v>28</v>
      </c>
      <c r="C2167" s="2" t="s">
        <v>11</v>
      </c>
      <c r="D2167" s="6" t="str">
        <f>CONCATENATE(YEAR(A2167),"/",IF(MONTH(A2167)&lt;10,CONCATENATE("0",MONTH(A2167)),MONTH(A2167)))</f>
        <v>2025/05</v>
      </c>
      <c r="E2167" s="8" t="str">
        <f>IF(IF(D2167&lt;&gt;D2166,1,IF(OR(B2167&lt;&gt;B2166,A2167-A2166&gt;$U$1),1,""))&lt;&gt;1,"",IF(C2167="B01",1965,IF(C2167="B02",1020,IF(C2167="B05",2400,IF(C2167="B03",4260,IF(C2167="B04",2880,IF(C2167="B20",1260,0)))))))</f>
        <v/>
      </c>
      <c r="F2167" s="8" t="str">
        <f>IF(IF(D2167&lt;&gt;D2166,1,IF(OR(B2167&lt;&gt;B2166,A2167-A2166&gt;$U$1),1,""))&lt;&gt;1,"",IF(C2167="B01",1,IF(C2167="B05",1,IF(C2167="B03",1,IF(C2167="B04",1,IF(C2167="B20",1,IF(C2167="B02",1,0)))))))</f>
        <v/>
      </c>
      <c r="G2167"/>
      <c r="H2167" s="2"/>
      <c r="I2167" s="2"/>
      <c r="L2167"/>
      <c r="R2167"/>
    </row>
    <row r="2168" spans="1:18">
      <c r="A2168" s="3">
        <v>45783.858668981484</v>
      </c>
      <c r="B2168" s="2" t="s">
        <v>28</v>
      </c>
      <c r="C2168" s="2" t="s">
        <v>11</v>
      </c>
      <c r="D2168" s="6" t="str">
        <f>CONCATENATE(YEAR(A2168),"/",IF(MONTH(A2168)&lt;10,CONCATENATE("0",MONTH(A2168)),MONTH(A2168)))</f>
        <v>2025/05</v>
      </c>
      <c r="E2168" s="8" t="str">
        <f>IF(IF(D2168&lt;&gt;D2167,1,IF(OR(B2168&lt;&gt;B2167,A2168-A2167&gt;$U$1),1,""))&lt;&gt;1,"",IF(C2168="B01",1965,IF(C2168="B02",1020,IF(C2168="B05",2400,IF(C2168="B03",4260,IF(C2168="B04",2880,IF(C2168="B20",1260,0)))))))</f>
        <v/>
      </c>
      <c r="F2168" s="8" t="str">
        <f>IF(IF(D2168&lt;&gt;D2167,1,IF(OR(B2168&lt;&gt;B2167,A2168-A2167&gt;$U$1),1,""))&lt;&gt;1,"",IF(C2168="B01",1,IF(C2168="B05",1,IF(C2168="B03",1,IF(C2168="B04",1,IF(C2168="B20",1,IF(C2168="B02",1,0)))))))</f>
        <v/>
      </c>
      <c r="G2168"/>
      <c r="H2168" s="2"/>
      <c r="I2168" s="2"/>
      <c r="L2168"/>
      <c r="R2168"/>
    </row>
    <row r="2169" spans="1:18">
      <c r="A2169" s="3">
        <v>45784.059155092589</v>
      </c>
      <c r="B2169" s="2" t="s">
        <v>28</v>
      </c>
      <c r="C2169" s="2" t="s">
        <v>11</v>
      </c>
      <c r="D2169" s="6" t="str">
        <f>CONCATENATE(YEAR(A2169),"/",IF(MONTH(A2169)&lt;10,CONCATENATE("0",MONTH(A2169)),MONTH(A2169)))</f>
        <v>2025/05</v>
      </c>
      <c r="E2169" s="8">
        <f>IF(IF(D2169&lt;&gt;D2168,1,IF(OR(B2169&lt;&gt;B2168,A2169-A2168&gt;$U$1),1,""))&lt;&gt;1,"",IF(C2169="B01",1965,IF(C2169="B02",1020,IF(C2169="B05",2400,IF(C2169="B03",4260,IF(C2169="B04",2880,IF(C2169="B20",1260,0)))))))</f>
        <v>2400</v>
      </c>
      <c r="F2169" s="8">
        <f>IF(IF(D2169&lt;&gt;D2168,1,IF(OR(B2169&lt;&gt;B2168,A2169-A2168&gt;$U$1),1,""))&lt;&gt;1,"",IF(C2169="B01",1,IF(C2169="B05",1,IF(C2169="B03",1,IF(C2169="B04",1,IF(C2169="B20",1,IF(C2169="B02",1,0)))))))</f>
        <v>1</v>
      </c>
      <c r="G2169"/>
      <c r="H2169" s="2"/>
      <c r="I2169" s="2"/>
      <c r="L2169"/>
      <c r="R2169"/>
    </row>
    <row r="2170" spans="1:18">
      <c r="A2170" s="3">
        <v>45784.059155092589</v>
      </c>
      <c r="B2170" s="2" t="s">
        <v>28</v>
      </c>
      <c r="C2170" s="2" t="s">
        <v>11</v>
      </c>
      <c r="D2170" s="6" t="str">
        <f>CONCATENATE(YEAR(A2170),"/",IF(MONTH(A2170)&lt;10,CONCATENATE("0",MONTH(A2170)),MONTH(A2170)))</f>
        <v>2025/05</v>
      </c>
      <c r="E2170" s="8" t="str">
        <f>IF(IF(D2170&lt;&gt;D2169,1,IF(OR(B2170&lt;&gt;B2169,A2170-A2169&gt;$U$1),1,""))&lt;&gt;1,"",IF(C2170="B01",1965,IF(C2170="B02",1020,IF(C2170="B05",2400,IF(C2170="B03",4260,IF(C2170="B04",2880,IF(C2170="B20",1260,0)))))))</f>
        <v/>
      </c>
      <c r="F2170" s="8" t="str">
        <f>IF(IF(D2170&lt;&gt;D2169,1,IF(OR(B2170&lt;&gt;B2169,A2170-A2169&gt;$U$1),1,""))&lt;&gt;1,"",IF(C2170="B01",1,IF(C2170="B05",1,IF(C2170="B03",1,IF(C2170="B04",1,IF(C2170="B20",1,IF(C2170="B02",1,0)))))))</f>
        <v/>
      </c>
      <c r="G2170"/>
      <c r="H2170" s="2"/>
      <c r="I2170" s="2"/>
      <c r="L2170"/>
      <c r="R2170"/>
    </row>
    <row r="2171" spans="1:18">
      <c r="A2171" s="3">
        <v>45784.059155092589</v>
      </c>
      <c r="B2171" s="2" t="s">
        <v>28</v>
      </c>
      <c r="C2171" s="2" t="s">
        <v>11</v>
      </c>
      <c r="D2171" s="6" t="str">
        <f>CONCATENATE(YEAR(A2171),"/",IF(MONTH(A2171)&lt;10,CONCATENATE("0",MONTH(A2171)),MONTH(A2171)))</f>
        <v>2025/05</v>
      </c>
      <c r="E2171" s="8" t="str">
        <f>IF(IF(D2171&lt;&gt;D2170,1,IF(OR(B2171&lt;&gt;B2170,A2171-A2170&gt;$U$1),1,""))&lt;&gt;1,"",IF(C2171="B01",1965,IF(C2171="B02",1020,IF(C2171="B05",2400,IF(C2171="B03",4260,IF(C2171="B04",2880,IF(C2171="B20",1260,0)))))))</f>
        <v/>
      </c>
      <c r="F2171" s="8" t="str">
        <f>IF(IF(D2171&lt;&gt;D2170,1,IF(OR(B2171&lt;&gt;B2170,A2171-A2170&gt;$U$1),1,""))&lt;&gt;1,"",IF(C2171="B01",1,IF(C2171="B05",1,IF(C2171="B03",1,IF(C2171="B04",1,IF(C2171="B20",1,IF(C2171="B02",1,0)))))))</f>
        <v/>
      </c>
      <c r="G2171"/>
      <c r="H2171" s="2"/>
      <c r="I2171" s="2"/>
      <c r="L2171"/>
      <c r="R2171"/>
    </row>
    <row r="2172" spans="1:18">
      <c r="A2172" s="3">
        <v>45784.284942129627</v>
      </c>
      <c r="B2172" s="2" t="s">
        <v>28</v>
      </c>
      <c r="C2172" s="2" t="s">
        <v>34</v>
      </c>
      <c r="D2172" s="6" t="str">
        <f>CONCATENATE(YEAR(A2172),"/",IF(MONTH(A2172)&lt;10,CONCATENATE("0",MONTH(A2172)),MONTH(A2172)))</f>
        <v>2025/05</v>
      </c>
      <c r="E2172" s="8">
        <f>IF(IF(D2172&lt;&gt;D2171,1,IF(OR(B2172&lt;&gt;B2171,A2172-A2171&gt;$U$1),1,""))&lt;&gt;1,"",IF(C2172="B01",1965,IF(C2172="B02",1020,IF(C2172="B05",2400,IF(C2172="B03",4260,IF(C2172="B04",2880,IF(C2172="B20",1260,0)))))))</f>
        <v>1965</v>
      </c>
      <c r="F2172" s="8">
        <f>IF(IF(D2172&lt;&gt;D2171,1,IF(OR(B2172&lt;&gt;B2171,A2172-A2171&gt;$U$1),1,""))&lt;&gt;1,"",IF(C2172="B01",1,IF(C2172="B05",1,IF(C2172="B03",1,IF(C2172="B04",1,IF(C2172="B20",1,IF(C2172="B02",1,0)))))))</f>
        <v>1</v>
      </c>
      <c r="G2172"/>
      <c r="H2172" s="2"/>
      <c r="I2172" s="2"/>
      <c r="L2172"/>
      <c r="R2172"/>
    </row>
    <row r="2173" spans="1:18">
      <c r="A2173" s="3">
        <v>45784.284942129627</v>
      </c>
      <c r="B2173" s="2" t="s">
        <v>28</v>
      </c>
      <c r="C2173" s="2" t="s">
        <v>34</v>
      </c>
      <c r="D2173" s="6" t="str">
        <f>CONCATENATE(YEAR(A2173),"/",IF(MONTH(A2173)&lt;10,CONCATENATE("0",MONTH(A2173)),MONTH(A2173)))</f>
        <v>2025/05</v>
      </c>
      <c r="E2173" s="8" t="str">
        <f>IF(IF(D2173&lt;&gt;D2172,1,IF(OR(B2173&lt;&gt;B2172,A2173-A2172&gt;$U$1),1,""))&lt;&gt;1,"",IF(C2173="B01",1965,IF(C2173="B02",1020,IF(C2173="B05",2400,IF(C2173="B03",4260,IF(C2173="B04",2880,IF(C2173="B20",1260,0)))))))</f>
        <v/>
      </c>
      <c r="F2173" s="8" t="str">
        <f>IF(IF(D2173&lt;&gt;D2172,1,IF(OR(B2173&lt;&gt;B2172,A2173-A2172&gt;$U$1),1,""))&lt;&gt;1,"",IF(C2173="B01",1,IF(C2173="B05",1,IF(C2173="B03",1,IF(C2173="B04",1,IF(C2173="B20",1,IF(C2173="B02",1,0)))))))</f>
        <v/>
      </c>
      <c r="G2173"/>
      <c r="H2173" s="2"/>
      <c r="I2173" s="2"/>
      <c r="L2173"/>
      <c r="R2173"/>
    </row>
    <row r="2174" spans="1:18">
      <c r="A2174" s="3">
        <v>45784.964907407404</v>
      </c>
      <c r="B2174" s="2" t="s">
        <v>28</v>
      </c>
      <c r="C2174" s="2" t="s">
        <v>11</v>
      </c>
      <c r="D2174" s="6" t="str">
        <f>CONCATENATE(YEAR(A2174),"/",IF(MONTH(A2174)&lt;10,CONCATENATE("0",MONTH(A2174)),MONTH(A2174)))</f>
        <v>2025/05</v>
      </c>
      <c r="E2174" s="8">
        <f>IF(IF(D2174&lt;&gt;D2173,1,IF(OR(B2174&lt;&gt;B2173,A2174-A2173&gt;$U$1),1,""))&lt;&gt;1,"",IF(C2174="B01",1965,IF(C2174="B02",1020,IF(C2174="B05",2400,IF(C2174="B03",4260,IF(C2174="B04",2880,IF(C2174="B20",1260,0)))))))</f>
        <v>2400</v>
      </c>
      <c r="F2174" s="8">
        <f>IF(IF(D2174&lt;&gt;D2173,1,IF(OR(B2174&lt;&gt;B2173,A2174-A2173&gt;$U$1),1,""))&lt;&gt;1,"",IF(C2174="B01",1,IF(C2174="B05",1,IF(C2174="B03",1,IF(C2174="B04",1,IF(C2174="B20",1,IF(C2174="B02",1,0)))))))</f>
        <v>1</v>
      </c>
      <c r="G2174"/>
      <c r="H2174" s="2"/>
      <c r="I2174" s="2"/>
      <c r="L2174"/>
      <c r="R2174"/>
    </row>
    <row r="2175" spans="1:18">
      <c r="A2175" s="3">
        <v>45784.964918981481</v>
      </c>
      <c r="B2175" s="2" t="s">
        <v>28</v>
      </c>
      <c r="C2175" s="2" t="s">
        <v>11</v>
      </c>
      <c r="D2175" s="6" t="str">
        <f>CONCATENATE(YEAR(A2175),"/",IF(MONTH(A2175)&lt;10,CONCATENATE("0",MONTH(A2175)),MONTH(A2175)))</f>
        <v>2025/05</v>
      </c>
      <c r="E2175" s="8" t="str">
        <f>IF(IF(D2175&lt;&gt;D2174,1,IF(OR(B2175&lt;&gt;B2174,A2175-A2174&gt;$U$1),1,""))&lt;&gt;1,"",IF(C2175="B01",1965,IF(C2175="B02",1020,IF(C2175="B05",2400,IF(C2175="B03",4260,IF(C2175="B04",2880,IF(C2175="B20",1260,0)))))))</f>
        <v/>
      </c>
      <c r="F2175" s="8" t="str">
        <f>IF(IF(D2175&lt;&gt;D2174,1,IF(OR(B2175&lt;&gt;B2174,A2175-A2174&gt;$U$1),1,""))&lt;&gt;1,"",IF(C2175="B01",1,IF(C2175="B05",1,IF(C2175="B03",1,IF(C2175="B04",1,IF(C2175="B20",1,IF(C2175="B02",1,0)))))))</f>
        <v/>
      </c>
      <c r="G2175"/>
      <c r="H2175" s="2"/>
      <c r="I2175" s="2"/>
      <c r="L2175"/>
      <c r="R2175"/>
    </row>
    <row r="2176" spans="1:18">
      <c r="A2176" s="3">
        <v>45784.964918981481</v>
      </c>
      <c r="B2176" s="2" t="s">
        <v>28</v>
      </c>
      <c r="C2176" s="2" t="s">
        <v>11</v>
      </c>
      <c r="D2176" s="6" t="str">
        <f>CONCATENATE(YEAR(A2176),"/",IF(MONTH(A2176)&lt;10,CONCATENATE("0",MONTH(A2176)),MONTH(A2176)))</f>
        <v>2025/05</v>
      </c>
      <c r="E2176" s="8" t="str">
        <f>IF(IF(D2176&lt;&gt;D2175,1,IF(OR(B2176&lt;&gt;B2175,A2176-A2175&gt;$U$1),1,""))&lt;&gt;1,"",IF(C2176="B01",1965,IF(C2176="B02",1020,IF(C2176="B05",2400,IF(C2176="B03",4260,IF(C2176="B04",2880,IF(C2176="B20",1260,0)))))))</f>
        <v/>
      </c>
      <c r="F2176" s="8" t="str">
        <f>IF(IF(D2176&lt;&gt;D2175,1,IF(OR(B2176&lt;&gt;B2175,A2176-A2175&gt;$U$1),1,""))&lt;&gt;1,"",IF(C2176="B01",1,IF(C2176="B05",1,IF(C2176="B03",1,IF(C2176="B04",1,IF(C2176="B20",1,IF(C2176="B02",1,0)))))))</f>
        <v/>
      </c>
      <c r="G2176"/>
      <c r="H2176" s="2"/>
      <c r="I2176" s="2"/>
      <c r="L2176"/>
      <c r="R2176"/>
    </row>
    <row r="2177" spans="1:18">
      <c r="A2177" s="3">
        <v>45784.964918981481</v>
      </c>
      <c r="B2177" s="2" t="s">
        <v>28</v>
      </c>
      <c r="C2177" s="2" t="s">
        <v>11</v>
      </c>
      <c r="D2177" s="6" t="str">
        <f>CONCATENATE(YEAR(A2177),"/",IF(MONTH(A2177)&lt;10,CONCATENATE("0",MONTH(A2177)),MONTH(A2177)))</f>
        <v>2025/05</v>
      </c>
      <c r="E2177" s="8" t="str">
        <f>IF(IF(D2177&lt;&gt;D2176,1,IF(OR(B2177&lt;&gt;B2176,A2177-A2176&gt;$U$1),1,""))&lt;&gt;1,"",IF(C2177="B01",1965,IF(C2177="B02",1020,IF(C2177="B05",2400,IF(C2177="B03",4260,IF(C2177="B04",2880,IF(C2177="B20",1260,0)))))))</f>
        <v/>
      </c>
      <c r="F2177" s="8" t="str">
        <f>IF(IF(D2177&lt;&gt;D2176,1,IF(OR(B2177&lt;&gt;B2176,A2177-A2176&gt;$U$1),1,""))&lt;&gt;1,"",IF(C2177="B01",1,IF(C2177="B05",1,IF(C2177="B03",1,IF(C2177="B04",1,IF(C2177="B20",1,IF(C2177="B02",1,0)))))))</f>
        <v/>
      </c>
      <c r="G2177"/>
      <c r="H2177" s="2"/>
      <c r="I2177" s="2"/>
      <c r="L2177"/>
      <c r="R2177"/>
    </row>
    <row r="2178" spans="1:18">
      <c r="A2178" s="3">
        <v>45785.27847222222</v>
      </c>
      <c r="B2178" s="2" t="s">
        <v>28</v>
      </c>
      <c r="C2178" s="2" t="s">
        <v>34</v>
      </c>
      <c r="D2178" s="6" t="str">
        <f>CONCATENATE(YEAR(A2178),"/",IF(MONTH(A2178)&lt;10,CONCATENATE("0",MONTH(A2178)),MONTH(A2178)))</f>
        <v>2025/05</v>
      </c>
      <c r="E2178" s="8">
        <f>IF(IF(D2178&lt;&gt;D2177,1,IF(OR(B2178&lt;&gt;B2177,A2178-A2177&gt;$U$1),1,""))&lt;&gt;1,"",IF(C2178="B01",1965,IF(C2178="B02",1020,IF(C2178="B05",2400,IF(C2178="B03",4260,IF(C2178="B04",2880,IF(C2178="B20",1260,0)))))))</f>
        <v>1965</v>
      </c>
      <c r="F2178" s="8">
        <f>IF(IF(D2178&lt;&gt;D2177,1,IF(OR(B2178&lt;&gt;B2177,A2178-A2177&gt;$U$1),1,""))&lt;&gt;1,"",IF(C2178="B01",1,IF(C2178="B05",1,IF(C2178="B03",1,IF(C2178="B04",1,IF(C2178="B20",1,IF(C2178="B02",1,0)))))))</f>
        <v>1</v>
      </c>
      <c r="G2178"/>
      <c r="H2178" s="2"/>
      <c r="I2178" s="2"/>
      <c r="L2178"/>
      <c r="R2178"/>
    </row>
    <row r="2179" spans="1:18">
      <c r="A2179" s="3">
        <v>45785.27847222222</v>
      </c>
      <c r="B2179" s="2" t="s">
        <v>28</v>
      </c>
      <c r="C2179" s="2" t="s">
        <v>34</v>
      </c>
      <c r="D2179" s="6" t="str">
        <f>CONCATENATE(YEAR(A2179),"/",IF(MONTH(A2179)&lt;10,CONCATENATE("0",MONTH(A2179)),MONTH(A2179)))</f>
        <v>2025/05</v>
      </c>
      <c r="E2179" s="8" t="str">
        <f>IF(IF(D2179&lt;&gt;D2178,1,IF(OR(B2179&lt;&gt;B2178,A2179-A2178&gt;$U$1),1,""))&lt;&gt;1,"",IF(C2179="B01",1965,IF(C2179="B02",1020,IF(C2179="B05",2400,IF(C2179="B03",4260,IF(C2179="B04",2880,IF(C2179="B20",1260,0)))))))</f>
        <v/>
      </c>
      <c r="F2179" s="8" t="str">
        <f>IF(IF(D2179&lt;&gt;D2178,1,IF(OR(B2179&lt;&gt;B2178,A2179-A2178&gt;$U$1),1,""))&lt;&gt;1,"",IF(C2179="B01",1,IF(C2179="B05",1,IF(C2179="B03",1,IF(C2179="B04",1,IF(C2179="B20",1,IF(C2179="B02",1,0)))))))</f>
        <v/>
      </c>
      <c r="G2179"/>
      <c r="H2179" s="2"/>
      <c r="I2179" s="2"/>
      <c r="L2179"/>
      <c r="R2179"/>
    </row>
    <row r="2180" spans="1:18">
      <c r="A2180" s="3">
        <v>45785.59238425926</v>
      </c>
      <c r="B2180" s="2" t="s">
        <v>28</v>
      </c>
      <c r="C2180" s="2" t="s">
        <v>11</v>
      </c>
      <c r="D2180" s="6" t="str">
        <f>CONCATENATE(YEAR(A2180),"/",IF(MONTH(A2180)&lt;10,CONCATENATE("0",MONTH(A2180)),MONTH(A2180)))</f>
        <v>2025/05</v>
      </c>
      <c r="E2180" s="8">
        <f>IF(IF(D2180&lt;&gt;D2179,1,IF(OR(B2180&lt;&gt;B2179,A2180-A2179&gt;$U$1),1,""))&lt;&gt;1,"",IF(C2180="B01",1965,IF(C2180="B02",1020,IF(C2180="B05",2400,IF(C2180="B03",4260,IF(C2180="B04",2880,IF(C2180="B20",1260,0)))))))</f>
        <v>2400</v>
      </c>
      <c r="F2180" s="8">
        <f>IF(IF(D2180&lt;&gt;D2179,1,IF(OR(B2180&lt;&gt;B2179,A2180-A2179&gt;$U$1),1,""))&lt;&gt;1,"",IF(C2180="B01",1,IF(C2180="B05",1,IF(C2180="B03",1,IF(C2180="B04",1,IF(C2180="B20",1,IF(C2180="B02",1,0)))))))</f>
        <v>1</v>
      </c>
      <c r="G2180"/>
      <c r="H2180" s="2"/>
      <c r="I2180" s="2"/>
      <c r="L2180"/>
      <c r="R2180"/>
    </row>
    <row r="2181" spans="1:18">
      <c r="A2181" s="3">
        <v>45785.59238425926</v>
      </c>
      <c r="B2181" s="2" t="s">
        <v>28</v>
      </c>
      <c r="C2181" s="2" t="s">
        <v>11</v>
      </c>
      <c r="D2181" s="6" t="str">
        <f>CONCATENATE(YEAR(A2181),"/",IF(MONTH(A2181)&lt;10,CONCATENATE("0",MONTH(A2181)),MONTH(A2181)))</f>
        <v>2025/05</v>
      </c>
      <c r="E2181" s="8" t="str">
        <f>IF(IF(D2181&lt;&gt;D2180,1,IF(OR(B2181&lt;&gt;B2180,A2181-A2180&gt;$U$1),1,""))&lt;&gt;1,"",IF(C2181="B01",1965,IF(C2181="B02",1020,IF(C2181="B05",2400,IF(C2181="B03",4260,IF(C2181="B04",2880,IF(C2181="B20",1260,0)))))))</f>
        <v/>
      </c>
      <c r="F2181" s="8" t="str">
        <f>IF(IF(D2181&lt;&gt;D2180,1,IF(OR(B2181&lt;&gt;B2180,A2181-A2180&gt;$U$1),1,""))&lt;&gt;1,"",IF(C2181="B01",1,IF(C2181="B05",1,IF(C2181="B03",1,IF(C2181="B04",1,IF(C2181="B20",1,IF(C2181="B02",1,0)))))))</f>
        <v/>
      </c>
      <c r="G2181"/>
      <c r="H2181" s="2"/>
      <c r="I2181" s="2"/>
      <c r="L2181"/>
      <c r="R2181"/>
    </row>
    <row r="2182" spans="1:18">
      <c r="A2182" s="3">
        <v>45785.59238425926</v>
      </c>
      <c r="B2182" s="2" t="s">
        <v>28</v>
      </c>
      <c r="C2182" s="2" t="s">
        <v>11</v>
      </c>
      <c r="D2182" s="6" t="str">
        <f>CONCATENATE(YEAR(A2182),"/",IF(MONTH(A2182)&lt;10,CONCATENATE("0",MONTH(A2182)),MONTH(A2182)))</f>
        <v>2025/05</v>
      </c>
      <c r="E2182" s="8" t="str">
        <f>IF(IF(D2182&lt;&gt;D2181,1,IF(OR(B2182&lt;&gt;B2181,A2182-A2181&gt;$U$1),1,""))&lt;&gt;1,"",IF(C2182="B01",1965,IF(C2182="B02",1020,IF(C2182="B05",2400,IF(C2182="B03",4260,IF(C2182="B04",2880,IF(C2182="B20",1260,0)))))))</f>
        <v/>
      </c>
      <c r="F2182" s="8" t="str">
        <f>IF(IF(D2182&lt;&gt;D2181,1,IF(OR(B2182&lt;&gt;B2181,A2182-A2181&gt;$U$1),1,""))&lt;&gt;1,"",IF(C2182="B01",1,IF(C2182="B05",1,IF(C2182="B03",1,IF(C2182="B04",1,IF(C2182="B20",1,IF(C2182="B02",1,0)))))))</f>
        <v/>
      </c>
      <c r="G2182"/>
      <c r="H2182" s="2"/>
      <c r="I2182" s="2"/>
      <c r="L2182"/>
      <c r="R2182"/>
    </row>
    <row r="2183" spans="1:18">
      <c r="A2183" s="3">
        <v>45785.721909722219</v>
      </c>
      <c r="B2183" s="2" t="s">
        <v>28</v>
      </c>
      <c r="C2183" s="2" t="s">
        <v>11</v>
      </c>
      <c r="D2183" s="6" t="str">
        <f>CONCATENATE(YEAR(A2183),"/",IF(MONTH(A2183)&lt;10,CONCATENATE("0",MONTH(A2183)),MONTH(A2183)))</f>
        <v>2025/05</v>
      </c>
      <c r="E2183" s="8">
        <f>IF(IF(D2183&lt;&gt;D2182,1,IF(OR(B2183&lt;&gt;B2182,A2183-A2182&gt;$U$1),1,""))&lt;&gt;1,"",IF(C2183="B01",1965,IF(C2183="B02",1020,IF(C2183="B05",2400,IF(C2183="B03",4260,IF(C2183="B04",2880,IF(C2183="B20",1260,0)))))))</f>
        <v>2400</v>
      </c>
      <c r="F2183" s="8">
        <f>IF(IF(D2183&lt;&gt;D2182,1,IF(OR(B2183&lt;&gt;B2182,A2183-A2182&gt;$U$1),1,""))&lt;&gt;1,"",IF(C2183="B01",1,IF(C2183="B05",1,IF(C2183="B03",1,IF(C2183="B04",1,IF(C2183="B20",1,IF(C2183="B02",1,0)))))))</f>
        <v>1</v>
      </c>
      <c r="G2183"/>
      <c r="H2183" s="2"/>
      <c r="I2183" s="2"/>
      <c r="L2183"/>
      <c r="R2183"/>
    </row>
    <row r="2184" spans="1:18">
      <c r="A2184" s="3">
        <v>45785.721921296295</v>
      </c>
      <c r="B2184" s="2" t="s">
        <v>28</v>
      </c>
      <c r="C2184" s="2" t="s">
        <v>11</v>
      </c>
      <c r="D2184" s="6" t="str">
        <f>CONCATENATE(YEAR(A2184),"/",IF(MONTH(A2184)&lt;10,CONCATENATE("0",MONTH(A2184)),MONTH(A2184)))</f>
        <v>2025/05</v>
      </c>
      <c r="E2184" s="8" t="str">
        <f>IF(IF(D2184&lt;&gt;D2183,1,IF(OR(B2184&lt;&gt;B2183,A2184-A2183&gt;$U$1),1,""))&lt;&gt;1,"",IF(C2184="B01",1965,IF(C2184="B02",1020,IF(C2184="B05",2400,IF(C2184="B03",4260,IF(C2184="B04",2880,IF(C2184="B20",1260,0)))))))</f>
        <v/>
      </c>
      <c r="F2184" s="8" t="str">
        <f>IF(IF(D2184&lt;&gt;D2183,1,IF(OR(B2184&lt;&gt;B2183,A2184-A2183&gt;$U$1),1,""))&lt;&gt;1,"",IF(C2184="B01",1,IF(C2184="B05",1,IF(C2184="B03",1,IF(C2184="B04",1,IF(C2184="B20",1,IF(C2184="B02",1,0)))))))</f>
        <v/>
      </c>
      <c r="G2184"/>
      <c r="H2184" s="2"/>
      <c r="I2184" s="2"/>
      <c r="L2184"/>
      <c r="R2184"/>
    </row>
    <row r="2185" spans="1:18">
      <c r="A2185" s="3">
        <v>45785.721921296295</v>
      </c>
      <c r="B2185" s="2" t="s">
        <v>28</v>
      </c>
      <c r="C2185" s="2" t="s">
        <v>11</v>
      </c>
      <c r="D2185" s="6" t="str">
        <f>CONCATENATE(YEAR(A2185),"/",IF(MONTH(A2185)&lt;10,CONCATENATE("0",MONTH(A2185)),MONTH(A2185)))</f>
        <v>2025/05</v>
      </c>
      <c r="E2185" s="8" t="str">
        <f>IF(IF(D2185&lt;&gt;D2184,1,IF(OR(B2185&lt;&gt;B2184,A2185-A2184&gt;$U$1),1,""))&lt;&gt;1,"",IF(C2185="B01",1965,IF(C2185="B02",1020,IF(C2185="B05",2400,IF(C2185="B03",4260,IF(C2185="B04",2880,IF(C2185="B20",1260,0)))))))</f>
        <v/>
      </c>
      <c r="F2185" s="8" t="str">
        <f>IF(IF(D2185&lt;&gt;D2184,1,IF(OR(B2185&lt;&gt;B2184,A2185-A2184&gt;$U$1),1,""))&lt;&gt;1,"",IF(C2185="B01",1,IF(C2185="B05",1,IF(C2185="B03",1,IF(C2185="B04",1,IF(C2185="B20",1,IF(C2185="B02",1,0)))))))</f>
        <v/>
      </c>
      <c r="G2185"/>
      <c r="H2185" s="2"/>
      <c r="I2185" s="2"/>
      <c r="L2185"/>
      <c r="R2185"/>
    </row>
    <row r="2186" spans="1:18">
      <c r="A2186" s="3">
        <v>45785.814988425926</v>
      </c>
      <c r="B2186" s="2" t="s">
        <v>28</v>
      </c>
      <c r="C2186" s="2" t="s">
        <v>11</v>
      </c>
      <c r="D2186" s="6" t="str">
        <f>CONCATENATE(YEAR(A2186),"/",IF(MONTH(A2186)&lt;10,CONCATENATE("0",MONTH(A2186)),MONTH(A2186)))</f>
        <v>2025/05</v>
      </c>
      <c r="E2186" s="8">
        <f>IF(IF(D2186&lt;&gt;D2185,1,IF(OR(B2186&lt;&gt;B2185,A2186-A2185&gt;$U$1),1,""))&lt;&gt;1,"",IF(C2186="B01",1965,IF(C2186="B02",1020,IF(C2186="B05",2400,IF(C2186="B03",4260,IF(C2186="B04",2880,IF(C2186="B20",1260,0)))))))</f>
        <v>2400</v>
      </c>
      <c r="F2186" s="8">
        <f>IF(IF(D2186&lt;&gt;D2185,1,IF(OR(B2186&lt;&gt;B2185,A2186-A2185&gt;$U$1),1,""))&lt;&gt;1,"",IF(C2186="B01",1,IF(C2186="B05",1,IF(C2186="B03",1,IF(C2186="B04",1,IF(C2186="B20",1,IF(C2186="B02",1,0)))))))</f>
        <v>1</v>
      </c>
      <c r="G2186"/>
      <c r="H2186" s="2"/>
      <c r="I2186" s="2"/>
      <c r="L2186"/>
      <c r="R2186"/>
    </row>
    <row r="2187" spans="1:18">
      <c r="A2187" s="3">
        <v>45785.814988425926</v>
      </c>
      <c r="B2187" s="2" t="s">
        <v>28</v>
      </c>
      <c r="C2187" s="2" t="s">
        <v>11</v>
      </c>
      <c r="D2187" s="6" t="str">
        <f>CONCATENATE(YEAR(A2187),"/",IF(MONTH(A2187)&lt;10,CONCATENATE("0",MONTH(A2187)),MONTH(A2187)))</f>
        <v>2025/05</v>
      </c>
      <c r="E2187" s="8" t="str">
        <f>IF(IF(D2187&lt;&gt;D2186,1,IF(OR(B2187&lt;&gt;B2186,A2187-A2186&gt;$U$1),1,""))&lt;&gt;1,"",IF(C2187="B01",1965,IF(C2187="B02",1020,IF(C2187="B05",2400,IF(C2187="B03",4260,IF(C2187="B04",2880,IF(C2187="B20",1260,0)))))))</f>
        <v/>
      </c>
      <c r="F2187" s="8" t="str">
        <f>IF(IF(D2187&lt;&gt;D2186,1,IF(OR(B2187&lt;&gt;B2186,A2187-A2186&gt;$U$1),1,""))&lt;&gt;1,"",IF(C2187="B01",1,IF(C2187="B05",1,IF(C2187="B03",1,IF(C2187="B04",1,IF(C2187="B20",1,IF(C2187="B02",1,0)))))))</f>
        <v/>
      </c>
      <c r="G2187"/>
      <c r="H2187" s="2"/>
      <c r="I2187" s="2"/>
      <c r="L2187"/>
      <c r="R2187"/>
    </row>
    <row r="2188" spans="1:18">
      <c r="A2188" s="3">
        <v>45785.814988425926</v>
      </c>
      <c r="B2188" s="2" t="s">
        <v>28</v>
      </c>
      <c r="C2188" s="2" t="s">
        <v>11</v>
      </c>
      <c r="D2188" s="6" t="str">
        <f>CONCATENATE(YEAR(A2188),"/",IF(MONTH(A2188)&lt;10,CONCATENATE("0",MONTH(A2188)),MONTH(A2188)))</f>
        <v>2025/05</v>
      </c>
      <c r="E2188" s="8" t="str">
        <f>IF(IF(D2188&lt;&gt;D2187,1,IF(OR(B2188&lt;&gt;B2187,A2188-A2187&gt;$U$1),1,""))&lt;&gt;1,"",IF(C2188="B01",1965,IF(C2188="B02",1020,IF(C2188="B05",2400,IF(C2188="B03",4260,IF(C2188="B04",2880,IF(C2188="B20",1260,0)))))))</f>
        <v/>
      </c>
      <c r="F2188" s="8" t="str">
        <f>IF(IF(D2188&lt;&gt;D2187,1,IF(OR(B2188&lt;&gt;B2187,A2188-A2187&gt;$U$1),1,""))&lt;&gt;1,"",IF(C2188="B01",1,IF(C2188="B05",1,IF(C2188="B03",1,IF(C2188="B04",1,IF(C2188="B20",1,IF(C2188="B02",1,0)))))))</f>
        <v/>
      </c>
      <c r="G2188"/>
      <c r="H2188" s="2"/>
      <c r="I2188" s="2"/>
      <c r="L2188"/>
      <c r="R2188"/>
    </row>
    <row r="2189" spans="1:18">
      <c r="A2189" s="3">
        <v>45786.114861111113</v>
      </c>
      <c r="B2189" s="2" t="s">
        <v>28</v>
      </c>
      <c r="C2189" s="2" t="s">
        <v>11</v>
      </c>
      <c r="D2189" s="6" t="str">
        <f>CONCATENATE(YEAR(A2189),"/",IF(MONTH(A2189)&lt;10,CONCATENATE("0",MONTH(A2189)),MONTH(A2189)))</f>
        <v>2025/05</v>
      </c>
      <c r="E2189" s="8">
        <f>IF(IF(D2189&lt;&gt;D2188,1,IF(OR(B2189&lt;&gt;B2188,A2189-A2188&gt;$U$1),1,""))&lt;&gt;1,"",IF(C2189="B01",1965,IF(C2189="B02",1020,IF(C2189="B05",2400,IF(C2189="B03",4260,IF(C2189="B04",2880,IF(C2189="B20",1260,0)))))))</f>
        <v>2400</v>
      </c>
      <c r="F2189" s="8">
        <f>IF(IF(D2189&lt;&gt;D2188,1,IF(OR(B2189&lt;&gt;B2188,A2189-A2188&gt;$U$1),1,""))&lt;&gt;1,"",IF(C2189="B01",1,IF(C2189="B05",1,IF(C2189="B03",1,IF(C2189="B04",1,IF(C2189="B20",1,IF(C2189="B02",1,0)))))))</f>
        <v>1</v>
      </c>
      <c r="G2189"/>
      <c r="H2189" s="2"/>
      <c r="I2189" s="2"/>
      <c r="L2189"/>
      <c r="R2189"/>
    </row>
    <row r="2190" spans="1:18">
      <c r="A2190" s="3">
        <v>45786.114861111113</v>
      </c>
      <c r="B2190" s="2" t="s">
        <v>28</v>
      </c>
      <c r="C2190" s="2" t="s">
        <v>11</v>
      </c>
      <c r="D2190" s="6" t="str">
        <f>CONCATENATE(YEAR(A2190),"/",IF(MONTH(A2190)&lt;10,CONCATENATE("0",MONTH(A2190)),MONTH(A2190)))</f>
        <v>2025/05</v>
      </c>
      <c r="E2190" s="8" t="str">
        <f>IF(IF(D2190&lt;&gt;D2189,1,IF(OR(B2190&lt;&gt;B2189,A2190-A2189&gt;$U$1),1,""))&lt;&gt;1,"",IF(C2190="B01",1965,IF(C2190="B02",1020,IF(C2190="B05",2400,IF(C2190="B03",4260,IF(C2190="B04",2880,IF(C2190="B20",1260,0)))))))</f>
        <v/>
      </c>
      <c r="F2190" s="8" t="str">
        <f>IF(IF(D2190&lt;&gt;D2189,1,IF(OR(B2190&lt;&gt;B2189,A2190-A2189&gt;$U$1),1,""))&lt;&gt;1,"",IF(C2190="B01",1,IF(C2190="B05",1,IF(C2190="B03",1,IF(C2190="B04",1,IF(C2190="B20",1,IF(C2190="B02",1,0)))))))</f>
        <v/>
      </c>
      <c r="G2190"/>
      <c r="H2190" s="2"/>
      <c r="I2190" s="2"/>
      <c r="L2190"/>
      <c r="R2190"/>
    </row>
    <row r="2191" spans="1:18">
      <c r="A2191" s="3">
        <v>45786.114861111113</v>
      </c>
      <c r="B2191" s="2" t="s">
        <v>28</v>
      </c>
      <c r="C2191" s="2" t="s">
        <v>11</v>
      </c>
      <c r="D2191" s="6" t="str">
        <f>CONCATENATE(YEAR(A2191),"/",IF(MONTH(A2191)&lt;10,CONCATENATE("0",MONTH(A2191)),MONTH(A2191)))</f>
        <v>2025/05</v>
      </c>
      <c r="E2191" s="8" t="str">
        <f>IF(IF(D2191&lt;&gt;D2190,1,IF(OR(B2191&lt;&gt;B2190,A2191-A2190&gt;$U$1),1,""))&lt;&gt;1,"",IF(C2191="B01",1965,IF(C2191="B02",1020,IF(C2191="B05",2400,IF(C2191="B03",4260,IF(C2191="B04",2880,IF(C2191="B20",1260,0)))))))</f>
        <v/>
      </c>
      <c r="F2191" s="8" t="str">
        <f>IF(IF(D2191&lt;&gt;D2190,1,IF(OR(B2191&lt;&gt;B2190,A2191-A2190&gt;$U$1),1,""))&lt;&gt;1,"",IF(C2191="B01",1,IF(C2191="B05",1,IF(C2191="B03",1,IF(C2191="B04",1,IF(C2191="B20",1,IF(C2191="B02",1,0)))))))</f>
        <v/>
      </c>
      <c r="G2191"/>
      <c r="H2191" s="2"/>
      <c r="I2191" s="2"/>
      <c r="L2191"/>
      <c r="R2191"/>
    </row>
    <row r="2192" spans="1:18">
      <c r="A2192" s="3">
        <v>45786.270243055558</v>
      </c>
      <c r="B2192" s="2" t="s">
        <v>28</v>
      </c>
      <c r="C2192" s="2" t="s">
        <v>11</v>
      </c>
      <c r="D2192" s="6" t="str">
        <f>CONCATENATE(YEAR(A2192),"/",IF(MONTH(A2192)&lt;10,CONCATENATE("0",MONTH(A2192)),MONTH(A2192)))</f>
        <v>2025/05</v>
      </c>
      <c r="E2192" s="8">
        <f>IF(IF(D2192&lt;&gt;D2191,1,IF(OR(B2192&lt;&gt;B2191,A2192-A2191&gt;$U$1),1,""))&lt;&gt;1,"",IF(C2192="B01",1965,IF(C2192="B02",1020,IF(C2192="B05",2400,IF(C2192="B03",4260,IF(C2192="B04",2880,IF(C2192="B20",1260,0)))))))</f>
        <v>2400</v>
      </c>
      <c r="F2192" s="8">
        <f>IF(IF(D2192&lt;&gt;D2191,1,IF(OR(B2192&lt;&gt;B2191,A2192-A2191&gt;$U$1),1,""))&lt;&gt;1,"",IF(C2192="B01",1,IF(C2192="B05",1,IF(C2192="B03",1,IF(C2192="B04",1,IF(C2192="B20",1,IF(C2192="B02",1,0)))))))</f>
        <v>1</v>
      </c>
      <c r="G2192"/>
      <c r="H2192" s="2"/>
      <c r="I2192" s="2"/>
      <c r="L2192"/>
      <c r="R2192"/>
    </row>
    <row r="2193" spans="1:18">
      <c r="A2193" s="3">
        <v>45786.270243055558</v>
      </c>
      <c r="B2193" s="2" t="s">
        <v>28</v>
      </c>
      <c r="C2193" s="2" t="s">
        <v>11</v>
      </c>
      <c r="D2193" s="6" t="str">
        <f>CONCATENATE(YEAR(A2193),"/",IF(MONTH(A2193)&lt;10,CONCATENATE("0",MONTH(A2193)),MONTH(A2193)))</f>
        <v>2025/05</v>
      </c>
      <c r="E2193" s="8" t="str">
        <f>IF(IF(D2193&lt;&gt;D2192,1,IF(OR(B2193&lt;&gt;B2192,A2193-A2192&gt;$U$1),1,""))&lt;&gt;1,"",IF(C2193="B01",1965,IF(C2193="B02",1020,IF(C2193="B05",2400,IF(C2193="B03",4260,IF(C2193="B04",2880,IF(C2193="B20",1260,0)))))))</f>
        <v/>
      </c>
      <c r="F2193" s="8" t="str">
        <f>IF(IF(D2193&lt;&gt;D2192,1,IF(OR(B2193&lt;&gt;B2192,A2193-A2192&gt;$U$1),1,""))&lt;&gt;1,"",IF(C2193="B01",1,IF(C2193="B05",1,IF(C2193="B03",1,IF(C2193="B04",1,IF(C2193="B20",1,IF(C2193="B02",1,0)))))))</f>
        <v/>
      </c>
      <c r="G2193"/>
      <c r="H2193" s="2"/>
      <c r="I2193" s="2"/>
      <c r="L2193"/>
      <c r="R2193"/>
    </row>
    <row r="2194" spans="1:18">
      <c r="A2194" s="3">
        <v>45786.270243055558</v>
      </c>
      <c r="B2194" s="2" t="s">
        <v>28</v>
      </c>
      <c r="C2194" s="2" t="s">
        <v>11</v>
      </c>
      <c r="D2194" s="6" t="str">
        <f>CONCATENATE(YEAR(A2194),"/",IF(MONTH(A2194)&lt;10,CONCATENATE("0",MONTH(A2194)),MONTH(A2194)))</f>
        <v>2025/05</v>
      </c>
      <c r="E2194" s="8" t="str">
        <f>IF(IF(D2194&lt;&gt;D2193,1,IF(OR(B2194&lt;&gt;B2193,A2194-A2193&gt;$U$1),1,""))&lt;&gt;1,"",IF(C2194="B01",1965,IF(C2194="B02",1020,IF(C2194="B05",2400,IF(C2194="B03",4260,IF(C2194="B04",2880,IF(C2194="B20",1260,0)))))))</f>
        <v/>
      </c>
      <c r="F2194" s="8" t="str">
        <f>IF(IF(D2194&lt;&gt;D2193,1,IF(OR(B2194&lt;&gt;B2193,A2194-A2193&gt;$U$1),1,""))&lt;&gt;1,"",IF(C2194="B01",1,IF(C2194="B05",1,IF(C2194="B03",1,IF(C2194="B04",1,IF(C2194="B20",1,IF(C2194="B02",1,0)))))))</f>
        <v/>
      </c>
      <c r="G2194"/>
      <c r="H2194" s="2"/>
      <c r="I2194" s="2"/>
      <c r="L2194"/>
      <c r="R2194"/>
    </row>
    <row r="2195" spans="1:18">
      <c r="A2195" s="3">
        <v>45786.403715277775</v>
      </c>
      <c r="B2195" s="2" t="s">
        <v>28</v>
      </c>
      <c r="C2195" s="2" t="s">
        <v>11</v>
      </c>
      <c r="D2195" s="6" t="str">
        <f>CONCATENATE(YEAR(A2195),"/",IF(MONTH(A2195)&lt;10,CONCATENATE("0",MONTH(A2195)),MONTH(A2195)))</f>
        <v>2025/05</v>
      </c>
      <c r="E2195" s="8">
        <f>IF(IF(D2195&lt;&gt;D2194,1,IF(OR(B2195&lt;&gt;B2194,A2195-A2194&gt;$U$1),1,""))&lt;&gt;1,"",IF(C2195="B01",1965,IF(C2195="B02",1020,IF(C2195="B05",2400,IF(C2195="B03",4260,IF(C2195="B04",2880,IF(C2195="B20",1260,0)))))))</f>
        <v>2400</v>
      </c>
      <c r="F2195" s="8">
        <f>IF(IF(D2195&lt;&gt;D2194,1,IF(OR(B2195&lt;&gt;B2194,A2195-A2194&gt;$U$1),1,""))&lt;&gt;1,"",IF(C2195="B01",1,IF(C2195="B05",1,IF(C2195="B03",1,IF(C2195="B04",1,IF(C2195="B20",1,IF(C2195="B02",1,0)))))))</f>
        <v>1</v>
      </c>
      <c r="G2195"/>
      <c r="H2195" s="2"/>
      <c r="I2195" s="2"/>
      <c r="L2195"/>
      <c r="R2195"/>
    </row>
    <row r="2196" spans="1:18">
      <c r="A2196" s="3">
        <v>45786.403726851851</v>
      </c>
      <c r="B2196" s="2" t="s">
        <v>28</v>
      </c>
      <c r="C2196" s="2" t="s">
        <v>11</v>
      </c>
      <c r="D2196" s="6" t="str">
        <f>CONCATENATE(YEAR(A2196),"/",IF(MONTH(A2196)&lt;10,CONCATENATE("0",MONTH(A2196)),MONTH(A2196)))</f>
        <v>2025/05</v>
      </c>
      <c r="E2196" s="8" t="str">
        <f>IF(IF(D2196&lt;&gt;D2195,1,IF(OR(B2196&lt;&gt;B2195,A2196-A2195&gt;$U$1),1,""))&lt;&gt;1,"",IF(C2196="B01",1965,IF(C2196="B02",1020,IF(C2196="B05",2400,IF(C2196="B03",4260,IF(C2196="B04",2880,IF(C2196="B20",1260,0)))))))</f>
        <v/>
      </c>
      <c r="F2196" s="8" t="str">
        <f>IF(IF(D2196&lt;&gt;D2195,1,IF(OR(B2196&lt;&gt;B2195,A2196-A2195&gt;$U$1),1,""))&lt;&gt;1,"",IF(C2196="B01",1,IF(C2196="B05",1,IF(C2196="B03",1,IF(C2196="B04",1,IF(C2196="B20",1,IF(C2196="B02",1,0)))))))</f>
        <v/>
      </c>
      <c r="G2196"/>
      <c r="H2196" s="2"/>
      <c r="I2196" s="2"/>
      <c r="L2196"/>
      <c r="R2196"/>
    </row>
    <row r="2197" spans="1:18">
      <c r="A2197" s="3">
        <v>45786.403726851851</v>
      </c>
      <c r="B2197" s="2" t="s">
        <v>28</v>
      </c>
      <c r="C2197" s="2" t="s">
        <v>11</v>
      </c>
      <c r="D2197" s="6" t="str">
        <f>CONCATENATE(YEAR(A2197),"/",IF(MONTH(A2197)&lt;10,CONCATENATE("0",MONTH(A2197)),MONTH(A2197)))</f>
        <v>2025/05</v>
      </c>
      <c r="E2197" s="8" t="str">
        <f>IF(IF(D2197&lt;&gt;D2196,1,IF(OR(B2197&lt;&gt;B2196,A2197-A2196&gt;$U$1),1,""))&lt;&gt;1,"",IF(C2197="B01",1965,IF(C2197="B02",1020,IF(C2197="B05",2400,IF(C2197="B03",4260,IF(C2197="B04",2880,IF(C2197="B20",1260,0)))))))</f>
        <v/>
      </c>
      <c r="F2197" s="8" t="str">
        <f>IF(IF(D2197&lt;&gt;D2196,1,IF(OR(B2197&lt;&gt;B2196,A2197-A2196&gt;$U$1),1,""))&lt;&gt;1,"",IF(C2197="B01",1,IF(C2197="B05",1,IF(C2197="B03",1,IF(C2197="B04",1,IF(C2197="B20",1,IF(C2197="B02",1,0)))))))</f>
        <v/>
      </c>
      <c r="G2197"/>
      <c r="H2197" s="2"/>
      <c r="I2197" s="2"/>
      <c r="L2197"/>
      <c r="R2197"/>
    </row>
    <row r="2198" spans="1:18">
      <c r="A2198" s="3">
        <v>45786.403726851851</v>
      </c>
      <c r="B2198" s="2" t="s">
        <v>28</v>
      </c>
      <c r="C2198" s="2" t="s">
        <v>11</v>
      </c>
      <c r="D2198" s="6" t="str">
        <f>CONCATENATE(YEAR(A2198),"/",IF(MONTH(A2198)&lt;10,CONCATENATE("0",MONTH(A2198)),MONTH(A2198)))</f>
        <v>2025/05</v>
      </c>
      <c r="E2198" s="8" t="str">
        <f>IF(IF(D2198&lt;&gt;D2197,1,IF(OR(B2198&lt;&gt;B2197,A2198-A2197&gt;$U$1),1,""))&lt;&gt;1,"",IF(C2198="B01",1965,IF(C2198="B02",1020,IF(C2198="B05",2400,IF(C2198="B03",4260,IF(C2198="B04",2880,IF(C2198="B20",1260,0)))))))</f>
        <v/>
      </c>
      <c r="F2198" s="8" t="str">
        <f>IF(IF(D2198&lt;&gt;D2197,1,IF(OR(B2198&lt;&gt;B2197,A2198-A2197&gt;$U$1),1,""))&lt;&gt;1,"",IF(C2198="B01",1,IF(C2198="B05",1,IF(C2198="B03",1,IF(C2198="B04",1,IF(C2198="B20",1,IF(C2198="B02",1,0)))))))</f>
        <v/>
      </c>
      <c r="G2198"/>
      <c r="H2198" s="2"/>
      <c r="I2198" s="2"/>
      <c r="L2198"/>
      <c r="R2198"/>
    </row>
    <row r="2199" spans="1:18">
      <c r="A2199" s="3">
        <v>45786.679236111115</v>
      </c>
      <c r="B2199" s="2" t="s">
        <v>28</v>
      </c>
      <c r="C2199" s="2" t="s">
        <v>11</v>
      </c>
      <c r="D2199" s="6" t="str">
        <f>CONCATENATE(YEAR(A2199),"/",IF(MONTH(A2199)&lt;10,CONCATENATE("0",MONTH(A2199)),MONTH(A2199)))</f>
        <v>2025/05</v>
      </c>
      <c r="E2199" s="8">
        <f>IF(IF(D2199&lt;&gt;D2198,1,IF(OR(B2199&lt;&gt;B2198,A2199-A2198&gt;$U$1),1,""))&lt;&gt;1,"",IF(C2199="B01",1965,IF(C2199="B02",1020,IF(C2199="B05",2400,IF(C2199="B03",4260,IF(C2199="B04",2880,IF(C2199="B20",1260,0)))))))</f>
        <v>2400</v>
      </c>
      <c r="F2199" s="8">
        <f>IF(IF(D2199&lt;&gt;D2198,1,IF(OR(B2199&lt;&gt;B2198,A2199-A2198&gt;$U$1),1,""))&lt;&gt;1,"",IF(C2199="B01",1,IF(C2199="B05",1,IF(C2199="B03",1,IF(C2199="B04",1,IF(C2199="B20",1,IF(C2199="B02",1,0)))))))</f>
        <v>1</v>
      </c>
      <c r="G2199"/>
      <c r="H2199" s="2"/>
      <c r="I2199" s="2"/>
      <c r="L2199"/>
      <c r="R2199"/>
    </row>
    <row r="2200" spans="1:18">
      <c r="A2200" s="3">
        <v>45786.679236111115</v>
      </c>
      <c r="B2200" s="2" t="s">
        <v>28</v>
      </c>
      <c r="C2200" s="2" t="s">
        <v>11</v>
      </c>
      <c r="D2200" s="6" t="str">
        <f>CONCATENATE(YEAR(A2200),"/",IF(MONTH(A2200)&lt;10,CONCATENATE("0",MONTH(A2200)),MONTH(A2200)))</f>
        <v>2025/05</v>
      </c>
      <c r="E2200" s="8" t="str">
        <f>IF(IF(D2200&lt;&gt;D2199,1,IF(OR(B2200&lt;&gt;B2199,A2200-A2199&gt;$U$1),1,""))&lt;&gt;1,"",IF(C2200="B01",1965,IF(C2200="B02",1020,IF(C2200="B05",2400,IF(C2200="B03",4260,IF(C2200="B04",2880,IF(C2200="B20",1260,0)))))))</f>
        <v/>
      </c>
      <c r="F2200" s="8" t="str">
        <f>IF(IF(D2200&lt;&gt;D2199,1,IF(OR(B2200&lt;&gt;B2199,A2200-A2199&gt;$U$1),1,""))&lt;&gt;1,"",IF(C2200="B01",1,IF(C2200="B05",1,IF(C2200="B03",1,IF(C2200="B04",1,IF(C2200="B20",1,IF(C2200="B02",1,0)))))))</f>
        <v/>
      </c>
      <c r="G2200"/>
      <c r="H2200" s="2"/>
      <c r="I2200" s="2"/>
      <c r="L2200"/>
      <c r="R2200"/>
    </row>
    <row r="2201" spans="1:18">
      <c r="A2201" s="3">
        <v>45786.679236111115</v>
      </c>
      <c r="B2201" s="2" t="s">
        <v>28</v>
      </c>
      <c r="C2201" s="2" t="s">
        <v>11</v>
      </c>
      <c r="D2201" s="6" t="str">
        <f>CONCATENATE(YEAR(A2201),"/",IF(MONTH(A2201)&lt;10,CONCATENATE("0",MONTH(A2201)),MONTH(A2201)))</f>
        <v>2025/05</v>
      </c>
      <c r="E2201" s="8" t="str">
        <f>IF(IF(D2201&lt;&gt;D2200,1,IF(OR(B2201&lt;&gt;B2200,A2201-A2200&gt;$U$1),1,""))&lt;&gt;1,"",IF(C2201="B01",1965,IF(C2201="B02",1020,IF(C2201="B05",2400,IF(C2201="B03",4260,IF(C2201="B04",2880,IF(C2201="B20",1260,0)))))))</f>
        <v/>
      </c>
      <c r="F2201" s="8" t="str">
        <f>IF(IF(D2201&lt;&gt;D2200,1,IF(OR(B2201&lt;&gt;B2200,A2201-A2200&gt;$U$1),1,""))&lt;&gt;1,"",IF(C2201="B01",1,IF(C2201="B05",1,IF(C2201="B03",1,IF(C2201="B04",1,IF(C2201="B20",1,IF(C2201="B02",1,0)))))))</f>
        <v/>
      </c>
      <c r="G2201"/>
      <c r="H2201" s="2"/>
      <c r="I2201" s="2"/>
      <c r="L2201"/>
      <c r="R2201"/>
    </row>
    <row r="2202" spans="1:18">
      <c r="A2202" s="3">
        <v>45786.957442129627</v>
      </c>
      <c r="B2202" s="2" t="s">
        <v>28</v>
      </c>
      <c r="C2202" s="2" t="s">
        <v>11</v>
      </c>
      <c r="D2202" s="6" t="str">
        <f>CONCATENATE(YEAR(A2202),"/",IF(MONTH(A2202)&lt;10,CONCATENATE("0",MONTH(A2202)),MONTH(A2202)))</f>
        <v>2025/05</v>
      </c>
      <c r="E2202" s="8">
        <f>IF(IF(D2202&lt;&gt;D2201,1,IF(OR(B2202&lt;&gt;B2201,A2202-A2201&gt;$U$1),1,""))&lt;&gt;1,"",IF(C2202="B01",1965,IF(C2202="B02",1020,IF(C2202="B05",2400,IF(C2202="B03",4260,IF(C2202="B04",2880,IF(C2202="B20",1260,0)))))))</f>
        <v>2400</v>
      </c>
      <c r="F2202" s="8">
        <f>IF(IF(D2202&lt;&gt;D2201,1,IF(OR(B2202&lt;&gt;B2201,A2202-A2201&gt;$U$1),1,""))&lt;&gt;1,"",IF(C2202="B01",1,IF(C2202="B05",1,IF(C2202="B03",1,IF(C2202="B04",1,IF(C2202="B20",1,IF(C2202="B02",1,0)))))))</f>
        <v>1</v>
      </c>
      <c r="G2202"/>
      <c r="H2202" s="2"/>
      <c r="I2202" s="2"/>
      <c r="L2202"/>
      <c r="R2202"/>
    </row>
    <row r="2203" spans="1:18">
      <c r="A2203" s="3">
        <v>45786.957442129627</v>
      </c>
      <c r="B2203" s="2" t="s">
        <v>28</v>
      </c>
      <c r="C2203" s="2" t="s">
        <v>11</v>
      </c>
      <c r="D2203" s="6" t="str">
        <f>CONCATENATE(YEAR(A2203),"/",IF(MONTH(A2203)&lt;10,CONCATENATE("0",MONTH(A2203)),MONTH(A2203)))</f>
        <v>2025/05</v>
      </c>
      <c r="E2203" s="8" t="str">
        <f>IF(IF(D2203&lt;&gt;D2202,1,IF(OR(B2203&lt;&gt;B2202,A2203-A2202&gt;$U$1),1,""))&lt;&gt;1,"",IF(C2203="B01",1965,IF(C2203="B02",1020,IF(C2203="B05",2400,IF(C2203="B03",4260,IF(C2203="B04",2880,IF(C2203="B20",1260,0)))))))</f>
        <v/>
      </c>
      <c r="F2203" s="8" t="str">
        <f>IF(IF(D2203&lt;&gt;D2202,1,IF(OR(B2203&lt;&gt;B2202,A2203-A2202&gt;$U$1),1,""))&lt;&gt;1,"",IF(C2203="B01",1,IF(C2203="B05",1,IF(C2203="B03",1,IF(C2203="B04",1,IF(C2203="B20",1,IF(C2203="B02",1,0)))))))</f>
        <v/>
      </c>
      <c r="G2203"/>
      <c r="H2203" s="2"/>
      <c r="I2203" s="2"/>
      <c r="L2203"/>
      <c r="R2203"/>
    </row>
    <row r="2204" spans="1:18">
      <c r="A2204" s="3">
        <v>45787.163969907408</v>
      </c>
      <c r="B2204" s="2" t="s">
        <v>28</v>
      </c>
      <c r="C2204" s="2" t="s">
        <v>11</v>
      </c>
      <c r="D2204" s="6" t="str">
        <f>CONCATENATE(YEAR(A2204),"/",IF(MONTH(A2204)&lt;10,CONCATENATE("0",MONTH(A2204)),MONTH(A2204)))</f>
        <v>2025/05</v>
      </c>
      <c r="E2204" s="8">
        <f>IF(IF(D2204&lt;&gt;D2203,1,IF(OR(B2204&lt;&gt;B2203,A2204-A2203&gt;$U$1),1,""))&lt;&gt;1,"",IF(C2204="B01",1965,IF(C2204="B02",1020,IF(C2204="B05",2400,IF(C2204="B03",4260,IF(C2204="B04",2880,IF(C2204="B20",1260,0)))))))</f>
        <v>2400</v>
      </c>
      <c r="F2204" s="8">
        <f>IF(IF(D2204&lt;&gt;D2203,1,IF(OR(B2204&lt;&gt;B2203,A2204-A2203&gt;$U$1),1,""))&lt;&gt;1,"",IF(C2204="B01",1,IF(C2204="B05",1,IF(C2204="B03",1,IF(C2204="B04",1,IF(C2204="B20",1,IF(C2204="B02",1,0)))))))</f>
        <v>1</v>
      </c>
      <c r="G2204"/>
      <c r="H2204" s="2"/>
      <c r="I2204" s="2"/>
      <c r="L2204"/>
      <c r="R2204"/>
    </row>
    <row r="2205" spans="1:18">
      <c r="A2205" s="3">
        <v>45787.163969907408</v>
      </c>
      <c r="B2205" s="2" t="s">
        <v>28</v>
      </c>
      <c r="C2205" s="2" t="s">
        <v>11</v>
      </c>
      <c r="D2205" s="6" t="str">
        <f>CONCATENATE(YEAR(A2205),"/",IF(MONTH(A2205)&lt;10,CONCATENATE("0",MONTH(A2205)),MONTH(A2205)))</f>
        <v>2025/05</v>
      </c>
      <c r="E2205" s="8" t="str">
        <f>IF(IF(D2205&lt;&gt;D2204,1,IF(OR(B2205&lt;&gt;B2204,A2205-A2204&gt;$U$1),1,""))&lt;&gt;1,"",IF(C2205="B01",1965,IF(C2205="B02",1020,IF(C2205="B05",2400,IF(C2205="B03",4260,IF(C2205="B04",2880,IF(C2205="B20",1260,0)))))))</f>
        <v/>
      </c>
      <c r="F2205" s="8" t="str">
        <f>IF(IF(D2205&lt;&gt;D2204,1,IF(OR(B2205&lt;&gt;B2204,A2205-A2204&gt;$U$1),1,""))&lt;&gt;1,"",IF(C2205="B01",1,IF(C2205="B05",1,IF(C2205="B03",1,IF(C2205="B04",1,IF(C2205="B20",1,IF(C2205="B02",1,0)))))))</f>
        <v/>
      </c>
      <c r="G2205"/>
      <c r="H2205" s="2"/>
      <c r="I2205" s="2"/>
      <c r="L2205"/>
      <c r="R2205"/>
    </row>
    <row r="2206" spans="1:18">
      <c r="A2206" s="3">
        <v>45787.356412037036</v>
      </c>
      <c r="B2206" s="2" t="s">
        <v>28</v>
      </c>
      <c r="C2206" s="2" t="s">
        <v>11</v>
      </c>
      <c r="D2206" s="6" t="str">
        <f>CONCATENATE(YEAR(A2206),"/",IF(MONTH(A2206)&lt;10,CONCATENATE("0",MONTH(A2206)),MONTH(A2206)))</f>
        <v>2025/05</v>
      </c>
      <c r="E2206" s="8">
        <f>IF(IF(D2206&lt;&gt;D2205,1,IF(OR(B2206&lt;&gt;B2205,A2206-A2205&gt;$U$1),1,""))&lt;&gt;1,"",IF(C2206="B01",1965,IF(C2206="B02",1020,IF(C2206="B05",2400,IF(C2206="B03",4260,IF(C2206="B04",2880,IF(C2206="B20",1260,0)))))))</f>
        <v>2400</v>
      </c>
      <c r="F2206" s="8">
        <f>IF(IF(D2206&lt;&gt;D2205,1,IF(OR(B2206&lt;&gt;B2205,A2206-A2205&gt;$U$1),1,""))&lt;&gt;1,"",IF(C2206="B01",1,IF(C2206="B05",1,IF(C2206="B03",1,IF(C2206="B04",1,IF(C2206="B20",1,IF(C2206="B02",1,0)))))))</f>
        <v>1</v>
      </c>
      <c r="G2206"/>
      <c r="H2206" s="2"/>
      <c r="I2206" s="2"/>
      <c r="L2206"/>
      <c r="R2206"/>
    </row>
    <row r="2207" spans="1:18">
      <c r="A2207" s="3">
        <v>45787.356412037036</v>
      </c>
      <c r="B2207" s="2" t="s">
        <v>28</v>
      </c>
      <c r="C2207" s="2" t="s">
        <v>11</v>
      </c>
      <c r="D2207" s="6" t="str">
        <f>CONCATENATE(YEAR(A2207),"/",IF(MONTH(A2207)&lt;10,CONCATENATE("0",MONTH(A2207)),MONTH(A2207)))</f>
        <v>2025/05</v>
      </c>
      <c r="E2207" s="8" t="str">
        <f>IF(IF(D2207&lt;&gt;D2206,1,IF(OR(B2207&lt;&gt;B2206,A2207-A2206&gt;$U$1),1,""))&lt;&gt;1,"",IF(C2207="B01",1965,IF(C2207="B02",1020,IF(C2207="B05",2400,IF(C2207="B03",4260,IF(C2207="B04",2880,IF(C2207="B20",1260,0)))))))</f>
        <v/>
      </c>
      <c r="F2207" s="8" t="str">
        <f>IF(IF(D2207&lt;&gt;D2206,1,IF(OR(B2207&lt;&gt;B2206,A2207-A2206&gt;$U$1),1,""))&lt;&gt;1,"",IF(C2207="B01",1,IF(C2207="B05",1,IF(C2207="B03",1,IF(C2207="B04",1,IF(C2207="B20",1,IF(C2207="B02",1,0)))))))</f>
        <v/>
      </c>
      <c r="G2207"/>
      <c r="H2207" s="2"/>
      <c r="I2207" s="2"/>
      <c r="L2207"/>
      <c r="R2207"/>
    </row>
    <row r="2208" spans="1:18">
      <c r="A2208" s="3">
        <v>45787.558842592596</v>
      </c>
      <c r="B2208" s="2" t="s">
        <v>28</v>
      </c>
      <c r="C2208" s="2" t="s">
        <v>11</v>
      </c>
      <c r="D2208" s="6" t="str">
        <f>CONCATENATE(YEAR(A2208),"/",IF(MONTH(A2208)&lt;10,CONCATENATE("0",MONTH(A2208)),MONTH(A2208)))</f>
        <v>2025/05</v>
      </c>
      <c r="E2208" s="8">
        <f>IF(IF(D2208&lt;&gt;D2207,1,IF(OR(B2208&lt;&gt;B2207,A2208-A2207&gt;$U$1),1,""))&lt;&gt;1,"",IF(C2208="B01",1965,IF(C2208="B02",1020,IF(C2208="B05",2400,IF(C2208="B03",4260,IF(C2208="B04",2880,IF(C2208="B20",1260,0)))))))</f>
        <v>2400</v>
      </c>
      <c r="F2208" s="8">
        <f>IF(IF(D2208&lt;&gt;D2207,1,IF(OR(B2208&lt;&gt;B2207,A2208-A2207&gt;$U$1),1,""))&lt;&gt;1,"",IF(C2208="B01",1,IF(C2208="B05",1,IF(C2208="B03",1,IF(C2208="B04",1,IF(C2208="B20",1,IF(C2208="B02",1,0)))))))</f>
        <v>1</v>
      </c>
      <c r="G2208"/>
      <c r="H2208" s="2"/>
      <c r="I2208" s="2"/>
      <c r="L2208"/>
      <c r="R2208"/>
    </row>
    <row r="2209" spans="1:18">
      <c r="A2209" s="3">
        <v>45787.558842592596</v>
      </c>
      <c r="B2209" s="2" t="s">
        <v>28</v>
      </c>
      <c r="C2209" s="2" t="s">
        <v>11</v>
      </c>
      <c r="D2209" s="6" t="str">
        <f>CONCATENATE(YEAR(A2209),"/",IF(MONTH(A2209)&lt;10,CONCATENATE("0",MONTH(A2209)),MONTH(A2209)))</f>
        <v>2025/05</v>
      </c>
      <c r="E2209" s="8" t="str">
        <f>IF(IF(D2209&lt;&gt;D2208,1,IF(OR(B2209&lt;&gt;B2208,A2209-A2208&gt;$U$1),1,""))&lt;&gt;1,"",IF(C2209="B01",1965,IF(C2209="B02",1020,IF(C2209="B05",2400,IF(C2209="B03",4260,IF(C2209="B04",2880,IF(C2209="B20",1260,0)))))))</f>
        <v/>
      </c>
      <c r="F2209" s="8" t="str">
        <f>IF(IF(D2209&lt;&gt;D2208,1,IF(OR(B2209&lt;&gt;B2208,A2209-A2208&gt;$U$1),1,""))&lt;&gt;1,"",IF(C2209="B01",1,IF(C2209="B05",1,IF(C2209="B03",1,IF(C2209="B04",1,IF(C2209="B20",1,IF(C2209="B02",1,0)))))))</f>
        <v/>
      </c>
      <c r="G2209"/>
      <c r="H2209" s="2"/>
      <c r="I2209" s="2"/>
      <c r="L2209"/>
      <c r="R2209"/>
    </row>
    <row r="2210" spans="1:18">
      <c r="A2210" s="3">
        <v>45787.558842592596</v>
      </c>
      <c r="B2210" s="2" t="s">
        <v>28</v>
      </c>
      <c r="C2210" s="2" t="s">
        <v>11</v>
      </c>
      <c r="D2210" s="6" t="str">
        <f>CONCATENATE(YEAR(A2210),"/",IF(MONTH(A2210)&lt;10,CONCATENATE("0",MONTH(A2210)),MONTH(A2210)))</f>
        <v>2025/05</v>
      </c>
      <c r="E2210" s="8" t="str">
        <f>IF(IF(D2210&lt;&gt;D2209,1,IF(OR(B2210&lt;&gt;B2209,A2210-A2209&gt;$U$1),1,""))&lt;&gt;1,"",IF(C2210="B01",1965,IF(C2210="B02",1020,IF(C2210="B05",2400,IF(C2210="B03",4260,IF(C2210="B04",2880,IF(C2210="B20",1260,0)))))))</f>
        <v/>
      </c>
      <c r="F2210" s="8" t="str">
        <f>IF(IF(D2210&lt;&gt;D2209,1,IF(OR(B2210&lt;&gt;B2209,A2210-A2209&gt;$U$1),1,""))&lt;&gt;1,"",IF(C2210="B01",1,IF(C2210="B05",1,IF(C2210="B03",1,IF(C2210="B04",1,IF(C2210="B20",1,IF(C2210="B02",1,0)))))))</f>
        <v/>
      </c>
      <c r="G2210"/>
      <c r="H2210" s="2"/>
      <c r="I2210" s="2"/>
      <c r="L2210"/>
      <c r="R2210"/>
    </row>
    <row r="2211" spans="1:18">
      <c r="A2211" s="3">
        <v>45787.734085648146</v>
      </c>
      <c r="B2211" s="2" t="s">
        <v>28</v>
      </c>
      <c r="C2211" s="2" t="s">
        <v>11</v>
      </c>
      <c r="D2211" s="6" t="str">
        <f>CONCATENATE(YEAR(A2211),"/",IF(MONTH(A2211)&lt;10,CONCATENATE("0",MONTH(A2211)),MONTH(A2211)))</f>
        <v>2025/05</v>
      </c>
      <c r="E2211" s="8">
        <f>IF(IF(D2211&lt;&gt;D2210,1,IF(OR(B2211&lt;&gt;B2210,A2211-A2210&gt;$U$1),1,""))&lt;&gt;1,"",IF(C2211="B01",1965,IF(C2211="B02",1020,IF(C2211="B05",2400,IF(C2211="B03",4260,IF(C2211="B04",2880,IF(C2211="B20",1260,0)))))))</f>
        <v>2400</v>
      </c>
      <c r="F2211" s="8">
        <f>IF(IF(D2211&lt;&gt;D2210,1,IF(OR(B2211&lt;&gt;B2210,A2211-A2210&gt;$U$1),1,""))&lt;&gt;1,"",IF(C2211="B01",1,IF(C2211="B05",1,IF(C2211="B03",1,IF(C2211="B04",1,IF(C2211="B20",1,IF(C2211="B02",1,0)))))))</f>
        <v>1</v>
      </c>
      <c r="G2211"/>
      <c r="H2211" s="2"/>
      <c r="I2211" s="2"/>
      <c r="L2211"/>
      <c r="R2211"/>
    </row>
    <row r="2212" spans="1:18">
      <c r="A2212" s="3">
        <v>45787.734085648146</v>
      </c>
      <c r="B2212" s="2" t="s">
        <v>28</v>
      </c>
      <c r="C2212" s="2" t="s">
        <v>11</v>
      </c>
      <c r="D2212" s="6" t="str">
        <f>CONCATENATE(YEAR(A2212),"/",IF(MONTH(A2212)&lt;10,CONCATENATE("0",MONTH(A2212)),MONTH(A2212)))</f>
        <v>2025/05</v>
      </c>
      <c r="E2212" s="8" t="str">
        <f>IF(IF(D2212&lt;&gt;D2211,1,IF(OR(B2212&lt;&gt;B2211,A2212-A2211&gt;$U$1),1,""))&lt;&gt;1,"",IF(C2212="B01",1965,IF(C2212="B02",1020,IF(C2212="B05",2400,IF(C2212="B03",4260,IF(C2212="B04",2880,IF(C2212="B20",1260,0)))))))</f>
        <v/>
      </c>
      <c r="F2212" s="8" t="str">
        <f>IF(IF(D2212&lt;&gt;D2211,1,IF(OR(B2212&lt;&gt;B2211,A2212-A2211&gt;$U$1),1,""))&lt;&gt;1,"",IF(C2212="B01",1,IF(C2212="B05",1,IF(C2212="B03",1,IF(C2212="B04",1,IF(C2212="B20",1,IF(C2212="B02",1,0)))))))</f>
        <v/>
      </c>
      <c r="G2212"/>
      <c r="H2212" s="2"/>
      <c r="I2212" s="2"/>
      <c r="L2212"/>
      <c r="R2212"/>
    </row>
    <row r="2213" spans="1:18">
      <c r="A2213" s="3">
        <v>45787.853310185186</v>
      </c>
      <c r="B2213" s="2" t="s">
        <v>28</v>
      </c>
      <c r="C2213" s="2" t="s">
        <v>11</v>
      </c>
      <c r="D2213" s="6" t="str">
        <f>CONCATENATE(YEAR(A2213),"/",IF(MONTH(A2213)&lt;10,CONCATENATE("0",MONTH(A2213)),MONTH(A2213)))</f>
        <v>2025/05</v>
      </c>
      <c r="E2213" s="8">
        <f>IF(IF(D2213&lt;&gt;D2212,1,IF(OR(B2213&lt;&gt;B2212,A2213-A2212&gt;$U$1),1,""))&lt;&gt;1,"",IF(C2213="B01",1965,IF(C2213="B02",1020,IF(C2213="B05",2400,IF(C2213="B03",4260,IF(C2213="B04",2880,IF(C2213="B20",1260,0)))))))</f>
        <v>2400</v>
      </c>
      <c r="F2213" s="8">
        <f>IF(IF(D2213&lt;&gt;D2212,1,IF(OR(B2213&lt;&gt;B2212,A2213-A2212&gt;$U$1),1,""))&lt;&gt;1,"",IF(C2213="B01",1,IF(C2213="B05",1,IF(C2213="B03",1,IF(C2213="B04",1,IF(C2213="B20",1,IF(C2213="B02",1,0)))))))</f>
        <v>1</v>
      </c>
      <c r="G2213"/>
      <c r="H2213" s="2"/>
      <c r="I2213" s="2"/>
      <c r="L2213"/>
      <c r="R2213"/>
    </row>
    <row r="2214" spans="1:18">
      <c r="A2214" s="3">
        <v>45787.853310185186</v>
      </c>
      <c r="B2214" s="2" t="s">
        <v>28</v>
      </c>
      <c r="C2214" s="2" t="s">
        <v>11</v>
      </c>
      <c r="D2214" s="6" t="str">
        <f>CONCATENATE(YEAR(A2214),"/",IF(MONTH(A2214)&lt;10,CONCATENATE("0",MONTH(A2214)),MONTH(A2214)))</f>
        <v>2025/05</v>
      </c>
      <c r="E2214" s="8" t="str">
        <f>IF(IF(D2214&lt;&gt;D2213,1,IF(OR(B2214&lt;&gt;B2213,A2214-A2213&gt;$U$1),1,""))&lt;&gt;1,"",IF(C2214="B01",1965,IF(C2214="B02",1020,IF(C2214="B05",2400,IF(C2214="B03",4260,IF(C2214="B04",2880,IF(C2214="B20",1260,0)))))))</f>
        <v/>
      </c>
      <c r="F2214" s="8" t="str">
        <f>IF(IF(D2214&lt;&gt;D2213,1,IF(OR(B2214&lt;&gt;B2213,A2214-A2213&gt;$U$1),1,""))&lt;&gt;1,"",IF(C2214="B01",1,IF(C2214="B05",1,IF(C2214="B03",1,IF(C2214="B04",1,IF(C2214="B20",1,IF(C2214="B02",1,0)))))))</f>
        <v/>
      </c>
      <c r="G2214"/>
      <c r="H2214" s="2"/>
      <c r="I2214" s="2"/>
      <c r="L2214"/>
      <c r="R2214"/>
    </row>
    <row r="2215" spans="1:18">
      <c r="A2215" s="3">
        <v>45787.853310185186</v>
      </c>
      <c r="B2215" s="2" t="s">
        <v>28</v>
      </c>
      <c r="C2215" s="2" t="s">
        <v>11</v>
      </c>
      <c r="D2215" s="6" t="str">
        <f>CONCATENATE(YEAR(A2215),"/",IF(MONTH(A2215)&lt;10,CONCATENATE("0",MONTH(A2215)),MONTH(A2215)))</f>
        <v>2025/05</v>
      </c>
      <c r="E2215" s="8" t="str">
        <f>IF(IF(D2215&lt;&gt;D2214,1,IF(OR(B2215&lt;&gt;B2214,A2215-A2214&gt;$U$1),1,""))&lt;&gt;1,"",IF(C2215="B01",1965,IF(C2215="B02",1020,IF(C2215="B05",2400,IF(C2215="B03",4260,IF(C2215="B04",2880,IF(C2215="B20",1260,0)))))))</f>
        <v/>
      </c>
      <c r="F2215" s="8" t="str">
        <f>IF(IF(D2215&lt;&gt;D2214,1,IF(OR(B2215&lt;&gt;B2214,A2215-A2214&gt;$U$1),1,""))&lt;&gt;1,"",IF(C2215="B01",1,IF(C2215="B05",1,IF(C2215="B03",1,IF(C2215="B04",1,IF(C2215="B20",1,IF(C2215="B02",1,0)))))))</f>
        <v/>
      </c>
      <c r="G2215"/>
      <c r="H2215" s="2"/>
      <c r="I2215" s="2"/>
      <c r="L2215"/>
      <c r="R2215"/>
    </row>
    <row r="2216" spans="1:18">
      <c r="A2216" s="3">
        <v>45787.968078703707</v>
      </c>
      <c r="B2216" s="2" t="s">
        <v>28</v>
      </c>
      <c r="C2216" s="2" t="s">
        <v>11</v>
      </c>
      <c r="D2216" s="6" t="str">
        <f>CONCATENATE(YEAR(A2216),"/",IF(MONTH(A2216)&lt;10,CONCATENATE("0",MONTH(A2216)),MONTH(A2216)))</f>
        <v>2025/05</v>
      </c>
      <c r="E2216" s="8">
        <f>IF(IF(D2216&lt;&gt;D2215,1,IF(OR(B2216&lt;&gt;B2215,A2216-A2215&gt;$U$1),1,""))&lt;&gt;1,"",IF(C2216="B01",1965,IF(C2216="B02",1020,IF(C2216="B05",2400,IF(C2216="B03",4260,IF(C2216="B04",2880,IF(C2216="B20",1260,0)))))))</f>
        <v>2400</v>
      </c>
      <c r="F2216" s="8">
        <f>IF(IF(D2216&lt;&gt;D2215,1,IF(OR(B2216&lt;&gt;B2215,A2216-A2215&gt;$U$1),1,""))&lt;&gt;1,"",IF(C2216="B01",1,IF(C2216="B05",1,IF(C2216="B03",1,IF(C2216="B04",1,IF(C2216="B20",1,IF(C2216="B02",1,0)))))))</f>
        <v>1</v>
      </c>
      <c r="G2216"/>
      <c r="H2216" s="2"/>
      <c r="I2216" s="2"/>
      <c r="L2216"/>
      <c r="R2216"/>
    </row>
    <row r="2217" spans="1:18">
      <c r="A2217" s="3">
        <v>45787.968078703707</v>
      </c>
      <c r="B2217" s="2" t="s">
        <v>28</v>
      </c>
      <c r="C2217" s="2" t="s">
        <v>11</v>
      </c>
      <c r="D2217" s="6" t="str">
        <f>CONCATENATE(YEAR(A2217),"/",IF(MONTH(A2217)&lt;10,CONCATENATE("0",MONTH(A2217)),MONTH(A2217)))</f>
        <v>2025/05</v>
      </c>
      <c r="E2217" s="8" t="str">
        <f>IF(IF(D2217&lt;&gt;D2216,1,IF(OR(B2217&lt;&gt;B2216,A2217-A2216&gt;$U$1),1,""))&lt;&gt;1,"",IF(C2217="B01",1965,IF(C2217="B02",1020,IF(C2217="B05",2400,IF(C2217="B03",4260,IF(C2217="B04",2880,IF(C2217="B20",1260,0)))))))</f>
        <v/>
      </c>
      <c r="F2217" s="8" t="str">
        <f>IF(IF(D2217&lt;&gt;D2216,1,IF(OR(B2217&lt;&gt;B2216,A2217-A2216&gt;$U$1),1,""))&lt;&gt;1,"",IF(C2217="B01",1,IF(C2217="B05",1,IF(C2217="B03",1,IF(C2217="B04",1,IF(C2217="B20",1,IF(C2217="B02",1,0)))))))</f>
        <v/>
      </c>
      <c r="G2217"/>
      <c r="H2217" s="2"/>
      <c r="I2217" s="2"/>
      <c r="L2217"/>
      <c r="R2217"/>
    </row>
    <row r="2218" spans="1:18">
      <c r="A2218" s="3">
        <v>45787.968078703707</v>
      </c>
      <c r="B2218" s="2" t="s">
        <v>28</v>
      </c>
      <c r="C2218" s="2" t="s">
        <v>11</v>
      </c>
      <c r="D2218" s="6" t="str">
        <f>CONCATENATE(YEAR(A2218),"/",IF(MONTH(A2218)&lt;10,CONCATENATE("0",MONTH(A2218)),MONTH(A2218)))</f>
        <v>2025/05</v>
      </c>
      <c r="E2218" s="8" t="str">
        <f>IF(IF(D2218&lt;&gt;D2217,1,IF(OR(B2218&lt;&gt;B2217,A2218-A2217&gt;$U$1),1,""))&lt;&gt;1,"",IF(C2218="B01",1965,IF(C2218="B02",1020,IF(C2218="B05",2400,IF(C2218="B03",4260,IF(C2218="B04",2880,IF(C2218="B20",1260,0)))))))</f>
        <v/>
      </c>
      <c r="F2218" s="8" t="str">
        <f>IF(IF(D2218&lt;&gt;D2217,1,IF(OR(B2218&lt;&gt;B2217,A2218-A2217&gt;$U$1),1,""))&lt;&gt;1,"",IF(C2218="B01",1,IF(C2218="B05",1,IF(C2218="B03",1,IF(C2218="B04",1,IF(C2218="B20",1,IF(C2218="B02",1,0)))))))</f>
        <v/>
      </c>
      <c r="G2218"/>
      <c r="H2218" s="2"/>
      <c r="I2218" s="2"/>
      <c r="L2218"/>
      <c r="R2218"/>
    </row>
    <row r="2219" spans="1:18">
      <c r="A2219" s="3">
        <v>45788.263738425929</v>
      </c>
      <c r="B2219" s="2" t="s">
        <v>28</v>
      </c>
      <c r="C2219" s="2" t="s">
        <v>11</v>
      </c>
      <c r="D2219" s="6" t="str">
        <f>CONCATENATE(YEAR(A2219),"/",IF(MONTH(A2219)&lt;10,CONCATENATE("0",MONTH(A2219)),MONTH(A2219)))</f>
        <v>2025/05</v>
      </c>
      <c r="E2219" s="8">
        <f>IF(IF(D2219&lt;&gt;D2218,1,IF(OR(B2219&lt;&gt;B2218,A2219-A2218&gt;$U$1),1,""))&lt;&gt;1,"",IF(C2219="B01",1965,IF(C2219="B02",1020,IF(C2219="B05",2400,IF(C2219="B03",4260,IF(C2219="B04",2880,IF(C2219="B20",1260,0)))))))</f>
        <v>2400</v>
      </c>
      <c r="F2219" s="8">
        <f>IF(IF(D2219&lt;&gt;D2218,1,IF(OR(B2219&lt;&gt;B2218,A2219-A2218&gt;$U$1),1,""))&lt;&gt;1,"",IF(C2219="B01",1,IF(C2219="B05",1,IF(C2219="B03",1,IF(C2219="B04",1,IF(C2219="B20",1,IF(C2219="B02",1,0)))))))</f>
        <v>1</v>
      </c>
      <c r="G2219"/>
      <c r="H2219" s="2"/>
      <c r="I2219" s="2"/>
      <c r="L2219"/>
      <c r="R2219"/>
    </row>
    <row r="2220" spans="1:18">
      <c r="A2220" s="3">
        <v>45788.263738425929</v>
      </c>
      <c r="B2220" s="2" t="s">
        <v>28</v>
      </c>
      <c r="C2220" s="2" t="s">
        <v>11</v>
      </c>
      <c r="D2220" s="6" t="str">
        <f>CONCATENATE(YEAR(A2220),"/",IF(MONTH(A2220)&lt;10,CONCATENATE("0",MONTH(A2220)),MONTH(A2220)))</f>
        <v>2025/05</v>
      </c>
      <c r="E2220" s="8" t="str">
        <f>IF(IF(D2220&lt;&gt;D2219,1,IF(OR(B2220&lt;&gt;B2219,A2220-A2219&gt;$U$1),1,""))&lt;&gt;1,"",IF(C2220="B01",1965,IF(C2220="B02",1020,IF(C2220="B05",2400,IF(C2220="B03",4260,IF(C2220="B04",2880,IF(C2220="B20",1260,0)))))))</f>
        <v/>
      </c>
      <c r="F2220" s="8" t="str">
        <f>IF(IF(D2220&lt;&gt;D2219,1,IF(OR(B2220&lt;&gt;B2219,A2220-A2219&gt;$U$1),1,""))&lt;&gt;1,"",IF(C2220="B01",1,IF(C2220="B05",1,IF(C2220="B03",1,IF(C2220="B04",1,IF(C2220="B20",1,IF(C2220="B02",1,0)))))))</f>
        <v/>
      </c>
      <c r="G2220"/>
      <c r="H2220" s="2"/>
      <c r="I2220" s="2"/>
      <c r="L2220"/>
      <c r="R2220"/>
    </row>
    <row r="2221" spans="1:18">
      <c r="A2221" s="3">
        <v>45788.263738425929</v>
      </c>
      <c r="B2221" s="2" t="s">
        <v>28</v>
      </c>
      <c r="C2221" s="2" t="s">
        <v>11</v>
      </c>
      <c r="D2221" s="6" t="str">
        <f>CONCATENATE(YEAR(A2221),"/",IF(MONTH(A2221)&lt;10,CONCATENATE("0",MONTH(A2221)),MONTH(A2221)))</f>
        <v>2025/05</v>
      </c>
      <c r="E2221" s="8" t="str">
        <f>IF(IF(D2221&lt;&gt;D2220,1,IF(OR(B2221&lt;&gt;B2220,A2221-A2220&gt;$U$1),1,""))&lt;&gt;1,"",IF(C2221="B01",1965,IF(C2221="B02",1020,IF(C2221="B05",2400,IF(C2221="B03",4260,IF(C2221="B04",2880,IF(C2221="B20",1260,0)))))))</f>
        <v/>
      </c>
      <c r="F2221" s="8" t="str">
        <f>IF(IF(D2221&lt;&gt;D2220,1,IF(OR(B2221&lt;&gt;B2220,A2221-A2220&gt;$U$1),1,""))&lt;&gt;1,"",IF(C2221="B01",1,IF(C2221="B05",1,IF(C2221="B03",1,IF(C2221="B04",1,IF(C2221="B20",1,IF(C2221="B02",1,0)))))))</f>
        <v/>
      </c>
      <c r="G2221"/>
      <c r="H2221" s="2"/>
      <c r="I2221" s="2"/>
      <c r="L2221"/>
      <c r="R2221"/>
    </row>
    <row r="2222" spans="1:18">
      <c r="A2222" s="3">
        <v>45788.572488425925</v>
      </c>
      <c r="B2222" s="2" t="s">
        <v>28</v>
      </c>
      <c r="C2222" s="2" t="s">
        <v>11</v>
      </c>
      <c r="D2222" s="6" t="str">
        <f>CONCATENATE(YEAR(A2222),"/",IF(MONTH(A2222)&lt;10,CONCATENATE("0",MONTH(A2222)),MONTH(A2222)))</f>
        <v>2025/05</v>
      </c>
      <c r="E2222" s="8">
        <f>IF(IF(D2222&lt;&gt;D2221,1,IF(OR(B2222&lt;&gt;B2221,A2222-A2221&gt;$U$1),1,""))&lt;&gt;1,"",IF(C2222="B01",1965,IF(C2222="B02",1020,IF(C2222="B05",2400,IF(C2222="B03",4260,IF(C2222="B04",2880,IF(C2222="B20",1260,0)))))))</f>
        <v>2400</v>
      </c>
      <c r="F2222" s="8">
        <f>IF(IF(D2222&lt;&gt;D2221,1,IF(OR(B2222&lt;&gt;B2221,A2222-A2221&gt;$U$1),1,""))&lt;&gt;1,"",IF(C2222="B01",1,IF(C2222="B05",1,IF(C2222="B03",1,IF(C2222="B04",1,IF(C2222="B20",1,IF(C2222="B02",1,0)))))))</f>
        <v>1</v>
      </c>
      <c r="G2222"/>
      <c r="H2222" s="2"/>
      <c r="I2222" s="2"/>
      <c r="L2222"/>
      <c r="R2222"/>
    </row>
    <row r="2223" spans="1:18">
      <c r="A2223" s="3">
        <v>45788.572488425925</v>
      </c>
      <c r="B2223" s="2" t="s">
        <v>28</v>
      </c>
      <c r="C2223" s="2" t="s">
        <v>11</v>
      </c>
      <c r="D2223" s="6" t="str">
        <f>CONCATENATE(YEAR(A2223),"/",IF(MONTH(A2223)&lt;10,CONCATENATE("0",MONTH(A2223)),MONTH(A2223)))</f>
        <v>2025/05</v>
      </c>
      <c r="E2223" s="8" t="str">
        <f>IF(IF(D2223&lt;&gt;D2222,1,IF(OR(B2223&lt;&gt;B2222,A2223-A2222&gt;$U$1),1,""))&lt;&gt;1,"",IF(C2223="B01",1965,IF(C2223="B02",1020,IF(C2223="B05",2400,IF(C2223="B03",4260,IF(C2223="B04",2880,IF(C2223="B20",1260,0)))))))</f>
        <v/>
      </c>
      <c r="F2223" s="8" t="str">
        <f>IF(IF(D2223&lt;&gt;D2222,1,IF(OR(B2223&lt;&gt;B2222,A2223-A2222&gt;$U$1),1,""))&lt;&gt;1,"",IF(C2223="B01",1,IF(C2223="B05",1,IF(C2223="B03",1,IF(C2223="B04",1,IF(C2223="B20",1,IF(C2223="B02",1,0)))))))</f>
        <v/>
      </c>
      <c r="G2223"/>
      <c r="H2223" s="2"/>
      <c r="I2223" s="2"/>
      <c r="L2223"/>
      <c r="R2223"/>
    </row>
    <row r="2224" spans="1:18">
      <c r="A2224" s="3">
        <v>45788.572488425925</v>
      </c>
      <c r="B2224" s="2" t="s">
        <v>28</v>
      </c>
      <c r="C2224" s="2" t="s">
        <v>11</v>
      </c>
      <c r="D2224" s="6" t="str">
        <f>CONCATENATE(YEAR(A2224),"/",IF(MONTH(A2224)&lt;10,CONCATENATE("0",MONTH(A2224)),MONTH(A2224)))</f>
        <v>2025/05</v>
      </c>
      <c r="E2224" s="8" t="str">
        <f>IF(IF(D2224&lt;&gt;D2223,1,IF(OR(B2224&lt;&gt;B2223,A2224-A2223&gt;$U$1),1,""))&lt;&gt;1,"",IF(C2224="B01",1965,IF(C2224="B02",1020,IF(C2224="B05",2400,IF(C2224="B03",4260,IF(C2224="B04",2880,IF(C2224="B20",1260,0)))))))</f>
        <v/>
      </c>
      <c r="F2224" s="8" t="str">
        <f>IF(IF(D2224&lt;&gt;D2223,1,IF(OR(B2224&lt;&gt;B2223,A2224-A2223&gt;$U$1),1,""))&lt;&gt;1,"",IF(C2224="B01",1,IF(C2224="B05",1,IF(C2224="B03",1,IF(C2224="B04",1,IF(C2224="B20",1,IF(C2224="B02",1,0)))))))</f>
        <v/>
      </c>
      <c r="G2224"/>
      <c r="H2224" s="2"/>
      <c r="I2224" s="2"/>
      <c r="L2224"/>
      <c r="R2224"/>
    </row>
    <row r="2225" spans="1:18">
      <c r="A2225" s="3">
        <v>45788.782812500001</v>
      </c>
      <c r="B2225" s="2" t="s">
        <v>28</v>
      </c>
      <c r="C2225" s="2" t="s">
        <v>11</v>
      </c>
      <c r="D2225" s="6" t="str">
        <f>CONCATENATE(YEAR(A2225),"/",IF(MONTH(A2225)&lt;10,CONCATENATE("0",MONTH(A2225)),MONTH(A2225)))</f>
        <v>2025/05</v>
      </c>
      <c r="E2225" s="8">
        <f>IF(IF(D2225&lt;&gt;D2224,1,IF(OR(B2225&lt;&gt;B2224,A2225-A2224&gt;$U$1),1,""))&lt;&gt;1,"",IF(C2225="B01",1965,IF(C2225="B02",1020,IF(C2225="B05",2400,IF(C2225="B03",4260,IF(C2225="B04",2880,IF(C2225="B20",1260,0)))))))</f>
        <v>2400</v>
      </c>
      <c r="F2225" s="8">
        <f>IF(IF(D2225&lt;&gt;D2224,1,IF(OR(B2225&lt;&gt;B2224,A2225-A2224&gt;$U$1),1,""))&lt;&gt;1,"",IF(C2225="B01",1,IF(C2225="B05",1,IF(C2225="B03",1,IF(C2225="B04",1,IF(C2225="B20",1,IF(C2225="B02",1,0)))))))</f>
        <v>1</v>
      </c>
      <c r="G2225"/>
      <c r="H2225" s="2"/>
      <c r="I2225" s="2"/>
      <c r="L2225"/>
      <c r="R2225"/>
    </row>
    <row r="2226" spans="1:18">
      <c r="A2226" s="3">
        <v>45788.782812500001</v>
      </c>
      <c r="B2226" s="2" t="s">
        <v>28</v>
      </c>
      <c r="C2226" s="2" t="s">
        <v>11</v>
      </c>
      <c r="D2226" s="6" t="str">
        <f>CONCATENATE(YEAR(A2226),"/",IF(MONTH(A2226)&lt;10,CONCATENATE("0",MONTH(A2226)),MONTH(A2226)))</f>
        <v>2025/05</v>
      </c>
      <c r="E2226" s="8" t="str">
        <f>IF(IF(D2226&lt;&gt;D2225,1,IF(OR(B2226&lt;&gt;B2225,A2226-A2225&gt;$U$1),1,""))&lt;&gt;1,"",IF(C2226="B01",1965,IF(C2226="B02",1020,IF(C2226="B05",2400,IF(C2226="B03",4260,IF(C2226="B04",2880,IF(C2226="B20",1260,0)))))))</f>
        <v/>
      </c>
      <c r="F2226" s="8" t="str">
        <f>IF(IF(D2226&lt;&gt;D2225,1,IF(OR(B2226&lt;&gt;B2225,A2226-A2225&gt;$U$1),1,""))&lt;&gt;1,"",IF(C2226="B01",1,IF(C2226="B05",1,IF(C2226="B03",1,IF(C2226="B04",1,IF(C2226="B20",1,IF(C2226="B02",1,0)))))))</f>
        <v/>
      </c>
      <c r="G2226"/>
      <c r="H2226" s="2"/>
      <c r="I2226" s="2"/>
      <c r="L2226"/>
      <c r="R2226"/>
    </row>
    <row r="2227" spans="1:18">
      <c r="A2227" s="3">
        <v>45788.782812500001</v>
      </c>
      <c r="B2227" s="2" t="s">
        <v>28</v>
      </c>
      <c r="C2227" s="2" t="s">
        <v>11</v>
      </c>
      <c r="D2227" s="6" t="str">
        <f>CONCATENATE(YEAR(A2227),"/",IF(MONTH(A2227)&lt;10,CONCATENATE("0",MONTH(A2227)),MONTH(A2227)))</f>
        <v>2025/05</v>
      </c>
      <c r="E2227" s="8" t="str">
        <f>IF(IF(D2227&lt;&gt;D2226,1,IF(OR(B2227&lt;&gt;B2226,A2227-A2226&gt;$U$1),1,""))&lt;&gt;1,"",IF(C2227="B01",1965,IF(C2227="B02",1020,IF(C2227="B05",2400,IF(C2227="B03",4260,IF(C2227="B04",2880,IF(C2227="B20",1260,0)))))))</f>
        <v/>
      </c>
      <c r="F2227" s="8" t="str">
        <f>IF(IF(D2227&lt;&gt;D2226,1,IF(OR(B2227&lt;&gt;B2226,A2227-A2226&gt;$U$1),1,""))&lt;&gt;1,"",IF(C2227="B01",1,IF(C2227="B05",1,IF(C2227="B03",1,IF(C2227="B04",1,IF(C2227="B20",1,IF(C2227="B02",1,0)))))))</f>
        <v/>
      </c>
      <c r="G2227"/>
      <c r="H2227" s="2"/>
      <c r="I2227" s="2"/>
      <c r="L2227"/>
      <c r="R2227"/>
    </row>
    <row r="2228" spans="1:18">
      <c r="A2228" s="3">
        <v>45788.897615740738</v>
      </c>
      <c r="B2228" s="2" t="s">
        <v>28</v>
      </c>
      <c r="C2228" s="2" t="s">
        <v>11</v>
      </c>
      <c r="D2228" s="6" t="str">
        <f>CONCATENATE(YEAR(A2228),"/",IF(MONTH(A2228)&lt;10,CONCATENATE("0",MONTH(A2228)),MONTH(A2228)))</f>
        <v>2025/05</v>
      </c>
      <c r="E2228" s="8">
        <f>IF(IF(D2228&lt;&gt;D2227,1,IF(OR(B2228&lt;&gt;B2227,A2228-A2227&gt;$U$1),1,""))&lt;&gt;1,"",IF(C2228="B01",1965,IF(C2228="B02",1020,IF(C2228="B05",2400,IF(C2228="B03",4260,IF(C2228="B04",2880,IF(C2228="B20",1260,0)))))))</f>
        <v>2400</v>
      </c>
      <c r="F2228" s="8">
        <f>IF(IF(D2228&lt;&gt;D2227,1,IF(OR(B2228&lt;&gt;B2227,A2228-A2227&gt;$U$1),1,""))&lt;&gt;1,"",IF(C2228="B01",1,IF(C2228="B05",1,IF(C2228="B03",1,IF(C2228="B04",1,IF(C2228="B20",1,IF(C2228="B02",1,0)))))))</f>
        <v>1</v>
      </c>
      <c r="G2228"/>
      <c r="H2228" s="2"/>
      <c r="I2228" s="2"/>
      <c r="L2228"/>
      <c r="R2228"/>
    </row>
    <row r="2229" spans="1:18">
      <c r="A2229" s="3">
        <v>45788.897615740738</v>
      </c>
      <c r="B2229" s="2" t="s">
        <v>28</v>
      </c>
      <c r="C2229" s="2" t="s">
        <v>11</v>
      </c>
      <c r="D2229" s="6" t="str">
        <f>CONCATENATE(YEAR(A2229),"/",IF(MONTH(A2229)&lt;10,CONCATENATE("0",MONTH(A2229)),MONTH(A2229)))</f>
        <v>2025/05</v>
      </c>
      <c r="E2229" s="8" t="str">
        <f>IF(IF(D2229&lt;&gt;D2228,1,IF(OR(B2229&lt;&gt;B2228,A2229-A2228&gt;$U$1),1,""))&lt;&gt;1,"",IF(C2229="B01",1965,IF(C2229="B02",1020,IF(C2229="B05",2400,IF(C2229="B03",4260,IF(C2229="B04",2880,IF(C2229="B20",1260,0)))))))</f>
        <v/>
      </c>
      <c r="F2229" s="8" t="str">
        <f>IF(IF(D2229&lt;&gt;D2228,1,IF(OR(B2229&lt;&gt;B2228,A2229-A2228&gt;$U$1),1,""))&lt;&gt;1,"",IF(C2229="B01",1,IF(C2229="B05",1,IF(C2229="B03",1,IF(C2229="B04",1,IF(C2229="B20",1,IF(C2229="B02",1,0)))))))</f>
        <v/>
      </c>
      <c r="G2229"/>
      <c r="H2229" s="2"/>
      <c r="I2229" s="2"/>
      <c r="L2229"/>
      <c r="R2229"/>
    </row>
    <row r="2230" spans="1:18">
      <c r="A2230" s="3">
        <v>45788.897615740738</v>
      </c>
      <c r="B2230" s="2" t="s">
        <v>28</v>
      </c>
      <c r="C2230" s="2" t="s">
        <v>11</v>
      </c>
      <c r="D2230" s="6" t="str">
        <f>CONCATENATE(YEAR(A2230),"/",IF(MONTH(A2230)&lt;10,CONCATENATE("0",MONTH(A2230)),MONTH(A2230)))</f>
        <v>2025/05</v>
      </c>
      <c r="E2230" s="8" t="str">
        <f>IF(IF(D2230&lt;&gt;D2229,1,IF(OR(B2230&lt;&gt;B2229,A2230-A2229&gt;$U$1),1,""))&lt;&gt;1,"",IF(C2230="B01",1965,IF(C2230="B02",1020,IF(C2230="B05",2400,IF(C2230="B03",4260,IF(C2230="B04",2880,IF(C2230="B20",1260,0)))))))</f>
        <v/>
      </c>
      <c r="F2230" s="8" t="str">
        <f>IF(IF(D2230&lt;&gt;D2229,1,IF(OR(B2230&lt;&gt;B2229,A2230-A2229&gt;$U$1),1,""))&lt;&gt;1,"",IF(C2230="B01",1,IF(C2230="B05",1,IF(C2230="B03",1,IF(C2230="B04",1,IF(C2230="B20",1,IF(C2230="B02",1,0)))))))</f>
        <v/>
      </c>
      <c r="G2230"/>
      <c r="H2230" s="2"/>
      <c r="I2230" s="2"/>
      <c r="L2230"/>
      <c r="R2230"/>
    </row>
    <row r="2231" spans="1:18">
      <c r="A2231" s="3">
        <v>45788.897615740738</v>
      </c>
      <c r="B2231" s="2" t="s">
        <v>28</v>
      </c>
      <c r="C2231" s="2" t="s">
        <v>11</v>
      </c>
      <c r="D2231" s="6" t="str">
        <f>CONCATENATE(YEAR(A2231),"/",IF(MONTH(A2231)&lt;10,CONCATENATE("0",MONTH(A2231)),MONTH(A2231)))</f>
        <v>2025/05</v>
      </c>
      <c r="E2231" s="8" t="str">
        <f>IF(IF(D2231&lt;&gt;D2230,1,IF(OR(B2231&lt;&gt;B2230,A2231-A2230&gt;$U$1),1,""))&lt;&gt;1,"",IF(C2231="B01",1965,IF(C2231="B02",1020,IF(C2231="B05",2400,IF(C2231="B03",4260,IF(C2231="B04",2880,IF(C2231="B20",1260,0)))))))</f>
        <v/>
      </c>
      <c r="F2231" s="8" t="str">
        <f>IF(IF(D2231&lt;&gt;D2230,1,IF(OR(B2231&lt;&gt;B2230,A2231-A2230&gt;$U$1),1,""))&lt;&gt;1,"",IF(C2231="B01",1,IF(C2231="B05",1,IF(C2231="B03",1,IF(C2231="B04",1,IF(C2231="B20",1,IF(C2231="B02",1,0)))))))</f>
        <v/>
      </c>
      <c r="G2231"/>
      <c r="H2231" s="2"/>
      <c r="I2231" s="2"/>
      <c r="L2231"/>
      <c r="R2231"/>
    </row>
    <row r="2232" spans="1:18">
      <c r="A2232" s="3">
        <v>45789.011747685188</v>
      </c>
      <c r="B2232" s="2" t="s">
        <v>28</v>
      </c>
      <c r="C2232" s="2" t="s">
        <v>11</v>
      </c>
      <c r="D2232" s="6" t="str">
        <f>CONCATENATE(YEAR(A2232),"/",IF(MONTH(A2232)&lt;10,CONCATENATE("0",MONTH(A2232)),MONTH(A2232)))</f>
        <v>2025/05</v>
      </c>
      <c r="E2232" s="8">
        <f>IF(IF(D2232&lt;&gt;D2231,1,IF(OR(B2232&lt;&gt;B2231,A2232-A2231&gt;$U$1),1,""))&lt;&gt;1,"",IF(C2232="B01",1965,IF(C2232="B02",1020,IF(C2232="B05",2400,IF(C2232="B03",4260,IF(C2232="B04",2880,IF(C2232="B20",1260,0)))))))</f>
        <v>2400</v>
      </c>
      <c r="F2232" s="8">
        <f>IF(IF(D2232&lt;&gt;D2231,1,IF(OR(B2232&lt;&gt;B2231,A2232-A2231&gt;$U$1),1,""))&lt;&gt;1,"",IF(C2232="B01",1,IF(C2232="B05",1,IF(C2232="B03",1,IF(C2232="B04",1,IF(C2232="B20",1,IF(C2232="B02",1,0)))))))</f>
        <v>1</v>
      </c>
      <c r="G2232"/>
      <c r="H2232" s="2"/>
      <c r="I2232" s="2"/>
      <c r="L2232"/>
      <c r="R2232"/>
    </row>
    <row r="2233" spans="1:18">
      <c r="A2233" s="3">
        <v>45789.011747685188</v>
      </c>
      <c r="B2233" s="2" t="s">
        <v>28</v>
      </c>
      <c r="C2233" s="2" t="s">
        <v>11</v>
      </c>
      <c r="D2233" s="6" t="str">
        <f>CONCATENATE(YEAR(A2233),"/",IF(MONTH(A2233)&lt;10,CONCATENATE("0",MONTH(A2233)),MONTH(A2233)))</f>
        <v>2025/05</v>
      </c>
      <c r="E2233" s="8" t="str">
        <f>IF(IF(D2233&lt;&gt;D2232,1,IF(OR(B2233&lt;&gt;B2232,A2233-A2232&gt;$U$1),1,""))&lt;&gt;1,"",IF(C2233="B01",1965,IF(C2233="B02",1020,IF(C2233="B05",2400,IF(C2233="B03",4260,IF(C2233="B04",2880,IF(C2233="B20",1260,0)))))))</f>
        <v/>
      </c>
      <c r="F2233" s="8" t="str">
        <f>IF(IF(D2233&lt;&gt;D2232,1,IF(OR(B2233&lt;&gt;B2232,A2233-A2232&gt;$U$1),1,""))&lt;&gt;1,"",IF(C2233="B01",1,IF(C2233="B05",1,IF(C2233="B03",1,IF(C2233="B04",1,IF(C2233="B20",1,IF(C2233="B02",1,0)))))))</f>
        <v/>
      </c>
      <c r="G2233"/>
      <c r="H2233" s="2"/>
      <c r="I2233" s="2"/>
      <c r="L2233"/>
      <c r="R2233"/>
    </row>
    <row r="2234" spans="1:18">
      <c r="A2234" s="3">
        <v>45789.011747685188</v>
      </c>
      <c r="B2234" s="2" t="s">
        <v>28</v>
      </c>
      <c r="C2234" s="2" t="s">
        <v>11</v>
      </c>
      <c r="D2234" s="6" t="str">
        <f>CONCATENATE(YEAR(A2234),"/",IF(MONTH(A2234)&lt;10,CONCATENATE("0",MONTH(A2234)),MONTH(A2234)))</f>
        <v>2025/05</v>
      </c>
      <c r="E2234" s="8" t="str">
        <f>IF(IF(D2234&lt;&gt;D2233,1,IF(OR(B2234&lt;&gt;B2233,A2234-A2233&gt;$U$1),1,""))&lt;&gt;1,"",IF(C2234="B01",1965,IF(C2234="B02",1020,IF(C2234="B05",2400,IF(C2234="B03",4260,IF(C2234="B04",2880,IF(C2234="B20",1260,0)))))))</f>
        <v/>
      </c>
      <c r="F2234" s="8" t="str">
        <f>IF(IF(D2234&lt;&gt;D2233,1,IF(OR(B2234&lt;&gt;B2233,A2234-A2233&gt;$U$1),1,""))&lt;&gt;1,"",IF(C2234="B01",1,IF(C2234="B05",1,IF(C2234="B03",1,IF(C2234="B04",1,IF(C2234="B20",1,IF(C2234="B02",1,0)))))))</f>
        <v/>
      </c>
      <c r="G2234"/>
      <c r="H2234" s="2"/>
      <c r="I2234" s="2"/>
      <c r="L2234"/>
      <c r="R2234"/>
    </row>
    <row r="2235" spans="1:18">
      <c r="A2235" s="3">
        <v>45789.124606481484</v>
      </c>
      <c r="B2235" s="2" t="s">
        <v>28</v>
      </c>
      <c r="C2235" s="2" t="s">
        <v>11</v>
      </c>
      <c r="D2235" s="6" t="str">
        <f>CONCATENATE(YEAR(A2235),"/",IF(MONTH(A2235)&lt;10,CONCATENATE("0",MONTH(A2235)),MONTH(A2235)))</f>
        <v>2025/05</v>
      </c>
      <c r="E2235" s="8">
        <f>IF(IF(D2235&lt;&gt;D2234,1,IF(OR(B2235&lt;&gt;B2234,A2235-A2234&gt;$U$1),1,""))&lt;&gt;1,"",IF(C2235="B01",1965,IF(C2235="B02",1020,IF(C2235="B05",2400,IF(C2235="B03",4260,IF(C2235="B04",2880,IF(C2235="B20",1260,0)))))))</f>
        <v>2400</v>
      </c>
      <c r="F2235" s="8">
        <f>IF(IF(D2235&lt;&gt;D2234,1,IF(OR(B2235&lt;&gt;B2234,A2235-A2234&gt;$U$1),1,""))&lt;&gt;1,"",IF(C2235="B01",1,IF(C2235="B05",1,IF(C2235="B03",1,IF(C2235="B04",1,IF(C2235="B20",1,IF(C2235="B02",1,0)))))))</f>
        <v>1</v>
      </c>
      <c r="G2235"/>
      <c r="H2235" s="2"/>
      <c r="I2235" s="2"/>
      <c r="L2235"/>
      <c r="R2235"/>
    </row>
    <row r="2236" spans="1:18">
      <c r="A2236" s="3">
        <v>45789.124606481484</v>
      </c>
      <c r="B2236" s="2" t="s">
        <v>28</v>
      </c>
      <c r="C2236" s="2" t="s">
        <v>11</v>
      </c>
      <c r="D2236" s="6" t="str">
        <f>CONCATENATE(YEAR(A2236),"/",IF(MONTH(A2236)&lt;10,CONCATENATE("0",MONTH(A2236)),MONTH(A2236)))</f>
        <v>2025/05</v>
      </c>
      <c r="E2236" s="8" t="str">
        <f>IF(IF(D2236&lt;&gt;D2235,1,IF(OR(B2236&lt;&gt;B2235,A2236-A2235&gt;$U$1),1,""))&lt;&gt;1,"",IF(C2236="B01",1965,IF(C2236="B02",1020,IF(C2236="B05",2400,IF(C2236="B03",4260,IF(C2236="B04",2880,IF(C2236="B20",1260,0)))))))</f>
        <v/>
      </c>
      <c r="F2236" s="8" t="str">
        <f>IF(IF(D2236&lt;&gt;D2235,1,IF(OR(B2236&lt;&gt;B2235,A2236-A2235&gt;$U$1),1,""))&lt;&gt;1,"",IF(C2236="B01",1,IF(C2236="B05",1,IF(C2236="B03",1,IF(C2236="B04",1,IF(C2236="B20",1,IF(C2236="B02",1,0)))))))</f>
        <v/>
      </c>
      <c r="G2236"/>
      <c r="H2236" s="2"/>
      <c r="I2236" s="2"/>
      <c r="L2236"/>
      <c r="R2236"/>
    </row>
    <row r="2237" spans="1:18">
      <c r="A2237" s="3">
        <v>45789.124606481484</v>
      </c>
      <c r="B2237" s="2" t="s">
        <v>28</v>
      </c>
      <c r="C2237" s="2" t="s">
        <v>11</v>
      </c>
      <c r="D2237" s="6" t="str">
        <f>CONCATENATE(YEAR(A2237),"/",IF(MONTH(A2237)&lt;10,CONCATENATE("0",MONTH(A2237)),MONTH(A2237)))</f>
        <v>2025/05</v>
      </c>
      <c r="E2237" s="8" t="str">
        <f>IF(IF(D2237&lt;&gt;D2236,1,IF(OR(B2237&lt;&gt;B2236,A2237-A2236&gt;$U$1),1,""))&lt;&gt;1,"",IF(C2237="B01",1965,IF(C2237="B02",1020,IF(C2237="B05",2400,IF(C2237="B03",4260,IF(C2237="B04",2880,IF(C2237="B20",1260,0)))))))</f>
        <v/>
      </c>
      <c r="F2237" s="8" t="str">
        <f>IF(IF(D2237&lt;&gt;D2236,1,IF(OR(B2237&lt;&gt;B2236,A2237-A2236&gt;$U$1),1,""))&lt;&gt;1,"",IF(C2237="B01",1,IF(C2237="B05",1,IF(C2237="B03",1,IF(C2237="B04",1,IF(C2237="B20",1,IF(C2237="B02",1,0)))))))</f>
        <v/>
      </c>
      <c r="G2237"/>
      <c r="H2237" s="2"/>
      <c r="I2237" s="2"/>
      <c r="L2237"/>
      <c r="R2237"/>
    </row>
    <row r="2238" spans="1:18">
      <c r="A2238" s="3">
        <v>45789.243379629632</v>
      </c>
      <c r="B2238" s="2" t="s">
        <v>28</v>
      </c>
      <c r="C2238" s="2" t="s">
        <v>11</v>
      </c>
      <c r="D2238" s="6" t="str">
        <f>CONCATENATE(YEAR(A2238),"/",IF(MONTH(A2238)&lt;10,CONCATENATE("0",MONTH(A2238)),MONTH(A2238)))</f>
        <v>2025/05</v>
      </c>
      <c r="E2238" s="8">
        <f>IF(IF(D2238&lt;&gt;D2237,1,IF(OR(B2238&lt;&gt;B2237,A2238-A2237&gt;$U$1),1,""))&lt;&gt;1,"",IF(C2238="B01",1965,IF(C2238="B02",1020,IF(C2238="B05",2400,IF(C2238="B03",4260,IF(C2238="B04",2880,IF(C2238="B20",1260,0)))))))</f>
        <v>2400</v>
      </c>
      <c r="F2238" s="8">
        <f>IF(IF(D2238&lt;&gt;D2237,1,IF(OR(B2238&lt;&gt;B2237,A2238-A2237&gt;$U$1),1,""))&lt;&gt;1,"",IF(C2238="B01",1,IF(C2238="B05",1,IF(C2238="B03",1,IF(C2238="B04",1,IF(C2238="B20",1,IF(C2238="B02",1,0)))))))</f>
        <v>1</v>
      </c>
      <c r="G2238"/>
      <c r="H2238" s="2"/>
      <c r="I2238" s="2"/>
      <c r="L2238"/>
      <c r="R2238"/>
    </row>
    <row r="2239" spans="1:18">
      <c r="A2239" s="3">
        <v>45789.243379629632</v>
      </c>
      <c r="B2239" s="2" t="s">
        <v>28</v>
      </c>
      <c r="C2239" s="2" t="s">
        <v>11</v>
      </c>
      <c r="D2239" s="6" t="str">
        <f>CONCATENATE(YEAR(A2239),"/",IF(MONTH(A2239)&lt;10,CONCATENATE("0",MONTH(A2239)),MONTH(A2239)))</f>
        <v>2025/05</v>
      </c>
      <c r="E2239" s="8" t="str">
        <f>IF(IF(D2239&lt;&gt;D2238,1,IF(OR(B2239&lt;&gt;B2238,A2239-A2238&gt;$U$1),1,""))&lt;&gt;1,"",IF(C2239="B01",1965,IF(C2239="B02",1020,IF(C2239="B05",2400,IF(C2239="B03",4260,IF(C2239="B04",2880,IF(C2239="B20",1260,0)))))))</f>
        <v/>
      </c>
      <c r="F2239" s="8" t="str">
        <f>IF(IF(D2239&lt;&gt;D2238,1,IF(OR(B2239&lt;&gt;B2238,A2239-A2238&gt;$U$1),1,""))&lt;&gt;1,"",IF(C2239="B01",1,IF(C2239="B05",1,IF(C2239="B03",1,IF(C2239="B04",1,IF(C2239="B20",1,IF(C2239="B02",1,0)))))))</f>
        <v/>
      </c>
      <c r="G2239"/>
      <c r="H2239" s="2"/>
      <c r="I2239" s="2"/>
      <c r="L2239"/>
      <c r="R2239"/>
    </row>
    <row r="2240" spans="1:18">
      <c r="A2240" s="3">
        <v>45789.464120370372</v>
      </c>
      <c r="B2240" s="2" t="s">
        <v>28</v>
      </c>
      <c r="C2240" s="2" t="s">
        <v>11</v>
      </c>
      <c r="D2240" s="6" t="str">
        <f>CONCATENATE(YEAR(A2240),"/",IF(MONTH(A2240)&lt;10,CONCATENATE("0",MONTH(A2240)),MONTH(A2240)))</f>
        <v>2025/05</v>
      </c>
      <c r="E2240" s="8">
        <f>IF(IF(D2240&lt;&gt;D2239,1,IF(OR(B2240&lt;&gt;B2239,A2240-A2239&gt;$U$1),1,""))&lt;&gt;1,"",IF(C2240="B01",1965,IF(C2240="B02",1020,IF(C2240="B05",2400,IF(C2240="B03",4260,IF(C2240="B04",2880,IF(C2240="B20",1260,0)))))))</f>
        <v>2400</v>
      </c>
      <c r="F2240" s="8">
        <f>IF(IF(D2240&lt;&gt;D2239,1,IF(OR(B2240&lt;&gt;B2239,A2240-A2239&gt;$U$1),1,""))&lt;&gt;1,"",IF(C2240="B01",1,IF(C2240="B05",1,IF(C2240="B03",1,IF(C2240="B04",1,IF(C2240="B20",1,IF(C2240="B02",1,0)))))))</f>
        <v>1</v>
      </c>
      <c r="G2240"/>
      <c r="H2240" s="2"/>
      <c r="I2240" s="2"/>
      <c r="L2240"/>
      <c r="R2240"/>
    </row>
    <row r="2241" spans="1:18">
      <c r="A2241" s="3">
        <v>45789.464120370372</v>
      </c>
      <c r="B2241" s="2" t="s">
        <v>28</v>
      </c>
      <c r="C2241" s="2" t="s">
        <v>11</v>
      </c>
      <c r="D2241" s="6" t="str">
        <f>CONCATENATE(YEAR(A2241),"/",IF(MONTH(A2241)&lt;10,CONCATENATE("0",MONTH(A2241)),MONTH(A2241)))</f>
        <v>2025/05</v>
      </c>
      <c r="E2241" s="8" t="str">
        <f>IF(IF(D2241&lt;&gt;D2240,1,IF(OR(B2241&lt;&gt;B2240,A2241-A2240&gt;$U$1),1,""))&lt;&gt;1,"",IF(C2241="B01",1965,IF(C2241="B02",1020,IF(C2241="B05",2400,IF(C2241="B03",4260,IF(C2241="B04",2880,IF(C2241="B20",1260,0)))))))</f>
        <v/>
      </c>
      <c r="F2241" s="8" t="str">
        <f>IF(IF(D2241&lt;&gt;D2240,1,IF(OR(B2241&lt;&gt;B2240,A2241-A2240&gt;$U$1),1,""))&lt;&gt;1,"",IF(C2241="B01",1,IF(C2241="B05",1,IF(C2241="B03",1,IF(C2241="B04",1,IF(C2241="B20",1,IF(C2241="B02",1,0)))))))</f>
        <v/>
      </c>
      <c r="G2241"/>
      <c r="H2241" s="2"/>
      <c r="I2241" s="2"/>
      <c r="L2241"/>
      <c r="R2241"/>
    </row>
    <row r="2242" spans="1:18">
      <c r="A2242" s="3">
        <v>45789.464120370372</v>
      </c>
      <c r="B2242" s="2" t="s">
        <v>28</v>
      </c>
      <c r="C2242" s="2" t="s">
        <v>11</v>
      </c>
      <c r="D2242" s="6" t="str">
        <f>CONCATENATE(YEAR(A2242),"/",IF(MONTH(A2242)&lt;10,CONCATENATE("0",MONTH(A2242)),MONTH(A2242)))</f>
        <v>2025/05</v>
      </c>
      <c r="E2242" s="8" t="str">
        <f>IF(IF(D2242&lt;&gt;D2241,1,IF(OR(B2242&lt;&gt;B2241,A2242-A2241&gt;$U$1),1,""))&lt;&gt;1,"",IF(C2242="B01",1965,IF(C2242="B02",1020,IF(C2242="B05",2400,IF(C2242="B03",4260,IF(C2242="B04",2880,IF(C2242="B20",1260,0)))))))</f>
        <v/>
      </c>
      <c r="F2242" s="8" t="str">
        <f>IF(IF(D2242&lt;&gt;D2241,1,IF(OR(B2242&lt;&gt;B2241,A2242-A2241&gt;$U$1),1,""))&lt;&gt;1,"",IF(C2242="B01",1,IF(C2242="B05",1,IF(C2242="B03",1,IF(C2242="B04",1,IF(C2242="B20",1,IF(C2242="B02",1,0)))))))</f>
        <v/>
      </c>
      <c r="G2242"/>
      <c r="H2242" s="2"/>
      <c r="I2242" s="2"/>
      <c r="L2242"/>
      <c r="R2242"/>
    </row>
    <row r="2243" spans="1:18">
      <c r="A2243" s="3">
        <v>45789.701238425929</v>
      </c>
      <c r="B2243" s="2" t="s">
        <v>28</v>
      </c>
      <c r="C2243" s="2" t="s">
        <v>11</v>
      </c>
      <c r="D2243" s="6" t="str">
        <f>CONCATENATE(YEAR(A2243),"/",IF(MONTH(A2243)&lt;10,CONCATENATE("0",MONTH(A2243)),MONTH(A2243)))</f>
        <v>2025/05</v>
      </c>
      <c r="E2243" s="8">
        <f>IF(IF(D2243&lt;&gt;D2242,1,IF(OR(B2243&lt;&gt;B2242,A2243-A2242&gt;$U$1),1,""))&lt;&gt;1,"",IF(C2243="B01",1965,IF(C2243="B02",1020,IF(C2243="B05",2400,IF(C2243="B03",4260,IF(C2243="B04",2880,IF(C2243="B20",1260,0)))))))</f>
        <v>2400</v>
      </c>
      <c r="F2243" s="8">
        <f>IF(IF(D2243&lt;&gt;D2242,1,IF(OR(B2243&lt;&gt;B2242,A2243-A2242&gt;$U$1),1,""))&lt;&gt;1,"",IF(C2243="B01",1,IF(C2243="B05",1,IF(C2243="B03",1,IF(C2243="B04",1,IF(C2243="B20",1,IF(C2243="B02",1,0)))))))</f>
        <v>1</v>
      </c>
      <c r="G2243"/>
      <c r="H2243" s="2"/>
      <c r="I2243" s="2"/>
      <c r="L2243"/>
      <c r="R2243"/>
    </row>
    <row r="2244" spans="1:18">
      <c r="A2244" s="3">
        <v>45789.701238425929</v>
      </c>
      <c r="B2244" s="2" t="s">
        <v>28</v>
      </c>
      <c r="C2244" s="2" t="s">
        <v>11</v>
      </c>
      <c r="D2244" s="6" t="str">
        <f>CONCATENATE(YEAR(A2244),"/",IF(MONTH(A2244)&lt;10,CONCATENATE("0",MONTH(A2244)),MONTH(A2244)))</f>
        <v>2025/05</v>
      </c>
      <c r="E2244" s="8" t="str">
        <f>IF(IF(D2244&lt;&gt;D2243,1,IF(OR(B2244&lt;&gt;B2243,A2244-A2243&gt;$U$1),1,""))&lt;&gt;1,"",IF(C2244="B01",1965,IF(C2244="B02",1020,IF(C2244="B05",2400,IF(C2244="B03",4260,IF(C2244="B04",2880,IF(C2244="B20",1260,0)))))))</f>
        <v/>
      </c>
      <c r="F2244" s="8" t="str">
        <f>IF(IF(D2244&lt;&gt;D2243,1,IF(OR(B2244&lt;&gt;B2243,A2244-A2243&gt;$U$1),1,""))&lt;&gt;1,"",IF(C2244="B01",1,IF(C2244="B05",1,IF(C2244="B03",1,IF(C2244="B04",1,IF(C2244="B20",1,IF(C2244="B02",1,0)))))))</f>
        <v/>
      </c>
      <c r="G2244"/>
      <c r="H2244" s="2"/>
      <c r="I2244" s="2"/>
      <c r="L2244"/>
      <c r="R2244"/>
    </row>
    <row r="2245" spans="1:18">
      <c r="A2245" s="3">
        <v>45789.701238425929</v>
      </c>
      <c r="B2245" s="2" t="s">
        <v>28</v>
      </c>
      <c r="C2245" s="2" t="s">
        <v>11</v>
      </c>
      <c r="D2245" s="6" t="str">
        <f>CONCATENATE(YEAR(A2245),"/",IF(MONTH(A2245)&lt;10,CONCATENATE("0",MONTH(A2245)),MONTH(A2245)))</f>
        <v>2025/05</v>
      </c>
      <c r="E2245" s="8" t="str">
        <f>IF(IF(D2245&lt;&gt;D2244,1,IF(OR(B2245&lt;&gt;B2244,A2245-A2244&gt;$U$1),1,""))&lt;&gt;1,"",IF(C2245="B01",1965,IF(C2245="B02",1020,IF(C2245="B05",2400,IF(C2245="B03",4260,IF(C2245="B04",2880,IF(C2245="B20",1260,0)))))))</f>
        <v/>
      </c>
      <c r="F2245" s="8" t="str">
        <f>IF(IF(D2245&lt;&gt;D2244,1,IF(OR(B2245&lt;&gt;B2244,A2245-A2244&gt;$U$1),1,""))&lt;&gt;1,"",IF(C2245="B01",1,IF(C2245="B05",1,IF(C2245="B03",1,IF(C2245="B04",1,IF(C2245="B20",1,IF(C2245="B02",1,0)))))))</f>
        <v/>
      </c>
      <c r="G2245"/>
      <c r="H2245" s="2"/>
      <c r="I2245" s="2"/>
      <c r="L2245"/>
      <c r="R2245"/>
    </row>
    <row r="2246" spans="1:18">
      <c r="A2246" s="3">
        <v>45789.84302083333</v>
      </c>
      <c r="B2246" s="2" t="s">
        <v>28</v>
      </c>
      <c r="C2246" s="2" t="s">
        <v>11</v>
      </c>
      <c r="D2246" s="6" t="str">
        <f>CONCATENATE(YEAR(A2246),"/",IF(MONTH(A2246)&lt;10,CONCATENATE("0",MONTH(A2246)),MONTH(A2246)))</f>
        <v>2025/05</v>
      </c>
      <c r="E2246" s="8">
        <f>IF(IF(D2246&lt;&gt;D2245,1,IF(OR(B2246&lt;&gt;B2245,A2246-A2245&gt;$U$1),1,""))&lt;&gt;1,"",IF(C2246="B01",1965,IF(C2246="B02",1020,IF(C2246="B05",2400,IF(C2246="B03",4260,IF(C2246="B04",2880,IF(C2246="B20",1260,0)))))))</f>
        <v>2400</v>
      </c>
      <c r="F2246" s="8">
        <f>IF(IF(D2246&lt;&gt;D2245,1,IF(OR(B2246&lt;&gt;B2245,A2246-A2245&gt;$U$1),1,""))&lt;&gt;1,"",IF(C2246="B01",1,IF(C2246="B05",1,IF(C2246="B03",1,IF(C2246="B04",1,IF(C2246="B20",1,IF(C2246="B02",1,0)))))))</f>
        <v>1</v>
      </c>
      <c r="G2246"/>
      <c r="H2246" s="2"/>
      <c r="I2246" s="2"/>
      <c r="L2246"/>
      <c r="R2246"/>
    </row>
    <row r="2247" spans="1:18">
      <c r="A2247" s="3">
        <v>45789.84302083333</v>
      </c>
      <c r="B2247" s="2" t="s">
        <v>28</v>
      </c>
      <c r="C2247" s="2" t="s">
        <v>11</v>
      </c>
      <c r="D2247" s="6" t="str">
        <f>CONCATENATE(YEAR(A2247),"/",IF(MONTH(A2247)&lt;10,CONCATENATE("0",MONTH(A2247)),MONTH(A2247)))</f>
        <v>2025/05</v>
      </c>
      <c r="E2247" s="8" t="str">
        <f>IF(IF(D2247&lt;&gt;D2246,1,IF(OR(B2247&lt;&gt;B2246,A2247-A2246&gt;$U$1),1,""))&lt;&gt;1,"",IF(C2247="B01",1965,IF(C2247="B02",1020,IF(C2247="B05",2400,IF(C2247="B03",4260,IF(C2247="B04",2880,IF(C2247="B20",1260,0)))))))</f>
        <v/>
      </c>
      <c r="F2247" s="8" t="str">
        <f>IF(IF(D2247&lt;&gt;D2246,1,IF(OR(B2247&lt;&gt;B2246,A2247-A2246&gt;$U$1),1,""))&lt;&gt;1,"",IF(C2247="B01",1,IF(C2247="B05",1,IF(C2247="B03",1,IF(C2247="B04",1,IF(C2247="B20",1,IF(C2247="B02",1,0)))))))</f>
        <v/>
      </c>
      <c r="G2247"/>
      <c r="H2247" s="2"/>
      <c r="I2247" s="2"/>
      <c r="L2247"/>
      <c r="R2247"/>
    </row>
    <row r="2248" spans="1:18">
      <c r="A2248" s="3">
        <v>45790.014374999999</v>
      </c>
      <c r="B2248" s="2" t="s">
        <v>28</v>
      </c>
      <c r="C2248" s="2" t="s">
        <v>11</v>
      </c>
      <c r="D2248" s="6" t="str">
        <f>CONCATENATE(YEAR(A2248),"/",IF(MONTH(A2248)&lt;10,CONCATENATE("0",MONTH(A2248)),MONTH(A2248)))</f>
        <v>2025/05</v>
      </c>
      <c r="E2248" s="8">
        <f>IF(IF(D2248&lt;&gt;D2247,1,IF(OR(B2248&lt;&gt;B2247,A2248-A2247&gt;$U$1),1,""))&lt;&gt;1,"",IF(C2248="B01",1965,IF(C2248="B02",1020,IF(C2248="B05",2400,IF(C2248="B03",4260,IF(C2248="B04",2880,IF(C2248="B20",1260,0)))))))</f>
        <v>2400</v>
      </c>
      <c r="F2248" s="8">
        <f>IF(IF(D2248&lt;&gt;D2247,1,IF(OR(B2248&lt;&gt;B2247,A2248-A2247&gt;$U$1),1,""))&lt;&gt;1,"",IF(C2248="B01",1,IF(C2248="B05",1,IF(C2248="B03",1,IF(C2248="B04",1,IF(C2248="B20",1,IF(C2248="B02",1,0)))))))</f>
        <v>1</v>
      </c>
      <c r="G2248"/>
      <c r="H2248" s="2"/>
      <c r="I2248" s="2"/>
      <c r="L2248"/>
      <c r="R2248"/>
    </row>
    <row r="2249" spans="1:18">
      <c r="A2249" s="3">
        <v>45790.014374999999</v>
      </c>
      <c r="B2249" s="2" t="s">
        <v>28</v>
      </c>
      <c r="C2249" s="2" t="s">
        <v>11</v>
      </c>
      <c r="D2249" s="6" t="str">
        <f>CONCATENATE(YEAR(A2249),"/",IF(MONTH(A2249)&lt;10,CONCATENATE("0",MONTH(A2249)),MONTH(A2249)))</f>
        <v>2025/05</v>
      </c>
      <c r="E2249" s="8" t="str">
        <f>IF(IF(D2249&lt;&gt;D2248,1,IF(OR(B2249&lt;&gt;B2248,A2249-A2248&gt;$U$1),1,""))&lt;&gt;1,"",IF(C2249="B01",1965,IF(C2249="B02",1020,IF(C2249="B05",2400,IF(C2249="B03",4260,IF(C2249="B04",2880,IF(C2249="B20",1260,0)))))))</f>
        <v/>
      </c>
      <c r="F2249" s="8" t="str">
        <f>IF(IF(D2249&lt;&gt;D2248,1,IF(OR(B2249&lt;&gt;B2248,A2249-A2248&gt;$U$1),1,""))&lt;&gt;1,"",IF(C2249="B01",1,IF(C2249="B05",1,IF(C2249="B03",1,IF(C2249="B04",1,IF(C2249="B20",1,IF(C2249="B02",1,0)))))))</f>
        <v/>
      </c>
      <c r="G2249"/>
      <c r="H2249" s="2"/>
      <c r="I2249" s="2"/>
      <c r="L2249"/>
      <c r="R2249"/>
    </row>
    <row r="2250" spans="1:18">
      <c r="A2250" s="3">
        <v>45790.014374999999</v>
      </c>
      <c r="B2250" s="2" t="s">
        <v>28</v>
      </c>
      <c r="C2250" s="2" t="s">
        <v>11</v>
      </c>
      <c r="D2250" s="6" t="str">
        <f>CONCATENATE(YEAR(A2250),"/",IF(MONTH(A2250)&lt;10,CONCATENATE("0",MONTH(A2250)),MONTH(A2250)))</f>
        <v>2025/05</v>
      </c>
      <c r="E2250" s="8" t="str">
        <f>IF(IF(D2250&lt;&gt;D2249,1,IF(OR(B2250&lt;&gt;B2249,A2250-A2249&gt;$U$1),1,""))&lt;&gt;1,"",IF(C2250="B01",1965,IF(C2250="B02",1020,IF(C2250="B05",2400,IF(C2250="B03",4260,IF(C2250="B04",2880,IF(C2250="B20",1260,0)))))))</f>
        <v/>
      </c>
      <c r="F2250" s="8" t="str">
        <f>IF(IF(D2250&lt;&gt;D2249,1,IF(OR(B2250&lt;&gt;B2249,A2250-A2249&gt;$U$1),1,""))&lt;&gt;1,"",IF(C2250="B01",1,IF(C2250="B05",1,IF(C2250="B03",1,IF(C2250="B04",1,IF(C2250="B20",1,IF(C2250="B02",1,0)))))))</f>
        <v/>
      </c>
      <c r="G2250"/>
      <c r="H2250" s="2"/>
      <c r="I2250" s="2"/>
      <c r="L2250"/>
      <c r="R2250"/>
    </row>
    <row r="2251" spans="1:18">
      <c r="A2251" s="3">
        <v>45790.274062500001</v>
      </c>
      <c r="B2251" s="2" t="s">
        <v>28</v>
      </c>
      <c r="C2251" s="2" t="s">
        <v>11</v>
      </c>
      <c r="D2251" s="6" t="str">
        <f>CONCATENATE(YEAR(A2251),"/",IF(MONTH(A2251)&lt;10,CONCATENATE("0",MONTH(A2251)),MONTH(A2251)))</f>
        <v>2025/05</v>
      </c>
      <c r="E2251" s="8">
        <f>IF(IF(D2251&lt;&gt;D2250,1,IF(OR(B2251&lt;&gt;B2250,A2251-A2250&gt;$U$1),1,""))&lt;&gt;1,"",IF(C2251="B01",1965,IF(C2251="B02",1020,IF(C2251="B05",2400,IF(C2251="B03",4260,IF(C2251="B04",2880,IF(C2251="B20",1260,0)))))))</f>
        <v>2400</v>
      </c>
      <c r="F2251" s="8">
        <f>IF(IF(D2251&lt;&gt;D2250,1,IF(OR(B2251&lt;&gt;B2250,A2251-A2250&gt;$U$1),1,""))&lt;&gt;1,"",IF(C2251="B01",1,IF(C2251="B05",1,IF(C2251="B03",1,IF(C2251="B04",1,IF(C2251="B20",1,IF(C2251="B02",1,0)))))))</f>
        <v>1</v>
      </c>
      <c r="G2251"/>
      <c r="H2251" s="2"/>
      <c r="I2251" s="2"/>
      <c r="L2251"/>
      <c r="R2251"/>
    </row>
    <row r="2252" spans="1:18">
      <c r="A2252" s="3">
        <v>45790.274062500001</v>
      </c>
      <c r="B2252" s="2" t="s">
        <v>28</v>
      </c>
      <c r="C2252" s="2" t="s">
        <v>11</v>
      </c>
      <c r="D2252" s="6" t="str">
        <f>CONCATENATE(YEAR(A2252),"/",IF(MONTH(A2252)&lt;10,CONCATENATE("0",MONTH(A2252)),MONTH(A2252)))</f>
        <v>2025/05</v>
      </c>
      <c r="E2252" s="8" t="str">
        <f>IF(IF(D2252&lt;&gt;D2251,1,IF(OR(B2252&lt;&gt;B2251,A2252-A2251&gt;$U$1),1,""))&lt;&gt;1,"",IF(C2252="B01",1965,IF(C2252="B02",1020,IF(C2252="B05",2400,IF(C2252="B03",4260,IF(C2252="B04",2880,IF(C2252="B20",1260,0)))))))</f>
        <v/>
      </c>
      <c r="F2252" s="8" t="str">
        <f>IF(IF(D2252&lt;&gt;D2251,1,IF(OR(B2252&lt;&gt;B2251,A2252-A2251&gt;$U$1),1,""))&lt;&gt;1,"",IF(C2252="B01",1,IF(C2252="B05",1,IF(C2252="B03",1,IF(C2252="B04",1,IF(C2252="B20",1,IF(C2252="B02",1,0)))))))</f>
        <v/>
      </c>
      <c r="G2252"/>
      <c r="H2252" s="2"/>
      <c r="I2252" s="2"/>
      <c r="L2252"/>
      <c r="R2252"/>
    </row>
    <row r="2253" spans="1:18">
      <c r="A2253" s="3">
        <v>45790.445520833331</v>
      </c>
      <c r="B2253" s="2" t="s">
        <v>28</v>
      </c>
      <c r="C2253" s="2" t="s">
        <v>11</v>
      </c>
      <c r="D2253" s="6" t="str">
        <f>CONCATENATE(YEAR(A2253),"/",IF(MONTH(A2253)&lt;10,CONCATENATE("0",MONTH(A2253)),MONTH(A2253)))</f>
        <v>2025/05</v>
      </c>
      <c r="E2253" s="8">
        <f>IF(IF(D2253&lt;&gt;D2252,1,IF(OR(B2253&lt;&gt;B2252,A2253-A2252&gt;$U$1),1,""))&lt;&gt;1,"",IF(C2253="B01",1965,IF(C2253="B02",1020,IF(C2253="B05",2400,IF(C2253="B03",4260,IF(C2253="B04",2880,IF(C2253="B20",1260,0)))))))</f>
        <v>2400</v>
      </c>
      <c r="F2253" s="8">
        <f>IF(IF(D2253&lt;&gt;D2252,1,IF(OR(B2253&lt;&gt;B2252,A2253-A2252&gt;$U$1),1,""))&lt;&gt;1,"",IF(C2253="B01",1,IF(C2253="B05",1,IF(C2253="B03",1,IF(C2253="B04",1,IF(C2253="B20",1,IF(C2253="B02",1,0)))))))</f>
        <v>1</v>
      </c>
      <c r="G2253"/>
      <c r="H2253" s="2"/>
      <c r="I2253" s="2"/>
      <c r="L2253"/>
      <c r="R2253"/>
    </row>
    <row r="2254" spans="1:18">
      <c r="A2254" s="3">
        <v>45790.445520833331</v>
      </c>
      <c r="B2254" s="2" t="s">
        <v>28</v>
      </c>
      <c r="C2254" s="2" t="s">
        <v>11</v>
      </c>
      <c r="D2254" s="6" t="str">
        <f>CONCATENATE(YEAR(A2254),"/",IF(MONTH(A2254)&lt;10,CONCATENATE("0",MONTH(A2254)),MONTH(A2254)))</f>
        <v>2025/05</v>
      </c>
      <c r="E2254" s="8" t="str">
        <f>IF(IF(D2254&lt;&gt;D2253,1,IF(OR(B2254&lt;&gt;B2253,A2254-A2253&gt;$U$1),1,""))&lt;&gt;1,"",IF(C2254="B01",1965,IF(C2254="B02",1020,IF(C2254="B05",2400,IF(C2254="B03",4260,IF(C2254="B04",2880,IF(C2254="B20",1260,0)))))))</f>
        <v/>
      </c>
      <c r="F2254" s="8" t="str">
        <f>IF(IF(D2254&lt;&gt;D2253,1,IF(OR(B2254&lt;&gt;B2253,A2254-A2253&gt;$U$1),1,""))&lt;&gt;1,"",IF(C2254="B01",1,IF(C2254="B05",1,IF(C2254="B03",1,IF(C2254="B04",1,IF(C2254="B20",1,IF(C2254="B02",1,0)))))))</f>
        <v/>
      </c>
      <c r="G2254"/>
      <c r="H2254" s="2"/>
      <c r="I2254" s="2"/>
      <c r="L2254"/>
      <c r="R2254"/>
    </row>
    <row r="2255" spans="1:18">
      <c r="A2255" s="3">
        <v>45790.445520833331</v>
      </c>
      <c r="B2255" s="2" t="s">
        <v>28</v>
      </c>
      <c r="C2255" s="2" t="s">
        <v>11</v>
      </c>
      <c r="D2255" s="6" t="str">
        <f>CONCATENATE(YEAR(A2255),"/",IF(MONTH(A2255)&lt;10,CONCATENATE("0",MONTH(A2255)),MONTH(A2255)))</f>
        <v>2025/05</v>
      </c>
      <c r="E2255" s="8" t="str">
        <f>IF(IF(D2255&lt;&gt;D2254,1,IF(OR(B2255&lt;&gt;B2254,A2255-A2254&gt;$U$1),1,""))&lt;&gt;1,"",IF(C2255="B01",1965,IF(C2255="B02",1020,IF(C2255="B05",2400,IF(C2255="B03",4260,IF(C2255="B04",2880,IF(C2255="B20",1260,0)))))))</f>
        <v/>
      </c>
      <c r="F2255" s="8" t="str">
        <f>IF(IF(D2255&lt;&gt;D2254,1,IF(OR(B2255&lt;&gt;B2254,A2255-A2254&gt;$U$1),1,""))&lt;&gt;1,"",IF(C2255="B01",1,IF(C2255="B05",1,IF(C2255="B03",1,IF(C2255="B04",1,IF(C2255="B20",1,IF(C2255="B02",1,0)))))))</f>
        <v/>
      </c>
      <c r="G2255"/>
      <c r="H2255" s="2"/>
      <c r="I2255" s="2"/>
      <c r="L2255"/>
      <c r="R2255"/>
    </row>
    <row r="2256" spans="1:18">
      <c r="A2256" s="3">
        <v>45790.445520833331</v>
      </c>
      <c r="B2256" s="2" t="s">
        <v>28</v>
      </c>
      <c r="C2256" s="2" t="s">
        <v>11</v>
      </c>
      <c r="D2256" s="6" t="str">
        <f>CONCATENATE(YEAR(A2256),"/",IF(MONTH(A2256)&lt;10,CONCATENATE("0",MONTH(A2256)),MONTH(A2256)))</f>
        <v>2025/05</v>
      </c>
      <c r="E2256" s="8" t="str">
        <f>IF(IF(D2256&lt;&gt;D2255,1,IF(OR(B2256&lt;&gt;B2255,A2256-A2255&gt;$U$1),1,""))&lt;&gt;1,"",IF(C2256="B01",1965,IF(C2256="B02",1020,IF(C2256="B05",2400,IF(C2256="B03",4260,IF(C2256="B04",2880,IF(C2256="B20",1260,0)))))))</f>
        <v/>
      </c>
      <c r="F2256" s="8" t="str">
        <f>IF(IF(D2256&lt;&gt;D2255,1,IF(OR(B2256&lt;&gt;B2255,A2256-A2255&gt;$U$1),1,""))&lt;&gt;1,"",IF(C2256="B01",1,IF(C2256="B05",1,IF(C2256="B03",1,IF(C2256="B04",1,IF(C2256="B20",1,IF(C2256="B02",1,0)))))))</f>
        <v/>
      </c>
      <c r="G2256"/>
      <c r="H2256" s="2"/>
      <c r="I2256" s="2"/>
      <c r="L2256"/>
      <c r="R2256"/>
    </row>
    <row r="2257" spans="1:18">
      <c r="A2257" s="3">
        <v>45790.445520833331</v>
      </c>
      <c r="B2257" s="2" t="s">
        <v>28</v>
      </c>
      <c r="C2257" s="2" t="s">
        <v>11</v>
      </c>
      <c r="D2257" s="6" t="str">
        <f>CONCATENATE(YEAR(A2257),"/",IF(MONTH(A2257)&lt;10,CONCATENATE("0",MONTH(A2257)),MONTH(A2257)))</f>
        <v>2025/05</v>
      </c>
      <c r="E2257" s="8" t="str">
        <f>IF(IF(D2257&lt;&gt;D2256,1,IF(OR(B2257&lt;&gt;B2256,A2257-A2256&gt;$U$1),1,""))&lt;&gt;1,"",IF(C2257="B01",1965,IF(C2257="B02",1020,IF(C2257="B05",2400,IF(C2257="B03",4260,IF(C2257="B04",2880,IF(C2257="B20",1260,0)))))))</f>
        <v/>
      </c>
      <c r="F2257" s="8" t="str">
        <f>IF(IF(D2257&lt;&gt;D2256,1,IF(OR(B2257&lt;&gt;B2256,A2257-A2256&gt;$U$1),1,""))&lt;&gt;1,"",IF(C2257="B01",1,IF(C2257="B05",1,IF(C2257="B03",1,IF(C2257="B04",1,IF(C2257="B20",1,IF(C2257="B02",1,0)))))))</f>
        <v/>
      </c>
      <c r="G2257"/>
      <c r="H2257" s="2"/>
      <c r="I2257" s="2"/>
      <c r="L2257"/>
      <c r="R2257"/>
    </row>
    <row r="2258" spans="1:18">
      <c r="A2258" s="3">
        <v>45790.566782407404</v>
      </c>
      <c r="B2258" s="2" t="s">
        <v>28</v>
      </c>
      <c r="C2258" s="2" t="s">
        <v>11</v>
      </c>
      <c r="D2258" s="6" t="str">
        <f>CONCATENATE(YEAR(A2258),"/",IF(MONTH(A2258)&lt;10,CONCATENATE("0",MONTH(A2258)),MONTH(A2258)))</f>
        <v>2025/05</v>
      </c>
      <c r="E2258" s="8">
        <f>IF(IF(D2258&lt;&gt;D2257,1,IF(OR(B2258&lt;&gt;B2257,A2258-A2257&gt;$U$1),1,""))&lt;&gt;1,"",IF(C2258="B01",1965,IF(C2258="B02",1020,IF(C2258="B05",2400,IF(C2258="B03",4260,IF(C2258="B04",2880,IF(C2258="B20",1260,0)))))))</f>
        <v>2400</v>
      </c>
      <c r="F2258" s="8">
        <f>IF(IF(D2258&lt;&gt;D2257,1,IF(OR(B2258&lt;&gt;B2257,A2258-A2257&gt;$U$1),1,""))&lt;&gt;1,"",IF(C2258="B01",1,IF(C2258="B05",1,IF(C2258="B03",1,IF(C2258="B04",1,IF(C2258="B20",1,IF(C2258="B02",1,0)))))))</f>
        <v>1</v>
      </c>
      <c r="G2258"/>
      <c r="H2258" s="2"/>
      <c r="I2258" s="2"/>
      <c r="L2258"/>
      <c r="R2258"/>
    </row>
    <row r="2259" spans="1:18">
      <c r="A2259" s="3">
        <v>45790.566782407404</v>
      </c>
      <c r="B2259" s="2" t="s">
        <v>28</v>
      </c>
      <c r="C2259" s="2" t="s">
        <v>11</v>
      </c>
      <c r="D2259" s="6" t="str">
        <f>CONCATENATE(YEAR(A2259),"/",IF(MONTH(A2259)&lt;10,CONCATENATE("0",MONTH(A2259)),MONTH(A2259)))</f>
        <v>2025/05</v>
      </c>
      <c r="E2259" s="8" t="str">
        <f>IF(IF(D2259&lt;&gt;D2258,1,IF(OR(B2259&lt;&gt;B2258,A2259-A2258&gt;$U$1),1,""))&lt;&gt;1,"",IF(C2259="B01",1965,IF(C2259="B02",1020,IF(C2259="B05",2400,IF(C2259="B03",4260,IF(C2259="B04",2880,IF(C2259="B20",1260,0)))))))</f>
        <v/>
      </c>
      <c r="F2259" s="8" t="str">
        <f>IF(IF(D2259&lt;&gt;D2258,1,IF(OR(B2259&lt;&gt;B2258,A2259-A2258&gt;$U$1),1,""))&lt;&gt;1,"",IF(C2259="B01",1,IF(C2259="B05",1,IF(C2259="B03",1,IF(C2259="B04",1,IF(C2259="B20",1,IF(C2259="B02",1,0)))))))</f>
        <v/>
      </c>
      <c r="G2259"/>
      <c r="H2259" s="2"/>
      <c r="I2259" s="2"/>
      <c r="L2259"/>
      <c r="R2259"/>
    </row>
    <row r="2260" spans="1:18">
      <c r="A2260" s="3">
        <v>45790.566782407404</v>
      </c>
      <c r="B2260" s="2" t="s">
        <v>28</v>
      </c>
      <c r="C2260" s="2" t="s">
        <v>11</v>
      </c>
      <c r="D2260" s="6" t="str">
        <f>CONCATENATE(YEAR(A2260),"/",IF(MONTH(A2260)&lt;10,CONCATENATE("0",MONTH(A2260)),MONTH(A2260)))</f>
        <v>2025/05</v>
      </c>
      <c r="E2260" s="8" t="str">
        <f>IF(IF(D2260&lt;&gt;D2259,1,IF(OR(B2260&lt;&gt;B2259,A2260-A2259&gt;$U$1),1,""))&lt;&gt;1,"",IF(C2260="B01",1965,IF(C2260="B02",1020,IF(C2260="B05",2400,IF(C2260="B03",4260,IF(C2260="B04",2880,IF(C2260="B20",1260,0)))))))</f>
        <v/>
      </c>
      <c r="F2260" s="8" t="str">
        <f>IF(IF(D2260&lt;&gt;D2259,1,IF(OR(B2260&lt;&gt;B2259,A2260-A2259&gt;$U$1),1,""))&lt;&gt;1,"",IF(C2260="B01",1,IF(C2260="B05",1,IF(C2260="B03",1,IF(C2260="B04",1,IF(C2260="B20",1,IF(C2260="B02",1,0)))))))</f>
        <v/>
      </c>
      <c r="G2260"/>
      <c r="H2260" s="2"/>
      <c r="I2260" s="2"/>
      <c r="L2260"/>
      <c r="R2260"/>
    </row>
    <row r="2261" spans="1:18">
      <c r="A2261" s="3">
        <v>45790.695439814815</v>
      </c>
      <c r="B2261" s="2" t="s">
        <v>28</v>
      </c>
      <c r="C2261" s="2" t="s">
        <v>11</v>
      </c>
      <c r="D2261" s="6" t="str">
        <f>CONCATENATE(YEAR(A2261),"/",IF(MONTH(A2261)&lt;10,CONCATENATE("0",MONTH(A2261)),MONTH(A2261)))</f>
        <v>2025/05</v>
      </c>
      <c r="E2261" s="8">
        <f>IF(IF(D2261&lt;&gt;D2260,1,IF(OR(B2261&lt;&gt;B2260,A2261-A2260&gt;$U$1),1,""))&lt;&gt;1,"",IF(C2261="B01",1965,IF(C2261="B02",1020,IF(C2261="B05",2400,IF(C2261="B03",4260,IF(C2261="B04",2880,IF(C2261="B20",1260,0)))))))</f>
        <v>2400</v>
      </c>
      <c r="F2261" s="8">
        <f>IF(IF(D2261&lt;&gt;D2260,1,IF(OR(B2261&lt;&gt;B2260,A2261-A2260&gt;$U$1),1,""))&lt;&gt;1,"",IF(C2261="B01",1,IF(C2261="B05",1,IF(C2261="B03",1,IF(C2261="B04",1,IF(C2261="B20",1,IF(C2261="B02",1,0)))))))</f>
        <v>1</v>
      </c>
      <c r="G2261"/>
      <c r="H2261" s="2"/>
      <c r="I2261" s="2"/>
      <c r="L2261"/>
      <c r="R2261"/>
    </row>
    <row r="2262" spans="1:18">
      <c r="A2262" s="3">
        <v>45790.695439814815</v>
      </c>
      <c r="B2262" s="2" t="s">
        <v>28</v>
      </c>
      <c r="C2262" s="2" t="s">
        <v>11</v>
      </c>
      <c r="D2262" s="6" t="str">
        <f>CONCATENATE(YEAR(A2262),"/",IF(MONTH(A2262)&lt;10,CONCATENATE("0",MONTH(A2262)),MONTH(A2262)))</f>
        <v>2025/05</v>
      </c>
      <c r="E2262" s="8" t="str">
        <f>IF(IF(D2262&lt;&gt;D2261,1,IF(OR(B2262&lt;&gt;B2261,A2262-A2261&gt;$U$1),1,""))&lt;&gt;1,"",IF(C2262="B01",1965,IF(C2262="B02",1020,IF(C2262="B05",2400,IF(C2262="B03",4260,IF(C2262="B04",2880,IF(C2262="B20",1260,0)))))))</f>
        <v/>
      </c>
      <c r="F2262" s="8" t="str">
        <f>IF(IF(D2262&lt;&gt;D2261,1,IF(OR(B2262&lt;&gt;B2261,A2262-A2261&gt;$U$1),1,""))&lt;&gt;1,"",IF(C2262="B01",1,IF(C2262="B05",1,IF(C2262="B03",1,IF(C2262="B04",1,IF(C2262="B20",1,IF(C2262="B02",1,0)))))))</f>
        <v/>
      </c>
      <c r="G2262"/>
      <c r="H2262" s="2"/>
      <c r="I2262" s="2"/>
      <c r="L2262"/>
      <c r="R2262"/>
    </row>
    <row r="2263" spans="1:18">
      <c r="A2263" s="3">
        <v>45790.695439814815</v>
      </c>
      <c r="B2263" s="2" t="s">
        <v>28</v>
      </c>
      <c r="C2263" s="2" t="s">
        <v>11</v>
      </c>
      <c r="D2263" s="6" t="str">
        <f>CONCATENATE(YEAR(A2263),"/",IF(MONTH(A2263)&lt;10,CONCATENATE("0",MONTH(A2263)),MONTH(A2263)))</f>
        <v>2025/05</v>
      </c>
      <c r="E2263" s="8" t="str">
        <f>IF(IF(D2263&lt;&gt;D2262,1,IF(OR(B2263&lt;&gt;B2262,A2263-A2262&gt;$U$1),1,""))&lt;&gt;1,"",IF(C2263="B01",1965,IF(C2263="B02",1020,IF(C2263="B05",2400,IF(C2263="B03",4260,IF(C2263="B04",2880,IF(C2263="B20",1260,0)))))))</f>
        <v/>
      </c>
      <c r="F2263" s="8" t="str">
        <f>IF(IF(D2263&lt;&gt;D2262,1,IF(OR(B2263&lt;&gt;B2262,A2263-A2262&gt;$U$1),1,""))&lt;&gt;1,"",IF(C2263="B01",1,IF(C2263="B05",1,IF(C2263="B03",1,IF(C2263="B04",1,IF(C2263="B20",1,IF(C2263="B02",1,0)))))))</f>
        <v/>
      </c>
      <c r="G2263"/>
      <c r="H2263" s="2"/>
      <c r="I2263" s="2"/>
      <c r="L2263"/>
      <c r="R2263"/>
    </row>
    <row r="2264" spans="1:18">
      <c r="A2264" s="3">
        <v>45790.849803240744</v>
      </c>
      <c r="B2264" s="2" t="s">
        <v>28</v>
      </c>
      <c r="C2264" s="2" t="s">
        <v>11</v>
      </c>
      <c r="D2264" s="6" t="str">
        <f>CONCATENATE(YEAR(A2264),"/",IF(MONTH(A2264)&lt;10,CONCATENATE("0",MONTH(A2264)),MONTH(A2264)))</f>
        <v>2025/05</v>
      </c>
      <c r="E2264" s="8">
        <f>IF(IF(D2264&lt;&gt;D2263,1,IF(OR(B2264&lt;&gt;B2263,A2264-A2263&gt;$U$1),1,""))&lt;&gt;1,"",IF(C2264="B01",1965,IF(C2264="B02",1020,IF(C2264="B05",2400,IF(C2264="B03",4260,IF(C2264="B04",2880,IF(C2264="B20",1260,0)))))))</f>
        <v>2400</v>
      </c>
      <c r="F2264" s="8">
        <f>IF(IF(D2264&lt;&gt;D2263,1,IF(OR(B2264&lt;&gt;B2263,A2264-A2263&gt;$U$1),1,""))&lt;&gt;1,"",IF(C2264="B01",1,IF(C2264="B05",1,IF(C2264="B03",1,IF(C2264="B04",1,IF(C2264="B20",1,IF(C2264="B02",1,0)))))))</f>
        <v>1</v>
      </c>
      <c r="G2264"/>
      <c r="H2264" s="2"/>
      <c r="I2264" s="2"/>
      <c r="L2264"/>
      <c r="R2264"/>
    </row>
    <row r="2265" spans="1:18">
      <c r="A2265" s="3">
        <v>45790.849803240744</v>
      </c>
      <c r="B2265" s="2" t="s">
        <v>28</v>
      </c>
      <c r="C2265" s="2" t="s">
        <v>11</v>
      </c>
      <c r="D2265" s="6" t="str">
        <f>CONCATENATE(YEAR(A2265),"/",IF(MONTH(A2265)&lt;10,CONCATENATE("0",MONTH(A2265)),MONTH(A2265)))</f>
        <v>2025/05</v>
      </c>
      <c r="E2265" s="8" t="str">
        <f>IF(IF(D2265&lt;&gt;D2264,1,IF(OR(B2265&lt;&gt;B2264,A2265-A2264&gt;$U$1),1,""))&lt;&gt;1,"",IF(C2265="B01",1965,IF(C2265="B02",1020,IF(C2265="B05",2400,IF(C2265="B03",4260,IF(C2265="B04",2880,IF(C2265="B20",1260,0)))))))</f>
        <v/>
      </c>
      <c r="F2265" s="8" t="str">
        <f>IF(IF(D2265&lt;&gt;D2264,1,IF(OR(B2265&lt;&gt;B2264,A2265-A2264&gt;$U$1),1,""))&lt;&gt;1,"",IF(C2265="B01",1,IF(C2265="B05",1,IF(C2265="B03",1,IF(C2265="B04",1,IF(C2265="B20",1,IF(C2265="B02",1,0)))))))</f>
        <v/>
      </c>
      <c r="G2265"/>
      <c r="H2265" s="2"/>
      <c r="I2265" s="2"/>
      <c r="L2265"/>
      <c r="R2265"/>
    </row>
    <row r="2266" spans="1:18">
      <c r="A2266" s="3">
        <v>45790.849803240744</v>
      </c>
      <c r="B2266" s="2" t="s">
        <v>28</v>
      </c>
      <c r="C2266" s="2" t="s">
        <v>11</v>
      </c>
      <c r="D2266" s="6" t="str">
        <f>CONCATENATE(YEAR(A2266),"/",IF(MONTH(A2266)&lt;10,CONCATENATE("0",MONTH(A2266)),MONTH(A2266)))</f>
        <v>2025/05</v>
      </c>
      <c r="E2266" s="8" t="str">
        <f>IF(IF(D2266&lt;&gt;D2265,1,IF(OR(B2266&lt;&gt;B2265,A2266-A2265&gt;$U$1),1,""))&lt;&gt;1,"",IF(C2266="B01",1965,IF(C2266="B02",1020,IF(C2266="B05",2400,IF(C2266="B03",4260,IF(C2266="B04",2880,IF(C2266="B20",1260,0)))))))</f>
        <v/>
      </c>
      <c r="F2266" s="8" t="str">
        <f>IF(IF(D2266&lt;&gt;D2265,1,IF(OR(B2266&lt;&gt;B2265,A2266-A2265&gt;$U$1),1,""))&lt;&gt;1,"",IF(C2266="B01",1,IF(C2266="B05",1,IF(C2266="B03",1,IF(C2266="B04",1,IF(C2266="B20",1,IF(C2266="B02",1,0)))))))</f>
        <v/>
      </c>
      <c r="G2266"/>
      <c r="H2266" s="2"/>
      <c r="I2266" s="2"/>
      <c r="L2266"/>
      <c r="R2266"/>
    </row>
    <row r="2267" spans="1:18">
      <c r="A2267" s="3">
        <v>45791.289247685185</v>
      </c>
      <c r="B2267" s="2" t="s">
        <v>28</v>
      </c>
      <c r="C2267" s="2" t="s">
        <v>11</v>
      </c>
      <c r="D2267" s="6" t="str">
        <f>CONCATENATE(YEAR(A2267),"/",IF(MONTH(A2267)&lt;10,CONCATENATE("0",MONTH(A2267)),MONTH(A2267)))</f>
        <v>2025/05</v>
      </c>
      <c r="E2267" s="8">
        <f>IF(IF(D2267&lt;&gt;D2266,1,IF(OR(B2267&lt;&gt;B2266,A2267-A2266&gt;$U$1),1,""))&lt;&gt;1,"",IF(C2267="B01",1965,IF(C2267="B02",1020,IF(C2267="B05",2400,IF(C2267="B03",4260,IF(C2267="B04",2880,IF(C2267="B20",1260,0)))))))</f>
        <v>2400</v>
      </c>
      <c r="F2267" s="8">
        <f>IF(IF(D2267&lt;&gt;D2266,1,IF(OR(B2267&lt;&gt;B2266,A2267-A2266&gt;$U$1),1,""))&lt;&gt;1,"",IF(C2267="B01",1,IF(C2267="B05",1,IF(C2267="B03",1,IF(C2267="B04",1,IF(C2267="B20",1,IF(C2267="B02",1,0)))))))</f>
        <v>1</v>
      </c>
      <c r="G2267"/>
      <c r="H2267" s="2"/>
      <c r="I2267" s="2"/>
      <c r="L2267"/>
      <c r="R2267"/>
    </row>
    <row r="2268" spans="1:18">
      <c r="A2268" s="3">
        <v>45791.289247685185</v>
      </c>
      <c r="B2268" s="2" t="s">
        <v>28</v>
      </c>
      <c r="C2268" s="2" t="s">
        <v>11</v>
      </c>
      <c r="D2268" s="6" t="str">
        <f>CONCATENATE(YEAR(A2268),"/",IF(MONTH(A2268)&lt;10,CONCATENATE("0",MONTH(A2268)),MONTH(A2268)))</f>
        <v>2025/05</v>
      </c>
      <c r="E2268" s="8" t="str">
        <f>IF(IF(D2268&lt;&gt;D2267,1,IF(OR(B2268&lt;&gt;B2267,A2268-A2267&gt;$U$1),1,""))&lt;&gt;1,"",IF(C2268="B01",1965,IF(C2268="B02",1020,IF(C2268="B05",2400,IF(C2268="B03",4260,IF(C2268="B04",2880,IF(C2268="B20",1260,0)))))))</f>
        <v/>
      </c>
      <c r="F2268" s="8" t="str">
        <f>IF(IF(D2268&lt;&gt;D2267,1,IF(OR(B2268&lt;&gt;B2267,A2268-A2267&gt;$U$1),1,""))&lt;&gt;1,"",IF(C2268="B01",1,IF(C2268="B05",1,IF(C2268="B03",1,IF(C2268="B04",1,IF(C2268="B20",1,IF(C2268="B02",1,0)))))))</f>
        <v/>
      </c>
      <c r="G2268"/>
      <c r="H2268" s="2"/>
      <c r="I2268" s="2"/>
      <c r="L2268"/>
      <c r="R2268"/>
    </row>
    <row r="2269" spans="1:18">
      <c r="A2269" s="3">
        <v>45791.289247685185</v>
      </c>
      <c r="B2269" s="2" t="s">
        <v>28</v>
      </c>
      <c r="C2269" s="2" t="s">
        <v>11</v>
      </c>
      <c r="D2269" s="6" t="str">
        <f>CONCATENATE(YEAR(A2269),"/",IF(MONTH(A2269)&lt;10,CONCATENATE("0",MONTH(A2269)),MONTH(A2269)))</f>
        <v>2025/05</v>
      </c>
      <c r="E2269" s="8" t="str">
        <f>IF(IF(D2269&lt;&gt;D2268,1,IF(OR(B2269&lt;&gt;B2268,A2269-A2268&gt;$U$1),1,""))&lt;&gt;1,"",IF(C2269="B01",1965,IF(C2269="B02",1020,IF(C2269="B05",2400,IF(C2269="B03",4260,IF(C2269="B04",2880,IF(C2269="B20",1260,0)))))))</f>
        <v/>
      </c>
      <c r="F2269" s="8" t="str">
        <f>IF(IF(D2269&lt;&gt;D2268,1,IF(OR(B2269&lt;&gt;B2268,A2269-A2268&gt;$U$1),1,""))&lt;&gt;1,"",IF(C2269="B01",1,IF(C2269="B05",1,IF(C2269="B03",1,IF(C2269="B04",1,IF(C2269="B20",1,IF(C2269="B02",1,0)))))))</f>
        <v/>
      </c>
      <c r="G2269"/>
      <c r="H2269" s="2"/>
      <c r="I2269" s="2"/>
      <c r="L2269"/>
      <c r="R2269"/>
    </row>
    <row r="2270" spans="1:18">
      <c r="A2270" s="3">
        <v>45791.289247685185</v>
      </c>
      <c r="B2270" s="2" t="s">
        <v>28</v>
      </c>
      <c r="C2270" s="2" t="s">
        <v>11</v>
      </c>
      <c r="D2270" s="6" t="str">
        <f>CONCATENATE(YEAR(A2270),"/",IF(MONTH(A2270)&lt;10,CONCATENATE("0",MONTH(A2270)),MONTH(A2270)))</f>
        <v>2025/05</v>
      </c>
      <c r="E2270" s="8" t="str">
        <f>IF(IF(D2270&lt;&gt;D2269,1,IF(OR(B2270&lt;&gt;B2269,A2270-A2269&gt;$U$1),1,""))&lt;&gt;1,"",IF(C2270="B01",1965,IF(C2270="B02",1020,IF(C2270="B05",2400,IF(C2270="B03",4260,IF(C2270="B04",2880,IF(C2270="B20",1260,0)))))))</f>
        <v/>
      </c>
      <c r="F2270" s="8" t="str">
        <f>IF(IF(D2270&lt;&gt;D2269,1,IF(OR(B2270&lt;&gt;B2269,A2270-A2269&gt;$U$1),1,""))&lt;&gt;1,"",IF(C2270="B01",1,IF(C2270="B05",1,IF(C2270="B03",1,IF(C2270="B04",1,IF(C2270="B20",1,IF(C2270="B02",1,0)))))))</f>
        <v/>
      </c>
      <c r="G2270"/>
      <c r="H2270" s="2"/>
      <c r="I2270" s="2"/>
      <c r="L2270"/>
      <c r="R2270"/>
    </row>
    <row r="2271" spans="1:18">
      <c r="A2271" s="3">
        <v>45791.55641203704</v>
      </c>
      <c r="B2271" s="2" t="s">
        <v>28</v>
      </c>
      <c r="C2271" s="2" t="s">
        <v>11</v>
      </c>
      <c r="D2271" s="6" t="str">
        <f>CONCATENATE(YEAR(A2271),"/",IF(MONTH(A2271)&lt;10,CONCATENATE("0",MONTH(A2271)),MONTH(A2271)))</f>
        <v>2025/05</v>
      </c>
      <c r="E2271" s="8">
        <f>IF(IF(D2271&lt;&gt;D2270,1,IF(OR(B2271&lt;&gt;B2270,A2271-A2270&gt;$U$1),1,""))&lt;&gt;1,"",IF(C2271="B01",1965,IF(C2271="B02",1020,IF(C2271="B05",2400,IF(C2271="B03",4260,IF(C2271="B04",2880,IF(C2271="B20",1260,0)))))))</f>
        <v>2400</v>
      </c>
      <c r="F2271" s="8">
        <f>IF(IF(D2271&lt;&gt;D2270,1,IF(OR(B2271&lt;&gt;B2270,A2271-A2270&gt;$U$1),1,""))&lt;&gt;1,"",IF(C2271="B01",1,IF(C2271="B05",1,IF(C2271="B03",1,IF(C2271="B04",1,IF(C2271="B20",1,IF(C2271="B02",1,0)))))))</f>
        <v>1</v>
      </c>
      <c r="G2271"/>
      <c r="H2271" s="2"/>
      <c r="I2271" s="2"/>
      <c r="L2271"/>
      <c r="R2271"/>
    </row>
    <row r="2272" spans="1:18">
      <c r="A2272" s="3">
        <v>45791.55641203704</v>
      </c>
      <c r="B2272" s="2" t="s">
        <v>28</v>
      </c>
      <c r="C2272" s="2" t="s">
        <v>11</v>
      </c>
      <c r="D2272" s="6" t="str">
        <f>CONCATENATE(YEAR(A2272),"/",IF(MONTH(A2272)&lt;10,CONCATENATE("0",MONTH(A2272)),MONTH(A2272)))</f>
        <v>2025/05</v>
      </c>
      <c r="E2272" s="8" t="str">
        <f>IF(IF(D2272&lt;&gt;D2271,1,IF(OR(B2272&lt;&gt;B2271,A2272-A2271&gt;$U$1),1,""))&lt;&gt;1,"",IF(C2272="B01",1965,IF(C2272="B02",1020,IF(C2272="B05",2400,IF(C2272="B03",4260,IF(C2272="B04",2880,IF(C2272="B20",1260,0)))))))</f>
        <v/>
      </c>
      <c r="F2272" s="8" t="str">
        <f>IF(IF(D2272&lt;&gt;D2271,1,IF(OR(B2272&lt;&gt;B2271,A2272-A2271&gt;$U$1),1,""))&lt;&gt;1,"",IF(C2272="B01",1,IF(C2272="B05",1,IF(C2272="B03",1,IF(C2272="B04",1,IF(C2272="B20",1,IF(C2272="B02",1,0)))))))</f>
        <v/>
      </c>
      <c r="G2272"/>
      <c r="H2272" s="2"/>
      <c r="I2272" s="2"/>
      <c r="L2272"/>
      <c r="R2272"/>
    </row>
    <row r="2273" spans="1:18">
      <c r="A2273" s="3">
        <v>45791.55641203704</v>
      </c>
      <c r="B2273" s="2" t="s">
        <v>28</v>
      </c>
      <c r="C2273" s="2" t="s">
        <v>11</v>
      </c>
      <c r="D2273" s="6" t="str">
        <f>CONCATENATE(YEAR(A2273),"/",IF(MONTH(A2273)&lt;10,CONCATENATE("0",MONTH(A2273)),MONTH(A2273)))</f>
        <v>2025/05</v>
      </c>
      <c r="E2273" s="8" t="str">
        <f>IF(IF(D2273&lt;&gt;D2272,1,IF(OR(B2273&lt;&gt;B2272,A2273-A2272&gt;$U$1),1,""))&lt;&gt;1,"",IF(C2273="B01",1965,IF(C2273="B02",1020,IF(C2273="B05",2400,IF(C2273="B03",4260,IF(C2273="B04",2880,IF(C2273="B20",1260,0)))))))</f>
        <v/>
      </c>
      <c r="F2273" s="8" t="str">
        <f>IF(IF(D2273&lt;&gt;D2272,1,IF(OR(B2273&lt;&gt;B2272,A2273-A2272&gt;$U$1),1,""))&lt;&gt;1,"",IF(C2273="B01",1,IF(C2273="B05",1,IF(C2273="B03",1,IF(C2273="B04",1,IF(C2273="B20",1,IF(C2273="B02",1,0)))))))</f>
        <v/>
      </c>
      <c r="G2273"/>
      <c r="H2273" s="2"/>
      <c r="I2273" s="2"/>
      <c r="L2273"/>
      <c r="R2273"/>
    </row>
    <row r="2274" spans="1:18">
      <c r="A2274" s="3">
        <v>45791.744560185187</v>
      </c>
      <c r="B2274" s="2" t="s">
        <v>28</v>
      </c>
      <c r="C2274" s="2" t="s">
        <v>11</v>
      </c>
      <c r="D2274" s="6" t="str">
        <f>CONCATENATE(YEAR(A2274),"/",IF(MONTH(A2274)&lt;10,CONCATENATE("0",MONTH(A2274)),MONTH(A2274)))</f>
        <v>2025/05</v>
      </c>
      <c r="E2274" s="8">
        <f>IF(IF(D2274&lt;&gt;D2273,1,IF(OR(B2274&lt;&gt;B2273,A2274-A2273&gt;$U$1),1,""))&lt;&gt;1,"",IF(C2274="B01",1965,IF(C2274="B02",1020,IF(C2274="B05",2400,IF(C2274="B03",4260,IF(C2274="B04",2880,IF(C2274="B20",1260,0)))))))</f>
        <v>2400</v>
      </c>
      <c r="F2274" s="8">
        <f>IF(IF(D2274&lt;&gt;D2273,1,IF(OR(B2274&lt;&gt;B2273,A2274-A2273&gt;$U$1),1,""))&lt;&gt;1,"",IF(C2274="B01",1,IF(C2274="B05",1,IF(C2274="B03",1,IF(C2274="B04",1,IF(C2274="B20",1,IF(C2274="B02",1,0)))))))</f>
        <v>1</v>
      </c>
      <c r="G2274"/>
      <c r="H2274" s="2"/>
      <c r="I2274" s="2"/>
      <c r="L2274"/>
      <c r="R2274"/>
    </row>
    <row r="2275" spans="1:18">
      <c r="A2275" s="3">
        <v>45791.744560185187</v>
      </c>
      <c r="B2275" s="2" t="s">
        <v>28</v>
      </c>
      <c r="C2275" s="2" t="s">
        <v>11</v>
      </c>
      <c r="D2275" s="6" t="str">
        <f>CONCATENATE(YEAR(A2275),"/",IF(MONTH(A2275)&lt;10,CONCATENATE("0",MONTH(A2275)),MONTH(A2275)))</f>
        <v>2025/05</v>
      </c>
      <c r="E2275" s="8" t="str">
        <f>IF(IF(D2275&lt;&gt;D2274,1,IF(OR(B2275&lt;&gt;B2274,A2275-A2274&gt;$U$1),1,""))&lt;&gt;1,"",IF(C2275="B01",1965,IF(C2275="B02",1020,IF(C2275="B05",2400,IF(C2275="B03",4260,IF(C2275="B04",2880,IF(C2275="B20",1260,0)))))))</f>
        <v/>
      </c>
      <c r="F2275" s="8" t="str">
        <f>IF(IF(D2275&lt;&gt;D2274,1,IF(OR(B2275&lt;&gt;B2274,A2275-A2274&gt;$U$1),1,""))&lt;&gt;1,"",IF(C2275="B01",1,IF(C2275="B05",1,IF(C2275="B03",1,IF(C2275="B04",1,IF(C2275="B20",1,IF(C2275="B02",1,0)))))))</f>
        <v/>
      </c>
      <c r="G2275"/>
      <c r="H2275" s="2"/>
      <c r="I2275" s="2"/>
      <c r="L2275"/>
      <c r="R2275"/>
    </row>
    <row r="2276" spans="1:18">
      <c r="A2276" s="3">
        <v>45791.863194444442</v>
      </c>
      <c r="B2276" s="2" t="s">
        <v>28</v>
      </c>
      <c r="C2276" s="2" t="s">
        <v>11</v>
      </c>
      <c r="D2276" s="6" t="str">
        <f>CONCATENATE(YEAR(A2276),"/",IF(MONTH(A2276)&lt;10,CONCATENATE("0",MONTH(A2276)),MONTH(A2276)))</f>
        <v>2025/05</v>
      </c>
      <c r="E2276" s="8">
        <f>IF(IF(D2276&lt;&gt;D2275,1,IF(OR(B2276&lt;&gt;B2275,A2276-A2275&gt;$U$1),1,""))&lt;&gt;1,"",IF(C2276="B01",1965,IF(C2276="B02",1020,IF(C2276="B05",2400,IF(C2276="B03",4260,IF(C2276="B04",2880,IF(C2276="B20",1260,0)))))))</f>
        <v>2400</v>
      </c>
      <c r="F2276" s="8">
        <f>IF(IF(D2276&lt;&gt;D2275,1,IF(OR(B2276&lt;&gt;B2275,A2276-A2275&gt;$U$1),1,""))&lt;&gt;1,"",IF(C2276="B01",1,IF(C2276="B05",1,IF(C2276="B03",1,IF(C2276="B04",1,IF(C2276="B20",1,IF(C2276="B02",1,0)))))))</f>
        <v>1</v>
      </c>
      <c r="G2276"/>
      <c r="H2276" s="2"/>
      <c r="I2276" s="2"/>
      <c r="L2276"/>
      <c r="R2276"/>
    </row>
    <row r="2277" spans="1:18">
      <c r="A2277" s="3">
        <v>45791.863194444442</v>
      </c>
      <c r="B2277" s="2" t="s">
        <v>28</v>
      </c>
      <c r="C2277" s="2" t="s">
        <v>11</v>
      </c>
      <c r="D2277" s="6" t="str">
        <f>CONCATENATE(YEAR(A2277),"/",IF(MONTH(A2277)&lt;10,CONCATENATE("0",MONTH(A2277)),MONTH(A2277)))</f>
        <v>2025/05</v>
      </c>
      <c r="E2277" s="8" t="str">
        <f>IF(IF(D2277&lt;&gt;D2276,1,IF(OR(B2277&lt;&gt;B2276,A2277-A2276&gt;$U$1),1,""))&lt;&gt;1,"",IF(C2277="B01",1965,IF(C2277="B02",1020,IF(C2277="B05",2400,IF(C2277="B03",4260,IF(C2277="B04",2880,IF(C2277="B20",1260,0)))))))</f>
        <v/>
      </c>
      <c r="F2277" s="8" t="str">
        <f>IF(IF(D2277&lt;&gt;D2276,1,IF(OR(B2277&lt;&gt;B2276,A2277-A2276&gt;$U$1),1,""))&lt;&gt;1,"",IF(C2277="B01",1,IF(C2277="B05",1,IF(C2277="B03",1,IF(C2277="B04",1,IF(C2277="B20",1,IF(C2277="B02",1,0)))))))</f>
        <v/>
      </c>
      <c r="G2277"/>
      <c r="H2277" s="2"/>
      <c r="I2277" s="2"/>
      <c r="L2277"/>
      <c r="R2277"/>
    </row>
    <row r="2278" spans="1:18">
      <c r="A2278" s="3">
        <v>45792.097337962965</v>
      </c>
      <c r="B2278" s="2" t="s">
        <v>28</v>
      </c>
      <c r="C2278" s="2" t="s">
        <v>11</v>
      </c>
      <c r="D2278" s="6" t="str">
        <f>CONCATENATE(YEAR(A2278),"/",IF(MONTH(A2278)&lt;10,CONCATENATE("0",MONTH(A2278)),MONTH(A2278)))</f>
        <v>2025/05</v>
      </c>
      <c r="E2278" s="8">
        <f>IF(IF(D2278&lt;&gt;D2277,1,IF(OR(B2278&lt;&gt;B2277,A2278-A2277&gt;$U$1),1,""))&lt;&gt;1,"",IF(C2278="B01",1965,IF(C2278="B02",1020,IF(C2278="B05",2400,IF(C2278="B03",4260,IF(C2278="B04",2880,IF(C2278="B20",1260,0)))))))</f>
        <v>2400</v>
      </c>
      <c r="F2278" s="8">
        <f>IF(IF(D2278&lt;&gt;D2277,1,IF(OR(B2278&lt;&gt;B2277,A2278-A2277&gt;$U$1),1,""))&lt;&gt;1,"",IF(C2278="B01",1,IF(C2278="B05",1,IF(C2278="B03",1,IF(C2278="B04",1,IF(C2278="B20",1,IF(C2278="B02",1,0)))))))</f>
        <v>1</v>
      </c>
      <c r="G2278"/>
      <c r="H2278" s="2"/>
      <c r="I2278" s="2"/>
      <c r="L2278"/>
      <c r="R2278"/>
    </row>
    <row r="2279" spans="1:18">
      <c r="A2279" s="3">
        <v>45792.097337962965</v>
      </c>
      <c r="B2279" s="2" t="s">
        <v>28</v>
      </c>
      <c r="C2279" s="2" t="s">
        <v>11</v>
      </c>
      <c r="D2279" s="6" t="str">
        <f>CONCATENATE(YEAR(A2279),"/",IF(MONTH(A2279)&lt;10,CONCATENATE("0",MONTH(A2279)),MONTH(A2279)))</f>
        <v>2025/05</v>
      </c>
      <c r="E2279" s="8" t="str">
        <f>IF(IF(D2279&lt;&gt;D2278,1,IF(OR(B2279&lt;&gt;B2278,A2279-A2278&gt;$U$1),1,""))&lt;&gt;1,"",IF(C2279="B01",1965,IF(C2279="B02",1020,IF(C2279="B05",2400,IF(C2279="B03",4260,IF(C2279="B04",2880,IF(C2279="B20",1260,0)))))))</f>
        <v/>
      </c>
      <c r="F2279" s="8" t="str">
        <f>IF(IF(D2279&lt;&gt;D2278,1,IF(OR(B2279&lt;&gt;B2278,A2279-A2278&gt;$U$1),1,""))&lt;&gt;1,"",IF(C2279="B01",1,IF(C2279="B05",1,IF(C2279="B03",1,IF(C2279="B04",1,IF(C2279="B20",1,IF(C2279="B02",1,0)))))))</f>
        <v/>
      </c>
      <c r="G2279"/>
      <c r="H2279" s="2"/>
      <c r="I2279" s="2"/>
      <c r="L2279"/>
      <c r="R2279"/>
    </row>
    <row r="2280" spans="1:18">
      <c r="A2280" s="3">
        <v>45792.097337962965</v>
      </c>
      <c r="B2280" s="2" t="s">
        <v>28</v>
      </c>
      <c r="C2280" s="2" t="s">
        <v>11</v>
      </c>
      <c r="D2280" s="6" t="str">
        <f>CONCATENATE(YEAR(A2280),"/",IF(MONTH(A2280)&lt;10,CONCATENATE("0",MONTH(A2280)),MONTH(A2280)))</f>
        <v>2025/05</v>
      </c>
      <c r="E2280" s="8" t="str">
        <f>IF(IF(D2280&lt;&gt;D2279,1,IF(OR(B2280&lt;&gt;B2279,A2280-A2279&gt;$U$1),1,""))&lt;&gt;1,"",IF(C2280="B01",1965,IF(C2280="B02",1020,IF(C2280="B05",2400,IF(C2280="B03",4260,IF(C2280="B04",2880,IF(C2280="B20",1260,0)))))))</f>
        <v/>
      </c>
      <c r="F2280" s="8" t="str">
        <f>IF(IF(D2280&lt;&gt;D2279,1,IF(OR(B2280&lt;&gt;B2279,A2280-A2279&gt;$U$1),1,""))&lt;&gt;1,"",IF(C2280="B01",1,IF(C2280="B05",1,IF(C2280="B03",1,IF(C2280="B04",1,IF(C2280="B20",1,IF(C2280="B02",1,0)))))))</f>
        <v/>
      </c>
      <c r="G2280"/>
      <c r="H2280" s="2"/>
      <c r="I2280" s="2"/>
      <c r="L2280"/>
      <c r="R2280"/>
    </row>
    <row r="2281" spans="1:18">
      <c r="A2281" s="3">
        <v>45794.34033564815</v>
      </c>
      <c r="B2281" s="2" t="s">
        <v>28</v>
      </c>
      <c r="C2281" s="2" t="s">
        <v>11</v>
      </c>
      <c r="D2281" s="6" t="str">
        <f>CONCATENATE(YEAR(A2281),"/",IF(MONTH(A2281)&lt;10,CONCATENATE("0",MONTH(A2281)),MONTH(A2281)))</f>
        <v>2025/05</v>
      </c>
      <c r="E2281" s="8">
        <f>IF(IF(D2281&lt;&gt;D2280,1,IF(OR(B2281&lt;&gt;B2280,A2281-A2280&gt;$U$1),1,""))&lt;&gt;1,"",IF(C2281="B01",1965,IF(C2281="B02",1020,IF(C2281="B05",2400,IF(C2281="B03",4260,IF(C2281="B04",2880,IF(C2281="B20",1260,0)))))))</f>
        <v>2400</v>
      </c>
      <c r="F2281" s="8">
        <f>IF(IF(D2281&lt;&gt;D2280,1,IF(OR(B2281&lt;&gt;B2280,A2281-A2280&gt;$U$1),1,""))&lt;&gt;1,"",IF(C2281="B01",1,IF(C2281="B05",1,IF(C2281="B03",1,IF(C2281="B04",1,IF(C2281="B20",1,IF(C2281="B02",1,0)))))))</f>
        <v>1</v>
      </c>
      <c r="G2281"/>
      <c r="H2281" s="2"/>
      <c r="I2281" s="2"/>
      <c r="L2281"/>
      <c r="R2281"/>
    </row>
    <row r="2282" spans="1:18">
      <c r="A2282" s="3">
        <v>45794.34033564815</v>
      </c>
      <c r="B2282" s="2" t="s">
        <v>28</v>
      </c>
      <c r="C2282" s="2" t="s">
        <v>11</v>
      </c>
      <c r="D2282" s="6" t="str">
        <f>CONCATENATE(YEAR(A2282),"/",IF(MONTH(A2282)&lt;10,CONCATENATE("0",MONTH(A2282)),MONTH(A2282)))</f>
        <v>2025/05</v>
      </c>
      <c r="E2282" s="8" t="str">
        <f>IF(IF(D2282&lt;&gt;D2281,1,IF(OR(B2282&lt;&gt;B2281,A2282-A2281&gt;$U$1),1,""))&lt;&gt;1,"",IF(C2282="B01",1965,IF(C2282="B02",1020,IF(C2282="B05",2400,IF(C2282="B03",4260,IF(C2282="B04",2880,IF(C2282="B20",1260,0)))))))</f>
        <v/>
      </c>
      <c r="F2282" s="8" t="str">
        <f>IF(IF(D2282&lt;&gt;D2281,1,IF(OR(B2282&lt;&gt;B2281,A2282-A2281&gt;$U$1),1,""))&lt;&gt;1,"",IF(C2282="B01",1,IF(C2282="B05",1,IF(C2282="B03",1,IF(C2282="B04",1,IF(C2282="B20",1,IF(C2282="B02",1,0)))))))</f>
        <v/>
      </c>
      <c r="G2282"/>
      <c r="H2282" s="2"/>
      <c r="I2282" s="2"/>
      <c r="L2282"/>
      <c r="R2282"/>
    </row>
    <row r="2283" spans="1:18">
      <c r="A2283" s="3">
        <v>45794.34033564815</v>
      </c>
      <c r="B2283" s="2" t="s">
        <v>28</v>
      </c>
      <c r="C2283" s="2" t="s">
        <v>11</v>
      </c>
      <c r="D2283" s="6" t="str">
        <f>CONCATENATE(YEAR(A2283),"/",IF(MONTH(A2283)&lt;10,CONCATENATE("0",MONTH(A2283)),MONTH(A2283)))</f>
        <v>2025/05</v>
      </c>
      <c r="E2283" s="8" t="str">
        <f>IF(IF(D2283&lt;&gt;D2282,1,IF(OR(B2283&lt;&gt;B2282,A2283-A2282&gt;$U$1),1,""))&lt;&gt;1,"",IF(C2283="B01",1965,IF(C2283="B02",1020,IF(C2283="B05",2400,IF(C2283="B03",4260,IF(C2283="B04",2880,IF(C2283="B20",1260,0)))))))</f>
        <v/>
      </c>
      <c r="F2283" s="8" t="str">
        <f>IF(IF(D2283&lt;&gt;D2282,1,IF(OR(B2283&lt;&gt;B2282,A2283-A2282&gt;$U$1),1,""))&lt;&gt;1,"",IF(C2283="B01",1,IF(C2283="B05",1,IF(C2283="B03",1,IF(C2283="B04",1,IF(C2283="B20",1,IF(C2283="B02",1,0)))))))</f>
        <v/>
      </c>
      <c r="G2283"/>
      <c r="H2283" s="2"/>
      <c r="I2283" s="2"/>
      <c r="L2283"/>
      <c r="R2283"/>
    </row>
    <row r="2284" spans="1:18">
      <c r="A2284" s="3">
        <v>45794.34033564815</v>
      </c>
      <c r="B2284" s="2" t="s">
        <v>28</v>
      </c>
      <c r="C2284" s="2" t="s">
        <v>11</v>
      </c>
      <c r="D2284" s="6" t="str">
        <f>CONCATENATE(YEAR(A2284),"/",IF(MONTH(A2284)&lt;10,CONCATENATE("0",MONTH(A2284)),MONTH(A2284)))</f>
        <v>2025/05</v>
      </c>
      <c r="E2284" s="8" t="str">
        <f>IF(IF(D2284&lt;&gt;D2283,1,IF(OR(B2284&lt;&gt;B2283,A2284-A2283&gt;$U$1),1,""))&lt;&gt;1,"",IF(C2284="B01",1965,IF(C2284="B02",1020,IF(C2284="B05",2400,IF(C2284="B03",4260,IF(C2284="B04",2880,IF(C2284="B20",1260,0)))))))</f>
        <v/>
      </c>
      <c r="F2284" s="8" t="str">
        <f>IF(IF(D2284&lt;&gt;D2283,1,IF(OR(B2284&lt;&gt;B2283,A2284-A2283&gt;$U$1),1,""))&lt;&gt;1,"",IF(C2284="B01",1,IF(C2284="B05",1,IF(C2284="B03",1,IF(C2284="B04",1,IF(C2284="B20",1,IF(C2284="B02",1,0)))))))</f>
        <v/>
      </c>
      <c r="G2284"/>
      <c r="H2284" s="2"/>
      <c r="I2284" s="2"/>
      <c r="L2284"/>
      <c r="R2284"/>
    </row>
    <row r="2285" spans="1:18">
      <c r="A2285" s="3">
        <v>45794.519224537034</v>
      </c>
      <c r="B2285" s="2" t="s">
        <v>28</v>
      </c>
      <c r="C2285" s="2" t="s">
        <v>11</v>
      </c>
      <c r="D2285" s="6" t="str">
        <f>CONCATENATE(YEAR(A2285),"/",IF(MONTH(A2285)&lt;10,CONCATENATE("0",MONTH(A2285)),MONTH(A2285)))</f>
        <v>2025/05</v>
      </c>
      <c r="E2285" s="8">
        <f>IF(IF(D2285&lt;&gt;D2284,1,IF(OR(B2285&lt;&gt;B2284,A2285-A2284&gt;$U$1),1,""))&lt;&gt;1,"",IF(C2285="B01",1965,IF(C2285="B02",1020,IF(C2285="B05",2400,IF(C2285="B03",4260,IF(C2285="B04",2880,IF(C2285="B20",1260,0)))))))</f>
        <v>2400</v>
      </c>
      <c r="F2285" s="8">
        <f>IF(IF(D2285&lt;&gt;D2284,1,IF(OR(B2285&lt;&gt;B2284,A2285-A2284&gt;$U$1),1,""))&lt;&gt;1,"",IF(C2285="B01",1,IF(C2285="B05",1,IF(C2285="B03",1,IF(C2285="B04",1,IF(C2285="B20",1,IF(C2285="B02",1,0)))))))</f>
        <v>1</v>
      </c>
      <c r="G2285"/>
      <c r="H2285" s="2"/>
      <c r="I2285" s="2"/>
      <c r="L2285"/>
      <c r="R2285"/>
    </row>
    <row r="2286" spans="1:18">
      <c r="A2286" s="3">
        <v>45794.519224537034</v>
      </c>
      <c r="B2286" s="2" t="s">
        <v>28</v>
      </c>
      <c r="C2286" s="2" t="s">
        <v>11</v>
      </c>
      <c r="D2286" s="6" t="str">
        <f>CONCATENATE(YEAR(A2286),"/",IF(MONTH(A2286)&lt;10,CONCATENATE("0",MONTH(A2286)),MONTH(A2286)))</f>
        <v>2025/05</v>
      </c>
      <c r="E2286" s="8" t="str">
        <f>IF(IF(D2286&lt;&gt;D2285,1,IF(OR(B2286&lt;&gt;B2285,A2286-A2285&gt;$U$1),1,""))&lt;&gt;1,"",IF(C2286="B01",1965,IF(C2286="B02",1020,IF(C2286="B05",2400,IF(C2286="B03",4260,IF(C2286="B04",2880,IF(C2286="B20",1260,0)))))))</f>
        <v/>
      </c>
      <c r="F2286" s="8" t="str">
        <f>IF(IF(D2286&lt;&gt;D2285,1,IF(OR(B2286&lt;&gt;B2285,A2286-A2285&gt;$U$1),1,""))&lt;&gt;1,"",IF(C2286="B01",1,IF(C2286="B05",1,IF(C2286="B03",1,IF(C2286="B04",1,IF(C2286="B20",1,IF(C2286="B02",1,0)))))))</f>
        <v/>
      </c>
      <c r="G2286"/>
      <c r="H2286" s="2"/>
      <c r="I2286" s="2"/>
      <c r="L2286"/>
      <c r="R2286"/>
    </row>
    <row r="2287" spans="1:18">
      <c r="A2287" s="3">
        <v>45794.519224537034</v>
      </c>
      <c r="B2287" s="2" t="s">
        <v>28</v>
      </c>
      <c r="C2287" s="2" t="s">
        <v>11</v>
      </c>
      <c r="D2287" s="6" t="str">
        <f>CONCATENATE(YEAR(A2287),"/",IF(MONTH(A2287)&lt;10,CONCATENATE("0",MONTH(A2287)),MONTH(A2287)))</f>
        <v>2025/05</v>
      </c>
      <c r="E2287" s="8" t="str">
        <f>IF(IF(D2287&lt;&gt;D2286,1,IF(OR(B2287&lt;&gt;B2286,A2287-A2286&gt;$U$1),1,""))&lt;&gt;1,"",IF(C2287="B01",1965,IF(C2287="B02",1020,IF(C2287="B05",2400,IF(C2287="B03",4260,IF(C2287="B04",2880,IF(C2287="B20",1260,0)))))))</f>
        <v/>
      </c>
      <c r="F2287" s="8" t="str">
        <f>IF(IF(D2287&lt;&gt;D2286,1,IF(OR(B2287&lt;&gt;B2286,A2287-A2286&gt;$U$1),1,""))&lt;&gt;1,"",IF(C2287="B01",1,IF(C2287="B05",1,IF(C2287="B03",1,IF(C2287="B04",1,IF(C2287="B20",1,IF(C2287="B02",1,0)))))))</f>
        <v/>
      </c>
      <c r="G2287"/>
      <c r="H2287" s="2"/>
      <c r="I2287" s="2"/>
      <c r="L2287"/>
      <c r="R2287"/>
    </row>
    <row r="2288" spans="1:18">
      <c r="A2288" s="3">
        <v>45794.910138888888</v>
      </c>
      <c r="B2288" s="2" t="s">
        <v>28</v>
      </c>
      <c r="C2288" s="2" t="s">
        <v>11</v>
      </c>
      <c r="D2288" s="6" t="str">
        <f>CONCATENATE(YEAR(A2288),"/",IF(MONTH(A2288)&lt;10,CONCATENATE("0",MONTH(A2288)),MONTH(A2288)))</f>
        <v>2025/05</v>
      </c>
      <c r="E2288" s="8">
        <f>IF(IF(D2288&lt;&gt;D2287,1,IF(OR(B2288&lt;&gt;B2287,A2288-A2287&gt;$U$1),1,""))&lt;&gt;1,"",IF(C2288="B01",1965,IF(C2288="B02",1020,IF(C2288="B05",2400,IF(C2288="B03",4260,IF(C2288="B04",2880,IF(C2288="B20",1260,0)))))))</f>
        <v>2400</v>
      </c>
      <c r="F2288" s="8">
        <f>IF(IF(D2288&lt;&gt;D2287,1,IF(OR(B2288&lt;&gt;B2287,A2288-A2287&gt;$U$1),1,""))&lt;&gt;1,"",IF(C2288="B01",1,IF(C2288="B05",1,IF(C2288="B03",1,IF(C2288="B04",1,IF(C2288="B20",1,IF(C2288="B02",1,0)))))))</f>
        <v>1</v>
      </c>
      <c r="G2288"/>
      <c r="H2288" s="2"/>
      <c r="I2288" s="2"/>
      <c r="L2288"/>
      <c r="R2288"/>
    </row>
    <row r="2289" spans="1:18">
      <c r="A2289" s="3">
        <v>45794.910138888888</v>
      </c>
      <c r="B2289" s="2" t="s">
        <v>28</v>
      </c>
      <c r="C2289" s="2" t="s">
        <v>11</v>
      </c>
      <c r="D2289" s="6" t="str">
        <f>CONCATENATE(YEAR(A2289),"/",IF(MONTH(A2289)&lt;10,CONCATENATE("0",MONTH(A2289)),MONTH(A2289)))</f>
        <v>2025/05</v>
      </c>
      <c r="E2289" s="8" t="str">
        <f>IF(IF(D2289&lt;&gt;D2288,1,IF(OR(B2289&lt;&gt;B2288,A2289-A2288&gt;$U$1),1,""))&lt;&gt;1,"",IF(C2289="B01",1965,IF(C2289="B02",1020,IF(C2289="B05",2400,IF(C2289="B03",4260,IF(C2289="B04",2880,IF(C2289="B20",1260,0)))))))</f>
        <v/>
      </c>
      <c r="F2289" s="8" t="str">
        <f>IF(IF(D2289&lt;&gt;D2288,1,IF(OR(B2289&lt;&gt;B2288,A2289-A2288&gt;$U$1),1,""))&lt;&gt;1,"",IF(C2289="B01",1,IF(C2289="B05",1,IF(C2289="B03",1,IF(C2289="B04",1,IF(C2289="B20",1,IF(C2289="B02",1,0)))))))</f>
        <v/>
      </c>
      <c r="G2289"/>
      <c r="H2289" s="2"/>
      <c r="I2289" s="2"/>
      <c r="L2289"/>
      <c r="R2289"/>
    </row>
    <row r="2290" spans="1:18">
      <c r="A2290" s="3">
        <v>45795.428148148145</v>
      </c>
      <c r="B2290" s="2" t="s">
        <v>28</v>
      </c>
      <c r="C2290" s="2" t="s">
        <v>11</v>
      </c>
      <c r="D2290" s="6" t="str">
        <f>CONCATENATE(YEAR(A2290),"/",IF(MONTH(A2290)&lt;10,CONCATENATE("0",MONTH(A2290)),MONTH(A2290)))</f>
        <v>2025/05</v>
      </c>
      <c r="E2290" s="8">
        <f>IF(IF(D2290&lt;&gt;D2289,1,IF(OR(B2290&lt;&gt;B2289,A2290-A2289&gt;$U$1),1,""))&lt;&gt;1,"",IF(C2290="B01",1965,IF(C2290="B02",1020,IF(C2290="B05",2400,IF(C2290="B03",4260,IF(C2290="B04",2880,IF(C2290="B20",1260,0)))))))</f>
        <v>2400</v>
      </c>
      <c r="F2290" s="8">
        <f>IF(IF(D2290&lt;&gt;D2289,1,IF(OR(B2290&lt;&gt;B2289,A2290-A2289&gt;$U$1),1,""))&lt;&gt;1,"",IF(C2290="B01",1,IF(C2290="B05",1,IF(C2290="B03",1,IF(C2290="B04",1,IF(C2290="B20",1,IF(C2290="B02",1,0)))))))</f>
        <v>1</v>
      </c>
      <c r="G2290"/>
      <c r="H2290" s="2"/>
      <c r="I2290" s="2"/>
      <c r="L2290"/>
      <c r="R2290"/>
    </row>
    <row r="2291" spans="1:18">
      <c r="A2291" s="3">
        <v>45795.428148148145</v>
      </c>
      <c r="B2291" s="2" t="s">
        <v>28</v>
      </c>
      <c r="C2291" s="2" t="s">
        <v>11</v>
      </c>
      <c r="D2291" s="6" t="str">
        <f>CONCATENATE(YEAR(A2291),"/",IF(MONTH(A2291)&lt;10,CONCATENATE("0",MONTH(A2291)),MONTH(A2291)))</f>
        <v>2025/05</v>
      </c>
      <c r="E2291" s="8" t="str">
        <f>IF(IF(D2291&lt;&gt;D2290,1,IF(OR(B2291&lt;&gt;B2290,A2291-A2290&gt;$U$1),1,""))&lt;&gt;1,"",IF(C2291="B01",1965,IF(C2291="B02",1020,IF(C2291="B05",2400,IF(C2291="B03",4260,IF(C2291="B04",2880,IF(C2291="B20",1260,0)))))))</f>
        <v/>
      </c>
      <c r="F2291" s="8" t="str">
        <f>IF(IF(D2291&lt;&gt;D2290,1,IF(OR(B2291&lt;&gt;B2290,A2291-A2290&gt;$U$1),1,""))&lt;&gt;1,"",IF(C2291="B01",1,IF(C2291="B05",1,IF(C2291="B03",1,IF(C2291="B04",1,IF(C2291="B20",1,IF(C2291="B02",1,0)))))))</f>
        <v/>
      </c>
      <c r="G2291"/>
      <c r="H2291" s="2"/>
      <c r="I2291" s="2"/>
      <c r="L2291"/>
      <c r="R2291"/>
    </row>
    <row r="2292" spans="1:18">
      <c r="A2292" s="3">
        <v>45795.428148148145</v>
      </c>
      <c r="B2292" s="2" t="s">
        <v>28</v>
      </c>
      <c r="C2292" s="2" t="s">
        <v>11</v>
      </c>
      <c r="D2292" s="6" t="str">
        <f>CONCATENATE(YEAR(A2292),"/",IF(MONTH(A2292)&lt;10,CONCATENATE("0",MONTH(A2292)),MONTH(A2292)))</f>
        <v>2025/05</v>
      </c>
      <c r="E2292" s="8" t="str">
        <f>IF(IF(D2292&lt;&gt;D2291,1,IF(OR(B2292&lt;&gt;B2291,A2292-A2291&gt;$U$1),1,""))&lt;&gt;1,"",IF(C2292="B01",1965,IF(C2292="B02",1020,IF(C2292="B05",2400,IF(C2292="B03",4260,IF(C2292="B04",2880,IF(C2292="B20",1260,0)))))))</f>
        <v/>
      </c>
      <c r="F2292" s="8" t="str">
        <f>IF(IF(D2292&lt;&gt;D2291,1,IF(OR(B2292&lt;&gt;B2291,A2292-A2291&gt;$U$1),1,""))&lt;&gt;1,"",IF(C2292="B01",1,IF(C2292="B05",1,IF(C2292="B03",1,IF(C2292="B04",1,IF(C2292="B20",1,IF(C2292="B02",1,0)))))))</f>
        <v/>
      </c>
      <c r="G2292"/>
      <c r="H2292" s="2"/>
      <c r="I2292" s="2"/>
      <c r="L2292"/>
      <c r="R2292"/>
    </row>
    <row r="2293" spans="1:18">
      <c r="A2293" s="3">
        <v>45795.556863425925</v>
      </c>
      <c r="B2293" s="2" t="s">
        <v>28</v>
      </c>
      <c r="C2293" s="2" t="s">
        <v>11</v>
      </c>
      <c r="D2293" s="6" t="str">
        <f>CONCATENATE(YEAR(A2293),"/",IF(MONTH(A2293)&lt;10,CONCATENATE("0",MONTH(A2293)),MONTH(A2293)))</f>
        <v>2025/05</v>
      </c>
      <c r="E2293" s="8">
        <f>IF(IF(D2293&lt;&gt;D2292,1,IF(OR(B2293&lt;&gt;B2292,A2293-A2292&gt;$U$1),1,""))&lt;&gt;1,"",IF(C2293="B01",1965,IF(C2293="B02",1020,IF(C2293="B05",2400,IF(C2293="B03",4260,IF(C2293="B04",2880,IF(C2293="B20",1260,0)))))))</f>
        <v>2400</v>
      </c>
      <c r="F2293" s="8">
        <f>IF(IF(D2293&lt;&gt;D2292,1,IF(OR(B2293&lt;&gt;B2292,A2293-A2292&gt;$U$1),1,""))&lt;&gt;1,"",IF(C2293="B01",1,IF(C2293="B05",1,IF(C2293="B03",1,IF(C2293="B04",1,IF(C2293="B20",1,IF(C2293="B02",1,0)))))))</f>
        <v>1</v>
      </c>
      <c r="G2293"/>
      <c r="H2293" s="2"/>
      <c r="I2293" s="2"/>
      <c r="L2293"/>
      <c r="R2293"/>
    </row>
    <row r="2294" spans="1:18">
      <c r="A2294" s="3">
        <v>45795.556863425925</v>
      </c>
      <c r="B2294" s="2" t="s">
        <v>28</v>
      </c>
      <c r="C2294" s="2" t="s">
        <v>11</v>
      </c>
      <c r="D2294" s="6" t="str">
        <f>CONCATENATE(YEAR(A2294),"/",IF(MONTH(A2294)&lt;10,CONCATENATE("0",MONTH(A2294)),MONTH(A2294)))</f>
        <v>2025/05</v>
      </c>
      <c r="E2294" s="8" t="str">
        <f>IF(IF(D2294&lt;&gt;D2293,1,IF(OR(B2294&lt;&gt;B2293,A2294-A2293&gt;$U$1),1,""))&lt;&gt;1,"",IF(C2294="B01",1965,IF(C2294="B02",1020,IF(C2294="B05",2400,IF(C2294="B03",4260,IF(C2294="B04",2880,IF(C2294="B20",1260,0)))))))</f>
        <v/>
      </c>
      <c r="F2294" s="8" t="str">
        <f>IF(IF(D2294&lt;&gt;D2293,1,IF(OR(B2294&lt;&gt;B2293,A2294-A2293&gt;$U$1),1,""))&lt;&gt;1,"",IF(C2294="B01",1,IF(C2294="B05",1,IF(C2294="B03",1,IF(C2294="B04",1,IF(C2294="B20",1,IF(C2294="B02",1,0)))))))</f>
        <v/>
      </c>
      <c r="G2294"/>
      <c r="H2294" s="2"/>
      <c r="I2294" s="2"/>
      <c r="L2294"/>
      <c r="R2294"/>
    </row>
    <row r="2295" spans="1:18">
      <c r="A2295" s="3">
        <v>45795.831342592595</v>
      </c>
      <c r="B2295" s="2" t="s">
        <v>28</v>
      </c>
      <c r="C2295" s="2" t="s">
        <v>11</v>
      </c>
      <c r="D2295" s="6" t="str">
        <f>CONCATENATE(YEAR(A2295),"/",IF(MONTH(A2295)&lt;10,CONCATENATE("0",MONTH(A2295)),MONTH(A2295)))</f>
        <v>2025/05</v>
      </c>
      <c r="E2295" s="8">
        <f>IF(IF(D2295&lt;&gt;D2294,1,IF(OR(B2295&lt;&gt;B2294,A2295-A2294&gt;$U$1),1,""))&lt;&gt;1,"",IF(C2295="B01",1965,IF(C2295="B02",1020,IF(C2295="B05",2400,IF(C2295="B03",4260,IF(C2295="B04",2880,IF(C2295="B20",1260,0)))))))</f>
        <v>2400</v>
      </c>
      <c r="F2295" s="8">
        <f>IF(IF(D2295&lt;&gt;D2294,1,IF(OR(B2295&lt;&gt;B2294,A2295-A2294&gt;$U$1),1,""))&lt;&gt;1,"",IF(C2295="B01",1,IF(C2295="B05",1,IF(C2295="B03",1,IF(C2295="B04",1,IF(C2295="B20",1,IF(C2295="B02",1,0)))))))</f>
        <v>1</v>
      </c>
      <c r="G2295"/>
      <c r="H2295" s="2"/>
      <c r="I2295" s="2"/>
      <c r="L2295"/>
      <c r="R2295"/>
    </row>
    <row r="2296" spans="1:18">
      <c r="A2296" s="3">
        <v>45795.831342592595</v>
      </c>
      <c r="B2296" s="2" t="s">
        <v>28</v>
      </c>
      <c r="C2296" s="2" t="s">
        <v>11</v>
      </c>
      <c r="D2296" s="6" t="str">
        <f>CONCATENATE(YEAR(A2296),"/",IF(MONTH(A2296)&lt;10,CONCATENATE("0",MONTH(A2296)),MONTH(A2296)))</f>
        <v>2025/05</v>
      </c>
      <c r="E2296" s="8" t="str">
        <f>IF(IF(D2296&lt;&gt;D2295,1,IF(OR(B2296&lt;&gt;B2295,A2296-A2295&gt;$U$1),1,""))&lt;&gt;1,"",IF(C2296="B01",1965,IF(C2296="B02",1020,IF(C2296="B05",2400,IF(C2296="B03",4260,IF(C2296="B04",2880,IF(C2296="B20",1260,0)))))))</f>
        <v/>
      </c>
      <c r="F2296" s="8" t="str">
        <f>IF(IF(D2296&lt;&gt;D2295,1,IF(OR(B2296&lt;&gt;B2295,A2296-A2295&gt;$U$1),1,""))&lt;&gt;1,"",IF(C2296="B01",1,IF(C2296="B05",1,IF(C2296="B03",1,IF(C2296="B04",1,IF(C2296="B20",1,IF(C2296="B02",1,0)))))))</f>
        <v/>
      </c>
      <c r="G2296"/>
      <c r="H2296" s="2"/>
      <c r="I2296" s="2"/>
      <c r="L2296"/>
      <c r="R2296"/>
    </row>
    <row r="2297" spans="1:18">
      <c r="A2297" s="3">
        <v>45795.831342592595</v>
      </c>
      <c r="B2297" s="2" t="s">
        <v>28</v>
      </c>
      <c r="C2297" s="2" t="s">
        <v>11</v>
      </c>
      <c r="D2297" s="6" t="str">
        <f>CONCATENATE(YEAR(A2297),"/",IF(MONTH(A2297)&lt;10,CONCATENATE("0",MONTH(A2297)),MONTH(A2297)))</f>
        <v>2025/05</v>
      </c>
      <c r="E2297" s="8" t="str">
        <f>IF(IF(D2297&lt;&gt;D2296,1,IF(OR(B2297&lt;&gt;B2296,A2297-A2296&gt;$U$1),1,""))&lt;&gt;1,"",IF(C2297="B01",1965,IF(C2297="B02",1020,IF(C2297="B05",2400,IF(C2297="B03",4260,IF(C2297="B04",2880,IF(C2297="B20",1260,0)))))))</f>
        <v/>
      </c>
      <c r="F2297" s="8" t="str">
        <f>IF(IF(D2297&lt;&gt;D2296,1,IF(OR(B2297&lt;&gt;B2296,A2297-A2296&gt;$U$1),1,""))&lt;&gt;1,"",IF(C2297="B01",1,IF(C2297="B05",1,IF(C2297="B03",1,IF(C2297="B04",1,IF(C2297="B20",1,IF(C2297="B02",1,0)))))))</f>
        <v/>
      </c>
      <c r="G2297"/>
      <c r="H2297" s="2"/>
      <c r="I2297" s="2"/>
      <c r="L2297"/>
      <c r="R2297"/>
    </row>
    <row r="2298" spans="1:18">
      <c r="A2298" s="3">
        <v>45796.150150462963</v>
      </c>
      <c r="B2298" s="2" t="s">
        <v>28</v>
      </c>
      <c r="C2298" s="2" t="s">
        <v>11</v>
      </c>
      <c r="D2298" s="6" t="str">
        <f>CONCATENATE(YEAR(A2298),"/",IF(MONTH(A2298)&lt;10,CONCATENATE("0",MONTH(A2298)),MONTH(A2298)))</f>
        <v>2025/05</v>
      </c>
      <c r="E2298" s="8">
        <f>IF(IF(D2298&lt;&gt;D2297,1,IF(OR(B2298&lt;&gt;B2297,A2298-A2297&gt;$U$1),1,""))&lt;&gt;1,"",IF(C2298="B01",1965,IF(C2298="B02",1020,IF(C2298="B05",2400,IF(C2298="B03",4260,IF(C2298="B04",2880,IF(C2298="B20",1260,0)))))))</f>
        <v>2400</v>
      </c>
      <c r="F2298" s="8">
        <f>IF(IF(D2298&lt;&gt;D2297,1,IF(OR(B2298&lt;&gt;B2297,A2298-A2297&gt;$U$1),1,""))&lt;&gt;1,"",IF(C2298="B01",1,IF(C2298="B05",1,IF(C2298="B03",1,IF(C2298="B04",1,IF(C2298="B20",1,IF(C2298="B02",1,0)))))))</f>
        <v>1</v>
      </c>
      <c r="G2298"/>
      <c r="H2298" s="2"/>
      <c r="I2298" s="2"/>
      <c r="L2298"/>
      <c r="R2298"/>
    </row>
    <row r="2299" spans="1:18">
      <c r="A2299" s="3">
        <v>45796.150150462963</v>
      </c>
      <c r="B2299" s="2" t="s">
        <v>28</v>
      </c>
      <c r="C2299" s="2" t="s">
        <v>11</v>
      </c>
      <c r="D2299" s="6" t="str">
        <f>CONCATENATE(YEAR(A2299),"/",IF(MONTH(A2299)&lt;10,CONCATENATE("0",MONTH(A2299)),MONTH(A2299)))</f>
        <v>2025/05</v>
      </c>
      <c r="E2299" s="8" t="str">
        <f>IF(IF(D2299&lt;&gt;D2298,1,IF(OR(B2299&lt;&gt;B2298,A2299-A2298&gt;$U$1),1,""))&lt;&gt;1,"",IF(C2299="B01",1965,IF(C2299="B02",1020,IF(C2299="B05",2400,IF(C2299="B03",4260,IF(C2299="B04",2880,IF(C2299="B20",1260,0)))))))</f>
        <v/>
      </c>
      <c r="F2299" s="8" t="str">
        <f>IF(IF(D2299&lt;&gt;D2298,1,IF(OR(B2299&lt;&gt;B2298,A2299-A2298&gt;$U$1),1,""))&lt;&gt;1,"",IF(C2299="B01",1,IF(C2299="B05",1,IF(C2299="B03",1,IF(C2299="B04",1,IF(C2299="B20",1,IF(C2299="B02",1,0)))))))</f>
        <v/>
      </c>
      <c r="G2299"/>
      <c r="H2299" s="2"/>
      <c r="I2299" s="2"/>
      <c r="L2299"/>
      <c r="R2299"/>
    </row>
    <row r="2300" spans="1:18">
      <c r="A2300" s="3">
        <v>45796.150150462963</v>
      </c>
      <c r="B2300" s="2" t="s">
        <v>28</v>
      </c>
      <c r="C2300" s="2" t="s">
        <v>11</v>
      </c>
      <c r="D2300" s="6" t="str">
        <f>CONCATENATE(YEAR(A2300),"/",IF(MONTH(A2300)&lt;10,CONCATENATE("0",MONTH(A2300)),MONTH(A2300)))</f>
        <v>2025/05</v>
      </c>
      <c r="E2300" s="8" t="str">
        <f>IF(IF(D2300&lt;&gt;D2299,1,IF(OR(B2300&lt;&gt;B2299,A2300-A2299&gt;$U$1),1,""))&lt;&gt;1,"",IF(C2300="B01",1965,IF(C2300="B02",1020,IF(C2300="B05",2400,IF(C2300="B03",4260,IF(C2300="B04",2880,IF(C2300="B20",1260,0)))))))</f>
        <v/>
      </c>
      <c r="F2300" s="8" t="str">
        <f>IF(IF(D2300&lt;&gt;D2299,1,IF(OR(B2300&lt;&gt;B2299,A2300-A2299&gt;$U$1),1,""))&lt;&gt;1,"",IF(C2300="B01",1,IF(C2300="B05",1,IF(C2300="B03",1,IF(C2300="B04",1,IF(C2300="B20",1,IF(C2300="B02",1,0)))))))</f>
        <v/>
      </c>
      <c r="G2300"/>
      <c r="H2300" s="2"/>
      <c r="I2300" s="2"/>
      <c r="L2300"/>
      <c r="R2300"/>
    </row>
    <row r="2301" spans="1:18">
      <c r="A2301" s="3">
        <v>45796.351423611108</v>
      </c>
      <c r="B2301" s="2" t="s">
        <v>28</v>
      </c>
      <c r="C2301" s="2" t="s">
        <v>11</v>
      </c>
      <c r="D2301" s="6" t="str">
        <f>CONCATENATE(YEAR(A2301),"/",IF(MONTH(A2301)&lt;10,CONCATENATE("0",MONTH(A2301)),MONTH(A2301)))</f>
        <v>2025/05</v>
      </c>
      <c r="E2301" s="8">
        <f>IF(IF(D2301&lt;&gt;D2300,1,IF(OR(B2301&lt;&gt;B2300,A2301-A2300&gt;$U$1),1,""))&lt;&gt;1,"",IF(C2301="B01",1965,IF(C2301="B02",1020,IF(C2301="B05",2400,IF(C2301="B03",4260,IF(C2301="B04",2880,IF(C2301="B20",1260,0)))))))</f>
        <v>2400</v>
      </c>
      <c r="F2301" s="8">
        <f>IF(IF(D2301&lt;&gt;D2300,1,IF(OR(B2301&lt;&gt;B2300,A2301-A2300&gt;$U$1),1,""))&lt;&gt;1,"",IF(C2301="B01",1,IF(C2301="B05",1,IF(C2301="B03",1,IF(C2301="B04",1,IF(C2301="B20",1,IF(C2301="B02",1,0)))))))</f>
        <v>1</v>
      </c>
      <c r="G2301"/>
      <c r="H2301" s="2"/>
      <c r="I2301" s="2"/>
      <c r="L2301"/>
      <c r="R2301"/>
    </row>
    <row r="2302" spans="1:18">
      <c r="A2302" s="3">
        <v>45796.351423611108</v>
      </c>
      <c r="B2302" s="2" t="s">
        <v>28</v>
      </c>
      <c r="C2302" s="2" t="s">
        <v>11</v>
      </c>
      <c r="D2302" s="6" t="str">
        <f>CONCATENATE(YEAR(A2302),"/",IF(MONTH(A2302)&lt;10,CONCATENATE("0",MONTH(A2302)),MONTH(A2302)))</f>
        <v>2025/05</v>
      </c>
      <c r="E2302" s="8" t="str">
        <f>IF(IF(D2302&lt;&gt;D2301,1,IF(OR(B2302&lt;&gt;B2301,A2302-A2301&gt;$U$1),1,""))&lt;&gt;1,"",IF(C2302="B01",1965,IF(C2302="B02",1020,IF(C2302="B05",2400,IF(C2302="B03",4260,IF(C2302="B04",2880,IF(C2302="B20",1260,0)))))))</f>
        <v/>
      </c>
      <c r="F2302" s="8" t="str">
        <f>IF(IF(D2302&lt;&gt;D2301,1,IF(OR(B2302&lt;&gt;B2301,A2302-A2301&gt;$U$1),1,""))&lt;&gt;1,"",IF(C2302="B01",1,IF(C2302="B05",1,IF(C2302="B03",1,IF(C2302="B04",1,IF(C2302="B20",1,IF(C2302="B02",1,0)))))))</f>
        <v/>
      </c>
      <c r="G2302"/>
      <c r="H2302" s="2"/>
      <c r="I2302" s="2"/>
      <c r="L2302"/>
      <c r="R2302"/>
    </row>
    <row r="2303" spans="1:18">
      <c r="A2303" s="3">
        <v>45796.351423611108</v>
      </c>
      <c r="B2303" s="2" t="s">
        <v>28</v>
      </c>
      <c r="C2303" s="2" t="s">
        <v>11</v>
      </c>
      <c r="D2303" s="6" t="str">
        <f>CONCATENATE(YEAR(A2303),"/",IF(MONTH(A2303)&lt;10,CONCATENATE("0",MONTH(A2303)),MONTH(A2303)))</f>
        <v>2025/05</v>
      </c>
      <c r="E2303" s="8" t="str">
        <f>IF(IF(D2303&lt;&gt;D2302,1,IF(OR(B2303&lt;&gt;B2302,A2303-A2302&gt;$U$1),1,""))&lt;&gt;1,"",IF(C2303="B01",1965,IF(C2303="B02",1020,IF(C2303="B05",2400,IF(C2303="B03",4260,IF(C2303="B04",2880,IF(C2303="B20",1260,0)))))))</f>
        <v/>
      </c>
      <c r="F2303" s="8" t="str">
        <f>IF(IF(D2303&lt;&gt;D2302,1,IF(OR(B2303&lt;&gt;B2302,A2303-A2302&gt;$U$1),1,""))&lt;&gt;1,"",IF(C2303="B01",1,IF(C2303="B05",1,IF(C2303="B03",1,IF(C2303="B04",1,IF(C2303="B20",1,IF(C2303="B02",1,0)))))))</f>
        <v/>
      </c>
      <c r="G2303"/>
      <c r="H2303" s="2"/>
      <c r="I2303" s="2"/>
      <c r="L2303"/>
      <c r="R2303"/>
    </row>
    <row r="2304" spans="1:18">
      <c r="A2304" s="3">
        <v>45796.351423611108</v>
      </c>
      <c r="B2304" s="2" t="s">
        <v>28</v>
      </c>
      <c r="C2304" s="2" t="s">
        <v>11</v>
      </c>
      <c r="D2304" s="6" t="str">
        <f>CONCATENATE(YEAR(A2304),"/",IF(MONTH(A2304)&lt;10,CONCATENATE("0",MONTH(A2304)),MONTH(A2304)))</f>
        <v>2025/05</v>
      </c>
      <c r="E2304" s="8" t="str">
        <f>IF(IF(D2304&lt;&gt;D2303,1,IF(OR(B2304&lt;&gt;B2303,A2304-A2303&gt;$U$1),1,""))&lt;&gt;1,"",IF(C2304="B01",1965,IF(C2304="B02",1020,IF(C2304="B05",2400,IF(C2304="B03",4260,IF(C2304="B04",2880,IF(C2304="B20",1260,0)))))))</f>
        <v/>
      </c>
      <c r="F2304" s="8" t="str">
        <f>IF(IF(D2304&lt;&gt;D2303,1,IF(OR(B2304&lt;&gt;B2303,A2304-A2303&gt;$U$1),1,""))&lt;&gt;1,"",IF(C2304="B01",1,IF(C2304="B05",1,IF(C2304="B03",1,IF(C2304="B04",1,IF(C2304="B20",1,IF(C2304="B02",1,0)))))))</f>
        <v/>
      </c>
      <c r="G2304"/>
      <c r="H2304" s="2"/>
      <c r="I2304" s="2"/>
      <c r="L2304"/>
      <c r="R2304"/>
    </row>
    <row r="2305" spans="1:18">
      <c r="A2305" s="3">
        <v>45796.471504629626</v>
      </c>
      <c r="B2305" s="2" t="s">
        <v>28</v>
      </c>
      <c r="C2305" s="2" t="s">
        <v>11</v>
      </c>
      <c r="D2305" s="6" t="str">
        <f>CONCATENATE(YEAR(A2305),"/",IF(MONTH(A2305)&lt;10,CONCATENATE("0",MONTH(A2305)),MONTH(A2305)))</f>
        <v>2025/05</v>
      </c>
      <c r="E2305" s="8">
        <f>IF(IF(D2305&lt;&gt;D2304,1,IF(OR(B2305&lt;&gt;B2304,A2305-A2304&gt;$U$1),1,""))&lt;&gt;1,"",IF(C2305="B01",1965,IF(C2305="B02",1020,IF(C2305="B05",2400,IF(C2305="B03",4260,IF(C2305="B04",2880,IF(C2305="B20",1260,0)))))))</f>
        <v>2400</v>
      </c>
      <c r="F2305" s="8">
        <f>IF(IF(D2305&lt;&gt;D2304,1,IF(OR(B2305&lt;&gt;B2304,A2305-A2304&gt;$U$1),1,""))&lt;&gt;1,"",IF(C2305="B01",1,IF(C2305="B05",1,IF(C2305="B03",1,IF(C2305="B04",1,IF(C2305="B20",1,IF(C2305="B02",1,0)))))))</f>
        <v>1</v>
      </c>
      <c r="G2305"/>
      <c r="H2305" s="2"/>
      <c r="I2305" s="2"/>
      <c r="L2305"/>
      <c r="R2305"/>
    </row>
    <row r="2306" spans="1:18">
      <c r="A2306" s="3">
        <v>45796.471504629626</v>
      </c>
      <c r="B2306" s="2" t="s">
        <v>28</v>
      </c>
      <c r="C2306" s="2" t="s">
        <v>11</v>
      </c>
      <c r="D2306" s="6" t="str">
        <f>CONCATENATE(YEAR(A2306),"/",IF(MONTH(A2306)&lt;10,CONCATENATE("0",MONTH(A2306)),MONTH(A2306)))</f>
        <v>2025/05</v>
      </c>
      <c r="E2306" s="8" t="str">
        <f>IF(IF(D2306&lt;&gt;D2305,1,IF(OR(B2306&lt;&gt;B2305,A2306-A2305&gt;$U$1),1,""))&lt;&gt;1,"",IF(C2306="B01",1965,IF(C2306="B02",1020,IF(C2306="B05",2400,IF(C2306="B03",4260,IF(C2306="B04",2880,IF(C2306="B20",1260,0)))))))</f>
        <v/>
      </c>
      <c r="F2306" s="8" t="str">
        <f>IF(IF(D2306&lt;&gt;D2305,1,IF(OR(B2306&lt;&gt;B2305,A2306-A2305&gt;$U$1),1,""))&lt;&gt;1,"",IF(C2306="B01",1,IF(C2306="B05",1,IF(C2306="B03",1,IF(C2306="B04",1,IF(C2306="B20",1,IF(C2306="B02",1,0)))))))</f>
        <v/>
      </c>
      <c r="G2306"/>
      <c r="H2306" s="2"/>
      <c r="I2306" s="2"/>
      <c r="L2306"/>
      <c r="R2306"/>
    </row>
    <row r="2307" spans="1:18">
      <c r="A2307" s="3">
        <v>45796.603958333333</v>
      </c>
      <c r="B2307" s="2" t="s">
        <v>28</v>
      </c>
      <c r="C2307" s="2" t="s">
        <v>11</v>
      </c>
      <c r="D2307" s="6" t="str">
        <f>CONCATENATE(YEAR(A2307),"/",IF(MONTH(A2307)&lt;10,CONCATENATE("0",MONTH(A2307)),MONTH(A2307)))</f>
        <v>2025/05</v>
      </c>
      <c r="E2307" s="8">
        <f>IF(IF(D2307&lt;&gt;D2306,1,IF(OR(B2307&lt;&gt;B2306,A2307-A2306&gt;$U$1),1,""))&lt;&gt;1,"",IF(C2307="B01",1965,IF(C2307="B02",1020,IF(C2307="B05",2400,IF(C2307="B03",4260,IF(C2307="B04",2880,IF(C2307="B20",1260,0)))))))</f>
        <v>2400</v>
      </c>
      <c r="F2307" s="8">
        <f>IF(IF(D2307&lt;&gt;D2306,1,IF(OR(B2307&lt;&gt;B2306,A2307-A2306&gt;$U$1),1,""))&lt;&gt;1,"",IF(C2307="B01",1,IF(C2307="B05",1,IF(C2307="B03",1,IF(C2307="B04",1,IF(C2307="B20",1,IF(C2307="B02",1,0)))))))</f>
        <v>1</v>
      </c>
      <c r="G2307"/>
      <c r="H2307" s="2"/>
      <c r="I2307" s="2"/>
      <c r="L2307"/>
      <c r="R2307"/>
    </row>
    <row r="2308" spans="1:18">
      <c r="A2308" s="3">
        <v>45796.603958333333</v>
      </c>
      <c r="B2308" s="2" t="s">
        <v>28</v>
      </c>
      <c r="C2308" s="2" t="s">
        <v>11</v>
      </c>
      <c r="D2308" s="6" t="str">
        <f>CONCATENATE(YEAR(A2308),"/",IF(MONTH(A2308)&lt;10,CONCATENATE("0",MONTH(A2308)),MONTH(A2308)))</f>
        <v>2025/05</v>
      </c>
      <c r="E2308" s="8" t="str">
        <f>IF(IF(D2308&lt;&gt;D2307,1,IF(OR(B2308&lt;&gt;B2307,A2308-A2307&gt;$U$1),1,""))&lt;&gt;1,"",IF(C2308="B01",1965,IF(C2308="B02",1020,IF(C2308="B05",2400,IF(C2308="B03",4260,IF(C2308="B04",2880,IF(C2308="B20",1260,0)))))))</f>
        <v/>
      </c>
      <c r="F2308" s="8" t="str">
        <f>IF(IF(D2308&lt;&gt;D2307,1,IF(OR(B2308&lt;&gt;B2307,A2308-A2307&gt;$U$1),1,""))&lt;&gt;1,"",IF(C2308="B01",1,IF(C2308="B05",1,IF(C2308="B03",1,IF(C2308="B04",1,IF(C2308="B20",1,IF(C2308="B02",1,0)))))))</f>
        <v/>
      </c>
      <c r="G2308"/>
      <c r="H2308" s="2"/>
      <c r="I2308" s="2"/>
      <c r="L2308"/>
      <c r="R2308"/>
    </row>
    <row r="2309" spans="1:18">
      <c r="A2309" s="3">
        <v>45796.603958333333</v>
      </c>
      <c r="B2309" s="2" t="s">
        <v>28</v>
      </c>
      <c r="C2309" s="2" t="s">
        <v>11</v>
      </c>
      <c r="D2309" s="6" t="str">
        <f>CONCATENATE(YEAR(A2309),"/",IF(MONTH(A2309)&lt;10,CONCATENATE("0",MONTH(A2309)),MONTH(A2309)))</f>
        <v>2025/05</v>
      </c>
      <c r="E2309" s="8" t="str">
        <f>IF(IF(D2309&lt;&gt;D2308,1,IF(OR(B2309&lt;&gt;B2308,A2309-A2308&gt;$U$1),1,""))&lt;&gt;1,"",IF(C2309="B01",1965,IF(C2309="B02",1020,IF(C2309="B05",2400,IF(C2309="B03",4260,IF(C2309="B04",2880,IF(C2309="B20",1260,0)))))))</f>
        <v/>
      </c>
      <c r="F2309" s="8" t="str">
        <f>IF(IF(D2309&lt;&gt;D2308,1,IF(OR(B2309&lt;&gt;B2308,A2309-A2308&gt;$U$1),1,""))&lt;&gt;1,"",IF(C2309="B01",1,IF(C2309="B05",1,IF(C2309="B03",1,IF(C2309="B04",1,IF(C2309="B20",1,IF(C2309="B02",1,0)))))))</f>
        <v/>
      </c>
      <c r="G2309"/>
      <c r="H2309" s="2"/>
      <c r="I2309" s="2"/>
      <c r="L2309"/>
      <c r="R2309"/>
    </row>
    <row r="2310" spans="1:18">
      <c r="A2310" s="3">
        <v>45796.852592592593</v>
      </c>
      <c r="B2310" s="2" t="s">
        <v>28</v>
      </c>
      <c r="C2310" s="2" t="s">
        <v>11</v>
      </c>
      <c r="D2310" s="6" t="str">
        <f>CONCATENATE(YEAR(A2310),"/",IF(MONTH(A2310)&lt;10,CONCATENATE("0",MONTH(A2310)),MONTH(A2310)))</f>
        <v>2025/05</v>
      </c>
      <c r="E2310" s="8">
        <f>IF(IF(D2310&lt;&gt;D2309,1,IF(OR(B2310&lt;&gt;B2309,A2310-A2309&gt;$U$1),1,""))&lt;&gt;1,"",IF(C2310="B01",1965,IF(C2310="B02",1020,IF(C2310="B05",2400,IF(C2310="B03",4260,IF(C2310="B04",2880,IF(C2310="B20",1260,0)))))))</f>
        <v>2400</v>
      </c>
      <c r="F2310" s="8">
        <f>IF(IF(D2310&lt;&gt;D2309,1,IF(OR(B2310&lt;&gt;B2309,A2310-A2309&gt;$U$1),1,""))&lt;&gt;1,"",IF(C2310="B01",1,IF(C2310="B05",1,IF(C2310="B03",1,IF(C2310="B04",1,IF(C2310="B20",1,IF(C2310="B02",1,0)))))))</f>
        <v>1</v>
      </c>
      <c r="G2310"/>
      <c r="H2310" s="2"/>
      <c r="I2310" s="2"/>
      <c r="L2310"/>
      <c r="R2310"/>
    </row>
    <row r="2311" spans="1:18">
      <c r="A2311" s="3">
        <v>45796.852592592593</v>
      </c>
      <c r="B2311" s="2" t="s">
        <v>28</v>
      </c>
      <c r="C2311" s="2" t="s">
        <v>11</v>
      </c>
      <c r="D2311" s="6" t="str">
        <f>CONCATENATE(YEAR(A2311),"/",IF(MONTH(A2311)&lt;10,CONCATENATE("0",MONTH(A2311)),MONTH(A2311)))</f>
        <v>2025/05</v>
      </c>
      <c r="E2311" s="8" t="str">
        <f>IF(IF(D2311&lt;&gt;D2310,1,IF(OR(B2311&lt;&gt;B2310,A2311-A2310&gt;$U$1),1,""))&lt;&gt;1,"",IF(C2311="B01",1965,IF(C2311="B02",1020,IF(C2311="B05",2400,IF(C2311="B03",4260,IF(C2311="B04",2880,IF(C2311="B20",1260,0)))))))</f>
        <v/>
      </c>
      <c r="F2311" s="8" t="str">
        <f>IF(IF(D2311&lt;&gt;D2310,1,IF(OR(B2311&lt;&gt;B2310,A2311-A2310&gt;$U$1),1,""))&lt;&gt;1,"",IF(C2311="B01",1,IF(C2311="B05",1,IF(C2311="B03",1,IF(C2311="B04",1,IF(C2311="B20",1,IF(C2311="B02",1,0)))))))</f>
        <v/>
      </c>
      <c r="G2311"/>
      <c r="H2311" s="2"/>
      <c r="I2311" s="2"/>
      <c r="L2311"/>
      <c r="R2311"/>
    </row>
    <row r="2312" spans="1:18">
      <c r="A2312" s="3">
        <v>45796.852592592593</v>
      </c>
      <c r="B2312" s="2" t="s">
        <v>28</v>
      </c>
      <c r="C2312" s="2" t="s">
        <v>11</v>
      </c>
      <c r="D2312" s="6" t="str">
        <f>CONCATENATE(YEAR(A2312),"/",IF(MONTH(A2312)&lt;10,CONCATENATE("0",MONTH(A2312)),MONTH(A2312)))</f>
        <v>2025/05</v>
      </c>
      <c r="E2312" s="8" t="str">
        <f>IF(IF(D2312&lt;&gt;D2311,1,IF(OR(B2312&lt;&gt;B2311,A2312-A2311&gt;$U$1),1,""))&lt;&gt;1,"",IF(C2312="B01",1965,IF(C2312="B02",1020,IF(C2312="B05",2400,IF(C2312="B03",4260,IF(C2312="B04",2880,IF(C2312="B20",1260,0)))))))</f>
        <v/>
      </c>
      <c r="F2312" s="8" t="str">
        <f>IF(IF(D2312&lt;&gt;D2311,1,IF(OR(B2312&lt;&gt;B2311,A2312-A2311&gt;$U$1),1,""))&lt;&gt;1,"",IF(C2312="B01",1,IF(C2312="B05",1,IF(C2312="B03",1,IF(C2312="B04",1,IF(C2312="B20",1,IF(C2312="B02",1,0)))))))</f>
        <v/>
      </c>
      <c r="G2312"/>
      <c r="H2312" s="2"/>
      <c r="I2312" s="2"/>
      <c r="L2312"/>
      <c r="R2312"/>
    </row>
    <row r="2313" spans="1:18">
      <c r="A2313" s="3">
        <v>45796.970081018517</v>
      </c>
      <c r="B2313" s="2" t="s">
        <v>28</v>
      </c>
      <c r="C2313" s="2" t="s">
        <v>11</v>
      </c>
      <c r="D2313" s="6" t="str">
        <f>CONCATENATE(YEAR(A2313),"/",IF(MONTH(A2313)&lt;10,CONCATENATE("0",MONTH(A2313)),MONTH(A2313)))</f>
        <v>2025/05</v>
      </c>
      <c r="E2313" s="8">
        <f>IF(IF(D2313&lt;&gt;D2312,1,IF(OR(B2313&lt;&gt;B2312,A2313-A2312&gt;$U$1),1,""))&lt;&gt;1,"",IF(C2313="B01",1965,IF(C2313="B02",1020,IF(C2313="B05",2400,IF(C2313="B03",4260,IF(C2313="B04",2880,IF(C2313="B20",1260,0)))))))</f>
        <v>2400</v>
      </c>
      <c r="F2313" s="8">
        <f>IF(IF(D2313&lt;&gt;D2312,1,IF(OR(B2313&lt;&gt;B2312,A2313-A2312&gt;$U$1),1,""))&lt;&gt;1,"",IF(C2313="B01",1,IF(C2313="B05",1,IF(C2313="B03",1,IF(C2313="B04",1,IF(C2313="B20",1,IF(C2313="B02",1,0)))))))</f>
        <v>1</v>
      </c>
      <c r="G2313"/>
      <c r="H2313" s="2"/>
      <c r="I2313" s="2"/>
      <c r="L2313"/>
      <c r="R2313"/>
    </row>
    <row r="2314" spans="1:18">
      <c r="A2314" s="3">
        <v>45796.970081018517</v>
      </c>
      <c r="B2314" s="2" t="s">
        <v>28</v>
      </c>
      <c r="C2314" s="2" t="s">
        <v>11</v>
      </c>
      <c r="D2314" s="6" t="str">
        <f>CONCATENATE(YEAR(A2314),"/",IF(MONTH(A2314)&lt;10,CONCATENATE("0",MONTH(A2314)),MONTH(A2314)))</f>
        <v>2025/05</v>
      </c>
      <c r="E2314" s="8" t="str">
        <f>IF(IF(D2314&lt;&gt;D2313,1,IF(OR(B2314&lt;&gt;B2313,A2314-A2313&gt;$U$1),1,""))&lt;&gt;1,"",IF(C2314="B01",1965,IF(C2314="B02",1020,IF(C2314="B05",2400,IF(C2314="B03",4260,IF(C2314="B04",2880,IF(C2314="B20",1260,0)))))))</f>
        <v/>
      </c>
      <c r="F2314" s="8" t="str">
        <f>IF(IF(D2314&lt;&gt;D2313,1,IF(OR(B2314&lt;&gt;B2313,A2314-A2313&gt;$U$1),1,""))&lt;&gt;1,"",IF(C2314="B01",1,IF(C2314="B05",1,IF(C2314="B03",1,IF(C2314="B04",1,IF(C2314="B20",1,IF(C2314="B02",1,0)))))))</f>
        <v/>
      </c>
      <c r="G2314"/>
      <c r="H2314" s="2"/>
      <c r="I2314" s="2"/>
      <c r="L2314"/>
      <c r="R2314"/>
    </row>
    <row r="2315" spans="1:18">
      <c r="A2315" s="3">
        <v>45796.970081018517</v>
      </c>
      <c r="B2315" s="2" t="s">
        <v>28</v>
      </c>
      <c r="C2315" s="2" t="s">
        <v>11</v>
      </c>
      <c r="D2315" s="6" t="str">
        <f>CONCATENATE(YEAR(A2315),"/",IF(MONTH(A2315)&lt;10,CONCATENATE("0",MONTH(A2315)),MONTH(A2315)))</f>
        <v>2025/05</v>
      </c>
      <c r="E2315" s="8" t="str">
        <f>IF(IF(D2315&lt;&gt;D2314,1,IF(OR(B2315&lt;&gt;B2314,A2315-A2314&gt;$U$1),1,""))&lt;&gt;1,"",IF(C2315="B01",1965,IF(C2315="B02",1020,IF(C2315="B05",2400,IF(C2315="B03",4260,IF(C2315="B04",2880,IF(C2315="B20",1260,0)))))))</f>
        <v/>
      </c>
      <c r="F2315" s="8" t="str">
        <f>IF(IF(D2315&lt;&gt;D2314,1,IF(OR(B2315&lt;&gt;B2314,A2315-A2314&gt;$U$1),1,""))&lt;&gt;1,"",IF(C2315="B01",1,IF(C2315="B05",1,IF(C2315="B03",1,IF(C2315="B04",1,IF(C2315="B20",1,IF(C2315="B02",1,0)))))))</f>
        <v/>
      </c>
      <c r="G2315"/>
      <c r="H2315" s="2"/>
      <c r="I2315" s="2"/>
      <c r="L2315"/>
      <c r="R2315"/>
    </row>
    <row r="2316" spans="1:18">
      <c r="A2316" s="3">
        <v>45797.142245370371</v>
      </c>
      <c r="B2316" s="2" t="s">
        <v>28</v>
      </c>
      <c r="C2316" s="2" t="s">
        <v>11</v>
      </c>
      <c r="D2316" s="6" t="str">
        <f>CONCATENATE(YEAR(A2316),"/",IF(MONTH(A2316)&lt;10,CONCATENATE("0",MONTH(A2316)),MONTH(A2316)))</f>
        <v>2025/05</v>
      </c>
      <c r="E2316" s="8">
        <f>IF(IF(D2316&lt;&gt;D2315,1,IF(OR(B2316&lt;&gt;B2315,A2316-A2315&gt;$U$1),1,""))&lt;&gt;1,"",IF(C2316="B01",1965,IF(C2316="B02",1020,IF(C2316="B05",2400,IF(C2316="B03",4260,IF(C2316="B04",2880,IF(C2316="B20",1260,0)))))))</f>
        <v>2400</v>
      </c>
      <c r="F2316" s="8">
        <f>IF(IF(D2316&lt;&gt;D2315,1,IF(OR(B2316&lt;&gt;B2315,A2316-A2315&gt;$U$1),1,""))&lt;&gt;1,"",IF(C2316="B01",1,IF(C2316="B05",1,IF(C2316="B03",1,IF(C2316="B04",1,IF(C2316="B20",1,IF(C2316="B02",1,0)))))))</f>
        <v>1</v>
      </c>
      <c r="G2316"/>
      <c r="H2316" s="2"/>
      <c r="I2316" s="2"/>
      <c r="L2316"/>
      <c r="R2316"/>
    </row>
    <row r="2317" spans="1:18">
      <c r="A2317" s="3">
        <v>45797.142245370371</v>
      </c>
      <c r="B2317" s="2" t="s">
        <v>28</v>
      </c>
      <c r="C2317" s="2" t="s">
        <v>11</v>
      </c>
      <c r="D2317" s="6" t="str">
        <f>CONCATENATE(YEAR(A2317),"/",IF(MONTH(A2317)&lt;10,CONCATENATE("0",MONTH(A2317)),MONTH(A2317)))</f>
        <v>2025/05</v>
      </c>
      <c r="E2317" s="8" t="str">
        <f>IF(IF(D2317&lt;&gt;D2316,1,IF(OR(B2317&lt;&gt;B2316,A2317-A2316&gt;$U$1),1,""))&lt;&gt;1,"",IF(C2317="B01",1965,IF(C2317="B02",1020,IF(C2317="B05",2400,IF(C2317="B03",4260,IF(C2317="B04",2880,IF(C2317="B20",1260,0)))))))</f>
        <v/>
      </c>
      <c r="F2317" s="8" t="str">
        <f>IF(IF(D2317&lt;&gt;D2316,1,IF(OR(B2317&lt;&gt;B2316,A2317-A2316&gt;$U$1),1,""))&lt;&gt;1,"",IF(C2317="B01",1,IF(C2317="B05",1,IF(C2317="B03",1,IF(C2317="B04",1,IF(C2317="B20",1,IF(C2317="B02",1,0)))))))</f>
        <v/>
      </c>
      <c r="G2317"/>
      <c r="H2317" s="2"/>
      <c r="I2317" s="2"/>
      <c r="L2317"/>
      <c r="R2317"/>
    </row>
    <row r="2318" spans="1:18">
      <c r="A2318" s="3">
        <v>45797.365243055552</v>
      </c>
      <c r="B2318" s="2" t="s">
        <v>28</v>
      </c>
      <c r="C2318" s="2" t="s">
        <v>11</v>
      </c>
      <c r="D2318" s="6" t="str">
        <f>CONCATENATE(YEAR(A2318),"/",IF(MONTH(A2318)&lt;10,CONCATENATE("0",MONTH(A2318)),MONTH(A2318)))</f>
        <v>2025/05</v>
      </c>
      <c r="E2318" s="8">
        <f>IF(IF(D2318&lt;&gt;D2317,1,IF(OR(B2318&lt;&gt;B2317,A2318-A2317&gt;$U$1),1,""))&lt;&gt;1,"",IF(C2318="B01",1965,IF(C2318="B02",1020,IF(C2318="B05",2400,IF(C2318="B03",4260,IF(C2318="B04",2880,IF(C2318="B20",1260,0)))))))</f>
        <v>2400</v>
      </c>
      <c r="F2318" s="8">
        <f>IF(IF(D2318&lt;&gt;D2317,1,IF(OR(B2318&lt;&gt;B2317,A2318-A2317&gt;$U$1),1,""))&lt;&gt;1,"",IF(C2318="B01",1,IF(C2318="B05",1,IF(C2318="B03",1,IF(C2318="B04",1,IF(C2318="B20",1,IF(C2318="B02",1,0)))))))</f>
        <v>1</v>
      </c>
      <c r="G2318"/>
      <c r="H2318" s="2"/>
      <c r="I2318" s="2"/>
      <c r="L2318"/>
      <c r="R2318"/>
    </row>
    <row r="2319" spans="1:18">
      <c r="A2319" s="3">
        <v>45797.365243055552</v>
      </c>
      <c r="B2319" s="2" t="s">
        <v>28</v>
      </c>
      <c r="C2319" s="2" t="s">
        <v>11</v>
      </c>
      <c r="D2319" s="6" t="str">
        <f>CONCATENATE(YEAR(A2319),"/",IF(MONTH(A2319)&lt;10,CONCATENATE("0",MONTH(A2319)),MONTH(A2319)))</f>
        <v>2025/05</v>
      </c>
      <c r="E2319" s="8" t="str">
        <f>IF(IF(D2319&lt;&gt;D2318,1,IF(OR(B2319&lt;&gt;B2318,A2319-A2318&gt;$U$1),1,""))&lt;&gt;1,"",IF(C2319="B01",1965,IF(C2319="B02",1020,IF(C2319="B05",2400,IF(C2319="B03",4260,IF(C2319="B04",2880,IF(C2319="B20",1260,0)))))))</f>
        <v/>
      </c>
      <c r="F2319" s="8" t="str">
        <f>IF(IF(D2319&lt;&gt;D2318,1,IF(OR(B2319&lt;&gt;B2318,A2319-A2318&gt;$U$1),1,""))&lt;&gt;1,"",IF(C2319="B01",1,IF(C2319="B05",1,IF(C2319="B03",1,IF(C2319="B04",1,IF(C2319="B20",1,IF(C2319="B02",1,0)))))))</f>
        <v/>
      </c>
      <c r="G2319"/>
      <c r="H2319" s="2"/>
      <c r="I2319" s="2"/>
      <c r="L2319"/>
      <c r="R2319"/>
    </row>
    <row r="2320" spans="1:18">
      <c r="A2320" s="3">
        <v>45797.365254629629</v>
      </c>
      <c r="B2320" s="2" t="s">
        <v>28</v>
      </c>
      <c r="C2320" s="2" t="s">
        <v>11</v>
      </c>
      <c r="D2320" s="6" t="str">
        <f>CONCATENATE(YEAR(A2320),"/",IF(MONTH(A2320)&lt;10,CONCATENATE("0",MONTH(A2320)),MONTH(A2320)))</f>
        <v>2025/05</v>
      </c>
      <c r="E2320" s="8" t="str">
        <f>IF(IF(D2320&lt;&gt;D2319,1,IF(OR(B2320&lt;&gt;B2319,A2320-A2319&gt;$U$1),1,""))&lt;&gt;1,"",IF(C2320="B01",1965,IF(C2320="B02",1020,IF(C2320="B05",2400,IF(C2320="B03",4260,IF(C2320="B04",2880,IF(C2320="B20",1260,0)))))))</f>
        <v/>
      </c>
      <c r="F2320" s="8" t="str">
        <f>IF(IF(D2320&lt;&gt;D2319,1,IF(OR(B2320&lt;&gt;B2319,A2320-A2319&gt;$U$1),1,""))&lt;&gt;1,"",IF(C2320="B01",1,IF(C2320="B05",1,IF(C2320="B03",1,IF(C2320="B04",1,IF(C2320="B20",1,IF(C2320="B02",1,0)))))))</f>
        <v/>
      </c>
      <c r="G2320"/>
      <c r="H2320" s="2"/>
      <c r="I2320" s="2"/>
      <c r="L2320"/>
      <c r="R2320"/>
    </row>
    <row r="2321" spans="1:18">
      <c r="A2321" s="3">
        <v>45797.365254629629</v>
      </c>
      <c r="B2321" s="2" t="s">
        <v>28</v>
      </c>
      <c r="C2321" s="2" t="s">
        <v>11</v>
      </c>
      <c r="D2321" s="6" t="str">
        <f>CONCATENATE(YEAR(A2321),"/",IF(MONTH(A2321)&lt;10,CONCATENATE("0",MONTH(A2321)),MONTH(A2321)))</f>
        <v>2025/05</v>
      </c>
      <c r="E2321" s="8" t="str">
        <f>IF(IF(D2321&lt;&gt;D2320,1,IF(OR(B2321&lt;&gt;B2320,A2321-A2320&gt;$U$1),1,""))&lt;&gt;1,"",IF(C2321="B01",1965,IF(C2321="B02",1020,IF(C2321="B05",2400,IF(C2321="B03",4260,IF(C2321="B04",2880,IF(C2321="B20",1260,0)))))))</f>
        <v/>
      </c>
      <c r="F2321" s="8" t="str">
        <f>IF(IF(D2321&lt;&gt;D2320,1,IF(OR(B2321&lt;&gt;B2320,A2321-A2320&gt;$U$1),1,""))&lt;&gt;1,"",IF(C2321="B01",1,IF(C2321="B05",1,IF(C2321="B03",1,IF(C2321="B04",1,IF(C2321="B20",1,IF(C2321="B02",1,0)))))))</f>
        <v/>
      </c>
      <c r="G2321"/>
      <c r="H2321" s="2"/>
      <c r="I2321" s="2"/>
      <c r="L2321"/>
      <c r="R2321"/>
    </row>
    <row r="2322" spans="1:18">
      <c r="A2322" s="3">
        <v>45797.365254629629</v>
      </c>
      <c r="B2322" s="2" t="s">
        <v>28</v>
      </c>
      <c r="C2322" s="2" t="s">
        <v>11</v>
      </c>
      <c r="D2322" s="6" t="str">
        <f>CONCATENATE(YEAR(A2322),"/",IF(MONTH(A2322)&lt;10,CONCATENATE("0",MONTH(A2322)),MONTH(A2322)))</f>
        <v>2025/05</v>
      </c>
      <c r="E2322" s="8" t="str">
        <f>IF(IF(D2322&lt;&gt;D2321,1,IF(OR(B2322&lt;&gt;B2321,A2322-A2321&gt;$U$1),1,""))&lt;&gt;1,"",IF(C2322="B01",1965,IF(C2322="B02",1020,IF(C2322="B05",2400,IF(C2322="B03",4260,IF(C2322="B04",2880,IF(C2322="B20",1260,0)))))))</f>
        <v/>
      </c>
      <c r="F2322" s="8" t="str">
        <f>IF(IF(D2322&lt;&gt;D2321,1,IF(OR(B2322&lt;&gt;B2321,A2322-A2321&gt;$U$1),1,""))&lt;&gt;1,"",IF(C2322="B01",1,IF(C2322="B05",1,IF(C2322="B03",1,IF(C2322="B04",1,IF(C2322="B20",1,IF(C2322="B02",1,0)))))))</f>
        <v/>
      </c>
      <c r="G2322"/>
      <c r="H2322" s="2"/>
      <c r="I2322" s="2"/>
      <c r="L2322"/>
      <c r="R2322"/>
    </row>
    <row r="2323" spans="1:18">
      <c r="A2323" s="3">
        <v>45797.365254629629</v>
      </c>
      <c r="B2323" s="2" t="s">
        <v>28</v>
      </c>
      <c r="C2323" s="2" t="s">
        <v>11</v>
      </c>
      <c r="D2323" s="6" t="str">
        <f>CONCATENATE(YEAR(A2323),"/",IF(MONTH(A2323)&lt;10,CONCATENATE("0",MONTH(A2323)),MONTH(A2323)))</f>
        <v>2025/05</v>
      </c>
      <c r="E2323" s="8" t="str">
        <f>IF(IF(D2323&lt;&gt;D2322,1,IF(OR(B2323&lt;&gt;B2322,A2323-A2322&gt;$U$1),1,""))&lt;&gt;1,"",IF(C2323="B01",1965,IF(C2323="B02",1020,IF(C2323="B05",2400,IF(C2323="B03",4260,IF(C2323="B04",2880,IF(C2323="B20",1260,0)))))))</f>
        <v/>
      </c>
      <c r="F2323" s="8" t="str">
        <f>IF(IF(D2323&lt;&gt;D2322,1,IF(OR(B2323&lt;&gt;B2322,A2323-A2322&gt;$U$1),1,""))&lt;&gt;1,"",IF(C2323="B01",1,IF(C2323="B05",1,IF(C2323="B03",1,IF(C2323="B04",1,IF(C2323="B20",1,IF(C2323="B02",1,0)))))))</f>
        <v/>
      </c>
      <c r="G2323"/>
      <c r="H2323" s="2"/>
      <c r="I2323" s="2"/>
      <c r="L2323"/>
      <c r="R2323"/>
    </row>
    <row r="2324" spans="1:18">
      <c r="A2324" s="3">
        <v>45797.569293981483</v>
      </c>
      <c r="B2324" s="2" t="s">
        <v>28</v>
      </c>
      <c r="C2324" s="2" t="s">
        <v>11</v>
      </c>
      <c r="D2324" s="6" t="str">
        <f>CONCATENATE(YEAR(A2324),"/",IF(MONTH(A2324)&lt;10,CONCATENATE("0",MONTH(A2324)),MONTH(A2324)))</f>
        <v>2025/05</v>
      </c>
      <c r="E2324" s="8">
        <f>IF(IF(D2324&lt;&gt;D2323,1,IF(OR(B2324&lt;&gt;B2323,A2324-A2323&gt;$U$1),1,""))&lt;&gt;1,"",IF(C2324="B01",1965,IF(C2324="B02",1020,IF(C2324="B05",2400,IF(C2324="B03",4260,IF(C2324="B04",2880,IF(C2324="B20",1260,0)))))))</f>
        <v>2400</v>
      </c>
      <c r="F2324" s="8">
        <f>IF(IF(D2324&lt;&gt;D2323,1,IF(OR(B2324&lt;&gt;B2323,A2324-A2323&gt;$U$1),1,""))&lt;&gt;1,"",IF(C2324="B01",1,IF(C2324="B05",1,IF(C2324="B03",1,IF(C2324="B04",1,IF(C2324="B20",1,IF(C2324="B02",1,0)))))))</f>
        <v>1</v>
      </c>
      <c r="G2324"/>
      <c r="H2324" s="2"/>
      <c r="I2324" s="2"/>
      <c r="L2324"/>
      <c r="R2324"/>
    </row>
    <row r="2325" spans="1:18">
      <c r="A2325" s="3">
        <v>45797.569293981483</v>
      </c>
      <c r="B2325" s="2" t="s">
        <v>28</v>
      </c>
      <c r="C2325" s="2" t="s">
        <v>11</v>
      </c>
      <c r="D2325" s="6" t="str">
        <f>CONCATENATE(YEAR(A2325),"/",IF(MONTH(A2325)&lt;10,CONCATENATE("0",MONTH(A2325)),MONTH(A2325)))</f>
        <v>2025/05</v>
      </c>
      <c r="E2325" s="8" t="str">
        <f>IF(IF(D2325&lt;&gt;D2324,1,IF(OR(B2325&lt;&gt;B2324,A2325-A2324&gt;$U$1),1,""))&lt;&gt;1,"",IF(C2325="B01",1965,IF(C2325="B02",1020,IF(C2325="B05",2400,IF(C2325="B03",4260,IF(C2325="B04",2880,IF(C2325="B20",1260,0)))))))</f>
        <v/>
      </c>
      <c r="F2325" s="8" t="str">
        <f>IF(IF(D2325&lt;&gt;D2324,1,IF(OR(B2325&lt;&gt;B2324,A2325-A2324&gt;$U$1),1,""))&lt;&gt;1,"",IF(C2325="B01",1,IF(C2325="B05",1,IF(C2325="B03",1,IF(C2325="B04",1,IF(C2325="B20",1,IF(C2325="B02",1,0)))))))</f>
        <v/>
      </c>
      <c r="G2325"/>
      <c r="H2325" s="2"/>
      <c r="I2325" s="2"/>
      <c r="L2325"/>
      <c r="R2325"/>
    </row>
    <row r="2326" spans="1:18">
      <c r="A2326" s="3">
        <v>45797.569293981483</v>
      </c>
      <c r="B2326" s="2" t="s">
        <v>28</v>
      </c>
      <c r="C2326" s="2" t="s">
        <v>11</v>
      </c>
      <c r="D2326" s="6" t="str">
        <f>CONCATENATE(YEAR(A2326),"/",IF(MONTH(A2326)&lt;10,CONCATENATE("0",MONTH(A2326)),MONTH(A2326)))</f>
        <v>2025/05</v>
      </c>
      <c r="E2326" s="8" t="str">
        <f>IF(IF(D2326&lt;&gt;D2325,1,IF(OR(B2326&lt;&gt;B2325,A2326-A2325&gt;$U$1),1,""))&lt;&gt;1,"",IF(C2326="B01",1965,IF(C2326="B02",1020,IF(C2326="B05",2400,IF(C2326="B03",4260,IF(C2326="B04",2880,IF(C2326="B20",1260,0)))))))</f>
        <v/>
      </c>
      <c r="F2326" s="8" t="str">
        <f>IF(IF(D2326&lt;&gt;D2325,1,IF(OR(B2326&lt;&gt;B2325,A2326-A2325&gt;$U$1),1,""))&lt;&gt;1,"",IF(C2326="B01",1,IF(C2326="B05",1,IF(C2326="B03",1,IF(C2326="B04",1,IF(C2326="B20",1,IF(C2326="B02",1,0)))))))</f>
        <v/>
      </c>
      <c r="G2326"/>
      <c r="H2326" s="2"/>
      <c r="I2326" s="2"/>
      <c r="L2326"/>
      <c r="R2326"/>
    </row>
    <row r="2327" spans="1:18">
      <c r="A2327" s="3">
        <v>45797.6090625</v>
      </c>
      <c r="B2327" s="2" t="s">
        <v>28</v>
      </c>
      <c r="C2327" s="2" t="s">
        <v>11</v>
      </c>
      <c r="D2327" s="6" t="str">
        <f>CONCATENATE(YEAR(A2327),"/",IF(MONTH(A2327)&lt;10,CONCATENATE("0",MONTH(A2327)),MONTH(A2327)))</f>
        <v>2025/05</v>
      </c>
      <c r="E2327" s="8">
        <f>IF(IF(D2327&lt;&gt;D2326,1,IF(OR(B2327&lt;&gt;B2326,A2327-A2326&gt;$U$1),1,""))&lt;&gt;1,"",IF(C2327="B01",1965,IF(C2327="B02",1020,IF(C2327="B05",2400,IF(C2327="B03",4260,IF(C2327="B04",2880,IF(C2327="B20",1260,0)))))))</f>
        <v>2400</v>
      </c>
      <c r="F2327" s="8">
        <f>IF(IF(D2327&lt;&gt;D2326,1,IF(OR(B2327&lt;&gt;B2326,A2327-A2326&gt;$U$1),1,""))&lt;&gt;1,"",IF(C2327="B01",1,IF(C2327="B05",1,IF(C2327="B03",1,IF(C2327="B04",1,IF(C2327="B20",1,IF(C2327="B02",1,0)))))))</f>
        <v>1</v>
      </c>
      <c r="G2327"/>
      <c r="H2327" s="2"/>
      <c r="I2327" s="2"/>
      <c r="L2327"/>
      <c r="R2327"/>
    </row>
    <row r="2328" spans="1:18">
      <c r="A2328" s="3">
        <v>45797.6090625</v>
      </c>
      <c r="B2328" s="2" t="s">
        <v>28</v>
      </c>
      <c r="C2328" s="2" t="s">
        <v>11</v>
      </c>
      <c r="D2328" s="6" t="str">
        <f>CONCATENATE(YEAR(A2328),"/",IF(MONTH(A2328)&lt;10,CONCATENATE("0",MONTH(A2328)),MONTH(A2328)))</f>
        <v>2025/05</v>
      </c>
      <c r="E2328" s="8" t="str">
        <f>IF(IF(D2328&lt;&gt;D2327,1,IF(OR(B2328&lt;&gt;B2327,A2328-A2327&gt;$U$1),1,""))&lt;&gt;1,"",IF(C2328="B01",1965,IF(C2328="B02",1020,IF(C2328="B05",2400,IF(C2328="B03",4260,IF(C2328="B04",2880,IF(C2328="B20",1260,0)))))))</f>
        <v/>
      </c>
      <c r="F2328" s="8" t="str">
        <f>IF(IF(D2328&lt;&gt;D2327,1,IF(OR(B2328&lt;&gt;B2327,A2328-A2327&gt;$U$1),1,""))&lt;&gt;1,"",IF(C2328="B01",1,IF(C2328="B05",1,IF(C2328="B03",1,IF(C2328="B04",1,IF(C2328="B20",1,IF(C2328="B02",1,0)))))))</f>
        <v/>
      </c>
      <c r="G2328"/>
      <c r="H2328" s="2"/>
      <c r="I2328" s="2"/>
      <c r="L2328"/>
      <c r="R2328"/>
    </row>
    <row r="2329" spans="1:18">
      <c r="A2329" s="3">
        <v>45797.6090625</v>
      </c>
      <c r="B2329" s="2" t="s">
        <v>28</v>
      </c>
      <c r="C2329" s="2" t="s">
        <v>11</v>
      </c>
      <c r="D2329" s="6" t="str">
        <f>CONCATENATE(YEAR(A2329),"/",IF(MONTH(A2329)&lt;10,CONCATENATE("0",MONTH(A2329)),MONTH(A2329)))</f>
        <v>2025/05</v>
      </c>
      <c r="E2329" s="8" t="str">
        <f>IF(IF(D2329&lt;&gt;D2328,1,IF(OR(B2329&lt;&gt;B2328,A2329-A2328&gt;$U$1),1,""))&lt;&gt;1,"",IF(C2329="B01",1965,IF(C2329="B02",1020,IF(C2329="B05",2400,IF(C2329="B03",4260,IF(C2329="B04",2880,IF(C2329="B20",1260,0)))))))</f>
        <v/>
      </c>
      <c r="F2329" s="8" t="str">
        <f>IF(IF(D2329&lt;&gt;D2328,1,IF(OR(B2329&lt;&gt;B2328,A2329-A2328&gt;$U$1),1,""))&lt;&gt;1,"",IF(C2329="B01",1,IF(C2329="B05",1,IF(C2329="B03",1,IF(C2329="B04",1,IF(C2329="B20",1,IF(C2329="B02",1,0)))))))</f>
        <v/>
      </c>
      <c r="G2329"/>
      <c r="H2329" s="2"/>
      <c r="I2329" s="2"/>
      <c r="L2329"/>
      <c r="R2329"/>
    </row>
    <row r="2330" spans="1:18">
      <c r="A2330" s="3">
        <v>45797.6090625</v>
      </c>
      <c r="B2330" s="2" t="s">
        <v>28</v>
      </c>
      <c r="C2330" s="2" t="s">
        <v>11</v>
      </c>
      <c r="D2330" s="6" t="str">
        <f>CONCATENATE(YEAR(A2330),"/",IF(MONTH(A2330)&lt;10,CONCATENATE("0",MONTH(A2330)),MONTH(A2330)))</f>
        <v>2025/05</v>
      </c>
      <c r="E2330" s="8" t="str">
        <f>IF(IF(D2330&lt;&gt;D2329,1,IF(OR(B2330&lt;&gt;B2329,A2330-A2329&gt;$U$1),1,""))&lt;&gt;1,"",IF(C2330="B01",1965,IF(C2330="B02",1020,IF(C2330="B05",2400,IF(C2330="B03",4260,IF(C2330="B04",2880,IF(C2330="B20",1260,0)))))))</f>
        <v/>
      </c>
      <c r="F2330" s="8" t="str">
        <f>IF(IF(D2330&lt;&gt;D2329,1,IF(OR(B2330&lt;&gt;B2329,A2330-A2329&gt;$U$1),1,""))&lt;&gt;1,"",IF(C2330="B01",1,IF(C2330="B05",1,IF(C2330="B03",1,IF(C2330="B04",1,IF(C2330="B20",1,IF(C2330="B02",1,0)))))))</f>
        <v/>
      </c>
      <c r="G2330"/>
      <c r="H2330" s="2"/>
      <c r="I2330" s="2"/>
      <c r="L2330"/>
      <c r="R2330"/>
    </row>
    <row r="2331" spans="1:18">
      <c r="A2331" s="3">
        <v>45797.6090625</v>
      </c>
      <c r="B2331" s="2" t="s">
        <v>28</v>
      </c>
      <c r="C2331" s="2" t="s">
        <v>11</v>
      </c>
      <c r="D2331" s="6" t="str">
        <f>CONCATENATE(YEAR(A2331),"/",IF(MONTH(A2331)&lt;10,CONCATENATE("0",MONTH(A2331)),MONTH(A2331)))</f>
        <v>2025/05</v>
      </c>
      <c r="E2331" s="8" t="str">
        <f>IF(IF(D2331&lt;&gt;D2330,1,IF(OR(B2331&lt;&gt;B2330,A2331-A2330&gt;$U$1),1,""))&lt;&gt;1,"",IF(C2331="B01",1965,IF(C2331="B02",1020,IF(C2331="B05",2400,IF(C2331="B03",4260,IF(C2331="B04",2880,IF(C2331="B20",1260,0)))))))</f>
        <v/>
      </c>
      <c r="F2331" s="8" t="str">
        <f>IF(IF(D2331&lt;&gt;D2330,1,IF(OR(B2331&lt;&gt;B2330,A2331-A2330&gt;$U$1),1,""))&lt;&gt;1,"",IF(C2331="B01",1,IF(C2331="B05",1,IF(C2331="B03",1,IF(C2331="B04",1,IF(C2331="B20",1,IF(C2331="B02",1,0)))))))</f>
        <v/>
      </c>
      <c r="G2331"/>
      <c r="H2331" s="2"/>
      <c r="I2331" s="2"/>
      <c r="L2331"/>
      <c r="R2331"/>
    </row>
    <row r="2332" spans="1:18">
      <c r="A2332" s="3">
        <v>45798.189328703702</v>
      </c>
      <c r="B2332" s="2" t="s">
        <v>28</v>
      </c>
      <c r="C2332" s="2" t="s">
        <v>11</v>
      </c>
      <c r="D2332" s="6" t="str">
        <f>CONCATENATE(YEAR(A2332),"/",IF(MONTH(A2332)&lt;10,CONCATENATE("0",MONTH(A2332)),MONTH(A2332)))</f>
        <v>2025/05</v>
      </c>
      <c r="E2332" s="8">
        <f>IF(IF(D2332&lt;&gt;D2331,1,IF(OR(B2332&lt;&gt;B2331,A2332-A2331&gt;$U$1),1,""))&lt;&gt;1,"",IF(C2332="B01",1965,IF(C2332="B02",1020,IF(C2332="B05",2400,IF(C2332="B03",4260,IF(C2332="B04",2880,IF(C2332="B20",1260,0)))))))</f>
        <v>2400</v>
      </c>
      <c r="F2332" s="8">
        <f>IF(IF(D2332&lt;&gt;D2331,1,IF(OR(B2332&lt;&gt;B2331,A2332-A2331&gt;$U$1),1,""))&lt;&gt;1,"",IF(C2332="B01",1,IF(C2332="B05",1,IF(C2332="B03",1,IF(C2332="B04",1,IF(C2332="B20",1,IF(C2332="B02",1,0)))))))</f>
        <v>1</v>
      </c>
      <c r="G2332"/>
      <c r="H2332" s="2"/>
      <c r="I2332" s="2"/>
      <c r="L2332"/>
      <c r="R2332"/>
    </row>
    <row r="2333" spans="1:18">
      <c r="A2333" s="3">
        <v>45798.189328703702</v>
      </c>
      <c r="B2333" s="2" t="s">
        <v>28</v>
      </c>
      <c r="C2333" s="2" t="s">
        <v>11</v>
      </c>
      <c r="D2333" s="6" t="str">
        <f>CONCATENATE(YEAR(A2333),"/",IF(MONTH(A2333)&lt;10,CONCATENATE("0",MONTH(A2333)),MONTH(A2333)))</f>
        <v>2025/05</v>
      </c>
      <c r="E2333" s="8" t="str">
        <f>IF(IF(D2333&lt;&gt;D2332,1,IF(OR(B2333&lt;&gt;B2332,A2333-A2332&gt;$U$1),1,""))&lt;&gt;1,"",IF(C2333="B01",1965,IF(C2333="B02",1020,IF(C2333="B05",2400,IF(C2333="B03",4260,IF(C2333="B04",2880,IF(C2333="B20",1260,0)))))))</f>
        <v/>
      </c>
      <c r="F2333" s="8" t="str">
        <f>IF(IF(D2333&lt;&gt;D2332,1,IF(OR(B2333&lt;&gt;B2332,A2333-A2332&gt;$U$1),1,""))&lt;&gt;1,"",IF(C2333="B01",1,IF(C2333="B05",1,IF(C2333="B03",1,IF(C2333="B04",1,IF(C2333="B20",1,IF(C2333="B02",1,0)))))))</f>
        <v/>
      </c>
      <c r="G2333"/>
      <c r="H2333" s="2"/>
      <c r="I2333" s="2"/>
      <c r="L2333"/>
      <c r="R2333"/>
    </row>
    <row r="2334" spans="1:18">
      <c r="A2334" s="3">
        <v>45798.189328703702</v>
      </c>
      <c r="B2334" s="2" t="s">
        <v>28</v>
      </c>
      <c r="C2334" s="2" t="s">
        <v>11</v>
      </c>
      <c r="D2334" s="6" t="str">
        <f>CONCATENATE(YEAR(A2334),"/",IF(MONTH(A2334)&lt;10,CONCATENATE("0",MONTH(A2334)),MONTH(A2334)))</f>
        <v>2025/05</v>
      </c>
      <c r="E2334" s="8" t="str">
        <f>IF(IF(D2334&lt;&gt;D2333,1,IF(OR(B2334&lt;&gt;B2333,A2334-A2333&gt;$U$1),1,""))&lt;&gt;1,"",IF(C2334="B01",1965,IF(C2334="B02",1020,IF(C2334="B05",2400,IF(C2334="B03",4260,IF(C2334="B04",2880,IF(C2334="B20",1260,0)))))))</f>
        <v/>
      </c>
      <c r="F2334" s="8" t="str">
        <f>IF(IF(D2334&lt;&gt;D2333,1,IF(OR(B2334&lt;&gt;B2333,A2334-A2333&gt;$U$1),1,""))&lt;&gt;1,"",IF(C2334="B01",1,IF(C2334="B05",1,IF(C2334="B03",1,IF(C2334="B04",1,IF(C2334="B20",1,IF(C2334="B02",1,0)))))))</f>
        <v/>
      </c>
      <c r="G2334"/>
      <c r="H2334" s="2"/>
      <c r="I2334" s="2"/>
      <c r="L2334"/>
      <c r="R2334"/>
    </row>
    <row r="2335" spans="1:18">
      <c r="A2335" s="3">
        <v>45798.189328703702</v>
      </c>
      <c r="B2335" s="2" t="s">
        <v>28</v>
      </c>
      <c r="C2335" s="2" t="s">
        <v>11</v>
      </c>
      <c r="D2335" s="6" t="str">
        <f>CONCATENATE(YEAR(A2335),"/",IF(MONTH(A2335)&lt;10,CONCATENATE("0",MONTH(A2335)),MONTH(A2335)))</f>
        <v>2025/05</v>
      </c>
      <c r="E2335" s="8" t="str">
        <f>IF(IF(D2335&lt;&gt;D2334,1,IF(OR(B2335&lt;&gt;B2334,A2335-A2334&gt;$U$1),1,""))&lt;&gt;1,"",IF(C2335="B01",1965,IF(C2335="B02",1020,IF(C2335="B05",2400,IF(C2335="B03",4260,IF(C2335="B04",2880,IF(C2335="B20",1260,0)))))))</f>
        <v/>
      </c>
      <c r="F2335" s="8" t="str">
        <f>IF(IF(D2335&lt;&gt;D2334,1,IF(OR(B2335&lt;&gt;B2334,A2335-A2334&gt;$U$1),1,""))&lt;&gt;1,"",IF(C2335="B01",1,IF(C2335="B05",1,IF(C2335="B03",1,IF(C2335="B04",1,IF(C2335="B20",1,IF(C2335="B02",1,0)))))))</f>
        <v/>
      </c>
      <c r="G2335"/>
      <c r="H2335" s="2"/>
      <c r="I2335" s="2"/>
      <c r="L2335"/>
      <c r="R2335"/>
    </row>
    <row r="2336" spans="1:18">
      <c r="A2336" s="3">
        <v>45798.189328703702</v>
      </c>
      <c r="B2336" s="2" t="s">
        <v>28</v>
      </c>
      <c r="C2336" s="2" t="s">
        <v>11</v>
      </c>
      <c r="D2336" s="6" t="str">
        <f>CONCATENATE(YEAR(A2336),"/",IF(MONTH(A2336)&lt;10,CONCATENATE("0",MONTH(A2336)),MONTH(A2336)))</f>
        <v>2025/05</v>
      </c>
      <c r="E2336" s="8" t="str">
        <f>IF(IF(D2336&lt;&gt;D2335,1,IF(OR(B2336&lt;&gt;B2335,A2336-A2335&gt;$U$1),1,""))&lt;&gt;1,"",IF(C2336="B01",1965,IF(C2336="B02",1020,IF(C2336="B05",2400,IF(C2336="B03",4260,IF(C2336="B04",2880,IF(C2336="B20",1260,0)))))))</f>
        <v/>
      </c>
      <c r="F2336" s="8" t="str">
        <f>IF(IF(D2336&lt;&gt;D2335,1,IF(OR(B2336&lt;&gt;B2335,A2336-A2335&gt;$U$1),1,""))&lt;&gt;1,"",IF(C2336="B01",1,IF(C2336="B05",1,IF(C2336="B03",1,IF(C2336="B04",1,IF(C2336="B20",1,IF(C2336="B02",1,0)))))))</f>
        <v/>
      </c>
      <c r="G2336"/>
      <c r="H2336" s="2"/>
      <c r="I2336" s="2"/>
      <c r="L2336"/>
      <c r="R2336"/>
    </row>
    <row r="2337" spans="1:18">
      <c r="A2337" s="3">
        <v>45798.435648148145</v>
      </c>
      <c r="B2337" s="2" t="s">
        <v>28</v>
      </c>
      <c r="C2337" s="2" t="s">
        <v>11</v>
      </c>
      <c r="D2337" s="6" t="str">
        <f>CONCATENATE(YEAR(A2337),"/",IF(MONTH(A2337)&lt;10,CONCATENATE("0",MONTH(A2337)),MONTH(A2337)))</f>
        <v>2025/05</v>
      </c>
      <c r="E2337" s="8">
        <f>IF(IF(D2337&lt;&gt;D2336,1,IF(OR(B2337&lt;&gt;B2336,A2337-A2336&gt;$U$1),1,""))&lt;&gt;1,"",IF(C2337="B01",1965,IF(C2337="B02",1020,IF(C2337="B05",2400,IF(C2337="B03",4260,IF(C2337="B04",2880,IF(C2337="B20",1260,0)))))))</f>
        <v>2400</v>
      </c>
      <c r="F2337" s="8">
        <f>IF(IF(D2337&lt;&gt;D2336,1,IF(OR(B2337&lt;&gt;B2336,A2337-A2336&gt;$U$1),1,""))&lt;&gt;1,"",IF(C2337="B01",1,IF(C2337="B05",1,IF(C2337="B03",1,IF(C2337="B04",1,IF(C2337="B20",1,IF(C2337="B02",1,0)))))))</f>
        <v>1</v>
      </c>
      <c r="G2337"/>
      <c r="H2337" s="2"/>
      <c r="I2337" s="2"/>
      <c r="L2337"/>
      <c r="R2337"/>
    </row>
    <row r="2338" spans="1:18">
      <c r="A2338" s="3">
        <v>45798.435648148145</v>
      </c>
      <c r="B2338" s="2" t="s">
        <v>28</v>
      </c>
      <c r="C2338" s="2" t="s">
        <v>11</v>
      </c>
      <c r="D2338" s="6" t="str">
        <f>CONCATENATE(YEAR(A2338),"/",IF(MONTH(A2338)&lt;10,CONCATENATE("0",MONTH(A2338)),MONTH(A2338)))</f>
        <v>2025/05</v>
      </c>
      <c r="E2338" s="8" t="str">
        <f>IF(IF(D2338&lt;&gt;D2337,1,IF(OR(B2338&lt;&gt;B2337,A2338-A2337&gt;$U$1),1,""))&lt;&gt;1,"",IF(C2338="B01",1965,IF(C2338="B02",1020,IF(C2338="B05",2400,IF(C2338="B03",4260,IF(C2338="B04",2880,IF(C2338="B20",1260,0)))))))</f>
        <v/>
      </c>
      <c r="F2338" s="8" t="str">
        <f>IF(IF(D2338&lt;&gt;D2337,1,IF(OR(B2338&lt;&gt;B2337,A2338-A2337&gt;$U$1),1,""))&lt;&gt;1,"",IF(C2338="B01",1,IF(C2338="B05",1,IF(C2338="B03",1,IF(C2338="B04",1,IF(C2338="B20",1,IF(C2338="B02",1,0)))))))</f>
        <v/>
      </c>
      <c r="G2338"/>
      <c r="H2338" s="2"/>
      <c r="I2338" s="2"/>
      <c r="L2338"/>
      <c r="R2338"/>
    </row>
    <row r="2339" spans="1:18">
      <c r="A2339" s="3">
        <v>45798.435648148145</v>
      </c>
      <c r="B2339" s="2" t="s">
        <v>28</v>
      </c>
      <c r="C2339" s="2" t="s">
        <v>11</v>
      </c>
      <c r="D2339" s="6" t="str">
        <f>CONCATENATE(YEAR(A2339),"/",IF(MONTH(A2339)&lt;10,CONCATENATE("0",MONTH(A2339)),MONTH(A2339)))</f>
        <v>2025/05</v>
      </c>
      <c r="E2339" s="8" t="str">
        <f>IF(IF(D2339&lt;&gt;D2338,1,IF(OR(B2339&lt;&gt;B2338,A2339-A2338&gt;$U$1),1,""))&lt;&gt;1,"",IF(C2339="B01",1965,IF(C2339="B02",1020,IF(C2339="B05",2400,IF(C2339="B03",4260,IF(C2339="B04",2880,IF(C2339="B20",1260,0)))))))</f>
        <v/>
      </c>
      <c r="F2339" s="8" t="str">
        <f>IF(IF(D2339&lt;&gt;D2338,1,IF(OR(B2339&lt;&gt;B2338,A2339-A2338&gt;$U$1),1,""))&lt;&gt;1,"",IF(C2339="B01",1,IF(C2339="B05",1,IF(C2339="B03",1,IF(C2339="B04",1,IF(C2339="B20",1,IF(C2339="B02",1,0)))))))</f>
        <v/>
      </c>
      <c r="G2339"/>
      <c r="H2339" s="2"/>
      <c r="I2339" s="2"/>
      <c r="L2339"/>
      <c r="R2339"/>
    </row>
    <row r="2340" spans="1:18">
      <c r="A2340" s="3">
        <v>45664.717858796299</v>
      </c>
      <c r="B2340" s="2" t="s">
        <v>33</v>
      </c>
      <c r="C2340" s="2" t="s">
        <v>11</v>
      </c>
      <c r="D2340" s="6" t="str">
        <f>CONCATENATE(YEAR(A2340),"/",IF(MONTH(A2340)&lt;10,CONCATENATE("0",MONTH(A2340)),MONTH(A2340)))</f>
        <v>2025/01</v>
      </c>
      <c r="E2340" s="8">
        <f>IF(IF(D2340&lt;&gt;D2339,1,IF(OR(B2340&lt;&gt;B2339,A2340-A2339&gt;$U$1),1,""))&lt;&gt;1,"",IF(C2340="B01",1965,IF(C2340="B02",1020,IF(C2340="B05",2400,IF(C2340="B03",4260,IF(C2340="B04",2880,IF(C2340="B20",1260,0)))))))</f>
        <v>2400</v>
      </c>
      <c r="F2340" s="8">
        <f>IF(IF(D2340&lt;&gt;D2339,1,IF(OR(B2340&lt;&gt;B2339,A2340-A2339&gt;$U$1),1,""))&lt;&gt;1,"",IF(C2340="B01",1,IF(C2340="B05",1,IF(C2340="B03",1,IF(C2340="B04",1,IF(C2340="B20",1,IF(C2340="B02",1,0)))))))</f>
        <v>1</v>
      </c>
      <c r="G2340"/>
      <c r="H2340" s="2"/>
      <c r="I2340" s="2"/>
      <c r="L2340"/>
      <c r="R2340"/>
    </row>
    <row r="2341" spans="1:18">
      <c r="A2341" s="3">
        <v>45664.717858796299</v>
      </c>
      <c r="B2341" s="2" t="s">
        <v>33</v>
      </c>
      <c r="C2341" s="2" t="s">
        <v>11</v>
      </c>
      <c r="D2341" s="6" t="str">
        <f>CONCATENATE(YEAR(A2341),"/",IF(MONTH(A2341)&lt;10,CONCATENATE("0",MONTH(A2341)),MONTH(A2341)))</f>
        <v>2025/01</v>
      </c>
      <c r="E2341" s="8" t="str">
        <f>IF(IF(D2341&lt;&gt;D2340,1,IF(OR(B2341&lt;&gt;B2340,A2341-A2340&gt;$U$1),1,""))&lt;&gt;1,"",IF(C2341="B01",1965,IF(C2341="B02",1020,IF(C2341="B05",2400,IF(C2341="B03",4260,IF(C2341="B04",2880,IF(C2341="B20",1260,0)))))))</f>
        <v/>
      </c>
      <c r="F2341" s="8" t="str">
        <f>IF(IF(D2341&lt;&gt;D2340,1,IF(OR(B2341&lt;&gt;B2340,A2341-A2340&gt;$U$1),1,""))&lt;&gt;1,"",IF(C2341="B01",1,IF(C2341="B05",1,IF(C2341="B03",1,IF(C2341="B04",1,IF(C2341="B20",1,IF(C2341="B02",1,0)))))))</f>
        <v/>
      </c>
      <c r="G2341"/>
      <c r="H2341" s="2"/>
      <c r="I2341" s="2"/>
      <c r="L2341"/>
      <c r="R2341"/>
    </row>
    <row r="2342" spans="1:18">
      <c r="A2342" s="3">
        <v>45664.717858796299</v>
      </c>
      <c r="B2342" s="2" t="s">
        <v>33</v>
      </c>
      <c r="C2342" s="2" t="s">
        <v>11</v>
      </c>
      <c r="D2342" s="6" t="str">
        <f>CONCATENATE(YEAR(A2342),"/",IF(MONTH(A2342)&lt;10,CONCATENATE("0",MONTH(A2342)),MONTH(A2342)))</f>
        <v>2025/01</v>
      </c>
      <c r="E2342" s="8" t="str">
        <f>IF(IF(D2342&lt;&gt;D2341,1,IF(OR(B2342&lt;&gt;B2341,A2342-A2341&gt;$U$1),1,""))&lt;&gt;1,"",IF(C2342="B01",1965,IF(C2342="B02",1020,IF(C2342="B05",2400,IF(C2342="B03",4260,IF(C2342="B04",2880,IF(C2342="B20",1260,0)))))))</f>
        <v/>
      </c>
      <c r="F2342" s="8" t="str">
        <f>IF(IF(D2342&lt;&gt;D2341,1,IF(OR(B2342&lt;&gt;B2341,A2342-A2341&gt;$U$1),1,""))&lt;&gt;1,"",IF(C2342="B01",1,IF(C2342="B05",1,IF(C2342="B03",1,IF(C2342="B04",1,IF(C2342="B20",1,IF(C2342="B02",1,0)))))))</f>
        <v/>
      </c>
      <c r="G2342"/>
      <c r="H2342" s="2"/>
      <c r="I2342" s="2"/>
      <c r="L2342"/>
      <c r="R2342"/>
    </row>
    <row r="2343" spans="1:18">
      <c r="A2343" s="3">
        <v>45665.246817129628</v>
      </c>
      <c r="B2343" s="2" t="s">
        <v>33</v>
      </c>
      <c r="C2343" s="2" t="s">
        <v>11</v>
      </c>
      <c r="D2343" s="6" t="str">
        <f>CONCATENATE(YEAR(A2343),"/",IF(MONTH(A2343)&lt;10,CONCATENATE("0",MONTH(A2343)),MONTH(A2343)))</f>
        <v>2025/01</v>
      </c>
      <c r="E2343" s="8">
        <f>IF(IF(D2343&lt;&gt;D2342,1,IF(OR(B2343&lt;&gt;B2342,A2343-A2342&gt;$U$1),1,""))&lt;&gt;1,"",IF(C2343="B01",1965,IF(C2343="B02",1020,IF(C2343="B05",2400,IF(C2343="B03",4260,IF(C2343="B04",2880,IF(C2343="B20",1260,0)))))))</f>
        <v>2400</v>
      </c>
      <c r="F2343" s="8">
        <f>IF(IF(D2343&lt;&gt;D2342,1,IF(OR(B2343&lt;&gt;B2342,A2343-A2342&gt;$U$1),1,""))&lt;&gt;1,"",IF(C2343="B01",1,IF(C2343="B05",1,IF(C2343="B03",1,IF(C2343="B04",1,IF(C2343="B20",1,IF(C2343="B02",1,0)))))))</f>
        <v>1</v>
      </c>
      <c r="G2343"/>
      <c r="H2343" s="2"/>
      <c r="I2343" s="2"/>
      <c r="L2343"/>
      <c r="R2343"/>
    </row>
    <row r="2344" spans="1:18">
      <c r="A2344" s="3">
        <v>45665.246817129628</v>
      </c>
      <c r="B2344" s="2" t="s">
        <v>33</v>
      </c>
      <c r="C2344" s="2" t="s">
        <v>11</v>
      </c>
      <c r="D2344" s="6" t="str">
        <f>CONCATENATE(YEAR(A2344),"/",IF(MONTH(A2344)&lt;10,CONCATENATE("0",MONTH(A2344)),MONTH(A2344)))</f>
        <v>2025/01</v>
      </c>
      <c r="E2344" s="8" t="str">
        <f>IF(IF(D2344&lt;&gt;D2343,1,IF(OR(B2344&lt;&gt;B2343,A2344-A2343&gt;$U$1),1,""))&lt;&gt;1,"",IF(C2344="B01",1965,IF(C2344="B02",1020,IF(C2344="B05",2400,IF(C2344="B03",4260,IF(C2344="B04",2880,IF(C2344="B20",1260,0)))))))</f>
        <v/>
      </c>
      <c r="F2344" s="8" t="str">
        <f>IF(IF(D2344&lt;&gt;D2343,1,IF(OR(B2344&lt;&gt;B2343,A2344-A2343&gt;$U$1),1,""))&lt;&gt;1,"",IF(C2344="B01",1,IF(C2344="B05",1,IF(C2344="B03",1,IF(C2344="B04",1,IF(C2344="B20",1,IF(C2344="B02",1,0)))))))</f>
        <v/>
      </c>
      <c r="G2344"/>
      <c r="H2344" s="2"/>
      <c r="I2344" s="2"/>
      <c r="L2344"/>
      <c r="R2344"/>
    </row>
    <row r="2345" spans="1:18">
      <c r="A2345" s="3">
        <v>45665.246817129628</v>
      </c>
      <c r="B2345" s="2" t="s">
        <v>33</v>
      </c>
      <c r="C2345" s="2" t="s">
        <v>11</v>
      </c>
      <c r="D2345" s="6" t="str">
        <f>CONCATENATE(YEAR(A2345),"/",IF(MONTH(A2345)&lt;10,CONCATENATE("0",MONTH(A2345)),MONTH(A2345)))</f>
        <v>2025/01</v>
      </c>
      <c r="E2345" s="8" t="str">
        <f>IF(IF(D2345&lt;&gt;D2344,1,IF(OR(B2345&lt;&gt;B2344,A2345-A2344&gt;$U$1),1,""))&lt;&gt;1,"",IF(C2345="B01",1965,IF(C2345="B02",1020,IF(C2345="B05",2400,IF(C2345="B03",4260,IF(C2345="B04",2880,IF(C2345="B20",1260,0)))))))</f>
        <v/>
      </c>
      <c r="F2345" s="8" t="str">
        <f>IF(IF(D2345&lt;&gt;D2344,1,IF(OR(B2345&lt;&gt;B2344,A2345-A2344&gt;$U$1),1,""))&lt;&gt;1,"",IF(C2345="B01",1,IF(C2345="B05",1,IF(C2345="B03",1,IF(C2345="B04",1,IF(C2345="B20",1,IF(C2345="B02",1,0)))))))</f>
        <v/>
      </c>
      <c r="G2345"/>
      <c r="H2345" s="2"/>
      <c r="I2345" s="2"/>
      <c r="L2345"/>
      <c r="R2345"/>
    </row>
    <row r="2346" spans="1:18">
      <c r="A2346" s="3">
        <v>45665.255706018521</v>
      </c>
      <c r="B2346" s="2" t="s">
        <v>33</v>
      </c>
      <c r="C2346" s="2" t="s">
        <v>11</v>
      </c>
      <c r="D2346" s="6" t="str">
        <f>CONCATENATE(YEAR(A2346),"/",IF(MONTH(A2346)&lt;10,CONCATENATE("0",MONTH(A2346)),MONTH(A2346)))</f>
        <v>2025/01</v>
      </c>
      <c r="E2346" s="8" t="str">
        <f>IF(IF(D2346&lt;&gt;D2345,1,IF(OR(B2346&lt;&gt;B2345,A2346-A2345&gt;$U$1),1,""))&lt;&gt;1,"",IF(C2346="B01",1965,IF(C2346="B02",1020,IF(C2346="B05",2400,IF(C2346="B03",4260,IF(C2346="B04",2880,IF(C2346="B20",1260,0)))))))</f>
        <v/>
      </c>
      <c r="F2346" s="8" t="str">
        <f>IF(IF(D2346&lt;&gt;D2345,1,IF(OR(B2346&lt;&gt;B2345,A2346-A2345&gt;$U$1),1,""))&lt;&gt;1,"",IF(C2346="B01",1,IF(C2346="B05",1,IF(C2346="B03",1,IF(C2346="B04",1,IF(C2346="B20",1,IF(C2346="B02",1,0)))))))</f>
        <v/>
      </c>
      <c r="G2346"/>
      <c r="H2346" s="2"/>
      <c r="I2346" s="2"/>
      <c r="L2346"/>
      <c r="R2346"/>
    </row>
    <row r="2347" spans="1:18">
      <c r="A2347" s="3">
        <v>45666.270474537036</v>
      </c>
      <c r="B2347" s="2" t="s">
        <v>33</v>
      </c>
      <c r="C2347" s="2" t="s">
        <v>11</v>
      </c>
      <c r="D2347" s="6" t="str">
        <f>CONCATENATE(YEAR(A2347),"/",IF(MONTH(A2347)&lt;10,CONCATENATE("0",MONTH(A2347)),MONTH(A2347)))</f>
        <v>2025/01</v>
      </c>
      <c r="E2347" s="8">
        <f>IF(IF(D2347&lt;&gt;D2346,1,IF(OR(B2347&lt;&gt;B2346,A2347-A2346&gt;$U$1),1,""))&lt;&gt;1,"",IF(C2347="B01",1965,IF(C2347="B02",1020,IF(C2347="B05",2400,IF(C2347="B03",4260,IF(C2347="B04",2880,IF(C2347="B20",1260,0)))))))</f>
        <v>2400</v>
      </c>
      <c r="F2347" s="8">
        <f>IF(IF(D2347&lt;&gt;D2346,1,IF(OR(B2347&lt;&gt;B2346,A2347-A2346&gt;$U$1),1,""))&lt;&gt;1,"",IF(C2347="B01",1,IF(C2347="B05",1,IF(C2347="B03",1,IF(C2347="B04",1,IF(C2347="B20",1,IF(C2347="B02",1,0)))))))</f>
        <v>1</v>
      </c>
      <c r="G2347"/>
      <c r="H2347" s="2"/>
      <c r="I2347" s="2"/>
      <c r="L2347"/>
      <c r="R2347"/>
    </row>
    <row r="2348" spans="1:18">
      <c r="A2348" s="3">
        <v>45666.270474537036</v>
      </c>
      <c r="B2348" s="2" t="s">
        <v>33</v>
      </c>
      <c r="C2348" s="2" t="s">
        <v>11</v>
      </c>
      <c r="D2348" s="6" t="str">
        <f>CONCATENATE(YEAR(A2348),"/",IF(MONTH(A2348)&lt;10,CONCATENATE("0",MONTH(A2348)),MONTH(A2348)))</f>
        <v>2025/01</v>
      </c>
      <c r="E2348" s="8" t="str">
        <f>IF(IF(D2348&lt;&gt;D2347,1,IF(OR(B2348&lt;&gt;B2347,A2348-A2347&gt;$U$1),1,""))&lt;&gt;1,"",IF(C2348="B01",1965,IF(C2348="B02",1020,IF(C2348="B05",2400,IF(C2348="B03",4260,IF(C2348="B04",2880,IF(C2348="B20",1260,0)))))))</f>
        <v/>
      </c>
      <c r="F2348" s="8" t="str">
        <f>IF(IF(D2348&lt;&gt;D2347,1,IF(OR(B2348&lt;&gt;B2347,A2348-A2347&gt;$U$1),1,""))&lt;&gt;1,"",IF(C2348="B01",1,IF(C2348="B05",1,IF(C2348="B03",1,IF(C2348="B04",1,IF(C2348="B20",1,IF(C2348="B02",1,0)))))))</f>
        <v/>
      </c>
      <c r="G2348"/>
      <c r="H2348" s="2"/>
      <c r="I2348" s="2"/>
      <c r="L2348"/>
      <c r="R2348"/>
    </row>
    <row r="2349" spans="1:18">
      <c r="A2349" s="3">
        <v>45666.270474537036</v>
      </c>
      <c r="B2349" s="2" t="s">
        <v>33</v>
      </c>
      <c r="C2349" s="2" t="s">
        <v>11</v>
      </c>
      <c r="D2349" s="6" t="str">
        <f>CONCATENATE(YEAR(A2349),"/",IF(MONTH(A2349)&lt;10,CONCATENATE("0",MONTH(A2349)),MONTH(A2349)))</f>
        <v>2025/01</v>
      </c>
      <c r="E2349" s="8" t="str">
        <f>IF(IF(D2349&lt;&gt;D2348,1,IF(OR(B2349&lt;&gt;B2348,A2349-A2348&gt;$U$1),1,""))&lt;&gt;1,"",IF(C2349="B01",1965,IF(C2349="B02",1020,IF(C2349="B05",2400,IF(C2349="B03",4260,IF(C2349="B04",2880,IF(C2349="B20",1260,0)))))))</f>
        <v/>
      </c>
      <c r="F2349" s="8" t="str">
        <f>IF(IF(D2349&lt;&gt;D2348,1,IF(OR(B2349&lt;&gt;B2348,A2349-A2348&gt;$U$1),1,""))&lt;&gt;1,"",IF(C2349="B01",1,IF(C2349="B05",1,IF(C2349="B03",1,IF(C2349="B04",1,IF(C2349="B20",1,IF(C2349="B02",1,0)))))))</f>
        <v/>
      </c>
      <c r="G2349"/>
      <c r="H2349" s="2"/>
      <c r="I2349" s="2"/>
      <c r="L2349"/>
      <c r="R2349"/>
    </row>
    <row r="2350" spans="1:18">
      <c r="A2350" s="3">
        <v>45667.256967592592</v>
      </c>
      <c r="B2350" s="2" t="s">
        <v>33</v>
      </c>
      <c r="C2350" s="2" t="s">
        <v>11</v>
      </c>
      <c r="D2350" s="6" t="str">
        <f>CONCATENATE(YEAR(A2350),"/",IF(MONTH(A2350)&lt;10,CONCATENATE("0",MONTH(A2350)),MONTH(A2350)))</f>
        <v>2025/01</v>
      </c>
      <c r="E2350" s="8">
        <f>IF(IF(D2350&lt;&gt;D2349,1,IF(OR(B2350&lt;&gt;B2349,A2350-A2349&gt;$U$1),1,""))&lt;&gt;1,"",IF(C2350="B01",1965,IF(C2350="B02",1020,IF(C2350="B05",2400,IF(C2350="B03",4260,IF(C2350="B04",2880,IF(C2350="B20",1260,0)))))))</f>
        <v>2400</v>
      </c>
      <c r="F2350" s="8">
        <f>IF(IF(D2350&lt;&gt;D2349,1,IF(OR(B2350&lt;&gt;B2349,A2350-A2349&gt;$U$1),1,""))&lt;&gt;1,"",IF(C2350="B01",1,IF(C2350="B05",1,IF(C2350="B03",1,IF(C2350="B04",1,IF(C2350="B20",1,IF(C2350="B02",1,0)))))))</f>
        <v>1</v>
      </c>
      <c r="G2350"/>
      <c r="H2350" s="2"/>
      <c r="I2350" s="2"/>
      <c r="L2350"/>
      <c r="R2350"/>
    </row>
    <row r="2351" spans="1:18">
      <c r="A2351" s="3">
        <v>45667.256967592592</v>
      </c>
      <c r="B2351" s="2" t="s">
        <v>33</v>
      </c>
      <c r="C2351" s="2" t="s">
        <v>11</v>
      </c>
      <c r="D2351" s="6" t="str">
        <f>CONCATENATE(YEAR(A2351),"/",IF(MONTH(A2351)&lt;10,CONCATENATE("0",MONTH(A2351)),MONTH(A2351)))</f>
        <v>2025/01</v>
      </c>
      <c r="E2351" s="8" t="str">
        <f>IF(IF(D2351&lt;&gt;D2350,1,IF(OR(B2351&lt;&gt;B2350,A2351-A2350&gt;$U$1),1,""))&lt;&gt;1,"",IF(C2351="B01",1965,IF(C2351="B02",1020,IF(C2351="B05",2400,IF(C2351="B03",4260,IF(C2351="B04",2880,IF(C2351="B20",1260,0)))))))</f>
        <v/>
      </c>
      <c r="F2351" s="8" t="str">
        <f>IF(IF(D2351&lt;&gt;D2350,1,IF(OR(B2351&lt;&gt;B2350,A2351-A2350&gt;$U$1),1,""))&lt;&gt;1,"",IF(C2351="B01",1,IF(C2351="B05",1,IF(C2351="B03",1,IF(C2351="B04",1,IF(C2351="B20",1,IF(C2351="B02",1,0)))))))</f>
        <v/>
      </c>
      <c r="G2351"/>
      <c r="H2351" s="2"/>
      <c r="I2351" s="2"/>
      <c r="L2351"/>
      <c r="R2351"/>
    </row>
    <row r="2352" spans="1:18">
      <c r="A2352" s="3">
        <v>45667.256967592592</v>
      </c>
      <c r="B2352" s="2" t="s">
        <v>33</v>
      </c>
      <c r="C2352" s="2" t="s">
        <v>11</v>
      </c>
      <c r="D2352" s="6" t="str">
        <f>CONCATENATE(YEAR(A2352),"/",IF(MONTH(A2352)&lt;10,CONCATENATE("0",MONTH(A2352)),MONTH(A2352)))</f>
        <v>2025/01</v>
      </c>
      <c r="E2352" s="8" t="str">
        <f>IF(IF(D2352&lt;&gt;D2351,1,IF(OR(B2352&lt;&gt;B2351,A2352-A2351&gt;$U$1),1,""))&lt;&gt;1,"",IF(C2352="B01",1965,IF(C2352="B02",1020,IF(C2352="B05",2400,IF(C2352="B03",4260,IF(C2352="B04",2880,IF(C2352="B20",1260,0)))))))</f>
        <v/>
      </c>
      <c r="F2352" s="8" t="str">
        <f>IF(IF(D2352&lt;&gt;D2351,1,IF(OR(B2352&lt;&gt;B2351,A2352-A2351&gt;$U$1),1,""))&lt;&gt;1,"",IF(C2352="B01",1,IF(C2352="B05",1,IF(C2352="B03",1,IF(C2352="B04",1,IF(C2352="B20",1,IF(C2352="B02",1,0)))))))</f>
        <v/>
      </c>
      <c r="G2352"/>
      <c r="H2352" s="2"/>
      <c r="I2352" s="2"/>
      <c r="L2352"/>
      <c r="R2352"/>
    </row>
    <row r="2353" spans="1:18">
      <c r="A2353" s="3">
        <v>45667.256967592592</v>
      </c>
      <c r="B2353" s="2" t="s">
        <v>33</v>
      </c>
      <c r="C2353" s="2" t="s">
        <v>11</v>
      </c>
      <c r="D2353" s="6" t="str">
        <f>CONCATENATE(YEAR(A2353),"/",IF(MONTH(A2353)&lt;10,CONCATENATE("0",MONTH(A2353)),MONTH(A2353)))</f>
        <v>2025/01</v>
      </c>
      <c r="E2353" s="8" t="str">
        <f>IF(IF(D2353&lt;&gt;D2352,1,IF(OR(B2353&lt;&gt;B2352,A2353-A2352&gt;$U$1),1,""))&lt;&gt;1,"",IF(C2353="B01",1965,IF(C2353="B02",1020,IF(C2353="B05",2400,IF(C2353="B03",4260,IF(C2353="B04",2880,IF(C2353="B20",1260,0)))))))</f>
        <v/>
      </c>
      <c r="F2353" s="8" t="str">
        <f>IF(IF(D2353&lt;&gt;D2352,1,IF(OR(B2353&lt;&gt;B2352,A2353-A2352&gt;$U$1),1,""))&lt;&gt;1,"",IF(C2353="B01",1,IF(C2353="B05",1,IF(C2353="B03",1,IF(C2353="B04",1,IF(C2353="B20",1,IF(C2353="B02",1,0)))))))</f>
        <v/>
      </c>
      <c r="G2353"/>
      <c r="H2353" s="2"/>
      <c r="I2353" s="2"/>
      <c r="L2353"/>
      <c r="R2353"/>
    </row>
    <row r="2354" spans="1:18">
      <c r="A2354" s="3">
        <v>45667.560324074075</v>
      </c>
      <c r="B2354" s="2" t="s">
        <v>33</v>
      </c>
      <c r="C2354" s="2" t="s">
        <v>11</v>
      </c>
      <c r="D2354" s="6" t="str">
        <f>CONCATENATE(YEAR(A2354),"/",IF(MONTH(A2354)&lt;10,CONCATENATE("0",MONTH(A2354)),MONTH(A2354)))</f>
        <v>2025/01</v>
      </c>
      <c r="E2354" s="8">
        <f>IF(IF(D2354&lt;&gt;D2353,1,IF(OR(B2354&lt;&gt;B2353,A2354-A2353&gt;$U$1),1,""))&lt;&gt;1,"",IF(C2354="B01",1965,IF(C2354="B02",1020,IF(C2354="B05",2400,IF(C2354="B03",4260,IF(C2354="B04",2880,IF(C2354="B20",1260,0)))))))</f>
        <v>2400</v>
      </c>
      <c r="F2354" s="8">
        <f>IF(IF(D2354&lt;&gt;D2353,1,IF(OR(B2354&lt;&gt;B2353,A2354-A2353&gt;$U$1),1,""))&lt;&gt;1,"",IF(C2354="B01",1,IF(C2354="B05",1,IF(C2354="B03",1,IF(C2354="B04",1,IF(C2354="B20",1,IF(C2354="B02",1,0)))))))</f>
        <v>1</v>
      </c>
      <c r="G2354"/>
      <c r="H2354" s="2"/>
      <c r="I2354" s="2"/>
      <c r="L2354"/>
      <c r="R2354"/>
    </row>
    <row r="2355" spans="1:18">
      <c r="A2355" s="3">
        <v>45667.560324074075</v>
      </c>
      <c r="B2355" s="2" t="s">
        <v>33</v>
      </c>
      <c r="C2355" s="2" t="s">
        <v>11</v>
      </c>
      <c r="D2355" s="6" t="str">
        <f>CONCATENATE(YEAR(A2355),"/",IF(MONTH(A2355)&lt;10,CONCATENATE("0",MONTH(A2355)),MONTH(A2355)))</f>
        <v>2025/01</v>
      </c>
      <c r="E2355" s="8" t="str">
        <f>IF(IF(D2355&lt;&gt;D2354,1,IF(OR(B2355&lt;&gt;B2354,A2355-A2354&gt;$U$1),1,""))&lt;&gt;1,"",IF(C2355="B01",1965,IF(C2355="B02",1020,IF(C2355="B05",2400,IF(C2355="B03",4260,IF(C2355="B04",2880,IF(C2355="B20",1260,0)))))))</f>
        <v/>
      </c>
      <c r="F2355" s="8" t="str">
        <f>IF(IF(D2355&lt;&gt;D2354,1,IF(OR(B2355&lt;&gt;B2354,A2355-A2354&gt;$U$1),1,""))&lt;&gt;1,"",IF(C2355="B01",1,IF(C2355="B05",1,IF(C2355="B03",1,IF(C2355="B04",1,IF(C2355="B20",1,IF(C2355="B02",1,0)))))))</f>
        <v/>
      </c>
      <c r="G2355"/>
      <c r="H2355" s="2"/>
      <c r="I2355" s="2"/>
      <c r="L2355"/>
      <c r="R2355"/>
    </row>
    <row r="2356" spans="1:18">
      <c r="A2356" s="3">
        <v>45667.691736111112</v>
      </c>
      <c r="B2356" s="2" t="s">
        <v>33</v>
      </c>
      <c r="C2356" s="2" t="s">
        <v>11</v>
      </c>
      <c r="D2356" s="6" t="str">
        <f>CONCATENATE(YEAR(A2356),"/",IF(MONTH(A2356)&lt;10,CONCATENATE("0",MONTH(A2356)),MONTH(A2356)))</f>
        <v>2025/01</v>
      </c>
      <c r="E2356" s="8">
        <f>IF(IF(D2356&lt;&gt;D2355,1,IF(OR(B2356&lt;&gt;B2355,A2356-A2355&gt;$U$1),1,""))&lt;&gt;1,"",IF(C2356="B01",1965,IF(C2356="B02",1020,IF(C2356="B05",2400,IF(C2356="B03",4260,IF(C2356="B04",2880,IF(C2356="B20",1260,0)))))))</f>
        <v>2400</v>
      </c>
      <c r="F2356" s="8">
        <f>IF(IF(D2356&lt;&gt;D2355,1,IF(OR(B2356&lt;&gt;B2355,A2356-A2355&gt;$U$1),1,""))&lt;&gt;1,"",IF(C2356="B01",1,IF(C2356="B05",1,IF(C2356="B03",1,IF(C2356="B04",1,IF(C2356="B20",1,IF(C2356="B02",1,0)))))))</f>
        <v>1</v>
      </c>
      <c r="G2356"/>
      <c r="H2356" s="2"/>
      <c r="I2356" s="2"/>
      <c r="L2356"/>
      <c r="R2356"/>
    </row>
    <row r="2357" spans="1:18">
      <c r="A2357" s="3">
        <v>45667.691736111112</v>
      </c>
      <c r="B2357" s="2" t="s">
        <v>33</v>
      </c>
      <c r="C2357" s="2" t="s">
        <v>11</v>
      </c>
      <c r="D2357" s="6" t="str">
        <f>CONCATENATE(YEAR(A2357),"/",IF(MONTH(A2357)&lt;10,CONCATENATE("0",MONTH(A2357)),MONTH(A2357)))</f>
        <v>2025/01</v>
      </c>
      <c r="E2357" s="8" t="str">
        <f>IF(IF(D2357&lt;&gt;D2356,1,IF(OR(B2357&lt;&gt;B2356,A2357-A2356&gt;$U$1),1,""))&lt;&gt;1,"",IF(C2357="B01",1965,IF(C2357="B02",1020,IF(C2357="B05",2400,IF(C2357="B03",4260,IF(C2357="B04",2880,IF(C2357="B20",1260,0)))))))</f>
        <v/>
      </c>
      <c r="F2357" s="8" t="str">
        <f>IF(IF(D2357&lt;&gt;D2356,1,IF(OR(B2357&lt;&gt;B2356,A2357-A2356&gt;$U$1),1,""))&lt;&gt;1,"",IF(C2357="B01",1,IF(C2357="B05",1,IF(C2357="B03",1,IF(C2357="B04",1,IF(C2357="B20",1,IF(C2357="B02",1,0)))))))</f>
        <v/>
      </c>
      <c r="G2357"/>
      <c r="H2357" s="2"/>
      <c r="I2357" s="2"/>
      <c r="L2357"/>
      <c r="R2357"/>
    </row>
    <row r="2358" spans="1:18">
      <c r="A2358" s="3">
        <v>45668.588101851848</v>
      </c>
      <c r="B2358" s="2" t="s">
        <v>33</v>
      </c>
      <c r="C2358" s="2" t="s">
        <v>11</v>
      </c>
      <c r="D2358" s="6" t="str">
        <f>CONCATENATE(YEAR(A2358),"/",IF(MONTH(A2358)&lt;10,CONCATENATE("0",MONTH(A2358)),MONTH(A2358)))</f>
        <v>2025/01</v>
      </c>
      <c r="E2358" s="8">
        <f>IF(IF(D2358&lt;&gt;D2357,1,IF(OR(B2358&lt;&gt;B2357,A2358-A2357&gt;$U$1),1,""))&lt;&gt;1,"",IF(C2358="B01",1965,IF(C2358="B02",1020,IF(C2358="B05",2400,IF(C2358="B03",4260,IF(C2358="B04",2880,IF(C2358="B20",1260,0)))))))</f>
        <v>2400</v>
      </c>
      <c r="F2358" s="8">
        <f>IF(IF(D2358&lt;&gt;D2357,1,IF(OR(B2358&lt;&gt;B2357,A2358-A2357&gt;$U$1),1,""))&lt;&gt;1,"",IF(C2358="B01",1,IF(C2358="B05",1,IF(C2358="B03",1,IF(C2358="B04",1,IF(C2358="B20",1,IF(C2358="B02",1,0)))))))</f>
        <v>1</v>
      </c>
      <c r="G2358"/>
      <c r="H2358" s="2"/>
      <c r="I2358" s="2"/>
      <c r="L2358"/>
      <c r="R2358"/>
    </row>
    <row r="2359" spans="1:18">
      <c r="A2359" s="3">
        <v>45668.588101851848</v>
      </c>
      <c r="B2359" s="2" t="s">
        <v>33</v>
      </c>
      <c r="C2359" s="2" t="s">
        <v>11</v>
      </c>
      <c r="D2359" s="6" t="str">
        <f>CONCATENATE(YEAR(A2359),"/",IF(MONTH(A2359)&lt;10,CONCATENATE("0",MONTH(A2359)),MONTH(A2359)))</f>
        <v>2025/01</v>
      </c>
      <c r="E2359" s="8" t="str">
        <f>IF(IF(D2359&lt;&gt;D2358,1,IF(OR(B2359&lt;&gt;B2358,A2359-A2358&gt;$U$1),1,""))&lt;&gt;1,"",IF(C2359="B01",1965,IF(C2359="B02",1020,IF(C2359="B05",2400,IF(C2359="B03",4260,IF(C2359="B04",2880,IF(C2359="B20",1260,0)))))))</f>
        <v/>
      </c>
      <c r="F2359" s="8" t="str">
        <f>IF(IF(D2359&lt;&gt;D2358,1,IF(OR(B2359&lt;&gt;B2358,A2359-A2358&gt;$U$1),1,""))&lt;&gt;1,"",IF(C2359="B01",1,IF(C2359="B05",1,IF(C2359="B03",1,IF(C2359="B04",1,IF(C2359="B20",1,IF(C2359="B02",1,0)))))))</f>
        <v/>
      </c>
      <c r="G2359"/>
      <c r="H2359" s="2"/>
      <c r="I2359" s="2"/>
      <c r="L2359"/>
      <c r="R2359"/>
    </row>
    <row r="2360" spans="1:18">
      <c r="A2360" s="3">
        <v>45668.588101851848</v>
      </c>
      <c r="B2360" s="2" t="s">
        <v>33</v>
      </c>
      <c r="C2360" s="2" t="s">
        <v>11</v>
      </c>
      <c r="D2360" s="6" t="str">
        <f>CONCATENATE(YEAR(A2360),"/",IF(MONTH(A2360)&lt;10,CONCATENATE("0",MONTH(A2360)),MONTH(A2360)))</f>
        <v>2025/01</v>
      </c>
      <c r="E2360" s="8" t="str">
        <f>IF(IF(D2360&lt;&gt;D2359,1,IF(OR(B2360&lt;&gt;B2359,A2360-A2359&gt;$U$1),1,""))&lt;&gt;1,"",IF(C2360="B01",1965,IF(C2360="B02",1020,IF(C2360="B05",2400,IF(C2360="B03",4260,IF(C2360="B04",2880,IF(C2360="B20",1260,0)))))))</f>
        <v/>
      </c>
      <c r="F2360" s="8" t="str">
        <f>IF(IF(D2360&lt;&gt;D2359,1,IF(OR(B2360&lt;&gt;B2359,A2360-A2359&gt;$U$1),1,""))&lt;&gt;1,"",IF(C2360="B01",1,IF(C2360="B05",1,IF(C2360="B03",1,IF(C2360="B04",1,IF(C2360="B20",1,IF(C2360="B02",1,0)))))))</f>
        <v/>
      </c>
      <c r="G2360"/>
      <c r="H2360" s="2"/>
      <c r="I2360" s="2"/>
      <c r="L2360"/>
      <c r="R2360"/>
    </row>
    <row r="2361" spans="1:18">
      <c r="A2361" s="3">
        <v>45668.588101851848</v>
      </c>
      <c r="B2361" s="2" t="s">
        <v>33</v>
      </c>
      <c r="C2361" s="2" t="s">
        <v>11</v>
      </c>
      <c r="D2361" s="6" t="str">
        <f>CONCATENATE(YEAR(A2361),"/",IF(MONTH(A2361)&lt;10,CONCATENATE("0",MONTH(A2361)),MONTH(A2361)))</f>
        <v>2025/01</v>
      </c>
      <c r="E2361" s="8" t="str">
        <f>IF(IF(D2361&lt;&gt;D2360,1,IF(OR(B2361&lt;&gt;B2360,A2361-A2360&gt;$U$1),1,""))&lt;&gt;1,"",IF(C2361="B01",1965,IF(C2361="B02",1020,IF(C2361="B05",2400,IF(C2361="B03",4260,IF(C2361="B04",2880,IF(C2361="B20",1260,0)))))))</f>
        <v/>
      </c>
      <c r="F2361" s="8" t="str">
        <f>IF(IF(D2361&lt;&gt;D2360,1,IF(OR(B2361&lt;&gt;B2360,A2361-A2360&gt;$U$1),1,""))&lt;&gt;1,"",IF(C2361="B01",1,IF(C2361="B05",1,IF(C2361="B03",1,IF(C2361="B04",1,IF(C2361="B20",1,IF(C2361="B02",1,0)))))))</f>
        <v/>
      </c>
      <c r="G2361"/>
      <c r="H2361" s="2"/>
      <c r="I2361" s="2"/>
      <c r="L2361"/>
      <c r="R2361"/>
    </row>
    <row r="2362" spans="1:18">
      <c r="A2362" s="3">
        <v>45668.588101851848</v>
      </c>
      <c r="B2362" s="2" t="s">
        <v>33</v>
      </c>
      <c r="C2362" s="2" t="s">
        <v>11</v>
      </c>
      <c r="D2362" s="6" t="str">
        <f>CONCATENATE(YEAR(A2362),"/",IF(MONTH(A2362)&lt;10,CONCATENATE("0",MONTH(A2362)),MONTH(A2362)))</f>
        <v>2025/01</v>
      </c>
      <c r="E2362" s="8" t="str">
        <f>IF(IF(D2362&lt;&gt;D2361,1,IF(OR(B2362&lt;&gt;B2361,A2362-A2361&gt;$U$1),1,""))&lt;&gt;1,"",IF(C2362="B01",1965,IF(C2362="B02",1020,IF(C2362="B05",2400,IF(C2362="B03",4260,IF(C2362="B04",2880,IF(C2362="B20",1260,0)))))))</f>
        <v/>
      </c>
      <c r="F2362" s="8" t="str">
        <f>IF(IF(D2362&lt;&gt;D2361,1,IF(OR(B2362&lt;&gt;B2361,A2362-A2361&gt;$U$1),1,""))&lt;&gt;1,"",IF(C2362="B01",1,IF(C2362="B05",1,IF(C2362="B03",1,IF(C2362="B04",1,IF(C2362="B20",1,IF(C2362="B02",1,0)))))))</f>
        <v/>
      </c>
      <c r="G2362"/>
      <c r="H2362" s="2"/>
      <c r="I2362" s="2"/>
      <c r="L2362"/>
      <c r="R2362"/>
    </row>
    <row r="2363" spans="1:18">
      <c r="A2363" s="3">
        <v>45669.33388888889</v>
      </c>
      <c r="B2363" s="2" t="s">
        <v>33</v>
      </c>
      <c r="C2363" s="2" t="s">
        <v>11</v>
      </c>
      <c r="D2363" s="6" t="str">
        <f>CONCATENATE(YEAR(A2363),"/",IF(MONTH(A2363)&lt;10,CONCATENATE("0",MONTH(A2363)),MONTH(A2363)))</f>
        <v>2025/01</v>
      </c>
      <c r="E2363" s="8">
        <f>IF(IF(D2363&lt;&gt;D2362,1,IF(OR(B2363&lt;&gt;B2362,A2363-A2362&gt;$U$1),1,""))&lt;&gt;1,"",IF(C2363="B01",1965,IF(C2363="B02",1020,IF(C2363="B05",2400,IF(C2363="B03",4260,IF(C2363="B04",2880,IF(C2363="B20",1260,0)))))))</f>
        <v>2400</v>
      </c>
      <c r="F2363" s="8">
        <f>IF(IF(D2363&lt;&gt;D2362,1,IF(OR(B2363&lt;&gt;B2362,A2363-A2362&gt;$U$1),1,""))&lt;&gt;1,"",IF(C2363="B01",1,IF(C2363="B05",1,IF(C2363="B03",1,IF(C2363="B04",1,IF(C2363="B20",1,IF(C2363="B02",1,0)))))))</f>
        <v>1</v>
      </c>
      <c r="G2363"/>
      <c r="H2363" s="2"/>
      <c r="I2363" s="2"/>
      <c r="L2363"/>
      <c r="R2363"/>
    </row>
    <row r="2364" spans="1:18">
      <c r="A2364" s="3">
        <v>45669.33388888889</v>
      </c>
      <c r="B2364" s="2" t="s">
        <v>33</v>
      </c>
      <c r="C2364" s="2" t="s">
        <v>11</v>
      </c>
      <c r="D2364" s="6" t="str">
        <f>CONCATENATE(YEAR(A2364),"/",IF(MONTH(A2364)&lt;10,CONCATENATE("0",MONTH(A2364)),MONTH(A2364)))</f>
        <v>2025/01</v>
      </c>
      <c r="E2364" s="8" t="str">
        <f>IF(IF(D2364&lt;&gt;D2363,1,IF(OR(B2364&lt;&gt;B2363,A2364-A2363&gt;$U$1),1,""))&lt;&gt;1,"",IF(C2364="B01",1965,IF(C2364="B02",1020,IF(C2364="B05",2400,IF(C2364="B03",4260,IF(C2364="B04",2880,IF(C2364="B20",1260,0)))))))</f>
        <v/>
      </c>
      <c r="F2364" s="8" t="str">
        <f>IF(IF(D2364&lt;&gt;D2363,1,IF(OR(B2364&lt;&gt;B2363,A2364-A2363&gt;$U$1),1,""))&lt;&gt;1,"",IF(C2364="B01",1,IF(C2364="B05",1,IF(C2364="B03",1,IF(C2364="B04",1,IF(C2364="B20",1,IF(C2364="B02",1,0)))))))</f>
        <v/>
      </c>
      <c r="G2364"/>
      <c r="H2364" s="2"/>
      <c r="I2364" s="2"/>
      <c r="L2364"/>
      <c r="R2364"/>
    </row>
    <row r="2365" spans="1:18">
      <c r="A2365" s="3">
        <v>45669.33388888889</v>
      </c>
      <c r="B2365" s="2" t="s">
        <v>33</v>
      </c>
      <c r="C2365" s="2" t="s">
        <v>11</v>
      </c>
      <c r="D2365" s="6" t="str">
        <f>CONCATENATE(YEAR(A2365),"/",IF(MONTH(A2365)&lt;10,CONCATENATE("0",MONTH(A2365)),MONTH(A2365)))</f>
        <v>2025/01</v>
      </c>
      <c r="E2365" s="8" t="str">
        <f>IF(IF(D2365&lt;&gt;D2364,1,IF(OR(B2365&lt;&gt;B2364,A2365-A2364&gt;$U$1),1,""))&lt;&gt;1,"",IF(C2365="B01",1965,IF(C2365="B02",1020,IF(C2365="B05",2400,IF(C2365="B03",4260,IF(C2365="B04",2880,IF(C2365="B20",1260,0)))))))</f>
        <v/>
      </c>
      <c r="F2365" s="8" t="str">
        <f>IF(IF(D2365&lt;&gt;D2364,1,IF(OR(B2365&lt;&gt;B2364,A2365-A2364&gt;$U$1),1,""))&lt;&gt;1,"",IF(C2365="B01",1,IF(C2365="B05",1,IF(C2365="B03",1,IF(C2365="B04",1,IF(C2365="B20",1,IF(C2365="B02",1,0)))))))</f>
        <v/>
      </c>
      <c r="G2365"/>
      <c r="H2365" s="2"/>
      <c r="I2365" s="2"/>
      <c r="L2365"/>
      <c r="R2365"/>
    </row>
    <row r="2366" spans="1:18">
      <c r="A2366" s="3">
        <v>45670.240659722222</v>
      </c>
      <c r="B2366" s="2" t="s">
        <v>33</v>
      </c>
      <c r="C2366" s="2" t="s">
        <v>11</v>
      </c>
      <c r="D2366" s="6" t="str">
        <f>CONCATENATE(YEAR(A2366),"/",IF(MONTH(A2366)&lt;10,CONCATENATE("0",MONTH(A2366)),MONTH(A2366)))</f>
        <v>2025/01</v>
      </c>
      <c r="E2366" s="8">
        <f>IF(IF(D2366&lt;&gt;D2365,1,IF(OR(B2366&lt;&gt;B2365,A2366-A2365&gt;$U$1),1,""))&lt;&gt;1,"",IF(C2366="B01",1965,IF(C2366="B02",1020,IF(C2366="B05",2400,IF(C2366="B03",4260,IF(C2366="B04",2880,IF(C2366="B20",1260,0)))))))</f>
        <v>2400</v>
      </c>
      <c r="F2366" s="8">
        <f>IF(IF(D2366&lt;&gt;D2365,1,IF(OR(B2366&lt;&gt;B2365,A2366-A2365&gt;$U$1),1,""))&lt;&gt;1,"",IF(C2366="B01",1,IF(C2366="B05",1,IF(C2366="B03",1,IF(C2366="B04",1,IF(C2366="B20",1,IF(C2366="B02",1,0)))))))</f>
        <v>1</v>
      </c>
      <c r="G2366"/>
      <c r="H2366" s="2"/>
      <c r="I2366" s="2"/>
      <c r="L2366"/>
      <c r="R2366"/>
    </row>
    <row r="2367" spans="1:18">
      <c r="A2367" s="3">
        <v>45670.240659722222</v>
      </c>
      <c r="B2367" s="2" t="s">
        <v>33</v>
      </c>
      <c r="C2367" s="2" t="s">
        <v>11</v>
      </c>
      <c r="D2367" s="6" t="str">
        <f>CONCATENATE(YEAR(A2367),"/",IF(MONTH(A2367)&lt;10,CONCATENATE("0",MONTH(A2367)),MONTH(A2367)))</f>
        <v>2025/01</v>
      </c>
      <c r="E2367" s="8" t="str">
        <f>IF(IF(D2367&lt;&gt;D2366,1,IF(OR(B2367&lt;&gt;B2366,A2367-A2366&gt;$U$1),1,""))&lt;&gt;1,"",IF(C2367="B01",1965,IF(C2367="B02",1020,IF(C2367="B05",2400,IF(C2367="B03",4260,IF(C2367="B04",2880,IF(C2367="B20",1260,0)))))))</f>
        <v/>
      </c>
      <c r="F2367" s="8" t="str">
        <f>IF(IF(D2367&lt;&gt;D2366,1,IF(OR(B2367&lt;&gt;B2366,A2367-A2366&gt;$U$1),1,""))&lt;&gt;1,"",IF(C2367="B01",1,IF(C2367="B05",1,IF(C2367="B03",1,IF(C2367="B04",1,IF(C2367="B20",1,IF(C2367="B02",1,0)))))))</f>
        <v/>
      </c>
      <c r="G2367"/>
      <c r="H2367" s="2"/>
      <c r="I2367" s="2"/>
      <c r="L2367"/>
      <c r="R2367"/>
    </row>
    <row r="2368" spans="1:18">
      <c r="A2368" s="3">
        <v>45670.240659722222</v>
      </c>
      <c r="B2368" s="2" t="s">
        <v>33</v>
      </c>
      <c r="C2368" s="2" t="s">
        <v>11</v>
      </c>
      <c r="D2368" s="6" t="str">
        <f>CONCATENATE(YEAR(A2368),"/",IF(MONTH(A2368)&lt;10,CONCATENATE("0",MONTH(A2368)),MONTH(A2368)))</f>
        <v>2025/01</v>
      </c>
      <c r="E2368" s="8" t="str">
        <f>IF(IF(D2368&lt;&gt;D2367,1,IF(OR(B2368&lt;&gt;B2367,A2368-A2367&gt;$U$1),1,""))&lt;&gt;1,"",IF(C2368="B01",1965,IF(C2368="B02",1020,IF(C2368="B05",2400,IF(C2368="B03",4260,IF(C2368="B04",2880,IF(C2368="B20",1260,0)))))))</f>
        <v/>
      </c>
      <c r="F2368" s="8" t="str">
        <f>IF(IF(D2368&lt;&gt;D2367,1,IF(OR(B2368&lt;&gt;B2367,A2368-A2367&gt;$U$1),1,""))&lt;&gt;1,"",IF(C2368="B01",1,IF(C2368="B05",1,IF(C2368="B03",1,IF(C2368="B04",1,IF(C2368="B20",1,IF(C2368="B02",1,0)))))))</f>
        <v/>
      </c>
      <c r="G2368"/>
      <c r="H2368" s="2"/>
      <c r="I2368" s="2"/>
      <c r="L2368"/>
      <c r="R2368"/>
    </row>
    <row r="2369" spans="1:18">
      <c r="A2369" s="3">
        <v>45670.360555555555</v>
      </c>
      <c r="B2369" s="2" t="s">
        <v>33</v>
      </c>
      <c r="C2369" s="2" t="s">
        <v>11</v>
      </c>
      <c r="D2369" s="6" t="str">
        <f>CONCATENATE(YEAR(A2369),"/",IF(MONTH(A2369)&lt;10,CONCATENATE("0",MONTH(A2369)),MONTH(A2369)))</f>
        <v>2025/01</v>
      </c>
      <c r="E2369" s="8">
        <f>IF(IF(D2369&lt;&gt;D2368,1,IF(OR(B2369&lt;&gt;B2368,A2369-A2368&gt;$U$1),1,""))&lt;&gt;1,"",IF(C2369="B01",1965,IF(C2369="B02",1020,IF(C2369="B05",2400,IF(C2369="B03",4260,IF(C2369="B04",2880,IF(C2369="B20",1260,0)))))))</f>
        <v>2400</v>
      </c>
      <c r="F2369" s="8">
        <f>IF(IF(D2369&lt;&gt;D2368,1,IF(OR(B2369&lt;&gt;B2368,A2369-A2368&gt;$U$1),1,""))&lt;&gt;1,"",IF(C2369="B01",1,IF(C2369="B05",1,IF(C2369="B03",1,IF(C2369="B04",1,IF(C2369="B20",1,IF(C2369="B02",1,0)))))))</f>
        <v>1</v>
      </c>
      <c r="G2369"/>
      <c r="H2369" s="2"/>
      <c r="I2369" s="2"/>
      <c r="L2369"/>
      <c r="R2369"/>
    </row>
    <row r="2370" spans="1:18">
      <c r="A2370" s="3">
        <v>45670.360555555555</v>
      </c>
      <c r="B2370" s="2" t="s">
        <v>33</v>
      </c>
      <c r="C2370" s="2" t="s">
        <v>11</v>
      </c>
      <c r="D2370" s="6" t="str">
        <f>CONCATENATE(YEAR(A2370),"/",IF(MONTH(A2370)&lt;10,CONCATENATE("0",MONTH(A2370)),MONTH(A2370)))</f>
        <v>2025/01</v>
      </c>
      <c r="E2370" s="8" t="str">
        <f>IF(IF(D2370&lt;&gt;D2369,1,IF(OR(B2370&lt;&gt;B2369,A2370-A2369&gt;$U$1),1,""))&lt;&gt;1,"",IF(C2370="B01",1965,IF(C2370="B02",1020,IF(C2370="B05",2400,IF(C2370="B03",4260,IF(C2370="B04",2880,IF(C2370="B20",1260,0)))))))</f>
        <v/>
      </c>
      <c r="F2370" s="8" t="str">
        <f>IF(IF(D2370&lt;&gt;D2369,1,IF(OR(B2370&lt;&gt;B2369,A2370-A2369&gt;$U$1),1,""))&lt;&gt;1,"",IF(C2370="B01",1,IF(C2370="B05",1,IF(C2370="B03",1,IF(C2370="B04",1,IF(C2370="B20",1,IF(C2370="B02",1,0)))))))</f>
        <v/>
      </c>
      <c r="G2370"/>
      <c r="H2370" s="2"/>
      <c r="I2370" s="2"/>
      <c r="L2370"/>
      <c r="R2370"/>
    </row>
    <row r="2371" spans="1:18">
      <c r="A2371" s="3">
        <v>45671.715601851851</v>
      </c>
      <c r="B2371" s="2" t="s">
        <v>33</v>
      </c>
      <c r="C2371" s="2" t="s">
        <v>11</v>
      </c>
      <c r="D2371" s="6" t="str">
        <f>CONCATENATE(YEAR(A2371),"/",IF(MONTH(A2371)&lt;10,CONCATENATE("0",MONTH(A2371)),MONTH(A2371)))</f>
        <v>2025/01</v>
      </c>
      <c r="E2371" s="8">
        <f>IF(IF(D2371&lt;&gt;D2370,1,IF(OR(B2371&lt;&gt;B2370,A2371-A2370&gt;$U$1),1,""))&lt;&gt;1,"",IF(C2371="B01",1965,IF(C2371="B02",1020,IF(C2371="B05",2400,IF(C2371="B03",4260,IF(C2371="B04",2880,IF(C2371="B20",1260,0)))))))</f>
        <v>2400</v>
      </c>
      <c r="F2371" s="8">
        <f>IF(IF(D2371&lt;&gt;D2370,1,IF(OR(B2371&lt;&gt;B2370,A2371-A2370&gt;$U$1),1,""))&lt;&gt;1,"",IF(C2371="B01",1,IF(C2371="B05",1,IF(C2371="B03",1,IF(C2371="B04",1,IF(C2371="B20",1,IF(C2371="B02",1,0)))))))</f>
        <v>1</v>
      </c>
      <c r="G2371"/>
      <c r="H2371" s="2"/>
      <c r="I2371" s="2"/>
      <c r="L2371"/>
      <c r="R2371"/>
    </row>
    <row r="2372" spans="1:18">
      <c r="A2372" s="3">
        <v>45671.715601851851</v>
      </c>
      <c r="B2372" s="2" t="s">
        <v>33</v>
      </c>
      <c r="C2372" s="2" t="s">
        <v>11</v>
      </c>
      <c r="D2372" s="6" t="str">
        <f>CONCATENATE(YEAR(A2372),"/",IF(MONTH(A2372)&lt;10,CONCATENATE("0",MONTH(A2372)),MONTH(A2372)))</f>
        <v>2025/01</v>
      </c>
      <c r="E2372" s="8" t="str">
        <f>IF(IF(D2372&lt;&gt;D2371,1,IF(OR(B2372&lt;&gt;B2371,A2372-A2371&gt;$U$1),1,""))&lt;&gt;1,"",IF(C2372="B01",1965,IF(C2372="B02",1020,IF(C2372="B05",2400,IF(C2372="B03",4260,IF(C2372="B04",2880,IF(C2372="B20",1260,0)))))))</f>
        <v/>
      </c>
      <c r="F2372" s="8" t="str">
        <f>IF(IF(D2372&lt;&gt;D2371,1,IF(OR(B2372&lt;&gt;B2371,A2372-A2371&gt;$U$1),1,""))&lt;&gt;1,"",IF(C2372="B01",1,IF(C2372="B05",1,IF(C2372="B03",1,IF(C2372="B04",1,IF(C2372="B20",1,IF(C2372="B02",1,0)))))))</f>
        <v/>
      </c>
      <c r="G2372"/>
      <c r="H2372" s="2"/>
      <c r="I2372" s="2"/>
      <c r="L2372"/>
      <c r="R2372"/>
    </row>
    <row r="2373" spans="1:18">
      <c r="A2373" s="3">
        <v>45671.715601851851</v>
      </c>
      <c r="B2373" s="2" t="s">
        <v>33</v>
      </c>
      <c r="C2373" s="2" t="s">
        <v>11</v>
      </c>
      <c r="D2373" s="6" t="str">
        <f>CONCATENATE(YEAR(A2373),"/",IF(MONTH(A2373)&lt;10,CONCATENATE("0",MONTH(A2373)),MONTH(A2373)))</f>
        <v>2025/01</v>
      </c>
      <c r="E2373" s="8" t="str">
        <f>IF(IF(D2373&lt;&gt;D2372,1,IF(OR(B2373&lt;&gt;B2372,A2373-A2372&gt;$U$1),1,""))&lt;&gt;1,"",IF(C2373="B01",1965,IF(C2373="B02",1020,IF(C2373="B05",2400,IF(C2373="B03",4260,IF(C2373="B04",2880,IF(C2373="B20",1260,0)))))))</f>
        <v/>
      </c>
      <c r="F2373" s="8" t="str">
        <f>IF(IF(D2373&lt;&gt;D2372,1,IF(OR(B2373&lt;&gt;B2372,A2373-A2372&gt;$U$1),1,""))&lt;&gt;1,"",IF(C2373="B01",1,IF(C2373="B05",1,IF(C2373="B03",1,IF(C2373="B04",1,IF(C2373="B20",1,IF(C2373="B02",1,0)))))))</f>
        <v/>
      </c>
      <c r="G2373"/>
      <c r="H2373" s="2"/>
      <c r="I2373" s="2"/>
      <c r="L2373"/>
      <c r="R2373"/>
    </row>
    <row r="2374" spans="1:18">
      <c r="A2374" s="3">
        <v>45672.414733796293</v>
      </c>
      <c r="B2374" s="2" t="s">
        <v>33</v>
      </c>
      <c r="C2374" s="2" t="s">
        <v>11</v>
      </c>
      <c r="D2374" s="6" t="str">
        <f>CONCATENATE(YEAR(A2374),"/",IF(MONTH(A2374)&lt;10,CONCATENATE("0",MONTH(A2374)),MONTH(A2374)))</f>
        <v>2025/01</v>
      </c>
      <c r="E2374" s="8">
        <f>IF(IF(D2374&lt;&gt;D2373,1,IF(OR(B2374&lt;&gt;B2373,A2374-A2373&gt;$U$1),1,""))&lt;&gt;1,"",IF(C2374="B01",1965,IF(C2374="B02",1020,IF(C2374="B05",2400,IF(C2374="B03",4260,IF(C2374="B04",2880,IF(C2374="B20",1260,0)))))))</f>
        <v>2400</v>
      </c>
      <c r="F2374" s="8">
        <f>IF(IF(D2374&lt;&gt;D2373,1,IF(OR(B2374&lt;&gt;B2373,A2374-A2373&gt;$U$1),1,""))&lt;&gt;1,"",IF(C2374="B01",1,IF(C2374="B05",1,IF(C2374="B03",1,IF(C2374="B04",1,IF(C2374="B20",1,IF(C2374="B02",1,0)))))))</f>
        <v>1</v>
      </c>
      <c r="G2374"/>
      <c r="H2374" s="2"/>
      <c r="I2374" s="2"/>
      <c r="L2374"/>
      <c r="R2374"/>
    </row>
    <row r="2375" spans="1:18">
      <c r="A2375" s="3">
        <v>45672.414733796293</v>
      </c>
      <c r="B2375" s="2" t="s">
        <v>33</v>
      </c>
      <c r="C2375" s="2" t="s">
        <v>11</v>
      </c>
      <c r="D2375" s="6" t="str">
        <f>CONCATENATE(YEAR(A2375),"/",IF(MONTH(A2375)&lt;10,CONCATENATE("0",MONTH(A2375)),MONTH(A2375)))</f>
        <v>2025/01</v>
      </c>
      <c r="E2375" s="8" t="str">
        <f>IF(IF(D2375&lt;&gt;D2374,1,IF(OR(B2375&lt;&gt;B2374,A2375-A2374&gt;$U$1),1,""))&lt;&gt;1,"",IF(C2375="B01",1965,IF(C2375="B02",1020,IF(C2375="B05",2400,IF(C2375="B03",4260,IF(C2375="B04",2880,IF(C2375="B20",1260,0)))))))</f>
        <v/>
      </c>
      <c r="F2375" s="8" t="str">
        <f>IF(IF(D2375&lt;&gt;D2374,1,IF(OR(B2375&lt;&gt;B2374,A2375-A2374&gt;$U$1),1,""))&lt;&gt;1,"",IF(C2375="B01",1,IF(C2375="B05",1,IF(C2375="B03",1,IF(C2375="B04",1,IF(C2375="B20",1,IF(C2375="B02",1,0)))))))</f>
        <v/>
      </c>
      <c r="G2375"/>
      <c r="H2375" s="2"/>
      <c r="I2375" s="2"/>
      <c r="L2375"/>
      <c r="R2375"/>
    </row>
    <row r="2376" spans="1:18">
      <c r="A2376" s="3">
        <v>45672.623090277775</v>
      </c>
      <c r="B2376" s="2" t="s">
        <v>33</v>
      </c>
      <c r="C2376" s="2" t="s">
        <v>11</v>
      </c>
      <c r="D2376" s="6" t="str">
        <f>CONCATENATE(YEAR(A2376),"/",IF(MONTH(A2376)&lt;10,CONCATENATE("0",MONTH(A2376)),MONTH(A2376)))</f>
        <v>2025/01</v>
      </c>
      <c r="E2376" s="8">
        <f>IF(IF(D2376&lt;&gt;D2375,1,IF(OR(B2376&lt;&gt;B2375,A2376-A2375&gt;$U$1),1,""))&lt;&gt;1,"",IF(C2376="B01",1965,IF(C2376="B02",1020,IF(C2376="B05",2400,IF(C2376="B03",4260,IF(C2376="B04",2880,IF(C2376="B20",1260,0)))))))</f>
        <v>2400</v>
      </c>
      <c r="F2376" s="8">
        <f>IF(IF(D2376&lt;&gt;D2375,1,IF(OR(B2376&lt;&gt;B2375,A2376-A2375&gt;$U$1),1,""))&lt;&gt;1,"",IF(C2376="B01",1,IF(C2376="B05",1,IF(C2376="B03",1,IF(C2376="B04",1,IF(C2376="B20",1,IF(C2376="B02",1,0)))))))</f>
        <v>1</v>
      </c>
      <c r="G2376"/>
      <c r="H2376" s="2"/>
      <c r="I2376" s="2"/>
      <c r="L2376"/>
      <c r="R2376"/>
    </row>
    <row r="2377" spans="1:18">
      <c r="A2377" s="3">
        <v>45672.623090277775</v>
      </c>
      <c r="B2377" s="2" t="s">
        <v>33</v>
      </c>
      <c r="C2377" s="2" t="s">
        <v>11</v>
      </c>
      <c r="D2377" s="6" t="str">
        <f>CONCATENATE(YEAR(A2377),"/",IF(MONTH(A2377)&lt;10,CONCATENATE("0",MONTH(A2377)),MONTH(A2377)))</f>
        <v>2025/01</v>
      </c>
      <c r="E2377" s="8" t="str">
        <f>IF(IF(D2377&lt;&gt;D2376,1,IF(OR(B2377&lt;&gt;B2376,A2377-A2376&gt;$U$1),1,""))&lt;&gt;1,"",IF(C2377="B01",1965,IF(C2377="B02",1020,IF(C2377="B05",2400,IF(C2377="B03",4260,IF(C2377="B04",2880,IF(C2377="B20",1260,0)))))))</f>
        <v/>
      </c>
      <c r="F2377" s="8" t="str">
        <f>IF(IF(D2377&lt;&gt;D2376,1,IF(OR(B2377&lt;&gt;B2376,A2377-A2376&gt;$U$1),1,""))&lt;&gt;1,"",IF(C2377="B01",1,IF(C2377="B05",1,IF(C2377="B03",1,IF(C2377="B04",1,IF(C2377="B20",1,IF(C2377="B02",1,0)))))))</f>
        <v/>
      </c>
      <c r="G2377"/>
      <c r="H2377" s="2"/>
      <c r="I2377" s="2"/>
      <c r="L2377"/>
      <c r="R2377"/>
    </row>
    <row r="2378" spans="1:18">
      <c r="A2378" s="3">
        <v>45672.623090277775</v>
      </c>
      <c r="B2378" s="2" t="s">
        <v>33</v>
      </c>
      <c r="C2378" s="2" t="s">
        <v>11</v>
      </c>
      <c r="D2378" s="6" t="str">
        <f>CONCATENATE(YEAR(A2378),"/",IF(MONTH(A2378)&lt;10,CONCATENATE("0",MONTH(A2378)),MONTH(A2378)))</f>
        <v>2025/01</v>
      </c>
      <c r="E2378" s="8" t="str">
        <f>IF(IF(D2378&lt;&gt;D2377,1,IF(OR(B2378&lt;&gt;B2377,A2378-A2377&gt;$U$1),1,""))&lt;&gt;1,"",IF(C2378="B01",1965,IF(C2378="B02",1020,IF(C2378="B05",2400,IF(C2378="B03",4260,IF(C2378="B04",2880,IF(C2378="B20",1260,0)))))))</f>
        <v/>
      </c>
      <c r="F2378" s="8" t="str">
        <f>IF(IF(D2378&lt;&gt;D2377,1,IF(OR(B2378&lt;&gt;B2377,A2378-A2377&gt;$U$1),1,""))&lt;&gt;1,"",IF(C2378="B01",1,IF(C2378="B05",1,IF(C2378="B03",1,IF(C2378="B04",1,IF(C2378="B20",1,IF(C2378="B02",1,0)))))))</f>
        <v/>
      </c>
      <c r="G2378"/>
      <c r="H2378" s="2"/>
      <c r="I2378" s="2"/>
      <c r="L2378"/>
      <c r="R2378"/>
    </row>
    <row r="2379" spans="1:18">
      <c r="A2379" s="3">
        <v>45672.810127314813</v>
      </c>
      <c r="B2379" s="2" t="s">
        <v>33</v>
      </c>
      <c r="C2379" s="2" t="s">
        <v>11</v>
      </c>
      <c r="D2379" s="6" t="str">
        <f>CONCATENATE(YEAR(A2379),"/",IF(MONTH(A2379)&lt;10,CONCATENATE("0",MONTH(A2379)),MONTH(A2379)))</f>
        <v>2025/01</v>
      </c>
      <c r="E2379" s="8">
        <f>IF(IF(D2379&lt;&gt;D2378,1,IF(OR(B2379&lt;&gt;B2378,A2379-A2378&gt;$U$1),1,""))&lt;&gt;1,"",IF(C2379="B01",1965,IF(C2379="B02",1020,IF(C2379="B05",2400,IF(C2379="B03",4260,IF(C2379="B04",2880,IF(C2379="B20",1260,0)))))))</f>
        <v>2400</v>
      </c>
      <c r="F2379" s="8">
        <f>IF(IF(D2379&lt;&gt;D2378,1,IF(OR(B2379&lt;&gt;B2378,A2379-A2378&gt;$U$1),1,""))&lt;&gt;1,"",IF(C2379="B01",1,IF(C2379="B05",1,IF(C2379="B03",1,IF(C2379="B04",1,IF(C2379="B20",1,IF(C2379="B02",1,0)))))))</f>
        <v>1</v>
      </c>
      <c r="G2379"/>
      <c r="H2379" s="2"/>
      <c r="I2379" s="2"/>
      <c r="L2379"/>
      <c r="R2379"/>
    </row>
    <row r="2380" spans="1:18">
      <c r="A2380" s="3">
        <v>45672.810127314813</v>
      </c>
      <c r="B2380" s="2" t="s">
        <v>33</v>
      </c>
      <c r="C2380" s="2" t="s">
        <v>11</v>
      </c>
      <c r="D2380" s="6" t="str">
        <f>CONCATENATE(YEAR(A2380),"/",IF(MONTH(A2380)&lt;10,CONCATENATE("0",MONTH(A2380)),MONTH(A2380)))</f>
        <v>2025/01</v>
      </c>
      <c r="E2380" s="8" t="str">
        <f>IF(IF(D2380&lt;&gt;D2379,1,IF(OR(B2380&lt;&gt;B2379,A2380-A2379&gt;$U$1),1,""))&lt;&gt;1,"",IF(C2380="B01",1965,IF(C2380="B02",1020,IF(C2380="B05",2400,IF(C2380="B03",4260,IF(C2380="B04",2880,IF(C2380="B20",1260,0)))))))</f>
        <v/>
      </c>
      <c r="F2380" s="8" t="str">
        <f>IF(IF(D2380&lt;&gt;D2379,1,IF(OR(B2380&lt;&gt;B2379,A2380-A2379&gt;$U$1),1,""))&lt;&gt;1,"",IF(C2380="B01",1,IF(C2380="B05",1,IF(C2380="B03",1,IF(C2380="B04",1,IF(C2380="B20",1,IF(C2380="B02",1,0)))))))</f>
        <v/>
      </c>
      <c r="G2380"/>
      <c r="H2380" s="2"/>
      <c r="I2380" s="2"/>
      <c r="L2380"/>
      <c r="R2380"/>
    </row>
    <row r="2381" spans="1:18">
      <c r="A2381" s="3">
        <v>45672.832407407404</v>
      </c>
      <c r="B2381" s="2" t="s">
        <v>33</v>
      </c>
      <c r="C2381" s="2" t="s">
        <v>11</v>
      </c>
      <c r="D2381" s="6" t="str">
        <f>CONCATENATE(YEAR(A2381),"/",IF(MONTH(A2381)&lt;10,CONCATENATE("0",MONTH(A2381)),MONTH(A2381)))</f>
        <v>2025/01</v>
      </c>
      <c r="E2381" s="8">
        <f>IF(IF(D2381&lt;&gt;D2380,1,IF(OR(B2381&lt;&gt;B2380,A2381-A2380&gt;$U$1),1,""))&lt;&gt;1,"",IF(C2381="B01",1965,IF(C2381="B02",1020,IF(C2381="B05",2400,IF(C2381="B03",4260,IF(C2381="B04",2880,IF(C2381="B20",1260,0)))))))</f>
        <v>2400</v>
      </c>
      <c r="F2381" s="8">
        <f>IF(IF(D2381&lt;&gt;D2380,1,IF(OR(B2381&lt;&gt;B2380,A2381-A2380&gt;$U$1),1,""))&lt;&gt;1,"",IF(C2381="B01",1,IF(C2381="B05",1,IF(C2381="B03",1,IF(C2381="B04",1,IF(C2381="B20",1,IF(C2381="B02",1,0)))))))</f>
        <v>1</v>
      </c>
      <c r="G2381"/>
      <c r="H2381" s="2"/>
      <c r="I2381" s="2"/>
      <c r="L2381"/>
      <c r="R2381"/>
    </row>
    <row r="2382" spans="1:18">
      <c r="A2382" s="3">
        <v>45672.842349537037</v>
      </c>
      <c r="B2382" s="2" t="s">
        <v>33</v>
      </c>
      <c r="C2382" s="2" t="s">
        <v>11</v>
      </c>
      <c r="D2382" s="6" t="str">
        <f>CONCATENATE(YEAR(A2382),"/",IF(MONTH(A2382)&lt;10,CONCATENATE("0",MONTH(A2382)),MONTH(A2382)))</f>
        <v>2025/01</v>
      </c>
      <c r="E2382" s="8" t="str">
        <f>IF(IF(D2382&lt;&gt;D2381,1,IF(OR(B2382&lt;&gt;B2381,A2382-A2381&gt;$U$1),1,""))&lt;&gt;1,"",IF(C2382="B01",1965,IF(C2382="B02",1020,IF(C2382="B05",2400,IF(C2382="B03",4260,IF(C2382="B04",2880,IF(C2382="B20",1260,0)))))))</f>
        <v/>
      </c>
      <c r="F2382" s="8" t="str">
        <f>IF(IF(D2382&lt;&gt;D2381,1,IF(OR(B2382&lt;&gt;B2381,A2382-A2381&gt;$U$1),1,""))&lt;&gt;1,"",IF(C2382="B01",1,IF(C2382="B05",1,IF(C2382="B03",1,IF(C2382="B04",1,IF(C2382="B20",1,IF(C2382="B02",1,0)))))))</f>
        <v/>
      </c>
      <c r="G2382"/>
      <c r="H2382" s="2"/>
      <c r="I2382" s="2"/>
      <c r="L2382"/>
      <c r="R2382"/>
    </row>
    <row r="2383" spans="1:18">
      <c r="A2383" s="3">
        <v>45672.842349537037</v>
      </c>
      <c r="B2383" s="2" t="s">
        <v>33</v>
      </c>
      <c r="C2383" s="2" t="s">
        <v>11</v>
      </c>
      <c r="D2383" s="6" t="str">
        <f>CONCATENATE(YEAR(A2383),"/",IF(MONTH(A2383)&lt;10,CONCATENATE("0",MONTH(A2383)),MONTH(A2383)))</f>
        <v>2025/01</v>
      </c>
      <c r="E2383" s="8" t="str">
        <f>IF(IF(D2383&lt;&gt;D2382,1,IF(OR(B2383&lt;&gt;B2382,A2383-A2382&gt;$U$1),1,""))&lt;&gt;1,"",IF(C2383="B01",1965,IF(C2383="B02",1020,IF(C2383="B05",2400,IF(C2383="B03",4260,IF(C2383="B04",2880,IF(C2383="B20",1260,0)))))))</f>
        <v/>
      </c>
      <c r="F2383" s="8" t="str">
        <f>IF(IF(D2383&lt;&gt;D2382,1,IF(OR(B2383&lt;&gt;B2382,A2383-A2382&gt;$U$1),1,""))&lt;&gt;1,"",IF(C2383="B01",1,IF(C2383="B05",1,IF(C2383="B03",1,IF(C2383="B04",1,IF(C2383="B20",1,IF(C2383="B02",1,0)))))))</f>
        <v/>
      </c>
      <c r="G2383"/>
      <c r="H2383" s="2"/>
      <c r="I2383" s="2"/>
      <c r="L2383"/>
      <c r="R2383"/>
    </row>
    <row r="2384" spans="1:18">
      <c r="A2384" s="3">
        <v>45673.238437499997</v>
      </c>
      <c r="B2384" s="2" t="s">
        <v>33</v>
      </c>
      <c r="C2384" s="2" t="s">
        <v>11</v>
      </c>
      <c r="D2384" s="6" t="str">
        <f>CONCATENATE(YEAR(A2384),"/",IF(MONTH(A2384)&lt;10,CONCATENATE("0",MONTH(A2384)),MONTH(A2384)))</f>
        <v>2025/01</v>
      </c>
      <c r="E2384" s="8">
        <f>IF(IF(D2384&lt;&gt;D2383,1,IF(OR(B2384&lt;&gt;B2383,A2384-A2383&gt;$U$1),1,""))&lt;&gt;1,"",IF(C2384="B01",1965,IF(C2384="B02",1020,IF(C2384="B05",2400,IF(C2384="B03",4260,IF(C2384="B04",2880,IF(C2384="B20",1260,0)))))))</f>
        <v>2400</v>
      </c>
      <c r="F2384" s="8">
        <f>IF(IF(D2384&lt;&gt;D2383,1,IF(OR(B2384&lt;&gt;B2383,A2384-A2383&gt;$U$1),1,""))&lt;&gt;1,"",IF(C2384="B01",1,IF(C2384="B05",1,IF(C2384="B03",1,IF(C2384="B04",1,IF(C2384="B20",1,IF(C2384="B02",1,0)))))))</f>
        <v>1</v>
      </c>
      <c r="G2384"/>
      <c r="H2384" s="2"/>
      <c r="I2384" s="2"/>
      <c r="L2384"/>
      <c r="R2384"/>
    </row>
    <row r="2385" spans="1:18">
      <c r="A2385" s="3">
        <v>45673.238437499997</v>
      </c>
      <c r="B2385" s="2" t="s">
        <v>33</v>
      </c>
      <c r="C2385" s="2" t="s">
        <v>11</v>
      </c>
      <c r="D2385" s="6" t="str">
        <f>CONCATENATE(YEAR(A2385),"/",IF(MONTH(A2385)&lt;10,CONCATENATE("0",MONTH(A2385)),MONTH(A2385)))</f>
        <v>2025/01</v>
      </c>
      <c r="E2385" s="8" t="str">
        <f>IF(IF(D2385&lt;&gt;D2384,1,IF(OR(B2385&lt;&gt;B2384,A2385-A2384&gt;$U$1),1,""))&lt;&gt;1,"",IF(C2385="B01",1965,IF(C2385="B02",1020,IF(C2385="B05",2400,IF(C2385="B03",4260,IF(C2385="B04",2880,IF(C2385="B20",1260,0)))))))</f>
        <v/>
      </c>
      <c r="F2385" s="8" t="str">
        <f>IF(IF(D2385&lt;&gt;D2384,1,IF(OR(B2385&lt;&gt;B2384,A2385-A2384&gt;$U$1),1,""))&lt;&gt;1,"",IF(C2385="B01",1,IF(C2385="B05",1,IF(C2385="B03",1,IF(C2385="B04",1,IF(C2385="B20",1,IF(C2385="B02",1,0)))))))</f>
        <v/>
      </c>
      <c r="G2385"/>
      <c r="H2385" s="2"/>
      <c r="I2385" s="2"/>
      <c r="L2385"/>
      <c r="R2385"/>
    </row>
    <row r="2386" spans="1:18">
      <c r="A2386" s="3">
        <v>45673.495879629627</v>
      </c>
      <c r="B2386" s="2" t="s">
        <v>33</v>
      </c>
      <c r="C2386" s="2" t="s">
        <v>11</v>
      </c>
      <c r="D2386" s="6" t="str">
        <f>CONCATENATE(YEAR(A2386),"/",IF(MONTH(A2386)&lt;10,CONCATENATE("0",MONTH(A2386)),MONTH(A2386)))</f>
        <v>2025/01</v>
      </c>
      <c r="E2386" s="8">
        <f>IF(IF(D2386&lt;&gt;D2385,1,IF(OR(B2386&lt;&gt;B2385,A2386-A2385&gt;$U$1),1,""))&lt;&gt;1,"",IF(C2386="B01",1965,IF(C2386="B02",1020,IF(C2386="B05",2400,IF(C2386="B03",4260,IF(C2386="B04",2880,IF(C2386="B20",1260,0)))))))</f>
        <v>2400</v>
      </c>
      <c r="F2386" s="8">
        <f>IF(IF(D2386&lt;&gt;D2385,1,IF(OR(B2386&lt;&gt;B2385,A2386-A2385&gt;$U$1),1,""))&lt;&gt;1,"",IF(C2386="B01",1,IF(C2386="B05",1,IF(C2386="B03",1,IF(C2386="B04",1,IF(C2386="B20",1,IF(C2386="B02",1,0)))))))</f>
        <v>1</v>
      </c>
      <c r="G2386"/>
      <c r="H2386" s="2"/>
      <c r="I2386" s="2"/>
      <c r="L2386"/>
      <c r="R2386"/>
    </row>
    <row r="2387" spans="1:18">
      <c r="A2387" s="3">
        <v>45673.495879629627</v>
      </c>
      <c r="B2387" s="2" t="s">
        <v>33</v>
      </c>
      <c r="C2387" s="2" t="s">
        <v>11</v>
      </c>
      <c r="D2387" s="6" t="str">
        <f>CONCATENATE(YEAR(A2387),"/",IF(MONTH(A2387)&lt;10,CONCATENATE("0",MONTH(A2387)),MONTH(A2387)))</f>
        <v>2025/01</v>
      </c>
      <c r="E2387" s="8" t="str">
        <f>IF(IF(D2387&lt;&gt;D2386,1,IF(OR(B2387&lt;&gt;B2386,A2387-A2386&gt;$U$1),1,""))&lt;&gt;1,"",IF(C2387="B01",1965,IF(C2387="B02",1020,IF(C2387="B05",2400,IF(C2387="B03",4260,IF(C2387="B04",2880,IF(C2387="B20",1260,0)))))))</f>
        <v/>
      </c>
      <c r="F2387" s="8" t="str">
        <f>IF(IF(D2387&lt;&gt;D2386,1,IF(OR(B2387&lt;&gt;B2386,A2387-A2386&gt;$U$1),1,""))&lt;&gt;1,"",IF(C2387="B01",1,IF(C2387="B05",1,IF(C2387="B03",1,IF(C2387="B04",1,IF(C2387="B20",1,IF(C2387="B02",1,0)))))))</f>
        <v/>
      </c>
      <c r="G2387"/>
      <c r="H2387" s="2"/>
      <c r="I2387" s="2"/>
      <c r="L2387"/>
      <c r="R2387"/>
    </row>
    <row r="2388" spans="1:18">
      <c r="A2388" s="3">
        <v>45673.697546296295</v>
      </c>
      <c r="B2388" s="2" t="s">
        <v>33</v>
      </c>
      <c r="C2388" s="2" t="s">
        <v>11</v>
      </c>
      <c r="D2388" s="6" t="str">
        <f>CONCATENATE(YEAR(A2388),"/",IF(MONTH(A2388)&lt;10,CONCATENATE("0",MONTH(A2388)),MONTH(A2388)))</f>
        <v>2025/01</v>
      </c>
      <c r="E2388" s="8">
        <f>IF(IF(D2388&lt;&gt;D2387,1,IF(OR(B2388&lt;&gt;B2387,A2388-A2387&gt;$U$1),1,""))&lt;&gt;1,"",IF(C2388="B01",1965,IF(C2388="B02",1020,IF(C2388="B05",2400,IF(C2388="B03",4260,IF(C2388="B04",2880,IF(C2388="B20",1260,0)))))))</f>
        <v>2400</v>
      </c>
      <c r="F2388" s="8">
        <f>IF(IF(D2388&lt;&gt;D2387,1,IF(OR(B2388&lt;&gt;B2387,A2388-A2387&gt;$U$1),1,""))&lt;&gt;1,"",IF(C2388="B01",1,IF(C2388="B05",1,IF(C2388="B03",1,IF(C2388="B04",1,IF(C2388="B20",1,IF(C2388="B02",1,0)))))))</f>
        <v>1</v>
      </c>
      <c r="G2388"/>
      <c r="H2388" s="2"/>
      <c r="I2388" s="2"/>
      <c r="L2388"/>
      <c r="R2388"/>
    </row>
    <row r="2389" spans="1:18">
      <c r="A2389" s="3">
        <v>45673.697546296295</v>
      </c>
      <c r="B2389" s="2" t="s">
        <v>33</v>
      </c>
      <c r="C2389" s="2" t="s">
        <v>11</v>
      </c>
      <c r="D2389" s="6" t="str">
        <f>CONCATENATE(YEAR(A2389),"/",IF(MONTH(A2389)&lt;10,CONCATENATE("0",MONTH(A2389)),MONTH(A2389)))</f>
        <v>2025/01</v>
      </c>
      <c r="E2389" s="8" t="str">
        <f>IF(IF(D2389&lt;&gt;D2388,1,IF(OR(B2389&lt;&gt;B2388,A2389-A2388&gt;$U$1),1,""))&lt;&gt;1,"",IF(C2389="B01",1965,IF(C2389="B02",1020,IF(C2389="B05",2400,IF(C2389="B03",4260,IF(C2389="B04",2880,IF(C2389="B20",1260,0)))))))</f>
        <v/>
      </c>
      <c r="F2389" s="8" t="str">
        <f>IF(IF(D2389&lt;&gt;D2388,1,IF(OR(B2389&lt;&gt;B2388,A2389-A2388&gt;$U$1),1,""))&lt;&gt;1,"",IF(C2389="B01",1,IF(C2389="B05",1,IF(C2389="B03",1,IF(C2389="B04",1,IF(C2389="B20",1,IF(C2389="B02",1,0)))))))</f>
        <v/>
      </c>
      <c r="G2389"/>
      <c r="H2389" s="2"/>
      <c r="I2389" s="2"/>
      <c r="L2389"/>
      <c r="R2389"/>
    </row>
    <row r="2390" spans="1:18">
      <c r="A2390" s="3">
        <v>45673.901516203703</v>
      </c>
      <c r="B2390" s="2" t="s">
        <v>33</v>
      </c>
      <c r="C2390" s="2" t="s">
        <v>11</v>
      </c>
      <c r="D2390" s="6" t="str">
        <f>CONCATENATE(YEAR(A2390),"/",IF(MONTH(A2390)&lt;10,CONCATENATE("0",MONTH(A2390)),MONTH(A2390)))</f>
        <v>2025/01</v>
      </c>
      <c r="E2390" s="8">
        <f>IF(IF(D2390&lt;&gt;D2389,1,IF(OR(B2390&lt;&gt;B2389,A2390-A2389&gt;$U$1),1,""))&lt;&gt;1,"",IF(C2390="B01",1965,IF(C2390="B02",1020,IF(C2390="B05",2400,IF(C2390="B03",4260,IF(C2390="B04",2880,IF(C2390="B20",1260,0)))))))</f>
        <v>2400</v>
      </c>
      <c r="F2390" s="8">
        <f>IF(IF(D2390&lt;&gt;D2389,1,IF(OR(B2390&lt;&gt;B2389,A2390-A2389&gt;$U$1),1,""))&lt;&gt;1,"",IF(C2390="B01",1,IF(C2390="B05",1,IF(C2390="B03",1,IF(C2390="B04",1,IF(C2390="B20",1,IF(C2390="B02",1,0)))))))</f>
        <v>1</v>
      </c>
      <c r="G2390"/>
      <c r="H2390" s="2"/>
      <c r="I2390" s="2"/>
      <c r="L2390"/>
      <c r="R2390"/>
    </row>
    <row r="2391" spans="1:18">
      <c r="A2391" s="3">
        <v>45673.901516203703</v>
      </c>
      <c r="B2391" s="2" t="s">
        <v>33</v>
      </c>
      <c r="C2391" s="2" t="s">
        <v>11</v>
      </c>
      <c r="D2391" s="6" t="str">
        <f>CONCATENATE(YEAR(A2391),"/",IF(MONTH(A2391)&lt;10,CONCATENATE("0",MONTH(A2391)),MONTH(A2391)))</f>
        <v>2025/01</v>
      </c>
      <c r="E2391" s="8" t="str">
        <f>IF(IF(D2391&lt;&gt;D2390,1,IF(OR(B2391&lt;&gt;B2390,A2391-A2390&gt;$U$1),1,""))&lt;&gt;1,"",IF(C2391="B01",1965,IF(C2391="B02",1020,IF(C2391="B05",2400,IF(C2391="B03",4260,IF(C2391="B04",2880,IF(C2391="B20",1260,0)))))))</f>
        <v/>
      </c>
      <c r="F2391" s="8" t="str">
        <f>IF(IF(D2391&lt;&gt;D2390,1,IF(OR(B2391&lt;&gt;B2390,A2391-A2390&gt;$U$1),1,""))&lt;&gt;1,"",IF(C2391="B01",1,IF(C2391="B05",1,IF(C2391="B03",1,IF(C2391="B04",1,IF(C2391="B20",1,IF(C2391="B02",1,0)))))))</f>
        <v/>
      </c>
      <c r="G2391"/>
      <c r="H2391" s="2"/>
      <c r="I2391" s="2"/>
      <c r="L2391"/>
      <c r="R2391"/>
    </row>
    <row r="2392" spans="1:18">
      <c r="A2392" s="3">
        <v>45673.901516203703</v>
      </c>
      <c r="B2392" s="2" t="s">
        <v>33</v>
      </c>
      <c r="C2392" s="2" t="s">
        <v>11</v>
      </c>
      <c r="D2392" s="6" t="str">
        <f>CONCATENATE(YEAR(A2392),"/",IF(MONTH(A2392)&lt;10,CONCATENATE("0",MONTH(A2392)),MONTH(A2392)))</f>
        <v>2025/01</v>
      </c>
      <c r="E2392" s="8" t="str">
        <f>IF(IF(D2392&lt;&gt;D2391,1,IF(OR(B2392&lt;&gt;B2391,A2392-A2391&gt;$U$1),1,""))&lt;&gt;1,"",IF(C2392="B01",1965,IF(C2392="B02",1020,IF(C2392="B05",2400,IF(C2392="B03",4260,IF(C2392="B04",2880,IF(C2392="B20",1260,0)))))))</f>
        <v/>
      </c>
      <c r="F2392" s="8" t="str">
        <f>IF(IF(D2392&lt;&gt;D2391,1,IF(OR(B2392&lt;&gt;B2391,A2392-A2391&gt;$U$1),1,""))&lt;&gt;1,"",IF(C2392="B01",1,IF(C2392="B05",1,IF(C2392="B03",1,IF(C2392="B04",1,IF(C2392="B20",1,IF(C2392="B02",1,0)))))))</f>
        <v/>
      </c>
      <c r="G2392"/>
      <c r="H2392" s="2"/>
      <c r="I2392" s="2"/>
      <c r="L2392"/>
      <c r="R2392"/>
    </row>
    <row r="2393" spans="1:18">
      <c r="A2393" s="3">
        <v>45674.728946759256</v>
      </c>
      <c r="B2393" s="2" t="s">
        <v>33</v>
      </c>
      <c r="C2393" s="2" t="s">
        <v>11</v>
      </c>
      <c r="D2393" s="6" t="str">
        <f>CONCATENATE(YEAR(A2393),"/",IF(MONTH(A2393)&lt;10,CONCATENATE("0",MONTH(A2393)),MONTH(A2393)))</f>
        <v>2025/01</v>
      </c>
      <c r="E2393" s="8">
        <f>IF(IF(D2393&lt;&gt;D2392,1,IF(OR(B2393&lt;&gt;B2392,A2393-A2392&gt;$U$1),1,""))&lt;&gt;1,"",IF(C2393="B01",1965,IF(C2393="B02",1020,IF(C2393="B05",2400,IF(C2393="B03",4260,IF(C2393="B04",2880,IF(C2393="B20",1260,0)))))))</f>
        <v>2400</v>
      </c>
      <c r="F2393" s="8">
        <f>IF(IF(D2393&lt;&gt;D2392,1,IF(OR(B2393&lt;&gt;B2392,A2393-A2392&gt;$U$1),1,""))&lt;&gt;1,"",IF(C2393="B01",1,IF(C2393="B05",1,IF(C2393="B03",1,IF(C2393="B04",1,IF(C2393="B20",1,IF(C2393="B02",1,0)))))))</f>
        <v>1</v>
      </c>
      <c r="G2393"/>
      <c r="H2393" s="2"/>
      <c r="I2393" s="2"/>
      <c r="L2393"/>
      <c r="R2393"/>
    </row>
    <row r="2394" spans="1:18">
      <c r="A2394" s="3">
        <v>45674.728946759256</v>
      </c>
      <c r="B2394" s="2" t="s">
        <v>33</v>
      </c>
      <c r="C2394" s="2" t="s">
        <v>11</v>
      </c>
      <c r="D2394" s="6" t="str">
        <f>CONCATENATE(YEAR(A2394),"/",IF(MONTH(A2394)&lt;10,CONCATENATE("0",MONTH(A2394)),MONTH(A2394)))</f>
        <v>2025/01</v>
      </c>
      <c r="E2394" s="8" t="str">
        <f>IF(IF(D2394&lt;&gt;D2393,1,IF(OR(B2394&lt;&gt;B2393,A2394-A2393&gt;$U$1),1,""))&lt;&gt;1,"",IF(C2394="B01",1965,IF(C2394="B02",1020,IF(C2394="B05",2400,IF(C2394="B03",4260,IF(C2394="B04",2880,IF(C2394="B20",1260,0)))))))</f>
        <v/>
      </c>
      <c r="F2394" s="8" t="str">
        <f>IF(IF(D2394&lt;&gt;D2393,1,IF(OR(B2394&lt;&gt;B2393,A2394-A2393&gt;$U$1),1,""))&lt;&gt;1,"",IF(C2394="B01",1,IF(C2394="B05",1,IF(C2394="B03",1,IF(C2394="B04",1,IF(C2394="B20",1,IF(C2394="B02",1,0)))))))</f>
        <v/>
      </c>
      <c r="G2394"/>
      <c r="H2394" s="2"/>
      <c r="I2394" s="2"/>
      <c r="L2394"/>
      <c r="R2394"/>
    </row>
    <row r="2395" spans="1:18">
      <c r="A2395" s="3">
        <v>45674.728946759256</v>
      </c>
      <c r="B2395" s="2" t="s">
        <v>33</v>
      </c>
      <c r="C2395" s="2" t="s">
        <v>11</v>
      </c>
      <c r="D2395" s="6" t="str">
        <f>CONCATENATE(YEAR(A2395),"/",IF(MONTH(A2395)&lt;10,CONCATENATE("0",MONTH(A2395)),MONTH(A2395)))</f>
        <v>2025/01</v>
      </c>
      <c r="E2395" s="8" t="str">
        <f>IF(IF(D2395&lt;&gt;D2394,1,IF(OR(B2395&lt;&gt;B2394,A2395-A2394&gt;$U$1),1,""))&lt;&gt;1,"",IF(C2395="B01",1965,IF(C2395="B02",1020,IF(C2395="B05",2400,IF(C2395="B03",4260,IF(C2395="B04",2880,IF(C2395="B20",1260,0)))))))</f>
        <v/>
      </c>
      <c r="F2395" s="8" t="str">
        <f>IF(IF(D2395&lt;&gt;D2394,1,IF(OR(B2395&lt;&gt;B2394,A2395-A2394&gt;$U$1),1,""))&lt;&gt;1,"",IF(C2395="B01",1,IF(C2395="B05",1,IF(C2395="B03",1,IF(C2395="B04",1,IF(C2395="B20",1,IF(C2395="B02",1,0)))))))</f>
        <v/>
      </c>
      <c r="G2395"/>
      <c r="H2395" s="2"/>
      <c r="I2395" s="2"/>
      <c r="L2395"/>
      <c r="R2395"/>
    </row>
    <row r="2396" spans="1:18">
      <c r="A2396" s="3">
        <v>45675.005393518521</v>
      </c>
      <c r="B2396" s="2" t="s">
        <v>33</v>
      </c>
      <c r="C2396" s="2" t="s">
        <v>11</v>
      </c>
      <c r="D2396" s="6" t="str">
        <f>CONCATENATE(YEAR(A2396),"/",IF(MONTH(A2396)&lt;10,CONCATENATE("0",MONTH(A2396)),MONTH(A2396)))</f>
        <v>2025/01</v>
      </c>
      <c r="E2396" s="8">
        <f>IF(IF(D2396&lt;&gt;D2395,1,IF(OR(B2396&lt;&gt;B2395,A2396-A2395&gt;$U$1),1,""))&lt;&gt;1,"",IF(C2396="B01",1965,IF(C2396="B02",1020,IF(C2396="B05",2400,IF(C2396="B03",4260,IF(C2396="B04",2880,IF(C2396="B20",1260,0)))))))</f>
        <v>2400</v>
      </c>
      <c r="F2396" s="8">
        <f>IF(IF(D2396&lt;&gt;D2395,1,IF(OR(B2396&lt;&gt;B2395,A2396-A2395&gt;$U$1),1,""))&lt;&gt;1,"",IF(C2396="B01",1,IF(C2396="B05",1,IF(C2396="B03",1,IF(C2396="B04",1,IF(C2396="B20",1,IF(C2396="B02",1,0)))))))</f>
        <v>1</v>
      </c>
      <c r="G2396"/>
      <c r="H2396" s="2"/>
      <c r="I2396" s="2"/>
      <c r="L2396"/>
      <c r="R2396"/>
    </row>
    <row r="2397" spans="1:18">
      <c r="A2397" s="3">
        <v>45675.005393518521</v>
      </c>
      <c r="B2397" s="2" t="s">
        <v>33</v>
      </c>
      <c r="C2397" s="2" t="s">
        <v>11</v>
      </c>
      <c r="D2397" s="6" t="str">
        <f>CONCATENATE(YEAR(A2397),"/",IF(MONTH(A2397)&lt;10,CONCATENATE("0",MONTH(A2397)),MONTH(A2397)))</f>
        <v>2025/01</v>
      </c>
      <c r="E2397" s="8" t="str">
        <f>IF(IF(D2397&lt;&gt;D2396,1,IF(OR(B2397&lt;&gt;B2396,A2397-A2396&gt;$U$1),1,""))&lt;&gt;1,"",IF(C2397="B01",1965,IF(C2397="B02",1020,IF(C2397="B05",2400,IF(C2397="B03",4260,IF(C2397="B04",2880,IF(C2397="B20",1260,0)))))))</f>
        <v/>
      </c>
      <c r="F2397" s="8" t="str">
        <f>IF(IF(D2397&lt;&gt;D2396,1,IF(OR(B2397&lt;&gt;B2396,A2397-A2396&gt;$U$1),1,""))&lt;&gt;1,"",IF(C2397="B01",1,IF(C2397="B05",1,IF(C2397="B03",1,IF(C2397="B04",1,IF(C2397="B20",1,IF(C2397="B02",1,0)))))))</f>
        <v/>
      </c>
      <c r="G2397"/>
      <c r="H2397" s="2"/>
      <c r="I2397" s="2"/>
      <c r="L2397"/>
      <c r="R2397"/>
    </row>
    <row r="2398" spans="1:18">
      <c r="A2398" s="3">
        <v>45675.005393518521</v>
      </c>
      <c r="B2398" s="2" t="s">
        <v>33</v>
      </c>
      <c r="C2398" s="2" t="s">
        <v>11</v>
      </c>
      <c r="D2398" s="6" t="str">
        <f>CONCATENATE(YEAR(A2398),"/",IF(MONTH(A2398)&lt;10,CONCATENATE("0",MONTH(A2398)),MONTH(A2398)))</f>
        <v>2025/01</v>
      </c>
      <c r="E2398" s="8" t="str">
        <f>IF(IF(D2398&lt;&gt;D2397,1,IF(OR(B2398&lt;&gt;B2397,A2398-A2397&gt;$U$1),1,""))&lt;&gt;1,"",IF(C2398="B01",1965,IF(C2398="B02",1020,IF(C2398="B05",2400,IF(C2398="B03",4260,IF(C2398="B04",2880,IF(C2398="B20",1260,0)))))))</f>
        <v/>
      </c>
      <c r="F2398" s="8" t="str">
        <f>IF(IF(D2398&lt;&gt;D2397,1,IF(OR(B2398&lt;&gt;B2397,A2398-A2397&gt;$U$1),1,""))&lt;&gt;1,"",IF(C2398="B01",1,IF(C2398="B05",1,IF(C2398="B03",1,IF(C2398="B04",1,IF(C2398="B20",1,IF(C2398="B02",1,0)))))))</f>
        <v/>
      </c>
      <c r="G2398"/>
      <c r="H2398" s="2"/>
      <c r="I2398" s="2"/>
      <c r="L2398"/>
      <c r="R2398"/>
    </row>
    <row r="2399" spans="1:18">
      <c r="A2399" s="3">
        <v>45675.180115740739</v>
      </c>
      <c r="B2399" s="2" t="s">
        <v>33</v>
      </c>
      <c r="C2399" s="2" t="s">
        <v>11</v>
      </c>
      <c r="D2399" s="6" t="str">
        <f>CONCATENATE(YEAR(A2399),"/",IF(MONTH(A2399)&lt;10,CONCATENATE("0",MONTH(A2399)),MONTH(A2399)))</f>
        <v>2025/01</v>
      </c>
      <c r="E2399" s="8">
        <f>IF(IF(D2399&lt;&gt;D2398,1,IF(OR(B2399&lt;&gt;B2398,A2399-A2398&gt;$U$1),1,""))&lt;&gt;1,"",IF(C2399="B01",1965,IF(C2399="B02",1020,IF(C2399="B05",2400,IF(C2399="B03",4260,IF(C2399="B04",2880,IF(C2399="B20",1260,0)))))))</f>
        <v>2400</v>
      </c>
      <c r="F2399" s="8">
        <f>IF(IF(D2399&lt;&gt;D2398,1,IF(OR(B2399&lt;&gt;B2398,A2399-A2398&gt;$U$1),1,""))&lt;&gt;1,"",IF(C2399="B01",1,IF(C2399="B05",1,IF(C2399="B03",1,IF(C2399="B04",1,IF(C2399="B20",1,IF(C2399="B02",1,0)))))))</f>
        <v>1</v>
      </c>
      <c r="G2399"/>
      <c r="H2399" s="2"/>
      <c r="I2399" s="2"/>
      <c r="L2399"/>
      <c r="R2399"/>
    </row>
    <row r="2400" spans="1:18">
      <c r="A2400" s="3">
        <v>45675.180115740739</v>
      </c>
      <c r="B2400" s="2" t="s">
        <v>33</v>
      </c>
      <c r="C2400" s="2" t="s">
        <v>11</v>
      </c>
      <c r="D2400" s="6" t="str">
        <f>CONCATENATE(YEAR(A2400),"/",IF(MONTH(A2400)&lt;10,CONCATENATE("0",MONTH(A2400)),MONTH(A2400)))</f>
        <v>2025/01</v>
      </c>
      <c r="E2400" s="8" t="str">
        <f>IF(IF(D2400&lt;&gt;D2399,1,IF(OR(B2400&lt;&gt;B2399,A2400-A2399&gt;$U$1),1,""))&lt;&gt;1,"",IF(C2400="B01",1965,IF(C2400="B02",1020,IF(C2400="B05",2400,IF(C2400="B03",4260,IF(C2400="B04",2880,IF(C2400="B20",1260,0)))))))</f>
        <v/>
      </c>
      <c r="F2400" s="8" t="str">
        <f>IF(IF(D2400&lt;&gt;D2399,1,IF(OR(B2400&lt;&gt;B2399,A2400-A2399&gt;$U$1),1,""))&lt;&gt;1,"",IF(C2400="B01",1,IF(C2400="B05",1,IF(C2400="B03",1,IF(C2400="B04",1,IF(C2400="B20",1,IF(C2400="B02",1,0)))))))</f>
        <v/>
      </c>
      <c r="G2400"/>
      <c r="H2400" s="2"/>
      <c r="I2400" s="2"/>
      <c r="L2400"/>
      <c r="R2400"/>
    </row>
    <row r="2401" spans="1:18">
      <c r="A2401" s="3">
        <v>45679.94253472222</v>
      </c>
      <c r="B2401" s="2" t="s">
        <v>33</v>
      </c>
      <c r="C2401" s="2" t="s">
        <v>11</v>
      </c>
      <c r="D2401" s="6" t="str">
        <f>CONCATENATE(YEAR(A2401),"/",IF(MONTH(A2401)&lt;10,CONCATENATE("0",MONTH(A2401)),MONTH(A2401)))</f>
        <v>2025/01</v>
      </c>
      <c r="E2401" s="8">
        <f>IF(IF(D2401&lt;&gt;D2400,1,IF(OR(B2401&lt;&gt;B2400,A2401-A2400&gt;$U$1),1,""))&lt;&gt;1,"",IF(C2401="B01",1965,IF(C2401="B02",1020,IF(C2401="B05",2400,IF(C2401="B03",4260,IF(C2401="B04",2880,IF(C2401="B20",1260,0)))))))</f>
        <v>2400</v>
      </c>
      <c r="F2401" s="8">
        <f>IF(IF(D2401&lt;&gt;D2400,1,IF(OR(B2401&lt;&gt;B2400,A2401-A2400&gt;$U$1),1,""))&lt;&gt;1,"",IF(C2401="B01",1,IF(C2401="B05",1,IF(C2401="B03",1,IF(C2401="B04",1,IF(C2401="B20",1,IF(C2401="B02",1,0)))))))</f>
        <v>1</v>
      </c>
      <c r="G2401"/>
      <c r="H2401" s="2"/>
      <c r="I2401" s="2"/>
      <c r="L2401"/>
      <c r="R2401"/>
    </row>
    <row r="2402" spans="1:18">
      <c r="A2402" s="3">
        <v>45679.94253472222</v>
      </c>
      <c r="B2402" s="2" t="s">
        <v>33</v>
      </c>
      <c r="C2402" s="2" t="s">
        <v>11</v>
      </c>
      <c r="D2402" s="6" t="str">
        <f>CONCATENATE(YEAR(A2402),"/",IF(MONTH(A2402)&lt;10,CONCATENATE("0",MONTH(A2402)),MONTH(A2402)))</f>
        <v>2025/01</v>
      </c>
      <c r="E2402" s="8" t="str">
        <f>IF(IF(D2402&lt;&gt;D2401,1,IF(OR(B2402&lt;&gt;B2401,A2402-A2401&gt;$U$1),1,""))&lt;&gt;1,"",IF(C2402="B01",1965,IF(C2402="B02",1020,IF(C2402="B05",2400,IF(C2402="B03",4260,IF(C2402="B04",2880,IF(C2402="B20",1260,0)))))))</f>
        <v/>
      </c>
      <c r="F2402" s="8" t="str">
        <f>IF(IF(D2402&lt;&gt;D2401,1,IF(OR(B2402&lt;&gt;B2401,A2402-A2401&gt;$U$1),1,""))&lt;&gt;1,"",IF(C2402="B01",1,IF(C2402="B05",1,IF(C2402="B03",1,IF(C2402="B04",1,IF(C2402="B20",1,IF(C2402="B02",1,0)))))))</f>
        <v/>
      </c>
      <c r="G2402"/>
      <c r="H2402" s="2"/>
      <c r="I2402" s="2"/>
      <c r="L2402"/>
      <c r="R2402"/>
    </row>
    <row r="2403" spans="1:18">
      <c r="A2403" s="3">
        <v>45679.94253472222</v>
      </c>
      <c r="B2403" s="2" t="s">
        <v>33</v>
      </c>
      <c r="C2403" s="2" t="s">
        <v>11</v>
      </c>
      <c r="D2403" s="6" t="str">
        <f>CONCATENATE(YEAR(A2403),"/",IF(MONTH(A2403)&lt;10,CONCATENATE("0",MONTH(A2403)),MONTH(A2403)))</f>
        <v>2025/01</v>
      </c>
      <c r="E2403" s="8" t="str">
        <f>IF(IF(D2403&lt;&gt;D2402,1,IF(OR(B2403&lt;&gt;B2402,A2403-A2402&gt;$U$1),1,""))&lt;&gt;1,"",IF(C2403="B01",1965,IF(C2403="B02",1020,IF(C2403="B05",2400,IF(C2403="B03",4260,IF(C2403="B04",2880,IF(C2403="B20",1260,0)))))))</f>
        <v/>
      </c>
      <c r="F2403" s="8" t="str">
        <f>IF(IF(D2403&lt;&gt;D2402,1,IF(OR(B2403&lt;&gt;B2402,A2403-A2402&gt;$U$1),1,""))&lt;&gt;1,"",IF(C2403="B01",1,IF(C2403="B05",1,IF(C2403="B03",1,IF(C2403="B04",1,IF(C2403="B20",1,IF(C2403="B02",1,0)))))))</f>
        <v/>
      </c>
      <c r="G2403"/>
      <c r="H2403" s="2"/>
      <c r="I2403" s="2"/>
      <c r="L2403"/>
      <c r="R2403"/>
    </row>
    <row r="2404" spans="1:18">
      <c r="A2404" s="3">
        <v>45679.94253472222</v>
      </c>
      <c r="B2404" s="2" t="s">
        <v>33</v>
      </c>
      <c r="C2404" s="2" t="s">
        <v>11</v>
      </c>
      <c r="D2404" s="6" t="str">
        <f>CONCATENATE(YEAR(A2404),"/",IF(MONTH(A2404)&lt;10,CONCATENATE("0",MONTH(A2404)),MONTH(A2404)))</f>
        <v>2025/01</v>
      </c>
      <c r="E2404" s="8" t="str">
        <f>IF(IF(D2404&lt;&gt;D2403,1,IF(OR(B2404&lt;&gt;B2403,A2404-A2403&gt;$U$1),1,""))&lt;&gt;1,"",IF(C2404="B01",1965,IF(C2404="B02",1020,IF(C2404="B05",2400,IF(C2404="B03",4260,IF(C2404="B04",2880,IF(C2404="B20",1260,0)))))))</f>
        <v/>
      </c>
      <c r="F2404" s="8" t="str">
        <f>IF(IF(D2404&lt;&gt;D2403,1,IF(OR(B2404&lt;&gt;B2403,A2404-A2403&gt;$U$1),1,""))&lt;&gt;1,"",IF(C2404="B01",1,IF(C2404="B05",1,IF(C2404="B03",1,IF(C2404="B04",1,IF(C2404="B20",1,IF(C2404="B02",1,0)))))))</f>
        <v/>
      </c>
      <c r="G2404"/>
      <c r="H2404" s="2"/>
      <c r="I2404" s="2"/>
      <c r="L2404"/>
      <c r="R2404"/>
    </row>
    <row r="2405" spans="1:18">
      <c r="A2405" s="3">
        <v>45679.94253472222</v>
      </c>
      <c r="B2405" s="2" t="s">
        <v>33</v>
      </c>
      <c r="C2405" s="2" t="s">
        <v>11</v>
      </c>
      <c r="D2405" s="6" t="str">
        <f>CONCATENATE(YEAR(A2405),"/",IF(MONTH(A2405)&lt;10,CONCATENATE("0",MONTH(A2405)),MONTH(A2405)))</f>
        <v>2025/01</v>
      </c>
      <c r="E2405" s="8" t="str">
        <f>IF(IF(D2405&lt;&gt;D2404,1,IF(OR(B2405&lt;&gt;B2404,A2405-A2404&gt;$U$1),1,""))&lt;&gt;1,"",IF(C2405="B01",1965,IF(C2405="B02",1020,IF(C2405="B05",2400,IF(C2405="B03",4260,IF(C2405="B04",2880,IF(C2405="B20",1260,0)))))))</f>
        <v/>
      </c>
      <c r="F2405" s="8" t="str">
        <f>IF(IF(D2405&lt;&gt;D2404,1,IF(OR(B2405&lt;&gt;B2404,A2405-A2404&gt;$U$1),1,""))&lt;&gt;1,"",IF(C2405="B01",1,IF(C2405="B05",1,IF(C2405="B03",1,IF(C2405="B04",1,IF(C2405="B20",1,IF(C2405="B02",1,0)))))))</f>
        <v/>
      </c>
      <c r="G2405"/>
      <c r="H2405" s="2"/>
      <c r="I2405" s="2"/>
      <c r="L2405"/>
      <c r="R2405"/>
    </row>
    <row r="2406" spans="1:18">
      <c r="A2406" s="3">
        <v>45679.94253472222</v>
      </c>
      <c r="B2406" s="2" t="s">
        <v>33</v>
      </c>
      <c r="C2406" s="2" t="s">
        <v>11</v>
      </c>
      <c r="D2406" s="6" t="str">
        <f>CONCATENATE(YEAR(A2406),"/",IF(MONTH(A2406)&lt;10,CONCATENATE("0",MONTH(A2406)),MONTH(A2406)))</f>
        <v>2025/01</v>
      </c>
      <c r="E2406" s="8" t="str">
        <f>IF(IF(D2406&lt;&gt;D2405,1,IF(OR(B2406&lt;&gt;B2405,A2406-A2405&gt;$U$1),1,""))&lt;&gt;1,"",IF(C2406="B01",1965,IF(C2406="B02",1020,IF(C2406="B05",2400,IF(C2406="B03",4260,IF(C2406="B04",2880,IF(C2406="B20",1260,0)))))))</f>
        <v/>
      </c>
      <c r="F2406" s="8" t="str">
        <f>IF(IF(D2406&lt;&gt;D2405,1,IF(OR(B2406&lt;&gt;B2405,A2406-A2405&gt;$U$1),1,""))&lt;&gt;1,"",IF(C2406="B01",1,IF(C2406="B05",1,IF(C2406="B03",1,IF(C2406="B04",1,IF(C2406="B20",1,IF(C2406="B02",1,0)))))))</f>
        <v/>
      </c>
      <c r="G2406"/>
      <c r="H2406" s="2"/>
      <c r="I2406" s="2"/>
      <c r="L2406"/>
      <c r="R2406"/>
    </row>
    <row r="2407" spans="1:18">
      <c r="A2407" s="3">
        <v>45680.260358796295</v>
      </c>
      <c r="B2407" s="2" t="s">
        <v>33</v>
      </c>
      <c r="C2407" s="2" t="s">
        <v>11</v>
      </c>
      <c r="D2407" s="6" t="str">
        <f>CONCATENATE(YEAR(A2407),"/",IF(MONTH(A2407)&lt;10,CONCATENATE("0",MONTH(A2407)),MONTH(A2407)))</f>
        <v>2025/01</v>
      </c>
      <c r="E2407" s="8">
        <f>IF(IF(D2407&lt;&gt;D2406,1,IF(OR(B2407&lt;&gt;B2406,A2407-A2406&gt;$U$1),1,""))&lt;&gt;1,"",IF(C2407="B01",1965,IF(C2407="B02",1020,IF(C2407="B05",2400,IF(C2407="B03",4260,IF(C2407="B04",2880,IF(C2407="B20",1260,0)))))))</f>
        <v>2400</v>
      </c>
      <c r="F2407" s="8">
        <f>IF(IF(D2407&lt;&gt;D2406,1,IF(OR(B2407&lt;&gt;B2406,A2407-A2406&gt;$U$1),1,""))&lt;&gt;1,"",IF(C2407="B01",1,IF(C2407="B05",1,IF(C2407="B03",1,IF(C2407="B04",1,IF(C2407="B20",1,IF(C2407="B02",1,0)))))))</f>
        <v>1</v>
      </c>
      <c r="G2407"/>
      <c r="H2407" s="2"/>
      <c r="I2407" s="2"/>
      <c r="L2407"/>
      <c r="R2407"/>
    </row>
    <row r="2408" spans="1:18">
      <c r="A2408" s="3">
        <v>45682.107453703706</v>
      </c>
      <c r="B2408" s="2" t="s">
        <v>33</v>
      </c>
      <c r="C2408" s="2" t="s">
        <v>11</v>
      </c>
      <c r="D2408" s="6" t="str">
        <f>CONCATENATE(YEAR(A2408),"/",IF(MONTH(A2408)&lt;10,CONCATENATE("0",MONTH(A2408)),MONTH(A2408)))</f>
        <v>2025/01</v>
      </c>
      <c r="E2408" s="8">
        <f>IF(IF(D2408&lt;&gt;D2407,1,IF(OR(B2408&lt;&gt;B2407,A2408-A2407&gt;$U$1),1,""))&lt;&gt;1,"",IF(C2408="B01",1965,IF(C2408="B02",1020,IF(C2408="B05",2400,IF(C2408="B03",4260,IF(C2408="B04",2880,IF(C2408="B20",1260,0)))))))</f>
        <v>2400</v>
      </c>
      <c r="F2408" s="8">
        <f>IF(IF(D2408&lt;&gt;D2407,1,IF(OR(B2408&lt;&gt;B2407,A2408-A2407&gt;$U$1),1,""))&lt;&gt;1,"",IF(C2408="B01",1,IF(C2408="B05",1,IF(C2408="B03",1,IF(C2408="B04",1,IF(C2408="B20",1,IF(C2408="B02",1,0)))))))</f>
        <v>1</v>
      </c>
      <c r="G2408"/>
      <c r="H2408" s="2"/>
      <c r="I2408" s="2"/>
      <c r="L2408"/>
      <c r="R2408"/>
    </row>
    <row r="2409" spans="1:18">
      <c r="A2409" s="3">
        <v>45682.107453703706</v>
      </c>
      <c r="B2409" s="2" t="s">
        <v>33</v>
      </c>
      <c r="C2409" s="2" t="s">
        <v>11</v>
      </c>
      <c r="D2409" s="6" t="str">
        <f>CONCATENATE(YEAR(A2409),"/",IF(MONTH(A2409)&lt;10,CONCATENATE("0",MONTH(A2409)),MONTH(A2409)))</f>
        <v>2025/01</v>
      </c>
      <c r="E2409" s="8" t="str">
        <f>IF(IF(D2409&lt;&gt;D2408,1,IF(OR(B2409&lt;&gt;B2408,A2409-A2408&gt;$U$1),1,""))&lt;&gt;1,"",IF(C2409="B01",1965,IF(C2409="B02",1020,IF(C2409="B05",2400,IF(C2409="B03",4260,IF(C2409="B04",2880,IF(C2409="B20",1260,0)))))))</f>
        <v/>
      </c>
      <c r="F2409" s="8" t="str">
        <f>IF(IF(D2409&lt;&gt;D2408,1,IF(OR(B2409&lt;&gt;B2408,A2409-A2408&gt;$U$1),1,""))&lt;&gt;1,"",IF(C2409="B01",1,IF(C2409="B05",1,IF(C2409="B03",1,IF(C2409="B04",1,IF(C2409="B20",1,IF(C2409="B02",1,0)))))))</f>
        <v/>
      </c>
      <c r="G2409"/>
      <c r="H2409" s="2"/>
      <c r="I2409" s="2"/>
      <c r="L2409"/>
      <c r="R2409"/>
    </row>
    <row r="2410" spans="1:18">
      <c r="A2410" s="3">
        <v>45682.488275462965</v>
      </c>
      <c r="B2410" s="2" t="s">
        <v>33</v>
      </c>
      <c r="C2410" s="2" t="s">
        <v>11</v>
      </c>
      <c r="D2410" s="6" t="str">
        <f>CONCATENATE(YEAR(A2410),"/",IF(MONTH(A2410)&lt;10,CONCATENATE("0",MONTH(A2410)),MONTH(A2410)))</f>
        <v>2025/01</v>
      </c>
      <c r="E2410" s="8">
        <f>IF(IF(D2410&lt;&gt;D2409,1,IF(OR(B2410&lt;&gt;B2409,A2410-A2409&gt;$U$1),1,""))&lt;&gt;1,"",IF(C2410="B01",1965,IF(C2410="B02",1020,IF(C2410="B05",2400,IF(C2410="B03",4260,IF(C2410="B04",2880,IF(C2410="B20",1260,0)))))))</f>
        <v>2400</v>
      </c>
      <c r="F2410" s="8">
        <f>IF(IF(D2410&lt;&gt;D2409,1,IF(OR(B2410&lt;&gt;B2409,A2410-A2409&gt;$U$1),1,""))&lt;&gt;1,"",IF(C2410="B01",1,IF(C2410="B05",1,IF(C2410="B03",1,IF(C2410="B04",1,IF(C2410="B20",1,IF(C2410="B02",1,0)))))))</f>
        <v>1</v>
      </c>
      <c r="G2410"/>
      <c r="H2410" s="2"/>
      <c r="I2410" s="2"/>
      <c r="L2410"/>
      <c r="R2410"/>
    </row>
    <row r="2411" spans="1:18">
      <c r="A2411" s="3">
        <v>45682.488275462965</v>
      </c>
      <c r="B2411" s="2" t="s">
        <v>33</v>
      </c>
      <c r="C2411" s="2" t="s">
        <v>11</v>
      </c>
      <c r="D2411" s="6" t="str">
        <f>CONCATENATE(YEAR(A2411),"/",IF(MONTH(A2411)&lt;10,CONCATENATE("0",MONTH(A2411)),MONTH(A2411)))</f>
        <v>2025/01</v>
      </c>
      <c r="E2411" s="8" t="str">
        <f>IF(IF(D2411&lt;&gt;D2410,1,IF(OR(B2411&lt;&gt;B2410,A2411-A2410&gt;$U$1),1,""))&lt;&gt;1,"",IF(C2411="B01",1965,IF(C2411="B02",1020,IF(C2411="B05",2400,IF(C2411="B03",4260,IF(C2411="B04",2880,IF(C2411="B20",1260,0)))))))</f>
        <v/>
      </c>
      <c r="F2411" s="8" t="str">
        <f>IF(IF(D2411&lt;&gt;D2410,1,IF(OR(B2411&lt;&gt;B2410,A2411-A2410&gt;$U$1),1,""))&lt;&gt;1,"",IF(C2411="B01",1,IF(C2411="B05",1,IF(C2411="B03",1,IF(C2411="B04",1,IF(C2411="B20",1,IF(C2411="B02",1,0)))))))</f>
        <v/>
      </c>
      <c r="G2411"/>
      <c r="H2411" s="2"/>
      <c r="I2411" s="2"/>
      <c r="L2411"/>
      <c r="R2411"/>
    </row>
    <row r="2412" spans="1:18">
      <c r="A2412" s="3">
        <v>45682.488275462965</v>
      </c>
      <c r="B2412" s="2" t="s">
        <v>33</v>
      </c>
      <c r="C2412" s="2" t="s">
        <v>11</v>
      </c>
      <c r="D2412" s="6" t="str">
        <f>CONCATENATE(YEAR(A2412),"/",IF(MONTH(A2412)&lt;10,CONCATENATE("0",MONTH(A2412)),MONTH(A2412)))</f>
        <v>2025/01</v>
      </c>
      <c r="E2412" s="8" t="str">
        <f>IF(IF(D2412&lt;&gt;D2411,1,IF(OR(B2412&lt;&gt;B2411,A2412-A2411&gt;$U$1),1,""))&lt;&gt;1,"",IF(C2412="B01",1965,IF(C2412="B02",1020,IF(C2412="B05",2400,IF(C2412="B03",4260,IF(C2412="B04",2880,IF(C2412="B20",1260,0)))))))</f>
        <v/>
      </c>
      <c r="F2412" s="8" t="str">
        <f>IF(IF(D2412&lt;&gt;D2411,1,IF(OR(B2412&lt;&gt;B2411,A2412-A2411&gt;$U$1),1,""))&lt;&gt;1,"",IF(C2412="B01",1,IF(C2412="B05",1,IF(C2412="B03",1,IF(C2412="B04",1,IF(C2412="B20",1,IF(C2412="B02",1,0)))))))</f>
        <v/>
      </c>
      <c r="G2412"/>
      <c r="H2412" s="2"/>
      <c r="I2412" s="2"/>
      <c r="L2412"/>
      <c r="R2412"/>
    </row>
    <row r="2413" spans="1:18">
      <c r="A2413" s="3">
        <v>45682.737164351849</v>
      </c>
      <c r="B2413" s="2" t="s">
        <v>33</v>
      </c>
      <c r="C2413" s="2" t="s">
        <v>11</v>
      </c>
      <c r="D2413" s="6" t="str">
        <f>CONCATENATE(YEAR(A2413),"/",IF(MONTH(A2413)&lt;10,CONCATENATE("0",MONTH(A2413)),MONTH(A2413)))</f>
        <v>2025/01</v>
      </c>
      <c r="E2413" s="8">
        <f>IF(IF(D2413&lt;&gt;D2412,1,IF(OR(B2413&lt;&gt;B2412,A2413-A2412&gt;$U$1),1,""))&lt;&gt;1,"",IF(C2413="B01",1965,IF(C2413="B02",1020,IF(C2413="B05",2400,IF(C2413="B03",4260,IF(C2413="B04",2880,IF(C2413="B20",1260,0)))))))</f>
        <v>2400</v>
      </c>
      <c r="F2413" s="8">
        <f>IF(IF(D2413&lt;&gt;D2412,1,IF(OR(B2413&lt;&gt;B2412,A2413-A2412&gt;$U$1),1,""))&lt;&gt;1,"",IF(C2413="B01",1,IF(C2413="B05",1,IF(C2413="B03",1,IF(C2413="B04",1,IF(C2413="B20",1,IF(C2413="B02",1,0)))))))</f>
        <v>1</v>
      </c>
      <c r="G2413"/>
      <c r="H2413" s="2"/>
      <c r="I2413" s="2"/>
      <c r="L2413"/>
      <c r="R2413"/>
    </row>
    <row r="2414" spans="1:18">
      <c r="A2414" s="3">
        <v>45682.737164351849</v>
      </c>
      <c r="B2414" s="2" t="s">
        <v>33</v>
      </c>
      <c r="C2414" s="2" t="s">
        <v>11</v>
      </c>
      <c r="D2414" s="6" t="str">
        <f>CONCATENATE(YEAR(A2414),"/",IF(MONTH(A2414)&lt;10,CONCATENATE("0",MONTH(A2414)),MONTH(A2414)))</f>
        <v>2025/01</v>
      </c>
      <c r="E2414" s="8" t="str">
        <f>IF(IF(D2414&lt;&gt;D2413,1,IF(OR(B2414&lt;&gt;B2413,A2414-A2413&gt;$U$1),1,""))&lt;&gt;1,"",IF(C2414="B01",1965,IF(C2414="B02",1020,IF(C2414="B05",2400,IF(C2414="B03",4260,IF(C2414="B04",2880,IF(C2414="B20",1260,0)))))))</f>
        <v/>
      </c>
      <c r="F2414" s="8" t="str">
        <f>IF(IF(D2414&lt;&gt;D2413,1,IF(OR(B2414&lt;&gt;B2413,A2414-A2413&gt;$U$1),1,""))&lt;&gt;1,"",IF(C2414="B01",1,IF(C2414="B05",1,IF(C2414="B03",1,IF(C2414="B04",1,IF(C2414="B20",1,IF(C2414="B02",1,0)))))))</f>
        <v/>
      </c>
      <c r="G2414"/>
      <c r="H2414" s="2"/>
      <c r="I2414" s="2"/>
      <c r="L2414"/>
      <c r="R2414"/>
    </row>
    <row r="2415" spans="1:18">
      <c r="A2415" s="3">
        <v>45682.886064814818</v>
      </c>
      <c r="B2415" s="2" t="s">
        <v>33</v>
      </c>
      <c r="C2415" s="2" t="s">
        <v>36</v>
      </c>
      <c r="D2415" s="6" t="str">
        <f>CONCATENATE(YEAR(A2415),"/",IF(MONTH(A2415)&lt;10,CONCATENATE("0",MONTH(A2415)),MONTH(A2415)))</f>
        <v>2025/01</v>
      </c>
      <c r="E2415" s="8">
        <f>IF(IF(D2415&lt;&gt;D2414,1,IF(OR(B2415&lt;&gt;B2414,A2415-A2414&gt;$U$1),1,""))&lt;&gt;1,"",IF(C2415="B01",1965,IF(C2415="B02",1020,IF(C2415="B05",2400,IF(C2415="B03",4260,IF(C2415="B04",2880,IF(C2415="B20",1260,0)))))))</f>
        <v>0</v>
      </c>
      <c r="F2415" s="8">
        <f>IF(IF(D2415&lt;&gt;D2414,1,IF(OR(B2415&lt;&gt;B2414,A2415-A2414&gt;$U$1),1,""))&lt;&gt;1,"",IF(C2415="B01",1,IF(C2415="B05",1,IF(C2415="B03",1,IF(C2415="B04",1,IF(C2415="B20",1,IF(C2415="B02",1,0)))))))</f>
        <v>0</v>
      </c>
      <c r="G2415"/>
      <c r="H2415" s="2"/>
      <c r="I2415" s="2"/>
      <c r="L2415"/>
      <c r="R2415"/>
    </row>
    <row r="2416" spans="1:18">
      <c r="A2416" s="3">
        <v>45682.886064814818</v>
      </c>
      <c r="B2416" s="2" t="s">
        <v>33</v>
      </c>
      <c r="C2416" s="2" t="s">
        <v>11</v>
      </c>
      <c r="D2416" s="6" t="str">
        <f>CONCATENATE(YEAR(A2416),"/",IF(MONTH(A2416)&lt;10,CONCATENATE("0",MONTH(A2416)),MONTH(A2416)))</f>
        <v>2025/01</v>
      </c>
      <c r="E2416" s="8" t="str">
        <f>IF(IF(D2416&lt;&gt;D2415,1,IF(OR(B2416&lt;&gt;B2415,A2416-A2415&gt;$U$1),1,""))&lt;&gt;1,"",IF(C2416="B01",1965,IF(C2416="B02",1020,IF(C2416="B05",2400,IF(C2416="B03",4260,IF(C2416="B04",2880,IF(C2416="B20",1260,0)))))))</f>
        <v/>
      </c>
      <c r="F2416" s="8" t="str">
        <f>IF(IF(D2416&lt;&gt;D2415,1,IF(OR(B2416&lt;&gt;B2415,A2416-A2415&gt;$U$1),1,""))&lt;&gt;1,"",IF(C2416="B01",1,IF(C2416="B05",1,IF(C2416="B03",1,IF(C2416="B04",1,IF(C2416="B20",1,IF(C2416="B02",1,0)))))))</f>
        <v/>
      </c>
      <c r="G2416"/>
      <c r="H2416" s="2"/>
      <c r="I2416" s="2"/>
      <c r="L2416"/>
      <c r="R2416"/>
    </row>
    <row r="2417" spans="1:18">
      <c r="A2417" s="3">
        <v>45682.886064814818</v>
      </c>
      <c r="B2417" s="2" t="s">
        <v>33</v>
      </c>
      <c r="C2417" s="2" t="s">
        <v>11</v>
      </c>
      <c r="D2417" s="6" t="str">
        <f>CONCATENATE(YEAR(A2417),"/",IF(MONTH(A2417)&lt;10,CONCATENATE("0",MONTH(A2417)),MONTH(A2417)))</f>
        <v>2025/01</v>
      </c>
      <c r="E2417" s="8" t="str">
        <f>IF(IF(D2417&lt;&gt;D2416,1,IF(OR(B2417&lt;&gt;B2416,A2417-A2416&gt;$U$1),1,""))&lt;&gt;1,"",IF(C2417="B01",1965,IF(C2417="B02",1020,IF(C2417="B05",2400,IF(C2417="B03",4260,IF(C2417="B04",2880,IF(C2417="B20",1260,0)))))))</f>
        <v/>
      </c>
      <c r="F2417" s="8" t="str">
        <f>IF(IF(D2417&lt;&gt;D2416,1,IF(OR(B2417&lt;&gt;B2416,A2417-A2416&gt;$U$1),1,""))&lt;&gt;1,"",IF(C2417="B01",1,IF(C2417="B05",1,IF(C2417="B03",1,IF(C2417="B04",1,IF(C2417="B20",1,IF(C2417="B02",1,0)))))))</f>
        <v/>
      </c>
      <c r="G2417"/>
      <c r="H2417" s="2"/>
      <c r="I2417" s="2"/>
      <c r="L2417"/>
      <c r="R2417"/>
    </row>
    <row r="2418" spans="1:18">
      <c r="A2418" s="3">
        <v>45682.921956018516</v>
      </c>
      <c r="B2418" s="2" t="s">
        <v>33</v>
      </c>
      <c r="C2418" s="2" t="s">
        <v>11</v>
      </c>
      <c r="D2418" s="6" t="str">
        <f>CONCATENATE(YEAR(A2418),"/",IF(MONTH(A2418)&lt;10,CONCATENATE("0",MONTH(A2418)),MONTH(A2418)))</f>
        <v>2025/01</v>
      </c>
      <c r="E2418" s="8">
        <f>IF(IF(D2418&lt;&gt;D2417,1,IF(OR(B2418&lt;&gt;B2417,A2418-A2417&gt;$U$1),1,""))&lt;&gt;1,"",IF(C2418="B01",1965,IF(C2418="B02",1020,IF(C2418="B05",2400,IF(C2418="B03",4260,IF(C2418="B04",2880,IF(C2418="B20",1260,0)))))))</f>
        <v>2400</v>
      </c>
      <c r="F2418" s="8">
        <f>IF(IF(D2418&lt;&gt;D2417,1,IF(OR(B2418&lt;&gt;B2417,A2418-A2417&gt;$U$1),1,""))&lt;&gt;1,"",IF(C2418="B01",1,IF(C2418="B05",1,IF(C2418="B03",1,IF(C2418="B04",1,IF(C2418="B20",1,IF(C2418="B02",1,0)))))))</f>
        <v>1</v>
      </c>
      <c r="G2418"/>
      <c r="H2418" s="2"/>
      <c r="I2418" s="2"/>
      <c r="L2418"/>
      <c r="R2418"/>
    </row>
    <row r="2419" spans="1:18">
      <c r="A2419" s="3">
        <v>45683.771886574075</v>
      </c>
      <c r="B2419" s="2" t="s">
        <v>33</v>
      </c>
      <c r="C2419" s="2" t="s">
        <v>11</v>
      </c>
      <c r="D2419" s="6" t="str">
        <f>CONCATENATE(YEAR(A2419),"/",IF(MONTH(A2419)&lt;10,CONCATENATE("0",MONTH(A2419)),MONTH(A2419)))</f>
        <v>2025/01</v>
      </c>
      <c r="E2419" s="8">
        <f>IF(IF(D2419&lt;&gt;D2418,1,IF(OR(B2419&lt;&gt;B2418,A2419-A2418&gt;$U$1),1,""))&lt;&gt;1,"",IF(C2419="B01",1965,IF(C2419="B02",1020,IF(C2419="B05",2400,IF(C2419="B03",4260,IF(C2419="B04",2880,IF(C2419="B20",1260,0)))))))</f>
        <v>2400</v>
      </c>
      <c r="F2419" s="8">
        <f>IF(IF(D2419&lt;&gt;D2418,1,IF(OR(B2419&lt;&gt;B2418,A2419-A2418&gt;$U$1),1,""))&lt;&gt;1,"",IF(C2419="B01",1,IF(C2419="B05",1,IF(C2419="B03",1,IF(C2419="B04",1,IF(C2419="B20",1,IF(C2419="B02",1,0)))))))</f>
        <v>1</v>
      </c>
      <c r="G2419"/>
      <c r="H2419" s="2"/>
      <c r="I2419" s="2"/>
      <c r="L2419"/>
      <c r="R2419"/>
    </row>
    <row r="2420" spans="1:18">
      <c r="A2420" s="3">
        <v>45683.771886574075</v>
      </c>
      <c r="B2420" s="2" t="s">
        <v>33</v>
      </c>
      <c r="C2420" s="2" t="s">
        <v>11</v>
      </c>
      <c r="D2420" s="6" t="str">
        <f>CONCATENATE(YEAR(A2420),"/",IF(MONTH(A2420)&lt;10,CONCATENATE("0",MONTH(A2420)),MONTH(A2420)))</f>
        <v>2025/01</v>
      </c>
      <c r="E2420" s="8" t="str">
        <f>IF(IF(D2420&lt;&gt;D2419,1,IF(OR(B2420&lt;&gt;B2419,A2420-A2419&gt;$U$1),1,""))&lt;&gt;1,"",IF(C2420="B01",1965,IF(C2420="B02",1020,IF(C2420="B05",2400,IF(C2420="B03",4260,IF(C2420="B04",2880,IF(C2420="B20",1260,0)))))))</f>
        <v/>
      </c>
      <c r="F2420" s="8" t="str">
        <f>IF(IF(D2420&lt;&gt;D2419,1,IF(OR(B2420&lt;&gt;B2419,A2420-A2419&gt;$U$1),1,""))&lt;&gt;1,"",IF(C2420="B01",1,IF(C2420="B05",1,IF(C2420="B03",1,IF(C2420="B04",1,IF(C2420="B20",1,IF(C2420="B02",1,0)))))))</f>
        <v/>
      </c>
      <c r="G2420"/>
      <c r="H2420" s="2"/>
      <c r="I2420" s="2"/>
      <c r="L2420"/>
      <c r="R2420"/>
    </row>
    <row r="2421" spans="1:18">
      <c r="A2421" s="3">
        <v>45683.894375000003</v>
      </c>
      <c r="B2421" s="2" t="s">
        <v>33</v>
      </c>
      <c r="C2421" s="2" t="s">
        <v>11</v>
      </c>
      <c r="D2421" s="6" t="str">
        <f>CONCATENATE(YEAR(A2421),"/",IF(MONTH(A2421)&lt;10,CONCATENATE("0",MONTH(A2421)),MONTH(A2421)))</f>
        <v>2025/01</v>
      </c>
      <c r="E2421" s="8">
        <f>IF(IF(D2421&lt;&gt;D2420,1,IF(OR(B2421&lt;&gt;B2420,A2421-A2420&gt;$U$1),1,""))&lt;&gt;1,"",IF(C2421="B01",1965,IF(C2421="B02",1020,IF(C2421="B05",2400,IF(C2421="B03",4260,IF(C2421="B04",2880,IF(C2421="B20",1260,0)))))))</f>
        <v>2400</v>
      </c>
      <c r="F2421" s="8">
        <f>IF(IF(D2421&lt;&gt;D2420,1,IF(OR(B2421&lt;&gt;B2420,A2421-A2420&gt;$U$1),1,""))&lt;&gt;1,"",IF(C2421="B01",1,IF(C2421="B05",1,IF(C2421="B03",1,IF(C2421="B04",1,IF(C2421="B20",1,IF(C2421="B02",1,0)))))))</f>
        <v>1</v>
      </c>
      <c r="G2421"/>
      <c r="H2421" s="2"/>
      <c r="I2421" s="2"/>
      <c r="L2421"/>
      <c r="R2421"/>
    </row>
    <row r="2422" spans="1:18">
      <c r="A2422" s="3">
        <v>45683.894375000003</v>
      </c>
      <c r="B2422" s="2" t="s">
        <v>33</v>
      </c>
      <c r="C2422" s="2" t="s">
        <v>11</v>
      </c>
      <c r="D2422" s="6" t="str">
        <f>CONCATENATE(YEAR(A2422),"/",IF(MONTH(A2422)&lt;10,CONCATENATE("0",MONTH(A2422)),MONTH(A2422)))</f>
        <v>2025/01</v>
      </c>
      <c r="E2422" s="8" t="str">
        <f>IF(IF(D2422&lt;&gt;D2421,1,IF(OR(B2422&lt;&gt;B2421,A2422-A2421&gt;$U$1),1,""))&lt;&gt;1,"",IF(C2422="B01",1965,IF(C2422="B02",1020,IF(C2422="B05",2400,IF(C2422="B03",4260,IF(C2422="B04",2880,IF(C2422="B20",1260,0)))))))</f>
        <v/>
      </c>
      <c r="F2422" s="8" t="str">
        <f>IF(IF(D2422&lt;&gt;D2421,1,IF(OR(B2422&lt;&gt;B2421,A2422-A2421&gt;$U$1),1,""))&lt;&gt;1,"",IF(C2422="B01",1,IF(C2422="B05",1,IF(C2422="B03",1,IF(C2422="B04",1,IF(C2422="B20",1,IF(C2422="B02",1,0)))))))</f>
        <v/>
      </c>
      <c r="G2422"/>
      <c r="H2422" s="2"/>
      <c r="I2422" s="2"/>
      <c r="L2422"/>
      <c r="R2422"/>
    </row>
    <row r="2423" spans="1:18">
      <c r="A2423" s="3">
        <v>45684.220810185187</v>
      </c>
      <c r="B2423" s="2" t="s">
        <v>33</v>
      </c>
      <c r="C2423" s="2" t="s">
        <v>34</v>
      </c>
      <c r="D2423" s="6" t="str">
        <f>CONCATENATE(YEAR(A2423),"/",IF(MONTH(A2423)&lt;10,CONCATENATE("0",MONTH(A2423)),MONTH(A2423)))</f>
        <v>2025/01</v>
      </c>
      <c r="E2423" s="8">
        <f>IF(IF(D2423&lt;&gt;D2422,1,IF(OR(B2423&lt;&gt;B2422,A2423-A2422&gt;$U$1),1,""))&lt;&gt;1,"",IF(C2423="B01",1965,IF(C2423="B02",1020,IF(C2423="B05",2400,IF(C2423="B03",4260,IF(C2423="B04",2880,IF(C2423="B20",1260,0)))))))</f>
        <v>1965</v>
      </c>
      <c r="F2423" s="8">
        <f>IF(IF(D2423&lt;&gt;D2422,1,IF(OR(B2423&lt;&gt;B2422,A2423-A2422&gt;$U$1),1,""))&lt;&gt;1,"",IF(C2423="B01",1,IF(C2423="B05",1,IF(C2423="B03",1,IF(C2423="B04",1,IF(C2423="B20",1,IF(C2423="B02",1,0)))))))</f>
        <v>1</v>
      </c>
      <c r="G2423"/>
      <c r="H2423" s="2"/>
      <c r="I2423" s="2"/>
      <c r="L2423"/>
      <c r="R2423"/>
    </row>
    <row r="2424" spans="1:18">
      <c r="A2424" s="3">
        <v>45684.220810185187</v>
      </c>
      <c r="B2424" s="2" t="s">
        <v>33</v>
      </c>
      <c r="C2424" s="2" t="s">
        <v>34</v>
      </c>
      <c r="D2424" s="6" t="str">
        <f>CONCATENATE(YEAR(A2424),"/",IF(MONTH(A2424)&lt;10,CONCATENATE("0",MONTH(A2424)),MONTH(A2424)))</f>
        <v>2025/01</v>
      </c>
      <c r="E2424" s="8" t="str">
        <f>IF(IF(D2424&lt;&gt;D2423,1,IF(OR(B2424&lt;&gt;B2423,A2424-A2423&gt;$U$1),1,""))&lt;&gt;1,"",IF(C2424="B01",1965,IF(C2424="B02",1020,IF(C2424="B05",2400,IF(C2424="B03",4260,IF(C2424="B04",2880,IF(C2424="B20",1260,0)))))))</f>
        <v/>
      </c>
      <c r="F2424" s="8" t="str">
        <f>IF(IF(D2424&lt;&gt;D2423,1,IF(OR(B2424&lt;&gt;B2423,A2424-A2423&gt;$U$1),1,""))&lt;&gt;1,"",IF(C2424="B01",1,IF(C2424="B05",1,IF(C2424="B03",1,IF(C2424="B04",1,IF(C2424="B20",1,IF(C2424="B02",1,0)))))))</f>
        <v/>
      </c>
      <c r="G2424"/>
      <c r="H2424" s="2"/>
      <c r="I2424" s="2"/>
      <c r="L2424"/>
      <c r="R2424"/>
    </row>
    <row r="2425" spans="1:18">
      <c r="A2425" s="3">
        <v>45684.37672453704</v>
      </c>
      <c r="B2425" s="2" t="s">
        <v>33</v>
      </c>
      <c r="C2425" s="2" t="s">
        <v>11</v>
      </c>
      <c r="D2425" s="6" t="str">
        <f>CONCATENATE(YEAR(A2425),"/",IF(MONTH(A2425)&lt;10,CONCATENATE("0",MONTH(A2425)),MONTH(A2425)))</f>
        <v>2025/01</v>
      </c>
      <c r="E2425" s="8">
        <f>IF(IF(D2425&lt;&gt;D2424,1,IF(OR(B2425&lt;&gt;B2424,A2425-A2424&gt;$U$1),1,""))&lt;&gt;1,"",IF(C2425="B01",1965,IF(C2425="B02",1020,IF(C2425="B05",2400,IF(C2425="B03",4260,IF(C2425="B04",2880,IF(C2425="B20",1260,0)))))))</f>
        <v>2400</v>
      </c>
      <c r="F2425" s="8">
        <f>IF(IF(D2425&lt;&gt;D2424,1,IF(OR(B2425&lt;&gt;B2424,A2425-A2424&gt;$U$1),1,""))&lt;&gt;1,"",IF(C2425="B01",1,IF(C2425="B05",1,IF(C2425="B03",1,IF(C2425="B04",1,IF(C2425="B20",1,IF(C2425="B02",1,0)))))))</f>
        <v>1</v>
      </c>
      <c r="G2425"/>
      <c r="H2425" s="2"/>
      <c r="I2425" s="2"/>
      <c r="L2425"/>
      <c r="R2425"/>
    </row>
    <row r="2426" spans="1:18">
      <c r="A2426" s="3">
        <v>45684.37672453704</v>
      </c>
      <c r="B2426" s="2" t="s">
        <v>33</v>
      </c>
      <c r="C2426" s="2" t="s">
        <v>11</v>
      </c>
      <c r="D2426" s="6" t="str">
        <f>CONCATENATE(YEAR(A2426),"/",IF(MONTH(A2426)&lt;10,CONCATENATE("0",MONTH(A2426)),MONTH(A2426)))</f>
        <v>2025/01</v>
      </c>
      <c r="E2426" s="8" t="str">
        <f>IF(IF(D2426&lt;&gt;D2425,1,IF(OR(B2426&lt;&gt;B2425,A2426-A2425&gt;$U$1),1,""))&lt;&gt;1,"",IF(C2426="B01",1965,IF(C2426="B02",1020,IF(C2426="B05",2400,IF(C2426="B03",4260,IF(C2426="B04",2880,IF(C2426="B20",1260,0)))))))</f>
        <v/>
      </c>
      <c r="F2426" s="8" t="str">
        <f>IF(IF(D2426&lt;&gt;D2425,1,IF(OR(B2426&lt;&gt;B2425,A2426-A2425&gt;$U$1),1,""))&lt;&gt;1,"",IF(C2426="B01",1,IF(C2426="B05",1,IF(C2426="B03",1,IF(C2426="B04",1,IF(C2426="B20",1,IF(C2426="B02",1,0)))))))</f>
        <v/>
      </c>
      <c r="G2426"/>
      <c r="H2426" s="2"/>
      <c r="I2426" s="2"/>
      <c r="L2426"/>
      <c r="R2426"/>
    </row>
    <row r="2427" spans="1:18">
      <c r="A2427" s="3">
        <v>45684.563391203701</v>
      </c>
      <c r="B2427" s="2" t="s">
        <v>33</v>
      </c>
      <c r="C2427" s="2" t="s">
        <v>11</v>
      </c>
      <c r="D2427" s="6" t="str">
        <f>CONCATENATE(YEAR(A2427),"/",IF(MONTH(A2427)&lt;10,CONCATENATE("0",MONTH(A2427)),MONTH(A2427)))</f>
        <v>2025/01</v>
      </c>
      <c r="E2427" s="8">
        <f>IF(IF(D2427&lt;&gt;D2426,1,IF(OR(B2427&lt;&gt;B2426,A2427-A2426&gt;$U$1),1,""))&lt;&gt;1,"",IF(C2427="B01",1965,IF(C2427="B02",1020,IF(C2427="B05",2400,IF(C2427="B03",4260,IF(C2427="B04",2880,IF(C2427="B20",1260,0)))))))</f>
        <v>2400</v>
      </c>
      <c r="F2427" s="8">
        <f>IF(IF(D2427&lt;&gt;D2426,1,IF(OR(B2427&lt;&gt;B2426,A2427-A2426&gt;$U$1),1,""))&lt;&gt;1,"",IF(C2427="B01",1,IF(C2427="B05",1,IF(C2427="B03",1,IF(C2427="B04",1,IF(C2427="B20",1,IF(C2427="B02",1,0)))))))</f>
        <v>1</v>
      </c>
      <c r="G2427"/>
      <c r="H2427" s="2"/>
      <c r="I2427" s="2"/>
      <c r="L2427"/>
      <c r="R2427"/>
    </row>
    <row r="2428" spans="1:18">
      <c r="A2428" s="3">
        <v>45684.563391203701</v>
      </c>
      <c r="B2428" s="2" t="s">
        <v>33</v>
      </c>
      <c r="C2428" s="2" t="s">
        <v>11</v>
      </c>
      <c r="D2428" s="6" t="str">
        <f>CONCATENATE(YEAR(A2428),"/",IF(MONTH(A2428)&lt;10,CONCATENATE("0",MONTH(A2428)),MONTH(A2428)))</f>
        <v>2025/01</v>
      </c>
      <c r="E2428" s="8" t="str">
        <f>IF(IF(D2428&lt;&gt;D2427,1,IF(OR(B2428&lt;&gt;B2427,A2428-A2427&gt;$U$1),1,""))&lt;&gt;1,"",IF(C2428="B01",1965,IF(C2428="B02",1020,IF(C2428="B05",2400,IF(C2428="B03",4260,IF(C2428="B04",2880,IF(C2428="B20",1260,0)))))))</f>
        <v/>
      </c>
      <c r="F2428" s="8" t="str">
        <f>IF(IF(D2428&lt;&gt;D2427,1,IF(OR(B2428&lt;&gt;B2427,A2428-A2427&gt;$U$1),1,""))&lt;&gt;1,"",IF(C2428="B01",1,IF(C2428="B05",1,IF(C2428="B03",1,IF(C2428="B04",1,IF(C2428="B20",1,IF(C2428="B02",1,0)))))))</f>
        <v/>
      </c>
      <c r="G2428"/>
      <c r="H2428" s="2"/>
      <c r="I2428" s="2"/>
      <c r="L2428"/>
      <c r="R2428"/>
    </row>
    <row r="2429" spans="1:18">
      <c r="A2429" s="3">
        <v>45684.563391203701</v>
      </c>
      <c r="B2429" s="2" t="s">
        <v>33</v>
      </c>
      <c r="C2429" s="2" t="s">
        <v>11</v>
      </c>
      <c r="D2429" s="6" t="str">
        <f>CONCATENATE(YEAR(A2429),"/",IF(MONTH(A2429)&lt;10,CONCATENATE("0",MONTH(A2429)),MONTH(A2429)))</f>
        <v>2025/01</v>
      </c>
      <c r="E2429" s="8" t="str">
        <f>IF(IF(D2429&lt;&gt;D2428,1,IF(OR(B2429&lt;&gt;B2428,A2429-A2428&gt;$U$1),1,""))&lt;&gt;1,"",IF(C2429="B01",1965,IF(C2429="B02",1020,IF(C2429="B05",2400,IF(C2429="B03",4260,IF(C2429="B04",2880,IF(C2429="B20",1260,0)))))))</f>
        <v/>
      </c>
      <c r="F2429" s="8" t="str">
        <f>IF(IF(D2429&lt;&gt;D2428,1,IF(OR(B2429&lt;&gt;B2428,A2429-A2428&gt;$U$1),1,""))&lt;&gt;1,"",IF(C2429="B01",1,IF(C2429="B05",1,IF(C2429="B03",1,IF(C2429="B04",1,IF(C2429="B20",1,IF(C2429="B02",1,0)))))))</f>
        <v/>
      </c>
      <c r="G2429"/>
      <c r="H2429" s="2"/>
      <c r="I2429" s="2"/>
      <c r="L2429"/>
      <c r="R2429"/>
    </row>
    <row r="2430" spans="1:18">
      <c r="A2430" s="3">
        <v>45684.97892361111</v>
      </c>
      <c r="B2430" s="2" t="s">
        <v>33</v>
      </c>
      <c r="C2430" s="2" t="s">
        <v>11</v>
      </c>
      <c r="D2430" s="6" t="str">
        <f>CONCATENATE(YEAR(A2430),"/",IF(MONTH(A2430)&lt;10,CONCATENATE("0",MONTH(A2430)),MONTH(A2430)))</f>
        <v>2025/01</v>
      </c>
      <c r="E2430" s="8">
        <f>IF(IF(D2430&lt;&gt;D2429,1,IF(OR(B2430&lt;&gt;B2429,A2430-A2429&gt;$U$1),1,""))&lt;&gt;1,"",IF(C2430="B01",1965,IF(C2430="B02",1020,IF(C2430="B05",2400,IF(C2430="B03",4260,IF(C2430="B04",2880,IF(C2430="B20",1260,0)))))))</f>
        <v>2400</v>
      </c>
      <c r="F2430" s="8">
        <f>IF(IF(D2430&lt;&gt;D2429,1,IF(OR(B2430&lt;&gt;B2429,A2430-A2429&gt;$U$1),1,""))&lt;&gt;1,"",IF(C2430="B01",1,IF(C2430="B05",1,IF(C2430="B03",1,IF(C2430="B04",1,IF(C2430="B20",1,IF(C2430="B02",1,0)))))))</f>
        <v>1</v>
      </c>
      <c r="G2430"/>
      <c r="H2430" s="2"/>
      <c r="I2430" s="2"/>
      <c r="L2430"/>
      <c r="R2430"/>
    </row>
    <row r="2431" spans="1:18">
      <c r="A2431" s="3">
        <v>45684.97892361111</v>
      </c>
      <c r="B2431" s="2" t="s">
        <v>33</v>
      </c>
      <c r="C2431" s="2" t="s">
        <v>11</v>
      </c>
      <c r="D2431" s="6" t="str">
        <f>CONCATENATE(YEAR(A2431),"/",IF(MONTH(A2431)&lt;10,CONCATENATE("0",MONTH(A2431)),MONTH(A2431)))</f>
        <v>2025/01</v>
      </c>
      <c r="E2431" s="8" t="str">
        <f>IF(IF(D2431&lt;&gt;D2430,1,IF(OR(B2431&lt;&gt;B2430,A2431-A2430&gt;$U$1),1,""))&lt;&gt;1,"",IF(C2431="B01",1965,IF(C2431="B02",1020,IF(C2431="B05",2400,IF(C2431="B03",4260,IF(C2431="B04",2880,IF(C2431="B20",1260,0)))))))</f>
        <v/>
      </c>
      <c r="F2431" s="8" t="str">
        <f>IF(IF(D2431&lt;&gt;D2430,1,IF(OR(B2431&lt;&gt;B2430,A2431-A2430&gt;$U$1),1,""))&lt;&gt;1,"",IF(C2431="B01",1,IF(C2431="B05",1,IF(C2431="B03",1,IF(C2431="B04",1,IF(C2431="B20",1,IF(C2431="B02",1,0)))))))</f>
        <v/>
      </c>
      <c r="G2431"/>
      <c r="H2431" s="2"/>
      <c r="I2431" s="2"/>
      <c r="L2431"/>
      <c r="R2431"/>
    </row>
    <row r="2432" spans="1:18">
      <c r="A2432" s="3">
        <v>45684.97892361111</v>
      </c>
      <c r="B2432" s="2" t="s">
        <v>33</v>
      </c>
      <c r="C2432" s="2" t="s">
        <v>11</v>
      </c>
      <c r="D2432" s="6" t="str">
        <f>CONCATENATE(YEAR(A2432),"/",IF(MONTH(A2432)&lt;10,CONCATENATE("0",MONTH(A2432)),MONTH(A2432)))</f>
        <v>2025/01</v>
      </c>
      <c r="E2432" s="8" t="str">
        <f>IF(IF(D2432&lt;&gt;D2431,1,IF(OR(B2432&lt;&gt;B2431,A2432-A2431&gt;$U$1),1,""))&lt;&gt;1,"",IF(C2432="B01",1965,IF(C2432="B02",1020,IF(C2432="B05",2400,IF(C2432="B03",4260,IF(C2432="B04",2880,IF(C2432="B20",1260,0)))))))</f>
        <v/>
      </c>
      <c r="F2432" s="8" t="str">
        <f>IF(IF(D2432&lt;&gt;D2431,1,IF(OR(B2432&lt;&gt;B2431,A2432-A2431&gt;$U$1),1,""))&lt;&gt;1,"",IF(C2432="B01",1,IF(C2432="B05",1,IF(C2432="B03",1,IF(C2432="B04",1,IF(C2432="B20",1,IF(C2432="B02",1,0)))))))</f>
        <v/>
      </c>
      <c r="G2432"/>
      <c r="H2432" s="2"/>
      <c r="I2432" s="2"/>
      <c r="L2432"/>
      <c r="R2432"/>
    </row>
    <row r="2433" spans="1:18">
      <c r="A2433" s="3">
        <v>45689.524247685185</v>
      </c>
      <c r="B2433" s="2" t="s">
        <v>33</v>
      </c>
      <c r="C2433" s="2" t="s">
        <v>11</v>
      </c>
      <c r="D2433" s="6" t="str">
        <f>CONCATENATE(YEAR(A2433),"/",IF(MONTH(A2433)&lt;10,CONCATENATE("0",MONTH(A2433)),MONTH(A2433)))</f>
        <v>2025/02</v>
      </c>
      <c r="E2433" s="8">
        <f>IF(IF(D2433&lt;&gt;D2432,1,IF(OR(B2433&lt;&gt;B2432,A2433-A2432&gt;$U$1),1,""))&lt;&gt;1,"",IF(C2433="B01",1965,IF(C2433="B02",1020,IF(C2433="B05",2400,IF(C2433="B03",4260,IF(C2433="B04",2880,IF(C2433="B20",1260,0)))))))</f>
        <v>2400</v>
      </c>
      <c r="F2433" s="8">
        <f>IF(IF(D2433&lt;&gt;D2432,1,IF(OR(B2433&lt;&gt;B2432,A2433-A2432&gt;$U$1),1,""))&lt;&gt;1,"",IF(C2433="B01",1,IF(C2433="B05",1,IF(C2433="B03",1,IF(C2433="B04",1,IF(C2433="B20",1,IF(C2433="B02",1,0)))))))</f>
        <v>1</v>
      </c>
      <c r="G2433"/>
      <c r="H2433" s="2"/>
      <c r="I2433" s="2"/>
      <c r="L2433"/>
      <c r="R2433"/>
    </row>
    <row r="2434" spans="1:18">
      <c r="A2434" s="3">
        <v>45689.524247685185</v>
      </c>
      <c r="B2434" s="2" t="s">
        <v>33</v>
      </c>
      <c r="C2434" s="2" t="s">
        <v>11</v>
      </c>
      <c r="D2434" s="6" t="str">
        <f>CONCATENATE(YEAR(A2434),"/",IF(MONTH(A2434)&lt;10,CONCATENATE("0",MONTH(A2434)),MONTH(A2434)))</f>
        <v>2025/02</v>
      </c>
      <c r="E2434" s="8" t="str">
        <f>IF(IF(D2434&lt;&gt;D2433,1,IF(OR(B2434&lt;&gt;B2433,A2434-A2433&gt;$U$1),1,""))&lt;&gt;1,"",IF(C2434="B01",1965,IF(C2434="B02",1020,IF(C2434="B05",2400,IF(C2434="B03",4260,IF(C2434="B04",2880,IF(C2434="B20",1260,0)))))))</f>
        <v/>
      </c>
      <c r="F2434" s="8" t="str">
        <f>IF(IF(D2434&lt;&gt;D2433,1,IF(OR(B2434&lt;&gt;B2433,A2434-A2433&gt;$U$1),1,""))&lt;&gt;1,"",IF(C2434="B01",1,IF(C2434="B05",1,IF(C2434="B03",1,IF(C2434="B04",1,IF(C2434="B20",1,IF(C2434="B02",1,0)))))))</f>
        <v/>
      </c>
      <c r="G2434"/>
      <c r="H2434" s="2"/>
      <c r="I2434" s="2"/>
      <c r="L2434"/>
      <c r="R2434"/>
    </row>
    <row r="2435" spans="1:18">
      <c r="A2435" s="3">
        <v>45689.524247685185</v>
      </c>
      <c r="B2435" s="2" t="s">
        <v>33</v>
      </c>
      <c r="C2435" s="2" t="s">
        <v>11</v>
      </c>
      <c r="D2435" s="6" t="str">
        <f>CONCATENATE(YEAR(A2435),"/",IF(MONTH(A2435)&lt;10,CONCATENATE("0",MONTH(A2435)),MONTH(A2435)))</f>
        <v>2025/02</v>
      </c>
      <c r="E2435" s="8" t="str">
        <f>IF(IF(D2435&lt;&gt;D2434,1,IF(OR(B2435&lt;&gt;B2434,A2435-A2434&gt;$U$1),1,""))&lt;&gt;1,"",IF(C2435="B01",1965,IF(C2435="B02",1020,IF(C2435="B05",2400,IF(C2435="B03",4260,IF(C2435="B04",2880,IF(C2435="B20",1260,0)))))))</f>
        <v/>
      </c>
      <c r="F2435" s="8" t="str">
        <f>IF(IF(D2435&lt;&gt;D2434,1,IF(OR(B2435&lt;&gt;B2434,A2435-A2434&gt;$U$1),1,""))&lt;&gt;1,"",IF(C2435="B01",1,IF(C2435="B05",1,IF(C2435="B03",1,IF(C2435="B04",1,IF(C2435="B20",1,IF(C2435="B02",1,0)))))))</f>
        <v/>
      </c>
      <c r="G2435"/>
      <c r="H2435" s="2"/>
      <c r="I2435" s="2"/>
      <c r="L2435"/>
      <c r="R2435"/>
    </row>
    <row r="2436" spans="1:18">
      <c r="A2436" s="3">
        <v>45689.524247685185</v>
      </c>
      <c r="B2436" s="2" t="s">
        <v>33</v>
      </c>
      <c r="C2436" s="2" t="s">
        <v>11</v>
      </c>
      <c r="D2436" s="6" t="str">
        <f>CONCATENATE(YEAR(A2436),"/",IF(MONTH(A2436)&lt;10,CONCATENATE("0",MONTH(A2436)),MONTH(A2436)))</f>
        <v>2025/02</v>
      </c>
      <c r="E2436" s="8" t="str">
        <f>IF(IF(D2436&lt;&gt;D2435,1,IF(OR(B2436&lt;&gt;B2435,A2436-A2435&gt;$U$1),1,""))&lt;&gt;1,"",IF(C2436="B01",1965,IF(C2436="B02",1020,IF(C2436="B05",2400,IF(C2436="B03",4260,IF(C2436="B04",2880,IF(C2436="B20",1260,0)))))))</f>
        <v/>
      </c>
      <c r="F2436" s="8" t="str">
        <f>IF(IF(D2436&lt;&gt;D2435,1,IF(OR(B2436&lt;&gt;B2435,A2436-A2435&gt;$U$1),1,""))&lt;&gt;1,"",IF(C2436="B01",1,IF(C2436="B05",1,IF(C2436="B03",1,IF(C2436="B04",1,IF(C2436="B20",1,IF(C2436="B02",1,0)))))))</f>
        <v/>
      </c>
      <c r="G2436"/>
      <c r="H2436" s="2"/>
      <c r="I2436" s="2"/>
      <c r="L2436"/>
      <c r="R2436"/>
    </row>
    <row r="2437" spans="1:18">
      <c r="A2437" s="3">
        <v>45689.524247685185</v>
      </c>
      <c r="B2437" s="2" t="s">
        <v>33</v>
      </c>
      <c r="C2437" s="2" t="s">
        <v>11</v>
      </c>
      <c r="D2437" s="6" t="str">
        <f>CONCATENATE(YEAR(A2437),"/",IF(MONTH(A2437)&lt;10,CONCATENATE("0",MONTH(A2437)),MONTH(A2437)))</f>
        <v>2025/02</v>
      </c>
      <c r="E2437" s="8" t="str">
        <f>IF(IF(D2437&lt;&gt;D2436,1,IF(OR(B2437&lt;&gt;B2436,A2437-A2436&gt;$U$1),1,""))&lt;&gt;1,"",IF(C2437="B01",1965,IF(C2437="B02",1020,IF(C2437="B05",2400,IF(C2437="B03",4260,IF(C2437="B04",2880,IF(C2437="B20",1260,0)))))))</f>
        <v/>
      </c>
      <c r="F2437" s="8" t="str">
        <f>IF(IF(D2437&lt;&gt;D2436,1,IF(OR(B2437&lt;&gt;B2436,A2437-A2436&gt;$U$1),1,""))&lt;&gt;1,"",IF(C2437="B01",1,IF(C2437="B05",1,IF(C2437="B03",1,IF(C2437="B04",1,IF(C2437="B20",1,IF(C2437="B02",1,0)))))))</f>
        <v/>
      </c>
      <c r="G2437"/>
      <c r="H2437" s="2"/>
      <c r="I2437" s="2"/>
      <c r="L2437"/>
      <c r="R2437"/>
    </row>
    <row r="2438" spans="1:18">
      <c r="A2438" s="3">
        <v>45690.218391203707</v>
      </c>
      <c r="B2438" s="2" t="s">
        <v>33</v>
      </c>
      <c r="C2438" s="2" t="s">
        <v>11</v>
      </c>
      <c r="D2438" s="6" t="str">
        <f>CONCATENATE(YEAR(A2438),"/",IF(MONTH(A2438)&lt;10,CONCATENATE("0",MONTH(A2438)),MONTH(A2438)))</f>
        <v>2025/02</v>
      </c>
      <c r="E2438" s="8">
        <f>IF(IF(D2438&lt;&gt;D2437,1,IF(OR(B2438&lt;&gt;B2437,A2438-A2437&gt;$U$1),1,""))&lt;&gt;1,"",IF(C2438="B01",1965,IF(C2438="B02",1020,IF(C2438="B05",2400,IF(C2438="B03",4260,IF(C2438="B04",2880,IF(C2438="B20",1260,0)))))))</f>
        <v>2400</v>
      </c>
      <c r="F2438" s="8">
        <f>IF(IF(D2438&lt;&gt;D2437,1,IF(OR(B2438&lt;&gt;B2437,A2438-A2437&gt;$U$1),1,""))&lt;&gt;1,"",IF(C2438="B01",1,IF(C2438="B05",1,IF(C2438="B03",1,IF(C2438="B04",1,IF(C2438="B20",1,IF(C2438="B02",1,0)))))))</f>
        <v>1</v>
      </c>
      <c r="G2438"/>
      <c r="H2438" s="2"/>
      <c r="I2438" s="2"/>
      <c r="L2438"/>
      <c r="R2438"/>
    </row>
    <row r="2439" spans="1:18">
      <c r="A2439" s="3">
        <v>45690.218391203707</v>
      </c>
      <c r="B2439" s="2" t="s">
        <v>33</v>
      </c>
      <c r="C2439" s="2" t="s">
        <v>11</v>
      </c>
      <c r="D2439" s="6" t="str">
        <f>CONCATENATE(YEAR(A2439),"/",IF(MONTH(A2439)&lt;10,CONCATENATE("0",MONTH(A2439)),MONTH(A2439)))</f>
        <v>2025/02</v>
      </c>
      <c r="E2439" s="8" t="str">
        <f>IF(IF(D2439&lt;&gt;D2438,1,IF(OR(B2439&lt;&gt;B2438,A2439-A2438&gt;$U$1),1,""))&lt;&gt;1,"",IF(C2439="B01",1965,IF(C2439="B02",1020,IF(C2439="B05",2400,IF(C2439="B03",4260,IF(C2439="B04",2880,IF(C2439="B20",1260,0)))))))</f>
        <v/>
      </c>
      <c r="F2439" s="8" t="str">
        <f>IF(IF(D2439&lt;&gt;D2438,1,IF(OR(B2439&lt;&gt;B2438,A2439-A2438&gt;$U$1),1,""))&lt;&gt;1,"",IF(C2439="B01",1,IF(C2439="B05",1,IF(C2439="B03",1,IF(C2439="B04",1,IF(C2439="B20",1,IF(C2439="B02",1,0)))))))</f>
        <v/>
      </c>
      <c r="G2439"/>
      <c r="H2439" s="2"/>
      <c r="I2439" s="2"/>
      <c r="L2439"/>
      <c r="R2439"/>
    </row>
    <row r="2440" spans="1:18">
      <c r="A2440" s="3">
        <v>45690.218391203707</v>
      </c>
      <c r="B2440" s="2" t="s">
        <v>33</v>
      </c>
      <c r="C2440" s="2" t="s">
        <v>11</v>
      </c>
      <c r="D2440" s="6" t="str">
        <f>CONCATENATE(YEAR(A2440),"/",IF(MONTH(A2440)&lt;10,CONCATENATE("0",MONTH(A2440)),MONTH(A2440)))</f>
        <v>2025/02</v>
      </c>
      <c r="E2440" s="8" t="str">
        <f>IF(IF(D2440&lt;&gt;D2439,1,IF(OR(B2440&lt;&gt;B2439,A2440-A2439&gt;$U$1),1,""))&lt;&gt;1,"",IF(C2440="B01",1965,IF(C2440="B02",1020,IF(C2440="B05",2400,IF(C2440="B03",4260,IF(C2440="B04",2880,IF(C2440="B20",1260,0)))))))</f>
        <v/>
      </c>
      <c r="F2440" s="8" t="str">
        <f>IF(IF(D2440&lt;&gt;D2439,1,IF(OR(B2440&lt;&gt;B2439,A2440-A2439&gt;$U$1),1,""))&lt;&gt;1,"",IF(C2440="B01",1,IF(C2440="B05",1,IF(C2440="B03",1,IF(C2440="B04",1,IF(C2440="B20",1,IF(C2440="B02",1,0)))))))</f>
        <v/>
      </c>
      <c r="G2440"/>
      <c r="H2440" s="2"/>
      <c r="I2440" s="2"/>
      <c r="L2440"/>
      <c r="R2440"/>
    </row>
    <row r="2441" spans="1:18">
      <c r="A2441" s="3">
        <v>45690.667662037034</v>
      </c>
      <c r="B2441" s="2" t="s">
        <v>33</v>
      </c>
      <c r="C2441" s="2" t="s">
        <v>11</v>
      </c>
      <c r="D2441" s="6" t="str">
        <f>CONCATENATE(YEAR(A2441),"/",IF(MONTH(A2441)&lt;10,CONCATENATE("0",MONTH(A2441)),MONTH(A2441)))</f>
        <v>2025/02</v>
      </c>
      <c r="E2441" s="8">
        <f>IF(IF(D2441&lt;&gt;D2440,1,IF(OR(B2441&lt;&gt;B2440,A2441-A2440&gt;$U$1),1,""))&lt;&gt;1,"",IF(C2441="B01",1965,IF(C2441="B02",1020,IF(C2441="B05",2400,IF(C2441="B03",4260,IF(C2441="B04",2880,IF(C2441="B20",1260,0)))))))</f>
        <v>2400</v>
      </c>
      <c r="F2441" s="8">
        <f>IF(IF(D2441&lt;&gt;D2440,1,IF(OR(B2441&lt;&gt;B2440,A2441-A2440&gt;$U$1),1,""))&lt;&gt;1,"",IF(C2441="B01",1,IF(C2441="B05",1,IF(C2441="B03",1,IF(C2441="B04",1,IF(C2441="B20",1,IF(C2441="B02",1,0)))))))</f>
        <v>1</v>
      </c>
      <c r="G2441"/>
      <c r="H2441" s="2"/>
      <c r="I2441" s="2"/>
      <c r="L2441"/>
      <c r="R2441"/>
    </row>
    <row r="2442" spans="1:18">
      <c r="A2442" s="3">
        <v>45690.667662037034</v>
      </c>
      <c r="B2442" s="2" t="s">
        <v>33</v>
      </c>
      <c r="C2442" s="2" t="s">
        <v>11</v>
      </c>
      <c r="D2442" s="6" t="str">
        <f>CONCATENATE(YEAR(A2442),"/",IF(MONTH(A2442)&lt;10,CONCATENATE("0",MONTH(A2442)),MONTH(A2442)))</f>
        <v>2025/02</v>
      </c>
      <c r="E2442" s="8" t="str">
        <f>IF(IF(D2442&lt;&gt;D2441,1,IF(OR(B2442&lt;&gt;B2441,A2442-A2441&gt;$U$1),1,""))&lt;&gt;1,"",IF(C2442="B01",1965,IF(C2442="B02",1020,IF(C2442="B05",2400,IF(C2442="B03",4260,IF(C2442="B04",2880,IF(C2442="B20",1260,0)))))))</f>
        <v/>
      </c>
      <c r="F2442" s="8" t="str">
        <f>IF(IF(D2442&lt;&gt;D2441,1,IF(OR(B2442&lt;&gt;B2441,A2442-A2441&gt;$U$1),1,""))&lt;&gt;1,"",IF(C2442="B01",1,IF(C2442="B05",1,IF(C2442="B03",1,IF(C2442="B04",1,IF(C2442="B20",1,IF(C2442="B02",1,0)))))))</f>
        <v/>
      </c>
      <c r="G2442"/>
      <c r="H2442" s="2"/>
      <c r="I2442" s="2"/>
      <c r="L2442"/>
      <c r="R2442"/>
    </row>
    <row r="2443" spans="1:18">
      <c r="A2443" s="3">
        <v>45690.667662037034</v>
      </c>
      <c r="B2443" s="2" t="s">
        <v>33</v>
      </c>
      <c r="C2443" s="2" t="s">
        <v>11</v>
      </c>
      <c r="D2443" s="6" t="str">
        <f>CONCATENATE(YEAR(A2443),"/",IF(MONTH(A2443)&lt;10,CONCATENATE("0",MONTH(A2443)),MONTH(A2443)))</f>
        <v>2025/02</v>
      </c>
      <c r="E2443" s="8" t="str">
        <f>IF(IF(D2443&lt;&gt;D2442,1,IF(OR(B2443&lt;&gt;B2442,A2443-A2442&gt;$U$1),1,""))&lt;&gt;1,"",IF(C2443="B01",1965,IF(C2443="B02",1020,IF(C2443="B05",2400,IF(C2443="B03",4260,IF(C2443="B04",2880,IF(C2443="B20",1260,0)))))))</f>
        <v/>
      </c>
      <c r="F2443" s="8" t="str">
        <f>IF(IF(D2443&lt;&gt;D2442,1,IF(OR(B2443&lt;&gt;B2442,A2443-A2442&gt;$U$1),1,""))&lt;&gt;1,"",IF(C2443="B01",1,IF(C2443="B05",1,IF(C2443="B03",1,IF(C2443="B04",1,IF(C2443="B20",1,IF(C2443="B02",1,0)))))))</f>
        <v/>
      </c>
      <c r="G2443"/>
      <c r="H2443" s="2"/>
      <c r="I2443" s="2"/>
      <c r="L2443"/>
      <c r="R2443"/>
    </row>
    <row r="2444" spans="1:18">
      <c r="A2444" s="3">
        <v>45691.351736111108</v>
      </c>
      <c r="B2444" s="2" t="s">
        <v>33</v>
      </c>
      <c r="C2444" s="2" t="s">
        <v>11</v>
      </c>
      <c r="D2444" s="6" t="str">
        <f>CONCATENATE(YEAR(A2444),"/",IF(MONTH(A2444)&lt;10,CONCATENATE("0",MONTH(A2444)),MONTH(A2444)))</f>
        <v>2025/02</v>
      </c>
      <c r="E2444" s="8">
        <f>IF(IF(D2444&lt;&gt;D2443,1,IF(OR(B2444&lt;&gt;B2443,A2444-A2443&gt;$U$1),1,""))&lt;&gt;1,"",IF(C2444="B01",1965,IF(C2444="B02",1020,IF(C2444="B05",2400,IF(C2444="B03",4260,IF(C2444="B04",2880,IF(C2444="B20",1260,0)))))))</f>
        <v>2400</v>
      </c>
      <c r="F2444" s="8">
        <f>IF(IF(D2444&lt;&gt;D2443,1,IF(OR(B2444&lt;&gt;B2443,A2444-A2443&gt;$U$1),1,""))&lt;&gt;1,"",IF(C2444="B01",1,IF(C2444="B05",1,IF(C2444="B03",1,IF(C2444="B04",1,IF(C2444="B20",1,IF(C2444="B02",1,0)))))))</f>
        <v>1</v>
      </c>
      <c r="G2444"/>
      <c r="H2444" s="2"/>
      <c r="I2444" s="2"/>
      <c r="L2444"/>
      <c r="R2444"/>
    </row>
    <row r="2445" spans="1:18">
      <c r="A2445" s="3">
        <v>45691.351736111108</v>
      </c>
      <c r="B2445" s="2" t="s">
        <v>33</v>
      </c>
      <c r="C2445" s="2" t="s">
        <v>11</v>
      </c>
      <c r="D2445" s="6" t="str">
        <f>CONCATENATE(YEAR(A2445),"/",IF(MONTH(A2445)&lt;10,CONCATENATE("0",MONTH(A2445)),MONTH(A2445)))</f>
        <v>2025/02</v>
      </c>
      <c r="E2445" s="8" t="str">
        <f>IF(IF(D2445&lt;&gt;D2444,1,IF(OR(B2445&lt;&gt;B2444,A2445-A2444&gt;$U$1),1,""))&lt;&gt;1,"",IF(C2445="B01",1965,IF(C2445="B02",1020,IF(C2445="B05",2400,IF(C2445="B03",4260,IF(C2445="B04",2880,IF(C2445="B20",1260,0)))))))</f>
        <v/>
      </c>
      <c r="F2445" s="8" t="str">
        <f>IF(IF(D2445&lt;&gt;D2444,1,IF(OR(B2445&lt;&gt;B2444,A2445-A2444&gt;$U$1),1,""))&lt;&gt;1,"",IF(C2445="B01",1,IF(C2445="B05",1,IF(C2445="B03",1,IF(C2445="B04",1,IF(C2445="B20",1,IF(C2445="B02",1,0)))))))</f>
        <v/>
      </c>
      <c r="G2445"/>
      <c r="H2445" s="2"/>
      <c r="I2445" s="2"/>
      <c r="L2445"/>
      <c r="R2445"/>
    </row>
    <row r="2446" spans="1:18">
      <c r="A2446" s="3">
        <v>45691.351736111108</v>
      </c>
      <c r="B2446" s="2" t="s">
        <v>33</v>
      </c>
      <c r="C2446" s="2" t="s">
        <v>11</v>
      </c>
      <c r="D2446" s="6" t="str">
        <f>CONCATENATE(YEAR(A2446),"/",IF(MONTH(A2446)&lt;10,CONCATENATE("0",MONTH(A2446)),MONTH(A2446)))</f>
        <v>2025/02</v>
      </c>
      <c r="E2446" s="8" t="str">
        <f>IF(IF(D2446&lt;&gt;D2445,1,IF(OR(B2446&lt;&gt;B2445,A2446-A2445&gt;$U$1),1,""))&lt;&gt;1,"",IF(C2446="B01",1965,IF(C2446="B02",1020,IF(C2446="B05",2400,IF(C2446="B03",4260,IF(C2446="B04",2880,IF(C2446="B20",1260,0)))))))</f>
        <v/>
      </c>
      <c r="F2446" s="8" t="str">
        <f>IF(IF(D2446&lt;&gt;D2445,1,IF(OR(B2446&lt;&gt;B2445,A2446-A2445&gt;$U$1),1,""))&lt;&gt;1,"",IF(C2446="B01",1,IF(C2446="B05",1,IF(C2446="B03",1,IF(C2446="B04",1,IF(C2446="B20",1,IF(C2446="B02",1,0)))))))</f>
        <v/>
      </c>
      <c r="G2446"/>
      <c r="H2446" s="2"/>
      <c r="I2446" s="2"/>
      <c r="L2446"/>
      <c r="R2446"/>
    </row>
    <row r="2447" spans="1:18">
      <c r="A2447" s="3">
        <v>45691.351736111108</v>
      </c>
      <c r="B2447" s="2" t="s">
        <v>33</v>
      </c>
      <c r="C2447" s="2" t="s">
        <v>11</v>
      </c>
      <c r="D2447" s="6" t="str">
        <f>CONCATENATE(YEAR(A2447),"/",IF(MONTH(A2447)&lt;10,CONCATENATE("0",MONTH(A2447)),MONTH(A2447)))</f>
        <v>2025/02</v>
      </c>
      <c r="E2447" s="8" t="str">
        <f>IF(IF(D2447&lt;&gt;D2446,1,IF(OR(B2447&lt;&gt;B2446,A2447-A2446&gt;$U$1),1,""))&lt;&gt;1,"",IF(C2447="B01",1965,IF(C2447="B02",1020,IF(C2447="B05",2400,IF(C2447="B03",4260,IF(C2447="B04",2880,IF(C2447="B20",1260,0)))))))</f>
        <v/>
      </c>
      <c r="F2447" s="8" t="str">
        <f>IF(IF(D2447&lt;&gt;D2446,1,IF(OR(B2447&lt;&gt;B2446,A2447-A2446&gt;$U$1),1,""))&lt;&gt;1,"",IF(C2447="B01",1,IF(C2447="B05",1,IF(C2447="B03",1,IF(C2447="B04",1,IF(C2447="B20",1,IF(C2447="B02",1,0)))))))</f>
        <v/>
      </c>
      <c r="G2447"/>
      <c r="H2447" s="2"/>
      <c r="I2447" s="2"/>
      <c r="L2447"/>
      <c r="R2447"/>
    </row>
    <row r="2448" spans="1:18">
      <c r="A2448" s="3">
        <v>45691.509976851848</v>
      </c>
      <c r="B2448" s="2" t="s">
        <v>33</v>
      </c>
      <c r="C2448" s="2" t="s">
        <v>11</v>
      </c>
      <c r="D2448" s="6" t="str">
        <f>CONCATENATE(YEAR(A2448),"/",IF(MONTH(A2448)&lt;10,CONCATENATE("0",MONTH(A2448)),MONTH(A2448)))</f>
        <v>2025/02</v>
      </c>
      <c r="E2448" s="8">
        <f>IF(IF(D2448&lt;&gt;D2447,1,IF(OR(B2448&lt;&gt;B2447,A2448-A2447&gt;$U$1),1,""))&lt;&gt;1,"",IF(C2448="B01",1965,IF(C2448="B02",1020,IF(C2448="B05",2400,IF(C2448="B03",4260,IF(C2448="B04",2880,IF(C2448="B20",1260,0)))))))</f>
        <v>2400</v>
      </c>
      <c r="F2448" s="8">
        <f>IF(IF(D2448&lt;&gt;D2447,1,IF(OR(B2448&lt;&gt;B2447,A2448-A2447&gt;$U$1),1,""))&lt;&gt;1,"",IF(C2448="B01",1,IF(C2448="B05",1,IF(C2448="B03",1,IF(C2448="B04",1,IF(C2448="B20",1,IF(C2448="B02",1,0)))))))</f>
        <v>1</v>
      </c>
      <c r="G2448"/>
      <c r="H2448" s="2"/>
      <c r="I2448" s="2"/>
      <c r="L2448"/>
      <c r="R2448"/>
    </row>
    <row r="2449" spans="1:18">
      <c r="A2449" s="3">
        <v>45691.509976851848</v>
      </c>
      <c r="B2449" s="2" t="s">
        <v>33</v>
      </c>
      <c r="C2449" s="2" t="s">
        <v>11</v>
      </c>
      <c r="D2449" s="6" t="str">
        <f>CONCATENATE(YEAR(A2449),"/",IF(MONTH(A2449)&lt;10,CONCATENATE("0",MONTH(A2449)),MONTH(A2449)))</f>
        <v>2025/02</v>
      </c>
      <c r="E2449" s="8" t="str">
        <f>IF(IF(D2449&lt;&gt;D2448,1,IF(OR(B2449&lt;&gt;B2448,A2449-A2448&gt;$U$1),1,""))&lt;&gt;1,"",IF(C2449="B01",1965,IF(C2449="B02",1020,IF(C2449="B05",2400,IF(C2449="B03",4260,IF(C2449="B04",2880,IF(C2449="B20",1260,0)))))))</f>
        <v/>
      </c>
      <c r="F2449" s="8" t="str">
        <f>IF(IF(D2449&lt;&gt;D2448,1,IF(OR(B2449&lt;&gt;B2448,A2449-A2448&gt;$U$1),1,""))&lt;&gt;1,"",IF(C2449="B01",1,IF(C2449="B05",1,IF(C2449="B03",1,IF(C2449="B04",1,IF(C2449="B20",1,IF(C2449="B02",1,0)))))))</f>
        <v/>
      </c>
      <c r="G2449"/>
      <c r="H2449" s="2"/>
      <c r="I2449" s="2"/>
      <c r="L2449"/>
      <c r="R2449"/>
    </row>
    <row r="2450" spans="1:18">
      <c r="A2450" s="3">
        <v>45691.509976851848</v>
      </c>
      <c r="B2450" s="2" t="s">
        <v>33</v>
      </c>
      <c r="C2450" s="2" t="s">
        <v>11</v>
      </c>
      <c r="D2450" s="6" t="str">
        <f>CONCATENATE(YEAR(A2450),"/",IF(MONTH(A2450)&lt;10,CONCATENATE("0",MONTH(A2450)),MONTH(A2450)))</f>
        <v>2025/02</v>
      </c>
      <c r="E2450" s="8" t="str">
        <f>IF(IF(D2450&lt;&gt;D2449,1,IF(OR(B2450&lt;&gt;B2449,A2450-A2449&gt;$U$1),1,""))&lt;&gt;1,"",IF(C2450="B01",1965,IF(C2450="B02",1020,IF(C2450="B05",2400,IF(C2450="B03",4260,IF(C2450="B04",2880,IF(C2450="B20",1260,0)))))))</f>
        <v/>
      </c>
      <c r="F2450" s="8" t="str">
        <f>IF(IF(D2450&lt;&gt;D2449,1,IF(OR(B2450&lt;&gt;B2449,A2450-A2449&gt;$U$1),1,""))&lt;&gt;1,"",IF(C2450="B01",1,IF(C2450="B05",1,IF(C2450="B03",1,IF(C2450="B04",1,IF(C2450="B20",1,IF(C2450="B02",1,0)))))))</f>
        <v/>
      </c>
      <c r="G2450"/>
      <c r="H2450" s="2"/>
      <c r="I2450" s="2"/>
      <c r="L2450"/>
      <c r="R2450"/>
    </row>
    <row r="2451" spans="1:18">
      <c r="A2451" s="3">
        <v>45691.627766203703</v>
      </c>
      <c r="B2451" s="2" t="s">
        <v>33</v>
      </c>
      <c r="C2451" s="2" t="s">
        <v>11</v>
      </c>
      <c r="D2451" s="6" t="str">
        <f>CONCATENATE(YEAR(A2451),"/",IF(MONTH(A2451)&lt;10,CONCATENATE("0",MONTH(A2451)),MONTH(A2451)))</f>
        <v>2025/02</v>
      </c>
      <c r="E2451" s="8">
        <f>IF(IF(D2451&lt;&gt;D2450,1,IF(OR(B2451&lt;&gt;B2450,A2451-A2450&gt;$U$1),1,""))&lt;&gt;1,"",IF(C2451="B01",1965,IF(C2451="B02",1020,IF(C2451="B05",2400,IF(C2451="B03",4260,IF(C2451="B04",2880,IF(C2451="B20",1260,0)))))))</f>
        <v>2400</v>
      </c>
      <c r="F2451" s="8">
        <f>IF(IF(D2451&lt;&gt;D2450,1,IF(OR(B2451&lt;&gt;B2450,A2451-A2450&gt;$U$1),1,""))&lt;&gt;1,"",IF(C2451="B01",1,IF(C2451="B05",1,IF(C2451="B03",1,IF(C2451="B04",1,IF(C2451="B20",1,IF(C2451="B02",1,0)))))))</f>
        <v>1</v>
      </c>
      <c r="G2451"/>
      <c r="H2451" s="2"/>
      <c r="I2451" s="2"/>
      <c r="L2451"/>
      <c r="R2451"/>
    </row>
    <row r="2452" spans="1:18">
      <c r="A2452" s="3">
        <v>45691.627766203703</v>
      </c>
      <c r="B2452" s="2" t="s">
        <v>33</v>
      </c>
      <c r="C2452" s="2" t="s">
        <v>11</v>
      </c>
      <c r="D2452" s="6" t="str">
        <f>CONCATENATE(YEAR(A2452),"/",IF(MONTH(A2452)&lt;10,CONCATENATE("0",MONTH(A2452)),MONTH(A2452)))</f>
        <v>2025/02</v>
      </c>
      <c r="E2452" s="8" t="str">
        <f>IF(IF(D2452&lt;&gt;D2451,1,IF(OR(B2452&lt;&gt;B2451,A2452-A2451&gt;$U$1),1,""))&lt;&gt;1,"",IF(C2452="B01",1965,IF(C2452="B02",1020,IF(C2452="B05",2400,IF(C2452="B03",4260,IF(C2452="B04",2880,IF(C2452="B20",1260,0)))))))</f>
        <v/>
      </c>
      <c r="F2452" s="8" t="str">
        <f>IF(IF(D2452&lt;&gt;D2451,1,IF(OR(B2452&lt;&gt;B2451,A2452-A2451&gt;$U$1),1,""))&lt;&gt;1,"",IF(C2452="B01",1,IF(C2452="B05",1,IF(C2452="B03",1,IF(C2452="B04",1,IF(C2452="B20",1,IF(C2452="B02",1,0)))))))</f>
        <v/>
      </c>
      <c r="G2452"/>
      <c r="H2452" s="2"/>
      <c r="I2452" s="2"/>
      <c r="L2452"/>
      <c r="R2452"/>
    </row>
    <row r="2453" spans="1:18">
      <c r="A2453" s="3">
        <v>45691.627766203703</v>
      </c>
      <c r="B2453" s="2" t="s">
        <v>33</v>
      </c>
      <c r="C2453" s="2" t="s">
        <v>11</v>
      </c>
      <c r="D2453" s="6" t="str">
        <f>CONCATENATE(YEAR(A2453),"/",IF(MONTH(A2453)&lt;10,CONCATENATE("0",MONTH(A2453)),MONTH(A2453)))</f>
        <v>2025/02</v>
      </c>
      <c r="E2453" s="8" t="str">
        <f>IF(IF(D2453&lt;&gt;D2452,1,IF(OR(B2453&lt;&gt;B2452,A2453-A2452&gt;$U$1),1,""))&lt;&gt;1,"",IF(C2453="B01",1965,IF(C2453="B02",1020,IF(C2453="B05",2400,IF(C2453="B03",4260,IF(C2453="B04",2880,IF(C2453="B20",1260,0)))))))</f>
        <v/>
      </c>
      <c r="F2453" s="8" t="str">
        <f>IF(IF(D2453&lt;&gt;D2452,1,IF(OR(B2453&lt;&gt;B2452,A2453-A2452&gt;$U$1),1,""))&lt;&gt;1,"",IF(C2453="B01",1,IF(C2453="B05",1,IF(C2453="B03",1,IF(C2453="B04",1,IF(C2453="B20",1,IF(C2453="B02",1,0)))))))</f>
        <v/>
      </c>
      <c r="G2453"/>
      <c r="H2453" s="2"/>
      <c r="I2453" s="2"/>
      <c r="L2453"/>
      <c r="R2453"/>
    </row>
    <row r="2454" spans="1:18">
      <c r="A2454" s="3">
        <v>45692.090243055558</v>
      </c>
      <c r="B2454" s="2" t="s">
        <v>33</v>
      </c>
      <c r="C2454" s="2" t="s">
        <v>11</v>
      </c>
      <c r="D2454" s="6" t="str">
        <f>CONCATENATE(YEAR(A2454),"/",IF(MONTH(A2454)&lt;10,CONCATENATE("0",MONTH(A2454)),MONTH(A2454)))</f>
        <v>2025/02</v>
      </c>
      <c r="E2454" s="8">
        <f>IF(IF(D2454&lt;&gt;D2453,1,IF(OR(B2454&lt;&gt;B2453,A2454-A2453&gt;$U$1),1,""))&lt;&gt;1,"",IF(C2454="B01",1965,IF(C2454="B02",1020,IF(C2454="B05",2400,IF(C2454="B03",4260,IF(C2454="B04",2880,IF(C2454="B20",1260,0)))))))</f>
        <v>2400</v>
      </c>
      <c r="F2454" s="8">
        <f>IF(IF(D2454&lt;&gt;D2453,1,IF(OR(B2454&lt;&gt;B2453,A2454-A2453&gt;$U$1),1,""))&lt;&gt;1,"",IF(C2454="B01",1,IF(C2454="B05",1,IF(C2454="B03",1,IF(C2454="B04",1,IF(C2454="B20",1,IF(C2454="B02",1,0)))))))</f>
        <v>1</v>
      </c>
      <c r="G2454"/>
      <c r="H2454" s="2"/>
      <c r="I2454" s="2"/>
      <c r="L2454"/>
      <c r="R2454"/>
    </row>
    <row r="2455" spans="1:18">
      <c r="A2455" s="3">
        <v>45692.090243055558</v>
      </c>
      <c r="B2455" s="2" t="s">
        <v>33</v>
      </c>
      <c r="C2455" s="2" t="s">
        <v>11</v>
      </c>
      <c r="D2455" s="6" t="str">
        <f>CONCATENATE(YEAR(A2455),"/",IF(MONTH(A2455)&lt;10,CONCATENATE("0",MONTH(A2455)),MONTH(A2455)))</f>
        <v>2025/02</v>
      </c>
      <c r="E2455" s="8" t="str">
        <f>IF(IF(D2455&lt;&gt;D2454,1,IF(OR(B2455&lt;&gt;B2454,A2455-A2454&gt;$U$1),1,""))&lt;&gt;1,"",IF(C2455="B01",1965,IF(C2455="B02",1020,IF(C2455="B05",2400,IF(C2455="B03",4260,IF(C2455="B04",2880,IF(C2455="B20",1260,0)))))))</f>
        <v/>
      </c>
      <c r="F2455" s="8" t="str">
        <f>IF(IF(D2455&lt;&gt;D2454,1,IF(OR(B2455&lt;&gt;B2454,A2455-A2454&gt;$U$1),1,""))&lt;&gt;1,"",IF(C2455="B01",1,IF(C2455="B05",1,IF(C2455="B03",1,IF(C2455="B04",1,IF(C2455="B20",1,IF(C2455="B02",1,0)))))))</f>
        <v/>
      </c>
      <c r="G2455"/>
      <c r="H2455" s="2"/>
      <c r="I2455" s="2"/>
      <c r="L2455"/>
      <c r="R2455"/>
    </row>
    <row r="2456" spans="1:18">
      <c r="A2456" s="3">
        <v>45692.090243055558</v>
      </c>
      <c r="B2456" s="2" t="s">
        <v>33</v>
      </c>
      <c r="C2456" s="2" t="s">
        <v>11</v>
      </c>
      <c r="D2456" s="6" t="str">
        <f>CONCATENATE(YEAR(A2456),"/",IF(MONTH(A2456)&lt;10,CONCATENATE("0",MONTH(A2456)),MONTH(A2456)))</f>
        <v>2025/02</v>
      </c>
      <c r="E2456" s="8" t="str">
        <f>IF(IF(D2456&lt;&gt;D2455,1,IF(OR(B2456&lt;&gt;B2455,A2456-A2455&gt;$U$1),1,""))&lt;&gt;1,"",IF(C2456="B01",1965,IF(C2456="B02",1020,IF(C2456="B05",2400,IF(C2456="B03",4260,IF(C2456="B04",2880,IF(C2456="B20",1260,0)))))))</f>
        <v/>
      </c>
      <c r="F2456" s="8" t="str">
        <f>IF(IF(D2456&lt;&gt;D2455,1,IF(OR(B2456&lt;&gt;B2455,A2456-A2455&gt;$U$1),1,""))&lt;&gt;1,"",IF(C2456="B01",1,IF(C2456="B05",1,IF(C2456="B03",1,IF(C2456="B04",1,IF(C2456="B20",1,IF(C2456="B02",1,0)))))))</f>
        <v/>
      </c>
      <c r="G2456"/>
      <c r="H2456" s="2"/>
      <c r="I2456" s="2"/>
      <c r="L2456"/>
      <c r="R2456"/>
    </row>
    <row r="2457" spans="1:18">
      <c r="A2457" s="3">
        <v>45692.282766203702</v>
      </c>
      <c r="B2457" s="2" t="s">
        <v>33</v>
      </c>
      <c r="C2457" s="2" t="s">
        <v>11</v>
      </c>
      <c r="D2457" s="6" t="str">
        <f>CONCATENATE(YEAR(A2457),"/",IF(MONTH(A2457)&lt;10,CONCATENATE("0",MONTH(A2457)),MONTH(A2457)))</f>
        <v>2025/02</v>
      </c>
      <c r="E2457" s="8">
        <f>IF(IF(D2457&lt;&gt;D2456,1,IF(OR(B2457&lt;&gt;B2456,A2457-A2456&gt;$U$1),1,""))&lt;&gt;1,"",IF(C2457="B01",1965,IF(C2457="B02",1020,IF(C2457="B05",2400,IF(C2457="B03",4260,IF(C2457="B04",2880,IF(C2457="B20",1260,0)))))))</f>
        <v>2400</v>
      </c>
      <c r="F2457" s="8">
        <f>IF(IF(D2457&lt;&gt;D2456,1,IF(OR(B2457&lt;&gt;B2456,A2457-A2456&gt;$U$1),1,""))&lt;&gt;1,"",IF(C2457="B01",1,IF(C2457="B05",1,IF(C2457="B03",1,IF(C2457="B04",1,IF(C2457="B20",1,IF(C2457="B02",1,0)))))))</f>
        <v>1</v>
      </c>
      <c r="G2457"/>
      <c r="H2457" s="2"/>
      <c r="I2457" s="2"/>
      <c r="L2457"/>
      <c r="R2457"/>
    </row>
    <row r="2458" spans="1:18">
      <c r="A2458" s="3">
        <v>45692.282766203702</v>
      </c>
      <c r="B2458" s="2" t="s">
        <v>33</v>
      </c>
      <c r="C2458" s="2" t="s">
        <v>11</v>
      </c>
      <c r="D2458" s="6" t="str">
        <f>CONCATENATE(YEAR(A2458),"/",IF(MONTH(A2458)&lt;10,CONCATENATE("0",MONTH(A2458)),MONTH(A2458)))</f>
        <v>2025/02</v>
      </c>
      <c r="E2458" s="8" t="str">
        <f>IF(IF(D2458&lt;&gt;D2457,1,IF(OR(B2458&lt;&gt;B2457,A2458-A2457&gt;$U$1),1,""))&lt;&gt;1,"",IF(C2458="B01",1965,IF(C2458="B02",1020,IF(C2458="B05",2400,IF(C2458="B03",4260,IF(C2458="B04",2880,IF(C2458="B20",1260,0)))))))</f>
        <v/>
      </c>
      <c r="F2458" s="8" t="str">
        <f>IF(IF(D2458&lt;&gt;D2457,1,IF(OR(B2458&lt;&gt;B2457,A2458-A2457&gt;$U$1),1,""))&lt;&gt;1,"",IF(C2458="B01",1,IF(C2458="B05",1,IF(C2458="B03",1,IF(C2458="B04",1,IF(C2458="B20",1,IF(C2458="B02",1,0)))))))</f>
        <v/>
      </c>
      <c r="G2458"/>
      <c r="H2458" s="2"/>
      <c r="I2458" s="2"/>
      <c r="L2458"/>
      <c r="R2458"/>
    </row>
    <row r="2459" spans="1:18">
      <c r="A2459" s="3">
        <v>45692.441631944443</v>
      </c>
      <c r="B2459" s="2" t="s">
        <v>33</v>
      </c>
      <c r="C2459" s="2" t="s">
        <v>11</v>
      </c>
      <c r="D2459" s="6" t="str">
        <f>CONCATENATE(YEAR(A2459),"/",IF(MONTH(A2459)&lt;10,CONCATENATE("0",MONTH(A2459)),MONTH(A2459)))</f>
        <v>2025/02</v>
      </c>
      <c r="E2459" s="8">
        <f>IF(IF(D2459&lt;&gt;D2458,1,IF(OR(B2459&lt;&gt;B2458,A2459-A2458&gt;$U$1),1,""))&lt;&gt;1,"",IF(C2459="B01",1965,IF(C2459="B02",1020,IF(C2459="B05",2400,IF(C2459="B03",4260,IF(C2459="B04",2880,IF(C2459="B20",1260,0)))))))</f>
        <v>2400</v>
      </c>
      <c r="F2459" s="8">
        <f>IF(IF(D2459&lt;&gt;D2458,1,IF(OR(B2459&lt;&gt;B2458,A2459-A2458&gt;$U$1),1,""))&lt;&gt;1,"",IF(C2459="B01",1,IF(C2459="B05",1,IF(C2459="B03",1,IF(C2459="B04",1,IF(C2459="B20",1,IF(C2459="B02",1,0)))))))</f>
        <v>1</v>
      </c>
      <c r="G2459"/>
      <c r="H2459" s="2"/>
      <c r="I2459" s="2"/>
      <c r="L2459"/>
      <c r="R2459"/>
    </row>
    <row r="2460" spans="1:18">
      <c r="A2460" s="3">
        <v>45692.441631944443</v>
      </c>
      <c r="B2460" s="2" t="s">
        <v>33</v>
      </c>
      <c r="C2460" s="2" t="s">
        <v>11</v>
      </c>
      <c r="D2460" s="6" t="str">
        <f>CONCATENATE(YEAR(A2460),"/",IF(MONTH(A2460)&lt;10,CONCATENATE("0",MONTH(A2460)),MONTH(A2460)))</f>
        <v>2025/02</v>
      </c>
      <c r="E2460" s="8" t="str">
        <f>IF(IF(D2460&lt;&gt;D2459,1,IF(OR(B2460&lt;&gt;B2459,A2460-A2459&gt;$U$1),1,""))&lt;&gt;1,"",IF(C2460="B01",1965,IF(C2460="B02",1020,IF(C2460="B05",2400,IF(C2460="B03",4260,IF(C2460="B04",2880,IF(C2460="B20",1260,0)))))))</f>
        <v/>
      </c>
      <c r="F2460" s="8" t="str">
        <f>IF(IF(D2460&lt;&gt;D2459,1,IF(OR(B2460&lt;&gt;B2459,A2460-A2459&gt;$U$1),1,""))&lt;&gt;1,"",IF(C2460="B01",1,IF(C2460="B05",1,IF(C2460="B03",1,IF(C2460="B04",1,IF(C2460="B20",1,IF(C2460="B02",1,0)))))))</f>
        <v/>
      </c>
      <c r="G2460"/>
      <c r="H2460" s="2"/>
      <c r="I2460" s="2"/>
      <c r="L2460"/>
      <c r="R2460"/>
    </row>
    <row r="2461" spans="1:18">
      <c r="A2461" s="3">
        <v>45692.648333333331</v>
      </c>
      <c r="B2461" s="2" t="s">
        <v>33</v>
      </c>
      <c r="C2461" s="2" t="s">
        <v>11</v>
      </c>
      <c r="D2461" s="6" t="str">
        <f>CONCATENATE(YEAR(A2461),"/",IF(MONTH(A2461)&lt;10,CONCATENATE("0",MONTH(A2461)),MONTH(A2461)))</f>
        <v>2025/02</v>
      </c>
      <c r="E2461" s="8">
        <f>IF(IF(D2461&lt;&gt;D2460,1,IF(OR(B2461&lt;&gt;B2460,A2461-A2460&gt;$U$1),1,""))&lt;&gt;1,"",IF(C2461="B01",1965,IF(C2461="B02",1020,IF(C2461="B05",2400,IF(C2461="B03",4260,IF(C2461="B04",2880,IF(C2461="B20",1260,0)))))))</f>
        <v>2400</v>
      </c>
      <c r="F2461" s="8">
        <f>IF(IF(D2461&lt;&gt;D2460,1,IF(OR(B2461&lt;&gt;B2460,A2461-A2460&gt;$U$1),1,""))&lt;&gt;1,"",IF(C2461="B01",1,IF(C2461="B05",1,IF(C2461="B03",1,IF(C2461="B04",1,IF(C2461="B20",1,IF(C2461="B02",1,0)))))))</f>
        <v>1</v>
      </c>
      <c r="G2461"/>
      <c r="H2461" s="2"/>
      <c r="I2461" s="2"/>
      <c r="L2461"/>
      <c r="R2461"/>
    </row>
    <row r="2462" spans="1:18">
      <c r="A2462" s="3">
        <v>45692.648344907408</v>
      </c>
      <c r="B2462" s="2" t="s">
        <v>33</v>
      </c>
      <c r="C2462" s="2" t="s">
        <v>11</v>
      </c>
      <c r="D2462" s="6" t="str">
        <f>CONCATENATE(YEAR(A2462),"/",IF(MONTH(A2462)&lt;10,CONCATENATE("0",MONTH(A2462)),MONTH(A2462)))</f>
        <v>2025/02</v>
      </c>
      <c r="E2462" s="8" t="str">
        <f>IF(IF(D2462&lt;&gt;D2461,1,IF(OR(B2462&lt;&gt;B2461,A2462-A2461&gt;$U$1),1,""))&lt;&gt;1,"",IF(C2462="B01",1965,IF(C2462="B02",1020,IF(C2462="B05",2400,IF(C2462="B03",4260,IF(C2462="B04",2880,IF(C2462="B20",1260,0)))))))</f>
        <v/>
      </c>
      <c r="F2462" s="8" t="str">
        <f>IF(IF(D2462&lt;&gt;D2461,1,IF(OR(B2462&lt;&gt;B2461,A2462-A2461&gt;$U$1),1,""))&lt;&gt;1,"",IF(C2462="B01",1,IF(C2462="B05",1,IF(C2462="B03",1,IF(C2462="B04",1,IF(C2462="B20",1,IF(C2462="B02",1,0)))))))</f>
        <v/>
      </c>
      <c r="G2462"/>
      <c r="H2462" s="2"/>
      <c r="I2462" s="2"/>
      <c r="L2462"/>
      <c r="R2462"/>
    </row>
    <row r="2463" spans="1:18">
      <c r="A2463" s="3">
        <v>45692.648344907408</v>
      </c>
      <c r="B2463" s="2" t="s">
        <v>33</v>
      </c>
      <c r="C2463" s="2" t="s">
        <v>11</v>
      </c>
      <c r="D2463" s="6" t="str">
        <f>CONCATENATE(YEAR(A2463),"/",IF(MONTH(A2463)&lt;10,CONCATENATE("0",MONTH(A2463)),MONTH(A2463)))</f>
        <v>2025/02</v>
      </c>
      <c r="E2463" s="8" t="str">
        <f>IF(IF(D2463&lt;&gt;D2462,1,IF(OR(B2463&lt;&gt;B2462,A2463-A2462&gt;$U$1),1,""))&lt;&gt;1,"",IF(C2463="B01",1965,IF(C2463="B02",1020,IF(C2463="B05",2400,IF(C2463="B03",4260,IF(C2463="B04",2880,IF(C2463="B20",1260,0)))))))</f>
        <v/>
      </c>
      <c r="F2463" s="8" t="str">
        <f>IF(IF(D2463&lt;&gt;D2462,1,IF(OR(B2463&lt;&gt;B2462,A2463-A2462&gt;$U$1),1,""))&lt;&gt;1,"",IF(C2463="B01",1,IF(C2463="B05",1,IF(C2463="B03",1,IF(C2463="B04",1,IF(C2463="B20",1,IF(C2463="B02",1,0)))))))</f>
        <v/>
      </c>
      <c r="G2463"/>
      <c r="H2463" s="2"/>
      <c r="I2463" s="2"/>
      <c r="L2463"/>
      <c r="R2463"/>
    </row>
    <row r="2464" spans="1:18">
      <c r="A2464" s="3">
        <v>45692.648344907408</v>
      </c>
      <c r="B2464" s="2" t="s">
        <v>33</v>
      </c>
      <c r="C2464" s="2" t="s">
        <v>11</v>
      </c>
      <c r="D2464" s="6" t="str">
        <f>CONCATENATE(YEAR(A2464),"/",IF(MONTH(A2464)&lt;10,CONCATENATE("0",MONTH(A2464)),MONTH(A2464)))</f>
        <v>2025/02</v>
      </c>
      <c r="E2464" s="8" t="str">
        <f>IF(IF(D2464&lt;&gt;D2463,1,IF(OR(B2464&lt;&gt;B2463,A2464-A2463&gt;$U$1),1,""))&lt;&gt;1,"",IF(C2464="B01",1965,IF(C2464="B02",1020,IF(C2464="B05",2400,IF(C2464="B03",4260,IF(C2464="B04",2880,IF(C2464="B20",1260,0)))))))</f>
        <v/>
      </c>
      <c r="F2464" s="8" t="str">
        <f>IF(IF(D2464&lt;&gt;D2463,1,IF(OR(B2464&lt;&gt;B2463,A2464-A2463&gt;$U$1),1,""))&lt;&gt;1,"",IF(C2464="B01",1,IF(C2464="B05",1,IF(C2464="B03",1,IF(C2464="B04",1,IF(C2464="B20",1,IF(C2464="B02",1,0)))))))</f>
        <v/>
      </c>
      <c r="G2464"/>
      <c r="H2464" s="2"/>
      <c r="I2464" s="2"/>
      <c r="L2464"/>
      <c r="R2464"/>
    </row>
    <row r="2465" spans="1:18">
      <c r="A2465" s="3">
        <v>45692.811215277776</v>
      </c>
      <c r="B2465" s="2" t="s">
        <v>33</v>
      </c>
      <c r="C2465" s="2" t="s">
        <v>11</v>
      </c>
      <c r="D2465" s="6" t="str">
        <f>CONCATENATE(YEAR(A2465),"/",IF(MONTH(A2465)&lt;10,CONCATENATE("0",MONTH(A2465)),MONTH(A2465)))</f>
        <v>2025/02</v>
      </c>
      <c r="E2465" s="8">
        <f>IF(IF(D2465&lt;&gt;D2464,1,IF(OR(B2465&lt;&gt;B2464,A2465-A2464&gt;$U$1),1,""))&lt;&gt;1,"",IF(C2465="B01",1965,IF(C2465="B02",1020,IF(C2465="B05",2400,IF(C2465="B03",4260,IF(C2465="B04",2880,IF(C2465="B20",1260,0)))))))</f>
        <v>2400</v>
      </c>
      <c r="F2465" s="8">
        <f>IF(IF(D2465&lt;&gt;D2464,1,IF(OR(B2465&lt;&gt;B2464,A2465-A2464&gt;$U$1),1,""))&lt;&gt;1,"",IF(C2465="B01",1,IF(C2465="B05",1,IF(C2465="B03",1,IF(C2465="B04",1,IF(C2465="B20",1,IF(C2465="B02",1,0)))))))</f>
        <v>1</v>
      </c>
      <c r="G2465"/>
      <c r="H2465" s="2"/>
      <c r="I2465" s="2"/>
      <c r="L2465"/>
      <c r="R2465"/>
    </row>
    <row r="2466" spans="1:18">
      <c r="A2466" s="3">
        <v>45692.811215277776</v>
      </c>
      <c r="B2466" s="2" t="s">
        <v>33</v>
      </c>
      <c r="C2466" s="2" t="s">
        <v>11</v>
      </c>
      <c r="D2466" s="6" t="str">
        <f>CONCATENATE(YEAR(A2466),"/",IF(MONTH(A2466)&lt;10,CONCATENATE("0",MONTH(A2466)),MONTH(A2466)))</f>
        <v>2025/02</v>
      </c>
      <c r="E2466" s="8" t="str">
        <f>IF(IF(D2466&lt;&gt;D2465,1,IF(OR(B2466&lt;&gt;B2465,A2466-A2465&gt;$U$1),1,""))&lt;&gt;1,"",IF(C2466="B01",1965,IF(C2466="B02",1020,IF(C2466="B05",2400,IF(C2466="B03",4260,IF(C2466="B04",2880,IF(C2466="B20",1260,0)))))))</f>
        <v/>
      </c>
      <c r="F2466" s="8" t="str">
        <f>IF(IF(D2466&lt;&gt;D2465,1,IF(OR(B2466&lt;&gt;B2465,A2466-A2465&gt;$U$1),1,""))&lt;&gt;1,"",IF(C2466="B01",1,IF(C2466="B05",1,IF(C2466="B03",1,IF(C2466="B04",1,IF(C2466="B20",1,IF(C2466="B02",1,0)))))))</f>
        <v/>
      </c>
      <c r="G2466"/>
      <c r="H2466" s="2"/>
      <c r="I2466" s="2"/>
      <c r="L2466"/>
      <c r="R2466"/>
    </row>
    <row r="2467" spans="1:18">
      <c r="A2467" s="3">
        <v>45692.811215277776</v>
      </c>
      <c r="B2467" s="2" t="s">
        <v>33</v>
      </c>
      <c r="C2467" s="2" t="s">
        <v>11</v>
      </c>
      <c r="D2467" s="6" t="str">
        <f>CONCATENATE(YEAR(A2467),"/",IF(MONTH(A2467)&lt;10,CONCATENATE("0",MONTH(A2467)),MONTH(A2467)))</f>
        <v>2025/02</v>
      </c>
      <c r="E2467" s="8" t="str">
        <f>IF(IF(D2467&lt;&gt;D2466,1,IF(OR(B2467&lt;&gt;B2466,A2467-A2466&gt;$U$1),1,""))&lt;&gt;1,"",IF(C2467="B01",1965,IF(C2467="B02",1020,IF(C2467="B05",2400,IF(C2467="B03",4260,IF(C2467="B04",2880,IF(C2467="B20",1260,0)))))))</f>
        <v/>
      </c>
      <c r="F2467" s="8" t="str">
        <f>IF(IF(D2467&lt;&gt;D2466,1,IF(OR(B2467&lt;&gt;B2466,A2467-A2466&gt;$U$1),1,""))&lt;&gt;1,"",IF(C2467="B01",1,IF(C2467="B05",1,IF(C2467="B03",1,IF(C2467="B04",1,IF(C2467="B20",1,IF(C2467="B02",1,0)))))))</f>
        <v/>
      </c>
      <c r="G2467"/>
      <c r="H2467" s="2"/>
      <c r="I2467" s="2"/>
      <c r="L2467"/>
      <c r="R2467"/>
    </row>
    <row r="2468" spans="1:18">
      <c r="A2468" s="3">
        <v>45692.811215277776</v>
      </c>
      <c r="B2468" s="2" t="s">
        <v>33</v>
      </c>
      <c r="C2468" s="2" t="s">
        <v>11</v>
      </c>
      <c r="D2468" s="6" t="str">
        <f>CONCATENATE(YEAR(A2468),"/",IF(MONTH(A2468)&lt;10,CONCATENATE("0",MONTH(A2468)),MONTH(A2468)))</f>
        <v>2025/02</v>
      </c>
      <c r="E2468" s="8" t="str">
        <f>IF(IF(D2468&lt;&gt;D2467,1,IF(OR(B2468&lt;&gt;B2467,A2468-A2467&gt;$U$1),1,""))&lt;&gt;1,"",IF(C2468="B01",1965,IF(C2468="B02",1020,IF(C2468="B05",2400,IF(C2468="B03",4260,IF(C2468="B04",2880,IF(C2468="B20",1260,0)))))))</f>
        <v/>
      </c>
      <c r="F2468" s="8" t="str">
        <f>IF(IF(D2468&lt;&gt;D2467,1,IF(OR(B2468&lt;&gt;B2467,A2468-A2467&gt;$U$1),1,""))&lt;&gt;1,"",IF(C2468="B01",1,IF(C2468="B05",1,IF(C2468="B03",1,IF(C2468="B04",1,IF(C2468="B20",1,IF(C2468="B02",1,0)))))))</f>
        <v/>
      </c>
      <c r="G2468"/>
      <c r="H2468" s="2"/>
      <c r="I2468" s="2"/>
      <c r="L2468"/>
      <c r="R2468"/>
    </row>
    <row r="2469" spans="1:18">
      <c r="A2469" s="3">
        <v>45693.398344907408</v>
      </c>
      <c r="B2469" s="2" t="s">
        <v>33</v>
      </c>
      <c r="C2469" s="2" t="s">
        <v>11</v>
      </c>
      <c r="D2469" s="6" t="str">
        <f>CONCATENATE(YEAR(A2469),"/",IF(MONTH(A2469)&lt;10,CONCATENATE("0",MONTH(A2469)),MONTH(A2469)))</f>
        <v>2025/02</v>
      </c>
      <c r="E2469" s="8">
        <f>IF(IF(D2469&lt;&gt;D2468,1,IF(OR(B2469&lt;&gt;B2468,A2469-A2468&gt;$U$1),1,""))&lt;&gt;1,"",IF(C2469="B01",1965,IF(C2469="B02",1020,IF(C2469="B05",2400,IF(C2469="B03",4260,IF(C2469="B04",2880,IF(C2469="B20",1260,0)))))))</f>
        <v>2400</v>
      </c>
      <c r="F2469" s="8">
        <f>IF(IF(D2469&lt;&gt;D2468,1,IF(OR(B2469&lt;&gt;B2468,A2469-A2468&gt;$U$1),1,""))&lt;&gt;1,"",IF(C2469="B01",1,IF(C2469="B05",1,IF(C2469="B03",1,IF(C2469="B04",1,IF(C2469="B20",1,IF(C2469="B02",1,0)))))))</f>
        <v>1</v>
      </c>
      <c r="G2469"/>
      <c r="H2469" s="2"/>
      <c r="I2469" s="2"/>
      <c r="L2469"/>
      <c r="R2469"/>
    </row>
    <row r="2470" spans="1:18">
      <c r="A2470" s="3">
        <v>45693.398344907408</v>
      </c>
      <c r="B2470" s="2" t="s">
        <v>33</v>
      </c>
      <c r="C2470" s="2" t="s">
        <v>11</v>
      </c>
      <c r="D2470" s="6" t="str">
        <f>CONCATENATE(YEAR(A2470),"/",IF(MONTH(A2470)&lt;10,CONCATENATE("0",MONTH(A2470)),MONTH(A2470)))</f>
        <v>2025/02</v>
      </c>
      <c r="E2470" s="8" t="str">
        <f>IF(IF(D2470&lt;&gt;D2469,1,IF(OR(B2470&lt;&gt;B2469,A2470-A2469&gt;$U$1),1,""))&lt;&gt;1,"",IF(C2470="B01",1965,IF(C2470="B02",1020,IF(C2470="B05",2400,IF(C2470="B03",4260,IF(C2470="B04",2880,IF(C2470="B20",1260,0)))))))</f>
        <v/>
      </c>
      <c r="F2470" s="8" t="str">
        <f>IF(IF(D2470&lt;&gt;D2469,1,IF(OR(B2470&lt;&gt;B2469,A2470-A2469&gt;$U$1),1,""))&lt;&gt;1,"",IF(C2470="B01",1,IF(C2470="B05",1,IF(C2470="B03",1,IF(C2470="B04",1,IF(C2470="B20",1,IF(C2470="B02",1,0)))))))</f>
        <v/>
      </c>
      <c r="G2470"/>
      <c r="H2470" s="2"/>
      <c r="I2470" s="2"/>
      <c r="L2470"/>
      <c r="R2470"/>
    </row>
    <row r="2471" spans="1:18">
      <c r="A2471" s="3">
        <v>45693.398344907408</v>
      </c>
      <c r="B2471" s="2" t="s">
        <v>33</v>
      </c>
      <c r="C2471" s="2" t="s">
        <v>11</v>
      </c>
      <c r="D2471" s="6" t="str">
        <f>CONCATENATE(YEAR(A2471),"/",IF(MONTH(A2471)&lt;10,CONCATENATE("0",MONTH(A2471)),MONTH(A2471)))</f>
        <v>2025/02</v>
      </c>
      <c r="E2471" s="8" t="str">
        <f>IF(IF(D2471&lt;&gt;D2470,1,IF(OR(B2471&lt;&gt;B2470,A2471-A2470&gt;$U$1),1,""))&lt;&gt;1,"",IF(C2471="B01",1965,IF(C2471="B02",1020,IF(C2471="B05",2400,IF(C2471="B03",4260,IF(C2471="B04",2880,IF(C2471="B20",1260,0)))))))</f>
        <v/>
      </c>
      <c r="F2471" s="8" t="str">
        <f>IF(IF(D2471&lt;&gt;D2470,1,IF(OR(B2471&lt;&gt;B2470,A2471-A2470&gt;$U$1),1,""))&lt;&gt;1,"",IF(C2471="B01",1,IF(C2471="B05",1,IF(C2471="B03",1,IF(C2471="B04",1,IF(C2471="B20",1,IF(C2471="B02",1,0)))))))</f>
        <v/>
      </c>
      <c r="G2471"/>
      <c r="H2471" s="2"/>
      <c r="I2471" s="2"/>
      <c r="L2471"/>
      <c r="R2471"/>
    </row>
    <row r="2472" spans="1:18">
      <c r="A2472" s="3">
        <v>45693.425497685188</v>
      </c>
      <c r="B2472" s="2" t="s">
        <v>33</v>
      </c>
      <c r="C2472" s="2" t="s">
        <v>11</v>
      </c>
      <c r="D2472" s="6" t="str">
        <f>CONCATENATE(YEAR(A2472),"/",IF(MONTH(A2472)&lt;10,CONCATENATE("0",MONTH(A2472)),MONTH(A2472)))</f>
        <v>2025/02</v>
      </c>
      <c r="E2472" s="8">
        <f>IF(IF(D2472&lt;&gt;D2471,1,IF(OR(B2472&lt;&gt;B2471,A2472-A2471&gt;$U$1),1,""))&lt;&gt;1,"",IF(C2472="B01",1965,IF(C2472="B02",1020,IF(C2472="B05",2400,IF(C2472="B03",4260,IF(C2472="B04",2880,IF(C2472="B20",1260,0)))))))</f>
        <v>2400</v>
      </c>
      <c r="F2472" s="8">
        <f>IF(IF(D2472&lt;&gt;D2471,1,IF(OR(B2472&lt;&gt;B2471,A2472-A2471&gt;$U$1),1,""))&lt;&gt;1,"",IF(C2472="B01",1,IF(C2472="B05",1,IF(C2472="B03",1,IF(C2472="B04",1,IF(C2472="B20",1,IF(C2472="B02",1,0)))))))</f>
        <v>1</v>
      </c>
      <c r="G2472"/>
      <c r="H2472" s="2"/>
      <c r="I2472" s="2"/>
      <c r="L2472"/>
      <c r="R2472"/>
    </row>
    <row r="2473" spans="1:18">
      <c r="A2473" s="3">
        <v>45693.425497685188</v>
      </c>
      <c r="B2473" s="2" t="s">
        <v>33</v>
      </c>
      <c r="C2473" s="2" t="s">
        <v>11</v>
      </c>
      <c r="D2473" s="6" t="str">
        <f>CONCATENATE(YEAR(A2473),"/",IF(MONTH(A2473)&lt;10,CONCATENATE("0",MONTH(A2473)),MONTH(A2473)))</f>
        <v>2025/02</v>
      </c>
      <c r="E2473" s="8" t="str">
        <f>IF(IF(D2473&lt;&gt;D2472,1,IF(OR(B2473&lt;&gt;B2472,A2473-A2472&gt;$U$1),1,""))&lt;&gt;1,"",IF(C2473="B01",1965,IF(C2473="B02",1020,IF(C2473="B05",2400,IF(C2473="B03",4260,IF(C2473="B04",2880,IF(C2473="B20",1260,0)))))))</f>
        <v/>
      </c>
      <c r="F2473" s="8" t="str">
        <f>IF(IF(D2473&lt;&gt;D2472,1,IF(OR(B2473&lt;&gt;B2472,A2473-A2472&gt;$U$1),1,""))&lt;&gt;1,"",IF(C2473="B01",1,IF(C2473="B05",1,IF(C2473="B03",1,IF(C2473="B04",1,IF(C2473="B20",1,IF(C2473="B02",1,0)))))))</f>
        <v/>
      </c>
      <c r="G2473"/>
      <c r="H2473" s="2"/>
      <c r="I2473" s="2"/>
      <c r="L2473"/>
      <c r="R2473"/>
    </row>
    <row r="2474" spans="1:18">
      <c r="A2474" s="3">
        <v>45693.425497685188</v>
      </c>
      <c r="B2474" s="2" t="s">
        <v>33</v>
      </c>
      <c r="C2474" s="2" t="s">
        <v>11</v>
      </c>
      <c r="D2474" s="6" t="str">
        <f>CONCATENATE(YEAR(A2474),"/",IF(MONTH(A2474)&lt;10,CONCATENATE("0",MONTH(A2474)),MONTH(A2474)))</f>
        <v>2025/02</v>
      </c>
      <c r="E2474" s="8" t="str">
        <f>IF(IF(D2474&lt;&gt;D2473,1,IF(OR(B2474&lt;&gt;B2473,A2474-A2473&gt;$U$1),1,""))&lt;&gt;1,"",IF(C2474="B01",1965,IF(C2474="B02",1020,IF(C2474="B05",2400,IF(C2474="B03",4260,IF(C2474="B04",2880,IF(C2474="B20",1260,0)))))))</f>
        <v/>
      </c>
      <c r="F2474" s="8" t="str">
        <f>IF(IF(D2474&lt;&gt;D2473,1,IF(OR(B2474&lt;&gt;B2473,A2474-A2473&gt;$U$1),1,""))&lt;&gt;1,"",IF(C2474="B01",1,IF(C2474="B05",1,IF(C2474="B03",1,IF(C2474="B04",1,IF(C2474="B20",1,IF(C2474="B02",1,0)))))))</f>
        <v/>
      </c>
      <c r="G2474"/>
      <c r="H2474" s="2"/>
      <c r="I2474" s="2"/>
      <c r="L2474"/>
      <c r="R2474"/>
    </row>
    <row r="2475" spans="1:18">
      <c r="A2475" s="3">
        <v>45693.630972222221</v>
      </c>
      <c r="B2475" s="2" t="s">
        <v>33</v>
      </c>
      <c r="C2475" s="2" t="s">
        <v>11</v>
      </c>
      <c r="D2475" s="6" t="str">
        <f>CONCATENATE(YEAR(A2475),"/",IF(MONTH(A2475)&lt;10,CONCATENATE("0",MONTH(A2475)),MONTH(A2475)))</f>
        <v>2025/02</v>
      </c>
      <c r="E2475" s="8">
        <f>IF(IF(D2475&lt;&gt;D2474,1,IF(OR(B2475&lt;&gt;B2474,A2475-A2474&gt;$U$1),1,""))&lt;&gt;1,"",IF(C2475="B01",1965,IF(C2475="B02",1020,IF(C2475="B05",2400,IF(C2475="B03",4260,IF(C2475="B04",2880,IF(C2475="B20",1260,0)))))))</f>
        <v>2400</v>
      </c>
      <c r="F2475" s="8">
        <f>IF(IF(D2475&lt;&gt;D2474,1,IF(OR(B2475&lt;&gt;B2474,A2475-A2474&gt;$U$1),1,""))&lt;&gt;1,"",IF(C2475="B01",1,IF(C2475="B05",1,IF(C2475="B03",1,IF(C2475="B04",1,IF(C2475="B20",1,IF(C2475="B02",1,0)))))))</f>
        <v>1</v>
      </c>
      <c r="G2475"/>
      <c r="H2475" s="2"/>
      <c r="I2475" s="2"/>
      <c r="L2475"/>
      <c r="R2475"/>
    </row>
    <row r="2476" spans="1:18">
      <c r="A2476" s="3">
        <v>45693.630972222221</v>
      </c>
      <c r="B2476" s="2" t="s">
        <v>33</v>
      </c>
      <c r="C2476" s="2" t="s">
        <v>11</v>
      </c>
      <c r="D2476" s="6" t="str">
        <f>CONCATENATE(YEAR(A2476),"/",IF(MONTH(A2476)&lt;10,CONCATENATE("0",MONTH(A2476)),MONTH(A2476)))</f>
        <v>2025/02</v>
      </c>
      <c r="E2476" s="8" t="str">
        <f>IF(IF(D2476&lt;&gt;D2475,1,IF(OR(B2476&lt;&gt;B2475,A2476-A2475&gt;$U$1),1,""))&lt;&gt;1,"",IF(C2476="B01",1965,IF(C2476="B02",1020,IF(C2476="B05",2400,IF(C2476="B03",4260,IF(C2476="B04",2880,IF(C2476="B20",1260,0)))))))</f>
        <v/>
      </c>
      <c r="F2476" s="8" t="str">
        <f>IF(IF(D2476&lt;&gt;D2475,1,IF(OR(B2476&lt;&gt;B2475,A2476-A2475&gt;$U$1),1,""))&lt;&gt;1,"",IF(C2476="B01",1,IF(C2476="B05",1,IF(C2476="B03",1,IF(C2476="B04",1,IF(C2476="B20",1,IF(C2476="B02",1,0)))))))</f>
        <v/>
      </c>
      <c r="G2476"/>
      <c r="H2476" s="2"/>
      <c r="I2476" s="2"/>
      <c r="L2476"/>
      <c r="R2476"/>
    </row>
    <row r="2477" spans="1:18">
      <c r="A2477" s="3">
        <v>45693.630972222221</v>
      </c>
      <c r="B2477" s="2" t="s">
        <v>33</v>
      </c>
      <c r="C2477" s="2" t="s">
        <v>11</v>
      </c>
      <c r="D2477" s="6" t="str">
        <f>CONCATENATE(YEAR(A2477),"/",IF(MONTH(A2477)&lt;10,CONCATENATE("0",MONTH(A2477)),MONTH(A2477)))</f>
        <v>2025/02</v>
      </c>
      <c r="E2477" s="8" t="str">
        <f>IF(IF(D2477&lt;&gt;D2476,1,IF(OR(B2477&lt;&gt;B2476,A2477-A2476&gt;$U$1),1,""))&lt;&gt;1,"",IF(C2477="B01",1965,IF(C2477="B02",1020,IF(C2477="B05",2400,IF(C2477="B03",4260,IF(C2477="B04",2880,IF(C2477="B20",1260,0)))))))</f>
        <v/>
      </c>
      <c r="F2477" s="8" t="str">
        <f>IF(IF(D2477&lt;&gt;D2476,1,IF(OR(B2477&lt;&gt;B2476,A2477-A2476&gt;$U$1),1,""))&lt;&gt;1,"",IF(C2477="B01",1,IF(C2477="B05",1,IF(C2477="B03",1,IF(C2477="B04",1,IF(C2477="B20",1,IF(C2477="B02",1,0)))))))</f>
        <v/>
      </c>
      <c r="G2477"/>
      <c r="H2477" s="2"/>
      <c r="I2477" s="2"/>
      <c r="L2477"/>
      <c r="R2477"/>
    </row>
    <row r="2478" spans="1:18">
      <c r="A2478" s="3">
        <v>45694.063113425924</v>
      </c>
      <c r="B2478" s="2" t="s">
        <v>33</v>
      </c>
      <c r="C2478" s="2" t="s">
        <v>11</v>
      </c>
      <c r="D2478" s="6" t="str">
        <f>CONCATENATE(YEAR(A2478),"/",IF(MONTH(A2478)&lt;10,CONCATENATE("0",MONTH(A2478)),MONTH(A2478)))</f>
        <v>2025/02</v>
      </c>
      <c r="E2478" s="8">
        <f>IF(IF(D2478&lt;&gt;D2477,1,IF(OR(B2478&lt;&gt;B2477,A2478-A2477&gt;$U$1),1,""))&lt;&gt;1,"",IF(C2478="B01",1965,IF(C2478="B02",1020,IF(C2478="B05",2400,IF(C2478="B03",4260,IF(C2478="B04",2880,IF(C2478="B20",1260,0)))))))</f>
        <v>2400</v>
      </c>
      <c r="F2478" s="8">
        <f>IF(IF(D2478&lt;&gt;D2477,1,IF(OR(B2478&lt;&gt;B2477,A2478-A2477&gt;$U$1),1,""))&lt;&gt;1,"",IF(C2478="B01",1,IF(C2478="B05",1,IF(C2478="B03",1,IF(C2478="B04",1,IF(C2478="B20",1,IF(C2478="B02",1,0)))))))</f>
        <v>1</v>
      </c>
      <c r="G2478"/>
      <c r="H2478" s="2"/>
      <c r="I2478" s="2"/>
      <c r="L2478"/>
      <c r="R2478"/>
    </row>
    <row r="2479" spans="1:18">
      <c r="A2479" s="3">
        <v>45694.063113425924</v>
      </c>
      <c r="B2479" s="2" t="s">
        <v>33</v>
      </c>
      <c r="C2479" s="2" t="s">
        <v>11</v>
      </c>
      <c r="D2479" s="6" t="str">
        <f>CONCATENATE(YEAR(A2479),"/",IF(MONTH(A2479)&lt;10,CONCATENATE("0",MONTH(A2479)),MONTH(A2479)))</f>
        <v>2025/02</v>
      </c>
      <c r="E2479" s="8" t="str">
        <f>IF(IF(D2479&lt;&gt;D2478,1,IF(OR(B2479&lt;&gt;B2478,A2479-A2478&gt;$U$1),1,""))&lt;&gt;1,"",IF(C2479="B01",1965,IF(C2479="B02",1020,IF(C2479="B05",2400,IF(C2479="B03",4260,IF(C2479="B04",2880,IF(C2479="B20",1260,0)))))))</f>
        <v/>
      </c>
      <c r="F2479" s="8" t="str">
        <f>IF(IF(D2479&lt;&gt;D2478,1,IF(OR(B2479&lt;&gt;B2478,A2479-A2478&gt;$U$1),1,""))&lt;&gt;1,"",IF(C2479="B01",1,IF(C2479="B05",1,IF(C2479="B03",1,IF(C2479="B04",1,IF(C2479="B20",1,IF(C2479="B02",1,0)))))))</f>
        <v/>
      </c>
      <c r="G2479"/>
      <c r="H2479" s="2"/>
      <c r="I2479" s="2"/>
      <c r="L2479"/>
      <c r="R2479"/>
    </row>
    <row r="2480" spans="1:18">
      <c r="A2480" s="3">
        <v>45694.063113425924</v>
      </c>
      <c r="B2480" s="2" t="s">
        <v>33</v>
      </c>
      <c r="C2480" s="2" t="s">
        <v>11</v>
      </c>
      <c r="D2480" s="6" t="str">
        <f>CONCATENATE(YEAR(A2480),"/",IF(MONTH(A2480)&lt;10,CONCATENATE("0",MONTH(A2480)),MONTH(A2480)))</f>
        <v>2025/02</v>
      </c>
      <c r="E2480" s="8" t="str">
        <f>IF(IF(D2480&lt;&gt;D2479,1,IF(OR(B2480&lt;&gt;B2479,A2480-A2479&gt;$U$1),1,""))&lt;&gt;1,"",IF(C2480="B01",1965,IF(C2480="B02",1020,IF(C2480="B05",2400,IF(C2480="B03",4260,IF(C2480="B04",2880,IF(C2480="B20",1260,0)))))))</f>
        <v/>
      </c>
      <c r="F2480" s="8" t="str">
        <f>IF(IF(D2480&lt;&gt;D2479,1,IF(OR(B2480&lt;&gt;B2479,A2480-A2479&gt;$U$1),1,""))&lt;&gt;1,"",IF(C2480="B01",1,IF(C2480="B05",1,IF(C2480="B03",1,IF(C2480="B04",1,IF(C2480="B20",1,IF(C2480="B02",1,0)))))))</f>
        <v/>
      </c>
      <c r="G2480"/>
      <c r="H2480" s="2"/>
      <c r="I2480" s="2"/>
      <c r="L2480"/>
      <c r="R2480"/>
    </row>
    <row r="2481" spans="1:18">
      <c r="A2481" s="3">
        <v>45695.308379629627</v>
      </c>
      <c r="B2481" s="2" t="s">
        <v>33</v>
      </c>
      <c r="C2481" s="2" t="s">
        <v>11</v>
      </c>
      <c r="D2481" s="6" t="str">
        <f>CONCATENATE(YEAR(A2481),"/",IF(MONTH(A2481)&lt;10,CONCATENATE("0",MONTH(A2481)),MONTH(A2481)))</f>
        <v>2025/02</v>
      </c>
      <c r="E2481" s="8">
        <f>IF(IF(D2481&lt;&gt;D2480,1,IF(OR(B2481&lt;&gt;B2480,A2481-A2480&gt;$U$1),1,""))&lt;&gt;1,"",IF(C2481="B01",1965,IF(C2481="B02",1020,IF(C2481="B05",2400,IF(C2481="B03",4260,IF(C2481="B04",2880,IF(C2481="B20",1260,0)))))))</f>
        <v>2400</v>
      </c>
      <c r="F2481" s="8">
        <f>IF(IF(D2481&lt;&gt;D2480,1,IF(OR(B2481&lt;&gt;B2480,A2481-A2480&gt;$U$1),1,""))&lt;&gt;1,"",IF(C2481="B01",1,IF(C2481="B05",1,IF(C2481="B03",1,IF(C2481="B04",1,IF(C2481="B20",1,IF(C2481="B02",1,0)))))))</f>
        <v>1</v>
      </c>
      <c r="G2481"/>
      <c r="H2481" s="2"/>
      <c r="I2481" s="2"/>
      <c r="L2481"/>
      <c r="R2481"/>
    </row>
    <row r="2482" spans="1:18">
      <c r="A2482" s="3">
        <v>45695.308379629627</v>
      </c>
      <c r="B2482" s="2" t="s">
        <v>33</v>
      </c>
      <c r="C2482" s="2" t="s">
        <v>11</v>
      </c>
      <c r="D2482" s="6" t="str">
        <f>CONCATENATE(YEAR(A2482),"/",IF(MONTH(A2482)&lt;10,CONCATENATE("0",MONTH(A2482)),MONTH(A2482)))</f>
        <v>2025/02</v>
      </c>
      <c r="E2482" s="8" t="str">
        <f>IF(IF(D2482&lt;&gt;D2481,1,IF(OR(B2482&lt;&gt;B2481,A2482-A2481&gt;$U$1),1,""))&lt;&gt;1,"",IF(C2482="B01",1965,IF(C2482="B02",1020,IF(C2482="B05",2400,IF(C2482="B03",4260,IF(C2482="B04",2880,IF(C2482="B20",1260,0)))))))</f>
        <v/>
      </c>
      <c r="F2482" s="8" t="str">
        <f>IF(IF(D2482&lt;&gt;D2481,1,IF(OR(B2482&lt;&gt;B2481,A2482-A2481&gt;$U$1),1,""))&lt;&gt;1,"",IF(C2482="B01",1,IF(C2482="B05",1,IF(C2482="B03",1,IF(C2482="B04",1,IF(C2482="B20",1,IF(C2482="B02",1,0)))))))</f>
        <v/>
      </c>
      <c r="G2482"/>
      <c r="H2482" s="2"/>
      <c r="I2482" s="2"/>
      <c r="L2482"/>
      <c r="R2482"/>
    </row>
    <row r="2483" spans="1:18">
      <c r="A2483" s="3">
        <v>45695.308379629627</v>
      </c>
      <c r="B2483" s="2" t="s">
        <v>33</v>
      </c>
      <c r="C2483" s="2" t="s">
        <v>11</v>
      </c>
      <c r="D2483" s="6" t="str">
        <f>CONCATENATE(YEAR(A2483),"/",IF(MONTH(A2483)&lt;10,CONCATENATE("0",MONTH(A2483)),MONTH(A2483)))</f>
        <v>2025/02</v>
      </c>
      <c r="E2483" s="8" t="str">
        <f>IF(IF(D2483&lt;&gt;D2482,1,IF(OR(B2483&lt;&gt;B2482,A2483-A2482&gt;$U$1),1,""))&lt;&gt;1,"",IF(C2483="B01",1965,IF(C2483="B02",1020,IF(C2483="B05",2400,IF(C2483="B03",4260,IF(C2483="B04",2880,IF(C2483="B20",1260,0)))))))</f>
        <v/>
      </c>
      <c r="F2483" s="8" t="str">
        <f>IF(IF(D2483&lt;&gt;D2482,1,IF(OR(B2483&lt;&gt;B2482,A2483-A2482&gt;$U$1),1,""))&lt;&gt;1,"",IF(C2483="B01",1,IF(C2483="B05",1,IF(C2483="B03",1,IF(C2483="B04",1,IF(C2483="B20",1,IF(C2483="B02",1,0)))))))</f>
        <v/>
      </c>
      <c r="G2483"/>
      <c r="H2483" s="2"/>
      <c r="I2483" s="2"/>
      <c r="L2483"/>
      <c r="R2483"/>
    </row>
    <row r="2484" spans="1:18">
      <c r="A2484" s="3">
        <v>45695.308379629627</v>
      </c>
      <c r="B2484" s="2" t="s">
        <v>33</v>
      </c>
      <c r="C2484" s="2" t="s">
        <v>11</v>
      </c>
      <c r="D2484" s="6" t="str">
        <f>CONCATENATE(YEAR(A2484),"/",IF(MONTH(A2484)&lt;10,CONCATENATE("0",MONTH(A2484)),MONTH(A2484)))</f>
        <v>2025/02</v>
      </c>
      <c r="E2484" s="8" t="str">
        <f>IF(IF(D2484&lt;&gt;D2483,1,IF(OR(B2484&lt;&gt;B2483,A2484-A2483&gt;$U$1),1,""))&lt;&gt;1,"",IF(C2484="B01",1965,IF(C2484="B02",1020,IF(C2484="B05",2400,IF(C2484="B03",4260,IF(C2484="B04",2880,IF(C2484="B20",1260,0)))))))</f>
        <v/>
      </c>
      <c r="F2484" s="8" t="str">
        <f>IF(IF(D2484&lt;&gt;D2483,1,IF(OR(B2484&lt;&gt;B2483,A2484-A2483&gt;$U$1),1,""))&lt;&gt;1,"",IF(C2484="B01",1,IF(C2484="B05",1,IF(C2484="B03",1,IF(C2484="B04",1,IF(C2484="B20",1,IF(C2484="B02",1,0)))))))</f>
        <v/>
      </c>
      <c r="G2484"/>
      <c r="H2484" s="2"/>
      <c r="I2484" s="2"/>
      <c r="L2484"/>
      <c r="R2484"/>
    </row>
    <row r="2485" spans="1:18">
      <c r="A2485" s="3">
        <v>45695.541180555556</v>
      </c>
      <c r="B2485" s="2" t="s">
        <v>33</v>
      </c>
      <c r="C2485" s="2" t="s">
        <v>34</v>
      </c>
      <c r="D2485" s="6" t="str">
        <f>CONCATENATE(YEAR(A2485),"/",IF(MONTH(A2485)&lt;10,CONCATENATE("0",MONTH(A2485)),MONTH(A2485)))</f>
        <v>2025/02</v>
      </c>
      <c r="E2485" s="8">
        <f>IF(IF(D2485&lt;&gt;D2484,1,IF(OR(B2485&lt;&gt;B2484,A2485-A2484&gt;$U$1),1,""))&lt;&gt;1,"",IF(C2485="B01",1965,IF(C2485="B02",1020,IF(C2485="B05",2400,IF(C2485="B03",4260,IF(C2485="B04",2880,IF(C2485="B20",1260,0)))))))</f>
        <v>1965</v>
      </c>
      <c r="F2485" s="8">
        <f>IF(IF(D2485&lt;&gt;D2484,1,IF(OR(B2485&lt;&gt;B2484,A2485-A2484&gt;$U$1),1,""))&lt;&gt;1,"",IF(C2485="B01",1,IF(C2485="B05",1,IF(C2485="B03",1,IF(C2485="B04",1,IF(C2485="B20",1,IF(C2485="B02",1,0)))))))</f>
        <v>1</v>
      </c>
      <c r="G2485"/>
      <c r="H2485" s="2"/>
      <c r="I2485" s="2"/>
      <c r="L2485"/>
      <c r="R2485"/>
    </row>
    <row r="2486" spans="1:18">
      <c r="A2486" s="3">
        <v>45695.541180555556</v>
      </c>
      <c r="B2486" s="2" t="s">
        <v>33</v>
      </c>
      <c r="C2486" s="2" t="s">
        <v>34</v>
      </c>
      <c r="D2486" s="6" t="str">
        <f>CONCATENATE(YEAR(A2486),"/",IF(MONTH(A2486)&lt;10,CONCATENATE("0",MONTH(A2486)),MONTH(A2486)))</f>
        <v>2025/02</v>
      </c>
      <c r="E2486" s="8" t="str">
        <f>IF(IF(D2486&lt;&gt;D2485,1,IF(OR(B2486&lt;&gt;B2485,A2486-A2485&gt;$U$1),1,""))&lt;&gt;1,"",IF(C2486="B01",1965,IF(C2486="B02",1020,IF(C2486="B05",2400,IF(C2486="B03",4260,IF(C2486="B04",2880,IF(C2486="B20",1260,0)))))))</f>
        <v/>
      </c>
      <c r="F2486" s="8" t="str">
        <f>IF(IF(D2486&lt;&gt;D2485,1,IF(OR(B2486&lt;&gt;B2485,A2486-A2485&gt;$U$1),1,""))&lt;&gt;1,"",IF(C2486="B01",1,IF(C2486="B05",1,IF(C2486="B03",1,IF(C2486="B04",1,IF(C2486="B20",1,IF(C2486="B02",1,0)))))))</f>
        <v/>
      </c>
      <c r="G2486"/>
      <c r="H2486" s="2"/>
      <c r="I2486" s="2"/>
      <c r="L2486"/>
      <c r="R2486"/>
    </row>
    <row r="2487" spans="1:18">
      <c r="A2487" s="3">
        <v>45695.778368055559</v>
      </c>
      <c r="B2487" s="2" t="s">
        <v>33</v>
      </c>
      <c r="C2487" s="2" t="s">
        <v>11</v>
      </c>
      <c r="D2487" s="6" t="str">
        <f>CONCATENATE(YEAR(A2487),"/",IF(MONTH(A2487)&lt;10,CONCATENATE("0",MONTH(A2487)),MONTH(A2487)))</f>
        <v>2025/02</v>
      </c>
      <c r="E2487" s="8">
        <f>IF(IF(D2487&lt;&gt;D2486,1,IF(OR(B2487&lt;&gt;B2486,A2487-A2486&gt;$U$1),1,""))&lt;&gt;1,"",IF(C2487="B01",1965,IF(C2487="B02",1020,IF(C2487="B05",2400,IF(C2487="B03",4260,IF(C2487="B04",2880,IF(C2487="B20",1260,0)))))))</f>
        <v>2400</v>
      </c>
      <c r="F2487" s="8">
        <f>IF(IF(D2487&lt;&gt;D2486,1,IF(OR(B2487&lt;&gt;B2486,A2487-A2486&gt;$U$1),1,""))&lt;&gt;1,"",IF(C2487="B01",1,IF(C2487="B05",1,IF(C2487="B03",1,IF(C2487="B04",1,IF(C2487="B20",1,IF(C2487="B02",1,0)))))))</f>
        <v>1</v>
      </c>
      <c r="G2487"/>
      <c r="H2487" s="2"/>
      <c r="I2487" s="2"/>
      <c r="L2487"/>
      <c r="R2487"/>
    </row>
    <row r="2488" spans="1:18">
      <c r="A2488" s="3">
        <v>45695.778368055559</v>
      </c>
      <c r="B2488" s="2" t="s">
        <v>33</v>
      </c>
      <c r="C2488" s="2" t="s">
        <v>11</v>
      </c>
      <c r="D2488" s="6" t="str">
        <f>CONCATENATE(YEAR(A2488),"/",IF(MONTH(A2488)&lt;10,CONCATENATE("0",MONTH(A2488)),MONTH(A2488)))</f>
        <v>2025/02</v>
      </c>
      <c r="E2488" s="8" t="str">
        <f>IF(IF(D2488&lt;&gt;D2487,1,IF(OR(B2488&lt;&gt;B2487,A2488-A2487&gt;$U$1),1,""))&lt;&gt;1,"",IF(C2488="B01",1965,IF(C2488="B02",1020,IF(C2488="B05",2400,IF(C2488="B03",4260,IF(C2488="B04",2880,IF(C2488="B20",1260,0)))))))</f>
        <v/>
      </c>
      <c r="F2488" s="8" t="str">
        <f>IF(IF(D2488&lt;&gt;D2487,1,IF(OR(B2488&lt;&gt;B2487,A2488-A2487&gt;$U$1),1,""))&lt;&gt;1,"",IF(C2488="B01",1,IF(C2488="B05",1,IF(C2488="B03",1,IF(C2488="B04",1,IF(C2488="B20",1,IF(C2488="B02",1,0)))))))</f>
        <v/>
      </c>
      <c r="G2488"/>
      <c r="H2488" s="2"/>
      <c r="I2488" s="2"/>
      <c r="L2488"/>
      <c r="R2488"/>
    </row>
    <row r="2489" spans="1:18">
      <c r="A2489" s="3">
        <v>45695.915844907409</v>
      </c>
      <c r="B2489" s="2" t="s">
        <v>33</v>
      </c>
      <c r="C2489" s="2" t="s">
        <v>11</v>
      </c>
      <c r="D2489" s="6" t="str">
        <f>CONCATENATE(YEAR(A2489),"/",IF(MONTH(A2489)&lt;10,CONCATENATE("0",MONTH(A2489)),MONTH(A2489)))</f>
        <v>2025/02</v>
      </c>
      <c r="E2489" s="8">
        <f>IF(IF(D2489&lt;&gt;D2488,1,IF(OR(B2489&lt;&gt;B2488,A2489-A2488&gt;$U$1),1,""))&lt;&gt;1,"",IF(C2489="B01",1965,IF(C2489="B02",1020,IF(C2489="B05",2400,IF(C2489="B03",4260,IF(C2489="B04",2880,IF(C2489="B20",1260,0)))))))</f>
        <v>2400</v>
      </c>
      <c r="F2489" s="8">
        <f>IF(IF(D2489&lt;&gt;D2488,1,IF(OR(B2489&lt;&gt;B2488,A2489-A2488&gt;$U$1),1,""))&lt;&gt;1,"",IF(C2489="B01",1,IF(C2489="B05",1,IF(C2489="B03",1,IF(C2489="B04",1,IF(C2489="B20",1,IF(C2489="B02",1,0)))))))</f>
        <v>1</v>
      </c>
      <c r="G2489"/>
      <c r="H2489" s="2"/>
      <c r="I2489" s="2"/>
      <c r="L2489"/>
      <c r="R2489"/>
    </row>
    <row r="2490" spans="1:18">
      <c r="A2490" s="3">
        <v>45695.915844907409</v>
      </c>
      <c r="B2490" s="2" t="s">
        <v>33</v>
      </c>
      <c r="C2490" s="2" t="s">
        <v>11</v>
      </c>
      <c r="D2490" s="6" t="str">
        <f>CONCATENATE(YEAR(A2490),"/",IF(MONTH(A2490)&lt;10,CONCATENATE("0",MONTH(A2490)),MONTH(A2490)))</f>
        <v>2025/02</v>
      </c>
      <c r="E2490" s="8" t="str">
        <f>IF(IF(D2490&lt;&gt;D2489,1,IF(OR(B2490&lt;&gt;B2489,A2490-A2489&gt;$U$1),1,""))&lt;&gt;1,"",IF(C2490="B01",1965,IF(C2490="B02",1020,IF(C2490="B05",2400,IF(C2490="B03",4260,IF(C2490="B04",2880,IF(C2490="B20",1260,0)))))))</f>
        <v/>
      </c>
      <c r="F2490" s="8" t="str">
        <f>IF(IF(D2490&lt;&gt;D2489,1,IF(OR(B2490&lt;&gt;B2489,A2490-A2489&gt;$U$1),1,""))&lt;&gt;1,"",IF(C2490="B01",1,IF(C2490="B05",1,IF(C2490="B03",1,IF(C2490="B04",1,IF(C2490="B20",1,IF(C2490="B02",1,0)))))))</f>
        <v/>
      </c>
      <c r="G2490"/>
      <c r="H2490" s="2"/>
      <c r="I2490" s="2"/>
      <c r="L2490"/>
      <c r="R2490"/>
    </row>
    <row r="2491" spans="1:18">
      <c r="A2491" s="3">
        <v>45696.145462962966</v>
      </c>
      <c r="B2491" s="2" t="s">
        <v>33</v>
      </c>
      <c r="C2491" s="2" t="s">
        <v>11</v>
      </c>
      <c r="D2491" s="6" t="str">
        <f>CONCATENATE(YEAR(A2491),"/",IF(MONTH(A2491)&lt;10,CONCATENATE("0",MONTH(A2491)),MONTH(A2491)))</f>
        <v>2025/02</v>
      </c>
      <c r="E2491" s="8">
        <f>IF(IF(D2491&lt;&gt;D2490,1,IF(OR(B2491&lt;&gt;B2490,A2491-A2490&gt;$U$1),1,""))&lt;&gt;1,"",IF(C2491="B01",1965,IF(C2491="B02",1020,IF(C2491="B05",2400,IF(C2491="B03",4260,IF(C2491="B04",2880,IF(C2491="B20",1260,0)))))))</f>
        <v>2400</v>
      </c>
      <c r="F2491" s="8">
        <f>IF(IF(D2491&lt;&gt;D2490,1,IF(OR(B2491&lt;&gt;B2490,A2491-A2490&gt;$U$1),1,""))&lt;&gt;1,"",IF(C2491="B01",1,IF(C2491="B05",1,IF(C2491="B03",1,IF(C2491="B04",1,IF(C2491="B20",1,IF(C2491="B02",1,0)))))))</f>
        <v>1</v>
      </c>
      <c r="G2491"/>
      <c r="H2491" s="2"/>
      <c r="I2491" s="2"/>
      <c r="L2491"/>
      <c r="R2491"/>
    </row>
    <row r="2492" spans="1:18">
      <c r="A2492" s="3">
        <v>45696.145462962966</v>
      </c>
      <c r="B2492" s="2" t="s">
        <v>33</v>
      </c>
      <c r="C2492" s="2" t="s">
        <v>11</v>
      </c>
      <c r="D2492" s="6" t="str">
        <f>CONCATENATE(YEAR(A2492),"/",IF(MONTH(A2492)&lt;10,CONCATENATE("0",MONTH(A2492)),MONTH(A2492)))</f>
        <v>2025/02</v>
      </c>
      <c r="E2492" s="8" t="str">
        <f>IF(IF(D2492&lt;&gt;D2491,1,IF(OR(B2492&lt;&gt;B2491,A2492-A2491&gt;$U$1),1,""))&lt;&gt;1,"",IF(C2492="B01",1965,IF(C2492="B02",1020,IF(C2492="B05",2400,IF(C2492="B03",4260,IF(C2492="B04",2880,IF(C2492="B20",1260,0)))))))</f>
        <v/>
      </c>
      <c r="F2492" s="8" t="str">
        <f>IF(IF(D2492&lt;&gt;D2491,1,IF(OR(B2492&lt;&gt;B2491,A2492-A2491&gt;$U$1),1,""))&lt;&gt;1,"",IF(C2492="B01",1,IF(C2492="B05",1,IF(C2492="B03",1,IF(C2492="B04",1,IF(C2492="B20",1,IF(C2492="B02",1,0)))))))</f>
        <v/>
      </c>
      <c r="G2492"/>
      <c r="H2492" s="2"/>
      <c r="I2492" s="2"/>
      <c r="L2492"/>
      <c r="R2492"/>
    </row>
    <row r="2493" spans="1:18">
      <c r="A2493" s="3">
        <v>45697.473935185182</v>
      </c>
      <c r="B2493" s="2" t="s">
        <v>33</v>
      </c>
      <c r="C2493" s="2" t="s">
        <v>11</v>
      </c>
      <c r="D2493" s="6" t="str">
        <f>CONCATENATE(YEAR(A2493),"/",IF(MONTH(A2493)&lt;10,CONCATENATE("0",MONTH(A2493)),MONTH(A2493)))</f>
        <v>2025/02</v>
      </c>
      <c r="E2493" s="8">
        <f>IF(IF(D2493&lt;&gt;D2492,1,IF(OR(B2493&lt;&gt;B2492,A2493-A2492&gt;$U$1),1,""))&lt;&gt;1,"",IF(C2493="B01",1965,IF(C2493="B02",1020,IF(C2493="B05",2400,IF(C2493="B03",4260,IF(C2493="B04",2880,IF(C2493="B20",1260,0)))))))</f>
        <v>2400</v>
      </c>
      <c r="F2493" s="8">
        <f>IF(IF(D2493&lt;&gt;D2492,1,IF(OR(B2493&lt;&gt;B2492,A2493-A2492&gt;$U$1),1,""))&lt;&gt;1,"",IF(C2493="B01",1,IF(C2493="B05",1,IF(C2493="B03",1,IF(C2493="B04",1,IF(C2493="B20",1,IF(C2493="B02",1,0)))))))</f>
        <v>1</v>
      </c>
      <c r="G2493"/>
      <c r="H2493" s="2"/>
      <c r="I2493" s="2"/>
      <c r="L2493"/>
      <c r="R2493"/>
    </row>
    <row r="2494" spans="1:18">
      <c r="A2494" s="3">
        <v>45697.473935185182</v>
      </c>
      <c r="B2494" s="2" t="s">
        <v>33</v>
      </c>
      <c r="C2494" s="2" t="s">
        <v>11</v>
      </c>
      <c r="D2494" s="6" t="str">
        <f>CONCATENATE(YEAR(A2494),"/",IF(MONTH(A2494)&lt;10,CONCATENATE("0",MONTH(A2494)),MONTH(A2494)))</f>
        <v>2025/02</v>
      </c>
      <c r="E2494" s="8" t="str">
        <f>IF(IF(D2494&lt;&gt;D2493,1,IF(OR(B2494&lt;&gt;B2493,A2494-A2493&gt;$U$1),1,""))&lt;&gt;1,"",IF(C2494="B01",1965,IF(C2494="B02",1020,IF(C2494="B05",2400,IF(C2494="B03",4260,IF(C2494="B04",2880,IF(C2494="B20",1260,0)))))))</f>
        <v/>
      </c>
      <c r="F2494" s="8" t="str">
        <f>IF(IF(D2494&lt;&gt;D2493,1,IF(OR(B2494&lt;&gt;B2493,A2494-A2493&gt;$U$1),1,""))&lt;&gt;1,"",IF(C2494="B01",1,IF(C2494="B05",1,IF(C2494="B03",1,IF(C2494="B04",1,IF(C2494="B20",1,IF(C2494="B02",1,0)))))))</f>
        <v/>
      </c>
      <c r="G2494"/>
      <c r="H2494" s="2"/>
      <c r="I2494" s="2"/>
      <c r="L2494"/>
      <c r="R2494"/>
    </row>
    <row r="2495" spans="1:18">
      <c r="A2495" s="3">
        <v>45697.473935185182</v>
      </c>
      <c r="B2495" s="2" t="s">
        <v>33</v>
      </c>
      <c r="C2495" s="2" t="s">
        <v>11</v>
      </c>
      <c r="D2495" s="6" t="str">
        <f>CONCATENATE(YEAR(A2495),"/",IF(MONTH(A2495)&lt;10,CONCATENATE("0",MONTH(A2495)),MONTH(A2495)))</f>
        <v>2025/02</v>
      </c>
      <c r="E2495" s="8" t="str">
        <f>IF(IF(D2495&lt;&gt;D2494,1,IF(OR(B2495&lt;&gt;B2494,A2495-A2494&gt;$U$1),1,""))&lt;&gt;1,"",IF(C2495="B01",1965,IF(C2495="B02",1020,IF(C2495="B05",2400,IF(C2495="B03",4260,IF(C2495="B04",2880,IF(C2495="B20",1260,0)))))))</f>
        <v/>
      </c>
      <c r="F2495" s="8" t="str">
        <f>IF(IF(D2495&lt;&gt;D2494,1,IF(OR(B2495&lt;&gt;B2494,A2495-A2494&gt;$U$1),1,""))&lt;&gt;1,"",IF(C2495="B01",1,IF(C2495="B05",1,IF(C2495="B03",1,IF(C2495="B04",1,IF(C2495="B20",1,IF(C2495="B02",1,0)))))))</f>
        <v/>
      </c>
      <c r="G2495"/>
      <c r="H2495" s="2"/>
      <c r="I2495" s="2"/>
      <c r="L2495"/>
      <c r="R2495"/>
    </row>
    <row r="2496" spans="1:18">
      <c r="A2496" s="3">
        <v>45697.473935185182</v>
      </c>
      <c r="B2496" s="2" t="s">
        <v>33</v>
      </c>
      <c r="C2496" s="2" t="s">
        <v>11</v>
      </c>
      <c r="D2496" s="6" t="str">
        <f>CONCATENATE(YEAR(A2496),"/",IF(MONTH(A2496)&lt;10,CONCATENATE("0",MONTH(A2496)),MONTH(A2496)))</f>
        <v>2025/02</v>
      </c>
      <c r="E2496" s="8" t="str">
        <f>IF(IF(D2496&lt;&gt;D2495,1,IF(OR(B2496&lt;&gt;B2495,A2496-A2495&gt;$U$1),1,""))&lt;&gt;1,"",IF(C2496="B01",1965,IF(C2496="B02",1020,IF(C2496="B05",2400,IF(C2496="B03",4260,IF(C2496="B04",2880,IF(C2496="B20",1260,0)))))))</f>
        <v/>
      </c>
      <c r="F2496" s="8" t="str">
        <f>IF(IF(D2496&lt;&gt;D2495,1,IF(OR(B2496&lt;&gt;B2495,A2496-A2495&gt;$U$1),1,""))&lt;&gt;1,"",IF(C2496="B01",1,IF(C2496="B05",1,IF(C2496="B03",1,IF(C2496="B04",1,IF(C2496="B20",1,IF(C2496="B02",1,0)))))))</f>
        <v/>
      </c>
      <c r="G2496"/>
      <c r="H2496" s="2"/>
      <c r="I2496" s="2"/>
      <c r="L2496"/>
      <c r="R2496"/>
    </row>
    <row r="2497" spans="1:18">
      <c r="A2497" s="3">
        <v>45697.848587962966</v>
      </c>
      <c r="B2497" s="2" t="s">
        <v>33</v>
      </c>
      <c r="C2497" s="2" t="s">
        <v>11</v>
      </c>
      <c r="D2497" s="6" t="str">
        <f>CONCATENATE(YEAR(A2497),"/",IF(MONTH(A2497)&lt;10,CONCATENATE("0",MONTH(A2497)),MONTH(A2497)))</f>
        <v>2025/02</v>
      </c>
      <c r="E2497" s="8">
        <f>IF(IF(D2497&lt;&gt;D2496,1,IF(OR(B2497&lt;&gt;B2496,A2497-A2496&gt;$U$1),1,""))&lt;&gt;1,"",IF(C2497="B01",1965,IF(C2497="B02",1020,IF(C2497="B05",2400,IF(C2497="B03",4260,IF(C2497="B04",2880,IF(C2497="B20",1260,0)))))))</f>
        <v>2400</v>
      </c>
      <c r="F2497" s="8">
        <f>IF(IF(D2497&lt;&gt;D2496,1,IF(OR(B2497&lt;&gt;B2496,A2497-A2496&gt;$U$1),1,""))&lt;&gt;1,"",IF(C2497="B01",1,IF(C2497="B05",1,IF(C2497="B03",1,IF(C2497="B04",1,IF(C2497="B20",1,IF(C2497="B02",1,0)))))))</f>
        <v>1</v>
      </c>
      <c r="G2497"/>
      <c r="H2497" s="2"/>
      <c r="I2497" s="2"/>
      <c r="L2497"/>
      <c r="R2497"/>
    </row>
    <row r="2498" spans="1:18">
      <c r="A2498" s="3">
        <v>45698.629386574074</v>
      </c>
      <c r="B2498" s="2" t="s">
        <v>33</v>
      </c>
      <c r="C2498" s="2" t="s">
        <v>11</v>
      </c>
      <c r="D2498" s="6" t="str">
        <f>CONCATENATE(YEAR(A2498),"/",IF(MONTH(A2498)&lt;10,CONCATENATE("0",MONTH(A2498)),MONTH(A2498)))</f>
        <v>2025/02</v>
      </c>
      <c r="E2498" s="8">
        <f>IF(IF(D2498&lt;&gt;D2497,1,IF(OR(B2498&lt;&gt;B2497,A2498-A2497&gt;$U$1),1,""))&lt;&gt;1,"",IF(C2498="B01",1965,IF(C2498="B02",1020,IF(C2498="B05",2400,IF(C2498="B03",4260,IF(C2498="B04",2880,IF(C2498="B20",1260,0)))))))</f>
        <v>2400</v>
      </c>
      <c r="F2498" s="8">
        <f>IF(IF(D2498&lt;&gt;D2497,1,IF(OR(B2498&lt;&gt;B2497,A2498-A2497&gt;$U$1),1,""))&lt;&gt;1,"",IF(C2498="B01",1,IF(C2498="B05",1,IF(C2498="B03",1,IF(C2498="B04",1,IF(C2498="B20",1,IF(C2498="B02",1,0)))))))</f>
        <v>1</v>
      </c>
      <c r="G2498"/>
      <c r="H2498" s="2"/>
      <c r="I2498" s="2"/>
      <c r="L2498"/>
      <c r="R2498"/>
    </row>
    <row r="2499" spans="1:18">
      <c r="A2499" s="3">
        <v>45698.629386574074</v>
      </c>
      <c r="B2499" s="2" t="s">
        <v>33</v>
      </c>
      <c r="C2499" s="2" t="s">
        <v>11</v>
      </c>
      <c r="D2499" s="6" t="str">
        <f>CONCATENATE(YEAR(A2499),"/",IF(MONTH(A2499)&lt;10,CONCATENATE("0",MONTH(A2499)),MONTH(A2499)))</f>
        <v>2025/02</v>
      </c>
      <c r="E2499" s="8" t="str">
        <f>IF(IF(D2499&lt;&gt;D2498,1,IF(OR(B2499&lt;&gt;B2498,A2499-A2498&gt;$U$1),1,""))&lt;&gt;1,"",IF(C2499="B01",1965,IF(C2499="B02",1020,IF(C2499="B05",2400,IF(C2499="B03",4260,IF(C2499="B04",2880,IF(C2499="B20",1260,0)))))))</f>
        <v/>
      </c>
      <c r="F2499" s="8" t="str">
        <f>IF(IF(D2499&lt;&gt;D2498,1,IF(OR(B2499&lt;&gt;B2498,A2499-A2498&gt;$U$1),1,""))&lt;&gt;1,"",IF(C2499="B01",1,IF(C2499="B05",1,IF(C2499="B03",1,IF(C2499="B04",1,IF(C2499="B20",1,IF(C2499="B02",1,0)))))))</f>
        <v/>
      </c>
      <c r="G2499"/>
      <c r="H2499" s="2"/>
      <c r="I2499" s="2"/>
      <c r="L2499"/>
      <c r="R2499"/>
    </row>
    <row r="2500" spans="1:18">
      <c r="A2500" s="3">
        <v>45699.043449074074</v>
      </c>
      <c r="B2500" s="2" t="s">
        <v>33</v>
      </c>
      <c r="C2500" s="2" t="s">
        <v>11</v>
      </c>
      <c r="D2500" s="6" t="str">
        <f>CONCATENATE(YEAR(A2500),"/",IF(MONTH(A2500)&lt;10,CONCATENATE("0",MONTH(A2500)),MONTH(A2500)))</f>
        <v>2025/02</v>
      </c>
      <c r="E2500" s="8">
        <f>IF(IF(D2500&lt;&gt;D2499,1,IF(OR(B2500&lt;&gt;B2499,A2500-A2499&gt;$U$1),1,""))&lt;&gt;1,"",IF(C2500="B01",1965,IF(C2500="B02",1020,IF(C2500="B05",2400,IF(C2500="B03",4260,IF(C2500="B04",2880,IF(C2500="B20",1260,0)))))))</f>
        <v>2400</v>
      </c>
      <c r="F2500" s="8">
        <f>IF(IF(D2500&lt;&gt;D2499,1,IF(OR(B2500&lt;&gt;B2499,A2500-A2499&gt;$U$1),1,""))&lt;&gt;1,"",IF(C2500="B01",1,IF(C2500="B05",1,IF(C2500="B03",1,IF(C2500="B04",1,IF(C2500="B20",1,IF(C2500="B02",1,0)))))))</f>
        <v>1</v>
      </c>
      <c r="G2500"/>
      <c r="H2500" s="2"/>
      <c r="I2500" s="2"/>
      <c r="L2500"/>
      <c r="R2500"/>
    </row>
    <row r="2501" spans="1:18">
      <c r="A2501" s="3">
        <v>45699.043449074074</v>
      </c>
      <c r="B2501" s="2" t="s">
        <v>33</v>
      </c>
      <c r="C2501" s="2" t="s">
        <v>11</v>
      </c>
      <c r="D2501" s="6" t="str">
        <f>CONCATENATE(YEAR(A2501),"/",IF(MONTH(A2501)&lt;10,CONCATENATE("0",MONTH(A2501)),MONTH(A2501)))</f>
        <v>2025/02</v>
      </c>
      <c r="E2501" s="8" t="str">
        <f>IF(IF(D2501&lt;&gt;D2500,1,IF(OR(B2501&lt;&gt;B2500,A2501-A2500&gt;$U$1),1,""))&lt;&gt;1,"",IF(C2501="B01",1965,IF(C2501="B02",1020,IF(C2501="B05",2400,IF(C2501="B03",4260,IF(C2501="B04",2880,IF(C2501="B20",1260,0)))))))</f>
        <v/>
      </c>
      <c r="F2501" s="8" t="str">
        <f>IF(IF(D2501&lt;&gt;D2500,1,IF(OR(B2501&lt;&gt;B2500,A2501-A2500&gt;$U$1),1,""))&lt;&gt;1,"",IF(C2501="B01",1,IF(C2501="B05",1,IF(C2501="B03",1,IF(C2501="B04",1,IF(C2501="B20",1,IF(C2501="B02",1,0)))))))</f>
        <v/>
      </c>
      <c r="G2501"/>
      <c r="H2501" s="2"/>
      <c r="I2501" s="2"/>
      <c r="L2501"/>
      <c r="R2501"/>
    </row>
    <row r="2502" spans="1:18">
      <c r="A2502" s="3">
        <v>45699.043449074074</v>
      </c>
      <c r="B2502" s="2" t="s">
        <v>33</v>
      </c>
      <c r="C2502" s="2" t="s">
        <v>11</v>
      </c>
      <c r="D2502" s="6" t="str">
        <f>CONCATENATE(YEAR(A2502),"/",IF(MONTH(A2502)&lt;10,CONCATENATE("0",MONTH(A2502)),MONTH(A2502)))</f>
        <v>2025/02</v>
      </c>
      <c r="E2502" s="8" t="str">
        <f>IF(IF(D2502&lt;&gt;D2501,1,IF(OR(B2502&lt;&gt;B2501,A2502-A2501&gt;$U$1),1,""))&lt;&gt;1,"",IF(C2502="B01",1965,IF(C2502="B02",1020,IF(C2502="B05",2400,IF(C2502="B03",4260,IF(C2502="B04",2880,IF(C2502="B20",1260,0)))))))</f>
        <v/>
      </c>
      <c r="F2502" s="8" t="str">
        <f>IF(IF(D2502&lt;&gt;D2501,1,IF(OR(B2502&lt;&gt;B2501,A2502-A2501&gt;$U$1),1,""))&lt;&gt;1,"",IF(C2502="B01",1,IF(C2502="B05",1,IF(C2502="B03",1,IF(C2502="B04",1,IF(C2502="B20",1,IF(C2502="B02",1,0)))))))</f>
        <v/>
      </c>
      <c r="G2502"/>
      <c r="H2502" s="2"/>
      <c r="I2502" s="2"/>
      <c r="L2502"/>
      <c r="R2502"/>
    </row>
    <row r="2503" spans="1:18">
      <c r="A2503" s="3">
        <v>45699.477719907409</v>
      </c>
      <c r="B2503" s="2" t="s">
        <v>33</v>
      </c>
      <c r="C2503" s="2" t="s">
        <v>11</v>
      </c>
      <c r="D2503" s="6" t="str">
        <f>CONCATENATE(YEAR(A2503),"/",IF(MONTH(A2503)&lt;10,CONCATENATE("0",MONTH(A2503)),MONTH(A2503)))</f>
        <v>2025/02</v>
      </c>
      <c r="E2503" s="8">
        <f>IF(IF(D2503&lt;&gt;D2502,1,IF(OR(B2503&lt;&gt;B2502,A2503-A2502&gt;$U$1),1,""))&lt;&gt;1,"",IF(C2503="B01",1965,IF(C2503="B02",1020,IF(C2503="B05",2400,IF(C2503="B03",4260,IF(C2503="B04",2880,IF(C2503="B20",1260,0)))))))</f>
        <v>2400</v>
      </c>
      <c r="F2503" s="8">
        <f>IF(IF(D2503&lt;&gt;D2502,1,IF(OR(B2503&lt;&gt;B2502,A2503-A2502&gt;$U$1),1,""))&lt;&gt;1,"",IF(C2503="B01",1,IF(C2503="B05",1,IF(C2503="B03",1,IF(C2503="B04",1,IF(C2503="B20",1,IF(C2503="B02",1,0)))))))</f>
        <v>1</v>
      </c>
      <c r="G2503"/>
      <c r="H2503" s="2"/>
      <c r="I2503" s="2"/>
      <c r="L2503"/>
      <c r="R2503"/>
    </row>
    <row r="2504" spans="1:18">
      <c r="A2504" s="3">
        <v>45699.477719907409</v>
      </c>
      <c r="B2504" s="2" t="s">
        <v>33</v>
      </c>
      <c r="C2504" s="2" t="s">
        <v>11</v>
      </c>
      <c r="D2504" s="6" t="str">
        <f>CONCATENATE(YEAR(A2504),"/",IF(MONTH(A2504)&lt;10,CONCATENATE("0",MONTH(A2504)),MONTH(A2504)))</f>
        <v>2025/02</v>
      </c>
      <c r="E2504" s="8" t="str">
        <f>IF(IF(D2504&lt;&gt;D2503,1,IF(OR(B2504&lt;&gt;B2503,A2504-A2503&gt;$U$1),1,""))&lt;&gt;1,"",IF(C2504="B01",1965,IF(C2504="B02",1020,IF(C2504="B05",2400,IF(C2504="B03",4260,IF(C2504="B04",2880,IF(C2504="B20",1260,0)))))))</f>
        <v/>
      </c>
      <c r="F2504" s="8" t="str">
        <f>IF(IF(D2504&lt;&gt;D2503,1,IF(OR(B2504&lt;&gt;B2503,A2504-A2503&gt;$U$1),1,""))&lt;&gt;1,"",IF(C2504="B01",1,IF(C2504="B05",1,IF(C2504="B03",1,IF(C2504="B04",1,IF(C2504="B20",1,IF(C2504="B02",1,0)))))))</f>
        <v/>
      </c>
      <c r="G2504"/>
      <c r="H2504" s="2"/>
      <c r="I2504" s="2"/>
      <c r="L2504"/>
      <c r="R2504"/>
    </row>
    <row r="2505" spans="1:18">
      <c r="A2505" s="3">
        <v>45699.698854166665</v>
      </c>
      <c r="B2505" s="2" t="s">
        <v>33</v>
      </c>
      <c r="C2505" s="2" t="s">
        <v>11</v>
      </c>
      <c r="D2505" s="6" t="str">
        <f>CONCATENATE(YEAR(A2505),"/",IF(MONTH(A2505)&lt;10,CONCATENATE("0",MONTH(A2505)),MONTH(A2505)))</f>
        <v>2025/02</v>
      </c>
      <c r="E2505" s="8">
        <f>IF(IF(D2505&lt;&gt;D2504,1,IF(OR(B2505&lt;&gt;B2504,A2505-A2504&gt;$U$1),1,""))&lt;&gt;1,"",IF(C2505="B01",1965,IF(C2505="B02",1020,IF(C2505="B05",2400,IF(C2505="B03",4260,IF(C2505="B04",2880,IF(C2505="B20",1260,0)))))))</f>
        <v>2400</v>
      </c>
      <c r="F2505" s="8">
        <f>IF(IF(D2505&lt;&gt;D2504,1,IF(OR(B2505&lt;&gt;B2504,A2505-A2504&gt;$U$1),1,""))&lt;&gt;1,"",IF(C2505="B01",1,IF(C2505="B05",1,IF(C2505="B03",1,IF(C2505="B04",1,IF(C2505="B20",1,IF(C2505="B02",1,0)))))))</f>
        <v>1</v>
      </c>
      <c r="G2505"/>
      <c r="H2505" s="2"/>
      <c r="I2505" s="2"/>
      <c r="L2505"/>
      <c r="R2505"/>
    </row>
    <row r="2506" spans="1:18">
      <c r="A2506" s="3">
        <v>45699.698865740742</v>
      </c>
      <c r="B2506" s="2" t="s">
        <v>33</v>
      </c>
      <c r="C2506" s="2" t="s">
        <v>11</v>
      </c>
      <c r="D2506" s="6" t="str">
        <f>CONCATENATE(YEAR(A2506),"/",IF(MONTH(A2506)&lt;10,CONCATENATE("0",MONTH(A2506)),MONTH(A2506)))</f>
        <v>2025/02</v>
      </c>
      <c r="E2506" s="8" t="str">
        <f>IF(IF(D2506&lt;&gt;D2505,1,IF(OR(B2506&lt;&gt;B2505,A2506-A2505&gt;$U$1),1,""))&lt;&gt;1,"",IF(C2506="B01",1965,IF(C2506="B02",1020,IF(C2506="B05",2400,IF(C2506="B03",4260,IF(C2506="B04",2880,IF(C2506="B20",1260,0)))))))</f>
        <v/>
      </c>
      <c r="F2506" s="8" t="str">
        <f>IF(IF(D2506&lt;&gt;D2505,1,IF(OR(B2506&lt;&gt;B2505,A2506-A2505&gt;$U$1),1,""))&lt;&gt;1,"",IF(C2506="B01",1,IF(C2506="B05",1,IF(C2506="B03",1,IF(C2506="B04",1,IF(C2506="B20",1,IF(C2506="B02",1,0)))))))</f>
        <v/>
      </c>
      <c r="G2506"/>
      <c r="H2506" s="2"/>
      <c r="I2506" s="2"/>
      <c r="L2506"/>
      <c r="R2506"/>
    </row>
    <row r="2507" spans="1:18">
      <c r="A2507" s="3">
        <v>45700.964513888888</v>
      </c>
      <c r="B2507" s="2" t="s">
        <v>33</v>
      </c>
      <c r="C2507" s="2" t="s">
        <v>11</v>
      </c>
      <c r="D2507" s="6" t="str">
        <f>CONCATENATE(YEAR(A2507),"/",IF(MONTH(A2507)&lt;10,CONCATENATE("0",MONTH(A2507)),MONTH(A2507)))</f>
        <v>2025/02</v>
      </c>
      <c r="E2507" s="8">
        <f>IF(IF(D2507&lt;&gt;D2506,1,IF(OR(B2507&lt;&gt;B2506,A2507-A2506&gt;$U$1),1,""))&lt;&gt;1,"",IF(C2507="B01",1965,IF(C2507="B02",1020,IF(C2507="B05",2400,IF(C2507="B03",4260,IF(C2507="B04",2880,IF(C2507="B20",1260,0)))))))</f>
        <v>2400</v>
      </c>
      <c r="F2507" s="8">
        <f>IF(IF(D2507&lt;&gt;D2506,1,IF(OR(B2507&lt;&gt;B2506,A2507-A2506&gt;$U$1),1,""))&lt;&gt;1,"",IF(C2507="B01",1,IF(C2507="B05",1,IF(C2507="B03",1,IF(C2507="B04",1,IF(C2507="B20",1,IF(C2507="B02",1,0)))))))</f>
        <v>1</v>
      </c>
      <c r="G2507"/>
      <c r="H2507" s="2"/>
      <c r="I2507" s="2"/>
      <c r="L2507"/>
      <c r="R2507"/>
    </row>
    <row r="2508" spans="1:18">
      <c r="A2508" s="3">
        <v>45700.964513888888</v>
      </c>
      <c r="B2508" s="2" t="s">
        <v>33</v>
      </c>
      <c r="C2508" s="2" t="s">
        <v>11</v>
      </c>
      <c r="D2508" s="6" t="str">
        <f>CONCATENATE(YEAR(A2508),"/",IF(MONTH(A2508)&lt;10,CONCATENATE("0",MONTH(A2508)),MONTH(A2508)))</f>
        <v>2025/02</v>
      </c>
      <c r="E2508" s="8" t="str">
        <f>IF(IF(D2508&lt;&gt;D2507,1,IF(OR(B2508&lt;&gt;B2507,A2508-A2507&gt;$U$1),1,""))&lt;&gt;1,"",IF(C2508="B01",1965,IF(C2508="B02",1020,IF(C2508="B05",2400,IF(C2508="B03",4260,IF(C2508="B04",2880,IF(C2508="B20",1260,0)))))))</f>
        <v/>
      </c>
      <c r="F2508" s="8" t="str">
        <f>IF(IF(D2508&lt;&gt;D2507,1,IF(OR(B2508&lt;&gt;B2507,A2508-A2507&gt;$U$1),1,""))&lt;&gt;1,"",IF(C2508="B01",1,IF(C2508="B05",1,IF(C2508="B03",1,IF(C2508="B04",1,IF(C2508="B20",1,IF(C2508="B02",1,0)))))))</f>
        <v/>
      </c>
      <c r="G2508"/>
      <c r="H2508" s="2"/>
      <c r="I2508" s="2"/>
      <c r="L2508"/>
      <c r="R2508"/>
    </row>
    <row r="2509" spans="1:18">
      <c r="A2509" s="3">
        <v>45700.964513888888</v>
      </c>
      <c r="B2509" s="2" t="s">
        <v>33</v>
      </c>
      <c r="C2509" s="2" t="s">
        <v>11</v>
      </c>
      <c r="D2509" s="6" t="str">
        <f>CONCATENATE(YEAR(A2509),"/",IF(MONTH(A2509)&lt;10,CONCATENATE("0",MONTH(A2509)),MONTH(A2509)))</f>
        <v>2025/02</v>
      </c>
      <c r="E2509" s="8" t="str">
        <f>IF(IF(D2509&lt;&gt;D2508,1,IF(OR(B2509&lt;&gt;B2508,A2509-A2508&gt;$U$1),1,""))&lt;&gt;1,"",IF(C2509="B01",1965,IF(C2509="B02",1020,IF(C2509="B05",2400,IF(C2509="B03",4260,IF(C2509="B04",2880,IF(C2509="B20",1260,0)))))))</f>
        <v/>
      </c>
      <c r="F2509" s="8" t="str">
        <f>IF(IF(D2509&lt;&gt;D2508,1,IF(OR(B2509&lt;&gt;B2508,A2509-A2508&gt;$U$1),1,""))&lt;&gt;1,"",IF(C2509="B01",1,IF(C2509="B05",1,IF(C2509="B03",1,IF(C2509="B04",1,IF(C2509="B20",1,IF(C2509="B02",1,0)))))))</f>
        <v/>
      </c>
      <c r="G2509"/>
      <c r="H2509" s="2"/>
      <c r="I2509" s="2"/>
      <c r="L2509"/>
      <c r="R2509"/>
    </row>
    <row r="2510" spans="1:18">
      <c r="A2510" s="3">
        <v>45700.964513888888</v>
      </c>
      <c r="B2510" s="2" t="s">
        <v>33</v>
      </c>
      <c r="C2510" s="2" t="s">
        <v>11</v>
      </c>
      <c r="D2510" s="6" t="str">
        <f>CONCATENATE(YEAR(A2510),"/",IF(MONTH(A2510)&lt;10,CONCATENATE("0",MONTH(A2510)),MONTH(A2510)))</f>
        <v>2025/02</v>
      </c>
      <c r="E2510" s="8" t="str">
        <f>IF(IF(D2510&lt;&gt;D2509,1,IF(OR(B2510&lt;&gt;B2509,A2510-A2509&gt;$U$1),1,""))&lt;&gt;1,"",IF(C2510="B01",1965,IF(C2510="B02",1020,IF(C2510="B05",2400,IF(C2510="B03",4260,IF(C2510="B04",2880,IF(C2510="B20",1260,0)))))))</f>
        <v/>
      </c>
      <c r="F2510" s="8" t="str">
        <f>IF(IF(D2510&lt;&gt;D2509,1,IF(OR(B2510&lt;&gt;B2509,A2510-A2509&gt;$U$1),1,""))&lt;&gt;1,"",IF(C2510="B01",1,IF(C2510="B05",1,IF(C2510="B03",1,IF(C2510="B04",1,IF(C2510="B20",1,IF(C2510="B02",1,0)))))))</f>
        <v/>
      </c>
      <c r="G2510"/>
      <c r="H2510" s="2"/>
      <c r="I2510" s="2"/>
      <c r="L2510"/>
      <c r="R2510"/>
    </row>
    <row r="2511" spans="1:18">
      <c r="A2511" s="3">
        <v>45700.964513888888</v>
      </c>
      <c r="B2511" s="2" t="s">
        <v>33</v>
      </c>
      <c r="C2511" s="2" t="s">
        <v>11</v>
      </c>
      <c r="D2511" s="6" t="str">
        <f>CONCATENATE(YEAR(A2511),"/",IF(MONTH(A2511)&lt;10,CONCATENATE("0",MONTH(A2511)),MONTH(A2511)))</f>
        <v>2025/02</v>
      </c>
      <c r="E2511" s="8" t="str">
        <f>IF(IF(D2511&lt;&gt;D2510,1,IF(OR(B2511&lt;&gt;B2510,A2511-A2510&gt;$U$1),1,""))&lt;&gt;1,"",IF(C2511="B01",1965,IF(C2511="B02",1020,IF(C2511="B05",2400,IF(C2511="B03",4260,IF(C2511="B04",2880,IF(C2511="B20",1260,0)))))))</f>
        <v/>
      </c>
      <c r="F2511" s="8" t="str">
        <f>IF(IF(D2511&lt;&gt;D2510,1,IF(OR(B2511&lt;&gt;B2510,A2511-A2510&gt;$U$1),1,""))&lt;&gt;1,"",IF(C2511="B01",1,IF(C2511="B05",1,IF(C2511="B03",1,IF(C2511="B04",1,IF(C2511="B20",1,IF(C2511="B02",1,0)))))))</f>
        <v/>
      </c>
      <c r="G2511"/>
      <c r="H2511" s="2"/>
      <c r="I2511" s="2"/>
      <c r="L2511"/>
      <c r="R2511"/>
    </row>
    <row r="2512" spans="1:18">
      <c r="A2512" s="3">
        <v>45701.213275462964</v>
      </c>
      <c r="B2512" s="2" t="s">
        <v>33</v>
      </c>
      <c r="C2512" s="2" t="s">
        <v>11</v>
      </c>
      <c r="D2512" s="6" t="str">
        <f>CONCATENATE(YEAR(A2512),"/",IF(MONTH(A2512)&lt;10,CONCATENATE("0",MONTH(A2512)),MONTH(A2512)))</f>
        <v>2025/02</v>
      </c>
      <c r="E2512" s="8">
        <f>IF(IF(D2512&lt;&gt;D2511,1,IF(OR(B2512&lt;&gt;B2511,A2512-A2511&gt;$U$1),1,""))&lt;&gt;1,"",IF(C2512="B01",1965,IF(C2512="B02",1020,IF(C2512="B05",2400,IF(C2512="B03",4260,IF(C2512="B04",2880,IF(C2512="B20",1260,0)))))))</f>
        <v>2400</v>
      </c>
      <c r="F2512" s="8">
        <f>IF(IF(D2512&lt;&gt;D2511,1,IF(OR(B2512&lt;&gt;B2511,A2512-A2511&gt;$U$1),1,""))&lt;&gt;1,"",IF(C2512="B01",1,IF(C2512="B05",1,IF(C2512="B03",1,IF(C2512="B04",1,IF(C2512="B20",1,IF(C2512="B02",1,0)))))))</f>
        <v>1</v>
      </c>
      <c r="G2512"/>
      <c r="H2512" s="2"/>
      <c r="I2512" s="2"/>
      <c r="L2512"/>
      <c r="R2512"/>
    </row>
    <row r="2513" spans="1:18">
      <c r="A2513" s="3">
        <v>45701.213275462964</v>
      </c>
      <c r="B2513" s="2" t="s">
        <v>33</v>
      </c>
      <c r="C2513" s="2" t="s">
        <v>11</v>
      </c>
      <c r="D2513" s="6" t="str">
        <f>CONCATENATE(YEAR(A2513),"/",IF(MONTH(A2513)&lt;10,CONCATENATE("0",MONTH(A2513)),MONTH(A2513)))</f>
        <v>2025/02</v>
      </c>
      <c r="E2513" s="8" t="str">
        <f>IF(IF(D2513&lt;&gt;D2512,1,IF(OR(B2513&lt;&gt;B2512,A2513-A2512&gt;$U$1),1,""))&lt;&gt;1,"",IF(C2513="B01",1965,IF(C2513="B02",1020,IF(C2513="B05",2400,IF(C2513="B03",4260,IF(C2513="B04",2880,IF(C2513="B20",1260,0)))))))</f>
        <v/>
      </c>
      <c r="F2513" s="8" t="str">
        <f>IF(IF(D2513&lt;&gt;D2512,1,IF(OR(B2513&lt;&gt;B2512,A2513-A2512&gt;$U$1),1,""))&lt;&gt;1,"",IF(C2513="B01",1,IF(C2513="B05",1,IF(C2513="B03",1,IF(C2513="B04",1,IF(C2513="B20",1,IF(C2513="B02",1,0)))))))</f>
        <v/>
      </c>
      <c r="G2513"/>
      <c r="H2513" s="2"/>
      <c r="I2513" s="2"/>
      <c r="L2513"/>
      <c r="R2513"/>
    </row>
    <row r="2514" spans="1:18">
      <c r="A2514" s="3">
        <v>45701.213275462964</v>
      </c>
      <c r="B2514" s="2" t="s">
        <v>33</v>
      </c>
      <c r="C2514" s="2" t="s">
        <v>11</v>
      </c>
      <c r="D2514" s="6" t="str">
        <f>CONCATENATE(YEAR(A2514),"/",IF(MONTH(A2514)&lt;10,CONCATENATE("0",MONTH(A2514)),MONTH(A2514)))</f>
        <v>2025/02</v>
      </c>
      <c r="E2514" s="8" t="str">
        <f>IF(IF(D2514&lt;&gt;D2513,1,IF(OR(B2514&lt;&gt;B2513,A2514-A2513&gt;$U$1),1,""))&lt;&gt;1,"",IF(C2514="B01",1965,IF(C2514="B02",1020,IF(C2514="B05",2400,IF(C2514="B03",4260,IF(C2514="B04",2880,IF(C2514="B20",1260,0)))))))</f>
        <v/>
      </c>
      <c r="F2514" s="8" t="str">
        <f>IF(IF(D2514&lt;&gt;D2513,1,IF(OR(B2514&lt;&gt;B2513,A2514-A2513&gt;$U$1),1,""))&lt;&gt;1,"",IF(C2514="B01",1,IF(C2514="B05",1,IF(C2514="B03",1,IF(C2514="B04",1,IF(C2514="B20",1,IF(C2514="B02",1,0)))))))</f>
        <v/>
      </c>
      <c r="G2514"/>
      <c r="H2514" s="2"/>
      <c r="I2514" s="2"/>
      <c r="L2514"/>
      <c r="R2514"/>
    </row>
    <row r="2515" spans="1:18">
      <c r="A2515" s="3">
        <v>45701.455578703702</v>
      </c>
      <c r="B2515" s="2" t="s">
        <v>33</v>
      </c>
      <c r="C2515" s="2" t="s">
        <v>11</v>
      </c>
      <c r="D2515" s="6" t="str">
        <f>CONCATENATE(YEAR(A2515),"/",IF(MONTH(A2515)&lt;10,CONCATENATE("0",MONTH(A2515)),MONTH(A2515)))</f>
        <v>2025/02</v>
      </c>
      <c r="E2515" s="8">
        <f>IF(IF(D2515&lt;&gt;D2514,1,IF(OR(B2515&lt;&gt;B2514,A2515-A2514&gt;$U$1),1,""))&lt;&gt;1,"",IF(C2515="B01",1965,IF(C2515="B02",1020,IF(C2515="B05",2400,IF(C2515="B03",4260,IF(C2515="B04",2880,IF(C2515="B20",1260,0)))))))</f>
        <v>2400</v>
      </c>
      <c r="F2515" s="8">
        <f>IF(IF(D2515&lt;&gt;D2514,1,IF(OR(B2515&lt;&gt;B2514,A2515-A2514&gt;$U$1),1,""))&lt;&gt;1,"",IF(C2515="B01",1,IF(C2515="B05",1,IF(C2515="B03",1,IF(C2515="B04",1,IF(C2515="B20",1,IF(C2515="B02",1,0)))))))</f>
        <v>1</v>
      </c>
      <c r="G2515"/>
      <c r="H2515" s="2"/>
      <c r="I2515" s="2"/>
      <c r="L2515"/>
      <c r="R2515"/>
    </row>
    <row r="2516" spans="1:18">
      <c r="A2516" s="3">
        <v>45701.455578703702</v>
      </c>
      <c r="B2516" s="2" t="s">
        <v>33</v>
      </c>
      <c r="C2516" s="2" t="s">
        <v>11</v>
      </c>
      <c r="D2516" s="6" t="str">
        <f>CONCATENATE(YEAR(A2516),"/",IF(MONTH(A2516)&lt;10,CONCATENATE("0",MONTH(A2516)),MONTH(A2516)))</f>
        <v>2025/02</v>
      </c>
      <c r="E2516" s="8" t="str">
        <f>IF(IF(D2516&lt;&gt;D2515,1,IF(OR(B2516&lt;&gt;B2515,A2516-A2515&gt;$U$1),1,""))&lt;&gt;1,"",IF(C2516="B01",1965,IF(C2516="B02",1020,IF(C2516="B05",2400,IF(C2516="B03",4260,IF(C2516="B04",2880,IF(C2516="B20",1260,0)))))))</f>
        <v/>
      </c>
      <c r="F2516" s="8" t="str">
        <f>IF(IF(D2516&lt;&gt;D2515,1,IF(OR(B2516&lt;&gt;B2515,A2516-A2515&gt;$U$1),1,""))&lt;&gt;1,"",IF(C2516="B01",1,IF(C2516="B05",1,IF(C2516="B03",1,IF(C2516="B04",1,IF(C2516="B20",1,IF(C2516="B02",1,0)))))))</f>
        <v/>
      </c>
      <c r="G2516"/>
      <c r="H2516" s="2"/>
      <c r="I2516" s="2"/>
      <c r="L2516"/>
      <c r="R2516"/>
    </row>
    <row r="2517" spans="1:18">
      <c r="A2517" s="3">
        <v>45701.455578703702</v>
      </c>
      <c r="B2517" s="2" t="s">
        <v>33</v>
      </c>
      <c r="C2517" s="2" t="s">
        <v>11</v>
      </c>
      <c r="D2517" s="6" t="str">
        <f>CONCATENATE(YEAR(A2517),"/",IF(MONTH(A2517)&lt;10,CONCATENATE("0",MONTH(A2517)),MONTH(A2517)))</f>
        <v>2025/02</v>
      </c>
      <c r="E2517" s="8" t="str">
        <f>IF(IF(D2517&lt;&gt;D2516,1,IF(OR(B2517&lt;&gt;B2516,A2517-A2516&gt;$U$1),1,""))&lt;&gt;1,"",IF(C2517="B01",1965,IF(C2517="B02",1020,IF(C2517="B05",2400,IF(C2517="B03",4260,IF(C2517="B04",2880,IF(C2517="B20",1260,0)))))))</f>
        <v/>
      </c>
      <c r="F2517" s="8" t="str">
        <f>IF(IF(D2517&lt;&gt;D2516,1,IF(OR(B2517&lt;&gt;B2516,A2517-A2516&gt;$U$1),1,""))&lt;&gt;1,"",IF(C2517="B01",1,IF(C2517="B05",1,IF(C2517="B03",1,IF(C2517="B04",1,IF(C2517="B20",1,IF(C2517="B02",1,0)))))))</f>
        <v/>
      </c>
      <c r="G2517"/>
      <c r="H2517" s="2"/>
      <c r="I2517" s="2"/>
      <c r="L2517"/>
      <c r="R2517"/>
    </row>
    <row r="2518" spans="1:18">
      <c r="A2518" s="3">
        <v>45701.455578703702</v>
      </c>
      <c r="B2518" s="2" t="s">
        <v>33</v>
      </c>
      <c r="C2518" s="2" t="s">
        <v>11</v>
      </c>
      <c r="D2518" s="6" t="str">
        <f>CONCATENATE(YEAR(A2518),"/",IF(MONTH(A2518)&lt;10,CONCATENATE("0",MONTH(A2518)),MONTH(A2518)))</f>
        <v>2025/02</v>
      </c>
      <c r="E2518" s="8" t="str">
        <f>IF(IF(D2518&lt;&gt;D2517,1,IF(OR(B2518&lt;&gt;B2517,A2518-A2517&gt;$U$1),1,""))&lt;&gt;1,"",IF(C2518="B01",1965,IF(C2518="B02",1020,IF(C2518="B05",2400,IF(C2518="B03",4260,IF(C2518="B04",2880,IF(C2518="B20",1260,0)))))))</f>
        <v/>
      </c>
      <c r="F2518" s="8" t="str">
        <f>IF(IF(D2518&lt;&gt;D2517,1,IF(OR(B2518&lt;&gt;B2517,A2518-A2517&gt;$U$1),1,""))&lt;&gt;1,"",IF(C2518="B01",1,IF(C2518="B05",1,IF(C2518="B03",1,IF(C2518="B04",1,IF(C2518="B20",1,IF(C2518="B02",1,0)))))))</f>
        <v/>
      </c>
      <c r="G2518"/>
      <c r="H2518" s="2"/>
      <c r="I2518" s="2"/>
      <c r="L2518"/>
      <c r="R2518"/>
    </row>
    <row r="2519" spans="1:18">
      <c r="A2519" s="3">
        <v>45702.358032407406</v>
      </c>
      <c r="B2519" s="2" t="s">
        <v>33</v>
      </c>
      <c r="C2519" s="2" t="s">
        <v>11</v>
      </c>
      <c r="D2519" s="6" t="str">
        <f>CONCATENATE(YEAR(A2519),"/",IF(MONTH(A2519)&lt;10,CONCATENATE("0",MONTH(A2519)),MONTH(A2519)))</f>
        <v>2025/02</v>
      </c>
      <c r="E2519" s="8">
        <f>IF(IF(D2519&lt;&gt;D2518,1,IF(OR(B2519&lt;&gt;B2518,A2519-A2518&gt;$U$1),1,""))&lt;&gt;1,"",IF(C2519="B01",1965,IF(C2519="B02",1020,IF(C2519="B05",2400,IF(C2519="B03",4260,IF(C2519="B04",2880,IF(C2519="B20",1260,0)))))))</f>
        <v>2400</v>
      </c>
      <c r="F2519" s="8">
        <f>IF(IF(D2519&lt;&gt;D2518,1,IF(OR(B2519&lt;&gt;B2518,A2519-A2518&gt;$U$1),1,""))&lt;&gt;1,"",IF(C2519="B01",1,IF(C2519="B05",1,IF(C2519="B03",1,IF(C2519="B04",1,IF(C2519="B20",1,IF(C2519="B02",1,0)))))))</f>
        <v>1</v>
      </c>
      <c r="G2519"/>
      <c r="H2519" s="2"/>
      <c r="I2519" s="2"/>
      <c r="L2519"/>
      <c r="R2519"/>
    </row>
    <row r="2520" spans="1:18">
      <c r="A2520" s="3">
        <v>45702.358032407406</v>
      </c>
      <c r="B2520" s="2" t="s">
        <v>33</v>
      </c>
      <c r="C2520" s="2" t="s">
        <v>11</v>
      </c>
      <c r="D2520" s="6" t="str">
        <f>CONCATENATE(YEAR(A2520),"/",IF(MONTH(A2520)&lt;10,CONCATENATE("0",MONTH(A2520)),MONTH(A2520)))</f>
        <v>2025/02</v>
      </c>
      <c r="E2520" s="8" t="str">
        <f>IF(IF(D2520&lt;&gt;D2519,1,IF(OR(B2520&lt;&gt;B2519,A2520-A2519&gt;$U$1),1,""))&lt;&gt;1,"",IF(C2520="B01",1965,IF(C2520="B02",1020,IF(C2520="B05",2400,IF(C2520="B03",4260,IF(C2520="B04",2880,IF(C2520="B20",1260,0)))))))</f>
        <v/>
      </c>
      <c r="F2520" s="8" t="str">
        <f>IF(IF(D2520&lt;&gt;D2519,1,IF(OR(B2520&lt;&gt;B2519,A2520-A2519&gt;$U$1),1,""))&lt;&gt;1,"",IF(C2520="B01",1,IF(C2520="B05",1,IF(C2520="B03",1,IF(C2520="B04",1,IF(C2520="B20",1,IF(C2520="B02",1,0)))))))</f>
        <v/>
      </c>
      <c r="G2520"/>
      <c r="H2520" s="2"/>
      <c r="I2520" s="2"/>
      <c r="L2520"/>
      <c r="R2520"/>
    </row>
    <row r="2521" spans="1:18">
      <c r="A2521" s="3">
        <v>45702.358032407406</v>
      </c>
      <c r="B2521" s="2" t="s">
        <v>33</v>
      </c>
      <c r="C2521" s="2" t="s">
        <v>11</v>
      </c>
      <c r="D2521" s="6" t="str">
        <f>CONCATENATE(YEAR(A2521),"/",IF(MONTH(A2521)&lt;10,CONCATENATE("0",MONTH(A2521)),MONTH(A2521)))</f>
        <v>2025/02</v>
      </c>
      <c r="E2521" s="8" t="str">
        <f>IF(IF(D2521&lt;&gt;D2520,1,IF(OR(B2521&lt;&gt;B2520,A2521-A2520&gt;$U$1),1,""))&lt;&gt;1,"",IF(C2521="B01",1965,IF(C2521="B02",1020,IF(C2521="B05",2400,IF(C2521="B03",4260,IF(C2521="B04",2880,IF(C2521="B20",1260,0)))))))</f>
        <v/>
      </c>
      <c r="F2521" s="8" t="str">
        <f>IF(IF(D2521&lt;&gt;D2520,1,IF(OR(B2521&lt;&gt;B2520,A2521-A2520&gt;$U$1),1,""))&lt;&gt;1,"",IF(C2521="B01",1,IF(C2521="B05",1,IF(C2521="B03",1,IF(C2521="B04",1,IF(C2521="B20",1,IF(C2521="B02",1,0)))))))</f>
        <v/>
      </c>
      <c r="G2521"/>
      <c r="H2521" s="2"/>
      <c r="I2521" s="2"/>
      <c r="L2521"/>
      <c r="R2521"/>
    </row>
    <row r="2522" spans="1:18">
      <c r="A2522" s="3">
        <v>45702.677627314813</v>
      </c>
      <c r="B2522" s="2" t="s">
        <v>33</v>
      </c>
      <c r="C2522" s="2" t="s">
        <v>11</v>
      </c>
      <c r="D2522" s="6" t="str">
        <f>CONCATENATE(YEAR(A2522),"/",IF(MONTH(A2522)&lt;10,CONCATENATE("0",MONTH(A2522)),MONTH(A2522)))</f>
        <v>2025/02</v>
      </c>
      <c r="E2522" s="8">
        <f>IF(IF(D2522&lt;&gt;D2521,1,IF(OR(B2522&lt;&gt;B2521,A2522-A2521&gt;$U$1),1,""))&lt;&gt;1,"",IF(C2522="B01",1965,IF(C2522="B02",1020,IF(C2522="B05",2400,IF(C2522="B03",4260,IF(C2522="B04",2880,IF(C2522="B20",1260,0)))))))</f>
        <v>2400</v>
      </c>
      <c r="F2522" s="8">
        <f>IF(IF(D2522&lt;&gt;D2521,1,IF(OR(B2522&lt;&gt;B2521,A2522-A2521&gt;$U$1),1,""))&lt;&gt;1,"",IF(C2522="B01",1,IF(C2522="B05",1,IF(C2522="B03",1,IF(C2522="B04",1,IF(C2522="B20",1,IF(C2522="B02",1,0)))))))</f>
        <v>1</v>
      </c>
      <c r="G2522"/>
      <c r="H2522" s="2"/>
      <c r="I2522" s="2"/>
      <c r="L2522"/>
      <c r="R2522"/>
    </row>
    <row r="2523" spans="1:18">
      <c r="A2523" s="3">
        <v>45702.677627314813</v>
      </c>
      <c r="B2523" s="2" t="s">
        <v>33</v>
      </c>
      <c r="C2523" s="2" t="s">
        <v>11</v>
      </c>
      <c r="D2523" s="6" t="str">
        <f>CONCATENATE(YEAR(A2523),"/",IF(MONTH(A2523)&lt;10,CONCATENATE("0",MONTH(A2523)),MONTH(A2523)))</f>
        <v>2025/02</v>
      </c>
      <c r="E2523" s="8" t="str">
        <f>IF(IF(D2523&lt;&gt;D2522,1,IF(OR(B2523&lt;&gt;B2522,A2523-A2522&gt;$U$1),1,""))&lt;&gt;1,"",IF(C2523="B01",1965,IF(C2523="B02",1020,IF(C2523="B05",2400,IF(C2523="B03",4260,IF(C2523="B04",2880,IF(C2523="B20",1260,0)))))))</f>
        <v/>
      </c>
      <c r="F2523" s="8" t="str">
        <f>IF(IF(D2523&lt;&gt;D2522,1,IF(OR(B2523&lt;&gt;B2522,A2523-A2522&gt;$U$1),1,""))&lt;&gt;1,"",IF(C2523="B01",1,IF(C2523="B05",1,IF(C2523="B03",1,IF(C2523="B04",1,IF(C2523="B20",1,IF(C2523="B02",1,0)))))))</f>
        <v/>
      </c>
      <c r="G2523"/>
      <c r="H2523" s="2"/>
      <c r="I2523" s="2"/>
      <c r="L2523"/>
      <c r="R2523"/>
    </row>
    <row r="2524" spans="1:18">
      <c r="A2524" s="3">
        <v>45702.677627314813</v>
      </c>
      <c r="B2524" s="2" t="s">
        <v>33</v>
      </c>
      <c r="C2524" s="2" t="s">
        <v>11</v>
      </c>
      <c r="D2524" s="6" t="str">
        <f>CONCATENATE(YEAR(A2524),"/",IF(MONTH(A2524)&lt;10,CONCATENATE("0",MONTH(A2524)),MONTH(A2524)))</f>
        <v>2025/02</v>
      </c>
      <c r="E2524" s="8" t="str">
        <f>IF(IF(D2524&lt;&gt;D2523,1,IF(OR(B2524&lt;&gt;B2523,A2524-A2523&gt;$U$1),1,""))&lt;&gt;1,"",IF(C2524="B01",1965,IF(C2524="B02",1020,IF(C2524="B05",2400,IF(C2524="B03",4260,IF(C2524="B04",2880,IF(C2524="B20",1260,0)))))))</f>
        <v/>
      </c>
      <c r="F2524" s="8" t="str">
        <f>IF(IF(D2524&lt;&gt;D2523,1,IF(OR(B2524&lt;&gt;B2523,A2524-A2523&gt;$U$1),1,""))&lt;&gt;1,"",IF(C2524="B01",1,IF(C2524="B05",1,IF(C2524="B03",1,IF(C2524="B04",1,IF(C2524="B20",1,IF(C2524="B02",1,0)))))))</f>
        <v/>
      </c>
      <c r="G2524"/>
      <c r="H2524" s="2"/>
      <c r="I2524" s="2"/>
      <c r="L2524"/>
      <c r="R2524"/>
    </row>
    <row r="2525" spans="1:18">
      <c r="A2525" s="3">
        <v>45702.677627314813</v>
      </c>
      <c r="B2525" s="2" t="s">
        <v>33</v>
      </c>
      <c r="C2525" s="2" t="s">
        <v>11</v>
      </c>
      <c r="D2525" s="6" t="str">
        <f>CONCATENATE(YEAR(A2525),"/",IF(MONTH(A2525)&lt;10,CONCATENATE("0",MONTH(A2525)),MONTH(A2525)))</f>
        <v>2025/02</v>
      </c>
      <c r="E2525" s="8" t="str">
        <f>IF(IF(D2525&lt;&gt;D2524,1,IF(OR(B2525&lt;&gt;B2524,A2525-A2524&gt;$U$1),1,""))&lt;&gt;1,"",IF(C2525="B01",1965,IF(C2525="B02",1020,IF(C2525="B05",2400,IF(C2525="B03",4260,IF(C2525="B04",2880,IF(C2525="B20",1260,0)))))))</f>
        <v/>
      </c>
      <c r="F2525" s="8" t="str">
        <f>IF(IF(D2525&lt;&gt;D2524,1,IF(OR(B2525&lt;&gt;B2524,A2525-A2524&gt;$U$1),1,""))&lt;&gt;1,"",IF(C2525="B01",1,IF(C2525="B05",1,IF(C2525="B03",1,IF(C2525="B04",1,IF(C2525="B20",1,IF(C2525="B02",1,0)))))))</f>
        <v/>
      </c>
      <c r="G2525"/>
      <c r="H2525" s="2"/>
      <c r="I2525" s="2"/>
      <c r="L2525"/>
      <c r="R2525"/>
    </row>
    <row r="2526" spans="1:18">
      <c r="A2526" s="3">
        <v>45702.873680555553</v>
      </c>
      <c r="B2526" s="2" t="s">
        <v>33</v>
      </c>
      <c r="C2526" s="2" t="s">
        <v>11</v>
      </c>
      <c r="D2526" s="6" t="str">
        <f>CONCATENATE(YEAR(A2526),"/",IF(MONTH(A2526)&lt;10,CONCATENATE("0",MONTH(A2526)),MONTH(A2526)))</f>
        <v>2025/02</v>
      </c>
      <c r="E2526" s="8">
        <f>IF(IF(D2526&lt;&gt;D2525,1,IF(OR(B2526&lt;&gt;B2525,A2526-A2525&gt;$U$1),1,""))&lt;&gt;1,"",IF(C2526="B01",1965,IF(C2526="B02",1020,IF(C2526="B05",2400,IF(C2526="B03",4260,IF(C2526="B04",2880,IF(C2526="B20",1260,0)))))))</f>
        <v>2400</v>
      </c>
      <c r="F2526" s="8">
        <f>IF(IF(D2526&lt;&gt;D2525,1,IF(OR(B2526&lt;&gt;B2525,A2526-A2525&gt;$U$1),1,""))&lt;&gt;1,"",IF(C2526="B01",1,IF(C2526="B05",1,IF(C2526="B03",1,IF(C2526="B04",1,IF(C2526="B20",1,IF(C2526="B02",1,0)))))))</f>
        <v>1</v>
      </c>
      <c r="G2526"/>
      <c r="H2526" s="2"/>
      <c r="I2526" s="2"/>
      <c r="L2526"/>
      <c r="R2526"/>
    </row>
    <row r="2527" spans="1:18">
      <c r="A2527" s="3">
        <v>45702.873680555553</v>
      </c>
      <c r="B2527" s="2" t="s">
        <v>33</v>
      </c>
      <c r="C2527" s="2" t="s">
        <v>11</v>
      </c>
      <c r="D2527" s="6" t="str">
        <f>CONCATENATE(YEAR(A2527),"/",IF(MONTH(A2527)&lt;10,CONCATENATE("0",MONTH(A2527)),MONTH(A2527)))</f>
        <v>2025/02</v>
      </c>
      <c r="E2527" s="8" t="str">
        <f>IF(IF(D2527&lt;&gt;D2526,1,IF(OR(B2527&lt;&gt;B2526,A2527-A2526&gt;$U$1),1,""))&lt;&gt;1,"",IF(C2527="B01",1965,IF(C2527="B02",1020,IF(C2527="B05",2400,IF(C2527="B03",4260,IF(C2527="B04",2880,IF(C2527="B20",1260,0)))))))</f>
        <v/>
      </c>
      <c r="F2527" s="8" t="str">
        <f>IF(IF(D2527&lt;&gt;D2526,1,IF(OR(B2527&lt;&gt;B2526,A2527-A2526&gt;$U$1),1,""))&lt;&gt;1,"",IF(C2527="B01",1,IF(C2527="B05",1,IF(C2527="B03",1,IF(C2527="B04",1,IF(C2527="B20",1,IF(C2527="B02",1,0)))))))</f>
        <v/>
      </c>
      <c r="G2527"/>
      <c r="H2527" s="2"/>
      <c r="I2527" s="2"/>
      <c r="L2527"/>
      <c r="R2527"/>
    </row>
    <row r="2528" spans="1:18">
      <c r="A2528" s="3">
        <v>45703.050659722219</v>
      </c>
      <c r="B2528" s="2" t="s">
        <v>33</v>
      </c>
      <c r="C2528" s="2" t="s">
        <v>11</v>
      </c>
      <c r="D2528" s="6" t="str">
        <f>CONCATENATE(YEAR(A2528),"/",IF(MONTH(A2528)&lt;10,CONCATENATE("0",MONTH(A2528)),MONTH(A2528)))</f>
        <v>2025/02</v>
      </c>
      <c r="E2528" s="8">
        <f>IF(IF(D2528&lt;&gt;D2527,1,IF(OR(B2528&lt;&gt;B2527,A2528-A2527&gt;$U$1),1,""))&lt;&gt;1,"",IF(C2528="B01",1965,IF(C2528="B02",1020,IF(C2528="B05",2400,IF(C2528="B03",4260,IF(C2528="B04",2880,IF(C2528="B20",1260,0)))))))</f>
        <v>2400</v>
      </c>
      <c r="F2528" s="8">
        <f>IF(IF(D2528&lt;&gt;D2527,1,IF(OR(B2528&lt;&gt;B2527,A2528-A2527&gt;$U$1),1,""))&lt;&gt;1,"",IF(C2528="B01",1,IF(C2528="B05",1,IF(C2528="B03",1,IF(C2528="B04",1,IF(C2528="B20",1,IF(C2528="B02",1,0)))))))</f>
        <v>1</v>
      </c>
      <c r="G2528"/>
      <c r="H2528" s="2"/>
      <c r="I2528" s="2"/>
      <c r="L2528"/>
      <c r="R2528"/>
    </row>
    <row r="2529" spans="1:18">
      <c r="A2529" s="3">
        <v>45703.050659722219</v>
      </c>
      <c r="B2529" s="2" t="s">
        <v>33</v>
      </c>
      <c r="C2529" s="2" t="s">
        <v>11</v>
      </c>
      <c r="D2529" s="6" t="str">
        <f>CONCATENATE(YEAR(A2529),"/",IF(MONTH(A2529)&lt;10,CONCATENATE("0",MONTH(A2529)),MONTH(A2529)))</f>
        <v>2025/02</v>
      </c>
      <c r="E2529" s="8" t="str">
        <f>IF(IF(D2529&lt;&gt;D2528,1,IF(OR(B2529&lt;&gt;B2528,A2529-A2528&gt;$U$1),1,""))&lt;&gt;1,"",IF(C2529="B01",1965,IF(C2529="B02",1020,IF(C2529="B05",2400,IF(C2529="B03",4260,IF(C2529="B04",2880,IF(C2529="B20",1260,0)))))))</f>
        <v/>
      </c>
      <c r="F2529" s="8" t="str">
        <f>IF(IF(D2529&lt;&gt;D2528,1,IF(OR(B2529&lt;&gt;B2528,A2529-A2528&gt;$U$1),1,""))&lt;&gt;1,"",IF(C2529="B01",1,IF(C2529="B05",1,IF(C2529="B03",1,IF(C2529="B04",1,IF(C2529="B20",1,IF(C2529="B02",1,0)))))))</f>
        <v/>
      </c>
      <c r="G2529"/>
      <c r="H2529" s="2"/>
      <c r="I2529" s="2"/>
      <c r="L2529"/>
      <c r="R2529"/>
    </row>
    <row r="2530" spans="1:18">
      <c r="A2530" s="3">
        <v>45703.227962962963</v>
      </c>
      <c r="B2530" s="2" t="s">
        <v>33</v>
      </c>
      <c r="C2530" s="2" t="s">
        <v>11</v>
      </c>
      <c r="D2530" s="6" t="str">
        <f>CONCATENATE(YEAR(A2530),"/",IF(MONTH(A2530)&lt;10,CONCATENATE("0",MONTH(A2530)),MONTH(A2530)))</f>
        <v>2025/02</v>
      </c>
      <c r="E2530" s="8">
        <f>IF(IF(D2530&lt;&gt;D2529,1,IF(OR(B2530&lt;&gt;B2529,A2530-A2529&gt;$U$1),1,""))&lt;&gt;1,"",IF(C2530="B01",1965,IF(C2530="B02",1020,IF(C2530="B05",2400,IF(C2530="B03",4260,IF(C2530="B04",2880,IF(C2530="B20",1260,0)))))))</f>
        <v>2400</v>
      </c>
      <c r="F2530" s="8">
        <f>IF(IF(D2530&lt;&gt;D2529,1,IF(OR(B2530&lt;&gt;B2529,A2530-A2529&gt;$U$1),1,""))&lt;&gt;1,"",IF(C2530="B01",1,IF(C2530="B05",1,IF(C2530="B03",1,IF(C2530="B04",1,IF(C2530="B20",1,IF(C2530="B02",1,0)))))))</f>
        <v>1</v>
      </c>
      <c r="G2530"/>
      <c r="H2530" s="2"/>
      <c r="I2530" s="2"/>
      <c r="L2530"/>
      <c r="R2530"/>
    </row>
    <row r="2531" spans="1:18">
      <c r="A2531" s="3">
        <v>45703.227962962963</v>
      </c>
      <c r="B2531" s="2" t="s">
        <v>33</v>
      </c>
      <c r="C2531" s="2" t="s">
        <v>11</v>
      </c>
      <c r="D2531" s="6" t="str">
        <f>CONCATENATE(YEAR(A2531),"/",IF(MONTH(A2531)&lt;10,CONCATENATE("0",MONTH(A2531)),MONTH(A2531)))</f>
        <v>2025/02</v>
      </c>
      <c r="E2531" s="8" t="str">
        <f>IF(IF(D2531&lt;&gt;D2530,1,IF(OR(B2531&lt;&gt;B2530,A2531-A2530&gt;$U$1),1,""))&lt;&gt;1,"",IF(C2531="B01",1965,IF(C2531="B02",1020,IF(C2531="B05",2400,IF(C2531="B03",4260,IF(C2531="B04",2880,IF(C2531="B20",1260,0)))))))</f>
        <v/>
      </c>
      <c r="F2531" s="8" t="str">
        <f>IF(IF(D2531&lt;&gt;D2530,1,IF(OR(B2531&lt;&gt;B2530,A2531-A2530&gt;$U$1),1,""))&lt;&gt;1,"",IF(C2531="B01",1,IF(C2531="B05",1,IF(C2531="B03",1,IF(C2531="B04",1,IF(C2531="B20",1,IF(C2531="B02",1,0)))))))</f>
        <v/>
      </c>
      <c r="G2531"/>
      <c r="H2531" s="2"/>
      <c r="I2531" s="2"/>
      <c r="L2531"/>
      <c r="R2531"/>
    </row>
    <row r="2532" spans="1:18">
      <c r="A2532" s="3">
        <v>45703.841203703705</v>
      </c>
      <c r="B2532" s="2" t="s">
        <v>33</v>
      </c>
      <c r="C2532" s="2" t="s">
        <v>11</v>
      </c>
      <c r="D2532" s="6" t="str">
        <f>CONCATENATE(YEAR(A2532),"/",IF(MONTH(A2532)&lt;10,CONCATENATE("0",MONTH(A2532)),MONTH(A2532)))</f>
        <v>2025/02</v>
      </c>
      <c r="E2532" s="8">
        <f>IF(IF(D2532&lt;&gt;D2531,1,IF(OR(B2532&lt;&gt;B2531,A2532-A2531&gt;$U$1),1,""))&lt;&gt;1,"",IF(C2532="B01",1965,IF(C2532="B02",1020,IF(C2532="B05",2400,IF(C2532="B03",4260,IF(C2532="B04",2880,IF(C2532="B20",1260,0)))))))</f>
        <v>2400</v>
      </c>
      <c r="F2532" s="8">
        <f>IF(IF(D2532&lt;&gt;D2531,1,IF(OR(B2532&lt;&gt;B2531,A2532-A2531&gt;$U$1),1,""))&lt;&gt;1,"",IF(C2532="B01",1,IF(C2532="B05",1,IF(C2532="B03",1,IF(C2532="B04",1,IF(C2532="B20",1,IF(C2532="B02",1,0)))))))</f>
        <v>1</v>
      </c>
      <c r="G2532"/>
      <c r="H2532" s="2"/>
      <c r="I2532" s="2"/>
      <c r="L2532"/>
      <c r="R2532"/>
    </row>
    <row r="2533" spans="1:18">
      <c r="A2533" s="3">
        <v>45703.841203703705</v>
      </c>
      <c r="B2533" s="2" t="s">
        <v>33</v>
      </c>
      <c r="C2533" s="2" t="s">
        <v>11</v>
      </c>
      <c r="D2533" s="6" t="str">
        <f>CONCATENATE(YEAR(A2533),"/",IF(MONTH(A2533)&lt;10,CONCATENATE("0",MONTH(A2533)),MONTH(A2533)))</f>
        <v>2025/02</v>
      </c>
      <c r="E2533" s="8" t="str">
        <f>IF(IF(D2533&lt;&gt;D2532,1,IF(OR(B2533&lt;&gt;B2532,A2533-A2532&gt;$U$1),1,""))&lt;&gt;1,"",IF(C2533="B01",1965,IF(C2533="B02",1020,IF(C2533="B05",2400,IF(C2533="B03",4260,IF(C2533="B04",2880,IF(C2533="B20",1260,0)))))))</f>
        <v/>
      </c>
      <c r="F2533" s="8" t="str">
        <f>IF(IF(D2533&lt;&gt;D2532,1,IF(OR(B2533&lt;&gt;B2532,A2533-A2532&gt;$U$1),1,""))&lt;&gt;1,"",IF(C2533="B01",1,IF(C2533="B05",1,IF(C2533="B03",1,IF(C2533="B04",1,IF(C2533="B20",1,IF(C2533="B02",1,0)))))))</f>
        <v/>
      </c>
      <c r="G2533"/>
      <c r="H2533" s="2"/>
      <c r="I2533" s="2"/>
      <c r="L2533"/>
      <c r="R2533"/>
    </row>
    <row r="2534" spans="1:18">
      <c r="A2534" s="3">
        <v>45703.841203703705</v>
      </c>
      <c r="B2534" s="2" t="s">
        <v>33</v>
      </c>
      <c r="C2534" s="2" t="s">
        <v>11</v>
      </c>
      <c r="D2534" s="6" t="str">
        <f>CONCATENATE(YEAR(A2534),"/",IF(MONTH(A2534)&lt;10,CONCATENATE("0",MONTH(A2534)),MONTH(A2534)))</f>
        <v>2025/02</v>
      </c>
      <c r="E2534" s="8" t="str">
        <f>IF(IF(D2534&lt;&gt;D2533,1,IF(OR(B2534&lt;&gt;B2533,A2534-A2533&gt;$U$1),1,""))&lt;&gt;1,"",IF(C2534="B01",1965,IF(C2534="B02",1020,IF(C2534="B05",2400,IF(C2534="B03",4260,IF(C2534="B04",2880,IF(C2534="B20",1260,0)))))))</f>
        <v/>
      </c>
      <c r="F2534" s="8" t="str">
        <f>IF(IF(D2534&lt;&gt;D2533,1,IF(OR(B2534&lt;&gt;B2533,A2534-A2533&gt;$U$1),1,""))&lt;&gt;1,"",IF(C2534="B01",1,IF(C2534="B05",1,IF(C2534="B03",1,IF(C2534="B04",1,IF(C2534="B20",1,IF(C2534="B02",1,0)))))))</f>
        <v/>
      </c>
      <c r="G2534"/>
      <c r="H2534" s="2"/>
      <c r="I2534" s="2"/>
      <c r="L2534"/>
      <c r="R2534"/>
    </row>
    <row r="2535" spans="1:18">
      <c r="A2535" s="3">
        <v>45704.063576388886</v>
      </c>
      <c r="B2535" s="2" t="s">
        <v>33</v>
      </c>
      <c r="C2535" s="2" t="s">
        <v>11</v>
      </c>
      <c r="D2535" s="6" t="str">
        <f>CONCATENATE(YEAR(A2535),"/",IF(MONTH(A2535)&lt;10,CONCATENATE("0",MONTH(A2535)),MONTH(A2535)))</f>
        <v>2025/02</v>
      </c>
      <c r="E2535" s="8">
        <f>IF(IF(D2535&lt;&gt;D2534,1,IF(OR(B2535&lt;&gt;B2534,A2535-A2534&gt;$U$1),1,""))&lt;&gt;1,"",IF(C2535="B01",1965,IF(C2535="B02",1020,IF(C2535="B05",2400,IF(C2535="B03",4260,IF(C2535="B04",2880,IF(C2535="B20",1260,0)))))))</f>
        <v>2400</v>
      </c>
      <c r="F2535" s="8">
        <f>IF(IF(D2535&lt;&gt;D2534,1,IF(OR(B2535&lt;&gt;B2534,A2535-A2534&gt;$U$1),1,""))&lt;&gt;1,"",IF(C2535="B01",1,IF(C2535="B05",1,IF(C2535="B03",1,IF(C2535="B04",1,IF(C2535="B20",1,IF(C2535="B02",1,0)))))))</f>
        <v>1</v>
      </c>
      <c r="G2535"/>
      <c r="H2535" s="2"/>
      <c r="I2535" s="2"/>
      <c r="L2535"/>
      <c r="R2535"/>
    </row>
    <row r="2536" spans="1:18">
      <c r="A2536" s="3">
        <v>45704.063576388886</v>
      </c>
      <c r="B2536" s="2" t="s">
        <v>33</v>
      </c>
      <c r="C2536" s="2" t="s">
        <v>11</v>
      </c>
      <c r="D2536" s="6" t="str">
        <f>CONCATENATE(YEAR(A2536),"/",IF(MONTH(A2536)&lt;10,CONCATENATE("0",MONTH(A2536)),MONTH(A2536)))</f>
        <v>2025/02</v>
      </c>
      <c r="E2536" s="8" t="str">
        <f>IF(IF(D2536&lt;&gt;D2535,1,IF(OR(B2536&lt;&gt;B2535,A2536-A2535&gt;$U$1),1,""))&lt;&gt;1,"",IF(C2536="B01",1965,IF(C2536="B02",1020,IF(C2536="B05",2400,IF(C2536="B03",4260,IF(C2536="B04",2880,IF(C2536="B20",1260,0)))))))</f>
        <v/>
      </c>
      <c r="F2536" s="8" t="str">
        <f>IF(IF(D2536&lt;&gt;D2535,1,IF(OR(B2536&lt;&gt;B2535,A2536-A2535&gt;$U$1),1,""))&lt;&gt;1,"",IF(C2536="B01",1,IF(C2536="B05",1,IF(C2536="B03",1,IF(C2536="B04",1,IF(C2536="B20",1,IF(C2536="B02",1,0)))))))</f>
        <v/>
      </c>
      <c r="G2536"/>
      <c r="H2536" s="2"/>
      <c r="I2536" s="2"/>
      <c r="L2536"/>
      <c r="R2536"/>
    </row>
    <row r="2537" spans="1:18">
      <c r="A2537" s="3">
        <v>45704.898993055554</v>
      </c>
      <c r="B2537" s="2" t="s">
        <v>33</v>
      </c>
      <c r="C2537" s="2" t="s">
        <v>11</v>
      </c>
      <c r="D2537" s="6" t="str">
        <f>CONCATENATE(YEAR(A2537),"/",IF(MONTH(A2537)&lt;10,CONCATENATE("0",MONTH(A2537)),MONTH(A2537)))</f>
        <v>2025/02</v>
      </c>
      <c r="E2537" s="8">
        <f>IF(IF(D2537&lt;&gt;D2536,1,IF(OR(B2537&lt;&gt;B2536,A2537-A2536&gt;$U$1),1,""))&lt;&gt;1,"",IF(C2537="B01",1965,IF(C2537="B02",1020,IF(C2537="B05",2400,IF(C2537="B03",4260,IF(C2537="B04",2880,IF(C2537="B20",1260,0)))))))</f>
        <v>2400</v>
      </c>
      <c r="F2537" s="8">
        <f>IF(IF(D2537&lt;&gt;D2536,1,IF(OR(B2537&lt;&gt;B2536,A2537-A2536&gt;$U$1),1,""))&lt;&gt;1,"",IF(C2537="B01",1,IF(C2537="B05",1,IF(C2537="B03",1,IF(C2537="B04",1,IF(C2537="B20",1,IF(C2537="B02",1,0)))))))</f>
        <v>1</v>
      </c>
      <c r="G2537"/>
      <c r="H2537" s="2"/>
      <c r="I2537" s="2"/>
      <c r="L2537"/>
      <c r="R2537"/>
    </row>
    <row r="2538" spans="1:18">
      <c r="A2538" s="3">
        <v>45704.898993055554</v>
      </c>
      <c r="B2538" s="2" t="s">
        <v>33</v>
      </c>
      <c r="C2538" s="2" t="s">
        <v>11</v>
      </c>
      <c r="D2538" s="6" t="str">
        <f>CONCATENATE(YEAR(A2538),"/",IF(MONTH(A2538)&lt;10,CONCATENATE("0",MONTH(A2538)),MONTH(A2538)))</f>
        <v>2025/02</v>
      </c>
      <c r="E2538" s="8" t="str">
        <f>IF(IF(D2538&lt;&gt;D2537,1,IF(OR(B2538&lt;&gt;B2537,A2538-A2537&gt;$U$1),1,""))&lt;&gt;1,"",IF(C2538="B01",1965,IF(C2538="B02",1020,IF(C2538="B05",2400,IF(C2538="B03",4260,IF(C2538="B04",2880,IF(C2538="B20",1260,0)))))))</f>
        <v/>
      </c>
      <c r="F2538" s="8" t="str">
        <f>IF(IF(D2538&lt;&gt;D2537,1,IF(OR(B2538&lt;&gt;B2537,A2538-A2537&gt;$U$1),1,""))&lt;&gt;1,"",IF(C2538="B01",1,IF(C2538="B05",1,IF(C2538="B03",1,IF(C2538="B04",1,IF(C2538="B20",1,IF(C2538="B02",1,0)))))))</f>
        <v/>
      </c>
      <c r="G2538"/>
      <c r="H2538" s="2"/>
      <c r="I2538" s="2"/>
      <c r="L2538"/>
      <c r="R2538"/>
    </row>
    <row r="2539" spans="1:18">
      <c r="A2539" s="3">
        <v>45704.898993055554</v>
      </c>
      <c r="B2539" s="2" t="s">
        <v>33</v>
      </c>
      <c r="C2539" s="2" t="s">
        <v>11</v>
      </c>
      <c r="D2539" s="6" t="str">
        <f>CONCATENATE(YEAR(A2539),"/",IF(MONTH(A2539)&lt;10,CONCATENATE("0",MONTH(A2539)),MONTH(A2539)))</f>
        <v>2025/02</v>
      </c>
      <c r="E2539" s="8" t="str">
        <f>IF(IF(D2539&lt;&gt;D2538,1,IF(OR(B2539&lt;&gt;B2538,A2539-A2538&gt;$U$1),1,""))&lt;&gt;1,"",IF(C2539="B01",1965,IF(C2539="B02",1020,IF(C2539="B05",2400,IF(C2539="B03",4260,IF(C2539="B04",2880,IF(C2539="B20",1260,0)))))))</f>
        <v/>
      </c>
      <c r="F2539" s="8" t="str">
        <f>IF(IF(D2539&lt;&gt;D2538,1,IF(OR(B2539&lt;&gt;B2538,A2539-A2538&gt;$U$1),1,""))&lt;&gt;1,"",IF(C2539="B01",1,IF(C2539="B05",1,IF(C2539="B03",1,IF(C2539="B04",1,IF(C2539="B20",1,IF(C2539="B02",1,0)))))))</f>
        <v/>
      </c>
      <c r="G2539"/>
      <c r="H2539" s="2"/>
      <c r="I2539" s="2"/>
      <c r="L2539"/>
      <c r="R2539"/>
    </row>
    <row r="2540" spans="1:18">
      <c r="A2540" s="3">
        <v>45704.898993055554</v>
      </c>
      <c r="B2540" s="2" t="s">
        <v>33</v>
      </c>
      <c r="C2540" s="2" t="s">
        <v>11</v>
      </c>
      <c r="D2540" s="6" t="str">
        <f>CONCATENATE(YEAR(A2540),"/",IF(MONTH(A2540)&lt;10,CONCATENATE("0",MONTH(A2540)),MONTH(A2540)))</f>
        <v>2025/02</v>
      </c>
      <c r="E2540" s="8" t="str">
        <f>IF(IF(D2540&lt;&gt;D2539,1,IF(OR(B2540&lt;&gt;B2539,A2540-A2539&gt;$U$1),1,""))&lt;&gt;1,"",IF(C2540="B01",1965,IF(C2540="B02",1020,IF(C2540="B05",2400,IF(C2540="B03",4260,IF(C2540="B04",2880,IF(C2540="B20",1260,0)))))))</f>
        <v/>
      </c>
      <c r="F2540" s="8" t="str">
        <f>IF(IF(D2540&lt;&gt;D2539,1,IF(OR(B2540&lt;&gt;B2539,A2540-A2539&gt;$U$1),1,""))&lt;&gt;1,"",IF(C2540="B01",1,IF(C2540="B05",1,IF(C2540="B03",1,IF(C2540="B04",1,IF(C2540="B20",1,IF(C2540="B02",1,0)))))))</f>
        <v/>
      </c>
      <c r="G2540"/>
      <c r="H2540" s="2"/>
      <c r="I2540" s="2"/>
      <c r="L2540"/>
      <c r="R2540"/>
    </row>
    <row r="2541" spans="1:18">
      <c r="A2541" s="3">
        <v>45705.339039351849</v>
      </c>
      <c r="B2541" s="2" t="s">
        <v>33</v>
      </c>
      <c r="C2541" s="2" t="s">
        <v>11</v>
      </c>
      <c r="D2541" s="6" t="str">
        <f>CONCATENATE(YEAR(A2541),"/",IF(MONTH(A2541)&lt;10,CONCATENATE("0",MONTH(A2541)),MONTH(A2541)))</f>
        <v>2025/02</v>
      </c>
      <c r="E2541" s="8">
        <f>IF(IF(D2541&lt;&gt;D2540,1,IF(OR(B2541&lt;&gt;B2540,A2541-A2540&gt;$U$1),1,""))&lt;&gt;1,"",IF(C2541="B01",1965,IF(C2541="B02",1020,IF(C2541="B05",2400,IF(C2541="B03",4260,IF(C2541="B04",2880,IF(C2541="B20",1260,0)))))))</f>
        <v>2400</v>
      </c>
      <c r="F2541" s="8">
        <f>IF(IF(D2541&lt;&gt;D2540,1,IF(OR(B2541&lt;&gt;B2540,A2541-A2540&gt;$U$1),1,""))&lt;&gt;1,"",IF(C2541="B01",1,IF(C2541="B05",1,IF(C2541="B03",1,IF(C2541="B04",1,IF(C2541="B20",1,IF(C2541="B02",1,0)))))))</f>
        <v>1</v>
      </c>
      <c r="G2541"/>
      <c r="H2541" s="2"/>
      <c r="I2541" s="2"/>
      <c r="L2541"/>
      <c r="R2541"/>
    </row>
    <row r="2542" spans="1:18">
      <c r="A2542" s="3">
        <v>45705.339039351849</v>
      </c>
      <c r="B2542" s="2" t="s">
        <v>33</v>
      </c>
      <c r="C2542" s="2" t="s">
        <v>11</v>
      </c>
      <c r="D2542" s="6" t="str">
        <f>CONCATENATE(YEAR(A2542),"/",IF(MONTH(A2542)&lt;10,CONCATENATE("0",MONTH(A2542)),MONTH(A2542)))</f>
        <v>2025/02</v>
      </c>
      <c r="E2542" s="8" t="str">
        <f>IF(IF(D2542&lt;&gt;D2541,1,IF(OR(B2542&lt;&gt;B2541,A2542-A2541&gt;$U$1),1,""))&lt;&gt;1,"",IF(C2542="B01",1965,IF(C2542="B02",1020,IF(C2542="B05",2400,IF(C2542="B03",4260,IF(C2542="B04",2880,IF(C2542="B20",1260,0)))))))</f>
        <v/>
      </c>
      <c r="F2542" s="8" t="str">
        <f>IF(IF(D2542&lt;&gt;D2541,1,IF(OR(B2542&lt;&gt;B2541,A2542-A2541&gt;$U$1),1,""))&lt;&gt;1,"",IF(C2542="B01",1,IF(C2542="B05",1,IF(C2542="B03",1,IF(C2542="B04",1,IF(C2542="B20",1,IF(C2542="B02",1,0)))))))</f>
        <v/>
      </c>
      <c r="G2542"/>
      <c r="H2542" s="2"/>
      <c r="I2542" s="2"/>
      <c r="L2542"/>
      <c r="R2542"/>
    </row>
    <row r="2543" spans="1:18">
      <c r="A2543" s="3">
        <v>45705.550046296295</v>
      </c>
      <c r="B2543" s="2" t="s">
        <v>33</v>
      </c>
      <c r="C2543" s="2" t="s">
        <v>11</v>
      </c>
      <c r="D2543" s="6" t="str">
        <f>CONCATENATE(YEAR(A2543),"/",IF(MONTH(A2543)&lt;10,CONCATENATE("0",MONTH(A2543)),MONTH(A2543)))</f>
        <v>2025/02</v>
      </c>
      <c r="E2543" s="8">
        <f>IF(IF(D2543&lt;&gt;D2542,1,IF(OR(B2543&lt;&gt;B2542,A2543-A2542&gt;$U$1),1,""))&lt;&gt;1,"",IF(C2543="B01",1965,IF(C2543="B02",1020,IF(C2543="B05",2400,IF(C2543="B03",4260,IF(C2543="B04",2880,IF(C2543="B20",1260,0)))))))</f>
        <v>2400</v>
      </c>
      <c r="F2543" s="8">
        <f>IF(IF(D2543&lt;&gt;D2542,1,IF(OR(B2543&lt;&gt;B2542,A2543-A2542&gt;$U$1),1,""))&lt;&gt;1,"",IF(C2543="B01",1,IF(C2543="B05",1,IF(C2543="B03",1,IF(C2543="B04",1,IF(C2543="B20",1,IF(C2543="B02",1,0)))))))</f>
        <v>1</v>
      </c>
      <c r="G2543"/>
      <c r="H2543" s="2"/>
      <c r="I2543" s="2"/>
      <c r="L2543"/>
      <c r="R2543"/>
    </row>
    <row r="2544" spans="1:18">
      <c r="A2544" s="3">
        <v>45705.550046296295</v>
      </c>
      <c r="B2544" s="2" t="s">
        <v>33</v>
      </c>
      <c r="C2544" s="2" t="s">
        <v>11</v>
      </c>
      <c r="D2544" s="6" t="str">
        <f>CONCATENATE(YEAR(A2544),"/",IF(MONTH(A2544)&lt;10,CONCATENATE("0",MONTH(A2544)),MONTH(A2544)))</f>
        <v>2025/02</v>
      </c>
      <c r="E2544" s="8" t="str">
        <f>IF(IF(D2544&lt;&gt;D2543,1,IF(OR(B2544&lt;&gt;B2543,A2544-A2543&gt;$U$1),1,""))&lt;&gt;1,"",IF(C2544="B01",1965,IF(C2544="B02",1020,IF(C2544="B05",2400,IF(C2544="B03",4260,IF(C2544="B04",2880,IF(C2544="B20",1260,0)))))))</f>
        <v/>
      </c>
      <c r="F2544" s="8" t="str">
        <f>IF(IF(D2544&lt;&gt;D2543,1,IF(OR(B2544&lt;&gt;B2543,A2544-A2543&gt;$U$1),1,""))&lt;&gt;1,"",IF(C2544="B01",1,IF(C2544="B05",1,IF(C2544="B03",1,IF(C2544="B04",1,IF(C2544="B20",1,IF(C2544="B02",1,0)))))))</f>
        <v/>
      </c>
      <c r="G2544"/>
      <c r="H2544" s="2"/>
      <c r="I2544" s="2"/>
      <c r="L2544"/>
      <c r="R2544"/>
    </row>
    <row r="2545" spans="1:18">
      <c r="A2545" s="3">
        <v>45705.550046296295</v>
      </c>
      <c r="B2545" s="2" t="s">
        <v>33</v>
      </c>
      <c r="C2545" s="2" t="s">
        <v>11</v>
      </c>
      <c r="D2545" s="6" t="str">
        <f>CONCATENATE(YEAR(A2545),"/",IF(MONTH(A2545)&lt;10,CONCATENATE("0",MONTH(A2545)),MONTH(A2545)))</f>
        <v>2025/02</v>
      </c>
      <c r="E2545" s="8" t="str">
        <f>IF(IF(D2545&lt;&gt;D2544,1,IF(OR(B2545&lt;&gt;B2544,A2545-A2544&gt;$U$1),1,""))&lt;&gt;1,"",IF(C2545="B01",1965,IF(C2545="B02",1020,IF(C2545="B05",2400,IF(C2545="B03",4260,IF(C2545="B04",2880,IF(C2545="B20",1260,0)))))))</f>
        <v/>
      </c>
      <c r="F2545" s="8" t="str">
        <f>IF(IF(D2545&lt;&gt;D2544,1,IF(OR(B2545&lt;&gt;B2544,A2545-A2544&gt;$U$1),1,""))&lt;&gt;1,"",IF(C2545="B01",1,IF(C2545="B05",1,IF(C2545="B03",1,IF(C2545="B04",1,IF(C2545="B20",1,IF(C2545="B02",1,0)))))))</f>
        <v/>
      </c>
      <c r="G2545"/>
      <c r="H2545" s="2"/>
      <c r="I2545" s="2"/>
      <c r="L2545"/>
      <c r="R2545"/>
    </row>
    <row r="2546" spans="1:18">
      <c r="A2546" s="3">
        <v>45705.732916666668</v>
      </c>
      <c r="B2546" s="2" t="s">
        <v>33</v>
      </c>
      <c r="C2546" s="2" t="s">
        <v>11</v>
      </c>
      <c r="D2546" s="6" t="str">
        <f>CONCATENATE(YEAR(A2546),"/",IF(MONTH(A2546)&lt;10,CONCATENATE("0",MONTH(A2546)),MONTH(A2546)))</f>
        <v>2025/02</v>
      </c>
      <c r="E2546" s="8">
        <f>IF(IF(D2546&lt;&gt;D2545,1,IF(OR(B2546&lt;&gt;B2545,A2546-A2545&gt;$U$1),1,""))&lt;&gt;1,"",IF(C2546="B01",1965,IF(C2546="B02",1020,IF(C2546="B05",2400,IF(C2546="B03",4260,IF(C2546="B04",2880,IF(C2546="B20",1260,0)))))))</f>
        <v>2400</v>
      </c>
      <c r="F2546" s="8">
        <f>IF(IF(D2546&lt;&gt;D2545,1,IF(OR(B2546&lt;&gt;B2545,A2546-A2545&gt;$U$1),1,""))&lt;&gt;1,"",IF(C2546="B01",1,IF(C2546="B05",1,IF(C2546="B03",1,IF(C2546="B04",1,IF(C2546="B20",1,IF(C2546="B02",1,0)))))))</f>
        <v>1</v>
      </c>
      <c r="G2546"/>
      <c r="H2546" s="2"/>
      <c r="I2546" s="2"/>
      <c r="L2546"/>
      <c r="R2546"/>
    </row>
    <row r="2547" spans="1:18">
      <c r="A2547" s="3">
        <v>45705.732916666668</v>
      </c>
      <c r="B2547" s="2" t="s">
        <v>33</v>
      </c>
      <c r="C2547" s="2" t="s">
        <v>11</v>
      </c>
      <c r="D2547" s="6" t="str">
        <f>CONCATENATE(YEAR(A2547),"/",IF(MONTH(A2547)&lt;10,CONCATENATE("0",MONTH(A2547)),MONTH(A2547)))</f>
        <v>2025/02</v>
      </c>
      <c r="E2547" s="8" t="str">
        <f>IF(IF(D2547&lt;&gt;D2546,1,IF(OR(B2547&lt;&gt;B2546,A2547-A2546&gt;$U$1),1,""))&lt;&gt;1,"",IF(C2547="B01",1965,IF(C2547="B02",1020,IF(C2547="B05",2400,IF(C2547="B03",4260,IF(C2547="B04",2880,IF(C2547="B20",1260,0)))))))</f>
        <v/>
      </c>
      <c r="F2547" s="8" t="str">
        <f>IF(IF(D2547&lt;&gt;D2546,1,IF(OR(B2547&lt;&gt;B2546,A2547-A2546&gt;$U$1),1,""))&lt;&gt;1,"",IF(C2547="B01",1,IF(C2547="B05",1,IF(C2547="B03",1,IF(C2547="B04",1,IF(C2547="B20",1,IF(C2547="B02",1,0)))))))</f>
        <v/>
      </c>
      <c r="G2547"/>
      <c r="H2547" s="2"/>
      <c r="I2547" s="2"/>
      <c r="L2547"/>
      <c r="R2547"/>
    </row>
    <row r="2548" spans="1:18">
      <c r="A2548" s="3">
        <v>45705.732928240737</v>
      </c>
      <c r="B2548" s="2" t="s">
        <v>33</v>
      </c>
      <c r="C2548" s="2" t="s">
        <v>11</v>
      </c>
      <c r="D2548" s="6" t="str">
        <f>CONCATENATE(YEAR(A2548),"/",IF(MONTH(A2548)&lt;10,CONCATENATE("0",MONTH(A2548)),MONTH(A2548)))</f>
        <v>2025/02</v>
      </c>
      <c r="E2548" s="8" t="str">
        <f>IF(IF(D2548&lt;&gt;D2547,1,IF(OR(B2548&lt;&gt;B2547,A2548-A2547&gt;$U$1),1,""))&lt;&gt;1,"",IF(C2548="B01",1965,IF(C2548="B02",1020,IF(C2548="B05",2400,IF(C2548="B03",4260,IF(C2548="B04",2880,IF(C2548="B20",1260,0)))))))</f>
        <v/>
      </c>
      <c r="F2548" s="8" t="str">
        <f>IF(IF(D2548&lt;&gt;D2547,1,IF(OR(B2548&lt;&gt;B2547,A2548-A2547&gt;$U$1),1,""))&lt;&gt;1,"",IF(C2548="B01",1,IF(C2548="B05",1,IF(C2548="B03",1,IF(C2548="B04",1,IF(C2548="B20",1,IF(C2548="B02",1,0)))))))</f>
        <v/>
      </c>
      <c r="G2548"/>
      <c r="H2548" s="2"/>
      <c r="I2548" s="2"/>
      <c r="L2548"/>
      <c r="R2548"/>
    </row>
    <row r="2549" spans="1:18">
      <c r="A2549" s="3">
        <v>45706.117025462961</v>
      </c>
      <c r="B2549" s="2" t="s">
        <v>33</v>
      </c>
      <c r="C2549" s="2" t="s">
        <v>11</v>
      </c>
      <c r="D2549" s="6" t="str">
        <f>CONCATENATE(YEAR(A2549),"/",IF(MONTH(A2549)&lt;10,CONCATENATE("0",MONTH(A2549)),MONTH(A2549)))</f>
        <v>2025/02</v>
      </c>
      <c r="E2549" s="8">
        <f>IF(IF(D2549&lt;&gt;D2548,1,IF(OR(B2549&lt;&gt;B2548,A2549-A2548&gt;$U$1),1,""))&lt;&gt;1,"",IF(C2549="B01",1965,IF(C2549="B02",1020,IF(C2549="B05",2400,IF(C2549="B03",4260,IF(C2549="B04",2880,IF(C2549="B20",1260,0)))))))</f>
        <v>2400</v>
      </c>
      <c r="F2549" s="8">
        <f>IF(IF(D2549&lt;&gt;D2548,1,IF(OR(B2549&lt;&gt;B2548,A2549-A2548&gt;$U$1),1,""))&lt;&gt;1,"",IF(C2549="B01",1,IF(C2549="B05",1,IF(C2549="B03",1,IF(C2549="B04",1,IF(C2549="B20",1,IF(C2549="B02",1,0)))))))</f>
        <v>1</v>
      </c>
      <c r="G2549"/>
      <c r="H2549" s="2"/>
      <c r="I2549" s="2"/>
      <c r="L2549"/>
      <c r="R2549"/>
    </row>
    <row r="2550" spans="1:18">
      <c r="A2550" s="3">
        <v>45706.117025462961</v>
      </c>
      <c r="B2550" s="2" t="s">
        <v>33</v>
      </c>
      <c r="C2550" s="2" t="s">
        <v>11</v>
      </c>
      <c r="D2550" s="6" t="str">
        <f>CONCATENATE(YEAR(A2550),"/",IF(MONTH(A2550)&lt;10,CONCATENATE("0",MONTH(A2550)),MONTH(A2550)))</f>
        <v>2025/02</v>
      </c>
      <c r="E2550" s="8" t="str">
        <f>IF(IF(D2550&lt;&gt;D2549,1,IF(OR(B2550&lt;&gt;B2549,A2550-A2549&gt;$U$1),1,""))&lt;&gt;1,"",IF(C2550="B01",1965,IF(C2550="B02",1020,IF(C2550="B05",2400,IF(C2550="B03",4260,IF(C2550="B04",2880,IF(C2550="B20",1260,0)))))))</f>
        <v/>
      </c>
      <c r="F2550" s="8" t="str">
        <f>IF(IF(D2550&lt;&gt;D2549,1,IF(OR(B2550&lt;&gt;B2549,A2550-A2549&gt;$U$1),1,""))&lt;&gt;1,"",IF(C2550="B01",1,IF(C2550="B05",1,IF(C2550="B03",1,IF(C2550="B04",1,IF(C2550="B20",1,IF(C2550="B02",1,0)))))))</f>
        <v/>
      </c>
      <c r="G2550"/>
      <c r="H2550" s="2"/>
      <c r="I2550" s="2"/>
      <c r="L2550"/>
      <c r="R2550"/>
    </row>
    <row r="2551" spans="1:18">
      <c r="A2551" s="3">
        <v>45706.117025462961</v>
      </c>
      <c r="B2551" s="2" t="s">
        <v>33</v>
      </c>
      <c r="C2551" s="2" t="s">
        <v>11</v>
      </c>
      <c r="D2551" s="6" t="str">
        <f>CONCATENATE(YEAR(A2551),"/",IF(MONTH(A2551)&lt;10,CONCATENATE("0",MONTH(A2551)),MONTH(A2551)))</f>
        <v>2025/02</v>
      </c>
      <c r="E2551" s="8" t="str">
        <f>IF(IF(D2551&lt;&gt;D2550,1,IF(OR(B2551&lt;&gt;B2550,A2551-A2550&gt;$U$1),1,""))&lt;&gt;1,"",IF(C2551="B01",1965,IF(C2551="B02",1020,IF(C2551="B05",2400,IF(C2551="B03",4260,IF(C2551="B04",2880,IF(C2551="B20",1260,0)))))))</f>
        <v/>
      </c>
      <c r="F2551" s="8" t="str">
        <f>IF(IF(D2551&lt;&gt;D2550,1,IF(OR(B2551&lt;&gt;B2550,A2551-A2550&gt;$U$1),1,""))&lt;&gt;1,"",IF(C2551="B01",1,IF(C2551="B05",1,IF(C2551="B03",1,IF(C2551="B04",1,IF(C2551="B20",1,IF(C2551="B02",1,0)))))))</f>
        <v/>
      </c>
      <c r="G2551"/>
      <c r="H2551" s="2"/>
      <c r="I2551" s="2"/>
      <c r="L2551"/>
      <c r="R2551"/>
    </row>
    <row r="2552" spans="1:18">
      <c r="A2552" s="3">
        <v>45706.117025462961</v>
      </c>
      <c r="B2552" s="2" t="s">
        <v>33</v>
      </c>
      <c r="C2552" s="2" t="s">
        <v>11</v>
      </c>
      <c r="D2552" s="6" t="str">
        <f>CONCATENATE(YEAR(A2552),"/",IF(MONTH(A2552)&lt;10,CONCATENATE("0",MONTH(A2552)),MONTH(A2552)))</f>
        <v>2025/02</v>
      </c>
      <c r="E2552" s="8" t="str">
        <f>IF(IF(D2552&lt;&gt;D2551,1,IF(OR(B2552&lt;&gt;B2551,A2552-A2551&gt;$U$1),1,""))&lt;&gt;1,"",IF(C2552="B01",1965,IF(C2552="B02",1020,IF(C2552="B05",2400,IF(C2552="B03",4260,IF(C2552="B04",2880,IF(C2552="B20",1260,0)))))))</f>
        <v/>
      </c>
      <c r="F2552" s="8" t="str">
        <f>IF(IF(D2552&lt;&gt;D2551,1,IF(OR(B2552&lt;&gt;B2551,A2552-A2551&gt;$U$1),1,""))&lt;&gt;1,"",IF(C2552="B01",1,IF(C2552="B05",1,IF(C2552="B03",1,IF(C2552="B04",1,IF(C2552="B20",1,IF(C2552="B02",1,0)))))))</f>
        <v/>
      </c>
      <c r="G2552"/>
      <c r="H2552" s="2"/>
      <c r="I2552" s="2"/>
      <c r="L2552"/>
      <c r="R2552"/>
    </row>
    <row r="2553" spans="1:18">
      <c r="A2553" s="3">
        <v>45706.697476851848</v>
      </c>
      <c r="B2553" s="2" t="s">
        <v>33</v>
      </c>
      <c r="C2553" s="2" t="s">
        <v>11</v>
      </c>
      <c r="D2553" s="6" t="str">
        <f>CONCATENATE(YEAR(A2553),"/",IF(MONTH(A2553)&lt;10,CONCATENATE("0",MONTH(A2553)),MONTH(A2553)))</f>
        <v>2025/02</v>
      </c>
      <c r="E2553" s="8">
        <f>IF(IF(D2553&lt;&gt;D2552,1,IF(OR(B2553&lt;&gt;B2552,A2553-A2552&gt;$U$1),1,""))&lt;&gt;1,"",IF(C2553="B01",1965,IF(C2553="B02",1020,IF(C2553="B05",2400,IF(C2553="B03",4260,IF(C2553="B04",2880,IF(C2553="B20",1260,0)))))))</f>
        <v>2400</v>
      </c>
      <c r="F2553" s="8">
        <f>IF(IF(D2553&lt;&gt;D2552,1,IF(OR(B2553&lt;&gt;B2552,A2553-A2552&gt;$U$1),1,""))&lt;&gt;1,"",IF(C2553="B01",1,IF(C2553="B05",1,IF(C2553="B03",1,IF(C2553="B04",1,IF(C2553="B20",1,IF(C2553="B02",1,0)))))))</f>
        <v>1</v>
      </c>
      <c r="G2553"/>
      <c r="H2553" s="2"/>
      <c r="I2553" s="2"/>
      <c r="L2553"/>
      <c r="R2553"/>
    </row>
    <row r="2554" spans="1:18">
      <c r="A2554" s="3">
        <v>45706.697476851848</v>
      </c>
      <c r="B2554" s="2" t="s">
        <v>33</v>
      </c>
      <c r="C2554" s="2" t="s">
        <v>11</v>
      </c>
      <c r="D2554" s="6" t="str">
        <f>CONCATENATE(YEAR(A2554),"/",IF(MONTH(A2554)&lt;10,CONCATENATE("0",MONTH(A2554)),MONTH(A2554)))</f>
        <v>2025/02</v>
      </c>
      <c r="E2554" s="8" t="str">
        <f>IF(IF(D2554&lt;&gt;D2553,1,IF(OR(B2554&lt;&gt;B2553,A2554-A2553&gt;$U$1),1,""))&lt;&gt;1,"",IF(C2554="B01",1965,IF(C2554="B02",1020,IF(C2554="B05",2400,IF(C2554="B03",4260,IF(C2554="B04",2880,IF(C2554="B20",1260,0)))))))</f>
        <v/>
      </c>
      <c r="F2554" s="8" t="str">
        <f>IF(IF(D2554&lt;&gt;D2553,1,IF(OR(B2554&lt;&gt;B2553,A2554-A2553&gt;$U$1),1,""))&lt;&gt;1,"",IF(C2554="B01",1,IF(C2554="B05",1,IF(C2554="B03",1,IF(C2554="B04",1,IF(C2554="B20",1,IF(C2554="B02",1,0)))))))</f>
        <v/>
      </c>
      <c r="G2554"/>
      <c r="H2554" s="2"/>
      <c r="I2554" s="2"/>
      <c r="L2554"/>
      <c r="R2554"/>
    </row>
    <row r="2555" spans="1:18">
      <c r="A2555" s="3">
        <v>45706.697476851848</v>
      </c>
      <c r="B2555" s="2" t="s">
        <v>33</v>
      </c>
      <c r="C2555" s="2" t="s">
        <v>11</v>
      </c>
      <c r="D2555" s="6" t="str">
        <f>CONCATENATE(YEAR(A2555),"/",IF(MONTH(A2555)&lt;10,CONCATENATE("0",MONTH(A2555)),MONTH(A2555)))</f>
        <v>2025/02</v>
      </c>
      <c r="E2555" s="8" t="str">
        <f>IF(IF(D2555&lt;&gt;D2554,1,IF(OR(B2555&lt;&gt;B2554,A2555-A2554&gt;$U$1),1,""))&lt;&gt;1,"",IF(C2555="B01",1965,IF(C2555="B02",1020,IF(C2555="B05",2400,IF(C2555="B03",4260,IF(C2555="B04",2880,IF(C2555="B20",1260,0)))))))</f>
        <v/>
      </c>
      <c r="F2555" s="8" t="str">
        <f>IF(IF(D2555&lt;&gt;D2554,1,IF(OR(B2555&lt;&gt;B2554,A2555-A2554&gt;$U$1),1,""))&lt;&gt;1,"",IF(C2555="B01",1,IF(C2555="B05",1,IF(C2555="B03",1,IF(C2555="B04",1,IF(C2555="B20",1,IF(C2555="B02",1,0)))))))</f>
        <v/>
      </c>
      <c r="G2555"/>
      <c r="H2555" s="2"/>
      <c r="I2555" s="2"/>
      <c r="L2555"/>
      <c r="R2555"/>
    </row>
    <row r="2556" spans="1:18">
      <c r="A2556" s="3">
        <v>45707.27716435185</v>
      </c>
      <c r="B2556" s="2" t="s">
        <v>33</v>
      </c>
      <c r="C2556" s="2" t="s">
        <v>11</v>
      </c>
      <c r="D2556" s="6" t="str">
        <f>CONCATENATE(YEAR(A2556),"/",IF(MONTH(A2556)&lt;10,CONCATENATE("0",MONTH(A2556)),MONTH(A2556)))</f>
        <v>2025/02</v>
      </c>
      <c r="E2556" s="8">
        <f>IF(IF(D2556&lt;&gt;D2555,1,IF(OR(B2556&lt;&gt;B2555,A2556-A2555&gt;$U$1),1,""))&lt;&gt;1,"",IF(C2556="B01",1965,IF(C2556="B02",1020,IF(C2556="B05",2400,IF(C2556="B03",4260,IF(C2556="B04",2880,IF(C2556="B20",1260,0)))))))</f>
        <v>2400</v>
      </c>
      <c r="F2556" s="8">
        <f>IF(IF(D2556&lt;&gt;D2555,1,IF(OR(B2556&lt;&gt;B2555,A2556-A2555&gt;$U$1),1,""))&lt;&gt;1,"",IF(C2556="B01",1,IF(C2556="B05",1,IF(C2556="B03",1,IF(C2556="B04",1,IF(C2556="B20",1,IF(C2556="B02",1,0)))))))</f>
        <v>1</v>
      </c>
      <c r="G2556"/>
      <c r="H2556" s="2"/>
      <c r="I2556" s="2"/>
      <c r="L2556"/>
      <c r="R2556"/>
    </row>
    <row r="2557" spans="1:18">
      <c r="A2557" s="3">
        <v>45707.27716435185</v>
      </c>
      <c r="B2557" s="2" t="s">
        <v>33</v>
      </c>
      <c r="C2557" s="2" t="s">
        <v>11</v>
      </c>
      <c r="D2557" s="6" t="str">
        <f>CONCATENATE(YEAR(A2557),"/",IF(MONTH(A2557)&lt;10,CONCATENATE("0",MONTH(A2557)),MONTH(A2557)))</f>
        <v>2025/02</v>
      </c>
      <c r="E2557" s="8" t="str">
        <f>IF(IF(D2557&lt;&gt;D2556,1,IF(OR(B2557&lt;&gt;B2556,A2557-A2556&gt;$U$1),1,""))&lt;&gt;1,"",IF(C2557="B01",1965,IF(C2557="B02",1020,IF(C2557="B05",2400,IF(C2557="B03",4260,IF(C2557="B04",2880,IF(C2557="B20",1260,0)))))))</f>
        <v/>
      </c>
      <c r="F2557" s="8" t="str">
        <f>IF(IF(D2557&lt;&gt;D2556,1,IF(OR(B2557&lt;&gt;B2556,A2557-A2556&gt;$U$1),1,""))&lt;&gt;1,"",IF(C2557="B01",1,IF(C2557="B05",1,IF(C2557="B03",1,IF(C2557="B04",1,IF(C2557="B20",1,IF(C2557="B02",1,0)))))))</f>
        <v/>
      </c>
      <c r="G2557"/>
      <c r="H2557" s="2"/>
      <c r="I2557" s="2"/>
      <c r="L2557"/>
      <c r="R2557"/>
    </row>
    <row r="2558" spans="1:18">
      <c r="A2558" s="3">
        <v>45707.27716435185</v>
      </c>
      <c r="B2558" s="2" t="s">
        <v>33</v>
      </c>
      <c r="C2558" s="2" t="s">
        <v>11</v>
      </c>
      <c r="D2558" s="6" t="str">
        <f>CONCATENATE(YEAR(A2558),"/",IF(MONTH(A2558)&lt;10,CONCATENATE("0",MONTH(A2558)),MONTH(A2558)))</f>
        <v>2025/02</v>
      </c>
      <c r="E2558" s="8" t="str">
        <f>IF(IF(D2558&lt;&gt;D2557,1,IF(OR(B2558&lt;&gt;B2557,A2558-A2557&gt;$U$1),1,""))&lt;&gt;1,"",IF(C2558="B01",1965,IF(C2558="B02",1020,IF(C2558="B05",2400,IF(C2558="B03",4260,IF(C2558="B04",2880,IF(C2558="B20",1260,0)))))))</f>
        <v/>
      </c>
      <c r="F2558" s="8" t="str">
        <f>IF(IF(D2558&lt;&gt;D2557,1,IF(OR(B2558&lt;&gt;B2557,A2558-A2557&gt;$U$1),1,""))&lt;&gt;1,"",IF(C2558="B01",1,IF(C2558="B05",1,IF(C2558="B03",1,IF(C2558="B04",1,IF(C2558="B20",1,IF(C2558="B02",1,0)))))))</f>
        <v/>
      </c>
      <c r="G2558"/>
      <c r="H2558" s="2"/>
      <c r="I2558" s="2"/>
      <c r="L2558"/>
      <c r="R2558"/>
    </row>
    <row r="2559" spans="1:18">
      <c r="A2559" s="3">
        <v>45707.40996527778</v>
      </c>
      <c r="B2559" s="2" t="s">
        <v>33</v>
      </c>
      <c r="C2559" s="2" t="s">
        <v>11</v>
      </c>
      <c r="D2559" s="6" t="str">
        <f>CONCATENATE(YEAR(A2559),"/",IF(MONTH(A2559)&lt;10,CONCATENATE("0",MONTH(A2559)),MONTH(A2559)))</f>
        <v>2025/02</v>
      </c>
      <c r="E2559" s="8">
        <f>IF(IF(D2559&lt;&gt;D2558,1,IF(OR(B2559&lt;&gt;B2558,A2559-A2558&gt;$U$1),1,""))&lt;&gt;1,"",IF(C2559="B01",1965,IF(C2559="B02",1020,IF(C2559="B05",2400,IF(C2559="B03",4260,IF(C2559="B04",2880,IF(C2559="B20",1260,0)))))))</f>
        <v>2400</v>
      </c>
      <c r="F2559" s="8">
        <f>IF(IF(D2559&lt;&gt;D2558,1,IF(OR(B2559&lt;&gt;B2558,A2559-A2558&gt;$U$1),1,""))&lt;&gt;1,"",IF(C2559="B01",1,IF(C2559="B05",1,IF(C2559="B03",1,IF(C2559="B04",1,IF(C2559="B20",1,IF(C2559="B02",1,0)))))))</f>
        <v>1</v>
      </c>
      <c r="G2559"/>
      <c r="H2559" s="2"/>
      <c r="I2559" s="2"/>
      <c r="L2559"/>
      <c r="R2559"/>
    </row>
    <row r="2560" spans="1:18">
      <c r="A2560" s="3">
        <v>45707.40996527778</v>
      </c>
      <c r="B2560" s="2" t="s">
        <v>33</v>
      </c>
      <c r="C2560" s="2" t="s">
        <v>11</v>
      </c>
      <c r="D2560" s="6" t="str">
        <f>CONCATENATE(YEAR(A2560),"/",IF(MONTH(A2560)&lt;10,CONCATENATE("0",MONTH(A2560)),MONTH(A2560)))</f>
        <v>2025/02</v>
      </c>
      <c r="E2560" s="8" t="str">
        <f>IF(IF(D2560&lt;&gt;D2559,1,IF(OR(B2560&lt;&gt;B2559,A2560-A2559&gt;$U$1),1,""))&lt;&gt;1,"",IF(C2560="B01",1965,IF(C2560="B02",1020,IF(C2560="B05",2400,IF(C2560="B03",4260,IF(C2560="B04",2880,IF(C2560="B20",1260,0)))))))</f>
        <v/>
      </c>
      <c r="F2560" s="8" t="str">
        <f>IF(IF(D2560&lt;&gt;D2559,1,IF(OR(B2560&lt;&gt;B2559,A2560-A2559&gt;$U$1),1,""))&lt;&gt;1,"",IF(C2560="B01",1,IF(C2560="B05",1,IF(C2560="B03",1,IF(C2560="B04",1,IF(C2560="B20",1,IF(C2560="B02",1,0)))))))</f>
        <v/>
      </c>
      <c r="G2560"/>
      <c r="H2560" s="2"/>
      <c r="I2560" s="2"/>
      <c r="L2560"/>
      <c r="R2560"/>
    </row>
    <row r="2561" spans="1:18">
      <c r="A2561" s="3">
        <v>45707.554293981484</v>
      </c>
      <c r="B2561" s="2" t="s">
        <v>33</v>
      </c>
      <c r="C2561" s="2" t="s">
        <v>11</v>
      </c>
      <c r="D2561" s="6" t="str">
        <f>CONCATENATE(YEAR(A2561),"/",IF(MONTH(A2561)&lt;10,CONCATENATE("0",MONTH(A2561)),MONTH(A2561)))</f>
        <v>2025/02</v>
      </c>
      <c r="E2561" s="8">
        <f>IF(IF(D2561&lt;&gt;D2560,1,IF(OR(B2561&lt;&gt;B2560,A2561-A2560&gt;$U$1),1,""))&lt;&gt;1,"",IF(C2561="B01",1965,IF(C2561="B02",1020,IF(C2561="B05",2400,IF(C2561="B03",4260,IF(C2561="B04",2880,IF(C2561="B20",1260,0)))))))</f>
        <v>2400</v>
      </c>
      <c r="F2561" s="8">
        <f>IF(IF(D2561&lt;&gt;D2560,1,IF(OR(B2561&lt;&gt;B2560,A2561-A2560&gt;$U$1),1,""))&lt;&gt;1,"",IF(C2561="B01",1,IF(C2561="B05",1,IF(C2561="B03",1,IF(C2561="B04",1,IF(C2561="B20",1,IF(C2561="B02",1,0)))))))</f>
        <v>1</v>
      </c>
      <c r="G2561"/>
      <c r="H2561" s="2"/>
      <c r="I2561" s="2"/>
      <c r="L2561"/>
      <c r="R2561"/>
    </row>
    <row r="2562" spans="1:18">
      <c r="A2562" s="3">
        <v>45707.554293981484</v>
      </c>
      <c r="B2562" s="2" t="s">
        <v>33</v>
      </c>
      <c r="C2562" s="2" t="s">
        <v>11</v>
      </c>
      <c r="D2562" s="6" t="str">
        <f>CONCATENATE(YEAR(A2562),"/",IF(MONTH(A2562)&lt;10,CONCATENATE("0",MONTH(A2562)),MONTH(A2562)))</f>
        <v>2025/02</v>
      </c>
      <c r="E2562" s="8" t="str">
        <f>IF(IF(D2562&lt;&gt;D2561,1,IF(OR(B2562&lt;&gt;B2561,A2562-A2561&gt;$U$1),1,""))&lt;&gt;1,"",IF(C2562="B01",1965,IF(C2562="B02",1020,IF(C2562="B05",2400,IF(C2562="B03",4260,IF(C2562="B04",2880,IF(C2562="B20",1260,0)))))))</f>
        <v/>
      </c>
      <c r="F2562" s="8" t="str">
        <f>IF(IF(D2562&lt;&gt;D2561,1,IF(OR(B2562&lt;&gt;B2561,A2562-A2561&gt;$U$1),1,""))&lt;&gt;1,"",IF(C2562="B01",1,IF(C2562="B05",1,IF(C2562="B03",1,IF(C2562="B04",1,IF(C2562="B20",1,IF(C2562="B02",1,0)))))))</f>
        <v/>
      </c>
      <c r="G2562"/>
      <c r="H2562" s="2"/>
      <c r="I2562" s="2"/>
      <c r="L2562"/>
      <c r="R2562"/>
    </row>
    <row r="2563" spans="1:18">
      <c r="A2563" s="3">
        <v>45707.554293981484</v>
      </c>
      <c r="B2563" s="2" t="s">
        <v>33</v>
      </c>
      <c r="C2563" s="2" t="s">
        <v>11</v>
      </c>
      <c r="D2563" s="6" t="str">
        <f>CONCATENATE(YEAR(A2563),"/",IF(MONTH(A2563)&lt;10,CONCATENATE("0",MONTH(A2563)),MONTH(A2563)))</f>
        <v>2025/02</v>
      </c>
      <c r="E2563" s="8" t="str">
        <f>IF(IF(D2563&lt;&gt;D2562,1,IF(OR(B2563&lt;&gt;B2562,A2563-A2562&gt;$U$1),1,""))&lt;&gt;1,"",IF(C2563="B01",1965,IF(C2563="B02",1020,IF(C2563="B05",2400,IF(C2563="B03",4260,IF(C2563="B04",2880,IF(C2563="B20",1260,0)))))))</f>
        <v/>
      </c>
      <c r="F2563" s="8" t="str">
        <f>IF(IF(D2563&lt;&gt;D2562,1,IF(OR(B2563&lt;&gt;B2562,A2563-A2562&gt;$U$1),1,""))&lt;&gt;1,"",IF(C2563="B01",1,IF(C2563="B05",1,IF(C2563="B03",1,IF(C2563="B04",1,IF(C2563="B20",1,IF(C2563="B02",1,0)))))))</f>
        <v/>
      </c>
      <c r="G2563"/>
      <c r="H2563" s="2"/>
      <c r="I2563" s="2"/>
      <c r="L2563"/>
      <c r="R2563"/>
    </row>
    <row r="2564" spans="1:18">
      <c r="A2564" s="3">
        <v>45708.219861111109</v>
      </c>
      <c r="B2564" s="2" t="s">
        <v>33</v>
      </c>
      <c r="C2564" s="2" t="s">
        <v>34</v>
      </c>
      <c r="D2564" s="6" t="str">
        <f>CONCATENATE(YEAR(A2564),"/",IF(MONTH(A2564)&lt;10,CONCATENATE("0",MONTH(A2564)),MONTH(A2564)))</f>
        <v>2025/02</v>
      </c>
      <c r="E2564" s="8">
        <f>IF(IF(D2564&lt;&gt;D2563,1,IF(OR(B2564&lt;&gt;B2563,A2564-A2563&gt;$U$1),1,""))&lt;&gt;1,"",IF(C2564="B01",1965,IF(C2564="B02",1020,IF(C2564="B05",2400,IF(C2564="B03",4260,IF(C2564="B04",2880,IF(C2564="B20",1260,0)))))))</f>
        <v>1965</v>
      </c>
      <c r="F2564" s="8">
        <f>IF(IF(D2564&lt;&gt;D2563,1,IF(OR(B2564&lt;&gt;B2563,A2564-A2563&gt;$U$1),1,""))&lt;&gt;1,"",IF(C2564="B01",1,IF(C2564="B05",1,IF(C2564="B03",1,IF(C2564="B04",1,IF(C2564="B20",1,IF(C2564="B02",1,0)))))))</f>
        <v>1</v>
      </c>
      <c r="G2564"/>
      <c r="H2564" s="2"/>
      <c r="I2564" s="2"/>
      <c r="L2564"/>
      <c r="R2564"/>
    </row>
    <row r="2565" spans="1:18">
      <c r="A2565" s="3">
        <v>45708.219861111109</v>
      </c>
      <c r="B2565" s="2" t="s">
        <v>33</v>
      </c>
      <c r="C2565" s="2" t="s">
        <v>34</v>
      </c>
      <c r="D2565" s="6" t="str">
        <f>CONCATENATE(YEAR(A2565),"/",IF(MONTH(A2565)&lt;10,CONCATENATE("0",MONTH(A2565)),MONTH(A2565)))</f>
        <v>2025/02</v>
      </c>
      <c r="E2565" s="8" t="str">
        <f>IF(IF(D2565&lt;&gt;D2564,1,IF(OR(B2565&lt;&gt;B2564,A2565-A2564&gt;$U$1),1,""))&lt;&gt;1,"",IF(C2565="B01",1965,IF(C2565="B02",1020,IF(C2565="B05",2400,IF(C2565="B03",4260,IF(C2565="B04",2880,IF(C2565="B20",1260,0)))))))</f>
        <v/>
      </c>
      <c r="F2565" s="8" t="str">
        <f>IF(IF(D2565&lt;&gt;D2564,1,IF(OR(B2565&lt;&gt;B2564,A2565-A2564&gt;$U$1),1,""))&lt;&gt;1,"",IF(C2565="B01",1,IF(C2565="B05",1,IF(C2565="B03",1,IF(C2565="B04",1,IF(C2565="B20",1,IF(C2565="B02",1,0)))))))</f>
        <v/>
      </c>
      <c r="G2565"/>
      <c r="H2565" s="2"/>
      <c r="I2565" s="2"/>
      <c r="L2565"/>
      <c r="R2565"/>
    </row>
    <row r="2566" spans="1:18">
      <c r="A2566" s="3">
        <v>45708.219872685186</v>
      </c>
      <c r="B2566" s="2" t="s">
        <v>33</v>
      </c>
      <c r="C2566" s="2" t="s">
        <v>34</v>
      </c>
      <c r="D2566" s="6" t="str">
        <f>CONCATENATE(YEAR(A2566),"/",IF(MONTH(A2566)&lt;10,CONCATENATE("0",MONTH(A2566)),MONTH(A2566)))</f>
        <v>2025/02</v>
      </c>
      <c r="E2566" s="8" t="str">
        <f>IF(IF(D2566&lt;&gt;D2565,1,IF(OR(B2566&lt;&gt;B2565,A2566-A2565&gt;$U$1),1,""))&lt;&gt;1,"",IF(C2566="B01",1965,IF(C2566="B02",1020,IF(C2566="B05",2400,IF(C2566="B03",4260,IF(C2566="B04",2880,IF(C2566="B20",1260,0)))))))</f>
        <v/>
      </c>
      <c r="F2566" s="8" t="str">
        <f>IF(IF(D2566&lt;&gt;D2565,1,IF(OR(B2566&lt;&gt;B2565,A2566-A2565&gt;$U$1),1,""))&lt;&gt;1,"",IF(C2566="B01",1,IF(C2566="B05",1,IF(C2566="B03",1,IF(C2566="B04",1,IF(C2566="B20",1,IF(C2566="B02",1,0)))))))</f>
        <v/>
      </c>
      <c r="G2566"/>
      <c r="H2566" s="2"/>
      <c r="I2566" s="2"/>
      <c r="L2566"/>
      <c r="R2566"/>
    </row>
    <row r="2567" spans="1:18">
      <c r="A2567" s="3">
        <v>45708.219872685186</v>
      </c>
      <c r="B2567" s="2" t="s">
        <v>33</v>
      </c>
      <c r="C2567" s="2" t="s">
        <v>34</v>
      </c>
      <c r="D2567" s="6" t="str">
        <f>CONCATENATE(YEAR(A2567),"/",IF(MONTH(A2567)&lt;10,CONCATENATE("0",MONTH(A2567)),MONTH(A2567)))</f>
        <v>2025/02</v>
      </c>
      <c r="E2567" s="8" t="str">
        <f>IF(IF(D2567&lt;&gt;D2566,1,IF(OR(B2567&lt;&gt;B2566,A2567-A2566&gt;$U$1),1,""))&lt;&gt;1,"",IF(C2567="B01",1965,IF(C2567="B02",1020,IF(C2567="B05",2400,IF(C2567="B03",4260,IF(C2567="B04",2880,IF(C2567="B20",1260,0)))))))</f>
        <v/>
      </c>
      <c r="F2567" s="8" t="str">
        <f>IF(IF(D2567&lt;&gt;D2566,1,IF(OR(B2567&lt;&gt;B2566,A2567-A2566&gt;$U$1),1,""))&lt;&gt;1,"",IF(C2567="B01",1,IF(C2567="B05",1,IF(C2567="B03",1,IF(C2567="B04",1,IF(C2567="B20",1,IF(C2567="B02",1,0)))))))</f>
        <v/>
      </c>
      <c r="G2567"/>
      <c r="H2567" s="2"/>
      <c r="I2567" s="2"/>
      <c r="L2567"/>
      <c r="R2567"/>
    </row>
    <row r="2568" spans="1:18">
      <c r="A2568" s="3">
        <v>45708.219872685186</v>
      </c>
      <c r="B2568" s="2" t="s">
        <v>33</v>
      </c>
      <c r="C2568" s="2" t="s">
        <v>34</v>
      </c>
      <c r="D2568" s="6" t="str">
        <f>CONCATENATE(YEAR(A2568),"/",IF(MONTH(A2568)&lt;10,CONCATENATE("0",MONTH(A2568)),MONTH(A2568)))</f>
        <v>2025/02</v>
      </c>
      <c r="E2568" s="8" t="str">
        <f>IF(IF(D2568&lt;&gt;D2567,1,IF(OR(B2568&lt;&gt;B2567,A2568-A2567&gt;$U$1),1,""))&lt;&gt;1,"",IF(C2568="B01",1965,IF(C2568="B02",1020,IF(C2568="B05",2400,IF(C2568="B03",4260,IF(C2568="B04",2880,IF(C2568="B20",1260,0)))))))</f>
        <v/>
      </c>
      <c r="F2568" s="8" t="str">
        <f>IF(IF(D2568&lt;&gt;D2567,1,IF(OR(B2568&lt;&gt;B2567,A2568-A2567&gt;$U$1),1,""))&lt;&gt;1,"",IF(C2568="B01",1,IF(C2568="B05",1,IF(C2568="B03",1,IF(C2568="B04",1,IF(C2568="B20",1,IF(C2568="B02",1,0)))))))</f>
        <v/>
      </c>
      <c r="G2568"/>
      <c r="H2568" s="2"/>
      <c r="I2568" s="2"/>
      <c r="L2568"/>
      <c r="R2568"/>
    </row>
    <row r="2569" spans="1:18">
      <c r="A2569" s="3">
        <v>45708.441099537034</v>
      </c>
      <c r="B2569" s="2" t="s">
        <v>33</v>
      </c>
      <c r="C2569" s="2" t="s">
        <v>12</v>
      </c>
      <c r="D2569" s="6" t="str">
        <f>CONCATENATE(YEAR(A2569),"/",IF(MONTH(A2569)&lt;10,CONCATENATE("0",MONTH(A2569)),MONTH(A2569)))</f>
        <v>2025/02</v>
      </c>
      <c r="E2569" s="8">
        <f>IF(IF(D2569&lt;&gt;D2568,1,IF(OR(B2569&lt;&gt;B2568,A2569-A2568&gt;$U$1),1,""))&lt;&gt;1,"",IF(C2569="B01",1965,IF(C2569="B02",1020,IF(C2569="B05",2400,IF(C2569="B03",4260,IF(C2569="B04",2880,IF(C2569="B20",1260,0)))))))</f>
        <v>4260</v>
      </c>
      <c r="F2569" s="8">
        <f>IF(IF(D2569&lt;&gt;D2568,1,IF(OR(B2569&lt;&gt;B2568,A2569-A2568&gt;$U$1),1,""))&lt;&gt;1,"",IF(C2569="B01",1,IF(C2569="B05",1,IF(C2569="B03",1,IF(C2569="B04",1,IF(C2569="B20",1,IF(C2569="B02",1,0)))))))</f>
        <v>1</v>
      </c>
      <c r="G2569"/>
      <c r="H2569" s="2"/>
      <c r="I2569" s="2"/>
      <c r="L2569"/>
      <c r="R2569"/>
    </row>
    <row r="2570" spans="1:18">
      <c r="A2570" s="3">
        <v>45708.441099537034</v>
      </c>
      <c r="B2570" s="2" t="s">
        <v>33</v>
      </c>
      <c r="C2570" s="2" t="s">
        <v>12</v>
      </c>
      <c r="D2570" s="6" t="str">
        <f>CONCATENATE(YEAR(A2570),"/",IF(MONTH(A2570)&lt;10,CONCATENATE("0",MONTH(A2570)),MONTH(A2570)))</f>
        <v>2025/02</v>
      </c>
      <c r="E2570" s="8" t="str">
        <f>IF(IF(D2570&lt;&gt;D2569,1,IF(OR(B2570&lt;&gt;B2569,A2570-A2569&gt;$U$1),1,""))&lt;&gt;1,"",IF(C2570="B01",1965,IF(C2570="B02",1020,IF(C2570="B05",2400,IF(C2570="B03",4260,IF(C2570="B04",2880,IF(C2570="B20",1260,0)))))))</f>
        <v/>
      </c>
      <c r="F2570" s="8" t="str">
        <f>IF(IF(D2570&lt;&gt;D2569,1,IF(OR(B2570&lt;&gt;B2569,A2570-A2569&gt;$U$1),1,""))&lt;&gt;1,"",IF(C2570="B01",1,IF(C2570="B05",1,IF(C2570="B03",1,IF(C2570="B04",1,IF(C2570="B20",1,IF(C2570="B02",1,0)))))))</f>
        <v/>
      </c>
      <c r="G2570"/>
      <c r="H2570" s="2"/>
      <c r="I2570" s="2"/>
      <c r="L2570"/>
      <c r="R2570"/>
    </row>
    <row r="2571" spans="1:18">
      <c r="A2571" s="3">
        <v>45708.441099537034</v>
      </c>
      <c r="B2571" s="2" t="s">
        <v>33</v>
      </c>
      <c r="C2571" s="2" t="s">
        <v>12</v>
      </c>
      <c r="D2571" s="6" t="str">
        <f>CONCATENATE(YEAR(A2571),"/",IF(MONTH(A2571)&lt;10,CONCATENATE("0",MONTH(A2571)),MONTH(A2571)))</f>
        <v>2025/02</v>
      </c>
      <c r="E2571" s="8" t="str">
        <f>IF(IF(D2571&lt;&gt;D2570,1,IF(OR(B2571&lt;&gt;B2570,A2571-A2570&gt;$U$1),1,""))&lt;&gt;1,"",IF(C2571="B01",1965,IF(C2571="B02",1020,IF(C2571="B05",2400,IF(C2571="B03",4260,IF(C2571="B04",2880,IF(C2571="B20",1260,0)))))))</f>
        <v/>
      </c>
      <c r="F2571" s="8" t="str">
        <f>IF(IF(D2571&lt;&gt;D2570,1,IF(OR(B2571&lt;&gt;B2570,A2571-A2570&gt;$U$1),1,""))&lt;&gt;1,"",IF(C2571="B01",1,IF(C2571="B05",1,IF(C2571="B03",1,IF(C2571="B04",1,IF(C2571="B20",1,IF(C2571="B02",1,0)))))))</f>
        <v/>
      </c>
      <c r="G2571"/>
      <c r="H2571" s="2"/>
      <c r="I2571" s="2"/>
      <c r="L2571"/>
      <c r="R2571"/>
    </row>
    <row r="2572" spans="1:18">
      <c r="A2572" s="3">
        <v>45708.573449074072</v>
      </c>
      <c r="B2572" s="2" t="s">
        <v>33</v>
      </c>
      <c r="C2572" s="2" t="s">
        <v>12</v>
      </c>
      <c r="D2572" s="6" t="str">
        <f>CONCATENATE(YEAR(A2572),"/",IF(MONTH(A2572)&lt;10,CONCATENATE("0",MONTH(A2572)),MONTH(A2572)))</f>
        <v>2025/02</v>
      </c>
      <c r="E2572" s="8">
        <f>IF(IF(D2572&lt;&gt;D2571,1,IF(OR(B2572&lt;&gt;B2571,A2572-A2571&gt;$U$1),1,""))&lt;&gt;1,"",IF(C2572="B01",1965,IF(C2572="B02",1020,IF(C2572="B05",2400,IF(C2572="B03",4260,IF(C2572="B04",2880,IF(C2572="B20",1260,0)))))))</f>
        <v>4260</v>
      </c>
      <c r="F2572" s="8">
        <f>IF(IF(D2572&lt;&gt;D2571,1,IF(OR(B2572&lt;&gt;B2571,A2572-A2571&gt;$U$1),1,""))&lt;&gt;1,"",IF(C2572="B01",1,IF(C2572="B05",1,IF(C2572="B03",1,IF(C2572="B04",1,IF(C2572="B20",1,IF(C2572="B02",1,0)))))))</f>
        <v>1</v>
      </c>
      <c r="G2572"/>
      <c r="H2572" s="2"/>
      <c r="I2572" s="2"/>
      <c r="L2572"/>
      <c r="R2572"/>
    </row>
    <row r="2573" spans="1:18">
      <c r="A2573" s="3">
        <v>45708.573449074072</v>
      </c>
      <c r="B2573" s="2" t="s">
        <v>33</v>
      </c>
      <c r="C2573" s="2" t="s">
        <v>12</v>
      </c>
      <c r="D2573" s="6" t="str">
        <f>CONCATENATE(YEAR(A2573),"/",IF(MONTH(A2573)&lt;10,CONCATENATE("0",MONTH(A2573)),MONTH(A2573)))</f>
        <v>2025/02</v>
      </c>
      <c r="E2573" s="8" t="str">
        <f>IF(IF(D2573&lt;&gt;D2572,1,IF(OR(B2573&lt;&gt;B2572,A2573-A2572&gt;$U$1),1,""))&lt;&gt;1,"",IF(C2573="B01",1965,IF(C2573="B02",1020,IF(C2573="B05",2400,IF(C2573="B03",4260,IF(C2573="B04",2880,IF(C2573="B20",1260,0)))))))</f>
        <v/>
      </c>
      <c r="F2573" s="8" t="str">
        <f>IF(IF(D2573&lt;&gt;D2572,1,IF(OR(B2573&lt;&gt;B2572,A2573-A2572&gt;$U$1),1,""))&lt;&gt;1,"",IF(C2573="B01",1,IF(C2573="B05",1,IF(C2573="B03",1,IF(C2573="B04",1,IF(C2573="B20",1,IF(C2573="B02",1,0)))))))</f>
        <v/>
      </c>
      <c r="G2573"/>
      <c r="H2573" s="2"/>
      <c r="I2573" s="2"/>
      <c r="L2573"/>
      <c r="R2573"/>
    </row>
    <row r="2574" spans="1:18">
      <c r="A2574" s="3">
        <v>45708.701921296299</v>
      </c>
      <c r="B2574" s="2" t="s">
        <v>33</v>
      </c>
      <c r="C2574" s="2" t="s">
        <v>12</v>
      </c>
      <c r="D2574" s="6" t="str">
        <f>CONCATENATE(YEAR(A2574),"/",IF(MONTH(A2574)&lt;10,CONCATENATE("0",MONTH(A2574)),MONTH(A2574)))</f>
        <v>2025/02</v>
      </c>
      <c r="E2574" s="8">
        <f>IF(IF(D2574&lt;&gt;D2573,1,IF(OR(B2574&lt;&gt;B2573,A2574-A2573&gt;$U$1),1,""))&lt;&gt;1,"",IF(C2574="B01",1965,IF(C2574="B02",1020,IF(C2574="B05",2400,IF(C2574="B03",4260,IF(C2574="B04",2880,IF(C2574="B20",1260,0)))))))</f>
        <v>4260</v>
      </c>
      <c r="F2574" s="8">
        <f>IF(IF(D2574&lt;&gt;D2573,1,IF(OR(B2574&lt;&gt;B2573,A2574-A2573&gt;$U$1),1,""))&lt;&gt;1,"",IF(C2574="B01",1,IF(C2574="B05",1,IF(C2574="B03",1,IF(C2574="B04",1,IF(C2574="B20",1,IF(C2574="B02",1,0)))))))</f>
        <v>1</v>
      </c>
      <c r="G2574"/>
      <c r="H2574" s="2"/>
      <c r="I2574" s="2"/>
      <c r="L2574"/>
      <c r="R2574"/>
    </row>
    <row r="2575" spans="1:18">
      <c r="A2575" s="3">
        <v>45708.701921296299</v>
      </c>
      <c r="B2575" s="2" t="s">
        <v>33</v>
      </c>
      <c r="C2575" s="2" t="s">
        <v>12</v>
      </c>
      <c r="D2575" s="6" t="str">
        <f>CONCATENATE(YEAR(A2575),"/",IF(MONTH(A2575)&lt;10,CONCATENATE("0",MONTH(A2575)),MONTH(A2575)))</f>
        <v>2025/02</v>
      </c>
      <c r="E2575" s="8" t="str">
        <f>IF(IF(D2575&lt;&gt;D2574,1,IF(OR(B2575&lt;&gt;B2574,A2575-A2574&gt;$U$1),1,""))&lt;&gt;1,"",IF(C2575="B01",1965,IF(C2575="B02",1020,IF(C2575="B05",2400,IF(C2575="B03",4260,IF(C2575="B04",2880,IF(C2575="B20",1260,0)))))))</f>
        <v/>
      </c>
      <c r="F2575" s="8" t="str">
        <f>IF(IF(D2575&lt;&gt;D2574,1,IF(OR(B2575&lt;&gt;B2574,A2575-A2574&gt;$U$1),1,""))&lt;&gt;1,"",IF(C2575="B01",1,IF(C2575="B05",1,IF(C2575="B03",1,IF(C2575="B04",1,IF(C2575="B20",1,IF(C2575="B02",1,0)))))))</f>
        <v/>
      </c>
      <c r="G2575"/>
      <c r="H2575" s="2"/>
      <c r="I2575" s="2"/>
      <c r="L2575"/>
      <c r="R2575"/>
    </row>
    <row r="2576" spans="1:18">
      <c r="A2576" s="3">
        <v>45708.868819444448</v>
      </c>
      <c r="B2576" s="2" t="s">
        <v>33</v>
      </c>
      <c r="C2576" s="2" t="s">
        <v>12</v>
      </c>
      <c r="D2576" s="6" t="str">
        <f>CONCATENATE(YEAR(A2576),"/",IF(MONTH(A2576)&lt;10,CONCATENATE("0",MONTH(A2576)),MONTH(A2576)))</f>
        <v>2025/02</v>
      </c>
      <c r="E2576" s="8">
        <f>IF(IF(D2576&lt;&gt;D2575,1,IF(OR(B2576&lt;&gt;B2575,A2576-A2575&gt;$U$1),1,""))&lt;&gt;1,"",IF(C2576="B01",1965,IF(C2576="B02",1020,IF(C2576="B05",2400,IF(C2576="B03",4260,IF(C2576="B04",2880,IF(C2576="B20",1260,0)))))))</f>
        <v>4260</v>
      </c>
      <c r="F2576" s="8">
        <f>IF(IF(D2576&lt;&gt;D2575,1,IF(OR(B2576&lt;&gt;B2575,A2576-A2575&gt;$U$1),1,""))&lt;&gt;1,"",IF(C2576="B01",1,IF(C2576="B05",1,IF(C2576="B03",1,IF(C2576="B04",1,IF(C2576="B20",1,IF(C2576="B02",1,0)))))))</f>
        <v>1</v>
      </c>
      <c r="G2576"/>
      <c r="H2576" s="2"/>
      <c r="I2576" s="2"/>
      <c r="L2576"/>
      <c r="R2576"/>
    </row>
    <row r="2577" spans="1:18">
      <c r="A2577" s="3">
        <v>45708.868819444448</v>
      </c>
      <c r="B2577" s="2" t="s">
        <v>33</v>
      </c>
      <c r="C2577" s="2" t="s">
        <v>12</v>
      </c>
      <c r="D2577" s="6" t="str">
        <f>CONCATENATE(YEAR(A2577),"/",IF(MONTH(A2577)&lt;10,CONCATENATE("0",MONTH(A2577)),MONTH(A2577)))</f>
        <v>2025/02</v>
      </c>
      <c r="E2577" s="8" t="str">
        <f>IF(IF(D2577&lt;&gt;D2576,1,IF(OR(B2577&lt;&gt;B2576,A2577-A2576&gt;$U$1),1,""))&lt;&gt;1,"",IF(C2577="B01",1965,IF(C2577="B02",1020,IF(C2577="B05",2400,IF(C2577="B03",4260,IF(C2577="B04",2880,IF(C2577="B20",1260,0)))))))</f>
        <v/>
      </c>
      <c r="F2577" s="8" t="str">
        <f>IF(IF(D2577&lt;&gt;D2576,1,IF(OR(B2577&lt;&gt;B2576,A2577-A2576&gt;$U$1),1,""))&lt;&gt;1,"",IF(C2577="B01",1,IF(C2577="B05",1,IF(C2577="B03",1,IF(C2577="B04",1,IF(C2577="B20",1,IF(C2577="B02",1,0)))))))</f>
        <v/>
      </c>
      <c r="G2577"/>
      <c r="H2577" s="2"/>
      <c r="I2577" s="2"/>
      <c r="L2577"/>
      <c r="R2577"/>
    </row>
    <row r="2578" spans="1:18">
      <c r="A2578" s="3">
        <v>45709.073171296295</v>
      </c>
      <c r="B2578" s="2" t="s">
        <v>33</v>
      </c>
      <c r="C2578" s="2" t="s">
        <v>12</v>
      </c>
      <c r="D2578" s="6" t="str">
        <f>CONCATENATE(YEAR(A2578),"/",IF(MONTH(A2578)&lt;10,CONCATENATE("0",MONTH(A2578)),MONTH(A2578)))</f>
        <v>2025/02</v>
      </c>
      <c r="E2578" s="8">
        <f>IF(IF(D2578&lt;&gt;D2577,1,IF(OR(B2578&lt;&gt;B2577,A2578-A2577&gt;$U$1),1,""))&lt;&gt;1,"",IF(C2578="B01",1965,IF(C2578="B02",1020,IF(C2578="B05",2400,IF(C2578="B03",4260,IF(C2578="B04",2880,IF(C2578="B20",1260,0)))))))</f>
        <v>4260</v>
      </c>
      <c r="F2578" s="8">
        <f>IF(IF(D2578&lt;&gt;D2577,1,IF(OR(B2578&lt;&gt;B2577,A2578-A2577&gt;$U$1),1,""))&lt;&gt;1,"",IF(C2578="B01",1,IF(C2578="B05",1,IF(C2578="B03",1,IF(C2578="B04",1,IF(C2578="B20",1,IF(C2578="B02",1,0)))))))</f>
        <v>1</v>
      </c>
      <c r="G2578"/>
      <c r="H2578" s="2"/>
      <c r="I2578" s="2"/>
      <c r="L2578"/>
      <c r="R2578"/>
    </row>
    <row r="2579" spans="1:18">
      <c r="A2579" s="3">
        <v>45709.263796296298</v>
      </c>
      <c r="B2579" s="2" t="s">
        <v>33</v>
      </c>
      <c r="C2579" s="2" t="s">
        <v>12</v>
      </c>
      <c r="D2579" s="6" t="str">
        <f>CONCATENATE(YEAR(A2579),"/",IF(MONTH(A2579)&lt;10,CONCATENATE("0",MONTH(A2579)),MONTH(A2579)))</f>
        <v>2025/02</v>
      </c>
      <c r="E2579" s="8">
        <f>IF(IF(D2579&lt;&gt;D2578,1,IF(OR(B2579&lt;&gt;B2578,A2579-A2578&gt;$U$1),1,""))&lt;&gt;1,"",IF(C2579="B01",1965,IF(C2579="B02",1020,IF(C2579="B05",2400,IF(C2579="B03",4260,IF(C2579="B04",2880,IF(C2579="B20",1260,0)))))))</f>
        <v>4260</v>
      </c>
      <c r="F2579" s="8">
        <f>IF(IF(D2579&lt;&gt;D2578,1,IF(OR(B2579&lt;&gt;B2578,A2579-A2578&gt;$U$1),1,""))&lt;&gt;1,"",IF(C2579="B01",1,IF(C2579="B05",1,IF(C2579="B03",1,IF(C2579="B04",1,IF(C2579="B20",1,IF(C2579="B02",1,0)))))))</f>
        <v>1</v>
      </c>
      <c r="G2579"/>
      <c r="H2579" s="2"/>
      <c r="I2579" s="2"/>
      <c r="L2579"/>
      <c r="R2579"/>
    </row>
    <row r="2580" spans="1:18">
      <c r="A2580" s="3">
        <v>45709.569189814814</v>
      </c>
      <c r="B2580" s="2" t="s">
        <v>33</v>
      </c>
      <c r="C2580" s="2" t="s">
        <v>12</v>
      </c>
      <c r="D2580" s="6" t="str">
        <f>CONCATENATE(YEAR(A2580),"/",IF(MONTH(A2580)&lt;10,CONCATENATE("0",MONTH(A2580)),MONTH(A2580)))</f>
        <v>2025/02</v>
      </c>
      <c r="E2580" s="8">
        <f>IF(IF(D2580&lt;&gt;D2579,1,IF(OR(B2580&lt;&gt;B2579,A2580-A2579&gt;$U$1),1,""))&lt;&gt;1,"",IF(C2580="B01",1965,IF(C2580="B02",1020,IF(C2580="B05",2400,IF(C2580="B03",4260,IF(C2580="B04",2880,IF(C2580="B20",1260,0)))))))</f>
        <v>4260</v>
      </c>
      <c r="F2580" s="8">
        <f>IF(IF(D2580&lt;&gt;D2579,1,IF(OR(B2580&lt;&gt;B2579,A2580-A2579&gt;$U$1),1,""))&lt;&gt;1,"",IF(C2580="B01",1,IF(C2580="B05",1,IF(C2580="B03",1,IF(C2580="B04",1,IF(C2580="B20",1,IF(C2580="B02",1,0)))))))</f>
        <v>1</v>
      </c>
      <c r="G2580"/>
      <c r="H2580" s="2"/>
      <c r="I2580" s="2"/>
      <c r="L2580"/>
      <c r="R2580"/>
    </row>
    <row r="2581" spans="1:18">
      <c r="A2581" s="3">
        <v>45709.569189814814</v>
      </c>
      <c r="B2581" s="2" t="s">
        <v>33</v>
      </c>
      <c r="C2581" s="2" t="s">
        <v>12</v>
      </c>
      <c r="D2581" s="6" t="str">
        <f>CONCATENATE(YEAR(A2581),"/",IF(MONTH(A2581)&lt;10,CONCATENATE("0",MONTH(A2581)),MONTH(A2581)))</f>
        <v>2025/02</v>
      </c>
      <c r="E2581" s="8" t="str">
        <f>IF(IF(D2581&lt;&gt;D2580,1,IF(OR(B2581&lt;&gt;B2580,A2581-A2580&gt;$U$1),1,""))&lt;&gt;1,"",IF(C2581="B01",1965,IF(C2581="B02",1020,IF(C2581="B05",2400,IF(C2581="B03",4260,IF(C2581="B04",2880,IF(C2581="B20",1260,0)))))))</f>
        <v/>
      </c>
      <c r="F2581" s="8" t="str">
        <f>IF(IF(D2581&lt;&gt;D2580,1,IF(OR(B2581&lt;&gt;B2580,A2581-A2580&gt;$U$1),1,""))&lt;&gt;1,"",IF(C2581="B01",1,IF(C2581="B05",1,IF(C2581="B03",1,IF(C2581="B04",1,IF(C2581="B20",1,IF(C2581="B02",1,0)))))))</f>
        <v/>
      </c>
      <c r="G2581"/>
      <c r="H2581" s="2"/>
      <c r="I2581" s="2"/>
      <c r="L2581"/>
      <c r="R2581"/>
    </row>
    <row r="2582" spans="1:18">
      <c r="A2582" s="3">
        <v>45709.759826388887</v>
      </c>
      <c r="B2582" s="2" t="s">
        <v>33</v>
      </c>
      <c r="C2582" s="2" t="s">
        <v>11</v>
      </c>
      <c r="D2582" s="6" t="str">
        <f>CONCATENATE(YEAR(A2582),"/",IF(MONTH(A2582)&lt;10,CONCATENATE("0",MONTH(A2582)),MONTH(A2582)))</f>
        <v>2025/02</v>
      </c>
      <c r="E2582" s="8">
        <f>IF(IF(D2582&lt;&gt;D2581,1,IF(OR(B2582&lt;&gt;B2581,A2582-A2581&gt;$U$1),1,""))&lt;&gt;1,"",IF(C2582="B01",1965,IF(C2582="B02",1020,IF(C2582="B05",2400,IF(C2582="B03",4260,IF(C2582="B04",2880,IF(C2582="B20",1260,0)))))))</f>
        <v>2400</v>
      </c>
      <c r="F2582" s="8">
        <f>IF(IF(D2582&lt;&gt;D2581,1,IF(OR(B2582&lt;&gt;B2581,A2582-A2581&gt;$U$1),1,""))&lt;&gt;1,"",IF(C2582="B01",1,IF(C2582="B05",1,IF(C2582="B03",1,IF(C2582="B04",1,IF(C2582="B20",1,IF(C2582="B02",1,0)))))))</f>
        <v>1</v>
      </c>
      <c r="G2582"/>
      <c r="H2582" s="2"/>
      <c r="I2582" s="2"/>
      <c r="L2582"/>
      <c r="R2582"/>
    </row>
    <row r="2583" spans="1:18">
      <c r="A2583" s="3">
        <v>45709.759826388887</v>
      </c>
      <c r="B2583" s="2" t="s">
        <v>33</v>
      </c>
      <c r="C2583" s="2" t="s">
        <v>11</v>
      </c>
      <c r="D2583" s="6" t="str">
        <f>CONCATENATE(YEAR(A2583),"/",IF(MONTH(A2583)&lt;10,CONCATENATE("0",MONTH(A2583)),MONTH(A2583)))</f>
        <v>2025/02</v>
      </c>
      <c r="E2583" s="8" t="str">
        <f>IF(IF(D2583&lt;&gt;D2582,1,IF(OR(B2583&lt;&gt;B2582,A2583-A2582&gt;$U$1),1,""))&lt;&gt;1,"",IF(C2583="B01",1965,IF(C2583="B02",1020,IF(C2583="B05",2400,IF(C2583="B03",4260,IF(C2583="B04",2880,IF(C2583="B20",1260,0)))))))</f>
        <v/>
      </c>
      <c r="F2583" s="8" t="str">
        <f>IF(IF(D2583&lt;&gt;D2582,1,IF(OR(B2583&lt;&gt;B2582,A2583-A2582&gt;$U$1),1,""))&lt;&gt;1,"",IF(C2583="B01",1,IF(C2583="B05",1,IF(C2583="B03",1,IF(C2583="B04",1,IF(C2583="B20",1,IF(C2583="B02",1,0)))))))</f>
        <v/>
      </c>
      <c r="G2583"/>
      <c r="H2583" s="2"/>
      <c r="I2583" s="2"/>
      <c r="L2583"/>
      <c r="R2583"/>
    </row>
    <row r="2584" spans="1:18">
      <c r="A2584" s="3">
        <v>45709.759826388887</v>
      </c>
      <c r="B2584" s="2" t="s">
        <v>33</v>
      </c>
      <c r="C2584" s="2" t="s">
        <v>11</v>
      </c>
      <c r="D2584" s="6" t="str">
        <f>CONCATENATE(YEAR(A2584),"/",IF(MONTH(A2584)&lt;10,CONCATENATE("0",MONTH(A2584)),MONTH(A2584)))</f>
        <v>2025/02</v>
      </c>
      <c r="E2584" s="8" t="str">
        <f>IF(IF(D2584&lt;&gt;D2583,1,IF(OR(B2584&lt;&gt;B2583,A2584-A2583&gt;$U$1),1,""))&lt;&gt;1,"",IF(C2584="B01",1965,IF(C2584="B02",1020,IF(C2584="B05",2400,IF(C2584="B03",4260,IF(C2584="B04",2880,IF(C2584="B20",1260,0)))))))</f>
        <v/>
      </c>
      <c r="F2584" s="8" t="str">
        <f>IF(IF(D2584&lt;&gt;D2583,1,IF(OR(B2584&lt;&gt;B2583,A2584-A2583&gt;$U$1),1,""))&lt;&gt;1,"",IF(C2584="B01",1,IF(C2584="B05",1,IF(C2584="B03",1,IF(C2584="B04",1,IF(C2584="B20",1,IF(C2584="B02",1,0)))))))</f>
        <v/>
      </c>
      <c r="G2584"/>
      <c r="H2584" s="2"/>
      <c r="I2584" s="2"/>
      <c r="L2584"/>
      <c r="R2584"/>
    </row>
    <row r="2585" spans="1:18">
      <c r="A2585" s="3">
        <v>45710.133090277777</v>
      </c>
      <c r="B2585" s="2" t="s">
        <v>33</v>
      </c>
      <c r="C2585" s="2" t="s">
        <v>12</v>
      </c>
      <c r="D2585" s="6" t="str">
        <f>CONCATENATE(YEAR(A2585),"/",IF(MONTH(A2585)&lt;10,CONCATENATE("0",MONTH(A2585)),MONTH(A2585)))</f>
        <v>2025/02</v>
      </c>
      <c r="E2585" s="8">
        <f>IF(IF(D2585&lt;&gt;D2584,1,IF(OR(B2585&lt;&gt;B2584,A2585-A2584&gt;$U$1),1,""))&lt;&gt;1,"",IF(C2585="B01",1965,IF(C2585="B02",1020,IF(C2585="B05",2400,IF(C2585="B03",4260,IF(C2585="B04",2880,IF(C2585="B20",1260,0)))))))</f>
        <v>4260</v>
      </c>
      <c r="F2585" s="8">
        <f>IF(IF(D2585&lt;&gt;D2584,1,IF(OR(B2585&lt;&gt;B2584,A2585-A2584&gt;$U$1),1,""))&lt;&gt;1,"",IF(C2585="B01",1,IF(C2585="B05",1,IF(C2585="B03",1,IF(C2585="B04",1,IF(C2585="B20",1,IF(C2585="B02",1,0)))))))</f>
        <v>1</v>
      </c>
      <c r="G2585"/>
      <c r="H2585" s="2"/>
      <c r="I2585" s="2"/>
      <c r="L2585"/>
      <c r="R2585"/>
    </row>
    <row r="2586" spans="1:18">
      <c r="A2586" s="3">
        <v>45710.133090277777</v>
      </c>
      <c r="B2586" s="2" t="s">
        <v>33</v>
      </c>
      <c r="C2586" s="2" t="s">
        <v>12</v>
      </c>
      <c r="D2586" s="6" t="str">
        <f>CONCATENATE(YEAR(A2586),"/",IF(MONTH(A2586)&lt;10,CONCATENATE("0",MONTH(A2586)),MONTH(A2586)))</f>
        <v>2025/02</v>
      </c>
      <c r="E2586" s="8" t="str">
        <f>IF(IF(D2586&lt;&gt;D2585,1,IF(OR(B2586&lt;&gt;B2585,A2586-A2585&gt;$U$1),1,""))&lt;&gt;1,"",IF(C2586="B01",1965,IF(C2586="B02",1020,IF(C2586="B05",2400,IF(C2586="B03",4260,IF(C2586="B04",2880,IF(C2586="B20",1260,0)))))))</f>
        <v/>
      </c>
      <c r="F2586" s="8" t="str">
        <f>IF(IF(D2586&lt;&gt;D2585,1,IF(OR(B2586&lt;&gt;B2585,A2586-A2585&gt;$U$1),1,""))&lt;&gt;1,"",IF(C2586="B01",1,IF(C2586="B05",1,IF(C2586="B03",1,IF(C2586="B04",1,IF(C2586="B20",1,IF(C2586="B02",1,0)))))))</f>
        <v/>
      </c>
      <c r="G2586"/>
      <c r="H2586" s="2"/>
      <c r="I2586" s="2"/>
      <c r="L2586"/>
      <c r="R2586"/>
    </row>
    <row r="2587" spans="1:18">
      <c r="A2587" s="3">
        <v>45710.133090277777</v>
      </c>
      <c r="B2587" s="2" t="s">
        <v>33</v>
      </c>
      <c r="C2587" s="2" t="s">
        <v>12</v>
      </c>
      <c r="D2587" s="6" t="str">
        <f>CONCATENATE(YEAR(A2587),"/",IF(MONTH(A2587)&lt;10,CONCATENATE("0",MONTH(A2587)),MONTH(A2587)))</f>
        <v>2025/02</v>
      </c>
      <c r="E2587" s="8" t="str">
        <f>IF(IF(D2587&lt;&gt;D2586,1,IF(OR(B2587&lt;&gt;B2586,A2587-A2586&gt;$U$1),1,""))&lt;&gt;1,"",IF(C2587="B01",1965,IF(C2587="B02",1020,IF(C2587="B05",2400,IF(C2587="B03",4260,IF(C2587="B04",2880,IF(C2587="B20",1260,0)))))))</f>
        <v/>
      </c>
      <c r="F2587" s="8" t="str">
        <f>IF(IF(D2587&lt;&gt;D2586,1,IF(OR(B2587&lt;&gt;B2586,A2587-A2586&gt;$U$1),1,""))&lt;&gt;1,"",IF(C2587="B01",1,IF(C2587="B05",1,IF(C2587="B03",1,IF(C2587="B04",1,IF(C2587="B20",1,IF(C2587="B02",1,0)))))))</f>
        <v/>
      </c>
      <c r="G2587"/>
      <c r="H2587" s="2"/>
      <c r="I2587" s="2"/>
      <c r="L2587"/>
      <c r="R2587"/>
    </row>
    <row r="2588" spans="1:18">
      <c r="A2588" s="3">
        <v>45710.357835648145</v>
      </c>
      <c r="B2588" s="2" t="s">
        <v>33</v>
      </c>
      <c r="C2588" s="2" t="s">
        <v>12</v>
      </c>
      <c r="D2588" s="6" t="str">
        <f>CONCATENATE(YEAR(A2588),"/",IF(MONTH(A2588)&lt;10,CONCATENATE("0",MONTH(A2588)),MONTH(A2588)))</f>
        <v>2025/02</v>
      </c>
      <c r="E2588" s="8">
        <f>IF(IF(D2588&lt;&gt;D2587,1,IF(OR(B2588&lt;&gt;B2587,A2588-A2587&gt;$U$1),1,""))&lt;&gt;1,"",IF(C2588="B01",1965,IF(C2588="B02",1020,IF(C2588="B05",2400,IF(C2588="B03",4260,IF(C2588="B04",2880,IF(C2588="B20",1260,0)))))))</f>
        <v>4260</v>
      </c>
      <c r="F2588" s="8">
        <f>IF(IF(D2588&lt;&gt;D2587,1,IF(OR(B2588&lt;&gt;B2587,A2588-A2587&gt;$U$1),1,""))&lt;&gt;1,"",IF(C2588="B01",1,IF(C2588="B05",1,IF(C2588="B03",1,IF(C2588="B04",1,IF(C2588="B20",1,IF(C2588="B02",1,0)))))))</f>
        <v>1</v>
      </c>
      <c r="G2588"/>
      <c r="H2588" s="2"/>
      <c r="I2588" s="2"/>
      <c r="L2588"/>
      <c r="R2588"/>
    </row>
    <row r="2589" spans="1:18">
      <c r="A2589" s="3">
        <v>45710.357835648145</v>
      </c>
      <c r="B2589" s="2" t="s">
        <v>33</v>
      </c>
      <c r="C2589" s="2" t="s">
        <v>12</v>
      </c>
      <c r="D2589" s="6" t="str">
        <f>CONCATENATE(YEAR(A2589),"/",IF(MONTH(A2589)&lt;10,CONCATENATE("0",MONTH(A2589)),MONTH(A2589)))</f>
        <v>2025/02</v>
      </c>
      <c r="E2589" s="8" t="str">
        <f>IF(IF(D2589&lt;&gt;D2588,1,IF(OR(B2589&lt;&gt;B2588,A2589-A2588&gt;$U$1),1,""))&lt;&gt;1,"",IF(C2589="B01",1965,IF(C2589="B02",1020,IF(C2589="B05",2400,IF(C2589="B03",4260,IF(C2589="B04",2880,IF(C2589="B20",1260,0)))))))</f>
        <v/>
      </c>
      <c r="F2589" s="8" t="str">
        <f>IF(IF(D2589&lt;&gt;D2588,1,IF(OR(B2589&lt;&gt;B2588,A2589-A2588&gt;$U$1),1,""))&lt;&gt;1,"",IF(C2589="B01",1,IF(C2589="B05",1,IF(C2589="B03",1,IF(C2589="B04",1,IF(C2589="B20",1,IF(C2589="B02",1,0)))))))</f>
        <v/>
      </c>
      <c r="G2589"/>
      <c r="H2589" s="2"/>
      <c r="I2589" s="2"/>
      <c r="L2589"/>
      <c r="R2589"/>
    </row>
    <row r="2590" spans="1:18">
      <c r="A2590" s="3">
        <v>45710.926712962966</v>
      </c>
      <c r="B2590" s="2" t="s">
        <v>33</v>
      </c>
      <c r="C2590" s="2" t="s">
        <v>11</v>
      </c>
      <c r="D2590" s="6" t="str">
        <f>CONCATENATE(YEAR(A2590),"/",IF(MONTH(A2590)&lt;10,CONCATENATE("0",MONTH(A2590)),MONTH(A2590)))</f>
        <v>2025/02</v>
      </c>
      <c r="E2590" s="8">
        <f>IF(IF(D2590&lt;&gt;D2589,1,IF(OR(B2590&lt;&gt;B2589,A2590-A2589&gt;$U$1),1,""))&lt;&gt;1,"",IF(C2590="B01",1965,IF(C2590="B02",1020,IF(C2590="B05",2400,IF(C2590="B03",4260,IF(C2590="B04",2880,IF(C2590="B20",1260,0)))))))</f>
        <v>2400</v>
      </c>
      <c r="F2590" s="8">
        <f>IF(IF(D2590&lt;&gt;D2589,1,IF(OR(B2590&lt;&gt;B2589,A2590-A2589&gt;$U$1),1,""))&lt;&gt;1,"",IF(C2590="B01",1,IF(C2590="B05",1,IF(C2590="B03",1,IF(C2590="B04",1,IF(C2590="B20",1,IF(C2590="B02",1,0)))))))</f>
        <v>1</v>
      </c>
      <c r="G2590"/>
      <c r="H2590" s="2"/>
      <c r="I2590" s="2"/>
      <c r="L2590"/>
      <c r="R2590"/>
    </row>
    <row r="2591" spans="1:18">
      <c r="A2591" s="3">
        <v>45710.926712962966</v>
      </c>
      <c r="B2591" s="2" t="s">
        <v>33</v>
      </c>
      <c r="C2591" s="2" t="s">
        <v>11</v>
      </c>
      <c r="D2591" s="6" t="str">
        <f>CONCATENATE(YEAR(A2591),"/",IF(MONTH(A2591)&lt;10,CONCATENATE("0",MONTH(A2591)),MONTH(A2591)))</f>
        <v>2025/02</v>
      </c>
      <c r="E2591" s="8" t="str">
        <f>IF(IF(D2591&lt;&gt;D2590,1,IF(OR(B2591&lt;&gt;B2590,A2591-A2590&gt;$U$1),1,""))&lt;&gt;1,"",IF(C2591="B01",1965,IF(C2591="B02",1020,IF(C2591="B05",2400,IF(C2591="B03",4260,IF(C2591="B04",2880,IF(C2591="B20",1260,0)))))))</f>
        <v/>
      </c>
      <c r="F2591" s="8" t="str">
        <f>IF(IF(D2591&lt;&gt;D2590,1,IF(OR(B2591&lt;&gt;B2590,A2591-A2590&gt;$U$1),1,""))&lt;&gt;1,"",IF(C2591="B01",1,IF(C2591="B05",1,IF(C2591="B03",1,IF(C2591="B04",1,IF(C2591="B20",1,IF(C2591="B02",1,0)))))))</f>
        <v/>
      </c>
      <c r="G2591"/>
      <c r="H2591" s="2"/>
      <c r="I2591" s="2"/>
      <c r="L2591"/>
      <c r="R2591"/>
    </row>
    <row r="2592" spans="1:18">
      <c r="A2592" s="3">
        <v>45714.935914351852</v>
      </c>
      <c r="B2592" s="2" t="s">
        <v>33</v>
      </c>
      <c r="C2592" s="2" t="s">
        <v>11</v>
      </c>
      <c r="D2592" s="6" t="str">
        <f>CONCATENATE(YEAR(A2592),"/",IF(MONTH(A2592)&lt;10,CONCATENATE("0",MONTH(A2592)),MONTH(A2592)))</f>
        <v>2025/02</v>
      </c>
      <c r="E2592" s="8">
        <f>IF(IF(D2592&lt;&gt;D2591,1,IF(OR(B2592&lt;&gt;B2591,A2592-A2591&gt;$U$1),1,""))&lt;&gt;1,"",IF(C2592="B01",1965,IF(C2592="B02",1020,IF(C2592="B05",2400,IF(C2592="B03",4260,IF(C2592="B04",2880,IF(C2592="B20",1260,0)))))))</f>
        <v>2400</v>
      </c>
      <c r="F2592" s="8">
        <f>IF(IF(D2592&lt;&gt;D2591,1,IF(OR(B2592&lt;&gt;B2591,A2592-A2591&gt;$U$1),1,""))&lt;&gt;1,"",IF(C2592="B01",1,IF(C2592="B05",1,IF(C2592="B03",1,IF(C2592="B04",1,IF(C2592="B20",1,IF(C2592="B02",1,0)))))))</f>
        <v>1</v>
      </c>
      <c r="G2592"/>
      <c r="H2592" s="2"/>
      <c r="I2592" s="2"/>
      <c r="L2592"/>
      <c r="R2592"/>
    </row>
    <row r="2593" spans="1:18">
      <c r="A2593" s="3">
        <v>45714.935914351852</v>
      </c>
      <c r="B2593" s="2" t="s">
        <v>33</v>
      </c>
      <c r="C2593" s="2" t="s">
        <v>11</v>
      </c>
      <c r="D2593" s="6" t="str">
        <f>CONCATENATE(YEAR(A2593),"/",IF(MONTH(A2593)&lt;10,CONCATENATE("0",MONTH(A2593)),MONTH(A2593)))</f>
        <v>2025/02</v>
      </c>
      <c r="E2593" s="8" t="str">
        <f>IF(IF(D2593&lt;&gt;D2592,1,IF(OR(B2593&lt;&gt;B2592,A2593-A2592&gt;$U$1),1,""))&lt;&gt;1,"",IF(C2593="B01",1965,IF(C2593="B02",1020,IF(C2593="B05",2400,IF(C2593="B03",4260,IF(C2593="B04",2880,IF(C2593="B20",1260,0)))))))</f>
        <v/>
      </c>
      <c r="F2593" s="8" t="str">
        <f>IF(IF(D2593&lt;&gt;D2592,1,IF(OR(B2593&lt;&gt;B2592,A2593-A2592&gt;$U$1),1,""))&lt;&gt;1,"",IF(C2593="B01",1,IF(C2593="B05",1,IF(C2593="B03",1,IF(C2593="B04",1,IF(C2593="B20",1,IF(C2593="B02",1,0)))))))</f>
        <v/>
      </c>
      <c r="G2593"/>
      <c r="H2593" s="2"/>
      <c r="I2593" s="2"/>
      <c r="L2593"/>
      <c r="R2593"/>
    </row>
    <row r="2594" spans="1:18">
      <c r="A2594" s="3">
        <v>45714.935914351852</v>
      </c>
      <c r="B2594" s="2" t="s">
        <v>33</v>
      </c>
      <c r="C2594" s="2" t="s">
        <v>11</v>
      </c>
      <c r="D2594" s="6" t="str">
        <f>CONCATENATE(YEAR(A2594),"/",IF(MONTH(A2594)&lt;10,CONCATENATE("0",MONTH(A2594)),MONTH(A2594)))</f>
        <v>2025/02</v>
      </c>
      <c r="E2594" s="8" t="str">
        <f>IF(IF(D2594&lt;&gt;D2593,1,IF(OR(B2594&lt;&gt;B2593,A2594-A2593&gt;$U$1),1,""))&lt;&gt;1,"",IF(C2594="B01",1965,IF(C2594="B02",1020,IF(C2594="B05",2400,IF(C2594="B03",4260,IF(C2594="B04",2880,IF(C2594="B20",1260,0)))))))</f>
        <v/>
      </c>
      <c r="F2594" s="8" t="str">
        <f>IF(IF(D2594&lt;&gt;D2593,1,IF(OR(B2594&lt;&gt;B2593,A2594-A2593&gt;$U$1),1,""))&lt;&gt;1,"",IF(C2594="B01",1,IF(C2594="B05",1,IF(C2594="B03",1,IF(C2594="B04",1,IF(C2594="B20",1,IF(C2594="B02",1,0)))))))</f>
        <v/>
      </c>
      <c r="G2594"/>
      <c r="H2594" s="2"/>
      <c r="I2594" s="2"/>
      <c r="L2594"/>
      <c r="R2594"/>
    </row>
    <row r="2595" spans="1:18">
      <c r="A2595" s="3">
        <v>45716.928611111114</v>
      </c>
      <c r="B2595" s="2" t="s">
        <v>33</v>
      </c>
      <c r="C2595" s="2" t="s">
        <v>11</v>
      </c>
      <c r="D2595" s="6" t="str">
        <f>CONCATENATE(YEAR(A2595),"/",IF(MONTH(A2595)&lt;10,CONCATENATE("0",MONTH(A2595)),MONTH(A2595)))</f>
        <v>2025/02</v>
      </c>
      <c r="E2595" s="8">
        <f>IF(IF(D2595&lt;&gt;D2594,1,IF(OR(B2595&lt;&gt;B2594,A2595-A2594&gt;$U$1),1,""))&lt;&gt;1,"",IF(C2595="B01",1965,IF(C2595="B02",1020,IF(C2595="B05",2400,IF(C2595="B03",4260,IF(C2595="B04",2880,IF(C2595="B20",1260,0)))))))</f>
        <v>2400</v>
      </c>
      <c r="F2595" s="8">
        <f>IF(IF(D2595&lt;&gt;D2594,1,IF(OR(B2595&lt;&gt;B2594,A2595-A2594&gt;$U$1),1,""))&lt;&gt;1,"",IF(C2595="B01",1,IF(C2595="B05",1,IF(C2595="B03",1,IF(C2595="B04",1,IF(C2595="B20",1,IF(C2595="B02",1,0)))))))</f>
        <v>1</v>
      </c>
      <c r="G2595"/>
      <c r="H2595" s="2"/>
      <c r="I2595" s="2"/>
      <c r="L2595"/>
      <c r="R2595"/>
    </row>
    <row r="2596" spans="1:18">
      <c r="A2596" s="3">
        <v>45716.928611111114</v>
      </c>
      <c r="B2596" s="2" t="s">
        <v>33</v>
      </c>
      <c r="C2596" s="2" t="s">
        <v>11</v>
      </c>
      <c r="D2596" s="6" t="str">
        <f>CONCATENATE(YEAR(A2596),"/",IF(MONTH(A2596)&lt;10,CONCATENATE("0",MONTH(A2596)),MONTH(A2596)))</f>
        <v>2025/02</v>
      </c>
      <c r="E2596" s="8" t="str">
        <f>IF(IF(D2596&lt;&gt;D2595,1,IF(OR(B2596&lt;&gt;B2595,A2596-A2595&gt;$U$1),1,""))&lt;&gt;1,"",IF(C2596="B01",1965,IF(C2596="B02",1020,IF(C2596="B05",2400,IF(C2596="B03",4260,IF(C2596="B04",2880,IF(C2596="B20",1260,0)))))))</f>
        <v/>
      </c>
      <c r="F2596" s="8" t="str">
        <f>IF(IF(D2596&lt;&gt;D2595,1,IF(OR(B2596&lt;&gt;B2595,A2596-A2595&gt;$U$1),1,""))&lt;&gt;1,"",IF(C2596="B01",1,IF(C2596="B05",1,IF(C2596="B03",1,IF(C2596="B04",1,IF(C2596="B20",1,IF(C2596="B02",1,0)))))))</f>
        <v/>
      </c>
      <c r="G2596"/>
      <c r="H2596" s="2"/>
      <c r="I2596" s="2"/>
      <c r="L2596"/>
      <c r="R2596"/>
    </row>
    <row r="2597" spans="1:18">
      <c r="A2597" s="3">
        <v>45716.928611111114</v>
      </c>
      <c r="B2597" s="2" t="s">
        <v>33</v>
      </c>
      <c r="C2597" s="2" t="s">
        <v>11</v>
      </c>
      <c r="D2597" s="6" t="str">
        <f>CONCATENATE(YEAR(A2597),"/",IF(MONTH(A2597)&lt;10,CONCATENATE("0",MONTH(A2597)),MONTH(A2597)))</f>
        <v>2025/02</v>
      </c>
      <c r="E2597" s="8" t="str">
        <f>IF(IF(D2597&lt;&gt;D2596,1,IF(OR(B2597&lt;&gt;B2596,A2597-A2596&gt;$U$1),1,""))&lt;&gt;1,"",IF(C2597="B01",1965,IF(C2597="B02",1020,IF(C2597="B05",2400,IF(C2597="B03",4260,IF(C2597="B04",2880,IF(C2597="B20",1260,0)))))))</f>
        <v/>
      </c>
      <c r="F2597" s="8" t="str">
        <f>IF(IF(D2597&lt;&gt;D2596,1,IF(OR(B2597&lt;&gt;B2596,A2597-A2596&gt;$U$1),1,""))&lt;&gt;1,"",IF(C2597="B01",1,IF(C2597="B05",1,IF(C2597="B03",1,IF(C2597="B04",1,IF(C2597="B20",1,IF(C2597="B02",1,0)))))))</f>
        <v/>
      </c>
      <c r="G2597"/>
      <c r="H2597" s="2"/>
      <c r="I2597" s="2"/>
      <c r="L2597"/>
      <c r="R2597"/>
    </row>
    <row r="2598" spans="1:18">
      <c r="A2598" s="3">
        <v>45717.920335648145</v>
      </c>
      <c r="B2598" s="2" t="s">
        <v>33</v>
      </c>
      <c r="C2598" s="2" t="s">
        <v>11</v>
      </c>
      <c r="D2598" s="6" t="str">
        <f>CONCATENATE(YEAR(A2598),"/",IF(MONTH(A2598)&lt;10,CONCATENATE("0",MONTH(A2598)),MONTH(A2598)))</f>
        <v>2025/03</v>
      </c>
      <c r="E2598" s="8">
        <f>IF(IF(D2598&lt;&gt;D2597,1,IF(OR(B2598&lt;&gt;B2597,A2598-A2597&gt;$U$1),1,""))&lt;&gt;1,"",IF(C2598="B01",1965,IF(C2598="B02",1020,IF(C2598="B05",2400,IF(C2598="B03",4260,IF(C2598="B04",2880,IF(C2598="B20",1260,0)))))))</f>
        <v>2400</v>
      </c>
      <c r="F2598" s="8">
        <f>IF(IF(D2598&lt;&gt;D2597,1,IF(OR(B2598&lt;&gt;B2597,A2598-A2597&gt;$U$1),1,""))&lt;&gt;1,"",IF(C2598="B01",1,IF(C2598="B05",1,IF(C2598="B03",1,IF(C2598="B04",1,IF(C2598="B20",1,IF(C2598="B02",1,0)))))))</f>
        <v>1</v>
      </c>
      <c r="G2598"/>
      <c r="H2598" s="2"/>
      <c r="I2598" s="2"/>
      <c r="L2598"/>
      <c r="R2598"/>
    </row>
    <row r="2599" spans="1:18">
      <c r="A2599" s="3">
        <v>45717.920335648145</v>
      </c>
      <c r="B2599" s="2" t="s">
        <v>33</v>
      </c>
      <c r="C2599" s="2" t="s">
        <v>11</v>
      </c>
      <c r="D2599" s="6" t="str">
        <f>CONCATENATE(YEAR(A2599),"/",IF(MONTH(A2599)&lt;10,CONCATENATE("0",MONTH(A2599)),MONTH(A2599)))</f>
        <v>2025/03</v>
      </c>
      <c r="E2599" s="8" t="str">
        <f>IF(IF(D2599&lt;&gt;D2598,1,IF(OR(B2599&lt;&gt;B2598,A2599-A2598&gt;$U$1),1,""))&lt;&gt;1,"",IF(C2599="B01",1965,IF(C2599="B02",1020,IF(C2599="B05",2400,IF(C2599="B03",4260,IF(C2599="B04",2880,IF(C2599="B20",1260,0)))))))</f>
        <v/>
      </c>
      <c r="F2599" s="8" t="str">
        <f>IF(IF(D2599&lt;&gt;D2598,1,IF(OR(B2599&lt;&gt;B2598,A2599-A2598&gt;$U$1),1,""))&lt;&gt;1,"",IF(C2599="B01",1,IF(C2599="B05",1,IF(C2599="B03",1,IF(C2599="B04",1,IF(C2599="B20",1,IF(C2599="B02",1,0)))))))</f>
        <v/>
      </c>
      <c r="G2599"/>
      <c r="H2599" s="2"/>
      <c r="I2599" s="2"/>
      <c r="L2599"/>
      <c r="R2599"/>
    </row>
    <row r="2600" spans="1:18">
      <c r="A2600" s="3">
        <v>45717.920335648145</v>
      </c>
      <c r="B2600" s="2" t="s">
        <v>33</v>
      </c>
      <c r="C2600" s="2" t="s">
        <v>11</v>
      </c>
      <c r="D2600" s="6" t="str">
        <f>CONCATENATE(YEAR(A2600),"/",IF(MONTH(A2600)&lt;10,CONCATENATE("0",MONTH(A2600)),MONTH(A2600)))</f>
        <v>2025/03</v>
      </c>
      <c r="E2600" s="8" t="str">
        <f>IF(IF(D2600&lt;&gt;D2599,1,IF(OR(B2600&lt;&gt;B2599,A2600-A2599&gt;$U$1),1,""))&lt;&gt;1,"",IF(C2600="B01",1965,IF(C2600="B02",1020,IF(C2600="B05",2400,IF(C2600="B03",4260,IF(C2600="B04",2880,IF(C2600="B20",1260,0)))))))</f>
        <v/>
      </c>
      <c r="F2600" s="8" t="str">
        <f>IF(IF(D2600&lt;&gt;D2599,1,IF(OR(B2600&lt;&gt;B2599,A2600-A2599&gt;$U$1),1,""))&lt;&gt;1,"",IF(C2600="B01",1,IF(C2600="B05",1,IF(C2600="B03",1,IF(C2600="B04",1,IF(C2600="B20",1,IF(C2600="B02",1,0)))))))</f>
        <v/>
      </c>
      <c r="G2600"/>
      <c r="H2600" s="2"/>
      <c r="I2600" s="2"/>
      <c r="L2600"/>
      <c r="R2600"/>
    </row>
    <row r="2601" spans="1:18">
      <c r="A2601" s="3">
        <v>45724.456076388888</v>
      </c>
      <c r="B2601" s="2" t="s">
        <v>33</v>
      </c>
      <c r="C2601" s="2" t="s">
        <v>11</v>
      </c>
      <c r="D2601" s="6" t="str">
        <f>CONCATENATE(YEAR(A2601),"/",IF(MONTH(A2601)&lt;10,CONCATENATE("0",MONTH(A2601)),MONTH(A2601)))</f>
        <v>2025/03</v>
      </c>
      <c r="E2601" s="8">
        <f>IF(IF(D2601&lt;&gt;D2600,1,IF(OR(B2601&lt;&gt;B2600,A2601-A2600&gt;$U$1),1,""))&lt;&gt;1,"",IF(C2601="B01",1965,IF(C2601="B02",1020,IF(C2601="B05",2400,IF(C2601="B03",4260,IF(C2601="B04",2880,IF(C2601="B20",1260,0)))))))</f>
        <v>2400</v>
      </c>
      <c r="F2601" s="8">
        <f>IF(IF(D2601&lt;&gt;D2600,1,IF(OR(B2601&lt;&gt;B2600,A2601-A2600&gt;$U$1),1,""))&lt;&gt;1,"",IF(C2601="B01",1,IF(C2601="B05",1,IF(C2601="B03",1,IF(C2601="B04",1,IF(C2601="B20",1,IF(C2601="B02",1,0)))))))</f>
        <v>1</v>
      </c>
      <c r="G2601"/>
      <c r="H2601" s="2"/>
      <c r="I2601" s="2"/>
      <c r="L2601"/>
      <c r="R2601"/>
    </row>
    <row r="2602" spans="1:18">
      <c r="A2602" s="3">
        <v>45724.456076388888</v>
      </c>
      <c r="B2602" s="2" t="s">
        <v>33</v>
      </c>
      <c r="C2602" s="2" t="s">
        <v>11</v>
      </c>
      <c r="D2602" s="6" t="str">
        <f>CONCATENATE(YEAR(A2602),"/",IF(MONTH(A2602)&lt;10,CONCATENATE("0",MONTH(A2602)),MONTH(A2602)))</f>
        <v>2025/03</v>
      </c>
      <c r="E2602" s="8" t="str">
        <f>IF(IF(D2602&lt;&gt;D2601,1,IF(OR(B2602&lt;&gt;B2601,A2602-A2601&gt;$U$1),1,""))&lt;&gt;1,"",IF(C2602="B01",1965,IF(C2602="B02",1020,IF(C2602="B05",2400,IF(C2602="B03",4260,IF(C2602="B04",2880,IF(C2602="B20",1260,0)))))))</f>
        <v/>
      </c>
      <c r="F2602" s="8" t="str">
        <f>IF(IF(D2602&lt;&gt;D2601,1,IF(OR(B2602&lt;&gt;B2601,A2602-A2601&gt;$U$1),1,""))&lt;&gt;1,"",IF(C2602="B01",1,IF(C2602="B05",1,IF(C2602="B03",1,IF(C2602="B04",1,IF(C2602="B20",1,IF(C2602="B02",1,0)))))))</f>
        <v/>
      </c>
      <c r="G2602"/>
      <c r="H2602" s="2"/>
      <c r="I2602" s="2"/>
      <c r="L2602"/>
      <c r="R2602"/>
    </row>
    <row r="2603" spans="1:18">
      <c r="A2603" s="3">
        <v>45724.456076388888</v>
      </c>
      <c r="B2603" s="2" t="s">
        <v>33</v>
      </c>
      <c r="C2603" s="2" t="s">
        <v>11</v>
      </c>
      <c r="D2603" s="6" t="str">
        <f>CONCATENATE(YEAR(A2603),"/",IF(MONTH(A2603)&lt;10,CONCATENATE("0",MONTH(A2603)),MONTH(A2603)))</f>
        <v>2025/03</v>
      </c>
      <c r="E2603" s="8" t="str">
        <f>IF(IF(D2603&lt;&gt;D2602,1,IF(OR(B2603&lt;&gt;B2602,A2603-A2602&gt;$U$1),1,""))&lt;&gt;1,"",IF(C2603="B01",1965,IF(C2603="B02",1020,IF(C2603="B05",2400,IF(C2603="B03",4260,IF(C2603="B04",2880,IF(C2603="B20",1260,0)))))))</f>
        <v/>
      </c>
      <c r="F2603" s="8" t="str">
        <f>IF(IF(D2603&lt;&gt;D2602,1,IF(OR(B2603&lt;&gt;B2602,A2603-A2602&gt;$U$1),1,""))&lt;&gt;1,"",IF(C2603="B01",1,IF(C2603="B05",1,IF(C2603="B03",1,IF(C2603="B04",1,IF(C2603="B20",1,IF(C2603="B02",1,0)))))))</f>
        <v/>
      </c>
      <c r="G2603"/>
      <c r="H2603" s="2"/>
      <c r="I2603" s="2"/>
      <c r="L2603"/>
      <c r="R2603"/>
    </row>
    <row r="2604" spans="1:18">
      <c r="A2604" s="3">
        <v>45732.577615740738</v>
      </c>
      <c r="B2604" s="2" t="s">
        <v>33</v>
      </c>
      <c r="C2604" s="2" t="s">
        <v>11</v>
      </c>
      <c r="D2604" s="6" t="str">
        <f>CONCATENATE(YEAR(A2604),"/",IF(MONTH(A2604)&lt;10,CONCATENATE("0",MONTH(A2604)),MONTH(A2604)))</f>
        <v>2025/03</v>
      </c>
      <c r="E2604" s="8">
        <f>IF(IF(D2604&lt;&gt;D2603,1,IF(OR(B2604&lt;&gt;B2603,A2604-A2603&gt;$U$1),1,""))&lt;&gt;1,"",IF(C2604="B01",1965,IF(C2604="B02",1020,IF(C2604="B05",2400,IF(C2604="B03",4260,IF(C2604="B04",2880,IF(C2604="B20",1260,0)))))))</f>
        <v>2400</v>
      </c>
      <c r="F2604" s="8">
        <f>IF(IF(D2604&lt;&gt;D2603,1,IF(OR(B2604&lt;&gt;B2603,A2604-A2603&gt;$U$1),1,""))&lt;&gt;1,"",IF(C2604="B01",1,IF(C2604="B05",1,IF(C2604="B03",1,IF(C2604="B04",1,IF(C2604="B20",1,IF(C2604="B02",1,0)))))))</f>
        <v>1</v>
      </c>
      <c r="G2604"/>
      <c r="H2604" s="2"/>
      <c r="I2604" s="2"/>
      <c r="L2604"/>
      <c r="R2604"/>
    </row>
    <row r="2605" spans="1:18">
      <c r="A2605" s="3">
        <v>45732.577615740738</v>
      </c>
      <c r="B2605" s="2" t="s">
        <v>33</v>
      </c>
      <c r="C2605" s="2" t="s">
        <v>11</v>
      </c>
      <c r="D2605" s="6" t="str">
        <f>CONCATENATE(YEAR(A2605),"/",IF(MONTH(A2605)&lt;10,CONCATENATE("0",MONTH(A2605)),MONTH(A2605)))</f>
        <v>2025/03</v>
      </c>
      <c r="E2605" s="8" t="str">
        <f>IF(IF(D2605&lt;&gt;D2604,1,IF(OR(B2605&lt;&gt;B2604,A2605-A2604&gt;$U$1),1,""))&lt;&gt;1,"",IF(C2605="B01",1965,IF(C2605="B02",1020,IF(C2605="B05",2400,IF(C2605="B03",4260,IF(C2605="B04",2880,IF(C2605="B20",1260,0)))))))</f>
        <v/>
      </c>
      <c r="F2605" s="8" t="str">
        <f>IF(IF(D2605&lt;&gt;D2604,1,IF(OR(B2605&lt;&gt;B2604,A2605-A2604&gt;$U$1),1,""))&lt;&gt;1,"",IF(C2605="B01",1,IF(C2605="B05",1,IF(C2605="B03",1,IF(C2605="B04",1,IF(C2605="B20",1,IF(C2605="B02",1,0)))))))</f>
        <v/>
      </c>
      <c r="G2605"/>
      <c r="H2605" s="2"/>
      <c r="I2605" s="2"/>
      <c r="L2605"/>
      <c r="R2605"/>
    </row>
    <row r="2606" spans="1:18">
      <c r="A2606" s="3">
        <v>45732.577615740738</v>
      </c>
      <c r="B2606" s="2" t="s">
        <v>33</v>
      </c>
      <c r="C2606" s="2" t="s">
        <v>11</v>
      </c>
      <c r="D2606" s="6" t="str">
        <f>CONCATENATE(YEAR(A2606),"/",IF(MONTH(A2606)&lt;10,CONCATENATE("0",MONTH(A2606)),MONTH(A2606)))</f>
        <v>2025/03</v>
      </c>
      <c r="E2606" s="8" t="str">
        <f>IF(IF(D2606&lt;&gt;D2605,1,IF(OR(B2606&lt;&gt;B2605,A2606-A2605&gt;$U$1),1,""))&lt;&gt;1,"",IF(C2606="B01",1965,IF(C2606="B02",1020,IF(C2606="B05",2400,IF(C2606="B03",4260,IF(C2606="B04",2880,IF(C2606="B20",1260,0)))))))</f>
        <v/>
      </c>
      <c r="F2606" s="8" t="str">
        <f>IF(IF(D2606&lt;&gt;D2605,1,IF(OR(B2606&lt;&gt;B2605,A2606-A2605&gt;$U$1),1,""))&lt;&gt;1,"",IF(C2606="B01",1,IF(C2606="B05",1,IF(C2606="B03",1,IF(C2606="B04",1,IF(C2606="B20",1,IF(C2606="B02",1,0)))))))</f>
        <v/>
      </c>
      <c r="G2606"/>
      <c r="H2606" s="2"/>
      <c r="I2606" s="2"/>
      <c r="L2606"/>
      <c r="R2606"/>
    </row>
    <row r="2607" spans="1:18">
      <c r="A2607" s="3">
        <v>45732.577615740738</v>
      </c>
      <c r="B2607" s="2" t="s">
        <v>33</v>
      </c>
      <c r="C2607" s="2" t="s">
        <v>11</v>
      </c>
      <c r="D2607" s="6" t="str">
        <f>CONCATENATE(YEAR(A2607),"/",IF(MONTH(A2607)&lt;10,CONCATENATE("0",MONTH(A2607)),MONTH(A2607)))</f>
        <v>2025/03</v>
      </c>
      <c r="E2607" s="8" t="str">
        <f>IF(IF(D2607&lt;&gt;D2606,1,IF(OR(B2607&lt;&gt;B2606,A2607-A2606&gt;$U$1),1,""))&lt;&gt;1,"",IF(C2607="B01",1965,IF(C2607="B02",1020,IF(C2607="B05",2400,IF(C2607="B03",4260,IF(C2607="B04",2880,IF(C2607="B20",1260,0)))))))</f>
        <v/>
      </c>
      <c r="F2607" s="8" t="str">
        <f>IF(IF(D2607&lt;&gt;D2606,1,IF(OR(B2607&lt;&gt;B2606,A2607-A2606&gt;$U$1),1,""))&lt;&gt;1,"",IF(C2607="B01",1,IF(C2607="B05",1,IF(C2607="B03",1,IF(C2607="B04",1,IF(C2607="B20",1,IF(C2607="B02",1,0)))))))</f>
        <v/>
      </c>
      <c r="G2607"/>
      <c r="H2607" s="2"/>
      <c r="I2607" s="2"/>
      <c r="L2607"/>
      <c r="R2607"/>
    </row>
    <row r="2608" spans="1:18">
      <c r="A2608" s="3">
        <v>45734.267465277779</v>
      </c>
      <c r="B2608" s="2" t="s">
        <v>33</v>
      </c>
      <c r="C2608" s="2" t="s">
        <v>11</v>
      </c>
      <c r="D2608" s="6" t="str">
        <f>CONCATENATE(YEAR(A2608),"/",IF(MONTH(A2608)&lt;10,CONCATENATE("0",MONTH(A2608)),MONTH(A2608)))</f>
        <v>2025/03</v>
      </c>
      <c r="E2608" s="8">
        <f>IF(IF(D2608&lt;&gt;D2607,1,IF(OR(B2608&lt;&gt;B2607,A2608-A2607&gt;$U$1),1,""))&lt;&gt;1,"",IF(C2608="B01",1965,IF(C2608="B02",1020,IF(C2608="B05",2400,IF(C2608="B03",4260,IF(C2608="B04",2880,IF(C2608="B20",1260,0)))))))</f>
        <v>2400</v>
      </c>
      <c r="F2608" s="8">
        <f>IF(IF(D2608&lt;&gt;D2607,1,IF(OR(B2608&lt;&gt;B2607,A2608-A2607&gt;$U$1),1,""))&lt;&gt;1,"",IF(C2608="B01",1,IF(C2608="B05",1,IF(C2608="B03",1,IF(C2608="B04",1,IF(C2608="B20",1,IF(C2608="B02",1,0)))))))</f>
        <v>1</v>
      </c>
      <c r="G2608"/>
      <c r="H2608" s="2"/>
      <c r="I2608" s="2"/>
      <c r="L2608"/>
      <c r="R2608"/>
    </row>
    <row r="2609" spans="1:18">
      <c r="A2609" s="3">
        <v>45734.267465277779</v>
      </c>
      <c r="B2609" s="2" t="s">
        <v>33</v>
      </c>
      <c r="C2609" s="2" t="s">
        <v>11</v>
      </c>
      <c r="D2609" s="6" t="str">
        <f>CONCATENATE(YEAR(A2609),"/",IF(MONTH(A2609)&lt;10,CONCATENATE("0",MONTH(A2609)),MONTH(A2609)))</f>
        <v>2025/03</v>
      </c>
      <c r="E2609" s="8" t="str">
        <f>IF(IF(D2609&lt;&gt;D2608,1,IF(OR(B2609&lt;&gt;B2608,A2609-A2608&gt;$U$1),1,""))&lt;&gt;1,"",IF(C2609="B01",1965,IF(C2609="B02",1020,IF(C2609="B05",2400,IF(C2609="B03",4260,IF(C2609="B04",2880,IF(C2609="B20",1260,0)))))))</f>
        <v/>
      </c>
      <c r="F2609" s="8" t="str">
        <f>IF(IF(D2609&lt;&gt;D2608,1,IF(OR(B2609&lt;&gt;B2608,A2609-A2608&gt;$U$1),1,""))&lt;&gt;1,"",IF(C2609="B01",1,IF(C2609="B05",1,IF(C2609="B03",1,IF(C2609="B04",1,IF(C2609="B20",1,IF(C2609="B02",1,0)))))))</f>
        <v/>
      </c>
      <c r="G2609"/>
      <c r="H2609" s="2"/>
      <c r="I2609" s="2"/>
      <c r="L2609"/>
      <c r="R2609"/>
    </row>
    <row r="2610" spans="1:18">
      <c r="A2610" s="3">
        <v>45734.267465277779</v>
      </c>
      <c r="B2610" s="2" t="s">
        <v>33</v>
      </c>
      <c r="C2610" s="2" t="s">
        <v>11</v>
      </c>
      <c r="D2610" s="6" t="str">
        <f>CONCATENATE(YEAR(A2610),"/",IF(MONTH(A2610)&lt;10,CONCATENATE("0",MONTH(A2610)),MONTH(A2610)))</f>
        <v>2025/03</v>
      </c>
      <c r="E2610" s="8" t="str">
        <f>IF(IF(D2610&lt;&gt;D2609,1,IF(OR(B2610&lt;&gt;B2609,A2610-A2609&gt;$U$1),1,""))&lt;&gt;1,"",IF(C2610="B01",1965,IF(C2610="B02",1020,IF(C2610="B05",2400,IF(C2610="B03",4260,IF(C2610="B04",2880,IF(C2610="B20",1260,0)))))))</f>
        <v/>
      </c>
      <c r="F2610" s="8" t="str">
        <f>IF(IF(D2610&lt;&gt;D2609,1,IF(OR(B2610&lt;&gt;B2609,A2610-A2609&gt;$U$1),1,""))&lt;&gt;1,"",IF(C2610="B01",1,IF(C2610="B05",1,IF(C2610="B03",1,IF(C2610="B04",1,IF(C2610="B20",1,IF(C2610="B02",1,0)))))))</f>
        <v/>
      </c>
      <c r="G2610"/>
      <c r="H2610" s="2"/>
      <c r="I2610" s="2"/>
      <c r="L2610"/>
      <c r="R2610"/>
    </row>
    <row r="2611" spans="1:18">
      <c r="A2611" s="3">
        <v>45734.267465277779</v>
      </c>
      <c r="B2611" s="2" t="s">
        <v>33</v>
      </c>
      <c r="C2611" s="2" t="s">
        <v>11</v>
      </c>
      <c r="D2611" s="6" t="str">
        <f>CONCATENATE(YEAR(A2611),"/",IF(MONTH(A2611)&lt;10,CONCATENATE("0",MONTH(A2611)),MONTH(A2611)))</f>
        <v>2025/03</v>
      </c>
      <c r="E2611" s="8" t="str">
        <f>IF(IF(D2611&lt;&gt;D2610,1,IF(OR(B2611&lt;&gt;B2610,A2611-A2610&gt;$U$1),1,""))&lt;&gt;1,"",IF(C2611="B01",1965,IF(C2611="B02",1020,IF(C2611="B05",2400,IF(C2611="B03",4260,IF(C2611="B04",2880,IF(C2611="B20",1260,0)))))))</f>
        <v/>
      </c>
      <c r="F2611" s="8" t="str">
        <f>IF(IF(D2611&lt;&gt;D2610,1,IF(OR(B2611&lt;&gt;B2610,A2611-A2610&gt;$U$1),1,""))&lt;&gt;1,"",IF(C2611="B01",1,IF(C2611="B05",1,IF(C2611="B03",1,IF(C2611="B04",1,IF(C2611="B20",1,IF(C2611="B02",1,0)))))))</f>
        <v/>
      </c>
      <c r="G2611"/>
      <c r="H2611" s="2"/>
      <c r="I2611" s="2"/>
      <c r="L2611"/>
      <c r="R2611"/>
    </row>
    <row r="2612" spans="1:18">
      <c r="A2612" s="3">
        <v>45734.267465277779</v>
      </c>
      <c r="B2612" s="2" t="s">
        <v>33</v>
      </c>
      <c r="C2612" s="2" t="s">
        <v>11</v>
      </c>
      <c r="D2612" s="6" t="str">
        <f>CONCATENATE(YEAR(A2612),"/",IF(MONTH(A2612)&lt;10,CONCATENATE("0",MONTH(A2612)),MONTH(A2612)))</f>
        <v>2025/03</v>
      </c>
      <c r="E2612" s="8" t="str">
        <f>IF(IF(D2612&lt;&gt;D2611,1,IF(OR(B2612&lt;&gt;B2611,A2612-A2611&gt;$U$1),1,""))&lt;&gt;1,"",IF(C2612="B01",1965,IF(C2612="B02",1020,IF(C2612="B05",2400,IF(C2612="B03",4260,IF(C2612="B04",2880,IF(C2612="B20",1260,0)))))))</f>
        <v/>
      </c>
      <c r="F2612" s="8" t="str">
        <f>IF(IF(D2612&lt;&gt;D2611,1,IF(OR(B2612&lt;&gt;B2611,A2612-A2611&gt;$U$1),1,""))&lt;&gt;1,"",IF(C2612="B01",1,IF(C2612="B05",1,IF(C2612="B03",1,IF(C2612="B04",1,IF(C2612="B20",1,IF(C2612="B02",1,0)))))))</f>
        <v/>
      </c>
      <c r="G2612"/>
      <c r="H2612" s="2"/>
      <c r="I2612" s="2"/>
      <c r="L2612"/>
      <c r="R2612"/>
    </row>
    <row r="2613" spans="1:18">
      <c r="A2613" s="3">
        <v>45735.002546296295</v>
      </c>
      <c r="B2613" s="2" t="s">
        <v>33</v>
      </c>
      <c r="C2613" s="2" t="s">
        <v>11</v>
      </c>
      <c r="D2613" s="6" t="str">
        <f>CONCATENATE(YEAR(A2613),"/",IF(MONTH(A2613)&lt;10,CONCATENATE("0",MONTH(A2613)),MONTH(A2613)))</f>
        <v>2025/03</v>
      </c>
      <c r="E2613" s="8">
        <f>IF(IF(D2613&lt;&gt;D2612,1,IF(OR(B2613&lt;&gt;B2612,A2613-A2612&gt;$U$1),1,""))&lt;&gt;1,"",IF(C2613="B01",1965,IF(C2613="B02",1020,IF(C2613="B05",2400,IF(C2613="B03",4260,IF(C2613="B04",2880,IF(C2613="B20",1260,0)))))))</f>
        <v>2400</v>
      </c>
      <c r="F2613" s="8">
        <f>IF(IF(D2613&lt;&gt;D2612,1,IF(OR(B2613&lt;&gt;B2612,A2613-A2612&gt;$U$1),1,""))&lt;&gt;1,"",IF(C2613="B01",1,IF(C2613="B05",1,IF(C2613="B03",1,IF(C2613="B04",1,IF(C2613="B20",1,IF(C2613="B02",1,0)))))))</f>
        <v>1</v>
      </c>
      <c r="G2613"/>
      <c r="H2613" s="2"/>
      <c r="I2613" s="2"/>
      <c r="L2613"/>
      <c r="R2613"/>
    </row>
    <row r="2614" spans="1:18">
      <c r="A2614" s="3">
        <v>45735.002546296295</v>
      </c>
      <c r="B2614" s="2" t="s">
        <v>33</v>
      </c>
      <c r="C2614" s="2" t="s">
        <v>11</v>
      </c>
      <c r="D2614" s="6" t="str">
        <f>CONCATENATE(YEAR(A2614),"/",IF(MONTH(A2614)&lt;10,CONCATENATE("0",MONTH(A2614)),MONTH(A2614)))</f>
        <v>2025/03</v>
      </c>
      <c r="E2614" s="8" t="str">
        <f>IF(IF(D2614&lt;&gt;D2613,1,IF(OR(B2614&lt;&gt;B2613,A2614-A2613&gt;$U$1),1,""))&lt;&gt;1,"",IF(C2614="B01",1965,IF(C2614="B02",1020,IF(C2614="B05",2400,IF(C2614="B03",4260,IF(C2614="B04",2880,IF(C2614="B20",1260,0)))))))</f>
        <v/>
      </c>
      <c r="F2614" s="8" t="str">
        <f>IF(IF(D2614&lt;&gt;D2613,1,IF(OR(B2614&lt;&gt;B2613,A2614-A2613&gt;$U$1),1,""))&lt;&gt;1,"",IF(C2614="B01",1,IF(C2614="B05",1,IF(C2614="B03",1,IF(C2614="B04",1,IF(C2614="B20",1,IF(C2614="B02",1,0)))))))</f>
        <v/>
      </c>
      <c r="G2614"/>
      <c r="H2614" s="2"/>
      <c r="I2614" s="2"/>
      <c r="L2614"/>
      <c r="R2614"/>
    </row>
    <row r="2615" spans="1:18">
      <c r="A2615" s="3">
        <v>45735.332037037035</v>
      </c>
      <c r="B2615" s="2" t="s">
        <v>33</v>
      </c>
      <c r="C2615" s="2" t="s">
        <v>11</v>
      </c>
      <c r="D2615" s="6" t="str">
        <f>CONCATENATE(YEAR(A2615),"/",IF(MONTH(A2615)&lt;10,CONCATENATE("0",MONTH(A2615)),MONTH(A2615)))</f>
        <v>2025/03</v>
      </c>
      <c r="E2615" s="8">
        <f>IF(IF(D2615&lt;&gt;D2614,1,IF(OR(B2615&lt;&gt;B2614,A2615-A2614&gt;$U$1),1,""))&lt;&gt;1,"",IF(C2615="B01",1965,IF(C2615="B02",1020,IF(C2615="B05",2400,IF(C2615="B03",4260,IF(C2615="B04",2880,IF(C2615="B20",1260,0)))))))</f>
        <v>2400</v>
      </c>
      <c r="F2615" s="8">
        <f>IF(IF(D2615&lt;&gt;D2614,1,IF(OR(B2615&lt;&gt;B2614,A2615-A2614&gt;$U$1),1,""))&lt;&gt;1,"",IF(C2615="B01",1,IF(C2615="B05",1,IF(C2615="B03",1,IF(C2615="B04",1,IF(C2615="B20",1,IF(C2615="B02",1,0)))))))</f>
        <v>1</v>
      </c>
      <c r="G2615"/>
      <c r="H2615" s="2"/>
      <c r="I2615" s="2"/>
      <c r="L2615"/>
      <c r="R2615"/>
    </row>
    <row r="2616" spans="1:18">
      <c r="A2616" s="3">
        <v>45735.332037037035</v>
      </c>
      <c r="B2616" s="2" t="s">
        <v>33</v>
      </c>
      <c r="C2616" s="2" t="s">
        <v>11</v>
      </c>
      <c r="D2616" s="6" t="str">
        <f>CONCATENATE(YEAR(A2616),"/",IF(MONTH(A2616)&lt;10,CONCATENATE("0",MONTH(A2616)),MONTH(A2616)))</f>
        <v>2025/03</v>
      </c>
      <c r="E2616" s="8" t="str">
        <f>IF(IF(D2616&lt;&gt;D2615,1,IF(OR(B2616&lt;&gt;B2615,A2616-A2615&gt;$U$1),1,""))&lt;&gt;1,"",IF(C2616="B01",1965,IF(C2616="B02",1020,IF(C2616="B05",2400,IF(C2616="B03",4260,IF(C2616="B04",2880,IF(C2616="B20",1260,0)))))))</f>
        <v/>
      </c>
      <c r="F2616" s="8" t="str">
        <f>IF(IF(D2616&lt;&gt;D2615,1,IF(OR(B2616&lt;&gt;B2615,A2616-A2615&gt;$U$1),1,""))&lt;&gt;1,"",IF(C2616="B01",1,IF(C2616="B05",1,IF(C2616="B03",1,IF(C2616="B04",1,IF(C2616="B20",1,IF(C2616="B02",1,0)))))))</f>
        <v/>
      </c>
      <c r="G2616"/>
      <c r="H2616" s="2"/>
      <c r="I2616" s="2"/>
      <c r="L2616"/>
      <c r="R2616"/>
    </row>
    <row r="2617" spans="1:18">
      <c r="A2617" s="3">
        <v>45735.332037037035</v>
      </c>
      <c r="B2617" s="2" t="s">
        <v>33</v>
      </c>
      <c r="C2617" s="2" t="s">
        <v>11</v>
      </c>
      <c r="D2617" s="6" t="str">
        <f>CONCATENATE(YEAR(A2617),"/",IF(MONTH(A2617)&lt;10,CONCATENATE("0",MONTH(A2617)),MONTH(A2617)))</f>
        <v>2025/03</v>
      </c>
      <c r="E2617" s="8" t="str">
        <f>IF(IF(D2617&lt;&gt;D2616,1,IF(OR(B2617&lt;&gt;B2616,A2617-A2616&gt;$U$1),1,""))&lt;&gt;1,"",IF(C2617="B01",1965,IF(C2617="B02",1020,IF(C2617="B05",2400,IF(C2617="B03",4260,IF(C2617="B04",2880,IF(C2617="B20",1260,0)))))))</f>
        <v/>
      </c>
      <c r="F2617" s="8" t="str">
        <f>IF(IF(D2617&lt;&gt;D2616,1,IF(OR(B2617&lt;&gt;B2616,A2617-A2616&gt;$U$1),1,""))&lt;&gt;1,"",IF(C2617="B01",1,IF(C2617="B05",1,IF(C2617="B03",1,IF(C2617="B04",1,IF(C2617="B20",1,IF(C2617="B02",1,0)))))))</f>
        <v/>
      </c>
      <c r="G2617"/>
      <c r="H2617" s="2"/>
      <c r="I2617" s="2"/>
      <c r="L2617"/>
      <c r="R2617"/>
    </row>
    <row r="2618" spans="1:18">
      <c r="A2618" s="3">
        <v>45736.860648148147</v>
      </c>
      <c r="B2618" s="2" t="s">
        <v>33</v>
      </c>
      <c r="C2618" s="2" t="s">
        <v>11</v>
      </c>
      <c r="D2618" s="6" t="str">
        <f>CONCATENATE(YEAR(A2618),"/",IF(MONTH(A2618)&lt;10,CONCATENATE("0",MONTH(A2618)),MONTH(A2618)))</f>
        <v>2025/03</v>
      </c>
      <c r="E2618" s="8">
        <f>IF(IF(D2618&lt;&gt;D2617,1,IF(OR(B2618&lt;&gt;B2617,A2618-A2617&gt;$U$1),1,""))&lt;&gt;1,"",IF(C2618="B01",1965,IF(C2618="B02",1020,IF(C2618="B05",2400,IF(C2618="B03",4260,IF(C2618="B04",2880,IF(C2618="B20",1260,0)))))))</f>
        <v>2400</v>
      </c>
      <c r="F2618" s="8">
        <f>IF(IF(D2618&lt;&gt;D2617,1,IF(OR(B2618&lt;&gt;B2617,A2618-A2617&gt;$U$1),1,""))&lt;&gt;1,"",IF(C2618="B01",1,IF(C2618="B05",1,IF(C2618="B03",1,IF(C2618="B04",1,IF(C2618="B20",1,IF(C2618="B02",1,0)))))))</f>
        <v>1</v>
      </c>
      <c r="G2618"/>
      <c r="H2618" s="2"/>
      <c r="I2618" s="2"/>
      <c r="L2618"/>
      <c r="R2618"/>
    </row>
    <row r="2619" spans="1:18">
      <c r="A2619" s="3">
        <v>45736.860648148147</v>
      </c>
      <c r="B2619" s="2" t="s">
        <v>33</v>
      </c>
      <c r="C2619" s="2" t="s">
        <v>11</v>
      </c>
      <c r="D2619" s="6" t="str">
        <f>CONCATENATE(YEAR(A2619),"/",IF(MONTH(A2619)&lt;10,CONCATENATE("0",MONTH(A2619)),MONTH(A2619)))</f>
        <v>2025/03</v>
      </c>
      <c r="E2619" s="8" t="str">
        <f>IF(IF(D2619&lt;&gt;D2618,1,IF(OR(B2619&lt;&gt;B2618,A2619-A2618&gt;$U$1),1,""))&lt;&gt;1,"",IF(C2619="B01",1965,IF(C2619="B02",1020,IF(C2619="B05",2400,IF(C2619="B03",4260,IF(C2619="B04",2880,IF(C2619="B20",1260,0)))))))</f>
        <v/>
      </c>
      <c r="F2619" s="8" t="str">
        <f>IF(IF(D2619&lt;&gt;D2618,1,IF(OR(B2619&lt;&gt;B2618,A2619-A2618&gt;$U$1),1,""))&lt;&gt;1,"",IF(C2619="B01",1,IF(C2619="B05",1,IF(C2619="B03",1,IF(C2619="B04",1,IF(C2619="B20",1,IF(C2619="B02",1,0)))))))</f>
        <v/>
      </c>
      <c r="G2619"/>
      <c r="H2619" s="2"/>
      <c r="I2619" s="2"/>
      <c r="L2619"/>
      <c r="R2619"/>
    </row>
    <row r="2620" spans="1:18">
      <c r="A2620" s="3">
        <v>45736.860648148147</v>
      </c>
      <c r="B2620" s="2" t="s">
        <v>33</v>
      </c>
      <c r="C2620" s="2" t="s">
        <v>11</v>
      </c>
      <c r="D2620" s="6" t="str">
        <f>CONCATENATE(YEAR(A2620),"/",IF(MONTH(A2620)&lt;10,CONCATENATE("0",MONTH(A2620)),MONTH(A2620)))</f>
        <v>2025/03</v>
      </c>
      <c r="E2620" s="8" t="str">
        <f>IF(IF(D2620&lt;&gt;D2619,1,IF(OR(B2620&lt;&gt;B2619,A2620-A2619&gt;$U$1),1,""))&lt;&gt;1,"",IF(C2620="B01",1965,IF(C2620="B02",1020,IF(C2620="B05",2400,IF(C2620="B03",4260,IF(C2620="B04",2880,IF(C2620="B20",1260,0)))))))</f>
        <v/>
      </c>
      <c r="F2620" s="8" t="str">
        <f>IF(IF(D2620&lt;&gt;D2619,1,IF(OR(B2620&lt;&gt;B2619,A2620-A2619&gt;$U$1),1,""))&lt;&gt;1,"",IF(C2620="B01",1,IF(C2620="B05",1,IF(C2620="B03",1,IF(C2620="B04",1,IF(C2620="B20",1,IF(C2620="B02",1,0)))))))</f>
        <v/>
      </c>
      <c r="G2620"/>
      <c r="H2620" s="2"/>
      <c r="I2620" s="2"/>
      <c r="L2620"/>
      <c r="R2620"/>
    </row>
    <row r="2621" spans="1:18">
      <c r="A2621" s="3">
        <v>45737.081493055557</v>
      </c>
      <c r="B2621" s="2" t="s">
        <v>33</v>
      </c>
      <c r="C2621" s="2" t="s">
        <v>11</v>
      </c>
      <c r="D2621" s="6" t="str">
        <f>CONCATENATE(YEAR(A2621),"/",IF(MONTH(A2621)&lt;10,CONCATENATE("0",MONTH(A2621)),MONTH(A2621)))</f>
        <v>2025/03</v>
      </c>
      <c r="E2621" s="8">
        <f>IF(IF(D2621&lt;&gt;D2620,1,IF(OR(B2621&lt;&gt;B2620,A2621-A2620&gt;$U$1),1,""))&lt;&gt;1,"",IF(C2621="B01",1965,IF(C2621="B02",1020,IF(C2621="B05",2400,IF(C2621="B03",4260,IF(C2621="B04",2880,IF(C2621="B20",1260,0)))))))</f>
        <v>2400</v>
      </c>
      <c r="F2621" s="8">
        <f>IF(IF(D2621&lt;&gt;D2620,1,IF(OR(B2621&lt;&gt;B2620,A2621-A2620&gt;$U$1),1,""))&lt;&gt;1,"",IF(C2621="B01",1,IF(C2621="B05",1,IF(C2621="B03",1,IF(C2621="B04",1,IF(C2621="B20",1,IF(C2621="B02",1,0)))))))</f>
        <v>1</v>
      </c>
      <c r="G2621"/>
      <c r="H2621" s="2"/>
      <c r="I2621" s="2"/>
      <c r="L2621"/>
      <c r="R2621"/>
    </row>
    <row r="2622" spans="1:18">
      <c r="A2622" s="3">
        <v>45737.081493055557</v>
      </c>
      <c r="B2622" s="2" t="s">
        <v>33</v>
      </c>
      <c r="C2622" s="2" t="s">
        <v>11</v>
      </c>
      <c r="D2622" s="6" t="str">
        <f>CONCATENATE(YEAR(A2622),"/",IF(MONTH(A2622)&lt;10,CONCATENATE("0",MONTH(A2622)),MONTH(A2622)))</f>
        <v>2025/03</v>
      </c>
      <c r="E2622" s="8" t="str">
        <f>IF(IF(D2622&lt;&gt;D2621,1,IF(OR(B2622&lt;&gt;B2621,A2622-A2621&gt;$U$1),1,""))&lt;&gt;1,"",IF(C2622="B01",1965,IF(C2622="B02",1020,IF(C2622="B05",2400,IF(C2622="B03",4260,IF(C2622="B04",2880,IF(C2622="B20",1260,0)))))))</f>
        <v/>
      </c>
      <c r="F2622" s="8" t="str">
        <f>IF(IF(D2622&lt;&gt;D2621,1,IF(OR(B2622&lt;&gt;B2621,A2622-A2621&gt;$U$1),1,""))&lt;&gt;1,"",IF(C2622="B01",1,IF(C2622="B05",1,IF(C2622="B03",1,IF(C2622="B04",1,IF(C2622="B20",1,IF(C2622="B02",1,0)))))))</f>
        <v/>
      </c>
      <c r="G2622"/>
      <c r="H2622" s="2"/>
      <c r="I2622" s="2"/>
      <c r="L2622"/>
      <c r="R2622"/>
    </row>
    <row r="2623" spans="1:18">
      <c r="A2623" s="3">
        <v>45740.556481481479</v>
      </c>
      <c r="B2623" s="2" t="s">
        <v>33</v>
      </c>
      <c r="C2623" s="2" t="s">
        <v>11</v>
      </c>
      <c r="D2623" s="6" t="str">
        <f>CONCATENATE(YEAR(A2623),"/",IF(MONTH(A2623)&lt;10,CONCATENATE("0",MONTH(A2623)),MONTH(A2623)))</f>
        <v>2025/03</v>
      </c>
      <c r="E2623" s="8">
        <f>IF(IF(D2623&lt;&gt;D2622,1,IF(OR(B2623&lt;&gt;B2622,A2623-A2622&gt;$U$1),1,""))&lt;&gt;1,"",IF(C2623="B01",1965,IF(C2623="B02",1020,IF(C2623="B05",2400,IF(C2623="B03",4260,IF(C2623="B04",2880,IF(C2623="B20",1260,0)))))))</f>
        <v>2400</v>
      </c>
      <c r="F2623" s="8">
        <f>IF(IF(D2623&lt;&gt;D2622,1,IF(OR(B2623&lt;&gt;B2622,A2623-A2622&gt;$U$1),1,""))&lt;&gt;1,"",IF(C2623="B01",1,IF(C2623="B05",1,IF(C2623="B03",1,IF(C2623="B04",1,IF(C2623="B20",1,IF(C2623="B02",1,0)))))))</f>
        <v>1</v>
      </c>
      <c r="G2623"/>
      <c r="H2623" s="2"/>
      <c r="I2623" s="2"/>
      <c r="L2623"/>
      <c r="R2623"/>
    </row>
    <row r="2624" spans="1:18">
      <c r="A2624" s="3">
        <v>45740.556481481479</v>
      </c>
      <c r="B2624" s="2" t="s">
        <v>33</v>
      </c>
      <c r="C2624" s="2" t="s">
        <v>11</v>
      </c>
      <c r="D2624" s="6" t="str">
        <f>CONCATENATE(YEAR(A2624),"/",IF(MONTH(A2624)&lt;10,CONCATENATE("0",MONTH(A2624)),MONTH(A2624)))</f>
        <v>2025/03</v>
      </c>
      <c r="E2624" s="8" t="str">
        <f>IF(IF(D2624&lt;&gt;D2623,1,IF(OR(B2624&lt;&gt;B2623,A2624-A2623&gt;$U$1),1,""))&lt;&gt;1,"",IF(C2624="B01",1965,IF(C2624="B02",1020,IF(C2624="B05",2400,IF(C2624="B03",4260,IF(C2624="B04",2880,IF(C2624="B20",1260,0)))))))</f>
        <v/>
      </c>
      <c r="F2624" s="8" t="str">
        <f>IF(IF(D2624&lt;&gt;D2623,1,IF(OR(B2624&lt;&gt;B2623,A2624-A2623&gt;$U$1),1,""))&lt;&gt;1,"",IF(C2624="B01",1,IF(C2624="B05",1,IF(C2624="B03",1,IF(C2624="B04",1,IF(C2624="B20",1,IF(C2624="B02",1,0)))))))</f>
        <v/>
      </c>
      <c r="G2624"/>
      <c r="H2624" s="2"/>
      <c r="I2624" s="2"/>
      <c r="L2624"/>
      <c r="R2624"/>
    </row>
    <row r="2625" spans="1:18">
      <c r="A2625" s="3">
        <v>45740.556481481479</v>
      </c>
      <c r="B2625" s="2" t="s">
        <v>33</v>
      </c>
      <c r="C2625" s="2" t="s">
        <v>11</v>
      </c>
      <c r="D2625" s="6" t="str">
        <f>CONCATENATE(YEAR(A2625),"/",IF(MONTH(A2625)&lt;10,CONCATENATE("0",MONTH(A2625)),MONTH(A2625)))</f>
        <v>2025/03</v>
      </c>
      <c r="E2625" s="8" t="str">
        <f>IF(IF(D2625&lt;&gt;D2624,1,IF(OR(B2625&lt;&gt;B2624,A2625-A2624&gt;$U$1),1,""))&lt;&gt;1,"",IF(C2625="B01",1965,IF(C2625="B02",1020,IF(C2625="B05",2400,IF(C2625="B03",4260,IF(C2625="B04",2880,IF(C2625="B20",1260,0)))))))</f>
        <v/>
      </c>
      <c r="F2625" s="8" t="str">
        <f>IF(IF(D2625&lt;&gt;D2624,1,IF(OR(B2625&lt;&gt;B2624,A2625-A2624&gt;$U$1),1,""))&lt;&gt;1,"",IF(C2625="B01",1,IF(C2625="B05",1,IF(C2625="B03",1,IF(C2625="B04",1,IF(C2625="B20",1,IF(C2625="B02",1,0)))))))</f>
        <v/>
      </c>
      <c r="G2625"/>
      <c r="H2625" s="2"/>
      <c r="I2625" s="2"/>
      <c r="L2625"/>
      <c r="R2625"/>
    </row>
    <row r="2626" spans="1:18">
      <c r="A2626" s="3">
        <v>45741.024212962962</v>
      </c>
      <c r="B2626" s="2" t="s">
        <v>33</v>
      </c>
      <c r="C2626" s="2" t="s">
        <v>11</v>
      </c>
      <c r="D2626" s="6" t="str">
        <f>CONCATENATE(YEAR(A2626),"/",IF(MONTH(A2626)&lt;10,CONCATENATE("0",MONTH(A2626)),MONTH(A2626)))</f>
        <v>2025/03</v>
      </c>
      <c r="E2626" s="8">
        <f>IF(IF(D2626&lt;&gt;D2625,1,IF(OR(B2626&lt;&gt;B2625,A2626-A2625&gt;$U$1),1,""))&lt;&gt;1,"",IF(C2626="B01",1965,IF(C2626="B02",1020,IF(C2626="B05",2400,IF(C2626="B03",4260,IF(C2626="B04",2880,IF(C2626="B20",1260,0)))))))</f>
        <v>2400</v>
      </c>
      <c r="F2626" s="8">
        <f>IF(IF(D2626&lt;&gt;D2625,1,IF(OR(B2626&lt;&gt;B2625,A2626-A2625&gt;$U$1),1,""))&lt;&gt;1,"",IF(C2626="B01",1,IF(C2626="B05",1,IF(C2626="B03",1,IF(C2626="B04",1,IF(C2626="B20",1,IF(C2626="B02",1,0)))))))</f>
        <v>1</v>
      </c>
      <c r="G2626"/>
      <c r="H2626" s="2"/>
      <c r="I2626" s="2"/>
      <c r="L2626"/>
      <c r="R2626"/>
    </row>
    <row r="2627" spans="1:18">
      <c r="A2627" s="3">
        <v>45741.024212962962</v>
      </c>
      <c r="B2627" s="2" t="s">
        <v>33</v>
      </c>
      <c r="C2627" s="2" t="s">
        <v>11</v>
      </c>
      <c r="D2627" s="6" t="str">
        <f>CONCATENATE(YEAR(A2627),"/",IF(MONTH(A2627)&lt;10,CONCATENATE("0",MONTH(A2627)),MONTH(A2627)))</f>
        <v>2025/03</v>
      </c>
      <c r="E2627" s="8" t="str">
        <f>IF(IF(D2627&lt;&gt;D2626,1,IF(OR(B2627&lt;&gt;B2626,A2627-A2626&gt;$U$1),1,""))&lt;&gt;1,"",IF(C2627="B01",1965,IF(C2627="B02",1020,IF(C2627="B05",2400,IF(C2627="B03",4260,IF(C2627="B04",2880,IF(C2627="B20",1260,0)))))))</f>
        <v/>
      </c>
      <c r="F2627" s="8" t="str">
        <f>IF(IF(D2627&lt;&gt;D2626,1,IF(OR(B2627&lt;&gt;B2626,A2627-A2626&gt;$U$1),1,""))&lt;&gt;1,"",IF(C2627="B01",1,IF(C2627="B05",1,IF(C2627="B03",1,IF(C2627="B04",1,IF(C2627="B20",1,IF(C2627="B02",1,0)))))))</f>
        <v/>
      </c>
      <c r="G2627"/>
      <c r="H2627" s="2"/>
      <c r="I2627" s="2"/>
      <c r="L2627"/>
      <c r="R2627"/>
    </row>
    <row r="2628" spans="1:18">
      <c r="A2628" s="3">
        <v>45741.024212962962</v>
      </c>
      <c r="B2628" s="2" t="s">
        <v>33</v>
      </c>
      <c r="C2628" s="2" t="s">
        <v>11</v>
      </c>
      <c r="D2628" s="6" t="str">
        <f>CONCATENATE(YEAR(A2628),"/",IF(MONTH(A2628)&lt;10,CONCATENATE("0",MONTH(A2628)),MONTH(A2628)))</f>
        <v>2025/03</v>
      </c>
      <c r="E2628" s="8" t="str">
        <f>IF(IF(D2628&lt;&gt;D2627,1,IF(OR(B2628&lt;&gt;B2627,A2628-A2627&gt;$U$1),1,""))&lt;&gt;1,"",IF(C2628="B01",1965,IF(C2628="B02",1020,IF(C2628="B05",2400,IF(C2628="B03",4260,IF(C2628="B04",2880,IF(C2628="B20",1260,0)))))))</f>
        <v/>
      </c>
      <c r="F2628" s="8" t="str">
        <f>IF(IF(D2628&lt;&gt;D2627,1,IF(OR(B2628&lt;&gt;B2627,A2628-A2627&gt;$U$1),1,""))&lt;&gt;1,"",IF(C2628="B01",1,IF(C2628="B05",1,IF(C2628="B03",1,IF(C2628="B04",1,IF(C2628="B20",1,IF(C2628="B02",1,0)))))))</f>
        <v/>
      </c>
      <c r="G2628"/>
      <c r="H2628" s="2"/>
      <c r="I2628" s="2"/>
      <c r="L2628"/>
      <c r="R2628"/>
    </row>
    <row r="2629" spans="1:18">
      <c r="A2629" s="3">
        <v>45741.152916666666</v>
      </c>
      <c r="B2629" s="2" t="s">
        <v>33</v>
      </c>
      <c r="C2629" s="2" t="s">
        <v>11</v>
      </c>
      <c r="D2629" s="6" t="str">
        <f>CONCATENATE(YEAR(A2629),"/",IF(MONTH(A2629)&lt;10,CONCATENATE("0",MONTH(A2629)),MONTH(A2629)))</f>
        <v>2025/03</v>
      </c>
      <c r="E2629" s="8">
        <f>IF(IF(D2629&lt;&gt;D2628,1,IF(OR(B2629&lt;&gt;B2628,A2629-A2628&gt;$U$1),1,""))&lt;&gt;1,"",IF(C2629="B01",1965,IF(C2629="B02",1020,IF(C2629="B05",2400,IF(C2629="B03",4260,IF(C2629="B04",2880,IF(C2629="B20",1260,0)))))))</f>
        <v>2400</v>
      </c>
      <c r="F2629" s="8">
        <f>IF(IF(D2629&lt;&gt;D2628,1,IF(OR(B2629&lt;&gt;B2628,A2629-A2628&gt;$U$1),1,""))&lt;&gt;1,"",IF(C2629="B01",1,IF(C2629="B05",1,IF(C2629="B03",1,IF(C2629="B04",1,IF(C2629="B20",1,IF(C2629="B02",1,0)))))))</f>
        <v>1</v>
      </c>
      <c r="G2629"/>
      <c r="H2629" s="2"/>
      <c r="I2629" s="2"/>
      <c r="L2629"/>
      <c r="R2629"/>
    </row>
    <row r="2630" spans="1:18">
      <c r="A2630" s="3">
        <v>45741.152916666666</v>
      </c>
      <c r="B2630" s="2" t="s">
        <v>33</v>
      </c>
      <c r="C2630" s="2" t="s">
        <v>11</v>
      </c>
      <c r="D2630" s="6" t="str">
        <f>CONCATENATE(YEAR(A2630),"/",IF(MONTH(A2630)&lt;10,CONCATENATE("0",MONTH(A2630)),MONTH(A2630)))</f>
        <v>2025/03</v>
      </c>
      <c r="E2630" s="8" t="str">
        <f>IF(IF(D2630&lt;&gt;D2629,1,IF(OR(B2630&lt;&gt;B2629,A2630-A2629&gt;$U$1),1,""))&lt;&gt;1,"",IF(C2630="B01",1965,IF(C2630="B02",1020,IF(C2630="B05",2400,IF(C2630="B03",4260,IF(C2630="B04",2880,IF(C2630="B20",1260,0)))))))</f>
        <v/>
      </c>
      <c r="F2630" s="8" t="str">
        <f>IF(IF(D2630&lt;&gt;D2629,1,IF(OR(B2630&lt;&gt;B2629,A2630-A2629&gt;$U$1),1,""))&lt;&gt;1,"",IF(C2630="B01",1,IF(C2630="B05",1,IF(C2630="B03",1,IF(C2630="B04",1,IF(C2630="B20",1,IF(C2630="B02",1,0)))))))</f>
        <v/>
      </c>
      <c r="G2630"/>
      <c r="H2630" s="2"/>
      <c r="I2630" s="2"/>
      <c r="L2630"/>
      <c r="R2630"/>
    </row>
    <row r="2631" spans="1:18">
      <c r="A2631" s="3">
        <v>45741.152916666666</v>
      </c>
      <c r="B2631" s="2" t="s">
        <v>33</v>
      </c>
      <c r="C2631" s="2" t="s">
        <v>11</v>
      </c>
      <c r="D2631" s="6" t="str">
        <f>CONCATENATE(YEAR(A2631),"/",IF(MONTH(A2631)&lt;10,CONCATENATE("0",MONTH(A2631)),MONTH(A2631)))</f>
        <v>2025/03</v>
      </c>
      <c r="E2631" s="8" t="str">
        <f>IF(IF(D2631&lt;&gt;D2630,1,IF(OR(B2631&lt;&gt;B2630,A2631-A2630&gt;$U$1),1,""))&lt;&gt;1,"",IF(C2631="B01",1965,IF(C2631="B02",1020,IF(C2631="B05",2400,IF(C2631="B03",4260,IF(C2631="B04",2880,IF(C2631="B20",1260,0)))))))</f>
        <v/>
      </c>
      <c r="F2631" s="8" t="str">
        <f>IF(IF(D2631&lt;&gt;D2630,1,IF(OR(B2631&lt;&gt;B2630,A2631-A2630&gt;$U$1),1,""))&lt;&gt;1,"",IF(C2631="B01",1,IF(C2631="B05",1,IF(C2631="B03",1,IF(C2631="B04",1,IF(C2631="B20",1,IF(C2631="B02",1,0)))))))</f>
        <v/>
      </c>
      <c r="G2631"/>
      <c r="H2631" s="2"/>
      <c r="I2631" s="2"/>
      <c r="L2631"/>
      <c r="R2631"/>
    </row>
    <row r="2632" spans="1:18">
      <c r="A2632" s="3">
        <v>45745.099664351852</v>
      </c>
      <c r="B2632" s="2" t="s">
        <v>33</v>
      </c>
      <c r="C2632" s="2" t="s">
        <v>11</v>
      </c>
      <c r="D2632" s="6" t="str">
        <f>CONCATENATE(YEAR(A2632),"/",IF(MONTH(A2632)&lt;10,CONCATENATE("0",MONTH(A2632)),MONTH(A2632)))</f>
        <v>2025/03</v>
      </c>
      <c r="E2632" s="8">
        <f>IF(IF(D2632&lt;&gt;D2631,1,IF(OR(B2632&lt;&gt;B2631,A2632-A2631&gt;$U$1),1,""))&lt;&gt;1,"",IF(C2632="B01",1965,IF(C2632="B02",1020,IF(C2632="B05",2400,IF(C2632="B03",4260,IF(C2632="B04",2880,IF(C2632="B20",1260,0)))))))</f>
        <v>2400</v>
      </c>
      <c r="F2632" s="8">
        <f>IF(IF(D2632&lt;&gt;D2631,1,IF(OR(B2632&lt;&gt;B2631,A2632-A2631&gt;$U$1),1,""))&lt;&gt;1,"",IF(C2632="B01",1,IF(C2632="B05",1,IF(C2632="B03",1,IF(C2632="B04",1,IF(C2632="B20",1,IF(C2632="B02",1,0)))))))</f>
        <v>1</v>
      </c>
      <c r="G2632"/>
      <c r="H2632" s="2"/>
      <c r="I2632" s="2"/>
      <c r="L2632"/>
      <c r="R2632"/>
    </row>
    <row r="2633" spans="1:18">
      <c r="A2633" s="3">
        <v>45745.099664351852</v>
      </c>
      <c r="B2633" s="2" t="s">
        <v>33</v>
      </c>
      <c r="C2633" s="2" t="s">
        <v>11</v>
      </c>
      <c r="D2633" s="6" t="str">
        <f>CONCATENATE(YEAR(A2633),"/",IF(MONTH(A2633)&lt;10,CONCATENATE("0",MONTH(A2633)),MONTH(A2633)))</f>
        <v>2025/03</v>
      </c>
      <c r="E2633" s="8" t="str">
        <f>IF(IF(D2633&lt;&gt;D2632,1,IF(OR(B2633&lt;&gt;B2632,A2633-A2632&gt;$U$1),1,""))&lt;&gt;1,"",IF(C2633="B01",1965,IF(C2633="B02",1020,IF(C2633="B05",2400,IF(C2633="B03",4260,IF(C2633="B04",2880,IF(C2633="B20",1260,0)))))))</f>
        <v/>
      </c>
      <c r="F2633" s="8" t="str">
        <f>IF(IF(D2633&lt;&gt;D2632,1,IF(OR(B2633&lt;&gt;B2632,A2633-A2632&gt;$U$1),1,""))&lt;&gt;1,"",IF(C2633="B01",1,IF(C2633="B05",1,IF(C2633="B03",1,IF(C2633="B04",1,IF(C2633="B20",1,IF(C2633="B02",1,0)))))))</f>
        <v/>
      </c>
      <c r="G2633"/>
      <c r="H2633" s="2"/>
      <c r="I2633" s="2"/>
      <c r="L2633"/>
      <c r="R2633"/>
    </row>
    <row r="2634" spans="1:18">
      <c r="A2634" s="3">
        <v>45745.099664351852</v>
      </c>
      <c r="B2634" s="2" t="s">
        <v>33</v>
      </c>
      <c r="C2634" s="2" t="s">
        <v>11</v>
      </c>
      <c r="D2634" s="6" t="str">
        <f>CONCATENATE(YEAR(A2634),"/",IF(MONTH(A2634)&lt;10,CONCATENATE("0",MONTH(A2634)),MONTH(A2634)))</f>
        <v>2025/03</v>
      </c>
      <c r="E2634" s="8" t="str">
        <f>IF(IF(D2634&lt;&gt;D2633,1,IF(OR(B2634&lt;&gt;B2633,A2634-A2633&gt;$U$1),1,""))&lt;&gt;1,"",IF(C2634="B01",1965,IF(C2634="B02",1020,IF(C2634="B05",2400,IF(C2634="B03",4260,IF(C2634="B04",2880,IF(C2634="B20",1260,0)))))))</f>
        <v/>
      </c>
      <c r="F2634" s="8" t="str">
        <f>IF(IF(D2634&lt;&gt;D2633,1,IF(OR(B2634&lt;&gt;B2633,A2634-A2633&gt;$U$1),1,""))&lt;&gt;1,"",IF(C2634="B01",1,IF(C2634="B05",1,IF(C2634="B03",1,IF(C2634="B04",1,IF(C2634="B20",1,IF(C2634="B02",1,0)))))))</f>
        <v/>
      </c>
      <c r="G2634"/>
      <c r="H2634" s="2"/>
      <c r="I2634" s="2"/>
      <c r="L2634"/>
      <c r="R2634"/>
    </row>
    <row r="2635" spans="1:18">
      <c r="A2635" s="3">
        <v>45745.609386574077</v>
      </c>
      <c r="B2635" s="2" t="s">
        <v>33</v>
      </c>
      <c r="C2635" s="2" t="s">
        <v>11</v>
      </c>
      <c r="D2635" s="6" t="str">
        <f>CONCATENATE(YEAR(A2635),"/",IF(MONTH(A2635)&lt;10,CONCATENATE("0",MONTH(A2635)),MONTH(A2635)))</f>
        <v>2025/03</v>
      </c>
      <c r="E2635" s="8">
        <f>IF(IF(D2635&lt;&gt;D2634,1,IF(OR(B2635&lt;&gt;B2634,A2635-A2634&gt;$U$1),1,""))&lt;&gt;1,"",IF(C2635="B01",1965,IF(C2635="B02",1020,IF(C2635="B05",2400,IF(C2635="B03",4260,IF(C2635="B04",2880,IF(C2635="B20",1260,0)))))))</f>
        <v>2400</v>
      </c>
      <c r="F2635" s="8">
        <f>IF(IF(D2635&lt;&gt;D2634,1,IF(OR(B2635&lt;&gt;B2634,A2635-A2634&gt;$U$1),1,""))&lt;&gt;1,"",IF(C2635="B01",1,IF(C2635="B05",1,IF(C2635="B03",1,IF(C2635="B04",1,IF(C2635="B20",1,IF(C2635="B02",1,0)))))))</f>
        <v>1</v>
      </c>
      <c r="G2635"/>
      <c r="H2635" s="2"/>
      <c r="I2635" s="2"/>
      <c r="L2635"/>
      <c r="R2635"/>
    </row>
    <row r="2636" spans="1:18">
      <c r="A2636" s="3">
        <v>45745.609386574077</v>
      </c>
      <c r="B2636" s="2" t="s">
        <v>33</v>
      </c>
      <c r="C2636" s="2" t="s">
        <v>11</v>
      </c>
      <c r="D2636" s="6" t="str">
        <f>CONCATENATE(YEAR(A2636),"/",IF(MONTH(A2636)&lt;10,CONCATENATE("0",MONTH(A2636)),MONTH(A2636)))</f>
        <v>2025/03</v>
      </c>
      <c r="E2636" s="8" t="str">
        <f>IF(IF(D2636&lt;&gt;D2635,1,IF(OR(B2636&lt;&gt;B2635,A2636-A2635&gt;$U$1),1,""))&lt;&gt;1,"",IF(C2636="B01",1965,IF(C2636="B02",1020,IF(C2636="B05",2400,IF(C2636="B03",4260,IF(C2636="B04",2880,IF(C2636="B20",1260,0)))))))</f>
        <v/>
      </c>
      <c r="F2636" s="8" t="str">
        <f>IF(IF(D2636&lt;&gt;D2635,1,IF(OR(B2636&lt;&gt;B2635,A2636-A2635&gt;$U$1),1,""))&lt;&gt;1,"",IF(C2636="B01",1,IF(C2636="B05",1,IF(C2636="B03",1,IF(C2636="B04",1,IF(C2636="B20",1,IF(C2636="B02",1,0)))))))</f>
        <v/>
      </c>
      <c r="G2636"/>
      <c r="H2636" s="2"/>
      <c r="I2636" s="2"/>
      <c r="L2636"/>
      <c r="R2636"/>
    </row>
    <row r="2637" spans="1:18">
      <c r="A2637" s="3">
        <v>45745.609386574077</v>
      </c>
      <c r="B2637" s="2" t="s">
        <v>33</v>
      </c>
      <c r="C2637" s="2" t="s">
        <v>11</v>
      </c>
      <c r="D2637" s="6" t="str">
        <f>CONCATENATE(YEAR(A2637),"/",IF(MONTH(A2637)&lt;10,CONCATENATE("0",MONTH(A2637)),MONTH(A2637)))</f>
        <v>2025/03</v>
      </c>
      <c r="E2637" s="8" t="str">
        <f>IF(IF(D2637&lt;&gt;D2636,1,IF(OR(B2637&lt;&gt;B2636,A2637-A2636&gt;$U$1),1,""))&lt;&gt;1,"",IF(C2637="B01",1965,IF(C2637="B02",1020,IF(C2637="B05",2400,IF(C2637="B03",4260,IF(C2637="B04",2880,IF(C2637="B20",1260,0)))))))</f>
        <v/>
      </c>
      <c r="F2637" s="8" t="str">
        <f>IF(IF(D2637&lt;&gt;D2636,1,IF(OR(B2637&lt;&gt;B2636,A2637-A2636&gt;$U$1),1,""))&lt;&gt;1,"",IF(C2637="B01",1,IF(C2637="B05",1,IF(C2637="B03",1,IF(C2637="B04",1,IF(C2637="B20",1,IF(C2637="B02",1,0)))))))</f>
        <v/>
      </c>
      <c r="G2637"/>
      <c r="H2637" s="2"/>
      <c r="I2637" s="2"/>
      <c r="L2637"/>
      <c r="R2637"/>
    </row>
    <row r="2638" spans="1:18">
      <c r="A2638" s="3">
        <v>45747.262870370374</v>
      </c>
      <c r="B2638" s="2" t="s">
        <v>33</v>
      </c>
      <c r="C2638" s="2" t="s">
        <v>11</v>
      </c>
      <c r="D2638" s="6" t="str">
        <f>CONCATENATE(YEAR(A2638),"/",IF(MONTH(A2638)&lt;10,CONCATENATE("0",MONTH(A2638)),MONTH(A2638)))</f>
        <v>2025/03</v>
      </c>
      <c r="E2638" s="8">
        <f>IF(IF(D2638&lt;&gt;D2637,1,IF(OR(B2638&lt;&gt;B2637,A2638-A2637&gt;$U$1),1,""))&lt;&gt;1,"",IF(C2638="B01",1965,IF(C2638="B02",1020,IF(C2638="B05",2400,IF(C2638="B03",4260,IF(C2638="B04",2880,IF(C2638="B20",1260,0)))))))</f>
        <v>2400</v>
      </c>
      <c r="F2638" s="8">
        <f>IF(IF(D2638&lt;&gt;D2637,1,IF(OR(B2638&lt;&gt;B2637,A2638-A2637&gt;$U$1),1,""))&lt;&gt;1,"",IF(C2638="B01",1,IF(C2638="B05",1,IF(C2638="B03",1,IF(C2638="B04",1,IF(C2638="B20",1,IF(C2638="B02",1,0)))))))</f>
        <v>1</v>
      </c>
      <c r="G2638"/>
      <c r="H2638" s="2"/>
      <c r="I2638" s="2"/>
      <c r="L2638"/>
      <c r="R2638"/>
    </row>
    <row r="2639" spans="1:18">
      <c r="A2639" s="3">
        <v>45747.262881944444</v>
      </c>
      <c r="B2639" s="2" t="s">
        <v>33</v>
      </c>
      <c r="C2639" s="2" t="s">
        <v>11</v>
      </c>
      <c r="D2639" s="6" t="str">
        <f>CONCATENATE(YEAR(A2639),"/",IF(MONTH(A2639)&lt;10,CONCATENATE("0",MONTH(A2639)),MONTH(A2639)))</f>
        <v>2025/03</v>
      </c>
      <c r="E2639" s="8" t="str">
        <f>IF(IF(D2639&lt;&gt;D2638,1,IF(OR(B2639&lt;&gt;B2638,A2639-A2638&gt;$U$1),1,""))&lt;&gt;1,"",IF(C2639="B01",1965,IF(C2639="B02",1020,IF(C2639="B05",2400,IF(C2639="B03",4260,IF(C2639="B04",2880,IF(C2639="B20",1260,0)))))))</f>
        <v/>
      </c>
      <c r="F2639" s="8" t="str">
        <f>IF(IF(D2639&lt;&gt;D2638,1,IF(OR(B2639&lt;&gt;B2638,A2639-A2638&gt;$U$1),1,""))&lt;&gt;1,"",IF(C2639="B01",1,IF(C2639="B05",1,IF(C2639="B03",1,IF(C2639="B04",1,IF(C2639="B20",1,IF(C2639="B02",1,0)))))))</f>
        <v/>
      </c>
      <c r="G2639"/>
      <c r="H2639" s="2"/>
      <c r="I2639" s="2"/>
      <c r="L2639"/>
      <c r="R2639"/>
    </row>
    <row r="2640" spans="1:18">
      <c r="A2640" s="3">
        <v>45747.6950462963</v>
      </c>
      <c r="B2640" s="2" t="s">
        <v>33</v>
      </c>
      <c r="C2640" s="2" t="s">
        <v>11</v>
      </c>
      <c r="D2640" s="6" t="str">
        <f>CONCATENATE(YEAR(A2640),"/",IF(MONTH(A2640)&lt;10,CONCATENATE("0",MONTH(A2640)),MONTH(A2640)))</f>
        <v>2025/03</v>
      </c>
      <c r="E2640" s="8">
        <f>IF(IF(D2640&lt;&gt;D2639,1,IF(OR(B2640&lt;&gt;B2639,A2640-A2639&gt;$U$1),1,""))&lt;&gt;1,"",IF(C2640="B01",1965,IF(C2640="B02",1020,IF(C2640="B05",2400,IF(C2640="B03",4260,IF(C2640="B04",2880,IF(C2640="B20",1260,0)))))))</f>
        <v>2400</v>
      </c>
      <c r="F2640" s="8">
        <f>IF(IF(D2640&lt;&gt;D2639,1,IF(OR(B2640&lt;&gt;B2639,A2640-A2639&gt;$U$1),1,""))&lt;&gt;1,"",IF(C2640="B01",1,IF(C2640="B05",1,IF(C2640="B03",1,IF(C2640="B04",1,IF(C2640="B20",1,IF(C2640="B02",1,0)))))))</f>
        <v>1</v>
      </c>
      <c r="G2640"/>
      <c r="H2640" s="2"/>
      <c r="I2640" s="2"/>
      <c r="L2640"/>
      <c r="R2640"/>
    </row>
    <row r="2641" spans="1:18">
      <c r="A2641" s="3">
        <v>45747.6950462963</v>
      </c>
      <c r="B2641" s="2" t="s">
        <v>33</v>
      </c>
      <c r="C2641" s="2" t="s">
        <v>11</v>
      </c>
      <c r="D2641" s="6" t="str">
        <f>CONCATENATE(YEAR(A2641),"/",IF(MONTH(A2641)&lt;10,CONCATENATE("0",MONTH(A2641)),MONTH(A2641)))</f>
        <v>2025/03</v>
      </c>
      <c r="E2641" s="8" t="str">
        <f>IF(IF(D2641&lt;&gt;D2640,1,IF(OR(B2641&lt;&gt;B2640,A2641-A2640&gt;$U$1),1,""))&lt;&gt;1,"",IF(C2641="B01",1965,IF(C2641="B02",1020,IF(C2641="B05",2400,IF(C2641="B03",4260,IF(C2641="B04",2880,IF(C2641="B20",1260,0)))))))</f>
        <v/>
      </c>
      <c r="F2641" s="8" t="str">
        <f>IF(IF(D2641&lt;&gt;D2640,1,IF(OR(B2641&lt;&gt;B2640,A2641-A2640&gt;$U$1),1,""))&lt;&gt;1,"",IF(C2641="B01",1,IF(C2641="B05",1,IF(C2641="B03",1,IF(C2641="B04",1,IF(C2641="B20",1,IF(C2641="B02",1,0)))))))</f>
        <v/>
      </c>
      <c r="G2641"/>
      <c r="H2641" s="2"/>
      <c r="I2641" s="2"/>
      <c r="L2641"/>
      <c r="R2641"/>
    </row>
    <row r="2642" spans="1:18">
      <c r="A2642" s="3">
        <v>45747.705347222225</v>
      </c>
      <c r="B2642" s="2" t="s">
        <v>33</v>
      </c>
      <c r="C2642" s="2" t="s">
        <v>11</v>
      </c>
      <c r="D2642" s="6" t="str">
        <f>CONCATENATE(YEAR(A2642),"/",IF(MONTH(A2642)&lt;10,CONCATENATE("0",MONTH(A2642)),MONTH(A2642)))</f>
        <v>2025/03</v>
      </c>
      <c r="E2642" s="8" t="str">
        <f>IF(IF(D2642&lt;&gt;D2641,1,IF(OR(B2642&lt;&gt;B2641,A2642-A2641&gt;$U$1),1,""))&lt;&gt;1,"",IF(C2642="B01",1965,IF(C2642="B02",1020,IF(C2642="B05",2400,IF(C2642="B03",4260,IF(C2642="B04",2880,IF(C2642="B20",1260,0)))))))</f>
        <v/>
      </c>
      <c r="F2642" s="8" t="str">
        <f>IF(IF(D2642&lt;&gt;D2641,1,IF(OR(B2642&lt;&gt;B2641,A2642-A2641&gt;$U$1),1,""))&lt;&gt;1,"",IF(C2642="B01",1,IF(C2642="B05",1,IF(C2642="B03",1,IF(C2642="B04",1,IF(C2642="B20",1,IF(C2642="B02",1,0)))))))</f>
        <v/>
      </c>
      <c r="G2642"/>
      <c r="H2642" s="2"/>
      <c r="I2642" s="2"/>
      <c r="L2642"/>
      <c r="R2642"/>
    </row>
    <row r="2643" spans="1:18">
      <c r="A2643" s="3">
        <v>45748.320694444446</v>
      </c>
      <c r="B2643" s="2" t="s">
        <v>33</v>
      </c>
      <c r="C2643" s="2" t="s">
        <v>11</v>
      </c>
      <c r="D2643" s="6" t="str">
        <f>CONCATENATE(YEAR(A2643),"/",IF(MONTH(A2643)&lt;10,CONCATENATE("0",MONTH(A2643)),MONTH(A2643)))</f>
        <v>2025/04</v>
      </c>
      <c r="E2643" s="8">
        <f>IF(IF(D2643&lt;&gt;D2642,1,IF(OR(B2643&lt;&gt;B2642,A2643-A2642&gt;$U$1),1,""))&lt;&gt;1,"",IF(C2643="B01",1965,IF(C2643="B02",1020,IF(C2643="B05",2400,IF(C2643="B03",4260,IF(C2643="B04",2880,IF(C2643="B20",1260,0)))))))</f>
        <v>2400</v>
      </c>
      <c r="F2643" s="8">
        <f>IF(IF(D2643&lt;&gt;D2642,1,IF(OR(B2643&lt;&gt;B2642,A2643-A2642&gt;$U$1),1,""))&lt;&gt;1,"",IF(C2643="B01",1,IF(C2643="B05",1,IF(C2643="B03",1,IF(C2643="B04",1,IF(C2643="B20",1,IF(C2643="B02",1,0)))))))</f>
        <v>1</v>
      </c>
      <c r="G2643"/>
      <c r="H2643" s="2"/>
      <c r="I2643" s="2"/>
      <c r="L2643"/>
      <c r="R2643"/>
    </row>
    <row r="2644" spans="1:18">
      <c r="A2644" s="3">
        <v>45748.320694444446</v>
      </c>
      <c r="B2644" s="2" t="s">
        <v>33</v>
      </c>
      <c r="C2644" s="2" t="s">
        <v>11</v>
      </c>
      <c r="D2644" s="6" t="str">
        <f>CONCATENATE(YEAR(A2644),"/",IF(MONTH(A2644)&lt;10,CONCATENATE("0",MONTH(A2644)),MONTH(A2644)))</f>
        <v>2025/04</v>
      </c>
      <c r="E2644" s="8" t="str">
        <f>IF(IF(D2644&lt;&gt;D2643,1,IF(OR(B2644&lt;&gt;B2643,A2644-A2643&gt;$U$1),1,""))&lt;&gt;1,"",IF(C2644="B01",1965,IF(C2644="B02",1020,IF(C2644="B05",2400,IF(C2644="B03",4260,IF(C2644="B04",2880,IF(C2644="B20",1260,0)))))))</f>
        <v/>
      </c>
      <c r="F2644" s="8" t="str">
        <f>IF(IF(D2644&lt;&gt;D2643,1,IF(OR(B2644&lt;&gt;B2643,A2644-A2643&gt;$U$1),1,""))&lt;&gt;1,"",IF(C2644="B01",1,IF(C2644="B05",1,IF(C2644="B03",1,IF(C2644="B04",1,IF(C2644="B20",1,IF(C2644="B02",1,0)))))))</f>
        <v/>
      </c>
      <c r="G2644"/>
      <c r="H2644" s="2"/>
      <c r="I2644" s="2"/>
      <c r="L2644"/>
      <c r="R2644"/>
    </row>
    <row r="2645" spans="1:18">
      <c r="A2645" s="3">
        <v>45748.563425925924</v>
      </c>
      <c r="B2645" s="2" t="s">
        <v>33</v>
      </c>
      <c r="C2645" s="2" t="s">
        <v>11</v>
      </c>
      <c r="D2645" s="6" t="str">
        <f>CONCATENATE(YEAR(A2645),"/",IF(MONTH(A2645)&lt;10,CONCATENATE("0",MONTH(A2645)),MONTH(A2645)))</f>
        <v>2025/04</v>
      </c>
      <c r="E2645" s="8">
        <f>IF(IF(D2645&lt;&gt;D2644,1,IF(OR(B2645&lt;&gt;B2644,A2645-A2644&gt;$U$1),1,""))&lt;&gt;1,"",IF(C2645="B01",1965,IF(C2645="B02",1020,IF(C2645="B05",2400,IF(C2645="B03",4260,IF(C2645="B04",2880,IF(C2645="B20",1260,0)))))))</f>
        <v>2400</v>
      </c>
      <c r="F2645" s="8">
        <f>IF(IF(D2645&lt;&gt;D2644,1,IF(OR(B2645&lt;&gt;B2644,A2645-A2644&gt;$U$1),1,""))&lt;&gt;1,"",IF(C2645="B01",1,IF(C2645="B05",1,IF(C2645="B03",1,IF(C2645="B04",1,IF(C2645="B20",1,IF(C2645="B02",1,0)))))))</f>
        <v>1</v>
      </c>
      <c r="G2645"/>
      <c r="H2645" s="2"/>
      <c r="I2645" s="2"/>
      <c r="L2645"/>
      <c r="R2645"/>
    </row>
    <row r="2646" spans="1:18">
      <c r="A2646" s="3">
        <v>45748.563425925924</v>
      </c>
      <c r="B2646" s="2" t="s">
        <v>33</v>
      </c>
      <c r="C2646" s="2" t="s">
        <v>11</v>
      </c>
      <c r="D2646" s="6" t="str">
        <f>CONCATENATE(YEAR(A2646),"/",IF(MONTH(A2646)&lt;10,CONCATENATE("0",MONTH(A2646)),MONTH(A2646)))</f>
        <v>2025/04</v>
      </c>
      <c r="E2646" s="8" t="str">
        <f>IF(IF(D2646&lt;&gt;D2645,1,IF(OR(B2646&lt;&gt;B2645,A2646-A2645&gt;$U$1),1,""))&lt;&gt;1,"",IF(C2646="B01",1965,IF(C2646="B02",1020,IF(C2646="B05",2400,IF(C2646="B03",4260,IF(C2646="B04",2880,IF(C2646="B20",1260,0)))))))</f>
        <v/>
      </c>
      <c r="F2646" s="8" t="str">
        <f>IF(IF(D2646&lt;&gt;D2645,1,IF(OR(B2646&lt;&gt;B2645,A2646-A2645&gt;$U$1),1,""))&lt;&gt;1,"",IF(C2646="B01",1,IF(C2646="B05",1,IF(C2646="B03",1,IF(C2646="B04",1,IF(C2646="B20",1,IF(C2646="B02",1,0)))))))</f>
        <v/>
      </c>
      <c r="G2646"/>
      <c r="H2646" s="2"/>
      <c r="I2646" s="2"/>
      <c r="L2646"/>
      <c r="R2646"/>
    </row>
    <row r="2647" spans="1:18">
      <c r="A2647" s="3">
        <v>45748.563425925924</v>
      </c>
      <c r="B2647" s="2" t="s">
        <v>33</v>
      </c>
      <c r="C2647" s="2" t="s">
        <v>11</v>
      </c>
      <c r="D2647" s="6" t="str">
        <f>CONCATENATE(YEAR(A2647),"/",IF(MONTH(A2647)&lt;10,CONCATENATE("0",MONTH(A2647)),MONTH(A2647)))</f>
        <v>2025/04</v>
      </c>
      <c r="E2647" s="8" t="str">
        <f>IF(IF(D2647&lt;&gt;D2646,1,IF(OR(B2647&lt;&gt;B2646,A2647-A2646&gt;$U$1),1,""))&lt;&gt;1,"",IF(C2647="B01",1965,IF(C2647="B02",1020,IF(C2647="B05",2400,IF(C2647="B03",4260,IF(C2647="B04",2880,IF(C2647="B20",1260,0)))))))</f>
        <v/>
      </c>
      <c r="F2647" s="8" t="str">
        <f>IF(IF(D2647&lt;&gt;D2646,1,IF(OR(B2647&lt;&gt;B2646,A2647-A2646&gt;$U$1),1,""))&lt;&gt;1,"",IF(C2647="B01",1,IF(C2647="B05",1,IF(C2647="B03",1,IF(C2647="B04",1,IF(C2647="B20",1,IF(C2647="B02",1,0)))))))</f>
        <v/>
      </c>
      <c r="G2647"/>
      <c r="H2647" s="2"/>
      <c r="I2647" s="2"/>
      <c r="L2647"/>
      <c r="R2647"/>
    </row>
    <row r="2648" spans="1:18">
      <c r="A2648" s="3">
        <v>45748.697905092595</v>
      </c>
      <c r="B2648" s="2" t="s">
        <v>33</v>
      </c>
      <c r="C2648" s="2" t="s">
        <v>11</v>
      </c>
      <c r="D2648" s="6" t="str">
        <f>CONCATENATE(YEAR(A2648),"/",IF(MONTH(A2648)&lt;10,CONCATENATE("0",MONTH(A2648)),MONTH(A2648)))</f>
        <v>2025/04</v>
      </c>
      <c r="E2648" s="8">
        <f>IF(IF(D2648&lt;&gt;D2647,1,IF(OR(B2648&lt;&gt;B2647,A2648-A2647&gt;$U$1),1,""))&lt;&gt;1,"",IF(C2648="B01",1965,IF(C2648="B02",1020,IF(C2648="B05",2400,IF(C2648="B03",4260,IF(C2648="B04",2880,IF(C2648="B20",1260,0)))))))</f>
        <v>2400</v>
      </c>
      <c r="F2648" s="8">
        <f>IF(IF(D2648&lt;&gt;D2647,1,IF(OR(B2648&lt;&gt;B2647,A2648-A2647&gt;$U$1),1,""))&lt;&gt;1,"",IF(C2648="B01",1,IF(C2648="B05",1,IF(C2648="B03",1,IF(C2648="B04",1,IF(C2648="B20",1,IF(C2648="B02",1,0)))))))</f>
        <v>1</v>
      </c>
      <c r="G2648"/>
      <c r="H2648" s="2"/>
      <c r="I2648" s="2"/>
      <c r="L2648"/>
      <c r="R2648"/>
    </row>
    <row r="2649" spans="1:18">
      <c r="A2649" s="3">
        <v>45748.697905092595</v>
      </c>
      <c r="B2649" s="2" t="s">
        <v>33</v>
      </c>
      <c r="C2649" s="2" t="s">
        <v>11</v>
      </c>
      <c r="D2649" s="6" t="str">
        <f>CONCATENATE(YEAR(A2649),"/",IF(MONTH(A2649)&lt;10,CONCATENATE("0",MONTH(A2649)),MONTH(A2649)))</f>
        <v>2025/04</v>
      </c>
      <c r="E2649" s="8" t="str">
        <f>IF(IF(D2649&lt;&gt;D2648,1,IF(OR(B2649&lt;&gt;B2648,A2649-A2648&gt;$U$1),1,""))&lt;&gt;1,"",IF(C2649="B01",1965,IF(C2649="B02",1020,IF(C2649="B05",2400,IF(C2649="B03",4260,IF(C2649="B04",2880,IF(C2649="B20",1260,0)))))))</f>
        <v/>
      </c>
      <c r="F2649" s="8" t="str">
        <f>IF(IF(D2649&lt;&gt;D2648,1,IF(OR(B2649&lt;&gt;B2648,A2649-A2648&gt;$U$1),1,""))&lt;&gt;1,"",IF(C2649="B01",1,IF(C2649="B05",1,IF(C2649="B03",1,IF(C2649="B04",1,IF(C2649="B20",1,IF(C2649="B02",1,0)))))))</f>
        <v/>
      </c>
      <c r="G2649"/>
      <c r="H2649" s="2"/>
      <c r="I2649" s="2"/>
      <c r="L2649"/>
      <c r="R2649"/>
    </row>
    <row r="2650" spans="1:18">
      <c r="A2650" s="3">
        <v>45748.822268518517</v>
      </c>
      <c r="B2650" s="2" t="s">
        <v>33</v>
      </c>
      <c r="C2650" s="2" t="s">
        <v>11</v>
      </c>
      <c r="D2650" s="6" t="str">
        <f>CONCATENATE(YEAR(A2650),"/",IF(MONTH(A2650)&lt;10,CONCATENATE("0",MONTH(A2650)),MONTH(A2650)))</f>
        <v>2025/04</v>
      </c>
      <c r="E2650" s="8">
        <f>IF(IF(D2650&lt;&gt;D2649,1,IF(OR(B2650&lt;&gt;B2649,A2650-A2649&gt;$U$1),1,""))&lt;&gt;1,"",IF(C2650="B01",1965,IF(C2650="B02",1020,IF(C2650="B05",2400,IF(C2650="B03",4260,IF(C2650="B04",2880,IF(C2650="B20",1260,0)))))))</f>
        <v>2400</v>
      </c>
      <c r="F2650" s="8">
        <f>IF(IF(D2650&lt;&gt;D2649,1,IF(OR(B2650&lt;&gt;B2649,A2650-A2649&gt;$U$1),1,""))&lt;&gt;1,"",IF(C2650="B01",1,IF(C2650="B05",1,IF(C2650="B03",1,IF(C2650="B04",1,IF(C2650="B20",1,IF(C2650="B02",1,0)))))))</f>
        <v>1</v>
      </c>
      <c r="G2650"/>
      <c r="H2650" s="2"/>
      <c r="I2650" s="2"/>
      <c r="L2650"/>
      <c r="R2650"/>
    </row>
    <row r="2651" spans="1:18">
      <c r="A2651" s="3">
        <v>45748.822268518517</v>
      </c>
      <c r="B2651" s="2" t="s">
        <v>33</v>
      </c>
      <c r="C2651" s="2" t="s">
        <v>11</v>
      </c>
      <c r="D2651" s="6" t="str">
        <f>CONCATENATE(YEAR(A2651),"/",IF(MONTH(A2651)&lt;10,CONCATENATE("0",MONTH(A2651)),MONTH(A2651)))</f>
        <v>2025/04</v>
      </c>
      <c r="E2651" s="8" t="str">
        <f>IF(IF(D2651&lt;&gt;D2650,1,IF(OR(B2651&lt;&gt;B2650,A2651-A2650&gt;$U$1),1,""))&lt;&gt;1,"",IF(C2651="B01",1965,IF(C2651="B02",1020,IF(C2651="B05",2400,IF(C2651="B03",4260,IF(C2651="B04",2880,IF(C2651="B20",1260,0)))))))</f>
        <v/>
      </c>
      <c r="F2651" s="8" t="str">
        <f>IF(IF(D2651&lt;&gt;D2650,1,IF(OR(B2651&lt;&gt;B2650,A2651-A2650&gt;$U$1),1,""))&lt;&gt;1,"",IF(C2651="B01",1,IF(C2651="B05",1,IF(C2651="B03",1,IF(C2651="B04",1,IF(C2651="B20",1,IF(C2651="B02",1,0)))))))</f>
        <v/>
      </c>
      <c r="G2651"/>
      <c r="H2651" s="2"/>
      <c r="I2651" s="2"/>
      <c r="L2651"/>
      <c r="R2651"/>
    </row>
    <row r="2652" spans="1:18">
      <c r="A2652" s="3">
        <v>45749.048368055555</v>
      </c>
      <c r="B2652" s="2" t="s">
        <v>33</v>
      </c>
      <c r="C2652" s="2" t="s">
        <v>11</v>
      </c>
      <c r="D2652" s="6" t="str">
        <f>CONCATENATE(YEAR(A2652),"/",IF(MONTH(A2652)&lt;10,CONCATENATE("0",MONTH(A2652)),MONTH(A2652)))</f>
        <v>2025/04</v>
      </c>
      <c r="E2652" s="8">
        <f>IF(IF(D2652&lt;&gt;D2651,1,IF(OR(B2652&lt;&gt;B2651,A2652-A2651&gt;$U$1),1,""))&lt;&gt;1,"",IF(C2652="B01",1965,IF(C2652="B02",1020,IF(C2652="B05",2400,IF(C2652="B03",4260,IF(C2652="B04",2880,IF(C2652="B20",1260,0)))))))</f>
        <v>2400</v>
      </c>
      <c r="F2652" s="8">
        <f>IF(IF(D2652&lt;&gt;D2651,1,IF(OR(B2652&lt;&gt;B2651,A2652-A2651&gt;$U$1),1,""))&lt;&gt;1,"",IF(C2652="B01",1,IF(C2652="B05",1,IF(C2652="B03",1,IF(C2652="B04",1,IF(C2652="B20",1,IF(C2652="B02",1,0)))))))</f>
        <v>1</v>
      </c>
      <c r="G2652"/>
      <c r="H2652" s="2"/>
      <c r="I2652" s="2"/>
      <c r="L2652"/>
      <c r="R2652"/>
    </row>
    <row r="2653" spans="1:18">
      <c r="A2653" s="3">
        <v>45749.048368055555</v>
      </c>
      <c r="B2653" s="2" t="s">
        <v>33</v>
      </c>
      <c r="C2653" s="2" t="s">
        <v>11</v>
      </c>
      <c r="D2653" s="6" t="str">
        <f>CONCATENATE(YEAR(A2653),"/",IF(MONTH(A2653)&lt;10,CONCATENATE("0",MONTH(A2653)),MONTH(A2653)))</f>
        <v>2025/04</v>
      </c>
      <c r="E2653" s="8" t="str">
        <f>IF(IF(D2653&lt;&gt;D2652,1,IF(OR(B2653&lt;&gt;B2652,A2653-A2652&gt;$U$1),1,""))&lt;&gt;1,"",IF(C2653="B01",1965,IF(C2653="B02",1020,IF(C2653="B05",2400,IF(C2653="B03",4260,IF(C2653="B04",2880,IF(C2653="B20",1260,0)))))))</f>
        <v/>
      </c>
      <c r="F2653" s="8" t="str">
        <f>IF(IF(D2653&lt;&gt;D2652,1,IF(OR(B2653&lt;&gt;B2652,A2653-A2652&gt;$U$1),1,""))&lt;&gt;1,"",IF(C2653="B01",1,IF(C2653="B05",1,IF(C2653="B03",1,IF(C2653="B04",1,IF(C2653="B20",1,IF(C2653="B02",1,0)))))))</f>
        <v/>
      </c>
      <c r="G2653"/>
      <c r="H2653" s="2"/>
      <c r="I2653" s="2"/>
      <c r="L2653"/>
      <c r="R2653"/>
    </row>
    <row r="2654" spans="1:18">
      <c r="A2654" s="3">
        <v>45749.177800925929</v>
      </c>
      <c r="B2654" s="2" t="s">
        <v>33</v>
      </c>
      <c r="C2654" s="2" t="s">
        <v>11</v>
      </c>
      <c r="D2654" s="6" t="str">
        <f>CONCATENATE(YEAR(A2654),"/",IF(MONTH(A2654)&lt;10,CONCATENATE("0",MONTH(A2654)),MONTH(A2654)))</f>
        <v>2025/04</v>
      </c>
      <c r="E2654" s="8">
        <f>IF(IF(D2654&lt;&gt;D2653,1,IF(OR(B2654&lt;&gt;B2653,A2654-A2653&gt;$U$1),1,""))&lt;&gt;1,"",IF(C2654="B01",1965,IF(C2654="B02",1020,IF(C2654="B05",2400,IF(C2654="B03",4260,IF(C2654="B04",2880,IF(C2654="B20",1260,0)))))))</f>
        <v>2400</v>
      </c>
      <c r="F2654" s="8">
        <f>IF(IF(D2654&lt;&gt;D2653,1,IF(OR(B2654&lt;&gt;B2653,A2654-A2653&gt;$U$1),1,""))&lt;&gt;1,"",IF(C2654="B01",1,IF(C2654="B05",1,IF(C2654="B03",1,IF(C2654="B04",1,IF(C2654="B20",1,IF(C2654="B02",1,0)))))))</f>
        <v>1</v>
      </c>
      <c r="G2654"/>
      <c r="H2654" s="2"/>
      <c r="I2654" s="2"/>
      <c r="L2654"/>
      <c r="R2654"/>
    </row>
    <row r="2655" spans="1:18">
      <c r="A2655" s="3">
        <v>45749.177800925929</v>
      </c>
      <c r="B2655" s="2" t="s">
        <v>33</v>
      </c>
      <c r="C2655" s="2" t="s">
        <v>11</v>
      </c>
      <c r="D2655" s="6" t="str">
        <f>CONCATENATE(YEAR(A2655),"/",IF(MONTH(A2655)&lt;10,CONCATENATE("0",MONTH(A2655)),MONTH(A2655)))</f>
        <v>2025/04</v>
      </c>
      <c r="E2655" s="8" t="str">
        <f>IF(IF(D2655&lt;&gt;D2654,1,IF(OR(B2655&lt;&gt;B2654,A2655-A2654&gt;$U$1),1,""))&lt;&gt;1,"",IF(C2655="B01",1965,IF(C2655="B02",1020,IF(C2655="B05",2400,IF(C2655="B03",4260,IF(C2655="B04",2880,IF(C2655="B20",1260,0)))))))</f>
        <v/>
      </c>
      <c r="F2655" s="8" t="str">
        <f>IF(IF(D2655&lt;&gt;D2654,1,IF(OR(B2655&lt;&gt;B2654,A2655-A2654&gt;$U$1),1,""))&lt;&gt;1,"",IF(C2655="B01",1,IF(C2655="B05",1,IF(C2655="B03",1,IF(C2655="B04",1,IF(C2655="B20",1,IF(C2655="B02",1,0)))))))</f>
        <v/>
      </c>
      <c r="G2655"/>
      <c r="H2655" s="2"/>
      <c r="I2655" s="2"/>
      <c r="L2655"/>
      <c r="R2655"/>
    </row>
    <row r="2656" spans="1:18">
      <c r="A2656" s="3">
        <v>45749.177800925929</v>
      </c>
      <c r="B2656" s="2" t="s">
        <v>33</v>
      </c>
      <c r="C2656" s="2" t="s">
        <v>11</v>
      </c>
      <c r="D2656" s="6" t="str">
        <f>CONCATENATE(YEAR(A2656),"/",IF(MONTH(A2656)&lt;10,CONCATENATE("0",MONTH(A2656)),MONTH(A2656)))</f>
        <v>2025/04</v>
      </c>
      <c r="E2656" s="8" t="str">
        <f>IF(IF(D2656&lt;&gt;D2655,1,IF(OR(B2656&lt;&gt;B2655,A2656-A2655&gt;$U$1),1,""))&lt;&gt;1,"",IF(C2656="B01",1965,IF(C2656="B02",1020,IF(C2656="B05",2400,IF(C2656="B03",4260,IF(C2656="B04",2880,IF(C2656="B20",1260,0)))))))</f>
        <v/>
      </c>
      <c r="F2656" s="8" t="str">
        <f>IF(IF(D2656&lt;&gt;D2655,1,IF(OR(B2656&lt;&gt;B2655,A2656-A2655&gt;$U$1),1,""))&lt;&gt;1,"",IF(C2656="B01",1,IF(C2656="B05",1,IF(C2656="B03",1,IF(C2656="B04",1,IF(C2656="B20",1,IF(C2656="B02",1,0)))))))</f>
        <v/>
      </c>
      <c r="G2656"/>
      <c r="H2656" s="2"/>
      <c r="I2656" s="2"/>
      <c r="L2656"/>
      <c r="R2656"/>
    </row>
    <row r="2657" spans="1:18">
      <c r="A2657" s="3">
        <v>45749.177800925929</v>
      </c>
      <c r="B2657" s="2" t="s">
        <v>33</v>
      </c>
      <c r="C2657" s="2" t="s">
        <v>11</v>
      </c>
      <c r="D2657" s="6" t="str">
        <f>CONCATENATE(YEAR(A2657),"/",IF(MONTH(A2657)&lt;10,CONCATENATE("0",MONTH(A2657)),MONTH(A2657)))</f>
        <v>2025/04</v>
      </c>
      <c r="E2657" s="8" t="str">
        <f>IF(IF(D2657&lt;&gt;D2656,1,IF(OR(B2657&lt;&gt;B2656,A2657-A2656&gt;$U$1),1,""))&lt;&gt;1,"",IF(C2657="B01",1965,IF(C2657="B02",1020,IF(C2657="B05",2400,IF(C2657="B03",4260,IF(C2657="B04",2880,IF(C2657="B20",1260,0)))))))</f>
        <v/>
      </c>
      <c r="F2657" s="8" t="str">
        <f>IF(IF(D2657&lt;&gt;D2656,1,IF(OR(B2657&lt;&gt;B2656,A2657-A2656&gt;$U$1),1,""))&lt;&gt;1,"",IF(C2657="B01",1,IF(C2657="B05",1,IF(C2657="B03",1,IF(C2657="B04",1,IF(C2657="B20",1,IF(C2657="B02",1,0)))))))</f>
        <v/>
      </c>
      <c r="G2657"/>
      <c r="H2657" s="2"/>
      <c r="I2657" s="2"/>
      <c r="L2657"/>
      <c r="R2657"/>
    </row>
    <row r="2658" spans="1:18">
      <c r="A2658" s="3">
        <v>45749.344502314816</v>
      </c>
      <c r="B2658" s="2" t="s">
        <v>33</v>
      </c>
      <c r="C2658" s="2" t="s">
        <v>11</v>
      </c>
      <c r="D2658" s="6" t="str">
        <f>CONCATENATE(YEAR(A2658),"/",IF(MONTH(A2658)&lt;10,CONCATENATE("0",MONTH(A2658)),MONTH(A2658)))</f>
        <v>2025/04</v>
      </c>
      <c r="E2658" s="8">
        <f>IF(IF(D2658&lt;&gt;D2657,1,IF(OR(B2658&lt;&gt;B2657,A2658-A2657&gt;$U$1),1,""))&lt;&gt;1,"",IF(C2658="B01",1965,IF(C2658="B02",1020,IF(C2658="B05",2400,IF(C2658="B03",4260,IF(C2658="B04",2880,IF(C2658="B20",1260,0)))))))</f>
        <v>2400</v>
      </c>
      <c r="F2658" s="8">
        <f>IF(IF(D2658&lt;&gt;D2657,1,IF(OR(B2658&lt;&gt;B2657,A2658-A2657&gt;$U$1),1,""))&lt;&gt;1,"",IF(C2658="B01",1,IF(C2658="B05",1,IF(C2658="B03",1,IF(C2658="B04",1,IF(C2658="B20",1,IF(C2658="B02",1,0)))))))</f>
        <v>1</v>
      </c>
      <c r="G2658"/>
      <c r="H2658" s="2"/>
      <c r="I2658" s="2"/>
      <c r="L2658"/>
      <c r="R2658"/>
    </row>
    <row r="2659" spans="1:18">
      <c r="A2659" s="3">
        <v>45749.344502314816</v>
      </c>
      <c r="B2659" s="2" t="s">
        <v>33</v>
      </c>
      <c r="C2659" s="2" t="s">
        <v>11</v>
      </c>
      <c r="D2659" s="6" t="str">
        <f>CONCATENATE(YEAR(A2659),"/",IF(MONTH(A2659)&lt;10,CONCATENATE("0",MONTH(A2659)),MONTH(A2659)))</f>
        <v>2025/04</v>
      </c>
      <c r="E2659" s="8" t="str">
        <f>IF(IF(D2659&lt;&gt;D2658,1,IF(OR(B2659&lt;&gt;B2658,A2659-A2658&gt;$U$1),1,""))&lt;&gt;1,"",IF(C2659="B01",1965,IF(C2659="B02",1020,IF(C2659="B05",2400,IF(C2659="B03",4260,IF(C2659="B04",2880,IF(C2659="B20",1260,0)))))))</f>
        <v/>
      </c>
      <c r="F2659" s="8" t="str">
        <f>IF(IF(D2659&lt;&gt;D2658,1,IF(OR(B2659&lt;&gt;B2658,A2659-A2658&gt;$U$1),1,""))&lt;&gt;1,"",IF(C2659="B01",1,IF(C2659="B05",1,IF(C2659="B03",1,IF(C2659="B04",1,IF(C2659="B20",1,IF(C2659="B02",1,0)))))))</f>
        <v/>
      </c>
      <c r="G2659"/>
      <c r="H2659" s="2"/>
      <c r="I2659" s="2"/>
      <c r="L2659"/>
      <c r="R2659"/>
    </row>
    <row r="2660" spans="1:18">
      <c r="A2660" s="3">
        <v>45749.471446759257</v>
      </c>
      <c r="B2660" s="2" t="s">
        <v>33</v>
      </c>
      <c r="C2660" s="2" t="s">
        <v>11</v>
      </c>
      <c r="D2660" s="6" t="str">
        <f>CONCATENATE(YEAR(A2660),"/",IF(MONTH(A2660)&lt;10,CONCATENATE("0",MONTH(A2660)),MONTH(A2660)))</f>
        <v>2025/04</v>
      </c>
      <c r="E2660" s="8">
        <f>IF(IF(D2660&lt;&gt;D2659,1,IF(OR(B2660&lt;&gt;B2659,A2660-A2659&gt;$U$1),1,""))&lt;&gt;1,"",IF(C2660="B01",1965,IF(C2660="B02",1020,IF(C2660="B05",2400,IF(C2660="B03",4260,IF(C2660="B04",2880,IF(C2660="B20",1260,0)))))))</f>
        <v>2400</v>
      </c>
      <c r="F2660" s="8">
        <f>IF(IF(D2660&lt;&gt;D2659,1,IF(OR(B2660&lt;&gt;B2659,A2660-A2659&gt;$U$1),1,""))&lt;&gt;1,"",IF(C2660="B01",1,IF(C2660="B05",1,IF(C2660="B03",1,IF(C2660="B04",1,IF(C2660="B20",1,IF(C2660="B02",1,0)))))))</f>
        <v>1</v>
      </c>
      <c r="G2660"/>
      <c r="H2660" s="2"/>
      <c r="I2660" s="2"/>
      <c r="L2660"/>
      <c r="R2660"/>
    </row>
    <row r="2661" spans="1:18">
      <c r="A2661" s="3">
        <v>45749.471446759257</v>
      </c>
      <c r="B2661" s="2" t="s">
        <v>33</v>
      </c>
      <c r="C2661" s="2" t="s">
        <v>11</v>
      </c>
      <c r="D2661" s="6" t="str">
        <f>CONCATENATE(YEAR(A2661),"/",IF(MONTH(A2661)&lt;10,CONCATENATE("0",MONTH(A2661)),MONTH(A2661)))</f>
        <v>2025/04</v>
      </c>
      <c r="E2661" s="8" t="str">
        <f>IF(IF(D2661&lt;&gt;D2660,1,IF(OR(B2661&lt;&gt;B2660,A2661-A2660&gt;$U$1),1,""))&lt;&gt;1,"",IF(C2661="B01",1965,IF(C2661="B02",1020,IF(C2661="B05",2400,IF(C2661="B03",4260,IF(C2661="B04",2880,IF(C2661="B20",1260,0)))))))</f>
        <v/>
      </c>
      <c r="F2661" s="8" t="str">
        <f>IF(IF(D2661&lt;&gt;D2660,1,IF(OR(B2661&lt;&gt;B2660,A2661-A2660&gt;$U$1),1,""))&lt;&gt;1,"",IF(C2661="B01",1,IF(C2661="B05",1,IF(C2661="B03",1,IF(C2661="B04",1,IF(C2661="B20",1,IF(C2661="B02",1,0)))))))</f>
        <v/>
      </c>
      <c r="G2661"/>
      <c r="H2661" s="2"/>
      <c r="I2661" s="2"/>
      <c r="L2661"/>
      <c r="R2661"/>
    </row>
    <row r="2662" spans="1:18">
      <c r="A2662" s="3">
        <v>45749.471446759257</v>
      </c>
      <c r="B2662" s="2" t="s">
        <v>33</v>
      </c>
      <c r="C2662" s="2" t="s">
        <v>11</v>
      </c>
      <c r="D2662" s="6" t="str">
        <f>CONCATENATE(YEAR(A2662),"/",IF(MONTH(A2662)&lt;10,CONCATENATE("0",MONTH(A2662)),MONTH(A2662)))</f>
        <v>2025/04</v>
      </c>
      <c r="E2662" s="8" t="str">
        <f>IF(IF(D2662&lt;&gt;D2661,1,IF(OR(B2662&lt;&gt;B2661,A2662-A2661&gt;$U$1),1,""))&lt;&gt;1,"",IF(C2662="B01",1965,IF(C2662="B02",1020,IF(C2662="B05",2400,IF(C2662="B03",4260,IF(C2662="B04",2880,IF(C2662="B20",1260,0)))))))</f>
        <v/>
      </c>
      <c r="F2662" s="8" t="str">
        <f>IF(IF(D2662&lt;&gt;D2661,1,IF(OR(B2662&lt;&gt;B2661,A2662-A2661&gt;$U$1),1,""))&lt;&gt;1,"",IF(C2662="B01",1,IF(C2662="B05",1,IF(C2662="B03",1,IF(C2662="B04",1,IF(C2662="B20",1,IF(C2662="B02",1,0)))))))</f>
        <v/>
      </c>
      <c r="G2662"/>
      <c r="H2662" s="2"/>
      <c r="I2662" s="2"/>
      <c r="L2662"/>
      <c r="R2662"/>
    </row>
    <row r="2663" spans="1:18">
      <c r="A2663" s="3">
        <v>45749.667534722219</v>
      </c>
      <c r="B2663" s="2" t="s">
        <v>33</v>
      </c>
      <c r="C2663" s="2" t="s">
        <v>11</v>
      </c>
      <c r="D2663" s="6" t="str">
        <f>CONCATENATE(YEAR(A2663),"/",IF(MONTH(A2663)&lt;10,CONCATENATE("0",MONTH(A2663)),MONTH(A2663)))</f>
        <v>2025/04</v>
      </c>
      <c r="E2663" s="8">
        <f>IF(IF(D2663&lt;&gt;D2662,1,IF(OR(B2663&lt;&gt;B2662,A2663-A2662&gt;$U$1),1,""))&lt;&gt;1,"",IF(C2663="B01",1965,IF(C2663="B02",1020,IF(C2663="B05",2400,IF(C2663="B03",4260,IF(C2663="B04",2880,IF(C2663="B20",1260,0)))))))</f>
        <v>2400</v>
      </c>
      <c r="F2663" s="8">
        <f>IF(IF(D2663&lt;&gt;D2662,1,IF(OR(B2663&lt;&gt;B2662,A2663-A2662&gt;$U$1),1,""))&lt;&gt;1,"",IF(C2663="B01",1,IF(C2663="B05",1,IF(C2663="B03",1,IF(C2663="B04",1,IF(C2663="B20",1,IF(C2663="B02",1,0)))))))</f>
        <v>1</v>
      </c>
      <c r="G2663"/>
      <c r="H2663" s="2"/>
      <c r="I2663" s="2"/>
      <c r="L2663"/>
      <c r="R2663"/>
    </row>
    <row r="2664" spans="1:18">
      <c r="A2664" s="3">
        <v>45749.667534722219</v>
      </c>
      <c r="B2664" s="2" t="s">
        <v>33</v>
      </c>
      <c r="C2664" s="2" t="s">
        <v>11</v>
      </c>
      <c r="D2664" s="6" t="str">
        <f>CONCATENATE(YEAR(A2664),"/",IF(MONTH(A2664)&lt;10,CONCATENATE("0",MONTH(A2664)),MONTH(A2664)))</f>
        <v>2025/04</v>
      </c>
      <c r="E2664" s="8" t="str">
        <f>IF(IF(D2664&lt;&gt;D2663,1,IF(OR(B2664&lt;&gt;B2663,A2664-A2663&gt;$U$1),1,""))&lt;&gt;1,"",IF(C2664="B01",1965,IF(C2664="B02",1020,IF(C2664="B05",2400,IF(C2664="B03",4260,IF(C2664="B04",2880,IF(C2664="B20",1260,0)))))))</f>
        <v/>
      </c>
      <c r="F2664" s="8" t="str">
        <f>IF(IF(D2664&lt;&gt;D2663,1,IF(OR(B2664&lt;&gt;B2663,A2664-A2663&gt;$U$1),1,""))&lt;&gt;1,"",IF(C2664="B01",1,IF(C2664="B05",1,IF(C2664="B03",1,IF(C2664="B04",1,IF(C2664="B20",1,IF(C2664="B02",1,0)))))))</f>
        <v/>
      </c>
      <c r="G2664"/>
      <c r="H2664" s="2"/>
      <c r="I2664" s="2"/>
      <c r="L2664"/>
      <c r="R2664"/>
    </row>
    <row r="2665" spans="1:18">
      <c r="A2665" s="3">
        <v>45749.924930555557</v>
      </c>
      <c r="B2665" s="2" t="s">
        <v>33</v>
      </c>
      <c r="C2665" s="2" t="s">
        <v>11</v>
      </c>
      <c r="D2665" s="6" t="str">
        <f>CONCATENATE(YEAR(A2665),"/",IF(MONTH(A2665)&lt;10,CONCATENATE("0",MONTH(A2665)),MONTH(A2665)))</f>
        <v>2025/04</v>
      </c>
      <c r="E2665" s="8">
        <f>IF(IF(D2665&lt;&gt;D2664,1,IF(OR(B2665&lt;&gt;B2664,A2665-A2664&gt;$U$1),1,""))&lt;&gt;1,"",IF(C2665="B01",1965,IF(C2665="B02",1020,IF(C2665="B05",2400,IF(C2665="B03",4260,IF(C2665="B04",2880,IF(C2665="B20",1260,0)))))))</f>
        <v>2400</v>
      </c>
      <c r="F2665" s="8">
        <f>IF(IF(D2665&lt;&gt;D2664,1,IF(OR(B2665&lt;&gt;B2664,A2665-A2664&gt;$U$1),1,""))&lt;&gt;1,"",IF(C2665="B01",1,IF(C2665="B05",1,IF(C2665="B03",1,IF(C2665="B04",1,IF(C2665="B20",1,IF(C2665="B02",1,0)))))))</f>
        <v>1</v>
      </c>
      <c r="G2665"/>
      <c r="H2665" s="2"/>
      <c r="I2665" s="2"/>
      <c r="L2665"/>
      <c r="R2665"/>
    </row>
    <row r="2666" spans="1:18">
      <c r="A2666" s="3">
        <v>45749.924930555557</v>
      </c>
      <c r="B2666" s="2" t="s">
        <v>33</v>
      </c>
      <c r="C2666" s="2" t="s">
        <v>11</v>
      </c>
      <c r="D2666" s="6" t="str">
        <f>CONCATENATE(YEAR(A2666),"/",IF(MONTH(A2666)&lt;10,CONCATENATE("0",MONTH(A2666)),MONTH(A2666)))</f>
        <v>2025/04</v>
      </c>
      <c r="E2666" s="8" t="str">
        <f>IF(IF(D2666&lt;&gt;D2665,1,IF(OR(B2666&lt;&gt;B2665,A2666-A2665&gt;$U$1),1,""))&lt;&gt;1,"",IF(C2666="B01",1965,IF(C2666="B02",1020,IF(C2666="B05",2400,IF(C2666="B03",4260,IF(C2666="B04",2880,IF(C2666="B20",1260,0)))))))</f>
        <v/>
      </c>
      <c r="F2666" s="8" t="str">
        <f>IF(IF(D2666&lt;&gt;D2665,1,IF(OR(B2666&lt;&gt;B2665,A2666-A2665&gt;$U$1),1,""))&lt;&gt;1,"",IF(C2666="B01",1,IF(C2666="B05",1,IF(C2666="B03",1,IF(C2666="B04",1,IF(C2666="B20",1,IF(C2666="B02",1,0)))))))</f>
        <v/>
      </c>
      <c r="G2666"/>
      <c r="H2666" s="2"/>
      <c r="I2666" s="2"/>
      <c r="L2666"/>
      <c r="R2666"/>
    </row>
    <row r="2667" spans="1:18">
      <c r="A2667" s="3">
        <v>45749.924930555557</v>
      </c>
      <c r="B2667" s="2" t="s">
        <v>33</v>
      </c>
      <c r="C2667" s="2" t="s">
        <v>11</v>
      </c>
      <c r="D2667" s="6" t="str">
        <f>CONCATENATE(YEAR(A2667),"/",IF(MONTH(A2667)&lt;10,CONCATENATE("0",MONTH(A2667)),MONTH(A2667)))</f>
        <v>2025/04</v>
      </c>
      <c r="E2667" s="8" t="str">
        <f>IF(IF(D2667&lt;&gt;D2666,1,IF(OR(B2667&lt;&gt;B2666,A2667-A2666&gt;$U$1),1,""))&lt;&gt;1,"",IF(C2667="B01",1965,IF(C2667="B02",1020,IF(C2667="B05",2400,IF(C2667="B03",4260,IF(C2667="B04",2880,IF(C2667="B20",1260,0)))))))</f>
        <v/>
      </c>
      <c r="F2667" s="8" t="str">
        <f>IF(IF(D2667&lt;&gt;D2666,1,IF(OR(B2667&lt;&gt;B2666,A2667-A2666&gt;$U$1),1,""))&lt;&gt;1,"",IF(C2667="B01",1,IF(C2667="B05",1,IF(C2667="B03",1,IF(C2667="B04",1,IF(C2667="B20",1,IF(C2667="B02",1,0)))))))</f>
        <v/>
      </c>
      <c r="G2667"/>
      <c r="H2667" s="2"/>
      <c r="I2667" s="2"/>
      <c r="L2667"/>
      <c r="R2667"/>
    </row>
    <row r="2668" spans="1:18">
      <c r="A2668" s="3">
        <v>45750.341180555559</v>
      </c>
      <c r="B2668" s="2" t="s">
        <v>33</v>
      </c>
      <c r="C2668" s="2" t="s">
        <v>11</v>
      </c>
      <c r="D2668" s="6" t="str">
        <f>CONCATENATE(YEAR(A2668),"/",IF(MONTH(A2668)&lt;10,CONCATENATE("0",MONTH(A2668)),MONTH(A2668)))</f>
        <v>2025/04</v>
      </c>
      <c r="E2668" s="8">
        <f>IF(IF(D2668&lt;&gt;D2667,1,IF(OR(B2668&lt;&gt;B2667,A2668-A2667&gt;$U$1),1,""))&lt;&gt;1,"",IF(C2668="B01",1965,IF(C2668="B02",1020,IF(C2668="B05",2400,IF(C2668="B03",4260,IF(C2668="B04",2880,IF(C2668="B20",1260,0)))))))</f>
        <v>2400</v>
      </c>
      <c r="F2668" s="8">
        <f>IF(IF(D2668&lt;&gt;D2667,1,IF(OR(B2668&lt;&gt;B2667,A2668-A2667&gt;$U$1),1,""))&lt;&gt;1,"",IF(C2668="B01",1,IF(C2668="B05",1,IF(C2668="B03",1,IF(C2668="B04",1,IF(C2668="B20",1,IF(C2668="B02",1,0)))))))</f>
        <v>1</v>
      </c>
      <c r="G2668"/>
      <c r="H2668" s="2"/>
      <c r="I2668" s="2"/>
      <c r="L2668"/>
      <c r="R2668"/>
    </row>
    <row r="2669" spans="1:18">
      <c r="A2669" s="3">
        <v>45750.341180555559</v>
      </c>
      <c r="B2669" s="2" t="s">
        <v>33</v>
      </c>
      <c r="C2669" s="2" t="s">
        <v>11</v>
      </c>
      <c r="D2669" s="6" t="str">
        <f>CONCATENATE(YEAR(A2669),"/",IF(MONTH(A2669)&lt;10,CONCATENATE("0",MONTH(A2669)),MONTH(A2669)))</f>
        <v>2025/04</v>
      </c>
      <c r="E2669" s="8" t="str">
        <f>IF(IF(D2669&lt;&gt;D2668,1,IF(OR(B2669&lt;&gt;B2668,A2669-A2668&gt;$U$1),1,""))&lt;&gt;1,"",IF(C2669="B01",1965,IF(C2669="B02",1020,IF(C2669="B05",2400,IF(C2669="B03",4260,IF(C2669="B04",2880,IF(C2669="B20",1260,0)))))))</f>
        <v/>
      </c>
      <c r="F2669" s="8" t="str">
        <f>IF(IF(D2669&lt;&gt;D2668,1,IF(OR(B2669&lt;&gt;B2668,A2669-A2668&gt;$U$1),1,""))&lt;&gt;1,"",IF(C2669="B01",1,IF(C2669="B05",1,IF(C2669="B03",1,IF(C2669="B04",1,IF(C2669="B20",1,IF(C2669="B02",1,0)))))))</f>
        <v/>
      </c>
      <c r="G2669"/>
      <c r="H2669" s="2"/>
      <c r="I2669" s="2"/>
      <c r="L2669"/>
      <c r="R2669"/>
    </row>
    <row r="2670" spans="1:18">
      <c r="A2670" s="3">
        <v>45750.341180555559</v>
      </c>
      <c r="B2670" s="2" t="s">
        <v>33</v>
      </c>
      <c r="C2670" s="2" t="s">
        <v>11</v>
      </c>
      <c r="D2670" s="6" t="str">
        <f>CONCATENATE(YEAR(A2670),"/",IF(MONTH(A2670)&lt;10,CONCATENATE("0",MONTH(A2670)),MONTH(A2670)))</f>
        <v>2025/04</v>
      </c>
      <c r="E2670" s="8" t="str">
        <f>IF(IF(D2670&lt;&gt;D2669,1,IF(OR(B2670&lt;&gt;B2669,A2670-A2669&gt;$U$1),1,""))&lt;&gt;1,"",IF(C2670="B01",1965,IF(C2670="B02",1020,IF(C2670="B05",2400,IF(C2670="B03",4260,IF(C2670="B04",2880,IF(C2670="B20",1260,0)))))))</f>
        <v/>
      </c>
      <c r="F2670" s="8" t="str">
        <f>IF(IF(D2670&lt;&gt;D2669,1,IF(OR(B2670&lt;&gt;B2669,A2670-A2669&gt;$U$1),1,""))&lt;&gt;1,"",IF(C2670="B01",1,IF(C2670="B05",1,IF(C2670="B03",1,IF(C2670="B04",1,IF(C2670="B20",1,IF(C2670="B02",1,0)))))))</f>
        <v/>
      </c>
      <c r="G2670"/>
      <c r="H2670" s="2"/>
      <c r="I2670" s="2"/>
      <c r="L2670"/>
      <c r="R2670"/>
    </row>
    <row r="2671" spans="1:18">
      <c r="A2671" s="3">
        <v>45750.341180555559</v>
      </c>
      <c r="B2671" s="2" t="s">
        <v>33</v>
      </c>
      <c r="C2671" s="2" t="s">
        <v>11</v>
      </c>
      <c r="D2671" s="6" t="str">
        <f>CONCATENATE(YEAR(A2671),"/",IF(MONTH(A2671)&lt;10,CONCATENATE("0",MONTH(A2671)),MONTH(A2671)))</f>
        <v>2025/04</v>
      </c>
      <c r="E2671" s="8" t="str">
        <f>IF(IF(D2671&lt;&gt;D2670,1,IF(OR(B2671&lt;&gt;B2670,A2671-A2670&gt;$U$1),1,""))&lt;&gt;1,"",IF(C2671="B01",1965,IF(C2671="B02",1020,IF(C2671="B05",2400,IF(C2671="B03",4260,IF(C2671="B04",2880,IF(C2671="B20",1260,0)))))))</f>
        <v/>
      </c>
      <c r="F2671" s="8" t="str">
        <f>IF(IF(D2671&lt;&gt;D2670,1,IF(OR(B2671&lt;&gt;B2670,A2671-A2670&gt;$U$1),1,""))&lt;&gt;1,"",IF(C2671="B01",1,IF(C2671="B05",1,IF(C2671="B03",1,IF(C2671="B04",1,IF(C2671="B20",1,IF(C2671="B02",1,0)))))))</f>
        <v/>
      </c>
      <c r="G2671"/>
      <c r="H2671" s="2"/>
      <c r="I2671" s="2"/>
      <c r="L2671"/>
      <c r="R2671"/>
    </row>
    <row r="2672" spans="1:18">
      <c r="A2672" s="3">
        <v>45750.341180555559</v>
      </c>
      <c r="B2672" s="2" t="s">
        <v>33</v>
      </c>
      <c r="C2672" s="2" t="s">
        <v>11</v>
      </c>
      <c r="D2672" s="6" t="str">
        <f>CONCATENATE(YEAR(A2672),"/",IF(MONTH(A2672)&lt;10,CONCATENATE("0",MONTH(A2672)),MONTH(A2672)))</f>
        <v>2025/04</v>
      </c>
      <c r="E2672" s="8" t="str">
        <f>IF(IF(D2672&lt;&gt;D2671,1,IF(OR(B2672&lt;&gt;B2671,A2672-A2671&gt;$U$1),1,""))&lt;&gt;1,"",IF(C2672="B01",1965,IF(C2672="B02",1020,IF(C2672="B05",2400,IF(C2672="B03",4260,IF(C2672="B04",2880,IF(C2672="B20",1260,0)))))))</f>
        <v/>
      </c>
      <c r="F2672" s="8" t="str">
        <f>IF(IF(D2672&lt;&gt;D2671,1,IF(OR(B2672&lt;&gt;B2671,A2672-A2671&gt;$U$1),1,""))&lt;&gt;1,"",IF(C2672="B01",1,IF(C2672="B05",1,IF(C2672="B03",1,IF(C2672="B04",1,IF(C2672="B20",1,IF(C2672="B02",1,0)))))))</f>
        <v/>
      </c>
      <c r="G2672"/>
      <c r="H2672" s="2"/>
      <c r="I2672" s="2"/>
      <c r="L2672"/>
      <c r="R2672"/>
    </row>
    <row r="2673" spans="1:18">
      <c r="A2673" s="3">
        <v>45750.754351851851</v>
      </c>
      <c r="B2673" s="2" t="s">
        <v>33</v>
      </c>
      <c r="C2673" s="2" t="s">
        <v>11</v>
      </c>
      <c r="D2673" s="6" t="str">
        <f>CONCATENATE(YEAR(A2673),"/",IF(MONTH(A2673)&lt;10,CONCATENATE("0",MONTH(A2673)),MONTH(A2673)))</f>
        <v>2025/04</v>
      </c>
      <c r="E2673" s="8">
        <f>IF(IF(D2673&lt;&gt;D2672,1,IF(OR(B2673&lt;&gt;B2672,A2673-A2672&gt;$U$1),1,""))&lt;&gt;1,"",IF(C2673="B01",1965,IF(C2673="B02",1020,IF(C2673="B05",2400,IF(C2673="B03",4260,IF(C2673="B04",2880,IF(C2673="B20",1260,0)))))))</f>
        <v>2400</v>
      </c>
      <c r="F2673" s="8">
        <f>IF(IF(D2673&lt;&gt;D2672,1,IF(OR(B2673&lt;&gt;B2672,A2673-A2672&gt;$U$1),1,""))&lt;&gt;1,"",IF(C2673="B01",1,IF(C2673="B05",1,IF(C2673="B03",1,IF(C2673="B04",1,IF(C2673="B20",1,IF(C2673="B02",1,0)))))))</f>
        <v>1</v>
      </c>
      <c r="G2673"/>
      <c r="H2673" s="2"/>
      <c r="I2673" s="2"/>
      <c r="L2673"/>
      <c r="R2673"/>
    </row>
    <row r="2674" spans="1:18">
      <c r="A2674" s="3">
        <v>45750.754351851851</v>
      </c>
      <c r="B2674" s="2" t="s">
        <v>33</v>
      </c>
      <c r="C2674" s="2" t="s">
        <v>11</v>
      </c>
      <c r="D2674" s="6" t="str">
        <f>CONCATENATE(YEAR(A2674),"/",IF(MONTH(A2674)&lt;10,CONCATENATE("0",MONTH(A2674)),MONTH(A2674)))</f>
        <v>2025/04</v>
      </c>
      <c r="E2674" s="8" t="str">
        <f>IF(IF(D2674&lt;&gt;D2673,1,IF(OR(B2674&lt;&gt;B2673,A2674-A2673&gt;$U$1),1,""))&lt;&gt;1,"",IF(C2674="B01",1965,IF(C2674="B02",1020,IF(C2674="B05",2400,IF(C2674="B03",4260,IF(C2674="B04",2880,IF(C2674="B20",1260,0)))))))</f>
        <v/>
      </c>
      <c r="F2674" s="8" t="str">
        <f>IF(IF(D2674&lt;&gt;D2673,1,IF(OR(B2674&lt;&gt;B2673,A2674-A2673&gt;$U$1),1,""))&lt;&gt;1,"",IF(C2674="B01",1,IF(C2674="B05",1,IF(C2674="B03",1,IF(C2674="B04",1,IF(C2674="B20",1,IF(C2674="B02",1,0)))))))</f>
        <v/>
      </c>
      <c r="G2674"/>
      <c r="H2674" s="2"/>
      <c r="I2674" s="2"/>
      <c r="L2674"/>
      <c r="R2674"/>
    </row>
    <row r="2675" spans="1:18">
      <c r="A2675" s="3">
        <v>45751.365567129629</v>
      </c>
      <c r="B2675" s="2" t="s">
        <v>33</v>
      </c>
      <c r="C2675" s="2" t="s">
        <v>11</v>
      </c>
      <c r="D2675" s="6" t="str">
        <f>CONCATENATE(YEAR(A2675),"/",IF(MONTH(A2675)&lt;10,CONCATENATE("0",MONTH(A2675)),MONTH(A2675)))</f>
        <v>2025/04</v>
      </c>
      <c r="E2675" s="8">
        <f>IF(IF(D2675&lt;&gt;D2674,1,IF(OR(B2675&lt;&gt;B2674,A2675-A2674&gt;$U$1),1,""))&lt;&gt;1,"",IF(C2675="B01",1965,IF(C2675="B02",1020,IF(C2675="B05",2400,IF(C2675="B03",4260,IF(C2675="B04",2880,IF(C2675="B20",1260,0)))))))</f>
        <v>2400</v>
      </c>
      <c r="F2675" s="8">
        <f>IF(IF(D2675&lt;&gt;D2674,1,IF(OR(B2675&lt;&gt;B2674,A2675-A2674&gt;$U$1),1,""))&lt;&gt;1,"",IF(C2675="B01",1,IF(C2675="B05",1,IF(C2675="B03",1,IF(C2675="B04",1,IF(C2675="B20",1,IF(C2675="B02",1,0)))))))</f>
        <v>1</v>
      </c>
      <c r="G2675"/>
      <c r="H2675" s="2"/>
      <c r="I2675" s="2"/>
      <c r="L2675"/>
      <c r="R2675"/>
    </row>
    <row r="2676" spans="1:18">
      <c r="A2676" s="3">
        <v>45751.365567129629</v>
      </c>
      <c r="B2676" s="2" t="s">
        <v>33</v>
      </c>
      <c r="C2676" s="2" t="s">
        <v>11</v>
      </c>
      <c r="D2676" s="6" t="str">
        <f>CONCATENATE(YEAR(A2676),"/",IF(MONTH(A2676)&lt;10,CONCATENATE("0",MONTH(A2676)),MONTH(A2676)))</f>
        <v>2025/04</v>
      </c>
      <c r="E2676" s="8" t="str">
        <f>IF(IF(D2676&lt;&gt;D2675,1,IF(OR(B2676&lt;&gt;B2675,A2676-A2675&gt;$U$1),1,""))&lt;&gt;1,"",IF(C2676="B01",1965,IF(C2676="B02",1020,IF(C2676="B05",2400,IF(C2676="B03",4260,IF(C2676="B04",2880,IF(C2676="B20",1260,0)))))))</f>
        <v/>
      </c>
      <c r="F2676" s="8" t="str">
        <f>IF(IF(D2676&lt;&gt;D2675,1,IF(OR(B2676&lt;&gt;B2675,A2676-A2675&gt;$U$1),1,""))&lt;&gt;1,"",IF(C2676="B01",1,IF(C2676="B05",1,IF(C2676="B03",1,IF(C2676="B04",1,IF(C2676="B20",1,IF(C2676="B02",1,0)))))))</f>
        <v/>
      </c>
      <c r="G2676"/>
      <c r="H2676" s="2"/>
      <c r="I2676" s="2"/>
      <c r="L2676"/>
      <c r="R2676"/>
    </row>
    <row r="2677" spans="1:18">
      <c r="A2677" s="3">
        <v>45751.664861111109</v>
      </c>
      <c r="B2677" s="2" t="s">
        <v>33</v>
      </c>
      <c r="C2677" s="2" t="s">
        <v>11</v>
      </c>
      <c r="D2677" s="6" t="str">
        <f>CONCATENATE(YEAR(A2677),"/",IF(MONTH(A2677)&lt;10,CONCATENATE("0",MONTH(A2677)),MONTH(A2677)))</f>
        <v>2025/04</v>
      </c>
      <c r="E2677" s="8">
        <f>IF(IF(D2677&lt;&gt;D2676,1,IF(OR(B2677&lt;&gt;B2676,A2677-A2676&gt;$U$1),1,""))&lt;&gt;1,"",IF(C2677="B01",1965,IF(C2677="B02",1020,IF(C2677="B05",2400,IF(C2677="B03",4260,IF(C2677="B04",2880,IF(C2677="B20",1260,0)))))))</f>
        <v>2400</v>
      </c>
      <c r="F2677" s="8">
        <f>IF(IF(D2677&lt;&gt;D2676,1,IF(OR(B2677&lt;&gt;B2676,A2677-A2676&gt;$U$1),1,""))&lt;&gt;1,"",IF(C2677="B01",1,IF(C2677="B05",1,IF(C2677="B03",1,IF(C2677="B04",1,IF(C2677="B20",1,IF(C2677="B02",1,0)))))))</f>
        <v>1</v>
      </c>
      <c r="G2677"/>
      <c r="H2677" s="2"/>
      <c r="I2677" s="2"/>
      <c r="L2677"/>
      <c r="R2677"/>
    </row>
    <row r="2678" spans="1:18">
      <c r="A2678" s="3">
        <v>45751.664861111109</v>
      </c>
      <c r="B2678" s="2" t="s">
        <v>33</v>
      </c>
      <c r="C2678" s="2" t="s">
        <v>11</v>
      </c>
      <c r="D2678" s="6" t="str">
        <f>CONCATENATE(YEAR(A2678),"/",IF(MONTH(A2678)&lt;10,CONCATENATE("0",MONTH(A2678)),MONTH(A2678)))</f>
        <v>2025/04</v>
      </c>
      <c r="E2678" s="8" t="str">
        <f>IF(IF(D2678&lt;&gt;D2677,1,IF(OR(B2678&lt;&gt;B2677,A2678-A2677&gt;$U$1),1,""))&lt;&gt;1,"",IF(C2678="B01",1965,IF(C2678="B02",1020,IF(C2678="B05",2400,IF(C2678="B03",4260,IF(C2678="B04",2880,IF(C2678="B20",1260,0)))))))</f>
        <v/>
      </c>
      <c r="F2678" s="8" t="str">
        <f>IF(IF(D2678&lt;&gt;D2677,1,IF(OR(B2678&lt;&gt;B2677,A2678-A2677&gt;$U$1),1,""))&lt;&gt;1,"",IF(C2678="B01",1,IF(C2678="B05",1,IF(C2678="B03",1,IF(C2678="B04",1,IF(C2678="B20",1,IF(C2678="B02",1,0)))))))</f>
        <v/>
      </c>
      <c r="G2678"/>
      <c r="H2678" s="2"/>
      <c r="I2678" s="2"/>
      <c r="L2678"/>
      <c r="R2678"/>
    </row>
    <row r="2679" spans="1:18">
      <c r="A2679" s="3">
        <v>45752.771909722222</v>
      </c>
      <c r="B2679" s="2" t="s">
        <v>33</v>
      </c>
      <c r="C2679" s="2" t="s">
        <v>11</v>
      </c>
      <c r="D2679" s="6" t="str">
        <f>CONCATENATE(YEAR(A2679),"/",IF(MONTH(A2679)&lt;10,CONCATENATE("0",MONTH(A2679)),MONTH(A2679)))</f>
        <v>2025/04</v>
      </c>
      <c r="E2679" s="8">
        <f>IF(IF(D2679&lt;&gt;D2678,1,IF(OR(B2679&lt;&gt;B2678,A2679-A2678&gt;$U$1),1,""))&lt;&gt;1,"",IF(C2679="B01",1965,IF(C2679="B02",1020,IF(C2679="B05",2400,IF(C2679="B03",4260,IF(C2679="B04",2880,IF(C2679="B20",1260,0)))))))</f>
        <v>2400</v>
      </c>
      <c r="F2679" s="8">
        <f>IF(IF(D2679&lt;&gt;D2678,1,IF(OR(B2679&lt;&gt;B2678,A2679-A2678&gt;$U$1),1,""))&lt;&gt;1,"",IF(C2679="B01",1,IF(C2679="B05",1,IF(C2679="B03",1,IF(C2679="B04",1,IF(C2679="B20",1,IF(C2679="B02",1,0)))))))</f>
        <v>1</v>
      </c>
      <c r="G2679"/>
      <c r="H2679" s="2"/>
      <c r="I2679" s="2"/>
      <c r="L2679"/>
      <c r="R2679"/>
    </row>
    <row r="2680" spans="1:18">
      <c r="A2680" s="3">
        <v>45752.771909722222</v>
      </c>
      <c r="B2680" s="2" t="s">
        <v>33</v>
      </c>
      <c r="C2680" s="2" t="s">
        <v>11</v>
      </c>
      <c r="D2680" s="6" t="str">
        <f>CONCATENATE(YEAR(A2680),"/",IF(MONTH(A2680)&lt;10,CONCATENATE("0",MONTH(A2680)),MONTH(A2680)))</f>
        <v>2025/04</v>
      </c>
      <c r="E2680" s="8" t="str">
        <f>IF(IF(D2680&lt;&gt;D2679,1,IF(OR(B2680&lt;&gt;B2679,A2680-A2679&gt;$U$1),1,""))&lt;&gt;1,"",IF(C2680="B01",1965,IF(C2680="B02",1020,IF(C2680="B05",2400,IF(C2680="B03",4260,IF(C2680="B04",2880,IF(C2680="B20",1260,0)))))))</f>
        <v/>
      </c>
      <c r="F2680" s="8" t="str">
        <f>IF(IF(D2680&lt;&gt;D2679,1,IF(OR(B2680&lt;&gt;B2679,A2680-A2679&gt;$U$1),1,""))&lt;&gt;1,"",IF(C2680="B01",1,IF(C2680="B05",1,IF(C2680="B03",1,IF(C2680="B04",1,IF(C2680="B20",1,IF(C2680="B02",1,0)))))))</f>
        <v/>
      </c>
      <c r="G2680"/>
      <c r="H2680" s="2"/>
      <c r="I2680" s="2"/>
      <c r="L2680"/>
      <c r="R2680"/>
    </row>
    <row r="2681" spans="1:18">
      <c r="A2681" s="3">
        <v>45752.771909722222</v>
      </c>
      <c r="B2681" s="2" t="s">
        <v>33</v>
      </c>
      <c r="C2681" s="2" t="s">
        <v>11</v>
      </c>
      <c r="D2681" s="6" t="str">
        <f>CONCATENATE(YEAR(A2681),"/",IF(MONTH(A2681)&lt;10,CONCATENATE("0",MONTH(A2681)),MONTH(A2681)))</f>
        <v>2025/04</v>
      </c>
      <c r="E2681" s="8" t="str">
        <f>IF(IF(D2681&lt;&gt;D2680,1,IF(OR(B2681&lt;&gt;B2680,A2681-A2680&gt;$U$1),1,""))&lt;&gt;1,"",IF(C2681="B01",1965,IF(C2681="B02",1020,IF(C2681="B05",2400,IF(C2681="B03",4260,IF(C2681="B04",2880,IF(C2681="B20",1260,0)))))))</f>
        <v/>
      </c>
      <c r="F2681" s="8" t="str">
        <f>IF(IF(D2681&lt;&gt;D2680,1,IF(OR(B2681&lt;&gt;B2680,A2681-A2680&gt;$U$1),1,""))&lt;&gt;1,"",IF(C2681="B01",1,IF(C2681="B05",1,IF(C2681="B03",1,IF(C2681="B04",1,IF(C2681="B20",1,IF(C2681="B02",1,0)))))))</f>
        <v/>
      </c>
      <c r="G2681"/>
      <c r="H2681" s="2"/>
      <c r="I2681" s="2"/>
      <c r="L2681"/>
      <c r="R2681"/>
    </row>
    <row r="2682" spans="1:18">
      <c r="A2682" s="3">
        <v>45752.939733796295</v>
      </c>
      <c r="B2682" s="2" t="s">
        <v>33</v>
      </c>
      <c r="C2682" s="2" t="s">
        <v>11</v>
      </c>
      <c r="D2682" s="6" t="str">
        <f>CONCATENATE(YEAR(A2682),"/",IF(MONTH(A2682)&lt;10,CONCATENATE("0",MONTH(A2682)),MONTH(A2682)))</f>
        <v>2025/04</v>
      </c>
      <c r="E2682" s="8">
        <f>IF(IF(D2682&lt;&gt;D2681,1,IF(OR(B2682&lt;&gt;B2681,A2682-A2681&gt;$U$1),1,""))&lt;&gt;1,"",IF(C2682="B01",1965,IF(C2682="B02",1020,IF(C2682="B05",2400,IF(C2682="B03",4260,IF(C2682="B04",2880,IF(C2682="B20",1260,0)))))))</f>
        <v>2400</v>
      </c>
      <c r="F2682" s="8">
        <f>IF(IF(D2682&lt;&gt;D2681,1,IF(OR(B2682&lt;&gt;B2681,A2682-A2681&gt;$U$1),1,""))&lt;&gt;1,"",IF(C2682="B01",1,IF(C2682="B05",1,IF(C2682="B03",1,IF(C2682="B04",1,IF(C2682="B20",1,IF(C2682="B02",1,0)))))))</f>
        <v>1</v>
      </c>
      <c r="G2682"/>
      <c r="H2682" s="2"/>
      <c r="I2682" s="2"/>
      <c r="L2682"/>
      <c r="R2682"/>
    </row>
    <row r="2683" spans="1:18">
      <c r="A2683" s="3">
        <v>45752.939733796295</v>
      </c>
      <c r="B2683" s="2" t="s">
        <v>33</v>
      </c>
      <c r="C2683" s="2" t="s">
        <v>11</v>
      </c>
      <c r="D2683" s="6" t="str">
        <f>CONCATENATE(YEAR(A2683),"/",IF(MONTH(A2683)&lt;10,CONCATENATE("0",MONTH(A2683)),MONTH(A2683)))</f>
        <v>2025/04</v>
      </c>
      <c r="E2683" s="8" t="str">
        <f>IF(IF(D2683&lt;&gt;D2682,1,IF(OR(B2683&lt;&gt;B2682,A2683-A2682&gt;$U$1),1,""))&lt;&gt;1,"",IF(C2683="B01",1965,IF(C2683="B02",1020,IF(C2683="B05",2400,IF(C2683="B03",4260,IF(C2683="B04",2880,IF(C2683="B20",1260,0)))))))</f>
        <v/>
      </c>
      <c r="F2683" s="8" t="str">
        <f>IF(IF(D2683&lt;&gt;D2682,1,IF(OR(B2683&lt;&gt;B2682,A2683-A2682&gt;$U$1),1,""))&lt;&gt;1,"",IF(C2683="B01",1,IF(C2683="B05",1,IF(C2683="B03",1,IF(C2683="B04",1,IF(C2683="B20",1,IF(C2683="B02",1,0)))))))</f>
        <v/>
      </c>
      <c r="G2683"/>
      <c r="H2683" s="2"/>
      <c r="I2683" s="2"/>
      <c r="L2683"/>
      <c r="R2683"/>
    </row>
    <row r="2684" spans="1:18">
      <c r="A2684" s="3">
        <v>45753.224317129629</v>
      </c>
      <c r="B2684" s="2" t="s">
        <v>33</v>
      </c>
      <c r="C2684" s="2" t="s">
        <v>11</v>
      </c>
      <c r="D2684" s="6" t="str">
        <f>CONCATENATE(YEAR(A2684),"/",IF(MONTH(A2684)&lt;10,CONCATENATE("0",MONTH(A2684)),MONTH(A2684)))</f>
        <v>2025/04</v>
      </c>
      <c r="E2684" s="8">
        <f>IF(IF(D2684&lt;&gt;D2683,1,IF(OR(B2684&lt;&gt;B2683,A2684-A2683&gt;$U$1),1,""))&lt;&gt;1,"",IF(C2684="B01",1965,IF(C2684="B02",1020,IF(C2684="B05",2400,IF(C2684="B03",4260,IF(C2684="B04",2880,IF(C2684="B20",1260,0)))))))</f>
        <v>2400</v>
      </c>
      <c r="F2684" s="8">
        <f>IF(IF(D2684&lt;&gt;D2683,1,IF(OR(B2684&lt;&gt;B2683,A2684-A2683&gt;$U$1),1,""))&lt;&gt;1,"",IF(C2684="B01",1,IF(C2684="B05",1,IF(C2684="B03",1,IF(C2684="B04",1,IF(C2684="B20",1,IF(C2684="B02",1,0)))))))</f>
        <v>1</v>
      </c>
      <c r="G2684"/>
      <c r="H2684" s="2"/>
      <c r="I2684" s="2"/>
      <c r="L2684"/>
      <c r="R2684"/>
    </row>
    <row r="2685" spans="1:18">
      <c r="A2685" s="3">
        <v>45753.224317129629</v>
      </c>
      <c r="B2685" s="2" t="s">
        <v>33</v>
      </c>
      <c r="C2685" s="2" t="s">
        <v>11</v>
      </c>
      <c r="D2685" s="6" t="str">
        <f>CONCATENATE(YEAR(A2685),"/",IF(MONTH(A2685)&lt;10,CONCATENATE("0",MONTH(A2685)),MONTH(A2685)))</f>
        <v>2025/04</v>
      </c>
      <c r="E2685" s="8" t="str">
        <f>IF(IF(D2685&lt;&gt;D2684,1,IF(OR(B2685&lt;&gt;B2684,A2685-A2684&gt;$U$1),1,""))&lt;&gt;1,"",IF(C2685="B01",1965,IF(C2685="B02",1020,IF(C2685="B05",2400,IF(C2685="B03",4260,IF(C2685="B04",2880,IF(C2685="B20",1260,0)))))))</f>
        <v/>
      </c>
      <c r="F2685" s="8" t="str">
        <f>IF(IF(D2685&lt;&gt;D2684,1,IF(OR(B2685&lt;&gt;B2684,A2685-A2684&gt;$U$1),1,""))&lt;&gt;1,"",IF(C2685="B01",1,IF(C2685="B05",1,IF(C2685="B03",1,IF(C2685="B04",1,IF(C2685="B20",1,IF(C2685="B02",1,0)))))))</f>
        <v/>
      </c>
      <c r="G2685"/>
      <c r="H2685" s="2"/>
      <c r="I2685" s="2"/>
      <c r="L2685"/>
      <c r="R2685"/>
    </row>
    <row r="2686" spans="1:18">
      <c r="A2686" s="3">
        <v>45753.457916666666</v>
      </c>
      <c r="B2686" s="2" t="s">
        <v>33</v>
      </c>
      <c r="C2686" s="2" t="s">
        <v>11</v>
      </c>
      <c r="D2686" s="6" t="str">
        <f>CONCATENATE(YEAR(A2686),"/",IF(MONTH(A2686)&lt;10,CONCATENATE("0",MONTH(A2686)),MONTH(A2686)))</f>
        <v>2025/04</v>
      </c>
      <c r="E2686" s="8">
        <f>IF(IF(D2686&lt;&gt;D2685,1,IF(OR(B2686&lt;&gt;B2685,A2686-A2685&gt;$U$1),1,""))&lt;&gt;1,"",IF(C2686="B01",1965,IF(C2686="B02",1020,IF(C2686="B05",2400,IF(C2686="B03",4260,IF(C2686="B04",2880,IF(C2686="B20",1260,0)))))))</f>
        <v>2400</v>
      </c>
      <c r="F2686" s="8">
        <f>IF(IF(D2686&lt;&gt;D2685,1,IF(OR(B2686&lt;&gt;B2685,A2686-A2685&gt;$U$1),1,""))&lt;&gt;1,"",IF(C2686="B01",1,IF(C2686="B05",1,IF(C2686="B03",1,IF(C2686="B04",1,IF(C2686="B20",1,IF(C2686="B02",1,0)))))))</f>
        <v>1</v>
      </c>
      <c r="G2686"/>
      <c r="H2686" s="2"/>
      <c r="I2686" s="2"/>
      <c r="L2686"/>
      <c r="R2686"/>
    </row>
    <row r="2687" spans="1:18">
      <c r="A2687" s="3">
        <v>45753.457916666666</v>
      </c>
      <c r="B2687" s="2" t="s">
        <v>33</v>
      </c>
      <c r="C2687" s="2" t="s">
        <v>11</v>
      </c>
      <c r="D2687" s="6" t="str">
        <f>CONCATENATE(YEAR(A2687),"/",IF(MONTH(A2687)&lt;10,CONCATENATE("0",MONTH(A2687)),MONTH(A2687)))</f>
        <v>2025/04</v>
      </c>
      <c r="E2687" s="8" t="str">
        <f>IF(IF(D2687&lt;&gt;D2686,1,IF(OR(B2687&lt;&gt;B2686,A2687-A2686&gt;$U$1),1,""))&lt;&gt;1,"",IF(C2687="B01",1965,IF(C2687="B02",1020,IF(C2687="B05",2400,IF(C2687="B03",4260,IF(C2687="B04",2880,IF(C2687="B20",1260,0)))))))</f>
        <v/>
      </c>
      <c r="F2687" s="8" t="str">
        <f>IF(IF(D2687&lt;&gt;D2686,1,IF(OR(B2687&lt;&gt;B2686,A2687-A2686&gt;$U$1),1,""))&lt;&gt;1,"",IF(C2687="B01",1,IF(C2687="B05",1,IF(C2687="B03",1,IF(C2687="B04",1,IF(C2687="B20",1,IF(C2687="B02",1,0)))))))</f>
        <v/>
      </c>
      <c r="G2687"/>
      <c r="H2687" s="2"/>
      <c r="I2687" s="2"/>
      <c r="L2687"/>
      <c r="R2687"/>
    </row>
    <row r="2688" spans="1:18">
      <c r="A2688" s="3">
        <v>45753.457916666666</v>
      </c>
      <c r="B2688" s="2" t="s">
        <v>33</v>
      </c>
      <c r="C2688" s="2" t="s">
        <v>11</v>
      </c>
      <c r="D2688" s="6" t="str">
        <f>CONCATENATE(YEAR(A2688),"/",IF(MONTH(A2688)&lt;10,CONCATENATE("0",MONTH(A2688)),MONTH(A2688)))</f>
        <v>2025/04</v>
      </c>
      <c r="E2688" s="8" t="str">
        <f>IF(IF(D2688&lt;&gt;D2687,1,IF(OR(B2688&lt;&gt;B2687,A2688-A2687&gt;$U$1),1,""))&lt;&gt;1,"",IF(C2688="B01",1965,IF(C2688="B02",1020,IF(C2688="B05",2400,IF(C2688="B03",4260,IF(C2688="B04",2880,IF(C2688="B20",1260,0)))))))</f>
        <v/>
      </c>
      <c r="F2688" s="8" t="str">
        <f>IF(IF(D2688&lt;&gt;D2687,1,IF(OR(B2688&lt;&gt;B2687,A2688-A2687&gt;$U$1),1,""))&lt;&gt;1,"",IF(C2688="B01",1,IF(C2688="B05",1,IF(C2688="B03",1,IF(C2688="B04",1,IF(C2688="B20",1,IF(C2688="B02",1,0)))))))</f>
        <v/>
      </c>
      <c r="G2688"/>
      <c r="H2688" s="2"/>
      <c r="I2688" s="2"/>
      <c r="L2688"/>
      <c r="R2688"/>
    </row>
    <row r="2689" spans="1:18">
      <c r="A2689" s="3">
        <v>45753.457916666666</v>
      </c>
      <c r="B2689" s="2" t="s">
        <v>33</v>
      </c>
      <c r="C2689" s="2" t="s">
        <v>11</v>
      </c>
      <c r="D2689" s="6" t="str">
        <f>CONCATENATE(YEAR(A2689),"/",IF(MONTH(A2689)&lt;10,CONCATENATE("0",MONTH(A2689)),MONTH(A2689)))</f>
        <v>2025/04</v>
      </c>
      <c r="E2689" s="8" t="str">
        <f>IF(IF(D2689&lt;&gt;D2688,1,IF(OR(B2689&lt;&gt;B2688,A2689-A2688&gt;$U$1),1,""))&lt;&gt;1,"",IF(C2689="B01",1965,IF(C2689="B02",1020,IF(C2689="B05",2400,IF(C2689="B03",4260,IF(C2689="B04",2880,IF(C2689="B20",1260,0)))))))</f>
        <v/>
      </c>
      <c r="F2689" s="8" t="str">
        <f>IF(IF(D2689&lt;&gt;D2688,1,IF(OR(B2689&lt;&gt;B2688,A2689-A2688&gt;$U$1),1,""))&lt;&gt;1,"",IF(C2689="B01",1,IF(C2689="B05",1,IF(C2689="B03",1,IF(C2689="B04",1,IF(C2689="B20",1,IF(C2689="B02",1,0)))))))</f>
        <v/>
      </c>
      <c r="G2689"/>
      <c r="H2689" s="2"/>
      <c r="I2689" s="2"/>
      <c r="L2689"/>
      <c r="R2689"/>
    </row>
    <row r="2690" spans="1:18">
      <c r="A2690" s="3">
        <v>45753.840798611112</v>
      </c>
      <c r="B2690" s="2" t="s">
        <v>33</v>
      </c>
      <c r="C2690" s="2" t="s">
        <v>11</v>
      </c>
      <c r="D2690" s="6" t="str">
        <f>CONCATENATE(YEAR(A2690),"/",IF(MONTH(A2690)&lt;10,CONCATENATE("0",MONTH(A2690)),MONTH(A2690)))</f>
        <v>2025/04</v>
      </c>
      <c r="E2690" s="8">
        <f>IF(IF(D2690&lt;&gt;D2689,1,IF(OR(B2690&lt;&gt;B2689,A2690-A2689&gt;$U$1),1,""))&lt;&gt;1,"",IF(C2690="B01",1965,IF(C2690="B02",1020,IF(C2690="B05",2400,IF(C2690="B03",4260,IF(C2690="B04",2880,IF(C2690="B20",1260,0)))))))</f>
        <v>2400</v>
      </c>
      <c r="F2690" s="8">
        <f>IF(IF(D2690&lt;&gt;D2689,1,IF(OR(B2690&lt;&gt;B2689,A2690-A2689&gt;$U$1),1,""))&lt;&gt;1,"",IF(C2690="B01",1,IF(C2690="B05",1,IF(C2690="B03",1,IF(C2690="B04",1,IF(C2690="B20",1,IF(C2690="B02",1,0)))))))</f>
        <v>1</v>
      </c>
      <c r="G2690"/>
      <c r="H2690" s="2"/>
      <c r="I2690" s="2"/>
      <c r="L2690"/>
      <c r="R2690"/>
    </row>
    <row r="2691" spans="1:18">
      <c r="A2691" s="3">
        <v>45753.840798611112</v>
      </c>
      <c r="B2691" s="2" t="s">
        <v>33</v>
      </c>
      <c r="C2691" s="2" t="s">
        <v>11</v>
      </c>
      <c r="D2691" s="6" t="str">
        <f>CONCATENATE(YEAR(A2691),"/",IF(MONTH(A2691)&lt;10,CONCATENATE("0",MONTH(A2691)),MONTH(A2691)))</f>
        <v>2025/04</v>
      </c>
      <c r="E2691" s="8" t="str">
        <f>IF(IF(D2691&lt;&gt;D2690,1,IF(OR(B2691&lt;&gt;B2690,A2691-A2690&gt;$U$1),1,""))&lt;&gt;1,"",IF(C2691="B01",1965,IF(C2691="B02",1020,IF(C2691="B05",2400,IF(C2691="B03",4260,IF(C2691="B04",2880,IF(C2691="B20",1260,0)))))))</f>
        <v/>
      </c>
      <c r="F2691" s="8" t="str">
        <f>IF(IF(D2691&lt;&gt;D2690,1,IF(OR(B2691&lt;&gt;B2690,A2691-A2690&gt;$U$1),1,""))&lt;&gt;1,"",IF(C2691="B01",1,IF(C2691="B05",1,IF(C2691="B03",1,IF(C2691="B04",1,IF(C2691="B20",1,IF(C2691="B02",1,0)))))))</f>
        <v/>
      </c>
      <c r="G2691"/>
      <c r="H2691" s="2"/>
      <c r="I2691" s="2"/>
      <c r="L2691"/>
      <c r="R2691"/>
    </row>
    <row r="2692" spans="1:18">
      <c r="A2692" s="3">
        <v>45753.969143518516</v>
      </c>
      <c r="B2692" s="2" t="s">
        <v>33</v>
      </c>
      <c r="C2692" s="2" t="s">
        <v>11</v>
      </c>
      <c r="D2692" s="6" t="str">
        <f>CONCATENATE(YEAR(A2692),"/",IF(MONTH(A2692)&lt;10,CONCATENATE("0",MONTH(A2692)),MONTH(A2692)))</f>
        <v>2025/04</v>
      </c>
      <c r="E2692" s="8">
        <f>IF(IF(D2692&lt;&gt;D2691,1,IF(OR(B2692&lt;&gt;B2691,A2692-A2691&gt;$U$1),1,""))&lt;&gt;1,"",IF(C2692="B01",1965,IF(C2692="B02",1020,IF(C2692="B05",2400,IF(C2692="B03",4260,IF(C2692="B04",2880,IF(C2692="B20",1260,0)))))))</f>
        <v>2400</v>
      </c>
      <c r="F2692" s="8">
        <f>IF(IF(D2692&lt;&gt;D2691,1,IF(OR(B2692&lt;&gt;B2691,A2692-A2691&gt;$U$1),1,""))&lt;&gt;1,"",IF(C2692="B01",1,IF(C2692="B05",1,IF(C2692="B03",1,IF(C2692="B04",1,IF(C2692="B20",1,IF(C2692="B02",1,0)))))))</f>
        <v>1</v>
      </c>
      <c r="G2692"/>
      <c r="H2692" s="2"/>
      <c r="I2692" s="2"/>
      <c r="L2692"/>
      <c r="R2692"/>
    </row>
    <row r="2693" spans="1:18">
      <c r="A2693" s="3">
        <v>45753.969143518516</v>
      </c>
      <c r="B2693" s="2" t="s">
        <v>33</v>
      </c>
      <c r="C2693" s="2" t="s">
        <v>11</v>
      </c>
      <c r="D2693" s="6" t="str">
        <f>CONCATENATE(YEAR(A2693),"/",IF(MONTH(A2693)&lt;10,CONCATENATE("0",MONTH(A2693)),MONTH(A2693)))</f>
        <v>2025/04</v>
      </c>
      <c r="E2693" s="8" t="str">
        <f>IF(IF(D2693&lt;&gt;D2692,1,IF(OR(B2693&lt;&gt;B2692,A2693-A2692&gt;$U$1),1,""))&lt;&gt;1,"",IF(C2693="B01",1965,IF(C2693="B02",1020,IF(C2693="B05",2400,IF(C2693="B03",4260,IF(C2693="B04",2880,IF(C2693="B20",1260,0)))))))</f>
        <v/>
      </c>
      <c r="F2693" s="8" t="str">
        <f>IF(IF(D2693&lt;&gt;D2692,1,IF(OR(B2693&lt;&gt;B2692,A2693-A2692&gt;$U$1),1,""))&lt;&gt;1,"",IF(C2693="B01",1,IF(C2693="B05",1,IF(C2693="B03",1,IF(C2693="B04",1,IF(C2693="B20",1,IF(C2693="B02",1,0)))))))</f>
        <v/>
      </c>
      <c r="G2693"/>
      <c r="H2693" s="2"/>
      <c r="I2693" s="2"/>
      <c r="L2693"/>
      <c r="R2693"/>
    </row>
    <row r="2694" spans="1:18">
      <c r="A2694" s="3">
        <v>45753.969143518516</v>
      </c>
      <c r="B2694" s="2" t="s">
        <v>33</v>
      </c>
      <c r="C2694" s="2" t="s">
        <v>11</v>
      </c>
      <c r="D2694" s="6" t="str">
        <f>CONCATENATE(YEAR(A2694),"/",IF(MONTH(A2694)&lt;10,CONCATENATE("0",MONTH(A2694)),MONTH(A2694)))</f>
        <v>2025/04</v>
      </c>
      <c r="E2694" s="8" t="str">
        <f>IF(IF(D2694&lt;&gt;D2693,1,IF(OR(B2694&lt;&gt;B2693,A2694-A2693&gt;$U$1),1,""))&lt;&gt;1,"",IF(C2694="B01",1965,IF(C2694="B02",1020,IF(C2694="B05",2400,IF(C2694="B03",4260,IF(C2694="B04",2880,IF(C2694="B20",1260,0)))))))</f>
        <v/>
      </c>
      <c r="F2694" s="8" t="str">
        <f>IF(IF(D2694&lt;&gt;D2693,1,IF(OR(B2694&lt;&gt;B2693,A2694-A2693&gt;$U$1),1,""))&lt;&gt;1,"",IF(C2694="B01",1,IF(C2694="B05",1,IF(C2694="B03",1,IF(C2694="B04",1,IF(C2694="B20",1,IF(C2694="B02",1,0)))))))</f>
        <v/>
      </c>
      <c r="G2694"/>
      <c r="H2694" s="2"/>
      <c r="I2694" s="2"/>
      <c r="L2694"/>
      <c r="R2694"/>
    </row>
    <row r="2695" spans="1:18">
      <c r="A2695" s="3">
        <v>45754.979722222219</v>
      </c>
      <c r="B2695" s="2" t="s">
        <v>33</v>
      </c>
      <c r="C2695" s="2" t="s">
        <v>11</v>
      </c>
      <c r="D2695" s="6" t="str">
        <f>CONCATENATE(YEAR(A2695),"/",IF(MONTH(A2695)&lt;10,CONCATENATE("0",MONTH(A2695)),MONTH(A2695)))</f>
        <v>2025/04</v>
      </c>
      <c r="E2695" s="8">
        <f>IF(IF(D2695&lt;&gt;D2694,1,IF(OR(B2695&lt;&gt;B2694,A2695-A2694&gt;$U$1),1,""))&lt;&gt;1,"",IF(C2695="B01",1965,IF(C2695="B02",1020,IF(C2695="B05",2400,IF(C2695="B03",4260,IF(C2695="B04",2880,IF(C2695="B20",1260,0)))))))</f>
        <v>2400</v>
      </c>
      <c r="F2695" s="8">
        <f>IF(IF(D2695&lt;&gt;D2694,1,IF(OR(B2695&lt;&gt;B2694,A2695-A2694&gt;$U$1),1,""))&lt;&gt;1,"",IF(C2695="B01",1,IF(C2695="B05",1,IF(C2695="B03",1,IF(C2695="B04",1,IF(C2695="B20",1,IF(C2695="B02",1,0)))))))</f>
        <v>1</v>
      </c>
      <c r="G2695"/>
      <c r="H2695" s="2"/>
      <c r="I2695" s="2"/>
      <c r="L2695"/>
      <c r="R2695"/>
    </row>
    <row r="2696" spans="1:18">
      <c r="A2696" s="3">
        <v>45754.979722222219</v>
      </c>
      <c r="B2696" s="2" t="s">
        <v>33</v>
      </c>
      <c r="C2696" s="2" t="s">
        <v>11</v>
      </c>
      <c r="D2696" s="6" t="str">
        <f>CONCATENATE(YEAR(A2696),"/",IF(MONTH(A2696)&lt;10,CONCATENATE("0",MONTH(A2696)),MONTH(A2696)))</f>
        <v>2025/04</v>
      </c>
      <c r="E2696" s="8" t="str">
        <f>IF(IF(D2696&lt;&gt;D2695,1,IF(OR(B2696&lt;&gt;B2695,A2696-A2695&gt;$U$1),1,""))&lt;&gt;1,"",IF(C2696="B01",1965,IF(C2696="B02",1020,IF(C2696="B05",2400,IF(C2696="B03",4260,IF(C2696="B04",2880,IF(C2696="B20",1260,0)))))))</f>
        <v/>
      </c>
      <c r="F2696" s="8" t="str">
        <f>IF(IF(D2696&lt;&gt;D2695,1,IF(OR(B2696&lt;&gt;B2695,A2696-A2695&gt;$U$1),1,""))&lt;&gt;1,"",IF(C2696="B01",1,IF(C2696="B05",1,IF(C2696="B03",1,IF(C2696="B04",1,IF(C2696="B20",1,IF(C2696="B02",1,0)))))))</f>
        <v/>
      </c>
      <c r="G2696"/>
      <c r="H2696" s="2"/>
      <c r="I2696" s="2"/>
      <c r="L2696"/>
      <c r="R2696"/>
    </row>
    <row r="2697" spans="1:18">
      <c r="A2697" s="3">
        <v>45754.979722222219</v>
      </c>
      <c r="B2697" s="2" t="s">
        <v>33</v>
      </c>
      <c r="C2697" s="2" t="s">
        <v>11</v>
      </c>
      <c r="D2697" s="6" t="str">
        <f>CONCATENATE(YEAR(A2697),"/",IF(MONTH(A2697)&lt;10,CONCATENATE("0",MONTH(A2697)),MONTH(A2697)))</f>
        <v>2025/04</v>
      </c>
      <c r="E2697" s="8" t="str">
        <f>IF(IF(D2697&lt;&gt;D2696,1,IF(OR(B2697&lt;&gt;B2696,A2697-A2696&gt;$U$1),1,""))&lt;&gt;1,"",IF(C2697="B01",1965,IF(C2697="B02",1020,IF(C2697="B05",2400,IF(C2697="B03",4260,IF(C2697="B04",2880,IF(C2697="B20",1260,0)))))))</f>
        <v/>
      </c>
      <c r="F2697" s="8" t="str">
        <f>IF(IF(D2697&lt;&gt;D2696,1,IF(OR(B2697&lt;&gt;B2696,A2697-A2696&gt;$U$1),1,""))&lt;&gt;1,"",IF(C2697="B01",1,IF(C2697="B05",1,IF(C2697="B03",1,IF(C2697="B04",1,IF(C2697="B20",1,IF(C2697="B02",1,0)))))))</f>
        <v/>
      </c>
      <c r="G2697"/>
      <c r="H2697" s="2"/>
      <c r="I2697" s="2"/>
      <c r="L2697"/>
      <c r="R2697"/>
    </row>
    <row r="2698" spans="1:18">
      <c r="A2698" s="3">
        <v>45754.989733796298</v>
      </c>
      <c r="B2698" s="2" t="s">
        <v>33</v>
      </c>
      <c r="C2698" s="2" t="s">
        <v>11</v>
      </c>
      <c r="D2698" s="6" t="str">
        <f>CONCATENATE(YEAR(A2698),"/",IF(MONTH(A2698)&lt;10,CONCATENATE("0",MONTH(A2698)),MONTH(A2698)))</f>
        <v>2025/04</v>
      </c>
      <c r="E2698" s="8" t="str">
        <f>IF(IF(D2698&lt;&gt;D2697,1,IF(OR(B2698&lt;&gt;B2697,A2698-A2697&gt;$U$1),1,""))&lt;&gt;1,"",IF(C2698="B01",1965,IF(C2698="B02",1020,IF(C2698="B05",2400,IF(C2698="B03",4260,IF(C2698="B04",2880,IF(C2698="B20",1260,0)))))))</f>
        <v/>
      </c>
      <c r="F2698" s="8" t="str">
        <f>IF(IF(D2698&lt;&gt;D2697,1,IF(OR(B2698&lt;&gt;B2697,A2698-A2697&gt;$U$1),1,""))&lt;&gt;1,"",IF(C2698="B01",1,IF(C2698="B05",1,IF(C2698="B03",1,IF(C2698="B04",1,IF(C2698="B20",1,IF(C2698="B02",1,0)))))))</f>
        <v/>
      </c>
      <c r="G2698"/>
      <c r="H2698" s="2"/>
      <c r="I2698" s="2"/>
      <c r="L2698"/>
      <c r="R2698"/>
    </row>
    <row r="2699" spans="1:18">
      <c r="A2699" s="3">
        <v>45755.117118055554</v>
      </c>
      <c r="B2699" s="2" t="s">
        <v>33</v>
      </c>
      <c r="C2699" s="2" t="s">
        <v>11</v>
      </c>
      <c r="D2699" s="6" t="str">
        <f>CONCATENATE(YEAR(A2699),"/",IF(MONTH(A2699)&lt;10,CONCATENATE("0",MONTH(A2699)),MONTH(A2699)))</f>
        <v>2025/04</v>
      </c>
      <c r="E2699" s="8">
        <f>IF(IF(D2699&lt;&gt;D2698,1,IF(OR(B2699&lt;&gt;B2698,A2699-A2698&gt;$U$1),1,""))&lt;&gt;1,"",IF(C2699="B01",1965,IF(C2699="B02",1020,IF(C2699="B05",2400,IF(C2699="B03",4260,IF(C2699="B04",2880,IF(C2699="B20",1260,0)))))))</f>
        <v>2400</v>
      </c>
      <c r="F2699" s="8">
        <f>IF(IF(D2699&lt;&gt;D2698,1,IF(OR(B2699&lt;&gt;B2698,A2699-A2698&gt;$U$1),1,""))&lt;&gt;1,"",IF(C2699="B01",1,IF(C2699="B05",1,IF(C2699="B03",1,IF(C2699="B04",1,IF(C2699="B20",1,IF(C2699="B02",1,0)))))))</f>
        <v>1</v>
      </c>
      <c r="G2699"/>
      <c r="H2699" s="2"/>
      <c r="I2699" s="2"/>
      <c r="L2699"/>
      <c r="R2699"/>
    </row>
    <row r="2700" spans="1:18">
      <c r="A2700" s="3">
        <v>45755.117118055554</v>
      </c>
      <c r="B2700" s="2" t="s">
        <v>33</v>
      </c>
      <c r="C2700" s="2" t="s">
        <v>11</v>
      </c>
      <c r="D2700" s="6" t="str">
        <f>CONCATENATE(YEAR(A2700),"/",IF(MONTH(A2700)&lt;10,CONCATENATE("0",MONTH(A2700)),MONTH(A2700)))</f>
        <v>2025/04</v>
      </c>
      <c r="E2700" s="8" t="str">
        <f>IF(IF(D2700&lt;&gt;D2699,1,IF(OR(B2700&lt;&gt;B2699,A2700-A2699&gt;$U$1),1,""))&lt;&gt;1,"",IF(C2700="B01",1965,IF(C2700="B02",1020,IF(C2700="B05",2400,IF(C2700="B03",4260,IF(C2700="B04",2880,IF(C2700="B20",1260,0)))))))</f>
        <v/>
      </c>
      <c r="F2700" s="8" t="str">
        <f>IF(IF(D2700&lt;&gt;D2699,1,IF(OR(B2700&lt;&gt;B2699,A2700-A2699&gt;$U$1),1,""))&lt;&gt;1,"",IF(C2700="B01",1,IF(C2700="B05",1,IF(C2700="B03",1,IF(C2700="B04",1,IF(C2700="B20",1,IF(C2700="B02",1,0)))))))</f>
        <v/>
      </c>
      <c r="G2700"/>
      <c r="H2700" s="2"/>
      <c r="I2700" s="2"/>
      <c r="L2700"/>
      <c r="R2700"/>
    </row>
    <row r="2701" spans="1:18">
      <c r="A2701" s="3">
        <v>45755.23678240741</v>
      </c>
      <c r="B2701" s="2" t="s">
        <v>33</v>
      </c>
      <c r="C2701" s="2" t="s">
        <v>11</v>
      </c>
      <c r="D2701" s="6" t="str">
        <f>CONCATENATE(YEAR(A2701),"/",IF(MONTH(A2701)&lt;10,CONCATENATE("0",MONTH(A2701)),MONTH(A2701)))</f>
        <v>2025/04</v>
      </c>
      <c r="E2701" s="8">
        <f>IF(IF(D2701&lt;&gt;D2700,1,IF(OR(B2701&lt;&gt;B2700,A2701-A2700&gt;$U$1),1,""))&lt;&gt;1,"",IF(C2701="B01",1965,IF(C2701="B02",1020,IF(C2701="B05",2400,IF(C2701="B03",4260,IF(C2701="B04",2880,IF(C2701="B20",1260,0)))))))</f>
        <v>2400</v>
      </c>
      <c r="F2701" s="8">
        <f>IF(IF(D2701&lt;&gt;D2700,1,IF(OR(B2701&lt;&gt;B2700,A2701-A2700&gt;$U$1),1,""))&lt;&gt;1,"",IF(C2701="B01",1,IF(C2701="B05",1,IF(C2701="B03",1,IF(C2701="B04",1,IF(C2701="B20",1,IF(C2701="B02",1,0)))))))</f>
        <v>1</v>
      </c>
      <c r="G2701"/>
      <c r="H2701" s="2"/>
      <c r="I2701" s="2"/>
      <c r="L2701"/>
      <c r="R2701"/>
    </row>
    <row r="2702" spans="1:18">
      <c r="A2702" s="3">
        <v>45755.23678240741</v>
      </c>
      <c r="B2702" s="2" t="s">
        <v>33</v>
      </c>
      <c r="C2702" s="2" t="s">
        <v>11</v>
      </c>
      <c r="D2702" s="6" t="str">
        <f>CONCATENATE(YEAR(A2702),"/",IF(MONTH(A2702)&lt;10,CONCATENATE("0",MONTH(A2702)),MONTH(A2702)))</f>
        <v>2025/04</v>
      </c>
      <c r="E2702" s="8" t="str">
        <f>IF(IF(D2702&lt;&gt;D2701,1,IF(OR(B2702&lt;&gt;B2701,A2702-A2701&gt;$U$1),1,""))&lt;&gt;1,"",IF(C2702="B01",1965,IF(C2702="B02",1020,IF(C2702="B05",2400,IF(C2702="B03",4260,IF(C2702="B04",2880,IF(C2702="B20",1260,0)))))))</f>
        <v/>
      </c>
      <c r="F2702" s="8" t="str">
        <f>IF(IF(D2702&lt;&gt;D2701,1,IF(OR(B2702&lt;&gt;B2701,A2702-A2701&gt;$U$1),1,""))&lt;&gt;1,"",IF(C2702="B01",1,IF(C2702="B05",1,IF(C2702="B03",1,IF(C2702="B04",1,IF(C2702="B20",1,IF(C2702="B02",1,0)))))))</f>
        <v/>
      </c>
      <c r="G2702"/>
      <c r="H2702" s="2"/>
      <c r="I2702" s="2"/>
      <c r="L2702"/>
      <c r="R2702"/>
    </row>
    <row r="2703" spans="1:18">
      <c r="A2703" s="3">
        <v>45755.443749999999</v>
      </c>
      <c r="B2703" s="2" t="s">
        <v>33</v>
      </c>
      <c r="C2703" s="2" t="s">
        <v>11</v>
      </c>
      <c r="D2703" s="6" t="str">
        <f>CONCATENATE(YEAR(A2703),"/",IF(MONTH(A2703)&lt;10,CONCATENATE("0",MONTH(A2703)),MONTH(A2703)))</f>
        <v>2025/04</v>
      </c>
      <c r="E2703" s="8">
        <f>IF(IF(D2703&lt;&gt;D2702,1,IF(OR(B2703&lt;&gt;B2702,A2703-A2702&gt;$U$1),1,""))&lt;&gt;1,"",IF(C2703="B01",1965,IF(C2703="B02",1020,IF(C2703="B05",2400,IF(C2703="B03",4260,IF(C2703="B04",2880,IF(C2703="B20",1260,0)))))))</f>
        <v>2400</v>
      </c>
      <c r="F2703" s="8">
        <f>IF(IF(D2703&lt;&gt;D2702,1,IF(OR(B2703&lt;&gt;B2702,A2703-A2702&gt;$U$1),1,""))&lt;&gt;1,"",IF(C2703="B01",1,IF(C2703="B05",1,IF(C2703="B03",1,IF(C2703="B04",1,IF(C2703="B20",1,IF(C2703="B02",1,0)))))))</f>
        <v>1</v>
      </c>
      <c r="G2703"/>
      <c r="H2703" s="2"/>
      <c r="I2703" s="2"/>
      <c r="L2703"/>
      <c r="R2703"/>
    </row>
    <row r="2704" spans="1:18">
      <c r="A2704" s="3">
        <v>45755.443749999999</v>
      </c>
      <c r="B2704" s="2" t="s">
        <v>33</v>
      </c>
      <c r="C2704" s="2" t="s">
        <v>11</v>
      </c>
      <c r="D2704" s="6" t="str">
        <f>CONCATENATE(YEAR(A2704),"/",IF(MONTH(A2704)&lt;10,CONCATENATE("0",MONTH(A2704)),MONTH(A2704)))</f>
        <v>2025/04</v>
      </c>
      <c r="E2704" s="8" t="str">
        <f>IF(IF(D2704&lt;&gt;D2703,1,IF(OR(B2704&lt;&gt;B2703,A2704-A2703&gt;$U$1),1,""))&lt;&gt;1,"",IF(C2704="B01",1965,IF(C2704="B02",1020,IF(C2704="B05",2400,IF(C2704="B03",4260,IF(C2704="B04",2880,IF(C2704="B20",1260,0)))))))</f>
        <v/>
      </c>
      <c r="F2704" s="8" t="str">
        <f>IF(IF(D2704&lt;&gt;D2703,1,IF(OR(B2704&lt;&gt;B2703,A2704-A2703&gt;$U$1),1,""))&lt;&gt;1,"",IF(C2704="B01",1,IF(C2704="B05",1,IF(C2704="B03",1,IF(C2704="B04",1,IF(C2704="B20",1,IF(C2704="B02",1,0)))))))</f>
        <v/>
      </c>
      <c r="G2704"/>
      <c r="H2704" s="2"/>
      <c r="I2704" s="2"/>
      <c r="L2704"/>
      <c r="R2704"/>
    </row>
    <row r="2705" spans="1:18">
      <c r="A2705" s="3">
        <v>45755.625752314816</v>
      </c>
      <c r="B2705" s="2" t="s">
        <v>33</v>
      </c>
      <c r="C2705" s="2" t="s">
        <v>11</v>
      </c>
      <c r="D2705" s="6" t="str">
        <f>CONCATENATE(YEAR(A2705),"/",IF(MONTH(A2705)&lt;10,CONCATENATE("0",MONTH(A2705)),MONTH(A2705)))</f>
        <v>2025/04</v>
      </c>
      <c r="E2705" s="8">
        <f>IF(IF(D2705&lt;&gt;D2704,1,IF(OR(B2705&lt;&gt;B2704,A2705-A2704&gt;$U$1),1,""))&lt;&gt;1,"",IF(C2705="B01",1965,IF(C2705="B02",1020,IF(C2705="B05",2400,IF(C2705="B03",4260,IF(C2705="B04",2880,IF(C2705="B20",1260,0)))))))</f>
        <v>2400</v>
      </c>
      <c r="F2705" s="8">
        <f>IF(IF(D2705&lt;&gt;D2704,1,IF(OR(B2705&lt;&gt;B2704,A2705-A2704&gt;$U$1),1,""))&lt;&gt;1,"",IF(C2705="B01",1,IF(C2705="B05",1,IF(C2705="B03",1,IF(C2705="B04",1,IF(C2705="B20",1,IF(C2705="B02",1,0)))))))</f>
        <v>1</v>
      </c>
      <c r="G2705"/>
      <c r="H2705" s="2"/>
      <c r="I2705" s="2"/>
      <c r="L2705"/>
      <c r="R2705"/>
    </row>
    <row r="2706" spans="1:18">
      <c r="A2706" s="3">
        <v>45755.625752314816</v>
      </c>
      <c r="B2706" s="2" t="s">
        <v>33</v>
      </c>
      <c r="C2706" s="2" t="s">
        <v>11</v>
      </c>
      <c r="D2706" s="6" t="str">
        <f>CONCATENATE(YEAR(A2706),"/",IF(MONTH(A2706)&lt;10,CONCATENATE("0",MONTH(A2706)),MONTH(A2706)))</f>
        <v>2025/04</v>
      </c>
      <c r="E2706" s="8" t="str">
        <f>IF(IF(D2706&lt;&gt;D2705,1,IF(OR(B2706&lt;&gt;B2705,A2706-A2705&gt;$U$1),1,""))&lt;&gt;1,"",IF(C2706="B01",1965,IF(C2706="B02",1020,IF(C2706="B05",2400,IF(C2706="B03",4260,IF(C2706="B04",2880,IF(C2706="B20",1260,0)))))))</f>
        <v/>
      </c>
      <c r="F2706" s="8" t="str">
        <f>IF(IF(D2706&lt;&gt;D2705,1,IF(OR(B2706&lt;&gt;B2705,A2706-A2705&gt;$U$1),1,""))&lt;&gt;1,"",IF(C2706="B01",1,IF(C2706="B05",1,IF(C2706="B03",1,IF(C2706="B04",1,IF(C2706="B20",1,IF(C2706="B02",1,0)))))))</f>
        <v/>
      </c>
      <c r="G2706"/>
      <c r="H2706" s="2"/>
      <c r="I2706" s="2"/>
      <c r="L2706"/>
      <c r="R2706"/>
    </row>
    <row r="2707" spans="1:18">
      <c r="A2707" s="3">
        <v>45755.625752314816</v>
      </c>
      <c r="B2707" s="2" t="s">
        <v>33</v>
      </c>
      <c r="C2707" s="2" t="s">
        <v>11</v>
      </c>
      <c r="D2707" s="6" t="str">
        <f>CONCATENATE(YEAR(A2707),"/",IF(MONTH(A2707)&lt;10,CONCATENATE("0",MONTH(A2707)),MONTH(A2707)))</f>
        <v>2025/04</v>
      </c>
      <c r="E2707" s="8" t="str">
        <f>IF(IF(D2707&lt;&gt;D2706,1,IF(OR(B2707&lt;&gt;B2706,A2707-A2706&gt;$U$1),1,""))&lt;&gt;1,"",IF(C2707="B01",1965,IF(C2707="B02",1020,IF(C2707="B05",2400,IF(C2707="B03",4260,IF(C2707="B04",2880,IF(C2707="B20",1260,0)))))))</f>
        <v/>
      </c>
      <c r="F2707" s="8" t="str">
        <f>IF(IF(D2707&lt;&gt;D2706,1,IF(OR(B2707&lt;&gt;B2706,A2707-A2706&gt;$U$1),1,""))&lt;&gt;1,"",IF(C2707="B01",1,IF(C2707="B05",1,IF(C2707="B03",1,IF(C2707="B04",1,IF(C2707="B20",1,IF(C2707="B02",1,0)))))))</f>
        <v/>
      </c>
      <c r="G2707"/>
      <c r="H2707" s="2"/>
      <c r="I2707" s="2"/>
      <c r="L2707"/>
      <c r="R2707"/>
    </row>
    <row r="2708" spans="1:18">
      <c r="A2708" s="3">
        <v>45755.784444444442</v>
      </c>
      <c r="B2708" s="2" t="s">
        <v>33</v>
      </c>
      <c r="C2708" s="2" t="s">
        <v>11</v>
      </c>
      <c r="D2708" s="6" t="str">
        <f>CONCATENATE(YEAR(A2708),"/",IF(MONTH(A2708)&lt;10,CONCATENATE("0",MONTH(A2708)),MONTH(A2708)))</f>
        <v>2025/04</v>
      </c>
      <c r="E2708" s="8">
        <f>IF(IF(D2708&lt;&gt;D2707,1,IF(OR(B2708&lt;&gt;B2707,A2708-A2707&gt;$U$1),1,""))&lt;&gt;1,"",IF(C2708="B01",1965,IF(C2708="B02",1020,IF(C2708="B05",2400,IF(C2708="B03",4260,IF(C2708="B04",2880,IF(C2708="B20",1260,0)))))))</f>
        <v>2400</v>
      </c>
      <c r="F2708" s="8">
        <f>IF(IF(D2708&lt;&gt;D2707,1,IF(OR(B2708&lt;&gt;B2707,A2708-A2707&gt;$U$1),1,""))&lt;&gt;1,"",IF(C2708="B01",1,IF(C2708="B05",1,IF(C2708="B03",1,IF(C2708="B04",1,IF(C2708="B20",1,IF(C2708="B02",1,0)))))))</f>
        <v>1</v>
      </c>
      <c r="G2708"/>
      <c r="H2708" s="2"/>
      <c r="I2708" s="2"/>
      <c r="L2708"/>
      <c r="R2708"/>
    </row>
    <row r="2709" spans="1:18">
      <c r="A2709" s="3">
        <v>45755.784444444442</v>
      </c>
      <c r="B2709" s="2" t="s">
        <v>33</v>
      </c>
      <c r="C2709" s="2" t="s">
        <v>11</v>
      </c>
      <c r="D2709" s="6" t="str">
        <f>CONCATENATE(YEAR(A2709),"/",IF(MONTH(A2709)&lt;10,CONCATENATE("0",MONTH(A2709)),MONTH(A2709)))</f>
        <v>2025/04</v>
      </c>
      <c r="E2709" s="8" t="str">
        <f>IF(IF(D2709&lt;&gt;D2708,1,IF(OR(B2709&lt;&gt;B2708,A2709-A2708&gt;$U$1),1,""))&lt;&gt;1,"",IF(C2709="B01",1965,IF(C2709="B02",1020,IF(C2709="B05",2400,IF(C2709="B03",4260,IF(C2709="B04",2880,IF(C2709="B20",1260,0)))))))</f>
        <v/>
      </c>
      <c r="F2709" s="8" t="str">
        <f>IF(IF(D2709&lt;&gt;D2708,1,IF(OR(B2709&lt;&gt;B2708,A2709-A2708&gt;$U$1),1,""))&lt;&gt;1,"",IF(C2709="B01",1,IF(C2709="B05",1,IF(C2709="B03",1,IF(C2709="B04",1,IF(C2709="B20",1,IF(C2709="B02",1,0)))))))</f>
        <v/>
      </c>
      <c r="G2709"/>
      <c r="H2709" s="2"/>
      <c r="I2709" s="2"/>
      <c r="L2709"/>
      <c r="R2709"/>
    </row>
    <row r="2710" spans="1:18">
      <c r="A2710" s="3">
        <v>45755.907569444447</v>
      </c>
      <c r="B2710" s="2" t="s">
        <v>33</v>
      </c>
      <c r="C2710" s="2" t="s">
        <v>11</v>
      </c>
      <c r="D2710" s="6" t="str">
        <f>CONCATENATE(YEAR(A2710),"/",IF(MONTH(A2710)&lt;10,CONCATENATE("0",MONTH(A2710)),MONTH(A2710)))</f>
        <v>2025/04</v>
      </c>
      <c r="E2710" s="8">
        <f>IF(IF(D2710&lt;&gt;D2709,1,IF(OR(B2710&lt;&gt;B2709,A2710-A2709&gt;$U$1),1,""))&lt;&gt;1,"",IF(C2710="B01",1965,IF(C2710="B02",1020,IF(C2710="B05",2400,IF(C2710="B03",4260,IF(C2710="B04",2880,IF(C2710="B20",1260,0)))))))</f>
        <v>2400</v>
      </c>
      <c r="F2710" s="8">
        <f>IF(IF(D2710&lt;&gt;D2709,1,IF(OR(B2710&lt;&gt;B2709,A2710-A2709&gt;$U$1),1,""))&lt;&gt;1,"",IF(C2710="B01",1,IF(C2710="B05",1,IF(C2710="B03",1,IF(C2710="B04",1,IF(C2710="B20",1,IF(C2710="B02",1,0)))))))</f>
        <v>1</v>
      </c>
      <c r="G2710"/>
      <c r="H2710" s="2"/>
      <c r="I2710" s="2"/>
      <c r="L2710"/>
      <c r="R2710"/>
    </row>
    <row r="2711" spans="1:18">
      <c r="A2711" s="3">
        <v>45755.907569444447</v>
      </c>
      <c r="B2711" s="2" t="s">
        <v>33</v>
      </c>
      <c r="C2711" s="2" t="s">
        <v>11</v>
      </c>
      <c r="D2711" s="6" t="str">
        <f>CONCATENATE(YEAR(A2711),"/",IF(MONTH(A2711)&lt;10,CONCATENATE("0",MONTH(A2711)),MONTH(A2711)))</f>
        <v>2025/04</v>
      </c>
      <c r="E2711" s="8" t="str">
        <f>IF(IF(D2711&lt;&gt;D2710,1,IF(OR(B2711&lt;&gt;B2710,A2711-A2710&gt;$U$1),1,""))&lt;&gt;1,"",IF(C2711="B01",1965,IF(C2711="B02",1020,IF(C2711="B05",2400,IF(C2711="B03",4260,IF(C2711="B04",2880,IF(C2711="B20",1260,0)))))))</f>
        <v/>
      </c>
      <c r="F2711" s="8" t="str">
        <f>IF(IF(D2711&lt;&gt;D2710,1,IF(OR(B2711&lt;&gt;B2710,A2711-A2710&gt;$U$1),1,""))&lt;&gt;1,"",IF(C2711="B01",1,IF(C2711="B05",1,IF(C2711="B03",1,IF(C2711="B04",1,IF(C2711="B20",1,IF(C2711="B02",1,0)))))))</f>
        <v/>
      </c>
      <c r="G2711"/>
      <c r="H2711" s="2"/>
      <c r="I2711" s="2"/>
      <c r="L2711"/>
      <c r="R2711"/>
    </row>
    <row r="2712" spans="1:18">
      <c r="A2712" s="3">
        <v>45756.034733796296</v>
      </c>
      <c r="B2712" s="2" t="s">
        <v>33</v>
      </c>
      <c r="C2712" s="2" t="s">
        <v>11</v>
      </c>
      <c r="D2712" s="6" t="str">
        <f>CONCATENATE(YEAR(A2712),"/",IF(MONTH(A2712)&lt;10,CONCATENATE("0",MONTH(A2712)),MONTH(A2712)))</f>
        <v>2025/04</v>
      </c>
      <c r="E2712" s="8">
        <f>IF(IF(D2712&lt;&gt;D2711,1,IF(OR(B2712&lt;&gt;B2711,A2712-A2711&gt;$U$1),1,""))&lt;&gt;1,"",IF(C2712="B01",1965,IF(C2712="B02",1020,IF(C2712="B05",2400,IF(C2712="B03",4260,IF(C2712="B04",2880,IF(C2712="B20",1260,0)))))))</f>
        <v>2400</v>
      </c>
      <c r="F2712" s="8">
        <f>IF(IF(D2712&lt;&gt;D2711,1,IF(OR(B2712&lt;&gt;B2711,A2712-A2711&gt;$U$1),1,""))&lt;&gt;1,"",IF(C2712="B01",1,IF(C2712="B05",1,IF(C2712="B03",1,IF(C2712="B04",1,IF(C2712="B20",1,IF(C2712="B02",1,0)))))))</f>
        <v>1</v>
      </c>
      <c r="G2712"/>
      <c r="H2712" s="2"/>
      <c r="I2712" s="2"/>
      <c r="L2712"/>
      <c r="R2712"/>
    </row>
    <row r="2713" spans="1:18">
      <c r="A2713" s="3">
        <v>45756.034733796296</v>
      </c>
      <c r="B2713" s="2" t="s">
        <v>33</v>
      </c>
      <c r="C2713" s="2" t="s">
        <v>11</v>
      </c>
      <c r="D2713" s="6" t="str">
        <f>CONCATENATE(YEAR(A2713),"/",IF(MONTH(A2713)&lt;10,CONCATENATE("0",MONTH(A2713)),MONTH(A2713)))</f>
        <v>2025/04</v>
      </c>
      <c r="E2713" s="8" t="str">
        <f>IF(IF(D2713&lt;&gt;D2712,1,IF(OR(B2713&lt;&gt;B2712,A2713-A2712&gt;$U$1),1,""))&lt;&gt;1,"",IF(C2713="B01",1965,IF(C2713="B02",1020,IF(C2713="B05",2400,IF(C2713="B03",4260,IF(C2713="B04",2880,IF(C2713="B20",1260,0)))))))</f>
        <v/>
      </c>
      <c r="F2713" s="8" t="str">
        <f>IF(IF(D2713&lt;&gt;D2712,1,IF(OR(B2713&lt;&gt;B2712,A2713-A2712&gt;$U$1),1,""))&lt;&gt;1,"",IF(C2713="B01",1,IF(C2713="B05",1,IF(C2713="B03",1,IF(C2713="B04",1,IF(C2713="B20",1,IF(C2713="B02",1,0)))))))</f>
        <v/>
      </c>
      <c r="G2713"/>
      <c r="H2713" s="2"/>
      <c r="I2713" s="2"/>
      <c r="L2713"/>
      <c r="R2713"/>
    </row>
    <row r="2714" spans="1:18">
      <c r="A2714" s="3">
        <v>45756.034733796296</v>
      </c>
      <c r="B2714" s="2" t="s">
        <v>33</v>
      </c>
      <c r="C2714" s="2" t="s">
        <v>11</v>
      </c>
      <c r="D2714" s="6" t="str">
        <f>CONCATENATE(YEAR(A2714),"/",IF(MONTH(A2714)&lt;10,CONCATENATE("0",MONTH(A2714)),MONTH(A2714)))</f>
        <v>2025/04</v>
      </c>
      <c r="E2714" s="8" t="str">
        <f>IF(IF(D2714&lt;&gt;D2713,1,IF(OR(B2714&lt;&gt;B2713,A2714-A2713&gt;$U$1),1,""))&lt;&gt;1,"",IF(C2714="B01",1965,IF(C2714="B02",1020,IF(C2714="B05",2400,IF(C2714="B03",4260,IF(C2714="B04",2880,IF(C2714="B20",1260,0)))))))</f>
        <v/>
      </c>
      <c r="F2714" s="8" t="str">
        <f>IF(IF(D2714&lt;&gt;D2713,1,IF(OR(B2714&lt;&gt;B2713,A2714-A2713&gt;$U$1),1,""))&lt;&gt;1,"",IF(C2714="B01",1,IF(C2714="B05",1,IF(C2714="B03",1,IF(C2714="B04",1,IF(C2714="B20",1,IF(C2714="B02",1,0)))))))</f>
        <v/>
      </c>
      <c r="G2714"/>
      <c r="H2714" s="2"/>
      <c r="I2714" s="2"/>
      <c r="L2714"/>
      <c r="R2714"/>
    </row>
    <row r="2715" spans="1:18">
      <c r="A2715" s="3">
        <v>45756.431076388886</v>
      </c>
      <c r="B2715" s="2" t="s">
        <v>33</v>
      </c>
      <c r="C2715" s="2" t="s">
        <v>11</v>
      </c>
      <c r="D2715" s="6" t="str">
        <f>CONCATENATE(YEAR(A2715),"/",IF(MONTH(A2715)&lt;10,CONCATENATE("0",MONTH(A2715)),MONTH(A2715)))</f>
        <v>2025/04</v>
      </c>
      <c r="E2715" s="8">
        <f>IF(IF(D2715&lt;&gt;D2714,1,IF(OR(B2715&lt;&gt;B2714,A2715-A2714&gt;$U$1),1,""))&lt;&gt;1,"",IF(C2715="B01",1965,IF(C2715="B02",1020,IF(C2715="B05",2400,IF(C2715="B03",4260,IF(C2715="B04",2880,IF(C2715="B20",1260,0)))))))</f>
        <v>2400</v>
      </c>
      <c r="F2715" s="8">
        <f>IF(IF(D2715&lt;&gt;D2714,1,IF(OR(B2715&lt;&gt;B2714,A2715-A2714&gt;$U$1),1,""))&lt;&gt;1,"",IF(C2715="B01",1,IF(C2715="B05",1,IF(C2715="B03",1,IF(C2715="B04",1,IF(C2715="B20",1,IF(C2715="B02",1,0)))))))</f>
        <v>1</v>
      </c>
      <c r="G2715"/>
      <c r="H2715" s="2"/>
      <c r="I2715" s="2"/>
      <c r="L2715"/>
      <c r="R2715"/>
    </row>
    <row r="2716" spans="1:18">
      <c r="A2716" s="3">
        <v>45756.431076388886</v>
      </c>
      <c r="B2716" s="2" t="s">
        <v>33</v>
      </c>
      <c r="C2716" s="2" t="s">
        <v>11</v>
      </c>
      <c r="D2716" s="6" t="str">
        <f>CONCATENATE(YEAR(A2716),"/",IF(MONTH(A2716)&lt;10,CONCATENATE("0",MONTH(A2716)),MONTH(A2716)))</f>
        <v>2025/04</v>
      </c>
      <c r="E2716" s="8" t="str">
        <f>IF(IF(D2716&lt;&gt;D2715,1,IF(OR(B2716&lt;&gt;B2715,A2716-A2715&gt;$U$1),1,""))&lt;&gt;1,"",IF(C2716="B01",1965,IF(C2716="B02",1020,IF(C2716="B05",2400,IF(C2716="B03",4260,IF(C2716="B04",2880,IF(C2716="B20",1260,0)))))))</f>
        <v/>
      </c>
      <c r="F2716" s="8" t="str">
        <f>IF(IF(D2716&lt;&gt;D2715,1,IF(OR(B2716&lt;&gt;B2715,A2716-A2715&gt;$U$1),1,""))&lt;&gt;1,"",IF(C2716="B01",1,IF(C2716="B05",1,IF(C2716="B03",1,IF(C2716="B04",1,IF(C2716="B20",1,IF(C2716="B02",1,0)))))))</f>
        <v/>
      </c>
      <c r="G2716"/>
      <c r="H2716" s="2"/>
      <c r="I2716" s="2"/>
      <c r="L2716"/>
      <c r="R2716"/>
    </row>
    <row r="2717" spans="1:18">
      <c r="A2717" s="3">
        <v>45762.051076388889</v>
      </c>
      <c r="B2717" s="2" t="s">
        <v>33</v>
      </c>
      <c r="C2717" s="2" t="s">
        <v>12</v>
      </c>
      <c r="D2717" s="6" t="str">
        <f>CONCATENATE(YEAR(A2717),"/",IF(MONTH(A2717)&lt;10,CONCATENATE("0",MONTH(A2717)),MONTH(A2717)))</f>
        <v>2025/04</v>
      </c>
      <c r="E2717" s="8">
        <f>IF(IF(D2717&lt;&gt;D2716,1,IF(OR(B2717&lt;&gt;B2716,A2717-A2716&gt;$U$1),1,""))&lt;&gt;1,"",IF(C2717="B01",1965,IF(C2717="B02",1020,IF(C2717="B05",2400,IF(C2717="B03",4260,IF(C2717="B04",2880,IF(C2717="B20",1260,0)))))))</f>
        <v>4260</v>
      </c>
      <c r="F2717" s="8">
        <f>IF(IF(D2717&lt;&gt;D2716,1,IF(OR(B2717&lt;&gt;B2716,A2717-A2716&gt;$U$1),1,""))&lt;&gt;1,"",IF(C2717="B01",1,IF(C2717="B05",1,IF(C2717="B03",1,IF(C2717="B04",1,IF(C2717="B20",1,IF(C2717="B02",1,0)))))))</f>
        <v>1</v>
      </c>
      <c r="G2717"/>
      <c r="H2717" s="2"/>
      <c r="I2717" s="2"/>
      <c r="L2717"/>
      <c r="R2717"/>
    </row>
    <row r="2718" spans="1:18">
      <c r="A2718" s="3">
        <v>45762.051076388889</v>
      </c>
      <c r="B2718" s="2" t="s">
        <v>33</v>
      </c>
      <c r="C2718" s="2" t="s">
        <v>12</v>
      </c>
      <c r="D2718" s="6" t="str">
        <f>CONCATENATE(YEAR(A2718),"/",IF(MONTH(A2718)&lt;10,CONCATENATE("0",MONTH(A2718)),MONTH(A2718)))</f>
        <v>2025/04</v>
      </c>
      <c r="E2718" s="8" t="str">
        <f>IF(IF(D2718&lt;&gt;D2717,1,IF(OR(B2718&lt;&gt;B2717,A2718-A2717&gt;$U$1),1,""))&lt;&gt;1,"",IF(C2718="B01",1965,IF(C2718="B02",1020,IF(C2718="B05",2400,IF(C2718="B03",4260,IF(C2718="B04",2880,IF(C2718="B20",1260,0)))))))</f>
        <v/>
      </c>
      <c r="F2718" s="8" t="str">
        <f>IF(IF(D2718&lt;&gt;D2717,1,IF(OR(B2718&lt;&gt;B2717,A2718-A2717&gt;$U$1),1,""))&lt;&gt;1,"",IF(C2718="B01",1,IF(C2718="B05",1,IF(C2718="B03",1,IF(C2718="B04",1,IF(C2718="B20",1,IF(C2718="B02",1,0)))))))</f>
        <v/>
      </c>
      <c r="G2718"/>
      <c r="H2718" s="2"/>
      <c r="I2718" s="2"/>
      <c r="L2718"/>
      <c r="R2718"/>
    </row>
    <row r="2719" spans="1:18">
      <c r="A2719" s="3">
        <v>45762.230671296296</v>
      </c>
      <c r="B2719" s="2" t="s">
        <v>33</v>
      </c>
      <c r="C2719" s="2" t="s">
        <v>12</v>
      </c>
      <c r="D2719" s="6" t="str">
        <f>CONCATENATE(YEAR(A2719),"/",IF(MONTH(A2719)&lt;10,CONCATENATE("0",MONTH(A2719)),MONTH(A2719)))</f>
        <v>2025/04</v>
      </c>
      <c r="E2719" s="8">
        <f>IF(IF(D2719&lt;&gt;D2718,1,IF(OR(B2719&lt;&gt;B2718,A2719-A2718&gt;$U$1),1,""))&lt;&gt;1,"",IF(C2719="B01",1965,IF(C2719="B02",1020,IF(C2719="B05",2400,IF(C2719="B03",4260,IF(C2719="B04",2880,IF(C2719="B20",1260,0)))))))</f>
        <v>4260</v>
      </c>
      <c r="F2719" s="8">
        <f>IF(IF(D2719&lt;&gt;D2718,1,IF(OR(B2719&lt;&gt;B2718,A2719-A2718&gt;$U$1),1,""))&lt;&gt;1,"",IF(C2719="B01",1,IF(C2719="B05",1,IF(C2719="B03",1,IF(C2719="B04",1,IF(C2719="B20",1,IF(C2719="B02",1,0)))))))</f>
        <v>1</v>
      </c>
      <c r="G2719"/>
      <c r="H2719" s="2"/>
      <c r="I2719" s="2"/>
      <c r="L2719"/>
      <c r="R2719"/>
    </row>
    <row r="2720" spans="1:18">
      <c r="A2720" s="3">
        <v>45762.230671296296</v>
      </c>
      <c r="B2720" s="2" t="s">
        <v>33</v>
      </c>
      <c r="C2720" s="2" t="s">
        <v>12</v>
      </c>
      <c r="D2720" s="6" t="str">
        <f>CONCATENATE(YEAR(A2720),"/",IF(MONTH(A2720)&lt;10,CONCATENATE("0",MONTH(A2720)),MONTH(A2720)))</f>
        <v>2025/04</v>
      </c>
      <c r="E2720" s="8" t="str">
        <f>IF(IF(D2720&lt;&gt;D2719,1,IF(OR(B2720&lt;&gt;B2719,A2720-A2719&gt;$U$1),1,""))&lt;&gt;1,"",IF(C2720="B01",1965,IF(C2720="B02",1020,IF(C2720="B05",2400,IF(C2720="B03",4260,IF(C2720="B04",2880,IF(C2720="B20",1260,0)))))))</f>
        <v/>
      </c>
      <c r="F2720" s="8" t="str">
        <f>IF(IF(D2720&lt;&gt;D2719,1,IF(OR(B2720&lt;&gt;B2719,A2720-A2719&gt;$U$1),1,""))&lt;&gt;1,"",IF(C2720="B01",1,IF(C2720="B05",1,IF(C2720="B03",1,IF(C2720="B04",1,IF(C2720="B20",1,IF(C2720="B02",1,0)))))))</f>
        <v/>
      </c>
      <c r="G2720"/>
      <c r="H2720" s="2"/>
      <c r="I2720" s="2"/>
      <c r="L2720"/>
      <c r="R2720"/>
    </row>
    <row r="2721" spans="1:18">
      <c r="A2721" s="3">
        <v>45762.230671296296</v>
      </c>
      <c r="B2721" s="2" t="s">
        <v>33</v>
      </c>
      <c r="C2721" s="2" t="s">
        <v>12</v>
      </c>
      <c r="D2721" s="6" t="str">
        <f>CONCATENATE(YEAR(A2721),"/",IF(MONTH(A2721)&lt;10,CONCATENATE("0",MONTH(A2721)),MONTH(A2721)))</f>
        <v>2025/04</v>
      </c>
      <c r="E2721" s="8" t="str">
        <f>IF(IF(D2721&lt;&gt;D2720,1,IF(OR(B2721&lt;&gt;B2720,A2721-A2720&gt;$U$1),1,""))&lt;&gt;1,"",IF(C2721="B01",1965,IF(C2721="B02",1020,IF(C2721="B05",2400,IF(C2721="B03",4260,IF(C2721="B04",2880,IF(C2721="B20",1260,0)))))))</f>
        <v/>
      </c>
      <c r="F2721" s="8" t="str">
        <f>IF(IF(D2721&lt;&gt;D2720,1,IF(OR(B2721&lt;&gt;B2720,A2721-A2720&gt;$U$1),1,""))&lt;&gt;1,"",IF(C2721="B01",1,IF(C2721="B05",1,IF(C2721="B03",1,IF(C2721="B04",1,IF(C2721="B20",1,IF(C2721="B02",1,0)))))))</f>
        <v/>
      </c>
      <c r="G2721"/>
      <c r="H2721" s="2"/>
      <c r="I2721" s="2"/>
      <c r="L2721"/>
      <c r="R2721"/>
    </row>
    <row r="2722" spans="1:18">
      <c r="A2722" s="3">
        <v>45762.462280092594</v>
      </c>
      <c r="B2722" s="2" t="s">
        <v>33</v>
      </c>
      <c r="C2722" s="2" t="s">
        <v>12</v>
      </c>
      <c r="D2722" s="6" t="str">
        <f>CONCATENATE(YEAR(A2722),"/",IF(MONTH(A2722)&lt;10,CONCATENATE("0",MONTH(A2722)),MONTH(A2722)))</f>
        <v>2025/04</v>
      </c>
      <c r="E2722" s="8">
        <f>IF(IF(D2722&lt;&gt;D2721,1,IF(OR(B2722&lt;&gt;B2721,A2722-A2721&gt;$U$1),1,""))&lt;&gt;1,"",IF(C2722="B01",1965,IF(C2722="B02",1020,IF(C2722="B05",2400,IF(C2722="B03",4260,IF(C2722="B04",2880,IF(C2722="B20",1260,0)))))))</f>
        <v>4260</v>
      </c>
      <c r="F2722" s="8">
        <f>IF(IF(D2722&lt;&gt;D2721,1,IF(OR(B2722&lt;&gt;B2721,A2722-A2721&gt;$U$1),1,""))&lt;&gt;1,"",IF(C2722="B01",1,IF(C2722="B05",1,IF(C2722="B03",1,IF(C2722="B04",1,IF(C2722="B20",1,IF(C2722="B02",1,0)))))))</f>
        <v>1</v>
      </c>
      <c r="G2722"/>
      <c r="H2722" s="2"/>
      <c r="I2722" s="2"/>
      <c r="L2722"/>
      <c r="R2722"/>
    </row>
    <row r="2723" spans="1:18">
      <c r="A2723" s="3">
        <v>45762.462280092594</v>
      </c>
      <c r="B2723" s="2" t="s">
        <v>33</v>
      </c>
      <c r="C2723" s="2" t="s">
        <v>12</v>
      </c>
      <c r="D2723" s="6" t="str">
        <f>CONCATENATE(YEAR(A2723),"/",IF(MONTH(A2723)&lt;10,CONCATENATE("0",MONTH(A2723)),MONTH(A2723)))</f>
        <v>2025/04</v>
      </c>
      <c r="E2723" s="8" t="str">
        <f>IF(IF(D2723&lt;&gt;D2722,1,IF(OR(B2723&lt;&gt;B2722,A2723-A2722&gt;$U$1),1,""))&lt;&gt;1,"",IF(C2723="B01",1965,IF(C2723="B02",1020,IF(C2723="B05",2400,IF(C2723="B03",4260,IF(C2723="B04",2880,IF(C2723="B20",1260,0)))))))</f>
        <v/>
      </c>
      <c r="F2723" s="8" t="str">
        <f>IF(IF(D2723&lt;&gt;D2722,1,IF(OR(B2723&lt;&gt;B2722,A2723-A2722&gt;$U$1),1,""))&lt;&gt;1,"",IF(C2723="B01",1,IF(C2723="B05",1,IF(C2723="B03",1,IF(C2723="B04",1,IF(C2723="B20",1,IF(C2723="B02",1,0)))))))</f>
        <v/>
      </c>
      <c r="G2723"/>
      <c r="H2723" s="2"/>
      <c r="I2723" s="2"/>
      <c r="L2723"/>
      <c r="R2723"/>
    </row>
    <row r="2724" spans="1:18">
      <c r="A2724" s="3">
        <v>45762.85</v>
      </c>
      <c r="B2724" s="2" t="s">
        <v>33</v>
      </c>
      <c r="C2724" s="2" t="s">
        <v>12</v>
      </c>
      <c r="D2724" s="6" t="str">
        <f>CONCATENATE(YEAR(A2724),"/",IF(MONTH(A2724)&lt;10,CONCATENATE("0",MONTH(A2724)),MONTH(A2724)))</f>
        <v>2025/04</v>
      </c>
      <c r="E2724" s="8">
        <f>IF(IF(D2724&lt;&gt;D2723,1,IF(OR(B2724&lt;&gt;B2723,A2724-A2723&gt;$U$1),1,""))&lt;&gt;1,"",IF(C2724="B01",1965,IF(C2724="B02",1020,IF(C2724="B05",2400,IF(C2724="B03",4260,IF(C2724="B04",2880,IF(C2724="B20",1260,0)))))))</f>
        <v>4260</v>
      </c>
      <c r="F2724" s="8">
        <f>IF(IF(D2724&lt;&gt;D2723,1,IF(OR(B2724&lt;&gt;B2723,A2724-A2723&gt;$U$1),1,""))&lt;&gt;1,"",IF(C2724="B01",1,IF(C2724="B05",1,IF(C2724="B03",1,IF(C2724="B04",1,IF(C2724="B20",1,IF(C2724="B02",1,0)))))))</f>
        <v>1</v>
      </c>
      <c r="G2724"/>
      <c r="H2724" s="2"/>
      <c r="I2724" s="2"/>
      <c r="L2724"/>
      <c r="R2724"/>
    </row>
    <row r="2725" spans="1:18">
      <c r="A2725" s="3">
        <v>45762.85</v>
      </c>
      <c r="B2725" s="2" t="s">
        <v>33</v>
      </c>
      <c r="C2725" s="2" t="s">
        <v>12</v>
      </c>
      <c r="D2725" s="6" t="str">
        <f>CONCATENATE(YEAR(A2725),"/",IF(MONTH(A2725)&lt;10,CONCATENATE("0",MONTH(A2725)),MONTH(A2725)))</f>
        <v>2025/04</v>
      </c>
      <c r="E2725" s="8" t="str">
        <f>IF(IF(D2725&lt;&gt;D2724,1,IF(OR(B2725&lt;&gt;B2724,A2725-A2724&gt;$U$1),1,""))&lt;&gt;1,"",IF(C2725="B01",1965,IF(C2725="B02",1020,IF(C2725="B05",2400,IF(C2725="B03",4260,IF(C2725="B04",2880,IF(C2725="B20",1260,0)))))))</f>
        <v/>
      </c>
      <c r="F2725" s="8" t="str">
        <f>IF(IF(D2725&lt;&gt;D2724,1,IF(OR(B2725&lt;&gt;B2724,A2725-A2724&gt;$U$1),1,""))&lt;&gt;1,"",IF(C2725="B01",1,IF(C2725="B05",1,IF(C2725="B03",1,IF(C2725="B04",1,IF(C2725="B20",1,IF(C2725="B02",1,0)))))))</f>
        <v/>
      </c>
      <c r="G2725"/>
      <c r="H2725" s="2"/>
      <c r="I2725" s="2"/>
      <c r="L2725"/>
      <c r="R2725"/>
    </row>
    <row r="2726" spans="1:18">
      <c r="A2726" s="3">
        <v>45763.590428240743</v>
      </c>
      <c r="B2726" s="2" t="s">
        <v>33</v>
      </c>
      <c r="C2726" s="2" t="s">
        <v>11</v>
      </c>
      <c r="D2726" s="6" t="str">
        <f>CONCATENATE(YEAR(A2726),"/",IF(MONTH(A2726)&lt;10,CONCATENATE("0",MONTH(A2726)),MONTH(A2726)))</f>
        <v>2025/04</v>
      </c>
      <c r="E2726" s="8">
        <f>IF(IF(D2726&lt;&gt;D2725,1,IF(OR(B2726&lt;&gt;B2725,A2726-A2725&gt;$U$1),1,""))&lt;&gt;1,"",IF(C2726="B01",1965,IF(C2726="B02",1020,IF(C2726="B05",2400,IF(C2726="B03",4260,IF(C2726="B04",2880,IF(C2726="B20",1260,0)))))))</f>
        <v>2400</v>
      </c>
      <c r="F2726" s="8">
        <f>IF(IF(D2726&lt;&gt;D2725,1,IF(OR(B2726&lt;&gt;B2725,A2726-A2725&gt;$U$1),1,""))&lt;&gt;1,"",IF(C2726="B01",1,IF(C2726="B05",1,IF(C2726="B03",1,IF(C2726="B04",1,IF(C2726="B20",1,IF(C2726="B02",1,0)))))))</f>
        <v>1</v>
      </c>
      <c r="G2726"/>
      <c r="H2726" s="2"/>
      <c r="I2726" s="2"/>
      <c r="L2726"/>
      <c r="R2726"/>
    </row>
    <row r="2727" spans="1:18">
      <c r="A2727" s="3">
        <v>45763.590428240743</v>
      </c>
      <c r="B2727" s="2" t="s">
        <v>33</v>
      </c>
      <c r="C2727" s="2" t="s">
        <v>11</v>
      </c>
      <c r="D2727" s="6" t="str">
        <f>CONCATENATE(YEAR(A2727),"/",IF(MONTH(A2727)&lt;10,CONCATENATE("0",MONTH(A2727)),MONTH(A2727)))</f>
        <v>2025/04</v>
      </c>
      <c r="E2727" s="8" t="str">
        <f>IF(IF(D2727&lt;&gt;D2726,1,IF(OR(B2727&lt;&gt;B2726,A2727-A2726&gt;$U$1),1,""))&lt;&gt;1,"",IF(C2727="B01",1965,IF(C2727="B02",1020,IF(C2727="B05",2400,IF(C2727="B03",4260,IF(C2727="B04",2880,IF(C2727="B20",1260,0)))))))</f>
        <v/>
      </c>
      <c r="F2727" s="8" t="str">
        <f>IF(IF(D2727&lt;&gt;D2726,1,IF(OR(B2727&lt;&gt;B2726,A2727-A2726&gt;$U$1),1,""))&lt;&gt;1,"",IF(C2727="B01",1,IF(C2727="B05",1,IF(C2727="B03",1,IF(C2727="B04",1,IF(C2727="B20",1,IF(C2727="B02",1,0)))))))</f>
        <v/>
      </c>
      <c r="G2727"/>
      <c r="H2727" s="2"/>
      <c r="I2727" s="2"/>
      <c r="L2727"/>
      <c r="R2727"/>
    </row>
    <row r="2728" spans="1:18">
      <c r="A2728" s="3">
        <v>45763.590428240743</v>
      </c>
      <c r="B2728" s="2" t="s">
        <v>33</v>
      </c>
      <c r="C2728" s="2" t="s">
        <v>11</v>
      </c>
      <c r="D2728" s="6" t="str">
        <f>CONCATENATE(YEAR(A2728),"/",IF(MONTH(A2728)&lt;10,CONCATENATE("0",MONTH(A2728)),MONTH(A2728)))</f>
        <v>2025/04</v>
      </c>
      <c r="E2728" s="8" t="str">
        <f>IF(IF(D2728&lt;&gt;D2727,1,IF(OR(B2728&lt;&gt;B2727,A2728-A2727&gt;$U$1),1,""))&lt;&gt;1,"",IF(C2728="B01",1965,IF(C2728="B02",1020,IF(C2728="B05",2400,IF(C2728="B03",4260,IF(C2728="B04",2880,IF(C2728="B20",1260,0)))))))</f>
        <v/>
      </c>
      <c r="F2728" s="8" t="str">
        <f>IF(IF(D2728&lt;&gt;D2727,1,IF(OR(B2728&lt;&gt;B2727,A2728-A2727&gt;$U$1),1,""))&lt;&gt;1,"",IF(C2728="B01",1,IF(C2728="B05",1,IF(C2728="B03",1,IF(C2728="B04",1,IF(C2728="B20",1,IF(C2728="B02",1,0)))))))</f>
        <v/>
      </c>
      <c r="G2728"/>
      <c r="H2728" s="2"/>
      <c r="I2728" s="2"/>
      <c r="L2728"/>
      <c r="R2728"/>
    </row>
    <row r="2729" spans="1:18">
      <c r="A2729" s="3">
        <v>45764.220300925925</v>
      </c>
      <c r="B2729" s="2" t="s">
        <v>33</v>
      </c>
      <c r="C2729" s="2" t="s">
        <v>12</v>
      </c>
      <c r="D2729" s="6" t="str">
        <f>CONCATENATE(YEAR(A2729),"/",IF(MONTH(A2729)&lt;10,CONCATENATE("0",MONTH(A2729)),MONTH(A2729)))</f>
        <v>2025/04</v>
      </c>
      <c r="E2729" s="8">
        <f>IF(IF(D2729&lt;&gt;D2728,1,IF(OR(B2729&lt;&gt;B2728,A2729-A2728&gt;$U$1),1,""))&lt;&gt;1,"",IF(C2729="B01",1965,IF(C2729="B02",1020,IF(C2729="B05",2400,IF(C2729="B03",4260,IF(C2729="B04",2880,IF(C2729="B20",1260,0)))))))</f>
        <v>4260</v>
      </c>
      <c r="F2729" s="8">
        <f>IF(IF(D2729&lt;&gt;D2728,1,IF(OR(B2729&lt;&gt;B2728,A2729-A2728&gt;$U$1),1,""))&lt;&gt;1,"",IF(C2729="B01",1,IF(C2729="B05",1,IF(C2729="B03",1,IF(C2729="B04",1,IF(C2729="B20",1,IF(C2729="B02",1,0)))))))</f>
        <v>1</v>
      </c>
      <c r="G2729"/>
      <c r="H2729" s="2"/>
      <c r="I2729" s="2"/>
      <c r="L2729"/>
      <c r="R2729"/>
    </row>
    <row r="2730" spans="1:18">
      <c r="A2730" s="3">
        <v>45764.220300925925</v>
      </c>
      <c r="B2730" s="2" t="s">
        <v>33</v>
      </c>
      <c r="C2730" s="2" t="s">
        <v>12</v>
      </c>
      <c r="D2730" s="6" t="str">
        <f>CONCATENATE(YEAR(A2730),"/",IF(MONTH(A2730)&lt;10,CONCATENATE("0",MONTH(A2730)),MONTH(A2730)))</f>
        <v>2025/04</v>
      </c>
      <c r="E2730" s="8" t="str">
        <f>IF(IF(D2730&lt;&gt;D2729,1,IF(OR(B2730&lt;&gt;B2729,A2730-A2729&gt;$U$1),1,""))&lt;&gt;1,"",IF(C2730="B01",1965,IF(C2730="B02",1020,IF(C2730="B05",2400,IF(C2730="B03",4260,IF(C2730="B04",2880,IF(C2730="B20",1260,0)))))))</f>
        <v/>
      </c>
      <c r="F2730" s="8" t="str">
        <f>IF(IF(D2730&lt;&gt;D2729,1,IF(OR(B2730&lt;&gt;B2729,A2730-A2729&gt;$U$1),1,""))&lt;&gt;1,"",IF(C2730="B01",1,IF(C2730="B05",1,IF(C2730="B03",1,IF(C2730="B04",1,IF(C2730="B20",1,IF(C2730="B02",1,0)))))))</f>
        <v/>
      </c>
      <c r="G2730"/>
      <c r="H2730" s="2"/>
      <c r="I2730" s="2"/>
      <c r="L2730"/>
      <c r="R2730"/>
    </row>
    <row r="2731" spans="1:18">
      <c r="A2731" s="3">
        <v>45764.220300925925</v>
      </c>
      <c r="B2731" s="2" t="s">
        <v>33</v>
      </c>
      <c r="C2731" s="2" t="s">
        <v>12</v>
      </c>
      <c r="D2731" s="6" t="str">
        <f>CONCATENATE(YEAR(A2731),"/",IF(MONTH(A2731)&lt;10,CONCATENATE("0",MONTH(A2731)),MONTH(A2731)))</f>
        <v>2025/04</v>
      </c>
      <c r="E2731" s="8" t="str">
        <f>IF(IF(D2731&lt;&gt;D2730,1,IF(OR(B2731&lt;&gt;B2730,A2731-A2730&gt;$U$1),1,""))&lt;&gt;1,"",IF(C2731="B01",1965,IF(C2731="B02",1020,IF(C2731="B05",2400,IF(C2731="B03",4260,IF(C2731="B04",2880,IF(C2731="B20",1260,0)))))))</f>
        <v/>
      </c>
      <c r="F2731" s="8" t="str">
        <f>IF(IF(D2731&lt;&gt;D2730,1,IF(OR(B2731&lt;&gt;B2730,A2731-A2730&gt;$U$1),1,""))&lt;&gt;1,"",IF(C2731="B01",1,IF(C2731="B05",1,IF(C2731="B03",1,IF(C2731="B04",1,IF(C2731="B20",1,IF(C2731="B02",1,0)))))))</f>
        <v/>
      </c>
      <c r="G2731"/>
      <c r="H2731" s="2"/>
      <c r="I2731" s="2"/>
      <c r="L2731"/>
      <c r="R2731"/>
    </row>
    <row r="2732" spans="1:18">
      <c r="A2732" s="3">
        <v>45764.429062499999</v>
      </c>
      <c r="B2732" s="2" t="s">
        <v>33</v>
      </c>
      <c r="C2732" s="2" t="s">
        <v>11</v>
      </c>
      <c r="D2732" s="6" t="str">
        <f>CONCATENATE(YEAR(A2732),"/",IF(MONTH(A2732)&lt;10,CONCATENATE("0",MONTH(A2732)),MONTH(A2732)))</f>
        <v>2025/04</v>
      </c>
      <c r="E2732" s="8">
        <f>IF(IF(D2732&lt;&gt;D2731,1,IF(OR(B2732&lt;&gt;B2731,A2732-A2731&gt;$U$1),1,""))&lt;&gt;1,"",IF(C2732="B01",1965,IF(C2732="B02",1020,IF(C2732="B05",2400,IF(C2732="B03",4260,IF(C2732="B04",2880,IF(C2732="B20",1260,0)))))))</f>
        <v>2400</v>
      </c>
      <c r="F2732" s="8">
        <f>IF(IF(D2732&lt;&gt;D2731,1,IF(OR(B2732&lt;&gt;B2731,A2732-A2731&gt;$U$1),1,""))&lt;&gt;1,"",IF(C2732="B01",1,IF(C2732="B05",1,IF(C2732="B03",1,IF(C2732="B04",1,IF(C2732="B20",1,IF(C2732="B02",1,0)))))))</f>
        <v>1</v>
      </c>
      <c r="G2732"/>
      <c r="H2732" s="2"/>
      <c r="I2732" s="2"/>
      <c r="L2732"/>
      <c r="R2732"/>
    </row>
    <row r="2733" spans="1:18">
      <c r="A2733" s="3">
        <v>45764.429062499999</v>
      </c>
      <c r="B2733" s="2" t="s">
        <v>33</v>
      </c>
      <c r="C2733" s="2" t="s">
        <v>11</v>
      </c>
      <c r="D2733" s="6" t="str">
        <f>CONCATENATE(YEAR(A2733),"/",IF(MONTH(A2733)&lt;10,CONCATENATE("0",MONTH(A2733)),MONTH(A2733)))</f>
        <v>2025/04</v>
      </c>
      <c r="E2733" s="8" t="str">
        <f>IF(IF(D2733&lt;&gt;D2732,1,IF(OR(B2733&lt;&gt;B2732,A2733-A2732&gt;$U$1),1,""))&lt;&gt;1,"",IF(C2733="B01",1965,IF(C2733="B02",1020,IF(C2733="B05",2400,IF(C2733="B03",4260,IF(C2733="B04",2880,IF(C2733="B20",1260,0)))))))</f>
        <v/>
      </c>
      <c r="F2733" s="8" t="str">
        <f>IF(IF(D2733&lt;&gt;D2732,1,IF(OR(B2733&lt;&gt;B2732,A2733-A2732&gt;$U$1),1,""))&lt;&gt;1,"",IF(C2733="B01",1,IF(C2733="B05",1,IF(C2733="B03",1,IF(C2733="B04",1,IF(C2733="B20",1,IF(C2733="B02",1,0)))))))</f>
        <v/>
      </c>
      <c r="G2733"/>
      <c r="H2733" s="2"/>
      <c r="I2733" s="2"/>
      <c r="L2733"/>
      <c r="R2733"/>
    </row>
    <row r="2734" spans="1:18">
      <c r="A2734" s="3">
        <v>45764.429062499999</v>
      </c>
      <c r="B2734" s="2" t="s">
        <v>33</v>
      </c>
      <c r="C2734" s="2" t="s">
        <v>11</v>
      </c>
      <c r="D2734" s="6" t="str">
        <f>CONCATENATE(YEAR(A2734),"/",IF(MONTH(A2734)&lt;10,CONCATENATE("0",MONTH(A2734)),MONTH(A2734)))</f>
        <v>2025/04</v>
      </c>
      <c r="E2734" s="8" t="str">
        <f>IF(IF(D2734&lt;&gt;D2733,1,IF(OR(B2734&lt;&gt;B2733,A2734-A2733&gt;$U$1),1,""))&lt;&gt;1,"",IF(C2734="B01",1965,IF(C2734="B02",1020,IF(C2734="B05",2400,IF(C2734="B03",4260,IF(C2734="B04",2880,IF(C2734="B20",1260,0)))))))</f>
        <v/>
      </c>
      <c r="F2734" s="8" t="str">
        <f>IF(IF(D2734&lt;&gt;D2733,1,IF(OR(B2734&lt;&gt;B2733,A2734-A2733&gt;$U$1),1,""))&lt;&gt;1,"",IF(C2734="B01",1,IF(C2734="B05",1,IF(C2734="B03",1,IF(C2734="B04",1,IF(C2734="B20",1,IF(C2734="B02",1,0)))))))</f>
        <v/>
      </c>
      <c r="G2734"/>
      <c r="H2734" s="2"/>
      <c r="I2734" s="2"/>
      <c r="L2734"/>
      <c r="R2734"/>
    </row>
    <row r="2735" spans="1:18">
      <c r="A2735" s="3">
        <v>45765.073194444441</v>
      </c>
      <c r="B2735" s="2" t="s">
        <v>33</v>
      </c>
      <c r="C2735" s="2" t="s">
        <v>12</v>
      </c>
      <c r="D2735" s="6" t="str">
        <f>CONCATENATE(YEAR(A2735),"/",IF(MONTH(A2735)&lt;10,CONCATENATE("0",MONTH(A2735)),MONTH(A2735)))</f>
        <v>2025/04</v>
      </c>
      <c r="E2735" s="8">
        <f>IF(IF(D2735&lt;&gt;D2734,1,IF(OR(B2735&lt;&gt;B2734,A2735-A2734&gt;$U$1),1,""))&lt;&gt;1,"",IF(C2735="B01",1965,IF(C2735="B02",1020,IF(C2735="B05",2400,IF(C2735="B03",4260,IF(C2735="B04",2880,IF(C2735="B20",1260,0)))))))</f>
        <v>4260</v>
      </c>
      <c r="F2735" s="8">
        <f>IF(IF(D2735&lt;&gt;D2734,1,IF(OR(B2735&lt;&gt;B2734,A2735-A2734&gt;$U$1),1,""))&lt;&gt;1,"",IF(C2735="B01",1,IF(C2735="B05",1,IF(C2735="B03",1,IF(C2735="B04",1,IF(C2735="B20",1,IF(C2735="B02",1,0)))))))</f>
        <v>1</v>
      </c>
      <c r="G2735"/>
      <c r="H2735" s="2"/>
      <c r="I2735" s="2"/>
      <c r="L2735"/>
      <c r="R2735"/>
    </row>
    <row r="2736" spans="1:18">
      <c r="A2736" s="3">
        <v>45765.073194444441</v>
      </c>
      <c r="B2736" s="2" t="s">
        <v>33</v>
      </c>
      <c r="C2736" s="2" t="s">
        <v>12</v>
      </c>
      <c r="D2736" s="6" t="str">
        <f>CONCATENATE(YEAR(A2736),"/",IF(MONTH(A2736)&lt;10,CONCATENATE("0",MONTH(A2736)),MONTH(A2736)))</f>
        <v>2025/04</v>
      </c>
      <c r="E2736" s="8" t="str">
        <f>IF(IF(D2736&lt;&gt;D2735,1,IF(OR(B2736&lt;&gt;B2735,A2736-A2735&gt;$U$1),1,""))&lt;&gt;1,"",IF(C2736="B01",1965,IF(C2736="B02",1020,IF(C2736="B05",2400,IF(C2736="B03",4260,IF(C2736="B04",2880,IF(C2736="B20",1260,0)))))))</f>
        <v/>
      </c>
      <c r="F2736" s="8" t="str">
        <f>IF(IF(D2736&lt;&gt;D2735,1,IF(OR(B2736&lt;&gt;B2735,A2736-A2735&gt;$U$1),1,""))&lt;&gt;1,"",IF(C2736="B01",1,IF(C2736="B05",1,IF(C2736="B03",1,IF(C2736="B04",1,IF(C2736="B20",1,IF(C2736="B02",1,0)))))))</f>
        <v/>
      </c>
      <c r="G2736"/>
      <c r="H2736" s="2"/>
      <c r="I2736" s="2"/>
      <c r="L2736"/>
      <c r="R2736"/>
    </row>
    <row r="2737" spans="1:18">
      <c r="A2737" s="3">
        <v>45765.073194444441</v>
      </c>
      <c r="B2737" s="2" t="s">
        <v>33</v>
      </c>
      <c r="C2737" s="2" t="s">
        <v>12</v>
      </c>
      <c r="D2737" s="6" t="str">
        <f>CONCATENATE(YEAR(A2737),"/",IF(MONTH(A2737)&lt;10,CONCATENATE("0",MONTH(A2737)),MONTH(A2737)))</f>
        <v>2025/04</v>
      </c>
      <c r="E2737" s="8" t="str">
        <f>IF(IF(D2737&lt;&gt;D2736,1,IF(OR(B2737&lt;&gt;B2736,A2737-A2736&gt;$U$1),1,""))&lt;&gt;1,"",IF(C2737="B01",1965,IF(C2737="B02",1020,IF(C2737="B05",2400,IF(C2737="B03",4260,IF(C2737="B04",2880,IF(C2737="B20",1260,0)))))))</f>
        <v/>
      </c>
      <c r="F2737" s="8" t="str">
        <f>IF(IF(D2737&lt;&gt;D2736,1,IF(OR(B2737&lt;&gt;B2736,A2737-A2736&gt;$U$1),1,""))&lt;&gt;1,"",IF(C2737="B01",1,IF(C2737="B05",1,IF(C2737="B03",1,IF(C2737="B04",1,IF(C2737="B20",1,IF(C2737="B02",1,0)))))))</f>
        <v/>
      </c>
      <c r="G2737"/>
      <c r="H2737" s="2"/>
      <c r="I2737" s="2"/>
      <c r="L2737"/>
      <c r="R2737"/>
    </row>
    <row r="2738" spans="1:18">
      <c r="A2738" s="3">
        <v>45765.270208333335</v>
      </c>
      <c r="B2738" s="2" t="s">
        <v>33</v>
      </c>
      <c r="C2738" s="2" t="s">
        <v>11</v>
      </c>
      <c r="D2738" s="6" t="str">
        <f>CONCATENATE(YEAR(A2738),"/",IF(MONTH(A2738)&lt;10,CONCATENATE("0",MONTH(A2738)),MONTH(A2738)))</f>
        <v>2025/04</v>
      </c>
      <c r="E2738" s="8">
        <f>IF(IF(D2738&lt;&gt;D2737,1,IF(OR(B2738&lt;&gt;B2737,A2738-A2737&gt;$U$1),1,""))&lt;&gt;1,"",IF(C2738="B01",1965,IF(C2738="B02",1020,IF(C2738="B05",2400,IF(C2738="B03",4260,IF(C2738="B04",2880,IF(C2738="B20",1260,0)))))))</f>
        <v>2400</v>
      </c>
      <c r="F2738" s="8">
        <f>IF(IF(D2738&lt;&gt;D2737,1,IF(OR(B2738&lt;&gt;B2737,A2738-A2737&gt;$U$1),1,""))&lt;&gt;1,"",IF(C2738="B01",1,IF(C2738="B05",1,IF(C2738="B03",1,IF(C2738="B04",1,IF(C2738="B20",1,IF(C2738="B02",1,0)))))))</f>
        <v>1</v>
      </c>
      <c r="G2738"/>
      <c r="H2738" s="2"/>
      <c r="I2738" s="2"/>
      <c r="L2738"/>
      <c r="R2738"/>
    </row>
    <row r="2739" spans="1:18">
      <c r="A2739" s="3">
        <v>45765.270208333335</v>
      </c>
      <c r="B2739" s="2" t="s">
        <v>33</v>
      </c>
      <c r="C2739" s="2" t="s">
        <v>11</v>
      </c>
      <c r="D2739" s="6" t="str">
        <f>CONCATENATE(YEAR(A2739),"/",IF(MONTH(A2739)&lt;10,CONCATENATE("0",MONTH(A2739)),MONTH(A2739)))</f>
        <v>2025/04</v>
      </c>
      <c r="E2739" s="8" t="str">
        <f>IF(IF(D2739&lt;&gt;D2738,1,IF(OR(B2739&lt;&gt;B2738,A2739-A2738&gt;$U$1),1,""))&lt;&gt;1,"",IF(C2739="B01",1965,IF(C2739="B02",1020,IF(C2739="B05",2400,IF(C2739="B03",4260,IF(C2739="B04",2880,IF(C2739="B20",1260,0)))))))</f>
        <v/>
      </c>
      <c r="F2739" s="8" t="str">
        <f>IF(IF(D2739&lt;&gt;D2738,1,IF(OR(B2739&lt;&gt;B2738,A2739-A2738&gt;$U$1),1,""))&lt;&gt;1,"",IF(C2739="B01",1,IF(C2739="B05",1,IF(C2739="B03",1,IF(C2739="B04",1,IF(C2739="B20",1,IF(C2739="B02",1,0)))))))</f>
        <v/>
      </c>
      <c r="G2739"/>
      <c r="H2739" s="2"/>
      <c r="I2739" s="2"/>
      <c r="L2739"/>
      <c r="R2739"/>
    </row>
    <row r="2740" spans="1:18">
      <c r="A2740" s="3">
        <v>45765.270208333335</v>
      </c>
      <c r="B2740" s="2" t="s">
        <v>33</v>
      </c>
      <c r="C2740" s="2" t="s">
        <v>11</v>
      </c>
      <c r="D2740" s="6" t="str">
        <f>CONCATENATE(YEAR(A2740),"/",IF(MONTH(A2740)&lt;10,CONCATENATE("0",MONTH(A2740)),MONTH(A2740)))</f>
        <v>2025/04</v>
      </c>
      <c r="E2740" s="8" t="str">
        <f>IF(IF(D2740&lt;&gt;D2739,1,IF(OR(B2740&lt;&gt;B2739,A2740-A2739&gt;$U$1),1,""))&lt;&gt;1,"",IF(C2740="B01",1965,IF(C2740="B02",1020,IF(C2740="B05",2400,IF(C2740="B03",4260,IF(C2740="B04",2880,IF(C2740="B20",1260,0)))))))</f>
        <v/>
      </c>
      <c r="F2740" s="8" t="str">
        <f>IF(IF(D2740&lt;&gt;D2739,1,IF(OR(B2740&lt;&gt;B2739,A2740-A2739&gt;$U$1),1,""))&lt;&gt;1,"",IF(C2740="B01",1,IF(C2740="B05",1,IF(C2740="B03",1,IF(C2740="B04",1,IF(C2740="B20",1,IF(C2740="B02",1,0)))))))</f>
        <v/>
      </c>
      <c r="G2740"/>
      <c r="H2740" s="2"/>
      <c r="I2740" s="2"/>
      <c r="L2740"/>
      <c r="R2740"/>
    </row>
    <row r="2741" spans="1:18">
      <c r="A2741" s="3">
        <v>45766.062361111108</v>
      </c>
      <c r="B2741" s="2" t="s">
        <v>33</v>
      </c>
      <c r="C2741" s="2" t="s">
        <v>11</v>
      </c>
      <c r="D2741" s="6" t="str">
        <f>CONCATENATE(YEAR(A2741),"/",IF(MONTH(A2741)&lt;10,CONCATENATE("0",MONTH(A2741)),MONTH(A2741)))</f>
        <v>2025/04</v>
      </c>
      <c r="E2741" s="8">
        <f>IF(IF(D2741&lt;&gt;D2740,1,IF(OR(B2741&lt;&gt;B2740,A2741-A2740&gt;$U$1),1,""))&lt;&gt;1,"",IF(C2741="B01",1965,IF(C2741="B02",1020,IF(C2741="B05",2400,IF(C2741="B03",4260,IF(C2741="B04",2880,IF(C2741="B20",1260,0)))))))</f>
        <v>2400</v>
      </c>
      <c r="F2741" s="8">
        <f>IF(IF(D2741&lt;&gt;D2740,1,IF(OR(B2741&lt;&gt;B2740,A2741-A2740&gt;$U$1),1,""))&lt;&gt;1,"",IF(C2741="B01",1,IF(C2741="B05",1,IF(C2741="B03",1,IF(C2741="B04",1,IF(C2741="B20",1,IF(C2741="B02",1,0)))))))</f>
        <v>1</v>
      </c>
      <c r="G2741"/>
      <c r="H2741" s="2"/>
      <c r="I2741" s="2"/>
      <c r="L2741"/>
      <c r="R2741"/>
    </row>
    <row r="2742" spans="1:18">
      <c r="A2742" s="3">
        <v>45766.062361111108</v>
      </c>
      <c r="B2742" s="2" t="s">
        <v>33</v>
      </c>
      <c r="C2742" s="2" t="s">
        <v>11</v>
      </c>
      <c r="D2742" s="6" t="str">
        <f>CONCATENATE(YEAR(A2742),"/",IF(MONTH(A2742)&lt;10,CONCATENATE("0",MONTH(A2742)),MONTH(A2742)))</f>
        <v>2025/04</v>
      </c>
      <c r="E2742" s="8" t="str">
        <f>IF(IF(D2742&lt;&gt;D2741,1,IF(OR(B2742&lt;&gt;B2741,A2742-A2741&gt;$U$1),1,""))&lt;&gt;1,"",IF(C2742="B01",1965,IF(C2742="B02",1020,IF(C2742="B05",2400,IF(C2742="B03",4260,IF(C2742="B04",2880,IF(C2742="B20",1260,0)))))))</f>
        <v/>
      </c>
      <c r="F2742" s="8" t="str">
        <f>IF(IF(D2742&lt;&gt;D2741,1,IF(OR(B2742&lt;&gt;B2741,A2742-A2741&gt;$U$1),1,""))&lt;&gt;1,"",IF(C2742="B01",1,IF(C2742="B05",1,IF(C2742="B03",1,IF(C2742="B04",1,IF(C2742="B20",1,IF(C2742="B02",1,0)))))))</f>
        <v/>
      </c>
      <c r="G2742"/>
      <c r="H2742" s="2"/>
      <c r="I2742" s="2"/>
      <c r="L2742"/>
      <c r="R2742"/>
    </row>
    <row r="2743" spans="1:18">
      <c r="A2743" s="3">
        <v>45766.062361111108</v>
      </c>
      <c r="B2743" s="2" t="s">
        <v>33</v>
      </c>
      <c r="C2743" s="2" t="s">
        <v>11</v>
      </c>
      <c r="D2743" s="6" t="str">
        <f>CONCATENATE(YEAR(A2743),"/",IF(MONTH(A2743)&lt;10,CONCATENATE("0",MONTH(A2743)),MONTH(A2743)))</f>
        <v>2025/04</v>
      </c>
      <c r="E2743" s="8" t="str">
        <f>IF(IF(D2743&lt;&gt;D2742,1,IF(OR(B2743&lt;&gt;B2742,A2743-A2742&gt;$U$1),1,""))&lt;&gt;1,"",IF(C2743="B01",1965,IF(C2743="B02",1020,IF(C2743="B05",2400,IF(C2743="B03",4260,IF(C2743="B04",2880,IF(C2743="B20",1260,0)))))))</f>
        <v/>
      </c>
      <c r="F2743" s="8" t="str">
        <f>IF(IF(D2743&lt;&gt;D2742,1,IF(OR(B2743&lt;&gt;B2742,A2743-A2742&gt;$U$1),1,""))&lt;&gt;1,"",IF(C2743="B01",1,IF(C2743="B05",1,IF(C2743="B03",1,IF(C2743="B04",1,IF(C2743="B20",1,IF(C2743="B02",1,0)))))))</f>
        <v/>
      </c>
      <c r="G2743"/>
      <c r="H2743" s="2"/>
      <c r="I2743" s="2"/>
      <c r="L2743"/>
      <c r="R2743"/>
    </row>
    <row r="2744" spans="1:18">
      <c r="A2744" s="3">
        <v>45766.788437499999</v>
      </c>
      <c r="B2744" s="2" t="s">
        <v>33</v>
      </c>
      <c r="C2744" s="2" t="s">
        <v>12</v>
      </c>
      <c r="D2744" s="6" t="str">
        <f>CONCATENATE(YEAR(A2744),"/",IF(MONTH(A2744)&lt;10,CONCATENATE("0",MONTH(A2744)),MONTH(A2744)))</f>
        <v>2025/04</v>
      </c>
      <c r="E2744" s="8">
        <f>IF(IF(D2744&lt;&gt;D2743,1,IF(OR(B2744&lt;&gt;B2743,A2744-A2743&gt;$U$1),1,""))&lt;&gt;1,"",IF(C2744="B01",1965,IF(C2744="B02",1020,IF(C2744="B05",2400,IF(C2744="B03",4260,IF(C2744="B04",2880,IF(C2744="B20",1260,0)))))))</f>
        <v>4260</v>
      </c>
      <c r="F2744" s="8">
        <f>IF(IF(D2744&lt;&gt;D2743,1,IF(OR(B2744&lt;&gt;B2743,A2744-A2743&gt;$U$1),1,""))&lt;&gt;1,"",IF(C2744="B01",1,IF(C2744="B05",1,IF(C2744="B03",1,IF(C2744="B04",1,IF(C2744="B20",1,IF(C2744="B02",1,0)))))))</f>
        <v>1</v>
      </c>
      <c r="G2744"/>
      <c r="H2744" s="2"/>
      <c r="I2744" s="2"/>
      <c r="L2744"/>
      <c r="R2744"/>
    </row>
    <row r="2745" spans="1:18">
      <c r="A2745" s="3">
        <v>45766.788437499999</v>
      </c>
      <c r="B2745" s="2" t="s">
        <v>33</v>
      </c>
      <c r="C2745" s="2" t="s">
        <v>12</v>
      </c>
      <c r="D2745" s="6" t="str">
        <f>CONCATENATE(YEAR(A2745),"/",IF(MONTH(A2745)&lt;10,CONCATENATE("0",MONTH(A2745)),MONTH(A2745)))</f>
        <v>2025/04</v>
      </c>
      <c r="E2745" s="8" t="str">
        <f>IF(IF(D2745&lt;&gt;D2744,1,IF(OR(B2745&lt;&gt;B2744,A2745-A2744&gt;$U$1),1,""))&lt;&gt;1,"",IF(C2745="B01",1965,IF(C2745="B02",1020,IF(C2745="B05",2400,IF(C2745="B03",4260,IF(C2745="B04",2880,IF(C2745="B20",1260,0)))))))</f>
        <v/>
      </c>
      <c r="F2745" s="8" t="str">
        <f>IF(IF(D2745&lt;&gt;D2744,1,IF(OR(B2745&lt;&gt;B2744,A2745-A2744&gt;$U$1),1,""))&lt;&gt;1,"",IF(C2745="B01",1,IF(C2745="B05",1,IF(C2745="B03",1,IF(C2745="B04",1,IF(C2745="B20",1,IF(C2745="B02",1,0)))))))</f>
        <v/>
      </c>
      <c r="G2745"/>
      <c r="H2745" s="2"/>
      <c r="I2745" s="2"/>
      <c r="L2745"/>
      <c r="R2745"/>
    </row>
    <row r="2746" spans="1:18">
      <c r="A2746" s="3">
        <v>45766.788437499999</v>
      </c>
      <c r="B2746" s="2" t="s">
        <v>33</v>
      </c>
      <c r="C2746" s="2" t="s">
        <v>12</v>
      </c>
      <c r="D2746" s="6" t="str">
        <f>CONCATENATE(YEAR(A2746),"/",IF(MONTH(A2746)&lt;10,CONCATENATE("0",MONTH(A2746)),MONTH(A2746)))</f>
        <v>2025/04</v>
      </c>
      <c r="E2746" s="8" t="str">
        <f>IF(IF(D2746&lt;&gt;D2745,1,IF(OR(B2746&lt;&gt;B2745,A2746-A2745&gt;$U$1),1,""))&lt;&gt;1,"",IF(C2746="B01",1965,IF(C2746="B02",1020,IF(C2746="B05",2400,IF(C2746="B03",4260,IF(C2746="B04",2880,IF(C2746="B20",1260,0)))))))</f>
        <v/>
      </c>
      <c r="F2746" s="8" t="str">
        <f>IF(IF(D2746&lt;&gt;D2745,1,IF(OR(B2746&lt;&gt;B2745,A2746-A2745&gt;$U$1),1,""))&lt;&gt;1,"",IF(C2746="B01",1,IF(C2746="B05",1,IF(C2746="B03",1,IF(C2746="B04",1,IF(C2746="B20",1,IF(C2746="B02",1,0)))))))</f>
        <v/>
      </c>
      <c r="G2746"/>
      <c r="H2746" s="2"/>
      <c r="I2746" s="2"/>
      <c r="L2746"/>
      <c r="R2746"/>
    </row>
    <row r="2747" spans="1:18">
      <c r="A2747" s="3">
        <v>45767.834351851852</v>
      </c>
      <c r="B2747" s="2" t="s">
        <v>33</v>
      </c>
      <c r="C2747" s="2" t="s">
        <v>12</v>
      </c>
      <c r="D2747" s="6" t="str">
        <f>CONCATENATE(YEAR(A2747),"/",IF(MONTH(A2747)&lt;10,CONCATENATE("0",MONTH(A2747)),MONTH(A2747)))</f>
        <v>2025/04</v>
      </c>
      <c r="E2747" s="8">
        <f>IF(IF(D2747&lt;&gt;D2746,1,IF(OR(B2747&lt;&gt;B2746,A2747-A2746&gt;$U$1),1,""))&lt;&gt;1,"",IF(C2747="B01",1965,IF(C2747="B02",1020,IF(C2747="B05",2400,IF(C2747="B03",4260,IF(C2747="B04",2880,IF(C2747="B20",1260,0)))))))</f>
        <v>4260</v>
      </c>
      <c r="F2747" s="8">
        <f>IF(IF(D2747&lt;&gt;D2746,1,IF(OR(B2747&lt;&gt;B2746,A2747-A2746&gt;$U$1),1,""))&lt;&gt;1,"",IF(C2747="B01",1,IF(C2747="B05",1,IF(C2747="B03",1,IF(C2747="B04",1,IF(C2747="B20",1,IF(C2747="B02",1,0)))))))</f>
        <v>1</v>
      </c>
      <c r="G2747"/>
      <c r="H2747" s="2"/>
      <c r="I2747" s="2"/>
      <c r="L2747"/>
      <c r="R2747"/>
    </row>
    <row r="2748" spans="1:18">
      <c r="A2748" s="3">
        <v>45767.834351851852</v>
      </c>
      <c r="B2748" s="2" t="s">
        <v>33</v>
      </c>
      <c r="C2748" s="2" t="s">
        <v>12</v>
      </c>
      <c r="D2748" s="6" t="str">
        <f>CONCATENATE(YEAR(A2748),"/",IF(MONTH(A2748)&lt;10,CONCATENATE("0",MONTH(A2748)),MONTH(A2748)))</f>
        <v>2025/04</v>
      </c>
      <c r="E2748" s="8" t="str">
        <f>IF(IF(D2748&lt;&gt;D2747,1,IF(OR(B2748&lt;&gt;B2747,A2748-A2747&gt;$U$1),1,""))&lt;&gt;1,"",IF(C2748="B01",1965,IF(C2748="B02",1020,IF(C2748="B05",2400,IF(C2748="B03",4260,IF(C2748="B04",2880,IF(C2748="B20",1260,0)))))))</f>
        <v/>
      </c>
      <c r="F2748" s="8" t="str">
        <f>IF(IF(D2748&lt;&gt;D2747,1,IF(OR(B2748&lt;&gt;B2747,A2748-A2747&gt;$U$1),1,""))&lt;&gt;1,"",IF(C2748="B01",1,IF(C2748="B05",1,IF(C2748="B03",1,IF(C2748="B04",1,IF(C2748="B20",1,IF(C2748="B02",1,0)))))))</f>
        <v/>
      </c>
      <c r="G2748"/>
      <c r="H2748" s="2"/>
      <c r="I2748" s="2"/>
      <c r="L2748"/>
      <c r="R2748"/>
    </row>
    <row r="2749" spans="1:18">
      <c r="A2749" s="3">
        <v>45767.834351851852</v>
      </c>
      <c r="B2749" s="2" t="s">
        <v>33</v>
      </c>
      <c r="C2749" s="2" t="s">
        <v>12</v>
      </c>
      <c r="D2749" s="6" t="str">
        <f>CONCATENATE(YEAR(A2749),"/",IF(MONTH(A2749)&lt;10,CONCATENATE("0",MONTH(A2749)),MONTH(A2749)))</f>
        <v>2025/04</v>
      </c>
      <c r="E2749" s="8" t="str">
        <f>IF(IF(D2749&lt;&gt;D2748,1,IF(OR(B2749&lt;&gt;B2748,A2749-A2748&gt;$U$1),1,""))&lt;&gt;1,"",IF(C2749="B01",1965,IF(C2749="B02",1020,IF(C2749="B05",2400,IF(C2749="B03",4260,IF(C2749="B04",2880,IF(C2749="B20",1260,0)))))))</f>
        <v/>
      </c>
      <c r="F2749" s="8" t="str">
        <f>IF(IF(D2749&lt;&gt;D2748,1,IF(OR(B2749&lt;&gt;B2748,A2749-A2748&gt;$U$1),1,""))&lt;&gt;1,"",IF(C2749="B01",1,IF(C2749="B05",1,IF(C2749="B03",1,IF(C2749="B04",1,IF(C2749="B20",1,IF(C2749="B02",1,0)))))))</f>
        <v/>
      </c>
      <c r="G2749"/>
      <c r="H2749" s="2"/>
      <c r="I2749" s="2"/>
      <c r="L2749"/>
      <c r="R2749"/>
    </row>
    <row r="2750" spans="1:18">
      <c r="A2750" s="3">
        <v>45768.28328703704</v>
      </c>
      <c r="B2750" s="2" t="s">
        <v>33</v>
      </c>
      <c r="C2750" s="2" t="s">
        <v>12</v>
      </c>
      <c r="D2750" s="6" t="str">
        <f>CONCATENATE(YEAR(A2750),"/",IF(MONTH(A2750)&lt;10,CONCATENATE("0",MONTH(A2750)),MONTH(A2750)))</f>
        <v>2025/04</v>
      </c>
      <c r="E2750" s="8">
        <f>IF(IF(D2750&lt;&gt;D2749,1,IF(OR(B2750&lt;&gt;B2749,A2750-A2749&gt;$U$1),1,""))&lt;&gt;1,"",IF(C2750="B01",1965,IF(C2750="B02",1020,IF(C2750="B05",2400,IF(C2750="B03",4260,IF(C2750="B04",2880,IF(C2750="B20",1260,0)))))))</f>
        <v>4260</v>
      </c>
      <c r="F2750" s="8">
        <f>IF(IF(D2750&lt;&gt;D2749,1,IF(OR(B2750&lt;&gt;B2749,A2750-A2749&gt;$U$1),1,""))&lt;&gt;1,"",IF(C2750="B01",1,IF(C2750="B05",1,IF(C2750="B03",1,IF(C2750="B04",1,IF(C2750="B20",1,IF(C2750="B02",1,0)))))))</f>
        <v>1</v>
      </c>
      <c r="G2750"/>
      <c r="H2750" s="2"/>
      <c r="I2750" s="2"/>
      <c r="L2750"/>
      <c r="R2750"/>
    </row>
    <row r="2751" spans="1:18">
      <c r="A2751" s="3">
        <v>45768.28328703704</v>
      </c>
      <c r="B2751" s="2" t="s">
        <v>33</v>
      </c>
      <c r="C2751" s="2" t="s">
        <v>12</v>
      </c>
      <c r="D2751" s="6" t="str">
        <f>CONCATENATE(YEAR(A2751),"/",IF(MONTH(A2751)&lt;10,CONCATENATE("0",MONTH(A2751)),MONTH(A2751)))</f>
        <v>2025/04</v>
      </c>
      <c r="E2751" s="8" t="str">
        <f>IF(IF(D2751&lt;&gt;D2750,1,IF(OR(B2751&lt;&gt;B2750,A2751-A2750&gt;$U$1),1,""))&lt;&gt;1,"",IF(C2751="B01",1965,IF(C2751="B02",1020,IF(C2751="B05",2400,IF(C2751="B03",4260,IF(C2751="B04",2880,IF(C2751="B20",1260,0)))))))</f>
        <v/>
      </c>
      <c r="F2751" s="8" t="str">
        <f>IF(IF(D2751&lt;&gt;D2750,1,IF(OR(B2751&lt;&gt;B2750,A2751-A2750&gt;$U$1),1,""))&lt;&gt;1,"",IF(C2751="B01",1,IF(C2751="B05",1,IF(C2751="B03",1,IF(C2751="B04",1,IF(C2751="B20",1,IF(C2751="B02",1,0)))))))</f>
        <v/>
      </c>
      <c r="G2751"/>
      <c r="H2751" s="2"/>
      <c r="I2751" s="2"/>
      <c r="L2751"/>
      <c r="R2751"/>
    </row>
    <row r="2752" spans="1:18">
      <c r="A2752" s="3">
        <v>45768.616608796299</v>
      </c>
      <c r="B2752" s="2" t="s">
        <v>33</v>
      </c>
      <c r="C2752" s="2" t="s">
        <v>11</v>
      </c>
      <c r="D2752" s="6" t="str">
        <f>CONCATENATE(YEAR(A2752),"/",IF(MONTH(A2752)&lt;10,CONCATENATE("0",MONTH(A2752)),MONTH(A2752)))</f>
        <v>2025/04</v>
      </c>
      <c r="E2752" s="8">
        <f>IF(IF(D2752&lt;&gt;D2751,1,IF(OR(B2752&lt;&gt;B2751,A2752-A2751&gt;$U$1),1,""))&lt;&gt;1,"",IF(C2752="B01",1965,IF(C2752="B02",1020,IF(C2752="B05",2400,IF(C2752="B03",4260,IF(C2752="B04",2880,IF(C2752="B20",1260,0)))))))</f>
        <v>2400</v>
      </c>
      <c r="F2752" s="8">
        <f>IF(IF(D2752&lt;&gt;D2751,1,IF(OR(B2752&lt;&gt;B2751,A2752-A2751&gt;$U$1),1,""))&lt;&gt;1,"",IF(C2752="B01",1,IF(C2752="B05",1,IF(C2752="B03",1,IF(C2752="B04",1,IF(C2752="B20",1,IF(C2752="B02",1,0)))))))</f>
        <v>1</v>
      </c>
      <c r="G2752"/>
      <c r="H2752" s="2"/>
      <c r="I2752" s="2"/>
      <c r="L2752"/>
      <c r="R2752"/>
    </row>
    <row r="2753" spans="1:18">
      <c r="A2753" s="3">
        <v>45768.616608796299</v>
      </c>
      <c r="B2753" s="2" t="s">
        <v>33</v>
      </c>
      <c r="C2753" s="2" t="s">
        <v>11</v>
      </c>
      <c r="D2753" s="6" t="str">
        <f>CONCATENATE(YEAR(A2753),"/",IF(MONTH(A2753)&lt;10,CONCATENATE("0",MONTH(A2753)),MONTH(A2753)))</f>
        <v>2025/04</v>
      </c>
      <c r="E2753" s="8" t="str">
        <f>IF(IF(D2753&lt;&gt;D2752,1,IF(OR(B2753&lt;&gt;B2752,A2753-A2752&gt;$U$1),1,""))&lt;&gt;1,"",IF(C2753="B01",1965,IF(C2753="B02",1020,IF(C2753="B05",2400,IF(C2753="B03",4260,IF(C2753="B04",2880,IF(C2753="B20",1260,0)))))))</f>
        <v/>
      </c>
      <c r="F2753" s="8" t="str">
        <f>IF(IF(D2753&lt;&gt;D2752,1,IF(OR(B2753&lt;&gt;B2752,A2753-A2752&gt;$U$1),1,""))&lt;&gt;1,"",IF(C2753="B01",1,IF(C2753="B05",1,IF(C2753="B03",1,IF(C2753="B04",1,IF(C2753="B20",1,IF(C2753="B02",1,0)))))))</f>
        <v/>
      </c>
      <c r="G2753"/>
      <c r="H2753" s="2"/>
      <c r="I2753" s="2"/>
      <c r="L2753"/>
      <c r="R2753"/>
    </row>
    <row r="2754" spans="1:18">
      <c r="A2754" s="3">
        <v>45768.616608796299</v>
      </c>
      <c r="B2754" s="2" t="s">
        <v>33</v>
      </c>
      <c r="C2754" s="2" t="s">
        <v>11</v>
      </c>
      <c r="D2754" s="6" t="str">
        <f>CONCATENATE(YEAR(A2754),"/",IF(MONTH(A2754)&lt;10,CONCATENATE("0",MONTH(A2754)),MONTH(A2754)))</f>
        <v>2025/04</v>
      </c>
      <c r="E2754" s="8" t="str">
        <f>IF(IF(D2754&lt;&gt;D2753,1,IF(OR(B2754&lt;&gt;B2753,A2754-A2753&gt;$U$1),1,""))&lt;&gt;1,"",IF(C2754="B01",1965,IF(C2754="B02",1020,IF(C2754="B05",2400,IF(C2754="B03",4260,IF(C2754="B04",2880,IF(C2754="B20",1260,0)))))))</f>
        <v/>
      </c>
      <c r="F2754" s="8" t="str">
        <f>IF(IF(D2754&lt;&gt;D2753,1,IF(OR(B2754&lt;&gt;B2753,A2754-A2753&gt;$U$1),1,""))&lt;&gt;1,"",IF(C2754="B01",1,IF(C2754="B05",1,IF(C2754="B03",1,IF(C2754="B04",1,IF(C2754="B20",1,IF(C2754="B02",1,0)))))))</f>
        <v/>
      </c>
      <c r="G2754"/>
      <c r="H2754" s="2"/>
      <c r="I2754" s="2"/>
      <c r="L2754"/>
      <c r="R2754"/>
    </row>
    <row r="2755" spans="1:18">
      <c r="A2755" s="3">
        <v>45768.773206018515</v>
      </c>
      <c r="B2755" s="2" t="s">
        <v>33</v>
      </c>
      <c r="C2755" s="2" t="s">
        <v>11</v>
      </c>
      <c r="D2755" s="6" t="str">
        <f>CONCATENATE(YEAR(A2755),"/",IF(MONTH(A2755)&lt;10,CONCATENATE("0",MONTH(A2755)),MONTH(A2755)))</f>
        <v>2025/04</v>
      </c>
      <c r="E2755" s="8">
        <f>IF(IF(D2755&lt;&gt;D2754,1,IF(OR(B2755&lt;&gt;B2754,A2755-A2754&gt;$U$1),1,""))&lt;&gt;1,"",IF(C2755="B01",1965,IF(C2755="B02",1020,IF(C2755="B05",2400,IF(C2755="B03",4260,IF(C2755="B04",2880,IF(C2755="B20",1260,0)))))))</f>
        <v>2400</v>
      </c>
      <c r="F2755" s="8">
        <f>IF(IF(D2755&lt;&gt;D2754,1,IF(OR(B2755&lt;&gt;B2754,A2755-A2754&gt;$U$1),1,""))&lt;&gt;1,"",IF(C2755="B01",1,IF(C2755="B05",1,IF(C2755="B03",1,IF(C2755="B04",1,IF(C2755="B20",1,IF(C2755="B02",1,0)))))))</f>
        <v>1</v>
      </c>
      <c r="G2755"/>
      <c r="H2755" s="2"/>
      <c r="I2755" s="2"/>
      <c r="L2755"/>
      <c r="R2755"/>
    </row>
    <row r="2756" spans="1:18">
      <c r="A2756" s="3">
        <v>45768.773206018515</v>
      </c>
      <c r="B2756" s="2" t="s">
        <v>33</v>
      </c>
      <c r="C2756" s="2" t="s">
        <v>11</v>
      </c>
      <c r="D2756" s="6" t="str">
        <f>CONCATENATE(YEAR(A2756),"/",IF(MONTH(A2756)&lt;10,CONCATENATE("0",MONTH(A2756)),MONTH(A2756)))</f>
        <v>2025/04</v>
      </c>
      <c r="E2756" s="8" t="str">
        <f>IF(IF(D2756&lt;&gt;D2755,1,IF(OR(B2756&lt;&gt;B2755,A2756-A2755&gt;$U$1),1,""))&lt;&gt;1,"",IF(C2756="B01",1965,IF(C2756="B02",1020,IF(C2756="B05",2400,IF(C2756="B03",4260,IF(C2756="B04",2880,IF(C2756="B20",1260,0)))))))</f>
        <v/>
      </c>
      <c r="F2756" s="8" t="str">
        <f>IF(IF(D2756&lt;&gt;D2755,1,IF(OR(B2756&lt;&gt;B2755,A2756-A2755&gt;$U$1),1,""))&lt;&gt;1,"",IF(C2756="B01",1,IF(C2756="B05",1,IF(C2756="B03",1,IF(C2756="B04",1,IF(C2756="B20",1,IF(C2756="B02",1,0)))))))</f>
        <v/>
      </c>
      <c r="G2756"/>
      <c r="H2756" s="2"/>
      <c r="I2756" s="2"/>
      <c r="L2756"/>
      <c r="R2756"/>
    </row>
    <row r="2757" spans="1:18">
      <c r="A2757" s="3">
        <v>45768.773206018515</v>
      </c>
      <c r="B2757" s="2" t="s">
        <v>33</v>
      </c>
      <c r="C2757" s="2" t="s">
        <v>11</v>
      </c>
      <c r="D2757" s="6" t="str">
        <f>CONCATENATE(YEAR(A2757),"/",IF(MONTH(A2757)&lt;10,CONCATENATE("0",MONTH(A2757)),MONTH(A2757)))</f>
        <v>2025/04</v>
      </c>
      <c r="E2757" s="8" t="str">
        <f>IF(IF(D2757&lt;&gt;D2756,1,IF(OR(B2757&lt;&gt;B2756,A2757-A2756&gt;$U$1),1,""))&lt;&gt;1,"",IF(C2757="B01",1965,IF(C2757="B02",1020,IF(C2757="B05",2400,IF(C2757="B03",4260,IF(C2757="B04",2880,IF(C2757="B20",1260,0)))))))</f>
        <v/>
      </c>
      <c r="F2757" s="8" t="str">
        <f>IF(IF(D2757&lt;&gt;D2756,1,IF(OR(B2757&lt;&gt;B2756,A2757-A2756&gt;$U$1),1,""))&lt;&gt;1,"",IF(C2757="B01",1,IF(C2757="B05",1,IF(C2757="B03",1,IF(C2757="B04",1,IF(C2757="B20",1,IF(C2757="B02",1,0)))))))</f>
        <v/>
      </c>
      <c r="G2757"/>
      <c r="H2757" s="2"/>
      <c r="I2757" s="2"/>
      <c r="L2757"/>
      <c r="R2757"/>
    </row>
    <row r="2758" spans="1:18">
      <c r="A2758" s="3">
        <v>45768.961053240739</v>
      </c>
      <c r="B2758" s="2" t="s">
        <v>33</v>
      </c>
      <c r="C2758" s="2" t="s">
        <v>11</v>
      </c>
      <c r="D2758" s="6" t="str">
        <f>CONCATENATE(YEAR(A2758),"/",IF(MONTH(A2758)&lt;10,CONCATENATE("0",MONTH(A2758)),MONTH(A2758)))</f>
        <v>2025/04</v>
      </c>
      <c r="E2758" s="8">
        <f>IF(IF(D2758&lt;&gt;D2757,1,IF(OR(B2758&lt;&gt;B2757,A2758-A2757&gt;$U$1),1,""))&lt;&gt;1,"",IF(C2758="B01",1965,IF(C2758="B02",1020,IF(C2758="B05",2400,IF(C2758="B03",4260,IF(C2758="B04",2880,IF(C2758="B20",1260,0)))))))</f>
        <v>2400</v>
      </c>
      <c r="F2758" s="8">
        <f>IF(IF(D2758&lt;&gt;D2757,1,IF(OR(B2758&lt;&gt;B2757,A2758-A2757&gt;$U$1),1,""))&lt;&gt;1,"",IF(C2758="B01",1,IF(C2758="B05",1,IF(C2758="B03",1,IF(C2758="B04",1,IF(C2758="B20",1,IF(C2758="B02",1,0)))))))</f>
        <v>1</v>
      </c>
      <c r="G2758"/>
      <c r="H2758" s="2"/>
      <c r="I2758" s="2"/>
      <c r="L2758"/>
      <c r="R2758"/>
    </row>
    <row r="2759" spans="1:18">
      <c r="A2759" s="3">
        <v>45768.961053240739</v>
      </c>
      <c r="B2759" s="2" t="s">
        <v>33</v>
      </c>
      <c r="C2759" s="2" t="s">
        <v>11</v>
      </c>
      <c r="D2759" s="6" t="str">
        <f>CONCATENATE(YEAR(A2759),"/",IF(MONTH(A2759)&lt;10,CONCATENATE("0",MONTH(A2759)),MONTH(A2759)))</f>
        <v>2025/04</v>
      </c>
      <c r="E2759" s="8" t="str">
        <f>IF(IF(D2759&lt;&gt;D2758,1,IF(OR(B2759&lt;&gt;B2758,A2759-A2758&gt;$U$1),1,""))&lt;&gt;1,"",IF(C2759="B01",1965,IF(C2759="B02",1020,IF(C2759="B05",2400,IF(C2759="B03",4260,IF(C2759="B04",2880,IF(C2759="B20",1260,0)))))))</f>
        <v/>
      </c>
      <c r="F2759" s="8" t="str">
        <f>IF(IF(D2759&lt;&gt;D2758,1,IF(OR(B2759&lt;&gt;B2758,A2759-A2758&gt;$U$1),1,""))&lt;&gt;1,"",IF(C2759="B01",1,IF(C2759="B05",1,IF(C2759="B03",1,IF(C2759="B04",1,IF(C2759="B20",1,IF(C2759="B02",1,0)))))))</f>
        <v/>
      </c>
      <c r="G2759"/>
      <c r="H2759" s="2"/>
      <c r="I2759" s="2"/>
      <c r="L2759"/>
      <c r="R2759"/>
    </row>
    <row r="2760" spans="1:18">
      <c r="A2760" s="3">
        <v>45768.961053240739</v>
      </c>
      <c r="B2760" s="2" t="s">
        <v>33</v>
      </c>
      <c r="C2760" s="2" t="s">
        <v>11</v>
      </c>
      <c r="D2760" s="6" t="str">
        <f>CONCATENATE(YEAR(A2760),"/",IF(MONTH(A2760)&lt;10,CONCATENATE("0",MONTH(A2760)),MONTH(A2760)))</f>
        <v>2025/04</v>
      </c>
      <c r="E2760" s="8" t="str">
        <f>IF(IF(D2760&lt;&gt;D2759,1,IF(OR(B2760&lt;&gt;B2759,A2760-A2759&gt;$U$1),1,""))&lt;&gt;1,"",IF(C2760="B01",1965,IF(C2760="B02",1020,IF(C2760="B05",2400,IF(C2760="B03",4260,IF(C2760="B04",2880,IF(C2760="B20",1260,0)))))))</f>
        <v/>
      </c>
      <c r="F2760" s="8" t="str">
        <f>IF(IF(D2760&lt;&gt;D2759,1,IF(OR(B2760&lt;&gt;B2759,A2760-A2759&gt;$U$1),1,""))&lt;&gt;1,"",IF(C2760="B01",1,IF(C2760="B05",1,IF(C2760="B03",1,IF(C2760="B04",1,IF(C2760="B20",1,IF(C2760="B02",1,0)))))))</f>
        <v/>
      </c>
      <c r="G2760"/>
      <c r="H2760" s="2"/>
      <c r="I2760" s="2"/>
      <c r="L2760"/>
      <c r="R2760"/>
    </row>
    <row r="2761" spans="1:18">
      <c r="A2761" s="3">
        <v>45769.323680555557</v>
      </c>
      <c r="B2761" s="2" t="s">
        <v>33</v>
      </c>
      <c r="C2761" s="2" t="s">
        <v>12</v>
      </c>
      <c r="D2761" s="6" t="str">
        <f>CONCATENATE(YEAR(A2761),"/",IF(MONTH(A2761)&lt;10,CONCATENATE("0",MONTH(A2761)),MONTH(A2761)))</f>
        <v>2025/04</v>
      </c>
      <c r="E2761" s="8">
        <f>IF(IF(D2761&lt;&gt;D2760,1,IF(OR(B2761&lt;&gt;B2760,A2761-A2760&gt;$U$1),1,""))&lt;&gt;1,"",IF(C2761="B01",1965,IF(C2761="B02",1020,IF(C2761="B05",2400,IF(C2761="B03",4260,IF(C2761="B04",2880,IF(C2761="B20",1260,0)))))))</f>
        <v>4260</v>
      </c>
      <c r="F2761" s="8">
        <f>IF(IF(D2761&lt;&gt;D2760,1,IF(OR(B2761&lt;&gt;B2760,A2761-A2760&gt;$U$1),1,""))&lt;&gt;1,"",IF(C2761="B01",1,IF(C2761="B05",1,IF(C2761="B03",1,IF(C2761="B04",1,IF(C2761="B20",1,IF(C2761="B02",1,0)))))))</f>
        <v>1</v>
      </c>
      <c r="G2761"/>
      <c r="H2761" s="2"/>
      <c r="I2761" s="2"/>
      <c r="L2761"/>
      <c r="R2761"/>
    </row>
    <row r="2762" spans="1:18">
      <c r="A2762" s="3">
        <v>45769.323680555557</v>
      </c>
      <c r="B2762" s="2" t="s">
        <v>33</v>
      </c>
      <c r="C2762" s="2" t="s">
        <v>12</v>
      </c>
      <c r="D2762" s="6" t="str">
        <f>CONCATENATE(YEAR(A2762),"/",IF(MONTH(A2762)&lt;10,CONCATENATE("0",MONTH(A2762)),MONTH(A2762)))</f>
        <v>2025/04</v>
      </c>
      <c r="E2762" s="8" t="str">
        <f>IF(IF(D2762&lt;&gt;D2761,1,IF(OR(B2762&lt;&gt;B2761,A2762-A2761&gt;$U$1),1,""))&lt;&gt;1,"",IF(C2762="B01",1965,IF(C2762="B02",1020,IF(C2762="B05",2400,IF(C2762="B03",4260,IF(C2762="B04",2880,IF(C2762="B20",1260,0)))))))</f>
        <v/>
      </c>
      <c r="F2762" s="8" t="str">
        <f>IF(IF(D2762&lt;&gt;D2761,1,IF(OR(B2762&lt;&gt;B2761,A2762-A2761&gt;$U$1),1,""))&lt;&gt;1,"",IF(C2762="B01",1,IF(C2762="B05",1,IF(C2762="B03",1,IF(C2762="B04",1,IF(C2762="B20",1,IF(C2762="B02",1,0)))))))</f>
        <v/>
      </c>
      <c r="G2762"/>
      <c r="H2762" s="2"/>
      <c r="I2762" s="2"/>
      <c r="L2762"/>
      <c r="R2762"/>
    </row>
    <row r="2763" spans="1:18">
      <c r="A2763" s="3">
        <v>45769.682662037034</v>
      </c>
      <c r="B2763" s="2" t="s">
        <v>33</v>
      </c>
      <c r="C2763" s="2" t="s">
        <v>12</v>
      </c>
      <c r="D2763" s="6" t="str">
        <f>CONCATENATE(YEAR(A2763),"/",IF(MONTH(A2763)&lt;10,CONCATENATE("0",MONTH(A2763)),MONTH(A2763)))</f>
        <v>2025/04</v>
      </c>
      <c r="E2763" s="8">
        <f>IF(IF(D2763&lt;&gt;D2762,1,IF(OR(B2763&lt;&gt;B2762,A2763-A2762&gt;$U$1),1,""))&lt;&gt;1,"",IF(C2763="B01",1965,IF(C2763="B02",1020,IF(C2763="B05",2400,IF(C2763="B03",4260,IF(C2763="B04",2880,IF(C2763="B20",1260,0)))))))</f>
        <v>4260</v>
      </c>
      <c r="F2763" s="8">
        <f>IF(IF(D2763&lt;&gt;D2762,1,IF(OR(B2763&lt;&gt;B2762,A2763-A2762&gt;$U$1),1,""))&lt;&gt;1,"",IF(C2763="B01",1,IF(C2763="B05",1,IF(C2763="B03",1,IF(C2763="B04",1,IF(C2763="B20",1,IF(C2763="B02",1,0)))))))</f>
        <v>1</v>
      </c>
      <c r="G2763"/>
      <c r="H2763" s="2"/>
      <c r="I2763" s="2"/>
      <c r="L2763"/>
      <c r="R2763"/>
    </row>
    <row r="2764" spans="1:18">
      <c r="A2764" s="3">
        <v>45769.682662037034</v>
      </c>
      <c r="B2764" s="2" t="s">
        <v>33</v>
      </c>
      <c r="C2764" s="2" t="s">
        <v>12</v>
      </c>
      <c r="D2764" s="6" t="str">
        <f>CONCATENATE(YEAR(A2764),"/",IF(MONTH(A2764)&lt;10,CONCATENATE("0",MONTH(A2764)),MONTH(A2764)))</f>
        <v>2025/04</v>
      </c>
      <c r="E2764" s="8" t="str">
        <f>IF(IF(D2764&lt;&gt;D2763,1,IF(OR(B2764&lt;&gt;B2763,A2764-A2763&gt;$U$1),1,""))&lt;&gt;1,"",IF(C2764="B01",1965,IF(C2764="B02",1020,IF(C2764="B05",2400,IF(C2764="B03",4260,IF(C2764="B04",2880,IF(C2764="B20",1260,0)))))))</f>
        <v/>
      </c>
      <c r="F2764" s="8" t="str">
        <f>IF(IF(D2764&lt;&gt;D2763,1,IF(OR(B2764&lt;&gt;B2763,A2764-A2763&gt;$U$1),1,""))&lt;&gt;1,"",IF(C2764="B01",1,IF(C2764="B05",1,IF(C2764="B03",1,IF(C2764="B04",1,IF(C2764="B20",1,IF(C2764="B02",1,0)))))))</f>
        <v/>
      </c>
      <c r="G2764"/>
      <c r="H2764" s="2"/>
      <c r="I2764" s="2"/>
      <c r="L2764"/>
      <c r="R2764"/>
    </row>
    <row r="2765" spans="1:18">
      <c r="A2765" s="3">
        <v>45770.396631944444</v>
      </c>
      <c r="B2765" s="2" t="s">
        <v>33</v>
      </c>
      <c r="C2765" s="2" t="s">
        <v>11</v>
      </c>
      <c r="D2765" s="6" t="str">
        <f>CONCATENATE(YEAR(A2765),"/",IF(MONTH(A2765)&lt;10,CONCATENATE("0",MONTH(A2765)),MONTH(A2765)))</f>
        <v>2025/04</v>
      </c>
      <c r="E2765" s="8">
        <f>IF(IF(D2765&lt;&gt;D2764,1,IF(OR(B2765&lt;&gt;B2764,A2765-A2764&gt;$U$1),1,""))&lt;&gt;1,"",IF(C2765="B01",1965,IF(C2765="B02",1020,IF(C2765="B05",2400,IF(C2765="B03",4260,IF(C2765="B04",2880,IF(C2765="B20",1260,0)))))))</f>
        <v>2400</v>
      </c>
      <c r="F2765" s="8">
        <f>IF(IF(D2765&lt;&gt;D2764,1,IF(OR(B2765&lt;&gt;B2764,A2765-A2764&gt;$U$1),1,""))&lt;&gt;1,"",IF(C2765="B01",1,IF(C2765="B05",1,IF(C2765="B03",1,IF(C2765="B04",1,IF(C2765="B20",1,IF(C2765="B02",1,0)))))))</f>
        <v>1</v>
      </c>
      <c r="G2765"/>
      <c r="H2765" s="2"/>
      <c r="I2765" s="2"/>
      <c r="L2765"/>
      <c r="R2765"/>
    </row>
    <row r="2766" spans="1:18">
      <c r="A2766" s="3">
        <v>45770.396631944444</v>
      </c>
      <c r="B2766" s="2" t="s">
        <v>33</v>
      </c>
      <c r="C2766" s="2" t="s">
        <v>11</v>
      </c>
      <c r="D2766" s="6" t="str">
        <f>CONCATENATE(YEAR(A2766),"/",IF(MONTH(A2766)&lt;10,CONCATENATE("0",MONTH(A2766)),MONTH(A2766)))</f>
        <v>2025/04</v>
      </c>
      <c r="E2766" s="8" t="str">
        <f>IF(IF(D2766&lt;&gt;D2765,1,IF(OR(B2766&lt;&gt;B2765,A2766-A2765&gt;$U$1),1,""))&lt;&gt;1,"",IF(C2766="B01",1965,IF(C2766="B02",1020,IF(C2766="B05",2400,IF(C2766="B03",4260,IF(C2766="B04",2880,IF(C2766="B20",1260,0)))))))</f>
        <v/>
      </c>
      <c r="F2766" s="8" t="str">
        <f>IF(IF(D2766&lt;&gt;D2765,1,IF(OR(B2766&lt;&gt;B2765,A2766-A2765&gt;$U$1),1,""))&lt;&gt;1,"",IF(C2766="B01",1,IF(C2766="B05",1,IF(C2766="B03",1,IF(C2766="B04",1,IF(C2766="B20",1,IF(C2766="B02",1,0)))))))</f>
        <v/>
      </c>
      <c r="G2766"/>
      <c r="H2766" s="2"/>
      <c r="I2766" s="2"/>
      <c r="L2766"/>
      <c r="R2766"/>
    </row>
    <row r="2767" spans="1:18">
      <c r="A2767" s="3">
        <v>45770.396631944444</v>
      </c>
      <c r="B2767" s="2" t="s">
        <v>33</v>
      </c>
      <c r="C2767" s="2" t="s">
        <v>11</v>
      </c>
      <c r="D2767" s="6" t="str">
        <f>CONCATENATE(YEAR(A2767),"/",IF(MONTH(A2767)&lt;10,CONCATENATE("0",MONTH(A2767)),MONTH(A2767)))</f>
        <v>2025/04</v>
      </c>
      <c r="E2767" s="8" t="str">
        <f>IF(IF(D2767&lt;&gt;D2766,1,IF(OR(B2767&lt;&gt;B2766,A2767-A2766&gt;$U$1),1,""))&lt;&gt;1,"",IF(C2767="B01",1965,IF(C2767="B02",1020,IF(C2767="B05",2400,IF(C2767="B03",4260,IF(C2767="B04",2880,IF(C2767="B20",1260,0)))))))</f>
        <v/>
      </c>
      <c r="F2767" s="8" t="str">
        <f>IF(IF(D2767&lt;&gt;D2766,1,IF(OR(B2767&lt;&gt;B2766,A2767-A2766&gt;$U$1),1,""))&lt;&gt;1,"",IF(C2767="B01",1,IF(C2767="B05",1,IF(C2767="B03",1,IF(C2767="B04",1,IF(C2767="B20",1,IF(C2767="B02",1,0)))))))</f>
        <v/>
      </c>
      <c r="G2767"/>
      <c r="H2767" s="2"/>
      <c r="I2767" s="2"/>
      <c r="L2767"/>
      <c r="R2767"/>
    </row>
    <row r="2768" spans="1:18">
      <c r="A2768" s="3">
        <v>45770.396631944444</v>
      </c>
      <c r="B2768" s="2" t="s">
        <v>33</v>
      </c>
      <c r="C2768" s="2" t="s">
        <v>11</v>
      </c>
      <c r="D2768" s="6" t="str">
        <f>CONCATENATE(YEAR(A2768),"/",IF(MONTH(A2768)&lt;10,CONCATENATE("0",MONTH(A2768)),MONTH(A2768)))</f>
        <v>2025/04</v>
      </c>
      <c r="E2768" s="8" t="str">
        <f>IF(IF(D2768&lt;&gt;D2767,1,IF(OR(B2768&lt;&gt;B2767,A2768-A2767&gt;$U$1),1,""))&lt;&gt;1,"",IF(C2768="B01",1965,IF(C2768="B02",1020,IF(C2768="B05",2400,IF(C2768="B03",4260,IF(C2768="B04",2880,IF(C2768="B20",1260,0)))))))</f>
        <v/>
      </c>
      <c r="F2768" s="8" t="str">
        <f>IF(IF(D2768&lt;&gt;D2767,1,IF(OR(B2768&lt;&gt;B2767,A2768-A2767&gt;$U$1),1,""))&lt;&gt;1,"",IF(C2768="B01",1,IF(C2768="B05",1,IF(C2768="B03",1,IF(C2768="B04",1,IF(C2768="B20",1,IF(C2768="B02",1,0)))))))</f>
        <v/>
      </c>
      <c r="G2768"/>
      <c r="H2768" s="2"/>
      <c r="I2768" s="2"/>
      <c r="L2768"/>
      <c r="R2768"/>
    </row>
    <row r="2769" spans="1:18">
      <c r="A2769" s="3">
        <v>45770.769861111112</v>
      </c>
      <c r="B2769" s="2" t="s">
        <v>33</v>
      </c>
      <c r="C2769" s="2" t="s">
        <v>11</v>
      </c>
      <c r="D2769" s="6" t="str">
        <f>CONCATENATE(YEAR(A2769),"/",IF(MONTH(A2769)&lt;10,CONCATENATE("0",MONTH(A2769)),MONTH(A2769)))</f>
        <v>2025/04</v>
      </c>
      <c r="E2769" s="8">
        <f>IF(IF(D2769&lt;&gt;D2768,1,IF(OR(B2769&lt;&gt;B2768,A2769-A2768&gt;$U$1),1,""))&lt;&gt;1,"",IF(C2769="B01",1965,IF(C2769="B02",1020,IF(C2769="B05",2400,IF(C2769="B03",4260,IF(C2769="B04",2880,IF(C2769="B20",1260,0)))))))</f>
        <v>2400</v>
      </c>
      <c r="F2769" s="8">
        <f>IF(IF(D2769&lt;&gt;D2768,1,IF(OR(B2769&lt;&gt;B2768,A2769-A2768&gt;$U$1),1,""))&lt;&gt;1,"",IF(C2769="B01",1,IF(C2769="B05",1,IF(C2769="B03",1,IF(C2769="B04",1,IF(C2769="B20",1,IF(C2769="B02",1,0)))))))</f>
        <v>1</v>
      </c>
      <c r="G2769"/>
      <c r="H2769" s="2"/>
      <c r="I2769" s="2"/>
      <c r="L2769"/>
      <c r="R2769"/>
    </row>
    <row r="2770" spans="1:18">
      <c r="A2770" s="3">
        <v>45770.769861111112</v>
      </c>
      <c r="B2770" s="2" t="s">
        <v>33</v>
      </c>
      <c r="C2770" s="2" t="s">
        <v>11</v>
      </c>
      <c r="D2770" s="6" t="str">
        <f>CONCATENATE(YEAR(A2770),"/",IF(MONTH(A2770)&lt;10,CONCATENATE("0",MONTH(A2770)),MONTH(A2770)))</f>
        <v>2025/04</v>
      </c>
      <c r="E2770" s="8" t="str">
        <f>IF(IF(D2770&lt;&gt;D2769,1,IF(OR(B2770&lt;&gt;B2769,A2770-A2769&gt;$U$1),1,""))&lt;&gt;1,"",IF(C2770="B01",1965,IF(C2770="B02",1020,IF(C2770="B05",2400,IF(C2770="B03",4260,IF(C2770="B04",2880,IF(C2770="B20",1260,0)))))))</f>
        <v/>
      </c>
      <c r="F2770" s="8" t="str">
        <f>IF(IF(D2770&lt;&gt;D2769,1,IF(OR(B2770&lt;&gt;B2769,A2770-A2769&gt;$U$1),1,""))&lt;&gt;1,"",IF(C2770="B01",1,IF(C2770="B05",1,IF(C2770="B03",1,IF(C2770="B04",1,IF(C2770="B20",1,IF(C2770="B02",1,0)))))))</f>
        <v/>
      </c>
      <c r="G2770"/>
      <c r="H2770" s="2"/>
      <c r="I2770" s="2"/>
      <c r="L2770"/>
      <c r="R2770"/>
    </row>
    <row r="2771" spans="1:18">
      <c r="A2771" s="3">
        <v>45773.033761574072</v>
      </c>
      <c r="B2771" s="2" t="s">
        <v>33</v>
      </c>
      <c r="C2771" s="2" t="s">
        <v>11</v>
      </c>
      <c r="D2771" s="6" t="str">
        <f>CONCATENATE(YEAR(A2771),"/",IF(MONTH(A2771)&lt;10,CONCATENATE("0",MONTH(A2771)),MONTH(A2771)))</f>
        <v>2025/04</v>
      </c>
      <c r="E2771" s="8">
        <f>IF(IF(D2771&lt;&gt;D2770,1,IF(OR(B2771&lt;&gt;B2770,A2771-A2770&gt;$U$1),1,""))&lt;&gt;1,"",IF(C2771="B01",1965,IF(C2771="B02",1020,IF(C2771="B05",2400,IF(C2771="B03",4260,IF(C2771="B04",2880,IF(C2771="B20",1260,0)))))))</f>
        <v>2400</v>
      </c>
      <c r="F2771" s="8">
        <f>IF(IF(D2771&lt;&gt;D2770,1,IF(OR(B2771&lt;&gt;B2770,A2771-A2770&gt;$U$1),1,""))&lt;&gt;1,"",IF(C2771="B01",1,IF(C2771="B05",1,IF(C2771="B03",1,IF(C2771="B04",1,IF(C2771="B20",1,IF(C2771="B02",1,0)))))))</f>
        <v>1</v>
      </c>
      <c r="G2771"/>
      <c r="H2771" s="2"/>
      <c r="I2771" s="2"/>
      <c r="L2771"/>
      <c r="R2771"/>
    </row>
    <row r="2772" spans="1:18">
      <c r="A2772" s="3">
        <v>45773.033761574072</v>
      </c>
      <c r="B2772" s="2" t="s">
        <v>33</v>
      </c>
      <c r="C2772" s="2" t="s">
        <v>11</v>
      </c>
      <c r="D2772" s="6" t="str">
        <f>CONCATENATE(YEAR(A2772),"/",IF(MONTH(A2772)&lt;10,CONCATENATE("0",MONTH(A2772)),MONTH(A2772)))</f>
        <v>2025/04</v>
      </c>
      <c r="E2772" s="8" t="str">
        <f>IF(IF(D2772&lt;&gt;D2771,1,IF(OR(B2772&lt;&gt;B2771,A2772-A2771&gt;$U$1),1,""))&lt;&gt;1,"",IF(C2772="B01",1965,IF(C2772="B02",1020,IF(C2772="B05",2400,IF(C2772="B03",4260,IF(C2772="B04",2880,IF(C2772="B20",1260,0)))))))</f>
        <v/>
      </c>
      <c r="F2772" s="8" t="str">
        <f>IF(IF(D2772&lt;&gt;D2771,1,IF(OR(B2772&lt;&gt;B2771,A2772-A2771&gt;$U$1),1,""))&lt;&gt;1,"",IF(C2772="B01",1,IF(C2772="B05",1,IF(C2772="B03",1,IF(C2772="B04",1,IF(C2772="B20",1,IF(C2772="B02",1,0)))))))</f>
        <v/>
      </c>
      <c r="G2772"/>
      <c r="H2772" s="2"/>
      <c r="I2772" s="2"/>
      <c r="L2772"/>
      <c r="R2772"/>
    </row>
    <row r="2773" spans="1:18">
      <c r="A2773" s="3">
        <v>45773.756840277776</v>
      </c>
      <c r="B2773" s="2" t="s">
        <v>33</v>
      </c>
      <c r="C2773" s="2" t="s">
        <v>12</v>
      </c>
      <c r="D2773" s="6" t="str">
        <f>CONCATENATE(YEAR(A2773),"/",IF(MONTH(A2773)&lt;10,CONCATENATE("0",MONTH(A2773)),MONTH(A2773)))</f>
        <v>2025/04</v>
      </c>
      <c r="E2773" s="8">
        <f>IF(IF(D2773&lt;&gt;D2772,1,IF(OR(B2773&lt;&gt;B2772,A2773-A2772&gt;$U$1),1,""))&lt;&gt;1,"",IF(C2773="B01",1965,IF(C2773="B02",1020,IF(C2773="B05",2400,IF(C2773="B03",4260,IF(C2773="B04",2880,IF(C2773="B20",1260,0)))))))</f>
        <v>4260</v>
      </c>
      <c r="F2773" s="8">
        <f>IF(IF(D2773&lt;&gt;D2772,1,IF(OR(B2773&lt;&gt;B2772,A2773-A2772&gt;$U$1),1,""))&lt;&gt;1,"",IF(C2773="B01",1,IF(C2773="B05",1,IF(C2773="B03",1,IF(C2773="B04",1,IF(C2773="B20",1,IF(C2773="B02",1,0)))))))</f>
        <v>1</v>
      </c>
      <c r="G2773"/>
      <c r="H2773" s="2"/>
      <c r="I2773" s="2"/>
      <c r="L2773"/>
      <c r="R2773"/>
    </row>
    <row r="2774" spans="1:18">
      <c r="A2774" s="3">
        <v>45773.756840277776</v>
      </c>
      <c r="B2774" s="2" t="s">
        <v>33</v>
      </c>
      <c r="C2774" s="2" t="s">
        <v>12</v>
      </c>
      <c r="D2774" s="6" t="str">
        <f>CONCATENATE(YEAR(A2774),"/",IF(MONTH(A2774)&lt;10,CONCATENATE("0",MONTH(A2774)),MONTH(A2774)))</f>
        <v>2025/04</v>
      </c>
      <c r="E2774" s="8" t="str">
        <f>IF(IF(D2774&lt;&gt;D2773,1,IF(OR(B2774&lt;&gt;B2773,A2774-A2773&gt;$U$1),1,""))&lt;&gt;1,"",IF(C2774="B01",1965,IF(C2774="B02",1020,IF(C2774="B05",2400,IF(C2774="B03",4260,IF(C2774="B04",2880,IF(C2774="B20",1260,0)))))))</f>
        <v/>
      </c>
      <c r="F2774" s="8" t="str">
        <f>IF(IF(D2774&lt;&gt;D2773,1,IF(OR(B2774&lt;&gt;B2773,A2774-A2773&gt;$U$1),1,""))&lt;&gt;1,"",IF(C2774="B01",1,IF(C2774="B05",1,IF(C2774="B03",1,IF(C2774="B04",1,IF(C2774="B20",1,IF(C2774="B02",1,0)))))))</f>
        <v/>
      </c>
      <c r="G2774"/>
      <c r="H2774" s="2"/>
      <c r="I2774" s="2"/>
      <c r="L2774"/>
      <c r="R2774"/>
    </row>
    <row r="2775" spans="1:18">
      <c r="A2775" s="3">
        <v>45773.756840277776</v>
      </c>
      <c r="B2775" s="2" t="s">
        <v>33</v>
      </c>
      <c r="C2775" s="2" t="s">
        <v>12</v>
      </c>
      <c r="D2775" s="6" t="str">
        <f>CONCATENATE(YEAR(A2775),"/",IF(MONTH(A2775)&lt;10,CONCATENATE("0",MONTH(A2775)),MONTH(A2775)))</f>
        <v>2025/04</v>
      </c>
      <c r="E2775" s="8" t="str">
        <f>IF(IF(D2775&lt;&gt;D2774,1,IF(OR(B2775&lt;&gt;B2774,A2775-A2774&gt;$U$1),1,""))&lt;&gt;1,"",IF(C2775="B01",1965,IF(C2775="B02",1020,IF(C2775="B05",2400,IF(C2775="B03",4260,IF(C2775="B04",2880,IF(C2775="B20",1260,0)))))))</f>
        <v/>
      </c>
      <c r="F2775" s="8" t="str">
        <f>IF(IF(D2775&lt;&gt;D2774,1,IF(OR(B2775&lt;&gt;B2774,A2775-A2774&gt;$U$1),1,""))&lt;&gt;1,"",IF(C2775="B01",1,IF(C2775="B05",1,IF(C2775="B03",1,IF(C2775="B04",1,IF(C2775="B20",1,IF(C2775="B02",1,0)))))))</f>
        <v/>
      </c>
      <c r="G2775"/>
      <c r="H2775" s="2"/>
      <c r="I2775" s="2"/>
      <c r="L2775"/>
      <c r="R2775"/>
    </row>
    <row r="2776" spans="1:18">
      <c r="A2776" s="3">
        <v>45773.9455787037</v>
      </c>
      <c r="B2776" s="2" t="s">
        <v>33</v>
      </c>
      <c r="C2776" s="2" t="s">
        <v>11</v>
      </c>
      <c r="D2776" s="6" t="str">
        <f>CONCATENATE(YEAR(A2776),"/",IF(MONTH(A2776)&lt;10,CONCATENATE("0",MONTH(A2776)),MONTH(A2776)))</f>
        <v>2025/04</v>
      </c>
      <c r="E2776" s="8">
        <f>IF(IF(D2776&lt;&gt;D2775,1,IF(OR(B2776&lt;&gt;B2775,A2776-A2775&gt;$U$1),1,""))&lt;&gt;1,"",IF(C2776="B01",1965,IF(C2776="B02",1020,IF(C2776="B05",2400,IF(C2776="B03",4260,IF(C2776="B04",2880,IF(C2776="B20",1260,0)))))))</f>
        <v>2400</v>
      </c>
      <c r="F2776" s="8">
        <f>IF(IF(D2776&lt;&gt;D2775,1,IF(OR(B2776&lt;&gt;B2775,A2776-A2775&gt;$U$1),1,""))&lt;&gt;1,"",IF(C2776="B01",1,IF(C2776="B05",1,IF(C2776="B03",1,IF(C2776="B04",1,IF(C2776="B20",1,IF(C2776="B02",1,0)))))))</f>
        <v>1</v>
      </c>
      <c r="G2776"/>
      <c r="H2776" s="2"/>
      <c r="I2776" s="2"/>
      <c r="L2776"/>
      <c r="R2776"/>
    </row>
    <row r="2777" spans="1:18">
      <c r="A2777" s="3">
        <v>45773.9455787037</v>
      </c>
      <c r="B2777" s="2" t="s">
        <v>33</v>
      </c>
      <c r="C2777" s="2" t="s">
        <v>11</v>
      </c>
      <c r="D2777" s="6" t="str">
        <f>CONCATENATE(YEAR(A2777),"/",IF(MONTH(A2777)&lt;10,CONCATENATE("0",MONTH(A2777)),MONTH(A2777)))</f>
        <v>2025/04</v>
      </c>
      <c r="E2777" s="8" t="str">
        <f>IF(IF(D2777&lt;&gt;D2776,1,IF(OR(B2777&lt;&gt;B2776,A2777-A2776&gt;$U$1),1,""))&lt;&gt;1,"",IF(C2777="B01",1965,IF(C2777="B02",1020,IF(C2777="B05",2400,IF(C2777="B03",4260,IF(C2777="B04",2880,IF(C2777="B20",1260,0)))))))</f>
        <v/>
      </c>
      <c r="F2777" s="8" t="str">
        <f>IF(IF(D2777&lt;&gt;D2776,1,IF(OR(B2777&lt;&gt;B2776,A2777-A2776&gt;$U$1),1,""))&lt;&gt;1,"",IF(C2777="B01",1,IF(C2777="B05",1,IF(C2777="B03",1,IF(C2777="B04",1,IF(C2777="B20",1,IF(C2777="B02",1,0)))))))</f>
        <v/>
      </c>
      <c r="G2777"/>
      <c r="H2777" s="2"/>
      <c r="I2777" s="2"/>
      <c r="L2777"/>
      <c r="R2777"/>
    </row>
    <row r="2778" spans="1:18">
      <c r="A2778" s="3">
        <v>45774.421805555554</v>
      </c>
      <c r="B2778" s="2" t="s">
        <v>33</v>
      </c>
      <c r="C2778" s="2" t="s">
        <v>11</v>
      </c>
      <c r="D2778" s="6" t="str">
        <f>CONCATENATE(YEAR(A2778),"/",IF(MONTH(A2778)&lt;10,CONCATENATE("0",MONTH(A2778)),MONTH(A2778)))</f>
        <v>2025/04</v>
      </c>
      <c r="E2778" s="8">
        <f>IF(IF(D2778&lt;&gt;D2777,1,IF(OR(B2778&lt;&gt;B2777,A2778-A2777&gt;$U$1),1,""))&lt;&gt;1,"",IF(C2778="B01",1965,IF(C2778="B02",1020,IF(C2778="B05",2400,IF(C2778="B03",4260,IF(C2778="B04",2880,IF(C2778="B20",1260,0)))))))</f>
        <v>2400</v>
      </c>
      <c r="F2778" s="8">
        <f>IF(IF(D2778&lt;&gt;D2777,1,IF(OR(B2778&lt;&gt;B2777,A2778-A2777&gt;$U$1),1,""))&lt;&gt;1,"",IF(C2778="B01",1,IF(C2778="B05",1,IF(C2778="B03",1,IF(C2778="B04",1,IF(C2778="B20",1,IF(C2778="B02",1,0)))))))</f>
        <v>1</v>
      </c>
      <c r="G2778"/>
      <c r="H2778" s="2"/>
      <c r="I2778" s="2"/>
      <c r="L2778"/>
      <c r="R2778"/>
    </row>
    <row r="2779" spans="1:18">
      <c r="A2779" s="3">
        <v>45774.421805555554</v>
      </c>
      <c r="B2779" s="2" t="s">
        <v>33</v>
      </c>
      <c r="C2779" s="2" t="s">
        <v>11</v>
      </c>
      <c r="D2779" s="6" t="str">
        <f>CONCATENATE(YEAR(A2779),"/",IF(MONTH(A2779)&lt;10,CONCATENATE("0",MONTH(A2779)),MONTH(A2779)))</f>
        <v>2025/04</v>
      </c>
      <c r="E2779" s="8" t="str">
        <f>IF(IF(D2779&lt;&gt;D2778,1,IF(OR(B2779&lt;&gt;B2778,A2779-A2778&gt;$U$1),1,""))&lt;&gt;1,"",IF(C2779="B01",1965,IF(C2779="B02",1020,IF(C2779="B05",2400,IF(C2779="B03",4260,IF(C2779="B04",2880,IF(C2779="B20",1260,0)))))))</f>
        <v/>
      </c>
      <c r="F2779" s="8" t="str">
        <f>IF(IF(D2779&lt;&gt;D2778,1,IF(OR(B2779&lt;&gt;B2778,A2779-A2778&gt;$U$1),1,""))&lt;&gt;1,"",IF(C2779="B01",1,IF(C2779="B05",1,IF(C2779="B03",1,IF(C2779="B04",1,IF(C2779="B20",1,IF(C2779="B02",1,0)))))))</f>
        <v/>
      </c>
      <c r="G2779"/>
      <c r="H2779" s="2"/>
      <c r="I2779" s="2"/>
      <c r="L2779"/>
      <c r="R2779"/>
    </row>
    <row r="2780" spans="1:18">
      <c r="A2780" s="3">
        <v>45774.421805555554</v>
      </c>
      <c r="B2780" s="2" t="s">
        <v>33</v>
      </c>
      <c r="C2780" s="2" t="s">
        <v>11</v>
      </c>
      <c r="D2780" s="6" t="str">
        <f>CONCATENATE(YEAR(A2780),"/",IF(MONTH(A2780)&lt;10,CONCATENATE("0",MONTH(A2780)),MONTH(A2780)))</f>
        <v>2025/04</v>
      </c>
      <c r="E2780" s="8" t="str">
        <f>IF(IF(D2780&lt;&gt;D2779,1,IF(OR(B2780&lt;&gt;B2779,A2780-A2779&gt;$U$1),1,""))&lt;&gt;1,"",IF(C2780="B01",1965,IF(C2780="B02",1020,IF(C2780="B05",2400,IF(C2780="B03",4260,IF(C2780="B04",2880,IF(C2780="B20",1260,0)))))))</f>
        <v/>
      </c>
      <c r="F2780" s="8" t="str">
        <f>IF(IF(D2780&lt;&gt;D2779,1,IF(OR(B2780&lt;&gt;B2779,A2780-A2779&gt;$U$1),1,""))&lt;&gt;1,"",IF(C2780="B01",1,IF(C2780="B05",1,IF(C2780="B03",1,IF(C2780="B04",1,IF(C2780="B20",1,IF(C2780="B02",1,0)))))))</f>
        <v/>
      </c>
      <c r="G2780"/>
      <c r="H2780" s="2"/>
      <c r="I2780" s="2"/>
      <c r="L2780"/>
      <c r="R2780"/>
    </row>
    <row r="2781" spans="1:18">
      <c r="A2781" s="3">
        <v>45774.421805555554</v>
      </c>
      <c r="B2781" s="2" t="s">
        <v>33</v>
      </c>
      <c r="C2781" s="2" t="s">
        <v>11</v>
      </c>
      <c r="D2781" s="6" t="str">
        <f>CONCATENATE(YEAR(A2781),"/",IF(MONTH(A2781)&lt;10,CONCATENATE("0",MONTH(A2781)),MONTH(A2781)))</f>
        <v>2025/04</v>
      </c>
      <c r="E2781" s="8" t="str">
        <f>IF(IF(D2781&lt;&gt;D2780,1,IF(OR(B2781&lt;&gt;B2780,A2781-A2780&gt;$U$1),1,""))&lt;&gt;1,"",IF(C2781="B01",1965,IF(C2781="B02",1020,IF(C2781="B05",2400,IF(C2781="B03",4260,IF(C2781="B04",2880,IF(C2781="B20",1260,0)))))))</f>
        <v/>
      </c>
      <c r="F2781" s="8" t="str">
        <f>IF(IF(D2781&lt;&gt;D2780,1,IF(OR(B2781&lt;&gt;B2780,A2781-A2780&gt;$U$1),1,""))&lt;&gt;1,"",IF(C2781="B01",1,IF(C2781="B05",1,IF(C2781="B03",1,IF(C2781="B04",1,IF(C2781="B20",1,IF(C2781="B02",1,0)))))))</f>
        <v/>
      </c>
      <c r="G2781"/>
      <c r="H2781" s="2"/>
      <c r="I2781" s="2"/>
      <c r="L2781"/>
      <c r="R2781"/>
    </row>
    <row r="2782" spans="1:18">
      <c r="A2782" s="3">
        <v>45774.876284722224</v>
      </c>
      <c r="B2782" s="2" t="s">
        <v>33</v>
      </c>
      <c r="C2782" s="2" t="s">
        <v>12</v>
      </c>
      <c r="D2782" s="6" t="str">
        <f>CONCATENATE(YEAR(A2782),"/",IF(MONTH(A2782)&lt;10,CONCATENATE("0",MONTH(A2782)),MONTH(A2782)))</f>
        <v>2025/04</v>
      </c>
      <c r="E2782" s="8">
        <f>IF(IF(D2782&lt;&gt;D2781,1,IF(OR(B2782&lt;&gt;B2781,A2782-A2781&gt;$U$1),1,""))&lt;&gt;1,"",IF(C2782="B01",1965,IF(C2782="B02",1020,IF(C2782="B05",2400,IF(C2782="B03",4260,IF(C2782="B04",2880,IF(C2782="B20",1260,0)))))))</f>
        <v>4260</v>
      </c>
      <c r="F2782" s="8">
        <f>IF(IF(D2782&lt;&gt;D2781,1,IF(OR(B2782&lt;&gt;B2781,A2782-A2781&gt;$U$1),1,""))&lt;&gt;1,"",IF(C2782="B01",1,IF(C2782="B05",1,IF(C2782="B03",1,IF(C2782="B04",1,IF(C2782="B20",1,IF(C2782="B02",1,0)))))))</f>
        <v>1</v>
      </c>
      <c r="G2782"/>
      <c r="H2782" s="2"/>
      <c r="I2782" s="2"/>
      <c r="L2782"/>
      <c r="R2782"/>
    </row>
    <row r="2783" spans="1:18">
      <c r="A2783" s="3">
        <v>45775.920231481483</v>
      </c>
      <c r="B2783" s="2" t="s">
        <v>33</v>
      </c>
      <c r="C2783" s="2" t="s">
        <v>11</v>
      </c>
      <c r="D2783" s="6" t="str">
        <f>CONCATENATE(YEAR(A2783),"/",IF(MONTH(A2783)&lt;10,CONCATENATE("0",MONTH(A2783)),MONTH(A2783)))</f>
        <v>2025/04</v>
      </c>
      <c r="E2783" s="8">
        <f>IF(IF(D2783&lt;&gt;D2782,1,IF(OR(B2783&lt;&gt;B2782,A2783-A2782&gt;$U$1),1,""))&lt;&gt;1,"",IF(C2783="B01",1965,IF(C2783="B02",1020,IF(C2783="B05",2400,IF(C2783="B03",4260,IF(C2783="B04",2880,IF(C2783="B20",1260,0)))))))</f>
        <v>2400</v>
      </c>
      <c r="F2783" s="8">
        <f>IF(IF(D2783&lt;&gt;D2782,1,IF(OR(B2783&lt;&gt;B2782,A2783-A2782&gt;$U$1),1,""))&lt;&gt;1,"",IF(C2783="B01",1,IF(C2783="B05",1,IF(C2783="B03",1,IF(C2783="B04",1,IF(C2783="B20",1,IF(C2783="B02",1,0)))))))</f>
        <v>1</v>
      </c>
      <c r="G2783"/>
      <c r="H2783" s="2"/>
      <c r="I2783" s="2"/>
      <c r="L2783"/>
      <c r="R2783"/>
    </row>
    <row r="2784" spans="1:18">
      <c r="A2784" s="3">
        <v>45775.920231481483</v>
      </c>
      <c r="B2784" s="2" t="s">
        <v>33</v>
      </c>
      <c r="C2784" s="2" t="s">
        <v>11</v>
      </c>
      <c r="D2784" s="6" t="str">
        <f>CONCATENATE(YEAR(A2784),"/",IF(MONTH(A2784)&lt;10,CONCATENATE("0",MONTH(A2784)),MONTH(A2784)))</f>
        <v>2025/04</v>
      </c>
      <c r="E2784" s="8" t="str">
        <f>IF(IF(D2784&lt;&gt;D2783,1,IF(OR(B2784&lt;&gt;B2783,A2784-A2783&gt;$U$1),1,""))&lt;&gt;1,"",IF(C2784="B01",1965,IF(C2784="B02",1020,IF(C2784="B05",2400,IF(C2784="B03",4260,IF(C2784="B04",2880,IF(C2784="B20",1260,0)))))))</f>
        <v/>
      </c>
      <c r="F2784" s="8" t="str">
        <f>IF(IF(D2784&lt;&gt;D2783,1,IF(OR(B2784&lt;&gt;B2783,A2784-A2783&gt;$U$1),1,""))&lt;&gt;1,"",IF(C2784="B01",1,IF(C2784="B05",1,IF(C2784="B03",1,IF(C2784="B04",1,IF(C2784="B20",1,IF(C2784="B02",1,0)))))))</f>
        <v/>
      </c>
      <c r="G2784"/>
      <c r="H2784" s="2"/>
      <c r="I2784" s="2"/>
      <c r="L2784"/>
      <c r="R2784"/>
    </row>
    <row r="2785" spans="1:18">
      <c r="A2785" s="3">
        <v>45775.920231481483</v>
      </c>
      <c r="B2785" s="2" t="s">
        <v>33</v>
      </c>
      <c r="C2785" s="2" t="s">
        <v>11</v>
      </c>
      <c r="D2785" s="6" t="str">
        <f>CONCATENATE(YEAR(A2785),"/",IF(MONTH(A2785)&lt;10,CONCATENATE("0",MONTH(A2785)),MONTH(A2785)))</f>
        <v>2025/04</v>
      </c>
      <c r="E2785" s="8" t="str">
        <f>IF(IF(D2785&lt;&gt;D2784,1,IF(OR(B2785&lt;&gt;B2784,A2785-A2784&gt;$U$1),1,""))&lt;&gt;1,"",IF(C2785="B01",1965,IF(C2785="B02",1020,IF(C2785="B05",2400,IF(C2785="B03",4260,IF(C2785="B04",2880,IF(C2785="B20",1260,0)))))))</f>
        <v/>
      </c>
      <c r="F2785" s="8" t="str">
        <f>IF(IF(D2785&lt;&gt;D2784,1,IF(OR(B2785&lt;&gt;B2784,A2785-A2784&gt;$U$1),1,""))&lt;&gt;1,"",IF(C2785="B01",1,IF(C2785="B05",1,IF(C2785="B03",1,IF(C2785="B04",1,IF(C2785="B20",1,IF(C2785="B02",1,0)))))))</f>
        <v/>
      </c>
      <c r="G2785"/>
      <c r="H2785" s="2"/>
      <c r="I2785" s="2"/>
      <c r="L2785"/>
      <c r="R2785"/>
    </row>
    <row r="2786" spans="1:18">
      <c r="A2786" s="3">
        <v>45776.308240740742</v>
      </c>
      <c r="B2786" s="2" t="s">
        <v>33</v>
      </c>
      <c r="C2786" s="2" t="s">
        <v>12</v>
      </c>
      <c r="D2786" s="6" t="str">
        <f>CONCATENATE(YEAR(A2786),"/",IF(MONTH(A2786)&lt;10,CONCATENATE("0",MONTH(A2786)),MONTH(A2786)))</f>
        <v>2025/04</v>
      </c>
      <c r="E2786" s="8">
        <f>IF(IF(D2786&lt;&gt;D2785,1,IF(OR(B2786&lt;&gt;B2785,A2786-A2785&gt;$U$1),1,""))&lt;&gt;1,"",IF(C2786="B01",1965,IF(C2786="B02",1020,IF(C2786="B05",2400,IF(C2786="B03",4260,IF(C2786="B04",2880,IF(C2786="B20",1260,0)))))))</f>
        <v>4260</v>
      </c>
      <c r="F2786" s="8">
        <f>IF(IF(D2786&lt;&gt;D2785,1,IF(OR(B2786&lt;&gt;B2785,A2786-A2785&gt;$U$1),1,""))&lt;&gt;1,"",IF(C2786="B01",1,IF(C2786="B05",1,IF(C2786="B03",1,IF(C2786="B04",1,IF(C2786="B20",1,IF(C2786="B02",1,0)))))))</f>
        <v>1</v>
      </c>
      <c r="G2786"/>
      <c r="H2786" s="2"/>
      <c r="I2786" s="2"/>
      <c r="L2786"/>
      <c r="R2786"/>
    </row>
    <row r="2787" spans="1:18">
      <c r="A2787" s="3">
        <v>45776.308240740742</v>
      </c>
      <c r="B2787" s="2" t="s">
        <v>33</v>
      </c>
      <c r="C2787" s="2" t="s">
        <v>12</v>
      </c>
      <c r="D2787" s="6" t="str">
        <f>CONCATENATE(YEAR(A2787),"/",IF(MONTH(A2787)&lt;10,CONCATENATE("0",MONTH(A2787)),MONTH(A2787)))</f>
        <v>2025/04</v>
      </c>
      <c r="E2787" s="8" t="str">
        <f>IF(IF(D2787&lt;&gt;D2786,1,IF(OR(B2787&lt;&gt;B2786,A2787-A2786&gt;$U$1),1,""))&lt;&gt;1,"",IF(C2787="B01",1965,IF(C2787="B02",1020,IF(C2787="B05",2400,IF(C2787="B03",4260,IF(C2787="B04",2880,IF(C2787="B20",1260,0)))))))</f>
        <v/>
      </c>
      <c r="F2787" s="8" t="str">
        <f>IF(IF(D2787&lt;&gt;D2786,1,IF(OR(B2787&lt;&gt;B2786,A2787-A2786&gt;$U$1),1,""))&lt;&gt;1,"",IF(C2787="B01",1,IF(C2787="B05",1,IF(C2787="B03",1,IF(C2787="B04",1,IF(C2787="B20",1,IF(C2787="B02",1,0)))))))</f>
        <v/>
      </c>
      <c r="G2787"/>
      <c r="H2787" s="2"/>
      <c r="I2787" s="2"/>
      <c r="L2787"/>
      <c r="R2787"/>
    </row>
    <row r="2788" spans="1:18">
      <c r="A2788" s="3">
        <v>45776.556180555555</v>
      </c>
      <c r="B2788" s="2" t="s">
        <v>33</v>
      </c>
      <c r="C2788" s="2" t="s">
        <v>12</v>
      </c>
      <c r="D2788" s="6" t="str">
        <f>CONCATENATE(YEAR(A2788),"/",IF(MONTH(A2788)&lt;10,CONCATENATE("0",MONTH(A2788)),MONTH(A2788)))</f>
        <v>2025/04</v>
      </c>
      <c r="E2788" s="8">
        <f>IF(IF(D2788&lt;&gt;D2787,1,IF(OR(B2788&lt;&gt;B2787,A2788-A2787&gt;$U$1),1,""))&lt;&gt;1,"",IF(C2788="B01",1965,IF(C2788="B02",1020,IF(C2788="B05",2400,IF(C2788="B03",4260,IF(C2788="B04",2880,IF(C2788="B20",1260,0)))))))</f>
        <v>4260</v>
      </c>
      <c r="F2788" s="8">
        <f>IF(IF(D2788&lt;&gt;D2787,1,IF(OR(B2788&lt;&gt;B2787,A2788-A2787&gt;$U$1),1,""))&lt;&gt;1,"",IF(C2788="B01",1,IF(C2788="B05",1,IF(C2788="B03",1,IF(C2788="B04",1,IF(C2788="B20",1,IF(C2788="B02",1,0)))))))</f>
        <v>1</v>
      </c>
      <c r="G2788"/>
      <c r="H2788" s="2"/>
      <c r="I2788" s="2"/>
      <c r="L2788"/>
      <c r="R2788"/>
    </row>
    <row r="2789" spans="1:18">
      <c r="A2789" s="3">
        <v>45776.556180555555</v>
      </c>
      <c r="B2789" s="2" t="s">
        <v>33</v>
      </c>
      <c r="C2789" s="2" t="s">
        <v>12</v>
      </c>
      <c r="D2789" s="6" t="str">
        <f>CONCATENATE(YEAR(A2789),"/",IF(MONTH(A2789)&lt;10,CONCATENATE("0",MONTH(A2789)),MONTH(A2789)))</f>
        <v>2025/04</v>
      </c>
      <c r="E2789" s="8" t="str">
        <f>IF(IF(D2789&lt;&gt;D2788,1,IF(OR(B2789&lt;&gt;B2788,A2789-A2788&gt;$U$1),1,""))&lt;&gt;1,"",IF(C2789="B01",1965,IF(C2789="B02",1020,IF(C2789="B05",2400,IF(C2789="B03",4260,IF(C2789="B04",2880,IF(C2789="B20",1260,0)))))))</f>
        <v/>
      </c>
      <c r="F2789" s="8" t="str">
        <f>IF(IF(D2789&lt;&gt;D2788,1,IF(OR(B2789&lt;&gt;B2788,A2789-A2788&gt;$U$1),1,""))&lt;&gt;1,"",IF(C2789="B01",1,IF(C2789="B05",1,IF(C2789="B03",1,IF(C2789="B04",1,IF(C2789="B20",1,IF(C2789="B02",1,0)))))))</f>
        <v/>
      </c>
      <c r="G2789"/>
      <c r="H2789" s="2"/>
      <c r="I2789" s="2"/>
      <c r="L2789"/>
      <c r="R2789"/>
    </row>
    <row r="2790" spans="1:18">
      <c r="A2790" s="3">
        <v>45776.556180555555</v>
      </c>
      <c r="B2790" s="2" t="s">
        <v>33</v>
      </c>
      <c r="C2790" s="2" t="s">
        <v>12</v>
      </c>
      <c r="D2790" s="6" t="str">
        <f>CONCATENATE(YEAR(A2790),"/",IF(MONTH(A2790)&lt;10,CONCATENATE("0",MONTH(A2790)),MONTH(A2790)))</f>
        <v>2025/04</v>
      </c>
      <c r="E2790" s="8" t="str">
        <f>IF(IF(D2790&lt;&gt;D2789,1,IF(OR(B2790&lt;&gt;B2789,A2790-A2789&gt;$U$1),1,""))&lt;&gt;1,"",IF(C2790="B01",1965,IF(C2790="B02",1020,IF(C2790="B05",2400,IF(C2790="B03",4260,IF(C2790="B04",2880,IF(C2790="B20",1260,0)))))))</f>
        <v/>
      </c>
      <c r="F2790" s="8" t="str">
        <f>IF(IF(D2790&lt;&gt;D2789,1,IF(OR(B2790&lt;&gt;B2789,A2790-A2789&gt;$U$1),1,""))&lt;&gt;1,"",IF(C2790="B01",1,IF(C2790="B05",1,IF(C2790="B03",1,IF(C2790="B04",1,IF(C2790="B20",1,IF(C2790="B02",1,0)))))))</f>
        <v/>
      </c>
      <c r="G2790"/>
      <c r="H2790" s="2"/>
      <c r="I2790" s="2"/>
      <c r="L2790"/>
      <c r="R2790"/>
    </row>
    <row r="2791" spans="1:18">
      <c r="A2791" s="3">
        <v>45776.783414351848</v>
      </c>
      <c r="B2791" s="2" t="s">
        <v>33</v>
      </c>
      <c r="C2791" s="2" t="s">
        <v>12</v>
      </c>
      <c r="D2791" s="6" t="str">
        <f>CONCATENATE(YEAR(A2791),"/",IF(MONTH(A2791)&lt;10,CONCATENATE("0",MONTH(A2791)),MONTH(A2791)))</f>
        <v>2025/04</v>
      </c>
      <c r="E2791" s="8">
        <f>IF(IF(D2791&lt;&gt;D2790,1,IF(OR(B2791&lt;&gt;B2790,A2791-A2790&gt;$U$1),1,""))&lt;&gt;1,"",IF(C2791="B01",1965,IF(C2791="B02",1020,IF(C2791="B05",2400,IF(C2791="B03",4260,IF(C2791="B04",2880,IF(C2791="B20",1260,0)))))))</f>
        <v>4260</v>
      </c>
      <c r="F2791" s="8">
        <f>IF(IF(D2791&lt;&gt;D2790,1,IF(OR(B2791&lt;&gt;B2790,A2791-A2790&gt;$U$1),1,""))&lt;&gt;1,"",IF(C2791="B01",1,IF(C2791="B05",1,IF(C2791="B03",1,IF(C2791="B04",1,IF(C2791="B20",1,IF(C2791="B02",1,0)))))))</f>
        <v>1</v>
      </c>
      <c r="G2791"/>
      <c r="H2791" s="2"/>
      <c r="I2791" s="2"/>
      <c r="L2791"/>
      <c r="R2791"/>
    </row>
    <row r="2792" spans="1:18">
      <c r="A2792" s="3">
        <v>45776.783414351848</v>
      </c>
      <c r="B2792" s="2" t="s">
        <v>33</v>
      </c>
      <c r="C2792" s="2" t="s">
        <v>12</v>
      </c>
      <c r="D2792" s="6" t="str">
        <f>CONCATENATE(YEAR(A2792),"/",IF(MONTH(A2792)&lt;10,CONCATENATE("0",MONTH(A2792)),MONTH(A2792)))</f>
        <v>2025/04</v>
      </c>
      <c r="E2792" s="8" t="str">
        <f>IF(IF(D2792&lt;&gt;D2791,1,IF(OR(B2792&lt;&gt;B2791,A2792-A2791&gt;$U$1),1,""))&lt;&gt;1,"",IF(C2792="B01",1965,IF(C2792="B02",1020,IF(C2792="B05",2400,IF(C2792="B03",4260,IF(C2792="B04",2880,IF(C2792="B20",1260,0)))))))</f>
        <v/>
      </c>
      <c r="F2792" s="8" t="str">
        <f>IF(IF(D2792&lt;&gt;D2791,1,IF(OR(B2792&lt;&gt;B2791,A2792-A2791&gt;$U$1),1,""))&lt;&gt;1,"",IF(C2792="B01",1,IF(C2792="B05",1,IF(C2792="B03",1,IF(C2792="B04",1,IF(C2792="B20",1,IF(C2792="B02",1,0)))))))</f>
        <v/>
      </c>
      <c r="G2792"/>
      <c r="H2792" s="2"/>
      <c r="I2792" s="2"/>
      <c r="L2792"/>
      <c r="R2792"/>
    </row>
    <row r="2793" spans="1:18">
      <c r="A2793" s="3">
        <v>45776.954456018517</v>
      </c>
      <c r="B2793" s="2" t="s">
        <v>33</v>
      </c>
      <c r="C2793" s="2" t="s">
        <v>11</v>
      </c>
      <c r="D2793" s="6" t="str">
        <f>CONCATENATE(YEAR(A2793),"/",IF(MONTH(A2793)&lt;10,CONCATENATE("0",MONTH(A2793)),MONTH(A2793)))</f>
        <v>2025/04</v>
      </c>
      <c r="E2793" s="8">
        <f>IF(IF(D2793&lt;&gt;D2792,1,IF(OR(B2793&lt;&gt;B2792,A2793-A2792&gt;$U$1),1,""))&lt;&gt;1,"",IF(C2793="B01",1965,IF(C2793="B02",1020,IF(C2793="B05",2400,IF(C2793="B03",4260,IF(C2793="B04",2880,IF(C2793="B20",1260,0)))))))</f>
        <v>2400</v>
      </c>
      <c r="F2793" s="8">
        <f>IF(IF(D2793&lt;&gt;D2792,1,IF(OR(B2793&lt;&gt;B2792,A2793-A2792&gt;$U$1),1,""))&lt;&gt;1,"",IF(C2793="B01",1,IF(C2793="B05",1,IF(C2793="B03",1,IF(C2793="B04",1,IF(C2793="B20",1,IF(C2793="B02",1,0)))))))</f>
        <v>1</v>
      </c>
      <c r="G2793"/>
      <c r="H2793" s="2"/>
      <c r="I2793" s="2"/>
      <c r="L2793"/>
      <c r="R2793"/>
    </row>
    <row r="2794" spans="1:18">
      <c r="A2794" s="3">
        <v>45776.954456018517</v>
      </c>
      <c r="B2794" s="2" t="s">
        <v>33</v>
      </c>
      <c r="C2794" s="2" t="s">
        <v>11</v>
      </c>
      <c r="D2794" s="6" t="str">
        <f>CONCATENATE(YEAR(A2794),"/",IF(MONTH(A2794)&lt;10,CONCATENATE("0",MONTH(A2794)),MONTH(A2794)))</f>
        <v>2025/04</v>
      </c>
      <c r="E2794" s="8" t="str">
        <f>IF(IF(D2794&lt;&gt;D2793,1,IF(OR(B2794&lt;&gt;B2793,A2794-A2793&gt;$U$1),1,""))&lt;&gt;1,"",IF(C2794="B01",1965,IF(C2794="B02",1020,IF(C2794="B05",2400,IF(C2794="B03",4260,IF(C2794="B04",2880,IF(C2794="B20",1260,0)))))))</f>
        <v/>
      </c>
      <c r="F2794" s="8" t="str">
        <f>IF(IF(D2794&lt;&gt;D2793,1,IF(OR(B2794&lt;&gt;B2793,A2794-A2793&gt;$U$1),1,""))&lt;&gt;1,"",IF(C2794="B01",1,IF(C2794="B05",1,IF(C2794="B03",1,IF(C2794="B04",1,IF(C2794="B20",1,IF(C2794="B02",1,0)))))))</f>
        <v/>
      </c>
      <c r="G2794"/>
      <c r="H2794" s="2"/>
      <c r="I2794" s="2"/>
      <c r="L2794"/>
      <c r="R2794"/>
    </row>
    <row r="2795" spans="1:18">
      <c r="A2795" s="3">
        <v>45776.954456018517</v>
      </c>
      <c r="B2795" s="2" t="s">
        <v>33</v>
      </c>
      <c r="C2795" s="2" t="s">
        <v>11</v>
      </c>
      <c r="D2795" s="6" t="str">
        <f>CONCATENATE(YEAR(A2795),"/",IF(MONTH(A2795)&lt;10,CONCATENATE("0",MONTH(A2795)),MONTH(A2795)))</f>
        <v>2025/04</v>
      </c>
      <c r="E2795" s="8" t="str">
        <f>IF(IF(D2795&lt;&gt;D2794,1,IF(OR(B2795&lt;&gt;B2794,A2795-A2794&gt;$U$1),1,""))&lt;&gt;1,"",IF(C2795="B01",1965,IF(C2795="B02",1020,IF(C2795="B05",2400,IF(C2795="B03",4260,IF(C2795="B04",2880,IF(C2795="B20",1260,0)))))))</f>
        <v/>
      </c>
      <c r="F2795" s="8" t="str">
        <f>IF(IF(D2795&lt;&gt;D2794,1,IF(OR(B2795&lt;&gt;B2794,A2795-A2794&gt;$U$1),1,""))&lt;&gt;1,"",IF(C2795="B01",1,IF(C2795="B05",1,IF(C2795="B03",1,IF(C2795="B04",1,IF(C2795="B20",1,IF(C2795="B02",1,0)))))))</f>
        <v/>
      </c>
      <c r="G2795"/>
      <c r="H2795" s="2"/>
      <c r="I2795" s="2"/>
      <c r="L2795"/>
      <c r="R2795"/>
    </row>
    <row r="2796" spans="1:18">
      <c r="A2796" s="3">
        <v>45777.37909722222</v>
      </c>
      <c r="B2796" s="2" t="s">
        <v>33</v>
      </c>
      <c r="C2796" s="2" t="s">
        <v>11</v>
      </c>
      <c r="D2796" s="6" t="str">
        <f>CONCATENATE(YEAR(A2796),"/",IF(MONTH(A2796)&lt;10,CONCATENATE("0",MONTH(A2796)),MONTH(A2796)))</f>
        <v>2025/04</v>
      </c>
      <c r="E2796" s="8">
        <f>IF(IF(D2796&lt;&gt;D2795,1,IF(OR(B2796&lt;&gt;B2795,A2796-A2795&gt;$U$1),1,""))&lt;&gt;1,"",IF(C2796="B01",1965,IF(C2796="B02",1020,IF(C2796="B05",2400,IF(C2796="B03",4260,IF(C2796="B04",2880,IF(C2796="B20",1260,0)))))))</f>
        <v>2400</v>
      </c>
      <c r="F2796" s="8">
        <f>IF(IF(D2796&lt;&gt;D2795,1,IF(OR(B2796&lt;&gt;B2795,A2796-A2795&gt;$U$1),1,""))&lt;&gt;1,"",IF(C2796="B01",1,IF(C2796="B05",1,IF(C2796="B03",1,IF(C2796="B04",1,IF(C2796="B20",1,IF(C2796="B02",1,0)))))))</f>
        <v>1</v>
      </c>
      <c r="G2796"/>
      <c r="H2796" s="2"/>
      <c r="I2796" s="2"/>
      <c r="L2796"/>
      <c r="R2796"/>
    </row>
    <row r="2797" spans="1:18">
      <c r="A2797" s="3">
        <v>45777.37909722222</v>
      </c>
      <c r="B2797" s="2" t="s">
        <v>33</v>
      </c>
      <c r="C2797" s="2" t="s">
        <v>11</v>
      </c>
      <c r="D2797" s="6" t="str">
        <f>CONCATENATE(YEAR(A2797),"/",IF(MONTH(A2797)&lt;10,CONCATENATE("0",MONTH(A2797)),MONTH(A2797)))</f>
        <v>2025/04</v>
      </c>
      <c r="E2797" s="8" t="str">
        <f>IF(IF(D2797&lt;&gt;D2796,1,IF(OR(B2797&lt;&gt;B2796,A2797-A2796&gt;$U$1),1,""))&lt;&gt;1,"",IF(C2797="B01",1965,IF(C2797="B02",1020,IF(C2797="B05",2400,IF(C2797="B03",4260,IF(C2797="B04",2880,IF(C2797="B20",1260,0)))))))</f>
        <v/>
      </c>
      <c r="F2797" s="8" t="str">
        <f>IF(IF(D2797&lt;&gt;D2796,1,IF(OR(B2797&lt;&gt;B2796,A2797-A2796&gt;$U$1),1,""))&lt;&gt;1,"",IF(C2797="B01",1,IF(C2797="B05",1,IF(C2797="B03",1,IF(C2797="B04",1,IF(C2797="B20",1,IF(C2797="B02",1,0)))))))</f>
        <v/>
      </c>
      <c r="G2797"/>
      <c r="H2797" s="2"/>
      <c r="I2797" s="2"/>
      <c r="L2797"/>
      <c r="R2797"/>
    </row>
    <row r="2798" spans="1:18">
      <c r="A2798" s="3">
        <v>45777.37909722222</v>
      </c>
      <c r="B2798" s="2" t="s">
        <v>33</v>
      </c>
      <c r="C2798" s="2" t="s">
        <v>11</v>
      </c>
      <c r="D2798" s="6" t="str">
        <f>CONCATENATE(YEAR(A2798),"/",IF(MONTH(A2798)&lt;10,CONCATENATE("0",MONTH(A2798)),MONTH(A2798)))</f>
        <v>2025/04</v>
      </c>
      <c r="E2798" s="8" t="str">
        <f>IF(IF(D2798&lt;&gt;D2797,1,IF(OR(B2798&lt;&gt;B2797,A2798-A2797&gt;$U$1),1,""))&lt;&gt;1,"",IF(C2798="B01",1965,IF(C2798="B02",1020,IF(C2798="B05",2400,IF(C2798="B03",4260,IF(C2798="B04",2880,IF(C2798="B20",1260,0)))))))</f>
        <v/>
      </c>
      <c r="F2798" s="8" t="str">
        <f>IF(IF(D2798&lt;&gt;D2797,1,IF(OR(B2798&lt;&gt;B2797,A2798-A2797&gt;$U$1),1,""))&lt;&gt;1,"",IF(C2798="B01",1,IF(C2798="B05",1,IF(C2798="B03",1,IF(C2798="B04",1,IF(C2798="B20",1,IF(C2798="B02",1,0)))))))</f>
        <v/>
      </c>
      <c r="G2798"/>
      <c r="H2798" s="2"/>
      <c r="I2798" s="2"/>
      <c r="L2798"/>
      <c r="R2798"/>
    </row>
    <row r="2799" spans="1:18">
      <c r="A2799" s="3">
        <v>45777.893090277779</v>
      </c>
      <c r="B2799" s="2" t="s">
        <v>33</v>
      </c>
      <c r="C2799" s="2" t="s">
        <v>12</v>
      </c>
      <c r="D2799" s="6" t="str">
        <f>CONCATENATE(YEAR(A2799),"/",IF(MONTH(A2799)&lt;10,CONCATENATE("0",MONTH(A2799)),MONTH(A2799)))</f>
        <v>2025/04</v>
      </c>
      <c r="E2799" s="8">
        <f>IF(IF(D2799&lt;&gt;D2798,1,IF(OR(B2799&lt;&gt;B2798,A2799-A2798&gt;$U$1),1,""))&lt;&gt;1,"",IF(C2799="B01",1965,IF(C2799="B02",1020,IF(C2799="B05",2400,IF(C2799="B03",4260,IF(C2799="B04",2880,IF(C2799="B20",1260,0)))))))</f>
        <v>4260</v>
      </c>
      <c r="F2799" s="8">
        <f>IF(IF(D2799&lt;&gt;D2798,1,IF(OR(B2799&lt;&gt;B2798,A2799-A2798&gt;$U$1),1,""))&lt;&gt;1,"",IF(C2799="B01",1,IF(C2799="B05",1,IF(C2799="B03",1,IF(C2799="B04",1,IF(C2799="B20",1,IF(C2799="B02",1,0)))))))</f>
        <v>1</v>
      </c>
      <c r="G2799"/>
      <c r="H2799" s="2"/>
      <c r="I2799" s="2"/>
      <c r="L2799"/>
      <c r="R2799"/>
    </row>
    <row r="2800" spans="1:18">
      <c r="A2800" s="3">
        <v>45777.893090277779</v>
      </c>
      <c r="B2800" s="2" t="s">
        <v>33</v>
      </c>
      <c r="C2800" s="2" t="s">
        <v>12</v>
      </c>
      <c r="D2800" s="6" t="str">
        <f>CONCATENATE(YEAR(A2800),"/",IF(MONTH(A2800)&lt;10,CONCATENATE("0",MONTH(A2800)),MONTH(A2800)))</f>
        <v>2025/04</v>
      </c>
      <c r="E2800" s="8" t="str">
        <f>IF(IF(D2800&lt;&gt;D2799,1,IF(OR(B2800&lt;&gt;B2799,A2800-A2799&gt;$U$1),1,""))&lt;&gt;1,"",IF(C2800="B01",1965,IF(C2800="B02",1020,IF(C2800="B05",2400,IF(C2800="B03",4260,IF(C2800="B04",2880,IF(C2800="B20",1260,0)))))))</f>
        <v/>
      </c>
      <c r="F2800" s="8" t="str">
        <f>IF(IF(D2800&lt;&gt;D2799,1,IF(OR(B2800&lt;&gt;B2799,A2800-A2799&gt;$U$1),1,""))&lt;&gt;1,"",IF(C2800="B01",1,IF(C2800="B05",1,IF(C2800="B03",1,IF(C2800="B04",1,IF(C2800="B20",1,IF(C2800="B02",1,0)))))))</f>
        <v/>
      </c>
      <c r="G2800"/>
      <c r="H2800" s="2"/>
      <c r="I2800" s="2"/>
      <c r="L2800"/>
      <c r="R2800"/>
    </row>
    <row r="2801" spans="1:18">
      <c r="A2801" s="3">
        <v>45778.032870370371</v>
      </c>
      <c r="B2801" s="2" t="s">
        <v>33</v>
      </c>
      <c r="C2801" s="2" t="s">
        <v>11</v>
      </c>
      <c r="D2801" s="6" t="str">
        <f>CONCATENATE(YEAR(A2801),"/",IF(MONTH(A2801)&lt;10,CONCATENATE("0",MONTH(A2801)),MONTH(A2801)))</f>
        <v>2025/05</v>
      </c>
      <c r="E2801" s="8">
        <f>IF(IF(D2801&lt;&gt;D2800,1,IF(OR(B2801&lt;&gt;B2800,A2801-A2800&gt;$U$1),1,""))&lt;&gt;1,"",IF(C2801="B01",1965,IF(C2801="B02",1020,IF(C2801="B05",2400,IF(C2801="B03",4260,IF(C2801="B04",2880,IF(C2801="B20",1260,0)))))))</f>
        <v>2400</v>
      </c>
      <c r="F2801" s="8">
        <f>IF(IF(D2801&lt;&gt;D2800,1,IF(OR(B2801&lt;&gt;B2800,A2801-A2800&gt;$U$1),1,""))&lt;&gt;1,"",IF(C2801="B01",1,IF(C2801="B05",1,IF(C2801="B03",1,IF(C2801="B04",1,IF(C2801="B20",1,IF(C2801="B02",1,0)))))))</f>
        <v>1</v>
      </c>
      <c r="G2801"/>
      <c r="H2801" s="2"/>
      <c r="I2801" s="2"/>
      <c r="L2801"/>
      <c r="R2801"/>
    </row>
    <row r="2802" spans="1:18">
      <c r="A2802" s="3">
        <v>45778.032870370371</v>
      </c>
      <c r="B2802" s="2" t="s">
        <v>33</v>
      </c>
      <c r="C2802" s="2" t="s">
        <v>11</v>
      </c>
      <c r="D2802" s="6" t="str">
        <f>CONCATENATE(YEAR(A2802),"/",IF(MONTH(A2802)&lt;10,CONCATENATE("0",MONTH(A2802)),MONTH(A2802)))</f>
        <v>2025/05</v>
      </c>
      <c r="E2802" s="8" t="str">
        <f>IF(IF(D2802&lt;&gt;D2801,1,IF(OR(B2802&lt;&gt;B2801,A2802-A2801&gt;$U$1),1,""))&lt;&gt;1,"",IF(C2802="B01",1965,IF(C2802="B02",1020,IF(C2802="B05",2400,IF(C2802="B03",4260,IF(C2802="B04",2880,IF(C2802="B20",1260,0)))))))</f>
        <v/>
      </c>
      <c r="F2802" s="8" t="str">
        <f>IF(IF(D2802&lt;&gt;D2801,1,IF(OR(B2802&lt;&gt;B2801,A2802-A2801&gt;$U$1),1,""))&lt;&gt;1,"",IF(C2802="B01",1,IF(C2802="B05",1,IF(C2802="B03",1,IF(C2802="B04",1,IF(C2802="B20",1,IF(C2802="B02",1,0)))))))</f>
        <v/>
      </c>
      <c r="G2802"/>
      <c r="H2802" s="2"/>
      <c r="I2802" s="2"/>
      <c r="L2802"/>
      <c r="R2802"/>
    </row>
    <row r="2803" spans="1:18">
      <c r="A2803" s="3">
        <v>45778.032870370371</v>
      </c>
      <c r="B2803" s="2" t="s">
        <v>33</v>
      </c>
      <c r="C2803" s="2" t="s">
        <v>11</v>
      </c>
      <c r="D2803" s="6" t="str">
        <f>CONCATENATE(YEAR(A2803),"/",IF(MONTH(A2803)&lt;10,CONCATENATE("0",MONTH(A2803)),MONTH(A2803)))</f>
        <v>2025/05</v>
      </c>
      <c r="E2803" s="8" t="str">
        <f>IF(IF(D2803&lt;&gt;D2802,1,IF(OR(B2803&lt;&gt;B2802,A2803-A2802&gt;$U$1),1,""))&lt;&gt;1,"",IF(C2803="B01",1965,IF(C2803="B02",1020,IF(C2803="B05",2400,IF(C2803="B03",4260,IF(C2803="B04",2880,IF(C2803="B20",1260,0)))))))</f>
        <v/>
      </c>
      <c r="F2803" s="8" t="str">
        <f>IF(IF(D2803&lt;&gt;D2802,1,IF(OR(B2803&lt;&gt;B2802,A2803-A2802&gt;$U$1),1,""))&lt;&gt;1,"",IF(C2803="B01",1,IF(C2803="B05",1,IF(C2803="B03",1,IF(C2803="B04",1,IF(C2803="B20",1,IF(C2803="B02",1,0)))))))</f>
        <v/>
      </c>
      <c r="G2803"/>
      <c r="H2803" s="2"/>
      <c r="I2803" s="2"/>
      <c r="L2803"/>
      <c r="R2803"/>
    </row>
    <row r="2804" spans="1:18">
      <c r="A2804" s="3">
        <v>45778.628449074073</v>
      </c>
      <c r="B2804" s="2" t="s">
        <v>33</v>
      </c>
      <c r="C2804" s="2" t="s">
        <v>12</v>
      </c>
      <c r="D2804" s="6" t="str">
        <f>CONCATENATE(YEAR(A2804),"/",IF(MONTH(A2804)&lt;10,CONCATENATE("0",MONTH(A2804)),MONTH(A2804)))</f>
        <v>2025/05</v>
      </c>
      <c r="E2804" s="8">
        <f>IF(IF(D2804&lt;&gt;D2803,1,IF(OR(B2804&lt;&gt;B2803,A2804-A2803&gt;$U$1),1,""))&lt;&gt;1,"",IF(C2804="B01",1965,IF(C2804="B02",1020,IF(C2804="B05",2400,IF(C2804="B03",4260,IF(C2804="B04",2880,IF(C2804="B20",1260,0)))))))</f>
        <v>4260</v>
      </c>
      <c r="F2804" s="8">
        <f>IF(IF(D2804&lt;&gt;D2803,1,IF(OR(B2804&lt;&gt;B2803,A2804-A2803&gt;$U$1),1,""))&lt;&gt;1,"",IF(C2804="B01",1,IF(C2804="B05",1,IF(C2804="B03",1,IF(C2804="B04",1,IF(C2804="B20",1,IF(C2804="B02",1,0)))))))</f>
        <v>1</v>
      </c>
      <c r="G2804"/>
      <c r="H2804" s="2"/>
      <c r="I2804" s="2"/>
      <c r="L2804"/>
      <c r="R2804"/>
    </row>
    <row r="2805" spans="1:18">
      <c r="A2805" s="3">
        <v>45778.628449074073</v>
      </c>
      <c r="B2805" s="2" t="s">
        <v>33</v>
      </c>
      <c r="C2805" s="2" t="s">
        <v>12</v>
      </c>
      <c r="D2805" s="6" t="str">
        <f>CONCATENATE(YEAR(A2805),"/",IF(MONTH(A2805)&lt;10,CONCATENATE("0",MONTH(A2805)),MONTH(A2805)))</f>
        <v>2025/05</v>
      </c>
      <c r="E2805" s="8" t="str">
        <f>IF(IF(D2805&lt;&gt;D2804,1,IF(OR(B2805&lt;&gt;B2804,A2805-A2804&gt;$U$1),1,""))&lt;&gt;1,"",IF(C2805="B01",1965,IF(C2805="B02",1020,IF(C2805="B05",2400,IF(C2805="B03",4260,IF(C2805="B04",2880,IF(C2805="B20",1260,0)))))))</f>
        <v/>
      </c>
      <c r="F2805" s="8" t="str">
        <f>IF(IF(D2805&lt;&gt;D2804,1,IF(OR(B2805&lt;&gt;B2804,A2805-A2804&gt;$U$1),1,""))&lt;&gt;1,"",IF(C2805="B01",1,IF(C2805="B05",1,IF(C2805="B03",1,IF(C2805="B04",1,IF(C2805="B20",1,IF(C2805="B02",1,0)))))))</f>
        <v/>
      </c>
      <c r="G2805"/>
      <c r="H2805" s="2"/>
      <c r="I2805" s="2"/>
      <c r="L2805"/>
      <c r="R2805"/>
    </row>
    <row r="2806" spans="1:18">
      <c r="A2806" s="3">
        <v>45778.628449074073</v>
      </c>
      <c r="B2806" s="2" t="s">
        <v>33</v>
      </c>
      <c r="C2806" s="2" t="s">
        <v>12</v>
      </c>
      <c r="D2806" s="6" t="str">
        <f>CONCATENATE(YEAR(A2806),"/",IF(MONTH(A2806)&lt;10,CONCATENATE("0",MONTH(A2806)),MONTH(A2806)))</f>
        <v>2025/05</v>
      </c>
      <c r="E2806" s="8" t="str">
        <f>IF(IF(D2806&lt;&gt;D2805,1,IF(OR(B2806&lt;&gt;B2805,A2806-A2805&gt;$U$1),1,""))&lt;&gt;1,"",IF(C2806="B01",1965,IF(C2806="B02",1020,IF(C2806="B05",2400,IF(C2806="B03",4260,IF(C2806="B04",2880,IF(C2806="B20",1260,0)))))))</f>
        <v/>
      </c>
      <c r="F2806" s="8" t="str">
        <f>IF(IF(D2806&lt;&gt;D2805,1,IF(OR(B2806&lt;&gt;B2805,A2806-A2805&gt;$U$1),1,""))&lt;&gt;1,"",IF(C2806="B01",1,IF(C2806="B05",1,IF(C2806="B03",1,IF(C2806="B04",1,IF(C2806="B20",1,IF(C2806="B02",1,0)))))))</f>
        <v/>
      </c>
      <c r="G2806"/>
      <c r="H2806" s="2"/>
      <c r="I2806" s="2"/>
      <c r="L2806"/>
      <c r="R2806"/>
    </row>
    <row r="2807" spans="1:18">
      <c r="A2807" s="3">
        <v>45778.852488425924</v>
      </c>
      <c r="B2807" s="2" t="s">
        <v>33</v>
      </c>
      <c r="C2807" s="2" t="s">
        <v>12</v>
      </c>
      <c r="D2807" s="6" t="str">
        <f>CONCATENATE(YEAR(A2807),"/",IF(MONTH(A2807)&lt;10,CONCATENATE("0",MONTH(A2807)),MONTH(A2807)))</f>
        <v>2025/05</v>
      </c>
      <c r="E2807" s="8">
        <f>IF(IF(D2807&lt;&gt;D2806,1,IF(OR(B2807&lt;&gt;B2806,A2807-A2806&gt;$U$1),1,""))&lt;&gt;1,"",IF(C2807="B01",1965,IF(C2807="B02",1020,IF(C2807="B05",2400,IF(C2807="B03",4260,IF(C2807="B04",2880,IF(C2807="B20",1260,0)))))))</f>
        <v>4260</v>
      </c>
      <c r="F2807" s="8">
        <f>IF(IF(D2807&lt;&gt;D2806,1,IF(OR(B2807&lt;&gt;B2806,A2807-A2806&gt;$U$1),1,""))&lt;&gt;1,"",IF(C2807="B01",1,IF(C2807="B05",1,IF(C2807="B03",1,IF(C2807="B04",1,IF(C2807="B20",1,IF(C2807="B02",1,0)))))))</f>
        <v>1</v>
      </c>
      <c r="G2807"/>
      <c r="H2807" s="2"/>
      <c r="I2807" s="2"/>
      <c r="L2807"/>
      <c r="R2807"/>
    </row>
    <row r="2808" spans="1:18">
      <c r="A2808" s="3">
        <v>45778.852488425924</v>
      </c>
      <c r="B2808" s="2" t="s">
        <v>33</v>
      </c>
      <c r="C2808" s="2" t="s">
        <v>12</v>
      </c>
      <c r="D2808" s="6" t="str">
        <f>CONCATENATE(YEAR(A2808),"/",IF(MONTH(A2808)&lt;10,CONCATENATE("0",MONTH(A2808)),MONTH(A2808)))</f>
        <v>2025/05</v>
      </c>
      <c r="E2808" s="8" t="str">
        <f>IF(IF(D2808&lt;&gt;D2807,1,IF(OR(B2808&lt;&gt;B2807,A2808-A2807&gt;$U$1),1,""))&lt;&gt;1,"",IF(C2808="B01",1965,IF(C2808="B02",1020,IF(C2808="B05",2400,IF(C2808="B03",4260,IF(C2808="B04",2880,IF(C2808="B20",1260,0)))))))</f>
        <v/>
      </c>
      <c r="F2808" s="8" t="str">
        <f>IF(IF(D2808&lt;&gt;D2807,1,IF(OR(B2808&lt;&gt;B2807,A2808-A2807&gt;$U$1),1,""))&lt;&gt;1,"",IF(C2808="B01",1,IF(C2808="B05",1,IF(C2808="B03",1,IF(C2808="B04",1,IF(C2808="B20",1,IF(C2808="B02",1,0)))))))</f>
        <v/>
      </c>
      <c r="G2808"/>
      <c r="H2808" s="2"/>
      <c r="I2808" s="2"/>
      <c r="L2808"/>
      <c r="R2808"/>
    </row>
    <row r="2809" spans="1:18">
      <c r="A2809" s="3">
        <v>45779.561203703706</v>
      </c>
      <c r="B2809" s="2" t="s">
        <v>33</v>
      </c>
      <c r="C2809" s="2" t="s">
        <v>11</v>
      </c>
      <c r="D2809" s="6" t="str">
        <f>CONCATENATE(YEAR(A2809),"/",IF(MONTH(A2809)&lt;10,CONCATENATE("0",MONTH(A2809)),MONTH(A2809)))</f>
        <v>2025/05</v>
      </c>
      <c r="E2809" s="8">
        <f>IF(IF(D2809&lt;&gt;D2808,1,IF(OR(B2809&lt;&gt;B2808,A2809-A2808&gt;$U$1),1,""))&lt;&gt;1,"",IF(C2809="B01",1965,IF(C2809="B02",1020,IF(C2809="B05",2400,IF(C2809="B03",4260,IF(C2809="B04",2880,IF(C2809="B20",1260,0)))))))</f>
        <v>2400</v>
      </c>
      <c r="F2809" s="8">
        <f>IF(IF(D2809&lt;&gt;D2808,1,IF(OR(B2809&lt;&gt;B2808,A2809-A2808&gt;$U$1),1,""))&lt;&gt;1,"",IF(C2809="B01",1,IF(C2809="B05",1,IF(C2809="B03",1,IF(C2809="B04",1,IF(C2809="B20",1,IF(C2809="B02",1,0)))))))</f>
        <v>1</v>
      </c>
      <c r="G2809"/>
      <c r="H2809" s="2"/>
      <c r="I2809" s="2"/>
      <c r="L2809"/>
      <c r="R2809"/>
    </row>
    <row r="2810" spans="1:18">
      <c r="A2810" s="3">
        <v>45779.561203703706</v>
      </c>
      <c r="B2810" s="2" t="s">
        <v>33</v>
      </c>
      <c r="C2810" s="2" t="s">
        <v>11</v>
      </c>
      <c r="D2810" s="6" t="str">
        <f>CONCATENATE(YEAR(A2810),"/",IF(MONTH(A2810)&lt;10,CONCATENATE("0",MONTH(A2810)),MONTH(A2810)))</f>
        <v>2025/05</v>
      </c>
      <c r="E2810" s="8" t="str">
        <f>IF(IF(D2810&lt;&gt;D2809,1,IF(OR(B2810&lt;&gt;B2809,A2810-A2809&gt;$U$1),1,""))&lt;&gt;1,"",IF(C2810="B01",1965,IF(C2810="B02",1020,IF(C2810="B05",2400,IF(C2810="B03",4260,IF(C2810="B04",2880,IF(C2810="B20",1260,0)))))))</f>
        <v/>
      </c>
      <c r="F2810" s="8" t="str">
        <f>IF(IF(D2810&lt;&gt;D2809,1,IF(OR(B2810&lt;&gt;B2809,A2810-A2809&gt;$U$1),1,""))&lt;&gt;1,"",IF(C2810="B01",1,IF(C2810="B05",1,IF(C2810="B03",1,IF(C2810="B04",1,IF(C2810="B20",1,IF(C2810="B02",1,0)))))))</f>
        <v/>
      </c>
      <c r="G2810"/>
      <c r="H2810" s="2"/>
      <c r="I2810" s="2"/>
      <c r="L2810"/>
      <c r="R2810"/>
    </row>
    <row r="2811" spans="1:18">
      <c r="A2811" s="3">
        <v>45779.561203703706</v>
      </c>
      <c r="B2811" s="2" t="s">
        <v>33</v>
      </c>
      <c r="C2811" s="2" t="s">
        <v>11</v>
      </c>
      <c r="D2811" s="6" t="str">
        <f>CONCATENATE(YEAR(A2811),"/",IF(MONTH(A2811)&lt;10,CONCATENATE("0",MONTH(A2811)),MONTH(A2811)))</f>
        <v>2025/05</v>
      </c>
      <c r="E2811" s="8" t="str">
        <f>IF(IF(D2811&lt;&gt;D2810,1,IF(OR(B2811&lt;&gt;B2810,A2811-A2810&gt;$U$1),1,""))&lt;&gt;1,"",IF(C2811="B01",1965,IF(C2811="B02",1020,IF(C2811="B05",2400,IF(C2811="B03",4260,IF(C2811="B04",2880,IF(C2811="B20",1260,0)))))))</f>
        <v/>
      </c>
      <c r="F2811" s="8" t="str">
        <f>IF(IF(D2811&lt;&gt;D2810,1,IF(OR(B2811&lt;&gt;B2810,A2811-A2810&gt;$U$1),1,""))&lt;&gt;1,"",IF(C2811="B01",1,IF(C2811="B05",1,IF(C2811="B03",1,IF(C2811="B04",1,IF(C2811="B20",1,IF(C2811="B02",1,0)))))))</f>
        <v/>
      </c>
      <c r="G2811"/>
      <c r="H2811" s="2"/>
      <c r="I2811" s="2"/>
      <c r="L2811"/>
      <c r="R2811"/>
    </row>
    <row r="2812" spans="1:18">
      <c r="A2812" s="3">
        <v>45779.701724537037</v>
      </c>
      <c r="B2812" s="2" t="s">
        <v>33</v>
      </c>
      <c r="C2812" s="2" t="s">
        <v>11</v>
      </c>
      <c r="D2812" s="6" t="str">
        <f>CONCATENATE(YEAR(A2812),"/",IF(MONTH(A2812)&lt;10,CONCATENATE("0",MONTH(A2812)),MONTH(A2812)))</f>
        <v>2025/05</v>
      </c>
      <c r="E2812" s="8">
        <f>IF(IF(D2812&lt;&gt;D2811,1,IF(OR(B2812&lt;&gt;B2811,A2812-A2811&gt;$U$1),1,""))&lt;&gt;1,"",IF(C2812="B01",1965,IF(C2812="B02",1020,IF(C2812="B05",2400,IF(C2812="B03",4260,IF(C2812="B04",2880,IF(C2812="B20",1260,0)))))))</f>
        <v>2400</v>
      </c>
      <c r="F2812" s="8">
        <f>IF(IF(D2812&lt;&gt;D2811,1,IF(OR(B2812&lt;&gt;B2811,A2812-A2811&gt;$U$1),1,""))&lt;&gt;1,"",IF(C2812="B01",1,IF(C2812="B05",1,IF(C2812="B03",1,IF(C2812="B04",1,IF(C2812="B20",1,IF(C2812="B02",1,0)))))))</f>
        <v>1</v>
      </c>
      <c r="G2812"/>
      <c r="H2812" s="2"/>
      <c r="I2812" s="2"/>
      <c r="L2812"/>
      <c r="R2812"/>
    </row>
    <row r="2813" spans="1:18">
      <c r="A2813" s="3">
        <v>45779.701724537037</v>
      </c>
      <c r="B2813" s="2" t="s">
        <v>33</v>
      </c>
      <c r="C2813" s="2" t="s">
        <v>11</v>
      </c>
      <c r="D2813" s="6" t="str">
        <f>CONCATENATE(YEAR(A2813),"/",IF(MONTH(A2813)&lt;10,CONCATENATE("0",MONTH(A2813)),MONTH(A2813)))</f>
        <v>2025/05</v>
      </c>
      <c r="E2813" s="8" t="str">
        <f>IF(IF(D2813&lt;&gt;D2812,1,IF(OR(B2813&lt;&gt;B2812,A2813-A2812&gt;$U$1),1,""))&lt;&gt;1,"",IF(C2813="B01",1965,IF(C2813="B02",1020,IF(C2813="B05",2400,IF(C2813="B03",4260,IF(C2813="B04",2880,IF(C2813="B20",1260,0)))))))</f>
        <v/>
      </c>
      <c r="F2813" s="8" t="str">
        <f>IF(IF(D2813&lt;&gt;D2812,1,IF(OR(B2813&lt;&gt;B2812,A2813-A2812&gt;$U$1),1,""))&lt;&gt;1,"",IF(C2813="B01",1,IF(C2813="B05",1,IF(C2813="B03",1,IF(C2813="B04",1,IF(C2813="B20",1,IF(C2813="B02",1,0)))))))</f>
        <v/>
      </c>
      <c r="G2813"/>
      <c r="H2813" s="2"/>
      <c r="I2813" s="2"/>
      <c r="L2813"/>
      <c r="R2813"/>
    </row>
    <row r="2814" spans="1:18">
      <c r="A2814" s="3">
        <v>45779.701724537037</v>
      </c>
      <c r="B2814" s="2" t="s">
        <v>33</v>
      </c>
      <c r="C2814" s="2" t="s">
        <v>11</v>
      </c>
      <c r="D2814" s="6" t="str">
        <f>CONCATENATE(YEAR(A2814),"/",IF(MONTH(A2814)&lt;10,CONCATENATE("0",MONTH(A2814)),MONTH(A2814)))</f>
        <v>2025/05</v>
      </c>
      <c r="E2814" s="8" t="str">
        <f>IF(IF(D2814&lt;&gt;D2813,1,IF(OR(B2814&lt;&gt;B2813,A2814-A2813&gt;$U$1),1,""))&lt;&gt;1,"",IF(C2814="B01",1965,IF(C2814="B02",1020,IF(C2814="B05",2400,IF(C2814="B03",4260,IF(C2814="B04",2880,IF(C2814="B20",1260,0)))))))</f>
        <v/>
      </c>
      <c r="F2814" s="8" t="str">
        <f>IF(IF(D2814&lt;&gt;D2813,1,IF(OR(B2814&lt;&gt;B2813,A2814-A2813&gt;$U$1),1,""))&lt;&gt;1,"",IF(C2814="B01",1,IF(C2814="B05",1,IF(C2814="B03",1,IF(C2814="B04",1,IF(C2814="B20",1,IF(C2814="B02",1,0)))))))</f>
        <v/>
      </c>
      <c r="G2814"/>
      <c r="H2814" s="2"/>
      <c r="I2814" s="2"/>
      <c r="L2814"/>
      <c r="R2814"/>
    </row>
    <row r="2815" spans="1:18">
      <c r="A2815" s="3">
        <v>45779.83315972222</v>
      </c>
      <c r="B2815" s="2" t="s">
        <v>33</v>
      </c>
      <c r="C2815" s="2" t="s">
        <v>11</v>
      </c>
      <c r="D2815" s="6" t="str">
        <f>CONCATENATE(YEAR(A2815),"/",IF(MONTH(A2815)&lt;10,CONCATENATE("0",MONTH(A2815)),MONTH(A2815)))</f>
        <v>2025/05</v>
      </c>
      <c r="E2815" s="8">
        <f>IF(IF(D2815&lt;&gt;D2814,1,IF(OR(B2815&lt;&gt;B2814,A2815-A2814&gt;$U$1),1,""))&lt;&gt;1,"",IF(C2815="B01",1965,IF(C2815="B02",1020,IF(C2815="B05",2400,IF(C2815="B03",4260,IF(C2815="B04",2880,IF(C2815="B20",1260,0)))))))</f>
        <v>2400</v>
      </c>
      <c r="F2815" s="8">
        <f>IF(IF(D2815&lt;&gt;D2814,1,IF(OR(B2815&lt;&gt;B2814,A2815-A2814&gt;$U$1),1,""))&lt;&gt;1,"",IF(C2815="B01",1,IF(C2815="B05",1,IF(C2815="B03",1,IF(C2815="B04",1,IF(C2815="B20",1,IF(C2815="B02",1,0)))))))</f>
        <v>1</v>
      </c>
      <c r="G2815"/>
      <c r="H2815" s="2"/>
      <c r="I2815" s="2"/>
      <c r="L2815"/>
      <c r="R2815"/>
    </row>
    <row r="2816" spans="1:18">
      <c r="A2816" s="3">
        <v>45779.83315972222</v>
      </c>
      <c r="B2816" s="2" t="s">
        <v>33</v>
      </c>
      <c r="C2816" s="2" t="s">
        <v>11</v>
      </c>
      <c r="D2816" s="6" t="str">
        <f>CONCATENATE(YEAR(A2816),"/",IF(MONTH(A2816)&lt;10,CONCATENATE("0",MONTH(A2816)),MONTH(A2816)))</f>
        <v>2025/05</v>
      </c>
      <c r="E2816" s="8" t="str">
        <f>IF(IF(D2816&lt;&gt;D2815,1,IF(OR(B2816&lt;&gt;B2815,A2816-A2815&gt;$U$1),1,""))&lt;&gt;1,"",IF(C2816="B01",1965,IF(C2816="B02",1020,IF(C2816="B05",2400,IF(C2816="B03",4260,IF(C2816="B04",2880,IF(C2816="B20",1260,0)))))))</f>
        <v/>
      </c>
      <c r="F2816" s="8" t="str">
        <f>IF(IF(D2816&lt;&gt;D2815,1,IF(OR(B2816&lt;&gt;B2815,A2816-A2815&gt;$U$1),1,""))&lt;&gt;1,"",IF(C2816="B01",1,IF(C2816="B05",1,IF(C2816="B03",1,IF(C2816="B04",1,IF(C2816="B20",1,IF(C2816="B02",1,0)))))))</f>
        <v/>
      </c>
      <c r="G2816"/>
      <c r="H2816" s="2"/>
      <c r="I2816" s="2"/>
      <c r="L2816"/>
      <c r="R2816"/>
    </row>
    <row r="2817" spans="1:18">
      <c r="A2817" s="3">
        <v>45779.83315972222</v>
      </c>
      <c r="B2817" s="2" t="s">
        <v>33</v>
      </c>
      <c r="C2817" s="2" t="s">
        <v>11</v>
      </c>
      <c r="D2817" s="6" t="str">
        <f>CONCATENATE(YEAR(A2817),"/",IF(MONTH(A2817)&lt;10,CONCATENATE("0",MONTH(A2817)),MONTH(A2817)))</f>
        <v>2025/05</v>
      </c>
      <c r="E2817" s="8" t="str">
        <f>IF(IF(D2817&lt;&gt;D2816,1,IF(OR(B2817&lt;&gt;B2816,A2817-A2816&gt;$U$1),1,""))&lt;&gt;1,"",IF(C2817="B01",1965,IF(C2817="B02",1020,IF(C2817="B05",2400,IF(C2817="B03",4260,IF(C2817="B04",2880,IF(C2817="B20",1260,0)))))))</f>
        <v/>
      </c>
      <c r="F2817" s="8" t="str">
        <f>IF(IF(D2817&lt;&gt;D2816,1,IF(OR(B2817&lt;&gt;B2816,A2817-A2816&gt;$U$1),1,""))&lt;&gt;1,"",IF(C2817="B01",1,IF(C2817="B05",1,IF(C2817="B03",1,IF(C2817="B04",1,IF(C2817="B20",1,IF(C2817="B02",1,0)))))))</f>
        <v/>
      </c>
      <c r="G2817"/>
      <c r="H2817" s="2"/>
      <c r="I2817" s="2"/>
      <c r="L2817"/>
      <c r="R2817"/>
    </row>
    <row r="2818" spans="1:18">
      <c r="A2818" s="3">
        <v>45780.064664351848</v>
      </c>
      <c r="B2818" s="2" t="s">
        <v>33</v>
      </c>
      <c r="C2818" s="2" t="s">
        <v>11</v>
      </c>
      <c r="D2818" s="6" t="str">
        <f>CONCATENATE(YEAR(A2818),"/",IF(MONTH(A2818)&lt;10,CONCATENATE("0",MONTH(A2818)),MONTH(A2818)))</f>
        <v>2025/05</v>
      </c>
      <c r="E2818" s="8">
        <f>IF(IF(D2818&lt;&gt;D2817,1,IF(OR(B2818&lt;&gt;B2817,A2818-A2817&gt;$U$1),1,""))&lt;&gt;1,"",IF(C2818="B01",1965,IF(C2818="B02",1020,IF(C2818="B05",2400,IF(C2818="B03",4260,IF(C2818="B04",2880,IF(C2818="B20",1260,0)))))))</f>
        <v>2400</v>
      </c>
      <c r="F2818" s="8">
        <f>IF(IF(D2818&lt;&gt;D2817,1,IF(OR(B2818&lt;&gt;B2817,A2818-A2817&gt;$U$1),1,""))&lt;&gt;1,"",IF(C2818="B01",1,IF(C2818="B05",1,IF(C2818="B03",1,IF(C2818="B04",1,IF(C2818="B20",1,IF(C2818="B02",1,0)))))))</f>
        <v>1</v>
      </c>
      <c r="G2818"/>
      <c r="H2818" s="2"/>
      <c r="I2818" s="2"/>
      <c r="L2818"/>
      <c r="R2818"/>
    </row>
    <row r="2819" spans="1:18">
      <c r="A2819" s="3">
        <v>45780.064664351848</v>
      </c>
      <c r="B2819" s="2" t="s">
        <v>33</v>
      </c>
      <c r="C2819" s="2" t="s">
        <v>11</v>
      </c>
      <c r="D2819" s="6" t="str">
        <f>CONCATENATE(YEAR(A2819),"/",IF(MONTH(A2819)&lt;10,CONCATENATE("0",MONTH(A2819)),MONTH(A2819)))</f>
        <v>2025/05</v>
      </c>
      <c r="E2819" s="8" t="str">
        <f>IF(IF(D2819&lt;&gt;D2818,1,IF(OR(B2819&lt;&gt;B2818,A2819-A2818&gt;$U$1),1,""))&lt;&gt;1,"",IF(C2819="B01",1965,IF(C2819="B02",1020,IF(C2819="B05",2400,IF(C2819="B03",4260,IF(C2819="B04",2880,IF(C2819="B20",1260,0)))))))</f>
        <v/>
      </c>
      <c r="F2819" s="8" t="str">
        <f>IF(IF(D2819&lt;&gt;D2818,1,IF(OR(B2819&lt;&gt;B2818,A2819-A2818&gt;$U$1),1,""))&lt;&gt;1,"",IF(C2819="B01",1,IF(C2819="B05",1,IF(C2819="B03",1,IF(C2819="B04",1,IF(C2819="B20",1,IF(C2819="B02",1,0)))))))</f>
        <v/>
      </c>
      <c r="G2819"/>
      <c r="H2819" s="2"/>
      <c r="I2819" s="2"/>
      <c r="L2819"/>
      <c r="R2819"/>
    </row>
    <row r="2820" spans="1:18">
      <c r="A2820" s="3">
        <v>45780.675775462965</v>
      </c>
      <c r="B2820" s="2" t="s">
        <v>33</v>
      </c>
      <c r="C2820" s="2" t="s">
        <v>11</v>
      </c>
      <c r="D2820" s="6" t="str">
        <f>CONCATENATE(YEAR(A2820),"/",IF(MONTH(A2820)&lt;10,CONCATENATE("0",MONTH(A2820)),MONTH(A2820)))</f>
        <v>2025/05</v>
      </c>
      <c r="E2820" s="8">
        <f>IF(IF(D2820&lt;&gt;D2819,1,IF(OR(B2820&lt;&gt;B2819,A2820-A2819&gt;$U$1),1,""))&lt;&gt;1,"",IF(C2820="B01",1965,IF(C2820="B02",1020,IF(C2820="B05",2400,IF(C2820="B03",4260,IF(C2820="B04",2880,IF(C2820="B20",1260,0)))))))</f>
        <v>2400</v>
      </c>
      <c r="F2820" s="8">
        <f>IF(IF(D2820&lt;&gt;D2819,1,IF(OR(B2820&lt;&gt;B2819,A2820-A2819&gt;$U$1),1,""))&lt;&gt;1,"",IF(C2820="B01",1,IF(C2820="B05",1,IF(C2820="B03",1,IF(C2820="B04",1,IF(C2820="B20",1,IF(C2820="B02",1,0)))))))</f>
        <v>1</v>
      </c>
      <c r="G2820"/>
      <c r="H2820" s="2"/>
      <c r="I2820" s="2"/>
      <c r="L2820"/>
      <c r="R2820"/>
    </row>
    <row r="2821" spans="1:18">
      <c r="A2821" s="3">
        <v>45780.675775462965</v>
      </c>
      <c r="B2821" s="2" t="s">
        <v>33</v>
      </c>
      <c r="C2821" s="2" t="s">
        <v>11</v>
      </c>
      <c r="D2821" s="6" t="str">
        <f>CONCATENATE(YEAR(A2821),"/",IF(MONTH(A2821)&lt;10,CONCATENATE("0",MONTH(A2821)),MONTH(A2821)))</f>
        <v>2025/05</v>
      </c>
      <c r="E2821" s="8" t="str">
        <f>IF(IF(D2821&lt;&gt;D2820,1,IF(OR(B2821&lt;&gt;B2820,A2821-A2820&gt;$U$1),1,""))&lt;&gt;1,"",IF(C2821="B01",1965,IF(C2821="B02",1020,IF(C2821="B05",2400,IF(C2821="B03",4260,IF(C2821="B04",2880,IF(C2821="B20",1260,0)))))))</f>
        <v/>
      </c>
      <c r="F2821" s="8" t="str">
        <f>IF(IF(D2821&lt;&gt;D2820,1,IF(OR(B2821&lt;&gt;B2820,A2821-A2820&gt;$U$1),1,""))&lt;&gt;1,"",IF(C2821="B01",1,IF(C2821="B05",1,IF(C2821="B03",1,IF(C2821="B04",1,IF(C2821="B20",1,IF(C2821="B02",1,0)))))))</f>
        <v/>
      </c>
      <c r="G2821"/>
      <c r="H2821" s="2"/>
      <c r="I2821" s="2"/>
      <c r="L2821"/>
      <c r="R2821"/>
    </row>
    <row r="2822" spans="1:18">
      <c r="A2822" s="3">
        <v>45780.675775462965</v>
      </c>
      <c r="B2822" s="2" t="s">
        <v>33</v>
      </c>
      <c r="C2822" s="2" t="s">
        <v>11</v>
      </c>
      <c r="D2822" s="6" t="str">
        <f>CONCATENATE(YEAR(A2822),"/",IF(MONTH(A2822)&lt;10,CONCATENATE("0",MONTH(A2822)),MONTH(A2822)))</f>
        <v>2025/05</v>
      </c>
      <c r="E2822" s="8" t="str">
        <f>IF(IF(D2822&lt;&gt;D2821,1,IF(OR(B2822&lt;&gt;B2821,A2822-A2821&gt;$U$1),1,""))&lt;&gt;1,"",IF(C2822="B01",1965,IF(C2822="B02",1020,IF(C2822="B05",2400,IF(C2822="B03",4260,IF(C2822="B04",2880,IF(C2822="B20",1260,0)))))))</f>
        <v/>
      </c>
      <c r="F2822" s="8" t="str">
        <f>IF(IF(D2822&lt;&gt;D2821,1,IF(OR(B2822&lt;&gt;B2821,A2822-A2821&gt;$U$1),1,""))&lt;&gt;1,"",IF(C2822="B01",1,IF(C2822="B05",1,IF(C2822="B03",1,IF(C2822="B04",1,IF(C2822="B20",1,IF(C2822="B02",1,0)))))))</f>
        <v/>
      </c>
      <c r="G2822"/>
      <c r="H2822" s="2"/>
      <c r="I2822" s="2"/>
      <c r="L2822"/>
      <c r="R2822"/>
    </row>
    <row r="2823" spans="1:18">
      <c r="A2823" s="3">
        <v>45780.864837962959</v>
      </c>
      <c r="B2823" s="2" t="s">
        <v>33</v>
      </c>
      <c r="C2823" s="2" t="s">
        <v>11</v>
      </c>
      <c r="D2823" s="6" t="str">
        <f>CONCATENATE(YEAR(A2823),"/",IF(MONTH(A2823)&lt;10,CONCATENATE("0",MONTH(A2823)),MONTH(A2823)))</f>
        <v>2025/05</v>
      </c>
      <c r="E2823" s="8">
        <f>IF(IF(D2823&lt;&gt;D2822,1,IF(OR(B2823&lt;&gt;B2822,A2823-A2822&gt;$U$1),1,""))&lt;&gt;1,"",IF(C2823="B01",1965,IF(C2823="B02",1020,IF(C2823="B05",2400,IF(C2823="B03",4260,IF(C2823="B04",2880,IF(C2823="B20",1260,0)))))))</f>
        <v>2400</v>
      </c>
      <c r="F2823" s="8">
        <f>IF(IF(D2823&lt;&gt;D2822,1,IF(OR(B2823&lt;&gt;B2822,A2823-A2822&gt;$U$1),1,""))&lt;&gt;1,"",IF(C2823="B01",1,IF(C2823="B05",1,IF(C2823="B03",1,IF(C2823="B04",1,IF(C2823="B20",1,IF(C2823="B02",1,0)))))))</f>
        <v>1</v>
      </c>
      <c r="G2823"/>
      <c r="H2823" s="2"/>
      <c r="I2823" s="2"/>
      <c r="L2823"/>
      <c r="R2823"/>
    </row>
    <row r="2824" spans="1:18">
      <c r="A2824" s="3">
        <v>45780.864837962959</v>
      </c>
      <c r="B2824" s="2" t="s">
        <v>33</v>
      </c>
      <c r="C2824" s="2" t="s">
        <v>11</v>
      </c>
      <c r="D2824" s="6" t="str">
        <f>CONCATENATE(YEAR(A2824),"/",IF(MONTH(A2824)&lt;10,CONCATENATE("0",MONTH(A2824)),MONTH(A2824)))</f>
        <v>2025/05</v>
      </c>
      <c r="E2824" s="8" t="str">
        <f>IF(IF(D2824&lt;&gt;D2823,1,IF(OR(B2824&lt;&gt;B2823,A2824-A2823&gt;$U$1),1,""))&lt;&gt;1,"",IF(C2824="B01",1965,IF(C2824="B02",1020,IF(C2824="B05",2400,IF(C2824="B03",4260,IF(C2824="B04",2880,IF(C2824="B20",1260,0)))))))</f>
        <v/>
      </c>
      <c r="F2824" s="8" t="str">
        <f>IF(IF(D2824&lt;&gt;D2823,1,IF(OR(B2824&lt;&gt;B2823,A2824-A2823&gt;$U$1),1,""))&lt;&gt;1,"",IF(C2824="B01",1,IF(C2824="B05",1,IF(C2824="B03",1,IF(C2824="B04",1,IF(C2824="B20",1,IF(C2824="B02",1,0)))))))</f>
        <v/>
      </c>
      <c r="G2824"/>
      <c r="H2824" s="2"/>
      <c r="I2824" s="2"/>
      <c r="L2824"/>
      <c r="R2824"/>
    </row>
    <row r="2825" spans="1:18">
      <c r="A2825" s="3">
        <v>45780.864837962959</v>
      </c>
      <c r="B2825" s="2" t="s">
        <v>33</v>
      </c>
      <c r="C2825" s="2" t="s">
        <v>11</v>
      </c>
      <c r="D2825" s="6" t="str">
        <f>CONCATENATE(YEAR(A2825),"/",IF(MONTH(A2825)&lt;10,CONCATENATE("0",MONTH(A2825)),MONTH(A2825)))</f>
        <v>2025/05</v>
      </c>
      <c r="E2825" s="8" t="str">
        <f>IF(IF(D2825&lt;&gt;D2824,1,IF(OR(B2825&lt;&gt;B2824,A2825-A2824&gt;$U$1),1,""))&lt;&gt;1,"",IF(C2825="B01",1965,IF(C2825="B02",1020,IF(C2825="B05",2400,IF(C2825="B03",4260,IF(C2825="B04",2880,IF(C2825="B20",1260,0)))))))</f>
        <v/>
      </c>
      <c r="F2825" s="8" t="str">
        <f>IF(IF(D2825&lt;&gt;D2824,1,IF(OR(B2825&lt;&gt;B2824,A2825-A2824&gt;$U$1),1,""))&lt;&gt;1,"",IF(C2825="B01",1,IF(C2825="B05",1,IF(C2825="B03",1,IF(C2825="B04",1,IF(C2825="B20",1,IF(C2825="B02",1,0)))))))</f>
        <v/>
      </c>
      <c r="G2825"/>
      <c r="H2825" s="2"/>
      <c r="I2825" s="2"/>
      <c r="L2825"/>
      <c r="R2825"/>
    </row>
    <row r="2826" spans="1:18">
      <c r="A2826" s="3">
        <v>45781.285902777781</v>
      </c>
      <c r="B2826" s="2" t="s">
        <v>33</v>
      </c>
      <c r="C2826" s="2" t="s">
        <v>12</v>
      </c>
      <c r="D2826" s="6" t="str">
        <f>CONCATENATE(YEAR(A2826),"/",IF(MONTH(A2826)&lt;10,CONCATENATE("0",MONTH(A2826)),MONTH(A2826)))</f>
        <v>2025/05</v>
      </c>
      <c r="E2826" s="8">
        <f>IF(IF(D2826&lt;&gt;D2825,1,IF(OR(B2826&lt;&gt;B2825,A2826-A2825&gt;$U$1),1,""))&lt;&gt;1,"",IF(C2826="B01",1965,IF(C2826="B02",1020,IF(C2826="B05",2400,IF(C2826="B03",4260,IF(C2826="B04",2880,IF(C2826="B20",1260,0)))))))</f>
        <v>4260</v>
      </c>
      <c r="F2826" s="8">
        <f>IF(IF(D2826&lt;&gt;D2825,1,IF(OR(B2826&lt;&gt;B2825,A2826-A2825&gt;$U$1),1,""))&lt;&gt;1,"",IF(C2826="B01",1,IF(C2826="B05",1,IF(C2826="B03",1,IF(C2826="B04",1,IF(C2826="B20",1,IF(C2826="B02",1,0)))))))</f>
        <v>1</v>
      </c>
      <c r="G2826"/>
      <c r="H2826" s="2"/>
      <c r="I2826" s="2"/>
      <c r="L2826"/>
      <c r="R2826"/>
    </row>
    <row r="2827" spans="1:18">
      <c r="A2827" s="3">
        <v>45781.285902777781</v>
      </c>
      <c r="B2827" s="2" t="s">
        <v>33</v>
      </c>
      <c r="C2827" s="2" t="s">
        <v>12</v>
      </c>
      <c r="D2827" s="6" t="str">
        <f>CONCATENATE(YEAR(A2827),"/",IF(MONTH(A2827)&lt;10,CONCATENATE("0",MONTH(A2827)),MONTH(A2827)))</f>
        <v>2025/05</v>
      </c>
      <c r="E2827" s="8" t="str">
        <f>IF(IF(D2827&lt;&gt;D2826,1,IF(OR(B2827&lt;&gt;B2826,A2827-A2826&gt;$U$1),1,""))&lt;&gt;1,"",IF(C2827="B01",1965,IF(C2827="B02",1020,IF(C2827="B05",2400,IF(C2827="B03",4260,IF(C2827="B04",2880,IF(C2827="B20",1260,0)))))))</f>
        <v/>
      </c>
      <c r="F2827" s="8" t="str">
        <f>IF(IF(D2827&lt;&gt;D2826,1,IF(OR(B2827&lt;&gt;B2826,A2827-A2826&gt;$U$1),1,""))&lt;&gt;1,"",IF(C2827="B01",1,IF(C2827="B05",1,IF(C2827="B03",1,IF(C2827="B04",1,IF(C2827="B20",1,IF(C2827="B02",1,0)))))))</f>
        <v/>
      </c>
      <c r="G2827"/>
      <c r="H2827" s="2"/>
      <c r="I2827" s="2"/>
      <c r="L2827"/>
      <c r="R2827"/>
    </row>
    <row r="2828" spans="1:18">
      <c r="A2828" s="3">
        <v>45781.936481481483</v>
      </c>
      <c r="B2828" s="2" t="s">
        <v>33</v>
      </c>
      <c r="C2828" s="2" t="s">
        <v>11</v>
      </c>
      <c r="D2828" s="6" t="str">
        <f>CONCATENATE(YEAR(A2828),"/",IF(MONTH(A2828)&lt;10,CONCATENATE("0",MONTH(A2828)),MONTH(A2828)))</f>
        <v>2025/05</v>
      </c>
      <c r="E2828" s="8">
        <f>IF(IF(D2828&lt;&gt;D2827,1,IF(OR(B2828&lt;&gt;B2827,A2828-A2827&gt;$U$1),1,""))&lt;&gt;1,"",IF(C2828="B01",1965,IF(C2828="B02",1020,IF(C2828="B05",2400,IF(C2828="B03",4260,IF(C2828="B04",2880,IF(C2828="B20",1260,0)))))))</f>
        <v>2400</v>
      </c>
      <c r="F2828" s="8">
        <f>IF(IF(D2828&lt;&gt;D2827,1,IF(OR(B2828&lt;&gt;B2827,A2828-A2827&gt;$U$1),1,""))&lt;&gt;1,"",IF(C2828="B01",1,IF(C2828="B05",1,IF(C2828="B03",1,IF(C2828="B04",1,IF(C2828="B20",1,IF(C2828="B02",1,0)))))))</f>
        <v>1</v>
      </c>
      <c r="G2828"/>
      <c r="H2828" s="2"/>
      <c r="I2828" s="2"/>
      <c r="L2828"/>
      <c r="R2828"/>
    </row>
    <row r="2829" spans="1:18">
      <c r="A2829" s="3">
        <v>45781.936481481483</v>
      </c>
      <c r="B2829" s="2" t="s">
        <v>33</v>
      </c>
      <c r="C2829" s="2" t="s">
        <v>11</v>
      </c>
      <c r="D2829" s="6" t="str">
        <f>CONCATENATE(YEAR(A2829),"/",IF(MONTH(A2829)&lt;10,CONCATENATE("0",MONTH(A2829)),MONTH(A2829)))</f>
        <v>2025/05</v>
      </c>
      <c r="E2829" s="8" t="str">
        <f>IF(IF(D2829&lt;&gt;D2828,1,IF(OR(B2829&lt;&gt;B2828,A2829-A2828&gt;$U$1),1,""))&lt;&gt;1,"",IF(C2829="B01",1965,IF(C2829="B02",1020,IF(C2829="B05",2400,IF(C2829="B03",4260,IF(C2829="B04",2880,IF(C2829="B20",1260,0)))))))</f>
        <v/>
      </c>
      <c r="F2829" s="8" t="str">
        <f>IF(IF(D2829&lt;&gt;D2828,1,IF(OR(B2829&lt;&gt;B2828,A2829-A2828&gt;$U$1),1,""))&lt;&gt;1,"",IF(C2829="B01",1,IF(C2829="B05",1,IF(C2829="B03",1,IF(C2829="B04",1,IF(C2829="B20",1,IF(C2829="B02",1,0)))))))</f>
        <v/>
      </c>
      <c r="G2829"/>
      <c r="H2829" s="2"/>
      <c r="I2829" s="2"/>
      <c r="L2829"/>
      <c r="R2829"/>
    </row>
    <row r="2830" spans="1:18">
      <c r="A2830" s="3">
        <v>45783.967766203707</v>
      </c>
      <c r="B2830" s="2" t="s">
        <v>33</v>
      </c>
      <c r="C2830" s="2" t="s">
        <v>11</v>
      </c>
      <c r="D2830" s="6" t="str">
        <f>CONCATENATE(YEAR(A2830),"/",IF(MONTH(A2830)&lt;10,CONCATENATE("0",MONTH(A2830)),MONTH(A2830)))</f>
        <v>2025/05</v>
      </c>
      <c r="E2830" s="8">
        <f>IF(IF(D2830&lt;&gt;D2829,1,IF(OR(B2830&lt;&gt;B2829,A2830-A2829&gt;$U$1),1,""))&lt;&gt;1,"",IF(C2830="B01",1965,IF(C2830="B02",1020,IF(C2830="B05",2400,IF(C2830="B03",4260,IF(C2830="B04",2880,IF(C2830="B20",1260,0)))))))</f>
        <v>2400</v>
      </c>
      <c r="F2830" s="8">
        <f>IF(IF(D2830&lt;&gt;D2829,1,IF(OR(B2830&lt;&gt;B2829,A2830-A2829&gt;$U$1),1,""))&lt;&gt;1,"",IF(C2830="B01",1,IF(C2830="B05",1,IF(C2830="B03",1,IF(C2830="B04",1,IF(C2830="B20",1,IF(C2830="B02",1,0)))))))</f>
        <v>1</v>
      </c>
      <c r="G2830"/>
      <c r="H2830" s="2"/>
      <c r="I2830" s="2"/>
      <c r="L2830"/>
      <c r="R2830"/>
    </row>
    <row r="2831" spans="1:18">
      <c r="A2831" s="3">
        <v>45783.967766203707</v>
      </c>
      <c r="B2831" s="2" t="s">
        <v>33</v>
      </c>
      <c r="C2831" s="2" t="s">
        <v>11</v>
      </c>
      <c r="D2831" s="6" t="str">
        <f>CONCATENATE(YEAR(A2831),"/",IF(MONTH(A2831)&lt;10,CONCATENATE("0",MONTH(A2831)),MONTH(A2831)))</f>
        <v>2025/05</v>
      </c>
      <c r="E2831" s="8" t="str">
        <f>IF(IF(D2831&lt;&gt;D2830,1,IF(OR(B2831&lt;&gt;B2830,A2831-A2830&gt;$U$1),1,""))&lt;&gt;1,"",IF(C2831="B01",1965,IF(C2831="B02",1020,IF(C2831="B05",2400,IF(C2831="B03",4260,IF(C2831="B04",2880,IF(C2831="B20",1260,0)))))))</f>
        <v/>
      </c>
      <c r="F2831" s="8" t="str">
        <f>IF(IF(D2831&lt;&gt;D2830,1,IF(OR(B2831&lt;&gt;B2830,A2831-A2830&gt;$U$1),1,""))&lt;&gt;1,"",IF(C2831="B01",1,IF(C2831="B05",1,IF(C2831="B03",1,IF(C2831="B04",1,IF(C2831="B20",1,IF(C2831="B02",1,0)))))))</f>
        <v/>
      </c>
      <c r="G2831"/>
      <c r="H2831" s="2"/>
      <c r="I2831" s="2"/>
      <c r="L2831"/>
      <c r="R2831"/>
    </row>
    <row r="2832" spans="1:18">
      <c r="A2832" s="3">
        <v>45783.967766203707</v>
      </c>
      <c r="B2832" s="2" t="s">
        <v>33</v>
      </c>
      <c r="C2832" s="2" t="s">
        <v>11</v>
      </c>
      <c r="D2832" s="6" t="str">
        <f>CONCATENATE(YEAR(A2832),"/",IF(MONTH(A2832)&lt;10,CONCATENATE("0",MONTH(A2832)),MONTH(A2832)))</f>
        <v>2025/05</v>
      </c>
      <c r="E2832" s="8" t="str">
        <f>IF(IF(D2832&lt;&gt;D2831,1,IF(OR(B2832&lt;&gt;B2831,A2832-A2831&gt;$U$1),1,""))&lt;&gt;1,"",IF(C2832="B01",1965,IF(C2832="B02",1020,IF(C2832="B05",2400,IF(C2832="B03",4260,IF(C2832="B04",2880,IF(C2832="B20",1260,0)))))))</f>
        <v/>
      </c>
      <c r="F2832" s="8" t="str">
        <f>IF(IF(D2832&lt;&gt;D2831,1,IF(OR(B2832&lt;&gt;B2831,A2832-A2831&gt;$U$1),1,""))&lt;&gt;1,"",IF(C2832="B01",1,IF(C2832="B05",1,IF(C2832="B03",1,IF(C2832="B04",1,IF(C2832="B20",1,IF(C2832="B02",1,0)))))))</f>
        <v/>
      </c>
      <c r="G2832"/>
      <c r="H2832" s="2"/>
      <c r="I2832" s="2"/>
      <c r="L2832"/>
      <c r="R2832"/>
    </row>
    <row r="2833" spans="1:18">
      <c r="A2833" s="3">
        <v>45783.967766203707</v>
      </c>
      <c r="B2833" s="2" t="s">
        <v>33</v>
      </c>
      <c r="C2833" s="2" t="s">
        <v>11</v>
      </c>
      <c r="D2833" s="6" t="str">
        <f>CONCATENATE(YEAR(A2833),"/",IF(MONTH(A2833)&lt;10,CONCATENATE("0",MONTH(A2833)),MONTH(A2833)))</f>
        <v>2025/05</v>
      </c>
      <c r="E2833" s="8" t="str">
        <f>IF(IF(D2833&lt;&gt;D2832,1,IF(OR(B2833&lt;&gt;B2832,A2833-A2832&gt;$U$1),1,""))&lt;&gt;1,"",IF(C2833="B01",1965,IF(C2833="B02",1020,IF(C2833="B05",2400,IF(C2833="B03",4260,IF(C2833="B04",2880,IF(C2833="B20",1260,0)))))))</f>
        <v/>
      </c>
      <c r="F2833" s="8" t="str">
        <f>IF(IF(D2833&lt;&gt;D2832,1,IF(OR(B2833&lt;&gt;B2832,A2833-A2832&gt;$U$1),1,""))&lt;&gt;1,"",IF(C2833="B01",1,IF(C2833="B05",1,IF(C2833="B03",1,IF(C2833="B04",1,IF(C2833="B20",1,IF(C2833="B02",1,0)))))))</f>
        <v/>
      </c>
      <c r="G2833"/>
      <c r="H2833" s="2"/>
      <c r="I2833" s="2"/>
      <c r="L2833"/>
      <c r="R2833"/>
    </row>
    <row r="2834" spans="1:18">
      <c r="A2834" s="3">
        <v>45784.146493055552</v>
      </c>
      <c r="B2834" s="2" t="s">
        <v>33</v>
      </c>
      <c r="C2834" s="2" t="s">
        <v>11</v>
      </c>
      <c r="D2834" s="6" t="str">
        <f>CONCATENATE(YEAR(A2834),"/",IF(MONTH(A2834)&lt;10,CONCATENATE("0",MONTH(A2834)),MONTH(A2834)))</f>
        <v>2025/05</v>
      </c>
      <c r="E2834" s="8">
        <f>IF(IF(D2834&lt;&gt;D2833,1,IF(OR(B2834&lt;&gt;B2833,A2834-A2833&gt;$U$1),1,""))&lt;&gt;1,"",IF(C2834="B01",1965,IF(C2834="B02",1020,IF(C2834="B05",2400,IF(C2834="B03",4260,IF(C2834="B04",2880,IF(C2834="B20",1260,0)))))))</f>
        <v>2400</v>
      </c>
      <c r="F2834" s="8">
        <f>IF(IF(D2834&lt;&gt;D2833,1,IF(OR(B2834&lt;&gt;B2833,A2834-A2833&gt;$U$1),1,""))&lt;&gt;1,"",IF(C2834="B01",1,IF(C2834="B05",1,IF(C2834="B03",1,IF(C2834="B04",1,IF(C2834="B20",1,IF(C2834="B02",1,0)))))))</f>
        <v>1</v>
      </c>
      <c r="G2834"/>
      <c r="H2834" s="2"/>
      <c r="I2834" s="2"/>
      <c r="L2834"/>
      <c r="R2834"/>
    </row>
    <row r="2835" spans="1:18">
      <c r="A2835" s="3">
        <v>45784.146493055552</v>
      </c>
      <c r="B2835" s="2" t="s">
        <v>33</v>
      </c>
      <c r="C2835" s="2" t="s">
        <v>11</v>
      </c>
      <c r="D2835" s="6" t="str">
        <f>CONCATENATE(YEAR(A2835),"/",IF(MONTH(A2835)&lt;10,CONCATENATE("0",MONTH(A2835)),MONTH(A2835)))</f>
        <v>2025/05</v>
      </c>
      <c r="E2835" s="8" t="str">
        <f>IF(IF(D2835&lt;&gt;D2834,1,IF(OR(B2835&lt;&gt;B2834,A2835-A2834&gt;$U$1),1,""))&lt;&gt;1,"",IF(C2835="B01",1965,IF(C2835="B02",1020,IF(C2835="B05",2400,IF(C2835="B03",4260,IF(C2835="B04",2880,IF(C2835="B20",1260,0)))))))</f>
        <v/>
      </c>
      <c r="F2835" s="8" t="str">
        <f>IF(IF(D2835&lt;&gt;D2834,1,IF(OR(B2835&lt;&gt;B2834,A2835-A2834&gt;$U$1),1,""))&lt;&gt;1,"",IF(C2835="B01",1,IF(C2835="B05",1,IF(C2835="B03",1,IF(C2835="B04",1,IF(C2835="B20",1,IF(C2835="B02",1,0)))))))</f>
        <v/>
      </c>
      <c r="G2835"/>
      <c r="H2835" s="2"/>
      <c r="I2835" s="2"/>
      <c r="L2835"/>
      <c r="R2835"/>
    </row>
    <row r="2836" spans="1:18">
      <c r="A2836" s="3">
        <v>45784.146493055552</v>
      </c>
      <c r="B2836" s="2" t="s">
        <v>33</v>
      </c>
      <c r="C2836" s="2" t="s">
        <v>11</v>
      </c>
      <c r="D2836" s="6" t="str">
        <f>CONCATENATE(YEAR(A2836),"/",IF(MONTH(A2836)&lt;10,CONCATENATE("0",MONTH(A2836)),MONTH(A2836)))</f>
        <v>2025/05</v>
      </c>
      <c r="E2836" s="8" t="str">
        <f>IF(IF(D2836&lt;&gt;D2835,1,IF(OR(B2836&lt;&gt;B2835,A2836-A2835&gt;$U$1),1,""))&lt;&gt;1,"",IF(C2836="B01",1965,IF(C2836="B02",1020,IF(C2836="B05",2400,IF(C2836="B03",4260,IF(C2836="B04",2880,IF(C2836="B20",1260,0)))))))</f>
        <v/>
      </c>
      <c r="F2836" s="8" t="str">
        <f>IF(IF(D2836&lt;&gt;D2835,1,IF(OR(B2836&lt;&gt;B2835,A2836-A2835&gt;$U$1),1,""))&lt;&gt;1,"",IF(C2836="B01",1,IF(C2836="B05",1,IF(C2836="B03",1,IF(C2836="B04",1,IF(C2836="B20",1,IF(C2836="B02",1,0)))))))</f>
        <v/>
      </c>
      <c r="G2836"/>
      <c r="H2836" s="2"/>
      <c r="I2836" s="2"/>
      <c r="L2836"/>
      <c r="R2836"/>
    </row>
    <row r="2837" spans="1:18">
      <c r="A2837" s="3">
        <v>45786.193020833336</v>
      </c>
      <c r="B2837" s="2" t="s">
        <v>33</v>
      </c>
      <c r="C2837" s="2" t="s">
        <v>11</v>
      </c>
      <c r="D2837" s="6" t="str">
        <f>CONCATENATE(YEAR(A2837),"/",IF(MONTH(A2837)&lt;10,CONCATENATE("0",MONTH(A2837)),MONTH(A2837)))</f>
        <v>2025/05</v>
      </c>
      <c r="E2837" s="8">
        <f>IF(IF(D2837&lt;&gt;D2836,1,IF(OR(B2837&lt;&gt;B2836,A2837-A2836&gt;$U$1),1,""))&lt;&gt;1,"",IF(C2837="B01",1965,IF(C2837="B02",1020,IF(C2837="B05",2400,IF(C2837="B03",4260,IF(C2837="B04",2880,IF(C2837="B20",1260,0)))))))</f>
        <v>2400</v>
      </c>
      <c r="F2837" s="8">
        <f>IF(IF(D2837&lt;&gt;D2836,1,IF(OR(B2837&lt;&gt;B2836,A2837-A2836&gt;$U$1),1,""))&lt;&gt;1,"",IF(C2837="B01",1,IF(C2837="B05",1,IF(C2837="B03",1,IF(C2837="B04",1,IF(C2837="B20",1,IF(C2837="B02",1,0)))))))</f>
        <v>1</v>
      </c>
      <c r="G2837"/>
      <c r="H2837" s="2"/>
      <c r="I2837" s="2"/>
      <c r="L2837"/>
      <c r="R2837"/>
    </row>
    <row r="2838" spans="1:18">
      <c r="A2838" s="3">
        <v>45786.193020833336</v>
      </c>
      <c r="B2838" s="2" t="s">
        <v>33</v>
      </c>
      <c r="C2838" s="2" t="s">
        <v>11</v>
      </c>
      <c r="D2838" s="6" t="str">
        <f>CONCATENATE(YEAR(A2838),"/",IF(MONTH(A2838)&lt;10,CONCATENATE("0",MONTH(A2838)),MONTH(A2838)))</f>
        <v>2025/05</v>
      </c>
      <c r="E2838" s="8" t="str">
        <f>IF(IF(D2838&lt;&gt;D2837,1,IF(OR(B2838&lt;&gt;B2837,A2838-A2837&gt;$U$1),1,""))&lt;&gt;1,"",IF(C2838="B01",1965,IF(C2838="B02",1020,IF(C2838="B05",2400,IF(C2838="B03",4260,IF(C2838="B04",2880,IF(C2838="B20",1260,0)))))))</f>
        <v/>
      </c>
      <c r="F2838" s="8" t="str">
        <f>IF(IF(D2838&lt;&gt;D2837,1,IF(OR(B2838&lt;&gt;B2837,A2838-A2837&gt;$U$1),1,""))&lt;&gt;1,"",IF(C2838="B01",1,IF(C2838="B05",1,IF(C2838="B03",1,IF(C2838="B04",1,IF(C2838="B20",1,IF(C2838="B02",1,0)))))))</f>
        <v/>
      </c>
      <c r="G2838"/>
      <c r="H2838" s="2"/>
      <c r="I2838" s="2"/>
      <c r="L2838"/>
      <c r="R2838"/>
    </row>
    <row r="2839" spans="1:18">
      <c r="A2839" s="3">
        <v>45786.5549537037</v>
      </c>
      <c r="B2839" s="2" t="s">
        <v>33</v>
      </c>
      <c r="C2839" s="2" t="s">
        <v>11</v>
      </c>
      <c r="D2839" s="6" t="str">
        <f>CONCATENATE(YEAR(A2839),"/",IF(MONTH(A2839)&lt;10,CONCATENATE("0",MONTH(A2839)),MONTH(A2839)))</f>
        <v>2025/05</v>
      </c>
      <c r="E2839" s="8">
        <f>IF(IF(D2839&lt;&gt;D2838,1,IF(OR(B2839&lt;&gt;B2838,A2839-A2838&gt;$U$1),1,""))&lt;&gt;1,"",IF(C2839="B01",1965,IF(C2839="B02",1020,IF(C2839="B05",2400,IF(C2839="B03",4260,IF(C2839="B04",2880,IF(C2839="B20",1260,0)))))))</f>
        <v>2400</v>
      </c>
      <c r="F2839" s="8">
        <f>IF(IF(D2839&lt;&gt;D2838,1,IF(OR(B2839&lt;&gt;B2838,A2839-A2838&gt;$U$1),1,""))&lt;&gt;1,"",IF(C2839="B01",1,IF(C2839="B05",1,IF(C2839="B03",1,IF(C2839="B04",1,IF(C2839="B20",1,IF(C2839="B02",1,0)))))))</f>
        <v>1</v>
      </c>
      <c r="G2839"/>
      <c r="H2839" s="2"/>
      <c r="I2839" s="2"/>
      <c r="L2839"/>
      <c r="R2839"/>
    </row>
    <row r="2840" spans="1:18">
      <c r="A2840" s="3">
        <v>45786.5549537037</v>
      </c>
      <c r="B2840" s="2" t="s">
        <v>33</v>
      </c>
      <c r="C2840" s="2" t="s">
        <v>11</v>
      </c>
      <c r="D2840" s="6" t="str">
        <f>CONCATENATE(YEAR(A2840),"/",IF(MONTH(A2840)&lt;10,CONCATENATE("0",MONTH(A2840)),MONTH(A2840)))</f>
        <v>2025/05</v>
      </c>
      <c r="E2840" s="8" t="str">
        <f>IF(IF(D2840&lt;&gt;D2839,1,IF(OR(B2840&lt;&gt;B2839,A2840-A2839&gt;$U$1),1,""))&lt;&gt;1,"",IF(C2840="B01",1965,IF(C2840="B02",1020,IF(C2840="B05",2400,IF(C2840="B03",4260,IF(C2840="B04",2880,IF(C2840="B20",1260,0)))))))</f>
        <v/>
      </c>
      <c r="F2840" s="8" t="str">
        <f>IF(IF(D2840&lt;&gt;D2839,1,IF(OR(B2840&lt;&gt;B2839,A2840-A2839&gt;$U$1),1,""))&lt;&gt;1,"",IF(C2840="B01",1,IF(C2840="B05",1,IF(C2840="B03",1,IF(C2840="B04",1,IF(C2840="B20",1,IF(C2840="B02",1,0)))))))</f>
        <v/>
      </c>
      <c r="G2840"/>
      <c r="H2840" s="2"/>
      <c r="I2840" s="2"/>
      <c r="L2840"/>
      <c r="R2840"/>
    </row>
    <row r="2841" spans="1:18">
      <c r="A2841" s="3">
        <v>45786.5549537037</v>
      </c>
      <c r="B2841" s="2" t="s">
        <v>33</v>
      </c>
      <c r="C2841" s="2" t="s">
        <v>11</v>
      </c>
      <c r="D2841" s="6" t="str">
        <f>CONCATENATE(YEAR(A2841),"/",IF(MONTH(A2841)&lt;10,CONCATENATE("0",MONTH(A2841)),MONTH(A2841)))</f>
        <v>2025/05</v>
      </c>
      <c r="E2841" s="8" t="str">
        <f>IF(IF(D2841&lt;&gt;D2840,1,IF(OR(B2841&lt;&gt;B2840,A2841-A2840&gt;$U$1),1,""))&lt;&gt;1,"",IF(C2841="B01",1965,IF(C2841="B02",1020,IF(C2841="B05",2400,IF(C2841="B03",4260,IF(C2841="B04",2880,IF(C2841="B20",1260,0)))))))</f>
        <v/>
      </c>
      <c r="F2841" s="8" t="str">
        <f>IF(IF(D2841&lt;&gt;D2840,1,IF(OR(B2841&lt;&gt;B2840,A2841-A2840&gt;$U$1),1,""))&lt;&gt;1,"",IF(C2841="B01",1,IF(C2841="B05",1,IF(C2841="B03",1,IF(C2841="B04",1,IF(C2841="B20",1,IF(C2841="B02",1,0)))))))</f>
        <v/>
      </c>
      <c r="G2841"/>
      <c r="H2841" s="2"/>
      <c r="I2841" s="2"/>
      <c r="L2841"/>
      <c r="R2841"/>
    </row>
    <row r="2842" spans="1:18">
      <c r="A2842" s="3">
        <v>45786.783668981479</v>
      </c>
      <c r="B2842" s="2" t="s">
        <v>33</v>
      </c>
      <c r="C2842" s="2" t="s">
        <v>11</v>
      </c>
      <c r="D2842" s="6" t="str">
        <f>CONCATENATE(YEAR(A2842),"/",IF(MONTH(A2842)&lt;10,CONCATENATE("0",MONTH(A2842)),MONTH(A2842)))</f>
        <v>2025/05</v>
      </c>
      <c r="E2842" s="8">
        <f>IF(IF(D2842&lt;&gt;D2841,1,IF(OR(B2842&lt;&gt;B2841,A2842-A2841&gt;$U$1),1,""))&lt;&gt;1,"",IF(C2842="B01",1965,IF(C2842="B02",1020,IF(C2842="B05",2400,IF(C2842="B03",4260,IF(C2842="B04",2880,IF(C2842="B20",1260,0)))))))</f>
        <v>2400</v>
      </c>
      <c r="F2842" s="8">
        <f>IF(IF(D2842&lt;&gt;D2841,1,IF(OR(B2842&lt;&gt;B2841,A2842-A2841&gt;$U$1),1,""))&lt;&gt;1,"",IF(C2842="B01",1,IF(C2842="B05",1,IF(C2842="B03",1,IF(C2842="B04",1,IF(C2842="B20",1,IF(C2842="B02",1,0)))))))</f>
        <v>1</v>
      </c>
      <c r="G2842"/>
      <c r="H2842" s="2"/>
      <c r="I2842" s="2"/>
      <c r="L2842"/>
      <c r="R2842"/>
    </row>
    <row r="2843" spans="1:18">
      <c r="A2843" s="3">
        <v>45786.783668981479</v>
      </c>
      <c r="B2843" s="2" t="s">
        <v>33</v>
      </c>
      <c r="C2843" s="2" t="s">
        <v>11</v>
      </c>
      <c r="D2843" s="6" t="str">
        <f>CONCATENATE(YEAR(A2843),"/",IF(MONTH(A2843)&lt;10,CONCATENATE("0",MONTH(A2843)),MONTH(A2843)))</f>
        <v>2025/05</v>
      </c>
      <c r="E2843" s="8" t="str">
        <f>IF(IF(D2843&lt;&gt;D2842,1,IF(OR(B2843&lt;&gt;B2842,A2843-A2842&gt;$U$1),1,""))&lt;&gt;1,"",IF(C2843="B01",1965,IF(C2843="B02",1020,IF(C2843="B05",2400,IF(C2843="B03",4260,IF(C2843="B04",2880,IF(C2843="B20",1260,0)))))))</f>
        <v/>
      </c>
      <c r="F2843" s="8" t="str">
        <f>IF(IF(D2843&lt;&gt;D2842,1,IF(OR(B2843&lt;&gt;B2842,A2843-A2842&gt;$U$1),1,""))&lt;&gt;1,"",IF(C2843="B01",1,IF(C2843="B05",1,IF(C2843="B03",1,IF(C2843="B04",1,IF(C2843="B20",1,IF(C2843="B02",1,0)))))))</f>
        <v/>
      </c>
      <c r="G2843"/>
      <c r="H2843" s="2"/>
      <c r="I2843" s="2"/>
      <c r="L2843"/>
      <c r="R2843"/>
    </row>
    <row r="2844" spans="1:18">
      <c r="A2844" s="3">
        <v>45787.038472222222</v>
      </c>
      <c r="B2844" s="2" t="s">
        <v>33</v>
      </c>
      <c r="C2844" s="2" t="s">
        <v>11</v>
      </c>
      <c r="D2844" s="6" t="str">
        <f>CONCATENATE(YEAR(A2844),"/",IF(MONTH(A2844)&lt;10,CONCATENATE("0",MONTH(A2844)),MONTH(A2844)))</f>
        <v>2025/05</v>
      </c>
      <c r="E2844" s="8">
        <f>IF(IF(D2844&lt;&gt;D2843,1,IF(OR(B2844&lt;&gt;B2843,A2844-A2843&gt;$U$1),1,""))&lt;&gt;1,"",IF(C2844="B01",1965,IF(C2844="B02",1020,IF(C2844="B05",2400,IF(C2844="B03",4260,IF(C2844="B04",2880,IF(C2844="B20",1260,0)))))))</f>
        <v>2400</v>
      </c>
      <c r="F2844" s="8">
        <f>IF(IF(D2844&lt;&gt;D2843,1,IF(OR(B2844&lt;&gt;B2843,A2844-A2843&gt;$U$1),1,""))&lt;&gt;1,"",IF(C2844="B01",1,IF(C2844="B05",1,IF(C2844="B03",1,IF(C2844="B04",1,IF(C2844="B20",1,IF(C2844="B02",1,0)))))))</f>
        <v>1</v>
      </c>
      <c r="G2844"/>
      <c r="H2844" s="2"/>
      <c r="I2844" s="2"/>
      <c r="L2844"/>
      <c r="R2844"/>
    </row>
    <row r="2845" spans="1:18">
      <c r="A2845" s="3">
        <v>45787.038472222222</v>
      </c>
      <c r="B2845" s="2" t="s">
        <v>33</v>
      </c>
      <c r="C2845" s="2" t="s">
        <v>11</v>
      </c>
      <c r="D2845" s="6" t="str">
        <f>CONCATENATE(YEAR(A2845),"/",IF(MONTH(A2845)&lt;10,CONCATENATE("0",MONTH(A2845)),MONTH(A2845)))</f>
        <v>2025/05</v>
      </c>
      <c r="E2845" s="8" t="str">
        <f>IF(IF(D2845&lt;&gt;D2844,1,IF(OR(B2845&lt;&gt;B2844,A2845-A2844&gt;$U$1),1,""))&lt;&gt;1,"",IF(C2845="B01",1965,IF(C2845="B02",1020,IF(C2845="B05",2400,IF(C2845="B03",4260,IF(C2845="B04",2880,IF(C2845="B20",1260,0)))))))</f>
        <v/>
      </c>
      <c r="F2845" s="8" t="str">
        <f>IF(IF(D2845&lt;&gt;D2844,1,IF(OR(B2845&lt;&gt;B2844,A2845-A2844&gt;$U$1),1,""))&lt;&gt;1,"",IF(C2845="B01",1,IF(C2845="B05",1,IF(C2845="B03",1,IF(C2845="B04",1,IF(C2845="B20",1,IF(C2845="B02",1,0)))))))</f>
        <v/>
      </c>
      <c r="G2845"/>
      <c r="H2845" s="2"/>
      <c r="I2845" s="2"/>
      <c r="L2845"/>
      <c r="R2845"/>
    </row>
    <row r="2846" spans="1:18">
      <c r="A2846" s="3">
        <v>45787.038472222222</v>
      </c>
      <c r="B2846" s="2" t="s">
        <v>33</v>
      </c>
      <c r="C2846" s="2" t="s">
        <v>11</v>
      </c>
      <c r="D2846" s="6" t="str">
        <f>CONCATENATE(YEAR(A2846),"/",IF(MONTH(A2846)&lt;10,CONCATENATE("0",MONTH(A2846)),MONTH(A2846)))</f>
        <v>2025/05</v>
      </c>
      <c r="E2846" s="8" t="str">
        <f>IF(IF(D2846&lt;&gt;D2845,1,IF(OR(B2846&lt;&gt;B2845,A2846-A2845&gt;$U$1),1,""))&lt;&gt;1,"",IF(C2846="B01",1965,IF(C2846="B02",1020,IF(C2846="B05",2400,IF(C2846="B03",4260,IF(C2846="B04",2880,IF(C2846="B20",1260,0)))))))</f>
        <v/>
      </c>
      <c r="F2846" s="8" t="str">
        <f>IF(IF(D2846&lt;&gt;D2845,1,IF(OR(B2846&lt;&gt;B2845,A2846-A2845&gt;$U$1),1,""))&lt;&gt;1,"",IF(C2846="B01",1,IF(C2846="B05",1,IF(C2846="B03",1,IF(C2846="B04",1,IF(C2846="B20",1,IF(C2846="B02",1,0)))))))</f>
        <v/>
      </c>
      <c r="G2846"/>
      <c r="H2846" s="2"/>
      <c r="I2846" s="2"/>
      <c r="L2846"/>
      <c r="R2846"/>
    </row>
    <row r="2847" spans="1:18">
      <c r="A2847" s="3">
        <v>45787.343645833331</v>
      </c>
      <c r="B2847" s="2" t="s">
        <v>33</v>
      </c>
      <c r="C2847" s="2" t="s">
        <v>11</v>
      </c>
      <c r="D2847" s="6" t="str">
        <f>CONCATENATE(YEAR(A2847),"/",IF(MONTH(A2847)&lt;10,CONCATENATE("0",MONTH(A2847)),MONTH(A2847)))</f>
        <v>2025/05</v>
      </c>
      <c r="E2847" s="8">
        <f>IF(IF(D2847&lt;&gt;D2846,1,IF(OR(B2847&lt;&gt;B2846,A2847-A2846&gt;$U$1),1,""))&lt;&gt;1,"",IF(C2847="B01",1965,IF(C2847="B02",1020,IF(C2847="B05",2400,IF(C2847="B03",4260,IF(C2847="B04",2880,IF(C2847="B20",1260,0)))))))</f>
        <v>2400</v>
      </c>
      <c r="F2847" s="8">
        <f>IF(IF(D2847&lt;&gt;D2846,1,IF(OR(B2847&lt;&gt;B2846,A2847-A2846&gt;$U$1),1,""))&lt;&gt;1,"",IF(C2847="B01",1,IF(C2847="B05",1,IF(C2847="B03",1,IF(C2847="B04",1,IF(C2847="B20",1,IF(C2847="B02",1,0)))))))</f>
        <v>1</v>
      </c>
      <c r="G2847"/>
      <c r="H2847" s="2"/>
      <c r="I2847" s="2"/>
      <c r="L2847"/>
      <c r="R2847"/>
    </row>
    <row r="2848" spans="1:18">
      <c r="A2848" s="3">
        <v>45787.343645833331</v>
      </c>
      <c r="B2848" s="2" t="s">
        <v>33</v>
      </c>
      <c r="C2848" s="2" t="s">
        <v>11</v>
      </c>
      <c r="D2848" s="6" t="str">
        <f>CONCATENATE(YEAR(A2848),"/",IF(MONTH(A2848)&lt;10,CONCATENATE("0",MONTH(A2848)),MONTH(A2848)))</f>
        <v>2025/05</v>
      </c>
      <c r="E2848" s="8" t="str">
        <f>IF(IF(D2848&lt;&gt;D2847,1,IF(OR(B2848&lt;&gt;B2847,A2848-A2847&gt;$U$1),1,""))&lt;&gt;1,"",IF(C2848="B01",1965,IF(C2848="B02",1020,IF(C2848="B05",2400,IF(C2848="B03",4260,IF(C2848="B04",2880,IF(C2848="B20",1260,0)))))))</f>
        <v/>
      </c>
      <c r="F2848" s="8" t="str">
        <f>IF(IF(D2848&lt;&gt;D2847,1,IF(OR(B2848&lt;&gt;B2847,A2848-A2847&gt;$U$1),1,""))&lt;&gt;1,"",IF(C2848="B01",1,IF(C2848="B05",1,IF(C2848="B03",1,IF(C2848="B04",1,IF(C2848="B20",1,IF(C2848="B02",1,0)))))))</f>
        <v/>
      </c>
      <c r="G2848"/>
      <c r="H2848" s="2"/>
      <c r="I2848" s="2"/>
      <c r="L2848"/>
      <c r="R2848"/>
    </row>
    <row r="2849" spans="1:18">
      <c r="A2849" s="3">
        <v>45787.343645833331</v>
      </c>
      <c r="B2849" s="2" t="s">
        <v>33</v>
      </c>
      <c r="C2849" s="2" t="s">
        <v>11</v>
      </c>
      <c r="D2849" s="6" t="str">
        <f>CONCATENATE(YEAR(A2849),"/",IF(MONTH(A2849)&lt;10,CONCATENATE("0",MONTH(A2849)),MONTH(A2849)))</f>
        <v>2025/05</v>
      </c>
      <c r="E2849" s="8" t="str">
        <f>IF(IF(D2849&lt;&gt;D2848,1,IF(OR(B2849&lt;&gt;B2848,A2849-A2848&gt;$U$1),1,""))&lt;&gt;1,"",IF(C2849="B01",1965,IF(C2849="B02",1020,IF(C2849="B05",2400,IF(C2849="B03",4260,IF(C2849="B04",2880,IF(C2849="B20",1260,0)))))))</f>
        <v/>
      </c>
      <c r="F2849" s="8" t="str">
        <f>IF(IF(D2849&lt;&gt;D2848,1,IF(OR(B2849&lt;&gt;B2848,A2849-A2848&gt;$U$1),1,""))&lt;&gt;1,"",IF(C2849="B01",1,IF(C2849="B05",1,IF(C2849="B03",1,IF(C2849="B04",1,IF(C2849="B20",1,IF(C2849="B02",1,0)))))))</f>
        <v/>
      </c>
      <c r="G2849"/>
      <c r="H2849" s="2"/>
      <c r="I2849" s="2"/>
      <c r="L2849"/>
      <c r="R2849"/>
    </row>
    <row r="2850" spans="1:18">
      <c r="A2850" s="3">
        <v>45787.922997685186</v>
      </c>
      <c r="B2850" s="2" t="s">
        <v>33</v>
      </c>
      <c r="C2850" s="2" t="s">
        <v>11</v>
      </c>
      <c r="D2850" s="6" t="str">
        <f>CONCATENATE(YEAR(A2850),"/",IF(MONTH(A2850)&lt;10,CONCATENATE("0",MONTH(A2850)),MONTH(A2850)))</f>
        <v>2025/05</v>
      </c>
      <c r="E2850" s="8">
        <f>IF(IF(D2850&lt;&gt;D2849,1,IF(OR(B2850&lt;&gt;B2849,A2850-A2849&gt;$U$1),1,""))&lt;&gt;1,"",IF(C2850="B01",1965,IF(C2850="B02",1020,IF(C2850="B05",2400,IF(C2850="B03",4260,IF(C2850="B04",2880,IF(C2850="B20",1260,0)))))))</f>
        <v>2400</v>
      </c>
      <c r="F2850" s="8">
        <f>IF(IF(D2850&lt;&gt;D2849,1,IF(OR(B2850&lt;&gt;B2849,A2850-A2849&gt;$U$1),1,""))&lt;&gt;1,"",IF(C2850="B01",1,IF(C2850="B05",1,IF(C2850="B03",1,IF(C2850="B04",1,IF(C2850="B20",1,IF(C2850="B02",1,0)))))))</f>
        <v>1</v>
      </c>
      <c r="G2850"/>
      <c r="H2850" s="2"/>
      <c r="I2850" s="2"/>
      <c r="L2850"/>
      <c r="R2850"/>
    </row>
    <row r="2851" spans="1:18">
      <c r="A2851" s="3">
        <v>45787.922997685186</v>
      </c>
      <c r="B2851" s="2" t="s">
        <v>33</v>
      </c>
      <c r="C2851" s="2" t="s">
        <v>11</v>
      </c>
      <c r="D2851" s="6" t="str">
        <f>CONCATENATE(YEAR(A2851),"/",IF(MONTH(A2851)&lt;10,CONCATENATE("0",MONTH(A2851)),MONTH(A2851)))</f>
        <v>2025/05</v>
      </c>
      <c r="E2851" s="8" t="str">
        <f>IF(IF(D2851&lt;&gt;D2850,1,IF(OR(B2851&lt;&gt;B2850,A2851-A2850&gt;$U$1),1,""))&lt;&gt;1,"",IF(C2851="B01",1965,IF(C2851="B02",1020,IF(C2851="B05",2400,IF(C2851="B03",4260,IF(C2851="B04",2880,IF(C2851="B20",1260,0)))))))</f>
        <v/>
      </c>
      <c r="F2851" s="8" t="str">
        <f>IF(IF(D2851&lt;&gt;D2850,1,IF(OR(B2851&lt;&gt;B2850,A2851-A2850&gt;$U$1),1,""))&lt;&gt;1,"",IF(C2851="B01",1,IF(C2851="B05",1,IF(C2851="B03",1,IF(C2851="B04",1,IF(C2851="B20",1,IF(C2851="B02",1,0)))))))</f>
        <v/>
      </c>
      <c r="G2851"/>
      <c r="H2851" s="2"/>
      <c r="I2851" s="2"/>
      <c r="L2851"/>
      <c r="R2851"/>
    </row>
    <row r="2852" spans="1:18">
      <c r="A2852" s="3">
        <v>45787.922997685186</v>
      </c>
      <c r="B2852" s="2" t="s">
        <v>33</v>
      </c>
      <c r="C2852" s="2" t="s">
        <v>11</v>
      </c>
      <c r="D2852" s="6" t="str">
        <f>CONCATENATE(YEAR(A2852),"/",IF(MONTH(A2852)&lt;10,CONCATENATE("0",MONTH(A2852)),MONTH(A2852)))</f>
        <v>2025/05</v>
      </c>
      <c r="E2852" s="8" t="str">
        <f>IF(IF(D2852&lt;&gt;D2851,1,IF(OR(B2852&lt;&gt;B2851,A2852-A2851&gt;$U$1),1,""))&lt;&gt;1,"",IF(C2852="B01",1965,IF(C2852="B02",1020,IF(C2852="B05",2400,IF(C2852="B03",4260,IF(C2852="B04",2880,IF(C2852="B20",1260,0)))))))</f>
        <v/>
      </c>
      <c r="F2852" s="8" t="str">
        <f>IF(IF(D2852&lt;&gt;D2851,1,IF(OR(B2852&lt;&gt;B2851,A2852-A2851&gt;$U$1),1,""))&lt;&gt;1,"",IF(C2852="B01",1,IF(C2852="B05",1,IF(C2852="B03",1,IF(C2852="B04",1,IF(C2852="B20",1,IF(C2852="B02",1,0)))))))</f>
        <v/>
      </c>
      <c r="G2852"/>
      <c r="H2852" s="2"/>
      <c r="I2852" s="2"/>
      <c r="L2852"/>
      <c r="R2852"/>
    </row>
    <row r="2853" spans="1:18">
      <c r="A2853" s="3">
        <v>45788.709062499998</v>
      </c>
      <c r="B2853" s="2" t="s">
        <v>33</v>
      </c>
      <c r="C2853" s="2" t="s">
        <v>11</v>
      </c>
      <c r="D2853" s="6" t="str">
        <f>CONCATENATE(YEAR(A2853),"/",IF(MONTH(A2853)&lt;10,CONCATENATE("0",MONTH(A2853)),MONTH(A2853)))</f>
        <v>2025/05</v>
      </c>
      <c r="E2853" s="8">
        <f>IF(IF(D2853&lt;&gt;D2852,1,IF(OR(B2853&lt;&gt;B2852,A2853-A2852&gt;$U$1),1,""))&lt;&gt;1,"",IF(C2853="B01",1965,IF(C2853="B02",1020,IF(C2853="B05",2400,IF(C2853="B03",4260,IF(C2853="B04",2880,IF(C2853="B20",1260,0)))))))</f>
        <v>2400</v>
      </c>
      <c r="F2853" s="8">
        <f>IF(IF(D2853&lt;&gt;D2852,1,IF(OR(B2853&lt;&gt;B2852,A2853-A2852&gt;$U$1),1,""))&lt;&gt;1,"",IF(C2853="B01",1,IF(C2853="B05",1,IF(C2853="B03",1,IF(C2853="B04",1,IF(C2853="B20",1,IF(C2853="B02",1,0)))))))</f>
        <v>1</v>
      </c>
      <c r="G2853"/>
      <c r="H2853" s="2"/>
      <c r="I2853" s="2"/>
      <c r="L2853"/>
      <c r="R2853"/>
    </row>
    <row r="2854" spans="1:18">
      <c r="A2854" s="3">
        <v>45788.709062499998</v>
      </c>
      <c r="B2854" s="2" t="s">
        <v>33</v>
      </c>
      <c r="C2854" s="2" t="s">
        <v>11</v>
      </c>
      <c r="D2854" s="6" t="str">
        <f>CONCATENATE(YEAR(A2854),"/",IF(MONTH(A2854)&lt;10,CONCATENATE("0",MONTH(A2854)),MONTH(A2854)))</f>
        <v>2025/05</v>
      </c>
      <c r="E2854" s="8" t="str">
        <f>IF(IF(D2854&lt;&gt;D2853,1,IF(OR(B2854&lt;&gt;B2853,A2854-A2853&gt;$U$1),1,""))&lt;&gt;1,"",IF(C2854="B01",1965,IF(C2854="B02",1020,IF(C2854="B05",2400,IF(C2854="B03",4260,IF(C2854="B04",2880,IF(C2854="B20",1260,0)))))))</f>
        <v/>
      </c>
      <c r="F2854" s="8" t="str">
        <f>IF(IF(D2854&lt;&gt;D2853,1,IF(OR(B2854&lt;&gt;B2853,A2854-A2853&gt;$U$1),1,""))&lt;&gt;1,"",IF(C2854="B01",1,IF(C2854="B05",1,IF(C2854="B03",1,IF(C2854="B04",1,IF(C2854="B20",1,IF(C2854="B02",1,0)))))))</f>
        <v/>
      </c>
      <c r="G2854"/>
      <c r="H2854" s="2"/>
      <c r="I2854" s="2"/>
      <c r="L2854"/>
      <c r="R2854"/>
    </row>
    <row r="2855" spans="1:18">
      <c r="A2855" s="3">
        <v>45788.709062499998</v>
      </c>
      <c r="B2855" s="2" t="s">
        <v>33</v>
      </c>
      <c r="C2855" s="2" t="s">
        <v>11</v>
      </c>
      <c r="D2855" s="6" t="str">
        <f>CONCATENATE(YEAR(A2855),"/",IF(MONTH(A2855)&lt;10,CONCATENATE("0",MONTH(A2855)),MONTH(A2855)))</f>
        <v>2025/05</v>
      </c>
      <c r="E2855" s="8" t="str">
        <f>IF(IF(D2855&lt;&gt;D2854,1,IF(OR(B2855&lt;&gt;B2854,A2855-A2854&gt;$U$1),1,""))&lt;&gt;1,"",IF(C2855="B01",1965,IF(C2855="B02",1020,IF(C2855="B05",2400,IF(C2855="B03",4260,IF(C2855="B04",2880,IF(C2855="B20",1260,0)))))))</f>
        <v/>
      </c>
      <c r="F2855" s="8" t="str">
        <f>IF(IF(D2855&lt;&gt;D2854,1,IF(OR(B2855&lt;&gt;B2854,A2855-A2854&gt;$U$1),1,""))&lt;&gt;1,"",IF(C2855="B01",1,IF(C2855="B05",1,IF(C2855="B03",1,IF(C2855="B04",1,IF(C2855="B20",1,IF(C2855="B02",1,0)))))))</f>
        <v/>
      </c>
      <c r="G2855"/>
      <c r="H2855" s="2"/>
      <c r="I2855" s="2"/>
      <c r="L2855"/>
      <c r="R2855"/>
    </row>
    <row r="2856" spans="1:18">
      <c r="A2856" s="3">
        <v>45788.834085648145</v>
      </c>
      <c r="B2856" s="2" t="s">
        <v>33</v>
      </c>
      <c r="C2856" s="2" t="s">
        <v>11</v>
      </c>
      <c r="D2856" s="6" t="str">
        <f>CONCATENATE(YEAR(A2856),"/",IF(MONTH(A2856)&lt;10,CONCATENATE("0",MONTH(A2856)),MONTH(A2856)))</f>
        <v>2025/05</v>
      </c>
      <c r="E2856" s="8">
        <f>IF(IF(D2856&lt;&gt;D2855,1,IF(OR(B2856&lt;&gt;B2855,A2856-A2855&gt;$U$1),1,""))&lt;&gt;1,"",IF(C2856="B01",1965,IF(C2856="B02",1020,IF(C2856="B05",2400,IF(C2856="B03",4260,IF(C2856="B04",2880,IF(C2856="B20",1260,0)))))))</f>
        <v>2400</v>
      </c>
      <c r="F2856" s="8">
        <f>IF(IF(D2856&lt;&gt;D2855,1,IF(OR(B2856&lt;&gt;B2855,A2856-A2855&gt;$U$1),1,""))&lt;&gt;1,"",IF(C2856="B01",1,IF(C2856="B05",1,IF(C2856="B03",1,IF(C2856="B04",1,IF(C2856="B20",1,IF(C2856="B02",1,0)))))))</f>
        <v>1</v>
      </c>
      <c r="G2856"/>
      <c r="H2856" s="2"/>
      <c r="I2856" s="2"/>
      <c r="L2856"/>
      <c r="R2856"/>
    </row>
    <row r="2857" spans="1:18">
      <c r="A2857" s="3">
        <v>45788.834085648145</v>
      </c>
      <c r="B2857" s="2" t="s">
        <v>33</v>
      </c>
      <c r="C2857" s="2" t="s">
        <v>11</v>
      </c>
      <c r="D2857" s="6" t="str">
        <f>CONCATENATE(YEAR(A2857),"/",IF(MONTH(A2857)&lt;10,CONCATENATE("0",MONTH(A2857)),MONTH(A2857)))</f>
        <v>2025/05</v>
      </c>
      <c r="E2857" s="8" t="str">
        <f>IF(IF(D2857&lt;&gt;D2856,1,IF(OR(B2857&lt;&gt;B2856,A2857-A2856&gt;$U$1),1,""))&lt;&gt;1,"",IF(C2857="B01",1965,IF(C2857="B02",1020,IF(C2857="B05",2400,IF(C2857="B03",4260,IF(C2857="B04",2880,IF(C2857="B20",1260,0)))))))</f>
        <v/>
      </c>
      <c r="F2857" s="8" t="str">
        <f>IF(IF(D2857&lt;&gt;D2856,1,IF(OR(B2857&lt;&gt;B2856,A2857-A2856&gt;$U$1),1,""))&lt;&gt;1,"",IF(C2857="B01",1,IF(C2857="B05",1,IF(C2857="B03",1,IF(C2857="B04",1,IF(C2857="B20",1,IF(C2857="B02",1,0)))))))</f>
        <v/>
      </c>
      <c r="G2857"/>
      <c r="H2857" s="2"/>
      <c r="I2857" s="2"/>
      <c r="L2857"/>
      <c r="R2857"/>
    </row>
    <row r="2858" spans="1:18">
      <c r="A2858" s="3">
        <v>45788.969131944446</v>
      </c>
      <c r="B2858" s="2" t="s">
        <v>33</v>
      </c>
      <c r="C2858" s="2" t="s">
        <v>11</v>
      </c>
      <c r="D2858" s="6" t="str">
        <f>CONCATENATE(YEAR(A2858),"/",IF(MONTH(A2858)&lt;10,CONCATENATE("0",MONTH(A2858)),MONTH(A2858)))</f>
        <v>2025/05</v>
      </c>
      <c r="E2858" s="8">
        <f>IF(IF(D2858&lt;&gt;D2857,1,IF(OR(B2858&lt;&gt;B2857,A2858-A2857&gt;$U$1),1,""))&lt;&gt;1,"",IF(C2858="B01",1965,IF(C2858="B02",1020,IF(C2858="B05",2400,IF(C2858="B03",4260,IF(C2858="B04",2880,IF(C2858="B20",1260,0)))))))</f>
        <v>2400</v>
      </c>
      <c r="F2858" s="8">
        <f>IF(IF(D2858&lt;&gt;D2857,1,IF(OR(B2858&lt;&gt;B2857,A2858-A2857&gt;$U$1),1,""))&lt;&gt;1,"",IF(C2858="B01",1,IF(C2858="B05",1,IF(C2858="B03",1,IF(C2858="B04",1,IF(C2858="B20",1,IF(C2858="B02",1,0)))))))</f>
        <v>1</v>
      </c>
      <c r="G2858"/>
      <c r="H2858" s="2"/>
      <c r="I2858" s="2"/>
      <c r="L2858"/>
      <c r="R2858"/>
    </row>
    <row r="2859" spans="1:18">
      <c r="A2859" s="3">
        <v>45788.969131944446</v>
      </c>
      <c r="B2859" s="2" t="s">
        <v>33</v>
      </c>
      <c r="C2859" s="2" t="s">
        <v>11</v>
      </c>
      <c r="D2859" s="6" t="str">
        <f>CONCATENATE(YEAR(A2859),"/",IF(MONTH(A2859)&lt;10,CONCATENATE("0",MONTH(A2859)),MONTH(A2859)))</f>
        <v>2025/05</v>
      </c>
      <c r="E2859" s="8" t="str">
        <f>IF(IF(D2859&lt;&gt;D2858,1,IF(OR(B2859&lt;&gt;B2858,A2859-A2858&gt;$U$1),1,""))&lt;&gt;1,"",IF(C2859="B01",1965,IF(C2859="B02",1020,IF(C2859="B05",2400,IF(C2859="B03",4260,IF(C2859="B04",2880,IF(C2859="B20",1260,0)))))))</f>
        <v/>
      </c>
      <c r="F2859" s="8" t="str">
        <f>IF(IF(D2859&lt;&gt;D2858,1,IF(OR(B2859&lt;&gt;B2858,A2859-A2858&gt;$U$1),1,""))&lt;&gt;1,"",IF(C2859="B01",1,IF(C2859="B05",1,IF(C2859="B03",1,IF(C2859="B04",1,IF(C2859="B20",1,IF(C2859="B02",1,0)))))))</f>
        <v/>
      </c>
      <c r="G2859"/>
      <c r="H2859" s="2"/>
      <c r="I2859" s="2"/>
      <c r="L2859"/>
      <c r="R2859"/>
    </row>
    <row r="2860" spans="1:18">
      <c r="A2860" s="3">
        <v>45789.165497685186</v>
      </c>
      <c r="B2860" s="2" t="s">
        <v>33</v>
      </c>
      <c r="C2860" s="2" t="s">
        <v>11</v>
      </c>
      <c r="D2860" s="6" t="str">
        <f>CONCATENATE(YEAR(A2860),"/",IF(MONTH(A2860)&lt;10,CONCATENATE("0",MONTH(A2860)),MONTH(A2860)))</f>
        <v>2025/05</v>
      </c>
      <c r="E2860" s="8">
        <f>IF(IF(D2860&lt;&gt;D2859,1,IF(OR(B2860&lt;&gt;B2859,A2860-A2859&gt;$U$1),1,""))&lt;&gt;1,"",IF(C2860="B01",1965,IF(C2860="B02",1020,IF(C2860="B05",2400,IF(C2860="B03",4260,IF(C2860="B04",2880,IF(C2860="B20",1260,0)))))))</f>
        <v>2400</v>
      </c>
      <c r="F2860" s="8">
        <f>IF(IF(D2860&lt;&gt;D2859,1,IF(OR(B2860&lt;&gt;B2859,A2860-A2859&gt;$U$1),1,""))&lt;&gt;1,"",IF(C2860="B01",1,IF(C2860="B05",1,IF(C2860="B03",1,IF(C2860="B04",1,IF(C2860="B20",1,IF(C2860="B02",1,0)))))))</f>
        <v>1</v>
      </c>
      <c r="G2860"/>
      <c r="H2860" s="2"/>
      <c r="I2860" s="2"/>
      <c r="L2860"/>
      <c r="R2860"/>
    </row>
    <row r="2861" spans="1:18">
      <c r="A2861" s="3">
        <v>45789.165497685186</v>
      </c>
      <c r="B2861" s="2" t="s">
        <v>33</v>
      </c>
      <c r="C2861" s="2" t="s">
        <v>11</v>
      </c>
      <c r="D2861" s="6" t="str">
        <f>CONCATENATE(YEAR(A2861),"/",IF(MONTH(A2861)&lt;10,CONCATENATE("0",MONTH(A2861)),MONTH(A2861)))</f>
        <v>2025/05</v>
      </c>
      <c r="E2861" s="8" t="str">
        <f>IF(IF(D2861&lt;&gt;D2860,1,IF(OR(B2861&lt;&gt;B2860,A2861-A2860&gt;$U$1),1,""))&lt;&gt;1,"",IF(C2861="B01",1965,IF(C2861="B02",1020,IF(C2861="B05",2400,IF(C2861="B03",4260,IF(C2861="B04",2880,IF(C2861="B20",1260,0)))))))</f>
        <v/>
      </c>
      <c r="F2861" s="8" t="str">
        <f>IF(IF(D2861&lt;&gt;D2860,1,IF(OR(B2861&lt;&gt;B2860,A2861-A2860&gt;$U$1),1,""))&lt;&gt;1,"",IF(C2861="B01",1,IF(C2861="B05",1,IF(C2861="B03",1,IF(C2861="B04",1,IF(C2861="B20",1,IF(C2861="B02",1,0)))))))</f>
        <v/>
      </c>
      <c r="G2861"/>
      <c r="H2861" s="2"/>
      <c r="I2861" s="2"/>
      <c r="L2861"/>
      <c r="R2861"/>
    </row>
    <row r="2862" spans="1:18">
      <c r="A2862" s="3">
        <v>45789.165497685186</v>
      </c>
      <c r="B2862" s="2" t="s">
        <v>33</v>
      </c>
      <c r="C2862" s="2" t="s">
        <v>11</v>
      </c>
      <c r="D2862" s="6" t="str">
        <f>CONCATENATE(YEAR(A2862),"/",IF(MONTH(A2862)&lt;10,CONCATENATE("0",MONTH(A2862)),MONTH(A2862)))</f>
        <v>2025/05</v>
      </c>
      <c r="E2862" s="8" t="str">
        <f>IF(IF(D2862&lt;&gt;D2861,1,IF(OR(B2862&lt;&gt;B2861,A2862-A2861&gt;$U$1),1,""))&lt;&gt;1,"",IF(C2862="B01",1965,IF(C2862="B02",1020,IF(C2862="B05",2400,IF(C2862="B03",4260,IF(C2862="B04",2880,IF(C2862="B20",1260,0)))))))</f>
        <v/>
      </c>
      <c r="F2862" s="8" t="str">
        <f>IF(IF(D2862&lt;&gt;D2861,1,IF(OR(B2862&lt;&gt;B2861,A2862-A2861&gt;$U$1),1,""))&lt;&gt;1,"",IF(C2862="B01",1,IF(C2862="B05",1,IF(C2862="B03",1,IF(C2862="B04",1,IF(C2862="B20",1,IF(C2862="B02",1,0)))))))</f>
        <v/>
      </c>
      <c r="G2862"/>
      <c r="H2862" s="2"/>
      <c r="I2862" s="2"/>
      <c r="L2862"/>
      <c r="R2862"/>
    </row>
    <row r="2863" spans="1:18">
      <c r="A2863" s="3">
        <v>45789.464942129627</v>
      </c>
      <c r="B2863" s="2" t="s">
        <v>33</v>
      </c>
      <c r="C2863" s="2" t="s">
        <v>11</v>
      </c>
      <c r="D2863" s="6" t="str">
        <f>CONCATENATE(YEAR(A2863),"/",IF(MONTH(A2863)&lt;10,CONCATENATE("0",MONTH(A2863)),MONTH(A2863)))</f>
        <v>2025/05</v>
      </c>
      <c r="E2863" s="8">
        <f>IF(IF(D2863&lt;&gt;D2862,1,IF(OR(B2863&lt;&gt;B2862,A2863-A2862&gt;$U$1),1,""))&lt;&gt;1,"",IF(C2863="B01",1965,IF(C2863="B02",1020,IF(C2863="B05",2400,IF(C2863="B03",4260,IF(C2863="B04",2880,IF(C2863="B20",1260,0)))))))</f>
        <v>2400</v>
      </c>
      <c r="F2863" s="8">
        <f>IF(IF(D2863&lt;&gt;D2862,1,IF(OR(B2863&lt;&gt;B2862,A2863-A2862&gt;$U$1),1,""))&lt;&gt;1,"",IF(C2863="B01",1,IF(C2863="B05",1,IF(C2863="B03",1,IF(C2863="B04",1,IF(C2863="B20",1,IF(C2863="B02",1,0)))))))</f>
        <v>1</v>
      </c>
      <c r="G2863"/>
      <c r="H2863" s="2"/>
      <c r="I2863" s="2"/>
      <c r="L2863"/>
      <c r="R2863"/>
    </row>
    <row r="2864" spans="1:18">
      <c r="A2864" s="3">
        <v>45789.464942129627</v>
      </c>
      <c r="B2864" s="2" t="s">
        <v>33</v>
      </c>
      <c r="C2864" s="2" t="s">
        <v>11</v>
      </c>
      <c r="D2864" s="6" t="str">
        <f>CONCATENATE(YEAR(A2864),"/",IF(MONTH(A2864)&lt;10,CONCATENATE("0",MONTH(A2864)),MONTH(A2864)))</f>
        <v>2025/05</v>
      </c>
      <c r="E2864" s="8" t="str">
        <f>IF(IF(D2864&lt;&gt;D2863,1,IF(OR(B2864&lt;&gt;B2863,A2864-A2863&gt;$U$1),1,""))&lt;&gt;1,"",IF(C2864="B01",1965,IF(C2864="B02",1020,IF(C2864="B05",2400,IF(C2864="B03",4260,IF(C2864="B04",2880,IF(C2864="B20",1260,0)))))))</f>
        <v/>
      </c>
      <c r="F2864" s="8" t="str">
        <f>IF(IF(D2864&lt;&gt;D2863,1,IF(OR(B2864&lt;&gt;B2863,A2864-A2863&gt;$U$1),1,""))&lt;&gt;1,"",IF(C2864="B01",1,IF(C2864="B05",1,IF(C2864="B03",1,IF(C2864="B04",1,IF(C2864="B20",1,IF(C2864="B02",1,0)))))))</f>
        <v/>
      </c>
      <c r="G2864"/>
      <c r="H2864" s="2"/>
      <c r="I2864" s="2"/>
      <c r="L2864"/>
      <c r="R2864"/>
    </row>
    <row r="2865" spans="1:18">
      <c r="A2865" s="3">
        <v>45789.464942129627</v>
      </c>
      <c r="B2865" s="2" t="s">
        <v>33</v>
      </c>
      <c r="C2865" s="2" t="s">
        <v>11</v>
      </c>
      <c r="D2865" s="6" t="str">
        <f>CONCATENATE(YEAR(A2865),"/",IF(MONTH(A2865)&lt;10,CONCATENATE("0",MONTH(A2865)),MONTH(A2865)))</f>
        <v>2025/05</v>
      </c>
      <c r="E2865" s="8" t="str">
        <f>IF(IF(D2865&lt;&gt;D2864,1,IF(OR(B2865&lt;&gt;B2864,A2865-A2864&gt;$U$1),1,""))&lt;&gt;1,"",IF(C2865="B01",1965,IF(C2865="B02",1020,IF(C2865="B05",2400,IF(C2865="B03",4260,IF(C2865="B04",2880,IF(C2865="B20",1260,0)))))))</f>
        <v/>
      </c>
      <c r="F2865" s="8" t="str">
        <f>IF(IF(D2865&lt;&gt;D2864,1,IF(OR(B2865&lt;&gt;B2864,A2865-A2864&gt;$U$1),1,""))&lt;&gt;1,"",IF(C2865="B01",1,IF(C2865="B05",1,IF(C2865="B03",1,IF(C2865="B04",1,IF(C2865="B20",1,IF(C2865="B02",1,0)))))))</f>
        <v/>
      </c>
      <c r="G2865"/>
      <c r="H2865" s="2"/>
      <c r="I2865" s="2"/>
      <c r="L2865"/>
      <c r="R2865"/>
    </row>
    <row r="2866" spans="1:18">
      <c r="A2866" s="3">
        <v>45789.634756944448</v>
      </c>
      <c r="B2866" s="2" t="s">
        <v>33</v>
      </c>
      <c r="C2866" s="2" t="s">
        <v>11</v>
      </c>
      <c r="D2866" s="6" t="str">
        <f>CONCATENATE(YEAR(A2866),"/",IF(MONTH(A2866)&lt;10,CONCATENATE("0",MONTH(A2866)),MONTH(A2866)))</f>
        <v>2025/05</v>
      </c>
      <c r="E2866" s="8">
        <f>IF(IF(D2866&lt;&gt;D2865,1,IF(OR(B2866&lt;&gt;B2865,A2866-A2865&gt;$U$1),1,""))&lt;&gt;1,"",IF(C2866="B01",1965,IF(C2866="B02",1020,IF(C2866="B05",2400,IF(C2866="B03",4260,IF(C2866="B04",2880,IF(C2866="B20",1260,0)))))))</f>
        <v>2400</v>
      </c>
      <c r="F2866" s="8">
        <f>IF(IF(D2866&lt;&gt;D2865,1,IF(OR(B2866&lt;&gt;B2865,A2866-A2865&gt;$U$1),1,""))&lt;&gt;1,"",IF(C2866="B01",1,IF(C2866="B05",1,IF(C2866="B03",1,IF(C2866="B04",1,IF(C2866="B20",1,IF(C2866="B02",1,0)))))))</f>
        <v>1</v>
      </c>
      <c r="G2866"/>
      <c r="H2866" s="2"/>
      <c r="I2866" s="2"/>
      <c r="L2866"/>
      <c r="R2866"/>
    </row>
    <row r="2867" spans="1:18">
      <c r="A2867" s="3">
        <v>45789.634756944448</v>
      </c>
      <c r="B2867" s="2" t="s">
        <v>33</v>
      </c>
      <c r="C2867" s="2" t="s">
        <v>11</v>
      </c>
      <c r="D2867" s="6" t="str">
        <f>CONCATENATE(YEAR(A2867),"/",IF(MONTH(A2867)&lt;10,CONCATENATE("0",MONTH(A2867)),MONTH(A2867)))</f>
        <v>2025/05</v>
      </c>
      <c r="E2867" s="8" t="str">
        <f>IF(IF(D2867&lt;&gt;D2866,1,IF(OR(B2867&lt;&gt;B2866,A2867-A2866&gt;$U$1),1,""))&lt;&gt;1,"",IF(C2867="B01",1965,IF(C2867="B02",1020,IF(C2867="B05",2400,IF(C2867="B03",4260,IF(C2867="B04",2880,IF(C2867="B20",1260,0)))))))</f>
        <v/>
      </c>
      <c r="F2867" s="8" t="str">
        <f>IF(IF(D2867&lt;&gt;D2866,1,IF(OR(B2867&lt;&gt;B2866,A2867-A2866&gt;$U$1),1,""))&lt;&gt;1,"",IF(C2867="B01",1,IF(C2867="B05",1,IF(C2867="B03",1,IF(C2867="B04",1,IF(C2867="B20",1,IF(C2867="B02",1,0)))))))</f>
        <v/>
      </c>
      <c r="G2867"/>
      <c r="H2867" s="2"/>
      <c r="I2867" s="2"/>
      <c r="L2867"/>
      <c r="R2867"/>
    </row>
    <row r="2868" spans="1:18">
      <c r="A2868" s="3">
        <v>45789.873784722222</v>
      </c>
      <c r="B2868" s="2" t="s">
        <v>33</v>
      </c>
      <c r="C2868" s="2" t="s">
        <v>11</v>
      </c>
      <c r="D2868" s="6" t="str">
        <f>CONCATENATE(YEAR(A2868),"/",IF(MONTH(A2868)&lt;10,CONCATENATE("0",MONTH(A2868)),MONTH(A2868)))</f>
        <v>2025/05</v>
      </c>
      <c r="E2868" s="8">
        <f>IF(IF(D2868&lt;&gt;D2867,1,IF(OR(B2868&lt;&gt;B2867,A2868-A2867&gt;$U$1),1,""))&lt;&gt;1,"",IF(C2868="B01",1965,IF(C2868="B02",1020,IF(C2868="B05",2400,IF(C2868="B03",4260,IF(C2868="B04",2880,IF(C2868="B20",1260,0)))))))</f>
        <v>2400</v>
      </c>
      <c r="F2868" s="8">
        <f>IF(IF(D2868&lt;&gt;D2867,1,IF(OR(B2868&lt;&gt;B2867,A2868-A2867&gt;$U$1),1,""))&lt;&gt;1,"",IF(C2868="B01",1,IF(C2868="B05",1,IF(C2868="B03",1,IF(C2868="B04",1,IF(C2868="B20",1,IF(C2868="B02",1,0)))))))</f>
        <v>1</v>
      </c>
      <c r="G2868"/>
      <c r="H2868" s="2"/>
      <c r="I2868" s="2"/>
      <c r="L2868"/>
      <c r="R2868"/>
    </row>
    <row r="2869" spans="1:18">
      <c r="A2869" s="3">
        <v>45789.873784722222</v>
      </c>
      <c r="B2869" s="2" t="s">
        <v>33</v>
      </c>
      <c r="C2869" s="2" t="s">
        <v>11</v>
      </c>
      <c r="D2869" s="6" t="str">
        <f>CONCATENATE(YEAR(A2869),"/",IF(MONTH(A2869)&lt;10,CONCATENATE("0",MONTH(A2869)),MONTH(A2869)))</f>
        <v>2025/05</v>
      </c>
      <c r="E2869" s="8" t="str">
        <f>IF(IF(D2869&lt;&gt;D2868,1,IF(OR(B2869&lt;&gt;B2868,A2869-A2868&gt;$U$1),1,""))&lt;&gt;1,"",IF(C2869="B01",1965,IF(C2869="B02",1020,IF(C2869="B05",2400,IF(C2869="B03",4260,IF(C2869="B04",2880,IF(C2869="B20",1260,0)))))))</f>
        <v/>
      </c>
      <c r="F2869" s="8" t="str">
        <f>IF(IF(D2869&lt;&gt;D2868,1,IF(OR(B2869&lt;&gt;B2868,A2869-A2868&gt;$U$1),1,""))&lt;&gt;1,"",IF(C2869="B01",1,IF(C2869="B05",1,IF(C2869="B03",1,IF(C2869="B04",1,IF(C2869="B20",1,IF(C2869="B02",1,0)))))))</f>
        <v/>
      </c>
      <c r="G2869"/>
      <c r="H2869" s="2"/>
      <c r="I2869" s="2"/>
      <c r="L2869"/>
      <c r="R2869"/>
    </row>
    <row r="2870" spans="1:18">
      <c r="A2870" s="3">
        <v>45789.873784722222</v>
      </c>
      <c r="B2870" s="2" t="s">
        <v>33</v>
      </c>
      <c r="C2870" s="2" t="s">
        <v>11</v>
      </c>
      <c r="D2870" s="6" t="str">
        <f>CONCATENATE(YEAR(A2870),"/",IF(MONTH(A2870)&lt;10,CONCATENATE("0",MONTH(A2870)),MONTH(A2870)))</f>
        <v>2025/05</v>
      </c>
      <c r="E2870" s="8" t="str">
        <f>IF(IF(D2870&lt;&gt;D2869,1,IF(OR(B2870&lt;&gt;B2869,A2870-A2869&gt;$U$1),1,""))&lt;&gt;1,"",IF(C2870="B01",1965,IF(C2870="B02",1020,IF(C2870="B05",2400,IF(C2870="B03",4260,IF(C2870="B04",2880,IF(C2870="B20",1260,0)))))))</f>
        <v/>
      </c>
      <c r="F2870" s="8" t="str">
        <f>IF(IF(D2870&lt;&gt;D2869,1,IF(OR(B2870&lt;&gt;B2869,A2870-A2869&gt;$U$1),1,""))&lt;&gt;1,"",IF(C2870="B01",1,IF(C2870="B05",1,IF(C2870="B03",1,IF(C2870="B04",1,IF(C2870="B20",1,IF(C2870="B02",1,0)))))))</f>
        <v/>
      </c>
      <c r="G2870"/>
      <c r="H2870" s="2"/>
      <c r="I2870" s="2"/>
      <c r="L2870"/>
      <c r="R2870"/>
    </row>
    <row r="2871" spans="1:18">
      <c r="A2871" s="3">
        <v>45790.262361111112</v>
      </c>
      <c r="B2871" s="2" t="s">
        <v>33</v>
      </c>
      <c r="C2871" s="2" t="s">
        <v>11</v>
      </c>
      <c r="D2871" s="6" t="str">
        <f>CONCATENATE(YEAR(A2871),"/",IF(MONTH(A2871)&lt;10,CONCATENATE("0",MONTH(A2871)),MONTH(A2871)))</f>
        <v>2025/05</v>
      </c>
      <c r="E2871" s="8">
        <f>IF(IF(D2871&lt;&gt;D2870,1,IF(OR(B2871&lt;&gt;B2870,A2871-A2870&gt;$U$1),1,""))&lt;&gt;1,"",IF(C2871="B01",1965,IF(C2871="B02",1020,IF(C2871="B05",2400,IF(C2871="B03",4260,IF(C2871="B04",2880,IF(C2871="B20",1260,0)))))))</f>
        <v>2400</v>
      </c>
      <c r="F2871" s="8">
        <f>IF(IF(D2871&lt;&gt;D2870,1,IF(OR(B2871&lt;&gt;B2870,A2871-A2870&gt;$U$1),1,""))&lt;&gt;1,"",IF(C2871="B01",1,IF(C2871="B05",1,IF(C2871="B03",1,IF(C2871="B04",1,IF(C2871="B20",1,IF(C2871="B02",1,0)))))))</f>
        <v>1</v>
      </c>
      <c r="G2871"/>
      <c r="H2871" s="2"/>
      <c r="I2871" s="2"/>
      <c r="L2871"/>
      <c r="R2871"/>
    </row>
    <row r="2872" spans="1:18">
      <c r="A2872" s="3">
        <v>45790.262361111112</v>
      </c>
      <c r="B2872" s="2" t="s">
        <v>33</v>
      </c>
      <c r="C2872" s="2" t="s">
        <v>11</v>
      </c>
      <c r="D2872" s="6" t="str">
        <f>CONCATENATE(YEAR(A2872),"/",IF(MONTH(A2872)&lt;10,CONCATENATE("0",MONTH(A2872)),MONTH(A2872)))</f>
        <v>2025/05</v>
      </c>
      <c r="E2872" s="8" t="str">
        <f>IF(IF(D2872&lt;&gt;D2871,1,IF(OR(B2872&lt;&gt;B2871,A2872-A2871&gt;$U$1),1,""))&lt;&gt;1,"",IF(C2872="B01",1965,IF(C2872="B02",1020,IF(C2872="B05",2400,IF(C2872="B03",4260,IF(C2872="B04",2880,IF(C2872="B20",1260,0)))))))</f>
        <v/>
      </c>
      <c r="F2872" s="8" t="str">
        <f>IF(IF(D2872&lt;&gt;D2871,1,IF(OR(B2872&lt;&gt;B2871,A2872-A2871&gt;$U$1),1,""))&lt;&gt;1,"",IF(C2872="B01",1,IF(C2872="B05",1,IF(C2872="B03",1,IF(C2872="B04",1,IF(C2872="B20",1,IF(C2872="B02",1,0)))))))</f>
        <v/>
      </c>
      <c r="G2872"/>
      <c r="H2872" s="2"/>
      <c r="I2872" s="2"/>
      <c r="L2872"/>
      <c r="R2872"/>
    </row>
    <row r="2873" spans="1:18">
      <c r="A2873" s="3">
        <v>45790.262361111112</v>
      </c>
      <c r="B2873" s="2" t="s">
        <v>33</v>
      </c>
      <c r="C2873" s="2" t="s">
        <v>11</v>
      </c>
      <c r="D2873" s="6" t="str">
        <f>CONCATENATE(YEAR(A2873),"/",IF(MONTH(A2873)&lt;10,CONCATENATE("0",MONTH(A2873)),MONTH(A2873)))</f>
        <v>2025/05</v>
      </c>
      <c r="E2873" s="8" t="str">
        <f>IF(IF(D2873&lt;&gt;D2872,1,IF(OR(B2873&lt;&gt;B2872,A2873-A2872&gt;$U$1),1,""))&lt;&gt;1,"",IF(C2873="B01",1965,IF(C2873="B02",1020,IF(C2873="B05",2400,IF(C2873="B03",4260,IF(C2873="B04",2880,IF(C2873="B20",1260,0)))))))</f>
        <v/>
      </c>
      <c r="F2873" s="8" t="str">
        <f>IF(IF(D2873&lt;&gt;D2872,1,IF(OR(B2873&lt;&gt;B2872,A2873-A2872&gt;$U$1),1,""))&lt;&gt;1,"",IF(C2873="B01",1,IF(C2873="B05",1,IF(C2873="B03",1,IF(C2873="B04",1,IF(C2873="B20",1,IF(C2873="B02",1,0)))))))</f>
        <v/>
      </c>
      <c r="G2873"/>
      <c r="H2873" s="2"/>
      <c r="I2873" s="2"/>
      <c r="L2873"/>
      <c r="R2873"/>
    </row>
    <row r="2874" spans="1:18">
      <c r="A2874" s="3">
        <v>45790.449664351851</v>
      </c>
      <c r="B2874" s="2" t="s">
        <v>33</v>
      </c>
      <c r="C2874" s="2" t="s">
        <v>11</v>
      </c>
      <c r="D2874" s="6" t="str">
        <f>CONCATENATE(YEAR(A2874),"/",IF(MONTH(A2874)&lt;10,CONCATENATE("0",MONTH(A2874)),MONTH(A2874)))</f>
        <v>2025/05</v>
      </c>
      <c r="E2874" s="8">
        <f>IF(IF(D2874&lt;&gt;D2873,1,IF(OR(B2874&lt;&gt;B2873,A2874-A2873&gt;$U$1),1,""))&lt;&gt;1,"",IF(C2874="B01",1965,IF(C2874="B02",1020,IF(C2874="B05",2400,IF(C2874="B03",4260,IF(C2874="B04",2880,IF(C2874="B20",1260,0)))))))</f>
        <v>2400</v>
      </c>
      <c r="F2874" s="8">
        <f>IF(IF(D2874&lt;&gt;D2873,1,IF(OR(B2874&lt;&gt;B2873,A2874-A2873&gt;$U$1),1,""))&lt;&gt;1,"",IF(C2874="B01",1,IF(C2874="B05",1,IF(C2874="B03",1,IF(C2874="B04",1,IF(C2874="B20",1,IF(C2874="B02",1,0)))))))</f>
        <v>1</v>
      </c>
      <c r="G2874"/>
      <c r="H2874" s="2"/>
      <c r="I2874" s="2"/>
      <c r="L2874"/>
      <c r="R2874"/>
    </row>
    <row r="2875" spans="1:18">
      <c r="A2875" s="3">
        <v>45790.449664351851</v>
      </c>
      <c r="B2875" s="2" t="s">
        <v>33</v>
      </c>
      <c r="C2875" s="2" t="s">
        <v>11</v>
      </c>
      <c r="D2875" s="6" t="str">
        <f>CONCATENATE(YEAR(A2875),"/",IF(MONTH(A2875)&lt;10,CONCATENATE("0",MONTH(A2875)),MONTH(A2875)))</f>
        <v>2025/05</v>
      </c>
      <c r="E2875" s="8" t="str">
        <f>IF(IF(D2875&lt;&gt;D2874,1,IF(OR(B2875&lt;&gt;B2874,A2875-A2874&gt;$U$1),1,""))&lt;&gt;1,"",IF(C2875="B01",1965,IF(C2875="B02",1020,IF(C2875="B05",2400,IF(C2875="B03",4260,IF(C2875="B04",2880,IF(C2875="B20",1260,0)))))))</f>
        <v/>
      </c>
      <c r="F2875" s="8" t="str">
        <f>IF(IF(D2875&lt;&gt;D2874,1,IF(OR(B2875&lt;&gt;B2874,A2875-A2874&gt;$U$1),1,""))&lt;&gt;1,"",IF(C2875="B01",1,IF(C2875="B05",1,IF(C2875="B03",1,IF(C2875="B04",1,IF(C2875="B20",1,IF(C2875="B02",1,0)))))))</f>
        <v/>
      </c>
      <c r="G2875"/>
      <c r="H2875" s="2"/>
      <c r="I2875" s="2"/>
      <c r="L2875"/>
      <c r="R2875"/>
    </row>
    <row r="2876" spans="1:18">
      <c r="A2876" s="3">
        <v>45790.449664351851</v>
      </c>
      <c r="B2876" s="2" t="s">
        <v>33</v>
      </c>
      <c r="C2876" s="2" t="s">
        <v>11</v>
      </c>
      <c r="D2876" s="6" t="str">
        <f>CONCATENATE(YEAR(A2876),"/",IF(MONTH(A2876)&lt;10,CONCATENATE("0",MONTH(A2876)),MONTH(A2876)))</f>
        <v>2025/05</v>
      </c>
      <c r="E2876" s="8" t="str">
        <f>IF(IF(D2876&lt;&gt;D2875,1,IF(OR(B2876&lt;&gt;B2875,A2876-A2875&gt;$U$1),1,""))&lt;&gt;1,"",IF(C2876="B01",1965,IF(C2876="B02",1020,IF(C2876="B05",2400,IF(C2876="B03",4260,IF(C2876="B04",2880,IF(C2876="B20",1260,0)))))))</f>
        <v/>
      </c>
      <c r="F2876" s="8" t="str">
        <f>IF(IF(D2876&lt;&gt;D2875,1,IF(OR(B2876&lt;&gt;B2875,A2876-A2875&gt;$U$1),1,""))&lt;&gt;1,"",IF(C2876="B01",1,IF(C2876="B05",1,IF(C2876="B03",1,IF(C2876="B04",1,IF(C2876="B20",1,IF(C2876="B02",1,0)))))))</f>
        <v/>
      </c>
      <c r="G2876"/>
      <c r="H2876" s="2"/>
      <c r="I2876" s="2"/>
      <c r="L2876"/>
      <c r="R2876"/>
    </row>
    <row r="2877" spans="1:18">
      <c r="A2877" s="3">
        <v>45790.731006944443</v>
      </c>
      <c r="B2877" s="2" t="s">
        <v>33</v>
      </c>
      <c r="C2877" s="2" t="s">
        <v>11</v>
      </c>
      <c r="D2877" s="6" t="str">
        <f>CONCATENATE(YEAR(A2877),"/",IF(MONTH(A2877)&lt;10,CONCATENATE("0",MONTH(A2877)),MONTH(A2877)))</f>
        <v>2025/05</v>
      </c>
      <c r="E2877" s="8">
        <f>IF(IF(D2877&lt;&gt;D2876,1,IF(OR(B2877&lt;&gt;B2876,A2877-A2876&gt;$U$1),1,""))&lt;&gt;1,"",IF(C2877="B01",1965,IF(C2877="B02",1020,IF(C2877="B05",2400,IF(C2877="B03",4260,IF(C2877="B04",2880,IF(C2877="B20",1260,0)))))))</f>
        <v>2400</v>
      </c>
      <c r="F2877" s="8">
        <f>IF(IF(D2877&lt;&gt;D2876,1,IF(OR(B2877&lt;&gt;B2876,A2877-A2876&gt;$U$1),1,""))&lt;&gt;1,"",IF(C2877="B01",1,IF(C2877="B05",1,IF(C2877="B03",1,IF(C2877="B04",1,IF(C2877="B20",1,IF(C2877="B02",1,0)))))))</f>
        <v>1</v>
      </c>
      <c r="G2877"/>
      <c r="H2877" s="2"/>
      <c r="I2877" s="2"/>
      <c r="L2877"/>
      <c r="R2877"/>
    </row>
    <row r="2878" spans="1:18">
      <c r="A2878" s="3">
        <v>45790.731006944443</v>
      </c>
      <c r="B2878" s="2" t="s">
        <v>33</v>
      </c>
      <c r="C2878" s="2" t="s">
        <v>11</v>
      </c>
      <c r="D2878" s="6" t="str">
        <f>CONCATENATE(YEAR(A2878),"/",IF(MONTH(A2878)&lt;10,CONCATENATE("0",MONTH(A2878)),MONTH(A2878)))</f>
        <v>2025/05</v>
      </c>
      <c r="E2878" s="8" t="str">
        <f>IF(IF(D2878&lt;&gt;D2877,1,IF(OR(B2878&lt;&gt;B2877,A2878-A2877&gt;$U$1),1,""))&lt;&gt;1,"",IF(C2878="B01",1965,IF(C2878="B02",1020,IF(C2878="B05",2400,IF(C2878="B03",4260,IF(C2878="B04",2880,IF(C2878="B20",1260,0)))))))</f>
        <v/>
      </c>
      <c r="F2878" s="8" t="str">
        <f>IF(IF(D2878&lt;&gt;D2877,1,IF(OR(B2878&lt;&gt;B2877,A2878-A2877&gt;$U$1),1,""))&lt;&gt;1,"",IF(C2878="B01",1,IF(C2878="B05",1,IF(C2878="B03",1,IF(C2878="B04",1,IF(C2878="B20",1,IF(C2878="B02",1,0)))))))</f>
        <v/>
      </c>
      <c r="G2878"/>
      <c r="H2878" s="2"/>
      <c r="I2878" s="2"/>
      <c r="L2878"/>
      <c r="R2878"/>
    </row>
    <row r="2879" spans="1:18">
      <c r="A2879" s="3">
        <v>45790.731006944443</v>
      </c>
      <c r="B2879" s="2" t="s">
        <v>33</v>
      </c>
      <c r="C2879" s="2" t="s">
        <v>11</v>
      </c>
      <c r="D2879" s="6" t="str">
        <f>CONCATENATE(YEAR(A2879),"/",IF(MONTH(A2879)&lt;10,CONCATENATE("0",MONTH(A2879)),MONTH(A2879)))</f>
        <v>2025/05</v>
      </c>
      <c r="E2879" s="8" t="str">
        <f>IF(IF(D2879&lt;&gt;D2878,1,IF(OR(B2879&lt;&gt;B2878,A2879-A2878&gt;$U$1),1,""))&lt;&gt;1,"",IF(C2879="B01",1965,IF(C2879="B02",1020,IF(C2879="B05",2400,IF(C2879="B03",4260,IF(C2879="B04",2880,IF(C2879="B20",1260,0)))))))</f>
        <v/>
      </c>
      <c r="F2879" s="8" t="str">
        <f>IF(IF(D2879&lt;&gt;D2878,1,IF(OR(B2879&lt;&gt;B2878,A2879-A2878&gt;$U$1),1,""))&lt;&gt;1,"",IF(C2879="B01",1,IF(C2879="B05",1,IF(C2879="B03",1,IF(C2879="B04",1,IF(C2879="B20",1,IF(C2879="B02",1,0)))))))</f>
        <v/>
      </c>
      <c r="G2879"/>
      <c r="H2879" s="2"/>
      <c r="I2879" s="2"/>
      <c r="L2879"/>
      <c r="R2879"/>
    </row>
    <row r="2880" spans="1:18">
      <c r="A2880" s="3">
        <v>45790.734236111108</v>
      </c>
      <c r="B2880" s="2" t="s">
        <v>33</v>
      </c>
      <c r="C2880" s="2" t="s">
        <v>11</v>
      </c>
      <c r="D2880" s="6" t="str">
        <f>CONCATENATE(YEAR(A2880),"/",IF(MONTH(A2880)&lt;10,CONCATENATE("0",MONTH(A2880)),MONTH(A2880)))</f>
        <v>2025/05</v>
      </c>
      <c r="E2880" s="8" t="str">
        <f>IF(IF(D2880&lt;&gt;D2879,1,IF(OR(B2880&lt;&gt;B2879,A2880-A2879&gt;$U$1),1,""))&lt;&gt;1,"",IF(C2880="B01",1965,IF(C2880="B02",1020,IF(C2880="B05",2400,IF(C2880="B03",4260,IF(C2880="B04",2880,IF(C2880="B20",1260,0)))))))</f>
        <v/>
      </c>
      <c r="F2880" s="8" t="str">
        <f>IF(IF(D2880&lt;&gt;D2879,1,IF(OR(B2880&lt;&gt;B2879,A2880-A2879&gt;$U$1),1,""))&lt;&gt;1,"",IF(C2880="B01",1,IF(C2880="B05",1,IF(C2880="B03",1,IF(C2880="B04",1,IF(C2880="B20",1,IF(C2880="B02",1,0)))))))</f>
        <v/>
      </c>
      <c r="G2880"/>
      <c r="H2880" s="2"/>
      <c r="I2880" s="2"/>
      <c r="L2880"/>
      <c r="R2880"/>
    </row>
    <row r="2881" spans="1:18">
      <c r="A2881" s="3">
        <v>45790.921655092592</v>
      </c>
      <c r="B2881" s="2" t="s">
        <v>33</v>
      </c>
      <c r="C2881" s="2" t="s">
        <v>11</v>
      </c>
      <c r="D2881" s="6" t="str">
        <f>CONCATENATE(YEAR(A2881),"/",IF(MONTH(A2881)&lt;10,CONCATENATE("0",MONTH(A2881)),MONTH(A2881)))</f>
        <v>2025/05</v>
      </c>
      <c r="E2881" s="8">
        <f>IF(IF(D2881&lt;&gt;D2880,1,IF(OR(B2881&lt;&gt;B2880,A2881-A2880&gt;$U$1),1,""))&lt;&gt;1,"",IF(C2881="B01",1965,IF(C2881="B02",1020,IF(C2881="B05",2400,IF(C2881="B03",4260,IF(C2881="B04",2880,IF(C2881="B20",1260,0)))))))</f>
        <v>2400</v>
      </c>
      <c r="F2881" s="8">
        <f>IF(IF(D2881&lt;&gt;D2880,1,IF(OR(B2881&lt;&gt;B2880,A2881-A2880&gt;$U$1),1,""))&lt;&gt;1,"",IF(C2881="B01",1,IF(C2881="B05",1,IF(C2881="B03",1,IF(C2881="B04",1,IF(C2881="B20",1,IF(C2881="B02",1,0)))))))</f>
        <v>1</v>
      </c>
      <c r="G2881"/>
      <c r="H2881" s="2"/>
      <c r="I2881" s="2"/>
      <c r="L2881"/>
      <c r="R2881"/>
    </row>
    <row r="2882" spans="1:18">
      <c r="A2882" s="3">
        <v>45790.921655092592</v>
      </c>
      <c r="B2882" s="2" t="s">
        <v>33</v>
      </c>
      <c r="C2882" s="2" t="s">
        <v>11</v>
      </c>
      <c r="D2882" s="6" t="str">
        <f>CONCATENATE(YEAR(A2882),"/",IF(MONTH(A2882)&lt;10,CONCATENATE("0",MONTH(A2882)),MONTH(A2882)))</f>
        <v>2025/05</v>
      </c>
      <c r="E2882" s="8" t="str">
        <f>IF(IF(D2882&lt;&gt;D2881,1,IF(OR(B2882&lt;&gt;B2881,A2882-A2881&gt;$U$1),1,""))&lt;&gt;1,"",IF(C2882="B01",1965,IF(C2882="B02",1020,IF(C2882="B05",2400,IF(C2882="B03",4260,IF(C2882="B04",2880,IF(C2882="B20",1260,0)))))))</f>
        <v/>
      </c>
      <c r="F2882" s="8" t="str">
        <f>IF(IF(D2882&lt;&gt;D2881,1,IF(OR(B2882&lt;&gt;B2881,A2882-A2881&gt;$U$1),1,""))&lt;&gt;1,"",IF(C2882="B01",1,IF(C2882="B05",1,IF(C2882="B03",1,IF(C2882="B04",1,IF(C2882="B20",1,IF(C2882="B02",1,0)))))))</f>
        <v/>
      </c>
      <c r="G2882"/>
      <c r="H2882" s="2"/>
      <c r="I2882" s="2"/>
      <c r="L2882"/>
      <c r="R2882"/>
    </row>
    <row r="2883" spans="1:18">
      <c r="A2883" s="3">
        <v>45790.921655092592</v>
      </c>
      <c r="B2883" s="2" t="s">
        <v>33</v>
      </c>
      <c r="C2883" s="2" t="s">
        <v>11</v>
      </c>
      <c r="D2883" s="6" t="str">
        <f>CONCATENATE(YEAR(A2883),"/",IF(MONTH(A2883)&lt;10,CONCATENATE("0",MONTH(A2883)),MONTH(A2883)))</f>
        <v>2025/05</v>
      </c>
      <c r="E2883" s="8" t="str">
        <f>IF(IF(D2883&lt;&gt;D2882,1,IF(OR(B2883&lt;&gt;B2882,A2883-A2882&gt;$U$1),1,""))&lt;&gt;1,"",IF(C2883="B01",1965,IF(C2883="B02",1020,IF(C2883="B05",2400,IF(C2883="B03",4260,IF(C2883="B04",2880,IF(C2883="B20",1260,0)))))))</f>
        <v/>
      </c>
      <c r="F2883" s="8" t="str">
        <f>IF(IF(D2883&lt;&gt;D2882,1,IF(OR(B2883&lt;&gt;B2882,A2883-A2882&gt;$U$1),1,""))&lt;&gt;1,"",IF(C2883="B01",1,IF(C2883="B05",1,IF(C2883="B03",1,IF(C2883="B04",1,IF(C2883="B20",1,IF(C2883="B02",1,0)))))))</f>
        <v/>
      </c>
      <c r="G2883"/>
      <c r="H2883" s="2"/>
      <c r="I2883" s="2"/>
      <c r="L2883"/>
      <c r="R2883"/>
    </row>
    <row r="2884" spans="1:18">
      <c r="A2884" s="3">
        <v>45791.926944444444</v>
      </c>
      <c r="B2884" s="2" t="s">
        <v>33</v>
      </c>
      <c r="C2884" s="2" t="s">
        <v>11</v>
      </c>
      <c r="D2884" s="6" t="str">
        <f>CONCATENATE(YEAR(A2884),"/",IF(MONTH(A2884)&lt;10,CONCATENATE("0",MONTH(A2884)),MONTH(A2884)))</f>
        <v>2025/05</v>
      </c>
      <c r="E2884" s="8">
        <f>IF(IF(D2884&lt;&gt;D2883,1,IF(OR(B2884&lt;&gt;B2883,A2884-A2883&gt;$U$1),1,""))&lt;&gt;1,"",IF(C2884="B01",1965,IF(C2884="B02",1020,IF(C2884="B05",2400,IF(C2884="B03",4260,IF(C2884="B04",2880,IF(C2884="B20",1260,0)))))))</f>
        <v>2400</v>
      </c>
      <c r="F2884" s="8">
        <f>IF(IF(D2884&lt;&gt;D2883,1,IF(OR(B2884&lt;&gt;B2883,A2884-A2883&gt;$U$1),1,""))&lt;&gt;1,"",IF(C2884="B01",1,IF(C2884="B05",1,IF(C2884="B03",1,IF(C2884="B04",1,IF(C2884="B20",1,IF(C2884="B02",1,0)))))))</f>
        <v>1</v>
      </c>
      <c r="G2884"/>
      <c r="H2884" s="2"/>
      <c r="I2884" s="2"/>
      <c r="L2884"/>
      <c r="R2884"/>
    </row>
    <row r="2885" spans="1:18">
      <c r="A2885" s="3">
        <v>45791.926944444444</v>
      </c>
      <c r="B2885" s="2" t="s">
        <v>33</v>
      </c>
      <c r="C2885" s="2" t="s">
        <v>11</v>
      </c>
      <c r="D2885" s="6" t="str">
        <f>CONCATENATE(YEAR(A2885),"/",IF(MONTH(A2885)&lt;10,CONCATENATE("0",MONTH(A2885)),MONTH(A2885)))</f>
        <v>2025/05</v>
      </c>
      <c r="E2885" s="8" t="str">
        <f>IF(IF(D2885&lt;&gt;D2884,1,IF(OR(B2885&lt;&gt;B2884,A2885-A2884&gt;$U$1),1,""))&lt;&gt;1,"",IF(C2885="B01",1965,IF(C2885="B02",1020,IF(C2885="B05",2400,IF(C2885="B03",4260,IF(C2885="B04",2880,IF(C2885="B20",1260,0)))))))</f>
        <v/>
      </c>
      <c r="F2885" s="8" t="str">
        <f>IF(IF(D2885&lt;&gt;D2884,1,IF(OR(B2885&lt;&gt;B2884,A2885-A2884&gt;$U$1),1,""))&lt;&gt;1,"",IF(C2885="B01",1,IF(C2885="B05",1,IF(C2885="B03",1,IF(C2885="B04",1,IF(C2885="B20",1,IF(C2885="B02",1,0)))))))</f>
        <v/>
      </c>
      <c r="G2885"/>
      <c r="H2885" s="2"/>
      <c r="I2885" s="2"/>
      <c r="L2885"/>
      <c r="R2885"/>
    </row>
    <row r="2886" spans="1:18">
      <c r="A2886" s="3">
        <v>45791.926944444444</v>
      </c>
      <c r="B2886" s="2" t="s">
        <v>33</v>
      </c>
      <c r="C2886" s="2" t="s">
        <v>11</v>
      </c>
      <c r="D2886" s="6" t="str">
        <f>CONCATENATE(YEAR(A2886),"/",IF(MONTH(A2886)&lt;10,CONCATENATE("0",MONTH(A2886)),MONTH(A2886)))</f>
        <v>2025/05</v>
      </c>
      <c r="E2886" s="8" t="str">
        <f>IF(IF(D2886&lt;&gt;D2885,1,IF(OR(B2886&lt;&gt;B2885,A2886-A2885&gt;$U$1),1,""))&lt;&gt;1,"",IF(C2886="B01",1965,IF(C2886="B02",1020,IF(C2886="B05",2400,IF(C2886="B03",4260,IF(C2886="B04",2880,IF(C2886="B20",1260,0)))))))</f>
        <v/>
      </c>
      <c r="F2886" s="8" t="str">
        <f>IF(IF(D2886&lt;&gt;D2885,1,IF(OR(B2886&lt;&gt;B2885,A2886-A2885&gt;$U$1),1,""))&lt;&gt;1,"",IF(C2886="B01",1,IF(C2886="B05",1,IF(C2886="B03",1,IF(C2886="B04",1,IF(C2886="B20",1,IF(C2886="B02",1,0)))))))</f>
        <v/>
      </c>
      <c r="G2886"/>
      <c r="H2886" s="2"/>
      <c r="I2886" s="2"/>
      <c r="L2886"/>
      <c r="R2886"/>
    </row>
    <row r="2887" spans="1:18">
      <c r="A2887" s="3">
        <v>45792.278819444444</v>
      </c>
      <c r="B2887" s="2" t="s">
        <v>33</v>
      </c>
      <c r="C2887" s="2" t="s">
        <v>11</v>
      </c>
      <c r="D2887" s="6" t="str">
        <f>CONCATENATE(YEAR(A2887),"/",IF(MONTH(A2887)&lt;10,CONCATENATE("0",MONTH(A2887)),MONTH(A2887)))</f>
        <v>2025/05</v>
      </c>
      <c r="E2887" s="8">
        <f>IF(IF(D2887&lt;&gt;D2886,1,IF(OR(B2887&lt;&gt;B2886,A2887-A2886&gt;$U$1),1,""))&lt;&gt;1,"",IF(C2887="B01",1965,IF(C2887="B02",1020,IF(C2887="B05",2400,IF(C2887="B03",4260,IF(C2887="B04",2880,IF(C2887="B20",1260,0)))))))</f>
        <v>2400</v>
      </c>
      <c r="F2887" s="8">
        <f>IF(IF(D2887&lt;&gt;D2886,1,IF(OR(B2887&lt;&gt;B2886,A2887-A2886&gt;$U$1),1,""))&lt;&gt;1,"",IF(C2887="B01",1,IF(C2887="B05",1,IF(C2887="B03",1,IF(C2887="B04",1,IF(C2887="B20",1,IF(C2887="B02",1,0)))))))</f>
        <v>1</v>
      </c>
      <c r="G2887"/>
      <c r="H2887" s="2"/>
      <c r="I2887" s="2"/>
      <c r="L2887"/>
      <c r="R2887"/>
    </row>
    <row r="2888" spans="1:18">
      <c r="A2888" s="3">
        <v>45792.278819444444</v>
      </c>
      <c r="B2888" s="2" t="s">
        <v>33</v>
      </c>
      <c r="C2888" s="2" t="s">
        <v>11</v>
      </c>
      <c r="D2888" s="6" t="str">
        <f>CONCATENATE(YEAR(A2888),"/",IF(MONTH(A2888)&lt;10,CONCATENATE("0",MONTH(A2888)),MONTH(A2888)))</f>
        <v>2025/05</v>
      </c>
      <c r="E2888" s="8" t="str">
        <f>IF(IF(D2888&lt;&gt;D2887,1,IF(OR(B2888&lt;&gt;B2887,A2888-A2887&gt;$U$1),1,""))&lt;&gt;1,"",IF(C2888="B01",1965,IF(C2888="B02",1020,IF(C2888="B05",2400,IF(C2888="B03",4260,IF(C2888="B04",2880,IF(C2888="B20",1260,0)))))))</f>
        <v/>
      </c>
      <c r="F2888" s="8" t="str">
        <f>IF(IF(D2888&lt;&gt;D2887,1,IF(OR(B2888&lt;&gt;B2887,A2888-A2887&gt;$U$1),1,""))&lt;&gt;1,"",IF(C2888="B01",1,IF(C2888="B05",1,IF(C2888="B03",1,IF(C2888="B04",1,IF(C2888="B20",1,IF(C2888="B02",1,0)))))))</f>
        <v/>
      </c>
      <c r="G2888"/>
      <c r="H2888" s="2"/>
      <c r="I2888" s="2"/>
      <c r="L2888"/>
      <c r="R2888"/>
    </row>
    <row r="2889" spans="1:18">
      <c r="A2889" s="3">
        <v>45792.278819444444</v>
      </c>
      <c r="B2889" s="2" t="s">
        <v>33</v>
      </c>
      <c r="C2889" s="2" t="s">
        <v>11</v>
      </c>
      <c r="D2889" s="6" t="str">
        <f>CONCATENATE(YEAR(A2889),"/",IF(MONTH(A2889)&lt;10,CONCATENATE("0",MONTH(A2889)),MONTH(A2889)))</f>
        <v>2025/05</v>
      </c>
      <c r="E2889" s="8" t="str">
        <f>IF(IF(D2889&lt;&gt;D2888,1,IF(OR(B2889&lt;&gt;B2888,A2889-A2888&gt;$U$1),1,""))&lt;&gt;1,"",IF(C2889="B01",1965,IF(C2889="B02",1020,IF(C2889="B05",2400,IF(C2889="B03",4260,IF(C2889="B04",2880,IF(C2889="B20",1260,0)))))))</f>
        <v/>
      </c>
      <c r="F2889" s="8" t="str">
        <f>IF(IF(D2889&lt;&gt;D2888,1,IF(OR(B2889&lt;&gt;B2888,A2889-A2888&gt;$U$1),1,""))&lt;&gt;1,"",IF(C2889="B01",1,IF(C2889="B05",1,IF(C2889="B03",1,IF(C2889="B04",1,IF(C2889="B20",1,IF(C2889="B02",1,0)))))))</f>
        <v/>
      </c>
      <c r="G2889"/>
      <c r="H2889" s="2"/>
      <c r="I2889" s="2"/>
      <c r="L2889"/>
      <c r="R2889"/>
    </row>
    <row r="2890" spans="1:18">
      <c r="A2890" s="3">
        <v>45792.278819444444</v>
      </c>
      <c r="B2890" s="2" t="s">
        <v>33</v>
      </c>
      <c r="C2890" s="2" t="s">
        <v>11</v>
      </c>
      <c r="D2890" s="6" t="str">
        <f>CONCATENATE(YEAR(A2890),"/",IF(MONTH(A2890)&lt;10,CONCATENATE("0",MONTH(A2890)),MONTH(A2890)))</f>
        <v>2025/05</v>
      </c>
      <c r="E2890" s="8" t="str">
        <f>IF(IF(D2890&lt;&gt;D2889,1,IF(OR(B2890&lt;&gt;B2889,A2890-A2889&gt;$U$1),1,""))&lt;&gt;1,"",IF(C2890="B01",1965,IF(C2890="B02",1020,IF(C2890="B05",2400,IF(C2890="B03",4260,IF(C2890="B04",2880,IF(C2890="B20",1260,0)))))))</f>
        <v/>
      </c>
      <c r="F2890" s="8" t="str">
        <f>IF(IF(D2890&lt;&gt;D2889,1,IF(OR(B2890&lt;&gt;B2889,A2890-A2889&gt;$U$1),1,""))&lt;&gt;1,"",IF(C2890="B01",1,IF(C2890="B05",1,IF(C2890="B03",1,IF(C2890="B04",1,IF(C2890="B20",1,IF(C2890="B02",1,0)))))))</f>
        <v/>
      </c>
      <c r="G2890"/>
      <c r="H2890" s="2"/>
      <c r="I2890" s="2"/>
      <c r="L2890"/>
      <c r="R2890"/>
    </row>
    <row r="2891" spans="1:18">
      <c r="A2891" s="3">
        <v>45792.531805555554</v>
      </c>
      <c r="B2891" s="2" t="s">
        <v>33</v>
      </c>
      <c r="C2891" s="2" t="s">
        <v>11</v>
      </c>
      <c r="D2891" s="6" t="str">
        <f>CONCATENATE(YEAR(A2891),"/",IF(MONTH(A2891)&lt;10,CONCATENATE("0",MONTH(A2891)),MONTH(A2891)))</f>
        <v>2025/05</v>
      </c>
      <c r="E2891" s="8">
        <f>IF(IF(D2891&lt;&gt;D2890,1,IF(OR(B2891&lt;&gt;B2890,A2891-A2890&gt;$U$1),1,""))&lt;&gt;1,"",IF(C2891="B01",1965,IF(C2891="B02",1020,IF(C2891="B05",2400,IF(C2891="B03",4260,IF(C2891="B04",2880,IF(C2891="B20",1260,0)))))))</f>
        <v>2400</v>
      </c>
      <c r="F2891" s="8">
        <f>IF(IF(D2891&lt;&gt;D2890,1,IF(OR(B2891&lt;&gt;B2890,A2891-A2890&gt;$U$1),1,""))&lt;&gt;1,"",IF(C2891="B01",1,IF(C2891="B05",1,IF(C2891="B03",1,IF(C2891="B04",1,IF(C2891="B20",1,IF(C2891="B02",1,0)))))))</f>
        <v>1</v>
      </c>
      <c r="G2891"/>
      <c r="H2891" s="2"/>
      <c r="I2891" s="2"/>
      <c r="L2891"/>
      <c r="R2891"/>
    </row>
    <row r="2892" spans="1:18">
      <c r="A2892" s="3">
        <v>45792.531805555554</v>
      </c>
      <c r="B2892" s="2" t="s">
        <v>33</v>
      </c>
      <c r="C2892" s="2" t="s">
        <v>11</v>
      </c>
      <c r="D2892" s="6" t="str">
        <f>CONCATENATE(YEAR(A2892),"/",IF(MONTH(A2892)&lt;10,CONCATENATE("0",MONTH(A2892)),MONTH(A2892)))</f>
        <v>2025/05</v>
      </c>
      <c r="E2892" s="8" t="str">
        <f>IF(IF(D2892&lt;&gt;D2891,1,IF(OR(B2892&lt;&gt;B2891,A2892-A2891&gt;$U$1),1,""))&lt;&gt;1,"",IF(C2892="B01",1965,IF(C2892="B02",1020,IF(C2892="B05",2400,IF(C2892="B03",4260,IF(C2892="B04",2880,IF(C2892="B20",1260,0)))))))</f>
        <v/>
      </c>
      <c r="F2892" s="8" t="str">
        <f>IF(IF(D2892&lt;&gt;D2891,1,IF(OR(B2892&lt;&gt;B2891,A2892-A2891&gt;$U$1),1,""))&lt;&gt;1,"",IF(C2892="B01",1,IF(C2892="B05",1,IF(C2892="B03",1,IF(C2892="B04",1,IF(C2892="B20",1,IF(C2892="B02",1,0)))))))</f>
        <v/>
      </c>
      <c r="G2892"/>
      <c r="H2892" s="2"/>
      <c r="I2892" s="2"/>
      <c r="L2892"/>
      <c r="R2892"/>
    </row>
    <row r="2893" spans="1:18">
      <c r="A2893" s="3">
        <v>45793.102627314816</v>
      </c>
      <c r="B2893" s="2" t="s">
        <v>33</v>
      </c>
      <c r="C2893" s="2" t="s">
        <v>11</v>
      </c>
      <c r="D2893" s="6" t="str">
        <f>CONCATENATE(YEAR(A2893),"/",IF(MONTH(A2893)&lt;10,CONCATENATE("0",MONTH(A2893)),MONTH(A2893)))</f>
        <v>2025/05</v>
      </c>
      <c r="E2893" s="8">
        <f>IF(IF(D2893&lt;&gt;D2892,1,IF(OR(B2893&lt;&gt;B2892,A2893-A2892&gt;$U$1),1,""))&lt;&gt;1,"",IF(C2893="B01",1965,IF(C2893="B02",1020,IF(C2893="B05",2400,IF(C2893="B03",4260,IF(C2893="B04",2880,IF(C2893="B20",1260,0)))))))</f>
        <v>2400</v>
      </c>
      <c r="F2893" s="8">
        <f>IF(IF(D2893&lt;&gt;D2892,1,IF(OR(B2893&lt;&gt;B2892,A2893-A2892&gt;$U$1),1,""))&lt;&gt;1,"",IF(C2893="B01",1,IF(C2893="B05",1,IF(C2893="B03",1,IF(C2893="B04",1,IF(C2893="B20",1,IF(C2893="B02",1,0)))))))</f>
        <v>1</v>
      </c>
      <c r="G2893"/>
      <c r="H2893" s="2"/>
      <c r="I2893" s="2"/>
      <c r="L2893"/>
      <c r="R2893"/>
    </row>
    <row r="2894" spans="1:18">
      <c r="A2894" s="3">
        <v>45793.102638888886</v>
      </c>
      <c r="B2894" s="2" t="s">
        <v>33</v>
      </c>
      <c r="C2894" s="2" t="s">
        <v>11</v>
      </c>
      <c r="D2894" s="6" t="str">
        <f>CONCATENATE(YEAR(A2894),"/",IF(MONTH(A2894)&lt;10,CONCATENATE("0",MONTH(A2894)),MONTH(A2894)))</f>
        <v>2025/05</v>
      </c>
      <c r="E2894" s="8" t="str">
        <f>IF(IF(D2894&lt;&gt;D2893,1,IF(OR(B2894&lt;&gt;B2893,A2894-A2893&gt;$U$1),1,""))&lt;&gt;1,"",IF(C2894="B01",1965,IF(C2894="B02",1020,IF(C2894="B05",2400,IF(C2894="B03",4260,IF(C2894="B04",2880,IF(C2894="B20",1260,0)))))))</f>
        <v/>
      </c>
      <c r="F2894" s="8" t="str">
        <f>IF(IF(D2894&lt;&gt;D2893,1,IF(OR(B2894&lt;&gt;B2893,A2894-A2893&gt;$U$1),1,""))&lt;&gt;1,"",IF(C2894="B01",1,IF(C2894="B05",1,IF(C2894="B03",1,IF(C2894="B04",1,IF(C2894="B20",1,IF(C2894="B02",1,0)))))))</f>
        <v/>
      </c>
      <c r="G2894"/>
      <c r="H2894" s="2"/>
      <c r="I2894" s="2"/>
      <c r="L2894"/>
      <c r="R2894"/>
    </row>
    <row r="2895" spans="1:18">
      <c r="A2895" s="3">
        <v>45793.102638888886</v>
      </c>
      <c r="B2895" s="2" t="s">
        <v>33</v>
      </c>
      <c r="C2895" s="2" t="s">
        <v>11</v>
      </c>
      <c r="D2895" s="6" t="str">
        <f>CONCATENATE(YEAR(A2895),"/",IF(MONTH(A2895)&lt;10,CONCATENATE("0",MONTH(A2895)),MONTH(A2895)))</f>
        <v>2025/05</v>
      </c>
      <c r="E2895" s="8" t="str">
        <f>IF(IF(D2895&lt;&gt;D2894,1,IF(OR(B2895&lt;&gt;B2894,A2895-A2894&gt;$U$1),1,""))&lt;&gt;1,"",IF(C2895="B01",1965,IF(C2895="B02",1020,IF(C2895="B05",2400,IF(C2895="B03",4260,IF(C2895="B04",2880,IF(C2895="B20",1260,0)))))))</f>
        <v/>
      </c>
      <c r="F2895" s="8" t="str">
        <f>IF(IF(D2895&lt;&gt;D2894,1,IF(OR(B2895&lt;&gt;B2894,A2895-A2894&gt;$U$1),1,""))&lt;&gt;1,"",IF(C2895="B01",1,IF(C2895="B05",1,IF(C2895="B03",1,IF(C2895="B04",1,IF(C2895="B20",1,IF(C2895="B02",1,0)))))))</f>
        <v/>
      </c>
      <c r="G2895"/>
      <c r="H2895" s="2"/>
      <c r="I2895" s="2"/>
      <c r="L2895"/>
      <c r="R2895"/>
    </row>
    <row r="2896" spans="1:18">
      <c r="A2896" s="3">
        <v>45793.102638888886</v>
      </c>
      <c r="B2896" s="2" t="s">
        <v>33</v>
      </c>
      <c r="C2896" s="2" t="s">
        <v>11</v>
      </c>
      <c r="D2896" s="6" t="str">
        <f>CONCATENATE(YEAR(A2896),"/",IF(MONTH(A2896)&lt;10,CONCATENATE("0",MONTH(A2896)),MONTH(A2896)))</f>
        <v>2025/05</v>
      </c>
      <c r="E2896" s="8" t="str">
        <f>IF(IF(D2896&lt;&gt;D2895,1,IF(OR(B2896&lt;&gt;B2895,A2896-A2895&gt;$U$1),1,""))&lt;&gt;1,"",IF(C2896="B01",1965,IF(C2896="B02",1020,IF(C2896="B05",2400,IF(C2896="B03",4260,IF(C2896="B04",2880,IF(C2896="B20",1260,0)))))))</f>
        <v/>
      </c>
      <c r="F2896" s="8" t="str">
        <f>IF(IF(D2896&lt;&gt;D2895,1,IF(OR(B2896&lt;&gt;B2895,A2896-A2895&gt;$U$1),1,""))&lt;&gt;1,"",IF(C2896="B01",1,IF(C2896="B05",1,IF(C2896="B03",1,IF(C2896="B04",1,IF(C2896="B20",1,IF(C2896="B02",1,0)))))))</f>
        <v/>
      </c>
      <c r="G2896"/>
      <c r="H2896" s="2"/>
      <c r="I2896" s="2"/>
      <c r="L2896"/>
      <c r="R2896"/>
    </row>
    <row r="2897" spans="1:18">
      <c r="A2897" s="3">
        <v>45793.260879629626</v>
      </c>
      <c r="B2897" s="2" t="s">
        <v>33</v>
      </c>
      <c r="C2897" s="2" t="s">
        <v>11</v>
      </c>
      <c r="D2897" s="6" t="str">
        <f>CONCATENATE(YEAR(A2897),"/",IF(MONTH(A2897)&lt;10,CONCATENATE("0",MONTH(A2897)),MONTH(A2897)))</f>
        <v>2025/05</v>
      </c>
      <c r="E2897" s="8">
        <f>IF(IF(D2897&lt;&gt;D2896,1,IF(OR(B2897&lt;&gt;B2896,A2897-A2896&gt;$U$1),1,""))&lt;&gt;1,"",IF(C2897="B01",1965,IF(C2897="B02",1020,IF(C2897="B05",2400,IF(C2897="B03",4260,IF(C2897="B04",2880,IF(C2897="B20",1260,0)))))))</f>
        <v>2400</v>
      </c>
      <c r="F2897" s="8">
        <f>IF(IF(D2897&lt;&gt;D2896,1,IF(OR(B2897&lt;&gt;B2896,A2897-A2896&gt;$U$1),1,""))&lt;&gt;1,"",IF(C2897="B01",1,IF(C2897="B05",1,IF(C2897="B03",1,IF(C2897="B04",1,IF(C2897="B20",1,IF(C2897="B02",1,0)))))))</f>
        <v>1</v>
      </c>
      <c r="G2897"/>
      <c r="H2897" s="2"/>
      <c r="I2897" s="2"/>
      <c r="L2897"/>
      <c r="R2897"/>
    </row>
    <row r="2898" spans="1:18">
      <c r="A2898" s="3">
        <v>45793.260879629626</v>
      </c>
      <c r="B2898" s="2" t="s">
        <v>33</v>
      </c>
      <c r="C2898" s="2" t="s">
        <v>11</v>
      </c>
      <c r="D2898" s="6" t="str">
        <f>CONCATENATE(YEAR(A2898),"/",IF(MONTH(A2898)&lt;10,CONCATENATE("0",MONTH(A2898)),MONTH(A2898)))</f>
        <v>2025/05</v>
      </c>
      <c r="E2898" s="8" t="str">
        <f>IF(IF(D2898&lt;&gt;D2897,1,IF(OR(B2898&lt;&gt;B2897,A2898-A2897&gt;$U$1),1,""))&lt;&gt;1,"",IF(C2898="B01",1965,IF(C2898="B02",1020,IF(C2898="B05",2400,IF(C2898="B03",4260,IF(C2898="B04",2880,IF(C2898="B20",1260,0)))))))</f>
        <v/>
      </c>
      <c r="F2898" s="8" t="str">
        <f>IF(IF(D2898&lt;&gt;D2897,1,IF(OR(B2898&lt;&gt;B2897,A2898-A2897&gt;$U$1),1,""))&lt;&gt;1,"",IF(C2898="B01",1,IF(C2898="B05",1,IF(C2898="B03",1,IF(C2898="B04",1,IF(C2898="B20",1,IF(C2898="B02",1,0)))))))</f>
        <v/>
      </c>
      <c r="G2898"/>
      <c r="H2898" s="2"/>
      <c r="I2898" s="2"/>
      <c r="L2898"/>
      <c r="R2898"/>
    </row>
    <row r="2899" spans="1:18">
      <c r="A2899" s="3">
        <v>45793.857048611113</v>
      </c>
      <c r="B2899" s="2" t="s">
        <v>33</v>
      </c>
      <c r="C2899" s="2" t="s">
        <v>11</v>
      </c>
      <c r="D2899" s="6" t="str">
        <f>CONCATENATE(YEAR(A2899),"/",IF(MONTH(A2899)&lt;10,CONCATENATE("0",MONTH(A2899)),MONTH(A2899)))</f>
        <v>2025/05</v>
      </c>
      <c r="E2899" s="8">
        <f>IF(IF(D2899&lt;&gt;D2898,1,IF(OR(B2899&lt;&gt;B2898,A2899-A2898&gt;$U$1),1,""))&lt;&gt;1,"",IF(C2899="B01",1965,IF(C2899="B02",1020,IF(C2899="B05",2400,IF(C2899="B03",4260,IF(C2899="B04",2880,IF(C2899="B20",1260,0)))))))</f>
        <v>2400</v>
      </c>
      <c r="F2899" s="8">
        <f>IF(IF(D2899&lt;&gt;D2898,1,IF(OR(B2899&lt;&gt;B2898,A2899-A2898&gt;$U$1),1,""))&lt;&gt;1,"",IF(C2899="B01",1,IF(C2899="B05",1,IF(C2899="B03",1,IF(C2899="B04",1,IF(C2899="B20",1,IF(C2899="B02",1,0)))))))</f>
        <v>1</v>
      </c>
      <c r="G2899"/>
      <c r="H2899" s="2"/>
      <c r="I2899" s="2"/>
      <c r="L2899"/>
      <c r="R2899"/>
    </row>
    <row r="2900" spans="1:18">
      <c r="A2900" s="3">
        <v>45793.857048611113</v>
      </c>
      <c r="B2900" s="2" t="s">
        <v>33</v>
      </c>
      <c r="C2900" s="2" t="s">
        <v>11</v>
      </c>
      <c r="D2900" s="6" t="str">
        <f>CONCATENATE(YEAR(A2900),"/",IF(MONTH(A2900)&lt;10,CONCATENATE("0",MONTH(A2900)),MONTH(A2900)))</f>
        <v>2025/05</v>
      </c>
      <c r="E2900" s="8" t="str">
        <f>IF(IF(D2900&lt;&gt;D2899,1,IF(OR(B2900&lt;&gt;B2899,A2900-A2899&gt;$U$1),1,""))&lt;&gt;1,"",IF(C2900="B01",1965,IF(C2900="B02",1020,IF(C2900="B05",2400,IF(C2900="B03",4260,IF(C2900="B04",2880,IF(C2900="B20",1260,0)))))))</f>
        <v/>
      </c>
      <c r="F2900" s="8" t="str">
        <f>IF(IF(D2900&lt;&gt;D2899,1,IF(OR(B2900&lt;&gt;B2899,A2900-A2899&gt;$U$1),1,""))&lt;&gt;1,"",IF(C2900="B01",1,IF(C2900="B05",1,IF(C2900="B03",1,IF(C2900="B04",1,IF(C2900="B20",1,IF(C2900="B02",1,0)))))))</f>
        <v/>
      </c>
      <c r="G2900"/>
      <c r="H2900" s="2"/>
      <c r="I2900" s="2"/>
      <c r="L2900"/>
      <c r="R2900"/>
    </row>
    <row r="2901" spans="1:18">
      <c r="A2901" s="3">
        <v>45793.857048611113</v>
      </c>
      <c r="B2901" s="2" t="s">
        <v>33</v>
      </c>
      <c r="C2901" s="2" t="s">
        <v>11</v>
      </c>
      <c r="D2901" s="6" t="str">
        <f>CONCATENATE(YEAR(A2901),"/",IF(MONTH(A2901)&lt;10,CONCATENATE("0",MONTH(A2901)),MONTH(A2901)))</f>
        <v>2025/05</v>
      </c>
      <c r="E2901" s="8" t="str">
        <f>IF(IF(D2901&lt;&gt;D2900,1,IF(OR(B2901&lt;&gt;B2900,A2901-A2900&gt;$U$1),1,""))&lt;&gt;1,"",IF(C2901="B01",1965,IF(C2901="B02",1020,IF(C2901="B05",2400,IF(C2901="B03",4260,IF(C2901="B04",2880,IF(C2901="B20",1260,0)))))))</f>
        <v/>
      </c>
      <c r="F2901" s="8" t="str">
        <f>IF(IF(D2901&lt;&gt;D2900,1,IF(OR(B2901&lt;&gt;B2900,A2901-A2900&gt;$U$1),1,""))&lt;&gt;1,"",IF(C2901="B01",1,IF(C2901="B05",1,IF(C2901="B03",1,IF(C2901="B04",1,IF(C2901="B20",1,IF(C2901="B02",1,0)))))))</f>
        <v/>
      </c>
      <c r="G2901"/>
      <c r="H2901" s="2"/>
      <c r="I2901" s="2"/>
      <c r="L2901"/>
      <c r="R2901"/>
    </row>
    <row r="2902" spans="1:18">
      <c r="A2902" s="3">
        <v>45795.465451388889</v>
      </c>
      <c r="B2902" s="2" t="s">
        <v>33</v>
      </c>
      <c r="C2902" s="2" t="s">
        <v>11</v>
      </c>
      <c r="D2902" s="6" t="str">
        <f>CONCATENATE(YEAR(A2902),"/",IF(MONTH(A2902)&lt;10,CONCATENATE("0",MONTH(A2902)),MONTH(A2902)))</f>
        <v>2025/05</v>
      </c>
      <c r="E2902" s="8">
        <f>IF(IF(D2902&lt;&gt;D2901,1,IF(OR(B2902&lt;&gt;B2901,A2902-A2901&gt;$U$1),1,""))&lt;&gt;1,"",IF(C2902="B01",1965,IF(C2902="B02",1020,IF(C2902="B05",2400,IF(C2902="B03",4260,IF(C2902="B04",2880,IF(C2902="B20",1260,0)))))))</f>
        <v>2400</v>
      </c>
      <c r="F2902" s="8">
        <f>IF(IF(D2902&lt;&gt;D2901,1,IF(OR(B2902&lt;&gt;B2901,A2902-A2901&gt;$U$1),1,""))&lt;&gt;1,"",IF(C2902="B01",1,IF(C2902="B05",1,IF(C2902="B03",1,IF(C2902="B04",1,IF(C2902="B20",1,IF(C2902="B02",1,0)))))))</f>
        <v>1</v>
      </c>
      <c r="G2902"/>
      <c r="H2902" s="2"/>
      <c r="I2902" s="2"/>
      <c r="L2902"/>
      <c r="R2902"/>
    </row>
    <row r="2903" spans="1:18">
      <c r="A2903" s="3">
        <v>45795.465462962966</v>
      </c>
      <c r="B2903" s="2" t="s">
        <v>33</v>
      </c>
      <c r="C2903" s="2" t="s">
        <v>11</v>
      </c>
      <c r="D2903" s="6" t="str">
        <f>CONCATENATE(YEAR(A2903),"/",IF(MONTH(A2903)&lt;10,CONCATENATE("0",MONTH(A2903)),MONTH(A2903)))</f>
        <v>2025/05</v>
      </c>
      <c r="E2903" s="8" t="str">
        <f>IF(IF(D2903&lt;&gt;D2902,1,IF(OR(B2903&lt;&gt;B2902,A2903-A2902&gt;$U$1),1,""))&lt;&gt;1,"",IF(C2903="B01",1965,IF(C2903="B02",1020,IF(C2903="B05",2400,IF(C2903="B03",4260,IF(C2903="B04",2880,IF(C2903="B20",1260,0)))))))</f>
        <v/>
      </c>
      <c r="F2903" s="8" t="str">
        <f>IF(IF(D2903&lt;&gt;D2902,1,IF(OR(B2903&lt;&gt;B2902,A2903-A2902&gt;$U$1),1,""))&lt;&gt;1,"",IF(C2903="B01",1,IF(C2903="B05",1,IF(C2903="B03",1,IF(C2903="B04",1,IF(C2903="B20",1,IF(C2903="B02",1,0)))))))</f>
        <v/>
      </c>
      <c r="G2903"/>
      <c r="H2903" s="2"/>
      <c r="I2903" s="2"/>
      <c r="L2903"/>
      <c r="R2903"/>
    </row>
    <row r="2904" spans="1:18">
      <c r="A2904" s="3">
        <v>45795.465462962966</v>
      </c>
      <c r="B2904" s="2" t="s">
        <v>33</v>
      </c>
      <c r="C2904" s="2" t="s">
        <v>11</v>
      </c>
      <c r="D2904" s="6" t="str">
        <f>CONCATENATE(YEAR(A2904),"/",IF(MONTH(A2904)&lt;10,CONCATENATE("0",MONTH(A2904)),MONTH(A2904)))</f>
        <v>2025/05</v>
      </c>
      <c r="E2904" s="8" t="str">
        <f>IF(IF(D2904&lt;&gt;D2903,1,IF(OR(B2904&lt;&gt;B2903,A2904-A2903&gt;$U$1),1,""))&lt;&gt;1,"",IF(C2904="B01",1965,IF(C2904="B02",1020,IF(C2904="B05",2400,IF(C2904="B03",4260,IF(C2904="B04",2880,IF(C2904="B20",1260,0)))))))</f>
        <v/>
      </c>
      <c r="F2904" s="8" t="str">
        <f>IF(IF(D2904&lt;&gt;D2903,1,IF(OR(B2904&lt;&gt;B2903,A2904-A2903&gt;$U$1),1,""))&lt;&gt;1,"",IF(C2904="B01",1,IF(C2904="B05",1,IF(C2904="B03",1,IF(C2904="B04",1,IF(C2904="B20",1,IF(C2904="B02",1,0)))))))</f>
        <v/>
      </c>
      <c r="G2904"/>
      <c r="H2904" s="2"/>
      <c r="I2904" s="2"/>
      <c r="L2904"/>
      <c r="R2904"/>
    </row>
    <row r="2905" spans="1:18">
      <c r="A2905" s="3">
        <v>45795.465462962966</v>
      </c>
      <c r="B2905" s="2" t="s">
        <v>33</v>
      </c>
      <c r="C2905" s="2" t="s">
        <v>11</v>
      </c>
      <c r="D2905" s="6" t="str">
        <f>CONCATENATE(YEAR(A2905),"/",IF(MONTH(A2905)&lt;10,CONCATENATE("0",MONTH(A2905)),MONTH(A2905)))</f>
        <v>2025/05</v>
      </c>
      <c r="E2905" s="8" t="str">
        <f>IF(IF(D2905&lt;&gt;D2904,1,IF(OR(B2905&lt;&gt;B2904,A2905-A2904&gt;$U$1),1,""))&lt;&gt;1,"",IF(C2905="B01",1965,IF(C2905="B02",1020,IF(C2905="B05",2400,IF(C2905="B03",4260,IF(C2905="B04",2880,IF(C2905="B20",1260,0)))))))</f>
        <v/>
      </c>
      <c r="F2905" s="8" t="str">
        <f>IF(IF(D2905&lt;&gt;D2904,1,IF(OR(B2905&lt;&gt;B2904,A2905-A2904&gt;$U$1),1,""))&lt;&gt;1,"",IF(C2905="B01",1,IF(C2905="B05",1,IF(C2905="B03",1,IF(C2905="B04",1,IF(C2905="B20",1,IF(C2905="B02",1,0)))))))</f>
        <v/>
      </c>
      <c r="G2905"/>
      <c r="H2905" s="2"/>
      <c r="I2905" s="2"/>
      <c r="L2905"/>
      <c r="R2905"/>
    </row>
    <row r="2906" spans="1:18">
      <c r="A2906" s="3">
        <v>45797.811527777776</v>
      </c>
      <c r="B2906" s="2" t="s">
        <v>33</v>
      </c>
      <c r="C2906" s="2" t="s">
        <v>11</v>
      </c>
      <c r="D2906" s="6" t="str">
        <f>CONCATENATE(YEAR(A2906),"/",IF(MONTH(A2906)&lt;10,CONCATENATE("0",MONTH(A2906)),MONTH(A2906)))</f>
        <v>2025/05</v>
      </c>
      <c r="E2906" s="8">
        <f>IF(IF(D2906&lt;&gt;D2905,1,IF(OR(B2906&lt;&gt;B2905,A2906-A2905&gt;$U$1),1,""))&lt;&gt;1,"",IF(C2906="B01",1965,IF(C2906="B02",1020,IF(C2906="B05",2400,IF(C2906="B03",4260,IF(C2906="B04",2880,IF(C2906="B20",1260,0)))))))</f>
        <v>2400</v>
      </c>
      <c r="F2906" s="8">
        <f>IF(IF(D2906&lt;&gt;D2905,1,IF(OR(B2906&lt;&gt;B2905,A2906-A2905&gt;$U$1),1,""))&lt;&gt;1,"",IF(C2906="B01",1,IF(C2906="B05",1,IF(C2906="B03",1,IF(C2906="B04",1,IF(C2906="B20",1,IF(C2906="B02",1,0)))))))</f>
        <v>1</v>
      </c>
      <c r="G2906"/>
      <c r="H2906" s="2"/>
      <c r="I2906" s="2"/>
      <c r="L2906"/>
      <c r="R2906"/>
    </row>
    <row r="2907" spans="1:18">
      <c r="A2907" s="3">
        <v>45797.811527777776</v>
      </c>
      <c r="B2907" s="2" t="s">
        <v>33</v>
      </c>
      <c r="C2907" s="2" t="s">
        <v>11</v>
      </c>
      <c r="D2907" s="6" t="str">
        <f>CONCATENATE(YEAR(A2907),"/",IF(MONTH(A2907)&lt;10,CONCATENATE("0",MONTH(A2907)),MONTH(A2907)))</f>
        <v>2025/05</v>
      </c>
      <c r="E2907" s="8" t="str">
        <f>IF(IF(D2907&lt;&gt;D2906,1,IF(OR(B2907&lt;&gt;B2906,A2907-A2906&gt;$U$1),1,""))&lt;&gt;1,"",IF(C2907="B01",1965,IF(C2907="B02",1020,IF(C2907="B05",2400,IF(C2907="B03",4260,IF(C2907="B04",2880,IF(C2907="B20",1260,0)))))))</f>
        <v/>
      </c>
      <c r="F2907" s="8" t="str">
        <f>IF(IF(D2907&lt;&gt;D2906,1,IF(OR(B2907&lt;&gt;B2906,A2907-A2906&gt;$U$1),1,""))&lt;&gt;1,"",IF(C2907="B01",1,IF(C2907="B05",1,IF(C2907="B03",1,IF(C2907="B04",1,IF(C2907="B20",1,IF(C2907="B02",1,0)))))))</f>
        <v/>
      </c>
      <c r="G2907"/>
      <c r="H2907" s="2"/>
      <c r="I2907" s="2"/>
      <c r="L2907"/>
      <c r="R2907"/>
    </row>
    <row r="2908" spans="1:18">
      <c r="A2908" s="3">
        <v>45797.969166666669</v>
      </c>
      <c r="B2908" s="2" t="s">
        <v>33</v>
      </c>
      <c r="C2908" s="2" t="s">
        <v>11</v>
      </c>
      <c r="D2908" s="6" t="str">
        <f>CONCATENATE(YEAR(A2908),"/",IF(MONTH(A2908)&lt;10,CONCATENATE("0",MONTH(A2908)),MONTH(A2908)))</f>
        <v>2025/05</v>
      </c>
      <c r="E2908" s="8">
        <f>IF(IF(D2908&lt;&gt;D2907,1,IF(OR(B2908&lt;&gt;B2907,A2908-A2907&gt;$U$1),1,""))&lt;&gt;1,"",IF(C2908="B01",1965,IF(C2908="B02",1020,IF(C2908="B05",2400,IF(C2908="B03",4260,IF(C2908="B04",2880,IF(C2908="B20",1260,0)))))))</f>
        <v>2400</v>
      </c>
      <c r="F2908" s="8">
        <f>IF(IF(D2908&lt;&gt;D2907,1,IF(OR(B2908&lt;&gt;B2907,A2908-A2907&gt;$U$1),1,""))&lt;&gt;1,"",IF(C2908="B01",1,IF(C2908="B05",1,IF(C2908="B03",1,IF(C2908="B04",1,IF(C2908="B20",1,IF(C2908="B02",1,0)))))))</f>
        <v>1</v>
      </c>
      <c r="G2908"/>
      <c r="H2908" s="2"/>
      <c r="I2908" s="2"/>
      <c r="L2908"/>
      <c r="R2908"/>
    </row>
    <row r="2909" spans="1:18">
      <c r="A2909" s="3">
        <v>45797.969166666669</v>
      </c>
      <c r="B2909" s="2" t="s">
        <v>33</v>
      </c>
      <c r="C2909" s="2" t="s">
        <v>11</v>
      </c>
      <c r="D2909" s="6" t="str">
        <f>CONCATENATE(YEAR(A2909),"/",IF(MONTH(A2909)&lt;10,CONCATENATE("0",MONTH(A2909)),MONTH(A2909)))</f>
        <v>2025/05</v>
      </c>
      <c r="E2909" s="8" t="str">
        <f>IF(IF(D2909&lt;&gt;D2908,1,IF(OR(B2909&lt;&gt;B2908,A2909-A2908&gt;$U$1),1,""))&lt;&gt;1,"",IF(C2909="B01",1965,IF(C2909="B02",1020,IF(C2909="B05",2400,IF(C2909="B03",4260,IF(C2909="B04",2880,IF(C2909="B20",1260,0)))))))</f>
        <v/>
      </c>
      <c r="F2909" s="8" t="str">
        <f>IF(IF(D2909&lt;&gt;D2908,1,IF(OR(B2909&lt;&gt;B2908,A2909-A2908&gt;$U$1),1,""))&lt;&gt;1,"",IF(C2909="B01",1,IF(C2909="B05",1,IF(C2909="B03",1,IF(C2909="B04",1,IF(C2909="B20",1,IF(C2909="B02",1,0)))))))</f>
        <v/>
      </c>
      <c r="G2909"/>
      <c r="H2909" s="2"/>
      <c r="I2909" s="2"/>
      <c r="L2909"/>
      <c r="R2909"/>
    </row>
    <row r="2910" spans="1:18">
      <c r="A2910" s="3">
        <v>45798.267129629632</v>
      </c>
      <c r="B2910" s="2" t="s">
        <v>33</v>
      </c>
      <c r="C2910" s="2" t="s">
        <v>11</v>
      </c>
      <c r="D2910" s="6" t="str">
        <f>CONCATENATE(YEAR(A2910),"/",IF(MONTH(A2910)&lt;10,CONCATENATE("0",MONTH(A2910)),MONTH(A2910)))</f>
        <v>2025/05</v>
      </c>
      <c r="E2910" s="8">
        <f>IF(IF(D2910&lt;&gt;D2909,1,IF(OR(B2910&lt;&gt;B2909,A2910-A2909&gt;$U$1),1,""))&lt;&gt;1,"",IF(C2910="B01",1965,IF(C2910="B02",1020,IF(C2910="B05",2400,IF(C2910="B03",4260,IF(C2910="B04",2880,IF(C2910="B20",1260,0)))))))</f>
        <v>2400</v>
      </c>
      <c r="F2910" s="8">
        <f>IF(IF(D2910&lt;&gt;D2909,1,IF(OR(B2910&lt;&gt;B2909,A2910-A2909&gt;$U$1),1,""))&lt;&gt;1,"",IF(C2910="B01",1,IF(C2910="B05",1,IF(C2910="B03",1,IF(C2910="B04",1,IF(C2910="B20",1,IF(C2910="B02",1,0)))))))</f>
        <v>1</v>
      </c>
      <c r="G2910"/>
      <c r="H2910" s="2"/>
      <c r="I2910" s="2"/>
      <c r="L2910"/>
      <c r="R2910"/>
    </row>
    <row r="2911" spans="1:18">
      <c r="A2911" s="3">
        <v>45798.267129629632</v>
      </c>
      <c r="B2911" s="2" t="s">
        <v>33</v>
      </c>
      <c r="C2911" s="2" t="s">
        <v>11</v>
      </c>
      <c r="D2911" s="6" t="str">
        <f>CONCATENATE(YEAR(A2911),"/",IF(MONTH(A2911)&lt;10,CONCATENATE("0",MONTH(A2911)),MONTH(A2911)))</f>
        <v>2025/05</v>
      </c>
      <c r="E2911" s="8" t="str">
        <f>IF(IF(D2911&lt;&gt;D2910,1,IF(OR(B2911&lt;&gt;B2910,A2911-A2910&gt;$U$1),1,""))&lt;&gt;1,"",IF(C2911="B01",1965,IF(C2911="B02",1020,IF(C2911="B05",2400,IF(C2911="B03",4260,IF(C2911="B04",2880,IF(C2911="B20",1260,0)))))))</f>
        <v/>
      </c>
      <c r="F2911" s="8" t="str">
        <f>IF(IF(D2911&lt;&gt;D2910,1,IF(OR(B2911&lt;&gt;B2910,A2911-A2910&gt;$U$1),1,""))&lt;&gt;1,"",IF(C2911="B01",1,IF(C2911="B05",1,IF(C2911="B03",1,IF(C2911="B04",1,IF(C2911="B20",1,IF(C2911="B02",1,0)))))))</f>
        <v/>
      </c>
      <c r="G2911"/>
      <c r="H2911" s="2"/>
      <c r="I2911" s="2"/>
      <c r="L2911"/>
      <c r="R2911"/>
    </row>
    <row r="2912" spans="1:18">
      <c r="A2912" s="3">
        <v>45798.267129629632</v>
      </c>
      <c r="B2912" s="2" t="s">
        <v>33</v>
      </c>
      <c r="C2912" s="2" t="s">
        <v>11</v>
      </c>
      <c r="D2912" s="6" t="str">
        <f>CONCATENATE(YEAR(A2912),"/",IF(MONTH(A2912)&lt;10,CONCATENATE("0",MONTH(A2912)),MONTH(A2912)))</f>
        <v>2025/05</v>
      </c>
      <c r="E2912" s="8" t="str">
        <f>IF(IF(D2912&lt;&gt;D2911,1,IF(OR(B2912&lt;&gt;B2911,A2912-A2911&gt;$U$1),1,""))&lt;&gt;1,"",IF(C2912="B01",1965,IF(C2912="B02",1020,IF(C2912="B05",2400,IF(C2912="B03",4260,IF(C2912="B04",2880,IF(C2912="B20",1260,0)))))))</f>
        <v/>
      </c>
      <c r="F2912" s="8" t="str">
        <f>IF(IF(D2912&lt;&gt;D2911,1,IF(OR(B2912&lt;&gt;B2911,A2912-A2911&gt;$U$1),1,""))&lt;&gt;1,"",IF(C2912="B01",1,IF(C2912="B05",1,IF(C2912="B03",1,IF(C2912="B04",1,IF(C2912="B20",1,IF(C2912="B02",1,0)))))))</f>
        <v/>
      </c>
      <c r="G2912"/>
      <c r="H2912" s="2"/>
      <c r="I2912" s="2"/>
      <c r="L2912"/>
      <c r="R2912"/>
    </row>
    <row r="2913" spans="4:18">
      <c r="D2913" s="6"/>
      <c r="G2913"/>
      <c r="H2913" s="2"/>
      <c r="I2913" s="2"/>
      <c r="L2913"/>
      <c r="R2913"/>
    </row>
    <row r="2914" spans="4:18">
      <c r="D2914" s="6"/>
      <c r="G2914"/>
      <c r="H2914" s="2"/>
      <c r="I2914" s="2"/>
      <c r="L2914"/>
      <c r="R2914"/>
    </row>
    <row r="2915" spans="4:18">
      <c r="D2915" s="6"/>
      <c r="G2915"/>
      <c r="H2915" s="2"/>
      <c r="I2915" s="2"/>
      <c r="L2915"/>
      <c r="R2915"/>
    </row>
    <row r="2916" spans="4:18">
      <c r="D2916" s="6"/>
      <c r="G2916"/>
      <c r="H2916" s="2"/>
      <c r="I2916" s="2"/>
      <c r="L2916"/>
      <c r="R2916"/>
    </row>
    <row r="2917" spans="4:18">
      <c r="D2917" s="6"/>
      <c r="G2917"/>
      <c r="H2917" s="2"/>
      <c r="I2917" s="2"/>
      <c r="L2917"/>
      <c r="R2917"/>
    </row>
    <row r="2918" spans="4:18">
      <c r="D2918" s="6"/>
      <c r="G2918"/>
      <c r="H2918" s="2"/>
      <c r="I2918" s="2"/>
      <c r="L2918"/>
      <c r="R2918"/>
    </row>
    <row r="2919" spans="4:18">
      <c r="D2919" s="6"/>
      <c r="G2919"/>
      <c r="H2919" s="2"/>
      <c r="I2919" s="2"/>
      <c r="L2919"/>
      <c r="R2919"/>
    </row>
    <row r="2920" spans="4:18">
      <c r="D2920" s="6"/>
      <c r="G2920"/>
      <c r="H2920" s="2"/>
      <c r="I2920" s="2"/>
      <c r="L2920"/>
      <c r="R2920"/>
    </row>
    <row r="2921" spans="4:18">
      <c r="D2921" s="6"/>
      <c r="G2921"/>
      <c r="H2921" s="2"/>
      <c r="I2921" s="2"/>
      <c r="L2921"/>
      <c r="R2921"/>
    </row>
    <row r="2922" spans="4:18">
      <c r="D2922" s="6"/>
      <c r="G2922"/>
      <c r="H2922" s="2"/>
      <c r="I2922" s="2"/>
      <c r="L2922"/>
      <c r="R2922"/>
    </row>
    <row r="2923" spans="4:18">
      <c r="D2923" s="6"/>
      <c r="G2923"/>
      <c r="H2923" s="2"/>
      <c r="I2923" s="2"/>
      <c r="L2923"/>
      <c r="R2923"/>
    </row>
    <row r="2924" spans="4:18">
      <c r="D2924" s="6"/>
      <c r="G2924"/>
      <c r="H2924" s="2"/>
      <c r="I2924" s="2"/>
      <c r="L2924"/>
      <c r="R2924"/>
    </row>
    <row r="2925" spans="4:18">
      <c r="D2925" s="6"/>
      <c r="G2925"/>
      <c r="H2925" s="2"/>
      <c r="I2925" s="2"/>
      <c r="L2925"/>
      <c r="R2925"/>
    </row>
    <row r="2926" spans="4:18">
      <c r="D2926" s="6"/>
      <c r="G2926"/>
      <c r="H2926" s="2"/>
      <c r="I2926" s="2"/>
      <c r="L2926"/>
      <c r="R2926"/>
    </row>
    <row r="2927" spans="4:18">
      <c r="D2927" s="6"/>
      <c r="G2927"/>
      <c r="H2927" s="2"/>
      <c r="I2927" s="2"/>
      <c r="L2927"/>
      <c r="R2927"/>
    </row>
    <row r="2928" spans="4:18">
      <c r="D2928" s="6"/>
      <c r="G2928"/>
      <c r="H2928" s="2"/>
      <c r="I2928" s="2"/>
      <c r="L2928"/>
      <c r="R2928"/>
    </row>
    <row r="2929" spans="4:18">
      <c r="D2929" s="6"/>
      <c r="G2929"/>
      <c r="H2929" s="2"/>
      <c r="I2929" s="2"/>
      <c r="L2929"/>
      <c r="R2929"/>
    </row>
    <row r="2930" spans="4:18">
      <c r="D2930" s="6"/>
      <c r="G2930"/>
      <c r="H2930" s="2"/>
      <c r="I2930" s="2"/>
      <c r="L2930"/>
      <c r="R2930"/>
    </row>
    <row r="2931" spans="4:18">
      <c r="D2931" s="6"/>
      <c r="G2931"/>
      <c r="H2931" s="2"/>
      <c r="I2931" s="2"/>
      <c r="L2931"/>
      <c r="R2931"/>
    </row>
    <row r="2932" spans="4:18">
      <c r="D2932" s="6"/>
      <c r="G2932"/>
      <c r="H2932" s="2"/>
      <c r="I2932" s="2"/>
      <c r="L2932"/>
      <c r="R2932"/>
    </row>
    <row r="2933" spans="4:18">
      <c r="D2933" s="6"/>
      <c r="G2933"/>
      <c r="H2933" s="2"/>
      <c r="I2933" s="2"/>
      <c r="L2933"/>
      <c r="R2933"/>
    </row>
    <row r="2934" spans="4:18">
      <c r="D2934" s="6"/>
      <c r="G2934"/>
      <c r="H2934" s="2"/>
      <c r="I2934" s="2"/>
      <c r="L2934"/>
      <c r="R2934"/>
    </row>
    <row r="2935" spans="4:18">
      <c r="D2935" s="6"/>
      <c r="G2935"/>
      <c r="H2935" s="2"/>
      <c r="I2935" s="2"/>
      <c r="L2935"/>
      <c r="R2935"/>
    </row>
    <row r="2936" spans="4:18">
      <c r="D2936" s="6"/>
      <c r="G2936"/>
      <c r="H2936" s="2"/>
      <c r="I2936" s="2"/>
      <c r="L2936"/>
      <c r="R2936"/>
    </row>
    <row r="2937" spans="4:18">
      <c r="D2937" s="6"/>
      <c r="G2937"/>
      <c r="H2937" s="2"/>
      <c r="I2937" s="2"/>
      <c r="L2937"/>
      <c r="R2937"/>
    </row>
    <row r="2938" spans="4:18">
      <c r="D2938" s="6"/>
      <c r="G2938"/>
      <c r="H2938" s="2"/>
      <c r="I2938" s="2"/>
      <c r="L2938"/>
      <c r="R2938"/>
    </row>
    <row r="2939" spans="4:18">
      <c r="D2939" s="6"/>
      <c r="G2939"/>
      <c r="H2939" s="2"/>
      <c r="I2939" s="2"/>
      <c r="L2939"/>
      <c r="R2939"/>
    </row>
    <row r="2940" spans="4:18">
      <c r="D2940" s="6"/>
      <c r="G2940"/>
      <c r="H2940" s="2"/>
      <c r="I2940" s="2"/>
      <c r="L2940"/>
      <c r="R2940"/>
    </row>
    <row r="2941" spans="4:18">
      <c r="D2941" s="6"/>
      <c r="G2941"/>
      <c r="H2941" s="2"/>
      <c r="I2941" s="2"/>
      <c r="L2941"/>
      <c r="R2941"/>
    </row>
    <row r="2942" spans="4:18">
      <c r="D2942" s="6"/>
      <c r="G2942"/>
      <c r="H2942" s="2"/>
      <c r="I2942" s="2"/>
      <c r="L2942"/>
      <c r="R2942"/>
    </row>
    <row r="2943" spans="4:18">
      <c r="D2943" s="6"/>
      <c r="G2943"/>
      <c r="H2943" s="2"/>
      <c r="I2943" s="2"/>
      <c r="L2943"/>
      <c r="R2943"/>
    </row>
    <row r="2944" spans="4:18">
      <c r="D2944" s="6"/>
      <c r="G2944"/>
      <c r="H2944" s="2"/>
      <c r="I2944" s="2"/>
      <c r="L2944"/>
      <c r="R2944"/>
    </row>
    <row r="2945" spans="4:18">
      <c r="D2945" s="6"/>
      <c r="G2945"/>
      <c r="H2945" s="2"/>
      <c r="I2945" s="2"/>
      <c r="L2945"/>
      <c r="R2945"/>
    </row>
    <row r="2946" spans="4:18">
      <c r="D2946" s="6"/>
      <c r="G2946"/>
      <c r="H2946" s="2"/>
      <c r="I2946" s="2"/>
      <c r="L2946"/>
      <c r="R2946"/>
    </row>
    <row r="2947" spans="4:18">
      <c r="D2947" s="6"/>
      <c r="G2947"/>
      <c r="H2947" s="2"/>
      <c r="I2947" s="2"/>
      <c r="L2947"/>
      <c r="R2947"/>
    </row>
    <row r="2948" spans="4:18">
      <c r="D2948" s="6"/>
      <c r="G2948"/>
      <c r="H2948" s="2"/>
      <c r="I2948" s="2"/>
      <c r="L2948"/>
      <c r="R2948"/>
    </row>
    <row r="2949" spans="4:18">
      <c r="D2949" s="6"/>
      <c r="G2949"/>
      <c r="H2949" s="2"/>
      <c r="I2949" s="2"/>
      <c r="L2949"/>
      <c r="R2949"/>
    </row>
    <row r="2950" spans="4:18">
      <c r="D2950" s="6"/>
      <c r="G2950"/>
      <c r="H2950" s="2"/>
      <c r="I2950" s="2"/>
      <c r="L2950"/>
      <c r="R2950"/>
    </row>
    <row r="2951" spans="4:18">
      <c r="D2951" s="6"/>
      <c r="G2951"/>
      <c r="H2951" s="2"/>
      <c r="I2951" s="2"/>
      <c r="L2951"/>
      <c r="R2951"/>
    </row>
    <row r="2952" spans="4:18">
      <c r="D2952" s="6"/>
      <c r="G2952"/>
      <c r="H2952" s="2"/>
      <c r="I2952" s="2"/>
      <c r="L2952"/>
      <c r="R2952"/>
    </row>
    <row r="2953" spans="4:18">
      <c r="D2953" s="6"/>
      <c r="G2953"/>
      <c r="H2953" s="2"/>
      <c r="I2953" s="2"/>
      <c r="L2953"/>
      <c r="R2953"/>
    </row>
    <row r="2954" spans="4:18">
      <c r="D2954" s="6"/>
      <c r="G2954"/>
      <c r="H2954" s="2"/>
      <c r="I2954" s="2"/>
      <c r="L2954"/>
      <c r="R2954"/>
    </row>
    <row r="2955" spans="4:18">
      <c r="D2955" s="6"/>
      <c r="G2955"/>
      <c r="H2955" s="2"/>
      <c r="I2955" s="2"/>
      <c r="L2955"/>
      <c r="R2955"/>
    </row>
    <row r="2956" spans="4:18">
      <c r="D2956" s="6"/>
      <c r="G2956"/>
      <c r="H2956" s="2"/>
      <c r="I2956" s="2"/>
      <c r="L2956"/>
      <c r="R2956"/>
    </row>
    <row r="2957" spans="4:18">
      <c r="D2957" s="6"/>
      <c r="G2957"/>
      <c r="H2957" s="2"/>
      <c r="I2957" s="2"/>
      <c r="L2957"/>
      <c r="R2957"/>
    </row>
    <row r="2958" spans="4:18">
      <c r="D2958" s="6"/>
      <c r="G2958"/>
      <c r="H2958" s="2"/>
      <c r="I2958" s="2"/>
      <c r="L2958"/>
      <c r="R2958"/>
    </row>
    <row r="2959" spans="4:18">
      <c r="D2959" s="6"/>
      <c r="G2959"/>
      <c r="H2959" s="2"/>
      <c r="I2959" s="2"/>
      <c r="L2959"/>
      <c r="R2959"/>
    </row>
    <row r="2960" spans="4:18">
      <c r="D2960" s="6"/>
      <c r="G2960"/>
      <c r="H2960" s="2"/>
      <c r="I2960" s="2"/>
      <c r="L2960"/>
      <c r="R2960"/>
    </row>
    <row r="2961" spans="4:18">
      <c r="D2961" s="6"/>
      <c r="G2961"/>
      <c r="H2961" s="2"/>
      <c r="I2961" s="2"/>
      <c r="L2961"/>
      <c r="R2961"/>
    </row>
    <row r="2962" spans="4:18">
      <c r="D2962" s="6"/>
      <c r="G2962"/>
      <c r="H2962" s="2"/>
      <c r="I2962" s="2"/>
      <c r="L2962"/>
      <c r="R2962"/>
    </row>
    <row r="2963" spans="4:18">
      <c r="D2963" s="6"/>
      <c r="G2963"/>
      <c r="H2963" s="2"/>
      <c r="I2963" s="2"/>
      <c r="L2963"/>
      <c r="R2963"/>
    </row>
    <row r="2964" spans="4:18">
      <c r="D2964" s="6"/>
      <c r="G2964"/>
      <c r="H2964" s="2"/>
      <c r="I2964" s="2"/>
      <c r="L2964"/>
      <c r="R2964"/>
    </row>
    <row r="2965" spans="4:18">
      <c r="D2965" s="6"/>
      <c r="G2965"/>
      <c r="H2965" s="2"/>
      <c r="I2965" s="2"/>
      <c r="L2965"/>
      <c r="R2965"/>
    </row>
    <row r="2966" spans="4:18">
      <c r="D2966" s="6"/>
      <c r="G2966"/>
      <c r="H2966" s="2"/>
      <c r="I2966" s="2"/>
      <c r="L2966"/>
      <c r="R2966"/>
    </row>
    <row r="2967" spans="4:18">
      <c r="D2967" s="6"/>
      <c r="G2967"/>
      <c r="H2967" s="2"/>
      <c r="I2967" s="2"/>
      <c r="L2967"/>
      <c r="R2967"/>
    </row>
    <row r="2968" spans="4:18">
      <c r="D2968" s="6"/>
      <c r="G2968"/>
      <c r="H2968" s="2"/>
      <c r="I2968" s="2"/>
      <c r="L2968"/>
      <c r="R2968"/>
    </row>
    <row r="2969" spans="4:18">
      <c r="D2969" s="6"/>
      <c r="G2969"/>
      <c r="H2969" s="2"/>
      <c r="I2969" s="2"/>
      <c r="L2969"/>
      <c r="R2969"/>
    </row>
    <row r="2970" spans="4:18">
      <c r="D2970" s="6"/>
      <c r="G2970"/>
      <c r="H2970" s="2"/>
      <c r="I2970" s="2"/>
      <c r="L2970"/>
      <c r="R2970"/>
    </row>
    <row r="2971" spans="4:18">
      <c r="D2971" s="6"/>
      <c r="G2971"/>
      <c r="H2971" s="2"/>
      <c r="I2971" s="2"/>
      <c r="L2971"/>
      <c r="R2971"/>
    </row>
    <row r="2972" spans="4:18">
      <c r="D2972" s="6"/>
      <c r="G2972"/>
      <c r="H2972" s="2"/>
      <c r="I2972" s="2"/>
      <c r="L2972"/>
      <c r="R2972"/>
    </row>
    <row r="2973" spans="4:18">
      <c r="D2973" s="6"/>
      <c r="G2973"/>
      <c r="H2973" s="2"/>
      <c r="I2973" s="2"/>
      <c r="L2973"/>
      <c r="R2973"/>
    </row>
    <row r="2974" spans="4:18">
      <c r="D2974" s="6"/>
      <c r="G2974"/>
      <c r="H2974" s="2"/>
      <c r="I2974" s="2"/>
      <c r="L2974"/>
      <c r="R2974"/>
    </row>
    <row r="2975" spans="4:18">
      <c r="D2975" s="6"/>
      <c r="G2975"/>
      <c r="H2975" s="2"/>
      <c r="I2975" s="2"/>
      <c r="L2975"/>
      <c r="R2975"/>
    </row>
    <row r="2976" spans="4:18">
      <c r="D2976" s="6"/>
      <c r="G2976"/>
      <c r="H2976" s="2"/>
      <c r="I2976" s="2"/>
      <c r="L2976"/>
      <c r="R2976"/>
    </row>
    <row r="2977" spans="4:18">
      <c r="D2977" s="6"/>
      <c r="G2977"/>
      <c r="H2977" s="2"/>
      <c r="I2977" s="2"/>
      <c r="L2977"/>
      <c r="R2977"/>
    </row>
    <row r="2978" spans="4:18">
      <c r="D2978" s="6"/>
      <c r="G2978"/>
      <c r="H2978" s="2"/>
      <c r="I2978" s="2"/>
      <c r="L2978"/>
      <c r="R2978"/>
    </row>
    <row r="2979" spans="4:18">
      <c r="D2979" s="6"/>
      <c r="G2979"/>
      <c r="H2979" s="2"/>
      <c r="I2979" s="2"/>
      <c r="L2979"/>
      <c r="R2979"/>
    </row>
    <row r="2980" spans="4:18">
      <c r="D2980" s="6"/>
      <c r="G2980"/>
      <c r="H2980" s="2"/>
      <c r="I2980" s="2"/>
      <c r="L2980"/>
      <c r="R2980"/>
    </row>
    <row r="2981" spans="4:18">
      <c r="D2981" s="6"/>
      <c r="G2981"/>
      <c r="H2981" s="2"/>
      <c r="I2981" s="2"/>
      <c r="L2981"/>
      <c r="R2981"/>
    </row>
    <row r="2982" spans="4:18">
      <c r="D2982" s="6"/>
      <c r="G2982"/>
      <c r="H2982" s="2"/>
      <c r="I2982" s="2"/>
      <c r="L2982"/>
      <c r="R2982"/>
    </row>
    <row r="2983" spans="4:18">
      <c r="D2983" s="6"/>
      <c r="G2983"/>
      <c r="H2983" s="2"/>
      <c r="I2983" s="2"/>
      <c r="L2983"/>
      <c r="R2983"/>
    </row>
    <row r="2984" spans="4:18">
      <c r="D2984" s="6"/>
      <c r="G2984"/>
      <c r="H2984" s="2"/>
      <c r="I2984" s="2"/>
      <c r="L2984"/>
      <c r="R2984"/>
    </row>
    <row r="2985" spans="4:18">
      <c r="D2985" s="6"/>
      <c r="G2985"/>
      <c r="H2985" s="2"/>
      <c r="I2985" s="2"/>
      <c r="L2985"/>
      <c r="R2985"/>
    </row>
    <row r="2986" spans="4:18">
      <c r="D2986" s="6"/>
      <c r="G2986"/>
      <c r="H2986" s="2"/>
      <c r="I2986" s="2"/>
      <c r="L2986"/>
      <c r="R2986"/>
    </row>
    <row r="2987" spans="4:18">
      <c r="D2987" s="6"/>
      <c r="G2987"/>
      <c r="H2987" s="2"/>
      <c r="I2987" s="2"/>
      <c r="L2987"/>
      <c r="R2987"/>
    </row>
    <row r="2988" spans="4:18">
      <c r="D2988" s="6"/>
      <c r="G2988"/>
      <c r="H2988" s="2"/>
      <c r="I2988" s="2"/>
      <c r="L2988"/>
      <c r="R2988"/>
    </row>
    <row r="2989" spans="4:18">
      <c r="D2989" s="6"/>
      <c r="G2989"/>
      <c r="H2989" s="2"/>
      <c r="I2989" s="2"/>
      <c r="L2989"/>
      <c r="R2989"/>
    </row>
    <row r="2990" spans="4:18">
      <c r="D2990" s="6"/>
      <c r="G2990"/>
      <c r="H2990" s="2"/>
      <c r="I2990" s="2"/>
      <c r="L2990"/>
      <c r="R2990"/>
    </row>
    <row r="2991" spans="4:18">
      <c r="D2991" s="6"/>
      <c r="G2991"/>
      <c r="H2991" s="2"/>
      <c r="I2991" s="2"/>
      <c r="L2991"/>
      <c r="R2991"/>
    </row>
    <row r="2992" spans="4:18">
      <c r="D2992" s="6"/>
      <c r="G2992"/>
      <c r="H2992" s="2"/>
      <c r="I2992" s="2"/>
      <c r="L2992"/>
      <c r="R2992"/>
    </row>
    <row r="2993" spans="4:18">
      <c r="D2993" s="6"/>
      <c r="G2993"/>
      <c r="H2993" s="2"/>
      <c r="I2993" s="2"/>
      <c r="L2993"/>
      <c r="R2993"/>
    </row>
    <row r="2994" spans="4:18">
      <c r="D2994" s="6"/>
      <c r="G2994"/>
      <c r="H2994" s="2"/>
      <c r="I2994" s="2"/>
      <c r="L2994"/>
      <c r="R2994"/>
    </row>
    <row r="2995" spans="4:18">
      <c r="D2995" s="6"/>
      <c r="G2995"/>
      <c r="H2995" s="2"/>
      <c r="I2995" s="2"/>
      <c r="L2995"/>
      <c r="R2995"/>
    </row>
    <row r="2996" spans="4:18">
      <c r="D2996" s="6"/>
      <c r="G2996"/>
      <c r="H2996" s="2"/>
      <c r="I2996" s="2"/>
      <c r="L2996"/>
      <c r="R2996"/>
    </row>
    <row r="2997" spans="4:18">
      <c r="D2997" s="6"/>
      <c r="G2997"/>
      <c r="H2997" s="2"/>
      <c r="I2997" s="2"/>
      <c r="L2997"/>
      <c r="R2997"/>
    </row>
    <row r="2998" spans="4:18">
      <c r="D2998" s="6"/>
      <c r="G2998"/>
      <c r="H2998" s="2"/>
      <c r="I2998" s="2"/>
      <c r="L2998"/>
      <c r="R2998"/>
    </row>
    <row r="2999" spans="4:18">
      <c r="D2999" s="6"/>
      <c r="G2999"/>
      <c r="H2999" s="2"/>
      <c r="I2999" s="2"/>
      <c r="L2999"/>
      <c r="R2999"/>
    </row>
    <row r="3000" spans="4:18">
      <c r="D3000" s="6"/>
      <c r="G3000"/>
      <c r="H3000" s="2"/>
      <c r="I3000" s="2"/>
      <c r="L3000"/>
      <c r="R3000"/>
    </row>
    <row r="3001" spans="4:18">
      <c r="D3001" s="6"/>
      <c r="G3001"/>
      <c r="H3001" s="2"/>
      <c r="I3001" s="2"/>
      <c r="L3001"/>
      <c r="R3001"/>
    </row>
    <row r="3002" spans="4:18">
      <c r="D3002" s="6"/>
      <c r="G3002"/>
      <c r="H3002" s="2"/>
      <c r="I3002" s="2"/>
      <c r="L3002"/>
      <c r="R3002"/>
    </row>
    <row r="3003" spans="4:18">
      <c r="D3003" s="6"/>
      <c r="G3003"/>
      <c r="H3003" s="2"/>
      <c r="I3003" s="2"/>
      <c r="L3003"/>
      <c r="R3003"/>
    </row>
    <row r="3004" spans="4:18">
      <c r="D3004" s="6"/>
      <c r="G3004"/>
      <c r="H3004" s="2"/>
      <c r="I3004" s="2"/>
      <c r="L3004"/>
      <c r="R3004"/>
    </row>
    <row r="3005" spans="4:18">
      <c r="D3005" s="6"/>
      <c r="G3005"/>
      <c r="H3005" s="2"/>
      <c r="I3005" s="2"/>
      <c r="L3005"/>
      <c r="R3005"/>
    </row>
    <row r="3006" spans="4:18">
      <c r="D3006" s="6"/>
      <c r="G3006"/>
      <c r="H3006" s="2"/>
      <c r="I3006" s="2"/>
      <c r="L3006"/>
      <c r="R3006"/>
    </row>
    <row r="3007" spans="4:18">
      <c r="D3007" s="6"/>
      <c r="G3007"/>
      <c r="H3007" s="2"/>
      <c r="I3007" s="2"/>
      <c r="L3007"/>
      <c r="R3007"/>
    </row>
    <row r="3008" spans="4:18">
      <c r="D3008" s="6"/>
      <c r="G3008"/>
      <c r="H3008" s="2"/>
      <c r="I3008" s="2"/>
      <c r="L3008"/>
      <c r="R3008"/>
    </row>
    <row r="3009" spans="4:18">
      <c r="D3009" s="6"/>
      <c r="G3009"/>
      <c r="H3009" s="2"/>
      <c r="I3009" s="2"/>
      <c r="L3009"/>
      <c r="R3009"/>
    </row>
    <row r="3010" spans="4:18">
      <c r="D3010" s="6"/>
      <c r="G3010"/>
      <c r="H3010" s="2"/>
      <c r="I3010" s="2"/>
      <c r="L3010"/>
      <c r="R3010"/>
    </row>
    <row r="3011" spans="4:18">
      <c r="D3011" s="6"/>
      <c r="G3011"/>
      <c r="H3011" s="2"/>
      <c r="I3011" s="2"/>
      <c r="L3011"/>
      <c r="R3011"/>
    </row>
    <row r="3012" spans="4:18">
      <c r="D3012" s="6"/>
      <c r="G3012"/>
      <c r="H3012" s="2"/>
      <c r="I3012" s="2"/>
      <c r="L3012"/>
      <c r="R3012"/>
    </row>
    <row r="3013" spans="4:18">
      <c r="D3013" s="6"/>
      <c r="G3013"/>
      <c r="H3013" s="2"/>
      <c r="I3013" s="2"/>
      <c r="L3013"/>
      <c r="R3013"/>
    </row>
    <row r="3014" spans="4:18">
      <c r="D3014" s="6"/>
      <c r="G3014"/>
      <c r="H3014" s="2"/>
      <c r="I3014" s="2"/>
      <c r="L3014"/>
      <c r="R3014"/>
    </row>
    <row r="3015" spans="4:18">
      <c r="D3015" s="6"/>
      <c r="G3015"/>
      <c r="H3015" s="2"/>
      <c r="I3015" s="2"/>
      <c r="L3015"/>
      <c r="R3015"/>
    </row>
    <row r="3016" spans="4:18">
      <c r="D3016" s="6"/>
      <c r="G3016"/>
      <c r="H3016" s="2"/>
      <c r="I3016" s="2"/>
      <c r="L3016"/>
      <c r="R3016"/>
    </row>
    <row r="3017" spans="4:18">
      <c r="D3017" s="6"/>
      <c r="G3017"/>
      <c r="H3017" s="2"/>
      <c r="I3017" s="2"/>
      <c r="L3017"/>
      <c r="R3017"/>
    </row>
    <row r="3018" spans="4:18">
      <c r="D3018" s="6"/>
      <c r="G3018"/>
      <c r="H3018" s="2"/>
      <c r="I3018" s="2"/>
      <c r="L3018"/>
      <c r="R3018"/>
    </row>
    <row r="3019" spans="4:18">
      <c r="D3019" s="6"/>
      <c r="G3019"/>
      <c r="H3019" s="2"/>
      <c r="I3019" s="2"/>
      <c r="L3019"/>
      <c r="R3019"/>
    </row>
    <row r="3020" spans="4:18">
      <c r="D3020" s="6"/>
      <c r="G3020"/>
      <c r="H3020" s="2"/>
      <c r="I3020" s="2"/>
      <c r="L3020"/>
      <c r="R3020"/>
    </row>
    <row r="3021" spans="4:18">
      <c r="D3021" s="6"/>
      <c r="G3021"/>
      <c r="H3021" s="2"/>
      <c r="I3021" s="2"/>
      <c r="L3021"/>
      <c r="R3021"/>
    </row>
    <row r="3022" spans="4:18">
      <c r="D3022" s="6"/>
      <c r="G3022"/>
      <c r="H3022" s="2"/>
      <c r="I3022" s="2"/>
      <c r="L3022"/>
      <c r="R3022"/>
    </row>
    <row r="3023" spans="4:18">
      <c r="D3023" s="6"/>
      <c r="G3023"/>
      <c r="H3023" s="2"/>
      <c r="I3023" s="2"/>
      <c r="L3023"/>
      <c r="R3023"/>
    </row>
    <row r="3024" spans="4:18">
      <c r="D3024" s="6"/>
      <c r="G3024"/>
      <c r="H3024" s="2"/>
      <c r="I3024" s="2"/>
      <c r="L3024"/>
      <c r="R3024"/>
    </row>
    <row r="3025" spans="4:18">
      <c r="D3025" s="6"/>
      <c r="G3025"/>
      <c r="H3025" s="2"/>
      <c r="I3025" s="2"/>
      <c r="L3025"/>
      <c r="R3025"/>
    </row>
    <row r="3026" spans="4:18">
      <c r="D3026" s="6"/>
      <c r="G3026"/>
      <c r="H3026" s="2"/>
      <c r="I3026" s="2"/>
      <c r="L3026"/>
      <c r="R3026"/>
    </row>
    <row r="3027" spans="4:18">
      <c r="D3027" s="6"/>
      <c r="G3027"/>
      <c r="H3027" s="2"/>
      <c r="I3027" s="2"/>
      <c r="L3027"/>
      <c r="R3027"/>
    </row>
    <row r="3028" spans="4:18">
      <c r="D3028" s="6"/>
      <c r="G3028"/>
      <c r="H3028" s="2"/>
      <c r="I3028" s="2"/>
      <c r="L3028"/>
      <c r="R3028"/>
    </row>
    <row r="3029" spans="4:18">
      <c r="D3029" s="6"/>
      <c r="G3029"/>
      <c r="H3029" s="2"/>
      <c r="I3029" s="2"/>
      <c r="L3029"/>
      <c r="R3029"/>
    </row>
    <row r="3030" spans="4:18">
      <c r="D3030" s="6"/>
      <c r="G3030"/>
      <c r="H3030" s="2"/>
      <c r="I3030" s="2"/>
      <c r="L3030"/>
      <c r="R3030"/>
    </row>
    <row r="3031" spans="4:18">
      <c r="D3031" s="6"/>
      <c r="G3031"/>
      <c r="H3031" s="2"/>
      <c r="I3031" s="2"/>
      <c r="L3031"/>
      <c r="R3031"/>
    </row>
    <row r="3032" spans="4:18">
      <c r="D3032" s="6"/>
      <c r="G3032"/>
      <c r="H3032" s="2"/>
      <c r="I3032" s="2"/>
      <c r="L3032"/>
      <c r="R3032"/>
    </row>
    <row r="3033" spans="4:18">
      <c r="D3033" s="6"/>
      <c r="G3033"/>
      <c r="H3033" s="2"/>
      <c r="I3033" s="2"/>
      <c r="L3033"/>
      <c r="R3033"/>
    </row>
    <row r="3034" spans="4:18">
      <c r="D3034" s="6"/>
      <c r="G3034"/>
      <c r="H3034" s="2"/>
      <c r="I3034" s="2"/>
      <c r="L3034"/>
      <c r="R3034"/>
    </row>
    <row r="3035" spans="4:18">
      <c r="D3035" s="6"/>
      <c r="G3035"/>
      <c r="H3035" s="2"/>
      <c r="I3035" s="2"/>
      <c r="L3035"/>
      <c r="R3035"/>
    </row>
    <row r="3036" spans="4:18">
      <c r="D3036" s="6"/>
      <c r="G3036"/>
      <c r="H3036" s="2"/>
      <c r="I3036" s="2"/>
      <c r="L3036"/>
      <c r="R3036"/>
    </row>
    <row r="3037" spans="4:18">
      <c r="D3037" s="6"/>
      <c r="G3037"/>
      <c r="H3037" s="2"/>
      <c r="I3037" s="2"/>
      <c r="L3037"/>
      <c r="R3037"/>
    </row>
    <row r="3038" spans="4:18">
      <c r="D3038" s="6"/>
      <c r="G3038"/>
      <c r="H3038" s="2"/>
      <c r="I3038" s="2"/>
      <c r="L3038"/>
      <c r="R3038"/>
    </row>
    <row r="3039" spans="4:18">
      <c r="D3039" s="6"/>
      <c r="G3039"/>
      <c r="H3039" s="2"/>
      <c r="I3039" s="2"/>
      <c r="L3039"/>
      <c r="R3039"/>
    </row>
    <row r="3040" spans="4:18">
      <c r="D3040" s="6"/>
      <c r="G3040"/>
      <c r="H3040" s="2"/>
      <c r="I3040" s="2"/>
      <c r="L3040"/>
      <c r="R3040"/>
    </row>
    <row r="3041" spans="4:18">
      <c r="D3041" s="6"/>
      <c r="G3041"/>
      <c r="H3041" s="2"/>
      <c r="I3041" s="2"/>
      <c r="L3041"/>
      <c r="R3041"/>
    </row>
    <row r="3042" spans="4:18">
      <c r="D3042" s="6"/>
      <c r="G3042"/>
      <c r="H3042" s="2"/>
      <c r="I3042" s="2"/>
      <c r="L3042"/>
      <c r="R3042"/>
    </row>
    <row r="3043" spans="4:18">
      <c r="D3043" s="6"/>
      <c r="G3043"/>
      <c r="H3043" s="2"/>
      <c r="I3043" s="2"/>
      <c r="L3043"/>
      <c r="R3043"/>
    </row>
    <row r="3044" spans="4:18">
      <c r="D3044" s="6"/>
      <c r="G3044"/>
      <c r="H3044" s="2"/>
      <c r="I3044" s="2"/>
      <c r="L3044"/>
      <c r="R3044"/>
    </row>
    <row r="3045" spans="4:18">
      <c r="D3045" s="6"/>
      <c r="G3045"/>
      <c r="H3045" s="2"/>
      <c r="I3045" s="2"/>
      <c r="L3045"/>
      <c r="R3045"/>
    </row>
    <row r="3046" spans="4:18">
      <c r="D3046" s="6"/>
      <c r="G3046"/>
      <c r="H3046" s="2"/>
      <c r="I3046" s="2"/>
      <c r="L3046"/>
      <c r="R3046"/>
    </row>
    <row r="3047" spans="4:18">
      <c r="D3047" s="6"/>
      <c r="G3047"/>
      <c r="H3047" s="2"/>
      <c r="I3047" s="2"/>
      <c r="L3047"/>
      <c r="R3047"/>
    </row>
    <row r="3048" spans="4:18">
      <c r="D3048" s="6"/>
      <c r="G3048"/>
      <c r="H3048" s="2"/>
      <c r="I3048" s="2"/>
      <c r="L3048"/>
      <c r="R3048"/>
    </row>
    <row r="3049" spans="4:18">
      <c r="D3049" s="6"/>
      <c r="G3049"/>
      <c r="H3049" s="2"/>
      <c r="I3049" s="2"/>
      <c r="L3049"/>
      <c r="R3049"/>
    </row>
    <row r="3050" spans="4:18">
      <c r="D3050" s="6"/>
      <c r="G3050"/>
      <c r="H3050" s="2"/>
      <c r="I3050" s="2"/>
      <c r="L3050"/>
      <c r="R3050"/>
    </row>
    <row r="3051" spans="4:18">
      <c r="D3051" s="6"/>
      <c r="G3051"/>
      <c r="H3051" s="2"/>
      <c r="I3051" s="2"/>
      <c r="L3051"/>
      <c r="R3051"/>
    </row>
    <row r="3052" spans="4:18">
      <c r="D3052" s="6"/>
      <c r="G3052"/>
      <c r="H3052" s="2"/>
      <c r="I3052" s="2"/>
      <c r="L3052"/>
      <c r="R3052"/>
    </row>
    <row r="3053" spans="4:18">
      <c r="D3053" s="6"/>
      <c r="G3053"/>
      <c r="H3053" s="2"/>
      <c r="I3053" s="2"/>
      <c r="L3053"/>
      <c r="R3053"/>
    </row>
    <row r="3054" spans="4:18">
      <c r="D3054" s="6"/>
      <c r="G3054"/>
      <c r="H3054" s="2"/>
      <c r="I3054" s="2"/>
      <c r="L3054"/>
      <c r="R3054"/>
    </row>
    <row r="3055" spans="4:18">
      <c r="D3055" s="6"/>
      <c r="G3055"/>
      <c r="H3055" s="2"/>
      <c r="I3055" s="2"/>
      <c r="L3055"/>
      <c r="R3055"/>
    </row>
    <row r="3056" spans="4:18">
      <c r="D3056" s="6"/>
      <c r="G3056"/>
      <c r="H3056" s="2"/>
      <c r="I3056" s="2"/>
      <c r="L3056"/>
      <c r="R3056"/>
    </row>
    <row r="3057" spans="4:18">
      <c r="D3057" s="6"/>
      <c r="G3057"/>
      <c r="H3057" s="2"/>
      <c r="I3057" s="2"/>
      <c r="L3057"/>
      <c r="R3057"/>
    </row>
    <row r="3058" spans="4:18">
      <c r="D3058" s="6"/>
      <c r="G3058"/>
      <c r="H3058" s="2"/>
      <c r="I3058" s="2"/>
      <c r="L3058"/>
      <c r="R3058"/>
    </row>
    <row r="3059" spans="4:18">
      <c r="D3059" s="6"/>
      <c r="G3059"/>
      <c r="H3059" s="2"/>
      <c r="I3059" s="2"/>
      <c r="L3059"/>
      <c r="R3059"/>
    </row>
    <row r="3060" spans="4:18">
      <c r="D3060" s="6"/>
      <c r="G3060"/>
      <c r="H3060" s="2"/>
      <c r="I3060" s="2"/>
      <c r="L3060"/>
      <c r="R3060"/>
    </row>
    <row r="3061" spans="4:18">
      <c r="D3061" s="6"/>
      <c r="G3061"/>
      <c r="H3061" s="2"/>
      <c r="I3061" s="2"/>
      <c r="L3061"/>
      <c r="R3061"/>
    </row>
    <row r="3062" spans="4:18">
      <c r="D3062" s="6"/>
      <c r="G3062"/>
      <c r="H3062" s="2"/>
      <c r="I3062" s="2"/>
      <c r="L3062"/>
      <c r="R3062"/>
    </row>
    <row r="3063" spans="4:18">
      <c r="D3063" s="6"/>
      <c r="G3063"/>
      <c r="H3063" s="2"/>
      <c r="I3063" s="2"/>
      <c r="L3063"/>
      <c r="R3063"/>
    </row>
    <row r="3064" spans="4:18">
      <c r="D3064" s="6"/>
      <c r="G3064"/>
      <c r="H3064" s="2"/>
      <c r="I3064" s="2"/>
      <c r="L3064"/>
      <c r="R3064"/>
    </row>
    <row r="3065" spans="4:18">
      <c r="D3065" s="6"/>
      <c r="G3065"/>
      <c r="H3065" s="2"/>
      <c r="I3065" s="2"/>
      <c r="L3065"/>
      <c r="R3065"/>
    </row>
    <row r="3066" spans="4:18">
      <c r="D3066" s="6"/>
      <c r="G3066"/>
      <c r="H3066" s="2"/>
      <c r="I3066" s="2"/>
      <c r="L3066"/>
      <c r="R3066"/>
    </row>
    <row r="3067" spans="4:18">
      <c r="D3067" s="6"/>
      <c r="G3067"/>
      <c r="H3067" s="2"/>
      <c r="I3067" s="2"/>
      <c r="L3067"/>
      <c r="R3067"/>
    </row>
    <row r="3068" spans="4:18">
      <c r="D3068" s="6"/>
      <c r="G3068"/>
      <c r="H3068" s="2"/>
      <c r="I3068" s="2"/>
      <c r="L3068"/>
      <c r="R3068"/>
    </row>
    <row r="3069" spans="4:18">
      <c r="D3069" s="6"/>
      <c r="G3069"/>
      <c r="H3069" s="2"/>
      <c r="I3069" s="2"/>
      <c r="L3069"/>
      <c r="R3069"/>
    </row>
    <row r="3070" spans="4:18">
      <c r="D3070" s="6"/>
      <c r="G3070"/>
      <c r="H3070" s="2"/>
      <c r="I3070" s="2"/>
      <c r="L3070"/>
      <c r="R3070"/>
    </row>
    <row r="3071" spans="4:18">
      <c r="D3071" s="6"/>
      <c r="G3071"/>
      <c r="H3071" s="2"/>
      <c r="I3071" s="2"/>
      <c r="L3071"/>
      <c r="R3071"/>
    </row>
    <row r="3072" spans="4:18">
      <c r="D3072" s="6"/>
      <c r="G3072"/>
      <c r="H3072" s="2"/>
      <c r="I3072" s="2"/>
      <c r="L3072"/>
      <c r="R3072"/>
    </row>
    <row r="3073" spans="4:18">
      <c r="D3073" s="6"/>
      <c r="G3073"/>
      <c r="H3073" s="2"/>
      <c r="I3073" s="2"/>
      <c r="L3073"/>
      <c r="R3073"/>
    </row>
    <row r="3074" spans="4:18">
      <c r="D3074" s="6"/>
      <c r="G3074"/>
      <c r="H3074" s="2"/>
      <c r="I3074" s="2"/>
      <c r="L3074"/>
      <c r="R3074"/>
    </row>
    <row r="3075" spans="4:18">
      <c r="D3075" s="6"/>
      <c r="G3075"/>
      <c r="H3075" s="2"/>
      <c r="I3075" s="2"/>
      <c r="L3075"/>
      <c r="R3075"/>
    </row>
    <row r="3076" spans="4:18">
      <c r="D3076" s="6"/>
      <c r="G3076"/>
      <c r="H3076" s="2"/>
      <c r="I3076" s="2"/>
      <c r="L3076"/>
      <c r="R3076"/>
    </row>
    <row r="3077" spans="4:18">
      <c r="D3077" s="6"/>
      <c r="G3077"/>
      <c r="H3077" s="2"/>
      <c r="I3077" s="2"/>
      <c r="L3077"/>
      <c r="R3077"/>
    </row>
    <row r="3078" spans="4:18">
      <c r="D3078" s="6"/>
      <c r="G3078"/>
      <c r="H3078" s="2"/>
      <c r="I3078" s="2"/>
      <c r="L3078"/>
      <c r="R3078"/>
    </row>
    <row r="3079" spans="4:18">
      <c r="D3079" s="6"/>
      <c r="G3079"/>
      <c r="H3079" s="2"/>
      <c r="I3079" s="2"/>
      <c r="L3079"/>
      <c r="R3079"/>
    </row>
    <row r="3080" spans="4:18">
      <c r="D3080" s="6"/>
      <c r="G3080"/>
      <c r="H3080" s="2"/>
      <c r="I3080" s="2"/>
      <c r="L3080"/>
      <c r="R3080"/>
    </row>
    <row r="3081" spans="4:18">
      <c r="D3081" s="6"/>
      <c r="G3081"/>
      <c r="H3081" s="2"/>
      <c r="I3081" s="2"/>
      <c r="L3081"/>
      <c r="R3081"/>
    </row>
    <row r="3082" spans="4:18">
      <c r="D3082" s="6"/>
      <c r="G3082"/>
      <c r="H3082" s="2"/>
      <c r="I3082" s="2"/>
      <c r="L3082"/>
      <c r="R3082"/>
    </row>
    <row r="3083" spans="4:18">
      <c r="D3083" s="6"/>
      <c r="G3083"/>
      <c r="H3083" s="2"/>
      <c r="I3083" s="2"/>
      <c r="L3083"/>
      <c r="R3083"/>
    </row>
    <row r="3084" spans="4:18">
      <c r="D3084" s="6"/>
      <c r="G3084"/>
      <c r="H3084" s="2"/>
      <c r="I3084" s="2"/>
      <c r="L3084"/>
      <c r="R3084"/>
    </row>
    <row r="3085" spans="4:18">
      <c r="D3085" s="6"/>
      <c r="G3085"/>
      <c r="H3085" s="2"/>
      <c r="I3085" s="2"/>
      <c r="L3085"/>
      <c r="R3085"/>
    </row>
    <row r="3086" spans="4:18">
      <c r="D3086" s="6"/>
      <c r="G3086"/>
      <c r="H3086" s="2"/>
      <c r="I3086" s="2"/>
      <c r="L3086"/>
      <c r="R3086"/>
    </row>
    <row r="3087" spans="4:18">
      <c r="D3087" s="6"/>
      <c r="G3087"/>
      <c r="H3087" s="2"/>
      <c r="I3087" s="2"/>
      <c r="L3087"/>
      <c r="R3087"/>
    </row>
    <row r="3088" spans="4:18">
      <c r="D3088" s="6"/>
      <c r="G3088"/>
      <c r="H3088" s="2"/>
      <c r="I3088" s="2"/>
      <c r="L3088"/>
      <c r="R3088"/>
    </row>
    <row r="3089" spans="4:18">
      <c r="D3089" s="6"/>
      <c r="G3089"/>
      <c r="H3089" s="2"/>
      <c r="I3089" s="2"/>
      <c r="L3089"/>
      <c r="R3089"/>
    </row>
    <row r="3090" spans="4:18">
      <c r="D3090" s="6"/>
      <c r="G3090"/>
      <c r="H3090" s="2"/>
      <c r="I3090" s="2"/>
      <c r="L3090"/>
      <c r="R3090"/>
    </row>
    <row r="3091" spans="4:18">
      <c r="D3091" s="6"/>
      <c r="G3091"/>
      <c r="H3091" s="2"/>
      <c r="I3091" s="2"/>
      <c r="L3091"/>
      <c r="R3091"/>
    </row>
    <row r="3092" spans="4:18">
      <c r="D3092" s="6"/>
      <c r="G3092"/>
      <c r="H3092" s="2"/>
      <c r="I3092" s="2"/>
      <c r="L3092"/>
      <c r="R3092"/>
    </row>
    <row r="3093" spans="4:18">
      <c r="D3093" s="6"/>
      <c r="G3093"/>
      <c r="H3093" s="2"/>
      <c r="I3093" s="2"/>
      <c r="L3093"/>
      <c r="R3093"/>
    </row>
    <row r="3094" spans="4:18">
      <c r="D3094" s="6"/>
      <c r="G3094"/>
      <c r="H3094" s="2"/>
      <c r="I3094" s="2"/>
      <c r="L3094"/>
      <c r="R3094"/>
    </row>
    <row r="3095" spans="4:18">
      <c r="D3095" s="6"/>
      <c r="G3095"/>
      <c r="H3095" s="2"/>
      <c r="I3095" s="2"/>
      <c r="L3095"/>
      <c r="R3095"/>
    </row>
    <row r="3096" spans="4:18">
      <c r="D3096" s="6"/>
      <c r="G3096"/>
      <c r="H3096" s="2"/>
      <c r="I3096" s="2"/>
      <c r="L3096"/>
      <c r="R3096"/>
    </row>
    <row r="3097" spans="4:18">
      <c r="D3097" s="6"/>
      <c r="G3097"/>
      <c r="H3097" s="2"/>
      <c r="I3097" s="2"/>
      <c r="L3097"/>
      <c r="R3097"/>
    </row>
    <row r="3098" spans="4:18">
      <c r="D3098" s="6"/>
      <c r="G3098"/>
      <c r="H3098" s="2"/>
      <c r="I3098" s="2"/>
      <c r="L3098"/>
      <c r="R3098"/>
    </row>
    <row r="3099" spans="4:18">
      <c r="D3099" s="6"/>
      <c r="G3099"/>
      <c r="H3099" s="2"/>
      <c r="I3099" s="2"/>
      <c r="L3099"/>
      <c r="R3099"/>
    </row>
    <row r="3100" spans="4:18">
      <c r="D3100" s="6"/>
      <c r="G3100"/>
      <c r="H3100" s="2"/>
      <c r="I3100" s="2"/>
      <c r="L3100"/>
      <c r="R3100"/>
    </row>
    <row r="3101" spans="4:18">
      <c r="D3101" s="6"/>
      <c r="G3101"/>
      <c r="H3101" s="2"/>
      <c r="I3101" s="2"/>
      <c r="L3101"/>
      <c r="R3101"/>
    </row>
    <row r="3102" spans="4:18">
      <c r="D3102" s="6"/>
      <c r="G3102"/>
      <c r="H3102" s="2"/>
      <c r="I3102" s="2"/>
      <c r="L3102"/>
      <c r="R3102"/>
    </row>
    <row r="3103" spans="4:18">
      <c r="D3103" s="6"/>
      <c r="G3103"/>
      <c r="H3103" s="2"/>
      <c r="I3103" s="2"/>
      <c r="L3103"/>
      <c r="R3103"/>
    </row>
    <row r="3104" spans="4:18">
      <c r="D3104" s="6"/>
      <c r="G3104"/>
      <c r="H3104" s="2"/>
      <c r="I3104" s="2"/>
      <c r="L3104"/>
      <c r="R3104"/>
    </row>
    <row r="3105" spans="4:18">
      <c r="D3105" s="6"/>
      <c r="G3105"/>
      <c r="H3105" s="2"/>
      <c r="I3105" s="2"/>
      <c r="L3105"/>
      <c r="R3105"/>
    </row>
    <row r="3106" spans="4:18">
      <c r="D3106" s="6"/>
      <c r="G3106"/>
      <c r="H3106" s="2"/>
      <c r="I3106" s="2"/>
      <c r="L3106"/>
      <c r="R3106"/>
    </row>
    <row r="3107" spans="4:18">
      <c r="D3107" s="6"/>
      <c r="G3107"/>
      <c r="H3107" s="2"/>
      <c r="I3107" s="2"/>
      <c r="L3107"/>
      <c r="R3107"/>
    </row>
    <row r="3108" spans="4:18">
      <c r="D3108" s="6"/>
      <c r="G3108"/>
      <c r="H3108" s="2"/>
      <c r="I3108" s="2"/>
      <c r="L3108"/>
      <c r="R3108"/>
    </row>
    <row r="3109" spans="4:18">
      <c r="D3109" s="6"/>
      <c r="G3109"/>
      <c r="H3109" s="2"/>
      <c r="I3109" s="2"/>
      <c r="L3109"/>
      <c r="R3109"/>
    </row>
    <row r="3110" spans="4:18">
      <c r="D3110" s="6"/>
      <c r="G3110"/>
      <c r="H3110" s="2"/>
      <c r="I3110" s="2"/>
      <c r="L3110"/>
      <c r="R3110"/>
    </row>
    <row r="3111" spans="4:18">
      <c r="D3111" s="6"/>
      <c r="G3111"/>
      <c r="H3111" s="2"/>
      <c r="I3111" s="2"/>
      <c r="L3111"/>
      <c r="R3111"/>
    </row>
    <row r="3112" spans="4:18">
      <c r="D3112" s="6"/>
      <c r="G3112"/>
      <c r="H3112" s="2"/>
      <c r="I3112" s="2"/>
      <c r="L3112"/>
      <c r="R3112"/>
    </row>
    <row r="3113" spans="4:18">
      <c r="D3113" s="6"/>
      <c r="G3113"/>
      <c r="H3113" s="2"/>
      <c r="I3113" s="2"/>
      <c r="L3113"/>
      <c r="R3113"/>
    </row>
    <row r="3114" spans="4:18">
      <c r="D3114" s="6"/>
      <c r="G3114"/>
      <c r="H3114" s="2"/>
      <c r="I3114" s="2"/>
      <c r="L3114"/>
      <c r="R3114"/>
    </row>
    <row r="3115" spans="4:18">
      <c r="D3115" s="6"/>
      <c r="G3115"/>
      <c r="H3115" s="2"/>
      <c r="I3115" s="2"/>
      <c r="L3115"/>
      <c r="R3115"/>
    </row>
    <row r="3116" spans="4:18">
      <c r="D3116" s="6"/>
      <c r="G3116"/>
      <c r="H3116" s="2"/>
      <c r="I3116" s="2"/>
      <c r="L3116"/>
      <c r="R3116"/>
    </row>
    <row r="3117" spans="4:18">
      <c r="D3117" s="6"/>
      <c r="G3117"/>
      <c r="H3117" s="2"/>
      <c r="I3117" s="2"/>
      <c r="L3117"/>
      <c r="R3117"/>
    </row>
    <row r="3118" spans="4:18">
      <c r="D3118" s="6"/>
      <c r="G3118"/>
      <c r="H3118" s="2"/>
      <c r="I3118" s="2"/>
      <c r="L3118"/>
      <c r="R3118"/>
    </row>
    <row r="3119" spans="4:18">
      <c r="D3119" s="6"/>
      <c r="G3119"/>
      <c r="H3119" s="2"/>
      <c r="I3119" s="2"/>
      <c r="L3119"/>
      <c r="R3119"/>
    </row>
    <row r="3120" spans="4:18">
      <c r="D3120" s="6"/>
      <c r="G3120"/>
      <c r="H3120" s="2"/>
      <c r="I3120" s="2"/>
      <c r="L3120"/>
      <c r="R3120"/>
    </row>
    <row r="3121" spans="4:18">
      <c r="D3121" s="6"/>
      <c r="G3121"/>
      <c r="H3121" s="2"/>
      <c r="I3121" s="2"/>
      <c r="L3121"/>
      <c r="R3121"/>
    </row>
    <row r="3122" spans="4:18">
      <c r="D3122" s="6"/>
      <c r="G3122"/>
      <c r="H3122" s="2"/>
      <c r="I3122" s="2"/>
      <c r="L3122"/>
      <c r="R3122"/>
    </row>
    <row r="3123" spans="4:18">
      <c r="D3123" s="6"/>
      <c r="G3123"/>
      <c r="H3123" s="2"/>
      <c r="I3123" s="2"/>
      <c r="L3123"/>
      <c r="R3123"/>
    </row>
    <row r="3124" spans="4:18">
      <c r="D3124" s="6"/>
      <c r="G3124"/>
      <c r="H3124" s="2"/>
      <c r="I3124" s="2"/>
      <c r="L3124"/>
      <c r="R3124"/>
    </row>
    <row r="3125" spans="4:18">
      <c r="D3125" s="6"/>
      <c r="G3125"/>
      <c r="H3125" s="2"/>
      <c r="I3125" s="2"/>
      <c r="L3125"/>
      <c r="R3125"/>
    </row>
    <row r="3126" spans="4:18">
      <c r="D3126" s="6"/>
      <c r="G3126"/>
      <c r="H3126" s="2"/>
      <c r="I3126" s="2"/>
      <c r="L3126"/>
      <c r="R3126"/>
    </row>
    <row r="3127" spans="4:18">
      <c r="D3127" s="6"/>
      <c r="G3127"/>
      <c r="H3127" s="2"/>
      <c r="I3127" s="2"/>
      <c r="L3127"/>
      <c r="R3127"/>
    </row>
    <row r="3128" spans="4:18">
      <c r="D3128" s="6"/>
      <c r="G3128"/>
      <c r="H3128" s="2"/>
      <c r="I3128" s="2"/>
      <c r="L3128"/>
      <c r="R3128"/>
    </row>
    <row r="3129" spans="4:18">
      <c r="D3129" s="6"/>
      <c r="G3129"/>
      <c r="H3129" s="2"/>
      <c r="I3129" s="2"/>
      <c r="L3129"/>
      <c r="R3129"/>
    </row>
    <row r="3130" spans="4:18">
      <c r="D3130" s="6"/>
      <c r="G3130"/>
      <c r="H3130" s="2"/>
      <c r="I3130" s="2"/>
      <c r="L3130"/>
      <c r="R3130"/>
    </row>
    <row r="3131" spans="4:18">
      <c r="D3131" s="6"/>
      <c r="G3131"/>
      <c r="H3131" s="2"/>
      <c r="I3131" s="2"/>
      <c r="L3131"/>
      <c r="R3131"/>
    </row>
    <row r="3132" spans="4:18">
      <c r="D3132" s="6"/>
      <c r="G3132"/>
      <c r="H3132" s="2"/>
      <c r="I3132" s="2"/>
      <c r="L3132"/>
      <c r="R3132"/>
    </row>
    <row r="3133" spans="4:18">
      <c r="D3133" s="6"/>
      <c r="G3133"/>
      <c r="H3133" s="2"/>
      <c r="I3133" s="2"/>
      <c r="L3133"/>
      <c r="R3133"/>
    </row>
    <row r="3134" spans="4:18">
      <c r="D3134" s="6"/>
      <c r="G3134"/>
      <c r="H3134" s="2"/>
      <c r="I3134" s="2"/>
      <c r="L3134"/>
      <c r="R3134"/>
    </row>
    <row r="3135" spans="4:18">
      <c r="D3135" s="6"/>
      <c r="G3135"/>
      <c r="H3135" s="2"/>
      <c r="I3135" s="2"/>
      <c r="L3135"/>
      <c r="R3135"/>
    </row>
    <row r="3136" spans="4:18">
      <c r="D3136" s="6"/>
      <c r="G3136"/>
      <c r="H3136" s="2"/>
      <c r="I3136" s="2"/>
      <c r="L3136"/>
      <c r="R3136"/>
    </row>
    <row r="3137" spans="4:18">
      <c r="D3137" s="6"/>
      <c r="G3137"/>
      <c r="H3137" s="2"/>
      <c r="I3137" s="2"/>
      <c r="L3137"/>
      <c r="R3137"/>
    </row>
    <row r="3138" spans="4:18">
      <c r="D3138" s="6"/>
      <c r="G3138"/>
      <c r="H3138" s="2"/>
      <c r="I3138" s="2"/>
      <c r="L3138"/>
      <c r="R3138"/>
    </row>
    <row r="3139" spans="4:18">
      <c r="D3139" s="6"/>
      <c r="G3139"/>
      <c r="H3139" s="2"/>
      <c r="I3139" s="2"/>
      <c r="L3139"/>
      <c r="R3139"/>
    </row>
    <row r="3140" spans="4:18">
      <c r="D3140" s="6"/>
      <c r="G3140"/>
      <c r="H3140" s="2"/>
      <c r="I3140" s="2"/>
      <c r="L3140"/>
      <c r="R3140"/>
    </row>
    <row r="3141" spans="4:18">
      <c r="D3141" s="6"/>
      <c r="G3141"/>
      <c r="H3141" s="2"/>
      <c r="I3141" s="2"/>
      <c r="L3141"/>
      <c r="R3141"/>
    </row>
    <row r="3142" spans="4:18">
      <c r="D3142" s="6"/>
      <c r="G3142"/>
      <c r="H3142" s="2"/>
      <c r="I3142" s="2"/>
      <c r="L3142"/>
      <c r="R3142"/>
    </row>
    <row r="3143" spans="4:18">
      <c r="D3143" s="6"/>
      <c r="G3143"/>
      <c r="H3143" s="2"/>
      <c r="I3143" s="2"/>
      <c r="L3143"/>
      <c r="R3143"/>
    </row>
    <row r="3144" spans="4:18">
      <c r="D3144" s="6"/>
      <c r="G3144"/>
      <c r="H3144" s="2"/>
      <c r="I3144" s="2"/>
      <c r="L3144"/>
      <c r="R3144"/>
    </row>
    <row r="3145" spans="4:18">
      <c r="D3145" s="6"/>
      <c r="G3145"/>
      <c r="H3145" s="2"/>
      <c r="I3145" s="2"/>
      <c r="L3145"/>
      <c r="R3145"/>
    </row>
    <row r="3146" spans="4:18">
      <c r="D3146" s="6"/>
      <c r="G3146"/>
      <c r="H3146" s="2"/>
      <c r="I3146" s="2"/>
      <c r="L3146"/>
      <c r="R3146"/>
    </row>
    <row r="3147" spans="4:18">
      <c r="D3147" s="6"/>
      <c r="G3147"/>
      <c r="H3147" s="2"/>
      <c r="I3147" s="2"/>
      <c r="L3147"/>
      <c r="R3147"/>
    </row>
    <row r="3148" spans="4:18">
      <c r="D3148" s="6"/>
      <c r="G3148"/>
      <c r="H3148" s="2"/>
      <c r="I3148" s="2"/>
      <c r="L3148"/>
      <c r="R3148"/>
    </row>
    <row r="3149" spans="4:18">
      <c r="D3149" s="6"/>
      <c r="G3149"/>
      <c r="H3149" s="2"/>
      <c r="I3149" s="2"/>
      <c r="L3149"/>
      <c r="R3149"/>
    </row>
    <row r="3150" spans="4:18">
      <c r="D3150" s="6"/>
      <c r="G3150"/>
      <c r="H3150" s="2"/>
      <c r="I3150" s="2"/>
      <c r="L3150"/>
      <c r="R3150"/>
    </row>
    <row r="3151" spans="4:18">
      <c r="D3151" s="6"/>
      <c r="G3151"/>
      <c r="H3151" s="2"/>
      <c r="I3151" s="2"/>
      <c r="L3151"/>
      <c r="R3151"/>
    </row>
    <row r="3152" spans="4:18">
      <c r="G3152"/>
      <c r="H3152" s="2"/>
      <c r="I3152" s="2"/>
      <c r="L3152"/>
      <c r="R3152"/>
    </row>
    <row r="3153" spans="7:18">
      <c r="G3153"/>
      <c r="H3153" s="2"/>
      <c r="I3153" s="2"/>
      <c r="L3153"/>
      <c r="R3153"/>
    </row>
    <row r="3154" spans="7:18">
      <c r="G3154"/>
      <c r="H3154" s="2"/>
      <c r="I3154" s="2"/>
      <c r="L3154"/>
      <c r="R3154"/>
    </row>
    <row r="3155" spans="7:18">
      <c r="G3155"/>
      <c r="H3155" s="2"/>
      <c r="I3155" s="2"/>
      <c r="L3155"/>
      <c r="R3155"/>
    </row>
    <row r="3156" spans="7:18">
      <c r="G3156"/>
      <c r="H3156" s="2"/>
      <c r="I3156" s="2"/>
      <c r="L3156"/>
      <c r="R3156"/>
    </row>
    <row r="3157" spans="7:18">
      <c r="G3157"/>
      <c r="H3157" s="2"/>
      <c r="I3157" s="2"/>
      <c r="L3157"/>
      <c r="R3157"/>
    </row>
    <row r="3158" spans="7:18">
      <c r="G3158"/>
      <c r="H3158" s="2"/>
      <c r="I3158" s="2"/>
      <c r="L3158"/>
      <c r="R3158"/>
    </row>
    <row r="3159" spans="7:18">
      <c r="G3159"/>
      <c r="H3159" s="2"/>
      <c r="I3159" s="2"/>
      <c r="L3159"/>
      <c r="R3159"/>
    </row>
    <row r="3160" spans="7:18">
      <c r="G3160"/>
      <c r="H3160" s="2"/>
      <c r="I3160" s="2"/>
      <c r="L3160"/>
      <c r="R3160"/>
    </row>
    <row r="3161" spans="7:18">
      <c r="G3161"/>
      <c r="H3161" s="2"/>
      <c r="I3161" s="2"/>
      <c r="L3161"/>
      <c r="R3161"/>
    </row>
    <row r="3162" spans="7:18">
      <c r="G3162"/>
      <c r="H3162" s="2"/>
      <c r="I3162" s="2"/>
      <c r="L3162"/>
      <c r="R3162"/>
    </row>
    <row r="3163" spans="7:18">
      <c r="G3163"/>
      <c r="H3163" s="2"/>
      <c r="I3163" s="2"/>
      <c r="L3163"/>
      <c r="R3163"/>
    </row>
    <row r="3164" spans="7:18">
      <c r="G3164"/>
      <c r="H3164" s="2"/>
      <c r="I3164" s="2"/>
      <c r="L3164"/>
      <c r="R3164"/>
    </row>
    <row r="3165" spans="7:18">
      <c r="G3165"/>
      <c r="H3165" s="2"/>
      <c r="I3165" s="2"/>
      <c r="L3165"/>
      <c r="R3165"/>
    </row>
    <row r="3166" spans="7:18">
      <c r="G3166"/>
      <c r="H3166" s="2"/>
      <c r="I3166" s="2"/>
      <c r="L3166"/>
      <c r="R3166"/>
    </row>
    <row r="3167" spans="7:18">
      <c r="G3167"/>
      <c r="H3167" s="2"/>
      <c r="I3167" s="2"/>
      <c r="L3167"/>
      <c r="R3167"/>
    </row>
    <row r="3168" spans="7:18">
      <c r="G3168"/>
      <c r="H3168" s="2"/>
      <c r="I3168" s="2"/>
      <c r="L3168"/>
      <c r="R3168"/>
    </row>
    <row r="3169" spans="7:18">
      <c r="G3169"/>
      <c r="H3169" s="2"/>
      <c r="I3169" s="2"/>
      <c r="L3169"/>
      <c r="R3169"/>
    </row>
    <row r="3170" spans="7:18">
      <c r="G3170"/>
      <c r="H3170" s="2"/>
      <c r="I3170" s="2"/>
      <c r="L3170"/>
      <c r="R3170"/>
    </row>
    <row r="3171" spans="7:18">
      <c r="G3171"/>
      <c r="H3171" s="2"/>
      <c r="I3171" s="2"/>
      <c r="L3171"/>
      <c r="R3171"/>
    </row>
    <row r="3172" spans="7:18">
      <c r="G3172"/>
      <c r="H3172" s="2"/>
      <c r="I3172" s="2"/>
      <c r="L3172"/>
      <c r="R3172"/>
    </row>
    <row r="3173" spans="7:18">
      <c r="G3173"/>
      <c r="H3173" s="2"/>
      <c r="I3173" s="2"/>
      <c r="L3173"/>
      <c r="R3173"/>
    </row>
    <row r="3174" spans="7:18">
      <c r="G3174"/>
      <c r="H3174" s="2"/>
      <c r="I3174" s="2"/>
      <c r="L3174"/>
      <c r="R3174"/>
    </row>
    <row r="3175" spans="7:18">
      <c r="G3175"/>
      <c r="H3175" s="2"/>
      <c r="I3175" s="2"/>
      <c r="L3175"/>
      <c r="R3175"/>
    </row>
    <row r="3176" spans="7:18">
      <c r="G3176"/>
      <c r="H3176" s="2"/>
      <c r="I3176" s="2"/>
      <c r="L3176"/>
      <c r="R3176"/>
    </row>
    <row r="3177" spans="7:18">
      <c r="G3177"/>
      <c r="H3177" s="2"/>
      <c r="I3177" s="2"/>
      <c r="L3177"/>
      <c r="R3177"/>
    </row>
    <row r="3178" spans="7:18">
      <c r="G3178"/>
      <c r="H3178" s="2"/>
      <c r="I3178" s="2"/>
      <c r="L3178"/>
      <c r="R3178"/>
    </row>
    <row r="3179" spans="7:18">
      <c r="G3179"/>
      <c r="H3179" s="2"/>
      <c r="I3179" s="2"/>
      <c r="L3179"/>
      <c r="R3179"/>
    </row>
    <row r="3180" spans="7:18">
      <c r="G3180"/>
      <c r="H3180" s="2"/>
      <c r="I3180" s="2"/>
      <c r="L3180"/>
      <c r="R3180"/>
    </row>
    <row r="3181" spans="7:18">
      <c r="G3181"/>
      <c r="H3181" s="2"/>
      <c r="I3181" s="2"/>
      <c r="L3181"/>
      <c r="R3181"/>
    </row>
    <row r="3182" spans="7:18">
      <c r="G3182"/>
      <c r="H3182" s="2"/>
      <c r="I3182" s="2"/>
      <c r="L3182"/>
      <c r="R3182"/>
    </row>
    <row r="3183" spans="7:18">
      <c r="G3183"/>
      <c r="H3183" s="2"/>
      <c r="I3183" s="2"/>
      <c r="L3183"/>
      <c r="R3183"/>
    </row>
    <row r="3184" spans="7:18">
      <c r="G3184"/>
      <c r="H3184" s="2"/>
      <c r="I3184" s="2"/>
      <c r="L3184"/>
      <c r="R3184"/>
    </row>
    <row r="3185" spans="7:18">
      <c r="G3185"/>
      <c r="H3185" s="2"/>
      <c r="I3185" s="2"/>
      <c r="L3185"/>
      <c r="R3185"/>
    </row>
    <row r="3186" spans="7:18">
      <c r="G3186"/>
      <c r="H3186" s="2"/>
      <c r="I3186" s="2"/>
      <c r="L3186"/>
      <c r="R3186"/>
    </row>
    <row r="3187" spans="7:18">
      <c r="G3187"/>
      <c r="H3187" s="2"/>
      <c r="I3187" s="2"/>
      <c r="L3187"/>
      <c r="R3187"/>
    </row>
    <row r="3188" spans="7:18">
      <c r="G3188"/>
      <c r="H3188" s="2"/>
      <c r="I3188" s="2"/>
      <c r="L3188"/>
      <c r="R3188"/>
    </row>
    <row r="3189" spans="7:18">
      <c r="G3189"/>
      <c r="H3189" s="2"/>
      <c r="I3189" s="2"/>
      <c r="L3189"/>
      <c r="R3189"/>
    </row>
    <row r="3190" spans="7:18">
      <c r="G3190"/>
      <c r="H3190" s="2"/>
      <c r="I3190" s="2"/>
      <c r="L3190"/>
      <c r="R3190"/>
    </row>
    <row r="3191" spans="7:18">
      <c r="G3191"/>
      <c r="H3191" s="2"/>
      <c r="I3191" s="2"/>
      <c r="L3191"/>
      <c r="R3191"/>
    </row>
    <row r="3192" spans="7:18">
      <c r="G3192"/>
      <c r="H3192" s="2"/>
      <c r="I3192" s="2"/>
      <c r="L3192"/>
      <c r="R3192"/>
    </row>
    <row r="3193" spans="7:18">
      <c r="G3193"/>
      <c r="H3193" s="2"/>
      <c r="I3193" s="2"/>
      <c r="L3193"/>
      <c r="R3193"/>
    </row>
    <row r="3194" spans="7:18">
      <c r="G3194"/>
      <c r="H3194" s="2"/>
      <c r="I3194" s="2"/>
      <c r="L3194"/>
      <c r="R3194"/>
    </row>
    <row r="3195" spans="7:18">
      <c r="G3195"/>
      <c r="H3195" s="2"/>
      <c r="I3195" s="2"/>
      <c r="L3195"/>
      <c r="R3195"/>
    </row>
    <row r="3196" spans="7:18">
      <c r="G3196"/>
      <c r="H3196" s="2"/>
      <c r="I3196" s="2"/>
      <c r="L3196"/>
      <c r="R3196"/>
    </row>
    <row r="3197" spans="7:18">
      <c r="G3197"/>
      <c r="H3197" s="2"/>
      <c r="I3197" s="2"/>
      <c r="L3197"/>
      <c r="R3197"/>
    </row>
    <row r="3198" spans="7:18">
      <c r="G3198"/>
      <c r="H3198" s="2"/>
      <c r="I3198" s="2"/>
      <c r="L3198"/>
      <c r="R3198"/>
    </row>
    <row r="3199" spans="7:18">
      <c r="G3199"/>
      <c r="H3199" s="2"/>
      <c r="I3199" s="2"/>
      <c r="L3199"/>
      <c r="R3199"/>
    </row>
    <row r="3200" spans="7:18">
      <c r="G3200"/>
      <c r="H3200" s="2"/>
      <c r="I3200" s="2"/>
      <c r="L3200"/>
      <c r="R3200"/>
    </row>
    <row r="3201" spans="7:18">
      <c r="G3201"/>
      <c r="H3201" s="2"/>
      <c r="I3201" s="2"/>
      <c r="L3201"/>
      <c r="R3201"/>
    </row>
    <row r="3202" spans="7:18">
      <c r="G3202"/>
      <c r="H3202" s="2"/>
      <c r="I3202" s="2"/>
      <c r="L3202"/>
      <c r="R3202"/>
    </row>
    <row r="3203" spans="7:18">
      <c r="G3203"/>
      <c r="H3203" s="2"/>
      <c r="I3203" s="2"/>
      <c r="L3203"/>
      <c r="R3203"/>
    </row>
    <row r="3204" spans="7:18">
      <c r="G3204"/>
      <c r="H3204" s="2"/>
      <c r="I3204" s="2"/>
      <c r="L3204"/>
      <c r="R3204"/>
    </row>
    <row r="3205" spans="7:18">
      <c r="G3205"/>
      <c r="H3205" s="2"/>
      <c r="I3205" s="2"/>
      <c r="L3205"/>
      <c r="R3205"/>
    </row>
    <row r="3206" spans="7:18">
      <c r="G3206"/>
      <c r="H3206" s="2"/>
      <c r="I3206" s="2"/>
      <c r="L3206"/>
      <c r="R3206"/>
    </row>
    <row r="3207" spans="7:18">
      <c r="G3207"/>
      <c r="H3207" s="2"/>
      <c r="I3207" s="2"/>
      <c r="L3207"/>
      <c r="R3207"/>
    </row>
    <row r="3208" spans="7:18">
      <c r="G3208"/>
      <c r="H3208" s="2"/>
      <c r="I3208" s="2"/>
      <c r="L3208"/>
      <c r="R3208"/>
    </row>
    <row r="3209" spans="7:18">
      <c r="G3209"/>
      <c r="H3209" s="2"/>
      <c r="I3209" s="2"/>
      <c r="L3209"/>
      <c r="R3209"/>
    </row>
    <row r="3210" spans="7:18">
      <c r="G3210"/>
      <c r="H3210" s="2"/>
      <c r="I3210" s="2"/>
      <c r="L3210"/>
      <c r="R3210"/>
    </row>
    <row r="3211" spans="7:18">
      <c r="G3211"/>
      <c r="H3211" s="2"/>
      <c r="I3211" s="2"/>
      <c r="L3211"/>
      <c r="R3211"/>
    </row>
    <row r="3212" spans="7:18">
      <c r="G3212"/>
      <c r="H3212" s="2"/>
      <c r="I3212" s="2"/>
      <c r="L3212"/>
      <c r="R3212"/>
    </row>
    <row r="3213" spans="7:18">
      <c r="G3213"/>
      <c r="H3213" s="2"/>
      <c r="I3213" s="2"/>
      <c r="L3213"/>
      <c r="R3213"/>
    </row>
    <row r="3214" spans="7:18">
      <c r="G3214"/>
      <c r="H3214" s="2"/>
      <c r="I3214" s="2"/>
      <c r="L3214"/>
      <c r="R3214"/>
    </row>
    <row r="3215" spans="7:18">
      <c r="G3215"/>
      <c r="H3215" s="2"/>
      <c r="I3215" s="2"/>
      <c r="L3215"/>
      <c r="R3215"/>
    </row>
    <row r="3216" spans="7:18">
      <c r="G3216"/>
      <c r="H3216" s="2"/>
      <c r="I3216" s="2"/>
      <c r="L3216"/>
      <c r="R3216"/>
    </row>
    <row r="3217" spans="7:18">
      <c r="G3217"/>
      <c r="H3217" s="2"/>
      <c r="I3217" s="2"/>
      <c r="L3217"/>
      <c r="R3217"/>
    </row>
    <row r="3218" spans="7:18">
      <c r="G3218"/>
      <c r="H3218" s="2"/>
      <c r="I3218" s="2"/>
      <c r="L3218"/>
      <c r="R3218"/>
    </row>
    <row r="3219" spans="7:18">
      <c r="G3219"/>
      <c r="H3219" s="2"/>
      <c r="I3219" s="2"/>
      <c r="L3219"/>
      <c r="R3219"/>
    </row>
    <row r="3220" spans="7:18">
      <c r="G3220"/>
      <c r="H3220" s="2"/>
      <c r="I3220" s="2"/>
      <c r="L3220"/>
      <c r="R3220"/>
    </row>
    <row r="3221" spans="7:18">
      <c r="G3221"/>
      <c r="H3221" s="2"/>
      <c r="I3221" s="2"/>
      <c r="L3221"/>
      <c r="R3221"/>
    </row>
    <row r="3222" spans="7:18">
      <c r="G3222"/>
      <c r="H3222" s="2"/>
      <c r="I3222" s="2"/>
      <c r="L3222"/>
      <c r="R3222"/>
    </row>
    <row r="3223" spans="7:18">
      <c r="G3223"/>
      <c r="H3223" s="2"/>
      <c r="I3223" s="2"/>
      <c r="L3223"/>
      <c r="R3223"/>
    </row>
    <row r="3224" spans="7:18">
      <c r="G3224"/>
      <c r="H3224" s="2"/>
      <c r="I3224" s="2"/>
      <c r="L3224"/>
      <c r="R3224"/>
    </row>
    <row r="3225" spans="7:18">
      <c r="G3225"/>
      <c r="H3225" s="2"/>
      <c r="I3225" s="2"/>
      <c r="L3225"/>
      <c r="R3225"/>
    </row>
    <row r="3226" spans="7:18">
      <c r="G3226"/>
      <c r="H3226" s="2"/>
      <c r="I3226" s="2"/>
      <c r="L3226"/>
      <c r="R3226"/>
    </row>
    <row r="3227" spans="7:18">
      <c r="G3227"/>
      <c r="H3227" s="2"/>
      <c r="I3227" s="2"/>
      <c r="L3227"/>
      <c r="R3227"/>
    </row>
    <row r="3228" spans="7:18">
      <c r="G3228"/>
      <c r="H3228" s="2"/>
      <c r="I3228" s="2"/>
      <c r="L3228"/>
      <c r="R3228"/>
    </row>
    <row r="3229" spans="7:18">
      <c r="G3229"/>
      <c r="H3229" s="2"/>
      <c r="I3229" s="2"/>
      <c r="L3229"/>
      <c r="R3229"/>
    </row>
    <row r="3230" spans="7:18">
      <c r="G3230"/>
      <c r="H3230" s="2"/>
      <c r="I3230" s="2"/>
      <c r="L3230"/>
      <c r="R3230"/>
    </row>
    <row r="3231" spans="7:18">
      <c r="G3231"/>
      <c r="H3231" s="2"/>
      <c r="I3231" s="2"/>
      <c r="L3231"/>
      <c r="R3231"/>
    </row>
    <row r="3232" spans="7:18">
      <c r="G3232"/>
      <c r="H3232" s="2"/>
      <c r="I3232" s="2"/>
      <c r="L3232"/>
      <c r="R3232"/>
    </row>
    <row r="3233" spans="7:18">
      <c r="G3233"/>
      <c r="H3233" s="2"/>
      <c r="I3233" s="2"/>
      <c r="L3233"/>
      <c r="R3233"/>
    </row>
    <row r="3234" spans="7:18">
      <c r="G3234"/>
      <c r="H3234" s="2"/>
      <c r="I3234" s="2"/>
      <c r="L3234"/>
      <c r="R3234"/>
    </row>
    <row r="3235" spans="7:18">
      <c r="G3235"/>
      <c r="H3235" s="2"/>
      <c r="I3235" s="2"/>
      <c r="L3235"/>
      <c r="R3235"/>
    </row>
    <row r="3236" spans="7:18">
      <c r="G3236"/>
      <c r="H3236" s="2"/>
      <c r="I3236" s="2"/>
      <c r="L3236"/>
      <c r="R3236"/>
    </row>
    <row r="3237" spans="7:18">
      <c r="G3237"/>
      <c r="H3237" s="2"/>
      <c r="I3237" s="2"/>
      <c r="L3237"/>
      <c r="R3237"/>
    </row>
    <row r="3238" spans="7:18">
      <c r="G3238"/>
      <c r="H3238" s="2"/>
      <c r="I3238" s="2"/>
      <c r="L3238"/>
      <c r="R3238"/>
    </row>
    <row r="3239" spans="7:18">
      <c r="G3239"/>
      <c r="H3239" s="2"/>
      <c r="I3239" s="2"/>
      <c r="L3239"/>
      <c r="R3239"/>
    </row>
    <row r="3240" spans="7:18">
      <c r="G3240"/>
      <c r="H3240" s="2"/>
      <c r="I3240" s="2"/>
      <c r="L3240"/>
      <c r="R3240"/>
    </row>
    <row r="3241" spans="7:18">
      <c r="G3241"/>
      <c r="H3241" s="2"/>
      <c r="I3241" s="2"/>
      <c r="L3241"/>
      <c r="R3241"/>
    </row>
    <row r="3242" spans="7:18">
      <c r="G3242"/>
      <c r="H3242" s="2"/>
      <c r="I3242" s="2"/>
      <c r="L3242"/>
      <c r="R3242"/>
    </row>
    <row r="3243" spans="7:18">
      <c r="G3243"/>
      <c r="H3243" s="2"/>
      <c r="I3243" s="2"/>
      <c r="L3243"/>
      <c r="R3243"/>
    </row>
    <row r="3244" spans="7:18">
      <c r="G3244"/>
      <c r="H3244" s="2"/>
      <c r="I3244" s="2"/>
      <c r="L3244"/>
      <c r="R3244"/>
    </row>
    <row r="3245" spans="7:18">
      <c r="G3245"/>
      <c r="H3245" s="2"/>
      <c r="I3245" s="2"/>
      <c r="L3245"/>
      <c r="R3245"/>
    </row>
    <row r="3246" spans="7:18">
      <c r="G3246"/>
      <c r="H3246" s="2"/>
      <c r="I3246" s="2"/>
      <c r="L3246"/>
      <c r="R3246"/>
    </row>
    <row r="3247" spans="7:18">
      <c r="G3247"/>
      <c r="H3247" s="2"/>
      <c r="I3247" s="2"/>
      <c r="L3247"/>
      <c r="R3247"/>
    </row>
    <row r="3248" spans="7:18">
      <c r="G3248"/>
      <c r="H3248" s="2"/>
      <c r="I3248" s="2"/>
      <c r="L3248"/>
      <c r="R3248"/>
    </row>
    <row r="3249" spans="7:18">
      <c r="G3249"/>
      <c r="H3249" s="2"/>
      <c r="I3249" s="2"/>
      <c r="L3249"/>
      <c r="R3249"/>
    </row>
    <row r="3250" spans="7:18">
      <c r="G3250"/>
      <c r="H3250" s="2"/>
      <c r="I3250" s="2"/>
      <c r="L3250"/>
      <c r="R3250"/>
    </row>
    <row r="3251" spans="7:18">
      <c r="G3251"/>
      <c r="H3251" s="2"/>
      <c r="I3251" s="2"/>
      <c r="L3251"/>
      <c r="R3251"/>
    </row>
    <row r="3252" spans="7:18">
      <c r="G3252"/>
      <c r="H3252" s="2"/>
      <c r="I3252" s="2"/>
      <c r="L3252"/>
      <c r="R3252"/>
    </row>
    <row r="3253" spans="7:18">
      <c r="G3253"/>
      <c r="H3253" s="2"/>
      <c r="I3253" s="2"/>
      <c r="L3253"/>
      <c r="R3253"/>
    </row>
    <row r="3254" spans="7:18">
      <c r="G3254"/>
      <c r="H3254" s="2"/>
      <c r="I3254" s="2"/>
      <c r="L3254"/>
      <c r="R3254"/>
    </row>
    <row r="3255" spans="7:18">
      <c r="G3255"/>
      <c r="H3255" s="2"/>
      <c r="I3255" s="2"/>
      <c r="L3255"/>
      <c r="R3255"/>
    </row>
    <row r="3256" spans="7:18">
      <c r="G3256"/>
      <c r="H3256" s="2"/>
      <c r="I3256" s="2"/>
      <c r="L3256"/>
      <c r="R3256"/>
    </row>
    <row r="3257" spans="7:18">
      <c r="G3257"/>
      <c r="H3257" s="2"/>
      <c r="I3257" s="2"/>
      <c r="L3257"/>
      <c r="R3257"/>
    </row>
    <row r="3258" spans="7:18">
      <c r="G3258"/>
      <c r="H3258" s="2"/>
      <c r="I3258" s="2"/>
      <c r="L3258"/>
      <c r="R3258"/>
    </row>
    <row r="3259" spans="7:18">
      <c r="G3259"/>
      <c r="H3259" s="2"/>
      <c r="I3259" s="2"/>
      <c r="L3259"/>
      <c r="R3259"/>
    </row>
    <row r="3260" spans="7:18">
      <c r="G3260"/>
      <c r="H3260" s="2"/>
      <c r="I3260" s="2"/>
      <c r="L3260"/>
      <c r="R3260"/>
    </row>
    <row r="3261" spans="7:18">
      <c r="G3261"/>
      <c r="H3261" s="2"/>
      <c r="I3261" s="2"/>
      <c r="L3261"/>
      <c r="R3261"/>
    </row>
    <row r="3262" spans="7:18">
      <c r="G3262"/>
      <c r="H3262" s="2"/>
      <c r="I3262" s="2"/>
      <c r="L3262"/>
      <c r="R3262"/>
    </row>
    <row r="3263" spans="7:18">
      <c r="G3263"/>
      <c r="H3263" s="2"/>
      <c r="I3263" s="2"/>
      <c r="L3263"/>
      <c r="R3263"/>
    </row>
    <row r="3264" spans="7:18">
      <c r="G3264"/>
      <c r="H3264" s="2"/>
      <c r="I3264" s="2"/>
      <c r="L3264"/>
      <c r="R3264"/>
    </row>
    <row r="3265" spans="7:18">
      <c r="G3265"/>
      <c r="H3265" s="2"/>
      <c r="I3265" s="2"/>
      <c r="L3265"/>
      <c r="R3265"/>
    </row>
    <row r="3266" spans="7:18">
      <c r="G3266"/>
      <c r="H3266" s="2"/>
      <c r="I3266" s="2"/>
      <c r="L3266"/>
      <c r="R3266"/>
    </row>
    <row r="3267" spans="7:18">
      <c r="G3267"/>
      <c r="H3267" s="2"/>
      <c r="I3267" s="2"/>
      <c r="L3267"/>
      <c r="R3267"/>
    </row>
    <row r="3268" spans="7:18">
      <c r="G3268"/>
      <c r="H3268" s="2"/>
      <c r="I3268" s="2"/>
      <c r="L3268"/>
      <c r="R3268"/>
    </row>
    <row r="3269" spans="7:18">
      <c r="G3269"/>
      <c r="H3269" s="2"/>
      <c r="I3269" s="2"/>
      <c r="L3269"/>
      <c r="R3269"/>
    </row>
    <row r="3270" spans="7:18">
      <c r="G3270"/>
      <c r="H3270" s="2"/>
      <c r="I3270" s="2"/>
      <c r="L3270"/>
      <c r="R3270"/>
    </row>
    <row r="3271" spans="7:18">
      <c r="G3271"/>
      <c r="H3271" s="2"/>
      <c r="I3271" s="2"/>
      <c r="L3271"/>
      <c r="R3271"/>
    </row>
    <row r="3272" spans="7:18">
      <c r="G3272"/>
      <c r="H3272" s="2"/>
      <c r="I3272" s="2"/>
      <c r="L3272"/>
      <c r="R3272"/>
    </row>
    <row r="3273" spans="7:18">
      <c r="G3273"/>
      <c r="H3273" s="2"/>
      <c r="I3273" s="2"/>
      <c r="L3273"/>
      <c r="R3273"/>
    </row>
    <row r="3274" spans="7:18">
      <c r="G3274"/>
      <c r="H3274" s="2"/>
      <c r="I3274" s="2"/>
      <c r="L3274"/>
      <c r="R3274"/>
    </row>
    <row r="3275" spans="7:18">
      <c r="G3275"/>
      <c r="H3275" s="2"/>
      <c r="I3275" s="2"/>
      <c r="L3275"/>
      <c r="R3275"/>
    </row>
    <row r="3276" spans="7:18">
      <c r="G3276"/>
      <c r="H3276" s="2"/>
      <c r="I3276" s="2"/>
      <c r="L3276"/>
      <c r="R3276"/>
    </row>
    <row r="3277" spans="7:18">
      <c r="G3277"/>
      <c r="H3277" s="2"/>
      <c r="I3277" s="2"/>
      <c r="L3277"/>
      <c r="R3277"/>
    </row>
    <row r="3278" spans="7:18">
      <c r="G3278"/>
      <c r="H3278" s="2"/>
      <c r="I3278" s="2"/>
      <c r="L3278"/>
      <c r="R3278"/>
    </row>
    <row r="3279" spans="7:18">
      <c r="G3279"/>
      <c r="H3279" s="2"/>
      <c r="I3279" s="2"/>
      <c r="L3279"/>
      <c r="R3279"/>
    </row>
    <row r="3280" spans="7:18">
      <c r="G3280"/>
      <c r="H3280" s="2"/>
      <c r="I3280" s="2"/>
      <c r="L3280"/>
      <c r="R3280"/>
    </row>
    <row r="3281" spans="7:18">
      <c r="G3281"/>
      <c r="H3281" s="2"/>
      <c r="I3281" s="2"/>
      <c r="L3281"/>
      <c r="R3281"/>
    </row>
    <row r="3282" spans="7:18">
      <c r="G3282"/>
      <c r="H3282" s="2"/>
      <c r="I3282" s="2"/>
      <c r="L3282"/>
      <c r="R3282"/>
    </row>
    <row r="3283" spans="7:18">
      <c r="G3283"/>
      <c r="H3283" s="2"/>
      <c r="I3283" s="2"/>
      <c r="L3283"/>
      <c r="R3283"/>
    </row>
    <row r="3284" spans="7:18">
      <c r="G3284"/>
      <c r="H3284" s="2"/>
      <c r="I3284" s="2"/>
      <c r="L3284"/>
      <c r="R3284"/>
    </row>
    <row r="3285" spans="7:18">
      <c r="G3285"/>
      <c r="H3285" s="2"/>
      <c r="I3285" s="2"/>
      <c r="L3285"/>
      <c r="R3285"/>
    </row>
    <row r="3286" spans="7:18">
      <c r="G3286"/>
      <c r="H3286" s="2"/>
      <c r="I3286" s="2"/>
      <c r="L3286"/>
      <c r="R3286"/>
    </row>
    <row r="3287" spans="7:18">
      <c r="G3287"/>
      <c r="H3287" s="2"/>
      <c r="I3287" s="2"/>
      <c r="L3287"/>
      <c r="R3287"/>
    </row>
    <row r="3288" spans="7:18">
      <c r="G3288"/>
      <c r="H3288" s="2"/>
      <c r="I3288" s="2"/>
      <c r="L3288"/>
      <c r="R3288"/>
    </row>
    <row r="3289" spans="7:18">
      <c r="G3289"/>
      <c r="H3289" s="2"/>
      <c r="I3289" s="2"/>
      <c r="L3289"/>
      <c r="R3289"/>
    </row>
    <row r="3290" spans="7:18">
      <c r="G3290"/>
      <c r="H3290" s="2"/>
      <c r="I3290" s="2"/>
      <c r="L3290"/>
      <c r="R3290"/>
    </row>
    <row r="3291" spans="7:18">
      <c r="G3291"/>
      <c r="H3291" s="2"/>
      <c r="I3291" s="2"/>
      <c r="L3291"/>
      <c r="R3291"/>
    </row>
    <row r="3292" spans="7:18">
      <c r="G3292"/>
      <c r="H3292" s="2"/>
      <c r="I3292" s="2"/>
      <c r="L3292"/>
      <c r="R3292"/>
    </row>
    <row r="3293" spans="7:18">
      <c r="G3293"/>
      <c r="H3293" s="2"/>
      <c r="I3293" s="2"/>
      <c r="L3293"/>
      <c r="R3293"/>
    </row>
    <row r="3294" spans="7:18">
      <c r="G3294"/>
      <c r="H3294" s="2"/>
      <c r="I3294" s="2"/>
      <c r="L3294"/>
      <c r="R3294"/>
    </row>
    <row r="3295" spans="7:18">
      <c r="G3295"/>
      <c r="H3295" s="2"/>
      <c r="I3295" s="2"/>
      <c r="L3295"/>
      <c r="R3295"/>
    </row>
    <row r="3296" spans="7:18">
      <c r="G3296"/>
      <c r="H3296" s="2"/>
      <c r="I3296" s="2"/>
      <c r="L3296"/>
      <c r="R3296"/>
    </row>
    <row r="3297" spans="7:18">
      <c r="G3297"/>
      <c r="H3297" s="2"/>
      <c r="I3297" s="2"/>
      <c r="L3297"/>
      <c r="R3297"/>
    </row>
    <row r="3298" spans="7:18">
      <c r="G3298"/>
      <c r="H3298" s="2"/>
      <c r="I3298" s="2"/>
      <c r="L3298"/>
      <c r="R3298"/>
    </row>
    <row r="3299" spans="7:18">
      <c r="G3299"/>
      <c r="H3299" s="2"/>
      <c r="I3299" s="2"/>
      <c r="L3299"/>
      <c r="R3299"/>
    </row>
    <row r="3300" spans="7:18">
      <c r="G3300"/>
      <c r="H3300" s="2"/>
      <c r="I3300" s="2"/>
      <c r="L3300"/>
      <c r="R3300"/>
    </row>
    <row r="3301" spans="7:18">
      <c r="G3301"/>
      <c r="H3301" s="2"/>
      <c r="I3301" s="2"/>
      <c r="L3301"/>
      <c r="R3301"/>
    </row>
    <row r="3302" spans="7:18">
      <c r="G3302"/>
      <c r="H3302" s="2"/>
      <c r="I3302" s="2"/>
      <c r="L3302"/>
      <c r="R3302"/>
    </row>
    <row r="3303" spans="7:18">
      <c r="G3303"/>
      <c r="H3303" s="2"/>
      <c r="I3303" s="2"/>
      <c r="L3303"/>
      <c r="R3303"/>
    </row>
    <row r="3304" spans="7:18">
      <c r="G3304"/>
      <c r="H3304" s="2"/>
      <c r="I3304" s="2"/>
      <c r="L3304"/>
      <c r="R3304"/>
    </row>
    <row r="3305" spans="7:18">
      <c r="G3305"/>
      <c r="H3305" s="2"/>
      <c r="I3305" s="2"/>
      <c r="L3305"/>
      <c r="R3305"/>
    </row>
    <row r="3306" spans="7:18">
      <c r="G3306"/>
      <c r="H3306" s="2"/>
      <c r="I3306" s="2"/>
      <c r="L3306"/>
      <c r="R3306"/>
    </row>
    <row r="3307" spans="7:18">
      <c r="G3307"/>
      <c r="H3307" s="2"/>
      <c r="I3307" s="2"/>
      <c r="L3307"/>
      <c r="R3307"/>
    </row>
    <row r="3308" spans="7:18">
      <c r="G3308"/>
      <c r="H3308" s="2"/>
      <c r="I3308" s="2"/>
      <c r="L3308"/>
      <c r="R3308"/>
    </row>
    <row r="3309" spans="7:18">
      <c r="G3309"/>
      <c r="H3309" s="2"/>
      <c r="I3309" s="2"/>
      <c r="L3309"/>
      <c r="R3309"/>
    </row>
    <row r="3310" spans="7:18">
      <c r="G3310"/>
      <c r="H3310" s="2"/>
      <c r="I3310" s="2"/>
      <c r="L3310"/>
      <c r="R3310"/>
    </row>
    <row r="3311" spans="7:18">
      <c r="G3311"/>
      <c r="H3311" s="2"/>
      <c r="I3311" s="2"/>
      <c r="L3311"/>
      <c r="R3311"/>
    </row>
    <row r="3312" spans="7:18">
      <c r="G3312"/>
      <c r="H3312" s="2"/>
      <c r="I3312" s="2"/>
      <c r="L3312"/>
      <c r="R3312"/>
    </row>
    <row r="3313" spans="7:18">
      <c r="G3313"/>
      <c r="H3313" s="2"/>
      <c r="I3313" s="2"/>
      <c r="L3313"/>
      <c r="R3313"/>
    </row>
    <row r="3314" spans="7:18">
      <c r="G3314"/>
      <c r="H3314" s="2"/>
      <c r="I3314" s="2"/>
      <c r="L3314"/>
      <c r="R3314"/>
    </row>
    <row r="3315" spans="7:18">
      <c r="G3315"/>
      <c r="H3315" s="2"/>
      <c r="I3315" s="2"/>
      <c r="L3315"/>
      <c r="R3315"/>
    </row>
    <row r="3316" spans="7:18">
      <c r="G3316"/>
      <c r="H3316" s="2"/>
      <c r="I3316" s="2"/>
      <c r="L3316"/>
      <c r="R3316"/>
    </row>
    <row r="3317" spans="7:18">
      <c r="G3317"/>
      <c r="H3317" s="2"/>
      <c r="I3317" s="2"/>
      <c r="L3317"/>
      <c r="R3317"/>
    </row>
    <row r="3318" spans="7:18">
      <c r="G3318"/>
      <c r="H3318" s="2"/>
      <c r="I3318" s="2"/>
      <c r="L3318"/>
      <c r="R3318"/>
    </row>
    <row r="3319" spans="7:18">
      <c r="G3319"/>
      <c r="H3319" s="2"/>
      <c r="I3319" s="2"/>
      <c r="L3319"/>
      <c r="R3319"/>
    </row>
    <row r="3320" spans="7:18">
      <c r="G3320"/>
      <c r="H3320" s="2"/>
      <c r="I3320" s="2"/>
      <c r="L3320"/>
      <c r="R3320"/>
    </row>
    <row r="3321" spans="7:18">
      <c r="G3321"/>
      <c r="H3321" s="2"/>
      <c r="I3321" s="2"/>
      <c r="L3321"/>
      <c r="R3321"/>
    </row>
    <row r="3322" spans="7:18">
      <c r="G3322"/>
      <c r="H3322" s="2"/>
      <c r="I3322" s="2"/>
      <c r="L3322"/>
      <c r="R3322"/>
    </row>
    <row r="3323" spans="7:18">
      <c r="G3323"/>
      <c r="H3323" s="2"/>
      <c r="I3323" s="2"/>
      <c r="L3323"/>
      <c r="R3323"/>
    </row>
    <row r="3324" spans="7:18">
      <c r="G3324"/>
      <c r="H3324" s="2"/>
      <c r="I3324" s="2"/>
      <c r="L3324"/>
      <c r="R3324"/>
    </row>
    <row r="3325" spans="7:18">
      <c r="G3325"/>
      <c r="H3325" s="2"/>
      <c r="I3325" s="2"/>
      <c r="L3325"/>
      <c r="R3325"/>
    </row>
    <row r="3326" spans="7:18">
      <c r="G3326"/>
      <c r="H3326" s="2"/>
      <c r="I3326" s="2"/>
      <c r="L3326"/>
      <c r="R3326"/>
    </row>
    <row r="3327" spans="7:18">
      <c r="G3327"/>
      <c r="H3327" s="2"/>
      <c r="I3327" s="2"/>
      <c r="L3327"/>
      <c r="R3327"/>
    </row>
    <row r="3328" spans="7:18">
      <c r="G3328"/>
      <c r="H3328" s="2"/>
      <c r="I3328" s="2"/>
      <c r="L3328"/>
      <c r="R3328"/>
    </row>
    <row r="3329" spans="7:18">
      <c r="G3329"/>
      <c r="H3329" s="2"/>
      <c r="I3329" s="2"/>
      <c r="L3329"/>
      <c r="R3329"/>
    </row>
    <row r="3330" spans="7:18">
      <c r="G3330"/>
      <c r="H3330" s="2"/>
      <c r="I3330" s="2"/>
      <c r="L3330"/>
      <c r="R3330"/>
    </row>
    <row r="3331" spans="7:18">
      <c r="G3331"/>
      <c r="H3331" s="2"/>
      <c r="I3331" s="2"/>
      <c r="L3331"/>
      <c r="R3331"/>
    </row>
    <row r="3332" spans="7:18">
      <c r="G3332"/>
      <c r="H3332" s="2"/>
      <c r="I3332" s="2"/>
      <c r="L3332"/>
      <c r="R3332"/>
    </row>
    <row r="3333" spans="7:18">
      <c r="G3333"/>
      <c r="H3333" s="2"/>
      <c r="I3333" s="2"/>
      <c r="L3333"/>
      <c r="R3333"/>
    </row>
    <row r="3334" spans="7:18">
      <c r="G3334"/>
      <c r="H3334" s="2"/>
      <c r="I3334" s="2"/>
      <c r="L3334"/>
      <c r="R3334"/>
    </row>
    <row r="3335" spans="7:18">
      <c r="G3335"/>
      <c r="H3335" s="2"/>
      <c r="I3335" s="2"/>
      <c r="L3335"/>
      <c r="R3335"/>
    </row>
    <row r="3336" spans="7:18">
      <c r="G3336"/>
      <c r="H3336" s="2"/>
      <c r="I3336" s="2"/>
      <c r="L3336"/>
      <c r="R3336"/>
    </row>
    <row r="3337" spans="7:18">
      <c r="G3337"/>
      <c r="H3337" s="2"/>
      <c r="I3337" s="2"/>
      <c r="L3337"/>
      <c r="R3337"/>
    </row>
    <row r="3338" spans="7:18">
      <c r="G3338"/>
      <c r="H3338" s="2"/>
      <c r="I3338" s="2"/>
      <c r="L3338"/>
      <c r="R3338"/>
    </row>
    <row r="3339" spans="7:18">
      <c r="G3339"/>
      <c r="H3339" s="2"/>
      <c r="I3339" s="2"/>
      <c r="L3339"/>
      <c r="R3339"/>
    </row>
    <row r="3340" spans="7:18">
      <c r="G3340"/>
      <c r="H3340" s="2"/>
      <c r="I3340" s="2"/>
      <c r="L3340"/>
      <c r="R3340"/>
    </row>
    <row r="3341" spans="7:18">
      <c r="G3341"/>
      <c r="H3341" s="2"/>
      <c r="I3341" s="2"/>
      <c r="L3341"/>
      <c r="R3341"/>
    </row>
    <row r="3342" spans="7:18">
      <c r="G3342"/>
      <c r="H3342" s="2"/>
      <c r="I3342" s="2"/>
      <c r="L3342"/>
      <c r="R3342"/>
    </row>
    <row r="3343" spans="7:18">
      <c r="G3343"/>
      <c r="H3343" s="2"/>
      <c r="I3343" s="2"/>
      <c r="L3343"/>
      <c r="R3343"/>
    </row>
    <row r="3344" spans="7:18">
      <c r="G3344"/>
      <c r="H3344" s="2"/>
      <c r="I3344" s="2"/>
      <c r="L3344"/>
      <c r="R3344"/>
    </row>
    <row r="3345" spans="7:18">
      <c r="G3345"/>
      <c r="H3345" s="2"/>
      <c r="I3345" s="2"/>
      <c r="L3345"/>
      <c r="R3345"/>
    </row>
    <row r="3346" spans="7:18">
      <c r="G3346"/>
      <c r="H3346" s="2"/>
      <c r="I3346" s="2"/>
      <c r="L3346"/>
      <c r="R3346"/>
    </row>
    <row r="3347" spans="7:18">
      <c r="G3347"/>
      <c r="H3347" s="2"/>
      <c r="I3347" s="2"/>
      <c r="L3347"/>
      <c r="R3347"/>
    </row>
    <row r="3348" spans="7:18">
      <c r="G3348"/>
      <c r="H3348" s="2"/>
      <c r="I3348" s="2"/>
      <c r="L3348"/>
      <c r="R3348"/>
    </row>
    <row r="3349" spans="7:18">
      <c r="G3349"/>
      <c r="H3349" s="2"/>
      <c r="I3349" s="2"/>
      <c r="L3349"/>
      <c r="R3349"/>
    </row>
    <row r="3350" spans="7:18">
      <c r="G3350"/>
      <c r="H3350" s="2"/>
      <c r="I3350" s="2"/>
      <c r="L3350"/>
      <c r="R3350"/>
    </row>
    <row r="3351" spans="7:18">
      <c r="G3351"/>
      <c r="H3351" s="2"/>
      <c r="I3351" s="2"/>
      <c r="L3351"/>
      <c r="R3351"/>
    </row>
    <row r="3352" spans="7:18">
      <c r="G3352"/>
      <c r="H3352" s="2"/>
      <c r="I3352" s="2"/>
      <c r="L3352"/>
      <c r="R3352"/>
    </row>
    <row r="3353" spans="7:18">
      <c r="G3353"/>
      <c r="H3353" s="2"/>
      <c r="I3353" s="2"/>
      <c r="L3353"/>
      <c r="R3353"/>
    </row>
    <row r="3354" spans="7:18">
      <c r="G3354"/>
      <c r="H3354" s="2"/>
      <c r="I3354" s="2"/>
      <c r="L3354"/>
      <c r="R3354"/>
    </row>
    <row r="3355" spans="7:18">
      <c r="G3355"/>
      <c r="H3355" s="2"/>
      <c r="I3355" s="2"/>
      <c r="L3355"/>
      <c r="R3355"/>
    </row>
    <row r="3356" spans="7:18">
      <c r="G3356"/>
      <c r="H3356" s="2"/>
      <c r="I3356" s="2"/>
      <c r="L3356"/>
      <c r="R3356"/>
    </row>
    <row r="3357" spans="7:18">
      <c r="G3357"/>
      <c r="H3357" s="2"/>
      <c r="I3357" s="2"/>
      <c r="L3357"/>
      <c r="R3357"/>
    </row>
    <row r="3358" spans="7:18">
      <c r="G3358"/>
      <c r="H3358" s="2"/>
      <c r="I3358" s="2"/>
      <c r="L3358"/>
      <c r="R3358"/>
    </row>
    <row r="3359" spans="7:18">
      <c r="G3359"/>
      <c r="H3359" s="2"/>
      <c r="I3359" s="2"/>
      <c r="L3359"/>
      <c r="R3359"/>
    </row>
    <row r="3360" spans="7:18">
      <c r="G3360"/>
      <c r="H3360" s="2"/>
      <c r="I3360" s="2"/>
      <c r="L3360"/>
      <c r="R3360"/>
    </row>
    <row r="3361" spans="7:18">
      <c r="G3361"/>
      <c r="H3361" s="2"/>
      <c r="I3361" s="2"/>
      <c r="L3361"/>
      <c r="R3361"/>
    </row>
    <row r="3362" spans="7:18">
      <c r="G3362"/>
      <c r="H3362" s="2"/>
      <c r="I3362" s="2"/>
      <c r="L3362"/>
      <c r="R3362"/>
    </row>
    <row r="3363" spans="7:18">
      <c r="G3363"/>
      <c r="H3363" s="2"/>
      <c r="I3363" s="2"/>
      <c r="L3363"/>
      <c r="R3363"/>
    </row>
    <row r="3364" spans="7:18">
      <c r="G3364"/>
      <c r="H3364" s="2"/>
      <c r="I3364" s="2"/>
      <c r="L3364"/>
      <c r="R3364"/>
    </row>
    <row r="3365" spans="7:18">
      <c r="G3365"/>
      <c r="H3365" s="2"/>
      <c r="I3365" s="2"/>
      <c r="L3365"/>
      <c r="R3365"/>
    </row>
    <row r="3366" spans="7:18">
      <c r="G3366"/>
      <c r="H3366" s="2"/>
      <c r="I3366" s="2"/>
      <c r="L3366"/>
      <c r="R3366"/>
    </row>
    <row r="3367" spans="7:18">
      <c r="G3367"/>
      <c r="H3367" s="2"/>
      <c r="I3367" s="2"/>
      <c r="L3367"/>
      <c r="R3367"/>
    </row>
    <row r="3368" spans="7:18">
      <c r="G3368"/>
      <c r="H3368" s="2"/>
      <c r="I3368" s="2"/>
      <c r="L3368"/>
      <c r="R3368"/>
    </row>
    <row r="3369" spans="7:18">
      <c r="G3369"/>
      <c r="H3369" s="2"/>
      <c r="I3369" s="2"/>
      <c r="L3369"/>
      <c r="R3369"/>
    </row>
    <row r="3370" spans="7:18">
      <c r="G3370"/>
      <c r="H3370" s="2"/>
      <c r="I3370" s="2"/>
      <c r="L3370"/>
      <c r="R3370"/>
    </row>
    <row r="3371" spans="7:18">
      <c r="G3371"/>
      <c r="H3371" s="2"/>
      <c r="I3371" s="2"/>
      <c r="L3371"/>
      <c r="R3371"/>
    </row>
    <row r="3372" spans="7:18">
      <c r="G3372"/>
      <c r="H3372" s="2"/>
      <c r="I3372" s="2"/>
      <c r="L3372"/>
      <c r="R3372"/>
    </row>
    <row r="3373" spans="7:18">
      <c r="G3373"/>
      <c r="H3373" s="2"/>
      <c r="I3373" s="2"/>
      <c r="L3373"/>
      <c r="R3373"/>
    </row>
    <row r="3374" spans="7:18">
      <c r="G3374"/>
      <c r="H3374" s="2"/>
      <c r="I3374" s="2"/>
      <c r="L3374"/>
      <c r="R3374"/>
    </row>
    <row r="3375" spans="7:18">
      <c r="G3375"/>
      <c r="H3375" s="2"/>
      <c r="I3375" s="2"/>
      <c r="L3375"/>
      <c r="R3375"/>
    </row>
    <row r="3376" spans="7:18">
      <c r="G3376"/>
      <c r="H3376" s="2"/>
      <c r="I3376" s="2"/>
      <c r="L3376"/>
      <c r="R3376"/>
    </row>
    <row r="3377" spans="7:18">
      <c r="G3377"/>
      <c r="H3377" s="2"/>
      <c r="I3377" s="2"/>
      <c r="L3377"/>
      <c r="R3377"/>
    </row>
    <row r="3378" spans="7:18">
      <c r="G3378"/>
      <c r="H3378" s="2"/>
      <c r="I3378" s="2"/>
      <c r="L3378"/>
      <c r="R3378"/>
    </row>
    <row r="3379" spans="7:18">
      <c r="G3379"/>
      <c r="H3379" s="2"/>
      <c r="I3379" s="2"/>
      <c r="L3379"/>
      <c r="R3379"/>
    </row>
    <row r="3380" spans="7:18">
      <c r="G3380"/>
      <c r="H3380" s="2"/>
      <c r="I3380" s="2"/>
      <c r="L3380"/>
      <c r="R3380"/>
    </row>
    <row r="3381" spans="7:18">
      <c r="G3381"/>
      <c r="H3381" s="2"/>
      <c r="I3381" s="2"/>
      <c r="L3381"/>
      <c r="R3381"/>
    </row>
    <row r="3382" spans="7:18">
      <c r="G3382"/>
      <c r="H3382" s="2"/>
      <c r="I3382" s="2"/>
      <c r="L3382"/>
      <c r="R3382"/>
    </row>
    <row r="3383" spans="7:18">
      <c r="G3383"/>
      <c r="H3383" s="2"/>
      <c r="I3383" s="2"/>
      <c r="L3383"/>
      <c r="R3383"/>
    </row>
    <row r="3384" spans="7:18">
      <c r="G3384"/>
      <c r="H3384" s="2"/>
      <c r="I3384" s="2"/>
      <c r="L3384"/>
      <c r="R3384"/>
    </row>
    <row r="3385" spans="7:18">
      <c r="G3385"/>
      <c r="H3385" s="2"/>
      <c r="I3385" s="2"/>
      <c r="L3385"/>
      <c r="R3385"/>
    </row>
    <row r="3386" spans="7:18">
      <c r="G3386"/>
      <c r="H3386" s="2"/>
      <c r="I3386" s="2"/>
      <c r="L3386"/>
      <c r="R3386"/>
    </row>
    <row r="3387" spans="7:18">
      <c r="G3387"/>
      <c r="H3387" s="2"/>
      <c r="I3387" s="2"/>
      <c r="L3387"/>
      <c r="R3387"/>
    </row>
    <row r="3388" spans="7:18">
      <c r="G3388"/>
      <c r="H3388" s="2"/>
      <c r="I3388" s="2"/>
      <c r="L3388"/>
      <c r="R3388"/>
    </row>
    <row r="3389" spans="7:18">
      <c r="G3389"/>
      <c r="H3389" s="2"/>
      <c r="I3389" s="2"/>
      <c r="L3389"/>
      <c r="R3389"/>
    </row>
    <row r="3390" spans="7:18">
      <c r="G3390"/>
      <c r="H3390" s="2"/>
      <c r="I3390" s="2"/>
      <c r="L3390"/>
      <c r="R3390"/>
    </row>
    <row r="3391" spans="7:18">
      <c r="G3391"/>
      <c r="H3391" s="2"/>
      <c r="I3391" s="2"/>
      <c r="L3391"/>
      <c r="R3391"/>
    </row>
    <row r="3392" spans="7:18">
      <c r="G3392"/>
      <c r="H3392" s="2"/>
      <c r="I3392" s="2"/>
      <c r="L3392"/>
      <c r="R3392"/>
    </row>
    <row r="3393" spans="7:18">
      <c r="G3393"/>
      <c r="H3393" s="2"/>
      <c r="I3393" s="2"/>
      <c r="L3393"/>
      <c r="R3393"/>
    </row>
    <row r="3394" spans="7:18">
      <c r="G3394"/>
      <c r="H3394" s="2"/>
      <c r="I3394" s="2"/>
      <c r="L3394"/>
      <c r="R3394"/>
    </row>
    <row r="3395" spans="7:18">
      <c r="G3395"/>
      <c r="H3395" s="2"/>
      <c r="I3395" s="2"/>
      <c r="L3395"/>
      <c r="R3395"/>
    </row>
    <row r="3396" spans="7:18">
      <c r="G3396"/>
      <c r="H3396" s="2"/>
      <c r="I3396" s="2"/>
      <c r="L3396"/>
      <c r="R3396"/>
    </row>
    <row r="3397" spans="7:18">
      <c r="G3397"/>
      <c r="H3397" s="2"/>
      <c r="I3397" s="2"/>
      <c r="L3397"/>
      <c r="R3397"/>
    </row>
    <row r="3398" spans="7:18">
      <c r="G3398"/>
      <c r="H3398" s="2"/>
      <c r="I3398" s="2"/>
      <c r="L3398"/>
      <c r="R3398"/>
    </row>
    <row r="3399" spans="7:18">
      <c r="G3399"/>
      <c r="H3399" s="2"/>
      <c r="I3399" s="2"/>
      <c r="L3399"/>
      <c r="R3399"/>
    </row>
    <row r="3400" spans="7:18">
      <c r="G3400"/>
      <c r="H3400" s="2"/>
      <c r="I3400" s="2"/>
      <c r="L3400"/>
      <c r="R3400"/>
    </row>
    <row r="3401" spans="7:18">
      <c r="G3401"/>
      <c r="H3401" s="2"/>
      <c r="I3401" s="2"/>
      <c r="L3401"/>
      <c r="R3401"/>
    </row>
    <row r="3402" spans="7:18">
      <c r="G3402"/>
      <c r="H3402" s="2"/>
      <c r="I3402" s="2"/>
      <c r="L3402"/>
      <c r="R3402"/>
    </row>
    <row r="3403" spans="7:18">
      <c r="G3403"/>
      <c r="H3403" s="2"/>
      <c r="I3403" s="2"/>
      <c r="L3403"/>
      <c r="R3403"/>
    </row>
    <row r="3404" spans="7:18">
      <c r="G3404"/>
      <c r="H3404" s="2"/>
      <c r="I3404" s="2"/>
      <c r="L3404"/>
      <c r="R3404"/>
    </row>
    <row r="3405" spans="7:18">
      <c r="G3405"/>
      <c r="H3405" s="2"/>
      <c r="I3405" s="2"/>
      <c r="L3405"/>
      <c r="R3405"/>
    </row>
    <row r="3406" spans="7:18">
      <c r="G3406"/>
      <c r="H3406" s="2"/>
      <c r="I3406" s="2"/>
      <c r="L3406"/>
      <c r="R3406"/>
    </row>
    <row r="3407" spans="7:18">
      <c r="G3407"/>
      <c r="H3407" s="2"/>
      <c r="I3407" s="2"/>
      <c r="L3407"/>
      <c r="R3407"/>
    </row>
    <row r="3408" spans="7:18">
      <c r="G3408"/>
      <c r="H3408" s="2"/>
      <c r="I3408" s="2"/>
      <c r="L3408"/>
      <c r="R3408"/>
    </row>
    <row r="3409" spans="7:18">
      <c r="G3409"/>
      <c r="H3409" s="2"/>
      <c r="I3409" s="2"/>
      <c r="L3409"/>
      <c r="R3409"/>
    </row>
    <row r="3410" spans="7:18">
      <c r="G3410"/>
      <c r="H3410" s="2"/>
      <c r="I3410" s="2"/>
      <c r="L3410"/>
      <c r="R3410"/>
    </row>
    <row r="3411" spans="7:18">
      <c r="G3411"/>
      <c r="H3411" s="2"/>
      <c r="I3411" s="2"/>
      <c r="L3411"/>
      <c r="R3411"/>
    </row>
    <row r="3412" spans="7:18">
      <c r="G3412"/>
      <c r="H3412" s="2"/>
      <c r="I3412" s="2"/>
      <c r="L3412"/>
      <c r="R3412"/>
    </row>
    <row r="3413" spans="7:18">
      <c r="G3413"/>
      <c r="H3413" s="2"/>
      <c r="I3413" s="2"/>
      <c r="L3413"/>
      <c r="R3413"/>
    </row>
    <row r="3414" spans="7:18">
      <c r="G3414"/>
      <c r="H3414" s="2"/>
      <c r="I3414" s="2"/>
      <c r="L3414"/>
      <c r="R3414"/>
    </row>
    <row r="3415" spans="7:18">
      <c r="G3415"/>
      <c r="H3415" s="2"/>
      <c r="I3415" s="2"/>
      <c r="L3415"/>
      <c r="R3415"/>
    </row>
    <row r="3416" spans="7:18">
      <c r="G3416"/>
      <c r="H3416" s="2"/>
      <c r="I3416" s="2"/>
      <c r="L3416"/>
      <c r="R3416"/>
    </row>
    <row r="3417" spans="7:18">
      <c r="G3417"/>
      <c r="H3417" s="2"/>
      <c r="I3417" s="2"/>
      <c r="L3417"/>
      <c r="R3417"/>
    </row>
    <row r="3418" spans="7:18">
      <c r="G3418"/>
      <c r="H3418" s="2"/>
      <c r="I3418" s="2"/>
      <c r="L3418"/>
      <c r="R3418"/>
    </row>
    <row r="3419" spans="7:18">
      <c r="G3419"/>
      <c r="H3419" s="2"/>
      <c r="I3419" s="2"/>
      <c r="L3419"/>
      <c r="R3419"/>
    </row>
    <row r="3420" spans="7:18">
      <c r="G3420"/>
      <c r="H3420" s="2"/>
      <c r="I3420" s="2"/>
      <c r="L3420"/>
      <c r="R3420"/>
    </row>
    <row r="3421" spans="7:18">
      <c r="G3421"/>
      <c r="H3421" s="2"/>
      <c r="I3421" s="2"/>
      <c r="L3421"/>
      <c r="R3421"/>
    </row>
    <row r="3422" spans="7:18">
      <c r="G3422"/>
      <c r="H3422" s="2"/>
      <c r="I3422" s="2"/>
      <c r="L3422"/>
      <c r="R3422"/>
    </row>
    <row r="3423" spans="7:18">
      <c r="G3423"/>
      <c r="H3423" s="2"/>
      <c r="I3423" s="2"/>
      <c r="L3423"/>
      <c r="R3423"/>
    </row>
    <row r="3424" spans="7:18">
      <c r="G3424"/>
      <c r="H3424" s="2"/>
      <c r="I3424" s="2"/>
      <c r="L3424"/>
      <c r="R3424"/>
    </row>
    <row r="3425" spans="7:18">
      <c r="G3425"/>
      <c r="H3425" s="2"/>
      <c r="I3425" s="2"/>
      <c r="L3425"/>
      <c r="R3425"/>
    </row>
    <row r="3426" spans="7:18">
      <c r="G3426"/>
      <c r="H3426" s="2"/>
      <c r="I3426" s="2"/>
      <c r="L3426"/>
      <c r="R3426"/>
    </row>
    <row r="3427" spans="7:18">
      <c r="G3427"/>
      <c r="H3427" s="2"/>
      <c r="I3427" s="2"/>
      <c r="L3427"/>
      <c r="R3427"/>
    </row>
    <row r="3428" spans="7:18">
      <c r="G3428"/>
      <c r="H3428" s="2"/>
      <c r="I3428" s="2"/>
      <c r="L3428"/>
      <c r="R3428"/>
    </row>
    <row r="3429" spans="7:18">
      <c r="G3429"/>
      <c r="H3429" s="2"/>
      <c r="I3429" s="2"/>
      <c r="L3429"/>
      <c r="R3429"/>
    </row>
    <row r="3430" spans="7:18">
      <c r="G3430"/>
      <c r="H3430" s="2"/>
      <c r="I3430" s="2"/>
      <c r="L3430"/>
      <c r="R3430"/>
    </row>
    <row r="3431" spans="7:18">
      <c r="G3431"/>
      <c r="H3431" s="2"/>
      <c r="I3431" s="2"/>
      <c r="L3431"/>
      <c r="R3431"/>
    </row>
    <row r="3432" spans="7:18">
      <c r="G3432"/>
      <c r="H3432" s="2"/>
      <c r="I3432" s="2"/>
      <c r="L3432"/>
      <c r="R3432"/>
    </row>
    <row r="3433" spans="7:18">
      <c r="G3433"/>
      <c r="H3433" s="2"/>
      <c r="I3433" s="2"/>
      <c r="L3433"/>
      <c r="R3433"/>
    </row>
    <row r="3434" spans="7:18">
      <c r="G3434"/>
      <c r="H3434" s="2"/>
      <c r="I3434" s="2"/>
      <c r="L3434"/>
      <c r="R3434"/>
    </row>
    <row r="3435" spans="7:18">
      <c r="G3435"/>
      <c r="H3435" s="2"/>
      <c r="I3435" s="2"/>
      <c r="L3435"/>
      <c r="R3435"/>
    </row>
    <row r="3436" spans="7:18">
      <c r="G3436"/>
      <c r="H3436" s="2"/>
      <c r="I3436" s="2"/>
      <c r="L3436"/>
      <c r="R3436"/>
    </row>
    <row r="3437" spans="7:18">
      <c r="G3437"/>
      <c r="H3437" s="2"/>
      <c r="I3437" s="2"/>
      <c r="L3437"/>
      <c r="R3437"/>
    </row>
    <row r="3438" spans="7:18">
      <c r="G3438"/>
      <c r="H3438" s="2"/>
      <c r="I3438" s="2"/>
      <c r="L3438"/>
      <c r="R3438"/>
    </row>
    <row r="3439" spans="7:18">
      <c r="G3439"/>
      <c r="H3439" s="2"/>
      <c r="I3439" s="2"/>
      <c r="L3439"/>
      <c r="R3439"/>
    </row>
    <row r="3440" spans="7:18">
      <c r="G3440"/>
      <c r="H3440" s="2"/>
      <c r="I3440" s="2"/>
      <c r="L3440"/>
      <c r="R3440"/>
    </row>
    <row r="3441" spans="7:18">
      <c r="G3441"/>
      <c r="H3441" s="2"/>
      <c r="I3441" s="2"/>
      <c r="L3441"/>
      <c r="R3441"/>
    </row>
    <row r="3442" spans="7:18">
      <c r="H3442" s="2"/>
      <c r="I3442" s="2"/>
    </row>
    <row r="3443" spans="7:18">
      <c r="H3443" s="2"/>
      <c r="I3443" s="2"/>
    </row>
    <row r="3444" spans="7:18">
      <c r="H3444" s="2"/>
      <c r="I3444" s="2"/>
    </row>
    <row r="3445" spans="7:18">
      <c r="H3445" s="2"/>
      <c r="I3445" s="2"/>
    </row>
    <row r="3446" spans="7:18">
      <c r="H3446" s="2"/>
      <c r="I3446" s="2"/>
    </row>
    <row r="3447" spans="7:18">
      <c r="H3447" s="2"/>
      <c r="I3447" s="2"/>
    </row>
    <row r="3448" spans="7:18">
      <c r="H3448" s="2"/>
      <c r="I3448" s="2"/>
    </row>
    <row r="3449" spans="7:18">
      <c r="H3449" s="2"/>
      <c r="I3449" s="2"/>
    </row>
    <row r="3450" spans="7:18">
      <c r="H3450" s="2"/>
      <c r="I3450" s="2"/>
    </row>
    <row r="3451" spans="7:18">
      <c r="H3451" s="2"/>
      <c r="I3451" s="2"/>
    </row>
    <row r="3452" spans="7:18">
      <c r="H3452" s="2"/>
      <c r="I3452" s="2"/>
    </row>
    <row r="3453" spans="7:18">
      <c r="H3453" s="2"/>
      <c r="I3453" s="2"/>
    </row>
    <row r="3454" spans="7:18">
      <c r="H3454" s="2"/>
      <c r="I3454" s="2"/>
    </row>
    <row r="3455" spans="7:18">
      <c r="H3455" s="2"/>
      <c r="I3455" s="2"/>
    </row>
    <row r="3456" spans="7:18">
      <c r="H3456" s="2"/>
      <c r="I3456" s="2"/>
    </row>
    <row r="3457" spans="8:9">
      <c r="H3457" s="2"/>
      <c r="I3457" s="2"/>
    </row>
    <row r="3458" spans="8:9">
      <c r="H3458" s="2"/>
      <c r="I3458" s="2"/>
    </row>
    <row r="3459" spans="8:9">
      <c r="H3459" s="2"/>
      <c r="I3459" s="2"/>
    </row>
    <row r="3460" spans="8:9">
      <c r="H3460" s="2"/>
      <c r="I3460" s="2"/>
    </row>
    <row r="3461" spans="8:9">
      <c r="H3461" s="2"/>
      <c r="I3461" s="2"/>
    </row>
    <row r="3462" spans="8:9">
      <c r="H3462" s="2"/>
      <c r="I3462" s="2"/>
    </row>
    <row r="3463" spans="8:9">
      <c r="H3463" s="2"/>
      <c r="I3463" s="2"/>
    </row>
    <row r="3464" spans="8:9">
      <c r="H3464" s="2"/>
      <c r="I3464" s="2"/>
    </row>
    <row r="3465" spans="8:9">
      <c r="H3465" s="2"/>
      <c r="I3465" s="2"/>
    </row>
    <row r="3466" spans="8:9">
      <c r="H3466" s="2"/>
      <c r="I3466" s="2"/>
    </row>
    <row r="3467" spans="8:9">
      <c r="H3467" s="2"/>
      <c r="I3467" s="2"/>
    </row>
    <row r="3468" spans="8:9">
      <c r="H3468" s="2"/>
      <c r="I3468" s="2"/>
    </row>
    <row r="3469" spans="8:9">
      <c r="H3469" s="2"/>
      <c r="I3469" s="2"/>
    </row>
    <row r="3470" spans="8:9">
      <c r="H3470" s="2"/>
      <c r="I3470" s="2"/>
    </row>
    <row r="3471" spans="8:9">
      <c r="H3471" s="2"/>
      <c r="I3471" s="2"/>
    </row>
    <row r="3472" spans="8:9">
      <c r="H3472" s="2"/>
      <c r="I3472" s="2"/>
    </row>
    <row r="3473" spans="8:9">
      <c r="H3473" s="2"/>
      <c r="I3473" s="2"/>
    </row>
    <row r="3474" spans="8:9">
      <c r="H3474" s="2"/>
      <c r="I3474" s="2"/>
    </row>
    <row r="3475" spans="8:9">
      <c r="H3475" s="2"/>
      <c r="I3475" s="2"/>
    </row>
    <row r="3476" spans="8:9">
      <c r="H3476" s="2"/>
      <c r="I3476" s="2"/>
    </row>
    <row r="3477" spans="8:9">
      <c r="H3477" s="2"/>
      <c r="I3477" s="2"/>
    </row>
    <row r="3478" spans="8:9">
      <c r="H3478" s="2"/>
      <c r="I3478" s="2"/>
    </row>
    <row r="3479" spans="8:9">
      <c r="H3479" s="2"/>
      <c r="I3479" s="2"/>
    </row>
    <row r="3480" spans="8:9">
      <c r="H3480" s="2"/>
      <c r="I3480" s="2"/>
    </row>
    <row r="3481" spans="8:9">
      <c r="H3481" s="2"/>
      <c r="I3481" s="2"/>
    </row>
    <row r="3482" spans="8:9">
      <c r="H3482" s="2"/>
      <c r="I3482" s="2"/>
    </row>
    <row r="3483" spans="8:9">
      <c r="H3483" s="2"/>
      <c r="I3483" s="2"/>
    </row>
    <row r="3484" spans="8:9">
      <c r="H3484" s="2"/>
      <c r="I3484" s="2"/>
    </row>
    <row r="3485" spans="8:9">
      <c r="H3485" s="2"/>
      <c r="I3485" s="2"/>
    </row>
    <row r="3486" spans="8:9">
      <c r="H3486" s="2"/>
      <c r="I3486" s="2"/>
    </row>
    <row r="3487" spans="8:9">
      <c r="H3487" s="2"/>
      <c r="I3487" s="2"/>
    </row>
    <row r="3488" spans="8:9">
      <c r="H3488" s="2"/>
      <c r="I3488" s="2"/>
    </row>
    <row r="3489" spans="8:9">
      <c r="H3489" s="2"/>
      <c r="I3489" s="2"/>
    </row>
    <row r="3490" spans="8:9">
      <c r="H3490" s="2"/>
      <c r="I3490" s="2"/>
    </row>
    <row r="3491" spans="8:9">
      <c r="H3491" s="2"/>
      <c r="I3491" s="2"/>
    </row>
    <row r="3492" spans="8:9">
      <c r="H3492" s="2"/>
      <c r="I3492" s="2"/>
    </row>
    <row r="3493" spans="8:9">
      <c r="H3493" s="2"/>
      <c r="I3493" s="2"/>
    </row>
    <row r="3494" spans="8:9">
      <c r="H3494" s="2"/>
      <c r="I3494" s="2"/>
    </row>
    <row r="3495" spans="8:9">
      <c r="H3495" s="2"/>
      <c r="I3495" s="2"/>
    </row>
    <row r="3496" spans="8:9">
      <c r="H3496" s="2"/>
      <c r="I3496" s="2"/>
    </row>
    <row r="3497" spans="8:9">
      <c r="H3497" s="2"/>
      <c r="I3497" s="2"/>
    </row>
    <row r="3498" spans="8:9">
      <c r="H3498" s="2"/>
      <c r="I3498" s="2"/>
    </row>
    <row r="3499" spans="8:9">
      <c r="H3499" s="2"/>
      <c r="I3499" s="2"/>
    </row>
    <row r="3500" spans="8:9">
      <c r="H3500" s="2"/>
      <c r="I3500" s="2"/>
    </row>
    <row r="3501" spans="8:9">
      <c r="H3501" s="2"/>
      <c r="I3501" s="2"/>
    </row>
    <row r="3502" spans="8:9">
      <c r="H3502" s="2"/>
      <c r="I3502" s="2"/>
    </row>
    <row r="3503" spans="8:9">
      <c r="H3503" s="2"/>
      <c r="I3503" s="2"/>
    </row>
    <row r="3504" spans="8:9">
      <c r="H3504" s="2"/>
      <c r="I3504" s="2"/>
    </row>
    <row r="3505" spans="8:9">
      <c r="H3505" s="2"/>
      <c r="I3505" s="2"/>
    </row>
    <row r="3506" spans="8:9">
      <c r="H3506" s="2"/>
      <c r="I3506" s="2"/>
    </row>
    <row r="3507" spans="8:9">
      <c r="H3507" s="2"/>
      <c r="I3507" s="2"/>
    </row>
    <row r="3508" spans="8:9">
      <c r="H3508" s="2"/>
      <c r="I3508" s="2"/>
    </row>
    <row r="3509" spans="8:9">
      <c r="H3509" s="2"/>
      <c r="I3509" s="2"/>
    </row>
    <row r="3510" spans="8:9">
      <c r="H3510" s="2"/>
      <c r="I3510" s="2"/>
    </row>
    <row r="3511" spans="8:9">
      <c r="H3511" s="2"/>
      <c r="I3511" s="2"/>
    </row>
    <row r="3512" spans="8:9">
      <c r="H3512" s="2"/>
      <c r="I3512" s="2"/>
    </row>
    <row r="3513" spans="8:9">
      <c r="H3513" s="2"/>
      <c r="I3513" s="2"/>
    </row>
    <row r="3514" spans="8:9">
      <c r="H3514" s="2"/>
      <c r="I3514" s="2"/>
    </row>
    <row r="3515" spans="8:9">
      <c r="H3515" s="2"/>
      <c r="I3515" s="2"/>
    </row>
    <row r="3516" spans="8:9">
      <c r="H3516" s="2"/>
      <c r="I3516" s="2"/>
    </row>
    <row r="3517" spans="8:9">
      <c r="H3517" s="2"/>
      <c r="I3517" s="2"/>
    </row>
    <row r="3518" spans="8:9">
      <c r="H3518" s="2"/>
      <c r="I3518" s="2"/>
    </row>
    <row r="3519" spans="8:9">
      <c r="H3519" s="2"/>
      <c r="I3519" s="2"/>
    </row>
    <row r="3520" spans="8:9">
      <c r="H3520" s="2"/>
      <c r="I3520" s="2"/>
    </row>
    <row r="3521" spans="8:9">
      <c r="H3521" s="2"/>
      <c r="I3521" s="2"/>
    </row>
    <row r="3522" spans="8:9">
      <c r="H3522" s="2"/>
      <c r="I3522" s="2"/>
    </row>
    <row r="3523" spans="8:9">
      <c r="H3523" s="2"/>
      <c r="I3523" s="2"/>
    </row>
    <row r="3524" spans="8:9">
      <c r="H3524" s="2"/>
      <c r="I3524" s="2"/>
    </row>
    <row r="3525" spans="8:9">
      <c r="H3525" s="2"/>
      <c r="I3525" s="2"/>
    </row>
    <row r="3526" spans="8:9">
      <c r="H3526" s="2"/>
      <c r="I3526" s="2"/>
    </row>
    <row r="3527" spans="8:9">
      <c r="H3527" s="2"/>
      <c r="I3527" s="2"/>
    </row>
    <row r="3528" spans="8:9">
      <c r="H3528" s="2"/>
      <c r="I3528" s="2"/>
    </row>
    <row r="3529" spans="8:9">
      <c r="H3529" s="2"/>
      <c r="I3529" s="2"/>
    </row>
    <row r="3530" spans="8:9">
      <c r="H3530" s="2"/>
      <c r="I3530" s="2"/>
    </row>
    <row r="3531" spans="8:9">
      <c r="H3531" s="2"/>
      <c r="I3531" s="2"/>
    </row>
    <row r="3532" spans="8:9">
      <c r="H3532" s="2"/>
      <c r="I3532" s="2"/>
    </row>
    <row r="3533" spans="8:9">
      <c r="H3533" s="2"/>
      <c r="I3533" s="2"/>
    </row>
    <row r="3534" spans="8:9">
      <c r="H3534" s="2"/>
      <c r="I3534" s="2"/>
    </row>
    <row r="3535" spans="8:9">
      <c r="H3535" s="2"/>
      <c r="I3535" s="2"/>
    </row>
    <row r="3536" spans="8:9">
      <c r="H3536" s="2"/>
      <c r="I3536" s="2"/>
    </row>
    <row r="3537" spans="8:9">
      <c r="H3537" s="2"/>
      <c r="I3537" s="2"/>
    </row>
    <row r="3538" spans="8:9">
      <c r="H3538" s="2"/>
      <c r="I3538" s="2"/>
    </row>
    <row r="3539" spans="8:9">
      <c r="H3539" s="2"/>
      <c r="I3539" s="2"/>
    </row>
    <row r="3540" spans="8:9">
      <c r="H3540" s="2"/>
      <c r="I3540" s="2"/>
    </row>
    <row r="3541" spans="8:9">
      <c r="H3541" s="2"/>
      <c r="I3541" s="2"/>
    </row>
    <row r="3542" spans="8:9">
      <c r="H3542" s="2"/>
      <c r="I3542" s="2"/>
    </row>
    <row r="3543" spans="8:9">
      <c r="H3543" s="2"/>
      <c r="I3543" s="2"/>
    </row>
    <row r="3544" spans="8:9">
      <c r="H3544" s="2"/>
      <c r="I3544" s="2"/>
    </row>
    <row r="3545" spans="8:9">
      <c r="H3545" s="2"/>
      <c r="I3545" s="2"/>
    </row>
    <row r="3546" spans="8:9">
      <c r="H3546" s="2"/>
      <c r="I3546" s="2"/>
    </row>
    <row r="3547" spans="8:9">
      <c r="H3547" s="2"/>
      <c r="I3547" s="2"/>
    </row>
    <row r="3548" spans="8:9">
      <c r="H3548" s="2"/>
      <c r="I3548" s="2"/>
    </row>
    <row r="3549" spans="8:9">
      <c r="H3549" s="2"/>
      <c r="I3549" s="2"/>
    </row>
    <row r="3550" spans="8:9">
      <c r="H3550" s="2"/>
      <c r="I3550" s="2"/>
    </row>
    <row r="3551" spans="8:9">
      <c r="H3551" s="2"/>
      <c r="I3551" s="2"/>
    </row>
    <row r="3552" spans="8:9">
      <c r="H3552" s="2"/>
      <c r="I3552" s="2"/>
    </row>
    <row r="3553" spans="8:9">
      <c r="H3553" s="2"/>
      <c r="I3553" s="2"/>
    </row>
    <row r="3554" spans="8:9">
      <c r="H3554" s="2"/>
      <c r="I3554" s="2"/>
    </row>
    <row r="3555" spans="8:9">
      <c r="H3555" s="2"/>
      <c r="I3555" s="2"/>
    </row>
    <row r="3556" spans="8:9">
      <c r="H3556" s="2"/>
      <c r="I3556" s="2"/>
    </row>
    <row r="3557" spans="8:9">
      <c r="H3557" s="2"/>
      <c r="I3557" s="2"/>
    </row>
    <row r="3558" spans="8:9">
      <c r="H3558" s="2"/>
      <c r="I3558" s="2"/>
    </row>
    <row r="3559" spans="8:9">
      <c r="H3559" s="2"/>
      <c r="I3559" s="2"/>
    </row>
    <row r="3560" spans="8:9">
      <c r="H3560" s="2"/>
      <c r="I3560" s="2"/>
    </row>
    <row r="3561" spans="8:9">
      <c r="H3561" s="2"/>
      <c r="I3561" s="2"/>
    </row>
    <row r="3562" spans="8:9">
      <c r="H3562" s="2"/>
      <c r="I3562" s="2"/>
    </row>
    <row r="3563" spans="8:9">
      <c r="H3563" s="2"/>
      <c r="I3563" s="2"/>
    </row>
    <row r="3564" spans="8:9">
      <c r="H3564" s="2"/>
      <c r="I3564" s="2"/>
    </row>
    <row r="3565" spans="8:9">
      <c r="H3565" s="2"/>
      <c r="I3565" s="2"/>
    </row>
    <row r="3566" spans="8:9">
      <c r="H3566" s="2"/>
      <c r="I3566" s="2"/>
    </row>
    <row r="3567" spans="8:9">
      <c r="H3567" s="2"/>
      <c r="I3567" s="2"/>
    </row>
    <row r="3568" spans="8:9">
      <c r="H3568" s="2"/>
      <c r="I3568" s="2"/>
    </row>
    <row r="3569" spans="8:9">
      <c r="H3569" s="2"/>
      <c r="I3569" s="2"/>
    </row>
    <row r="3570" spans="8:9">
      <c r="H3570" s="2"/>
      <c r="I3570" s="2"/>
    </row>
    <row r="3571" spans="8:9">
      <c r="H3571" s="2"/>
      <c r="I3571" s="2"/>
    </row>
    <row r="3572" spans="8:9">
      <c r="H3572" s="2"/>
      <c r="I3572" s="2"/>
    </row>
    <row r="3573" spans="8:9">
      <c r="H3573" s="2"/>
      <c r="I3573" s="2"/>
    </row>
    <row r="3574" spans="8:9">
      <c r="H3574" s="2"/>
      <c r="I3574" s="2"/>
    </row>
    <row r="3575" spans="8:9">
      <c r="H3575" s="2"/>
      <c r="I3575" s="2"/>
    </row>
    <row r="3576" spans="8:9">
      <c r="H3576" s="2"/>
      <c r="I3576" s="2"/>
    </row>
    <row r="3577" spans="8:9">
      <c r="H3577" s="2"/>
      <c r="I3577" s="2"/>
    </row>
    <row r="3578" spans="8:9">
      <c r="H3578" s="2"/>
      <c r="I3578" s="2"/>
    </row>
    <row r="3579" spans="8:9">
      <c r="H3579" s="2"/>
      <c r="I3579" s="2"/>
    </row>
    <row r="3580" spans="8:9">
      <c r="H3580" s="2"/>
      <c r="I3580" s="2"/>
    </row>
    <row r="3581" spans="8:9">
      <c r="H3581" s="2"/>
      <c r="I3581" s="2"/>
    </row>
    <row r="3582" spans="8:9">
      <c r="H3582" s="2"/>
      <c r="I3582" s="2"/>
    </row>
    <row r="3583" spans="8:9">
      <c r="H3583" s="2"/>
      <c r="I3583" s="2"/>
    </row>
    <row r="3584" spans="8:9">
      <c r="H3584" s="2"/>
      <c r="I3584" s="2"/>
    </row>
    <row r="3585" spans="8:9">
      <c r="H3585" s="2"/>
      <c r="I3585" s="2"/>
    </row>
    <row r="3586" spans="8:9">
      <c r="H3586" s="2"/>
      <c r="I3586" s="2"/>
    </row>
    <row r="3587" spans="8:9">
      <c r="H3587" s="2"/>
      <c r="I3587" s="2"/>
    </row>
    <row r="3588" spans="8:9">
      <c r="H3588" s="2"/>
      <c r="I3588" s="2"/>
    </row>
    <row r="3589" spans="8:9">
      <c r="H3589" s="2"/>
      <c r="I3589" s="2"/>
    </row>
    <row r="3590" spans="8:9">
      <c r="H3590" s="2"/>
      <c r="I3590" s="2"/>
    </row>
    <row r="3591" spans="8:9">
      <c r="H3591" s="2"/>
      <c r="I3591" s="2"/>
    </row>
    <row r="3592" spans="8:9">
      <c r="H3592" s="2"/>
      <c r="I3592" s="2"/>
    </row>
    <row r="3593" spans="8:9">
      <c r="H3593" s="2"/>
      <c r="I3593" s="2"/>
    </row>
    <row r="3594" spans="8:9">
      <c r="H3594" s="2"/>
      <c r="I3594" s="2"/>
    </row>
    <row r="3595" spans="8:9">
      <c r="H3595" s="2"/>
      <c r="I3595" s="2"/>
    </row>
    <row r="3596" spans="8:9">
      <c r="H3596" s="2"/>
      <c r="I3596" s="2"/>
    </row>
    <row r="3597" spans="8:9">
      <c r="H3597" s="2"/>
      <c r="I3597" s="2"/>
    </row>
    <row r="3598" spans="8:9">
      <c r="H3598" s="2"/>
      <c r="I3598" s="2"/>
    </row>
    <row r="3599" spans="8:9">
      <c r="H3599" s="2"/>
      <c r="I3599" s="2"/>
    </row>
    <row r="3600" spans="8:9">
      <c r="H3600" s="2"/>
      <c r="I3600" s="2"/>
    </row>
    <row r="3601" spans="8:9">
      <c r="H3601" s="2"/>
      <c r="I3601" s="2"/>
    </row>
    <row r="3602" spans="8:9">
      <c r="H3602" s="2"/>
      <c r="I3602" s="2"/>
    </row>
    <row r="3603" spans="8:9">
      <c r="H3603" s="2"/>
      <c r="I3603" s="2"/>
    </row>
    <row r="3604" spans="8:9">
      <c r="H3604" s="2"/>
      <c r="I3604" s="2"/>
    </row>
    <row r="3605" spans="8:9">
      <c r="H3605" s="2"/>
      <c r="I3605" s="2"/>
    </row>
    <row r="3606" spans="8:9">
      <c r="H3606" s="2"/>
      <c r="I3606" s="2"/>
    </row>
    <row r="3607" spans="8:9">
      <c r="H3607" s="2"/>
      <c r="I3607" s="2"/>
    </row>
    <row r="3608" spans="8:9">
      <c r="H3608" s="2"/>
      <c r="I3608" s="2"/>
    </row>
    <row r="3609" spans="8:9">
      <c r="H3609" s="2"/>
      <c r="I3609" s="2"/>
    </row>
    <row r="3610" spans="8:9">
      <c r="H3610" s="2"/>
      <c r="I3610" s="2"/>
    </row>
    <row r="3611" spans="8:9">
      <c r="H3611" s="2"/>
      <c r="I3611" s="2"/>
    </row>
    <row r="3612" spans="8:9">
      <c r="H3612" s="2"/>
      <c r="I3612" s="2"/>
    </row>
    <row r="3613" spans="8:9">
      <c r="H3613" s="2"/>
      <c r="I3613" s="2"/>
    </row>
    <row r="3614" spans="8:9">
      <c r="H3614" s="2"/>
      <c r="I3614" s="2"/>
    </row>
    <row r="3615" spans="8:9">
      <c r="H3615" s="2"/>
      <c r="I3615" s="2"/>
    </row>
    <row r="3616" spans="8:9">
      <c r="H3616" s="2"/>
      <c r="I3616" s="2"/>
    </row>
    <row r="3617" spans="8:9">
      <c r="H3617" s="2"/>
      <c r="I3617" s="2"/>
    </row>
    <row r="3618" spans="8:9">
      <c r="H3618" s="2"/>
      <c r="I3618" s="2"/>
    </row>
    <row r="3619" spans="8:9">
      <c r="H3619" s="2"/>
      <c r="I3619" s="2"/>
    </row>
    <row r="3620" spans="8:9">
      <c r="H3620" s="2"/>
      <c r="I3620" s="2"/>
    </row>
    <row r="3621" spans="8:9">
      <c r="H3621" s="2"/>
      <c r="I3621" s="2"/>
    </row>
    <row r="3622" spans="8:9">
      <c r="H3622" s="2"/>
      <c r="I3622" s="2"/>
    </row>
    <row r="3623" spans="8:9">
      <c r="H3623" s="2"/>
      <c r="I3623" s="2"/>
    </row>
    <row r="3624" spans="8:9">
      <c r="H3624" s="2"/>
      <c r="I3624" s="2"/>
    </row>
    <row r="3625" spans="8:9">
      <c r="H3625" s="2"/>
      <c r="I3625" s="2"/>
    </row>
    <row r="3626" spans="8:9">
      <c r="H3626" s="2"/>
      <c r="I3626" s="2"/>
    </row>
    <row r="3627" spans="8:9">
      <c r="H3627" s="2"/>
      <c r="I3627" s="2"/>
    </row>
    <row r="3628" spans="8:9">
      <c r="H3628" s="2"/>
      <c r="I3628" s="2"/>
    </row>
    <row r="3629" spans="8:9">
      <c r="H3629" s="2"/>
      <c r="I3629" s="2"/>
    </row>
    <row r="3630" spans="8:9">
      <c r="H3630" s="2"/>
      <c r="I3630" s="2"/>
    </row>
    <row r="3631" spans="8:9">
      <c r="H3631" s="2"/>
      <c r="I3631" s="2"/>
    </row>
    <row r="3632" spans="8:9">
      <c r="H3632" s="2"/>
      <c r="I3632" s="2"/>
    </row>
    <row r="3633" spans="8:9">
      <c r="H3633" s="2"/>
      <c r="I3633" s="2"/>
    </row>
    <row r="3634" spans="8:9">
      <c r="H3634" s="2"/>
      <c r="I3634" s="2"/>
    </row>
    <row r="3635" spans="8:9">
      <c r="H3635" s="2"/>
      <c r="I3635" s="2"/>
    </row>
    <row r="3636" spans="8:9">
      <c r="H3636" s="2"/>
      <c r="I3636" s="2"/>
    </row>
    <row r="3637" spans="8:9">
      <c r="H3637" s="2"/>
      <c r="I3637" s="2"/>
    </row>
    <row r="3638" spans="8:9">
      <c r="H3638" s="2"/>
      <c r="I3638" s="2"/>
    </row>
    <row r="3639" spans="8:9">
      <c r="H3639" s="2"/>
      <c r="I3639" s="2"/>
    </row>
    <row r="3640" spans="8:9">
      <c r="H3640" s="2"/>
      <c r="I3640" s="2"/>
    </row>
    <row r="3641" spans="8:9">
      <c r="H3641" s="2"/>
      <c r="I3641" s="2"/>
    </row>
    <row r="3642" spans="8:9">
      <c r="H3642" s="2"/>
      <c r="I3642" s="2"/>
    </row>
    <row r="3643" spans="8:9">
      <c r="H3643" s="2"/>
      <c r="I3643" s="2"/>
    </row>
    <row r="3644" spans="8:9">
      <c r="H3644" s="2"/>
      <c r="I3644" s="2"/>
    </row>
    <row r="3645" spans="8:9">
      <c r="H3645" s="2"/>
      <c r="I3645" s="2"/>
    </row>
    <row r="3646" spans="8:9">
      <c r="H3646" s="2"/>
      <c r="I3646" s="2"/>
    </row>
    <row r="3647" spans="8:9">
      <c r="H3647" s="2"/>
      <c r="I3647" s="2"/>
    </row>
    <row r="3648" spans="8:9">
      <c r="H3648" s="2"/>
      <c r="I3648" s="2"/>
    </row>
    <row r="3649" spans="8:9">
      <c r="H3649" s="2"/>
      <c r="I3649" s="2"/>
    </row>
    <row r="3650" spans="8:9">
      <c r="H3650" s="2"/>
      <c r="I3650" s="2"/>
    </row>
    <row r="3651" spans="8:9">
      <c r="H3651" s="2"/>
      <c r="I3651" s="2"/>
    </row>
    <row r="3652" spans="8:9">
      <c r="H3652" s="2"/>
      <c r="I3652" s="2"/>
    </row>
    <row r="3653" spans="8:9">
      <c r="H3653" s="2"/>
      <c r="I3653" s="2"/>
    </row>
    <row r="3654" spans="8:9">
      <c r="H3654" s="2"/>
      <c r="I3654" s="2"/>
    </row>
    <row r="3655" spans="8:9">
      <c r="H3655" s="2"/>
      <c r="I3655" s="2"/>
    </row>
    <row r="3656" spans="8:9">
      <c r="H3656" s="2"/>
      <c r="I3656" s="2"/>
    </row>
    <row r="3657" spans="8:9">
      <c r="H3657" s="2"/>
      <c r="I3657" s="2"/>
    </row>
    <row r="3658" spans="8:9">
      <c r="H3658" s="2"/>
      <c r="I3658" s="2"/>
    </row>
    <row r="3659" spans="8:9">
      <c r="H3659" s="2"/>
      <c r="I3659" s="2"/>
    </row>
    <row r="3660" spans="8:9">
      <c r="H3660" s="2"/>
      <c r="I3660" s="2"/>
    </row>
    <row r="3661" spans="8:9">
      <c r="H3661" s="2"/>
      <c r="I3661" s="2"/>
    </row>
    <row r="3662" spans="8:9">
      <c r="H3662" s="2"/>
      <c r="I3662" s="2"/>
    </row>
    <row r="3663" spans="8:9">
      <c r="H3663" s="2"/>
      <c r="I3663" s="2"/>
    </row>
    <row r="3664" spans="8:9">
      <c r="H3664" s="2"/>
      <c r="I3664" s="2"/>
    </row>
    <row r="3665" spans="8:9">
      <c r="H3665" s="2"/>
      <c r="I3665" s="2"/>
    </row>
    <row r="3666" spans="8:9">
      <c r="H3666" s="2"/>
      <c r="I3666" s="2"/>
    </row>
    <row r="3667" spans="8:9">
      <c r="H3667" s="2"/>
      <c r="I3667" s="2"/>
    </row>
    <row r="3668" spans="8:9">
      <c r="H3668" s="2"/>
      <c r="I3668" s="2"/>
    </row>
    <row r="3669" spans="8:9">
      <c r="H3669" s="2"/>
      <c r="I3669" s="2"/>
    </row>
    <row r="3670" spans="8:9">
      <c r="H3670" s="2"/>
      <c r="I3670" s="2"/>
    </row>
    <row r="3671" spans="8:9">
      <c r="H3671" s="2"/>
      <c r="I3671" s="2"/>
    </row>
    <row r="3672" spans="8:9">
      <c r="H3672" s="2"/>
      <c r="I3672" s="2"/>
    </row>
    <row r="3673" spans="8:9">
      <c r="H3673" s="2"/>
      <c r="I3673" s="2"/>
    </row>
    <row r="3674" spans="8:9">
      <c r="H3674" s="2"/>
      <c r="I3674" s="2"/>
    </row>
    <row r="3675" spans="8:9">
      <c r="H3675" s="2"/>
      <c r="I3675" s="2"/>
    </row>
    <row r="3676" spans="8:9">
      <c r="H3676" s="2"/>
      <c r="I3676" s="2"/>
    </row>
    <row r="3677" spans="8:9">
      <c r="H3677" s="2"/>
      <c r="I3677" s="2"/>
    </row>
    <row r="3678" spans="8:9">
      <c r="H3678" s="2"/>
      <c r="I3678" s="2"/>
    </row>
    <row r="3679" spans="8:9">
      <c r="H3679" s="2"/>
      <c r="I3679" s="2"/>
    </row>
    <row r="3680" spans="8:9">
      <c r="H3680" s="2"/>
      <c r="I3680" s="2"/>
    </row>
    <row r="3681" spans="8:9">
      <c r="H3681" s="2"/>
      <c r="I3681" s="2"/>
    </row>
    <row r="3682" spans="8:9">
      <c r="H3682" s="2"/>
      <c r="I3682" s="2"/>
    </row>
    <row r="3683" spans="8:9">
      <c r="H3683" s="2"/>
      <c r="I3683" s="2"/>
    </row>
    <row r="3684" spans="8:9">
      <c r="H3684" s="2"/>
      <c r="I3684" s="2"/>
    </row>
    <row r="3685" spans="8:9">
      <c r="H3685" s="2"/>
      <c r="I3685" s="2"/>
    </row>
    <row r="3686" spans="8:9">
      <c r="H3686" s="2"/>
      <c r="I3686" s="2"/>
    </row>
    <row r="3687" spans="8:9">
      <c r="H3687" s="2"/>
      <c r="I3687" s="2"/>
    </row>
    <row r="3688" spans="8:9">
      <c r="H3688" s="2"/>
      <c r="I3688" s="2"/>
    </row>
    <row r="3689" spans="8:9">
      <c r="H3689" s="2"/>
      <c r="I3689" s="2"/>
    </row>
    <row r="3690" spans="8:9">
      <c r="H3690" s="2"/>
      <c r="I3690" s="2"/>
    </row>
    <row r="3691" spans="8:9">
      <c r="H3691" s="2"/>
      <c r="I3691" s="2"/>
    </row>
    <row r="3692" spans="8:9">
      <c r="H3692" s="2"/>
      <c r="I3692" s="2"/>
    </row>
    <row r="3693" spans="8:9">
      <c r="H3693" s="2"/>
      <c r="I3693" s="2"/>
    </row>
    <row r="3694" spans="8:9">
      <c r="H3694" s="2"/>
      <c r="I3694" s="2"/>
    </row>
    <row r="3695" spans="8:9">
      <c r="H3695" s="2"/>
      <c r="I3695" s="2"/>
    </row>
    <row r="3696" spans="8:9">
      <c r="H3696" s="2"/>
      <c r="I3696" s="2"/>
    </row>
    <row r="3697" spans="8:9">
      <c r="H3697" s="2"/>
      <c r="I3697" s="2"/>
    </row>
    <row r="3698" spans="8:9">
      <c r="H3698" s="2"/>
      <c r="I3698" s="2"/>
    </row>
    <row r="3699" spans="8:9">
      <c r="H3699" s="2"/>
      <c r="I3699" s="2"/>
    </row>
    <row r="3700" spans="8:9">
      <c r="H3700" s="2"/>
      <c r="I3700" s="2"/>
    </row>
    <row r="3701" spans="8:9">
      <c r="H3701" s="2"/>
      <c r="I3701" s="2"/>
    </row>
    <row r="3702" spans="8:9">
      <c r="H3702" s="2"/>
      <c r="I3702" s="2"/>
    </row>
    <row r="3703" spans="8:9">
      <c r="H3703" s="2"/>
      <c r="I3703" s="2"/>
    </row>
    <row r="3704" spans="8:9">
      <c r="H3704" s="2"/>
      <c r="I3704" s="2"/>
    </row>
    <row r="3705" spans="8:9">
      <c r="H3705" s="2"/>
      <c r="I3705" s="2"/>
    </row>
    <row r="3706" spans="8:9">
      <c r="H3706" s="2"/>
      <c r="I3706" s="2"/>
    </row>
    <row r="3707" spans="8:9">
      <c r="H3707" s="2"/>
      <c r="I3707" s="2"/>
    </row>
    <row r="3708" spans="8:9">
      <c r="H3708" s="2"/>
      <c r="I3708" s="2"/>
    </row>
    <row r="3709" spans="8:9">
      <c r="H3709" s="2"/>
      <c r="I3709" s="2"/>
    </row>
    <row r="3710" spans="8:9">
      <c r="H3710" s="2"/>
      <c r="I3710" s="2"/>
    </row>
    <row r="3711" spans="8:9">
      <c r="H3711" s="2"/>
      <c r="I3711" s="2"/>
    </row>
    <row r="3712" spans="8:9">
      <c r="H3712" s="2"/>
      <c r="I3712" s="2"/>
    </row>
    <row r="3713" spans="8:9">
      <c r="H3713" s="2"/>
      <c r="I3713" s="2"/>
    </row>
    <row r="3714" spans="8:9">
      <c r="H3714" s="2"/>
      <c r="I3714" s="2"/>
    </row>
    <row r="3715" spans="8:9">
      <c r="H3715" s="2"/>
      <c r="I3715" s="2"/>
    </row>
    <row r="3716" spans="8:9">
      <c r="H3716" s="2"/>
      <c r="I3716" s="2"/>
    </row>
    <row r="3717" spans="8:9">
      <c r="H3717" s="2"/>
      <c r="I3717" s="2"/>
    </row>
    <row r="3718" spans="8:9">
      <c r="H3718" s="2"/>
      <c r="I3718" s="2"/>
    </row>
    <row r="3719" spans="8:9">
      <c r="H3719" s="2"/>
      <c r="I3719" s="2"/>
    </row>
    <row r="3720" spans="8:9">
      <c r="H3720" s="2"/>
      <c r="I3720" s="2"/>
    </row>
    <row r="3721" spans="8:9">
      <c r="H3721" s="2"/>
      <c r="I3721" s="2"/>
    </row>
    <row r="3722" spans="8:9">
      <c r="H3722" s="2"/>
      <c r="I3722" s="2"/>
    </row>
    <row r="3723" spans="8:9">
      <c r="H3723" s="2"/>
      <c r="I3723" s="2"/>
    </row>
    <row r="3724" spans="8:9">
      <c r="H3724" s="2"/>
      <c r="I3724" s="2"/>
    </row>
    <row r="3725" spans="8:9">
      <c r="H3725" s="2"/>
      <c r="I3725" s="2"/>
    </row>
    <row r="3726" spans="8:9">
      <c r="H3726" s="2"/>
      <c r="I3726" s="2"/>
    </row>
    <row r="3727" spans="8:9">
      <c r="H3727" s="2"/>
      <c r="I3727" s="2"/>
    </row>
    <row r="3728" spans="8:9">
      <c r="H3728" s="2"/>
      <c r="I3728" s="2"/>
    </row>
    <row r="3729" spans="8:9">
      <c r="H3729" s="2"/>
      <c r="I3729" s="2"/>
    </row>
    <row r="3730" spans="8:9">
      <c r="H3730" s="2"/>
      <c r="I3730" s="2"/>
    </row>
    <row r="3731" spans="8:9">
      <c r="H3731" s="2"/>
      <c r="I3731" s="2"/>
    </row>
    <row r="3732" spans="8:9">
      <c r="H3732" s="2"/>
      <c r="I3732" s="2"/>
    </row>
    <row r="3733" spans="8:9">
      <c r="H3733" s="2"/>
      <c r="I3733" s="2"/>
    </row>
    <row r="3734" spans="8:9">
      <c r="H3734" s="2"/>
      <c r="I3734" s="2"/>
    </row>
    <row r="3735" spans="8:9">
      <c r="H3735" s="2"/>
      <c r="I3735" s="2"/>
    </row>
    <row r="3736" spans="8:9">
      <c r="H3736" s="2"/>
      <c r="I3736" s="2"/>
    </row>
    <row r="3737" spans="8:9">
      <c r="H3737" s="2"/>
      <c r="I3737" s="2"/>
    </row>
    <row r="3738" spans="8:9">
      <c r="H3738" s="2"/>
      <c r="I3738" s="2"/>
    </row>
    <row r="3739" spans="8:9">
      <c r="H3739" s="2"/>
      <c r="I3739" s="2"/>
    </row>
    <row r="3740" spans="8:9">
      <c r="H3740" s="2"/>
      <c r="I3740" s="2"/>
    </row>
    <row r="3741" spans="8:9">
      <c r="H3741" s="2"/>
      <c r="I3741" s="2"/>
    </row>
    <row r="3742" spans="8:9">
      <c r="H3742" s="2"/>
      <c r="I3742" s="2"/>
    </row>
    <row r="3743" spans="8:9">
      <c r="H3743" s="2"/>
      <c r="I3743" s="2"/>
    </row>
    <row r="3744" spans="8:9">
      <c r="H3744" s="2"/>
      <c r="I3744" s="2"/>
    </row>
    <row r="3745" spans="8:9">
      <c r="H3745" s="2"/>
      <c r="I3745" s="2"/>
    </row>
    <row r="3746" spans="8:9">
      <c r="H3746" s="2"/>
      <c r="I3746" s="2"/>
    </row>
    <row r="3747" spans="8:9">
      <c r="H3747" s="2"/>
      <c r="I3747" s="2"/>
    </row>
    <row r="3748" spans="8:9">
      <c r="H3748" s="2"/>
      <c r="I3748" s="2"/>
    </row>
    <row r="3749" spans="8:9">
      <c r="H3749" s="2"/>
      <c r="I3749" s="2"/>
    </row>
    <row r="3750" spans="8:9">
      <c r="H3750" s="2"/>
      <c r="I3750" s="2"/>
    </row>
    <row r="3751" spans="8:9">
      <c r="H3751" s="2"/>
      <c r="I3751" s="2"/>
    </row>
    <row r="3752" spans="8:9">
      <c r="H3752" s="2"/>
      <c r="I3752" s="2"/>
    </row>
    <row r="3753" spans="8:9">
      <c r="H3753" s="2"/>
      <c r="I3753" s="2"/>
    </row>
    <row r="3754" spans="8:9">
      <c r="H3754" s="2"/>
      <c r="I3754" s="2"/>
    </row>
    <row r="3755" spans="8:9">
      <c r="H3755" s="2"/>
      <c r="I3755" s="2"/>
    </row>
    <row r="3756" spans="8:9">
      <c r="H3756" s="2"/>
      <c r="I3756" s="2"/>
    </row>
    <row r="3757" spans="8:9">
      <c r="H3757" s="2"/>
      <c r="I3757" s="2"/>
    </row>
    <row r="3758" spans="8:9">
      <c r="H3758" s="2"/>
      <c r="I3758" s="2"/>
    </row>
    <row r="3759" spans="8:9">
      <c r="H3759" s="2"/>
      <c r="I3759" s="2"/>
    </row>
    <row r="3760" spans="8:9">
      <c r="H3760" s="2"/>
      <c r="I3760" s="2"/>
    </row>
    <row r="3761" spans="8:9">
      <c r="H3761" s="2"/>
      <c r="I3761" s="2"/>
    </row>
    <row r="3762" spans="8:9">
      <c r="H3762" s="2"/>
      <c r="I3762" s="2"/>
    </row>
    <row r="3763" spans="8:9">
      <c r="H3763" s="2"/>
      <c r="I3763" s="2"/>
    </row>
    <row r="3764" spans="8:9">
      <c r="H3764" s="2"/>
      <c r="I3764" s="2"/>
    </row>
    <row r="3765" spans="8:9">
      <c r="H3765" s="2"/>
      <c r="I3765" s="2"/>
    </row>
    <row r="3766" spans="8:9">
      <c r="H3766" s="2"/>
      <c r="I3766" s="2"/>
    </row>
    <row r="3767" spans="8:9">
      <c r="H3767" s="2"/>
      <c r="I3767" s="2"/>
    </row>
    <row r="3768" spans="8:9">
      <c r="H3768" s="2"/>
      <c r="I3768" s="2"/>
    </row>
    <row r="3769" spans="8:9">
      <c r="H3769" s="2"/>
      <c r="I3769" s="2"/>
    </row>
    <row r="3770" spans="8:9">
      <c r="H3770" s="2"/>
      <c r="I3770" s="2"/>
    </row>
    <row r="3771" spans="8:9">
      <c r="H3771" s="2"/>
      <c r="I3771" s="2"/>
    </row>
    <row r="3772" spans="8:9">
      <c r="H3772" s="2"/>
      <c r="I3772" s="2"/>
    </row>
    <row r="3773" spans="8:9">
      <c r="H3773" s="2"/>
      <c r="I3773" s="2"/>
    </row>
    <row r="3774" spans="8:9">
      <c r="H3774" s="2"/>
      <c r="I3774" s="2"/>
    </row>
    <row r="3775" spans="8:9">
      <c r="H3775" s="2"/>
      <c r="I3775" s="2"/>
    </row>
    <row r="3776" spans="8:9">
      <c r="H3776" s="2"/>
      <c r="I3776" s="2"/>
    </row>
    <row r="3777" spans="8:9">
      <c r="H3777" s="2"/>
      <c r="I3777" s="2"/>
    </row>
    <row r="3778" spans="8:9">
      <c r="H3778" s="2"/>
      <c r="I3778" s="2"/>
    </row>
    <row r="3779" spans="8:9">
      <c r="H3779" s="2"/>
      <c r="I3779" s="2"/>
    </row>
    <row r="3780" spans="8:9">
      <c r="H3780" s="2"/>
      <c r="I3780" s="2"/>
    </row>
    <row r="3781" spans="8:9">
      <c r="H3781" s="2"/>
      <c r="I3781" s="2"/>
    </row>
    <row r="3782" spans="8:9">
      <c r="H3782" s="2"/>
      <c r="I3782" s="2"/>
    </row>
    <row r="3783" spans="8:9">
      <c r="H3783" s="2"/>
      <c r="I3783" s="2"/>
    </row>
    <row r="3784" spans="8:9">
      <c r="H3784" s="2"/>
      <c r="I3784" s="2"/>
    </row>
    <row r="3785" spans="8:9">
      <c r="H3785" s="2"/>
      <c r="I3785" s="2"/>
    </row>
    <row r="3786" spans="8:9">
      <c r="H3786" s="2"/>
      <c r="I3786" s="2"/>
    </row>
    <row r="3787" spans="8:9">
      <c r="H3787" s="2"/>
      <c r="I3787" s="2"/>
    </row>
    <row r="3788" spans="8:9">
      <c r="H3788" s="2"/>
      <c r="I3788" s="2"/>
    </row>
    <row r="3789" spans="8:9">
      <c r="H3789" s="2"/>
      <c r="I3789" s="2"/>
    </row>
    <row r="3790" spans="8:9">
      <c r="H3790" s="2"/>
      <c r="I3790" s="2"/>
    </row>
    <row r="3791" spans="8:9">
      <c r="H3791" s="2"/>
      <c r="I3791" s="2"/>
    </row>
    <row r="3792" spans="8:9">
      <c r="H3792" s="2"/>
      <c r="I3792" s="2"/>
    </row>
    <row r="3793" spans="8:9">
      <c r="H3793" s="2"/>
      <c r="I3793" s="2"/>
    </row>
    <row r="3794" spans="8:9">
      <c r="H3794" s="2"/>
      <c r="I3794" s="2"/>
    </row>
    <row r="3795" spans="8:9">
      <c r="H3795" s="2"/>
      <c r="I3795" s="2"/>
    </row>
    <row r="3796" spans="8:9">
      <c r="H3796" s="2"/>
      <c r="I3796" s="2"/>
    </row>
    <row r="3797" spans="8:9">
      <c r="H3797" s="2"/>
      <c r="I3797" s="2"/>
    </row>
    <row r="3798" spans="8:9">
      <c r="H3798" s="2"/>
      <c r="I3798" s="2"/>
    </row>
    <row r="3799" spans="8:9">
      <c r="H3799" s="2"/>
      <c r="I3799" s="2"/>
    </row>
    <row r="3800" spans="8:9">
      <c r="H3800" s="2"/>
      <c r="I3800" s="2"/>
    </row>
    <row r="3801" spans="8:9">
      <c r="H3801" s="2"/>
      <c r="I3801" s="2"/>
    </row>
    <row r="3802" spans="8:9">
      <c r="H3802" s="2"/>
      <c r="I3802" s="2"/>
    </row>
    <row r="3803" spans="8:9">
      <c r="H3803" s="2"/>
      <c r="I3803" s="2"/>
    </row>
    <row r="3804" spans="8:9">
      <c r="H3804" s="2"/>
      <c r="I3804" s="2"/>
    </row>
    <row r="3805" spans="8:9">
      <c r="H3805" s="2"/>
      <c r="I3805" s="2"/>
    </row>
    <row r="3806" spans="8:9">
      <c r="H3806" s="2"/>
      <c r="I3806" s="2"/>
    </row>
    <row r="3807" spans="8:9">
      <c r="H3807" s="2"/>
      <c r="I3807" s="2"/>
    </row>
    <row r="3808" spans="8:9">
      <c r="H3808" s="2"/>
      <c r="I3808" s="2"/>
    </row>
    <row r="3809" spans="8:9">
      <c r="H3809" s="2"/>
      <c r="I3809" s="2"/>
    </row>
    <row r="3810" spans="8:9">
      <c r="H3810" s="2"/>
      <c r="I3810" s="2"/>
    </row>
    <row r="3811" spans="8:9">
      <c r="H3811" s="2"/>
      <c r="I3811" s="2"/>
    </row>
    <row r="3812" spans="8:9">
      <c r="H3812" s="2"/>
      <c r="I3812" s="2"/>
    </row>
    <row r="3813" spans="8:9">
      <c r="H3813" s="2"/>
      <c r="I3813" s="2"/>
    </row>
    <row r="3814" spans="8:9">
      <c r="H3814" s="2"/>
      <c r="I3814" s="2"/>
    </row>
    <row r="3815" spans="8:9">
      <c r="H3815" s="2"/>
      <c r="I3815" s="2"/>
    </row>
    <row r="3816" spans="8:9">
      <c r="H3816" s="2"/>
      <c r="I3816" s="2"/>
    </row>
    <row r="3817" spans="8:9">
      <c r="H3817" s="2"/>
      <c r="I3817" s="2"/>
    </row>
    <row r="3818" spans="8:9">
      <c r="H3818" s="2"/>
      <c r="I3818" s="2"/>
    </row>
    <row r="3819" spans="8:9">
      <c r="H3819" s="2"/>
      <c r="I3819" s="2"/>
    </row>
    <row r="3820" spans="8:9">
      <c r="H3820" s="2"/>
      <c r="I3820" s="2"/>
    </row>
    <row r="3821" spans="8:9">
      <c r="H3821" s="2"/>
      <c r="I3821" s="2"/>
    </row>
    <row r="3822" spans="8:9">
      <c r="H3822" s="2"/>
      <c r="I3822" s="2"/>
    </row>
    <row r="3823" spans="8:9">
      <c r="H3823" s="2"/>
      <c r="I3823" s="2"/>
    </row>
    <row r="3824" spans="8:9">
      <c r="H3824" s="2"/>
      <c r="I3824" s="2"/>
    </row>
    <row r="3825" spans="8:9">
      <c r="H3825" s="2"/>
      <c r="I3825" s="2"/>
    </row>
    <row r="3826" spans="8:9">
      <c r="H3826" s="2"/>
      <c r="I3826" s="2"/>
    </row>
    <row r="3827" spans="8:9">
      <c r="H3827" s="2"/>
      <c r="I3827" s="2"/>
    </row>
    <row r="3828" spans="8:9">
      <c r="H3828" s="2"/>
      <c r="I3828" s="2"/>
    </row>
    <row r="3829" spans="8:9">
      <c r="H3829" s="2"/>
      <c r="I3829" s="2"/>
    </row>
    <row r="3830" spans="8:9">
      <c r="H3830" s="2"/>
      <c r="I3830" s="2"/>
    </row>
    <row r="3831" spans="8:9">
      <c r="H3831" s="2"/>
      <c r="I3831" s="2"/>
    </row>
    <row r="3832" spans="8:9">
      <c r="H3832" s="2"/>
      <c r="I3832" s="2"/>
    </row>
    <row r="3833" spans="8:9">
      <c r="H3833" s="2"/>
      <c r="I3833" s="2"/>
    </row>
    <row r="3834" spans="8:9">
      <c r="H3834" s="2"/>
      <c r="I3834" s="2"/>
    </row>
    <row r="3835" spans="8:9">
      <c r="H3835" s="2"/>
      <c r="I3835" s="2"/>
    </row>
    <row r="3836" spans="8:9">
      <c r="H3836" s="2"/>
      <c r="I3836" s="2"/>
    </row>
    <row r="3837" spans="8:9">
      <c r="H3837" s="2"/>
      <c r="I3837" s="2"/>
    </row>
    <row r="3838" spans="8:9">
      <c r="H3838" s="2"/>
      <c r="I3838" s="2"/>
    </row>
    <row r="3839" spans="8:9">
      <c r="H3839" s="2"/>
      <c r="I3839" s="2"/>
    </row>
    <row r="3840" spans="8:9">
      <c r="H3840" s="2"/>
      <c r="I3840" s="2"/>
    </row>
    <row r="3841" spans="8:9">
      <c r="H3841" s="2"/>
      <c r="I3841" s="2"/>
    </row>
    <row r="3842" spans="8:9">
      <c r="H3842" s="2"/>
      <c r="I3842" s="2"/>
    </row>
    <row r="3843" spans="8:9">
      <c r="H3843" s="2"/>
      <c r="I3843" s="2"/>
    </row>
    <row r="3844" spans="8:9">
      <c r="H3844" s="2"/>
      <c r="I3844" s="2"/>
    </row>
    <row r="3845" spans="8:9">
      <c r="H3845" s="2"/>
      <c r="I3845" s="2"/>
    </row>
    <row r="3846" spans="8:9">
      <c r="H3846" s="2"/>
      <c r="I3846" s="2"/>
    </row>
    <row r="3847" spans="8:9">
      <c r="H3847" s="2"/>
      <c r="I3847" s="2"/>
    </row>
    <row r="3848" spans="8:9">
      <c r="H3848" s="2"/>
      <c r="I3848" s="2"/>
    </row>
    <row r="3849" spans="8:9">
      <c r="H3849" s="2"/>
      <c r="I3849" s="2"/>
    </row>
    <row r="3850" spans="8:9">
      <c r="H3850" s="2"/>
      <c r="I3850" s="2"/>
    </row>
    <row r="3851" spans="8:9">
      <c r="H3851" s="2"/>
      <c r="I3851" s="2"/>
    </row>
    <row r="3852" spans="8:9">
      <c r="H3852" s="2"/>
      <c r="I3852" s="2"/>
    </row>
    <row r="3853" spans="8:9">
      <c r="H3853" s="2"/>
      <c r="I3853" s="2"/>
    </row>
    <row r="3854" spans="8:9">
      <c r="H3854" s="2"/>
      <c r="I3854" s="2"/>
    </row>
    <row r="3855" spans="8:9">
      <c r="H3855" s="2"/>
      <c r="I3855" s="2"/>
    </row>
    <row r="3856" spans="8:9">
      <c r="H3856" s="2"/>
      <c r="I3856" s="2"/>
    </row>
    <row r="3857" spans="8:9">
      <c r="H3857" s="2"/>
      <c r="I3857" s="2"/>
    </row>
    <row r="3858" spans="8:9">
      <c r="H3858" s="2"/>
      <c r="I3858" s="2"/>
    </row>
    <row r="3859" spans="8:9">
      <c r="H3859" s="2"/>
      <c r="I3859" s="2"/>
    </row>
    <row r="3860" spans="8:9">
      <c r="H3860" s="2"/>
      <c r="I3860" s="2"/>
    </row>
    <row r="3861" spans="8:9">
      <c r="H3861" s="2"/>
      <c r="I3861" s="2"/>
    </row>
    <row r="3862" spans="8:9">
      <c r="H3862" s="2"/>
      <c r="I3862" s="2"/>
    </row>
    <row r="3863" spans="8:9">
      <c r="H3863" s="2"/>
      <c r="I3863" s="2"/>
    </row>
    <row r="3864" spans="8:9">
      <c r="H3864" s="2"/>
      <c r="I3864" s="2"/>
    </row>
    <row r="3865" spans="8:9">
      <c r="H3865" s="2"/>
      <c r="I3865" s="2"/>
    </row>
    <row r="3866" spans="8:9">
      <c r="H3866" s="2"/>
      <c r="I3866" s="2"/>
    </row>
    <row r="3867" spans="8:9">
      <c r="H3867" s="2"/>
      <c r="I3867" s="2"/>
    </row>
    <row r="3868" spans="8:9">
      <c r="H3868" s="2"/>
      <c r="I3868" s="2"/>
    </row>
    <row r="3869" spans="8:9">
      <c r="H3869" s="2"/>
      <c r="I3869" s="2"/>
    </row>
    <row r="3870" spans="8:9">
      <c r="H3870" s="2"/>
      <c r="I3870" s="2"/>
    </row>
    <row r="3871" spans="8:9">
      <c r="H3871" s="2"/>
      <c r="I3871" s="2"/>
    </row>
    <row r="3872" spans="8:9">
      <c r="H3872" s="2"/>
      <c r="I3872" s="2"/>
    </row>
    <row r="3873" spans="8:9">
      <c r="H3873" s="2"/>
      <c r="I3873" s="2"/>
    </row>
    <row r="3874" spans="8:9">
      <c r="H3874" s="2"/>
      <c r="I3874" s="2"/>
    </row>
    <row r="3875" spans="8:9">
      <c r="H3875" s="2"/>
      <c r="I3875" s="2"/>
    </row>
    <row r="3876" spans="8:9">
      <c r="H3876" s="2"/>
      <c r="I3876" s="2"/>
    </row>
    <row r="3877" spans="8:9">
      <c r="H3877" s="2"/>
      <c r="I3877" s="2"/>
    </row>
    <row r="3878" spans="8:9">
      <c r="H3878" s="2"/>
      <c r="I3878" s="2"/>
    </row>
    <row r="3879" spans="8:9">
      <c r="H3879" s="2"/>
      <c r="I3879" s="2"/>
    </row>
    <row r="3880" spans="8:9">
      <c r="H3880" s="2"/>
      <c r="I3880" s="2"/>
    </row>
    <row r="3881" spans="8:9">
      <c r="H3881" s="2"/>
      <c r="I3881" s="2"/>
    </row>
    <row r="3882" spans="8:9">
      <c r="H3882" s="2"/>
      <c r="I3882" s="2"/>
    </row>
    <row r="3883" spans="8:9">
      <c r="H3883" s="2"/>
      <c r="I3883" s="2"/>
    </row>
    <row r="3884" spans="8:9">
      <c r="H3884" s="2"/>
      <c r="I3884" s="2"/>
    </row>
    <row r="3885" spans="8:9">
      <c r="H3885" s="2"/>
      <c r="I3885" s="2"/>
    </row>
    <row r="3886" spans="8:9">
      <c r="H3886" s="2"/>
      <c r="I3886" s="2"/>
    </row>
    <row r="3887" spans="8:9">
      <c r="H3887" s="2"/>
      <c r="I3887" s="2"/>
    </row>
    <row r="3888" spans="8:9">
      <c r="H3888" s="2"/>
      <c r="I3888" s="2"/>
    </row>
    <row r="3889" spans="8:9">
      <c r="H3889" s="2"/>
      <c r="I3889" s="2"/>
    </row>
    <row r="3890" spans="8:9">
      <c r="H3890" s="2"/>
      <c r="I3890" s="2"/>
    </row>
    <row r="3891" spans="8:9">
      <c r="H3891" s="2"/>
      <c r="I3891" s="2"/>
    </row>
    <row r="3892" spans="8:9">
      <c r="H3892" s="2"/>
      <c r="I3892" s="2"/>
    </row>
    <row r="3893" spans="8:9">
      <c r="H3893" s="2"/>
      <c r="I3893" s="2"/>
    </row>
    <row r="3894" spans="8:9">
      <c r="H3894" s="2"/>
      <c r="I3894" s="2"/>
    </row>
    <row r="3895" spans="8:9">
      <c r="H3895" s="2"/>
      <c r="I3895" s="2"/>
    </row>
    <row r="3896" spans="8:9">
      <c r="H3896" s="2"/>
      <c r="I3896" s="2"/>
    </row>
    <row r="3897" spans="8:9">
      <c r="H3897" s="2"/>
      <c r="I3897" s="2"/>
    </row>
    <row r="3898" spans="8:9">
      <c r="H3898" s="2"/>
      <c r="I3898" s="2"/>
    </row>
    <row r="3899" spans="8:9">
      <c r="H3899" s="2"/>
      <c r="I3899" s="2"/>
    </row>
    <row r="3900" spans="8:9">
      <c r="H3900" s="2"/>
      <c r="I3900" s="2"/>
    </row>
    <row r="3901" spans="8:9">
      <c r="H3901" s="2"/>
      <c r="I3901" s="2"/>
    </row>
    <row r="3902" spans="8:9">
      <c r="H3902" s="2"/>
      <c r="I3902" s="2"/>
    </row>
    <row r="3903" spans="8:9">
      <c r="H3903" s="2"/>
      <c r="I3903" s="2"/>
    </row>
    <row r="3904" spans="8:9">
      <c r="H3904" s="2"/>
      <c r="I3904" s="2"/>
    </row>
    <row r="3905" spans="8:9">
      <c r="H3905" s="2"/>
      <c r="I3905" s="2"/>
    </row>
    <row r="3906" spans="8:9">
      <c r="H3906" s="2"/>
      <c r="I3906" s="2"/>
    </row>
    <row r="3907" spans="8:9">
      <c r="H3907" s="2"/>
      <c r="I3907" s="2"/>
    </row>
    <row r="3908" spans="8:9">
      <c r="H3908" s="2"/>
      <c r="I3908" s="2"/>
    </row>
    <row r="3909" spans="8:9">
      <c r="H3909" s="2"/>
      <c r="I3909" s="2"/>
    </row>
    <row r="3910" spans="8:9">
      <c r="H3910" s="2"/>
      <c r="I3910" s="2"/>
    </row>
    <row r="3911" spans="8:9">
      <c r="H3911" s="2"/>
      <c r="I3911" s="2"/>
    </row>
    <row r="3912" spans="8:9">
      <c r="H3912" s="2"/>
      <c r="I3912" s="2"/>
    </row>
    <row r="3913" spans="8:9">
      <c r="H3913" s="2"/>
      <c r="I3913" s="2"/>
    </row>
    <row r="3914" spans="8:9">
      <c r="H3914" s="2"/>
      <c r="I3914" s="2"/>
    </row>
    <row r="3915" spans="8:9">
      <c r="H3915" s="2"/>
      <c r="I3915" s="2"/>
    </row>
    <row r="3916" spans="8:9">
      <c r="H3916" s="2"/>
      <c r="I3916" s="2"/>
    </row>
    <row r="3917" spans="8:9">
      <c r="H3917" s="2"/>
      <c r="I3917" s="2"/>
    </row>
    <row r="3918" spans="8:9">
      <c r="H3918" s="2"/>
      <c r="I3918" s="2"/>
    </row>
    <row r="3919" spans="8:9">
      <c r="H3919" s="2"/>
      <c r="I3919" s="2"/>
    </row>
    <row r="3920" spans="8:9">
      <c r="H3920" s="2"/>
      <c r="I3920" s="2"/>
    </row>
    <row r="3921" spans="8:9">
      <c r="H3921" s="2"/>
      <c r="I3921" s="2"/>
    </row>
    <row r="3922" spans="8:9">
      <c r="H3922" s="2"/>
      <c r="I3922" s="2"/>
    </row>
    <row r="3923" spans="8:9">
      <c r="H3923" s="2"/>
      <c r="I3923" s="2"/>
    </row>
    <row r="3924" spans="8:9">
      <c r="H3924" s="2"/>
      <c r="I3924" s="2"/>
    </row>
    <row r="3925" spans="8:9">
      <c r="H3925" s="2"/>
      <c r="I3925" s="2"/>
    </row>
    <row r="3926" spans="8:9">
      <c r="H3926" s="2"/>
      <c r="I3926" s="2"/>
    </row>
    <row r="3927" spans="8:9">
      <c r="H3927" s="2"/>
      <c r="I3927" s="2"/>
    </row>
    <row r="3928" spans="8:9">
      <c r="H3928" s="2"/>
      <c r="I3928" s="2"/>
    </row>
    <row r="3929" spans="8:9">
      <c r="H3929" s="2"/>
      <c r="I3929" s="2"/>
    </row>
    <row r="3930" spans="8:9">
      <c r="H3930" s="2"/>
      <c r="I3930" s="2"/>
    </row>
    <row r="3931" spans="8:9">
      <c r="H3931" s="2"/>
      <c r="I3931" s="2"/>
    </row>
    <row r="3932" spans="8:9">
      <c r="H3932" s="2"/>
      <c r="I3932" s="2"/>
    </row>
    <row r="3933" spans="8:9">
      <c r="H3933" s="2"/>
      <c r="I3933" s="2"/>
    </row>
    <row r="3934" spans="8:9">
      <c r="H3934" s="2"/>
      <c r="I3934" s="2"/>
    </row>
    <row r="3935" spans="8:9">
      <c r="H3935" s="2"/>
      <c r="I3935" s="2"/>
    </row>
    <row r="3936" spans="8:9">
      <c r="H3936" s="2"/>
      <c r="I3936" s="2"/>
    </row>
    <row r="3937" spans="8:9">
      <c r="H3937" s="2"/>
      <c r="I3937" s="2"/>
    </row>
    <row r="3938" spans="8:9">
      <c r="H3938" s="2"/>
      <c r="I3938" s="2"/>
    </row>
    <row r="3939" spans="8:9">
      <c r="H3939" s="2"/>
      <c r="I3939" s="2"/>
    </row>
    <row r="3940" spans="8:9">
      <c r="H3940" s="2"/>
      <c r="I3940" s="2"/>
    </row>
    <row r="3941" spans="8:9">
      <c r="H3941" s="2"/>
      <c r="I3941" s="2"/>
    </row>
    <row r="3942" spans="8:9">
      <c r="H3942" s="2"/>
      <c r="I3942" s="2"/>
    </row>
    <row r="3943" spans="8:9">
      <c r="H3943" s="2"/>
      <c r="I3943" s="2"/>
    </row>
    <row r="3944" spans="8:9">
      <c r="H3944" s="2"/>
      <c r="I3944" s="2"/>
    </row>
    <row r="3945" spans="8:9">
      <c r="H3945" s="2"/>
      <c r="I3945" s="2"/>
    </row>
    <row r="3946" spans="8:9">
      <c r="H3946" s="2"/>
      <c r="I3946" s="2"/>
    </row>
    <row r="3947" spans="8:9">
      <c r="H3947" s="2"/>
      <c r="I3947" s="2"/>
    </row>
    <row r="3948" spans="8:9">
      <c r="H3948" s="2"/>
      <c r="I3948" s="2"/>
    </row>
    <row r="3949" spans="8:9">
      <c r="H3949" s="2"/>
      <c r="I3949" s="2"/>
    </row>
    <row r="3950" spans="8:9">
      <c r="H3950" s="2"/>
      <c r="I3950" s="2"/>
    </row>
    <row r="3951" spans="8:9">
      <c r="H3951" s="2"/>
      <c r="I3951" s="2"/>
    </row>
    <row r="3952" spans="8:9">
      <c r="H3952" s="2"/>
      <c r="I3952" s="2"/>
    </row>
    <row r="3953" spans="8:9">
      <c r="H3953" s="2"/>
      <c r="I3953" s="2"/>
    </row>
    <row r="3954" spans="8:9">
      <c r="H3954" s="2"/>
      <c r="I3954" s="2"/>
    </row>
    <row r="3955" spans="8:9">
      <c r="H3955" s="2"/>
      <c r="I3955" s="2"/>
    </row>
    <row r="3956" spans="8:9">
      <c r="H3956" s="2"/>
      <c r="I3956" s="2"/>
    </row>
    <row r="3957" spans="8:9">
      <c r="H3957" s="2"/>
      <c r="I3957" s="2"/>
    </row>
    <row r="3958" spans="8:9">
      <c r="H3958" s="2"/>
      <c r="I3958" s="2"/>
    </row>
    <row r="3959" spans="8:9">
      <c r="H3959" s="2"/>
      <c r="I3959" s="2"/>
    </row>
    <row r="3960" spans="8:9">
      <c r="H3960" s="2"/>
      <c r="I3960" s="2"/>
    </row>
    <row r="3961" spans="8:9">
      <c r="H3961" s="2"/>
      <c r="I3961" s="2"/>
    </row>
    <row r="3962" spans="8:9">
      <c r="H3962" s="2"/>
      <c r="I3962" s="2"/>
    </row>
    <row r="3963" spans="8:9">
      <c r="H3963" s="2"/>
      <c r="I3963" s="2"/>
    </row>
    <row r="3964" spans="8:9">
      <c r="H3964" s="2"/>
      <c r="I3964" s="2"/>
    </row>
    <row r="3965" spans="8:9">
      <c r="H3965" s="2"/>
      <c r="I3965" s="2"/>
    </row>
    <row r="3966" spans="8:9">
      <c r="H3966" s="2"/>
      <c r="I3966" s="2"/>
    </row>
    <row r="3967" spans="8:9">
      <c r="H3967" s="2"/>
      <c r="I3967" s="2"/>
    </row>
    <row r="3968" spans="8:9">
      <c r="H3968" s="2"/>
      <c r="I3968" s="2"/>
    </row>
    <row r="3969" spans="8:9">
      <c r="H3969" s="2"/>
      <c r="I3969" s="2"/>
    </row>
    <row r="3970" spans="8:9">
      <c r="H3970" s="2"/>
      <c r="I3970" s="2"/>
    </row>
    <row r="3971" spans="8:9">
      <c r="H3971" s="2"/>
      <c r="I3971" s="2"/>
    </row>
    <row r="3972" spans="8:9">
      <c r="H3972" s="2"/>
      <c r="I3972" s="2"/>
    </row>
    <row r="3973" spans="8:9">
      <c r="H3973" s="2"/>
      <c r="I3973" s="2"/>
    </row>
    <row r="3974" spans="8:9">
      <c r="H3974" s="2"/>
      <c r="I3974" s="2"/>
    </row>
    <row r="3975" spans="8:9">
      <c r="H3975" s="2"/>
      <c r="I3975" s="2"/>
    </row>
    <row r="3976" spans="8:9">
      <c r="H3976" s="2"/>
      <c r="I3976" s="2"/>
    </row>
    <row r="3977" spans="8:9">
      <c r="H3977" s="2"/>
      <c r="I3977" s="2"/>
    </row>
    <row r="3978" spans="8:9">
      <c r="H3978" s="2"/>
      <c r="I3978" s="2"/>
    </row>
    <row r="3979" spans="8:9">
      <c r="H3979" s="2"/>
      <c r="I3979" s="2"/>
    </row>
    <row r="3980" spans="8:9">
      <c r="H3980" s="2"/>
      <c r="I3980" s="2"/>
    </row>
    <row r="3981" spans="8:9">
      <c r="H3981" s="2"/>
      <c r="I3981" s="2"/>
    </row>
    <row r="3982" spans="8:9">
      <c r="H3982" s="2"/>
      <c r="I3982" s="2"/>
    </row>
    <row r="3983" spans="8:9">
      <c r="H3983" s="2"/>
      <c r="I3983" s="2"/>
    </row>
    <row r="3984" spans="8:9">
      <c r="H3984" s="2"/>
      <c r="I3984" s="2"/>
    </row>
    <row r="3985" spans="8:9">
      <c r="H3985" s="2"/>
      <c r="I3985" s="2"/>
    </row>
    <row r="3986" spans="8:9">
      <c r="H3986" s="2"/>
      <c r="I3986" s="2"/>
    </row>
    <row r="3987" spans="8:9">
      <c r="H3987" s="2"/>
      <c r="I3987" s="2"/>
    </row>
    <row r="3988" spans="8:9">
      <c r="H3988" s="2"/>
      <c r="I3988" s="2"/>
    </row>
    <row r="3989" spans="8:9">
      <c r="H3989" s="2"/>
      <c r="I3989" s="2"/>
    </row>
    <row r="3990" spans="8:9">
      <c r="H3990" s="2"/>
      <c r="I3990" s="2"/>
    </row>
    <row r="3991" spans="8:9">
      <c r="H3991" s="2"/>
      <c r="I3991" s="2"/>
    </row>
    <row r="3992" spans="8:9">
      <c r="H3992" s="2"/>
      <c r="I3992" s="2"/>
    </row>
    <row r="3993" spans="8:9">
      <c r="H3993" s="2"/>
      <c r="I3993" s="2"/>
    </row>
    <row r="3994" spans="8:9">
      <c r="H3994" s="2"/>
      <c r="I3994" s="2"/>
    </row>
    <row r="3995" spans="8:9">
      <c r="H3995" s="2"/>
      <c r="I3995" s="2"/>
    </row>
    <row r="3996" spans="8:9">
      <c r="H3996" s="2"/>
      <c r="I3996" s="2"/>
    </row>
    <row r="3997" spans="8:9">
      <c r="H3997" s="2"/>
      <c r="I3997" s="2"/>
    </row>
    <row r="3998" spans="8:9">
      <c r="H3998" s="2"/>
      <c r="I3998" s="2"/>
    </row>
    <row r="3999" spans="8:9">
      <c r="H3999" s="2"/>
      <c r="I3999" s="2"/>
    </row>
    <row r="4000" spans="8:9">
      <c r="H4000" s="2"/>
      <c r="I4000" s="2"/>
    </row>
    <row r="4001" spans="8:9">
      <c r="H4001" s="2"/>
      <c r="I4001" s="2"/>
    </row>
    <row r="4002" spans="8:9">
      <c r="H4002" s="2"/>
      <c r="I4002" s="2"/>
    </row>
    <row r="4003" spans="8:9">
      <c r="H4003" s="2"/>
      <c r="I4003" s="2"/>
    </row>
    <row r="4004" spans="8:9">
      <c r="H4004" s="2"/>
      <c r="I4004" s="2"/>
    </row>
    <row r="4005" spans="8:9">
      <c r="H4005" s="2"/>
      <c r="I4005" s="2"/>
    </row>
    <row r="4006" spans="8:9">
      <c r="H4006" s="2"/>
      <c r="I4006" s="2"/>
    </row>
    <row r="4007" spans="8:9">
      <c r="H4007" s="2"/>
      <c r="I4007" s="2"/>
    </row>
    <row r="4008" spans="8:9">
      <c r="H4008" s="2"/>
      <c r="I4008" s="2"/>
    </row>
    <row r="4009" spans="8:9">
      <c r="H4009" s="2"/>
      <c r="I4009" s="2"/>
    </row>
    <row r="4010" spans="8:9">
      <c r="H4010" s="2"/>
      <c r="I4010" s="2"/>
    </row>
    <row r="4011" spans="8:9">
      <c r="H4011" s="2"/>
      <c r="I4011" s="2"/>
    </row>
    <row r="4012" spans="8:9">
      <c r="H4012" s="2"/>
      <c r="I4012" s="2"/>
    </row>
    <row r="4013" spans="8:9">
      <c r="H4013" s="2"/>
      <c r="I4013" s="2"/>
    </row>
    <row r="4014" spans="8:9">
      <c r="H4014" s="2"/>
      <c r="I4014" s="2"/>
    </row>
    <row r="4015" spans="8:9">
      <c r="H4015" s="2"/>
      <c r="I4015" s="2"/>
    </row>
    <row r="4016" spans="8:9">
      <c r="H4016" s="2"/>
      <c r="I4016" s="2"/>
    </row>
    <row r="4017" spans="8:9">
      <c r="H4017" s="2"/>
      <c r="I4017" s="2"/>
    </row>
    <row r="4018" spans="8:9">
      <c r="H4018" s="2"/>
      <c r="I4018" s="2"/>
    </row>
    <row r="4019" spans="8:9">
      <c r="H4019" s="2"/>
      <c r="I4019" s="2"/>
    </row>
    <row r="4020" spans="8:9">
      <c r="H4020" s="2"/>
      <c r="I4020" s="2"/>
    </row>
    <row r="4021" spans="8:9">
      <c r="H4021" s="2"/>
      <c r="I4021" s="2"/>
    </row>
    <row r="4022" spans="8:9">
      <c r="H4022" s="2"/>
      <c r="I4022" s="2"/>
    </row>
    <row r="4023" spans="8:9">
      <c r="H4023" s="2"/>
      <c r="I4023" s="2"/>
    </row>
    <row r="4024" spans="8:9">
      <c r="H4024" s="2"/>
      <c r="I4024" s="2"/>
    </row>
    <row r="4025" spans="8:9">
      <c r="H4025" s="2"/>
      <c r="I4025" s="2"/>
    </row>
    <row r="4026" spans="8:9">
      <c r="H4026" s="2"/>
      <c r="I4026" s="2"/>
    </row>
    <row r="4027" spans="8:9">
      <c r="H4027" s="2"/>
      <c r="I4027" s="2"/>
    </row>
    <row r="4028" spans="8:9">
      <c r="H4028" s="2"/>
      <c r="I4028" s="2"/>
    </row>
    <row r="4029" spans="8:9">
      <c r="H4029" s="2"/>
      <c r="I4029" s="2"/>
    </row>
    <row r="4030" spans="8:9">
      <c r="H4030" s="2"/>
      <c r="I4030" s="2"/>
    </row>
    <row r="4031" spans="8:9">
      <c r="H4031" s="2"/>
      <c r="I4031" s="2"/>
    </row>
    <row r="4032" spans="8:9">
      <c r="H4032" s="2"/>
      <c r="I4032" s="2"/>
    </row>
    <row r="4033" spans="8:9">
      <c r="H4033" s="2"/>
      <c r="I4033" s="2"/>
    </row>
    <row r="4034" spans="8:9">
      <c r="H4034" s="2"/>
      <c r="I4034" s="2"/>
    </row>
    <row r="4035" spans="8:9">
      <c r="H4035" s="2"/>
      <c r="I4035" s="2"/>
    </row>
    <row r="4036" spans="8:9">
      <c r="H4036" s="2"/>
      <c r="I4036" s="2"/>
    </row>
    <row r="4037" spans="8:9">
      <c r="H4037" s="2"/>
      <c r="I4037" s="2"/>
    </row>
    <row r="4038" spans="8:9">
      <c r="H4038" s="2"/>
      <c r="I4038" s="2"/>
    </row>
    <row r="4039" spans="8:9">
      <c r="H4039" s="2"/>
      <c r="I4039" s="2"/>
    </row>
    <row r="4040" spans="8:9">
      <c r="H4040" s="2"/>
      <c r="I4040" s="2"/>
    </row>
    <row r="4041" spans="8:9">
      <c r="H4041" s="2"/>
      <c r="I4041" s="2"/>
    </row>
    <row r="4042" spans="8:9">
      <c r="H4042" s="2"/>
      <c r="I4042" s="2"/>
    </row>
    <row r="4043" spans="8:9">
      <c r="H4043" s="2"/>
      <c r="I4043" s="2"/>
    </row>
    <row r="4044" spans="8:9">
      <c r="H4044" s="2"/>
      <c r="I4044" s="2"/>
    </row>
    <row r="4045" spans="8:9">
      <c r="H4045" s="2"/>
      <c r="I4045" s="2"/>
    </row>
    <row r="4046" spans="8:9">
      <c r="H4046" s="2"/>
      <c r="I4046" s="2"/>
    </row>
    <row r="4047" spans="8:9">
      <c r="H4047" s="2"/>
      <c r="I4047" s="2"/>
    </row>
    <row r="4048" spans="8:9">
      <c r="H4048" s="2"/>
      <c r="I4048" s="2"/>
    </row>
    <row r="4049" spans="8:9">
      <c r="H4049" s="2"/>
      <c r="I4049" s="2"/>
    </row>
    <row r="4050" spans="8:9">
      <c r="H4050" s="2"/>
      <c r="I4050" s="2"/>
    </row>
    <row r="4051" spans="8:9">
      <c r="H4051" s="2"/>
      <c r="I4051" s="2"/>
    </row>
    <row r="4052" spans="8:9">
      <c r="H4052" s="2"/>
      <c r="I4052" s="2"/>
    </row>
    <row r="4053" spans="8:9">
      <c r="H4053" s="2"/>
      <c r="I4053" s="2"/>
    </row>
    <row r="4054" spans="8:9">
      <c r="H4054" s="2"/>
      <c r="I4054" s="2"/>
    </row>
    <row r="4055" spans="8:9">
      <c r="H4055" s="2"/>
      <c r="I4055" s="2"/>
    </row>
    <row r="4056" spans="8:9">
      <c r="H4056" s="2"/>
      <c r="I4056" s="2"/>
    </row>
    <row r="4057" spans="8:9">
      <c r="H4057" s="2"/>
      <c r="I4057" s="2"/>
    </row>
    <row r="4058" spans="8:9">
      <c r="H4058" s="2"/>
      <c r="I4058" s="2"/>
    </row>
    <row r="4059" spans="8:9">
      <c r="H4059" s="2"/>
      <c r="I4059" s="2"/>
    </row>
    <row r="4060" spans="8:9">
      <c r="H4060" s="2"/>
      <c r="I4060" s="2"/>
    </row>
    <row r="4061" spans="8:9">
      <c r="H4061" s="2"/>
      <c r="I4061" s="2"/>
    </row>
    <row r="4062" spans="8:9">
      <c r="H4062" s="2"/>
      <c r="I4062" s="2"/>
    </row>
    <row r="4063" spans="8:9">
      <c r="H4063" s="2"/>
      <c r="I4063" s="2"/>
    </row>
    <row r="4064" spans="8:9">
      <c r="H4064" s="2"/>
      <c r="I4064" s="2"/>
    </row>
    <row r="4065" spans="8:9">
      <c r="H4065" s="2"/>
      <c r="I4065" s="2"/>
    </row>
    <row r="4066" spans="8:9">
      <c r="H4066" s="2"/>
      <c r="I4066" s="2"/>
    </row>
    <row r="4067" spans="8:9">
      <c r="H4067" s="2"/>
      <c r="I4067" s="2"/>
    </row>
    <row r="4068" spans="8:9">
      <c r="H4068" s="2"/>
      <c r="I4068" s="2"/>
    </row>
    <row r="4069" spans="8:9">
      <c r="H4069" s="2"/>
      <c r="I4069" s="2"/>
    </row>
    <row r="4070" spans="8:9">
      <c r="H4070" s="2"/>
      <c r="I4070" s="2"/>
    </row>
    <row r="4071" spans="8:9">
      <c r="H4071" s="2"/>
      <c r="I4071" s="2"/>
    </row>
    <row r="4072" spans="8:9">
      <c r="H4072" s="2"/>
      <c r="I4072" s="2"/>
    </row>
    <row r="4073" spans="8:9">
      <c r="H4073" s="2"/>
      <c r="I4073" s="2"/>
    </row>
    <row r="4074" spans="8:9">
      <c r="H4074" s="2"/>
      <c r="I4074" s="2"/>
    </row>
    <row r="4075" spans="8:9">
      <c r="H4075" s="2"/>
      <c r="I4075" s="2"/>
    </row>
    <row r="4076" spans="8:9">
      <c r="H4076" s="2"/>
      <c r="I4076" s="2"/>
    </row>
    <row r="4077" spans="8:9">
      <c r="H4077" s="2"/>
      <c r="I4077" s="2"/>
    </row>
    <row r="4078" spans="8:9">
      <c r="H4078" s="2"/>
      <c r="I4078" s="2"/>
    </row>
    <row r="4079" spans="8:9">
      <c r="H4079" s="2"/>
      <c r="I4079" s="2"/>
    </row>
    <row r="4080" spans="8:9">
      <c r="H4080" s="2"/>
      <c r="I4080" s="2"/>
    </row>
    <row r="4081" spans="8:9">
      <c r="H4081" s="2"/>
      <c r="I4081" s="2"/>
    </row>
    <row r="4082" spans="8:9">
      <c r="H4082" s="2"/>
      <c r="I4082" s="2"/>
    </row>
    <row r="4083" spans="8:9">
      <c r="H4083" s="2"/>
      <c r="I4083" s="2"/>
    </row>
    <row r="4084" spans="8:9">
      <c r="H4084" s="2"/>
      <c r="I4084" s="2"/>
    </row>
    <row r="4085" spans="8:9">
      <c r="H4085" s="2"/>
      <c r="I4085" s="2"/>
    </row>
    <row r="4086" spans="8:9">
      <c r="H4086" s="2"/>
      <c r="I4086" s="2"/>
    </row>
    <row r="4087" spans="8:9">
      <c r="H4087" s="2"/>
      <c r="I4087" s="2"/>
    </row>
    <row r="4088" spans="8:9">
      <c r="H4088" s="2"/>
      <c r="I4088" s="2"/>
    </row>
    <row r="4089" spans="8:9">
      <c r="H4089" s="2"/>
      <c r="I4089" s="2"/>
    </row>
    <row r="4090" spans="8:9">
      <c r="H4090" s="2"/>
      <c r="I4090" s="2"/>
    </row>
    <row r="4091" spans="8:9">
      <c r="H4091" s="2"/>
      <c r="I4091" s="2"/>
    </row>
    <row r="4092" spans="8:9">
      <c r="H4092" s="2"/>
      <c r="I4092" s="2"/>
    </row>
    <row r="4093" spans="8:9">
      <c r="H4093" s="2"/>
      <c r="I4093" s="2"/>
    </row>
    <row r="4094" spans="8:9">
      <c r="H4094" s="2"/>
      <c r="I4094" s="2"/>
    </row>
    <row r="4095" spans="8:9">
      <c r="H4095" s="2"/>
      <c r="I4095" s="2"/>
    </row>
    <row r="4096" spans="8:9">
      <c r="H4096" s="2"/>
      <c r="I4096" s="2"/>
    </row>
    <row r="4097" spans="8:9">
      <c r="H4097" s="2"/>
      <c r="I4097" s="2"/>
    </row>
    <row r="4098" spans="8:9">
      <c r="H4098" s="2"/>
      <c r="I4098" s="2"/>
    </row>
    <row r="4099" spans="8:9">
      <c r="H4099" s="2"/>
      <c r="I4099" s="2"/>
    </row>
    <row r="4100" spans="8:9">
      <c r="H4100" s="2"/>
      <c r="I4100" s="2"/>
    </row>
    <row r="4101" spans="8:9">
      <c r="H4101" s="2"/>
      <c r="I4101" s="2"/>
    </row>
    <row r="4102" spans="8:9">
      <c r="H4102" s="2"/>
      <c r="I4102" s="2"/>
    </row>
    <row r="4103" spans="8:9">
      <c r="H4103" s="2"/>
      <c r="I4103" s="2"/>
    </row>
    <row r="4104" spans="8:9">
      <c r="H4104" s="2"/>
      <c r="I4104" s="2"/>
    </row>
    <row r="4105" spans="8:9">
      <c r="H4105" s="2"/>
      <c r="I4105" s="2"/>
    </row>
    <row r="4106" spans="8:9">
      <c r="H4106" s="2"/>
      <c r="I4106" s="2"/>
    </row>
    <row r="4107" spans="8:9">
      <c r="H4107" s="2"/>
      <c r="I4107" s="2"/>
    </row>
    <row r="4108" spans="8:9">
      <c r="H4108" s="2"/>
      <c r="I4108" s="2"/>
    </row>
    <row r="4109" spans="8:9">
      <c r="H4109" s="2"/>
      <c r="I4109" s="2"/>
    </row>
    <row r="4110" spans="8:9">
      <c r="H4110" s="2"/>
      <c r="I4110" s="2"/>
    </row>
    <row r="4111" spans="8:9">
      <c r="H4111" s="2"/>
      <c r="I4111" s="2"/>
    </row>
    <row r="4112" spans="8:9">
      <c r="H4112" s="2"/>
      <c r="I4112" s="2"/>
    </row>
    <row r="4113" spans="8:9">
      <c r="H4113" s="2"/>
      <c r="I4113" s="2"/>
    </row>
    <row r="4114" spans="8:9">
      <c r="H4114" s="2"/>
      <c r="I4114" s="2"/>
    </row>
    <row r="4115" spans="8:9">
      <c r="H4115" s="2"/>
      <c r="I4115" s="2"/>
    </row>
    <row r="4116" spans="8:9">
      <c r="H4116" s="2"/>
      <c r="I4116" s="2"/>
    </row>
    <row r="4117" spans="8:9">
      <c r="H4117" s="2"/>
      <c r="I4117" s="2"/>
    </row>
    <row r="4118" spans="8:9">
      <c r="H4118" s="2"/>
      <c r="I4118" s="2"/>
    </row>
    <row r="4119" spans="8:9">
      <c r="H4119" s="2"/>
      <c r="I4119" s="2"/>
    </row>
    <row r="4120" spans="8:9">
      <c r="H4120" s="2"/>
      <c r="I4120" s="2"/>
    </row>
    <row r="4121" spans="8:9">
      <c r="H4121" s="2"/>
      <c r="I4121" s="2"/>
    </row>
    <row r="4122" spans="8:9">
      <c r="H4122" s="2"/>
      <c r="I4122" s="2"/>
    </row>
    <row r="4123" spans="8:9">
      <c r="H4123" s="2"/>
      <c r="I4123" s="2"/>
    </row>
    <row r="4124" spans="8:9">
      <c r="H4124" s="2"/>
      <c r="I4124" s="2"/>
    </row>
    <row r="4125" spans="8:9">
      <c r="H4125" s="2"/>
      <c r="I4125" s="2"/>
    </row>
    <row r="4126" spans="8:9">
      <c r="H4126" s="2"/>
      <c r="I4126" s="2"/>
    </row>
    <row r="4127" spans="8:9">
      <c r="H4127" s="2"/>
      <c r="I4127" s="2"/>
    </row>
    <row r="4128" spans="8:9">
      <c r="H4128" s="2"/>
      <c r="I4128" s="2"/>
    </row>
    <row r="4129" spans="8:9">
      <c r="H4129" s="2"/>
      <c r="I4129" s="2"/>
    </row>
    <row r="4130" spans="8:9">
      <c r="H4130" s="2"/>
      <c r="I4130" s="2"/>
    </row>
    <row r="4131" spans="8:9">
      <c r="H4131" s="2"/>
      <c r="I4131" s="2"/>
    </row>
    <row r="4132" spans="8:9">
      <c r="H4132" s="2"/>
      <c r="I4132" s="2"/>
    </row>
    <row r="4133" spans="8:9">
      <c r="H4133" s="2"/>
      <c r="I4133" s="2"/>
    </row>
    <row r="4134" spans="8:9">
      <c r="H4134" s="2"/>
      <c r="I4134" s="2"/>
    </row>
    <row r="4135" spans="8:9">
      <c r="H4135" s="2"/>
      <c r="I4135" s="2"/>
    </row>
    <row r="4136" spans="8:9">
      <c r="H4136" s="2"/>
      <c r="I4136" s="2"/>
    </row>
    <row r="4137" spans="8:9">
      <c r="H4137" s="2"/>
      <c r="I4137" s="2"/>
    </row>
    <row r="4138" spans="8:9">
      <c r="H4138" s="2"/>
      <c r="I4138" s="2"/>
    </row>
    <row r="4139" spans="8:9">
      <c r="H4139" s="2"/>
      <c r="I4139" s="2"/>
    </row>
    <row r="4140" spans="8:9">
      <c r="H4140" s="2"/>
      <c r="I4140" s="2"/>
    </row>
    <row r="4141" spans="8:9">
      <c r="H4141" s="2"/>
      <c r="I4141" s="2"/>
    </row>
    <row r="4142" spans="8:9">
      <c r="H4142" s="2"/>
      <c r="I4142" s="2"/>
    </row>
    <row r="4143" spans="8:9">
      <c r="H4143" s="2"/>
      <c r="I4143" s="2"/>
    </row>
    <row r="4144" spans="8:9">
      <c r="H4144" s="2"/>
      <c r="I4144" s="2"/>
    </row>
    <row r="4145" spans="8:9">
      <c r="H4145" s="2"/>
      <c r="I4145" s="2"/>
    </row>
    <row r="4146" spans="8:9">
      <c r="H4146" s="2"/>
      <c r="I4146" s="2"/>
    </row>
    <row r="4147" spans="8:9">
      <c r="H4147" s="2"/>
      <c r="I4147" s="2"/>
    </row>
    <row r="4148" spans="8:9">
      <c r="H4148" s="2"/>
      <c r="I4148" s="2"/>
    </row>
    <row r="4149" spans="8:9">
      <c r="H4149" s="2"/>
      <c r="I4149" s="2"/>
    </row>
    <row r="4150" spans="8:9">
      <c r="H4150" s="2"/>
      <c r="I4150" s="2"/>
    </row>
    <row r="4151" spans="8:9">
      <c r="H4151" s="2"/>
      <c r="I4151" s="2"/>
    </row>
    <row r="4152" spans="8:9">
      <c r="H4152" s="2"/>
      <c r="I4152" s="2"/>
    </row>
    <row r="4153" spans="8:9">
      <c r="H4153" s="2"/>
      <c r="I4153" s="2"/>
    </row>
    <row r="4154" spans="8:9">
      <c r="H4154" s="2"/>
      <c r="I4154" s="2"/>
    </row>
    <row r="4155" spans="8:9">
      <c r="H4155" s="2"/>
      <c r="I4155" s="2"/>
    </row>
    <row r="4156" spans="8:9">
      <c r="H4156" s="2"/>
      <c r="I4156" s="2"/>
    </row>
    <row r="4157" spans="8:9">
      <c r="H4157" s="2"/>
      <c r="I4157" s="2"/>
    </row>
    <row r="4158" spans="8:9">
      <c r="H4158" s="2"/>
      <c r="I4158" s="2"/>
    </row>
    <row r="4159" spans="8:9">
      <c r="H4159" s="2"/>
      <c r="I4159" s="2"/>
    </row>
    <row r="4160" spans="8:9">
      <c r="H4160" s="2"/>
      <c r="I4160" s="2"/>
    </row>
    <row r="4161" spans="8:9">
      <c r="H4161" s="2"/>
      <c r="I4161" s="2"/>
    </row>
    <row r="4162" spans="8:9">
      <c r="H4162" s="2"/>
      <c r="I4162" s="2"/>
    </row>
    <row r="4163" spans="8:9">
      <c r="H4163" s="2"/>
      <c r="I4163" s="2"/>
    </row>
    <row r="4164" spans="8:9">
      <c r="H4164" s="2"/>
      <c r="I4164" s="2"/>
    </row>
    <row r="4165" spans="8:9">
      <c r="H4165" s="2"/>
      <c r="I4165" s="2"/>
    </row>
    <row r="4166" spans="8:9">
      <c r="H4166" s="2"/>
      <c r="I4166" s="2"/>
    </row>
    <row r="4167" spans="8:9">
      <c r="H4167" s="2"/>
      <c r="I4167" s="2"/>
    </row>
    <row r="4168" spans="8:9">
      <c r="H4168" s="2"/>
      <c r="I4168" s="2"/>
    </row>
    <row r="4169" spans="8:9">
      <c r="H4169" s="2"/>
      <c r="I4169" s="2"/>
    </row>
    <row r="4170" spans="8:9">
      <c r="H4170" s="2"/>
      <c r="I4170" s="2"/>
    </row>
    <row r="4171" spans="8:9">
      <c r="H4171" s="2"/>
      <c r="I4171" s="2"/>
    </row>
    <row r="4172" spans="8:9">
      <c r="H4172" s="2"/>
      <c r="I4172" s="2"/>
    </row>
    <row r="4173" spans="8:9">
      <c r="H4173" s="2"/>
      <c r="I4173" s="2"/>
    </row>
    <row r="4174" spans="8:9">
      <c r="H4174" s="2"/>
      <c r="I4174" s="2"/>
    </row>
    <row r="4175" spans="8:9">
      <c r="H4175" s="2"/>
      <c r="I4175" s="2"/>
    </row>
    <row r="4176" spans="8:9">
      <c r="H4176" s="2"/>
      <c r="I4176" s="2"/>
    </row>
    <row r="4177" spans="8:9">
      <c r="H4177" s="2"/>
      <c r="I4177" s="2"/>
    </row>
    <row r="4178" spans="8:9">
      <c r="H4178" s="2"/>
      <c r="I4178" s="2"/>
    </row>
    <row r="4179" spans="8:9">
      <c r="H4179" s="2"/>
      <c r="I4179" s="2"/>
    </row>
    <row r="4180" spans="8:9">
      <c r="H4180" s="2"/>
      <c r="I4180" s="2"/>
    </row>
    <row r="4181" spans="8:9">
      <c r="H4181" s="2"/>
      <c r="I4181" s="2"/>
    </row>
    <row r="4182" spans="8:9">
      <c r="H4182" s="2"/>
      <c r="I4182" s="2"/>
    </row>
    <row r="4183" spans="8:9">
      <c r="H4183" s="2"/>
      <c r="I4183" s="2"/>
    </row>
    <row r="4184" spans="8:9">
      <c r="H4184" s="2"/>
      <c r="I4184" s="2"/>
    </row>
    <row r="4185" spans="8:9">
      <c r="H4185" s="2"/>
      <c r="I4185" s="2"/>
    </row>
    <row r="4186" spans="8:9">
      <c r="H4186" s="2"/>
      <c r="I4186" s="2"/>
    </row>
    <row r="4187" spans="8:9">
      <c r="H4187" s="2"/>
      <c r="I4187" s="2"/>
    </row>
    <row r="4188" spans="8:9">
      <c r="H4188" s="2"/>
      <c r="I4188" s="2"/>
    </row>
    <row r="4189" spans="8:9">
      <c r="H4189" s="2"/>
      <c r="I4189" s="2"/>
    </row>
    <row r="4190" spans="8:9">
      <c r="H4190" s="2"/>
      <c r="I4190" s="2"/>
    </row>
    <row r="4191" spans="8:9">
      <c r="H4191" s="2"/>
      <c r="I4191" s="2"/>
    </row>
    <row r="4192" spans="8:9">
      <c r="H4192" s="2"/>
      <c r="I4192" s="2"/>
    </row>
    <row r="4193" spans="8:9">
      <c r="H4193" s="2"/>
      <c r="I4193" s="2"/>
    </row>
    <row r="4194" spans="8:9">
      <c r="H4194" s="2"/>
      <c r="I4194" s="2"/>
    </row>
    <row r="4195" spans="8:9">
      <c r="H4195" s="2"/>
      <c r="I4195" s="2"/>
    </row>
    <row r="4196" spans="8:9">
      <c r="H4196" s="2"/>
      <c r="I4196" s="2"/>
    </row>
    <row r="4197" spans="8:9">
      <c r="H4197" s="2"/>
      <c r="I4197" s="2"/>
    </row>
    <row r="4198" spans="8:9">
      <c r="H4198" s="2"/>
      <c r="I4198" s="2"/>
    </row>
    <row r="4199" spans="8:9">
      <c r="H4199" s="2"/>
      <c r="I4199" s="2"/>
    </row>
    <row r="4200" spans="8:9">
      <c r="H4200" s="2"/>
      <c r="I4200" s="2"/>
    </row>
    <row r="4201" spans="8:9">
      <c r="H4201" s="2"/>
      <c r="I4201" s="2"/>
    </row>
    <row r="4202" spans="8:9">
      <c r="H4202" s="2"/>
      <c r="I4202" s="2"/>
    </row>
    <row r="4203" spans="8:9">
      <c r="H4203" s="2"/>
      <c r="I4203" s="2"/>
    </row>
    <row r="4204" spans="8:9">
      <c r="H4204" s="2"/>
      <c r="I4204" s="2"/>
    </row>
    <row r="4205" spans="8:9">
      <c r="H4205" s="2"/>
      <c r="I4205" s="2"/>
    </row>
    <row r="4206" spans="8:9">
      <c r="H4206" s="2"/>
      <c r="I4206" s="2"/>
    </row>
    <row r="4207" spans="8:9">
      <c r="H4207" s="2"/>
      <c r="I4207" s="2"/>
    </row>
    <row r="4208" spans="8:9">
      <c r="H4208" s="2"/>
      <c r="I4208" s="2"/>
    </row>
    <row r="4209" spans="8:9">
      <c r="H4209" s="2"/>
      <c r="I4209" s="2"/>
    </row>
    <row r="4210" spans="8:9">
      <c r="H4210" s="2"/>
      <c r="I4210" s="2"/>
    </row>
    <row r="4211" spans="8:9">
      <c r="H4211" s="2"/>
      <c r="I4211" s="2"/>
    </row>
    <row r="4212" spans="8:9">
      <c r="H4212" s="2"/>
      <c r="I4212" s="2"/>
    </row>
    <row r="4213" spans="8:9">
      <c r="H4213" s="2"/>
      <c r="I4213" s="2"/>
    </row>
    <row r="4214" spans="8:9">
      <c r="H4214" s="2"/>
      <c r="I4214" s="2"/>
    </row>
    <row r="4215" spans="8:9">
      <c r="H4215" s="2"/>
      <c r="I4215" s="2"/>
    </row>
    <row r="4216" spans="8:9">
      <c r="H4216" s="2"/>
      <c r="I4216" s="2"/>
    </row>
    <row r="4217" spans="8:9">
      <c r="H4217" s="2"/>
      <c r="I4217" s="2"/>
    </row>
    <row r="4218" spans="8:9">
      <c r="H4218" s="2"/>
      <c r="I4218" s="2"/>
    </row>
    <row r="4219" spans="8:9">
      <c r="H4219" s="2"/>
      <c r="I4219" s="2"/>
    </row>
    <row r="4220" spans="8:9">
      <c r="H4220" s="2"/>
      <c r="I4220" s="2"/>
    </row>
    <row r="4221" spans="8:9">
      <c r="H4221" s="2"/>
      <c r="I4221" s="2"/>
    </row>
    <row r="4222" spans="8:9">
      <c r="H4222" s="2"/>
      <c r="I4222" s="2"/>
    </row>
    <row r="4223" spans="8:9">
      <c r="H4223" s="2"/>
      <c r="I4223" s="2"/>
    </row>
    <row r="4224" spans="8:9">
      <c r="H4224" s="2"/>
      <c r="I4224" s="2"/>
    </row>
    <row r="4225" spans="8:9">
      <c r="H4225" s="2"/>
      <c r="I4225" s="2"/>
    </row>
    <row r="4226" spans="8:9">
      <c r="H4226" s="2"/>
      <c r="I4226" s="2"/>
    </row>
    <row r="4227" spans="8:9">
      <c r="H4227" s="2"/>
      <c r="I4227" s="2"/>
    </row>
    <row r="4228" spans="8:9">
      <c r="H4228" s="2"/>
      <c r="I4228" s="2"/>
    </row>
    <row r="4229" spans="8:9">
      <c r="H4229" s="2"/>
      <c r="I4229" s="2"/>
    </row>
    <row r="4230" spans="8:9">
      <c r="H4230" s="2"/>
      <c r="I4230" s="2"/>
    </row>
    <row r="4231" spans="8:9">
      <c r="H4231" s="2"/>
      <c r="I4231" s="2"/>
    </row>
    <row r="4232" spans="8:9">
      <c r="H4232" s="2"/>
      <c r="I4232" s="2"/>
    </row>
    <row r="4233" spans="8:9">
      <c r="H4233" s="2"/>
      <c r="I4233" s="2"/>
    </row>
    <row r="4234" spans="8:9">
      <c r="H4234" s="2"/>
      <c r="I4234" s="2"/>
    </row>
    <row r="4235" spans="8:9">
      <c r="H4235" s="2"/>
      <c r="I4235" s="2"/>
    </row>
    <row r="4236" spans="8:9">
      <c r="H4236" s="2"/>
      <c r="I4236" s="2"/>
    </row>
    <row r="4237" spans="8:9">
      <c r="H4237" s="2"/>
      <c r="I4237" s="2"/>
    </row>
    <row r="4238" spans="8:9">
      <c r="H4238" s="2"/>
      <c r="I4238" s="2"/>
    </row>
    <row r="4239" spans="8:9">
      <c r="H4239" s="2"/>
      <c r="I4239" s="2"/>
    </row>
    <row r="4240" spans="8:9">
      <c r="H4240" s="2"/>
      <c r="I4240" s="2"/>
    </row>
    <row r="4241" spans="8:9">
      <c r="H4241" s="2"/>
      <c r="I4241" s="2"/>
    </row>
    <row r="4242" spans="8:9">
      <c r="H4242" s="2"/>
      <c r="I4242" s="2"/>
    </row>
    <row r="4243" spans="8:9">
      <c r="H4243" s="2"/>
      <c r="I4243" s="2"/>
    </row>
    <row r="4244" spans="8:9">
      <c r="H4244" s="2"/>
      <c r="I4244" s="2"/>
    </row>
    <row r="4245" spans="8:9">
      <c r="H4245" s="2"/>
      <c r="I4245" s="2"/>
    </row>
    <row r="4246" spans="8:9">
      <c r="H4246" s="2"/>
      <c r="I4246" s="2"/>
    </row>
    <row r="4247" spans="8:9">
      <c r="H4247" s="2"/>
      <c r="I4247" s="2"/>
    </row>
    <row r="4248" spans="8:9">
      <c r="H4248" s="2"/>
      <c r="I4248" s="2"/>
    </row>
    <row r="4249" spans="8:9">
      <c r="H4249" s="2"/>
      <c r="I4249" s="2"/>
    </row>
    <row r="4250" spans="8:9">
      <c r="H4250" s="2"/>
      <c r="I4250" s="2"/>
    </row>
    <row r="4251" spans="8:9">
      <c r="H4251" s="2"/>
      <c r="I4251" s="2"/>
    </row>
    <row r="4252" spans="8:9">
      <c r="H4252" s="2"/>
      <c r="I4252" s="2"/>
    </row>
    <row r="4253" spans="8:9">
      <c r="H4253" s="2"/>
      <c r="I4253" s="2"/>
    </row>
    <row r="4254" spans="8:9">
      <c r="H4254" s="2"/>
      <c r="I4254" s="2"/>
    </row>
    <row r="4255" spans="8:9">
      <c r="H4255" s="2"/>
      <c r="I4255" s="2"/>
    </row>
    <row r="4256" spans="8:9">
      <c r="H4256" s="2"/>
      <c r="I4256" s="2"/>
    </row>
    <row r="4257" spans="8:9">
      <c r="H4257" s="2"/>
      <c r="I4257" s="2"/>
    </row>
    <row r="4258" spans="8:9">
      <c r="H4258" s="2"/>
      <c r="I4258" s="2"/>
    </row>
    <row r="4259" spans="8:9">
      <c r="H4259" s="2"/>
      <c r="I4259" s="2"/>
    </row>
    <row r="4260" spans="8:9">
      <c r="H4260" s="2"/>
      <c r="I4260" s="2"/>
    </row>
    <row r="4261" spans="8:9">
      <c r="H4261" s="2"/>
      <c r="I4261" s="2"/>
    </row>
    <row r="4262" spans="8:9">
      <c r="H4262" s="2"/>
      <c r="I4262" s="2"/>
    </row>
    <row r="4263" spans="8:9">
      <c r="H4263" s="2"/>
      <c r="I4263" s="2"/>
    </row>
    <row r="4264" spans="8:9">
      <c r="H4264" s="2"/>
      <c r="I4264" s="2"/>
    </row>
    <row r="4265" spans="8:9">
      <c r="H4265" s="2"/>
      <c r="I4265" s="2"/>
    </row>
    <row r="4266" spans="8:9">
      <c r="H4266" s="2"/>
      <c r="I4266" s="2"/>
    </row>
    <row r="4267" spans="8:9">
      <c r="H4267" s="2"/>
      <c r="I4267" s="2"/>
    </row>
    <row r="4268" spans="8:9">
      <c r="H4268" s="2"/>
      <c r="I4268" s="2"/>
    </row>
    <row r="4269" spans="8:9">
      <c r="H4269" s="2"/>
      <c r="I4269" s="2"/>
    </row>
    <row r="4270" spans="8:9">
      <c r="H4270" s="2"/>
      <c r="I4270" s="2"/>
    </row>
    <row r="4271" spans="8:9">
      <c r="H4271" s="2"/>
      <c r="I4271" s="2"/>
    </row>
    <row r="4272" spans="8:9">
      <c r="H4272" s="2"/>
      <c r="I4272" s="2"/>
    </row>
    <row r="4273" spans="8:9">
      <c r="H4273" s="2"/>
      <c r="I4273" s="2"/>
    </row>
    <row r="4274" spans="8:9">
      <c r="H4274" s="2"/>
      <c r="I4274" s="2"/>
    </row>
    <row r="4275" spans="8:9">
      <c r="H4275" s="2"/>
      <c r="I4275" s="2"/>
    </row>
    <row r="4276" spans="8:9">
      <c r="H4276" s="2"/>
      <c r="I4276" s="2"/>
    </row>
    <row r="4277" spans="8:9">
      <c r="H4277" s="2"/>
      <c r="I4277" s="2"/>
    </row>
    <row r="4278" spans="8:9">
      <c r="H4278" s="2"/>
      <c r="I4278" s="2"/>
    </row>
    <row r="4279" spans="8:9">
      <c r="H4279" s="2"/>
      <c r="I4279" s="2"/>
    </row>
    <row r="4280" spans="8:9">
      <c r="H4280" s="2"/>
      <c r="I4280" s="2"/>
    </row>
    <row r="4281" spans="8:9">
      <c r="H4281" s="2"/>
      <c r="I4281" s="2"/>
    </row>
    <row r="4282" spans="8:9">
      <c r="H4282" s="2"/>
      <c r="I4282" s="2"/>
    </row>
    <row r="4283" spans="8:9">
      <c r="H4283" s="2"/>
      <c r="I4283" s="2"/>
    </row>
    <row r="4284" spans="8:9">
      <c r="H4284" s="2"/>
      <c r="I4284" s="2"/>
    </row>
    <row r="4285" spans="8:9">
      <c r="H4285" s="2"/>
      <c r="I4285" s="2"/>
    </row>
    <row r="4286" spans="8:9">
      <c r="H4286" s="2"/>
      <c r="I4286" s="2"/>
    </row>
    <row r="4287" spans="8:9">
      <c r="H4287" s="2"/>
      <c r="I4287" s="2"/>
    </row>
    <row r="4288" spans="8:9">
      <c r="H4288" s="2"/>
      <c r="I4288" s="2"/>
    </row>
    <row r="4289" spans="8:9">
      <c r="H4289" s="2"/>
      <c r="I4289" s="2"/>
    </row>
    <row r="4290" spans="8:9">
      <c r="H4290" s="2"/>
      <c r="I4290" s="2"/>
    </row>
    <row r="4291" spans="8:9">
      <c r="H4291" s="2"/>
      <c r="I4291" s="2"/>
    </row>
    <row r="4292" spans="8:9">
      <c r="H4292" s="2"/>
      <c r="I4292" s="2"/>
    </row>
    <row r="4293" spans="8:9">
      <c r="H4293" s="2"/>
      <c r="I4293" s="2"/>
    </row>
    <row r="4294" spans="8:9">
      <c r="H4294" s="2"/>
      <c r="I4294" s="2"/>
    </row>
    <row r="4295" spans="8:9">
      <c r="H4295" s="2"/>
      <c r="I4295" s="2"/>
    </row>
    <row r="4296" spans="8:9">
      <c r="H4296" s="2"/>
      <c r="I4296" s="2"/>
    </row>
    <row r="4297" spans="8:9">
      <c r="H4297" s="2"/>
      <c r="I4297" s="2"/>
    </row>
    <row r="4298" spans="8:9">
      <c r="H4298" s="2"/>
      <c r="I4298" s="2"/>
    </row>
    <row r="4299" spans="8:9">
      <c r="H4299" s="2"/>
      <c r="I4299" s="2"/>
    </row>
    <row r="4300" spans="8:9">
      <c r="H4300" s="2"/>
      <c r="I4300" s="2"/>
    </row>
    <row r="4301" spans="8:9">
      <c r="H4301" s="2"/>
      <c r="I4301" s="2"/>
    </row>
    <row r="4302" spans="8:9">
      <c r="H4302" s="2"/>
      <c r="I4302" s="2"/>
    </row>
    <row r="4303" spans="8:9">
      <c r="H4303" s="2"/>
      <c r="I4303" s="2"/>
    </row>
    <row r="4304" spans="8:9">
      <c r="H4304" s="2"/>
      <c r="I4304" s="2"/>
    </row>
    <row r="4305" spans="8:9">
      <c r="H4305" s="2"/>
      <c r="I4305" s="2"/>
    </row>
    <row r="4306" spans="8:9">
      <c r="H4306" s="2"/>
      <c r="I4306" s="2"/>
    </row>
    <row r="4307" spans="8:9">
      <c r="H4307" s="2"/>
      <c r="I4307" s="2"/>
    </row>
    <row r="4308" spans="8:9">
      <c r="H4308" s="2"/>
      <c r="I4308" s="2"/>
    </row>
    <row r="4309" spans="8:9">
      <c r="H4309" s="2"/>
      <c r="I4309" s="2"/>
    </row>
    <row r="4310" spans="8:9">
      <c r="H4310" s="2"/>
      <c r="I4310" s="2"/>
    </row>
    <row r="4311" spans="8:9">
      <c r="H4311" s="2"/>
      <c r="I4311" s="2"/>
    </row>
    <row r="4312" spans="8:9">
      <c r="H4312" s="2"/>
      <c r="I4312" s="2"/>
    </row>
    <row r="4313" spans="8:9">
      <c r="H4313" s="2"/>
      <c r="I4313" s="2"/>
    </row>
    <row r="4314" spans="8:9">
      <c r="H4314" s="2"/>
      <c r="I4314" s="2"/>
    </row>
    <row r="4315" spans="8:9">
      <c r="H4315" s="2"/>
      <c r="I4315" s="2"/>
    </row>
    <row r="4316" spans="8:9">
      <c r="H4316" s="2"/>
      <c r="I4316" s="2"/>
    </row>
    <row r="4317" spans="8:9">
      <c r="H4317" s="2"/>
      <c r="I4317" s="2"/>
    </row>
    <row r="4318" spans="8:9">
      <c r="H4318" s="2"/>
      <c r="I4318" s="2"/>
    </row>
    <row r="4319" spans="8:9">
      <c r="H4319" s="2"/>
      <c r="I4319" s="2"/>
    </row>
    <row r="4320" spans="8:9">
      <c r="H4320" s="2"/>
      <c r="I4320" s="2"/>
    </row>
    <row r="4321" spans="8:9">
      <c r="H4321" s="2"/>
      <c r="I4321" s="2"/>
    </row>
    <row r="4322" spans="8:9">
      <c r="H4322" s="2"/>
      <c r="I4322" s="2"/>
    </row>
    <row r="4323" spans="8:9">
      <c r="H4323" s="2"/>
      <c r="I4323" s="2"/>
    </row>
    <row r="4324" spans="8:9">
      <c r="H4324" s="2"/>
      <c r="I4324" s="2"/>
    </row>
    <row r="4325" spans="8:9">
      <c r="H4325" s="2"/>
      <c r="I4325" s="2"/>
    </row>
    <row r="4326" spans="8:9">
      <c r="H4326" s="2"/>
      <c r="I4326" s="2"/>
    </row>
    <row r="4327" spans="8:9">
      <c r="H4327" s="2"/>
      <c r="I4327" s="2"/>
    </row>
    <row r="4328" spans="8:9">
      <c r="H4328" s="2"/>
      <c r="I4328" s="2"/>
    </row>
    <row r="4329" spans="8:9">
      <c r="H4329" s="2"/>
      <c r="I4329" s="2"/>
    </row>
    <row r="4330" spans="8:9">
      <c r="H4330" s="2"/>
      <c r="I4330" s="2"/>
    </row>
    <row r="4331" spans="8:9">
      <c r="H4331" s="2"/>
      <c r="I4331" s="2"/>
    </row>
    <row r="4332" spans="8:9">
      <c r="H4332" s="2"/>
      <c r="I4332" s="2"/>
    </row>
    <row r="4333" spans="8:9">
      <c r="H4333" s="2"/>
      <c r="I4333" s="2"/>
    </row>
    <row r="4334" spans="8:9">
      <c r="H4334" s="2"/>
      <c r="I4334" s="2"/>
    </row>
    <row r="4335" spans="8:9">
      <c r="H4335" s="2"/>
      <c r="I4335" s="2"/>
    </row>
    <row r="4336" spans="8:9">
      <c r="H4336" s="2"/>
      <c r="I4336" s="2"/>
    </row>
    <row r="4337" spans="8:9">
      <c r="H4337" s="2"/>
      <c r="I4337" s="2"/>
    </row>
    <row r="4338" spans="8:9">
      <c r="H4338" s="2"/>
      <c r="I4338" s="2"/>
    </row>
    <row r="4339" spans="8:9">
      <c r="H4339" s="2"/>
      <c r="I4339" s="2"/>
    </row>
    <row r="4340" spans="8:9">
      <c r="H4340" s="2"/>
      <c r="I4340" s="2"/>
    </row>
    <row r="4341" spans="8:9">
      <c r="H4341" s="2"/>
      <c r="I4341" s="2"/>
    </row>
    <row r="4342" spans="8:9">
      <c r="H4342" s="2"/>
      <c r="I4342" s="2"/>
    </row>
    <row r="4343" spans="8:9">
      <c r="H4343" s="2"/>
      <c r="I4343" s="2"/>
    </row>
    <row r="4344" spans="8:9">
      <c r="H4344" s="2"/>
      <c r="I4344" s="2"/>
    </row>
    <row r="4345" spans="8:9">
      <c r="H4345" s="2"/>
      <c r="I4345" s="2"/>
    </row>
    <row r="4346" spans="8:9">
      <c r="H4346" s="2"/>
      <c r="I4346" s="2"/>
    </row>
    <row r="4347" spans="8:9">
      <c r="H4347" s="2"/>
      <c r="I4347" s="2"/>
    </row>
    <row r="4348" spans="8:9">
      <c r="H4348" s="2"/>
      <c r="I4348" s="2"/>
    </row>
    <row r="4349" spans="8:9">
      <c r="H4349" s="2"/>
      <c r="I4349" s="2"/>
    </row>
    <row r="4350" spans="8:9">
      <c r="H4350" s="2"/>
      <c r="I4350" s="2"/>
    </row>
    <row r="4351" spans="8:9">
      <c r="H4351" s="2"/>
      <c r="I4351" s="2"/>
    </row>
    <row r="4352" spans="8:9">
      <c r="H4352" s="2"/>
      <c r="I4352" s="2"/>
    </row>
    <row r="4353" spans="8:9">
      <c r="H4353" s="2"/>
      <c r="I4353" s="2"/>
    </row>
    <row r="4354" spans="8:9">
      <c r="H4354" s="2"/>
      <c r="I4354" s="2"/>
    </row>
    <row r="4355" spans="8:9">
      <c r="H4355" s="2"/>
      <c r="I4355" s="2"/>
    </row>
    <row r="4356" spans="8:9">
      <c r="H4356" s="2"/>
      <c r="I4356" s="2"/>
    </row>
    <row r="4357" spans="8:9">
      <c r="H4357" s="2"/>
      <c r="I4357" s="2"/>
    </row>
    <row r="4358" spans="8:9">
      <c r="H4358" s="2"/>
      <c r="I4358" s="2"/>
    </row>
    <row r="4359" spans="8:9">
      <c r="H4359" s="2"/>
      <c r="I4359" s="2"/>
    </row>
    <row r="4360" spans="8:9">
      <c r="H4360" s="2"/>
      <c r="I4360" s="2"/>
    </row>
    <row r="4361" spans="8:9">
      <c r="H4361" s="2"/>
      <c r="I4361" s="2"/>
    </row>
    <row r="4362" spans="8:9">
      <c r="H4362" s="2"/>
      <c r="I4362" s="2"/>
    </row>
    <row r="4363" spans="8:9">
      <c r="H4363" s="2"/>
      <c r="I4363" s="2"/>
    </row>
    <row r="4364" spans="8:9">
      <c r="H4364" s="2"/>
      <c r="I4364" s="2"/>
    </row>
    <row r="4365" spans="8:9">
      <c r="H4365" s="2"/>
      <c r="I4365" s="2"/>
    </row>
    <row r="4366" spans="8:9">
      <c r="H4366" s="2"/>
      <c r="I4366" s="2"/>
    </row>
    <row r="4367" spans="8:9">
      <c r="H4367" s="2"/>
      <c r="I4367" s="2"/>
    </row>
    <row r="4368" spans="8:9">
      <c r="H4368" s="2"/>
      <c r="I4368" s="2"/>
    </row>
    <row r="4369" spans="8:9">
      <c r="H4369" s="2"/>
      <c r="I4369" s="2"/>
    </row>
    <row r="4370" spans="8:9">
      <c r="H4370" s="2"/>
      <c r="I4370" s="2"/>
    </row>
    <row r="4371" spans="8:9">
      <c r="H4371" s="2"/>
      <c r="I4371" s="2"/>
    </row>
    <row r="4372" spans="8:9">
      <c r="H4372" s="2"/>
      <c r="I4372" s="2"/>
    </row>
    <row r="4373" spans="8:9">
      <c r="H4373" s="2"/>
      <c r="I4373" s="2"/>
    </row>
    <row r="4374" spans="8:9">
      <c r="H4374" s="2"/>
      <c r="I4374" s="2"/>
    </row>
    <row r="4375" spans="8:9">
      <c r="H4375" s="2"/>
      <c r="I4375" s="2"/>
    </row>
    <row r="4376" spans="8:9">
      <c r="H4376" s="2"/>
      <c r="I4376" s="2"/>
    </row>
    <row r="4377" spans="8:9">
      <c r="H4377" s="2"/>
      <c r="I4377" s="2"/>
    </row>
    <row r="4378" spans="8:9">
      <c r="H4378" s="2"/>
      <c r="I4378" s="2"/>
    </row>
    <row r="4379" spans="8:9">
      <c r="H4379" s="2"/>
      <c r="I4379" s="2"/>
    </row>
    <row r="4380" spans="8:9">
      <c r="H4380" s="2"/>
      <c r="I4380" s="2"/>
    </row>
    <row r="4381" spans="8:9">
      <c r="H4381" s="2"/>
      <c r="I4381" s="2"/>
    </row>
    <row r="4382" spans="8:9">
      <c r="H4382" s="2"/>
      <c r="I4382" s="2"/>
    </row>
    <row r="4383" spans="8:9">
      <c r="H4383" s="2"/>
      <c r="I4383" s="2"/>
    </row>
    <row r="4384" spans="8:9">
      <c r="H4384" s="2"/>
      <c r="I4384" s="2"/>
    </row>
    <row r="4385" spans="8:9">
      <c r="H4385" s="2"/>
      <c r="I4385" s="2"/>
    </row>
    <row r="4386" spans="8:9">
      <c r="H4386" s="2"/>
      <c r="I4386" s="2"/>
    </row>
    <row r="4387" spans="8:9">
      <c r="H4387" s="2"/>
      <c r="I4387" s="2"/>
    </row>
    <row r="4388" spans="8:9">
      <c r="H4388" s="2"/>
      <c r="I4388" s="2"/>
    </row>
    <row r="4389" spans="8:9">
      <c r="H4389" s="2"/>
      <c r="I4389" s="2"/>
    </row>
    <row r="4390" spans="8:9">
      <c r="H4390" s="2"/>
      <c r="I4390" s="2"/>
    </row>
    <row r="4391" spans="8:9">
      <c r="H4391" s="2"/>
      <c r="I4391" s="2"/>
    </row>
    <row r="4392" spans="8:9">
      <c r="H4392" s="2"/>
      <c r="I4392" s="2"/>
    </row>
    <row r="4393" spans="8:9">
      <c r="H4393" s="2"/>
      <c r="I4393" s="2"/>
    </row>
    <row r="4394" spans="8:9">
      <c r="H4394" s="2"/>
      <c r="I4394" s="2"/>
    </row>
    <row r="4395" spans="8:9">
      <c r="H4395" s="2"/>
      <c r="I4395" s="2"/>
    </row>
    <row r="4396" spans="8:9">
      <c r="H4396" s="2"/>
      <c r="I4396" s="2"/>
    </row>
    <row r="4397" spans="8:9">
      <c r="H4397" s="2"/>
      <c r="I4397" s="2"/>
    </row>
    <row r="4398" spans="8:9">
      <c r="H4398" s="2"/>
      <c r="I4398" s="2"/>
    </row>
    <row r="4399" spans="8:9">
      <c r="H4399" s="2"/>
      <c r="I4399" s="2"/>
    </row>
    <row r="4400" spans="8:9">
      <c r="H4400" s="2"/>
      <c r="I4400" s="2"/>
    </row>
    <row r="4401" spans="8:9">
      <c r="H4401" s="2"/>
      <c r="I4401" s="2"/>
    </row>
    <row r="4402" spans="8:9">
      <c r="H4402" s="2"/>
      <c r="I4402" s="2"/>
    </row>
    <row r="4403" spans="8:9">
      <c r="H4403" s="2"/>
      <c r="I4403" s="2"/>
    </row>
    <row r="4404" spans="8:9">
      <c r="H4404" s="2"/>
      <c r="I4404" s="2"/>
    </row>
    <row r="4405" spans="8:9">
      <c r="H4405" s="2"/>
      <c r="I4405" s="2"/>
    </row>
    <row r="4406" spans="8:9">
      <c r="H4406" s="2"/>
      <c r="I4406" s="2"/>
    </row>
    <row r="4407" spans="8:9">
      <c r="H4407" s="2"/>
      <c r="I4407" s="2"/>
    </row>
    <row r="4408" spans="8:9">
      <c r="H4408" s="2"/>
      <c r="I4408" s="2"/>
    </row>
    <row r="4409" spans="8:9">
      <c r="H4409" s="2"/>
      <c r="I4409" s="2"/>
    </row>
    <row r="4410" spans="8:9">
      <c r="H4410" s="2"/>
      <c r="I4410" s="2"/>
    </row>
    <row r="4411" spans="8:9">
      <c r="H4411" s="2"/>
      <c r="I4411" s="2"/>
    </row>
    <row r="4412" spans="8:9">
      <c r="H4412" s="2"/>
      <c r="I4412" s="2"/>
    </row>
    <row r="4413" spans="8:9">
      <c r="H4413" s="2"/>
      <c r="I4413" s="2"/>
    </row>
    <row r="4414" spans="8:9">
      <c r="H4414" s="2"/>
      <c r="I4414" s="2"/>
    </row>
    <row r="4415" spans="8:9">
      <c r="H4415" s="2"/>
      <c r="I4415" s="2"/>
    </row>
    <row r="4416" spans="8:9">
      <c r="H4416" s="2"/>
      <c r="I4416" s="2"/>
    </row>
    <row r="4417" spans="8:9">
      <c r="H4417" s="2"/>
      <c r="I4417" s="2"/>
    </row>
    <row r="4418" spans="8:9">
      <c r="H4418" s="2"/>
      <c r="I4418" s="2"/>
    </row>
    <row r="4419" spans="8:9">
      <c r="H4419" s="2"/>
      <c r="I4419" s="2"/>
    </row>
    <row r="4420" spans="8:9">
      <c r="H4420" s="2"/>
      <c r="I4420" s="2"/>
    </row>
    <row r="4421" spans="8:9">
      <c r="H4421" s="2"/>
      <c r="I4421" s="2"/>
    </row>
    <row r="4422" spans="8:9">
      <c r="H4422" s="2"/>
      <c r="I4422" s="2"/>
    </row>
    <row r="4423" spans="8:9">
      <c r="H4423" s="2"/>
      <c r="I4423" s="2"/>
    </row>
    <row r="4424" spans="8:9">
      <c r="H4424" s="2"/>
      <c r="I4424" s="2"/>
    </row>
    <row r="4425" spans="8:9">
      <c r="H4425" s="2"/>
      <c r="I4425" s="2"/>
    </row>
    <row r="4426" spans="8:9">
      <c r="H4426" s="2"/>
      <c r="I4426" s="2"/>
    </row>
    <row r="4427" spans="8:9">
      <c r="H4427" s="2"/>
      <c r="I4427" s="2"/>
    </row>
    <row r="4428" spans="8:9">
      <c r="H4428" s="2"/>
      <c r="I4428" s="2"/>
    </row>
    <row r="4429" spans="8:9">
      <c r="H4429" s="2"/>
      <c r="I4429" s="2"/>
    </row>
    <row r="4430" spans="8:9">
      <c r="H4430" s="2"/>
      <c r="I4430" s="2"/>
    </row>
    <row r="4431" spans="8:9">
      <c r="H4431" s="2"/>
      <c r="I4431" s="2"/>
    </row>
    <row r="4432" spans="8:9">
      <c r="H4432" s="2"/>
      <c r="I4432" s="2"/>
    </row>
    <row r="4433" spans="8:9">
      <c r="H4433" s="2"/>
      <c r="I4433" s="2"/>
    </row>
    <row r="4434" spans="8:9">
      <c r="H4434" s="2"/>
      <c r="I4434" s="2"/>
    </row>
    <row r="4435" spans="8:9">
      <c r="H4435" s="2"/>
      <c r="I4435" s="2"/>
    </row>
    <row r="4436" spans="8:9">
      <c r="H4436" s="2"/>
      <c r="I4436" s="2"/>
    </row>
    <row r="4437" spans="8:9">
      <c r="H4437" s="2"/>
      <c r="I4437" s="2"/>
    </row>
    <row r="4438" spans="8:9">
      <c r="H4438" s="2"/>
      <c r="I4438" s="2"/>
    </row>
    <row r="4439" spans="8:9">
      <c r="H4439" s="2"/>
      <c r="I4439" s="2"/>
    </row>
    <row r="4440" spans="8:9">
      <c r="H4440" s="2"/>
      <c r="I4440" s="2"/>
    </row>
    <row r="4441" spans="8:9">
      <c r="H4441" s="2"/>
      <c r="I4441" s="2"/>
    </row>
    <row r="4442" spans="8:9">
      <c r="H4442" s="2"/>
      <c r="I4442" s="2"/>
    </row>
    <row r="4443" spans="8:9">
      <c r="H4443" s="2"/>
      <c r="I4443" s="2"/>
    </row>
    <row r="4444" spans="8:9">
      <c r="H4444" s="2"/>
      <c r="I4444" s="2"/>
    </row>
    <row r="4445" spans="8:9">
      <c r="H4445" s="2"/>
      <c r="I4445" s="2"/>
    </row>
    <row r="4446" spans="8:9">
      <c r="H4446" s="2"/>
      <c r="I4446" s="2"/>
    </row>
    <row r="4447" spans="8:9">
      <c r="H4447" s="2"/>
      <c r="I4447" s="2"/>
    </row>
    <row r="4448" spans="8:9">
      <c r="H4448" s="2"/>
      <c r="I4448" s="2"/>
    </row>
    <row r="4449" spans="8:9">
      <c r="H4449" s="2"/>
      <c r="I4449" s="2"/>
    </row>
    <row r="4450" spans="8:9">
      <c r="H4450" s="2"/>
      <c r="I4450" s="2"/>
    </row>
    <row r="4451" spans="8:9">
      <c r="H4451" s="2"/>
      <c r="I4451" s="2"/>
    </row>
    <row r="4452" spans="8:9">
      <c r="H4452" s="2"/>
      <c r="I4452" s="2"/>
    </row>
    <row r="4453" spans="8:9">
      <c r="H4453" s="2"/>
      <c r="I4453" s="2"/>
    </row>
    <row r="4454" spans="8:9">
      <c r="H4454" s="2"/>
      <c r="I4454" s="2"/>
    </row>
    <row r="4455" spans="8:9">
      <c r="H4455" s="2"/>
      <c r="I4455" s="2"/>
    </row>
    <row r="4456" spans="8:9">
      <c r="H4456" s="2"/>
      <c r="I4456" s="2"/>
    </row>
    <row r="4457" spans="8:9">
      <c r="H4457" s="2"/>
      <c r="I4457" s="2"/>
    </row>
    <row r="4458" spans="8:9">
      <c r="H4458" s="2"/>
      <c r="I4458" s="2"/>
    </row>
    <row r="4459" spans="8:9">
      <c r="H4459" s="2"/>
      <c r="I4459" s="2"/>
    </row>
    <row r="4460" spans="8:9">
      <c r="H4460" s="2"/>
      <c r="I4460" s="2"/>
    </row>
    <row r="4461" spans="8:9">
      <c r="H4461" s="2"/>
      <c r="I4461" s="2"/>
    </row>
    <row r="4462" spans="8:9">
      <c r="H4462" s="2"/>
      <c r="I4462" s="2"/>
    </row>
    <row r="4463" spans="8:9">
      <c r="H4463" s="2"/>
      <c r="I4463" s="2"/>
    </row>
    <row r="4464" spans="8:9">
      <c r="H4464" s="2"/>
      <c r="I4464" s="2"/>
    </row>
    <row r="4465" spans="8:9">
      <c r="H4465" s="2"/>
      <c r="I4465" s="2"/>
    </row>
    <row r="4466" spans="8:9">
      <c r="H4466" s="2"/>
      <c r="I4466" s="2"/>
    </row>
    <row r="4467" spans="8:9">
      <c r="H4467" s="2"/>
      <c r="I4467" s="2"/>
    </row>
    <row r="4468" spans="8:9">
      <c r="H4468" s="2"/>
      <c r="I4468" s="2"/>
    </row>
    <row r="4469" spans="8:9">
      <c r="H4469" s="2"/>
      <c r="I4469" s="2"/>
    </row>
    <row r="4470" spans="8:9">
      <c r="H4470" s="2"/>
      <c r="I4470" s="2"/>
    </row>
    <row r="4471" spans="8:9">
      <c r="H4471" s="2"/>
      <c r="I4471" s="2"/>
    </row>
    <row r="4472" spans="8:9">
      <c r="H4472" s="2"/>
      <c r="I4472" s="2"/>
    </row>
    <row r="4473" spans="8:9">
      <c r="H4473" s="2"/>
      <c r="I4473" s="2"/>
    </row>
    <row r="4474" spans="8:9">
      <c r="H4474" s="2"/>
      <c r="I4474" s="2"/>
    </row>
    <row r="4475" spans="8:9">
      <c r="H4475" s="2"/>
      <c r="I4475" s="2"/>
    </row>
    <row r="4476" spans="8:9">
      <c r="H4476" s="2"/>
      <c r="I4476" s="2"/>
    </row>
    <row r="4477" spans="8:9">
      <c r="H4477" s="2"/>
      <c r="I4477" s="2"/>
    </row>
    <row r="4478" spans="8:9">
      <c r="H4478" s="2"/>
      <c r="I4478" s="2"/>
    </row>
    <row r="4479" spans="8:9">
      <c r="H4479" s="2"/>
      <c r="I4479" s="2"/>
    </row>
    <row r="4480" spans="8:9">
      <c r="H4480" s="2"/>
      <c r="I4480" s="2"/>
    </row>
    <row r="4481" spans="8:9">
      <c r="H4481" s="2"/>
      <c r="I4481" s="2"/>
    </row>
    <row r="4482" spans="8:9">
      <c r="H4482" s="2"/>
      <c r="I4482" s="2"/>
    </row>
    <row r="4483" spans="8:9">
      <c r="H4483" s="2"/>
      <c r="I4483" s="2"/>
    </row>
    <row r="4484" spans="8:9">
      <c r="H4484" s="2"/>
      <c r="I4484" s="2"/>
    </row>
    <row r="4485" spans="8:9">
      <c r="H4485" s="2"/>
      <c r="I4485" s="2"/>
    </row>
    <row r="4486" spans="8:9">
      <c r="H4486" s="2"/>
      <c r="I4486" s="2"/>
    </row>
    <row r="4487" spans="8:9">
      <c r="H4487" s="2"/>
      <c r="I4487" s="2"/>
    </row>
    <row r="4488" spans="8:9">
      <c r="H4488" s="2"/>
      <c r="I4488" s="2"/>
    </row>
    <row r="4489" spans="8:9">
      <c r="H4489" s="2"/>
      <c r="I4489" s="2"/>
    </row>
    <row r="4490" spans="8:9">
      <c r="H4490" s="2"/>
      <c r="I4490" s="2"/>
    </row>
    <row r="4491" spans="8:9">
      <c r="H4491" s="2"/>
      <c r="I4491" s="2"/>
    </row>
    <row r="4492" spans="8:9">
      <c r="H4492" s="2"/>
      <c r="I4492" s="2"/>
    </row>
    <row r="4493" spans="8:9">
      <c r="H4493" s="2"/>
      <c r="I4493" s="2"/>
    </row>
    <row r="4494" spans="8:9">
      <c r="H4494" s="2"/>
      <c r="I4494" s="2"/>
    </row>
    <row r="4495" spans="8:9">
      <c r="H4495" s="2"/>
      <c r="I4495" s="2"/>
    </row>
    <row r="4496" spans="8:9">
      <c r="H4496" s="2"/>
      <c r="I4496" s="2"/>
    </row>
    <row r="4497" spans="8:9">
      <c r="H4497" s="2"/>
      <c r="I4497" s="2"/>
    </row>
    <row r="4498" spans="8:9">
      <c r="H4498" s="2"/>
      <c r="I4498" s="2"/>
    </row>
    <row r="4499" spans="8:9">
      <c r="H4499" s="2"/>
      <c r="I4499" s="2"/>
    </row>
    <row r="4500" spans="8:9">
      <c r="H4500" s="2"/>
      <c r="I4500" s="2"/>
    </row>
    <row r="4501" spans="8:9">
      <c r="H4501" s="2"/>
      <c r="I4501" s="2"/>
    </row>
    <row r="4502" spans="8:9">
      <c r="H4502" s="2"/>
      <c r="I4502" s="2"/>
    </row>
    <row r="4503" spans="8:9">
      <c r="H4503" s="2"/>
      <c r="I4503" s="2"/>
    </row>
    <row r="4504" spans="8:9">
      <c r="H4504" s="2"/>
      <c r="I4504" s="2"/>
    </row>
    <row r="4505" spans="8:9">
      <c r="H4505" s="2"/>
      <c r="I4505" s="2"/>
    </row>
    <row r="4506" spans="8:9">
      <c r="H4506" s="2"/>
      <c r="I4506" s="2"/>
    </row>
    <row r="4507" spans="8:9">
      <c r="H4507" s="2"/>
      <c r="I4507" s="2"/>
    </row>
    <row r="4508" spans="8:9">
      <c r="H4508" s="2"/>
      <c r="I4508" s="2"/>
    </row>
    <row r="4509" spans="8:9">
      <c r="H4509" s="2"/>
      <c r="I4509" s="2"/>
    </row>
    <row r="4510" spans="8:9">
      <c r="H4510" s="2"/>
      <c r="I4510" s="2"/>
    </row>
    <row r="4511" spans="8:9">
      <c r="H4511" s="2"/>
      <c r="I4511" s="2"/>
    </row>
    <row r="4512" spans="8:9">
      <c r="H4512" s="2"/>
      <c r="I4512" s="2"/>
    </row>
    <row r="4513" spans="8:9">
      <c r="H4513" s="2"/>
      <c r="I4513" s="2"/>
    </row>
    <row r="4514" spans="8:9">
      <c r="H4514" s="2"/>
      <c r="I4514" s="2"/>
    </row>
    <row r="4515" spans="8:9">
      <c r="H4515" s="2"/>
      <c r="I4515" s="2"/>
    </row>
    <row r="4516" spans="8:9">
      <c r="H4516" s="2"/>
      <c r="I4516" s="2"/>
    </row>
    <row r="4517" spans="8:9">
      <c r="H4517" s="2"/>
      <c r="I4517" s="2"/>
    </row>
    <row r="4518" spans="8:9">
      <c r="H4518" s="2"/>
      <c r="I4518" s="2"/>
    </row>
    <row r="4519" spans="8:9">
      <c r="H4519" s="2"/>
      <c r="I4519" s="2"/>
    </row>
    <row r="4520" spans="8:9">
      <c r="H4520" s="2"/>
      <c r="I4520" s="2"/>
    </row>
    <row r="4521" spans="8:9">
      <c r="H4521" s="2"/>
      <c r="I4521" s="2"/>
    </row>
    <row r="4522" spans="8:9">
      <c r="H4522" s="2"/>
      <c r="I4522" s="2"/>
    </row>
    <row r="4523" spans="8:9">
      <c r="H4523" s="2"/>
      <c r="I4523" s="2"/>
    </row>
    <row r="4524" spans="8:9">
      <c r="H4524" s="2"/>
      <c r="I4524" s="2"/>
    </row>
    <row r="4525" spans="8:9">
      <c r="H4525" s="2"/>
      <c r="I4525" s="2"/>
    </row>
    <row r="4526" spans="8:9">
      <c r="H4526" s="2"/>
      <c r="I4526" s="2"/>
    </row>
    <row r="4527" spans="8:9">
      <c r="H4527" s="2"/>
      <c r="I4527" s="2"/>
    </row>
    <row r="4528" spans="8:9">
      <c r="H4528" s="2"/>
      <c r="I4528" s="2"/>
    </row>
    <row r="4529" spans="8:9">
      <c r="H4529" s="2"/>
      <c r="I4529" s="2"/>
    </row>
    <row r="4530" spans="8:9">
      <c r="H4530" s="2"/>
      <c r="I4530" s="2"/>
    </row>
    <row r="4531" spans="8:9">
      <c r="H4531" s="2"/>
      <c r="I4531" s="2"/>
    </row>
    <row r="4532" spans="8:9">
      <c r="H4532" s="2"/>
      <c r="I4532" s="2"/>
    </row>
    <row r="4533" spans="8:9">
      <c r="H4533" s="2"/>
      <c r="I4533" s="2"/>
    </row>
    <row r="4534" spans="8:9">
      <c r="H4534" s="2"/>
      <c r="I4534" s="2"/>
    </row>
    <row r="4535" spans="8:9">
      <c r="H4535" s="2"/>
      <c r="I4535" s="2"/>
    </row>
    <row r="4536" spans="8:9">
      <c r="H4536" s="2"/>
      <c r="I4536" s="2"/>
    </row>
    <row r="4537" spans="8:9">
      <c r="H4537" s="2"/>
      <c r="I4537" s="2"/>
    </row>
    <row r="4538" spans="8:9">
      <c r="H4538" s="2"/>
      <c r="I4538" s="2"/>
    </row>
    <row r="4539" spans="8:9">
      <c r="H4539" s="2"/>
      <c r="I4539" s="2"/>
    </row>
    <row r="4540" spans="8:9">
      <c r="H4540" s="2"/>
      <c r="I4540" s="2"/>
    </row>
    <row r="4541" spans="8:9">
      <c r="H4541" s="2"/>
      <c r="I4541" s="2"/>
    </row>
    <row r="4542" spans="8:9">
      <c r="H4542" s="2"/>
      <c r="I4542" s="2"/>
    </row>
    <row r="4543" spans="8:9">
      <c r="H4543" s="2"/>
      <c r="I4543" s="2"/>
    </row>
    <row r="4544" spans="8:9">
      <c r="H4544" s="2"/>
      <c r="I4544" s="2"/>
    </row>
    <row r="4545" spans="8:9">
      <c r="H4545" s="2"/>
      <c r="I4545" s="2"/>
    </row>
    <row r="4546" spans="8:9">
      <c r="H4546" s="2"/>
      <c r="I4546" s="2"/>
    </row>
    <row r="4547" spans="8:9">
      <c r="H4547" s="2"/>
      <c r="I4547" s="2"/>
    </row>
    <row r="4548" spans="8:9">
      <c r="H4548" s="2"/>
      <c r="I4548" s="2"/>
    </row>
    <row r="4549" spans="8:9">
      <c r="H4549" s="2"/>
      <c r="I4549" s="2"/>
    </row>
    <row r="4550" spans="8:9">
      <c r="H4550" s="2"/>
      <c r="I4550" s="2"/>
    </row>
    <row r="4551" spans="8:9">
      <c r="H4551" s="2"/>
      <c r="I4551" s="2"/>
    </row>
    <row r="4552" spans="8:9">
      <c r="H4552" s="2"/>
      <c r="I4552" s="2"/>
    </row>
    <row r="4553" spans="8:9">
      <c r="H4553" s="2"/>
      <c r="I4553" s="2"/>
    </row>
    <row r="4554" spans="8:9">
      <c r="H4554" s="2"/>
      <c r="I4554" s="2"/>
    </row>
    <row r="4555" spans="8:9">
      <c r="H4555" s="2"/>
      <c r="I4555" s="2"/>
    </row>
    <row r="4556" spans="8:9">
      <c r="H4556" s="2"/>
      <c r="I4556" s="2"/>
    </row>
    <row r="4557" spans="8:9">
      <c r="H4557" s="2"/>
      <c r="I4557" s="2"/>
    </row>
    <row r="4558" spans="8:9">
      <c r="H4558" s="2"/>
      <c r="I4558" s="2"/>
    </row>
    <row r="4559" spans="8:9">
      <c r="H4559" s="2"/>
      <c r="I4559" s="2"/>
    </row>
    <row r="4560" spans="8:9">
      <c r="H4560" s="2"/>
      <c r="I4560" s="2"/>
    </row>
    <row r="4561" spans="8:9">
      <c r="H4561" s="2"/>
      <c r="I4561" s="2"/>
    </row>
    <row r="4562" spans="8:9">
      <c r="H4562" s="2"/>
      <c r="I4562" s="2"/>
    </row>
    <row r="4563" spans="8:9">
      <c r="H4563" s="2"/>
      <c r="I4563" s="2"/>
    </row>
    <row r="4564" spans="8:9">
      <c r="H4564" s="2"/>
      <c r="I4564" s="2"/>
    </row>
    <row r="4565" spans="8:9">
      <c r="H4565" s="2"/>
      <c r="I4565" s="2"/>
    </row>
    <row r="4566" spans="8:9">
      <c r="H4566" s="2"/>
      <c r="I4566" s="2"/>
    </row>
    <row r="4567" spans="8:9">
      <c r="H4567" s="2"/>
      <c r="I4567" s="2"/>
    </row>
    <row r="4568" spans="8:9">
      <c r="H4568" s="2"/>
      <c r="I4568" s="2"/>
    </row>
    <row r="4569" spans="8:9">
      <c r="H4569" s="2"/>
      <c r="I4569" s="2"/>
    </row>
    <row r="4570" spans="8:9">
      <c r="H4570" s="2"/>
      <c r="I4570" s="2"/>
    </row>
    <row r="4571" spans="8:9">
      <c r="H4571" s="2"/>
      <c r="I4571" s="2"/>
    </row>
    <row r="4572" spans="8:9">
      <c r="H4572" s="2"/>
      <c r="I4572" s="2"/>
    </row>
    <row r="4573" spans="8:9">
      <c r="H4573" s="2"/>
      <c r="I4573" s="2"/>
    </row>
    <row r="4574" spans="8:9">
      <c r="H4574" s="2"/>
      <c r="I4574" s="2"/>
    </row>
    <row r="4575" spans="8:9">
      <c r="H4575" s="2"/>
      <c r="I4575" s="2"/>
    </row>
    <row r="4576" spans="8:9">
      <c r="H4576" s="2"/>
      <c r="I4576" s="2"/>
    </row>
    <row r="4577" spans="8:9">
      <c r="H4577" s="2"/>
      <c r="I4577" s="2"/>
    </row>
    <row r="4578" spans="8:9">
      <c r="H4578" s="2"/>
      <c r="I4578" s="2"/>
    </row>
    <row r="4579" spans="8:9">
      <c r="H4579" s="2"/>
      <c r="I4579" s="2"/>
    </row>
    <row r="4580" spans="8:9">
      <c r="H4580" s="2"/>
      <c r="I4580" s="2"/>
    </row>
    <row r="4581" spans="8:9">
      <c r="H4581" s="2"/>
      <c r="I4581" s="2"/>
    </row>
    <row r="4582" spans="8:9">
      <c r="H4582" s="2"/>
      <c r="I4582" s="2"/>
    </row>
    <row r="4583" spans="8:9">
      <c r="H4583" s="2"/>
      <c r="I4583" s="2"/>
    </row>
    <row r="4584" spans="8:9">
      <c r="H4584" s="2"/>
      <c r="I4584" s="2"/>
    </row>
    <row r="4585" spans="8:9">
      <c r="H4585" s="2"/>
      <c r="I4585" s="2"/>
    </row>
    <row r="4586" spans="8:9">
      <c r="H4586" s="2"/>
      <c r="I4586" s="2"/>
    </row>
    <row r="4587" spans="8:9">
      <c r="H4587" s="2"/>
      <c r="I4587" s="2"/>
    </row>
    <row r="4588" spans="8:9">
      <c r="H4588" s="2"/>
      <c r="I4588" s="2"/>
    </row>
    <row r="4589" spans="8:9">
      <c r="H4589" s="2"/>
      <c r="I4589" s="2"/>
    </row>
    <row r="4590" spans="8:9">
      <c r="H4590" s="2"/>
      <c r="I4590" s="2"/>
    </row>
    <row r="4591" spans="8:9">
      <c r="H4591" s="2"/>
      <c r="I4591" s="2"/>
    </row>
    <row r="4592" spans="8:9">
      <c r="H4592" s="2"/>
      <c r="I4592" s="2"/>
    </row>
    <row r="4593" spans="8:9">
      <c r="H4593" s="2"/>
      <c r="I4593" s="2"/>
    </row>
    <row r="4594" spans="8:9">
      <c r="H4594" s="2"/>
      <c r="I4594" s="2"/>
    </row>
    <row r="4595" spans="8:9">
      <c r="H4595" s="2"/>
      <c r="I4595" s="2"/>
    </row>
    <row r="4596" spans="8:9">
      <c r="H4596" s="2"/>
      <c r="I4596" s="2"/>
    </row>
    <row r="4597" spans="8:9">
      <c r="H4597" s="2"/>
      <c r="I4597" s="2"/>
    </row>
    <row r="4598" spans="8:9">
      <c r="H4598" s="2"/>
      <c r="I4598" s="2"/>
    </row>
    <row r="4599" spans="8:9">
      <c r="H4599" s="2"/>
      <c r="I4599" s="2"/>
    </row>
    <row r="4600" spans="8:9">
      <c r="H4600" s="2"/>
      <c r="I4600" s="2"/>
    </row>
    <row r="4601" spans="8:9">
      <c r="H4601" s="2"/>
      <c r="I4601" s="2"/>
    </row>
    <row r="4602" spans="8:9">
      <c r="H4602" s="2"/>
      <c r="I4602" s="2"/>
    </row>
    <row r="4603" spans="8:9">
      <c r="H4603" s="2"/>
      <c r="I4603" s="2"/>
    </row>
    <row r="4604" spans="8:9">
      <c r="H4604" s="2"/>
      <c r="I4604" s="2"/>
    </row>
    <row r="4605" spans="8:9">
      <c r="H4605" s="2"/>
      <c r="I4605" s="2"/>
    </row>
    <row r="4606" spans="8:9">
      <c r="H4606" s="2"/>
      <c r="I4606" s="2"/>
    </row>
    <row r="4607" spans="8:9">
      <c r="H4607" s="2"/>
      <c r="I4607" s="2"/>
    </row>
    <row r="4608" spans="8:9">
      <c r="H4608" s="2"/>
      <c r="I4608" s="2"/>
    </row>
    <row r="4609" spans="8:9">
      <c r="H4609" s="2"/>
      <c r="I4609" s="2"/>
    </row>
    <row r="4610" spans="8:9">
      <c r="H4610" s="2"/>
      <c r="I4610" s="2"/>
    </row>
    <row r="4611" spans="8:9">
      <c r="H4611" s="2"/>
      <c r="I4611" s="2"/>
    </row>
    <row r="4612" spans="8:9">
      <c r="H4612" s="2"/>
      <c r="I4612" s="2"/>
    </row>
    <row r="4613" spans="8:9">
      <c r="H4613" s="2"/>
      <c r="I4613" s="2"/>
    </row>
    <row r="4614" spans="8:9">
      <c r="H4614" s="2"/>
      <c r="I4614" s="2"/>
    </row>
    <row r="4615" spans="8:9">
      <c r="H4615" s="2"/>
      <c r="I4615" s="2"/>
    </row>
    <row r="4616" spans="8:9">
      <c r="H4616" s="2"/>
      <c r="I4616" s="2"/>
    </row>
    <row r="4617" spans="8:9">
      <c r="H4617" s="2"/>
      <c r="I4617" s="2"/>
    </row>
    <row r="4618" spans="8:9">
      <c r="H4618" s="2"/>
      <c r="I4618" s="2"/>
    </row>
    <row r="4619" spans="8:9">
      <c r="H4619" s="2"/>
      <c r="I4619" s="2"/>
    </row>
    <row r="4620" spans="8:9">
      <c r="H4620" s="2"/>
      <c r="I4620" s="2"/>
    </row>
    <row r="4621" spans="8:9">
      <c r="H4621" s="2"/>
      <c r="I4621" s="2"/>
    </row>
    <row r="4622" spans="8:9">
      <c r="H4622" s="2"/>
      <c r="I4622" s="2"/>
    </row>
    <row r="4623" spans="8:9">
      <c r="H4623" s="2"/>
      <c r="I4623" s="2"/>
    </row>
    <row r="4624" spans="8:9">
      <c r="H4624" s="2"/>
      <c r="I4624" s="2"/>
    </row>
    <row r="4625" spans="8:9">
      <c r="H4625" s="2"/>
      <c r="I4625" s="2"/>
    </row>
    <row r="4626" spans="8:9">
      <c r="H4626" s="2"/>
      <c r="I4626" s="2"/>
    </row>
    <row r="4627" spans="8:9">
      <c r="H4627" s="2"/>
      <c r="I4627" s="2"/>
    </row>
    <row r="4628" spans="8:9">
      <c r="H4628" s="2"/>
      <c r="I4628" s="2"/>
    </row>
    <row r="4629" spans="8:9">
      <c r="H4629" s="2"/>
      <c r="I4629" s="2"/>
    </row>
    <row r="4630" spans="8:9">
      <c r="H4630" s="2"/>
      <c r="I4630" s="2"/>
    </row>
    <row r="4631" spans="8:9">
      <c r="H4631" s="2"/>
      <c r="I4631" s="2"/>
    </row>
    <row r="4632" spans="8:9">
      <c r="H4632" s="2"/>
      <c r="I4632" s="2"/>
    </row>
    <row r="4633" spans="8:9">
      <c r="H4633" s="2"/>
      <c r="I4633" s="2"/>
    </row>
    <row r="4634" spans="8:9">
      <c r="H4634" s="2"/>
      <c r="I4634" s="2"/>
    </row>
    <row r="4635" spans="8:9">
      <c r="H4635" s="2"/>
      <c r="I4635" s="2"/>
    </row>
    <row r="4636" spans="8:9">
      <c r="H4636" s="2"/>
      <c r="I4636" s="2"/>
    </row>
    <row r="4637" spans="8:9">
      <c r="H4637" s="2"/>
      <c r="I4637" s="2"/>
    </row>
    <row r="4638" spans="8:9">
      <c r="H4638" s="2"/>
      <c r="I4638" s="2"/>
    </row>
    <row r="4639" spans="8:9">
      <c r="H4639" s="2"/>
      <c r="I4639" s="2"/>
    </row>
    <row r="4640" spans="8:9">
      <c r="H4640" s="2"/>
      <c r="I4640" s="2"/>
    </row>
    <row r="4641" spans="8:9">
      <c r="H4641" s="2"/>
      <c r="I4641" s="2"/>
    </row>
    <row r="4642" spans="8:9">
      <c r="H4642" s="2"/>
      <c r="I4642" s="2"/>
    </row>
    <row r="4643" spans="8:9">
      <c r="H4643" s="2"/>
      <c r="I4643" s="2"/>
    </row>
    <row r="4644" spans="8:9">
      <c r="H4644" s="2"/>
      <c r="I4644" s="2"/>
    </row>
    <row r="4645" spans="8:9">
      <c r="H4645" s="2"/>
      <c r="I4645" s="2"/>
    </row>
    <row r="4646" spans="8:9">
      <c r="H4646" s="2"/>
      <c r="I4646" s="2"/>
    </row>
    <row r="4647" spans="8:9">
      <c r="H4647" s="2"/>
      <c r="I4647" s="2"/>
    </row>
    <row r="4648" spans="8:9">
      <c r="H4648" s="2"/>
      <c r="I4648" s="2"/>
    </row>
    <row r="4649" spans="8:9">
      <c r="H4649" s="2"/>
      <c r="I4649" s="2"/>
    </row>
    <row r="4650" spans="8:9">
      <c r="H4650" s="2"/>
      <c r="I4650" s="2"/>
    </row>
    <row r="4651" spans="8:9">
      <c r="H4651" s="2"/>
      <c r="I4651" s="2"/>
    </row>
    <row r="4652" spans="8:9">
      <c r="H4652" s="2"/>
      <c r="I4652" s="2"/>
    </row>
    <row r="4653" spans="8:9">
      <c r="H4653" s="2"/>
      <c r="I4653" s="2"/>
    </row>
    <row r="4654" spans="8:9">
      <c r="H4654" s="2"/>
      <c r="I4654" s="2"/>
    </row>
    <row r="4655" spans="8:9">
      <c r="H4655" s="2"/>
      <c r="I4655" s="2"/>
    </row>
    <row r="4656" spans="8:9">
      <c r="H4656" s="2"/>
      <c r="I4656" s="2"/>
    </row>
    <row r="4657" spans="8:9">
      <c r="H4657" s="2"/>
      <c r="I4657" s="2"/>
    </row>
    <row r="4658" spans="8:9">
      <c r="H4658" s="2"/>
      <c r="I4658" s="2"/>
    </row>
    <row r="4659" spans="8:9">
      <c r="H4659" s="2"/>
      <c r="I4659" s="2"/>
    </row>
    <row r="4660" spans="8:9">
      <c r="H4660" s="2"/>
      <c r="I4660" s="2"/>
    </row>
    <row r="4661" spans="8:9">
      <c r="H4661" s="2"/>
      <c r="I4661" s="2"/>
    </row>
    <row r="4662" spans="8:9">
      <c r="H4662" s="2"/>
      <c r="I4662" s="2"/>
    </row>
    <row r="4663" spans="8:9">
      <c r="H4663" s="2"/>
      <c r="I4663" s="2"/>
    </row>
    <row r="4664" spans="8:9">
      <c r="H4664" s="2"/>
      <c r="I4664" s="2"/>
    </row>
    <row r="4665" spans="8:9">
      <c r="H4665" s="2"/>
      <c r="I4665" s="2"/>
    </row>
    <row r="4666" spans="8:9">
      <c r="H4666" s="2"/>
      <c r="I4666" s="2"/>
    </row>
    <row r="4667" spans="8:9">
      <c r="H4667" s="2"/>
      <c r="I4667" s="2"/>
    </row>
    <row r="4668" spans="8:9">
      <c r="H4668" s="2"/>
      <c r="I4668" s="2"/>
    </row>
    <row r="4669" spans="8:9">
      <c r="H4669" s="2"/>
      <c r="I4669" s="2"/>
    </row>
    <row r="4670" spans="8:9">
      <c r="H4670" s="2"/>
      <c r="I4670" s="2"/>
    </row>
    <row r="4671" spans="8:9">
      <c r="H4671" s="2"/>
      <c r="I4671" s="2"/>
    </row>
    <row r="4672" spans="8:9">
      <c r="H4672" s="2"/>
      <c r="I4672" s="2"/>
    </row>
    <row r="4673" spans="8:9">
      <c r="H4673" s="2"/>
      <c r="I4673" s="2"/>
    </row>
    <row r="4674" spans="8:9">
      <c r="H4674" s="2"/>
      <c r="I4674" s="2"/>
    </row>
    <row r="4675" spans="8:9">
      <c r="H4675" s="2"/>
      <c r="I4675" s="2"/>
    </row>
    <row r="4676" spans="8:9">
      <c r="H4676" s="2"/>
      <c r="I4676" s="2"/>
    </row>
    <row r="4677" spans="8:9">
      <c r="H4677" s="2"/>
      <c r="I4677" s="2"/>
    </row>
    <row r="4678" spans="8:9">
      <c r="H4678" s="2"/>
      <c r="I4678" s="2"/>
    </row>
    <row r="4679" spans="8:9">
      <c r="H4679" s="2"/>
      <c r="I4679" s="2"/>
    </row>
    <row r="4680" spans="8:9">
      <c r="H4680" s="2"/>
      <c r="I4680" s="2"/>
    </row>
    <row r="4681" spans="8:9">
      <c r="H4681" s="2"/>
      <c r="I4681" s="2"/>
    </row>
    <row r="4682" spans="8:9">
      <c r="H4682" s="2"/>
      <c r="I4682" s="2"/>
    </row>
    <row r="4683" spans="8:9">
      <c r="H4683" s="2"/>
      <c r="I4683" s="2"/>
    </row>
    <row r="4684" spans="8:9">
      <c r="H4684" s="2"/>
      <c r="I4684" s="2"/>
    </row>
    <row r="4685" spans="8:9">
      <c r="H4685" s="2"/>
      <c r="I4685" s="2"/>
    </row>
    <row r="4686" spans="8:9">
      <c r="H4686" s="2"/>
      <c r="I4686" s="2"/>
    </row>
    <row r="4687" spans="8:9">
      <c r="H4687" s="2"/>
      <c r="I4687" s="2"/>
    </row>
    <row r="4688" spans="8:9">
      <c r="H4688" s="2"/>
      <c r="I4688" s="2"/>
    </row>
    <row r="4689" spans="8:9">
      <c r="H4689" s="2"/>
      <c r="I4689" s="2"/>
    </row>
    <row r="4690" spans="8:9">
      <c r="H4690" s="2"/>
      <c r="I4690" s="2"/>
    </row>
    <row r="4691" spans="8:9">
      <c r="H4691" s="2"/>
      <c r="I4691" s="2"/>
    </row>
    <row r="4692" spans="8:9">
      <c r="H4692" s="2"/>
      <c r="I4692" s="2"/>
    </row>
    <row r="4693" spans="8:9">
      <c r="H4693" s="2"/>
      <c r="I4693" s="2"/>
    </row>
    <row r="4694" spans="8:9">
      <c r="H4694" s="2"/>
      <c r="I4694" s="2"/>
    </row>
    <row r="4695" spans="8:9">
      <c r="H4695" s="2"/>
      <c r="I4695" s="2"/>
    </row>
    <row r="4696" spans="8:9">
      <c r="H4696" s="2"/>
      <c r="I4696" s="2"/>
    </row>
    <row r="4697" spans="8:9">
      <c r="H4697" s="2"/>
      <c r="I4697" s="2"/>
    </row>
    <row r="4698" spans="8:9">
      <c r="H4698" s="2"/>
      <c r="I4698" s="2"/>
    </row>
    <row r="4699" spans="8:9">
      <c r="H4699" s="2"/>
      <c r="I4699" s="2"/>
    </row>
    <row r="4700" spans="8:9">
      <c r="H4700" s="2"/>
      <c r="I4700" s="2"/>
    </row>
    <row r="4701" spans="8:9">
      <c r="H4701" s="2"/>
      <c r="I4701" s="2"/>
    </row>
    <row r="4702" spans="8:9">
      <c r="H4702" s="2"/>
      <c r="I4702" s="2"/>
    </row>
    <row r="4703" spans="8:9">
      <c r="H4703" s="2"/>
      <c r="I4703" s="2"/>
    </row>
    <row r="4704" spans="8:9">
      <c r="H4704" s="2"/>
      <c r="I4704" s="2"/>
    </row>
    <row r="4705" spans="8:9">
      <c r="H4705" s="2"/>
      <c r="I4705" s="2"/>
    </row>
    <row r="4706" spans="8:9">
      <c r="H4706" s="2"/>
      <c r="I4706" s="2"/>
    </row>
    <row r="4707" spans="8:9">
      <c r="H4707" s="2"/>
      <c r="I4707" s="2"/>
    </row>
    <row r="4708" spans="8:9">
      <c r="H4708" s="2"/>
      <c r="I4708" s="2"/>
    </row>
    <row r="4709" spans="8:9">
      <c r="H4709" s="2"/>
      <c r="I4709" s="2"/>
    </row>
    <row r="4710" spans="8:9">
      <c r="H4710" s="2"/>
      <c r="I4710" s="2"/>
    </row>
    <row r="4711" spans="8:9">
      <c r="H4711" s="2"/>
      <c r="I4711" s="2"/>
    </row>
    <row r="4712" spans="8:9">
      <c r="H4712" s="2"/>
      <c r="I4712" s="2"/>
    </row>
    <row r="4713" spans="8:9">
      <c r="H4713" s="2"/>
      <c r="I4713" s="2"/>
    </row>
    <row r="4714" spans="8:9">
      <c r="H4714" s="2"/>
      <c r="I4714" s="2"/>
    </row>
    <row r="4715" spans="8:9">
      <c r="H4715" s="2"/>
      <c r="I4715" s="2"/>
    </row>
    <row r="4716" spans="8:9">
      <c r="H4716" s="2"/>
      <c r="I4716" s="2"/>
    </row>
    <row r="4717" spans="8:9">
      <c r="H4717" s="2"/>
      <c r="I4717" s="2"/>
    </row>
    <row r="4718" spans="8:9">
      <c r="H4718" s="2"/>
      <c r="I4718" s="2"/>
    </row>
    <row r="4719" spans="8:9">
      <c r="H4719" s="2"/>
      <c r="I4719" s="2"/>
    </row>
    <row r="4720" spans="8:9">
      <c r="H4720" s="2"/>
      <c r="I4720" s="2"/>
    </row>
    <row r="4721" spans="8:9">
      <c r="H4721" s="2"/>
      <c r="I4721" s="2"/>
    </row>
    <row r="4722" spans="8:9">
      <c r="H4722" s="2"/>
      <c r="I4722" s="2"/>
    </row>
    <row r="4723" spans="8:9">
      <c r="H4723" s="2"/>
      <c r="I4723" s="2"/>
    </row>
    <row r="4724" spans="8:9">
      <c r="H4724" s="2"/>
      <c r="I4724" s="2"/>
    </row>
    <row r="4725" spans="8:9">
      <c r="H4725" s="2"/>
      <c r="I4725" s="2"/>
    </row>
    <row r="4726" spans="8:9">
      <c r="H4726" s="2"/>
      <c r="I4726" s="2"/>
    </row>
    <row r="4727" spans="8:9">
      <c r="H4727" s="2"/>
      <c r="I4727" s="2"/>
    </row>
    <row r="4728" spans="8:9">
      <c r="H4728" s="2"/>
      <c r="I4728" s="2"/>
    </row>
    <row r="4729" spans="8:9">
      <c r="H4729" s="2"/>
      <c r="I4729" s="2"/>
    </row>
    <row r="4730" spans="8:9">
      <c r="H4730" s="2"/>
      <c r="I4730" s="2"/>
    </row>
    <row r="4731" spans="8:9">
      <c r="H4731" s="2"/>
      <c r="I4731" s="2"/>
    </row>
    <row r="4732" spans="8:9">
      <c r="H4732" s="2"/>
      <c r="I4732" s="2"/>
    </row>
    <row r="4733" spans="8:9">
      <c r="H4733" s="2"/>
      <c r="I4733" s="2"/>
    </row>
    <row r="4734" spans="8:9">
      <c r="H4734" s="2"/>
      <c r="I4734" s="2"/>
    </row>
    <row r="4735" spans="8:9">
      <c r="H4735" s="2"/>
      <c r="I4735" s="2"/>
    </row>
    <row r="4736" spans="8:9">
      <c r="H4736" s="2"/>
      <c r="I4736" s="2"/>
    </row>
    <row r="4737" spans="8:9">
      <c r="H4737" s="2"/>
      <c r="I4737" s="2"/>
    </row>
    <row r="4738" spans="8:9">
      <c r="H4738" s="2"/>
      <c r="I4738" s="2"/>
    </row>
    <row r="4739" spans="8:9">
      <c r="H4739" s="2"/>
      <c r="I4739" s="2"/>
    </row>
    <row r="4740" spans="8:9">
      <c r="H4740" s="2"/>
      <c r="I4740" s="2"/>
    </row>
    <row r="4741" spans="8:9">
      <c r="H4741" s="2"/>
      <c r="I4741" s="2"/>
    </row>
    <row r="4742" spans="8:9">
      <c r="H4742" s="2"/>
      <c r="I4742" s="2"/>
    </row>
    <row r="4743" spans="8:9">
      <c r="H4743" s="2"/>
      <c r="I4743" s="2"/>
    </row>
    <row r="4744" spans="8:9">
      <c r="H4744" s="2"/>
      <c r="I4744" s="2"/>
    </row>
    <row r="4745" spans="8:9">
      <c r="H4745" s="2"/>
      <c r="I4745" s="2"/>
    </row>
    <row r="4746" spans="8:9">
      <c r="H4746" s="2"/>
      <c r="I4746" s="2"/>
    </row>
    <row r="4747" spans="8:9">
      <c r="H4747" s="2"/>
      <c r="I4747" s="2"/>
    </row>
    <row r="4748" spans="8:9">
      <c r="H4748" s="2"/>
      <c r="I4748" s="2"/>
    </row>
    <row r="4749" spans="8:9">
      <c r="H4749" s="2"/>
      <c r="I4749" s="2"/>
    </row>
    <row r="4750" spans="8:9">
      <c r="H4750" s="2"/>
      <c r="I4750" s="2"/>
    </row>
    <row r="4751" spans="8:9">
      <c r="H4751" s="2"/>
      <c r="I4751" s="2"/>
    </row>
    <row r="4752" spans="8:9">
      <c r="H4752" s="2"/>
      <c r="I4752" s="2"/>
    </row>
    <row r="4753" spans="8:9">
      <c r="H4753" s="2"/>
      <c r="I4753" s="2"/>
    </row>
    <row r="4754" spans="8:9">
      <c r="H4754" s="2"/>
      <c r="I4754" s="2"/>
    </row>
    <row r="4755" spans="8:9">
      <c r="H4755" s="2"/>
      <c r="I4755" s="2"/>
    </row>
    <row r="4756" spans="8:9">
      <c r="H4756" s="2"/>
      <c r="I4756" s="2"/>
    </row>
    <row r="4757" spans="8:9">
      <c r="H4757" s="2"/>
      <c r="I4757" s="2"/>
    </row>
    <row r="4758" spans="8:9">
      <c r="H4758" s="2"/>
      <c r="I4758" s="2"/>
    </row>
    <row r="4759" spans="8:9">
      <c r="H4759" s="2"/>
      <c r="I4759" s="2"/>
    </row>
    <row r="4760" spans="8:9">
      <c r="H4760" s="2"/>
      <c r="I4760" s="2"/>
    </row>
    <row r="4761" spans="8:9">
      <c r="H4761" s="2"/>
      <c r="I4761" s="2"/>
    </row>
    <row r="4762" spans="8:9">
      <c r="H4762" s="2"/>
      <c r="I4762" s="2"/>
    </row>
    <row r="4763" spans="8:9">
      <c r="H4763" s="2"/>
      <c r="I4763" s="2"/>
    </row>
    <row r="4764" spans="8:9">
      <c r="H4764" s="2"/>
      <c r="I4764" s="2"/>
    </row>
    <row r="4765" spans="8:9">
      <c r="H4765" s="2"/>
      <c r="I4765" s="2"/>
    </row>
    <row r="4766" spans="8:9">
      <c r="H4766" s="2"/>
      <c r="I4766" s="2"/>
    </row>
    <row r="4767" spans="8:9">
      <c r="H4767" s="2"/>
      <c r="I4767" s="2"/>
    </row>
    <row r="4768" spans="8:9">
      <c r="H4768" s="2"/>
      <c r="I4768" s="2"/>
    </row>
    <row r="4769" spans="8:9">
      <c r="H4769" s="2"/>
      <c r="I4769" s="2"/>
    </row>
    <row r="4770" spans="8:9">
      <c r="H4770" s="2"/>
      <c r="I4770" s="2"/>
    </row>
    <row r="4771" spans="8:9">
      <c r="H4771" s="2"/>
      <c r="I4771" s="2"/>
    </row>
    <row r="4772" spans="8:9">
      <c r="H4772" s="2"/>
      <c r="I4772" s="2"/>
    </row>
    <row r="4773" spans="8:9">
      <c r="H4773" s="2"/>
      <c r="I4773" s="2"/>
    </row>
    <row r="4774" spans="8:9">
      <c r="H4774" s="2"/>
      <c r="I4774" s="2"/>
    </row>
    <row r="4775" spans="8:9">
      <c r="H4775" s="2"/>
      <c r="I4775" s="2"/>
    </row>
    <row r="4776" spans="8:9">
      <c r="H4776" s="2"/>
      <c r="I4776" s="2"/>
    </row>
    <row r="4777" spans="8:9">
      <c r="H4777" s="2"/>
      <c r="I4777" s="2"/>
    </row>
    <row r="4778" spans="8:9">
      <c r="H4778" s="2"/>
      <c r="I4778" s="2"/>
    </row>
    <row r="4779" spans="8:9">
      <c r="H4779" s="2"/>
      <c r="I4779" s="2"/>
    </row>
    <row r="4780" spans="8:9">
      <c r="H4780" s="2"/>
      <c r="I4780" s="2"/>
    </row>
    <row r="4781" spans="8:9">
      <c r="H4781" s="2"/>
      <c r="I4781" s="2"/>
    </row>
    <row r="4782" spans="8:9">
      <c r="H4782" s="2"/>
      <c r="I4782" s="2"/>
    </row>
    <row r="4783" spans="8:9">
      <c r="H4783" s="2"/>
      <c r="I4783" s="2"/>
    </row>
    <row r="4784" spans="8:9">
      <c r="H4784" s="2"/>
      <c r="I4784" s="2"/>
    </row>
    <row r="4785" spans="8:9">
      <c r="H4785" s="2"/>
      <c r="I4785" s="2"/>
    </row>
    <row r="4786" spans="8:9">
      <c r="H4786" s="2"/>
      <c r="I4786" s="2"/>
    </row>
    <row r="4787" spans="8:9">
      <c r="H4787" s="2"/>
      <c r="I4787" s="2"/>
    </row>
    <row r="4788" spans="8:9">
      <c r="H4788" s="2"/>
      <c r="I4788" s="2"/>
    </row>
    <row r="4789" spans="8:9">
      <c r="H4789" s="2"/>
      <c r="I4789" s="2"/>
    </row>
    <row r="4790" spans="8:9">
      <c r="H4790" s="2"/>
      <c r="I4790" s="2"/>
    </row>
    <row r="4791" spans="8:9">
      <c r="H4791" s="2"/>
      <c r="I4791" s="2"/>
    </row>
    <row r="4792" spans="8:9">
      <c r="H4792" s="2"/>
      <c r="I4792" s="2"/>
    </row>
    <row r="4793" spans="8:9">
      <c r="H4793" s="2"/>
      <c r="I4793" s="2"/>
    </row>
    <row r="4794" spans="8:9">
      <c r="H4794" s="2"/>
      <c r="I4794" s="2"/>
    </row>
    <row r="4795" spans="8:9">
      <c r="H4795" s="2"/>
      <c r="I4795" s="2"/>
    </row>
    <row r="4796" spans="8:9">
      <c r="H4796" s="2"/>
      <c r="I4796" s="2"/>
    </row>
    <row r="4797" spans="8:9">
      <c r="H4797" s="2"/>
      <c r="I4797" s="2"/>
    </row>
    <row r="4798" spans="8:9">
      <c r="H4798" s="2"/>
      <c r="I4798" s="2"/>
    </row>
    <row r="4799" spans="8:9">
      <c r="H4799" s="2"/>
      <c r="I4799" s="2"/>
    </row>
    <row r="4800" spans="8:9">
      <c r="H4800" s="2"/>
      <c r="I4800" s="2"/>
    </row>
    <row r="4801" spans="8:9">
      <c r="H4801" s="2"/>
      <c r="I4801" s="2"/>
    </row>
    <row r="4802" spans="8:9">
      <c r="H4802" s="2"/>
      <c r="I4802" s="2"/>
    </row>
    <row r="4803" spans="8:9">
      <c r="H4803" s="2"/>
      <c r="I4803" s="2"/>
    </row>
    <row r="4804" spans="8:9">
      <c r="H4804" s="2"/>
      <c r="I4804" s="2"/>
    </row>
    <row r="4805" spans="8:9">
      <c r="H4805" s="2"/>
      <c r="I4805" s="2"/>
    </row>
    <row r="4806" spans="8:9">
      <c r="H4806" s="2"/>
      <c r="I4806" s="2"/>
    </row>
    <row r="4807" spans="8:9">
      <c r="H4807" s="2"/>
      <c r="I4807" s="2"/>
    </row>
    <row r="4808" spans="8:9">
      <c r="H4808" s="2"/>
      <c r="I4808" s="2"/>
    </row>
    <row r="4809" spans="8:9">
      <c r="H4809" s="2"/>
      <c r="I4809" s="2"/>
    </row>
    <row r="4810" spans="8:9">
      <c r="H4810" s="2"/>
      <c r="I4810" s="2"/>
    </row>
    <row r="4811" spans="8:9">
      <c r="H4811" s="2"/>
      <c r="I4811" s="2"/>
    </row>
    <row r="4812" spans="8:9">
      <c r="H4812" s="2"/>
      <c r="I4812" s="2"/>
    </row>
    <row r="4813" spans="8:9">
      <c r="H4813" s="2"/>
      <c r="I4813" s="2"/>
    </row>
    <row r="4814" spans="8:9">
      <c r="H4814" s="2"/>
      <c r="I4814" s="2"/>
    </row>
    <row r="4815" spans="8:9">
      <c r="H4815" s="2"/>
      <c r="I4815" s="2"/>
    </row>
    <row r="4816" spans="8:9">
      <c r="H4816" s="2"/>
      <c r="I4816" s="2"/>
    </row>
    <row r="4817" spans="8:9">
      <c r="H4817" s="2"/>
      <c r="I4817" s="2"/>
    </row>
    <row r="4818" spans="8:9">
      <c r="H4818" s="2"/>
      <c r="I4818" s="2"/>
    </row>
    <row r="4819" spans="8:9">
      <c r="H4819" s="2"/>
      <c r="I4819" s="2"/>
    </row>
    <row r="4820" spans="8:9">
      <c r="H4820" s="2"/>
      <c r="I4820" s="2"/>
    </row>
    <row r="4821" spans="8:9">
      <c r="H4821" s="2"/>
      <c r="I4821" s="2"/>
    </row>
    <row r="4822" spans="8:9">
      <c r="H4822" s="2"/>
      <c r="I4822" s="2"/>
    </row>
    <row r="4823" spans="8:9">
      <c r="H4823" s="2"/>
      <c r="I4823" s="2"/>
    </row>
    <row r="4824" spans="8:9">
      <c r="H4824" s="2"/>
      <c r="I4824" s="2"/>
    </row>
    <row r="4825" spans="8:9">
      <c r="H4825" s="2"/>
      <c r="I4825" s="2"/>
    </row>
    <row r="4826" spans="8:9">
      <c r="H4826" s="2"/>
      <c r="I4826" s="2"/>
    </row>
    <row r="4827" spans="8:9">
      <c r="H4827" s="2"/>
      <c r="I4827" s="2"/>
    </row>
    <row r="4828" spans="8:9">
      <c r="H4828" s="2"/>
      <c r="I4828" s="2"/>
    </row>
    <row r="4829" spans="8:9">
      <c r="H4829" s="2"/>
      <c r="I4829" s="2"/>
    </row>
    <row r="4830" spans="8:9">
      <c r="H4830" s="2"/>
      <c r="I4830" s="2"/>
    </row>
    <row r="4831" spans="8:9">
      <c r="H4831" s="2"/>
      <c r="I4831" s="2"/>
    </row>
    <row r="4832" spans="8:9">
      <c r="H4832" s="2"/>
      <c r="I4832" s="2"/>
    </row>
    <row r="4833" spans="8:9">
      <c r="H4833" s="2"/>
      <c r="I4833" s="2"/>
    </row>
    <row r="4834" spans="8:9">
      <c r="H4834" s="2"/>
      <c r="I4834" s="2"/>
    </row>
    <row r="4835" spans="8:9">
      <c r="H4835" s="2"/>
      <c r="I4835" s="2"/>
    </row>
    <row r="4836" spans="8:9">
      <c r="H4836" s="2"/>
      <c r="I4836" s="2"/>
    </row>
    <row r="4837" spans="8:9">
      <c r="H4837" s="2"/>
      <c r="I4837" s="2"/>
    </row>
    <row r="4838" spans="8:9">
      <c r="H4838" s="2"/>
      <c r="I4838" s="2"/>
    </row>
    <row r="4839" spans="8:9">
      <c r="H4839" s="2"/>
      <c r="I4839" s="2"/>
    </row>
    <row r="4840" spans="8:9">
      <c r="H4840" s="2"/>
      <c r="I4840" s="2"/>
    </row>
    <row r="4841" spans="8:9">
      <c r="H4841" s="2"/>
      <c r="I4841" s="2"/>
    </row>
    <row r="4842" spans="8:9">
      <c r="H4842" s="2"/>
      <c r="I4842" s="2"/>
    </row>
    <row r="4843" spans="8:9">
      <c r="H4843" s="2"/>
      <c r="I4843" s="2"/>
    </row>
    <row r="4844" spans="8:9">
      <c r="H4844" s="2"/>
      <c r="I4844" s="2"/>
    </row>
    <row r="4845" spans="8:9">
      <c r="H4845" s="2"/>
      <c r="I4845" s="2"/>
    </row>
    <row r="4846" spans="8:9">
      <c r="H4846" s="2"/>
      <c r="I4846" s="2"/>
    </row>
    <row r="4847" spans="8:9">
      <c r="H4847" s="2"/>
      <c r="I4847" s="2"/>
    </row>
    <row r="4848" spans="8:9">
      <c r="H4848" s="2"/>
      <c r="I4848" s="2"/>
    </row>
    <row r="4849" spans="8:9">
      <c r="H4849" s="2"/>
      <c r="I4849" s="2"/>
    </row>
    <row r="4850" spans="8:9">
      <c r="H4850" s="2"/>
      <c r="I4850" s="2"/>
    </row>
    <row r="4851" spans="8:9">
      <c r="H4851" s="2"/>
      <c r="I4851" s="2"/>
    </row>
    <row r="4852" spans="8:9">
      <c r="H4852" s="2"/>
      <c r="I4852" s="2"/>
    </row>
    <row r="4853" spans="8:9">
      <c r="H4853" s="2"/>
      <c r="I4853" s="2"/>
    </row>
    <row r="4854" spans="8:9">
      <c r="H4854" s="2"/>
      <c r="I4854" s="2"/>
    </row>
    <row r="4855" spans="8:9">
      <c r="H4855" s="2"/>
      <c r="I4855" s="2"/>
    </row>
    <row r="4856" spans="8:9">
      <c r="H4856" s="2"/>
      <c r="I4856" s="2"/>
    </row>
    <row r="4857" spans="8:9">
      <c r="H4857" s="2"/>
      <c r="I4857" s="2"/>
    </row>
    <row r="4858" spans="8:9">
      <c r="H4858" s="2"/>
      <c r="I4858" s="2"/>
    </row>
    <row r="4859" spans="8:9">
      <c r="H4859" s="2"/>
      <c r="I4859" s="2"/>
    </row>
    <row r="4860" spans="8:9">
      <c r="H4860" s="2"/>
      <c r="I4860" s="2"/>
    </row>
    <row r="4861" spans="8:9">
      <c r="H4861" s="2"/>
      <c r="I4861" s="2"/>
    </row>
    <row r="4862" spans="8:9">
      <c r="H4862" s="2"/>
      <c r="I4862" s="2"/>
    </row>
    <row r="4863" spans="8:9">
      <c r="H4863" s="2"/>
      <c r="I4863" s="2"/>
    </row>
    <row r="4864" spans="8:9">
      <c r="H4864" s="2"/>
      <c r="I4864" s="2"/>
    </row>
    <row r="4865" spans="8:9">
      <c r="H4865" s="2"/>
      <c r="I4865" s="2"/>
    </row>
    <row r="4866" spans="8:9">
      <c r="H4866" s="2"/>
      <c r="I4866" s="2"/>
    </row>
    <row r="4867" spans="8:9">
      <c r="H4867" s="2"/>
      <c r="I4867" s="2"/>
    </row>
    <row r="4868" spans="8:9">
      <c r="H4868" s="2"/>
      <c r="I4868" s="2"/>
    </row>
    <row r="4869" spans="8:9">
      <c r="H4869" s="2"/>
      <c r="I4869" s="2"/>
    </row>
    <row r="4870" spans="8:9">
      <c r="H4870" s="2"/>
      <c r="I4870" s="2"/>
    </row>
    <row r="4871" spans="8:9">
      <c r="H4871" s="2"/>
      <c r="I4871" s="2"/>
    </row>
    <row r="4872" spans="8:9">
      <c r="H4872" s="2"/>
      <c r="I4872" s="2"/>
    </row>
    <row r="4873" spans="8:9">
      <c r="H4873" s="2"/>
      <c r="I4873" s="2"/>
    </row>
    <row r="4874" spans="8:9">
      <c r="H4874" s="2"/>
      <c r="I4874" s="2"/>
    </row>
    <row r="4875" spans="8:9">
      <c r="H4875" s="2"/>
      <c r="I4875" s="2"/>
    </row>
    <row r="4876" spans="8:9">
      <c r="H4876" s="2"/>
      <c r="I4876" s="2"/>
    </row>
    <row r="4877" spans="8:9">
      <c r="H4877" s="2"/>
      <c r="I4877" s="2"/>
    </row>
    <row r="4878" spans="8:9">
      <c r="H4878" s="2"/>
      <c r="I4878" s="2"/>
    </row>
    <row r="4879" spans="8:9">
      <c r="H4879" s="2"/>
      <c r="I4879" s="2"/>
    </row>
    <row r="4880" spans="8:9">
      <c r="H4880" s="2"/>
      <c r="I4880" s="2"/>
    </row>
    <row r="4881" spans="8:9">
      <c r="H4881" s="2"/>
      <c r="I4881" s="2"/>
    </row>
    <row r="4882" spans="8:9">
      <c r="H4882" s="2"/>
      <c r="I4882" s="2"/>
    </row>
    <row r="4883" spans="8:9">
      <c r="H4883" s="2"/>
      <c r="I4883" s="2"/>
    </row>
    <row r="4884" spans="8:9">
      <c r="H4884" s="2"/>
      <c r="I4884" s="2"/>
    </row>
    <row r="4885" spans="8:9">
      <c r="H4885" s="2"/>
      <c r="I4885" s="2"/>
    </row>
    <row r="4886" spans="8:9">
      <c r="H4886" s="2"/>
      <c r="I4886" s="2"/>
    </row>
    <row r="4887" spans="8:9">
      <c r="H4887" s="2"/>
      <c r="I4887" s="2"/>
    </row>
    <row r="4888" spans="8:9">
      <c r="H4888" s="2"/>
      <c r="I4888" s="2"/>
    </row>
    <row r="4889" spans="8:9">
      <c r="H4889" s="2"/>
      <c r="I4889" s="2"/>
    </row>
    <row r="4890" spans="8:9">
      <c r="H4890" s="2"/>
      <c r="I4890" s="2"/>
    </row>
    <row r="4891" spans="8:9">
      <c r="H4891" s="2"/>
      <c r="I4891" s="2"/>
    </row>
    <row r="4892" spans="8:9">
      <c r="H4892" s="2"/>
      <c r="I4892" s="2"/>
    </row>
    <row r="4893" spans="8:9">
      <c r="H4893" s="2"/>
      <c r="I4893" s="2"/>
    </row>
    <row r="4894" spans="8:9">
      <c r="H4894" s="2"/>
      <c r="I4894" s="2"/>
    </row>
    <row r="4895" spans="8:9">
      <c r="H4895" s="2"/>
      <c r="I4895" s="2"/>
    </row>
    <row r="4896" spans="8:9">
      <c r="H4896" s="2"/>
      <c r="I4896" s="2"/>
    </row>
    <row r="4897" spans="8:9">
      <c r="H4897" s="2"/>
      <c r="I4897" s="2"/>
    </row>
    <row r="4898" spans="8:9">
      <c r="H4898" s="2"/>
      <c r="I4898" s="2"/>
    </row>
    <row r="4899" spans="8:9">
      <c r="H4899" s="2"/>
      <c r="I4899" s="2"/>
    </row>
    <row r="4900" spans="8:9">
      <c r="H4900" s="2"/>
      <c r="I4900" s="2"/>
    </row>
    <row r="4901" spans="8:9">
      <c r="H4901" s="2"/>
      <c r="I4901" s="2"/>
    </row>
    <row r="4902" spans="8:9">
      <c r="H4902" s="2"/>
      <c r="I4902" s="2"/>
    </row>
    <row r="4903" spans="8:9">
      <c r="H4903" s="2"/>
      <c r="I4903" s="2"/>
    </row>
    <row r="4904" spans="8:9">
      <c r="H4904" s="2"/>
      <c r="I4904" s="2"/>
    </row>
    <row r="4905" spans="8:9">
      <c r="H4905" s="2"/>
      <c r="I4905" s="2"/>
    </row>
    <row r="4906" spans="8:9">
      <c r="H4906" s="2"/>
      <c r="I4906" s="2"/>
    </row>
    <row r="4907" spans="8:9">
      <c r="H4907" s="2"/>
      <c r="I4907" s="2"/>
    </row>
    <row r="4908" spans="8:9">
      <c r="H4908" s="2"/>
      <c r="I4908" s="2"/>
    </row>
    <row r="4909" spans="8:9">
      <c r="H4909" s="2"/>
      <c r="I4909" s="2"/>
    </row>
    <row r="4910" spans="8:9">
      <c r="H4910" s="2"/>
      <c r="I4910" s="2"/>
    </row>
    <row r="4911" spans="8:9">
      <c r="H4911" s="2"/>
      <c r="I4911" s="2"/>
    </row>
    <row r="4912" spans="8:9">
      <c r="H4912" s="2"/>
      <c r="I4912" s="2"/>
    </row>
    <row r="4913" spans="8:9">
      <c r="H4913" s="2"/>
      <c r="I4913" s="2"/>
    </row>
    <row r="4914" spans="8:9">
      <c r="H4914" s="2"/>
      <c r="I4914" s="2"/>
    </row>
    <row r="4915" spans="8:9">
      <c r="H4915" s="2"/>
      <c r="I4915" s="2"/>
    </row>
    <row r="4916" spans="8:9">
      <c r="H4916" s="2"/>
      <c r="I4916" s="2"/>
    </row>
    <row r="4917" spans="8:9">
      <c r="H4917" s="2"/>
      <c r="I4917" s="2"/>
    </row>
    <row r="4918" spans="8:9">
      <c r="H4918" s="2"/>
      <c r="I4918" s="2"/>
    </row>
    <row r="4919" spans="8:9">
      <c r="H4919" s="2"/>
      <c r="I4919" s="2"/>
    </row>
    <row r="4920" spans="8:9">
      <c r="H4920" s="2"/>
      <c r="I4920" s="2"/>
    </row>
    <row r="4921" spans="8:9">
      <c r="H4921" s="2"/>
      <c r="I4921" s="2"/>
    </row>
    <row r="4922" spans="8:9">
      <c r="H4922" s="2"/>
      <c r="I4922" s="2"/>
    </row>
    <row r="4923" spans="8:9">
      <c r="H4923" s="2"/>
      <c r="I4923" s="2"/>
    </row>
    <row r="4924" spans="8:9">
      <c r="H4924" s="2"/>
      <c r="I4924" s="2"/>
    </row>
    <row r="4925" spans="8:9">
      <c r="H4925" s="2"/>
      <c r="I4925" s="2"/>
    </row>
    <row r="4926" spans="8:9">
      <c r="H4926" s="2"/>
      <c r="I4926" s="2"/>
    </row>
    <row r="4927" spans="8:9">
      <c r="H4927" s="2"/>
      <c r="I4927" s="2"/>
    </row>
    <row r="4928" spans="8:9">
      <c r="H4928" s="2"/>
      <c r="I4928" s="2"/>
    </row>
    <row r="4929" spans="8:9">
      <c r="H4929" s="2"/>
      <c r="I4929" s="2"/>
    </row>
    <row r="4930" spans="8:9">
      <c r="H4930" s="2"/>
      <c r="I4930" s="2"/>
    </row>
    <row r="4931" spans="8:9">
      <c r="H4931" s="2"/>
      <c r="I4931" s="2"/>
    </row>
    <row r="4932" spans="8:9">
      <c r="H4932" s="2"/>
      <c r="I4932" s="2"/>
    </row>
    <row r="4933" spans="8:9">
      <c r="H4933" s="2"/>
      <c r="I4933" s="2"/>
    </row>
    <row r="4934" spans="8:9">
      <c r="H4934" s="2"/>
      <c r="I4934" s="2"/>
    </row>
    <row r="4935" spans="8:9">
      <c r="H4935" s="2"/>
      <c r="I4935" s="2"/>
    </row>
    <row r="4936" spans="8:9">
      <c r="H4936" s="2"/>
      <c r="I4936" s="2"/>
    </row>
    <row r="4937" spans="8:9">
      <c r="H4937" s="2"/>
      <c r="I4937" s="2"/>
    </row>
    <row r="4938" spans="8:9">
      <c r="H4938" s="2"/>
      <c r="I4938" s="2"/>
    </row>
    <row r="4939" spans="8:9">
      <c r="H4939" s="2"/>
      <c r="I4939" s="2"/>
    </row>
    <row r="4940" spans="8:9">
      <c r="H4940" s="2"/>
      <c r="I4940" s="2"/>
    </row>
    <row r="4941" spans="8:9">
      <c r="H4941" s="2"/>
      <c r="I4941" s="2"/>
    </row>
    <row r="4942" spans="8:9">
      <c r="H4942" s="2"/>
      <c r="I4942" s="2"/>
    </row>
    <row r="4943" spans="8:9">
      <c r="H4943" s="2"/>
      <c r="I4943" s="2"/>
    </row>
    <row r="4944" spans="8:9">
      <c r="H4944" s="2"/>
      <c r="I4944" s="2"/>
    </row>
    <row r="4945" spans="8:9">
      <c r="H4945" s="2"/>
      <c r="I4945" s="2"/>
    </row>
    <row r="4946" spans="8:9">
      <c r="H4946" s="2"/>
      <c r="I4946" s="2"/>
    </row>
    <row r="4947" spans="8:9">
      <c r="H4947" s="2"/>
      <c r="I4947" s="2"/>
    </row>
    <row r="4948" spans="8:9">
      <c r="H4948" s="2"/>
      <c r="I4948" s="2"/>
    </row>
    <row r="4949" spans="8:9">
      <c r="H4949" s="2"/>
      <c r="I4949" s="2"/>
    </row>
    <row r="4950" spans="8:9">
      <c r="H4950" s="2"/>
      <c r="I4950" s="2"/>
    </row>
    <row r="4951" spans="8:9">
      <c r="H4951" s="2"/>
      <c r="I4951" s="2"/>
    </row>
    <row r="4952" spans="8:9">
      <c r="H4952" s="2"/>
      <c r="I4952" s="2"/>
    </row>
    <row r="4953" spans="8:9">
      <c r="H4953" s="2"/>
      <c r="I4953" s="2"/>
    </row>
    <row r="4954" spans="8:9">
      <c r="H4954" s="2"/>
      <c r="I4954" s="2"/>
    </row>
    <row r="4955" spans="8:9">
      <c r="H4955" s="2"/>
      <c r="I4955" s="2"/>
    </row>
    <row r="4956" spans="8:9">
      <c r="H4956" s="2"/>
      <c r="I4956" s="2"/>
    </row>
    <row r="4957" spans="8:9">
      <c r="H4957" s="2"/>
      <c r="I4957" s="2"/>
    </row>
    <row r="4958" spans="8:9">
      <c r="H4958" s="2"/>
      <c r="I4958" s="2"/>
    </row>
    <row r="4959" spans="8:9">
      <c r="H4959" s="2"/>
      <c r="I4959" s="2"/>
    </row>
    <row r="4960" spans="8:9">
      <c r="H4960" s="2"/>
      <c r="I4960" s="2"/>
    </row>
    <row r="4961" spans="8:9">
      <c r="H4961" s="2"/>
      <c r="I4961" s="2"/>
    </row>
    <row r="4962" spans="8:9">
      <c r="H4962" s="2"/>
      <c r="I4962" s="2"/>
    </row>
    <row r="4963" spans="8:9">
      <c r="H4963" s="2"/>
      <c r="I4963" s="2"/>
    </row>
    <row r="4964" spans="8:9">
      <c r="H4964" s="2"/>
      <c r="I4964" s="2"/>
    </row>
    <row r="4965" spans="8:9">
      <c r="H4965" s="2"/>
      <c r="I4965" s="2"/>
    </row>
    <row r="4966" spans="8:9">
      <c r="H4966" s="2"/>
      <c r="I4966" s="2"/>
    </row>
    <row r="4967" spans="8:9">
      <c r="H4967" s="2"/>
      <c r="I4967" s="2"/>
    </row>
    <row r="4968" spans="8:9">
      <c r="H4968" s="2"/>
      <c r="I4968" s="2"/>
    </row>
    <row r="4969" spans="8:9">
      <c r="H4969" s="2"/>
      <c r="I4969" s="2"/>
    </row>
    <row r="4970" spans="8:9">
      <c r="H4970" s="2"/>
      <c r="I4970" s="2"/>
    </row>
    <row r="4971" spans="8:9">
      <c r="H4971" s="2"/>
      <c r="I4971" s="2"/>
    </row>
    <row r="4972" spans="8:9">
      <c r="H4972" s="2"/>
      <c r="I4972" s="2"/>
    </row>
    <row r="4973" spans="8:9">
      <c r="H4973" s="2"/>
      <c r="I4973" s="2"/>
    </row>
    <row r="4974" spans="8:9">
      <c r="H4974" s="2"/>
      <c r="I4974" s="2"/>
    </row>
    <row r="4975" spans="8:9">
      <c r="H4975" s="2"/>
      <c r="I4975" s="2"/>
    </row>
    <row r="4976" spans="8:9">
      <c r="H4976" s="2"/>
      <c r="I4976" s="2"/>
    </row>
    <row r="4977" spans="8:9">
      <c r="H4977" s="2"/>
      <c r="I4977" s="2"/>
    </row>
    <row r="4978" spans="8:9">
      <c r="H4978" s="2"/>
      <c r="I4978" s="2"/>
    </row>
    <row r="4979" spans="8:9">
      <c r="H4979" s="2"/>
      <c r="I4979" s="2"/>
    </row>
    <row r="4980" spans="8:9">
      <c r="H4980" s="2"/>
      <c r="I4980" s="2"/>
    </row>
    <row r="4981" spans="8:9">
      <c r="H4981" s="2"/>
      <c r="I4981" s="2"/>
    </row>
    <row r="4982" spans="8:9">
      <c r="H4982" s="2"/>
      <c r="I4982" s="2"/>
    </row>
    <row r="4983" spans="8:9">
      <c r="H4983" s="2"/>
      <c r="I4983" s="2"/>
    </row>
    <row r="4984" spans="8:9">
      <c r="H4984" s="2"/>
      <c r="I4984" s="2"/>
    </row>
    <row r="4985" spans="8:9">
      <c r="H4985" s="2"/>
      <c r="I4985" s="2"/>
    </row>
    <row r="4986" spans="8:9">
      <c r="H4986" s="2"/>
      <c r="I4986" s="2"/>
    </row>
    <row r="4987" spans="8:9">
      <c r="H4987" s="2"/>
      <c r="I4987" s="2"/>
    </row>
    <row r="4988" spans="8:9">
      <c r="H4988" s="2"/>
      <c r="I4988" s="2"/>
    </row>
    <row r="4989" spans="8:9">
      <c r="H4989" s="2"/>
      <c r="I4989" s="2"/>
    </row>
    <row r="4990" spans="8:9">
      <c r="H4990" s="2"/>
      <c r="I4990" s="2"/>
    </row>
    <row r="4991" spans="8:9">
      <c r="H4991" s="2"/>
      <c r="I4991" s="2"/>
    </row>
    <row r="4992" spans="8:9">
      <c r="H4992" s="2"/>
      <c r="I4992" s="2"/>
    </row>
    <row r="4993" spans="8:9">
      <c r="H4993" s="2"/>
      <c r="I4993" s="2"/>
    </row>
    <row r="4994" spans="8:9">
      <c r="H4994" s="2"/>
      <c r="I4994" s="2"/>
    </row>
    <row r="4995" spans="8:9">
      <c r="H4995" s="2"/>
      <c r="I4995" s="2"/>
    </row>
    <row r="4996" spans="8:9">
      <c r="H4996" s="2"/>
      <c r="I4996" s="2"/>
    </row>
    <row r="4997" spans="8:9">
      <c r="H4997" s="2"/>
      <c r="I4997" s="2"/>
    </row>
    <row r="4998" spans="8:9">
      <c r="H4998" s="2"/>
      <c r="I4998" s="2"/>
    </row>
    <row r="4999" spans="8:9">
      <c r="H4999" s="2"/>
      <c r="I4999" s="2"/>
    </row>
    <row r="5000" spans="8:9">
      <c r="H5000" s="2"/>
      <c r="I5000" s="2"/>
    </row>
    <row r="5001" spans="8:9">
      <c r="H5001" s="2"/>
      <c r="I5001" s="2"/>
    </row>
    <row r="5002" spans="8:9">
      <c r="H5002" s="2"/>
      <c r="I5002" s="2"/>
    </row>
    <row r="5003" spans="8:9">
      <c r="H5003" s="2"/>
      <c r="I5003" s="2"/>
    </row>
    <row r="5004" spans="8:9">
      <c r="H5004" s="2"/>
      <c r="I5004" s="2"/>
    </row>
    <row r="5005" spans="8:9">
      <c r="H5005" s="2"/>
      <c r="I5005" s="2"/>
    </row>
    <row r="5006" spans="8:9">
      <c r="H5006" s="2"/>
      <c r="I5006" s="2"/>
    </row>
    <row r="5007" spans="8:9">
      <c r="H5007" s="2"/>
      <c r="I5007" s="2"/>
    </row>
    <row r="5008" spans="8:9">
      <c r="H5008" s="2"/>
      <c r="I5008" s="2"/>
    </row>
    <row r="5009" spans="8:9">
      <c r="H5009" s="2"/>
      <c r="I5009" s="2"/>
    </row>
    <row r="5010" spans="8:9">
      <c r="H5010" s="2"/>
      <c r="I5010" s="2"/>
    </row>
    <row r="5011" spans="8:9">
      <c r="H5011" s="2"/>
      <c r="I5011" s="2"/>
    </row>
    <row r="5012" spans="8:9">
      <c r="H5012" s="2"/>
      <c r="I5012" s="2"/>
    </row>
    <row r="5013" spans="8:9">
      <c r="H5013" s="2"/>
      <c r="I5013" s="2"/>
    </row>
    <row r="5014" spans="8:9">
      <c r="H5014" s="2"/>
      <c r="I5014" s="2"/>
    </row>
    <row r="5015" spans="8:9">
      <c r="H5015" s="2"/>
      <c r="I5015" s="2"/>
    </row>
    <row r="5016" spans="8:9">
      <c r="H5016" s="2"/>
      <c r="I5016" s="2"/>
    </row>
    <row r="5017" spans="8:9">
      <c r="H5017" s="2"/>
      <c r="I5017" s="2"/>
    </row>
    <row r="5018" spans="8:9">
      <c r="H5018" s="2"/>
      <c r="I5018" s="2"/>
    </row>
    <row r="5019" spans="8:9">
      <c r="H5019" s="2"/>
      <c r="I5019" s="2"/>
    </row>
    <row r="5020" spans="8:9">
      <c r="H5020" s="2"/>
      <c r="I5020" s="2"/>
    </row>
    <row r="5021" spans="8:9">
      <c r="H5021" s="2"/>
      <c r="I5021" s="2"/>
    </row>
    <row r="5022" spans="8:9">
      <c r="H5022" s="2"/>
      <c r="I5022" s="2"/>
    </row>
    <row r="5023" spans="8:9">
      <c r="H5023" s="2"/>
      <c r="I5023" s="2"/>
    </row>
    <row r="5024" spans="8:9">
      <c r="H5024" s="2"/>
      <c r="I5024" s="2"/>
    </row>
    <row r="5025" spans="8:9">
      <c r="H5025" s="2"/>
      <c r="I5025" s="2"/>
    </row>
    <row r="5026" spans="8:9">
      <c r="H5026" s="2"/>
      <c r="I5026" s="2"/>
    </row>
    <row r="5027" spans="8:9">
      <c r="H5027" s="2"/>
      <c r="I5027" s="2"/>
    </row>
    <row r="5028" spans="8:9">
      <c r="H5028" s="2"/>
      <c r="I5028" s="2"/>
    </row>
    <row r="5029" spans="8:9">
      <c r="H5029" s="2"/>
      <c r="I5029" s="2"/>
    </row>
    <row r="5030" spans="8:9">
      <c r="H5030" s="2"/>
      <c r="I5030" s="2"/>
    </row>
    <row r="5031" spans="8:9">
      <c r="H5031" s="2"/>
      <c r="I5031" s="2"/>
    </row>
    <row r="5032" spans="8:9">
      <c r="H5032" s="2"/>
      <c r="I5032" s="2"/>
    </row>
    <row r="5033" spans="8:9">
      <c r="H5033" s="2"/>
      <c r="I5033" s="2"/>
    </row>
    <row r="5034" spans="8:9">
      <c r="H5034" s="2"/>
      <c r="I5034" s="2"/>
    </row>
    <row r="5035" spans="8:9">
      <c r="H5035" s="2"/>
      <c r="I5035" s="2"/>
    </row>
    <row r="5036" spans="8:9">
      <c r="H5036" s="2"/>
      <c r="I5036" s="2"/>
    </row>
    <row r="5037" spans="8:9">
      <c r="H5037" s="2"/>
      <c r="I5037" s="2"/>
    </row>
    <row r="5038" spans="8:9">
      <c r="H5038" s="2"/>
      <c r="I5038" s="2"/>
    </row>
    <row r="5039" spans="8:9">
      <c r="H5039" s="2"/>
      <c r="I5039" s="2"/>
    </row>
    <row r="5040" spans="8:9">
      <c r="H5040" s="2"/>
      <c r="I5040" s="2"/>
    </row>
    <row r="5041" spans="8:9">
      <c r="H5041" s="2"/>
      <c r="I5041" s="2"/>
    </row>
    <row r="5042" spans="8:9">
      <c r="H5042" s="2"/>
      <c r="I5042" s="2"/>
    </row>
    <row r="5043" spans="8:9">
      <c r="H5043" s="2"/>
      <c r="I5043" s="2"/>
    </row>
    <row r="5044" spans="8:9">
      <c r="H5044" s="2"/>
      <c r="I5044" s="2"/>
    </row>
    <row r="5045" spans="8:9">
      <c r="H5045" s="2"/>
      <c r="I5045" s="2"/>
    </row>
    <row r="5046" spans="8:9">
      <c r="H5046" s="2"/>
      <c r="I5046" s="2"/>
    </row>
    <row r="5047" spans="8:9">
      <c r="H5047" s="2"/>
      <c r="I5047" s="2"/>
    </row>
    <row r="5048" spans="8:9">
      <c r="H5048" s="2"/>
      <c r="I5048" s="2"/>
    </row>
    <row r="5049" spans="8:9">
      <c r="H5049" s="2"/>
      <c r="I5049" s="2"/>
    </row>
    <row r="5050" spans="8:9">
      <c r="H5050" s="2"/>
      <c r="I5050" s="2"/>
    </row>
    <row r="5051" spans="8:9">
      <c r="H5051" s="2"/>
      <c r="I5051" s="2"/>
    </row>
    <row r="5052" spans="8:9">
      <c r="H5052" s="2"/>
      <c r="I5052" s="2"/>
    </row>
    <row r="5053" spans="8:9">
      <c r="H5053" s="2"/>
      <c r="I5053" s="2"/>
    </row>
    <row r="5054" spans="8:9">
      <c r="H5054" s="2"/>
      <c r="I5054" s="2"/>
    </row>
    <row r="5055" spans="8:9">
      <c r="H5055" s="2"/>
      <c r="I5055" s="2"/>
    </row>
    <row r="5056" spans="8:9">
      <c r="H5056" s="2"/>
      <c r="I5056" s="2"/>
    </row>
    <row r="5057" spans="8:9">
      <c r="H5057" s="2"/>
      <c r="I5057" s="2"/>
    </row>
    <row r="5058" spans="8:9">
      <c r="H5058" s="2"/>
      <c r="I5058" s="2"/>
    </row>
    <row r="5059" spans="8:9">
      <c r="H5059" s="2"/>
      <c r="I5059" s="2"/>
    </row>
    <row r="5060" spans="8:9">
      <c r="H5060" s="2"/>
      <c r="I5060" s="2"/>
    </row>
    <row r="5061" spans="8:9">
      <c r="H5061" s="2"/>
      <c r="I5061" s="2"/>
    </row>
    <row r="5062" spans="8:9">
      <c r="H5062" s="2"/>
      <c r="I5062" s="2"/>
    </row>
    <row r="5063" spans="8:9">
      <c r="H5063" s="2"/>
      <c r="I5063" s="2"/>
    </row>
    <row r="5064" spans="8:9">
      <c r="H5064" s="2"/>
      <c r="I5064" s="2"/>
    </row>
    <row r="5065" spans="8:9">
      <c r="H5065" s="2"/>
      <c r="I5065" s="2"/>
    </row>
    <row r="5066" spans="8:9">
      <c r="H5066" s="2"/>
      <c r="I5066" s="2"/>
    </row>
    <row r="5067" spans="8:9">
      <c r="H5067" s="2"/>
      <c r="I5067" s="2"/>
    </row>
    <row r="5068" spans="8:9">
      <c r="H5068" s="2"/>
      <c r="I5068" s="2"/>
    </row>
    <row r="5069" spans="8:9">
      <c r="H5069" s="2"/>
      <c r="I5069" s="2"/>
    </row>
    <row r="5070" spans="8:9">
      <c r="H5070" s="2"/>
      <c r="I5070" s="2"/>
    </row>
    <row r="5071" spans="8:9">
      <c r="H5071" s="2"/>
      <c r="I5071" s="2"/>
    </row>
    <row r="5072" spans="8:9">
      <c r="H5072" s="2"/>
      <c r="I5072" s="2"/>
    </row>
    <row r="5073" spans="8:9">
      <c r="H5073" s="2"/>
      <c r="I5073" s="2"/>
    </row>
    <row r="5074" spans="8:9">
      <c r="H5074" s="2"/>
      <c r="I5074" s="2"/>
    </row>
    <row r="5075" spans="8:9">
      <c r="H5075" s="2"/>
      <c r="I5075" s="2"/>
    </row>
    <row r="5076" spans="8:9">
      <c r="H5076" s="2"/>
      <c r="I5076" s="2"/>
    </row>
    <row r="5077" spans="8:9">
      <c r="H5077" s="2"/>
      <c r="I5077" s="2"/>
    </row>
    <row r="5078" spans="8:9">
      <c r="H5078" s="2"/>
      <c r="I5078" s="2"/>
    </row>
    <row r="5079" spans="8:9">
      <c r="H5079" s="2"/>
      <c r="I5079" s="2"/>
    </row>
    <row r="5080" spans="8:9">
      <c r="H5080" s="2"/>
      <c r="I5080" s="2"/>
    </row>
    <row r="5081" spans="8:9">
      <c r="H5081" s="2"/>
      <c r="I5081" s="2"/>
    </row>
    <row r="5082" spans="8:9">
      <c r="H5082" s="2"/>
      <c r="I5082" s="2"/>
    </row>
    <row r="5083" spans="8:9">
      <c r="H5083" s="2"/>
      <c r="I5083" s="2"/>
    </row>
    <row r="5084" spans="8:9">
      <c r="H5084" s="2"/>
      <c r="I5084" s="2"/>
    </row>
    <row r="5085" spans="8:9">
      <c r="H5085" s="2"/>
      <c r="I5085" s="2"/>
    </row>
    <row r="5086" spans="8:9">
      <c r="H5086" s="2"/>
      <c r="I5086" s="2"/>
    </row>
    <row r="5087" spans="8:9">
      <c r="H5087" s="2"/>
      <c r="I5087" s="2"/>
    </row>
    <row r="5088" spans="8:9">
      <c r="H5088" s="2"/>
      <c r="I5088" s="2"/>
    </row>
    <row r="5089" spans="8:9">
      <c r="H5089" s="2"/>
      <c r="I5089" s="2"/>
    </row>
    <row r="5090" spans="8:9">
      <c r="H5090" s="2"/>
      <c r="I5090" s="2"/>
    </row>
    <row r="5091" spans="8:9">
      <c r="H5091" s="2"/>
      <c r="I5091" s="2"/>
    </row>
    <row r="5092" spans="8:9">
      <c r="H5092" s="2"/>
      <c r="I5092" s="2"/>
    </row>
    <row r="5093" spans="8:9">
      <c r="H5093" s="2"/>
      <c r="I5093" s="2"/>
    </row>
    <row r="5094" spans="8:9">
      <c r="H5094" s="2"/>
      <c r="I5094" s="2"/>
    </row>
    <row r="5095" spans="8:9">
      <c r="H5095" s="2"/>
      <c r="I5095" s="2"/>
    </row>
    <row r="5096" spans="8:9">
      <c r="H5096" s="2"/>
      <c r="I5096" s="2"/>
    </row>
    <row r="5097" spans="8:9">
      <c r="H5097" s="2"/>
      <c r="I5097" s="2"/>
    </row>
    <row r="5098" spans="8:9">
      <c r="H5098" s="2"/>
      <c r="I5098" s="2"/>
    </row>
    <row r="5099" spans="8:9">
      <c r="H5099" s="2"/>
      <c r="I5099" s="2"/>
    </row>
    <row r="5100" spans="8:9">
      <c r="H5100" s="2"/>
      <c r="I5100" s="2"/>
    </row>
    <row r="5101" spans="8:9">
      <c r="H5101" s="2"/>
      <c r="I5101" s="2"/>
    </row>
    <row r="5102" spans="8:9">
      <c r="H5102" s="2"/>
      <c r="I5102" s="2"/>
    </row>
    <row r="5103" spans="8:9">
      <c r="H5103" s="2"/>
      <c r="I5103" s="2"/>
    </row>
    <row r="5104" spans="8:9">
      <c r="H5104" s="2"/>
      <c r="I5104" s="2"/>
    </row>
    <row r="5105" spans="8:9">
      <c r="H5105" s="2"/>
      <c r="I5105" s="2"/>
    </row>
    <row r="5106" spans="8:9">
      <c r="H5106" s="2"/>
      <c r="I5106" s="2"/>
    </row>
    <row r="5107" spans="8:9">
      <c r="H5107" s="2"/>
      <c r="I5107" s="2"/>
    </row>
    <row r="5108" spans="8:9">
      <c r="H5108" s="2"/>
      <c r="I5108" s="2"/>
    </row>
    <row r="5109" spans="8:9">
      <c r="H5109" s="2"/>
      <c r="I5109" s="2"/>
    </row>
    <row r="5110" spans="8:9">
      <c r="H5110" s="2"/>
      <c r="I5110" s="2"/>
    </row>
    <row r="5111" spans="8:9">
      <c r="H5111" s="2"/>
      <c r="I5111" s="2"/>
    </row>
    <row r="5112" spans="8:9">
      <c r="H5112" s="2"/>
      <c r="I5112" s="2"/>
    </row>
    <row r="5113" spans="8:9">
      <c r="H5113" s="2"/>
      <c r="I5113" s="2"/>
    </row>
    <row r="5114" spans="8:9">
      <c r="H5114" s="2"/>
      <c r="I5114" s="2"/>
    </row>
    <row r="5115" spans="8:9">
      <c r="H5115" s="2"/>
      <c r="I5115" s="2"/>
    </row>
    <row r="5116" spans="8:9">
      <c r="H5116" s="2"/>
      <c r="I5116" s="2"/>
    </row>
    <row r="5117" spans="8:9">
      <c r="H5117" s="2"/>
      <c r="I5117" s="2"/>
    </row>
    <row r="5118" spans="8:9">
      <c r="H5118" s="2"/>
      <c r="I5118" s="2"/>
    </row>
    <row r="5119" spans="8:9">
      <c r="H5119" s="2"/>
      <c r="I5119" s="2"/>
    </row>
    <row r="5120" spans="8:9">
      <c r="H5120" s="2"/>
      <c r="I5120" s="2"/>
    </row>
    <row r="5121" spans="8:9">
      <c r="H5121" s="2"/>
      <c r="I5121" s="2"/>
    </row>
    <row r="5122" spans="8:9">
      <c r="H5122" s="2"/>
      <c r="I5122" s="2"/>
    </row>
    <row r="5123" spans="8:9">
      <c r="H5123" s="2"/>
      <c r="I5123" s="2"/>
    </row>
    <row r="5124" spans="8:9">
      <c r="H5124" s="2"/>
      <c r="I5124" s="2"/>
    </row>
    <row r="5125" spans="8:9">
      <c r="H5125" s="2"/>
      <c r="I5125" s="2"/>
    </row>
    <row r="5126" spans="8:9">
      <c r="H5126" s="2"/>
      <c r="I5126" s="2"/>
    </row>
    <row r="5127" spans="8:9">
      <c r="H5127" s="2"/>
      <c r="I5127" s="2"/>
    </row>
    <row r="5128" spans="8:9">
      <c r="H5128" s="2"/>
      <c r="I5128" s="2"/>
    </row>
    <row r="5129" spans="8:9">
      <c r="H5129" s="2"/>
      <c r="I5129" s="2"/>
    </row>
    <row r="5130" spans="8:9">
      <c r="H5130" s="2"/>
      <c r="I5130" s="2"/>
    </row>
    <row r="5131" spans="8:9">
      <c r="H5131" s="2"/>
      <c r="I5131" s="2"/>
    </row>
    <row r="5132" spans="8:9">
      <c r="H5132" s="2"/>
      <c r="I5132" s="2"/>
    </row>
    <row r="5133" spans="8:9">
      <c r="H5133" s="2"/>
      <c r="I5133" s="2"/>
    </row>
    <row r="5134" spans="8:9">
      <c r="H5134" s="2"/>
      <c r="I5134" s="2"/>
    </row>
    <row r="5135" spans="8:9">
      <c r="H5135" s="2"/>
      <c r="I5135" s="2"/>
    </row>
    <row r="5136" spans="8:9">
      <c r="H5136" s="2"/>
      <c r="I5136" s="2"/>
    </row>
    <row r="5137" spans="8:9">
      <c r="H5137" s="2"/>
      <c r="I5137" s="2"/>
    </row>
    <row r="5138" spans="8:9">
      <c r="H5138" s="2"/>
      <c r="I5138" s="2"/>
    </row>
    <row r="5139" spans="8:9">
      <c r="H5139" s="2"/>
      <c r="I5139" s="2"/>
    </row>
    <row r="5140" spans="8:9">
      <c r="H5140" s="2"/>
      <c r="I5140" s="2"/>
    </row>
    <row r="5141" spans="8:9">
      <c r="H5141" s="2"/>
      <c r="I5141" s="2"/>
    </row>
    <row r="5142" spans="8:9">
      <c r="H5142" s="2"/>
      <c r="I5142" s="2"/>
    </row>
    <row r="5143" spans="8:9">
      <c r="H5143" s="2"/>
      <c r="I5143" s="2"/>
    </row>
    <row r="5144" spans="8:9">
      <c r="H5144" s="2"/>
      <c r="I5144" s="2"/>
    </row>
    <row r="5145" spans="8:9">
      <c r="H5145" s="2"/>
      <c r="I5145" s="2"/>
    </row>
    <row r="5146" spans="8:9">
      <c r="H5146" s="2"/>
      <c r="I5146" s="2"/>
    </row>
    <row r="5147" spans="8:9">
      <c r="H5147" s="2"/>
      <c r="I5147" s="2"/>
    </row>
    <row r="5148" spans="8:9">
      <c r="H5148" s="2"/>
      <c r="I5148" s="2"/>
    </row>
    <row r="5149" spans="8:9">
      <c r="H5149" s="2"/>
      <c r="I5149" s="2"/>
    </row>
    <row r="5150" spans="8:9">
      <c r="H5150" s="2"/>
      <c r="I5150" s="2"/>
    </row>
    <row r="5151" spans="8:9">
      <c r="H5151" s="2"/>
      <c r="I5151" s="2"/>
    </row>
    <row r="5152" spans="8:9">
      <c r="H5152" s="2"/>
      <c r="I5152" s="2"/>
    </row>
    <row r="5153" spans="8:9">
      <c r="H5153" s="2"/>
      <c r="I5153" s="2"/>
    </row>
    <row r="5154" spans="8:9">
      <c r="H5154" s="2"/>
      <c r="I5154" s="2"/>
    </row>
    <row r="5155" spans="8:9">
      <c r="H5155" s="2"/>
      <c r="I5155" s="2"/>
    </row>
    <row r="5156" spans="8:9">
      <c r="H5156" s="2"/>
      <c r="I5156" s="2"/>
    </row>
    <row r="5157" spans="8:9">
      <c r="H5157" s="2"/>
      <c r="I5157" s="2"/>
    </row>
    <row r="5158" spans="8:9">
      <c r="H5158" s="2"/>
      <c r="I5158" s="2"/>
    </row>
    <row r="5159" spans="8:9">
      <c r="H5159" s="2"/>
      <c r="I5159" s="2"/>
    </row>
    <row r="5160" spans="8:9">
      <c r="H5160" s="2"/>
      <c r="I5160" s="2"/>
    </row>
    <row r="5161" spans="8:9">
      <c r="H5161" s="2"/>
      <c r="I5161" s="2"/>
    </row>
    <row r="5162" spans="8:9">
      <c r="H5162" s="2"/>
      <c r="I5162" s="2"/>
    </row>
    <row r="5163" spans="8:9">
      <c r="H5163" s="2"/>
      <c r="I5163" s="2"/>
    </row>
    <row r="5164" spans="8:9">
      <c r="H5164" s="2"/>
      <c r="I5164" s="2"/>
    </row>
    <row r="5165" spans="8:9">
      <c r="H5165" s="2"/>
      <c r="I5165" s="2"/>
    </row>
    <row r="5166" spans="8:9">
      <c r="H5166" s="2"/>
      <c r="I5166" s="2"/>
    </row>
    <row r="5167" spans="8:9">
      <c r="H5167" s="2"/>
      <c r="I5167" s="2"/>
    </row>
    <row r="5168" spans="8:9">
      <c r="H5168" s="2"/>
      <c r="I5168" s="2"/>
    </row>
    <row r="5169" spans="8:9">
      <c r="H5169" s="2"/>
      <c r="I5169" s="2"/>
    </row>
    <row r="5170" spans="8:9">
      <c r="H5170" s="2"/>
      <c r="I5170" s="2"/>
    </row>
    <row r="5171" spans="8:9">
      <c r="H5171" s="2"/>
      <c r="I5171" s="2"/>
    </row>
    <row r="5172" spans="8:9">
      <c r="H5172" s="2"/>
      <c r="I5172" s="2"/>
    </row>
    <row r="5173" spans="8:9">
      <c r="H5173" s="2"/>
      <c r="I5173" s="2"/>
    </row>
    <row r="5174" spans="8:9">
      <c r="H5174" s="2"/>
      <c r="I5174" s="2"/>
    </row>
    <row r="5175" spans="8:9">
      <c r="H5175" s="2"/>
      <c r="I5175" s="2"/>
    </row>
    <row r="5176" spans="8:9">
      <c r="H5176" s="2"/>
      <c r="I5176" s="2"/>
    </row>
    <row r="5177" spans="8:9">
      <c r="H5177" s="2"/>
      <c r="I5177" s="2"/>
    </row>
    <row r="5178" spans="8:9">
      <c r="H5178" s="2"/>
      <c r="I5178" s="2"/>
    </row>
    <row r="5179" spans="8:9">
      <c r="H5179" s="2"/>
      <c r="I5179" s="2"/>
    </row>
    <row r="5180" spans="8:9">
      <c r="H5180" s="2"/>
      <c r="I5180" s="2"/>
    </row>
    <row r="5181" spans="8:9">
      <c r="H5181" s="2"/>
      <c r="I5181" s="2"/>
    </row>
    <row r="5182" spans="8:9">
      <c r="H5182" s="2"/>
      <c r="I5182" s="2"/>
    </row>
    <row r="5183" spans="8:9">
      <c r="H5183" s="2"/>
      <c r="I5183" s="2"/>
    </row>
    <row r="5184" spans="8:9">
      <c r="H5184" s="2"/>
      <c r="I5184" s="2"/>
    </row>
    <row r="5185" spans="8:9">
      <c r="H5185" s="2"/>
      <c r="I5185" s="2"/>
    </row>
    <row r="5186" spans="8:9">
      <c r="H5186" s="2"/>
      <c r="I5186" s="2"/>
    </row>
    <row r="5187" spans="8:9">
      <c r="H5187" s="2"/>
      <c r="I5187" s="2"/>
    </row>
    <row r="5188" spans="8:9">
      <c r="H5188" s="2"/>
      <c r="I5188" s="2"/>
    </row>
    <row r="5189" spans="8:9">
      <c r="H5189" s="2"/>
      <c r="I5189" s="2"/>
    </row>
    <row r="5190" spans="8:9">
      <c r="H5190" s="2"/>
      <c r="I5190" s="2"/>
    </row>
    <row r="5191" spans="8:9">
      <c r="H5191" s="2"/>
      <c r="I5191" s="2"/>
    </row>
    <row r="5192" spans="8:9">
      <c r="H5192" s="2"/>
      <c r="I5192" s="2"/>
    </row>
    <row r="5193" spans="8:9">
      <c r="H5193" s="2"/>
      <c r="I5193" s="2"/>
    </row>
    <row r="5194" spans="8:9">
      <c r="H5194" s="2"/>
      <c r="I5194" s="2"/>
    </row>
    <row r="5195" spans="8:9">
      <c r="H5195" s="2"/>
      <c r="I5195" s="2"/>
    </row>
    <row r="5196" spans="8:9">
      <c r="H5196" s="2"/>
      <c r="I5196" s="2"/>
    </row>
    <row r="5197" spans="8:9">
      <c r="H5197" s="2"/>
      <c r="I5197" s="2"/>
    </row>
    <row r="5198" spans="8:9">
      <c r="H5198" s="2"/>
      <c r="I5198" s="2"/>
    </row>
    <row r="5199" spans="8:9">
      <c r="H5199" s="2"/>
      <c r="I5199" s="2"/>
    </row>
    <row r="5200" spans="8:9">
      <c r="H5200" s="2"/>
      <c r="I5200" s="2"/>
    </row>
    <row r="5201" spans="8:9">
      <c r="H5201" s="2"/>
      <c r="I5201" s="2"/>
    </row>
    <row r="5202" spans="8:9">
      <c r="H5202" s="2"/>
      <c r="I5202" s="2"/>
    </row>
    <row r="5203" spans="8:9">
      <c r="H5203" s="2"/>
      <c r="I5203" s="2"/>
    </row>
    <row r="5204" spans="8:9">
      <c r="H5204" s="2"/>
      <c r="I5204" s="2"/>
    </row>
    <row r="5205" spans="8:9">
      <c r="H5205" s="2"/>
      <c r="I5205" s="2"/>
    </row>
    <row r="5206" spans="8:9">
      <c r="H5206" s="2"/>
      <c r="I5206" s="2"/>
    </row>
    <row r="5207" spans="8:9">
      <c r="H5207" s="2"/>
      <c r="I5207" s="2"/>
    </row>
    <row r="5208" spans="8:9">
      <c r="H5208" s="2"/>
      <c r="I5208" s="2"/>
    </row>
    <row r="5209" spans="8:9">
      <c r="H5209" s="2"/>
      <c r="I5209" s="2"/>
    </row>
    <row r="5210" spans="8:9">
      <c r="H5210" s="2"/>
      <c r="I5210" s="2"/>
    </row>
    <row r="5211" spans="8:9">
      <c r="H5211" s="2"/>
      <c r="I5211" s="2"/>
    </row>
    <row r="5212" spans="8:9">
      <c r="H5212" s="2"/>
      <c r="I5212" s="2"/>
    </row>
    <row r="5213" spans="8:9">
      <c r="H5213" s="2"/>
      <c r="I5213" s="2"/>
    </row>
    <row r="5214" spans="8:9">
      <c r="H5214" s="2"/>
      <c r="I5214" s="2"/>
    </row>
    <row r="5215" spans="8:9">
      <c r="H5215" s="2"/>
      <c r="I5215" s="2"/>
    </row>
    <row r="5216" spans="8:9">
      <c r="H5216" s="2"/>
      <c r="I5216" s="2"/>
    </row>
    <row r="5217" spans="8:9">
      <c r="H5217" s="2"/>
      <c r="I5217" s="2"/>
    </row>
    <row r="5218" spans="8:9">
      <c r="H5218" s="2"/>
      <c r="I5218" s="2"/>
    </row>
    <row r="5219" spans="8:9">
      <c r="H5219" s="2"/>
      <c r="I5219" s="2"/>
    </row>
    <row r="5220" spans="8:9">
      <c r="H5220" s="2"/>
      <c r="I5220" s="2"/>
    </row>
    <row r="5221" spans="8:9">
      <c r="H5221" s="2"/>
      <c r="I5221" s="2"/>
    </row>
    <row r="5222" spans="8:9">
      <c r="H5222" s="2"/>
      <c r="I5222" s="2"/>
    </row>
    <row r="5223" spans="8:9">
      <c r="H5223" s="2"/>
      <c r="I5223" s="2"/>
    </row>
    <row r="5224" spans="8:9">
      <c r="H5224" s="2"/>
      <c r="I5224" s="2"/>
    </row>
    <row r="5225" spans="8:9">
      <c r="H5225" s="2"/>
      <c r="I5225" s="2"/>
    </row>
    <row r="5226" spans="8:9">
      <c r="H5226" s="2"/>
      <c r="I5226" s="2"/>
    </row>
    <row r="5227" spans="8:9">
      <c r="H5227" s="2"/>
      <c r="I5227" s="2"/>
    </row>
    <row r="5228" spans="8:9">
      <c r="H5228" s="2"/>
      <c r="I5228" s="2"/>
    </row>
    <row r="5229" spans="8:9">
      <c r="H5229" s="2"/>
      <c r="I5229" s="2"/>
    </row>
    <row r="5230" spans="8:9">
      <c r="H5230" s="2"/>
      <c r="I5230" s="2"/>
    </row>
    <row r="5231" spans="8:9">
      <c r="H5231" s="2"/>
      <c r="I5231" s="2"/>
    </row>
    <row r="5232" spans="8:9">
      <c r="H5232" s="2"/>
      <c r="I5232" s="2"/>
    </row>
    <row r="5233" spans="8:9">
      <c r="H5233" s="2"/>
      <c r="I5233" s="2"/>
    </row>
    <row r="5234" spans="8:9">
      <c r="H5234" s="2"/>
      <c r="I5234" s="2"/>
    </row>
    <row r="5235" spans="8:9">
      <c r="H5235" s="2"/>
      <c r="I5235" s="2"/>
    </row>
    <row r="5236" spans="8:9">
      <c r="H5236" s="2"/>
      <c r="I5236" s="2"/>
    </row>
    <row r="5237" spans="8:9">
      <c r="H5237" s="2"/>
      <c r="I5237" s="2"/>
    </row>
    <row r="5238" spans="8:9">
      <c r="H5238" s="2"/>
      <c r="I5238" s="2"/>
    </row>
    <row r="5239" spans="8:9">
      <c r="H5239" s="2"/>
      <c r="I5239" s="2"/>
    </row>
    <row r="5240" spans="8:9">
      <c r="H5240" s="2"/>
      <c r="I5240" s="2"/>
    </row>
    <row r="5241" spans="8:9">
      <c r="H5241" s="2"/>
      <c r="I5241" s="2"/>
    </row>
    <row r="5242" spans="8:9">
      <c r="H5242" s="2"/>
      <c r="I5242" s="2"/>
    </row>
    <row r="5243" spans="8:9">
      <c r="H5243" s="2"/>
      <c r="I5243" s="2"/>
    </row>
    <row r="5244" spans="8:9">
      <c r="H5244" s="2"/>
      <c r="I5244" s="2"/>
    </row>
    <row r="5245" spans="8:9">
      <c r="H5245" s="2"/>
      <c r="I5245" s="2"/>
    </row>
    <row r="5246" spans="8:9">
      <c r="H5246" s="2"/>
      <c r="I5246" s="2"/>
    </row>
    <row r="5247" spans="8:9">
      <c r="H5247" s="2"/>
      <c r="I5247" s="2"/>
    </row>
    <row r="5248" spans="8:9">
      <c r="H5248" s="2"/>
      <c r="I5248" s="2"/>
    </row>
    <row r="5249" spans="8:9">
      <c r="H5249" s="2"/>
      <c r="I5249" s="2"/>
    </row>
    <row r="5250" spans="8:9">
      <c r="H5250" s="2"/>
      <c r="I5250" s="2"/>
    </row>
    <row r="5251" spans="8:9">
      <c r="H5251" s="2"/>
      <c r="I5251" s="2"/>
    </row>
    <row r="5252" spans="8:9">
      <c r="H5252" s="2"/>
      <c r="I5252" s="2"/>
    </row>
    <row r="5253" spans="8:9">
      <c r="H5253" s="2"/>
      <c r="I5253" s="2"/>
    </row>
    <row r="5254" spans="8:9">
      <c r="H5254" s="2"/>
      <c r="I5254" s="2"/>
    </row>
    <row r="5255" spans="8:9">
      <c r="H5255" s="2"/>
      <c r="I5255" s="2"/>
    </row>
    <row r="5256" spans="8:9">
      <c r="H5256" s="2"/>
      <c r="I5256" s="2"/>
    </row>
    <row r="5257" spans="8:9">
      <c r="H5257" s="2"/>
      <c r="I5257" s="2"/>
    </row>
    <row r="5258" spans="8:9">
      <c r="H5258" s="2"/>
      <c r="I5258" s="2"/>
    </row>
    <row r="5259" spans="8:9">
      <c r="H5259" s="2"/>
      <c r="I5259" s="2"/>
    </row>
    <row r="5260" spans="8:9">
      <c r="H5260" s="2"/>
      <c r="I5260" s="2"/>
    </row>
    <row r="5261" spans="8:9">
      <c r="H5261" s="2"/>
      <c r="I5261" s="2"/>
    </row>
    <row r="5262" spans="8:9">
      <c r="H5262" s="2"/>
      <c r="I5262" s="2"/>
    </row>
    <row r="5263" spans="8:9">
      <c r="H5263" s="2"/>
      <c r="I5263" s="2"/>
    </row>
    <row r="5264" spans="8:9">
      <c r="H5264" s="2"/>
      <c r="I5264" s="2"/>
    </row>
    <row r="5265" spans="8:9">
      <c r="H5265" s="2"/>
      <c r="I5265" s="2"/>
    </row>
    <row r="5266" spans="8:9">
      <c r="H5266" s="2"/>
      <c r="I5266" s="2"/>
    </row>
    <row r="5267" spans="8:9">
      <c r="H5267" s="2"/>
      <c r="I5267" s="2"/>
    </row>
    <row r="5268" spans="8:9">
      <c r="H5268" s="2"/>
      <c r="I5268" s="2"/>
    </row>
    <row r="5269" spans="8:9">
      <c r="H5269" s="2"/>
      <c r="I5269" s="2"/>
    </row>
    <row r="5270" spans="8:9">
      <c r="H5270" s="2"/>
      <c r="I5270" s="2"/>
    </row>
    <row r="5271" spans="8:9">
      <c r="H5271" s="2"/>
      <c r="I5271" s="2"/>
    </row>
    <row r="5272" spans="8:9">
      <c r="H5272" s="2"/>
      <c r="I5272" s="2"/>
    </row>
    <row r="5273" spans="8:9">
      <c r="H5273" s="2"/>
      <c r="I5273" s="2"/>
    </row>
    <row r="5274" spans="8:9">
      <c r="H5274" s="2"/>
      <c r="I5274" s="2"/>
    </row>
    <row r="5275" spans="8:9">
      <c r="H5275" s="2"/>
      <c r="I5275" s="2"/>
    </row>
    <row r="5276" spans="8:9">
      <c r="H5276" s="2"/>
      <c r="I5276" s="2"/>
    </row>
    <row r="5277" spans="8:9">
      <c r="H5277" s="2"/>
      <c r="I5277" s="2"/>
    </row>
    <row r="5278" spans="8:9">
      <c r="H5278" s="2"/>
      <c r="I5278" s="2"/>
    </row>
    <row r="5279" spans="8:9">
      <c r="H5279" s="2"/>
      <c r="I5279" s="2"/>
    </row>
    <row r="5280" spans="8:9">
      <c r="H5280" s="2"/>
      <c r="I5280" s="2"/>
    </row>
    <row r="5281" spans="8:9">
      <c r="H5281" s="2"/>
      <c r="I5281" s="2"/>
    </row>
    <row r="5282" spans="8:9">
      <c r="H5282" s="2"/>
      <c r="I5282" s="2"/>
    </row>
    <row r="5283" spans="8:9">
      <c r="H5283" s="2"/>
      <c r="I5283" s="2"/>
    </row>
    <row r="5284" spans="8:9">
      <c r="H5284" s="2"/>
      <c r="I5284" s="2"/>
    </row>
    <row r="5285" spans="8:9">
      <c r="H5285" s="2"/>
      <c r="I5285" s="2"/>
    </row>
    <row r="5286" spans="8:9">
      <c r="H5286" s="2"/>
      <c r="I5286" s="2"/>
    </row>
    <row r="5287" spans="8:9">
      <c r="H5287" s="2"/>
      <c r="I5287" s="2"/>
    </row>
    <row r="5288" spans="8:9">
      <c r="H5288" s="2"/>
      <c r="I5288" s="2"/>
    </row>
    <row r="5289" spans="8:9">
      <c r="H5289" s="2"/>
      <c r="I5289" s="2"/>
    </row>
    <row r="5290" spans="8:9">
      <c r="H5290" s="2"/>
      <c r="I5290" s="2"/>
    </row>
    <row r="5291" spans="8:9">
      <c r="H5291" s="2"/>
      <c r="I5291" s="2"/>
    </row>
    <row r="5292" spans="8:9">
      <c r="H5292" s="2"/>
      <c r="I5292" s="2"/>
    </row>
    <row r="5293" spans="8:9">
      <c r="H5293" s="2"/>
      <c r="I5293" s="2"/>
    </row>
    <row r="5294" spans="8:9">
      <c r="H5294" s="2"/>
      <c r="I5294" s="2"/>
    </row>
    <row r="5295" spans="8:9">
      <c r="H5295" s="2"/>
      <c r="I5295" s="2"/>
    </row>
    <row r="5296" spans="8:9">
      <c r="H5296" s="2"/>
      <c r="I5296" s="2"/>
    </row>
    <row r="5297" spans="8:9">
      <c r="H5297" s="2"/>
      <c r="I5297" s="2"/>
    </row>
    <row r="5298" spans="8:9">
      <c r="H5298" s="2"/>
      <c r="I5298" s="2"/>
    </row>
    <row r="5299" spans="8:9">
      <c r="H5299" s="2"/>
      <c r="I5299" s="2"/>
    </row>
    <row r="5300" spans="8:9">
      <c r="H5300" s="2"/>
      <c r="I5300" s="2"/>
    </row>
    <row r="5301" spans="8:9">
      <c r="H5301" s="2"/>
      <c r="I5301" s="2"/>
    </row>
    <row r="5302" spans="8:9">
      <c r="H5302" s="2"/>
      <c r="I5302" s="2"/>
    </row>
    <row r="5303" spans="8:9">
      <c r="H5303" s="2"/>
      <c r="I5303" s="2"/>
    </row>
    <row r="5304" spans="8:9">
      <c r="H5304" s="2"/>
      <c r="I5304" s="2"/>
    </row>
    <row r="5305" spans="8:9">
      <c r="H5305" s="2"/>
      <c r="I5305" s="2"/>
    </row>
    <row r="5306" spans="8:9">
      <c r="H5306" s="2"/>
      <c r="I5306" s="2"/>
    </row>
    <row r="5307" spans="8:9">
      <c r="H5307" s="2"/>
      <c r="I5307" s="2"/>
    </row>
    <row r="5308" spans="8:9">
      <c r="H5308" s="2"/>
      <c r="I5308" s="2"/>
    </row>
    <row r="5309" spans="8:9">
      <c r="H5309" s="2"/>
      <c r="I5309" s="2"/>
    </row>
    <row r="5310" spans="8:9">
      <c r="H5310" s="2"/>
      <c r="I5310" s="2"/>
    </row>
    <row r="5311" spans="8:9">
      <c r="H5311" s="2"/>
      <c r="I5311" s="2"/>
    </row>
    <row r="5312" spans="8:9">
      <c r="H5312" s="2"/>
      <c r="I5312" s="2"/>
    </row>
    <row r="5313" spans="8:9">
      <c r="H5313" s="2"/>
      <c r="I5313" s="2"/>
    </row>
    <row r="5314" spans="8:9">
      <c r="H5314" s="2"/>
      <c r="I5314" s="2"/>
    </row>
    <row r="5315" spans="8:9">
      <c r="H5315" s="2"/>
      <c r="I5315" s="2"/>
    </row>
    <row r="5316" spans="8:9">
      <c r="H5316" s="2"/>
      <c r="I5316" s="2"/>
    </row>
    <row r="5317" spans="8:9">
      <c r="H5317" s="2"/>
      <c r="I5317" s="2"/>
    </row>
    <row r="5318" spans="8:9">
      <c r="H5318" s="2"/>
      <c r="I5318" s="2"/>
    </row>
    <row r="5319" spans="8:9">
      <c r="H5319" s="2"/>
      <c r="I5319" s="2"/>
    </row>
    <row r="5320" spans="8:9">
      <c r="H5320" s="2"/>
      <c r="I5320" s="2"/>
    </row>
    <row r="5321" spans="8:9">
      <c r="H5321" s="2"/>
      <c r="I5321" s="2"/>
    </row>
    <row r="5322" spans="8:9">
      <c r="H5322" s="2"/>
      <c r="I5322" s="2"/>
    </row>
    <row r="5323" spans="8:9">
      <c r="H5323" s="2"/>
      <c r="I5323" s="2"/>
    </row>
    <row r="5324" spans="8:9">
      <c r="H5324" s="2"/>
      <c r="I5324" s="2"/>
    </row>
    <row r="5325" spans="8:9">
      <c r="H5325" s="2"/>
      <c r="I5325" s="2"/>
    </row>
    <row r="5326" spans="8:9">
      <c r="H5326" s="2"/>
      <c r="I5326" s="2"/>
    </row>
    <row r="5327" spans="8:9">
      <c r="H5327" s="2"/>
      <c r="I5327" s="2"/>
    </row>
    <row r="5328" spans="8:9">
      <c r="H5328" s="2"/>
      <c r="I5328" s="2"/>
    </row>
    <row r="5329" spans="8:9">
      <c r="H5329" s="2"/>
      <c r="I5329" s="2"/>
    </row>
    <row r="5330" spans="8:9">
      <c r="H5330" s="2"/>
      <c r="I5330" s="2"/>
    </row>
    <row r="5331" spans="8:9">
      <c r="H5331" s="2"/>
      <c r="I5331" s="2"/>
    </row>
    <row r="5332" spans="8:9">
      <c r="H5332" s="2"/>
      <c r="I5332" s="2"/>
    </row>
    <row r="5333" spans="8:9">
      <c r="H5333" s="2"/>
      <c r="I5333" s="2"/>
    </row>
    <row r="5334" spans="8:9">
      <c r="H5334" s="2"/>
      <c r="I5334" s="2"/>
    </row>
    <row r="5335" spans="8:9">
      <c r="H5335" s="2"/>
      <c r="I5335" s="2"/>
    </row>
    <row r="5336" spans="8:9">
      <c r="H5336" s="2"/>
      <c r="I5336" s="2"/>
    </row>
    <row r="5337" spans="8:9">
      <c r="H5337" s="2"/>
      <c r="I5337" s="2"/>
    </row>
    <row r="5338" spans="8:9">
      <c r="H5338" s="2"/>
      <c r="I5338" s="2"/>
    </row>
    <row r="5339" spans="8:9">
      <c r="H5339" s="2"/>
      <c r="I5339" s="2"/>
    </row>
    <row r="5340" spans="8:9">
      <c r="H5340" s="2"/>
      <c r="I5340" s="2"/>
    </row>
    <row r="5341" spans="8:9">
      <c r="H5341" s="2"/>
      <c r="I5341" s="2"/>
    </row>
    <row r="5342" spans="8:9">
      <c r="H5342" s="2"/>
      <c r="I5342" s="2"/>
    </row>
    <row r="5343" spans="8:9">
      <c r="H5343" s="2"/>
      <c r="I5343" s="2"/>
    </row>
    <row r="5344" spans="8:9">
      <c r="H5344" s="2"/>
      <c r="I5344" s="2"/>
    </row>
    <row r="5345" spans="8:9">
      <c r="H5345" s="2"/>
      <c r="I5345" s="2"/>
    </row>
    <row r="5346" spans="8:9">
      <c r="H5346" s="2"/>
      <c r="I5346" s="2"/>
    </row>
    <row r="5347" spans="8:9">
      <c r="H5347" s="2"/>
      <c r="I5347" s="2"/>
    </row>
    <row r="5348" spans="8:9">
      <c r="H5348" s="2"/>
      <c r="I5348" s="2"/>
    </row>
    <row r="5349" spans="8:9">
      <c r="H5349" s="2"/>
      <c r="I5349" s="2"/>
    </row>
    <row r="5350" spans="8:9">
      <c r="H5350" s="2"/>
      <c r="I5350" s="2"/>
    </row>
    <row r="5351" spans="8:9">
      <c r="H5351" s="2"/>
      <c r="I5351" s="2"/>
    </row>
    <row r="5352" spans="8:9">
      <c r="H5352" s="2"/>
      <c r="I5352" s="2"/>
    </row>
    <row r="5353" spans="8:9">
      <c r="H5353" s="2"/>
      <c r="I5353" s="2"/>
    </row>
    <row r="5354" spans="8:9">
      <c r="H5354" s="2"/>
      <c r="I5354" s="2"/>
    </row>
    <row r="5355" spans="8:9">
      <c r="H5355" s="2"/>
      <c r="I5355" s="2"/>
    </row>
    <row r="5356" spans="8:9">
      <c r="H5356" s="2"/>
      <c r="I5356" s="2"/>
    </row>
    <row r="5357" spans="8:9">
      <c r="H5357" s="2"/>
      <c r="I5357" s="2"/>
    </row>
    <row r="5358" spans="8:9">
      <c r="H5358" s="2"/>
      <c r="I5358" s="2"/>
    </row>
    <row r="5359" spans="8:9">
      <c r="H5359" s="2"/>
      <c r="I5359" s="2"/>
    </row>
    <row r="5360" spans="8:9">
      <c r="H5360" s="2"/>
      <c r="I5360" s="2"/>
    </row>
    <row r="5361" spans="8:9">
      <c r="H5361" s="2"/>
      <c r="I5361" s="2"/>
    </row>
    <row r="5362" spans="8:9">
      <c r="H5362" s="2"/>
      <c r="I5362" s="2"/>
    </row>
    <row r="5363" spans="8:9">
      <c r="H5363" s="2"/>
      <c r="I5363" s="2"/>
    </row>
    <row r="5364" spans="8:9">
      <c r="H5364" s="2"/>
      <c r="I5364" s="2"/>
    </row>
    <row r="5365" spans="8:9">
      <c r="H5365" s="2"/>
      <c r="I5365" s="2"/>
    </row>
    <row r="5366" spans="8:9">
      <c r="H5366" s="2"/>
      <c r="I5366" s="2"/>
    </row>
    <row r="5367" spans="8:9">
      <c r="H5367" s="2"/>
      <c r="I5367" s="2"/>
    </row>
    <row r="5368" spans="8:9">
      <c r="H5368" s="2"/>
      <c r="I5368" s="2"/>
    </row>
    <row r="5369" spans="8:9">
      <c r="H5369" s="2"/>
      <c r="I5369" s="2"/>
    </row>
    <row r="5370" spans="8:9">
      <c r="H5370" s="2"/>
      <c r="I5370" s="2"/>
    </row>
    <row r="5371" spans="8:9">
      <c r="H5371" s="2"/>
      <c r="I5371" s="2"/>
    </row>
    <row r="5372" spans="8:9">
      <c r="H5372" s="2"/>
      <c r="I5372" s="2"/>
    </row>
    <row r="5373" spans="8:9">
      <c r="H5373" s="2"/>
      <c r="I5373" s="2"/>
    </row>
    <row r="5374" spans="8:9">
      <c r="H5374" s="2"/>
      <c r="I5374" s="2"/>
    </row>
    <row r="5375" spans="8:9">
      <c r="H5375" s="2"/>
      <c r="I5375" s="2"/>
    </row>
    <row r="5376" spans="8:9">
      <c r="H5376" s="2"/>
      <c r="I5376" s="2"/>
    </row>
    <row r="5377" spans="8:9">
      <c r="H5377" s="2"/>
      <c r="I5377" s="2"/>
    </row>
    <row r="5378" spans="8:9">
      <c r="H5378" s="2"/>
      <c r="I5378" s="2"/>
    </row>
    <row r="5379" spans="8:9">
      <c r="H5379" s="2"/>
      <c r="I5379" s="2"/>
    </row>
    <row r="5380" spans="8:9">
      <c r="H5380" s="2"/>
      <c r="I5380" s="2"/>
    </row>
    <row r="5381" spans="8:9">
      <c r="H5381" s="2"/>
      <c r="I5381" s="2"/>
    </row>
    <row r="5382" spans="8:9">
      <c r="H5382" s="2"/>
      <c r="I5382" s="2"/>
    </row>
    <row r="5383" spans="8:9">
      <c r="H5383" s="2"/>
      <c r="I5383" s="2"/>
    </row>
    <row r="5384" spans="8:9">
      <c r="H5384" s="2"/>
      <c r="I5384" s="2"/>
    </row>
    <row r="5385" spans="8:9">
      <c r="H5385" s="2"/>
      <c r="I5385" s="2"/>
    </row>
    <row r="5386" spans="8:9">
      <c r="H5386" s="2"/>
      <c r="I5386" s="2"/>
    </row>
    <row r="5387" spans="8:9">
      <c r="H5387" s="2"/>
      <c r="I5387" s="2"/>
    </row>
    <row r="5388" spans="8:9">
      <c r="H5388" s="2"/>
      <c r="I5388" s="2"/>
    </row>
    <row r="5389" spans="8:9">
      <c r="H5389" s="2"/>
      <c r="I5389" s="2"/>
    </row>
    <row r="5390" spans="8:9">
      <c r="H5390" s="2"/>
      <c r="I5390" s="2"/>
    </row>
    <row r="5391" spans="8:9">
      <c r="H5391" s="2"/>
      <c r="I5391" s="2"/>
    </row>
    <row r="5392" spans="8:9">
      <c r="H5392" s="2"/>
      <c r="I5392" s="2"/>
    </row>
    <row r="5393" spans="8:9">
      <c r="H5393" s="2"/>
      <c r="I5393" s="2"/>
    </row>
    <row r="5394" spans="8:9">
      <c r="H5394" s="2"/>
      <c r="I5394" s="2"/>
    </row>
    <row r="5395" spans="8:9">
      <c r="H5395" s="2"/>
      <c r="I5395" s="2"/>
    </row>
    <row r="5396" spans="8:9">
      <c r="H5396" s="2"/>
      <c r="I5396" s="2"/>
    </row>
    <row r="5397" spans="8:9">
      <c r="H5397" s="2"/>
      <c r="I5397" s="2"/>
    </row>
    <row r="5398" spans="8:9">
      <c r="H5398" s="2"/>
      <c r="I5398" s="2"/>
    </row>
    <row r="5399" spans="8:9">
      <c r="H5399" s="2"/>
      <c r="I5399" s="2"/>
    </row>
    <row r="5400" spans="8:9">
      <c r="H5400" s="2"/>
      <c r="I5400" s="2"/>
    </row>
    <row r="5401" spans="8:9">
      <c r="H5401" s="2"/>
      <c r="I5401" s="2"/>
    </row>
    <row r="5402" spans="8:9">
      <c r="H5402" s="2"/>
      <c r="I5402" s="2"/>
    </row>
    <row r="5403" spans="8:9">
      <c r="H5403" s="2"/>
      <c r="I5403" s="2"/>
    </row>
    <row r="5404" spans="8:9">
      <c r="H5404" s="2"/>
      <c r="I5404" s="2"/>
    </row>
    <row r="5405" spans="8:9">
      <c r="H5405" s="2"/>
      <c r="I5405" s="2"/>
    </row>
    <row r="5406" spans="8:9">
      <c r="H5406" s="2"/>
      <c r="I5406" s="2"/>
    </row>
    <row r="5407" spans="8:9">
      <c r="H5407" s="2"/>
      <c r="I5407" s="2"/>
    </row>
    <row r="5408" spans="8:9">
      <c r="H5408" s="2"/>
      <c r="I5408" s="2"/>
    </row>
    <row r="5409" spans="8:9">
      <c r="H5409" s="2"/>
      <c r="I5409" s="2"/>
    </row>
    <row r="5410" spans="8:9">
      <c r="H5410" s="2"/>
      <c r="I5410" s="2"/>
    </row>
    <row r="5411" spans="8:9">
      <c r="H5411" s="2"/>
      <c r="I5411" s="2"/>
    </row>
    <row r="5412" spans="8:9">
      <c r="H5412" s="2"/>
      <c r="I5412" s="2"/>
    </row>
    <row r="5413" spans="8:9">
      <c r="H5413" s="2"/>
      <c r="I5413" s="2"/>
    </row>
    <row r="5414" spans="8:9">
      <c r="H5414" s="2"/>
      <c r="I5414" s="2"/>
    </row>
    <row r="5415" spans="8:9">
      <c r="H5415" s="2"/>
      <c r="I5415" s="2"/>
    </row>
    <row r="5416" spans="8:9">
      <c r="H5416" s="2"/>
      <c r="I5416" s="2"/>
    </row>
    <row r="5417" spans="8:9">
      <c r="H5417" s="2"/>
      <c r="I5417" s="2"/>
    </row>
    <row r="5418" spans="8:9">
      <c r="H5418" s="2"/>
      <c r="I5418" s="2"/>
    </row>
    <row r="5419" spans="8:9">
      <c r="H5419" s="2"/>
      <c r="I5419" s="2"/>
    </row>
    <row r="5420" spans="8:9">
      <c r="H5420" s="2"/>
      <c r="I5420" s="2"/>
    </row>
    <row r="5421" spans="8:9">
      <c r="H5421" s="2"/>
      <c r="I5421" s="2"/>
    </row>
    <row r="5422" spans="8:9">
      <c r="H5422" s="2"/>
      <c r="I5422" s="2"/>
    </row>
    <row r="5423" spans="8:9">
      <c r="H5423" s="2"/>
      <c r="I5423" s="2"/>
    </row>
    <row r="5424" spans="8:9">
      <c r="H5424" s="2"/>
      <c r="I5424" s="2"/>
    </row>
    <row r="5425" spans="8:9">
      <c r="H5425" s="2"/>
      <c r="I5425" s="2"/>
    </row>
    <row r="5426" spans="8:9">
      <c r="H5426" s="2"/>
      <c r="I5426" s="2"/>
    </row>
    <row r="5427" spans="8:9">
      <c r="H5427" s="2"/>
      <c r="I5427" s="2"/>
    </row>
    <row r="5428" spans="8:9">
      <c r="H5428" s="2"/>
      <c r="I5428" s="2"/>
    </row>
    <row r="5429" spans="8:9">
      <c r="H5429" s="2"/>
      <c r="I5429" s="2"/>
    </row>
    <row r="5430" spans="8:9">
      <c r="H5430" s="2"/>
      <c r="I5430" s="2"/>
    </row>
    <row r="5431" spans="8:9">
      <c r="H5431" s="2"/>
      <c r="I5431" s="2"/>
    </row>
    <row r="5432" spans="8:9">
      <c r="H5432" s="2"/>
      <c r="I5432" s="2"/>
    </row>
    <row r="5433" spans="8:9">
      <c r="H5433" s="2"/>
      <c r="I5433" s="2"/>
    </row>
    <row r="5434" spans="8:9">
      <c r="H5434" s="2"/>
      <c r="I5434" s="2"/>
    </row>
    <row r="5435" spans="8:9">
      <c r="H5435" s="2"/>
      <c r="I5435" s="2"/>
    </row>
    <row r="5436" spans="8:9">
      <c r="H5436" s="2"/>
      <c r="I5436" s="2"/>
    </row>
    <row r="5437" spans="8:9">
      <c r="H5437" s="2"/>
      <c r="I5437" s="2"/>
    </row>
    <row r="5438" spans="8:9">
      <c r="H5438" s="2"/>
      <c r="I5438" s="2"/>
    </row>
    <row r="5439" spans="8:9">
      <c r="H5439" s="2"/>
      <c r="I5439" s="2"/>
    </row>
    <row r="5440" spans="8:9">
      <c r="H5440" s="2"/>
      <c r="I5440" s="2"/>
    </row>
    <row r="5441" spans="8:9">
      <c r="H5441" s="2"/>
      <c r="I5441" s="2"/>
    </row>
    <row r="5442" spans="8:9">
      <c r="H5442" s="2"/>
      <c r="I5442" s="2"/>
    </row>
    <row r="5443" spans="8:9">
      <c r="H5443" s="2"/>
      <c r="I5443" s="2"/>
    </row>
    <row r="5444" spans="8:9">
      <c r="H5444" s="2"/>
      <c r="I5444" s="2"/>
    </row>
    <row r="5445" spans="8:9">
      <c r="H5445" s="2"/>
      <c r="I5445" s="2"/>
    </row>
    <row r="5446" spans="8:9">
      <c r="H5446" s="2"/>
      <c r="I5446" s="2"/>
    </row>
    <row r="5447" spans="8:9">
      <c r="H5447" s="2"/>
      <c r="I5447" s="2"/>
    </row>
    <row r="5448" spans="8:9">
      <c r="H5448" s="2"/>
      <c r="I5448" s="2"/>
    </row>
    <row r="5449" spans="8:9">
      <c r="H5449" s="2"/>
      <c r="I5449" s="2"/>
    </row>
    <row r="5450" spans="8:9">
      <c r="H5450" s="2"/>
      <c r="I5450" s="2"/>
    </row>
    <row r="5451" spans="8:9">
      <c r="H5451" s="2"/>
      <c r="I5451" s="2"/>
    </row>
    <row r="5452" spans="8:9">
      <c r="H5452" s="2"/>
      <c r="I5452" s="2"/>
    </row>
    <row r="5453" spans="8:9">
      <c r="H5453" s="2"/>
      <c r="I5453" s="2"/>
    </row>
    <row r="5454" spans="8:9">
      <c r="H5454" s="2"/>
      <c r="I5454" s="2"/>
    </row>
    <row r="5455" spans="8:9">
      <c r="H5455" s="2"/>
      <c r="I5455" s="2"/>
    </row>
    <row r="5456" spans="8:9">
      <c r="H5456" s="2"/>
      <c r="I5456" s="2"/>
    </row>
    <row r="5457" spans="8:9">
      <c r="H5457" s="2"/>
      <c r="I5457" s="2"/>
    </row>
    <row r="5458" spans="8:9">
      <c r="H5458" s="2"/>
      <c r="I5458" s="2"/>
    </row>
    <row r="5459" spans="8:9">
      <c r="H5459" s="2"/>
      <c r="I5459" s="2"/>
    </row>
    <row r="5460" spans="8:9">
      <c r="H5460" s="2"/>
      <c r="I5460" s="2"/>
    </row>
    <row r="5461" spans="8:9">
      <c r="H5461" s="2"/>
      <c r="I5461" s="2"/>
    </row>
    <row r="5462" spans="8:9">
      <c r="H5462" s="2"/>
      <c r="I5462" s="2"/>
    </row>
    <row r="5463" spans="8:9">
      <c r="H5463" s="2"/>
      <c r="I5463" s="2"/>
    </row>
    <row r="5464" spans="8:9">
      <c r="H5464" s="2"/>
      <c r="I5464" s="2"/>
    </row>
    <row r="5465" spans="8:9">
      <c r="H5465" s="2"/>
      <c r="I5465" s="2"/>
    </row>
    <row r="5466" spans="8:9">
      <c r="H5466" s="2"/>
      <c r="I5466" s="2"/>
    </row>
    <row r="5467" spans="8:9">
      <c r="H5467" s="2"/>
      <c r="I5467" s="2"/>
    </row>
    <row r="5468" spans="8:9">
      <c r="H5468" s="2"/>
      <c r="I5468" s="2"/>
    </row>
    <row r="5469" spans="8:9">
      <c r="H5469" s="2"/>
      <c r="I5469" s="2"/>
    </row>
    <row r="5470" spans="8:9">
      <c r="H5470" s="2"/>
      <c r="I5470" s="2"/>
    </row>
    <row r="5471" spans="8:9">
      <c r="H5471" s="2"/>
      <c r="I5471" s="2"/>
    </row>
    <row r="5472" spans="8:9">
      <c r="H5472" s="2"/>
      <c r="I5472" s="2"/>
    </row>
    <row r="5473" spans="8:9">
      <c r="H5473" s="2"/>
      <c r="I5473" s="2"/>
    </row>
    <row r="5474" spans="8:9">
      <c r="H5474" s="2"/>
      <c r="I5474" s="2"/>
    </row>
    <row r="5475" spans="8:9">
      <c r="H5475" s="2"/>
      <c r="I5475" s="2"/>
    </row>
    <row r="5476" spans="8:9">
      <c r="H5476" s="2"/>
      <c r="I5476" s="2"/>
    </row>
    <row r="5477" spans="8:9">
      <c r="H5477" s="2"/>
      <c r="I5477" s="2"/>
    </row>
    <row r="5478" spans="8:9">
      <c r="H5478" s="2"/>
      <c r="I5478" s="2"/>
    </row>
    <row r="5479" spans="8:9">
      <c r="H5479" s="2"/>
      <c r="I5479" s="2"/>
    </row>
    <row r="5480" spans="8:9">
      <c r="H5480" s="2"/>
      <c r="I5480" s="2"/>
    </row>
    <row r="5481" spans="8:9">
      <c r="H5481" s="2"/>
      <c r="I5481" s="2"/>
    </row>
    <row r="5482" spans="8:9">
      <c r="H5482" s="2"/>
      <c r="I5482" s="2"/>
    </row>
    <row r="5483" spans="8:9">
      <c r="H5483" s="2"/>
      <c r="I5483" s="2"/>
    </row>
    <row r="5484" spans="8:9">
      <c r="H5484" s="2"/>
      <c r="I5484" s="2"/>
    </row>
    <row r="5485" spans="8:9">
      <c r="H5485" s="2"/>
      <c r="I5485" s="2"/>
    </row>
    <row r="5486" spans="8:9">
      <c r="H5486" s="2"/>
      <c r="I5486" s="2"/>
    </row>
    <row r="5487" spans="8:9">
      <c r="H5487" s="2"/>
      <c r="I5487" s="2"/>
    </row>
    <row r="5488" spans="8:9">
      <c r="H5488" s="2"/>
      <c r="I5488" s="2"/>
    </row>
    <row r="5489" spans="8:9">
      <c r="H5489" s="2"/>
      <c r="I5489" s="2"/>
    </row>
    <row r="5490" spans="8:9">
      <c r="H5490" s="2"/>
      <c r="I5490" s="2"/>
    </row>
    <row r="5491" spans="8:9">
      <c r="H5491" s="2"/>
      <c r="I5491" s="2"/>
    </row>
    <row r="5492" spans="8:9">
      <c r="H5492" s="2"/>
      <c r="I5492" s="2"/>
    </row>
    <row r="5493" spans="8:9">
      <c r="H5493" s="2"/>
      <c r="I5493" s="2"/>
    </row>
    <row r="5494" spans="8:9">
      <c r="H5494" s="2"/>
      <c r="I5494" s="2"/>
    </row>
    <row r="5495" spans="8:9">
      <c r="H5495" s="2"/>
      <c r="I5495" s="2"/>
    </row>
    <row r="5496" spans="8:9">
      <c r="H5496" s="2"/>
      <c r="I5496" s="2"/>
    </row>
    <row r="5497" spans="8:9">
      <c r="H5497" s="2"/>
      <c r="I5497" s="2"/>
    </row>
    <row r="5498" spans="8:9">
      <c r="H5498" s="2"/>
      <c r="I5498" s="2"/>
    </row>
    <row r="5499" spans="8:9">
      <c r="H5499" s="2"/>
      <c r="I5499" s="2"/>
    </row>
    <row r="5500" spans="8:9">
      <c r="H5500" s="2"/>
      <c r="I5500" s="2"/>
    </row>
    <row r="5501" spans="8:9">
      <c r="H5501" s="2"/>
      <c r="I5501" s="2"/>
    </row>
    <row r="5502" spans="8:9">
      <c r="H5502" s="2"/>
      <c r="I5502" s="2"/>
    </row>
    <row r="5503" spans="8:9">
      <c r="H5503" s="2"/>
      <c r="I5503" s="2"/>
    </row>
    <row r="5504" spans="8:9">
      <c r="H5504" s="2"/>
      <c r="I5504" s="2"/>
    </row>
    <row r="5505" spans="8:9">
      <c r="H5505" s="2"/>
      <c r="I5505" s="2"/>
    </row>
    <row r="5506" spans="8:9">
      <c r="H5506" s="2"/>
      <c r="I5506" s="2"/>
    </row>
    <row r="5507" spans="8:9">
      <c r="H5507" s="2"/>
      <c r="I5507" s="2"/>
    </row>
    <row r="5508" spans="8:9">
      <c r="H5508" s="2"/>
      <c r="I5508" s="2"/>
    </row>
    <row r="5509" spans="8:9">
      <c r="H5509" s="2"/>
      <c r="I5509" s="2"/>
    </row>
    <row r="5510" spans="8:9">
      <c r="H5510" s="2"/>
      <c r="I5510" s="2"/>
    </row>
    <row r="5511" spans="8:9">
      <c r="H5511" s="2"/>
      <c r="I5511" s="2"/>
    </row>
    <row r="5512" spans="8:9">
      <c r="H5512" s="2"/>
      <c r="I5512" s="2"/>
    </row>
    <row r="5513" spans="8:9">
      <c r="H5513" s="2"/>
      <c r="I5513" s="2"/>
    </row>
    <row r="5514" spans="8:9">
      <c r="H5514" s="2"/>
      <c r="I5514" s="2"/>
    </row>
    <row r="5515" spans="8:9">
      <c r="H5515" s="2"/>
      <c r="I5515" s="2"/>
    </row>
    <row r="5516" spans="8:9">
      <c r="H5516" s="2"/>
      <c r="I5516" s="2"/>
    </row>
    <row r="5517" spans="8:9">
      <c r="H5517" s="2"/>
      <c r="I5517" s="2"/>
    </row>
    <row r="5518" spans="8:9">
      <c r="H5518" s="2"/>
      <c r="I5518" s="2"/>
    </row>
    <row r="5519" spans="8:9">
      <c r="H5519" s="2"/>
      <c r="I5519" s="2"/>
    </row>
    <row r="5520" spans="8:9">
      <c r="H5520" s="2"/>
      <c r="I5520" s="2"/>
    </row>
    <row r="5521" spans="8:9">
      <c r="H5521" s="2"/>
      <c r="I5521" s="2"/>
    </row>
    <row r="5522" spans="8:9">
      <c r="H5522" s="2"/>
      <c r="I5522" s="2"/>
    </row>
    <row r="5523" spans="8:9">
      <c r="H5523" s="2"/>
      <c r="I5523" s="2"/>
    </row>
    <row r="5524" spans="8:9">
      <c r="H5524" s="2"/>
      <c r="I5524" s="2"/>
    </row>
    <row r="5525" spans="8:9">
      <c r="H5525" s="2"/>
      <c r="I5525" s="2"/>
    </row>
    <row r="5526" spans="8:9">
      <c r="H5526" s="2"/>
      <c r="I5526" s="2"/>
    </row>
    <row r="5527" spans="8:9">
      <c r="H5527" s="2"/>
      <c r="I5527" s="2"/>
    </row>
    <row r="5528" spans="8:9">
      <c r="H5528" s="2"/>
      <c r="I5528" s="2"/>
    </row>
    <row r="5529" spans="8:9">
      <c r="H5529" s="2"/>
      <c r="I5529" s="2"/>
    </row>
    <row r="5530" spans="8:9">
      <c r="H5530" s="2"/>
      <c r="I5530" s="2"/>
    </row>
    <row r="5531" spans="8:9">
      <c r="H5531" s="2"/>
      <c r="I5531" s="2"/>
    </row>
    <row r="5532" spans="8:9">
      <c r="H5532" s="2"/>
      <c r="I5532" s="2"/>
    </row>
    <row r="5533" spans="8:9">
      <c r="H5533" s="2"/>
      <c r="I5533" s="2"/>
    </row>
    <row r="5534" spans="8:9">
      <c r="H5534" s="2"/>
      <c r="I5534" s="2"/>
    </row>
    <row r="5535" spans="8:9">
      <c r="H5535" s="2"/>
      <c r="I5535" s="2"/>
    </row>
    <row r="5536" spans="8:9">
      <c r="H5536" s="2"/>
      <c r="I5536" s="2"/>
    </row>
    <row r="5537" spans="8:9">
      <c r="H5537" s="2"/>
      <c r="I5537" s="2"/>
    </row>
    <row r="5538" spans="8:9">
      <c r="H5538" s="2"/>
      <c r="I5538" s="2"/>
    </row>
    <row r="5539" spans="8:9">
      <c r="H5539" s="2"/>
      <c r="I5539" s="2"/>
    </row>
    <row r="5540" spans="8:9">
      <c r="H5540" s="2"/>
      <c r="I5540" s="2"/>
    </row>
    <row r="5541" spans="8:9">
      <c r="H5541" s="2"/>
      <c r="I5541" s="2"/>
    </row>
    <row r="5542" spans="8:9">
      <c r="H5542" s="2"/>
      <c r="I5542" s="2"/>
    </row>
    <row r="5543" spans="8:9">
      <c r="H5543" s="2"/>
      <c r="I5543" s="2"/>
    </row>
    <row r="5544" spans="8:9">
      <c r="H5544" s="2"/>
      <c r="I5544" s="2"/>
    </row>
    <row r="5545" spans="8:9">
      <c r="H5545" s="2"/>
      <c r="I5545" s="2"/>
    </row>
    <row r="5546" spans="8:9">
      <c r="H5546" s="2"/>
      <c r="I5546" s="2"/>
    </row>
    <row r="5547" spans="8:9">
      <c r="H5547" s="2"/>
      <c r="I5547" s="2"/>
    </row>
    <row r="5548" spans="8:9">
      <c r="H5548" s="2"/>
      <c r="I5548" s="2"/>
    </row>
    <row r="5549" spans="8:9">
      <c r="H5549" s="2"/>
      <c r="I5549" s="2"/>
    </row>
    <row r="5550" spans="8:9">
      <c r="H5550" s="2"/>
      <c r="I5550" s="2"/>
    </row>
    <row r="5551" spans="8:9">
      <c r="H5551" s="2"/>
      <c r="I5551" s="2"/>
    </row>
    <row r="5552" spans="8:9">
      <c r="H5552" s="2"/>
      <c r="I5552" s="2"/>
    </row>
    <row r="5553" spans="8:9">
      <c r="H5553" s="2"/>
      <c r="I5553" s="2"/>
    </row>
    <row r="5554" spans="8:9">
      <c r="H5554" s="2"/>
      <c r="I5554" s="2"/>
    </row>
    <row r="5555" spans="8:9">
      <c r="H5555" s="2"/>
      <c r="I5555" s="2"/>
    </row>
    <row r="5556" spans="8:9">
      <c r="H5556" s="2"/>
      <c r="I5556" s="2"/>
    </row>
    <row r="5557" spans="8:9">
      <c r="H5557" s="2"/>
      <c r="I5557" s="2"/>
    </row>
    <row r="5558" spans="8:9">
      <c r="H5558" s="2"/>
      <c r="I5558" s="2"/>
    </row>
    <row r="5559" spans="8:9">
      <c r="H5559" s="2"/>
      <c r="I5559" s="2"/>
    </row>
    <row r="5560" spans="8:9">
      <c r="H5560" s="2"/>
      <c r="I5560" s="2"/>
    </row>
    <row r="5561" spans="8:9">
      <c r="H5561" s="2"/>
      <c r="I5561" s="2"/>
    </row>
    <row r="5562" spans="8:9">
      <c r="H5562" s="2"/>
      <c r="I5562" s="2"/>
    </row>
    <row r="5563" spans="8:9">
      <c r="H5563" s="2"/>
      <c r="I5563" s="2"/>
    </row>
    <row r="5564" spans="8:9">
      <c r="H5564" s="2"/>
      <c r="I5564" s="2"/>
    </row>
    <row r="5565" spans="8:9">
      <c r="H5565" s="2"/>
      <c r="I5565" s="2"/>
    </row>
    <row r="5566" spans="8:9">
      <c r="H5566" s="2"/>
      <c r="I5566" s="2"/>
    </row>
    <row r="5567" spans="8:9">
      <c r="H5567" s="2"/>
      <c r="I5567" s="2"/>
    </row>
    <row r="5568" spans="8:9">
      <c r="H5568" s="2"/>
      <c r="I5568" s="2"/>
    </row>
    <row r="5569" spans="8:9">
      <c r="H5569" s="2"/>
      <c r="I5569" s="2"/>
    </row>
    <row r="5570" spans="8:9">
      <c r="H5570" s="2"/>
      <c r="I5570" s="2"/>
    </row>
    <row r="5571" spans="8:9">
      <c r="H5571" s="2"/>
      <c r="I5571" s="2"/>
    </row>
    <row r="5572" spans="8:9">
      <c r="H5572" s="2"/>
      <c r="I5572" s="2"/>
    </row>
    <row r="5573" spans="8:9">
      <c r="H5573" s="2"/>
      <c r="I5573" s="2"/>
    </row>
    <row r="5574" spans="8:9">
      <c r="H5574" s="2"/>
      <c r="I5574" s="2"/>
    </row>
    <row r="5575" spans="8:9">
      <c r="H5575" s="2"/>
      <c r="I5575" s="2"/>
    </row>
    <row r="5576" spans="8:9">
      <c r="H5576" s="2"/>
      <c r="I5576" s="2"/>
    </row>
    <row r="5577" spans="8:9">
      <c r="H5577" s="2"/>
      <c r="I5577" s="2"/>
    </row>
    <row r="5578" spans="8:9">
      <c r="H5578" s="2"/>
      <c r="I5578" s="2"/>
    </row>
    <row r="5579" spans="8:9">
      <c r="H5579" s="2"/>
      <c r="I5579" s="2"/>
    </row>
    <row r="5580" spans="8:9">
      <c r="H5580" s="2"/>
      <c r="I5580" s="2"/>
    </row>
    <row r="5581" spans="8:9">
      <c r="H5581" s="2"/>
      <c r="I5581" s="2"/>
    </row>
    <row r="5582" spans="8:9">
      <c r="H5582" s="2"/>
      <c r="I5582" s="2"/>
    </row>
    <row r="5583" spans="8:9">
      <c r="H5583" s="2"/>
      <c r="I5583" s="2"/>
    </row>
    <row r="5584" spans="8:9">
      <c r="H5584" s="2"/>
      <c r="I5584" s="2"/>
    </row>
    <row r="5585" spans="8:9">
      <c r="H5585" s="2"/>
      <c r="I5585" s="2"/>
    </row>
    <row r="5586" spans="8:9">
      <c r="H5586" s="2"/>
      <c r="I5586" s="2"/>
    </row>
    <row r="5587" spans="8:9">
      <c r="H5587" s="2"/>
      <c r="I5587" s="2"/>
    </row>
    <row r="5588" spans="8:9">
      <c r="H5588" s="2"/>
      <c r="I5588" s="2"/>
    </row>
    <row r="5589" spans="8:9">
      <c r="H5589" s="2"/>
      <c r="I5589" s="2"/>
    </row>
    <row r="5590" spans="8:9">
      <c r="H5590" s="2"/>
      <c r="I5590" s="2"/>
    </row>
    <row r="5591" spans="8:9">
      <c r="H5591" s="2"/>
      <c r="I5591" s="2"/>
    </row>
    <row r="5592" spans="8:9">
      <c r="H5592" s="2"/>
      <c r="I5592" s="2"/>
    </row>
    <row r="5593" spans="8:9">
      <c r="H5593" s="2"/>
      <c r="I5593" s="2"/>
    </row>
    <row r="5594" spans="8:9">
      <c r="H5594" s="2"/>
      <c r="I5594" s="2"/>
    </row>
    <row r="5595" spans="8:9">
      <c r="H5595" s="2"/>
      <c r="I5595" s="2"/>
    </row>
    <row r="5596" spans="8:9">
      <c r="H5596" s="2"/>
      <c r="I5596" s="2"/>
    </row>
    <row r="5597" spans="8:9">
      <c r="H5597" s="2"/>
      <c r="I5597" s="2"/>
    </row>
    <row r="5598" spans="8:9">
      <c r="H5598" s="2"/>
      <c r="I5598" s="2"/>
    </row>
    <row r="5599" spans="8:9">
      <c r="H5599" s="2"/>
      <c r="I5599" s="2"/>
    </row>
    <row r="5600" spans="8:9">
      <c r="H5600" s="2"/>
      <c r="I5600" s="2"/>
    </row>
    <row r="5601" spans="8:9">
      <c r="H5601" s="2"/>
      <c r="I5601" s="2"/>
    </row>
    <row r="5602" spans="8:9">
      <c r="H5602" s="2"/>
      <c r="I5602" s="2"/>
    </row>
    <row r="5603" spans="8:9">
      <c r="H5603" s="2"/>
      <c r="I5603" s="2"/>
    </row>
    <row r="5604" spans="8:9">
      <c r="H5604" s="2"/>
      <c r="I5604" s="2"/>
    </row>
    <row r="5605" spans="8:9">
      <c r="H5605" s="2"/>
      <c r="I5605" s="2"/>
    </row>
    <row r="5606" spans="8:9">
      <c r="H5606" s="2"/>
      <c r="I5606" s="2"/>
    </row>
    <row r="5607" spans="8:9">
      <c r="H5607" s="2"/>
      <c r="I5607" s="2"/>
    </row>
    <row r="5608" spans="8:9">
      <c r="H5608" s="2"/>
      <c r="I5608" s="2"/>
    </row>
    <row r="5609" spans="8:9">
      <c r="H5609" s="2"/>
      <c r="I5609" s="2"/>
    </row>
    <row r="5610" spans="8:9">
      <c r="H5610" s="2"/>
      <c r="I5610" s="2"/>
    </row>
    <row r="5611" spans="8:9">
      <c r="H5611" s="2"/>
      <c r="I5611" s="2"/>
    </row>
    <row r="5612" spans="8:9">
      <c r="H5612" s="2"/>
      <c r="I5612" s="2"/>
    </row>
    <row r="5613" spans="8:9">
      <c r="H5613" s="2"/>
      <c r="I5613" s="2"/>
    </row>
    <row r="5614" spans="8:9">
      <c r="H5614" s="2"/>
      <c r="I5614" s="2"/>
    </row>
    <row r="5615" spans="8:9">
      <c r="H5615" s="2"/>
      <c r="I5615" s="2"/>
    </row>
    <row r="5616" spans="8:9">
      <c r="H5616" s="2"/>
      <c r="I5616" s="2"/>
    </row>
    <row r="5617" spans="8:9">
      <c r="H5617" s="2"/>
      <c r="I5617" s="2"/>
    </row>
    <row r="5618" spans="8:9">
      <c r="H5618" s="2"/>
      <c r="I5618" s="2"/>
    </row>
    <row r="5619" spans="8:9">
      <c r="H5619" s="2"/>
      <c r="I5619" s="2"/>
    </row>
    <row r="5620" spans="8:9">
      <c r="H5620" s="2"/>
      <c r="I5620" s="2"/>
    </row>
    <row r="5621" spans="8:9">
      <c r="H5621" s="2"/>
      <c r="I5621" s="2"/>
    </row>
    <row r="5622" spans="8:9">
      <c r="H5622" s="2"/>
      <c r="I5622" s="2"/>
    </row>
    <row r="5623" spans="8:9">
      <c r="H5623" s="2"/>
      <c r="I5623" s="2"/>
    </row>
    <row r="5624" spans="8:9">
      <c r="H5624" s="2"/>
      <c r="I5624" s="2"/>
    </row>
    <row r="5625" spans="8:9">
      <c r="H5625" s="2"/>
      <c r="I5625" s="2"/>
    </row>
    <row r="5626" spans="8:9">
      <c r="H5626" s="2"/>
      <c r="I5626" s="2"/>
    </row>
    <row r="5627" spans="8:9">
      <c r="H5627" s="2"/>
      <c r="I5627" s="2"/>
    </row>
    <row r="5628" spans="8:9">
      <c r="H5628" s="2"/>
      <c r="I5628" s="2"/>
    </row>
    <row r="5629" spans="8:9">
      <c r="H5629" s="2"/>
      <c r="I5629" s="2"/>
    </row>
    <row r="5630" spans="8:9">
      <c r="H5630" s="2"/>
      <c r="I5630" s="2"/>
    </row>
    <row r="5631" spans="8:9">
      <c r="H5631" s="2"/>
      <c r="I5631" s="2"/>
    </row>
    <row r="5632" spans="8:9">
      <c r="H5632" s="2"/>
      <c r="I5632" s="2"/>
    </row>
    <row r="5633" spans="8:9">
      <c r="H5633" s="2"/>
      <c r="I5633" s="2"/>
    </row>
    <row r="5634" spans="8:9">
      <c r="H5634" s="2"/>
      <c r="I5634" s="2"/>
    </row>
    <row r="5635" spans="8:9">
      <c r="H5635" s="2"/>
      <c r="I5635" s="2"/>
    </row>
    <row r="5636" spans="8:9">
      <c r="H5636" s="2"/>
      <c r="I5636" s="2"/>
    </row>
    <row r="5637" spans="8:9">
      <c r="H5637" s="2"/>
      <c r="I5637" s="2"/>
    </row>
    <row r="5638" spans="8:9">
      <c r="H5638" s="2"/>
      <c r="I5638" s="2"/>
    </row>
    <row r="5639" spans="8:9">
      <c r="H5639" s="2"/>
      <c r="I5639" s="2"/>
    </row>
    <row r="5640" spans="8:9">
      <c r="H5640" s="2"/>
      <c r="I5640" s="2"/>
    </row>
    <row r="5641" spans="8:9">
      <c r="H5641" s="2"/>
      <c r="I5641" s="2"/>
    </row>
    <row r="5642" spans="8:9">
      <c r="H5642" s="2"/>
      <c r="I5642" s="2"/>
    </row>
    <row r="5643" spans="8:9">
      <c r="H5643" s="2"/>
      <c r="I5643" s="2"/>
    </row>
    <row r="5644" spans="8:9">
      <c r="H5644" s="2"/>
      <c r="I5644" s="2"/>
    </row>
    <row r="5645" spans="8:9">
      <c r="H5645" s="2"/>
      <c r="I5645" s="2"/>
    </row>
    <row r="5646" spans="8:9">
      <c r="H5646" s="2"/>
      <c r="I5646" s="2"/>
    </row>
    <row r="5647" spans="8:9">
      <c r="H5647" s="2"/>
      <c r="I5647" s="2"/>
    </row>
    <row r="5648" spans="8:9">
      <c r="H5648" s="2"/>
      <c r="I5648" s="2"/>
    </row>
    <row r="5649" spans="8:9">
      <c r="H5649" s="2"/>
      <c r="I5649" s="2"/>
    </row>
    <row r="5650" spans="8:9">
      <c r="H5650" s="2"/>
      <c r="I5650" s="2"/>
    </row>
    <row r="5651" spans="8:9">
      <c r="H5651" s="2"/>
      <c r="I5651" s="2"/>
    </row>
    <row r="5652" spans="8:9">
      <c r="H5652" s="2"/>
      <c r="I5652" s="2"/>
    </row>
    <row r="5653" spans="8:9">
      <c r="H5653" s="2"/>
      <c r="I5653" s="2"/>
    </row>
    <row r="5654" spans="8:9">
      <c r="H5654" s="2"/>
      <c r="I5654" s="2"/>
    </row>
    <row r="5655" spans="8:9">
      <c r="H5655" s="2"/>
      <c r="I5655" s="2"/>
    </row>
    <row r="5656" spans="8:9">
      <c r="H5656" s="2"/>
      <c r="I5656" s="2"/>
    </row>
    <row r="5657" spans="8:9">
      <c r="H5657" s="2"/>
      <c r="I5657" s="2"/>
    </row>
    <row r="5658" spans="8:9">
      <c r="H5658" s="2"/>
      <c r="I5658" s="2"/>
    </row>
    <row r="5659" spans="8:9">
      <c r="H5659" s="2"/>
      <c r="I5659" s="2"/>
    </row>
    <row r="5660" spans="8:9">
      <c r="H5660" s="2"/>
      <c r="I5660" s="2"/>
    </row>
    <row r="5661" spans="8:9">
      <c r="H5661" s="2"/>
      <c r="I5661" s="2"/>
    </row>
    <row r="5662" spans="8:9">
      <c r="H5662" s="2"/>
      <c r="I5662" s="2"/>
    </row>
    <row r="5663" spans="8:9">
      <c r="H5663" s="2"/>
      <c r="I5663" s="2"/>
    </row>
    <row r="5664" spans="8:9">
      <c r="H5664" s="2"/>
      <c r="I5664" s="2"/>
    </row>
    <row r="5665" spans="8:9">
      <c r="H5665" s="2"/>
      <c r="I5665" s="2"/>
    </row>
    <row r="5666" spans="8:9">
      <c r="H5666" s="2"/>
      <c r="I5666" s="2"/>
    </row>
    <row r="5667" spans="8:9">
      <c r="H5667" s="2"/>
      <c r="I5667" s="2"/>
    </row>
    <row r="5668" spans="8:9">
      <c r="H5668" s="2"/>
      <c r="I5668" s="2"/>
    </row>
    <row r="5669" spans="8:9">
      <c r="H5669" s="2"/>
      <c r="I5669" s="2"/>
    </row>
    <row r="5670" spans="8:9">
      <c r="H5670" s="2"/>
      <c r="I5670" s="2"/>
    </row>
    <row r="5671" spans="8:9">
      <c r="H5671" s="2"/>
      <c r="I5671" s="2"/>
    </row>
    <row r="5672" spans="8:9">
      <c r="H5672" s="2"/>
      <c r="I5672" s="2"/>
    </row>
    <row r="5673" spans="8:9">
      <c r="H5673" s="2"/>
      <c r="I5673" s="2"/>
    </row>
    <row r="5674" spans="8:9">
      <c r="H5674" s="2"/>
      <c r="I5674" s="2"/>
    </row>
    <row r="5675" spans="8:9">
      <c r="H5675" s="2"/>
      <c r="I5675" s="2"/>
    </row>
    <row r="5676" spans="8:9">
      <c r="H5676" s="2"/>
      <c r="I5676" s="2"/>
    </row>
    <row r="5677" spans="8:9">
      <c r="H5677" s="2"/>
      <c r="I5677" s="2"/>
    </row>
    <row r="5678" spans="8:9">
      <c r="H5678" s="2"/>
      <c r="I5678" s="2"/>
    </row>
    <row r="5679" spans="8:9">
      <c r="H5679" s="2"/>
      <c r="I5679" s="2"/>
    </row>
    <row r="5680" spans="8:9">
      <c r="H5680" s="2"/>
      <c r="I5680" s="2"/>
    </row>
    <row r="5681" spans="8:9">
      <c r="H5681" s="2"/>
      <c r="I5681" s="2"/>
    </row>
    <row r="5682" spans="8:9">
      <c r="H5682" s="2"/>
      <c r="I5682" s="2"/>
    </row>
    <row r="5683" spans="8:9">
      <c r="H5683" s="2"/>
      <c r="I5683" s="2"/>
    </row>
    <row r="5684" spans="8:9">
      <c r="H5684" s="2"/>
      <c r="I5684" s="2"/>
    </row>
    <row r="5685" spans="8:9">
      <c r="H5685" s="2"/>
      <c r="I5685" s="2"/>
    </row>
    <row r="5686" spans="8:9">
      <c r="H5686" s="2"/>
      <c r="I5686" s="2"/>
    </row>
    <row r="5687" spans="8:9">
      <c r="H5687" s="2"/>
      <c r="I5687" s="2"/>
    </row>
    <row r="5688" spans="8:9">
      <c r="H5688" s="2"/>
      <c r="I5688" s="2"/>
    </row>
    <row r="5689" spans="8:9">
      <c r="H5689" s="2"/>
      <c r="I5689" s="2"/>
    </row>
    <row r="5690" spans="8:9">
      <c r="H5690" s="2"/>
      <c r="I5690" s="2"/>
    </row>
    <row r="5691" spans="8:9">
      <c r="H5691" s="2"/>
      <c r="I5691" s="2"/>
    </row>
    <row r="5692" spans="8:9">
      <c r="H5692" s="2"/>
      <c r="I5692" s="2"/>
    </row>
    <row r="5693" spans="8:9">
      <c r="H5693" s="2"/>
      <c r="I5693" s="2"/>
    </row>
    <row r="5694" spans="8:9">
      <c r="H5694" s="2"/>
      <c r="I5694" s="2"/>
    </row>
    <row r="5695" spans="8:9">
      <c r="H5695" s="2"/>
      <c r="I5695" s="2"/>
    </row>
    <row r="5696" spans="8:9">
      <c r="H5696" s="2"/>
      <c r="I5696" s="2"/>
    </row>
    <row r="5697" spans="8:9">
      <c r="H5697" s="2"/>
      <c r="I5697" s="2"/>
    </row>
    <row r="5698" spans="8:9">
      <c r="H5698" s="2"/>
      <c r="I5698" s="2"/>
    </row>
    <row r="5699" spans="8:9">
      <c r="H5699" s="2"/>
      <c r="I5699" s="2"/>
    </row>
    <row r="5700" spans="8:9">
      <c r="H5700" s="2"/>
      <c r="I5700" s="2"/>
    </row>
    <row r="5701" spans="8:9">
      <c r="H5701" s="2"/>
      <c r="I5701" s="2"/>
    </row>
    <row r="5702" spans="8:9">
      <c r="H5702" s="2"/>
      <c r="I5702" s="2"/>
    </row>
    <row r="5703" spans="8:9">
      <c r="H5703" s="2"/>
      <c r="I5703" s="2"/>
    </row>
    <row r="5704" spans="8:9">
      <c r="H5704" s="2"/>
      <c r="I5704" s="2"/>
    </row>
    <row r="5705" spans="8:9">
      <c r="H5705" s="2"/>
      <c r="I5705" s="2"/>
    </row>
    <row r="5706" spans="8:9">
      <c r="H5706" s="2"/>
      <c r="I5706" s="2"/>
    </row>
    <row r="5707" spans="8:9">
      <c r="H5707" s="2"/>
      <c r="I5707" s="2"/>
    </row>
    <row r="5708" spans="8:9">
      <c r="H5708" s="2"/>
      <c r="I5708" s="2"/>
    </row>
    <row r="5709" spans="8:9">
      <c r="H5709" s="2"/>
      <c r="I5709" s="2"/>
    </row>
    <row r="5710" spans="8:9">
      <c r="H5710" s="2"/>
      <c r="I5710" s="2"/>
    </row>
    <row r="5711" spans="8:9">
      <c r="H5711" s="2"/>
      <c r="I5711" s="2"/>
    </row>
    <row r="5712" spans="8:9">
      <c r="H5712" s="2"/>
      <c r="I5712" s="2"/>
    </row>
    <row r="5713" spans="8:9">
      <c r="H5713" s="2"/>
      <c r="I5713" s="2"/>
    </row>
    <row r="5714" spans="8:9">
      <c r="H5714" s="2"/>
      <c r="I5714" s="2"/>
    </row>
    <row r="5715" spans="8:9">
      <c r="H5715" s="2"/>
      <c r="I5715" s="2"/>
    </row>
    <row r="5716" spans="8:9">
      <c r="H5716" s="2"/>
      <c r="I5716" s="2"/>
    </row>
    <row r="5717" spans="8:9">
      <c r="H5717" s="2"/>
      <c r="I5717" s="2"/>
    </row>
    <row r="5718" spans="8:9">
      <c r="H5718" s="2"/>
      <c r="I5718" s="2"/>
    </row>
    <row r="5719" spans="8:9">
      <c r="H5719" s="2"/>
      <c r="I5719" s="2"/>
    </row>
    <row r="5720" spans="8:9">
      <c r="H5720" s="2"/>
      <c r="I5720" s="2"/>
    </row>
    <row r="5721" spans="8:9">
      <c r="H5721" s="2"/>
      <c r="I5721" s="2"/>
    </row>
    <row r="5722" spans="8:9">
      <c r="H5722" s="2"/>
      <c r="I5722" s="2"/>
    </row>
    <row r="5723" spans="8:9">
      <c r="H5723" s="2"/>
      <c r="I5723" s="2"/>
    </row>
    <row r="5724" spans="8:9">
      <c r="H5724" s="2"/>
      <c r="I5724" s="2"/>
    </row>
    <row r="5725" spans="8:9">
      <c r="H5725" s="2"/>
      <c r="I5725" s="2"/>
    </row>
    <row r="5726" spans="8:9">
      <c r="H5726" s="2"/>
      <c r="I5726" s="2"/>
    </row>
    <row r="5727" spans="8:9">
      <c r="H5727" s="2"/>
      <c r="I5727" s="2"/>
    </row>
    <row r="5728" spans="8:9">
      <c r="H5728" s="2"/>
      <c r="I5728" s="2"/>
    </row>
    <row r="5729" spans="8:9">
      <c r="H5729" s="2"/>
      <c r="I5729" s="2"/>
    </row>
    <row r="5730" spans="8:9">
      <c r="H5730" s="2"/>
      <c r="I5730" s="2"/>
    </row>
    <row r="5731" spans="8:9">
      <c r="H5731" s="2"/>
      <c r="I5731" s="2"/>
    </row>
    <row r="5732" spans="8:9">
      <c r="H5732" s="2"/>
      <c r="I5732" s="2"/>
    </row>
    <row r="5733" spans="8:9">
      <c r="H5733" s="2"/>
      <c r="I5733" s="2"/>
    </row>
    <row r="5734" spans="8:9">
      <c r="H5734" s="2"/>
      <c r="I5734" s="2"/>
    </row>
    <row r="5735" spans="8:9">
      <c r="H5735" s="2"/>
      <c r="I5735" s="2"/>
    </row>
    <row r="5736" spans="8:9">
      <c r="H5736" s="2"/>
      <c r="I5736" s="2"/>
    </row>
    <row r="5737" spans="8:9">
      <c r="H5737" s="2"/>
      <c r="I5737" s="2"/>
    </row>
    <row r="5738" spans="8:9">
      <c r="H5738" s="2"/>
      <c r="I5738" s="2"/>
    </row>
    <row r="5739" spans="8:9">
      <c r="H5739" s="2"/>
      <c r="I5739" s="2"/>
    </row>
    <row r="5740" spans="8:9">
      <c r="H5740" s="2"/>
      <c r="I5740" s="2"/>
    </row>
    <row r="5741" spans="8:9">
      <c r="H5741" s="2"/>
      <c r="I5741" s="2"/>
    </row>
    <row r="5742" spans="8:9">
      <c r="H5742" s="2"/>
      <c r="I5742" s="2"/>
    </row>
    <row r="5743" spans="8:9">
      <c r="H5743" s="2"/>
      <c r="I5743" s="2"/>
    </row>
    <row r="5744" spans="8:9">
      <c r="H5744" s="2"/>
      <c r="I5744" s="2"/>
    </row>
    <row r="5745" spans="8:9">
      <c r="H5745" s="2"/>
      <c r="I5745" s="2"/>
    </row>
    <row r="5746" spans="8:9">
      <c r="H5746" s="2"/>
      <c r="I5746" s="2"/>
    </row>
    <row r="5747" spans="8:9">
      <c r="H5747" s="2"/>
      <c r="I5747" s="2"/>
    </row>
    <row r="5748" spans="8:9">
      <c r="H5748" s="2"/>
      <c r="I5748" s="2"/>
    </row>
    <row r="5749" spans="8:9">
      <c r="H5749" s="2"/>
      <c r="I5749" s="2"/>
    </row>
    <row r="5750" spans="8:9">
      <c r="H5750" s="2"/>
      <c r="I5750" s="2"/>
    </row>
    <row r="5751" spans="8:9">
      <c r="H5751" s="2"/>
      <c r="I5751" s="2"/>
    </row>
    <row r="5752" spans="8:9">
      <c r="H5752" s="2"/>
      <c r="I5752" s="2"/>
    </row>
    <row r="5753" spans="8:9">
      <c r="H5753" s="2"/>
      <c r="I5753" s="2"/>
    </row>
    <row r="5754" spans="8:9">
      <c r="H5754" s="2"/>
      <c r="I5754" s="2"/>
    </row>
    <row r="5755" spans="8:9">
      <c r="H5755" s="2"/>
      <c r="I5755" s="2"/>
    </row>
    <row r="5756" spans="8:9">
      <c r="H5756" s="2"/>
      <c r="I5756" s="2"/>
    </row>
    <row r="5757" spans="8:9">
      <c r="H5757" s="2"/>
      <c r="I5757" s="2"/>
    </row>
    <row r="5758" spans="8:9">
      <c r="H5758" s="2"/>
      <c r="I5758" s="2"/>
    </row>
    <row r="5759" spans="8:9">
      <c r="H5759" s="2"/>
      <c r="I5759" s="2"/>
    </row>
    <row r="5760" spans="8:9">
      <c r="H5760" s="2"/>
      <c r="I5760" s="2"/>
    </row>
    <row r="5761" spans="8:9">
      <c r="H5761" s="2"/>
      <c r="I5761" s="2"/>
    </row>
    <row r="5762" spans="8:9">
      <c r="H5762" s="2"/>
      <c r="I5762" s="2"/>
    </row>
    <row r="5763" spans="8:9">
      <c r="H5763" s="2"/>
      <c r="I5763" s="2"/>
    </row>
    <row r="5764" spans="8:9">
      <c r="H5764" s="2"/>
      <c r="I5764" s="2"/>
    </row>
    <row r="5765" spans="8:9">
      <c r="H5765" s="2"/>
      <c r="I5765" s="2"/>
    </row>
    <row r="5766" spans="8:9">
      <c r="H5766" s="2"/>
      <c r="I5766" s="2"/>
    </row>
    <row r="5767" spans="8:9">
      <c r="H5767" s="2"/>
      <c r="I5767" s="2"/>
    </row>
    <row r="5768" spans="8:9">
      <c r="H5768" s="2"/>
      <c r="I5768" s="2"/>
    </row>
    <row r="5769" spans="8:9">
      <c r="H5769" s="2"/>
      <c r="I5769" s="2"/>
    </row>
    <row r="5770" spans="8:9">
      <c r="H5770" s="2"/>
      <c r="I5770" s="2"/>
    </row>
    <row r="5771" spans="8:9">
      <c r="H5771" s="2"/>
      <c r="I5771" s="2"/>
    </row>
    <row r="5772" spans="8:9">
      <c r="H5772" s="2"/>
      <c r="I5772" s="2"/>
    </row>
    <row r="5773" spans="8:9">
      <c r="H5773" s="2"/>
      <c r="I5773" s="2"/>
    </row>
    <row r="5774" spans="8:9">
      <c r="H5774" s="2"/>
      <c r="I5774" s="2"/>
    </row>
    <row r="5775" spans="8:9">
      <c r="H5775" s="2"/>
      <c r="I5775" s="2"/>
    </row>
    <row r="5776" spans="8:9">
      <c r="H5776" s="2"/>
      <c r="I5776" s="2"/>
    </row>
    <row r="5777" spans="8:9">
      <c r="H5777" s="2"/>
      <c r="I5777" s="2"/>
    </row>
    <row r="5778" spans="8:9">
      <c r="H5778" s="2"/>
      <c r="I5778" s="2"/>
    </row>
    <row r="5779" spans="8:9">
      <c r="H5779" s="2"/>
      <c r="I5779" s="2"/>
    </row>
    <row r="5780" spans="8:9">
      <c r="H5780" s="2"/>
      <c r="I5780" s="2"/>
    </row>
    <row r="5781" spans="8:9">
      <c r="H5781" s="2"/>
      <c r="I5781" s="2"/>
    </row>
    <row r="5782" spans="8:9">
      <c r="H5782" s="2"/>
      <c r="I5782" s="2"/>
    </row>
    <row r="5783" spans="8:9">
      <c r="H5783" s="2"/>
      <c r="I5783" s="2"/>
    </row>
    <row r="5784" spans="8:9">
      <c r="H5784" s="2"/>
      <c r="I5784" s="2"/>
    </row>
    <row r="5785" spans="8:9">
      <c r="H5785" s="2"/>
      <c r="I5785" s="2"/>
    </row>
    <row r="5786" spans="8:9">
      <c r="H5786" s="2"/>
      <c r="I5786" s="2"/>
    </row>
    <row r="5787" spans="8:9">
      <c r="H5787" s="2"/>
      <c r="I5787" s="2"/>
    </row>
    <row r="5788" spans="8:9">
      <c r="H5788" s="2"/>
      <c r="I5788" s="2"/>
    </row>
    <row r="5789" spans="8:9">
      <c r="H5789" s="2"/>
      <c r="I5789" s="2"/>
    </row>
    <row r="5790" spans="8:9">
      <c r="H5790" s="2"/>
      <c r="I5790" s="2"/>
    </row>
    <row r="5791" spans="8:9">
      <c r="H5791" s="2"/>
      <c r="I5791" s="2"/>
    </row>
    <row r="5792" spans="8:9">
      <c r="H5792" s="2"/>
      <c r="I5792" s="2"/>
    </row>
    <row r="5793" spans="8:9">
      <c r="H5793" s="2"/>
      <c r="I5793" s="2"/>
    </row>
    <row r="5794" spans="8:9">
      <c r="H5794" s="2"/>
      <c r="I5794" s="2"/>
    </row>
    <row r="5795" spans="8:9">
      <c r="H5795" s="2"/>
      <c r="I5795" s="2"/>
    </row>
    <row r="5796" spans="8:9">
      <c r="H5796" s="2"/>
      <c r="I5796" s="2"/>
    </row>
    <row r="5797" spans="8:9">
      <c r="H5797" s="2"/>
      <c r="I5797" s="2"/>
    </row>
    <row r="5798" spans="8:9">
      <c r="H5798" s="2"/>
      <c r="I5798" s="2"/>
    </row>
    <row r="5799" spans="8:9">
      <c r="H5799" s="2"/>
      <c r="I5799" s="2"/>
    </row>
    <row r="5800" spans="8:9">
      <c r="H5800" s="2"/>
      <c r="I5800" s="2"/>
    </row>
    <row r="5801" spans="8:9">
      <c r="H5801" s="2"/>
      <c r="I5801" s="2"/>
    </row>
    <row r="5802" spans="8:9">
      <c r="H5802" s="2"/>
      <c r="I5802" s="2"/>
    </row>
    <row r="5803" spans="8:9">
      <c r="H5803" s="2"/>
      <c r="I5803" s="2"/>
    </row>
    <row r="5804" spans="8:9">
      <c r="H5804" s="2"/>
      <c r="I5804" s="2"/>
    </row>
    <row r="5805" spans="8:9">
      <c r="H5805" s="2"/>
      <c r="I5805" s="2"/>
    </row>
    <row r="5806" spans="8:9">
      <c r="H5806" s="2"/>
      <c r="I5806" s="2"/>
    </row>
    <row r="5807" spans="8:9">
      <c r="H5807" s="2"/>
      <c r="I5807" s="2"/>
    </row>
    <row r="5808" spans="8:9">
      <c r="H5808" s="2"/>
      <c r="I5808" s="2"/>
    </row>
    <row r="5809" spans="8:9">
      <c r="H5809" s="2"/>
      <c r="I5809" s="2"/>
    </row>
    <row r="5810" spans="8:9">
      <c r="H5810" s="2"/>
      <c r="I5810" s="2"/>
    </row>
    <row r="5811" spans="8:9">
      <c r="H5811" s="2"/>
      <c r="I5811" s="2"/>
    </row>
    <row r="5812" spans="8:9">
      <c r="H5812" s="2"/>
      <c r="I5812" s="2"/>
    </row>
    <row r="5813" spans="8:9">
      <c r="H5813" s="2"/>
      <c r="I5813" s="2"/>
    </row>
    <row r="5814" spans="8:9">
      <c r="H5814" s="2"/>
      <c r="I5814" s="2"/>
    </row>
    <row r="5815" spans="8:9">
      <c r="H5815" s="2"/>
      <c r="I5815" s="2"/>
    </row>
    <row r="5816" spans="8:9">
      <c r="H5816" s="2"/>
      <c r="I5816" s="2"/>
    </row>
    <row r="5817" spans="8:9">
      <c r="H5817" s="2"/>
      <c r="I5817" s="2"/>
    </row>
    <row r="5818" spans="8:9">
      <c r="H5818" s="2"/>
      <c r="I5818" s="2"/>
    </row>
    <row r="5819" spans="8:9">
      <c r="H5819" s="2"/>
      <c r="I5819" s="2"/>
    </row>
    <row r="5820" spans="8:9">
      <c r="H5820" s="2"/>
      <c r="I5820" s="2"/>
    </row>
    <row r="5821" spans="8:9">
      <c r="H5821" s="2"/>
      <c r="I5821" s="2"/>
    </row>
    <row r="5822" spans="8:9">
      <c r="H5822" s="2"/>
      <c r="I5822" s="2"/>
    </row>
    <row r="5823" spans="8:9">
      <c r="H5823" s="2"/>
      <c r="I5823" s="2"/>
    </row>
    <row r="5824" spans="8:9">
      <c r="H5824" s="2"/>
      <c r="I5824" s="2"/>
    </row>
    <row r="5825" spans="8:9">
      <c r="H5825" s="2"/>
      <c r="I5825" s="2"/>
    </row>
    <row r="5826" spans="8:9">
      <c r="H5826" s="2"/>
      <c r="I5826" s="2"/>
    </row>
    <row r="5827" spans="8:9">
      <c r="H5827" s="2"/>
      <c r="I5827" s="2"/>
    </row>
    <row r="5828" spans="8:9">
      <c r="H5828" s="2"/>
      <c r="I5828" s="2"/>
    </row>
    <row r="5829" spans="8:9">
      <c r="H5829" s="2"/>
      <c r="I5829" s="2"/>
    </row>
    <row r="5830" spans="8:9">
      <c r="H5830" s="2"/>
      <c r="I5830" s="2"/>
    </row>
    <row r="5831" spans="8:9">
      <c r="H5831" s="2"/>
      <c r="I5831" s="2"/>
    </row>
    <row r="5832" spans="8:9">
      <c r="H5832" s="2"/>
      <c r="I5832" s="2"/>
    </row>
    <row r="5833" spans="8:9">
      <c r="H5833" s="2"/>
      <c r="I5833" s="2"/>
    </row>
    <row r="5834" spans="8:9">
      <c r="H5834" s="2"/>
      <c r="I5834" s="2"/>
    </row>
    <row r="5835" spans="8:9">
      <c r="H5835" s="2"/>
      <c r="I5835" s="2"/>
    </row>
    <row r="5836" spans="8:9">
      <c r="H5836" s="2"/>
      <c r="I5836" s="2"/>
    </row>
    <row r="5837" spans="8:9">
      <c r="H5837" s="2"/>
      <c r="I5837" s="2"/>
    </row>
    <row r="5838" spans="8:9">
      <c r="H5838" s="2"/>
      <c r="I5838" s="2"/>
    </row>
    <row r="5839" spans="8:9">
      <c r="H5839" s="2"/>
      <c r="I5839" s="2"/>
    </row>
    <row r="5840" spans="8:9">
      <c r="H5840" s="2"/>
      <c r="I5840" s="2"/>
    </row>
    <row r="5841" spans="8:9">
      <c r="H5841" s="2"/>
      <c r="I5841" s="2"/>
    </row>
    <row r="5842" spans="8:9">
      <c r="H5842" s="2"/>
      <c r="I5842" s="2"/>
    </row>
    <row r="5843" spans="8:9">
      <c r="H5843" s="2"/>
      <c r="I5843" s="2"/>
    </row>
    <row r="5844" spans="8:9">
      <c r="H5844" s="2"/>
      <c r="I5844" s="2"/>
    </row>
    <row r="5845" spans="8:9">
      <c r="H5845" s="2"/>
      <c r="I5845" s="2"/>
    </row>
    <row r="5846" spans="8:9">
      <c r="H5846" s="2"/>
      <c r="I5846" s="2"/>
    </row>
    <row r="5847" spans="8:9">
      <c r="H5847" s="2"/>
      <c r="I5847" s="2"/>
    </row>
    <row r="5848" spans="8:9">
      <c r="H5848" s="2"/>
      <c r="I5848" s="2"/>
    </row>
    <row r="5849" spans="8:9">
      <c r="H5849" s="2"/>
      <c r="I5849" s="2"/>
    </row>
    <row r="5850" spans="8:9">
      <c r="H5850" s="2"/>
      <c r="I5850" s="2"/>
    </row>
    <row r="5851" spans="8:9">
      <c r="H5851" s="2"/>
      <c r="I5851" s="2"/>
    </row>
    <row r="5852" spans="8:9">
      <c r="H5852" s="2"/>
      <c r="I5852" s="2"/>
    </row>
    <row r="5853" spans="8:9">
      <c r="H5853" s="2"/>
      <c r="I5853" s="2"/>
    </row>
    <row r="5854" spans="8:9">
      <c r="H5854" s="2"/>
      <c r="I5854" s="2"/>
    </row>
    <row r="5855" spans="8:9">
      <c r="H5855" s="2"/>
      <c r="I5855" s="2"/>
    </row>
    <row r="5856" spans="8:9">
      <c r="H5856" s="2"/>
      <c r="I5856" s="2"/>
    </row>
    <row r="5857" spans="8:9">
      <c r="H5857" s="2"/>
      <c r="I5857" s="2"/>
    </row>
    <row r="5858" spans="8:9">
      <c r="H5858" s="2"/>
      <c r="I5858" s="2"/>
    </row>
    <row r="5859" spans="8:9">
      <c r="H5859" s="2"/>
      <c r="I5859" s="2"/>
    </row>
    <row r="5860" spans="8:9">
      <c r="H5860" s="2"/>
      <c r="I5860" s="2"/>
    </row>
    <row r="5861" spans="8:9">
      <c r="H5861" s="2"/>
      <c r="I5861" s="2"/>
    </row>
    <row r="5862" spans="8:9">
      <c r="H5862" s="2"/>
      <c r="I5862" s="2"/>
    </row>
    <row r="5863" spans="8:9">
      <c r="H5863" s="2"/>
      <c r="I5863" s="2"/>
    </row>
    <row r="5864" spans="8:9">
      <c r="H5864" s="2"/>
      <c r="I5864" s="2"/>
    </row>
    <row r="5865" spans="8:9">
      <c r="H5865" s="2"/>
      <c r="I5865" s="2"/>
    </row>
    <row r="5866" spans="8:9">
      <c r="H5866" s="2"/>
      <c r="I5866" s="2"/>
    </row>
    <row r="5867" spans="8:9">
      <c r="H5867" s="2"/>
      <c r="I5867" s="2"/>
    </row>
    <row r="5868" spans="8:9">
      <c r="H5868" s="2"/>
      <c r="I5868" s="2"/>
    </row>
    <row r="5869" spans="8:9">
      <c r="H5869" s="2"/>
      <c r="I5869" s="2"/>
    </row>
    <row r="5870" spans="8:9">
      <c r="H5870" s="2"/>
      <c r="I5870" s="2"/>
    </row>
    <row r="5871" spans="8:9">
      <c r="H5871" s="2"/>
      <c r="I5871" s="2"/>
    </row>
    <row r="5872" spans="8:9">
      <c r="H5872" s="2"/>
      <c r="I5872" s="2"/>
    </row>
    <row r="5873" spans="8:9">
      <c r="H5873" s="2"/>
      <c r="I5873" s="2"/>
    </row>
    <row r="5874" spans="8:9">
      <c r="H5874" s="2"/>
      <c r="I5874" s="2"/>
    </row>
    <row r="5875" spans="8:9">
      <c r="H5875" s="2"/>
      <c r="I5875" s="2"/>
    </row>
    <row r="5876" spans="8:9">
      <c r="H5876" s="2"/>
      <c r="I5876" s="2"/>
    </row>
    <row r="5877" spans="8:9">
      <c r="H5877" s="2"/>
      <c r="I5877" s="2"/>
    </row>
    <row r="5878" spans="8:9">
      <c r="H5878" s="2"/>
      <c r="I5878" s="2"/>
    </row>
    <row r="5879" spans="8:9">
      <c r="H5879" s="2"/>
      <c r="I5879" s="2"/>
    </row>
    <row r="5880" spans="8:9">
      <c r="H5880" s="2"/>
      <c r="I5880" s="2"/>
    </row>
    <row r="5881" spans="8:9">
      <c r="H5881" s="2"/>
      <c r="I5881" s="2"/>
    </row>
    <row r="5882" spans="8:9">
      <c r="H5882" s="2"/>
      <c r="I5882" s="2"/>
    </row>
    <row r="5883" spans="8:9">
      <c r="H5883" s="2"/>
      <c r="I5883" s="2"/>
    </row>
    <row r="5884" spans="8:9">
      <c r="H5884" s="2"/>
      <c r="I5884" s="2"/>
    </row>
    <row r="5885" spans="8:9">
      <c r="H5885" s="2"/>
      <c r="I5885" s="2"/>
    </row>
    <row r="5886" spans="8:9">
      <c r="H5886" s="2"/>
      <c r="I5886" s="2"/>
    </row>
    <row r="5887" spans="8:9">
      <c r="H5887" s="2"/>
      <c r="I5887" s="2"/>
    </row>
    <row r="5888" spans="8:9">
      <c r="H5888" s="2"/>
      <c r="I5888" s="2"/>
    </row>
    <row r="5889" spans="8:9">
      <c r="H5889" s="2"/>
      <c r="I5889" s="2"/>
    </row>
    <row r="5890" spans="8:9">
      <c r="H5890" s="2"/>
      <c r="I5890" s="2"/>
    </row>
    <row r="5891" spans="8:9">
      <c r="H5891" s="2"/>
      <c r="I5891" s="2"/>
    </row>
    <row r="5892" spans="8:9">
      <c r="H5892" s="2"/>
      <c r="I5892" s="2"/>
    </row>
    <row r="5893" spans="8:9">
      <c r="H5893" s="2"/>
      <c r="I5893" s="2"/>
    </row>
    <row r="5894" spans="8:9">
      <c r="H5894" s="2"/>
      <c r="I5894" s="2"/>
    </row>
    <row r="5895" spans="8:9">
      <c r="H5895" s="2"/>
      <c r="I5895" s="2"/>
    </row>
    <row r="5896" spans="8:9">
      <c r="H5896" s="2"/>
      <c r="I5896" s="2"/>
    </row>
    <row r="5897" spans="8:9">
      <c r="H5897" s="2"/>
      <c r="I5897" s="2"/>
    </row>
    <row r="5898" spans="8:9">
      <c r="H5898" s="2"/>
      <c r="I5898" s="2"/>
    </row>
    <row r="5899" spans="8:9">
      <c r="H5899" s="2"/>
      <c r="I5899" s="2"/>
    </row>
    <row r="5900" spans="8:9">
      <c r="H5900" s="2"/>
      <c r="I5900" s="2"/>
    </row>
    <row r="5901" spans="8:9">
      <c r="H5901" s="2"/>
      <c r="I5901" s="2"/>
    </row>
    <row r="5902" spans="8:9">
      <c r="H5902" s="2"/>
      <c r="I5902" s="2"/>
    </row>
    <row r="5903" spans="8:9">
      <c r="H5903" s="2"/>
      <c r="I5903" s="2"/>
    </row>
    <row r="5904" spans="8:9">
      <c r="H5904" s="2"/>
      <c r="I5904" s="2"/>
    </row>
    <row r="5905" spans="8:9">
      <c r="H5905" s="2"/>
      <c r="I5905" s="2"/>
    </row>
    <row r="5906" spans="8:9">
      <c r="H5906" s="2"/>
      <c r="I5906" s="2"/>
    </row>
    <row r="5907" spans="8:9">
      <c r="H5907" s="2"/>
      <c r="I5907" s="2"/>
    </row>
    <row r="5908" spans="8:9">
      <c r="H5908" s="2"/>
      <c r="I5908" s="2"/>
    </row>
    <row r="5909" spans="8:9">
      <c r="H5909" s="2"/>
      <c r="I5909" s="2"/>
    </row>
    <row r="5910" spans="8:9">
      <c r="H5910" s="2"/>
      <c r="I5910" s="2"/>
    </row>
    <row r="5911" spans="8:9">
      <c r="H5911" s="2"/>
      <c r="I5911" s="2"/>
    </row>
    <row r="5912" spans="8:9">
      <c r="H5912" s="2"/>
      <c r="I5912" s="2"/>
    </row>
    <row r="5913" spans="8:9">
      <c r="H5913" s="2"/>
      <c r="I5913" s="2"/>
    </row>
    <row r="5914" spans="8:9">
      <c r="H5914" s="2"/>
      <c r="I5914" s="2"/>
    </row>
    <row r="5915" spans="8:9">
      <c r="H5915" s="2"/>
      <c r="I5915" s="2"/>
    </row>
    <row r="5916" spans="8:9">
      <c r="H5916" s="2"/>
      <c r="I5916" s="2"/>
    </row>
    <row r="5917" spans="8:9">
      <c r="H5917" s="2"/>
      <c r="I5917" s="2"/>
    </row>
    <row r="5918" spans="8:9">
      <c r="H5918" s="2"/>
      <c r="I5918" s="2"/>
    </row>
    <row r="5919" spans="8:9">
      <c r="H5919" s="2"/>
      <c r="I5919" s="2"/>
    </row>
    <row r="5920" spans="8:9">
      <c r="H5920" s="2"/>
      <c r="I5920" s="2"/>
    </row>
    <row r="5921" spans="8:9">
      <c r="H5921" s="2"/>
      <c r="I5921" s="2"/>
    </row>
    <row r="5922" spans="8:9">
      <c r="H5922" s="2"/>
      <c r="I5922" s="2"/>
    </row>
    <row r="5923" spans="8:9">
      <c r="H5923" s="2"/>
      <c r="I5923" s="2"/>
    </row>
    <row r="5924" spans="8:9">
      <c r="H5924" s="2"/>
      <c r="I5924" s="2"/>
    </row>
    <row r="5925" spans="8:9">
      <c r="H5925" s="2"/>
      <c r="I5925" s="2"/>
    </row>
    <row r="5926" spans="8:9">
      <c r="H5926" s="2"/>
      <c r="I5926" s="2"/>
    </row>
    <row r="5927" spans="8:9">
      <c r="H5927" s="2"/>
      <c r="I5927" s="2"/>
    </row>
    <row r="5928" spans="8:9">
      <c r="H5928" s="2"/>
      <c r="I5928" s="2"/>
    </row>
    <row r="5929" spans="8:9">
      <c r="H5929" s="2"/>
      <c r="I5929" s="2"/>
    </row>
    <row r="5930" spans="8:9">
      <c r="H5930" s="2"/>
      <c r="I5930" s="2"/>
    </row>
    <row r="5931" spans="8:9">
      <c r="H5931" s="2"/>
      <c r="I5931" s="2"/>
    </row>
    <row r="5932" spans="8:9">
      <c r="H5932" s="2"/>
      <c r="I5932" s="2"/>
    </row>
    <row r="5933" spans="8:9">
      <c r="H5933" s="2"/>
      <c r="I5933" s="2"/>
    </row>
    <row r="5934" spans="8:9">
      <c r="H5934" s="2"/>
      <c r="I5934" s="2"/>
    </row>
    <row r="5935" spans="8:9">
      <c r="H5935" s="2"/>
      <c r="I5935" s="2"/>
    </row>
    <row r="5936" spans="8:9">
      <c r="H5936" s="2"/>
      <c r="I5936" s="2"/>
    </row>
    <row r="5937" spans="8:9">
      <c r="H5937" s="2"/>
      <c r="I5937" s="2"/>
    </row>
    <row r="5938" spans="8:9">
      <c r="H5938" s="2"/>
      <c r="I5938" s="2"/>
    </row>
    <row r="5939" spans="8:9">
      <c r="H5939" s="2"/>
      <c r="I5939" s="2"/>
    </row>
    <row r="5940" spans="8:9">
      <c r="H5940" s="2"/>
      <c r="I5940" s="2"/>
    </row>
    <row r="5941" spans="8:9">
      <c r="H5941" s="2"/>
      <c r="I5941" s="2"/>
    </row>
    <row r="5942" spans="8:9">
      <c r="H5942" s="2"/>
      <c r="I5942" s="2"/>
    </row>
    <row r="5943" spans="8:9">
      <c r="H5943" s="2"/>
      <c r="I5943" s="2"/>
    </row>
    <row r="5944" spans="8:9">
      <c r="H5944" s="2"/>
      <c r="I5944" s="2"/>
    </row>
    <row r="5945" spans="8:9">
      <c r="H5945" s="2"/>
      <c r="I5945" s="2"/>
    </row>
    <row r="5946" spans="8:9">
      <c r="H5946" s="2"/>
      <c r="I5946" s="2"/>
    </row>
    <row r="5947" spans="8:9">
      <c r="H5947" s="2"/>
      <c r="I5947" s="2"/>
    </row>
    <row r="5948" spans="8:9">
      <c r="H5948" s="2"/>
      <c r="I5948" s="2"/>
    </row>
    <row r="5949" spans="8:9">
      <c r="H5949" s="2"/>
      <c r="I5949" s="2"/>
    </row>
    <row r="5950" spans="8:9">
      <c r="H5950" s="2"/>
      <c r="I5950" s="2"/>
    </row>
    <row r="5951" spans="8:9">
      <c r="H5951" s="2"/>
      <c r="I5951" s="2"/>
    </row>
    <row r="5952" spans="8:9">
      <c r="H5952" s="2"/>
      <c r="I5952" s="2"/>
    </row>
    <row r="5953" spans="8:9">
      <c r="H5953" s="2"/>
      <c r="I5953" s="2"/>
    </row>
    <row r="5954" spans="8:9">
      <c r="H5954" s="2"/>
      <c r="I5954" s="2"/>
    </row>
    <row r="5955" spans="8:9">
      <c r="H5955" s="2"/>
      <c r="I5955" s="2"/>
    </row>
    <row r="5956" spans="8:9">
      <c r="H5956" s="2"/>
      <c r="I5956" s="2"/>
    </row>
    <row r="5957" spans="8:9">
      <c r="H5957" s="2"/>
      <c r="I5957" s="2"/>
    </row>
    <row r="5958" spans="8:9">
      <c r="H5958" s="2"/>
      <c r="I5958" s="2"/>
    </row>
    <row r="5959" spans="8:9">
      <c r="H5959" s="2"/>
      <c r="I5959" s="2"/>
    </row>
    <row r="5960" spans="8:9">
      <c r="H5960" s="2"/>
      <c r="I5960" s="2"/>
    </row>
    <row r="5961" spans="8:9">
      <c r="H5961" s="2"/>
      <c r="I5961" s="2"/>
    </row>
    <row r="5962" spans="8:9">
      <c r="H5962" s="2"/>
      <c r="I5962" s="2"/>
    </row>
    <row r="5963" spans="8:9">
      <c r="H5963" s="2"/>
      <c r="I5963" s="2"/>
    </row>
    <row r="5964" spans="8:9">
      <c r="H5964" s="2"/>
      <c r="I5964" s="2"/>
    </row>
    <row r="5965" spans="8:9">
      <c r="H5965" s="2"/>
      <c r="I5965" s="2"/>
    </row>
    <row r="5966" spans="8:9">
      <c r="H5966" s="2"/>
      <c r="I5966" s="2"/>
    </row>
    <row r="5967" spans="8:9">
      <c r="H5967" s="2"/>
      <c r="I5967" s="2"/>
    </row>
    <row r="5968" spans="8:9">
      <c r="H5968" s="2"/>
      <c r="I5968" s="2"/>
    </row>
    <row r="5969" spans="8:9">
      <c r="H5969" s="2"/>
      <c r="I5969" s="2"/>
    </row>
    <row r="5970" spans="8:9">
      <c r="H5970" s="2"/>
      <c r="I5970" s="2"/>
    </row>
    <row r="5971" spans="8:9">
      <c r="H5971" s="2"/>
      <c r="I5971" s="2"/>
    </row>
    <row r="5972" spans="8:9">
      <c r="H5972" s="2"/>
      <c r="I5972" s="2"/>
    </row>
    <row r="5973" spans="8:9">
      <c r="H5973" s="2"/>
      <c r="I5973" s="2"/>
    </row>
    <row r="5974" spans="8:9">
      <c r="H5974" s="2"/>
      <c r="I5974" s="2"/>
    </row>
    <row r="5975" spans="8:9">
      <c r="H5975" s="2"/>
      <c r="I5975" s="2"/>
    </row>
    <row r="5976" spans="8:9">
      <c r="H5976" s="2"/>
      <c r="I5976" s="2"/>
    </row>
    <row r="5977" spans="8:9">
      <c r="H5977" s="2"/>
      <c r="I5977" s="2"/>
    </row>
    <row r="5978" spans="8:9">
      <c r="H5978" s="2"/>
      <c r="I5978" s="2"/>
    </row>
    <row r="5979" spans="8:9">
      <c r="H5979" s="2"/>
      <c r="I5979" s="2"/>
    </row>
    <row r="5980" spans="8:9">
      <c r="H5980" s="2"/>
      <c r="I5980" s="2"/>
    </row>
    <row r="5981" spans="8:9">
      <c r="H5981" s="2"/>
      <c r="I5981" s="2"/>
    </row>
    <row r="5982" spans="8:9">
      <c r="H5982" s="2"/>
      <c r="I5982" s="2"/>
    </row>
    <row r="5983" spans="8:9">
      <c r="H5983" s="2"/>
      <c r="I5983" s="2"/>
    </row>
    <row r="5984" spans="8:9">
      <c r="H5984" s="2"/>
      <c r="I5984" s="2"/>
    </row>
    <row r="5985" spans="8:9">
      <c r="H5985" s="2"/>
      <c r="I5985" s="2"/>
    </row>
    <row r="5986" spans="8:9">
      <c r="H5986" s="2"/>
      <c r="I5986" s="2"/>
    </row>
    <row r="5987" spans="8:9">
      <c r="H5987" s="2"/>
      <c r="I5987" s="2"/>
    </row>
    <row r="5988" spans="8:9">
      <c r="H5988" s="2"/>
      <c r="I5988" s="2"/>
    </row>
    <row r="5989" spans="8:9">
      <c r="H5989" s="2"/>
      <c r="I5989" s="2"/>
    </row>
    <row r="5990" spans="8:9">
      <c r="H5990" s="2"/>
      <c r="I5990" s="2"/>
    </row>
    <row r="5991" spans="8:9">
      <c r="H5991" s="2"/>
      <c r="I5991" s="2"/>
    </row>
    <row r="5992" spans="8:9">
      <c r="H5992" s="2"/>
      <c r="I5992" s="2"/>
    </row>
    <row r="5993" spans="8:9">
      <c r="H5993" s="2"/>
      <c r="I5993" s="2"/>
    </row>
    <row r="5994" spans="8:9">
      <c r="H5994" s="2"/>
      <c r="I5994" s="2"/>
    </row>
    <row r="5995" spans="8:9">
      <c r="H5995" s="2"/>
      <c r="I5995" s="2"/>
    </row>
    <row r="5996" spans="8:9">
      <c r="H5996" s="2"/>
      <c r="I5996" s="2"/>
    </row>
    <row r="5997" spans="8:9">
      <c r="H5997" s="2"/>
      <c r="I5997" s="2"/>
    </row>
    <row r="5998" spans="8:9">
      <c r="H5998" s="2"/>
      <c r="I5998" s="2"/>
    </row>
    <row r="5999" spans="8:9">
      <c r="H5999" s="2"/>
      <c r="I5999" s="2"/>
    </row>
    <row r="6000" spans="8:9">
      <c r="H6000" s="2"/>
      <c r="I6000" s="2"/>
    </row>
    <row r="6001" spans="8:9">
      <c r="H6001" s="2"/>
      <c r="I6001" s="2"/>
    </row>
    <row r="6002" spans="8:9">
      <c r="H6002" s="2"/>
      <c r="I6002" s="2"/>
    </row>
    <row r="6003" spans="8:9">
      <c r="H6003" s="2"/>
      <c r="I6003" s="2"/>
    </row>
    <row r="6004" spans="8:9">
      <c r="H6004" s="2"/>
      <c r="I6004" s="2"/>
    </row>
    <row r="6005" spans="8:9">
      <c r="H6005" s="2"/>
      <c r="I6005" s="2"/>
    </row>
    <row r="6006" spans="8:9">
      <c r="H6006" s="2"/>
      <c r="I6006" s="2"/>
    </row>
    <row r="6007" spans="8:9">
      <c r="H6007" s="2"/>
      <c r="I6007" s="2"/>
    </row>
    <row r="6008" spans="8:9">
      <c r="H6008" s="2"/>
      <c r="I6008" s="2"/>
    </row>
    <row r="6009" spans="8:9">
      <c r="H6009" s="2"/>
      <c r="I6009" s="2"/>
    </row>
    <row r="6010" spans="8:9">
      <c r="H6010" s="2"/>
      <c r="I6010" s="2"/>
    </row>
    <row r="6011" spans="8:9">
      <c r="H6011" s="2"/>
      <c r="I6011" s="2"/>
    </row>
    <row r="6012" spans="8:9">
      <c r="H6012" s="2"/>
      <c r="I6012" s="2"/>
    </row>
    <row r="6013" spans="8:9">
      <c r="H6013" s="2"/>
      <c r="I6013" s="2"/>
    </row>
    <row r="6014" spans="8:9">
      <c r="H6014" s="2"/>
      <c r="I6014" s="2"/>
    </row>
    <row r="6015" spans="8:9">
      <c r="H6015" s="2"/>
      <c r="I6015" s="2"/>
    </row>
    <row r="6016" spans="8:9">
      <c r="H6016" s="2"/>
      <c r="I6016" s="2"/>
    </row>
    <row r="6017" spans="8:9">
      <c r="H6017" s="2"/>
      <c r="I6017" s="2"/>
    </row>
    <row r="6018" spans="8:9">
      <c r="H6018" s="2"/>
      <c r="I6018" s="2"/>
    </row>
    <row r="6019" spans="8:9">
      <c r="H6019" s="2"/>
      <c r="I6019" s="2"/>
    </row>
    <row r="6020" spans="8:9">
      <c r="H6020" s="2"/>
      <c r="I6020" s="2"/>
    </row>
    <row r="6021" spans="8:9">
      <c r="H6021" s="2"/>
      <c r="I6021" s="2"/>
    </row>
    <row r="6022" spans="8:9">
      <c r="H6022" s="2"/>
      <c r="I6022" s="2"/>
    </row>
    <row r="6023" spans="8:9">
      <c r="H6023" s="2"/>
      <c r="I6023" s="2"/>
    </row>
    <row r="6024" spans="8:9">
      <c r="H6024" s="2"/>
      <c r="I6024" s="2"/>
    </row>
    <row r="6025" spans="8:9">
      <c r="H6025" s="2"/>
      <c r="I6025" s="2"/>
    </row>
    <row r="6026" spans="8:9">
      <c r="H6026" s="2"/>
      <c r="I6026" s="2"/>
    </row>
    <row r="6027" spans="8:9">
      <c r="H6027" s="2"/>
      <c r="I6027" s="2"/>
    </row>
    <row r="6028" spans="8:9">
      <c r="H6028" s="2"/>
      <c r="I6028" s="2"/>
    </row>
    <row r="6029" spans="8:9">
      <c r="H6029" s="2"/>
      <c r="I6029" s="2"/>
    </row>
    <row r="6030" spans="8:9">
      <c r="H6030" s="2"/>
      <c r="I6030" s="2"/>
    </row>
    <row r="6031" spans="8:9">
      <c r="H6031" s="2"/>
      <c r="I6031" s="2"/>
    </row>
    <row r="6032" spans="8:9">
      <c r="H6032" s="2"/>
      <c r="I6032" s="2"/>
    </row>
    <row r="6033" spans="8:9">
      <c r="H6033" s="2"/>
      <c r="I6033" s="2"/>
    </row>
    <row r="6034" spans="8:9">
      <c r="H6034" s="2"/>
      <c r="I6034" s="2"/>
    </row>
    <row r="6035" spans="8:9">
      <c r="H6035" s="2"/>
      <c r="I6035" s="2"/>
    </row>
    <row r="6036" spans="8:9">
      <c r="H6036" s="2"/>
      <c r="I6036" s="2"/>
    </row>
    <row r="6037" spans="8:9">
      <c r="H6037" s="2"/>
      <c r="I6037" s="2"/>
    </row>
    <row r="6038" spans="8:9">
      <c r="H6038" s="2"/>
      <c r="I6038" s="2"/>
    </row>
    <row r="6039" spans="8:9">
      <c r="H6039" s="2"/>
      <c r="I6039" s="2"/>
    </row>
    <row r="6040" spans="8:9">
      <c r="H6040" s="2"/>
      <c r="I6040" s="2"/>
    </row>
    <row r="6041" spans="8:9">
      <c r="H6041" s="2"/>
      <c r="I6041" s="2"/>
    </row>
    <row r="6042" spans="8:9">
      <c r="H6042" s="2"/>
      <c r="I6042" s="2"/>
    </row>
    <row r="6043" spans="8:9">
      <c r="H6043" s="2"/>
      <c r="I6043" s="2"/>
    </row>
    <row r="6044" spans="8:9">
      <c r="H6044" s="2"/>
      <c r="I6044" s="2"/>
    </row>
    <row r="6045" spans="8:9">
      <c r="H6045" s="2"/>
      <c r="I6045" s="2"/>
    </row>
    <row r="6046" spans="8:9">
      <c r="H6046" s="2"/>
      <c r="I6046" s="2"/>
    </row>
    <row r="6047" spans="8:9">
      <c r="H6047" s="2"/>
      <c r="I6047" s="2"/>
    </row>
    <row r="6048" spans="8:9">
      <c r="H6048" s="2"/>
      <c r="I6048" s="2"/>
    </row>
    <row r="6049" spans="8:9">
      <c r="H6049" s="2"/>
      <c r="I6049" s="2"/>
    </row>
    <row r="6050" spans="8:9">
      <c r="H6050" s="2"/>
      <c r="I6050" s="2"/>
    </row>
    <row r="6051" spans="8:9">
      <c r="H6051" s="2"/>
      <c r="I6051" s="2"/>
    </row>
    <row r="6052" spans="8:9">
      <c r="H6052" s="2"/>
      <c r="I6052" s="2"/>
    </row>
    <row r="6053" spans="8:9">
      <c r="H6053" s="2"/>
      <c r="I6053" s="2"/>
    </row>
    <row r="6054" spans="8:9">
      <c r="H6054" s="2"/>
      <c r="I6054" s="2"/>
    </row>
    <row r="6055" spans="8:9">
      <c r="H6055" s="2"/>
      <c r="I6055" s="2"/>
    </row>
    <row r="6056" spans="8:9">
      <c r="H6056" s="2"/>
      <c r="I6056" s="2"/>
    </row>
    <row r="6057" spans="8:9">
      <c r="H6057" s="2"/>
      <c r="I6057" s="2"/>
    </row>
    <row r="6058" spans="8:9">
      <c r="H6058" s="2"/>
      <c r="I6058" s="2"/>
    </row>
    <row r="6059" spans="8:9">
      <c r="H6059" s="2"/>
      <c r="I6059" s="2"/>
    </row>
    <row r="6060" spans="8:9">
      <c r="H6060" s="2"/>
      <c r="I6060" s="2"/>
    </row>
    <row r="6061" spans="8:9">
      <c r="H6061" s="2"/>
      <c r="I6061" s="2"/>
    </row>
    <row r="6062" spans="8:9">
      <c r="H6062" s="2"/>
      <c r="I6062" s="2"/>
    </row>
    <row r="6063" spans="8:9">
      <c r="H6063" s="2"/>
      <c r="I6063" s="2"/>
    </row>
    <row r="6064" spans="8:9">
      <c r="H6064" s="2"/>
      <c r="I6064" s="2"/>
    </row>
    <row r="6065" spans="8:9">
      <c r="H6065" s="2"/>
      <c r="I6065" s="2"/>
    </row>
    <row r="6066" spans="8:9">
      <c r="H6066" s="2"/>
      <c r="I6066" s="2"/>
    </row>
    <row r="6067" spans="8:9">
      <c r="H6067" s="2"/>
      <c r="I6067" s="2"/>
    </row>
    <row r="6068" spans="8:9">
      <c r="H6068" s="2"/>
      <c r="I6068" s="2"/>
    </row>
    <row r="6069" spans="8:9">
      <c r="H6069" s="2"/>
      <c r="I6069" s="2"/>
    </row>
    <row r="6070" spans="8:9">
      <c r="H6070" s="2"/>
      <c r="I6070" s="2"/>
    </row>
    <row r="6071" spans="8:9">
      <c r="H6071" s="2"/>
      <c r="I6071" s="2"/>
    </row>
    <row r="6072" spans="8:9">
      <c r="H6072" s="2"/>
      <c r="I6072" s="2"/>
    </row>
    <row r="6073" spans="8:9">
      <c r="H6073" s="2"/>
      <c r="I6073" s="2"/>
    </row>
    <row r="6074" spans="8:9">
      <c r="H6074" s="2"/>
      <c r="I6074" s="2"/>
    </row>
    <row r="6075" spans="8:9">
      <c r="H6075" s="2"/>
      <c r="I6075" s="2"/>
    </row>
    <row r="6076" spans="8:9">
      <c r="H6076" s="2"/>
      <c r="I6076" s="2"/>
    </row>
    <row r="6077" spans="8:9">
      <c r="H6077" s="2"/>
      <c r="I6077" s="2"/>
    </row>
    <row r="6078" spans="8:9">
      <c r="H6078" s="2"/>
      <c r="I6078" s="2"/>
    </row>
    <row r="6079" spans="8:9">
      <c r="H6079" s="2"/>
      <c r="I6079" s="2"/>
    </row>
    <row r="6080" spans="8:9">
      <c r="H6080" s="2"/>
      <c r="I6080" s="2"/>
    </row>
    <row r="6081" spans="8:9">
      <c r="H6081" s="2"/>
      <c r="I6081" s="2"/>
    </row>
    <row r="6082" spans="8:9">
      <c r="H6082" s="2"/>
      <c r="I6082" s="2"/>
    </row>
    <row r="6083" spans="8:9">
      <c r="H6083" s="2"/>
      <c r="I6083" s="2"/>
    </row>
    <row r="6084" spans="8:9">
      <c r="H6084" s="2"/>
      <c r="I6084" s="2"/>
    </row>
    <row r="6085" spans="8:9">
      <c r="H6085" s="2"/>
      <c r="I6085" s="2"/>
    </row>
    <row r="6086" spans="8:9">
      <c r="H6086" s="2"/>
      <c r="I6086" s="2"/>
    </row>
    <row r="6087" spans="8:9">
      <c r="H6087" s="2"/>
      <c r="I6087" s="2"/>
    </row>
    <row r="6088" spans="8:9">
      <c r="H6088" s="2"/>
      <c r="I6088" s="2"/>
    </row>
    <row r="6089" spans="8:9">
      <c r="H6089" s="2"/>
      <c r="I6089" s="2"/>
    </row>
    <row r="6090" spans="8:9">
      <c r="H6090" s="2"/>
      <c r="I6090" s="2"/>
    </row>
    <row r="6091" spans="8:9">
      <c r="H6091" s="2"/>
      <c r="I6091" s="2"/>
    </row>
    <row r="6092" spans="8:9">
      <c r="H6092" s="2"/>
      <c r="I6092" s="2"/>
    </row>
    <row r="6093" spans="8:9">
      <c r="H6093" s="2"/>
      <c r="I6093" s="2"/>
    </row>
    <row r="6094" spans="8:9">
      <c r="H6094" s="2"/>
      <c r="I6094" s="2"/>
    </row>
    <row r="6095" spans="8:9">
      <c r="H6095" s="2"/>
      <c r="I6095" s="2"/>
    </row>
    <row r="6096" spans="8:9">
      <c r="H6096" s="2"/>
      <c r="I6096" s="2"/>
    </row>
    <row r="6097" spans="8:9">
      <c r="H6097" s="2"/>
      <c r="I6097" s="2"/>
    </row>
    <row r="6098" spans="8:9">
      <c r="H6098" s="2"/>
      <c r="I6098" s="2"/>
    </row>
    <row r="6099" spans="8:9">
      <c r="H6099" s="2"/>
      <c r="I6099" s="2"/>
    </row>
    <row r="6100" spans="8:9">
      <c r="H6100" s="2"/>
      <c r="I6100" s="2"/>
    </row>
    <row r="6101" spans="8:9">
      <c r="H6101" s="2"/>
      <c r="I6101" s="2"/>
    </row>
    <row r="6102" spans="8:9">
      <c r="H6102" s="2"/>
      <c r="I6102" s="2"/>
    </row>
    <row r="6103" spans="8:9">
      <c r="H6103" s="2"/>
      <c r="I6103" s="2"/>
    </row>
    <row r="6104" spans="8:9">
      <c r="H6104" s="2"/>
      <c r="I6104" s="2"/>
    </row>
    <row r="6105" spans="8:9">
      <c r="H6105" s="2"/>
      <c r="I6105" s="2"/>
    </row>
    <row r="6106" spans="8:9">
      <c r="H6106" s="2"/>
      <c r="I6106" s="2"/>
    </row>
    <row r="6107" spans="8:9">
      <c r="H6107" s="2"/>
      <c r="I6107" s="2"/>
    </row>
    <row r="6108" spans="8:9">
      <c r="H6108" s="2"/>
      <c r="I6108" s="2"/>
    </row>
    <row r="6109" spans="8:9">
      <c r="H6109" s="2"/>
      <c r="I6109" s="2"/>
    </row>
    <row r="6110" spans="8:9">
      <c r="H6110" s="2"/>
      <c r="I6110" s="2"/>
    </row>
    <row r="6111" spans="8:9">
      <c r="H6111" s="2"/>
      <c r="I6111" s="2"/>
    </row>
    <row r="6112" spans="8:9">
      <c r="H6112" s="2"/>
      <c r="I6112" s="2"/>
    </row>
    <row r="6113" spans="8:9">
      <c r="H6113" s="2"/>
      <c r="I6113" s="2"/>
    </row>
    <row r="6114" spans="8:9">
      <c r="H6114" s="2"/>
      <c r="I6114" s="2"/>
    </row>
    <row r="6115" spans="8:9">
      <c r="H6115" s="2"/>
      <c r="I6115" s="2"/>
    </row>
    <row r="6116" spans="8:9">
      <c r="H6116" s="2"/>
      <c r="I6116" s="2"/>
    </row>
    <row r="6117" spans="8:9">
      <c r="H6117" s="2"/>
      <c r="I6117" s="2"/>
    </row>
    <row r="6118" spans="8:9">
      <c r="H6118" s="2"/>
      <c r="I6118" s="2"/>
    </row>
    <row r="6119" spans="8:9">
      <c r="H6119" s="2"/>
      <c r="I6119" s="2"/>
    </row>
    <row r="6120" spans="8:9">
      <c r="H6120" s="2"/>
      <c r="I6120" s="2"/>
    </row>
    <row r="6121" spans="8:9">
      <c r="H6121" s="2"/>
      <c r="I6121" s="2"/>
    </row>
    <row r="6122" spans="8:9">
      <c r="H6122" s="2"/>
      <c r="I6122" s="2"/>
    </row>
    <row r="6123" spans="8:9">
      <c r="H6123" s="2"/>
      <c r="I6123" s="2"/>
    </row>
    <row r="6124" spans="8:9">
      <c r="H6124" s="2"/>
      <c r="I6124" s="2"/>
    </row>
    <row r="6125" spans="8:9">
      <c r="H6125" s="2"/>
      <c r="I6125" s="2"/>
    </row>
    <row r="6126" spans="8:9">
      <c r="H6126" s="2"/>
      <c r="I6126" s="2"/>
    </row>
    <row r="6127" spans="8:9">
      <c r="H6127" s="2"/>
      <c r="I6127" s="2"/>
    </row>
    <row r="6128" spans="8:9">
      <c r="H6128" s="2"/>
      <c r="I6128" s="2"/>
    </row>
    <row r="6129" spans="8:9">
      <c r="H6129" s="2"/>
      <c r="I6129" s="2"/>
    </row>
    <row r="6130" spans="8:9">
      <c r="H6130" s="2"/>
      <c r="I6130" s="2"/>
    </row>
    <row r="6131" spans="8:9">
      <c r="H6131" s="2"/>
      <c r="I6131" s="2"/>
    </row>
    <row r="6132" spans="8:9">
      <c r="H6132" s="2"/>
      <c r="I6132" s="2"/>
    </row>
    <row r="6133" spans="8:9">
      <c r="H6133" s="2"/>
      <c r="I6133" s="2"/>
    </row>
    <row r="6134" spans="8:9">
      <c r="H6134" s="2"/>
      <c r="I6134" s="2"/>
    </row>
    <row r="6135" spans="8:9">
      <c r="H6135" s="2"/>
      <c r="I6135" s="2"/>
    </row>
    <row r="6136" spans="8:9">
      <c r="H6136" s="2"/>
      <c r="I6136" s="2"/>
    </row>
    <row r="6137" spans="8:9">
      <c r="H6137" s="2"/>
      <c r="I6137" s="2"/>
    </row>
    <row r="6138" spans="8:9">
      <c r="H6138" s="2"/>
      <c r="I6138" s="2"/>
    </row>
    <row r="6139" spans="8:9">
      <c r="H6139" s="2"/>
      <c r="I6139" s="2"/>
    </row>
    <row r="6140" spans="8:9">
      <c r="H6140" s="2"/>
      <c r="I6140" s="2"/>
    </row>
    <row r="6141" spans="8:9">
      <c r="H6141" s="2"/>
      <c r="I6141" s="2"/>
    </row>
    <row r="6142" spans="8:9">
      <c r="H6142" s="2"/>
      <c r="I6142" s="2"/>
    </row>
    <row r="6143" spans="8:9">
      <c r="H6143" s="2"/>
      <c r="I6143" s="2"/>
    </row>
    <row r="6144" spans="8:9">
      <c r="H6144" s="2"/>
      <c r="I6144" s="2"/>
    </row>
    <row r="6145" spans="8:9">
      <c r="H6145" s="2"/>
      <c r="I6145" s="2"/>
    </row>
    <row r="6146" spans="8:9">
      <c r="H6146" s="2"/>
      <c r="I6146" s="2"/>
    </row>
    <row r="6147" spans="8:9">
      <c r="H6147" s="2"/>
      <c r="I6147" s="2"/>
    </row>
    <row r="6148" spans="8:9">
      <c r="H6148" s="2"/>
      <c r="I6148" s="2"/>
    </row>
    <row r="6149" spans="8:9">
      <c r="H6149" s="2"/>
      <c r="I6149" s="2"/>
    </row>
    <row r="6150" spans="8:9">
      <c r="H6150" s="2"/>
      <c r="I6150" s="2"/>
    </row>
    <row r="6151" spans="8:9">
      <c r="H6151" s="2"/>
      <c r="I6151" s="2"/>
    </row>
    <row r="6152" spans="8:9">
      <c r="H6152" s="2"/>
      <c r="I6152" s="2"/>
    </row>
    <row r="6153" spans="8:9">
      <c r="H6153" s="2"/>
      <c r="I6153" s="2"/>
    </row>
    <row r="6154" spans="8:9">
      <c r="H6154" s="2"/>
      <c r="I6154" s="2"/>
    </row>
    <row r="6155" spans="8:9">
      <c r="H6155" s="2"/>
      <c r="I6155" s="2"/>
    </row>
    <row r="6156" spans="8:9">
      <c r="H6156" s="2"/>
      <c r="I6156" s="2"/>
    </row>
    <row r="6157" spans="8:9">
      <c r="H6157" s="2"/>
      <c r="I6157" s="2"/>
    </row>
    <row r="6158" spans="8:9">
      <c r="H6158" s="2"/>
      <c r="I6158" s="2"/>
    </row>
    <row r="6159" spans="8:9">
      <c r="H6159" s="2"/>
      <c r="I6159" s="2"/>
    </row>
    <row r="6160" spans="8:9">
      <c r="H6160" s="2"/>
      <c r="I6160" s="2"/>
    </row>
    <row r="6161" spans="8:9">
      <c r="H6161" s="2"/>
      <c r="I6161" s="2"/>
    </row>
    <row r="6162" spans="8:9">
      <c r="H6162" s="2"/>
      <c r="I6162" s="2"/>
    </row>
    <row r="6163" spans="8:9">
      <c r="H6163" s="2"/>
      <c r="I6163" s="2"/>
    </row>
    <row r="6164" spans="8:9">
      <c r="H6164" s="2"/>
      <c r="I6164" s="2"/>
    </row>
    <row r="6165" spans="8:9">
      <c r="H6165" s="2"/>
      <c r="I6165" s="2"/>
    </row>
    <row r="6166" spans="8:9">
      <c r="H6166" s="2"/>
      <c r="I6166" s="2"/>
    </row>
    <row r="6167" spans="8:9">
      <c r="H6167" s="2"/>
      <c r="I6167" s="2"/>
    </row>
    <row r="6168" spans="8:9">
      <c r="H6168" s="2"/>
      <c r="I6168" s="2"/>
    </row>
    <row r="6169" spans="8:9">
      <c r="H6169" s="2"/>
      <c r="I6169" s="2"/>
    </row>
    <row r="6170" spans="8:9">
      <c r="H6170" s="2"/>
      <c r="I6170" s="2"/>
    </row>
    <row r="6171" spans="8:9">
      <c r="H6171" s="2"/>
      <c r="I6171" s="2"/>
    </row>
    <row r="6172" spans="8:9">
      <c r="H6172" s="2"/>
      <c r="I6172" s="2"/>
    </row>
    <row r="6173" spans="8:9">
      <c r="H6173" s="2"/>
      <c r="I6173" s="2"/>
    </row>
    <row r="6174" spans="8:9">
      <c r="H6174" s="2"/>
      <c r="I6174" s="2"/>
    </row>
    <row r="6175" spans="8:9">
      <c r="H6175" s="2"/>
      <c r="I6175" s="2"/>
    </row>
    <row r="6176" spans="8:9">
      <c r="H6176" s="2"/>
      <c r="I6176" s="2"/>
    </row>
    <row r="6177" spans="8:9">
      <c r="H6177" s="2"/>
      <c r="I6177" s="2"/>
    </row>
    <row r="6178" spans="8:9">
      <c r="H6178" s="2"/>
      <c r="I6178" s="2"/>
    </row>
    <row r="6179" spans="8:9">
      <c r="H6179" s="2"/>
      <c r="I6179" s="2"/>
    </row>
    <row r="6180" spans="8:9">
      <c r="H6180" s="2"/>
      <c r="I6180" s="2"/>
    </row>
    <row r="6181" spans="8:9">
      <c r="H6181" s="2"/>
      <c r="I6181" s="2"/>
    </row>
    <row r="6182" spans="8:9">
      <c r="H6182" s="2"/>
      <c r="I6182" s="2"/>
    </row>
    <row r="6183" spans="8:9">
      <c r="H6183" s="2"/>
      <c r="I6183" s="2"/>
    </row>
    <row r="6184" spans="8:9">
      <c r="H6184" s="2"/>
      <c r="I6184" s="2"/>
    </row>
    <row r="6185" spans="8:9">
      <c r="H6185" s="2"/>
      <c r="I6185" s="2"/>
    </row>
    <row r="6186" spans="8:9">
      <c r="H6186" s="2"/>
      <c r="I6186" s="2"/>
    </row>
    <row r="6187" spans="8:9">
      <c r="H6187" s="2"/>
      <c r="I6187" s="2"/>
    </row>
    <row r="6188" spans="8:9">
      <c r="H6188" s="2"/>
      <c r="I6188" s="2"/>
    </row>
    <row r="6189" spans="8:9">
      <c r="H6189" s="2"/>
      <c r="I6189" s="2"/>
    </row>
    <row r="6190" spans="8:9">
      <c r="H6190" s="2"/>
      <c r="I6190" s="2"/>
    </row>
    <row r="6191" spans="8:9">
      <c r="H6191" s="2"/>
      <c r="I6191" s="2"/>
    </row>
    <row r="6192" spans="8:9">
      <c r="H6192" s="2"/>
      <c r="I6192" s="2"/>
    </row>
    <row r="6193" spans="8:9">
      <c r="H6193" s="2"/>
      <c r="I6193" s="2"/>
    </row>
    <row r="6194" spans="8:9">
      <c r="H6194" s="2"/>
      <c r="I6194" s="2"/>
    </row>
    <row r="6195" spans="8:9">
      <c r="H6195" s="2"/>
      <c r="I6195" s="2"/>
    </row>
    <row r="6196" spans="8:9">
      <c r="H6196" s="2"/>
      <c r="I6196" s="2"/>
    </row>
    <row r="6197" spans="8:9">
      <c r="H6197" s="2"/>
      <c r="I6197" s="2"/>
    </row>
    <row r="6198" spans="8:9">
      <c r="H6198" s="2"/>
      <c r="I6198" s="2"/>
    </row>
    <row r="6199" spans="8:9">
      <c r="H6199" s="2"/>
      <c r="I6199" s="2"/>
    </row>
    <row r="6200" spans="8:9">
      <c r="H6200" s="2"/>
      <c r="I6200" s="2"/>
    </row>
    <row r="6201" spans="8:9">
      <c r="H6201" s="2"/>
      <c r="I6201" s="2"/>
    </row>
    <row r="6202" spans="8:9">
      <c r="H6202" s="2"/>
      <c r="I6202" s="2"/>
    </row>
    <row r="6203" spans="8:9">
      <c r="H6203" s="2"/>
      <c r="I6203" s="2"/>
    </row>
    <row r="6204" spans="8:9">
      <c r="H6204" s="2"/>
      <c r="I6204" s="2"/>
    </row>
    <row r="6205" spans="8:9">
      <c r="H6205" s="2"/>
      <c r="I6205" s="2"/>
    </row>
    <row r="6206" spans="8:9">
      <c r="H6206" s="2"/>
      <c r="I6206" s="2"/>
    </row>
    <row r="6207" spans="8:9">
      <c r="H6207" s="2"/>
      <c r="I6207" s="2"/>
    </row>
    <row r="6208" spans="8:9">
      <c r="H6208" s="2"/>
      <c r="I6208" s="2"/>
    </row>
    <row r="6209" spans="8:9">
      <c r="H6209" s="2"/>
      <c r="I6209" s="2"/>
    </row>
    <row r="6210" spans="8:9">
      <c r="H6210" s="2"/>
      <c r="I6210" s="2"/>
    </row>
    <row r="6211" spans="8:9">
      <c r="H6211" s="2"/>
      <c r="I6211" s="2"/>
    </row>
    <row r="6212" spans="8:9">
      <c r="H6212" s="2"/>
      <c r="I6212" s="2"/>
    </row>
    <row r="6213" spans="8:9">
      <c r="H6213" s="2"/>
      <c r="I6213" s="2"/>
    </row>
    <row r="6214" spans="8:9">
      <c r="H6214" s="2"/>
      <c r="I6214" s="2"/>
    </row>
    <row r="6215" spans="8:9">
      <c r="H6215" s="2"/>
      <c r="I6215" s="2"/>
    </row>
    <row r="6216" spans="8:9">
      <c r="H6216" s="2"/>
      <c r="I6216" s="2"/>
    </row>
    <row r="6217" spans="8:9">
      <c r="H6217" s="2"/>
      <c r="I6217" s="2"/>
    </row>
    <row r="6218" spans="8:9">
      <c r="H6218" s="2"/>
      <c r="I6218" s="2"/>
    </row>
    <row r="6219" spans="8:9">
      <c r="H6219" s="2"/>
      <c r="I6219" s="2"/>
    </row>
    <row r="6220" spans="8:9">
      <c r="H6220" s="2"/>
      <c r="I6220" s="2"/>
    </row>
    <row r="6221" spans="8:9">
      <c r="H6221" s="2"/>
      <c r="I6221" s="2"/>
    </row>
    <row r="6222" spans="8:9">
      <c r="H6222" s="2"/>
      <c r="I6222" s="2"/>
    </row>
    <row r="6223" spans="8:9">
      <c r="H6223" s="2"/>
      <c r="I6223" s="2"/>
    </row>
    <row r="6224" spans="8:9">
      <c r="H6224" s="2"/>
      <c r="I6224" s="2"/>
    </row>
    <row r="6225" spans="8:9">
      <c r="H6225" s="2"/>
      <c r="I6225" s="2"/>
    </row>
    <row r="6226" spans="8:9">
      <c r="H6226" s="2"/>
      <c r="I6226" s="2"/>
    </row>
    <row r="6227" spans="8:9">
      <c r="H6227" s="2"/>
      <c r="I6227" s="2"/>
    </row>
    <row r="6228" spans="8:9">
      <c r="H6228" s="2"/>
      <c r="I6228" s="2"/>
    </row>
    <row r="6229" spans="8:9">
      <c r="H6229" s="2"/>
      <c r="I6229" s="2"/>
    </row>
    <row r="6230" spans="8:9">
      <c r="H6230" s="2"/>
      <c r="I6230" s="2"/>
    </row>
    <row r="6231" spans="8:9">
      <c r="H6231" s="2"/>
      <c r="I6231" s="2"/>
    </row>
    <row r="6232" spans="8:9">
      <c r="H6232" s="2"/>
      <c r="I6232" s="2"/>
    </row>
    <row r="6233" spans="8:9">
      <c r="H6233" s="2"/>
      <c r="I6233" s="2"/>
    </row>
    <row r="6234" spans="8:9">
      <c r="H6234" s="2"/>
      <c r="I6234" s="2"/>
    </row>
    <row r="6235" spans="8:9">
      <c r="H6235" s="2"/>
      <c r="I6235" s="2"/>
    </row>
    <row r="6236" spans="8:9">
      <c r="H6236" s="2"/>
      <c r="I6236" s="2"/>
    </row>
    <row r="6237" spans="8:9">
      <c r="H6237" s="2"/>
      <c r="I6237" s="2"/>
    </row>
    <row r="6238" spans="8:9">
      <c r="H6238" s="2"/>
      <c r="I6238" s="2"/>
    </row>
    <row r="6239" spans="8:9">
      <c r="H6239" s="2"/>
      <c r="I6239" s="2"/>
    </row>
    <row r="6240" spans="8:9">
      <c r="H6240" s="2"/>
      <c r="I6240" s="2"/>
    </row>
    <row r="6241" spans="8:9">
      <c r="H6241" s="2"/>
      <c r="I6241" s="2"/>
    </row>
    <row r="6242" spans="8:9">
      <c r="H6242" s="2"/>
      <c r="I6242" s="2"/>
    </row>
    <row r="6243" spans="8:9">
      <c r="H6243" s="2"/>
      <c r="I6243" s="2"/>
    </row>
    <row r="6244" spans="8:9">
      <c r="H6244" s="2"/>
      <c r="I6244" s="2"/>
    </row>
    <row r="6245" spans="8:9">
      <c r="H6245" s="2"/>
      <c r="I6245" s="2"/>
    </row>
    <row r="6246" spans="8:9">
      <c r="H6246" s="2"/>
      <c r="I6246" s="2"/>
    </row>
    <row r="6247" spans="8:9">
      <c r="H6247" s="2"/>
      <c r="I6247" s="2"/>
    </row>
    <row r="6248" spans="8:9">
      <c r="H6248" s="2"/>
      <c r="I6248" s="2"/>
    </row>
    <row r="6249" spans="8:9">
      <c r="H6249" s="2"/>
      <c r="I6249" s="2"/>
    </row>
    <row r="6250" spans="8:9">
      <c r="H6250" s="2"/>
      <c r="I6250" s="2"/>
    </row>
    <row r="6251" spans="8:9">
      <c r="H6251" s="2"/>
      <c r="I6251" s="2"/>
    </row>
    <row r="6252" spans="8:9">
      <c r="H6252" s="2"/>
      <c r="I6252" s="2"/>
    </row>
    <row r="6253" spans="8:9">
      <c r="H6253" s="2"/>
      <c r="I6253" s="2"/>
    </row>
    <row r="6254" spans="8:9">
      <c r="H6254" s="2"/>
      <c r="I6254" s="2"/>
    </row>
    <row r="6255" spans="8:9">
      <c r="H6255" s="2"/>
      <c r="I6255" s="2"/>
    </row>
    <row r="6256" spans="8:9">
      <c r="H6256" s="2"/>
      <c r="I6256" s="2"/>
    </row>
    <row r="6257" spans="8:9">
      <c r="H6257" s="2"/>
      <c r="I6257" s="2"/>
    </row>
    <row r="6258" spans="8:9">
      <c r="H6258" s="2"/>
      <c r="I6258" s="2"/>
    </row>
    <row r="6259" spans="8:9">
      <c r="H6259" s="2"/>
      <c r="I6259" s="2"/>
    </row>
    <row r="6260" spans="8:9">
      <c r="H6260" s="2"/>
      <c r="I6260" s="2"/>
    </row>
    <row r="6261" spans="8:9">
      <c r="H6261" s="2"/>
      <c r="I6261" s="2"/>
    </row>
    <row r="6262" spans="8:9">
      <c r="H6262" s="2"/>
      <c r="I6262" s="2"/>
    </row>
    <row r="6263" spans="8:9">
      <c r="H6263" s="2"/>
      <c r="I6263" s="2"/>
    </row>
    <row r="6264" spans="8:9">
      <c r="H6264" s="2"/>
      <c r="I6264" s="2"/>
    </row>
    <row r="6265" spans="8:9">
      <c r="H6265" s="2"/>
      <c r="I6265" s="2"/>
    </row>
    <row r="6266" spans="8:9">
      <c r="H6266" s="2"/>
      <c r="I6266" s="2"/>
    </row>
    <row r="6267" spans="8:9">
      <c r="H6267" s="2"/>
      <c r="I6267" s="2"/>
    </row>
    <row r="6268" spans="8:9">
      <c r="H6268" s="2"/>
      <c r="I6268" s="2"/>
    </row>
    <row r="6269" spans="8:9">
      <c r="H6269" s="2"/>
      <c r="I6269" s="2"/>
    </row>
    <row r="6270" spans="8:9">
      <c r="H6270" s="2"/>
      <c r="I6270" s="2"/>
    </row>
    <row r="6271" spans="8:9">
      <c r="H6271" s="2"/>
      <c r="I6271" s="2"/>
    </row>
    <row r="6272" spans="8:9">
      <c r="H6272" s="2"/>
      <c r="I6272" s="2"/>
    </row>
    <row r="6273" spans="8:9">
      <c r="H6273" s="2"/>
      <c r="I6273" s="2"/>
    </row>
    <row r="6274" spans="8:9">
      <c r="H6274" s="2"/>
      <c r="I6274" s="2"/>
    </row>
    <row r="6275" spans="8:9">
      <c r="H6275" s="2"/>
      <c r="I6275" s="2"/>
    </row>
    <row r="6276" spans="8:9">
      <c r="H6276" s="2"/>
      <c r="I6276" s="2"/>
    </row>
    <row r="6277" spans="8:9">
      <c r="H6277" s="2"/>
      <c r="I6277" s="2"/>
    </row>
    <row r="6278" spans="8:9">
      <c r="H6278" s="2"/>
      <c r="I6278" s="2"/>
    </row>
    <row r="6279" spans="8:9">
      <c r="H6279" s="2"/>
      <c r="I6279" s="2"/>
    </row>
    <row r="6280" spans="8:9">
      <c r="H6280" s="2"/>
      <c r="I6280" s="2"/>
    </row>
    <row r="6281" spans="8:9">
      <c r="H6281" s="2"/>
      <c r="I6281" s="2"/>
    </row>
    <row r="6282" spans="8:9">
      <c r="H6282" s="2"/>
      <c r="I6282" s="2"/>
    </row>
    <row r="6283" spans="8:9">
      <c r="H6283" s="2"/>
      <c r="I6283" s="2"/>
    </row>
    <row r="6284" spans="8:9">
      <c r="H6284" s="2"/>
      <c r="I6284" s="2"/>
    </row>
    <row r="6285" spans="8:9">
      <c r="H6285" s="2"/>
      <c r="I6285" s="2"/>
    </row>
    <row r="6286" spans="8:9">
      <c r="H6286" s="2"/>
      <c r="I6286" s="2"/>
    </row>
    <row r="6287" spans="8:9">
      <c r="H6287" s="2"/>
      <c r="I6287" s="2"/>
    </row>
    <row r="6288" spans="8:9">
      <c r="H6288" s="2"/>
      <c r="I6288" s="2"/>
    </row>
    <row r="6289" spans="8:9">
      <c r="H6289" s="2"/>
      <c r="I6289" s="2"/>
    </row>
    <row r="6290" spans="8:9">
      <c r="H6290" s="2"/>
      <c r="I6290" s="2"/>
    </row>
    <row r="6291" spans="8:9">
      <c r="H6291" s="2"/>
      <c r="I6291" s="2"/>
    </row>
    <row r="6292" spans="8:9">
      <c r="H6292" s="2"/>
      <c r="I6292" s="2"/>
    </row>
    <row r="6293" spans="8:9">
      <c r="H6293" s="2"/>
      <c r="I6293" s="2"/>
    </row>
    <row r="6294" spans="8:9">
      <c r="H6294" s="2"/>
      <c r="I6294" s="2"/>
    </row>
    <row r="6295" spans="8:9">
      <c r="H6295" s="2"/>
      <c r="I6295" s="2"/>
    </row>
    <row r="6296" spans="8:9">
      <c r="H6296" s="2"/>
      <c r="I6296" s="2"/>
    </row>
    <row r="6297" spans="8:9">
      <c r="H6297" s="2"/>
      <c r="I6297" s="2"/>
    </row>
    <row r="6298" spans="8:9">
      <c r="H6298" s="2"/>
      <c r="I6298" s="2"/>
    </row>
    <row r="6299" spans="8:9">
      <c r="H6299" s="2"/>
      <c r="I6299" s="2"/>
    </row>
    <row r="6300" spans="8:9">
      <c r="H6300" s="2"/>
      <c r="I6300" s="2"/>
    </row>
    <row r="6301" spans="8:9">
      <c r="H6301" s="2"/>
      <c r="I6301" s="2"/>
    </row>
    <row r="6302" spans="8:9">
      <c r="H6302" s="2"/>
      <c r="I6302" s="2"/>
    </row>
    <row r="6303" spans="8:9">
      <c r="H6303" s="2"/>
      <c r="I6303" s="2"/>
    </row>
    <row r="6304" spans="8:9">
      <c r="H6304" s="2"/>
      <c r="I6304" s="2"/>
    </row>
    <row r="6305" spans="8:9">
      <c r="H6305" s="2"/>
      <c r="I6305" s="2"/>
    </row>
    <row r="6306" spans="8:9">
      <c r="H6306" s="2"/>
      <c r="I6306" s="2"/>
    </row>
    <row r="6307" spans="8:9">
      <c r="H6307" s="2"/>
      <c r="I6307" s="2"/>
    </row>
    <row r="6308" spans="8:9">
      <c r="H6308" s="2"/>
      <c r="I6308" s="2"/>
    </row>
    <row r="6309" spans="8:9">
      <c r="H6309" s="2"/>
      <c r="I6309" s="2"/>
    </row>
    <row r="6310" spans="8:9">
      <c r="H6310" s="2"/>
      <c r="I6310" s="2"/>
    </row>
    <row r="6311" spans="8:9">
      <c r="H6311" s="2"/>
      <c r="I6311" s="2"/>
    </row>
    <row r="6312" spans="8:9">
      <c r="H6312" s="2"/>
      <c r="I6312" s="2"/>
    </row>
    <row r="6313" spans="8:9">
      <c r="H6313" s="2"/>
      <c r="I6313" s="2"/>
    </row>
    <row r="6314" spans="8:9">
      <c r="H6314" s="2"/>
      <c r="I6314" s="2"/>
    </row>
    <row r="6315" spans="8:9">
      <c r="H6315" s="2"/>
      <c r="I6315" s="2"/>
    </row>
    <row r="6316" spans="8:9">
      <c r="H6316" s="2"/>
      <c r="I6316" s="2"/>
    </row>
    <row r="6317" spans="8:9">
      <c r="H6317" s="2"/>
      <c r="I6317" s="2"/>
    </row>
    <row r="6318" spans="8:9">
      <c r="H6318" s="2"/>
      <c r="I6318" s="2"/>
    </row>
    <row r="6319" spans="8:9">
      <c r="H6319" s="2"/>
      <c r="I6319" s="2"/>
    </row>
    <row r="6320" spans="8:9">
      <c r="H6320" s="2"/>
      <c r="I6320" s="2"/>
    </row>
    <row r="6321" spans="8:9">
      <c r="H6321" s="2"/>
      <c r="I6321" s="2"/>
    </row>
    <row r="6322" spans="8:9">
      <c r="H6322" s="2"/>
      <c r="I6322" s="2"/>
    </row>
    <row r="6323" spans="8:9">
      <c r="H6323" s="2"/>
      <c r="I6323" s="2"/>
    </row>
    <row r="6324" spans="8:9">
      <c r="H6324" s="2"/>
      <c r="I6324" s="2"/>
    </row>
    <row r="6325" spans="8:9">
      <c r="H6325" s="2"/>
      <c r="I6325" s="2"/>
    </row>
    <row r="6326" spans="8:9">
      <c r="H6326" s="2"/>
      <c r="I6326" s="2"/>
    </row>
    <row r="6327" spans="8:9">
      <c r="H6327" s="2"/>
      <c r="I6327" s="2"/>
    </row>
    <row r="6328" spans="8:9">
      <c r="H6328" s="2"/>
      <c r="I6328" s="2"/>
    </row>
    <row r="6329" spans="8:9">
      <c r="H6329" s="2"/>
      <c r="I6329" s="2"/>
    </row>
    <row r="6330" spans="8:9">
      <c r="H6330" s="2"/>
      <c r="I6330" s="2"/>
    </row>
    <row r="6331" spans="8:9">
      <c r="H6331" s="2"/>
      <c r="I6331" s="2"/>
    </row>
    <row r="6332" spans="8:9">
      <c r="H6332" s="2"/>
      <c r="I6332" s="2"/>
    </row>
    <row r="6333" spans="8:9">
      <c r="H6333" s="2"/>
      <c r="I6333" s="2"/>
    </row>
    <row r="6334" spans="8:9">
      <c r="H6334" s="2"/>
      <c r="I6334" s="2"/>
    </row>
    <row r="6335" spans="8:9">
      <c r="H6335" s="2"/>
      <c r="I6335" s="2"/>
    </row>
    <row r="6336" spans="8:9">
      <c r="H6336" s="2"/>
      <c r="I6336" s="2"/>
    </row>
    <row r="6337" spans="8:9">
      <c r="H6337" s="2"/>
      <c r="I6337" s="2"/>
    </row>
    <row r="6338" spans="8:9">
      <c r="H6338" s="2"/>
      <c r="I6338" s="2"/>
    </row>
    <row r="6339" spans="8:9">
      <c r="H6339" s="2"/>
      <c r="I6339" s="2"/>
    </row>
    <row r="6340" spans="8:9">
      <c r="H6340" s="2"/>
      <c r="I6340" s="2"/>
    </row>
    <row r="6341" spans="8:9">
      <c r="H6341" s="2"/>
      <c r="I6341" s="2"/>
    </row>
    <row r="6342" spans="8:9">
      <c r="H6342" s="2"/>
      <c r="I6342" s="2"/>
    </row>
    <row r="6343" spans="8:9">
      <c r="H6343" s="2"/>
      <c r="I6343" s="2"/>
    </row>
    <row r="6344" spans="8:9">
      <c r="H6344" s="2"/>
      <c r="I6344" s="2"/>
    </row>
    <row r="6345" spans="8:9">
      <c r="H6345" s="2"/>
      <c r="I6345" s="2"/>
    </row>
    <row r="6346" spans="8:9">
      <c r="H6346" s="2"/>
      <c r="I6346" s="2"/>
    </row>
    <row r="6347" spans="8:9">
      <c r="H6347" s="2"/>
      <c r="I6347" s="2"/>
    </row>
    <row r="6348" spans="8:9">
      <c r="H6348" s="2"/>
      <c r="I6348" s="2"/>
    </row>
    <row r="6349" spans="8:9">
      <c r="H6349" s="2"/>
      <c r="I6349" s="2"/>
    </row>
    <row r="6350" spans="8:9">
      <c r="H6350" s="2"/>
      <c r="I6350" s="2"/>
    </row>
    <row r="6351" spans="8:9">
      <c r="H6351" s="2"/>
      <c r="I6351" s="2"/>
    </row>
    <row r="6352" spans="8:9">
      <c r="H6352" s="2"/>
      <c r="I6352" s="2"/>
    </row>
    <row r="6353" spans="8:9">
      <c r="H6353" s="2"/>
      <c r="I6353" s="2"/>
    </row>
    <row r="6354" spans="8:9">
      <c r="H6354" s="2"/>
      <c r="I6354" s="2"/>
    </row>
    <row r="6355" spans="8:9">
      <c r="H6355" s="2"/>
      <c r="I6355" s="2"/>
    </row>
    <row r="6356" spans="8:9">
      <c r="H6356" s="2"/>
      <c r="I6356" s="2"/>
    </row>
    <row r="6357" spans="8:9">
      <c r="H6357" s="2"/>
      <c r="I6357" s="2"/>
    </row>
    <row r="6358" spans="8:9">
      <c r="H6358" s="2"/>
      <c r="I6358" s="2"/>
    </row>
    <row r="6359" spans="8:9">
      <c r="H6359" s="2"/>
      <c r="I6359" s="2"/>
    </row>
    <row r="6360" spans="8:9">
      <c r="H6360" s="2"/>
      <c r="I6360" s="2"/>
    </row>
    <row r="6361" spans="8:9">
      <c r="H6361" s="2"/>
      <c r="I6361" s="2"/>
    </row>
    <row r="6362" spans="8:9">
      <c r="H6362" s="2"/>
      <c r="I6362" s="2"/>
    </row>
    <row r="6363" spans="8:9">
      <c r="H6363" s="2"/>
      <c r="I6363" s="2"/>
    </row>
    <row r="6364" spans="8:9">
      <c r="H6364" s="2"/>
      <c r="I6364" s="2"/>
    </row>
    <row r="6365" spans="8:9">
      <c r="H6365" s="2"/>
      <c r="I6365" s="2"/>
    </row>
    <row r="6366" spans="8:9">
      <c r="H6366" s="2"/>
      <c r="I6366" s="2"/>
    </row>
    <row r="6367" spans="8:9">
      <c r="H6367" s="2"/>
      <c r="I6367" s="2"/>
    </row>
    <row r="6368" spans="8:9">
      <c r="H6368" s="2"/>
      <c r="I6368" s="2"/>
    </row>
    <row r="6369" spans="8:9">
      <c r="H6369" s="2"/>
      <c r="I6369" s="2"/>
    </row>
    <row r="6370" spans="8:9">
      <c r="H6370" s="2"/>
      <c r="I6370" s="2"/>
    </row>
    <row r="6371" spans="8:9">
      <c r="H6371" s="2"/>
      <c r="I6371" s="2"/>
    </row>
    <row r="6372" spans="8:9">
      <c r="H6372" s="2"/>
      <c r="I6372" s="2"/>
    </row>
    <row r="6373" spans="8:9">
      <c r="H6373" s="2"/>
      <c r="I6373" s="2"/>
    </row>
    <row r="6374" spans="8:9">
      <c r="H6374" s="2"/>
      <c r="I6374" s="2"/>
    </row>
    <row r="6375" spans="8:9">
      <c r="H6375" s="2"/>
      <c r="I6375" s="2"/>
    </row>
    <row r="6376" spans="8:9">
      <c r="H6376" s="2"/>
      <c r="I6376" s="2"/>
    </row>
    <row r="6377" spans="8:9">
      <c r="H6377" s="2"/>
      <c r="I6377" s="2"/>
    </row>
    <row r="6378" spans="8:9">
      <c r="H6378" s="2"/>
      <c r="I6378" s="2"/>
    </row>
    <row r="6379" spans="8:9">
      <c r="H6379" s="2"/>
      <c r="I6379" s="2"/>
    </row>
    <row r="6380" spans="8:9">
      <c r="H6380" s="2"/>
      <c r="I6380" s="2"/>
    </row>
    <row r="6381" spans="8:9">
      <c r="H6381" s="2"/>
      <c r="I6381" s="2"/>
    </row>
    <row r="6382" spans="8:9">
      <c r="H6382" s="2"/>
      <c r="I6382" s="2"/>
    </row>
    <row r="6383" spans="8:9">
      <c r="H6383" s="2"/>
      <c r="I6383" s="2"/>
    </row>
    <row r="6384" spans="8:9">
      <c r="H6384" s="2"/>
      <c r="I6384" s="2"/>
    </row>
    <row r="6385" spans="8:9">
      <c r="H6385" s="2"/>
      <c r="I6385" s="2"/>
    </row>
    <row r="6386" spans="8:9">
      <c r="H6386" s="2"/>
      <c r="I6386" s="2"/>
    </row>
    <row r="6387" spans="8:9">
      <c r="H6387" s="2"/>
      <c r="I6387" s="2"/>
    </row>
    <row r="6388" spans="8:9">
      <c r="H6388" s="2"/>
      <c r="I6388" s="2"/>
    </row>
    <row r="6389" spans="8:9">
      <c r="H6389" s="2"/>
      <c r="I6389" s="2"/>
    </row>
    <row r="6390" spans="8:9">
      <c r="H6390" s="2"/>
      <c r="I6390" s="2"/>
    </row>
    <row r="6391" spans="8:9">
      <c r="H6391" s="2"/>
      <c r="I6391" s="2"/>
    </row>
    <row r="6392" spans="8:9">
      <c r="H6392" s="2"/>
      <c r="I6392" s="2"/>
    </row>
    <row r="6393" spans="8:9">
      <c r="H6393" s="2"/>
      <c r="I6393" s="2"/>
    </row>
    <row r="6394" spans="8:9">
      <c r="H6394" s="2"/>
      <c r="I6394" s="2"/>
    </row>
    <row r="6395" spans="8:9">
      <c r="H6395" s="2"/>
      <c r="I6395" s="2"/>
    </row>
    <row r="6396" spans="8:9">
      <c r="H6396" s="2"/>
      <c r="I6396" s="2"/>
    </row>
    <row r="6397" spans="8:9">
      <c r="H6397" s="2"/>
      <c r="I6397" s="2"/>
    </row>
    <row r="6398" spans="8:9">
      <c r="H6398" s="2"/>
      <c r="I6398" s="2"/>
    </row>
    <row r="6399" spans="8:9">
      <c r="H6399" s="2"/>
      <c r="I6399" s="2"/>
    </row>
    <row r="6400" spans="8:9">
      <c r="H6400" s="2"/>
      <c r="I6400" s="2"/>
    </row>
    <row r="6401" spans="8:9">
      <c r="H6401" s="2"/>
      <c r="I6401" s="2"/>
    </row>
    <row r="6402" spans="8:9">
      <c r="H6402" s="2"/>
      <c r="I6402" s="2"/>
    </row>
    <row r="6403" spans="8:9">
      <c r="H6403" s="2"/>
      <c r="I6403" s="2"/>
    </row>
    <row r="6404" spans="8:9">
      <c r="H6404" s="2"/>
      <c r="I6404" s="2"/>
    </row>
    <row r="6405" spans="8:9">
      <c r="H6405" s="2"/>
      <c r="I6405" s="2"/>
    </row>
    <row r="6406" spans="8:9">
      <c r="H6406" s="2"/>
      <c r="I6406" s="2"/>
    </row>
    <row r="6407" spans="8:9">
      <c r="H6407" s="2"/>
      <c r="I6407" s="2"/>
    </row>
    <row r="6408" spans="8:9">
      <c r="H6408" s="2"/>
      <c r="I6408" s="2"/>
    </row>
    <row r="6409" spans="8:9">
      <c r="H6409" s="2"/>
      <c r="I6409" s="2"/>
    </row>
    <row r="6410" spans="8:9">
      <c r="H6410" s="2"/>
      <c r="I6410" s="2"/>
    </row>
    <row r="6411" spans="8:9">
      <c r="H6411" s="2"/>
      <c r="I6411" s="2"/>
    </row>
    <row r="6412" spans="8:9">
      <c r="H6412" s="2"/>
      <c r="I6412" s="2"/>
    </row>
    <row r="6413" spans="8:9">
      <c r="H6413" s="2"/>
      <c r="I6413" s="2"/>
    </row>
    <row r="6414" spans="8:9">
      <c r="H6414" s="2"/>
      <c r="I6414" s="2"/>
    </row>
    <row r="6415" spans="8:9">
      <c r="H6415" s="2"/>
      <c r="I6415" s="2"/>
    </row>
    <row r="6416" spans="8:9">
      <c r="H6416" s="2"/>
      <c r="I6416" s="2"/>
    </row>
    <row r="6417" spans="8:9">
      <c r="H6417" s="2"/>
      <c r="I6417" s="2"/>
    </row>
    <row r="6418" spans="8:9">
      <c r="H6418" s="2"/>
      <c r="I6418" s="2"/>
    </row>
    <row r="6419" spans="8:9">
      <c r="H6419" s="2"/>
      <c r="I6419" s="2"/>
    </row>
    <row r="6420" spans="8:9">
      <c r="H6420" s="2"/>
      <c r="I6420" s="2"/>
    </row>
    <row r="6421" spans="8:9">
      <c r="H6421" s="2"/>
      <c r="I6421" s="2"/>
    </row>
    <row r="6422" spans="8:9">
      <c r="H6422" s="2"/>
      <c r="I6422" s="2"/>
    </row>
    <row r="6423" spans="8:9">
      <c r="H6423" s="2"/>
      <c r="I6423" s="2"/>
    </row>
    <row r="6424" spans="8:9">
      <c r="H6424" s="2"/>
      <c r="I6424" s="2"/>
    </row>
    <row r="6425" spans="8:9">
      <c r="H6425" s="2"/>
      <c r="I6425" s="2"/>
    </row>
    <row r="6426" spans="8:9">
      <c r="H6426" s="2"/>
      <c r="I6426" s="2"/>
    </row>
    <row r="6427" spans="8:9">
      <c r="H6427" s="2"/>
      <c r="I6427" s="2"/>
    </row>
    <row r="6428" spans="8:9">
      <c r="H6428" s="2"/>
      <c r="I6428" s="2"/>
    </row>
    <row r="6429" spans="8:9">
      <c r="H6429" s="2"/>
      <c r="I6429" s="2"/>
    </row>
    <row r="6430" spans="8:9">
      <c r="H6430" s="2"/>
      <c r="I6430" s="2"/>
    </row>
    <row r="6431" spans="8:9">
      <c r="H6431" s="2"/>
      <c r="I6431" s="2"/>
    </row>
    <row r="6432" spans="8:9">
      <c r="H6432" s="2"/>
      <c r="I6432" s="2"/>
    </row>
    <row r="6433" spans="8:9">
      <c r="H6433" s="2"/>
      <c r="I6433" s="2"/>
    </row>
    <row r="6434" spans="8:9">
      <c r="H6434" s="2"/>
      <c r="I6434" s="2"/>
    </row>
    <row r="6435" spans="8:9">
      <c r="H6435" s="2"/>
      <c r="I6435" s="2"/>
    </row>
    <row r="6436" spans="8:9">
      <c r="H6436" s="2"/>
      <c r="I6436" s="2"/>
    </row>
    <row r="6437" spans="8:9">
      <c r="H6437" s="2"/>
      <c r="I6437" s="2"/>
    </row>
    <row r="6438" spans="8:9">
      <c r="H6438" s="2"/>
      <c r="I6438" s="2"/>
    </row>
    <row r="6439" spans="8:9">
      <c r="H6439" s="2"/>
      <c r="I6439" s="2"/>
    </row>
    <row r="6440" spans="8:9">
      <c r="H6440" s="2"/>
      <c r="I6440" s="2"/>
    </row>
    <row r="6441" spans="8:9">
      <c r="H6441" s="2"/>
      <c r="I6441" s="2"/>
    </row>
    <row r="6442" spans="8:9">
      <c r="H6442" s="2"/>
      <c r="I6442" s="2"/>
    </row>
    <row r="6443" spans="8:9">
      <c r="H6443" s="2"/>
      <c r="I6443" s="2"/>
    </row>
    <row r="6444" spans="8:9">
      <c r="H6444" s="2"/>
      <c r="I6444" s="2"/>
    </row>
    <row r="6445" spans="8:9">
      <c r="H6445" s="2"/>
      <c r="I6445" s="2"/>
    </row>
    <row r="6446" spans="8:9">
      <c r="H6446" s="2"/>
      <c r="I6446" s="2"/>
    </row>
    <row r="6447" spans="8:9">
      <c r="H6447" s="2"/>
      <c r="I6447" s="2"/>
    </row>
    <row r="6448" spans="8:9">
      <c r="H6448" s="2"/>
      <c r="I6448" s="2"/>
    </row>
    <row r="6449" spans="8:9">
      <c r="H6449" s="2"/>
      <c r="I6449" s="2"/>
    </row>
    <row r="6450" spans="8:9">
      <c r="H6450" s="2"/>
      <c r="I6450" s="2"/>
    </row>
    <row r="6451" spans="8:9">
      <c r="H6451" s="2"/>
      <c r="I6451" s="2"/>
    </row>
    <row r="6452" spans="8:9">
      <c r="H6452" s="2"/>
      <c r="I6452" s="2"/>
    </row>
    <row r="6453" spans="8:9">
      <c r="H6453" s="2"/>
      <c r="I6453" s="2"/>
    </row>
    <row r="6454" spans="8:9">
      <c r="H6454" s="2"/>
      <c r="I6454" s="2"/>
    </row>
    <row r="6455" spans="8:9">
      <c r="H6455" s="2"/>
      <c r="I6455" s="2"/>
    </row>
    <row r="6456" spans="8:9">
      <c r="H6456" s="2"/>
      <c r="I6456" s="2"/>
    </row>
    <row r="6457" spans="8:9">
      <c r="H6457" s="2"/>
      <c r="I6457" s="2"/>
    </row>
    <row r="6458" spans="8:9">
      <c r="H6458" s="2"/>
      <c r="I6458" s="2"/>
    </row>
    <row r="6459" spans="8:9">
      <c r="H6459" s="2"/>
      <c r="I6459" s="2"/>
    </row>
    <row r="6460" spans="8:9">
      <c r="H6460" s="2"/>
      <c r="I6460" s="2"/>
    </row>
    <row r="6461" spans="8:9">
      <c r="H6461" s="2"/>
      <c r="I6461" s="2"/>
    </row>
    <row r="6462" spans="8:9">
      <c r="H6462" s="2"/>
      <c r="I6462" s="2"/>
    </row>
    <row r="6463" spans="8:9">
      <c r="H6463" s="2"/>
      <c r="I6463" s="2"/>
    </row>
    <row r="6464" spans="8:9">
      <c r="H6464" s="2"/>
      <c r="I6464" s="2"/>
    </row>
    <row r="6465" spans="8:9">
      <c r="H6465" s="2"/>
      <c r="I6465" s="2"/>
    </row>
    <row r="6466" spans="8:9">
      <c r="H6466" s="2"/>
      <c r="I6466" s="2"/>
    </row>
    <row r="6467" spans="8:9">
      <c r="H6467" s="2"/>
      <c r="I6467" s="2"/>
    </row>
    <row r="6468" spans="8:9">
      <c r="H6468" s="2"/>
      <c r="I6468" s="2"/>
    </row>
    <row r="6469" spans="8:9">
      <c r="H6469" s="2"/>
      <c r="I6469" s="2"/>
    </row>
    <row r="6470" spans="8:9">
      <c r="H6470" s="2"/>
      <c r="I6470" s="2"/>
    </row>
    <row r="6471" spans="8:9">
      <c r="H6471" s="2"/>
      <c r="I6471" s="2"/>
    </row>
    <row r="6472" spans="8:9">
      <c r="H6472" s="2"/>
      <c r="I6472" s="2"/>
    </row>
    <row r="6473" spans="8:9">
      <c r="H6473" s="2"/>
      <c r="I6473" s="2"/>
    </row>
    <row r="6474" spans="8:9">
      <c r="H6474" s="2"/>
      <c r="I6474" s="2"/>
    </row>
    <row r="6475" spans="8:9">
      <c r="H6475" s="2"/>
      <c r="I6475" s="2"/>
    </row>
    <row r="6476" spans="8:9">
      <c r="H6476" s="2"/>
      <c r="I6476" s="2"/>
    </row>
    <row r="6477" spans="8:9">
      <c r="H6477" s="2"/>
      <c r="I6477" s="2"/>
    </row>
    <row r="6478" spans="8:9">
      <c r="H6478" s="2"/>
      <c r="I6478" s="2"/>
    </row>
    <row r="6479" spans="8:9">
      <c r="H6479" s="2"/>
      <c r="I6479" s="2"/>
    </row>
    <row r="6480" spans="8:9">
      <c r="H6480" s="2"/>
      <c r="I6480" s="2"/>
    </row>
    <row r="6481" spans="8:9">
      <c r="H6481" s="2"/>
      <c r="I6481" s="2"/>
    </row>
    <row r="6482" spans="8:9">
      <c r="H6482" s="2"/>
      <c r="I6482" s="2"/>
    </row>
    <row r="6483" spans="8:9">
      <c r="H6483" s="2"/>
      <c r="I6483" s="2"/>
    </row>
    <row r="6484" spans="8:9">
      <c r="H6484" s="2"/>
      <c r="I6484" s="2"/>
    </row>
    <row r="6485" spans="8:9">
      <c r="H6485" s="2"/>
      <c r="I6485" s="2"/>
    </row>
    <row r="6486" spans="8:9">
      <c r="H6486" s="2"/>
      <c r="I6486" s="2"/>
    </row>
    <row r="6487" spans="8:9">
      <c r="H6487" s="2"/>
      <c r="I6487" s="2"/>
    </row>
    <row r="6488" spans="8:9">
      <c r="H6488" s="2"/>
      <c r="I6488" s="2"/>
    </row>
    <row r="6489" spans="8:9">
      <c r="H6489" s="2"/>
      <c r="I6489" s="2"/>
    </row>
    <row r="6490" spans="8:9">
      <c r="H6490" s="2"/>
      <c r="I6490" s="2"/>
    </row>
    <row r="6491" spans="8:9">
      <c r="H6491" s="2"/>
      <c r="I6491" s="2"/>
    </row>
    <row r="6492" spans="8:9">
      <c r="H6492" s="2"/>
      <c r="I6492" s="2"/>
    </row>
    <row r="6493" spans="8:9">
      <c r="H6493" s="2"/>
      <c r="I6493" s="2"/>
    </row>
    <row r="6494" spans="8:9">
      <c r="H6494" s="2"/>
      <c r="I6494" s="2"/>
    </row>
    <row r="6495" spans="8:9">
      <c r="H6495" s="2"/>
      <c r="I6495" s="2"/>
    </row>
    <row r="6496" spans="8:9">
      <c r="H6496" s="2"/>
      <c r="I6496" s="2"/>
    </row>
    <row r="6497" spans="8:9">
      <c r="H6497" s="2"/>
      <c r="I6497" s="2"/>
    </row>
    <row r="6498" spans="8:9">
      <c r="H6498" s="2"/>
      <c r="I6498" s="2"/>
    </row>
    <row r="6499" spans="8:9">
      <c r="H6499" s="2"/>
      <c r="I6499" s="2"/>
    </row>
    <row r="6500" spans="8:9">
      <c r="H6500" s="2"/>
      <c r="I6500" s="2"/>
    </row>
    <row r="6501" spans="8:9">
      <c r="H6501" s="2"/>
      <c r="I6501" s="2"/>
    </row>
    <row r="6502" spans="8:9">
      <c r="H6502" s="2"/>
      <c r="I6502" s="2"/>
    </row>
    <row r="6503" spans="8:9">
      <c r="H6503" s="2"/>
      <c r="I6503" s="2"/>
    </row>
    <row r="6504" spans="8:9">
      <c r="H6504" s="2"/>
      <c r="I6504" s="2"/>
    </row>
    <row r="6505" spans="8:9">
      <c r="H6505" s="2"/>
      <c r="I6505" s="2"/>
    </row>
    <row r="6506" spans="8:9">
      <c r="H6506" s="2"/>
      <c r="I6506" s="2"/>
    </row>
    <row r="6507" spans="8:9">
      <c r="H6507" s="2"/>
      <c r="I6507" s="2"/>
    </row>
    <row r="6508" spans="8:9">
      <c r="H6508" s="2"/>
      <c r="I6508" s="2"/>
    </row>
    <row r="6509" spans="8:9">
      <c r="H6509" s="2"/>
      <c r="I6509" s="2"/>
    </row>
    <row r="6510" spans="8:9">
      <c r="H6510" s="2"/>
      <c r="I6510" s="2"/>
    </row>
    <row r="6511" spans="8:9">
      <c r="H6511" s="2"/>
      <c r="I6511" s="2"/>
    </row>
    <row r="6512" spans="8:9">
      <c r="H6512" s="2"/>
      <c r="I6512" s="2"/>
    </row>
    <row r="6513" spans="8:9">
      <c r="H6513" s="2"/>
      <c r="I6513" s="2"/>
    </row>
    <row r="6514" spans="8:9">
      <c r="H6514" s="2"/>
      <c r="I6514" s="2"/>
    </row>
    <row r="6515" spans="8:9">
      <c r="H6515" s="2"/>
      <c r="I6515" s="2"/>
    </row>
    <row r="6516" spans="8:9">
      <c r="H6516" s="2"/>
      <c r="I6516" s="2"/>
    </row>
    <row r="6517" spans="8:9">
      <c r="H6517" s="2"/>
      <c r="I6517" s="2"/>
    </row>
    <row r="6518" spans="8:9">
      <c r="H6518" s="2"/>
      <c r="I6518" s="2"/>
    </row>
    <row r="6519" spans="8:9">
      <c r="H6519" s="2"/>
      <c r="I6519" s="2"/>
    </row>
    <row r="6520" spans="8:9">
      <c r="H6520" s="2"/>
      <c r="I6520" s="2"/>
    </row>
    <row r="6521" spans="8:9">
      <c r="H6521" s="2"/>
      <c r="I6521" s="2"/>
    </row>
    <row r="6522" spans="8:9">
      <c r="H6522" s="2"/>
      <c r="I6522" s="2"/>
    </row>
    <row r="6523" spans="8:9">
      <c r="H6523" s="2"/>
      <c r="I6523" s="2"/>
    </row>
    <row r="6524" spans="8:9">
      <c r="H6524" s="2"/>
      <c r="I6524" s="2"/>
    </row>
    <row r="6525" spans="8:9">
      <c r="H6525" s="2"/>
      <c r="I6525" s="2"/>
    </row>
    <row r="6526" spans="8:9">
      <c r="H6526" s="2"/>
      <c r="I6526" s="2"/>
    </row>
    <row r="6527" spans="8:9">
      <c r="H6527" s="2"/>
      <c r="I6527" s="2"/>
    </row>
    <row r="6528" spans="8:9">
      <c r="H6528" s="2"/>
      <c r="I6528" s="2"/>
    </row>
    <row r="6529" spans="8:9">
      <c r="H6529" s="2"/>
      <c r="I6529" s="2"/>
    </row>
    <row r="6530" spans="8:9">
      <c r="H6530" s="2"/>
      <c r="I6530" s="2"/>
    </row>
    <row r="6531" spans="8:9">
      <c r="H6531" s="2"/>
      <c r="I6531" s="2"/>
    </row>
    <row r="6532" spans="8:9">
      <c r="H6532" s="2"/>
      <c r="I6532" s="2"/>
    </row>
    <row r="6533" spans="8:9">
      <c r="H6533" s="2"/>
      <c r="I6533" s="2"/>
    </row>
    <row r="6534" spans="8:9">
      <c r="H6534" s="2"/>
      <c r="I6534" s="2"/>
    </row>
    <row r="6535" spans="8:9">
      <c r="H6535" s="2"/>
      <c r="I6535" s="2"/>
    </row>
    <row r="6536" spans="8:9">
      <c r="H6536" s="2"/>
      <c r="I6536" s="2"/>
    </row>
    <row r="6537" spans="8:9">
      <c r="H6537" s="2"/>
      <c r="I6537" s="2"/>
    </row>
    <row r="6538" spans="8:9">
      <c r="H6538" s="2"/>
      <c r="I6538" s="2"/>
    </row>
    <row r="6539" spans="8:9">
      <c r="H6539" s="2"/>
      <c r="I6539" s="2"/>
    </row>
    <row r="6540" spans="8:9">
      <c r="H6540" s="2"/>
      <c r="I6540" s="2"/>
    </row>
    <row r="6541" spans="8:9">
      <c r="H6541" s="2"/>
      <c r="I6541" s="2"/>
    </row>
    <row r="6542" spans="8:9">
      <c r="H6542" s="2"/>
      <c r="I6542" s="2"/>
    </row>
    <row r="6543" spans="8:9">
      <c r="H6543" s="2"/>
      <c r="I6543" s="2"/>
    </row>
    <row r="6544" spans="8:9">
      <c r="H6544" s="2"/>
      <c r="I6544" s="2"/>
    </row>
    <row r="6545" spans="8:9">
      <c r="H6545" s="2"/>
      <c r="I6545" s="2"/>
    </row>
    <row r="6546" spans="8:9">
      <c r="H6546" s="2"/>
      <c r="I6546" s="2"/>
    </row>
    <row r="6547" spans="8:9">
      <c r="H6547" s="2"/>
      <c r="I6547" s="2"/>
    </row>
    <row r="6548" spans="8:9">
      <c r="H6548" s="2"/>
      <c r="I6548" s="2"/>
    </row>
    <row r="6549" spans="8:9">
      <c r="H6549" s="2"/>
      <c r="I6549" s="2"/>
    </row>
    <row r="6550" spans="8:9">
      <c r="H6550" s="2"/>
      <c r="I6550" s="2"/>
    </row>
    <row r="6551" spans="8:9">
      <c r="H6551" s="2"/>
      <c r="I6551" s="2"/>
    </row>
    <row r="6552" spans="8:9">
      <c r="H6552" s="2"/>
      <c r="I6552" s="2"/>
    </row>
    <row r="6553" spans="8:9">
      <c r="H6553" s="2"/>
      <c r="I6553" s="2"/>
    </row>
    <row r="6554" spans="8:9">
      <c r="H6554" s="2"/>
      <c r="I6554" s="2"/>
    </row>
    <row r="6555" spans="8:9">
      <c r="H6555" s="2"/>
      <c r="I6555" s="2"/>
    </row>
    <row r="6556" spans="8:9">
      <c r="H6556" s="2"/>
      <c r="I6556" s="2"/>
    </row>
    <row r="6557" spans="8:9">
      <c r="H6557" s="2"/>
      <c r="I6557" s="2"/>
    </row>
    <row r="6558" spans="8:9">
      <c r="H6558" s="2"/>
      <c r="I6558" s="2"/>
    </row>
    <row r="6559" spans="8:9">
      <c r="H6559" s="2"/>
      <c r="I6559" s="2"/>
    </row>
    <row r="6560" spans="8:9">
      <c r="H6560" s="2"/>
      <c r="I6560" s="2"/>
    </row>
    <row r="6561" spans="8:9">
      <c r="H6561" s="2"/>
      <c r="I6561" s="2"/>
    </row>
    <row r="6562" spans="8:9">
      <c r="H6562" s="2"/>
      <c r="I6562" s="2"/>
    </row>
    <row r="6563" spans="8:9">
      <c r="H6563" s="2"/>
      <c r="I6563" s="2"/>
    </row>
    <row r="6564" spans="8:9">
      <c r="H6564" s="2"/>
      <c r="I6564" s="2"/>
    </row>
    <row r="6565" spans="8:9">
      <c r="H6565" s="2"/>
      <c r="I6565" s="2"/>
    </row>
    <row r="6566" spans="8:9">
      <c r="H6566" s="2"/>
      <c r="I6566" s="2"/>
    </row>
    <row r="6567" spans="8:9">
      <c r="H6567" s="2"/>
      <c r="I6567" s="2"/>
    </row>
    <row r="6568" spans="8:9">
      <c r="H6568" s="2"/>
      <c r="I6568" s="2"/>
    </row>
    <row r="6569" spans="8:9">
      <c r="H6569" s="2"/>
      <c r="I6569" s="2"/>
    </row>
    <row r="6570" spans="8:9">
      <c r="H6570" s="2"/>
      <c r="I6570" s="2"/>
    </row>
    <row r="6571" spans="8:9">
      <c r="H6571" s="2"/>
      <c r="I6571" s="2"/>
    </row>
    <row r="6572" spans="8:9">
      <c r="H6572" s="2"/>
      <c r="I6572" s="2"/>
    </row>
    <row r="6573" spans="8:9">
      <c r="H6573" s="2"/>
      <c r="I6573" s="2"/>
    </row>
    <row r="6574" spans="8:9">
      <c r="H6574" s="2"/>
      <c r="I6574" s="2"/>
    </row>
    <row r="6575" spans="8:9">
      <c r="H6575" s="2"/>
      <c r="I6575" s="2"/>
    </row>
    <row r="6576" spans="8:9">
      <c r="H6576" s="2"/>
      <c r="I6576" s="2"/>
    </row>
    <row r="6577" spans="8:9">
      <c r="H6577" s="2"/>
      <c r="I6577" s="2"/>
    </row>
    <row r="6578" spans="8:9">
      <c r="H6578" s="2"/>
      <c r="I6578" s="2"/>
    </row>
    <row r="6579" spans="8:9">
      <c r="H6579" s="2"/>
      <c r="I6579" s="2"/>
    </row>
    <row r="6580" spans="8:9">
      <c r="H6580" s="2"/>
      <c r="I6580" s="2"/>
    </row>
    <row r="6581" spans="8:9">
      <c r="H6581" s="2"/>
      <c r="I6581" s="2"/>
    </row>
    <row r="6582" spans="8:9">
      <c r="H6582" s="2"/>
      <c r="I6582" s="2"/>
    </row>
    <row r="6583" spans="8:9">
      <c r="H6583" s="2"/>
      <c r="I6583" s="2"/>
    </row>
    <row r="6584" spans="8:9">
      <c r="H6584" s="2"/>
      <c r="I6584" s="2"/>
    </row>
    <row r="6585" spans="8:9">
      <c r="H6585" s="2"/>
      <c r="I6585" s="2"/>
    </row>
    <row r="6586" spans="8:9">
      <c r="H6586" s="2"/>
      <c r="I6586" s="2"/>
    </row>
    <row r="6587" spans="8:9">
      <c r="H6587" s="2"/>
      <c r="I6587" s="2"/>
    </row>
    <row r="6588" spans="8:9">
      <c r="H6588" s="2"/>
      <c r="I6588" s="2"/>
    </row>
    <row r="6589" spans="8:9">
      <c r="H6589" s="2"/>
      <c r="I6589" s="2"/>
    </row>
    <row r="6590" spans="8:9">
      <c r="H6590" s="2"/>
      <c r="I6590" s="2"/>
    </row>
    <row r="6591" spans="8:9">
      <c r="H6591" s="2"/>
      <c r="I6591" s="2"/>
    </row>
    <row r="6592" spans="8:9">
      <c r="H6592" s="2"/>
      <c r="I6592" s="2"/>
    </row>
    <row r="6593" spans="8:9">
      <c r="H6593" s="2"/>
      <c r="I6593" s="2"/>
    </row>
    <row r="6594" spans="8:9">
      <c r="H6594" s="2"/>
      <c r="I6594" s="2"/>
    </row>
    <row r="6595" spans="8:9">
      <c r="H6595" s="2"/>
      <c r="I6595" s="2"/>
    </row>
    <row r="6596" spans="8:9">
      <c r="H6596" s="2"/>
      <c r="I6596" s="2"/>
    </row>
    <row r="6597" spans="8:9">
      <c r="H6597" s="2"/>
      <c r="I6597" s="2"/>
    </row>
    <row r="6598" spans="8:9">
      <c r="H6598" s="2"/>
      <c r="I6598" s="2"/>
    </row>
    <row r="6599" spans="8:9">
      <c r="H6599" s="2"/>
      <c r="I6599" s="2"/>
    </row>
    <row r="6600" spans="8:9">
      <c r="H6600" s="2"/>
      <c r="I6600" s="2"/>
    </row>
    <row r="6601" spans="8:9">
      <c r="H6601" s="2"/>
      <c r="I6601" s="2"/>
    </row>
    <row r="6602" spans="8:9">
      <c r="H6602" s="2"/>
      <c r="I6602" s="2"/>
    </row>
    <row r="6603" spans="8:9">
      <c r="H6603" s="2"/>
      <c r="I6603" s="2"/>
    </row>
    <row r="6604" spans="8:9">
      <c r="H6604" s="2"/>
      <c r="I6604" s="2"/>
    </row>
    <row r="6605" spans="8:9">
      <c r="H6605" s="2"/>
      <c r="I6605" s="2"/>
    </row>
    <row r="6606" spans="8:9">
      <c r="H6606" s="2"/>
      <c r="I6606" s="2"/>
    </row>
    <row r="6607" spans="8:9">
      <c r="H6607" s="2"/>
      <c r="I6607" s="2"/>
    </row>
    <row r="6608" spans="8:9">
      <c r="H6608" s="2"/>
      <c r="I6608" s="2"/>
    </row>
    <row r="6609" spans="8:9">
      <c r="H6609" s="2"/>
      <c r="I6609" s="2"/>
    </row>
    <row r="6610" spans="8:9">
      <c r="H6610" s="2"/>
      <c r="I6610" s="2"/>
    </row>
    <row r="6611" spans="8:9">
      <c r="H6611" s="2"/>
      <c r="I6611" s="2"/>
    </row>
    <row r="6612" spans="8:9">
      <c r="H6612" s="2"/>
      <c r="I6612" s="2"/>
    </row>
    <row r="6613" spans="8:9">
      <c r="H6613" s="2"/>
      <c r="I6613" s="2"/>
    </row>
    <row r="6614" spans="8:9">
      <c r="H6614" s="2"/>
      <c r="I6614" s="2"/>
    </row>
    <row r="6615" spans="8:9">
      <c r="H6615" s="2"/>
      <c r="I6615" s="2"/>
    </row>
    <row r="6616" spans="8:9">
      <c r="H6616" s="2"/>
      <c r="I6616" s="2"/>
    </row>
    <row r="6617" spans="8:9">
      <c r="H6617" s="2"/>
      <c r="I6617" s="2"/>
    </row>
    <row r="6618" spans="8:9">
      <c r="H6618" s="2"/>
      <c r="I6618" s="2"/>
    </row>
    <row r="6619" spans="8:9">
      <c r="H6619" s="2"/>
      <c r="I6619" s="2"/>
    </row>
    <row r="6620" spans="8:9">
      <c r="H6620" s="2"/>
      <c r="I6620" s="2"/>
    </row>
    <row r="6621" spans="8:9">
      <c r="H6621" s="2"/>
      <c r="I6621" s="2"/>
    </row>
    <row r="6622" spans="8:9">
      <c r="H6622" s="2"/>
      <c r="I6622" s="2"/>
    </row>
    <row r="6623" spans="8:9">
      <c r="H6623" s="2"/>
      <c r="I6623" s="2"/>
    </row>
    <row r="6624" spans="8:9">
      <c r="H6624" s="2"/>
      <c r="I6624" s="2"/>
    </row>
    <row r="6625" spans="8:9">
      <c r="H6625" s="2"/>
      <c r="I6625" s="2"/>
    </row>
    <row r="6626" spans="8:9">
      <c r="H6626" s="2"/>
      <c r="I6626" s="2"/>
    </row>
    <row r="6627" spans="8:9">
      <c r="H6627" s="2"/>
      <c r="I6627" s="2"/>
    </row>
    <row r="6628" spans="8:9">
      <c r="H6628" s="2"/>
      <c r="I6628" s="2"/>
    </row>
    <row r="6629" spans="8:9">
      <c r="H6629" s="2"/>
      <c r="I6629" s="2"/>
    </row>
    <row r="6630" spans="8:9">
      <c r="H6630" s="2"/>
      <c r="I6630" s="2"/>
    </row>
    <row r="6631" spans="8:9">
      <c r="H6631" s="2"/>
      <c r="I6631" s="2"/>
    </row>
    <row r="6632" spans="8:9">
      <c r="H6632" s="2"/>
      <c r="I6632" s="2"/>
    </row>
    <row r="6633" spans="8:9">
      <c r="H6633" s="2"/>
      <c r="I6633" s="2"/>
    </row>
    <row r="6634" spans="8:9">
      <c r="H6634" s="2"/>
      <c r="I6634" s="2"/>
    </row>
    <row r="6635" spans="8:9">
      <c r="H6635" s="2"/>
      <c r="I6635" s="2"/>
    </row>
    <row r="6636" spans="8:9">
      <c r="H6636" s="2"/>
      <c r="I6636" s="2"/>
    </row>
    <row r="6637" spans="8:9">
      <c r="H6637" s="2"/>
      <c r="I6637" s="2"/>
    </row>
    <row r="6638" spans="8:9">
      <c r="H6638" s="2"/>
      <c r="I6638" s="2"/>
    </row>
    <row r="6639" spans="8:9">
      <c r="H6639" s="2"/>
      <c r="I6639" s="2"/>
    </row>
    <row r="6640" spans="8:9">
      <c r="H6640" s="2"/>
      <c r="I6640" s="2"/>
    </row>
    <row r="6641" spans="8:9">
      <c r="H6641" s="2"/>
      <c r="I6641" s="2"/>
    </row>
    <row r="6642" spans="8:9">
      <c r="H6642" s="2"/>
      <c r="I6642" s="2"/>
    </row>
    <row r="6643" spans="8:9">
      <c r="H6643" s="2"/>
      <c r="I6643" s="2"/>
    </row>
    <row r="6644" spans="8:9">
      <c r="H6644" s="2"/>
      <c r="I6644" s="2"/>
    </row>
    <row r="6645" spans="8:9">
      <c r="H6645" s="2"/>
      <c r="I6645" s="2"/>
    </row>
    <row r="6646" spans="8:9">
      <c r="H6646" s="2"/>
      <c r="I6646" s="2"/>
    </row>
    <row r="6647" spans="8:9">
      <c r="H6647" s="2"/>
      <c r="I6647" s="2"/>
    </row>
    <row r="6648" spans="8:9">
      <c r="H6648" s="2"/>
      <c r="I6648" s="2"/>
    </row>
    <row r="6649" spans="8:9">
      <c r="H6649" s="2"/>
      <c r="I6649" s="2"/>
    </row>
    <row r="6650" spans="8:9">
      <c r="H6650" s="2"/>
      <c r="I6650" s="2"/>
    </row>
    <row r="6651" spans="8:9">
      <c r="H6651" s="2"/>
      <c r="I6651" s="2"/>
    </row>
    <row r="6652" spans="8:9">
      <c r="H6652" s="2"/>
      <c r="I6652" s="2"/>
    </row>
    <row r="6653" spans="8:9">
      <c r="H6653" s="2"/>
      <c r="I6653" s="2"/>
    </row>
    <row r="6654" spans="8:9">
      <c r="H6654" s="2"/>
      <c r="I6654" s="2"/>
    </row>
    <row r="6655" spans="8:9">
      <c r="H6655" s="2"/>
      <c r="I6655" s="2"/>
    </row>
    <row r="6656" spans="8:9">
      <c r="H6656" s="2"/>
      <c r="I6656" s="2"/>
    </row>
    <row r="6657" spans="8:9">
      <c r="H6657" s="2"/>
      <c r="I6657" s="2"/>
    </row>
    <row r="6658" spans="8:9">
      <c r="H6658" s="2"/>
      <c r="I6658" s="2"/>
    </row>
    <row r="6659" spans="8:9">
      <c r="H6659" s="2"/>
      <c r="I6659" s="2"/>
    </row>
    <row r="6660" spans="8:9">
      <c r="H6660" s="2"/>
      <c r="I6660" s="2"/>
    </row>
    <row r="6661" spans="8:9">
      <c r="H6661" s="2"/>
      <c r="I6661" s="2"/>
    </row>
    <row r="6662" spans="8:9">
      <c r="H6662" s="2"/>
      <c r="I6662" s="2"/>
    </row>
    <row r="6663" spans="8:9">
      <c r="H6663" s="2"/>
      <c r="I6663" s="2"/>
    </row>
    <row r="6664" spans="8:9">
      <c r="H6664" s="2"/>
      <c r="I6664" s="2"/>
    </row>
    <row r="6665" spans="8:9">
      <c r="H6665" s="2"/>
      <c r="I6665" s="2"/>
    </row>
    <row r="6666" spans="8:9">
      <c r="H6666" s="2"/>
      <c r="I6666" s="2"/>
    </row>
    <row r="6667" spans="8:9">
      <c r="H6667" s="2"/>
      <c r="I6667" s="2"/>
    </row>
    <row r="6668" spans="8:9">
      <c r="H6668" s="2"/>
      <c r="I6668" s="2"/>
    </row>
    <row r="6669" spans="8:9">
      <c r="H6669" s="2"/>
      <c r="I6669" s="2"/>
    </row>
    <row r="6670" spans="8:9">
      <c r="H6670" s="2"/>
      <c r="I6670" s="2"/>
    </row>
    <row r="6671" spans="8:9">
      <c r="H6671" s="2"/>
      <c r="I6671" s="2"/>
    </row>
    <row r="6672" spans="8:9">
      <c r="H6672" s="2"/>
      <c r="I6672" s="2"/>
    </row>
    <row r="6673" spans="8:9">
      <c r="H6673" s="2"/>
      <c r="I6673" s="2"/>
    </row>
    <row r="6674" spans="8:9">
      <c r="H6674" s="2"/>
      <c r="I6674" s="2"/>
    </row>
    <row r="6675" spans="8:9">
      <c r="H6675" s="2"/>
      <c r="I6675" s="2"/>
    </row>
    <row r="6676" spans="8:9">
      <c r="H6676" s="2"/>
      <c r="I6676" s="2"/>
    </row>
    <row r="6677" spans="8:9">
      <c r="H6677" s="2"/>
      <c r="I6677" s="2"/>
    </row>
    <row r="6678" spans="8:9">
      <c r="H6678" s="2"/>
      <c r="I6678" s="2"/>
    </row>
    <row r="6679" spans="8:9">
      <c r="H6679" s="2"/>
      <c r="I6679" s="2"/>
    </row>
    <row r="6680" spans="8:9">
      <c r="H6680" s="2"/>
      <c r="I6680" s="2"/>
    </row>
    <row r="6681" spans="8:9">
      <c r="H6681" s="2"/>
      <c r="I6681" s="2"/>
    </row>
    <row r="6682" spans="8:9">
      <c r="H6682" s="2"/>
      <c r="I6682" s="2"/>
    </row>
    <row r="6683" spans="8:9">
      <c r="H6683" s="2"/>
      <c r="I6683" s="2"/>
    </row>
    <row r="6684" spans="8:9">
      <c r="H6684" s="2"/>
      <c r="I6684" s="2"/>
    </row>
    <row r="6685" spans="8:9">
      <c r="H6685" s="2"/>
      <c r="I6685" s="2"/>
    </row>
    <row r="6686" spans="8:9">
      <c r="H6686" s="2"/>
      <c r="I6686" s="2"/>
    </row>
    <row r="6687" spans="8:9">
      <c r="H6687" s="2"/>
      <c r="I6687" s="2"/>
    </row>
    <row r="6688" spans="8:9">
      <c r="H6688" s="2"/>
      <c r="I6688" s="2"/>
    </row>
    <row r="6689" spans="8:9">
      <c r="H6689" s="2"/>
      <c r="I6689" s="2"/>
    </row>
    <row r="6690" spans="8:9">
      <c r="H6690" s="2"/>
      <c r="I6690" s="2"/>
    </row>
    <row r="6691" spans="8:9">
      <c r="H6691" s="2"/>
      <c r="I6691" s="2"/>
    </row>
    <row r="6692" spans="8:9">
      <c r="H6692" s="2"/>
      <c r="I6692" s="2"/>
    </row>
    <row r="6693" spans="8:9">
      <c r="H6693" s="2"/>
      <c r="I6693" s="2"/>
    </row>
    <row r="6694" spans="8:9">
      <c r="H6694" s="2"/>
      <c r="I6694" s="2"/>
    </row>
    <row r="6695" spans="8:9">
      <c r="H6695" s="2"/>
      <c r="I6695" s="2"/>
    </row>
    <row r="6696" spans="8:9">
      <c r="H6696" s="2"/>
      <c r="I6696" s="2"/>
    </row>
    <row r="6697" spans="8:9">
      <c r="H6697" s="2"/>
      <c r="I6697" s="2"/>
    </row>
    <row r="6698" spans="8:9">
      <c r="H6698" s="2"/>
      <c r="I6698" s="2"/>
    </row>
    <row r="6699" spans="8:9">
      <c r="H6699" s="2"/>
      <c r="I6699" s="2"/>
    </row>
    <row r="6700" spans="8:9">
      <c r="H6700" s="2"/>
      <c r="I6700" s="2"/>
    </row>
    <row r="6701" spans="8:9">
      <c r="H6701" s="2"/>
      <c r="I6701" s="2"/>
    </row>
    <row r="6702" spans="8:9">
      <c r="H6702" s="2"/>
      <c r="I6702" s="2"/>
    </row>
    <row r="6703" spans="8:9">
      <c r="H6703" s="2"/>
      <c r="I6703" s="2"/>
    </row>
    <row r="6704" spans="8:9">
      <c r="H6704" s="2"/>
      <c r="I6704" s="2"/>
    </row>
    <row r="6705" spans="8:9">
      <c r="H6705" s="2"/>
      <c r="I6705" s="2"/>
    </row>
    <row r="6706" spans="8:9">
      <c r="H6706" s="2"/>
      <c r="I6706" s="2"/>
    </row>
    <row r="6707" spans="8:9">
      <c r="H6707" s="2"/>
      <c r="I6707" s="2"/>
    </row>
    <row r="6708" spans="8:9">
      <c r="H6708" s="2"/>
      <c r="I6708" s="2"/>
    </row>
    <row r="6709" spans="8:9">
      <c r="H6709" s="2"/>
      <c r="I6709" s="2"/>
    </row>
    <row r="6710" spans="8:9">
      <c r="H6710" s="2"/>
      <c r="I6710" s="2"/>
    </row>
    <row r="6711" spans="8:9">
      <c r="H6711" s="2"/>
      <c r="I6711" s="2"/>
    </row>
    <row r="6712" spans="8:9">
      <c r="H6712" s="2"/>
      <c r="I6712" s="2"/>
    </row>
    <row r="6713" spans="8:9">
      <c r="H6713" s="2"/>
      <c r="I6713" s="2"/>
    </row>
    <row r="6714" spans="8:9">
      <c r="H6714" s="2"/>
      <c r="I6714" s="2"/>
    </row>
    <row r="6715" spans="8:9">
      <c r="H6715" s="2"/>
      <c r="I6715" s="2"/>
    </row>
    <row r="6716" spans="8:9">
      <c r="H6716" s="2"/>
      <c r="I6716" s="2"/>
    </row>
    <row r="6717" spans="8:9">
      <c r="H6717" s="2"/>
      <c r="I6717" s="2"/>
    </row>
    <row r="6718" spans="8:9">
      <c r="H6718" s="2"/>
      <c r="I6718" s="2"/>
    </row>
    <row r="6719" spans="8:9">
      <c r="H6719" s="2"/>
      <c r="I6719" s="2"/>
    </row>
    <row r="6720" spans="8:9">
      <c r="H6720" s="2"/>
      <c r="I6720" s="2"/>
    </row>
    <row r="6721" spans="8:9">
      <c r="H6721" s="2"/>
      <c r="I6721" s="2"/>
    </row>
    <row r="6722" spans="8:9">
      <c r="H6722" s="2"/>
      <c r="I6722" s="2"/>
    </row>
    <row r="6723" spans="8:9">
      <c r="H6723" s="2"/>
      <c r="I6723" s="2"/>
    </row>
    <row r="6724" spans="8:9">
      <c r="H6724" s="2"/>
      <c r="I6724" s="2"/>
    </row>
    <row r="6725" spans="8:9">
      <c r="H6725" s="2"/>
      <c r="I6725" s="2"/>
    </row>
    <row r="6726" spans="8:9">
      <c r="H6726" s="2"/>
      <c r="I6726" s="2"/>
    </row>
    <row r="6727" spans="8:9">
      <c r="H6727" s="2"/>
      <c r="I6727" s="2"/>
    </row>
    <row r="6728" spans="8:9">
      <c r="H6728" s="2"/>
      <c r="I6728" s="2"/>
    </row>
    <row r="6729" spans="8:9">
      <c r="H6729" s="2"/>
      <c r="I6729" s="2"/>
    </row>
    <row r="6730" spans="8:9">
      <c r="H6730" s="2"/>
      <c r="I6730" s="2"/>
    </row>
    <row r="6731" spans="8:9">
      <c r="H6731" s="2"/>
      <c r="I6731" s="2"/>
    </row>
    <row r="6732" spans="8:9">
      <c r="H6732" s="2"/>
      <c r="I6732" s="2"/>
    </row>
    <row r="6733" spans="8:9">
      <c r="H6733" s="2"/>
      <c r="I6733" s="2"/>
    </row>
    <row r="6734" spans="8:9">
      <c r="H6734" s="2"/>
      <c r="I6734" s="2"/>
    </row>
    <row r="6735" spans="8:9">
      <c r="H6735" s="2"/>
      <c r="I6735" s="2"/>
    </row>
    <row r="6736" spans="8:9">
      <c r="H6736" s="2"/>
      <c r="I6736" s="2"/>
    </row>
    <row r="6737" spans="8:9">
      <c r="H6737" s="2"/>
      <c r="I6737" s="2"/>
    </row>
    <row r="6738" spans="8:9">
      <c r="H6738" s="2"/>
      <c r="I6738" s="2"/>
    </row>
    <row r="6739" spans="8:9">
      <c r="H6739" s="2"/>
      <c r="I6739" s="2"/>
    </row>
    <row r="6740" spans="8:9">
      <c r="H6740" s="2"/>
      <c r="I6740" s="2"/>
    </row>
    <row r="6741" spans="8:9">
      <c r="H6741" s="2"/>
      <c r="I6741" s="2"/>
    </row>
    <row r="6742" spans="8:9">
      <c r="H6742" s="2"/>
      <c r="I6742" s="2"/>
    </row>
    <row r="6743" spans="8:9">
      <c r="H6743" s="2"/>
      <c r="I6743" s="2"/>
    </row>
    <row r="6744" spans="8:9">
      <c r="H6744" s="2"/>
      <c r="I6744" s="2"/>
    </row>
    <row r="6745" spans="8:9">
      <c r="H6745" s="2"/>
      <c r="I6745" s="2"/>
    </row>
    <row r="6746" spans="8:9">
      <c r="H6746" s="2"/>
      <c r="I6746" s="2"/>
    </row>
    <row r="6747" spans="8:9">
      <c r="H6747" s="2"/>
      <c r="I6747" s="2"/>
    </row>
    <row r="6748" spans="8:9">
      <c r="H6748" s="2"/>
      <c r="I6748" s="2"/>
    </row>
    <row r="6749" spans="8:9">
      <c r="H6749" s="2"/>
      <c r="I6749" s="2"/>
    </row>
    <row r="6750" spans="8:9">
      <c r="H6750" s="2"/>
      <c r="I6750" s="2"/>
    </row>
    <row r="6751" spans="8:9">
      <c r="H6751" s="2"/>
      <c r="I6751" s="2"/>
    </row>
    <row r="6752" spans="8:9">
      <c r="H6752" s="2"/>
      <c r="I6752" s="2"/>
    </row>
    <row r="6753" spans="8:9">
      <c r="H6753" s="2"/>
      <c r="I6753" s="2"/>
    </row>
    <row r="6754" spans="8:9">
      <c r="H6754" s="2"/>
      <c r="I6754" s="2"/>
    </row>
    <row r="6755" spans="8:9">
      <c r="H6755" s="2"/>
      <c r="I6755" s="2"/>
    </row>
    <row r="6756" spans="8:9">
      <c r="H6756" s="2"/>
      <c r="I6756" s="2"/>
    </row>
    <row r="6757" spans="8:9">
      <c r="H6757" s="2"/>
      <c r="I6757" s="2"/>
    </row>
    <row r="6758" spans="8:9">
      <c r="H6758" s="2"/>
      <c r="I6758" s="2"/>
    </row>
    <row r="6759" spans="8:9">
      <c r="H6759" s="2"/>
      <c r="I6759" s="2"/>
    </row>
    <row r="6760" spans="8:9">
      <c r="H6760" s="2"/>
      <c r="I6760" s="2"/>
    </row>
    <row r="6761" spans="8:9">
      <c r="H6761" s="2"/>
      <c r="I6761" s="2"/>
    </row>
    <row r="6762" spans="8:9">
      <c r="H6762" s="2"/>
      <c r="I6762" s="2"/>
    </row>
    <row r="6763" spans="8:9">
      <c r="H6763" s="2"/>
      <c r="I6763" s="2"/>
    </row>
    <row r="6764" spans="8:9">
      <c r="H6764" s="2"/>
      <c r="I6764" s="2"/>
    </row>
    <row r="6765" spans="8:9">
      <c r="H6765" s="2"/>
      <c r="I6765" s="2"/>
    </row>
    <row r="6766" spans="8:9">
      <c r="H6766" s="2"/>
      <c r="I6766" s="2"/>
    </row>
    <row r="6767" spans="8:9">
      <c r="H6767" s="2"/>
      <c r="I6767" s="2"/>
    </row>
    <row r="6768" spans="8:9">
      <c r="H6768" s="2"/>
      <c r="I6768" s="2"/>
    </row>
    <row r="6769" spans="8:9">
      <c r="H6769" s="2"/>
      <c r="I6769" s="2"/>
    </row>
    <row r="6770" spans="8:9">
      <c r="H6770" s="2"/>
      <c r="I6770" s="2"/>
    </row>
    <row r="6771" spans="8:9">
      <c r="H6771" s="2"/>
      <c r="I6771" s="2"/>
    </row>
    <row r="6772" spans="8:9">
      <c r="H6772" s="2"/>
      <c r="I6772" s="2"/>
    </row>
    <row r="6773" spans="8:9">
      <c r="H6773" s="2"/>
      <c r="I6773" s="2"/>
    </row>
    <row r="6774" spans="8:9">
      <c r="H6774" s="2"/>
      <c r="I6774" s="2"/>
    </row>
    <row r="6775" spans="8:9">
      <c r="H6775" s="2"/>
      <c r="I6775" s="2"/>
    </row>
    <row r="6776" spans="8:9">
      <c r="H6776" s="2"/>
      <c r="I6776" s="2"/>
    </row>
    <row r="6777" spans="8:9">
      <c r="H6777" s="2"/>
      <c r="I6777" s="2"/>
    </row>
    <row r="6778" spans="8:9">
      <c r="H6778" s="2"/>
      <c r="I6778" s="2"/>
    </row>
    <row r="6779" spans="8:9">
      <c r="H6779" s="2"/>
      <c r="I6779" s="2"/>
    </row>
    <row r="6780" spans="8:9">
      <c r="H6780" s="2"/>
      <c r="I6780" s="2"/>
    </row>
    <row r="6781" spans="8:9">
      <c r="H6781" s="2"/>
      <c r="I6781" s="2"/>
    </row>
    <row r="6782" spans="8:9">
      <c r="H6782" s="2"/>
      <c r="I6782" s="2"/>
    </row>
    <row r="6783" spans="8:9">
      <c r="H6783" s="2"/>
      <c r="I6783" s="2"/>
    </row>
    <row r="6784" spans="8:9">
      <c r="H6784" s="2"/>
      <c r="I6784" s="2"/>
    </row>
    <row r="6785" spans="8:9">
      <c r="H6785" s="2"/>
      <c r="I6785" s="2"/>
    </row>
    <row r="6786" spans="8:9">
      <c r="H6786" s="2"/>
      <c r="I6786" s="2"/>
    </row>
    <row r="6787" spans="8:9">
      <c r="H6787" s="2"/>
      <c r="I6787" s="2"/>
    </row>
    <row r="6788" spans="8:9">
      <c r="H6788" s="2"/>
      <c r="I6788" s="2"/>
    </row>
    <row r="6789" spans="8:9">
      <c r="H6789" s="2"/>
      <c r="I6789" s="2"/>
    </row>
    <row r="6790" spans="8:9">
      <c r="H6790" s="2"/>
      <c r="I6790" s="2"/>
    </row>
    <row r="6791" spans="8:9">
      <c r="H6791" s="2"/>
      <c r="I6791" s="2"/>
    </row>
    <row r="6792" spans="8:9">
      <c r="H6792" s="2"/>
      <c r="I6792" s="2"/>
    </row>
    <row r="6793" spans="8:9">
      <c r="H6793" s="2"/>
      <c r="I6793" s="2"/>
    </row>
    <row r="6794" spans="8:9">
      <c r="H6794" s="2"/>
      <c r="I6794" s="2"/>
    </row>
    <row r="6795" spans="8:9">
      <c r="H6795" s="2"/>
      <c r="I6795" s="2"/>
    </row>
    <row r="6796" spans="8:9">
      <c r="H6796" s="2"/>
      <c r="I6796" s="2"/>
    </row>
    <row r="6797" spans="8:9">
      <c r="H6797" s="2"/>
      <c r="I6797" s="2"/>
    </row>
    <row r="6798" spans="8:9">
      <c r="H6798" s="2"/>
      <c r="I6798" s="2"/>
    </row>
    <row r="6799" spans="8:9">
      <c r="H6799" s="2"/>
      <c r="I6799" s="2"/>
    </row>
    <row r="6800" spans="8:9">
      <c r="H6800" s="2"/>
      <c r="I6800" s="2"/>
    </row>
    <row r="6801" spans="8:9">
      <c r="H6801" s="2"/>
      <c r="I6801" s="2"/>
    </row>
    <row r="6802" spans="8:9">
      <c r="H6802" s="2"/>
      <c r="I6802" s="2"/>
    </row>
    <row r="6803" spans="8:9">
      <c r="H6803" s="2"/>
      <c r="I6803" s="2"/>
    </row>
    <row r="6804" spans="8:9">
      <c r="H6804" s="2"/>
      <c r="I6804" s="2"/>
    </row>
    <row r="6805" spans="8:9">
      <c r="H6805" s="2"/>
      <c r="I6805" s="2"/>
    </row>
    <row r="6806" spans="8:9">
      <c r="H6806" s="2"/>
      <c r="I6806" s="2"/>
    </row>
    <row r="6807" spans="8:9">
      <c r="H6807" s="2"/>
      <c r="I6807" s="2"/>
    </row>
    <row r="6808" spans="8:9">
      <c r="H6808" s="2"/>
      <c r="I6808" s="2"/>
    </row>
    <row r="6809" spans="8:9">
      <c r="H6809" s="2"/>
      <c r="I6809" s="2"/>
    </row>
    <row r="6810" spans="8:9">
      <c r="H6810" s="2"/>
      <c r="I6810" s="2"/>
    </row>
    <row r="6811" spans="8:9">
      <c r="H6811" s="2"/>
      <c r="I6811" s="2"/>
    </row>
    <row r="6812" spans="8:9">
      <c r="H6812" s="2"/>
      <c r="I6812" s="2"/>
    </row>
    <row r="6813" spans="8:9">
      <c r="H6813" s="2"/>
      <c r="I6813" s="2"/>
    </row>
    <row r="6814" spans="8:9">
      <c r="H6814" s="2"/>
      <c r="I6814" s="2"/>
    </row>
    <row r="6815" spans="8:9">
      <c r="H6815" s="2"/>
      <c r="I6815" s="2"/>
    </row>
    <row r="6816" spans="8:9">
      <c r="H6816" s="2"/>
      <c r="I6816" s="2"/>
    </row>
    <row r="6817" spans="8:9">
      <c r="H6817" s="2"/>
      <c r="I6817" s="2"/>
    </row>
    <row r="6818" spans="8:9">
      <c r="H6818" s="2"/>
      <c r="I6818" s="2"/>
    </row>
    <row r="6819" spans="8:9">
      <c r="H6819" s="2"/>
      <c r="I6819" s="2"/>
    </row>
    <row r="6820" spans="8:9">
      <c r="H6820" s="2"/>
      <c r="I6820" s="2"/>
    </row>
    <row r="6821" spans="8:9">
      <c r="H6821" s="2"/>
      <c r="I6821" s="2"/>
    </row>
    <row r="6822" spans="8:9">
      <c r="H6822" s="2"/>
      <c r="I6822" s="2"/>
    </row>
    <row r="6823" spans="8:9">
      <c r="H6823" s="2"/>
      <c r="I6823" s="2"/>
    </row>
    <row r="6824" spans="8:9">
      <c r="H6824" s="2"/>
      <c r="I6824" s="2"/>
    </row>
    <row r="6825" spans="8:9">
      <c r="H6825" s="2"/>
      <c r="I6825" s="2"/>
    </row>
    <row r="6826" spans="8:9">
      <c r="H6826" s="2"/>
      <c r="I6826" s="2"/>
    </row>
    <row r="6827" spans="8:9">
      <c r="H6827" s="2"/>
      <c r="I6827" s="2"/>
    </row>
    <row r="6828" spans="8:9">
      <c r="H6828" s="2"/>
      <c r="I6828" s="2"/>
    </row>
    <row r="6829" spans="8:9">
      <c r="H6829" s="2"/>
      <c r="I6829" s="2"/>
    </row>
    <row r="6830" spans="8:9">
      <c r="H6830" s="2"/>
      <c r="I6830" s="2"/>
    </row>
    <row r="6831" spans="8:9">
      <c r="H6831" s="2"/>
      <c r="I6831" s="2"/>
    </row>
    <row r="6832" spans="8:9">
      <c r="H6832" s="2"/>
      <c r="I6832" s="2"/>
    </row>
    <row r="6833" spans="8:9">
      <c r="H6833" s="2"/>
      <c r="I6833" s="2"/>
    </row>
    <row r="6834" spans="8:9">
      <c r="H6834" s="2"/>
      <c r="I6834" s="2"/>
    </row>
    <row r="6835" spans="8:9">
      <c r="H6835" s="2"/>
      <c r="I6835" s="2"/>
    </row>
    <row r="6836" spans="8:9">
      <c r="H6836" s="2"/>
      <c r="I6836" s="2"/>
    </row>
    <row r="6837" spans="8:9">
      <c r="H6837" s="2"/>
      <c r="I6837" s="2"/>
    </row>
    <row r="6838" spans="8:9">
      <c r="H6838" s="2"/>
      <c r="I6838" s="2"/>
    </row>
    <row r="6839" spans="8:9">
      <c r="H6839" s="2"/>
      <c r="I6839" s="2"/>
    </row>
    <row r="6840" spans="8:9">
      <c r="H6840" s="2"/>
      <c r="I6840" s="2"/>
    </row>
    <row r="6841" spans="8:9">
      <c r="H6841" s="2"/>
      <c r="I6841" s="2"/>
    </row>
    <row r="6842" spans="8:9">
      <c r="H6842" s="2"/>
      <c r="I6842" s="2"/>
    </row>
    <row r="6843" spans="8:9">
      <c r="H6843" s="2"/>
      <c r="I6843" s="2"/>
    </row>
    <row r="6844" spans="8:9">
      <c r="H6844" s="2"/>
      <c r="I6844" s="2"/>
    </row>
    <row r="6845" spans="8:9">
      <c r="H6845" s="2"/>
      <c r="I6845" s="2"/>
    </row>
    <row r="6846" spans="8:9">
      <c r="H6846" s="2"/>
      <c r="I6846" s="2"/>
    </row>
    <row r="6847" spans="8:9">
      <c r="H6847" s="2"/>
      <c r="I6847" s="2"/>
    </row>
    <row r="6848" spans="8:9">
      <c r="H6848" s="2"/>
      <c r="I6848" s="2"/>
    </row>
    <row r="6849" spans="8:9">
      <c r="H6849" s="2"/>
      <c r="I6849" s="2"/>
    </row>
    <row r="6850" spans="8:9">
      <c r="H6850" s="2"/>
      <c r="I6850" s="2"/>
    </row>
    <row r="6851" spans="8:9">
      <c r="H6851" s="2"/>
      <c r="I6851" s="2"/>
    </row>
    <row r="6852" spans="8:9">
      <c r="H6852" s="2"/>
      <c r="I6852" s="2"/>
    </row>
    <row r="6853" spans="8:9">
      <c r="H6853" s="2"/>
      <c r="I6853" s="2"/>
    </row>
    <row r="6854" spans="8:9">
      <c r="H6854" s="2"/>
      <c r="I6854" s="2"/>
    </row>
    <row r="6855" spans="8:9">
      <c r="H6855" s="2"/>
      <c r="I6855" s="2"/>
    </row>
    <row r="6856" spans="8:9">
      <c r="H6856" s="2"/>
      <c r="I6856" s="2"/>
    </row>
    <row r="6857" spans="8:9">
      <c r="H6857" s="2"/>
      <c r="I6857" s="2"/>
    </row>
    <row r="6858" spans="8:9">
      <c r="H6858" s="2"/>
      <c r="I6858" s="2"/>
    </row>
    <row r="6859" spans="8:9">
      <c r="H6859" s="2"/>
      <c r="I6859" s="2"/>
    </row>
    <row r="6860" spans="8:9">
      <c r="H6860" s="2"/>
      <c r="I6860" s="2"/>
    </row>
    <row r="6861" spans="8:9">
      <c r="H6861" s="2"/>
      <c r="I6861" s="2"/>
    </row>
    <row r="6862" spans="8:9">
      <c r="H6862" s="2"/>
      <c r="I6862" s="2"/>
    </row>
    <row r="6863" spans="8:9">
      <c r="H6863" s="2"/>
      <c r="I6863" s="2"/>
    </row>
    <row r="6864" spans="8:9">
      <c r="H6864" s="2"/>
      <c r="I6864" s="2"/>
    </row>
    <row r="6865" spans="8:9">
      <c r="H6865" s="2"/>
      <c r="I6865" s="2"/>
    </row>
    <row r="6866" spans="8:9">
      <c r="H6866" s="2"/>
      <c r="I6866" s="2"/>
    </row>
    <row r="6867" spans="8:9">
      <c r="H6867" s="2"/>
      <c r="I6867" s="2"/>
    </row>
    <row r="6868" spans="8:9">
      <c r="H6868" s="2"/>
      <c r="I6868" s="2"/>
    </row>
    <row r="6869" spans="8:9">
      <c r="H6869" s="2"/>
      <c r="I6869" s="2"/>
    </row>
    <row r="6870" spans="8:9">
      <c r="H6870" s="2"/>
      <c r="I6870" s="2"/>
    </row>
    <row r="6871" spans="8:9">
      <c r="H6871" s="2"/>
      <c r="I6871" s="2"/>
    </row>
    <row r="6872" spans="8:9">
      <c r="H6872" s="2"/>
      <c r="I6872" s="2"/>
    </row>
    <row r="6873" spans="8:9">
      <c r="H6873" s="2"/>
      <c r="I6873" s="2"/>
    </row>
    <row r="6874" spans="8:9">
      <c r="H6874" s="2"/>
      <c r="I6874" s="2"/>
    </row>
    <row r="6875" spans="8:9">
      <c r="H6875" s="2"/>
      <c r="I6875" s="2"/>
    </row>
    <row r="6876" spans="8:9">
      <c r="H6876" s="2"/>
      <c r="I6876" s="2"/>
    </row>
    <row r="6877" spans="8:9">
      <c r="H6877" s="2"/>
      <c r="I6877" s="2"/>
    </row>
    <row r="6878" spans="8:9">
      <c r="H6878" s="2"/>
      <c r="I6878" s="2"/>
    </row>
    <row r="6879" spans="8:9">
      <c r="H6879" s="2"/>
      <c r="I6879" s="2"/>
    </row>
    <row r="6880" spans="8:9">
      <c r="H6880" s="2"/>
      <c r="I6880" s="2"/>
    </row>
    <row r="6881" spans="8:9">
      <c r="H6881" s="2"/>
      <c r="I6881" s="2"/>
    </row>
    <row r="6882" spans="8:9">
      <c r="H6882" s="2"/>
      <c r="I6882" s="2"/>
    </row>
    <row r="6883" spans="8:9">
      <c r="H6883" s="2"/>
      <c r="I6883" s="2"/>
    </row>
    <row r="6884" spans="8:9">
      <c r="H6884" s="2"/>
      <c r="I6884" s="2"/>
    </row>
    <row r="6885" spans="8:9">
      <c r="H6885" s="2"/>
      <c r="I6885" s="2"/>
    </row>
    <row r="6886" spans="8:9">
      <c r="H6886" s="2"/>
      <c r="I6886" s="2"/>
    </row>
    <row r="6887" spans="8:9">
      <c r="H6887" s="2"/>
      <c r="I6887" s="2"/>
    </row>
    <row r="6888" spans="8:9">
      <c r="H6888" s="2"/>
      <c r="I6888" s="2"/>
    </row>
    <row r="6889" spans="8:9">
      <c r="H6889" s="2"/>
      <c r="I6889" s="2"/>
    </row>
    <row r="6890" spans="8:9">
      <c r="H6890" s="2"/>
      <c r="I6890" s="2"/>
    </row>
    <row r="6891" spans="8:9">
      <c r="H6891" s="2"/>
      <c r="I6891" s="2"/>
    </row>
    <row r="6892" spans="8:9">
      <c r="H6892" s="2"/>
      <c r="I6892" s="2"/>
    </row>
    <row r="6893" spans="8:9">
      <c r="H6893" s="2"/>
      <c r="I6893" s="2"/>
    </row>
    <row r="6894" spans="8:9">
      <c r="H6894" s="2"/>
      <c r="I6894" s="2"/>
    </row>
    <row r="6895" spans="8:9">
      <c r="H6895" s="2"/>
      <c r="I6895" s="2"/>
    </row>
    <row r="6896" spans="8:9">
      <c r="H6896" s="2"/>
      <c r="I6896" s="2"/>
    </row>
    <row r="6897" spans="8:9">
      <c r="H6897" s="2"/>
      <c r="I6897" s="2"/>
    </row>
    <row r="6898" spans="8:9">
      <c r="H6898" s="2"/>
      <c r="I6898" s="2"/>
    </row>
    <row r="6899" spans="8:9">
      <c r="H6899" s="2"/>
      <c r="I6899" s="2"/>
    </row>
    <row r="6900" spans="8:9">
      <c r="H6900" s="2"/>
      <c r="I6900" s="2"/>
    </row>
    <row r="6901" spans="8:9">
      <c r="H6901" s="2"/>
      <c r="I6901" s="2"/>
    </row>
    <row r="6902" spans="8:9">
      <c r="H6902" s="2"/>
      <c r="I6902" s="2"/>
    </row>
    <row r="6903" spans="8:9">
      <c r="H6903" s="2"/>
      <c r="I6903" s="2"/>
    </row>
    <row r="6904" spans="8:9">
      <c r="H6904" s="2"/>
      <c r="I6904" s="2"/>
    </row>
    <row r="6905" spans="8:9">
      <c r="H6905" s="2"/>
      <c r="I6905" s="2"/>
    </row>
    <row r="6906" spans="8:9">
      <c r="H6906" s="2"/>
      <c r="I6906" s="2"/>
    </row>
    <row r="6907" spans="8:9">
      <c r="H6907" s="2"/>
      <c r="I6907" s="2"/>
    </row>
    <row r="6908" spans="8:9">
      <c r="H6908" s="2"/>
      <c r="I6908" s="2"/>
    </row>
    <row r="6909" spans="8:9">
      <c r="H6909" s="2"/>
      <c r="I6909" s="2"/>
    </row>
    <row r="6910" spans="8:9">
      <c r="H6910" s="2"/>
      <c r="I6910" s="2"/>
    </row>
    <row r="6911" spans="8:9">
      <c r="H6911" s="2"/>
      <c r="I6911" s="2"/>
    </row>
    <row r="6912" spans="8:9">
      <c r="H6912" s="2"/>
      <c r="I6912" s="2"/>
    </row>
    <row r="6913" spans="8:9">
      <c r="H6913" s="2"/>
      <c r="I6913" s="2"/>
    </row>
    <row r="6914" spans="8:9">
      <c r="H6914" s="2"/>
      <c r="I6914" s="2"/>
    </row>
    <row r="6915" spans="8:9">
      <c r="H6915" s="2"/>
      <c r="I6915" s="2"/>
    </row>
    <row r="6916" spans="8:9">
      <c r="H6916" s="2"/>
      <c r="I6916" s="2"/>
    </row>
    <row r="6917" spans="8:9">
      <c r="H6917" s="2"/>
      <c r="I6917" s="2"/>
    </row>
    <row r="6918" spans="8:9">
      <c r="H6918" s="2"/>
      <c r="I6918" s="2"/>
    </row>
    <row r="6919" spans="8:9">
      <c r="H6919" s="2"/>
      <c r="I6919" s="2"/>
    </row>
    <row r="6920" spans="8:9">
      <c r="H6920" s="2"/>
      <c r="I6920" s="2"/>
    </row>
    <row r="6921" spans="8:9">
      <c r="H6921" s="2"/>
      <c r="I6921" s="2"/>
    </row>
    <row r="6922" spans="8:9">
      <c r="H6922" s="2"/>
      <c r="I6922" s="2"/>
    </row>
    <row r="6923" spans="8:9">
      <c r="H6923" s="2"/>
      <c r="I6923" s="2"/>
    </row>
    <row r="6924" spans="8:9">
      <c r="H6924" s="2"/>
      <c r="I6924" s="2"/>
    </row>
    <row r="6925" spans="8:9">
      <c r="H6925" s="2"/>
      <c r="I6925" s="2"/>
    </row>
    <row r="6926" spans="8:9">
      <c r="H6926" s="2"/>
      <c r="I6926" s="2"/>
    </row>
    <row r="6927" spans="8:9">
      <c r="H6927" s="2"/>
      <c r="I6927" s="2"/>
    </row>
    <row r="6928" spans="8:9">
      <c r="H6928" s="2"/>
      <c r="I6928" s="2"/>
    </row>
    <row r="6929" spans="8:9">
      <c r="H6929" s="2"/>
      <c r="I6929" s="2"/>
    </row>
    <row r="6930" spans="8:9">
      <c r="H6930" s="2"/>
      <c r="I6930" s="2"/>
    </row>
    <row r="6931" spans="8:9">
      <c r="H6931" s="2"/>
      <c r="I6931" s="2"/>
    </row>
    <row r="6932" spans="8:9">
      <c r="H6932" s="2"/>
      <c r="I6932" s="2"/>
    </row>
    <row r="6933" spans="8:9">
      <c r="H6933" s="2"/>
      <c r="I6933" s="2"/>
    </row>
    <row r="6934" spans="8:9">
      <c r="H6934" s="2"/>
      <c r="I6934" s="2"/>
    </row>
    <row r="6935" spans="8:9">
      <c r="H6935" s="2"/>
      <c r="I6935" s="2"/>
    </row>
    <row r="6936" spans="8:9">
      <c r="H6936" s="2"/>
      <c r="I6936" s="2"/>
    </row>
    <row r="6937" spans="8:9">
      <c r="H6937" s="2"/>
      <c r="I6937" s="2"/>
    </row>
    <row r="6938" spans="8:9">
      <c r="H6938" s="2"/>
      <c r="I6938" s="2"/>
    </row>
    <row r="6939" spans="8:9">
      <c r="H6939" s="2"/>
      <c r="I6939" s="2"/>
    </row>
    <row r="6940" spans="8:9">
      <c r="H6940" s="2"/>
      <c r="I6940" s="2"/>
    </row>
    <row r="6941" spans="8:9">
      <c r="H6941" s="2"/>
      <c r="I6941" s="2"/>
    </row>
    <row r="6942" spans="8:9">
      <c r="H6942" s="2"/>
      <c r="I6942" s="2"/>
    </row>
    <row r="6943" spans="8:9">
      <c r="H6943" s="2"/>
      <c r="I6943" s="2"/>
    </row>
    <row r="6944" spans="8:9">
      <c r="H6944" s="2"/>
      <c r="I6944" s="2"/>
    </row>
    <row r="6945" spans="8:9">
      <c r="H6945" s="2"/>
      <c r="I6945" s="2"/>
    </row>
    <row r="6946" spans="8:9">
      <c r="H6946" s="2"/>
      <c r="I6946" s="2"/>
    </row>
    <row r="6947" spans="8:9">
      <c r="H6947" s="2"/>
      <c r="I6947" s="2"/>
    </row>
    <row r="6948" spans="8:9">
      <c r="H6948" s="2"/>
      <c r="I6948" s="2"/>
    </row>
    <row r="6949" spans="8:9">
      <c r="H6949" s="2"/>
      <c r="I6949" s="2"/>
    </row>
    <row r="6950" spans="8:9">
      <c r="H6950" s="2"/>
      <c r="I6950" s="2"/>
    </row>
    <row r="6951" spans="8:9">
      <c r="H6951" s="2"/>
      <c r="I6951" s="2"/>
    </row>
    <row r="6952" spans="8:9">
      <c r="H6952" s="2"/>
      <c r="I6952" s="2"/>
    </row>
    <row r="6953" spans="8:9">
      <c r="H6953" s="2"/>
      <c r="I6953" s="2"/>
    </row>
    <row r="6954" spans="8:9">
      <c r="H6954" s="2"/>
      <c r="I6954" s="2"/>
    </row>
    <row r="6955" spans="8:9">
      <c r="H6955" s="2"/>
      <c r="I6955" s="2"/>
    </row>
    <row r="6956" spans="8:9">
      <c r="H6956" s="2"/>
      <c r="I6956" s="2"/>
    </row>
    <row r="6957" spans="8:9">
      <c r="H6957" s="2"/>
      <c r="I6957" s="2"/>
    </row>
    <row r="6958" spans="8:9">
      <c r="H6958" s="2"/>
      <c r="I6958" s="2"/>
    </row>
    <row r="6959" spans="8:9">
      <c r="H6959" s="2"/>
      <c r="I6959" s="2"/>
    </row>
    <row r="6960" spans="8:9">
      <c r="H6960" s="2"/>
      <c r="I6960" s="2"/>
    </row>
    <row r="6961" spans="8:9">
      <c r="H6961" s="2"/>
      <c r="I6961" s="2"/>
    </row>
    <row r="6962" spans="8:9">
      <c r="H6962" s="2"/>
      <c r="I6962" s="2"/>
    </row>
    <row r="6963" spans="8:9">
      <c r="H6963" s="2"/>
      <c r="I6963" s="2"/>
    </row>
    <row r="6964" spans="8:9">
      <c r="H6964" s="2"/>
      <c r="I6964" s="2"/>
    </row>
    <row r="6965" spans="8:9">
      <c r="H6965" s="2"/>
      <c r="I6965" s="2"/>
    </row>
    <row r="6966" spans="8:9">
      <c r="H6966" s="2"/>
      <c r="I6966" s="2"/>
    </row>
    <row r="6967" spans="8:9">
      <c r="H6967" s="2"/>
      <c r="I6967" s="2"/>
    </row>
    <row r="6968" spans="8:9">
      <c r="H6968" s="2"/>
      <c r="I6968" s="2"/>
    </row>
    <row r="6969" spans="8:9">
      <c r="H6969" s="2"/>
      <c r="I6969" s="2"/>
    </row>
    <row r="6970" spans="8:9">
      <c r="H6970" s="2"/>
      <c r="I6970" s="2"/>
    </row>
    <row r="6971" spans="8:9">
      <c r="H6971" s="2"/>
      <c r="I6971" s="2"/>
    </row>
    <row r="6972" spans="8:9">
      <c r="H6972" s="2"/>
      <c r="I6972" s="2"/>
    </row>
    <row r="6973" spans="8:9">
      <c r="H6973" s="2"/>
      <c r="I6973" s="2"/>
    </row>
    <row r="6974" spans="8:9">
      <c r="H6974" s="2"/>
      <c r="I6974" s="2"/>
    </row>
    <row r="6975" spans="8:9">
      <c r="H6975" s="2"/>
      <c r="I6975" s="2"/>
    </row>
    <row r="6976" spans="8:9">
      <c r="H6976" s="2"/>
      <c r="I6976" s="2"/>
    </row>
    <row r="6977" spans="8:9">
      <c r="H6977" s="2"/>
      <c r="I6977" s="2"/>
    </row>
    <row r="6978" spans="8:9">
      <c r="H6978" s="2"/>
      <c r="I6978" s="2"/>
    </row>
    <row r="6979" spans="8:9">
      <c r="H6979" s="2"/>
      <c r="I6979" s="2"/>
    </row>
    <row r="6980" spans="8:9">
      <c r="H6980" s="2"/>
      <c r="I6980" s="2"/>
    </row>
    <row r="6981" spans="8:9">
      <c r="H6981" s="2"/>
      <c r="I6981" s="2"/>
    </row>
    <row r="6982" spans="8:9">
      <c r="H6982" s="2"/>
      <c r="I6982" s="2"/>
    </row>
    <row r="6983" spans="8:9">
      <c r="H6983" s="2"/>
      <c r="I6983" s="2"/>
    </row>
    <row r="6984" spans="8:9">
      <c r="H6984" s="2"/>
      <c r="I6984" s="2"/>
    </row>
    <row r="6985" spans="8:9">
      <c r="H6985" s="2"/>
      <c r="I6985" s="2"/>
    </row>
    <row r="6986" spans="8:9">
      <c r="H6986" s="2"/>
      <c r="I6986" s="2"/>
    </row>
    <row r="6987" spans="8:9">
      <c r="H6987" s="2"/>
      <c r="I6987" s="2"/>
    </row>
    <row r="6988" spans="8:9">
      <c r="H6988" s="2"/>
      <c r="I6988" s="2"/>
    </row>
    <row r="6989" spans="8:9">
      <c r="H6989" s="2"/>
      <c r="I6989" s="2"/>
    </row>
    <row r="6990" spans="8:9">
      <c r="H6990" s="2"/>
      <c r="I6990" s="2"/>
    </row>
    <row r="6991" spans="8:9">
      <c r="H6991" s="2"/>
      <c r="I6991" s="2"/>
    </row>
    <row r="6992" spans="8:9">
      <c r="H6992" s="2"/>
      <c r="I6992" s="2"/>
    </row>
    <row r="6993" spans="8:9">
      <c r="H6993" s="2"/>
      <c r="I6993" s="2"/>
    </row>
    <row r="6994" spans="8:9">
      <c r="H6994" s="2"/>
      <c r="I6994" s="2"/>
    </row>
    <row r="6995" spans="8:9">
      <c r="H6995" s="2"/>
      <c r="I6995" s="2"/>
    </row>
    <row r="6996" spans="8:9">
      <c r="H6996" s="2"/>
      <c r="I6996" s="2"/>
    </row>
    <row r="6997" spans="8:9">
      <c r="H6997" s="2"/>
      <c r="I6997" s="2"/>
    </row>
    <row r="6998" spans="8:9">
      <c r="H6998" s="2"/>
      <c r="I6998" s="2"/>
    </row>
    <row r="6999" spans="8:9">
      <c r="H6999" s="2"/>
      <c r="I6999" s="2"/>
    </row>
    <row r="7000" spans="8:9">
      <c r="H7000" s="2"/>
      <c r="I7000" s="2"/>
    </row>
    <row r="7001" spans="8:9">
      <c r="H7001" s="2"/>
      <c r="I7001" s="2"/>
    </row>
    <row r="7002" spans="8:9">
      <c r="H7002" s="2"/>
      <c r="I7002" s="2"/>
    </row>
    <row r="7003" spans="8:9">
      <c r="H7003" s="2"/>
      <c r="I7003" s="2"/>
    </row>
    <row r="7004" spans="8:9">
      <c r="H7004" s="2"/>
      <c r="I7004" s="2"/>
    </row>
    <row r="7005" spans="8:9">
      <c r="H7005" s="2"/>
      <c r="I7005" s="2"/>
    </row>
    <row r="7006" spans="8:9">
      <c r="H7006" s="2"/>
      <c r="I7006" s="2"/>
    </row>
    <row r="7007" spans="8:9">
      <c r="H7007" s="2"/>
      <c r="I7007" s="2"/>
    </row>
    <row r="7008" spans="8:9">
      <c r="H7008" s="2"/>
      <c r="I7008" s="2"/>
    </row>
    <row r="7009" spans="8:9">
      <c r="H7009" s="2"/>
      <c r="I7009" s="2"/>
    </row>
    <row r="7010" spans="8:9">
      <c r="H7010" s="2"/>
      <c r="I7010" s="2"/>
    </row>
    <row r="7011" spans="8:9">
      <c r="H7011" s="2"/>
      <c r="I7011" s="2"/>
    </row>
    <row r="7012" spans="8:9">
      <c r="H7012" s="2"/>
      <c r="I7012" s="2"/>
    </row>
    <row r="7013" spans="8:9">
      <c r="H7013" s="2"/>
      <c r="I7013" s="2"/>
    </row>
    <row r="7014" spans="8:9">
      <c r="H7014" s="2"/>
      <c r="I7014" s="2"/>
    </row>
    <row r="7015" spans="8:9">
      <c r="H7015" s="2"/>
      <c r="I7015" s="2"/>
    </row>
    <row r="7016" spans="8:9">
      <c r="H7016" s="2"/>
      <c r="I7016" s="2"/>
    </row>
    <row r="7017" spans="8:9">
      <c r="H7017" s="2"/>
      <c r="I7017" s="2"/>
    </row>
    <row r="7018" spans="8:9">
      <c r="H7018" s="2"/>
      <c r="I7018" s="2"/>
    </row>
    <row r="7019" spans="8:9">
      <c r="H7019" s="2"/>
      <c r="I7019" s="2"/>
    </row>
    <row r="7020" spans="8:9">
      <c r="H7020" s="2"/>
      <c r="I7020" s="2"/>
    </row>
    <row r="7021" spans="8:9">
      <c r="H7021" s="2"/>
      <c r="I7021" s="2"/>
    </row>
    <row r="7022" spans="8:9">
      <c r="H7022" s="2"/>
      <c r="I7022" s="2"/>
    </row>
    <row r="7023" spans="8:9">
      <c r="H7023" s="2"/>
      <c r="I7023" s="2"/>
    </row>
    <row r="7024" spans="8:9">
      <c r="H7024" s="2"/>
      <c r="I7024" s="2"/>
    </row>
    <row r="7025" spans="8:9">
      <c r="H7025" s="2"/>
      <c r="I7025" s="2"/>
    </row>
    <row r="7026" spans="8:9">
      <c r="H7026" s="2"/>
      <c r="I7026" s="2"/>
    </row>
    <row r="7027" spans="8:9">
      <c r="H7027" s="2"/>
      <c r="I7027" s="2"/>
    </row>
    <row r="7028" spans="8:9">
      <c r="H7028" s="2"/>
      <c r="I7028" s="2"/>
    </row>
    <row r="7029" spans="8:9">
      <c r="H7029" s="2"/>
      <c r="I7029" s="2"/>
    </row>
    <row r="7030" spans="8:9">
      <c r="H7030" s="2"/>
      <c r="I7030" s="2"/>
    </row>
    <row r="7031" spans="8:9">
      <c r="H7031" s="2"/>
      <c r="I7031" s="2"/>
    </row>
    <row r="7032" spans="8:9">
      <c r="H7032" s="2"/>
      <c r="I7032" s="2"/>
    </row>
    <row r="7033" spans="8:9">
      <c r="H7033" s="2"/>
      <c r="I7033" s="2"/>
    </row>
    <row r="7034" spans="8:9">
      <c r="H7034" s="2"/>
      <c r="I7034" s="2"/>
    </row>
    <row r="7035" spans="8:9">
      <c r="H7035" s="2"/>
      <c r="I7035" s="2"/>
    </row>
    <row r="7036" spans="8:9">
      <c r="H7036" s="2"/>
      <c r="I7036" s="2"/>
    </row>
    <row r="7037" spans="8:9">
      <c r="H7037" s="2"/>
      <c r="I7037" s="2"/>
    </row>
    <row r="7038" spans="8:9">
      <c r="H7038" s="2"/>
      <c r="I7038" s="2"/>
    </row>
    <row r="7039" spans="8:9">
      <c r="H7039" s="2"/>
      <c r="I7039" s="2"/>
    </row>
    <row r="7040" spans="8:9">
      <c r="H7040" s="2"/>
      <c r="I7040" s="2"/>
    </row>
    <row r="7041" spans="8:9">
      <c r="H7041" s="2"/>
      <c r="I7041" s="2"/>
    </row>
    <row r="7042" spans="8:9">
      <c r="H7042" s="2"/>
      <c r="I7042" s="2"/>
    </row>
    <row r="7043" spans="8:9">
      <c r="H7043" s="2"/>
      <c r="I7043" s="2"/>
    </row>
    <row r="7044" spans="8:9">
      <c r="H7044" s="2"/>
      <c r="I7044" s="2"/>
    </row>
    <row r="7045" spans="8:9">
      <c r="H7045" s="2"/>
      <c r="I7045" s="2"/>
    </row>
    <row r="7046" spans="8:9">
      <c r="H7046" s="2"/>
      <c r="I7046" s="2"/>
    </row>
    <row r="7047" spans="8:9">
      <c r="H7047" s="2"/>
      <c r="I7047" s="2"/>
    </row>
    <row r="7048" spans="8:9">
      <c r="H7048" s="2"/>
      <c r="I7048" s="2"/>
    </row>
    <row r="7049" spans="8:9">
      <c r="H7049" s="2"/>
      <c r="I7049" s="2"/>
    </row>
    <row r="7050" spans="8:9">
      <c r="H7050" s="2"/>
      <c r="I7050" s="2"/>
    </row>
    <row r="7051" spans="8:9">
      <c r="H7051" s="2"/>
      <c r="I7051" s="2"/>
    </row>
    <row r="7052" spans="8:9">
      <c r="H7052" s="2"/>
      <c r="I7052" s="2"/>
    </row>
    <row r="7053" spans="8:9">
      <c r="H7053" s="2"/>
      <c r="I7053" s="2"/>
    </row>
    <row r="7054" spans="8:9">
      <c r="H7054" s="2"/>
      <c r="I7054" s="2"/>
    </row>
    <row r="7055" spans="8:9">
      <c r="H7055" s="2"/>
      <c r="I7055" s="2"/>
    </row>
    <row r="7056" spans="8:9">
      <c r="H7056" s="2"/>
      <c r="I7056" s="2"/>
    </row>
    <row r="7057" spans="8:9">
      <c r="H7057" s="2"/>
      <c r="I7057" s="2"/>
    </row>
    <row r="7058" spans="8:9">
      <c r="H7058" s="2"/>
      <c r="I7058" s="2"/>
    </row>
    <row r="7059" spans="8:9">
      <c r="H7059" s="2"/>
      <c r="I7059" s="2"/>
    </row>
    <row r="7060" spans="8:9">
      <c r="H7060" s="2"/>
      <c r="I7060" s="2"/>
    </row>
    <row r="7061" spans="8:9">
      <c r="H7061" s="2"/>
      <c r="I7061" s="2"/>
    </row>
    <row r="7062" spans="8:9">
      <c r="H7062" s="2"/>
      <c r="I7062" s="2"/>
    </row>
    <row r="7063" spans="8:9">
      <c r="H7063" s="2"/>
      <c r="I7063" s="2"/>
    </row>
    <row r="7064" spans="8:9">
      <c r="H7064" s="2"/>
      <c r="I7064" s="2"/>
    </row>
    <row r="7065" spans="8:9">
      <c r="H7065" s="2"/>
      <c r="I7065" s="2"/>
    </row>
    <row r="7066" spans="8:9">
      <c r="H7066" s="2"/>
      <c r="I7066" s="2"/>
    </row>
    <row r="7067" spans="8:9">
      <c r="H7067" s="2"/>
      <c r="I7067" s="2"/>
    </row>
    <row r="7068" spans="8:9">
      <c r="H7068" s="2"/>
      <c r="I7068" s="2"/>
    </row>
    <row r="7069" spans="8:9">
      <c r="H7069" s="2"/>
      <c r="I7069" s="2"/>
    </row>
    <row r="7070" spans="8:9">
      <c r="H7070" s="2"/>
      <c r="I7070" s="2"/>
    </row>
    <row r="7071" spans="8:9">
      <c r="H7071" s="2"/>
      <c r="I7071" s="2"/>
    </row>
    <row r="7072" spans="8:9">
      <c r="H7072" s="2"/>
      <c r="I7072" s="2"/>
    </row>
    <row r="7073" spans="8:9">
      <c r="H7073" s="2"/>
      <c r="I7073" s="2"/>
    </row>
    <row r="7074" spans="8:9">
      <c r="H7074" s="2"/>
      <c r="I7074" s="2"/>
    </row>
    <row r="7075" spans="8:9">
      <c r="H7075" s="2"/>
      <c r="I7075" s="2"/>
    </row>
    <row r="7076" spans="8:9">
      <c r="H7076" s="2"/>
      <c r="I7076" s="2"/>
    </row>
    <row r="7077" spans="8:9">
      <c r="H7077" s="2"/>
      <c r="I7077" s="2"/>
    </row>
    <row r="7078" spans="8:9">
      <c r="H7078" s="2"/>
      <c r="I7078" s="2"/>
    </row>
    <row r="7079" spans="8:9">
      <c r="H7079" s="2"/>
      <c r="I7079" s="2"/>
    </row>
    <row r="7080" spans="8:9">
      <c r="H7080" s="2"/>
      <c r="I7080" s="2"/>
    </row>
    <row r="7081" spans="8:9">
      <c r="H7081" s="2"/>
      <c r="I7081" s="2"/>
    </row>
    <row r="7082" spans="8:9">
      <c r="H7082" s="2"/>
      <c r="I7082" s="2"/>
    </row>
    <row r="7083" spans="8:9">
      <c r="H7083" s="2"/>
      <c r="I7083" s="2"/>
    </row>
    <row r="7084" spans="8:9">
      <c r="H7084" s="2"/>
      <c r="I7084" s="2"/>
    </row>
    <row r="7085" spans="8:9">
      <c r="H7085" s="2"/>
      <c r="I7085" s="2"/>
    </row>
    <row r="7086" spans="8:9">
      <c r="H7086" s="2"/>
      <c r="I7086" s="2"/>
    </row>
    <row r="7087" spans="8:9">
      <c r="H7087" s="2"/>
      <c r="I7087" s="2"/>
    </row>
    <row r="7088" spans="8:9">
      <c r="H7088" s="2"/>
      <c r="I7088" s="2"/>
    </row>
    <row r="7089" spans="8:9">
      <c r="H7089" s="2"/>
      <c r="I7089" s="2"/>
    </row>
    <row r="7090" spans="8:9">
      <c r="H7090" s="2"/>
      <c r="I7090" s="2"/>
    </row>
    <row r="7091" spans="8:9">
      <c r="H7091" s="2"/>
      <c r="I7091" s="2"/>
    </row>
    <row r="7092" spans="8:9">
      <c r="H7092" s="2"/>
      <c r="I7092" s="2"/>
    </row>
    <row r="7093" spans="8:9">
      <c r="H7093" s="2"/>
      <c r="I7093" s="2"/>
    </row>
    <row r="7094" spans="8:9">
      <c r="H7094" s="2"/>
      <c r="I7094" s="2"/>
    </row>
    <row r="7095" spans="8:9">
      <c r="H7095" s="2"/>
      <c r="I7095" s="2"/>
    </row>
    <row r="7096" spans="8:9">
      <c r="H7096" s="2"/>
      <c r="I7096" s="2"/>
    </row>
    <row r="7097" spans="8:9">
      <c r="H7097" s="2"/>
      <c r="I7097" s="2"/>
    </row>
    <row r="7098" spans="8:9">
      <c r="H7098" s="2"/>
      <c r="I7098" s="2"/>
    </row>
    <row r="7099" spans="8:9">
      <c r="H7099" s="2"/>
      <c r="I7099" s="2"/>
    </row>
    <row r="7100" spans="8:9">
      <c r="H7100" s="2"/>
      <c r="I7100" s="2"/>
    </row>
    <row r="7101" spans="8:9">
      <c r="H7101" s="2"/>
      <c r="I7101" s="2"/>
    </row>
    <row r="7102" spans="8:9">
      <c r="H7102" s="2"/>
      <c r="I7102" s="2"/>
    </row>
    <row r="7103" spans="8:9">
      <c r="H7103" s="2"/>
      <c r="I7103" s="2"/>
    </row>
    <row r="7104" spans="8:9">
      <c r="H7104" s="2"/>
      <c r="I7104" s="2"/>
    </row>
    <row r="7105" spans="8:9">
      <c r="H7105" s="2"/>
      <c r="I7105" s="2"/>
    </row>
    <row r="7106" spans="8:9">
      <c r="H7106" s="2"/>
      <c r="I7106" s="2"/>
    </row>
    <row r="7107" spans="8:9">
      <c r="H7107" s="2"/>
      <c r="I7107" s="2"/>
    </row>
    <row r="7108" spans="8:9">
      <c r="H7108" s="2"/>
      <c r="I7108" s="2"/>
    </row>
    <row r="7109" spans="8:9">
      <c r="H7109" s="2"/>
      <c r="I7109" s="2"/>
    </row>
    <row r="7110" spans="8:9">
      <c r="H7110" s="2"/>
      <c r="I7110" s="2"/>
    </row>
    <row r="7111" spans="8:9">
      <c r="H7111" s="2"/>
      <c r="I7111" s="2"/>
    </row>
    <row r="7112" spans="8:9">
      <c r="H7112" s="2"/>
      <c r="I7112" s="2"/>
    </row>
    <row r="7113" spans="8:9">
      <c r="H7113" s="2"/>
      <c r="I7113" s="2"/>
    </row>
    <row r="7114" spans="8:9">
      <c r="H7114" s="2"/>
      <c r="I7114" s="2"/>
    </row>
    <row r="7115" spans="8:9">
      <c r="H7115" s="2"/>
      <c r="I7115" s="2"/>
    </row>
    <row r="7116" spans="8:9">
      <c r="H7116" s="2"/>
      <c r="I7116" s="2"/>
    </row>
    <row r="7117" spans="8:9">
      <c r="H7117" s="2"/>
      <c r="I7117" s="2"/>
    </row>
    <row r="7118" spans="8:9">
      <c r="H7118" s="2"/>
      <c r="I7118" s="2"/>
    </row>
    <row r="7119" spans="8:9">
      <c r="H7119" s="2"/>
      <c r="I7119" s="2"/>
    </row>
    <row r="7120" spans="8:9">
      <c r="H7120" s="2"/>
      <c r="I7120" s="2"/>
    </row>
    <row r="7121" spans="8:9">
      <c r="H7121" s="2"/>
      <c r="I7121" s="2"/>
    </row>
    <row r="7122" spans="8:9">
      <c r="H7122" s="2"/>
      <c r="I7122" s="2"/>
    </row>
    <row r="7123" spans="8:9">
      <c r="H7123" s="2"/>
      <c r="I7123" s="2"/>
    </row>
    <row r="7124" spans="8:9">
      <c r="H7124" s="2"/>
      <c r="I7124" s="2"/>
    </row>
    <row r="7125" spans="8:9">
      <c r="H7125" s="2"/>
      <c r="I7125" s="2"/>
    </row>
    <row r="7126" spans="8:9">
      <c r="H7126" s="2"/>
      <c r="I7126" s="2"/>
    </row>
    <row r="7127" spans="8:9">
      <c r="H7127" s="2"/>
      <c r="I7127" s="2"/>
    </row>
    <row r="7128" spans="8:9">
      <c r="H7128" s="2"/>
      <c r="I7128" s="2"/>
    </row>
    <row r="7129" spans="8:9">
      <c r="H7129" s="2"/>
      <c r="I7129" s="2"/>
    </row>
    <row r="7130" spans="8:9">
      <c r="H7130" s="2"/>
      <c r="I7130" s="2"/>
    </row>
    <row r="7131" spans="8:9">
      <c r="H7131" s="2"/>
      <c r="I7131" s="2"/>
    </row>
    <row r="7132" spans="8:9">
      <c r="H7132" s="2"/>
      <c r="I7132" s="2"/>
    </row>
    <row r="7133" spans="8:9">
      <c r="H7133" s="2"/>
      <c r="I7133" s="2"/>
    </row>
    <row r="7134" spans="8:9">
      <c r="H7134" s="2"/>
      <c r="I7134" s="2"/>
    </row>
    <row r="7135" spans="8:9">
      <c r="H7135" s="2"/>
      <c r="I7135" s="2"/>
    </row>
    <row r="7136" spans="8:9">
      <c r="H7136" s="2"/>
      <c r="I7136" s="2"/>
    </row>
    <row r="7137" spans="8:9">
      <c r="H7137" s="2"/>
      <c r="I7137" s="2"/>
    </row>
    <row r="7138" spans="8:9">
      <c r="H7138" s="2"/>
      <c r="I7138" s="2"/>
    </row>
    <row r="7139" spans="8:9">
      <c r="H7139" s="2"/>
      <c r="I7139" s="2"/>
    </row>
    <row r="7140" spans="8:9">
      <c r="H7140" s="2"/>
      <c r="I7140" s="2"/>
    </row>
    <row r="7141" spans="8:9">
      <c r="H7141" s="2"/>
      <c r="I7141" s="2"/>
    </row>
    <row r="7142" spans="8:9">
      <c r="H7142" s="2"/>
      <c r="I7142" s="2"/>
    </row>
    <row r="7143" spans="8:9">
      <c r="H7143" s="2"/>
      <c r="I7143" s="2"/>
    </row>
    <row r="7144" spans="8:9">
      <c r="H7144" s="2"/>
      <c r="I7144" s="2"/>
    </row>
    <row r="7145" spans="8:9">
      <c r="H7145" s="2"/>
      <c r="I7145" s="2"/>
    </row>
    <row r="7146" spans="8:9">
      <c r="H7146" s="2"/>
      <c r="I7146" s="2"/>
    </row>
    <row r="7147" spans="8:9">
      <c r="H7147" s="2"/>
      <c r="I7147" s="2"/>
    </row>
    <row r="7148" spans="8:9">
      <c r="H7148" s="2"/>
      <c r="I7148" s="2"/>
    </row>
    <row r="7149" spans="8:9">
      <c r="H7149" s="2"/>
      <c r="I7149" s="2"/>
    </row>
    <row r="7150" spans="8:9">
      <c r="H7150" s="2"/>
      <c r="I7150" s="2"/>
    </row>
    <row r="7151" spans="8:9">
      <c r="H7151" s="2"/>
      <c r="I7151" s="2"/>
    </row>
    <row r="7152" spans="8:9">
      <c r="H7152" s="2"/>
      <c r="I7152" s="2"/>
    </row>
    <row r="7153" spans="8:9">
      <c r="H7153" s="2"/>
      <c r="I7153" s="2"/>
    </row>
    <row r="7154" spans="8:9">
      <c r="H7154" s="2"/>
      <c r="I7154" s="2"/>
    </row>
    <row r="7155" spans="8:9">
      <c r="H7155" s="2"/>
      <c r="I7155" s="2"/>
    </row>
    <row r="7156" spans="8:9">
      <c r="H7156" s="2"/>
      <c r="I7156" s="2"/>
    </row>
    <row r="7157" spans="8:9">
      <c r="H7157" s="2"/>
      <c r="I7157" s="2"/>
    </row>
    <row r="7158" spans="8:9">
      <c r="H7158" s="2"/>
      <c r="I7158" s="2"/>
    </row>
    <row r="7159" spans="8:9">
      <c r="H7159" s="2"/>
      <c r="I7159" s="2"/>
    </row>
    <row r="7160" spans="8:9">
      <c r="H7160" s="2"/>
      <c r="I7160" s="2"/>
    </row>
    <row r="7161" spans="8:9">
      <c r="H7161" s="2"/>
      <c r="I7161" s="2"/>
    </row>
    <row r="7162" spans="8:9">
      <c r="H7162" s="2"/>
      <c r="I7162" s="2"/>
    </row>
    <row r="7163" spans="8:9">
      <c r="H7163" s="2"/>
      <c r="I7163" s="2"/>
    </row>
    <row r="7164" spans="8:9">
      <c r="H7164" s="2"/>
      <c r="I7164" s="2"/>
    </row>
    <row r="7165" spans="8:9">
      <c r="H7165" s="2"/>
      <c r="I7165" s="2"/>
    </row>
    <row r="7166" spans="8:9">
      <c r="H7166" s="2"/>
      <c r="I7166" s="2"/>
    </row>
    <row r="7167" spans="8:9">
      <c r="H7167" s="2"/>
      <c r="I7167" s="2"/>
    </row>
    <row r="7168" spans="8:9">
      <c r="H7168" s="2"/>
      <c r="I7168" s="2"/>
    </row>
    <row r="7169" spans="8:9">
      <c r="H7169" s="2"/>
      <c r="I7169" s="2"/>
    </row>
    <row r="7170" spans="8:9">
      <c r="H7170" s="2"/>
      <c r="I7170" s="2"/>
    </row>
    <row r="7171" spans="8:9">
      <c r="H7171" s="2"/>
      <c r="I7171" s="2"/>
    </row>
    <row r="7172" spans="8:9">
      <c r="H7172" s="2"/>
      <c r="I7172" s="2"/>
    </row>
    <row r="7173" spans="8:9">
      <c r="H7173" s="2"/>
      <c r="I7173" s="2"/>
    </row>
    <row r="7174" spans="8:9">
      <c r="H7174" s="2"/>
      <c r="I7174" s="2"/>
    </row>
    <row r="7175" spans="8:9">
      <c r="H7175" s="2"/>
      <c r="I7175" s="2"/>
    </row>
    <row r="7176" spans="8:9">
      <c r="H7176" s="2"/>
      <c r="I7176" s="2"/>
    </row>
    <row r="7177" spans="8:9">
      <c r="H7177" s="2"/>
      <c r="I7177" s="2"/>
    </row>
    <row r="7178" spans="8:9">
      <c r="H7178" s="2"/>
      <c r="I7178" s="2"/>
    </row>
    <row r="7179" spans="8:9">
      <c r="H7179" s="2"/>
      <c r="I7179" s="2"/>
    </row>
    <row r="7180" spans="8:9">
      <c r="H7180" s="2"/>
      <c r="I7180" s="2"/>
    </row>
    <row r="7181" spans="8:9">
      <c r="H7181" s="2"/>
      <c r="I7181" s="2"/>
    </row>
    <row r="7182" spans="8:9">
      <c r="H7182" s="2"/>
      <c r="I7182" s="2"/>
    </row>
    <row r="7183" spans="8:9">
      <c r="H7183" s="2"/>
      <c r="I7183" s="2"/>
    </row>
    <row r="7184" spans="8:9">
      <c r="H7184" s="2"/>
      <c r="I7184" s="2"/>
    </row>
    <row r="7185" spans="8:9">
      <c r="H7185" s="2"/>
      <c r="I7185" s="2"/>
    </row>
    <row r="7186" spans="8:9">
      <c r="H7186" s="2"/>
      <c r="I7186" s="2"/>
    </row>
    <row r="7187" spans="8:9">
      <c r="H7187" s="2"/>
      <c r="I7187" s="2"/>
    </row>
    <row r="7188" spans="8:9">
      <c r="H7188" s="2"/>
      <c r="I7188" s="2"/>
    </row>
    <row r="7189" spans="8:9">
      <c r="H7189" s="2"/>
      <c r="I7189" s="2"/>
    </row>
    <row r="7190" spans="8:9">
      <c r="H7190" s="2"/>
      <c r="I7190" s="2"/>
    </row>
    <row r="7191" spans="8:9">
      <c r="H7191" s="2"/>
      <c r="I7191" s="2"/>
    </row>
    <row r="7192" spans="8:9">
      <c r="H7192" s="2"/>
      <c r="I7192" s="2"/>
    </row>
    <row r="7193" spans="8:9">
      <c r="H7193" s="2"/>
      <c r="I7193" s="2"/>
    </row>
    <row r="7194" spans="8:9">
      <c r="H7194" s="2"/>
      <c r="I7194" s="2"/>
    </row>
    <row r="7195" spans="8:9">
      <c r="H7195" s="2"/>
      <c r="I7195" s="2"/>
    </row>
    <row r="7196" spans="8:9">
      <c r="H7196" s="2"/>
      <c r="I7196" s="2"/>
    </row>
    <row r="7197" spans="8:9">
      <c r="H7197" s="2"/>
      <c r="I7197" s="2"/>
    </row>
    <row r="7198" spans="8:9">
      <c r="H7198" s="2"/>
      <c r="I7198" s="2"/>
    </row>
    <row r="7199" spans="8:9">
      <c r="H7199" s="2"/>
      <c r="I7199" s="2"/>
    </row>
    <row r="7200" spans="8:9">
      <c r="H7200" s="2"/>
      <c r="I7200" s="2"/>
    </row>
    <row r="7201" spans="8:9">
      <c r="H7201" s="2"/>
      <c r="I7201" s="2"/>
    </row>
    <row r="7202" spans="8:9">
      <c r="H7202" s="2"/>
      <c r="I7202" s="2"/>
    </row>
    <row r="7203" spans="8:9">
      <c r="H7203" s="2"/>
      <c r="I7203" s="2"/>
    </row>
    <row r="7204" spans="8:9">
      <c r="H7204" s="2"/>
      <c r="I7204" s="2"/>
    </row>
    <row r="7205" spans="8:9">
      <c r="H7205" s="2"/>
      <c r="I7205" s="2"/>
    </row>
    <row r="7206" spans="8:9">
      <c r="H7206" s="2"/>
      <c r="I7206" s="2"/>
    </row>
    <row r="7207" spans="8:9">
      <c r="H7207" s="2"/>
      <c r="I7207" s="2"/>
    </row>
    <row r="7208" spans="8:9">
      <c r="H7208" s="2"/>
      <c r="I7208" s="2"/>
    </row>
    <row r="7209" spans="8:9">
      <c r="H7209" s="2"/>
      <c r="I7209" s="2"/>
    </row>
    <row r="7210" spans="8:9">
      <c r="H7210" s="2"/>
      <c r="I7210" s="2"/>
    </row>
    <row r="7211" spans="8:9">
      <c r="H7211" s="2"/>
      <c r="I7211" s="2"/>
    </row>
    <row r="7212" spans="8:9">
      <c r="H7212" s="2"/>
      <c r="I7212" s="2"/>
    </row>
    <row r="7213" spans="8:9">
      <c r="H7213" s="2"/>
      <c r="I7213" s="2"/>
    </row>
    <row r="7214" spans="8:9">
      <c r="H7214" s="2"/>
      <c r="I7214" s="2"/>
    </row>
    <row r="7215" spans="8:9">
      <c r="H7215" s="2"/>
      <c r="I7215" s="2"/>
    </row>
    <row r="7216" spans="8:9">
      <c r="H7216" s="2"/>
      <c r="I7216" s="2"/>
    </row>
    <row r="7217" spans="8:9">
      <c r="H7217" s="2"/>
      <c r="I7217" s="2"/>
    </row>
    <row r="7218" spans="8:9">
      <c r="H7218" s="2"/>
      <c r="I7218" s="2"/>
    </row>
    <row r="7219" spans="8:9">
      <c r="H7219" s="2"/>
      <c r="I7219" s="2"/>
    </row>
    <row r="7220" spans="8:9">
      <c r="H7220" s="2"/>
      <c r="I7220" s="2"/>
    </row>
    <row r="7221" spans="8:9">
      <c r="H7221" s="2"/>
      <c r="I7221" s="2"/>
    </row>
    <row r="7222" spans="8:9">
      <c r="H7222" s="2"/>
      <c r="I7222" s="2"/>
    </row>
    <row r="7223" spans="8:9">
      <c r="H7223" s="2"/>
      <c r="I7223" s="2"/>
    </row>
    <row r="7224" spans="8:9">
      <c r="H7224" s="2"/>
      <c r="I7224" s="2"/>
    </row>
    <row r="7225" spans="8:9">
      <c r="H7225" s="2"/>
      <c r="I7225" s="2"/>
    </row>
    <row r="7226" spans="8:9">
      <c r="H7226" s="2"/>
      <c r="I7226" s="2"/>
    </row>
    <row r="7227" spans="8:9">
      <c r="H7227" s="2"/>
      <c r="I7227" s="2"/>
    </row>
    <row r="7228" spans="8:9">
      <c r="H7228" s="2"/>
      <c r="I7228" s="2"/>
    </row>
    <row r="7229" spans="8:9">
      <c r="H7229" s="2"/>
      <c r="I7229" s="2"/>
    </row>
    <row r="7230" spans="8:9">
      <c r="H7230" s="2"/>
      <c r="I7230" s="2"/>
    </row>
    <row r="7231" spans="8:9">
      <c r="H7231" s="2"/>
      <c r="I7231" s="2"/>
    </row>
    <row r="7232" spans="8:9">
      <c r="H7232" s="2"/>
      <c r="I7232" s="2"/>
    </row>
    <row r="7233" spans="8:9">
      <c r="H7233" s="2"/>
      <c r="I7233" s="2"/>
    </row>
    <row r="7234" spans="8:9">
      <c r="H7234" s="2"/>
      <c r="I7234" s="2"/>
    </row>
    <row r="7235" spans="8:9">
      <c r="H7235" s="2"/>
      <c r="I7235" s="2"/>
    </row>
    <row r="7236" spans="8:9">
      <c r="H7236" s="2"/>
      <c r="I7236" s="2"/>
    </row>
    <row r="7237" spans="8:9">
      <c r="H7237" s="2"/>
      <c r="I7237" s="2"/>
    </row>
    <row r="7238" spans="8:9">
      <c r="H7238" s="2"/>
      <c r="I7238" s="2"/>
    </row>
    <row r="7239" spans="8:9">
      <c r="H7239" s="2"/>
      <c r="I7239" s="2"/>
    </row>
    <row r="7240" spans="8:9">
      <c r="H7240" s="2"/>
      <c r="I7240" s="2"/>
    </row>
    <row r="7241" spans="8:9">
      <c r="H7241" s="2"/>
      <c r="I7241" s="2"/>
    </row>
    <row r="7242" spans="8:9">
      <c r="H7242" s="2"/>
      <c r="I7242" s="2"/>
    </row>
    <row r="7243" spans="8:9">
      <c r="H7243" s="2"/>
      <c r="I7243" s="2"/>
    </row>
    <row r="7244" spans="8:9">
      <c r="H7244" s="2"/>
      <c r="I7244" s="2"/>
    </row>
    <row r="7245" spans="8:9">
      <c r="H7245" s="2"/>
      <c r="I7245" s="2"/>
    </row>
    <row r="7246" spans="8:9">
      <c r="H7246" s="2"/>
      <c r="I7246" s="2"/>
    </row>
    <row r="7247" spans="8:9">
      <c r="H7247" s="2"/>
      <c r="I7247" s="2"/>
    </row>
    <row r="7248" spans="8:9">
      <c r="H7248" s="2"/>
      <c r="I7248" s="2"/>
    </row>
    <row r="7249" spans="8:9">
      <c r="H7249" s="2"/>
      <c r="I7249" s="2"/>
    </row>
    <row r="7250" spans="8:9">
      <c r="H7250" s="2"/>
      <c r="I7250" s="2"/>
    </row>
    <row r="7251" spans="8:9">
      <c r="H7251" s="2"/>
      <c r="I7251" s="2"/>
    </row>
    <row r="7252" spans="8:9">
      <c r="H7252" s="2"/>
      <c r="I7252" s="2"/>
    </row>
    <row r="7253" spans="8:9">
      <c r="H7253" s="2"/>
      <c r="I7253" s="2"/>
    </row>
    <row r="7254" spans="8:9">
      <c r="H7254" s="2"/>
      <c r="I7254" s="2"/>
    </row>
    <row r="7255" spans="8:9">
      <c r="H7255" s="2"/>
      <c r="I7255" s="2"/>
    </row>
    <row r="7256" spans="8:9">
      <c r="H7256" s="2"/>
      <c r="I7256" s="2"/>
    </row>
    <row r="7257" spans="8:9">
      <c r="H7257" s="2"/>
      <c r="I7257" s="2"/>
    </row>
    <row r="7258" spans="8:9">
      <c r="H7258" s="2"/>
      <c r="I7258" s="2"/>
    </row>
    <row r="7259" spans="8:9">
      <c r="H7259" s="2"/>
      <c r="I7259" s="2"/>
    </row>
    <row r="7260" spans="8:9">
      <c r="H7260" s="2"/>
      <c r="I7260" s="2"/>
    </row>
    <row r="7261" spans="8:9">
      <c r="H7261" s="2"/>
      <c r="I7261" s="2"/>
    </row>
    <row r="7262" spans="8:9">
      <c r="H7262" s="2"/>
      <c r="I7262" s="2"/>
    </row>
    <row r="7263" spans="8:9">
      <c r="H7263" s="2"/>
      <c r="I7263" s="2"/>
    </row>
    <row r="7264" spans="8:9">
      <c r="H7264" s="2"/>
      <c r="I7264" s="2"/>
    </row>
    <row r="7265" spans="8:9">
      <c r="H7265" s="2"/>
      <c r="I7265" s="2"/>
    </row>
    <row r="7266" spans="8:9">
      <c r="H7266" s="2"/>
      <c r="I7266" s="2"/>
    </row>
    <row r="7267" spans="8:9">
      <c r="H7267" s="2"/>
      <c r="I7267" s="2"/>
    </row>
    <row r="7268" spans="8:9">
      <c r="H7268" s="2"/>
      <c r="I7268" s="2"/>
    </row>
    <row r="7269" spans="8:9">
      <c r="H7269" s="2"/>
      <c r="I7269" s="2"/>
    </row>
    <row r="7270" spans="8:9">
      <c r="H7270" s="2"/>
      <c r="I7270" s="2"/>
    </row>
    <row r="7271" spans="8:9">
      <c r="H7271" s="2"/>
      <c r="I7271" s="2"/>
    </row>
    <row r="7272" spans="8:9">
      <c r="H7272" s="2"/>
      <c r="I7272" s="2"/>
    </row>
    <row r="7273" spans="8:9">
      <c r="H7273" s="2"/>
      <c r="I7273" s="2"/>
    </row>
    <row r="7274" spans="8:9">
      <c r="H7274" s="2"/>
      <c r="I7274" s="2"/>
    </row>
    <row r="7275" spans="8:9">
      <c r="H7275" s="2"/>
      <c r="I7275" s="2"/>
    </row>
    <row r="7276" spans="8:9">
      <c r="H7276" s="2"/>
      <c r="I7276" s="2"/>
    </row>
    <row r="7277" spans="8:9">
      <c r="H7277" s="2"/>
      <c r="I7277" s="2"/>
    </row>
    <row r="7278" spans="8:9">
      <c r="H7278" s="2"/>
      <c r="I7278" s="2"/>
    </row>
    <row r="7279" spans="8:9">
      <c r="H7279" s="2"/>
      <c r="I7279" s="2"/>
    </row>
    <row r="7280" spans="8:9">
      <c r="H7280" s="2"/>
      <c r="I7280" s="2"/>
    </row>
    <row r="7281" spans="8:9">
      <c r="H7281" s="2"/>
      <c r="I7281" s="2"/>
    </row>
    <row r="7282" spans="8:9">
      <c r="H7282" s="2"/>
      <c r="I7282" s="2"/>
    </row>
    <row r="7283" spans="8:9">
      <c r="H7283" s="2"/>
      <c r="I7283" s="2"/>
    </row>
    <row r="7284" spans="8:9">
      <c r="H7284" s="2"/>
      <c r="I7284" s="2"/>
    </row>
    <row r="7285" spans="8:9">
      <c r="H7285" s="2"/>
      <c r="I7285" s="2"/>
    </row>
    <row r="7286" spans="8:9">
      <c r="H7286" s="2"/>
      <c r="I7286" s="2"/>
    </row>
    <row r="7287" spans="8:9">
      <c r="H7287" s="2"/>
      <c r="I7287" s="2"/>
    </row>
    <row r="7288" spans="8:9">
      <c r="H7288" s="2"/>
      <c r="I7288" s="2"/>
    </row>
    <row r="7289" spans="8:9">
      <c r="H7289" s="2"/>
      <c r="I7289" s="2"/>
    </row>
    <row r="7290" spans="8:9">
      <c r="H7290" s="2"/>
      <c r="I7290" s="2"/>
    </row>
    <row r="7291" spans="8:9">
      <c r="H7291" s="2"/>
      <c r="I7291" s="2"/>
    </row>
    <row r="7292" spans="8:9">
      <c r="H7292" s="2"/>
      <c r="I7292" s="2"/>
    </row>
    <row r="7293" spans="8:9">
      <c r="H7293" s="2"/>
      <c r="I7293" s="2"/>
    </row>
    <row r="7294" spans="8:9">
      <c r="H7294" s="2"/>
      <c r="I7294" s="2"/>
    </row>
    <row r="7295" spans="8:9">
      <c r="H7295" s="2"/>
      <c r="I7295" s="2"/>
    </row>
    <row r="7296" spans="8:9">
      <c r="H7296" s="2"/>
      <c r="I7296" s="2"/>
    </row>
    <row r="7297" spans="8:9">
      <c r="H7297" s="2"/>
      <c r="I7297" s="2"/>
    </row>
    <row r="7298" spans="8:9">
      <c r="H7298" s="2"/>
      <c r="I7298" s="2"/>
    </row>
    <row r="7299" spans="8:9">
      <c r="H7299" s="2"/>
      <c r="I7299" s="2"/>
    </row>
    <row r="7300" spans="8:9">
      <c r="H7300" s="2"/>
      <c r="I7300" s="2"/>
    </row>
    <row r="7301" spans="8:9">
      <c r="H7301" s="2"/>
      <c r="I7301" s="2"/>
    </row>
    <row r="7302" spans="8:9">
      <c r="H7302" s="2"/>
      <c r="I7302" s="2"/>
    </row>
    <row r="7303" spans="8:9">
      <c r="H7303" s="2"/>
      <c r="I7303" s="2"/>
    </row>
    <row r="7304" spans="8:9">
      <c r="H7304" s="2"/>
      <c r="I7304" s="2"/>
    </row>
    <row r="7305" spans="8:9">
      <c r="H7305" s="2"/>
      <c r="I7305" s="2"/>
    </row>
    <row r="7306" spans="8:9">
      <c r="H7306" s="2"/>
      <c r="I7306" s="2"/>
    </row>
    <row r="7307" spans="8:9">
      <c r="H7307" s="2"/>
      <c r="I7307" s="2"/>
    </row>
    <row r="7308" spans="8:9">
      <c r="H7308" s="2"/>
      <c r="I7308" s="2"/>
    </row>
    <row r="7309" spans="8:9">
      <c r="H7309" s="2"/>
      <c r="I7309" s="2"/>
    </row>
    <row r="7310" spans="8:9">
      <c r="H7310" s="2"/>
      <c r="I7310" s="2"/>
    </row>
    <row r="7311" spans="8:9">
      <c r="H7311" s="2"/>
      <c r="I7311" s="2"/>
    </row>
    <row r="7312" spans="8:9">
      <c r="H7312" s="2"/>
      <c r="I7312" s="2"/>
    </row>
    <row r="7313" spans="8:9">
      <c r="H7313" s="2"/>
      <c r="I7313" s="2"/>
    </row>
    <row r="7314" spans="8:9">
      <c r="H7314" s="2"/>
      <c r="I7314" s="2"/>
    </row>
    <row r="7315" spans="8:9">
      <c r="H7315" s="2"/>
      <c r="I7315" s="2"/>
    </row>
    <row r="7316" spans="8:9">
      <c r="H7316" s="2"/>
      <c r="I7316" s="2"/>
    </row>
    <row r="7317" spans="8:9">
      <c r="H7317" s="2"/>
      <c r="I7317" s="2"/>
    </row>
    <row r="7318" spans="8:9">
      <c r="H7318" s="2"/>
      <c r="I7318" s="2"/>
    </row>
    <row r="7319" spans="8:9">
      <c r="H7319" s="2"/>
      <c r="I7319" s="2"/>
    </row>
    <row r="7320" spans="8:9">
      <c r="H7320" s="2"/>
      <c r="I7320" s="2"/>
    </row>
    <row r="7321" spans="8:9">
      <c r="H7321" s="2"/>
      <c r="I7321" s="2"/>
    </row>
    <row r="7322" spans="8:9">
      <c r="H7322" s="2"/>
      <c r="I7322" s="2"/>
    </row>
    <row r="7323" spans="8:9">
      <c r="H7323" s="2"/>
      <c r="I7323" s="2"/>
    </row>
    <row r="7324" spans="8:9">
      <c r="H7324" s="2"/>
      <c r="I7324" s="2"/>
    </row>
    <row r="7325" spans="8:9">
      <c r="H7325" s="2"/>
      <c r="I7325" s="2"/>
    </row>
    <row r="7326" spans="8:9">
      <c r="H7326" s="2"/>
      <c r="I7326" s="2"/>
    </row>
    <row r="7327" spans="8:9">
      <c r="H7327" s="2"/>
      <c r="I7327" s="2"/>
    </row>
    <row r="7328" spans="8:9">
      <c r="H7328" s="2"/>
      <c r="I7328" s="2"/>
    </row>
    <row r="7329" spans="8:9">
      <c r="H7329" s="2"/>
      <c r="I7329" s="2"/>
    </row>
    <row r="7330" spans="8:9">
      <c r="H7330" s="2"/>
      <c r="I7330" s="2"/>
    </row>
    <row r="7331" spans="8:9">
      <c r="H7331" s="2"/>
      <c r="I7331" s="2"/>
    </row>
    <row r="7332" spans="8:9">
      <c r="H7332" s="2"/>
      <c r="I7332" s="2"/>
    </row>
    <row r="7333" spans="8:9">
      <c r="H7333" s="2"/>
      <c r="I7333" s="2"/>
    </row>
    <row r="7334" spans="8:9">
      <c r="H7334" s="2"/>
      <c r="I7334" s="2"/>
    </row>
    <row r="7335" spans="8:9">
      <c r="H7335" s="2"/>
      <c r="I7335" s="2"/>
    </row>
    <row r="7336" spans="8:9">
      <c r="H7336" s="2"/>
      <c r="I7336" s="2"/>
    </row>
    <row r="7337" spans="8:9">
      <c r="H7337" s="2"/>
      <c r="I7337" s="2"/>
    </row>
    <row r="7338" spans="8:9">
      <c r="H7338" s="2"/>
      <c r="I7338" s="2"/>
    </row>
    <row r="7339" spans="8:9">
      <c r="H7339" s="2"/>
      <c r="I7339" s="2"/>
    </row>
    <row r="7340" spans="8:9">
      <c r="H7340" s="2"/>
      <c r="I7340" s="2"/>
    </row>
    <row r="7341" spans="8:9">
      <c r="H7341" s="2"/>
      <c r="I7341" s="2"/>
    </row>
    <row r="7342" spans="8:9">
      <c r="H7342" s="2"/>
      <c r="I7342" s="2"/>
    </row>
    <row r="7343" spans="8:9">
      <c r="H7343" s="2"/>
      <c r="I7343" s="2"/>
    </row>
    <row r="7344" spans="8:9">
      <c r="H7344" s="2"/>
      <c r="I7344" s="2"/>
    </row>
    <row r="7345" spans="8:9">
      <c r="H7345" s="2"/>
      <c r="I7345" s="2"/>
    </row>
    <row r="7346" spans="8:9">
      <c r="H7346" s="2"/>
      <c r="I7346" s="2"/>
    </row>
    <row r="7347" spans="8:9">
      <c r="H7347" s="2"/>
      <c r="I7347" s="2"/>
    </row>
    <row r="7348" spans="8:9">
      <c r="H7348" s="2"/>
      <c r="I7348" s="2"/>
    </row>
    <row r="7349" spans="8:9">
      <c r="H7349" s="2"/>
      <c r="I7349" s="2"/>
    </row>
    <row r="7350" spans="8:9">
      <c r="H7350" s="2"/>
      <c r="I7350" s="2"/>
    </row>
    <row r="7351" spans="8:9">
      <c r="H7351" s="2"/>
      <c r="I7351" s="2"/>
    </row>
    <row r="7352" spans="8:9">
      <c r="H7352" s="2"/>
      <c r="I7352" s="2"/>
    </row>
    <row r="7353" spans="8:9">
      <c r="H7353" s="2"/>
      <c r="I7353" s="2"/>
    </row>
    <row r="7354" spans="8:9">
      <c r="H7354" s="2"/>
      <c r="I7354" s="2"/>
    </row>
    <row r="7355" spans="8:9">
      <c r="H7355" s="2"/>
      <c r="I7355" s="2"/>
    </row>
    <row r="7356" spans="8:9">
      <c r="H7356" s="2"/>
      <c r="I7356" s="2"/>
    </row>
    <row r="7357" spans="8:9">
      <c r="H7357" s="2"/>
      <c r="I7357" s="2"/>
    </row>
    <row r="7358" spans="8:9">
      <c r="H7358" s="2"/>
      <c r="I7358" s="2"/>
    </row>
    <row r="7359" spans="8:9">
      <c r="H7359" s="2"/>
      <c r="I7359" s="2"/>
    </row>
    <row r="7360" spans="8:9">
      <c r="H7360" s="2"/>
      <c r="I7360" s="2"/>
    </row>
    <row r="7361" spans="8:9">
      <c r="H7361" s="2"/>
      <c r="I7361" s="2"/>
    </row>
    <row r="7362" spans="8:9">
      <c r="H7362" s="2"/>
      <c r="I7362" s="2"/>
    </row>
    <row r="7363" spans="8:9">
      <c r="H7363" s="2"/>
      <c r="I7363" s="2"/>
    </row>
    <row r="7364" spans="8:9">
      <c r="H7364" s="2"/>
      <c r="I7364" s="2"/>
    </row>
    <row r="7365" spans="8:9">
      <c r="H7365" s="2"/>
      <c r="I7365" s="2"/>
    </row>
    <row r="7366" spans="8:9">
      <c r="H7366" s="2"/>
      <c r="I7366" s="2"/>
    </row>
    <row r="7367" spans="8:9">
      <c r="H7367" s="2"/>
      <c r="I7367" s="2"/>
    </row>
    <row r="7368" spans="8:9">
      <c r="H7368" s="2"/>
      <c r="I7368" s="2"/>
    </row>
    <row r="7369" spans="8:9">
      <c r="H7369" s="2"/>
      <c r="I7369" s="2"/>
    </row>
    <row r="7370" spans="8:9">
      <c r="H7370" s="2"/>
      <c r="I7370" s="2"/>
    </row>
    <row r="7371" spans="8:9">
      <c r="H7371" s="2"/>
      <c r="I7371" s="2"/>
    </row>
    <row r="7372" spans="8:9">
      <c r="H7372" s="2"/>
      <c r="I7372" s="2"/>
    </row>
    <row r="7373" spans="8:9">
      <c r="H7373" s="2"/>
      <c r="I7373" s="2"/>
    </row>
    <row r="7374" spans="8:9">
      <c r="H7374" s="2"/>
      <c r="I7374" s="2"/>
    </row>
    <row r="7375" spans="8:9">
      <c r="H7375" s="2"/>
      <c r="I7375" s="2"/>
    </row>
    <row r="7376" spans="8:9">
      <c r="H7376" s="2"/>
      <c r="I7376" s="2"/>
    </row>
    <row r="7377" spans="8:9">
      <c r="H7377" s="2"/>
      <c r="I7377" s="2"/>
    </row>
    <row r="7378" spans="8:9">
      <c r="H7378" s="2"/>
      <c r="I7378" s="2"/>
    </row>
    <row r="7379" spans="8:9">
      <c r="H7379" s="2"/>
      <c r="I7379" s="2"/>
    </row>
    <row r="7380" spans="8:9">
      <c r="H7380" s="2"/>
      <c r="I7380" s="2"/>
    </row>
    <row r="7381" spans="8:9">
      <c r="H7381" s="2"/>
      <c r="I7381" s="2"/>
    </row>
    <row r="7382" spans="8:9">
      <c r="H7382" s="2"/>
      <c r="I7382" s="2"/>
    </row>
    <row r="7383" spans="8:9">
      <c r="H7383" s="2"/>
      <c r="I7383" s="2"/>
    </row>
    <row r="7384" spans="8:9">
      <c r="H7384" s="2"/>
      <c r="I7384" s="2"/>
    </row>
    <row r="7385" spans="8:9">
      <c r="H7385" s="2"/>
      <c r="I7385" s="2"/>
    </row>
    <row r="7386" spans="8:9">
      <c r="H7386" s="2"/>
      <c r="I7386" s="2"/>
    </row>
    <row r="7387" spans="8:9">
      <c r="H7387" s="2"/>
      <c r="I7387" s="2"/>
    </row>
    <row r="7388" spans="8:9">
      <c r="H7388" s="2"/>
      <c r="I7388" s="2"/>
    </row>
    <row r="7389" spans="8:9">
      <c r="H7389" s="2"/>
      <c r="I7389" s="2"/>
    </row>
    <row r="7390" spans="8:9">
      <c r="H7390" s="2"/>
      <c r="I7390" s="2"/>
    </row>
    <row r="7391" spans="8:9">
      <c r="H7391" s="2"/>
      <c r="I7391" s="2"/>
    </row>
    <row r="7392" spans="8:9">
      <c r="H7392" s="2"/>
      <c r="I7392" s="2"/>
    </row>
    <row r="7393" spans="8:9">
      <c r="H7393" s="2"/>
      <c r="I7393" s="2"/>
    </row>
    <row r="7394" spans="8:9">
      <c r="H7394" s="2"/>
      <c r="I7394" s="2"/>
    </row>
    <row r="7395" spans="8:9">
      <c r="H7395" s="2"/>
      <c r="I7395" s="2"/>
    </row>
    <row r="7396" spans="8:9">
      <c r="H7396" s="2"/>
      <c r="I7396" s="2"/>
    </row>
    <row r="7397" spans="8:9">
      <c r="H7397" s="2"/>
      <c r="I7397" s="2"/>
    </row>
    <row r="7398" spans="8:9">
      <c r="H7398" s="2"/>
      <c r="I7398" s="2"/>
    </row>
    <row r="7399" spans="8:9">
      <c r="H7399" s="2"/>
      <c r="I7399" s="2"/>
    </row>
    <row r="7400" spans="8:9">
      <c r="H7400" s="2"/>
      <c r="I7400" s="2"/>
    </row>
    <row r="7401" spans="8:9">
      <c r="H7401" s="2"/>
      <c r="I7401" s="2"/>
    </row>
    <row r="7402" spans="8:9">
      <c r="H7402" s="2"/>
      <c r="I7402" s="2"/>
    </row>
    <row r="7403" spans="8:9">
      <c r="H7403" s="2"/>
      <c r="I7403" s="2"/>
    </row>
    <row r="7404" spans="8:9">
      <c r="H7404" s="2"/>
      <c r="I7404" s="2"/>
    </row>
    <row r="7405" spans="8:9">
      <c r="H7405" s="2"/>
      <c r="I7405" s="2"/>
    </row>
    <row r="7406" spans="8:9">
      <c r="H7406" s="2"/>
      <c r="I7406" s="2"/>
    </row>
    <row r="7407" spans="8:9">
      <c r="H7407" s="2"/>
      <c r="I7407" s="2"/>
    </row>
    <row r="7408" spans="8:9">
      <c r="H7408" s="2"/>
      <c r="I7408" s="2"/>
    </row>
    <row r="7409" spans="8:9">
      <c r="H7409" s="2"/>
      <c r="I7409" s="2"/>
    </row>
    <row r="7410" spans="8:9">
      <c r="H7410" s="2"/>
      <c r="I7410" s="2"/>
    </row>
    <row r="7411" spans="8:9">
      <c r="H7411" s="2"/>
      <c r="I7411" s="2"/>
    </row>
    <row r="7412" spans="8:9">
      <c r="H7412" s="2"/>
      <c r="I7412" s="2"/>
    </row>
    <row r="7413" spans="8:9">
      <c r="H7413" s="2"/>
      <c r="I7413" s="2"/>
    </row>
    <row r="7414" spans="8:9">
      <c r="H7414" s="2"/>
      <c r="I7414" s="2"/>
    </row>
    <row r="7415" spans="8:9">
      <c r="H7415" s="2"/>
      <c r="I7415" s="2"/>
    </row>
    <row r="7416" spans="8:9">
      <c r="H7416" s="2"/>
      <c r="I7416" s="2"/>
    </row>
    <row r="7417" spans="8:9">
      <c r="H7417" s="2"/>
      <c r="I7417" s="2"/>
    </row>
    <row r="7418" spans="8:9">
      <c r="H7418" s="2"/>
      <c r="I7418" s="2"/>
    </row>
    <row r="7419" spans="8:9">
      <c r="H7419" s="2"/>
      <c r="I7419" s="2"/>
    </row>
    <row r="7420" spans="8:9">
      <c r="H7420" s="2"/>
      <c r="I7420" s="2"/>
    </row>
    <row r="7421" spans="8:9">
      <c r="H7421" s="2"/>
      <c r="I7421" s="2"/>
    </row>
    <row r="7422" spans="8:9">
      <c r="H7422" s="2"/>
      <c r="I7422" s="2"/>
    </row>
    <row r="7423" spans="8:9">
      <c r="H7423" s="2"/>
      <c r="I7423" s="2"/>
    </row>
    <row r="7424" spans="8:9">
      <c r="H7424" s="2"/>
      <c r="I7424" s="2"/>
    </row>
    <row r="7425" spans="8:9">
      <c r="H7425" s="2"/>
      <c r="I7425" s="2"/>
    </row>
    <row r="7426" spans="8:9">
      <c r="H7426" s="2"/>
      <c r="I7426" s="2"/>
    </row>
    <row r="7427" spans="8:9">
      <c r="H7427" s="2"/>
      <c r="I7427" s="2"/>
    </row>
    <row r="7428" spans="8:9">
      <c r="H7428" s="2"/>
      <c r="I7428" s="2"/>
    </row>
    <row r="7429" spans="8:9">
      <c r="H7429" s="2"/>
      <c r="I7429" s="2"/>
    </row>
    <row r="7430" spans="8:9">
      <c r="H7430" s="2"/>
      <c r="I7430" s="2"/>
    </row>
    <row r="7431" spans="8:9">
      <c r="H7431" s="2"/>
      <c r="I7431" s="2"/>
    </row>
    <row r="7432" spans="8:9">
      <c r="H7432" s="2"/>
      <c r="I7432" s="2"/>
    </row>
    <row r="7433" spans="8:9">
      <c r="H7433" s="2"/>
      <c r="I7433" s="2"/>
    </row>
    <row r="7434" spans="8:9">
      <c r="H7434" s="2"/>
      <c r="I7434" s="2"/>
    </row>
    <row r="7435" spans="8:9">
      <c r="H7435" s="2"/>
      <c r="I7435" s="2"/>
    </row>
    <row r="7436" spans="8:9">
      <c r="H7436" s="2"/>
      <c r="I7436" s="2"/>
    </row>
    <row r="7437" spans="8:9">
      <c r="H7437" s="2"/>
      <c r="I7437" s="2"/>
    </row>
    <row r="7438" spans="8:9">
      <c r="H7438" s="2"/>
      <c r="I7438" s="2"/>
    </row>
    <row r="7439" spans="8:9">
      <c r="H7439" s="2"/>
      <c r="I7439" s="2"/>
    </row>
    <row r="7440" spans="8:9">
      <c r="H7440" s="2"/>
      <c r="I7440" s="2"/>
    </row>
    <row r="7441" spans="8:9">
      <c r="H7441" s="2"/>
      <c r="I7441" s="2"/>
    </row>
    <row r="7442" spans="8:9">
      <c r="H7442" s="2"/>
      <c r="I7442" s="2"/>
    </row>
    <row r="7443" spans="8:9">
      <c r="H7443" s="2"/>
      <c r="I7443" s="2"/>
    </row>
    <row r="7444" spans="8:9">
      <c r="H7444" s="2"/>
      <c r="I7444" s="2"/>
    </row>
    <row r="7445" spans="8:9">
      <c r="H7445" s="2"/>
      <c r="I7445" s="2"/>
    </row>
    <row r="7446" spans="8:9">
      <c r="H7446" s="2"/>
      <c r="I7446" s="2"/>
    </row>
    <row r="7447" spans="8:9">
      <c r="H7447" s="2"/>
      <c r="I7447" s="2"/>
    </row>
    <row r="7448" spans="8:9">
      <c r="H7448" s="2"/>
      <c r="I7448" s="2"/>
    </row>
    <row r="7449" spans="8:9">
      <c r="H7449" s="2"/>
      <c r="I7449" s="2"/>
    </row>
    <row r="7450" spans="8:9">
      <c r="H7450" s="2"/>
      <c r="I7450" s="2"/>
    </row>
    <row r="7451" spans="8:9">
      <c r="H7451" s="2"/>
      <c r="I7451" s="2"/>
    </row>
    <row r="7452" spans="8:9">
      <c r="H7452" s="2"/>
      <c r="I7452" s="2"/>
    </row>
    <row r="7453" spans="8:9">
      <c r="H7453" s="2"/>
      <c r="I7453" s="2"/>
    </row>
    <row r="7454" spans="8:9">
      <c r="H7454" s="2"/>
      <c r="I7454" s="2"/>
    </row>
    <row r="7455" spans="8:9">
      <c r="H7455" s="2"/>
      <c r="I7455" s="2"/>
    </row>
    <row r="7456" spans="8:9">
      <c r="H7456" s="2"/>
      <c r="I7456" s="2"/>
    </row>
    <row r="7457" spans="8:9">
      <c r="H7457" s="2"/>
      <c r="I7457" s="2"/>
    </row>
    <row r="7458" spans="8:9">
      <c r="H7458" s="2"/>
      <c r="I7458" s="2"/>
    </row>
    <row r="7459" spans="8:9">
      <c r="H7459" s="2"/>
      <c r="I7459" s="2"/>
    </row>
    <row r="7460" spans="8:9">
      <c r="H7460" s="2"/>
      <c r="I7460" s="2"/>
    </row>
    <row r="7461" spans="8:9">
      <c r="H7461" s="2"/>
      <c r="I7461" s="2"/>
    </row>
    <row r="7462" spans="8:9">
      <c r="H7462" s="2"/>
      <c r="I7462" s="2"/>
    </row>
    <row r="7463" spans="8:9">
      <c r="H7463" s="2"/>
      <c r="I7463" s="2"/>
    </row>
    <row r="7464" spans="8:9">
      <c r="H7464" s="2"/>
      <c r="I7464" s="2"/>
    </row>
    <row r="7465" spans="8:9">
      <c r="H7465" s="2"/>
      <c r="I7465" s="2"/>
    </row>
    <row r="7466" spans="8:9">
      <c r="H7466" s="2"/>
      <c r="I7466" s="2"/>
    </row>
    <row r="7467" spans="8:9">
      <c r="H7467" s="2"/>
      <c r="I7467" s="2"/>
    </row>
    <row r="7468" spans="8:9">
      <c r="H7468" s="2"/>
      <c r="I7468" s="2"/>
    </row>
    <row r="7469" spans="8:9">
      <c r="H7469" s="2"/>
      <c r="I7469" s="2"/>
    </row>
    <row r="7470" spans="8:9">
      <c r="H7470" s="2"/>
      <c r="I7470" s="2"/>
    </row>
    <row r="7471" spans="8:9">
      <c r="H7471" s="2"/>
      <c r="I7471" s="2"/>
    </row>
    <row r="7472" spans="8:9">
      <c r="H7472" s="2"/>
      <c r="I7472" s="2"/>
    </row>
    <row r="7473" spans="8:9">
      <c r="H7473" s="2"/>
      <c r="I7473" s="2"/>
    </row>
    <row r="7474" spans="8:9">
      <c r="H7474" s="2"/>
      <c r="I7474" s="2"/>
    </row>
    <row r="7475" spans="8:9">
      <c r="H7475" s="2"/>
      <c r="I7475" s="2"/>
    </row>
    <row r="7476" spans="8:9">
      <c r="H7476" s="2"/>
      <c r="I7476" s="2"/>
    </row>
    <row r="7477" spans="8:9">
      <c r="H7477" s="2"/>
      <c r="I7477" s="2"/>
    </row>
    <row r="7478" spans="8:9">
      <c r="H7478" s="2"/>
      <c r="I7478" s="2"/>
    </row>
    <row r="7479" spans="8:9">
      <c r="H7479" s="2"/>
      <c r="I7479" s="2"/>
    </row>
    <row r="7480" spans="8:9">
      <c r="H7480" s="2"/>
      <c r="I7480" s="2"/>
    </row>
    <row r="7481" spans="8:9">
      <c r="H7481" s="2"/>
      <c r="I7481" s="2"/>
    </row>
    <row r="7482" spans="8:9">
      <c r="H7482" s="2"/>
      <c r="I7482" s="2"/>
    </row>
    <row r="7483" spans="8:9">
      <c r="H7483" s="2"/>
      <c r="I7483" s="2"/>
    </row>
    <row r="7484" spans="8:9">
      <c r="H7484" s="2"/>
      <c r="I7484" s="2"/>
    </row>
    <row r="7485" spans="8:9">
      <c r="H7485" s="2"/>
      <c r="I7485" s="2"/>
    </row>
    <row r="7486" spans="8:9">
      <c r="H7486" s="2"/>
      <c r="I7486" s="2"/>
    </row>
    <row r="7487" spans="8:9">
      <c r="H7487" s="2"/>
      <c r="I7487" s="2"/>
    </row>
    <row r="7488" spans="8:9">
      <c r="H7488" s="2"/>
      <c r="I7488" s="2"/>
    </row>
    <row r="7489" spans="8:9">
      <c r="H7489" s="2"/>
      <c r="I7489" s="2"/>
    </row>
    <row r="7490" spans="8:9">
      <c r="H7490" s="2"/>
      <c r="I7490" s="2"/>
    </row>
    <row r="7491" spans="8:9">
      <c r="H7491" s="2"/>
      <c r="I7491" s="2"/>
    </row>
    <row r="7492" spans="8:9">
      <c r="H7492" s="2"/>
      <c r="I7492" s="2"/>
    </row>
    <row r="7493" spans="8:9">
      <c r="H7493" s="2"/>
      <c r="I7493" s="2"/>
    </row>
    <row r="7494" spans="8:9">
      <c r="H7494" s="2"/>
      <c r="I7494" s="2"/>
    </row>
    <row r="7495" spans="8:9">
      <c r="H7495" s="2"/>
      <c r="I7495" s="2"/>
    </row>
    <row r="7496" spans="8:9">
      <c r="H7496" s="2"/>
      <c r="I7496" s="2"/>
    </row>
    <row r="7497" spans="8:9">
      <c r="H7497" s="2"/>
      <c r="I7497" s="2"/>
    </row>
    <row r="7498" spans="8:9">
      <c r="H7498" s="2"/>
      <c r="I7498" s="2"/>
    </row>
    <row r="7499" spans="8:9">
      <c r="H7499" s="2"/>
      <c r="I7499" s="2"/>
    </row>
    <row r="7500" spans="8:9">
      <c r="H7500" s="2"/>
      <c r="I7500" s="2"/>
    </row>
    <row r="7501" spans="8:9">
      <c r="H7501" s="2"/>
      <c r="I7501" s="2"/>
    </row>
    <row r="7502" spans="8:9">
      <c r="H7502" s="2"/>
      <c r="I7502" s="2"/>
    </row>
    <row r="7503" spans="8:9">
      <c r="H7503" s="2"/>
      <c r="I7503" s="2"/>
    </row>
    <row r="7504" spans="8:9">
      <c r="H7504" s="2"/>
      <c r="I7504" s="2"/>
    </row>
    <row r="7505" spans="8:9">
      <c r="H7505" s="2"/>
      <c r="I7505" s="2"/>
    </row>
    <row r="7506" spans="8:9">
      <c r="H7506" s="2"/>
      <c r="I7506" s="2"/>
    </row>
    <row r="7507" spans="8:9">
      <c r="H7507" s="2"/>
      <c r="I7507" s="2"/>
    </row>
    <row r="7508" spans="8:9">
      <c r="H7508" s="2"/>
      <c r="I7508" s="2"/>
    </row>
    <row r="7509" spans="8:9">
      <c r="H7509" s="2"/>
      <c r="I7509" s="2"/>
    </row>
    <row r="7510" spans="8:9">
      <c r="H7510" s="2"/>
      <c r="I7510" s="2"/>
    </row>
    <row r="7511" spans="8:9">
      <c r="H7511" s="2"/>
      <c r="I7511" s="2"/>
    </row>
    <row r="7512" spans="8:9">
      <c r="H7512" s="2"/>
      <c r="I7512" s="2"/>
    </row>
    <row r="7513" spans="8:9">
      <c r="H7513" s="2"/>
      <c r="I7513" s="2"/>
    </row>
    <row r="7514" spans="8:9">
      <c r="H7514" s="2"/>
      <c r="I7514" s="2"/>
    </row>
    <row r="7515" spans="8:9">
      <c r="H7515" s="2"/>
      <c r="I7515" s="2"/>
    </row>
    <row r="7516" spans="8:9">
      <c r="H7516" s="2"/>
      <c r="I7516" s="2"/>
    </row>
    <row r="7517" spans="8:9">
      <c r="H7517" s="2"/>
      <c r="I7517" s="2"/>
    </row>
    <row r="7518" spans="8:9">
      <c r="H7518" s="2"/>
      <c r="I7518" s="2"/>
    </row>
    <row r="7519" spans="8:9">
      <c r="H7519" s="2"/>
      <c r="I7519" s="2"/>
    </row>
    <row r="7520" spans="8:9">
      <c r="H7520" s="2"/>
      <c r="I7520" s="2"/>
    </row>
    <row r="7521" spans="8:9">
      <c r="H7521" s="2"/>
      <c r="I7521" s="2"/>
    </row>
    <row r="7522" spans="8:9">
      <c r="H7522" s="2"/>
      <c r="I7522" s="2"/>
    </row>
    <row r="7523" spans="8:9">
      <c r="H7523" s="2"/>
      <c r="I7523" s="2"/>
    </row>
    <row r="7524" spans="8:9">
      <c r="H7524" s="2"/>
      <c r="I7524" s="2"/>
    </row>
    <row r="7525" spans="8:9">
      <c r="H7525" s="2"/>
      <c r="I7525" s="2"/>
    </row>
    <row r="7526" spans="8:9">
      <c r="H7526" s="2"/>
      <c r="I7526" s="2"/>
    </row>
    <row r="7527" spans="8:9">
      <c r="H7527" s="2"/>
      <c r="I7527" s="2"/>
    </row>
    <row r="7528" spans="8:9">
      <c r="H7528" s="2"/>
      <c r="I7528" s="2"/>
    </row>
    <row r="7529" spans="8:9">
      <c r="H7529" s="2"/>
      <c r="I7529" s="2"/>
    </row>
    <row r="7530" spans="8:9">
      <c r="H7530" s="2"/>
      <c r="I7530" s="2"/>
    </row>
    <row r="7531" spans="8:9">
      <c r="H7531" s="2"/>
      <c r="I7531" s="2"/>
    </row>
    <row r="7532" spans="8:9">
      <c r="H7532" s="2"/>
      <c r="I7532" s="2"/>
    </row>
    <row r="7533" spans="8:9">
      <c r="H7533" s="2"/>
      <c r="I7533" s="2"/>
    </row>
    <row r="7534" spans="8:9">
      <c r="H7534" s="2"/>
      <c r="I7534" s="2"/>
    </row>
    <row r="7535" spans="8:9">
      <c r="H7535" s="2"/>
      <c r="I7535" s="2"/>
    </row>
    <row r="7536" spans="8:9">
      <c r="H7536" s="2"/>
      <c r="I7536" s="2"/>
    </row>
    <row r="7537" spans="8:9">
      <c r="H7537" s="2"/>
      <c r="I7537" s="2"/>
    </row>
    <row r="7538" spans="8:9">
      <c r="H7538" s="2"/>
      <c r="I7538" s="2"/>
    </row>
    <row r="7539" spans="8:9">
      <c r="H7539" s="2"/>
      <c r="I7539" s="2"/>
    </row>
    <row r="7540" spans="8:9">
      <c r="H7540" s="2"/>
      <c r="I7540" s="2"/>
    </row>
    <row r="7541" spans="8:9">
      <c r="H7541" s="2"/>
      <c r="I7541" s="2"/>
    </row>
    <row r="7542" spans="8:9">
      <c r="H7542" s="2"/>
      <c r="I7542" s="2"/>
    </row>
    <row r="7543" spans="8:9">
      <c r="H7543" s="2"/>
      <c r="I7543" s="2"/>
    </row>
    <row r="7544" spans="8:9">
      <c r="H7544" s="2"/>
      <c r="I7544" s="2"/>
    </row>
    <row r="7545" spans="8:9">
      <c r="H7545" s="2"/>
      <c r="I7545" s="2"/>
    </row>
    <row r="7546" spans="8:9">
      <c r="H7546" s="2"/>
      <c r="I7546" s="2"/>
    </row>
    <row r="7547" spans="8:9">
      <c r="H7547" s="2"/>
      <c r="I7547" s="2"/>
    </row>
    <row r="7548" spans="8:9">
      <c r="H7548" s="2"/>
      <c r="I7548" s="2"/>
    </row>
    <row r="7549" spans="8:9">
      <c r="H7549" s="2"/>
      <c r="I7549" s="2"/>
    </row>
    <row r="7550" spans="8:9">
      <c r="H7550" s="2"/>
      <c r="I7550" s="2"/>
    </row>
    <row r="7551" spans="8:9">
      <c r="H7551" s="2"/>
      <c r="I7551" s="2"/>
    </row>
    <row r="7552" spans="8:9">
      <c r="H7552" s="2"/>
      <c r="I7552" s="2"/>
    </row>
    <row r="7553" spans="8:9">
      <c r="H7553" s="2"/>
      <c r="I7553" s="2"/>
    </row>
    <row r="7554" spans="8:9">
      <c r="H7554" s="2"/>
      <c r="I7554" s="2"/>
    </row>
    <row r="7555" spans="8:9">
      <c r="H7555" s="2"/>
      <c r="I7555" s="2"/>
    </row>
    <row r="7556" spans="8:9">
      <c r="H7556" s="2"/>
      <c r="I7556" s="2"/>
    </row>
    <row r="7557" spans="8:9">
      <c r="H7557" s="2"/>
      <c r="I7557" s="2"/>
    </row>
    <row r="7558" spans="8:9">
      <c r="H7558" s="2"/>
      <c r="I7558" s="2"/>
    </row>
    <row r="7559" spans="8:9">
      <c r="H7559" s="2"/>
      <c r="I7559" s="2"/>
    </row>
    <row r="7560" spans="8:9">
      <c r="H7560" s="2"/>
      <c r="I7560" s="2"/>
    </row>
    <row r="7561" spans="8:9">
      <c r="H7561" s="2"/>
      <c r="I7561" s="2"/>
    </row>
    <row r="7562" spans="8:9">
      <c r="H7562" s="2"/>
      <c r="I7562" s="2"/>
    </row>
    <row r="7563" spans="8:9">
      <c r="H7563" s="2"/>
      <c r="I7563" s="2"/>
    </row>
    <row r="7564" spans="8:9">
      <c r="H7564" s="2"/>
      <c r="I7564" s="2"/>
    </row>
    <row r="7565" spans="8:9">
      <c r="H7565" s="2"/>
      <c r="I7565" s="2"/>
    </row>
    <row r="7566" spans="8:9">
      <c r="H7566" s="2"/>
      <c r="I7566" s="2"/>
    </row>
    <row r="7567" spans="8:9">
      <c r="H7567" s="2"/>
      <c r="I7567" s="2"/>
    </row>
    <row r="7568" spans="8:9">
      <c r="H7568" s="2"/>
      <c r="I7568" s="2"/>
    </row>
    <row r="7569" spans="8:9">
      <c r="H7569" s="2"/>
      <c r="I7569" s="2"/>
    </row>
    <row r="7570" spans="8:9">
      <c r="H7570" s="2"/>
      <c r="I7570" s="2"/>
    </row>
    <row r="7571" spans="8:9">
      <c r="H7571" s="2"/>
      <c r="I7571" s="2"/>
    </row>
    <row r="7572" spans="8:9">
      <c r="H7572" s="2"/>
      <c r="I7572" s="2"/>
    </row>
    <row r="7573" spans="8:9">
      <c r="H7573" s="2"/>
      <c r="I7573" s="2"/>
    </row>
    <row r="7574" spans="8:9">
      <c r="H7574" s="2"/>
      <c r="I7574" s="2"/>
    </row>
    <row r="7575" spans="8:9">
      <c r="H7575" s="2"/>
      <c r="I7575" s="2"/>
    </row>
    <row r="7576" spans="8:9">
      <c r="H7576" s="2"/>
      <c r="I7576" s="2"/>
    </row>
    <row r="7577" spans="8:9">
      <c r="H7577" s="2"/>
      <c r="I7577" s="2"/>
    </row>
    <row r="7578" spans="8:9">
      <c r="H7578" s="2"/>
      <c r="I7578" s="2"/>
    </row>
    <row r="7579" spans="8:9">
      <c r="H7579" s="2"/>
      <c r="I7579" s="2"/>
    </row>
    <row r="7580" spans="8:9">
      <c r="H7580" s="2"/>
      <c r="I7580" s="2"/>
    </row>
    <row r="7581" spans="8:9">
      <c r="H7581" s="2"/>
      <c r="I7581" s="2"/>
    </row>
    <row r="7582" spans="8:9">
      <c r="H7582" s="2"/>
      <c r="I7582" s="2"/>
    </row>
    <row r="7583" spans="8:9">
      <c r="H7583" s="2"/>
      <c r="I7583" s="2"/>
    </row>
    <row r="7584" spans="8:9">
      <c r="H7584" s="2"/>
      <c r="I7584" s="2"/>
    </row>
    <row r="7585" spans="8:9">
      <c r="H7585" s="2"/>
      <c r="I7585" s="2"/>
    </row>
    <row r="7586" spans="8:9">
      <c r="H7586" s="2"/>
      <c r="I7586" s="2"/>
    </row>
    <row r="7587" spans="8:9">
      <c r="H7587" s="2"/>
      <c r="I7587" s="2"/>
    </row>
    <row r="7588" spans="8:9">
      <c r="H7588" s="2"/>
      <c r="I7588" s="2"/>
    </row>
    <row r="7589" spans="8:9">
      <c r="H7589" s="2"/>
      <c r="I7589" s="2"/>
    </row>
    <row r="7590" spans="8:9">
      <c r="H7590" s="2"/>
      <c r="I7590" s="2"/>
    </row>
    <row r="7591" spans="8:9">
      <c r="H7591" s="2"/>
      <c r="I7591" s="2"/>
    </row>
    <row r="7592" spans="8:9">
      <c r="H7592" s="2"/>
      <c r="I7592" s="2"/>
    </row>
    <row r="7593" spans="8:9">
      <c r="H7593" s="2"/>
      <c r="I7593" s="2"/>
    </row>
    <row r="7594" spans="8:9">
      <c r="H7594" s="2"/>
      <c r="I7594" s="2"/>
    </row>
    <row r="7595" spans="8:9">
      <c r="H7595" s="2"/>
      <c r="I7595" s="2"/>
    </row>
    <row r="7596" spans="8:9">
      <c r="H7596" s="2"/>
      <c r="I7596" s="2"/>
    </row>
    <row r="7597" spans="8:9">
      <c r="H7597" s="2"/>
      <c r="I7597" s="2"/>
    </row>
    <row r="7598" spans="8:9">
      <c r="H7598" s="2"/>
      <c r="I7598" s="2"/>
    </row>
    <row r="7599" spans="8:9">
      <c r="H7599" s="2"/>
      <c r="I7599" s="2"/>
    </row>
    <row r="7600" spans="8:9">
      <c r="H7600" s="2"/>
      <c r="I7600" s="2"/>
    </row>
    <row r="7601" spans="8:9">
      <c r="H7601" s="2"/>
      <c r="I7601" s="2"/>
    </row>
    <row r="7602" spans="8:9">
      <c r="H7602" s="2"/>
      <c r="I7602" s="2"/>
    </row>
    <row r="7603" spans="8:9">
      <c r="H7603" s="2"/>
      <c r="I7603" s="2"/>
    </row>
    <row r="7604" spans="8:9">
      <c r="H7604" s="2"/>
      <c r="I7604" s="2"/>
    </row>
    <row r="7605" spans="8:9">
      <c r="H7605" s="2"/>
      <c r="I7605" s="2"/>
    </row>
    <row r="7606" spans="8:9">
      <c r="H7606" s="2"/>
      <c r="I7606" s="2"/>
    </row>
    <row r="7607" spans="8:9">
      <c r="H7607" s="2"/>
      <c r="I7607" s="2"/>
    </row>
    <row r="7608" spans="8:9">
      <c r="H7608" s="2"/>
      <c r="I7608" s="2"/>
    </row>
    <row r="7609" spans="8:9">
      <c r="H7609" s="2"/>
      <c r="I7609" s="2"/>
    </row>
    <row r="7610" spans="8:9">
      <c r="H7610" s="2"/>
      <c r="I7610" s="2"/>
    </row>
    <row r="7611" spans="8:9">
      <c r="H7611" s="2"/>
      <c r="I7611" s="2"/>
    </row>
    <row r="7612" spans="8:9">
      <c r="H7612" s="2"/>
      <c r="I7612" s="2"/>
    </row>
    <row r="7613" spans="8:9">
      <c r="H7613" s="2"/>
      <c r="I7613" s="2"/>
    </row>
    <row r="7614" spans="8:9">
      <c r="H7614" s="2"/>
      <c r="I7614" s="2"/>
    </row>
    <row r="7615" spans="8:9">
      <c r="H7615" s="2"/>
      <c r="I7615" s="2"/>
    </row>
    <row r="7616" spans="8:9">
      <c r="H7616" s="2"/>
      <c r="I7616" s="2"/>
    </row>
    <row r="7617" spans="8:9">
      <c r="H7617" s="2"/>
      <c r="I7617" s="2"/>
    </row>
    <row r="7618" spans="8:9">
      <c r="H7618" s="2"/>
      <c r="I7618" s="2"/>
    </row>
    <row r="7619" spans="8:9">
      <c r="H7619" s="2"/>
      <c r="I7619" s="2"/>
    </row>
    <row r="7620" spans="8:9">
      <c r="H7620" s="2"/>
      <c r="I7620" s="2"/>
    </row>
    <row r="7621" spans="8:9">
      <c r="H7621" s="2"/>
      <c r="I7621" s="2"/>
    </row>
    <row r="7622" spans="8:9">
      <c r="H7622" s="2"/>
      <c r="I7622" s="2"/>
    </row>
    <row r="7623" spans="8:9">
      <c r="H7623" s="2"/>
      <c r="I7623" s="2"/>
    </row>
    <row r="7624" spans="8:9">
      <c r="H7624" s="2"/>
      <c r="I7624" s="2"/>
    </row>
    <row r="7625" spans="8:9">
      <c r="H7625" s="2"/>
      <c r="I7625" s="2"/>
    </row>
    <row r="7626" spans="8:9">
      <c r="H7626" s="2"/>
      <c r="I7626" s="2"/>
    </row>
    <row r="7627" spans="8:9">
      <c r="H7627" s="2"/>
      <c r="I7627" s="2"/>
    </row>
    <row r="7628" spans="8:9">
      <c r="H7628" s="2"/>
      <c r="I7628" s="2"/>
    </row>
    <row r="7629" spans="8:9">
      <c r="H7629" s="2"/>
      <c r="I7629" s="2"/>
    </row>
    <row r="7630" spans="8:9">
      <c r="H7630" s="2"/>
      <c r="I7630" s="2"/>
    </row>
    <row r="7631" spans="8:9">
      <c r="H7631" s="2"/>
      <c r="I7631" s="2"/>
    </row>
    <row r="7632" spans="8:9">
      <c r="H7632" s="2"/>
      <c r="I7632" s="2"/>
    </row>
    <row r="7633" spans="8:9">
      <c r="H7633" s="2"/>
      <c r="I7633" s="2"/>
    </row>
    <row r="7634" spans="8:9">
      <c r="H7634" s="2"/>
      <c r="I7634" s="2"/>
    </row>
    <row r="7635" spans="8:9">
      <c r="H7635" s="2"/>
      <c r="I7635" s="2"/>
    </row>
    <row r="7636" spans="8:9">
      <c r="H7636" s="2"/>
      <c r="I7636" s="2"/>
    </row>
    <row r="7637" spans="8:9">
      <c r="H7637" s="2"/>
      <c r="I7637" s="2"/>
    </row>
    <row r="7638" spans="8:9">
      <c r="H7638" s="2"/>
      <c r="I7638" s="2"/>
    </row>
    <row r="7639" spans="8:9">
      <c r="H7639" s="2"/>
      <c r="I7639" s="2"/>
    </row>
    <row r="7640" spans="8:9">
      <c r="H7640" s="2"/>
      <c r="I7640" s="2"/>
    </row>
    <row r="7641" spans="8:9">
      <c r="H7641" s="2"/>
      <c r="I7641" s="2"/>
    </row>
    <row r="7642" spans="8:9">
      <c r="H7642" s="2"/>
      <c r="I7642" s="2"/>
    </row>
    <row r="7643" spans="8:9">
      <c r="H7643" s="2"/>
      <c r="I7643" s="2"/>
    </row>
    <row r="7644" spans="8:9">
      <c r="H7644" s="2"/>
      <c r="I7644" s="2"/>
    </row>
    <row r="7645" spans="8:9">
      <c r="H7645" s="2"/>
      <c r="I7645" s="2"/>
    </row>
    <row r="7646" spans="8:9">
      <c r="H7646" s="2"/>
      <c r="I7646" s="2"/>
    </row>
    <row r="7647" spans="8:9">
      <c r="H7647" s="2"/>
      <c r="I7647" s="2"/>
    </row>
    <row r="7648" spans="8:9">
      <c r="H7648" s="2"/>
      <c r="I7648" s="2"/>
    </row>
    <row r="7649" spans="8:9">
      <c r="H7649" s="2"/>
      <c r="I7649" s="2"/>
    </row>
    <row r="7650" spans="8:9">
      <c r="H7650" s="2"/>
      <c r="I7650" s="2"/>
    </row>
    <row r="7651" spans="8:9">
      <c r="H7651" s="2"/>
      <c r="I7651" s="2"/>
    </row>
    <row r="7652" spans="8:9">
      <c r="H7652" s="2"/>
      <c r="I7652" s="2"/>
    </row>
    <row r="7653" spans="8:9">
      <c r="H7653" s="2"/>
      <c r="I7653" s="2"/>
    </row>
    <row r="7654" spans="8:9">
      <c r="H7654" s="2"/>
      <c r="I7654" s="2"/>
    </row>
    <row r="7655" spans="8:9">
      <c r="H7655" s="2"/>
      <c r="I7655" s="2"/>
    </row>
    <row r="7656" spans="8:9">
      <c r="H7656" s="2"/>
      <c r="I7656" s="2"/>
    </row>
    <row r="7657" spans="8:9">
      <c r="H7657" s="2"/>
      <c r="I7657" s="2"/>
    </row>
    <row r="7658" spans="8:9">
      <c r="H7658" s="2"/>
      <c r="I7658" s="2"/>
    </row>
    <row r="7659" spans="8:9">
      <c r="H7659" s="2"/>
      <c r="I7659" s="2"/>
    </row>
    <row r="7660" spans="8:9">
      <c r="H7660" s="2"/>
      <c r="I7660" s="2"/>
    </row>
    <row r="7661" spans="8:9">
      <c r="H7661" s="2"/>
      <c r="I7661" s="2"/>
    </row>
    <row r="7662" spans="8:9">
      <c r="H7662" s="2"/>
      <c r="I7662" s="2"/>
    </row>
    <row r="7663" spans="8:9">
      <c r="H7663" s="2"/>
      <c r="I7663" s="2"/>
    </row>
    <row r="7664" spans="8:9">
      <c r="H7664" s="2"/>
      <c r="I7664" s="2"/>
    </row>
    <row r="7665" spans="8:9">
      <c r="H7665" s="2"/>
      <c r="I7665" s="2"/>
    </row>
    <row r="7666" spans="8:9">
      <c r="H7666" s="2"/>
      <c r="I7666" s="2"/>
    </row>
    <row r="7667" spans="8:9">
      <c r="H7667" s="2"/>
      <c r="I7667" s="2"/>
    </row>
    <row r="7668" spans="8:9">
      <c r="H7668" s="2"/>
      <c r="I7668" s="2"/>
    </row>
    <row r="7669" spans="8:9">
      <c r="H7669" s="2"/>
      <c r="I7669" s="2"/>
    </row>
    <row r="7670" spans="8:9">
      <c r="H7670" s="2"/>
      <c r="I7670" s="2"/>
    </row>
    <row r="7671" spans="8:9">
      <c r="H7671" s="2"/>
      <c r="I7671" s="2"/>
    </row>
    <row r="7672" spans="8:9">
      <c r="H7672" s="2"/>
      <c r="I7672" s="2"/>
    </row>
    <row r="7673" spans="8:9">
      <c r="H7673" s="2"/>
      <c r="I7673" s="2"/>
    </row>
    <row r="7674" spans="8:9">
      <c r="H7674" s="2"/>
      <c r="I7674" s="2"/>
    </row>
    <row r="7675" spans="8:9">
      <c r="H7675" s="2"/>
      <c r="I7675" s="2"/>
    </row>
    <row r="7676" spans="8:9">
      <c r="H7676" s="2"/>
      <c r="I7676" s="2"/>
    </row>
    <row r="7677" spans="8:9">
      <c r="H7677" s="2"/>
      <c r="I7677" s="2"/>
    </row>
    <row r="7678" spans="8:9">
      <c r="H7678" s="2"/>
      <c r="I7678" s="2"/>
    </row>
    <row r="7679" spans="8:9">
      <c r="H7679" s="2"/>
      <c r="I7679" s="2"/>
    </row>
    <row r="7680" spans="8:9">
      <c r="H7680" s="2"/>
      <c r="I7680" s="2"/>
    </row>
    <row r="7681" spans="8:9">
      <c r="H7681" s="2"/>
      <c r="I7681" s="2"/>
    </row>
    <row r="7682" spans="8:9">
      <c r="H7682" s="2"/>
      <c r="I7682" s="2"/>
    </row>
    <row r="7683" spans="8:9">
      <c r="H7683" s="2"/>
      <c r="I7683" s="2"/>
    </row>
    <row r="7684" spans="8:9">
      <c r="H7684" s="2"/>
      <c r="I7684" s="2"/>
    </row>
    <row r="7685" spans="8:9">
      <c r="H7685" s="2"/>
      <c r="I7685" s="2"/>
    </row>
    <row r="7686" spans="8:9">
      <c r="H7686" s="2"/>
      <c r="I7686" s="2"/>
    </row>
    <row r="7687" spans="8:9">
      <c r="H7687" s="2"/>
      <c r="I7687" s="2"/>
    </row>
    <row r="7688" spans="8:9">
      <c r="H7688" s="2"/>
      <c r="I7688" s="2"/>
    </row>
    <row r="7689" spans="8:9">
      <c r="H7689" s="2"/>
      <c r="I7689" s="2"/>
    </row>
    <row r="7690" spans="8:9">
      <c r="H7690" s="2"/>
      <c r="I7690" s="2"/>
    </row>
    <row r="7691" spans="8:9">
      <c r="H7691" s="2"/>
      <c r="I7691" s="2"/>
    </row>
    <row r="7692" spans="8:9">
      <c r="H7692" s="2"/>
      <c r="I7692" s="2"/>
    </row>
    <row r="7693" spans="8:9">
      <c r="H7693" s="2"/>
      <c r="I7693" s="2"/>
    </row>
    <row r="7694" spans="8:9">
      <c r="H7694" s="2"/>
      <c r="I7694" s="2"/>
    </row>
    <row r="7695" spans="8:9">
      <c r="H7695" s="2"/>
      <c r="I7695" s="2"/>
    </row>
    <row r="7696" spans="8:9">
      <c r="H7696" s="2"/>
      <c r="I7696" s="2"/>
    </row>
    <row r="7697" spans="8:9">
      <c r="H7697" s="2"/>
      <c r="I7697" s="2"/>
    </row>
    <row r="7698" spans="8:9">
      <c r="H7698" s="2"/>
      <c r="I7698" s="2"/>
    </row>
    <row r="7699" spans="8:9">
      <c r="H7699" s="2"/>
      <c r="I7699" s="2"/>
    </row>
    <row r="7700" spans="8:9">
      <c r="H7700" s="2"/>
      <c r="I7700" s="2"/>
    </row>
    <row r="7701" spans="8:9">
      <c r="H7701" s="2"/>
      <c r="I7701" s="2"/>
    </row>
    <row r="7702" spans="8:9">
      <c r="H7702" s="2"/>
      <c r="I7702" s="2"/>
    </row>
    <row r="7703" spans="8:9">
      <c r="H7703" s="2"/>
      <c r="I7703" s="2"/>
    </row>
    <row r="7704" spans="8:9">
      <c r="H7704" s="2"/>
      <c r="I7704" s="2"/>
    </row>
    <row r="7705" spans="8:9">
      <c r="H7705" s="2"/>
      <c r="I7705" s="2"/>
    </row>
    <row r="7706" spans="8:9">
      <c r="H7706" s="2"/>
      <c r="I7706" s="2"/>
    </row>
    <row r="7707" spans="8:9">
      <c r="H7707" s="2"/>
      <c r="I7707" s="2"/>
    </row>
    <row r="7708" spans="8:9">
      <c r="H7708" s="2"/>
      <c r="I7708" s="2"/>
    </row>
    <row r="7709" spans="8:9">
      <c r="H7709" s="2"/>
      <c r="I7709" s="2"/>
    </row>
    <row r="7710" spans="8:9">
      <c r="H7710" s="2"/>
      <c r="I7710" s="2"/>
    </row>
    <row r="7711" spans="8:9">
      <c r="H7711" s="2"/>
      <c r="I7711" s="2"/>
    </row>
    <row r="7712" spans="8:9">
      <c r="H7712" s="2"/>
      <c r="I7712" s="2"/>
    </row>
    <row r="7713" spans="8:9">
      <c r="H7713" s="2"/>
      <c r="I7713" s="2"/>
    </row>
    <row r="7714" spans="8:9">
      <c r="H7714" s="2"/>
      <c r="I7714" s="2"/>
    </row>
    <row r="7715" spans="8:9">
      <c r="H7715" s="2"/>
      <c r="I7715" s="2"/>
    </row>
    <row r="7716" spans="8:9">
      <c r="H7716" s="2"/>
      <c r="I7716" s="2"/>
    </row>
    <row r="7717" spans="8:9">
      <c r="H7717" s="2"/>
      <c r="I7717" s="2"/>
    </row>
    <row r="7718" spans="8:9">
      <c r="H7718" s="2"/>
      <c r="I7718" s="2"/>
    </row>
    <row r="7719" spans="8:9">
      <c r="H7719" s="2"/>
      <c r="I7719" s="2"/>
    </row>
    <row r="7720" spans="8:9">
      <c r="H7720" s="2"/>
      <c r="I7720" s="2"/>
    </row>
    <row r="7721" spans="8:9">
      <c r="H7721" s="2"/>
      <c r="I7721" s="2"/>
    </row>
    <row r="7722" spans="8:9">
      <c r="H7722" s="2"/>
      <c r="I7722" s="2"/>
    </row>
    <row r="7723" spans="8:9">
      <c r="H7723" s="2"/>
      <c r="I7723" s="2"/>
    </row>
    <row r="7724" spans="8:9">
      <c r="H7724" s="2"/>
      <c r="I7724" s="2"/>
    </row>
    <row r="7725" spans="8:9">
      <c r="H7725" s="2"/>
      <c r="I7725" s="2"/>
    </row>
    <row r="7726" spans="8:9">
      <c r="H7726" s="2"/>
      <c r="I7726" s="2"/>
    </row>
    <row r="7727" spans="8:9">
      <c r="H7727" s="2"/>
      <c r="I7727" s="2"/>
    </row>
    <row r="7728" spans="8:9">
      <c r="H7728" s="2"/>
      <c r="I7728" s="2"/>
    </row>
    <row r="7729" spans="8:9">
      <c r="H7729" s="2"/>
      <c r="I7729" s="2"/>
    </row>
    <row r="7730" spans="8:9">
      <c r="H7730" s="2"/>
      <c r="I7730" s="2"/>
    </row>
    <row r="7731" spans="8:9">
      <c r="H7731" s="2"/>
      <c r="I7731" s="2"/>
    </row>
    <row r="7732" spans="8:9">
      <c r="H7732" s="2"/>
      <c r="I7732" s="2"/>
    </row>
    <row r="7733" spans="8:9">
      <c r="H7733" s="2"/>
      <c r="I7733" s="2"/>
    </row>
    <row r="7734" spans="8:9">
      <c r="H7734" s="2"/>
      <c r="I7734" s="2"/>
    </row>
    <row r="7735" spans="8:9">
      <c r="H7735" s="2"/>
      <c r="I7735" s="2"/>
    </row>
    <row r="7736" spans="8:9">
      <c r="H7736" s="2"/>
      <c r="I7736" s="2"/>
    </row>
    <row r="7737" spans="8:9">
      <c r="H7737" s="2"/>
      <c r="I7737" s="2"/>
    </row>
    <row r="7738" spans="8:9">
      <c r="H7738" s="2"/>
      <c r="I7738" s="2"/>
    </row>
    <row r="7739" spans="8:9">
      <c r="H7739" s="2"/>
      <c r="I7739" s="2"/>
    </row>
    <row r="7740" spans="8:9">
      <c r="H7740" s="2"/>
      <c r="I7740" s="2"/>
    </row>
    <row r="7741" spans="8:9">
      <c r="H7741" s="2"/>
      <c r="I7741" s="2"/>
    </row>
    <row r="7742" spans="8:9">
      <c r="H7742" s="2"/>
      <c r="I7742" s="2"/>
    </row>
    <row r="7743" spans="8:9">
      <c r="H7743" s="2"/>
      <c r="I7743" s="2"/>
    </row>
    <row r="7744" spans="8:9">
      <c r="H7744" s="2"/>
      <c r="I7744" s="2"/>
    </row>
    <row r="7745" spans="8:9">
      <c r="H7745" s="2"/>
      <c r="I7745" s="2"/>
    </row>
    <row r="7746" spans="8:9">
      <c r="H7746" s="2"/>
      <c r="I7746" s="2"/>
    </row>
    <row r="7747" spans="8:9">
      <c r="H7747" s="2"/>
      <c r="I7747" s="2"/>
    </row>
    <row r="7748" spans="8:9">
      <c r="H7748" s="2"/>
      <c r="I7748" s="2"/>
    </row>
    <row r="7749" spans="8:9">
      <c r="H7749" s="2"/>
      <c r="I7749" s="2"/>
    </row>
    <row r="7750" spans="8:9">
      <c r="H7750" s="2"/>
      <c r="I7750" s="2"/>
    </row>
    <row r="7751" spans="8:9">
      <c r="H7751" s="2"/>
      <c r="I7751" s="2"/>
    </row>
    <row r="7752" spans="8:9">
      <c r="H7752" s="2"/>
      <c r="I7752" s="2"/>
    </row>
    <row r="7753" spans="8:9">
      <c r="H7753" s="2"/>
      <c r="I7753" s="2"/>
    </row>
    <row r="7754" spans="8:9">
      <c r="H7754" s="2"/>
      <c r="I7754" s="2"/>
    </row>
    <row r="7755" spans="8:9">
      <c r="H7755" s="2"/>
      <c r="I7755" s="2"/>
    </row>
    <row r="7756" spans="8:9">
      <c r="H7756" s="2"/>
      <c r="I7756" s="2"/>
    </row>
    <row r="7757" spans="8:9">
      <c r="H7757" s="2"/>
      <c r="I7757" s="2"/>
    </row>
    <row r="7758" spans="8:9">
      <c r="H7758" s="2"/>
      <c r="I7758" s="2"/>
    </row>
    <row r="7759" spans="8:9">
      <c r="H7759" s="2"/>
      <c r="I7759" s="2"/>
    </row>
    <row r="7760" spans="8:9">
      <c r="H7760" s="2"/>
      <c r="I7760" s="2"/>
    </row>
    <row r="7761" spans="8:9">
      <c r="H7761" s="2"/>
      <c r="I7761" s="2"/>
    </row>
    <row r="7762" spans="8:9">
      <c r="H7762" s="2"/>
      <c r="I7762" s="2"/>
    </row>
    <row r="7763" spans="8:9">
      <c r="H7763" s="2"/>
      <c r="I7763" s="2"/>
    </row>
    <row r="7764" spans="8:9">
      <c r="H7764" s="2"/>
      <c r="I7764" s="2"/>
    </row>
    <row r="7765" spans="8:9">
      <c r="H7765" s="2"/>
      <c r="I7765" s="2"/>
    </row>
    <row r="7766" spans="8:9">
      <c r="H7766" s="2"/>
      <c r="I7766" s="2"/>
    </row>
    <row r="7767" spans="8:9">
      <c r="H7767" s="2"/>
      <c r="I7767" s="2"/>
    </row>
    <row r="7768" spans="8:9">
      <c r="H7768" s="2"/>
      <c r="I7768" s="2"/>
    </row>
    <row r="7769" spans="8:9">
      <c r="H7769" s="2"/>
      <c r="I7769" s="2"/>
    </row>
    <row r="7770" spans="8:9">
      <c r="H7770" s="2"/>
      <c r="I7770" s="2"/>
    </row>
    <row r="7771" spans="8:9">
      <c r="H7771" s="2"/>
      <c r="I7771" s="2"/>
    </row>
    <row r="7772" spans="8:9">
      <c r="H7772" s="2"/>
      <c r="I7772" s="2"/>
    </row>
    <row r="7773" spans="8:9">
      <c r="H7773" s="2"/>
      <c r="I7773" s="2"/>
    </row>
    <row r="7774" spans="8:9">
      <c r="H7774" s="2"/>
      <c r="I7774" s="2"/>
    </row>
    <row r="7775" spans="8:9">
      <c r="H7775" s="2"/>
      <c r="I7775" s="2"/>
    </row>
    <row r="7776" spans="8:9">
      <c r="H7776" s="2"/>
      <c r="I7776" s="2"/>
    </row>
    <row r="7777" spans="8:9">
      <c r="H7777" s="2"/>
      <c r="I7777" s="2"/>
    </row>
    <row r="7778" spans="8:9">
      <c r="H7778" s="2"/>
      <c r="I7778" s="2"/>
    </row>
    <row r="7779" spans="8:9">
      <c r="H7779" s="2"/>
      <c r="I7779" s="2"/>
    </row>
    <row r="7780" spans="8:9">
      <c r="H7780" s="2"/>
      <c r="I7780" s="2"/>
    </row>
    <row r="7781" spans="8:9">
      <c r="H7781" s="2"/>
      <c r="I7781" s="2"/>
    </row>
    <row r="7782" spans="8:9">
      <c r="H7782" s="2"/>
      <c r="I7782" s="2"/>
    </row>
    <row r="7783" spans="8:9">
      <c r="H7783" s="2"/>
      <c r="I7783" s="2"/>
    </row>
    <row r="7784" spans="8:9">
      <c r="H7784" s="2"/>
      <c r="I7784" s="2"/>
    </row>
    <row r="7785" spans="8:9">
      <c r="H7785" s="2"/>
      <c r="I7785" s="2"/>
    </row>
    <row r="7786" spans="8:9">
      <c r="H7786" s="2"/>
      <c r="I7786" s="2"/>
    </row>
    <row r="7787" spans="8:9">
      <c r="H7787" s="2"/>
      <c r="I7787" s="2"/>
    </row>
    <row r="7788" spans="8:9">
      <c r="H7788" s="2"/>
      <c r="I7788" s="2"/>
    </row>
    <row r="7789" spans="8:9">
      <c r="H7789" s="2"/>
      <c r="I7789" s="2"/>
    </row>
    <row r="7790" spans="8:9">
      <c r="H7790" s="2"/>
      <c r="I7790" s="2"/>
    </row>
    <row r="7791" spans="8:9">
      <c r="H7791" s="2"/>
      <c r="I7791" s="2"/>
    </row>
    <row r="7792" spans="8:9">
      <c r="H7792" s="2"/>
      <c r="I7792" s="2"/>
    </row>
    <row r="7793" spans="8:9">
      <c r="H7793" s="2"/>
      <c r="I7793" s="2"/>
    </row>
    <row r="7794" spans="8:9">
      <c r="H7794" s="2"/>
      <c r="I7794" s="2"/>
    </row>
    <row r="7795" spans="8:9">
      <c r="H7795" s="2"/>
      <c r="I7795" s="2"/>
    </row>
    <row r="7796" spans="8:9">
      <c r="H7796" s="2"/>
      <c r="I7796" s="2"/>
    </row>
    <row r="7797" spans="8:9">
      <c r="H7797" s="2"/>
      <c r="I7797" s="2"/>
    </row>
    <row r="7798" spans="8:9">
      <c r="H7798" s="2"/>
      <c r="I7798" s="2"/>
    </row>
    <row r="7799" spans="8:9">
      <c r="H7799" s="2"/>
      <c r="I7799" s="2"/>
    </row>
    <row r="7800" spans="8:9">
      <c r="H7800" s="2"/>
      <c r="I7800" s="2"/>
    </row>
    <row r="7801" spans="8:9">
      <c r="H7801" s="2"/>
      <c r="I7801" s="2"/>
    </row>
    <row r="7802" spans="8:9">
      <c r="H7802" s="2"/>
      <c r="I7802" s="2"/>
    </row>
    <row r="7803" spans="8:9">
      <c r="H7803" s="2"/>
      <c r="I7803" s="2"/>
    </row>
    <row r="7804" spans="8:9">
      <c r="H7804" s="2"/>
      <c r="I7804" s="2"/>
    </row>
    <row r="7805" spans="8:9">
      <c r="H7805" s="2"/>
      <c r="I7805" s="2"/>
    </row>
    <row r="7806" spans="8:9">
      <c r="H7806" s="2"/>
      <c r="I7806" s="2"/>
    </row>
    <row r="7807" spans="8:9">
      <c r="H7807" s="2"/>
      <c r="I7807" s="2"/>
    </row>
    <row r="7808" spans="8:9">
      <c r="H7808" s="2"/>
      <c r="I7808" s="2"/>
    </row>
    <row r="7809" spans="8:9">
      <c r="H7809" s="2"/>
      <c r="I7809" s="2"/>
    </row>
    <row r="7810" spans="8:9">
      <c r="H7810" s="2"/>
      <c r="I7810" s="2"/>
    </row>
    <row r="7811" spans="8:9">
      <c r="H7811" s="2"/>
      <c r="I7811" s="2"/>
    </row>
    <row r="7812" spans="8:9">
      <c r="H7812" s="2"/>
      <c r="I7812" s="2"/>
    </row>
    <row r="7813" spans="8:9">
      <c r="H7813" s="2"/>
      <c r="I7813" s="2"/>
    </row>
    <row r="7814" spans="8:9">
      <c r="H7814" s="2"/>
      <c r="I7814" s="2"/>
    </row>
    <row r="7815" spans="8:9">
      <c r="H7815" s="2"/>
      <c r="I7815" s="2"/>
    </row>
    <row r="7816" spans="8:9">
      <c r="H7816" s="2"/>
      <c r="I7816" s="2"/>
    </row>
    <row r="7817" spans="8:9">
      <c r="H7817" s="2"/>
      <c r="I7817" s="2"/>
    </row>
    <row r="7818" spans="8:9">
      <c r="H7818" s="2"/>
      <c r="I7818" s="2"/>
    </row>
    <row r="7819" spans="8:9">
      <c r="H7819" s="2"/>
      <c r="I7819" s="2"/>
    </row>
    <row r="7820" spans="8:9">
      <c r="H7820" s="2"/>
      <c r="I7820" s="2"/>
    </row>
    <row r="7821" spans="8:9">
      <c r="H7821" s="2"/>
      <c r="I7821" s="2"/>
    </row>
    <row r="7822" spans="8:9">
      <c r="H7822" s="2"/>
      <c r="I7822" s="2"/>
    </row>
    <row r="7823" spans="8:9">
      <c r="H7823" s="2"/>
      <c r="I7823" s="2"/>
    </row>
    <row r="7824" spans="8:9">
      <c r="H7824" s="2"/>
      <c r="I7824" s="2"/>
    </row>
    <row r="7825" spans="8:9">
      <c r="H7825" s="2"/>
      <c r="I7825" s="2"/>
    </row>
    <row r="7826" spans="8:9">
      <c r="H7826" s="2"/>
      <c r="I7826" s="2"/>
    </row>
    <row r="7827" spans="8:9">
      <c r="H7827" s="2"/>
      <c r="I7827" s="2"/>
    </row>
    <row r="7828" spans="8:9">
      <c r="H7828" s="2"/>
      <c r="I7828" s="2"/>
    </row>
    <row r="7829" spans="8:9">
      <c r="H7829" s="2"/>
      <c r="I7829" s="2"/>
    </row>
    <row r="7830" spans="8:9">
      <c r="H7830" s="2"/>
      <c r="I7830" s="2"/>
    </row>
    <row r="7831" spans="8:9">
      <c r="H7831" s="2"/>
      <c r="I7831" s="2"/>
    </row>
    <row r="7832" spans="8:9">
      <c r="H7832" s="2"/>
      <c r="I7832" s="2"/>
    </row>
    <row r="7833" spans="8:9">
      <c r="H7833" s="2"/>
      <c r="I7833" s="2"/>
    </row>
    <row r="7834" spans="8:9">
      <c r="H7834" s="2"/>
      <c r="I7834" s="2"/>
    </row>
    <row r="7835" spans="8:9">
      <c r="H7835" s="2"/>
      <c r="I7835" s="2"/>
    </row>
    <row r="7836" spans="8:9">
      <c r="H7836" s="2"/>
      <c r="I7836" s="2"/>
    </row>
    <row r="7837" spans="8:9">
      <c r="H7837" s="2"/>
      <c r="I7837" s="2"/>
    </row>
    <row r="7838" spans="8:9">
      <c r="H7838" s="2"/>
      <c r="I7838" s="2"/>
    </row>
    <row r="7839" spans="8:9">
      <c r="H7839" s="2"/>
      <c r="I7839" s="2"/>
    </row>
    <row r="7840" spans="8:9">
      <c r="H7840" s="2"/>
      <c r="I7840" s="2"/>
    </row>
    <row r="7841" spans="8:9">
      <c r="H7841" s="2"/>
      <c r="I7841" s="2"/>
    </row>
    <row r="7842" spans="8:9">
      <c r="H7842" s="2"/>
      <c r="I7842" s="2"/>
    </row>
    <row r="7843" spans="8:9">
      <c r="H7843" s="2"/>
      <c r="I7843" s="2"/>
    </row>
    <row r="7844" spans="8:9">
      <c r="H7844" s="2"/>
      <c r="I7844" s="2"/>
    </row>
    <row r="7845" spans="8:9">
      <c r="H7845" s="2"/>
      <c r="I7845" s="2"/>
    </row>
    <row r="7846" spans="8:9">
      <c r="H7846" s="2"/>
      <c r="I7846" s="2"/>
    </row>
    <row r="7847" spans="8:9">
      <c r="H7847" s="2"/>
      <c r="I7847" s="2"/>
    </row>
    <row r="7848" spans="8:9">
      <c r="H7848" s="2"/>
      <c r="I7848" s="2"/>
    </row>
    <row r="7849" spans="8:9">
      <c r="H7849" s="2"/>
      <c r="I7849" s="2"/>
    </row>
    <row r="7850" spans="8:9">
      <c r="H7850" s="2"/>
      <c r="I7850" s="2"/>
    </row>
    <row r="7851" spans="8:9">
      <c r="H7851" s="2"/>
      <c r="I7851" s="2"/>
    </row>
    <row r="7852" spans="8:9">
      <c r="H7852" s="2"/>
      <c r="I7852" s="2"/>
    </row>
    <row r="7853" spans="8:9">
      <c r="H7853" s="2"/>
      <c r="I7853" s="2"/>
    </row>
    <row r="7854" spans="8:9">
      <c r="H7854" s="2"/>
      <c r="I7854" s="2"/>
    </row>
    <row r="7855" spans="8:9">
      <c r="H7855" s="2"/>
      <c r="I7855" s="2"/>
    </row>
    <row r="7856" spans="8:9">
      <c r="H7856" s="2"/>
      <c r="I7856" s="2"/>
    </row>
    <row r="7857" spans="8:9">
      <c r="H7857" s="2"/>
      <c r="I7857" s="2"/>
    </row>
    <row r="7858" spans="8:9">
      <c r="H7858" s="2"/>
      <c r="I7858" s="2"/>
    </row>
    <row r="7859" spans="8:9">
      <c r="H7859" s="2"/>
      <c r="I7859" s="2"/>
    </row>
    <row r="7860" spans="8:9">
      <c r="H7860" s="2"/>
      <c r="I7860" s="2"/>
    </row>
    <row r="7861" spans="8:9">
      <c r="H7861" s="2"/>
      <c r="I7861" s="2"/>
    </row>
    <row r="7862" spans="8:9">
      <c r="H7862" s="2"/>
      <c r="I7862" s="2"/>
    </row>
    <row r="7863" spans="8:9">
      <c r="H7863" s="2"/>
      <c r="I7863" s="2"/>
    </row>
    <row r="7864" spans="8:9">
      <c r="H7864" s="2"/>
      <c r="I7864" s="2"/>
    </row>
    <row r="7865" spans="8:9">
      <c r="H7865" s="2"/>
      <c r="I7865" s="2"/>
    </row>
    <row r="7866" spans="8:9">
      <c r="H7866" s="2"/>
      <c r="I7866" s="2"/>
    </row>
    <row r="7867" spans="8:9">
      <c r="H7867" s="2"/>
      <c r="I7867" s="2"/>
    </row>
    <row r="7868" spans="8:9">
      <c r="H7868" s="2"/>
      <c r="I7868" s="2"/>
    </row>
    <row r="7869" spans="8:9">
      <c r="H7869" s="2"/>
      <c r="I7869" s="2"/>
    </row>
    <row r="7870" spans="8:9">
      <c r="H7870" s="2"/>
      <c r="I7870" s="2"/>
    </row>
    <row r="7871" spans="8:9">
      <c r="H7871" s="2"/>
      <c r="I7871" s="2"/>
    </row>
    <row r="7872" spans="8:9">
      <c r="H7872" s="2"/>
      <c r="I7872" s="2"/>
    </row>
    <row r="7873" spans="8:9">
      <c r="H7873" s="2"/>
      <c r="I7873" s="2"/>
    </row>
    <row r="7874" spans="8:9">
      <c r="H7874" s="2"/>
      <c r="I7874" s="2"/>
    </row>
    <row r="7875" spans="8:9">
      <c r="H7875" s="2"/>
      <c r="I7875" s="2"/>
    </row>
    <row r="7876" spans="8:9">
      <c r="H7876" s="2"/>
      <c r="I7876" s="2"/>
    </row>
    <row r="7877" spans="8:9">
      <c r="H7877" s="2"/>
      <c r="I7877" s="2"/>
    </row>
    <row r="7878" spans="8:9">
      <c r="H7878" s="2"/>
      <c r="I7878" s="2"/>
    </row>
    <row r="7879" spans="8:9">
      <c r="H7879" s="2"/>
      <c r="I7879" s="2"/>
    </row>
    <row r="7880" spans="8:9">
      <c r="H7880" s="2"/>
      <c r="I7880" s="2"/>
    </row>
    <row r="7881" spans="8:9">
      <c r="H7881" s="2"/>
      <c r="I7881" s="2"/>
    </row>
    <row r="7882" spans="8:9">
      <c r="H7882" s="2"/>
      <c r="I7882" s="2"/>
    </row>
    <row r="7883" spans="8:9">
      <c r="H7883" s="2"/>
      <c r="I7883" s="2"/>
    </row>
    <row r="7884" spans="8:9">
      <c r="H7884" s="2"/>
      <c r="I7884" s="2"/>
    </row>
    <row r="7885" spans="8:9">
      <c r="H7885" s="2"/>
      <c r="I7885" s="2"/>
    </row>
    <row r="7886" spans="8:9">
      <c r="H7886" s="2"/>
      <c r="I7886" s="2"/>
    </row>
    <row r="7887" spans="8:9">
      <c r="H7887" s="2"/>
      <c r="I7887" s="2"/>
    </row>
    <row r="7888" spans="8:9">
      <c r="H7888" s="2"/>
      <c r="I7888" s="2"/>
    </row>
    <row r="7889" spans="8:9">
      <c r="H7889" s="2"/>
      <c r="I7889" s="2"/>
    </row>
    <row r="7890" spans="8:9">
      <c r="H7890" s="2"/>
      <c r="I7890" s="2"/>
    </row>
    <row r="7891" spans="8:9">
      <c r="H7891" s="2"/>
      <c r="I7891" s="2"/>
    </row>
    <row r="7892" spans="8:9">
      <c r="H7892" s="2"/>
      <c r="I7892" s="2"/>
    </row>
    <row r="7893" spans="8:9">
      <c r="H7893" s="2"/>
      <c r="I7893" s="2"/>
    </row>
    <row r="7894" spans="8:9">
      <c r="H7894" s="2"/>
      <c r="I7894" s="2"/>
    </row>
    <row r="7895" spans="8:9">
      <c r="H7895" s="2"/>
      <c r="I7895" s="2"/>
    </row>
    <row r="7896" spans="8:9">
      <c r="H7896" s="2"/>
      <c r="I7896" s="2"/>
    </row>
    <row r="7897" spans="8:9">
      <c r="H7897" s="2"/>
      <c r="I7897" s="2"/>
    </row>
    <row r="7898" spans="8:9">
      <c r="H7898" s="2"/>
      <c r="I7898" s="2"/>
    </row>
    <row r="7899" spans="8:9">
      <c r="H7899" s="2"/>
      <c r="I7899" s="2"/>
    </row>
    <row r="7900" spans="8:9">
      <c r="H7900" s="2"/>
      <c r="I7900" s="2"/>
    </row>
    <row r="7901" spans="8:9">
      <c r="H7901" s="2"/>
      <c r="I7901" s="2"/>
    </row>
    <row r="7902" spans="8:9">
      <c r="H7902" s="2"/>
      <c r="I7902" s="2"/>
    </row>
    <row r="7903" spans="8:9">
      <c r="H7903" s="2"/>
      <c r="I7903" s="2"/>
    </row>
    <row r="7904" spans="8:9">
      <c r="H7904" s="2"/>
      <c r="I7904" s="2"/>
    </row>
    <row r="7905" spans="8:9">
      <c r="H7905" s="2"/>
      <c r="I7905" s="2"/>
    </row>
    <row r="7906" spans="8:9">
      <c r="H7906" s="2"/>
      <c r="I7906" s="2"/>
    </row>
    <row r="7907" spans="8:9">
      <c r="H7907" s="2"/>
      <c r="I7907" s="2"/>
    </row>
    <row r="7908" spans="8:9">
      <c r="H7908" s="2"/>
      <c r="I7908" s="2"/>
    </row>
    <row r="7909" spans="8:9">
      <c r="H7909" s="2"/>
      <c r="I7909" s="2"/>
    </row>
    <row r="7910" spans="8:9">
      <c r="H7910" s="2"/>
      <c r="I7910" s="2"/>
    </row>
    <row r="7911" spans="8:9">
      <c r="H7911" s="2"/>
      <c r="I7911" s="2"/>
    </row>
    <row r="7912" spans="8:9">
      <c r="H7912" s="2"/>
      <c r="I7912" s="2"/>
    </row>
    <row r="7913" spans="8:9">
      <c r="H7913" s="2"/>
      <c r="I7913" s="2"/>
    </row>
    <row r="7914" spans="8:9">
      <c r="H7914" s="2"/>
      <c r="I7914" s="2"/>
    </row>
    <row r="7915" spans="8:9">
      <c r="H7915" s="2"/>
      <c r="I7915" s="2"/>
    </row>
    <row r="7916" spans="8:9">
      <c r="H7916" s="2"/>
      <c r="I7916" s="2"/>
    </row>
    <row r="7917" spans="8:9">
      <c r="H7917" s="2"/>
      <c r="I7917" s="2"/>
    </row>
    <row r="7918" spans="8:9">
      <c r="H7918" s="2"/>
      <c r="I7918" s="2"/>
    </row>
    <row r="7919" spans="8:9">
      <c r="H7919" s="2"/>
      <c r="I7919" s="2"/>
    </row>
    <row r="7920" spans="8:9">
      <c r="H7920" s="2"/>
      <c r="I7920" s="2"/>
    </row>
    <row r="7921" spans="8:9">
      <c r="H7921" s="2"/>
      <c r="I7921" s="2"/>
    </row>
    <row r="7922" spans="8:9">
      <c r="H7922" s="2"/>
      <c r="I7922" s="2"/>
    </row>
    <row r="7923" spans="8:9">
      <c r="H7923" s="2"/>
      <c r="I7923" s="2"/>
    </row>
    <row r="7924" spans="8:9">
      <c r="H7924" s="2"/>
      <c r="I7924" s="2"/>
    </row>
    <row r="7925" spans="8:9">
      <c r="H7925" s="2"/>
      <c r="I7925" s="2"/>
    </row>
    <row r="7926" spans="8:9">
      <c r="H7926" s="2"/>
      <c r="I7926" s="2"/>
    </row>
    <row r="7927" spans="8:9">
      <c r="H7927" s="2"/>
      <c r="I7927" s="2"/>
    </row>
    <row r="7928" spans="8:9">
      <c r="H7928" s="2"/>
      <c r="I7928" s="2"/>
    </row>
    <row r="7929" spans="8:9">
      <c r="H7929" s="2"/>
      <c r="I7929" s="2"/>
    </row>
    <row r="7930" spans="8:9">
      <c r="H7930" s="2"/>
      <c r="I7930" s="2"/>
    </row>
    <row r="7931" spans="8:9">
      <c r="H7931" s="2"/>
      <c r="I7931" s="2"/>
    </row>
    <row r="7932" spans="8:9">
      <c r="H7932" s="2"/>
      <c r="I7932" s="2"/>
    </row>
    <row r="7933" spans="8:9">
      <c r="H7933" s="2"/>
      <c r="I7933" s="2"/>
    </row>
    <row r="7934" spans="8:9">
      <c r="H7934" s="2"/>
      <c r="I7934" s="2"/>
    </row>
    <row r="7935" spans="8:9">
      <c r="H7935" s="2"/>
      <c r="I7935" s="2"/>
    </row>
    <row r="7936" spans="8:9">
      <c r="H7936" s="2"/>
      <c r="I7936" s="2"/>
    </row>
    <row r="7937" spans="8:9">
      <c r="H7937" s="2"/>
      <c r="I7937" s="2"/>
    </row>
    <row r="7938" spans="8:9">
      <c r="H7938" s="2"/>
      <c r="I7938" s="2"/>
    </row>
    <row r="7939" spans="8:9">
      <c r="H7939" s="2"/>
      <c r="I7939" s="2"/>
    </row>
    <row r="7940" spans="8:9">
      <c r="H7940" s="2"/>
      <c r="I7940" s="2"/>
    </row>
    <row r="7941" spans="8:9">
      <c r="H7941" s="2"/>
      <c r="I7941" s="2"/>
    </row>
    <row r="7942" spans="8:9">
      <c r="H7942" s="2"/>
      <c r="I7942" s="2"/>
    </row>
    <row r="7943" spans="8:9">
      <c r="H7943" s="2"/>
      <c r="I7943" s="2"/>
    </row>
    <row r="7944" spans="8:9">
      <c r="H7944" s="2"/>
      <c r="I7944" s="2"/>
    </row>
    <row r="7945" spans="8:9">
      <c r="H7945" s="2"/>
      <c r="I7945" s="2"/>
    </row>
    <row r="7946" spans="8:9">
      <c r="H7946" s="2"/>
      <c r="I7946" s="2"/>
    </row>
    <row r="7947" spans="8:9">
      <c r="H7947" s="2"/>
      <c r="I7947" s="2"/>
    </row>
    <row r="7948" spans="8:9">
      <c r="H7948" s="2"/>
      <c r="I7948" s="2"/>
    </row>
    <row r="7949" spans="8:9">
      <c r="H7949" s="2"/>
      <c r="I7949" s="2"/>
    </row>
    <row r="7950" spans="8:9">
      <c r="H7950" s="2"/>
      <c r="I7950" s="2"/>
    </row>
    <row r="7951" spans="8:9">
      <c r="H7951" s="2"/>
      <c r="I7951" s="2"/>
    </row>
    <row r="7952" spans="8:9">
      <c r="H7952" s="2"/>
      <c r="I7952" s="2"/>
    </row>
    <row r="7953" spans="8:9">
      <c r="H7953" s="2"/>
      <c r="I7953" s="2"/>
    </row>
    <row r="7954" spans="8:9">
      <c r="H7954" s="2"/>
      <c r="I7954" s="2"/>
    </row>
    <row r="7955" spans="8:9">
      <c r="H7955" s="2"/>
      <c r="I7955" s="2"/>
    </row>
    <row r="7956" spans="8:9">
      <c r="H7956" s="2"/>
      <c r="I7956" s="2"/>
    </row>
    <row r="7957" spans="8:9">
      <c r="H7957" s="2"/>
      <c r="I7957" s="2"/>
    </row>
    <row r="7958" spans="8:9">
      <c r="H7958" s="2"/>
      <c r="I7958" s="2"/>
    </row>
    <row r="7959" spans="8:9">
      <c r="H7959" s="2"/>
      <c r="I7959" s="2"/>
    </row>
    <row r="7960" spans="8:9">
      <c r="H7960" s="2"/>
      <c r="I7960" s="2"/>
    </row>
    <row r="7961" spans="8:9">
      <c r="H7961" s="2"/>
      <c r="I7961" s="2"/>
    </row>
    <row r="7962" spans="8:9">
      <c r="H7962" s="2"/>
      <c r="I7962" s="2"/>
    </row>
    <row r="7963" spans="8:9">
      <c r="H7963" s="2"/>
      <c r="I7963" s="2"/>
    </row>
    <row r="7964" spans="8:9">
      <c r="H7964" s="2"/>
      <c r="I7964" s="2"/>
    </row>
    <row r="7965" spans="8:9">
      <c r="H7965" s="2"/>
      <c r="I7965" s="2"/>
    </row>
    <row r="7966" spans="8:9">
      <c r="H7966" s="2"/>
      <c r="I7966" s="2"/>
    </row>
    <row r="7967" spans="8:9">
      <c r="H7967" s="2"/>
      <c r="I7967" s="2"/>
    </row>
    <row r="7968" spans="8:9">
      <c r="H7968" s="2"/>
      <c r="I7968" s="2"/>
    </row>
    <row r="7969" spans="8:9">
      <c r="H7969" s="2"/>
      <c r="I7969" s="2"/>
    </row>
    <row r="7970" spans="8:9">
      <c r="H7970" s="2"/>
      <c r="I7970" s="2"/>
    </row>
    <row r="7971" spans="8:9">
      <c r="H7971" s="2"/>
      <c r="I7971" s="2"/>
    </row>
    <row r="7972" spans="8:9">
      <c r="H7972" s="2"/>
      <c r="I7972" s="2"/>
    </row>
    <row r="7973" spans="8:9">
      <c r="H7973" s="2"/>
      <c r="I7973" s="2"/>
    </row>
    <row r="7974" spans="8:9">
      <c r="H7974" s="2"/>
      <c r="I7974" s="2"/>
    </row>
    <row r="7975" spans="8:9">
      <c r="H7975" s="2"/>
      <c r="I7975" s="2"/>
    </row>
    <row r="7976" spans="8:9">
      <c r="H7976" s="2"/>
      <c r="I7976" s="2"/>
    </row>
    <row r="7977" spans="8:9">
      <c r="H7977" s="2"/>
      <c r="I7977" s="2"/>
    </row>
    <row r="7978" spans="8:9">
      <c r="H7978" s="2"/>
      <c r="I7978" s="2"/>
    </row>
    <row r="7979" spans="8:9">
      <c r="H7979" s="2"/>
      <c r="I7979" s="2"/>
    </row>
    <row r="7980" spans="8:9">
      <c r="H7980" s="2"/>
      <c r="I7980" s="2"/>
    </row>
    <row r="7981" spans="8:9">
      <c r="H7981" s="2"/>
      <c r="I7981" s="2"/>
    </row>
    <row r="7982" spans="8:9">
      <c r="H7982" s="2"/>
      <c r="I7982" s="2"/>
    </row>
    <row r="7983" spans="8:9">
      <c r="H7983" s="2"/>
      <c r="I7983" s="2"/>
    </row>
    <row r="7984" spans="8:9">
      <c r="H7984" s="2"/>
      <c r="I7984" s="2"/>
    </row>
    <row r="7985" spans="8:9">
      <c r="H7985" s="2"/>
      <c r="I7985" s="2"/>
    </row>
    <row r="7986" spans="8:9">
      <c r="H7986" s="2"/>
      <c r="I7986" s="2"/>
    </row>
    <row r="7987" spans="8:9">
      <c r="H7987" s="2"/>
      <c r="I7987" s="2"/>
    </row>
    <row r="7988" spans="8:9">
      <c r="H7988" s="2"/>
      <c r="I7988" s="2"/>
    </row>
    <row r="7989" spans="8:9">
      <c r="H7989" s="2"/>
      <c r="I7989" s="2"/>
    </row>
    <row r="7990" spans="8:9">
      <c r="H7990" s="2"/>
      <c r="I7990" s="2"/>
    </row>
    <row r="7991" spans="8:9">
      <c r="H7991" s="2"/>
      <c r="I7991" s="2"/>
    </row>
    <row r="7992" spans="8:9">
      <c r="H7992" s="2"/>
      <c r="I7992" s="2"/>
    </row>
    <row r="7993" spans="8:9">
      <c r="H7993" s="2"/>
      <c r="I7993" s="2"/>
    </row>
    <row r="7994" spans="8:9">
      <c r="H7994" s="2"/>
      <c r="I7994" s="2"/>
    </row>
    <row r="7995" spans="8:9">
      <c r="H7995" s="2"/>
      <c r="I7995" s="2"/>
    </row>
    <row r="7996" spans="8:9">
      <c r="H7996" s="2"/>
      <c r="I7996" s="2"/>
    </row>
    <row r="7997" spans="8:9">
      <c r="H7997" s="2"/>
      <c r="I7997" s="2"/>
    </row>
    <row r="7998" spans="8:9">
      <c r="H7998" s="2"/>
      <c r="I7998" s="2"/>
    </row>
    <row r="7999" spans="8:9">
      <c r="H7999" s="2"/>
      <c r="I7999" s="2"/>
    </row>
    <row r="8000" spans="8:9">
      <c r="H8000" s="2"/>
      <c r="I8000" s="2"/>
    </row>
    <row r="8001" spans="8:9">
      <c r="H8001" s="2"/>
      <c r="I8001" s="2"/>
    </row>
    <row r="8002" spans="8:9">
      <c r="H8002" s="2"/>
      <c r="I8002" s="2"/>
    </row>
    <row r="8003" spans="8:9">
      <c r="H8003" s="2"/>
      <c r="I8003" s="2"/>
    </row>
    <row r="8004" spans="8:9">
      <c r="H8004" s="2"/>
      <c r="I8004" s="2"/>
    </row>
    <row r="8005" spans="8:9">
      <c r="H8005" s="2"/>
      <c r="I8005" s="2"/>
    </row>
    <row r="8006" spans="8:9">
      <c r="H8006" s="2"/>
      <c r="I8006" s="2"/>
    </row>
    <row r="8007" spans="8:9">
      <c r="H8007" s="2"/>
      <c r="I8007" s="2"/>
    </row>
    <row r="8008" spans="8:9">
      <c r="H8008" s="2"/>
      <c r="I8008" s="2"/>
    </row>
    <row r="8009" spans="8:9">
      <c r="H8009" s="2"/>
      <c r="I8009" s="2"/>
    </row>
    <row r="8010" spans="8:9">
      <c r="H8010" s="2"/>
      <c r="I8010" s="2"/>
    </row>
    <row r="8011" spans="8:9">
      <c r="H8011" s="2"/>
      <c r="I8011" s="2"/>
    </row>
    <row r="8012" spans="8:9">
      <c r="H8012" s="2"/>
      <c r="I8012" s="2"/>
    </row>
    <row r="8013" spans="8:9">
      <c r="H8013" s="2"/>
      <c r="I8013" s="2"/>
    </row>
    <row r="8014" spans="8:9">
      <c r="H8014" s="2"/>
      <c r="I8014" s="2"/>
    </row>
    <row r="8015" spans="8:9">
      <c r="H8015" s="2"/>
      <c r="I8015" s="2"/>
    </row>
    <row r="8016" spans="8:9">
      <c r="H8016" s="2"/>
      <c r="I8016" s="2"/>
    </row>
    <row r="8017" spans="8:9">
      <c r="H8017" s="2"/>
      <c r="I8017" s="2"/>
    </row>
    <row r="8018" spans="8:9">
      <c r="H8018" s="2"/>
      <c r="I8018" s="2"/>
    </row>
    <row r="8019" spans="8:9">
      <c r="H8019" s="2"/>
      <c r="I8019" s="2"/>
    </row>
    <row r="8020" spans="8:9">
      <c r="H8020" s="2"/>
      <c r="I8020" s="2"/>
    </row>
    <row r="8021" spans="8:9">
      <c r="H8021" s="2"/>
      <c r="I8021" s="2"/>
    </row>
    <row r="8022" spans="8:9">
      <c r="H8022" s="2"/>
      <c r="I8022" s="2"/>
    </row>
    <row r="8023" spans="8:9">
      <c r="H8023" s="2"/>
      <c r="I8023" s="2"/>
    </row>
    <row r="8024" spans="8:9">
      <c r="H8024" s="2"/>
      <c r="I8024" s="2"/>
    </row>
    <row r="8025" spans="8:9">
      <c r="H8025" s="2"/>
      <c r="I8025" s="2"/>
    </row>
    <row r="8026" spans="8:9">
      <c r="H8026" s="2"/>
      <c r="I8026" s="2"/>
    </row>
    <row r="8027" spans="8:9">
      <c r="H8027" s="2"/>
      <c r="I8027" s="2"/>
    </row>
    <row r="8028" spans="8:9">
      <c r="H8028" s="2"/>
      <c r="I8028" s="2"/>
    </row>
    <row r="8029" spans="8:9">
      <c r="H8029" s="2"/>
      <c r="I8029" s="2"/>
    </row>
    <row r="8030" spans="8:9">
      <c r="H8030" s="2"/>
      <c r="I8030" s="2"/>
    </row>
    <row r="8031" spans="8:9">
      <c r="H8031" s="2"/>
      <c r="I8031" s="2"/>
    </row>
    <row r="8032" spans="8:9">
      <c r="H8032" s="2"/>
      <c r="I8032" s="2"/>
    </row>
    <row r="8033" spans="8:9">
      <c r="H8033" s="2"/>
      <c r="I8033" s="2"/>
    </row>
    <row r="8034" spans="8:9">
      <c r="H8034" s="2"/>
      <c r="I8034" s="2"/>
    </row>
    <row r="8035" spans="8:9">
      <c r="H8035" s="2"/>
      <c r="I8035" s="2"/>
    </row>
    <row r="8036" spans="8:9">
      <c r="H8036" s="2"/>
      <c r="I8036" s="2"/>
    </row>
    <row r="8037" spans="8:9">
      <c r="H8037" s="2"/>
      <c r="I8037" s="2"/>
    </row>
    <row r="8038" spans="8:9">
      <c r="H8038" s="2"/>
      <c r="I8038" s="2"/>
    </row>
    <row r="8039" spans="8:9">
      <c r="H8039" s="2"/>
      <c r="I8039" s="2"/>
    </row>
    <row r="8040" spans="8:9">
      <c r="H8040" s="2"/>
      <c r="I8040" s="2"/>
    </row>
    <row r="8041" spans="8:9">
      <c r="H8041" s="2"/>
      <c r="I8041" s="2"/>
    </row>
    <row r="8042" spans="8:9">
      <c r="H8042" s="2"/>
      <c r="I8042" s="2"/>
    </row>
    <row r="8043" spans="8:9">
      <c r="H8043" s="2"/>
      <c r="I8043" s="2"/>
    </row>
    <row r="8044" spans="8:9">
      <c r="H8044" s="2"/>
      <c r="I8044" s="2"/>
    </row>
    <row r="8045" spans="8:9">
      <c r="H8045" s="2"/>
      <c r="I8045" s="2"/>
    </row>
    <row r="8046" spans="8:9">
      <c r="H8046" s="2"/>
      <c r="I8046" s="2"/>
    </row>
    <row r="8047" spans="8:9">
      <c r="H8047" s="2"/>
      <c r="I8047" s="2"/>
    </row>
    <row r="8048" spans="8:9">
      <c r="H8048" s="2"/>
      <c r="I8048" s="2"/>
    </row>
    <row r="8049" spans="8:9">
      <c r="H8049" s="2"/>
      <c r="I8049" s="2"/>
    </row>
    <row r="8050" spans="8:9">
      <c r="H8050" s="2"/>
      <c r="I8050" s="2"/>
    </row>
    <row r="8051" spans="8:9">
      <c r="H8051" s="2"/>
      <c r="I8051" s="2"/>
    </row>
    <row r="8052" spans="8:9">
      <c r="H8052" s="2"/>
      <c r="I8052" s="2"/>
    </row>
    <row r="8053" spans="8:9">
      <c r="H8053" s="2"/>
      <c r="I8053" s="2"/>
    </row>
    <row r="8054" spans="8:9">
      <c r="H8054" s="2"/>
      <c r="I8054" s="2"/>
    </row>
    <row r="8055" spans="8:9">
      <c r="H8055" s="2"/>
      <c r="I8055" s="2"/>
    </row>
    <row r="8056" spans="8:9">
      <c r="H8056" s="2"/>
      <c r="I8056" s="2"/>
    </row>
    <row r="8057" spans="8:9">
      <c r="H8057" s="2"/>
      <c r="I8057" s="2"/>
    </row>
    <row r="8058" spans="8:9">
      <c r="H8058" s="2"/>
      <c r="I8058" s="2"/>
    </row>
    <row r="8059" spans="8:9">
      <c r="H8059" s="2"/>
      <c r="I8059" s="2"/>
    </row>
    <row r="8060" spans="8:9">
      <c r="H8060" s="2"/>
      <c r="I8060" s="2"/>
    </row>
    <row r="8061" spans="8:9">
      <c r="H8061" s="2"/>
      <c r="I8061" s="2"/>
    </row>
    <row r="8062" spans="8:9">
      <c r="H8062" s="2"/>
      <c r="I8062" s="2"/>
    </row>
    <row r="8063" spans="8:9">
      <c r="H8063" s="2"/>
      <c r="I8063" s="2"/>
    </row>
    <row r="8064" spans="8:9">
      <c r="H8064" s="2"/>
      <c r="I8064" s="2"/>
    </row>
    <row r="8065" spans="8:9">
      <c r="H8065" s="2"/>
      <c r="I8065" s="2"/>
    </row>
    <row r="8066" spans="8:9">
      <c r="H8066" s="2"/>
      <c r="I8066" s="2"/>
    </row>
    <row r="8067" spans="8:9">
      <c r="H8067" s="2"/>
      <c r="I8067" s="2"/>
    </row>
    <row r="8068" spans="8:9">
      <c r="H8068" s="2"/>
      <c r="I8068" s="2"/>
    </row>
    <row r="8069" spans="8:9">
      <c r="H8069" s="2"/>
      <c r="I8069" s="2"/>
    </row>
    <row r="8070" spans="8:9">
      <c r="H8070" s="2"/>
      <c r="I8070" s="2"/>
    </row>
    <row r="8071" spans="8:9">
      <c r="H8071" s="2"/>
      <c r="I8071" s="2"/>
    </row>
    <row r="8072" spans="8:9">
      <c r="H8072" s="2"/>
      <c r="I8072" s="2"/>
    </row>
    <row r="8073" spans="8:9">
      <c r="H8073" s="2"/>
      <c r="I8073" s="2"/>
    </row>
    <row r="8074" spans="8:9">
      <c r="H8074" s="2"/>
      <c r="I8074" s="2"/>
    </row>
    <row r="8075" spans="8:9">
      <c r="H8075" s="2"/>
      <c r="I8075" s="2"/>
    </row>
    <row r="8076" spans="8:9">
      <c r="H8076" s="2"/>
      <c r="I8076" s="2"/>
    </row>
    <row r="8077" spans="8:9">
      <c r="H8077" s="2"/>
      <c r="I8077" s="2"/>
    </row>
    <row r="8078" spans="8:9">
      <c r="H8078" s="2"/>
      <c r="I8078" s="2"/>
    </row>
    <row r="8079" spans="8:9">
      <c r="H8079" s="2"/>
      <c r="I8079" s="2"/>
    </row>
    <row r="8080" spans="8:9">
      <c r="H8080" s="2"/>
      <c r="I8080" s="2"/>
    </row>
    <row r="8081" spans="8:9">
      <c r="H8081" s="2"/>
      <c r="I8081" s="2"/>
    </row>
    <row r="8082" spans="8:9">
      <c r="H8082" s="2"/>
      <c r="I8082" s="2"/>
    </row>
    <row r="8083" spans="8:9">
      <c r="H8083" s="2"/>
      <c r="I8083" s="2"/>
    </row>
    <row r="8084" spans="8:9">
      <c r="H8084" s="2"/>
      <c r="I8084" s="2"/>
    </row>
    <row r="8085" spans="8:9">
      <c r="H8085" s="2"/>
      <c r="I8085" s="2"/>
    </row>
    <row r="8086" spans="8:9">
      <c r="H8086" s="2"/>
      <c r="I8086" s="2"/>
    </row>
    <row r="8087" spans="8:9">
      <c r="H8087" s="2"/>
      <c r="I8087" s="2"/>
    </row>
    <row r="8088" spans="8:9">
      <c r="H8088" s="2"/>
      <c r="I8088" s="2"/>
    </row>
    <row r="8089" spans="8:9">
      <c r="H8089" s="2"/>
      <c r="I8089" s="2"/>
    </row>
    <row r="8090" spans="8:9">
      <c r="H8090" s="2"/>
      <c r="I8090" s="2"/>
    </row>
    <row r="8091" spans="8:9">
      <c r="H8091" s="2"/>
      <c r="I8091" s="2"/>
    </row>
    <row r="8092" spans="8:9">
      <c r="H8092" s="2"/>
      <c r="I8092" s="2"/>
    </row>
    <row r="8093" spans="8:9">
      <c r="H8093" s="2"/>
      <c r="I8093" s="2"/>
    </row>
    <row r="8094" spans="8:9">
      <c r="H8094" s="2"/>
      <c r="I8094" s="2"/>
    </row>
    <row r="8095" spans="8:9">
      <c r="H8095" s="2"/>
      <c r="I8095" s="2"/>
    </row>
    <row r="8096" spans="8:9">
      <c r="H8096" s="2"/>
      <c r="I8096" s="2"/>
    </row>
    <row r="8097" spans="8:9">
      <c r="H8097" s="2"/>
      <c r="I8097" s="2"/>
    </row>
    <row r="8098" spans="8:9">
      <c r="H8098" s="2"/>
      <c r="I8098" s="2"/>
    </row>
    <row r="8099" spans="8:9">
      <c r="H8099" s="2"/>
      <c r="I8099" s="2"/>
    </row>
    <row r="8100" spans="8:9">
      <c r="H8100" s="2"/>
      <c r="I8100" s="2"/>
    </row>
    <row r="8101" spans="8:9">
      <c r="H8101" s="2"/>
      <c r="I8101" s="2"/>
    </row>
    <row r="8102" spans="8:9">
      <c r="H8102" s="2"/>
      <c r="I8102" s="2"/>
    </row>
    <row r="8103" spans="8:9">
      <c r="H8103" s="2"/>
      <c r="I8103" s="2"/>
    </row>
    <row r="8104" spans="8:9">
      <c r="H8104" s="2"/>
      <c r="I8104" s="2"/>
    </row>
    <row r="8105" spans="8:9">
      <c r="H8105" s="2"/>
      <c r="I8105" s="2"/>
    </row>
    <row r="8106" spans="8:9">
      <c r="H8106" s="2"/>
      <c r="I8106" s="2"/>
    </row>
    <row r="8107" spans="8:9">
      <c r="H8107" s="2"/>
      <c r="I8107" s="2"/>
    </row>
    <row r="8108" spans="8:9">
      <c r="H8108" s="2"/>
      <c r="I8108" s="2"/>
    </row>
    <row r="8109" spans="8:9">
      <c r="H8109" s="2"/>
      <c r="I8109" s="2"/>
    </row>
    <row r="8110" spans="8:9">
      <c r="H8110" s="2"/>
      <c r="I8110" s="2"/>
    </row>
    <row r="8111" spans="8:9">
      <c r="H8111" s="2"/>
      <c r="I8111" s="2"/>
    </row>
    <row r="8112" spans="8:9">
      <c r="H8112" s="2"/>
      <c r="I8112" s="2"/>
    </row>
    <row r="8113" spans="8:9">
      <c r="H8113" s="2"/>
      <c r="I8113" s="2"/>
    </row>
    <row r="8114" spans="8:9">
      <c r="H8114" s="2"/>
      <c r="I8114" s="2"/>
    </row>
    <row r="8115" spans="8:9">
      <c r="H8115" s="2"/>
      <c r="I8115" s="2"/>
    </row>
    <row r="8116" spans="8:9">
      <c r="H8116" s="2"/>
      <c r="I8116" s="2"/>
    </row>
    <row r="8117" spans="8:9">
      <c r="H8117" s="2"/>
      <c r="I8117" s="2"/>
    </row>
    <row r="8118" spans="8:9">
      <c r="H8118" s="2"/>
      <c r="I8118" s="2"/>
    </row>
    <row r="8119" spans="8:9">
      <c r="H8119" s="2"/>
      <c r="I8119" s="2"/>
    </row>
    <row r="8120" spans="8:9">
      <c r="H8120" s="2"/>
      <c r="I8120" s="2"/>
    </row>
    <row r="8121" spans="8:9">
      <c r="H8121" s="2"/>
      <c r="I8121" s="2"/>
    </row>
    <row r="8122" spans="8:9">
      <c r="H8122" s="2"/>
      <c r="I8122" s="2"/>
    </row>
    <row r="8123" spans="8:9">
      <c r="H8123" s="2"/>
      <c r="I8123" s="2"/>
    </row>
    <row r="8124" spans="8:9">
      <c r="H8124" s="2"/>
      <c r="I8124" s="2"/>
    </row>
    <row r="8125" spans="8:9">
      <c r="H8125" s="2"/>
      <c r="I8125" s="2"/>
    </row>
    <row r="8126" spans="8:9">
      <c r="H8126" s="2"/>
      <c r="I8126" s="2"/>
    </row>
    <row r="8127" spans="8:9">
      <c r="H8127" s="2"/>
      <c r="I8127" s="2"/>
    </row>
    <row r="8128" spans="8:9">
      <c r="H8128" s="2"/>
      <c r="I8128" s="2"/>
    </row>
    <row r="8129" spans="8:9">
      <c r="H8129" s="2"/>
      <c r="I8129" s="2"/>
    </row>
    <row r="8130" spans="8:9">
      <c r="H8130" s="2"/>
      <c r="I8130" s="2"/>
    </row>
    <row r="8131" spans="8:9">
      <c r="H8131" s="2"/>
      <c r="I8131" s="2"/>
    </row>
    <row r="8132" spans="8:9">
      <c r="H8132" s="2"/>
      <c r="I8132" s="2"/>
    </row>
    <row r="8133" spans="8:9">
      <c r="H8133" s="2"/>
      <c r="I8133" s="2"/>
    </row>
    <row r="8134" spans="8:9">
      <c r="H8134" s="2"/>
      <c r="I8134" s="2"/>
    </row>
    <row r="8135" spans="8:9">
      <c r="H8135" s="2"/>
      <c r="I8135" s="2"/>
    </row>
    <row r="8136" spans="8:9">
      <c r="H8136" s="2"/>
      <c r="I8136" s="2"/>
    </row>
    <row r="8137" spans="8:9">
      <c r="H8137" s="2"/>
      <c r="I8137" s="2"/>
    </row>
    <row r="8138" spans="8:9">
      <c r="H8138" s="2"/>
      <c r="I8138" s="2"/>
    </row>
    <row r="8139" spans="8:9">
      <c r="H8139" s="2"/>
      <c r="I8139" s="2"/>
    </row>
    <row r="8140" spans="8:9">
      <c r="H8140" s="2"/>
      <c r="I8140" s="2"/>
    </row>
    <row r="8141" spans="8:9">
      <c r="H8141" s="2"/>
      <c r="I8141" s="2"/>
    </row>
    <row r="8142" spans="8:9">
      <c r="H8142" s="2"/>
      <c r="I8142" s="2"/>
    </row>
    <row r="8143" spans="8:9">
      <c r="H8143" s="2"/>
      <c r="I8143" s="2"/>
    </row>
    <row r="8144" spans="8:9">
      <c r="H8144" s="2"/>
      <c r="I8144" s="2"/>
    </row>
    <row r="8145" spans="8:9">
      <c r="H8145" s="2"/>
      <c r="I8145" s="2"/>
    </row>
    <row r="8146" spans="8:9">
      <c r="H8146" s="2"/>
      <c r="I8146" s="2"/>
    </row>
    <row r="8147" spans="8:9">
      <c r="H8147" s="2"/>
      <c r="I8147" s="2"/>
    </row>
    <row r="8148" spans="8:9">
      <c r="H8148" s="2"/>
      <c r="I8148" s="2"/>
    </row>
    <row r="8149" spans="8:9">
      <c r="H8149" s="2"/>
      <c r="I8149" s="2"/>
    </row>
    <row r="8150" spans="8:9">
      <c r="H8150" s="2"/>
      <c r="I8150" s="2"/>
    </row>
    <row r="8151" spans="8:9">
      <c r="H8151" s="2"/>
      <c r="I8151" s="2"/>
    </row>
    <row r="8152" spans="8:9">
      <c r="H8152" s="2"/>
      <c r="I8152" s="2"/>
    </row>
    <row r="8153" spans="8:9">
      <c r="H8153" s="2"/>
      <c r="I8153" s="2"/>
    </row>
    <row r="8154" spans="8:9">
      <c r="H8154" s="2"/>
      <c r="I8154" s="2"/>
    </row>
    <row r="8155" spans="8:9">
      <c r="H8155" s="2"/>
      <c r="I8155" s="2"/>
    </row>
    <row r="8156" spans="8:9">
      <c r="H8156" s="2"/>
      <c r="I8156" s="2"/>
    </row>
    <row r="8157" spans="8:9">
      <c r="H8157" s="2"/>
      <c r="I8157" s="2"/>
    </row>
    <row r="8158" spans="8:9">
      <c r="H8158" s="2"/>
      <c r="I8158" s="2"/>
    </row>
    <row r="8159" spans="8:9">
      <c r="H8159" s="2"/>
      <c r="I8159" s="2"/>
    </row>
    <row r="8160" spans="8:9">
      <c r="H8160" s="2"/>
      <c r="I8160" s="2"/>
    </row>
    <row r="8161" spans="8:9">
      <c r="H8161" s="2"/>
      <c r="I8161" s="2"/>
    </row>
    <row r="8162" spans="8:9">
      <c r="H8162" s="2"/>
      <c r="I8162" s="2"/>
    </row>
    <row r="8163" spans="8:9">
      <c r="H8163" s="2"/>
      <c r="I8163" s="2"/>
    </row>
    <row r="8164" spans="8:9">
      <c r="H8164" s="2"/>
      <c r="I8164" s="2"/>
    </row>
    <row r="8165" spans="8:9">
      <c r="H8165" s="2"/>
      <c r="I8165" s="2"/>
    </row>
    <row r="8166" spans="8:9">
      <c r="H8166" s="2"/>
      <c r="I8166" s="2"/>
    </row>
    <row r="8167" spans="8:9">
      <c r="H8167" s="2"/>
      <c r="I8167" s="2"/>
    </row>
    <row r="8168" spans="8:9">
      <c r="H8168" s="2"/>
      <c r="I8168" s="2"/>
    </row>
    <row r="8169" spans="8:9">
      <c r="H8169" s="2"/>
      <c r="I8169" s="2"/>
    </row>
    <row r="8170" spans="8:9">
      <c r="H8170" s="2"/>
      <c r="I8170" s="2"/>
    </row>
    <row r="8171" spans="8:9">
      <c r="H8171" s="2"/>
      <c r="I8171" s="2"/>
    </row>
    <row r="8172" spans="8:9">
      <c r="H8172" s="2"/>
      <c r="I8172" s="2"/>
    </row>
    <row r="8173" spans="8:9">
      <c r="H8173" s="2"/>
      <c r="I8173" s="2"/>
    </row>
    <row r="8174" spans="8:9">
      <c r="H8174" s="2"/>
      <c r="I8174" s="2"/>
    </row>
    <row r="8175" spans="8:9">
      <c r="H8175" s="2"/>
      <c r="I8175" s="2"/>
    </row>
    <row r="8176" spans="8:9">
      <c r="H8176" s="2"/>
      <c r="I8176" s="2"/>
    </row>
    <row r="8177" spans="8:9">
      <c r="H8177" s="2"/>
      <c r="I8177" s="2"/>
    </row>
    <row r="8178" spans="8:9">
      <c r="H8178" s="2"/>
      <c r="I8178" s="2"/>
    </row>
    <row r="8179" spans="8:9">
      <c r="H8179" s="2"/>
      <c r="I8179" s="2"/>
    </row>
    <row r="8180" spans="8:9">
      <c r="H8180" s="2"/>
      <c r="I8180" s="2"/>
    </row>
    <row r="8181" spans="8:9">
      <c r="H8181" s="2"/>
      <c r="I8181" s="2"/>
    </row>
    <row r="8182" spans="8:9">
      <c r="H8182" s="2"/>
      <c r="I8182" s="2"/>
    </row>
    <row r="8183" spans="8:9">
      <c r="H8183" s="2"/>
      <c r="I8183" s="2"/>
    </row>
    <row r="8184" spans="8:9">
      <c r="H8184" s="2"/>
      <c r="I8184" s="2"/>
    </row>
    <row r="8185" spans="8:9">
      <c r="H8185" s="2"/>
      <c r="I8185" s="2"/>
    </row>
    <row r="8186" spans="8:9">
      <c r="H8186" s="2"/>
      <c r="I8186" s="2"/>
    </row>
    <row r="8187" spans="8:9">
      <c r="H8187" s="2"/>
      <c r="I8187" s="2"/>
    </row>
    <row r="8188" spans="8:9">
      <c r="H8188" s="2"/>
      <c r="I8188" s="2"/>
    </row>
    <row r="8189" spans="8:9">
      <c r="H8189" s="2"/>
      <c r="I8189" s="2"/>
    </row>
    <row r="8190" spans="8:9">
      <c r="H8190" s="2"/>
      <c r="I8190" s="2"/>
    </row>
    <row r="8191" spans="8:9">
      <c r="H8191" s="2"/>
      <c r="I8191" s="2"/>
    </row>
    <row r="8192" spans="8:9">
      <c r="H8192" s="2"/>
      <c r="I8192" s="2"/>
    </row>
    <row r="8193" spans="8:9">
      <c r="H8193" s="2"/>
      <c r="I8193" s="2"/>
    </row>
    <row r="8194" spans="8:9">
      <c r="H8194" s="2"/>
      <c r="I8194" s="2"/>
    </row>
    <row r="8195" spans="8:9">
      <c r="H8195" s="2"/>
      <c r="I8195" s="2"/>
    </row>
    <row r="8196" spans="8:9">
      <c r="H8196" s="2"/>
      <c r="I8196" s="2"/>
    </row>
    <row r="8197" spans="8:9">
      <c r="H8197" s="2"/>
      <c r="I8197" s="2"/>
    </row>
    <row r="8198" spans="8:9">
      <c r="H8198" s="2"/>
      <c r="I8198" s="2"/>
    </row>
    <row r="8199" spans="8:9">
      <c r="H8199" s="2"/>
      <c r="I8199" s="2"/>
    </row>
    <row r="8200" spans="8:9">
      <c r="H8200" s="2"/>
      <c r="I8200" s="2"/>
    </row>
    <row r="8201" spans="8:9">
      <c r="H8201" s="2"/>
      <c r="I8201" s="2"/>
    </row>
    <row r="8202" spans="8:9">
      <c r="H8202" s="2"/>
      <c r="I8202" s="2"/>
    </row>
    <row r="8203" spans="8:9">
      <c r="H8203" s="2"/>
      <c r="I8203" s="2"/>
    </row>
    <row r="8204" spans="8:9">
      <c r="H8204" s="2"/>
      <c r="I8204" s="2"/>
    </row>
    <row r="8205" spans="8:9">
      <c r="H8205" s="2"/>
      <c r="I8205" s="2"/>
    </row>
    <row r="8206" spans="8:9">
      <c r="H8206" s="2"/>
      <c r="I8206" s="2"/>
    </row>
    <row r="8207" spans="8:9">
      <c r="H8207" s="2"/>
      <c r="I8207" s="2"/>
    </row>
    <row r="8208" spans="8:9">
      <c r="H8208" s="2"/>
      <c r="I8208" s="2"/>
    </row>
    <row r="8209" spans="8:9">
      <c r="H8209" s="2"/>
      <c r="I8209" s="2"/>
    </row>
    <row r="8210" spans="8:9">
      <c r="H8210" s="2"/>
      <c r="I8210" s="2"/>
    </row>
    <row r="8211" spans="8:9">
      <c r="H8211" s="2"/>
      <c r="I8211" s="2"/>
    </row>
    <row r="8212" spans="8:9">
      <c r="H8212" s="2"/>
      <c r="I8212" s="2"/>
    </row>
    <row r="8213" spans="8:9">
      <c r="H8213" s="2"/>
      <c r="I8213" s="2"/>
    </row>
    <row r="8214" spans="8:9">
      <c r="H8214" s="2"/>
      <c r="I8214" s="2"/>
    </row>
    <row r="8215" spans="8:9">
      <c r="H8215" s="2"/>
      <c r="I8215" s="2"/>
    </row>
    <row r="8216" spans="8:9">
      <c r="H8216" s="2"/>
      <c r="I8216" s="2"/>
    </row>
    <row r="8217" spans="8:9">
      <c r="H8217" s="2"/>
      <c r="I8217" s="2"/>
    </row>
    <row r="8218" spans="8:9">
      <c r="H8218" s="2"/>
      <c r="I8218" s="2"/>
    </row>
    <row r="8219" spans="8:9">
      <c r="H8219" s="2"/>
      <c r="I8219" s="2"/>
    </row>
    <row r="8220" spans="8:9">
      <c r="H8220" s="2"/>
      <c r="I8220" s="2"/>
    </row>
    <row r="8221" spans="8:9">
      <c r="H8221" s="2"/>
      <c r="I8221" s="2"/>
    </row>
    <row r="8222" spans="8:9">
      <c r="H8222" s="2"/>
      <c r="I8222" s="2"/>
    </row>
    <row r="8223" spans="8:9">
      <c r="H8223" s="2"/>
      <c r="I8223" s="2"/>
    </row>
    <row r="8224" spans="8:9">
      <c r="H8224" s="2"/>
      <c r="I8224" s="2"/>
    </row>
    <row r="8225" spans="8:9">
      <c r="H8225" s="2"/>
      <c r="I8225" s="2"/>
    </row>
    <row r="8226" spans="8:9">
      <c r="H8226" s="2"/>
      <c r="I8226" s="2"/>
    </row>
    <row r="8227" spans="8:9">
      <c r="H8227" s="2"/>
      <c r="I8227" s="2"/>
    </row>
    <row r="8228" spans="8:9">
      <c r="H8228" s="2"/>
      <c r="I8228" s="2"/>
    </row>
    <row r="8229" spans="8:9">
      <c r="H8229" s="2"/>
      <c r="I8229" s="2"/>
    </row>
    <row r="8230" spans="8:9">
      <c r="H8230" s="2"/>
      <c r="I8230" s="2"/>
    </row>
    <row r="8231" spans="8:9">
      <c r="H8231" s="2"/>
      <c r="I8231" s="2"/>
    </row>
    <row r="8232" spans="8:9">
      <c r="H8232" s="2"/>
      <c r="I8232" s="2"/>
    </row>
    <row r="8233" spans="8:9">
      <c r="H8233" s="2"/>
      <c r="I8233" s="2"/>
    </row>
    <row r="8234" spans="8:9">
      <c r="H8234" s="2"/>
      <c r="I8234" s="2"/>
    </row>
    <row r="8235" spans="8:9">
      <c r="H8235" s="2"/>
      <c r="I8235" s="2"/>
    </row>
    <row r="8236" spans="8:9">
      <c r="H8236" s="2"/>
      <c r="I8236" s="2"/>
    </row>
    <row r="8237" spans="8:9">
      <c r="H8237" s="2"/>
      <c r="I8237" s="2"/>
    </row>
    <row r="8238" spans="8:9">
      <c r="H8238" s="2"/>
      <c r="I8238" s="2"/>
    </row>
    <row r="8239" spans="8:9">
      <c r="H8239" s="2"/>
      <c r="I8239" s="2"/>
    </row>
    <row r="8240" spans="8:9">
      <c r="H8240" s="2"/>
      <c r="I8240" s="2"/>
    </row>
    <row r="8241" spans="8:9">
      <c r="H8241" s="2"/>
      <c r="I8241" s="2"/>
    </row>
    <row r="8242" spans="8:9">
      <c r="H8242" s="2"/>
      <c r="I8242" s="2"/>
    </row>
    <row r="8243" spans="8:9">
      <c r="H8243" s="2"/>
      <c r="I8243" s="2"/>
    </row>
    <row r="8244" spans="8:9">
      <c r="H8244" s="2"/>
      <c r="I8244" s="2"/>
    </row>
    <row r="8245" spans="8:9">
      <c r="H8245" s="2"/>
      <c r="I8245" s="2"/>
    </row>
    <row r="8246" spans="8:9">
      <c r="H8246" s="2"/>
      <c r="I8246" s="2"/>
    </row>
    <row r="8247" spans="8:9">
      <c r="H8247" s="2"/>
      <c r="I8247" s="2"/>
    </row>
    <row r="8248" spans="8:9">
      <c r="H8248" s="2"/>
      <c r="I8248" s="2"/>
    </row>
    <row r="8249" spans="8:9">
      <c r="H8249" s="2"/>
      <c r="I8249" s="2"/>
    </row>
    <row r="8250" spans="8:9">
      <c r="H8250" s="2"/>
      <c r="I8250" s="2"/>
    </row>
    <row r="8251" spans="8:9">
      <c r="H8251" s="2"/>
      <c r="I8251" s="2"/>
    </row>
    <row r="8252" spans="8:9">
      <c r="H8252" s="2"/>
      <c r="I8252" s="2"/>
    </row>
    <row r="8253" spans="8:9">
      <c r="H8253" s="2"/>
      <c r="I8253" s="2"/>
    </row>
    <row r="8254" spans="8:9">
      <c r="H8254" s="2"/>
      <c r="I8254" s="2"/>
    </row>
    <row r="8255" spans="8:9">
      <c r="H8255" s="2"/>
      <c r="I8255" s="2"/>
    </row>
    <row r="8256" spans="8:9">
      <c r="H8256" s="2"/>
      <c r="I8256" s="2"/>
    </row>
    <row r="8257" spans="8:9">
      <c r="H8257" s="2"/>
      <c r="I8257" s="2"/>
    </row>
    <row r="8258" spans="8:9">
      <c r="H8258" s="2"/>
      <c r="I8258" s="2"/>
    </row>
    <row r="8259" spans="8:9">
      <c r="H8259" s="2"/>
      <c r="I8259" s="2"/>
    </row>
    <row r="8260" spans="8:9">
      <c r="H8260" s="2"/>
      <c r="I8260" s="2"/>
    </row>
    <row r="8261" spans="8:9">
      <c r="H8261" s="2"/>
      <c r="I8261" s="2"/>
    </row>
    <row r="8262" spans="8:9">
      <c r="H8262" s="2"/>
      <c r="I8262" s="2"/>
    </row>
    <row r="8263" spans="8:9">
      <c r="H8263" s="2"/>
      <c r="I8263" s="2"/>
    </row>
    <row r="8264" spans="8:9">
      <c r="H8264" s="2"/>
      <c r="I8264" s="2"/>
    </row>
    <row r="8265" spans="8:9">
      <c r="H8265" s="2"/>
      <c r="I8265" s="2"/>
    </row>
    <row r="8266" spans="8:9">
      <c r="H8266" s="2"/>
      <c r="I8266" s="2"/>
    </row>
    <row r="8267" spans="8:9">
      <c r="H8267" s="2"/>
      <c r="I8267" s="2"/>
    </row>
    <row r="8268" spans="8:9">
      <c r="H8268" s="2"/>
      <c r="I8268" s="2"/>
    </row>
    <row r="8269" spans="8:9">
      <c r="H8269" s="2"/>
      <c r="I8269" s="2"/>
    </row>
    <row r="8270" spans="8:9">
      <c r="H8270" s="2"/>
      <c r="I8270" s="2"/>
    </row>
    <row r="8271" spans="8:9">
      <c r="H8271" s="2"/>
      <c r="I8271" s="2"/>
    </row>
    <row r="8272" spans="8:9">
      <c r="H8272" s="2"/>
      <c r="I8272" s="2"/>
    </row>
    <row r="8273" spans="8:9">
      <c r="H8273" s="2"/>
      <c r="I8273" s="2"/>
    </row>
    <row r="8274" spans="8:9">
      <c r="H8274" s="2"/>
      <c r="I8274" s="2"/>
    </row>
    <row r="8275" spans="8:9">
      <c r="H8275" s="2"/>
      <c r="I8275" s="2"/>
    </row>
    <row r="8276" spans="8:9">
      <c r="H8276" s="2"/>
      <c r="I8276" s="2"/>
    </row>
    <row r="8277" spans="8:9">
      <c r="H8277" s="2"/>
      <c r="I8277" s="2"/>
    </row>
    <row r="8278" spans="8:9">
      <c r="H8278" s="2"/>
      <c r="I8278" s="2"/>
    </row>
    <row r="8279" spans="8:9">
      <c r="H8279" s="2"/>
      <c r="I8279" s="2"/>
    </row>
    <row r="8280" spans="8:9">
      <c r="H8280" s="2"/>
      <c r="I8280" s="2"/>
    </row>
    <row r="8281" spans="8:9">
      <c r="H8281" s="2"/>
      <c r="I8281" s="2"/>
    </row>
    <row r="8282" spans="8:9">
      <c r="H8282" s="2"/>
      <c r="I8282" s="2"/>
    </row>
    <row r="8283" spans="8:9">
      <c r="H8283" s="2"/>
      <c r="I8283" s="2"/>
    </row>
    <row r="8284" spans="8:9">
      <c r="H8284" s="2"/>
      <c r="I8284" s="2"/>
    </row>
    <row r="8285" spans="8:9">
      <c r="H8285" s="2"/>
      <c r="I8285" s="2"/>
    </row>
    <row r="8286" spans="8:9">
      <c r="H8286" s="2"/>
      <c r="I8286" s="2"/>
    </row>
    <row r="8287" spans="8:9">
      <c r="H8287" s="2"/>
      <c r="I8287" s="2"/>
    </row>
    <row r="8288" spans="8:9">
      <c r="H8288" s="2"/>
      <c r="I8288" s="2"/>
    </row>
    <row r="8289" spans="8:9">
      <c r="H8289" s="2"/>
      <c r="I8289" s="2"/>
    </row>
    <row r="8290" spans="8:9">
      <c r="H8290" s="2"/>
      <c r="I8290" s="2"/>
    </row>
    <row r="8291" spans="8:9">
      <c r="H8291" s="2"/>
      <c r="I8291" s="2"/>
    </row>
    <row r="8292" spans="8:9">
      <c r="H8292" s="2"/>
      <c r="I8292" s="2"/>
    </row>
    <row r="8293" spans="8:9">
      <c r="H8293" s="2"/>
      <c r="I8293" s="2"/>
    </row>
    <row r="8294" spans="8:9">
      <c r="H8294" s="2"/>
      <c r="I8294" s="2"/>
    </row>
    <row r="8295" spans="8:9">
      <c r="H8295" s="2"/>
      <c r="I8295" s="2"/>
    </row>
    <row r="8296" spans="8:9">
      <c r="H8296" s="2"/>
      <c r="I8296" s="2"/>
    </row>
    <row r="8297" spans="8:9">
      <c r="H8297" s="2"/>
      <c r="I8297" s="2"/>
    </row>
    <row r="8298" spans="8:9">
      <c r="H8298" s="2"/>
      <c r="I8298" s="2"/>
    </row>
    <row r="8299" spans="8:9">
      <c r="H8299" s="2"/>
      <c r="I8299" s="2"/>
    </row>
    <row r="8300" spans="8:9">
      <c r="H8300" s="2"/>
      <c r="I8300" s="2"/>
    </row>
    <row r="8301" spans="8:9">
      <c r="H8301" s="2"/>
      <c r="I8301" s="2"/>
    </row>
    <row r="8302" spans="8:9">
      <c r="H8302" s="2"/>
      <c r="I8302" s="2"/>
    </row>
    <row r="8303" spans="8:9">
      <c r="H8303" s="2"/>
      <c r="I8303" s="2"/>
    </row>
    <row r="8304" spans="8:9">
      <c r="H8304" s="2"/>
      <c r="I8304" s="2"/>
    </row>
    <row r="8305" spans="8:9">
      <c r="H8305" s="2"/>
      <c r="I8305" s="2"/>
    </row>
    <row r="8306" spans="8:9">
      <c r="H8306" s="2"/>
      <c r="I8306" s="2"/>
    </row>
    <row r="8307" spans="8:9">
      <c r="H8307" s="2"/>
      <c r="I8307" s="2"/>
    </row>
    <row r="8308" spans="8:9">
      <c r="H8308" s="2"/>
      <c r="I8308" s="2"/>
    </row>
    <row r="8309" spans="8:9">
      <c r="H8309" s="2"/>
      <c r="I8309" s="2"/>
    </row>
    <row r="8310" spans="8:9">
      <c r="H8310" s="2"/>
      <c r="I8310" s="2"/>
    </row>
    <row r="8311" spans="8:9">
      <c r="H8311" s="2"/>
      <c r="I8311" s="2"/>
    </row>
    <row r="8312" spans="8:9">
      <c r="H8312" s="2"/>
      <c r="I8312" s="2"/>
    </row>
    <row r="8313" spans="8:9">
      <c r="H8313" s="2"/>
      <c r="I8313" s="2"/>
    </row>
    <row r="8314" spans="8:9">
      <c r="H8314" s="2"/>
      <c r="I8314" s="2"/>
    </row>
    <row r="8315" spans="8:9">
      <c r="H8315" s="2"/>
      <c r="I8315" s="2"/>
    </row>
    <row r="8316" spans="8:9">
      <c r="H8316" s="2"/>
      <c r="I8316" s="2"/>
    </row>
    <row r="8317" spans="8:9">
      <c r="H8317" s="2"/>
      <c r="I8317" s="2"/>
    </row>
    <row r="8318" spans="8:9">
      <c r="H8318" s="2"/>
      <c r="I8318" s="2"/>
    </row>
    <row r="8319" spans="8:9">
      <c r="H8319" s="2"/>
      <c r="I8319" s="2"/>
    </row>
    <row r="8320" spans="8:9">
      <c r="H8320" s="2"/>
      <c r="I8320" s="2"/>
    </row>
    <row r="8321" spans="8:9">
      <c r="H8321" s="2"/>
      <c r="I8321" s="2"/>
    </row>
    <row r="8322" spans="8:9">
      <c r="H8322" s="2"/>
      <c r="I8322" s="2"/>
    </row>
    <row r="8323" spans="8:9">
      <c r="H8323" s="2"/>
      <c r="I8323" s="2"/>
    </row>
    <row r="8324" spans="8:9">
      <c r="H8324" s="2"/>
      <c r="I8324" s="2"/>
    </row>
    <row r="8325" spans="8:9">
      <c r="H8325" s="2"/>
      <c r="I8325" s="2"/>
    </row>
    <row r="8326" spans="8:9">
      <c r="H8326" s="2"/>
      <c r="I8326" s="2"/>
    </row>
    <row r="8327" spans="8:9">
      <c r="H8327" s="2"/>
      <c r="I8327" s="2"/>
    </row>
    <row r="8328" spans="8:9">
      <c r="H8328" s="2"/>
      <c r="I8328" s="2"/>
    </row>
    <row r="8329" spans="8:9">
      <c r="H8329" s="2"/>
      <c r="I8329" s="2"/>
    </row>
    <row r="8330" spans="8:9">
      <c r="H8330" s="2"/>
      <c r="I8330" s="2"/>
    </row>
    <row r="8331" spans="8:9">
      <c r="H8331" s="2"/>
      <c r="I8331" s="2"/>
    </row>
    <row r="8332" spans="8:9">
      <c r="H8332" s="2"/>
      <c r="I8332" s="2"/>
    </row>
    <row r="8333" spans="8:9">
      <c r="H8333" s="2"/>
      <c r="I8333" s="2"/>
    </row>
    <row r="8334" spans="8:9">
      <c r="H8334" s="2"/>
      <c r="I8334" s="2"/>
    </row>
    <row r="8335" spans="8:9">
      <c r="H8335" s="2"/>
      <c r="I8335" s="2"/>
    </row>
    <row r="8336" spans="8:9">
      <c r="H8336" s="2"/>
      <c r="I8336" s="2"/>
    </row>
    <row r="8337" spans="8:9">
      <c r="H8337" s="2"/>
      <c r="I8337" s="2"/>
    </row>
    <row r="8338" spans="8:9">
      <c r="H8338" s="2"/>
      <c r="I8338" s="2"/>
    </row>
    <row r="8339" spans="8:9">
      <c r="H8339" s="2"/>
      <c r="I8339" s="2"/>
    </row>
    <row r="8340" spans="8:9">
      <c r="H8340" s="2"/>
      <c r="I8340" s="2"/>
    </row>
    <row r="8341" spans="8:9">
      <c r="H8341" s="2"/>
      <c r="I8341" s="2"/>
    </row>
    <row r="8342" spans="8:9">
      <c r="H8342" s="2"/>
      <c r="I8342" s="2"/>
    </row>
    <row r="8343" spans="8:9">
      <c r="H8343" s="2"/>
      <c r="I8343" s="2"/>
    </row>
    <row r="8344" spans="8:9">
      <c r="H8344" s="2"/>
      <c r="I8344" s="2"/>
    </row>
    <row r="8345" spans="8:9">
      <c r="H8345" s="2"/>
      <c r="I8345" s="2"/>
    </row>
    <row r="8346" spans="8:9">
      <c r="H8346" s="2"/>
      <c r="I8346" s="2"/>
    </row>
    <row r="8347" spans="8:9">
      <c r="H8347" s="2"/>
      <c r="I8347" s="2"/>
    </row>
    <row r="8348" spans="8:9">
      <c r="H8348" s="2"/>
      <c r="I8348" s="2"/>
    </row>
    <row r="8349" spans="8:9">
      <c r="H8349" s="2"/>
      <c r="I8349" s="2"/>
    </row>
    <row r="8350" spans="8:9">
      <c r="H8350" s="2"/>
      <c r="I8350" s="2"/>
    </row>
    <row r="8351" spans="8:9">
      <c r="H8351" s="2"/>
      <c r="I8351" s="2"/>
    </row>
    <row r="8352" spans="8:9">
      <c r="H8352" s="2"/>
      <c r="I8352" s="2"/>
    </row>
    <row r="8353" spans="8:9">
      <c r="H8353" s="2"/>
      <c r="I8353" s="2"/>
    </row>
    <row r="8354" spans="8:9">
      <c r="H8354" s="2"/>
      <c r="I8354" s="2"/>
    </row>
    <row r="8355" spans="8:9">
      <c r="H8355" s="2"/>
      <c r="I8355" s="2"/>
    </row>
    <row r="8356" spans="8:9">
      <c r="H8356" s="2"/>
      <c r="I8356" s="2"/>
    </row>
    <row r="8357" spans="8:9">
      <c r="H8357" s="2"/>
      <c r="I8357" s="2"/>
    </row>
    <row r="8358" spans="8:9">
      <c r="H8358" s="2"/>
      <c r="I8358" s="2"/>
    </row>
    <row r="8359" spans="8:9">
      <c r="H8359" s="2"/>
      <c r="I8359" s="2"/>
    </row>
    <row r="8360" spans="8:9">
      <c r="H8360" s="2"/>
      <c r="I8360" s="2"/>
    </row>
    <row r="8361" spans="8:9">
      <c r="H8361" s="2"/>
      <c r="I8361" s="2"/>
    </row>
    <row r="8362" spans="8:9">
      <c r="H8362" s="2"/>
      <c r="I8362" s="2"/>
    </row>
    <row r="8363" spans="8:9">
      <c r="H8363" s="2"/>
      <c r="I8363" s="2"/>
    </row>
    <row r="8364" spans="8:9">
      <c r="H8364" s="2"/>
      <c r="I8364" s="2"/>
    </row>
    <row r="8365" spans="8:9">
      <c r="H8365" s="2"/>
      <c r="I8365" s="2"/>
    </row>
    <row r="8366" spans="8:9">
      <c r="H8366" s="2"/>
      <c r="I8366" s="2"/>
    </row>
    <row r="8367" spans="8:9">
      <c r="H8367" s="2"/>
      <c r="I8367" s="2"/>
    </row>
    <row r="8368" spans="8:9">
      <c r="H8368" s="2"/>
      <c r="I8368" s="2"/>
    </row>
    <row r="8369" spans="8:9">
      <c r="H8369" s="2"/>
      <c r="I8369" s="2"/>
    </row>
    <row r="8370" spans="8:9">
      <c r="H8370" s="2"/>
      <c r="I8370" s="2"/>
    </row>
    <row r="8371" spans="8:9">
      <c r="H8371" s="2"/>
      <c r="I8371" s="2"/>
    </row>
    <row r="8372" spans="8:9">
      <c r="H8372" s="2"/>
      <c r="I8372" s="2"/>
    </row>
    <row r="8373" spans="8:9">
      <c r="H8373" s="2"/>
      <c r="I8373" s="2"/>
    </row>
    <row r="8374" spans="8:9">
      <c r="H8374" s="2"/>
      <c r="I8374" s="2"/>
    </row>
    <row r="8375" spans="8:9">
      <c r="H8375" s="2"/>
      <c r="I8375" s="2"/>
    </row>
    <row r="8376" spans="8:9">
      <c r="H8376" s="2"/>
      <c r="I8376" s="2"/>
    </row>
    <row r="8377" spans="8:9">
      <c r="H8377" s="2"/>
      <c r="I8377" s="2"/>
    </row>
    <row r="8378" spans="8:9">
      <c r="H8378" s="2"/>
      <c r="I8378" s="2"/>
    </row>
    <row r="8379" spans="8:9">
      <c r="H8379" s="2"/>
      <c r="I8379" s="2"/>
    </row>
    <row r="8380" spans="8:9">
      <c r="H8380" s="2"/>
      <c r="I8380" s="2"/>
    </row>
    <row r="8381" spans="8:9">
      <c r="H8381" s="2"/>
      <c r="I8381" s="2"/>
    </row>
    <row r="8382" spans="8:9">
      <c r="H8382" s="2"/>
      <c r="I8382" s="2"/>
    </row>
    <row r="8383" spans="8:9">
      <c r="H8383" s="2"/>
      <c r="I8383" s="2"/>
    </row>
    <row r="8384" spans="8:9">
      <c r="H8384" s="2"/>
      <c r="I8384" s="2"/>
    </row>
    <row r="8385" spans="8:9">
      <c r="H8385" s="2"/>
      <c r="I8385" s="2"/>
    </row>
    <row r="8386" spans="8:9">
      <c r="H8386" s="2"/>
      <c r="I8386" s="2"/>
    </row>
    <row r="8387" spans="8:9">
      <c r="H8387" s="2"/>
      <c r="I8387" s="2"/>
    </row>
    <row r="8388" spans="8:9">
      <c r="H8388" s="2"/>
      <c r="I8388" s="2"/>
    </row>
    <row r="8389" spans="8:9">
      <c r="H8389" s="2"/>
      <c r="I8389" s="2"/>
    </row>
    <row r="8390" spans="8:9">
      <c r="H8390" s="2"/>
      <c r="I8390" s="2"/>
    </row>
    <row r="8391" spans="8:9">
      <c r="H8391" s="2"/>
      <c r="I8391" s="2"/>
    </row>
    <row r="8392" spans="8:9">
      <c r="H8392" s="2"/>
      <c r="I8392" s="2"/>
    </row>
    <row r="8393" spans="8:9">
      <c r="H8393" s="2"/>
      <c r="I8393" s="2"/>
    </row>
    <row r="8394" spans="8:9">
      <c r="H8394" s="2"/>
      <c r="I8394" s="2"/>
    </row>
    <row r="8395" spans="8:9">
      <c r="H8395" s="2"/>
      <c r="I8395" s="2"/>
    </row>
    <row r="8396" spans="8:9">
      <c r="H8396" s="2"/>
      <c r="I8396" s="2"/>
    </row>
    <row r="8397" spans="8:9">
      <c r="H8397" s="2"/>
      <c r="I8397" s="2"/>
    </row>
    <row r="8398" spans="8:9">
      <c r="H8398" s="2"/>
      <c r="I8398" s="2"/>
    </row>
    <row r="8399" spans="8:9">
      <c r="H8399" s="2"/>
      <c r="I8399" s="2"/>
    </row>
    <row r="8400" spans="8:9">
      <c r="H8400" s="2"/>
      <c r="I8400" s="2"/>
    </row>
    <row r="8401" spans="8:9">
      <c r="H8401" s="2"/>
      <c r="I8401" s="2"/>
    </row>
    <row r="8402" spans="8:9">
      <c r="H8402" s="2"/>
      <c r="I8402" s="2"/>
    </row>
    <row r="8403" spans="8:9">
      <c r="H8403" s="2"/>
      <c r="I8403" s="2"/>
    </row>
    <row r="8404" spans="8:9">
      <c r="H8404" s="2"/>
      <c r="I8404" s="2"/>
    </row>
    <row r="8405" spans="8:9">
      <c r="H8405" s="2"/>
      <c r="I8405" s="2"/>
    </row>
    <row r="8406" spans="8:9">
      <c r="H8406" s="2"/>
      <c r="I8406" s="2"/>
    </row>
    <row r="8407" spans="8:9">
      <c r="H8407" s="2"/>
      <c r="I8407" s="2"/>
    </row>
    <row r="8408" spans="8:9">
      <c r="H8408" s="2"/>
      <c r="I8408" s="2"/>
    </row>
    <row r="8409" spans="8:9">
      <c r="H8409" s="2"/>
      <c r="I8409" s="2"/>
    </row>
    <row r="8410" spans="8:9">
      <c r="H8410" s="2"/>
      <c r="I8410" s="2"/>
    </row>
    <row r="8411" spans="8:9">
      <c r="H8411" s="2"/>
      <c r="I8411" s="2"/>
    </row>
    <row r="8412" spans="8:9">
      <c r="H8412" s="2"/>
      <c r="I8412" s="2"/>
    </row>
    <row r="8413" spans="8:9">
      <c r="H8413" s="2"/>
      <c r="I8413" s="2"/>
    </row>
    <row r="8414" spans="8:9">
      <c r="H8414" s="2"/>
      <c r="I8414" s="2"/>
    </row>
    <row r="8415" spans="8:9">
      <c r="H8415" s="2"/>
      <c r="I8415" s="2"/>
    </row>
    <row r="8416" spans="8:9">
      <c r="H8416" s="2"/>
      <c r="I8416" s="2"/>
    </row>
    <row r="8417" spans="8:9">
      <c r="H8417" s="2"/>
      <c r="I8417" s="2"/>
    </row>
    <row r="8418" spans="8:9">
      <c r="H8418" s="2"/>
      <c r="I8418" s="2"/>
    </row>
    <row r="8419" spans="8:9">
      <c r="H8419" s="2"/>
      <c r="I8419" s="2"/>
    </row>
    <row r="8420" spans="8:9">
      <c r="H8420" s="2"/>
      <c r="I8420" s="2"/>
    </row>
    <row r="8421" spans="8:9">
      <c r="H8421" s="2"/>
      <c r="I8421" s="2"/>
    </row>
    <row r="8422" spans="8:9">
      <c r="H8422" s="2"/>
      <c r="I8422" s="2"/>
    </row>
    <row r="8423" spans="8:9">
      <c r="H8423" s="2"/>
      <c r="I8423" s="2"/>
    </row>
    <row r="8424" spans="8:9">
      <c r="H8424" s="2"/>
      <c r="I8424" s="2"/>
    </row>
    <row r="8425" spans="8:9">
      <c r="H8425" s="2"/>
      <c r="I8425" s="2"/>
    </row>
    <row r="8426" spans="8:9">
      <c r="H8426" s="2"/>
      <c r="I8426" s="2"/>
    </row>
    <row r="8427" spans="8:9">
      <c r="H8427" s="2"/>
      <c r="I8427" s="2"/>
    </row>
    <row r="8428" spans="8:9">
      <c r="H8428" s="2"/>
      <c r="I8428" s="2"/>
    </row>
    <row r="8429" spans="8:9">
      <c r="H8429" s="2"/>
      <c r="I8429" s="2"/>
    </row>
    <row r="8430" spans="8:9">
      <c r="H8430" s="2"/>
      <c r="I8430" s="2"/>
    </row>
    <row r="8431" spans="8:9">
      <c r="H8431" s="2"/>
      <c r="I8431" s="2"/>
    </row>
    <row r="8432" spans="8:9">
      <c r="H8432" s="2"/>
      <c r="I8432" s="2"/>
    </row>
    <row r="8433" spans="8:9">
      <c r="H8433" s="2"/>
      <c r="I8433" s="2"/>
    </row>
    <row r="8434" spans="8:9">
      <c r="H8434" s="2"/>
      <c r="I8434" s="2"/>
    </row>
    <row r="8435" spans="8:9">
      <c r="H8435" s="2"/>
      <c r="I8435" s="2"/>
    </row>
    <row r="8436" spans="8:9">
      <c r="H8436" s="2"/>
      <c r="I8436" s="2"/>
    </row>
    <row r="8437" spans="8:9">
      <c r="H8437" s="2"/>
      <c r="I8437" s="2"/>
    </row>
    <row r="8438" spans="8:9">
      <c r="H8438" s="2"/>
      <c r="I8438" s="2"/>
    </row>
    <row r="8439" spans="8:9">
      <c r="H8439" s="2"/>
      <c r="I8439" s="2"/>
    </row>
    <row r="8440" spans="8:9">
      <c r="H8440" s="2"/>
      <c r="I8440" s="2"/>
    </row>
    <row r="8441" spans="8:9">
      <c r="H8441" s="2"/>
      <c r="I8441" s="2"/>
    </row>
    <row r="8442" spans="8:9">
      <c r="H8442" s="2"/>
      <c r="I8442" s="2"/>
    </row>
    <row r="8443" spans="8:9">
      <c r="H8443" s="2"/>
      <c r="I8443" s="2"/>
    </row>
    <row r="8444" spans="8:9">
      <c r="H8444" s="2"/>
      <c r="I8444" s="2"/>
    </row>
    <row r="8445" spans="8:9">
      <c r="H8445" s="2"/>
      <c r="I8445" s="2"/>
    </row>
    <row r="8446" spans="8:9">
      <c r="H8446" s="2"/>
      <c r="I8446" s="2"/>
    </row>
    <row r="8447" spans="8:9">
      <c r="H8447" s="2"/>
      <c r="I8447" s="2"/>
    </row>
    <row r="8448" spans="8:9">
      <c r="H8448" s="2"/>
      <c r="I8448" s="2"/>
    </row>
    <row r="8449" spans="8:9">
      <c r="H8449" s="2"/>
      <c r="I8449" s="2"/>
    </row>
    <row r="8450" spans="8:9">
      <c r="H8450" s="2"/>
      <c r="I8450" s="2"/>
    </row>
    <row r="8451" spans="8:9">
      <c r="H8451" s="2"/>
      <c r="I8451" s="2"/>
    </row>
    <row r="8452" spans="8:9">
      <c r="H8452" s="2"/>
      <c r="I8452" s="2"/>
    </row>
    <row r="8453" spans="8:9">
      <c r="H8453" s="2"/>
      <c r="I8453" s="2"/>
    </row>
    <row r="8454" spans="8:9">
      <c r="H8454" s="2"/>
      <c r="I8454" s="2"/>
    </row>
    <row r="8455" spans="8:9">
      <c r="H8455" s="2"/>
      <c r="I8455" s="2"/>
    </row>
    <row r="8456" spans="8:9">
      <c r="H8456" s="2"/>
      <c r="I8456" s="2"/>
    </row>
    <row r="8457" spans="8:9">
      <c r="H8457" s="2"/>
      <c r="I8457" s="2"/>
    </row>
    <row r="8458" spans="8:9">
      <c r="H8458" s="2"/>
      <c r="I8458" s="2"/>
    </row>
    <row r="8459" spans="8:9">
      <c r="H8459" s="2"/>
      <c r="I8459" s="2"/>
    </row>
    <row r="8460" spans="8:9">
      <c r="H8460" s="2"/>
      <c r="I8460" s="2"/>
    </row>
    <row r="8461" spans="8:9">
      <c r="H8461" s="2"/>
      <c r="I8461" s="2"/>
    </row>
    <row r="8462" spans="8:9">
      <c r="H8462" s="2"/>
      <c r="I8462" s="2"/>
    </row>
    <row r="8463" spans="8:9">
      <c r="H8463" s="2"/>
      <c r="I8463" s="2"/>
    </row>
    <row r="8464" spans="8:9">
      <c r="H8464" s="2"/>
      <c r="I8464" s="2"/>
    </row>
    <row r="8465" spans="8:9">
      <c r="H8465" s="2"/>
      <c r="I8465" s="2"/>
    </row>
    <row r="8466" spans="8:9">
      <c r="H8466" s="2"/>
      <c r="I8466" s="2"/>
    </row>
    <row r="8467" spans="8:9">
      <c r="H8467" s="2"/>
      <c r="I8467" s="2"/>
    </row>
    <row r="8468" spans="8:9">
      <c r="H8468" s="2"/>
      <c r="I8468" s="2"/>
    </row>
    <row r="8469" spans="8:9">
      <c r="H8469" s="2"/>
      <c r="I8469" s="2"/>
    </row>
    <row r="8470" spans="8:9">
      <c r="H8470" s="2"/>
      <c r="I8470" s="2"/>
    </row>
    <row r="8471" spans="8:9">
      <c r="H8471" s="2"/>
      <c r="I8471" s="2"/>
    </row>
    <row r="8472" spans="8:9">
      <c r="H8472" s="2"/>
      <c r="I8472" s="2"/>
    </row>
    <row r="8473" spans="8:9">
      <c r="H8473" s="2"/>
      <c r="I8473" s="2"/>
    </row>
    <row r="8474" spans="8:9">
      <c r="H8474" s="2"/>
      <c r="I8474" s="2"/>
    </row>
    <row r="8475" spans="8:9">
      <c r="H8475" s="2"/>
      <c r="I8475" s="2"/>
    </row>
    <row r="8476" spans="8:9">
      <c r="H8476" s="2"/>
      <c r="I8476" s="2"/>
    </row>
    <row r="8477" spans="8:9">
      <c r="H8477" s="2"/>
      <c r="I8477" s="2"/>
    </row>
    <row r="8478" spans="8:9">
      <c r="H8478" s="2"/>
      <c r="I8478" s="2"/>
    </row>
    <row r="8479" spans="8:9">
      <c r="H8479" s="2"/>
      <c r="I8479" s="2"/>
    </row>
    <row r="8480" spans="8:9">
      <c r="H8480" s="2"/>
      <c r="I8480" s="2"/>
    </row>
    <row r="8481" spans="8:9">
      <c r="H8481" s="2"/>
      <c r="I8481" s="2"/>
    </row>
    <row r="8482" spans="8:9">
      <c r="H8482" s="2"/>
      <c r="I8482" s="2"/>
    </row>
    <row r="8483" spans="8:9">
      <c r="H8483" s="2"/>
      <c r="I8483" s="2"/>
    </row>
    <row r="8484" spans="8:9">
      <c r="H8484" s="2"/>
      <c r="I8484" s="2"/>
    </row>
    <row r="8485" spans="8:9">
      <c r="H8485" s="2"/>
      <c r="I8485" s="2"/>
    </row>
    <row r="8486" spans="8:9">
      <c r="H8486" s="2"/>
      <c r="I8486" s="2"/>
    </row>
    <row r="8487" spans="8:9">
      <c r="H8487" s="2"/>
      <c r="I8487" s="2"/>
    </row>
    <row r="8488" spans="8:9">
      <c r="H8488" s="2"/>
      <c r="I8488" s="2"/>
    </row>
    <row r="8489" spans="8:9">
      <c r="H8489" s="2"/>
      <c r="I8489" s="2"/>
    </row>
    <row r="8490" spans="8:9">
      <c r="H8490" s="2"/>
      <c r="I8490" s="2"/>
    </row>
    <row r="8491" spans="8:9">
      <c r="H8491" s="2"/>
      <c r="I8491" s="2"/>
    </row>
    <row r="8492" spans="8:9">
      <c r="H8492" s="2"/>
      <c r="I8492" s="2"/>
    </row>
    <row r="8493" spans="8:9">
      <c r="H8493" s="2"/>
      <c r="I8493" s="2"/>
    </row>
    <row r="8494" spans="8:9">
      <c r="H8494" s="2"/>
      <c r="I8494" s="2"/>
    </row>
    <row r="8495" spans="8:9">
      <c r="H8495" s="2"/>
      <c r="I8495" s="2"/>
    </row>
    <row r="8496" spans="8:9">
      <c r="H8496" s="2"/>
      <c r="I8496" s="2"/>
    </row>
    <row r="8497" spans="8:9">
      <c r="H8497" s="2"/>
      <c r="I8497" s="2"/>
    </row>
    <row r="8498" spans="8:9">
      <c r="H8498" s="2"/>
      <c r="I8498" s="2"/>
    </row>
    <row r="8499" spans="8:9">
      <c r="H8499" s="2"/>
      <c r="I8499" s="2"/>
    </row>
    <row r="8500" spans="8:9">
      <c r="H8500" s="2"/>
      <c r="I8500" s="2"/>
    </row>
    <row r="8501" spans="8:9">
      <c r="H8501" s="2"/>
      <c r="I8501" s="2"/>
    </row>
    <row r="8502" spans="8:9">
      <c r="H8502" s="2"/>
      <c r="I8502" s="2"/>
    </row>
    <row r="8503" spans="8:9">
      <c r="H8503" s="2"/>
      <c r="I8503" s="2"/>
    </row>
    <row r="8504" spans="8:9">
      <c r="H8504" s="2"/>
      <c r="I8504" s="2"/>
    </row>
    <row r="8505" spans="8:9">
      <c r="H8505" s="2"/>
      <c r="I8505" s="2"/>
    </row>
    <row r="8506" spans="8:9">
      <c r="H8506" s="2"/>
      <c r="I8506" s="2"/>
    </row>
    <row r="8507" spans="8:9">
      <c r="H8507" s="2"/>
      <c r="I8507" s="2"/>
    </row>
    <row r="8508" spans="8:9">
      <c r="H8508" s="2"/>
      <c r="I8508" s="2"/>
    </row>
    <row r="8509" spans="8:9">
      <c r="H8509" s="2"/>
      <c r="I8509" s="2"/>
    </row>
    <row r="8510" spans="8:9">
      <c r="H8510" s="2"/>
      <c r="I8510" s="2"/>
    </row>
    <row r="8511" spans="8:9">
      <c r="H8511" s="2"/>
      <c r="I8511" s="2"/>
    </row>
    <row r="8512" spans="8:9">
      <c r="H8512" s="2"/>
      <c r="I8512" s="2"/>
    </row>
    <row r="8513" spans="8:9">
      <c r="H8513" s="2"/>
      <c r="I8513" s="2"/>
    </row>
    <row r="8514" spans="8:9">
      <c r="H8514" s="2"/>
      <c r="I8514" s="2"/>
    </row>
    <row r="8515" spans="8:9">
      <c r="H8515" s="2"/>
      <c r="I8515" s="2"/>
    </row>
    <row r="8516" spans="8:9">
      <c r="H8516" s="2"/>
      <c r="I8516" s="2"/>
    </row>
    <row r="8517" spans="8:9">
      <c r="H8517" s="2"/>
      <c r="I8517" s="2"/>
    </row>
    <row r="8518" spans="8:9">
      <c r="H8518" s="2"/>
      <c r="I8518" s="2"/>
    </row>
    <row r="8519" spans="8:9">
      <c r="H8519" s="2"/>
      <c r="I8519" s="2"/>
    </row>
    <row r="8520" spans="8:9">
      <c r="H8520" s="2"/>
      <c r="I8520" s="2"/>
    </row>
    <row r="8521" spans="8:9">
      <c r="H8521" s="2"/>
      <c r="I8521" s="2"/>
    </row>
    <row r="8522" spans="8:9">
      <c r="H8522" s="2"/>
      <c r="I8522" s="2"/>
    </row>
    <row r="8523" spans="8:9">
      <c r="H8523" s="2"/>
      <c r="I8523" s="2"/>
    </row>
    <row r="8524" spans="8:9">
      <c r="H8524" s="2"/>
      <c r="I8524" s="2"/>
    </row>
    <row r="8525" spans="8:9">
      <c r="H8525" s="2"/>
      <c r="I8525" s="2"/>
    </row>
    <row r="8526" spans="8:9">
      <c r="H8526" s="2"/>
      <c r="I8526" s="2"/>
    </row>
    <row r="8527" spans="8:9">
      <c r="H8527" s="2"/>
      <c r="I8527" s="2"/>
    </row>
    <row r="8528" spans="8:9">
      <c r="H8528" s="2"/>
      <c r="I8528" s="2"/>
    </row>
    <row r="8529" spans="8:9">
      <c r="H8529" s="2"/>
      <c r="I8529" s="2"/>
    </row>
    <row r="8530" spans="8:9">
      <c r="H8530" s="2"/>
      <c r="I8530" s="2"/>
    </row>
    <row r="8531" spans="8:9">
      <c r="H8531" s="2"/>
      <c r="I8531" s="2"/>
    </row>
    <row r="8532" spans="8:9">
      <c r="H8532" s="2"/>
      <c r="I8532" s="2"/>
    </row>
    <row r="8533" spans="8:9">
      <c r="H8533" s="2"/>
      <c r="I8533" s="2"/>
    </row>
    <row r="8534" spans="8:9">
      <c r="H8534" s="2"/>
      <c r="I8534" s="2"/>
    </row>
    <row r="8535" spans="8:9">
      <c r="H8535" s="2"/>
      <c r="I8535" s="2"/>
    </row>
    <row r="8536" spans="8:9">
      <c r="H8536" s="2"/>
      <c r="I8536" s="2"/>
    </row>
    <row r="8537" spans="8:9">
      <c r="H8537" s="2"/>
      <c r="I8537" s="2"/>
    </row>
    <row r="8538" spans="8:9">
      <c r="H8538" s="2"/>
      <c r="I8538" s="2"/>
    </row>
    <row r="8539" spans="8:9">
      <c r="H8539" s="2"/>
      <c r="I8539" s="2"/>
    </row>
    <row r="8540" spans="8:9">
      <c r="H8540" s="2"/>
      <c r="I8540" s="2"/>
    </row>
    <row r="8541" spans="8:9">
      <c r="H8541" s="2"/>
      <c r="I8541" s="2"/>
    </row>
    <row r="8542" spans="8:9">
      <c r="H8542" s="2"/>
      <c r="I8542" s="2"/>
    </row>
    <row r="8543" spans="8:9">
      <c r="H8543" s="2"/>
      <c r="I8543" s="2"/>
    </row>
    <row r="8544" spans="8:9">
      <c r="H8544" s="2"/>
      <c r="I8544" s="2"/>
    </row>
    <row r="8545" spans="8:9">
      <c r="H8545" s="2"/>
      <c r="I8545" s="2"/>
    </row>
    <row r="8546" spans="8:9">
      <c r="H8546" s="2"/>
      <c r="I8546" s="2"/>
    </row>
    <row r="8547" spans="8:9">
      <c r="H8547" s="2"/>
      <c r="I8547" s="2"/>
    </row>
    <row r="8548" spans="8:9">
      <c r="H8548" s="2"/>
      <c r="I8548" s="2"/>
    </row>
    <row r="8549" spans="8:9">
      <c r="H8549" s="2"/>
      <c r="I8549" s="2"/>
    </row>
    <row r="8550" spans="8:9">
      <c r="H8550" s="2"/>
      <c r="I8550" s="2"/>
    </row>
    <row r="8551" spans="8:9">
      <c r="H8551" s="2"/>
      <c r="I8551" s="2"/>
    </row>
    <row r="8552" spans="8:9">
      <c r="H8552" s="2"/>
      <c r="I8552" s="2"/>
    </row>
    <row r="8553" spans="8:9">
      <c r="H8553" s="2"/>
      <c r="I8553" s="2"/>
    </row>
    <row r="8554" spans="8:9">
      <c r="H8554" s="2"/>
      <c r="I8554" s="2"/>
    </row>
    <row r="8555" spans="8:9">
      <c r="H8555" s="2"/>
      <c r="I8555" s="2"/>
    </row>
    <row r="8556" spans="8:9">
      <c r="H8556" s="2"/>
      <c r="I8556" s="2"/>
    </row>
    <row r="8557" spans="8:9">
      <c r="H8557" s="2"/>
      <c r="I8557" s="2"/>
    </row>
    <row r="8558" spans="8:9">
      <c r="H8558" s="2"/>
      <c r="I8558" s="2"/>
    </row>
    <row r="8559" spans="8:9">
      <c r="H8559" s="2"/>
      <c r="I8559" s="2"/>
    </row>
    <row r="8560" spans="8:9">
      <c r="H8560" s="2"/>
      <c r="I8560" s="2"/>
    </row>
    <row r="8561" spans="8:9">
      <c r="H8561" s="2"/>
      <c r="I8561" s="2"/>
    </row>
    <row r="8562" spans="8:9">
      <c r="H8562" s="2"/>
      <c r="I8562" s="2"/>
    </row>
    <row r="8563" spans="8:9">
      <c r="H8563" s="2"/>
      <c r="I8563" s="2"/>
    </row>
    <row r="8564" spans="8:9">
      <c r="H8564" s="2"/>
      <c r="I8564" s="2"/>
    </row>
    <row r="8565" spans="8:9">
      <c r="H8565" s="2"/>
      <c r="I8565" s="2"/>
    </row>
    <row r="8566" spans="8:9">
      <c r="H8566" s="2"/>
      <c r="I8566" s="2"/>
    </row>
    <row r="8567" spans="8:9">
      <c r="H8567" s="2"/>
      <c r="I8567" s="2"/>
    </row>
    <row r="8568" spans="8:9">
      <c r="H8568" s="2"/>
      <c r="I8568" s="2"/>
    </row>
    <row r="8569" spans="8:9">
      <c r="H8569" s="2"/>
      <c r="I8569" s="2"/>
    </row>
    <row r="8570" spans="8:9">
      <c r="H8570" s="2"/>
      <c r="I8570" s="2"/>
    </row>
    <row r="8571" spans="8:9">
      <c r="H8571" s="2"/>
      <c r="I8571" s="2"/>
    </row>
    <row r="8572" spans="8:9">
      <c r="H8572" s="2"/>
      <c r="I8572" s="2"/>
    </row>
    <row r="8573" spans="8:9">
      <c r="H8573" s="2"/>
      <c r="I8573" s="2"/>
    </row>
    <row r="8574" spans="8:9">
      <c r="H8574" s="2"/>
      <c r="I8574" s="2"/>
    </row>
    <row r="8575" spans="8:9">
      <c r="H8575" s="2"/>
      <c r="I8575" s="2"/>
    </row>
    <row r="8576" spans="8:9">
      <c r="H8576" s="2"/>
      <c r="I8576" s="2"/>
    </row>
    <row r="8577" spans="8:9">
      <c r="H8577" s="2"/>
      <c r="I8577" s="2"/>
    </row>
    <row r="8578" spans="8:9">
      <c r="H8578" s="2"/>
      <c r="I8578" s="2"/>
    </row>
    <row r="8579" spans="8:9">
      <c r="H8579" s="2"/>
      <c r="I8579" s="2"/>
    </row>
    <row r="8580" spans="8:9">
      <c r="H8580" s="2"/>
      <c r="I8580" s="2"/>
    </row>
    <row r="8581" spans="8:9">
      <c r="H8581" s="2"/>
      <c r="I8581" s="2"/>
    </row>
    <row r="8582" spans="8:9">
      <c r="H8582" s="2"/>
      <c r="I8582" s="2"/>
    </row>
    <row r="8583" spans="8:9">
      <c r="H8583" s="2"/>
      <c r="I8583" s="2"/>
    </row>
    <row r="8584" spans="8:9">
      <c r="H8584" s="2"/>
      <c r="I8584" s="2"/>
    </row>
    <row r="8585" spans="8:9">
      <c r="H8585" s="2"/>
      <c r="I8585" s="2"/>
    </row>
    <row r="8586" spans="8:9">
      <c r="H8586" s="2"/>
      <c r="I8586" s="2"/>
    </row>
    <row r="8587" spans="8:9">
      <c r="H8587" s="2"/>
      <c r="I8587" s="2"/>
    </row>
    <row r="8588" spans="8:9">
      <c r="H8588" s="2"/>
      <c r="I8588" s="2"/>
    </row>
    <row r="8589" spans="8:9">
      <c r="H8589" s="2"/>
      <c r="I8589" s="2"/>
    </row>
    <row r="8590" spans="8:9">
      <c r="H8590" s="2"/>
      <c r="I8590" s="2"/>
    </row>
    <row r="8591" spans="8:9">
      <c r="H8591" s="2"/>
      <c r="I8591" s="2"/>
    </row>
    <row r="8592" spans="8:9">
      <c r="H8592" s="2"/>
      <c r="I8592" s="2"/>
    </row>
    <row r="8593" spans="8:9">
      <c r="H8593" s="2"/>
      <c r="I8593" s="2"/>
    </row>
    <row r="8594" spans="8:9">
      <c r="H8594" s="2"/>
      <c r="I8594" s="2"/>
    </row>
    <row r="8595" spans="8:9">
      <c r="H8595" s="2"/>
      <c r="I8595" s="2"/>
    </row>
    <row r="8596" spans="8:9">
      <c r="H8596" s="2"/>
      <c r="I8596" s="2"/>
    </row>
    <row r="8597" spans="8:9">
      <c r="H8597" s="2"/>
      <c r="I8597" s="2"/>
    </row>
    <row r="8598" spans="8:9">
      <c r="H8598" s="2"/>
      <c r="I8598" s="2"/>
    </row>
    <row r="8599" spans="8:9">
      <c r="H8599" s="2"/>
      <c r="I8599" s="2"/>
    </row>
    <row r="8600" spans="8:9">
      <c r="H8600" s="2"/>
      <c r="I8600" s="2"/>
    </row>
    <row r="8601" spans="8:9">
      <c r="H8601" s="2"/>
      <c r="I8601" s="2"/>
    </row>
    <row r="8602" spans="8:9">
      <c r="H8602" s="2"/>
      <c r="I8602" s="2"/>
    </row>
    <row r="8603" spans="8:9">
      <c r="H8603" s="2"/>
      <c r="I8603" s="2"/>
    </row>
    <row r="8604" spans="8:9">
      <c r="H8604" s="2"/>
      <c r="I8604" s="2"/>
    </row>
    <row r="8605" spans="8:9">
      <c r="H8605" s="2"/>
      <c r="I8605" s="2"/>
    </row>
    <row r="8606" spans="8:9">
      <c r="H8606" s="2"/>
      <c r="I8606" s="2"/>
    </row>
    <row r="8607" spans="8:9">
      <c r="H8607" s="2"/>
      <c r="I8607" s="2"/>
    </row>
    <row r="8608" spans="8:9">
      <c r="H8608" s="2"/>
      <c r="I8608" s="2"/>
    </row>
    <row r="8609" spans="8:9">
      <c r="H8609" s="2"/>
      <c r="I8609" s="2"/>
    </row>
    <row r="8610" spans="8:9">
      <c r="H8610" s="2"/>
      <c r="I8610" s="2"/>
    </row>
    <row r="8611" spans="8:9">
      <c r="H8611" s="2"/>
      <c r="I8611" s="2"/>
    </row>
    <row r="8612" spans="8:9">
      <c r="H8612" s="2"/>
      <c r="I8612" s="2"/>
    </row>
    <row r="8613" spans="8:9">
      <c r="H8613" s="2"/>
      <c r="I8613" s="2"/>
    </row>
    <row r="8614" spans="8:9">
      <c r="H8614" s="2"/>
      <c r="I8614" s="2"/>
    </row>
    <row r="8615" spans="8:9">
      <c r="H8615" s="2"/>
      <c r="I8615" s="2"/>
    </row>
    <row r="8616" spans="8:9">
      <c r="H8616" s="2"/>
      <c r="I8616" s="2"/>
    </row>
    <row r="8617" spans="8:9">
      <c r="H8617" s="2"/>
      <c r="I8617" s="2"/>
    </row>
    <row r="8618" spans="8:9">
      <c r="H8618" s="2"/>
      <c r="I8618" s="2"/>
    </row>
    <row r="8619" spans="8:9">
      <c r="H8619" s="2"/>
      <c r="I8619" s="2"/>
    </row>
    <row r="8620" spans="8:9">
      <c r="H8620" s="2"/>
      <c r="I8620" s="2"/>
    </row>
    <row r="8621" spans="8:9">
      <c r="H8621" s="2"/>
      <c r="I8621" s="2"/>
    </row>
    <row r="8622" spans="8:9">
      <c r="H8622" s="2"/>
      <c r="I8622" s="2"/>
    </row>
    <row r="8623" spans="8:9">
      <c r="H8623" s="2"/>
      <c r="I8623" s="2"/>
    </row>
    <row r="8624" spans="8:9">
      <c r="H8624" s="2"/>
      <c r="I8624" s="2"/>
    </row>
    <row r="8625" spans="8:9">
      <c r="H8625" s="2"/>
      <c r="I8625" s="2"/>
    </row>
    <row r="8626" spans="8:9">
      <c r="H8626" s="2"/>
      <c r="I8626" s="2"/>
    </row>
    <row r="8627" spans="8:9">
      <c r="H8627" s="2"/>
      <c r="I8627" s="2"/>
    </row>
    <row r="8628" spans="8:9">
      <c r="H8628" s="2"/>
      <c r="I8628" s="2"/>
    </row>
    <row r="8629" spans="8:9">
      <c r="H8629" s="2"/>
      <c r="I8629" s="2"/>
    </row>
    <row r="8630" spans="8:9">
      <c r="H8630" s="2"/>
      <c r="I8630" s="2"/>
    </row>
    <row r="8631" spans="8:9">
      <c r="H8631" s="2"/>
      <c r="I8631" s="2"/>
    </row>
    <row r="8632" spans="8:9">
      <c r="H8632" s="2"/>
      <c r="I8632" s="2"/>
    </row>
    <row r="8633" spans="8:9">
      <c r="H8633" s="2"/>
      <c r="I8633" s="2"/>
    </row>
    <row r="8634" spans="8:9">
      <c r="H8634" s="2"/>
      <c r="I8634" s="2"/>
    </row>
    <row r="8635" spans="8:9">
      <c r="H8635" s="2"/>
      <c r="I8635" s="2"/>
    </row>
    <row r="8636" spans="8:9">
      <c r="H8636" s="2"/>
      <c r="I8636" s="2"/>
    </row>
    <row r="8637" spans="8:9">
      <c r="H8637" s="2"/>
      <c r="I8637" s="2"/>
    </row>
    <row r="8638" spans="8:9">
      <c r="H8638" s="2"/>
      <c r="I8638" s="2"/>
    </row>
    <row r="8639" spans="8:9">
      <c r="H8639" s="2"/>
      <c r="I8639" s="2"/>
    </row>
    <row r="8640" spans="8:9">
      <c r="H8640" s="2"/>
      <c r="I8640" s="2"/>
    </row>
    <row r="8641" spans="8:9">
      <c r="H8641" s="2"/>
      <c r="I8641" s="2"/>
    </row>
    <row r="8642" spans="8:9">
      <c r="H8642" s="2"/>
      <c r="I8642" s="2"/>
    </row>
    <row r="8643" spans="8:9">
      <c r="H8643" s="2"/>
      <c r="I8643" s="2"/>
    </row>
    <row r="8644" spans="8:9">
      <c r="H8644" s="2"/>
      <c r="I8644" s="2"/>
    </row>
    <row r="8645" spans="8:9">
      <c r="H8645" s="2"/>
      <c r="I8645" s="2"/>
    </row>
    <row r="8646" spans="8:9">
      <c r="H8646" s="2"/>
      <c r="I8646" s="2"/>
    </row>
    <row r="8647" spans="8:9">
      <c r="H8647" s="2"/>
      <c r="I8647" s="2"/>
    </row>
    <row r="8648" spans="8:9">
      <c r="H8648" s="2"/>
      <c r="I8648" s="2"/>
    </row>
    <row r="8649" spans="8:9">
      <c r="H8649" s="2"/>
      <c r="I8649" s="2"/>
    </row>
    <row r="8650" spans="8:9">
      <c r="H8650" s="2"/>
      <c r="I8650" s="2"/>
    </row>
    <row r="8651" spans="8:9">
      <c r="H8651" s="2"/>
      <c r="I8651" s="2"/>
    </row>
    <row r="8652" spans="8:9">
      <c r="H8652" s="2"/>
      <c r="I8652" s="2"/>
    </row>
    <row r="8653" spans="8:9">
      <c r="H8653" s="2"/>
      <c r="I8653" s="2"/>
    </row>
    <row r="8654" spans="8:9">
      <c r="H8654" s="2"/>
      <c r="I8654" s="2"/>
    </row>
    <row r="8655" spans="8:9">
      <c r="H8655" s="2"/>
      <c r="I8655" s="2"/>
    </row>
    <row r="8656" spans="8:9">
      <c r="H8656" s="2"/>
      <c r="I8656" s="2"/>
    </row>
    <row r="8657" spans="8:9">
      <c r="H8657" s="2"/>
      <c r="I8657" s="2"/>
    </row>
    <row r="8658" spans="8:9">
      <c r="H8658" s="2"/>
      <c r="I8658" s="2"/>
    </row>
    <row r="8659" spans="8:9">
      <c r="H8659" s="2"/>
      <c r="I8659" s="2"/>
    </row>
    <row r="8660" spans="8:9">
      <c r="H8660" s="2"/>
      <c r="I8660" s="2"/>
    </row>
    <row r="8661" spans="8:9">
      <c r="H8661" s="2"/>
      <c r="I8661" s="2"/>
    </row>
    <row r="8662" spans="8:9">
      <c r="H8662" s="2"/>
      <c r="I8662" s="2"/>
    </row>
    <row r="8663" spans="8:9">
      <c r="H8663" s="2"/>
      <c r="I8663" s="2"/>
    </row>
    <row r="8664" spans="8:9">
      <c r="H8664" s="2"/>
      <c r="I8664" s="2"/>
    </row>
    <row r="8665" spans="8:9">
      <c r="H8665" s="2"/>
      <c r="I8665" s="2"/>
    </row>
    <row r="8666" spans="8:9">
      <c r="H8666" s="2"/>
      <c r="I8666" s="2"/>
    </row>
    <row r="8667" spans="8:9">
      <c r="H8667" s="2"/>
      <c r="I8667" s="2"/>
    </row>
    <row r="8668" spans="8:9">
      <c r="H8668" s="2"/>
      <c r="I8668" s="2"/>
    </row>
    <row r="8669" spans="8:9">
      <c r="H8669" s="2"/>
      <c r="I8669" s="2"/>
    </row>
    <row r="8670" spans="8:9">
      <c r="H8670" s="2"/>
      <c r="I8670" s="2"/>
    </row>
    <row r="8671" spans="8:9">
      <c r="H8671" s="2"/>
      <c r="I8671" s="2"/>
    </row>
    <row r="8672" spans="8:9">
      <c r="H8672" s="2"/>
      <c r="I8672" s="2"/>
    </row>
    <row r="8673" spans="8:9">
      <c r="H8673" s="2"/>
      <c r="I8673" s="2"/>
    </row>
    <row r="8674" spans="8:9">
      <c r="H8674" s="2"/>
      <c r="I8674" s="2"/>
    </row>
    <row r="8675" spans="8:9">
      <c r="H8675" s="2"/>
      <c r="I8675" s="2"/>
    </row>
    <row r="8676" spans="8:9">
      <c r="H8676" s="2"/>
      <c r="I8676" s="2"/>
    </row>
    <row r="8677" spans="8:9">
      <c r="H8677" s="2"/>
      <c r="I8677" s="2"/>
    </row>
    <row r="8678" spans="8:9">
      <c r="H8678" s="2"/>
      <c r="I8678" s="2"/>
    </row>
    <row r="8679" spans="8:9">
      <c r="H8679" s="2"/>
      <c r="I8679" s="2"/>
    </row>
    <row r="8680" spans="8:9">
      <c r="H8680" s="2"/>
      <c r="I8680" s="2"/>
    </row>
    <row r="8681" spans="8:9">
      <c r="H8681" s="2"/>
      <c r="I8681" s="2"/>
    </row>
    <row r="8682" spans="8:9">
      <c r="H8682" s="2"/>
      <c r="I8682" s="2"/>
    </row>
    <row r="8683" spans="8:9">
      <c r="H8683" s="2"/>
      <c r="I8683" s="2"/>
    </row>
    <row r="8684" spans="8:9">
      <c r="H8684" s="2"/>
      <c r="I8684" s="2"/>
    </row>
    <row r="8685" spans="8:9">
      <c r="H8685" s="2"/>
      <c r="I8685" s="2"/>
    </row>
    <row r="8686" spans="8:9">
      <c r="H8686" s="2"/>
      <c r="I8686" s="2"/>
    </row>
    <row r="8687" spans="8:9">
      <c r="H8687" s="2"/>
      <c r="I8687" s="2"/>
    </row>
    <row r="8688" spans="8:9">
      <c r="H8688" s="2"/>
      <c r="I8688" s="2"/>
    </row>
    <row r="8689" spans="8:9">
      <c r="H8689" s="2"/>
      <c r="I8689" s="2"/>
    </row>
    <row r="8690" spans="8:9">
      <c r="H8690" s="2"/>
      <c r="I8690" s="2"/>
    </row>
    <row r="8691" spans="8:9">
      <c r="H8691" s="2"/>
      <c r="I8691" s="2"/>
    </row>
    <row r="8692" spans="8:9">
      <c r="H8692" s="2"/>
      <c r="I8692" s="2"/>
    </row>
    <row r="8693" spans="8:9">
      <c r="H8693" s="2"/>
      <c r="I8693" s="2"/>
    </row>
    <row r="8694" spans="8:9">
      <c r="H8694" s="2"/>
      <c r="I8694" s="2"/>
    </row>
    <row r="8695" spans="8:9">
      <c r="H8695" s="2"/>
      <c r="I8695" s="2"/>
    </row>
    <row r="8696" spans="8:9">
      <c r="H8696" s="2"/>
      <c r="I8696" s="2"/>
    </row>
    <row r="8697" spans="8:9">
      <c r="H8697" s="2"/>
      <c r="I8697" s="2"/>
    </row>
    <row r="8698" spans="8:9">
      <c r="H8698" s="2"/>
      <c r="I8698" s="2"/>
    </row>
    <row r="8699" spans="8:9">
      <c r="H8699" s="2"/>
      <c r="I8699" s="2"/>
    </row>
    <row r="8700" spans="8:9">
      <c r="H8700" s="2"/>
      <c r="I8700" s="2"/>
    </row>
    <row r="8701" spans="8:9">
      <c r="H8701" s="2"/>
      <c r="I8701" s="2"/>
    </row>
    <row r="8702" spans="8:9">
      <c r="H8702" s="2"/>
      <c r="I8702" s="2"/>
    </row>
    <row r="8703" spans="8:9">
      <c r="H8703" s="2"/>
      <c r="I8703" s="2"/>
    </row>
    <row r="8704" spans="8:9">
      <c r="H8704" s="2"/>
      <c r="I8704" s="2"/>
    </row>
    <row r="8705" spans="8:9">
      <c r="H8705" s="2"/>
      <c r="I8705" s="2"/>
    </row>
    <row r="8706" spans="8:9">
      <c r="H8706" s="2"/>
      <c r="I8706" s="2"/>
    </row>
    <row r="8707" spans="8:9">
      <c r="H8707" s="2"/>
      <c r="I8707" s="2"/>
    </row>
    <row r="8708" spans="8:9">
      <c r="H8708" s="2"/>
      <c r="I8708" s="2"/>
    </row>
    <row r="8709" spans="8:9">
      <c r="H8709" s="2"/>
      <c r="I8709" s="2"/>
    </row>
    <row r="8710" spans="8:9">
      <c r="H8710" s="2"/>
      <c r="I8710" s="2"/>
    </row>
    <row r="8711" spans="8:9">
      <c r="H8711" s="2"/>
      <c r="I8711" s="2"/>
    </row>
    <row r="8712" spans="8:9">
      <c r="H8712" s="2"/>
      <c r="I8712" s="2"/>
    </row>
    <row r="8713" spans="8:9">
      <c r="H8713" s="2"/>
      <c r="I8713" s="2"/>
    </row>
    <row r="8714" spans="8:9">
      <c r="H8714" s="2"/>
      <c r="I8714" s="2"/>
    </row>
    <row r="8715" spans="8:9">
      <c r="H8715" s="2"/>
      <c r="I8715" s="2"/>
    </row>
    <row r="8716" spans="8:9">
      <c r="H8716" s="2"/>
      <c r="I8716" s="2"/>
    </row>
    <row r="8717" spans="8:9">
      <c r="H8717" s="2"/>
      <c r="I8717" s="2"/>
    </row>
    <row r="8718" spans="8:9">
      <c r="H8718" s="2"/>
      <c r="I8718" s="2"/>
    </row>
    <row r="8719" spans="8:9">
      <c r="H8719" s="2"/>
      <c r="I8719" s="2"/>
    </row>
    <row r="8720" spans="8:9">
      <c r="H8720" s="2"/>
      <c r="I8720" s="2"/>
    </row>
    <row r="8721" spans="8:9">
      <c r="H8721" s="2"/>
      <c r="I8721" s="2"/>
    </row>
    <row r="8722" spans="8:9">
      <c r="H8722" s="2"/>
      <c r="I8722" s="2"/>
    </row>
    <row r="8723" spans="8:9">
      <c r="H8723" s="2"/>
      <c r="I8723" s="2"/>
    </row>
    <row r="8724" spans="8:9">
      <c r="H8724" s="2"/>
      <c r="I8724" s="2"/>
    </row>
    <row r="8725" spans="8:9">
      <c r="H8725" s="2"/>
      <c r="I8725" s="2"/>
    </row>
    <row r="8726" spans="8:9">
      <c r="H8726" s="2"/>
      <c r="I8726" s="2"/>
    </row>
    <row r="8727" spans="8:9">
      <c r="H8727" s="2"/>
      <c r="I8727" s="2"/>
    </row>
    <row r="8728" spans="8:9">
      <c r="H8728" s="2"/>
      <c r="I8728" s="2"/>
    </row>
    <row r="8729" spans="8:9">
      <c r="H8729" s="2"/>
      <c r="I8729" s="2"/>
    </row>
    <row r="8730" spans="8:9">
      <c r="H8730" s="2"/>
      <c r="I8730" s="2"/>
    </row>
    <row r="8731" spans="8:9">
      <c r="H8731" s="2"/>
      <c r="I8731" s="2"/>
    </row>
    <row r="8732" spans="8:9">
      <c r="H8732" s="2"/>
      <c r="I8732" s="2"/>
    </row>
    <row r="8733" spans="8:9">
      <c r="H8733" s="2"/>
      <c r="I8733" s="2"/>
    </row>
    <row r="8734" spans="8:9">
      <c r="H8734" s="2"/>
      <c r="I8734" s="2"/>
    </row>
    <row r="8735" spans="8:9">
      <c r="H8735" s="2"/>
      <c r="I8735" s="2"/>
    </row>
    <row r="8736" spans="8:9">
      <c r="H8736" s="2"/>
      <c r="I8736" s="2"/>
    </row>
    <row r="8737" spans="8:9">
      <c r="H8737" s="2"/>
      <c r="I8737" s="2"/>
    </row>
    <row r="8738" spans="8:9">
      <c r="H8738" s="2"/>
      <c r="I8738" s="2"/>
    </row>
    <row r="8739" spans="8:9">
      <c r="H8739" s="2"/>
      <c r="I8739" s="2"/>
    </row>
    <row r="8740" spans="8:9">
      <c r="H8740" s="2"/>
      <c r="I8740" s="2"/>
    </row>
    <row r="8741" spans="8:9">
      <c r="H8741" s="2"/>
      <c r="I8741" s="2"/>
    </row>
    <row r="8742" spans="8:9">
      <c r="H8742" s="2"/>
      <c r="I8742" s="2"/>
    </row>
    <row r="8743" spans="8:9">
      <c r="H8743" s="2"/>
      <c r="I8743" s="2"/>
    </row>
    <row r="8744" spans="8:9">
      <c r="H8744" s="2"/>
      <c r="I8744" s="2"/>
    </row>
    <row r="8745" spans="8:9">
      <c r="H8745" s="2"/>
      <c r="I8745" s="2"/>
    </row>
    <row r="8746" spans="8:9">
      <c r="H8746" s="2"/>
      <c r="I8746" s="2"/>
    </row>
    <row r="8747" spans="8:9">
      <c r="H8747" s="2"/>
      <c r="I8747" s="2"/>
    </row>
    <row r="8748" spans="8:9">
      <c r="H8748" s="2"/>
      <c r="I8748" s="2"/>
    </row>
    <row r="8749" spans="8:9">
      <c r="H8749" s="2"/>
      <c r="I8749" s="2"/>
    </row>
    <row r="8750" spans="8:9">
      <c r="H8750" s="2"/>
      <c r="I8750" s="2"/>
    </row>
    <row r="8751" spans="8:9">
      <c r="H8751" s="2"/>
      <c r="I8751" s="2"/>
    </row>
    <row r="8752" spans="8:9">
      <c r="H8752" s="2"/>
      <c r="I8752" s="2"/>
    </row>
    <row r="8753" spans="8:9">
      <c r="H8753" s="2"/>
      <c r="I8753" s="2"/>
    </row>
    <row r="8754" spans="8:9">
      <c r="H8754" s="2"/>
      <c r="I8754" s="2"/>
    </row>
    <row r="8755" spans="8:9">
      <c r="H8755" s="2"/>
      <c r="I8755" s="2"/>
    </row>
    <row r="8756" spans="8:9">
      <c r="H8756" s="2"/>
      <c r="I8756" s="2"/>
    </row>
    <row r="8757" spans="8:9">
      <c r="H8757" s="2"/>
      <c r="I8757" s="2"/>
    </row>
    <row r="8758" spans="8:9">
      <c r="H8758" s="2"/>
      <c r="I8758" s="2"/>
    </row>
    <row r="8759" spans="8:9">
      <c r="H8759" s="2"/>
      <c r="I8759" s="2"/>
    </row>
    <row r="8760" spans="8:9">
      <c r="H8760" s="2"/>
      <c r="I8760" s="2"/>
    </row>
    <row r="8761" spans="8:9">
      <c r="H8761" s="2"/>
      <c r="I8761" s="2"/>
    </row>
    <row r="8762" spans="8:9">
      <c r="H8762" s="2"/>
      <c r="I8762" s="2"/>
    </row>
    <row r="8763" spans="8:9">
      <c r="H8763" s="2"/>
      <c r="I8763" s="2"/>
    </row>
    <row r="8764" spans="8:9">
      <c r="H8764" s="2"/>
      <c r="I8764" s="2"/>
    </row>
    <row r="8765" spans="8:9">
      <c r="H8765" s="2"/>
      <c r="I8765" s="2"/>
    </row>
    <row r="8766" spans="8:9">
      <c r="H8766" s="2"/>
      <c r="I8766" s="2"/>
    </row>
    <row r="8767" spans="8:9">
      <c r="H8767" s="2"/>
      <c r="I8767" s="2"/>
    </row>
    <row r="8768" spans="8:9">
      <c r="H8768" s="2"/>
      <c r="I8768" s="2"/>
    </row>
    <row r="8769" spans="8:9">
      <c r="H8769" s="2"/>
      <c r="I8769" s="2"/>
    </row>
    <row r="8770" spans="8:9">
      <c r="H8770" s="2"/>
      <c r="I8770" s="2"/>
    </row>
    <row r="8771" spans="8:9">
      <c r="H8771" s="2"/>
      <c r="I8771" s="2"/>
    </row>
    <row r="8772" spans="8:9">
      <c r="H8772" s="2"/>
      <c r="I8772" s="2"/>
    </row>
    <row r="8773" spans="8:9">
      <c r="H8773" s="2"/>
      <c r="I8773" s="2"/>
    </row>
    <row r="8774" spans="8:9">
      <c r="H8774" s="2"/>
      <c r="I8774" s="2"/>
    </row>
    <row r="8775" spans="8:9">
      <c r="H8775" s="2"/>
      <c r="I8775" s="2"/>
    </row>
    <row r="8776" spans="8:9">
      <c r="H8776" s="2"/>
      <c r="I8776" s="2"/>
    </row>
    <row r="8777" spans="8:9">
      <c r="H8777" s="2"/>
      <c r="I8777" s="2"/>
    </row>
    <row r="8778" spans="8:9">
      <c r="H8778" s="2"/>
      <c r="I8778" s="2"/>
    </row>
    <row r="8779" spans="8:9">
      <c r="H8779" s="2"/>
      <c r="I8779" s="2"/>
    </row>
    <row r="8780" spans="8:9">
      <c r="H8780" s="2"/>
      <c r="I8780" s="2"/>
    </row>
    <row r="8781" spans="8:9">
      <c r="H8781" s="2"/>
      <c r="I8781" s="2"/>
    </row>
    <row r="8782" spans="8:9">
      <c r="H8782" s="2"/>
      <c r="I8782" s="2"/>
    </row>
    <row r="8783" spans="8:9">
      <c r="H8783" s="2"/>
      <c r="I8783" s="2"/>
    </row>
    <row r="8784" spans="8:9">
      <c r="H8784" s="2"/>
      <c r="I8784" s="2"/>
    </row>
    <row r="8785" spans="8:9">
      <c r="H8785" s="2"/>
      <c r="I8785" s="2"/>
    </row>
    <row r="8786" spans="8:9">
      <c r="H8786" s="2"/>
      <c r="I8786" s="2"/>
    </row>
    <row r="8787" spans="8:9">
      <c r="H8787" s="2"/>
      <c r="I8787" s="2"/>
    </row>
    <row r="8788" spans="8:9">
      <c r="H8788" s="2"/>
      <c r="I8788" s="2"/>
    </row>
    <row r="8789" spans="8:9">
      <c r="H8789" s="2"/>
      <c r="I8789" s="2"/>
    </row>
    <row r="8790" spans="8:9">
      <c r="H8790" s="2"/>
      <c r="I8790" s="2"/>
    </row>
    <row r="8791" spans="8:9">
      <c r="H8791" s="2"/>
      <c r="I8791" s="2"/>
    </row>
    <row r="8792" spans="8:9">
      <c r="H8792" s="2"/>
      <c r="I8792" s="2"/>
    </row>
    <row r="8793" spans="8:9">
      <c r="H8793" s="2"/>
      <c r="I8793" s="2"/>
    </row>
    <row r="8794" spans="8:9">
      <c r="H8794" s="2"/>
      <c r="I8794" s="2"/>
    </row>
    <row r="8795" spans="8:9">
      <c r="H8795" s="2"/>
      <c r="I8795" s="2"/>
    </row>
    <row r="8796" spans="8:9">
      <c r="H8796" s="2"/>
      <c r="I8796" s="2"/>
    </row>
    <row r="8797" spans="8:9">
      <c r="H8797" s="2"/>
      <c r="I8797" s="2"/>
    </row>
    <row r="8798" spans="8:9">
      <c r="H8798" s="2"/>
      <c r="I8798" s="2"/>
    </row>
    <row r="8799" spans="8:9">
      <c r="H8799" s="2"/>
      <c r="I8799" s="2"/>
    </row>
    <row r="8800" spans="8:9">
      <c r="H8800" s="2"/>
      <c r="I8800" s="2"/>
    </row>
    <row r="8801" spans="8:9">
      <c r="H8801" s="2"/>
      <c r="I8801" s="2"/>
    </row>
    <row r="8802" spans="8:9">
      <c r="H8802" s="2"/>
      <c r="I8802" s="2"/>
    </row>
    <row r="8803" spans="8:9">
      <c r="H8803" s="2"/>
      <c r="I8803" s="2"/>
    </row>
    <row r="8804" spans="8:9">
      <c r="H8804" s="2"/>
      <c r="I8804" s="2"/>
    </row>
    <row r="8805" spans="8:9">
      <c r="H8805" s="2"/>
      <c r="I8805" s="2"/>
    </row>
    <row r="8806" spans="8:9">
      <c r="H8806" s="2"/>
      <c r="I8806" s="2"/>
    </row>
    <row r="8807" spans="8:9">
      <c r="H8807" s="2"/>
      <c r="I8807" s="2"/>
    </row>
    <row r="8808" spans="8:9">
      <c r="H8808" s="2"/>
      <c r="I8808" s="2"/>
    </row>
    <row r="8809" spans="8:9">
      <c r="H8809" s="2"/>
      <c r="I8809" s="2"/>
    </row>
    <row r="8810" spans="8:9">
      <c r="H8810" s="2"/>
      <c r="I8810" s="2"/>
    </row>
    <row r="8811" spans="8:9">
      <c r="H8811" s="2"/>
      <c r="I8811" s="2"/>
    </row>
    <row r="8812" spans="8:9">
      <c r="H8812" s="2"/>
      <c r="I8812" s="2"/>
    </row>
    <row r="8813" spans="8:9">
      <c r="H8813" s="2"/>
      <c r="I8813" s="2"/>
    </row>
    <row r="8814" spans="8:9">
      <c r="H8814" s="2"/>
      <c r="I8814" s="2"/>
    </row>
    <row r="8815" spans="8:9">
      <c r="H8815" s="2"/>
      <c r="I8815" s="2"/>
    </row>
    <row r="8816" spans="8:9">
      <c r="H8816" s="2"/>
      <c r="I8816" s="2"/>
    </row>
    <row r="8817" spans="8:9">
      <c r="H8817" s="2"/>
      <c r="I8817" s="2"/>
    </row>
    <row r="8818" spans="8:9">
      <c r="H8818" s="2"/>
      <c r="I8818" s="2"/>
    </row>
    <row r="8819" spans="8:9">
      <c r="H8819" s="2"/>
      <c r="I8819" s="2"/>
    </row>
    <row r="8820" spans="8:9">
      <c r="H8820" s="2"/>
      <c r="I8820" s="2"/>
    </row>
    <row r="8821" spans="8:9">
      <c r="H8821" s="2"/>
      <c r="I8821" s="2"/>
    </row>
    <row r="8822" spans="8:9">
      <c r="H8822" s="2"/>
      <c r="I8822" s="2"/>
    </row>
    <row r="8823" spans="8:9">
      <c r="H8823" s="2"/>
      <c r="I8823" s="2"/>
    </row>
    <row r="8824" spans="8:9">
      <c r="H8824" s="2"/>
      <c r="I8824" s="2"/>
    </row>
    <row r="8825" spans="8:9">
      <c r="H8825" s="2"/>
      <c r="I8825" s="2"/>
    </row>
    <row r="8826" spans="8:9">
      <c r="H8826" s="2"/>
      <c r="I8826" s="2"/>
    </row>
    <row r="8827" spans="8:9">
      <c r="H8827" s="2"/>
      <c r="I8827" s="2"/>
    </row>
    <row r="8828" spans="8:9">
      <c r="H8828" s="2"/>
      <c r="I8828" s="2"/>
    </row>
    <row r="8829" spans="8:9">
      <c r="H8829" s="2"/>
      <c r="I8829" s="2"/>
    </row>
    <row r="8830" spans="8:9">
      <c r="H8830" s="2"/>
      <c r="I8830" s="2"/>
    </row>
    <row r="8831" spans="8:9">
      <c r="H8831" s="2"/>
      <c r="I8831" s="2"/>
    </row>
    <row r="8832" spans="8:9">
      <c r="H8832" s="2"/>
      <c r="I8832" s="2"/>
    </row>
    <row r="8833" spans="8:9">
      <c r="H8833" s="2"/>
      <c r="I8833" s="2"/>
    </row>
    <row r="8834" spans="8:9">
      <c r="H8834" s="2"/>
      <c r="I8834" s="2"/>
    </row>
    <row r="8835" spans="8:9">
      <c r="H8835" s="2"/>
      <c r="I8835" s="2"/>
    </row>
    <row r="8836" spans="8:9">
      <c r="H8836" s="2"/>
      <c r="I8836" s="2"/>
    </row>
    <row r="8837" spans="8:9">
      <c r="H8837" s="2"/>
      <c r="I8837" s="2"/>
    </row>
    <row r="8838" spans="8:9">
      <c r="H8838" s="2"/>
      <c r="I8838" s="2"/>
    </row>
    <row r="8839" spans="8:9">
      <c r="H8839" s="2"/>
      <c r="I8839" s="2"/>
    </row>
    <row r="8840" spans="8:9">
      <c r="H8840" s="2"/>
      <c r="I8840" s="2"/>
    </row>
    <row r="8841" spans="8:9">
      <c r="H8841" s="2"/>
      <c r="I8841" s="2"/>
    </row>
    <row r="8842" spans="8:9">
      <c r="H8842" s="2"/>
      <c r="I8842" s="2"/>
    </row>
    <row r="8843" spans="8:9">
      <c r="H8843" s="2"/>
      <c r="I8843" s="2"/>
    </row>
    <row r="8844" spans="8:9">
      <c r="H8844" s="2"/>
      <c r="I8844" s="2"/>
    </row>
    <row r="8845" spans="8:9">
      <c r="H8845" s="2"/>
      <c r="I8845" s="2"/>
    </row>
    <row r="8846" spans="8:9">
      <c r="H8846" s="2"/>
      <c r="I8846" s="2"/>
    </row>
    <row r="8847" spans="8:9">
      <c r="H8847" s="2"/>
      <c r="I8847" s="2"/>
    </row>
    <row r="8848" spans="8:9">
      <c r="H8848" s="2"/>
      <c r="I8848" s="2"/>
    </row>
    <row r="8849" spans="8:9">
      <c r="H8849" s="2"/>
      <c r="I8849" s="2"/>
    </row>
    <row r="8850" spans="8:9">
      <c r="H8850" s="2"/>
      <c r="I8850" s="2"/>
    </row>
    <row r="8851" spans="8:9">
      <c r="H8851" s="2"/>
      <c r="I8851" s="2"/>
    </row>
    <row r="8852" spans="8:9">
      <c r="H8852" s="2"/>
      <c r="I8852" s="2"/>
    </row>
    <row r="8853" spans="8:9">
      <c r="H8853" s="2"/>
      <c r="I8853" s="2"/>
    </row>
    <row r="8854" spans="8:9">
      <c r="H8854" s="2"/>
      <c r="I8854" s="2"/>
    </row>
    <row r="8855" spans="8:9">
      <c r="H8855" s="2"/>
      <c r="I8855" s="2"/>
    </row>
    <row r="8856" spans="8:9">
      <c r="H8856" s="2"/>
      <c r="I8856" s="2"/>
    </row>
    <row r="8857" spans="8:9">
      <c r="H8857" s="2"/>
      <c r="I8857" s="2"/>
    </row>
    <row r="8858" spans="8:9">
      <c r="H8858" s="2"/>
      <c r="I8858" s="2"/>
    </row>
    <row r="8859" spans="8:9">
      <c r="H8859" s="2"/>
      <c r="I8859" s="2"/>
    </row>
    <row r="8860" spans="8:9">
      <c r="H8860" s="2"/>
      <c r="I8860" s="2"/>
    </row>
    <row r="8861" spans="8:9">
      <c r="H8861" s="2"/>
      <c r="I8861" s="2"/>
    </row>
    <row r="8862" spans="8:9">
      <c r="H8862" s="2"/>
      <c r="I8862" s="2"/>
    </row>
    <row r="8863" spans="8:9">
      <c r="H8863" s="2"/>
      <c r="I8863" s="2"/>
    </row>
    <row r="8864" spans="8:9">
      <c r="H8864" s="2"/>
      <c r="I8864" s="2"/>
    </row>
    <row r="8865" spans="8:9">
      <c r="H8865" s="2"/>
      <c r="I8865" s="2"/>
    </row>
    <row r="8866" spans="8:9">
      <c r="H8866" s="2"/>
      <c r="I8866" s="2"/>
    </row>
    <row r="8867" spans="8:9">
      <c r="H8867" s="2"/>
      <c r="I8867" s="2"/>
    </row>
    <row r="8868" spans="8:9">
      <c r="H8868" s="2"/>
      <c r="I8868" s="2"/>
    </row>
    <row r="8869" spans="8:9">
      <c r="H8869" s="2"/>
      <c r="I8869" s="2"/>
    </row>
    <row r="8870" spans="8:9">
      <c r="H8870" s="2"/>
      <c r="I8870" s="2"/>
    </row>
    <row r="8871" spans="8:9">
      <c r="H8871" s="2"/>
      <c r="I8871" s="2"/>
    </row>
    <row r="8872" spans="8:9">
      <c r="H8872" s="2"/>
      <c r="I8872" s="2"/>
    </row>
    <row r="8873" spans="8:9">
      <c r="H8873" s="2"/>
      <c r="I8873" s="2"/>
    </row>
    <row r="8874" spans="8:9">
      <c r="H8874" s="2"/>
      <c r="I8874" s="2"/>
    </row>
    <row r="8875" spans="8:9">
      <c r="H8875" s="2"/>
      <c r="I8875" s="2"/>
    </row>
    <row r="8876" spans="8:9">
      <c r="H8876" s="2"/>
      <c r="I8876" s="2"/>
    </row>
    <row r="8877" spans="8:9">
      <c r="H8877" s="2"/>
      <c r="I8877" s="2"/>
    </row>
    <row r="8878" spans="8:9">
      <c r="H8878" s="2"/>
      <c r="I8878" s="2"/>
    </row>
    <row r="8879" spans="8:9">
      <c r="H8879" s="2"/>
      <c r="I8879" s="2"/>
    </row>
    <row r="8880" spans="8:9">
      <c r="H8880" s="2"/>
      <c r="I8880" s="2"/>
    </row>
    <row r="8881" spans="8:9">
      <c r="H8881" s="2"/>
      <c r="I8881" s="2"/>
    </row>
    <row r="8882" spans="8:9">
      <c r="H8882" s="2"/>
      <c r="I8882" s="2"/>
    </row>
    <row r="8883" spans="8:9">
      <c r="H8883" s="2"/>
      <c r="I8883" s="2"/>
    </row>
    <row r="8884" spans="8:9">
      <c r="H8884" s="2"/>
      <c r="I8884" s="2"/>
    </row>
    <row r="8885" spans="8:9">
      <c r="H8885" s="2"/>
      <c r="I8885" s="2"/>
    </row>
    <row r="8886" spans="8:9">
      <c r="H8886" s="2"/>
      <c r="I8886" s="2"/>
    </row>
    <row r="8887" spans="8:9">
      <c r="H8887" s="2"/>
      <c r="I8887" s="2"/>
    </row>
    <row r="8888" spans="8:9">
      <c r="H8888" s="2"/>
      <c r="I8888" s="2"/>
    </row>
    <row r="8889" spans="8:9">
      <c r="H8889" s="2"/>
      <c r="I8889" s="2"/>
    </row>
    <row r="8890" spans="8:9">
      <c r="H8890" s="2"/>
      <c r="I8890" s="2"/>
    </row>
    <row r="8891" spans="8:9">
      <c r="H8891" s="2"/>
      <c r="I8891" s="2"/>
    </row>
    <row r="8892" spans="8:9">
      <c r="H8892" s="2"/>
      <c r="I8892" s="2"/>
    </row>
    <row r="8893" spans="8:9">
      <c r="H8893" s="2"/>
      <c r="I8893" s="2"/>
    </row>
    <row r="8894" spans="8:9">
      <c r="H8894" s="2"/>
      <c r="I8894" s="2"/>
    </row>
    <row r="8895" spans="8:9">
      <c r="H8895" s="2"/>
      <c r="I8895" s="2"/>
    </row>
    <row r="8896" spans="8:9">
      <c r="H8896" s="2"/>
      <c r="I8896" s="2"/>
    </row>
    <row r="8897" spans="8:9">
      <c r="H8897" s="2"/>
      <c r="I8897" s="2"/>
    </row>
    <row r="8898" spans="8:9">
      <c r="H8898" s="2"/>
      <c r="I8898" s="2"/>
    </row>
    <row r="8899" spans="8:9">
      <c r="H8899" s="2"/>
      <c r="I8899" s="2"/>
    </row>
    <row r="8900" spans="8:9">
      <c r="H8900" s="2"/>
      <c r="I8900" s="2"/>
    </row>
    <row r="8901" spans="8:9">
      <c r="H8901" s="2"/>
      <c r="I8901" s="2"/>
    </row>
    <row r="8902" spans="8:9">
      <c r="H8902" s="2"/>
      <c r="I8902" s="2"/>
    </row>
    <row r="8903" spans="8:9">
      <c r="H8903" s="2"/>
      <c r="I8903" s="2"/>
    </row>
    <row r="8904" spans="8:9">
      <c r="H8904" s="2"/>
      <c r="I8904" s="2"/>
    </row>
    <row r="8905" spans="8:9">
      <c r="H8905" s="2"/>
      <c r="I8905" s="2"/>
    </row>
    <row r="8906" spans="8:9">
      <c r="H8906" s="2"/>
      <c r="I8906" s="2"/>
    </row>
    <row r="8907" spans="8:9">
      <c r="H8907" s="2"/>
      <c r="I8907" s="2"/>
    </row>
    <row r="8908" spans="8:9">
      <c r="H8908" s="2"/>
      <c r="I8908" s="2"/>
    </row>
    <row r="8909" spans="8:9">
      <c r="H8909" s="2"/>
      <c r="I8909" s="2"/>
    </row>
    <row r="8910" spans="8:9">
      <c r="H8910" s="2"/>
      <c r="I8910" s="2"/>
    </row>
    <row r="8911" spans="8:9">
      <c r="H8911" s="2"/>
      <c r="I8911" s="2"/>
    </row>
    <row r="8912" spans="8:9">
      <c r="H8912" s="2"/>
      <c r="I8912" s="2"/>
    </row>
    <row r="8913" spans="8:9">
      <c r="H8913" s="2"/>
      <c r="I8913" s="2"/>
    </row>
    <row r="8914" spans="8:9">
      <c r="H8914" s="2"/>
      <c r="I8914" s="2"/>
    </row>
    <row r="8915" spans="8:9">
      <c r="H8915" s="2"/>
      <c r="I8915" s="2"/>
    </row>
    <row r="8916" spans="8:9">
      <c r="H8916" s="2"/>
      <c r="I8916" s="2"/>
    </row>
    <row r="8917" spans="8:9">
      <c r="H8917" s="2"/>
      <c r="I8917" s="2"/>
    </row>
    <row r="8918" spans="8:9">
      <c r="H8918" s="2"/>
      <c r="I8918" s="2"/>
    </row>
    <row r="8919" spans="8:9">
      <c r="H8919" s="2"/>
      <c r="I8919" s="2"/>
    </row>
    <row r="8920" spans="8:9">
      <c r="H8920" s="2"/>
      <c r="I8920" s="2"/>
    </row>
    <row r="8921" spans="8:9">
      <c r="H8921" s="2"/>
      <c r="I8921" s="2"/>
    </row>
    <row r="8922" spans="8:9">
      <c r="H8922" s="2"/>
      <c r="I8922" s="2"/>
    </row>
    <row r="8923" spans="8:9">
      <c r="H8923" s="2"/>
      <c r="I8923" s="2"/>
    </row>
    <row r="8924" spans="8:9">
      <c r="H8924" s="2"/>
      <c r="I8924" s="2"/>
    </row>
    <row r="8925" spans="8:9">
      <c r="H8925" s="2"/>
      <c r="I8925" s="2"/>
    </row>
    <row r="8926" spans="8:9">
      <c r="H8926" s="2"/>
      <c r="I8926" s="2"/>
    </row>
    <row r="8927" spans="8:9">
      <c r="H8927" s="2"/>
      <c r="I8927" s="2"/>
    </row>
    <row r="8928" spans="8:9">
      <c r="H8928" s="2"/>
      <c r="I8928" s="2"/>
    </row>
    <row r="8929" spans="8:9">
      <c r="H8929" s="2"/>
      <c r="I8929" s="2"/>
    </row>
    <row r="8930" spans="8:9">
      <c r="H8930" s="2"/>
      <c r="I8930" s="2"/>
    </row>
    <row r="8931" spans="8:9">
      <c r="H8931" s="2"/>
      <c r="I8931" s="2"/>
    </row>
    <row r="8932" spans="8:9">
      <c r="H8932" s="2"/>
      <c r="I8932" s="2"/>
    </row>
    <row r="8933" spans="8:9">
      <c r="H8933" s="2"/>
      <c r="I8933" s="2"/>
    </row>
    <row r="8934" spans="8:9">
      <c r="H8934" s="2"/>
      <c r="I8934" s="2"/>
    </row>
    <row r="8935" spans="8:9">
      <c r="H8935" s="2"/>
      <c r="I8935" s="2"/>
    </row>
    <row r="8936" spans="8:9">
      <c r="H8936" s="2"/>
      <c r="I8936" s="2"/>
    </row>
    <row r="8937" spans="8:9">
      <c r="H8937" s="2"/>
      <c r="I8937" s="2"/>
    </row>
    <row r="8938" spans="8:9">
      <c r="H8938" s="2"/>
      <c r="I8938" s="2"/>
    </row>
    <row r="8939" spans="8:9">
      <c r="H8939" s="2"/>
      <c r="I8939" s="2"/>
    </row>
    <row r="8940" spans="8:9">
      <c r="H8940" s="2"/>
      <c r="I8940" s="2"/>
    </row>
    <row r="8941" spans="8:9">
      <c r="H8941" s="2"/>
      <c r="I8941" s="2"/>
    </row>
    <row r="8942" spans="8:9">
      <c r="H8942" s="2"/>
      <c r="I8942" s="2"/>
    </row>
    <row r="8943" spans="8:9">
      <c r="H8943" s="2"/>
      <c r="I8943" s="2"/>
    </row>
    <row r="8944" spans="8:9">
      <c r="H8944" s="2"/>
      <c r="I8944" s="2"/>
    </row>
    <row r="8945" spans="8:9">
      <c r="H8945" s="2"/>
      <c r="I8945" s="2"/>
    </row>
    <row r="8946" spans="8:9">
      <c r="H8946" s="2"/>
      <c r="I8946" s="2"/>
    </row>
    <row r="8947" spans="8:9">
      <c r="H8947" s="2"/>
      <c r="I8947" s="2"/>
    </row>
    <row r="8948" spans="8:9">
      <c r="H8948" s="2"/>
      <c r="I8948" s="2"/>
    </row>
    <row r="8949" spans="8:9">
      <c r="H8949" s="2"/>
      <c r="I8949" s="2"/>
    </row>
    <row r="8950" spans="8:9">
      <c r="H8950" s="2"/>
      <c r="I8950" s="2"/>
    </row>
    <row r="8951" spans="8:9">
      <c r="H8951" s="2"/>
      <c r="I8951" s="2"/>
    </row>
    <row r="8952" spans="8:9">
      <c r="H8952" s="2"/>
      <c r="I8952" s="2"/>
    </row>
    <row r="8953" spans="8:9">
      <c r="H8953" s="2"/>
      <c r="I8953" s="2"/>
    </row>
    <row r="8954" spans="8:9">
      <c r="H8954" s="2"/>
      <c r="I8954" s="2"/>
    </row>
    <row r="8955" spans="8:9">
      <c r="H8955" s="2"/>
      <c r="I8955" s="2"/>
    </row>
    <row r="8956" spans="8:9">
      <c r="H8956" s="2"/>
      <c r="I8956" s="2"/>
    </row>
    <row r="8957" spans="8:9">
      <c r="H8957" s="2"/>
      <c r="I8957" s="2"/>
    </row>
    <row r="8958" spans="8:9">
      <c r="H8958" s="2"/>
      <c r="I8958" s="2"/>
    </row>
    <row r="8959" spans="8:9">
      <c r="H8959" s="2"/>
      <c r="I8959" s="2"/>
    </row>
    <row r="8960" spans="8:9">
      <c r="H8960" s="2"/>
      <c r="I8960" s="2"/>
    </row>
    <row r="8961" spans="8:9">
      <c r="H8961" s="2"/>
      <c r="I8961" s="2"/>
    </row>
    <row r="8962" spans="8:9">
      <c r="H8962" s="2"/>
      <c r="I8962" s="2"/>
    </row>
    <row r="8963" spans="8:9">
      <c r="H8963" s="2"/>
      <c r="I8963" s="2"/>
    </row>
    <row r="8964" spans="8:9">
      <c r="H8964" s="2"/>
      <c r="I8964" s="2"/>
    </row>
    <row r="8965" spans="8:9">
      <c r="H8965" s="2"/>
      <c r="I8965" s="2"/>
    </row>
    <row r="8966" spans="8:9">
      <c r="H8966" s="2"/>
      <c r="I8966" s="2"/>
    </row>
    <row r="8967" spans="8:9">
      <c r="H8967" s="2"/>
      <c r="I8967" s="2"/>
    </row>
    <row r="8968" spans="8:9">
      <c r="H8968" s="2"/>
      <c r="I8968" s="2"/>
    </row>
    <row r="8969" spans="8:9">
      <c r="H8969" s="2"/>
      <c r="I8969" s="2"/>
    </row>
    <row r="8970" spans="8:9">
      <c r="H8970" s="2"/>
      <c r="I8970" s="2"/>
    </row>
    <row r="8971" spans="8:9">
      <c r="H8971" s="2"/>
      <c r="I8971" s="2"/>
    </row>
    <row r="8972" spans="8:9">
      <c r="H8972" s="2"/>
      <c r="I8972" s="2"/>
    </row>
    <row r="8973" spans="8:9">
      <c r="H8973" s="2"/>
      <c r="I8973" s="2"/>
    </row>
    <row r="8974" spans="8:9">
      <c r="H8974" s="2"/>
      <c r="I8974" s="2"/>
    </row>
    <row r="8975" spans="8:9">
      <c r="H8975" s="2"/>
      <c r="I8975" s="2"/>
    </row>
    <row r="8976" spans="8:9">
      <c r="H8976" s="2"/>
      <c r="I8976" s="2"/>
    </row>
    <row r="8977" spans="8:9">
      <c r="H8977" s="2"/>
      <c r="I8977" s="2"/>
    </row>
    <row r="8978" spans="8:9">
      <c r="H8978" s="2"/>
      <c r="I8978" s="2"/>
    </row>
    <row r="8979" spans="8:9">
      <c r="H8979" s="2"/>
      <c r="I8979" s="2"/>
    </row>
    <row r="8980" spans="8:9">
      <c r="H8980" s="2"/>
      <c r="I8980" s="2"/>
    </row>
    <row r="8981" spans="8:9">
      <c r="H8981" s="2"/>
      <c r="I8981" s="2"/>
    </row>
    <row r="8982" spans="8:9">
      <c r="H8982" s="2"/>
      <c r="I8982" s="2"/>
    </row>
    <row r="8983" spans="8:9">
      <c r="H8983" s="2"/>
      <c r="I8983" s="2"/>
    </row>
    <row r="8984" spans="8:9">
      <c r="H8984" s="2"/>
      <c r="I8984" s="2"/>
    </row>
    <row r="8985" spans="8:9">
      <c r="H8985" s="2"/>
      <c r="I8985" s="2"/>
    </row>
    <row r="8986" spans="8:9">
      <c r="H8986" s="2"/>
      <c r="I8986" s="2"/>
    </row>
    <row r="8987" spans="8:9">
      <c r="H8987" s="2"/>
      <c r="I8987" s="2"/>
    </row>
    <row r="8988" spans="8:9">
      <c r="H8988" s="2"/>
      <c r="I8988" s="2"/>
    </row>
    <row r="8989" spans="8:9">
      <c r="H8989" s="2"/>
      <c r="I8989" s="2"/>
    </row>
    <row r="8990" spans="8:9">
      <c r="H8990" s="2"/>
      <c r="I8990" s="2"/>
    </row>
    <row r="8991" spans="8:9">
      <c r="H8991" s="2"/>
      <c r="I8991" s="2"/>
    </row>
    <row r="8992" spans="8:9">
      <c r="H8992" s="2"/>
      <c r="I8992" s="2"/>
    </row>
    <row r="8993" spans="8:9">
      <c r="H8993" s="2"/>
      <c r="I8993" s="2"/>
    </row>
    <row r="8994" spans="8:9">
      <c r="H8994" s="2"/>
      <c r="I8994" s="2"/>
    </row>
    <row r="8995" spans="8:9">
      <c r="H8995" s="2"/>
      <c r="I8995" s="2"/>
    </row>
    <row r="8996" spans="8:9">
      <c r="H8996" s="2"/>
      <c r="I8996" s="2"/>
    </row>
    <row r="8997" spans="8:9">
      <c r="H8997" s="2"/>
      <c r="I8997" s="2"/>
    </row>
    <row r="8998" spans="8:9">
      <c r="H8998" s="2"/>
      <c r="I8998" s="2"/>
    </row>
    <row r="8999" spans="8:9">
      <c r="H8999" s="2"/>
      <c r="I8999" s="2"/>
    </row>
    <row r="9000" spans="8:9">
      <c r="H9000" s="2"/>
      <c r="I9000" s="2"/>
    </row>
    <row r="9001" spans="8:9">
      <c r="H9001" s="2"/>
      <c r="I9001" s="2"/>
    </row>
    <row r="9002" spans="8:9">
      <c r="H9002" s="2"/>
      <c r="I9002" s="2"/>
    </row>
    <row r="9003" spans="8:9">
      <c r="H9003" s="2"/>
      <c r="I9003" s="2"/>
    </row>
    <row r="9004" spans="8:9">
      <c r="H9004" s="2"/>
      <c r="I9004" s="2"/>
    </row>
    <row r="9005" spans="8:9">
      <c r="H9005" s="2"/>
      <c r="I9005" s="2"/>
    </row>
    <row r="9006" spans="8:9">
      <c r="H9006" s="2"/>
      <c r="I9006" s="2"/>
    </row>
    <row r="9007" spans="8:9">
      <c r="H9007" s="2"/>
      <c r="I9007" s="2"/>
    </row>
    <row r="9008" spans="8:9">
      <c r="H9008" s="2"/>
      <c r="I9008" s="2"/>
    </row>
    <row r="9009" spans="8:9">
      <c r="H9009" s="2"/>
      <c r="I9009" s="2"/>
    </row>
    <row r="9010" spans="8:9">
      <c r="H9010" s="2"/>
      <c r="I9010" s="2"/>
    </row>
    <row r="9011" spans="8:9">
      <c r="H9011" s="2"/>
      <c r="I9011" s="2"/>
    </row>
    <row r="9012" spans="8:9">
      <c r="H9012" s="2"/>
      <c r="I9012" s="2"/>
    </row>
    <row r="9013" spans="8:9">
      <c r="H9013" s="2"/>
      <c r="I9013" s="2"/>
    </row>
    <row r="9014" spans="8:9">
      <c r="H9014" s="2"/>
      <c r="I9014" s="2"/>
    </row>
    <row r="9015" spans="8:9">
      <c r="H9015" s="2"/>
      <c r="I9015" s="2"/>
    </row>
    <row r="9016" spans="8:9">
      <c r="H9016" s="2"/>
      <c r="I9016" s="2"/>
    </row>
    <row r="9017" spans="8:9">
      <c r="H9017" s="2"/>
      <c r="I9017" s="2"/>
    </row>
    <row r="9018" spans="8:9">
      <c r="H9018" s="2"/>
      <c r="I9018" s="2"/>
    </row>
    <row r="9019" spans="8:9">
      <c r="H9019" s="2"/>
      <c r="I9019" s="2"/>
    </row>
    <row r="9020" spans="8:9">
      <c r="H9020" s="2"/>
      <c r="I9020" s="2"/>
    </row>
    <row r="9021" spans="8:9">
      <c r="H9021" s="2"/>
      <c r="I9021" s="2"/>
    </row>
    <row r="9022" spans="8:9">
      <c r="H9022" s="2"/>
      <c r="I9022" s="2"/>
    </row>
    <row r="9023" spans="8:9">
      <c r="H9023" s="2"/>
      <c r="I9023" s="2"/>
    </row>
    <row r="9024" spans="8:9">
      <c r="H9024" s="2"/>
      <c r="I9024" s="2"/>
    </row>
    <row r="9025" spans="8:9">
      <c r="H9025" s="2"/>
      <c r="I9025" s="2"/>
    </row>
    <row r="9026" spans="8:9">
      <c r="H9026" s="2"/>
      <c r="I9026" s="2"/>
    </row>
    <row r="9027" spans="8:9">
      <c r="H9027" s="2"/>
      <c r="I9027" s="2"/>
    </row>
    <row r="9028" spans="8:9">
      <c r="H9028" s="2"/>
      <c r="I9028" s="2"/>
    </row>
    <row r="9029" spans="8:9">
      <c r="H9029" s="2"/>
      <c r="I9029" s="2"/>
    </row>
    <row r="9030" spans="8:9">
      <c r="H9030" s="2"/>
      <c r="I9030" s="2"/>
    </row>
    <row r="9031" spans="8:9">
      <c r="H9031" s="2"/>
      <c r="I9031" s="2"/>
    </row>
    <row r="9032" spans="8:9">
      <c r="H9032" s="2"/>
      <c r="I9032" s="2"/>
    </row>
    <row r="9033" spans="8:9">
      <c r="H9033" s="2"/>
      <c r="I9033" s="2"/>
    </row>
    <row r="9034" spans="8:9">
      <c r="H9034" s="2"/>
      <c r="I9034" s="2"/>
    </row>
    <row r="9035" spans="8:9">
      <c r="H9035" s="2"/>
      <c r="I9035" s="2"/>
    </row>
    <row r="9036" spans="8:9">
      <c r="H9036" s="2"/>
      <c r="I9036" s="2"/>
    </row>
    <row r="9037" spans="8:9">
      <c r="H9037" s="2"/>
      <c r="I9037" s="2"/>
    </row>
    <row r="9038" spans="8:9">
      <c r="H9038" s="2"/>
      <c r="I9038" s="2"/>
    </row>
    <row r="9039" spans="8:9">
      <c r="H9039" s="2"/>
      <c r="I9039" s="2"/>
    </row>
    <row r="9040" spans="8:9">
      <c r="H9040" s="2"/>
      <c r="I9040" s="2"/>
    </row>
    <row r="9041" spans="8:9">
      <c r="H9041" s="2"/>
      <c r="I9041" s="2"/>
    </row>
    <row r="9042" spans="8:9">
      <c r="H9042" s="2"/>
      <c r="I9042" s="2"/>
    </row>
    <row r="9043" spans="8:9">
      <c r="H9043" s="2"/>
      <c r="I9043" s="2"/>
    </row>
    <row r="9044" spans="8:9">
      <c r="H9044" s="2"/>
      <c r="I9044" s="2"/>
    </row>
    <row r="9045" spans="8:9">
      <c r="H9045" s="2"/>
      <c r="I9045" s="2"/>
    </row>
    <row r="9046" spans="8:9">
      <c r="H9046" s="2"/>
      <c r="I9046" s="2"/>
    </row>
    <row r="9047" spans="8:9">
      <c r="H9047" s="2"/>
      <c r="I9047" s="2"/>
    </row>
    <row r="9048" spans="8:9">
      <c r="H9048" s="2"/>
      <c r="I9048" s="2"/>
    </row>
    <row r="9049" spans="8:9">
      <c r="H9049" s="2"/>
      <c r="I9049" s="2"/>
    </row>
    <row r="9050" spans="8:9">
      <c r="H9050" s="2"/>
      <c r="I9050" s="2"/>
    </row>
    <row r="9051" spans="8:9">
      <c r="H9051" s="2"/>
      <c r="I9051" s="2"/>
    </row>
    <row r="9052" spans="8:9">
      <c r="H9052" s="2"/>
      <c r="I9052" s="2"/>
    </row>
    <row r="9053" spans="8:9">
      <c r="H9053" s="2"/>
      <c r="I9053" s="2"/>
    </row>
    <row r="9054" spans="8:9">
      <c r="H9054" s="2"/>
      <c r="I9054" s="2"/>
    </row>
    <row r="9055" spans="8:9">
      <c r="H9055" s="2"/>
      <c r="I9055" s="2"/>
    </row>
    <row r="9056" spans="8:9">
      <c r="H9056" s="2"/>
      <c r="I9056" s="2"/>
    </row>
    <row r="9057" spans="8:9">
      <c r="H9057" s="2"/>
      <c r="I9057" s="2"/>
    </row>
    <row r="9058" spans="8:9">
      <c r="H9058" s="2"/>
      <c r="I9058" s="2"/>
    </row>
    <row r="9059" spans="8:9">
      <c r="H9059" s="2"/>
      <c r="I9059" s="2"/>
    </row>
    <row r="9060" spans="8:9">
      <c r="H9060" s="2"/>
      <c r="I9060" s="2"/>
    </row>
    <row r="9061" spans="8:9">
      <c r="H9061" s="2"/>
      <c r="I9061" s="2"/>
    </row>
    <row r="9062" spans="8:9">
      <c r="H9062" s="2"/>
      <c r="I9062" s="2"/>
    </row>
    <row r="9063" spans="8:9">
      <c r="H9063" s="2"/>
      <c r="I9063" s="2"/>
    </row>
    <row r="9064" spans="8:9">
      <c r="H9064" s="2"/>
      <c r="I9064" s="2"/>
    </row>
    <row r="9065" spans="8:9">
      <c r="H9065" s="2"/>
      <c r="I9065" s="2"/>
    </row>
    <row r="9066" spans="8:9">
      <c r="H9066" s="2"/>
      <c r="I9066" s="2"/>
    </row>
    <row r="9067" spans="8:9">
      <c r="H9067" s="2"/>
      <c r="I9067" s="2"/>
    </row>
    <row r="9068" spans="8:9">
      <c r="H9068" s="2"/>
      <c r="I9068" s="2"/>
    </row>
    <row r="9069" spans="8:9">
      <c r="H9069" s="2"/>
      <c r="I9069" s="2"/>
    </row>
    <row r="9070" spans="8:9">
      <c r="H9070" s="2"/>
      <c r="I9070" s="2"/>
    </row>
    <row r="9071" spans="8:9">
      <c r="H9071" s="2"/>
      <c r="I9071" s="2"/>
    </row>
    <row r="9072" spans="8:9">
      <c r="H9072" s="2"/>
      <c r="I9072" s="2"/>
    </row>
    <row r="9073" spans="8:9">
      <c r="H9073" s="2"/>
      <c r="I9073" s="2"/>
    </row>
    <row r="9074" spans="8:9">
      <c r="H9074" s="2"/>
      <c r="I9074" s="2"/>
    </row>
    <row r="9075" spans="8:9">
      <c r="H9075" s="2"/>
      <c r="I9075" s="2"/>
    </row>
    <row r="9076" spans="8:9">
      <c r="H9076" s="2"/>
      <c r="I9076" s="2"/>
    </row>
    <row r="9077" spans="8:9">
      <c r="H9077" s="2"/>
      <c r="I9077" s="2"/>
    </row>
    <row r="9078" spans="8:9">
      <c r="H9078" s="2"/>
      <c r="I9078" s="2"/>
    </row>
    <row r="9079" spans="8:9">
      <c r="H9079" s="2"/>
      <c r="I9079" s="2"/>
    </row>
    <row r="9080" spans="8:9">
      <c r="H9080" s="2"/>
      <c r="I9080" s="2"/>
    </row>
    <row r="9081" spans="8:9">
      <c r="H9081" s="2"/>
      <c r="I9081" s="2"/>
    </row>
    <row r="9082" spans="8:9">
      <c r="H9082" s="2"/>
      <c r="I9082" s="2"/>
    </row>
    <row r="9083" spans="8:9">
      <c r="H9083" s="2"/>
      <c r="I9083" s="2"/>
    </row>
    <row r="9084" spans="8:9">
      <c r="H9084" s="2"/>
      <c r="I9084" s="2"/>
    </row>
    <row r="9085" spans="8:9">
      <c r="H9085" s="2"/>
      <c r="I9085" s="2"/>
    </row>
    <row r="9086" spans="8:9">
      <c r="H9086" s="2"/>
      <c r="I9086" s="2"/>
    </row>
    <row r="9087" spans="8:9">
      <c r="H9087" s="2"/>
      <c r="I9087" s="2"/>
    </row>
    <row r="9088" spans="8:9">
      <c r="H9088" s="2"/>
      <c r="I9088" s="2"/>
    </row>
    <row r="9089" spans="8:9">
      <c r="H9089" s="2"/>
      <c r="I9089" s="2"/>
    </row>
    <row r="9090" spans="8:9">
      <c r="H9090" s="2"/>
      <c r="I9090" s="2"/>
    </row>
    <row r="9091" spans="8:9">
      <c r="H9091" s="2"/>
      <c r="I9091" s="2"/>
    </row>
    <row r="9092" spans="8:9">
      <c r="H9092" s="2"/>
      <c r="I9092" s="2"/>
    </row>
    <row r="9093" spans="8:9">
      <c r="H9093" s="2"/>
      <c r="I9093" s="2"/>
    </row>
    <row r="9094" spans="8:9">
      <c r="H9094" s="2"/>
      <c r="I9094" s="2"/>
    </row>
    <row r="9095" spans="8:9">
      <c r="H9095" s="2"/>
      <c r="I9095" s="2"/>
    </row>
    <row r="9096" spans="8:9">
      <c r="H9096" s="2"/>
      <c r="I9096" s="2"/>
    </row>
    <row r="9097" spans="8:9">
      <c r="H9097" s="2"/>
      <c r="I9097" s="2"/>
    </row>
    <row r="9098" spans="8:9">
      <c r="H9098" s="2"/>
      <c r="I9098" s="2"/>
    </row>
    <row r="9099" spans="8:9">
      <c r="H9099" s="2"/>
      <c r="I9099" s="2"/>
    </row>
    <row r="9100" spans="8:9">
      <c r="H9100" s="2"/>
      <c r="I9100" s="2"/>
    </row>
    <row r="9101" spans="8:9">
      <c r="H9101" s="2"/>
      <c r="I9101" s="2"/>
    </row>
    <row r="9102" spans="8:9">
      <c r="H9102" s="2"/>
      <c r="I9102" s="2"/>
    </row>
    <row r="9103" spans="8:9">
      <c r="H9103" s="2"/>
      <c r="I9103" s="2"/>
    </row>
    <row r="9104" spans="8:9">
      <c r="H9104" s="2"/>
      <c r="I9104" s="2"/>
    </row>
    <row r="9105" spans="8:9">
      <c r="H9105" s="2"/>
      <c r="I9105" s="2"/>
    </row>
    <row r="9106" spans="8:9">
      <c r="H9106" s="2"/>
      <c r="I9106" s="2"/>
    </row>
    <row r="9107" spans="8:9">
      <c r="H9107" s="2"/>
      <c r="I9107" s="2"/>
    </row>
    <row r="9108" spans="8:9">
      <c r="H9108" s="2"/>
      <c r="I9108" s="2"/>
    </row>
    <row r="9109" spans="8:9">
      <c r="H9109" s="2"/>
      <c r="I9109" s="2"/>
    </row>
    <row r="9110" spans="8:9">
      <c r="H9110" s="2"/>
      <c r="I9110" s="2"/>
    </row>
    <row r="9111" spans="8:9">
      <c r="H9111" s="2"/>
      <c r="I9111" s="2"/>
    </row>
    <row r="9112" spans="8:9">
      <c r="H9112" s="2"/>
      <c r="I9112" s="2"/>
    </row>
    <row r="9113" spans="8:9">
      <c r="H9113" s="2"/>
      <c r="I9113" s="2"/>
    </row>
    <row r="9114" spans="8:9">
      <c r="H9114" s="2"/>
      <c r="I9114" s="2"/>
    </row>
    <row r="9115" spans="8:9">
      <c r="H9115" s="2"/>
      <c r="I9115" s="2"/>
    </row>
    <row r="9116" spans="8:9">
      <c r="H9116" s="2"/>
      <c r="I9116" s="2"/>
    </row>
    <row r="9117" spans="8:9">
      <c r="H9117" s="2"/>
      <c r="I9117" s="2"/>
    </row>
    <row r="9118" spans="8:9">
      <c r="H9118" s="2"/>
      <c r="I9118" s="2"/>
    </row>
    <row r="9119" spans="8:9">
      <c r="H9119" s="2"/>
      <c r="I9119" s="2"/>
    </row>
    <row r="9120" spans="8:9">
      <c r="H9120" s="2"/>
      <c r="I9120" s="2"/>
    </row>
    <row r="9121" spans="8:9">
      <c r="H9121" s="2"/>
      <c r="I9121" s="2"/>
    </row>
    <row r="9122" spans="8:9">
      <c r="H9122" s="2"/>
      <c r="I9122" s="2"/>
    </row>
    <row r="9123" spans="8:9">
      <c r="H9123" s="2"/>
      <c r="I9123" s="2"/>
    </row>
    <row r="9124" spans="8:9">
      <c r="H9124" s="2"/>
      <c r="I9124" s="2"/>
    </row>
    <row r="9125" spans="8:9">
      <c r="H9125" s="2"/>
      <c r="I9125" s="2"/>
    </row>
    <row r="9126" spans="8:9">
      <c r="H9126" s="2"/>
      <c r="I9126" s="2"/>
    </row>
    <row r="9127" spans="8:9">
      <c r="H9127" s="2"/>
      <c r="I9127" s="2"/>
    </row>
    <row r="9128" spans="8:9">
      <c r="H9128" s="2"/>
      <c r="I9128" s="2"/>
    </row>
    <row r="9129" spans="8:9">
      <c r="H9129" s="2"/>
      <c r="I9129" s="2"/>
    </row>
    <row r="9130" spans="8:9">
      <c r="H9130" s="2"/>
      <c r="I9130" s="2"/>
    </row>
    <row r="9131" spans="8:9">
      <c r="H9131" s="2"/>
      <c r="I9131" s="2"/>
    </row>
    <row r="9132" spans="8:9">
      <c r="H9132" s="2"/>
      <c r="I9132" s="2"/>
    </row>
    <row r="9133" spans="8:9">
      <c r="H9133" s="2"/>
      <c r="I9133" s="2"/>
    </row>
    <row r="9134" spans="8:9">
      <c r="H9134" s="2"/>
      <c r="I9134" s="2"/>
    </row>
    <row r="9135" spans="8:9">
      <c r="H9135" s="2"/>
      <c r="I9135" s="2"/>
    </row>
    <row r="9136" spans="8:9">
      <c r="H9136" s="2"/>
      <c r="I9136" s="2"/>
    </row>
    <row r="9137" spans="8:9">
      <c r="H9137" s="2"/>
      <c r="I9137" s="2"/>
    </row>
    <row r="9138" spans="8:9">
      <c r="H9138" s="2"/>
      <c r="I9138" s="2"/>
    </row>
    <row r="9139" spans="8:9">
      <c r="H9139" s="2"/>
      <c r="I9139" s="2"/>
    </row>
    <row r="9140" spans="8:9">
      <c r="H9140" s="2"/>
      <c r="I9140" s="2"/>
    </row>
    <row r="9141" spans="8:9">
      <c r="H9141" s="2"/>
      <c r="I9141" s="2"/>
    </row>
    <row r="9142" spans="8:9">
      <c r="H9142" s="2"/>
      <c r="I9142" s="2"/>
    </row>
    <row r="9143" spans="8:9">
      <c r="H9143" s="2"/>
      <c r="I9143" s="2"/>
    </row>
    <row r="9144" spans="8:9">
      <c r="H9144" s="2"/>
      <c r="I9144" s="2"/>
    </row>
    <row r="9145" spans="8:9">
      <c r="H9145" s="2"/>
      <c r="I9145" s="2"/>
    </row>
    <row r="9146" spans="8:9">
      <c r="H9146" s="2"/>
      <c r="I9146" s="2"/>
    </row>
    <row r="9147" spans="8:9">
      <c r="H9147" s="2"/>
      <c r="I9147" s="2"/>
    </row>
    <row r="9148" spans="8:9">
      <c r="H9148" s="2"/>
      <c r="I9148" s="2"/>
    </row>
    <row r="9149" spans="8:9">
      <c r="H9149" s="2"/>
      <c r="I9149" s="2"/>
    </row>
    <row r="9150" spans="8:9">
      <c r="H9150" s="2"/>
      <c r="I9150" s="2"/>
    </row>
    <row r="9151" spans="8:9">
      <c r="H9151" s="2"/>
      <c r="I9151" s="2"/>
    </row>
    <row r="9152" spans="8:9">
      <c r="H9152" s="2"/>
      <c r="I9152" s="2"/>
    </row>
    <row r="9153" spans="8:9">
      <c r="H9153" s="2"/>
      <c r="I9153" s="2"/>
    </row>
    <row r="9154" spans="8:9">
      <c r="H9154" s="2"/>
      <c r="I9154" s="2"/>
    </row>
    <row r="9155" spans="8:9">
      <c r="H9155" s="2"/>
      <c r="I9155" s="2"/>
    </row>
    <row r="9156" spans="8:9">
      <c r="H9156" s="2"/>
      <c r="I9156" s="2"/>
    </row>
    <row r="9157" spans="8:9">
      <c r="H9157" s="2"/>
      <c r="I9157" s="2"/>
    </row>
    <row r="9158" spans="8:9">
      <c r="H9158" s="2"/>
      <c r="I9158" s="2"/>
    </row>
    <row r="9159" spans="8:9">
      <c r="H9159" s="2"/>
      <c r="I9159" s="2"/>
    </row>
    <row r="9160" spans="8:9">
      <c r="H9160" s="2"/>
      <c r="I9160" s="2"/>
    </row>
    <row r="9161" spans="8:9">
      <c r="H9161" s="2"/>
      <c r="I9161" s="2"/>
    </row>
    <row r="9162" spans="8:9">
      <c r="H9162" s="2"/>
      <c r="I9162" s="2"/>
    </row>
    <row r="9163" spans="8:9">
      <c r="H9163" s="2"/>
      <c r="I9163" s="2"/>
    </row>
    <row r="9164" spans="8:9">
      <c r="H9164" s="2"/>
      <c r="I9164" s="2"/>
    </row>
    <row r="9165" spans="8:9">
      <c r="H9165" s="2"/>
      <c r="I9165" s="2"/>
    </row>
    <row r="9166" spans="8:9">
      <c r="H9166" s="2"/>
      <c r="I9166" s="2"/>
    </row>
    <row r="9167" spans="8:9">
      <c r="H9167" s="2"/>
      <c r="I9167" s="2"/>
    </row>
    <row r="9168" spans="8:9">
      <c r="H9168" s="2"/>
      <c r="I9168" s="2"/>
    </row>
    <row r="9169" spans="8:9">
      <c r="H9169" s="2"/>
      <c r="I9169" s="2"/>
    </row>
    <row r="9170" spans="8:9">
      <c r="H9170" s="2"/>
      <c r="I9170" s="2"/>
    </row>
    <row r="9171" spans="8:9">
      <c r="H9171" s="2"/>
      <c r="I9171" s="2"/>
    </row>
    <row r="9172" spans="8:9">
      <c r="H9172" s="2"/>
      <c r="I9172" s="2"/>
    </row>
    <row r="9173" spans="8:9">
      <c r="H9173" s="2"/>
      <c r="I9173" s="2"/>
    </row>
    <row r="9174" spans="8:9">
      <c r="H9174" s="2"/>
      <c r="I9174" s="2"/>
    </row>
    <row r="9175" spans="8:9">
      <c r="H9175" s="2"/>
      <c r="I9175" s="2"/>
    </row>
    <row r="9176" spans="8:9">
      <c r="H9176" s="2"/>
      <c r="I9176" s="2"/>
    </row>
    <row r="9177" spans="8:9">
      <c r="H9177" s="2"/>
      <c r="I9177" s="2"/>
    </row>
    <row r="9178" spans="8:9">
      <c r="H9178" s="2"/>
      <c r="I9178" s="2"/>
    </row>
    <row r="9179" spans="8:9">
      <c r="H9179" s="2"/>
      <c r="I9179" s="2"/>
    </row>
    <row r="9180" spans="8:9">
      <c r="H9180" s="2"/>
      <c r="I9180" s="2"/>
    </row>
    <row r="9181" spans="8:9">
      <c r="H9181" s="2"/>
      <c r="I9181" s="2"/>
    </row>
    <row r="9182" spans="8:9">
      <c r="H9182" s="2"/>
      <c r="I9182" s="2"/>
    </row>
    <row r="9183" spans="8:9">
      <c r="H9183" s="2"/>
      <c r="I9183" s="2"/>
    </row>
    <row r="9184" spans="8:9">
      <c r="H9184" s="2"/>
      <c r="I9184" s="2"/>
    </row>
    <row r="9185" spans="8:9">
      <c r="H9185" s="2"/>
      <c r="I9185" s="2"/>
    </row>
    <row r="9186" spans="8:9">
      <c r="H9186" s="2"/>
      <c r="I9186" s="2"/>
    </row>
    <row r="9187" spans="8:9">
      <c r="H9187" s="2"/>
      <c r="I9187" s="2"/>
    </row>
    <row r="9188" spans="8:9">
      <c r="H9188" s="2"/>
      <c r="I9188" s="2"/>
    </row>
    <row r="9189" spans="8:9">
      <c r="H9189" s="2"/>
      <c r="I9189" s="2"/>
    </row>
    <row r="9190" spans="8:9">
      <c r="H9190" s="2"/>
      <c r="I9190" s="2"/>
    </row>
    <row r="9191" spans="8:9">
      <c r="H9191" s="2"/>
      <c r="I9191" s="2"/>
    </row>
    <row r="9192" spans="8:9">
      <c r="H9192" s="2"/>
      <c r="I9192" s="2"/>
    </row>
    <row r="9193" spans="8:9">
      <c r="H9193" s="2"/>
      <c r="I9193" s="2"/>
    </row>
    <row r="9194" spans="8:9">
      <c r="H9194" s="2"/>
      <c r="I9194" s="2"/>
    </row>
    <row r="9195" spans="8:9">
      <c r="H9195" s="2"/>
      <c r="I9195" s="2"/>
    </row>
    <row r="9196" spans="8:9">
      <c r="H9196" s="2"/>
      <c r="I9196" s="2"/>
    </row>
    <row r="9197" spans="8:9">
      <c r="H9197" s="2"/>
      <c r="I9197" s="2"/>
    </row>
    <row r="9198" spans="8:9">
      <c r="H9198" s="2"/>
      <c r="I9198" s="2"/>
    </row>
    <row r="9199" spans="8:9">
      <c r="H9199" s="2"/>
      <c r="I9199" s="2"/>
    </row>
    <row r="9200" spans="8:9">
      <c r="H9200" s="2"/>
      <c r="I9200" s="2"/>
    </row>
    <row r="9201" spans="8:9">
      <c r="H9201" s="2"/>
      <c r="I9201" s="2"/>
    </row>
    <row r="9202" spans="8:9">
      <c r="H9202" s="2"/>
      <c r="I9202" s="2"/>
    </row>
    <row r="9203" spans="8:9">
      <c r="H9203" s="2"/>
      <c r="I9203" s="2"/>
    </row>
    <row r="9204" spans="8:9">
      <c r="H9204" s="2"/>
      <c r="I9204" s="2"/>
    </row>
    <row r="9205" spans="8:9">
      <c r="H9205" s="2"/>
      <c r="I9205" s="2"/>
    </row>
    <row r="9206" spans="8:9">
      <c r="H9206" s="2"/>
      <c r="I9206" s="2"/>
    </row>
    <row r="9207" spans="8:9">
      <c r="H9207" s="2"/>
      <c r="I9207" s="2"/>
    </row>
    <row r="9208" spans="8:9">
      <c r="H9208" s="2"/>
      <c r="I9208" s="2"/>
    </row>
    <row r="9209" spans="8:9">
      <c r="H9209" s="2"/>
      <c r="I9209" s="2"/>
    </row>
    <row r="9210" spans="8:9">
      <c r="H9210" s="2"/>
      <c r="I9210" s="2"/>
    </row>
    <row r="9211" spans="8:9">
      <c r="H9211" s="2"/>
      <c r="I9211" s="2"/>
    </row>
    <row r="9212" spans="8:9">
      <c r="H9212" s="2"/>
      <c r="I9212" s="2"/>
    </row>
    <row r="9213" spans="8:9">
      <c r="H9213" s="2"/>
      <c r="I9213" s="2"/>
    </row>
    <row r="9214" spans="8:9">
      <c r="H9214" s="2"/>
      <c r="I9214" s="2"/>
    </row>
    <row r="9215" spans="8:9">
      <c r="H9215" s="2"/>
      <c r="I9215" s="2"/>
    </row>
    <row r="9216" spans="8:9">
      <c r="H9216" s="2"/>
      <c r="I9216" s="2"/>
    </row>
    <row r="9217" spans="8:9">
      <c r="H9217" s="2"/>
      <c r="I9217" s="2"/>
    </row>
    <row r="9218" spans="8:9">
      <c r="H9218" s="2"/>
      <c r="I9218" s="2"/>
    </row>
    <row r="9219" spans="8:9">
      <c r="H9219" s="2"/>
      <c r="I9219" s="2"/>
    </row>
    <row r="9220" spans="8:9">
      <c r="H9220" s="2"/>
      <c r="I9220" s="2"/>
    </row>
    <row r="9221" spans="8:9">
      <c r="H9221" s="2"/>
      <c r="I9221" s="2"/>
    </row>
    <row r="9222" spans="8:9">
      <c r="H9222" s="2"/>
      <c r="I9222" s="2"/>
    </row>
    <row r="9223" spans="8:9">
      <c r="H9223" s="2"/>
      <c r="I9223" s="2"/>
    </row>
    <row r="9224" spans="8:9">
      <c r="H9224" s="2"/>
      <c r="I9224" s="2"/>
    </row>
    <row r="9225" spans="8:9">
      <c r="H9225" s="2"/>
      <c r="I9225" s="2"/>
    </row>
    <row r="9226" spans="8:9">
      <c r="H9226" s="2"/>
      <c r="I9226" s="2"/>
    </row>
    <row r="9227" spans="8:9">
      <c r="H9227" s="2"/>
      <c r="I9227" s="2"/>
    </row>
    <row r="9228" spans="8:9">
      <c r="H9228" s="2"/>
      <c r="I9228" s="2"/>
    </row>
    <row r="9229" spans="8:9">
      <c r="H9229" s="2"/>
      <c r="I9229" s="2"/>
    </row>
    <row r="9230" spans="8:9">
      <c r="H9230" s="2"/>
      <c r="I9230" s="2"/>
    </row>
    <row r="9231" spans="8:9">
      <c r="H9231" s="2"/>
      <c r="I9231" s="2"/>
    </row>
    <row r="9232" spans="8:9">
      <c r="H9232" s="2"/>
      <c r="I9232" s="2"/>
    </row>
    <row r="9233" spans="8:9">
      <c r="H9233" s="2"/>
      <c r="I9233" s="2"/>
    </row>
    <row r="9234" spans="8:9">
      <c r="H9234" s="2"/>
      <c r="I9234" s="2"/>
    </row>
    <row r="9235" spans="8:9">
      <c r="H9235" s="2"/>
      <c r="I9235" s="2"/>
    </row>
    <row r="9236" spans="8:9">
      <c r="H9236" s="2"/>
      <c r="I9236" s="2"/>
    </row>
    <row r="9237" spans="8:9">
      <c r="H9237" s="2"/>
      <c r="I9237" s="2"/>
    </row>
    <row r="9238" spans="8:9">
      <c r="H9238" s="2"/>
      <c r="I9238" s="2"/>
    </row>
    <row r="9239" spans="8:9">
      <c r="H9239" s="2"/>
      <c r="I9239" s="2"/>
    </row>
    <row r="9240" spans="8:9">
      <c r="H9240" s="2"/>
      <c r="I9240" s="2"/>
    </row>
    <row r="9241" spans="8:9">
      <c r="H9241" s="2"/>
      <c r="I9241" s="2"/>
    </row>
    <row r="9242" spans="8:9">
      <c r="H9242" s="2"/>
      <c r="I9242" s="2"/>
    </row>
    <row r="9243" spans="8:9">
      <c r="H9243" s="2"/>
      <c r="I9243" s="2"/>
    </row>
    <row r="9244" spans="8:9">
      <c r="H9244" s="2"/>
      <c r="I9244" s="2"/>
    </row>
    <row r="9245" spans="8:9">
      <c r="H9245" s="2"/>
      <c r="I9245" s="2"/>
    </row>
    <row r="9246" spans="8:9">
      <c r="H9246" s="2"/>
      <c r="I9246" s="2"/>
    </row>
    <row r="9247" spans="8:9">
      <c r="H9247" s="2"/>
      <c r="I9247" s="2"/>
    </row>
    <row r="9248" spans="8:9">
      <c r="H9248" s="2"/>
      <c r="I9248" s="2"/>
    </row>
    <row r="9249" spans="8:9">
      <c r="H9249" s="2"/>
      <c r="I9249" s="2"/>
    </row>
    <row r="9250" spans="8:9">
      <c r="H9250" s="2"/>
      <c r="I9250" s="2"/>
    </row>
    <row r="9251" spans="8:9">
      <c r="H9251" s="2"/>
      <c r="I9251" s="2"/>
    </row>
    <row r="9252" spans="8:9">
      <c r="H9252" s="2"/>
      <c r="I9252" s="2"/>
    </row>
    <row r="9253" spans="8:9">
      <c r="H9253" s="2"/>
      <c r="I9253" s="2"/>
    </row>
    <row r="9254" spans="8:9">
      <c r="H9254" s="2"/>
      <c r="I9254" s="2"/>
    </row>
    <row r="9255" spans="8:9">
      <c r="H9255" s="2"/>
      <c r="I9255" s="2"/>
    </row>
    <row r="9256" spans="8:9">
      <c r="H9256" s="2"/>
      <c r="I9256" s="2"/>
    </row>
    <row r="9257" spans="8:9">
      <c r="H9257" s="2"/>
      <c r="I9257" s="2"/>
    </row>
    <row r="9258" spans="8:9">
      <c r="H9258" s="2"/>
      <c r="I9258" s="2"/>
    </row>
    <row r="9259" spans="8:9">
      <c r="H9259" s="2"/>
      <c r="I9259" s="2"/>
    </row>
    <row r="9260" spans="8:9">
      <c r="H9260" s="2"/>
      <c r="I9260" s="2"/>
    </row>
    <row r="9261" spans="8:9">
      <c r="H9261" s="2"/>
      <c r="I9261" s="2"/>
    </row>
    <row r="9262" spans="8:9">
      <c r="H9262" s="2"/>
      <c r="I9262" s="2"/>
    </row>
    <row r="9263" spans="8:9">
      <c r="H9263" s="2"/>
      <c r="I9263" s="2"/>
    </row>
    <row r="9264" spans="8:9">
      <c r="H9264" s="2"/>
      <c r="I9264" s="2"/>
    </row>
    <row r="9265" spans="8:9">
      <c r="H9265" s="2"/>
      <c r="I9265" s="2"/>
    </row>
    <row r="9266" spans="8:9">
      <c r="H9266" s="2"/>
      <c r="I9266" s="2"/>
    </row>
    <row r="9267" spans="8:9">
      <c r="H9267" s="2"/>
      <c r="I9267" s="2"/>
    </row>
    <row r="9268" spans="8:9">
      <c r="H9268" s="2"/>
      <c r="I9268" s="2"/>
    </row>
    <row r="9269" spans="8:9">
      <c r="H9269" s="2"/>
      <c r="I9269" s="2"/>
    </row>
    <row r="9270" spans="8:9">
      <c r="H9270" s="2"/>
      <c r="I9270" s="2"/>
    </row>
    <row r="9271" spans="8:9">
      <c r="H9271" s="2"/>
      <c r="I9271" s="2"/>
    </row>
    <row r="9272" spans="8:9">
      <c r="H9272" s="2"/>
      <c r="I9272" s="2"/>
    </row>
    <row r="9273" spans="8:9">
      <c r="H9273" s="2"/>
      <c r="I9273" s="2"/>
    </row>
    <row r="9274" spans="8:9">
      <c r="H9274" s="2"/>
      <c r="I9274" s="2"/>
    </row>
    <row r="9275" spans="8:9">
      <c r="H9275" s="2"/>
      <c r="I9275" s="2"/>
    </row>
    <row r="9276" spans="8:9">
      <c r="H9276" s="2"/>
      <c r="I9276" s="2"/>
    </row>
    <row r="9277" spans="8:9">
      <c r="H9277" s="2"/>
      <c r="I9277" s="2"/>
    </row>
    <row r="9278" spans="8:9">
      <c r="H9278" s="2"/>
      <c r="I9278" s="2"/>
    </row>
    <row r="9279" spans="8:9">
      <c r="H9279" s="2"/>
      <c r="I9279" s="2"/>
    </row>
    <row r="9280" spans="8:9">
      <c r="H9280" s="2"/>
      <c r="I9280" s="2"/>
    </row>
    <row r="9281" spans="8:9">
      <c r="H9281" s="2"/>
      <c r="I9281" s="2"/>
    </row>
    <row r="9282" spans="8:9">
      <c r="H9282" s="2"/>
      <c r="I9282" s="2"/>
    </row>
    <row r="9283" spans="8:9">
      <c r="H9283" s="2"/>
      <c r="I9283" s="2"/>
    </row>
    <row r="9284" spans="8:9">
      <c r="H9284" s="2"/>
      <c r="I9284" s="2"/>
    </row>
    <row r="9285" spans="8:9">
      <c r="H9285" s="2"/>
      <c r="I9285" s="2"/>
    </row>
    <row r="9286" spans="8:9">
      <c r="H9286" s="2"/>
      <c r="I9286" s="2"/>
    </row>
    <row r="9287" spans="8:9">
      <c r="H9287" s="2"/>
      <c r="I9287" s="2"/>
    </row>
    <row r="9288" spans="8:9">
      <c r="H9288" s="2"/>
      <c r="I9288" s="2"/>
    </row>
    <row r="9289" spans="8:9">
      <c r="H9289" s="2"/>
      <c r="I9289" s="2"/>
    </row>
    <row r="9290" spans="8:9">
      <c r="H9290" s="2"/>
      <c r="I9290" s="2"/>
    </row>
    <row r="9291" spans="8:9">
      <c r="H9291" s="2"/>
      <c r="I9291" s="2"/>
    </row>
    <row r="9292" spans="8:9">
      <c r="H9292" s="2"/>
      <c r="I9292" s="2"/>
    </row>
    <row r="9293" spans="8:9">
      <c r="H9293" s="2"/>
      <c r="I9293" s="2"/>
    </row>
    <row r="9294" spans="8:9">
      <c r="H9294" s="2"/>
      <c r="I9294" s="2"/>
    </row>
    <row r="9295" spans="8:9">
      <c r="H9295" s="2"/>
      <c r="I9295" s="2"/>
    </row>
    <row r="9296" spans="8:9">
      <c r="H9296" s="2"/>
      <c r="I9296" s="2"/>
    </row>
    <row r="9297" spans="8:9">
      <c r="H9297" s="2"/>
      <c r="I9297" s="2"/>
    </row>
    <row r="9298" spans="8:9">
      <c r="H9298" s="2"/>
      <c r="I9298" s="2"/>
    </row>
    <row r="9299" spans="8:9">
      <c r="H9299" s="2"/>
      <c r="I9299" s="2"/>
    </row>
    <row r="9300" spans="8:9">
      <c r="H9300" s="2"/>
      <c r="I9300" s="2"/>
    </row>
    <row r="9301" spans="8:9">
      <c r="H9301" s="2"/>
      <c r="I9301" s="2"/>
    </row>
    <row r="9302" spans="8:9">
      <c r="H9302" s="2"/>
      <c r="I9302" s="2"/>
    </row>
    <row r="9303" spans="8:9">
      <c r="H9303" s="2"/>
      <c r="I9303" s="2"/>
    </row>
    <row r="9304" spans="8:9">
      <c r="H9304" s="2"/>
      <c r="I9304" s="2"/>
    </row>
    <row r="9305" spans="8:9">
      <c r="H9305" s="2"/>
      <c r="I9305" s="2"/>
    </row>
    <row r="9306" spans="8:9">
      <c r="H9306" s="2"/>
      <c r="I9306" s="2"/>
    </row>
    <row r="9307" spans="8:9">
      <c r="H9307" s="2"/>
      <c r="I9307" s="2"/>
    </row>
    <row r="9308" spans="8:9">
      <c r="H9308" s="2"/>
      <c r="I9308" s="2"/>
    </row>
    <row r="9309" spans="8:9">
      <c r="H9309" s="2"/>
      <c r="I9309" s="2"/>
    </row>
    <row r="9310" spans="8:9">
      <c r="H9310" s="2"/>
      <c r="I9310" s="2"/>
    </row>
    <row r="9311" spans="8:9">
      <c r="H9311" s="2"/>
      <c r="I9311" s="2"/>
    </row>
    <row r="9312" spans="8:9">
      <c r="H9312" s="2"/>
      <c r="I9312" s="2"/>
    </row>
    <row r="9313" spans="8:9">
      <c r="H9313" s="2"/>
      <c r="I9313" s="2"/>
    </row>
    <row r="9314" spans="8:9">
      <c r="H9314" s="2"/>
      <c r="I9314" s="2"/>
    </row>
    <row r="9315" spans="8:9">
      <c r="H9315" s="2"/>
      <c r="I9315" s="2"/>
    </row>
    <row r="9316" spans="8:9">
      <c r="H9316" s="2"/>
      <c r="I9316" s="2"/>
    </row>
    <row r="9317" spans="8:9">
      <c r="H9317" s="2"/>
      <c r="I9317" s="2"/>
    </row>
    <row r="9318" spans="8:9">
      <c r="H9318" s="2"/>
      <c r="I9318" s="2"/>
    </row>
    <row r="9319" spans="8:9">
      <c r="H9319" s="2"/>
      <c r="I9319" s="2"/>
    </row>
    <row r="9320" spans="8:9">
      <c r="H9320" s="2"/>
      <c r="I9320" s="2"/>
    </row>
    <row r="9321" spans="8:9">
      <c r="H9321" s="2"/>
      <c r="I9321" s="2"/>
    </row>
    <row r="9322" spans="8:9">
      <c r="H9322" s="2"/>
      <c r="I9322" s="2"/>
    </row>
    <row r="9323" spans="8:9">
      <c r="H9323" s="2"/>
      <c r="I9323" s="2"/>
    </row>
    <row r="9324" spans="8:9">
      <c r="H9324" s="2"/>
      <c r="I9324" s="2"/>
    </row>
    <row r="9325" spans="8:9">
      <c r="H9325" s="2"/>
      <c r="I9325" s="2"/>
    </row>
    <row r="9326" spans="8:9">
      <c r="H9326" s="2"/>
      <c r="I9326" s="2"/>
    </row>
    <row r="9327" spans="8:9">
      <c r="H9327" s="2"/>
      <c r="I9327" s="2"/>
    </row>
    <row r="9328" spans="8:9">
      <c r="H9328" s="2"/>
      <c r="I9328" s="2"/>
    </row>
    <row r="9329" spans="8:9">
      <c r="H9329" s="2"/>
      <c r="I9329" s="2"/>
    </row>
    <row r="9330" spans="8:9">
      <c r="H9330" s="2"/>
      <c r="I9330" s="2"/>
    </row>
    <row r="9331" spans="8:9">
      <c r="H9331" s="2"/>
      <c r="I9331" s="2"/>
    </row>
    <row r="9332" spans="8:9">
      <c r="H9332" s="2"/>
      <c r="I9332" s="2"/>
    </row>
    <row r="9333" spans="8:9">
      <c r="H9333" s="2"/>
      <c r="I9333" s="2"/>
    </row>
    <row r="9334" spans="8:9">
      <c r="H9334" s="2"/>
      <c r="I9334" s="2"/>
    </row>
    <row r="9335" spans="8:9">
      <c r="H9335" s="2"/>
      <c r="I9335" s="2"/>
    </row>
    <row r="9336" spans="8:9">
      <c r="H9336" s="2"/>
      <c r="I9336" s="2"/>
    </row>
    <row r="9337" spans="8:9">
      <c r="H9337" s="2"/>
      <c r="I9337" s="2"/>
    </row>
    <row r="9338" spans="8:9">
      <c r="H9338" s="2"/>
      <c r="I9338" s="2"/>
    </row>
    <row r="9339" spans="8:9">
      <c r="H9339" s="2"/>
      <c r="I9339" s="2"/>
    </row>
    <row r="9340" spans="8:9">
      <c r="H9340" s="2"/>
      <c r="I9340" s="2"/>
    </row>
    <row r="9341" spans="8:9">
      <c r="H9341" s="2"/>
      <c r="I9341" s="2"/>
    </row>
    <row r="9342" spans="8:9">
      <c r="H9342" s="2"/>
      <c r="I9342" s="2"/>
    </row>
    <row r="9343" spans="8:9">
      <c r="H9343" s="2"/>
      <c r="I9343" s="2"/>
    </row>
    <row r="9344" spans="8:9">
      <c r="H9344" s="2"/>
      <c r="I9344" s="2"/>
    </row>
    <row r="9345" spans="8:9">
      <c r="H9345" s="2"/>
      <c r="I9345" s="2"/>
    </row>
    <row r="9346" spans="8:9">
      <c r="H9346" s="2"/>
      <c r="I9346" s="2"/>
    </row>
    <row r="9347" spans="8:9">
      <c r="H9347" s="2"/>
      <c r="I9347" s="2"/>
    </row>
    <row r="9348" spans="8:9">
      <c r="H9348" s="2"/>
      <c r="I9348" s="2"/>
    </row>
    <row r="9349" spans="8:9">
      <c r="H9349" s="2"/>
      <c r="I9349" s="2"/>
    </row>
    <row r="9350" spans="8:9">
      <c r="H9350" s="2"/>
      <c r="I9350" s="2"/>
    </row>
    <row r="9351" spans="8:9">
      <c r="H9351" s="2"/>
      <c r="I9351" s="2"/>
    </row>
    <row r="9352" spans="8:9">
      <c r="H9352" s="2"/>
      <c r="I9352" s="2"/>
    </row>
    <row r="9353" spans="8:9">
      <c r="H9353" s="2"/>
      <c r="I9353" s="2"/>
    </row>
    <row r="9354" spans="8:9">
      <c r="H9354" s="2"/>
      <c r="I9354" s="2"/>
    </row>
    <row r="9355" spans="8:9">
      <c r="H9355" s="2"/>
      <c r="I9355" s="2"/>
    </row>
    <row r="9356" spans="8:9">
      <c r="H9356" s="2"/>
      <c r="I9356" s="2"/>
    </row>
    <row r="9357" spans="8:9">
      <c r="H9357" s="2"/>
      <c r="I9357" s="2"/>
    </row>
    <row r="9358" spans="8:9">
      <c r="H9358" s="2"/>
      <c r="I9358" s="2"/>
    </row>
    <row r="9359" spans="8:9">
      <c r="H9359" s="2"/>
      <c r="I9359" s="2"/>
    </row>
    <row r="9360" spans="8:9">
      <c r="H9360" s="2"/>
      <c r="I9360" s="2"/>
    </row>
    <row r="9361" spans="8:9">
      <c r="H9361" s="2"/>
      <c r="I9361" s="2"/>
    </row>
    <row r="9362" spans="8:9">
      <c r="H9362" s="2"/>
      <c r="I9362" s="2"/>
    </row>
    <row r="9363" spans="8:9">
      <c r="H9363" s="2"/>
      <c r="I9363" s="2"/>
    </row>
    <row r="9364" spans="8:9">
      <c r="H9364" s="2"/>
      <c r="I9364" s="2"/>
    </row>
    <row r="9365" spans="8:9">
      <c r="H9365" s="2"/>
      <c r="I9365" s="2"/>
    </row>
    <row r="9366" spans="8:9">
      <c r="H9366" s="2"/>
      <c r="I9366" s="2"/>
    </row>
    <row r="9367" spans="8:9">
      <c r="H9367" s="2"/>
      <c r="I9367" s="2"/>
    </row>
    <row r="9368" spans="8:9">
      <c r="H9368" s="2"/>
      <c r="I9368" s="2"/>
    </row>
    <row r="9369" spans="8:9">
      <c r="H9369" s="2"/>
      <c r="I9369" s="2"/>
    </row>
    <row r="9370" spans="8:9">
      <c r="H9370" s="2"/>
      <c r="I9370" s="2"/>
    </row>
    <row r="9371" spans="8:9">
      <c r="H9371" s="2"/>
      <c r="I9371" s="2"/>
    </row>
    <row r="9372" spans="8:9">
      <c r="H9372" s="2"/>
      <c r="I9372" s="2"/>
    </row>
    <row r="9373" spans="8:9">
      <c r="H9373" s="2"/>
      <c r="I9373" s="2"/>
    </row>
    <row r="9374" spans="8:9">
      <c r="H9374" s="2"/>
      <c r="I9374" s="2"/>
    </row>
    <row r="9375" spans="8:9">
      <c r="H9375" s="2"/>
      <c r="I9375" s="2"/>
    </row>
    <row r="9376" spans="8:9">
      <c r="H9376" s="2"/>
      <c r="I9376" s="2"/>
    </row>
    <row r="9377" spans="8:9">
      <c r="H9377" s="2"/>
      <c r="I9377" s="2"/>
    </row>
    <row r="9378" spans="8:9">
      <c r="H9378" s="2"/>
      <c r="I9378" s="2"/>
    </row>
    <row r="9379" spans="8:9">
      <c r="H9379" s="2"/>
      <c r="I9379" s="2"/>
    </row>
    <row r="9380" spans="8:9">
      <c r="H9380" s="2"/>
      <c r="I9380" s="2"/>
    </row>
    <row r="9381" spans="8:9">
      <c r="H9381" s="2"/>
      <c r="I9381" s="2"/>
    </row>
    <row r="9382" spans="8:9">
      <c r="H9382" s="2"/>
      <c r="I9382" s="2"/>
    </row>
    <row r="9383" spans="8:9">
      <c r="H9383" s="2"/>
      <c r="I9383" s="2"/>
    </row>
    <row r="9384" spans="8:9">
      <c r="H9384" s="2"/>
      <c r="I9384" s="2"/>
    </row>
    <row r="9385" spans="8:9">
      <c r="H9385" s="2"/>
      <c r="I9385" s="2"/>
    </row>
    <row r="9386" spans="8:9">
      <c r="H9386" s="2"/>
      <c r="I9386" s="2"/>
    </row>
    <row r="9387" spans="8:9">
      <c r="H9387" s="2"/>
      <c r="I9387" s="2"/>
    </row>
    <row r="9388" spans="8:9">
      <c r="H9388" s="2"/>
      <c r="I9388" s="2"/>
    </row>
    <row r="9389" spans="8:9">
      <c r="H9389" s="2"/>
      <c r="I9389" s="2"/>
    </row>
    <row r="9390" spans="8:9">
      <c r="H9390" s="2"/>
      <c r="I9390" s="2"/>
    </row>
    <row r="9391" spans="8:9">
      <c r="H9391" s="2"/>
      <c r="I9391" s="2"/>
    </row>
    <row r="9392" spans="8:9">
      <c r="H9392" s="2"/>
      <c r="I9392" s="2"/>
    </row>
    <row r="9393" spans="8:9">
      <c r="H9393" s="2"/>
      <c r="I9393" s="2"/>
    </row>
    <row r="9394" spans="8:9">
      <c r="H9394" s="2"/>
      <c r="I9394" s="2"/>
    </row>
    <row r="9395" spans="8:9">
      <c r="H9395" s="2"/>
      <c r="I9395" s="2"/>
    </row>
    <row r="9396" spans="8:9">
      <c r="H9396" s="2"/>
      <c r="I9396" s="2"/>
    </row>
    <row r="9397" spans="8:9">
      <c r="H9397" s="2"/>
      <c r="I9397" s="2"/>
    </row>
    <row r="9398" spans="8:9">
      <c r="H9398" s="2"/>
      <c r="I9398" s="2"/>
    </row>
    <row r="9399" spans="8:9">
      <c r="H9399" s="2"/>
      <c r="I9399" s="2"/>
    </row>
    <row r="9400" spans="8:9">
      <c r="H9400" s="2"/>
      <c r="I9400" s="2"/>
    </row>
    <row r="9401" spans="8:9">
      <c r="H9401" s="2"/>
      <c r="I9401" s="2"/>
    </row>
    <row r="9402" spans="8:9">
      <c r="H9402" s="2"/>
      <c r="I9402" s="2"/>
    </row>
    <row r="9403" spans="8:9">
      <c r="H9403" s="2"/>
      <c r="I9403" s="2"/>
    </row>
    <row r="9404" spans="8:9">
      <c r="H9404" s="2"/>
      <c r="I9404" s="2"/>
    </row>
    <row r="9405" spans="8:9">
      <c r="H9405" s="2"/>
      <c r="I9405" s="2"/>
    </row>
    <row r="9406" spans="8:9">
      <c r="H9406" s="2"/>
      <c r="I9406" s="2"/>
    </row>
    <row r="9407" spans="8:9">
      <c r="H9407" s="2"/>
      <c r="I9407" s="2"/>
    </row>
    <row r="9408" spans="8:9">
      <c r="H9408" s="2"/>
      <c r="I9408" s="2"/>
    </row>
    <row r="9409" spans="8:9">
      <c r="H9409" s="2"/>
      <c r="I9409" s="2"/>
    </row>
    <row r="9410" spans="8:9">
      <c r="H9410" s="2"/>
      <c r="I9410" s="2"/>
    </row>
    <row r="9411" spans="8:9">
      <c r="H9411" s="2"/>
      <c r="I9411" s="2"/>
    </row>
    <row r="9412" spans="8:9">
      <c r="H9412" s="2"/>
      <c r="I9412" s="2"/>
    </row>
    <row r="9413" spans="8:9">
      <c r="H9413" s="2"/>
      <c r="I9413" s="2"/>
    </row>
    <row r="9414" spans="8:9">
      <c r="H9414" s="2"/>
      <c r="I9414" s="2"/>
    </row>
    <row r="9415" spans="8:9">
      <c r="H9415" s="2"/>
      <c r="I9415" s="2"/>
    </row>
    <row r="9416" spans="8:9">
      <c r="H9416" s="2"/>
      <c r="I9416" s="2"/>
    </row>
    <row r="9417" spans="8:9">
      <c r="H9417" s="2"/>
      <c r="I9417" s="2"/>
    </row>
    <row r="9418" spans="8:9">
      <c r="H9418" s="2"/>
      <c r="I9418" s="2"/>
    </row>
    <row r="9419" spans="8:9">
      <c r="H9419" s="2"/>
      <c r="I9419" s="2"/>
    </row>
    <row r="9420" spans="8:9">
      <c r="H9420" s="2"/>
      <c r="I9420" s="2"/>
    </row>
    <row r="9421" spans="8:9">
      <c r="H9421" s="2"/>
      <c r="I9421" s="2"/>
    </row>
    <row r="9422" spans="8:9">
      <c r="H9422" s="2"/>
      <c r="I9422" s="2"/>
    </row>
    <row r="9423" spans="8:9">
      <c r="H9423" s="2"/>
      <c r="I9423" s="2"/>
    </row>
    <row r="9424" spans="8:9">
      <c r="H9424" s="2"/>
      <c r="I9424" s="2"/>
    </row>
    <row r="9425" spans="8:9">
      <c r="H9425" s="2"/>
      <c r="I9425" s="2"/>
    </row>
    <row r="9426" spans="8:9">
      <c r="H9426" s="2"/>
      <c r="I9426" s="2"/>
    </row>
    <row r="9427" spans="8:9">
      <c r="H9427" s="2"/>
      <c r="I9427" s="2"/>
    </row>
    <row r="9428" spans="8:9">
      <c r="H9428" s="2"/>
      <c r="I9428" s="2"/>
    </row>
    <row r="9429" spans="8:9">
      <c r="H9429" s="2"/>
      <c r="I9429" s="2"/>
    </row>
    <row r="9430" spans="8:9">
      <c r="H9430" s="2"/>
      <c r="I9430" s="2"/>
    </row>
    <row r="9431" spans="8:9">
      <c r="H9431" s="2"/>
      <c r="I9431" s="2"/>
    </row>
    <row r="9432" spans="8:9">
      <c r="H9432" s="2"/>
      <c r="I9432" s="2"/>
    </row>
    <row r="9433" spans="8:9">
      <c r="H9433" s="2"/>
      <c r="I9433" s="2"/>
    </row>
    <row r="9434" spans="8:9">
      <c r="H9434" s="2"/>
      <c r="I9434" s="2"/>
    </row>
    <row r="9435" spans="8:9">
      <c r="H9435" s="2"/>
      <c r="I9435" s="2"/>
    </row>
    <row r="9436" spans="8:9">
      <c r="H9436" s="2"/>
      <c r="I9436" s="2"/>
    </row>
    <row r="9437" spans="8:9">
      <c r="H9437" s="2"/>
      <c r="I9437" s="2"/>
    </row>
    <row r="9438" spans="8:9">
      <c r="H9438" s="2"/>
      <c r="I9438" s="2"/>
    </row>
    <row r="9439" spans="8:9">
      <c r="H9439" s="2"/>
      <c r="I9439" s="2"/>
    </row>
    <row r="9440" spans="8:9">
      <c r="H9440" s="2"/>
      <c r="I9440" s="2"/>
    </row>
    <row r="9441" spans="8:9">
      <c r="H9441" s="2"/>
      <c r="I9441" s="2"/>
    </row>
    <row r="9442" spans="8:9">
      <c r="H9442" s="2"/>
      <c r="I9442" s="2"/>
    </row>
    <row r="9443" spans="8:9">
      <c r="H9443" s="2"/>
      <c r="I9443" s="2"/>
    </row>
    <row r="9444" spans="8:9">
      <c r="H9444" s="2"/>
      <c r="I9444" s="2"/>
    </row>
    <row r="9445" spans="8:9">
      <c r="H9445" s="2"/>
      <c r="I9445" s="2"/>
    </row>
    <row r="9446" spans="8:9">
      <c r="H9446" s="2"/>
      <c r="I9446" s="2"/>
    </row>
    <row r="9447" spans="8:9">
      <c r="H9447" s="2"/>
      <c r="I9447" s="2"/>
    </row>
    <row r="9448" spans="8:9">
      <c r="H9448" s="2"/>
      <c r="I9448" s="2"/>
    </row>
    <row r="9449" spans="8:9">
      <c r="H9449" s="2"/>
      <c r="I9449" s="2"/>
    </row>
    <row r="9450" spans="8:9">
      <c r="H9450" s="2"/>
      <c r="I9450" s="2"/>
    </row>
    <row r="9451" spans="8:9">
      <c r="H9451" s="2"/>
      <c r="I9451" s="2"/>
    </row>
    <row r="9452" spans="8:9">
      <c r="H9452" s="2"/>
      <c r="I9452" s="2"/>
    </row>
    <row r="9453" spans="8:9">
      <c r="H9453" s="2"/>
      <c r="I9453" s="2"/>
    </row>
    <row r="9454" spans="8:9">
      <c r="H9454" s="2"/>
      <c r="I9454" s="2"/>
    </row>
    <row r="9455" spans="8:9">
      <c r="H9455" s="2"/>
      <c r="I9455" s="2"/>
    </row>
    <row r="9456" spans="8:9">
      <c r="H9456" s="2"/>
      <c r="I9456" s="2"/>
    </row>
    <row r="9457" spans="8:9">
      <c r="H9457" s="2"/>
      <c r="I9457" s="2"/>
    </row>
    <row r="9458" spans="8:9">
      <c r="H9458" s="2"/>
      <c r="I9458" s="2"/>
    </row>
    <row r="9459" spans="8:9">
      <c r="H9459" s="2"/>
      <c r="I9459" s="2"/>
    </row>
    <row r="9460" spans="8:9">
      <c r="H9460" s="2"/>
      <c r="I9460" s="2"/>
    </row>
    <row r="9461" spans="8:9">
      <c r="H9461" s="2"/>
      <c r="I9461" s="2"/>
    </row>
    <row r="9462" spans="8:9">
      <c r="H9462" s="2"/>
      <c r="I9462" s="2"/>
    </row>
    <row r="9463" spans="8:9">
      <c r="H9463" s="2"/>
      <c r="I9463" s="2"/>
    </row>
    <row r="9464" spans="8:9">
      <c r="H9464" s="2"/>
      <c r="I9464" s="2"/>
    </row>
    <row r="9465" spans="8:9">
      <c r="H9465" s="2"/>
      <c r="I9465" s="2"/>
    </row>
    <row r="9466" spans="8:9">
      <c r="H9466" s="2"/>
      <c r="I9466" s="2"/>
    </row>
    <row r="9467" spans="8:9">
      <c r="H9467" s="2"/>
      <c r="I9467" s="2"/>
    </row>
    <row r="9468" spans="8:9">
      <c r="H9468" s="2"/>
      <c r="I9468" s="2"/>
    </row>
    <row r="9469" spans="8:9">
      <c r="H9469" s="2"/>
      <c r="I9469" s="2"/>
    </row>
    <row r="9470" spans="8:9">
      <c r="H9470" s="2"/>
      <c r="I9470" s="2"/>
    </row>
    <row r="9471" spans="8:9">
      <c r="H9471" s="2"/>
      <c r="I9471" s="2"/>
    </row>
    <row r="9472" spans="8:9">
      <c r="H9472" s="2"/>
      <c r="I9472" s="2"/>
    </row>
    <row r="9473" spans="8:9">
      <c r="H9473" s="2"/>
      <c r="I9473" s="2"/>
    </row>
    <row r="9474" spans="8:9">
      <c r="H9474" s="2"/>
      <c r="I9474" s="2"/>
    </row>
    <row r="9475" spans="8:9">
      <c r="H9475" s="2"/>
      <c r="I9475" s="2"/>
    </row>
    <row r="9476" spans="8:9">
      <c r="H9476" s="2"/>
      <c r="I9476" s="2"/>
    </row>
    <row r="9477" spans="8:9">
      <c r="H9477" s="2"/>
      <c r="I9477" s="2"/>
    </row>
    <row r="9478" spans="8:9">
      <c r="H9478" s="2"/>
      <c r="I9478" s="2"/>
    </row>
    <row r="9479" spans="8:9">
      <c r="H9479" s="2"/>
      <c r="I9479" s="2"/>
    </row>
    <row r="9480" spans="8:9">
      <c r="H9480" s="2"/>
      <c r="I9480" s="2"/>
    </row>
    <row r="9481" spans="8:9">
      <c r="H9481" s="2"/>
      <c r="I9481" s="2"/>
    </row>
    <row r="9482" spans="8:9">
      <c r="H9482" s="2"/>
      <c r="I9482" s="2"/>
    </row>
    <row r="9483" spans="8:9">
      <c r="H9483" s="2"/>
      <c r="I9483" s="2"/>
    </row>
    <row r="9484" spans="8:9">
      <c r="H9484" s="2"/>
      <c r="I9484" s="2"/>
    </row>
    <row r="9485" spans="8:9">
      <c r="H9485" s="2"/>
      <c r="I9485" s="2"/>
    </row>
    <row r="9486" spans="8:9">
      <c r="H9486" s="2"/>
      <c r="I9486" s="2"/>
    </row>
    <row r="9487" spans="8:9">
      <c r="H9487" s="2"/>
      <c r="I9487" s="2"/>
    </row>
    <row r="9488" spans="8:9">
      <c r="H9488" s="2"/>
      <c r="I9488" s="2"/>
    </row>
    <row r="9489" spans="8:9">
      <c r="H9489" s="2"/>
      <c r="I9489" s="2"/>
    </row>
    <row r="9490" spans="8:9">
      <c r="H9490" s="2"/>
      <c r="I9490" s="2"/>
    </row>
    <row r="9491" spans="8:9">
      <c r="H9491" s="2"/>
      <c r="I9491" s="2"/>
    </row>
    <row r="9492" spans="8:9">
      <c r="H9492" s="2"/>
      <c r="I9492" s="2"/>
    </row>
    <row r="9493" spans="8:9">
      <c r="H9493" s="2"/>
      <c r="I9493" s="2"/>
    </row>
    <row r="9494" spans="8:9">
      <c r="H9494" s="2"/>
      <c r="I9494" s="2"/>
    </row>
    <row r="9495" spans="8:9">
      <c r="H9495" s="2"/>
      <c r="I9495" s="2"/>
    </row>
    <row r="9496" spans="8:9">
      <c r="H9496" s="2"/>
      <c r="I9496" s="2"/>
    </row>
    <row r="9497" spans="8:9">
      <c r="H9497" s="2"/>
      <c r="I9497" s="2"/>
    </row>
    <row r="9498" spans="8:9">
      <c r="H9498" s="2"/>
      <c r="I9498" s="2"/>
    </row>
    <row r="9499" spans="8:9">
      <c r="H9499" s="2"/>
      <c r="I9499" s="2"/>
    </row>
    <row r="9500" spans="8:9">
      <c r="H9500" s="2"/>
      <c r="I9500" s="2"/>
    </row>
    <row r="9501" spans="8:9">
      <c r="H9501" s="2"/>
      <c r="I9501" s="2"/>
    </row>
    <row r="9502" spans="8:9">
      <c r="H9502" s="2"/>
      <c r="I9502" s="2"/>
    </row>
    <row r="9503" spans="8:9">
      <c r="H9503" s="2"/>
      <c r="I9503" s="2"/>
    </row>
    <row r="9504" spans="8:9">
      <c r="H9504" s="2"/>
      <c r="I9504" s="2"/>
    </row>
    <row r="9505" spans="8:9">
      <c r="H9505" s="2"/>
      <c r="I9505" s="2"/>
    </row>
    <row r="9506" spans="8:9">
      <c r="H9506" s="2"/>
      <c r="I9506" s="2"/>
    </row>
    <row r="9507" spans="8:9">
      <c r="H9507" s="2"/>
      <c r="I9507" s="2"/>
    </row>
    <row r="9508" spans="8:9">
      <c r="H9508" s="2"/>
      <c r="I9508" s="2"/>
    </row>
    <row r="9509" spans="8:9">
      <c r="H9509" s="2"/>
      <c r="I9509" s="2"/>
    </row>
    <row r="9510" spans="8:9">
      <c r="H9510" s="2"/>
      <c r="I9510" s="2"/>
    </row>
    <row r="9511" spans="8:9">
      <c r="H9511" s="2"/>
      <c r="I9511" s="2"/>
    </row>
    <row r="9512" spans="8:9">
      <c r="H9512" s="2"/>
      <c r="I9512" s="2"/>
    </row>
    <row r="9513" spans="8:9">
      <c r="H9513" s="2"/>
      <c r="I9513" s="2"/>
    </row>
    <row r="9514" spans="8:9">
      <c r="H9514" s="2"/>
      <c r="I9514" s="2"/>
    </row>
    <row r="9515" spans="8:9">
      <c r="H9515" s="2"/>
      <c r="I9515" s="2"/>
    </row>
    <row r="9516" spans="8:9">
      <c r="H9516" s="2"/>
      <c r="I9516" s="2"/>
    </row>
    <row r="9517" spans="8:9">
      <c r="H9517" s="2"/>
      <c r="I9517" s="2"/>
    </row>
    <row r="9518" spans="8:9">
      <c r="H9518" s="2"/>
      <c r="I9518" s="2"/>
    </row>
    <row r="9519" spans="8:9">
      <c r="H9519" s="2"/>
      <c r="I9519" s="2"/>
    </row>
    <row r="9520" spans="8:9">
      <c r="H9520" s="2"/>
      <c r="I9520" s="2"/>
    </row>
    <row r="9521" spans="8:9">
      <c r="H9521" s="2"/>
      <c r="I9521" s="2"/>
    </row>
    <row r="9522" spans="8:9">
      <c r="H9522" s="2"/>
      <c r="I9522" s="2"/>
    </row>
    <row r="9523" spans="8:9">
      <c r="H9523" s="2"/>
      <c r="I9523" s="2"/>
    </row>
    <row r="9524" spans="8:9">
      <c r="H9524" s="2"/>
      <c r="I9524" s="2"/>
    </row>
    <row r="9525" spans="8:9">
      <c r="H9525" s="2"/>
      <c r="I9525" s="2"/>
    </row>
    <row r="9526" spans="8:9">
      <c r="H9526" s="2"/>
      <c r="I9526" s="2"/>
    </row>
    <row r="9527" spans="8:9">
      <c r="H9527" s="2"/>
      <c r="I9527" s="2"/>
    </row>
    <row r="9528" spans="8:9">
      <c r="H9528" s="2"/>
      <c r="I9528" s="2"/>
    </row>
    <row r="9529" spans="8:9">
      <c r="H9529" s="2"/>
      <c r="I9529" s="2"/>
    </row>
    <row r="9530" spans="8:9">
      <c r="H9530" s="2"/>
      <c r="I9530" s="2"/>
    </row>
    <row r="9531" spans="8:9">
      <c r="H9531" s="2"/>
      <c r="I9531" s="2"/>
    </row>
    <row r="9532" spans="8:9">
      <c r="H9532" s="2"/>
      <c r="I9532" s="2"/>
    </row>
    <row r="9533" spans="8:9">
      <c r="H9533" s="2"/>
      <c r="I9533" s="2"/>
    </row>
    <row r="9534" spans="8:9">
      <c r="H9534" s="2"/>
      <c r="I9534" s="2"/>
    </row>
    <row r="9535" spans="8:9">
      <c r="H9535" s="2"/>
      <c r="I9535" s="2"/>
    </row>
    <row r="9536" spans="8:9">
      <c r="H9536" s="2"/>
      <c r="I9536" s="2"/>
    </row>
    <row r="9537" spans="8:9">
      <c r="H9537" s="2"/>
      <c r="I9537" s="2"/>
    </row>
    <row r="9538" spans="8:9">
      <c r="H9538" s="2"/>
      <c r="I9538" s="2"/>
    </row>
    <row r="9539" spans="8:9">
      <c r="H9539" s="2"/>
      <c r="I9539" s="2"/>
    </row>
    <row r="9540" spans="8:9">
      <c r="H9540" s="2"/>
      <c r="I9540" s="2"/>
    </row>
    <row r="9541" spans="8:9">
      <c r="H9541" s="2"/>
      <c r="I9541" s="2"/>
    </row>
    <row r="9542" spans="8:9">
      <c r="H9542" s="2"/>
      <c r="I9542" s="2"/>
    </row>
    <row r="9543" spans="8:9">
      <c r="H9543" s="2"/>
      <c r="I9543" s="2"/>
    </row>
    <row r="9544" spans="8:9">
      <c r="H9544" s="2"/>
      <c r="I9544" s="2"/>
    </row>
    <row r="9545" spans="8:9">
      <c r="H9545" s="2"/>
      <c r="I9545" s="2"/>
    </row>
    <row r="9546" spans="8:9">
      <c r="H9546" s="2"/>
      <c r="I9546" s="2"/>
    </row>
    <row r="9547" spans="8:9">
      <c r="H9547" s="2"/>
      <c r="I9547" s="2"/>
    </row>
    <row r="9548" spans="8:9">
      <c r="H9548" s="2"/>
      <c r="I9548" s="2"/>
    </row>
    <row r="9549" spans="8:9">
      <c r="H9549" s="2"/>
      <c r="I9549" s="2"/>
    </row>
    <row r="9550" spans="8:9">
      <c r="H9550" s="2"/>
      <c r="I9550" s="2"/>
    </row>
    <row r="9551" spans="8:9">
      <c r="H9551" s="2"/>
      <c r="I9551" s="2"/>
    </row>
    <row r="9552" spans="8:9">
      <c r="H9552" s="2"/>
      <c r="I9552" s="2"/>
    </row>
    <row r="9553" spans="8:9">
      <c r="H9553" s="2"/>
      <c r="I9553" s="2"/>
    </row>
    <row r="9554" spans="8:9">
      <c r="H9554" s="2"/>
      <c r="I9554" s="2"/>
    </row>
    <row r="9555" spans="8:9">
      <c r="H9555" s="2"/>
      <c r="I9555" s="2"/>
    </row>
    <row r="9556" spans="8:9">
      <c r="H9556" s="2"/>
      <c r="I9556" s="2"/>
    </row>
    <row r="9557" spans="8:9">
      <c r="H9557" s="2"/>
      <c r="I9557" s="2"/>
    </row>
    <row r="9558" spans="8:9">
      <c r="H9558" s="2"/>
      <c r="I9558" s="2"/>
    </row>
    <row r="9559" spans="8:9">
      <c r="H9559" s="2"/>
      <c r="I9559" s="2"/>
    </row>
    <row r="9560" spans="8:9">
      <c r="H9560" s="2"/>
      <c r="I9560" s="2"/>
    </row>
    <row r="9561" spans="8:9">
      <c r="H9561" s="2"/>
      <c r="I9561" s="2"/>
    </row>
    <row r="9562" spans="8:9">
      <c r="H9562" s="2"/>
      <c r="I9562" s="2"/>
    </row>
    <row r="9563" spans="8:9">
      <c r="H9563" s="2"/>
      <c r="I9563" s="2"/>
    </row>
    <row r="9564" spans="8:9">
      <c r="H9564" s="2"/>
      <c r="I9564" s="2"/>
    </row>
    <row r="9565" spans="8:9">
      <c r="H9565" s="2"/>
      <c r="I9565" s="2"/>
    </row>
    <row r="9566" spans="8:9">
      <c r="H9566" s="2"/>
      <c r="I9566" s="2"/>
    </row>
    <row r="9567" spans="8:9">
      <c r="H9567" s="2"/>
      <c r="I9567" s="2"/>
    </row>
    <row r="9568" spans="8:9">
      <c r="H9568" s="2"/>
      <c r="I9568" s="2"/>
    </row>
    <row r="9569" spans="8:9">
      <c r="H9569" s="2"/>
      <c r="I9569" s="2"/>
    </row>
    <row r="9570" spans="8:9">
      <c r="H9570" s="2"/>
      <c r="I9570" s="2"/>
    </row>
    <row r="9571" spans="8:9">
      <c r="H9571" s="2"/>
      <c r="I9571" s="2"/>
    </row>
    <row r="9572" spans="8:9">
      <c r="H9572" s="2"/>
      <c r="I9572" s="2"/>
    </row>
    <row r="9573" spans="8:9">
      <c r="H9573" s="2"/>
      <c r="I9573" s="2"/>
    </row>
    <row r="9574" spans="8:9">
      <c r="H9574" s="2"/>
      <c r="I9574" s="2"/>
    </row>
    <row r="9575" spans="8:9">
      <c r="H9575" s="2"/>
      <c r="I9575" s="2"/>
    </row>
    <row r="9576" spans="8:9">
      <c r="H9576" s="2"/>
      <c r="I9576" s="2"/>
    </row>
    <row r="9577" spans="8:9">
      <c r="H9577" s="2"/>
      <c r="I9577" s="2"/>
    </row>
    <row r="9578" spans="8:9">
      <c r="H9578" s="2"/>
      <c r="I9578" s="2"/>
    </row>
    <row r="9579" spans="8:9">
      <c r="H9579" s="2"/>
      <c r="I9579" s="2"/>
    </row>
    <row r="9580" spans="8:9">
      <c r="H9580" s="2"/>
      <c r="I9580" s="2"/>
    </row>
    <row r="9581" spans="8:9">
      <c r="H9581" s="2"/>
      <c r="I9581" s="2"/>
    </row>
    <row r="9582" spans="8:9">
      <c r="H9582" s="2"/>
      <c r="I9582" s="2"/>
    </row>
    <row r="9583" spans="8:9">
      <c r="H9583" s="2"/>
      <c r="I9583" s="2"/>
    </row>
    <row r="9584" spans="8:9">
      <c r="H9584" s="2"/>
      <c r="I9584" s="2"/>
    </row>
    <row r="9585" spans="8:9">
      <c r="H9585" s="2"/>
      <c r="I9585" s="2"/>
    </row>
    <row r="9586" spans="8:9">
      <c r="H9586" s="2"/>
      <c r="I9586" s="2"/>
    </row>
    <row r="9587" spans="8:9">
      <c r="H9587" s="2"/>
      <c r="I9587" s="2"/>
    </row>
    <row r="9588" spans="8:9">
      <c r="H9588" s="2"/>
      <c r="I9588" s="2"/>
    </row>
    <row r="9589" spans="8:9">
      <c r="H9589" s="2"/>
      <c r="I9589" s="2"/>
    </row>
    <row r="9590" spans="8:9">
      <c r="H9590" s="2"/>
      <c r="I9590" s="2"/>
    </row>
    <row r="9591" spans="8:9">
      <c r="H9591" s="2"/>
      <c r="I9591" s="2"/>
    </row>
    <row r="9592" spans="8:9">
      <c r="H9592" s="2"/>
      <c r="I9592" s="2"/>
    </row>
    <row r="9593" spans="8:9">
      <c r="H9593" s="2"/>
      <c r="I9593" s="2"/>
    </row>
    <row r="9594" spans="8:9">
      <c r="H9594" s="2"/>
      <c r="I9594" s="2"/>
    </row>
    <row r="9595" spans="8:9">
      <c r="H9595" s="2"/>
      <c r="I9595" s="2"/>
    </row>
    <row r="9596" spans="8:9">
      <c r="H9596" s="2"/>
      <c r="I9596" s="2"/>
    </row>
    <row r="9597" spans="8:9">
      <c r="H9597" s="2"/>
      <c r="I9597" s="2"/>
    </row>
    <row r="9598" spans="8:9">
      <c r="H9598" s="2"/>
      <c r="I9598" s="2"/>
    </row>
    <row r="9599" spans="8:9">
      <c r="H9599" s="2"/>
      <c r="I9599" s="2"/>
    </row>
    <row r="9600" spans="8:9">
      <c r="H9600" s="2"/>
      <c r="I9600" s="2"/>
    </row>
    <row r="9601" spans="8:9">
      <c r="H9601" s="2"/>
      <c r="I9601" s="2"/>
    </row>
    <row r="9602" spans="8:9">
      <c r="H9602" s="2"/>
      <c r="I9602" s="2"/>
    </row>
    <row r="9603" spans="8:9">
      <c r="H9603" s="2"/>
      <c r="I9603" s="2"/>
    </row>
    <row r="9604" spans="8:9">
      <c r="H9604" s="2"/>
      <c r="I9604" s="2"/>
    </row>
    <row r="9605" spans="8:9">
      <c r="H9605" s="2"/>
      <c r="I9605" s="2"/>
    </row>
    <row r="9606" spans="8:9">
      <c r="H9606" s="2"/>
      <c r="I9606" s="2"/>
    </row>
    <row r="9607" spans="8:9">
      <c r="H9607" s="2"/>
      <c r="I9607" s="2"/>
    </row>
    <row r="9608" spans="8:9">
      <c r="H9608" s="2"/>
      <c r="I9608" s="2"/>
    </row>
    <row r="9609" spans="8:9">
      <c r="H9609" s="2"/>
      <c r="I9609" s="2"/>
    </row>
    <row r="9610" spans="8:9">
      <c r="H9610" s="2"/>
      <c r="I9610" s="2"/>
    </row>
    <row r="9611" spans="8:9">
      <c r="H9611" s="2"/>
      <c r="I9611" s="2"/>
    </row>
    <row r="9612" spans="8:9">
      <c r="H9612" s="2"/>
      <c r="I9612" s="2"/>
    </row>
    <row r="9613" spans="8:9">
      <c r="H9613" s="2"/>
      <c r="I9613" s="2"/>
    </row>
    <row r="9614" spans="8:9">
      <c r="H9614" s="2"/>
      <c r="I9614" s="2"/>
    </row>
    <row r="9615" spans="8:9">
      <c r="H9615" s="2"/>
      <c r="I9615" s="2"/>
    </row>
    <row r="9616" spans="8:9">
      <c r="H9616" s="2"/>
      <c r="I9616" s="2"/>
    </row>
    <row r="9617" spans="8:9">
      <c r="H9617" s="2"/>
      <c r="I9617" s="2"/>
    </row>
    <row r="9618" spans="8:9">
      <c r="H9618" s="2"/>
      <c r="I9618" s="2"/>
    </row>
    <row r="9619" spans="8:9">
      <c r="H9619" s="2"/>
      <c r="I9619" s="2"/>
    </row>
    <row r="9620" spans="8:9">
      <c r="H9620" s="2"/>
      <c r="I9620" s="2"/>
    </row>
    <row r="9621" spans="8:9">
      <c r="H9621" s="2"/>
      <c r="I9621" s="2"/>
    </row>
    <row r="9622" spans="8:9">
      <c r="H9622" s="2"/>
      <c r="I9622" s="2"/>
    </row>
    <row r="9623" spans="8:9">
      <c r="H9623" s="2"/>
      <c r="I9623" s="2"/>
    </row>
    <row r="9624" spans="8:9">
      <c r="H9624" s="2"/>
      <c r="I9624" s="2"/>
    </row>
    <row r="9625" spans="8:9">
      <c r="H9625" s="2"/>
      <c r="I9625" s="2"/>
    </row>
    <row r="9626" spans="8:9">
      <c r="H9626" s="2"/>
      <c r="I9626" s="2"/>
    </row>
    <row r="9627" spans="8:9">
      <c r="H9627" s="2"/>
      <c r="I9627" s="2"/>
    </row>
    <row r="9628" spans="8:9">
      <c r="H9628" s="2"/>
      <c r="I9628" s="2"/>
    </row>
    <row r="9629" spans="8:9">
      <c r="H9629" s="2"/>
      <c r="I9629" s="2"/>
    </row>
    <row r="9630" spans="8:9">
      <c r="H9630" s="2"/>
      <c r="I9630" s="2"/>
    </row>
    <row r="9631" spans="8:9">
      <c r="H9631" s="2"/>
      <c r="I9631" s="2"/>
    </row>
    <row r="9632" spans="8:9">
      <c r="H9632" s="2"/>
      <c r="I9632" s="2"/>
    </row>
    <row r="9633" spans="8:9">
      <c r="H9633" s="2"/>
      <c r="I9633" s="2"/>
    </row>
    <row r="9634" spans="8:9">
      <c r="H9634" s="2"/>
      <c r="I9634" s="2"/>
    </row>
    <row r="9635" spans="8:9">
      <c r="H9635" s="2"/>
      <c r="I9635" s="2"/>
    </row>
    <row r="9636" spans="8:9">
      <c r="H9636" s="2"/>
      <c r="I9636" s="2"/>
    </row>
    <row r="9637" spans="8:9">
      <c r="H9637" s="2"/>
      <c r="I9637" s="2"/>
    </row>
    <row r="9638" spans="8:9">
      <c r="H9638" s="2"/>
      <c r="I9638" s="2"/>
    </row>
    <row r="9639" spans="8:9">
      <c r="H9639" s="2"/>
      <c r="I9639" s="2"/>
    </row>
    <row r="9640" spans="8:9">
      <c r="H9640" s="2"/>
      <c r="I9640" s="2"/>
    </row>
    <row r="9641" spans="8:9">
      <c r="H9641" s="2"/>
      <c r="I9641" s="2"/>
    </row>
    <row r="9642" spans="8:9">
      <c r="H9642" s="2"/>
      <c r="I9642" s="2"/>
    </row>
    <row r="9643" spans="8:9">
      <c r="H9643" s="2"/>
      <c r="I9643" s="2"/>
    </row>
    <row r="9644" spans="8:9">
      <c r="H9644" s="2"/>
      <c r="I9644" s="2"/>
    </row>
    <row r="9645" spans="8:9">
      <c r="H9645" s="2"/>
      <c r="I9645" s="2"/>
    </row>
    <row r="9646" spans="8:9">
      <c r="H9646" s="2"/>
      <c r="I9646" s="2"/>
    </row>
    <row r="9647" spans="8:9">
      <c r="H9647" s="2"/>
      <c r="I9647" s="2"/>
    </row>
    <row r="9648" spans="8:9">
      <c r="H9648" s="2"/>
      <c r="I9648" s="2"/>
    </row>
    <row r="9649" spans="8:9">
      <c r="H9649" s="2"/>
      <c r="I9649" s="2"/>
    </row>
    <row r="9650" spans="8:9">
      <c r="H9650" s="2"/>
      <c r="I9650" s="2"/>
    </row>
    <row r="9651" spans="8:9">
      <c r="H9651" s="2"/>
      <c r="I9651" s="2"/>
    </row>
    <row r="9652" spans="8:9">
      <c r="H9652" s="2"/>
      <c r="I9652" s="2"/>
    </row>
    <row r="9653" spans="8:9">
      <c r="H9653" s="2"/>
      <c r="I9653" s="2"/>
    </row>
    <row r="9654" spans="8:9">
      <c r="H9654" s="2"/>
      <c r="I9654" s="2"/>
    </row>
    <row r="9655" spans="8:9">
      <c r="H9655" s="2"/>
      <c r="I9655" s="2"/>
    </row>
    <row r="9656" spans="8:9">
      <c r="H9656" s="2"/>
      <c r="I9656" s="2"/>
    </row>
    <row r="9657" spans="8:9">
      <c r="H9657" s="2"/>
      <c r="I9657" s="2"/>
    </row>
    <row r="9658" spans="8:9">
      <c r="H9658" s="2"/>
      <c r="I9658" s="2"/>
    </row>
    <row r="9659" spans="8:9">
      <c r="H9659" s="2"/>
      <c r="I9659" s="2"/>
    </row>
    <row r="9660" spans="8:9">
      <c r="H9660" s="2"/>
      <c r="I9660" s="2"/>
    </row>
    <row r="9661" spans="8:9">
      <c r="H9661" s="2"/>
      <c r="I9661" s="2"/>
    </row>
    <row r="9662" spans="8:9">
      <c r="H9662" s="2"/>
      <c r="I9662" s="2"/>
    </row>
    <row r="9663" spans="8:9">
      <c r="H9663" s="2"/>
      <c r="I9663" s="2"/>
    </row>
    <row r="9664" spans="8:9">
      <c r="H9664" s="2"/>
      <c r="I9664" s="2"/>
    </row>
    <row r="9665" spans="8:9">
      <c r="H9665" s="2"/>
      <c r="I9665" s="2"/>
    </row>
    <row r="9666" spans="8:9">
      <c r="H9666" s="2"/>
      <c r="I9666" s="2"/>
    </row>
    <row r="9667" spans="8:9">
      <c r="H9667" s="2"/>
      <c r="I9667" s="2"/>
    </row>
    <row r="9668" spans="8:9">
      <c r="H9668" s="2"/>
      <c r="I9668" s="2"/>
    </row>
    <row r="9669" spans="8:9">
      <c r="H9669" s="2"/>
      <c r="I9669" s="2"/>
    </row>
    <row r="9670" spans="8:9">
      <c r="H9670" s="2"/>
      <c r="I9670" s="2"/>
    </row>
    <row r="9671" spans="8:9">
      <c r="H9671" s="2"/>
      <c r="I9671" s="2"/>
    </row>
    <row r="9672" spans="8:9">
      <c r="H9672" s="2"/>
      <c r="I9672" s="2"/>
    </row>
    <row r="9673" spans="8:9">
      <c r="H9673" s="2"/>
      <c r="I9673" s="2"/>
    </row>
    <row r="9674" spans="8:9">
      <c r="H9674" s="2"/>
      <c r="I9674" s="2"/>
    </row>
    <row r="9675" spans="8:9">
      <c r="H9675" s="2"/>
      <c r="I9675" s="2"/>
    </row>
    <row r="9676" spans="8:9">
      <c r="H9676" s="2"/>
      <c r="I9676" s="2"/>
    </row>
    <row r="9677" spans="8:9">
      <c r="H9677" s="2"/>
      <c r="I9677" s="2"/>
    </row>
    <row r="9678" spans="8:9">
      <c r="H9678" s="2"/>
      <c r="I9678" s="2"/>
    </row>
    <row r="9679" spans="8:9">
      <c r="H9679" s="2"/>
      <c r="I9679" s="2"/>
    </row>
    <row r="9680" spans="8:9">
      <c r="H9680" s="2"/>
      <c r="I9680" s="2"/>
    </row>
    <row r="9681" spans="8:9">
      <c r="H9681" s="2"/>
      <c r="I9681" s="2"/>
    </row>
    <row r="9682" spans="8:9">
      <c r="H9682" s="2"/>
      <c r="I9682" s="2"/>
    </row>
    <row r="9683" spans="8:9">
      <c r="H9683" s="2"/>
      <c r="I9683" s="2"/>
    </row>
    <row r="9684" spans="8:9">
      <c r="H9684" s="2"/>
      <c r="I9684" s="2"/>
    </row>
    <row r="9685" spans="8:9">
      <c r="H9685" s="2"/>
      <c r="I9685" s="2"/>
    </row>
    <row r="9686" spans="8:9">
      <c r="H9686" s="2"/>
      <c r="I9686" s="2"/>
    </row>
    <row r="9687" spans="8:9">
      <c r="H9687" s="2"/>
      <c r="I9687" s="2"/>
    </row>
    <row r="9688" spans="8:9">
      <c r="H9688" s="2"/>
      <c r="I9688" s="2"/>
    </row>
    <row r="9689" spans="8:9">
      <c r="H9689" s="2"/>
      <c r="I9689" s="2"/>
    </row>
    <row r="9690" spans="8:9">
      <c r="H9690" s="2"/>
      <c r="I9690" s="2"/>
    </row>
    <row r="9691" spans="8:9">
      <c r="H9691" s="2"/>
      <c r="I9691" s="2"/>
    </row>
    <row r="9692" spans="8:9">
      <c r="H9692" s="2"/>
      <c r="I9692" s="2"/>
    </row>
    <row r="9693" spans="8:9">
      <c r="H9693" s="2"/>
      <c r="I9693" s="2"/>
    </row>
    <row r="9694" spans="8:9">
      <c r="H9694" s="2"/>
      <c r="I9694" s="2"/>
    </row>
    <row r="9695" spans="8:9">
      <c r="H9695" s="2"/>
      <c r="I9695" s="2"/>
    </row>
    <row r="9696" spans="8:9">
      <c r="H9696" s="2"/>
      <c r="I9696" s="2"/>
    </row>
    <row r="9697" spans="8:9">
      <c r="H9697" s="2"/>
      <c r="I9697" s="2"/>
    </row>
    <row r="9698" spans="8:9">
      <c r="H9698" s="2"/>
      <c r="I9698" s="2"/>
    </row>
    <row r="9699" spans="8:9">
      <c r="H9699" s="2"/>
      <c r="I9699" s="2"/>
    </row>
    <row r="9700" spans="8:9">
      <c r="H9700" s="2"/>
      <c r="I9700" s="2"/>
    </row>
    <row r="9701" spans="8:9">
      <c r="H9701" s="2"/>
      <c r="I9701" s="2"/>
    </row>
    <row r="9702" spans="8:9">
      <c r="H9702" s="2"/>
      <c r="I9702" s="2"/>
    </row>
    <row r="9703" spans="8:9">
      <c r="H9703" s="2"/>
      <c r="I9703" s="2"/>
    </row>
    <row r="9704" spans="8:9">
      <c r="H9704" s="2"/>
      <c r="I9704" s="2"/>
    </row>
    <row r="9705" spans="8:9">
      <c r="H9705" s="2"/>
      <c r="I9705" s="2"/>
    </row>
    <row r="9706" spans="8:9">
      <c r="H9706" s="2"/>
      <c r="I9706" s="2"/>
    </row>
    <row r="9707" spans="8:9">
      <c r="H9707" s="2"/>
      <c r="I9707" s="2"/>
    </row>
    <row r="9708" spans="8:9">
      <c r="H9708" s="2"/>
      <c r="I9708" s="2"/>
    </row>
    <row r="9709" spans="8:9">
      <c r="H9709" s="2"/>
      <c r="I9709" s="2"/>
    </row>
    <row r="9710" spans="8:9">
      <c r="H9710" s="2"/>
      <c r="I9710" s="2"/>
    </row>
    <row r="9711" spans="8:9">
      <c r="H9711" s="2"/>
      <c r="I9711" s="2"/>
    </row>
    <row r="9712" spans="8:9">
      <c r="H9712" s="2"/>
      <c r="I9712" s="2"/>
    </row>
    <row r="9713" spans="8:9">
      <c r="H9713" s="2"/>
      <c r="I9713" s="2"/>
    </row>
    <row r="9714" spans="8:9">
      <c r="H9714" s="2"/>
      <c r="I9714" s="2"/>
    </row>
    <row r="9715" spans="8:9">
      <c r="H9715" s="2"/>
      <c r="I9715" s="2"/>
    </row>
    <row r="9716" spans="8:9">
      <c r="H9716" s="2"/>
      <c r="I9716" s="2"/>
    </row>
    <row r="9717" spans="8:9">
      <c r="H9717" s="2"/>
      <c r="I9717" s="2"/>
    </row>
    <row r="9718" spans="8:9">
      <c r="H9718" s="2"/>
      <c r="I9718" s="2"/>
    </row>
    <row r="9719" spans="8:9">
      <c r="H9719" s="2"/>
      <c r="I9719" s="2"/>
    </row>
    <row r="9720" spans="8:9">
      <c r="H9720" s="2"/>
      <c r="I9720" s="2"/>
    </row>
    <row r="9721" spans="8:9">
      <c r="H9721" s="2"/>
      <c r="I9721" s="2"/>
    </row>
    <row r="9722" spans="8:9">
      <c r="H9722" s="2"/>
      <c r="I9722" s="2"/>
    </row>
    <row r="9723" spans="8:9">
      <c r="H9723" s="2"/>
      <c r="I9723" s="2"/>
    </row>
    <row r="9724" spans="8:9">
      <c r="H9724" s="2"/>
      <c r="I9724" s="2"/>
    </row>
    <row r="9725" spans="8:9">
      <c r="H9725" s="2"/>
      <c r="I9725" s="2"/>
    </row>
    <row r="9726" spans="8:9">
      <c r="H9726" s="2"/>
      <c r="I9726" s="2"/>
    </row>
    <row r="9727" spans="8:9">
      <c r="H9727" s="2"/>
      <c r="I9727" s="2"/>
    </row>
    <row r="9728" spans="8:9">
      <c r="H9728" s="2"/>
      <c r="I9728" s="2"/>
    </row>
    <row r="9729" spans="8:9">
      <c r="H9729" s="2"/>
      <c r="I9729" s="2"/>
    </row>
    <row r="9730" spans="8:9">
      <c r="H9730" s="2"/>
      <c r="I9730" s="2"/>
    </row>
    <row r="9731" spans="8:9">
      <c r="H9731" s="2"/>
      <c r="I9731" s="2"/>
    </row>
    <row r="9732" spans="8:9">
      <c r="H9732" s="2"/>
      <c r="I9732" s="2"/>
    </row>
    <row r="9733" spans="8:9">
      <c r="H9733" s="2"/>
      <c r="I9733" s="2"/>
    </row>
    <row r="9734" spans="8:9">
      <c r="H9734" s="2"/>
      <c r="I9734" s="2"/>
    </row>
    <row r="9735" spans="8:9">
      <c r="H9735" s="2"/>
      <c r="I9735" s="2"/>
    </row>
    <row r="9736" spans="8:9">
      <c r="H9736" s="2"/>
      <c r="I9736" s="2"/>
    </row>
    <row r="9737" spans="8:9">
      <c r="H9737" s="2"/>
      <c r="I9737" s="2"/>
    </row>
    <row r="9738" spans="8:9">
      <c r="H9738" s="2"/>
      <c r="I9738" s="2"/>
    </row>
    <row r="9739" spans="8:9">
      <c r="H9739" s="2"/>
      <c r="I9739" s="2"/>
    </row>
    <row r="9740" spans="8:9">
      <c r="H9740" s="2"/>
      <c r="I9740" s="2"/>
    </row>
    <row r="9741" spans="8:9">
      <c r="H9741" s="2"/>
      <c r="I9741" s="2"/>
    </row>
    <row r="9742" spans="8:9">
      <c r="H9742" s="2"/>
      <c r="I9742" s="2"/>
    </row>
    <row r="9743" spans="8:9">
      <c r="H9743" s="2"/>
      <c r="I9743" s="2"/>
    </row>
    <row r="9744" spans="8:9">
      <c r="H9744" s="2"/>
      <c r="I9744" s="2"/>
    </row>
    <row r="9745" spans="8:9">
      <c r="H9745" s="2"/>
      <c r="I9745" s="2"/>
    </row>
    <row r="9746" spans="8:9">
      <c r="H9746" s="2"/>
      <c r="I9746" s="2"/>
    </row>
    <row r="9747" spans="8:9">
      <c r="H9747" s="2"/>
      <c r="I9747" s="2"/>
    </row>
    <row r="9748" spans="8:9">
      <c r="H9748" s="2"/>
      <c r="I9748" s="2"/>
    </row>
    <row r="9749" spans="8:9">
      <c r="H9749" s="2"/>
      <c r="I9749" s="2"/>
    </row>
    <row r="9750" spans="8:9">
      <c r="H9750" s="2"/>
      <c r="I9750" s="2"/>
    </row>
    <row r="9751" spans="8:9">
      <c r="H9751" s="2"/>
      <c r="I9751" s="2"/>
    </row>
    <row r="9752" spans="8:9">
      <c r="H9752" s="2"/>
      <c r="I9752" s="2"/>
    </row>
    <row r="9753" spans="8:9">
      <c r="H9753" s="2"/>
      <c r="I9753" s="2"/>
    </row>
    <row r="9754" spans="8:9">
      <c r="H9754" s="2"/>
      <c r="I9754" s="2"/>
    </row>
    <row r="9755" spans="8:9">
      <c r="H9755" s="2"/>
      <c r="I9755" s="2"/>
    </row>
    <row r="9756" spans="8:9">
      <c r="H9756" s="2"/>
      <c r="I9756" s="2"/>
    </row>
    <row r="9757" spans="8:9">
      <c r="H9757" s="2"/>
      <c r="I9757" s="2"/>
    </row>
    <row r="9758" spans="8:9">
      <c r="H9758" s="2"/>
      <c r="I9758" s="2"/>
    </row>
    <row r="9759" spans="8:9">
      <c r="H9759" s="2"/>
      <c r="I9759" s="2"/>
    </row>
    <row r="9760" spans="8:9">
      <c r="H9760" s="2"/>
      <c r="I9760" s="2"/>
    </row>
    <row r="9761" spans="8:9">
      <c r="H9761" s="2"/>
      <c r="I9761" s="2"/>
    </row>
    <row r="9762" spans="8:9">
      <c r="H9762" s="2"/>
      <c r="I9762" s="2"/>
    </row>
    <row r="9763" spans="8:9">
      <c r="H9763" s="2"/>
      <c r="I9763" s="2"/>
    </row>
    <row r="9764" spans="8:9">
      <c r="H9764" s="2"/>
      <c r="I9764" s="2"/>
    </row>
    <row r="9765" spans="8:9">
      <c r="H9765" s="2"/>
      <c r="I9765" s="2"/>
    </row>
    <row r="9766" spans="8:9">
      <c r="H9766" s="2"/>
      <c r="I9766" s="2"/>
    </row>
    <row r="9767" spans="8:9">
      <c r="H9767" s="2"/>
      <c r="I9767" s="2"/>
    </row>
    <row r="9768" spans="8:9">
      <c r="H9768" s="2"/>
      <c r="I9768" s="2"/>
    </row>
    <row r="9769" spans="8:9">
      <c r="H9769" s="2"/>
      <c r="I9769" s="2"/>
    </row>
    <row r="9770" spans="8:9">
      <c r="H9770" s="2"/>
      <c r="I9770" s="2"/>
    </row>
    <row r="9771" spans="8:9">
      <c r="H9771" s="2"/>
      <c r="I9771" s="2"/>
    </row>
    <row r="9772" spans="8:9">
      <c r="H9772" s="2"/>
      <c r="I9772" s="2"/>
    </row>
    <row r="9773" spans="8:9">
      <c r="H9773" s="2"/>
      <c r="I9773" s="2"/>
    </row>
    <row r="9774" spans="8:9">
      <c r="H9774" s="2"/>
      <c r="I9774" s="2"/>
    </row>
    <row r="9775" spans="8:9">
      <c r="H9775" s="2"/>
      <c r="I9775" s="2"/>
    </row>
    <row r="9776" spans="8:9">
      <c r="H9776" s="2"/>
      <c r="I9776" s="2"/>
    </row>
    <row r="9777" spans="8:9">
      <c r="H9777" s="2"/>
      <c r="I9777" s="2"/>
    </row>
    <row r="9778" spans="8:9">
      <c r="H9778" s="2"/>
      <c r="I9778" s="2"/>
    </row>
    <row r="9779" spans="8:9">
      <c r="H9779" s="2"/>
      <c r="I9779" s="2"/>
    </row>
    <row r="9780" spans="8:9">
      <c r="H9780" s="2"/>
      <c r="I9780" s="2"/>
    </row>
    <row r="9781" spans="8:9">
      <c r="H9781" s="2"/>
      <c r="I9781" s="2"/>
    </row>
    <row r="9782" spans="8:9">
      <c r="H9782" s="2"/>
      <c r="I9782" s="2"/>
    </row>
    <row r="9783" spans="8:9">
      <c r="H9783" s="2"/>
      <c r="I9783" s="2"/>
    </row>
    <row r="9784" spans="8:9">
      <c r="H9784" s="2"/>
      <c r="I9784" s="2"/>
    </row>
    <row r="9785" spans="8:9">
      <c r="H9785" s="2"/>
      <c r="I9785" s="2"/>
    </row>
    <row r="9786" spans="8:9">
      <c r="H9786" s="2"/>
      <c r="I9786" s="2"/>
    </row>
    <row r="9787" spans="8:9">
      <c r="H9787" s="2"/>
      <c r="I9787" s="2"/>
    </row>
    <row r="9788" spans="8:9">
      <c r="H9788" s="2"/>
      <c r="I9788" s="2"/>
    </row>
    <row r="9789" spans="8:9">
      <c r="H9789" s="2"/>
      <c r="I9789" s="2"/>
    </row>
    <row r="9790" spans="8:9">
      <c r="H9790" s="2"/>
      <c r="I9790" s="2"/>
    </row>
    <row r="9791" spans="8:9">
      <c r="H9791" s="2"/>
      <c r="I9791" s="2"/>
    </row>
    <row r="9792" spans="8:9">
      <c r="H9792" s="2"/>
      <c r="I9792" s="2"/>
    </row>
    <row r="9793" spans="8:9">
      <c r="H9793" s="2"/>
      <c r="I9793" s="2"/>
    </row>
    <row r="9794" spans="8:9">
      <c r="H9794" s="2"/>
      <c r="I9794" s="2"/>
    </row>
    <row r="9795" spans="8:9">
      <c r="H9795" s="2"/>
      <c r="I9795" s="2"/>
    </row>
    <row r="9796" spans="8:9">
      <c r="H9796" s="2"/>
      <c r="I9796" s="2"/>
    </row>
    <row r="9797" spans="8:9">
      <c r="H9797" s="2"/>
      <c r="I9797" s="2"/>
    </row>
    <row r="9798" spans="8:9">
      <c r="H9798" s="2"/>
      <c r="I9798" s="2"/>
    </row>
    <row r="9799" spans="8:9">
      <c r="H9799" s="2"/>
      <c r="I9799" s="2"/>
    </row>
    <row r="9800" spans="8:9">
      <c r="H9800" s="2"/>
      <c r="I9800" s="2"/>
    </row>
    <row r="9801" spans="8:9">
      <c r="H9801" s="2"/>
      <c r="I9801" s="2"/>
    </row>
    <row r="9802" spans="8:9">
      <c r="H9802" s="2"/>
      <c r="I9802" s="2"/>
    </row>
    <row r="9803" spans="8:9">
      <c r="H9803" s="2"/>
      <c r="I9803" s="2"/>
    </row>
    <row r="9804" spans="8:9">
      <c r="H9804" s="2"/>
      <c r="I9804" s="2"/>
    </row>
    <row r="9805" spans="8:9">
      <c r="H9805" s="2"/>
      <c r="I9805" s="2"/>
    </row>
    <row r="9806" spans="8:9">
      <c r="H9806" s="2"/>
      <c r="I9806" s="2"/>
    </row>
    <row r="9807" spans="8:9">
      <c r="H9807" s="2"/>
      <c r="I9807" s="2"/>
    </row>
    <row r="9808" spans="8:9">
      <c r="H9808" s="2"/>
      <c r="I9808" s="2"/>
    </row>
    <row r="9809" spans="8:9">
      <c r="H9809" s="2"/>
      <c r="I9809" s="2"/>
    </row>
    <row r="9810" spans="8:9">
      <c r="H9810" s="2"/>
      <c r="I9810" s="2"/>
    </row>
    <row r="9811" spans="8:9">
      <c r="H9811" s="2"/>
      <c r="I9811" s="2"/>
    </row>
    <row r="9812" spans="8:9">
      <c r="H9812" s="2"/>
      <c r="I9812" s="2"/>
    </row>
    <row r="9813" spans="8:9">
      <c r="H9813" s="2"/>
      <c r="I9813" s="2"/>
    </row>
    <row r="9814" spans="8:9">
      <c r="H9814" s="2"/>
      <c r="I9814" s="2"/>
    </row>
    <row r="9815" spans="8:9">
      <c r="H9815" s="2"/>
      <c r="I9815" s="2"/>
    </row>
    <row r="9816" spans="8:9">
      <c r="H9816" s="2"/>
      <c r="I9816" s="2"/>
    </row>
    <row r="9817" spans="8:9">
      <c r="H9817" s="2"/>
      <c r="I9817" s="2"/>
    </row>
    <row r="9818" spans="8:9">
      <c r="H9818" s="2"/>
      <c r="I9818" s="2"/>
    </row>
    <row r="9819" spans="8:9">
      <c r="H9819" s="2"/>
      <c r="I9819" s="2"/>
    </row>
    <row r="9820" spans="8:9">
      <c r="H9820" s="2"/>
      <c r="I9820" s="2"/>
    </row>
    <row r="9821" spans="8:9">
      <c r="H9821" s="2"/>
      <c r="I9821" s="2"/>
    </row>
    <row r="9822" spans="8:9">
      <c r="H9822" s="2"/>
      <c r="I9822" s="2"/>
    </row>
    <row r="9823" spans="8:9">
      <c r="H9823" s="2"/>
      <c r="I9823" s="2"/>
    </row>
    <row r="9824" spans="8:9">
      <c r="H9824" s="2"/>
      <c r="I9824" s="2"/>
    </row>
    <row r="9825" spans="8:9">
      <c r="H9825" s="2"/>
      <c r="I9825" s="2"/>
    </row>
    <row r="9826" spans="8:9">
      <c r="H9826" s="2"/>
      <c r="I9826" s="2"/>
    </row>
    <row r="9827" spans="8:9">
      <c r="H9827" s="2"/>
      <c r="I9827" s="2"/>
    </row>
    <row r="9828" spans="8:9">
      <c r="H9828" s="2"/>
      <c r="I9828" s="2"/>
    </row>
    <row r="9829" spans="8:9">
      <c r="H9829" s="2"/>
      <c r="I9829" s="2"/>
    </row>
    <row r="9830" spans="8:9">
      <c r="H9830" s="2"/>
      <c r="I9830" s="2"/>
    </row>
    <row r="9831" spans="8:9">
      <c r="H9831" s="2"/>
      <c r="I9831" s="2"/>
    </row>
    <row r="9832" spans="8:9">
      <c r="H9832" s="2"/>
      <c r="I9832" s="2"/>
    </row>
    <row r="9833" spans="8:9">
      <c r="H9833" s="2"/>
      <c r="I9833" s="2"/>
    </row>
    <row r="9834" spans="8:9">
      <c r="H9834" s="2"/>
      <c r="I9834" s="2"/>
    </row>
    <row r="9835" spans="8:9">
      <c r="H9835" s="2"/>
      <c r="I9835" s="2"/>
    </row>
    <row r="9836" spans="8:9">
      <c r="H9836" s="2"/>
      <c r="I9836" s="2"/>
    </row>
    <row r="9837" spans="8:9">
      <c r="H9837" s="2"/>
      <c r="I9837" s="2"/>
    </row>
    <row r="9838" spans="8:9">
      <c r="H9838" s="2"/>
      <c r="I9838" s="2"/>
    </row>
    <row r="9839" spans="8:9">
      <c r="H9839" s="2"/>
      <c r="I9839" s="2"/>
    </row>
    <row r="9840" spans="8:9">
      <c r="H9840" s="2"/>
      <c r="I9840" s="2"/>
    </row>
    <row r="9841" spans="8:9">
      <c r="H9841" s="2"/>
      <c r="I9841" s="2"/>
    </row>
    <row r="9842" spans="8:9">
      <c r="H9842" s="2"/>
      <c r="I9842" s="2"/>
    </row>
    <row r="9843" spans="8:9">
      <c r="H9843" s="2"/>
      <c r="I9843" s="2"/>
    </row>
    <row r="9844" spans="8:9">
      <c r="H9844" s="2"/>
      <c r="I9844" s="2"/>
    </row>
    <row r="9845" spans="8:9">
      <c r="H9845" s="2"/>
      <c r="I9845" s="2"/>
    </row>
    <row r="9846" spans="8:9">
      <c r="H9846" s="2"/>
      <c r="I9846" s="2"/>
    </row>
    <row r="9847" spans="8:9">
      <c r="H9847" s="2"/>
      <c r="I9847" s="2"/>
    </row>
    <row r="9848" spans="8:9">
      <c r="H9848" s="2"/>
      <c r="I9848" s="2"/>
    </row>
    <row r="9849" spans="8:9">
      <c r="H9849" s="2"/>
      <c r="I9849" s="2"/>
    </row>
    <row r="9850" spans="8:9">
      <c r="H9850" s="2"/>
      <c r="I9850" s="2"/>
    </row>
    <row r="9851" spans="8:9">
      <c r="H9851" s="2"/>
      <c r="I9851" s="2"/>
    </row>
    <row r="9852" spans="8:9">
      <c r="H9852" s="2"/>
      <c r="I9852" s="2"/>
    </row>
    <row r="9853" spans="8:9">
      <c r="H9853" s="2"/>
      <c r="I9853" s="2"/>
    </row>
    <row r="9854" spans="8:9">
      <c r="H9854" s="2"/>
      <c r="I9854" s="2"/>
    </row>
    <row r="9855" spans="8:9">
      <c r="H9855" s="2"/>
      <c r="I9855" s="2"/>
    </row>
    <row r="9856" spans="8:9">
      <c r="H9856" s="2"/>
      <c r="I9856" s="2"/>
    </row>
    <row r="9857" spans="8:9">
      <c r="H9857" s="2"/>
      <c r="I9857" s="2"/>
    </row>
    <row r="9858" spans="8:9">
      <c r="H9858" s="2"/>
      <c r="I9858" s="2"/>
    </row>
    <row r="9859" spans="8:9">
      <c r="H9859" s="2"/>
      <c r="I9859" s="2"/>
    </row>
    <row r="9860" spans="8:9">
      <c r="H9860" s="2"/>
      <c r="I9860" s="2"/>
    </row>
    <row r="9861" spans="8:9">
      <c r="H9861" s="2"/>
      <c r="I9861" s="2"/>
    </row>
    <row r="9862" spans="8:9">
      <c r="H9862" s="2"/>
      <c r="I9862" s="2"/>
    </row>
    <row r="9863" spans="8:9">
      <c r="H9863" s="2"/>
      <c r="I9863" s="2"/>
    </row>
    <row r="9864" spans="8:9">
      <c r="H9864" s="2"/>
      <c r="I9864" s="2"/>
    </row>
    <row r="9865" spans="8:9">
      <c r="H9865" s="2"/>
      <c r="I9865" s="2"/>
    </row>
    <row r="9866" spans="8:9">
      <c r="H9866" s="2"/>
      <c r="I9866" s="2"/>
    </row>
    <row r="9867" spans="8:9">
      <c r="H9867" s="2"/>
      <c r="I9867" s="2"/>
    </row>
    <row r="9868" spans="8:9">
      <c r="H9868" s="2"/>
      <c r="I9868" s="2"/>
    </row>
    <row r="9869" spans="8:9">
      <c r="H9869" s="2"/>
      <c r="I9869" s="2"/>
    </row>
    <row r="9870" spans="8:9">
      <c r="H9870" s="2"/>
      <c r="I9870" s="2"/>
    </row>
    <row r="9871" spans="8:9">
      <c r="H9871" s="2"/>
      <c r="I9871" s="2"/>
    </row>
    <row r="9872" spans="8:9">
      <c r="H9872" s="2"/>
      <c r="I9872" s="2"/>
    </row>
    <row r="9873" spans="8:9">
      <c r="H9873" s="2"/>
      <c r="I9873" s="2"/>
    </row>
    <row r="9874" spans="8:9">
      <c r="H9874" s="2"/>
      <c r="I9874" s="2"/>
    </row>
    <row r="9875" spans="8:9">
      <c r="H9875" s="2"/>
      <c r="I9875" s="2"/>
    </row>
    <row r="9876" spans="8:9">
      <c r="H9876" s="2"/>
      <c r="I9876" s="2"/>
    </row>
    <row r="9877" spans="8:9">
      <c r="H9877" s="2"/>
      <c r="I9877" s="2"/>
    </row>
    <row r="9878" spans="8:9">
      <c r="H9878" s="2"/>
      <c r="I9878" s="2"/>
    </row>
    <row r="9879" spans="8:9">
      <c r="H9879" s="2"/>
      <c r="I9879" s="2"/>
    </row>
    <row r="9880" spans="8:9">
      <c r="H9880" s="2"/>
      <c r="I9880" s="2"/>
    </row>
    <row r="9881" spans="8:9">
      <c r="H9881" s="2"/>
      <c r="I9881" s="2"/>
    </row>
    <row r="9882" spans="8:9">
      <c r="H9882" s="2"/>
      <c r="I9882" s="2"/>
    </row>
    <row r="9883" spans="8:9">
      <c r="H9883" s="2"/>
      <c r="I9883" s="2"/>
    </row>
    <row r="9884" spans="8:9">
      <c r="H9884" s="2"/>
      <c r="I9884" s="2"/>
    </row>
    <row r="9885" spans="8:9">
      <c r="H9885" s="2"/>
      <c r="I9885" s="2"/>
    </row>
    <row r="9886" spans="8:9">
      <c r="H9886" s="2"/>
      <c r="I9886" s="2"/>
    </row>
    <row r="9887" spans="8:9">
      <c r="H9887" s="2"/>
      <c r="I9887" s="2"/>
    </row>
    <row r="9888" spans="8:9">
      <c r="H9888" s="2"/>
      <c r="I9888" s="2"/>
    </row>
    <row r="9889" spans="8:9">
      <c r="H9889" s="2"/>
      <c r="I9889" s="2"/>
    </row>
    <row r="9890" spans="8:9">
      <c r="H9890" s="2"/>
      <c r="I9890" s="2"/>
    </row>
    <row r="9891" spans="8:9">
      <c r="H9891" s="2"/>
      <c r="I9891" s="2"/>
    </row>
    <row r="9892" spans="8:9">
      <c r="H9892" s="2"/>
      <c r="I9892" s="2"/>
    </row>
    <row r="9893" spans="8:9">
      <c r="H9893" s="2"/>
      <c r="I9893" s="2"/>
    </row>
    <row r="9894" spans="8:9">
      <c r="H9894" s="2"/>
      <c r="I9894" s="2"/>
    </row>
    <row r="9895" spans="8:9">
      <c r="H9895" s="2"/>
      <c r="I9895" s="2"/>
    </row>
    <row r="9896" spans="8:9">
      <c r="H9896" s="2"/>
      <c r="I9896" s="2"/>
    </row>
    <row r="9897" spans="8:9">
      <c r="H9897" s="2"/>
      <c r="I9897" s="2"/>
    </row>
    <row r="9898" spans="8:9">
      <c r="H9898" s="2"/>
      <c r="I9898" s="2"/>
    </row>
    <row r="9899" spans="8:9">
      <c r="H9899" s="2"/>
      <c r="I9899" s="2"/>
    </row>
    <row r="9900" spans="8:9">
      <c r="H9900" s="2"/>
      <c r="I9900" s="2"/>
    </row>
    <row r="9901" spans="8:9">
      <c r="H9901" s="2"/>
      <c r="I9901" s="2"/>
    </row>
    <row r="9902" spans="8:9">
      <c r="H9902" s="2"/>
      <c r="I9902" s="2"/>
    </row>
    <row r="9903" spans="8:9">
      <c r="H9903" s="2"/>
      <c r="I9903" s="2"/>
    </row>
    <row r="9904" spans="8:9">
      <c r="H9904" s="2"/>
      <c r="I9904" s="2"/>
    </row>
    <row r="9905" spans="8:9">
      <c r="H9905" s="2"/>
      <c r="I9905" s="2"/>
    </row>
    <row r="9906" spans="8:9">
      <c r="H9906" s="2"/>
      <c r="I9906" s="2"/>
    </row>
    <row r="9907" spans="8:9">
      <c r="H9907" s="2"/>
      <c r="I9907" s="2"/>
    </row>
    <row r="9908" spans="8:9">
      <c r="H9908" s="2"/>
      <c r="I9908" s="2"/>
    </row>
    <row r="9909" spans="8:9">
      <c r="H9909" s="2"/>
      <c r="I9909" s="2"/>
    </row>
    <row r="9910" spans="8:9">
      <c r="H9910" s="2"/>
      <c r="I9910" s="2"/>
    </row>
    <row r="9911" spans="8:9">
      <c r="H9911" s="2"/>
      <c r="I9911" s="2"/>
    </row>
    <row r="9912" spans="8:9">
      <c r="H9912" s="2"/>
      <c r="I9912" s="2"/>
    </row>
    <row r="9913" spans="8:9">
      <c r="H9913" s="2"/>
      <c r="I9913" s="2"/>
    </row>
    <row r="9914" spans="8:9">
      <c r="H9914" s="2"/>
      <c r="I9914" s="2"/>
    </row>
    <row r="9915" spans="8:9">
      <c r="H9915" s="2"/>
      <c r="I9915" s="2"/>
    </row>
    <row r="9916" spans="8:9">
      <c r="H9916" s="2"/>
      <c r="I9916" s="2"/>
    </row>
    <row r="9917" spans="8:9">
      <c r="H9917" s="2"/>
      <c r="I9917" s="2"/>
    </row>
    <row r="9918" spans="8:9">
      <c r="H9918" s="2"/>
      <c r="I9918" s="2"/>
    </row>
    <row r="9919" spans="8:9">
      <c r="H9919" s="2"/>
      <c r="I9919" s="2"/>
    </row>
    <row r="9920" spans="8:9">
      <c r="H9920" s="2"/>
      <c r="I9920" s="2"/>
    </row>
    <row r="9921" spans="8:9">
      <c r="H9921" s="2"/>
      <c r="I9921" s="2"/>
    </row>
    <row r="9922" spans="8:9">
      <c r="H9922" s="2"/>
      <c r="I9922" s="2"/>
    </row>
    <row r="9923" spans="8:9">
      <c r="H9923" s="2"/>
      <c r="I9923" s="2"/>
    </row>
    <row r="9924" spans="8:9">
      <c r="H9924" s="2"/>
      <c r="I9924" s="2"/>
    </row>
    <row r="9925" spans="8:9">
      <c r="H9925" s="2"/>
      <c r="I9925" s="2"/>
    </row>
    <row r="9926" spans="8:9">
      <c r="H9926" s="2"/>
      <c r="I9926" s="2"/>
    </row>
    <row r="9927" spans="8:9">
      <c r="H9927" s="2"/>
      <c r="I9927" s="2"/>
    </row>
    <row r="9928" spans="8:9">
      <c r="H9928" s="2"/>
      <c r="I9928" s="2"/>
    </row>
    <row r="9929" spans="8:9">
      <c r="H9929" s="2"/>
      <c r="I9929" s="2"/>
    </row>
    <row r="9930" spans="8:9">
      <c r="H9930" s="2"/>
      <c r="I9930" s="2"/>
    </row>
    <row r="9931" spans="8:9">
      <c r="H9931" s="2"/>
      <c r="I9931" s="2"/>
    </row>
    <row r="9932" spans="8:9">
      <c r="H9932" s="2"/>
      <c r="I9932" s="2"/>
    </row>
    <row r="9933" spans="8:9">
      <c r="H9933" s="2"/>
      <c r="I9933" s="2"/>
    </row>
    <row r="9934" spans="8:9">
      <c r="H9934" s="2"/>
      <c r="I9934" s="2"/>
    </row>
    <row r="9935" spans="8:9">
      <c r="H9935" s="2"/>
      <c r="I9935" s="2"/>
    </row>
    <row r="9936" spans="8:9">
      <c r="H9936" s="2"/>
      <c r="I9936" s="2"/>
    </row>
    <row r="9937" spans="8:9">
      <c r="H9937" s="2"/>
      <c r="I9937" s="2"/>
    </row>
    <row r="9938" spans="8:9">
      <c r="H9938" s="2"/>
      <c r="I9938" s="2"/>
    </row>
    <row r="9939" spans="8:9">
      <c r="H9939" s="2"/>
      <c r="I9939" s="2"/>
    </row>
    <row r="9940" spans="8:9">
      <c r="H9940" s="2"/>
      <c r="I9940" s="2"/>
    </row>
    <row r="9941" spans="8:9">
      <c r="H9941" s="2"/>
      <c r="I9941" s="2"/>
    </row>
    <row r="9942" spans="8:9">
      <c r="H9942" s="2"/>
      <c r="I9942" s="2"/>
    </row>
    <row r="9943" spans="8:9">
      <c r="H9943" s="2"/>
      <c r="I9943" s="2"/>
    </row>
    <row r="9944" spans="8:9">
      <c r="H9944" s="2"/>
      <c r="I9944" s="2"/>
    </row>
    <row r="9945" spans="8:9">
      <c r="H9945" s="2"/>
      <c r="I9945" s="2"/>
    </row>
    <row r="9946" spans="8:9">
      <c r="H9946" s="2"/>
      <c r="I9946" s="2"/>
    </row>
    <row r="9947" spans="8:9">
      <c r="H9947" s="2"/>
      <c r="I9947" s="2"/>
    </row>
    <row r="9948" spans="8:9">
      <c r="H9948" s="2"/>
      <c r="I9948" s="2"/>
    </row>
    <row r="9949" spans="8:9">
      <c r="H9949" s="2"/>
      <c r="I9949" s="2"/>
    </row>
    <row r="9950" spans="8:9">
      <c r="H9950" s="2"/>
      <c r="I9950" s="2"/>
    </row>
    <row r="9951" spans="8:9">
      <c r="H9951" s="2"/>
      <c r="I9951" s="2"/>
    </row>
    <row r="9952" spans="8:9">
      <c r="H9952" s="2"/>
      <c r="I9952" s="2"/>
    </row>
    <row r="9953" spans="8:9">
      <c r="H9953" s="2"/>
      <c r="I9953" s="2"/>
    </row>
    <row r="9954" spans="8:9">
      <c r="H9954" s="2"/>
      <c r="I9954" s="2"/>
    </row>
    <row r="9955" spans="8:9">
      <c r="H9955" s="2"/>
      <c r="I9955" s="2"/>
    </row>
    <row r="9956" spans="8:9">
      <c r="H9956" s="2"/>
      <c r="I9956" s="2"/>
    </row>
    <row r="9957" spans="8:9">
      <c r="H9957" s="2"/>
      <c r="I9957" s="2"/>
    </row>
    <row r="9958" spans="8:9">
      <c r="H9958" s="2"/>
      <c r="I9958" s="2"/>
    </row>
    <row r="9959" spans="8:9">
      <c r="H9959" s="2"/>
      <c r="I9959" s="2"/>
    </row>
    <row r="9960" spans="8:9">
      <c r="H9960" s="2"/>
      <c r="I9960" s="2"/>
    </row>
    <row r="9961" spans="8:9">
      <c r="H9961" s="2"/>
      <c r="I9961" s="2"/>
    </row>
    <row r="9962" spans="8:9">
      <c r="H9962" s="2"/>
      <c r="I9962" s="2"/>
    </row>
    <row r="9963" spans="8:9">
      <c r="H9963" s="2"/>
      <c r="I9963" s="2"/>
    </row>
    <row r="9964" spans="8:9">
      <c r="H9964" s="2"/>
      <c r="I9964" s="2"/>
    </row>
    <row r="9965" spans="8:9">
      <c r="H9965" s="2"/>
      <c r="I9965" s="2"/>
    </row>
    <row r="9966" spans="8:9">
      <c r="H9966" s="2"/>
      <c r="I9966" s="2"/>
    </row>
    <row r="9967" spans="8:9">
      <c r="H9967" s="2"/>
      <c r="I9967" s="2"/>
    </row>
    <row r="9968" spans="8:9">
      <c r="H9968" s="2"/>
      <c r="I9968" s="2"/>
    </row>
    <row r="9969" spans="8:9">
      <c r="H9969" s="2"/>
      <c r="I9969" s="2"/>
    </row>
    <row r="9970" spans="8:9">
      <c r="H9970" s="2"/>
      <c r="I9970" s="2"/>
    </row>
    <row r="9971" spans="8:9">
      <c r="H9971" s="2"/>
      <c r="I9971" s="2"/>
    </row>
    <row r="9972" spans="8:9">
      <c r="H9972" s="2"/>
      <c r="I9972" s="2"/>
    </row>
    <row r="9973" spans="8:9">
      <c r="H9973" s="2"/>
      <c r="I9973" s="2"/>
    </row>
    <row r="9974" spans="8:9">
      <c r="H9974" s="2"/>
      <c r="I9974" s="2"/>
    </row>
    <row r="9975" spans="8:9">
      <c r="H9975" s="2"/>
      <c r="I9975" s="2"/>
    </row>
    <row r="9976" spans="8:9">
      <c r="H9976" s="2"/>
      <c r="I9976" s="2"/>
    </row>
    <row r="9977" spans="8:9">
      <c r="H9977" s="2"/>
      <c r="I9977" s="2"/>
    </row>
    <row r="9978" spans="8:9">
      <c r="H9978" s="2"/>
      <c r="I9978" s="2"/>
    </row>
    <row r="9979" spans="8:9">
      <c r="H9979" s="2"/>
      <c r="I9979" s="2"/>
    </row>
    <row r="9980" spans="8:9">
      <c r="H9980" s="2"/>
      <c r="I9980" s="2"/>
    </row>
    <row r="9981" spans="8:9">
      <c r="H9981" s="2"/>
      <c r="I9981" s="2"/>
    </row>
    <row r="9982" spans="8:9">
      <c r="H9982" s="2"/>
      <c r="I9982" s="2"/>
    </row>
    <row r="9983" spans="8:9">
      <c r="H9983" s="2"/>
      <c r="I9983" s="2"/>
    </row>
    <row r="9984" spans="8:9">
      <c r="H9984" s="2"/>
      <c r="I9984" s="2"/>
    </row>
    <row r="9985" spans="8:9">
      <c r="H9985" s="2"/>
      <c r="I9985" s="2"/>
    </row>
    <row r="9986" spans="8:9">
      <c r="H9986" s="2"/>
      <c r="I9986" s="2"/>
    </row>
    <row r="9987" spans="8:9">
      <c r="H9987" s="2"/>
      <c r="I9987" s="2"/>
    </row>
    <row r="9988" spans="8:9">
      <c r="H9988" s="2"/>
      <c r="I9988" s="2"/>
    </row>
    <row r="9989" spans="8:9">
      <c r="H9989" s="2"/>
      <c r="I9989" s="2"/>
    </row>
    <row r="9990" spans="8:9">
      <c r="H9990" s="2"/>
      <c r="I9990" s="2"/>
    </row>
    <row r="9991" spans="8:9">
      <c r="H9991" s="2"/>
      <c r="I9991" s="2"/>
    </row>
    <row r="9992" spans="8:9">
      <c r="H9992" s="2"/>
      <c r="I9992" s="2"/>
    </row>
    <row r="9993" spans="8:9">
      <c r="H9993" s="2"/>
      <c r="I9993" s="2"/>
    </row>
    <row r="9994" spans="8:9">
      <c r="H9994" s="2"/>
      <c r="I9994" s="2"/>
    </row>
    <row r="9995" spans="8:9">
      <c r="H9995" s="2"/>
      <c r="I9995" s="2"/>
    </row>
    <row r="9996" spans="8:9">
      <c r="H9996" s="2"/>
      <c r="I9996" s="2"/>
    </row>
    <row r="9997" spans="8:9">
      <c r="H9997" s="2"/>
      <c r="I9997" s="2"/>
    </row>
    <row r="9998" spans="8:9">
      <c r="H9998" s="2"/>
      <c r="I9998" s="2"/>
    </row>
    <row r="9999" spans="8:9">
      <c r="H9999" s="2"/>
      <c r="I9999" s="2"/>
    </row>
    <row r="10000" spans="8:9">
      <c r="H10000" s="2"/>
      <c r="I10000" s="2"/>
    </row>
    <row r="10001" spans="8:9">
      <c r="H10001" s="2"/>
      <c r="I10001" s="2"/>
    </row>
    <row r="10002" spans="8:9">
      <c r="H10002" s="2"/>
      <c r="I10002" s="2"/>
    </row>
    <row r="10003" spans="8:9">
      <c r="H10003" s="2"/>
      <c r="I10003" s="2"/>
    </row>
    <row r="10004" spans="8:9">
      <c r="H10004" s="2"/>
      <c r="I10004" s="2"/>
    </row>
    <row r="10005" spans="8:9">
      <c r="H10005" s="2"/>
      <c r="I10005" s="2"/>
    </row>
    <row r="10006" spans="8:9">
      <c r="H10006" s="2"/>
      <c r="I10006" s="2"/>
    </row>
    <row r="10007" spans="8:9">
      <c r="H10007" s="2"/>
      <c r="I10007" s="2"/>
    </row>
    <row r="10008" spans="8:9">
      <c r="H10008" s="2"/>
      <c r="I10008" s="2"/>
    </row>
    <row r="10009" spans="8:9">
      <c r="H10009" s="2"/>
      <c r="I10009" s="2"/>
    </row>
    <row r="10010" spans="8:9">
      <c r="H10010" s="2"/>
      <c r="I10010" s="2"/>
    </row>
    <row r="10011" spans="8:9">
      <c r="H10011" s="2"/>
      <c r="I10011" s="2"/>
    </row>
    <row r="10012" spans="8:9">
      <c r="H10012" s="2"/>
      <c r="I10012" s="2"/>
    </row>
    <row r="10013" spans="8:9">
      <c r="H10013" s="2"/>
      <c r="I10013" s="2"/>
    </row>
    <row r="10014" spans="8:9">
      <c r="H10014" s="2"/>
      <c r="I10014" s="2"/>
    </row>
    <row r="10015" spans="8:9">
      <c r="H10015" s="2"/>
      <c r="I10015" s="2"/>
    </row>
    <row r="10016" spans="8:9">
      <c r="H10016" s="2"/>
      <c r="I10016" s="2"/>
    </row>
    <row r="10017" spans="8:9">
      <c r="H10017" s="2"/>
      <c r="I10017" s="2"/>
    </row>
    <row r="10018" spans="8:9">
      <c r="H10018" s="2"/>
      <c r="I10018" s="2"/>
    </row>
    <row r="10019" spans="8:9">
      <c r="H10019" s="2"/>
      <c r="I10019" s="2"/>
    </row>
    <row r="10020" spans="8:9">
      <c r="H10020" s="2"/>
      <c r="I10020" s="2"/>
    </row>
    <row r="10021" spans="8:9">
      <c r="H10021" s="2"/>
      <c r="I10021" s="2"/>
    </row>
    <row r="10022" spans="8:9">
      <c r="H10022" s="2"/>
      <c r="I10022" s="2"/>
    </row>
    <row r="10023" spans="8:9">
      <c r="H10023" s="2"/>
      <c r="I10023" s="2"/>
    </row>
    <row r="10024" spans="8:9">
      <c r="H10024" s="2"/>
      <c r="I10024" s="2"/>
    </row>
    <row r="10025" spans="8:9">
      <c r="H10025" s="2"/>
      <c r="I10025" s="2"/>
    </row>
    <row r="10026" spans="8:9">
      <c r="H10026" s="2"/>
      <c r="I10026" s="2"/>
    </row>
    <row r="10027" spans="8:9">
      <c r="H10027" s="2"/>
      <c r="I10027" s="2"/>
    </row>
    <row r="10028" spans="8:9">
      <c r="H10028" s="2"/>
      <c r="I10028" s="2"/>
    </row>
    <row r="10029" spans="8:9">
      <c r="H10029" s="2"/>
      <c r="I10029" s="2"/>
    </row>
    <row r="10030" spans="8:9">
      <c r="H10030" s="2"/>
      <c r="I10030" s="2"/>
    </row>
    <row r="10031" spans="8:9">
      <c r="H10031" s="2"/>
      <c r="I10031" s="2"/>
    </row>
    <row r="10032" spans="8:9">
      <c r="H10032" s="2"/>
      <c r="I10032" s="2"/>
    </row>
    <row r="10033" spans="8:9">
      <c r="H10033" s="2"/>
      <c r="I10033" s="2"/>
    </row>
    <row r="10034" spans="8:9">
      <c r="H10034" s="2"/>
      <c r="I10034" s="2"/>
    </row>
    <row r="10035" spans="8:9">
      <c r="H10035" s="2"/>
      <c r="I10035" s="2"/>
    </row>
    <row r="10036" spans="8:9">
      <c r="H10036" s="2"/>
      <c r="I10036" s="2"/>
    </row>
    <row r="10037" spans="8:9">
      <c r="H10037" s="2"/>
      <c r="I10037" s="2"/>
    </row>
    <row r="10038" spans="8:9">
      <c r="H10038" s="2"/>
      <c r="I10038" s="2"/>
    </row>
    <row r="10039" spans="8:9">
      <c r="H10039" s="2"/>
      <c r="I10039" s="2"/>
    </row>
    <row r="10040" spans="8:9">
      <c r="H10040" s="2"/>
      <c r="I10040" s="2"/>
    </row>
    <row r="10041" spans="8:9">
      <c r="H10041" s="2"/>
      <c r="I10041" s="2"/>
    </row>
    <row r="10042" spans="8:9">
      <c r="H10042" s="2"/>
      <c r="I10042" s="2"/>
    </row>
    <row r="10043" spans="8:9">
      <c r="H10043" s="2"/>
      <c r="I10043" s="2"/>
    </row>
    <row r="10044" spans="8:9">
      <c r="H10044" s="2"/>
      <c r="I10044" s="2"/>
    </row>
    <row r="10045" spans="8:9">
      <c r="H10045" s="2"/>
      <c r="I10045" s="2"/>
    </row>
    <row r="10046" spans="8:9">
      <c r="H10046" s="2"/>
      <c r="I10046" s="2"/>
    </row>
    <row r="10047" spans="8:9">
      <c r="H10047" s="2"/>
      <c r="I10047" s="2"/>
    </row>
    <row r="10048" spans="8:9">
      <c r="H10048" s="2"/>
      <c r="I10048" s="2"/>
    </row>
    <row r="10049" spans="8:9">
      <c r="H10049" s="2"/>
      <c r="I10049" s="2"/>
    </row>
    <row r="10050" spans="8:9">
      <c r="H10050" s="2"/>
      <c r="I10050" s="2"/>
    </row>
    <row r="10051" spans="8:9">
      <c r="H10051" s="2"/>
      <c r="I10051" s="2"/>
    </row>
    <row r="10052" spans="8:9">
      <c r="H10052" s="2"/>
      <c r="I10052" s="2"/>
    </row>
    <row r="10053" spans="8:9">
      <c r="H10053" s="2"/>
      <c r="I10053" s="2"/>
    </row>
    <row r="10054" spans="8:9">
      <c r="H10054" s="2"/>
      <c r="I10054" s="2"/>
    </row>
    <row r="10055" spans="8:9">
      <c r="H10055" s="2"/>
      <c r="I10055" s="2"/>
    </row>
    <row r="10056" spans="8:9">
      <c r="H10056" s="2"/>
      <c r="I10056" s="2"/>
    </row>
    <row r="10057" spans="8:9">
      <c r="H10057" s="2"/>
      <c r="I10057" s="2"/>
    </row>
    <row r="10058" spans="8:9">
      <c r="H10058" s="2"/>
      <c r="I10058" s="2"/>
    </row>
    <row r="10059" spans="8:9">
      <c r="H10059" s="2"/>
      <c r="I10059" s="2"/>
    </row>
    <row r="10060" spans="8:9">
      <c r="H10060" s="2"/>
      <c r="I10060" s="2"/>
    </row>
    <row r="10061" spans="8:9">
      <c r="H10061" s="2"/>
      <c r="I10061" s="2"/>
    </row>
    <row r="10062" spans="8:9">
      <c r="H10062" s="2"/>
      <c r="I10062" s="2"/>
    </row>
    <row r="10063" spans="8:9">
      <c r="H10063" s="2"/>
      <c r="I10063" s="2"/>
    </row>
    <row r="10064" spans="8:9">
      <c r="H10064" s="2"/>
      <c r="I10064" s="2"/>
    </row>
    <row r="10065" spans="8:9">
      <c r="H10065" s="2"/>
      <c r="I10065" s="2"/>
    </row>
    <row r="10066" spans="8:9">
      <c r="H10066" s="2"/>
      <c r="I10066" s="2"/>
    </row>
    <row r="10067" spans="8:9">
      <c r="H10067" s="2"/>
      <c r="I10067" s="2"/>
    </row>
    <row r="10068" spans="8:9">
      <c r="H10068" s="2"/>
      <c r="I10068" s="2"/>
    </row>
    <row r="10069" spans="8:9">
      <c r="H10069" s="2"/>
      <c r="I10069" s="2"/>
    </row>
    <row r="10070" spans="8:9">
      <c r="H10070" s="2"/>
      <c r="I10070" s="2"/>
    </row>
    <row r="10071" spans="8:9">
      <c r="H10071" s="2"/>
      <c r="I10071" s="2"/>
    </row>
    <row r="10072" spans="8:9">
      <c r="H10072" s="2"/>
      <c r="I10072" s="2"/>
    </row>
    <row r="10073" spans="8:9">
      <c r="H10073" s="2"/>
      <c r="I10073" s="2"/>
    </row>
    <row r="10074" spans="8:9">
      <c r="H10074" s="2"/>
      <c r="I10074" s="2"/>
    </row>
    <row r="10075" spans="8:9">
      <c r="H10075" s="2"/>
      <c r="I10075" s="2"/>
    </row>
    <row r="10076" spans="8:9">
      <c r="H10076" s="2"/>
      <c r="I10076" s="2"/>
    </row>
    <row r="10077" spans="8:9">
      <c r="H10077" s="2"/>
      <c r="I10077" s="2"/>
    </row>
    <row r="10078" spans="8:9">
      <c r="H10078" s="2"/>
      <c r="I10078" s="2"/>
    </row>
    <row r="10079" spans="8:9">
      <c r="H10079" s="2"/>
      <c r="I10079" s="2"/>
    </row>
    <row r="10080" spans="8:9">
      <c r="H10080" s="2"/>
      <c r="I10080" s="2"/>
    </row>
    <row r="10081" spans="8:9">
      <c r="H10081" s="2"/>
      <c r="I10081" s="2"/>
    </row>
    <row r="10082" spans="8:9">
      <c r="H10082" s="2"/>
      <c r="I10082" s="2"/>
    </row>
    <row r="10083" spans="8:9">
      <c r="H10083" s="2"/>
      <c r="I10083" s="2"/>
    </row>
    <row r="10084" spans="8:9">
      <c r="H10084" s="2"/>
      <c r="I10084" s="2"/>
    </row>
    <row r="10085" spans="8:9">
      <c r="H10085" s="2"/>
      <c r="I10085" s="2"/>
    </row>
    <row r="10086" spans="8:9">
      <c r="H10086" s="2"/>
      <c r="I10086" s="2"/>
    </row>
    <row r="10087" spans="8:9">
      <c r="H10087" s="2"/>
      <c r="I10087" s="2"/>
    </row>
    <row r="10088" spans="8:9">
      <c r="H10088" s="2"/>
      <c r="I10088" s="2"/>
    </row>
    <row r="10089" spans="8:9">
      <c r="H10089" s="2"/>
      <c r="I10089" s="2"/>
    </row>
    <row r="10090" spans="8:9">
      <c r="H10090" s="2"/>
      <c r="I10090" s="2"/>
    </row>
    <row r="10091" spans="8:9">
      <c r="H10091" s="2"/>
      <c r="I10091" s="2"/>
    </row>
    <row r="10092" spans="8:9">
      <c r="H10092" s="2"/>
      <c r="I10092" s="2"/>
    </row>
    <row r="10093" spans="8:9">
      <c r="H10093" s="2"/>
      <c r="I10093" s="2"/>
    </row>
    <row r="10094" spans="8:9">
      <c r="H10094" s="2"/>
      <c r="I10094" s="2"/>
    </row>
    <row r="10095" spans="8:9">
      <c r="H10095" s="2"/>
      <c r="I10095" s="2"/>
    </row>
    <row r="10096" spans="8:9">
      <c r="H10096" s="2"/>
      <c r="I10096" s="2"/>
    </row>
    <row r="10097" spans="8:9">
      <c r="H10097" s="2"/>
      <c r="I10097" s="2"/>
    </row>
    <row r="10098" spans="8:9">
      <c r="H10098" s="2"/>
      <c r="I10098" s="2"/>
    </row>
    <row r="10099" spans="8:9">
      <c r="H10099" s="2"/>
      <c r="I10099" s="2"/>
    </row>
    <row r="10100" spans="8:9">
      <c r="H10100" s="2"/>
      <c r="I10100" s="2"/>
    </row>
    <row r="10101" spans="8:9">
      <c r="H10101" s="2"/>
      <c r="I10101" s="2"/>
    </row>
    <row r="10102" spans="8:9">
      <c r="H10102" s="2"/>
      <c r="I10102" s="2"/>
    </row>
    <row r="10103" spans="8:9">
      <c r="H10103" s="2"/>
      <c r="I10103" s="2"/>
    </row>
    <row r="10104" spans="8:9">
      <c r="H10104" s="2"/>
      <c r="I10104" s="2"/>
    </row>
    <row r="10105" spans="8:9">
      <c r="H10105" s="2"/>
      <c r="I10105" s="2"/>
    </row>
    <row r="10106" spans="8:9">
      <c r="H10106" s="2"/>
      <c r="I10106" s="2"/>
    </row>
    <row r="10107" spans="8:9">
      <c r="H10107" s="2"/>
      <c r="I10107" s="2"/>
    </row>
    <row r="10108" spans="8:9">
      <c r="H10108" s="2"/>
      <c r="I10108" s="2"/>
    </row>
    <row r="10109" spans="8:9">
      <c r="H10109" s="2"/>
      <c r="I10109" s="2"/>
    </row>
    <row r="10110" spans="8:9">
      <c r="H10110" s="2"/>
      <c r="I10110" s="2"/>
    </row>
    <row r="10111" spans="8:9">
      <c r="H10111" s="2"/>
      <c r="I10111" s="2"/>
    </row>
    <row r="10112" spans="8:9">
      <c r="H10112" s="2"/>
      <c r="I10112" s="2"/>
    </row>
    <row r="10113" spans="8:9">
      <c r="H10113" s="2"/>
      <c r="I10113" s="2"/>
    </row>
    <row r="10114" spans="8:9">
      <c r="H10114" s="2"/>
      <c r="I10114" s="2"/>
    </row>
    <row r="10115" spans="8:9">
      <c r="H10115" s="2"/>
      <c r="I10115" s="2"/>
    </row>
    <row r="10116" spans="8:9">
      <c r="H10116" s="2"/>
      <c r="I10116" s="2"/>
    </row>
    <row r="10117" spans="8:9">
      <c r="H10117" s="2"/>
      <c r="I10117" s="2"/>
    </row>
    <row r="10118" spans="8:9">
      <c r="H10118" s="2"/>
      <c r="I10118" s="2"/>
    </row>
    <row r="10119" spans="8:9">
      <c r="H10119" s="2"/>
      <c r="I10119" s="2"/>
    </row>
    <row r="10120" spans="8:9">
      <c r="H10120" s="2"/>
      <c r="I10120" s="2"/>
    </row>
    <row r="10121" spans="8:9">
      <c r="H10121" s="2"/>
      <c r="I10121" s="2"/>
    </row>
    <row r="10122" spans="8:9">
      <c r="H10122" s="2"/>
      <c r="I10122" s="2"/>
    </row>
    <row r="10123" spans="8:9">
      <c r="H10123" s="2"/>
      <c r="I10123" s="2"/>
    </row>
    <row r="10124" spans="8:9">
      <c r="H10124" s="2"/>
      <c r="I10124" s="2"/>
    </row>
    <row r="10125" spans="8:9">
      <c r="H10125" s="2"/>
      <c r="I10125" s="2"/>
    </row>
    <row r="10126" spans="8:9">
      <c r="H10126" s="2"/>
      <c r="I10126" s="2"/>
    </row>
    <row r="10127" spans="8:9">
      <c r="H10127" s="2"/>
      <c r="I10127" s="2"/>
    </row>
    <row r="10128" spans="8:9">
      <c r="H10128" s="2"/>
      <c r="I10128" s="2"/>
    </row>
    <row r="10129" spans="8:9">
      <c r="H10129" s="2"/>
      <c r="I10129" s="2"/>
    </row>
    <row r="10130" spans="8:9">
      <c r="H10130" s="2"/>
      <c r="I10130" s="2"/>
    </row>
    <row r="10131" spans="8:9">
      <c r="H10131" s="2"/>
      <c r="I10131" s="2"/>
    </row>
    <row r="10132" spans="8:9">
      <c r="H10132" s="2"/>
      <c r="I10132" s="2"/>
    </row>
    <row r="10133" spans="8:9">
      <c r="H10133" s="2"/>
      <c r="I10133" s="2"/>
    </row>
    <row r="10134" spans="8:9">
      <c r="H10134" s="2"/>
      <c r="I10134" s="2"/>
    </row>
    <row r="10135" spans="8:9">
      <c r="H10135" s="2"/>
      <c r="I10135" s="2"/>
    </row>
    <row r="10136" spans="8:9">
      <c r="H10136" s="2"/>
      <c r="I10136" s="2"/>
    </row>
    <row r="10137" spans="8:9">
      <c r="H10137" s="2"/>
      <c r="I10137" s="2"/>
    </row>
    <row r="10138" spans="8:9">
      <c r="H10138" s="2"/>
      <c r="I10138" s="2"/>
    </row>
    <row r="10139" spans="8:9">
      <c r="H10139" s="2"/>
      <c r="I10139" s="2"/>
    </row>
    <row r="10140" spans="8:9">
      <c r="H10140" s="2"/>
      <c r="I10140" s="2"/>
    </row>
    <row r="10141" spans="8:9">
      <c r="H10141" s="2"/>
      <c r="I10141" s="2"/>
    </row>
    <row r="10142" spans="8:9">
      <c r="H10142" s="2"/>
      <c r="I10142" s="2"/>
    </row>
    <row r="10143" spans="8:9">
      <c r="H10143" s="2"/>
      <c r="I10143" s="2"/>
    </row>
    <row r="10144" spans="8:9">
      <c r="H10144" s="2"/>
      <c r="I10144" s="2"/>
    </row>
    <row r="10145" spans="8:9">
      <c r="H10145" s="2"/>
      <c r="I10145" s="2"/>
    </row>
    <row r="10146" spans="8:9">
      <c r="H10146" s="2"/>
      <c r="I10146" s="2"/>
    </row>
    <row r="10147" spans="8:9">
      <c r="H10147" s="2"/>
      <c r="I10147" s="2"/>
    </row>
    <row r="10148" spans="8:9">
      <c r="H10148" s="2"/>
      <c r="I10148" s="2"/>
    </row>
    <row r="10149" spans="8:9">
      <c r="H10149" s="2"/>
      <c r="I10149" s="2"/>
    </row>
    <row r="10150" spans="8:9">
      <c r="H10150" s="2"/>
      <c r="I10150" s="2"/>
    </row>
    <row r="10151" spans="8:9">
      <c r="H10151" s="2"/>
      <c r="I10151" s="2"/>
    </row>
    <row r="10152" spans="8:9">
      <c r="H10152" s="2"/>
      <c r="I10152" s="2"/>
    </row>
    <row r="10153" spans="8:9">
      <c r="H10153" s="2"/>
      <c r="I10153" s="2"/>
    </row>
    <row r="10154" spans="8:9">
      <c r="H10154" s="2"/>
      <c r="I10154" s="2"/>
    </row>
    <row r="10155" spans="8:9">
      <c r="H10155" s="2"/>
      <c r="I10155" s="2"/>
    </row>
    <row r="10156" spans="8:9">
      <c r="H10156" s="2"/>
      <c r="I10156" s="2"/>
    </row>
    <row r="10157" spans="8:9">
      <c r="H10157" s="2"/>
      <c r="I10157" s="2"/>
    </row>
    <row r="10158" spans="8:9">
      <c r="H10158" s="2"/>
      <c r="I10158" s="2"/>
    </row>
    <row r="10159" spans="8:9">
      <c r="H10159" s="2"/>
      <c r="I10159" s="2"/>
    </row>
    <row r="10160" spans="8:9">
      <c r="H10160" s="2"/>
      <c r="I10160" s="2"/>
    </row>
    <row r="10161" spans="8:9">
      <c r="H10161" s="2"/>
      <c r="I10161" s="2"/>
    </row>
    <row r="10162" spans="8:9">
      <c r="H10162" s="2"/>
      <c r="I10162" s="2"/>
    </row>
    <row r="10163" spans="8:9">
      <c r="H10163" s="2"/>
      <c r="I10163" s="2"/>
    </row>
    <row r="10164" spans="8:9">
      <c r="H10164" s="2"/>
      <c r="I10164" s="2"/>
    </row>
    <row r="10165" spans="8:9">
      <c r="H10165" s="2"/>
      <c r="I10165" s="2"/>
    </row>
    <row r="10166" spans="8:9">
      <c r="H10166" s="2"/>
      <c r="I10166" s="2"/>
    </row>
    <row r="10167" spans="8:9">
      <c r="H10167" s="2"/>
      <c r="I10167" s="2"/>
    </row>
    <row r="10168" spans="8:9">
      <c r="H10168" s="2"/>
      <c r="I10168" s="2"/>
    </row>
    <row r="10169" spans="8:9">
      <c r="H10169" s="2"/>
      <c r="I10169" s="2"/>
    </row>
    <row r="10170" spans="8:9">
      <c r="H10170" s="2"/>
      <c r="I10170" s="2"/>
    </row>
    <row r="10171" spans="8:9">
      <c r="H10171" s="2"/>
      <c r="I10171" s="2"/>
    </row>
    <row r="10172" spans="8:9">
      <c r="H10172" s="2"/>
      <c r="I10172" s="2"/>
    </row>
    <row r="10173" spans="8:9">
      <c r="H10173" s="2"/>
      <c r="I10173" s="2"/>
    </row>
    <row r="10174" spans="8:9">
      <c r="H10174" s="2"/>
      <c r="I10174" s="2"/>
    </row>
    <row r="10175" spans="8:9">
      <c r="H10175" s="2"/>
      <c r="I10175" s="2"/>
    </row>
    <row r="10176" spans="8:9">
      <c r="H10176" s="2"/>
      <c r="I10176" s="2"/>
    </row>
    <row r="10177" spans="8:9">
      <c r="H10177" s="2"/>
      <c r="I10177" s="2"/>
    </row>
    <row r="10178" spans="8:9">
      <c r="H10178" s="2"/>
      <c r="I10178" s="2"/>
    </row>
    <row r="10179" spans="8:9">
      <c r="H10179" s="2"/>
      <c r="I10179" s="2"/>
    </row>
    <row r="10180" spans="8:9">
      <c r="H10180" s="2"/>
      <c r="I10180" s="2"/>
    </row>
    <row r="10181" spans="8:9">
      <c r="H10181" s="2"/>
      <c r="I10181" s="2"/>
    </row>
    <row r="10182" spans="8:9">
      <c r="H10182" s="2"/>
      <c r="I10182" s="2"/>
    </row>
    <row r="10183" spans="8:9">
      <c r="H10183" s="2"/>
      <c r="I10183" s="2"/>
    </row>
    <row r="10184" spans="8:9">
      <c r="H10184" s="2"/>
      <c r="I10184" s="2"/>
    </row>
    <row r="10185" spans="8:9">
      <c r="H10185" s="2"/>
      <c r="I10185" s="2"/>
    </row>
    <row r="10186" spans="8:9">
      <c r="H10186" s="2"/>
      <c r="I10186" s="2"/>
    </row>
    <row r="10187" spans="8:9">
      <c r="H10187" s="2"/>
      <c r="I10187" s="2"/>
    </row>
    <row r="10188" spans="8:9">
      <c r="H10188" s="2"/>
      <c r="I10188" s="2"/>
    </row>
    <row r="10189" spans="8:9">
      <c r="H10189" s="2"/>
      <c r="I10189" s="2"/>
    </row>
    <row r="10190" spans="8:9">
      <c r="H10190" s="2"/>
      <c r="I10190" s="2"/>
    </row>
    <row r="10191" spans="8:9">
      <c r="H10191" s="2"/>
      <c r="I10191" s="2"/>
    </row>
    <row r="10192" spans="8:9">
      <c r="H10192" s="2"/>
      <c r="I10192" s="2"/>
    </row>
    <row r="10193" spans="8:9">
      <c r="H10193" s="2"/>
      <c r="I10193" s="2"/>
    </row>
    <row r="10194" spans="8:9">
      <c r="H10194" s="2"/>
      <c r="I10194" s="2"/>
    </row>
    <row r="10195" spans="8:9">
      <c r="H10195" s="2"/>
      <c r="I10195" s="2"/>
    </row>
    <row r="10196" spans="8:9">
      <c r="H10196" s="2"/>
      <c r="I10196" s="2"/>
    </row>
    <row r="10197" spans="8:9">
      <c r="H10197" s="2"/>
      <c r="I10197" s="2"/>
    </row>
    <row r="10198" spans="8:9">
      <c r="H10198" s="2"/>
      <c r="I10198" s="2"/>
    </row>
    <row r="10199" spans="8:9">
      <c r="H10199" s="2"/>
      <c r="I10199" s="2"/>
    </row>
    <row r="10200" spans="8:9">
      <c r="H10200" s="2"/>
      <c r="I10200" s="2"/>
    </row>
    <row r="10201" spans="8:9">
      <c r="H10201" s="2"/>
      <c r="I10201" s="2"/>
    </row>
    <row r="10202" spans="8:9">
      <c r="H10202" s="2"/>
      <c r="I10202" s="2"/>
    </row>
    <row r="10203" spans="8:9">
      <c r="H10203" s="2"/>
      <c r="I10203" s="2"/>
    </row>
    <row r="10204" spans="8:9">
      <c r="H10204" s="2"/>
      <c r="I10204" s="2"/>
    </row>
    <row r="10205" spans="8:9">
      <c r="H10205" s="2"/>
      <c r="I10205" s="2"/>
    </row>
    <row r="10206" spans="8:9">
      <c r="H10206" s="2"/>
      <c r="I10206" s="2"/>
    </row>
    <row r="10207" spans="8:9">
      <c r="H10207" s="2"/>
      <c r="I10207" s="2"/>
    </row>
    <row r="10208" spans="8:9">
      <c r="H10208" s="2"/>
      <c r="I10208" s="2"/>
    </row>
    <row r="10209" spans="8:9">
      <c r="H10209" s="2"/>
      <c r="I10209" s="2"/>
    </row>
    <row r="10210" spans="8:9">
      <c r="H10210" s="2"/>
      <c r="I10210" s="2"/>
    </row>
    <row r="10211" spans="8:9">
      <c r="H10211" s="2"/>
      <c r="I10211" s="2"/>
    </row>
    <row r="10212" spans="8:9">
      <c r="H10212" s="2"/>
      <c r="I10212" s="2"/>
    </row>
    <row r="10213" spans="8:9">
      <c r="H10213" s="2"/>
      <c r="I10213" s="2"/>
    </row>
    <row r="10214" spans="8:9">
      <c r="H10214" s="2"/>
      <c r="I10214" s="2"/>
    </row>
    <row r="10215" spans="8:9">
      <c r="H10215" s="2"/>
      <c r="I10215" s="2"/>
    </row>
    <row r="10216" spans="8:9">
      <c r="H10216" s="2"/>
      <c r="I10216" s="2"/>
    </row>
    <row r="10217" spans="8:9">
      <c r="H10217" s="2"/>
      <c r="I10217" s="2"/>
    </row>
    <row r="10218" spans="8:9">
      <c r="H10218" s="2"/>
      <c r="I10218" s="2"/>
    </row>
    <row r="10219" spans="8:9">
      <c r="H10219" s="2"/>
      <c r="I10219" s="2"/>
    </row>
    <row r="10220" spans="8:9">
      <c r="H10220" s="2"/>
      <c r="I10220" s="2"/>
    </row>
    <row r="10221" spans="8:9">
      <c r="H10221" s="2"/>
      <c r="I10221" s="2"/>
    </row>
    <row r="10222" spans="8:9">
      <c r="H10222" s="2"/>
      <c r="I10222" s="2"/>
    </row>
    <row r="10223" spans="8:9">
      <c r="H10223" s="2"/>
      <c r="I10223" s="2"/>
    </row>
    <row r="10224" spans="8:9">
      <c r="H10224" s="2"/>
      <c r="I10224" s="2"/>
    </row>
    <row r="10225" spans="8:9">
      <c r="H10225" s="2"/>
      <c r="I10225" s="2"/>
    </row>
    <row r="10226" spans="8:9">
      <c r="H10226" s="2"/>
      <c r="I10226" s="2"/>
    </row>
    <row r="10227" spans="8:9">
      <c r="H10227" s="2"/>
      <c r="I10227" s="2"/>
    </row>
    <row r="10228" spans="8:9">
      <c r="H10228" s="2"/>
      <c r="I10228" s="2"/>
    </row>
    <row r="10229" spans="8:9">
      <c r="H10229" s="2"/>
      <c r="I10229" s="2"/>
    </row>
    <row r="10230" spans="8:9">
      <c r="H10230" s="2"/>
      <c r="I10230" s="2"/>
    </row>
    <row r="10231" spans="8:9">
      <c r="H10231" s="2"/>
      <c r="I10231" s="2"/>
    </row>
    <row r="10232" spans="8:9">
      <c r="H10232" s="2"/>
      <c r="I10232" s="2"/>
    </row>
    <row r="10233" spans="8:9">
      <c r="H10233" s="2"/>
      <c r="I10233" s="2"/>
    </row>
    <row r="10234" spans="8:9">
      <c r="H10234" s="2"/>
      <c r="I10234" s="2"/>
    </row>
    <row r="10235" spans="8:9">
      <c r="H10235" s="2"/>
      <c r="I10235" s="2"/>
    </row>
    <row r="10236" spans="8:9">
      <c r="H10236" s="2"/>
      <c r="I10236" s="2"/>
    </row>
    <row r="10237" spans="8:9">
      <c r="H10237" s="2"/>
      <c r="I10237" s="2"/>
    </row>
    <row r="10238" spans="8:9">
      <c r="H10238" s="2"/>
      <c r="I10238" s="2"/>
    </row>
    <row r="10239" spans="8:9">
      <c r="H10239" s="2"/>
      <c r="I10239" s="2"/>
    </row>
    <row r="10240" spans="8:9">
      <c r="H10240" s="2"/>
      <c r="I10240" s="2"/>
    </row>
    <row r="10241" spans="8:9">
      <c r="H10241" s="2"/>
      <c r="I10241" s="2"/>
    </row>
    <row r="10242" spans="8:9">
      <c r="H10242" s="2"/>
      <c r="I10242" s="2"/>
    </row>
    <row r="10243" spans="8:9">
      <c r="H10243" s="2"/>
      <c r="I10243" s="2"/>
    </row>
    <row r="10244" spans="8:9">
      <c r="H10244" s="2"/>
      <c r="I10244" s="2"/>
    </row>
    <row r="10245" spans="8:9">
      <c r="H10245" s="2"/>
      <c r="I10245" s="2"/>
    </row>
    <row r="10246" spans="8:9">
      <c r="H10246" s="2"/>
      <c r="I10246" s="2"/>
    </row>
    <row r="10247" spans="8:9">
      <c r="H10247" s="2"/>
      <c r="I10247" s="2"/>
    </row>
    <row r="10248" spans="8:9">
      <c r="H10248" s="2"/>
      <c r="I10248" s="2"/>
    </row>
    <row r="10249" spans="8:9">
      <c r="H10249" s="2"/>
      <c r="I10249" s="2"/>
    </row>
    <row r="10250" spans="8:9">
      <c r="H10250" s="2"/>
      <c r="I10250" s="2"/>
    </row>
    <row r="10251" spans="8:9">
      <c r="H10251" s="2"/>
      <c r="I10251" s="2"/>
    </row>
    <row r="10252" spans="8:9">
      <c r="H10252" s="2"/>
      <c r="I10252" s="2"/>
    </row>
    <row r="10253" spans="8:9">
      <c r="H10253" s="2"/>
      <c r="I10253" s="2"/>
    </row>
    <row r="10254" spans="8:9">
      <c r="H10254" s="2"/>
      <c r="I10254" s="2"/>
    </row>
    <row r="10255" spans="8:9">
      <c r="H10255" s="2"/>
      <c r="I10255" s="2"/>
    </row>
    <row r="10256" spans="8:9">
      <c r="H10256" s="2"/>
      <c r="I10256" s="2"/>
    </row>
    <row r="10257" spans="8:9">
      <c r="H10257" s="2"/>
      <c r="I10257" s="2"/>
    </row>
    <row r="10258" spans="8:9">
      <c r="H10258" s="2"/>
      <c r="I10258" s="2"/>
    </row>
    <row r="10259" spans="8:9">
      <c r="H10259" s="2"/>
      <c r="I10259" s="2"/>
    </row>
    <row r="10260" spans="8:9">
      <c r="H10260" s="2"/>
      <c r="I10260" s="2"/>
    </row>
    <row r="10261" spans="8:9">
      <c r="H10261" s="2"/>
      <c r="I10261" s="2"/>
    </row>
    <row r="10262" spans="8:9">
      <c r="H10262" s="2"/>
      <c r="I10262" s="2"/>
    </row>
    <row r="10263" spans="8:9">
      <c r="H10263" s="2"/>
      <c r="I10263" s="2"/>
    </row>
    <row r="10264" spans="8:9">
      <c r="H10264" s="2"/>
      <c r="I10264" s="2"/>
    </row>
    <row r="10265" spans="8:9">
      <c r="H10265" s="2"/>
      <c r="I10265" s="2"/>
    </row>
    <row r="10266" spans="8:9">
      <c r="H10266" s="2"/>
      <c r="I10266" s="2"/>
    </row>
    <row r="10267" spans="8:9">
      <c r="H10267" s="2"/>
      <c r="I10267" s="2"/>
    </row>
    <row r="10268" spans="8:9">
      <c r="H10268" s="2"/>
      <c r="I10268" s="2"/>
    </row>
    <row r="10269" spans="8:9">
      <c r="H10269" s="2"/>
      <c r="I10269" s="2"/>
    </row>
    <row r="10270" spans="8:9">
      <c r="H10270" s="2"/>
      <c r="I10270" s="2"/>
    </row>
    <row r="10271" spans="8:9">
      <c r="H10271" s="2"/>
      <c r="I10271" s="2"/>
    </row>
    <row r="10272" spans="8:9">
      <c r="H10272" s="2"/>
      <c r="I10272" s="2"/>
    </row>
    <row r="10273" spans="8:9">
      <c r="H10273" s="2"/>
      <c r="I10273" s="2"/>
    </row>
    <row r="10274" spans="8:9">
      <c r="H10274" s="2"/>
      <c r="I10274" s="2"/>
    </row>
    <row r="10275" spans="8:9">
      <c r="H10275" s="2"/>
      <c r="I10275" s="2"/>
    </row>
    <row r="10276" spans="8:9">
      <c r="H10276" s="2"/>
      <c r="I10276" s="2"/>
    </row>
    <row r="10277" spans="8:9">
      <c r="H10277" s="2"/>
      <c r="I10277" s="2"/>
    </row>
    <row r="10278" spans="8:9">
      <c r="H10278" s="2"/>
      <c r="I10278" s="2"/>
    </row>
    <row r="10279" spans="8:9">
      <c r="H10279" s="2"/>
      <c r="I10279" s="2"/>
    </row>
    <row r="10280" spans="8:9">
      <c r="H10280" s="2"/>
      <c r="I10280" s="2"/>
    </row>
    <row r="10281" spans="8:9">
      <c r="H10281" s="2"/>
      <c r="I10281" s="2"/>
    </row>
    <row r="10282" spans="8:9">
      <c r="H10282" s="2"/>
      <c r="I10282" s="2"/>
    </row>
    <row r="10283" spans="8:9">
      <c r="H10283" s="2"/>
      <c r="I10283" s="2"/>
    </row>
    <row r="10284" spans="8:9">
      <c r="H10284" s="2"/>
      <c r="I10284" s="2"/>
    </row>
    <row r="10285" spans="8:9">
      <c r="H10285" s="2"/>
      <c r="I10285" s="2"/>
    </row>
    <row r="10286" spans="8:9">
      <c r="H10286" s="2"/>
      <c r="I10286" s="2"/>
    </row>
    <row r="10287" spans="8:9">
      <c r="H10287" s="2"/>
      <c r="I10287" s="2"/>
    </row>
    <row r="10288" spans="8:9">
      <c r="H10288" s="2"/>
      <c r="I10288" s="2"/>
    </row>
    <row r="10289" spans="8:9">
      <c r="H10289" s="2"/>
      <c r="I10289" s="2"/>
    </row>
    <row r="10290" spans="8:9">
      <c r="H10290" s="2"/>
      <c r="I10290" s="2"/>
    </row>
    <row r="10291" spans="8:9">
      <c r="H10291" s="2"/>
      <c r="I10291" s="2"/>
    </row>
    <row r="10292" spans="8:9">
      <c r="H10292" s="2"/>
      <c r="I10292" s="2"/>
    </row>
    <row r="10293" spans="8:9">
      <c r="H10293" s="2"/>
      <c r="I10293" s="2"/>
    </row>
    <row r="10294" spans="8:9">
      <c r="H10294" s="2"/>
      <c r="I10294" s="2"/>
    </row>
    <row r="10295" spans="8:9">
      <c r="H10295" s="2"/>
      <c r="I10295" s="2"/>
    </row>
    <row r="10296" spans="8:9">
      <c r="H10296" s="2"/>
      <c r="I10296" s="2"/>
    </row>
    <row r="10297" spans="8:9">
      <c r="H10297" s="2"/>
      <c r="I10297" s="2"/>
    </row>
    <row r="10298" spans="8:9">
      <c r="H10298" s="2"/>
      <c r="I10298" s="2"/>
    </row>
    <row r="10299" spans="8:9">
      <c r="H10299" s="2"/>
      <c r="I10299" s="2"/>
    </row>
    <row r="10300" spans="8:9">
      <c r="H10300" s="2"/>
      <c r="I10300" s="2"/>
    </row>
    <row r="10301" spans="8:9">
      <c r="H10301" s="2"/>
      <c r="I10301" s="2"/>
    </row>
    <row r="10302" spans="8:9">
      <c r="H10302" s="2"/>
      <c r="I10302" s="2"/>
    </row>
    <row r="10303" spans="8:9">
      <c r="H10303" s="2"/>
      <c r="I10303" s="2"/>
    </row>
    <row r="10304" spans="8:9">
      <c r="H10304" s="2"/>
      <c r="I10304" s="2"/>
    </row>
    <row r="10305" spans="8:9">
      <c r="H10305" s="2"/>
      <c r="I10305" s="2"/>
    </row>
    <row r="10306" spans="8:9">
      <c r="H10306" s="2"/>
      <c r="I10306" s="2"/>
    </row>
    <row r="10307" spans="8:9">
      <c r="H10307" s="2"/>
      <c r="I10307" s="2"/>
    </row>
    <row r="10308" spans="8:9">
      <c r="H10308" s="2"/>
      <c r="I10308" s="2"/>
    </row>
    <row r="10309" spans="8:9">
      <c r="H10309" s="2"/>
      <c r="I10309" s="2"/>
    </row>
    <row r="10310" spans="8:9">
      <c r="H10310" s="2"/>
      <c r="I10310" s="2"/>
    </row>
    <row r="10311" spans="8:9">
      <c r="H10311" s="2"/>
      <c r="I10311" s="2"/>
    </row>
    <row r="10312" spans="8:9">
      <c r="H10312" s="2"/>
      <c r="I10312" s="2"/>
    </row>
    <row r="10313" spans="8:9">
      <c r="H10313" s="2"/>
      <c r="I10313" s="2"/>
    </row>
    <row r="10314" spans="8:9">
      <c r="H10314" s="2"/>
      <c r="I10314" s="2"/>
    </row>
    <row r="10315" spans="8:9">
      <c r="H10315" s="2"/>
      <c r="I10315" s="2"/>
    </row>
    <row r="10316" spans="8:9">
      <c r="H10316" s="2"/>
      <c r="I10316" s="2"/>
    </row>
    <row r="10317" spans="8:9">
      <c r="H10317" s="2"/>
      <c r="I10317" s="2"/>
    </row>
    <row r="10318" spans="8:9">
      <c r="H10318" s="2"/>
      <c r="I10318" s="2"/>
    </row>
    <row r="10319" spans="8:9">
      <c r="H10319" s="2"/>
      <c r="I10319" s="2"/>
    </row>
    <row r="10320" spans="8:9">
      <c r="H10320" s="2"/>
      <c r="I10320" s="2"/>
    </row>
    <row r="10321" spans="8:9">
      <c r="H10321" s="2"/>
      <c r="I10321" s="2"/>
    </row>
    <row r="10322" spans="8:9">
      <c r="H10322" s="2"/>
      <c r="I10322" s="2"/>
    </row>
    <row r="10323" spans="8:9">
      <c r="H10323" s="2"/>
      <c r="I10323" s="2"/>
    </row>
    <row r="10324" spans="8:9">
      <c r="H10324" s="2"/>
      <c r="I10324" s="2"/>
    </row>
    <row r="10325" spans="8:9">
      <c r="H10325" s="2"/>
      <c r="I10325" s="2"/>
    </row>
    <row r="10326" spans="8:9">
      <c r="H10326" s="2"/>
      <c r="I10326" s="2"/>
    </row>
    <row r="10327" spans="8:9">
      <c r="H10327" s="2"/>
      <c r="I10327" s="2"/>
    </row>
    <row r="10328" spans="8:9">
      <c r="H10328" s="2"/>
      <c r="I10328" s="2"/>
    </row>
    <row r="10329" spans="8:9">
      <c r="H10329" s="2"/>
      <c r="I10329" s="2"/>
    </row>
    <row r="10330" spans="8:9">
      <c r="H10330" s="2"/>
      <c r="I10330" s="2"/>
    </row>
    <row r="10331" spans="8:9">
      <c r="H10331" s="2"/>
      <c r="I10331" s="2"/>
    </row>
    <row r="10332" spans="8:9">
      <c r="H10332" s="2"/>
      <c r="I10332" s="2"/>
    </row>
    <row r="10333" spans="8:9">
      <c r="H10333" s="2"/>
      <c r="I10333" s="2"/>
    </row>
    <row r="10334" spans="8:9">
      <c r="H10334" s="2"/>
      <c r="I10334" s="2"/>
    </row>
    <row r="10335" spans="8:9">
      <c r="H10335" s="2"/>
      <c r="I10335" s="2"/>
    </row>
    <row r="10336" spans="8:9">
      <c r="H10336" s="2"/>
      <c r="I10336" s="2"/>
    </row>
    <row r="10337" spans="8:9">
      <c r="H10337" s="2"/>
      <c r="I10337" s="2"/>
    </row>
    <row r="10338" spans="8:9">
      <c r="H10338" s="2"/>
      <c r="I10338" s="2"/>
    </row>
    <row r="10339" spans="8:9">
      <c r="H10339" s="2"/>
      <c r="I10339" s="2"/>
    </row>
    <row r="10340" spans="8:9">
      <c r="H10340" s="2"/>
      <c r="I10340" s="2"/>
    </row>
    <row r="10341" spans="8:9">
      <c r="H10341" s="2"/>
      <c r="I10341" s="2"/>
    </row>
    <row r="10342" spans="8:9">
      <c r="H10342" s="2"/>
      <c r="I10342" s="2"/>
    </row>
    <row r="10343" spans="8:9">
      <c r="H10343" s="2"/>
      <c r="I10343" s="2"/>
    </row>
    <row r="10344" spans="8:9">
      <c r="H10344" s="2"/>
      <c r="I10344" s="2"/>
    </row>
    <row r="10345" spans="8:9">
      <c r="H10345" s="2"/>
      <c r="I10345" s="2"/>
    </row>
    <row r="10346" spans="8:9">
      <c r="H10346" s="2"/>
      <c r="I10346" s="2"/>
    </row>
    <row r="10347" spans="8:9">
      <c r="H10347" s="2"/>
      <c r="I10347" s="2"/>
    </row>
    <row r="10348" spans="8:9">
      <c r="H10348" s="2"/>
      <c r="I10348" s="2"/>
    </row>
    <row r="10349" spans="8:9">
      <c r="H10349" s="2"/>
      <c r="I10349" s="2"/>
    </row>
    <row r="10350" spans="8:9">
      <c r="H10350" s="2"/>
      <c r="I10350" s="2"/>
    </row>
    <row r="10351" spans="8:9">
      <c r="H10351" s="2"/>
      <c r="I10351" s="2"/>
    </row>
    <row r="10352" spans="8:9">
      <c r="H10352" s="2"/>
      <c r="I10352" s="2"/>
    </row>
    <row r="10353" spans="8:9">
      <c r="H10353" s="2"/>
      <c r="I10353" s="2"/>
    </row>
    <row r="10354" spans="8:9">
      <c r="H10354" s="2"/>
      <c r="I10354" s="2"/>
    </row>
    <row r="10355" spans="8:9">
      <c r="H10355" s="2"/>
      <c r="I10355" s="2"/>
    </row>
    <row r="10356" spans="8:9">
      <c r="H10356" s="2"/>
      <c r="I10356" s="2"/>
    </row>
    <row r="10357" spans="8:9">
      <c r="H10357" s="2"/>
      <c r="I10357" s="2"/>
    </row>
    <row r="10358" spans="8:9">
      <c r="H10358" s="2"/>
      <c r="I10358" s="2"/>
    </row>
    <row r="10359" spans="8:9">
      <c r="H10359" s="2"/>
      <c r="I10359" s="2"/>
    </row>
    <row r="10360" spans="8:9">
      <c r="H10360" s="2"/>
      <c r="I10360" s="2"/>
    </row>
    <row r="10361" spans="8:9">
      <c r="H10361" s="2"/>
      <c r="I10361" s="2"/>
    </row>
    <row r="10362" spans="8:9">
      <c r="H10362" s="2"/>
      <c r="I10362" s="2"/>
    </row>
    <row r="10363" spans="8:9">
      <c r="H10363" s="2"/>
      <c r="I10363" s="2"/>
    </row>
    <row r="10364" spans="8:9">
      <c r="H10364" s="2"/>
      <c r="I10364" s="2"/>
    </row>
    <row r="10365" spans="8:9">
      <c r="H10365" s="2"/>
      <c r="I10365" s="2"/>
    </row>
    <row r="10366" spans="8:9">
      <c r="H10366" s="2"/>
      <c r="I10366" s="2"/>
    </row>
    <row r="10367" spans="8:9">
      <c r="H10367" s="2"/>
      <c r="I10367" s="2"/>
    </row>
    <row r="10368" spans="8:9">
      <c r="H10368" s="2"/>
      <c r="I10368" s="2"/>
    </row>
    <row r="10369" spans="8:9">
      <c r="H10369" s="2"/>
      <c r="I10369" s="2"/>
    </row>
    <row r="10370" spans="8:9">
      <c r="H10370" s="2"/>
      <c r="I10370" s="2"/>
    </row>
    <row r="10371" spans="8:9">
      <c r="H10371" s="2"/>
      <c r="I10371" s="2"/>
    </row>
    <row r="10372" spans="8:9">
      <c r="H10372" s="2"/>
      <c r="I10372" s="2"/>
    </row>
    <row r="10373" spans="8:9">
      <c r="H10373" s="2"/>
      <c r="I10373" s="2"/>
    </row>
    <row r="10374" spans="8:9">
      <c r="H10374" s="2"/>
      <c r="I10374" s="2"/>
    </row>
    <row r="10375" spans="8:9">
      <c r="H10375" s="2"/>
      <c r="I10375" s="2"/>
    </row>
    <row r="10376" spans="8:9">
      <c r="H10376" s="2"/>
      <c r="I10376" s="2"/>
    </row>
    <row r="10377" spans="8:9">
      <c r="H10377" s="2"/>
      <c r="I10377" s="2"/>
    </row>
    <row r="10378" spans="8:9">
      <c r="H10378" s="2"/>
      <c r="I10378" s="2"/>
    </row>
    <row r="10379" spans="8:9">
      <c r="H10379" s="2"/>
      <c r="I10379" s="2"/>
    </row>
    <row r="10380" spans="8:9">
      <c r="H10380" s="2"/>
      <c r="I10380" s="2"/>
    </row>
    <row r="10381" spans="8:9">
      <c r="H10381" s="2"/>
      <c r="I10381" s="2"/>
    </row>
    <row r="10382" spans="8:9">
      <c r="H10382" s="2"/>
      <c r="I10382" s="2"/>
    </row>
    <row r="10383" spans="8:9">
      <c r="H10383" s="2"/>
      <c r="I10383" s="2"/>
    </row>
    <row r="10384" spans="8:9">
      <c r="H10384" s="2"/>
      <c r="I10384" s="2"/>
    </row>
    <row r="10385" spans="8:9">
      <c r="H10385" s="2"/>
      <c r="I10385" s="2"/>
    </row>
    <row r="10386" spans="8:9">
      <c r="H10386" s="2"/>
      <c r="I10386" s="2"/>
    </row>
    <row r="10387" spans="8:9">
      <c r="H10387" s="2"/>
      <c r="I10387" s="2"/>
    </row>
    <row r="10388" spans="8:9">
      <c r="H10388" s="2"/>
      <c r="I10388" s="2"/>
    </row>
    <row r="10389" spans="8:9">
      <c r="H10389" s="2"/>
      <c r="I10389" s="2"/>
    </row>
    <row r="10390" spans="8:9">
      <c r="H10390" s="2"/>
      <c r="I10390" s="2"/>
    </row>
    <row r="10391" spans="8:9">
      <c r="H10391" s="2"/>
      <c r="I10391" s="2"/>
    </row>
    <row r="10392" spans="8:9">
      <c r="H10392" s="2"/>
      <c r="I10392" s="2"/>
    </row>
    <row r="10393" spans="8:9">
      <c r="H10393" s="2"/>
      <c r="I10393" s="2"/>
    </row>
    <row r="10394" spans="8:9">
      <c r="H10394" s="2"/>
      <c r="I10394" s="2"/>
    </row>
    <row r="10395" spans="8:9">
      <c r="H10395" s="2"/>
      <c r="I10395" s="2"/>
    </row>
    <row r="10396" spans="8:9">
      <c r="H10396" s="2"/>
      <c r="I10396" s="2"/>
    </row>
    <row r="10397" spans="8:9">
      <c r="H10397" s="2"/>
      <c r="I10397" s="2"/>
    </row>
    <row r="10398" spans="8:9">
      <c r="H10398" s="2"/>
      <c r="I10398" s="2"/>
    </row>
    <row r="10399" spans="8:9">
      <c r="H10399" s="2"/>
      <c r="I10399" s="2"/>
    </row>
    <row r="10400" spans="8:9">
      <c r="H10400" s="2"/>
      <c r="I10400" s="2"/>
    </row>
    <row r="10401" spans="8:9">
      <c r="H10401" s="2"/>
      <c r="I10401" s="2"/>
    </row>
    <row r="10402" spans="8:9">
      <c r="H10402" s="2"/>
      <c r="I10402" s="2"/>
    </row>
    <row r="10403" spans="8:9">
      <c r="H10403" s="2"/>
      <c r="I10403" s="2"/>
    </row>
    <row r="10404" spans="8:9">
      <c r="H10404" s="2"/>
      <c r="I10404" s="2"/>
    </row>
    <row r="10405" spans="8:9">
      <c r="H10405" s="2"/>
      <c r="I10405" s="2"/>
    </row>
    <row r="10406" spans="8:9">
      <c r="H10406" s="2"/>
      <c r="I10406" s="2"/>
    </row>
    <row r="10407" spans="8:9">
      <c r="H10407" s="2"/>
      <c r="I10407" s="2"/>
    </row>
    <row r="10408" spans="8:9">
      <c r="H10408" s="2"/>
      <c r="I10408" s="2"/>
    </row>
    <row r="10409" spans="8:9">
      <c r="H10409" s="2"/>
      <c r="I10409" s="2"/>
    </row>
    <row r="10410" spans="8:9">
      <c r="H10410" s="2"/>
      <c r="I10410" s="2"/>
    </row>
    <row r="10411" spans="8:9">
      <c r="H10411" s="2"/>
      <c r="I10411" s="2"/>
    </row>
    <row r="10412" spans="8:9">
      <c r="H10412" s="2"/>
      <c r="I10412" s="2"/>
    </row>
    <row r="10413" spans="8:9">
      <c r="H10413" s="2"/>
      <c r="I10413" s="2"/>
    </row>
    <row r="10414" spans="8:9">
      <c r="H10414" s="2"/>
      <c r="I10414" s="2"/>
    </row>
    <row r="10415" spans="8:9">
      <c r="H10415" s="2"/>
      <c r="I10415" s="2"/>
    </row>
    <row r="10416" spans="8:9">
      <c r="H10416" s="2"/>
      <c r="I10416" s="2"/>
    </row>
    <row r="10417" spans="8:9">
      <c r="H10417" s="2"/>
      <c r="I10417" s="2"/>
    </row>
    <row r="10418" spans="8:9">
      <c r="H10418" s="2"/>
      <c r="I10418" s="2"/>
    </row>
    <row r="10419" spans="8:9">
      <c r="H10419" s="2"/>
      <c r="I10419" s="2"/>
    </row>
    <row r="10420" spans="8:9">
      <c r="H10420" s="2"/>
      <c r="I10420" s="2"/>
    </row>
    <row r="10421" spans="8:9">
      <c r="H10421" s="2"/>
      <c r="I10421" s="2"/>
    </row>
    <row r="10422" spans="8:9">
      <c r="H10422" s="2"/>
      <c r="I10422" s="2"/>
    </row>
    <row r="10423" spans="8:9">
      <c r="H10423" s="2"/>
      <c r="I10423" s="2"/>
    </row>
    <row r="10424" spans="8:9">
      <c r="H10424" s="2"/>
      <c r="I10424" s="2"/>
    </row>
    <row r="10425" spans="8:9">
      <c r="H10425" s="2"/>
      <c r="I10425" s="2"/>
    </row>
    <row r="10426" spans="8:9">
      <c r="H10426" s="2"/>
      <c r="I10426" s="2"/>
    </row>
    <row r="10427" spans="8:9">
      <c r="H10427" s="2"/>
      <c r="I10427" s="2"/>
    </row>
    <row r="10428" spans="8:9">
      <c r="H10428" s="2"/>
      <c r="I10428" s="2"/>
    </row>
    <row r="10429" spans="8:9">
      <c r="H10429" s="2"/>
      <c r="I10429" s="2"/>
    </row>
    <row r="10430" spans="8:9">
      <c r="H10430" s="2"/>
      <c r="I10430" s="2"/>
    </row>
    <row r="10431" spans="8:9">
      <c r="H10431" s="2"/>
      <c r="I10431" s="2"/>
    </row>
    <row r="10432" spans="8:9">
      <c r="H10432" s="2"/>
      <c r="I10432" s="2"/>
    </row>
    <row r="10433" spans="8:9">
      <c r="H10433" s="2"/>
      <c r="I10433" s="2"/>
    </row>
    <row r="10434" spans="8:9">
      <c r="H10434" s="2"/>
      <c r="I10434" s="2"/>
    </row>
    <row r="10435" spans="8:9">
      <c r="H10435" s="2"/>
      <c r="I10435" s="2"/>
    </row>
    <row r="10436" spans="8:9">
      <c r="H10436" s="2"/>
      <c r="I10436" s="2"/>
    </row>
    <row r="10437" spans="8:9">
      <c r="H10437" s="2"/>
      <c r="I10437" s="2"/>
    </row>
    <row r="10438" spans="8:9">
      <c r="H10438" s="2"/>
      <c r="I10438" s="2"/>
    </row>
    <row r="10439" spans="8:9">
      <c r="H10439" s="2"/>
      <c r="I10439" s="2"/>
    </row>
    <row r="10440" spans="8:9">
      <c r="H10440" s="2"/>
      <c r="I10440" s="2"/>
    </row>
    <row r="10441" spans="8:9">
      <c r="H10441" s="2"/>
      <c r="I10441" s="2"/>
    </row>
    <row r="10442" spans="8:9">
      <c r="H10442" s="2"/>
      <c r="I10442" s="2"/>
    </row>
    <row r="10443" spans="8:9">
      <c r="H10443" s="2"/>
      <c r="I10443" s="2"/>
    </row>
    <row r="10444" spans="8:9">
      <c r="H10444" s="2"/>
      <c r="I10444" s="2"/>
    </row>
    <row r="10445" spans="8:9">
      <c r="H10445" s="2"/>
      <c r="I10445" s="2"/>
    </row>
    <row r="10446" spans="8:9">
      <c r="H10446" s="2"/>
      <c r="I10446" s="2"/>
    </row>
    <row r="10447" spans="8:9">
      <c r="H10447" s="2"/>
      <c r="I10447" s="2"/>
    </row>
    <row r="10448" spans="8:9">
      <c r="H10448" s="2"/>
      <c r="I10448" s="2"/>
    </row>
    <row r="10449" spans="8:9">
      <c r="H10449" s="2"/>
      <c r="I10449" s="2"/>
    </row>
    <row r="10450" spans="8:9">
      <c r="H10450" s="2"/>
      <c r="I10450" s="2"/>
    </row>
    <row r="10451" spans="8:9">
      <c r="H10451" s="2"/>
      <c r="I10451" s="2"/>
    </row>
    <row r="10452" spans="8:9">
      <c r="H10452" s="2"/>
      <c r="I10452" s="2"/>
    </row>
    <row r="10453" spans="8:9">
      <c r="H10453" s="2"/>
      <c r="I10453" s="2"/>
    </row>
    <row r="10454" spans="8:9">
      <c r="H10454" s="2"/>
      <c r="I10454" s="2"/>
    </row>
    <row r="10455" spans="8:9">
      <c r="H10455" s="2"/>
      <c r="I10455" s="2"/>
    </row>
    <row r="10456" spans="8:9">
      <c r="H10456" s="2"/>
      <c r="I10456" s="2"/>
    </row>
    <row r="10457" spans="8:9">
      <c r="H10457" s="2"/>
      <c r="I10457" s="2"/>
    </row>
    <row r="10458" spans="8:9">
      <c r="H10458" s="2"/>
      <c r="I10458" s="2"/>
    </row>
    <row r="10459" spans="8:9">
      <c r="H10459" s="2"/>
      <c r="I10459" s="2"/>
    </row>
    <row r="10460" spans="8:9">
      <c r="H10460" s="2"/>
      <c r="I10460" s="2"/>
    </row>
    <row r="10461" spans="8:9">
      <c r="H10461" s="2"/>
      <c r="I10461" s="2"/>
    </row>
    <row r="10462" spans="8:9">
      <c r="H10462" s="2"/>
      <c r="I10462" s="2"/>
    </row>
    <row r="10463" spans="8:9">
      <c r="H10463" s="2"/>
      <c r="I10463" s="2"/>
    </row>
    <row r="10464" spans="8:9">
      <c r="H10464" s="2"/>
      <c r="I10464" s="2"/>
    </row>
    <row r="10465" spans="8:9">
      <c r="H10465" s="2"/>
      <c r="I10465" s="2"/>
    </row>
    <row r="10466" spans="8:9">
      <c r="H10466" s="2"/>
      <c r="I10466" s="2"/>
    </row>
    <row r="10467" spans="8:9">
      <c r="H10467" s="2"/>
      <c r="I10467" s="2"/>
    </row>
    <row r="10468" spans="8:9">
      <c r="H10468" s="2"/>
      <c r="I10468" s="2"/>
    </row>
    <row r="10469" spans="8:9">
      <c r="H10469" s="2"/>
      <c r="I10469" s="2"/>
    </row>
    <row r="10470" spans="8:9">
      <c r="H10470" s="2"/>
      <c r="I10470" s="2"/>
    </row>
    <row r="10471" spans="8:9">
      <c r="H10471" s="2"/>
      <c r="I10471" s="2"/>
    </row>
    <row r="10472" spans="8:9">
      <c r="H10472" s="2"/>
      <c r="I10472" s="2"/>
    </row>
    <row r="10473" spans="8:9">
      <c r="H10473" s="2"/>
      <c r="I10473" s="2"/>
    </row>
    <row r="10474" spans="8:9">
      <c r="H10474" s="2"/>
      <c r="I10474" s="2"/>
    </row>
    <row r="10475" spans="8:9">
      <c r="H10475" s="2"/>
      <c r="I10475" s="2"/>
    </row>
    <row r="10476" spans="8:9">
      <c r="H10476" s="2"/>
      <c r="I10476" s="2"/>
    </row>
    <row r="10477" spans="8:9">
      <c r="H10477" s="2"/>
      <c r="I10477" s="2"/>
    </row>
    <row r="10478" spans="8:9">
      <c r="H10478" s="2"/>
      <c r="I10478" s="2"/>
    </row>
    <row r="10479" spans="8:9">
      <c r="H10479" s="2"/>
      <c r="I10479" s="2"/>
    </row>
    <row r="10480" spans="8:9">
      <c r="H10480" s="2"/>
      <c r="I10480" s="2"/>
    </row>
    <row r="10481" spans="8:9">
      <c r="H10481" s="2"/>
      <c r="I10481" s="2"/>
    </row>
    <row r="10482" spans="8:9">
      <c r="H10482" s="2"/>
      <c r="I10482" s="2"/>
    </row>
    <row r="10483" spans="8:9">
      <c r="H10483" s="2"/>
      <c r="I10483" s="2"/>
    </row>
    <row r="10484" spans="8:9">
      <c r="H10484" s="2"/>
      <c r="I10484" s="2"/>
    </row>
    <row r="10485" spans="8:9">
      <c r="H10485" s="2"/>
      <c r="I10485" s="2"/>
    </row>
    <row r="10486" spans="8:9">
      <c r="H10486" s="2"/>
      <c r="I10486" s="2"/>
    </row>
    <row r="10487" spans="8:9">
      <c r="H10487" s="2"/>
      <c r="I10487" s="2"/>
    </row>
    <row r="10488" spans="8:9">
      <c r="H10488" s="2"/>
      <c r="I10488" s="2"/>
    </row>
    <row r="10489" spans="8:9">
      <c r="H10489" s="2"/>
      <c r="I10489" s="2"/>
    </row>
    <row r="10490" spans="8:9">
      <c r="H10490" s="2"/>
      <c r="I10490" s="2"/>
    </row>
    <row r="10491" spans="8:9">
      <c r="H10491" s="2"/>
      <c r="I10491" s="2"/>
    </row>
    <row r="10492" spans="8:9">
      <c r="H10492" s="2"/>
      <c r="I10492" s="2"/>
    </row>
    <row r="10493" spans="8:9">
      <c r="H10493" s="2"/>
      <c r="I10493" s="2"/>
    </row>
    <row r="10494" spans="8:9">
      <c r="H10494" s="2"/>
      <c r="I10494" s="2"/>
    </row>
    <row r="10495" spans="8:9">
      <c r="H10495" s="2"/>
      <c r="I10495" s="2"/>
    </row>
    <row r="10496" spans="8:9">
      <c r="H10496" s="2"/>
      <c r="I10496" s="2"/>
    </row>
    <row r="10497" spans="8:9">
      <c r="H10497" s="2"/>
      <c r="I10497" s="2"/>
    </row>
    <row r="10498" spans="8:9">
      <c r="H10498" s="2"/>
      <c r="I10498" s="2"/>
    </row>
    <row r="10499" spans="8:9">
      <c r="H10499" s="2"/>
      <c r="I10499" s="2"/>
    </row>
    <row r="10500" spans="8:9">
      <c r="H10500" s="2"/>
      <c r="I10500" s="2"/>
    </row>
    <row r="10501" spans="8:9">
      <c r="H10501" s="2"/>
      <c r="I10501" s="2"/>
    </row>
    <row r="10502" spans="8:9">
      <c r="H10502" s="2"/>
      <c r="I10502" s="2"/>
    </row>
    <row r="10503" spans="8:9">
      <c r="H10503" s="2"/>
      <c r="I10503" s="2"/>
    </row>
    <row r="10504" spans="8:9">
      <c r="H10504" s="2"/>
      <c r="I10504" s="2"/>
    </row>
    <row r="10505" spans="8:9">
      <c r="H10505" s="2"/>
      <c r="I10505" s="2"/>
    </row>
    <row r="10506" spans="8:9">
      <c r="H10506" s="2"/>
      <c r="I10506" s="2"/>
    </row>
    <row r="10507" spans="8:9">
      <c r="H10507" s="2"/>
      <c r="I10507" s="2"/>
    </row>
    <row r="10508" spans="8:9">
      <c r="H10508" s="2"/>
      <c r="I10508" s="2"/>
    </row>
    <row r="10509" spans="8:9">
      <c r="H10509" s="2"/>
      <c r="I10509" s="2"/>
    </row>
    <row r="10510" spans="8:9">
      <c r="H10510" s="2"/>
      <c r="I10510" s="2"/>
    </row>
    <row r="10511" spans="8:9">
      <c r="H10511" s="2"/>
      <c r="I10511" s="2"/>
    </row>
    <row r="10512" spans="8:9">
      <c r="H10512" s="2"/>
      <c r="I10512" s="2"/>
    </row>
    <row r="10513" spans="8:9">
      <c r="H10513" s="2"/>
      <c r="I10513" s="2"/>
    </row>
    <row r="10514" spans="8:9">
      <c r="H10514" s="2"/>
      <c r="I10514" s="2"/>
    </row>
    <row r="10515" spans="8:9">
      <c r="H10515" s="2"/>
      <c r="I10515" s="2"/>
    </row>
    <row r="10516" spans="8:9">
      <c r="H10516" s="2"/>
      <c r="I10516" s="2"/>
    </row>
    <row r="10517" spans="8:9">
      <c r="H10517" s="2"/>
      <c r="I10517" s="2"/>
    </row>
    <row r="10518" spans="8:9">
      <c r="H10518" s="2"/>
      <c r="I10518" s="2"/>
    </row>
    <row r="10519" spans="8:9">
      <c r="H10519" s="2"/>
      <c r="I10519" s="2"/>
    </row>
    <row r="10520" spans="8:9">
      <c r="H10520" s="2"/>
      <c r="I10520" s="2"/>
    </row>
    <row r="10521" spans="8:9">
      <c r="H10521" s="2"/>
      <c r="I10521" s="2"/>
    </row>
    <row r="10522" spans="8:9">
      <c r="H10522" s="2"/>
      <c r="I10522" s="2"/>
    </row>
    <row r="10523" spans="8:9">
      <c r="H10523" s="2"/>
      <c r="I10523" s="2"/>
    </row>
    <row r="10524" spans="8:9">
      <c r="H10524" s="2"/>
      <c r="I10524" s="2"/>
    </row>
    <row r="10525" spans="8:9">
      <c r="H10525" s="2"/>
      <c r="I10525" s="2"/>
    </row>
    <row r="10526" spans="8:9">
      <c r="H10526" s="2"/>
      <c r="I10526" s="2"/>
    </row>
    <row r="10527" spans="8:9">
      <c r="H10527" s="2"/>
      <c r="I10527" s="2"/>
    </row>
    <row r="10528" spans="8:9">
      <c r="H10528" s="2"/>
      <c r="I10528" s="2"/>
    </row>
    <row r="10529" spans="8:9">
      <c r="H10529" s="2"/>
      <c r="I10529" s="2"/>
    </row>
    <row r="10530" spans="8:9">
      <c r="H10530" s="2"/>
      <c r="I10530" s="2"/>
    </row>
    <row r="10531" spans="8:9">
      <c r="H10531" s="2"/>
      <c r="I10531" s="2"/>
    </row>
    <row r="10532" spans="8:9">
      <c r="H10532" s="2"/>
      <c r="I10532" s="2"/>
    </row>
    <row r="10533" spans="8:9">
      <c r="H10533" s="2"/>
      <c r="I10533" s="2"/>
    </row>
    <row r="10534" spans="8:9">
      <c r="H10534" s="2"/>
      <c r="I10534" s="2"/>
    </row>
    <row r="10535" spans="8:9">
      <c r="H10535" s="2"/>
      <c r="I10535" s="2"/>
    </row>
    <row r="10536" spans="8:9">
      <c r="H10536" s="2"/>
      <c r="I10536" s="2"/>
    </row>
    <row r="10537" spans="8:9">
      <c r="H10537" s="2"/>
      <c r="I10537" s="2"/>
    </row>
    <row r="10538" spans="8:9">
      <c r="H10538" s="2"/>
      <c r="I10538" s="2"/>
    </row>
    <row r="10539" spans="8:9">
      <c r="H10539" s="2"/>
      <c r="I10539" s="2"/>
    </row>
    <row r="10540" spans="8:9">
      <c r="H10540" s="2"/>
      <c r="I10540" s="2"/>
    </row>
    <row r="10541" spans="8:9">
      <c r="H10541" s="2"/>
      <c r="I10541" s="2"/>
    </row>
    <row r="10542" spans="8:9">
      <c r="H10542" s="2"/>
      <c r="I10542" s="2"/>
    </row>
    <row r="10543" spans="8:9">
      <c r="H10543" s="2"/>
      <c r="I10543" s="2"/>
    </row>
    <row r="10544" spans="8:9">
      <c r="H10544" s="2"/>
      <c r="I10544" s="2"/>
    </row>
    <row r="10545" spans="8:9">
      <c r="H10545" s="2"/>
      <c r="I10545" s="2"/>
    </row>
    <row r="10546" spans="8:9">
      <c r="H10546" s="2"/>
      <c r="I10546" s="2"/>
    </row>
    <row r="10547" spans="8:9">
      <c r="H10547" s="2"/>
      <c r="I10547" s="2"/>
    </row>
    <row r="10548" spans="8:9">
      <c r="H10548" s="2"/>
      <c r="I10548" s="2"/>
    </row>
    <row r="10549" spans="8:9">
      <c r="H10549" s="2"/>
      <c r="I10549" s="2"/>
    </row>
    <row r="10550" spans="8:9">
      <c r="H10550" s="2"/>
      <c r="I10550" s="2"/>
    </row>
    <row r="10551" spans="8:9">
      <c r="H10551" s="2"/>
      <c r="I10551" s="2"/>
    </row>
    <row r="10552" spans="8:9">
      <c r="H10552" s="2"/>
      <c r="I10552" s="2"/>
    </row>
    <row r="10553" spans="8:9">
      <c r="H10553" s="2"/>
      <c r="I10553" s="2"/>
    </row>
    <row r="10554" spans="8:9">
      <c r="H10554" s="2"/>
      <c r="I10554" s="2"/>
    </row>
    <row r="10555" spans="8:9">
      <c r="H10555" s="2"/>
      <c r="I10555" s="2"/>
    </row>
    <row r="10556" spans="8:9">
      <c r="H10556" s="2"/>
      <c r="I10556" s="2"/>
    </row>
    <row r="10557" spans="8:9">
      <c r="H10557" s="2"/>
      <c r="I10557" s="2"/>
    </row>
    <row r="10558" spans="8:9">
      <c r="H10558" s="2"/>
      <c r="I10558" s="2"/>
    </row>
    <row r="10559" spans="8:9">
      <c r="H10559" s="2"/>
      <c r="I10559" s="2"/>
    </row>
    <row r="10560" spans="8:9">
      <c r="H10560" s="2"/>
      <c r="I10560" s="2"/>
    </row>
    <row r="10561" spans="8:9">
      <c r="H10561" s="2"/>
      <c r="I10561" s="2"/>
    </row>
    <row r="10562" spans="8:9">
      <c r="H10562" s="2"/>
      <c r="I10562" s="2"/>
    </row>
    <row r="10563" spans="8:9">
      <c r="H10563" s="2"/>
      <c r="I10563" s="2"/>
    </row>
    <row r="10564" spans="8:9">
      <c r="H10564" s="2"/>
      <c r="I10564" s="2"/>
    </row>
    <row r="10565" spans="8:9">
      <c r="H10565" s="2"/>
      <c r="I10565" s="2"/>
    </row>
    <row r="10566" spans="8:9">
      <c r="H10566" s="2"/>
      <c r="I10566" s="2"/>
    </row>
    <row r="10567" spans="8:9">
      <c r="H10567" s="2"/>
      <c r="I10567" s="2"/>
    </row>
    <row r="10568" spans="8:9">
      <c r="H10568" s="2"/>
      <c r="I10568" s="2"/>
    </row>
    <row r="10569" spans="8:9">
      <c r="H10569" s="2"/>
      <c r="I10569" s="2"/>
    </row>
    <row r="10570" spans="8:9">
      <c r="H10570" s="2"/>
      <c r="I10570" s="2"/>
    </row>
    <row r="10571" spans="8:9">
      <c r="H10571" s="2"/>
      <c r="I10571" s="2"/>
    </row>
    <row r="10572" spans="8:9">
      <c r="H10572" s="2"/>
      <c r="I10572" s="2"/>
    </row>
    <row r="10573" spans="8:9">
      <c r="H10573" s="2"/>
      <c r="I10573" s="2"/>
    </row>
    <row r="10574" spans="8:9">
      <c r="H10574" s="2"/>
      <c r="I10574" s="2"/>
    </row>
    <row r="10575" spans="8:9">
      <c r="H10575" s="2"/>
      <c r="I10575" s="2"/>
    </row>
    <row r="10576" spans="8:9">
      <c r="H10576" s="2"/>
      <c r="I10576" s="2"/>
    </row>
    <row r="10577" spans="8:9">
      <c r="H10577" s="2"/>
      <c r="I10577" s="2"/>
    </row>
    <row r="10578" spans="8:9">
      <c r="H10578" s="2"/>
      <c r="I10578" s="2"/>
    </row>
    <row r="10579" spans="8:9">
      <c r="H10579" s="2"/>
      <c r="I10579" s="2"/>
    </row>
    <row r="10580" spans="8:9">
      <c r="H10580" s="2"/>
      <c r="I10580" s="2"/>
    </row>
    <row r="10581" spans="8:9">
      <c r="H10581" s="2"/>
      <c r="I10581" s="2"/>
    </row>
    <row r="10582" spans="8:9">
      <c r="H10582" s="2"/>
      <c r="I10582" s="2"/>
    </row>
    <row r="10583" spans="8:9">
      <c r="H10583" s="2"/>
      <c r="I10583" s="2"/>
    </row>
    <row r="10584" spans="8:9">
      <c r="H10584" s="2"/>
      <c r="I10584" s="2"/>
    </row>
    <row r="10585" spans="8:9">
      <c r="H10585" s="2"/>
      <c r="I10585" s="2"/>
    </row>
    <row r="10586" spans="8:9">
      <c r="H10586" s="2"/>
      <c r="I10586" s="2"/>
    </row>
    <row r="10587" spans="8:9">
      <c r="H10587" s="2"/>
      <c r="I10587" s="2"/>
    </row>
    <row r="10588" spans="8:9">
      <c r="H10588" s="2"/>
      <c r="I10588" s="2"/>
    </row>
    <row r="10589" spans="8:9">
      <c r="H10589" s="2"/>
      <c r="I10589" s="2"/>
    </row>
    <row r="10590" spans="8:9">
      <c r="H10590" s="2"/>
      <c r="I10590" s="2"/>
    </row>
    <row r="10591" spans="8:9">
      <c r="H10591" s="2"/>
      <c r="I10591" s="2"/>
    </row>
    <row r="10592" spans="8:9">
      <c r="H10592" s="2"/>
      <c r="I10592" s="2"/>
    </row>
    <row r="10593" spans="8:9">
      <c r="H10593" s="2"/>
      <c r="I10593" s="2"/>
    </row>
    <row r="10594" spans="8:9">
      <c r="H10594" s="2"/>
      <c r="I10594" s="2"/>
    </row>
    <row r="10595" spans="8:9">
      <c r="H10595" s="2"/>
      <c r="I10595" s="2"/>
    </row>
    <row r="10596" spans="8:9">
      <c r="H10596" s="2"/>
      <c r="I10596" s="2"/>
    </row>
    <row r="10597" spans="8:9">
      <c r="H10597" s="2"/>
      <c r="I10597" s="2"/>
    </row>
    <row r="10598" spans="8:9">
      <c r="H10598" s="2"/>
      <c r="I10598" s="2"/>
    </row>
    <row r="10599" spans="8:9">
      <c r="H10599" s="2"/>
      <c r="I10599" s="2"/>
    </row>
    <row r="10600" spans="8:9">
      <c r="H10600" s="2"/>
      <c r="I10600" s="2"/>
    </row>
    <row r="10601" spans="8:9">
      <c r="H10601" s="2"/>
      <c r="I10601" s="2"/>
    </row>
    <row r="10602" spans="8:9">
      <c r="H10602" s="2"/>
      <c r="I10602" s="2"/>
    </row>
    <row r="10603" spans="8:9">
      <c r="H10603" s="2"/>
      <c r="I10603" s="2"/>
    </row>
    <row r="10604" spans="8:9">
      <c r="H10604" s="2"/>
      <c r="I10604" s="2"/>
    </row>
    <row r="10605" spans="8:9">
      <c r="H10605" s="2"/>
      <c r="I10605" s="2"/>
    </row>
    <row r="10606" spans="8:9">
      <c r="H10606" s="2"/>
      <c r="I10606" s="2"/>
    </row>
    <row r="10607" spans="8:9">
      <c r="H10607" s="2"/>
      <c r="I10607" s="2"/>
    </row>
    <row r="10608" spans="8:9">
      <c r="H10608" s="2"/>
      <c r="I10608" s="2"/>
    </row>
    <row r="10609" spans="8:9">
      <c r="H10609" s="2"/>
      <c r="I10609" s="2"/>
    </row>
    <row r="10610" spans="8:9">
      <c r="H10610" s="2"/>
      <c r="I10610" s="2"/>
    </row>
    <row r="10611" spans="8:9">
      <c r="H10611" s="2"/>
      <c r="I10611" s="2"/>
    </row>
    <row r="10612" spans="8:9">
      <c r="H10612" s="2"/>
      <c r="I10612" s="2"/>
    </row>
    <row r="10613" spans="8:9">
      <c r="H10613" s="2"/>
      <c r="I10613" s="2"/>
    </row>
    <row r="10614" spans="8:9">
      <c r="H10614" s="2"/>
      <c r="I10614" s="2"/>
    </row>
    <row r="10615" spans="8:9">
      <c r="H10615" s="2"/>
      <c r="I10615" s="2"/>
    </row>
    <row r="10616" spans="8:9">
      <c r="H10616" s="2"/>
      <c r="I10616" s="2"/>
    </row>
    <row r="10617" spans="8:9">
      <c r="H10617" s="2"/>
      <c r="I10617" s="2"/>
    </row>
    <row r="10618" spans="8:9">
      <c r="H10618" s="2"/>
      <c r="I10618" s="2"/>
    </row>
    <row r="10619" spans="8:9">
      <c r="H10619" s="2"/>
      <c r="I10619" s="2"/>
    </row>
    <row r="10620" spans="8:9">
      <c r="H10620" s="2"/>
      <c r="I10620" s="2"/>
    </row>
    <row r="10621" spans="8:9">
      <c r="H10621" s="2"/>
      <c r="I10621" s="2"/>
    </row>
    <row r="10622" spans="8:9">
      <c r="H10622" s="2"/>
      <c r="I10622" s="2"/>
    </row>
    <row r="10623" spans="8:9">
      <c r="H10623" s="2"/>
      <c r="I10623" s="2"/>
    </row>
    <row r="10624" spans="8:9">
      <c r="H10624" s="2"/>
      <c r="I10624" s="2"/>
    </row>
    <row r="10625" spans="8:9">
      <c r="H10625" s="2"/>
      <c r="I10625" s="2"/>
    </row>
    <row r="10626" spans="8:9">
      <c r="H10626" s="2"/>
      <c r="I10626" s="2"/>
    </row>
    <row r="10627" spans="8:9">
      <c r="H10627" s="2"/>
      <c r="I10627" s="2"/>
    </row>
    <row r="10628" spans="8:9">
      <c r="H10628" s="2"/>
      <c r="I10628" s="2"/>
    </row>
    <row r="10629" spans="8:9">
      <c r="H10629" s="2"/>
      <c r="I10629" s="2"/>
    </row>
    <row r="10630" spans="8:9">
      <c r="H10630" s="2"/>
      <c r="I10630" s="2"/>
    </row>
    <row r="10631" spans="8:9">
      <c r="H10631" s="2"/>
      <c r="I10631" s="2"/>
    </row>
    <row r="10632" spans="8:9">
      <c r="H10632" s="2"/>
      <c r="I10632" s="2"/>
    </row>
    <row r="10633" spans="8:9">
      <c r="H10633" s="2"/>
      <c r="I10633" s="2"/>
    </row>
    <row r="10634" spans="8:9">
      <c r="H10634" s="2"/>
      <c r="I10634" s="2"/>
    </row>
    <row r="10635" spans="8:9">
      <c r="H10635" s="2"/>
      <c r="I10635" s="2"/>
    </row>
    <row r="10636" spans="8:9">
      <c r="H10636" s="2"/>
      <c r="I10636" s="2"/>
    </row>
    <row r="10637" spans="8:9">
      <c r="H10637" s="2"/>
      <c r="I10637" s="2"/>
    </row>
    <row r="10638" spans="8:9">
      <c r="H10638" s="2"/>
      <c r="I10638" s="2"/>
    </row>
    <row r="10639" spans="8:9">
      <c r="H10639" s="2"/>
      <c r="I10639" s="2"/>
    </row>
    <row r="10640" spans="8:9">
      <c r="H10640" s="2"/>
      <c r="I10640" s="2"/>
    </row>
    <row r="10641" spans="8:9">
      <c r="H10641" s="2"/>
      <c r="I10641" s="2"/>
    </row>
    <row r="10642" spans="8:9">
      <c r="H10642" s="2"/>
      <c r="I10642" s="2"/>
    </row>
    <row r="10643" spans="8:9">
      <c r="H10643" s="2"/>
      <c r="I10643" s="2"/>
    </row>
    <row r="10644" spans="8:9">
      <c r="H10644" s="2"/>
      <c r="I10644" s="2"/>
    </row>
    <row r="10645" spans="8:9">
      <c r="H10645" s="2"/>
      <c r="I10645" s="2"/>
    </row>
    <row r="10646" spans="8:9">
      <c r="H10646" s="2"/>
      <c r="I10646" s="2"/>
    </row>
    <row r="10647" spans="8:9">
      <c r="H10647" s="2"/>
      <c r="I10647" s="2"/>
    </row>
    <row r="10648" spans="8:9">
      <c r="H10648" s="2"/>
      <c r="I10648" s="2"/>
    </row>
    <row r="10649" spans="8:9">
      <c r="H10649" s="2"/>
      <c r="I10649" s="2"/>
    </row>
    <row r="10650" spans="8:9">
      <c r="H10650" s="2"/>
      <c r="I10650" s="2"/>
    </row>
    <row r="10651" spans="8:9">
      <c r="H10651" s="2"/>
      <c r="I10651" s="2"/>
    </row>
    <row r="10652" spans="8:9">
      <c r="H10652" s="2"/>
      <c r="I10652" s="2"/>
    </row>
    <row r="10653" spans="8:9">
      <c r="H10653" s="2"/>
      <c r="I10653" s="2"/>
    </row>
    <row r="10654" spans="8:9">
      <c r="H10654" s="2"/>
      <c r="I10654" s="2"/>
    </row>
    <row r="10655" spans="8:9">
      <c r="H10655" s="2"/>
      <c r="I10655" s="2"/>
    </row>
    <row r="10656" spans="8:9">
      <c r="H10656" s="2"/>
      <c r="I10656" s="2"/>
    </row>
    <row r="10657" spans="8:9">
      <c r="H10657" s="2"/>
      <c r="I10657" s="2"/>
    </row>
    <row r="10658" spans="8:9">
      <c r="H10658" s="2"/>
      <c r="I10658" s="2"/>
    </row>
    <row r="10659" spans="8:9">
      <c r="H10659" s="2"/>
      <c r="I10659" s="2"/>
    </row>
    <row r="10660" spans="8:9">
      <c r="H10660" s="2"/>
      <c r="I10660" s="2"/>
    </row>
    <row r="10661" spans="8:9">
      <c r="H10661" s="2"/>
      <c r="I10661" s="2"/>
    </row>
    <row r="10662" spans="8:9">
      <c r="H10662" s="2"/>
      <c r="I10662" s="2"/>
    </row>
    <row r="10663" spans="8:9">
      <c r="H10663" s="2"/>
      <c r="I10663" s="2"/>
    </row>
    <row r="10664" spans="8:9">
      <c r="H10664" s="2"/>
      <c r="I10664" s="2"/>
    </row>
    <row r="10665" spans="8:9">
      <c r="H10665" s="2"/>
      <c r="I10665" s="2"/>
    </row>
    <row r="10666" spans="8:9">
      <c r="H10666" s="2"/>
      <c r="I10666" s="2"/>
    </row>
    <row r="10667" spans="8:9">
      <c r="H10667" s="2"/>
      <c r="I10667" s="2"/>
    </row>
    <row r="10668" spans="8:9">
      <c r="H10668" s="2"/>
      <c r="I10668" s="2"/>
    </row>
    <row r="10669" spans="8:9">
      <c r="H10669" s="2"/>
      <c r="I10669" s="2"/>
    </row>
    <row r="10670" spans="8:9">
      <c r="H10670" s="2"/>
      <c r="I10670" s="2"/>
    </row>
    <row r="10671" spans="8:9">
      <c r="H10671" s="2"/>
      <c r="I10671" s="2"/>
    </row>
    <row r="10672" spans="8:9">
      <c r="H10672" s="2"/>
      <c r="I10672" s="2"/>
    </row>
    <row r="10673" spans="8:9">
      <c r="H10673" s="2"/>
      <c r="I10673" s="2"/>
    </row>
    <row r="10674" spans="8:9">
      <c r="H10674" s="2"/>
      <c r="I10674" s="2"/>
    </row>
    <row r="10675" spans="8:9">
      <c r="H10675" s="2"/>
      <c r="I10675" s="2"/>
    </row>
    <row r="10676" spans="8:9">
      <c r="H10676" s="2"/>
      <c r="I10676" s="2"/>
    </row>
    <row r="10677" spans="8:9">
      <c r="H10677" s="2"/>
      <c r="I10677" s="2"/>
    </row>
    <row r="10678" spans="8:9">
      <c r="H10678" s="2"/>
      <c r="I10678" s="2"/>
    </row>
    <row r="10679" spans="8:9">
      <c r="H10679" s="2"/>
      <c r="I10679" s="2"/>
    </row>
    <row r="10680" spans="8:9">
      <c r="H10680" s="2"/>
      <c r="I10680" s="2"/>
    </row>
    <row r="10681" spans="8:9">
      <c r="H10681" s="2"/>
      <c r="I10681" s="2"/>
    </row>
    <row r="10682" spans="8:9">
      <c r="H10682" s="2"/>
      <c r="I10682" s="2"/>
    </row>
    <row r="10683" spans="8:9">
      <c r="H10683" s="2"/>
      <c r="I10683" s="2"/>
    </row>
    <row r="10684" spans="8:9">
      <c r="H10684" s="2"/>
      <c r="I10684" s="2"/>
    </row>
    <row r="10685" spans="8:9">
      <c r="H10685" s="2"/>
      <c r="I10685" s="2"/>
    </row>
    <row r="10686" spans="8:9">
      <c r="H10686" s="2"/>
      <c r="I10686" s="2"/>
    </row>
    <row r="10687" spans="8:9">
      <c r="H10687" s="2"/>
      <c r="I10687" s="2"/>
    </row>
    <row r="10688" spans="8:9">
      <c r="H10688" s="2"/>
      <c r="I10688" s="2"/>
    </row>
    <row r="10689" spans="8:9">
      <c r="H10689" s="2"/>
      <c r="I10689" s="2"/>
    </row>
    <row r="10690" spans="8:9">
      <c r="H10690" s="2"/>
      <c r="I10690" s="2"/>
    </row>
    <row r="10691" spans="8:9">
      <c r="H10691" s="2"/>
      <c r="I10691" s="2"/>
    </row>
    <row r="10692" spans="8:9">
      <c r="H10692" s="2"/>
      <c r="I10692" s="2"/>
    </row>
    <row r="10693" spans="8:9">
      <c r="H10693" s="2"/>
      <c r="I10693" s="2"/>
    </row>
    <row r="10694" spans="8:9">
      <c r="H10694" s="2"/>
      <c r="I10694" s="2"/>
    </row>
    <row r="10695" spans="8:9">
      <c r="H10695" s="2"/>
      <c r="I10695" s="2"/>
    </row>
    <row r="10696" spans="8:9">
      <c r="H10696" s="2"/>
      <c r="I10696" s="2"/>
    </row>
    <row r="10697" spans="8:9">
      <c r="H10697" s="2"/>
      <c r="I10697" s="2"/>
    </row>
    <row r="10698" spans="8:9">
      <c r="H10698" s="2"/>
      <c r="I10698" s="2"/>
    </row>
    <row r="10699" spans="8:9">
      <c r="H10699" s="2"/>
      <c r="I10699" s="2"/>
    </row>
    <row r="10700" spans="8:9">
      <c r="H10700" s="2"/>
      <c r="I10700" s="2"/>
    </row>
    <row r="10701" spans="8:9">
      <c r="H10701" s="2"/>
      <c r="I10701" s="2"/>
    </row>
    <row r="10702" spans="8:9">
      <c r="H10702" s="2"/>
      <c r="I10702" s="2"/>
    </row>
    <row r="10703" spans="8:9">
      <c r="H10703" s="2"/>
      <c r="I10703" s="2"/>
    </row>
    <row r="10704" spans="8:9">
      <c r="H10704" s="2"/>
      <c r="I10704" s="2"/>
    </row>
    <row r="10705" spans="8:9">
      <c r="H10705" s="2"/>
      <c r="I10705" s="2"/>
    </row>
    <row r="10706" spans="8:9">
      <c r="H10706" s="2"/>
      <c r="I10706" s="2"/>
    </row>
    <row r="10707" spans="8:9">
      <c r="H10707" s="2"/>
      <c r="I10707" s="2"/>
    </row>
    <row r="10708" spans="8:9">
      <c r="H10708" s="2"/>
      <c r="I10708" s="2"/>
    </row>
    <row r="10709" spans="8:9">
      <c r="H10709" s="2"/>
      <c r="I10709" s="2"/>
    </row>
    <row r="10710" spans="8:9">
      <c r="H10710" s="2"/>
      <c r="I10710" s="2"/>
    </row>
    <row r="10711" spans="8:9">
      <c r="H10711" s="2"/>
      <c r="I10711" s="2"/>
    </row>
    <row r="10712" spans="8:9">
      <c r="H10712" s="2"/>
      <c r="I10712" s="2"/>
    </row>
    <row r="10713" spans="8:9">
      <c r="H10713" s="2"/>
      <c r="I10713" s="2"/>
    </row>
    <row r="10714" spans="8:9">
      <c r="H10714" s="2"/>
      <c r="I10714" s="2"/>
    </row>
    <row r="10715" spans="8:9">
      <c r="H10715" s="2"/>
      <c r="I10715" s="2"/>
    </row>
    <row r="10716" spans="8:9">
      <c r="H10716" s="2"/>
      <c r="I10716" s="2"/>
    </row>
    <row r="10717" spans="8:9">
      <c r="H10717" s="2"/>
      <c r="I10717" s="2"/>
    </row>
    <row r="10718" spans="8:9">
      <c r="H10718" s="2"/>
      <c r="I10718" s="2"/>
    </row>
    <row r="10719" spans="8:9">
      <c r="H10719" s="2"/>
      <c r="I10719" s="2"/>
    </row>
    <row r="10720" spans="8:9">
      <c r="H10720" s="2"/>
      <c r="I10720" s="2"/>
    </row>
    <row r="10721" spans="8:9">
      <c r="H10721" s="2"/>
      <c r="I10721" s="2"/>
    </row>
    <row r="10722" spans="8:9">
      <c r="H10722" s="2"/>
      <c r="I10722" s="2"/>
    </row>
    <row r="10723" spans="8:9">
      <c r="H10723" s="2"/>
      <c r="I10723" s="2"/>
    </row>
    <row r="10724" spans="8:9">
      <c r="H10724" s="2"/>
      <c r="I10724" s="2"/>
    </row>
    <row r="10725" spans="8:9">
      <c r="H10725" s="2"/>
      <c r="I10725" s="2"/>
    </row>
    <row r="10726" spans="8:9">
      <c r="H10726" s="2"/>
      <c r="I10726" s="2"/>
    </row>
    <row r="10727" spans="8:9">
      <c r="H10727" s="2"/>
      <c r="I10727" s="2"/>
    </row>
    <row r="10728" spans="8:9">
      <c r="H10728" s="2"/>
      <c r="I10728" s="2"/>
    </row>
    <row r="10729" spans="8:9">
      <c r="H10729" s="2"/>
      <c r="I10729" s="2"/>
    </row>
    <row r="10730" spans="8:9">
      <c r="H10730" s="2"/>
      <c r="I10730" s="2"/>
    </row>
    <row r="10731" spans="8:9">
      <c r="H10731" s="2"/>
      <c r="I10731" s="2"/>
    </row>
    <row r="10732" spans="8:9">
      <c r="H10732" s="2"/>
      <c r="I10732" s="2"/>
    </row>
    <row r="10733" spans="8:9">
      <c r="H10733" s="2"/>
      <c r="I10733" s="2"/>
    </row>
    <row r="10734" spans="8:9">
      <c r="H10734" s="2"/>
      <c r="I10734" s="2"/>
    </row>
    <row r="10735" spans="8:9">
      <c r="H10735" s="2"/>
      <c r="I10735" s="2"/>
    </row>
    <row r="10736" spans="8:9">
      <c r="H10736" s="2"/>
      <c r="I10736" s="2"/>
    </row>
    <row r="10737" spans="8:9">
      <c r="H10737" s="2"/>
      <c r="I10737" s="2"/>
    </row>
    <row r="10738" spans="8:9">
      <c r="H10738" s="2"/>
      <c r="I10738" s="2"/>
    </row>
    <row r="10739" spans="8:9">
      <c r="H10739" s="2"/>
      <c r="I10739" s="2"/>
    </row>
    <row r="10740" spans="8:9">
      <c r="H10740" s="2"/>
      <c r="I10740" s="2"/>
    </row>
    <row r="10741" spans="8:9">
      <c r="H10741" s="2"/>
      <c r="I10741" s="2"/>
    </row>
    <row r="10742" spans="8:9">
      <c r="H10742" s="2"/>
      <c r="I10742" s="2"/>
    </row>
    <row r="10743" spans="8:9">
      <c r="H10743" s="2"/>
      <c r="I10743" s="2"/>
    </row>
    <row r="10744" spans="8:9">
      <c r="H10744" s="2"/>
      <c r="I10744" s="2"/>
    </row>
    <row r="10745" spans="8:9">
      <c r="H10745" s="2"/>
      <c r="I10745" s="2"/>
    </row>
    <row r="10746" spans="8:9">
      <c r="H10746" s="2"/>
      <c r="I10746" s="2"/>
    </row>
    <row r="10747" spans="8:9">
      <c r="H10747" s="2"/>
      <c r="I10747" s="2"/>
    </row>
    <row r="10748" spans="8:9">
      <c r="H10748" s="2"/>
      <c r="I10748" s="2"/>
    </row>
    <row r="10749" spans="8:9">
      <c r="H10749" s="2"/>
      <c r="I10749" s="2"/>
    </row>
    <row r="10750" spans="8:9">
      <c r="H10750" s="2"/>
      <c r="I10750" s="2"/>
    </row>
    <row r="10751" spans="8:9">
      <c r="H10751" s="2"/>
      <c r="I10751" s="2"/>
    </row>
    <row r="10752" spans="8:9">
      <c r="H10752" s="2"/>
      <c r="I10752" s="2"/>
    </row>
    <row r="10753" spans="8:9">
      <c r="H10753" s="2"/>
      <c r="I10753" s="2"/>
    </row>
    <row r="10754" spans="8:9">
      <c r="H10754" s="2"/>
      <c r="I10754" s="2"/>
    </row>
    <row r="10755" spans="8:9">
      <c r="H10755" s="2"/>
      <c r="I10755" s="2"/>
    </row>
    <row r="10756" spans="8:9">
      <c r="H10756" s="2"/>
      <c r="I10756" s="2"/>
    </row>
    <row r="10757" spans="8:9">
      <c r="H10757" s="2"/>
      <c r="I10757" s="2"/>
    </row>
    <row r="10758" spans="8:9">
      <c r="H10758" s="2"/>
      <c r="I10758" s="2"/>
    </row>
    <row r="10759" spans="8:9">
      <c r="H10759" s="2"/>
      <c r="I10759" s="2"/>
    </row>
    <row r="10760" spans="8:9">
      <c r="H10760" s="2"/>
      <c r="I10760" s="2"/>
    </row>
    <row r="10761" spans="8:9">
      <c r="H10761" s="2"/>
      <c r="I10761" s="2"/>
    </row>
    <row r="10762" spans="8:9">
      <c r="H10762" s="2"/>
      <c r="I10762" s="2"/>
    </row>
    <row r="10763" spans="8:9">
      <c r="H10763" s="2"/>
      <c r="I10763" s="2"/>
    </row>
    <row r="10764" spans="8:9">
      <c r="H10764" s="2"/>
      <c r="I10764" s="2"/>
    </row>
    <row r="10765" spans="8:9">
      <c r="H10765" s="2"/>
      <c r="I10765" s="2"/>
    </row>
    <row r="10766" spans="8:9">
      <c r="H10766" s="2"/>
      <c r="I10766" s="2"/>
    </row>
    <row r="10767" spans="8:9">
      <c r="H10767" s="2"/>
      <c r="I10767" s="2"/>
    </row>
    <row r="10768" spans="8:9">
      <c r="H10768" s="2"/>
      <c r="I10768" s="2"/>
    </row>
    <row r="10769" spans="8:9">
      <c r="H10769" s="2"/>
      <c r="I10769" s="2"/>
    </row>
    <row r="10770" spans="8:9">
      <c r="H10770" s="2"/>
      <c r="I10770" s="2"/>
    </row>
    <row r="10771" spans="8:9">
      <c r="H10771" s="2"/>
      <c r="I10771" s="2"/>
    </row>
    <row r="10772" spans="8:9">
      <c r="H10772" s="2"/>
      <c r="I10772" s="2"/>
    </row>
    <row r="10773" spans="8:9">
      <c r="H10773" s="2"/>
      <c r="I10773" s="2"/>
    </row>
    <row r="10774" spans="8:9">
      <c r="H10774" s="2"/>
      <c r="I10774" s="2"/>
    </row>
    <row r="10775" spans="8:9">
      <c r="H10775" s="2"/>
      <c r="I10775" s="2"/>
    </row>
    <row r="10776" spans="8:9">
      <c r="H10776" s="2"/>
      <c r="I10776" s="2"/>
    </row>
    <row r="10777" spans="8:9">
      <c r="H10777" s="2"/>
      <c r="I10777" s="2"/>
    </row>
    <row r="10778" spans="8:9">
      <c r="H10778" s="2"/>
      <c r="I10778" s="2"/>
    </row>
    <row r="10779" spans="8:9">
      <c r="H10779" s="2"/>
      <c r="I10779" s="2"/>
    </row>
    <row r="10780" spans="8:9">
      <c r="H10780" s="2"/>
      <c r="I10780" s="2"/>
    </row>
    <row r="10781" spans="8:9">
      <c r="H10781" s="2"/>
      <c r="I10781" s="2"/>
    </row>
    <row r="10782" spans="8:9">
      <c r="H10782" s="2"/>
      <c r="I10782" s="2"/>
    </row>
    <row r="10783" spans="8:9">
      <c r="H10783" s="2"/>
      <c r="I10783" s="2"/>
    </row>
    <row r="10784" spans="8:9">
      <c r="H10784" s="2"/>
      <c r="I10784" s="2"/>
    </row>
    <row r="10785" spans="8:9">
      <c r="H10785" s="2"/>
      <c r="I10785" s="2"/>
    </row>
    <row r="10786" spans="8:9">
      <c r="H10786" s="2"/>
      <c r="I10786" s="2"/>
    </row>
    <row r="10787" spans="8:9">
      <c r="H10787" s="2"/>
      <c r="I10787" s="2"/>
    </row>
    <row r="10788" spans="8:9">
      <c r="H10788" s="2"/>
      <c r="I10788" s="2"/>
    </row>
    <row r="10789" spans="8:9">
      <c r="H10789" s="2"/>
      <c r="I10789" s="2"/>
    </row>
    <row r="10790" spans="8:9">
      <c r="H10790" s="2"/>
      <c r="I10790" s="2"/>
    </row>
    <row r="10791" spans="8:9">
      <c r="H10791" s="2"/>
      <c r="I10791" s="2"/>
    </row>
    <row r="10792" spans="8:9">
      <c r="H10792" s="2"/>
      <c r="I10792" s="2"/>
    </row>
    <row r="10793" spans="8:9">
      <c r="H10793" s="2"/>
      <c r="I10793" s="2"/>
    </row>
    <row r="10794" spans="8:9">
      <c r="H10794" s="2"/>
      <c r="I10794" s="2"/>
    </row>
    <row r="10795" spans="8:9">
      <c r="H10795" s="2"/>
      <c r="I10795" s="2"/>
    </row>
    <row r="10796" spans="8:9">
      <c r="H10796" s="2"/>
      <c r="I10796" s="2"/>
    </row>
    <row r="10797" spans="8:9">
      <c r="H10797" s="2"/>
      <c r="I10797" s="2"/>
    </row>
    <row r="10798" spans="8:9">
      <c r="H10798" s="2"/>
      <c r="I10798" s="2"/>
    </row>
    <row r="10799" spans="8:9">
      <c r="H10799" s="2"/>
      <c r="I10799" s="2"/>
    </row>
    <row r="10800" spans="8:9">
      <c r="H10800" s="2"/>
      <c r="I10800" s="2"/>
    </row>
    <row r="10801" spans="8:9">
      <c r="H10801" s="2"/>
      <c r="I10801" s="2"/>
    </row>
    <row r="10802" spans="8:9">
      <c r="H10802" s="2"/>
      <c r="I10802" s="2"/>
    </row>
    <row r="10803" spans="8:9">
      <c r="H10803" s="2"/>
      <c r="I10803" s="2"/>
    </row>
    <row r="10804" spans="8:9">
      <c r="H10804" s="2"/>
      <c r="I10804" s="2"/>
    </row>
    <row r="10805" spans="8:9">
      <c r="H10805" s="2"/>
      <c r="I10805" s="2"/>
    </row>
    <row r="10806" spans="8:9">
      <c r="H10806" s="2"/>
      <c r="I10806" s="2"/>
    </row>
    <row r="10807" spans="8:9">
      <c r="H10807" s="2"/>
      <c r="I10807" s="2"/>
    </row>
    <row r="10808" spans="8:9">
      <c r="H10808" s="2"/>
      <c r="I10808" s="2"/>
    </row>
    <row r="10809" spans="8:9">
      <c r="H10809" s="2"/>
      <c r="I10809" s="2"/>
    </row>
    <row r="10810" spans="8:9">
      <c r="H10810" s="2"/>
      <c r="I10810" s="2"/>
    </row>
    <row r="10811" spans="8:9">
      <c r="H10811" s="2"/>
      <c r="I10811" s="2"/>
    </row>
    <row r="10812" spans="8:9">
      <c r="H10812" s="2"/>
      <c r="I10812" s="2"/>
    </row>
    <row r="10813" spans="8:9">
      <c r="H10813" s="2"/>
      <c r="I10813" s="2"/>
    </row>
    <row r="10814" spans="8:9">
      <c r="H10814" s="2"/>
      <c r="I10814" s="2"/>
    </row>
    <row r="10815" spans="8:9">
      <c r="H10815" s="2"/>
      <c r="I10815" s="2"/>
    </row>
    <row r="10816" spans="8:9">
      <c r="H10816" s="2"/>
      <c r="I10816" s="2"/>
    </row>
    <row r="10817" spans="8:9">
      <c r="H10817" s="2"/>
      <c r="I10817" s="2"/>
    </row>
    <row r="10818" spans="8:9">
      <c r="H10818" s="2"/>
      <c r="I10818" s="2"/>
    </row>
    <row r="10819" spans="8:9">
      <c r="H10819" s="2"/>
      <c r="I10819" s="2"/>
    </row>
    <row r="10820" spans="8:9">
      <c r="H10820" s="2"/>
      <c r="I10820" s="2"/>
    </row>
    <row r="10821" spans="8:9">
      <c r="H10821" s="2"/>
      <c r="I10821" s="2"/>
    </row>
    <row r="10822" spans="8:9">
      <c r="H10822" s="2"/>
      <c r="I10822" s="2"/>
    </row>
    <row r="10823" spans="8:9">
      <c r="H10823" s="2"/>
      <c r="I10823" s="2"/>
    </row>
    <row r="10824" spans="8:9">
      <c r="H10824" s="2"/>
      <c r="I10824" s="2"/>
    </row>
    <row r="10825" spans="8:9">
      <c r="H10825" s="2"/>
      <c r="I10825" s="2"/>
    </row>
    <row r="10826" spans="8:9">
      <c r="H10826" s="2"/>
      <c r="I10826" s="2"/>
    </row>
    <row r="10827" spans="8:9">
      <c r="H10827" s="2"/>
      <c r="I10827" s="2"/>
    </row>
    <row r="10828" spans="8:9">
      <c r="H10828" s="2"/>
      <c r="I10828" s="2"/>
    </row>
    <row r="10829" spans="8:9">
      <c r="H10829" s="2"/>
      <c r="I10829" s="2"/>
    </row>
    <row r="10830" spans="8:9">
      <c r="H10830" s="2"/>
      <c r="I10830" s="2"/>
    </row>
    <row r="10831" spans="8:9">
      <c r="H10831" s="2"/>
      <c r="I10831" s="2"/>
    </row>
    <row r="10832" spans="8:9">
      <c r="H10832" s="2"/>
      <c r="I10832" s="2"/>
    </row>
    <row r="10833" spans="8:9">
      <c r="H10833" s="2"/>
      <c r="I10833" s="2"/>
    </row>
    <row r="10834" spans="8:9">
      <c r="H10834" s="2"/>
      <c r="I10834" s="2"/>
    </row>
    <row r="10835" spans="8:9">
      <c r="H10835" s="2"/>
      <c r="I10835" s="2"/>
    </row>
    <row r="10836" spans="8:9">
      <c r="H10836" s="2"/>
      <c r="I10836" s="2"/>
    </row>
    <row r="10837" spans="8:9">
      <c r="H10837" s="2"/>
      <c r="I10837" s="2"/>
    </row>
    <row r="10838" spans="8:9">
      <c r="H10838" s="2"/>
      <c r="I10838" s="2"/>
    </row>
    <row r="10839" spans="8:9">
      <c r="H10839" s="2"/>
      <c r="I10839" s="2"/>
    </row>
    <row r="10840" spans="8:9">
      <c r="H10840" s="2"/>
      <c r="I10840" s="2"/>
    </row>
    <row r="10841" spans="8:9">
      <c r="H10841" s="2"/>
      <c r="I10841" s="2"/>
    </row>
    <row r="10842" spans="8:9">
      <c r="H10842" s="2"/>
      <c r="I10842" s="2"/>
    </row>
    <row r="10843" spans="8:9">
      <c r="H10843" s="2"/>
      <c r="I10843" s="2"/>
    </row>
    <row r="10844" spans="8:9">
      <c r="H10844" s="2"/>
      <c r="I10844" s="2"/>
    </row>
    <row r="10845" spans="8:9">
      <c r="H10845" s="2"/>
      <c r="I10845" s="2"/>
    </row>
    <row r="10846" spans="8:9">
      <c r="H10846" s="2"/>
      <c r="I10846" s="2"/>
    </row>
    <row r="10847" spans="8:9">
      <c r="H10847" s="2"/>
      <c r="I10847" s="2"/>
    </row>
    <row r="10848" spans="8:9">
      <c r="H10848" s="2"/>
      <c r="I10848" s="2"/>
    </row>
    <row r="10849" spans="8:9">
      <c r="H10849" s="2"/>
      <c r="I10849" s="2"/>
    </row>
    <row r="10850" spans="8:9">
      <c r="H10850" s="2"/>
      <c r="I10850" s="2"/>
    </row>
    <row r="10851" spans="8:9">
      <c r="H10851" s="2"/>
      <c r="I10851" s="2"/>
    </row>
    <row r="10852" spans="8:9">
      <c r="H10852" s="2"/>
      <c r="I10852" s="2"/>
    </row>
    <row r="10853" spans="8:9">
      <c r="H10853" s="2"/>
      <c r="I10853" s="2"/>
    </row>
    <row r="10854" spans="8:9">
      <c r="H10854" s="2"/>
      <c r="I10854" s="2"/>
    </row>
    <row r="10855" spans="8:9">
      <c r="H10855" s="2"/>
      <c r="I10855" s="2"/>
    </row>
    <row r="10856" spans="8:9">
      <c r="H10856" s="2"/>
      <c r="I10856" s="2"/>
    </row>
    <row r="10857" spans="8:9">
      <c r="H10857" s="2"/>
      <c r="I10857" s="2"/>
    </row>
    <row r="10858" spans="8:9">
      <c r="H10858" s="2"/>
      <c r="I10858" s="2"/>
    </row>
    <row r="10859" spans="8:9">
      <c r="H10859" s="2"/>
      <c r="I10859" s="2"/>
    </row>
    <row r="10860" spans="8:9">
      <c r="H10860" s="2"/>
      <c r="I10860" s="2"/>
    </row>
    <row r="10861" spans="8:9">
      <c r="H10861" s="2"/>
      <c r="I10861" s="2"/>
    </row>
    <row r="10862" spans="8:9">
      <c r="H10862" s="2"/>
      <c r="I10862" s="2"/>
    </row>
    <row r="10863" spans="8:9">
      <c r="H10863" s="2"/>
      <c r="I10863" s="2"/>
    </row>
    <row r="10864" spans="8:9">
      <c r="H10864" s="2"/>
      <c r="I10864" s="2"/>
    </row>
    <row r="10865" spans="8:9">
      <c r="H10865" s="2"/>
      <c r="I10865" s="2"/>
    </row>
    <row r="10866" spans="8:9">
      <c r="H10866" s="2"/>
      <c r="I10866" s="2"/>
    </row>
    <row r="10867" spans="8:9">
      <c r="H10867" s="2"/>
      <c r="I10867" s="2"/>
    </row>
    <row r="10868" spans="8:9">
      <c r="H10868" s="2"/>
      <c r="I10868" s="2"/>
    </row>
    <row r="10869" spans="8:9">
      <c r="H10869" s="2"/>
      <c r="I10869" s="2"/>
    </row>
    <row r="10870" spans="8:9">
      <c r="H10870" s="2"/>
      <c r="I10870" s="2"/>
    </row>
    <row r="10871" spans="8:9">
      <c r="H10871" s="2"/>
      <c r="I10871" s="2"/>
    </row>
    <row r="10872" spans="8:9">
      <c r="H10872" s="2"/>
      <c r="I10872" s="2"/>
    </row>
    <row r="10873" spans="8:9">
      <c r="H10873" s="2"/>
      <c r="I10873" s="2"/>
    </row>
    <row r="10874" spans="8:9">
      <c r="H10874" s="2"/>
      <c r="I10874" s="2"/>
    </row>
    <row r="10875" spans="8:9">
      <c r="H10875" s="2"/>
      <c r="I10875" s="2"/>
    </row>
    <row r="10876" spans="8:9">
      <c r="H10876" s="2"/>
      <c r="I10876" s="2"/>
    </row>
    <row r="10877" spans="8:9">
      <c r="H10877" s="2"/>
      <c r="I10877" s="2"/>
    </row>
    <row r="10878" spans="8:9">
      <c r="H10878" s="2"/>
      <c r="I10878" s="2"/>
    </row>
    <row r="10879" spans="8:9">
      <c r="H10879" s="2"/>
      <c r="I10879" s="2"/>
    </row>
    <row r="10880" spans="8:9">
      <c r="H10880" s="2"/>
      <c r="I10880" s="2"/>
    </row>
    <row r="10881" spans="8:9">
      <c r="H10881" s="2"/>
      <c r="I10881" s="2"/>
    </row>
    <row r="10882" spans="8:9">
      <c r="H10882" s="2"/>
      <c r="I10882" s="2"/>
    </row>
    <row r="10883" spans="8:9">
      <c r="H10883" s="2"/>
      <c r="I10883" s="2"/>
    </row>
    <row r="10884" spans="8:9">
      <c r="H10884" s="2"/>
      <c r="I10884" s="2"/>
    </row>
    <row r="10885" spans="8:9">
      <c r="H10885" s="2"/>
      <c r="I10885" s="2"/>
    </row>
    <row r="10886" spans="8:9">
      <c r="H10886" s="2"/>
      <c r="I10886" s="2"/>
    </row>
    <row r="10887" spans="8:9">
      <c r="H10887" s="2"/>
      <c r="I10887" s="2"/>
    </row>
    <row r="10888" spans="8:9">
      <c r="H10888" s="2"/>
      <c r="I10888" s="2"/>
    </row>
    <row r="10889" spans="8:9">
      <c r="H10889" s="2"/>
      <c r="I10889" s="2"/>
    </row>
    <row r="10890" spans="8:9">
      <c r="H10890" s="2"/>
      <c r="I10890" s="2"/>
    </row>
    <row r="10891" spans="8:9">
      <c r="H10891" s="2"/>
      <c r="I10891" s="2"/>
    </row>
    <row r="10892" spans="8:9">
      <c r="H10892" s="2"/>
      <c r="I10892" s="2"/>
    </row>
    <row r="10893" spans="8:9">
      <c r="H10893" s="2"/>
      <c r="I10893" s="2"/>
    </row>
    <row r="10894" spans="8:9">
      <c r="H10894" s="2"/>
      <c r="I10894" s="2"/>
    </row>
    <row r="10895" spans="8:9">
      <c r="H10895" s="2"/>
      <c r="I10895" s="2"/>
    </row>
    <row r="10896" spans="8:9">
      <c r="H10896" s="2"/>
      <c r="I10896" s="2"/>
    </row>
    <row r="10897" spans="8:9">
      <c r="H10897" s="2"/>
      <c r="I10897" s="2"/>
    </row>
    <row r="10898" spans="8:9">
      <c r="H10898" s="2"/>
      <c r="I10898" s="2"/>
    </row>
    <row r="10899" spans="8:9">
      <c r="H10899" s="2"/>
      <c r="I10899" s="2"/>
    </row>
    <row r="10900" spans="8:9">
      <c r="H10900" s="2"/>
      <c r="I10900" s="2"/>
    </row>
    <row r="10901" spans="8:9">
      <c r="H10901" s="2"/>
      <c r="I10901" s="2"/>
    </row>
    <row r="10902" spans="8:9">
      <c r="H10902" s="2"/>
      <c r="I10902" s="2"/>
    </row>
    <row r="10903" spans="8:9">
      <c r="H10903" s="2"/>
      <c r="I10903" s="2"/>
    </row>
    <row r="10904" spans="8:9">
      <c r="H10904" s="2"/>
      <c r="I10904" s="2"/>
    </row>
    <row r="10905" spans="8:9">
      <c r="H10905" s="2"/>
      <c r="I10905" s="2"/>
    </row>
    <row r="10906" spans="8:9">
      <c r="H10906" s="2"/>
      <c r="I10906" s="2"/>
    </row>
    <row r="10907" spans="8:9">
      <c r="H10907" s="2"/>
      <c r="I10907" s="2"/>
    </row>
    <row r="10908" spans="8:9">
      <c r="H10908" s="2"/>
      <c r="I10908" s="2"/>
    </row>
    <row r="10909" spans="8:9">
      <c r="H10909" s="2"/>
      <c r="I10909" s="2"/>
    </row>
    <row r="10910" spans="8:9">
      <c r="H10910" s="2"/>
      <c r="I10910" s="2"/>
    </row>
    <row r="10911" spans="8:9">
      <c r="H10911" s="2"/>
      <c r="I10911" s="2"/>
    </row>
    <row r="10912" spans="8:9">
      <c r="H10912" s="2"/>
      <c r="I10912" s="2"/>
    </row>
    <row r="10913" spans="8:9">
      <c r="H10913" s="2"/>
      <c r="I10913" s="2"/>
    </row>
    <row r="10914" spans="8:9">
      <c r="H10914" s="2"/>
      <c r="I10914" s="2"/>
    </row>
    <row r="10915" spans="8:9">
      <c r="H10915" s="2"/>
      <c r="I10915" s="2"/>
    </row>
    <row r="10916" spans="8:9">
      <c r="H10916" s="2"/>
      <c r="I10916" s="2"/>
    </row>
    <row r="10917" spans="8:9">
      <c r="H10917" s="2"/>
      <c r="I10917" s="2"/>
    </row>
    <row r="10918" spans="8:9">
      <c r="H10918" s="2"/>
      <c r="I10918" s="2"/>
    </row>
    <row r="10919" spans="8:9">
      <c r="H10919" s="2"/>
      <c r="I10919" s="2"/>
    </row>
    <row r="10920" spans="8:9">
      <c r="H10920" s="2"/>
      <c r="I10920" s="2"/>
    </row>
    <row r="10921" spans="8:9">
      <c r="H10921" s="2"/>
      <c r="I10921" s="2"/>
    </row>
    <row r="10922" spans="8:9">
      <c r="H10922" s="2"/>
      <c r="I10922" s="2"/>
    </row>
    <row r="10923" spans="8:9">
      <c r="H10923" s="2"/>
      <c r="I10923" s="2"/>
    </row>
    <row r="10924" spans="8:9">
      <c r="H10924" s="2"/>
      <c r="I10924" s="2"/>
    </row>
    <row r="10925" spans="8:9">
      <c r="H10925" s="2"/>
      <c r="I10925" s="2"/>
    </row>
    <row r="10926" spans="8:9">
      <c r="H10926" s="2"/>
      <c r="I10926" s="2"/>
    </row>
    <row r="10927" spans="8:9">
      <c r="H10927" s="2"/>
      <c r="I10927" s="2"/>
    </row>
    <row r="10928" spans="8:9">
      <c r="H10928" s="2"/>
      <c r="I10928" s="2"/>
    </row>
    <row r="10929" spans="8:9">
      <c r="H10929" s="2"/>
      <c r="I10929" s="2"/>
    </row>
    <row r="10930" spans="8:9">
      <c r="H10930" s="2"/>
      <c r="I10930" s="2"/>
    </row>
    <row r="10931" spans="8:9">
      <c r="H10931" s="2"/>
      <c r="I10931" s="2"/>
    </row>
    <row r="10932" spans="8:9">
      <c r="H10932" s="2"/>
      <c r="I10932" s="2"/>
    </row>
    <row r="10933" spans="8:9">
      <c r="H10933" s="2"/>
      <c r="I10933" s="2"/>
    </row>
    <row r="10934" spans="8:9">
      <c r="H10934" s="2"/>
      <c r="I10934" s="2"/>
    </row>
    <row r="10935" spans="8:9">
      <c r="H10935" s="2"/>
      <c r="I10935" s="2"/>
    </row>
    <row r="10936" spans="8:9">
      <c r="H10936" s="2"/>
      <c r="I10936" s="2"/>
    </row>
    <row r="10937" spans="8:9">
      <c r="H10937" s="2"/>
      <c r="I10937" s="2"/>
    </row>
    <row r="10938" spans="8:9">
      <c r="H10938" s="2"/>
      <c r="I10938" s="2"/>
    </row>
    <row r="10939" spans="8:9">
      <c r="H10939" s="2"/>
      <c r="I10939" s="2"/>
    </row>
    <row r="10940" spans="8:9">
      <c r="H10940" s="2"/>
      <c r="I10940" s="2"/>
    </row>
    <row r="10941" spans="8:9">
      <c r="H10941" s="2"/>
      <c r="I10941" s="2"/>
    </row>
    <row r="10942" spans="8:9">
      <c r="H10942" s="2"/>
      <c r="I10942" s="2"/>
    </row>
    <row r="10943" spans="8:9">
      <c r="H10943" s="2"/>
      <c r="I10943" s="2"/>
    </row>
    <row r="10944" spans="8:9">
      <c r="H10944" s="2"/>
      <c r="I10944" s="2"/>
    </row>
    <row r="10945" spans="8:9">
      <c r="H10945" s="2"/>
      <c r="I10945" s="2"/>
    </row>
    <row r="10946" spans="8:9">
      <c r="H10946" s="2"/>
      <c r="I10946" s="2"/>
    </row>
    <row r="10947" spans="8:9">
      <c r="H10947" s="2"/>
      <c r="I10947" s="2"/>
    </row>
    <row r="10948" spans="8:9">
      <c r="H10948" s="2"/>
      <c r="I10948" s="2"/>
    </row>
    <row r="10949" spans="8:9">
      <c r="H10949" s="2"/>
      <c r="I10949" s="2"/>
    </row>
    <row r="10950" spans="8:9">
      <c r="H10950" s="2"/>
      <c r="I10950" s="2"/>
    </row>
    <row r="10951" spans="8:9">
      <c r="H10951" s="2"/>
      <c r="I10951" s="2"/>
    </row>
    <row r="10952" spans="8:9">
      <c r="H10952" s="2"/>
      <c r="I10952" s="2"/>
    </row>
    <row r="10953" spans="8:9">
      <c r="H10953" s="2"/>
      <c r="I10953" s="2"/>
    </row>
    <row r="10954" spans="8:9">
      <c r="H10954" s="2"/>
      <c r="I10954" s="2"/>
    </row>
    <row r="10955" spans="8:9">
      <c r="H10955" s="2"/>
      <c r="I10955" s="2"/>
    </row>
    <row r="10956" spans="8:9">
      <c r="H10956" s="2"/>
      <c r="I10956" s="2"/>
    </row>
    <row r="10957" spans="8:9">
      <c r="H10957" s="2"/>
      <c r="I10957" s="2"/>
    </row>
    <row r="10958" spans="8:9">
      <c r="H10958" s="2"/>
      <c r="I10958" s="2"/>
    </row>
    <row r="10959" spans="8:9">
      <c r="H10959" s="2"/>
      <c r="I10959" s="2"/>
    </row>
    <row r="10960" spans="8:9">
      <c r="H10960" s="2"/>
      <c r="I10960" s="2"/>
    </row>
    <row r="10961" spans="8:9">
      <c r="H10961" s="2"/>
      <c r="I10961" s="2"/>
    </row>
    <row r="10962" spans="8:9">
      <c r="H10962" s="2"/>
      <c r="I10962" s="2"/>
    </row>
    <row r="10963" spans="8:9">
      <c r="H10963" s="2"/>
      <c r="I10963" s="2"/>
    </row>
    <row r="10964" spans="8:9">
      <c r="H10964" s="2"/>
      <c r="I10964" s="2"/>
    </row>
    <row r="10965" spans="8:9">
      <c r="H10965" s="2"/>
      <c r="I10965" s="2"/>
    </row>
    <row r="10966" spans="8:9">
      <c r="H10966" s="2"/>
      <c r="I10966" s="2"/>
    </row>
    <row r="10967" spans="8:9">
      <c r="H10967" s="2"/>
      <c r="I10967" s="2"/>
    </row>
    <row r="10968" spans="8:9">
      <c r="H10968" s="2"/>
      <c r="I10968" s="2"/>
    </row>
    <row r="10969" spans="8:9">
      <c r="H10969" s="2"/>
      <c r="I10969" s="2"/>
    </row>
    <row r="10970" spans="8:9">
      <c r="H10970" s="2"/>
      <c r="I10970" s="2"/>
    </row>
    <row r="10971" spans="8:9">
      <c r="H10971" s="2"/>
      <c r="I10971" s="2"/>
    </row>
    <row r="10972" spans="8:9">
      <c r="H10972" s="2"/>
      <c r="I10972" s="2"/>
    </row>
    <row r="10973" spans="8:9">
      <c r="H10973" s="2"/>
      <c r="I10973" s="2"/>
    </row>
    <row r="10974" spans="8:9">
      <c r="H10974" s="2"/>
      <c r="I10974" s="2"/>
    </row>
    <row r="10975" spans="8:9">
      <c r="H10975" s="2"/>
      <c r="I10975" s="2"/>
    </row>
    <row r="10976" spans="8:9">
      <c r="H10976" s="2"/>
      <c r="I10976" s="2"/>
    </row>
    <row r="10977" spans="8:9">
      <c r="H10977" s="2"/>
      <c r="I10977" s="2"/>
    </row>
    <row r="10978" spans="8:9">
      <c r="H10978" s="2"/>
      <c r="I10978" s="2"/>
    </row>
    <row r="10979" spans="8:9">
      <c r="H10979" s="2"/>
      <c r="I10979" s="2"/>
    </row>
    <row r="10980" spans="8:9">
      <c r="H10980" s="2"/>
      <c r="I10980" s="2"/>
    </row>
    <row r="10981" spans="8:9">
      <c r="H10981" s="2"/>
      <c r="I10981" s="2"/>
    </row>
    <row r="10982" spans="8:9">
      <c r="H10982" s="2"/>
      <c r="I10982" s="2"/>
    </row>
    <row r="10983" spans="8:9">
      <c r="H10983" s="2"/>
      <c r="I10983" s="2"/>
    </row>
    <row r="10984" spans="8:9">
      <c r="H10984" s="2"/>
      <c r="I10984" s="2"/>
    </row>
    <row r="10985" spans="8:9">
      <c r="H10985" s="2"/>
      <c r="I10985" s="2"/>
    </row>
    <row r="10986" spans="8:9">
      <c r="H10986" s="2"/>
      <c r="I10986" s="2"/>
    </row>
    <row r="10987" spans="8:9">
      <c r="H10987" s="2"/>
      <c r="I10987" s="2"/>
    </row>
    <row r="10988" spans="8:9">
      <c r="H10988" s="2"/>
      <c r="I10988" s="2"/>
    </row>
    <row r="10989" spans="8:9">
      <c r="H10989" s="2"/>
      <c r="I10989" s="2"/>
    </row>
    <row r="10990" spans="8:9">
      <c r="H10990" s="2"/>
      <c r="I10990" s="2"/>
    </row>
    <row r="10991" spans="8:9">
      <c r="H10991" s="2"/>
      <c r="I10991" s="2"/>
    </row>
    <row r="10992" spans="8:9">
      <c r="H10992" s="2"/>
      <c r="I10992" s="2"/>
    </row>
    <row r="10993" spans="9:9">
      <c r="I10993" s="2"/>
    </row>
    <row r="10994" spans="9:9">
      <c r="I10994" s="2"/>
    </row>
    <row r="10995" spans="9:9">
      <c r="I10995" s="2"/>
    </row>
    <row r="10996" spans="9:9">
      <c r="I10996" s="2"/>
    </row>
    <row r="10997" spans="9:9">
      <c r="I10997" s="2"/>
    </row>
    <row r="10998" spans="9:9">
      <c r="I10998" s="2"/>
    </row>
    <row r="10999" spans="9:9">
      <c r="I10999" s="2"/>
    </row>
    <row r="11000" spans="9:9">
      <c r="I11000" s="2"/>
    </row>
    <row r="11001" spans="9:9">
      <c r="I11001" s="2"/>
    </row>
    <row r="11002" spans="9:9">
      <c r="I11002" s="2"/>
    </row>
    <row r="11003" spans="9:9">
      <c r="I11003" s="2"/>
    </row>
    <row r="11004" spans="9:9">
      <c r="I11004" s="2"/>
    </row>
    <row r="11005" spans="9:9">
      <c r="I11005" s="2"/>
    </row>
    <row r="11006" spans="9:9">
      <c r="I11006" s="2"/>
    </row>
    <row r="11007" spans="9:9">
      <c r="I11007" s="2"/>
    </row>
    <row r="11008" spans="9:9">
      <c r="I11008" s="2"/>
    </row>
    <row r="11009" spans="9:9">
      <c r="I11009" s="2"/>
    </row>
    <row r="11010" spans="9:9">
      <c r="I11010" s="2"/>
    </row>
    <row r="11011" spans="9:9">
      <c r="I11011" s="2"/>
    </row>
    <row r="11012" spans="9:9">
      <c r="I11012" s="2"/>
    </row>
    <row r="11013" spans="9:9">
      <c r="I11013" s="2"/>
    </row>
    <row r="11014" spans="9:9">
      <c r="I11014" s="2"/>
    </row>
    <row r="11015" spans="9:9">
      <c r="I11015" s="2"/>
    </row>
    <row r="11016" spans="9:9">
      <c r="I11016" s="2"/>
    </row>
    <row r="11017" spans="9:9">
      <c r="I11017" s="2"/>
    </row>
    <row r="11018" spans="9:9">
      <c r="I11018" s="2"/>
    </row>
    <row r="11019" spans="9:9">
      <c r="I11019" s="2"/>
    </row>
    <row r="11020" spans="9:9">
      <c r="I11020" s="2"/>
    </row>
    <row r="11021" spans="9:9">
      <c r="I11021" s="2"/>
    </row>
    <row r="11022" spans="9:9">
      <c r="I11022" s="2"/>
    </row>
    <row r="11023" spans="9:9">
      <c r="I11023" s="2"/>
    </row>
    <row r="11024" spans="9:9">
      <c r="I11024" s="2"/>
    </row>
    <row r="11025" spans="9:9">
      <c r="I11025" s="2"/>
    </row>
    <row r="11026" spans="9:9">
      <c r="I11026" s="2"/>
    </row>
    <row r="11027" spans="9:9">
      <c r="I11027" s="2"/>
    </row>
    <row r="11028" spans="9:9">
      <c r="I11028" s="2"/>
    </row>
    <row r="11029" spans="9:9">
      <c r="I11029" s="2"/>
    </row>
    <row r="11030" spans="9:9">
      <c r="I11030" s="2"/>
    </row>
    <row r="11031" spans="9:9">
      <c r="I11031" s="2"/>
    </row>
    <row r="11032" spans="9:9">
      <c r="I11032" s="2"/>
    </row>
    <row r="11033" spans="9:9">
      <c r="I11033" s="2"/>
    </row>
    <row r="11034" spans="9:9">
      <c r="I11034" s="2"/>
    </row>
    <row r="11035" spans="9:9">
      <c r="I11035" s="2"/>
    </row>
    <row r="11036" spans="9:9">
      <c r="I11036" s="2"/>
    </row>
    <row r="11037" spans="9:9">
      <c r="I11037" s="2"/>
    </row>
    <row r="11038" spans="9:9">
      <c r="I11038" s="2"/>
    </row>
    <row r="11039" spans="9:9">
      <c r="I11039" s="2"/>
    </row>
    <row r="11040" spans="9:9">
      <c r="I11040" s="2"/>
    </row>
    <row r="11041" spans="9:9">
      <c r="I11041" s="2"/>
    </row>
    <row r="11042" spans="9:9">
      <c r="I11042" s="2"/>
    </row>
    <row r="11043" spans="9:9">
      <c r="I11043" s="2"/>
    </row>
    <row r="11044" spans="9:9">
      <c r="I11044" s="2"/>
    </row>
    <row r="11045" spans="9:9">
      <c r="I11045" s="2"/>
    </row>
    <row r="11046" spans="9:9">
      <c r="I11046" s="2"/>
    </row>
    <row r="11047" spans="9:9">
      <c r="I11047" s="2"/>
    </row>
    <row r="11048" spans="9:9">
      <c r="I11048" s="2"/>
    </row>
    <row r="11049" spans="9:9">
      <c r="I11049" s="2"/>
    </row>
    <row r="11050" spans="9:9">
      <c r="I11050" s="2"/>
    </row>
    <row r="11051" spans="9:9">
      <c r="I11051" s="2"/>
    </row>
    <row r="11052" spans="9:9">
      <c r="I11052" s="2"/>
    </row>
    <row r="11053" spans="9:9">
      <c r="I11053" s="2"/>
    </row>
    <row r="11054" spans="9:9">
      <c r="I11054" s="2"/>
    </row>
    <row r="11055" spans="9:9">
      <c r="I11055" s="2"/>
    </row>
    <row r="11056" spans="9:9">
      <c r="I11056" s="2"/>
    </row>
    <row r="11057" spans="9:9">
      <c r="I11057" s="2"/>
    </row>
    <row r="11058" spans="9:9">
      <c r="I11058" s="2"/>
    </row>
    <row r="11059" spans="9:9">
      <c r="I11059" s="2"/>
    </row>
    <row r="11060" spans="9:9">
      <c r="I11060" s="2"/>
    </row>
    <row r="11061" spans="9:9">
      <c r="I11061" s="2"/>
    </row>
    <row r="11062" spans="9:9">
      <c r="I11062" s="2"/>
    </row>
    <row r="11063" spans="9:9">
      <c r="I11063" s="2"/>
    </row>
    <row r="11064" spans="9:9">
      <c r="I11064" s="2"/>
    </row>
    <row r="11065" spans="9:9">
      <c r="I11065" s="2"/>
    </row>
    <row r="11066" spans="9:9">
      <c r="I11066" s="2"/>
    </row>
    <row r="11067" spans="9:9">
      <c r="I11067" s="2"/>
    </row>
    <row r="11068" spans="9:9">
      <c r="I11068" s="2"/>
    </row>
    <row r="11069" spans="9:9">
      <c r="I11069" s="2"/>
    </row>
    <row r="11070" spans="9:9">
      <c r="I11070" s="2"/>
    </row>
    <row r="11071" spans="9:9">
      <c r="I11071" s="2"/>
    </row>
    <row r="11072" spans="9:9">
      <c r="I11072" s="2"/>
    </row>
    <row r="11073" spans="9:9">
      <c r="I11073" s="2"/>
    </row>
    <row r="11074" spans="9:9">
      <c r="I11074" s="2"/>
    </row>
    <row r="11075" spans="9:9">
      <c r="I11075" s="2"/>
    </row>
    <row r="11076" spans="9:9">
      <c r="I11076" s="2"/>
    </row>
    <row r="11077" spans="9:9">
      <c r="I11077" s="2"/>
    </row>
    <row r="11078" spans="9:9">
      <c r="I11078" s="2"/>
    </row>
    <row r="11079" spans="9:9">
      <c r="I11079" s="2"/>
    </row>
    <row r="11080" spans="9:9">
      <c r="I11080" s="2"/>
    </row>
    <row r="11081" spans="9:9">
      <c r="I11081" s="2"/>
    </row>
    <row r="11082" spans="9:9">
      <c r="I11082" s="2"/>
    </row>
    <row r="11083" spans="9:9">
      <c r="I11083" s="2"/>
    </row>
    <row r="11084" spans="9:9">
      <c r="I11084" s="2"/>
    </row>
    <row r="11085" spans="9:9">
      <c r="I11085" s="2"/>
    </row>
    <row r="11086" spans="9:9">
      <c r="I11086" s="2"/>
    </row>
    <row r="11087" spans="9:9">
      <c r="I11087" s="2"/>
    </row>
    <row r="11088" spans="9:9">
      <c r="I11088" s="2"/>
    </row>
    <row r="11089" spans="9:9">
      <c r="I11089" s="2"/>
    </row>
    <row r="11090" spans="9:9">
      <c r="I11090" s="2"/>
    </row>
    <row r="11091" spans="9:9">
      <c r="I11091" s="2"/>
    </row>
    <row r="11092" spans="9:9">
      <c r="I11092" s="2"/>
    </row>
    <row r="11093" spans="9:9">
      <c r="I11093" s="2"/>
    </row>
    <row r="11094" spans="9:9">
      <c r="I11094" s="2"/>
    </row>
    <row r="11095" spans="9:9">
      <c r="I11095" s="2"/>
    </row>
    <row r="11096" spans="9:9">
      <c r="I11096" s="2"/>
    </row>
    <row r="11097" spans="9:9">
      <c r="I11097" s="2"/>
    </row>
    <row r="11098" spans="9:9">
      <c r="I11098" s="2"/>
    </row>
    <row r="11099" spans="9:9">
      <c r="I11099" s="2"/>
    </row>
    <row r="11100" spans="9:9">
      <c r="I11100" s="2"/>
    </row>
    <row r="11101" spans="9:9">
      <c r="I11101" s="2"/>
    </row>
    <row r="11102" spans="9:9">
      <c r="I11102" s="2"/>
    </row>
    <row r="11103" spans="9:9">
      <c r="I11103" s="2"/>
    </row>
    <row r="11104" spans="9:9">
      <c r="I11104" s="2"/>
    </row>
    <row r="11105" spans="9:9">
      <c r="I11105" s="2"/>
    </row>
    <row r="11106" spans="9:9">
      <c r="I11106" s="2"/>
    </row>
    <row r="11107" spans="9:9">
      <c r="I11107" s="2"/>
    </row>
    <row r="11108" spans="9:9">
      <c r="I11108" s="2"/>
    </row>
    <row r="11109" spans="9:9">
      <c r="I11109" s="2"/>
    </row>
    <row r="11110" spans="9:9">
      <c r="I11110" s="2"/>
    </row>
    <row r="11111" spans="9:9">
      <c r="I11111" s="2"/>
    </row>
    <row r="11112" spans="9:9">
      <c r="I11112" s="2"/>
    </row>
    <row r="11113" spans="9:9">
      <c r="I11113" s="2"/>
    </row>
    <row r="11114" spans="9:9">
      <c r="I11114" s="2"/>
    </row>
    <row r="11115" spans="9:9">
      <c r="I11115" s="2"/>
    </row>
    <row r="11116" spans="9:9">
      <c r="I11116" s="2"/>
    </row>
    <row r="11117" spans="9:9">
      <c r="I11117" s="2"/>
    </row>
    <row r="11118" spans="9:9">
      <c r="I11118" s="2"/>
    </row>
    <row r="11119" spans="9:9">
      <c r="I11119" s="2"/>
    </row>
    <row r="11120" spans="9:9">
      <c r="I11120" s="2"/>
    </row>
    <row r="11121" spans="9:9">
      <c r="I11121" s="2"/>
    </row>
    <row r="11122" spans="9:9">
      <c r="I11122" s="2"/>
    </row>
    <row r="11123" spans="9:9">
      <c r="I11123" s="2"/>
    </row>
    <row r="11124" spans="9:9">
      <c r="I11124" s="2"/>
    </row>
    <row r="11125" spans="9:9">
      <c r="I11125" s="2"/>
    </row>
    <row r="11126" spans="9:9">
      <c r="I11126" s="2"/>
    </row>
    <row r="11127" spans="9:9">
      <c r="I11127" s="2"/>
    </row>
    <row r="11128" spans="9:9">
      <c r="I11128" s="2"/>
    </row>
    <row r="11129" spans="9:9">
      <c r="I11129" s="2"/>
    </row>
    <row r="11130" spans="9:9">
      <c r="I11130" s="2"/>
    </row>
    <row r="11131" spans="9:9">
      <c r="I11131" s="2"/>
    </row>
    <row r="11132" spans="9:9">
      <c r="I11132" s="2"/>
    </row>
    <row r="11133" spans="9:9">
      <c r="I11133" s="2"/>
    </row>
    <row r="11134" spans="9:9">
      <c r="I11134" s="2"/>
    </row>
    <row r="11135" spans="9:9">
      <c r="I11135" s="2"/>
    </row>
    <row r="11136" spans="9:9">
      <c r="I11136" s="2"/>
    </row>
    <row r="11137" spans="9:9">
      <c r="I11137" s="2"/>
    </row>
    <row r="11138" spans="9:9">
      <c r="I11138" s="2"/>
    </row>
    <row r="11139" spans="9:9">
      <c r="I11139" s="2"/>
    </row>
    <row r="11140" spans="9:9">
      <c r="I11140" s="2"/>
    </row>
    <row r="11141" spans="9:9">
      <c r="I11141" s="2"/>
    </row>
    <row r="11142" spans="9:9">
      <c r="I11142" s="2"/>
    </row>
    <row r="11143" spans="9:9">
      <c r="I11143" s="2"/>
    </row>
    <row r="11144" spans="9:9">
      <c r="I11144" s="2"/>
    </row>
    <row r="11145" spans="9:9">
      <c r="I11145" s="2"/>
    </row>
    <row r="11146" spans="9:9">
      <c r="I11146" s="2"/>
    </row>
    <row r="11147" spans="9:9">
      <c r="I11147" s="2"/>
    </row>
    <row r="11148" spans="9:9">
      <c r="I11148" s="2"/>
    </row>
    <row r="11149" spans="9:9">
      <c r="I11149" s="2"/>
    </row>
    <row r="11150" spans="9:9">
      <c r="I11150" s="2"/>
    </row>
    <row r="11151" spans="9:9">
      <c r="I11151" s="2"/>
    </row>
    <row r="11152" spans="9:9">
      <c r="I11152" s="2"/>
    </row>
    <row r="11153" spans="9:9">
      <c r="I11153" s="2"/>
    </row>
    <row r="11154" spans="9:9">
      <c r="I11154" s="2"/>
    </row>
    <row r="11155" spans="9:9">
      <c r="I11155" s="2"/>
    </row>
    <row r="11156" spans="9:9">
      <c r="I11156" s="2"/>
    </row>
    <row r="11157" spans="9:9">
      <c r="I11157" s="2"/>
    </row>
    <row r="11158" spans="9:9">
      <c r="I11158" s="2"/>
    </row>
    <row r="11159" spans="9:9">
      <c r="I11159" s="2"/>
    </row>
    <row r="11160" spans="9:9">
      <c r="I11160" s="2"/>
    </row>
    <row r="11161" spans="9:9">
      <c r="I11161" s="2"/>
    </row>
    <row r="11162" spans="9:9">
      <c r="I11162" s="2"/>
    </row>
    <row r="11163" spans="9:9">
      <c r="I11163" s="2"/>
    </row>
    <row r="11164" spans="9:9">
      <c r="I11164" s="2"/>
    </row>
    <row r="11165" spans="9:9">
      <c r="I11165" s="2"/>
    </row>
    <row r="11166" spans="9:9">
      <c r="I11166" s="2"/>
    </row>
    <row r="11167" spans="9:9">
      <c r="I11167" s="2"/>
    </row>
    <row r="11168" spans="9:9">
      <c r="I11168" s="2"/>
    </row>
    <row r="11169" spans="9:9">
      <c r="I11169" s="2"/>
    </row>
    <row r="11170" spans="9:9">
      <c r="I11170" s="2"/>
    </row>
    <row r="11171" spans="9:9">
      <c r="I11171" s="2"/>
    </row>
    <row r="11172" spans="9:9">
      <c r="I11172" s="2"/>
    </row>
    <row r="11173" spans="9:9">
      <c r="I11173" s="2"/>
    </row>
    <row r="11174" spans="9:9">
      <c r="I11174" s="2"/>
    </row>
    <row r="11175" spans="9:9">
      <c r="I11175" s="2"/>
    </row>
    <row r="11176" spans="9:9">
      <c r="I11176" s="2"/>
    </row>
    <row r="11177" spans="9:9">
      <c r="I11177" s="2"/>
    </row>
    <row r="11178" spans="9:9">
      <c r="I11178" s="2"/>
    </row>
    <row r="11179" spans="9:9">
      <c r="I11179" s="2"/>
    </row>
    <row r="11180" spans="9:9">
      <c r="I11180" s="2"/>
    </row>
    <row r="11181" spans="9:9">
      <c r="I11181" s="2"/>
    </row>
    <row r="11182" spans="9:9">
      <c r="I11182" s="2"/>
    </row>
    <row r="11183" spans="9:9">
      <c r="I11183" s="2"/>
    </row>
    <row r="11184" spans="9:9">
      <c r="I11184" s="2"/>
    </row>
    <row r="11185" spans="9:9">
      <c r="I11185" s="2"/>
    </row>
    <row r="11186" spans="9:9">
      <c r="I11186" s="2"/>
    </row>
    <row r="11187" spans="9:9">
      <c r="I11187" s="2"/>
    </row>
    <row r="11188" spans="9:9">
      <c r="I11188" s="2"/>
    </row>
    <row r="11189" spans="9:9">
      <c r="I11189" s="2"/>
    </row>
    <row r="11190" spans="9:9">
      <c r="I11190" s="2"/>
    </row>
    <row r="11191" spans="9:9">
      <c r="I11191" s="2"/>
    </row>
    <row r="11192" spans="9:9">
      <c r="I11192" s="2"/>
    </row>
    <row r="11193" spans="9:9">
      <c r="I11193" s="2"/>
    </row>
    <row r="11194" spans="9:9">
      <c r="I11194" s="2"/>
    </row>
    <row r="11195" spans="9:9">
      <c r="I11195" s="2"/>
    </row>
    <row r="11196" spans="9:9">
      <c r="I11196" s="2"/>
    </row>
    <row r="11197" spans="9:9">
      <c r="I11197" s="2"/>
    </row>
    <row r="11198" spans="9:9">
      <c r="I11198" s="2"/>
    </row>
    <row r="11199" spans="9:9">
      <c r="I11199" s="2"/>
    </row>
    <row r="11200" spans="9:9">
      <c r="I11200" s="2"/>
    </row>
    <row r="11201" spans="9:9">
      <c r="I11201" s="2"/>
    </row>
    <row r="11202" spans="9:9">
      <c r="I11202" s="2"/>
    </row>
    <row r="11203" spans="9:9">
      <c r="I11203" s="2"/>
    </row>
    <row r="11204" spans="9:9">
      <c r="I11204" s="2"/>
    </row>
    <row r="11205" spans="9:9">
      <c r="I11205" s="2"/>
    </row>
    <row r="11206" spans="9:9">
      <c r="I11206" s="2"/>
    </row>
    <row r="11207" spans="9:9">
      <c r="I11207" s="2"/>
    </row>
    <row r="11208" spans="9:9">
      <c r="I11208" s="2"/>
    </row>
    <row r="11209" spans="9:9">
      <c r="I11209" s="2"/>
    </row>
    <row r="11210" spans="9:9">
      <c r="I11210" s="2"/>
    </row>
    <row r="11211" spans="9:9">
      <c r="I11211" s="2"/>
    </row>
    <row r="11212" spans="9:9">
      <c r="I11212" s="2"/>
    </row>
    <row r="11213" spans="9:9">
      <c r="I11213" s="2"/>
    </row>
    <row r="11214" spans="9:9">
      <c r="I11214" s="2"/>
    </row>
    <row r="11215" spans="9:9">
      <c r="I11215" s="2"/>
    </row>
    <row r="11216" spans="9:9">
      <c r="I11216" s="2"/>
    </row>
    <row r="11217" spans="9:9">
      <c r="I11217" s="2"/>
    </row>
    <row r="11218" spans="9:9">
      <c r="I11218" s="2"/>
    </row>
    <row r="11219" spans="9:9">
      <c r="I11219" s="2"/>
    </row>
    <row r="11220" spans="9:9">
      <c r="I11220" s="2"/>
    </row>
    <row r="11221" spans="9:9">
      <c r="I11221" s="2"/>
    </row>
    <row r="11222" spans="9:9">
      <c r="I11222" s="2"/>
    </row>
    <row r="11223" spans="9:9">
      <c r="I11223" s="2"/>
    </row>
    <row r="11224" spans="9:9">
      <c r="I11224" s="2"/>
    </row>
    <row r="11225" spans="9:9">
      <c r="I11225" s="2"/>
    </row>
    <row r="11226" spans="9:9">
      <c r="I11226" s="2"/>
    </row>
    <row r="11227" spans="9:9">
      <c r="I11227" s="2"/>
    </row>
    <row r="11228" spans="9:9">
      <c r="I11228" s="2"/>
    </row>
    <row r="11229" spans="9:9">
      <c r="I11229" s="2"/>
    </row>
    <row r="11230" spans="9:9">
      <c r="I11230" s="2"/>
    </row>
    <row r="11231" spans="9:9">
      <c r="I11231" s="2"/>
    </row>
    <row r="11232" spans="9:9">
      <c r="I11232" s="2"/>
    </row>
    <row r="11233" spans="9:9">
      <c r="I11233" s="2"/>
    </row>
    <row r="11234" spans="9:9">
      <c r="I11234" s="2"/>
    </row>
    <row r="11235" spans="9:9">
      <c r="I11235" s="2"/>
    </row>
    <row r="11236" spans="9:9">
      <c r="I11236" s="2"/>
    </row>
    <row r="11237" spans="9:9">
      <c r="I11237" s="2"/>
    </row>
    <row r="11238" spans="9:9">
      <c r="I11238" s="2"/>
    </row>
    <row r="11239" spans="9:9">
      <c r="I11239" s="2"/>
    </row>
    <row r="11240" spans="9:9">
      <c r="I11240" s="2"/>
    </row>
    <row r="11241" spans="9:9">
      <c r="I11241" s="2"/>
    </row>
    <row r="11242" spans="9:9">
      <c r="I11242" s="2"/>
    </row>
    <row r="11243" spans="9:9">
      <c r="I11243" s="2"/>
    </row>
    <row r="11244" spans="9:9">
      <c r="I11244" s="2"/>
    </row>
    <row r="11245" spans="9:9">
      <c r="I11245" s="2"/>
    </row>
    <row r="11246" spans="9:9">
      <c r="I11246" s="2"/>
    </row>
    <row r="11247" spans="9:9">
      <c r="I11247" s="2"/>
    </row>
    <row r="11248" spans="9:9">
      <c r="I11248" s="2"/>
    </row>
    <row r="11249" spans="9:9">
      <c r="I11249" s="2"/>
    </row>
    <row r="11250" spans="9:9">
      <c r="I11250" s="2"/>
    </row>
    <row r="11251" spans="9:9">
      <c r="I11251" s="2"/>
    </row>
    <row r="11252" spans="9:9">
      <c r="I11252" s="2"/>
    </row>
    <row r="11253" spans="9:9">
      <c r="I11253" s="2"/>
    </row>
    <row r="11254" spans="9:9">
      <c r="I11254" s="2"/>
    </row>
    <row r="11255" spans="9:9">
      <c r="I11255" s="2"/>
    </row>
    <row r="11256" spans="9:9">
      <c r="I11256" s="2"/>
    </row>
    <row r="11257" spans="9:9">
      <c r="I11257" s="2"/>
    </row>
    <row r="11258" spans="9:9">
      <c r="I11258" s="2"/>
    </row>
    <row r="11259" spans="9:9">
      <c r="I11259" s="2"/>
    </row>
    <row r="11260" spans="9:9">
      <c r="I11260" s="2"/>
    </row>
    <row r="11261" spans="9:9">
      <c r="I11261" s="2"/>
    </row>
    <row r="11262" spans="9:9">
      <c r="I11262" s="2"/>
    </row>
    <row r="11263" spans="9:9">
      <c r="I11263" s="2"/>
    </row>
    <row r="11264" spans="9:9">
      <c r="I11264" s="2"/>
    </row>
    <row r="11265" spans="9:9">
      <c r="I11265" s="2"/>
    </row>
    <row r="11266" spans="9:9">
      <c r="I11266" s="2"/>
    </row>
    <row r="11267" spans="9:9">
      <c r="I11267" s="2"/>
    </row>
    <row r="11268" spans="9:9">
      <c r="I11268" s="2"/>
    </row>
    <row r="11269" spans="9:9">
      <c r="I11269" s="2"/>
    </row>
    <row r="11270" spans="9:9">
      <c r="I11270" s="2"/>
    </row>
    <row r="11271" spans="9:9">
      <c r="I11271" s="2"/>
    </row>
    <row r="11272" spans="9:9">
      <c r="I11272" s="2"/>
    </row>
    <row r="11273" spans="9:9">
      <c r="I11273" s="2"/>
    </row>
    <row r="11274" spans="9:9">
      <c r="I11274" s="2"/>
    </row>
    <row r="11275" spans="9:9">
      <c r="I11275" s="2"/>
    </row>
    <row r="11276" spans="9:9">
      <c r="I11276" s="2"/>
    </row>
    <row r="11277" spans="9:9">
      <c r="I11277" s="2"/>
    </row>
    <row r="11278" spans="9:9">
      <c r="I11278" s="2"/>
    </row>
    <row r="11279" spans="9:9">
      <c r="I11279" s="2"/>
    </row>
    <row r="11280" spans="9:9">
      <c r="I11280" s="2"/>
    </row>
    <row r="11281" spans="9:9">
      <c r="I11281" s="2"/>
    </row>
    <row r="11282" spans="9:9">
      <c r="I11282" s="2"/>
    </row>
    <row r="11283" spans="9:9">
      <c r="I11283" s="2"/>
    </row>
    <row r="11284" spans="9:9">
      <c r="I11284" s="2"/>
    </row>
    <row r="11285" spans="9:9">
      <c r="I11285" s="2"/>
    </row>
    <row r="11286" spans="9:9">
      <c r="I11286" s="2"/>
    </row>
    <row r="11287" spans="9:9">
      <c r="I11287" s="2"/>
    </row>
    <row r="11288" spans="9:9">
      <c r="I11288" s="2"/>
    </row>
    <row r="11289" spans="9:9">
      <c r="I11289" s="2"/>
    </row>
    <row r="11290" spans="9:9">
      <c r="I11290" s="2"/>
    </row>
    <row r="11291" spans="9:9">
      <c r="I11291" s="2"/>
    </row>
    <row r="11292" spans="9:9">
      <c r="I11292" s="2"/>
    </row>
    <row r="11293" spans="9:9">
      <c r="I11293" s="2"/>
    </row>
    <row r="11294" spans="9:9">
      <c r="I11294" s="2"/>
    </row>
    <row r="11295" spans="9:9">
      <c r="I11295" s="2"/>
    </row>
    <row r="11296" spans="9:9">
      <c r="I11296" s="2"/>
    </row>
    <row r="11297" spans="9:9">
      <c r="I11297" s="2"/>
    </row>
    <row r="11298" spans="9:9">
      <c r="I11298" s="2"/>
    </row>
    <row r="11299" spans="9:9">
      <c r="I11299" s="2"/>
    </row>
    <row r="11300" spans="9:9">
      <c r="I11300" s="2"/>
    </row>
    <row r="11301" spans="9:9">
      <c r="I11301" s="2"/>
    </row>
    <row r="11302" spans="9:9">
      <c r="I11302" s="2"/>
    </row>
    <row r="11303" spans="9:9">
      <c r="I11303" s="2"/>
    </row>
    <row r="11304" spans="9:9">
      <c r="I11304" s="2"/>
    </row>
    <row r="11305" spans="9:9">
      <c r="I11305" s="2"/>
    </row>
    <row r="11306" spans="9:9">
      <c r="I11306" s="2"/>
    </row>
    <row r="11307" spans="9:9">
      <c r="I11307" s="2"/>
    </row>
    <row r="11308" spans="9:9">
      <c r="I11308" s="2"/>
    </row>
    <row r="11309" spans="9:9">
      <c r="I11309" s="2"/>
    </row>
    <row r="11310" spans="9:9">
      <c r="I11310" s="2"/>
    </row>
    <row r="11311" spans="9:9">
      <c r="I11311" s="2"/>
    </row>
    <row r="11312" spans="9:9">
      <c r="I11312" s="2"/>
    </row>
    <row r="11313" spans="9:9">
      <c r="I11313" s="2"/>
    </row>
    <row r="11314" spans="9:9">
      <c r="I11314" s="2"/>
    </row>
    <row r="11315" spans="9:9">
      <c r="I11315" s="2"/>
    </row>
    <row r="11316" spans="9:9">
      <c r="I11316" s="2"/>
    </row>
    <row r="11317" spans="9:9">
      <c r="I11317" s="2"/>
    </row>
    <row r="11318" spans="9:9">
      <c r="I11318" s="2"/>
    </row>
    <row r="11319" spans="9:9">
      <c r="I11319" s="2"/>
    </row>
    <row r="11320" spans="9:9">
      <c r="I11320" s="2"/>
    </row>
    <row r="11321" spans="9:9">
      <c r="I11321" s="2"/>
    </row>
    <row r="11322" spans="9:9">
      <c r="I11322" s="2"/>
    </row>
    <row r="11323" spans="9:9">
      <c r="I11323" s="2"/>
    </row>
    <row r="11324" spans="9:9">
      <c r="I11324" s="2"/>
    </row>
    <row r="11325" spans="9:9">
      <c r="I11325" s="2"/>
    </row>
    <row r="11326" spans="9:9">
      <c r="I11326" s="2"/>
    </row>
    <row r="11327" spans="9:9">
      <c r="I11327" s="2"/>
    </row>
    <row r="11328" spans="9:9">
      <c r="I11328" s="2"/>
    </row>
    <row r="11329" spans="9:9">
      <c r="I11329" s="2"/>
    </row>
    <row r="11330" spans="9:9">
      <c r="I11330" s="2"/>
    </row>
    <row r="11331" spans="9:9">
      <c r="I11331" s="2"/>
    </row>
    <row r="11332" spans="9:9">
      <c r="I11332" s="2"/>
    </row>
    <row r="11333" spans="9:9">
      <c r="I11333" s="2"/>
    </row>
    <row r="11334" spans="9:9">
      <c r="I11334" s="2"/>
    </row>
    <row r="11335" spans="9:9">
      <c r="I11335" s="2"/>
    </row>
    <row r="11336" spans="9:9">
      <c r="I11336" s="2"/>
    </row>
    <row r="11337" spans="9:9">
      <c r="I11337" s="2"/>
    </row>
    <row r="11338" spans="9:9">
      <c r="I11338" s="2"/>
    </row>
    <row r="11339" spans="9:9">
      <c r="I11339" s="2"/>
    </row>
    <row r="11340" spans="9:9">
      <c r="I11340" s="2"/>
    </row>
    <row r="11341" spans="9:9">
      <c r="I11341" s="2"/>
    </row>
    <row r="11342" spans="9:9">
      <c r="I11342" s="2"/>
    </row>
    <row r="11343" spans="9:9">
      <c r="I11343" s="2"/>
    </row>
    <row r="11344" spans="9:9">
      <c r="I11344" s="2"/>
    </row>
    <row r="11345" spans="9:9">
      <c r="I11345" s="2"/>
    </row>
    <row r="11346" spans="9:9">
      <c r="I11346" s="2"/>
    </row>
    <row r="11347" spans="9:9">
      <c r="I11347" s="2"/>
    </row>
    <row r="11348" spans="9:9">
      <c r="I11348" s="2"/>
    </row>
    <row r="11349" spans="9:9">
      <c r="I11349" s="2"/>
    </row>
    <row r="11350" spans="9:9">
      <c r="I11350" s="2"/>
    </row>
    <row r="11351" spans="9:9">
      <c r="I11351" s="2"/>
    </row>
    <row r="11352" spans="9:9">
      <c r="I11352" s="2"/>
    </row>
    <row r="11353" spans="9:9">
      <c r="I11353" s="2"/>
    </row>
    <row r="11354" spans="9:9">
      <c r="I11354" s="2"/>
    </row>
    <row r="11355" spans="9:9">
      <c r="I11355" s="2"/>
    </row>
    <row r="11356" spans="9:9">
      <c r="I11356" s="2"/>
    </row>
    <row r="11357" spans="9:9">
      <c r="I11357" s="2"/>
    </row>
    <row r="11358" spans="9:9">
      <c r="I11358" s="2"/>
    </row>
    <row r="11359" spans="9:9">
      <c r="I11359" s="2"/>
    </row>
    <row r="11360" spans="9:9">
      <c r="I11360" s="2"/>
    </row>
    <row r="11361" spans="9:9">
      <c r="I11361" s="2"/>
    </row>
    <row r="11362" spans="9:9">
      <c r="I11362" s="2"/>
    </row>
    <row r="11363" spans="9:9">
      <c r="I11363" s="2"/>
    </row>
    <row r="11364" spans="9:9">
      <c r="I11364" s="2"/>
    </row>
    <row r="11365" spans="9:9">
      <c r="I11365" s="2"/>
    </row>
    <row r="11366" spans="9:9">
      <c r="I11366" s="2"/>
    </row>
    <row r="11367" spans="9:9">
      <c r="I11367" s="2"/>
    </row>
    <row r="11368" spans="9:9">
      <c r="I11368" s="2"/>
    </row>
    <row r="11369" spans="9:9">
      <c r="I11369" s="2"/>
    </row>
    <row r="11370" spans="9:9">
      <c r="I11370" s="2"/>
    </row>
    <row r="11371" spans="9:9">
      <c r="I11371" s="2"/>
    </row>
    <row r="11372" spans="9:9">
      <c r="I11372" s="2"/>
    </row>
    <row r="11373" spans="9:9">
      <c r="I11373" s="2"/>
    </row>
    <row r="11374" spans="9:9">
      <c r="I11374" s="2"/>
    </row>
    <row r="11375" spans="9:9">
      <c r="I11375" s="2"/>
    </row>
    <row r="11376" spans="9:9">
      <c r="I11376" s="2"/>
    </row>
    <row r="11377" spans="9:9">
      <c r="I11377" s="2"/>
    </row>
    <row r="11378" spans="9:9">
      <c r="I11378" s="2"/>
    </row>
    <row r="11379" spans="9:9">
      <c r="I11379" s="2"/>
    </row>
    <row r="11380" spans="9:9">
      <c r="I11380" s="2"/>
    </row>
    <row r="11381" spans="9:9">
      <c r="I11381" s="2"/>
    </row>
    <row r="11382" spans="9:9">
      <c r="I11382" s="2"/>
    </row>
    <row r="11383" spans="9:9">
      <c r="I11383" s="2"/>
    </row>
    <row r="11384" spans="9:9">
      <c r="I11384" s="2"/>
    </row>
    <row r="11385" spans="9:9">
      <c r="I11385" s="2"/>
    </row>
    <row r="11386" spans="9:9">
      <c r="I11386" s="2"/>
    </row>
    <row r="11387" spans="9:9">
      <c r="I11387" s="2"/>
    </row>
    <row r="11388" spans="9:9">
      <c r="I11388" s="2"/>
    </row>
    <row r="11389" spans="9:9">
      <c r="I11389" s="2"/>
    </row>
    <row r="11390" spans="9:9">
      <c r="I11390" s="2"/>
    </row>
    <row r="11391" spans="9:9">
      <c r="I11391" s="2"/>
    </row>
    <row r="11392" spans="9:9">
      <c r="I11392" s="2"/>
    </row>
    <row r="11393" spans="9:9">
      <c r="I11393" s="2"/>
    </row>
    <row r="11394" spans="9:9">
      <c r="I11394" s="2"/>
    </row>
    <row r="11395" spans="9:9">
      <c r="I11395" s="2"/>
    </row>
    <row r="11396" spans="9:9">
      <c r="I11396" s="2"/>
    </row>
    <row r="11397" spans="9:9">
      <c r="I11397" s="2"/>
    </row>
    <row r="11398" spans="9:9">
      <c r="I11398" s="2"/>
    </row>
    <row r="11399" spans="9:9">
      <c r="I11399" s="2"/>
    </row>
    <row r="11400" spans="9:9">
      <c r="I11400" s="2"/>
    </row>
    <row r="11401" spans="9:9">
      <c r="I11401" s="2"/>
    </row>
    <row r="11402" spans="9:9">
      <c r="I11402" s="2"/>
    </row>
    <row r="11403" spans="9:9">
      <c r="I11403" s="2"/>
    </row>
    <row r="11404" spans="9:9">
      <c r="I11404" s="2"/>
    </row>
    <row r="11405" spans="9:9">
      <c r="I11405" s="2"/>
    </row>
    <row r="11406" spans="9:9">
      <c r="I11406" s="2"/>
    </row>
    <row r="11407" spans="9:9">
      <c r="I11407" s="2"/>
    </row>
    <row r="11408" spans="9:9">
      <c r="I11408" s="2"/>
    </row>
    <row r="11409" spans="9:9">
      <c r="I11409" s="2"/>
    </row>
    <row r="11410" spans="9:9">
      <c r="I11410" s="2"/>
    </row>
    <row r="11411" spans="9:9">
      <c r="I11411" s="2"/>
    </row>
    <row r="11412" spans="9:9">
      <c r="I11412" s="2"/>
    </row>
    <row r="11413" spans="9:9">
      <c r="I11413" s="2"/>
    </row>
    <row r="11414" spans="9:9">
      <c r="I11414" s="2"/>
    </row>
    <row r="11415" spans="9:9">
      <c r="I11415" s="2"/>
    </row>
    <row r="11416" spans="9:9">
      <c r="I11416" s="2"/>
    </row>
    <row r="11417" spans="9:9">
      <c r="I11417" s="2"/>
    </row>
    <row r="11418" spans="9:9">
      <c r="I11418" s="2"/>
    </row>
    <row r="11419" spans="9:9">
      <c r="I11419" s="2"/>
    </row>
    <row r="11420" spans="9:9">
      <c r="I11420" s="2"/>
    </row>
    <row r="11421" spans="9:9">
      <c r="I11421" s="2"/>
    </row>
    <row r="11422" spans="9:9">
      <c r="I11422" s="2"/>
    </row>
    <row r="11423" spans="9:9">
      <c r="I11423" s="2"/>
    </row>
    <row r="11424" spans="9:9">
      <c r="I11424" s="2"/>
    </row>
    <row r="11425" spans="9:9">
      <c r="I11425" s="2"/>
    </row>
    <row r="11426" spans="9:9">
      <c r="I11426" s="2"/>
    </row>
    <row r="11427" spans="9:9">
      <c r="I11427" s="2"/>
    </row>
    <row r="11428" spans="9:9">
      <c r="I11428" s="2"/>
    </row>
    <row r="11429" spans="9:9">
      <c r="I11429" s="2"/>
    </row>
    <row r="11430" spans="9:9">
      <c r="I11430" s="2"/>
    </row>
    <row r="11431" spans="9:9">
      <c r="I11431" s="2"/>
    </row>
    <row r="11432" spans="9:9">
      <c r="I11432" s="2"/>
    </row>
    <row r="11433" spans="9:9">
      <c r="I11433" s="2"/>
    </row>
    <row r="11434" spans="9:9">
      <c r="I11434" s="2"/>
    </row>
    <row r="11435" spans="9:9">
      <c r="I11435" s="2"/>
    </row>
    <row r="11436" spans="9:9">
      <c r="I11436" s="2"/>
    </row>
    <row r="11437" spans="9:9">
      <c r="I11437" s="2"/>
    </row>
    <row r="11438" spans="9:9">
      <c r="I11438" s="2"/>
    </row>
    <row r="11439" spans="9:9">
      <c r="I11439" s="2"/>
    </row>
    <row r="11440" spans="9:9">
      <c r="I11440" s="2"/>
    </row>
    <row r="11441" spans="9:9">
      <c r="I11441" s="2"/>
    </row>
    <row r="11442" spans="9:9">
      <c r="I11442" s="2"/>
    </row>
    <row r="11443" spans="9:9">
      <c r="I11443" s="2"/>
    </row>
    <row r="11444" spans="9:9">
      <c r="I11444" s="2"/>
    </row>
    <row r="11445" spans="9:9">
      <c r="I11445" s="2"/>
    </row>
    <row r="11446" spans="9:9">
      <c r="I11446" s="2"/>
    </row>
    <row r="11447" spans="9:9">
      <c r="I11447" s="2"/>
    </row>
    <row r="11448" spans="9:9">
      <c r="I11448" s="2"/>
    </row>
    <row r="11449" spans="9:9">
      <c r="I11449" s="2"/>
    </row>
    <row r="11450" spans="9:9">
      <c r="I11450" s="2"/>
    </row>
    <row r="11451" spans="9:9">
      <c r="I11451" s="2"/>
    </row>
    <row r="11452" spans="9:9">
      <c r="I11452" s="2"/>
    </row>
    <row r="11453" spans="9:9">
      <c r="I11453" s="2"/>
    </row>
    <row r="11454" spans="9:9">
      <c r="I11454" s="2"/>
    </row>
    <row r="11455" spans="9:9">
      <c r="I11455" s="2"/>
    </row>
    <row r="11456" spans="9:9">
      <c r="I11456" s="2"/>
    </row>
    <row r="11457" spans="9:9">
      <c r="I11457" s="2"/>
    </row>
    <row r="11458" spans="9:9">
      <c r="I11458" s="2"/>
    </row>
    <row r="11459" spans="9:9">
      <c r="I11459" s="2"/>
    </row>
    <row r="11460" spans="9:9">
      <c r="I11460" s="2"/>
    </row>
    <row r="11461" spans="9:9">
      <c r="I11461" s="2"/>
    </row>
    <row r="11462" spans="9:9">
      <c r="I11462" s="2"/>
    </row>
    <row r="11463" spans="9:9">
      <c r="I11463" s="2"/>
    </row>
    <row r="11464" spans="9:9">
      <c r="I11464" s="2"/>
    </row>
    <row r="11465" spans="9:9">
      <c r="I11465" s="2"/>
    </row>
    <row r="11466" spans="9:9">
      <c r="I11466" s="2"/>
    </row>
    <row r="11467" spans="9:9">
      <c r="I11467" s="2"/>
    </row>
    <row r="11468" spans="9:9">
      <c r="I11468" s="2"/>
    </row>
    <row r="11469" spans="9:9">
      <c r="I11469" s="2"/>
    </row>
    <row r="11470" spans="9:9">
      <c r="I11470" s="2"/>
    </row>
    <row r="11471" spans="9:9">
      <c r="I11471" s="2"/>
    </row>
    <row r="11472" spans="9:9">
      <c r="I11472" s="2"/>
    </row>
    <row r="11473" spans="9:9">
      <c r="I11473" s="2"/>
    </row>
    <row r="11474" spans="9:9">
      <c r="I11474" s="2"/>
    </row>
    <row r="11475" spans="9:9">
      <c r="I11475" s="2"/>
    </row>
    <row r="11476" spans="9:9">
      <c r="I11476" s="2"/>
    </row>
    <row r="11477" spans="9:9">
      <c r="I11477" s="2"/>
    </row>
    <row r="11478" spans="9:9">
      <c r="I11478" s="2"/>
    </row>
    <row r="11479" spans="9:9">
      <c r="I11479" s="2"/>
    </row>
    <row r="11480" spans="9:9">
      <c r="I11480" s="2"/>
    </row>
    <row r="11481" spans="9:9">
      <c r="I11481" s="2"/>
    </row>
    <row r="11482" spans="9:9">
      <c r="I11482" s="2"/>
    </row>
    <row r="11483" spans="9:9">
      <c r="I11483" s="2"/>
    </row>
    <row r="11484" spans="9:9">
      <c r="I11484" s="2"/>
    </row>
    <row r="11485" spans="9:9">
      <c r="I11485" s="2"/>
    </row>
    <row r="11486" spans="9:9">
      <c r="I11486" s="2"/>
    </row>
    <row r="11487" spans="9:9">
      <c r="I11487" s="2"/>
    </row>
    <row r="11488" spans="9:9">
      <c r="I11488" s="2"/>
    </row>
    <row r="11489" spans="9:9">
      <c r="I11489" s="2"/>
    </row>
    <row r="11490" spans="9:9">
      <c r="I11490" s="2"/>
    </row>
    <row r="11491" spans="9:9">
      <c r="I11491" s="2"/>
    </row>
    <row r="11492" spans="9:9">
      <c r="I11492" s="2"/>
    </row>
    <row r="11493" spans="9:9">
      <c r="I11493" s="2"/>
    </row>
    <row r="11494" spans="9:9">
      <c r="I11494" s="2"/>
    </row>
    <row r="11495" spans="9:9">
      <c r="I11495" s="2"/>
    </row>
    <row r="11496" spans="9:9">
      <c r="I11496" s="2"/>
    </row>
    <row r="11497" spans="9:9">
      <c r="I11497" s="2"/>
    </row>
    <row r="11498" spans="9:9">
      <c r="I11498" s="2"/>
    </row>
    <row r="11499" spans="9:9">
      <c r="I11499" s="2"/>
    </row>
    <row r="11500" spans="9:9">
      <c r="I11500" s="2"/>
    </row>
    <row r="11501" spans="9:9">
      <c r="I11501" s="2"/>
    </row>
    <row r="11502" spans="9:9">
      <c r="I11502" s="2"/>
    </row>
    <row r="11503" spans="9:9">
      <c r="I11503" s="2"/>
    </row>
    <row r="11504" spans="9:9">
      <c r="I11504" s="2"/>
    </row>
    <row r="11505" spans="9:9">
      <c r="I11505" s="2"/>
    </row>
    <row r="11506" spans="9:9">
      <c r="I11506" s="2"/>
    </row>
    <row r="11507" spans="9:9">
      <c r="I11507" s="2"/>
    </row>
    <row r="11508" spans="9:9">
      <c r="I11508" s="2"/>
    </row>
    <row r="11509" spans="9:9">
      <c r="I11509" s="2"/>
    </row>
    <row r="11510" spans="9:9">
      <c r="I11510" s="2"/>
    </row>
    <row r="11511" spans="9:9">
      <c r="I11511" s="2"/>
    </row>
    <row r="11512" spans="9:9">
      <c r="I11512" s="2"/>
    </row>
    <row r="11513" spans="9:9">
      <c r="I11513" s="2"/>
    </row>
    <row r="11514" spans="9:9">
      <c r="I11514" s="2"/>
    </row>
    <row r="11515" spans="9:9">
      <c r="I11515" s="2"/>
    </row>
    <row r="11516" spans="9:9">
      <c r="I11516" s="2"/>
    </row>
    <row r="11517" spans="9:9">
      <c r="I11517" s="2"/>
    </row>
    <row r="11518" spans="9:9">
      <c r="I11518" s="2"/>
    </row>
    <row r="11519" spans="9:9">
      <c r="I11519" s="2"/>
    </row>
    <row r="11520" spans="9:9">
      <c r="I11520" s="2"/>
    </row>
    <row r="11521" spans="9:9">
      <c r="I11521" s="2"/>
    </row>
    <row r="11522" spans="9:9">
      <c r="I11522" s="2"/>
    </row>
    <row r="11523" spans="9:9">
      <c r="I11523" s="2"/>
    </row>
    <row r="11524" spans="9:9">
      <c r="I11524" s="2"/>
    </row>
    <row r="11525" spans="9:9">
      <c r="I11525" s="2"/>
    </row>
    <row r="11526" spans="9:9">
      <c r="I11526" s="2"/>
    </row>
    <row r="11527" spans="9:9">
      <c r="I11527" s="2"/>
    </row>
    <row r="11528" spans="9:9">
      <c r="I11528" s="2"/>
    </row>
    <row r="11529" spans="9:9">
      <c r="I11529" s="2"/>
    </row>
    <row r="11530" spans="9:9">
      <c r="I11530" s="2"/>
    </row>
    <row r="11531" spans="9:9">
      <c r="I11531" s="2"/>
    </row>
    <row r="11532" spans="9:9">
      <c r="I11532" s="2"/>
    </row>
    <row r="11533" spans="9:9">
      <c r="I11533" s="2"/>
    </row>
    <row r="11534" spans="9:9">
      <c r="I11534" s="2"/>
    </row>
    <row r="11535" spans="9:9">
      <c r="I11535" s="2"/>
    </row>
    <row r="11536" spans="9:9">
      <c r="I11536" s="2"/>
    </row>
    <row r="11537" spans="9:9">
      <c r="I11537" s="2"/>
    </row>
    <row r="11538" spans="9:9">
      <c r="I11538" s="2"/>
    </row>
    <row r="11539" spans="9:9">
      <c r="I11539" s="2"/>
    </row>
    <row r="11540" spans="9:9">
      <c r="I11540" s="2"/>
    </row>
    <row r="11541" spans="9:9">
      <c r="I11541" s="2"/>
    </row>
    <row r="11542" spans="9:9">
      <c r="I11542" s="2"/>
    </row>
    <row r="11543" spans="9:9">
      <c r="I11543" s="2"/>
    </row>
    <row r="11544" spans="9:9">
      <c r="I11544" s="2"/>
    </row>
    <row r="11545" spans="9:9">
      <c r="I11545" s="2"/>
    </row>
    <row r="11546" spans="9:9">
      <c r="I11546" s="2"/>
    </row>
    <row r="11547" spans="9:9">
      <c r="I11547" s="2"/>
    </row>
    <row r="11548" spans="9:9">
      <c r="I11548" s="2"/>
    </row>
    <row r="11549" spans="9:9">
      <c r="I11549" s="2"/>
    </row>
    <row r="11550" spans="9:9">
      <c r="I11550" s="2"/>
    </row>
    <row r="11551" spans="9:9">
      <c r="I11551" s="2"/>
    </row>
    <row r="11552" spans="9:9">
      <c r="I11552" s="2"/>
    </row>
    <row r="11553" spans="9:9">
      <c r="I11553" s="2"/>
    </row>
    <row r="11554" spans="9:9">
      <c r="I11554" s="2"/>
    </row>
    <row r="11555" spans="9:9">
      <c r="I11555" s="2"/>
    </row>
    <row r="11556" spans="9:9">
      <c r="I11556" s="2"/>
    </row>
    <row r="11557" spans="9:9">
      <c r="I11557" s="2"/>
    </row>
    <row r="11558" spans="9:9">
      <c r="I11558" s="2"/>
    </row>
    <row r="11559" spans="9:9">
      <c r="I11559" s="2"/>
    </row>
    <row r="11560" spans="9:9">
      <c r="I11560" s="2"/>
    </row>
    <row r="11561" spans="9:9">
      <c r="I11561" s="2"/>
    </row>
    <row r="11562" spans="9:9">
      <c r="I11562" s="2"/>
    </row>
    <row r="11563" spans="9:9">
      <c r="I11563" s="2"/>
    </row>
    <row r="11564" spans="9:9">
      <c r="I11564" s="2"/>
    </row>
    <row r="11565" spans="9:9">
      <c r="I11565" s="2"/>
    </row>
    <row r="11566" spans="9:9">
      <c r="I11566" s="2"/>
    </row>
    <row r="11567" spans="9:9">
      <c r="I11567" s="2"/>
    </row>
    <row r="11568" spans="9:9">
      <c r="I11568" s="2"/>
    </row>
    <row r="11569" spans="9:9">
      <c r="I11569" s="2"/>
    </row>
    <row r="11570" spans="9:9">
      <c r="I11570" s="2"/>
    </row>
    <row r="11571" spans="9:9">
      <c r="I11571" s="2"/>
    </row>
    <row r="11572" spans="9:9">
      <c r="I11572" s="2"/>
    </row>
    <row r="11573" spans="9:9">
      <c r="I11573" s="2"/>
    </row>
    <row r="11574" spans="9:9">
      <c r="I11574" s="2"/>
    </row>
    <row r="11575" spans="9:9">
      <c r="I11575" s="2"/>
    </row>
    <row r="11576" spans="9:9">
      <c r="I11576" s="2"/>
    </row>
    <row r="11577" spans="9:9">
      <c r="I11577" s="2"/>
    </row>
    <row r="11578" spans="9:9">
      <c r="I11578" s="2"/>
    </row>
    <row r="11579" spans="9:9">
      <c r="I11579" s="2"/>
    </row>
    <row r="11580" spans="9:9">
      <c r="I11580" s="2"/>
    </row>
    <row r="11581" spans="9:9">
      <c r="I11581" s="2"/>
    </row>
    <row r="11582" spans="9:9">
      <c r="I11582" s="2"/>
    </row>
    <row r="11583" spans="9:9">
      <c r="I11583" s="2"/>
    </row>
    <row r="11584" spans="9:9">
      <c r="I11584" s="2"/>
    </row>
    <row r="11585" spans="9:9">
      <c r="I11585" s="2"/>
    </row>
    <row r="11586" spans="9:9">
      <c r="I11586" s="2"/>
    </row>
    <row r="11587" spans="9:9">
      <c r="I11587" s="2"/>
    </row>
    <row r="11588" spans="9:9">
      <c r="I11588" s="2"/>
    </row>
    <row r="11589" spans="9:9">
      <c r="I11589" s="2"/>
    </row>
    <row r="11590" spans="9:9">
      <c r="I11590" s="2"/>
    </row>
    <row r="11591" spans="9:9">
      <c r="I11591" s="2"/>
    </row>
    <row r="11592" spans="9:9">
      <c r="I11592" s="2"/>
    </row>
    <row r="11593" spans="9:9">
      <c r="I11593" s="2"/>
    </row>
    <row r="11594" spans="9:9">
      <c r="I11594" s="2"/>
    </row>
    <row r="11595" spans="9:9">
      <c r="I11595" s="2"/>
    </row>
    <row r="11596" spans="9:9">
      <c r="I11596" s="2"/>
    </row>
    <row r="11597" spans="9:9">
      <c r="I11597" s="2"/>
    </row>
    <row r="11598" spans="9:9">
      <c r="I11598" s="2"/>
    </row>
    <row r="11599" spans="9:9">
      <c r="I11599" s="2"/>
    </row>
    <row r="11600" spans="9:9">
      <c r="I11600" s="2"/>
    </row>
    <row r="11601" spans="9:9">
      <c r="I11601" s="2"/>
    </row>
    <row r="11602" spans="9:9">
      <c r="I11602" s="2"/>
    </row>
    <row r="11603" spans="9:9">
      <c r="I11603" s="2"/>
    </row>
    <row r="11604" spans="9:9">
      <c r="I11604" s="2"/>
    </row>
    <row r="11605" spans="9:9">
      <c r="I11605" s="2"/>
    </row>
    <row r="11606" spans="9:9">
      <c r="I11606" s="2"/>
    </row>
    <row r="11607" spans="9:9">
      <c r="I11607" s="2"/>
    </row>
    <row r="11608" spans="9:9">
      <c r="I11608" s="2"/>
    </row>
    <row r="11609" spans="9:9">
      <c r="I11609" s="2"/>
    </row>
    <row r="11610" spans="9:9">
      <c r="I11610" s="2"/>
    </row>
    <row r="11611" spans="9:9">
      <c r="I11611" s="2"/>
    </row>
    <row r="11612" spans="9:9">
      <c r="I11612" s="2"/>
    </row>
    <row r="11613" spans="9:9">
      <c r="I11613" s="2"/>
    </row>
    <row r="11614" spans="9:9">
      <c r="I11614" s="2"/>
    </row>
    <row r="11615" spans="9:9">
      <c r="I11615" s="2"/>
    </row>
    <row r="11616" spans="9:9">
      <c r="I11616" s="2"/>
    </row>
    <row r="11617" spans="9:9">
      <c r="I11617" s="2"/>
    </row>
    <row r="11618" spans="9:9">
      <c r="I11618" s="2"/>
    </row>
    <row r="11619" spans="9:9">
      <c r="I11619" s="2"/>
    </row>
    <row r="11620" spans="9:9">
      <c r="I11620" s="2"/>
    </row>
    <row r="11621" spans="9:9">
      <c r="I11621" s="2"/>
    </row>
    <row r="11622" spans="9:9">
      <c r="I11622" s="2"/>
    </row>
    <row r="11623" spans="9:9">
      <c r="I11623" s="2"/>
    </row>
    <row r="11624" spans="9:9">
      <c r="I11624" s="2"/>
    </row>
    <row r="11625" spans="9:9">
      <c r="I11625" s="2"/>
    </row>
    <row r="11626" spans="9:9">
      <c r="I11626" s="2"/>
    </row>
    <row r="11627" spans="9:9">
      <c r="I11627" s="2"/>
    </row>
    <row r="11628" spans="9:9">
      <c r="I11628" s="2"/>
    </row>
    <row r="11629" spans="9:9">
      <c r="I11629" s="2"/>
    </row>
    <row r="11630" spans="9:9">
      <c r="I11630" s="2"/>
    </row>
    <row r="11631" spans="9:9">
      <c r="I11631" s="2"/>
    </row>
    <row r="11632" spans="9:9">
      <c r="I11632" s="2"/>
    </row>
    <row r="11633" spans="9:9">
      <c r="I11633" s="2"/>
    </row>
    <row r="11634" spans="9:9">
      <c r="I11634" s="2"/>
    </row>
    <row r="11635" spans="9:9">
      <c r="I11635" s="2"/>
    </row>
    <row r="11636" spans="9:9">
      <c r="I11636" s="2"/>
    </row>
    <row r="11637" spans="9:9">
      <c r="I11637" s="2"/>
    </row>
    <row r="11638" spans="9:9">
      <c r="I11638" s="2"/>
    </row>
    <row r="11639" spans="9:9">
      <c r="I11639" s="2"/>
    </row>
    <row r="11640" spans="9:9">
      <c r="I11640" s="2"/>
    </row>
    <row r="11641" spans="9:9">
      <c r="I11641" s="2"/>
    </row>
    <row r="11642" spans="9:9">
      <c r="I11642" s="2"/>
    </row>
    <row r="11643" spans="9:9">
      <c r="I11643" s="2"/>
    </row>
    <row r="11644" spans="9:9">
      <c r="I11644" s="2"/>
    </row>
    <row r="11645" spans="9:9">
      <c r="I11645" s="2"/>
    </row>
    <row r="11646" spans="9:9">
      <c r="I11646" s="2"/>
    </row>
    <row r="11647" spans="9:9">
      <c r="I11647" s="2"/>
    </row>
    <row r="11648" spans="9:9">
      <c r="I11648" s="2"/>
    </row>
    <row r="11649" spans="9:9">
      <c r="I11649" s="2"/>
    </row>
    <row r="11650" spans="9:9">
      <c r="I11650" s="2"/>
    </row>
    <row r="11651" spans="9:9">
      <c r="I11651" s="2"/>
    </row>
    <row r="11652" spans="9:9">
      <c r="I11652" s="2"/>
    </row>
    <row r="11653" spans="9:9">
      <c r="I11653" s="2"/>
    </row>
    <row r="11654" spans="9:9">
      <c r="I11654" s="2"/>
    </row>
    <row r="11655" spans="9:9">
      <c r="I11655" s="2"/>
    </row>
    <row r="11656" spans="9:9">
      <c r="I11656" s="2"/>
    </row>
    <row r="11657" spans="9:9">
      <c r="I11657" s="2"/>
    </row>
    <row r="11658" spans="9:9">
      <c r="I11658" s="2"/>
    </row>
    <row r="11659" spans="9:9">
      <c r="I11659" s="2"/>
    </row>
    <row r="11660" spans="9:9">
      <c r="I11660" s="2"/>
    </row>
    <row r="11661" spans="9:9">
      <c r="I11661" s="2"/>
    </row>
    <row r="11662" spans="9:9">
      <c r="I11662" s="2"/>
    </row>
    <row r="11663" spans="9:9">
      <c r="I11663" s="2"/>
    </row>
    <row r="11664" spans="9:9">
      <c r="I11664" s="2"/>
    </row>
    <row r="11665" spans="9:9">
      <c r="I11665" s="2"/>
    </row>
    <row r="11666" spans="9:9">
      <c r="I11666" s="2"/>
    </row>
    <row r="11667" spans="9:9">
      <c r="I11667" s="2"/>
    </row>
    <row r="11668" spans="9:9">
      <c r="I11668" s="2"/>
    </row>
    <row r="11669" spans="9:9">
      <c r="I11669" s="2"/>
    </row>
    <row r="11670" spans="9:9">
      <c r="I11670" s="2"/>
    </row>
    <row r="11671" spans="9:9">
      <c r="I11671" s="2"/>
    </row>
    <row r="11672" spans="9:9">
      <c r="I11672" s="2"/>
    </row>
    <row r="11673" spans="9:9">
      <c r="I11673" s="2"/>
    </row>
    <row r="11674" spans="9:9">
      <c r="I11674" s="2"/>
    </row>
    <row r="11675" spans="9:9">
      <c r="I11675" s="2"/>
    </row>
    <row r="11676" spans="9:9">
      <c r="I11676" s="2"/>
    </row>
    <row r="11677" spans="9:9">
      <c r="I11677" s="2"/>
    </row>
    <row r="11678" spans="9:9">
      <c r="I11678" s="2"/>
    </row>
    <row r="11679" spans="9:9">
      <c r="I11679" s="2"/>
    </row>
    <row r="11680" spans="9:9">
      <c r="I11680" s="2"/>
    </row>
    <row r="11681" spans="9:9">
      <c r="I11681" s="2"/>
    </row>
    <row r="11682" spans="9:9">
      <c r="I11682" s="2"/>
    </row>
    <row r="11683" spans="9:9">
      <c r="I11683" s="2"/>
    </row>
    <row r="11684" spans="9:9">
      <c r="I11684" s="2"/>
    </row>
    <row r="11685" spans="9:9">
      <c r="I11685" s="2"/>
    </row>
    <row r="11686" spans="9:9">
      <c r="I11686" s="2"/>
    </row>
    <row r="11687" spans="9:9">
      <c r="I11687" s="2"/>
    </row>
    <row r="11688" spans="9:9">
      <c r="I11688" s="2"/>
    </row>
    <row r="11689" spans="9:9">
      <c r="I11689" s="2"/>
    </row>
    <row r="11690" spans="9:9">
      <c r="I11690" s="2"/>
    </row>
    <row r="11691" spans="9:9">
      <c r="I11691" s="2"/>
    </row>
    <row r="11692" spans="9:9">
      <c r="I11692" s="2"/>
    </row>
    <row r="11693" spans="9:9">
      <c r="I11693" s="2"/>
    </row>
    <row r="11694" spans="9:9">
      <c r="I11694" s="2"/>
    </row>
    <row r="11695" spans="9:9">
      <c r="I11695" s="2"/>
    </row>
    <row r="11696" spans="9:9">
      <c r="I11696" s="2"/>
    </row>
    <row r="11697" spans="9:9">
      <c r="I11697" s="2"/>
    </row>
    <row r="11698" spans="9:9">
      <c r="I11698" s="2"/>
    </row>
    <row r="11699" spans="9:9">
      <c r="I11699" s="2"/>
    </row>
    <row r="11700" spans="9:9">
      <c r="I11700" s="2"/>
    </row>
    <row r="11701" spans="9:9">
      <c r="I11701" s="2"/>
    </row>
    <row r="11702" spans="9:9">
      <c r="I11702" s="2"/>
    </row>
    <row r="11703" spans="9:9">
      <c r="I11703" s="2"/>
    </row>
    <row r="11704" spans="9:9">
      <c r="I11704" s="2"/>
    </row>
    <row r="11705" spans="9:9">
      <c r="I11705" s="2"/>
    </row>
    <row r="11706" spans="9:9">
      <c r="I11706" s="2"/>
    </row>
    <row r="11707" spans="9:9">
      <c r="I11707" s="2"/>
    </row>
    <row r="11708" spans="9:9">
      <c r="I11708" s="2"/>
    </row>
    <row r="11709" spans="9:9">
      <c r="I11709" s="2"/>
    </row>
    <row r="11710" spans="9:9">
      <c r="I11710" s="2"/>
    </row>
    <row r="11711" spans="9:9">
      <c r="I11711" s="2"/>
    </row>
    <row r="11712" spans="9:9">
      <c r="I11712" s="2"/>
    </row>
    <row r="11713" spans="9:9">
      <c r="I11713" s="2"/>
    </row>
    <row r="11714" spans="9:9">
      <c r="I11714" s="2"/>
    </row>
    <row r="11715" spans="9:9">
      <c r="I11715" s="2"/>
    </row>
    <row r="11716" spans="9:9">
      <c r="I11716" s="2"/>
    </row>
    <row r="11717" spans="9:9">
      <c r="I11717" s="2"/>
    </row>
    <row r="11718" spans="9:9">
      <c r="I11718" s="2"/>
    </row>
    <row r="11719" spans="9:9">
      <c r="I11719" s="2"/>
    </row>
    <row r="11720" spans="9:9">
      <c r="I11720" s="2"/>
    </row>
    <row r="11721" spans="9:9">
      <c r="I11721" s="2"/>
    </row>
    <row r="11722" spans="9:9">
      <c r="I11722" s="2"/>
    </row>
    <row r="11723" spans="9:9">
      <c r="I11723" s="2"/>
    </row>
    <row r="11724" spans="9:9">
      <c r="I11724" s="2"/>
    </row>
    <row r="11725" spans="9:9">
      <c r="I11725" s="2"/>
    </row>
    <row r="11726" spans="9:9">
      <c r="I11726" s="2"/>
    </row>
    <row r="11727" spans="9:9">
      <c r="I11727" s="2"/>
    </row>
    <row r="11728" spans="9:9">
      <c r="I11728" s="2"/>
    </row>
    <row r="11729" spans="9:9">
      <c r="I11729" s="2"/>
    </row>
    <row r="11730" spans="9:9">
      <c r="I11730" s="2"/>
    </row>
    <row r="11731" spans="9:9">
      <c r="I11731" s="2"/>
    </row>
    <row r="11732" spans="9:9">
      <c r="I11732" s="2"/>
    </row>
    <row r="11733" spans="9:9">
      <c r="I11733" s="2"/>
    </row>
    <row r="11734" spans="9:9">
      <c r="I11734" s="2"/>
    </row>
    <row r="11735" spans="9:9">
      <c r="I11735" s="2"/>
    </row>
    <row r="11736" spans="9:9">
      <c r="I11736" s="2"/>
    </row>
    <row r="11737" spans="9:9">
      <c r="I11737" s="2"/>
    </row>
    <row r="11738" spans="9:9">
      <c r="I11738" s="2"/>
    </row>
    <row r="11739" spans="9:9">
      <c r="I11739" s="2"/>
    </row>
    <row r="11740" spans="9:9">
      <c r="I11740" s="2"/>
    </row>
    <row r="11741" spans="9:9">
      <c r="I11741" s="2"/>
    </row>
    <row r="11742" spans="9:9">
      <c r="I11742" s="2"/>
    </row>
    <row r="11743" spans="9:9">
      <c r="I11743" s="2"/>
    </row>
    <row r="11744" spans="9:9">
      <c r="I11744" s="2"/>
    </row>
    <row r="11745" spans="9:9">
      <c r="I11745" s="2"/>
    </row>
    <row r="11746" spans="9:9">
      <c r="I11746" s="2"/>
    </row>
    <row r="11747" spans="9:9">
      <c r="I11747" s="2"/>
    </row>
    <row r="11748" spans="9:9">
      <c r="I11748" s="2"/>
    </row>
    <row r="11749" spans="9:9">
      <c r="I11749" s="2"/>
    </row>
    <row r="11750" spans="9:9">
      <c r="I11750" s="2"/>
    </row>
    <row r="11751" spans="9:9">
      <c r="I11751" s="2"/>
    </row>
    <row r="11752" spans="9:9">
      <c r="I11752" s="2"/>
    </row>
    <row r="11753" spans="9:9">
      <c r="I11753" s="2"/>
    </row>
    <row r="11754" spans="9:9">
      <c r="I11754" s="2"/>
    </row>
    <row r="11755" spans="9:9">
      <c r="I11755" s="2"/>
    </row>
    <row r="11756" spans="9:9">
      <c r="I11756" s="2"/>
    </row>
    <row r="11757" spans="9:9">
      <c r="I11757" s="2"/>
    </row>
    <row r="11758" spans="9:9">
      <c r="I11758" s="2"/>
    </row>
    <row r="11759" spans="9:9">
      <c r="I11759" s="2"/>
    </row>
    <row r="11760" spans="9:9">
      <c r="I11760" s="2"/>
    </row>
    <row r="11761" spans="9:9">
      <c r="I11761" s="2"/>
    </row>
    <row r="11762" spans="9:9">
      <c r="I11762" s="2"/>
    </row>
    <row r="11763" spans="9:9">
      <c r="I11763" s="2"/>
    </row>
    <row r="11764" spans="9:9">
      <c r="I11764" s="2"/>
    </row>
    <row r="11765" spans="9:9">
      <c r="I11765" s="2"/>
    </row>
    <row r="11766" spans="9:9">
      <c r="I11766" s="2"/>
    </row>
    <row r="11767" spans="9:9">
      <c r="I11767" s="2"/>
    </row>
    <row r="11768" spans="9:9">
      <c r="I11768" s="2"/>
    </row>
    <row r="11769" spans="9:9">
      <c r="I11769" s="2"/>
    </row>
    <row r="11770" spans="9:9">
      <c r="I11770" s="2"/>
    </row>
    <row r="11771" spans="9:9">
      <c r="I11771" s="2"/>
    </row>
    <row r="11772" spans="9:9">
      <c r="I11772" s="2"/>
    </row>
    <row r="11773" spans="9:9">
      <c r="I11773" s="2"/>
    </row>
    <row r="11774" spans="9:9">
      <c r="I11774" s="2"/>
    </row>
    <row r="11775" spans="9:9">
      <c r="I11775" s="2"/>
    </row>
    <row r="11776" spans="9:9">
      <c r="I11776" s="2"/>
    </row>
    <row r="11777" spans="9:9">
      <c r="I11777" s="2"/>
    </row>
    <row r="11778" spans="9:9">
      <c r="I11778" s="2"/>
    </row>
    <row r="11779" spans="9:9">
      <c r="I11779" s="2"/>
    </row>
    <row r="11780" spans="9:9">
      <c r="I11780" s="2"/>
    </row>
    <row r="11781" spans="9:9">
      <c r="I11781" s="2"/>
    </row>
    <row r="11782" spans="9:9">
      <c r="I11782" s="2"/>
    </row>
    <row r="11783" spans="9:9">
      <c r="I11783" s="2"/>
    </row>
    <row r="11784" spans="9:9">
      <c r="I11784" s="2"/>
    </row>
    <row r="11785" spans="9:9">
      <c r="I11785" s="2"/>
    </row>
    <row r="11786" spans="9:9">
      <c r="I11786" s="2"/>
    </row>
    <row r="11787" spans="9:9">
      <c r="I11787" s="2"/>
    </row>
    <row r="11788" spans="9:9">
      <c r="I11788" s="2"/>
    </row>
    <row r="11789" spans="9:9">
      <c r="I11789" s="2"/>
    </row>
    <row r="11790" spans="9:9">
      <c r="I11790" s="2"/>
    </row>
    <row r="11791" spans="9:9">
      <c r="I11791" s="2"/>
    </row>
    <row r="11792" spans="9:9">
      <c r="I11792" s="2"/>
    </row>
    <row r="11793" spans="9:9">
      <c r="I11793" s="2"/>
    </row>
    <row r="11794" spans="9:9">
      <c r="I11794" s="2"/>
    </row>
    <row r="11795" spans="9:9">
      <c r="I11795" s="2"/>
    </row>
    <row r="11796" spans="9:9">
      <c r="I11796" s="2"/>
    </row>
    <row r="11797" spans="9:9">
      <c r="I11797" s="2"/>
    </row>
    <row r="11798" spans="9:9">
      <c r="I11798" s="2"/>
    </row>
    <row r="11799" spans="9:9">
      <c r="I11799" s="2"/>
    </row>
    <row r="11800" spans="9:9">
      <c r="I11800" s="2"/>
    </row>
    <row r="11801" spans="9:9">
      <c r="I11801" s="2"/>
    </row>
    <row r="11802" spans="9:9">
      <c r="I11802" s="2"/>
    </row>
    <row r="11803" spans="9:9">
      <c r="I11803" s="2"/>
    </row>
    <row r="11804" spans="9:9">
      <c r="I11804" s="2"/>
    </row>
    <row r="11805" spans="9:9">
      <c r="I11805" s="2"/>
    </row>
    <row r="11806" spans="9:9">
      <c r="I11806" s="2"/>
    </row>
    <row r="11807" spans="9:9">
      <c r="I11807" s="2"/>
    </row>
    <row r="11808" spans="9:9">
      <c r="I11808" s="2"/>
    </row>
    <row r="11809" spans="9:9">
      <c r="I11809" s="2"/>
    </row>
    <row r="11810" spans="9:9">
      <c r="I11810" s="2"/>
    </row>
    <row r="11811" spans="9:9">
      <c r="I11811" s="2"/>
    </row>
    <row r="11812" spans="9:9">
      <c r="I11812" s="2"/>
    </row>
    <row r="11813" spans="9:9">
      <c r="I11813" s="2"/>
    </row>
    <row r="11814" spans="9:9">
      <c r="I11814" s="2"/>
    </row>
    <row r="11815" spans="9:9">
      <c r="I11815" s="2"/>
    </row>
    <row r="11816" spans="9:9">
      <c r="I11816" s="2"/>
    </row>
    <row r="11817" spans="9:9">
      <c r="I11817" s="2"/>
    </row>
    <row r="11818" spans="9:9">
      <c r="I11818" s="2"/>
    </row>
    <row r="11819" spans="9:9">
      <c r="I11819" s="2"/>
    </row>
    <row r="11820" spans="9:9">
      <c r="I11820" s="2"/>
    </row>
    <row r="11821" spans="9:9">
      <c r="I11821" s="2"/>
    </row>
    <row r="11822" spans="9:9">
      <c r="I11822" s="2"/>
    </row>
    <row r="11823" spans="9:9">
      <c r="I11823" s="2"/>
    </row>
    <row r="11824" spans="9:9">
      <c r="I11824" s="2"/>
    </row>
    <row r="11825" spans="9:9">
      <c r="I11825" s="2"/>
    </row>
    <row r="11826" spans="9:9">
      <c r="I11826" s="2"/>
    </row>
    <row r="11827" spans="9:9">
      <c r="I11827" s="2"/>
    </row>
    <row r="11828" spans="9:9">
      <c r="I11828" s="2"/>
    </row>
    <row r="11829" spans="9:9">
      <c r="I11829" s="2"/>
    </row>
    <row r="11830" spans="9:9">
      <c r="I11830" s="2"/>
    </row>
    <row r="11831" spans="9:9">
      <c r="I11831" s="2"/>
    </row>
    <row r="11832" spans="9:9">
      <c r="I11832" s="2"/>
    </row>
    <row r="11833" spans="9:9">
      <c r="I11833" s="2"/>
    </row>
    <row r="11834" spans="9:9">
      <c r="I11834" s="2"/>
    </row>
    <row r="11835" spans="9:9">
      <c r="I11835" s="2"/>
    </row>
    <row r="11836" spans="9:9">
      <c r="I11836" s="2"/>
    </row>
    <row r="11837" spans="9:9">
      <c r="I11837" s="2"/>
    </row>
    <row r="11838" spans="9:9">
      <c r="I11838" s="2"/>
    </row>
    <row r="11839" spans="9:9">
      <c r="I11839" s="2"/>
    </row>
    <row r="11840" spans="9:9">
      <c r="I11840" s="2"/>
    </row>
    <row r="11841" spans="9:9">
      <c r="I11841" s="2"/>
    </row>
    <row r="11842" spans="9:9">
      <c r="I11842" s="2"/>
    </row>
    <row r="11843" spans="9:9">
      <c r="I11843" s="2"/>
    </row>
    <row r="11844" spans="9:9">
      <c r="I11844" s="2"/>
    </row>
    <row r="11845" spans="9:9">
      <c r="I11845" s="2"/>
    </row>
    <row r="11846" spans="9:9">
      <c r="I11846" s="2"/>
    </row>
    <row r="11847" spans="9:9">
      <c r="I11847" s="2"/>
    </row>
    <row r="11848" spans="9:9">
      <c r="I11848" s="2"/>
    </row>
    <row r="11849" spans="9:9">
      <c r="I11849" s="2"/>
    </row>
    <row r="11850" spans="9:9">
      <c r="I11850" s="2"/>
    </row>
    <row r="11851" spans="9:9">
      <c r="I11851" s="2"/>
    </row>
    <row r="11852" spans="9:9">
      <c r="I11852" s="2"/>
    </row>
    <row r="11853" spans="9:9">
      <c r="I11853" s="2"/>
    </row>
    <row r="11854" spans="9:9">
      <c r="I11854" s="2"/>
    </row>
    <row r="11855" spans="9:9">
      <c r="I11855" s="2"/>
    </row>
    <row r="11856" spans="9:9">
      <c r="I11856" s="2"/>
    </row>
    <row r="11857" spans="9:9">
      <c r="I11857" s="2"/>
    </row>
    <row r="11858" spans="9:9">
      <c r="I11858" s="2"/>
    </row>
    <row r="11859" spans="9:9">
      <c r="I11859" s="2"/>
    </row>
    <row r="11860" spans="9:9">
      <c r="I11860" s="2"/>
    </row>
    <row r="11861" spans="9:9">
      <c r="I11861" s="2"/>
    </row>
    <row r="11862" spans="9:9">
      <c r="I11862" s="2"/>
    </row>
    <row r="11863" spans="9:9">
      <c r="I11863" s="2"/>
    </row>
    <row r="11864" spans="9:9">
      <c r="I11864" s="2"/>
    </row>
    <row r="11865" spans="9:9">
      <c r="I11865" s="2"/>
    </row>
    <row r="11866" spans="9:9">
      <c r="I11866" s="2"/>
    </row>
    <row r="11867" spans="9:9">
      <c r="I11867" s="2"/>
    </row>
    <row r="11868" spans="9:9">
      <c r="I11868" s="2"/>
    </row>
    <row r="11869" spans="9:9">
      <c r="I11869" s="2"/>
    </row>
    <row r="11870" spans="9:9">
      <c r="I11870" s="2"/>
    </row>
    <row r="11871" spans="9:9">
      <c r="I11871" s="2"/>
    </row>
    <row r="11872" spans="9:9">
      <c r="I11872" s="2"/>
    </row>
    <row r="11873" spans="9:9">
      <c r="I11873" s="2"/>
    </row>
    <row r="11874" spans="9:9">
      <c r="I11874" s="2"/>
    </row>
    <row r="11875" spans="9:9">
      <c r="I11875" s="2"/>
    </row>
    <row r="11876" spans="9:9">
      <c r="I11876" s="2"/>
    </row>
    <row r="11877" spans="9:9">
      <c r="I11877" s="2"/>
    </row>
    <row r="11878" spans="9:9">
      <c r="I11878" s="2"/>
    </row>
    <row r="11879" spans="9:9">
      <c r="I11879" s="2"/>
    </row>
    <row r="11880" spans="9:9">
      <c r="I11880" s="2"/>
    </row>
    <row r="11881" spans="9:9">
      <c r="I11881" s="2"/>
    </row>
    <row r="11882" spans="9:9">
      <c r="I11882" s="2"/>
    </row>
    <row r="11883" spans="9:9">
      <c r="I11883" s="2"/>
    </row>
    <row r="11884" spans="9:9">
      <c r="I11884" s="2"/>
    </row>
    <row r="11885" spans="9:9">
      <c r="I11885" s="2"/>
    </row>
    <row r="11886" spans="9:9">
      <c r="I11886" s="2"/>
    </row>
    <row r="11887" spans="9:9">
      <c r="I11887" s="2"/>
    </row>
    <row r="11888" spans="9:9">
      <c r="I11888" s="2"/>
    </row>
    <row r="11889" spans="9:9">
      <c r="I11889" s="2"/>
    </row>
    <row r="11890" spans="9:9">
      <c r="I11890" s="2"/>
    </row>
    <row r="11891" spans="9:9">
      <c r="I11891" s="2"/>
    </row>
    <row r="11892" spans="9:9">
      <c r="I11892" s="2"/>
    </row>
    <row r="11893" spans="9:9">
      <c r="I11893" s="2"/>
    </row>
    <row r="11894" spans="9:9">
      <c r="I11894" s="2"/>
    </row>
    <row r="11895" spans="9:9">
      <c r="I11895" s="2"/>
    </row>
    <row r="11896" spans="9:9">
      <c r="I11896" s="2"/>
    </row>
    <row r="11897" spans="9:9">
      <c r="I11897" s="2"/>
    </row>
    <row r="11898" spans="9:9">
      <c r="I11898" s="2"/>
    </row>
    <row r="11899" spans="9:9">
      <c r="I11899" s="2"/>
    </row>
    <row r="11900" spans="9:9">
      <c r="I11900" s="2"/>
    </row>
    <row r="11901" spans="9:9">
      <c r="I11901" s="2"/>
    </row>
    <row r="11902" spans="9:9">
      <c r="I11902" s="2"/>
    </row>
    <row r="11903" spans="9:9">
      <c r="I11903" s="2"/>
    </row>
    <row r="11904" spans="9:9">
      <c r="I11904" s="2"/>
    </row>
    <row r="11905" spans="9:9">
      <c r="I11905" s="2"/>
    </row>
    <row r="11906" spans="9:9">
      <c r="I11906" s="2"/>
    </row>
    <row r="11907" spans="9:9">
      <c r="I11907" s="2"/>
    </row>
    <row r="11908" spans="9:9">
      <c r="I11908" s="2"/>
    </row>
    <row r="11909" spans="9:9">
      <c r="I11909" s="2"/>
    </row>
    <row r="11910" spans="9:9">
      <c r="I11910" s="2"/>
    </row>
    <row r="11911" spans="9:9">
      <c r="I11911" s="2"/>
    </row>
    <row r="11912" spans="9:9">
      <c r="I11912" s="2"/>
    </row>
    <row r="11913" spans="9:9">
      <c r="I11913" s="2"/>
    </row>
    <row r="11914" spans="9:9">
      <c r="I11914" s="2"/>
    </row>
    <row r="11915" spans="9:9">
      <c r="I11915" s="2"/>
    </row>
    <row r="11916" spans="9:9">
      <c r="I11916" s="2"/>
    </row>
    <row r="11917" spans="9:9">
      <c r="I11917" s="2"/>
    </row>
    <row r="11918" spans="9:9">
      <c r="I11918" s="2"/>
    </row>
    <row r="11919" spans="9:9">
      <c r="I11919" s="2"/>
    </row>
    <row r="11920" spans="9:9">
      <c r="I11920" s="2"/>
    </row>
    <row r="11921" spans="9:9">
      <c r="I11921" s="2"/>
    </row>
    <row r="11922" spans="9:9">
      <c r="I11922" s="2"/>
    </row>
    <row r="11923" spans="9:9">
      <c r="I11923" s="2"/>
    </row>
    <row r="11924" spans="9:9">
      <c r="I11924" s="2"/>
    </row>
    <row r="11925" spans="9:9">
      <c r="I11925" s="2"/>
    </row>
    <row r="11926" spans="9:9">
      <c r="I11926" s="2"/>
    </row>
    <row r="11927" spans="9:9">
      <c r="I11927" s="2"/>
    </row>
    <row r="11928" spans="9:9">
      <c r="I11928" s="2"/>
    </row>
    <row r="11929" spans="9:9">
      <c r="I11929" s="2"/>
    </row>
    <row r="11930" spans="9:9">
      <c r="I11930" s="2"/>
    </row>
    <row r="11931" spans="9:9">
      <c r="I11931" s="2"/>
    </row>
    <row r="11932" spans="9:9">
      <c r="I11932" s="2"/>
    </row>
    <row r="11933" spans="9:9">
      <c r="I11933" s="2"/>
    </row>
    <row r="11934" spans="9:9">
      <c r="I11934" s="2"/>
    </row>
    <row r="11935" spans="9:9">
      <c r="I11935" s="2"/>
    </row>
    <row r="11936" spans="9:9">
      <c r="I11936" s="2"/>
    </row>
    <row r="11937" spans="9:9">
      <c r="I11937" s="2"/>
    </row>
    <row r="11938" spans="9:9">
      <c r="I11938" s="2"/>
    </row>
    <row r="11939" spans="9:9">
      <c r="I11939" s="2"/>
    </row>
    <row r="11940" spans="9:9">
      <c r="I11940" s="2"/>
    </row>
    <row r="11941" spans="9:9">
      <c r="I11941" s="2"/>
    </row>
    <row r="11942" spans="9:9">
      <c r="I11942" s="2"/>
    </row>
    <row r="11943" spans="9:9">
      <c r="I11943" s="2"/>
    </row>
    <row r="11944" spans="9:9">
      <c r="I11944" s="2"/>
    </row>
    <row r="11945" spans="9:9">
      <c r="I11945" s="2"/>
    </row>
    <row r="11946" spans="9:9">
      <c r="I11946" s="2"/>
    </row>
    <row r="11947" spans="9:9">
      <c r="I11947" s="2"/>
    </row>
    <row r="11948" spans="9:9">
      <c r="I11948" s="2"/>
    </row>
    <row r="11949" spans="9:9">
      <c r="I11949" s="2"/>
    </row>
    <row r="11950" spans="9:9">
      <c r="I11950" s="2"/>
    </row>
    <row r="11951" spans="9:9">
      <c r="I11951" s="2"/>
    </row>
    <row r="11952" spans="9:9">
      <c r="I11952" s="2"/>
    </row>
    <row r="11953" spans="9:9">
      <c r="I11953" s="2"/>
    </row>
    <row r="11954" spans="9:9">
      <c r="I11954" s="2"/>
    </row>
    <row r="11955" spans="9:9">
      <c r="I11955" s="2"/>
    </row>
    <row r="11956" spans="9:9">
      <c r="I11956" s="2"/>
    </row>
    <row r="11957" spans="9:9">
      <c r="I11957" s="2"/>
    </row>
    <row r="11958" spans="9:9">
      <c r="I11958" s="2"/>
    </row>
    <row r="11959" spans="9:9">
      <c r="I11959" s="2"/>
    </row>
    <row r="11960" spans="9:9">
      <c r="I11960" s="2"/>
    </row>
    <row r="11961" spans="9:9">
      <c r="I11961" s="2"/>
    </row>
    <row r="11962" spans="9:9">
      <c r="I11962" s="2"/>
    </row>
    <row r="11963" spans="9:9">
      <c r="I11963" s="2"/>
    </row>
    <row r="11964" spans="9:9">
      <c r="I11964" s="2"/>
    </row>
    <row r="11965" spans="9:9">
      <c r="I11965" s="2"/>
    </row>
    <row r="11966" spans="9:9">
      <c r="I11966" s="2"/>
    </row>
    <row r="11967" spans="9:9">
      <c r="I11967" s="2"/>
    </row>
    <row r="11968" spans="9:9">
      <c r="I11968" s="2"/>
    </row>
    <row r="11969" spans="9:9">
      <c r="I11969" s="2"/>
    </row>
    <row r="11970" spans="9:9">
      <c r="I11970" s="2"/>
    </row>
    <row r="11971" spans="9:9">
      <c r="I11971" s="2"/>
    </row>
    <row r="11972" spans="9:9">
      <c r="I11972" s="2"/>
    </row>
    <row r="11973" spans="9:9">
      <c r="I11973" s="2"/>
    </row>
    <row r="11974" spans="9:9">
      <c r="I11974" s="2"/>
    </row>
    <row r="11975" spans="9:9">
      <c r="I11975" s="2"/>
    </row>
    <row r="11976" spans="9:9">
      <c r="I11976" s="2"/>
    </row>
    <row r="11977" spans="9:9">
      <c r="I11977" s="2"/>
    </row>
    <row r="11978" spans="9:9">
      <c r="I11978" s="2"/>
    </row>
    <row r="11979" spans="9:9">
      <c r="I11979" s="2"/>
    </row>
    <row r="11980" spans="9:9">
      <c r="I11980" s="2"/>
    </row>
    <row r="11981" spans="9:9">
      <c r="I11981" s="2"/>
    </row>
    <row r="11982" spans="9:9">
      <c r="I11982" s="2"/>
    </row>
    <row r="11983" spans="9:9">
      <c r="I11983" s="2"/>
    </row>
    <row r="11984" spans="9:9">
      <c r="I11984" s="2"/>
    </row>
    <row r="11985" spans="9:9">
      <c r="I11985" s="2"/>
    </row>
    <row r="11986" spans="9:9">
      <c r="I11986" s="2"/>
    </row>
    <row r="11987" spans="9:9">
      <c r="I11987" s="2"/>
    </row>
    <row r="11988" spans="9:9">
      <c r="I11988" s="2"/>
    </row>
    <row r="11989" spans="9:9">
      <c r="I11989" s="2"/>
    </row>
    <row r="11990" spans="9:9">
      <c r="I11990" s="2"/>
    </row>
    <row r="11991" spans="9:9">
      <c r="I11991" s="2"/>
    </row>
    <row r="11992" spans="9:9">
      <c r="I11992" s="2"/>
    </row>
    <row r="11993" spans="9:9">
      <c r="I11993" s="2"/>
    </row>
    <row r="11994" spans="9:9">
      <c r="I11994" s="2"/>
    </row>
    <row r="11995" spans="9:9">
      <c r="I11995" s="2"/>
    </row>
    <row r="11996" spans="9:9">
      <c r="I11996" s="2"/>
    </row>
    <row r="11997" spans="9:9">
      <c r="I11997" s="2"/>
    </row>
    <row r="11998" spans="9:9">
      <c r="I11998" s="2"/>
    </row>
    <row r="11999" spans="9:9">
      <c r="I11999" s="2"/>
    </row>
    <row r="12000" spans="9:9">
      <c r="I12000" s="2"/>
    </row>
    <row r="12001" spans="9:9">
      <c r="I12001" s="2"/>
    </row>
    <row r="12002" spans="9:9">
      <c r="I12002" s="2"/>
    </row>
    <row r="12003" spans="9:9">
      <c r="I12003" s="2"/>
    </row>
    <row r="12004" spans="9:9">
      <c r="I12004" s="2"/>
    </row>
    <row r="12005" spans="9:9">
      <c r="I12005" s="2"/>
    </row>
    <row r="12006" spans="9:9">
      <c r="I12006" s="2"/>
    </row>
    <row r="12007" spans="9:9">
      <c r="I12007" s="2"/>
    </row>
    <row r="12008" spans="9:9">
      <c r="I12008" s="2"/>
    </row>
    <row r="12009" spans="9:9">
      <c r="I12009" s="2"/>
    </row>
    <row r="12010" spans="9:9">
      <c r="I12010" s="2"/>
    </row>
    <row r="12011" spans="9:9">
      <c r="I12011" s="2"/>
    </row>
    <row r="12012" spans="9:9">
      <c r="I12012" s="2"/>
    </row>
    <row r="12013" spans="9:9">
      <c r="I12013" s="2"/>
    </row>
    <row r="12014" spans="9:9">
      <c r="I12014" s="2"/>
    </row>
    <row r="12015" spans="9:9">
      <c r="I12015" s="2"/>
    </row>
    <row r="12016" spans="9:9">
      <c r="I12016" s="2"/>
    </row>
    <row r="12017" spans="9:9">
      <c r="I12017" s="2"/>
    </row>
    <row r="12018" spans="9:9">
      <c r="I12018" s="2"/>
    </row>
    <row r="12019" spans="9:9">
      <c r="I12019" s="2"/>
    </row>
    <row r="12020" spans="9:9">
      <c r="I12020" s="2"/>
    </row>
    <row r="12021" spans="9:9">
      <c r="I12021" s="2"/>
    </row>
    <row r="12022" spans="9:9">
      <c r="I12022" s="2"/>
    </row>
    <row r="12023" spans="9:9">
      <c r="I12023" s="2"/>
    </row>
    <row r="12024" spans="9:9">
      <c r="I12024" s="2"/>
    </row>
    <row r="12025" spans="9:9">
      <c r="I12025" s="2"/>
    </row>
    <row r="12026" spans="9:9">
      <c r="I12026" s="2"/>
    </row>
    <row r="12027" spans="9:9">
      <c r="I12027" s="2"/>
    </row>
    <row r="12028" spans="9:9">
      <c r="I12028" s="2"/>
    </row>
    <row r="12029" spans="9:9">
      <c r="I12029" s="2"/>
    </row>
    <row r="12030" spans="9:9">
      <c r="I12030" s="2"/>
    </row>
    <row r="12031" spans="9:9">
      <c r="I12031" s="2"/>
    </row>
    <row r="12032" spans="9:9">
      <c r="I12032" s="2"/>
    </row>
    <row r="12033" spans="9:9">
      <c r="I12033" s="2"/>
    </row>
    <row r="12034" spans="9:9">
      <c r="I12034" s="2"/>
    </row>
    <row r="12035" spans="9:9">
      <c r="I12035" s="2"/>
    </row>
    <row r="12036" spans="9:9">
      <c r="I12036" s="2"/>
    </row>
    <row r="12037" spans="9:9">
      <c r="I12037" s="2"/>
    </row>
    <row r="12038" spans="9:9">
      <c r="I12038" s="2"/>
    </row>
    <row r="12039" spans="9:9">
      <c r="I12039" s="2"/>
    </row>
    <row r="12040" spans="9:9">
      <c r="I12040" s="2"/>
    </row>
    <row r="12041" spans="9:9">
      <c r="I12041" s="2"/>
    </row>
    <row r="12042" spans="9:9">
      <c r="I12042" s="2"/>
    </row>
    <row r="12043" spans="9:9">
      <c r="I12043" s="2"/>
    </row>
    <row r="12044" spans="9:9">
      <c r="I12044" s="2"/>
    </row>
    <row r="12045" spans="9:9">
      <c r="I12045" s="2"/>
    </row>
    <row r="12046" spans="9:9">
      <c r="I12046" s="2"/>
    </row>
    <row r="12047" spans="9:9">
      <c r="I12047" s="2"/>
    </row>
    <row r="12048" spans="9:9">
      <c r="I12048" s="2"/>
    </row>
    <row r="12049" spans="9:9">
      <c r="I12049" s="2"/>
    </row>
    <row r="12050" spans="9:9">
      <c r="I12050" s="2"/>
    </row>
    <row r="12051" spans="9:9">
      <c r="I12051" s="2"/>
    </row>
    <row r="12052" spans="9:9">
      <c r="I12052" s="2"/>
    </row>
    <row r="12053" spans="9:9">
      <c r="I12053" s="2"/>
    </row>
    <row r="12054" spans="9:9">
      <c r="I12054" s="2"/>
    </row>
    <row r="12055" spans="9:9">
      <c r="I12055" s="2"/>
    </row>
    <row r="12056" spans="9:9">
      <c r="I12056" s="2"/>
    </row>
    <row r="12057" spans="9:9">
      <c r="I12057" s="2"/>
    </row>
    <row r="12058" spans="9:9">
      <c r="I12058" s="2"/>
    </row>
    <row r="12059" spans="9:9">
      <c r="I12059" s="2"/>
    </row>
    <row r="12060" spans="9:9">
      <c r="I12060" s="2"/>
    </row>
    <row r="12061" spans="9:9">
      <c r="I12061" s="2"/>
    </row>
    <row r="12062" spans="9:9">
      <c r="I12062" s="2"/>
    </row>
    <row r="12063" spans="9:9">
      <c r="I12063" s="2"/>
    </row>
    <row r="12064" spans="9:9">
      <c r="I12064" s="2"/>
    </row>
    <row r="12065" spans="9:9">
      <c r="I12065" s="2"/>
    </row>
    <row r="12066" spans="9:9">
      <c r="I12066" s="2"/>
    </row>
    <row r="12067" spans="9:9">
      <c r="I12067" s="2"/>
    </row>
    <row r="12068" spans="9:9">
      <c r="I12068" s="2"/>
    </row>
    <row r="12069" spans="9:9">
      <c r="I12069" s="2"/>
    </row>
    <row r="12070" spans="9:9">
      <c r="I12070" s="2"/>
    </row>
    <row r="12071" spans="9:9">
      <c r="I12071" s="2"/>
    </row>
    <row r="12072" spans="9:9">
      <c r="I12072" s="2"/>
    </row>
    <row r="12073" spans="9:9">
      <c r="I12073" s="2"/>
    </row>
    <row r="12074" spans="9:9">
      <c r="I12074" s="2"/>
    </row>
    <row r="12075" spans="9:9">
      <c r="I12075" s="2"/>
    </row>
    <row r="12076" spans="9:9">
      <c r="I12076" s="2"/>
    </row>
    <row r="12077" spans="9:9">
      <c r="I12077" s="2"/>
    </row>
    <row r="12078" spans="9:9">
      <c r="I12078" s="2"/>
    </row>
    <row r="12079" spans="9:9">
      <c r="I12079" s="2"/>
    </row>
    <row r="12080" spans="9:9">
      <c r="I12080" s="2"/>
    </row>
    <row r="12081" spans="9:9">
      <c r="I12081" s="2"/>
    </row>
    <row r="12082" spans="9:9">
      <c r="I12082" s="2"/>
    </row>
    <row r="12083" spans="9:9">
      <c r="I12083" s="2"/>
    </row>
    <row r="12084" spans="9:9">
      <c r="I12084" s="2"/>
    </row>
    <row r="12085" spans="9:9">
      <c r="I12085" s="2"/>
    </row>
    <row r="12086" spans="9:9">
      <c r="I12086" s="2"/>
    </row>
    <row r="12087" spans="9:9">
      <c r="I12087" s="2"/>
    </row>
    <row r="12088" spans="9:9">
      <c r="I12088" s="2"/>
    </row>
    <row r="12089" spans="9:9">
      <c r="I12089" s="2"/>
    </row>
    <row r="12090" spans="9:9">
      <c r="I12090" s="2"/>
    </row>
    <row r="12091" spans="9:9">
      <c r="I12091" s="2"/>
    </row>
    <row r="12092" spans="9:9">
      <c r="I12092" s="2"/>
    </row>
    <row r="12093" spans="9:9">
      <c r="I12093" s="2"/>
    </row>
    <row r="12094" spans="9:9">
      <c r="I12094" s="2"/>
    </row>
    <row r="12095" spans="9:9">
      <c r="I12095" s="2"/>
    </row>
    <row r="12096" spans="9:9">
      <c r="I12096" s="2"/>
    </row>
    <row r="12097" spans="9:9">
      <c r="I12097" s="2"/>
    </row>
    <row r="12098" spans="9:9">
      <c r="I12098" s="2"/>
    </row>
    <row r="12099" spans="9:9">
      <c r="I12099" s="2"/>
    </row>
    <row r="12100" spans="9:9">
      <c r="I12100" s="2"/>
    </row>
    <row r="12101" spans="9:9">
      <c r="I12101" s="2"/>
    </row>
    <row r="12102" spans="9:9">
      <c r="I12102" s="2"/>
    </row>
    <row r="12103" spans="9:9">
      <c r="I12103" s="2"/>
    </row>
    <row r="12104" spans="9:9">
      <c r="I12104" s="2"/>
    </row>
    <row r="12105" spans="9:9">
      <c r="I12105" s="2"/>
    </row>
    <row r="12106" spans="9:9">
      <c r="I12106" s="2"/>
    </row>
    <row r="12107" spans="9:9">
      <c r="I12107" s="2"/>
    </row>
    <row r="12108" spans="9:9">
      <c r="I12108" s="2"/>
    </row>
    <row r="12109" spans="9:9">
      <c r="I12109" s="2"/>
    </row>
    <row r="12110" spans="9:9">
      <c r="I12110" s="2"/>
    </row>
    <row r="12111" spans="9:9">
      <c r="I12111" s="2"/>
    </row>
    <row r="12112" spans="9:9">
      <c r="I12112" s="2"/>
    </row>
    <row r="12113" spans="9:9">
      <c r="I12113" s="2"/>
    </row>
    <row r="12114" spans="9:9">
      <c r="I12114" s="2"/>
    </row>
    <row r="12115" spans="9:9">
      <c r="I12115" s="2"/>
    </row>
    <row r="12116" spans="9:9">
      <c r="I12116" s="2"/>
    </row>
    <row r="12117" spans="9:9">
      <c r="I12117" s="2"/>
    </row>
    <row r="12118" spans="9:9">
      <c r="I12118" s="2"/>
    </row>
    <row r="12119" spans="9:9">
      <c r="I12119" s="2"/>
    </row>
    <row r="12120" spans="9:9">
      <c r="I12120" s="2"/>
    </row>
    <row r="12121" spans="9:9">
      <c r="I12121" s="2"/>
    </row>
    <row r="12122" spans="9:9">
      <c r="I12122" s="2"/>
    </row>
    <row r="12123" spans="9:9">
      <c r="I12123" s="2"/>
    </row>
    <row r="12124" spans="9:9">
      <c r="I12124" s="2"/>
    </row>
    <row r="12125" spans="9:9">
      <c r="I12125" s="2"/>
    </row>
    <row r="12126" spans="9:9">
      <c r="I12126" s="2"/>
    </row>
    <row r="12127" spans="9:9">
      <c r="I12127" s="2"/>
    </row>
    <row r="12128" spans="9:9">
      <c r="I12128" s="2"/>
    </row>
    <row r="12129" spans="9:9">
      <c r="I12129" s="2"/>
    </row>
    <row r="12130" spans="9:9">
      <c r="I12130" s="2"/>
    </row>
    <row r="12131" spans="9:9">
      <c r="I12131" s="2"/>
    </row>
    <row r="12132" spans="9:9">
      <c r="I12132" s="2"/>
    </row>
    <row r="12133" spans="9:9">
      <c r="I12133" s="2"/>
    </row>
    <row r="12134" spans="9:9">
      <c r="I12134" s="2"/>
    </row>
    <row r="12135" spans="9:9">
      <c r="I12135" s="2"/>
    </row>
    <row r="12136" spans="9:9">
      <c r="I12136" s="2"/>
    </row>
    <row r="12137" spans="9:9">
      <c r="I12137" s="2"/>
    </row>
    <row r="12138" spans="9:9">
      <c r="I12138" s="2"/>
    </row>
    <row r="12139" spans="9:9">
      <c r="I12139" s="2"/>
    </row>
    <row r="12140" spans="9:9">
      <c r="I12140" s="2"/>
    </row>
    <row r="12141" spans="9:9">
      <c r="I12141" s="2"/>
    </row>
    <row r="12142" spans="9:9">
      <c r="I12142" s="2"/>
    </row>
    <row r="12143" spans="9:9">
      <c r="I12143" s="2"/>
    </row>
    <row r="12144" spans="9:9">
      <c r="I12144" s="2"/>
    </row>
    <row r="12145" spans="9:9">
      <c r="I12145" s="2"/>
    </row>
    <row r="12146" spans="9:9">
      <c r="I12146" s="2"/>
    </row>
    <row r="12147" spans="9:9">
      <c r="I12147" s="2"/>
    </row>
    <row r="12148" spans="9:9">
      <c r="I12148" s="2"/>
    </row>
    <row r="12149" spans="9:9">
      <c r="I12149" s="2"/>
    </row>
    <row r="12150" spans="9:9">
      <c r="I12150" s="2"/>
    </row>
    <row r="12151" spans="9:9">
      <c r="I12151" s="2"/>
    </row>
    <row r="12152" spans="9:9">
      <c r="I12152" s="2"/>
    </row>
    <row r="12153" spans="9:9">
      <c r="I12153" s="2"/>
    </row>
    <row r="12154" spans="9:9">
      <c r="I12154" s="2"/>
    </row>
    <row r="12155" spans="9:9">
      <c r="I12155" s="2"/>
    </row>
    <row r="12156" spans="9:9">
      <c r="I12156" s="2"/>
    </row>
    <row r="12157" spans="9:9">
      <c r="I12157" s="2"/>
    </row>
    <row r="12158" spans="9:9">
      <c r="I12158" s="2"/>
    </row>
    <row r="12159" spans="9:9">
      <c r="I12159" s="2"/>
    </row>
    <row r="12160" spans="9:9">
      <c r="I12160" s="2"/>
    </row>
    <row r="12161" spans="9:9">
      <c r="I12161" s="2"/>
    </row>
    <row r="12162" spans="9:9">
      <c r="I12162" s="2"/>
    </row>
    <row r="12163" spans="9:9">
      <c r="I12163" s="2"/>
    </row>
    <row r="12164" spans="9:9">
      <c r="I12164" s="2"/>
    </row>
    <row r="12165" spans="9:9">
      <c r="I12165" s="2"/>
    </row>
    <row r="12166" spans="9:9">
      <c r="I12166" s="2"/>
    </row>
    <row r="12167" spans="9:9">
      <c r="I12167" s="2"/>
    </row>
    <row r="12168" spans="9:9">
      <c r="I12168" s="2"/>
    </row>
    <row r="12169" spans="9:9">
      <c r="I12169" s="2"/>
    </row>
    <row r="12170" spans="9:9">
      <c r="I12170" s="2"/>
    </row>
    <row r="12171" spans="9:9">
      <c r="I12171" s="2"/>
    </row>
    <row r="12172" spans="9:9">
      <c r="I12172" s="2"/>
    </row>
    <row r="12173" spans="9:9">
      <c r="I12173" s="2"/>
    </row>
    <row r="12174" spans="9:9">
      <c r="I12174" s="2"/>
    </row>
    <row r="12175" spans="9:9">
      <c r="I12175" s="2"/>
    </row>
    <row r="12176" spans="9:9">
      <c r="I12176" s="2"/>
    </row>
    <row r="12177" spans="9:9">
      <c r="I12177" s="2"/>
    </row>
    <row r="12178" spans="9:9">
      <c r="I12178" s="2"/>
    </row>
    <row r="12179" spans="9:9">
      <c r="I12179" s="2"/>
    </row>
    <row r="12180" spans="9:9">
      <c r="I12180" s="2"/>
    </row>
    <row r="12181" spans="9:9">
      <c r="I12181" s="2"/>
    </row>
    <row r="12182" spans="9:9">
      <c r="I12182" s="2"/>
    </row>
    <row r="12183" spans="9:9">
      <c r="I12183" s="2"/>
    </row>
    <row r="12184" spans="9:9">
      <c r="I12184" s="2"/>
    </row>
    <row r="12185" spans="9:9">
      <c r="I12185" s="2"/>
    </row>
    <row r="12186" spans="9:9">
      <c r="I12186" s="2"/>
    </row>
    <row r="12187" spans="9:9">
      <c r="I12187" s="2"/>
    </row>
    <row r="12188" spans="9:9">
      <c r="I12188" s="2"/>
    </row>
    <row r="12189" spans="9:9">
      <c r="I12189" s="2"/>
    </row>
    <row r="12190" spans="9:9">
      <c r="I12190" s="2"/>
    </row>
    <row r="12191" spans="9:9">
      <c r="I12191" s="2"/>
    </row>
    <row r="12192" spans="9:9">
      <c r="I12192" s="2"/>
    </row>
    <row r="12193" spans="9:9">
      <c r="I12193" s="2"/>
    </row>
    <row r="12194" spans="9:9">
      <c r="I12194" s="2"/>
    </row>
    <row r="12195" spans="9:9">
      <c r="I12195" s="2"/>
    </row>
    <row r="12196" spans="9:9">
      <c r="I12196" s="2"/>
    </row>
    <row r="12197" spans="9:9">
      <c r="I12197" s="2"/>
    </row>
    <row r="12198" spans="9:9">
      <c r="I12198" s="2"/>
    </row>
    <row r="12199" spans="9:9">
      <c r="I12199" s="2"/>
    </row>
    <row r="12200" spans="9:9">
      <c r="I12200" s="2"/>
    </row>
    <row r="12201" spans="9:9">
      <c r="I12201" s="2"/>
    </row>
    <row r="12202" spans="9:9">
      <c r="I12202" s="2"/>
    </row>
    <row r="12203" spans="9:9">
      <c r="I12203" s="2"/>
    </row>
    <row r="12204" spans="9:9">
      <c r="I12204" s="2"/>
    </row>
    <row r="12205" spans="9:9">
      <c r="I12205" s="2"/>
    </row>
    <row r="12206" spans="9:9">
      <c r="I12206" s="2"/>
    </row>
    <row r="12207" spans="9:9">
      <c r="I12207" s="2"/>
    </row>
    <row r="12208" spans="9:9">
      <c r="I12208" s="2"/>
    </row>
    <row r="12209" spans="9:9">
      <c r="I12209" s="2"/>
    </row>
    <row r="12210" spans="9:9">
      <c r="I12210" s="2"/>
    </row>
    <row r="12211" spans="9:9">
      <c r="I12211" s="2"/>
    </row>
    <row r="12212" spans="9:9">
      <c r="I12212" s="2"/>
    </row>
    <row r="12213" spans="9:9">
      <c r="I12213" s="2"/>
    </row>
    <row r="12214" spans="9:9">
      <c r="I12214" s="2"/>
    </row>
    <row r="12215" spans="9:9">
      <c r="I12215" s="2"/>
    </row>
    <row r="12216" spans="9:9">
      <c r="I12216" s="2"/>
    </row>
    <row r="12217" spans="9:9">
      <c r="I12217" s="2"/>
    </row>
    <row r="12218" spans="9:9">
      <c r="I12218" s="2"/>
    </row>
    <row r="12219" spans="9:9">
      <c r="I12219" s="2"/>
    </row>
    <row r="12220" spans="9:9">
      <c r="I12220" s="2"/>
    </row>
    <row r="12221" spans="9:9">
      <c r="I12221" s="2"/>
    </row>
    <row r="12222" spans="9:9">
      <c r="I12222" s="2"/>
    </row>
    <row r="12223" spans="9:9">
      <c r="I12223" s="2"/>
    </row>
    <row r="12224" spans="9:9">
      <c r="I12224" s="2"/>
    </row>
    <row r="12225" spans="9:9">
      <c r="I12225" s="2"/>
    </row>
    <row r="12226" spans="9:9">
      <c r="I12226" s="2"/>
    </row>
    <row r="12227" spans="9:9">
      <c r="I12227" s="2"/>
    </row>
    <row r="12228" spans="9:9">
      <c r="I12228" s="2"/>
    </row>
    <row r="12229" spans="9:9">
      <c r="I12229" s="2"/>
    </row>
    <row r="12230" spans="9:9">
      <c r="I12230" s="2"/>
    </row>
    <row r="12231" spans="9:9">
      <c r="I12231" s="2"/>
    </row>
    <row r="12232" spans="9:9">
      <c r="I12232" s="2"/>
    </row>
    <row r="12233" spans="9:9">
      <c r="I12233" s="2"/>
    </row>
    <row r="12234" spans="9:9">
      <c r="I12234" s="2"/>
    </row>
    <row r="12235" spans="9:9">
      <c r="I12235" s="2"/>
    </row>
    <row r="12236" spans="9:9">
      <c r="I12236" s="2"/>
    </row>
    <row r="12237" spans="9:9">
      <c r="I12237" s="2"/>
    </row>
    <row r="12238" spans="9:9">
      <c r="I12238" s="2"/>
    </row>
    <row r="12239" spans="9:9">
      <c r="I12239" s="2"/>
    </row>
    <row r="12240" spans="9:9">
      <c r="I12240" s="2"/>
    </row>
    <row r="12241" spans="9:9">
      <c r="I12241" s="2"/>
    </row>
    <row r="12242" spans="9:9">
      <c r="I12242" s="2"/>
    </row>
    <row r="12243" spans="9:9">
      <c r="I12243" s="2"/>
    </row>
    <row r="12244" spans="9:9">
      <c r="I12244" s="2"/>
    </row>
    <row r="12245" spans="9:9">
      <c r="I12245" s="2"/>
    </row>
    <row r="12246" spans="9:9">
      <c r="I12246" s="2"/>
    </row>
    <row r="12247" spans="9:9">
      <c r="I12247" s="2"/>
    </row>
    <row r="12248" spans="9:9">
      <c r="I12248" s="2"/>
    </row>
    <row r="12249" spans="9:9">
      <c r="I12249" s="2"/>
    </row>
    <row r="12250" spans="9:9">
      <c r="I12250" s="2"/>
    </row>
    <row r="12251" spans="9:9">
      <c r="I12251" s="2"/>
    </row>
    <row r="12252" spans="9:9">
      <c r="I12252" s="2"/>
    </row>
    <row r="12253" spans="9:9">
      <c r="I12253" s="2"/>
    </row>
    <row r="12254" spans="9:9">
      <c r="I12254" s="2"/>
    </row>
    <row r="12255" spans="9:9">
      <c r="I12255" s="2"/>
    </row>
    <row r="12256" spans="9:9">
      <c r="I12256" s="2"/>
    </row>
    <row r="12257" spans="9:9">
      <c r="I12257" s="2"/>
    </row>
    <row r="12258" spans="9:9">
      <c r="I12258" s="2"/>
    </row>
    <row r="12259" spans="9:9">
      <c r="I12259" s="2"/>
    </row>
    <row r="12260" spans="9:9">
      <c r="I12260" s="2"/>
    </row>
    <row r="12261" spans="9:9">
      <c r="I12261" s="2"/>
    </row>
    <row r="12262" spans="9:9">
      <c r="I12262" s="2"/>
    </row>
    <row r="12263" spans="9:9">
      <c r="I12263" s="2"/>
    </row>
    <row r="12264" spans="9:9">
      <c r="I12264" s="2"/>
    </row>
    <row r="12265" spans="9:9">
      <c r="I12265" s="2"/>
    </row>
    <row r="12266" spans="9:9">
      <c r="I12266" s="2"/>
    </row>
    <row r="12267" spans="9:9">
      <c r="I12267" s="2"/>
    </row>
    <row r="12268" spans="9:9">
      <c r="I12268" s="2"/>
    </row>
    <row r="12269" spans="9:9">
      <c r="I12269" s="2"/>
    </row>
    <row r="12270" spans="9:9">
      <c r="I12270" s="2"/>
    </row>
    <row r="12271" spans="9:9">
      <c r="I12271" s="2"/>
    </row>
    <row r="12272" spans="9:9">
      <c r="I12272" s="2"/>
    </row>
    <row r="12273" spans="9:9">
      <c r="I12273" s="2"/>
    </row>
    <row r="12274" spans="9:9">
      <c r="I12274" s="2"/>
    </row>
    <row r="12275" spans="9:9">
      <c r="I12275" s="2"/>
    </row>
    <row r="12276" spans="9:9">
      <c r="I12276" s="2"/>
    </row>
    <row r="12277" spans="9:9">
      <c r="I12277" s="2"/>
    </row>
    <row r="12278" spans="9:9">
      <c r="I12278" s="2"/>
    </row>
    <row r="12279" spans="9:9">
      <c r="I12279" s="2"/>
    </row>
    <row r="12280" spans="9:9">
      <c r="I12280" s="2"/>
    </row>
    <row r="12281" spans="9:9">
      <c r="I12281" s="2"/>
    </row>
    <row r="12282" spans="9:9">
      <c r="I12282" s="2"/>
    </row>
    <row r="12283" spans="9:9">
      <c r="I12283" s="2"/>
    </row>
    <row r="12284" spans="9:9">
      <c r="I12284" s="2"/>
    </row>
    <row r="12285" spans="9:9">
      <c r="I12285" s="2"/>
    </row>
    <row r="12286" spans="9:9">
      <c r="I12286" s="2"/>
    </row>
    <row r="12287" spans="9:9">
      <c r="I12287" s="2"/>
    </row>
    <row r="12288" spans="9:9">
      <c r="I12288" s="2"/>
    </row>
    <row r="12289" spans="9:9">
      <c r="I12289" s="2"/>
    </row>
    <row r="12290" spans="9:9">
      <c r="I12290" s="2"/>
    </row>
    <row r="12291" spans="9:9">
      <c r="I12291" s="2"/>
    </row>
    <row r="12292" spans="9:9">
      <c r="I12292" s="2"/>
    </row>
    <row r="12293" spans="9:9">
      <c r="I12293" s="2"/>
    </row>
    <row r="12294" spans="9:9">
      <c r="I12294" s="2"/>
    </row>
    <row r="12295" spans="9:9">
      <c r="I12295" s="2"/>
    </row>
    <row r="12296" spans="9:9">
      <c r="I12296" s="2"/>
    </row>
    <row r="12297" spans="9:9">
      <c r="I12297" s="2"/>
    </row>
    <row r="12298" spans="9:9">
      <c r="I12298" s="2"/>
    </row>
    <row r="12299" spans="9:9">
      <c r="I12299" s="2"/>
    </row>
    <row r="12300" spans="9:9">
      <c r="I12300" s="2"/>
    </row>
    <row r="12301" spans="9:9">
      <c r="I12301" s="2"/>
    </row>
    <row r="12302" spans="9:9">
      <c r="I12302" s="2"/>
    </row>
    <row r="12303" spans="9:9">
      <c r="I12303" s="2"/>
    </row>
    <row r="12304" spans="9:9">
      <c r="I12304" s="2"/>
    </row>
    <row r="12305" spans="9:9">
      <c r="I12305" s="2"/>
    </row>
    <row r="12306" spans="9:9">
      <c r="I12306" s="2"/>
    </row>
    <row r="12307" spans="9:9">
      <c r="I12307" s="2"/>
    </row>
    <row r="12308" spans="9:9">
      <c r="I12308" s="2"/>
    </row>
    <row r="12309" spans="9:9">
      <c r="I12309" s="2"/>
    </row>
    <row r="12310" spans="9:9">
      <c r="I12310" s="2"/>
    </row>
    <row r="12311" spans="9:9">
      <c r="I12311" s="2"/>
    </row>
    <row r="12312" spans="9:9">
      <c r="I12312" s="2"/>
    </row>
    <row r="12313" spans="9:9">
      <c r="I12313" s="2"/>
    </row>
    <row r="12314" spans="9:9">
      <c r="I12314" s="2"/>
    </row>
    <row r="12315" spans="9:9">
      <c r="I12315" s="2"/>
    </row>
    <row r="12316" spans="9:9">
      <c r="I12316" s="2"/>
    </row>
    <row r="12317" spans="9:9">
      <c r="I12317" s="2"/>
    </row>
    <row r="12318" spans="9:9">
      <c r="I12318" s="2"/>
    </row>
    <row r="12319" spans="9:9">
      <c r="I12319" s="2"/>
    </row>
    <row r="12320" spans="9:9">
      <c r="I12320" s="2"/>
    </row>
    <row r="12321" spans="9:9">
      <c r="I12321" s="2"/>
    </row>
    <row r="12322" spans="9:9">
      <c r="I12322" s="2"/>
    </row>
    <row r="12323" spans="9:9">
      <c r="I12323" s="2"/>
    </row>
    <row r="12324" spans="9:9">
      <c r="I12324" s="2"/>
    </row>
    <row r="12325" spans="9:9">
      <c r="I12325" s="2"/>
    </row>
    <row r="12326" spans="9:9">
      <c r="I12326" s="2"/>
    </row>
    <row r="12327" spans="9:9">
      <c r="I12327" s="2"/>
    </row>
    <row r="12328" spans="9:9">
      <c r="I12328" s="2"/>
    </row>
    <row r="12329" spans="9:9">
      <c r="I12329" s="2"/>
    </row>
    <row r="12330" spans="9:9">
      <c r="I12330" s="2"/>
    </row>
    <row r="12331" spans="9:9">
      <c r="I12331" s="2"/>
    </row>
    <row r="12332" spans="9:9">
      <c r="I12332" s="2"/>
    </row>
    <row r="12333" spans="9:9">
      <c r="I12333" s="2"/>
    </row>
    <row r="12334" spans="9:9">
      <c r="I12334" s="2"/>
    </row>
    <row r="12335" spans="9:9">
      <c r="I12335" s="2"/>
    </row>
    <row r="12336" spans="9:9">
      <c r="I12336" s="2"/>
    </row>
    <row r="12337" spans="9:9">
      <c r="I12337" s="2"/>
    </row>
    <row r="12338" spans="9:9">
      <c r="I12338" s="2"/>
    </row>
    <row r="12339" spans="9:9">
      <c r="I12339" s="2"/>
    </row>
    <row r="12340" spans="9:9">
      <c r="I12340" s="2"/>
    </row>
    <row r="12341" spans="9:9">
      <c r="I12341" s="2"/>
    </row>
    <row r="12342" spans="9:9">
      <c r="I12342" s="2"/>
    </row>
    <row r="12343" spans="9:9">
      <c r="I12343" s="2"/>
    </row>
    <row r="12344" spans="9:9">
      <c r="I12344" s="2"/>
    </row>
    <row r="12345" spans="9:9">
      <c r="I12345" s="2"/>
    </row>
    <row r="12346" spans="9:9">
      <c r="I12346" s="2"/>
    </row>
    <row r="12347" spans="9:9">
      <c r="I12347" s="2"/>
    </row>
    <row r="12348" spans="9:9">
      <c r="I12348" s="2"/>
    </row>
    <row r="12349" spans="9:9">
      <c r="I12349" s="2"/>
    </row>
    <row r="12350" spans="9:9">
      <c r="I12350" s="2"/>
    </row>
    <row r="12351" spans="9:9">
      <c r="I12351" s="2"/>
    </row>
    <row r="12352" spans="9:9">
      <c r="I12352" s="2"/>
    </row>
    <row r="12353" spans="9:9">
      <c r="I12353" s="2"/>
    </row>
    <row r="12354" spans="9:9">
      <c r="I12354" s="2"/>
    </row>
    <row r="12355" spans="9:9">
      <c r="I12355" s="2"/>
    </row>
    <row r="12356" spans="9:9">
      <c r="I12356" s="2"/>
    </row>
    <row r="12357" spans="9:9">
      <c r="I12357" s="2"/>
    </row>
    <row r="12358" spans="9:9">
      <c r="I12358" s="2"/>
    </row>
    <row r="12359" spans="9:9">
      <c r="I12359" s="2"/>
    </row>
    <row r="12360" spans="9:9">
      <c r="I12360" s="2"/>
    </row>
    <row r="12361" spans="9:9">
      <c r="I12361" s="2"/>
    </row>
    <row r="12362" spans="9:9">
      <c r="I12362" s="2"/>
    </row>
    <row r="12363" spans="9:9">
      <c r="I12363" s="2"/>
    </row>
    <row r="12364" spans="9:9">
      <c r="I12364" s="2"/>
    </row>
    <row r="12365" spans="9:9">
      <c r="I12365" s="2"/>
    </row>
    <row r="12366" spans="9:9">
      <c r="I12366" s="2"/>
    </row>
    <row r="12367" spans="9:9">
      <c r="I12367" s="2"/>
    </row>
    <row r="12368" spans="9:9">
      <c r="I12368" s="2"/>
    </row>
    <row r="12369" spans="9:9">
      <c r="I12369" s="2"/>
    </row>
    <row r="12370" spans="9:9">
      <c r="I12370" s="2"/>
    </row>
    <row r="12371" spans="9:9">
      <c r="I12371" s="2"/>
    </row>
    <row r="12372" spans="9:9">
      <c r="I12372" s="2"/>
    </row>
    <row r="12373" spans="9:9">
      <c r="I12373" s="2"/>
    </row>
    <row r="12374" spans="9:9">
      <c r="I12374" s="2"/>
    </row>
    <row r="12375" spans="9:9">
      <c r="I12375" s="2"/>
    </row>
    <row r="12376" spans="9:9">
      <c r="I12376" s="2"/>
    </row>
    <row r="12377" spans="9:9">
      <c r="I12377" s="2"/>
    </row>
    <row r="12378" spans="9:9">
      <c r="I12378" s="2"/>
    </row>
    <row r="12379" spans="9:9">
      <c r="I12379" s="2"/>
    </row>
    <row r="12380" spans="9:9">
      <c r="I12380" s="2"/>
    </row>
    <row r="12381" spans="9:9">
      <c r="I12381" s="2"/>
    </row>
    <row r="12382" spans="9:9">
      <c r="I12382" s="2"/>
    </row>
    <row r="12383" spans="9:9">
      <c r="I12383" s="2"/>
    </row>
    <row r="12384" spans="9:9">
      <c r="I12384" s="2"/>
    </row>
    <row r="12385" spans="9:9">
      <c r="I12385" s="2"/>
    </row>
    <row r="12386" spans="9:9">
      <c r="I12386" s="2"/>
    </row>
    <row r="12387" spans="9:9">
      <c r="I12387" s="2"/>
    </row>
    <row r="12388" spans="9:9">
      <c r="I12388" s="2"/>
    </row>
    <row r="12389" spans="9:9">
      <c r="I12389" s="2"/>
    </row>
    <row r="12390" spans="9:9">
      <c r="I12390" s="2"/>
    </row>
    <row r="12391" spans="9:9">
      <c r="I12391" s="2"/>
    </row>
    <row r="12392" spans="9:9">
      <c r="I12392" s="2"/>
    </row>
    <row r="12393" spans="9:9">
      <c r="I12393" s="2"/>
    </row>
    <row r="12394" spans="9:9">
      <c r="I12394" s="2"/>
    </row>
    <row r="12395" spans="9:9">
      <c r="I12395" s="2"/>
    </row>
    <row r="12396" spans="9:9">
      <c r="I12396" s="2"/>
    </row>
    <row r="12397" spans="9:9">
      <c r="I12397" s="2"/>
    </row>
    <row r="12398" spans="9:9">
      <c r="I12398" s="2"/>
    </row>
    <row r="12399" spans="9:9">
      <c r="I12399" s="2"/>
    </row>
    <row r="12400" spans="9:9">
      <c r="I12400" s="2"/>
    </row>
    <row r="12401" spans="9:9">
      <c r="I12401" s="2"/>
    </row>
    <row r="12402" spans="9:9">
      <c r="I12402" s="2"/>
    </row>
    <row r="12403" spans="9:9">
      <c r="I12403" s="2"/>
    </row>
    <row r="12404" spans="9:9">
      <c r="I12404" s="2"/>
    </row>
    <row r="12405" spans="9:9">
      <c r="I12405" s="2"/>
    </row>
    <row r="12406" spans="9:9">
      <c r="I12406" s="2"/>
    </row>
    <row r="12407" spans="9:9">
      <c r="I12407" s="2"/>
    </row>
    <row r="12408" spans="9:9">
      <c r="I12408" s="2"/>
    </row>
    <row r="12409" spans="9:9">
      <c r="I12409" s="2"/>
    </row>
    <row r="12410" spans="9:9">
      <c r="I12410" s="2"/>
    </row>
    <row r="12411" spans="9:9">
      <c r="I12411" s="2"/>
    </row>
    <row r="12412" spans="9:9">
      <c r="I12412" s="2"/>
    </row>
    <row r="12413" spans="9:9">
      <c r="I12413" s="2"/>
    </row>
    <row r="12414" spans="9:9">
      <c r="I12414" s="2"/>
    </row>
    <row r="12415" spans="9:9">
      <c r="I12415" s="2"/>
    </row>
    <row r="12416" spans="9:9">
      <c r="I12416" s="2"/>
    </row>
    <row r="12417" spans="9:9">
      <c r="I12417" s="2"/>
    </row>
    <row r="12418" spans="9:9">
      <c r="I12418" s="2"/>
    </row>
    <row r="12419" spans="9:9">
      <c r="I12419" s="2"/>
    </row>
    <row r="12420" spans="9:9">
      <c r="I12420" s="2"/>
    </row>
    <row r="12421" spans="9:9">
      <c r="I12421" s="2"/>
    </row>
    <row r="12422" spans="9:9">
      <c r="I12422" s="2"/>
    </row>
    <row r="12423" spans="9:9">
      <c r="I12423" s="2"/>
    </row>
    <row r="12424" spans="9:9">
      <c r="I12424" s="2"/>
    </row>
    <row r="12425" spans="9:9">
      <c r="I12425" s="2"/>
    </row>
    <row r="12426" spans="9:9">
      <c r="I12426" s="2"/>
    </row>
    <row r="12427" spans="9:9">
      <c r="I12427" s="2"/>
    </row>
    <row r="12428" spans="9:9">
      <c r="I12428" s="2"/>
    </row>
    <row r="12429" spans="9:9">
      <c r="I12429" s="2"/>
    </row>
    <row r="12430" spans="9:9">
      <c r="I12430" s="2"/>
    </row>
    <row r="12431" spans="9:9">
      <c r="I12431" s="2"/>
    </row>
    <row r="12432" spans="9:9">
      <c r="I12432" s="2"/>
    </row>
    <row r="12433" spans="9:9">
      <c r="I12433" s="2"/>
    </row>
    <row r="12434" spans="9:9">
      <c r="I12434" s="2"/>
    </row>
    <row r="12435" spans="9:9">
      <c r="I12435" s="2"/>
    </row>
    <row r="12436" spans="9:9">
      <c r="I12436" s="2"/>
    </row>
    <row r="12437" spans="9:9">
      <c r="I12437" s="2"/>
    </row>
    <row r="12438" spans="9:9">
      <c r="I12438" s="2"/>
    </row>
    <row r="12439" spans="9:9">
      <c r="I12439" s="2"/>
    </row>
    <row r="12440" spans="9:9">
      <c r="I12440" s="2"/>
    </row>
    <row r="12441" spans="9:9">
      <c r="I12441" s="2"/>
    </row>
    <row r="12442" spans="9:9">
      <c r="I12442" s="2"/>
    </row>
    <row r="12443" spans="9:9">
      <c r="I12443" s="2"/>
    </row>
    <row r="12444" spans="9:9">
      <c r="I12444" s="2"/>
    </row>
    <row r="12445" spans="9:9">
      <c r="I12445" s="2"/>
    </row>
    <row r="12446" spans="9:9">
      <c r="I12446" s="2"/>
    </row>
    <row r="12447" spans="9:9">
      <c r="I12447" s="2"/>
    </row>
    <row r="12448" spans="9:9">
      <c r="I12448" s="2"/>
    </row>
    <row r="12449" spans="9:9">
      <c r="I12449" s="2"/>
    </row>
    <row r="12450" spans="9:9">
      <c r="I12450" s="2"/>
    </row>
    <row r="12451" spans="9:9">
      <c r="I12451" s="2"/>
    </row>
    <row r="12452" spans="9:9">
      <c r="I12452" s="2"/>
    </row>
    <row r="12453" spans="9:9">
      <c r="I12453" s="2"/>
    </row>
    <row r="12454" spans="9:9">
      <c r="I12454" s="2"/>
    </row>
    <row r="12455" spans="9:9">
      <c r="I12455" s="2"/>
    </row>
    <row r="12456" spans="9:9">
      <c r="I12456" s="2"/>
    </row>
    <row r="12457" spans="9:9">
      <c r="I12457" s="2"/>
    </row>
    <row r="12458" spans="9:9">
      <c r="I12458" s="2"/>
    </row>
    <row r="12459" spans="9:9">
      <c r="I12459" s="2"/>
    </row>
    <row r="12460" spans="9:9">
      <c r="I12460" s="2"/>
    </row>
    <row r="12461" spans="9:9">
      <c r="I12461" s="2"/>
    </row>
    <row r="12462" spans="9:9">
      <c r="I12462" s="2"/>
    </row>
    <row r="12463" spans="9:9">
      <c r="I12463" s="2"/>
    </row>
    <row r="12464" spans="9:9">
      <c r="I12464" s="2"/>
    </row>
    <row r="12465" spans="9:9">
      <c r="I12465" s="2"/>
    </row>
    <row r="12466" spans="9:9">
      <c r="I12466" s="2"/>
    </row>
    <row r="12467" spans="9:9">
      <c r="I12467" s="2"/>
    </row>
    <row r="12468" spans="9:9">
      <c r="I12468" s="2"/>
    </row>
    <row r="12469" spans="9:9">
      <c r="I12469" s="2"/>
    </row>
    <row r="12470" spans="9:9">
      <c r="I12470" s="2"/>
    </row>
    <row r="12471" spans="9:9">
      <c r="I12471" s="2"/>
    </row>
    <row r="12472" spans="9:9">
      <c r="I12472" s="2"/>
    </row>
    <row r="12473" spans="9:9">
      <c r="I12473" s="2"/>
    </row>
    <row r="12474" spans="9:9">
      <c r="I12474" s="2"/>
    </row>
    <row r="12475" spans="9:9">
      <c r="I12475" s="2"/>
    </row>
    <row r="12476" spans="9:9">
      <c r="I12476" s="2"/>
    </row>
    <row r="12477" spans="9:9">
      <c r="I12477" s="2"/>
    </row>
    <row r="12478" spans="9:9">
      <c r="I12478" s="2"/>
    </row>
    <row r="12479" spans="9:9">
      <c r="I12479" s="2"/>
    </row>
    <row r="12480" spans="9:9">
      <c r="I12480" s="2"/>
    </row>
    <row r="12481" spans="9:9">
      <c r="I12481" s="2"/>
    </row>
    <row r="12482" spans="9:9">
      <c r="I12482" s="2"/>
    </row>
    <row r="12483" spans="9:9">
      <c r="I12483" s="2"/>
    </row>
    <row r="12484" spans="9:9">
      <c r="I12484" s="2"/>
    </row>
    <row r="12485" spans="9:9">
      <c r="I12485" s="2"/>
    </row>
    <row r="12486" spans="9:9">
      <c r="I12486" s="2"/>
    </row>
    <row r="12487" spans="9:9">
      <c r="I12487" s="2"/>
    </row>
    <row r="12488" spans="9:9">
      <c r="I12488" s="2"/>
    </row>
    <row r="12489" spans="9:9">
      <c r="I12489" s="2"/>
    </row>
    <row r="12490" spans="9:9">
      <c r="I12490" s="2"/>
    </row>
    <row r="12491" spans="9:9">
      <c r="I12491" s="2"/>
    </row>
    <row r="12492" spans="9:9">
      <c r="I12492" s="2"/>
    </row>
    <row r="12493" spans="9:9">
      <c r="I12493" s="2"/>
    </row>
    <row r="12494" spans="9:9">
      <c r="I12494" s="2"/>
    </row>
    <row r="12495" spans="9:9">
      <c r="I12495" s="2"/>
    </row>
    <row r="12496" spans="9:9">
      <c r="I12496" s="2"/>
    </row>
    <row r="12497" spans="9:9">
      <c r="I12497" s="2"/>
    </row>
    <row r="12498" spans="9:9">
      <c r="I12498" s="2"/>
    </row>
    <row r="12499" spans="9:9">
      <c r="I12499" s="2"/>
    </row>
    <row r="12500" spans="9:9">
      <c r="I12500" s="2"/>
    </row>
    <row r="12501" spans="9:9">
      <c r="I12501" s="2"/>
    </row>
    <row r="12502" spans="9:9">
      <c r="I12502" s="2"/>
    </row>
    <row r="12503" spans="9:9">
      <c r="I12503" s="2"/>
    </row>
    <row r="12504" spans="9:9">
      <c r="I12504" s="2"/>
    </row>
    <row r="12505" spans="9:9">
      <c r="I12505" s="2"/>
    </row>
    <row r="12506" spans="9:9">
      <c r="I12506" s="2"/>
    </row>
    <row r="12507" spans="9:9">
      <c r="I12507" s="2"/>
    </row>
    <row r="12508" spans="9:9">
      <c r="I12508" s="2"/>
    </row>
    <row r="12509" spans="9:9">
      <c r="I12509" s="2"/>
    </row>
    <row r="12510" spans="9:9">
      <c r="I12510" s="2"/>
    </row>
    <row r="12511" spans="9:9">
      <c r="I12511" s="2"/>
    </row>
    <row r="12512" spans="9:9">
      <c r="I12512" s="2"/>
    </row>
    <row r="12513" spans="9:9">
      <c r="I12513" s="2"/>
    </row>
    <row r="12514" spans="9:9">
      <c r="I12514" s="2"/>
    </row>
    <row r="12515" spans="9:9">
      <c r="I12515" s="2"/>
    </row>
    <row r="12516" spans="9:9">
      <c r="I12516" s="2"/>
    </row>
    <row r="12517" spans="9:9">
      <c r="I12517" s="2"/>
    </row>
    <row r="12518" spans="9:9">
      <c r="I12518" s="2"/>
    </row>
    <row r="12519" spans="9:9">
      <c r="I12519" s="2"/>
    </row>
    <row r="12520" spans="9:9">
      <c r="I12520" s="2"/>
    </row>
    <row r="12521" spans="9:9">
      <c r="I12521" s="2"/>
    </row>
    <row r="12522" spans="9:9">
      <c r="I12522" s="2"/>
    </row>
    <row r="12523" spans="9:9">
      <c r="I12523" s="2"/>
    </row>
    <row r="12524" spans="9:9">
      <c r="I12524" s="2"/>
    </row>
    <row r="12525" spans="9:9">
      <c r="I12525" s="2"/>
    </row>
    <row r="12526" spans="9:9">
      <c r="I12526" s="2"/>
    </row>
    <row r="12527" spans="9:9">
      <c r="I12527" s="2"/>
    </row>
    <row r="12528" spans="9:9">
      <c r="I12528" s="2"/>
    </row>
    <row r="12529" spans="9:9">
      <c r="I12529" s="2"/>
    </row>
    <row r="12530" spans="9:9">
      <c r="I12530" s="2"/>
    </row>
    <row r="12531" spans="9:9">
      <c r="I12531" s="2"/>
    </row>
    <row r="12532" spans="9:9">
      <c r="I12532" s="2"/>
    </row>
    <row r="12533" spans="9:9">
      <c r="I12533" s="2"/>
    </row>
    <row r="12534" spans="9:9">
      <c r="I12534" s="2"/>
    </row>
    <row r="12535" spans="9:9">
      <c r="I12535" s="2"/>
    </row>
    <row r="12536" spans="9:9">
      <c r="I12536" s="2"/>
    </row>
    <row r="12537" spans="9:9">
      <c r="I12537" s="2"/>
    </row>
    <row r="12538" spans="9:9">
      <c r="I12538" s="2"/>
    </row>
    <row r="12539" spans="9:9">
      <c r="I12539" s="2"/>
    </row>
    <row r="12540" spans="9:9">
      <c r="I12540" s="2"/>
    </row>
    <row r="12541" spans="9:9">
      <c r="I12541" s="2"/>
    </row>
    <row r="12542" spans="9:9">
      <c r="I12542" s="2"/>
    </row>
    <row r="12543" spans="9:9">
      <c r="I12543" s="2"/>
    </row>
    <row r="12544" spans="9:9">
      <c r="I12544" s="2"/>
    </row>
    <row r="12545" spans="9:9">
      <c r="I12545" s="2"/>
    </row>
    <row r="12546" spans="9:9">
      <c r="I12546" s="2"/>
    </row>
    <row r="12547" spans="9:9">
      <c r="I12547" s="2"/>
    </row>
    <row r="12548" spans="9:9">
      <c r="I12548" s="2"/>
    </row>
    <row r="12549" spans="9:9">
      <c r="I12549" s="2"/>
    </row>
    <row r="12550" spans="9:9">
      <c r="I12550" s="2"/>
    </row>
    <row r="12551" spans="9:9">
      <c r="I12551" s="2"/>
    </row>
    <row r="12552" spans="9:9">
      <c r="I12552" s="2"/>
    </row>
    <row r="12553" spans="9:9">
      <c r="I12553" s="2"/>
    </row>
    <row r="12554" spans="9:9">
      <c r="I12554" s="2"/>
    </row>
    <row r="12555" spans="9:9">
      <c r="I12555" s="2"/>
    </row>
    <row r="12556" spans="9:9">
      <c r="I12556" s="2"/>
    </row>
    <row r="12557" spans="9:9">
      <c r="I12557" s="2"/>
    </row>
    <row r="12558" spans="9:9">
      <c r="I12558" s="2"/>
    </row>
    <row r="12559" spans="9:9">
      <c r="I12559" s="2"/>
    </row>
    <row r="12560" spans="9:9">
      <c r="I12560" s="2"/>
    </row>
    <row r="12561" spans="9:9">
      <c r="I12561" s="2"/>
    </row>
    <row r="12562" spans="9:9">
      <c r="I12562" s="2"/>
    </row>
    <row r="12563" spans="9:9">
      <c r="I12563" s="2"/>
    </row>
    <row r="12564" spans="9:9">
      <c r="I12564" s="2"/>
    </row>
    <row r="12565" spans="9:9">
      <c r="I12565" s="2"/>
    </row>
    <row r="12566" spans="9:9">
      <c r="I12566" s="2"/>
    </row>
    <row r="12567" spans="9:9">
      <c r="I12567" s="2"/>
    </row>
    <row r="12568" spans="9:9">
      <c r="I12568" s="2"/>
    </row>
    <row r="12569" spans="9:9">
      <c r="I12569" s="2"/>
    </row>
    <row r="12570" spans="9:9">
      <c r="I12570" s="2"/>
    </row>
    <row r="12571" spans="9:9">
      <c r="I12571" s="2"/>
    </row>
    <row r="12572" spans="9:9">
      <c r="I12572" s="2"/>
    </row>
    <row r="12573" spans="9:9">
      <c r="I12573" s="2"/>
    </row>
    <row r="12574" spans="9:9">
      <c r="I12574" s="2"/>
    </row>
    <row r="12575" spans="9:9">
      <c r="I12575" s="2"/>
    </row>
    <row r="12576" spans="9:9">
      <c r="I12576" s="2"/>
    </row>
    <row r="12577" spans="9:9">
      <c r="I12577" s="2"/>
    </row>
    <row r="12578" spans="9:9">
      <c r="I12578" s="2"/>
    </row>
    <row r="12579" spans="9:9">
      <c r="I12579" s="2"/>
    </row>
    <row r="12580" spans="9:9">
      <c r="I12580" s="2"/>
    </row>
    <row r="12581" spans="9:9">
      <c r="I12581" s="2"/>
    </row>
    <row r="12582" spans="9:9">
      <c r="I12582" s="2"/>
    </row>
    <row r="12583" spans="9:9">
      <c r="I12583" s="2"/>
    </row>
    <row r="12584" spans="9:9">
      <c r="I12584" s="2"/>
    </row>
    <row r="12585" spans="9:9">
      <c r="I12585" s="2"/>
    </row>
    <row r="12586" spans="9:9">
      <c r="I12586" s="2"/>
    </row>
    <row r="12587" spans="9:9">
      <c r="I12587" s="2"/>
    </row>
    <row r="12588" spans="9:9">
      <c r="I12588" s="2"/>
    </row>
    <row r="12589" spans="9:9">
      <c r="I12589" s="2"/>
    </row>
    <row r="12590" spans="9:9">
      <c r="I12590" s="2"/>
    </row>
    <row r="12591" spans="9:9">
      <c r="I12591" s="2"/>
    </row>
    <row r="12592" spans="9:9">
      <c r="I12592" s="2"/>
    </row>
    <row r="12593" spans="9:9">
      <c r="I12593" s="2"/>
    </row>
    <row r="12594" spans="9:9">
      <c r="I12594" s="2"/>
    </row>
    <row r="12595" spans="9:9">
      <c r="I12595" s="2"/>
    </row>
    <row r="12596" spans="9:9">
      <c r="I12596" s="2"/>
    </row>
    <row r="12597" spans="9:9">
      <c r="I12597" s="2"/>
    </row>
    <row r="12598" spans="9:9">
      <c r="I12598" s="2"/>
    </row>
    <row r="12599" spans="9:9">
      <c r="I12599" s="2"/>
    </row>
    <row r="12600" spans="9:9">
      <c r="I12600" s="2"/>
    </row>
    <row r="12601" spans="9:9">
      <c r="I12601" s="2"/>
    </row>
    <row r="12602" spans="9:9">
      <c r="I12602" s="2"/>
    </row>
    <row r="12603" spans="9:9">
      <c r="I12603" s="2"/>
    </row>
    <row r="12604" spans="9:9">
      <c r="I12604" s="2"/>
    </row>
    <row r="12605" spans="9:9">
      <c r="I12605" s="2"/>
    </row>
    <row r="12606" spans="9:9">
      <c r="I12606" s="2"/>
    </row>
    <row r="12607" spans="9:9">
      <c r="I12607" s="2"/>
    </row>
    <row r="12608" spans="9:9">
      <c r="I12608" s="2"/>
    </row>
    <row r="12609" spans="9:9">
      <c r="I12609" s="2"/>
    </row>
    <row r="12610" spans="9:9">
      <c r="I12610" s="2"/>
    </row>
    <row r="12611" spans="9:9">
      <c r="I12611" s="2"/>
    </row>
    <row r="12612" spans="9:9">
      <c r="I12612" s="2"/>
    </row>
    <row r="12613" spans="9:9">
      <c r="I12613" s="2"/>
    </row>
    <row r="12614" spans="9:9">
      <c r="I12614" s="2"/>
    </row>
    <row r="12615" spans="9:9">
      <c r="I12615" s="2"/>
    </row>
    <row r="12616" spans="9:9">
      <c r="I12616" s="2"/>
    </row>
    <row r="12617" spans="9:9">
      <c r="I12617" s="2"/>
    </row>
    <row r="12618" spans="9:9">
      <c r="I12618" s="2"/>
    </row>
    <row r="12619" spans="9:9">
      <c r="I12619" s="2"/>
    </row>
    <row r="12620" spans="9:9">
      <c r="I12620" s="2"/>
    </row>
    <row r="12621" spans="9:9">
      <c r="I12621" s="2"/>
    </row>
    <row r="12622" spans="9:9">
      <c r="I12622" s="2"/>
    </row>
    <row r="12623" spans="9:9">
      <c r="I12623" s="2"/>
    </row>
    <row r="12624" spans="9:9">
      <c r="I12624" s="2"/>
    </row>
    <row r="12625" spans="9:9">
      <c r="I12625" s="2"/>
    </row>
    <row r="12626" spans="9:9">
      <c r="I12626" s="2"/>
    </row>
    <row r="12627" spans="9:9">
      <c r="I12627" s="2"/>
    </row>
    <row r="12628" spans="9:9">
      <c r="I12628" s="2"/>
    </row>
    <row r="12629" spans="9:9">
      <c r="I12629" s="2"/>
    </row>
    <row r="12630" spans="9:9">
      <c r="I12630" s="2"/>
    </row>
    <row r="12631" spans="9:9">
      <c r="I12631" s="2"/>
    </row>
    <row r="12632" spans="9:9">
      <c r="I12632" s="2"/>
    </row>
    <row r="12633" spans="9:9">
      <c r="I12633" s="2"/>
    </row>
    <row r="12634" spans="9:9">
      <c r="I12634" s="2"/>
    </row>
    <row r="12635" spans="9:9">
      <c r="I12635" s="2"/>
    </row>
    <row r="12636" spans="9:9">
      <c r="I12636" s="2"/>
    </row>
    <row r="12637" spans="9:9">
      <c r="I12637" s="2"/>
    </row>
    <row r="12638" spans="9:9">
      <c r="I12638" s="2"/>
    </row>
    <row r="12639" spans="9:9">
      <c r="I12639" s="2"/>
    </row>
    <row r="12640" spans="9:9">
      <c r="I12640" s="2"/>
    </row>
    <row r="12641" spans="9:9">
      <c r="I12641" s="2"/>
    </row>
    <row r="12642" spans="9:9">
      <c r="I12642" s="2"/>
    </row>
    <row r="12643" spans="9:9">
      <c r="I12643" s="2"/>
    </row>
    <row r="12644" spans="9:9">
      <c r="I12644" s="2"/>
    </row>
    <row r="12645" spans="9:9">
      <c r="I12645" s="2"/>
    </row>
    <row r="12646" spans="9:9">
      <c r="I12646" s="2"/>
    </row>
    <row r="12647" spans="9:9">
      <c r="I12647" s="2"/>
    </row>
    <row r="12648" spans="9:9">
      <c r="I12648" s="2"/>
    </row>
    <row r="12649" spans="9:9">
      <c r="I12649" s="2"/>
    </row>
    <row r="12650" spans="9:9">
      <c r="I12650" s="2"/>
    </row>
    <row r="12651" spans="9:9">
      <c r="I12651" s="2"/>
    </row>
    <row r="12652" spans="9:9">
      <c r="I12652" s="2"/>
    </row>
    <row r="12653" spans="9:9">
      <c r="I12653" s="2"/>
    </row>
    <row r="12654" spans="9:9">
      <c r="I12654" s="2"/>
    </row>
    <row r="12655" spans="9:9">
      <c r="I12655" s="2"/>
    </row>
    <row r="12656" spans="9:9">
      <c r="I12656" s="2"/>
    </row>
    <row r="12657" spans="9:9">
      <c r="I12657" s="2"/>
    </row>
    <row r="12658" spans="9:9">
      <c r="I12658" s="2"/>
    </row>
    <row r="12659" spans="9:9">
      <c r="I12659" s="2"/>
    </row>
    <row r="12660" spans="9:9">
      <c r="I12660" s="2"/>
    </row>
    <row r="12661" spans="9:9">
      <c r="I12661" s="2"/>
    </row>
    <row r="12662" spans="9:9">
      <c r="I12662" s="2"/>
    </row>
    <row r="12663" spans="9:9">
      <c r="I12663" s="2"/>
    </row>
    <row r="12664" spans="9:9">
      <c r="I12664" s="2"/>
    </row>
    <row r="12665" spans="9:9">
      <c r="I12665" s="2"/>
    </row>
    <row r="12666" spans="9:9">
      <c r="I12666" s="2"/>
    </row>
    <row r="12667" spans="9:9">
      <c r="I12667" s="2"/>
    </row>
    <row r="12668" spans="9:9">
      <c r="I12668" s="2"/>
    </row>
    <row r="12669" spans="9:9">
      <c r="I12669" s="2"/>
    </row>
    <row r="12670" spans="9:9">
      <c r="I12670" s="2"/>
    </row>
    <row r="12671" spans="9:9">
      <c r="I12671" s="2"/>
    </row>
    <row r="12672" spans="9:9">
      <c r="I12672" s="2"/>
    </row>
    <row r="12673" spans="9:9">
      <c r="I12673" s="2"/>
    </row>
    <row r="12674" spans="9:9">
      <c r="I12674" s="2"/>
    </row>
    <row r="12675" spans="9:9">
      <c r="I12675" s="2"/>
    </row>
    <row r="12676" spans="9:9">
      <c r="I12676" s="2"/>
    </row>
    <row r="12677" spans="9:9">
      <c r="I12677" s="2"/>
    </row>
    <row r="12678" spans="9:9">
      <c r="I12678" s="2"/>
    </row>
    <row r="12679" spans="9:9">
      <c r="I12679" s="2"/>
    </row>
    <row r="12680" spans="9:9">
      <c r="I12680" s="2"/>
    </row>
    <row r="12681" spans="9:9">
      <c r="I12681" s="2"/>
    </row>
    <row r="12682" spans="9:9">
      <c r="I12682" s="2"/>
    </row>
    <row r="12683" spans="9:9">
      <c r="I12683" s="2"/>
    </row>
    <row r="12684" spans="9:9">
      <c r="I12684" s="2"/>
    </row>
    <row r="12685" spans="9:9">
      <c r="I12685" s="2"/>
    </row>
    <row r="12686" spans="9:9">
      <c r="I12686" s="2"/>
    </row>
    <row r="12687" spans="9:9">
      <c r="I12687" s="2"/>
    </row>
    <row r="12688" spans="9:9">
      <c r="I12688" s="2"/>
    </row>
    <row r="12689" spans="9:9">
      <c r="I12689" s="2"/>
    </row>
    <row r="12690" spans="9:9">
      <c r="I12690" s="2"/>
    </row>
    <row r="12691" spans="9:9">
      <c r="I12691" s="2"/>
    </row>
    <row r="12692" spans="9:9">
      <c r="I12692" s="2"/>
    </row>
    <row r="12693" spans="9:9">
      <c r="I12693" s="2"/>
    </row>
    <row r="12694" spans="9:9">
      <c r="I12694" s="2"/>
    </row>
    <row r="12695" spans="9:9">
      <c r="I12695" s="2"/>
    </row>
    <row r="12696" spans="9:9">
      <c r="I12696" s="2"/>
    </row>
    <row r="12697" spans="9:9">
      <c r="I12697" s="2"/>
    </row>
    <row r="12698" spans="9:9">
      <c r="I12698" s="2"/>
    </row>
    <row r="12699" spans="9:9">
      <c r="I12699" s="2"/>
    </row>
    <row r="12700" spans="9:9">
      <c r="I12700" s="2"/>
    </row>
    <row r="12701" spans="9:9">
      <c r="I12701" s="2"/>
    </row>
    <row r="12702" spans="9:9">
      <c r="I12702" s="2"/>
    </row>
    <row r="12703" spans="9:9">
      <c r="I12703" s="2"/>
    </row>
    <row r="12704" spans="9:9">
      <c r="I12704" s="2"/>
    </row>
    <row r="12705" spans="9:9">
      <c r="I12705" s="2"/>
    </row>
    <row r="12706" spans="9:9">
      <c r="I12706" s="2"/>
    </row>
    <row r="12707" spans="9:9">
      <c r="I12707" s="2"/>
    </row>
    <row r="12708" spans="9:9">
      <c r="I12708" s="2"/>
    </row>
    <row r="12709" spans="9:9">
      <c r="I12709" s="2"/>
    </row>
    <row r="12710" spans="9:9">
      <c r="I12710" s="2"/>
    </row>
    <row r="12711" spans="9:9">
      <c r="I12711" s="2"/>
    </row>
    <row r="12712" spans="9:9">
      <c r="I12712" s="2"/>
    </row>
    <row r="12713" spans="9:9">
      <c r="I12713" s="2"/>
    </row>
    <row r="12714" spans="9:9">
      <c r="I12714" s="2"/>
    </row>
    <row r="12715" spans="9:9">
      <c r="I12715" s="2"/>
    </row>
    <row r="12716" spans="9:9">
      <c r="I12716" s="2"/>
    </row>
    <row r="12717" spans="9:9">
      <c r="I12717" s="2"/>
    </row>
    <row r="12718" spans="9:9">
      <c r="I12718" s="2"/>
    </row>
    <row r="12719" spans="9:9">
      <c r="I12719" s="2"/>
    </row>
    <row r="12720" spans="9:9">
      <c r="I12720" s="2"/>
    </row>
    <row r="12721" spans="9:9">
      <c r="I12721" s="2"/>
    </row>
    <row r="12722" spans="9:9">
      <c r="I12722" s="2"/>
    </row>
    <row r="12723" spans="9:9">
      <c r="I12723" s="2"/>
    </row>
    <row r="12724" spans="9:9">
      <c r="I12724" s="2"/>
    </row>
    <row r="12725" spans="9:9">
      <c r="I12725" s="2"/>
    </row>
    <row r="12726" spans="9:9">
      <c r="I12726" s="2"/>
    </row>
    <row r="12727" spans="9:9">
      <c r="I12727" s="2"/>
    </row>
    <row r="12728" spans="9:9">
      <c r="I12728" s="2"/>
    </row>
    <row r="12729" spans="9:9">
      <c r="I12729" s="2"/>
    </row>
    <row r="12730" spans="9:9">
      <c r="I12730" s="2"/>
    </row>
    <row r="12731" spans="9:9">
      <c r="I12731" s="2"/>
    </row>
    <row r="12732" spans="9:9">
      <c r="I12732" s="2"/>
    </row>
    <row r="12733" spans="9:9">
      <c r="I12733" s="2"/>
    </row>
    <row r="12734" spans="9:9">
      <c r="I12734" s="2"/>
    </row>
    <row r="12735" spans="9:9">
      <c r="I12735" s="2"/>
    </row>
    <row r="12736" spans="9:9">
      <c r="I12736" s="2"/>
    </row>
    <row r="12737" spans="9:9">
      <c r="I12737" s="2"/>
    </row>
    <row r="12738" spans="9:9">
      <c r="I12738" s="2"/>
    </row>
    <row r="12739" spans="9:9">
      <c r="I12739" s="2"/>
    </row>
    <row r="12740" spans="9:9">
      <c r="I12740" s="2"/>
    </row>
    <row r="12741" spans="9:9">
      <c r="I12741" s="2"/>
    </row>
    <row r="12742" spans="9:9">
      <c r="I12742" s="2"/>
    </row>
    <row r="12743" spans="9:9">
      <c r="I12743" s="2"/>
    </row>
    <row r="12744" spans="9:9">
      <c r="I12744" s="2"/>
    </row>
    <row r="12745" spans="9:9">
      <c r="I12745" s="2"/>
    </row>
    <row r="12746" spans="9:9">
      <c r="I12746" s="2"/>
    </row>
    <row r="12747" spans="9:9">
      <c r="I12747" s="2"/>
    </row>
    <row r="12748" spans="9:9">
      <c r="I12748" s="2"/>
    </row>
    <row r="12749" spans="9:9">
      <c r="I12749" s="2"/>
    </row>
    <row r="12750" spans="9:9">
      <c r="I12750" s="2"/>
    </row>
    <row r="12751" spans="9:9">
      <c r="I12751" s="2"/>
    </row>
    <row r="12752" spans="9:9">
      <c r="I12752" s="2"/>
    </row>
    <row r="12753" spans="9:9">
      <c r="I12753" s="2"/>
    </row>
    <row r="12754" spans="9:9">
      <c r="I12754" s="2"/>
    </row>
    <row r="12755" spans="9:9">
      <c r="I12755" s="2"/>
    </row>
    <row r="12756" spans="9:9">
      <c r="I12756" s="2"/>
    </row>
    <row r="12757" spans="9:9">
      <c r="I12757" s="2"/>
    </row>
    <row r="12758" spans="9:9">
      <c r="I12758" s="2"/>
    </row>
    <row r="12759" spans="9:9">
      <c r="I12759" s="2"/>
    </row>
    <row r="12760" spans="9:9">
      <c r="I12760" s="2"/>
    </row>
    <row r="12761" spans="9:9">
      <c r="I12761" s="2"/>
    </row>
    <row r="12762" spans="9:9">
      <c r="I12762" s="2"/>
    </row>
    <row r="12763" spans="9:9">
      <c r="I12763" s="2"/>
    </row>
    <row r="12764" spans="9:9">
      <c r="I12764" s="2"/>
    </row>
    <row r="12765" spans="9:9">
      <c r="I12765" s="2"/>
    </row>
    <row r="12766" spans="9:9">
      <c r="I12766" s="2"/>
    </row>
    <row r="12767" spans="9:9">
      <c r="I12767" s="2"/>
    </row>
    <row r="12768" spans="9:9">
      <c r="I12768" s="2"/>
    </row>
    <row r="12769" spans="9:9">
      <c r="I12769" s="2"/>
    </row>
    <row r="12770" spans="9:9">
      <c r="I12770" s="2"/>
    </row>
    <row r="12771" spans="9:9">
      <c r="I12771" s="2"/>
    </row>
    <row r="12772" spans="9:9">
      <c r="I12772" s="2"/>
    </row>
    <row r="12773" spans="9:9">
      <c r="I12773" s="2"/>
    </row>
    <row r="12774" spans="9:9">
      <c r="I12774" s="2"/>
    </row>
    <row r="12775" spans="9:9">
      <c r="I12775" s="2"/>
    </row>
    <row r="12776" spans="9:9">
      <c r="I12776" s="2"/>
    </row>
    <row r="12777" spans="9:9">
      <c r="I12777" s="2"/>
    </row>
    <row r="12778" spans="9:9">
      <c r="I12778" s="2"/>
    </row>
    <row r="12779" spans="9:9">
      <c r="I12779" s="2"/>
    </row>
    <row r="12780" spans="9:9">
      <c r="I12780" s="2"/>
    </row>
    <row r="12781" spans="9:9">
      <c r="I12781" s="2"/>
    </row>
    <row r="12782" spans="9:9">
      <c r="I12782" s="2"/>
    </row>
    <row r="12783" spans="9:9">
      <c r="I12783" s="2"/>
    </row>
    <row r="12784" spans="9:9">
      <c r="I12784" s="2"/>
    </row>
    <row r="12785" spans="9:9">
      <c r="I12785" s="2"/>
    </row>
    <row r="12786" spans="9:9">
      <c r="I12786" s="2"/>
    </row>
    <row r="12787" spans="9:9">
      <c r="I12787" s="2"/>
    </row>
    <row r="12788" spans="9:9">
      <c r="I12788" s="2"/>
    </row>
    <row r="12789" spans="9:9">
      <c r="I12789" s="2"/>
    </row>
    <row r="12790" spans="9:9">
      <c r="I12790" s="2"/>
    </row>
    <row r="12791" spans="9:9">
      <c r="I12791" s="2"/>
    </row>
    <row r="12792" spans="9:9">
      <c r="I12792" s="2"/>
    </row>
    <row r="12793" spans="9:9">
      <c r="I12793" s="2"/>
    </row>
    <row r="12794" spans="9:9">
      <c r="I12794" s="2"/>
    </row>
    <row r="12795" spans="9:9">
      <c r="I12795" s="2"/>
    </row>
    <row r="12796" spans="9:9">
      <c r="I12796" s="2"/>
    </row>
    <row r="12797" spans="9:9">
      <c r="I12797" s="2"/>
    </row>
    <row r="12798" spans="9:9">
      <c r="I12798" s="2"/>
    </row>
    <row r="12799" spans="9:9">
      <c r="I12799" s="2"/>
    </row>
    <row r="12800" spans="9:9">
      <c r="I12800" s="2"/>
    </row>
    <row r="12801" spans="9:9">
      <c r="I12801" s="2"/>
    </row>
    <row r="12802" spans="9:9">
      <c r="I12802" s="2"/>
    </row>
    <row r="12803" spans="9:9">
      <c r="I12803" s="2"/>
    </row>
    <row r="12804" spans="9:9">
      <c r="I12804" s="2"/>
    </row>
    <row r="12805" spans="9:9">
      <c r="I12805" s="2"/>
    </row>
    <row r="12806" spans="9:9">
      <c r="I12806" s="2"/>
    </row>
    <row r="12807" spans="9:9">
      <c r="I12807" s="2"/>
    </row>
    <row r="12808" spans="9:9">
      <c r="I12808" s="2"/>
    </row>
    <row r="12809" spans="9:9">
      <c r="I12809" s="2"/>
    </row>
    <row r="12810" spans="9:9">
      <c r="I12810" s="2"/>
    </row>
    <row r="12811" spans="9:9">
      <c r="I12811" s="2"/>
    </row>
    <row r="12812" spans="9:9">
      <c r="I12812" s="2"/>
    </row>
    <row r="12813" spans="9:9">
      <c r="I12813" s="2"/>
    </row>
    <row r="12814" spans="9:9">
      <c r="I12814" s="2"/>
    </row>
    <row r="12815" spans="9:9">
      <c r="I12815" s="2"/>
    </row>
    <row r="12816" spans="9:9">
      <c r="I12816" s="2"/>
    </row>
    <row r="12817" spans="9:9">
      <c r="I12817" s="2"/>
    </row>
    <row r="12818" spans="9:9">
      <c r="I12818" s="2"/>
    </row>
    <row r="12819" spans="9:9">
      <c r="I12819" s="2"/>
    </row>
    <row r="12820" spans="9:9">
      <c r="I12820" s="2"/>
    </row>
    <row r="12821" spans="9:9">
      <c r="I12821" s="2"/>
    </row>
    <row r="12822" spans="9:9">
      <c r="I12822" s="2"/>
    </row>
    <row r="12823" spans="9:9">
      <c r="I12823" s="2"/>
    </row>
    <row r="12824" spans="9:9">
      <c r="I12824" s="2"/>
    </row>
    <row r="12825" spans="9:9">
      <c r="I12825" s="2"/>
    </row>
    <row r="12826" spans="9:9">
      <c r="I12826" s="2"/>
    </row>
    <row r="12827" spans="9:9">
      <c r="I12827" s="2"/>
    </row>
    <row r="12828" spans="9:9">
      <c r="I12828" s="2"/>
    </row>
    <row r="12829" spans="9:9">
      <c r="I12829" s="2"/>
    </row>
    <row r="12830" spans="9:9">
      <c r="I12830" s="2"/>
    </row>
    <row r="12831" spans="9:9">
      <c r="I12831" s="2"/>
    </row>
    <row r="12832" spans="9:9">
      <c r="I12832" s="2"/>
    </row>
    <row r="12833" spans="9:9">
      <c r="I12833" s="2"/>
    </row>
    <row r="12834" spans="9:9">
      <c r="I12834" s="2"/>
    </row>
    <row r="12835" spans="9:9">
      <c r="I12835" s="2"/>
    </row>
    <row r="12836" spans="9:9">
      <c r="I12836" s="2"/>
    </row>
    <row r="12837" spans="9:9">
      <c r="I12837" s="2"/>
    </row>
    <row r="12838" spans="9:9">
      <c r="I12838" s="2"/>
    </row>
    <row r="12839" spans="9:9">
      <c r="I12839" s="2"/>
    </row>
    <row r="12840" spans="9:9">
      <c r="I12840" s="2"/>
    </row>
    <row r="12841" spans="9:9">
      <c r="I12841" s="2"/>
    </row>
    <row r="12842" spans="9:9">
      <c r="I12842" s="2"/>
    </row>
    <row r="12843" spans="9:9">
      <c r="I12843" s="2"/>
    </row>
    <row r="12844" spans="9:9">
      <c r="I12844" s="2"/>
    </row>
    <row r="12845" spans="9:9">
      <c r="I12845" s="2"/>
    </row>
    <row r="12846" spans="9:9">
      <c r="I12846" s="2"/>
    </row>
    <row r="12847" spans="9:9">
      <c r="I12847" s="2"/>
    </row>
    <row r="12848" spans="9:9">
      <c r="I12848" s="2"/>
    </row>
    <row r="12849" spans="9:9">
      <c r="I12849" s="2"/>
    </row>
    <row r="12850" spans="9:9">
      <c r="I12850" s="2"/>
    </row>
    <row r="12851" spans="9:9">
      <c r="I12851" s="2"/>
    </row>
    <row r="12852" spans="9:9">
      <c r="I12852" s="2"/>
    </row>
    <row r="12853" spans="9:9">
      <c r="I12853" s="2"/>
    </row>
    <row r="12854" spans="9:9">
      <c r="I12854" s="2"/>
    </row>
    <row r="12855" spans="9:9">
      <c r="I12855" s="2"/>
    </row>
    <row r="12856" spans="9:9">
      <c r="I12856" s="2"/>
    </row>
    <row r="12857" spans="9:9">
      <c r="I12857" s="2"/>
    </row>
    <row r="12858" spans="9:9">
      <c r="I12858" s="2"/>
    </row>
    <row r="12859" spans="9:9">
      <c r="I12859" s="2"/>
    </row>
    <row r="12860" spans="9:9">
      <c r="I12860" s="2"/>
    </row>
    <row r="12861" spans="9:9">
      <c r="I12861" s="2"/>
    </row>
    <row r="12862" spans="9:9">
      <c r="I12862" s="2"/>
    </row>
    <row r="12863" spans="9:9">
      <c r="I12863" s="2"/>
    </row>
    <row r="12864" spans="9:9">
      <c r="I12864" s="2"/>
    </row>
    <row r="12865" spans="9:9">
      <c r="I12865" s="2"/>
    </row>
    <row r="12866" spans="9:9">
      <c r="I12866" s="2"/>
    </row>
    <row r="12867" spans="9:9">
      <c r="I12867" s="2"/>
    </row>
    <row r="12868" spans="9:9">
      <c r="I12868" s="2"/>
    </row>
    <row r="12869" spans="9:9">
      <c r="I12869" s="2"/>
    </row>
    <row r="12870" spans="9:9">
      <c r="I12870" s="2"/>
    </row>
    <row r="12871" spans="9:9">
      <c r="I12871" s="2"/>
    </row>
    <row r="12872" spans="9:9">
      <c r="I12872" s="2"/>
    </row>
    <row r="12873" spans="9:9">
      <c r="I12873" s="2"/>
    </row>
    <row r="12874" spans="9:9">
      <c r="I12874" s="2"/>
    </row>
    <row r="12875" spans="9:9">
      <c r="I12875" s="2"/>
    </row>
    <row r="12876" spans="9:9">
      <c r="I12876" s="2"/>
    </row>
    <row r="12877" spans="9:9">
      <c r="I12877" s="2"/>
    </row>
    <row r="12878" spans="9:9">
      <c r="I12878" s="2"/>
    </row>
    <row r="12879" spans="9:9">
      <c r="I12879" s="2"/>
    </row>
    <row r="12880" spans="9:9">
      <c r="I12880" s="2"/>
    </row>
    <row r="12881" spans="9:9">
      <c r="I12881" s="2"/>
    </row>
    <row r="12882" spans="9:9">
      <c r="I12882" s="2"/>
    </row>
    <row r="12883" spans="9:9">
      <c r="I12883" s="2"/>
    </row>
    <row r="12884" spans="9:9">
      <c r="I12884" s="2"/>
    </row>
    <row r="12885" spans="9:9">
      <c r="I12885" s="2"/>
    </row>
    <row r="12886" spans="9:9">
      <c r="I12886" s="2"/>
    </row>
    <row r="12887" spans="9:9">
      <c r="I12887" s="2"/>
    </row>
    <row r="12888" spans="9:9">
      <c r="I12888" s="2"/>
    </row>
    <row r="12889" spans="9:9">
      <c r="I12889" s="2"/>
    </row>
    <row r="12890" spans="9:9">
      <c r="I12890" s="2"/>
    </row>
    <row r="12891" spans="9:9">
      <c r="I12891" s="2"/>
    </row>
    <row r="12892" spans="9:9">
      <c r="I12892" s="2"/>
    </row>
    <row r="12893" spans="9:9">
      <c r="I12893" s="2"/>
    </row>
    <row r="12894" spans="9:9">
      <c r="I12894" s="2"/>
    </row>
    <row r="12895" spans="9:9">
      <c r="I12895" s="2"/>
    </row>
    <row r="12896" spans="9:9">
      <c r="I12896" s="2"/>
    </row>
    <row r="12897" spans="9:9">
      <c r="I12897" s="2"/>
    </row>
    <row r="12898" spans="9:9">
      <c r="I12898" s="2"/>
    </row>
    <row r="12899" spans="9:9">
      <c r="I12899" s="2"/>
    </row>
    <row r="12900" spans="9:9">
      <c r="I12900" s="2"/>
    </row>
    <row r="12901" spans="9:9">
      <c r="I12901" s="2"/>
    </row>
    <row r="12902" spans="9:9">
      <c r="I12902" s="2"/>
    </row>
    <row r="12903" spans="9:9">
      <c r="I12903" s="2"/>
    </row>
    <row r="12904" spans="9:9">
      <c r="I12904" s="2"/>
    </row>
    <row r="12905" spans="9:9">
      <c r="I12905" s="2"/>
    </row>
    <row r="12906" spans="9:9">
      <c r="I12906" s="2"/>
    </row>
    <row r="12907" spans="9:9">
      <c r="I12907" s="2"/>
    </row>
    <row r="12908" spans="9:9">
      <c r="I12908" s="2"/>
    </row>
    <row r="12909" spans="9:9">
      <c r="I12909" s="2"/>
    </row>
    <row r="12910" spans="9:9">
      <c r="I12910" s="2"/>
    </row>
    <row r="12911" spans="9:9">
      <c r="I12911" s="2"/>
    </row>
    <row r="12912" spans="9:9">
      <c r="I12912" s="2"/>
    </row>
    <row r="12913" spans="9:9">
      <c r="I12913" s="2"/>
    </row>
    <row r="12914" spans="9:9">
      <c r="I12914" s="2"/>
    </row>
    <row r="12915" spans="9:9">
      <c r="I12915" s="2"/>
    </row>
    <row r="12916" spans="9:9">
      <c r="I12916" s="2"/>
    </row>
    <row r="12917" spans="9:9">
      <c r="I12917" s="2"/>
    </row>
    <row r="12918" spans="9:9">
      <c r="I12918" s="2"/>
    </row>
    <row r="12919" spans="9:9">
      <c r="I12919" s="2"/>
    </row>
    <row r="12920" spans="9:9">
      <c r="I12920" s="2"/>
    </row>
    <row r="12921" spans="9:9">
      <c r="I12921" s="2"/>
    </row>
    <row r="12922" spans="9:9">
      <c r="I12922" s="2"/>
    </row>
    <row r="12923" spans="9:9">
      <c r="I12923" s="2"/>
    </row>
    <row r="12924" spans="9:9">
      <c r="I12924" s="2"/>
    </row>
    <row r="12925" spans="9:9">
      <c r="I12925" s="2"/>
    </row>
    <row r="12926" spans="9:9">
      <c r="I12926" s="2"/>
    </row>
    <row r="12927" spans="9:9">
      <c r="I12927" s="2"/>
    </row>
    <row r="12928" spans="9:9">
      <c r="I12928" s="2"/>
    </row>
    <row r="12929" spans="9:9">
      <c r="I12929" s="2"/>
    </row>
    <row r="12930" spans="9:9">
      <c r="I12930" s="2"/>
    </row>
    <row r="12931" spans="9:9">
      <c r="I12931" s="2"/>
    </row>
    <row r="12932" spans="9:9">
      <c r="I12932" s="2"/>
    </row>
    <row r="12933" spans="9:9">
      <c r="I12933" s="2"/>
    </row>
    <row r="12934" spans="9:9">
      <c r="I12934" s="2"/>
    </row>
    <row r="12935" spans="9:9">
      <c r="I12935" s="2"/>
    </row>
    <row r="12936" spans="9:9">
      <c r="I12936" s="2"/>
    </row>
    <row r="12937" spans="9:9">
      <c r="I12937" s="2"/>
    </row>
    <row r="12938" spans="9:9">
      <c r="I12938" s="2"/>
    </row>
    <row r="12939" spans="9:9">
      <c r="I12939" s="2"/>
    </row>
    <row r="12940" spans="9:9">
      <c r="I12940" s="2"/>
    </row>
    <row r="12941" spans="9:9">
      <c r="I12941" s="2"/>
    </row>
    <row r="12942" spans="9:9">
      <c r="I12942" s="2"/>
    </row>
    <row r="12943" spans="9:9">
      <c r="I12943" s="2"/>
    </row>
    <row r="12944" spans="9:9">
      <c r="I12944" s="2"/>
    </row>
    <row r="12945" spans="9:9">
      <c r="I12945" s="2"/>
    </row>
    <row r="12946" spans="9:9">
      <c r="I12946" s="2"/>
    </row>
    <row r="12947" spans="9:9">
      <c r="I12947" s="2"/>
    </row>
    <row r="12948" spans="9:9">
      <c r="I12948" s="2"/>
    </row>
    <row r="12949" spans="9:9">
      <c r="I12949" s="2"/>
    </row>
    <row r="12950" spans="9:9">
      <c r="I12950" s="2"/>
    </row>
    <row r="12951" spans="9:9">
      <c r="I12951" s="2"/>
    </row>
    <row r="12952" spans="9:9">
      <c r="I12952" s="2"/>
    </row>
    <row r="12953" spans="9:9">
      <c r="I12953" s="2"/>
    </row>
    <row r="12954" spans="9:9">
      <c r="I12954" s="2"/>
    </row>
    <row r="12955" spans="9:9">
      <c r="I12955" s="2"/>
    </row>
    <row r="12956" spans="9:9">
      <c r="I12956" s="2"/>
    </row>
    <row r="12957" spans="9:9">
      <c r="I12957" s="2"/>
    </row>
    <row r="12958" spans="9:9">
      <c r="I12958" s="2"/>
    </row>
    <row r="12959" spans="9:9">
      <c r="I12959" s="2"/>
    </row>
    <row r="12960" spans="9:9">
      <c r="I12960" s="2"/>
    </row>
    <row r="12961" spans="9:9">
      <c r="I12961" s="2"/>
    </row>
    <row r="12962" spans="9:9">
      <c r="I12962" s="2"/>
    </row>
    <row r="12963" spans="9:9">
      <c r="I12963" s="2"/>
    </row>
    <row r="12964" spans="9:9">
      <c r="I12964" s="2"/>
    </row>
    <row r="12965" spans="9:9">
      <c r="I12965" s="2"/>
    </row>
    <row r="12966" spans="9:9">
      <c r="I12966" s="2"/>
    </row>
    <row r="12967" spans="9:9">
      <c r="I12967" s="2"/>
    </row>
    <row r="12968" spans="9:9">
      <c r="I12968" s="2"/>
    </row>
    <row r="12969" spans="9:9">
      <c r="I12969" s="2"/>
    </row>
    <row r="12970" spans="9:9">
      <c r="I12970" s="2"/>
    </row>
    <row r="12971" spans="9:9">
      <c r="I12971" s="2"/>
    </row>
    <row r="12972" spans="9:9">
      <c r="I12972" s="2"/>
    </row>
    <row r="12973" spans="9:9">
      <c r="I12973" s="2"/>
    </row>
    <row r="12974" spans="9:9">
      <c r="I12974" s="2"/>
    </row>
    <row r="12975" spans="9:9">
      <c r="I12975" s="2"/>
    </row>
    <row r="12976" spans="9:9">
      <c r="I12976" s="2"/>
    </row>
    <row r="12977" spans="9:9">
      <c r="I12977" s="2"/>
    </row>
    <row r="12978" spans="9:9">
      <c r="I12978" s="2"/>
    </row>
    <row r="12979" spans="9:9">
      <c r="I12979" s="2"/>
    </row>
    <row r="12980" spans="9:9">
      <c r="I12980" s="2"/>
    </row>
    <row r="12981" spans="9:9">
      <c r="I12981" s="2"/>
    </row>
    <row r="12982" spans="9:9">
      <c r="I12982" s="2"/>
    </row>
    <row r="12983" spans="9:9">
      <c r="I12983" s="2"/>
    </row>
    <row r="12984" spans="9:9">
      <c r="I12984" s="2"/>
    </row>
    <row r="12985" spans="9:9">
      <c r="I12985" s="2"/>
    </row>
    <row r="12986" spans="9:9">
      <c r="I12986" s="2"/>
    </row>
    <row r="12987" spans="9:9">
      <c r="I12987" s="2"/>
    </row>
    <row r="12988" spans="9:9">
      <c r="I12988" s="2"/>
    </row>
    <row r="12989" spans="9:9">
      <c r="I12989" s="2"/>
    </row>
    <row r="12990" spans="9:9">
      <c r="I12990" s="2"/>
    </row>
    <row r="12991" spans="9:9">
      <c r="I12991" s="2"/>
    </row>
    <row r="12992" spans="9:9">
      <c r="I12992" s="2"/>
    </row>
    <row r="12993" spans="9:9">
      <c r="I12993" s="2"/>
    </row>
    <row r="12994" spans="9:9">
      <c r="I12994" s="2"/>
    </row>
    <row r="12995" spans="9:9">
      <c r="I12995" s="2"/>
    </row>
    <row r="12996" spans="9:9">
      <c r="I12996" s="2"/>
    </row>
    <row r="12997" spans="9:9">
      <c r="I12997" s="2"/>
    </row>
    <row r="12998" spans="9:9">
      <c r="I12998" s="2"/>
    </row>
    <row r="12999" spans="9:9">
      <c r="I12999" s="2"/>
    </row>
    <row r="13000" spans="9:9">
      <c r="I13000" s="2"/>
    </row>
    <row r="13001" spans="9:9">
      <c r="I13001" s="2"/>
    </row>
    <row r="13002" spans="9:9">
      <c r="I13002" s="2"/>
    </row>
    <row r="13003" spans="9:9">
      <c r="I13003" s="2"/>
    </row>
    <row r="13004" spans="9:9">
      <c r="I13004" s="2"/>
    </row>
    <row r="13005" spans="9:9">
      <c r="I13005" s="2"/>
    </row>
    <row r="13006" spans="9:9">
      <c r="I13006" s="2"/>
    </row>
    <row r="13007" spans="9:9">
      <c r="I13007" s="2"/>
    </row>
    <row r="13008" spans="9:9">
      <c r="I13008" s="2"/>
    </row>
    <row r="13009" spans="9:9">
      <c r="I13009" s="2"/>
    </row>
    <row r="13010" spans="9:9">
      <c r="I13010" s="2"/>
    </row>
    <row r="13011" spans="9:9">
      <c r="I13011" s="2"/>
    </row>
    <row r="13012" spans="9:9">
      <c r="I13012" s="2"/>
    </row>
    <row r="13013" spans="9:9">
      <c r="I13013" s="2"/>
    </row>
    <row r="13014" spans="9:9">
      <c r="I13014" s="2"/>
    </row>
    <row r="13015" spans="9:9">
      <c r="I13015" s="2"/>
    </row>
    <row r="13016" spans="9:9">
      <c r="I13016" s="2"/>
    </row>
    <row r="13017" spans="9:9">
      <c r="I13017" s="2"/>
    </row>
    <row r="13018" spans="9:9">
      <c r="I13018" s="2"/>
    </row>
    <row r="13019" spans="9:9">
      <c r="I13019" s="2"/>
    </row>
    <row r="13020" spans="9:9">
      <c r="I13020" s="2"/>
    </row>
    <row r="13021" spans="9:9">
      <c r="I13021" s="2"/>
    </row>
    <row r="13022" spans="9:9">
      <c r="I13022" s="2"/>
    </row>
    <row r="13023" spans="9:9">
      <c r="I13023" s="2"/>
    </row>
    <row r="13024" spans="9:9">
      <c r="I13024" s="2"/>
    </row>
    <row r="13025" spans="9:9">
      <c r="I13025" s="2"/>
    </row>
    <row r="13026" spans="9:9">
      <c r="I13026" s="2"/>
    </row>
    <row r="13027" spans="9:9">
      <c r="I13027" s="2"/>
    </row>
    <row r="13028" spans="9:9">
      <c r="I13028" s="2"/>
    </row>
    <row r="13029" spans="9:9">
      <c r="I13029" s="2"/>
    </row>
    <row r="13030" spans="9:9">
      <c r="I13030" s="2"/>
    </row>
    <row r="13031" spans="9:9">
      <c r="I13031" s="2"/>
    </row>
    <row r="13032" spans="9:9">
      <c r="I13032" s="2"/>
    </row>
    <row r="13033" spans="9:9">
      <c r="I13033" s="2"/>
    </row>
    <row r="13034" spans="9:9">
      <c r="I13034" s="2"/>
    </row>
    <row r="13035" spans="9:9">
      <c r="I13035" s="2"/>
    </row>
    <row r="13036" spans="9:9">
      <c r="I13036" s="2"/>
    </row>
    <row r="13037" spans="9:9">
      <c r="I13037" s="2"/>
    </row>
    <row r="13038" spans="9:9">
      <c r="I13038" s="2"/>
    </row>
    <row r="13039" spans="9:9">
      <c r="I13039" s="2"/>
    </row>
    <row r="13040" spans="9:9">
      <c r="I13040" s="2"/>
    </row>
    <row r="13041" spans="9:9">
      <c r="I13041" s="2"/>
    </row>
    <row r="13042" spans="9:9">
      <c r="I13042" s="2"/>
    </row>
    <row r="13043" spans="9:9">
      <c r="I13043" s="2"/>
    </row>
    <row r="13044" spans="9:9">
      <c r="I13044" s="2"/>
    </row>
    <row r="13045" spans="9:9">
      <c r="I13045" s="2"/>
    </row>
    <row r="13046" spans="9:9">
      <c r="I13046" s="2"/>
    </row>
    <row r="13047" spans="9:9">
      <c r="I13047" s="2"/>
    </row>
    <row r="13048" spans="9:9">
      <c r="I13048" s="2"/>
    </row>
    <row r="13049" spans="9:9">
      <c r="I13049" s="2"/>
    </row>
    <row r="13050" spans="9:9">
      <c r="I13050" s="2"/>
    </row>
    <row r="13051" spans="9:9">
      <c r="I13051" s="2"/>
    </row>
    <row r="13052" spans="9:9">
      <c r="I13052" s="2"/>
    </row>
    <row r="13053" spans="9:9">
      <c r="I13053" s="2"/>
    </row>
    <row r="13054" spans="9:9">
      <c r="I13054" s="2"/>
    </row>
    <row r="13055" spans="9:9">
      <c r="I13055" s="2"/>
    </row>
    <row r="13056" spans="9:9">
      <c r="I13056" s="2"/>
    </row>
    <row r="13057" spans="9:9">
      <c r="I13057" s="2"/>
    </row>
    <row r="13058" spans="9:9">
      <c r="I13058" s="2"/>
    </row>
    <row r="13059" spans="9:9">
      <c r="I13059" s="2"/>
    </row>
    <row r="13060" spans="9:9">
      <c r="I13060" s="2"/>
    </row>
    <row r="13061" spans="9:9">
      <c r="I13061" s="2"/>
    </row>
    <row r="13062" spans="9:9">
      <c r="I13062" s="2"/>
    </row>
    <row r="13063" spans="9:9">
      <c r="I13063" s="2"/>
    </row>
    <row r="13064" spans="9:9">
      <c r="I13064" s="2"/>
    </row>
    <row r="13065" spans="9:9">
      <c r="I13065" s="2"/>
    </row>
    <row r="13066" spans="9:9">
      <c r="I13066" s="2"/>
    </row>
    <row r="13067" spans="9:9">
      <c r="I13067" s="2"/>
    </row>
    <row r="13068" spans="9:9">
      <c r="I13068" s="2"/>
    </row>
    <row r="13069" spans="9:9">
      <c r="I13069" s="2"/>
    </row>
    <row r="13070" spans="9:9">
      <c r="I13070" s="2"/>
    </row>
    <row r="13071" spans="9:9">
      <c r="I13071" s="2"/>
    </row>
    <row r="13072" spans="9:9">
      <c r="I13072" s="2"/>
    </row>
    <row r="13073" spans="9:9">
      <c r="I13073" s="2"/>
    </row>
    <row r="13074" spans="9:9">
      <c r="I13074" s="2"/>
    </row>
    <row r="13075" spans="9:9">
      <c r="I13075" s="2"/>
    </row>
    <row r="13076" spans="9:9">
      <c r="I13076" s="2"/>
    </row>
    <row r="13077" spans="9:9">
      <c r="I13077" s="2"/>
    </row>
    <row r="13078" spans="9:9">
      <c r="I13078" s="2"/>
    </row>
    <row r="13079" spans="9:9">
      <c r="I13079" s="2"/>
    </row>
    <row r="13080" spans="9:9">
      <c r="I13080" s="2"/>
    </row>
    <row r="13081" spans="9:9">
      <c r="I13081" s="2"/>
    </row>
    <row r="13082" spans="9:9">
      <c r="I13082" s="2"/>
    </row>
    <row r="13083" spans="9:9">
      <c r="I13083" s="2"/>
    </row>
    <row r="13084" spans="9:9">
      <c r="I13084" s="2"/>
    </row>
    <row r="13085" spans="9:9">
      <c r="I13085" s="2"/>
    </row>
    <row r="13086" spans="9:9">
      <c r="I13086" s="2"/>
    </row>
    <row r="13087" spans="9:9">
      <c r="I13087" s="2"/>
    </row>
    <row r="13088" spans="9:9">
      <c r="I13088" s="2"/>
    </row>
    <row r="13089" spans="9:9">
      <c r="I13089" s="2"/>
    </row>
    <row r="13090" spans="9:9">
      <c r="I13090" s="2"/>
    </row>
    <row r="13091" spans="9:9">
      <c r="I13091" s="2"/>
    </row>
    <row r="13092" spans="9:9">
      <c r="I13092" s="2"/>
    </row>
    <row r="13093" spans="9:9">
      <c r="I13093" s="2"/>
    </row>
    <row r="13094" spans="9:9">
      <c r="I13094" s="2"/>
    </row>
    <row r="13095" spans="9:9">
      <c r="I13095" s="2"/>
    </row>
    <row r="13096" spans="9:9">
      <c r="I13096" s="2"/>
    </row>
    <row r="13097" spans="9:9">
      <c r="I13097" s="2"/>
    </row>
    <row r="13098" spans="9:9">
      <c r="I13098" s="2"/>
    </row>
    <row r="13099" spans="9:9">
      <c r="I13099" s="2"/>
    </row>
    <row r="13100" spans="9:9">
      <c r="I13100" s="2"/>
    </row>
    <row r="13101" spans="9:9">
      <c r="I13101" s="2"/>
    </row>
    <row r="13102" spans="9:9">
      <c r="I13102" s="2"/>
    </row>
    <row r="13103" spans="9:9">
      <c r="I13103" s="2"/>
    </row>
    <row r="13104" spans="9:9">
      <c r="I13104" s="2"/>
    </row>
    <row r="13105" spans="9:9">
      <c r="I13105" s="2"/>
    </row>
    <row r="13106" spans="9:9">
      <c r="I13106" s="2"/>
    </row>
    <row r="13107" spans="9:9">
      <c r="I13107" s="2"/>
    </row>
    <row r="13108" spans="9:9">
      <c r="I13108" s="2"/>
    </row>
    <row r="13109" spans="9:9">
      <c r="I13109" s="2"/>
    </row>
    <row r="13110" spans="9:9">
      <c r="I13110" s="2"/>
    </row>
    <row r="13111" spans="9:9">
      <c r="I13111" s="2"/>
    </row>
    <row r="13112" spans="9:9">
      <c r="I13112" s="2"/>
    </row>
    <row r="13113" spans="9:9">
      <c r="I13113" s="2"/>
    </row>
    <row r="13114" spans="9:9">
      <c r="I13114" s="2"/>
    </row>
    <row r="13115" spans="9:9">
      <c r="I13115" s="2"/>
    </row>
    <row r="13116" spans="9:9">
      <c r="I13116" s="2"/>
    </row>
    <row r="13117" spans="9:9">
      <c r="I13117" s="2"/>
    </row>
    <row r="13118" spans="9:9">
      <c r="I13118" s="2"/>
    </row>
    <row r="13119" spans="9:9">
      <c r="I13119" s="2"/>
    </row>
    <row r="13120" spans="9:9">
      <c r="I13120" s="2"/>
    </row>
    <row r="13121" spans="9:9">
      <c r="I13121" s="2"/>
    </row>
    <row r="13122" spans="9:9">
      <c r="I13122" s="2"/>
    </row>
    <row r="13123" spans="9:9">
      <c r="I13123" s="2"/>
    </row>
    <row r="13124" spans="9:9">
      <c r="I13124" s="2"/>
    </row>
    <row r="13125" spans="9:9">
      <c r="I13125" s="2"/>
    </row>
    <row r="13126" spans="9:9">
      <c r="I13126" s="2"/>
    </row>
    <row r="13127" spans="9:9">
      <c r="I13127" s="2"/>
    </row>
    <row r="13128" spans="9:9">
      <c r="I13128" s="2"/>
    </row>
    <row r="13129" spans="9:9">
      <c r="I13129" s="2"/>
    </row>
    <row r="13130" spans="9:9">
      <c r="I13130" s="2"/>
    </row>
    <row r="13131" spans="9:9">
      <c r="I13131" s="2"/>
    </row>
    <row r="13132" spans="9:9">
      <c r="I13132" s="2"/>
    </row>
    <row r="13133" spans="9:9">
      <c r="I13133" s="2"/>
    </row>
    <row r="13134" spans="9:9">
      <c r="I13134" s="2"/>
    </row>
    <row r="13135" spans="9:9">
      <c r="I13135" s="2"/>
    </row>
    <row r="13136" spans="9:9">
      <c r="I13136" s="2"/>
    </row>
    <row r="13137" spans="9:9">
      <c r="I13137" s="2"/>
    </row>
    <row r="13138" spans="9:9">
      <c r="I13138" s="2"/>
    </row>
    <row r="13139" spans="9:9">
      <c r="I13139" s="2"/>
    </row>
    <row r="13140" spans="9:9">
      <c r="I13140" s="2"/>
    </row>
    <row r="13141" spans="9:9">
      <c r="I13141" s="2"/>
    </row>
    <row r="13142" spans="9:9">
      <c r="I13142" s="2"/>
    </row>
    <row r="13143" spans="9:9">
      <c r="I13143" s="2"/>
    </row>
    <row r="13144" spans="9:9">
      <c r="I13144" s="2"/>
    </row>
    <row r="13145" spans="9:9">
      <c r="I13145" s="2"/>
    </row>
    <row r="13146" spans="9:9">
      <c r="I13146" s="2"/>
    </row>
    <row r="13147" spans="9:9">
      <c r="I13147" s="2"/>
    </row>
    <row r="13148" spans="9:9">
      <c r="I13148" s="2"/>
    </row>
    <row r="13149" spans="9:9">
      <c r="I13149" s="2"/>
    </row>
    <row r="13150" spans="9:9">
      <c r="I13150" s="2"/>
    </row>
    <row r="13151" spans="9:9">
      <c r="I13151" s="2"/>
    </row>
    <row r="13152" spans="9:9">
      <c r="I13152" s="2"/>
    </row>
    <row r="13153" spans="9:9">
      <c r="I13153" s="2"/>
    </row>
    <row r="13154" spans="9:9">
      <c r="I13154" s="2"/>
    </row>
    <row r="13155" spans="9:9">
      <c r="I13155" s="2"/>
    </row>
    <row r="13156" spans="9:9">
      <c r="I13156" s="2"/>
    </row>
    <row r="13157" spans="9:9">
      <c r="I13157" s="2"/>
    </row>
    <row r="13158" spans="9:9">
      <c r="I13158" s="2"/>
    </row>
    <row r="13159" spans="9:9">
      <c r="I13159" s="2"/>
    </row>
    <row r="13160" spans="9:9">
      <c r="I13160" s="2"/>
    </row>
    <row r="13161" spans="9:9">
      <c r="I13161" s="2"/>
    </row>
    <row r="13162" spans="9:9">
      <c r="I13162" s="2"/>
    </row>
    <row r="13163" spans="9:9">
      <c r="I13163" s="2"/>
    </row>
    <row r="13164" spans="9:9">
      <c r="I13164" s="2"/>
    </row>
    <row r="13165" spans="9:9">
      <c r="I13165" s="2"/>
    </row>
    <row r="13166" spans="9:9">
      <c r="I13166" s="2"/>
    </row>
    <row r="13167" spans="9:9">
      <c r="I13167" s="2"/>
    </row>
    <row r="13168" spans="9:9">
      <c r="I13168" s="2"/>
    </row>
    <row r="13169" spans="9:9">
      <c r="I13169" s="2"/>
    </row>
    <row r="13170" spans="9:9">
      <c r="I13170" s="2"/>
    </row>
    <row r="13171" spans="9:9">
      <c r="I13171" s="2"/>
    </row>
    <row r="13172" spans="9:9">
      <c r="I13172" s="2"/>
    </row>
    <row r="13173" spans="9:9">
      <c r="I13173" s="2"/>
    </row>
    <row r="13174" spans="9:9">
      <c r="I13174" s="2"/>
    </row>
    <row r="13175" spans="9:9">
      <c r="I13175" s="2"/>
    </row>
    <row r="13176" spans="9:9">
      <c r="I13176" s="2"/>
    </row>
    <row r="13177" spans="9:9">
      <c r="I13177" s="2"/>
    </row>
    <row r="13178" spans="9:9">
      <c r="I13178" s="2"/>
    </row>
    <row r="13179" spans="9:9">
      <c r="I13179" s="2"/>
    </row>
    <row r="13180" spans="9:9">
      <c r="I13180" s="2"/>
    </row>
    <row r="13181" spans="9:9">
      <c r="I13181" s="2"/>
    </row>
    <row r="13182" spans="9:9">
      <c r="I13182" s="2"/>
    </row>
    <row r="13183" spans="9:9">
      <c r="I13183" s="2"/>
    </row>
    <row r="13184" spans="9:9">
      <c r="I13184" s="2"/>
    </row>
    <row r="13185" spans="9:9">
      <c r="I13185" s="2"/>
    </row>
    <row r="13186" spans="9:9">
      <c r="I13186" s="2"/>
    </row>
    <row r="13187" spans="9:9">
      <c r="I13187" s="2"/>
    </row>
    <row r="13188" spans="9:9">
      <c r="I13188" s="2"/>
    </row>
    <row r="13189" spans="9:9">
      <c r="I13189" s="2"/>
    </row>
    <row r="13190" spans="9:9">
      <c r="I13190" s="2"/>
    </row>
    <row r="13191" spans="9:9">
      <c r="I13191" s="2"/>
    </row>
    <row r="13192" spans="9:9">
      <c r="I13192" s="2"/>
    </row>
    <row r="13193" spans="9:9">
      <c r="I13193" s="2"/>
    </row>
    <row r="13194" spans="9:9">
      <c r="I13194" s="2"/>
    </row>
    <row r="13195" spans="9:9">
      <c r="I13195" s="2"/>
    </row>
    <row r="13196" spans="9:9">
      <c r="I13196" s="2"/>
    </row>
    <row r="13197" spans="9:9">
      <c r="I13197" s="2"/>
    </row>
    <row r="13198" spans="9:9">
      <c r="I13198" s="2"/>
    </row>
    <row r="13199" spans="9:9">
      <c r="I13199" s="2"/>
    </row>
    <row r="13200" spans="9:9">
      <c r="I13200" s="2"/>
    </row>
    <row r="13201" spans="9:9">
      <c r="I13201" s="2"/>
    </row>
    <row r="13202" spans="9:9">
      <c r="I13202" s="2"/>
    </row>
    <row r="13203" spans="9:9">
      <c r="I13203" s="2"/>
    </row>
    <row r="13204" spans="9:9">
      <c r="I13204" s="2"/>
    </row>
    <row r="13205" spans="9:9">
      <c r="I13205" s="2"/>
    </row>
    <row r="13206" spans="9:9">
      <c r="I13206" s="2"/>
    </row>
    <row r="13207" spans="9:9">
      <c r="I13207" s="2"/>
    </row>
    <row r="13208" spans="9:9">
      <c r="I13208" s="2"/>
    </row>
    <row r="13209" spans="9:9">
      <c r="I13209" s="2"/>
    </row>
    <row r="13210" spans="9:9">
      <c r="I13210" s="2"/>
    </row>
    <row r="13211" spans="9:9">
      <c r="I13211" s="2"/>
    </row>
    <row r="13212" spans="9:9">
      <c r="I13212" s="2"/>
    </row>
    <row r="13213" spans="9:9">
      <c r="I13213" s="2"/>
    </row>
    <row r="13214" spans="9:9">
      <c r="I13214" s="2"/>
    </row>
    <row r="13215" spans="9:9">
      <c r="I13215" s="2"/>
    </row>
    <row r="13216" spans="9:9">
      <c r="I13216" s="2"/>
    </row>
    <row r="13217" spans="9:9">
      <c r="I13217" s="2"/>
    </row>
    <row r="13218" spans="9:9">
      <c r="I13218" s="2"/>
    </row>
    <row r="13219" spans="9:9">
      <c r="I13219" s="2"/>
    </row>
    <row r="13220" spans="9:9">
      <c r="I13220" s="2"/>
    </row>
    <row r="13221" spans="9:9">
      <c r="I13221" s="2"/>
    </row>
    <row r="13222" spans="9:9">
      <c r="I13222" s="2"/>
    </row>
    <row r="13223" spans="9:9">
      <c r="I13223" s="2"/>
    </row>
    <row r="13224" spans="9:9">
      <c r="I13224" s="2"/>
    </row>
    <row r="13225" spans="9:9">
      <c r="I13225" s="2"/>
    </row>
    <row r="13226" spans="9:9">
      <c r="I13226" s="2"/>
    </row>
    <row r="13227" spans="9:9">
      <c r="I13227" s="2"/>
    </row>
    <row r="13228" spans="9:9">
      <c r="I13228" s="2"/>
    </row>
    <row r="13229" spans="9:9">
      <c r="I13229" s="2"/>
    </row>
    <row r="13230" spans="9:9">
      <c r="I13230" s="2"/>
    </row>
    <row r="13231" spans="9:9">
      <c r="I13231" s="2"/>
    </row>
    <row r="13232" spans="9:9">
      <c r="I13232" s="2"/>
    </row>
    <row r="13233" spans="9:9">
      <c r="I13233" s="2"/>
    </row>
    <row r="13234" spans="9:9">
      <c r="I13234" s="2"/>
    </row>
    <row r="13235" spans="9:9">
      <c r="I13235" s="2"/>
    </row>
    <row r="13236" spans="9:9">
      <c r="I13236" s="2"/>
    </row>
    <row r="13237" spans="9:9">
      <c r="I13237" s="2"/>
    </row>
    <row r="13238" spans="9:9">
      <c r="I13238" s="2"/>
    </row>
    <row r="13239" spans="9:9">
      <c r="I13239" s="2"/>
    </row>
    <row r="13240" spans="9:9">
      <c r="I13240" s="2"/>
    </row>
    <row r="13241" spans="9:9">
      <c r="I13241" s="2"/>
    </row>
    <row r="13242" spans="9:9">
      <c r="I13242" s="2"/>
    </row>
    <row r="13243" spans="9:9">
      <c r="I13243" s="2"/>
    </row>
    <row r="13244" spans="9:9">
      <c r="I13244" s="2"/>
    </row>
    <row r="13245" spans="9:9">
      <c r="I13245" s="2"/>
    </row>
    <row r="13246" spans="9:9">
      <c r="I13246" s="2"/>
    </row>
    <row r="13247" spans="9:9">
      <c r="I13247" s="2"/>
    </row>
    <row r="13248" spans="9:9">
      <c r="I13248" s="2"/>
    </row>
    <row r="13249" spans="9:9">
      <c r="I13249" s="2"/>
    </row>
    <row r="13250" spans="9:9">
      <c r="I13250" s="2"/>
    </row>
    <row r="13251" spans="9:9">
      <c r="I13251" s="2"/>
    </row>
    <row r="13252" spans="9:9">
      <c r="I13252" s="2"/>
    </row>
    <row r="13253" spans="9:9">
      <c r="I13253" s="2"/>
    </row>
    <row r="13254" spans="9:9">
      <c r="I13254" s="2"/>
    </row>
    <row r="13255" spans="9:9">
      <c r="I13255" s="2"/>
    </row>
    <row r="13256" spans="9:9">
      <c r="I13256" s="2"/>
    </row>
    <row r="13257" spans="9:9">
      <c r="I13257" s="2"/>
    </row>
    <row r="13258" spans="9:9">
      <c r="I13258" s="2"/>
    </row>
    <row r="13259" spans="9:9">
      <c r="I13259" s="2"/>
    </row>
    <row r="13260" spans="9:9">
      <c r="I13260" s="2"/>
    </row>
    <row r="13261" spans="9:9">
      <c r="I13261" s="2"/>
    </row>
    <row r="13262" spans="9:9">
      <c r="I13262" s="2"/>
    </row>
    <row r="13263" spans="9:9">
      <c r="I13263" s="2"/>
    </row>
    <row r="13264" spans="9:9">
      <c r="I13264" s="2"/>
    </row>
    <row r="13265" spans="9:9">
      <c r="I13265" s="2"/>
    </row>
    <row r="13266" spans="9:9">
      <c r="I13266" s="2"/>
    </row>
    <row r="13267" spans="9:9">
      <c r="I13267" s="2"/>
    </row>
    <row r="13268" spans="9:9">
      <c r="I13268" s="2"/>
    </row>
    <row r="13269" spans="9:9">
      <c r="I13269" s="2"/>
    </row>
    <row r="13270" spans="9:9">
      <c r="I13270" s="2"/>
    </row>
    <row r="13271" spans="9:9">
      <c r="I13271" s="2"/>
    </row>
    <row r="13272" spans="9:9">
      <c r="I13272" s="2"/>
    </row>
    <row r="13273" spans="9:9">
      <c r="I13273" s="2"/>
    </row>
    <row r="13274" spans="9:9">
      <c r="I13274" s="2"/>
    </row>
    <row r="13275" spans="9:9">
      <c r="I13275" s="2"/>
    </row>
    <row r="13276" spans="9:9">
      <c r="I13276" s="2"/>
    </row>
    <row r="13277" spans="9:9">
      <c r="I13277" s="2"/>
    </row>
    <row r="13278" spans="9:9">
      <c r="I13278" s="2"/>
    </row>
    <row r="13279" spans="9:9">
      <c r="I13279" s="2"/>
    </row>
    <row r="13280" spans="9:9">
      <c r="I13280" s="2"/>
    </row>
    <row r="13281" spans="9:9">
      <c r="I13281" s="2"/>
    </row>
    <row r="13282" spans="9:9">
      <c r="I13282" s="2"/>
    </row>
    <row r="13283" spans="9:9">
      <c r="I13283" s="2"/>
    </row>
    <row r="13284" spans="9:9">
      <c r="I13284" s="2"/>
    </row>
    <row r="13285" spans="9:9">
      <c r="I13285" s="2"/>
    </row>
    <row r="13286" spans="9:9">
      <c r="I13286" s="2"/>
    </row>
    <row r="13287" spans="9:9">
      <c r="I13287" s="2"/>
    </row>
    <row r="13288" spans="9:9">
      <c r="I13288" s="2"/>
    </row>
    <row r="13289" spans="9:9">
      <c r="I13289" s="2"/>
    </row>
    <row r="13290" spans="9:9">
      <c r="I13290" s="2"/>
    </row>
    <row r="13291" spans="9:9">
      <c r="I13291" s="2"/>
    </row>
    <row r="13292" spans="9:9">
      <c r="I13292" s="2"/>
    </row>
    <row r="13293" spans="9:9">
      <c r="I13293" s="2"/>
    </row>
    <row r="13294" spans="9:9">
      <c r="I13294" s="2"/>
    </row>
    <row r="13295" spans="9:9">
      <c r="I13295" s="2"/>
    </row>
    <row r="13296" spans="9:9">
      <c r="I13296" s="2"/>
    </row>
    <row r="13297" spans="9:9">
      <c r="I13297" s="2"/>
    </row>
    <row r="13298" spans="9:9">
      <c r="I13298" s="2"/>
    </row>
    <row r="13299" spans="9:9">
      <c r="I13299" s="2"/>
    </row>
    <row r="13300" spans="9:9">
      <c r="I13300" s="2"/>
    </row>
    <row r="13301" spans="9:9">
      <c r="I13301" s="2"/>
    </row>
    <row r="13302" spans="9:9">
      <c r="I13302" s="2"/>
    </row>
    <row r="13303" spans="9:9">
      <c r="I13303" s="2"/>
    </row>
    <row r="13304" spans="9:9">
      <c r="I13304" s="2"/>
    </row>
    <row r="13305" spans="9:9">
      <c r="I13305" s="2"/>
    </row>
    <row r="13306" spans="9:9">
      <c r="I13306" s="2"/>
    </row>
    <row r="13307" spans="9:9">
      <c r="I13307" s="2"/>
    </row>
    <row r="13308" spans="9:9">
      <c r="I13308" s="2"/>
    </row>
    <row r="13309" spans="9:9">
      <c r="I13309" s="2"/>
    </row>
    <row r="13310" spans="9:9">
      <c r="I13310" s="2"/>
    </row>
    <row r="13311" spans="9:9">
      <c r="I13311" s="2"/>
    </row>
    <row r="13312" spans="9:9">
      <c r="I13312" s="2"/>
    </row>
    <row r="13313" spans="9:9">
      <c r="I13313" s="2"/>
    </row>
    <row r="13314" spans="9:9">
      <c r="I13314" s="2"/>
    </row>
    <row r="13315" spans="9:9">
      <c r="I13315" s="2"/>
    </row>
    <row r="13316" spans="9:9">
      <c r="I13316" s="2"/>
    </row>
    <row r="13317" spans="9:9">
      <c r="I13317" s="2"/>
    </row>
    <row r="13318" spans="9:9">
      <c r="I13318" s="2"/>
    </row>
    <row r="13319" spans="9:9">
      <c r="I13319" s="2"/>
    </row>
    <row r="13320" spans="9:9">
      <c r="I13320" s="2"/>
    </row>
    <row r="13321" spans="9:9">
      <c r="I13321" s="2"/>
    </row>
    <row r="13322" spans="9:9">
      <c r="I13322" s="2"/>
    </row>
    <row r="13323" spans="9:9">
      <c r="I13323" s="2"/>
    </row>
    <row r="13324" spans="9:9">
      <c r="I13324" s="2"/>
    </row>
    <row r="13325" spans="9:9">
      <c r="I13325" s="2"/>
    </row>
    <row r="13326" spans="9:9">
      <c r="I13326" s="2"/>
    </row>
    <row r="13327" spans="9:9">
      <c r="I13327" s="2"/>
    </row>
    <row r="13328" spans="9:9">
      <c r="I13328" s="2"/>
    </row>
    <row r="13329" spans="9:9">
      <c r="I13329" s="2"/>
    </row>
    <row r="13330" spans="9:9">
      <c r="I13330" s="2"/>
    </row>
    <row r="13331" spans="9:9">
      <c r="I13331" s="2"/>
    </row>
    <row r="13332" spans="9:9">
      <c r="I13332" s="2"/>
    </row>
    <row r="13333" spans="9:9">
      <c r="I13333" s="2"/>
    </row>
    <row r="13334" spans="9:9">
      <c r="I13334" s="2"/>
    </row>
    <row r="13335" spans="9:9">
      <c r="I13335" s="2"/>
    </row>
    <row r="13336" spans="9:9">
      <c r="I13336" s="2"/>
    </row>
    <row r="13337" spans="9:9">
      <c r="I13337" s="2"/>
    </row>
    <row r="13338" spans="9:9">
      <c r="I13338" s="2"/>
    </row>
    <row r="13339" spans="9:9">
      <c r="I13339" s="2"/>
    </row>
    <row r="13340" spans="9:9">
      <c r="I13340" s="2"/>
    </row>
    <row r="13341" spans="9:9">
      <c r="I13341" s="2"/>
    </row>
    <row r="13342" spans="9:9">
      <c r="I13342" s="2"/>
    </row>
    <row r="13343" spans="9:9">
      <c r="I13343" s="2"/>
    </row>
    <row r="13344" spans="9:9">
      <c r="I13344" s="2"/>
    </row>
    <row r="13345" spans="9:9">
      <c r="I13345" s="2"/>
    </row>
    <row r="13346" spans="9:9">
      <c r="I13346" s="2"/>
    </row>
    <row r="13347" spans="9:9">
      <c r="I13347" s="2"/>
    </row>
    <row r="13348" spans="9:9">
      <c r="I13348" s="2"/>
    </row>
    <row r="13349" spans="9:9">
      <c r="I13349" s="2"/>
    </row>
    <row r="13350" spans="9:9">
      <c r="I13350" s="2"/>
    </row>
    <row r="13351" spans="9:9">
      <c r="I13351" s="2"/>
    </row>
    <row r="13352" spans="9:9">
      <c r="I13352" s="2"/>
    </row>
    <row r="13353" spans="9:9">
      <c r="I13353" s="2"/>
    </row>
    <row r="13354" spans="9:9">
      <c r="I13354" s="2"/>
    </row>
    <row r="13355" spans="9:9">
      <c r="I13355" s="2"/>
    </row>
    <row r="13356" spans="9:9">
      <c r="I13356" s="2"/>
    </row>
    <row r="13357" spans="9:9">
      <c r="I13357" s="2"/>
    </row>
    <row r="13358" spans="9:9">
      <c r="I13358" s="2"/>
    </row>
    <row r="13359" spans="9:9">
      <c r="I13359" s="2"/>
    </row>
    <row r="13360" spans="9:9">
      <c r="I13360" s="2"/>
    </row>
    <row r="13361" spans="9:9">
      <c r="I13361" s="2"/>
    </row>
    <row r="13362" spans="9:9">
      <c r="I13362" s="2"/>
    </row>
    <row r="13363" spans="9:9">
      <c r="I13363" s="2"/>
    </row>
    <row r="13364" spans="9:9">
      <c r="I13364" s="2"/>
    </row>
    <row r="13365" spans="9:9">
      <c r="I13365" s="2"/>
    </row>
    <row r="13366" spans="9:9">
      <c r="I13366" s="2"/>
    </row>
    <row r="13367" spans="9:9">
      <c r="I13367" s="2"/>
    </row>
    <row r="13368" spans="9:9">
      <c r="I13368" s="2"/>
    </row>
    <row r="13369" spans="9:9">
      <c r="I13369" s="2"/>
    </row>
    <row r="13370" spans="9:9">
      <c r="I13370" s="2"/>
    </row>
    <row r="13371" spans="9:9">
      <c r="I13371" s="2"/>
    </row>
    <row r="13372" spans="9:9">
      <c r="I13372" s="2"/>
    </row>
    <row r="13373" spans="9:9">
      <c r="I13373" s="2"/>
    </row>
    <row r="13374" spans="9:9">
      <c r="I13374" s="2"/>
    </row>
    <row r="13375" spans="9:9">
      <c r="I13375" s="2"/>
    </row>
    <row r="13376" spans="9:9">
      <c r="I13376" s="2"/>
    </row>
    <row r="13377" spans="9:9">
      <c r="I13377" s="2"/>
    </row>
    <row r="13378" spans="9:9">
      <c r="I13378" s="2"/>
    </row>
    <row r="13379" spans="9:9">
      <c r="I13379" s="2"/>
    </row>
    <row r="13380" spans="9:9">
      <c r="I13380" s="2"/>
    </row>
    <row r="13381" spans="9:9">
      <c r="I13381" s="2"/>
    </row>
    <row r="13382" spans="9:9">
      <c r="I13382" s="2"/>
    </row>
    <row r="13383" spans="9:9">
      <c r="I13383" s="2"/>
    </row>
    <row r="13384" spans="9:9">
      <c r="I13384" s="2"/>
    </row>
    <row r="13385" spans="9:9">
      <c r="I13385" s="2"/>
    </row>
    <row r="13386" spans="9:9">
      <c r="I13386" s="2"/>
    </row>
    <row r="13387" spans="9:9">
      <c r="I13387" s="2"/>
    </row>
    <row r="13388" spans="9:9">
      <c r="I13388" s="2"/>
    </row>
    <row r="13389" spans="9:9">
      <c r="I13389" s="2"/>
    </row>
    <row r="13390" spans="9:9">
      <c r="I13390" s="2"/>
    </row>
    <row r="13391" spans="9:9">
      <c r="I13391" s="2"/>
    </row>
    <row r="13392" spans="9:9">
      <c r="I13392" s="2"/>
    </row>
    <row r="13393" spans="9:9">
      <c r="I13393" s="2"/>
    </row>
    <row r="13394" spans="9:9">
      <c r="I13394" s="2"/>
    </row>
    <row r="13395" spans="9:9">
      <c r="I13395" s="2"/>
    </row>
    <row r="13396" spans="9:9">
      <c r="I13396" s="2"/>
    </row>
    <row r="13397" spans="9:9">
      <c r="I13397" s="2"/>
    </row>
    <row r="13398" spans="9:9">
      <c r="I13398" s="2"/>
    </row>
    <row r="13399" spans="9:9">
      <c r="I13399" s="2"/>
    </row>
    <row r="13400" spans="9:9">
      <c r="I13400" s="2"/>
    </row>
    <row r="13401" spans="9:9">
      <c r="I13401" s="2"/>
    </row>
    <row r="13402" spans="9:9">
      <c r="I13402" s="2"/>
    </row>
    <row r="13403" spans="9:9">
      <c r="I13403" s="2"/>
    </row>
    <row r="13404" spans="9:9">
      <c r="I13404" s="2"/>
    </row>
    <row r="13405" spans="9:9">
      <c r="I13405" s="2"/>
    </row>
    <row r="13406" spans="9:9">
      <c r="I13406" s="2"/>
    </row>
    <row r="13407" spans="9:9">
      <c r="I13407" s="2"/>
    </row>
    <row r="13408" spans="9:9">
      <c r="I13408" s="2"/>
    </row>
    <row r="13409" spans="9:9">
      <c r="I13409" s="2"/>
    </row>
    <row r="13410" spans="9:9">
      <c r="I13410" s="2"/>
    </row>
    <row r="13411" spans="9:9">
      <c r="I13411" s="2"/>
    </row>
    <row r="13412" spans="9:9">
      <c r="I13412" s="2"/>
    </row>
    <row r="13413" spans="9:9">
      <c r="I13413" s="2"/>
    </row>
    <row r="13414" spans="9:9">
      <c r="I13414" s="2"/>
    </row>
    <row r="13415" spans="9:9">
      <c r="I13415" s="2"/>
    </row>
    <row r="13416" spans="9:9">
      <c r="I13416" s="2"/>
    </row>
    <row r="13417" spans="9:9">
      <c r="I13417" s="2"/>
    </row>
    <row r="13418" spans="9:9">
      <c r="I13418" s="2"/>
    </row>
    <row r="13419" spans="9:9">
      <c r="I13419" s="2"/>
    </row>
    <row r="13420" spans="9:9">
      <c r="I13420" s="2"/>
    </row>
    <row r="13421" spans="9:9">
      <c r="I13421" s="2"/>
    </row>
    <row r="13422" spans="9:9">
      <c r="I13422" s="2"/>
    </row>
    <row r="13423" spans="9:9">
      <c r="I13423" s="2"/>
    </row>
    <row r="13424" spans="9:9">
      <c r="I13424" s="2"/>
    </row>
    <row r="13425" spans="9:9">
      <c r="I13425" s="2"/>
    </row>
    <row r="13426" spans="9:9">
      <c r="I13426" s="2"/>
    </row>
    <row r="13427" spans="9:9">
      <c r="I13427" s="2"/>
    </row>
    <row r="13428" spans="9:9">
      <c r="I13428" s="2"/>
    </row>
    <row r="13429" spans="9:9">
      <c r="I13429" s="2"/>
    </row>
    <row r="13430" spans="9:9">
      <c r="I13430" s="2"/>
    </row>
    <row r="13431" spans="9:9">
      <c r="I13431" s="2"/>
    </row>
    <row r="13432" spans="9:9">
      <c r="I13432" s="2"/>
    </row>
    <row r="13433" spans="9:9">
      <c r="I13433" s="2"/>
    </row>
    <row r="13434" spans="9:9">
      <c r="I13434" s="2"/>
    </row>
    <row r="13435" spans="9:9">
      <c r="I13435" s="2"/>
    </row>
    <row r="13436" spans="9:9">
      <c r="I13436" s="2"/>
    </row>
    <row r="13437" spans="9:9">
      <c r="I13437" s="2"/>
    </row>
    <row r="13438" spans="9:9">
      <c r="I13438" s="2"/>
    </row>
    <row r="13439" spans="9:9">
      <c r="I13439" s="2"/>
    </row>
    <row r="13440" spans="9:9">
      <c r="I13440" s="2"/>
    </row>
    <row r="13441" spans="9:9">
      <c r="I13441" s="2"/>
    </row>
    <row r="13442" spans="9:9">
      <c r="I13442" s="2"/>
    </row>
    <row r="13443" spans="9:9">
      <c r="I13443" s="2"/>
    </row>
    <row r="13444" spans="9:9">
      <c r="I13444" s="2"/>
    </row>
    <row r="13445" spans="9:9">
      <c r="I13445" s="2"/>
    </row>
    <row r="13446" spans="9:9">
      <c r="I13446" s="2"/>
    </row>
    <row r="13447" spans="9:9">
      <c r="I13447" s="2"/>
    </row>
    <row r="13448" spans="9:9">
      <c r="I13448" s="2"/>
    </row>
    <row r="13449" spans="9:9">
      <c r="I13449" s="2"/>
    </row>
    <row r="13450" spans="9:9">
      <c r="I13450" s="2"/>
    </row>
    <row r="13451" spans="9:9">
      <c r="I13451" s="2"/>
    </row>
    <row r="13452" spans="9:9">
      <c r="I13452" s="2"/>
    </row>
    <row r="13453" spans="9:9">
      <c r="I13453" s="2"/>
    </row>
    <row r="13454" spans="9:9">
      <c r="I13454" s="2"/>
    </row>
    <row r="13455" spans="9:9">
      <c r="I13455" s="2"/>
    </row>
    <row r="13456" spans="9:9">
      <c r="I13456" s="2"/>
    </row>
    <row r="13457" spans="9:9">
      <c r="I13457" s="2"/>
    </row>
    <row r="13458" spans="9:9">
      <c r="I13458" s="2"/>
    </row>
    <row r="13459" spans="9:9">
      <c r="I13459" s="2"/>
    </row>
    <row r="13460" spans="9:9">
      <c r="I13460" s="2"/>
    </row>
    <row r="13461" spans="9:9">
      <c r="I13461" s="2"/>
    </row>
    <row r="13462" spans="9:9">
      <c r="I13462" s="2"/>
    </row>
    <row r="13463" spans="9:9">
      <c r="I13463" s="2"/>
    </row>
    <row r="13464" spans="9:9">
      <c r="I13464" s="2"/>
    </row>
    <row r="13465" spans="9:9">
      <c r="I13465" s="2"/>
    </row>
    <row r="13466" spans="9:9">
      <c r="I13466" s="2"/>
    </row>
    <row r="13467" spans="9:9">
      <c r="I13467" s="2"/>
    </row>
    <row r="13468" spans="9:9">
      <c r="I13468" s="2"/>
    </row>
    <row r="13469" spans="9:9">
      <c r="I13469" s="2"/>
    </row>
    <row r="13470" spans="9:9">
      <c r="I13470" s="2"/>
    </row>
    <row r="13471" spans="9:9">
      <c r="I13471" s="2"/>
    </row>
    <row r="13472" spans="9:9">
      <c r="I13472" s="2"/>
    </row>
    <row r="13473" spans="9:9">
      <c r="I13473" s="2"/>
    </row>
    <row r="13474" spans="9:9">
      <c r="I13474" s="2"/>
    </row>
    <row r="13475" spans="9:9">
      <c r="I13475" s="2"/>
    </row>
    <row r="13476" spans="9:9">
      <c r="I13476" s="2"/>
    </row>
    <row r="13477" spans="9:9">
      <c r="I13477" s="2"/>
    </row>
    <row r="13478" spans="9:9">
      <c r="I13478" s="2"/>
    </row>
    <row r="13479" spans="9:9">
      <c r="I13479" s="2"/>
    </row>
    <row r="13480" spans="9:9">
      <c r="I13480" s="2"/>
    </row>
    <row r="13481" spans="9:9">
      <c r="I13481" s="2"/>
    </row>
    <row r="13482" spans="9:9">
      <c r="I13482" s="2"/>
    </row>
    <row r="13483" spans="9:9">
      <c r="I13483" s="2"/>
    </row>
    <row r="13484" spans="9:9">
      <c r="I13484" s="2"/>
    </row>
    <row r="13485" spans="9:9">
      <c r="I13485" s="2"/>
    </row>
    <row r="13486" spans="9:9">
      <c r="I13486" s="2"/>
    </row>
    <row r="13487" spans="9:9">
      <c r="I13487" s="2"/>
    </row>
    <row r="13488" spans="9:9">
      <c r="I13488" s="2"/>
    </row>
    <row r="13489" spans="9:9">
      <c r="I13489" s="2"/>
    </row>
    <row r="13490" spans="9:9">
      <c r="I13490" s="2"/>
    </row>
    <row r="13491" spans="9:9">
      <c r="I13491" s="2"/>
    </row>
    <row r="13492" spans="9:9">
      <c r="I13492" s="2"/>
    </row>
    <row r="13493" spans="9:9">
      <c r="I13493" s="2"/>
    </row>
    <row r="13494" spans="9:9">
      <c r="I13494" s="2"/>
    </row>
    <row r="13495" spans="9:9">
      <c r="I13495" s="2"/>
    </row>
    <row r="13496" spans="9:9">
      <c r="I13496" s="2"/>
    </row>
    <row r="13497" spans="9:9">
      <c r="I13497" s="2"/>
    </row>
    <row r="13498" spans="9:9">
      <c r="I13498" s="2"/>
    </row>
    <row r="13499" spans="9:9">
      <c r="I13499" s="2"/>
    </row>
    <row r="13500" spans="9:9">
      <c r="I13500" s="2"/>
    </row>
    <row r="13501" spans="9:9">
      <c r="I13501" s="2"/>
    </row>
    <row r="13502" spans="9:9">
      <c r="I13502" s="2"/>
    </row>
    <row r="13503" spans="9:9">
      <c r="I13503" s="2"/>
    </row>
    <row r="13504" spans="9:9">
      <c r="I13504" s="2"/>
    </row>
    <row r="13505" spans="9:9">
      <c r="I13505" s="2"/>
    </row>
    <row r="13506" spans="9:9">
      <c r="I13506" s="2"/>
    </row>
    <row r="13507" spans="9:9">
      <c r="I13507" s="2"/>
    </row>
    <row r="13508" spans="9:9">
      <c r="I13508" s="2"/>
    </row>
    <row r="13509" spans="9:9">
      <c r="I13509" s="2"/>
    </row>
    <row r="13510" spans="9:9">
      <c r="I13510" s="2"/>
    </row>
    <row r="13511" spans="9:9">
      <c r="I13511" s="2"/>
    </row>
    <row r="13512" spans="9:9">
      <c r="I13512" s="2"/>
    </row>
    <row r="13513" spans="9:9">
      <c r="I13513" s="2"/>
    </row>
    <row r="13514" spans="9:9">
      <c r="I13514" s="2"/>
    </row>
    <row r="13515" spans="9:9">
      <c r="I13515" s="2"/>
    </row>
    <row r="13516" spans="9:9">
      <c r="I13516" s="2"/>
    </row>
    <row r="13517" spans="9:9">
      <c r="I13517" s="2"/>
    </row>
    <row r="13518" spans="9:9">
      <c r="I13518" s="2"/>
    </row>
    <row r="13519" spans="9:9">
      <c r="I13519" s="2"/>
    </row>
    <row r="13520" spans="9:9">
      <c r="I13520" s="2"/>
    </row>
    <row r="13521" spans="9:9">
      <c r="I13521" s="2"/>
    </row>
    <row r="13522" spans="9:9">
      <c r="I13522" s="2"/>
    </row>
    <row r="13523" spans="9:9">
      <c r="I13523" s="2"/>
    </row>
    <row r="13524" spans="9:9">
      <c r="I13524" s="2"/>
    </row>
    <row r="13525" spans="9:9">
      <c r="I13525" s="2"/>
    </row>
    <row r="13526" spans="9:9">
      <c r="I13526" s="2"/>
    </row>
    <row r="13527" spans="9:9">
      <c r="I13527" s="2"/>
    </row>
    <row r="13528" spans="9:9">
      <c r="I13528" s="2"/>
    </row>
    <row r="13529" spans="9:9">
      <c r="I13529" s="2"/>
    </row>
    <row r="13530" spans="9:9">
      <c r="I13530" s="2"/>
    </row>
    <row r="13531" spans="9:9">
      <c r="I13531" s="2"/>
    </row>
    <row r="13532" spans="9:9">
      <c r="I13532" s="2"/>
    </row>
    <row r="13533" spans="9:9">
      <c r="I13533" s="2"/>
    </row>
    <row r="13534" spans="9:9">
      <c r="I13534" s="2"/>
    </row>
    <row r="13535" spans="9:9">
      <c r="I13535" s="2"/>
    </row>
    <row r="13536" spans="9:9">
      <c r="I13536" s="2"/>
    </row>
    <row r="13537" spans="9:9">
      <c r="I13537" s="2"/>
    </row>
    <row r="13538" spans="9:9">
      <c r="I13538" s="2"/>
    </row>
    <row r="13539" spans="9:9">
      <c r="I13539" s="2"/>
    </row>
    <row r="13540" spans="9:9">
      <c r="I13540" s="2"/>
    </row>
    <row r="13541" spans="9:9">
      <c r="I13541" s="2"/>
    </row>
    <row r="13542" spans="9:9">
      <c r="I13542" s="2"/>
    </row>
    <row r="13543" spans="9:9">
      <c r="I13543" s="2"/>
    </row>
    <row r="13544" spans="9:9">
      <c r="I13544" s="2"/>
    </row>
    <row r="13545" spans="9:9">
      <c r="I13545" s="2"/>
    </row>
    <row r="13546" spans="9:9">
      <c r="I13546" s="2"/>
    </row>
    <row r="13547" spans="9:9">
      <c r="I13547" s="2"/>
    </row>
    <row r="13548" spans="9:9">
      <c r="I13548" s="2"/>
    </row>
    <row r="13549" spans="9:9">
      <c r="I13549" s="2"/>
    </row>
    <row r="13550" spans="9:9">
      <c r="I13550" s="2"/>
    </row>
    <row r="13551" spans="9:9">
      <c r="I13551" s="2"/>
    </row>
    <row r="13552" spans="9:9">
      <c r="I13552" s="2"/>
    </row>
    <row r="13553" spans="9:9">
      <c r="I13553" s="2"/>
    </row>
    <row r="13554" spans="9:9">
      <c r="I13554" s="2"/>
    </row>
    <row r="13555" spans="9:9">
      <c r="I13555" s="2"/>
    </row>
    <row r="13556" spans="9:9">
      <c r="I13556" s="2"/>
    </row>
    <row r="13557" spans="9:9">
      <c r="I13557" s="2"/>
    </row>
    <row r="13558" spans="9:9">
      <c r="I13558" s="2"/>
    </row>
    <row r="13559" spans="9:9">
      <c r="I13559" s="2"/>
    </row>
    <row r="13560" spans="9:9">
      <c r="I13560" s="2"/>
    </row>
    <row r="13561" spans="9:9">
      <c r="I13561" s="2"/>
    </row>
    <row r="13562" spans="9:9">
      <c r="I13562" s="2"/>
    </row>
    <row r="13563" spans="9:9">
      <c r="I13563" s="2"/>
    </row>
    <row r="13564" spans="9:9">
      <c r="I13564" s="2"/>
    </row>
    <row r="13565" spans="9:9">
      <c r="I13565" s="2"/>
    </row>
    <row r="13566" spans="9:9">
      <c r="I13566" s="2"/>
    </row>
    <row r="13567" spans="9:9">
      <c r="I13567" s="2"/>
    </row>
    <row r="13568" spans="9:9">
      <c r="I13568" s="2"/>
    </row>
    <row r="13569" spans="9:9">
      <c r="I13569" s="2"/>
    </row>
    <row r="13570" spans="9:9">
      <c r="I13570" s="2"/>
    </row>
    <row r="13571" spans="9:9">
      <c r="I13571" s="2"/>
    </row>
    <row r="13572" spans="9:9">
      <c r="I13572" s="2"/>
    </row>
    <row r="13573" spans="9:9">
      <c r="I13573" s="2"/>
    </row>
    <row r="13574" spans="9:9">
      <c r="I13574" s="2"/>
    </row>
    <row r="13575" spans="9:9">
      <c r="I13575" s="2"/>
    </row>
    <row r="13576" spans="9:9">
      <c r="I13576" s="2"/>
    </row>
    <row r="13577" spans="9:9">
      <c r="I13577" s="2"/>
    </row>
    <row r="13578" spans="9:9">
      <c r="I13578" s="2"/>
    </row>
    <row r="13579" spans="9:9">
      <c r="I13579" s="2"/>
    </row>
    <row r="13580" spans="9:9">
      <c r="I13580" s="2"/>
    </row>
    <row r="13581" spans="9:9">
      <c r="I13581" s="2"/>
    </row>
    <row r="13582" spans="9:9">
      <c r="I13582" s="2"/>
    </row>
    <row r="13583" spans="9:9">
      <c r="I13583" s="2"/>
    </row>
    <row r="13584" spans="9:9">
      <c r="I13584" s="2"/>
    </row>
    <row r="13585" spans="9:9">
      <c r="I13585" s="2"/>
    </row>
    <row r="13586" spans="9:9">
      <c r="I13586" s="2"/>
    </row>
    <row r="13587" spans="9:9">
      <c r="I13587" s="2"/>
    </row>
    <row r="13588" spans="9:9">
      <c r="I13588" s="2"/>
    </row>
    <row r="13589" spans="9:9">
      <c r="I13589" s="2"/>
    </row>
    <row r="13590" spans="9:9">
      <c r="I13590" s="2"/>
    </row>
    <row r="13591" spans="9:9">
      <c r="I13591" s="2"/>
    </row>
    <row r="13592" spans="9:9">
      <c r="I13592" s="2"/>
    </row>
    <row r="13593" spans="9:9">
      <c r="I13593" s="2"/>
    </row>
    <row r="13594" spans="9:9">
      <c r="I13594" s="2"/>
    </row>
    <row r="13595" spans="9:9">
      <c r="I13595" s="2"/>
    </row>
    <row r="13596" spans="9:9">
      <c r="I13596" s="2"/>
    </row>
    <row r="13597" spans="9:9">
      <c r="I13597" s="2"/>
    </row>
    <row r="13598" spans="9:9">
      <c r="I13598" s="2"/>
    </row>
    <row r="13599" spans="9:9">
      <c r="I13599" s="2"/>
    </row>
    <row r="13600" spans="9:9">
      <c r="I13600" s="2"/>
    </row>
    <row r="13601" spans="9:9">
      <c r="I13601" s="2"/>
    </row>
    <row r="13602" spans="9:9">
      <c r="I13602" s="2"/>
    </row>
    <row r="13603" spans="9:9">
      <c r="I13603" s="2"/>
    </row>
    <row r="13604" spans="9:9">
      <c r="I13604" s="2"/>
    </row>
    <row r="13605" spans="9:9">
      <c r="I13605" s="2"/>
    </row>
    <row r="13606" spans="9:9">
      <c r="I13606" s="2"/>
    </row>
    <row r="13607" spans="9:9">
      <c r="I13607" s="2"/>
    </row>
    <row r="13608" spans="9:9">
      <c r="I13608" s="2"/>
    </row>
    <row r="13609" spans="9:9">
      <c r="I13609" s="2"/>
    </row>
    <row r="13610" spans="9:9">
      <c r="I13610" s="2"/>
    </row>
    <row r="13611" spans="9:9">
      <c r="I13611" s="2"/>
    </row>
    <row r="13612" spans="9:9">
      <c r="I13612" s="2"/>
    </row>
    <row r="13613" spans="9:9">
      <c r="I13613" s="2"/>
    </row>
    <row r="13614" spans="9:9">
      <c r="I13614" s="2"/>
    </row>
    <row r="13615" spans="9:9">
      <c r="I13615" s="2"/>
    </row>
    <row r="13616" spans="9:9">
      <c r="I13616" s="2"/>
    </row>
    <row r="13617" spans="9:9">
      <c r="I13617" s="2"/>
    </row>
    <row r="13618" spans="9:9">
      <c r="I13618" s="2"/>
    </row>
    <row r="13619" spans="9:9">
      <c r="I13619" s="2"/>
    </row>
    <row r="13620" spans="9:9">
      <c r="I13620" s="2"/>
    </row>
    <row r="13621" spans="9:9">
      <c r="I13621" s="2"/>
    </row>
    <row r="13622" spans="9:9">
      <c r="I13622" s="2"/>
    </row>
    <row r="13623" spans="9:9">
      <c r="I13623" s="2"/>
    </row>
    <row r="13624" spans="9:9">
      <c r="I13624" s="2"/>
    </row>
    <row r="13625" spans="9:9">
      <c r="I13625" s="2"/>
    </row>
    <row r="13626" spans="9:9">
      <c r="I13626" s="2"/>
    </row>
    <row r="13627" spans="9:9">
      <c r="I13627" s="2"/>
    </row>
    <row r="13628" spans="9:9">
      <c r="I13628" s="2"/>
    </row>
    <row r="13629" spans="9:9">
      <c r="I13629" s="2"/>
    </row>
    <row r="13630" spans="9:9">
      <c r="I13630" s="2"/>
    </row>
    <row r="13631" spans="9:9">
      <c r="I13631" s="2"/>
    </row>
    <row r="13632" spans="9:9">
      <c r="I13632" s="2"/>
    </row>
    <row r="13633" spans="9:9">
      <c r="I13633" s="2"/>
    </row>
    <row r="13634" spans="9:9">
      <c r="I13634" s="2"/>
    </row>
    <row r="13635" spans="9:9">
      <c r="I13635" s="2"/>
    </row>
    <row r="13636" spans="9:9">
      <c r="I13636" s="2"/>
    </row>
    <row r="13637" spans="9:9">
      <c r="I13637" s="2"/>
    </row>
    <row r="13638" spans="9:9">
      <c r="I13638" s="2"/>
    </row>
    <row r="13639" spans="9:9">
      <c r="I13639" s="2"/>
    </row>
    <row r="13640" spans="9:9">
      <c r="I13640" s="2"/>
    </row>
    <row r="13641" spans="9:9">
      <c r="I13641" s="2"/>
    </row>
    <row r="13642" spans="9:9">
      <c r="I13642" s="2"/>
    </row>
    <row r="13643" spans="9:9">
      <c r="I13643" s="2"/>
    </row>
    <row r="13644" spans="9:9">
      <c r="I13644" s="2"/>
    </row>
    <row r="13645" spans="9:9">
      <c r="I13645" s="2"/>
    </row>
    <row r="13646" spans="9:9">
      <c r="I13646" s="2"/>
    </row>
    <row r="13647" spans="9:9">
      <c r="I13647" s="2"/>
    </row>
    <row r="13648" spans="9:9">
      <c r="I13648" s="2"/>
    </row>
    <row r="13649" spans="9:9">
      <c r="I13649" s="2"/>
    </row>
    <row r="13650" spans="9:9">
      <c r="I13650" s="2"/>
    </row>
    <row r="13651" spans="9:9">
      <c r="I13651" s="2"/>
    </row>
    <row r="13652" spans="9:9">
      <c r="I13652" s="2"/>
    </row>
    <row r="13653" spans="9:9">
      <c r="I13653" s="2"/>
    </row>
    <row r="13654" spans="9:9">
      <c r="I13654" s="2"/>
    </row>
    <row r="13655" spans="9:9">
      <c r="I13655" s="2"/>
    </row>
    <row r="13656" spans="9:9">
      <c r="I13656" s="2"/>
    </row>
    <row r="13657" spans="9:9">
      <c r="I13657" s="2"/>
    </row>
    <row r="13658" spans="9:9">
      <c r="I13658" s="2"/>
    </row>
    <row r="13659" spans="9:9">
      <c r="I13659" s="2"/>
    </row>
    <row r="13660" spans="9:9">
      <c r="I13660" s="2"/>
    </row>
    <row r="13661" spans="9:9">
      <c r="I13661" s="2"/>
    </row>
    <row r="13662" spans="9:9">
      <c r="I13662" s="2"/>
    </row>
    <row r="13663" spans="9:9">
      <c r="I13663" s="2"/>
    </row>
    <row r="13664" spans="9:9">
      <c r="I13664" s="2"/>
    </row>
    <row r="13665" spans="9:9">
      <c r="I13665" s="2"/>
    </row>
    <row r="13666" spans="9:9">
      <c r="I13666" s="2"/>
    </row>
    <row r="13667" spans="9:9">
      <c r="I13667" s="2"/>
    </row>
    <row r="13668" spans="9:9">
      <c r="I13668" s="2"/>
    </row>
    <row r="13669" spans="9:9">
      <c r="I13669" s="2"/>
    </row>
    <row r="13670" spans="9:9">
      <c r="I13670" s="2"/>
    </row>
    <row r="13671" spans="9:9">
      <c r="I13671" s="2"/>
    </row>
    <row r="13672" spans="9:9">
      <c r="I13672" s="2"/>
    </row>
    <row r="13673" spans="9:9">
      <c r="I13673" s="2"/>
    </row>
    <row r="13674" spans="9:9">
      <c r="I13674" s="2"/>
    </row>
    <row r="13675" spans="9:9">
      <c r="I13675" s="2"/>
    </row>
    <row r="13676" spans="9:9">
      <c r="I13676" s="2"/>
    </row>
    <row r="13677" spans="9:9">
      <c r="I13677" s="2"/>
    </row>
    <row r="13678" spans="9:9">
      <c r="I13678" s="2"/>
    </row>
    <row r="13679" spans="9:9">
      <c r="I13679" s="2"/>
    </row>
    <row r="13680" spans="9:9">
      <c r="I13680" s="2"/>
    </row>
    <row r="13681" spans="9:9">
      <c r="I13681" s="2"/>
    </row>
    <row r="13682" spans="9:9">
      <c r="I13682" s="2"/>
    </row>
    <row r="13683" spans="9:9">
      <c r="I13683" s="2"/>
    </row>
    <row r="13684" spans="9:9">
      <c r="I13684" s="2"/>
    </row>
    <row r="13685" spans="9:9">
      <c r="I13685" s="2"/>
    </row>
    <row r="13686" spans="9:9">
      <c r="I13686" s="2"/>
    </row>
    <row r="13687" spans="9:9">
      <c r="I13687" s="2"/>
    </row>
    <row r="13688" spans="9:9">
      <c r="I13688" s="2"/>
    </row>
    <row r="13689" spans="9:9">
      <c r="I13689" s="2"/>
    </row>
    <row r="13690" spans="9:9">
      <c r="I13690" s="2"/>
    </row>
    <row r="13691" spans="9:9">
      <c r="I13691" s="2"/>
    </row>
    <row r="13692" spans="9:9">
      <c r="I13692" s="2"/>
    </row>
    <row r="13693" spans="9:9">
      <c r="I13693" s="2"/>
    </row>
    <row r="13694" spans="9:9">
      <c r="I13694" s="2"/>
    </row>
    <row r="13695" spans="9:9">
      <c r="I13695" s="2"/>
    </row>
    <row r="13696" spans="9:9">
      <c r="I13696" s="2"/>
    </row>
    <row r="13697" spans="9:9">
      <c r="I13697" s="2"/>
    </row>
    <row r="13698" spans="9:9">
      <c r="I13698" s="2"/>
    </row>
    <row r="13699" spans="9:9">
      <c r="I13699" s="2"/>
    </row>
    <row r="13700" spans="9:9">
      <c r="I13700" s="2"/>
    </row>
    <row r="13701" spans="9:9">
      <c r="I13701" s="2"/>
    </row>
    <row r="13702" spans="9:9">
      <c r="I13702" s="2"/>
    </row>
    <row r="13703" spans="9:9">
      <c r="I13703" s="2"/>
    </row>
    <row r="13704" spans="9:9">
      <c r="I13704" s="2"/>
    </row>
    <row r="13705" spans="9:9">
      <c r="I13705" s="2"/>
    </row>
    <row r="13706" spans="9:9">
      <c r="I13706" s="2"/>
    </row>
    <row r="13707" spans="9:9">
      <c r="I13707" s="2"/>
    </row>
    <row r="13708" spans="9:9">
      <c r="I13708" s="2"/>
    </row>
    <row r="13709" spans="9:9">
      <c r="I13709" s="2"/>
    </row>
    <row r="13710" spans="9:9">
      <c r="I13710" s="2"/>
    </row>
    <row r="13711" spans="9:9">
      <c r="I13711" s="2"/>
    </row>
    <row r="13712" spans="9:9">
      <c r="I13712" s="2"/>
    </row>
    <row r="13713" spans="9:9">
      <c r="I13713" s="2"/>
    </row>
    <row r="13714" spans="9:9">
      <c r="I13714" s="2"/>
    </row>
    <row r="13715" spans="9:9">
      <c r="I13715" s="2"/>
    </row>
    <row r="13716" spans="9:9">
      <c r="I13716" s="2"/>
    </row>
    <row r="13717" spans="9:9">
      <c r="I13717" s="2"/>
    </row>
    <row r="13718" spans="9:9">
      <c r="I13718" s="2"/>
    </row>
    <row r="13719" spans="9:9">
      <c r="I13719" s="2"/>
    </row>
    <row r="13720" spans="9:9">
      <c r="I13720" s="2"/>
    </row>
    <row r="13721" spans="9:9">
      <c r="I13721" s="2"/>
    </row>
    <row r="13722" spans="9:9">
      <c r="I13722" s="2"/>
    </row>
    <row r="13723" spans="9:9">
      <c r="I13723" s="2"/>
    </row>
    <row r="13724" spans="9:9">
      <c r="I13724" s="2"/>
    </row>
    <row r="13725" spans="9:9">
      <c r="I13725" s="2"/>
    </row>
    <row r="13726" spans="9:9">
      <c r="I13726" s="2"/>
    </row>
    <row r="13727" spans="9:9">
      <c r="I13727" s="2"/>
    </row>
    <row r="13728" spans="9:9">
      <c r="I13728" s="2"/>
    </row>
    <row r="13729" spans="9:9">
      <c r="I13729" s="2"/>
    </row>
    <row r="13730" spans="9:9">
      <c r="I13730" s="2"/>
    </row>
    <row r="13731" spans="9:9">
      <c r="I13731" s="2"/>
    </row>
    <row r="13732" spans="9:9">
      <c r="I13732" s="2"/>
    </row>
    <row r="13733" spans="9:9">
      <c r="I13733" s="2"/>
    </row>
    <row r="13734" spans="9:9">
      <c r="I13734" s="2"/>
    </row>
    <row r="13735" spans="9:9">
      <c r="I13735" s="2"/>
    </row>
    <row r="13736" spans="9:9">
      <c r="I13736" s="2"/>
    </row>
    <row r="13737" spans="9:9">
      <c r="I13737" s="2"/>
    </row>
    <row r="13738" spans="9:9">
      <c r="I13738" s="2"/>
    </row>
    <row r="13739" spans="9:9">
      <c r="I13739" s="2"/>
    </row>
    <row r="13740" spans="9:9">
      <c r="I13740" s="2"/>
    </row>
    <row r="13741" spans="9:9">
      <c r="I13741" s="2"/>
    </row>
    <row r="13742" spans="9:9">
      <c r="I13742" s="2"/>
    </row>
    <row r="13743" spans="9:9">
      <c r="I13743" s="2"/>
    </row>
    <row r="13744" spans="9:9">
      <c r="I13744" s="2"/>
    </row>
    <row r="13745" spans="9:9">
      <c r="I13745" s="2"/>
    </row>
    <row r="13746" spans="9:9">
      <c r="I13746" s="2"/>
    </row>
    <row r="13747" spans="9:9">
      <c r="I13747" s="2"/>
    </row>
    <row r="13748" spans="9:9">
      <c r="I13748" s="2"/>
    </row>
    <row r="13749" spans="9:9">
      <c r="I13749" s="2"/>
    </row>
    <row r="13750" spans="9:9">
      <c r="I13750" s="2"/>
    </row>
    <row r="13751" spans="9:9">
      <c r="I13751" s="2"/>
    </row>
    <row r="13752" spans="9:9">
      <c r="I13752" s="2"/>
    </row>
    <row r="13753" spans="9:9">
      <c r="I13753" s="2"/>
    </row>
    <row r="13754" spans="9:9">
      <c r="I13754" s="2"/>
    </row>
    <row r="13755" spans="9:9">
      <c r="I13755" s="2"/>
    </row>
    <row r="13756" spans="9:9">
      <c r="I13756" s="2"/>
    </row>
    <row r="13757" spans="9:9">
      <c r="I13757" s="2"/>
    </row>
    <row r="13758" spans="9:9">
      <c r="I13758" s="2"/>
    </row>
    <row r="13759" spans="9:9">
      <c r="I13759" s="2"/>
    </row>
    <row r="13760" spans="9:9">
      <c r="I13760" s="2"/>
    </row>
    <row r="13761" spans="9:9">
      <c r="I13761" s="2"/>
    </row>
    <row r="13762" spans="9:9">
      <c r="I13762" s="2"/>
    </row>
    <row r="13763" spans="9:9">
      <c r="I13763" s="2"/>
    </row>
    <row r="13764" spans="9:9">
      <c r="I13764" s="2"/>
    </row>
    <row r="13765" spans="9:9">
      <c r="I13765" s="2"/>
    </row>
    <row r="13766" spans="9:9">
      <c r="I13766" s="2"/>
    </row>
    <row r="13767" spans="9:9">
      <c r="I13767" s="2"/>
    </row>
    <row r="13768" spans="9:9">
      <c r="I13768" s="2"/>
    </row>
    <row r="13769" spans="9:9">
      <c r="I13769" s="2"/>
    </row>
    <row r="13770" spans="9:9">
      <c r="I13770" s="2"/>
    </row>
    <row r="13771" spans="9:9">
      <c r="I13771" s="2"/>
    </row>
    <row r="13772" spans="9:9">
      <c r="I13772" s="2"/>
    </row>
    <row r="13773" spans="9:9">
      <c r="I13773" s="2"/>
    </row>
    <row r="13774" spans="9:9">
      <c r="I13774" s="2"/>
    </row>
    <row r="13775" spans="9:9">
      <c r="I13775" s="2"/>
    </row>
    <row r="13776" spans="9:9">
      <c r="I13776" s="2"/>
    </row>
    <row r="13777" spans="9:9">
      <c r="I13777" s="2"/>
    </row>
    <row r="13778" spans="9:9">
      <c r="I13778" s="2"/>
    </row>
    <row r="13779" spans="9:9">
      <c r="I13779" s="2"/>
    </row>
    <row r="13780" spans="9:9">
      <c r="I13780" s="2"/>
    </row>
    <row r="13781" spans="9:9">
      <c r="I13781" s="2"/>
    </row>
    <row r="13782" spans="9:9">
      <c r="I13782" s="2"/>
    </row>
    <row r="13783" spans="9:9">
      <c r="I13783" s="2"/>
    </row>
    <row r="13784" spans="9:9">
      <c r="I13784" s="2"/>
    </row>
    <row r="13785" spans="9:9">
      <c r="I13785" s="2"/>
    </row>
    <row r="13786" spans="9:9">
      <c r="I13786" s="2"/>
    </row>
    <row r="13787" spans="9:9">
      <c r="I13787" s="2"/>
    </row>
    <row r="13788" spans="9:9">
      <c r="I13788" s="2"/>
    </row>
    <row r="13789" spans="9:9">
      <c r="I13789" s="2"/>
    </row>
    <row r="13790" spans="9:9">
      <c r="I13790" s="2"/>
    </row>
    <row r="13791" spans="9:9">
      <c r="I13791" s="2"/>
    </row>
    <row r="13792" spans="9:9">
      <c r="I13792" s="2"/>
    </row>
    <row r="13793" spans="9:9">
      <c r="I13793" s="2"/>
    </row>
    <row r="13794" spans="9:9">
      <c r="I13794" s="2"/>
    </row>
    <row r="13795" spans="9:9">
      <c r="I13795" s="2"/>
    </row>
    <row r="13796" spans="9:9">
      <c r="I13796" s="2"/>
    </row>
    <row r="13797" spans="9:9">
      <c r="I13797" s="2"/>
    </row>
    <row r="13798" spans="9:9">
      <c r="I13798" s="2"/>
    </row>
    <row r="13799" spans="9:9">
      <c r="I13799" s="2"/>
    </row>
    <row r="13800" spans="9:9">
      <c r="I13800" s="2"/>
    </row>
    <row r="13801" spans="9:9">
      <c r="I13801" s="2"/>
    </row>
    <row r="13802" spans="9:9">
      <c r="I13802" s="2"/>
    </row>
    <row r="13803" spans="9:9">
      <c r="I13803" s="2"/>
    </row>
    <row r="13804" spans="9:9">
      <c r="I13804" s="2"/>
    </row>
    <row r="13805" spans="9:9">
      <c r="I13805" s="2"/>
    </row>
    <row r="13806" spans="9:9">
      <c r="I13806" s="2"/>
    </row>
    <row r="13807" spans="9:9">
      <c r="I13807" s="2"/>
    </row>
    <row r="13808" spans="9:9">
      <c r="I13808" s="2"/>
    </row>
    <row r="13809" spans="9:9">
      <c r="I13809" s="2"/>
    </row>
    <row r="13810" spans="9:9">
      <c r="I13810" s="2"/>
    </row>
    <row r="13811" spans="9:9">
      <c r="I13811" s="2"/>
    </row>
    <row r="13812" spans="9:9">
      <c r="I13812" s="2"/>
    </row>
    <row r="13813" spans="9:9">
      <c r="I13813" s="2"/>
    </row>
    <row r="13814" spans="9:9">
      <c r="I13814" s="2"/>
    </row>
    <row r="13815" spans="9:9">
      <c r="I13815" s="2"/>
    </row>
    <row r="13816" spans="9:9">
      <c r="I13816" s="2"/>
    </row>
    <row r="13817" spans="9:9">
      <c r="I13817" s="2"/>
    </row>
    <row r="13818" spans="9:9">
      <c r="I13818" s="2"/>
    </row>
    <row r="13819" spans="9:9">
      <c r="I13819" s="2"/>
    </row>
    <row r="13820" spans="9:9">
      <c r="I13820" s="2"/>
    </row>
    <row r="13821" spans="9:9">
      <c r="I13821" s="2"/>
    </row>
    <row r="13822" spans="9:9">
      <c r="I13822" s="2"/>
    </row>
    <row r="13823" spans="9:9">
      <c r="I13823" s="2"/>
    </row>
    <row r="13824" spans="9:9">
      <c r="I13824" s="2"/>
    </row>
    <row r="13825" spans="9:9">
      <c r="I13825" s="2"/>
    </row>
    <row r="13826" spans="9:9">
      <c r="I13826" s="2"/>
    </row>
    <row r="13827" spans="9:9">
      <c r="I13827" s="2"/>
    </row>
    <row r="13828" spans="9:9">
      <c r="I13828" s="2"/>
    </row>
    <row r="13829" spans="9:9">
      <c r="I13829" s="2"/>
    </row>
    <row r="13830" spans="9:9">
      <c r="I13830" s="2"/>
    </row>
    <row r="13831" spans="9:9">
      <c r="I13831" s="2"/>
    </row>
    <row r="13832" spans="9:9">
      <c r="I13832" s="2"/>
    </row>
    <row r="13833" spans="9:9">
      <c r="I13833" s="2"/>
    </row>
    <row r="13834" spans="9:9">
      <c r="I13834" s="2"/>
    </row>
    <row r="13835" spans="9:9">
      <c r="I13835" s="2"/>
    </row>
    <row r="13836" spans="9:9">
      <c r="I13836" s="2"/>
    </row>
    <row r="13837" spans="9:9">
      <c r="I13837" s="2"/>
    </row>
    <row r="13838" spans="9:9">
      <c r="I13838" s="2"/>
    </row>
    <row r="13839" spans="9:9">
      <c r="I13839" s="2"/>
    </row>
    <row r="13840" spans="9:9">
      <c r="I13840" s="2"/>
    </row>
    <row r="13841" spans="9:9">
      <c r="I13841" s="2"/>
    </row>
    <row r="13842" spans="9:9">
      <c r="I13842" s="2"/>
    </row>
    <row r="13843" spans="9:9">
      <c r="I13843" s="2"/>
    </row>
    <row r="13844" spans="9:9">
      <c r="I13844" s="2"/>
    </row>
    <row r="13845" spans="9:9">
      <c r="I13845" s="2"/>
    </row>
    <row r="13846" spans="9:9">
      <c r="I13846" s="2"/>
    </row>
    <row r="13847" spans="9:9">
      <c r="I13847" s="2"/>
    </row>
    <row r="13848" spans="9:9">
      <c r="I13848" s="2"/>
    </row>
    <row r="13849" spans="9:9">
      <c r="I13849" s="2"/>
    </row>
    <row r="13850" spans="9:9">
      <c r="I13850" s="2"/>
    </row>
    <row r="13851" spans="9:9">
      <c r="I13851" s="2"/>
    </row>
    <row r="13852" spans="9:9">
      <c r="I13852" s="2"/>
    </row>
    <row r="13853" spans="9:9">
      <c r="I13853" s="2"/>
    </row>
    <row r="13854" spans="9:9">
      <c r="I13854" s="2"/>
    </row>
    <row r="13855" spans="9:9">
      <c r="I13855" s="2"/>
    </row>
    <row r="13856" spans="9:9">
      <c r="I13856" s="2"/>
    </row>
    <row r="13857" spans="9:9">
      <c r="I13857" s="2"/>
    </row>
    <row r="13858" spans="9:9">
      <c r="I13858" s="2"/>
    </row>
    <row r="13859" spans="9:9">
      <c r="I13859" s="2"/>
    </row>
    <row r="13860" spans="9:9">
      <c r="I13860" s="2"/>
    </row>
    <row r="13861" spans="9:9">
      <c r="I13861" s="2"/>
    </row>
    <row r="13862" spans="9:9">
      <c r="I13862" s="2"/>
    </row>
    <row r="13863" spans="9:9">
      <c r="I13863" s="2"/>
    </row>
    <row r="13864" spans="9:9">
      <c r="I13864" s="2"/>
    </row>
    <row r="13865" spans="9:9">
      <c r="I13865" s="2"/>
    </row>
    <row r="13866" spans="9:9">
      <c r="I13866" s="2"/>
    </row>
    <row r="13867" spans="9:9">
      <c r="I13867" s="2"/>
    </row>
    <row r="13868" spans="9:9">
      <c r="I13868" s="2"/>
    </row>
    <row r="13869" spans="9:9">
      <c r="I13869" s="2"/>
    </row>
    <row r="13870" spans="9:9">
      <c r="I13870" s="2"/>
    </row>
    <row r="13871" spans="9:9">
      <c r="I13871" s="2"/>
    </row>
    <row r="13872" spans="9:9">
      <c r="I13872" s="2"/>
    </row>
    <row r="13873" spans="9:9">
      <c r="I13873" s="2"/>
    </row>
    <row r="13874" spans="9:9">
      <c r="I13874" s="2"/>
    </row>
    <row r="13875" spans="9:9">
      <c r="I13875" s="2"/>
    </row>
    <row r="13876" spans="9:9">
      <c r="I13876" s="2"/>
    </row>
    <row r="13877" spans="9:9">
      <c r="I13877" s="2"/>
    </row>
    <row r="13878" spans="9:9">
      <c r="I13878" s="2"/>
    </row>
    <row r="13879" spans="9:9">
      <c r="I13879" s="2"/>
    </row>
    <row r="13880" spans="9:9">
      <c r="I13880" s="2"/>
    </row>
    <row r="13881" spans="9:9">
      <c r="I13881" s="2"/>
    </row>
    <row r="13882" spans="9:9">
      <c r="I13882" s="2"/>
    </row>
    <row r="13883" spans="9:9">
      <c r="I13883" s="2"/>
    </row>
    <row r="13884" spans="9:9">
      <c r="I13884" s="2"/>
    </row>
    <row r="13885" spans="9:9">
      <c r="I13885" s="2"/>
    </row>
    <row r="13886" spans="9:9">
      <c r="I13886" s="2"/>
    </row>
    <row r="13887" spans="9:9">
      <c r="I13887" s="2"/>
    </row>
    <row r="13888" spans="9:9">
      <c r="I13888" s="2"/>
    </row>
    <row r="13889" spans="9:9">
      <c r="I13889" s="2"/>
    </row>
    <row r="13890" spans="9:9">
      <c r="I13890" s="2"/>
    </row>
    <row r="13891" spans="9:9">
      <c r="I13891" s="2"/>
    </row>
    <row r="13892" spans="9:9">
      <c r="I13892" s="2"/>
    </row>
    <row r="13893" spans="9:9">
      <c r="I13893" s="2"/>
    </row>
    <row r="13894" spans="9:9">
      <c r="I13894" s="2"/>
    </row>
    <row r="13895" spans="9:9">
      <c r="I13895" s="2"/>
    </row>
    <row r="13896" spans="9:9">
      <c r="I13896" s="2"/>
    </row>
    <row r="13897" spans="9:9">
      <c r="I13897" s="2"/>
    </row>
    <row r="13898" spans="9:9">
      <c r="I13898" s="2"/>
    </row>
    <row r="13899" spans="9:9">
      <c r="I13899" s="2"/>
    </row>
    <row r="13900" spans="9:9">
      <c r="I13900" s="2"/>
    </row>
    <row r="13901" spans="9:9">
      <c r="I13901" s="2"/>
    </row>
    <row r="13902" spans="9:9">
      <c r="I13902" s="2"/>
    </row>
    <row r="13903" spans="9:9">
      <c r="I13903" s="2"/>
    </row>
    <row r="13904" spans="9:9">
      <c r="I13904" s="2"/>
    </row>
    <row r="13905" spans="9:9">
      <c r="I13905" s="2"/>
    </row>
    <row r="13906" spans="9:9">
      <c r="I13906" s="2"/>
    </row>
    <row r="13907" spans="9:9">
      <c r="I13907" s="2"/>
    </row>
    <row r="13908" spans="9:9">
      <c r="I13908" s="2"/>
    </row>
    <row r="13909" spans="9:9">
      <c r="I13909" s="2"/>
    </row>
    <row r="13910" spans="9:9">
      <c r="I13910" s="2"/>
    </row>
    <row r="13911" spans="9:9">
      <c r="I13911" s="2"/>
    </row>
    <row r="13912" spans="9:9">
      <c r="I13912" s="2"/>
    </row>
    <row r="13913" spans="9:9">
      <c r="I13913" s="2"/>
    </row>
    <row r="13914" spans="9:9">
      <c r="I13914" s="2"/>
    </row>
    <row r="13915" spans="9:9">
      <c r="I13915" s="2"/>
    </row>
    <row r="13916" spans="9:9">
      <c r="I13916" s="2"/>
    </row>
    <row r="13917" spans="9:9">
      <c r="I13917" s="2"/>
    </row>
    <row r="13918" spans="9:9">
      <c r="I13918" s="2"/>
    </row>
    <row r="13919" spans="9:9">
      <c r="I13919" s="2"/>
    </row>
    <row r="13920" spans="9:9">
      <c r="I13920" s="2"/>
    </row>
    <row r="13921" spans="9:9">
      <c r="I13921" s="2"/>
    </row>
    <row r="13922" spans="9:9">
      <c r="I13922" s="2"/>
    </row>
    <row r="13923" spans="9:9">
      <c r="I13923" s="2"/>
    </row>
    <row r="13924" spans="9:9">
      <c r="I13924" s="2"/>
    </row>
    <row r="13925" spans="9:9">
      <c r="I13925" s="2"/>
    </row>
    <row r="13926" spans="9:9">
      <c r="I13926" s="2"/>
    </row>
    <row r="13927" spans="9:9">
      <c r="I13927" s="2"/>
    </row>
    <row r="13928" spans="9:9">
      <c r="I13928" s="2"/>
    </row>
    <row r="13929" spans="9:9">
      <c r="I13929" s="2"/>
    </row>
    <row r="13930" spans="9:9">
      <c r="I13930" s="2"/>
    </row>
    <row r="13931" spans="9:9">
      <c r="I13931" s="2"/>
    </row>
    <row r="13932" spans="9:9">
      <c r="I13932" s="2"/>
    </row>
    <row r="13933" spans="9:9">
      <c r="I13933" s="2"/>
    </row>
    <row r="13934" spans="9:9">
      <c r="I13934" s="2"/>
    </row>
    <row r="13935" spans="9:9">
      <c r="I13935" s="2"/>
    </row>
    <row r="13936" spans="9:9">
      <c r="I13936" s="2"/>
    </row>
    <row r="13937" spans="9:9">
      <c r="I13937" s="2"/>
    </row>
    <row r="13938" spans="9:9">
      <c r="I13938" s="2"/>
    </row>
    <row r="13939" spans="9:9">
      <c r="I13939" s="2"/>
    </row>
    <row r="13940" spans="9:9">
      <c r="I13940" s="2"/>
    </row>
    <row r="13941" spans="9:9">
      <c r="I13941" s="2"/>
    </row>
    <row r="13942" spans="9:9">
      <c r="I13942" s="2"/>
    </row>
    <row r="13943" spans="9:9">
      <c r="I13943" s="2"/>
    </row>
    <row r="13944" spans="9:9">
      <c r="I13944" s="2"/>
    </row>
    <row r="13945" spans="9:9">
      <c r="I13945" s="2"/>
    </row>
    <row r="13946" spans="9:9">
      <c r="I13946" s="2"/>
    </row>
    <row r="13947" spans="9:9">
      <c r="I13947" s="2"/>
    </row>
    <row r="13948" spans="9:9">
      <c r="I13948" s="2"/>
    </row>
    <row r="13949" spans="9:9">
      <c r="I13949" s="2"/>
    </row>
    <row r="13950" spans="9:9">
      <c r="I13950" s="2"/>
    </row>
    <row r="13951" spans="9:9">
      <c r="I13951" s="2"/>
    </row>
    <row r="13952" spans="9:9">
      <c r="I13952" s="2"/>
    </row>
    <row r="13953" spans="9:9">
      <c r="I13953" s="2"/>
    </row>
    <row r="13954" spans="9:9">
      <c r="I13954" s="2"/>
    </row>
    <row r="13955" spans="9:9">
      <c r="I13955" s="2"/>
    </row>
    <row r="13956" spans="9:9">
      <c r="I13956" s="2"/>
    </row>
    <row r="13957" spans="9:9">
      <c r="I13957" s="2"/>
    </row>
    <row r="13958" spans="9:9">
      <c r="I13958" s="2"/>
    </row>
    <row r="13959" spans="9:9">
      <c r="I13959" s="2"/>
    </row>
    <row r="13960" spans="9:9">
      <c r="I13960" s="2"/>
    </row>
    <row r="13961" spans="9:9">
      <c r="I13961" s="2"/>
    </row>
    <row r="13962" spans="9:9">
      <c r="I13962" s="2"/>
    </row>
    <row r="13963" spans="9:9">
      <c r="I13963" s="2"/>
    </row>
    <row r="13964" spans="9:9">
      <c r="I13964" s="2"/>
    </row>
    <row r="13965" spans="9:9">
      <c r="I13965" s="2"/>
    </row>
    <row r="13966" spans="9:9">
      <c r="I13966" s="2"/>
    </row>
    <row r="13967" spans="9:9">
      <c r="I13967" s="2"/>
    </row>
    <row r="13968" spans="9:9">
      <c r="I13968" s="2"/>
    </row>
    <row r="13969" spans="9:9">
      <c r="I13969" s="2"/>
    </row>
    <row r="13970" spans="9:9">
      <c r="I13970" s="2"/>
    </row>
    <row r="13971" spans="9:9">
      <c r="I13971" s="2"/>
    </row>
    <row r="13972" spans="9:9">
      <c r="I13972" s="2"/>
    </row>
    <row r="13973" spans="9:9">
      <c r="I13973" s="2"/>
    </row>
    <row r="13974" spans="9:9">
      <c r="I13974" s="2"/>
    </row>
    <row r="13975" spans="9:9">
      <c r="I13975" s="2"/>
    </row>
    <row r="13976" spans="9:9">
      <c r="I13976" s="2"/>
    </row>
    <row r="13977" spans="9:9">
      <c r="I13977" s="2"/>
    </row>
    <row r="13978" spans="9:9">
      <c r="I13978" s="2"/>
    </row>
    <row r="13979" spans="9:9">
      <c r="I13979" s="2"/>
    </row>
    <row r="13980" spans="9:9">
      <c r="I13980" s="2"/>
    </row>
    <row r="13981" spans="9:9">
      <c r="I13981" s="2"/>
    </row>
    <row r="13982" spans="9:9">
      <c r="I13982" s="2"/>
    </row>
    <row r="13983" spans="9:9">
      <c r="I13983" s="2"/>
    </row>
    <row r="13984" spans="9:9">
      <c r="I13984" s="2"/>
    </row>
    <row r="13985" spans="9:9">
      <c r="I13985" s="2"/>
    </row>
    <row r="13986" spans="9:9">
      <c r="I13986" s="2"/>
    </row>
    <row r="13987" spans="9:9">
      <c r="I13987" s="2"/>
    </row>
    <row r="13988" spans="9:9">
      <c r="I13988" s="2"/>
    </row>
    <row r="13989" spans="9:9">
      <c r="I13989" s="2"/>
    </row>
    <row r="13990" spans="9:9">
      <c r="I13990" s="2"/>
    </row>
    <row r="13991" spans="9:9">
      <c r="I13991" s="2"/>
    </row>
    <row r="13992" spans="9:9">
      <c r="I13992" s="2"/>
    </row>
    <row r="13993" spans="9:9">
      <c r="I13993" s="2"/>
    </row>
    <row r="13994" spans="9:9">
      <c r="I13994" s="2"/>
    </row>
    <row r="13995" spans="9:9">
      <c r="I13995" s="2"/>
    </row>
    <row r="13996" spans="9:9">
      <c r="I13996" s="2"/>
    </row>
    <row r="13997" spans="9:9">
      <c r="I13997" s="2"/>
    </row>
    <row r="13998" spans="9:9">
      <c r="I13998" s="2"/>
    </row>
    <row r="13999" spans="9:9">
      <c r="I13999" s="2"/>
    </row>
    <row r="14000" spans="9:9">
      <c r="I14000" s="2"/>
    </row>
    <row r="14001" spans="9:9">
      <c r="I14001" s="2"/>
    </row>
    <row r="14002" spans="9:9">
      <c r="I14002" s="2"/>
    </row>
    <row r="14003" spans="9:9">
      <c r="I14003" s="2"/>
    </row>
    <row r="14004" spans="9:9">
      <c r="I14004" s="2"/>
    </row>
    <row r="14005" spans="9:9">
      <c r="I14005" s="2"/>
    </row>
    <row r="14006" spans="9:9">
      <c r="I14006" s="2"/>
    </row>
    <row r="14007" spans="9:9">
      <c r="I14007" s="2"/>
    </row>
    <row r="14008" spans="9:9">
      <c r="I14008" s="2"/>
    </row>
    <row r="14009" spans="9:9">
      <c r="I14009" s="2"/>
    </row>
    <row r="14010" spans="9:9">
      <c r="I14010" s="2"/>
    </row>
    <row r="14011" spans="9:9">
      <c r="I14011" s="2"/>
    </row>
    <row r="14012" spans="9:9">
      <c r="I14012" s="2"/>
    </row>
    <row r="14013" spans="9:9">
      <c r="I14013" s="2"/>
    </row>
    <row r="14014" spans="9:9">
      <c r="I14014" s="2"/>
    </row>
    <row r="14015" spans="9:9">
      <c r="I14015" s="2"/>
    </row>
    <row r="14016" spans="9:9">
      <c r="I14016" s="2"/>
    </row>
    <row r="14017" spans="9:9">
      <c r="I14017" s="2"/>
    </row>
    <row r="14018" spans="9:9">
      <c r="I14018" s="2"/>
    </row>
    <row r="14019" spans="9:9">
      <c r="I14019" s="2"/>
    </row>
    <row r="14020" spans="9:9">
      <c r="I14020" s="2"/>
    </row>
    <row r="14021" spans="9:9">
      <c r="I14021" s="2"/>
    </row>
    <row r="14022" spans="9:9">
      <c r="I14022" s="2"/>
    </row>
    <row r="14023" spans="9:9">
      <c r="I14023" s="2"/>
    </row>
    <row r="14024" spans="9:9">
      <c r="I14024" s="2"/>
    </row>
    <row r="14025" spans="9:9">
      <c r="I14025" s="2"/>
    </row>
    <row r="14026" spans="9:9">
      <c r="I14026" s="2"/>
    </row>
    <row r="14027" spans="9:9">
      <c r="I14027" s="2"/>
    </row>
    <row r="14028" spans="9:9">
      <c r="I14028" s="2"/>
    </row>
    <row r="14029" spans="9:9">
      <c r="I14029" s="2"/>
    </row>
    <row r="14030" spans="9:9">
      <c r="I14030" s="2"/>
    </row>
    <row r="14031" spans="9:9">
      <c r="I14031" s="2"/>
    </row>
    <row r="14032" spans="9:9">
      <c r="I14032" s="2"/>
    </row>
    <row r="14033" spans="9:9">
      <c r="I14033" s="2"/>
    </row>
    <row r="14034" spans="9:9">
      <c r="I14034" s="2"/>
    </row>
    <row r="14035" spans="9:9">
      <c r="I14035" s="2"/>
    </row>
    <row r="14036" spans="9:9">
      <c r="I14036" s="2"/>
    </row>
    <row r="14037" spans="9:9">
      <c r="I14037" s="2"/>
    </row>
    <row r="14038" spans="9:9">
      <c r="I14038" s="2"/>
    </row>
    <row r="14039" spans="9:9">
      <c r="I14039" s="2"/>
    </row>
    <row r="14040" spans="9:9">
      <c r="I14040" s="2"/>
    </row>
    <row r="14041" spans="9:9">
      <c r="I14041" s="2"/>
    </row>
    <row r="14042" spans="9:9">
      <c r="I14042" s="2"/>
    </row>
    <row r="14043" spans="9:9">
      <c r="I14043" s="2"/>
    </row>
    <row r="14044" spans="9:9">
      <c r="I14044" s="2"/>
    </row>
    <row r="14045" spans="9:9">
      <c r="I14045" s="2"/>
    </row>
    <row r="14046" spans="9:9">
      <c r="I14046" s="2"/>
    </row>
    <row r="14047" spans="9:9">
      <c r="I14047" s="2"/>
    </row>
    <row r="14048" spans="9:9">
      <c r="I14048" s="2"/>
    </row>
    <row r="14049" spans="9:9">
      <c r="I14049" s="2"/>
    </row>
    <row r="14050" spans="9:9">
      <c r="I14050" s="2"/>
    </row>
    <row r="14051" spans="9:9">
      <c r="I14051" s="2"/>
    </row>
    <row r="14052" spans="9:9">
      <c r="I14052" s="2"/>
    </row>
    <row r="14053" spans="9:9">
      <c r="I14053" s="2"/>
    </row>
    <row r="14054" spans="9:9">
      <c r="I14054" s="2"/>
    </row>
    <row r="14055" spans="9:9">
      <c r="I14055" s="2"/>
    </row>
    <row r="14056" spans="9:9">
      <c r="I14056" s="2"/>
    </row>
    <row r="14057" spans="9:9">
      <c r="I14057" s="2"/>
    </row>
    <row r="14058" spans="9:9">
      <c r="I14058" s="2"/>
    </row>
    <row r="14059" spans="9:9">
      <c r="I14059" s="2"/>
    </row>
    <row r="14060" spans="9:9">
      <c r="I14060" s="2"/>
    </row>
    <row r="14061" spans="9:9">
      <c r="I14061" s="2"/>
    </row>
    <row r="14062" spans="9:9">
      <c r="I14062" s="2"/>
    </row>
    <row r="14063" spans="9:9">
      <c r="I14063" s="2"/>
    </row>
    <row r="14064" spans="9:9">
      <c r="I14064" s="2"/>
    </row>
    <row r="14065" spans="9:9">
      <c r="I14065" s="2"/>
    </row>
    <row r="14066" spans="9:9">
      <c r="I14066" s="2"/>
    </row>
    <row r="14067" spans="9:9">
      <c r="I14067" s="2"/>
    </row>
    <row r="14068" spans="9:9">
      <c r="I14068" s="2"/>
    </row>
    <row r="14069" spans="9:9">
      <c r="I14069" s="2"/>
    </row>
    <row r="14070" spans="9:9">
      <c r="I14070" s="2"/>
    </row>
    <row r="14071" spans="9:9">
      <c r="I14071" s="2"/>
    </row>
    <row r="14072" spans="9:9">
      <c r="I14072" s="2"/>
    </row>
    <row r="14073" spans="9:9">
      <c r="I14073" s="2"/>
    </row>
    <row r="14074" spans="9:9">
      <c r="I14074" s="2"/>
    </row>
    <row r="14075" spans="9:9">
      <c r="I14075" s="2"/>
    </row>
    <row r="14076" spans="9:9">
      <c r="I14076" s="2"/>
    </row>
    <row r="14077" spans="9:9">
      <c r="I14077" s="2"/>
    </row>
    <row r="14078" spans="9:9">
      <c r="I14078" s="2"/>
    </row>
    <row r="14079" spans="9:9">
      <c r="I14079" s="2"/>
    </row>
    <row r="14080" spans="9:9">
      <c r="I14080" s="2"/>
    </row>
    <row r="14081" spans="9:9">
      <c r="I14081" s="2"/>
    </row>
    <row r="14082" spans="9:9">
      <c r="I14082" s="2"/>
    </row>
    <row r="14083" spans="9:9">
      <c r="I14083" s="2"/>
    </row>
    <row r="14084" spans="9:9">
      <c r="I14084" s="2"/>
    </row>
    <row r="14085" spans="9:9">
      <c r="I14085" s="2"/>
    </row>
    <row r="14086" spans="9:9">
      <c r="I14086" s="2"/>
    </row>
    <row r="14087" spans="9:9">
      <c r="I14087" s="2"/>
    </row>
    <row r="14088" spans="9:9">
      <c r="I14088" s="2"/>
    </row>
    <row r="14089" spans="9:9">
      <c r="I14089" s="2"/>
    </row>
    <row r="14090" spans="9:9">
      <c r="I14090" s="2"/>
    </row>
    <row r="14091" spans="9:9">
      <c r="I14091" s="2"/>
    </row>
    <row r="14092" spans="9:9">
      <c r="I14092" s="2"/>
    </row>
    <row r="14093" spans="9:9">
      <c r="I14093" s="2"/>
    </row>
    <row r="14094" spans="9:9">
      <c r="I14094" s="2"/>
    </row>
    <row r="14095" spans="9:9">
      <c r="I14095" s="2"/>
    </row>
    <row r="14096" spans="9:9">
      <c r="I14096" s="2"/>
    </row>
    <row r="14097" spans="9:9">
      <c r="I14097" s="2"/>
    </row>
    <row r="14098" spans="9:9">
      <c r="I14098" s="2"/>
    </row>
    <row r="14099" spans="9:9">
      <c r="I14099" s="2"/>
    </row>
    <row r="14100" spans="9:9">
      <c r="I14100" s="2"/>
    </row>
    <row r="14101" spans="9:9">
      <c r="I14101" s="2"/>
    </row>
    <row r="14102" spans="9:9">
      <c r="I14102" s="2"/>
    </row>
    <row r="14103" spans="9:9">
      <c r="I14103" s="2"/>
    </row>
    <row r="14104" spans="9:9">
      <c r="I14104" s="2"/>
    </row>
    <row r="14105" spans="9:9">
      <c r="I14105" s="2"/>
    </row>
    <row r="14106" spans="9:9">
      <c r="I14106" s="2"/>
    </row>
    <row r="14107" spans="9:9">
      <c r="I14107" s="2"/>
    </row>
    <row r="14108" spans="9:9">
      <c r="I14108" s="2"/>
    </row>
    <row r="14109" spans="9:9">
      <c r="I14109" s="2"/>
    </row>
    <row r="14110" spans="9:9">
      <c r="I14110" s="2"/>
    </row>
    <row r="14111" spans="9:9">
      <c r="I14111" s="2"/>
    </row>
    <row r="14112" spans="9:9">
      <c r="I14112" s="2"/>
    </row>
    <row r="14113" spans="9:9">
      <c r="I14113" s="2"/>
    </row>
    <row r="14114" spans="9:9">
      <c r="I14114" s="2"/>
    </row>
    <row r="14115" spans="9:9">
      <c r="I14115" s="2"/>
    </row>
    <row r="14116" spans="9:9">
      <c r="I14116" s="2"/>
    </row>
    <row r="14117" spans="9:9">
      <c r="I14117" s="2"/>
    </row>
    <row r="14118" spans="9:9">
      <c r="I14118" s="2"/>
    </row>
    <row r="14119" spans="9:9">
      <c r="I14119" s="2"/>
    </row>
    <row r="14120" spans="9:9">
      <c r="I14120" s="2"/>
    </row>
    <row r="14121" spans="9:9">
      <c r="I14121" s="2"/>
    </row>
    <row r="14122" spans="9:9">
      <c r="I14122" s="2"/>
    </row>
    <row r="14123" spans="9:9">
      <c r="I14123" s="2"/>
    </row>
    <row r="14124" spans="9:9">
      <c r="I14124" s="2"/>
    </row>
    <row r="14125" spans="9:9">
      <c r="I14125" s="2"/>
    </row>
    <row r="14126" spans="9:9">
      <c r="I14126" s="2"/>
    </row>
    <row r="14127" spans="9:9">
      <c r="I14127" s="2"/>
    </row>
    <row r="14128" spans="9:9">
      <c r="I14128" s="2"/>
    </row>
    <row r="14129" spans="9:9">
      <c r="I14129" s="2"/>
    </row>
    <row r="14130" spans="9:9">
      <c r="I14130" s="2"/>
    </row>
    <row r="14131" spans="9:9">
      <c r="I14131" s="2"/>
    </row>
    <row r="14132" spans="9:9">
      <c r="I14132" s="2"/>
    </row>
    <row r="14133" spans="9:9">
      <c r="I14133" s="2"/>
    </row>
    <row r="14134" spans="9:9">
      <c r="I14134" s="2"/>
    </row>
    <row r="14135" spans="9:9">
      <c r="I14135" s="2"/>
    </row>
    <row r="14136" spans="9:9">
      <c r="I14136" s="2"/>
    </row>
    <row r="14137" spans="9:9">
      <c r="I14137" s="2"/>
    </row>
    <row r="14138" spans="9:9">
      <c r="I14138" s="2"/>
    </row>
    <row r="14139" spans="9:9">
      <c r="I14139" s="2"/>
    </row>
    <row r="14140" spans="9:9">
      <c r="I14140" s="2"/>
    </row>
    <row r="14141" spans="9:9">
      <c r="I14141" s="2"/>
    </row>
    <row r="14142" spans="9:9">
      <c r="I14142" s="2"/>
    </row>
    <row r="14143" spans="9:9">
      <c r="I14143" s="2"/>
    </row>
    <row r="14144" spans="9:9">
      <c r="I14144" s="2"/>
    </row>
    <row r="14145" spans="9:9">
      <c r="I14145" s="2"/>
    </row>
    <row r="14146" spans="9:9">
      <c r="I14146" s="2"/>
    </row>
    <row r="14147" spans="9:9">
      <c r="I14147" s="2"/>
    </row>
    <row r="14148" spans="9:9">
      <c r="I14148" s="2"/>
    </row>
    <row r="14149" spans="9:9">
      <c r="I14149" s="2"/>
    </row>
    <row r="14150" spans="9:9">
      <c r="I14150" s="2"/>
    </row>
    <row r="14151" spans="9:9">
      <c r="I14151" s="2"/>
    </row>
    <row r="14152" spans="9:9">
      <c r="I14152" s="2"/>
    </row>
    <row r="14153" spans="9:9">
      <c r="I14153" s="2"/>
    </row>
    <row r="14154" spans="9:9">
      <c r="I14154" s="2"/>
    </row>
    <row r="14155" spans="9:9">
      <c r="I14155" s="2"/>
    </row>
    <row r="14156" spans="9:9">
      <c r="I14156" s="2"/>
    </row>
    <row r="14157" spans="9:9">
      <c r="I14157" s="2"/>
    </row>
    <row r="14158" spans="9:9">
      <c r="I14158" s="2"/>
    </row>
    <row r="14159" spans="9:9">
      <c r="I14159" s="2"/>
    </row>
    <row r="14160" spans="9:9">
      <c r="I14160" s="2"/>
    </row>
    <row r="14161" spans="9:9">
      <c r="I14161" s="2"/>
    </row>
    <row r="14162" spans="9:9">
      <c r="I14162" s="2"/>
    </row>
    <row r="14163" spans="9:9">
      <c r="I14163" s="2"/>
    </row>
    <row r="14164" spans="9:9">
      <c r="I14164" s="2"/>
    </row>
    <row r="14165" spans="9:9">
      <c r="I14165" s="2"/>
    </row>
    <row r="14166" spans="9:9">
      <c r="I14166" s="2"/>
    </row>
    <row r="14167" spans="9:9">
      <c r="I14167" s="2"/>
    </row>
    <row r="14168" spans="9:9">
      <c r="I14168" s="2"/>
    </row>
    <row r="14169" spans="9:9">
      <c r="I14169" s="2"/>
    </row>
    <row r="14170" spans="9:9">
      <c r="I14170" s="2"/>
    </row>
    <row r="14171" spans="9:9">
      <c r="I14171" s="2"/>
    </row>
    <row r="14172" spans="9:9">
      <c r="I14172" s="2"/>
    </row>
    <row r="14173" spans="9:9">
      <c r="I14173" s="2"/>
    </row>
    <row r="14174" spans="9:9">
      <c r="I14174" s="2"/>
    </row>
    <row r="14175" spans="9:9">
      <c r="I14175" s="2"/>
    </row>
    <row r="14176" spans="9:9">
      <c r="I14176" s="2"/>
    </row>
    <row r="14177" spans="9:9">
      <c r="I14177" s="2"/>
    </row>
    <row r="14178" spans="9:9">
      <c r="I14178" s="2"/>
    </row>
    <row r="14179" spans="9:9">
      <c r="I14179" s="2"/>
    </row>
    <row r="14180" spans="9:9">
      <c r="I14180" s="2"/>
    </row>
    <row r="14181" spans="9:9">
      <c r="I14181" s="2"/>
    </row>
    <row r="14182" spans="9:9">
      <c r="I14182" s="2"/>
    </row>
    <row r="14183" spans="9:9">
      <c r="I14183" s="2"/>
    </row>
    <row r="14184" spans="9:9">
      <c r="I14184" s="2"/>
    </row>
    <row r="14185" spans="9:9">
      <c r="I14185" s="2"/>
    </row>
    <row r="14186" spans="9:9">
      <c r="I14186" s="2"/>
    </row>
    <row r="14187" spans="9:9">
      <c r="I14187" s="2"/>
    </row>
    <row r="14188" spans="9:9">
      <c r="I14188" s="2"/>
    </row>
    <row r="14189" spans="9:9">
      <c r="I14189" s="2"/>
    </row>
    <row r="14190" spans="9:9">
      <c r="I14190" s="2"/>
    </row>
    <row r="14191" spans="9:9">
      <c r="I14191" s="2"/>
    </row>
    <row r="14192" spans="9:9">
      <c r="I14192" s="2"/>
    </row>
    <row r="14193" spans="9:9">
      <c r="I14193" s="2"/>
    </row>
    <row r="14194" spans="9:9">
      <c r="I14194" s="2"/>
    </row>
    <row r="14195" spans="9:9">
      <c r="I14195" s="2"/>
    </row>
    <row r="14196" spans="9:9">
      <c r="I14196" s="2"/>
    </row>
    <row r="14197" spans="9:9">
      <c r="I14197" s="2"/>
    </row>
    <row r="14198" spans="9:9">
      <c r="I14198" s="2"/>
    </row>
    <row r="14199" spans="9:9">
      <c r="I14199" s="2"/>
    </row>
    <row r="14200" spans="9:9">
      <c r="I14200" s="2"/>
    </row>
    <row r="14201" spans="9:9">
      <c r="I14201" s="2"/>
    </row>
    <row r="14202" spans="9:9">
      <c r="I14202" s="2"/>
    </row>
    <row r="14203" spans="9:9">
      <c r="I14203" s="2"/>
    </row>
    <row r="14204" spans="9:9">
      <c r="I14204" s="2"/>
    </row>
    <row r="14205" spans="9:9">
      <c r="I14205" s="2"/>
    </row>
    <row r="14206" spans="9:9">
      <c r="I14206" s="2"/>
    </row>
    <row r="14207" spans="9:9">
      <c r="I14207" s="2"/>
    </row>
    <row r="14208" spans="9:9">
      <c r="I14208" s="2"/>
    </row>
    <row r="14209" spans="9:9">
      <c r="I14209" s="2"/>
    </row>
    <row r="14210" spans="9:9">
      <c r="I14210" s="2"/>
    </row>
    <row r="14211" spans="9:9">
      <c r="I14211" s="2"/>
    </row>
    <row r="14212" spans="9:9">
      <c r="I14212" s="2"/>
    </row>
    <row r="14213" spans="9:9">
      <c r="I14213" s="2"/>
    </row>
    <row r="14214" spans="9:9">
      <c r="I14214" s="2"/>
    </row>
    <row r="14215" spans="9:9">
      <c r="I14215" s="2"/>
    </row>
    <row r="14216" spans="9:9">
      <c r="I14216" s="2"/>
    </row>
    <row r="14217" spans="9:9">
      <c r="I14217" s="2"/>
    </row>
    <row r="14218" spans="9:9">
      <c r="I14218" s="2"/>
    </row>
    <row r="14219" spans="9:9">
      <c r="I14219" s="2"/>
    </row>
    <row r="14220" spans="9:9">
      <c r="I14220" s="2"/>
    </row>
    <row r="14221" spans="9:9">
      <c r="I14221" s="2"/>
    </row>
    <row r="14222" spans="9:9">
      <c r="I14222" s="2"/>
    </row>
    <row r="14223" spans="9:9">
      <c r="I14223" s="2"/>
    </row>
    <row r="14224" spans="9:9">
      <c r="I14224" s="2"/>
    </row>
    <row r="14225" spans="9:9">
      <c r="I14225" s="2"/>
    </row>
    <row r="14226" spans="9:9">
      <c r="I14226" s="2"/>
    </row>
    <row r="14227" spans="9:9">
      <c r="I14227" s="2"/>
    </row>
    <row r="14228" spans="9:9">
      <c r="I14228" s="2"/>
    </row>
    <row r="14229" spans="9:9">
      <c r="I14229" s="2"/>
    </row>
    <row r="14230" spans="9:9">
      <c r="I14230" s="2"/>
    </row>
    <row r="14231" spans="9:9">
      <c r="I14231" s="2"/>
    </row>
    <row r="14232" spans="9:9">
      <c r="I14232" s="2"/>
    </row>
    <row r="14233" spans="9:9">
      <c r="I14233" s="2"/>
    </row>
    <row r="14234" spans="9:9">
      <c r="I14234" s="2"/>
    </row>
    <row r="14235" spans="9:9">
      <c r="I14235" s="2"/>
    </row>
    <row r="14236" spans="9:9">
      <c r="I14236" s="2"/>
    </row>
    <row r="14237" spans="9:9">
      <c r="I14237" s="2"/>
    </row>
    <row r="14238" spans="9:9">
      <c r="I14238" s="2"/>
    </row>
    <row r="14239" spans="9:9">
      <c r="I14239" s="2"/>
    </row>
    <row r="14240" spans="9:9">
      <c r="I14240" s="2"/>
    </row>
    <row r="14241" spans="9:9">
      <c r="I14241" s="2"/>
    </row>
    <row r="14242" spans="9:9">
      <c r="I14242" s="2"/>
    </row>
    <row r="14243" spans="9:9">
      <c r="I14243" s="2"/>
    </row>
    <row r="14244" spans="9:9">
      <c r="I14244" s="2"/>
    </row>
    <row r="14245" spans="9:9">
      <c r="I14245" s="2"/>
    </row>
    <row r="14246" spans="9:9">
      <c r="I14246" s="2"/>
    </row>
    <row r="14247" spans="9:9">
      <c r="I14247" s="2"/>
    </row>
    <row r="14248" spans="9:9">
      <c r="I14248" s="2"/>
    </row>
    <row r="14249" spans="9:9">
      <c r="I14249" s="2"/>
    </row>
    <row r="14250" spans="9:9">
      <c r="I14250" s="2"/>
    </row>
    <row r="14251" spans="9:9">
      <c r="I14251" s="2"/>
    </row>
    <row r="14252" spans="9:9">
      <c r="I14252" s="2"/>
    </row>
    <row r="14253" spans="9:9">
      <c r="I14253" s="2"/>
    </row>
    <row r="14254" spans="9:9">
      <c r="I14254" s="2"/>
    </row>
    <row r="14255" spans="9:9">
      <c r="I14255" s="2"/>
    </row>
    <row r="14256" spans="9:9">
      <c r="I14256" s="2"/>
    </row>
    <row r="14257" spans="9:9">
      <c r="I14257" s="2"/>
    </row>
    <row r="14258" spans="9:9">
      <c r="I14258" s="2"/>
    </row>
    <row r="14259" spans="9:9">
      <c r="I14259" s="2"/>
    </row>
    <row r="14260" spans="9:9">
      <c r="I14260" s="2"/>
    </row>
    <row r="14261" spans="9:9">
      <c r="I14261" s="2"/>
    </row>
    <row r="14262" spans="9:9">
      <c r="I14262" s="2"/>
    </row>
    <row r="14263" spans="9:9">
      <c r="I14263" s="2"/>
    </row>
    <row r="14264" spans="9:9">
      <c r="I14264" s="2"/>
    </row>
    <row r="14265" spans="9:9">
      <c r="I14265" s="2"/>
    </row>
    <row r="14266" spans="9:9">
      <c r="I14266" s="2"/>
    </row>
    <row r="14267" spans="9:9">
      <c r="I14267" s="2"/>
    </row>
    <row r="14268" spans="9:9">
      <c r="I14268" s="2"/>
    </row>
    <row r="14269" spans="9:9">
      <c r="I14269" s="2"/>
    </row>
    <row r="14270" spans="9:9">
      <c r="I14270" s="2"/>
    </row>
    <row r="14271" spans="9:9">
      <c r="I14271" s="2"/>
    </row>
    <row r="14272" spans="9:9">
      <c r="I14272" s="2"/>
    </row>
    <row r="14273" spans="9:9">
      <c r="I14273" s="2"/>
    </row>
    <row r="14274" spans="9:9">
      <c r="I14274" s="2"/>
    </row>
    <row r="14275" spans="9:9">
      <c r="I14275" s="2"/>
    </row>
    <row r="14276" spans="9:9">
      <c r="I14276" s="2"/>
    </row>
    <row r="14277" spans="9:9">
      <c r="I14277" s="2"/>
    </row>
    <row r="14278" spans="9:9">
      <c r="I14278" s="2"/>
    </row>
    <row r="14279" spans="9:9">
      <c r="I14279" s="2"/>
    </row>
    <row r="14280" spans="9:9">
      <c r="I14280" s="2"/>
    </row>
    <row r="14281" spans="9:9">
      <c r="I14281" s="2"/>
    </row>
    <row r="14282" spans="9:9">
      <c r="I14282" s="2"/>
    </row>
    <row r="14283" spans="9:9">
      <c r="I14283" s="2"/>
    </row>
    <row r="14284" spans="9:9">
      <c r="I14284" s="2"/>
    </row>
    <row r="14285" spans="9:9">
      <c r="I14285" s="2"/>
    </row>
    <row r="14286" spans="9:9">
      <c r="I14286" s="2"/>
    </row>
    <row r="14287" spans="9:9">
      <c r="I14287" s="2"/>
    </row>
    <row r="14288" spans="9:9">
      <c r="I14288" s="2"/>
    </row>
    <row r="14289" spans="9:9">
      <c r="I14289" s="2"/>
    </row>
    <row r="14290" spans="9:9">
      <c r="I14290" s="2"/>
    </row>
    <row r="14291" spans="9:9">
      <c r="I14291" s="2"/>
    </row>
    <row r="14292" spans="9:9">
      <c r="I14292" s="2"/>
    </row>
    <row r="14293" spans="9:9">
      <c r="I14293" s="2"/>
    </row>
    <row r="14294" spans="9:9">
      <c r="I14294" s="2"/>
    </row>
    <row r="14295" spans="9:9">
      <c r="I14295" s="2"/>
    </row>
    <row r="14296" spans="9:9">
      <c r="I14296" s="2"/>
    </row>
    <row r="14297" spans="9:9">
      <c r="I14297" s="2"/>
    </row>
    <row r="14298" spans="9:9">
      <c r="I14298" s="2"/>
    </row>
    <row r="14299" spans="9:9">
      <c r="I14299" s="2"/>
    </row>
    <row r="14300" spans="9:9">
      <c r="I14300" s="2"/>
    </row>
    <row r="14301" spans="9:9">
      <c r="I14301" s="2"/>
    </row>
    <row r="14302" spans="9:9">
      <c r="I14302" s="2"/>
    </row>
    <row r="14303" spans="9:9">
      <c r="I14303" s="2"/>
    </row>
    <row r="14304" spans="9:9">
      <c r="I14304" s="2"/>
    </row>
    <row r="14305" spans="9:9">
      <c r="I14305" s="2"/>
    </row>
    <row r="14306" spans="9:9">
      <c r="I14306" s="2"/>
    </row>
    <row r="14307" spans="9:9">
      <c r="I14307" s="2"/>
    </row>
    <row r="14308" spans="9:9">
      <c r="I14308" s="2"/>
    </row>
    <row r="14309" spans="9:9">
      <c r="I14309" s="2"/>
    </row>
    <row r="14310" spans="9:9">
      <c r="I14310" s="2"/>
    </row>
    <row r="14311" spans="9:9">
      <c r="I14311" s="2"/>
    </row>
    <row r="14312" spans="9:9">
      <c r="I14312" s="2"/>
    </row>
    <row r="14313" spans="9:9">
      <c r="I14313" s="2"/>
    </row>
    <row r="14314" spans="9:9">
      <c r="I14314" s="2"/>
    </row>
    <row r="14315" spans="9:9">
      <c r="I14315" s="2"/>
    </row>
    <row r="14316" spans="9:9">
      <c r="I14316" s="2"/>
    </row>
    <row r="14317" spans="9:9">
      <c r="I14317" s="2"/>
    </row>
    <row r="14318" spans="9:9">
      <c r="I14318" s="2"/>
    </row>
    <row r="14319" spans="9:9">
      <c r="I14319" s="2"/>
    </row>
    <row r="14320" spans="9:9">
      <c r="I14320" s="2"/>
    </row>
    <row r="14321" spans="9:9">
      <c r="I14321" s="2"/>
    </row>
    <row r="14322" spans="9:9">
      <c r="I14322" s="2"/>
    </row>
    <row r="14323" spans="9:9">
      <c r="I14323" s="2"/>
    </row>
    <row r="14324" spans="9:9">
      <c r="I14324" s="2"/>
    </row>
    <row r="14325" spans="9:9">
      <c r="I14325" s="2"/>
    </row>
    <row r="14326" spans="9:9">
      <c r="I14326" s="2"/>
    </row>
    <row r="14327" spans="9:9">
      <c r="I14327" s="2"/>
    </row>
    <row r="14328" spans="9:9">
      <c r="I14328" s="2"/>
    </row>
    <row r="14329" spans="9:9">
      <c r="I14329" s="2"/>
    </row>
    <row r="14330" spans="9:9">
      <c r="I14330" s="2"/>
    </row>
    <row r="14331" spans="9:9">
      <c r="I14331" s="2"/>
    </row>
    <row r="14332" spans="9:9">
      <c r="I14332" s="2"/>
    </row>
    <row r="14333" spans="9:9">
      <c r="I14333" s="2"/>
    </row>
    <row r="14334" spans="9:9">
      <c r="I14334" s="2"/>
    </row>
    <row r="14335" spans="9:9">
      <c r="I14335" s="2"/>
    </row>
    <row r="14336" spans="9:9">
      <c r="I14336" s="2"/>
    </row>
    <row r="14337" spans="9:9">
      <c r="I14337" s="2"/>
    </row>
    <row r="14338" spans="9:9">
      <c r="I14338" s="2"/>
    </row>
    <row r="14339" spans="9:9">
      <c r="I14339" s="2"/>
    </row>
    <row r="14340" spans="9:9">
      <c r="I14340" s="2"/>
    </row>
    <row r="14341" spans="9:9">
      <c r="I14341" s="2"/>
    </row>
    <row r="14342" spans="9:9">
      <c r="I14342" s="2"/>
    </row>
    <row r="14343" spans="9:9">
      <c r="I14343" s="2"/>
    </row>
    <row r="14344" spans="9:9">
      <c r="I14344" s="2"/>
    </row>
    <row r="14345" spans="9:9">
      <c r="I14345" s="2"/>
    </row>
    <row r="14346" spans="9:9">
      <c r="I14346" s="2"/>
    </row>
    <row r="14347" spans="9:9">
      <c r="I14347" s="2"/>
    </row>
    <row r="14348" spans="9:9">
      <c r="I14348" s="2"/>
    </row>
    <row r="14349" spans="9:9">
      <c r="I14349" s="2"/>
    </row>
    <row r="14350" spans="9:9">
      <c r="I14350" s="2"/>
    </row>
    <row r="14351" spans="9:9">
      <c r="I14351" s="2"/>
    </row>
    <row r="14352" spans="9:9">
      <c r="I14352" s="2"/>
    </row>
    <row r="14353" spans="9:9">
      <c r="I14353" s="2"/>
    </row>
    <row r="14354" spans="9:9">
      <c r="I14354" s="2"/>
    </row>
    <row r="14355" spans="9:9">
      <c r="I14355" s="2"/>
    </row>
    <row r="14356" spans="9:9">
      <c r="I14356" s="2"/>
    </row>
    <row r="14357" spans="9:9">
      <c r="I14357" s="2"/>
    </row>
    <row r="14358" spans="9:9">
      <c r="I14358" s="2"/>
    </row>
    <row r="14359" spans="9:9">
      <c r="I14359" s="2"/>
    </row>
    <row r="14360" spans="9:9">
      <c r="I14360" s="2"/>
    </row>
    <row r="14361" spans="9:9">
      <c r="I14361" s="2"/>
    </row>
    <row r="14362" spans="9:9">
      <c r="I14362" s="2"/>
    </row>
    <row r="14363" spans="9:9">
      <c r="I14363" s="2"/>
    </row>
    <row r="14364" spans="9:9">
      <c r="I14364" s="2"/>
    </row>
    <row r="14365" spans="9:9">
      <c r="I14365" s="2"/>
    </row>
    <row r="14366" spans="9:9">
      <c r="I14366" s="2"/>
    </row>
    <row r="14367" spans="9:9">
      <c r="I14367" s="2"/>
    </row>
    <row r="14368" spans="9:9">
      <c r="I14368" s="2"/>
    </row>
    <row r="14369" spans="9:9">
      <c r="I14369" s="2"/>
    </row>
    <row r="14370" spans="9:9">
      <c r="I14370" s="2"/>
    </row>
    <row r="14371" spans="9:9">
      <c r="I14371" s="2"/>
    </row>
    <row r="14372" spans="9:9">
      <c r="I14372" s="2"/>
    </row>
    <row r="14373" spans="9:9">
      <c r="I14373" s="2"/>
    </row>
    <row r="14374" spans="9:9">
      <c r="I14374" s="2"/>
    </row>
    <row r="14375" spans="9:9">
      <c r="I14375" s="2"/>
    </row>
    <row r="14376" spans="9:9">
      <c r="I14376" s="2"/>
    </row>
    <row r="14377" spans="9:9">
      <c r="I14377" s="2"/>
    </row>
    <row r="14378" spans="9:9">
      <c r="I14378" s="2"/>
    </row>
    <row r="14379" spans="9:9">
      <c r="I14379" s="2"/>
    </row>
    <row r="14380" spans="9:9">
      <c r="I14380" s="2"/>
    </row>
    <row r="14381" spans="9:9">
      <c r="I14381" s="2"/>
    </row>
    <row r="14382" spans="9:9">
      <c r="I14382" s="2"/>
    </row>
    <row r="14383" spans="9:9">
      <c r="I14383" s="2"/>
    </row>
    <row r="14384" spans="9:9">
      <c r="I14384" s="2"/>
    </row>
    <row r="14385" spans="9:9">
      <c r="I14385" s="2"/>
    </row>
    <row r="14386" spans="9:9">
      <c r="I14386" s="2"/>
    </row>
    <row r="14387" spans="9:9">
      <c r="I14387" s="2"/>
    </row>
    <row r="14388" spans="9:9">
      <c r="I14388" s="2"/>
    </row>
    <row r="14389" spans="9:9">
      <c r="I14389" s="2"/>
    </row>
    <row r="14390" spans="9:9">
      <c r="I14390" s="2"/>
    </row>
    <row r="14391" spans="9:9">
      <c r="I14391" s="2"/>
    </row>
    <row r="14392" spans="9:9">
      <c r="I14392" s="2"/>
    </row>
    <row r="14393" spans="9:9">
      <c r="I14393" s="2"/>
    </row>
    <row r="14394" spans="9:9">
      <c r="I14394" s="2"/>
    </row>
    <row r="14395" spans="9:9">
      <c r="I14395" s="2"/>
    </row>
    <row r="14396" spans="9:9">
      <c r="I14396" s="2"/>
    </row>
    <row r="14397" spans="9:9">
      <c r="I14397" s="2"/>
    </row>
    <row r="14398" spans="9:9">
      <c r="I14398" s="2"/>
    </row>
    <row r="14399" spans="9:9">
      <c r="I14399" s="2"/>
    </row>
    <row r="14400" spans="9:9">
      <c r="I14400" s="2"/>
    </row>
    <row r="14401" spans="9:9">
      <c r="I14401" s="2"/>
    </row>
    <row r="14402" spans="9:9">
      <c r="I14402" s="2"/>
    </row>
    <row r="14403" spans="9:9">
      <c r="I14403" s="2"/>
    </row>
    <row r="14404" spans="9:9">
      <c r="I14404" s="2"/>
    </row>
    <row r="14405" spans="9:9">
      <c r="I14405" s="2"/>
    </row>
    <row r="14406" spans="9:9">
      <c r="I14406" s="2"/>
    </row>
    <row r="14407" spans="9:9">
      <c r="I14407" s="2"/>
    </row>
    <row r="14408" spans="9:9">
      <c r="I14408" s="2"/>
    </row>
    <row r="14409" spans="9:9">
      <c r="I14409" s="2"/>
    </row>
    <row r="14410" spans="9:9">
      <c r="I14410" s="2"/>
    </row>
    <row r="14411" spans="9:9">
      <c r="I14411" s="2"/>
    </row>
    <row r="14412" spans="9:9">
      <c r="I14412" s="2"/>
    </row>
    <row r="14413" spans="9:9">
      <c r="I14413" s="2"/>
    </row>
    <row r="14414" spans="9:9">
      <c r="I14414" s="2"/>
    </row>
    <row r="14415" spans="9:9">
      <c r="I14415" s="2"/>
    </row>
    <row r="14416" spans="9:9">
      <c r="I14416" s="2"/>
    </row>
    <row r="14417" spans="9:9">
      <c r="I14417" s="2"/>
    </row>
    <row r="14418" spans="9:9">
      <c r="I14418" s="2"/>
    </row>
    <row r="14419" spans="9:9">
      <c r="I14419" s="2"/>
    </row>
    <row r="14420" spans="9:9">
      <c r="I14420" s="2"/>
    </row>
    <row r="14421" spans="9:9">
      <c r="I14421" s="2"/>
    </row>
    <row r="14422" spans="9:9">
      <c r="I14422" s="2"/>
    </row>
    <row r="14423" spans="9:9">
      <c r="I14423" s="2"/>
    </row>
    <row r="14424" spans="9:9">
      <c r="I14424" s="2"/>
    </row>
    <row r="14425" spans="9:9">
      <c r="I14425" s="2"/>
    </row>
    <row r="14426" spans="9:9">
      <c r="I14426" s="2"/>
    </row>
    <row r="14427" spans="9:9">
      <c r="I14427" s="2"/>
    </row>
    <row r="14428" spans="9:9">
      <c r="I14428" s="2"/>
    </row>
    <row r="14429" spans="9:9">
      <c r="I14429" s="2"/>
    </row>
    <row r="14430" spans="9:9">
      <c r="I14430" s="2"/>
    </row>
    <row r="14431" spans="9:9">
      <c r="I14431" s="2"/>
    </row>
    <row r="14432" spans="9:9">
      <c r="I14432" s="2"/>
    </row>
    <row r="14433" spans="9:9">
      <c r="I14433" s="2"/>
    </row>
    <row r="14434" spans="9:9">
      <c r="I14434" s="2"/>
    </row>
    <row r="14435" spans="9:9">
      <c r="I14435" s="2"/>
    </row>
    <row r="14436" spans="9:9">
      <c r="I14436" s="2"/>
    </row>
    <row r="14437" spans="9:9">
      <c r="I14437" s="2"/>
    </row>
    <row r="14438" spans="9:9">
      <c r="I14438" s="2"/>
    </row>
    <row r="14439" spans="9:9">
      <c r="I14439" s="2"/>
    </row>
    <row r="14440" spans="9:9">
      <c r="I14440" s="2"/>
    </row>
    <row r="14441" spans="9:9">
      <c r="I14441" s="2"/>
    </row>
    <row r="14442" spans="9:9">
      <c r="I14442" s="2"/>
    </row>
    <row r="14443" spans="9:9">
      <c r="I14443" s="2"/>
    </row>
    <row r="14444" spans="9:9">
      <c r="I14444" s="2"/>
    </row>
    <row r="14445" spans="9:9">
      <c r="I14445" s="2"/>
    </row>
    <row r="14446" spans="9:9">
      <c r="I14446" s="2"/>
    </row>
    <row r="14447" spans="9:9">
      <c r="I14447" s="2"/>
    </row>
    <row r="14448" spans="9:9">
      <c r="I14448" s="2"/>
    </row>
    <row r="14449" spans="9:9">
      <c r="I14449" s="2"/>
    </row>
    <row r="14450" spans="9:9">
      <c r="I14450" s="2"/>
    </row>
    <row r="14451" spans="9:9">
      <c r="I14451" s="2"/>
    </row>
    <row r="14452" spans="9:9">
      <c r="I14452" s="2"/>
    </row>
    <row r="14453" spans="9:9">
      <c r="I14453" s="2"/>
    </row>
    <row r="14454" spans="9:9">
      <c r="I14454" s="2"/>
    </row>
    <row r="14455" spans="9:9">
      <c r="I14455" s="2"/>
    </row>
    <row r="14456" spans="9:9">
      <c r="I14456" s="2"/>
    </row>
    <row r="14457" spans="9:9">
      <c r="I14457" s="2"/>
    </row>
    <row r="14458" spans="9:9">
      <c r="I14458" s="2"/>
    </row>
    <row r="14459" spans="9:9">
      <c r="I14459" s="2"/>
    </row>
    <row r="14460" spans="9:9">
      <c r="I14460" s="2"/>
    </row>
    <row r="14461" spans="9:9">
      <c r="I14461" s="2"/>
    </row>
    <row r="14462" spans="9:9">
      <c r="I14462" s="2"/>
    </row>
    <row r="14463" spans="9:9">
      <c r="I14463" s="2"/>
    </row>
    <row r="14464" spans="9:9">
      <c r="I14464" s="2"/>
    </row>
    <row r="14465" spans="9:9">
      <c r="I14465" s="2"/>
    </row>
    <row r="14466" spans="9:9">
      <c r="I14466" s="2"/>
    </row>
    <row r="14467" spans="9:9">
      <c r="I14467" s="2"/>
    </row>
    <row r="14468" spans="9:9">
      <c r="I14468" s="2"/>
    </row>
    <row r="14469" spans="9:9">
      <c r="I14469" s="2"/>
    </row>
    <row r="14470" spans="9:9">
      <c r="I14470" s="2"/>
    </row>
    <row r="14471" spans="9:9">
      <c r="I14471" s="2"/>
    </row>
    <row r="14472" spans="9:9">
      <c r="I14472" s="2"/>
    </row>
    <row r="14473" spans="9:9">
      <c r="I14473" s="2"/>
    </row>
    <row r="14474" spans="9:9">
      <c r="I14474" s="2"/>
    </row>
    <row r="14475" spans="9:9">
      <c r="I14475" s="2"/>
    </row>
    <row r="14476" spans="9:9">
      <c r="I14476" s="2"/>
    </row>
    <row r="14477" spans="9:9">
      <c r="I14477" s="2"/>
    </row>
    <row r="14478" spans="9:9">
      <c r="I14478" s="2"/>
    </row>
    <row r="14479" spans="9:9">
      <c r="I14479" s="2"/>
    </row>
    <row r="14480" spans="9:9">
      <c r="I14480" s="2"/>
    </row>
    <row r="14481" spans="9:9">
      <c r="I14481" s="2"/>
    </row>
    <row r="14482" spans="9:9">
      <c r="I14482" s="2"/>
    </row>
    <row r="14483" spans="9:9">
      <c r="I14483" s="2"/>
    </row>
    <row r="14484" spans="9:9">
      <c r="I14484" s="2"/>
    </row>
    <row r="14485" spans="9:9">
      <c r="I14485" s="2"/>
    </row>
    <row r="14486" spans="9:9">
      <c r="I14486" s="2"/>
    </row>
    <row r="14487" spans="9:9">
      <c r="I14487" s="2"/>
    </row>
    <row r="14488" spans="9:9">
      <c r="I14488" s="2"/>
    </row>
    <row r="14489" spans="9:9">
      <c r="I14489" s="2"/>
    </row>
    <row r="14490" spans="9:9">
      <c r="I14490" s="2"/>
    </row>
    <row r="14491" spans="9:9">
      <c r="I14491" s="2"/>
    </row>
    <row r="14492" spans="9:9">
      <c r="I14492" s="2"/>
    </row>
    <row r="14493" spans="9:9">
      <c r="I14493" s="2"/>
    </row>
    <row r="14494" spans="9:9">
      <c r="I14494" s="2"/>
    </row>
    <row r="14495" spans="9:9">
      <c r="I14495" s="2"/>
    </row>
    <row r="14496" spans="9:9">
      <c r="I14496" s="2"/>
    </row>
    <row r="14497" spans="9:9">
      <c r="I14497" s="2"/>
    </row>
    <row r="14498" spans="9:9">
      <c r="I14498" s="2"/>
    </row>
    <row r="14499" spans="9:9">
      <c r="I14499" s="2"/>
    </row>
    <row r="14500" spans="9:9">
      <c r="I14500" s="2"/>
    </row>
    <row r="14501" spans="9:9">
      <c r="I14501" s="2"/>
    </row>
    <row r="14502" spans="9:9">
      <c r="I14502" s="2"/>
    </row>
    <row r="14503" spans="9:9">
      <c r="I14503" s="2"/>
    </row>
    <row r="14504" spans="9:9">
      <c r="I14504" s="2"/>
    </row>
    <row r="14505" spans="9:9">
      <c r="I14505" s="2"/>
    </row>
    <row r="14506" spans="9:9">
      <c r="I14506" s="2"/>
    </row>
    <row r="14507" spans="9:9">
      <c r="I14507" s="2"/>
    </row>
    <row r="14508" spans="9:9">
      <c r="I14508" s="2"/>
    </row>
    <row r="14509" spans="9:9">
      <c r="I14509" s="2"/>
    </row>
    <row r="14510" spans="9:9">
      <c r="I14510" s="2"/>
    </row>
    <row r="14511" spans="9:9">
      <c r="I14511" s="2"/>
    </row>
    <row r="14512" spans="9:9">
      <c r="I14512" s="2"/>
    </row>
    <row r="14513" spans="9:9">
      <c r="I14513" s="2"/>
    </row>
    <row r="14514" spans="9:9">
      <c r="I14514" s="2"/>
    </row>
    <row r="14515" spans="9:9">
      <c r="I14515" s="2"/>
    </row>
    <row r="14516" spans="9:9">
      <c r="I14516" s="2"/>
    </row>
    <row r="14517" spans="9:9">
      <c r="I14517" s="2"/>
    </row>
    <row r="14518" spans="9:9">
      <c r="I14518" s="2"/>
    </row>
    <row r="14519" spans="9:9">
      <c r="I14519" s="2"/>
    </row>
    <row r="14520" spans="9:9">
      <c r="I14520" s="2"/>
    </row>
    <row r="14521" spans="9:9">
      <c r="I14521" s="2"/>
    </row>
    <row r="14522" spans="9:9">
      <c r="I14522" s="2"/>
    </row>
    <row r="14523" spans="9:9">
      <c r="I14523" s="2"/>
    </row>
    <row r="14524" spans="9:9">
      <c r="I14524" s="2"/>
    </row>
    <row r="14525" spans="9:9">
      <c r="I14525" s="2"/>
    </row>
    <row r="14526" spans="9:9">
      <c r="I14526" s="2"/>
    </row>
    <row r="14527" spans="9:9">
      <c r="I14527" s="2"/>
    </row>
    <row r="14528" spans="9:9">
      <c r="I14528" s="2"/>
    </row>
    <row r="14529" spans="9:9">
      <c r="I14529" s="2"/>
    </row>
    <row r="14530" spans="9:9">
      <c r="I14530" s="2"/>
    </row>
    <row r="14531" spans="9:9">
      <c r="I14531" s="2"/>
    </row>
    <row r="14532" spans="9:9">
      <c r="I14532" s="2"/>
    </row>
    <row r="14533" spans="9:9">
      <c r="I14533" s="2"/>
    </row>
    <row r="14534" spans="9:9">
      <c r="I14534" s="2"/>
    </row>
    <row r="14535" spans="9:9">
      <c r="I14535" s="2"/>
    </row>
    <row r="14536" spans="9:9">
      <c r="I14536" s="2"/>
    </row>
    <row r="14537" spans="9:9">
      <c r="I14537" s="2"/>
    </row>
    <row r="14538" spans="9:9">
      <c r="I14538" s="2"/>
    </row>
    <row r="14539" spans="9:9">
      <c r="I14539" s="2"/>
    </row>
    <row r="14540" spans="9:9">
      <c r="I14540" s="2"/>
    </row>
    <row r="14541" spans="9:9">
      <c r="I14541" s="2"/>
    </row>
    <row r="14542" spans="9:9">
      <c r="I14542" s="2"/>
    </row>
    <row r="14543" spans="9:9">
      <c r="I14543" s="2"/>
    </row>
    <row r="14544" spans="9:9">
      <c r="I14544" s="2"/>
    </row>
    <row r="14545" spans="9:9">
      <c r="I14545" s="2"/>
    </row>
    <row r="14546" spans="9:9">
      <c r="I14546" s="2"/>
    </row>
    <row r="14547" spans="9:9">
      <c r="I14547" s="2"/>
    </row>
    <row r="14548" spans="9:9">
      <c r="I14548" s="2"/>
    </row>
    <row r="14549" spans="9:9">
      <c r="I14549" s="2"/>
    </row>
    <row r="14550" spans="9:9">
      <c r="I14550" s="2"/>
    </row>
    <row r="14551" spans="9:9">
      <c r="I14551" s="2"/>
    </row>
    <row r="14552" spans="9:9">
      <c r="I14552" s="2"/>
    </row>
    <row r="14553" spans="9:9">
      <c r="I14553" s="2"/>
    </row>
    <row r="14554" spans="9:9">
      <c r="I14554" s="2"/>
    </row>
    <row r="14555" spans="9:9">
      <c r="I14555" s="2"/>
    </row>
    <row r="14556" spans="9:9">
      <c r="I14556" s="2"/>
    </row>
    <row r="14557" spans="9:9">
      <c r="I14557" s="2"/>
    </row>
    <row r="14558" spans="9:9">
      <c r="I14558" s="2"/>
    </row>
    <row r="14559" spans="9:9">
      <c r="I14559" s="2"/>
    </row>
    <row r="14560" spans="9:9">
      <c r="I14560" s="2"/>
    </row>
    <row r="14561" spans="9:9">
      <c r="I14561" s="2"/>
    </row>
    <row r="14562" spans="9:9">
      <c r="I14562" s="2"/>
    </row>
    <row r="14563" spans="9:9">
      <c r="I14563" s="2"/>
    </row>
    <row r="14564" spans="9:9">
      <c r="I14564" s="2"/>
    </row>
    <row r="14565" spans="9:9">
      <c r="I14565" s="2"/>
    </row>
    <row r="14566" spans="9:9">
      <c r="I14566" s="2"/>
    </row>
    <row r="14567" spans="9:9">
      <c r="I14567" s="2"/>
    </row>
    <row r="14568" spans="9:9">
      <c r="I14568" s="2"/>
    </row>
    <row r="14569" spans="9:9">
      <c r="I14569" s="2"/>
    </row>
    <row r="14570" spans="9:9">
      <c r="I14570" s="2"/>
    </row>
    <row r="14571" spans="9:9">
      <c r="I14571" s="2"/>
    </row>
    <row r="14572" spans="9:9">
      <c r="I14572" s="2"/>
    </row>
    <row r="14573" spans="9:9">
      <c r="I14573" s="2"/>
    </row>
    <row r="14574" spans="9:9">
      <c r="I14574" s="2"/>
    </row>
    <row r="14575" spans="9:9">
      <c r="I14575" s="2"/>
    </row>
    <row r="14576" spans="9:9">
      <c r="I14576" s="2"/>
    </row>
    <row r="14577" spans="9:9">
      <c r="I14577" s="2"/>
    </row>
    <row r="14578" spans="9:9">
      <c r="I14578" s="2"/>
    </row>
    <row r="14579" spans="9:9">
      <c r="I14579" s="2"/>
    </row>
    <row r="14580" spans="9:9">
      <c r="I14580" s="2"/>
    </row>
    <row r="14581" spans="9:9">
      <c r="I14581" s="2"/>
    </row>
    <row r="14582" spans="9:9">
      <c r="I14582" s="2"/>
    </row>
    <row r="14583" spans="9:9">
      <c r="I14583" s="2"/>
    </row>
    <row r="14584" spans="9:9">
      <c r="I14584" s="2"/>
    </row>
    <row r="14585" spans="9:9">
      <c r="I14585" s="2"/>
    </row>
    <row r="14586" spans="9:9">
      <c r="I14586" s="2"/>
    </row>
    <row r="14587" spans="9:9">
      <c r="I14587" s="2"/>
    </row>
    <row r="14588" spans="9:9">
      <c r="I14588" s="2"/>
    </row>
    <row r="14589" spans="9:9">
      <c r="I14589" s="2"/>
    </row>
    <row r="14590" spans="9:9">
      <c r="I14590" s="2"/>
    </row>
    <row r="14591" spans="9:9">
      <c r="I14591" s="2"/>
    </row>
    <row r="14592" spans="9:9">
      <c r="I14592" s="2"/>
    </row>
    <row r="14593" spans="9:9">
      <c r="I14593" s="2"/>
    </row>
    <row r="14594" spans="9:9">
      <c r="I14594" s="2"/>
    </row>
    <row r="14595" spans="9:9">
      <c r="I14595" s="2"/>
    </row>
    <row r="14596" spans="9:9">
      <c r="I14596" s="2"/>
    </row>
    <row r="14597" spans="9:9">
      <c r="I14597" s="2"/>
    </row>
    <row r="14598" spans="9:9">
      <c r="I14598" s="2"/>
    </row>
    <row r="14599" spans="9:9">
      <c r="I14599" s="2"/>
    </row>
    <row r="14600" spans="9:9">
      <c r="I14600" s="2"/>
    </row>
    <row r="14601" spans="9:9">
      <c r="I14601" s="2"/>
    </row>
    <row r="14602" spans="9:9">
      <c r="I14602" s="2"/>
    </row>
    <row r="14603" spans="9:9">
      <c r="I14603" s="2"/>
    </row>
    <row r="14604" spans="9:9">
      <c r="I14604" s="2"/>
    </row>
    <row r="14605" spans="9:9">
      <c r="I14605" s="2"/>
    </row>
    <row r="14606" spans="9:9">
      <c r="I14606" s="2"/>
    </row>
    <row r="14607" spans="9:9">
      <c r="I14607" s="2"/>
    </row>
    <row r="14608" spans="9:9">
      <c r="I14608" s="2"/>
    </row>
    <row r="14609" spans="9:9">
      <c r="I14609" s="2"/>
    </row>
    <row r="14610" spans="9:9">
      <c r="I14610" s="2"/>
    </row>
    <row r="14611" spans="9:9">
      <c r="I14611" s="2"/>
    </row>
    <row r="14612" spans="9:9">
      <c r="I14612" s="2"/>
    </row>
    <row r="14613" spans="9:9">
      <c r="I14613" s="2"/>
    </row>
    <row r="14614" spans="9:9">
      <c r="I14614" s="2"/>
    </row>
    <row r="14615" spans="9:9">
      <c r="I14615" s="2"/>
    </row>
    <row r="14616" spans="9:9">
      <c r="I14616" s="2"/>
    </row>
    <row r="14617" spans="9:9">
      <c r="I14617" s="2"/>
    </row>
    <row r="14618" spans="9:9">
      <c r="I14618" s="2"/>
    </row>
    <row r="14619" spans="9:9">
      <c r="I14619" s="2"/>
    </row>
    <row r="14620" spans="9:9">
      <c r="I14620" s="2"/>
    </row>
    <row r="14621" spans="9:9">
      <c r="I14621" s="2"/>
    </row>
    <row r="14622" spans="9:9">
      <c r="I14622" s="2"/>
    </row>
    <row r="14623" spans="9:9">
      <c r="I14623" s="2"/>
    </row>
    <row r="14624" spans="9:9">
      <c r="I14624" s="2"/>
    </row>
    <row r="14625" spans="9:9">
      <c r="I14625" s="2"/>
    </row>
    <row r="14626" spans="9:9">
      <c r="I14626" s="2"/>
    </row>
    <row r="14627" spans="9:9">
      <c r="I14627" s="2"/>
    </row>
    <row r="14628" spans="9:9">
      <c r="I14628" s="2"/>
    </row>
    <row r="14629" spans="9:9">
      <c r="I14629" s="2"/>
    </row>
    <row r="14630" spans="9:9">
      <c r="I14630" s="2"/>
    </row>
    <row r="14631" spans="9:9">
      <c r="I14631" s="2"/>
    </row>
    <row r="14632" spans="9:9">
      <c r="I14632" s="2"/>
    </row>
    <row r="14633" spans="9:9">
      <c r="I14633" s="2"/>
    </row>
    <row r="14634" spans="9:9">
      <c r="I14634" s="2"/>
    </row>
    <row r="14635" spans="9:9">
      <c r="I14635" s="2"/>
    </row>
    <row r="14636" spans="9:9">
      <c r="I14636" s="2"/>
    </row>
    <row r="14637" spans="9:9">
      <c r="I14637" s="2"/>
    </row>
    <row r="14638" spans="9:9">
      <c r="I14638" s="2"/>
    </row>
    <row r="14639" spans="9:9">
      <c r="I14639" s="2"/>
    </row>
    <row r="14640" spans="9:9">
      <c r="I14640" s="2"/>
    </row>
    <row r="14641" spans="9:9">
      <c r="I14641" s="2"/>
    </row>
    <row r="14642" spans="9:9">
      <c r="I14642" s="2"/>
    </row>
    <row r="14643" spans="9:9">
      <c r="I14643" s="2"/>
    </row>
    <row r="14644" spans="9:9">
      <c r="I14644" s="2"/>
    </row>
    <row r="14645" spans="9:9">
      <c r="I14645" s="2"/>
    </row>
    <row r="14646" spans="9:9">
      <c r="I14646" s="2"/>
    </row>
    <row r="14647" spans="9:9">
      <c r="I14647" s="2"/>
    </row>
    <row r="14648" spans="9:9">
      <c r="I14648" s="2"/>
    </row>
    <row r="14649" spans="9:9">
      <c r="I14649" s="2"/>
    </row>
    <row r="14650" spans="9:9">
      <c r="I14650" s="2"/>
    </row>
    <row r="14651" spans="9:9">
      <c r="I14651" s="2"/>
    </row>
    <row r="14652" spans="9:9">
      <c r="I14652" s="2"/>
    </row>
    <row r="14653" spans="9:9">
      <c r="I14653" s="2"/>
    </row>
    <row r="14654" spans="9:9">
      <c r="I14654" s="2"/>
    </row>
    <row r="14655" spans="9:9">
      <c r="I14655" s="2"/>
    </row>
    <row r="14656" spans="9:9">
      <c r="I14656" s="2"/>
    </row>
    <row r="14657" spans="9:9">
      <c r="I14657" s="2"/>
    </row>
    <row r="14658" spans="9:9">
      <c r="I14658" s="2"/>
    </row>
    <row r="14659" spans="9:9">
      <c r="I14659" s="2"/>
    </row>
    <row r="14660" spans="9:9">
      <c r="I14660" s="2"/>
    </row>
    <row r="14661" spans="9:9">
      <c r="I14661" s="2"/>
    </row>
    <row r="14662" spans="9:9">
      <c r="I14662" s="2"/>
    </row>
    <row r="14663" spans="9:9">
      <c r="I14663" s="2"/>
    </row>
    <row r="14664" spans="9:9">
      <c r="I14664" s="2"/>
    </row>
    <row r="14665" spans="9:9">
      <c r="I14665" s="2"/>
    </row>
    <row r="14666" spans="9:9">
      <c r="I14666" s="2"/>
    </row>
    <row r="14667" spans="9:9">
      <c r="I14667" s="2"/>
    </row>
    <row r="14668" spans="9:9">
      <c r="I14668" s="2"/>
    </row>
    <row r="14669" spans="9:9">
      <c r="I14669" s="2"/>
    </row>
    <row r="14670" spans="9:9">
      <c r="I14670" s="2"/>
    </row>
    <row r="14671" spans="9:9">
      <c r="I14671" s="2"/>
    </row>
    <row r="14672" spans="9:9">
      <c r="I14672" s="2"/>
    </row>
    <row r="14673" spans="9:9">
      <c r="I14673" s="2"/>
    </row>
    <row r="14674" spans="9:9">
      <c r="I14674" s="2"/>
    </row>
    <row r="14675" spans="9:9">
      <c r="I14675" s="2"/>
    </row>
    <row r="14676" spans="9:9">
      <c r="I14676" s="2"/>
    </row>
    <row r="14677" spans="9:9">
      <c r="I14677" s="2"/>
    </row>
    <row r="14678" spans="9:9">
      <c r="I14678" s="2"/>
    </row>
    <row r="14679" spans="9:9">
      <c r="I14679" s="2"/>
    </row>
    <row r="14680" spans="9:9">
      <c r="I14680" s="2"/>
    </row>
    <row r="14681" spans="9:9">
      <c r="I14681" s="2"/>
    </row>
    <row r="14682" spans="9:9">
      <c r="I14682" s="2"/>
    </row>
    <row r="14683" spans="9:9">
      <c r="I14683" s="2"/>
    </row>
    <row r="14684" spans="9:9">
      <c r="I14684" s="2"/>
    </row>
    <row r="14685" spans="9:9">
      <c r="I14685" s="2"/>
    </row>
    <row r="14686" spans="9:9">
      <c r="I14686" s="2"/>
    </row>
    <row r="14687" spans="9:9">
      <c r="I14687" s="2"/>
    </row>
    <row r="14688" spans="9:9">
      <c r="I14688" s="2"/>
    </row>
    <row r="14689" spans="9:9">
      <c r="I14689" s="2"/>
    </row>
    <row r="14690" spans="9:9">
      <c r="I14690" s="2"/>
    </row>
    <row r="14691" spans="9:9">
      <c r="I14691" s="2"/>
    </row>
    <row r="14692" spans="9:9">
      <c r="I14692" s="2"/>
    </row>
    <row r="14693" spans="9:9">
      <c r="I14693" s="2"/>
    </row>
    <row r="14694" spans="9:9">
      <c r="I14694" s="2"/>
    </row>
    <row r="14695" spans="9:9">
      <c r="I14695" s="2"/>
    </row>
    <row r="14696" spans="9:9">
      <c r="I14696" s="2"/>
    </row>
    <row r="14697" spans="9:9">
      <c r="I14697" s="2"/>
    </row>
    <row r="14698" spans="9:9">
      <c r="I14698" s="2"/>
    </row>
    <row r="14699" spans="9:9">
      <c r="I14699" s="2"/>
    </row>
    <row r="14700" spans="9:9">
      <c r="I14700" s="2"/>
    </row>
    <row r="14701" spans="9:9">
      <c r="I14701" s="2"/>
    </row>
    <row r="14702" spans="9:9">
      <c r="I14702" s="2"/>
    </row>
    <row r="14703" spans="9:9">
      <c r="I14703" s="2"/>
    </row>
    <row r="14704" spans="9:9">
      <c r="I14704" s="2"/>
    </row>
    <row r="14705" spans="9:9">
      <c r="I14705" s="2"/>
    </row>
    <row r="14706" spans="9:9">
      <c r="I14706" s="2"/>
    </row>
    <row r="14707" spans="9:9">
      <c r="I14707" s="2"/>
    </row>
    <row r="14708" spans="9:9">
      <c r="I14708" s="2"/>
    </row>
    <row r="14709" spans="9:9">
      <c r="I14709" s="2"/>
    </row>
    <row r="14710" spans="9:9">
      <c r="I14710" s="2"/>
    </row>
    <row r="14711" spans="9:9">
      <c r="I14711" s="2"/>
    </row>
    <row r="14712" spans="9:9">
      <c r="I14712" s="2"/>
    </row>
    <row r="14713" spans="9:9">
      <c r="I14713" s="2"/>
    </row>
    <row r="14714" spans="9:9">
      <c r="I14714" s="2"/>
    </row>
    <row r="14715" spans="9:9">
      <c r="I14715" s="2"/>
    </row>
    <row r="14716" spans="9:9">
      <c r="I14716" s="2"/>
    </row>
    <row r="14717" spans="9:9">
      <c r="I14717" s="2"/>
    </row>
    <row r="14718" spans="9:9">
      <c r="I14718" s="2"/>
    </row>
    <row r="14719" spans="9:9">
      <c r="I14719" s="2"/>
    </row>
    <row r="14720" spans="9:9">
      <c r="I14720" s="2"/>
    </row>
    <row r="14721" spans="9:9">
      <c r="I14721" s="2"/>
    </row>
    <row r="14722" spans="9:9">
      <c r="I14722" s="2"/>
    </row>
    <row r="14723" spans="9:9">
      <c r="I14723" s="2"/>
    </row>
    <row r="14724" spans="9:9">
      <c r="I14724" s="2"/>
    </row>
    <row r="14725" spans="9:9">
      <c r="I14725" s="2"/>
    </row>
    <row r="14726" spans="9:9">
      <c r="I14726" s="2"/>
    </row>
    <row r="14727" spans="9:9">
      <c r="I14727" s="2"/>
    </row>
    <row r="14728" spans="9:9">
      <c r="I14728" s="2"/>
    </row>
    <row r="14729" spans="9:9">
      <c r="I14729" s="2"/>
    </row>
    <row r="14730" spans="9:9">
      <c r="I14730" s="2"/>
    </row>
    <row r="14731" spans="9:9">
      <c r="I14731" s="2"/>
    </row>
    <row r="14732" spans="9:9">
      <c r="I14732" s="2"/>
    </row>
    <row r="14733" spans="9:9">
      <c r="I14733" s="2"/>
    </row>
    <row r="14734" spans="9:9">
      <c r="I14734" s="2"/>
    </row>
    <row r="14735" spans="9:9">
      <c r="I14735" s="2"/>
    </row>
    <row r="14736" spans="9:9">
      <c r="I14736" s="2"/>
    </row>
    <row r="14737" spans="9:9">
      <c r="I14737" s="2"/>
    </row>
    <row r="14738" spans="9:9">
      <c r="I14738" s="2"/>
    </row>
    <row r="14739" spans="9:9">
      <c r="I14739" s="2"/>
    </row>
    <row r="14740" spans="9:9">
      <c r="I14740" s="2"/>
    </row>
    <row r="14741" spans="9:9">
      <c r="I14741" s="2"/>
    </row>
    <row r="14742" spans="9:9">
      <c r="I14742" s="2"/>
    </row>
    <row r="14743" spans="9:9">
      <c r="I14743" s="2"/>
    </row>
    <row r="14744" spans="9:9">
      <c r="I14744" s="2"/>
    </row>
    <row r="14745" spans="9:9">
      <c r="I14745" s="2"/>
    </row>
    <row r="14746" spans="9:9">
      <c r="I14746" s="2"/>
    </row>
    <row r="14747" spans="9:9">
      <c r="I14747" s="2"/>
    </row>
    <row r="14748" spans="9:9">
      <c r="I14748" s="2"/>
    </row>
    <row r="14749" spans="9:9">
      <c r="I14749" s="2"/>
    </row>
    <row r="14750" spans="9:9">
      <c r="I14750" s="2"/>
    </row>
    <row r="14751" spans="9:9">
      <c r="I14751" s="2"/>
    </row>
    <row r="14752" spans="9:9">
      <c r="I14752" s="2"/>
    </row>
    <row r="14753" spans="9:9">
      <c r="I14753" s="2"/>
    </row>
    <row r="14754" spans="9:9">
      <c r="I14754" s="2"/>
    </row>
    <row r="14755" spans="9:9">
      <c r="I14755" s="2"/>
    </row>
    <row r="14756" spans="9:9">
      <c r="I14756" s="2"/>
    </row>
    <row r="14757" spans="9:9">
      <c r="I14757" s="2"/>
    </row>
    <row r="14758" spans="9:9">
      <c r="I14758" s="2"/>
    </row>
    <row r="14759" spans="9:9">
      <c r="I14759" s="2"/>
    </row>
    <row r="14760" spans="9:9">
      <c r="I14760" s="2"/>
    </row>
    <row r="14761" spans="9:9">
      <c r="I14761" s="2"/>
    </row>
    <row r="14762" spans="9:9">
      <c r="I14762" s="2"/>
    </row>
    <row r="14763" spans="9:9">
      <c r="I14763" s="2"/>
    </row>
    <row r="14764" spans="9:9">
      <c r="I14764" s="2"/>
    </row>
    <row r="14765" spans="9:9">
      <c r="I14765" s="2"/>
    </row>
    <row r="14766" spans="9:9">
      <c r="I14766" s="2"/>
    </row>
    <row r="14767" spans="9:9">
      <c r="I14767" s="2"/>
    </row>
    <row r="14768" spans="9:9">
      <c r="I14768" s="2"/>
    </row>
    <row r="14769" spans="9:9">
      <c r="I14769" s="2"/>
    </row>
    <row r="14770" spans="9:9">
      <c r="I14770" s="2"/>
    </row>
    <row r="14771" spans="9:9">
      <c r="I14771" s="2"/>
    </row>
    <row r="14772" spans="9:9">
      <c r="I14772" s="2"/>
    </row>
    <row r="14773" spans="9:9">
      <c r="I14773" s="2"/>
    </row>
    <row r="14774" spans="9:9">
      <c r="I14774" s="2"/>
    </row>
    <row r="14775" spans="9:9">
      <c r="I14775" s="2"/>
    </row>
    <row r="14776" spans="9:9">
      <c r="I14776" s="2"/>
    </row>
    <row r="14777" spans="9:9">
      <c r="I14777" s="2"/>
    </row>
    <row r="14778" spans="9:9">
      <c r="I14778" s="2"/>
    </row>
    <row r="14779" spans="9:9">
      <c r="I14779" s="2"/>
    </row>
    <row r="14780" spans="9:9">
      <c r="I14780" s="2"/>
    </row>
    <row r="14781" spans="9:9">
      <c r="I14781" s="2"/>
    </row>
    <row r="14782" spans="9:9">
      <c r="I14782" s="2"/>
    </row>
    <row r="14783" spans="9:9">
      <c r="I14783" s="2"/>
    </row>
    <row r="14784" spans="9:9">
      <c r="I14784" s="2"/>
    </row>
    <row r="14785" spans="9:9">
      <c r="I14785" s="2"/>
    </row>
    <row r="14786" spans="9:9">
      <c r="I14786" s="2"/>
    </row>
    <row r="14787" spans="9:9">
      <c r="I14787" s="2"/>
    </row>
    <row r="14788" spans="9:9">
      <c r="I14788" s="2"/>
    </row>
    <row r="14789" spans="9:9">
      <c r="I14789" s="2"/>
    </row>
    <row r="14790" spans="9:9">
      <c r="I14790" s="2"/>
    </row>
    <row r="14791" spans="9:9">
      <c r="I14791" s="2"/>
    </row>
    <row r="14792" spans="9:9">
      <c r="I14792" s="2"/>
    </row>
    <row r="14793" spans="9:9">
      <c r="I14793" s="2"/>
    </row>
    <row r="14794" spans="9:9">
      <c r="I14794" s="2"/>
    </row>
    <row r="14795" spans="9:9">
      <c r="I14795" s="2"/>
    </row>
    <row r="14796" spans="9:9">
      <c r="I14796" s="2"/>
    </row>
    <row r="14797" spans="9:9">
      <c r="I14797" s="2"/>
    </row>
    <row r="14798" spans="9:9">
      <c r="I14798" s="2"/>
    </row>
    <row r="14799" spans="9:9">
      <c r="I14799" s="2"/>
    </row>
    <row r="14800" spans="9:9">
      <c r="I14800" s="2"/>
    </row>
    <row r="14801" spans="9:9">
      <c r="I14801" s="2"/>
    </row>
    <row r="14802" spans="9:9">
      <c r="I14802" s="2"/>
    </row>
    <row r="14803" spans="9:9">
      <c r="I14803" s="2"/>
    </row>
    <row r="14804" spans="9:9">
      <c r="I14804" s="2"/>
    </row>
    <row r="14805" spans="9:9">
      <c r="I14805" s="2"/>
    </row>
    <row r="14806" spans="9:9">
      <c r="I14806" s="2"/>
    </row>
    <row r="14807" spans="9:9">
      <c r="I14807" s="2"/>
    </row>
    <row r="14808" spans="9:9">
      <c r="I14808" s="2"/>
    </row>
    <row r="14809" spans="9:9">
      <c r="I14809" s="2"/>
    </row>
    <row r="14810" spans="9:9">
      <c r="I14810" s="2"/>
    </row>
    <row r="14811" spans="9:9">
      <c r="I14811" s="2"/>
    </row>
    <row r="14812" spans="9:9">
      <c r="I14812" s="2"/>
    </row>
    <row r="14813" spans="9:9">
      <c r="I14813" s="2"/>
    </row>
    <row r="14814" spans="9:9">
      <c r="I14814" s="2"/>
    </row>
    <row r="14815" spans="9:9">
      <c r="I14815" s="2"/>
    </row>
    <row r="14816" spans="9:9">
      <c r="I14816" s="2"/>
    </row>
    <row r="14817" spans="9:9">
      <c r="I14817" s="2"/>
    </row>
    <row r="14818" spans="9:9">
      <c r="I14818" s="2"/>
    </row>
    <row r="14819" spans="9:9">
      <c r="I14819" s="2"/>
    </row>
    <row r="14820" spans="9:9">
      <c r="I14820" s="2"/>
    </row>
    <row r="14821" spans="9:9">
      <c r="I14821" s="2"/>
    </row>
    <row r="14822" spans="9:9">
      <c r="I14822" s="2"/>
    </row>
    <row r="14823" spans="9:9">
      <c r="I14823" s="2"/>
    </row>
    <row r="14824" spans="9:9">
      <c r="I14824" s="2"/>
    </row>
    <row r="14825" spans="9:9">
      <c r="I14825" s="2"/>
    </row>
    <row r="14826" spans="9:9">
      <c r="I14826" s="2"/>
    </row>
    <row r="14827" spans="9:9">
      <c r="I14827" s="2"/>
    </row>
    <row r="14828" spans="9:9">
      <c r="I14828" s="2"/>
    </row>
    <row r="14829" spans="9:9">
      <c r="I14829" s="2"/>
    </row>
    <row r="14830" spans="9:9">
      <c r="I14830" s="2"/>
    </row>
    <row r="14831" spans="9:9">
      <c r="I14831" s="2"/>
    </row>
    <row r="14832" spans="9:9">
      <c r="I14832" s="2"/>
    </row>
    <row r="14833" spans="9:9">
      <c r="I14833" s="2"/>
    </row>
    <row r="14834" spans="9:9">
      <c r="I14834" s="2"/>
    </row>
    <row r="14835" spans="9:9">
      <c r="I14835" s="2"/>
    </row>
    <row r="14836" spans="9:9">
      <c r="I14836" s="2"/>
    </row>
    <row r="14837" spans="9:9">
      <c r="I14837" s="2"/>
    </row>
    <row r="14838" spans="9:9">
      <c r="I14838" s="2"/>
    </row>
    <row r="14839" spans="9:9">
      <c r="I14839" s="2"/>
    </row>
    <row r="14840" spans="9:9">
      <c r="I14840" s="2"/>
    </row>
    <row r="14841" spans="9:9">
      <c r="I14841" s="2"/>
    </row>
    <row r="14842" spans="9:9">
      <c r="I14842" s="2"/>
    </row>
    <row r="14843" spans="9:9">
      <c r="I14843" s="2"/>
    </row>
    <row r="14844" spans="9:9">
      <c r="I14844" s="2"/>
    </row>
    <row r="14845" spans="9:9">
      <c r="I14845" s="2"/>
    </row>
    <row r="14846" spans="9:9">
      <c r="I14846" s="2"/>
    </row>
    <row r="14847" spans="9:9">
      <c r="I14847" s="2"/>
    </row>
    <row r="14848" spans="9:9">
      <c r="I14848" s="2"/>
    </row>
    <row r="14849" spans="9:9">
      <c r="I14849" s="2"/>
    </row>
    <row r="14850" spans="9:9">
      <c r="I14850" s="2"/>
    </row>
    <row r="14851" spans="9:9">
      <c r="I14851" s="2"/>
    </row>
    <row r="14852" spans="9:9">
      <c r="I14852" s="2"/>
    </row>
    <row r="14853" spans="9:9">
      <c r="I14853" s="2"/>
    </row>
    <row r="14854" spans="9:9">
      <c r="I14854" s="2"/>
    </row>
    <row r="14855" spans="9:9">
      <c r="I14855" s="2"/>
    </row>
    <row r="14856" spans="9:9">
      <c r="I14856" s="2"/>
    </row>
    <row r="14857" spans="9:9">
      <c r="I14857" s="2"/>
    </row>
    <row r="14858" spans="9:9">
      <c r="I14858" s="2"/>
    </row>
    <row r="14859" spans="9:9">
      <c r="I14859" s="2"/>
    </row>
    <row r="14860" spans="9:9">
      <c r="I14860" s="2"/>
    </row>
    <row r="14861" spans="9:9">
      <c r="I14861" s="2"/>
    </row>
    <row r="14862" spans="9:9">
      <c r="I14862" s="2"/>
    </row>
    <row r="14863" spans="9:9">
      <c r="I14863" s="2"/>
    </row>
    <row r="14864" spans="9:9">
      <c r="I14864" s="2"/>
    </row>
    <row r="14865" spans="9:9">
      <c r="I14865" s="2"/>
    </row>
    <row r="14866" spans="9:9">
      <c r="I14866" s="2"/>
    </row>
    <row r="14867" spans="9:9">
      <c r="I14867" s="2"/>
    </row>
    <row r="14868" spans="9:9">
      <c r="I14868" s="2"/>
    </row>
    <row r="14869" spans="9:9">
      <c r="I14869" s="2"/>
    </row>
    <row r="14870" spans="9:9">
      <c r="I14870" s="2"/>
    </row>
    <row r="14871" spans="9:9">
      <c r="I14871" s="2"/>
    </row>
    <row r="14872" spans="9:9">
      <c r="I14872" s="2"/>
    </row>
    <row r="14873" spans="9:9">
      <c r="I14873" s="2"/>
    </row>
    <row r="14874" spans="9:9">
      <c r="I14874" s="2"/>
    </row>
    <row r="14875" spans="9:9">
      <c r="I14875" s="2"/>
    </row>
    <row r="14876" spans="9:9">
      <c r="I14876" s="2"/>
    </row>
    <row r="14877" spans="9:9">
      <c r="I14877" s="2"/>
    </row>
    <row r="14878" spans="9:9">
      <c r="I14878" s="2"/>
    </row>
    <row r="14879" spans="9:9">
      <c r="I14879" s="2"/>
    </row>
    <row r="14880" spans="9:9">
      <c r="I14880" s="2"/>
    </row>
    <row r="14881" spans="9:9">
      <c r="I14881" s="2"/>
    </row>
    <row r="14882" spans="9:9">
      <c r="I14882" s="2"/>
    </row>
    <row r="14883" spans="9:9">
      <c r="I14883" s="2"/>
    </row>
    <row r="14884" spans="9:9">
      <c r="I14884" s="2"/>
    </row>
    <row r="14885" spans="9:9">
      <c r="I14885" s="2"/>
    </row>
    <row r="14886" spans="9:9">
      <c r="I14886" s="2"/>
    </row>
    <row r="14887" spans="9:9">
      <c r="I14887" s="2"/>
    </row>
    <row r="14888" spans="9:9">
      <c r="I14888" s="2"/>
    </row>
    <row r="14889" spans="9:9">
      <c r="I14889" s="2"/>
    </row>
    <row r="14890" spans="9:9">
      <c r="I14890" s="2"/>
    </row>
    <row r="14891" spans="9:9">
      <c r="I14891" s="2"/>
    </row>
    <row r="14892" spans="9:9">
      <c r="I14892" s="2"/>
    </row>
    <row r="14893" spans="9:9">
      <c r="I14893" s="2"/>
    </row>
    <row r="14894" spans="9:9">
      <c r="I14894" s="2"/>
    </row>
    <row r="14895" spans="9:9">
      <c r="I14895" s="2"/>
    </row>
    <row r="14896" spans="9:9">
      <c r="I14896" s="2"/>
    </row>
    <row r="14897" spans="9:9">
      <c r="I14897" s="2"/>
    </row>
    <row r="14898" spans="9:9">
      <c r="I14898" s="2"/>
    </row>
    <row r="14899" spans="9:9">
      <c r="I14899" s="2"/>
    </row>
    <row r="14900" spans="9:9">
      <c r="I14900" s="2"/>
    </row>
    <row r="14901" spans="9:9">
      <c r="I14901" s="2"/>
    </row>
    <row r="14902" spans="9:9">
      <c r="I14902" s="2"/>
    </row>
    <row r="14903" spans="9:9">
      <c r="I14903" s="2"/>
    </row>
    <row r="14904" spans="9:9">
      <c r="I14904" s="2"/>
    </row>
    <row r="14905" spans="9:9">
      <c r="I14905" s="2"/>
    </row>
    <row r="14906" spans="9:9">
      <c r="I14906" s="2"/>
    </row>
    <row r="14907" spans="9:9">
      <c r="I14907" s="2"/>
    </row>
    <row r="14908" spans="9:9">
      <c r="I14908" s="2"/>
    </row>
    <row r="14909" spans="9:9">
      <c r="I14909" s="2"/>
    </row>
    <row r="14910" spans="9:9">
      <c r="I14910" s="2"/>
    </row>
    <row r="14911" spans="9:9">
      <c r="I14911" s="2"/>
    </row>
    <row r="14912" spans="9:9">
      <c r="I14912" s="2"/>
    </row>
    <row r="14913" spans="9:9">
      <c r="I14913" s="2"/>
    </row>
    <row r="14914" spans="9:9">
      <c r="I14914" s="2"/>
    </row>
    <row r="14915" spans="9:9">
      <c r="I14915" s="2"/>
    </row>
    <row r="14916" spans="9:9">
      <c r="I14916" s="2"/>
    </row>
    <row r="14917" spans="9:9">
      <c r="I14917" s="2"/>
    </row>
    <row r="14918" spans="9:9">
      <c r="I14918" s="2"/>
    </row>
    <row r="14919" spans="9:9">
      <c r="I14919" s="2"/>
    </row>
    <row r="14920" spans="9:9">
      <c r="I14920" s="2"/>
    </row>
    <row r="14921" spans="9:9">
      <c r="I14921" s="2"/>
    </row>
    <row r="14922" spans="9:9">
      <c r="I14922" s="2"/>
    </row>
    <row r="14923" spans="9:9">
      <c r="I14923" s="2"/>
    </row>
    <row r="14924" spans="9:9">
      <c r="I14924" s="2"/>
    </row>
    <row r="14925" spans="9:9">
      <c r="I14925" s="2"/>
    </row>
    <row r="14926" spans="9:9">
      <c r="I14926" s="2"/>
    </row>
    <row r="14927" spans="9:9">
      <c r="I14927" s="2"/>
    </row>
    <row r="14928" spans="9:9">
      <c r="I14928" s="2"/>
    </row>
    <row r="14929" spans="9:9">
      <c r="I14929" s="2"/>
    </row>
    <row r="14930" spans="9:9">
      <c r="I14930" s="2"/>
    </row>
    <row r="14931" spans="9:9">
      <c r="I14931" s="2"/>
    </row>
    <row r="14932" spans="9:9">
      <c r="I14932" s="2"/>
    </row>
    <row r="14933" spans="9:9">
      <c r="I14933" s="2"/>
    </row>
    <row r="14934" spans="9:9">
      <c r="I14934" s="2"/>
    </row>
    <row r="14935" spans="9:9">
      <c r="I14935" s="2"/>
    </row>
    <row r="14936" spans="9:9">
      <c r="I14936" s="2"/>
    </row>
    <row r="14937" spans="9:9">
      <c r="I14937" s="2"/>
    </row>
    <row r="14938" spans="9:9">
      <c r="I14938" s="2"/>
    </row>
    <row r="14939" spans="9:9">
      <c r="I14939" s="2"/>
    </row>
    <row r="14940" spans="9:9">
      <c r="I14940" s="2"/>
    </row>
    <row r="14941" spans="9:9">
      <c r="I14941" s="2"/>
    </row>
    <row r="14942" spans="9:9">
      <c r="I14942" s="2"/>
    </row>
    <row r="14943" spans="9:9">
      <c r="I14943" s="2"/>
    </row>
    <row r="14944" spans="9:9">
      <c r="I14944" s="2"/>
    </row>
    <row r="14945" spans="9:9">
      <c r="I14945" s="2"/>
    </row>
    <row r="14946" spans="9:9">
      <c r="I14946" s="2"/>
    </row>
    <row r="14947" spans="9:9">
      <c r="I14947" s="2"/>
    </row>
    <row r="14948" spans="9:9">
      <c r="I14948" s="2"/>
    </row>
    <row r="14949" spans="9:9">
      <c r="I14949" s="2"/>
    </row>
    <row r="14950" spans="9:9">
      <c r="I14950" s="2"/>
    </row>
    <row r="14951" spans="9:9">
      <c r="I14951" s="2"/>
    </row>
    <row r="14952" spans="9:9">
      <c r="I14952" s="2"/>
    </row>
    <row r="14953" spans="9:9">
      <c r="I14953" s="2"/>
    </row>
    <row r="14954" spans="9:9">
      <c r="I14954" s="2"/>
    </row>
    <row r="14955" spans="9:9">
      <c r="I14955" s="2"/>
    </row>
    <row r="14956" spans="9:9">
      <c r="I14956" s="2"/>
    </row>
    <row r="14957" spans="9:9">
      <c r="I14957" s="2"/>
    </row>
    <row r="14958" spans="9:9">
      <c r="I14958" s="2"/>
    </row>
    <row r="14959" spans="9:9">
      <c r="I14959" s="2"/>
    </row>
    <row r="14960" spans="9:9">
      <c r="I14960" s="2"/>
    </row>
    <row r="14961" spans="9:9">
      <c r="I14961" s="2"/>
    </row>
    <row r="14962" spans="9:9">
      <c r="I14962" s="2"/>
    </row>
    <row r="14963" spans="9:9">
      <c r="I14963" s="2"/>
    </row>
    <row r="14964" spans="9:9">
      <c r="I14964" s="2"/>
    </row>
    <row r="14965" spans="9:9">
      <c r="I14965" s="2"/>
    </row>
    <row r="14966" spans="9:9">
      <c r="I14966" s="2"/>
    </row>
    <row r="14967" spans="9:9">
      <c r="I14967" s="2"/>
    </row>
    <row r="14968" spans="9:9">
      <c r="I14968" s="2"/>
    </row>
    <row r="14969" spans="9:9">
      <c r="I14969" s="2"/>
    </row>
    <row r="14970" spans="9:9">
      <c r="I14970" s="2"/>
    </row>
    <row r="14971" spans="9:9">
      <c r="I14971" s="2"/>
    </row>
    <row r="14972" spans="9:9">
      <c r="I14972" s="2"/>
    </row>
    <row r="14973" spans="9:9">
      <c r="I14973" s="2"/>
    </row>
    <row r="14974" spans="9:9">
      <c r="I14974" s="2"/>
    </row>
    <row r="14975" spans="9:9">
      <c r="I14975" s="2"/>
    </row>
    <row r="14976" spans="9:9">
      <c r="I14976" s="2"/>
    </row>
    <row r="14977" spans="9:9">
      <c r="I14977" s="2"/>
    </row>
    <row r="14978" spans="9:9">
      <c r="I14978" s="2"/>
    </row>
    <row r="14979" spans="9:9">
      <c r="I14979" s="2"/>
    </row>
    <row r="14980" spans="9:9">
      <c r="I14980" s="2"/>
    </row>
    <row r="14981" spans="9:9">
      <c r="I14981" s="2"/>
    </row>
    <row r="14982" spans="9:9">
      <c r="I14982" s="2"/>
    </row>
    <row r="14983" spans="9:9">
      <c r="I14983" s="2"/>
    </row>
    <row r="14984" spans="9:9">
      <c r="I14984" s="2"/>
    </row>
    <row r="14985" spans="9:9">
      <c r="I14985" s="2"/>
    </row>
    <row r="14986" spans="9:9">
      <c r="I14986" s="2"/>
    </row>
    <row r="14987" spans="9:9">
      <c r="I14987" s="2"/>
    </row>
    <row r="14988" spans="9:9">
      <c r="I14988" s="2"/>
    </row>
    <row r="14989" spans="9:9">
      <c r="I14989" s="2"/>
    </row>
    <row r="14990" spans="9:9">
      <c r="I14990" s="2"/>
    </row>
    <row r="14991" spans="9:9">
      <c r="I14991" s="2"/>
    </row>
    <row r="14992" spans="9:9">
      <c r="I14992" s="2"/>
    </row>
    <row r="14993" spans="9:9">
      <c r="I14993" s="2"/>
    </row>
    <row r="14994" spans="9:9">
      <c r="I14994" s="2"/>
    </row>
    <row r="14995" spans="9:9">
      <c r="I14995" s="2"/>
    </row>
    <row r="14996" spans="9:9">
      <c r="I14996" s="2"/>
    </row>
    <row r="14997" spans="9:9">
      <c r="I14997" s="2"/>
    </row>
    <row r="14998" spans="9:9">
      <c r="I14998" s="2"/>
    </row>
    <row r="14999" spans="9:9">
      <c r="I14999" s="2"/>
    </row>
    <row r="15000" spans="9:9">
      <c r="I15000" s="2"/>
    </row>
    <row r="15001" spans="9:9">
      <c r="I15001" s="2"/>
    </row>
    <row r="15002" spans="9:9">
      <c r="I15002" s="2"/>
    </row>
    <row r="15003" spans="9:9">
      <c r="I15003" s="2"/>
    </row>
    <row r="15004" spans="9:9">
      <c r="I15004" s="2"/>
    </row>
    <row r="15005" spans="9:9">
      <c r="I15005" s="2"/>
    </row>
    <row r="15006" spans="9:9">
      <c r="I15006" s="2"/>
    </row>
    <row r="15007" spans="9:9">
      <c r="I15007" s="2"/>
    </row>
    <row r="15008" spans="9:9">
      <c r="I15008" s="2"/>
    </row>
    <row r="15009" spans="9:9">
      <c r="I15009" s="2"/>
    </row>
    <row r="15010" spans="9:9">
      <c r="I15010" s="2"/>
    </row>
    <row r="15011" spans="9:9">
      <c r="I15011" s="2"/>
    </row>
    <row r="15012" spans="9:9">
      <c r="I15012" s="2"/>
    </row>
    <row r="15013" spans="9:9">
      <c r="I15013" s="2"/>
    </row>
    <row r="15014" spans="9:9">
      <c r="I15014" s="2"/>
    </row>
    <row r="15015" spans="9:9">
      <c r="I15015" s="2"/>
    </row>
    <row r="15016" spans="9:9">
      <c r="I15016" s="2"/>
    </row>
    <row r="15017" spans="9:9">
      <c r="I15017" s="2"/>
    </row>
    <row r="15018" spans="9:9">
      <c r="I15018" s="2"/>
    </row>
    <row r="15019" spans="9:9">
      <c r="I15019" s="2"/>
    </row>
    <row r="15020" spans="9:9">
      <c r="I15020" s="2"/>
    </row>
    <row r="15021" spans="9:9">
      <c r="I15021" s="2"/>
    </row>
    <row r="15022" spans="9:9">
      <c r="I15022" s="2"/>
    </row>
    <row r="15023" spans="9:9">
      <c r="I15023" s="2"/>
    </row>
    <row r="15024" spans="9:9">
      <c r="I15024" s="2"/>
    </row>
    <row r="15025" spans="9:9">
      <c r="I15025" s="2"/>
    </row>
    <row r="15026" spans="9:9">
      <c r="I15026" s="2"/>
    </row>
    <row r="15027" spans="9:9">
      <c r="I15027" s="2"/>
    </row>
    <row r="15028" spans="9:9">
      <c r="I15028" s="2"/>
    </row>
    <row r="15029" spans="9:9">
      <c r="I15029" s="2"/>
    </row>
    <row r="15030" spans="9:9">
      <c r="I15030" s="2"/>
    </row>
    <row r="15031" spans="9:9">
      <c r="I15031" s="2"/>
    </row>
    <row r="15032" spans="9:9">
      <c r="I15032" s="2"/>
    </row>
    <row r="15033" spans="9:9">
      <c r="I15033" s="2"/>
    </row>
    <row r="15034" spans="9:9">
      <c r="I15034" s="2"/>
    </row>
    <row r="15035" spans="9:9">
      <c r="I15035" s="2"/>
    </row>
    <row r="15036" spans="9:9">
      <c r="I15036" s="2"/>
    </row>
    <row r="15037" spans="9:9">
      <c r="I15037" s="2"/>
    </row>
    <row r="15038" spans="9:9">
      <c r="I15038" s="2"/>
    </row>
    <row r="15039" spans="9:9">
      <c r="I15039" s="2"/>
    </row>
    <row r="15040" spans="9:9">
      <c r="I15040" s="2"/>
    </row>
    <row r="15041" spans="9:9">
      <c r="I15041" s="2"/>
    </row>
    <row r="15042" spans="9:9">
      <c r="I15042" s="2"/>
    </row>
    <row r="15043" spans="9:9">
      <c r="I15043" s="2"/>
    </row>
    <row r="15044" spans="9:9">
      <c r="I15044" s="2"/>
    </row>
    <row r="15045" spans="9:9">
      <c r="I15045" s="2"/>
    </row>
    <row r="15046" spans="9:9">
      <c r="I15046" s="2"/>
    </row>
    <row r="15047" spans="9:9">
      <c r="I15047" s="2"/>
    </row>
    <row r="15048" spans="9:9">
      <c r="I15048" s="2"/>
    </row>
    <row r="15049" spans="9:9">
      <c r="I15049" s="2"/>
    </row>
    <row r="15050" spans="9:9">
      <c r="I15050" s="2"/>
    </row>
    <row r="15051" spans="9:9">
      <c r="I15051" s="2"/>
    </row>
    <row r="15052" spans="9:9">
      <c r="I15052" s="2"/>
    </row>
    <row r="15053" spans="9:9">
      <c r="I15053" s="2"/>
    </row>
    <row r="15054" spans="9:9">
      <c r="I15054" s="2"/>
    </row>
    <row r="15055" spans="9:9">
      <c r="I15055" s="2"/>
    </row>
    <row r="15056" spans="9:9">
      <c r="I15056" s="2"/>
    </row>
    <row r="15057" spans="9:9">
      <c r="I15057" s="2"/>
    </row>
    <row r="15058" spans="9:9">
      <c r="I15058" s="2"/>
    </row>
    <row r="15059" spans="9:9">
      <c r="I15059" s="2"/>
    </row>
    <row r="15060" spans="9:9">
      <c r="I15060" s="2"/>
    </row>
    <row r="15061" spans="9:9">
      <c r="I15061" s="2"/>
    </row>
    <row r="15062" spans="9:9">
      <c r="I15062" s="2"/>
    </row>
    <row r="15063" spans="9:9">
      <c r="I15063" s="2"/>
    </row>
    <row r="15064" spans="9:9">
      <c r="I15064" s="2"/>
    </row>
    <row r="15065" spans="9:9">
      <c r="I15065" s="2"/>
    </row>
    <row r="15066" spans="9:9">
      <c r="I15066" s="2"/>
    </row>
    <row r="15067" spans="9:9">
      <c r="I15067" s="2"/>
    </row>
    <row r="15068" spans="9:9">
      <c r="I15068" s="2"/>
    </row>
    <row r="15069" spans="9:9">
      <c r="I15069" s="2"/>
    </row>
    <row r="15070" spans="9:9">
      <c r="I15070" s="2"/>
    </row>
    <row r="15071" spans="9:9">
      <c r="I15071" s="2"/>
    </row>
    <row r="15072" spans="9:9">
      <c r="I15072" s="2"/>
    </row>
    <row r="15073" spans="9:9">
      <c r="I15073" s="2"/>
    </row>
    <row r="15074" spans="9:9">
      <c r="I15074" s="2"/>
    </row>
    <row r="15075" spans="9:9">
      <c r="I15075" s="2"/>
    </row>
    <row r="15076" spans="9:9">
      <c r="I15076" s="2"/>
    </row>
    <row r="15077" spans="9:9">
      <c r="I15077" s="2"/>
    </row>
    <row r="15078" spans="9:9">
      <c r="I15078" s="2"/>
    </row>
    <row r="15079" spans="9:9">
      <c r="I15079" s="2"/>
    </row>
    <row r="15080" spans="9:9">
      <c r="I15080" s="2"/>
    </row>
    <row r="15081" spans="9:9">
      <c r="I15081" s="2"/>
    </row>
    <row r="15082" spans="9:9">
      <c r="I15082" s="2"/>
    </row>
    <row r="15083" spans="9:9">
      <c r="I15083" s="2"/>
    </row>
    <row r="15084" spans="9:9">
      <c r="I15084" s="2"/>
    </row>
    <row r="15085" spans="9:9">
      <c r="I15085" s="2"/>
    </row>
    <row r="15086" spans="9:9">
      <c r="I15086" s="2"/>
    </row>
    <row r="15087" spans="9:9">
      <c r="I15087" s="2"/>
    </row>
    <row r="15088" spans="9:9">
      <c r="I15088" s="2"/>
    </row>
    <row r="15089" spans="9:9">
      <c r="I15089" s="2"/>
    </row>
    <row r="15090" spans="9:9">
      <c r="I15090" s="2"/>
    </row>
    <row r="15091" spans="9:9">
      <c r="I15091" s="2"/>
    </row>
    <row r="15092" spans="9:9">
      <c r="I15092" s="2"/>
    </row>
    <row r="15093" spans="9:9">
      <c r="I15093" s="2"/>
    </row>
    <row r="15094" spans="9:9">
      <c r="I15094" s="2"/>
    </row>
    <row r="15095" spans="9:9">
      <c r="I15095" s="2"/>
    </row>
    <row r="15096" spans="9:9">
      <c r="I15096" s="2"/>
    </row>
    <row r="15097" spans="9:9">
      <c r="I15097" s="2"/>
    </row>
    <row r="15098" spans="9:9">
      <c r="I15098" s="2"/>
    </row>
    <row r="15099" spans="9:9">
      <c r="I15099" s="2"/>
    </row>
    <row r="15100" spans="9:9">
      <c r="I15100" s="2"/>
    </row>
    <row r="15101" spans="9:9">
      <c r="I15101" s="2"/>
    </row>
    <row r="15102" spans="9:9">
      <c r="I15102" s="2"/>
    </row>
    <row r="15103" spans="9:9">
      <c r="I15103" s="2"/>
    </row>
    <row r="15104" spans="9:9">
      <c r="I15104" s="2"/>
    </row>
    <row r="15105" spans="9:9">
      <c r="I15105" s="2"/>
    </row>
    <row r="15106" spans="9:9">
      <c r="I15106" s="2"/>
    </row>
    <row r="15107" spans="9:9">
      <c r="I15107" s="2"/>
    </row>
    <row r="15108" spans="9:9">
      <c r="I15108" s="2"/>
    </row>
    <row r="15109" spans="9:9">
      <c r="I15109" s="2"/>
    </row>
    <row r="15110" spans="9:9">
      <c r="I15110" s="2"/>
    </row>
    <row r="15111" spans="9:9">
      <c r="I15111" s="2"/>
    </row>
    <row r="15112" spans="9:9">
      <c r="I15112" s="2"/>
    </row>
    <row r="15113" spans="9:9">
      <c r="I15113" s="2"/>
    </row>
    <row r="15114" spans="9:9">
      <c r="I15114" s="2"/>
    </row>
    <row r="15115" spans="9:9">
      <c r="I15115" s="2"/>
    </row>
    <row r="15116" spans="9:9">
      <c r="I15116" s="2"/>
    </row>
    <row r="15117" spans="9:9">
      <c r="I15117" s="2"/>
    </row>
    <row r="15118" spans="9:9">
      <c r="I15118" s="2"/>
    </row>
    <row r="15119" spans="9:9">
      <c r="I15119" s="2"/>
    </row>
    <row r="15120" spans="9:9">
      <c r="I15120" s="2"/>
    </row>
    <row r="15121" spans="9:9">
      <c r="I15121" s="2"/>
    </row>
    <row r="15122" spans="9:9">
      <c r="I15122" s="2"/>
    </row>
    <row r="15123" spans="9:9">
      <c r="I15123" s="2"/>
    </row>
    <row r="15124" spans="9:9">
      <c r="I15124" s="2"/>
    </row>
    <row r="15125" spans="9:9">
      <c r="I15125" s="2"/>
    </row>
    <row r="15126" spans="9:9">
      <c r="I15126" s="2"/>
    </row>
    <row r="15127" spans="9:9">
      <c r="I15127" s="2"/>
    </row>
    <row r="15128" spans="9:9">
      <c r="I15128" s="2"/>
    </row>
    <row r="15129" spans="9:9">
      <c r="I15129" s="2"/>
    </row>
    <row r="15130" spans="9:9">
      <c r="I15130" s="2"/>
    </row>
    <row r="15131" spans="9:9">
      <c r="I15131" s="2"/>
    </row>
    <row r="15132" spans="9:9">
      <c r="I15132" s="2"/>
    </row>
    <row r="15133" spans="9:9">
      <c r="I15133" s="2"/>
    </row>
    <row r="15134" spans="9:9">
      <c r="I15134" s="2"/>
    </row>
    <row r="15135" spans="9:9">
      <c r="I15135" s="2"/>
    </row>
    <row r="15136" spans="9:9">
      <c r="I15136" s="2"/>
    </row>
    <row r="15137" spans="9:9">
      <c r="I15137" s="2"/>
    </row>
    <row r="15138" spans="9:9">
      <c r="I15138" s="2"/>
    </row>
    <row r="15139" spans="9:9">
      <c r="I15139" s="2"/>
    </row>
    <row r="15140" spans="9:9">
      <c r="I15140" s="2"/>
    </row>
    <row r="15141" spans="9:9">
      <c r="I15141" s="2"/>
    </row>
    <row r="15142" spans="9:9">
      <c r="I15142" s="2"/>
    </row>
    <row r="15143" spans="9:9">
      <c r="I15143" s="2"/>
    </row>
    <row r="15144" spans="9:9">
      <c r="I15144" s="2"/>
    </row>
    <row r="15145" spans="9:9">
      <c r="I15145" s="2"/>
    </row>
    <row r="15146" spans="9:9">
      <c r="I15146" s="2"/>
    </row>
    <row r="15147" spans="9:9">
      <c r="I15147" s="2"/>
    </row>
    <row r="15148" spans="9:9">
      <c r="I15148" s="2"/>
    </row>
    <row r="15149" spans="9:9">
      <c r="I15149" s="2"/>
    </row>
    <row r="15150" spans="9:9">
      <c r="I15150" s="2"/>
    </row>
    <row r="15151" spans="9:9">
      <c r="I15151" s="2"/>
    </row>
    <row r="15152" spans="9:9">
      <c r="I15152" s="2"/>
    </row>
    <row r="15153" spans="9:9">
      <c r="I15153" s="2"/>
    </row>
    <row r="15154" spans="9:9">
      <c r="I15154" s="2"/>
    </row>
    <row r="15155" spans="9:9">
      <c r="I15155" s="2"/>
    </row>
    <row r="15156" spans="9:9">
      <c r="I15156" s="2"/>
    </row>
    <row r="15157" spans="9:9">
      <c r="I15157" s="2"/>
    </row>
    <row r="15158" spans="9:9">
      <c r="I15158" s="2"/>
    </row>
    <row r="15159" spans="9:9">
      <c r="I15159" s="2"/>
    </row>
    <row r="15160" spans="9:9">
      <c r="I15160" s="2"/>
    </row>
    <row r="15161" spans="9:9">
      <c r="I15161" s="2"/>
    </row>
    <row r="15162" spans="9:9">
      <c r="I15162" s="2"/>
    </row>
    <row r="15163" spans="9:9">
      <c r="I15163" s="2"/>
    </row>
    <row r="15164" spans="9:9">
      <c r="I15164" s="2"/>
    </row>
    <row r="15165" spans="9:9">
      <c r="I15165" s="2"/>
    </row>
    <row r="15166" spans="9:9">
      <c r="I15166" s="2"/>
    </row>
    <row r="15167" spans="9:9">
      <c r="I15167" s="2"/>
    </row>
    <row r="15168" spans="9:9">
      <c r="I15168" s="2"/>
    </row>
    <row r="15169" spans="9:9">
      <c r="I15169" s="2"/>
    </row>
    <row r="15170" spans="9:9">
      <c r="I15170" s="2"/>
    </row>
    <row r="15171" spans="9:9">
      <c r="I15171" s="2"/>
    </row>
    <row r="15172" spans="9:9">
      <c r="I15172" s="2"/>
    </row>
    <row r="15173" spans="9:9">
      <c r="I15173" s="2"/>
    </row>
    <row r="15174" spans="9:9">
      <c r="I15174" s="2"/>
    </row>
    <row r="15175" spans="9:9">
      <c r="I15175" s="2"/>
    </row>
    <row r="15176" spans="9:9">
      <c r="I15176" s="2"/>
    </row>
    <row r="15177" spans="9:9">
      <c r="I15177" s="2"/>
    </row>
    <row r="15178" spans="9:9">
      <c r="I15178" s="2"/>
    </row>
    <row r="15179" spans="9:9">
      <c r="I15179" s="2"/>
    </row>
    <row r="15180" spans="9:9">
      <c r="I15180" s="2"/>
    </row>
    <row r="15181" spans="9:9">
      <c r="I15181" s="2"/>
    </row>
    <row r="15182" spans="9:9">
      <c r="I15182" s="2"/>
    </row>
    <row r="15183" spans="9:9">
      <c r="I15183" s="2"/>
    </row>
    <row r="15184" spans="9:9">
      <c r="I15184" s="2"/>
    </row>
    <row r="15185" spans="9:9">
      <c r="I15185" s="2"/>
    </row>
    <row r="15186" spans="9:9">
      <c r="I15186" s="2"/>
    </row>
    <row r="15187" spans="9:9">
      <c r="I15187" s="2"/>
    </row>
    <row r="15188" spans="9:9">
      <c r="I15188" s="2"/>
    </row>
    <row r="15189" spans="9:9">
      <c r="I15189" s="2"/>
    </row>
    <row r="15190" spans="9:9">
      <c r="I15190" s="2"/>
    </row>
    <row r="15191" spans="9:9">
      <c r="I15191" s="2"/>
    </row>
    <row r="15192" spans="9:9">
      <c r="I15192" s="2"/>
    </row>
    <row r="15193" spans="9:9">
      <c r="I15193" s="2"/>
    </row>
    <row r="15194" spans="9:9">
      <c r="I15194" s="2"/>
    </row>
    <row r="15195" spans="9:9">
      <c r="I15195" s="2"/>
    </row>
    <row r="15196" spans="9:9">
      <c r="I15196" s="2"/>
    </row>
    <row r="15197" spans="9:9">
      <c r="I15197" s="2"/>
    </row>
    <row r="15198" spans="9:9">
      <c r="I15198" s="2"/>
    </row>
    <row r="15199" spans="9:9">
      <c r="I15199" s="2"/>
    </row>
    <row r="15200" spans="9:9">
      <c r="I15200" s="2"/>
    </row>
    <row r="15201" spans="9:9">
      <c r="I15201" s="2"/>
    </row>
    <row r="15202" spans="9:9">
      <c r="I15202" s="2"/>
    </row>
    <row r="15203" spans="9:9">
      <c r="I15203" s="2"/>
    </row>
    <row r="15204" spans="9:9">
      <c r="I15204" s="2"/>
    </row>
    <row r="15205" spans="9:9">
      <c r="I15205" s="2"/>
    </row>
    <row r="15206" spans="9:9">
      <c r="I15206" s="2"/>
    </row>
    <row r="15207" spans="9:9">
      <c r="I15207" s="2"/>
    </row>
    <row r="15208" spans="9:9">
      <c r="I15208" s="2"/>
    </row>
    <row r="15209" spans="9:9">
      <c r="I15209" s="2"/>
    </row>
    <row r="15210" spans="9:9">
      <c r="I15210" s="2"/>
    </row>
    <row r="15211" spans="9:9">
      <c r="I15211" s="2"/>
    </row>
    <row r="15212" spans="9:9">
      <c r="I15212" s="2"/>
    </row>
    <row r="15213" spans="9:9">
      <c r="I15213" s="2"/>
    </row>
    <row r="15214" spans="9:9">
      <c r="I15214" s="2"/>
    </row>
    <row r="15215" spans="9:9">
      <c r="I15215" s="2"/>
    </row>
    <row r="15216" spans="9:9">
      <c r="I15216" s="2"/>
    </row>
    <row r="15217" spans="9:9">
      <c r="I15217" s="2"/>
    </row>
    <row r="15218" spans="9:9">
      <c r="I15218" s="2"/>
    </row>
    <row r="15219" spans="9:9">
      <c r="I15219" s="2"/>
    </row>
    <row r="15220" spans="9:9">
      <c r="I15220" s="2"/>
    </row>
    <row r="15221" spans="9:9">
      <c r="I15221" s="2"/>
    </row>
    <row r="15222" spans="9:9">
      <c r="I15222" s="2"/>
    </row>
    <row r="15223" spans="9:9">
      <c r="I15223" s="2"/>
    </row>
    <row r="15224" spans="9:9">
      <c r="I15224" s="2"/>
    </row>
    <row r="15225" spans="9:9">
      <c r="I15225" s="2"/>
    </row>
    <row r="15226" spans="9:9">
      <c r="I15226" s="2"/>
    </row>
    <row r="15227" spans="9:9">
      <c r="I15227" s="2"/>
    </row>
    <row r="15228" spans="9:9">
      <c r="I15228" s="2"/>
    </row>
    <row r="15229" spans="9:9">
      <c r="I15229" s="2"/>
    </row>
    <row r="15230" spans="9:9">
      <c r="I15230" s="2"/>
    </row>
    <row r="15231" spans="9:9">
      <c r="I15231" s="2"/>
    </row>
    <row r="15232" spans="9:9">
      <c r="I15232" s="2"/>
    </row>
    <row r="15233" spans="9:9">
      <c r="I15233" s="2"/>
    </row>
    <row r="15234" spans="9:9">
      <c r="I15234" s="2"/>
    </row>
    <row r="15235" spans="9:9">
      <c r="I15235" s="2"/>
    </row>
    <row r="15236" spans="9:9">
      <c r="I15236" s="2"/>
    </row>
    <row r="15237" spans="9:9">
      <c r="I15237" s="2"/>
    </row>
    <row r="15238" spans="9:9">
      <c r="I15238" s="2"/>
    </row>
    <row r="15239" spans="9:9">
      <c r="I15239" s="2"/>
    </row>
    <row r="15240" spans="9:9">
      <c r="I15240" s="2"/>
    </row>
    <row r="15241" spans="9:9">
      <c r="I15241" s="2"/>
    </row>
    <row r="15242" spans="9:9">
      <c r="I15242" s="2"/>
    </row>
    <row r="15243" spans="9:9">
      <c r="I15243" s="2"/>
    </row>
    <row r="15244" spans="9:9">
      <c r="I15244" s="2"/>
    </row>
    <row r="15245" spans="9:9">
      <c r="I15245" s="2"/>
    </row>
    <row r="15246" spans="9:9">
      <c r="I15246" s="2"/>
    </row>
    <row r="15247" spans="9:9">
      <c r="I15247" s="2"/>
    </row>
    <row r="15248" spans="9:9">
      <c r="I15248" s="2"/>
    </row>
    <row r="15249" spans="9:9">
      <c r="I15249" s="2"/>
    </row>
    <row r="15250" spans="9:9">
      <c r="I15250" s="2"/>
    </row>
    <row r="15251" spans="9:9">
      <c r="I15251" s="2"/>
    </row>
    <row r="15252" spans="9:9">
      <c r="I15252" s="2"/>
    </row>
    <row r="15253" spans="9:9">
      <c r="I15253" s="2"/>
    </row>
    <row r="15254" spans="9:9">
      <c r="I15254" s="2"/>
    </row>
    <row r="15255" spans="9:9">
      <c r="I15255" s="2"/>
    </row>
    <row r="15256" spans="9:9">
      <c r="I15256" s="2"/>
    </row>
    <row r="15257" spans="9:9">
      <c r="I15257" s="2"/>
    </row>
    <row r="15258" spans="9:9">
      <c r="I15258" s="2"/>
    </row>
    <row r="15259" spans="9:9">
      <c r="I15259" s="2"/>
    </row>
    <row r="15260" spans="9:9">
      <c r="I15260" s="2"/>
    </row>
    <row r="15261" spans="9:9">
      <c r="I15261" s="2"/>
    </row>
    <row r="15262" spans="9:9">
      <c r="I15262" s="2"/>
    </row>
    <row r="15263" spans="9:9">
      <c r="I15263" s="2"/>
    </row>
    <row r="15264" spans="9:9">
      <c r="I15264" s="2"/>
    </row>
    <row r="15265" spans="9:9">
      <c r="I15265" s="2"/>
    </row>
    <row r="15266" spans="9:9">
      <c r="I15266" s="2"/>
    </row>
    <row r="15267" spans="9:9">
      <c r="I15267" s="2"/>
    </row>
    <row r="15268" spans="9:9">
      <c r="I15268" s="2"/>
    </row>
    <row r="15269" spans="9:9">
      <c r="I15269" s="2"/>
    </row>
    <row r="15270" spans="9:9">
      <c r="I15270" s="2"/>
    </row>
    <row r="15271" spans="9:9">
      <c r="I15271" s="2"/>
    </row>
    <row r="15272" spans="9:9">
      <c r="I15272" s="2"/>
    </row>
    <row r="15273" spans="9:9">
      <c r="I15273" s="2"/>
    </row>
    <row r="15274" spans="9:9">
      <c r="I15274" s="2"/>
    </row>
    <row r="15275" spans="9:9">
      <c r="I15275" s="2"/>
    </row>
    <row r="15276" spans="9:9">
      <c r="I15276" s="2"/>
    </row>
    <row r="15277" spans="9:9">
      <c r="I15277" s="2"/>
    </row>
    <row r="15278" spans="9:9">
      <c r="I15278" s="2"/>
    </row>
    <row r="15279" spans="9:9">
      <c r="I15279" s="2"/>
    </row>
    <row r="15280" spans="9:9">
      <c r="I15280" s="2"/>
    </row>
    <row r="15281" spans="9:9">
      <c r="I15281" s="2"/>
    </row>
    <row r="15282" spans="9:9">
      <c r="I15282" s="2"/>
    </row>
    <row r="15283" spans="9:9">
      <c r="I15283" s="2"/>
    </row>
    <row r="15284" spans="9:9">
      <c r="I15284" s="2"/>
    </row>
    <row r="15285" spans="9:9">
      <c r="I15285" s="2"/>
    </row>
    <row r="15286" spans="9:9">
      <c r="I15286" s="2"/>
    </row>
    <row r="15287" spans="9:9">
      <c r="I15287" s="2"/>
    </row>
    <row r="15288" spans="9:9">
      <c r="I15288" s="2"/>
    </row>
    <row r="15289" spans="9:9">
      <c r="I15289" s="2"/>
    </row>
    <row r="15290" spans="9:9">
      <c r="I15290" s="2"/>
    </row>
    <row r="15291" spans="9:9">
      <c r="I15291" s="2"/>
    </row>
    <row r="15292" spans="9:9">
      <c r="I15292" s="2"/>
    </row>
    <row r="15293" spans="9:9">
      <c r="I15293" s="2"/>
    </row>
    <row r="15294" spans="9:9">
      <c r="I15294" s="2"/>
    </row>
    <row r="15295" spans="9:9">
      <c r="I15295" s="2"/>
    </row>
    <row r="15296" spans="9:9">
      <c r="I15296" s="2"/>
    </row>
    <row r="15297" spans="9:9">
      <c r="I15297" s="2"/>
    </row>
    <row r="15298" spans="9:9">
      <c r="I15298" s="2"/>
    </row>
    <row r="15299" spans="9:9">
      <c r="I15299" s="2"/>
    </row>
    <row r="15300" spans="9:9">
      <c r="I15300" s="2"/>
    </row>
    <row r="15301" spans="9:9">
      <c r="I15301" s="2"/>
    </row>
    <row r="15302" spans="9:9">
      <c r="I15302" s="2"/>
    </row>
    <row r="15303" spans="9:9">
      <c r="I15303" s="2"/>
    </row>
    <row r="15304" spans="9:9">
      <c r="I15304" s="2"/>
    </row>
    <row r="15305" spans="9:9">
      <c r="I15305" s="2"/>
    </row>
    <row r="15306" spans="9:9">
      <c r="I15306" s="2"/>
    </row>
    <row r="15307" spans="9:9">
      <c r="I15307" s="2"/>
    </row>
    <row r="15308" spans="9:9">
      <c r="I15308" s="2"/>
    </row>
    <row r="15309" spans="9:9">
      <c r="I15309" s="2"/>
    </row>
    <row r="15310" spans="9:9">
      <c r="I15310" s="2"/>
    </row>
    <row r="15311" spans="9:9">
      <c r="I15311" s="2"/>
    </row>
    <row r="15312" spans="9:9">
      <c r="I15312" s="2"/>
    </row>
    <row r="15313" spans="9:9">
      <c r="I15313" s="2"/>
    </row>
    <row r="15314" spans="9:9">
      <c r="I15314" s="2"/>
    </row>
    <row r="15315" spans="9:9">
      <c r="I15315" s="2"/>
    </row>
    <row r="15316" spans="9:9">
      <c r="I15316" s="2"/>
    </row>
    <row r="15317" spans="9:9">
      <c r="I15317" s="2"/>
    </row>
    <row r="15318" spans="9:9">
      <c r="I15318" s="2"/>
    </row>
    <row r="15319" spans="9:9">
      <c r="I15319" s="2"/>
    </row>
    <row r="15320" spans="9:9">
      <c r="I15320" s="2"/>
    </row>
    <row r="15321" spans="9:9">
      <c r="I15321" s="2"/>
    </row>
    <row r="15322" spans="9:9">
      <c r="I15322" s="2"/>
    </row>
    <row r="15323" spans="9:9">
      <c r="I15323" s="2"/>
    </row>
    <row r="15324" spans="9:9">
      <c r="I15324" s="2"/>
    </row>
    <row r="15325" spans="9:9">
      <c r="I15325" s="2"/>
    </row>
    <row r="15326" spans="9:9">
      <c r="I15326" s="2"/>
    </row>
    <row r="15327" spans="9:9">
      <c r="I15327" s="2"/>
    </row>
    <row r="15328" spans="9:9">
      <c r="I15328" s="2"/>
    </row>
    <row r="15329" spans="9:9">
      <c r="I15329" s="2"/>
    </row>
    <row r="15330" spans="9:9">
      <c r="I15330" s="2"/>
    </row>
    <row r="15331" spans="9:9">
      <c r="I15331" s="2"/>
    </row>
    <row r="15332" spans="9:9">
      <c r="I15332" s="2"/>
    </row>
    <row r="15333" spans="9:9">
      <c r="I15333" s="2"/>
    </row>
    <row r="15334" spans="9:9">
      <c r="I15334" s="2"/>
    </row>
    <row r="15335" spans="9:9">
      <c r="I15335" s="2"/>
    </row>
    <row r="15336" spans="9:9">
      <c r="I15336" s="2"/>
    </row>
    <row r="15337" spans="9:9">
      <c r="I15337" s="2"/>
    </row>
    <row r="15338" spans="9:9">
      <c r="I15338" s="2"/>
    </row>
    <row r="15339" spans="9:9">
      <c r="I15339" s="2"/>
    </row>
    <row r="15340" spans="9:9">
      <c r="I15340" s="2"/>
    </row>
    <row r="15341" spans="9:9">
      <c r="I15341" s="2"/>
    </row>
    <row r="15342" spans="9:9">
      <c r="I15342" s="2"/>
    </row>
    <row r="15343" spans="9:9">
      <c r="I15343" s="2"/>
    </row>
    <row r="15344" spans="9:9">
      <c r="I15344" s="2"/>
    </row>
    <row r="15345" spans="9:9">
      <c r="I15345" s="2"/>
    </row>
    <row r="15346" spans="9:9">
      <c r="I15346" s="2"/>
    </row>
    <row r="15347" spans="9:9">
      <c r="I15347" s="2"/>
    </row>
    <row r="15348" spans="9:9">
      <c r="I15348" s="2"/>
    </row>
    <row r="15349" spans="9:9">
      <c r="I15349" s="2"/>
    </row>
    <row r="15350" spans="9:9">
      <c r="I15350" s="2"/>
    </row>
    <row r="15351" spans="9:9">
      <c r="I15351" s="2"/>
    </row>
    <row r="15352" spans="9:9">
      <c r="I15352" s="2"/>
    </row>
    <row r="15353" spans="9:9">
      <c r="I15353" s="2"/>
    </row>
    <row r="15354" spans="9:9">
      <c r="I15354" s="2"/>
    </row>
    <row r="15355" spans="9:9">
      <c r="I15355" s="2"/>
    </row>
    <row r="15356" spans="9:9">
      <c r="I15356" s="2"/>
    </row>
    <row r="15357" spans="9:9">
      <c r="I15357" s="2"/>
    </row>
    <row r="15358" spans="9:9">
      <c r="I15358" s="2"/>
    </row>
    <row r="15359" spans="9:9">
      <c r="I15359" s="2"/>
    </row>
    <row r="15360" spans="9:9">
      <c r="I15360" s="2"/>
    </row>
    <row r="15361" spans="9:9">
      <c r="I15361" s="2"/>
    </row>
    <row r="15362" spans="9:9">
      <c r="I15362" s="2"/>
    </row>
    <row r="15363" spans="9:9">
      <c r="I15363" s="2"/>
    </row>
    <row r="15364" spans="9:9">
      <c r="I15364" s="2"/>
    </row>
    <row r="15365" spans="9:9">
      <c r="I15365" s="2"/>
    </row>
    <row r="15366" spans="9:9">
      <c r="I15366" s="2"/>
    </row>
    <row r="15367" spans="9:9">
      <c r="I15367" s="2"/>
    </row>
    <row r="15368" spans="9:9">
      <c r="I15368" s="2"/>
    </row>
    <row r="15369" spans="9:9">
      <c r="I15369" s="2"/>
    </row>
    <row r="15370" spans="9:9">
      <c r="I15370" s="2"/>
    </row>
    <row r="15371" spans="9:9">
      <c r="I15371" s="2"/>
    </row>
    <row r="15372" spans="9:9">
      <c r="I15372" s="2"/>
    </row>
    <row r="15373" spans="9:9">
      <c r="I15373" s="2"/>
    </row>
    <row r="15374" spans="9:9">
      <c r="I15374" s="2"/>
    </row>
    <row r="15375" spans="9:9">
      <c r="I15375" s="2"/>
    </row>
    <row r="15376" spans="9:9">
      <c r="I15376" s="2"/>
    </row>
    <row r="15377" spans="9:9">
      <c r="I15377" s="2"/>
    </row>
    <row r="15378" spans="9:9">
      <c r="I15378" s="2"/>
    </row>
    <row r="15379" spans="9:9">
      <c r="I15379" s="2"/>
    </row>
    <row r="15380" spans="9:9">
      <c r="I15380" s="2"/>
    </row>
    <row r="15381" spans="9:9">
      <c r="I15381" s="2"/>
    </row>
    <row r="15382" spans="9:9">
      <c r="I15382" s="2"/>
    </row>
    <row r="15383" spans="9:9">
      <c r="I15383" s="2"/>
    </row>
    <row r="15384" spans="9:9">
      <c r="I15384" s="2"/>
    </row>
    <row r="15385" spans="9:9">
      <c r="I15385" s="2"/>
    </row>
    <row r="15386" spans="9:9">
      <c r="I15386" s="2"/>
    </row>
    <row r="15387" spans="9:9">
      <c r="I15387" s="2"/>
    </row>
    <row r="15388" spans="9:9">
      <c r="I15388" s="2"/>
    </row>
    <row r="15389" spans="9:9">
      <c r="I15389" s="2"/>
    </row>
    <row r="15390" spans="9:9">
      <c r="I15390" s="2"/>
    </row>
    <row r="15391" spans="9:9">
      <c r="I15391" s="2"/>
    </row>
    <row r="15392" spans="9:9">
      <c r="I15392" s="2"/>
    </row>
    <row r="15393" spans="9:9">
      <c r="I15393" s="2"/>
    </row>
    <row r="15394" spans="9:9">
      <c r="I15394" s="2"/>
    </row>
    <row r="15395" spans="9:9">
      <c r="I15395" s="2"/>
    </row>
    <row r="15396" spans="9:9">
      <c r="I15396" s="2"/>
    </row>
    <row r="15397" spans="9:9">
      <c r="I15397" s="2"/>
    </row>
    <row r="15398" spans="9:9">
      <c r="I15398" s="2"/>
    </row>
    <row r="15399" spans="9:9">
      <c r="I15399" s="2"/>
    </row>
    <row r="15400" spans="9:9">
      <c r="I15400" s="2"/>
    </row>
    <row r="15401" spans="9:9">
      <c r="I15401" s="2"/>
    </row>
    <row r="15402" spans="9:9">
      <c r="I15402" s="2"/>
    </row>
    <row r="15403" spans="9:9">
      <c r="I15403" s="2"/>
    </row>
    <row r="15404" spans="9:9">
      <c r="I15404" s="2"/>
    </row>
    <row r="15405" spans="9:9">
      <c r="I15405" s="2"/>
    </row>
    <row r="15406" spans="9:9">
      <c r="I15406" s="2"/>
    </row>
    <row r="15407" spans="9:9">
      <c r="I15407" s="2"/>
    </row>
    <row r="15408" spans="9:9">
      <c r="I15408" s="2"/>
    </row>
    <row r="15409" spans="9:9">
      <c r="I15409" s="2"/>
    </row>
    <row r="15410" spans="9:9">
      <c r="I15410" s="2"/>
    </row>
    <row r="15411" spans="9:9">
      <c r="I15411" s="2"/>
    </row>
    <row r="15412" spans="9:9">
      <c r="I15412" s="2"/>
    </row>
    <row r="15413" spans="9:9">
      <c r="I15413" s="2"/>
    </row>
    <row r="15414" spans="9:9">
      <c r="I15414" s="2"/>
    </row>
    <row r="15415" spans="9:9">
      <c r="I15415" s="2"/>
    </row>
    <row r="15416" spans="9:9">
      <c r="I15416" s="2"/>
    </row>
    <row r="15417" spans="9:9">
      <c r="I15417" s="2"/>
    </row>
    <row r="15418" spans="9:9">
      <c r="I15418" s="2"/>
    </row>
    <row r="15419" spans="9:9">
      <c r="I15419" s="2"/>
    </row>
    <row r="15420" spans="9:9">
      <c r="I15420" s="2"/>
    </row>
    <row r="15421" spans="9:9">
      <c r="I15421" s="2"/>
    </row>
    <row r="15422" spans="9:9">
      <c r="I15422" s="2"/>
    </row>
    <row r="15423" spans="9:9">
      <c r="I15423" s="2"/>
    </row>
    <row r="15424" spans="9:9">
      <c r="I15424" s="2"/>
    </row>
    <row r="15425" spans="9:9">
      <c r="I15425" s="2"/>
    </row>
    <row r="15426" spans="9:9">
      <c r="I15426" s="2"/>
    </row>
    <row r="15427" spans="9:9">
      <c r="I15427" s="2"/>
    </row>
    <row r="15428" spans="9:9">
      <c r="I15428" s="2"/>
    </row>
    <row r="15429" spans="9:9">
      <c r="I15429" s="2"/>
    </row>
    <row r="15430" spans="9:9">
      <c r="I15430" s="2"/>
    </row>
    <row r="15431" spans="9:9">
      <c r="I15431" s="2"/>
    </row>
    <row r="15432" spans="9:9">
      <c r="I15432" s="2"/>
    </row>
    <row r="15433" spans="9:9">
      <c r="I15433" s="2"/>
    </row>
    <row r="15434" spans="9:9">
      <c r="I15434" s="2"/>
    </row>
    <row r="15435" spans="9:9">
      <c r="I15435" s="2"/>
    </row>
    <row r="15436" spans="9:9">
      <c r="I15436" s="2"/>
    </row>
    <row r="15437" spans="9:9">
      <c r="I15437" s="2"/>
    </row>
    <row r="15438" spans="9:9">
      <c r="I15438" s="2"/>
    </row>
    <row r="15439" spans="9:9">
      <c r="I15439" s="2"/>
    </row>
    <row r="15440" spans="9:9">
      <c r="I15440" s="2"/>
    </row>
    <row r="15441" spans="9:9">
      <c r="I15441" s="2"/>
    </row>
    <row r="15442" spans="9:9">
      <c r="I15442" s="2"/>
    </row>
    <row r="15443" spans="9:9">
      <c r="I15443" s="2"/>
    </row>
    <row r="15444" spans="9:9">
      <c r="I15444" s="2"/>
    </row>
    <row r="15445" spans="9:9">
      <c r="I15445" s="2"/>
    </row>
    <row r="15446" spans="9:9">
      <c r="I15446" s="2"/>
    </row>
    <row r="15447" spans="9:9">
      <c r="I15447" s="2"/>
    </row>
    <row r="15448" spans="9:9">
      <c r="I15448" s="2"/>
    </row>
    <row r="15449" spans="9:9">
      <c r="I15449" s="2"/>
    </row>
    <row r="15450" spans="9:9">
      <c r="I15450" s="2"/>
    </row>
    <row r="15451" spans="9:9">
      <c r="I15451" s="2"/>
    </row>
    <row r="15452" spans="9:9">
      <c r="I15452" s="2"/>
    </row>
    <row r="15453" spans="9:9">
      <c r="I15453" s="2"/>
    </row>
    <row r="15454" spans="9:9">
      <c r="I15454" s="2"/>
    </row>
    <row r="15455" spans="9:9">
      <c r="I15455" s="2"/>
    </row>
    <row r="15456" spans="9:9">
      <c r="I15456" s="2"/>
    </row>
    <row r="15457" spans="9:9">
      <c r="I15457" s="2"/>
    </row>
    <row r="15458" spans="9:9">
      <c r="I15458" s="2"/>
    </row>
    <row r="15459" spans="9:9">
      <c r="I15459" s="2"/>
    </row>
    <row r="15460" spans="9:9">
      <c r="I15460" s="2"/>
    </row>
    <row r="15461" spans="9:9">
      <c r="I15461" s="2"/>
    </row>
    <row r="15462" spans="9:9">
      <c r="I15462" s="2"/>
    </row>
    <row r="15463" spans="9:9">
      <c r="I15463" s="2"/>
    </row>
    <row r="15464" spans="9:9">
      <c r="I15464" s="2"/>
    </row>
    <row r="15465" spans="9:9">
      <c r="I15465" s="2"/>
    </row>
    <row r="15466" spans="9:9">
      <c r="I15466" s="2"/>
    </row>
    <row r="15467" spans="9:9">
      <c r="I15467" s="2"/>
    </row>
    <row r="15468" spans="9:9">
      <c r="I15468" s="2"/>
    </row>
    <row r="15469" spans="9:9">
      <c r="I15469" s="2"/>
    </row>
    <row r="15470" spans="9:9">
      <c r="I15470" s="2"/>
    </row>
    <row r="15471" spans="9:9">
      <c r="I15471" s="2"/>
    </row>
    <row r="15472" spans="9:9">
      <c r="I15472" s="2"/>
    </row>
    <row r="15473" spans="9:9">
      <c r="I15473" s="2"/>
    </row>
    <row r="15474" spans="9:9">
      <c r="I15474" s="2"/>
    </row>
    <row r="15475" spans="9:9">
      <c r="I15475" s="2"/>
    </row>
    <row r="15476" spans="9:9">
      <c r="I15476" s="2"/>
    </row>
    <row r="15477" spans="9:9">
      <c r="I15477" s="2"/>
    </row>
    <row r="15478" spans="9:9">
      <c r="I15478" s="2"/>
    </row>
    <row r="15479" spans="9:9">
      <c r="I15479" s="2"/>
    </row>
    <row r="15480" spans="9:9">
      <c r="I15480" s="2"/>
    </row>
    <row r="15481" spans="9:9">
      <c r="I15481" s="2"/>
    </row>
    <row r="15482" spans="9:9">
      <c r="I15482" s="2"/>
    </row>
    <row r="15483" spans="9:9">
      <c r="I15483" s="2"/>
    </row>
    <row r="15484" spans="9:9">
      <c r="I15484" s="2"/>
    </row>
    <row r="15485" spans="9:9">
      <c r="I15485" s="2"/>
    </row>
    <row r="15486" spans="9:9">
      <c r="I15486" s="2"/>
    </row>
    <row r="15487" spans="9:9">
      <c r="I15487" s="2"/>
    </row>
    <row r="15488" spans="9:9">
      <c r="I15488" s="2"/>
    </row>
    <row r="15489" spans="9:9">
      <c r="I15489" s="2"/>
    </row>
    <row r="15490" spans="9:9">
      <c r="I15490" s="2"/>
    </row>
    <row r="15491" spans="9:9">
      <c r="I15491" s="2"/>
    </row>
    <row r="15492" spans="9:9">
      <c r="I15492" s="2"/>
    </row>
    <row r="15493" spans="9:9">
      <c r="I15493" s="2"/>
    </row>
    <row r="15494" spans="9:9">
      <c r="I15494" s="2"/>
    </row>
    <row r="15495" spans="9:9">
      <c r="I15495" s="2"/>
    </row>
    <row r="15496" spans="9:9">
      <c r="I15496" s="2"/>
    </row>
    <row r="15497" spans="9:9">
      <c r="I15497" s="2"/>
    </row>
    <row r="15498" spans="9:9">
      <c r="I15498" s="2"/>
    </row>
    <row r="15499" spans="9:9">
      <c r="I15499" s="2"/>
    </row>
    <row r="15500" spans="9:9">
      <c r="I15500" s="2"/>
    </row>
    <row r="15501" spans="9:9">
      <c r="I15501" s="2"/>
    </row>
    <row r="15502" spans="9:9">
      <c r="I15502" s="2"/>
    </row>
    <row r="15503" spans="9:9">
      <c r="I15503" s="2"/>
    </row>
    <row r="15504" spans="9:9">
      <c r="I15504" s="2"/>
    </row>
    <row r="15505" spans="9:9">
      <c r="I15505" s="2"/>
    </row>
    <row r="15506" spans="9:9">
      <c r="I15506" s="2"/>
    </row>
    <row r="15507" spans="9:9">
      <c r="I15507" s="2"/>
    </row>
    <row r="15508" spans="9:9">
      <c r="I15508" s="2"/>
    </row>
    <row r="15509" spans="9:9">
      <c r="I15509" s="2"/>
    </row>
    <row r="15510" spans="9:9">
      <c r="I15510" s="2"/>
    </row>
    <row r="15511" spans="9:9">
      <c r="I15511" s="2"/>
    </row>
    <row r="15512" spans="9:9">
      <c r="I15512" s="2"/>
    </row>
    <row r="15513" spans="9:9">
      <c r="I15513" s="2"/>
    </row>
    <row r="15514" spans="9:9">
      <c r="I15514" s="2"/>
    </row>
    <row r="15515" spans="9:9">
      <c r="I15515" s="2"/>
    </row>
    <row r="15516" spans="9:9">
      <c r="I15516" s="2"/>
    </row>
    <row r="15517" spans="9:9">
      <c r="I15517" s="2"/>
    </row>
    <row r="15518" spans="9:9">
      <c r="I15518" s="2"/>
    </row>
    <row r="15519" spans="9:9">
      <c r="I15519" s="2"/>
    </row>
    <row r="15520" spans="9:9">
      <c r="I15520" s="2"/>
    </row>
    <row r="15521" spans="9:9">
      <c r="I15521" s="2"/>
    </row>
    <row r="15522" spans="9:9">
      <c r="I15522" s="2"/>
    </row>
    <row r="15523" spans="9:9">
      <c r="I15523" s="2"/>
    </row>
    <row r="15524" spans="9:9">
      <c r="I15524" s="2"/>
    </row>
    <row r="15525" spans="9:9">
      <c r="I15525" s="2"/>
    </row>
    <row r="15526" spans="9:9">
      <c r="I15526" s="2"/>
    </row>
    <row r="15527" spans="9:9">
      <c r="I15527" s="2"/>
    </row>
    <row r="15528" spans="9:9">
      <c r="I15528" s="2"/>
    </row>
    <row r="15529" spans="9:9">
      <c r="I15529" s="2"/>
    </row>
    <row r="15530" spans="9:9">
      <c r="I15530" s="2"/>
    </row>
    <row r="15531" spans="9:9">
      <c r="I15531" s="2"/>
    </row>
    <row r="15532" spans="9:9">
      <c r="I15532" s="2"/>
    </row>
    <row r="15533" spans="9:9">
      <c r="I15533" s="2"/>
    </row>
    <row r="15534" spans="9:9">
      <c r="I15534" s="2"/>
    </row>
    <row r="15535" spans="9:9">
      <c r="I15535" s="2"/>
    </row>
    <row r="15536" spans="9:9">
      <c r="I15536" s="2"/>
    </row>
    <row r="15537" spans="9:9">
      <c r="I15537" s="2"/>
    </row>
    <row r="15538" spans="9:9">
      <c r="I15538" s="2"/>
    </row>
    <row r="15539" spans="9:9">
      <c r="I15539" s="2"/>
    </row>
    <row r="15540" spans="9:9">
      <c r="I15540" s="2"/>
    </row>
    <row r="15541" spans="9:9">
      <c r="I15541" s="2"/>
    </row>
    <row r="15542" spans="9:9">
      <c r="I15542" s="2"/>
    </row>
    <row r="15543" spans="9:9">
      <c r="I15543" s="2"/>
    </row>
    <row r="15544" spans="9:9">
      <c r="I15544" s="2"/>
    </row>
    <row r="15545" spans="9:9">
      <c r="I15545" s="2"/>
    </row>
    <row r="15546" spans="9:9">
      <c r="I15546" s="2"/>
    </row>
    <row r="15547" spans="9:9">
      <c r="I15547" s="2"/>
    </row>
    <row r="15548" spans="9:9">
      <c r="I15548" s="2"/>
    </row>
    <row r="15549" spans="9:9">
      <c r="I15549" s="2"/>
    </row>
    <row r="15550" spans="9:9">
      <c r="I15550" s="2"/>
    </row>
    <row r="15551" spans="9:9">
      <c r="I15551" s="2"/>
    </row>
    <row r="15552" spans="9:9">
      <c r="I15552" s="2"/>
    </row>
    <row r="15553" spans="9:9">
      <c r="I15553" s="2"/>
    </row>
    <row r="15554" spans="9:9">
      <c r="I15554" s="2"/>
    </row>
    <row r="15555" spans="9:9">
      <c r="I15555" s="2"/>
    </row>
    <row r="15556" spans="9:9">
      <c r="I15556" s="2"/>
    </row>
    <row r="15557" spans="9:9">
      <c r="I15557" s="2"/>
    </row>
    <row r="15558" spans="9:9">
      <c r="I15558" s="2"/>
    </row>
    <row r="15559" spans="9:9">
      <c r="I15559" s="2"/>
    </row>
    <row r="15560" spans="9:9">
      <c r="I15560" s="2"/>
    </row>
    <row r="15561" spans="9:9">
      <c r="I15561" s="2"/>
    </row>
    <row r="15562" spans="9:9">
      <c r="I15562" s="2"/>
    </row>
    <row r="15563" spans="9:9">
      <c r="I15563" s="2"/>
    </row>
    <row r="15564" spans="9:9">
      <c r="I15564" s="2"/>
    </row>
    <row r="15565" spans="9:9">
      <c r="I15565" s="2"/>
    </row>
    <row r="15566" spans="9:9">
      <c r="I15566" s="2"/>
    </row>
    <row r="15567" spans="9:9">
      <c r="I15567" s="2"/>
    </row>
    <row r="15568" spans="9:9">
      <c r="I15568" s="2"/>
    </row>
    <row r="15569" spans="9:9">
      <c r="I15569" s="2"/>
    </row>
    <row r="15570" spans="9:9">
      <c r="I15570" s="2"/>
    </row>
    <row r="15571" spans="9:9">
      <c r="I15571" s="2"/>
    </row>
    <row r="15572" spans="9:9">
      <c r="I15572" s="2"/>
    </row>
    <row r="15573" spans="9:9">
      <c r="I15573" s="2"/>
    </row>
    <row r="15574" spans="9:9">
      <c r="I15574" s="2"/>
    </row>
    <row r="15575" spans="9:9">
      <c r="I15575" s="2"/>
    </row>
    <row r="15576" spans="9:9">
      <c r="I15576" s="2"/>
    </row>
    <row r="15577" spans="9:9">
      <c r="I15577" s="2"/>
    </row>
    <row r="15578" spans="9:9">
      <c r="I15578" s="2"/>
    </row>
    <row r="15579" spans="9:9">
      <c r="I15579" s="2"/>
    </row>
    <row r="15580" spans="9:9">
      <c r="I15580" s="2"/>
    </row>
    <row r="15581" spans="9:9">
      <c r="I15581" s="2"/>
    </row>
    <row r="15582" spans="9:9">
      <c r="I15582" s="2"/>
    </row>
    <row r="15583" spans="9:9">
      <c r="I15583" s="2"/>
    </row>
    <row r="15584" spans="9:9">
      <c r="I15584" s="2"/>
    </row>
    <row r="15585" spans="9:9">
      <c r="I15585" s="2"/>
    </row>
    <row r="15586" spans="9:9">
      <c r="I15586" s="2"/>
    </row>
    <row r="15587" spans="9:9">
      <c r="I15587" s="2"/>
    </row>
    <row r="15588" spans="9:9">
      <c r="I15588" s="2"/>
    </row>
    <row r="15589" spans="9:9">
      <c r="I15589" s="2"/>
    </row>
    <row r="15590" spans="9:9">
      <c r="I15590" s="2"/>
    </row>
    <row r="15591" spans="9:9">
      <c r="I15591" s="2"/>
    </row>
    <row r="15592" spans="9:9">
      <c r="I15592" s="2"/>
    </row>
    <row r="15593" spans="9:9">
      <c r="I15593" s="2"/>
    </row>
    <row r="15594" spans="9:9">
      <c r="I15594" s="2"/>
    </row>
    <row r="15595" spans="9:9">
      <c r="I15595" s="2"/>
    </row>
    <row r="15596" spans="9:9">
      <c r="I15596" s="2"/>
    </row>
    <row r="15597" spans="9:9">
      <c r="I15597" s="2"/>
    </row>
    <row r="15598" spans="9:9">
      <c r="I15598" s="2"/>
    </row>
    <row r="15599" spans="9:9">
      <c r="I15599" s="2"/>
    </row>
    <row r="15600" spans="9:9">
      <c r="I15600" s="2"/>
    </row>
    <row r="15601" spans="9:9">
      <c r="I15601" s="2"/>
    </row>
    <row r="15602" spans="9:9">
      <c r="I15602" s="2"/>
    </row>
    <row r="15603" spans="9:9">
      <c r="I15603" s="2"/>
    </row>
    <row r="15604" spans="9:9">
      <c r="I15604" s="2"/>
    </row>
    <row r="15605" spans="9:9">
      <c r="I15605" s="2"/>
    </row>
    <row r="15606" spans="9:9">
      <c r="I15606" s="2"/>
    </row>
    <row r="15607" spans="9:9">
      <c r="I15607" s="2"/>
    </row>
    <row r="15608" spans="9:9">
      <c r="I15608" s="2"/>
    </row>
    <row r="15609" spans="9:9">
      <c r="I15609" s="2"/>
    </row>
    <row r="15610" spans="9:9">
      <c r="I15610" s="2"/>
    </row>
    <row r="15611" spans="9:9">
      <c r="I15611" s="2"/>
    </row>
    <row r="15612" spans="9:9">
      <c r="I15612" s="2"/>
    </row>
    <row r="15613" spans="9:9">
      <c r="I15613" s="2"/>
    </row>
    <row r="15614" spans="9:9">
      <c r="I15614" s="2"/>
    </row>
    <row r="15615" spans="9:9">
      <c r="I15615" s="2"/>
    </row>
    <row r="15616" spans="9:9">
      <c r="I15616" s="2"/>
    </row>
    <row r="15617" spans="9:9">
      <c r="I15617" s="2"/>
    </row>
    <row r="15618" spans="9:9">
      <c r="I15618" s="2"/>
    </row>
    <row r="15619" spans="9:9">
      <c r="I15619" s="2"/>
    </row>
    <row r="15620" spans="9:9">
      <c r="I15620" s="2"/>
    </row>
    <row r="15621" spans="9:9">
      <c r="I15621" s="2"/>
    </row>
    <row r="15622" spans="9:9">
      <c r="I15622" s="2"/>
    </row>
    <row r="15623" spans="9:9">
      <c r="I15623" s="2"/>
    </row>
    <row r="15624" spans="9:9">
      <c r="I15624" s="2"/>
    </row>
    <row r="15625" spans="9:9">
      <c r="I15625" s="2"/>
    </row>
    <row r="15626" spans="9:9">
      <c r="I15626" s="2"/>
    </row>
    <row r="15627" spans="9:9">
      <c r="I15627" s="2"/>
    </row>
    <row r="15628" spans="9:9">
      <c r="I15628" s="2"/>
    </row>
    <row r="15629" spans="9:9">
      <c r="I15629" s="2"/>
    </row>
    <row r="15630" spans="9:9">
      <c r="I15630" s="2"/>
    </row>
    <row r="15631" spans="9:9">
      <c r="I15631" s="2"/>
    </row>
    <row r="15632" spans="9:9">
      <c r="I15632" s="2"/>
    </row>
    <row r="15633" spans="9:9">
      <c r="I15633" s="2"/>
    </row>
    <row r="15634" spans="9:9">
      <c r="I15634" s="2"/>
    </row>
    <row r="15635" spans="9:9">
      <c r="I15635" s="2"/>
    </row>
    <row r="15636" spans="9:9">
      <c r="I15636" s="2"/>
    </row>
    <row r="15637" spans="9:9">
      <c r="I15637" s="2"/>
    </row>
    <row r="15638" spans="9:9">
      <c r="I15638" s="2"/>
    </row>
    <row r="15639" spans="9:9">
      <c r="I15639" s="2"/>
    </row>
    <row r="15640" spans="9:9">
      <c r="I15640" s="2"/>
    </row>
    <row r="15641" spans="9:9">
      <c r="I15641" s="2"/>
    </row>
    <row r="15642" spans="9:9">
      <c r="I15642" s="2"/>
    </row>
    <row r="15643" spans="9:9">
      <c r="I15643" s="2"/>
    </row>
    <row r="15644" spans="9:9">
      <c r="I15644" s="2"/>
    </row>
    <row r="15645" spans="9:9">
      <c r="I15645" s="2"/>
    </row>
    <row r="15646" spans="9:9">
      <c r="I15646" s="2"/>
    </row>
    <row r="15647" spans="9:9">
      <c r="I15647" s="2"/>
    </row>
    <row r="15648" spans="9:9">
      <c r="I15648" s="2"/>
    </row>
    <row r="15649" spans="9:9">
      <c r="I15649" s="2"/>
    </row>
    <row r="15650" spans="9:9">
      <c r="I15650" s="2"/>
    </row>
    <row r="15651" spans="9:9">
      <c r="I15651" s="2"/>
    </row>
    <row r="15652" spans="9:9">
      <c r="I15652" s="2"/>
    </row>
    <row r="15653" spans="9:9">
      <c r="I15653" s="2"/>
    </row>
    <row r="15654" spans="9:9">
      <c r="I15654" s="2"/>
    </row>
    <row r="15655" spans="9:9">
      <c r="I15655" s="2"/>
    </row>
    <row r="15656" spans="9:9">
      <c r="I15656" s="2"/>
    </row>
    <row r="15657" spans="9:9">
      <c r="I15657" s="2"/>
    </row>
    <row r="15658" spans="9:9">
      <c r="I15658" s="2"/>
    </row>
    <row r="15659" spans="9:9">
      <c r="I15659" s="2"/>
    </row>
    <row r="15660" spans="9:9">
      <c r="I15660" s="2"/>
    </row>
    <row r="15661" spans="9:9">
      <c r="I15661" s="2"/>
    </row>
    <row r="15662" spans="9:9">
      <c r="I15662" s="2"/>
    </row>
    <row r="15663" spans="9:9">
      <c r="I15663" s="2"/>
    </row>
    <row r="15664" spans="9:9">
      <c r="I15664" s="2"/>
    </row>
    <row r="15665" spans="9:9">
      <c r="I15665" s="2"/>
    </row>
    <row r="15666" spans="9:9">
      <c r="I15666" s="2"/>
    </row>
    <row r="15667" spans="9:9">
      <c r="I15667" s="2"/>
    </row>
    <row r="15668" spans="9:9">
      <c r="I15668" s="2"/>
    </row>
    <row r="15669" spans="9:9">
      <c r="I15669" s="2"/>
    </row>
    <row r="15670" spans="9:9">
      <c r="I15670" s="2"/>
    </row>
    <row r="15671" spans="9:9">
      <c r="I15671" s="2"/>
    </row>
    <row r="15672" spans="9:9">
      <c r="I15672" s="2"/>
    </row>
    <row r="15673" spans="9:9">
      <c r="I15673" s="2"/>
    </row>
    <row r="15674" spans="9:9">
      <c r="I15674" s="2"/>
    </row>
    <row r="15675" spans="9:9">
      <c r="I15675" s="2"/>
    </row>
    <row r="15676" spans="9:9">
      <c r="I15676" s="2"/>
    </row>
    <row r="15677" spans="9:9">
      <c r="I15677" s="2"/>
    </row>
    <row r="15678" spans="9:9">
      <c r="I15678" s="2"/>
    </row>
    <row r="15679" spans="9:9">
      <c r="I15679" s="2"/>
    </row>
    <row r="15680" spans="9:9">
      <c r="I15680" s="2"/>
    </row>
    <row r="15681" spans="9:9">
      <c r="I15681" s="2"/>
    </row>
    <row r="15682" spans="9:9">
      <c r="I15682" s="2"/>
    </row>
    <row r="15683" spans="9:9">
      <c r="I15683" s="2"/>
    </row>
    <row r="15684" spans="9:9">
      <c r="I15684" s="2"/>
    </row>
    <row r="15685" spans="9:9">
      <c r="I15685" s="2"/>
    </row>
    <row r="15686" spans="9:9">
      <c r="I15686" s="2"/>
    </row>
    <row r="15687" spans="9:9">
      <c r="I15687" s="2"/>
    </row>
    <row r="15688" spans="9:9">
      <c r="I15688" s="2"/>
    </row>
    <row r="15689" spans="9:9">
      <c r="I15689" s="2"/>
    </row>
    <row r="15690" spans="9:9">
      <c r="I15690" s="2"/>
    </row>
    <row r="15691" spans="9:9">
      <c r="I15691" s="2"/>
    </row>
    <row r="15692" spans="9:9">
      <c r="I15692" s="2"/>
    </row>
    <row r="15693" spans="9:9">
      <c r="I15693" s="2"/>
    </row>
    <row r="15694" spans="9:9">
      <c r="I15694" s="2"/>
    </row>
    <row r="15695" spans="9:9">
      <c r="I15695" s="2"/>
    </row>
    <row r="15696" spans="9:9">
      <c r="I15696" s="2"/>
    </row>
    <row r="15697" spans="9:9">
      <c r="I15697" s="2"/>
    </row>
    <row r="15698" spans="9:9">
      <c r="I15698" s="2"/>
    </row>
    <row r="15699" spans="9:9">
      <c r="I15699" s="2"/>
    </row>
    <row r="15700" spans="9:9">
      <c r="I15700" s="2"/>
    </row>
    <row r="15701" spans="9:9">
      <c r="I15701" s="2"/>
    </row>
    <row r="15702" spans="9:9">
      <c r="I15702" s="2"/>
    </row>
    <row r="15703" spans="9:9">
      <c r="I15703" s="2"/>
    </row>
    <row r="15704" spans="9:9">
      <c r="I15704" s="2"/>
    </row>
    <row r="15705" spans="9:9">
      <c r="I15705" s="2"/>
    </row>
    <row r="15706" spans="9:9">
      <c r="I15706" s="2"/>
    </row>
    <row r="15707" spans="9:9">
      <c r="I15707" s="2"/>
    </row>
    <row r="15708" spans="9:9">
      <c r="I15708" s="2"/>
    </row>
    <row r="15709" spans="9:9">
      <c r="I15709" s="2"/>
    </row>
    <row r="15710" spans="9:9">
      <c r="I15710" s="2"/>
    </row>
    <row r="15711" spans="9:9">
      <c r="I15711" s="2"/>
    </row>
    <row r="15712" spans="9:9">
      <c r="I15712" s="2"/>
    </row>
    <row r="15713" spans="9:9">
      <c r="I15713" s="2"/>
    </row>
    <row r="15714" spans="9:9">
      <c r="I15714" s="2"/>
    </row>
    <row r="15715" spans="9:9">
      <c r="I15715" s="2"/>
    </row>
    <row r="15716" spans="9:9">
      <c r="I15716" s="2"/>
    </row>
    <row r="15717" spans="9:9">
      <c r="I15717" s="2"/>
    </row>
    <row r="15718" spans="9:9">
      <c r="I15718" s="2"/>
    </row>
    <row r="15719" spans="9:9">
      <c r="I15719" s="2"/>
    </row>
    <row r="15720" spans="9:9">
      <c r="I15720" s="2"/>
    </row>
    <row r="15721" spans="9:9">
      <c r="I15721" s="2"/>
    </row>
    <row r="15722" spans="9:9">
      <c r="I15722" s="2"/>
    </row>
    <row r="15723" spans="9:9">
      <c r="I15723" s="2"/>
    </row>
    <row r="15724" spans="9:9">
      <c r="I15724" s="2"/>
    </row>
    <row r="15725" spans="9:9">
      <c r="I15725" s="2"/>
    </row>
    <row r="15726" spans="9:9">
      <c r="I15726" s="2"/>
    </row>
    <row r="15727" spans="9:9">
      <c r="I15727" s="2"/>
    </row>
    <row r="15728" spans="9:9">
      <c r="I15728" s="2"/>
    </row>
    <row r="15729" spans="9:9">
      <c r="I15729" s="2"/>
    </row>
    <row r="15730" spans="9:9">
      <c r="I15730" s="2"/>
    </row>
    <row r="15731" spans="9:9">
      <c r="I15731" s="2"/>
    </row>
    <row r="15732" spans="9:9">
      <c r="I15732" s="2"/>
    </row>
    <row r="15733" spans="9:9">
      <c r="I15733" s="2"/>
    </row>
    <row r="15734" spans="9:9">
      <c r="I15734" s="2"/>
    </row>
    <row r="15735" spans="9:9">
      <c r="I15735" s="2"/>
    </row>
    <row r="15736" spans="9:9">
      <c r="I15736" s="2"/>
    </row>
    <row r="15737" spans="9:9">
      <c r="I15737" s="2"/>
    </row>
    <row r="15738" spans="9:9">
      <c r="I15738" s="2"/>
    </row>
    <row r="15739" spans="9:9">
      <c r="I15739" s="2"/>
    </row>
    <row r="15740" spans="9:9">
      <c r="I15740" s="2"/>
    </row>
    <row r="15741" spans="9:9">
      <c r="I15741" s="2"/>
    </row>
    <row r="15742" spans="9:9">
      <c r="I15742" s="2"/>
    </row>
    <row r="15743" spans="9:9">
      <c r="I15743" s="2"/>
    </row>
    <row r="15744" spans="9:9">
      <c r="I15744" s="2"/>
    </row>
    <row r="15745" spans="9:9">
      <c r="I15745" s="2"/>
    </row>
    <row r="15746" spans="9:9">
      <c r="I15746" s="2"/>
    </row>
    <row r="15747" spans="9:9">
      <c r="I15747" s="2"/>
    </row>
    <row r="15748" spans="9:9">
      <c r="I15748" s="2"/>
    </row>
    <row r="15749" spans="9:9">
      <c r="I15749" s="2"/>
    </row>
    <row r="15750" spans="9:9">
      <c r="I15750" s="2"/>
    </row>
    <row r="15751" spans="9:9">
      <c r="I15751" s="2"/>
    </row>
    <row r="15752" spans="9:9">
      <c r="I15752" s="2"/>
    </row>
    <row r="15753" spans="9:9">
      <c r="I15753" s="2"/>
    </row>
    <row r="15754" spans="9:9">
      <c r="I15754" s="2"/>
    </row>
    <row r="15755" spans="9:9">
      <c r="I15755" s="2"/>
    </row>
    <row r="15756" spans="9:9">
      <c r="I15756" s="2"/>
    </row>
    <row r="15757" spans="9:9">
      <c r="I15757" s="2"/>
    </row>
    <row r="15758" spans="9:9">
      <c r="I15758" s="2"/>
    </row>
    <row r="15759" spans="9:9">
      <c r="I15759" s="2"/>
    </row>
    <row r="15760" spans="9:9">
      <c r="I15760" s="2"/>
    </row>
    <row r="15761" spans="9:9">
      <c r="I15761" s="2"/>
    </row>
    <row r="15762" spans="9:9">
      <c r="I15762" s="2"/>
    </row>
    <row r="15763" spans="9:9">
      <c r="I15763" s="2"/>
    </row>
    <row r="15764" spans="9:9">
      <c r="I15764" s="2"/>
    </row>
    <row r="15765" spans="9:9">
      <c r="I15765" s="2"/>
    </row>
    <row r="15766" spans="9:9">
      <c r="I15766" s="2"/>
    </row>
    <row r="15767" spans="9:9">
      <c r="I15767" s="2"/>
    </row>
    <row r="15768" spans="9:9">
      <c r="I15768" s="2"/>
    </row>
    <row r="15769" spans="9:9">
      <c r="I15769" s="2"/>
    </row>
    <row r="15770" spans="9:9">
      <c r="I15770" s="2"/>
    </row>
    <row r="15771" spans="9:9">
      <c r="I15771" s="2"/>
    </row>
    <row r="15772" spans="9:9">
      <c r="I15772" s="2"/>
    </row>
    <row r="15773" spans="9:9">
      <c r="I15773" s="2"/>
    </row>
    <row r="15774" spans="9:9">
      <c r="I15774" s="2"/>
    </row>
    <row r="15775" spans="9:9">
      <c r="I15775" s="2"/>
    </row>
    <row r="15776" spans="9:9">
      <c r="I15776" s="2"/>
    </row>
    <row r="15777" spans="9:9">
      <c r="I15777" s="2"/>
    </row>
    <row r="15778" spans="9:9">
      <c r="I15778" s="2"/>
    </row>
    <row r="15779" spans="9:9">
      <c r="I15779" s="2"/>
    </row>
    <row r="15780" spans="9:9">
      <c r="I15780" s="2"/>
    </row>
    <row r="15781" spans="9:9">
      <c r="I15781" s="2"/>
    </row>
    <row r="15782" spans="9:9">
      <c r="I15782" s="2"/>
    </row>
    <row r="15783" spans="9:9">
      <c r="I15783" s="2"/>
    </row>
    <row r="15784" spans="9:9">
      <c r="I15784" s="2"/>
    </row>
    <row r="15785" spans="9:9">
      <c r="I15785" s="2"/>
    </row>
    <row r="15786" spans="9:9">
      <c r="I15786" s="2"/>
    </row>
    <row r="15787" spans="9:9">
      <c r="I15787" s="2"/>
    </row>
    <row r="15788" spans="9:9">
      <c r="I15788" s="2"/>
    </row>
    <row r="15789" spans="9:9">
      <c r="I15789" s="2"/>
    </row>
    <row r="15790" spans="9:9">
      <c r="I15790" s="2"/>
    </row>
    <row r="15791" spans="9:9">
      <c r="I15791" s="2"/>
    </row>
    <row r="15792" spans="9:9">
      <c r="I15792" s="2"/>
    </row>
    <row r="15793" spans="9:9">
      <c r="I15793" s="2"/>
    </row>
    <row r="15794" spans="9:9">
      <c r="I15794" s="2"/>
    </row>
    <row r="15795" spans="9:9">
      <c r="I15795" s="2"/>
    </row>
    <row r="15796" spans="9:9">
      <c r="I15796" s="2"/>
    </row>
    <row r="15797" spans="9:9">
      <c r="I15797" s="2"/>
    </row>
    <row r="15798" spans="9:9">
      <c r="I15798" s="2"/>
    </row>
    <row r="15799" spans="9:9">
      <c r="I15799" s="2"/>
    </row>
    <row r="15800" spans="9:9">
      <c r="I15800" s="2"/>
    </row>
    <row r="15801" spans="9:9">
      <c r="I15801" s="2"/>
    </row>
    <row r="15802" spans="9:9">
      <c r="I15802" s="2"/>
    </row>
    <row r="15803" spans="9:9">
      <c r="I15803" s="2"/>
    </row>
    <row r="15804" spans="9:9">
      <c r="I15804" s="2"/>
    </row>
    <row r="15805" spans="9:9">
      <c r="I15805" s="2"/>
    </row>
    <row r="15806" spans="9:9">
      <c r="I15806" s="2"/>
    </row>
    <row r="15807" spans="9:9">
      <c r="I15807" s="2"/>
    </row>
    <row r="15808" spans="9:9">
      <c r="I15808" s="2"/>
    </row>
    <row r="15809" spans="9:9">
      <c r="I15809" s="2"/>
    </row>
    <row r="15810" spans="9:9">
      <c r="I15810" s="2"/>
    </row>
    <row r="15811" spans="9:9">
      <c r="I15811" s="2"/>
    </row>
    <row r="15812" spans="9:9">
      <c r="I15812" s="2"/>
    </row>
    <row r="15813" spans="9:9">
      <c r="I15813" s="2"/>
    </row>
    <row r="15814" spans="9:9">
      <c r="I15814" s="2"/>
    </row>
    <row r="15815" spans="9:9">
      <c r="I15815" s="2"/>
    </row>
    <row r="15816" spans="9:9">
      <c r="I15816" s="2"/>
    </row>
    <row r="15817" spans="9:9">
      <c r="I15817" s="2"/>
    </row>
    <row r="15818" spans="9:9">
      <c r="I15818" s="2"/>
    </row>
    <row r="15819" spans="9:9">
      <c r="I15819" s="2"/>
    </row>
    <row r="15820" spans="9:9">
      <c r="I15820" s="2"/>
    </row>
    <row r="15821" spans="9:9">
      <c r="I15821" s="2"/>
    </row>
    <row r="15822" spans="9:9">
      <c r="I15822" s="2"/>
    </row>
    <row r="15823" spans="9:9">
      <c r="I15823" s="2"/>
    </row>
    <row r="15824" spans="9:9">
      <c r="I15824" s="2"/>
    </row>
    <row r="15825" spans="9:9">
      <c r="I15825" s="2"/>
    </row>
    <row r="15826" spans="9:9">
      <c r="I15826" s="2"/>
    </row>
    <row r="15827" spans="9:9">
      <c r="I15827" s="2"/>
    </row>
    <row r="15828" spans="9:9">
      <c r="I15828" s="2"/>
    </row>
    <row r="15829" spans="9:9">
      <c r="I15829" s="2"/>
    </row>
    <row r="15830" spans="9:9">
      <c r="I15830" s="2"/>
    </row>
    <row r="15831" spans="9:9">
      <c r="I15831" s="2"/>
    </row>
    <row r="15832" spans="9:9">
      <c r="I15832" s="2"/>
    </row>
    <row r="15833" spans="9:9">
      <c r="I15833" s="2"/>
    </row>
    <row r="15834" spans="9:9">
      <c r="I15834" s="2"/>
    </row>
    <row r="15835" spans="9:9">
      <c r="I15835" s="2"/>
    </row>
    <row r="15836" spans="9:9">
      <c r="I15836" s="2"/>
    </row>
    <row r="15837" spans="9:9">
      <c r="I15837" s="2"/>
    </row>
    <row r="15838" spans="9:9">
      <c r="I15838" s="2"/>
    </row>
    <row r="15839" spans="9:9">
      <c r="I15839" s="2"/>
    </row>
    <row r="15840" spans="9:9">
      <c r="I15840" s="2"/>
    </row>
    <row r="15841" spans="9:9">
      <c r="I15841" s="2"/>
    </row>
    <row r="15842" spans="9:9">
      <c r="I15842" s="2"/>
    </row>
    <row r="15843" spans="9:9">
      <c r="I15843" s="2"/>
    </row>
    <row r="15844" spans="9:9">
      <c r="I15844" s="2"/>
    </row>
    <row r="15845" spans="9:9">
      <c r="I15845" s="2"/>
    </row>
    <row r="15846" spans="9:9">
      <c r="I15846" s="2"/>
    </row>
    <row r="15847" spans="9:9">
      <c r="I15847" s="2"/>
    </row>
    <row r="15848" spans="9:9">
      <c r="I15848" s="2"/>
    </row>
    <row r="15849" spans="9:9">
      <c r="I15849" s="2"/>
    </row>
    <row r="15850" spans="9:9">
      <c r="I15850" s="2"/>
    </row>
    <row r="15851" spans="9:9">
      <c r="I15851" s="2"/>
    </row>
    <row r="15852" spans="9:9">
      <c r="I15852" s="2"/>
    </row>
    <row r="15853" spans="9:9">
      <c r="I15853" s="2"/>
    </row>
    <row r="15854" spans="9:9">
      <c r="I15854" s="2"/>
    </row>
    <row r="15855" spans="9:9">
      <c r="I15855" s="2"/>
    </row>
    <row r="15856" spans="9:9">
      <c r="I15856" s="2"/>
    </row>
    <row r="15857" spans="9:9">
      <c r="I15857" s="2"/>
    </row>
    <row r="15858" spans="9:9">
      <c r="I15858" s="2"/>
    </row>
    <row r="15859" spans="9:9">
      <c r="I15859" s="2"/>
    </row>
    <row r="15860" spans="9:9">
      <c r="I15860" s="2"/>
    </row>
    <row r="15861" spans="9:9">
      <c r="I15861" s="2"/>
    </row>
    <row r="15862" spans="9:9">
      <c r="I15862" s="2"/>
    </row>
    <row r="15863" spans="9:9">
      <c r="I15863" s="2"/>
    </row>
    <row r="15864" spans="9:9">
      <c r="I15864" s="2"/>
    </row>
    <row r="15865" spans="9:9">
      <c r="I15865" s="2"/>
    </row>
    <row r="15866" spans="9:9">
      <c r="I15866" s="2"/>
    </row>
    <row r="15867" spans="9:9">
      <c r="I15867" s="2"/>
    </row>
    <row r="15868" spans="9:9">
      <c r="I15868" s="2"/>
    </row>
    <row r="15869" spans="9:9">
      <c r="I15869" s="2"/>
    </row>
    <row r="15870" spans="9:9">
      <c r="I15870" s="2"/>
    </row>
    <row r="15871" spans="9:9">
      <c r="I15871" s="2"/>
    </row>
    <row r="15872" spans="9:9">
      <c r="I15872" s="2"/>
    </row>
    <row r="15873" spans="9:9">
      <c r="I15873" s="2"/>
    </row>
    <row r="15874" spans="9:9">
      <c r="I15874" s="2"/>
    </row>
    <row r="15875" spans="9:9">
      <c r="I15875" s="2"/>
    </row>
    <row r="15876" spans="9:9">
      <c r="I15876" s="2"/>
    </row>
    <row r="15877" spans="9:9">
      <c r="I15877" s="2"/>
    </row>
    <row r="15878" spans="9:9">
      <c r="I15878" s="2"/>
    </row>
    <row r="15879" spans="9:9">
      <c r="I15879" s="2"/>
    </row>
    <row r="15880" spans="9:9">
      <c r="I15880" s="2"/>
    </row>
    <row r="15881" spans="9:9">
      <c r="I15881" s="2"/>
    </row>
    <row r="15882" spans="9:9">
      <c r="I15882" s="2"/>
    </row>
    <row r="15883" spans="9:9">
      <c r="I15883" s="2"/>
    </row>
    <row r="15884" spans="9:9">
      <c r="I15884" s="2"/>
    </row>
    <row r="15885" spans="9:9">
      <c r="I15885" s="2"/>
    </row>
    <row r="15886" spans="9:9">
      <c r="I15886" s="2"/>
    </row>
    <row r="15887" spans="9:9">
      <c r="I15887" s="2"/>
    </row>
    <row r="15888" spans="9:9">
      <c r="I15888" s="2"/>
    </row>
    <row r="15889" spans="9:9">
      <c r="I15889" s="2"/>
    </row>
    <row r="15890" spans="9:9">
      <c r="I15890" s="2"/>
    </row>
    <row r="15891" spans="9:9">
      <c r="I15891" s="2"/>
    </row>
    <row r="15892" spans="9:9">
      <c r="I15892" s="2"/>
    </row>
    <row r="15893" spans="9:9">
      <c r="I15893" s="2"/>
    </row>
    <row r="15894" spans="9:9">
      <c r="I15894" s="2"/>
    </row>
    <row r="15895" spans="9:9">
      <c r="I15895" s="2"/>
    </row>
    <row r="15896" spans="9:9">
      <c r="I15896" s="2"/>
    </row>
    <row r="15897" spans="9:9">
      <c r="I15897" s="2"/>
    </row>
    <row r="15898" spans="9:9">
      <c r="I15898" s="2"/>
    </row>
    <row r="15899" spans="9:9">
      <c r="I15899" s="2"/>
    </row>
    <row r="15900" spans="9:9">
      <c r="I15900" s="2"/>
    </row>
    <row r="15901" spans="9:9">
      <c r="I15901" s="2"/>
    </row>
    <row r="15902" spans="9:9">
      <c r="I15902" s="2"/>
    </row>
    <row r="15903" spans="9:9">
      <c r="I15903" s="2"/>
    </row>
    <row r="15904" spans="9:9">
      <c r="I15904" s="2"/>
    </row>
    <row r="15905" spans="9:9">
      <c r="I15905" s="2"/>
    </row>
    <row r="15906" spans="9:9">
      <c r="I15906" s="2"/>
    </row>
    <row r="15907" spans="9:9">
      <c r="I15907" s="2"/>
    </row>
    <row r="15908" spans="9:9">
      <c r="I15908" s="2"/>
    </row>
    <row r="15909" spans="9:9">
      <c r="I15909" s="2"/>
    </row>
    <row r="15910" spans="9:9">
      <c r="I15910" s="2"/>
    </row>
    <row r="15911" spans="9:9">
      <c r="I15911" s="2"/>
    </row>
    <row r="15912" spans="9:9">
      <c r="I15912" s="2"/>
    </row>
    <row r="15913" spans="9:9">
      <c r="I15913" s="2"/>
    </row>
    <row r="15914" spans="9:9">
      <c r="I15914" s="2"/>
    </row>
    <row r="15915" spans="9:9">
      <c r="I15915" s="2"/>
    </row>
    <row r="15916" spans="9:9">
      <c r="I15916" s="2"/>
    </row>
    <row r="15917" spans="9:9">
      <c r="I15917" s="2"/>
    </row>
    <row r="15918" spans="9:9">
      <c r="I15918" s="2"/>
    </row>
    <row r="15919" spans="9:9">
      <c r="I15919" s="2"/>
    </row>
    <row r="15920" spans="9:9">
      <c r="I15920" s="2"/>
    </row>
    <row r="15921" spans="9:9">
      <c r="I15921" s="2"/>
    </row>
    <row r="15922" spans="9:9">
      <c r="I15922" s="2"/>
    </row>
    <row r="15923" spans="9:9">
      <c r="I15923" s="2"/>
    </row>
    <row r="15924" spans="9:9">
      <c r="I15924" s="2"/>
    </row>
    <row r="15925" spans="9:9">
      <c r="I15925" s="2"/>
    </row>
    <row r="15926" spans="9:9">
      <c r="I15926" s="2"/>
    </row>
    <row r="15927" spans="9:9">
      <c r="I15927" s="2"/>
    </row>
    <row r="15928" spans="9:9">
      <c r="I15928" s="2"/>
    </row>
    <row r="15929" spans="9:9">
      <c r="I15929" s="2"/>
    </row>
    <row r="15930" spans="9:9">
      <c r="I15930" s="2"/>
    </row>
    <row r="15931" spans="9:9">
      <c r="I15931" s="2"/>
    </row>
    <row r="15932" spans="9:9">
      <c r="I15932" s="2"/>
    </row>
    <row r="15933" spans="9:9">
      <c r="I15933" s="2"/>
    </row>
    <row r="15934" spans="9:9">
      <c r="I15934" s="2"/>
    </row>
    <row r="15935" spans="9:9">
      <c r="I15935" s="2"/>
    </row>
    <row r="15936" spans="9:9">
      <c r="I15936" s="2"/>
    </row>
    <row r="15937" spans="9:9">
      <c r="I15937" s="2"/>
    </row>
    <row r="15938" spans="9:9">
      <c r="I15938" s="2"/>
    </row>
    <row r="15939" spans="9:9">
      <c r="I15939" s="2"/>
    </row>
    <row r="15940" spans="9:9">
      <c r="I15940" s="2"/>
    </row>
    <row r="15941" spans="9:9">
      <c r="I15941" s="2"/>
    </row>
    <row r="15942" spans="9:9">
      <c r="I15942" s="2"/>
    </row>
    <row r="15943" spans="9:9">
      <c r="I15943" s="2"/>
    </row>
    <row r="15944" spans="9:9">
      <c r="I15944" s="2"/>
    </row>
    <row r="15945" spans="9:9">
      <c r="I15945" s="2"/>
    </row>
    <row r="15946" spans="9:9">
      <c r="I15946" s="2"/>
    </row>
    <row r="15947" spans="9:9">
      <c r="I15947" s="2"/>
    </row>
    <row r="15948" spans="9:9">
      <c r="I15948" s="2"/>
    </row>
    <row r="15949" spans="9:9">
      <c r="I15949" s="2"/>
    </row>
    <row r="15950" spans="9:9">
      <c r="I15950" s="2"/>
    </row>
    <row r="15951" spans="9:9">
      <c r="I15951" s="2"/>
    </row>
    <row r="15952" spans="9:9">
      <c r="I15952" s="2"/>
    </row>
    <row r="15953" spans="9:9">
      <c r="I15953" s="2"/>
    </row>
    <row r="15954" spans="9:9">
      <c r="I15954" s="2"/>
    </row>
    <row r="15955" spans="9:9">
      <c r="I15955" s="2"/>
    </row>
    <row r="15956" spans="9:9">
      <c r="I15956" s="2"/>
    </row>
    <row r="15957" spans="9:9">
      <c r="I15957" s="2"/>
    </row>
    <row r="15958" spans="9:9">
      <c r="I15958" s="2"/>
    </row>
    <row r="15959" spans="9:9">
      <c r="I15959" s="2"/>
    </row>
    <row r="15960" spans="9:9">
      <c r="I15960" s="2"/>
    </row>
    <row r="15961" spans="9:9">
      <c r="I15961" s="2"/>
    </row>
    <row r="15962" spans="9:9">
      <c r="I15962" s="2"/>
    </row>
    <row r="15963" spans="9:9">
      <c r="I15963" s="2"/>
    </row>
    <row r="15964" spans="9:9">
      <c r="I15964" s="2"/>
    </row>
    <row r="15965" spans="9:9">
      <c r="I15965" s="2"/>
    </row>
    <row r="15966" spans="9:9">
      <c r="I15966" s="2"/>
    </row>
    <row r="15967" spans="9:9">
      <c r="I15967" s="2"/>
    </row>
    <row r="15968" spans="9:9">
      <c r="I15968" s="2"/>
    </row>
    <row r="15969" spans="9:9">
      <c r="I15969" s="2"/>
    </row>
    <row r="15970" spans="9:9">
      <c r="I15970" s="2"/>
    </row>
    <row r="15971" spans="9:9">
      <c r="I15971" s="2"/>
    </row>
    <row r="15972" spans="9:9">
      <c r="I15972" s="2"/>
    </row>
    <row r="15973" spans="9:9">
      <c r="I15973" s="2"/>
    </row>
    <row r="15974" spans="9:9">
      <c r="I15974" s="2"/>
    </row>
    <row r="15975" spans="9:9">
      <c r="I15975" s="2"/>
    </row>
    <row r="15976" spans="9:9">
      <c r="I15976" s="2"/>
    </row>
    <row r="15977" spans="9:9">
      <c r="I15977" s="2"/>
    </row>
    <row r="15978" spans="9:9">
      <c r="I15978" s="2"/>
    </row>
    <row r="15979" spans="9:9">
      <c r="I15979" s="2"/>
    </row>
    <row r="15980" spans="9:9">
      <c r="I15980" s="2"/>
    </row>
    <row r="15981" spans="9:9">
      <c r="I15981" s="2"/>
    </row>
    <row r="15982" spans="9:9">
      <c r="I15982" s="2"/>
    </row>
    <row r="15983" spans="9:9">
      <c r="I15983" s="2"/>
    </row>
    <row r="15984" spans="9:9">
      <c r="I15984" s="2"/>
    </row>
    <row r="15985" spans="9:9">
      <c r="I15985" s="2"/>
    </row>
    <row r="15986" spans="9:9">
      <c r="I15986" s="2"/>
    </row>
    <row r="15987" spans="9:9">
      <c r="I15987" s="2"/>
    </row>
    <row r="15988" spans="9:9">
      <c r="I15988" s="2"/>
    </row>
    <row r="15989" spans="9:9">
      <c r="I15989" s="2"/>
    </row>
    <row r="15990" spans="9:9">
      <c r="I15990" s="2"/>
    </row>
    <row r="15991" spans="9:9">
      <c r="I15991" s="2"/>
    </row>
    <row r="15992" spans="9:9">
      <c r="I15992" s="2"/>
    </row>
    <row r="15993" spans="9:9">
      <c r="I15993" s="2"/>
    </row>
    <row r="15994" spans="9:9">
      <c r="I15994" s="2"/>
    </row>
    <row r="15995" spans="9:9">
      <c r="I15995" s="2"/>
    </row>
    <row r="15996" spans="9:9">
      <c r="I15996" s="2"/>
    </row>
    <row r="15997" spans="9:9">
      <c r="I15997" s="2"/>
    </row>
    <row r="15998" spans="9:9">
      <c r="I15998" s="2"/>
    </row>
    <row r="15999" spans="9:9">
      <c r="I15999" s="2"/>
    </row>
    <row r="16000" spans="9:9">
      <c r="I16000" s="2"/>
    </row>
    <row r="16001" spans="9:9">
      <c r="I16001" s="2"/>
    </row>
    <row r="16002" spans="9:9">
      <c r="I16002" s="2"/>
    </row>
    <row r="16003" spans="9:9">
      <c r="I16003" s="2"/>
    </row>
    <row r="16004" spans="9:9">
      <c r="I16004" s="2"/>
    </row>
    <row r="16005" spans="9:9">
      <c r="I16005" s="2"/>
    </row>
    <row r="16006" spans="9:9">
      <c r="I16006" s="2"/>
    </row>
    <row r="16007" spans="9:9">
      <c r="I16007" s="2"/>
    </row>
    <row r="16008" spans="9:9">
      <c r="I16008" s="2"/>
    </row>
    <row r="16009" spans="9:9">
      <c r="I16009" s="2"/>
    </row>
    <row r="16010" spans="9:9">
      <c r="I16010" s="2"/>
    </row>
    <row r="16011" spans="9:9">
      <c r="I16011" s="2"/>
    </row>
    <row r="16012" spans="9:9">
      <c r="I16012" s="2"/>
    </row>
    <row r="16013" spans="9:9">
      <c r="I16013" s="2"/>
    </row>
    <row r="16014" spans="9:9">
      <c r="I16014" s="2"/>
    </row>
    <row r="16015" spans="9:9">
      <c r="I16015" s="2"/>
    </row>
    <row r="16016" spans="9:9">
      <c r="I16016" s="2"/>
    </row>
    <row r="16017" spans="9:9">
      <c r="I16017" s="2"/>
    </row>
    <row r="16018" spans="9:9">
      <c r="I16018" s="2"/>
    </row>
    <row r="16019" spans="9:9">
      <c r="I16019" s="2"/>
    </row>
    <row r="16020" spans="9:9">
      <c r="I16020" s="2"/>
    </row>
    <row r="16021" spans="9:9">
      <c r="I16021" s="2"/>
    </row>
    <row r="16022" spans="9:9">
      <c r="I16022" s="2"/>
    </row>
    <row r="16023" spans="9:9">
      <c r="I16023" s="2"/>
    </row>
    <row r="16024" spans="9:9">
      <c r="I16024" s="2"/>
    </row>
    <row r="16025" spans="9:9">
      <c r="I16025" s="2"/>
    </row>
    <row r="16026" spans="9:9">
      <c r="I16026" s="2"/>
    </row>
    <row r="16027" spans="9:9">
      <c r="I16027" s="2"/>
    </row>
    <row r="16028" spans="9:9">
      <c r="I16028" s="2"/>
    </row>
    <row r="16029" spans="9:9">
      <c r="I16029" s="2"/>
    </row>
    <row r="16030" spans="9:9">
      <c r="I16030" s="2"/>
    </row>
    <row r="16031" spans="9:9">
      <c r="I16031" s="2"/>
    </row>
    <row r="16032" spans="9:9">
      <c r="I16032" s="2"/>
    </row>
    <row r="16033" spans="9:9">
      <c r="I16033" s="2"/>
    </row>
    <row r="16034" spans="9:9">
      <c r="I16034" s="2"/>
    </row>
    <row r="16035" spans="9:9">
      <c r="I16035" s="2"/>
    </row>
    <row r="16036" spans="9:9">
      <c r="I16036" s="2"/>
    </row>
    <row r="16037" spans="9:9">
      <c r="I16037" s="2"/>
    </row>
    <row r="16038" spans="9:9">
      <c r="I16038" s="2"/>
    </row>
    <row r="16039" spans="9:9">
      <c r="I16039" s="2"/>
    </row>
    <row r="16040" spans="9:9">
      <c r="I16040" s="2"/>
    </row>
    <row r="16041" spans="9:9">
      <c r="I16041" s="2"/>
    </row>
    <row r="16042" spans="9:9">
      <c r="I16042" s="2"/>
    </row>
    <row r="16043" spans="9:9">
      <c r="I16043" s="2"/>
    </row>
    <row r="16044" spans="9:9">
      <c r="I16044" s="2"/>
    </row>
    <row r="16045" spans="9:9">
      <c r="I16045" s="2"/>
    </row>
    <row r="16046" spans="9:9">
      <c r="I16046" s="2"/>
    </row>
    <row r="16047" spans="9:9">
      <c r="I16047" s="2"/>
    </row>
    <row r="16048" spans="9:9">
      <c r="I16048" s="2"/>
    </row>
    <row r="16049" spans="9:9">
      <c r="I16049" s="2"/>
    </row>
    <row r="16050" spans="9:9">
      <c r="I16050" s="2"/>
    </row>
    <row r="16051" spans="9:9">
      <c r="I16051" s="2"/>
    </row>
    <row r="16052" spans="9:9">
      <c r="I16052" s="2"/>
    </row>
    <row r="16053" spans="9:9">
      <c r="I16053" s="2"/>
    </row>
    <row r="16054" spans="9:9">
      <c r="I16054" s="2"/>
    </row>
    <row r="16055" spans="9:9">
      <c r="I16055" s="2"/>
    </row>
    <row r="16056" spans="9:9">
      <c r="I16056" s="2"/>
    </row>
    <row r="16057" spans="9:9">
      <c r="I16057" s="2"/>
    </row>
    <row r="16058" spans="9:9">
      <c r="I16058" s="2"/>
    </row>
    <row r="16059" spans="9:9">
      <c r="I16059" s="2"/>
    </row>
    <row r="16060" spans="9:9">
      <c r="I16060" s="2"/>
    </row>
    <row r="16061" spans="9:9">
      <c r="I16061" s="2"/>
    </row>
    <row r="16062" spans="9:9">
      <c r="I16062" s="2"/>
    </row>
    <row r="16063" spans="9:9">
      <c r="I16063" s="2"/>
    </row>
    <row r="16064" spans="9:9">
      <c r="I16064" s="2"/>
    </row>
    <row r="16065" spans="9:9">
      <c r="I16065" s="2"/>
    </row>
    <row r="16066" spans="9:9">
      <c r="I16066" s="2"/>
    </row>
    <row r="16067" spans="9:9">
      <c r="I16067" s="2"/>
    </row>
    <row r="16068" spans="9:9">
      <c r="I16068" s="2"/>
    </row>
    <row r="16069" spans="9:9">
      <c r="I16069" s="2"/>
    </row>
    <row r="16070" spans="9:9">
      <c r="I16070" s="2"/>
    </row>
    <row r="16071" spans="9:9">
      <c r="I16071" s="2"/>
    </row>
    <row r="16072" spans="9:9">
      <c r="I16072" s="2"/>
    </row>
    <row r="16073" spans="9:9">
      <c r="I16073" s="2"/>
    </row>
    <row r="16074" spans="9:9">
      <c r="I16074" s="2"/>
    </row>
    <row r="16075" spans="9:9">
      <c r="I16075" s="2"/>
    </row>
    <row r="16076" spans="9:9">
      <c r="I16076" s="2"/>
    </row>
    <row r="16077" spans="9:9">
      <c r="I16077" s="2"/>
    </row>
    <row r="16078" spans="9:9">
      <c r="I16078" s="2"/>
    </row>
    <row r="16079" spans="9:9">
      <c r="I16079" s="2"/>
    </row>
    <row r="16080" spans="9:9">
      <c r="I16080" s="2"/>
    </row>
    <row r="16081" spans="9:9">
      <c r="I16081" s="2"/>
    </row>
    <row r="16082" spans="9:9">
      <c r="I16082" s="2"/>
    </row>
    <row r="16083" spans="9:9">
      <c r="I16083" s="2"/>
    </row>
    <row r="16084" spans="9:9">
      <c r="I16084" s="2"/>
    </row>
    <row r="16085" spans="9:9">
      <c r="I16085" s="2"/>
    </row>
    <row r="16086" spans="9:9">
      <c r="I16086" s="2"/>
    </row>
    <row r="16087" spans="9:9">
      <c r="I16087" s="2"/>
    </row>
    <row r="16088" spans="9:9">
      <c r="I16088" s="2"/>
    </row>
    <row r="16089" spans="9:9">
      <c r="I16089" s="2"/>
    </row>
    <row r="16090" spans="9:9">
      <c r="I16090" s="2"/>
    </row>
    <row r="16091" spans="9:9">
      <c r="I16091" s="2"/>
    </row>
    <row r="16092" spans="9:9">
      <c r="I16092" s="2"/>
    </row>
    <row r="16093" spans="9:9">
      <c r="I16093" s="2"/>
    </row>
    <row r="16094" spans="9:9">
      <c r="I16094" s="2"/>
    </row>
    <row r="16095" spans="9:9">
      <c r="I16095" s="2"/>
    </row>
    <row r="16096" spans="9:9">
      <c r="I16096" s="2"/>
    </row>
    <row r="16097" spans="9:9">
      <c r="I16097" s="2"/>
    </row>
    <row r="16098" spans="9:9">
      <c r="I16098" s="2"/>
    </row>
    <row r="16099" spans="9:9">
      <c r="I16099" s="2"/>
    </row>
    <row r="16100" spans="9:9">
      <c r="I16100" s="2"/>
    </row>
    <row r="16101" spans="9:9">
      <c r="I16101" s="2"/>
    </row>
    <row r="16102" spans="9:9">
      <c r="I16102" s="2"/>
    </row>
    <row r="16103" spans="9:9">
      <c r="I16103" s="2"/>
    </row>
    <row r="16104" spans="9:9">
      <c r="I16104" s="2"/>
    </row>
    <row r="16105" spans="9:9">
      <c r="I16105" s="2"/>
    </row>
    <row r="16106" spans="9:9">
      <c r="I16106" s="2"/>
    </row>
    <row r="16107" spans="9:9">
      <c r="I16107" s="2"/>
    </row>
    <row r="16108" spans="9:9">
      <c r="I16108" s="2"/>
    </row>
    <row r="16109" spans="9:9">
      <c r="I16109" s="2"/>
    </row>
    <row r="16110" spans="9:9">
      <c r="I16110" s="2"/>
    </row>
    <row r="16111" spans="9:9">
      <c r="I16111" s="2"/>
    </row>
    <row r="16112" spans="9:9">
      <c r="I16112" s="2"/>
    </row>
    <row r="16113" spans="9:9">
      <c r="I16113" s="2"/>
    </row>
    <row r="16114" spans="9:9">
      <c r="I16114" s="2"/>
    </row>
    <row r="16115" spans="9:9">
      <c r="I16115" s="2"/>
    </row>
    <row r="16116" spans="9:9">
      <c r="I16116" s="2"/>
    </row>
    <row r="16117" spans="9:9">
      <c r="I16117" s="2"/>
    </row>
    <row r="16118" spans="9:9">
      <c r="I16118" s="2"/>
    </row>
    <row r="16119" spans="9:9">
      <c r="I16119" s="2"/>
    </row>
    <row r="16120" spans="9:9">
      <c r="I16120" s="2"/>
    </row>
    <row r="16121" spans="9:9">
      <c r="I16121" s="2"/>
    </row>
    <row r="16122" spans="9:9">
      <c r="I16122" s="2"/>
    </row>
    <row r="16123" spans="9:9">
      <c r="I16123" s="2"/>
    </row>
    <row r="16124" spans="9:9">
      <c r="I16124" s="2"/>
    </row>
    <row r="16125" spans="9:9">
      <c r="I16125" s="2"/>
    </row>
    <row r="16126" spans="9:9">
      <c r="I16126" s="2"/>
    </row>
    <row r="16127" spans="9:9">
      <c r="I16127" s="2"/>
    </row>
    <row r="16128" spans="9:9">
      <c r="I16128" s="2"/>
    </row>
    <row r="16129" spans="9:9">
      <c r="I16129" s="2"/>
    </row>
    <row r="16130" spans="9:9">
      <c r="I16130" s="2"/>
    </row>
    <row r="16131" spans="9:9">
      <c r="I16131" s="2"/>
    </row>
    <row r="16132" spans="9:9">
      <c r="I16132" s="2"/>
    </row>
    <row r="16133" spans="9:9">
      <c r="I16133" s="2"/>
    </row>
    <row r="16134" spans="9:9">
      <c r="I16134" s="2"/>
    </row>
    <row r="16135" spans="9:9">
      <c r="I16135" s="2"/>
    </row>
    <row r="16136" spans="9:9">
      <c r="I16136" s="2"/>
    </row>
    <row r="16137" spans="9:9">
      <c r="I16137" s="2"/>
    </row>
    <row r="16138" spans="9:9">
      <c r="I16138" s="2"/>
    </row>
    <row r="16139" spans="9:9">
      <c r="I16139" s="2"/>
    </row>
    <row r="16140" spans="9:9">
      <c r="I16140" s="2"/>
    </row>
    <row r="16141" spans="9:9">
      <c r="I16141" s="2"/>
    </row>
    <row r="16142" spans="9:9">
      <c r="I16142" s="2"/>
    </row>
    <row r="16143" spans="9:9">
      <c r="I16143" s="2"/>
    </row>
    <row r="16144" spans="9:9">
      <c r="I16144" s="2"/>
    </row>
    <row r="16145" spans="9:9">
      <c r="I16145" s="2"/>
    </row>
    <row r="16146" spans="9:9">
      <c r="I16146" s="2"/>
    </row>
    <row r="16147" spans="9:9">
      <c r="I16147" s="2"/>
    </row>
    <row r="16148" spans="9:9">
      <c r="I16148" s="2"/>
    </row>
    <row r="16149" spans="9:9">
      <c r="I16149" s="2"/>
    </row>
    <row r="16150" spans="9:9">
      <c r="I16150" s="2"/>
    </row>
    <row r="16151" spans="9:9">
      <c r="I16151" s="2"/>
    </row>
    <row r="16152" spans="9:9">
      <c r="I16152" s="2"/>
    </row>
    <row r="16153" spans="9:9">
      <c r="I16153" s="2"/>
    </row>
    <row r="16154" spans="9:9">
      <c r="I16154" s="2"/>
    </row>
    <row r="16155" spans="9:9">
      <c r="I16155" s="2"/>
    </row>
    <row r="16156" spans="9:9">
      <c r="I16156" s="2"/>
    </row>
    <row r="16157" spans="9:9">
      <c r="I16157" s="2"/>
    </row>
    <row r="16158" spans="9:9">
      <c r="I16158" s="2"/>
    </row>
    <row r="16159" spans="9:9">
      <c r="I16159" s="2"/>
    </row>
    <row r="16160" spans="9:9">
      <c r="I16160" s="2"/>
    </row>
    <row r="16161" spans="9:9">
      <c r="I16161" s="2"/>
    </row>
    <row r="16162" spans="9:9">
      <c r="I16162" s="2"/>
    </row>
    <row r="16163" spans="9:9">
      <c r="I16163" s="2"/>
    </row>
    <row r="16164" spans="9:9">
      <c r="I16164" s="2"/>
    </row>
    <row r="16165" spans="9:9">
      <c r="I16165" s="2"/>
    </row>
    <row r="16166" spans="9:9">
      <c r="I16166" s="2"/>
    </row>
    <row r="16167" spans="9:9">
      <c r="I16167" s="2"/>
    </row>
    <row r="16168" spans="9:9">
      <c r="I16168" s="2"/>
    </row>
    <row r="16169" spans="9:9">
      <c r="I16169" s="2"/>
    </row>
    <row r="16170" spans="9:9">
      <c r="I16170" s="2"/>
    </row>
    <row r="16171" spans="9:9">
      <c r="I16171" s="2"/>
    </row>
    <row r="16172" spans="9:9">
      <c r="I16172" s="2"/>
    </row>
    <row r="16173" spans="9:9">
      <c r="I16173" s="2"/>
    </row>
    <row r="16174" spans="9:9">
      <c r="I16174" s="2"/>
    </row>
    <row r="16175" spans="9:9">
      <c r="I16175" s="2"/>
    </row>
    <row r="16176" spans="9:9">
      <c r="I16176" s="2"/>
    </row>
    <row r="16177" spans="9:9">
      <c r="I16177" s="2"/>
    </row>
    <row r="16178" spans="9:9">
      <c r="I16178" s="2"/>
    </row>
    <row r="16179" spans="9:9">
      <c r="I16179" s="2"/>
    </row>
    <row r="16180" spans="9:9">
      <c r="I16180" s="2"/>
    </row>
    <row r="16181" spans="9:9">
      <c r="I16181" s="2"/>
    </row>
    <row r="16182" spans="9:9">
      <c r="I16182" s="2"/>
    </row>
    <row r="16183" spans="9:9">
      <c r="I16183" s="2"/>
    </row>
    <row r="16184" spans="9:9">
      <c r="I16184" s="2"/>
    </row>
    <row r="16185" spans="9:9">
      <c r="I16185" s="2"/>
    </row>
    <row r="16186" spans="9:9">
      <c r="I16186" s="2"/>
    </row>
    <row r="16187" spans="9:9">
      <c r="I16187" s="2"/>
    </row>
    <row r="16188" spans="9:9">
      <c r="I16188" s="2"/>
    </row>
    <row r="16189" spans="9:9">
      <c r="I16189" s="2"/>
    </row>
    <row r="16190" spans="9:9">
      <c r="I16190" s="2"/>
    </row>
    <row r="16191" spans="9:9">
      <c r="I16191" s="2"/>
    </row>
    <row r="16192" spans="9:9">
      <c r="I16192" s="2"/>
    </row>
    <row r="16193" spans="9:9">
      <c r="I16193" s="2"/>
    </row>
    <row r="16194" spans="9:9">
      <c r="I16194" s="2"/>
    </row>
    <row r="16195" spans="9:9">
      <c r="I16195" s="2"/>
    </row>
    <row r="16196" spans="9:9">
      <c r="I16196" s="2"/>
    </row>
    <row r="16197" spans="9:9">
      <c r="I16197" s="2"/>
    </row>
    <row r="16198" spans="9:9">
      <c r="I16198" s="2"/>
    </row>
    <row r="16199" spans="9:9">
      <c r="I16199" s="2"/>
    </row>
    <row r="16200" spans="9:9">
      <c r="I16200" s="2"/>
    </row>
    <row r="16201" spans="9:9">
      <c r="I16201" s="2"/>
    </row>
    <row r="16202" spans="9:9">
      <c r="I16202" s="2"/>
    </row>
    <row r="16203" spans="9:9">
      <c r="I16203" s="2"/>
    </row>
    <row r="16204" spans="9:9">
      <c r="I16204" s="2"/>
    </row>
    <row r="16205" spans="9:9">
      <c r="I16205" s="2"/>
    </row>
    <row r="16206" spans="9:9">
      <c r="I16206" s="2"/>
    </row>
    <row r="16207" spans="9:9">
      <c r="I16207" s="2"/>
    </row>
    <row r="16208" spans="9:9">
      <c r="I16208" s="2"/>
    </row>
    <row r="16209" spans="9:9">
      <c r="I16209" s="2"/>
    </row>
    <row r="16210" spans="9:9">
      <c r="I16210" s="2"/>
    </row>
    <row r="16211" spans="9:9">
      <c r="I16211" s="2"/>
    </row>
    <row r="16212" spans="9:9">
      <c r="I16212" s="2"/>
    </row>
    <row r="16213" spans="9:9">
      <c r="I16213" s="2"/>
    </row>
    <row r="16214" spans="9:9">
      <c r="I16214" s="2"/>
    </row>
    <row r="16215" spans="9:9">
      <c r="I16215" s="2"/>
    </row>
    <row r="16216" spans="9:9">
      <c r="I16216" s="2"/>
    </row>
    <row r="16217" spans="9:9">
      <c r="I16217" s="2"/>
    </row>
    <row r="16218" spans="9:9">
      <c r="I16218" s="2"/>
    </row>
    <row r="16219" spans="9:9">
      <c r="I16219" s="2"/>
    </row>
    <row r="16220" spans="9:9">
      <c r="I16220" s="2"/>
    </row>
    <row r="16221" spans="9:9">
      <c r="I16221" s="2"/>
    </row>
    <row r="16222" spans="9:9">
      <c r="I16222" s="2"/>
    </row>
    <row r="16223" spans="9:9">
      <c r="I16223" s="2"/>
    </row>
    <row r="16224" spans="9:9">
      <c r="I16224" s="2"/>
    </row>
    <row r="16225" spans="9:9">
      <c r="I16225" s="2"/>
    </row>
    <row r="16226" spans="9:9">
      <c r="I16226" s="2"/>
    </row>
    <row r="16227" spans="9:9">
      <c r="I16227" s="2"/>
    </row>
    <row r="16228" spans="9:9">
      <c r="I16228" s="2"/>
    </row>
    <row r="16229" spans="9:9">
      <c r="I16229" s="2"/>
    </row>
    <row r="16230" spans="9:9">
      <c r="I16230" s="2"/>
    </row>
    <row r="16231" spans="9:9">
      <c r="I16231" s="2"/>
    </row>
    <row r="16232" spans="9:9">
      <c r="I16232" s="2"/>
    </row>
    <row r="16233" spans="9:9">
      <c r="I16233" s="2"/>
    </row>
    <row r="16234" spans="9:9">
      <c r="I16234" s="2"/>
    </row>
    <row r="16235" spans="9:9">
      <c r="I16235" s="2"/>
    </row>
    <row r="16236" spans="9:9">
      <c r="I16236" s="2"/>
    </row>
    <row r="16237" spans="9:9">
      <c r="I16237" s="2"/>
    </row>
    <row r="16238" spans="9:9">
      <c r="I16238" s="2"/>
    </row>
    <row r="16239" spans="9:9">
      <c r="I16239" s="2"/>
    </row>
    <row r="16240" spans="9:9">
      <c r="I16240" s="2"/>
    </row>
    <row r="16241" spans="9:9">
      <c r="I16241" s="2"/>
    </row>
    <row r="16242" spans="9:9">
      <c r="I16242" s="2"/>
    </row>
    <row r="16243" spans="9:9">
      <c r="I16243" s="2"/>
    </row>
    <row r="16244" spans="9:9">
      <c r="I16244" s="2"/>
    </row>
    <row r="16245" spans="9:9">
      <c r="I16245" s="2"/>
    </row>
    <row r="16246" spans="9:9">
      <c r="I16246" s="2"/>
    </row>
    <row r="16247" spans="9:9">
      <c r="I16247" s="2"/>
    </row>
    <row r="16248" spans="9:9">
      <c r="I16248" s="2"/>
    </row>
    <row r="16249" spans="9:9">
      <c r="I16249" s="2"/>
    </row>
    <row r="16250" spans="9:9">
      <c r="I16250" s="2"/>
    </row>
    <row r="16251" spans="9:9">
      <c r="I16251" s="2"/>
    </row>
    <row r="16252" spans="9:9">
      <c r="I16252" s="2"/>
    </row>
    <row r="16253" spans="9:9">
      <c r="I16253" s="2"/>
    </row>
    <row r="16254" spans="9:9">
      <c r="I16254" s="2"/>
    </row>
    <row r="16255" spans="9:9">
      <c r="I16255" s="2"/>
    </row>
    <row r="16256" spans="9:9">
      <c r="I16256" s="2"/>
    </row>
    <row r="16257" spans="9:9">
      <c r="I16257" s="2"/>
    </row>
    <row r="16258" spans="9:9">
      <c r="I16258" s="2"/>
    </row>
    <row r="16259" spans="9:9">
      <c r="I16259" s="2"/>
    </row>
    <row r="16260" spans="9:9">
      <c r="I16260" s="2"/>
    </row>
    <row r="16261" spans="9:9">
      <c r="I16261" s="2"/>
    </row>
    <row r="16262" spans="9:9">
      <c r="I16262" s="2"/>
    </row>
    <row r="16263" spans="9:9">
      <c r="I16263" s="2"/>
    </row>
    <row r="16264" spans="9:9">
      <c r="I16264" s="2"/>
    </row>
    <row r="16265" spans="9:9">
      <c r="I16265" s="2"/>
    </row>
    <row r="16266" spans="9:9">
      <c r="I16266" s="2"/>
    </row>
    <row r="16267" spans="9:9">
      <c r="I16267" s="2"/>
    </row>
    <row r="16268" spans="9:9">
      <c r="I16268" s="2"/>
    </row>
    <row r="16269" spans="9:9">
      <c r="I16269" s="2"/>
    </row>
    <row r="16270" spans="9:9">
      <c r="I16270" s="2"/>
    </row>
    <row r="16271" spans="9:9">
      <c r="I16271" s="2"/>
    </row>
    <row r="16272" spans="9:9">
      <c r="I16272" s="2"/>
    </row>
    <row r="16273" spans="9:9">
      <c r="I16273" s="2"/>
    </row>
    <row r="16274" spans="9:9">
      <c r="I16274" s="2"/>
    </row>
    <row r="16275" spans="9:9">
      <c r="I16275" s="2"/>
    </row>
    <row r="16276" spans="9:9">
      <c r="I16276" s="2"/>
    </row>
    <row r="16277" spans="9:9">
      <c r="I16277" s="2"/>
    </row>
    <row r="16278" spans="9:9">
      <c r="I16278" s="2"/>
    </row>
    <row r="16279" spans="9:9">
      <c r="I16279" s="2"/>
    </row>
    <row r="16280" spans="9:9">
      <c r="I16280" s="2"/>
    </row>
    <row r="16281" spans="9:9">
      <c r="I16281" s="2"/>
    </row>
    <row r="16282" spans="9:9">
      <c r="I16282" s="2"/>
    </row>
    <row r="16283" spans="9:9">
      <c r="I16283" s="2"/>
    </row>
    <row r="16284" spans="9:9">
      <c r="I16284" s="2"/>
    </row>
    <row r="16285" spans="9:9">
      <c r="I16285" s="2"/>
    </row>
    <row r="16286" spans="9:9">
      <c r="I16286" s="2"/>
    </row>
    <row r="16287" spans="9:9">
      <c r="I16287" s="2"/>
    </row>
    <row r="16288" spans="9:9">
      <c r="I16288" s="2"/>
    </row>
    <row r="16289" spans="9:9">
      <c r="I16289" s="2"/>
    </row>
    <row r="16290" spans="9:9">
      <c r="I16290" s="2"/>
    </row>
    <row r="16291" spans="9:9">
      <c r="I16291" s="2"/>
    </row>
    <row r="16292" spans="9:9">
      <c r="I16292" s="2"/>
    </row>
    <row r="16293" spans="9:9">
      <c r="I16293" s="2"/>
    </row>
    <row r="16294" spans="9:9">
      <c r="I16294" s="2"/>
    </row>
    <row r="16295" spans="9:9">
      <c r="I16295" s="2"/>
    </row>
    <row r="16296" spans="9:9">
      <c r="I16296" s="2"/>
    </row>
    <row r="16297" spans="9:9">
      <c r="I16297" s="2"/>
    </row>
    <row r="16298" spans="9:9">
      <c r="I16298" s="2"/>
    </row>
    <row r="16299" spans="9:9">
      <c r="I16299" s="2"/>
    </row>
    <row r="16300" spans="9:9">
      <c r="I16300" s="2"/>
    </row>
    <row r="16301" spans="9:9">
      <c r="I16301" s="2"/>
    </row>
    <row r="16302" spans="9:9">
      <c r="I16302" s="2"/>
    </row>
    <row r="16303" spans="9:9">
      <c r="I16303" s="2"/>
    </row>
    <row r="16304" spans="9:9">
      <c r="I16304" s="2"/>
    </row>
    <row r="16305" spans="9:9">
      <c r="I16305" s="2"/>
    </row>
    <row r="16306" spans="9:9">
      <c r="I16306" s="2"/>
    </row>
    <row r="16307" spans="9:9">
      <c r="I16307" s="2"/>
    </row>
    <row r="16308" spans="9:9">
      <c r="I16308" s="2"/>
    </row>
    <row r="16309" spans="9:9">
      <c r="I16309" s="2"/>
    </row>
    <row r="16310" spans="9:9">
      <c r="I16310" s="2"/>
    </row>
    <row r="16311" spans="9:9">
      <c r="I16311" s="2"/>
    </row>
    <row r="16312" spans="9:9">
      <c r="I16312" s="2"/>
    </row>
    <row r="16313" spans="9:9">
      <c r="I16313" s="2"/>
    </row>
    <row r="16314" spans="9:9">
      <c r="I16314" s="2"/>
    </row>
    <row r="16315" spans="9:9">
      <c r="I16315" s="2"/>
    </row>
    <row r="16316" spans="9:9">
      <c r="I16316" s="2"/>
    </row>
    <row r="16317" spans="9:9">
      <c r="I16317" s="2"/>
    </row>
    <row r="16318" spans="9:9">
      <c r="I16318" s="2"/>
    </row>
    <row r="16319" spans="9:9">
      <c r="I16319" s="2"/>
    </row>
    <row r="16320" spans="9:9">
      <c r="I16320" s="2"/>
    </row>
    <row r="16321" spans="9:9">
      <c r="I16321" s="2"/>
    </row>
    <row r="16322" spans="9:9">
      <c r="I16322" s="2"/>
    </row>
    <row r="16323" spans="9:9">
      <c r="I16323" s="2"/>
    </row>
    <row r="16324" spans="9:9">
      <c r="I16324" s="2"/>
    </row>
    <row r="16325" spans="9:9">
      <c r="I16325" s="2"/>
    </row>
    <row r="16326" spans="9:9">
      <c r="I16326" s="2"/>
    </row>
    <row r="16327" spans="9:9">
      <c r="I16327" s="2"/>
    </row>
    <row r="16328" spans="9:9">
      <c r="I16328" s="2"/>
    </row>
    <row r="16329" spans="9:9">
      <c r="I16329" s="2"/>
    </row>
    <row r="16330" spans="9:9">
      <c r="I16330" s="2"/>
    </row>
    <row r="16331" spans="9:9">
      <c r="I16331" s="2"/>
    </row>
    <row r="16332" spans="9:9">
      <c r="I16332" s="2"/>
    </row>
    <row r="16333" spans="9:9">
      <c r="I16333" s="2"/>
    </row>
    <row r="16334" spans="9:9">
      <c r="I16334" s="2"/>
    </row>
    <row r="16335" spans="9:9">
      <c r="I16335" s="2"/>
    </row>
    <row r="16336" spans="9:9">
      <c r="I16336" s="2"/>
    </row>
    <row r="16337" spans="9:9">
      <c r="I16337" s="2"/>
    </row>
    <row r="16338" spans="9:9">
      <c r="I16338" s="2"/>
    </row>
    <row r="16339" spans="9:9">
      <c r="I16339" s="2"/>
    </row>
    <row r="16340" spans="9:9">
      <c r="I16340" s="2"/>
    </row>
    <row r="16341" spans="9:9">
      <c r="I16341" s="2"/>
    </row>
    <row r="16342" spans="9:9">
      <c r="I16342" s="2"/>
    </row>
    <row r="16343" spans="9:9">
      <c r="I16343" s="2"/>
    </row>
    <row r="16344" spans="9:9">
      <c r="I16344" s="2"/>
    </row>
    <row r="16345" spans="9:9">
      <c r="I16345" s="2"/>
    </row>
    <row r="16346" spans="9:9">
      <c r="I16346" s="2"/>
    </row>
    <row r="16347" spans="9:9">
      <c r="I16347" s="2"/>
    </row>
    <row r="16348" spans="9:9">
      <c r="I16348" s="2"/>
    </row>
    <row r="16349" spans="9:9">
      <c r="I16349" s="2"/>
    </row>
    <row r="16350" spans="9:9">
      <c r="I16350" s="2"/>
    </row>
    <row r="16351" spans="9:9">
      <c r="I16351" s="2"/>
    </row>
    <row r="16352" spans="9:9">
      <c r="I16352" s="2"/>
    </row>
    <row r="16353" spans="9:9">
      <c r="I16353" s="2"/>
    </row>
    <row r="16354" spans="9:9">
      <c r="I16354" s="2"/>
    </row>
    <row r="16355" spans="9:9">
      <c r="I16355" s="2"/>
    </row>
    <row r="16356" spans="9:9">
      <c r="I16356" s="2"/>
    </row>
    <row r="16357" spans="9:9">
      <c r="I16357" s="2"/>
    </row>
    <row r="16358" spans="9:9">
      <c r="I16358" s="2"/>
    </row>
    <row r="16359" spans="9:9">
      <c r="I16359" s="2"/>
    </row>
    <row r="16360" spans="9:9">
      <c r="I16360" s="2"/>
    </row>
    <row r="16361" spans="9:9">
      <c r="I16361" s="2"/>
    </row>
    <row r="16362" spans="9:9">
      <c r="I16362" s="2"/>
    </row>
    <row r="16363" spans="9:9">
      <c r="I16363" s="2"/>
    </row>
    <row r="16364" spans="9:9">
      <c r="I16364" s="2"/>
    </row>
    <row r="16365" spans="9:9">
      <c r="I16365" s="2"/>
    </row>
    <row r="16366" spans="9:9">
      <c r="I16366" s="2"/>
    </row>
    <row r="16367" spans="9:9">
      <c r="I16367" s="2"/>
    </row>
    <row r="16368" spans="9:9">
      <c r="I16368" s="2"/>
    </row>
    <row r="16369" spans="9:9">
      <c r="I16369" s="2"/>
    </row>
    <row r="16370" spans="9:9">
      <c r="I16370" s="2"/>
    </row>
    <row r="16371" spans="9:9">
      <c r="I16371" s="2"/>
    </row>
    <row r="16372" spans="9:9">
      <c r="I16372" s="2"/>
    </row>
    <row r="16373" spans="9:9">
      <c r="I16373" s="2"/>
    </row>
    <row r="16374" spans="9:9">
      <c r="I16374" s="2"/>
    </row>
    <row r="16375" spans="9:9">
      <c r="I16375" s="2"/>
    </row>
    <row r="16376" spans="9:9">
      <c r="I16376" s="2"/>
    </row>
    <row r="16377" spans="9:9">
      <c r="I16377" s="2"/>
    </row>
    <row r="16378" spans="9:9">
      <c r="I16378" s="2"/>
    </row>
    <row r="16379" spans="9:9">
      <c r="I16379" s="2"/>
    </row>
    <row r="16380" spans="9:9">
      <c r="I16380" s="2"/>
    </row>
    <row r="16381" spans="9:9">
      <c r="I16381" s="2"/>
    </row>
    <row r="16382" spans="9:9">
      <c r="I16382" s="2"/>
    </row>
    <row r="16383" spans="9:9">
      <c r="I16383" s="2"/>
    </row>
    <row r="16384" spans="9:9">
      <c r="I16384" s="2"/>
    </row>
    <row r="16385" spans="9:9">
      <c r="I16385" s="2"/>
    </row>
    <row r="16386" spans="9:9">
      <c r="I16386" s="2"/>
    </row>
    <row r="16387" spans="9:9">
      <c r="I16387" s="2"/>
    </row>
    <row r="16388" spans="9:9">
      <c r="I16388" s="2"/>
    </row>
    <row r="16389" spans="9:9">
      <c r="I16389" s="2"/>
    </row>
    <row r="16390" spans="9:9">
      <c r="I16390" s="2"/>
    </row>
    <row r="16391" spans="9:9">
      <c r="I16391" s="2"/>
    </row>
    <row r="16392" spans="9:9">
      <c r="I16392" s="2"/>
    </row>
    <row r="16393" spans="9:9">
      <c r="I16393" s="2"/>
    </row>
    <row r="16394" spans="9:9">
      <c r="I16394" s="2"/>
    </row>
    <row r="16395" spans="9:9">
      <c r="I16395" s="2"/>
    </row>
    <row r="16396" spans="9:9">
      <c r="I16396" s="2"/>
    </row>
    <row r="16397" spans="9:9">
      <c r="I16397" s="2"/>
    </row>
    <row r="16398" spans="9:9">
      <c r="I16398" s="2"/>
    </row>
    <row r="16399" spans="9:9">
      <c r="I16399" s="2"/>
    </row>
    <row r="16400" spans="9:9">
      <c r="I16400" s="2"/>
    </row>
    <row r="16401" spans="9:9">
      <c r="I16401" s="2"/>
    </row>
    <row r="16402" spans="9:9">
      <c r="I16402" s="2"/>
    </row>
    <row r="16403" spans="9:9">
      <c r="I16403" s="2"/>
    </row>
    <row r="16404" spans="9:9">
      <c r="I16404" s="2"/>
    </row>
    <row r="16405" spans="9:9">
      <c r="I16405" s="2"/>
    </row>
    <row r="16406" spans="9:9">
      <c r="I16406" s="2"/>
    </row>
    <row r="16407" spans="9:9">
      <c r="I16407" s="2"/>
    </row>
    <row r="16408" spans="9:9">
      <c r="I16408" s="2"/>
    </row>
    <row r="16409" spans="9:9">
      <c r="I16409" s="2"/>
    </row>
    <row r="16410" spans="9:9">
      <c r="I16410" s="2"/>
    </row>
    <row r="16411" spans="9:9">
      <c r="I16411" s="2"/>
    </row>
    <row r="16412" spans="9:9">
      <c r="I16412" s="2"/>
    </row>
    <row r="16413" spans="9:9">
      <c r="I16413" s="2"/>
    </row>
    <row r="16414" spans="9:9">
      <c r="I16414" s="2"/>
    </row>
    <row r="16415" spans="9:9">
      <c r="I16415" s="2"/>
    </row>
    <row r="16416" spans="9:9">
      <c r="I16416" s="2"/>
    </row>
    <row r="16417" spans="9:9">
      <c r="I16417" s="2"/>
    </row>
    <row r="16418" spans="9:9">
      <c r="I16418" s="2"/>
    </row>
    <row r="16419" spans="9:9">
      <c r="I16419" s="2"/>
    </row>
    <row r="16420" spans="9:9">
      <c r="I16420" s="2"/>
    </row>
    <row r="16421" spans="9:9">
      <c r="I16421" s="2"/>
    </row>
    <row r="16422" spans="9:9">
      <c r="I16422" s="2"/>
    </row>
    <row r="16423" spans="9:9">
      <c r="I16423" s="2"/>
    </row>
    <row r="16424" spans="9:9">
      <c r="I16424" s="2"/>
    </row>
    <row r="16425" spans="9:9">
      <c r="I16425" s="2"/>
    </row>
    <row r="16426" spans="9:9">
      <c r="I16426" s="2"/>
    </row>
    <row r="16427" spans="9:9">
      <c r="I16427" s="2"/>
    </row>
    <row r="16428" spans="9:9">
      <c r="I16428" s="2"/>
    </row>
    <row r="16429" spans="9:9">
      <c r="I16429" s="2"/>
    </row>
    <row r="16430" spans="9:9">
      <c r="I16430" s="2"/>
    </row>
    <row r="16431" spans="9:9">
      <c r="I16431" s="2"/>
    </row>
    <row r="16432" spans="9:9">
      <c r="I16432" s="2"/>
    </row>
    <row r="16433" spans="9:9">
      <c r="I16433" s="2"/>
    </row>
    <row r="16434" spans="9:9">
      <c r="I16434" s="2"/>
    </row>
    <row r="16435" spans="9:9">
      <c r="I16435" s="2"/>
    </row>
    <row r="16436" spans="9:9">
      <c r="I16436" s="2"/>
    </row>
    <row r="16437" spans="9:9">
      <c r="I16437" s="2"/>
    </row>
    <row r="16438" spans="9:9">
      <c r="I16438" s="2"/>
    </row>
    <row r="16439" spans="9:9">
      <c r="I16439" s="2"/>
    </row>
    <row r="16440" spans="9:9">
      <c r="I16440" s="2"/>
    </row>
    <row r="16441" spans="9:9">
      <c r="I16441" s="2"/>
    </row>
    <row r="16442" spans="9:9">
      <c r="I16442" s="2"/>
    </row>
    <row r="16443" spans="9:9">
      <c r="I16443" s="2"/>
    </row>
    <row r="16444" spans="9:9">
      <c r="I16444" s="2"/>
    </row>
    <row r="16445" spans="9:9">
      <c r="I16445" s="2"/>
    </row>
    <row r="16446" spans="9:9">
      <c r="I16446" s="2"/>
    </row>
    <row r="16447" spans="9:9">
      <c r="I16447" s="2"/>
    </row>
    <row r="16448" spans="9:9">
      <c r="I16448" s="2"/>
    </row>
    <row r="16449" spans="9:9">
      <c r="I16449" s="2"/>
    </row>
    <row r="16450" spans="9:9">
      <c r="I16450" s="2"/>
    </row>
    <row r="16451" spans="9:9">
      <c r="I16451" s="2"/>
    </row>
    <row r="16452" spans="9:9">
      <c r="I16452" s="2"/>
    </row>
    <row r="16453" spans="9:9">
      <c r="I16453" s="2"/>
    </row>
    <row r="16454" spans="9:9">
      <c r="I16454" s="2"/>
    </row>
    <row r="16455" spans="9:9">
      <c r="I16455" s="2"/>
    </row>
    <row r="16456" spans="9:9">
      <c r="I16456" s="2"/>
    </row>
    <row r="16457" spans="9:9">
      <c r="I16457" s="2"/>
    </row>
    <row r="16458" spans="9:9">
      <c r="I16458" s="2"/>
    </row>
    <row r="16459" spans="9:9">
      <c r="I16459" s="2"/>
    </row>
    <row r="16460" spans="9:9">
      <c r="I16460" s="2"/>
    </row>
    <row r="16461" spans="9:9">
      <c r="I16461" s="2"/>
    </row>
    <row r="16462" spans="9:9">
      <c r="I16462" s="2"/>
    </row>
    <row r="16463" spans="9:9">
      <c r="I16463" s="2"/>
    </row>
    <row r="16464" spans="9:9">
      <c r="I16464" s="2"/>
    </row>
    <row r="16465" spans="9:9">
      <c r="I16465" s="2"/>
    </row>
    <row r="16466" spans="9:9">
      <c r="I16466" s="2"/>
    </row>
    <row r="16467" spans="9:9">
      <c r="I16467" s="2"/>
    </row>
    <row r="16468" spans="9:9">
      <c r="I16468" s="2"/>
    </row>
    <row r="16469" spans="9:9">
      <c r="I16469" s="2"/>
    </row>
    <row r="16470" spans="9:9">
      <c r="I16470" s="2"/>
    </row>
    <row r="16471" spans="9:9">
      <c r="I16471" s="2"/>
    </row>
    <row r="16472" spans="9:9">
      <c r="I16472" s="2"/>
    </row>
    <row r="16473" spans="9:9">
      <c r="I16473" s="2"/>
    </row>
    <row r="16474" spans="9:9">
      <c r="I16474" s="2"/>
    </row>
    <row r="16475" spans="9:9">
      <c r="I16475" s="2"/>
    </row>
    <row r="16476" spans="9:9">
      <c r="I16476" s="2"/>
    </row>
    <row r="16477" spans="9:9">
      <c r="I16477" s="2"/>
    </row>
    <row r="16478" spans="9:9">
      <c r="I16478" s="2"/>
    </row>
    <row r="16479" spans="9:9">
      <c r="I16479" s="2"/>
    </row>
    <row r="16480" spans="9:9">
      <c r="I16480" s="2"/>
    </row>
    <row r="16481" spans="9:9">
      <c r="I16481" s="2"/>
    </row>
    <row r="16482" spans="9:9">
      <c r="I16482" s="2"/>
    </row>
    <row r="16483" spans="9:9">
      <c r="I16483" s="2"/>
    </row>
    <row r="16484" spans="9:9">
      <c r="I16484" s="2"/>
    </row>
    <row r="16485" spans="9:9">
      <c r="I16485" s="2"/>
    </row>
    <row r="16486" spans="9:9">
      <c r="I16486" s="2"/>
    </row>
    <row r="16487" spans="9:9">
      <c r="I16487" s="2"/>
    </row>
    <row r="16488" spans="9:9">
      <c r="I16488" s="2"/>
    </row>
    <row r="16489" spans="9:9">
      <c r="I16489" s="2"/>
    </row>
    <row r="16490" spans="9:9">
      <c r="I16490" s="2"/>
    </row>
    <row r="16491" spans="9:9">
      <c r="I16491" s="2"/>
    </row>
    <row r="16492" spans="9:9">
      <c r="I16492" s="2"/>
    </row>
    <row r="16493" spans="9:9">
      <c r="I16493" s="2"/>
    </row>
    <row r="16494" spans="9:9">
      <c r="I16494" s="2"/>
    </row>
    <row r="16495" spans="9:9">
      <c r="I16495" s="2"/>
    </row>
    <row r="16496" spans="9:9">
      <c r="I16496" s="2"/>
    </row>
    <row r="16497" spans="9:9">
      <c r="I16497" s="2"/>
    </row>
    <row r="16498" spans="9:9">
      <c r="I16498" s="2"/>
    </row>
    <row r="16499" spans="9:9">
      <c r="I16499" s="2"/>
    </row>
    <row r="16500" spans="9:9">
      <c r="I16500" s="2"/>
    </row>
    <row r="16501" spans="9:9">
      <c r="I16501" s="2"/>
    </row>
    <row r="16502" spans="9:9">
      <c r="I16502" s="2"/>
    </row>
    <row r="16503" spans="9:9">
      <c r="I16503" s="2"/>
    </row>
    <row r="16504" spans="9:9">
      <c r="I16504" s="2"/>
    </row>
    <row r="16505" spans="9:9">
      <c r="I16505" s="2"/>
    </row>
    <row r="16506" spans="9:9">
      <c r="I16506" s="2"/>
    </row>
    <row r="16507" spans="9:9">
      <c r="I16507" s="2"/>
    </row>
    <row r="16508" spans="9:9">
      <c r="I16508" s="2"/>
    </row>
    <row r="16509" spans="9:9">
      <c r="I16509" s="2"/>
    </row>
    <row r="16510" spans="9:9">
      <c r="I16510" s="2"/>
    </row>
    <row r="16511" spans="9:9">
      <c r="I16511" s="2"/>
    </row>
    <row r="16512" spans="9:9">
      <c r="I16512" s="2"/>
    </row>
    <row r="16513" spans="9:9">
      <c r="I16513" s="2"/>
    </row>
    <row r="16514" spans="9:9">
      <c r="I16514" s="2"/>
    </row>
    <row r="16515" spans="9:9">
      <c r="I16515" s="2"/>
    </row>
    <row r="16516" spans="9:9">
      <c r="I16516" s="2"/>
    </row>
    <row r="16517" spans="9:9">
      <c r="I16517" s="2"/>
    </row>
    <row r="16518" spans="9:9">
      <c r="I16518" s="2"/>
    </row>
    <row r="16519" spans="9:9">
      <c r="I16519" s="2"/>
    </row>
    <row r="16520" spans="9:9">
      <c r="I16520" s="2"/>
    </row>
    <row r="16521" spans="9:9">
      <c r="I16521" s="2"/>
    </row>
    <row r="16522" spans="9:9">
      <c r="I16522" s="2"/>
    </row>
    <row r="16523" spans="9:9">
      <c r="I16523" s="2"/>
    </row>
    <row r="16524" spans="9:9">
      <c r="I16524" s="2"/>
    </row>
    <row r="16525" spans="9:9">
      <c r="I16525" s="2"/>
    </row>
    <row r="16526" spans="9:9">
      <c r="I16526" s="2"/>
    </row>
    <row r="16527" spans="9:9">
      <c r="I16527" s="2"/>
    </row>
    <row r="16528" spans="9:9">
      <c r="I16528" s="2"/>
    </row>
    <row r="16529" spans="9:9">
      <c r="I16529" s="2"/>
    </row>
    <row r="16530" spans="9:9">
      <c r="I16530" s="2"/>
    </row>
    <row r="16531" spans="9:9">
      <c r="I16531" s="2"/>
    </row>
    <row r="16532" spans="9:9">
      <c r="I16532" s="2"/>
    </row>
    <row r="16533" spans="9:9">
      <c r="I16533" s="2"/>
    </row>
    <row r="16534" spans="9:9">
      <c r="I16534" s="2"/>
    </row>
    <row r="16535" spans="9:9">
      <c r="I16535" s="2"/>
    </row>
    <row r="16536" spans="9:9">
      <c r="I16536" s="2"/>
    </row>
    <row r="16537" spans="9:9">
      <c r="I16537" s="2"/>
    </row>
    <row r="16538" spans="9:9">
      <c r="I16538" s="2"/>
    </row>
    <row r="16539" spans="9:9">
      <c r="I16539" s="2"/>
    </row>
    <row r="16540" spans="9:9">
      <c r="I16540" s="2"/>
    </row>
    <row r="16541" spans="9:9">
      <c r="I16541" s="2"/>
    </row>
    <row r="16542" spans="9:9">
      <c r="I16542" s="2"/>
    </row>
    <row r="16543" spans="9:9">
      <c r="I16543" s="2"/>
    </row>
    <row r="16544" spans="9:9">
      <c r="I16544" s="2"/>
    </row>
    <row r="16545" spans="9:9">
      <c r="I16545" s="2"/>
    </row>
    <row r="16546" spans="9:9">
      <c r="I16546" s="2"/>
    </row>
    <row r="16547" spans="9:9">
      <c r="I16547" s="2"/>
    </row>
    <row r="16548" spans="9:9">
      <c r="I16548" s="2"/>
    </row>
    <row r="16549" spans="9:9">
      <c r="I16549" s="2"/>
    </row>
    <row r="16550" spans="9:9">
      <c r="I16550" s="2"/>
    </row>
    <row r="16551" spans="9:9">
      <c r="I16551" s="2"/>
    </row>
    <row r="16552" spans="9:9">
      <c r="I16552" s="2"/>
    </row>
    <row r="16553" spans="9:9">
      <c r="I16553" s="2"/>
    </row>
    <row r="16554" spans="9:9">
      <c r="I16554" s="2"/>
    </row>
    <row r="16555" spans="9:9">
      <c r="I16555" s="2"/>
    </row>
    <row r="16556" spans="9:9">
      <c r="I16556" s="2"/>
    </row>
    <row r="16557" spans="9:9">
      <c r="I16557" s="2"/>
    </row>
    <row r="16558" spans="9:9">
      <c r="I16558" s="2"/>
    </row>
    <row r="16559" spans="9:9">
      <c r="I16559" s="2"/>
    </row>
    <row r="16560" spans="9:9">
      <c r="I16560" s="2"/>
    </row>
    <row r="16561" spans="9:9">
      <c r="I16561" s="2"/>
    </row>
    <row r="16562" spans="9:9">
      <c r="I16562" s="2"/>
    </row>
    <row r="16563" spans="9:9">
      <c r="I16563" s="2"/>
    </row>
    <row r="16564" spans="9:9">
      <c r="I16564" s="2"/>
    </row>
    <row r="16565" spans="9:9">
      <c r="I16565" s="2"/>
    </row>
    <row r="16566" spans="9:9">
      <c r="I16566" s="2"/>
    </row>
    <row r="16567" spans="9:9">
      <c r="I16567" s="2"/>
    </row>
    <row r="16568" spans="9:9">
      <c r="I16568" s="2"/>
    </row>
    <row r="16569" spans="9:9">
      <c r="I16569" s="2"/>
    </row>
    <row r="16570" spans="9:9">
      <c r="I16570" s="2"/>
    </row>
    <row r="16571" spans="9:9">
      <c r="I16571" s="2"/>
    </row>
    <row r="16572" spans="9:9">
      <c r="I16572" s="2"/>
    </row>
    <row r="16573" spans="9:9">
      <c r="I16573" s="2"/>
    </row>
    <row r="16574" spans="9:9">
      <c r="I16574" s="2"/>
    </row>
    <row r="16575" spans="9:9">
      <c r="I16575" s="2"/>
    </row>
    <row r="16576" spans="9:9">
      <c r="I16576" s="2"/>
    </row>
    <row r="16577" spans="9:9">
      <c r="I16577" s="2"/>
    </row>
    <row r="16578" spans="9:9">
      <c r="I16578" s="2"/>
    </row>
    <row r="16579" spans="9:9">
      <c r="I16579" s="2"/>
    </row>
    <row r="16580" spans="9:9">
      <c r="I16580" s="2"/>
    </row>
    <row r="16581" spans="9:9">
      <c r="I16581" s="2"/>
    </row>
    <row r="16582" spans="9:9">
      <c r="I16582" s="2"/>
    </row>
    <row r="16583" spans="9:9">
      <c r="I16583" s="2"/>
    </row>
    <row r="16584" spans="9:9">
      <c r="I16584" s="2"/>
    </row>
    <row r="16585" spans="9:9">
      <c r="I16585" s="2"/>
    </row>
    <row r="16586" spans="9:9">
      <c r="I16586" s="2"/>
    </row>
    <row r="16587" spans="9:9">
      <c r="I16587" s="2"/>
    </row>
    <row r="16588" spans="9:9">
      <c r="I16588" s="2"/>
    </row>
    <row r="16589" spans="9:9">
      <c r="I16589" s="2"/>
    </row>
    <row r="16590" spans="9:9">
      <c r="I16590" s="2"/>
    </row>
    <row r="16591" spans="9:9">
      <c r="I16591" s="2"/>
    </row>
    <row r="16592" spans="9:9">
      <c r="I16592" s="2"/>
    </row>
    <row r="16593" spans="9:9">
      <c r="I16593" s="2"/>
    </row>
    <row r="16594" spans="9:9">
      <c r="I16594" s="2"/>
    </row>
    <row r="16595" spans="9:9">
      <c r="I16595" s="2"/>
    </row>
    <row r="16596" spans="9:9">
      <c r="I16596" s="2"/>
    </row>
    <row r="16597" spans="9:9">
      <c r="I16597" s="2"/>
    </row>
    <row r="16598" spans="9:9">
      <c r="I16598" s="2"/>
    </row>
    <row r="16599" spans="9:9">
      <c r="I16599" s="2"/>
    </row>
    <row r="16600" spans="9:9">
      <c r="I16600" s="2"/>
    </row>
    <row r="16601" spans="9:9">
      <c r="I16601" s="2"/>
    </row>
    <row r="16602" spans="9:9">
      <c r="I16602" s="2"/>
    </row>
    <row r="16603" spans="9:9">
      <c r="I16603" s="2"/>
    </row>
    <row r="16604" spans="9:9">
      <c r="I16604" s="2"/>
    </row>
    <row r="16605" spans="9:9">
      <c r="I16605" s="2"/>
    </row>
    <row r="16606" spans="9:9">
      <c r="I16606" s="2"/>
    </row>
    <row r="16607" spans="9:9">
      <c r="I16607" s="2"/>
    </row>
    <row r="16608" spans="9:9">
      <c r="I16608" s="2"/>
    </row>
    <row r="16609" spans="9:9">
      <c r="I16609" s="2"/>
    </row>
    <row r="16610" spans="9:9">
      <c r="I16610" s="2"/>
    </row>
    <row r="16611" spans="9:9">
      <c r="I16611" s="2"/>
    </row>
    <row r="16612" spans="9:9">
      <c r="I16612" s="2"/>
    </row>
    <row r="16613" spans="9:9">
      <c r="I16613" s="2"/>
    </row>
    <row r="16614" spans="9:9">
      <c r="I16614" s="2"/>
    </row>
    <row r="16615" spans="9:9">
      <c r="I16615" s="2"/>
    </row>
    <row r="16616" spans="9:9">
      <c r="I16616" s="2"/>
    </row>
    <row r="16617" spans="9:9">
      <c r="I16617" s="2"/>
    </row>
    <row r="16618" spans="9:9">
      <c r="I16618" s="2"/>
    </row>
    <row r="16619" spans="9:9">
      <c r="I16619" s="2"/>
    </row>
    <row r="16620" spans="9:9">
      <c r="I16620" s="2"/>
    </row>
    <row r="16621" spans="9:9">
      <c r="I16621" s="2"/>
    </row>
    <row r="16622" spans="9:9">
      <c r="I16622" s="2"/>
    </row>
    <row r="16623" spans="9:9">
      <c r="I16623" s="2"/>
    </row>
    <row r="16624" spans="9:9">
      <c r="I16624" s="2"/>
    </row>
    <row r="16625" spans="9:9">
      <c r="I16625" s="2"/>
    </row>
    <row r="16626" spans="9:9">
      <c r="I16626" s="2"/>
    </row>
    <row r="16627" spans="9:9">
      <c r="I16627" s="2"/>
    </row>
    <row r="16628" spans="9:9">
      <c r="I16628" s="2"/>
    </row>
    <row r="16629" spans="9:9">
      <c r="I16629" s="2"/>
    </row>
    <row r="16630" spans="9:9">
      <c r="I16630" s="2"/>
    </row>
    <row r="16631" spans="9:9">
      <c r="I16631" s="2"/>
    </row>
    <row r="16632" spans="9:9">
      <c r="I16632" s="2"/>
    </row>
    <row r="16633" spans="9:9">
      <c r="I16633" s="2"/>
    </row>
    <row r="16634" spans="9:9">
      <c r="I16634" s="2"/>
    </row>
    <row r="16635" spans="9:9">
      <c r="I16635" s="2"/>
    </row>
    <row r="16636" spans="9:9">
      <c r="I16636" s="2"/>
    </row>
    <row r="16637" spans="9:9">
      <c r="I16637" s="2"/>
    </row>
    <row r="16638" spans="9:9">
      <c r="I16638" s="2"/>
    </row>
    <row r="16639" spans="9:9">
      <c r="I16639" s="2"/>
    </row>
    <row r="16640" spans="9:9">
      <c r="I16640" s="2"/>
    </row>
    <row r="16641" spans="9:9">
      <c r="I16641" s="2"/>
    </row>
    <row r="16642" spans="9:9">
      <c r="I16642" s="2"/>
    </row>
    <row r="16643" spans="9:9">
      <c r="I16643" s="2"/>
    </row>
    <row r="16644" spans="9:9">
      <c r="I16644" s="2"/>
    </row>
    <row r="16645" spans="9:9">
      <c r="I16645" s="2"/>
    </row>
    <row r="16646" spans="9:9">
      <c r="I16646" s="2"/>
    </row>
    <row r="16647" spans="9:9">
      <c r="I16647" s="2"/>
    </row>
    <row r="16648" spans="9:9">
      <c r="I16648" s="2"/>
    </row>
    <row r="16649" spans="9:9">
      <c r="I16649" s="2"/>
    </row>
    <row r="16650" spans="9:9">
      <c r="I16650" s="2"/>
    </row>
    <row r="16651" spans="9:9">
      <c r="I16651" s="2"/>
    </row>
    <row r="16652" spans="9:9">
      <c r="I16652" s="2"/>
    </row>
    <row r="16653" spans="9:9">
      <c r="I16653" s="2"/>
    </row>
    <row r="16654" spans="9:9">
      <c r="I16654" s="2"/>
    </row>
    <row r="16655" spans="9:9">
      <c r="I16655" s="2"/>
    </row>
    <row r="16656" spans="9:9">
      <c r="I16656" s="2"/>
    </row>
    <row r="16657" spans="9:9">
      <c r="I16657" s="2"/>
    </row>
    <row r="16658" spans="9:9">
      <c r="I16658" s="2"/>
    </row>
    <row r="16659" spans="9:9">
      <c r="I16659" s="2"/>
    </row>
    <row r="16660" spans="9:9">
      <c r="I16660" s="2"/>
    </row>
    <row r="16661" spans="9:9">
      <c r="I16661" s="2"/>
    </row>
    <row r="16662" spans="9:9">
      <c r="I16662" s="2"/>
    </row>
    <row r="16663" spans="9:9">
      <c r="I16663" s="2"/>
    </row>
    <row r="16664" spans="9:9">
      <c r="I16664" s="2"/>
    </row>
    <row r="16665" spans="9:9">
      <c r="I16665" s="2"/>
    </row>
    <row r="16666" spans="9:9">
      <c r="I16666" s="2"/>
    </row>
    <row r="16667" spans="9:9">
      <c r="I16667" s="2"/>
    </row>
    <row r="16668" spans="9:9">
      <c r="I16668" s="2"/>
    </row>
    <row r="16669" spans="9:9">
      <c r="I16669" s="2"/>
    </row>
    <row r="16670" spans="9:9">
      <c r="I16670" s="2"/>
    </row>
    <row r="16671" spans="9:9">
      <c r="I16671" s="2"/>
    </row>
    <row r="16672" spans="9:9">
      <c r="I16672" s="2"/>
    </row>
    <row r="16673" spans="9:9">
      <c r="I16673" s="2"/>
    </row>
    <row r="16674" spans="9:9">
      <c r="I16674" s="2"/>
    </row>
    <row r="16675" spans="9:9">
      <c r="I16675" s="2"/>
    </row>
    <row r="16676" spans="9:9">
      <c r="I16676" s="2"/>
    </row>
    <row r="16677" spans="9:9">
      <c r="I16677" s="2"/>
    </row>
    <row r="16678" spans="9:9">
      <c r="I16678" s="2"/>
    </row>
    <row r="16679" spans="9:9">
      <c r="I16679" s="2"/>
    </row>
    <row r="16680" spans="9:9">
      <c r="I16680" s="2"/>
    </row>
    <row r="16681" spans="9:9">
      <c r="I16681" s="2"/>
    </row>
    <row r="16682" spans="9:9">
      <c r="I16682" s="2"/>
    </row>
    <row r="16683" spans="9:9">
      <c r="I16683" s="2"/>
    </row>
    <row r="16684" spans="9:9">
      <c r="I16684" s="2"/>
    </row>
    <row r="16685" spans="9:9">
      <c r="I16685" s="2"/>
    </row>
    <row r="16686" spans="9:9">
      <c r="I16686" s="2"/>
    </row>
    <row r="16687" spans="9:9">
      <c r="I16687" s="2"/>
    </row>
    <row r="16688" spans="9:9">
      <c r="I16688" s="2"/>
    </row>
    <row r="16689" spans="9:9">
      <c r="I16689" s="2"/>
    </row>
    <row r="16690" spans="9:9">
      <c r="I16690" s="2"/>
    </row>
    <row r="16691" spans="9:9">
      <c r="I16691" s="2"/>
    </row>
    <row r="16692" spans="9:9">
      <c r="I16692" s="2"/>
    </row>
    <row r="16693" spans="9:9">
      <c r="I16693" s="2"/>
    </row>
    <row r="16694" spans="9:9">
      <c r="I16694" s="2"/>
    </row>
    <row r="16695" spans="9:9">
      <c r="I16695" s="2"/>
    </row>
    <row r="16696" spans="9:9">
      <c r="I16696" s="2"/>
    </row>
    <row r="16697" spans="9:9">
      <c r="I16697" s="2"/>
    </row>
    <row r="16698" spans="9:9">
      <c r="I16698" s="2"/>
    </row>
    <row r="16699" spans="9:9">
      <c r="I16699" s="2"/>
    </row>
    <row r="16700" spans="9:9">
      <c r="I16700" s="2"/>
    </row>
    <row r="16701" spans="9:9">
      <c r="I16701" s="2"/>
    </row>
    <row r="16702" spans="9:9">
      <c r="I16702" s="2"/>
    </row>
    <row r="16703" spans="9:9">
      <c r="I16703" s="2"/>
    </row>
    <row r="16704" spans="9:9">
      <c r="I16704" s="2"/>
    </row>
    <row r="16705" spans="9:9">
      <c r="I16705" s="2"/>
    </row>
    <row r="16706" spans="9:9">
      <c r="I16706" s="2"/>
    </row>
    <row r="16707" spans="9:9">
      <c r="I16707" s="2"/>
    </row>
    <row r="16708" spans="9:9">
      <c r="I16708" s="2"/>
    </row>
    <row r="16709" spans="9:9">
      <c r="I16709" s="2"/>
    </row>
    <row r="16710" spans="9:9">
      <c r="I16710" s="2"/>
    </row>
    <row r="16711" spans="9:9">
      <c r="I16711" s="2"/>
    </row>
    <row r="16712" spans="9:9">
      <c r="I16712" s="2"/>
    </row>
    <row r="16713" spans="9:9">
      <c r="I16713" s="2"/>
    </row>
    <row r="16714" spans="9:9">
      <c r="I16714" s="2"/>
    </row>
    <row r="16715" spans="9:9">
      <c r="I16715" s="2"/>
    </row>
    <row r="16716" spans="9:9">
      <c r="I16716" s="2"/>
    </row>
    <row r="16717" spans="9:9">
      <c r="I16717" s="2"/>
    </row>
    <row r="16718" spans="9:9">
      <c r="I16718" s="2"/>
    </row>
    <row r="16719" spans="9:9">
      <c r="I16719" s="2"/>
    </row>
    <row r="16720" spans="9:9">
      <c r="I16720" s="2"/>
    </row>
    <row r="16721" spans="9:9">
      <c r="I16721" s="2"/>
    </row>
    <row r="16722" spans="9:9">
      <c r="I16722" s="2"/>
    </row>
    <row r="16723" spans="9:9">
      <c r="I16723" s="2"/>
    </row>
    <row r="16724" spans="9:9">
      <c r="I16724" s="2"/>
    </row>
    <row r="16725" spans="9:9">
      <c r="I16725" s="2"/>
    </row>
    <row r="16726" spans="9:9">
      <c r="I16726" s="2"/>
    </row>
    <row r="16727" spans="9:9">
      <c r="I16727" s="2"/>
    </row>
    <row r="16728" spans="9:9">
      <c r="I16728" s="2"/>
    </row>
    <row r="16729" spans="9:9">
      <c r="I16729" s="2"/>
    </row>
    <row r="16730" spans="9:9">
      <c r="I16730" s="2"/>
    </row>
    <row r="16731" spans="9:9">
      <c r="I16731" s="2"/>
    </row>
    <row r="16732" spans="9:9">
      <c r="I16732" s="2"/>
    </row>
    <row r="16733" spans="9:9">
      <c r="I16733" s="2"/>
    </row>
    <row r="16734" spans="9:9">
      <c r="I16734" s="2"/>
    </row>
    <row r="16735" spans="9:9">
      <c r="I16735" s="2"/>
    </row>
    <row r="16736" spans="9:9">
      <c r="I16736" s="2"/>
    </row>
    <row r="16737" spans="9:9">
      <c r="I16737" s="2"/>
    </row>
    <row r="16738" spans="9:9">
      <c r="I16738" s="2"/>
    </row>
    <row r="16739" spans="9:9">
      <c r="I16739" s="2"/>
    </row>
    <row r="16740" spans="9:9">
      <c r="I16740" s="2"/>
    </row>
    <row r="16741" spans="9:9">
      <c r="I16741" s="2"/>
    </row>
    <row r="16742" spans="9:9">
      <c r="I16742" s="2"/>
    </row>
    <row r="16743" spans="9:9">
      <c r="I16743" s="2"/>
    </row>
    <row r="16744" spans="9:9">
      <c r="I16744" s="2"/>
    </row>
    <row r="16745" spans="9:9">
      <c r="I16745" s="2"/>
    </row>
    <row r="16746" spans="9:9">
      <c r="I16746" s="2"/>
    </row>
    <row r="16747" spans="9:9">
      <c r="I16747" s="2"/>
    </row>
    <row r="16748" spans="9:9">
      <c r="I16748" s="2"/>
    </row>
    <row r="16749" spans="9:9">
      <c r="I16749" s="2"/>
    </row>
    <row r="16750" spans="9:9">
      <c r="I16750" s="2"/>
    </row>
    <row r="16751" spans="9:9">
      <c r="I16751" s="2"/>
    </row>
    <row r="16752" spans="9:9">
      <c r="I16752" s="2"/>
    </row>
    <row r="16753" spans="9:9">
      <c r="I16753" s="2"/>
    </row>
    <row r="16754" spans="9:9">
      <c r="I16754" s="2"/>
    </row>
    <row r="16755" spans="9:9">
      <c r="I16755" s="2"/>
    </row>
    <row r="16756" spans="9:9">
      <c r="I16756" s="2"/>
    </row>
    <row r="16757" spans="9:9">
      <c r="I16757" s="2"/>
    </row>
    <row r="16758" spans="9:9">
      <c r="I16758" s="2"/>
    </row>
    <row r="16759" spans="9:9">
      <c r="I16759" s="2"/>
    </row>
    <row r="16760" spans="9:9">
      <c r="I16760" s="2"/>
    </row>
    <row r="16761" spans="9:9">
      <c r="I16761" s="2"/>
    </row>
    <row r="16762" spans="9:9">
      <c r="I16762" s="2"/>
    </row>
    <row r="16763" spans="9:9">
      <c r="I16763" s="2"/>
    </row>
    <row r="16764" spans="9:9">
      <c r="I16764" s="2"/>
    </row>
    <row r="16765" spans="9:9">
      <c r="I16765" s="2"/>
    </row>
    <row r="16766" spans="9:9">
      <c r="I16766" s="2"/>
    </row>
    <row r="16767" spans="9:9">
      <c r="I16767" s="2"/>
    </row>
    <row r="16768" spans="9:9">
      <c r="I16768" s="2"/>
    </row>
    <row r="16769" spans="9:9">
      <c r="I16769" s="2"/>
    </row>
    <row r="16770" spans="9:9">
      <c r="I16770" s="2"/>
    </row>
    <row r="16771" spans="9:9">
      <c r="I16771" s="2"/>
    </row>
    <row r="16772" spans="9:9">
      <c r="I16772" s="2"/>
    </row>
    <row r="16773" spans="9:9">
      <c r="I16773" s="2"/>
    </row>
    <row r="16774" spans="9:9">
      <c r="I16774" s="2"/>
    </row>
    <row r="16775" spans="9:9">
      <c r="I16775" s="2"/>
    </row>
    <row r="16776" spans="9:9">
      <c r="I16776" s="2"/>
    </row>
    <row r="16777" spans="9:9">
      <c r="I16777" s="2"/>
    </row>
    <row r="16778" spans="9:9">
      <c r="I16778" s="2"/>
    </row>
    <row r="16779" spans="9:9">
      <c r="I16779" s="2"/>
    </row>
    <row r="16780" spans="9:9">
      <c r="I16780" s="2"/>
    </row>
    <row r="16781" spans="9:9">
      <c r="I16781" s="2"/>
    </row>
    <row r="16782" spans="9:9">
      <c r="I16782" s="2"/>
    </row>
    <row r="16783" spans="9:9">
      <c r="I16783" s="2"/>
    </row>
    <row r="16784" spans="9:9">
      <c r="I16784" s="2"/>
    </row>
    <row r="16785" spans="9:9">
      <c r="I16785" s="2"/>
    </row>
    <row r="16786" spans="9:9">
      <c r="I16786" s="2"/>
    </row>
    <row r="16787" spans="9:9">
      <c r="I16787" s="2"/>
    </row>
    <row r="16788" spans="9:9">
      <c r="I16788" s="2"/>
    </row>
    <row r="16789" spans="9:9">
      <c r="I16789" s="2"/>
    </row>
    <row r="16790" spans="9:9">
      <c r="I16790" s="2"/>
    </row>
    <row r="16791" spans="9:9">
      <c r="I16791" s="2"/>
    </row>
    <row r="16792" spans="9:9">
      <c r="I16792" s="2"/>
    </row>
    <row r="16793" spans="9:9">
      <c r="I16793" s="2"/>
    </row>
    <row r="16794" spans="9:9">
      <c r="I16794" s="2"/>
    </row>
    <row r="16795" spans="9:9">
      <c r="I16795" s="2"/>
    </row>
    <row r="16796" spans="9:9">
      <c r="I16796" s="2"/>
    </row>
    <row r="16797" spans="9:9">
      <c r="I16797" s="2"/>
    </row>
    <row r="16798" spans="9:9">
      <c r="I16798" s="2"/>
    </row>
    <row r="16799" spans="9:9">
      <c r="I16799" s="2"/>
    </row>
    <row r="16800" spans="9:9">
      <c r="I16800" s="2"/>
    </row>
    <row r="16801" spans="9:9">
      <c r="I16801" s="2"/>
    </row>
    <row r="16802" spans="9:9">
      <c r="I16802" s="2"/>
    </row>
    <row r="16803" spans="9:9">
      <c r="I16803" s="2"/>
    </row>
    <row r="16804" spans="9:9">
      <c r="I16804" s="2"/>
    </row>
    <row r="16805" spans="9:9">
      <c r="I16805" s="2"/>
    </row>
    <row r="16806" spans="9:9">
      <c r="I16806" s="2"/>
    </row>
    <row r="16807" spans="9:9">
      <c r="I16807" s="2"/>
    </row>
    <row r="16808" spans="9:9">
      <c r="I16808" s="2"/>
    </row>
    <row r="16809" spans="9:9">
      <c r="I16809" s="2"/>
    </row>
    <row r="16810" spans="9:9">
      <c r="I16810" s="2"/>
    </row>
    <row r="16811" spans="9:9">
      <c r="I16811" s="2"/>
    </row>
    <row r="16812" spans="9:9">
      <c r="I16812" s="2"/>
    </row>
    <row r="16813" spans="9:9">
      <c r="I16813" s="2"/>
    </row>
    <row r="16814" spans="9:9">
      <c r="I16814" s="2"/>
    </row>
    <row r="16815" spans="9:9">
      <c r="I16815" s="2"/>
    </row>
    <row r="16816" spans="9:9">
      <c r="I16816" s="2"/>
    </row>
    <row r="16817" spans="9:9">
      <c r="I16817" s="2"/>
    </row>
    <row r="16818" spans="9:9">
      <c r="I16818" s="2"/>
    </row>
    <row r="16819" spans="9:9">
      <c r="I16819" s="2"/>
    </row>
    <row r="16820" spans="9:9">
      <c r="I16820" s="2"/>
    </row>
    <row r="16821" spans="9:9">
      <c r="I16821" s="2"/>
    </row>
    <row r="16822" spans="9:9">
      <c r="I16822" s="2"/>
    </row>
    <row r="16823" spans="9:9">
      <c r="I16823" s="2"/>
    </row>
    <row r="16824" spans="9:9">
      <c r="I16824" s="2"/>
    </row>
    <row r="16825" spans="9:9">
      <c r="I16825" s="2"/>
    </row>
    <row r="16826" spans="9:9">
      <c r="I16826" s="2"/>
    </row>
    <row r="16827" spans="9:9">
      <c r="I16827" s="2"/>
    </row>
    <row r="16828" spans="9:9">
      <c r="I16828" s="2"/>
    </row>
    <row r="16829" spans="9:9">
      <c r="I16829" s="2"/>
    </row>
    <row r="16830" spans="9:9">
      <c r="I16830" s="2"/>
    </row>
    <row r="16831" spans="9:9">
      <c r="I16831" s="2"/>
    </row>
    <row r="16832" spans="9:9">
      <c r="I16832" s="2"/>
    </row>
    <row r="16833" spans="9:9">
      <c r="I16833" s="2"/>
    </row>
    <row r="16834" spans="9:9">
      <c r="I16834" s="2"/>
    </row>
    <row r="16835" spans="9:9">
      <c r="I16835" s="2"/>
    </row>
    <row r="16836" spans="9:9">
      <c r="I16836" s="2"/>
    </row>
    <row r="16837" spans="9:9">
      <c r="I16837" s="2"/>
    </row>
    <row r="16838" spans="9:9">
      <c r="I16838" s="2"/>
    </row>
    <row r="16839" spans="9:9">
      <c r="I16839" s="2"/>
    </row>
    <row r="16840" spans="9:9">
      <c r="I16840" s="2"/>
    </row>
    <row r="16841" spans="9:9">
      <c r="I16841" s="2"/>
    </row>
    <row r="16842" spans="9:9">
      <c r="I16842" s="2"/>
    </row>
    <row r="16843" spans="9:9">
      <c r="I16843" s="2"/>
    </row>
    <row r="16844" spans="9:9">
      <c r="I16844" s="2"/>
    </row>
    <row r="16845" spans="9:9">
      <c r="I16845" s="2"/>
    </row>
    <row r="16846" spans="9:9">
      <c r="I16846" s="2"/>
    </row>
    <row r="16847" spans="9:9">
      <c r="I16847" s="2"/>
    </row>
    <row r="16848" spans="9:9">
      <c r="I16848" s="2"/>
    </row>
    <row r="16849" spans="9:9">
      <c r="I16849" s="2"/>
    </row>
    <row r="16850" spans="9:9">
      <c r="I16850" s="2"/>
    </row>
    <row r="16851" spans="9:9">
      <c r="I16851" s="2"/>
    </row>
    <row r="16852" spans="9:9">
      <c r="I16852" s="2"/>
    </row>
    <row r="16853" spans="9:9">
      <c r="I16853" s="2"/>
    </row>
    <row r="16854" spans="9:9">
      <c r="I16854" s="2"/>
    </row>
    <row r="16855" spans="9:9">
      <c r="I16855" s="2"/>
    </row>
    <row r="16856" spans="9:9">
      <c r="I16856" s="2"/>
    </row>
    <row r="16857" spans="9:9">
      <c r="I16857" s="2"/>
    </row>
    <row r="16858" spans="9:9">
      <c r="I16858" s="2"/>
    </row>
    <row r="16859" spans="9:9">
      <c r="I16859" s="2"/>
    </row>
    <row r="16860" spans="9:9">
      <c r="I16860" s="2"/>
    </row>
    <row r="16861" spans="9:9">
      <c r="I16861" s="2"/>
    </row>
    <row r="16862" spans="9:9">
      <c r="I16862" s="2"/>
    </row>
    <row r="16863" spans="9:9">
      <c r="I16863" s="2"/>
    </row>
    <row r="16864" spans="9:9">
      <c r="I16864" s="2"/>
    </row>
    <row r="16865" spans="9:9">
      <c r="I16865" s="2"/>
    </row>
    <row r="16866" spans="9:9">
      <c r="I16866" s="2"/>
    </row>
    <row r="16867" spans="9:9">
      <c r="I16867" s="2"/>
    </row>
    <row r="16868" spans="9:9">
      <c r="I16868" s="2"/>
    </row>
    <row r="16869" spans="9:9">
      <c r="I16869" s="2"/>
    </row>
    <row r="16870" spans="9:9">
      <c r="I16870" s="2"/>
    </row>
    <row r="16871" spans="9:9">
      <c r="I16871" s="2"/>
    </row>
    <row r="16872" spans="9:9">
      <c r="I16872" s="2"/>
    </row>
    <row r="16873" spans="9:9">
      <c r="I16873" s="2"/>
    </row>
    <row r="16874" spans="9:9">
      <c r="I16874" s="2"/>
    </row>
    <row r="16875" spans="9:9">
      <c r="I16875" s="2"/>
    </row>
    <row r="16876" spans="9:9">
      <c r="I16876" s="2"/>
    </row>
    <row r="16877" spans="9:9">
      <c r="I16877" s="2"/>
    </row>
    <row r="16878" spans="9:9">
      <c r="I16878" s="2"/>
    </row>
    <row r="16879" spans="9:9">
      <c r="I16879" s="2"/>
    </row>
    <row r="16880" spans="9:9">
      <c r="I16880" s="2"/>
    </row>
    <row r="16881" spans="9:9">
      <c r="I16881" s="2"/>
    </row>
    <row r="16882" spans="9:9">
      <c r="I16882" s="2"/>
    </row>
    <row r="16883" spans="9:9">
      <c r="I16883" s="2"/>
    </row>
    <row r="16884" spans="9:9">
      <c r="I16884" s="2"/>
    </row>
    <row r="16885" spans="9:9">
      <c r="I16885" s="2"/>
    </row>
    <row r="16886" spans="9:9">
      <c r="I16886" s="2"/>
    </row>
    <row r="16887" spans="9:9">
      <c r="I16887" s="2"/>
    </row>
    <row r="16888" spans="9:9">
      <c r="I16888" s="2"/>
    </row>
    <row r="16889" spans="9:9">
      <c r="I16889" s="2"/>
    </row>
    <row r="16890" spans="9:9">
      <c r="I16890" s="2"/>
    </row>
    <row r="16891" spans="9:9">
      <c r="I16891" s="2"/>
    </row>
    <row r="16892" spans="9:9">
      <c r="I16892" s="2"/>
    </row>
    <row r="16893" spans="9:9">
      <c r="I16893" s="2"/>
    </row>
    <row r="16894" spans="9:9">
      <c r="I16894" s="2"/>
    </row>
    <row r="16895" spans="9:9">
      <c r="I16895" s="2"/>
    </row>
    <row r="16896" spans="9:9">
      <c r="I16896" s="2"/>
    </row>
    <row r="16897" spans="9:9">
      <c r="I16897" s="2"/>
    </row>
    <row r="16898" spans="9:9">
      <c r="I16898" s="2"/>
    </row>
    <row r="16899" spans="9:9">
      <c r="I16899" s="2"/>
    </row>
    <row r="16900" spans="9:9">
      <c r="I16900" s="2"/>
    </row>
    <row r="16901" spans="9:9">
      <c r="I16901" s="2"/>
    </row>
    <row r="16902" spans="9:9">
      <c r="I16902" s="2"/>
    </row>
    <row r="16903" spans="9:9">
      <c r="I16903" s="2"/>
    </row>
    <row r="16904" spans="9:9">
      <c r="I16904" s="2"/>
    </row>
    <row r="16905" spans="9:9">
      <c r="I16905" s="2"/>
    </row>
    <row r="16906" spans="9:9">
      <c r="I16906" s="2"/>
    </row>
    <row r="16907" spans="9:9">
      <c r="I16907" s="2"/>
    </row>
    <row r="16908" spans="9:9">
      <c r="I16908" s="2"/>
    </row>
    <row r="16909" spans="9:9">
      <c r="I16909" s="2"/>
    </row>
    <row r="16910" spans="9:9">
      <c r="I16910" s="2"/>
    </row>
    <row r="16911" spans="9:9">
      <c r="I16911" s="2"/>
    </row>
    <row r="16912" spans="9:9">
      <c r="I16912" s="2"/>
    </row>
    <row r="16913" spans="9:9">
      <c r="I16913" s="2"/>
    </row>
    <row r="16914" spans="9:9">
      <c r="I16914" s="2"/>
    </row>
    <row r="16915" spans="9:9">
      <c r="I16915" s="2"/>
    </row>
    <row r="16916" spans="9:9">
      <c r="I16916" s="2"/>
    </row>
    <row r="16917" spans="9:9">
      <c r="I16917" s="2"/>
    </row>
    <row r="16918" spans="9:9">
      <c r="I16918" s="2"/>
    </row>
    <row r="16919" spans="9:9">
      <c r="I16919" s="2"/>
    </row>
    <row r="16920" spans="9:9">
      <c r="I16920" s="2"/>
    </row>
    <row r="16921" spans="9:9">
      <c r="I16921" s="2"/>
    </row>
    <row r="16922" spans="9:9">
      <c r="I16922" s="2"/>
    </row>
    <row r="16923" spans="9:9">
      <c r="I16923" s="2"/>
    </row>
    <row r="16924" spans="9:9">
      <c r="I16924" s="2"/>
    </row>
    <row r="16925" spans="9:9">
      <c r="I16925" s="2"/>
    </row>
    <row r="16926" spans="9:9">
      <c r="I16926" s="2"/>
    </row>
    <row r="16927" spans="9:9">
      <c r="I16927" s="2"/>
    </row>
    <row r="16928" spans="9:9">
      <c r="I16928" s="2"/>
    </row>
    <row r="16929" spans="9:9">
      <c r="I16929" s="2"/>
    </row>
    <row r="16930" spans="9:9">
      <c r="I16930" s="2"/>
    </row>
    <row r="16931" spans="9:9">
      <c r="I16931" s="2"/>
    </row>
    <row r="16932" spans="9:9">
      <c r="I16932" s="2"/>
    </row>
    <row r="16933" spans="9:9">
      <c r="I16933" s="2"/>
    </row>
    <row r="16934" spans="9:9">
      <c r="I16934" s="2"/>
    </row>
    <row r="16935" spans="9:9">
      <c r="I16935" s="2"/>
    </row>
    <row r="16936" spans="9:9">
      <c r="I16936" s="2"/>
    </row>
    <row r="16937" spans="9:9">
      <c r="I16937" s="2"/>
    </row>
    <row r="16938" spans="9:9">
      <c r="I16938" s="2"/>
    </row>
    <row r="16939" spans="9:9">
      <c r="I16939" s="2"/>
    </row>
    <row r="16940" spans="9:9">
      <c r="I16940" s="2"/>
    </row>
    <row r="16941" spans="9:9">
      <c r="I16941" s="2"/>
    </row>
    <row r="16942" spans="9:9">
      <c r="I16942" s="2"/>
    </row>
    <row r="16943" spans="9:9">
      <c r="I16943" s="2"/>
    </row>
    <row r="16944" spans="9:9">
      <c r="I16944" s="2"/>
    </row>
    <row r="16945" spans="9:9">
      <c r="I16945" s="2"/>
    </row>
    <row r="16946" spans="9:9">
      <c r="I16946" s="2"/>
    </row>
    <row r="16947" spans="9:9">
      <c r="I16947" s="2"/>
    </row>
    <row r="16948" spans="9:9">
      <c r="I16948" s="2"/>
    </row>
    <row r="16949" spans="9:9">
      <c r="I16949" s="2"/>
    </row>
    <row r="16950" spans="9:9">
      <c r="I16950" s="2"/>
    </row>
    <row r="16951" spans="9:9">
      <c r="I16951" s="2"/>
    </row>
    <row r="16952" spans="9:9">
      <c r="I16952" s="2"/>
    </row>
    <row r="16953" spans="9:9">
      <c r="I16953" s="2"/>
    </row>
    <row r="16954" spans="9:9">
      <c r="I16954" s="2"/>
    </row>
    <row r="16955" spans="9:9">
      <c r="I16955" s="2"/>
    </row>
    <row r="16956" spans="9:9">
      <c r="I16956" s="2"/>
    </row>
    <row r="16957" spans="9:9">
      <c r="I16957" s="2"/>
    </row>
    <row r="16958" spans="9:9">
      <c r="I16958" s="2"/>
    </row>
    <row r="16959" spans="9:9">
      <c r="I16959" s="2"/>
    </row>
    <row r="16960" spans="9:9">
      <c r="I16960" s="2"/>
    </row>
    <row r="16961" spans="9:9">
      <c r="I16961" s="2"/>
    </row>
    <row r="16962" spans="9:9">
      <c r="I16962" s="2"/>
    </row>
    <row r="16963" spans="9:9">
      <c r="I16963" s="2"/>
    </row>
    <row r="16964" spans="9:9">
      <c r="I16964" s="2"/>
    </row>
    <row r="16965" spans="9:9">
      <c r="I16965" s="2"/>
    </row>
    <row r="16966" spans="9:9">
      <c r="I16966" s="2"/>
    </row>
    <row r="16967" spans="9:9">
      <c r="I16967" s="2"/>
    </row>
    <row r="16968" spans="9:9">
      <c r="I16968" s="2"/>
    </row>
    <row r="16969" spans="9:9">
      <c r="I16969" s="2"/>
    </row>
    <row r="16970" spans="9:9">
      <c r="I16970" s="2"/>
    </row>
    <row r="16971" spans="9:9">
      <c r="I16971" s="2"/>
    </row>
    <row r="16972" spans="9:9">
      <c r="I16972" s="2"/>
    </row>
    <row r="16973" spans="9:9">
      <c r="I16973" s="2"/>
    </row>
    <row r="16974" spans="9:9">
      <c r="I16974" s="2"/>
    </row>
    <row r="16975" spans="9:9">
      <c r="I16975" s="2"/>
    </row>
    <row r="16976" spans="9:9">
      <c r="I16976" s="2"/>
    </row>
    <row r="16977" spans="9:9">
      <c r="I16977" s="2"/>
    </row>
    <row r="16978" spans="9:9">
      <c r="I16978" s="2"/>
    </row>
    <row r="16979" spans="9:9">
      <c r="I16979" s="2"/>
    </row>
    <row r="16980" spans="9:9">
      <c r="I16980" s="2"/>
    </row>
    <row r="16981" spans="9:9">
      <c r="I16981" s="2"/>
    </row>
    <row r="16982" spans="9:9">
      <c r="I16982" s="2"/>
    </row>
    <row r="16983" spans="9:9">
      <c r="I16983" s="2"/>
    </row>
    <row r="16984" spans="9:9">
      <c r="I16984" s="2"/>
    </row>
    <row r="16985" spans="9:9">
      <c r="I16985" s="2"/>
    </row>
    <row r="16986" spans="9:9">
      <c r="I16986" s="2"/>
    </row>
    <row r="16987" spans="9:9">
      <c r="I16987" s="2"/>
    </row>
    <row r="16988" spans="9:9">
      <c r="I16988" s="2"/>
    </row>
    <row r="16989" spans="9:9">
      <c r="I16989" s="2"/>
    </row>
    <row r="16990" spans="9:9">
      <c r="I16990" s="2"/>
    </row>
    <row r="16991" spans="9:9">
      <c r="I16991" s="2"/>
    </row>
    <row r="16992" spans="9:9">
      <c r="I16992" s="2"/>
    </row>
    <row r="16993" spans="9:9">
      <c r="I16993" s="2"/>
    </row>
    <row r="16994" spans="9:9">
      <c r="I16994" s="2"/>
    </row>
    <row r="16995" spans="9:9">
      <c r="I16995" s="2"/>
    </row>
    <row r="16996" spans="9:9">
      <c r="I16996" s="2"/>
    </row>
    <row r="16997" spans="9:9">
      <c r="I16997" s="2"/>
    </row>
    <row r="16998" spans="9:9">
      <c r="I16998" s="2"/>
    </row>
    <row r="16999" spans="9:9">
      <c r="I16999" s="2"/>
    </row>
    <row r="17000" spans="9:9">
      <c r="I17000" s="2"/>
    </row>
    <row r="17001" spans="9:9">
      <c r="I17001" s="2"/>
    </row>
    <row r="17002" spans="9:9">
      <c r="I17002" s="2"/>
    </row>
    <row r="17003" spans="9:9">
      <c r="I17003" s="2"/>
    </row>
    <row r="17004" spans="9:9">
      <c r="I17004" s="2"/>
    </row>
    <row r="17005" spans="9:9">
      <c r="I17005" s="2"/>
    </row>
    <row r="17006" spans="9:9">
      <c r="I17006" s="2"/>
    </row>
    <row r="17007" spans="9:9">
      <c r="I17007" s="2"/>
    </row>
    <row r="17008" spans="9:9">
      <c r="I17008" s="2"/>
    </row>
    <row r="17009" spans="9:9">
      <c r="I17009" s="2"/>
    </row>
    <row r="17010" spans="9:9">
      <c r="I17010" s="2"/>
    </row>
    <row r="17011" spans="9:9">
      <c r="I17011" s="2"/>
    </row>
    <row r="17012" spans="9:9">
      <c r="I17012" s="2"/>
    </row>
    <row r="17013" spans="9:9">
      <c r="I17013" s="2"/>
    </row>
    <row r="17014" spans="9:9">
      <c r="I17014" s="2"/>
    </row>
    <row r="17015" spans="9:9">
      <c r="I17015" s="2"/>
    </row>
    <row r="17016" spans="9:9">
      <c r="I17016" s="2"/>
    </row>
    <row r="17017" spans="9:9">
      <c r="I17017" s="2"/>
    </row>
    <row r="17018" spans="9:9">
      <c r="I17018" s="2"/>
    </row>
    <row r="17019" spans="9:9">
      <c r="I17019" s="2"/>
    </row>
    <row r="17020" spans="9:9">
      <c r="I17020" s="2"/>
    </row>
    <row r="17021" spans="9:9">
      <c r="I17021" s="2"/>
    </row>
    <row r="17022" spans="9:9">
      <c r="I17022" s="2"/>
    </row>
    <row r="17023" spans="9:9">
      <c r="I17023" s="2"/>
    </row>
    <row r="17024" spans="9:9">
      <c r="I17024" s="2"/>
    </row>
    <row r="17025" spans="9:9">
      <c r="I17025" s="2"/>
    </row>
    <row r="17026" spans="9:9">
      <c r="I17026" s="2"/>
    </row>
    <row r="17027" spans="9:9">
      <c r="I17027" s="2"/>
    </row>
    <row r="17028" spans="9:9">
      <c r="I17028" s="2"/>
    </row>
    <row r="17029" spans="9:9">
      <c r="I17029" s="2"/>
    </row>
    <row r="17030" spans="9:9">
      <c r="I17030" s="2"/>
    </row>
    <row r="17031" spans="9:9">
      <c r="I17031" s="2"/>
    </row>
    <row r="17032" spans="9:9">
      <c r="I17032" s="2"/>
    </row>
    <row r="17033" spans="9:9">
      <c r="I17033" s="2"/>
    </row>
    <row r="17034" spans="9:9">
      <c r="I17034" s="2"/>
    </row>
    <row r="17035" spans="9:9">
      <c r="I17035" s="2"/>
    </row>
    <row r="17036" spans="9:9">
      <c r="I17036" s="2"/>
    </row>
    <row r="17037" spans="9:9">
      <c r="I17037" s="2"/>
    </row>
    <row r="17038" spans="9:9">
      <c r="I17038" s="2"/>
    </row>
    <row r="17039" spans="9:9">
      <c r="I17039" s="2"/>
    </row>
    <row r="17040" spans="9:9">
      <c r="I17040" s="2"/>
    </row>
    <row r="17041" spans="9:9">
      <c r="I17041" s="2"/>
    </row>
    <row r="17042" spans="9:9">
      <c r="I17042" s="2"/>
    </row>
    <row r="17043" spans="9:9">
      <c r="I17043" s="2"/>
    </row>
    <row r="17044" spans="9:9">
      <c r="I17044" s="2"/>
    </row>
    <row r="17045" spans="9:9">
      <c r="I17045" s="2"/>
    </row>
    <row r="17046" spans="9:9">
      <c r="I17046" s="2"/>
    </row>
    <row r="17047" spans="9:9">
      <c r="I17047" s="2"/>
    </row>
    <row r="17048" spans="9:9">
      <c r="I17048" s="2"/>
    </row>
    <row r="17049" spans="9:9">
      <c r="I17049" s="2"/>
    </row>
    <row r="17050" spans="9:9">
      <c r="I17050" s="2"/>
    </row>
    <row r="17051" spans="9:9">
      <c r="I17051" s="2"/>
    </row>
    <row r="17052" spans="9:9">
      <c r="I17052" s="2"/>
    </row>
    <row r="17053" spans="9:9">
      <c r="I17053" s="2"/>
    </row>
    <row r="17054" spans="9:9">
      <c r="I17054" s="2"/>
    </row>
    <row r="17055" spans="9:9">
      <c r="I17055" s="2"/>
    </row>
    <row r="17056" spans="9:9">
      <c r="I17056" s="2"/>
    </row>
    <row r="17057" spans="9:9">
      <c r="I17057" s="2"/>
    </row>
    <row r="17058" spans="9:9">
      <c r="I17058" s="2"/>
    </row>
    <row r="17059" spans="9:9">
      <c r="I17059" s="2"/>
    </row>
    <row r="17060" spans="9:9">
      <c r="I17060" s="2"/>
    </row>
    <row r="17061" spans="9:9">
      <c r="I17061" s="2"/>
    </row>
    <row r="17062" spans="9:9">
      <c r="I17062" s="2"/>
    </row>
    <row r="17063" spans="9:9">
      <c r="I17063" s="2"/>
    </row>
    <row r="17064" spans="9:9">
      <c r="I17064" s="2"/>
    </row>
    <row r="17065" spans="9:9">
      <c r="I17065" s="2"/>
    </row>
    <row r="17066" spans="9:9">
      <c r="I17066" s="2"/>
    </row>
    <row r="17067" spans="9:9">
      <c r="I17067" s="2"/>
    </row>
    <row r="17068" spans="9:9">
      <c r="I17068" s="2"/>
    </row>
    <row r="17069" spans="9:9">
      <c r="I17069" s="2"/>
    </row>
    <row r="17070" spans="9:9">
      <c r="I17070" s="2"/>
    </row>
    <row r="17071" spans="9:9">
      <c r="I17071" s="2"/>
    </row>
    <row r="17072" spans="9:9">
      <c r="I17072" s="2"/>
    </row>
    <row r="17073" spans="9:9">
      <c r="I17073" s="2"/>
    </row>
    <row r="17074" spans="9:9">
      <c r="I17074" s="2"/>
    </row>
    <row r="17075" spans="9:9">
      <c r="I17075" s="2"/>
    </row>
    <row r="17076" spans="9:9">
      <c r="I17076" s="2"/>
    </row>
    <row r="17077" spans="9:9">
      <c r="I17077" s="2"/>
    </row>
    <row r="17078" spans="9:9">
      <c r="I17078" s="2"/>
    </row>
    <row r="17079" spans="9:9">
      <c r="I17079" s="2"/>
    </row>
    <row r="17080" spans="9:9">
      <c r="I17080" s="2"/>
    </row>
    <row r="17081" spans="9:9">
      <c r="I17081" s="2"/>
    </row>
    <row r="17082" spans="9:9">
      <c r="I17082" s="2"/>
    </row>
    <row r="17083" spans="9:9">
      <c r="I17083" s="2"/>
    </row>
    <row r="17084" spans="9:9">
      <c r="I17084" s="2"/>
    </row>
    <row r="17085" spans="9:9">
      <c r="I17085" s="2"/>
    </row>
    <row r="17086" spans="9:9">
      <c r="I17086" s="2"/>
    </row>
    <row r="17087" spans="9:9">
      <c r="I17087" s="2"/>
    </row>
    <row r="17088" spans="9:9">
      <c r="I17088" s="2"/>
    </row>
    <row r="17089" spans="9:9">
      <c r="I17089" s="2"/>
    </row>
    <row r="17090" spans="9:9">
      <c r="I17090" s="2"/>
    </row>
    <row r="17091" spans="9:9">
      <c r="I17091" s="2"/>
    </row>
    <row r="17092" spans="9:9">
      <c r="I17092" s="2"/>
    </row>
    <row r="17093" spans="9:9">
      <c r="I17093" s="2"/>
    </row>
    <row r="17094" spans="9:9">
      <c r="I17094" s="2"/>
    </row>
    <row r="17095" spans="9:9">
      <c r="I17095" s="2"/>
    </row>
    <row r="17096" spans="9:9">
      <c r="I17096" s="2"/>
    </row>
    <row r="17097" spans="9:9">
      <c r="I17097" s="2"/>
    </row>
    <row r="17098" spans="9:9">
      <c r="I17098" s="2"/>
    </row>
    <row r="17099" spans="9:9">
      <c r="I17099" s="2"/>
    </row>
    <row r="17100" spans="9:9">
      <c r="I17100" s="2"/>
    </row>
    <row r="17101" spans="9:9">
      <c r="I17101" s="2"/>
    </row>
    <row r="17102" spans="9:9">
      <c r="I17102" s="2"/>
    </row>
    <row r="17103" spans="9:9">
      <c r="I17103" s="2"/>
    </row>
    <row r="17104" spans="9:9">
      <c r="I17104" s="2"/>
    </row>
    <row r="17105" spans="9:9">
      <c r="I17105" s="2"/>
    </row>
    <row r="17106" spans="9:9">
      <c r="I17106" s="2"/>
    </row>
    <row r="17107" spans="9:9">
      <c r="I17107" s="2"/>
    </row>
    <row r="17108" spans="9:9">
      <c r="I17108" s="2"/>
    </row>
    <row r="17109" spans="9:9">
      <c r="I17109" s="2"/>
    </row>
    <row r="17110" spans="9:9">
      <c r="I17110" s="2"/>
    </row>
    <row r="17111" spans="9:9">
      <c r="I17111" s="2"/>
    </row>
    <row r="17112" spans="9:9">
      <c r="I17112" s="2"/>
    </row>
    <row r="17113" spans="9:9">
      <c r="I17113" s="2"/>
    </row>
    <row r="17114" spans="9:9">
      <c r="I17114" s="2"/>
    </row>
    <row r="17115" spans="9:9">
      <c r="I17115" s="2"/>
    </row>
    <row r="17116" spans="9:9">
      <c r="I17116" s="2"/>
    </row>
    <row r="17117" spans="9:9">
      <c r="I17117" s="2"/>
    </row>
    <row r="17118" spans="9:9">
      <c r="I17118" s="2"/>
    </row>
    <row r="17119" spans="9:9">
      <c r="I17119" s="2"/>
    </row>
    <row r="17120" spans="9:9">
      <c r="I17120" s="2"/>
    </row>
    <row r="17121" spans="9:9">
      <c r="I17121" s="2"/>
    </row>
    <row r="17122" spans="9:9">
      <c r="I17122" s="2"/>
    </row>
    <row r="17123" spans="9:9">
      <c r="I17123" s="2"/>
    </row>
    <row r="17124" spans="9:9">
      <c r="I17124" s="2"/>
    </row>
    <row r="17125" spans="9:9">
      <c r="I17125" s="2"/>
    </row>
    <row r="17126" spans="9:9">
      <c r="I17126" s="2"/>
    </row>
    <row r="17127" spans="9:9">
      <c r="I17127" s="2"/>
    </row>
    <row r="17128" spans="9:9">
      <c r="I17128" s="2"/>
    </row>
    <row r="17129" spans="9:9">
      <c r="I17129" s="2"/>
    </row>
    <row r="17130" spans="9:9">
      <c r="I17130" s="2"/>
    </row>
    <row r="17131" spans="9:9">
      <c r="I17131" s="2"/>
    </row>
    <row r="17132" spans="9:9">
      <c r="I17132" s="2"/>
    </row>
    <row r="17133" spans="9:9">
      <c r="I17133" s="2"/>
    </row>
    <row r="17134" spans="9:9">
      <c r="I17134" s="2"/>
    </row>
    <row r="17135" spans="9:9">
      <c r="I17135" s="2"/>
    </row>
    <row r="17136" spans="9:9">
      <c r="I17136" s="2"/>
    </row>
    <row r="17137" spans="9:9">
      <c r="I17137" s="2"/>
    </row>
    <row r="17138" spans="9:9">
      <c r="I17138" s="2"/>
    </row>
    <row r="17139" spans="9:9">
      <c r="I17139" s="2"/>
    </row>
    <row r="17140" spans="9:9">
      <c r="I17140" s="2"/>
    </row>
    <row r="17141" spans="9:9">
      <c r="I17141" s="2"/>
    </row>
    <row r="17142" spans="9:9">
      <c r="I17142" s="2"/>
    </row>
    <row r="17143" spans="9:9">
      <c r="I17143" s="2"/>
    </row>
    <row r="17144" spans="9:9">
      <c r="I17144" s="2"/>
    </row>
    <row r="17145" spans="9:9">
      <c r="I17145" s="2"/>
    </row>
    <row r="17146" spans="9:9">
      <c r="I17146" s="2"/>
    </row>
    <row r="17147" spans="9:9">
      <c r="I17147" s="2"/>
    </row>
    <row r="17148" spans="9:9">
      <c r="I17148" s="2"/>
    </row>
    <row r="17149" spans="9:9">
      <c r="I17149" s="2"/>
    </row>
    <row r="17150" spans="9:9">
      <c r="I17150" s="2"/>
    </row>
    <row r="17151" spans="9:9">
      <c r="I17151" s="2"/>
    </row>
    <row r="17152" spans="9:9">
      <c r="I17152" s="2"/>
    </row>
    <row r="17153" spans="9:9">
      <c r="I17153" s="2"/>
    </row>
    <row r="17154" spans="9:9">
      <c r="I17154" s="2"/>
    </row>
    <row r="17155" spans="9:9">
      <c r="I17155" s="2"/>
    </row>
    <row r="17156" spans="9:9">
      <c r="I17156" s="2"/>
    </row>
    <row r="17157" spans="9:9">
      <c r="I17157" s="2"/>
    </row>
    <row r="17158" spans="9:9">
      <c r="I17158" s="2"/>
    </row>
    <row r="17159" spans="9:9">
      <c r="I17159" s="2"/>
    </row>
    <row r="17160" spans="9:9">
      <c r="I17160" s="2"/>
    </row>
    <row r="17161" spans="9:9">
      <c r="I17161" s="2"/>
    </row>
    <row r="17162" spans="9:9">
      <c r="I17162" s="2"/>
    </row>
    <row r="17163" spans="9:9">
      <c r="I17163" s="2"/>
    </row>
    <row r="17164" spans="9:9">
      <c r="I17164" s="2"/>
    </row>
    <row r="17165" spans="9:9">
      <c r="I17165" s="2"/>
    </row>
    <row r="17166" spans="9:9">
      <c r="I17166" s="2"/>
    </row>
    <row r="17167" spans="9:9">
      <c r="I17167" s="2"/>
    </row>
    <row r="17168" spans="9:9">
      <c r="I17168" s="2"/>
    </row>
    <row r="17169" spans="9:9">
      <c r="I17169" s="2"/>
    </row>
    <row r="17170" spans="9:9">
      <c r="I17170" s="2"/>
    </row>
    <row r="17171" spans="9:9">
      <c r="I17171" s="2"/>
    </row>
    <row r="17172" spans="9:9">
      <c r="I17172" s="2"/>
    </row>
    <row r="17173" spans="9:9">
      <c r="I17173" s="2"/>
    </row>
    <row r="17174" spans="9:9">
      <c r="I17174" s="2"/>
    </row>
    <row r="17175" spans="9:9">
      <c r="I17175" s="2"/>
    </row>
    <row r="17176" spans="9:9">
      <c r="I17176" s="2"/>
    </row>
    <row r="17177" spans="9:9">
      <c r="I17177" s="2"/>
    </row>
    <row r="17178" spans="9:9">
      <c r="I17178" s="2"/>
    </row>
    <row r="17179" spans="9:9">
      <c r="I17179" s="2"/>
    </row>
    <row r="17180" spans="9:9">
      <c r="I17180" s="2"/>
    </row>
    <row r="17181" spans="9:9">
      <c r="I17181" s="2"/>
    </row>
    <row r="17182" spans="9:9">
      <c r="I17182" s="2"/>
    </row>
    <row r="17183" spans="9:9">
      <c r="I17183" s="2"/>
    </row>
    <row r="17184" spans="9:9">
      <c r="I17184" s="2"/>
    </row>
    <row r="17185" spans="9:9">
      <c r="I17185" s="2"/>
    </row>
    <row r="17186" spans="9:9">
      <c r="I17186" s="2"/>
    </row>
    <row r="17187" spans="9:9">
      <c r="I17187" s="2"/>
    </row>
    <row r="17188" spans="9:9">
      <c r="I17188" s="2"/>
    </row>
    <row r="17189" spans="9:9">
      <c r="I17189" s="2"/>
    </row>
    <row r="17190" spans="9:9">
      <c r="I17190" s="2"/>
    </row>
    <row r="17191" spans="9:9">
      <c r="I17191" s="2"/>
    </row>
    <row r="17192" spans="9:9">
      <c r="I17192" s="2"/>
    </row>
    <row r="17193" spans="9:9">
      <c r="I17193" s="2"/>
    </row>
    <row r="17194" spans="9:9">
      <c r="I17194" s="2"/>
    </row>
    <row r="17195" spans="9:9">
      <c r="I17195" s="2"/>
    </row>
    <row r="17196" spans="9:9">
      <c r="I17196" s="2"/>
    </row>
    <row r="17197" spans="9:9">
      <c r="I17197" s="2"/>
    </row>
    <row r="17198" spans="9:9">
      <c r="I17198" s="2"/>
    </row>
    <row r="17199" spans="9:9">
      <c r="I17199" s="2"/>
    </row>
    <row r="17200" spans="9:9">
      <c r="I17200" s="2"/>
    </row>
    <row r="17201" spans="9:9">
      <c r="I17201" s="2"/>
    </row>
    <row r="17202" spans="9:9">
      <c r="I17202" s="2"/>
    </row>
    <row r="17203" spans="9:9">
      <c r="I17203" s="2"/>
    </row>
    <row r="17204" spans="9:9">
      <c r="I17204" s="2"/>
    </row>
    <row r="17205" spans="9:9">
      <c r="I17205" s="2"/>
    </row>
    <row r="17206" spans="9:9">
      <c r="I17206" s="2"/>
    </row>
    <row r="17207" spans="9:9">
      <c r="I17207" s="2"/>
    </row>
    <row r="17208" spans="9:9">
      <c r="I17208" s="2"/>
    </row>
    <row r="17209" spans="9:9">
      <c r="I17209" s="2"/>
    </row>
    <row r="17210" spans="9:9">
      <c r="I17210" s="2"/>
    </row>
    <row r="17211" spans="9:9">
      <c r="I17211" s="2"/>
    </row>
    <row r="17212" spans="9:9">
      <c r="I17212" s="2"/>
    </row>
    <row r="17213" spans="9:9">
      <c r="I17213" s="2"/>
    </row>
    <row r="17214" spans="9:9">
      <c r="I17214" s="2"/>
    </row>
    <row r="17215" spans="9:9">
      <c r="I17215" s="2"/>
    </row>
    <row r="17216" spans="9:9">
      <c r="I17216" s="2"/>
    </row>
    <row r="17217" spans="9:9">
      <c r="I17217" s="2"/>
    </row>
    <row r="17218" spans="9:9">
      <c r="I17218" s="2"/>
    </row>
    <row r="17219" spans="9:9">
      <c r="I17219" s="2"/>
    </row>
    <row r="17220" spans="9:9">
      <c r="I17220" s="2"/>
    </row>
    <row r="17221" spans="9:9">
      <c r="I17221" s="2"/>
    </row>
    <row r="17222" spans="9:9">
      <c r="I17222" s="2"/>
    </row>
    <row r="17223" spans="9:9">
      <c r="I17223" s="2"/>
    </row>
    <row r="17224" spans="9:9">
      <c r="I17224" s="2"/>
    </row>
    <row r="17225" spans="9:9">
      <c r="I17225" s="2"/>
    </row>
    <row r="17226" spans="9:9">
      <c r="I17226" s="2"/>
    </row>
    <row r="17227" spans="9:9">
      <c r="I17227" s="2"/>
    </row>
    <row r="17228" spans="9:9">
      <c r="I17228" s="2"/>
    </row>
    <row r="17229" spans="9:9">
      <c r="I17229" s="2"/>
    </row>
    <row r="17230" spans="9:9">
      <c r="I17230" s="2"/>
    </row>
    <row r="17231" spans="9:9">
      <c r="I17231" s="2"/>
    </row>
    <row r="17232" spans="9:9">
      <c r="I17232" s="2"/>
    </row>
    <row r="17233" spans="9:9">
      <c r="I17233" s="2"/>
    </row>
    <row r="17234" spans="9:9">
      <c r="I17234" s="2"/>
    </row>
    <row r="17235" spans="9:9">
      <c r="I17235" s="2"/>
    </row>
    <row r="17236" spans="9:9">
      <c r="I17236" s="2"/>
    </row>
    <row r="17237" spans="9:9">
      <c r="I17237" s="2"/>
    </row>
    <row r="17238" spans="9:9">
      <c r="I17238" s="2"/>
    </row>
    <row r="17239" spans="9:9">
      <c r="I17239" s="2"/>
    </row>
    <row r="17240" spans="9:9">
      <c r="I17240" s="2"/>
    </row>
    <row r="17241" spans="9:9">
      <c r="I17241" s="2"/>
    </row>
    <row r="17242" spans="9:9">
      <c r="I17242" s="2"/>
    </row>
    <row r="17243" spans="9:9">
      <c r="I17243" s="2"/>
    </row>
    <row r="17244" spans="9:9">
      <c r="I17244" s="2"/>
    </row>
    <row r="17245" spans="9:9">
      <c r="I17245" s="2"/>
    </row>
    <row r="17246" spans="9:9">
      <c r="I17246" s="2"/>
    </row>
    <row r="17247" spans="9:9">
      <c r="I17247" s="2"/>
    </row>
    <row r="17248" spans="9:9">
      <c r="I17248" s="2"/>
    </row>
    <row r="17249" spans="9:9">
      <c r="I17249" s="2"/>
    </row>
    <row r="17250" spans="9:9">
      <c r="I17250" s="2"/>
    </row>
    <row r="17251" spans="9:9">
      <c r="I17251" s="2"/>
    </row>
    <row r="17252" spans="9:9">
      <c r="I17252" s="2"/>
    </row>
    <row r="17253" spans="9:9">
      <c r="I17253" s="2"/>
    </row>
    <row r="17254" spans="9:9">
      <c r="I17254" s="2"/>
    </row>
    <row r="17255" spans="9:9">
      <c r="I17255" s="2"/>
    </row>
    <row r="17256" spans="9:9">
      <c r="I17256" s="2"/>
    </row>
    <row r="17257" spans="9:9">
      <c r="I17257" s="2"/>
    </row>
    <row r="17258" spans="9:9">
      <c r="I17258" s="2"/>
    </row>
    <row r="17259" spans="9:9">
      <c r="I17259" s="2"/>
    </row>
    <row r="17260" spans="9:9">
      <c r="I17260" s="2"/>
    </row>
    <row r="17261" spans="9:9">
      <c r="I17261" s="2"/>
    </row>
    <row r="17262" spans="9:9">
      <c r="I17262" s="2"/>
    </row>
    <row r="17263" spans="9:9">
      <c r="I17263" s="2"/>
    </row>
    <row r="17264" spans="9:9">
      <c r="I17264" s="2"/>
    </row>
    <row r="17265" spans="9:9">
      <c r="I17265" s="2"/>
    </row>
    <row r="17266" spans="9:9">
      <c r="I17266" s="2"/>
    </row>
    <row r="17267" spans="9:9">
      <c r="I17267" s="2"/>
    </row>
    <row r="17268" spans="9:9">
      <c r="I17268" s="2"/>
    </row>
    <row r="17269" spans="9:9">
      <c r="I17269" s="2"/>
    </row>
    <row r="17270" spans="9:9">
      <c r="I17270" s="2"/>
    </row>
    <row r="17271" spans="9:9">
      <c r="I17271" s="2"/>
    </row>
    <row r="17272" spans="9:9">
      <c r="I17272" s="2"/>
    </row>
    <row r="17273" spans="9:9">
      <c r="I17273" s="2"/>
    </row>
    <row r="17274" spans="9:9">
      <c r="I17274" s="2"/>
    </row>
    <row r="17275" spans="9:9">
      <c r="I17275" s="2"/>
    </row>
    <row r="17276" spans="9:9">
      <c r="I17276" s="2"/>
    </row>
    <row r="17277" spans="9:9">
      <c r="I17277" s="2"/>
    </row>
    <row r="17278" spans="9:9">
      <c r="I17278" s="2"/>
    </row>
    <row r="17279" spans="9:9">
      <c r="I17279" s="2"/>
    </row>
    <row r="17280" spans="9:9">
      <c r="I17280" s="2"/>
    </row>
    <row r="17281" spans="9:9">
      <c r="I17281" s="2"/>
    </row>
    <row r="17282" spans="9:9">
      <c r="I17282" s="2"/>
    </row>
    <row r="17283" spans="9:9">
      <c r="I17283" s="2"/>
    </row>
    <row r="17284" spans="9:9">
      <c r="I17284" s="2"/>
    </row>
    <row r="17285" spans="9:9">
      <c r="I17285" s="2"/>
    </row>
    <row r="17286" spans="9:9">
      <c r="I17286" s="2"/>
    </row>
    <row r="17287" spans="9:9">
      <c r="I17287" s="2"/>
    </row>
    <row r="17288" spans="9:9">
      <c r="I17288" s="2"/>
    </row>
    <row r="17289" spans="9:9">
      <c r="I17289" s="2"/>
    </row>
    <row r="17290" spans="9:9">
      <c r="I17290" s="2"/>
    </row>
    <row r="17291" spans="9:9">
      <c r="I17291" s="2"/>
    </row>
    <row r="17292" spans="9:9">
      <c r="I17292" s="2"/>
    </row>
    <row r="17293" spans="9:9">
      <c r="I17293" s="2"/>
    </row>
    <row r="17294" spans="9:9">
      <c r="I17294" s="2"/>
    </row>
    <row r="17295" spans="9:9">
      <c r="I17295" s="2"/>
    </row>
    <row r="17296" spans="9:9">
      <c r="I17296" s="2"/>
    </row>
    <row r="17297" spans="9:9">
      <c r="I17297" s="2"/>
    </row>
    <row r="17298" spans="9:9">
      <c r="I17298" s="2"/>
    </row>
    <row r="17299" spans="9:9">
      <c r="I17299" s="2"/>
    </row>
    <row r="17300" spans="9:9">
      <c r="I17300" s="2"/>
    </row>
    <row r="17301" spans="9:9">
      <c r="I17301" s="2"/>
    </row>
    <row r="17302" spans="9:9">
      <c r="I17302" s="2"/>
    </row>
    <row r="17303" spans="9:9">
      <c r="I17303" s="2"/>
    </row>
    <row r="17304" spans="9:9">
      <c r="I17304" s="2"/>
    </row>
    <row r="17305" spans="9:9">
      <c r="I17305" s="2"/>
    </row>
    <row r="17306" spans="9:9">
      <c r="I17306" s="2"/>
    </row>
    <row r="17307" spans="9:9">
      <c r="I17307" s="2"/>
    </row>
    <row r="17308" spans="9:9">
      <c r="I17308" s="2"/>
    </row>
    <row r="17309" spans="9:9">
      <c r="I17309" s="2"/>
    </row>
    <row r="17310" spans="9:9">
      <c r="I17310" s="2"/>
    </row>
    <row r="17311" spans="9:9">
      <c r="I17311" s="2"/>
    </row>
    <row r="17312" spans="9:9">
      <c r="I17312" s="2"/>
    </row>
    <row r="17313" spans="9:9">
      <c r="I17313" s="2"/>
    </row>
    <row r="17314" spans="9:9">
      <c r="I17314" s="2"/>
    </row>
    <row r="17315" spans="9:9">
      <c r="I17315" s="2"/>
    </row>
    <row r="17316" spans="9:9">
      <c r="I17316" s="2"/>
    </row>
    <row r="17317" spans="9:9">
      <c r="I17317" s="2"/>
    </row>
    <row r="17318" spans="9:9">
      <c r="I17318" s="2"/>
    </row>
    <row r="17319" spans="9:9">
      <c r="I17319" s="2"/>
    </row>
    <row r="17320" spans="9:9">
      <c r="I17320" s="2"/>
    </row>
    <row r="17321" spans="9:9">
      <c r="I17321" s="2"/>
    </row>
    <row r="17322" spans="9:9">
      <c r="I17322" s="2"/>
    </row>
    <row r="17323" spans="9:9">
      <c r="I17323" s="2"/>
    </row>
    <row r="17324" spans="9:9">
      <c r="I17324" s="2"/>
    </row>
    <row r="17325" spans="9:9">
      <c r="I17325" s="2"/>
    </row>
    <row r="17326" spans="9:9">
      <c r="I17326" s="2"/>
    </row>
    <row r="17327" spans="9:9">
      <c r="I17327" s="2"/>
    </row>
    <row r="17328" spans="9:9">
      <c r="I17328" s="2"/>
    </row>
    <row r="17329" spans="9:9">
      <c r="I17329" s="2"/>
    </row>
    <row r="17330" spans="9:9">
      <c r="I17330" s="2"/>
    </row>
    <row r="17331" spans="9:9">
      <c r="I17331" s="2"/>
    </row>
    <row r="17332" spans="9:9">
      <c r="I17332" s="2"/>
    </row>
    <row r="17333" spans="9:9">
      <c r="I17333" s="2"/>
    </row>
    <row r="17334" spans="9:9">
      <c r="I17334" s="2"/>
    </row>
    <row r="17335" spans="9:9">
      <c r="I17335" s="2"/>
    </row>
    <row r="17336" spans="9:9">
      <c r="I17336" s="2"/>
    </row>
    <row r="17337" spans="9:9">
      <c r="I17337" s="2"/>
    </row>
    <row r="17338" spans="9:9">
      <c r="I17338" s="2"/>
    </row>
    <row r="17339" spans="9:9">
      <c r="I17339" s="2"/>
    </row>
    <row r="17340" spans="9:9">
      <c r="I17340" s="2"/>
    </row>
    <row r="17341" spans="9:9">
      <c r="I17341" s="2"/>
    </row>
    <row r="17342" spans="9:9">
      <c r="I17342" s="2"/>
    </row>
    <row r="17343" spans="9:9">
      <c r="I17343" s="2"/>
    </row>
    <row r="17344" spans="9:9">
      <c r="I17344" s="2"/>
    </row>
    <row r="17345" spans="9:9">
      <c r="I17345" s="2"/>
    </row>
    <row r="17346" spans="9:9">
      <c r="I17346" s="2"/>
    </row>
    <row r="17347" spans="9:9">
      <c r="I17347" s="2"/>
    </row>
    <row r="17348" spans="9:9">
      <c r="I17348" s="2"/>
    </row>
    <row r="17349" spans="9:9">
      <c r="I17349" s="2"/>
    </row>
    <row r="17350" spans="9:9">
      <c r="I17350" s="2"/>
    </row>
    <row r="17351" spans="9:9">
      <c r="I17351" s="2"/>
    </row>
    <row r="17352" spans="9:9">
      <c r="I17352" s="2"/>
    </row>
    <row r="17353" spans="9:9">
      <c r="I17353" s="2"/>
    </row>
    <row r="17354" spans="9:9">
      <c r="I17354" s="2"/>
    </row>
    <row r="17355" spans="9:9">
      <c r="I17355" s="2"/>
    </row>
    <row r="17356" spans="9:9">
      <c r="I17356" s="2"/>
    </row>
    <row r="17357" spans="9:9">
      <c r="I17357" s="2"/>
    </row>
    <row r="17358" spans="9:9">
      <c r="I17358" s="2"/>
    </row>
    <row r="17359" spans="9:9">
      <c r="I17359" s="2"/>
    </row>
    <row r="17360" spans="9:9">
      <c r="I17360" s="2"/>
    </row>
    <row r="17361" spans="9:9">
      <c r="I17361" s="2"/>
    </row>
    <row r="17362" spans="9:9">
      <c r="I17362" s="2"/>
    </row>
    <row r="17363" spans="9:9">
      <c r="I17363" s="2"/>
    </row>
    <row r="17364" spans="9:9">
      <c r="I17364" s="2"/>
    </row>
    <row r="17365" spans="9:9">
      <c r="I17365" s="2"/>
    </row>
    <row r="17366" spans="9:9">
      <c r="I17366" s="2"/>
    </row>
    <row r="17367" spans="9:9">
      <c r="I17367" s="2"/>
    </row>
    <row r="17368" spans="9:9">
      <c r="I17368" s="2"/>
    </row>
    <row r="17369" spans="9:9">
      <c r="I17369" s="2"/>
    </row>
    <row r="17370" spans="9:9">
      <c r="I17370" s="2"/>
    </row>
    <row r="17371" spans="9:9">
      <c r="I17371" s="2"/>
    </row>
    <row r="17372" spans="9:9">
      <c r="I17372" s="2"/>
    </row>
    <row r="17373" spans="9:9">
      <c r="I17373" s="2"/>
    </row>
    <row r="17374" spans="9:9">
      <c r="I17374" s="2"/>
    </row>
    <row r="17375" spans="9:9">
      <c r="I17375" s="2"/>
    </row>
    <row r="17376" spans="9:9">
      <c r="I17376" s="2"/>
    </row>
    <row r="17377" spans="9:9">
      <c r="I17377" s="2"/>
    </row>
    <row r="17378" spans="9:9">
      <c r="I17378" s="2"/>
    </row>
    <row r="17379" spans="9:9">
      <c r="I17379" s="2"/>
    </row>
    <row r="17380" spans="9:9">
      <c r="I17380" s="2"/>
    </row>
    <row r="17381" spans="9:9">
      <c r="I17381" s="2"/>
    </row>
    <row r="17382" spans="9:9">
      <c r="I17382" s="2"/>
    </row>
    <row r="17383" spans="9:9">
      <c r="I17383" s="2"/>
    </row>
    <row r="17384" spans="9:9">
      <c r="I17384" s="2"/>
    </row>
    <row r="17385" spans="9:9">
      <c r="I17385" s="2"/>
    </row>
    <row r="17386" spans="9:9">
      <c r="I17386" s="2"/>
    </row>
    <row r="17387" spans="9:9">
      <c r="I17387" s="2"/>
    </row>
    <row r="17388" spans="9:9">
      <c r="I17388" s="2"/>
    </row>
    <row r="17389" spans="9:9">
      <c r="I17389" s="2"/>
    </row>
    <row r="17390" spans="9:9">
      <c r="I17390" s="2"/>
    </row>
    <row r="17391" spans="9:9">
      <c r="I17391" s="2"/>
    </row>
    <row r="17392" spans="9:9">
      <c r="I17392" s="2"/>
    </row>
    <row r="17393" spans="9:9">
      <c r="I17393" s="2"/>
    </row>
    <row r="17394" spans="9:9">
      <c r="I17394" s="2"/>
    </row>
    <row r="17395" spans="9:9">
      <c r="I17395" s="2"/>
    </row>
    <row r="17396" spans="9:9">
      <c r="I17396" s="2"/>
    </row>
    <row r="17397" spans="9:9">
      <c r="I17397" s="2"/>
    </row>
    <row r="17398" spans="9:9">
      <c r="I17398" s="2"/>
    </row>
    <row r="17399" spans="9:9">
      <c r="I17399" s="2"/>
    </row>
    <row r="17400" spans="9:9">
      <c r="I17400" s="2"/>
    </row>
    <row r="17401" spans="9:9">
      <c r="I17401" s="2"/>
    </row>
    <row r="17402" spans="9:9">
      <c r="I17402" s="2"/>
    </row>
    <row r="17403" spans="9:9">
      <c r="I17403" s="2"/>
    </row>
    <row r="17404" spans="9:9">
      <c r="I17404" s="2"/>
    </row>
    <row r="17405" spans="9:9">
      <c r="I17405" s="2"/>
    </row>
    <row r="17406" spans="9:9">
      <c r="I17406" s="2"/>
    </row>
    <row r="17407" spans="9:9">
      <c r="I17407" s="2"/>
    </row>
    <row r="17408" spans="9:9">
      <c r="I17408" s="2"/>
    </row>
    <row r="17409" spans="9:9">
      <c r="I17409" s="2"/>
    </row>
    <row r="17410" spans="9:9">
      <c r="I17410" s="2"/>
    </row>
    <row r="17411" spans="9:9">
      <c r="I17411" s="2"/>
    </row>
    <row r="17412" spans="9:9">
      <c r="I17412" s="2"/>
    </row>
    <row r="17413" spans="9:9">
      <c r="I17413" s="2"/>
    </row>
    <row r="17414" spans="9:9">
      <c r="I17414" s="2"/>
    </row>
    <row r="17415" spans="9:9">
      <c r="I17415" s="2"/>
    </row>
    <row r="17416" spans="9:9">
      <c r="I17416" s="2"/>
    </row>
    <row r="17417" spans="9:9">
      <c r="I17417" s="2"/>
    </row>
    <row r="17418" spans="9:9">
      <c r="I17418" s="2"/>
    </row>
    <row r="17419" spans="9:9">
      <c r="I17419" s="2"/>
    </row>
    <row r="17420" spans="9:9">
      <c r="I17420" s="2"/>
    </row>
    <row r="17421" spans="9:9">
      <c r="I17421" s="2"/>
    </row>
    <row r="17422" spans="9:9">
      <c r="I17422" s="2"/>
    </row>
    <row r="17423" spans="9:9">
      <c r="I17423" s="2"/>
    </row>
    <row r="17424" spans="9:9">
      <c r="I17424" s="2"/>
    </row>
    <row r="17425" spans="9:9">
      <c r="I17425" s="2"/>
    </row>
    <row r="17426" spans="9:9">
      <c r="I17426" s="2"/>
    </row>
    <row r="17427" spans="9:9">
      <c r="I17427" s="2"/>
    </row>
    <row r="17428" spans="9:9">
      <c r="I17428" s="2"/>
    </row>
    <row r="17429" spans="9:9">
      <c r="I17429" s="2"/>
    </row>
    <row r="17430" spans="9:9">
      <c r="I17430" s="2"/>
    </row>
    <row r="17431" spans="9:9">
      <c r="I17431" s="2"/>
    </row>
    <row r="17432" spans="9:9">
      <c r="I17432" s="2"/>
    </row>
    <row r="17433" spans="9:9">
      <c r="I17433" s="2"/>
    </row>
    <row r="17434" spans="9:9">
      <c r="I17434" s="2"/>
    </row>
    <row r="17435" spans="9:9">
      <c r="I17435" s="2"/>
    </row>
    <row r="17436" spans="9:9">
      <c r="I17436" s="2"/>
    </row>
    <row r="17437" spans="9:9">
      <c r="I17437" s="2"/>
    </row>
    <row r="17438" spans="9:9">
      <c r="I17438" s="2"/>
    </row>
    <row r="17439" spans="9:9">
      <c r="I17439" s="2"/>
    </row>
    <row r="17440" spans="9:9">
      <c r="I17440" s="2"/>
    </row>
    <row r="17441" spans="9:9">
      <c r="I17441" s="2"/>
    </row>
    <row r="17442" spans="9:9">
      <c r="I17442" s="2"/>
    </row>
    <row r="17443" spans="9:9">
      <c r="I17443" s="2"/>
    </row>
    <row r="17444" spans="9:9">
      <c r="I17444" s="2"/>
    </row>
    <row r="17445" spans="9:9">
      <c r="I17445" s="2"/>
    </row>
    <row r="17446" spans="9:9">
      <c r="I17446" s="2"/>
    </row>
    <row r="17447" spans="9:9">
      <c r="I17447" s="2"/>
    </row>
    <row r="17448" spans="9:9">
      <c r="I17448" s="2"/>
    </row>
    <row r="17449" spans="9:9">
      <c r="I17449" s="2"/>
    </row>
    <row r="17450" spans="9:9">
      <c r="I17450" s="2"/>
    </row>
    <row r="17451" spans="9:9">
      <c r="I17451" s="2"/>
    </row>
    <row r="17452" spans="9:9">
      <c r="I17452" s="2"/>
    </row>
    <row r="17453" spans="9:9">
      <c r="I17453" s="2"/>
    </row>
    <row r="17454" spans="9:9">
      <c r="I17454" s="2"/>
    </row>
    <row r="17455" spans="9:9">
      <c r="I17455" s="2"/>
    </row>
    <row r="17456" spans="9:9">
      <c r="I17456" s="2"/>
    </row>
    <row r="17457" spans="9:9">
      <c r="I17457" s="2"/>
    </row>
    <row r="17458" spans="9:9">
      <c r="I17458" s="2"/>
    </row>
    <row r="17459" spans="9:9">
      <c r="I17459" s="2"/>
    </row>
    <row r="17460" spans="9:9">
      <c r="I17460" s="2"/>
    </row>
    <row r="17461" spans="9:9">
      <c r="I17461" s="2"/>
    </row>
    <row r="17462" spans="9:9">
      <c r="I17462" s="2"/>
    </row>
    <row r="17463" spans="9:9">
      <c r="I17463" s="2"/>
    </row>
    <row r="17464" spans="9:9">
      <c r="I17464" s="2"/>
    </row>
    <row r="17465" spans="9:9">
      <c r="I17465" s="2"/>
    </row>
    <row r="17466" spans="9:9">
      <c r="I17466" s="2"/>
    </row>
    <row r="17467" spans="9:9">
      <c r="I17467" s="2"/>
    </row>
    <row r="17468" spans="9:9">
      <c r="I17468" s="2"/>
    </row>
    <row r="17469" spans="9:9">
      <c r="I17469" s="2"/>
    </row>
    <row r="17470" spans="9:9">
      <c r="I17470" s="2"/>
    </row>
    <row r="17471" spans="9:9">
      <c r="I17471" s="2"/>
    </row>
    <row r="17472" spans="9:9">
      <c r="I17472" s="2"/>
    </row>
    <row r="17473" spans="9:9">
      <c r="I17473" s="2"/>
    </row>
    <row r="17474" spans="9:9">
      <c r="I17474" s="2"/>
    </row>
    <row r="17475" spans="9:9">
      <c r="I17475" s="2"/>
    </row>
    <row r="17476" spans="9:9">
      <c r="I17476" s="2"/>
    </row>
    <row r="17477" spans="9:9">
      <c r="I17477" s="2"/>
    </row>
    <row r="17478" spans="9:9">
      <c r="I17478" s="2"/>
    </row>
    <row r="17479" spans="9:9">
      <c r="I17479" s="2"/>
    </row>
    <row r="17480" spans="9:9">
      <c r="I17480" s="2"/>
    </row>
    <row r="17481" spans="9:9">
      <c r="I17481" s="2"/>
    </row>
    <row r="17482" spans="9:9">
      <c r="I17482" s="2"/>
    </row>
    <row r="17483" spans="9:9">
      <c r="I17483" s="2"/>
    </row>
    <row r="17484" spans="9:9">
      <c r="I17484" s="2"/>
    </row>
    <row r="17485" spans="9:9">
      <c r="I17485" s="2"/>
    </row>
    <row r="17486" spans="9:9">
      <c r="I17486" s="2"/>
    </row>
    <row r="17487" spans="9:9">
      <c r="I17487" s="2"/>
    </row>
    <row r="17488" spans="9:9">
      <c r="I17488" s="2"/>
    </row>
    <row r="17489" spans="9:9">
      <c r="I17489" s="2"/>
    </row>
    <row r="17490" spans="9:9">
      <c r="I17490" s="2"/>
    </row>
    <row r="17491" spans="9:9">
      <c r="I17491" s="2"/>
    </row>
    <row r="17492" spans="9:9">
      <c r="I17492" s="2"/>
    </row>
    <row r="17493" spans="9:9">
      <c r="I17493" s="2"/>
    </row>
    <row r="17494" spans="9:9">
      <c r="I17494" s="2"/>
    </row>
    <row r="17495" spans="9:9">
      <c r="I17495" s="2"/>
    </row>
    <row r="17496" spans="9:9">
      <c r="I17496" s="2"/>
    </row>
    <row r="17497" spans="9:9">
      <c r="I17497" s="2"/>
    </row>
    <row r="17498" spans="9:9">
      <c r="I17498" s="2"/>
    </row>
    <row r="17499" spans="9:9">
      <c r="I17499" s="2"/>
    </row>
    <row r="17500" spans="9:9">
      <c r="I17500" s="2"/>
    </row>
    <row r="17501" spans="9:9">
      <c r="I17501" s="2"/>
    </row>
    <row r="17502" spans="9:9">
      <c r="I17502" s="2"/>
    </row>
    <row r="17503" spans="9:9">
      <c r="I17503" s="2"/>
    </row>
    <row r="17504" spans="9:9">
      <c r="I17504" s="2"/>
    </row>
    <row r="17505" spans="9:9">
      <c r="I17505" s="2"/>
    </row>
    <row r="17506" spans="9:9">
      <c r="I17506" s="2"/>
    </row>
    <row r="17507" spans="9:9">
      <c r="I17507" s="2"/>
    </row>
    <row r="17508" spans="9:9">
      <c r="I17508" s="2"/>
    </row>
    <row r="17509" spans="9:9">
      <c r="I17509" s="2"/>
    </row>
    <row r="17510" spans="9:9">
      <c r="I17510" s="2"/>
    </row>
    <row r="17511" spans="9:9">
      <c r="I17511" s="2"/>
    </row>
    <row r="17512" spans="9:9">
      <c r="I17512" s="2"/>
    </row>
    <row r="17513" spans="9:9">
      <c r="I17513" s="2"/>
    </row>
    <row r="17514" spans="9:9">
      <c r="I17514" s="2"/>
    </row>
    <row r="17515" spans="9:9">
      <c r="I17515" s="2"/>
    </row>
    <row r="17516" spans="9:9">
      <c r="I17516" s="2"/>
    </row>
    <row r="17517" spans="9:9">
      <c r="I17517" s="2"/>
    </row>
    <row r="17518" spans="9:9">
      <c r="I17518" s="2"/>
    </row>
    <row r="17519" spans="9:9">
      <c r="I17519" s="2"/>
    </row>
    <row r="17520" spans="9:9">
      <c r="I17520" s="2"/>
    </row>
    <row r="17521" spans="9:9">
      <c r="I17521" s="2"/>
    </row>
    <row r="17522" spans="9:9">
      <c r="I17522" s="2"/>
    </row>
    <row r="17523" spans="9:9">
      <c r="I17523" s="2"/>
    </row>
    <row r="17524" spans="9:9">
      <c r="I17524" s="2"/>
    </row>
    <row r="17525" spans="9:9">
      <c r="I17525" s="2"/>
    </row>
    <row r="17526" spans="9:9">
      <c r="I17526" s="2"/>
    </row>
    <row r="17527" spans="9:9">
      <c r="I17527" s="2"/>
    </row>
    <row r="17528" spans="9:9">
      <c r="I17528" s="2"/>
    </row>
    <row r="17529" spans="9:9">
      <c r="I17529" s="2"/>
    </row>
    <row r="17530" spans="9:9">
      <c r="I17530" s="2"/>
    </row>
    <row r="17531" spans="9:9">
      <c r="I17531" s="2"/>
    </row>
    <row r="17532" spans="9:9">
      <c r="I17532" s="2"/>
    </row>
    <row r="17533" spans="9:9">
      <c r="I17533" s="2"/>
    </row>
    <row r="17534" spans="9:9">
      <c r="I17534" s="2"/>
    </row>
    <row r="17535" spans="9:9">
      <c r="I17535" s="2"/>
    </row>
    <row r="17536" spans="9:9">
      <c r="I17536" s="2"/>
    </row>
    <row r="17537" spans="9:9">
      <c r="I17537" s="2"/>
    </row>
    <row r="17538" spans="9:9">
      <c r="I17538" s="2"/>
    </row>
    <row r="17539" spans="9:9">
      <c r="I17539" s="2"/>
    </row>
    <row r="17540" spans="9:9">
      <c r="I17540" s="2"/>
    </row>
    <row r="17541" spans="9:9">
      <c r="I17541" s="2"/>
    </row>
    <row r="17542" spans="9:9">
      <c r="I17542" s="2"/>
    </row>
    <row r="17543" spans="9:9">
      <c r="I17543" s="2"/>
    </row>
    <row r="17544" spans="9:9">
      <c r="I17544" s="2"/>
    </row>
    <row r="17545" spans="9:9">
      <c r="I17545" s="2"/>
    </row>
    <row r="17546" spans="9:9">
      <c r="I17546" s="2"/>
    </row>
    <row r="17547" spans="9:9">
      <c r="I17547" s="2"/>
    </row>
    <row r="17548" spans="9:9">
      <c r="I17548" s="2"/>
    </row>
    <row r="17549" spans="9:9">
      <c r="I17549" s="2"/>
    </row>
    <row r="17550" spans="9:9">
      <c r="I17550" s="2"/>
    </row>
    <row r="17551" spans="9:9">
      <c r="I17551" s="2"/>
    </row>
    <row r="17552" spans="9:9">
      <c r="I17552" s="2"/>
    </row>
    <row r="17553" spans="9:9">
      <c r="I17553" s="2"/>
    </row>
    <row r="17554" spans="9:9">
      <c r="I17554" s="2"/>
    </row>
    <row r="17555" spans="9:9">
      <c r="I17555" s="2"/>
    </row>
    <row r="17556" spans="9:9">
      <c r="I17556" s="2"/>
    </row>
    <row r="17557" spans="9:9">
      <c r="I17557" s="2"/>
    </row>
    <row r="17558" spans="9:9">
      <c r="I17558" s="2"/>
    </row>
    <row r="17559" spans="9:9">
      <c r="I17559" s="2"/>
    </row>
    <row r="17560" spans="9:9">
      <c r="I17560" s="2"/>
    </row>
    <row r="17561" spans="9:9">
      <c r="I17561" s="2"/>
    </row>
    <row r="17562" spans="9:9">
      <c r="I17562" s="2"/>
    </row>
    <row r="17563" spans="9:9">
      <c r="I17563" s="2"/>
    </row>
    <row r="17564" spans="9:9">
      <c r="I17564" s="2"/>
    </row>
    <row r="17565" spans="9:9">
      <c r="I17565" s="2"/>
    </row>
    <row r="17566" spans="9:9">
      <c r="I17566" s="2"/>
    </row>
    <row r="17567" spans="9:9">
      <c r="I17567" s="2"/>
    </row>
    <row r="17568" spans="9:9">
      <c r="I17568" s="2"/>
    </row>
    <row r="17569" spans="9:9">
      <c r="I17569" s="2"/>
    </row>
    <row r="17570" spans="9:9">
      <c r="I17570" s="2"/>
    </row>
    <row r="17571" spans="9:9">
      <c r="I17571" s="2"/>
    </row>
    <row r="17572" spans="9:9">
      <c r="I17572" s="2"/>
    </row>
    <row r="17573" spans="9:9">
      <c r="I17573" s="2"/>
    </row>
    <row r="17574" spans="9:9">
      <c r="I17574" s="2"/>
    </row>
    <row r="17575" spans="9:9">
      <c r="I17575" s="2"/>
    </row>
    <row r="17576" spans="9:9">
      <c r="I17576" s="2"/>
    </row>
    <row r="17577" spans="9:9">
      <c r="I17577" s="2"/>
    </row>
    <row r="17578" spans="9:9">
      <c r="I17578" s="2"/>
    </row>
    <row r="17579" spans="9:9">
      <c r="I17579" s="2"/>
    </row>
    <row r="17580" spans="9:9">
      <c r="I17580" s="2"/>
    </row>
    <row r="17581" spans="9:9">
      <c r="I17581" s="2"/>
    </row>
    <row r="17582" spans="9:9">
      <c r="I17582" s="2"/>
    </row>
    <row r="17583" spans="9:9">
      <c r="I17583" s="2"/>
    </row>
    <row r="17584" spans="9:9">
      <c r="I17584" s="2"/>
    </row>
    <row r="17585" spans="9:9">
      <c r="I17585" s="2"/>
    </row>
    <row r="17586" spans="9:9">
      <c r="I17586" s="2"/>
    </row>
    <row r="17587" spans="9:9">
      <c r="I17587" s="2"/>
    </row>
    <row r="17588" spans="9:9">
      <c r="I17588" s="2"/>
    </row>
    <row r="17589" spans="9:9">
      <c r="I17589" s="2"/>
    </row>
    <row r="17590" spans="9:9">
      <c r="I17590" s="2"/>
    </row>
    <row r="17591" spans="9:9">
      <c r="I17591" s="2"/>
    </row>
    <row r="17592" spans="9:9">
      <c r="I17592" s="2"/>
    </row>
    <row r="17593" spans="9:9">
      <c r="I17593" s="2"/>
    </row>
    <row r="17594" spans="9:9">
      <c r="I17594" s="2"/>
    </row>
    <row r="17595" spans="9:9">
      <c r="I17595" s="2"/>
    </row>
    <row r="17596" spans="9:9">
      <c r="I17596" s="2"/>
    </row>
    <row r="17597" spans="9:9">
      <c r="I17597" s="2"/>
    </row>
    <row r="17598" spans="9:9">
      <c r="I17598" s="2"/>
    </row>
    <row r="17599" spans="9:9">
      <c r="I17599" s="2"/>
    </row>
    <row r="17600" spans="9:9">
      <c r="I17600" s="2"/>
    </row>
    <row r="17601" spans="9:9">
      <c r="I17601" s="2"/>
    </row>
    <row r="17602" spans="9:9">
      <c r="I17602" s="2"/>
    </row>
    <row r="17603" spans="9:9">
      <c r="I17603" s="2"/>
    </row>
    <row r="17604" spans="9:9">
      <c r="I17604" s="2"/>
    </row>
    <row r="17605" spans="9:9">
      <c r="I17605" s="2"/>
    </row>
    <row r="17606" spans="9:9">
      <c r="I17606" s="2"/>
    </row>
    <row r="17607" spans="9:9">
      <c r="I17607" s="2"/>
    </row>
    <row r="17608" spans="9:9">
      <c r="I17608" s="2"/>
    </row>
    <row r="17609" spans="9:9">
      <c r="I17609" s="2"/>
    </row>
    <row r="17610" spans="9:9">
      <c r="I17610" s="2"/>
    </row>
    <row r="17611" spans="9:9">
      <c r="I17611" s="2"/>
    </row>
    <row r="17612" spans="9:9">
      <c r="I17612" s="2"/>
    </row>
    <row r="17613" spans="9:9">
      <c r="I17613" s="2"/>
    </row>
    <row r="17614" spans="9:9">
      <c r="I17614" s="2"/>
    </row>
    <row r="17615" spans="9:9">
      <c r="I17615" s="2"/>
    </row>
    <row r="17616" spans="9:9">
      <c r="I17616" s="2"/>
    </row>
    <row r="17617" spans="9:9">
      <c r="I17617" s="2"/>
    </row>
    <row r="17618" spans="9:9">
      <c r="I17618" s="2"/>
    </row>
    <row r="17619" spans="9:9">
      <c r="I17619" s="2"/>
    </row>
    <row r="17620" spans="9:9">
      <c r="I17620" s="2"/>
    </row>
    <row r="17621" spans="9:9">
      <c r="I17621" s="2"/>
    </row>
    <row r="17622" spans="9:9">
      <c r="I17622" s="2"/>
    </row>
    <row r="17623" spans="9:9">
      <c r="I17623" s="2"/>
    </row>
    <row r="17624" spans="9:9">
      <c r="I17624" s="2"/>
    </row>
    <row r="17625" spans="9:9">
      <c r="I17625" s="2"/>
    </row>
    <row r="17626" spans="9:9">
      <c r="I17626" s="2"/>
    </row>
    <row r="17627" spans="9:9">
      <c r="I17627" s="2"/>
    </row>
    <row r="17628" spans="9:9">
      <c r="I17628" s="2"/>
    </row>
    <row r="17629" spans="9:9">
      <c r="I17629" s="2"/>
    </row>
    <row r="17630" spans="9:9">
      <c r="I17630" s="2"/>
    </row>
    <row r="17631" spans="9:9">
      <c r="I17631" s="2"/>
    </row>
    <row r="17632" spans="9:9">
      <c r="I17632" s="2"/>
    </row>
    <row r="17633" spans="9:9">
      <c r="I17633" s="2"/>
    </row>
    <row r="17634" spans="9:9">
      <c r="I17634" s="2"/>
    </row>
    <row r="17635" spans="9:9">
      <c r="I17635" s="2"/>
    </row>
    <row r="17636" spans="9:9">
      <c r="I17636" s="2"/>
    </row>
    <row r="17637" spans="9:9">
      <c r="I17637" s="2"/>
    </row>
    <row r="17638" spans="9:9">
      <c r="I17638" s="2"/>
    </row>
    <row r="17639" spans="9:9">
      <c r="I17639" s="2"/>
    </row>
    <row r="17640" spans="9:9">
      <c r="I17640" s="2"/>
    </row>
    <row r="17641" spans="9:9">
      <c r="I17641" s="2"/>
    </row>
    <row r="17642" spans="9:9">
      <c r="I17642" s="2"/>
    </row>
    <row r="17643" spans="9:9">
      <c r="I17643" s="2"/>
    </row>
    <row r="17644" spans="9:9">
      <c r="I17644" s="2"/>
    </row>
    <row r="17645" spans="9:9">
      <c r="I17645" s="2"/>
    </row>
    <row r="17646" spans="9:9">
      <c r="I17646" s="2"/>
    </row>
    <row r="17647" spans="9:9">
      <c r="I17647" s="2"/>
    </row>
    <row r="17648" spans="9:9">
      <c r="I17648" s="2"/>
    </row>
    <row r="17649" spans="9:9">
      <c r="I17649" s="2"/>
    </row>
    <row r="17650" spans="9:9">
      <c r="I17650" s="2"/>
    </row>
    <row r="17651" spans="9:9">
      <c r="I17651" s="2"/>
    </row>
    <row r="17652" spans="9:9">
      <c r="I17652" s="2"/>
    </row>
    <row r="17653" spans="9:9">
      <c r="I17653" s="2"/>
    </row>
    <row r="17654" spans="9:9">
      <c r="I17654" s="2"/>
    </row>
    <row r="17655" spans="9:9">
      <c r="I17655" s="2"/>
    </row>
    <row r="17656" spans="9:9">
      <c r="I17656" s="2"/>
    </row>
    <row r="17657" spans="9:9">
      <c r="I17657" s="2"/>
    </row>
    <row r="17658" spans="9:9">
      <c r="I17658" s="2"/>
    </row>
    <row r="17659" spans="9:9">
      <c r="I17659" s="2"/>
    </row>
    <row r="17660" spans="9:9">
      <c r="I17660" s="2"/>
    </row>
    <row r="17661" spans="9:9">
      <c r="I17661" s="2"/>
    </row>
    <row r="17662" spans="9:9">
      <c r="I17662" s="2"/>
    </row>
    <row r="17663" spans="9:9">
      <c r="I17663" s="2"/>
    </row>
    <row r="17664" spans="9:9">
      <c r="I17664" s="2"/>
    </row>
    <row r="17665" spans="9:9">
      <c r="I17665" s="2"/>
    </row>
    <row r="17666" spans="9:9">
      <c r="I17666" s="2"/>
    </row>
    <row r="17667" spans="9:9">
      <c r="I17667" s="2"/>
    </row>
    <row r="17668" spans="9:9">
      <c r="I17668" s="2"/>
    </row>
    <row r="17669" spans="9:9">
      <c r="I17669" s="2"/>
    </row>
    <row r="17670" spans="9:9">
      <c r="I17670" s="2"/>
    </row>
    <row r="17671" spans="9:9">
      <c r="I17671" s="2"/>
    </row>
    <row r="17672" spans="9:9">
      <c r="I17672" s="2"/>
    </row>
    <row r="17673" spans="9:9">
      <c r="I17673" s="2"/>
    </row>
    <row r="17674" spans="9:9">
      <c r="I17674" s="2"/>
    </row>
    <row r="17675" spans="9:9">
      <c r="I17675" s="2"/>
    </row>
    <row r="17676" spans="9:9">
      <c r="I17676" s="2"/>
    </row>
    <row r="17677" spans="9:9">
      <c r="I17677" s="2"/>
    </row>
    <row r="17678" spans="9:9">
      <c r="I17678" s="2"/>
    </row>
    <row r="17679" spans="9:9">
      <c r="I17679" s="2"/>
    </row>
    <row r="17680" spans="9:9">
      <c r="I17680" s="2"/>
    </row>
    <row r="17681" spans="9:9">
      <c r="I17681" s="2"/>
    </row>
    <row r="17682" spans="9:9">
      <c r="I17682" s="2"/>
    </row>
    <row r="17683" spans="9:9">
      <c r="I17683" s="2"/>
    </row>
    <row r="17684" spans="9:9">
      <c r="I17684" s="2"/>
    </row>
    <row r="17685" spans="9:9">
      <c r="I17685" s="2"/>
    </row>
    <row r="17686" spans="9:9">
      <c r="I17686" s="2"/>
    </row>
    <row r="17687" spans="9:9">
      <c r="I17687" s="2"/>
    </row>
    <row r="17688" spans="9:9">
      <c r="I17688" s="2"/>
    </row>
    <row r="17689" spans="9:9">
      <c r="I17689" s="2"/>
    </row>
    <row r="17690" spans="9:9">
      <c r="I17690" s="2"/>
    </row>
    <row r="17691" spans="9:9">
      <c r="I17691" s="2"/>
    </row>
    <row r="17692" spans="9:9">
      <c r="I17692" s="2"/>
    </row>
    <row r="17693" spans="9:9">
      <c r="I17693" s="2"/>
    </row>
    <row r="17694" spans="9:9">
      <c r="I17694" s="2"/>
    </row>
    <row r="17695" spans="9:9">
      <c r="I17695" s="2"/>
    </row>
    <row r="17696" spans="9:9">
      <c r="I17696" s="2"/>
    </row>
    <row r="17697" spans="9:9">
      <c r="I17697" s="2"/>
    </row>
    <row r="17698" spans="9:9">
      <c r="I17698" s="2"/>
    </row>
    <row r="17699" spans="9:9">
      <c r="I17699" s="2"/>
    </row>
    <row r="17700" spans="9:9">
      <c r="I17700" s="2"/>
    </row>
    <row r="17701" spans="9:9">
      <c r="I17701" s="2"/>
    </row>
    <row r="17702" spans="9:9">
      <c r="I17702" s="2"/>
    </row>
    <row r="17703" spans="9:9">
      <c r="I17703" s="2"/>
    </row>
    <row r="17704" spans="9:9">
      <c r="I17704" s="2"/>
    </row>
    <row r="17705" spans="9:9">
      <c r="I17705" s="2"/>
    </row>
    <row r="17706" spans="9:9">
      <c r="I17706" s="2"/>
    </row>
    <row r="17707" spans="9:9">
      <c r="I17707" s="2"/>
    </row>
    <row r="17708" spans="9:9">
      <c r="I17708" s="2"/>
    </row>
    <row r="17709" spans="9:9">
      <c r="I17709" s="2"/>
    </row>
    <row r="17710" spans="9:9">
      <c r="I17710" s="2"/>
    </row>
    <row r="17711" spans="9:9">
      <c r="I17711" s="2"/>
    </row>
    <row r="17712" spans="9:9">
      <c r="I17712" s="2"/>
    </row>
    <row r="17713" spans="9:9">
      <c r="I17713" s="2"/>
    </row>
    <row r="17714" spans="9:9">
      <c r="I17714" s="2"/>
    </row>
    <row r="17715" spans="9:9">
      <c r="I17715" s="2"/>
    </row>
    <row r="17716" spans="9:9">
      <c r="I17716" s="2"/>
    </row>
    <row r="17717" spans="9:9">
      <c r="I17717" s="2"/>
    </row>
    <row r="17718" spans="9:9">
      <c r="I17718" s="2"/>
    </row>
    <row r="17719" spans="9:9">
      <c r="I17719" s="2"/>
    </row>
    <row r="17720" spans="9:9">
      <c r="I17720" s="2"/>
    </row>
    <row r="17721" spans="9:9">
      <c r="I17721" s="2"/>
    </row>
    <row r="17722" spans="9:9">
      <c r="I17722" s="2"/>
    </row>
    <row r="17723" spans="9:9">
      <c r="I17723" s="2"/>
    </row>
    <row r="17724" spans="9:9">
      <c r="I17724" s="2"/>
    </row>
    <row r="17725" spans="9:9">
      <c r="I17725" s="2"/>
    </row>
    <row r="17726" spans="9:9">
      <c r="I17726" s="2"/>
    </row>
    <row r="17727" spans="9:9">
      <c r="I17727" s="2"/>
    </row>
    <row r="17728" spans="9:9">
      <c r="I17728" s="2"/>
    </row>
    <row r="17729" spans="9:9">
      <c r="I17729" s="2"/>
    </row>
    <row r="17730" spans="9:9">
      <c r="I17730" s="2"/>
    </row>
    <row r="17731" spans="9:9">
      <c r="I17731" s="2"/>
    </row>
    <row r="17732" spans="9:9">
      <c r="I17732" s="2"/>
    </row>
    <row r="17733" spans="9:9">
      <c r="I17733" s="2"/>
    </row>
    <row r="17734" spans="9:9">
      <c r="I17734" s="2"/>
    </row>
    <row r="17735" spans="9:9">
      <c r="I17735" s="2"/>
    </row>
    <row r="17736" spans="9:9">
      <c r="I17736" s="2"/>
    </row>
    <row r="17737" spans="9:9">
      <c r="I17737" s="2"/>
    </row>
    <row r="17738" spans="9:9">
      <c r="I17738" s="2"/>
    </row>
    <row r="17739" spans="9:9">
      <c r="I17739" s="2"/>
    </row>
    <row r="17740" spans="9:9">
      <c r="I17740" s="2"/>
    </row>
    <row r="17741" spans="9:9">
      <c r="I17741" s="2"/>
    </row>
    <row r="17742" spans="9:9">
      <c r="I17742" s="2"/>
    </row>
    <row r="17743" spans="9:9">
      <c r="I17743" s="2"/>
    </row>
    <row r="17744" spans="9:9">
      <c r="I17744" s="2"/>
    </row>
    <row r="17745" spans="9:9">
      <c r="I17745" s="2"/>
    </row>
    <row r="17746" spans="9:9">
      <c r="I17746" s="2"/>
    </row>
    <row r="17747" spans="9:9">
      <c r="I17747" s="2"/>
    </row>
    <row r="17748" spans="9:9">
      <c r="I17748" s="2"/>
    </row>
    <row r="17749" spans="9:9">
      <c r="I17749" s="2"/>
    </row>
    <row r="17750" spans="9:9">
      <c r="I17750" s="2"/>
    </row>
    <row r="17751" spans="9:9">
      <c r="I17751" s="2"/>
    </row>
    <row r="17752" spans="9:9">
      <c r="I17752" s="2"/>
    </row>
    <row r="17753" spans="9:9">
      <c r="I17753" s="2"/>
    </row>
    <row r="17754" spans="9:9">
      <c r="I17754" s="2"/>
    </row>
    <row r="17755" spans="9:9">
      <c r="I17755" s="2"/>
    </row>
    <row r="17756" spans="9:9">
      <c r="I17756" s="2"/>
    </row>
    <row r="17757" spans="9:9">
      <c r="I17757" s="2"/>
    </row>
    <row r="17758" spans="9:9">
      <c r="I17758" s="2"/>
    </row>
    <row r="17759" spans="9:9">
      <c r="I17759" s="2"/>
    </row>
    <row r="17760" spans="9:9">
      <c r="I17760" s="2"/>
    </row>
    <row r="17761" spans="9:9">
      <c r="I17761" s="2"/>
    </row>
    <row r="17762" spans="9:9">
      <c r="I17762" s="2"/>
    </row>
    <row r="17763" spans="9:9">
      <c r="I17763" s="2"/>
    </row>
    <row r="17764" spans="9:9">
      <c r="I17764" s="2"/>
    </row>
    <row r="17765" spans="9:9">
      <c r="I17765" s="2"/>
    </row>
    <row r="17766" spans="9:9">
      <c r="I17766" s="2"/>
    </row>
    <row r="17767" spans="9:9">
      <c r="I17767" s="2"/>
    </row>
    <row r="17768" spans="9:9">
      <c r="I17768" s="2"/>
    </row>
    <row r="17769" spans="9:9">
      <c r="I17769" s="2"/>
    </row>
    <row r="17770" spans="9:9">
      <c r="I17770" s="2"/>
    </row>
    <row r="17771" spans="9:9">
      <c r="I17771" s="2"/>
    </row>
    <row r="17772" spans="9:9">
      <c r="I17772" s="2"/>
    </row>
    <row r="17773" spans="9:9">
      <c r="I17773" s="2"/>
    </row>
    <row r="17774" spans="9:9">
      <c r="I17774" s="2"/>
    </row>
    <row r="17775" spans="9:9">
      <c r="I17775" s="2"/>
    </row>
    <row r="17776" spans="9:9">
      <c r="I17776" s="2"/>
    </row>
    <row r="17777" spans="9:9">
      <c r="I17777" s="2"/>
    </row>
    <row r="17778" spans="9:9">
      <c r="I17778" s="2"/>
    </row>
    <row r="17779" spans="9:9">
      <c r="I17779" s="2"/>
    </row>
    <row r="17780" spans="9:9">
      <c r="I17780" s="2"/>
    </row>
    <row r="17781" spans="9:9">
      <c r="I17781" s="2"/>
    </row>
    <row r="17782" spans="9:9">
      <c r="I17782" s="2"/>
    </row>
    <row r="17783" spans="9:9">
      <c r="I17783" s="2"/>
    </row>
    <row r="17784" spans="9:9">
      <c r="I17784" s="2"/>
    </row>
    <row r="17785" spans="9:9">
      <c r="I17785" s="2"/>
    </row>
    <row r="17786" spans="9:9">
      <c r="I17786" s="2"/>
    </row>
    <row r="17787" spans="9:9">
      <c r="I17787" s="2"/>
    </row>
    <row r="17788" spans="9:9">
      <c r="I17788" s="2"/>
    </row>
    <row r="17789" spans="9:9">
      <c r="I17789" s="2"/>
    </row>
    <row r="17790" spans="9:9">
      <c r="I17790" s="2"/>
    </row>
    <row r="17791" spans="9:9">
      <c r="I17791" s="2"/>
    </row>
    <row r="17792" spans="9:9">
      <c r="I17792" s="2"/>
    </row>
    <row r="17793" spans="9:9">
      <c r="I17793" s="2"/>
    </row>
    <row r="17794" spans="9:9">
      <c r="I17794" s="2"/>
    </row>
    <row r="17795" spans="9:9">
      <c r="I17795" s="2"/>
    </row>
    <row r="17796" spans="9:9">
      <c r="I17796" s="2"/>
    </row>
    <row r="17797" spans="9:9">
      <c r="I17797" s="2"/>
    </row>
    <row r="17798" spans="9:9">
      <c r="I17798" s="2"/>
    </row>
    <row r="17799" spans="9:9">
      <c r="I17799" s="2"/>
    </row>
    <row r="17800" spans="9:9">
      <c r="I17800" s="2"/>
    </row>
    <row r="17801" spans="9:9">
      <c r="I17801" s="2"/>
    </row>
    <row r="17802" spans="9:9">
      <c r="I17802" s="2"/>
    </row>
    <row r="17803" spans="9:9">
      <c r="I17803" s="2"/>
    </row>
    <row r="17804" spans="9:9">
      <c r="I17804" s="2"/>
    </row>
    <row r="17805" spans="9:9">
      <c r="I17805" s="2"/>
    </row>
    <row r="17806" spans="9:9">
      <c r="I17806" s="2"/>
    </row>
    <row r="17807" spans="9:9">
      <c r="I17807" s="2"/>
    </row>
    <row r="17808" spans="9:9">
      <c r="I17808" s="2"/>
    </row>
    <row r="17809" spans="9:9">
      <c r="I17809" s="2"/>
    </row>
    <row r="17810" spans="9:9">
      <c r="I17810" s="2"/>
    </row>
    <row r="17811" spans="9:9">
      <c r="I17811" s="2"/>
    </row>
    <row r="17812" spans="9:9">
      <c r="I17812" s="2"/>
    </row>
    <row r="17813" spans="9:9">
      <c r="I17813" s="2"/>
    </row>
    <row r="17814" spans="9:9">
      <c r="I17814" s="2"/>
    </row>
    <row r="17815" spans="9:9">
      <c r="I17815" s="2"/>
    </row>
    <row r="17816" spans="9:9">
      <c r="I17816" s="2"/>
    </row>
    <row r="17817" spans="9:9">
      <c r="I17817" s="2"/>
    </row>
    <row r="17818" spans="9:9">
      <c r="I17818" s="2"/>
    </row>
    <row r="17819" spans="9:9">
      <c r="I17819" s="2"/>
    </row>
    <row r="17820" spans="9:9">
      <c r="I17820" s="2"/>
    </row>
    <row r="17821" spans="9:9">
      <c r="I17821" s="2"/>
    </row>
    <row r="17822" spans="9:9">
      <c r="I17822" s="2"/>
    </row>
    <row r="17823" spans="9:9">
      <c r="I17823" s="2"/>
    </row>
    <row r="17824" spans="9:9">
      <c r="I17824" s="2"/>
    </row>
    <row r="17825" spans="9:9">
      <c r="I17825" s="2"/>
    </row>
    <row r="17826" spans="9:9">
      <c r="I17826" s="2"/>
    </row>
    <row r="17827" spans="9:9">
      <c r="I17827" s="2"/>
    </row>
    <row r="17828" spans="9:9">
      <c r="I17828" s="2"/>
    </row>
    <row r="17829" spans="9:9">
      <c r="I17829" s="2"/>
    </row>
    <row r="17830" spans="9:9">
      <c r="I17830" s="2"/>
    </row>
    <row r="17831" spans="9:9">
      <c r="I17831" s="2"/>
    </row>
    <row r="17832" spans="9:9">
      <c r="I17832" s="2"/>
    </row>
    <row r="17833" spans="9:9">
      <c r="I17833" s="2"/>
    </row>
    <row r="17834" spans="9:9">
      <c r="I17834" s="2"/>
    </row>
    <row r="17835" spans="9:9">
      <c r="I17835" s="2"/>
    </row>
    <row r="17836" spans="9:9">
      <c r="I17836" s="2"/>
    </row>
    <row r="17837" spans="9:9">
      <c r="I17837" s="2"/>
    </row>
    <row r="17838" spans="9:9">
      <c r="I17838" s="2"/>
    </row>
    <row r="17839" spans="9:9">
      <c r="I17839" s="2"/>
    </row>
    <row r="17840" spans="9:9">
      <c r="I17840" s="2"/>
    </row>
    <row r="17841" spans="9:9">
      <c r="I17841" s="2"/>
    </row>
    <row r="17842" spans="9:9">
      <c r="I17842" s="2"/>
    </row>
    <row r="17843" spans="9:9">
      <c r="I17843" s="2"/>
    </row>
    <row r="17844" spans="9:9">
      <c r="I17844" s="2"/>
    </row>
    <row r="17845" spans="9:9">
      <c r="I17845" s="2"/>
    </row>
    <row r="17846" spans="9:9">
      <c r="I17846" s="2"/>
    </row>
    <row r="17847" spans="9:9">
      <c r="I17847" s="2"/>
    </row>
    <row r="17848" spans="9:9">
      <c r="I17848" s="2"/>
    </row>
    <row r="17849" spans="9:9">
      <c r="I17849" s="2"/>
    </row>
    <row r="17850" spans="9:9">
      <c r="I17850" s="2"/>
    </row>
    <row r="17851" spans="9:9">
      <c r="I17851" s="2"/>
    </row>
    <row r="17852" spans="9:9">
      <c r="I17852" s="2"/>
    </row>
    <row r="17853" spans="9:9">
      <c r="I17853" s="2"/>
    </row>
    <row r="17854" spans="9:9">
      <c r="I17854" s="2"/>
    </row>
    <row r="17855" spans="9:9">
      <c r="I17855" s="2"/>
    </row>
    <row r="17856" spans="9:9">
      <c r="I17856" s="2"/>
    </row>
    <row r="17857" spans="9:9">
      <c r="I17857" s="2"/>
    </row>
    <row r="17858" spans="9:9">
      <c r="I17858" s="2"/>
    </row>
    <row r="17859" spans="9:9">
      <c r="I17859" s="2"/>
    </row>
    <row r="17860" spans="9:9">
      <c r="I17860" s="2"/>
    </row>
    <row r="17861" spans="9:9">
      <c r="I17861" s="2"/>
    </row>
    <row r="17862" spans="9:9">
      <c r="I17862" s="2"/>
    </row>
    <row r="17863" spans="9:9">
      <c r="I17863" s="2"/>
    </row>
    <row r="17864" spans="9:9">
      <c r="I17864" s="2"/>
    </row>
    <row r="17865" spans="9:9">
      <c r="I17865" s="2"/>
    </row>
    <row r="17866" spans="9:9">
      <c r="I17866" s="2"/>
    </row>
    <row r="17867" spans="9:9">
      <c r="I17867" s="2"/>
    </row>
    <row r="17868" spans="9:9">
      <c r="I17868" s="2"/>
    </row>
    <row r="17869" spans="9:9">
      <c r="I17869" s="2"/>
    </row>
    <row r="17870" spans="9:9">
      <c r="I17870" s="2"/>
    </row>
    <row r="17871" spans="9:9">
      <c r="I17871" s="2"/>
    </row>
    <row r="17872" spans="9:9">
      <c r="I17872" s="2"/>
    </row>
    <row r="17873" spans="9:9">
      <c r="I17873" s="2"/>
    </row>
    <row r="17874" spans="9:9">
      <c r="I17874" s="2"/>
    </row>
    <row r="17875" spans="9:9">
      <c r="I17875" s="2"/>
    </row>
    <row r="17876" spans="9:9">
      <c r="I17876" s="2"/>
    </row>
    <row r="17877" spans="9:9">
      <c r="I17877" s="2"/>
    </row>
    <row r="17878" spans="9:9">
      <c r="I17878" s="2"/>
    </row>
    <row r="17879" spans="9:9">
      <c r="I17879" s="2"/>
    </row>
    <row r="17880" spans="9:9">
      <c r="I17880" s="2"/>
    </row>
    <row r="17881" spans="9:9">
      <c r="I17881" s="2"/>
    </row>
    <row r="17882" spans="9:9">
      <c r="I17882" s="2"/>
    </row>
    <row r="17883" spans="9:9">
      <c r="I17883" s="2"/>
    </row>
    <row r="17884" spans="9:9">
      <c r="I17884" s="2"/>
    </row>
    <row r="17885" spans="9:9">
      <c r="I17885" s="2"/>
    </row>
    <row r="17886" spans="9:9">
      <c r="I17886" s="2"/>
    </row>
    <row r="17887" spans="9:9">
      <c r="I17887" s="2"/>
    </row>
    <row r="17888" spans="9:9">
      <c r="I17888" s="2"/>
    </row>
    <row r="17889" spans="9:9">
      <c r="I17889" s="2"/>
    </row>
    <row r="17890" spans="9:9">
      <c r="I17890" s="2"/>
    </row>
    <row r="17891" spans="9:9">
      <c r="I17891" s="2"/>
    </row>
    <row r="17892" spans="9:9">
      <c r="I17892" s="2"/>
    </row>
    <row r="17893" spans="9:9">
      <c r="I17893" s="2"/>
    </row>
    <row r="17894" spans="9:9">
      <c r="I17894" s="2"/>
    </row>
    <row r="17895" spans="9:9">
      <c r="I17895" s="2"/>
    </row>
    <row r="17896" spans="9:9">
      <c r="I17896" s="2"/>
    </row>
    <row r="17897" spans="9:9">
      <c r="I17897" s="2"/>
    </row>
    <row r="17898" spans="9:9">
      <c r="I17898" s="2"/>
    </row>
    <row r="17899" spans="9:9">
      <c r="I17899" s="2"/>
    </row>
    <row r="17900" spans="9:9">
      <c r="I17900" s="2"/>
    </row>
    <row r="17901" spans="9:9">
      <c r="I17901" s="2"/>
    </row>
    <row r="17902" spans="9:9">
      <c r="I17902" s="2"/>
    </row>
    <row r="17903" spans="9:9">
      <c r="I17903" s="2"/>
    </row>
    <row r="17904" spans="9:9">
      <c r="I17904" s="2"/>
    </row>
    <row r="17905" spans="9:9">
      <c r="I17905" s="2"/>
    </row>
    <row r="17906" spans="9:9">
      <c r="I17906" s="2"/>
    </row>
    <row r="17907" spans="9:9">
      <c r="I17907" s="2"/>
    </row>
    <row r="17908" spans="9:9">
      <c r="I17908" s="2"/>
    </row>
    <row r="17909" spans="9:9">
      <c r="I17909" s="2"/>
    </row>
    <row r="17910" spans="9:9">
      <c r="I17910" s="2"/>
    </row>
    <row r="17911" spans="9:9">
      <c r="I17911" s="2"/>
    </row>
    <row r="17912" spans="9:9">
      <c r="I17912" s="2"/>
    </row>
    <row r="17913" spans="9:9">
      <c r="I17913" s="2"/>
    </row>
    <row r="17914" spans="9:9">
      <c r="I17914" s="2"/>
    </row>
    <row r="17915" spans="9:9">
      <c r="I17915" s="2"/>
    </row>
    <row r="17916" spans="9:9">
      <c r="I17916" s="2"/>
    </row>
    <row r="17917" spans="9:9">
      <c r="I17917" s="2"/>
    </row>
    <row r="17918" spans="9:9">
      <c r="I17918" s="2"/>
    </row>
    <row r="17919" spans="9:9">
      <c r="I17919" s="2"/>
    </row>
    <row r="17920" spans="9:9">
      <c r="I17920" s="2"/>
    </row>
    <row r="17921" spans="9:9">
      <c r="I17921" s="2"/>
    </row>
    <row r="17922" spans="9:9">
      <c r="I17922" s="2"/>
    </row>
    <row r="17923" spans="9:9">
      <c r="I17923" s="2"/>
    </row>
    <row r="17924" spans="9:9">
      <c r="I17924" s="2"/>
    </row>
    <row r="17925" spans="9:9">
      <c r="I17925" s="2"/>
    </row>
    <row r="17926" spans="9:9">
      <c r="I17926" s="2"/>
    </row>
    <row r="17927" spans="9:9">
      <c r="I17927" s="2"/>
    </row>
    <row r="17928" spans="9:9">
      <c r="I17928" s="2"/>
    </row>
    <row r="17929" spans="9:9">
      <c r="I17929" s="2"/>
    </row>
    <row r="17930" spans="9:9">
      <c r="I17930" s="2"/>
    </row>
    <row r="17931" spans="9:9">
      <c r="I17931" s="2"/>
    </row>
    <row r="17932" spans="9:9">
      <c r="I17932" s="2"/>
    </row>
    <row r="17933" spans="9:9">
      <c r="I17933" s="2"/>
    </row>
    <row r="17934" spans="9:9">
      <c r="I17934" s="2"/>
    </row>
    <row r="17935" spans="9:9">
      <c r="I17935" s="2"/>
    </row>
    <row r="17936" spans="9:9">
      <c r="I17936" s="2"/>
    </row>
    <row r="17937" spans="9:9">
      <c r="I17937" s="2"/>
    </row>
    <row r="17938" spans="9:9">
      <c r="I17938" s="2"/>
    </row>
    <row r="17939" spans="9:9">
      <c r="I17939" s="2"/>
    </row>
    <row r="17940" spans="9:9">
      <c r="I17940" s="2"/>
    </row>
    <row r="17941" spans="9:9">
      <c r="I17941" s="2"/>
    </row>
    <row r="17942" spans="9:9">
      <c r="I17942" s="2"/>
    </row>
    <row r="17943" spans="9:9">
      <c r="I17943" s="2"/>
    </row>
    <row r="17944" spans="9:9">
      <c r="I17944" s="2"/>
    </row>
    <row r="17945" spans="9:9">
      <c r="I17945" s="2"/>
    </row>
    <row r="17946" spans="9:9">
      <c r="I17946" s="2"/>
    </row>
    <row r="17947" spans="9:9">
      <c r="I17947" s="2"/>
    </row>
    <row r="17948" spans="9:9">
      <c r="I17948" s="2"/>
    </row>
    <row r="17949" spans="9:9">
      <c r="I17949" s="2"/>
    </row>
    <row r="17950" spans="9:9">
      <c r="I17950" s="2"/>
    </row>
    <row r="17951" spans="9:9">
      <c r="I17951" s="2"/>
    </row>
    <row r="17952" spans="9:9">
      <c r="I17952" s="2"/>
    </row>
    <row r="17953" spans="9:9">
      <c r="I17953" s="2"/>
    </row>
    <row r="17954" spans="9:9">
      <c r="I17954" s="2"/>
    </row>
    <row r="17955" spans="9:9">
      <c r="I17955" s="2"/>
    </row>
    <row r="17956" spans="9:9">
      <c r="I17956" s="2"/>
    </row>
    <row r="17957" spans="9:9">
      <c r="I17957" s="2"/>
    </row>
    <row r="17958" spans="9:9">
      <c r="I17958" s="2"/>
    </row>
    <row r="17959" spans="9:9">
      <c r="I17959" s="2"/>
    </row>
    <row r="17960" spans="9:9">
      <c r="I17960" s="2"/>
    </row>
    <row r="17961" spans="9:9">
      <c r="I17961" s="2"/>
    </row>
    <row r="17962" spans="9:9">
      <c r="I17962" s="2"/>
    </row>
    <row r="17963" spans="9:9">
      <c r="I17963" s="2"/>
    </row>
    <row r="17964" spans="9:9">
      <c r="I17964" s="2"/>
    </row>
    <row r="17965" spans="9:9">
      <c r="I17965" s="2"/>
    </row>
    <row r="17966" spans="9:9">
      <c r="I17966" s="2"/>
    </row>
    <row r="17967" spans="9:9">
      <c r="I17967" s="2"/>
    </row>
    <row r="17968" spans="9:9">
      <c r="I17968" s="2"/>
    </row>
    <row r="17969" spans="9:9">
      <c r="I17969" s="2"/>
    </row>
    <row r="17970" spans="9:9">
      <c r="I17970" s="2"/>
    </row>
    <row r="17971" spans="9:9">
      <c r="I17971" s="2"/>
    </row>
    <row r="17972" spans="9:9">
      <c r="I17972" s="2"/>
    </row>
    <row r="17973" spans="9:9">
      <c r="I17973" s="2"/>
    </row>
    <row r="17974" spans="9:9">
      <c r="I17974" s="2"/>
    </row>
    <row r="17975" spans="9:9">
      <c r="I17975" s="2"/>
    </row>
    <row r="17976" spans="9:9">
      <c r="I17976" s="2"/>
    </row>
    <row r="17977" spans="9:9">
      <c r="I17977" s="2"/>
    </row>
    <row r="17978" spans="9:9">
      <c r="I17978" s="2"/>
    </row>
    <row r="17979" spans="9:9">
      <c r="I17979" s="2"/>
    </row>
    <row r="17980" spans="9:9">
      <c r="I17980" s="2"/>
    </row>
    <row r="17981" spans="9:9">
      <c r="I17981" s="2"/>
    </row>
    <row r="17982" spans="9:9">
      <c r="I17982" s="2"/>
    </row>
    <row r="17983" spans="9:9">
      <c r="I17983" s="2"/>
    </row>
    <row r="17984" spans="9:9">
      <c r="I17984" s="2"/>
    </row>
    <row r="17985" spans="9:9">
      <c r="I17985" s="2"/>
    </row>
    <row r="17986" spans="9:9">
      <c r="I17986" s="2"/>
    </row>
    <row r="17987" spans="9:9">
      <c r="I17987" s="2"/>
    </row>
    <row r="17988" spans="9:9">
      <c r="I17988" s="2"/>
    </row>
    <row r="17989" spans="9:9">
      <c r="I17989" s="2"/>
    </row>
    <row r="17990" spans="9:9">
      <c r="I17990" s="2"/>
    </row>
    <row r="17991" spans="9:9">
      <c r="I17991" s="2"/>
    </row>
    <row r="17992" spans="9:9">
      <c r="I17992" s="2"/>
    </row>
    <row r="17993" spans="9:9">
      <c r="I17993" s="2"/>
    </row>
    <row r="17994" spans="9:9">
      <c r="I17994" s="2"/>
    </row>
    <row r="17995" spans="9:9">
      <c r="I17995" s="2"/>
    </row>
    <row r="17996" spans="9:9">
      <c r="I17996" s="2"/>
    </row>
    <row r="17997" spans="9:9">
      <c r="I17997" s="2"/>
    </row>
    <row r="17998" spans="9:9">
      <c r="I17998" s="2"/>
    </row>
    <row r="17999" spans="9:9">
      <c r="I17999" s="2"/>
    </row>
    <row r="18000" spans="9:9">
      <c r="I18000" s="2"/>
    </row>
    <row r="18001" spans="9:9">
      <c r="I18001" s="2"/>
    </row>
    <row r="18002" spans="9:9">
      <c r="I18002" s="2"/>
    </row>
    <row r="18003" spans="9:9">
      <c r="I18003" s="2"/>
    </row>
    <row r="18004" spans="9:9">
      <c r="I18004" s="2"/>
    </row>
    <row r="18005" spans="9:9">
      <c r="I18005" s="2"/>
    </row>
    <row r="18006" spans="9:9">
      <c r="I18006" s="2"/>
    </row>
    <row r="18007" spans="9:9">
      <c r="I18007" s="2"/>
    </row>
    <row r="18008" spans="9:9">
      <c r="I18008" s="2"/>
    </row>
    <row r="18009" spans="9:9">
      <c r="I18009" s="2"/>
    </row>
    <row r="18010" spans="9:9">
      <c r="I18010" s="2"/>
    </row>
    <row r="18011" spans="9:9">
      <c r="I18011" s="2"/>
    </row>
    <row r="18012" spans="9:9">
      <c r="I18012" s="2"/>
    </row>
    <row r="18013" spans="9:9">
      <c r="I18013" s="2"/>
    </row>
    <row r="18014" spans="9:9">
      <c r="I18014" s="2"/>
    </row>
    <row r="18015" spans="9:9">
      <c r="I18015" s="2"/>
    </row>
    <row r="18016" spans="9:9">
      <c r="I18016" s="2"/>
    </row>
    <row r="18017" spans="9:9">
      <c r="I18017" s="2"/>
    </row>
    <row r="18018" spans="9:9">
      <c r="I18018" s="2"/>
    </row>
    <row r="18019" spans="9:9">
      <c r="I18019" s="2"/>
    </row>
    <row r="18020" spans="9:9">
      <c r="I18020" s="2"/>
    </row>
    <row r="18021" spans="9:9">
      <c r="I18021" s="2"/>
    </row>
    <row r="18022" spans="9:9">
      <c r="I18022" s="2"/>
    </row>
    <row r="18023" spans="9:9">
      <c r="I18023" s="2"/>
    </row>
    <row r="18024" spans="9:9">
      <c r="I18024" s="2"/>
    </row>
    <row r="18025" spans="9:9">
      <c r="I18025" s="2"/>
    </row>
    <row r="18026" spans="9:9">
      <c r="I18026" s="2"/>
    </row>
    <row r="18027" spans="9:9">
      <c r="I18027" s="2"/>
    </row>
    <row r="18028" spans="9:9">
      <c r="I18028" s="2"/>
    </row>
    <row r="18029" spans="9:9">
      <c r="I18029" s="2"/>
    </row>
    <row r="18030" spans="9:9">
      <c r="I18030" s="2"/>
    </row>
    <row r="18031" spans="9:9">
      <c r="I18031" s="2"/>
    </row>
    <row r="18032" spans="9:9">
      <c r="I18032" s="2"/>
    </row>
    <row r="18033" spans="9:9">
      <c r="I18033" s="2"/>
    </row>
    <row r="18034" spans="9:9">
      <c r="I18034" s="2"/>
    </row>
    <row r="18035" spans="9:9">
      <c r="I18035" s="2"/>
    </row>
    <row r="18036" spans="9:9">
      <c r="I18036" s="2"/>
    </row>
    <row r="18037" spans="9:9">
      <c r="I18037" s="2"/>
    </row>
    <row r="18038" spans="9:9">
      <c r="I18038" s="2"/>
    </row>
    <row r="18039" spans="9:9">
      <c r="I18039" s="2"/>
    </row>
    <row r="18040" spans="9:9">
      <c r="I18040" s="2"/>
    </row>
    <row r="18041" spans="9:9">
      <c r="I18041" s="2"/>
    </row>
    <row r="18042" spans="9:9">
      <c r="I18042" s="2"/>
    </row>
    <row r="18043" spans="9:9">
      <c r="I18043" s="2"/>
    </row>
    <row r="18044" spans="9:9">
      <c r="I18044" s="2"/>
    </row>
    <row r="18045" spans="9:9">
      <c r="I18045" s="2"/>
    </row>
    <row r="18046" spans="9:9">
      <c r="I18046" s="2"/>
    </row>
    <row r="18047" spans="9:9">
      <c r="I18047" s="2"/>
    </row>
    <row r="18048" spans="9:9">
      <c r="I18048" s="2"/>
    </row>
    <row r="18049" spans="9:9">
      <c r="I18049" s="2"/>
    </row>
    <row r="18050" spans="9:9">
      <c r="I18050" s="2"/>
    </row>
    <row r="18051" spans="9:9">
      <c r="I18051" s="2"/>
    </row>
    <row r="18052" spans="9:9">
      <c r="I18052" s="2"/>
    </row>
    <row r="18053" spans="9:9">
      <c r="I18053" s="2"/>
    </row>
    <row r="18054" spans="9:9">
      <c r="I18054" s="2"/>
    </row>
    <row r="18055" spans="9:9">
      <c r="I18055" s="2"/>
    </row>
    <row r="18056" spans="9:9">
      <c r="I18056" s="2"/>
    </row>
    <row r="18057" spans="9:9">
      <c r="I18057" s="2"/>
    </row>
    <row r="18058" spans="9:9">
      <c r="I18058" s="2"/>
    </row>
    <row r="18059" spans="9:9">
      <c r="I18059" s="2"/>
    </row>
    <row r="18060" spans="9:9">
      <c r="I18060" s="2"/>
    </row>
    <row r="18061" spans="9:9">
      <c r="I18061" s="2"/>
    </row>
    <row r="18062" spans="9:9">
      <c r="I18062" s="2"/>
    </row>
    <row r="18063" spans="9:9">
      <c r="I18063" s="2"/>
    </row>
    <row r="18064" spans="9:9">
      <c r="I18064" s="2"/>
    </row>
    <row r="18065" spans="9:9">
      <c r="I18065" s="2"/>
    </row>
    <row r="18066" spans="9:9">
      <c r="I18066" s="2"/>
    </row>
    <row r="18067" spans="9:9">
      <c r="I18067" s="2"/>
    </row>
    <row r="18068" spans="9:9">
      <c r="I18068" s="2"/>
    </row>
    <row r="18069" spans="9:9">
      <c r="I18069" s="2"/>
    </row>
    <row r="18070" spans="9:9">
      <c r="I18070" s="2"/>
    </row>
    <row r="18071" spans="9:9">
      <c r="I18071" s="2"/>
    </row>
    <row r="18072" spans="9:9">
      <c r="I18072" s="2"/>
    </row>
    <row r="18073" spans="9:9">
      <c r="I18073" s="2"/>
    </row>
    <row r="18074" spans="9:9">
      <c r="I18074" s="2"/>
    </row>
    <row r="18075" spans="9:9">
      <c r="I18075" s="2"/>
    </row>
    <row r="18076" spans="9:9">
      <c r="I18076" s="2"/>
    </row>
    <row r="18077" spans="9:9">
      <c r="I18077" s="2"/>
    </row>
    <row r="18078" spans="9:9">
      <c r="I18078" s="2"/>
    </row>
    <row r="18079" spans="9:9">
      <c r="I18079" s="2"/>
    </row>
    <row r="18080" spans="9:9">
      <c r="I18080" s="2"/>
    </row>
    <row r="18081" spans="9:9">
      <c r="I18081" s="2"/>
    </row>
    <row r="18082" spans="9:9">
      <c r="I18082" s="2"/>
    </row>
    <row r="18083" spans="9:9">
      <c r="I18083" s="2"/>
    </row>
    <row r="18084" spans="9:9">
      <c r="I18084" s="2"/>
    </row>
    <row r="18085" spans="9:9">
      <c r="I18085" s="2"/>
    </row>
    <row r="18086" spans="9:9">
      <c r="I18086" s="2"/>
    </row>
    <row r="18087" spans="9:9">
      <c r="I18087" s="2"/>
    </row>
    <row r="18088" spans="9:9">
      <c r="I18088" s="2"/>
    </row>
    <row r="18089" spans="9:9">
      <c r="I18089" s="2"/>
    </row>
    <row r="18090" spans="9:9">
      <c r="I18090" s="2"/>
    </row>
    <row r="18091" spans="9:9">
      <c r="I18091" s="2"/>
    </row>
    <row r="18092" spans="9:9">
      <c r="I18092" s="2"/>
    </row>
    <row r="18093" spans="9:9">
      <c r="I18093" s="2"/>
    </row>
    <row r="18094" spans="9:9">
      <c r="I18094" s="2"/>
    </row>
    <row r="18095" spans="9:9">
      <c r="I18095" s="2"/>
    </row>
    <row r="18096" spans="9:9">
      <c r="I18096" s="2"/>
    </row>
    <row r="18097" spans="9:9">
      <c r="I18097" s="2"/>
    </row>
    <row r="18098" spans="9:9">
      <c r="I18098" s="2"/>
    </row>
    <row r="18099" spans="9:9">
      <c r="I18099" s="2"/>
    </row>
    <row r="18100" spans="9:9">
      <c r="I18100" s="2"/>
    </row>
    <row r="18101" spans="9:9">
      <c r="I18101" s="2"/>
    </row>
    <row r="18102" spans="9:9">
      <c r="I18102" s="2"/>
    </row>
    <row r="18103" spans="9:9">
      <c r="I18103" s="2"/>
    </row>
    <row r="18104" spans="9:9">
      <c r="I18104" s="2"/>
    </row>
    <row r="18105" spans="9:9">
      <c r="I18105" s="2"/>
    </row>
    <row r="18106" spans="9:9">
      <c r="I18106" s="2"/>
    </row>
    <row r="18107" spans="9:9">
      <c r="I18107" s="2"/>
    </row>
    <row r="18108" spans="9:9">
      <c r="I18108" s="2"/>
    </row>
    <row r="18109" spans="9:9">
      <c r="I18109" s="2"/>
    </row>
    <row r="18110" spans="9:9">
      <c r="I18110" s="2"/>
    </row>
    <row r="18111" spans="9:9">
      <c r="I18111" s="2"/>
    </row>
    <row r="18112" spans="9:9">
      <c r="I18112" s="2"/>
    </row>
    <row r="18113" spans="9:9">
      <c r="I18113" s="2"/>
    </row>
    <row r="18114" spans="9:9">
      <c r="I18114" s="2"/>
    </row>
    <row r="18115" spans="9:9">
      <c r="I18115" s="2"/>
    </row>
    <row r="18116" spans="9:9">
      <c r="I18116" s="2"/>
    </row>
    <row r="18117" spans="9:9">
      <c r="I18117" s="2"/>
    </row>
    <row r="18118" spans="9:9">
      <c r="I18118" s="2"/>
    </row>
    <row r="18119" spans="9:9">
      <c r="I18119" s="2"/>
    </row>
    <row r="18120" spans="9:9">
      <c r="I18120" s="2"/>
    </row>
    <row r="18121" spans="9:9">
      <c r="I18121" s="2"/>
    </row>
    <row r="18122" spans="9:9">
      <c r="I18122" s="2"/>
    </row>
    <row r="18123" spans="9:9">
      <c r="I18123" s="2"/>
    </row>
    <row r="18124" spans="9:9">
      <c r="I18124" s="2"/>
    </row>
    <row r="18125" spans="9:9">
      <c r="I18125" s="2"/>
    </row>
    <row r="18126" spans="9:9">
      <c r="I18126" s="2"/>
    </row>
    <row r="18127" spans="9:9">
      <c r="I18127" s="2"/>
    </row>
    <row r="18128" spans="9:9">
      <c r="I18128" s="2"/>
    </row>
    <row r="18129" spans="9:9">
      <c r="I18129" s="2"/>
    </row>
    <row r="18130" spans="9:9">
      <c r="I18130" s="2"/>
    </row>
    <row r="18131" spans="9:9">
      <c r="I18131" s="2"/>
    </row>
    <row r="18132" spans="9:9">
      <c r="I18132" s="2"/>
    </row>
    <row r="18133" spans="9:9">
      <c r="I18133" s="2"/>
    </row>
    <row r="18134" spans="9:9">
      <c r="I18134" s="2"/>
    </row>
    <row r="18135" spans="9:9">
      <c r="I18135" s="2"/>
    </row>
    <row r="18136" spans="9:9">
      <c r="I18136" s="2"/>
    </row>
    <row r="18137" spans="9:9">
      <c r="I18137" s="2"/>
    </row>
    <row r="18138" spans="9:9">
      <c r="I18138" s="2"/>
    </row>
    <row r="18139" spans="9:9">
      <c r="I18139" s="2"/>
    </row>
    <row r="18140" spans="9:9">
      <c r="I18140" s="2"/>
    </row>
    <row r="18141" spans="9:9">
      <c r="I18141" s="2"/>
    </row>
    <row r="18142" spans="9:9">
      <c r="I18142" s="2"/>
    </row>
    <row r="18143" spans="9:9">
      <c r="I18143" s="2"/>
    </row>
    <row r="18144" spans="9:9">
      <c r="I18144" s="2"/>
    </row>
    <row r="18145" spans="9:9">
      <c r="I18145" s="2"/>
    </row>
    <row r="18146" spans="9:9">
      <c r="I18146" s="2"/>
    </row>
    <row r="18147" spans="9:9">
      <c r="I18147" s="2"/>
    </row>
    <row r="18148" spans="9:9">
      <c r="I18148" s="2"/>
    </row>
    <row r="18149" spans="9:9">
      <c r="I18149" s="2"/>
    </row>
    <row r="18150" spans="9:9">
      <c r="I18150" s="2"/>
    </row>
    <row r="18151" spans="9:9">
      <c r="I18151" s="2"/>
    </row>
    <row r="18152" spans="9:9">
      <c r="I18152" s="2"/>
    </row>
    <row r="18153" spans="9:9">
      <c r="I18153" s="2"/>
    </row>
    <row r="18154" spans="9:9">
      <c r="I18154" s="2"/>
    </row>
    <row r="18155" spans="9:9">
      <c r="I18155" s="2"/>
    </row>
    <row r="18156" spans="9:9">
      <c r="I18156" s="2"/>
    </row>
    <row r="18157" spans="9:9">
      <c r="I18157" s="2"/>
    </row>
    <row r="18158" spans="9:9">
      <c r="I18158" s="2"/>
    </row>
    <row r="18159" spans="9:9">
      <c r="I18159" s="2"/>
    </row>
    <row r="18160" spans="9:9">
      <c r="I18160" s="2"/>
    </row>
    <row r="18161" spans="9:9">
      <c r="I18161" s="2"/>
    </row>
    <row r="18162" spans="9:9">
      <c r="I18162" s="2"/>
    </row>
    <row r="18163" spans="9:9">
      <c r="I18163" s="2"/>
    </row>
    <row r="18164" spans="9:9">
      <c r="I18164" s="2"/>
    </row>
    <row r="18165" spans="9:9">
      <c r="I18165" s="2"/>
    </row>
    <row r="18166" spans="9:9">
      <c r="I18166" s="2"/>
    </row>
    <row r="18167" spans="9:9">
      <c r="I18167" s="2"/>
    </row>
    <row r="18168" spans="9:9">
      <c r="I18168" s="2"/>
    </row>
    <row r="18169" spans="9:9">
      <c r="I18169" s="2"/>
    </row>
    <row r="18170" spans="9:9">
      <c r="I18170" s="2"/>
    </row>
    <row r="18171" spans="9:9">
      <c r="I18171" s="2"/>
    </row>
    <row r="18172" spans="9:9">
      <c r="I18172" s="2"/>
    </row>
    <row r="18173" spans="9:9">
      <c r="I18173" s="2"/>
    </row>
    <row r="18174" spans="9:9">
      <c r="I18174" s="2"/>
    </row>
    <row r="18175" spans="9:9">
      <c r="I18175" s="2"/>
    </row>
    <row r="18176" spans="9:9">
      <c r="I18176" s="2"/>
    </row>
    <row r="18177" spans="9:9">
      <c r="I18177" s="2"/>
    </row>
    <row r="18178" spans="9:9">
      <c r="I18178" s="2"/>
    </row>
    <row r="18179" spans="9:9">
      <c r="I18179" s="2"/>
    </row>
    <row r="18180" spans="9:9">
      <c r="I18180" s="2"/>
    </row>
    <row r="18181" spans="9:9">
      <c r="I18181" s="2"/>
    </row>
    <row r="18182" spans="9:9">
      <c r="I18182" s="2"/>
    </row>
    <row r="18183" spans="9:9">
      <c r="I18183" s="2"/>
    </row>
    <row r="18184" spans="9:9">
      <c r="I18184" s="2"/>
    </row>
    <row r="18185" spans="9:9">
      <c r="I18185" s="2"/>
    </row>
    <row r="18186" spans="9:9">
      <c r="I18186" s="2"/>
    </row>
    <row r="18187" spans="9:9">
      <c r="I18187" s="2"/>
    </row>
    <row r="18188" spans="9:9">
      <c r="I18188" s="2"/>
    </row>
    <row r="18189" spans="9:9">
      <c r="I18189" s="2"/>
    </row>
    <row r="18190" spans="9:9">
      <c r="I18190" s="2"/>
    </row>
    <row r="18191" spans="9:9">
      <c r="I18191" s="2"/>
    </row>
    <row r="18192" spans="9:9">
      <c r="I18192" s="2"/>
    </row>
    <row r="18193" spans="9:9">
      <c r="I18193" s="2"/>
    </row>
    <row r="18194" spans="9:9">
      <c r="I18194" s="2"/>
    </row>
    <row r="18195" spans="9:9">
      <c r="I18195" s="2"/>
    </row>
    <row r="18196" spans="9:9">
      <c r="I18196" s="2"/>
    </row>
    <row r="18197" spans="9:9">
      <c r="I18197" s="2"/>
    </row>
    <row r="18198" spans="9:9">
      <c r="I18198" s="2"/>
    </row>
    <row r="18199" spans="9:9">
      <c r="I18199" s="2"/>
    </row>
    <row r="18200" spans="9:9">
      <c r="I18200" s="2"/>
    </row>
    <row r="18201" spans="9:9">
      <c r="I18201" s="2"/>
    </row>
    <row r="18202" spans="9:9">
      <c r="I18202" s="2"/>
    </row>
    <row r="18203" spans="9:9">
      <c r="I18203" s="2"/>
    </row>
    <row r="18204" spans="9:9">
      <c r="I18204" s="2"/>
    </row>
    <row r="18205" spans="9:9">
      <c r="I18205" s="2"/>
    </row>
    <row r="18206" spans="9:9">
      <c r="I18206" s="2"/>
    </row>
    <row r="18207" spans="9:9">
      <c r="I18207" s="2"/>
    </row>
    <row r="18208" spans="9:9">
      <c r="I18208" s="2"/>
    </row>
    <row r="18209" spans="9:9">
      <c r="I18209" s="2"/>
    </row>
    <row r="18210" spans="9:9">
      <c r="I18210" s="2"/>
    </row>
    <row r="18211" spans="9:9">
      <c r="I18211" s="2"/>
    </row>
    <row r="18212" spans="9:9">
      <c r="I18212" s="2"/>
    </row>
    <row r="18213" spans="9:9">
      <c r="I18213" s="2"/>
    </row>
    <row r="18214" spans="9:9">
      <c r="I18214" s="2"/>
    </row>
    <row r="18215" spans="9:9">
      <c r="I18215" s="2"/>
    </row>
    <row r="18216" spans="9:9">
      <c r="I18216" s="2"/>
    </row>
    <row r="18217" spans="9:9">
      <c r="I18217" s="2"/>
    </row>
    <row r="18218" spans="9:9">
      <c r="I18218" s="2"/>
    </row>
    <row r="18219" spans="9:9">
      <c r="I18219" s="2"/>
    </row>
    <row r="18220" spans="9:9">
      <c r="I18220" s="2"/>
    </row>
    <row r="18221" spans="9:9">
      <c r="I18221" s="2"/>
    </row>
    <row r="18222" spans="9:9">
      <c r="I18222" s="2"/>
    </row>
    <row r="18223" spans="9:9">
      <c r="I18223" s="2"/>
    </row>
    <row r="18224" spans="9:9">
      <c r="I18224" s="2"/>
    </row>
    <row r="18225" spans="9:9">
      <c r="I18225" s="2"/>
    </row>
    <row r="18226" spans="9:9">
      <c r="I18226" s="2"/>
    </row>
    <row r="18227" spans="9:9">
      <c r="I18227" s="2"/>
    </row>
    <row r="18228" spans="9:9">
      <c r="I18228" s="2"/>
    </row>
    <row r="18229" spans="9:9">
      <c r="I18229" s="2"/>
    </row>
    <row r="18230" spans="9:9">
      <c r="I18230" s="2"/>
    </row>
    <row r="18231" spans="9:9">
      <c r="I18231" s="2"/>
    </row>
    <row r="18232" spans="9:9">
      <c r="I18232" s="2"/>
    </row>
    <row r="18233" spans="9:9">
      <c r="I18233" s="2"/>
    </row>
    <row r="18234" spans="9:9">
      <c r="I18234" s="2"/>
    </row>
    <row r="18235" spans="9:9">
      <c r="I18235" s="2"/>
    </row>
    <row r="18236" spans="9:9">
      <c r="I18236" s="2"/>
    </row>
    <row r="18237" spans="9:9">
      <c r="I18237" s="2"/>
    </row>
    <row r="18238" spans="9:9">
      <c r="I18238" s="2"/>
    </row>
    <row r="18239" spans="9:9">
      <c r="I18239" s="2"/>
    </row>
    <row r="18240" spans="9:9">
      <c r="I18240" s="2"/>
    </row>
    <row r="18241" spans="9:9">
      <c r="I18241" s="2"/>
    </row>
    <row r="18242" spans="9:9">
      <c r="I18242" s="2"/>
    </row>
    <row r="18243" spans="9:9">
      <c r="I18243" s="2"/>
    </row>
    <row r="18244" spans="9:9">
      <c r="I18244" s="2"/>
    </row>
    <row r="18245" spans="9:9">
      <c r="I18245" s="2"/>
    </row>
    <row r="18246" spans="9:9">
      <c r="I18246" s="2"/>
    </row>
    <row r="18247" spans="9:9">
      <c r="I18247" s="2"/>
    </row>
    <row r="18248" spans="9:9">
      <c r="I18248" s="2"/>
    </row>
    <row r="18249" spans="9:9">
      <c r="I18249" s="2"/>
    </row>
    <row r="18250" spans="9:9">
      <c r="I18250" s="2"/>
    </row>
    <row r="18251" spans="9:9">
      <c r="I18251" s="2"/>
    </row>
    <row r="18252" spans="9:9">
      <c r="I18252" s="2"/>
    </row>
    <row r="18253" spans="9:9">
      <c r="I18253" s="2"/>
    </row>
    <row r="18254" spans="9:9">
      <c r="I18254" s="2"/>
    </row>
    <row r="18255" spans="9:9">
      <c r="I18255" s="2"/>
    </row>
    <row r="18256" spans="9:9">
      <c r="I18256" s="2"/>
    </row>
    <row r="18257" spans="9:9">
      <c r="I18257" s="2"/>
    </row>
    <row r="18258" spans="9:9">
      <c r="I18258" s="2"/>
    </row>
    <row r="18259" spans="9:9">
      <c r="I18259" s="2"/>
    </row>
    <row r="18260" spans="9:9">
      <c r="I18260" s="2"/>
    </row>
    <row r="18261" spans="9:9">
      <c r="I18261" s="2"/>
    </row>
    <row r="18262" spans="9:9">
      <c r="I18262" s="2"/>
    </row>
    <row r="18263" spans="9:9">
      <c r="I18263" s="2"/>
    </row>
    <row r="18264" spans="9:9">
      <c r="I18264" s="2"/>
    </row>
    <row r="18265" spans="9:9">
      <c r="I18265" s="2"/>
    </row>
    <row r="18266" spans="9:9">
      <c r="I18266" s="2"/>
    </row>
    <row r="18267" spans="9:9">
      <c r="I18267" s="2"/>
    </row>
    <row r="18268" spans="9:9">
      <c r="I18268" s="2"/>
    </row>
    <row r="18269" spans="9:9">
      <c r="I18269" s="2"/>
    </row>
    <row r="18270" spans="9:9">
      <c r="I18270" s="2"/>
    </row>
    <row r="18271" spans="9:9">
      <c r="I18271" s="2"/>
    </row>
    <row r="18272" spans="9:9">
      <c r="I18272" s="2"/>
    </row>
    <row r="18273" spans="9:9">
      <c r="I18273" s="2"/>
    </row>
    <row r="18274" spans="9:9">
      <c r="I18274" s="2"/>
    </row>
    <row r="18275" spans="9:9">
      <c r="I18275" s="2"/>
    </row>
    <row r="18276" spans="9:9">
      <c r="I18276" s="2"/>
    </row>
    <row r="18277" spans="9:9">
      <c r="I18277" s="2"/>
    </row>
    <row r="18278" spans="9:9">
      <c r="I18278" s="2"/>
    </row>
    <row r="18279" spans="9:9">
      <c r="I18279" s="2"/>
    </row>
    <row r="18280" spans="9:9">
      <c r="I18280" s="2"/>
    </row>
    <row r="18281" spans="9:9">
      <c r="I18281" s="2"/>
    </row>
    <row r="18282" spans="9:9">
      <c r="I18282" s="2"/>
    </row>
    <row r="18283" spans="9:9">
      <c r="I18283" s="2"/>
    </row>
    <row r="18284" spans="9:9">
      <c r="I18284" s="2"/>
    </row>
    <row r="18285" spans="9:9">
      <c r="I18285" s="2"/>
    </row>
    <row r="18286" spans="9:9">
      <c r="I18286" s="2"/>
    </row>
    <row r="18287" spans="9:9">
      <c r="I18287" s="2"/>
    </row>
    <row r="18288" spans="9:9">
      <c r="I18288" s="2"/>
    </row>
    <row r="18289" spans="9:9">
      <c r="I18289" s="2"/>
    </row>
    <row r="18290" spans="9:9">
      <c r="I18290" s="2"/>
    </row>
    <row r="18291" spans="9:9">
      <c r="I18291" s="2"/>
    </row>
    <row r="18292" spans="9:9">
      <c r="I18292" s="2"/>
    </row>
    <row r="18293" spans="9:9">
      <c r="I18293" s="2"/>
    </row>
    <row r="18294" spans="9:9">
      <c r="I18294" s="2"/>
    </row>
    <row r="18295" spans="9:9">
      <c r="I18295" s="2"/>
    </row>
    <row r="18296" spans="9:9">
      <c r="I18296" s="2"/>
    </row>
    <row r="18297" spans="9:9">
      <c r="I18297" s="2"/>
    </row>
    <row r="18298" spans="9:9">
      <c r="I18298" s="2"/>
    </row>
    <row r="18299" spans="9:9">
      <c r="I18299" s="2"/>
    </row>
    <row r="18300" spans="9:9">
      <c r="I18300" s="2"/>
    </row>
    <row r="18301" spans="9:9">
      <c r="I18301" s="2"/>
    </row>
    <row r="18302" spans="9:9">
      <c r="I18302" s="2"/>
    </row>
    <row r="18303" spans="9:9">
      <c r="I18303" s="2"/>
    </row>
    <row r="18304" spans="9:9">
      <c r="I18304" s="2"/>
    </row>
    <row r="18305" spans="9:9">
      <c r="I18305" s="2"/>
    </row>
    <row r="18306" spans="9:9">
      <c r="I18306" s="2"/>
    </row>
    <row r="18307" spans="9:9">
      <c r="I18307" s="2"/>
    </row>
    <row r="18308" spans="9:9">
      <c r="I18308" s="2"/>
    </row>
    <row r="18309" spans="9:9">
      <c r="I18309" s="2"/>
    </row>
    <row r="18310" spans="9:9">
      <c r="I18310" s="2"/>
    </row>
    <row r="18311" spans="9:9">
      <c r="I18311" s="2"/>
    </row>
    <row r="18312" spans="9:9">
      <c r="I18312" s="2"/>
    </row>
    <row r="18313" spans="9:9">
      <c r="I18313" s="2"/>
    </row>
    <row r="18314" spans="9:9">
      <c r="I18314" s="2"/>
    </row>
    <row r="18315" spans="9:9">
      <c r="I18315" s="2"/>
    </row>
    <row r="18316" spans="9:9">
      <c r="I18316" s="2"/>
    </row>
    <row r="18317" spans="9:9">
      <c r="I18317" s="2"/>
    </row>
    <row r="18318" spans="9:9">
      <c r="I18318" s="2"/>
    </row>
    <row r="18319" spans="9:9">
      <c r="I18319" s="2"/>
    </row>
    <row r="18320" spans="9:9">
      <c r="I18320" s="2"/>
    </row>
    <row r="18321" spans="9:9">
      <c r="I18321" s="2"/>
    </row>
    <row r="18322" spans="9:9">
      <c r="I18322" s="2"/>
    </row>
    <row r="18323" spans="9:9">
      <c r="I18323" s="2"/>
    </row>
    <row r="18324" spans="9:9">
      <c r="I18324" s="2"/>
    </row>
    <row r="18325" spans="9:9">
      <c r="I18325" s="2"/>
    </row>
    <row r="18326" spans="9:9">
      <c r="I18326" s="2"/>
    </row>
    <row r="18327" spans="9:9">
      <c r="I18327" s="2"/>
    </row>
    <row r="18328" spans="9:9">
      <c r="I18328" s="2"/>
    </row>
    <row r="18329" spans="9:9">
      <c r="I18329" s="2"/>
    </row>
    <row r="18330" spans="9:9">
      <c r="I18330" s="2"/>
    </row>
    <row r="18331" spans="9:9">
      <c r="I18331" s="2"/>
    </row>
    <row r="18332" spans="9:9">
      <c r="I18332" s="2"/>
    </row>
    <row r="18333" spans="9:9">
      <c r="I18333" s="2"/>
    </row>
    <row r="18334" spans="9:9">
      <c r="I18334" s="2"/>
    </row>
    <row r="18335" spans="9:9">
      <c r="I18335" s="2"/>
    </row>
    <row r="18336" spans="9:9">
      <c r="I18336" s="2"/>
    </row>
    <row r="18337" spans="9:9">
      <c r="I18337" s="2"/>
    </row>
    <row r="18338" spans="9:9">
      <c r="I18338" s="2"/>
    </row>
    <row r="18339" spans="9:9">
      <c r="I18339" s="2"/>
    </row>
    <row r="18340" spans="9:9">
      <c r="I18340" s="2"/>
    </row>
    <row r="18341" spans="9:9">
      <c r="I18341" s="2"/>
    </row>
    <row r="18342" spans="9:9">
      <c r="I18342" s="2"/>
    </row>
    <row r="18343" spans="9:9">
      <c r="I18343" s="2"/>
    </row>
    <row r="18344" spans="9:9">
      <c r="I18344" s="2"/>
    </row>
    <row r="18345" spans="9:9">
      <c r="I18345" s="2"/>
    </row>
    <row r="18346" spans="9:9">
      <c r="I18346" s="2"/>
    </row>
    <row r="18347" spans="9:9">
      <c r="I18347" s="2"/>
    </row>
    <row r="18348" spans="9:9">
      <c r="I18348" s="2"/>
    </row>
    <row r="18349" spans="9:9">
      <c r="I18349" s="2"/>
    </row>
    <row r="18350" spans="9:9">
      <c r="I18350" s="2"/>
    </row>
    <row r="18351" spans="9:9">
      <c r="I18351" s="2"/>
    </row>
    <row r="18352" spans="9:9">
      <c r="I18352" s="2"/>
    </row>
    <row r="18353" spans="9:9">
      <c r="I18353" s="2"/>
    </row>
    <row r="18354" spans="9:9">
      <c r="I18354" s="2"/>
    </row>
    <row r="18355" spans="9:9">
      <c r="I18355" s="2"/>
    </row>
    <row r="18356" spans="9:9">
      <c r="I18356" s="2"/>
    </row>
    <row r="18357" spans="9:9">
      <c r="I18357" s="2"/>
    </row>
    <row r="18358" spans="9:9">
      <c r="I18358" s="2"/>
    </row>
    <row r="18359" spans="9:9">
      <c r="I18359" s="2"/>
    </row>
    <row r="18360" spans="9:9">
      <c r="I18360" s="2"/>
    </row>
    <row r="18361" spans="9:9">
      <c r="I18361" s="2"/>
    </row>
    <row r="18362" spans="9:9">
      <c r="I18362" s="2"/>
    </row>
    <row r="18363" spans="9:9">
      <c r="I18363" s="2"/>
    </row>
    <row r="18364" spans="9:9">
      <c r="I18364" s="2"/>
    </row>
    <row r="18365" spans="9:9">
      <c r="I18365" s="2"/>
    </row>
    <row r="18366" spans="9:9">
      <c r="I18366" s="2"/>
    </row>
    <row r="18367" spans="9:9">
      <c r="I18367" s="2"/>
    </row>
    <row r="18368" spans="9:9">
      <c r="I18368" s="2"/>
    </row>
    <row r="18369" spans="9:9">
      <c r="I18369" s="2"/>
    </row>
    <row r="18370" spans="9:9">
      <c r="I18370" s="2"/>
    </row>
    <row r="18371" spans="9:9">
      <c r="I18371" s="2"/>
    </row>
    <row r="18372" spans="9:9">
      <c r="I18372" s="2"/>
    </row>
    <row r="18373" spans="9:9">
      <c r="I18373" s="2"/>
    </row>
    <row r="18374" spans="9:9">
      <c r="I18374" s="2"/>
    </row>
    <row r="18375" spans="9:9">
      <c r="I18375" s="2"/>
    </row>
    <row r="18376" spans="9:9">
      <c r="I18376" s="2"/>
    </row>
    <row r="18377" spans="9:9">
      <c r="I18377" s="2"/>
    </row>
    <row r="18378" spans="9:9">
      <c r="I18378" s="2"/>
    </row>
    <row r="18379" spans="9:9">
      <c r="I18379" s="2"/>
    </row>
    <row r="18380" spans="9:9">
      <c r="I18380" s="2"/>
    </row>
    <row r="18381" spans="9:9">
      <c r="I18381" s="2"/>
    </row>
    <row r="18382" spans="9:9">
      <c r="I18382" s="2"/>
    </row>
    <row r="18383" spans="9:9">
      <c r="I18383" s="2"/>
    </row>
    <row r="18384" spans="9:9">
      <c r="I18384" s="2"/>
    </row>
    <row r="18385" spans="9:9">
      <c r="I18385" s="2"/>
    </row>
    <row r="18386" spans="9:9">
      <c r="I18386" s="2"/>
    </row>
    <row r="18387" spans="9:9">
      <c r="I18387" s="2"/>
    </row>
    <row r="18388" spans="9:9">
      <c r="I18388" s="2"/>
    </row>
    <row r="18389" spans="9:9">
      <c r="I18389" s="2"/>
    </row>
    <row r="18390" spans="9:9">
      <c r="I18390" s="2"/>
    </row>
    <row r="18391" spans="9:9">
      <c r="I18391" s="2"/>
    </row>
    <row r="18392" spans="9:9">
      <c r="I18392" s="2"/>
    </row>
    <row r="18393" spans="9:9">
      <c r="I18393" s="2"/>
    </row>
    <row r="18394" spans="9:9">
      <c r="I18394" s="2"/>
    </row>
    <row r="18395" spans="9:9">
      <c r="I18395" s="2"/>
    </row>
    <row r="18396" spans="9:9">
      <c r="I18396" s="2"/>
    </row>
    <row r="18397" spans="9:9">
      <c r="I18397" s="2"/>
    </row>
    <row r="18398" spans="9:9">
      <c r="I18398" s="2"/>
    </row>
    <row r="18399" spans="9:9">
      <c r="I18399" s="2"/>
    </row>
    <row r="18400" spans="9:9">
      <c r="I18400" s="2"/>
    </row>
    <row r="18401" spans="9:9">
      <c r="I18401" s="2"/>
    </row>
    <row r="18402" spans="9:9">
      <c r="I18402" s="2"/>
    </row>
    <row r="18403" spans="9:9">
      <c r="I18403" s="2"/>
    </row>
    <row r="18404" spans="9:9">
      <c r="I18404" s="2"/>
    </row>
    <row r="18405" spans="9:9">
      <c r="I18405" s="2"/>
    </row>
    <row r="18406" spans="9:9">
      <c r="I18406" s="2"/>
    </row>
    <row r="18407" spans="9:9">
      <c r="I18407" s="2"/>
    </row>
    <row r="18408" spans="9:9">
      <c r="I18408" s="2"/>
    </row>
    <row r="18409" spans="9:9">
      <c r="I18409" s="2"/>
    </row>
    <row r="18410" spans="9:9">
      <c r="I18410" s="2"/>
    </row>
    <row r="18411" spans="9:9">
      <c r="I18411" s="2"/>
    </row>
    <row r="18412" spans="9:9">
      <c r="I18412" s="2"/>
    </row>
    <row r="18413" spans="9:9">
      <c r="I18413" s="2"/>
    </row>
    <row r="18414" spans="9:9">
      <c r="I18414" s="2"/>
    </row>
    <row r="18415" spans="9:9">
      <c r="I18415" s="2"/>
    </row>
    <row r="18416" spans="9:9">
      <c r="I18416" s="2"/>
    </row>
    <row r="18417" spans="9:9">
      <c r="I18417" s="2"/>
    </row>
    <row r="18418" spans="9:9">
      <c r="I18418" s="2"/>
    </row>
    <row r="18419" spans="9:9">
      <c r="I18419" s="2"/>
    </row>
    <row r="18420" spans="9:9">
      <c r="I18420" s="2"/>
    </row>
    <row r="18421" spans="9:9">
      <c r="I18421" s="2"/>
    </row>
    <row r="18422" spans="9:9">
      <c r="I18422" s="2"/>
    </row>
    <row r="18423" spans="9:9">
      <c r="I18423" s="2"/>
    </row>
    <row r="18424" spans="9:9">
      <c r="I18424" s="2"/>
    </row>
    <row r="18425" spans="9:9">
      <c r="I18425" s="2"/>
    </row>
    <row r="18426" spans="9:9">
      <c r="I18426" s="2"/>
    </row>
    <row r="18427" spans="9:9">
      <c r="I18427" s="2"/>
    </row>
    <row r="18428" spans="9:9">
      <c r="I18428" s="2"/>
    </row>
    <row r="18429" spans="9:9">
      <c r="I18429" s="2"/>
    </row>
    <row r="18430" spans="9:9">
      <c r="I18430" s="2"/>
    </row>
    <row r="18431" spans="9:9">
      <c r="I18431" s="2"/>
    </row>
    <row r="18432" spans="9:9">
      <c r="I18432" s="2"/>
    </row>
    <row r="18433" spans="9:9">
      <c r="I18433" s="2"/>
    </row>
    <row r="18434" spans="9:9">
      <c r="I18434" s="2"/>
    </row>
    <row r="18435" spans="9:9">
      <c r="I18435" s="2"/>
    </row>
    <row r="18436" spans="9:9">
      <c r="I18436" s="2"/>
    </row>
    <row r="18437" spans="9:9">
      <c r="I18437" s="2"/>
    </row>
    <row r="18438" spans="9:9">
      <c r="I18438" s="2"/>
    </row>
    <row r="18439" spans="9:9">
      <c r="I18439" s="2"/>
    </row>
    <row r="18440" spans="9:9">
      <c r="I18440" s="2"/>
    </row>
    <row r="18441" spans="9:9">
      <c r="I18441" s="2"/>
    </row>
    <row r="18442" spans="9:9">
      <c r="I18442" s="2"/>
    </row>
    <row r="18443" spans="9:9">
      <c r="I18443" s="2"/>
    </row>
    <row r="18444" spans="9:9">
      <c r="I18444" s="2"/>
    </row>
    <row r="18445" spans="9:9">
      <c r="I18445" s="2"/>
    </row>
    <row r="18446" spans="9:9">
      <c r="I18446" s="2"/>
    </row>
    <row r="18447" spans="9:9">
      <c r="I18447" s="2"/>
    </row>
    <row r="18448" spans="9:9">
      <c r="I18448" s="2"/>
    </row>
    <row r="18449" spans="9:9">
      <c r="I18449" s="2"/>
    </row>
    <row r="18450" spans="9:9">
      <c r="I18450" s="2"/>
    </row>
    <row r="18451" spans="9:9">
      <c r="I18451" s="2"/>
    </row>
    <row r="18452" spans="9:9">
      <c r="I18452" s="2"/>
    </row>
    <row r="18453" spans="9:9">
      <c r="I18453" s="2"/>
    </row>
    <row r="18454" spans="9:9">
      <c r="I18454" s="2"/>
    </row>
    <row r="18455" spans="9:9">
      <c r="I18455" s="2"/>
    </row>
    <row r="18456" spans="9:9">
      <c r="I18456" s="2"/>
    </row>
    <row r="18457" spans="9:9">
      <c r="I18457" s="2"/>
    </row>
    <row r="18458" spans="9:9">
      <c r="I18458" s="2"/>
    </row>
    <row r="18459" spans="9:9">
      <c r="I18459" s="2"/>
    </row>
    <row r="18460" spans="9:9">
      <c r="I18460" s="2"/>
    </row>
    <row r="18461" spans="9:9">
      <c r="I18461" s="2"/>
    </row>
    <row r="18462" spans="9:9">
      <c r="I18462" s="2"/>
    </row>
    <row r="18463" spans="9:9">
      <c r="I18463" s="2"/>
    </row>
    <row r="18464" spans="9:9">
      <c r="I18464" s="2"/>
    </row>
    <row r="18465" spans="9:9">
      <c r="I18465" s="2"/>
    </row>
    <row r="18466" spans="9:9">
      <c r="I18466" s="2"/>
    </row>
    <row r="18467" spans="9:9">
      <c r="I18467" s="2"/>
    </row>
    <row r="18468" spans="9:9">
      <c r="I18468" s="2"/>
    </row>
    <row r="18469" spans="9:9">
      <c r="I18469" s="2"/>
    </row>
    <row r="18470" spans="9:9">
      <c r="I18470" s="2"/>
    </row>
    <row r="18471" spans="9:9">
      <c r="I18471" s="2"/>
    </row>
    <row r="18472" spans="9:9">
      <c r="I18472" s="2"/>
    </row>
    <row r="18473" spans="9:9">
      <c r="I18473" s="2"/>
    </row>
    <row r="18474" spans="9:9">
      <c r="I18474" s="2"/>
    </row>
    <row r="18475" spans="9:9">
      <c r="I18475" s="2"/>
    </row>
    <row r="18476" spans="9:9">
      <c r="I18476" s="2"/>
    </row>
    <row r="18477" spans="9:9">
      <c r="I18477" s="2"/>
    </row>
    <row r="18478" spans="9:9">
      <c r="I18478" s="2"/>
    </row>
    <row r="18479" spans="9:9">
      <c r="I18479" s="2"/>
    </row>
    <row r="18480" spans="9:9">
      <c r="I18480" s="2"/>
    </row>
    <row r="18481" spans="9:9">
      <c r="I18481" s="2"/>
    </row>
    <row r="18482" spans="9:9">
      <c r="I18482" s="2"/>
    </row>
    <row r="18483" spans="9:9">
      <c r="I18483" s="2"/>
    </row>
    <row r="18484" spans="9:9">
      <c r="I18484" s="2"/>
    </row>
    <row r="18485" spans="9:9">
      <c r="I18485" s="2"/>
    </row>
    <row r="18486" spans="9:9">
      <c r="I18486" s="2"/>
    </row>
    <row r="18487" spans="9:9">
      <c r="I18487" s="2"/>
    </row>
    <row r="18488" spans="9:9">
      <c r="I18488" s="2"/>
    </row>
    <row r="18489" spans="9:9">
      <c r="I18489" s="2"/>
    </row>
    <row r="18490" spans="9:9">
      <c r="I18490" s="2"/>
    </row>
    <row r="18491" spans="9:9">
      <c r="I18491" s="2"/>
    </row>
    <row r="18492" spans="9:9">
      <c r="I18492" s="2"/>
    </row>
    <row r="18493" spans="9:9">
      <c r="I18493" s="2"/>
    </row>
    <row r="18494" spans="9:9">
      <c r="I18494" s="2"/>
    </row>
    <row r="18495" spans="9:9">
      <c r="I18495" s="2"/>
    </row>
    <row r="18496" spans="9:9">
      <c r="I18496" s="2"/>
    </row>
    <row r="18497" spans="9:9">
      <c r="I18497" s="2"/>
    </row>
    <row r="18498" spans="9:9">
      <c r="I18498" s="2"/>
    </row>
    <row r="18499" spans="9:9">
      <c r="I18499" s="2"/>
    </row>
    <row r="18500" spans="9:9">
      <c r="I18500" s="2"/>
    </row>
    <row r="18501" spans="9:9">
      <c r="I18501" s="2"/>
    </row>
    <row r="18502" spans="9:9">
      <c r="I18502" s="2"/>
    </row>
    <row r="18503" spans="9:9">
      <c r="I18503" s="2"/>
    </row>
    <row r="18504" spans="9:9">
      <c r="I18504" s="2"/>
    </row>
    <row r="18505" spans="9:9">
      <c r="I18505" s="2"/>
    </row>
    <row r="18506" spans="9:9">
      <c r="I18506" s="2"/>
    </row>
    <row r="18507" spans="9:9">
      <c r="I18507" s="2"/>
    </row>
    <row r="18508" spans="9:9">
      <c r="I18508" s="2"/>
    </row>
    <row r="18509" spans="9:9">
      <c r="I18509" s="2"/>
    </row>
    <row r="18510" spans="9:9">
      <c r="I18510" s="2"/>
    </row>
    <row r="18511" spans="9:9">
      <c r="I18511" s="2"/>
    </row>
    <row r="18512" spans="9:9">
      <c r="I18512" s="2"/>
    </row>
    <row r="18513" spans="9:9">
      <c r="I18513" s="2"/>
    </row>
    <row r="18514" spans="9:9">
      <c r="I18514" s="2"/>
    </row>
    <row r="18515" spans="9:9">
      <c r="I18515" s="2"/>
    </row>
    <row r="18516" spans="9:9">
      <c r="I18516" s="2"/>
    </row>
    <row r="18517" spans="9:9">
      <c r="I18517" s="2"/>
    </row>
    <row r="18518" spans="9:9">
      <c r="I18518" s="2"/>
    </row>
    <row r="18519" spans="9:9">
      <c r="I18519" s="2"/>
    </row>
    <row r="18520" spans="9:9">
      <c r="I18520" s="2"/>
    </row>
    <row r="18521" spans="9:9">
      <c r="I18521" s="2"/>
    </row>
    <row r="18522" spans="9:9">
      <c r="I18522" s="2"/>
    </row>
    <row r="18523" spans="9:9">
      <c r="I18523" s="2"/>
    </row>
    <row r="18524" spans="9:9">
      <c r="I18524" s="2"/>
    </row>
    <row r="18525" spans="9:9">
      <c r="I18525" s="2"/>
    </row>
    <row r="18526" spans="9:9">
      <c r="I18526" s="2"/>
    </row>
    <row r="18527" spans="9:9">
      <c r="I18527" s="2"/>
    </row>
    <row r="18528" spans="9:9">
      <c r="I18528" s="2"/>
    </row>
    <row r="18529" spans="9:9">
      <c r="I18529" s="2"/>
    </row>
    <row r="18530" spans="9:9">
      <c r="I18530" s="2"/>
    </row>
    <row r="18531" spans="9:9">
      <c r="I18531" s="2"/>
    </row>
    <row r="18532" spans="9:9">
      <c r="I18532" s="2"/>
    </row>
    <row r="18533" spans="9:9">
      <c r="I18533" s="2"/>
    </row>
    <row r="18534" spans="9:9">
      <c r="I18534" s="2"/>
    </row>
    <row r="18535" spans="9:9">
      <c r="I18535" s="2"/>
    </row>
    <row r="18536" spans="9:9">
      <c r="I18536" s="2"/>
    </row>
    <row r="18537" spans="9:9">
      <c r="I18537" s="2"/>
    </row>
    <row r="18538" spans="9:9">
      <c r="I18538" s="2"/>
    </row>
    <row r="18539" spans="9:9">
      <c r="I18539" s="2"/>
    </row>
    <row r="18540" spans="9:9">
      <c r="I18540" s="2"/>
    </row>
    <row r="18541" spans="9:9">
      <c r="I18541" s="2"/>
    </row>
    <row r="18542" spans="9:9">
      <c r="I18542" s="2"/>
    </row>
    <row r="18543" spans="9:9">
      <c r="I18543" s="2"/>
    </row>
    <row r="18544" spans="9:9">
      <c r="I18544" s="2"/>
    </row>
    <row r="18545" spans="9:9">
      <c r="I18545" s="2"/>
    </row>
    <row r="18546" spans="9:9">
      <c r="I18546" s="2"/>
    </row>
    <row r="18547" spans="9:9">
      <c r="I18547" s="2"/>
    </row>
    <row r="18548" spans="9:9">
      <c r="I18548" s="2"/>
    </row>
    <row r="18549" spans="9:9">
      <c r="I18549" s="2"/>
    </row>
    <row r="18550" spans="9:9">
      <c r="I18550" s="2"/>
    </row>
    <row r="18551" spans="9:9">
      <c r="I18551" s="2"/>
    </row>
    <row r="18552" spans="9:9">
      <c r="I18552" s="2"/>
    </row>
    <row r="18553" spans="9:9">
      <c r="I18553" s="2"/>
    </row>
    <row r="18554" spans="9:9">
      <c r="I18554" s="2"/>
    </row>
    <row r="18555" spans="9:9">
      <c r="I18555" s="2"/>
    </row>
    <row r="18556" spans="9:9">
      <c r="I18556" s="2"/>
    </row>
    <row r="18557" spans="9:9">
      <c r="I18557" s="2"/>
    </row>
    <row r="18558" spans="9:9">
      <c r="I18558" s="2"/>
    </row>
    <row r="18559" spans="9:9">
      <c r="I18559" s="2"/>
    </row>
    <row r="18560" spans="9:9">
      <c r="I18560" s="2"/>
    </row>
    <row r="18561" spans="9:9">
      <c r="I18561" s="2"/>
    </row>
    <row r="18562" spans="9:9">
      <c r="I18562" s="2"/>
    </row>
    <row r="18563" spans="9:9">
      <c r="I18563" s="2"/>
    </row>
    <row r="18564" spans="9:9">
      <c r="I18564" s="2"/>
    </row>
    <row r="18565" spans="9:9">
      <c r="I18565" s="2"/>
    </row>
    <row r="18566" spans="9:9">
      <c r="I18566" s="2"/>
    </row>
    <row r="18567" spans="9:9">
      <c r="I18567" s="2"/>
    </row>
    <row r="18568" spans="9:9">
      <c r="I18568" s="2"/>
    </row>
    <row r="18569" spans="9:9">
      <c r="I18569" s="2"/>
    </row>
    <row r="18570" spans="9:9">
      <c r="I18570" s="2"/>
    </row>
    <row r="18571" spans="9:9">
      <c r="I18571" s="2"/>
    </row>
    <row r="18572" spans="9:9">
      <c r="I18572" s="2"/>
    </row>
    <row r="18573" spans="9:9">
      <c r="I18573" s="2"/>
    </row>
    <row r="18574" spans="9:9">
      <c r="I18574" s="2"/>
    </row>
    <row r="18575" spans="9:9">
      <c r="I18575" s="2"/>
    </row>
    <row r="18576" spans="9:9">
      <c r="I18576" s="2"/>
    </row>
    <row r="18577" spans="9:9">
      <c r="I18577" s="2"/>
    </row>
    <row r="18578" spans="9:9">
      <c r="I18578" s="2"/>
    </row>
    <row r="18579" spans="9:9">
      <c r="I18579" s="2"/>
    </row>
    <row r="18580" spans="9:9">
      <c r="I18580" s="2"/>
    </row>
    <row r="18581" spans="9:9">
      <c r="I18581" s="2"/>
    </row>
    <row r="18582" spans="9:9">
      <c r="I18582" s="2"/>
    </row>
    <row r="18583" spans="9:9">
      <c r="I18583" s="2"/>
    </row>
    <row r="18584" spans="9:9">
      <c r="I18584" s="2"/>
    </row>
    <row r="18585" spans="9:9">
      <c r="I18585" s="2"/>
    </row>
    <row r="18586" spans="9:9">
      <c r="I18586" s="2"/>
    </row>
    <row r="18587" spans="9:9">
      <c r="I18587" s="2"/>
    </row>
    <row r="18588" spans="9:9">
      <c r="I18588" s="2"/>
    </row>
    <row r="18589" spans="9:9">
      <c r="I18589" s="2"/>
    </row>
    <row r="18590" spans="9:9">
      <c r="I18590" s="2"/>
    </row>
    <row r="18591" spans="9:9">
      <c r="I18591" s="2"/>
    </row>
    <row r="18592" spans="9:9">
      <c r="I18592" s="2"/>
    </row>
    <row r="18593" spans="9:9">
      <c r="I18593" s="2"/>
    </row>
    <row r="18594" spans="9:9">
      <c r="I18594" s="2"/>
    </row>
    <row r="18595" spans="9:9">
      <c r="I18595" s="2"/>
    </row>
    <row r="18596" spans="9:9">
      <c r="I18596" s="2"/>
    </row>
    <row r="18597" spans="9:9">
      <c r="I18597" s="2"/>
    </row>
    <row r="18598" spans="9:9">
      <c r="I18598" s="2"/>
    </row>
    <row r="18599" spans="9:9">
      <c r="I18599" s="2"/>
    </row>
    <row r="18600" spans="9:9">
      <c r="I18600" s="2"/>
    </row>
    <row r="18601" spans="9:9">
      <c r="I18601" s="2"/>
    </row>
    <row r="18602" spans="9:9">
      <c r="I18602" s="2"/>
    </row>
    <row r="18603" spans="9:9">
      <c r="I18603" s="2"/>
    </row>
    <row r="18604" spans="9:9">
      <c r="I18604" s="2"/>
    </row>
    <row r="18605" spans="9:9">
      <c r="I18605" s="2"/>
    </row>
    <row r="18606" spans="9:9">
      <c r="I18606" s="2"/>
    </row>
    <row r="18607" spans="9:9">
      <c r="I18607" s="2"/>
    </row>
    <row r="18608" spans="9:9">
      <c r="I18608" s="2"/>
    </row>
    <row r="18609" spans="9:9">
      <c r="I18609" s="2"/>
    </row>
    <row r="18610" spans="9:9">
      <c r="I18610" s="2"/>
    </row>
    <row r="18611" spans="9:9">
      <c r="I18611" s="2"/>
    </row>
    <row r="18612" spans="9:9">
      <c r="I18612" s="2"/>
    </row>
    <row r="18613" spans="9:9">
      <c r="I18613" s="2"/>
    </row>
    <row r="18614" spans="9:9">
      <c r="I18614" s="2"/>
    </row>
    <row r="18615" spans="9:9">
      <c r="I18615" s="2"/>
    </row>
    <row r="18616" spans="9:9">
      <c r="I18616" s="2"/>
    </row>
    <row r="18617" spans="9:9">
      <c r="I18617" s="2"/>
    </row>
    <row r="18618" spans="9:9">
      <c r="I18618" s="2"/>
    </row>
    <row r="18619" spans="9:9">
      <c r="I18619" s="2"/>
    </row>
    <row r="18620" spans="9:9">
      <c r="I18620" s="2"/>
    </row>
    <row r="18621" spans="9:9">
      <c r="I18621" s="2"/>
    </row>
    <row r="18622" spans="9:9">
      <c r="I18622" s="2"/>
    </row>
    <row r="18623" spans="9:9">
      <c r="I18623" s="2"/>
    </row>
    <row r="18624" spans="9:9">
      <c r="I18624" s="2"/>
    </row>
    <row r="18625" spans="9:9">
      <c r="I18625" s="2"/>
    </row>
    <row r="18626" spans="9:9">
      <c r="I18626" s="2"/>
    </row>
    <row r="18627" spans="9:9">
      <c r="I18627" s="2"/>
    </row>
    <row r="18628" spans="9:9">
      <c r="I18628" s="2"/>
    </row>
    <row r="18629" spans="9:9">
      <c r="I18629" s="2"/>
    </row>
    <row r="18630" spans="9:9">
      <c r="I18630" s="2"/>
    </row>
    <row r="18631" spans="9:9">
      <c r="I18631" s="2"/>
    </row>
    <row r="18632" spans="9:9">
      <c r="I18632" s="2"/>
    </row>
    <row r="18633" spans="9:9">
      <c r="I18633" s="2"/>
    </row>
    <row r="18634" spans="9:9">
      <c r="I18634" s="2"/>
    </row>
    <row r="18635" spans="9:9">
      <c r="I18635" s="2"/>
    </row>
    <row r="18636" spans="9:9">
      <c r="I18636" s="2"/>
    </row>
    <row r="18637" spans="9:9">
      <c r="I18637" s="2"/>
    </row>
    <row r="18638" spans="9:9">
      <c r="I18638" s="2"/>
    </row>
    <row r="18639" spans="9:9">
      <c r="I18639" s="2"/>
    </row>
    <row r="18640" spans="9:9">
      <c r="I18640" s="2"/>
    </row>
    <row r="18641" spans="9:9">
      <c r="I18641" s="2"/>
    </row>
    <row r="18642" spans="9:9">
      <c r="I18642" s="2"/>
    </row>
    <row r="18643" spans="9:9">
      <c r="I18643" s="2"/>
    </row>
    <row r="18644" spans="9:9">
      <c r="I18644" s="2"/>
    </row>
    <row r="18645" spans="9:9">
      <c r="I18645" s="2"/>
    </row>
    <row r="18646" spans="9:9">
      <c r="I18646" s="2"/>
    </row>
    <row r="18647" spans="9:9">
      <c r="I18647" s="2"/>
    </row>
    <row r="18648" spans="9:9">
      <c r="I18648" s="2"/>
    </row>
    <row r="18649" spans="9:9">
      <c r="I18649" s="2"/>
    </row>
    <row r="18650" spans="9:9">
      <c r="I18650" s="2"/>
    </row>
    <row r="18651" spans="9:9">
      <c r="I18651" s="2"/>
    </row>
    <row r="18652" spans="9:9">
      <c r="I18652" s="2"/>
    </row>
    <row r="18653" spans="9:9">
      <c r="I18653" s="2"/>
    </row>
    <row r="18654" spans="9:9">
      <c r="I18654" s="2"/>
    </row>
    <row r="18655" spans="9:9">
      <c r="I18655" s="2"/>
    </row>
    <row r="18656" spans="9:9">
      <c r="I18656" s="2"/>
    </row>
    <row r="18657" spans="9:9">
      <c r="I18657" s="2"/>
    </row>
    <row r="18658" spans="9:9">
      <c r="I18658" s="2"/>
    </row>
    <row r="18659" spans="9:9">
      <c r="I18659" s="2"/>
    </row>
    <row r="18660" spans="9:9">
      <c r="I18660" s="2"/>
    </row>
    <row r="18661" spans="9:9">
      <c r="I18661" s="2"/>
    </row>
    <row r="18662" spans="9:9">
      <c r="I18662" s="2"/>
    </row>
    <row r="18663" spans="9:9">
      <c r="I18663" s="2"/>
    </row>
    <row r="18664" spans="9:9">
      <c r="I18664" s="2"/>
    </row>
    <row r="18665" spans="9:9">
      <c r="I18665" s="2"/>
    </row>
    <row r="18666" spans="9:9">
      <c r="I18666" s="2"/>
    </row>
    <row r="18667" spans="9:9">
      <c r="I18667" s="2"/>
    </row>
    <row r="18668" spans="9:9">
      <c r="I18668" s="2"/>
    </row>
    <row r="18669" spans="9:9">
      <c r="I18669" s="2"/>
    </row>
    <row r="18670" spans="9:9">
      <c r="I18670" s="2"/>
    </row>
    <row r="18671" spans="9:9">
      <c r="I18671" s="2"/>
    </row>
    <row r="18672" spans="9:9">
      <c r="I18672" s="2"/>
    </row>
    <row r="18673" spans="9:9">
      <c r="I18673" s="2"/>
    </row>
    <row r="18674" spans="9:9">
      <c r="I18674" s="2"/>
    </row>
    <row r="18675" spans="9:9">
      <c r="I18675" s="2"/>
    </row>
    <row r="18676" spans="9:9">
      <c r="I18676" s="2"/>
    </row>
    <row r="18677" spans="9:9">
      <c r="I18677" s="2"/>
    </row>
    <row r="18678" spans="9:9">
      <c r="I18678" s="2"/>
    </row>
    <row r="18679" spans="9:9">
      <c r="I18679" s="2"/>
    </row>
    <row r="18680" spans="9:9">
      <c r="I18680" s="2"/>
    </row>
    <row r="18681" spans="9:9">
      <c r="I18681" s="2"/>
    </row>
    <row r="18682" spans="9:9">
      <c r="I18682" s="2"/>
    </row>
    <row r="18683" spans="9:9">
      <c r="I18683" s="2"/>
    </row>
    <row r="18684" spans="9:9">
      <c r="I18684" s="2"/>
    </row>
    <row r="18685" spans="9:9">
      <c r="I18685" s="2"/>
    </row>
    <row r="18686" spans="9:9">
      <c r="I18686" s="2"/>
    </row>
    <row r="18687" spans="9:9">
      <c r="I18687" s="2"/>
    </row>
    <row r="18688" spans="9:9">
      <c r="I18688" s="2"/>
    </row>
    <row r="18689" spans="9:9">
      <c r="I18689" s="2"/>
    </row>
    <row r="18690" spans="9:9">
      <c r="I18690" s="2"/>
    </row>
    <row r="18691" spans="9:9">
      <c r="I18691" s="2"/>
    </row>
    <row r="18692" spans="9:9">
      <c r="I18692" s="2"/>
    </row>
    <row r="18693" spans="9:9">
      <c r="I18693" s="2"/>
    </row>
    <row r="18694" spans="9:9">
      <c r="I18694" s="2"/>
    </row>
    <row r="18695" spans="9:9">
      <c r="I18695" s="2"/>
    </row>
    <row r="18696" spans="9:9">
      <c r="I18696" s="2"/>
    </row>
    <row r="18697" spans="9:9">
      <c r="I18697" s="2"/>
    </row>
    <row r="18698" spans="9:9">
      <c r="I18698" s="2"/>
    </row>
    <row r="18699" spans="9:9">
      <c r="I18699" s="2"/>
    </row>
    <row r="18700" spans="9:9">
      <c r="I18700" s="2"/>
    </row>
    <row r="18701" spans="9:9">
      <c r="I18701" s="2"/>
    </row>
    <row r="18702" spans="9:9">
      <c r="I18702" s="2"/>
    </row>
    <row r="18703" spans="9:9">
      <c r="I18703" s="2"/>
    </row>
    <row r="18704" spans="9:9">
      <c r="I18704" s="2"/>
    </row>
    <row r="18705" spans="9:9">
      <c r="I18705" s="2"/>
    </row>
    <row r="18706" spans="9:9">
      <c r="I18706" s="2"/>
    </row>
    <row r="18707" spans="9:9">
      <c r="I18707" s="2"/>
    </row>
    <row r="18708" spans="9:9">
      <c r="I18708" s="2"/>
    </row>
    <row r="18709" spans="9:9">
      <c r="I18709" s="2"/>
    </row>
    <row r="18710" spans="9:9">
      <c r="I18710" s="2"/>
    </row>
    <row r="18711" spans="9:9">
      <c r="I18711" s="2"/>
    </row>
    <row r="18712" spans="9:9">
      <c r="I18712" s="2"/>
    </row>
    <row r="18713" spans="9:9">
      <c r="I18713" s="2"/>
    </row>
    <row r="18714" spans="9:9">
      <c r="I18714" s="2"/>
    </row>
    <row r="18715" spans="9:9">
      <c r="I18715" s="2"/>
    </row>
    <row r="18716" spans="9:9">
      <c r="I18716" s="2"/>
    </row>
    <row r="18717" spans="9:9">
      <c r="I18717" s="2"/>
    </row>
    <row r="18718" spans="9:9">
      <c r="I18718" s="2"/>
    </row>
    <row r="18719" spans="9:9">
      <c r="I18719" s="2"/>
    </row>
    <row r="18720" spans="9:9">
      <c r="I18720" s="2"/>
    </row>
    <row r="18721" spans="9:9">
      <c r="I18721" s="2"/>
    </row>
    <row r="18722" spans="9:9">
      <c r="I18722" s="2"/>
    </row>
    <row r="18723" spans="9:9">
      <c r="I18723" s="2"/>
    </row>
    <row r="18724" spans="9:9">
      <c r="I18724" s="2"/>
    </row>
    <row r="18725" spans="9:9">
      <c r="I18725" s="2"/>
    </row>
    <row r="18726" spans="9:9">
      <c r="I18726" s="2"/>
    </row>
    <row r="18727" spans="9:9">
      <c r="I18727" s="2"/>
    </row>
    <row r="18728" spans="9:9">
      <c r="I18728" s="2"/>
    </row>
    <row r="18729" spans="9:9">
      <c r="I18729" s="2"/>
    </row>
    <row r="18730" spans="9:9">
      <c r="I18730" s="2"/>
    </row>
    <row r="18731" spans="9:9">
      <c r="I18731" s="2"/>
    </row>
    <row r="18732" spans="9:9">
      <c r="I18732" s="2"/>
    </row>
    <row r="18733" spans="9:9">
      <c r="I18733" s="2"/>
    </row>
    <row r="18734" spans="9:9">
      <c r="I18734" s="2"/>
    </row>
    <row r="18735" spans="9:9">
      <c r="I18735" s="2"/>
    </row>
    <row r="18736" spans="9:9">
      <c r="I18736" s="2"/>
    </row>
    <row r="18737" spans="9:9">
      <c r="I18737" s="2"/>
    </row>
    <row r="18738" spans="9:9">
      <c r="I18738" s="2"/>
    </row>
    <row r="18739" spans="9:9">
      <c r="I18739" s="2"/>
    </row>
    <row r="18740" spans="9:9">
      <c r="I18740" s="2"/>
    </row>
    <row r="18741" spans="9:9">
      <c r="I18741" s="2"/>
    </row>
    <row r="18742" spans="9:9">
      <c r="I18742" s="2"/>
    </row>
    <row r="18743" spans="9:9">
      <c r="I18743" s="2"/>
    </row>
    <row r="18744" spans="9:9">
      <c r="I18744" s="2"/>
    </row>
    <row r="18745" spans="9:9">
      <c r="I18745" s="2"/>
    </row>
    <row r="18746" spans="9:9">
      <c r="I18746" s="2"/>
    </row>
    <row r="18747" spans="9:9">
      <c r="I18747" s="2"/>
    </row>
    <row r="18748" spans="9:9">
      <c r="I18748" s="2"/>
    </row>
    <row r="18749" spans="9:9">
      <c r="I18749" s="2"/>
    </row>
    <row r="18750" spans="9:9">
      <c r="I18750" s="2"/>
    </row>
    <row r="18751" spans="9:9">
      <c r="I18751" s="2"/>
    </row>
    <row r="18752" spans="9:9">
      <c r="I18752" s="2"/>
    </row>
    <row r="18753" spans="9:9">
      <c r="I18753" s="2"/>
    </row>
    <row r="18754" spans="9:9">
      <c r="I18754" s="2"/>
    </row>
    <row r="18755" spans="9:9">
      <c r="I18755" s="2"/>
    </row>
    <row r="18756" spans="9:9">
      <c r="I18756" s="2"/>
    </row>
    <row r="18757" spans="9:9">
      <c r="I18757" s="2"/>
    </row>
    <row r="18758" spans="9:9">
      <c r="I18758" s="2"/>
    </row>
    <row r="18759" spans="9:9">
      <c r="I18759" s="2"/>
    </row>
    <row r="18760" spans="9:9">
      <c r="I18760" s="2"/>
    </row>
    <row r="18761" spans="9:9">
      <c r="I18761" s="2"/>
    </row>
    <row r="18762" spans="9:9">
      <c r="I18762" s="2"/>
    </row>
    <row r="18763" spans="9:9">
      <c r="I18763" s="2"/>
    </row>
    <row r="18764" spans="9:9">
      <c r="I18764" s="2"/>
    </row>
    <row r="18765" spans="9:9">
      <c r="I18765" s="2"/>
    </row>
    <row r="18766" spans="9:9">
      <c r="I18766" s="2"/>
    </row>
    <row r="18767" spans="9:9">
      <c r="I18767" s="2"/>
    </row>
    <row r="18768" spans="9:9">
      <c r="I18768" s="2"/>
    </row>
    <row r="18769" spans="9:9">
      <c r="I18769" s="2"/>
    </row>
    <row r="18770" spans="9:9">
      <c r="I18770" s="2"/>
    </row>
    <row r="18771" spans="9:9">
      <c r="I18771" s="2"/>
    </row>
    <row r="18772" spans="9:9">
      <c r="I18772" s="2"/>
    </row>
    <row r="18773" spans="9:9">
      <c r="I18773" s="2"/>
    </row>
    <row r="18774" spans="9:9">
      <c r="I18774" s="2"/>
    </row>
    <row r="18775" spans="9:9">
      <c r="I18775" s="2"/>
    </row>
    <row r="18776" spans="9:9">
      <c r="I18776" s="2"/>
    </row>
    <row r="18777" spans="9:9">
      <c r="I18777" s="2"/>
    </row>
    <row r="18778" spans="9:9">
      <c r="I18778" s="2"/>
    </row>
    <row r="18779" spans="9:9">
      <c r="I18779" s="2"/>
    </row>
    <row r="18780" spans="9:9">
      <c r="I18780" s="2"/>
    </row>
    <row r="18781" spans="9:9">
      <c r="I18781" s="2"/>
    </row>
    <row r="18782" spans="9:9">
      <c r="I18782" s="2"/>
    </row>
    <row r="18783" spans="9:9">
      <c r="I18783" s="2"/>
    </row>
    <row r="18784" spans="9:9">
      <c r="I18784" s="2"/>
    </row>
    <row r="18785" spans="9:9">
      <c r="I18785" s="2"/>
    </row>
    <row r="18786" spans="9:9">
      <c r="I18786" s="2"/>
    </row>
    <row r="18787" spans="9:9">
      <c r="I18787" s="2"/>
    </row>
    <row r="18788" spans="9:9">
      <c r="I18788" s="2"/>
    </row>
    <row r="18789" spans="9:9">
      <c r="I18789" s="2"/>
    </row>
    <row r="18790" spans="9:9">
      <c r="I18790" s="2"/>
    </row>
    <row r="18791" spans="9:9">
      <c r="I18791" s="2"/>
    </row>
    <row r="18792" spans="9:9">
      <c r="I18792" s="2"/>
    </row>
    <row r="18793" spans="9:9">
      <c r="I18793" s="2"/>
    </row>
    <row r="18794" spans="9:9">
      <c r="I18794" s="2"/>
    </row>
    <row r="18795" spans="9:9">
      <c r="I18795" s="2"/>
    </row>
    <row r="18796" spans="9:9">
      <c r="I18796" s="2"/>
    </row>
    <row r="18797" spans="9:9">
      <c r="I18797" s="2"/>
    </row>
    <row r="18798" spans="9:9">
      <c r="I18798" s="2"/>
    </row>
    <row r="18799" spans="9:9">
      <c r="I18799" s="2"/>
    </row>
    <row r="18800" spans="9:9">
      <c r="I18800" s="2"/>
    </row>
    <row r="18801" spans="9:9">
      <c r="I18801" s="2"/>
    </row>
    <row r="18802" spans="9:9">
      <c r="I18802" s="2"/>
    </row>
    <row r="18803" spans="9:9">
      <c r="I18803" s="2"/>
    </row>
    <row r="18804" spans="9:9">
      <c r="I18804" s="2"/>
    </row>
    <row r="18805" spans="9:9">
      <c r="I18805" s="2"/>
    </row>
    <row r="18806" spans="9:9">
      <c r="I18806" s="2"/>
    </row>
    <row r="18807" spans="9:9">
      <c r="I18807" s="2"/>
    </row>
    <row r="18808" spans="9:9">
      <c r="I18808" s="2"/>
    </row>
    <row r="18809" spans="9:9">
      <c r="I18809" s="2"/>
    </row>
    <row r="18810" spans="9:9">
      <c r="I18810" s="2"/>
    </row>
    <row r="18811" spans="9:9">
      <c r="I18811" s="2"/>
    </row>
    <row r="18812" spans="9:9">
      <c r="I18812" s="2"/>
    </row>
    <row r="18813" spans="9:9">
      <c r="I18813" s="2"/>
    </row>
    <row r="18814" spans="9:9">
      <c r="I18814" s="2"/>
    </row>
    <row r="18815" spans="9:9">
      <c r="I18815" s="2"/>
    </row>
    <row r="18816" spans="9:9">
      <c r="I18816" s="2"/>
    </row>
    <row r="18817" spans="9:9">
      <c r="I18817" s="2"/>
    </row>
    <row r="18818" spans="9:9">
      <c r="I18818" s="2"/>
    </row>
    <row r="18819" spans="9:9">
      <c r="I18819" s="2"/>
    </row>
    <row r="18820" spans="9:9">
      <c r="I18820" s="2"/>
    </row>
    <row r="18821" spans="9:9">
      <c r="I18821" s="2"/>
    </row>
    <row r="18822" spans="9:9">
      <c r="I18822" s="2"/>
    </row>
    <row r="18823" spans="9:9">
      <c r="I18823" s="2"/>
    </row>
    <row r="18824" spans="9:9">
      <c r="I18824" s="2"/>
    </row>
    <row r="18825" spans="9:9">
      <c r="I18825" s="2"/>
    </row>
    <row r="18826" spans="9:9">
      <c r="I18826" s="2"/>
    </row>
    <row r="18827" spans="9:9">
      <c r="I18827" s="2"/>
    </row>
    <row r="18828" spans="9:9">
      <c r="I18828" s="2"/>
    </row>
    <row r="18829" spans="9:9">
      <c r="I18829" s="2"/>
    </row>
    <row r="18830" spans="9:9">
      <c r="I18830" s="2"/>
    </row>
    <row r="18831" spans="9:9">
      <c r="I18831" s="2"/>
    </row>
    <row r="18832" spans="9:9">
      <c r="I18832" s="2"/>
    </row>
    <row r="18833" spans="9:9">
      <c r="I18833" s="2"/>
    </row>
    <row r="18834" spans="9:9">
      <c r="I18834" s="2"/>
    </row>
    <row r="18835" spans="9:9">
      <c r="I18835" s="2"/>
    </row>
    <row r="18836" spans="9:9">
      <c r="I18836" s="2"/>
    </row>
    <row r="18837" spans="9:9">
      <c r="I18837" s="2"/>
    </row>
    <row r="18838" spans="9:9">
      <c r="I18838" s="2"/>
    </row>
    <row r="18839" spans="9:9">
      <c r="I18839" s="2"/>
    </row>
    <row r="18840" spans="9:9">
      <c r="I18840" s="2"/>
    </row>
    <row r="18841" spans="9:9">
      <c r="I18841" s="2"/>
    </row>
    <row r="18842" spans="9:9">
      <c r="I18842" s="2"/>
    </row>
    <row r="18843" spans="9:9">
      <c r="I18843" s="2"/>
    </row>
    <row r="18844" spans="9:9">
      <c r="I18844" s="2"/>
    </row>
    <row r="18845" spans="9:9">
      <c r="I18845" s="2"/>
    </row>
    <row r="18846" spans="9:9">
      <c r="I18846" s="2"/>
    </row>
    <row r="18847" spans="9:9">
      <c r="I18847" s="2"/>
    </row>
    <row r="18848" spans="9:9">
      <c r="I18848" s="2"/>
    </row>
    <row r="18849" spans="9:9">
      <c r="I18849" s="2"/>
    </row>
    <row r="18850" spans="9:9">
      <c r="I18850" s="2"/>
    </row>
    <row r="18851" spans="9:9">
      <c r="I18851" s="2"/>
    </row>
    <row r="18852" spans="9:9">
      <c r="I18852" s="2"/>
    </row>
    <row r="18853" spans="9:9">
      <c r="I18853" s="2"/>
    </row>
    <row r="18854" spans="9:9">
      <c r="I18854" s="2"/>
    </row>
    <row r="18855" spans="9:9">
      <c r="I18855" s="2"/>
    </row>
    <row r="18856" spans="9:9">
      <c r="I18856" s="2"/>
    </row>
    <row r="18857" spans="9:9">
      <c r="I18857" s="2"/>
    </row>
    <row r="18858" spans="9:9">
      <c r="I18858" s="2"/>
    </row>
    <row r="18859" spans="9:9">
      <c r="I18859" s="2"/>
    </row>
    <row r="18860" spans="9:9">
      <c r="I18860" s="2"/>
    </row>
    <row r="18861" spans="9:9">
      <c r="I18861" s="2"/>
    </row>
    <row r="18862" spans="9:9">
      <c r="I18862" s="2"/>
    </row>
    <row r="18863" spans="9:9">
      <c r="I18863" s="2"/>
    </row>
    <row r="18864" spans="9:9">
      <c r="I18864" s="2"/>
    </row>
    <row r="18865" spans="9:9">
      <c r="I18865" s="2"/>
    </row>
    <row r="18866" spans="9:9">
      <c r="I18866" s="2"/>
    </row>
    <row r="18867" spans="9:9">
      <c r="I18867" s="2"/>
    </row>
    <row r="18868" spans="9:9">
      <c r="I18868" s="2"/>
    </row>
    <row r="18869" spans="9:9">
      <c r="I18869" s="2"/>
    </row>
    <row r="18870" spans="9:9">
      <c r="I18870" s="2"/>
    </row>
    <row r="18871" spans="9:9">
      <c r="I18871" s="2"/>
    </row>
    <row r="18872" spans="9:9">
      <c r="I18872" s="2"/>
    </row>
    <row r="18873" spans="9:9">
      <c r="I18873" s="2"/>
    </row>
    <row r="18874" spans="9:9">
      <c r="I18874" s="2"/>
    </row>
    <row r="18875" spans="9:9">
      <c r="I18875" s="2"/>
    </row>
    <row r="18876" spans="9:9">
      <c r="I18876" s="2"/>
    </row>
    <row r="18877" spans="9:9">
      <c r="I18877" s="2"/>
    </row>
    <row r="18878" spans="9:9">
      <c r="I18878" s="2"/>
    </row>
    <row r="18879" spans="9:9">
      <c r="I18879" s="2"/>
    </row>
    <row r="18880" spans="9:9">
      <c r="I18880" s="2"/>
    </row>
    <row r="18881" spans="9:9">
      <c r="I18881" s="2"/>
    </row>
    <row r="18882" spans="9:9">
      <c r="I18882" s="2"/>
    </row>
    <row r="18883" spans="9:9">
      <c r="I18883" s="2"/>
    </row>
    <row r="18884" spans="9:9">
      <c r="I18884" s="2"/>
    </row>
    <row r="18885" spans="9:9">
      <c r="I18885" s="2"/>
    </row>
    <row r="18886" spans="9:9">
      <c r="I18886" s="2"/>
    </row>
    <row r="18887" spans="9:9">
      <c r="I18887" s="2"/>
    </row>
    <row r="18888" spans="9:9">
      <c r="I18888" s="2"/>
    </row>
    <row r="18889" spans="9:9">
      <c r="I18889" s="2"/>
    </row>
    <row r="18890" spans="9:9">
      <c r="I18890" s="2"/>
    </row>
    <row r="18891" spans="9:9">
      <c r="I18891" s="2"/>
    </row>
    <row r="18892" spans="9:9">
      <c r="I18892" s="2"/>
    </row>
    <row r="18893" spans="9:9">
      <c r="I18893" s="2"/>
    </row>
    <row r="18894" spans="9:9">
      <c r="I18894" s="2"/>
    </row>
    <row r="18895" spans="9:9">
      <c r="I18895" s="2"/>
    </row>
    <row r="18896" spans="9:9">
      <c r="I18896" s="2"/>
    </row>
    <row r="18897" spans="9:9">
      <c r="I18897" s="2"/>
    </row>
    <row r="18898" spans="9:9">
      <c r="I18898" s="2"/>
    </row>
    <row r="18899" spans="9:9">
      <c r="I18899" s="2"/>
    </row>
    <row r="18900" spans="9:9">
      <c r="I18900" s="2"/>
    </row>
    <row r="18901" spans="9:9">
      <c r="I18901" s="2"/>
    </row>
    <row r="18902" spans="9:9">
      <c r="I18902" s="2"/>
    </row>
    <row r="18903" spans="9:9">
      <c r="I18903" s="2"/>
    </row>
    <row r="18904" spans="9:9">
      <c r="I18904" s="2"/>
    </row>
    <row r="18905" spans="9:9">
      <c r="I18905" s="2"/>
    </row>
    <row r="18906" spans="9:9">
      <c r="I18906" s="2"/>
    </row>
    <row r="18907" spans="9:9">
      <c r="I18907" s="2"/>
    </row>
    <row r="18908" spans="9:9">
      <c r="I18908" s="2"/>
    </row>
    <row r="18909" spans="9:9">
      <c r="I18909" s="2"/>
    </row>
    <row r="18910" spans="9:9">
      <c r="I18910" s="2"/>
    </row>
    <row r="18911" spans="9:9">
      <c r="I18911" s="2"/>
    </row>
    <row r="18912" spans="9:9">
      <c r="I18912" s="2"/>
    </row>
    <row r="18913" spans="9:9">
      <c r="I18913" s="2"/>
    </row>
    <row r="18914" spans="9:9">
      <c r="I18914" s="2"/>
    </row>
    <row r="18915" spans="9:9">
      <c r="I18915" s="2"/>
    </row>
    <row r="18916" spans="9:9">
      <c r="I18916" s="2"/>
    </row>
    <row r="18917" spans="9:9">
      <c r="I18917" s="2"/>
    </row>
    <row r="18918" spans="9:9">
      <c r="I18918" s="2"/>
    </row>
    <row r="18919" spans="9:9">
      <c r="I18919" s="2"/>
    </row>
    <row r="18920" spans="9:9">
      <c r="I18920" s="2"/>
    </row>
    <row r="18921" spans="9:9">
      <c r="I18921" s="2"/>
    </row>
    <row r="18922" spans="9:9">
      <c r="I18922" s="2"/>
    </row>
    <row r="18923" spans="9:9">
      <c r="I18923" s="2"/>
    </row>
    <row r="18924" spans="9:9">
      <c r="I18924" s="2"/>
    </row>
    <row r="18925" spans="9:9">
      <c r="I18925" s="2"/>
    </row>
    <row r="18926" spans="9:9">
      <c r="I18926" s="2"/>
    </row>
    <row r="18927" spans="9:9">
      <c r="I18927" s="2"/>
    </row>
    <row r="18928" spans="9:9">
      <c r="I18928" s="2"/>
    </row>
    <row r="18929" spans="9:9">
      <c r="I18929" s="2"/>
    </row>
    <row r="18930" spans="9:9">
      <c r="I18930" s="2"/>
    </row>
    <row r="18931" spans="9:9">
      <c r="I18931" s="2"/>
    </row>
    <row r="18932" spans="9:9">
      <c r="I18932" s="2"/>
    </row>
    <row r="18933" spans="9:9">
      <c r="I18933" s="2"/>
    </row>
    <row r="18934" spans="9:9">
      <c r="I18934" s="2"/>
    </row>
    <row r="18935" spans="9:9">
      <c r="I18935" s="2"/>
    </row>
    <row r="18936" spans="9:9">
      <c r="I18936" s="2"/>
    </row>
    <row r="18937" spans="9:9">
      <c r="I18937" s="2"/>
    </row>
    <row r="18938" spans="9:9">
      <c r="I18938" s="2"/>
    </row>
    <row r="18939" spans="9:9">
      <c r="I18939" s="2"/>
    </row>
    <row r="18940" spans="9:9">
      <c r="I18940" s="2"/>
    </row>
    <row r="18941" spans="9:9">
      <c r="I18941" s="2"/>
    </row>
    <row r="18942" spans="9:9">
      <c r="I18942" s="2"/>
    </row>
    <row r="18943" spans="9:9">
      <c r="I18943" s="2"/>
    </row>
    <row r="18944" spans="9:9">
      <c r="I18944" s="2"/>
    </row>
    <row r="18945" spans="9:9">
      <c r="I18945" s="2"/>
    </row>
    <row r="18946" spans="9:9">
      <c r="I18946" s="2"/>
    </row>
    <row r="18947" spans="9:9">
      <c r="I18947" s="2"/>
    </row>
    <row r="18948" spans="9:9">
      <c r="I18948" s="2"/>
    </row>
    <row r="18949" spans="9:9">
      <c r="I18949" s="2"/>
    </row>
    <row r="18950" spans="9:9">
      <c r="I18950" s="2"/>
    </row>
    <row r="18951" spans="9:9">
      <c r="I18951" s="2"/>
    </row>
    <row r="18952" spans="9:9">
      <c r="I18952" s="2"/>
    </row>
    <row r="18953" spans="9:9">
      <c r="I18953" s="2"/>
    </row>
    <row r="18954" spans="9:9">
      <c r="I18954" s="2"/>
    </row>
    <row r="18955" spans="9:9">
      <c r="I18955" s="2"/>
    </row>
    <row r="18956" spans="9:9">
      <c r="I18956" s="2"/>
    </row>
    <row r="18957" spans="9:9">
      <c r="I18957" s="2"/>
    </row>
    <row r="18958" spans="9:9">
      <c r="I18958" s="2"/>
    </row>
    <row r="18959" spans="9:9">
      <c r="I18959" s="2"/>
    </row>
    <row r="18960" spans="9:9">
      <c r="I18960" s="2"/>
    </row>
    <row r="18961" spans="9:9">
      <c r="I18961" s="2"/>
    </row>
    <row r="18962" spans="9:9">
      <c r="I18962" s="2"/>
    </row>
    <row r="18963" spans="9:9">
      <c r="I18963" s="2"/>
    </row>
    <row r="18964" spans="9:9">
      <c r="I18964" s="2"/>
    </row>
    <row r="18965" spans="9:9">
      <c r="I18965" s="2"/>
    </row>
    <row r="18966" spans="9:9">
      <c r="I18966" s="2"/>
    </row>
    <row r="18967" spans="9:9">
      <c r="I18967" s="2"/>
    </row>
    <row r="18968" spans="9:9">
      <c r="I18968" s="2"/>
    </row>
    <row r="18969" spans="9:9">
      <c r="I18969" s="2"/>
    </row>
    <row r="18970" spans="9:9">
      <c r="I18970" s="2"/>
    </row>
    <row r="18971" spans="9:9">
      <c r="I18971" s="2"/>
    </row>
    <row r="18972" spans="9:9">
      <c r="I18972" s="2"/>
    </row>
    <row r="18973" spans="9:9">
      <c r="I18973" s="2"/>
    </row>
    <row r="18974" spans="9:9">
      <c r="I18974" s="2"/>
    </row>
    <row r="18975" spans="9:9">
      <c r="I18975" s="2"/>
    </row>
    <row r="18976" spans="9:9">
      <c r="I18976" s="2"/>
    </row>
    <row r="18977" spans="9:9">
      <c r="I18977" s="2"/>
    </row>
    <row r="18978" spans="9:9">
      <c r="I18978" s="2"/>
    </row>
    <row r="18979" spans="9:9">
      <c r="I18979" s="2"/>
    </row>
    <row r="18980" spans="9:9">
      <c r="I18980" s="2"/>
    </row>
    <row r="18981" spans="9:9">
      <c r="I18981" s="2"/>
    </row>
    <row r="18982" spans="9:9">
      <c r="I18982" s="2"/>
    </row>
    <row r="18983" spans="9:9">
      <c r="I18983" s="2"/>
    </row>
    <row r="18984" spans="9:9">
      <c r="I18984" s="2"/>
    </row>
    <row r="18985" spans="9:9">
      <c r="I18985" s="2"/>
    </row>
    <row r="18986" spans="9:9">
      <c r="I18986" s="2"/>
    </row>
    <row r="18987" spans="9:9">
      <c r="I18987" s="2"/>
    </row>
    <row r="18988" spans="9:9">
      <c r="I18988" s="2"/>
    </row>
    <row r="18989" spans="9:9">
      <c r="I18989" s="2"/>
    </row>
    <row r="18990" spans="9:9">
      <c r="I18990" s="2"/>
    </row>
    <row r="18991" spans="9:9">
      <c r="I18991" s="2"/>
    </row>
    <row r="18992" spans="9:9">
      <c r="I18992" s="2"/>
    </row>
    <row r="18993" spans="9:9">
      <c r="I18993" s="2"/>
    </row>
    <row r="18994" spans="9:9">
      <c r="I18994" s="2"/>
    </row>
    <row r="18995" spans="9:9">
      <c r="I18995" s="2"/>
    </row>
    <row r="18996" spans="9:9">
      <c r="I18996" s="2"/>
    </row>
    <row r="18997" spans="9:9">
      <c r="I18997" s="2"/>
    </row>
    <row r="18998" spans="9:9">
      <c r="I18998" s="2"/>
    </row>
    <row r="18999" spans="9:9">
      <c r="I18999" s="2"/>
    </row>
    <row r="19000" spans="9:9">
      <c r="I19000" s="2"/>
    </row>
    <row r="19001" spans="9:9">
      <c r="I19001" s="2"/>
    </row>
    <row r="19002" spans="9:9">
      <c r="I19002" s="2"/>
    </row>
    <row r="19003" spans="9:9">
      <c r="I19003" s="2"/>
    </row>
    <row r="19004" spans="9:9">
      <c r="I19004" s="2"/>
    </row>
    <row r="19005" spans="9:9">
      <c r="I19005" s="2"/>
    </row>
    <row r="19006" spans="9:9">
      <c r="I19006" s="2"/>
    </row>
    <row r="19007" spans="9:9">
      <c r="I19007" s="2"/>
    </row>
    <row r="19008" spans="9:9">
      <c r="I19008" s="2"/>
    </row>
    <row r="19009" spans="9:9">
      <c r="I19009" s="2"/>
    </row>
    <row r="19010" spans="9:9">
      <c r="I19010" s="2"/>
    </row>
    <row r="19011" spans="9:9">
      <c r="I19011" s="2"/>
    </row>
    <row r="19012" spans="9:9">
      <c r="I19012" s="2"/>
    </row>
    <row r="19013" spans="9:9">
      <c r="I19013" s="2"/>
    </row>
    <row r="19014" spans="9:9">
      <c r="I19014" s="2"/>
    </row>
    <row r="19015" spans="9:9">
      <c r="I19015" s="2"/>
    </row>
    <row r="19016" spans="9:9">
      <c r="I19016" s="2"/>
    </row>
    <row r="19017" spans="9:9">
      <c r="I19017" s="2"/>
    </row>
    <row r="19018" spans="9:9">
      <c r="I19018" s="2"/>
    </row>
    <row r="19019" spans="9:9">
      <c r="I19019" s="2"/>
    </row>
    <row r="19020" spans="9:9">
      <c r="I19020" s="2"/>
    </row>
    <row r="19021" spans="9:9">
      <c r="I19021" s="2"/>
    </row>
    <row r="19022" spans="9:9">
      <c r="I19022" s="2"/>
    </row>
    <row r="19023" spans="9:9">
      <c r="I19023" s="2"/>
    </row>
    <row r="19024" spans="9:9">
      <c r="I19024" s="2"/>
    </row>
    <row r="19025" spans="9:9">
      <c r="I19025" s="2"/>
    </row>
    <row r="19026" spans="9:9">
      <c r="I19026" s="2"/>
    </row>
    <row r="19027" spans="9:9">
      <c r="I19027" s="2"/>
    </row>
    <row r="19028" spans="9:9">
      <c r="I19028" s="2"/>
    </row>
    <row r="19029" spans="9:9">
      <c r="I19029" s="2"/>
    </row>
    <row r="19030" spans="9:9">
      <c r="I19030" s="2"/>
    </row>
    <row r="19031" spans="9:9">
      <c r="I19031" s="2"/>
    </row>
    <row r="19032" spans="9:9">
      <c r="I19032" s="2"/>
    </row>
    <row r="19033" spans="9:9">
      <c r="I19033" s="2"/>
    </row>
    <row r="19034" spans="9:9">
      <c r="I19034" s="2"/>
    </row>
    <row r="19035" spans="9:9">
      <c r="I19035" s="2"/>
    </row>
    <row r="19036" spans="9:9">
      <c r="I19036" s="2"/>
    </row>
    <row r="19037" spans="9:9">
      <c r="I19037" s="2"/>
    </row>
    <row r="19038" spans="9:9">
      <c r="I19038" s="2"/>
    </row>
    <row r="19039" spans="9:9">
      <c r="I19039" s="2"/>
    </row>
    <row r="19040" spans="9:9">
      <c r="I19040" s="2"/>
    </row>
    <row r="19041" spans="9:9">
      <c r="I19041" s="2"/>
    </row>
    <row r="19042" spans="9:9">
      <c r="I19042" s="2"/>
    </row>
    <row r="19043" spans="9:9">
      <c r="I19043" s="2"/>
    </row>
    <row r="19044" spans="9:9">
      <c r="I19044" s="2"/>
    </row>
    <row r="19045" spans="9:9">
      <c r="I19045" s="2"/>
    </row>
    <row r="19046" spans="9:9">
      <c r="I19046" s="2"/>
    </row>
    <row r="19047" spans="9:9">
      <c r="I19047" s="2"/>
    </row>
    <row r="19048" spans="9:9">
      <c r="I19048" s="2"/>
    </row>
    <row r="19049" spans="9:9">
      <c r="I19049" s="2"/>
    </row>
    <row r="19050" spans="9:9">
      <c r="I19050" s="2"/>
    </row>
    <row r="19051" spans="9:9">
      <c r="I19051" s="2"/>
    </row>
    <row r="19052" spans="9:9">
      <c r="I19052" s="2"/>
    </row>
    <row r="19053" spans="9:9">
      <c r="I19053" s="2"/>
    </row>
    <row r="19054" spans="9:9">
      <c r="I19054" s="2"/>
    </row>
    <row r="19055" spans="9:9">
      <c r="I19055" s="2"/>
    </row>
    <row r="19056" spans="9:9">
      <c r="I19056" s="2"/>
    </row>
    <row r="19057" spans="9:9">
      <c r="I19057" s="2"/>
    </row>
    <row r="19058" spans="9:9">
      <c r="I19058" s="2"/>
    </row>
    <row r="19059" spans="9:9">
      <c r="I19059" s="2"/>
    </row>
    <row r="19060" spans="9:9">
      <c r="I19060" s="2"/>
    </row>
    <row r="19061" spans="9:9">
      <c r="I19061" s="2"/>
    </row>
    <row r="19062" spans="9:9">
      <c r="I19062" s="2"/>
    </row>
    <row r="19063" spans="9:9">
      <c r="I19063" s="2"/>
    </row>
    <row r="19064" spans="9:9">
      <c r="I19064" s="2"/>
    </row>
    <row r="19065" spans="9:9">
      <c r="I19065" s="2"/>
    </row>
    <row r="19066" spans="9:9">
      <c r="I19066" s="2"/>
    </row>
    <row r="19067" spans="9:9">
      <c r="I19067" s="2"/>
    </row>
    <row r="19068" spans="9:9">
      <c r="I19068" s="2"/>
    </row>
    <row r="19069" spans="9:9">
      <c r="I19069" s="2"/>
    </row>
    <row r="19070" spans="9:9">
      <c r="I19070" s="2"/>
    </row>
    <row r="19071" spans="9:9">
      <c r="I19071" s="2"/>
    </row>
    <row r="19072" spans="9:9">
      <c r="I19072" s="2"/>
    </row>
    <row r="19073" spans="9:9">
      <c r="I19073" s="2"/>
    </row>
    <row r="19074" spans="9:9">
      <c r="I19074" s="2"/>
    </row>
    <row r="19075" spans="9:9">
      <c r="I19075" s="2"/>
    </row>
    <row r="19076" spans="9:9">
      <c r="I19076" s="2"/>
    </row>
    <row r="19077" spans="9:9">
      <c r="I19077" s="2"/>
    </row>
    <row r="19078" spans="9:9">
      <c r="I19078" s="2"/>
    </row>
    <row r="19079" spans="9:9">
      <c r="I19079" s="2"/>
    </row>
    <row r="19080" spans="9:9">
      <c r="I19080" s="2"/>
    </row>
    <row r="19081" spans="9:9">
      <c r="I19081" s="2"/>
    </row>
    <row r="19082" spans="9:9">
      <c r="I19082" s="2"/>
    </row>
    <row r="19083" spans="9:9">
      <c r="I19083" s="2"/>
    </row>
    <row r="19084" spans="9:9">
      <c r="I19084" s="2"/>
    </row>
    <row r="19085" spans="9:9">
      <c r="I19085" s="2"/>
    </row>
    <row r="19086" spans="9:9">
      <c r="I19086" s="2"/>
    </row>
    <row r="19087" spans="9:9">
      <c r="I19087" s="2"/>
    </row>
    <row r="19088" spans="9:9">
      <c r="I19088" s="2"/>
    </row>
    <row r="19089" spans="9:9">
      <c r="I19089" s="2"/>
    </row>
    <row r="19090" spans="9:9">
      <c r="I19090" s="2"/>
    </row>
    <row r="19091" spans="9:9">
      <c r="I19091" s="2"/>
    </row>
    <row r="19092" spans="9:9">
      <c r="I19092" s="2"/>
    </row>
    <row r="19093" spans="9:9">
      <c r="I19093" s="2"/>
    </row>
    <row r="19094" spans="9:9">
      <c r="I19094" s="2"/>
    </row>
    <row r="19095" spans="9:9">
      <c r="I19095" s="2"/>
    </row>
    <row r="19096" spans="9:9">
      <c r="I19096" s="2"/>
    </row>
    <row r="19097" spans="9:9">
      <c r="I19097" s="2"/>
    </row>
    <row r="19098" spans="9:9">
      <c r="I19098" s="2"/>
    </row>
    <row r="19099" spans="9:9">
      <c r="I19099" s="2"/>
    </row>
    <row r="19100" spans="9:9">
      <c r="I19100" s="2"/>
    </row>
    <row r="19101" spans="9:9">
      <c r="I19101" s="2"/>
    </row>
    <row r="19102" spans="9:9">
      <c r="I19102" s="2"/>
    </row>
    <row r="19103" spans="9:9">
      <c r="I19103" s="2"/>
    </row>
    <row r="19104" spans="9:9">
      <c r="I19104" s="2"/>
    </row>
    <row r="19105" spans="9:9">
      <c r="I19105" s="2"/>
    </row>
    <row r="19106" spans="9:9">
      <c r="I19106" s="2"/>
    </row>
    <row r="19107" spans="9:9">
      <c r="I19107" s="2"/>
    </row>
    <row r="19108" spans="9:9">
      <c r="I19108" s="2"/>
    </row>
    <row r="19109" spans="9:9">
      <c r="I19109" s="2"/>
    </row>
    <row r="19110" spans="9:9">
      <c r="I19110" s="2"/>
    </row>
    <row r="19111" spans="9:9">
      <c r="I19111" s="2"/>
    </row>
    <row r="19112" spans="9:9">
      <c r="I19112" s="2"/>
    </row>
    <row r="19113" spans="9:9">
      <c r="I19113" s="2"/>
    </row>
    <row r="19114" spans="9:9">
      <c r="I19114" s="2"/>
    </row>
    <row r="19115" spans="9:9">
      <c r="I19115" s="2"/>
    </row>
    <row r="19116" spans="9:9">
      <c r="I19116" s="2"/>
    </row>
    <row r="19117" spans="9:9">
      <c r="I19117" s="2"/>
    </row>
    <row r="19118" spans="9:9">
      <c r="I19118" s="2"/>
    </row>
    <row r="19119" spans="9:9">
      <c r="I19119" s="2"/>
    </row>
    <row r="19120" spans="9:9">
      <c r="I19120" s="2"/>
    </row>
    <row r="19121" spans="9:9">
      <c r="I19121" s="2"/>
    </row>
    <row r="19122" spans="9:9">
      <c r="I19122" s="2"/>
    </row>
    <row r="19123" spans="9:9">
      <c r="I19123" s="2"/>
    </row>
    <row r="19124" spans="9:9">
      <c r="I19124" s="2"/>
    </row>
    <row r="19125" spans="9:9">
      <c r="I19125" s="2"/>
    </row>
    <row r="19126" spans="9:9">
      <c r="I19126" s="2"/>
    </row>
    <row r="19127" spans="9:9">
      <c r="I19127" s="2"/>
    </row>
    <row r="19128" spans="9:9">
      <c r="I19128" s="2"/>
    </row>
    <row r="19129" spans="9:9">
      <c r="I19129" s="2"/>
    </row>
    <row r="19130" spans="9:9">
      <c r="I19130" s="2"/>
    </row>
    <row r="19131" spans="9:9">
      <c r="I19131" s="2"/>
    </row>
    <row r="19132" spans="9:9">
      <c r="I19132" s="2"/>
    </row>
    <row r="19133" spans="9:9">
      <c r="I19133" s="2"/>
    </row>
    <row r="19134" spans="9:9">
      <c r="I19134" s="2"/>
    </row>
    <row r="19135" spans="9:9">
      <c r="I19135" s="2"/>
    </row>
    <row r="19136" spans="9:9">
      <c r="I19136" s="2"/>
    </row>
    <row r="19137" spans="9:9">
      <c r="I19137" s="2"/>
    </row>
    <row r="19138" spans="9:9">
      <c r="I19138" s="2"/>
    </row>
    <row r="19139" spans="9:9">
      <c r="I19139" s="2"/>
    </row>
    <row r="19140" spans="9:9">
      <c r="I19140" s="2"/>
    </row>
    <row r="19141" spans="9:9">
      <c r="I19141" s="2"/>
    </row>
    <row r="19142" spans="9:9">
      <c r="I19142" s="2"/>
    </row>
    <row r="19143" spans="9:9">
      <c r="I19143" s="2"/>
    </row>
    <row r="19144" spans="9:9">
      <c r="I19144" s="2"/>
    </row>
    <row r="19145" spans="9:9">
      <c r="I19145" s="2"/>
    </row>
    <row r="19146" spans="9:9">
      <c r="I19146" s="2"/>
    </row>
    <row r="19147" spans="9:9">
      <c r="I19147" s="2"/>
    </row>
    <row r="19148" spans="9:9">
      <c r="I19148" s="2"/>
    </row>
    <row r="19149" spans="9:9">
      <c r="I19149" s="2"/>
    </row>
    <row r="19150" spans="9:9">
      <c r="I19150" s="2"/>
    </row>
    <row r="19151" spans="9:9">
      <c r="I19151" s="2"/>
    </row>
    <row r="19152" spans="9:9">
      <c r="I19152" s="2"/>
    </row>
    <row r="19153" spans="9:9">
      <c r="I19153" s="2"/>
    </row>
    <row r="19154" spans="9:9">
      <c r="I19154" s="2"/>
    </row>
    <row r="19155" spans="9:9">
      <c r="I19155" s="2"/>
    </row>
    <row r="19156" spans="9:9">
      <c r="I19156" s="2"/>
    </row>
    <row r="19157" spans="9:9">
      <c r="I19157" s="2"/>
    </row>
    <row r="19158" spans="9:9">
      <c r="I19158" s="2"/>
    </row>
    <row r="19159" spans="9:9">
      <c r="I19159" s="2"/>
    </row>
    <row r="19160" spans="9:9">
      <c r="I19160" s="2"/>
    </row>
    <row r="19161" spans="9:9">
      <c r="I19161" s="2"/>
    </row>
    <row r="19162" spans="9:9">
      <c r="I19162" s="2"/>
    </row>
    <row r="19163" spans="9:9">
      <c r="I19163" s="2"/>
    </row>
    <row r="19164" spans="9:9">
      <c r="I19164" s="2"/>
    </row>
    <row r="19165" spans="9:9">
      <c r="I19165" s="2"/>
    </row>
    <row r="19166" spans="9:9">
      <c r="I19166" s="2"/>
    </row>
    <row r="19167" spans="9:9">
      <c r="I19167" s="2"/>
    </row>
    <row r="19168" spans="9:9">
      <c r="I19168" s="2"/>
    </row>
    <row r="19169" spans="9:9">
      <c r="I19169" s="2"/>
    </row>
    <row r="19170" spans="9:9">
      <c r="I19170" s="2"/>
    </row>
    <row r="19171" spans="9:9">
      <c r="I19171" s="2"/>
    </row>
    <row r="19172" spans="9:9">
      <c r="I19172" s="2"/>
    </row>
    <row r="19173" spans="9:9">
      <c r="I19173" s="2"/>
    </row>
    <row r="19174" spans="9:9">
      <c r="I19174" s="2"/>
    </row>
    <row r="19175" spans="9:9">
      <c r="I19175" s="2"/>
    </row>
    <row r="19176" spans="9:9">
      <c r="I19176" s="2"/>
    </row>
    <row r="19177" spans="9:9">
      <c r="I19177" s="2"/>
    </row>
    <row r="19178" spans="9:9">
      <c r="I19178" s="2"/>
    </row>
    <row r="19179" spans="9:9">
      <c r="I19179" s="2"/>
    </row>
    <row r="19180" spans="9:9">
      <c r="I19180" s="2"/>
    </row>
    <row r="19181" spans="9:9">
      <c r="I19181" s="2"/>
    </row>
    <row r="19182" spans="9:9">
      <c r="I19182" s="2"/>
    </row>
    <row r="19183" spans="9:9">
      <c r="I19183" s="2"/>
    </row>
    <row r="19184" spans="9:9">
      <c r="I19184" s="2"/>
    </row>
    <row r="19185" spans="9:9">
      <c r="I19185" s="2"/>
    </row>
    <row r="19186" spans="9:9">
      <c r="I19186" s="2"/>
    </row>
    <row r="19187" spans="9:9">
      <c r="I19187" s="2"/>
    </row>
    <row r="19188" spans="9:9">
      <c r="I19188" s="2"/>
    </row>
    <row r="19189" spans="9:9">
      <c r="I19189" s="2"/>
    </row>
    <row r="19190" spans="9:9">
      <c r="I19190" s="2"/>
    </row>
    <row r="19191" spans="9:9">
      <c r="I19191" s="2"/>
    </row>
    <row r="19192" spans="9:9">
      <c r="I19192" s="2"/>
    </row>
    <row r="19193" spans="9:9">
      <c r="I19193" s="2"/>
    </row>
    <row r="19194" spans="9:9">
      <c r="I19194" s="2"/>
    </row>
    <row r="19195" spans="9:9">
      <c r="I19195" s="2"/>
    </row>
    <row r="19196" spans="9:9">
      <c r="I19196" s="2"/>
    </row>
    <row r="19197" spans="9:9">
      <c r="I19197" s="2"/>
    </row>
    <row r="19198" spans="9:9">
      <c r="I19198" s="2"/>
    </row>
    <row r="19199" spans="9:9">
      <c r="I19199" s="2"/>
    </row>
    <row r="19200" spans="9:9">
      <c r="I19200" s="2"/>
    </row>
    <row r="19201" spans="9:9">
      <c r="I19201" s="2"/>
    </row>
    <row r="19202" spans="9:9">
      <c r="I19202" s="2"/>
    </row>
    <row r="19203" spans="9:9">
      <c r="I19203" s="2"/>
    </row>
    <row r="19204" spans="9:9">
      <c r="I19204" s="2"/>
    </row>
    <row r="19205" spans="9:9">
      <c r="I19205" s="2"/>
    </row>
    <row r="19206" spans="9:9">
      <c r="I19206" s="2"/>
    </row>
    <row r="19207" spans="9:9">
      <c r="I19207" s="2"/>
    </row>
    <row r="19208" spans="9:9">
      <c r="I19208" s="2"/>
    </row>
    <row r="19209" spans="9:9">
      <c r="I19209" s="2"/>
    </row>
    <row r="19210" spans="9:9">
      <c r="I19210" s="2"/>
    </row>
    <row r="19211" spans="9:9">
      <c r="I19211" s="2"/>
    </row>
    <row r="19212" spans="9:9">
      <c r="I19212" s="2"/>
    </row>
    <row r="19213" spans="9:9">
      <c r="I19213" s="2"/>
    </row>
    <row r="19214" spans="9:9">
      <c r="I19214" s="2"/>
    </row>
    <row r="19215" spans="9:9">
      <c r="I19215" s="2"/>
    </row>
    <row r="19216" spans="9:9">
      <c r="I19216" s="2"/>
    </row>
    <row r="19217" spans="9:9">
      <c r="I19217" s="2"/>
    </row>
    <row r="19218" spans="9:9">
      <c r="I19218" s="2"/>
    </row>
    <row r="19219" spans="9:9">
      <c r="I19219" s="2"/>
    </row>
    <row r="19220" spans="9:9">
      <c r="I19220" s="2"/>
    </row>
    <row r="19221" spans="9:9">
      <c r="I19221" s="2"/>
    </row>
    <row r="19222" spans="9:9">
      <c r="I19222" s="2"/>
    </row>
    <row r="19223" spans="9:9">
      <c r="I19223" s="2"/>
    </row>
    <row r="19224" spans="9:9">
      <c r="I19224" s="2"/>
    </row>
    <row r="19225" spans="9:9">
      <c r="I19225" s="2"/>
    </row>
    <row r="19226" spans="9:9">
      <c r="I19226" s="2"/>
    </row>
    <row r="19227" spans="9:9">
      <c r="I19227" s="2"/>
    </row>
    <row r="19228" spans="9:9">
      <c r="I19228" s="2"/>
    </row>
    <row r="19229" spans="9:9">
      <c r="I19229" s="2"/>
    </row>
    <row r="19230" spans="9:9">
      <c r="I19230" s="2"/>
    </row>
    <row r="19231" spans="9:9">
      <c r="I19231" s="2"/>
    </row>
    <row r="19232" spans="9:9">
      <c r="I19232" s="2"/>
    </row>
    <row r="19233" spans="9:9">
      <c r="I19233" s="2"/>
    </row>
    <row r="19234" spans="9:9">
      <c r="I19234" s="2"/>
    </row>
    <row r="19235" spans="9:9">
      <c r="I19235" s="2"/>
    </row>
    <row r="19236" spans="9:9">
      <c r="I19236" s="2"/>
    </row>
    <row r="19237" spans="9:9">
      <c r="I19237" s="2"/>
    </row>
    <row r="19238" spans="9:9">
      <c r="I19238" s="2"/>
    </row>
    <row r="19239" spans="9:9">
      <c r="I19239" s="2"/>
    </row>
    <row r="19240" spans="9:9">
      <c r="I19240" s="2"/>
    </row>
    <row r="19241" spans="9:9">
      <c r="I19241" s="2"/>
    </row>
    <row r="19242" spans="9:9">
      <c r="I19242" s="2"/>
    </row>
    <row r="19243" spans="9:9">
      <c r="I19243" s="2"/>
    </row>
    <row r="19244" spans="9:9">
      <c r="I19244" s="2"/>
    </row>
    <row r="19245" spans="9:9">
      <c r="I19245" s="2"/>
    </row>
    <row r="19246" spans="9:9">
      <c r="I19246" s="2"/>
    </row>
    <row r="19247" spans="9:9">
      <c r="I19247" s="2"/>
    </row>
    <row r="19248" spans="9:9">
      <c r="I19248" s="2"/>
    </row>
    <row r="19249" spans="9:9">
      <c r="I19249" s="2"/>
    </row>
    <row r="19250" spans="9:9">
      <c r="I19250" s="2"/>
    </row>
    <row r="19251" spans="9:9">
      <c r="I19251" s="2"/>
    </row>
    <row r="19252" spans="9:9">
      <c r="I19252" s="2"/>
    </row>
    <row r="19253" spans="9:9">
      <c r="I19253" s="2"/>
    </row>
    <row r="19254" spans="9:9">
      <c r="I19254" s="2"/>
    </row>
    <row r="19255" spans="9:9">
      <c r="I19255" s="2"/>
    </row>
    <row r="19256" spans="9:9">
      <c r="I19256" s="2"/>
    </row>
    <row r="19257" spans="9:9">
      <c r="I19257" s="2"/>
    </row>
    <row r="19258" spans="9:9">
      <c r="I19258" s="2"/>
    </row>
    <row r="19259" spans="9:9">
      <c r="I19259" s="2"/>
    </row>
    <row r="19260" spans="9:9">
      <c r="I19260" s="2"/>
    </row>
    <row r="19261" spans="9:9">
      <c r="I19261" s="2"/>
    </row>
    <row r="19262" spans="9:9">
      <c r="I19262" s="2"/>
    </row>
    <row r="19263" spans="9:9">
      <c r="I19263" s="2"/>
    </row>
    <row r="19264" spans="9:9">
      <c r="I19264" s="2"/>
    </row>
    <row r="19265" spans="9:9">
      <c r="I19265" s="2"/>
    </row>
    <row r="19266" spans="9:9">
      <c r="I19266" s="2"/>
    </row>
    <row r="19267" spans="9:9">
      <c r="I19267" s="2"/>
    </row>
    <row r="19268" spans="9:9">
      <c r="I19268" s="2"/>
    </row>
    <row r="19269" spans="9:9">
      <c r="I19269" s="2"/>
    </row>
    <row r="19270" spans="9:9">
      <c r="I19270" s="2"/>
    </row>
    <row r="19271" spans="9:9">
      <c r="I19271" s="2"/>
    </row>
    <row r="19272" spans="9:9">
      <c r="I19272" s="2"/>
    </row>
    <row r="19273" spans="9:9">
      <c r="I19273" s="2"/>
    </row>
    <row r="19274" spans="9:9">
      <c r="I19274" s="2"/>
    </row>
    <row r="19275" spans="9:9">
      <c r="I19275" s="2"/>
    </row>
    <row r="19276" spans="9:9">
      <c r="I19276" s="2"/>
    </row>
    <row r="19277" spans="9:9">
      <c r="I19277" s="2"/>
    </row>
    <row r="19278" spans="9:9">
      <c r="I19278" s="2"/>
    </row>
    <row r="19279" spans="9:9">
      <c r="I19279" s="2"/>
    </row>
    <row r="19280" spans="9:9">
      <c r="I19280" s="2"/>
    </row>
    <row r="19281" spans="9:9">
      <c r="I19281" s="2"/>
    </row>
    <row r="19282" spans="9:9">
      <c r="I19282" s="2"/>
    </row>
    <row r="19283" spans="9:9">
      <c r="I19283" s="2"/>
    </row>
    <row r="19284" spans="9:9">
      <c r="I19284" s="2"/>
    </row>
    <row r="19285" spans="9:9">
      <c r="I19285" s="2"/>
    </row>
    <row r="19286" spans="9:9">
      <c r="I19286" s="2"/>
    </row>
    <row r="19287" spans="9:9">
      <c r="I19287" s="2"/>
    </row>
    <row r="19288" spans="9:9">
      <c r="I19288" s="2"/>
    </row>
    <row r="19289" spans="9:9">
      <c r="I19289" s="2"/>
    </row>
    <row r="19290" spans="9:9">
      <c r="I19290" s="2"/>
    </row>
    <row r="19291" spans="9:9">
      <c r="I19291" s="2"/>
    </row>
    <row r="19292" spans="9:9">
      <c r="I19292" s="2"/>
    </row>
    <row r="19293" spans="9:9">
      <c r="I19293" s="2"/>
    </row>
    <row r="19294" spans="9:9">
      <c r="I19294" s="2"/>
    </row>
    <row r="19295" spans="9:9">
      <c r="I19295" s="2"/>
    </row>
    <row r="19296" spans="9:9">
      <c r="I19296" s="2"/>
    </row>
    <row r="19297" spans="9:9">
      <c r="I19297" s="2"/>
    </row>
    <row r="19298" spans="9:9">
      <c r="I19298" s="2"/>
    </row>
    <row r="19299" spans="9:9">
      <c r="I19299" s="2"/>
    </row>
    <row r="19300" spans="9:9">
      <c r="I19300" s="2"/>
    </row>
    <row r="19301" spans="9:9">
      <c r="I19301" s="2"/>
    </row>
    <row r="19302" spans="9:9">
      <c r="I19302" s="2"/>
    </row>
    <row r="19303" spans="9:9">
      <c r="I19303" s="2"/>
    </row>
    <row r="19304" spans="9:9">
      <c r="I19304" s="2"/>
    </row>
    <row r="19305" spans="9:9">
      <c r="I19305" s="2"/>
    </row>
    <row r="19306" spans="9:9">
      <c r="I19306" s="2"/>
    </row>
    <row r="19307" spans="9:9">
      <c r="I19307" s="2"/>
    </row>
    <row r="19308" spans="9:9">
      <c r="I19308" s="2"/>
    </row>
    <row r="19309" spans="9:9">
      <c r="I19309" s="2"/>
    </row>
    <row r="19310" spans="9:9">
      <c r="I19310" s="2"/>
    </row>
    <row r="19311" spans="9:9">
      <c r="I19311" s="2"/>
    </row>
    <row r="19312" spans="9:9">
      <c r="I19312" s="2"/>
    </row>
    <row r="19313" spans="9:9">
      <c r="I19313" s="2"/>
    </row>
    <row r="19314" spans="9:9">
      <c r="I19314" s="2"/>
    </row>
    <row r="19315" spans="9:9">
      <c r="I19315" s="2"/>
    </row>
    <row r="19316" spans="9:9">
      <c r="I19316" s="2"/>
    </row>
    <row r="19317" spans="9:9">
      <c r="I19317" s="2"/>
    </row>
    <row r="19318" spans="9:9">
      <c r="I19318" s="2"/>
    </row>
    <row r="19319" spans="9:9">
      <c r="I19319" s="2"/>
    </row>
    <row r="19320" spans="9:9">
      <c r="I19320" s="2"/>
    </row>
    <row r="19321" spans="9:9">
      <c r="I19321" s="2"/>
    </row>
    <row r="19322" spans="9:9">
      <c r="I19322" s="2"/>
    </row>
    <row r="19323" spans="9:9">
      <c r="I19323" s="2"/>
    </row>
    <row r="19324" spans="9:9">
      <c r="I19324" s="2"/>
    </row>
    <row r="19325" spans="9:9">
      <c r="I19325" s="2"/>
    </row>
    <row r="19326" spans="9:9">
      <c r="I19326" s="2"/>
    </row>
    <row r="19327" spans="9:9">
      <c r="I19327" s="2"/>
    </row>
    <row r="19328" spans="9:9">
      <c r="I19328" s="2"/>
    </row>
    <row r="19329" spans="9:9">
      <c r="I19329" s="2"/>
    </row>
    <row r="19330" spans="9:9">
      <c r="I19330" s="2"/>
    </row>
    <row r="19331" spans="9:9">
      <c r="I19331" s="2"/>
    </row>
    <row r="19332" spans="9:9">
      <c r="I19332" s="2"/>
    </row>
    <row r="19333" spans="9:9">
      <c r="I19333" s="2"/>
    </row>
    <row r="19334" spans="9:9">
      <c r="I19334" s="2"/>
    </row>
    <row r="19335" spans="9:9">
      <c r="I19335" s="2"/>
    </row>
    <row r="19336" spans="9:9">
      <c r="I19336" s="2"/>
    </row>
    <row r="19337" spans="9:9">
      <c r="I19337" s="2"/>
    </row>
    <row r="19338" spans="9:9">
      <c r="I19338" s="2"/>
    </row>
    <row r="19339" spans="9:9">
      <c r="I19339" s="2"/>
    </row>
    <row r="19340" spans="9:9">
      <c r="I19340" s="2"/>
    </row>
    <row r="19341" spans="9:9">
      <c r="I19341" s="2"/>
    </row>
    <row r="19342" spans="9:9">
      <c r="I19342" s="2"/>
    </row>
    <row r="19343" spans="9:9">
      <c r="I19343" s="2"/>
    </row>
    <row r="19344" spans="9:9">
      <c r="I19344" s="2"/>
    </row>
    <row r="19345" spans="9:9">
      <c r="I19345" s="2"/>
    </row>
    <row r="19346" spans="9:9">
      <c r="I19346" s="2"/>
    </row>
    <row r="19347" spans="9:9">
      <c r="I19347" s="2"/>
    </row>
    <row r="19348" spans="9:9">
      <c r="I19348" s="2"/>
    </row>
    <row r="19349" spans="9:9">
      <c r="I19349" s="2"/>
    </row>
    <row r="19350" spans="9:9">
      <c r="I19350" s="2"/>
    </row>
    <row r="19351" spans="9:9">
      <c r="I19351" s="2"/>
    </row>
    <row r="19352" spans="9:9">
      <c r="I19352" s="2"/>
    </row>
    <row r="19353" spans="9:9">
      <c r="I19353" s="2"/>
    </row>
    <row r="19354" spans="9:9">
      <c r="I19354" s="2"/>
    </row>
    <row r="19355" spans="9:9">
      <c r="I19355" s="2"/>
    </row>
    <row r="19356" spans="9:9">
      <c r="I19356" s="2"/>
    </row>
    <row r="19357" spans="9:9">
      <c r="I19357" s="2"/>
    </row>
    <row r="19358" spans="9:9">
      <c r="I19358" s="2"/>
    </row>
    <row r="19359" spans="9:9">
      <c r="I19359" s="2"/>
    </row>
    <row r="19360" spans="9:9">
      <c r="I19360" s="2"/>
    </row>
    <row r="19361" spans="9:9">
      <c r="I19361" s="2"/>
    </row>
    <row r="19362" spans="9:9">
      <c r="I19362" s="2"/>
    </row>
    <row r="19363" spans="9:9">
      <c r="I19363" s="2"/>
    </row>
    <row r="19364" spans="9:9">
      <c r="I19364" s="2"/>
    </row>
    <row r="19365" spans="9:9">
      <c r="I19365" s="2"/>
    </row>
    <row r="19366" spans="9:9">
      <c r="I19366" s="2"/>
    </row>
    <row r="19367" spans="9:9">
      <c r="I19367" s="2"/>
    </row>
    <row r="19368" spans="9:9">
      <c r="I19368" s="2"/>
    </row>
    <row r="19369" spans="9:9">
      <c r="I19369" s="2"/>
    </row>
    <row r="19370" spans="9:9">
      <c r="I19370" s="2"/>
    </row>
    <row r="19371" spans="9:9">
      <c r="I19371" s="2"/>
    </row>
    <row r="19372" spans="9:9">
      <c r="I19372" s="2"/>
    </row>
    <row r="19373" spans="9:9">
      <c r="I19373" s="2"/>
    </row>
    <row r="19374" spans="9:9">
      <c r="I19374" s="2"/>
    </row>
    <row r="19375" spans="9:9">
      <c r="I19375" s="2"/>
    </row>
    <row r="19376" spans="9:9">
      <c r="I19376" s="2"/>
    </row>
    <row r="19377" spans="9:9">
      <c r="I19377" s="2"/>
    </row>
    <row r="19378" spans="9:9">
      <c r="I19378" s="2"/>
    </row>
    <row r="19379" spans="9:9">
      <c r="I19379" s="2"/>
    </row>
    <row r="19380" spans="9:9">
      <c r="I19380" s="2"/>
    </row>
    <row r="19381" spans="9:9">
      <c r="I19381" s="2"/>
    </row>
    <row r="19382" spans="9:9">
      <c r="I19382" s="2"/>
    </row>
    <row r="19383" spans="9:9">
      <c r="I19383" s="2"/>
    </row>
    <row r="19384" spans="9:9">
      <c r="I19384" s="2"/>
    </row>
    <row r="19385" spans="9:9">
      <c r="I19385" s="2"/>
    </row>
    <row r="19386" spans="9:9">
      <c r="I19386" s="2"/>
    </row>
    <row r="19387" spans="9:9">
      <c r="I19387" s="2"/>
    </row>
    <row r="19388" spans="9:9">
      <c r="I19388" s="2"/>
    </row>
    <row r="19389" spans="9:9">
      <c r="I19389" s="2"/>
    </row>
    <row r="19390" spans="9:9">
      <c r="I19390" s="2"/>
    </row>
    <row r="19391" spans="9:9">
      <c r="I19391" s="2"/>
    </row>
    <row r="19392" spans="9:9">
      <c r="I19392" s="2"/>
    </row>
    <row r="19393" spans="9:9">
      <c r="I19393" s="2"/>
    </row>
    <row r="19394" spans="9:9">
      <c r="I19394" s="2"/>
    </row>
    <row r="19395" spans="9:9">
      <c r="I19395" s="2"/>
    </row>
    <row r="19396" spans="9:9">
      <c r="I19396" s="2"/>
    </row>
    <row r="19397" spans="9:9">
      <c r="I19397" s="2"/>
    </row>
    <row r="19398" spans="9:9">
      <c r="I19398" s="2"/>
    </row>
    <row r="19399" spans="9:9">
      <c r="I19399" s="2"/>
    </row>
    <row r="19400" spans="9:9">
      <c r="I19400" s="2"/>
    </row>
    <row r="19401" spans="9:9">
      <c r="I19401" s="2"/>
    </row>
    <row r="19402" spans="9:9">
      <c r="I19402" s="2"/>
    </row>
    <row r="19403" spans="9:9">
      <c r="I19403" s="2"/>
    </row>
    <row r="19404" spans="9:9">
      <c r="I19404" s="2"/>
    </row>
    <row r="19405" spans="9:9">
      <c r="I19405" s="2"/>
    </row>
    <row r="19406" spans="9:9">
      <c r="I19406" s="2"/>
    </row>
    <row r="19407" spans="9:9">
      <c r="I19407" s="2"/>
    </row>
    <row r="19408" spans="9:9">
      <c r="I19408" s="2"/>
    </row>
    <row r="19409" spans="9:9">
      <c r="I19409" s="2"/>
    </row>
    <row r="19410" spans="9:9">
      <c r="I19410" s="2"/>
    </row>
    <row r="19411" spans="9:9">
      <c r="I19411" s="2"/>
    </row>
    <row r="19412" spans="9:9">
      <c r="I19412" s="2"/>
    </row>
    <row r="19413" spans="9:9">
      <c r="I19413" s="2"/>
    </row>
    <row r="19414" spans="9:9">
      <c r="I19414" s="2"/>
    </row>
    <row r="19415" spans="9:9">
      <c r="I19415" s="2"/>
    </row>
    <row r="19416" spans="9:9">
      <c r="I19416" s="2"/>
    </row>
    <row r="19417" spans="9:9">
      <c r="I19417" s="2"/>
    </row>
    <row r="19418" spans="9:9">
      <c r="I19418" s="2"/>
    </row>
    <row r="19419" spans="9:9">
      <c r="I19419" s="2"/>
    </row>
    <row r="19420" spans="9:9">
      <c r="I19420" s="2"/>
    </row>
    <row r="19421" spans="9:9">
      <c r="I19421" s="2"/>
    </row>
    <row r="19422" spans="9:9">
      <c r="I19422" s="2"/>
    </row>
    <row r="19423" spans="9:9">
      <c r="I19423" s="2"/>
    </row>
    <row r="19424" spans="9:9">
      <c r="I19424" s="2"/>
    </row>
    <row r="19425" spans="9:9">
      <c r="I19425" s="2"/>
    </row>
    <row r="19426" spans="9:9">
      <c r="I19426" s="2"/>
    </row>
    <row r="19427" spans="9:9">
      <c r="I19427" s="2"/>
    </row>
    <row r="19428" spans="9:9">
      <c r="I19428" s="2"/>
    </row>
    <row r="19429" spans="9:9">
      <c r="I19429" s="2"/>
    </row>
    <row r="19430" spans="9:9">
      <c r="I19430" s="2"/>
    </row>
    <row r="19431" spans="9:9">
      <c r="I19431" s="2"/>
    </row>
    <row r="19432" spans="9:9">
      <c r="I19432" s="2"/>
    </row>
    <row r="19433" spans="9:9">
      <c r="I19433" s="2"/>
    </row>
    <row r="19434" spans="9:9">
      <c r="I19434" s="2"/>
    </row>
    <row r="19435" spans="9:9">
      <c r="I19435" s="2"/>
    </row>
    <row r="19436" spans="9:9">
      <c r="I19436" s="2"/>
    </row>
    <row r="19437" spans="9:9">
      <c r="I19437" s="2"/>
    </row>
    <row r="19438" spans="9:9">
      <c r="I19438" s="2"/>
    </row>
    <row r="19439" spans="9:9">
      <c r="I19439" s="2"/>
    </row>
    <row r="19440" spans="9:9">
      <c r="I19440" s="2"/>
    </row>
    <row r="19441" spans="9:9">
      <c r="I19441" s="2"/>
    </row>
    <row r="19442" spans="9:9">
      <c r="I19442" s="2"/>
    </row>
    <row r="19443" spans="9:9">
      <c r="I19443" s="2"/>
    </row>
    <row r="19444" spans="9:9">
      <c r="I19444" s="2"/>
    </row>
    <row r="19445" spans="9:9">
      <c r="I19445" s="2"/>
    </row>
    <row r="19446" spans="9:9">
      <c r="I19446" s="2"/>
    </row>
    <row r="19447" spans="9:9">
      <c r="I19447" s="2"/>
    </row>
    <row r="19448" spans="9:9">
      <c r="I19448" s="2"/>
    </row>
    <row r="19449" spans="9:9">
      <c r="I19449" s="2"/>
    </row>
    <row r="19450" spans="9:9">
      <c r="I19450" s="2"/>
    </row>
    <row r="19451" spans="9:9">
      <c r="I19451" s="2"/>
    </row>
    <row r="19452" spans="9:9">
      <c r="I19452" s="2"/>
    </row>
    <row r="19453" spans="9:9">
      <c r="I19453" s="2"/>
    </row>
    <row r="19454" spans="9:9">
      <c r="I19454" s="2"/>
    </row>
    <row r="19455" spans="9:9">
      <c r="I19455" s="2"/>
    </row>
    <row r="19456" spans="9:9">
      <c r="I19456" s="2"/>
    </row>
    <row r="19457" spans="9:9">
      <c r="I19457" s="2"/>
    </row>
    <row r="19458" spans="9:9">
      <c r="I19458" s="2"/>
    </row>
    <row r="19459" spans="9:9">
      <c r="I19459" s="2"/>
    </row>
    <row r="19460" spans="9:9">
      <c r="I19460" s="2"/>
    </row>
    <row r="19461" spans="9:9">
      <c r="I19461" s="2"/>
    </row>
    <row r="19462" spans="9:9">
      <c r="I19462" s="2"/>
    </row>
    <row r="19463" spans="9:9">
      <c r="I19463" s="2"/>
    </row>
    <row r="19464" spans="9:9">
      <c r="I19464" s="2"/>
    </row>
    <row r="19465" spans="9:9">
      <c r="I19465" s="2"/>
    </row>
    <row r="19466" spans="9:9">
      <c r="I19466" s="2"/>
    </row>
    <row r="19467" spans="9:9">
      <c r="I19467" s="2"/>
    </row>
    <row r="19468" spans="9:9">
      <c r="I19468" s="2"/>
    </row>
    <row r="19469" spans="9:9">
      <c r="I19469" s="2"/>
    </row>
    <row r="19470" spans="9:9">
      <c r="I19470" s="2"/>
    </row>
    <row r="19471" spans="9:9">
      <c r="I19471" s="2"/>
    </row>
    <row r="19472" spans="9:9">
      <c r="I19472" s="2"/>
    </row>
    <row r="19473" spans="9:9">
      <c r="I19473" s="2"/>
    </row>
    <row r="19474" spans="9:9">
      <c r="I19474" s="2"/>
    </row>
    <row r="19475" spans="9:9">
      <c r="I19475" s="2"/>
    </row>
    <row r="19476" spans="9:9">
      <c r="I19476" s="2"/>
    </row>
    <row r="19477" spans="9:9">
      <c r="I19477" s="2"/>
    </row>
    <row r="19478" spans="9:9">
      <c r="I19478" s="2"/>
    </row>
    <row r="19479" spans="9:9">
      <c r="I19479" s="2"/>
    </row>
    <row r="19480" spans="9:9">
      <c r="I19480" s="2"/>
    </row>
    <row r="19481" spans="9:9">
      <c r="I19481" s="2"/>
    </row>
    <row r="19482" spans="9:9">
      <c r="I19482" s="2"/>
    </row>
    <row r="19483" spans="9:9">
      <c r="I19483" s="2"/>
    </row>
    <row r="19484" spans="9:9">
      <c r="I19484" s="2"/>
    </row>
    <row r="19485" spans="9:9">
      <c r="I19485" s="2"/>
    </row>
    <row r="19486" spans="9:9">
      <c r="I19486" s="2"/>
    </row>
    <row r="19487" spans="9:9">
      <c r="I19487" s="2"/>
    </row>
    <row r="19488" spans="9:9">
      <c r="I19488" s="2"/>
    </row>
    <row r="19489" spans="9:9">
      <c r="I19489" s="2"/>
    </row>
    <row r="19490" spans="9:9">
      <c r="I19490" s="2"/>
    </row>
    <row r="19491" spans="9:9">
      <c r="I19491" s="2"/>
    </row>
    <row r="19492" spans="9:9">
      <c r="I19492" s="2"/>
    </row>
    <row r="19493" spans="9:9">
      <c r="I19493" s="2"/>
    </row>
    <row r="19494" spans="9:9">
      <c r="I19494" s="2"/>
    </row>
    <row r="19495" spans="9:9">
      <c r="I19495" s="2"/>
    </row>
    <row r="19496" spans="9:9">
      <c r="I19496" s="2"/>
    </row>
    <row r="19497" spans="9:9">
      <c r="I19497" s="2"/>
    </row>
    <row r="19498" spans="9:9">
      <c r="I19498" s="2"/>
    </row>
    <row r="19499" spans="9:9">
      <c r="I19499" s="2"/>
    </row>
    <row r="19500" spans="9:9">
      <c r="I19500" s="2"/>
    </row>
    <row r="19501" spans="9:9">
      <c r="I19501" s="2"/>
    </row>
    <row r="19502" spans="9:9">
      <c r="I19502" s="2"/>
    </row>
    <row r="19503" spans="9:9">
      <c r="I19503" s="2"/>
    </row>
    <row r="19504" spans="9:9">
      <c r="I19504" s="2"/>
    </row>
    <row r="19505" spans="9:9">
      <c r="I19505" s="2"/>
    </row>
    <row r="19506" spans="9:9">
      <c r="I19506" s="2"/>
    </row>
    <row r="19507" spans="9:9">
      <c r="I19507" s="2"/>
    </row>
    <row r="19508" spans="9:9">
      <c r="I19508" s="2"/>
    </row>
    <row r="19509" spans="9:9">
      <c r="I19509" s="2"/>
    </row>
    <row r="19510" spans="9:9">
      <c r="I19510" s="2"/>
    </row>
    <row r="19511" spans="9:9">
      <c r="I19511" s="2"/>
    </row>
    <row r="19512" spans="9:9">
      <c r="I19512" s="2"/>
    </row>
    <row r="19513" spans="9:9">
      <c r="I19513" s="2"/>
    </row>
    <row r="19514" spans="9:9">
      <c r="I19514" s="2"/>
    </row>
    <row r="19515" spans="9:9">
      <c r="I19515" s="2"/>
    </row>
    <row r="19516" spans="9:9">
      <c r="I19516" s="2"/>
    </row>
    <row r="19517" spans="9:9">
      <c r="I19517" s="2"/>
    </row>
    <row r="19518" spans="9:9">
      <c r="I19518" s="2"/>
    </row>
    <row r="19519" spans="9:9">
      <c r="I19519" s="2"/>
    </row>
    <row r="19520" spans="9:9">
      <c r="I19520" s="2"/>
    </row>
    <row r="19521" spans="9:9">
      <c r="I19521" s="2"/>
    </row>
    <row r="19522" spans="9:9">
      <c r="I19522" s="2"/>
    </row>
    <row r="19523" spans="9:9">
      <c r="I19523" s="2"/>
    </row>
    <row r="19524" spans="9:9">
      <c r="I19524" s="2"/>
    </row>
    <row r="19525" spans="9:9">
      <c r="I19525" s="2"/>
    </row>
    <row r="19526" spans="9:9">
      <c r="I19526" s="2"/>
    </row>
    <row r="19527" spans="9:9">
      <c r="I19527" s="2"/>
    </row>
    <row r="19528" spans="9:9">
      <c r="I19528" s="2"/>
    </row>
    <row r="19529" spans="9:9">
      <c r="I19529" s="2"/>
    </row>
    <row r="19530" spans="9:9">
      <c r="I19530" s="2"/>
    </row>
    <row r="19531" spans="9:9">
      <c r="I19531" s="2"/>
    </row>
    <row r="19532" spans="9:9">
      <c r="I19532" s="2"/>
    </row>
    <row r="19533" spans="9:9">
      <c r="I19533" s="2"/>
    </row>
    <row r="19534" spans="9:9">
      <c r="I19534" s="2"/>
    </row>
    <row r="19535" spans="9:9">
      <c r="I19535" s="2"/>
    </row>
    <row r="19536" spans="9:9">
      <c r="I19536" s="2"/>
    </row>
    <row r="19537" spans="9:9">
      <c r="I19537" s="2"/>
    </row>
    <row r="19538" spans="9:9">
      <c r="I19538" s="2"/>
    </row>
    <row r="19539" spans="9:9">
      <c r="I19539" s="2"/>
    </row>
    <row r="19540" spans="9:9">
      <c r="I19540" s="2"/>
    </row>
    <row r="19541" spans="9:9">
      <c r="I19541" s="2"/>
    </row>
    <row r="19542" spans="9:9">
      <c r="I19542" s="2"/>
    </row>
    <row r="19543" spans="9:9">
      <c r="I19543" s="2"/>
    </row>
    <row r="19544" spans="9:9">
      <c r="I19544" s="2"/>
    </row>
    <row r="19545" spans="9:9">
      <c r="I19545" s="2"/>
    </row>
    <row r="19546" spans="9:9">
      <c r="I19546" s="2"/>
    </row>
    <row r="19547" spans="9:9">
      <c r="I19547" s="2"/>
    </row>
    <row r="19548" spans="9:9">
      <c r="I19548" s="2"/>
    </row>
    <row r="19549" spans="9:9">
      <c r="I19549" s="2"/>
    </row>
    <row r="19550" spans="9:9">
      <c r="I19550" s="2"/>
    </row>
    <row r="19551" spans="9:9">
      <c r="I19551" s="2"/>
    </row>
    <row r="19552" spans="9:9">
      <c r="I19552" s="2"/>
    </row>
    <row r="19553" spans="9:9">
      <c r="I19553" s="2"/>
    </row>
    <row r="19554" spans="9:9">
      <c r="I19554" s="2"/>
    </row>
    <row r="19555" spans="9:9">
      <c r="I19555" s="2"/>
    </row>
    <row r="19556" spans="9:9">
      <c r="I19556" s="2"/>
    </row>
    <row r="19557" spans="9:9">
      <c r="I19557" s="2"/>
    </row>
    <row r="19558" spans="9:9">
      <c r="I19558" s="2"/>
    </row>
    <row r="19559" spans="9:9">
      <c r="I19559" s="2"/>
    </row>
    <row r="19560" spans="9:9">
      <c r="I19560" s="2"/>
    </row>
    <row r="19561" spans="9:9">
      <c r="I19561" s="2"/>
    </row>
    <row r="19562" spans="9:9">
      <c r="I19562" s="2"/>
    </row>
    <row r="19563" spans="9:9">
      <c r="I19563" s="2"/>
    </row>
    <row r="19564" spans="9:9">
      <c r="I19564" s="2"/>
    </row>
    <row r="19565" spans="9:9">
      <c r="I19565" s="2"/>
    </row>
    <row r="19566" spans="9:9">
      <c r="I19566" s="2"/>
    </row>
    <row r="19567" spans="9:9">
      <c r="I19567" s="2"/>
    </row>
    <row r="19568" spans="9:9">
      <c r="I19568" s="2"/>
    </row>
    <row r="19569" spans="9:9">
      <c r="I19569" s="2"/>
    </row>
    <row r="19570" spans="9:9">
      <c r="I19570" s="2"/>
    </row>
    <row r="19571" spans="9:9">
      <c r="I19571" s="2"/>
    </row>
    <row r="19572" spans="9:9">
      <c r="I19572" s="2"/>
    </row>
    <row r="19573" spans="9:9">
      <c r="I19573" s="2"/>
    </row>
    <row r="19574" spans="9:9">
      <c r="I19574" s="2"/>
    </row>
    <row r="19575" spans="9:9">
      <c r="I19575" s="2"/>
    </row>
    <row r="19576" spans="9:9">
      <c r="I19576" s="2"/>
    </row>
    <row r="19577" spans="9:9">
      <c r="I19577" s="2"/>
    </row>
    <row r="19578" spans="9:9">
      <c r="I19578" s="2"/>
    </row>
    <row r="19579" spans="9:9">
      <c r="I19579" s="2"/>
    </row>
    <row r="19580" spans="9:9">
      <c r="I19580" s="2"/>
    </row>
    <row r="19581" spans="9:9">
      <c r="I19581" s="2"/>
    </row>
    <row r="19582" spans="9:9">
      <c r="I19582" s="2"/>
    </row>
    <row r="19583" spans="9:9">
      <c r="I19583" s="2"/>
    </row>
    <row r="19584" spans="9:9">
      <c r="I19584" s="2"/>
    </row>
    <row r="19585" spans="9:9">
      <c r="I19585" s="2"/>
    </row>
    <row r="19586" spans="9:9">
      <c r="I19586" s="2"/>
    </row>
    <row r="19587" spans="9:9">
      <c r="I19587" s="2"/>
    </row>
    <row r="19588" spans="9:9">
      <c r="I19588" s="2"/>
    </row>
    <row r="19589" spans="9:9">
      <c r="I19589" s="2"/>
    </row>
    <row r="19590" spans="9:9">
      <c r="I19590" s="2"/>
    </row>
    <row r="19591" spans="9:9">
      <c r="I19591" s="2"/>
    </row>
    <row r="19592" spans="9:9">
      <c r="I19592" s="2"/>
    </row>
    <row r="19593" spans="9:9">
      <c r="I19593" s="2"/>
    </row>
    <row r="19594" spans="9:9">
      <c r="I19594" s="2"/>
    </row>
    <row r="19595" spans="9:9">
      <c r="I19595" s="2"/>
    </row>
    <row r="19596" spans="9:9">
      <c r="I19596" s="2"/>
    </row>
    <row r="19597" spans="9:9">
      <c r="I19597" s="2"/>
    </row>
    <row r="19598" spans="9:9">
      <c r="I19598" s="2"/>
    </row>
    <row r="19599" spans="9:9">
      <c r="I19599" s="2"/>
    </row>
    <row r="19600" spans="9:9">
      <c r="I19600" s="2"/>
    </row>
    <row r="19601" spans="9:9">
      <c r="I19601" s="2"/>
    </row>
    <row r="19602" spans="9:9">
      <c r="I19602" s="2"/>
    </row>
    <row r="19603" spans="9:9">
      <c r="I19603" s="2"/>
    </row>
    <row r="19604" spans="9:9">
      <c r="I19604" s="2"/>
    </row>
    <row r="19605" spans="9:9">
      <c r="I19605" s="2"/>
    </row>
    <row r="19606" spans="9:9">
      <c r="I19606" s="2"/>
    </row>
    <row r="19607" spans="9:9">
      <c r="I19607" s="2"/>
    </row>
    <row r="19608" spans="9:9">
      <c r="I19608" s="2"/>
    </row>
    <row r="19609" spans="9:9">
      <c r="I19609" s="2"/>
    </row>
    <row r="19610" spans="9:9">
      <c r="I19610" s="2"/>
    </row>
    <row r="19611" spans="9:9">
      <c r="I19611" s="2"/>
    </row>
    <row r="19612" spans="9:9">
      <c r="I19612" s="2"/>
    </row>
    <row r="19613" spans="9:9">
      <c r="I19613" s="2"/>
    </row>
    <row r="19614" spans="9:9">
      <c r="I19614" s="2"/>
    </row>
    <row r="19615" spans="9:9">
      <c r="I19615" s="2"/>
    </row>
    <row r="19616" spans="9:9">
      <c r="I19616" s="2"/>
    </row>
    <row r="19617" spans="9:9">
      <c r="I19617" s="2"/>
    </row>
    <row r="19618" spans="9:9">
      <c r="I19618" s="2"/>
    </row>
    <row r="19619" spans="9:9">
      <c r="I19619" s="2"/>
    </row>
    <row r="19620" spans="9:9">
      <c r="I19620" s="2"/>
    </row>
    <row r="19621" spans="9:9">
      <c r="I19621" s="2"/>
    </row>
    <row r="19622" spans="9:9">
      <c r="I19622" s="2"/>
    </row>
    <row r="19623" spans="9:9">
      <c r="I19623" s="2"/>
    </row>
    <row r="19624" spans="9:9">
      <c r="I19624" s="2"/>
    </row>
    <row r="19625" spans="9:9">
      <c r="I19625" s="2"/>
    </row>
    <row r="19626" spans="9:9">
      <c r="I19626" s="2"/>
    </row>
    <row r="19627" spans="9:9">
      <c r="I19627" s="2"/>
    </row>
    <row r="19628" spans="9:9">
      <c r="I19628" s="2"/>
    </row>
    <row r="19629" spans="9:9">
      <c r="I19629" s="2"/>
    </row>
    <row r="19630" spans="9:9">
      <c r="I19630" s="2"/>
    </row>
    <row r="19631" spans="9:9">
      <c r="I19631" s="2"/>
    </row>
    <row r="19632" spans="9:9">
      <c r="I19632" s="2"/>
    </row>
    <row r="19633" spans="9:9">
      <c r="I19633" s="2"/>
    </row>
    <row r="19634" spans="9:9">
      <c r="I19634" s="2"/>
    </row>
    <row r="19635" spans="9:9">
      <c r="I19635" s="2"/>
    </row>
    <row r="19636" spans="9:9">
      <c r="I19636" s="2"/>
    </row>
    <row r="19637" spans="9:9">
      <c r="I19637" s="2"/>
    </row>
    <row r="19638" spans="9:9">
      <c r="I19638" s="2"/>
    </row>
    <row r="19639" spans="9:9">
      <c r="I19639" s="2"/>
    </row>
    <row r="19640" spans="9:9">
      <c r="I19640" s="2"/>
    </row>
    <row r="19641" spans="9:9">
      <c r="I19641" s="2"/>
    </row>
    <row r="19642" spans="9:9">
      <c r="I19642" s="2"/>
    </row>
    <row r="19643" spans="9:9">
      <c r="I19643" s="2"/>
    </row>
    <row r="19644" spans="9:9">
      <c r="I19644" s="2"/>
    </row>
    <row r="19645" spans="9:9">
      <c r="I19645" s="2"/>
    </row>
    <row r="19646" spans="9:9">
      <c r="I19646" s="2"/>
    </row>
    <row r="19647" spans="9:9">
      <c r="I19647" s="2"/>
    </row>
    <row r="19648" spans="9:9">
      <c r="I19648" s="2"/>
    </row>
    <row r="19649" spans="9:9">
      <c r="I19649" s="2"/>
    </row>
    <row r="19650" spans="9:9">
      <c r="I19650" s="2"/>
    </row>
    <row r="19651" spans="9:9">
      <c r="I19651" s="2"/>
    </row>
    <row r="19652" spans="9:9">
      <c r="I19652" s="2"/>
    </row>
    <row r="19653" spans="9:9">
      <c r="I19653" s="2"/>
    </row>
    <row r="19654" spans="9:9">
      <c r="I19654" s="2"/>
    </row>
    <row r="19655" spans="9:9">
      <c r="I19655" s="2"/>
    </row>
    <row r="19656" spans="9:9">
      <c r="I19656" s="2"/>
    </row>
    <row r="19657" spans="9:9">
      <c r="I19657" s="2"/>
    </row>
    <row r="19658" spans="9:9">
      <c r="I19658" s="2"/>
    </row>
    <row r="19659" spans="9:9">
      <c r="I19659" s="2"/>
    </row>
    <row r="19660" spans="9:9">
      <c r="I19660" s="2"/>
    </row>
    <row r="19661" spans="9:9">
      <c r="I19661" s="2"/>
    </row>
    <row r="19662" spans="9:9">
      <c r="I19662" s="2"/>
    </row>
    <row r="19663" spans="9:9">
      <c r="I19663" s="2"/>
    </row>
    <row r="19664" spans="9:9">
      <c r="I19664" s="2"/>
    </row>
    <row r="19665" spans="9:9">
      <c r="I19665" s="2"/>
    </row>
    <row r="19666" spans="9:9">
      <c r="I19666" s="2"/>
    </row>
    <row r="19667" spans="9:9">
      <c r="I19667" s="2"/>
    </row>
    <row r="19668" spans="9:9">
      <c r="I19668" s="2"/>
    </row>
    <row r="19669" spans="9:9">
      <c r="I19669" s="2"/>
    </row>
    <row r="19670" spans="9:9">
      <c r="I19670" s="2"/>
    </row>
    <row r="19671" spans="9:9">
      <c r="I19671" s="2"/>
    </row>
    <row r="19672" spans="9:9">
      <c r="I19672" s="2"/>
    </row>
    <row r="19673" spans="9:9">
      <c r="I19673" s="2"/>
    </row>
    <row r="19674" spans="9:9">
      <c r="I19674" s="2"/>
    </row>
    <row r="19675" spans="9:9">
      <c r="I19675" s="2"/>
    </row>
    <row r="19676" spans="9:9">
      <c r="I19676" s="2"/>
    </row>
    <row r="19677" spans="9:9">
      <c r="I19677" s="2"/>
    </row>
    <row r="19678" spans="9:9">
      <c r="I19678" s="2"/>
    </row>
    <row r="19679" spans="9:9">
      <c r="I19679" s="2"/>
    </row>
    <row r="19680" spans="9:9">
      <c r="I19680" s="2"/>
    </row>
    <row r="19681" spans="9:9">
      <c r="I19681" s="2"/>
    </row>
    <row r="19682" spans="9:9">
      <c r="I19682" s="2"/>
    </row>
    <row r="19683" spans="9:9">
      <c r="I19683" s="2"/>
    </row>
    <row r="19684" spans="9:9">
      <c r="I19684" s="2"/>
    </row>
    <row r="19685" spans="9:9">
      <c r="I19685" s="2"/>
    </row>
    <row r="19686" spans="9:9">
      <c r="I19686" s="2"/>
    </row>
    <row r="19687" spans="9:9">
      <c r="I19687" s="2"/>
    </row>
    <row r="19688" spans="9:9">
      <c r="I19688" s="2"/>
    </row>
    <row r="19689" spans="9:9">
      <c r="I19689" s="2"/>
    </row>
    <row r="19690" spans="9:9">
      <c r="I19690" s="2"/>
    </row>
    <row r="19691" spans="9:9">
      <c r="I19691" s="2"/>
    </row>
    <row r="19692" spans="9:9">
      <c r="I19692" s="2"/>
    </row>
    <row r="19693" spans="9:9">
      <c r="I19693" s="2"/>
    </row>
    <row r="19694" spans="9:9">
      <c r="I19694" s="2"/>
    </row>
    <row r="19695" spans="9:9">
      <c r="I19695" s="2"/>
    </row>
    <row r="19696" spans="9:9">
      <c r="I19696" s="2"/>
    </row>
    <row r="19697" spans="9:9">
      <c r="I19697" s="2"/>
    </row>
    <row r="19698" spans="9:9">
      <c r="I19698" s="2"/>
    </row>
    <row r="19699" spans="9:9">
      <c r="I19699" s="2"/>
    </row>
    <row r="19700" spans="9:9">
      <c r="I19700" s="2"/>
    </row>
    <row r="19701" spans="9:9">
      <c r="I19701" s="2"/>
    </row>
    <row r="19702" spans="9:9">
      <c r="I19702" s="2"/>
    </row>
    <row r="19703" spans="9:9">
      <c r="I19703" s="2"/>
    </row>
    <row r="19704" spans="9:9">
      <c r="I19704" s="2"/>
    </row>
    <row r="19705" spans="9:9">
      <c r="I19705" s="2"/>
    </row>
    <row r="19706" spans="9:9">
      <c r="I19706" s="2"/>
    </row>
    <row r="19707" spans="9:9">
      <c r="I19707" s="2"/>
    </row>
    <row r="19708" spans="9:9">
      <c r="I19708" s="2"/>
    </row>
    <row r="19709" spans="9:9">
      <c r="I19709" s="2"/>
    </row>
    <row r="19710" spans="9:9">
      <c r="I19710" s="2"/>
    </row>
    <row r="19711" spans="9:9">
      <c r="I19711" s="2"/>
    </row>
    <row r="19712" spans="9:9">
      <c r="I19712" s="2"/>
    </row>
    <row r="19713" spans="9:9">
      <c r="I19713" s="2"/>
    </row>
    <row r="19714" spans="9:9">
      <c r="I19714" s="2"/>
    </row>
    <row r="19715" spans="9:9">
      <c r="I19715" s="2"/>
    </row>
    <row r="19716" spans="9:9">
      <c r="I19716" s="2"/>
    </row>
    <row r="19717" spans="9:9">
      <c r="I19717" s="2"/>
    </row>
    <row r="19718" spans="9:9">
      <c r="I19718" s="2"/>
    </row>
    <row r="19719" spans="9:9">
      <c r="I19719" s="2"/>
    </row>
    <row r="19720" spans="9:9">
      <c r="I19720" s="2"/>
    </row>
    <row r="19721" spans="9:9">
      <c r="I19721" s="2"/>
    </row>
    <row r="19722" spans="9:9">
      <c r="I19722" s="2"/>
    </row>
    <row r="19723" spans="9:9">
      <c r="I19723" s="2"/>
    </row>
    <row r="19724" spans="9:9">
      <c r="I19724" s="2"/>
    </row>
    <row r="19725" spans="9:9">
      <c r="I19725" s="2"/>
    </row>
    <row r="19726" spans="9:9">
      <c r="I19726" s="2"/>
    </row>
    <row r="19727" spans="9:9">
      <c r="I19727" s="2"/>
    </row>
    <row r="19728" spans="9:9">
      <c r="I19728" s="2"/>
    </row>
    <row r="19729" spans="9:9">
      <c r="I19729" s="2"/>
    </row>
    <row r="19730" spans="9:9">
      <c r="I19730" s="2"/>
    </row>
    <row r="19731" spans="9:9">
      <c r="I19731" s="2"/>
    </row>
    <row r="19732" spans="9:9">
      <c r="I19732" s="2"/>
    </row>
    <row r="19733" spans="9:9">
      <c r="I19733" s="2"/>
    </row>
    <row r="19734" spans="9:9">
      <c r="I19734" s="2"/>
    </row>
    <row r="19735" spans="9:9">
      <c r="I19735" s="2"/>
    </row>
    <row r="19736" spans="9:9">
      <c r="I19736" s="2"/>
    </row>
    <row r="19737" spans="9:9">
      <c r="I19737" s="2"/>
    </row>
    <row r="19738" spans="9:9">
      <c r="I19738" s="2"/>
    </row>
    <row r="19739" spans="9:9">
      <c r="I19739" s="2"/>
    </row>
    <row r="19740" spans="9:9">
      <c r="I19740" s="2"/>
    </row>
    <row r="19741" spans="9:9">
      <c r="I19741" s="2"/>
    </row>
    <row r="19742" spans="9:9">
      <c r="I19742" s="2"/>
    </row>
    <row r="19743" spans="9:9">
      <c r="I19743" s="2"/>
    </row>
    <row r="19744" spans="9:9">
      <c r="I19744" s="2"/>
    </row>
    <row r="19745" spans="9:9">
      <c r="I19745" s="2"/>
    </row>
    <row r="19746" spans="9:9">
      <c r="I19746" s="2"/>
    </row>
    <row r="19747" spans="9:9">
      <c r="I19747" s="2"/>
    </row>
    <row r="19748" spans="9:9">
      <c r="I19748" s="2"/>
    </row>
    <row r="19749" spans="9:9">
      <c r="I19749" s="2"/>
    </row>
    <row r="19750" spans="9:9">
      <c r="I19750" s="2"/>
    </row>
    <row r="19751" spans="9:9">
      <c r="I19751" s="2"/>
    </row>
    <row r="19752" spans="9:9">
      <c r="I19752" s="2"/>
    </row>
    <row r="19753" spans="9:9">
      <c r="I19753" s="2"/>
    </row>
    <row r="19754" spans="9:9">
      <c r="I19754" s="2"/>
    </row>
    <row r="19755" spans="9:9">
      <c r="I19755" s="2"/>
    </row>
    <row r="19756" spans="9:9">
      <c r="I19756" s="2"/>
    </row>
    <row r="19757" spans="9:9">
      <c r="I19757" s="2"/>
    </row>
    <row r="19758" spans="9:9">
      <c r="I19758" s="2"/>
    </row>
    <row r="19759" spans="9:9">
      <c r="I19759" s="2"/>
    </row>
    <row r="19760" spans="9:9">
      <c r="I19760" s="2"/>
    </row>
    <row r="19761" spans="9:9">
      <c r="I19761" s="2"/>
    </row>
    <row r="19762" spans="9:9">
      <c r="I19762" s="2"/>
    </row>
    <row r="19763" spans="9:9">
      <c r="I19763" s="2"/>
    </row>
    <row r="19764" spans="9:9">
      <c r="I19764" s="2"/>
    </row>
    <row r="19765" spans="9:9">
      <c r="I19765" s="2"/>
    </row>
    <row r="19766" spans="9:9">
      <c r="I19766" s="2"/>
    </row>
    <row r="19767" spans="9:9">
      <c r="I19767" s="2"/>
    </row>
    <row r="19768" spans="9:9">
      <c r="I19768" s="2"/>
    </row>
    <row r="19769" spans="9:9">
      <c r="I19769" s="2"/>
    </row>
    <row r="19770" spans="9:9">
      <c r="I19770" s="2"/>
    </row>
    <row r="19771" spans="9:9">
      <c r="I19771" s="2"/>
    </row>
    <row r="19772" spans="9:9">
      <c r="I19772" s="2"/>
    </row>
    <row r="19773" spans="9:9">
      <c r="I19773" s="2"/>
    </row>
    <row r="19774" spans="9:9">
      <c r="I19774" s="2"/>
    </row>
    <row r="19775" spans="9:9">
      <c r="I19775" s="2"/>
    </row>
    <row r="19776" spans="9:9">
      <c r="I19776" s="2"/>
    </row>
    <row r="19777" spans="9:9">
      <c r="I19777" s="2"/>
    </row>
    <row r="19778" spans="9:9">
      <c r="I19778" s="2"/>
    </row>
    <row r="19779" spans="9:9">
      <c r="I19779" s="2"/>
    </row>
    <row r="19780" spans="9:9">
      <c r="I19780" s="2"/>
    </row>
    <row r="19781" spans="9:9">
      <c r="I19781" s="2"/>
    </row>
    <row r="19782" spans="9:9">
      <c r="I19782" s="2"/>
    </row>
    <row r="19783" spans="9:9">
      <c r="I19783" s="2"/>
    </row>
    <row r="19784" spans="9:9">
      <c r="I19784" s="2"/>
    </row>
    <row r="19785" spans="9:9">
      <c r="I19785" s="2"/>
    </row>
    <row r="19786" spans="9:9">
      <c r="I19786" s="2"/>
    </row>
    <row r="19787" spans="9:9">
      <c r="I19787" s="2"/>
    </row>
    <row r="19788" spans="9:9">
      <c r="I19788" s="2"/>
    </row>
    <row r="19789" spans="9:9">
      <c r="I19789" s="2"/>
    </row>
    <row r="19790" spans="9:9">
      <c r="I19790" s="2"/>
    </row>
    <row r="19791" spans="9:9">
      <c r="I19791" s="2"/>
    </row>
    <row r="19792" spans="9:9">
      <c r="I19792" s="2"/>
    </row>
    <row r="19793" spans="9:9">
      <c r="I19793" s="2"/>
    </row>
    <row r="19794" spans="9:9">
      <c r="I19794" s="2"/>
    </row>
    <row r="19795" spans="9:9">
      <c r="I19795" s="2"/>
    </row>
    <row r="19796" spans="9:9">
      <c r="I19796" s="2"/>
    </row>
    <row r="19797" spans="9:9">
      <c r="I19797" s="2"/>
    </row>
    <row r="19798" spans="9:9">
      <c r="I19798" s="2"/>
    </row>
    <row r="19799" spans="9:9">
      <c r="I19799" s="2"/>
    </row>
    <row r="19800" spans="9:9">
      <c r="I19800" s="2"/>
    </row>
    <row r="19801" spans="9:9">
      <c r="I19801" s="2"/>
    </row>
    <row r="19802" spans="9:9">
      <c r="I19802" s="2"/>
    </row>
    <row r="19803" spans="9:9">
      <c r="I19803" s="2"/>
    </row>
    <row r="19804" spans="9:9">
      <c r="I19804" s="2"/>
    </row>
    <row r="19805" spans="9:9">
      <c r="I19805" s="2"/>
    </row>
    <row r="19806" spans="9:9">
      <c r="I19806" s="2"/>
    </row>
    <row r="19807" spans="9:9">
      <c r="I19807" s="2"/>
    </row>
    <row r="19808" spans="9:9">
      <c r="I19808" s="2"/>
    </row>
    <row r="19809" spans="9:9">
      <c r="I19809" s="2"/>
    </row>
    <row r="19810" spans="9:9">
      <c r="I19810" s="2"/>
    </row>
    <row r="19811" spans="9:9">
      <c r="I19811" s="2"/>
    </row>
    <row r="19812" spans="9:9">
      <c r="I19812" s="2"/>
    </row>
    <row r="19813" spans="9:9">
      <c r="I19813" s="2"/>
    </row>
    <row r="19814" spans="9:9">
      <c r="I19814" s="2"/>
    </row>
    <row r="19815" spans="9:9">
      <c r="I19815" s="2"/>
    </row>
    <row r="19816" spans="9:9">
      <c r="I19816" s="2"/>
    </row>
    <row r="19817" spans="9:9">
      <c r="I19817" s="2"/>
    </row>
    <row r="19818" spans="9:9">
      <c r="I19818" s="2"/>
    </row>
    <row r="19819" spans="9:9">
      <c r="I19819" s="2"/>
    </row>
    <row r="19820" spans="9:9">
      <c r="I19820" s="2"/>
    </row>
    <row r="19821" spans="9:9">
      <c r="I19821" s="2"/>
    </row>
    <row r="19822" spans="9:9">
      <c r="I19822" s="2"/>
    </row>
    <row r="19823" spans="9:9">
      <c r="I19823" s="2"/>
    </row>
    <row r="19824" spans="9:9">
      <c r="I19824" s="2"/>
    </row>
    <row r="19825" spans="9:9">
      <c r="I19825" s="2"/>
    </row>
    <row r="19826" spans="9:9">
      <c r="I19826" s="2"/>
    </row>
    <row r="19827" spans="9:9">
      <c r="I19827" s="2"/>
    </row>
    <row r="19828" spans="9:9">
      <c r="I19828" s="2"/>
    </row>
    <row r="19829" spans="9:9">
      <c r="I19829" s="2"/>
    </row>
    <row r="19830" spans="9:9">
      <c r="I19830" s="2"/>
    </row>
    <row r="19831" spans="9:9">
      <c r="I19831" s="2"/>
    </row>
    <row r="19832" spans="9:9">
      <c r="I19832" s="2"/>
    </row>
    <row r="19833" spans="9:9">
      <c r="I19833" s="2"/>
    </row>
    <row r="19834" spans="9:9">
      <c r="I19834" s="2"/>
    </row>
    <row r="19835" spans="9:9">
      <c r="I19835" s="2"/>
    </row>
    <row r="19836" spans="9:9">
      <c r="I19836" s="2"/>
    </row>
    <row r="19837" spans="9:9">
      <c r="I19837" s="2"/>
    </row>
    <row r="19838" spans="9:9">
      <c r="I19838" s="2"/>
    </row>
    <row r="19839" spans="9:9">
      <c r="I19839" s="2"/>
    </row>
    <row r="19840" spans="9:9">
      <c r="I19840" s="2"/>
    </row>
    <row r="19841" spans="9:9">
      <c r="I19841" s="2"/>
    </row>
    <row r="19842" spans="9:9">
      <c r="I19842" s="2"/>
    </row>
    <row r="19843" spans="9:9">
      <c r="I19843" s="2"/>
    </row>
    <row r="19844" spans="9:9">
      <c r="I19844" s="2"/>
    </row>
    <row r="19845" spans="9:9">
      <c r="I19845" s="2"/>
    </row>
    <row r="19846" spans="9:9">
      <c r="I19846" s="2"/>
    </row>
    <row r="19847" spans="9:9">
      <c r="I19847" s="2"/>
    </row>
    <row r="19848" spans="9:9">
      <c r="I19848" s="2"/>
    </row>
    <row r="19849" spans="9:9">
      <c r="I19849" s="2"/>
    </row>
    <row r="19850" spans="9:9">
      <c r="I19850" s="2"/>
    </row>
    <row r="19851" spans="9:9">
      <c r="I19851" s="2"/>
    </row>
    <row r="19852" spans="9:9">
      <c r="I19852" s="2"/>
    </row>
    <row r="19853" spans="9:9">
      <c r="I19853" s="2"/>
    </row>
    <row r="19854" spans="9:9">
      <c r="I19854" s="2"/>
    </row>
    <row r="19855" spans="9:9">
      <c r="I19855" s="2"/>
    </row>
    <row r="19856" spans="9:9">
      <c r="I19856" s="2"/>
    </row>
    <row r="19857" spans="9:9">
      <c r="I19857" s="2"/>
    </row>
    <row r="19858" spans="9:9">
      <c r="I19858" s="2"/>
    </row>
    <row r="19859" spans="9:9">
      <c r="I19859" s="2"/>
    </row>
    <row r="19860" spans="9:9">
      <c r="I19860" s="2"/>
    </row>
    <row r="19861" spans="9:9">
      <c r="I19861" s="2"/>
    </row>
    <row r="19862" spans="9:9">
      <c r="I19862" s="2"/>
    </row>
    <row r="19863" spans="9:9">
      <c r="I19863" s="2"/>
    </row>
    <row r="19864" spans="9:9">
      <c r="I19864" s="2"/>
    </row>
    <row r="19865" spans="9:9">
      <c r="I19865" s="2"/>
    </row>
    <row r="19866" spans="9:9">
      <c r="I19866" s="2"/>
    </row>
    <row r="19867" spans="9:9">
      <c r="I19867" s="2"/>
    </row>
    <row r="19868" spans="9:9">
      <c r="I19868" s="2"/>
    </row>
    <row r="19869" spans="9:9">
      <c r="I19869" s="2"/>
    </row>
    <row r="19870" spans="9:9">
      <c r="I19870" s="2"/>
    </row>
    <row r="19871" spans="9:9">
      <c r="I19871" s="2"/>
    </row>
    <row r="19872" spans="9:9">
      <c r="I19872" s="2"/>
    </row>
    <row r="19873" spans="9:9">
      <c r="I19873" s="2"/>
    </row>
    <row r="19874" spans="9:9">
      <c r="I19874" s="2"/>
    </row>
    <row r="19875" spans="9:9">
      <c r="I19875" s="2"/>
    </row>
    <row r="19876" spans="9:9">
      <c r="I19876" s="2"/>
    </row>
    <row r="19877" spans="9:9">
      <c r="I19877" s="2"/>
    </row>
    <row r="19878" spans="9:9">
      <c r="I19878" s="2"/>
    </row>
    <row r="19879" spans="9:9">
      <c r="I19879" s="2"/>
    </row>
    <row r="19880" spans="9:9">
      <c r="I19880" s="2"/>
    </row>
    <row r="19881" spans="9:9">
      <c r="I19881" s="2"/>
    </row>
    <row r="19882" spans="9:9">
      <c r="I19882" s="2"/>
    </row>
    <row r="19883" spans="9:9">
      <c r="I19883" s="2"/>
    </row>
    <row r="19884" spans="9:9">
      <c r="I19884" s="2"/>
    </row>
    <row r="19885" spans="9:9">
      <c r="I19885" s="2"/>
    </row>
    <row r="19886" spans="9:9">
      <c r="I19886" s="2"/>
    </row>
    <row r="19887" spans="9:9">
      <c r="I19887" s="2"/>
    </row>
    <row r="19888" spans="9:9">
      <c r="I19888" s="2"/>
    </row>
    <row r="19889" spans="9:9">
      <c r="I19889" s="2"/>
    </row>
    <row r="19890" spans="9:9">
      <c r="I19890" s="2"/>
    </row>
    <row r="19891" spans="9:9">
      <c r="I19891" s="2"/>
    </row>
    <row r="19892" spans="9:9">
      <c r="I19892" s="2"/>
    </row>
    <row r="19893" spans="9:9">
      <c r="I19893" s="2"/>
    </row>
    <row r="19894" spans="9:9">
      <c r="I19894" s="2"/>
    </row>
    <row r="19895" spans="9:9">
      <c r="I19895" s="2"/>
    </row>
    <row r="19896" spans="9:9">
      <c r="I19896" s="2"/>
    </row>
    <row r="19897" spans="9:9">
      <c r="I19897" s="2"/>
    </row>
    <row r="19898" spans="9:9">
      <c r="I19898" s="2"/>
    </row>
    <row r="19899" spans="9:9">
      <c r="I19899" s="2"/>
    </row>
    <row r="19900" spans="9:9">
      <c r="I19900" s="2"/>
    </row>
    <row r="19901" spans="9:9">
      <c r="I19901" s="2"/>
    </row>
    <row r="19902" spans="9:9">
      <c r="I19902" s="2"/>
    </row>
    <row r="19903" spans="9:9">
      <c r="I19903" s="2"/>
    </row>
    <row r="19904" spans="9:9">
      <c r="I19904" s="2"/>
    </row>
    <row r="19905" spans="9:9">
      <c r="I19905" s="2"/>
    </row>
    <row r="19906" spans="9:9">
      <c r="I19906" s="2"/>
    </row>
    <row r="19907" spans="9:9">
      <c r="I19907" s="2"/>
    </row>
    <row r="19908" spans="9:9">
      <c r="I19908" s="2"/>
    </row>
    <row r="19909" spans="9:9">
      <c r="I19909" s="2"/>
    </row>
    <row r="19910" spans="9:9">
      <c r="I19910" s="2"/>
    </row>
    <row r="19911" spans="9:9">
      <c r="I19911" s="2"/>
    </row>
    <row r="19912" spans="9:9">
      <c r="I19912" s="2"/>
    </row>
    <row r="19913" spans="9:9">
      <c r="I19913" s="2"/>
    </row>
    <row r="19914" spans="9:9">
      <c r="I19914" s="2"/>
    </row>
    <row r="19915" spans="9:9">
      <c r="I19915" s="2"/>
    </row>
    <row r="19916" spans="9:9">
      <c r="I19916" s="2"/>
    </row>
    <row r="19917" spans="9:9">
      <c r="I19917" s="2"/>
    </row>
    <row r="19918" spans="9:9">
      <c r="I19918" s="2"/>
    </row>
    <row r="19919" spans="9:9">
      <c r="I19919" s="2"/>
    </row>
    <row r="19920" spans="9:9">
      <c r="I19920" s="2"/>
    </row>
    <row r="19921" spans="9:9">
      <c r="I19921" s="2"/>
    </row>
    <row r="19922" spans="9:9">
      <c r="I19922" s="2"/>
    </row>
    <row r="19923" spans="9:9">
      <c r="I19923" s="2"/>
    </row>
    <row r="19924" spans="9:9">
      <c r="I19924" s="2"/>
    </row>
    <row r="19925" spans="9:9">
      <c r="I19925" s="2"/>
    </row>
    <row r="19926" spans="9:9">
      <c r="I19926" s="2"/>
    </row>
    <row r="19927" spans="9:9">
      <c r="I19927" s="2"/>
    </row>
    <row r="19928" spans="9:9">
      <c r="I19928" s="2"/>
    </row>
    <row r="19929" spans="9:9">
      <c r="I19929" s="2"/>
    </row>
    <row r="19930" spans="9:9">
      <c r="I19930" s="2"/>
    </row>
    <row r="19931" spans="9:9">
      <c r="I19931" s="2"/>
    </row>
    <row r="19932" spans="9:9">
      <c r="I19932" s="2"/>
    </row>
    <row r="19933" spans="9:9">
      <c r="I19933" s="2"/>
    </row>
    <row r="19934" spans="9:9">
      <c r="I19934" s="2"/>
    </row>
    <row r="19935" spans="9:9">
      <c r="I19935" s="2"/>
    </row>
    <row r="19936" spans="9:9">
      <c r="I19936" s="2"/>
    </row>
    <row r="19937" spans="9:9">
      <c r="I19937" s="2"/>
    </row>
    <row r="19938" spans="9:9">
      <c r="I19938" s="2"/>
    </row>
    <row r="19939" spans="9:9">
      <c r="I19939" s="2"/>
    </row>
    <row r="19940" spans="9:9">
      <c r="I19940" s="2"/>
    </row>
    <row r="19941" spans="9:9">
      <c r="I19941" s="2"/>
    </row>
    <row r="19942" spans="9:9">
      <c r="I19942" s="2"/>
    </row>
    <row r="19943" spans="9:9">
      <c r="I19943" s="2"/>
    </row>
    <row r="19944" spans="9:9">
      <c r="I19944" s="2"/>
    </row>
    <row r="19945" spans="9:9">
      <c r="I19945" s="2"/>
    </row>
    <row r="19946" spans="9:9">
      <c r="I19946" s="2"/>
    </row>
    <row r="19947" spans="9:9">
      <c r="I19947" s="2"/>
    </row>
    <row r="19948" spans="9:9">
      <c r="I19948" s="2"/>
    </row>
    <row r="19949" spans="9:9">
      <c r="I19949" s="2"/>
    </row>
    <row r="19950" spans="9:9">
      <c r="I19950" s="2"/>
    </row>
    <row r="19951" spans="9:9">
      <c r="I19951" s="2"/>
    </row>
    <row r="19952" spans="9:9">
      <c r="I19952" s="2"/>
    </row>
    <row r="19953" spans="9:9">
      <c r="I19953" s="2"/>
    </row>
    <row r="19954" spans="9:9">
      <c r="I19954" s="2"/>
    </row>
    <row r="19955" spans="9:9">
      <c r="I19955" s="2"/>
    </row>
    <row r="19956" spans="9:9">
      <c r="I19956" s="2"/>
    </row>
    <row r="19957" spans="9:9">
      <c r="I19957" s="2"/>
    </row>
    <row r="19958" spans="9:9">
      <c r="I19958" s="2"/>
    </row>
    <row r="19959" spans="9:9">
      <c r="I19959" s="2"/>
    </row>
    <row r="19960" spans="9:9">
      <c r="I19960" s="2"/>
    </row>
    <row r="19961" spans="9:9">
      <c r="I19961" s="2"/>
    </row>
    <row r="19962" spans="9:9">
      <c r="I19962" s="2"/>
    </row>
    <row r="19963" spans="9:9">
      <c r="I19963" s="2"/>
    </row>
    <row r="19964" spans="9:9">
      <c r="I19964" s="2"/>
    </row>
    <row r="19965" spans="9:9">
      <c r="I19965" s="2"/>
    </row>
    <row r="19966" spans="9:9">
      <c r="I19966" s="2"/>
    </row>
    <row r="19967" spans="9:9">
      <c r="I19967" s="2"/>
    </row>
    <row r="19968" spans="9:9">
      <c r="I19968" s="2"/>
    </row>
    <row r="19969" spans="9:9">
      <c r="I19969" s="2"/>
    </row>
    <row r="19970" spans="9:9">
      <c r="I19970" s="2"/>
    </row>
    <row r="19971" spans="9:9">
      <c r="I19971" s="2"/>
    </row>
    <row r="19972" spans="9:9">
      <c r="I19972" s="2"/>
    </row>
    <row r="19973" spans="9:9">
      <c r="I19973" s="2"/>
    </row>
    <row r="19974" spans="9:9">
      <c r="I19974" s="2"/>
    </row>
    <row r="19975" spans="9:9">
      <c r="I19975" s="2"/>
    </row>
    <row r="19976" spans="9:9">
      <c r="I19976" s="2"/>
    </row>
    <row r="19977" spans="9:9">
      <c r="I19977" s="2"/>
    </row>
    <row r="19978" spans="9:9">
      <c r="I19978" s="2"/>
    </row>
    <row r="19979" spans="9:9">
      <c r="I19979" s="2"/>
    </row>
    <row r="19980" spans="9:9">
      <c r="I19980" s="2"/>
    </row>
    <row r="19981" spans="9:9">
      <c r="I19981" s="2"/>
    </row>
    <row r="19982" spans="9:9">
      <c r="I19982" s="2"/>
    </row>
    <row r="19983" spans="9:9">
      <c r="I19983" s="2"/>
    </row>
    <row r="19984" spans="9:9">
      <c r="I19984" s="2"/>
    </row>
    <row r="19985" spans="9:9">
      <c r="I19985" s="2"/>
    </row>
    <row r="19986" spans="9:9">
      <c r="I19986" s="2"/>
    </row>
    <row r="19987" spans="9:9">
      <c r="I19987" s="2"/>
    </row>
    <row r="19988" spans="9:9">
      <c r="I19988" s="2"/>
    </row>
    <row r="19989" spans="9:9">
      <c r="I19989" s="2"/>
    </row>
    <row r="19990" spans="9:9">
      <c r="I19990" s="2"/>
    </row>
    <row r="19991" spans="9:9">
      <c r="I19991" s="2"/>
    </row>
    <row r="19992" spans="9:9">
      <c r="I19992" s="2"/>
    </row>
    <row r="19993" spans="9:9">
      <c r="I19993" s="2"/>
    </row>
    <row r="19994" spans="9:9">
      <c r="I19994" s="2"/>
    </row>
    <row r="19995" spans="9:9">
      <c r="I19995" s="2"/>
    </row>
    <row r="19996" spans="9:9">
      <c r="I19996" s="2"/>
    </row>
    <row r="19997" spans="9:9">
      <c r="I19997" s="2"/>
    </row>
    <row r="19998" spans="9:9">
      <c r="I19998" s="2"/>
    </row>
    <row r="19999" spans="9:9">
      <c r="I19999" s="2"/>
    </row>
    <row r="20000" spans="9:9">
      <c r="I20000" s="2"/>
    </row>
    <row r="20001" spans="9:9">
      <c r="I20001" s="2"/>
    </row>
    <row r="20002" spans="9:9">
      <c r="I20002" s="2"/>
    </row>
    <row r="20003" spans="9:9">
      <c r="I20003" s="2"/>
    </row>
    <row r="20004" spans="9:9">
      <c r="I20004" s="2"/>
    </row>
    <row r="20005" spans="9:9">
      <c r="I20005" s="2"/>
    </row>
    <row r="20006" spans="9:9">
      <c r="I20006" s="2"/>
    </row>
    <row r="20007" spans="9:9">
      <c r="I20007" s="2"/>
    </row>
    <row r="20008" spans="9:9">
      <c r="I20008" s="2"/>
    </row>
    <row r="20009" spans="9:9">
      <c r="I20009" s="2"/>
    </row>
    <row r="20010" spans="9:9">
      <c r="I20010" s="2"/>
    </row>
    <row r="20011" spans="9:9">
      <c r="I20011" s="2"/>
    </row>
    <row r="20012" spans="9:9">
      <c r="I20012" s="2"/>
    </row>
    <row r="20013" spans="9:9">
      <c r="I20013" s="2"/>
    </row>
    <row r="20014" spans="9:9">
      <c r="I20014" s="2"/>
    </row>
    <row r="20015" spans="9:9">
      <c r="I20015" s="2"/>
    </row>
    <row r="20016" spans="9:9">
      <c r="I20016" s="2"/>
    </row>
    <row r="20017" spans="9:9">
      <c r="I20017" s="2"/>
    </row>
    <row r="20018" spans="9:9">
      <c r="I20018" s="2"/>
    </row>
    <row r="20019" spans="9:9">
      <c r="I20019" s="2"/>
    </row>
    <row r="20020" spans="9:9">
      <c r="I20020" s="2"/>
    </row>
    <row r="20021" spans="9:9">
      <c r="I20021" s="2"/>
    </row>
    <row r="20022" spans="9:9">
      <c r="I20022" s="2"/>
    </row>
    <row r="20023" spans="9:9">
      <c r="I20023" s="2"/>
    </row>
    <row r="20024" spans="9:9">
      <c r="I20024" s="2"/>
    </row>
    <row r="20025" spans="9:9">
      <c r="I20025" s="2"/>
    </row>
    <row r="20026" spans="9:9">
      <c r="I20026" s="2"/>
    </row>
    <row r="20027" spans="9:9">
      <c r="I20027" s="2"/>
    </row>
    <row r="20028" spans="9:9">
      <c r="I20028" s="2"/>
    </row>
    <row r="20029" spans="9:9">
      <c r="I20029" s="2"/>
    </row>
    <row r="20030" spans="9:9">
      <c r="I20030" s="2"/>
    </row>
    <row r="20031" spans="9:9">
      <c r="I20031" s="2"/>
    </row>
    <row r="20032" spans="9:9">
      <c r="I20032" s="2"/>
    </row>
    <row r="20033" spans="9:9">
      <c r="I20033" s="2"/>
    </row>
    <row r="20034" spans="9:9">
      <c r="I20034" s="2"/>
    </row>
    <row r="20035" spans="9:9">
      <c r="I20035" s="2"/>
    </row>
    <row r="20036" spans="9:9">
      <c r="I20036" s="2"/>
    </row>
    <row r="20037" spans="9:9">
      <c r="I20037" s="2"/>
    </row>
    <row r="20038" spans="9:9">
      <c r="I20038" s="2"/>
    </row>
    <row r="20039" spans="9:9">
      <c r="I20039" s="2"/>
    </row>
    <row r="20040" spans="9:9">
      <c r="I20040" s="2"/>
    </row>
    <row r="20041" spans="9:9">
      <c r="I20041" s="2"/>
    </row>
    <row r="20042" spans="9:9">
      <c r="I20042" s="2"/>
    </row>
    <row r="20043" spans="9:9">
      <c r="I20043" s="2"/>
    </row>
    <row r="20044" spans="9:9">
      <c r="I20044" s="2"/>
    </row>
    <row r="20045" spans="9:9">
      <c r="I20045" s="2"/>
    </row>
    <row r="20046" spans="9:9">
      <c r="I20046" s="2"/>
    </row>
    <row r="20047" spans="9:9">
      <c r="I20047" s="2"/>
    </row>
    <row r="20048" spans="9:9">
      <c r="I20048" s="2"/>
    </row>
    <row r="20049" spans="9:9">
      <c r="I20049" s="2"/>
    </row>
    <row r="20050" spans="9:9">
      <c r="I20050" s="2"/>
    </row>
    <row r="20051" spans="9:9">
      <c r="I20051" s="2"/>
    </row>
    <row r="20052" spans="9:9">
      <c r="I20052" s="2"/>
    </row>
    <row r="20053" spans="9:9">
      <c r="I20053" s="2"/>
    </row>
    <row r="20054" spans="9:9">
      <c r="I20054" s="2"/>
    </row>
    <row r="20055" spans="9:9">
      <c r="I20055" s="2"/>
    </row>
    <row r="20056" spans="9:9">
      <c r="I20056" s="2"/>
    </row>
    <row r="20057" spans="9:9">
      <c r="I20057" s="2"/>
    </row>
    <row r="20058" spans="9:9">
      <c r="I20058" s="2"/>
    </row>
    <row r="20059" spans="9:9">
      <c r="I20059" s="2"/>
    </row>
    <row r="20060" spans="9:9">
      <c r="I20060" s="2"/>
    </row>
    <row r="20061" spans="9:9">
      <c r="I20061" s="2"/>
    </row>
    <row r="20062" spans="9:9">
      <c r="I20062" s="2"/>
    </row>
    <row r="20063" spans="9:9">
      <c r="I20063" s="2"/>
    </row>
    <row r="20064" spans="9:9">
      <c r="I20064" s="2"/>
    </row>
    <row r="20065" spans="9:9">
      <c r="I20065" s="2"/>
    </row>
    <row r="20066" spans="9:9">
      <c r="I20066" s="2"/>
    </row>
    <row r="20067" spans="9:9">
      <c r="I20067" s="2"/>
    </row>
    <row r="20068" spans="9:9">
      <c r="I20068" s="2"/>
    </row>
    <row r="20069" spans="9:9">
      <c r="I20069" s="2"/>
    </row>
    <row r="20070" spans="9:9">
      <c r="I20070" s="2"/>
    </row>
    <row r="20071" spans="9:9">
      <c r="I20071" s="2"/>
    </row>
    <row r="20072" spans="9:9">
      <c r="I20072" s="2"/>
    </row>
    <row r="20073" spans="9:9">
      <c r="I20073" s="2"/>
    </row>
    <row r="20074" spans="9:9">
      <c r="I20074" s="2"/>
    </row>
    <row r="20075" spans="9:9">
      <c r="I20075" s="2"/>
    </row>
    <row r="20076" spans="9:9">
      <c r="I20076" s="2"/>
    </row>
    <row r="20077" spans="9:9">
      <c r="I20077" s="2"/>
    </row>
    <row r="20078" spans="9:9">
      <c r="I20078" s="2"/>
    </row>
    <row r="20079" spans="9:9">
      <c r="I20079" s="2"/>
    </row>
    <row r="20080" spans="9:9">
      <c r="I20080" s="2"/>
    </row>
    <row r="20081" spans="9:9">
      <c r="I20081" s="2"/>
    </row>
    <row r="20082" spans="9:9">
      <c r="I20082" s="2"/>
    </row>
    <row r="20083" spans="9:9">
      <c r="I20083" s="2"/>
    </row>
    <row r="20084" spans="9:9">
      <c r="I20084" s="2"/>
    </row>
    <row r="20085" spans="9:9">
      <c r="I20085" s="2"/>
    </row>
    <row r="20086" spans="9:9">
      <c r="I20086" s="2"/>
    </row>
    <row r="20087" spans="9:9">
      <c r="I20087" s="2"/>
    </row>
    <row r="20088" spans="9:9">
      <c r="I20088" s="2"/>
    </row>
    <row r="20089" spans="9:9">
      <c r="I20089" s="2"/>
    </row>
    <row r="20090" spans="9:9">
      <c r="I20090" s="2"/>
    </row>
    <row r="20091" spans="9:9">
      <c r="I20091" s="2"/>
    </row>
    <row r="20092" spans="9:9">
      <c r="I20092" s="2"/>
    </row>
    <row r="20093" spans="9:9">
      <c r="I20093" s="2"/>
    </row>
    <row r="20094" spans="9:9">
      <c r="I20094" s="2"/>
    </row>
    <row r="20095" spans="9:9">
      <c r="I20095" s="2"/>
    </row>
    <row r="20096" spans="9:9">
      <c r="I20096" s="2"/>
    </row>
    <row r="20097" spans="9:9">
      <c r="I20097" s="2"/>
    </row>
    <row r="20098" spans="9:9">
      <c r="I20098" s="2"/>
    </row>
    <row r="20099" spans="9:9">
      <c r="I20099" s="2"/>
    </row>
    <row r="20100" spans="9:9">
      <c r="I20100" s="2"/>
    </row>
    <row r="20101" spans="9:9">
      <c r="I20101" s="2"/>
    </row>
    <row r="20102" spans="9:9">
      <c r="I20102" s="2"/>
    </row>
    <row r="20103" spans="9:9">
      <c r="I20103" s="2"/>
    </row>
    <row r="20104" spans="9:9">
      <c r="I20104" s="2"/>
    </row>
    <row r="20105" spans="9:9">
      <c r="I20105" s="2"/>
    </row>
    <row r="20106" spans="9:9">
      <c r="I20106" s="2"/>
    </row>
    <row r="20107" spans="9:9">
      <c r="I20107" s="2"/>
    </row>
    <row r="20108" spans="9:9">
      <c r="I20108" s="2"/>
    </row>
    <row r="20109" spans="9:9">
      <c r="I20109" s="2"/>
    </row>
    <row r="20110" spans="9:9">
      <c r="I20110" s="2"/>
    </row>
    <row r="20111" spans="9:9">
      <c r="I20111" s="2"/>
    </row>
    <row r="20112" spans="9:9">
      <c r="I20112" s="2"/>
    </row>
    <row r="20113" spans="9:9">
      <c r="I20113" s="2"/>
    </row>
    <row r="20114" spans="9:9">
      <c r="I20114" s="2"/>
    </row>
    <row r="20115" spans="9:9">
      <c r="I20115" s="2"/>
    </row>
    <row r="20116" spans="9:9">
      <c r="I20116" s="2"/>
    </row>
    <row r="20117" spans="9:9">
      <c r="I20117" s="2"/>
    </row>
    <row r="20118" spans="9:9">
      <c r="I20118" s="2"/>
    </row>
    <row r="20119" spans="9:9">
      <c r="I20119" s="2"/>
    </row>
    <row r="20120" spans="9:9">
      <c r="I20120" s="2"/>
    </row>
    <row r="20121" spans="9:9">
      <c r="I20121" s="2"/>
    </row>
    <row r="20122" spans="9:9">
      <c r="I20122" s="2"/>
    </row>
    <row r="20123" spans="9:9">
      <c r="I20123" s="2"/>
    </row>
    <row r="20124" spans="9:9">
      <c r="I20124" s="2"/>
    </row>
    <row r="20125" spans="9:9">
      <c r="I20125" s="2"/>
    </row>
    <row r="20126" spans="9:9">
      <c r="I20126" s="2"/>
    </row>
    <row r="20127" spans="9:9">
      <c r="I20127" s="2"/>
    </row>
    <row r="20128" spans="9:9">
      <c r="I20128" s="2"/>
    </row>
    <row r="20129" spans="9:9">
      <c r="I20129" s="2"/>
    </row>
    <row r="20130" spans="9:9">
      <c r="I20130" s="2"/>
    </row>
    <row r="20131" spans="9:9">
      <c r="I20131" s="2"/>
    </row>
    <row r="20132" spans="9:9">
      <c r="I20132" s="2"/>
    </row>
    <row r="20133" spans="9:9">
      <c r="I20133" s="2"/>
    </row>
    <row r="20134" spans="9:9">
      <c r="I20134" s="2"/>
    </row>
    <row r="20135" spans="9:9">
      <c r="I20135" s="2"/>
    </row>
    <row r="20136" spans="9:9">
      <c r="I20136" s="2"/>
    </row>
    <row r="20137" spans="9:9">
      <c r="I20137" s="2"/>
    </row>
    <row r="20138" spans="9:9">
      <c r="I20138" s="2"/>
    </row>
    <row r="20139" spans="9:9">
      <c r="I20139" s="2"/>
    </row>
    <row r="20140" spans="9:9">
      <c r="I20140" s="2"/>
    </row>
    <row r="20141" spans="9:9">
      <c r="I20141" s="2"/>
    </row>
    <row r="20142" spans="9:9">
      <c r="I20142" s="2"/>
    </row>
    <row r="20143" spans="9:9">
      <c r="I20143" s="2"/>
    </row>
    <row r="20144" spans="9:9">
      <c r="I20144" s="2"/>
    </row>
    <row r="20145" spans="9:9">
      <c r="I20145" s="2"/>
    </row>
    <row r="20146" spans="9:9">
      <c r="I20146" s="2"/>
    </row>
    <row r="20147" spans="9:9">
      <c r="I20147" s="2"/>
    </row>
    <row r="20148" spans="9:9">
      <c r="I20148" s="2"/>
    </row>
    <row r="20149" spans="9:9">
      <c r="I20149" s="2"/>
    </row>
    <row r="20150" spans="9:9">
      <c r="I20150" s="2"/>
    </row>
    <row r="20151" spans="9:9">
      <c r="I20151" s="2"/>
    </row>
    <row r="20152" spans="9:9">
      <c r="I20152" s="2"/>
    </row>
    <row r="20153" spans="9:9">
      <c r="I20153" s="2"/>
    </row>
    <row r="20154" spans="9:9">
      <c r="I20154" s="2"/>
    </row>
    <row r="20155" spans="9:9">
      <c r="I20155" s="2"/>
    </row>
    <row r="20156" spans="9:9">
      <c r="I20156" s="2"/>
    </row>
    <row r="20157" spans="9:9">
      <c r="I20157" s="2"/>
    </row>
    <row r="20158" spans="9:9">
      <c r="I20158" s="2"/>
    </row>
    <row r="20159" spans="9:9">
      <c r="I20159" s="2"/>
    </row>
    <row r="20160" spans="9:9">
      <c r="I20160" s="2"/>
    </row>
    <row r="20161" spans="9:9">
      <c r="I20161" s="2"/>
    </row>
    <row r="20162" spans="9:9">
      <c r="I20162" s="2"/>
    </row>
    <row r="20163" spans="9:9">
      <c r="I20163" s="2"/>
    </row>
    <row r="20164" spans="9:9">
      <c r="I20164" s="2"/>
    </row>
    <row r="20165" spans="9:9">
      <c r="I20165" s="2"/>
    </row>
    <row r="20166" spans="9:9">
      <c r="I20166" s="2"/>
    </row>
    <row r="20167" spans="9:9">
      <c r="I20167" s="2"/>
    </row>
    <row r="20168" spans="9:9">
      <c r="I20168" s="2"/>
    </row>
    <row r="20169" spans="9:9">
      <c r="I20169" s="2"/>
    </row>
    <row r="20170" spans="9:9">
      <c r="I20170" s="2"/>
    </row>
    <row r="20171" spans="9:9">
      <c r="I20171" s="2"/>
    </row>
    <row r="20172" spans="9:9">
      <c r="I20172" s="2"/>
    </row>
    <row r="20173" spans="9:9">
      <c r="I20173" s="2"/>
    </row>
    <row r="20174" spans="9:9">
      <c r="I20174" s="2"/>
    </row>
    <row r="20175" spans="9:9">
      <c r="I20175" s="2"/>
    </row>
    <row r="20176" spans="9:9">
      <c r="I20176" s="2"/>
    </row>
    <row r="20177" spans="9:9">
      <c r="I20177" s="2"/>
    </row>
    <row r="20178" spans="9:9">
      <c r="I20178" s="2"/>
    </row>
    <row r="20179" spans="9:9">
      <c r="I20179" s="2"/>
    </row>
    <row r="20180" spans="9:9">
      <c r="I20180" s="2"/>
    </row>
    <row r="20181" spans="9:9">
      <c r="I20181" s="2"/>
    </row>
    <row r="20182" spans="9:9">
      <c r="I20182" s="2"/>
    </row>
    <row r="20183" spans="9:9">
      <c r="I20183" s="2"/>
    </row>
    <row r="20184" spans="9:9">
      <c r="I20184" s="2"/>
    </row>
    <row r="20185" spans="9:9">
      <c r="I20185" s="2"/>
    </row>
    <row r="20186" spans="9:9">
      <c r="I20186" s="2"/>
    </row>
    <row r="20187" spans="9:9">
      <c r="I20187" s="2"/>
    </row>
    <row r="20188" spans="9:9">
      <c r="I20188" s="2"/>
    </row>
    <row r="20189" spans="9:9">
      <c r="I20189" s="2"/>
    </row>
    <row r="20190" spans="9:9">
      <c r="I20190" s="2"/>
    </row>
    <row r="20191" spans="9:9">
      <c r="I20191" s="2"/>
    </row>
    <row r="20192" spans="9:9">
      <c r="I20192" s="2"/>
    </row>
    <row r="20193" spans="9:9">
      <c r="I20193" s="2"/>
    </row>
    <row r="20194" spans="9:9">
      <c r="I20194" s="2"/>
    </row>
    <row r="20195" spans="9:9">
      <c r="I20195" s="2"/>
    </row>
    <row r="20196" spans="9:9">
      <c r="I20196" s="2"/>
    </row>
    <row r="20197" spans="9:9">
      <c r="I20197" s="2"/>
    </row>
    <row r="20198" spans="9:9">
      <c r="I20198" s="2"/>
    </row>
    <row r="20199" spans="9:9">
      <c r="I20199" s="2"/>
    </row>
    <row r="20200" spans="9:9">
      <c r="I20200" s="2"/>
    </row>
    <row r="20201" spans="9:9">
      <c r="I20201" s="2"/>
    </row>
    <row r="20202" spans="9:9">
      <c r="I20202" s="2"/>
    </row>
    <row r="20203" spans="9:9">
      <c r="I20203" s="2"/>
    </row>
    <row r="20204" spans="9:9">
      <c r="I20204" s="2"/>
    </row>
    <row r="20205" spans="9:9">
      <c r="I20205" s="2"/>
    </row>
    <row r="20206" spans="9:9">
      <c r="I20206" s="2"/>
    </row>
    <row r="20207" spans="9:9">
      <c r="I20207" s="2"/>
    </row>
    <row r="20208" spans="9:9">
      <c r="I20208" s="2"/>
    </row>
    <row r="20209" spans="9:9">
      <c r="I20209" s="2"/>
    </row>
    <row r="20210" spans="9:9">
      <c r="I20210" s="2"/>
    </row>
    <row r="20211" spans="9:9">
      <c r="I20211" s="2"/>
    </row>
    <row r="20212" spans="9:9">
      <c r="I20212" s="2"/>
    </row>
    <row r="20213" spans="9:9">
      <c r="I20213" s="2"/>
    </row>
    <row r="20214" spans="9:9">
      <c r="I20214" s="2"/>
    </row>
    <row r="20215" spans="9:9">
      <c r="I20215" s="2"/>
    </row>
    <row r="20216" spans="9:9">
      <c r="I20216" s="2"/>
    </row>
    <row r="20217" spans="9:9">
      <c r="I20217" s="2"/>
    </row>
    <row r="20218" spans="9:9">
      <c r="I20218" s="2"/>
    </row>
    <row r="20219" spans="9:9">
      <c r="I20219" s="2"/>
    </row>
    <row r="20220" spans="9:9">
      <c r="I20220" s="2"/>
    </row>
    <row r="20221" spans="9:9">
      <c r="I20221" s="2"/>
    </row>
    <row r="20222" spans="9:9">
      <c r="I20222" s="2"/>
    </row>
    <row r="20223" spans="9:9">
      <c r="I20223" s="2"/>
    </row>
    <row r="20224" spans="9:9">
      <c r="I20224" s="2"/>
    </row>
    <row r="20225" spans="9:9">
      <c r="I20225" s="2"/>
    </row>
    <row r="20226" spans="9:9">
      <c r="I20226" s="2"/>
    </row>
    <row r="20227" spans="9:9">
      <c r="I20227" s="2"/>
    </row>
    <row r="20228" spans="9:9">
      <c r="I20228" s="2"/>
    </row>
    <row r="20229" spans="9:9">
      <c r="I20229" s="2"/>
    </row>
    <row r="20230" spans="9:9">
      <c r="I20230" s="2"/>
    </row>
    <row r="20231" spans="9:9">
      <c r="I20231" s="2"/>
    </row>
    <row r="20232" spans="9:9">
      <c r="I20232" s="2"/>
    </row>
    <row r="20233" spans="9:9">
      <c r="I20233" s="2"/>
    </row>
    <row r="20234" spans="9:9">
      <c r="I20234" s="2"/>
    </row>
    <row r="20235" spans="9:9">
      <c r="I20235" s="2"/>
    </row>
    <row r="20236" spans="9:9">
      <c r="I20236" s="2"/>
    </row>
    <row r="20237" spans="9:9">
      <c r="I20237" s="2"/>
    </row>
    <row r="20238" spans="9:9">
      <c r="I20238" s="2"/>
    </row>
    <row r="20239" spans="9:9">
      <c r="I20239" s="2"/>
    </row>
    <row r="20240" spans="9:9">
      <c r="I20240" s="2"/>
    </row>
    <row r="20241" spans="9:9">
      <c r="I20241" s="2"/>
    </row>
    <row r="20242" spans="9:9">
      <c r="I20242" s="2"/>
    </row>
    <row r="20243" spans="9:9">
      <c r="I20243" s="2"/>
    </row>
    <row r="20244" spans="9:9">
      <c r="I20244" s="2"/>
    </row>
    <row r="20245" spans="9:9">
      <c r="I20245" s="2"/>
    </row>
    <row r="20246" spans="9:9">
      <c r="I20246" s="2"/>
    </row>
    <row r="20247" spans="9:9">
      <c r="I20247" s="2"/>
    </row>
    <row r="20248" spans="9:9">
      <c r="I20248" s="2"/>
    </row>
    <row r="20249" spans="9:9">
      <c r="I20249" s="2"/>
    </row>
    <row r="20250" spans="9:9">
      <c r="I20250" s="2"/>
    </row>
    <row r="20251" spans="9:9">
      <c r="I20251" s="2"/>
    </row>
    <row r="20252" spans="9:9">
      <c r="I20252" s="2"/>
    </row>
    <row r="20253" spans="9:9">
      <c r="I20253" s="2"/>
    </row>
    <row r="20254" spans="9:9">
      <c r="I20254" s="2"/>
    </row>
    <row r="20255" spans="9:9">
      <c r="I20255" s="2"/>
    </row>
    <row r="20256" spans="9:9">
      <c r="I20256" s="2"/>
    </row>
    <row r="20257" spans="9:9">
      <c r="I20257" s="2"/>
    </row>
    <row r="20258" spans="9:9">
      <c r="I20258" s="2"/>
    </row>
    <row r="20259" spans="9:9">
      <c r="I20259" s="2"/>
    </row>
    <row r="20260" spans="9:9">
      <c r="I20260" s="2"/>
    </row>
    <row r="20261" spans="9:9">
      <c r="I20261" s="2"/>
    </row>
    <row r="20262" spans="9:9">
      <c r="I20262" s="2"/>
    </row>
    <row r="20263" spans="9:9">
      <c r="I20263" s="2"/>
    </row>
    <row r="20264" spans="9:9">
      <c r="I20264" s="2"/>
    </row>
    <row r="20265" spans="9:9">
      <c r="I20265" s="2"/>
    </row>
    <row r="20266" spans="9:9">
      <c r="I20266" s="2"/>
    </row>
    <row r="20267" spans="9:9">
      <c r="I20267" s="2"/>
    </row>
    <row r="20268" spans="9:9">
      <c r="I20268" s="2"/>
    </row>
    <row r="20269" spans="9:9">
      <c r="I20269" s="2"/>
    </row>
    <row r="20270" spans="9:9">
      <c r="I20270" s="2"/>
    </row>
    <row r="20271" spans="9:9">
      <c r="I20271" s="2"/>
    </row>
    <row r="20272" spans="9:9">
      <c r="I20272" s="2"/>
    </row>
    <row r="20273" spans="9:9">
      <c r="I20273" s="2"/>
    </row>
    <row r="20274" spans="9:9">
      <c r="I20274" s="2"/>
    </row>
    <row r="20275" spans="9:9">
      <c r="I20275" s="2"/>
    </row>
    <row r="20276" spans="9:9">
      <c r="I20276" s="2"/>
    </row>
    <row r="20277" spans="9:9">
      <c r="I20277" s="2"/>
    </row>
    <row r="20278" spans="9:9">
      <c r="I20278" s="2"/>
    </row>
    <row r="20279" spans="9:9">
      <c r="I20279" s="2"/>
    </row>
    <row r="20280" spans="9:9">
      <c r="I20280" s="2"/>
    </row>
    <row r="20281" spans="9:9">
      <c r="I20281" s="2"/>
    </row>
    <row r="20282" spans="9:9">
      <c r="I20282" s="2"/>
    </row>
    <row r="20283" spans="9:9">
      <c r="I20283" s="2"/>
    </row>
    <row r="20284" spans="9:9">
      <c r="I20284" s="2"/>
    </row>
    <row r="20285" spans="9:9">
      <c r="I20285" s="2"/>
    </row>
    <row r="20286" spans="9:9">
      <c r="I20286" s="2"/>
    </row>
    <row r="20287" spans="9:9">
      <c r="I20287" s="2"/>
    </row>
    <row r="20288" spans="9:9">
      <c r="I20288" s="2"/>
    </row>
    <row r="20289" spans="9:9">
      <c r="I20289" s="2"/>
    </row>
    <row r="20290" spans="9:9">
      <c r="I20290" s="2"/>
    </row>
    <row r="20291" spans="9:9">
      <c r="I20291" s="2"/>
    </row>
    <row r="20292" spans="9:9">
      <c r="I20292" s="2"/>
    </row>
    <row r="20293" spans="9:9">
      <c r="I20293" s="2"/>
    </row>
    <row r="20294" spans="9:9">
      <c r="I20294" s="2"/>
    </row>
    <row r="20295" spans="9:9">
      <c r="I20295" s="2"/>
    </row>
    <row r="20296" spans="9:9">
      <c r="I20296" s="2"/>
    </row>
    <row r="20297" spans="9:9">
      <c r="I20297" s="2"/>
    </row>
    <row r="20298" spans="9:9">
      <c r="I20298" s="2"/>
    </row>
    <row r="20299" spans="9:9">
      <c r="I20299" s="2"/>
    </row>
    <row r="20300" spans="9:9">
      <c r="I20300" s="2"/>
    </row>
    <row r="20301" spans="9:9">
      <c r="I20301" s="2"/>
    </row>
    <row r="20302" spans="9:9">
      <c r="I20302" s="2"/>
    </row>
    <row r="20303" spans="9:9">
      <c r="I20303" s="2"/>
    </row>
    <row r="20304" spans="9:9">
      <c r="I20304" s="2"/>
    </row>
    <row r="20305" spans="9:9">
      <c r="I20305" s="2"/>
    </row>
    <row r="20306" spans="9:9">
      <c r="I20306" s="2"/>
    </row>
    <row r="20307" spans="9:9">
      <c r="I20307" s="2"/>
    </row>
    <row r="20308" spans="9:9">
      <c r="I20308" s="2"/>
    </row>
    <row r="20309" spans="9:9">
      <c r="I20309" s="2"/>
    </row>
    <row r="20310" spans="9:9">
      <c r="I20310" s="2"/>
    </row>
    <row r="20311" spans="9:9">
      <c r="I20311" s="2"/>
    </row>
    <row r="20312" spans="9:9">
      <c r="I20312" s="2"/>
    </row>
    <row r="20313" spans="9:9">
      <c r="I20313" s="2"/>
    </row>
    <row r="20314" spans="9:9">
      <c r="I20314" s="2"/>
    </row>
    <row r="20315" spans="9:9">
      <c r="I20315" s="2"/>
    </row>
    <row r="20316" spans="9:9">
      <c r="I20316" s="2"/>
    </row>
    <row r="20317" spans="9:9">
      <c r="I20317" s="2"/>
    </row>
    <row r="20318" spans="9:9">
      <c r="I20318" s="2"/>
    </row>
    <row r="20319" spans="9:9">
      <c r="I20319" s="2"/>
    </row>
    <row r="20320" spans="9:9">
      <c r="I20320" s="2"/>
    </row>
    <row r="20321" spans="9:9">
      <c r="I20321" s="2"/>
    </row>
    <row r="20322" spans="9:9">
      <c r="I20322" s="2"/>
    </row>
    <row r="20323" spans="9:9">
      <c r="I20323" s="2"/>
    </row>
    <row r="20324" spans="9:9">
      <c r="I20324" s="2"/>
    </row>
    <row r="20325" spans="9:9">
      <c r="I20325" s="2"/>
    </row>
    <row r="20326" spans="9:9">
      <c r="I20326" s="2"/>
    </row>
    <row r="20327" spans="9:9">
      <c r="I20327" s="2"/>
    </row>
    <row r="20328" spans="9:9">
      <c r="I20328" s="2"/>
    </row>
    <row r="20329" spans="9:9">
      <c r="I20329" s="2"/>
    </row>
    <row r="20330" spans="9:9">
      <c r="I20330" s="2"/>
    </row>
    <row r="20331" spans="9:9">
      <c r="I20331" s="2"/>
    </row>
    <row r="20332" spans="9:9">
      <c r="I20332" s="2"/>
    </row>
    <row r="20333" spans="9:9">
      <c r="I20333" s="2"/>
    </row>
    <row r="20334" spans="9:9">
      <c r="I20334" s="2"/>
    </row>
    <row r="20335" spans="9:9">
      <c r="I20335" s="2"/>
    </row>
    <row r="20336" spans="9:9">
      <c r="I20336" s="2"/>
    </row>
    <row r="20337" spans="9:9">
      <c r="I20337" s="2"/>
    </row>
    <row r="20338" spans="9:9">
      <c r="I20338" s="2"/>
    </row>
    <row r="20339" spans="9:9">
      <c r="I20339" s="2"/>
    </row>
    <row r="20340" spans="9:9">
      <c r="I20340" s="2"/>
    </row>
    <row r="20341" spans="9:9">
      <c r="I20341" s="2"/>
    </row>
    <row r="20342" spans="9:9">
      <c r="I20342" s="2"/>
    </row>
    <row r="20343" spans="9:9">
      <c r="I20343" s="2"/>
    </row>
    <row r="20344" spans="9:9">
      <c r="I20344" s="2"/>
    </row>
    <row r="20345" spans="9:9">
      <c r="I20345" s="2"/>
    </row>
    <row r="20346" spans="9:9">
      <c r="I20346" s="2"/>
    </row>
    <row r="20347" spans="9:9">
      <c r="I20347" s="2"/>
    </row>
    <row r="20348" spans="9:9">
      <c r="I20348" s="2"/>
    </row>
    <row r="20349" spans="9:9">
      <c r="I20349" s="2"/>
    </row>
    <row r="20350" spans="9:9">
      <c r="I20350" s="2"/>
    </row>
    <row r="20351" spans="9:9">
      <c r="I20351" s="2"/>
    </row>
    <row r="20352" spans="9:9">
      <c r="I20352" s="2"/>
    </row>
    <row r="20353" spans="9:9">
      <c r="I20353" s="2"/>
    </row>
    <row r="20354" spans="9:9">
      <c r="I20354" s="2"/>
    </row>
    <row r="20355" spans="9:9">
      <c r="I20355" s="2"/>
    </row>
    <row r="20356" spans="9:9">
      <c r="I20356" s="2"/>
    </row>
    <row r="20357" spans="9:9">
      <c r="I20357" s="2"/>
    </row>
    <row r="20358" spans="9:9">
      <c r="I20358" s="2"/>
    </row>
    <row r="20359" spans="9:9">
      <c r="I20359" s="2"/>
    </row>
    <row r="20360" spans="9:9">
      <c r="I20360" s="2"/>
    </row>
    <row r="20361" spans="9:9">
      <c r="I20361" s="2"/>
    </row>
    <row r="20362" spans="9:9">
      <c r="I20362" s="2"/>
    </row>
    <row r="20363" spans="9:9">
      <c r="I20363" s="2"/>
    </row>
    <row r="20364" spans="9:9">
      <c r="I20364" s="2"/>
    </row>
    <row r="20365" spans="9:9">
      <c r="I20365" s="2"/>
    </row>
    <row r="20366" spans="9:9">
      <c r="I20366" s="2"/>
    </row>
    <row r="20367" spans="9:9">
      <c r="I20367" s="2"/>
    </row>
    <row r="20368" spans="9:9">
      <c r="I20368" s="2"/>
    </row>
    <row r="20369" spans="9:9">
      <c r="I20369" s="2"/>
    </row>
    <row r="20370" spans="9:9">
      <c r="I20370" s="2"/>
    </row>
    <row r="20371" spans="9:9">
      <c r="I20371" s="2"/>
    </row>
    <row r="20372" spans="9:9">
      <c r="I20372" s="2"/>
    </row>
    <row r="20373" spans="9:9">
      <c r="I20373" s="2"/>
    </row>
    <row r="20374" spans="9:9">
      <c r="I20374" s="2"/>
    </row>
    <row r="20375" spans="9:9">
      <c r="I20375" s="2"/>
    </row>
    <row r="20376" spans="9:9">
      <c r="I20376" s="2"/>
    </row>
    <row r="20377" spans="9:9">
      <c r="I20377" s="2"/>
    </row>
    <row r="20378" spans="9:9">
      <c r="I20378" s="2"/>
    </row>
    <row r="20379" spans="9:9">
      <c r="I20379" s="2"/>
    </row>
    <row r="20380" spans="9:9">
      <c r="I20380" s="2"/>
    </row>
    <row r="20381" spans="9:9">
      <c r="I20381" s="2"/>
    </row>
    <row r="20382" spans="9:9">
      <c r="I20382" s="2"/>
    </row>
    <row r="20383" spans="9:9">
      <c r="I20383" s="2"/>
    </row>
    <row r="20384" spans="9:9">
      <c r="I20384" s="2"/>
    </row>
    <row r="20385" spans="9:9">
      <c r="I20385" s="2"/>
    </row>
    <row r="20386" spans="9:9">
      <c r="I20386" s="2"/>
    </row>
    <row r="20387" spans="9:9">
      <c r="I20387" s="2"/>
    </row>
    <row r="20388" spans="9:9">
      <c r="I20388" s="2"/>
    </row>
    <row r="20389" spans="9:9">
      <c r="I20389" s="2"/>
    </row>
    <row r="20390" spans="9:9">
      <c r="I20390" s="2"/>
    </row>
    <row r="20391" spans="9:9">
      <c r="I20391" s="2"/>
    </row>
    <row r="20392" spans="9:9">
      <c r="I20392" s="2"/>
    </row>
    <row r="20393" spans="9:9">
      <c r="I20393" s="2"/>
    </row>
    <row r="20394" spans="9:9">
      <c r="I20394" s="2"/>
    </row>
    <row r="20395" spans="9:9">
      <c r="I20395" s="2"/>
    </row>
    <row r="20396" spans="9:9">
      <c r="I20396" s="2"/>
    </row>
    <row r="20397" spans="9:9">
      <c r="I20397" s="2"/>
    </row>
    <row r="20398" spans="9:9">
      <c r="I20398" s="2"/>
    </row>
    <row r="20399" spans="9:9">
      <c r="I20399" s="2"/>
    </row>
    <row r="20400" spans="9:9">
      <c r="I20400" s="2"/>
    </row>
    <row r="20401" spans="9:9">
      <c r="I20401" s="2"/>
    </row>
    <row r="20402" spans="9:9">
      <c r="I20402" s="2"/>
    </row>
    <row r="20403" spans="9:9">
      <c r="I20403" s="2"/>
    </row>
    <row r="20404" spans="9:9">
      <c r="I20404" s="2"/>
    </row>
    <row r="20405" spans="9:9">
      <c r="I20405" s="2"/>
    </row>
    <row r="20406" spans="9:9">
      <c r="I20406" s="2"/>
    </row>
    <row r="20407" spans="9:9">
      <c r="I20407" s="2"/>
    </row>
    <row r="20408" spans="9:9">
      <c r="I20408" s="2"/>
    </row>
    <row r="20409" spans="9:9">
      <c r="I20409" s="2"/>
    </row>
    <row r="20410" spans="9:9">
      <c r="I20410" s="2"/>
    </row>
    <row r="20411" spans="9:9">
      <c r="I20411" s="2"/>
    </row>
    <row r="20412" spans="9:9">
      <c r="I20412" s="2"/>
    </row>
    <row r="20413" spans="9:9">
      <c r="I20413" s="2"/>
    </row>
    <row r="20414" spans="9:9">
      <c r="I20414" s="2"/>
    </row>
    <row r="20415" spans="9:9">
      <c r="I20415" s="2"/>
    </row>
    <row r="20416" spans="9:9">
      <c r="I20416" s="2"/>
    </row>
    <row r="20417" spans="9:9">
      <c r="I20417" s="2"/>
    </row>
    <row r="20418" spans="9:9">
      <c r="I20418" s="2"/>
    </row>
    <row r="20419" spans="9:9">
      <c r="I20419" s="2"/>
    </row>
    <row r="20420" spans="9:9">
      <c r="I20420" s="2"/>
    </row>
    <row r="20421" spans="9:9">
      <c r="I20421" s="2"/>
    </row>
    <row r="20422" spans="9:9">
      <c r="I20422" s="2"/>
    </row>
    <row r="20423" spans="9:9">
      <c r="I20423" s="2"/>
    </row>
    <row r="20424" spans="9:9">
      <c r="I20424" s="2"/>
    </row>
    <row r="20425" spans="9:9">
      <c r="I20425" s="2"/>
    </row>
    <row r="20426" spans="9:9">
      <c r="I20426" s="2"/>
    </row>
    <row r="20427" spans="9:9">
      <c r="I20427" s="2"/>
    </row>
    <row r="20428" spans="9:9">
      <c r="I20428" s="2"/>
    </row>
    <row r="20429" spans="9:9">
      <c r="I20429" s="2"/>
    </row>
    <row r="20430" spans="9:9">
      <c r="I20430" s="2"/>
    </row>
    <row r="20431" spans="9:9">
      <c r="I20431" s="2"/>
    </row>
    <row r="20432" spans="9:9">
      <c r="I20432" s="2"/>
    </row>
    <row r="20433" spans="9:9">
      <c r="I20433" s="2"/>
    </row>
    <row r="20434" spans="9:9">
      <c r="I20434" s="2"/>
    </row>
    <row r="20435" spans="9:9">
      <c r="I20435" s="2"/>
    </row>
    <row r="20436" spans="9:9">
      <c r="I20436" s="2"/>
    </row>
    <row r="20437" spans="9:9">
      <c r="I20437" s="2"/>
    </row>
    <row r="20438" spans="9:9">
      <c r="I20438" s="2"/>
    </row>
    <row r="20439" spans="9:9">
      <c r="I20439" s="2"/>
    </row>
    <row r="20440" spans="9:9">
      <c r="I20440" s="2"/>
    </row>
    <row r="20441" spans="9:9">
      <c r="I20441" s="2"/>
    </row>
    <row r="20442" spans="9:9">
      <c r="I20442" s="2"/>
    </row>
    <row r="20443" spans="9:9">
      <c r="I20443" s="2"/>
    </row>
    <row r="20444" spans="9:9">
      <c r="I20444" s="2"/>
    </row>
    <row r="20445" spans="9:9">
      <c r="I20445" s="2"/>
    </row>
    <row r="20446" spans="9:9">
      <c r="I20446" s="2"/>
    </row>
    <row r="20447" spans="9:9">
      <c r="I20447" s="2"/>
    </row>
    <row r="20448" spans="9:9">
      <c r="I20448" s="2"/>
    </row>
    <row r="20449" spans="9:9">
      <c r="I20449" s="2"/>
    </row>
    <row r="20450" spans="9:9">
      <c r="I20450" s="2"/>
    </row>
    <row r="20451" spans="9:9">
      <c r="I20451" s="2"/>
    </row>
    <row r="20452" spans="9:9">
      <c r="I20452" s="2"/>
    </row>
    <row r="20453" spans="9:9">
      <c r="I20453" s="2"/>
    </row>
    <row r="20454" spans="9:9">
      <c r="I20454" s="2"/>
    </row>
    <row r="20455" spans="9:9">
      <c r="I20455" s="2"/>
    </row>
    <row r="20456" spans="9:9">
      <c r="I20456" s="2"/>
    </row>
    <row r="20457" spans="9:9">
      <c r="I20457" s="2"/>
    </row>
    <row r="20458" spans="9:9">
      <c r="I20458" s="2"/>
    </row>
    <row r="20459" spans="9:9">
      <c r="I20459" s="2"/>
    </row>
    <row r="20460" spans="9:9">
      <c r="I20460" s="2"/>
    </row>
    <row r="20461" spans="9:9">
      <c r="I20461" s="2"/>
    </row>
    <row r="20462" spans="9:9">
      <c r="I20462" s="2"/>
    </row>
    <row r="20463" spans="9:9">
      <c r="I20463" s="2"/>
    </row>
    <row r="20464" spans="9:9">
      <c r="I20464" s="2"/>
    </row>
    <row r="20465" spans="9:9">
      <c r="I20465" s="2"/>
    </row>
    <row r="20466" spans="9:9">
      <c r="I20466" s="2"/>
    </row>
    <row r="20467" spans="9:9">
      <c r="I20467" s="2"/>
    </row>
    <row r="20468" spans="9:9">
      <c r="I20468" s="2"/>
    </row>
    <row r="20469" spans="9:9">
      <c r="I20469" s="2"/>
    </row>
    <row r="20470" spans="9:9">
      <c r="I20470" s="2"/>
    </row>
    <row r="20471" spans="9:9">
      <c r="I20471" s="2"/>
    </row>
    <row r="20472" spans="9:9">
      <c r="I20472" s="2"/>
    </row>
    <row r="20473" spans="9:9">
      <c r="I20473" s="2"/>
    </row>
    <row r="20474" spans="9:9">
      <c r="I20474" s="2"/>
    </row>
    <row r="20475" spans="9:9">
      <c r="I20475" s="2"/>
    </row>
    <row r="20476" spans="9:9">
      <c r="I20476" s="2"/>
    </row>
    <row r="20477" spans="9:9">
      <c r="I20477" s="2"/>
    </row>
    <row r="20478" spans="9:9">
      <c r="I20478" s="2"/>
    </row>
    <row r="20479" spans="9:9">
      <c r="I20479" s="2"/>
    </row>
    <row r="20480" spans="9:9">
      <c r="I20480" s="2"/>
    </row>
    <row r="20481" spans="9:9">
      <c r="I20481" s="2"/>
    </row>
    <row r="20482" spans="9:9">
      <c r="I20482" s="2"/>
    </row>
    <row r="20483" spans="9:9">
      <c r="I20483" s="2"/>
    </row>
    <row r="20484" spans="9:9">
      <c r="I20484" s="2"/>
    </row>
    <row r="20485" spans="9:9">
      <c r="I20485" s="2"/>
    </row>
    <row r="20486" spans="9:9">
      <c r="I20486" s="2"/>
    </row>
    <row r="20487" spans="9:9">
      <c r="I20487" s="2"/>
    </row>
    <row r="20488" spans="9:9">
      <c r="I20488" s="2"/>
    </row>
    <row r="20489" spans="9:9">
      <c r="I20489" s="2"/>
    </row>
    <row r="20490" spans="9:9">
      <c r="I20490" s="2"/>
    </row>
    <row r="20491" spans="9:9">
      <c r="I20491" s="2"/>
    </row>
    <row r="20492" spans="9:9">
      <c r="I20492" s="2"/>
    </row>
    <row r="20493" spans="9:9">
      <c r="I20493" s="2"/>
    </row>
    <row r="20494" spans="9:9">
      <c r="I20494" s="2"/>
    </row>
    <row r="20495" spans="9:9">
      <c r="I20495" s="2"/>
    </row>
    <row r="20496" spans="9:9">
      <c r="I20496" s="2"/>
    </row>
    <row r="20497" spans="9:9">
      <c r="I20497" s="2"/>
    </row>
    <row r="20498" spans="9:9">
      <c r="I20498" s="2"/>
    </row>
    <row r="20499" spans="9:9">
      <c r="I20499" s="2"/>
    </row>
    <row r="20500" spans="9:9">
      <c r="I20500" s="2"/>
    </row>
    <row r="20501" spans="9:9">
      <c r="I20501" s="2"/>
    </row>
    <row r="20502" spans="9:9">
      <c r="I20502" s="2"/>
    </row>
    <row r="20503" spans="9:9">
      <c r="I20503" s="2"/>
    </row>
    <row r="20504" spans="9:9">
      <c r="I20504" s="2"/>
    </row>
    <row r="20505" spans="9:9">
      <c r="I20505" s="2"/>
    </row>
    <row r="20506" spans="9:9">
      <c r="I20506" s="2"/>
    </row>
    <row r="20507" spans="9:9">
      <c r="I20507" s="2"/>
    </row>
    <row r="20508" spans="9:9">
      <c r="I20508" s="2"/>
    </row>
    <row r="20509" spans="9:9">
      <c r="I20509" s="2"/>
    </row>
    <row r="20510" spans="9:9">
      <c r="I20510" s="2"/>
    </row>
    <row r="20511" spans="9:9">
      <c r="I20511" s="2"/>
    </row>
    <row r="20512" spans="9:9">
      <c r="I20512" s="2"/>
    </row>
    <row r="20513" spans="9:9">
      <c r="I20513" s="2"/>
    </row>
    <row r="20514" spans="9:9">
      <c r="I20514" s="2"/>
    </row>
    <row r="20515" spans="9:9">
      <c r="I20515" s="2"/>
    </row>
    <row r="20516" spans="9:9">
      <c r="I20516" s="2"/>
    </row>
    <row r="20517" spans="9:9">
      <c r="I20517" s="2"/>
    </row>
    <row r="20518" spans="9:9">
      <c r="I20518" s="2"/>
    </row>
    <row r="20519" spans="9:9">
      <c r="I20519" s="2"/>
    </row>
    <row r="20520" spans="9:9">
      <c r="I20520" s="2"/>
    </row>
    <row r="20521" spans="9:9">
      <c r="I20521" s="2"/>
    </row>
    <row r="20522" spans="9:9">
      <c r="I20522" s="2"/>
    </row>
    <row r="20523" spans="9:9">
      <c r="I20523" s="2"/>
    </row>
    <row r="20524" spans="9:9">
      <c r="I20524" s="2"/>
    </row>
    <row r="20525" spans="9:9">
      <c r="I20525" s="2"/>
    </row>
    <row r="20526" spans="9:9">
      <c r="I20526" s="2"/>
    </row>
    <row r="20527" spans="9:9">
      <c r="I20527" s="2"/>
    </row>
    <row r="20528" spans="9:9">
      <c r="I20528" s="2"/>
    </row>
    <row r="20529" spans="9:9">
      <c r="I20529" s="2"/>
    </row>
    <row r="20530" spans="9:9">
      <c r="I20530" s="2"/>
    </row>
    <row r="20531" spans="9:9">
      <c r="I20531" s="2"/>
    </row>
    <row r="20532" spans="9:9">
      <c r="I20532" s="2"/>
    </row>
    <row r="20533" spans="9:9">
      <c r="I20533" s="2"/>
    </row>
    <row r="20534" spans="9:9">
      <c r="I20534" s="2"/>
    </row>
    <row r="20535" spans="9:9">
      <c r="I20535" s="2"/>
    </row>
    <row r="20536" spans="9:9">
      <c r="I20536" s="2"/>
    </row>
    <row r="20537" spans="9:9">
      <c r="I20537" s="2"/>
    </row>
    <row r="20538" spans="9:9">
      <c r="I20538" s="2"/>
    </row>
    <row r="20539" spans="9:9">
      <c r="I20539" s="2"/>
    </row>
    <row r="20540" spans="9:9">
      <c r="I20540" s="2"/>
    </row>
    <row r="20541" spans="9:9">
      <c r="I20541" s="2"/>
    </row>
    <row r="20542" spans="9:9">
      <c r="I20542" s="2"/>
    </row>
    <row r="20543" spans="9:9">
      <c r="I20543" s="2"/>
    </row>
    <row r="20544" spans="9:9">
      <c r="I20544" s="2"/>
    </row>
    <row r="20545" spans="9:9">
      <c r="I20545" s="2"/>
    </row>
    <row r="20546" spans="9:9">
      <c r="I20546" s="2"/>
    </row>
    <row r="20547" spans="9:9">
      <c r="I20547" s="2"/>
    </row>
    <row r="20548" spans="9:9">
      <c r="I20548" s="2"/>
    </row>
    <row r="20549" spans="9:9">
      <c r="I20549" s="2"/>
    </row>
    <row r="20550" spans="9:9">
      <c r="I20550" s="2"/>
    </row>
    <row r="20551" spans="9:9">
      <c r="I20551" s="2"/>
    </row>
    <row r="20552" spans="9:9">
      <c r="I20552" s="2"/>
    </row>
    <row r="20553" spans="9:9">
      <c r="I20553" s="2"/>
    </row>
    <row r="20554" spans="9:9">
      <c r="I20554" s="2"/>
    </row>
    <row r="20555" spans="9:9">
      <c r="I20555" s="2"/>
    </row>
    <row r="20556" spans="9:9">
      <c r="I20556" s="2"/>
    </row>
    <row r="20557" spans="9:9">
      <c r="I20557" s="2"/>
    </row>
    <row r="20558" spans="9:9">
      <c r="I20558" s="2"/>
    </row>
    <row r="20559" spans="9:9">
      <c r="I20559" s="2"/>
    </row>
    <row r="20560" spans="9:9">
      <c r="I20560" s="2"/>
    </row>
    <row r="20561" spans="9:9">
      <c r="I20561" s="2"/>
    </row>
    <row r="20562" spans="9:9">
      <c r="I20562" s="2"/>
    </row>
    <row r="20563" spans="9:9">
      <c r="I20563" s="2"/>
    </row>
    <row r="20564" spans="9:9">
      <c r="I20564" s="2"/>
    </row>
    <row r="20565" spans="9:9">
      <c r="I20565" s="2"/>
    </row>
    <row r="20566" spans="9:9">
      <c r="I20566" s="2"/>
    </row>
    <row r="20567" spans="9:9">
      <c r="I20567" s="2"/>
    </row>
    <row r="20568" spans="9:9">
      <c r="I20568" s="2"/>
    </row>
    <row r="20569" spans="9:9">
      <c r="I20569" s="2"/>
    </row>
    <row r="20570" spans="9:9">
      <c r="I20570" s="2"/>
    </row>
    <row r="20571" spans="9:9">
      <c r="I20571" s="2"/>
    </row>
    <row r="20572" spans="9:9">
      <c r="I20572" s="2"/>
    </row>
    <row r="20573" spans="9:9">
      <c r="I20573" s="2"/>
    </row>
    <row r="20574" spans="9:9">
      <c r="I20574" s="2"/>
    </row>
    <row r="20575" spans="9:9">
      <c r="I20575" s="2"/>
    </row>
    <row r="20576" spans="9:9">
      <c r="I20576" s="2"/>
    </row>
    <row r="20577" spans="9:9">
      <c r="I20577" s="2"/>
    </row>
    <row r="20578" spans="9:9">
      <c r="I20578" s="2"/>
    </row>
    <row r="20579" spans="9:9">
      <c r="I20579" s="2"/>
    </row>
    <row r="20580" spans="9:9">
      <c r="I20580" s="2"/>
    </row>
    <row r="20581" spans="9:9">
      <c r="I20581" s="2"/>
    </row>
    <row r="20582" spans="9:9">
      <c r="I20582" s="2"/>
    </row>
    <row r="20583" spans="9:9">
      <c r="I20583" s="2"/>
    </row>
    <row r="20584" spans="9:9">
      <c r="I20584" s="2"/>
    </row>
    <row r="20585" spans="9:9">
      <c r="I20585" s="2"/>
    </row>
    <row r="20586" spans="9:9">
      <c r="I20586" s="2"/>
    </row>
    <row r="20587" spans="9:9">
      <c r="I20587" s="2"/>
    </row>
    <row r="20588" spans="9:9">
      <c r="I20588" s="2"/>
    </row>
    <row r="20589" spans="9:9">
      <c r="I20589" s="2"/>
    </row>
    <row r="20590" spans="9:9">
      <c r="I20590" s="2"/>
    </row>
    <row r="20591" spans="9:9">
      <c r="I20591" s="2"/>
    </row>
    <row r="20592" spans="9:9">
      <c r="I20592" s="2"/>
    </row>
    <row r="20593" spans="9:9">
      <c r="I20593" s="2"/>
    </row>
    <row r="20594" spans="9:9">
      <c r="I20594" s="2"/>
    </row>
    <row r="20595" spans="9:9">
      <c r="I20595" s="2"/>
    </row>
    <row r="20596" spans="9:9">
      <c r="I20596" s="2"/>
    </row>
    <row r="20597" spans="9:9">
      <c r="I20597" s="2"/>
    </row>
    <row r="20598" spans="9:9">
      <c r="I20598" s="2"/>
    </row>
    <row r="20599" spans="9:9">
      <c r="I20599" s="2"/>
    </row>
    <row r="20600" spans="9:9">
      <c r="I20600" s="2"/>
    </row>
    <row r="20601" spans="9:9">
      <c r="I20601" s="2"/>
    </row>
    <row r="20602" spans="9:9">
      <c r="I20602" s="2"/>
    </row>
    <row r="20603" spans="9:9">
      <c r="I20603" s="2"/>
    </row>
    <row r="20604" spans="9:9">
      <c r="I20604" s="2"/>
    </row>
    <row r="20605" spans="9:9">
      <c r="I20605" s="2"/>
    </row>
    <row r="20606" spans="9:9">
      <c r="I20606" s="2"/>
    </row>
    <row r="20607" spans="9:9">
      <c r="I20607" s="2"/>
    </row>
    <row r="20608" spans="9:9">
      <c r="I20608" s="2"/>
    </row>
    <row r="20609" spans="9:9">
      <c r="I20609" s="2"/>
    </row>
    <row r="20610" spans="9:9">
      <c r="I20610" s="2"/>
    </row>
    <row r="20611" spans="9:9">
      <c r="I20611" s="2"/>
    </row>
    <row r="20612" spans="9:9">
      <c r="I20612" s="2"/>
    </row>
    <row r="20613" spans="9:9">
      <c r="I20613" s="2"/>
    </row>
    <row r="20614" spans="9:9">
      <c r="I20614" s="2"/>
    </row>
    <row r="20615" spans="9:9">
      <c r="I20615" s="2"/>
    </row>
    <row r="20616" spans="9:9">
      <c r="I20616" s="2"/>
    </row>
    <row r="20617" spans="9:9">
      <c r="I20617" s="2"/>
    </row>
    <row r="20618" spans="9:9">
      <c r="I20618" s="2"/>
    </row>
    <row r="20619" spans="9:9">
      <c r="I20619" s="2"/>
    </row>
    <row r="20620" spans="9:9">
      <c r="I20620" s="2"/>
    </row>
    <row r="20621" spans="9:9">
      <c r="I20621" s="2"/>
    </row>
    <row r="20622" spans="9:9">
      <c r="I20622" s="2"/>
    </row>
    <row r="20623" spans="9:9">
      <c r="I20623" s="2"/>
    </row>
    <row r="20624" spans="9:9">
      <c r="I20624" s="2"/>
    </row>
    <row r="20625" spans="9:9">
      <c r="I20625" s="2"/>
    </row>
    <row r="20626" spans="9:9">
      <c r="I20626" s="2"/>
    </row>
    <row r="20627" spans="9:9">
      <c r="I20627" s="2"/>
    </row>
    <row r="20628" spans="9:9">
      <c r="I20628" s="2"/>
    </row>
    <row r="20629" spans="9:9">
      <c r="I20629" s="2"/>
    </row>
    <row r="20630" spans="9:9">
      <c r="I20630" s="2"/>
    </row>
    <row r="20631" spans="9:9">
      <c r="I20631" s="2"/>
    </row>
    <row r="20632" spans="9:9">
      <c r="I20632" s="2"/>
    </row>
    <row r="20633" spans="9:9">
      <c r="I20633" s="2"/>
    </row>
    <row r="20634" spans="9:9">
      <c r="I20634" s="2"/>
    </row>
    <row r="20635" spans="9:9">
      <c r="I20635" s="2"/>
    </row>
    <row r="20636" spans="9:9">
      <c r="I20636" s="2"/>
    </row>
    <row r="20637" spans="9:9">
      <c r="I20637" s="2"/>
    </row>
    <row r="20638" spans="9:9">
      <c r="I20638" s="2"/>
    </row>
    <row r="20639" spans="9:9">
      <c r="I20639" s="2"/>
    </row>
    <row r="20640" spans="9:9">
      <c r="I20640" s="2"/>
    </row>
    <row r="20641" spans="9:9">
      <c r="I20641" s="2"/>
    </row>
    <row r="20642" spans="9:9">
      <c r="I20642" s="2"/>
    </row>
    <row r="20643" spans="9:9">
      <c r="I20643" s="2"/>
    </row>
    <row r="20644" spans="9:9">
      <c r="I20644" s="2"/>
    </row>
    <row r="20645" spans="9:9">
      <c r="I20645" s="2"/>
    </row>
    <row r="20646" spans="9:9">
      <c r="I20646" s="2"/>
    </row>
    <row r="20647" spans="9:9">
      <c r="I20647" s="2"/>
    </row>
    <row r="20648" spans="9:9">
      <c r="I20648" s="2"/>
    </row>
    <row r="20649" spans="9:9">
      <c r="I20649" s="2"/>
    </row>
    <row r="20650" spans="9:9">
      <c r="I20650" s="2"/>
    </row>
    <row r="20651" spans="9:9">
      <c r="I20651" s="2"/>
    </row>
    <row r="20652" spans="9:9">
      <c r="I20652" s="2"/>
    </row>
    <row r="20653" spans="9:9">
      <c r="I20653" s="2"/>
    </row>
    <row r="20654" spans="9:9">
      <c r="I20654" s="2"/>
    </row>
    <row r="20655" spans="9:9">
      <c r="I20655" s="2"/>
    </row>
    <row r="20656" spans="9:9">
      <c r="I20656" s="2"/>
    </row>
    <row r="20657" spans="9:9">
      <c r="I20657" s="2"/>
    </row>
    <row r="20658" spans="9:9">
      <c r="I20658" s="2"/>
    </row>
    <row r="20659" spans="9:9">
      <c r="I20659" s="2"/>
    </row>
    <row r="20660" spans="9:9">
      <c r="I20660" s="2"/>
    </row>
    <row r="20661" spans="9:9">
      <c r="I20661" s="2"/>
    </row>
    <row r="20662" spans="9:9">
      <c r="I20662" s="2"/>
    </row>
    <row r="20663" spans="9:9">
      <c r="I20663" s="2"/>
    </row>
    <row r="20664" spans="9:9">
      <c r="I20664" s="2"/>
    </row>
    <row r="20665" spans="9:9">
      <c r="I20665" s="2"/>
    </row>
    <row r="20666" spans="9:9">
      <c r="I20666" s="2"/>
    </row>
    <row r="20667" spans="9:9">
      <c r="I20667" s="2"/>
    </row>
    <row r="20668" spans="9:9">
      <c r="I20668" s="2"/>
    </row>
    <row r="20669" spans="9:9">
      <c r="I20669" s="2"/>
    </row>
    <row r="20670" spans="9:9">
      <c r="I20670" s="2"/>
    </row>
    <row r="20671" spans="9:9">
      <c r="I20671" s="2"/>
    </row>
    <row r="20672" spans="9:9">
      <c r="I20672" s="2"/>
    </row>
    <row r="20673" spans="9:9">
      <c r="I20673" s="2"/>
    </row>
    <row r="20674" spans="9:9">
      <c r="I20674" s="2"/>
    </row>
    <row r="20675" spans="9:9">
      <c r="I20675" s="2"/>
    </row>
    <row r="20676" spans="9:9">
      <c r="I20676" s="2"/>
    </row>
    <row r="20677" spans="9:9">
      <c r="I20677" s="2"/>
    </row>
    <row r="20678" spans="9:9">
      <c r="I20678" s="2"/>
    </row>
    <row r="20679" spans="9:9">
      <c r="I20679" s="2"/>
    </row>
    <row r="20680" spans="9:9">
      <c r="I20680" s="2"/>
    </row>
    <row r="20681" spans="9:9">
      <c r="I20681" s="2"/>
    </row>
    <row r="20682" spans="9:9">
      <c r="I20682" s="2"/>
    </row>
    <row r="20683" spans="9:9">
      <c r="I20683" s="2"/>
    </row>
    <row r="20684" spans="9:9">
      <c r="I20684" s="2"/>
    </row>
    <row r="20685" spans="9:9">
      <c r="I20685" s="2"/>
    </row>
    <row r="20686" spans="9:9">
      <c r="I20686" s="2"/>
    </row>
    <row r="20687" spans="9:9">
      <c r="I20687" s="2"/>
    </row>
    <row r="20688" spans="9:9">
      <c r="I20688" s="2"/>
    </row>
    <row r="20689" spans="9:9">
      <c r="I20689" s="2"/>
    </row>
    <row r="20690" spans="9:9">
      <c r="I20690" s="2"/>
    </row>
    <row r="20691" spans="9:9">
      <c r="I20691" s="2"/>
    </row>
    <row r="20692" spans="9:9">
      <c r="I20692" s="2"/>
    </row>
    <row r="20693" spans="9:9">
      <c r="I20693" s="2"/>
    </row>
    <row r="20694" spans="9:9">
      <c r="I20694" s="2"/>
    </row>
    <row r="20695" spans="9:9">
      <c r="I20695" s="2"/>
    </row>
    <row r="20696" spans="9:9">
      <c r="I20696" s="2"/>
    </row>
    <row r="20697" spans="9:9">
      <c r="I20697" s="2"/>
    </row>
    <row r="20698" spans="9:9">
      <c r="I20698" s="2"/>
    </row>
    <row r="20699" spans="9:9">
      <c r="I20699" s="2"/>
    </row>
    <row r="20700" spans="9:9">
      <c r="I20700" s="2"/>
    </row>
    <row r="20701" spans="9:9">
      <c r="I20701" s="2"/>
    </row>
    <row r="20702" spans="9:9">
      <c r="I20702" s="2"/>
    </row>
    <row r="20703" spans="9:9">
      <c r="I20703" s="2"/>
    </row>
    <row r="20704" spans="9:9">
      <c r="I20704" s="2"/>
    </row>
    <row r="20705" spans="9:9">
      <c r="I20705" s="2"/>
    </row>
    <row r="20706" spans="9:9">
      <c r="I20706" s="2"/>
    </row>
    <row r="20707" spans="9:9">
      <c r="I20707" s="2"/>
    </row>
    <row r="20708" spans="9:9">
      <c r="I20708" s="2"/>
    </row>
    <row r="20709" spans="9:9">
      <c r="I20709" s="2"/>
    </row>
    <row r="20710" spans="9:9">
      <c r="I20710" s="2"/>
    </row>
    <row r="20711" spans="9:9">
      <c r="I20711" s="2"/>
    </row>
    <row r="20712" spans="9:9">
      <c r="I20712" s="2"/>
    </row>
    <row r="20713" spans="9:9">
      <c r="I20713" s="2"/>
    </row>
    <row r="20714" spans="9:9">
      <c r="I20714" s="2"/>
    </row>
    <row r="20715" spans="9:9">
      <c r="I20715" s="2"/>
    </row>
    <row r="20716" spans="9:9">
      <c r="I20716" s="2"/>
    </row>
    <row r="20717" spans="9:9">
      <c r="I20717" s="2"/>
    </row>
    <row r="20718" spans="9:9">
      <c r="I20718" s="2"/>
    </row>
    <row r="20719" spans="9:9">
      <c r="I20719" s="2"/>
    </row>
    <row r="20720" spans="9:9">
      <c r="I20720" s="2"/>
    </row>
    <row r="20721" spans="9:9">
      <c r="I20721" s="2"/>
    </row>
    <row r="20722" spans="9:9">
      <c r="I20722" s="2"/>
    </row>
    <row r="20723" spans="9:9">
      <c r="I20723" s="2"/>
    </row>
    <row r="20724" spans="9:9">
      <c r="I20724" s="2"/>
    </row>
    <row r="20725" spans="9:9">
      <c r="I20725" s="2"/>
    </row>
    <row r="20726" spans="9:9">
      <c r="I20726" s="2"/>
    </row>
    <row r="20727" spans="9:9">
      <c r="I20727" s="2"/>
    </row>
    <row r="20728" spans="9:9">
      <c r="I20728" s="2"/>
    </row>
    <row r="20729" spans="9:9">
      <c r="I20729" s="2"/>
    </row>
    <row r="20730" spans="9:9">
      <c r="I20730" s="2"/>
    </row>
    <row r="20731" spans="9:9">
      <c r="I20731" s="2"/>
    </row>
    <row r="20732" spans="9:9">
      <c r="I20732" s="2"/>
    </row>
    <row r="20733" spans="9:9">
      <c r="I20733" s="2"/>
    </row>
    <row r="20734" spans="9:9">
      <c r="I20734" s="2"/>
    </row>
    <row r="20735" spans="9:9">
      <c r="I20735" s="2"/>
    </row>
    <row r="20736" spans="9:9">
      <c r="I20736" s="2"/>
    </row>
    <row r="20737" spans="9:9">
      <c r="I20737" s="2"/>
    </row>
    <row r="20738" spans="9:9">
      <c r="I20738" s="2"/>
    </row>
    <row r="20739" spans="9:9">
      <c r="I20739" s="2"/>
    </row>
    <row r="20740" spans="9:9">
      <c r="I20740" s="2"/>
    </row>
    <row r="20741" spans="9:9">
      <c r="I20741" s="2"/>
    </row>
    <row r="20742" spans="9:9">
      <c r="I20742" s="2"/>
    </row>
    <row r="20743" spans="9:9">
      <c r="I20743" s="2"/>
    </row>
    <row r="20744" spans="9:9">
      <c r="I20744" s="2"/>
    </row>
    <row r="20745" spans="9:9">
      <c r="I20745" s="2"/>
    </row>
    <row r="20746" spans="9:9">
      <c r="I20746" s="2"/>
    </row>
    <row r="20747" spans="9:9">
      <c r="I20747" s="2"/>
    </row>
    <row r="20748" spans="9:9">
      <c r="I20748" s="2"/>
    </row>
    <row r="20749" spans="9:9">
      <c r="I20749" s="2"/>
    </row>
    <row r="20750" spans="9:9">
      <c r="I20750" s="2"/>
    </row>
    <row r="20751" spans="9:9">
      <c r="I20751" s="2"/>
    </row>
    <row r="20752" spans="9:9">
      <c r="I20752" s="2"/>
    </row>
    <row r="20753" spans="9:9">
      <c r="I20753" s="2"/>
    </row>
    <row r="20754" spans="9:9">
      <c r="I20754" s="2"/>
    </row>
    <row r="20755" spans="9:9">
      <c r="I20755" s="2"/>
    </row>
    <row r="20756" spans="9:9">
      <c r="I20756" s="2"/>
    </row>
    <row r="20757" spans="9:9">
      <c r="I20757" s="2"/>
    </row>
    <row r="20758" spans="9:9">
      <c r="I20758" s="2"/>
    </row>
    <row r="20759" spans="9:9">
      <c r="I20759" s="2"/>
    </row>
    <row r="20760" spans="9:9">
      <c r="I20760" s="2"/>
    </row>
    <row r="20761" spans="9:9">
      <c r="I20761" s="2"/>
    </row>
    <row r="20762" spans="9:9">
      <c r="I20762" s="2"/>
    </row>
    <row r="20763" spans="9:9">
      <c r="I20763" s="2"/>
    </row>
    <row r="20764" spans="9:9">
      <c r="I20764" s="2"/>
    </row>
    <row r="20765" spans="9:9">
      <c r="I20765" s="2"/>
    </row>
    <row r="20766" spans="9:9">
      <c r="I20766" s="2"/>
    </row>
    <row r="20767" spans="9:9">
      <c r="I20767" s="2"/>
    </row>
    <row r="20768" spans="9:9">
      <c r="I20768" s="2"/>
    </row>
    <row r="20769" spans="9:9">
      <c r="I20769" s="2"/>
    </row>
    <row r="20770" spans="9:9">
      <c r="I20770" s="2"/>
    </row>
    <row r="20771" spans="9:9">
      <c r="I20771" s="2"/>
    </row>
    <row r="20772" spans="9:9">
      <c r="I20772" s="2"/>
    </row>
    <row r="20773" spans="9:9">
      <c r="I20773" s="2"/>
    </row>
    <row r="20774" spans="9:9">
      <c r="I20774" s="2"/>
    </row>
    <row r="20775" spans="9:9">
      <c r="I20775" s="2"/>
    </row>
    <row r="20776" spans="9:9">
      <c r="I20776" s="2"/>
    </row>
    <row r="20777" spans="9:9">
      <c r="I20777" s="2"/>
    </row>
    <row r="20778" spans="9:9">
      <c r="I20778" s="2"/>
    </row>
    <row r="20779" spans="9:9">
      <c r="I20779" s="2"/>
    </row>
    <row r="20780" spans="9:9">
      <c r="I20780" s="2"/>
    </row>
    <row r="20781" spans="9:9">
      <c r="I20781" s="2"/>
    </row>
    <row r="20782" spans="9:9">
      <c r="I20782" s="2"/>
    </row>
    <row r="20783" spans="9:9">
      <c r="I20783" s="2"/>
    </row>
    <row r="20784" spans="9:9">
      <c r="I20784" s="2"/>
    </row>
    <row r="20785" spans="9:9">
      <c r="I20785" s="2"/>
    </row>
    <row r="20786" spans="9:9">
      <c r="I20786" s="2"/>
    </row>
    <row r="20787" spans="9:9">
      <c r="I20787" s="2"/>
    </row>
    <row r="20788" spans="9:9">
      <c r="I20788" s="2"/>
    </row>
    <row r="20789" spans="9:9">
      <c r="I20789" s="2"/>
    </row>
    <row r="20790" spans="9:9">
      <c r="I20790" s="2"/>
    </row>
    <row r="20791" spans="9:9">
      <c r="I20791" s="2"/>
    </row>
    <row r="20792" spans="9:9">
      <c r="I20792" s="2"/>
    </row>
    <row r="20793" spans="9:9">
      <c r="I20793" s="2"/>
    </row>
    <row r="20794" spans="9:9">
      <c r="I20794" s="2"/>
    </row>
    <row r="20795" spans="9:9">
      <c r="I20795" s="2"/>
    </row>
    <row r="20796" spans="9:9">
      <c r="I20796" s="2"/>
    </row>
    <row r="20797" spans="9:9">
      <c r="I20797" s="2"/>
    </row>
    <row r="20798" spans="9:9">
      <c r="I20798" s="2"/>
    </row>
    <row r="20799" spans="9:9">
      <c r="I20799" s="2"/>
    </row>
    <row r="20800" spans="9:9">
      <c r="I20800" s="2"/>
    </row>
    <row r="20801" spans="9:9">
      <c r="I20801" s="2"/>
    </row>
    <row r="20802" spans="9:9">
      <c r="I20802" s="2"/>
    </row>
    <row r="20803" spans="9:9">
      <c r="I20803" s="2"/>
    </row>
    <row r="20804" spans="9:9">
      <c r="I20804" s="2"/>
    </row>
    <row r="20805" spans="9:9">
      <c r="I20805" s="2"/>
    </row>
    <row r="20806" spans="9:9">
      <c r="I20806" s="2"/>
    </row>
    <row r="20807" spans="9:9">
      <c r="I20807" s="2"/>
    </row>
    <row r="20808" spans="9:9">
      <c r="I20808" s="2"/>
    </row>
    <row r="20809" spans="9:9">
      <c r="I20809" s="2"/>
    </row>
    <row r="20810" spans="9:9">
      <c r="I20810" s="2"/>
    </row>
    <row r="20811" spans="9:9">
      <c r="I20811" s="2"/>
    </row>
    <row r="20812" spans="9:9">
      <c r="I20812" s="2"/>
    </row>
    <row r="20813" spans="9:9">
      <c r="I20813" s="2"/>
    </row>
    <row r="20814" spans="9:9">
      <c r="I20814" s="2"/>
    </row>
    <row r="20815" spans="9:9">
      <c r="I20815" s="2"/>
    </row>
    <row r="20816" spans="9:9">
      <c r="I20816" s="2"/>
    </row>
    <row r="20817" spans="9:9">
      <c r="I20817" s="2"/>
    </row>
    <row r="20818" spans="9:9">
      <c r="I20818" s="2"/>
    </row>
    <row r="20819" spans="9:9">
      <c r="I20819" s="2"/>
    </row>
    <row r="20820" spans="9:9">
      <c r="I20820" s="2"/>
    </row>
    <row r="20821" spans="9:9">
      <c r="I20821" s="2"/>
    </row>
    <row r="20822" spans="9:9">
      <c r="I20822" s="2"/>
    </row>
    <row r="20823" spans="9:9">
      <c r="I20823" s="2"/>
    </row>
    <row r="20824" spans="9:9">
      <c r="I20824" s="2"/>
    </row>
    <row r="20825" spans="9:9">
      <c r="I20825" s="2"/>
    </row>
    <row r="20826" spans="9:9">
      <c r="I20826" s="2"/>
    </row>
    <row r="20827" spans="9:9">
      <c r="I20827" s="2"/>
    </row>
    <row r="20828" spans="9:9">
      <c r="I20828" s="2"/>
    </row>
    <row r="20829" spans="9:9">
      <c r="I20829" s="2"/>
    </row>
    <row r="20830" spans="9:9">
      <c r="I20830" s="2"/>
    </row>
    <row r="20831" spans="9:9">
      <c r="I20831" s="2"/>
    </row>
    <row r="20832" spans="9:9">
      <c r="I20832" s="2"/>
    </row>
    <row r="20833" spans="9:9">
      <c r="I20833" s="2"/>
    </row>
    <row r="20834" spans="9:9">
      <c r="I20834" s="2"/>
    </row>
    <row r="20835" spans="9:9">
      <c r="I20835" s="2"/>
    </row>
    <row r="20836" spans="9:9">
      <c r="I20836" s="2"/>
    </row>
    <row r="20837" spans="9:9">
      <c r="I20837" s="2"/>
    </row>
    <row r="20838" spans="9:9">
      <c r="I20838" s="2"/>
    </row>
    <row r="20839" spans="9:9">
      <c r="I20839" s="2"/>
    </row>
    <row r="20840" spans="9:9">
      <c r="I20840" s="2"/>
    </row>
    <row r="20841" spans="9:9">
      <c r="I20841" s="2"/>
    </row>
    <row r="20842" spans="9:9">
      <c r="I20842" s="2"/>
    </row>
    <row r="20843" spans="9:9">
      <c r="I20843" s="2"/>
    </row>
    <row r="20844" spans="9:9">
      <c r="I20844" s="2"/>
    </row>
    <row r="20845" spans="9:9">
      <c r="I20845" s="2"/>
    </row>
    <row r="20846" spans="9:9">
      <c r="I20846" s="2"/>
    </row>
    <row r="20847" spans="9:9">
      <c r="I20847" s="2"/>
    </row>
    <row r="20848" spans="9:9">
      <c r="I20848" s="2"/>
    </row>
    <row r="20849" spans="9:9">
      <c r="I20849" s="2"/>
    </row>
    <row r="20850" spans="9:9">
      <c r="I20850" s="2"/>
    </row>
    <row r="20851" spans="9:9">
      <c r="I20851" s="2"/>
    </row>
    <row r="20852" spans="9:9">
      <c r="I20852" s="2"/>
    </row>
    <row r="20853" spans="9:9">
      <c r="I20853" s="2"/>
    </row>
    <row r="20854" spans="9:9">
      <c r="I20854" s="2"/>
    </row>
    <row r="20855" spans="9:9">
      <c r="I20855" s="2"/>
    </row>
    <row r="20856" spans="9:9">
      <c r="I20856" s="2"/>
    </row>
    <row r="20857" spans="9:9">
      <c r="I20857" s="2"/>
    </row>
    <row r="20858" spans="9:9">
      <c r="I20858" s="2"/>
    </row>
    <row r="20859" spans="9:9">
      <c r="I20859" s="2"/>
    </row>
    <row r="20860" spans="9:9">
      <c r="I20860" s="2"/>
    </row>
    <row r="20861" spans="9:9">
      <c r="I20861" s="2"/>
    </row>
    <row r="20862" spans="9:9">
      <c r="I20862" s="2"/>
    </row>
    <row r="20863" spans="9:9">
      <c r="I20863" s="2"/>
    </row>
    <row r="20864" spans="9:9">
      <c r="I20864" s="2"/>
    </row>
    <row r="20865" spans="9:9">
      <c r="I20865" s="2"/>
    </row>
    <row r="20866" spans="9:9">
      <c r="I20866" s="2"/>
    </row>
    <row r="20867" spans="9:9">
      <c r="I20867" s="2"/>
    </row>
    <row r="20868" spans="9:9">
      <c r="I20868" s="2"/>
    </row>
    <row r="20869" spans="9:9">
      <c r="I20869" s="2"/>
    </row>
    <row r="20870" spans="9:9">
      <c r="I20870" s="2"/>
    </row>
    <row r="20871" spans="9:9">
      <c r="I20871" s="2"/>
    </row>
    <row r="20872" spans="9:9">
      <c r="I20872" s="2"/>
    </row>
    <row r="20873" spans="9:9">
      <c r="I20873" s="2"/>
    </row>
    <row r="20874" spans="9:9">
      <c r="I20874" s="2"/>
    </row>
    <row r="20875" spans="9:9">
      <c r="I20875" s="2"/>
    </row>
    <row r="20876" spans="9:9">
      <c r="I20876" s="2"/>
    </row>
    <row r="20877" spans="9:9">
      <c r="I20877" s="2"/>
    </row>
    <row r="20878" spans="9:9">
      <c r="I20878" s="2"/>
    </row>
    <row r="20879" spans="9:9">
      <c r="I20879" s="2"/>
    </row>
    <row r="20880" spans="9:9">
      <c r="I20880" s="2"/>
    </row>
    <row r="20881" spans="9:9">
      <c r="I20881" s="2"/>
    </row>
    <row r="20882" spans="9:9">
      <c r="I20882" s="2"/>
    </row>
    <row r="20883" spans="9:9">
      <c r="I20883" s="2"/>
    </row>
    <row r="20884" spans="9:9">
      <c r="I20884" s="2"/>
    </row>
    <row r="20885" spans="9:9">
      <c r="I20885" s="2"/>
    </row>
    <row r="20886" spans="9:9">
      <c r="I20886" s="2"/>
    </row>
    <row r="20887" spans="9:9">
      <c r="I20887" s="2"/>
    </row>
    <row r="20888" spans="9:9">
      <c r="I20888" s="2"/>
    </row>
    <row r="20889" spans="9:9">
      <c r="I20889" s="2"/>
    </row>
    <row r="20890" spans="9:9">
      <c r="I20890" s="2"/>
    </row>
    <row r="20891" spans="9:9">
      <c r="I20891" s="2"/>
    </row>
    <row r="20892" spans="9:9">
      <c r="I20892" s="2"/>
    </row>
    <row r="20893" spans="9:9">
      <c r="I20893" s="2"/>
    </row>
    <row r="20894" spans="9:9">
      <c r="I20894" s="2"/>
    </row>
    <row r="20895" spans="9:9">
      <c r="I20895" s="2"/>
    </row>
    <row r="20896" spans="9:9">
      <c r="I20896" s="2"/>
    </row>
    <row r="20897" spans="9:9">
      <c r="I20897" s="2"/>
    </row>
    <row r="20898" spans="9:9">
      <c r="I20898" s="2"/>
    </row>
    <row r="20899" spans="9:9">
      <c r="I20899" s="2"/>
    </row>
    <row r="20900" spans="9:9">
      <c r="I20900" s="2"/>
    </row>
    <row r="20901" spans="9:9">
      <c r="I20901" s="2"/>
    </row>
    <row r="20902" spans="9:9">
      <c r="I20902" s="2"/>
    </row>
    <row r="20903" spans="9:9">
      <c r="I20903" s="2"/>
    </row>
    <row r="20904" spans="9:9">
      <c r="I20904" s="2"/>
    </row>
    <row r="20905" spans="9:9">
      <c r="I20905" s="2"/>
    </row>
    <row r="20906" spans="9:9">
      <c r="I20906" s="2"/>
    </row>
    <row r="20907" spans="9:9">
      <c r="I20907" s="2"/>
    </row>
    <row r="20908" spans="9:9">
      <c r="I20908" s="2"/>
    </row>
    <row r="20909" spans="9:9">
      <c r="I20909" s="2"/>
    </row>
    <row r="20910" spans="9:9">
      <c r="I20910" s="2"/>
    </row>
    <row r="20911" spans="9:9">
      <c r="I20911" s="2"/>
    </row>
    <row r="20912" spans="9:9">
      <c r="I20912" s="2"/>
    </row>
    <row r="20913" spans="9:9">
      <c r="I20913" s="2"/>
    </row>
    <row r="20914" spans="9:9">
      <c r="I20914" s="2"/>
    </row>
    <row r="20915" spans="9:9">
      <c r="I20915" s="2"/>
    </row>
    <row r="20916" spans="9:9">
      <c r="I20916" s="2"/>
    </row>
    <row r="20917" spans="9:9">
      <c r="I20917" s="2"/>
    </row>
    <row r="20918" spans="9:9">
      <c r="I20918" s="2"/>
    </row>
    <row r="20919" spans="9:9">
      <c r="I20919" s="2"/>
    </row>
    <row r="20920" spans="9:9">
      <c r="I20920" s="2"/>
    </row>
    <row r="20921" spans="9:9">
      <c r="I20921" s="2"/>
    </row>
    <row r="20922" spans="9:9">
      <c r="I20922" s="2"/>
    </row>
    <row r="20923" spans="9:9">
      <c r="I20923" s="2"/>
    </row>
    <row r="20924" spans="9:9">
      <c r="I20924" s="2"/>
    </row>
    <row r="20925" spans="9:9">
      <c r="I20925" s="2"/>
    </row>
    <row r="20926" spans="9:9">
      <c r="I20926" s="2"/>
    </row>
    <row r="20927" spans="9:9">
      <c r="I20927" s="2"/>
    </row>
    <row r="20928" spans="9:9">
      <c r="I20928" s="2"/>
    </row>
    <row r="20929" spans="9:9">
      <c r="I20929" s="2"/>
    </row>
    <row r="20930" spans="9:9">
      <c r="I20930" s="2"/>
    </row>
    <row r="20931" spans="9:9">
      <c r="I20931" s="2"/>
    </row>
    <row r="20932" spans="9:9">
      <c r="I20932" s="2"/>
    </row>
    <row r="20933" spans="9:9">
      <c r="I20933" s="2"/>
    </row>
    <row r="20934" spans="9:9">
      <c r="I20934" s="2"/>
    </row>
    <row r="20935" spans="9:9">
      <c r="I20935" s="2"/>
    </row>
    <row r="20936" spans="9:9">
      <c r="I20936" s="2"/>
    </row>
    <row r="20937" spans="9:9">
      <c r="I20937" s="2"/>
    </row>
    <row r="20938" spans="9:9">
      <c r="I20938" s="2"/>
    </row>
    <row r="20939" spans="9:9">
      <c r="I20939" s="2"/>
    </row>
    <row r="20940" spans="9:9">
      <c r="I20940" s="2"/>
    </row>
    <row r="20941" spans="9:9">
      <c r="I20941" s="2"/>
    </row>
    <row r="20942" spans="9:9">
      <c r="I20942" s="2"/>
    </row>
    <row r="20943" spans="9:9">
      <c r="I20943" s="2"/>
    </row>
    <row r="20944" spans="9:9">
      <c r="I20944" s="2"/>
    </row>
    <row r="20945" spans="9:9">
      <c r="I20945" s="2"/>
    </row>
    <row r="20946" spans="9:9">
      <c r="I20946" s="2"/>
    </row>
    <row r="20947" spans="9:9">
      <c r="I20947" s="2"/>
    </row>
    <row r="20948" spans="9:9">
      <c r="I20948" s="2"/>
    </row>
    <row r="20949" spans="9:9">
      <c r="I20949" s="2"/>
    </row>
    <row r="20950" spans="9:9">
      <c r="I20950" s="2"/>
    </row>
    <row r="20951" spans="9:9">
      <c r="I20951" s="2"/>
    </row>
    <row r="20952" spans="9:9">
      <c r="I20952" s="2"/>
    </row>
    <row r="20953" spans="9:9">
      <c r="I20953" s="2"/>
    </row>
    <row r="20954" spans="9:9">
      <c r="I20954" s="2"/>
    </row>
    <row r="20955" spans="9:9">
      <c r="I20955" s="2"/>
    </row>
    <row r="20956" spans="9:9">
      <c r="I20956" s="2"/>
    </row>
    <row r="20957" spans="9:9">
      <c r="I20957" s="2"/>
    </row>
    <row r="20958" spans="9:9">
      <c r="I20958" s="2"/>
    </row>
    <row r="20959" spans="9:9">
      <c r="I20959" s="2"/>
    </row>
    <row r="20960" spans="9:9">
      <c r="I20960" s="2"/>
    </row>
    <row r="20961" spans="9:9">
      <c r="I20961" s="2"/>
    </row>
    <row r="20962" spans="9:9">
      <c r="I20962" s="2"/>
    </row>
    <row r="20963" spans="9:9">
      <c r="I20963" s="2"/>
    </row>
    <row r="20964" spans="9:9">
      <c r="I20964" s="2"/>
    </row>
    <row r="20965" spans="9:9">
      <c r="I20965" s="2"/>
    </row>
    <row r="20966" spans="9:9">
      <c r="I20966" s="2"/>
    </row>
    <row r="20967" spans="9:9">
      <c r="I20967" s="2"/>
    </row>
    <row r="20968" spans="9:9">
      <c r="I20968" s="2"/>
    </row>
    <row r="20969" spans="9:9">
      <c r="I20969" s="2"/>
    </row>
    <row r="20970" spans="9:9">
      <c r="I20970" s="2"/>
    </row>
    <row r="20971" spans="9:9">
      <c r="I20971" s="2"/>
    </row>
    <row r="20972" spans="9:9">
      <c r="I20972" s="2"/>
    </row>
    <row r="20973" spans="9:9">
      <c r="I20973" s="2"/>
    </row>
    <row r="20974" spans="9:9">
      <c r="I20974" s="2"/>
    </row>
    <row r="20975" spans="9:9">
      <c r="I20975" s="2"/>
    </row>
    <row r="20976" spans="9:9">
      <c r="I20976" s="2"/>
    </row>
    <row r="20977" spans="9:9">
      <c r="I20977" s="2"/>
    </row>
    <row r="20978" spans="9:9">
      <c r="I20978" s="2"/>
    </row>
    <row r="20979" spans="9:9">
      <c r="I20979" s="2"/>
    </row>
    <row r="20980" spans="9:9">
      <c r="I20980" s="2"/>
    </row>
    <row r="20981" spans="9:9">
      <c r="I20981" s="2"/>
    </row>
    <row r="20982" spans="9:9">
      <c r="I20982" s="2"/>
    </row>
    <row r="20983" spans="9:9">
      <c r="I20983" s="2"/>
    </row>
    <row r="20984" spans="9:9">
      <c r="I20984" s="2"/>
    </row>
    <row r="20985" spans="9:9">
      <c r="I20985" s="2"/>
    </row>
    <row r="20986" spans="9:9">
      <c r="I20986" s="2"/>
    </row>
    <row r="20987" spans="9:9">
      <c r="I20987" s="2"/>
    </row>
    <row r="20988" spans="9:9">
      <c r="I20988" s="2"/>
    </row>
    <row r="20989" spans="9:9">
      <c r="I20989" s="2"/>
    </row>
    <row r="20990" spans="9:9">
      <c r="I20990" s="2"/>
    </row>
    <row r="20991" spans="9:9">
      <c r="I20991" s="2"/>
    </row>
    <row r="20992" spans="9:9">
      <c r="I20992" s="2"/>
    </row>
    <row r="20993" spans="9:9">
      <c r="I20993" s="2"/>
    </row>
    <row r="20994" spans="9:9">
      <c r="I20994" s="2"/>
    </row>
    <row r="20995" spans="9:9">
      <c r="I20995" s="2"/>
    </row>
    <row r="20996" spans="9:9">
      <c r="I20996" s="2"/>
    </row>
    <row r="20997" spans="9:9">
      <c r="I20997" s="2"/>
    </row>
    <row r="20998" spans="9:9">
      <c r="I20998" s="2"/>
    </row>
    <row r="20999" spans="9:9">
      <c r="I20999" s="2"/>
    </row>
    <row r="21000" spans="9:9">
      <c r="I21000" s="2"/>
    </row>
    <row r="21001" spans="9:9">
      <c r="I21001" s="2"/>
    </row>
    <row r="21002" spans="9:9">
      <c r="I21002" s="2"/>
    </row>
    <row r="21003" spans="9:9">
      <c r="I21003" s="2"/>
    </row>
    <row r="21004" spans="9:9">
      <c r="I21004" s="2"/>
    </row>
    <row r="21005" spans="9:9">
      <c r="I21005" s="2"/>
    </row>
    <row r="21006" spans="9:9">
      <c r="I21006" s="2"/>
    </row>
    <row r="21007" spans="9:9">
      <c r="I21007" s="2"/>
    </row>
    <row r="21008" spans="9:9">
      <c r="I21008" s="2"/>
    </row>
    <row r="21009" spans="9:9">
      <c r="I21009" s="2"/>
    </row>
    <row r="21010" spans="9:9">
      <c r="I21010" s="2"/>
    </row>
    <row r="21011" spans="9:9">
      <c r="I21011" s="2"/>
    </row>
    <row r="21012" spans="9:9">
      <c r="I21012" s="2"/>
    </row>
    <row r="21013" spans="9:9">
      <c r="I21013" s="2"/>
    </row>
    <row r="21014" spans="9:9">
      <c r="I21014" s="2"/>
    </row>
    <row r="21015" spans="9:9">
      <c r="I21015" s="2"/>
    </row>
    <row r="21016" spans="9:9">
      <c r="I21016" s="2"/>
    </row>
    <row r="21017" spans="9:9">
      <c r="I21017" s="2"/>
    </row>
    <row r="21018" spans="9:9">
      <c r="I21018" s="2"/>
    </row>
    <row r="21019" spans="9:9">
      <c r="I21019" s="2"/>
    </row>
    <row r="21020" spans="9:9">
      <c r="I21020" s="2"/>
    </row>
    <row r="21021" spans="9:9">
      <c r="I21021" s="2"/>
    </row>
    <row r="21022" spans="9:9">
      <c r="I21022" s="2"/>
    </row>
    <row r="21023" spans="9:9">
      <c r="I21023" s="2"/>
    </row>
    <row r="21024" spans="9:9">
      <c r="I21024" s="2"/>
    </row>
    <row r="21025" spans="9:9">
      <c r="I21025" s="2"/>
    </row>
    <row r="21026" spans="9:9">
      <c r="I21026" s="2"/>
    </row>
    <row r="21027" spans="9:9">
      <c r="I21027" s="2"/>
    </row>
    <row r="21028" spans="9:9">
      <c r="I21028" s="2"/>
    </row>
    <row r="21029" spans="9:9">
      <c r="I21029" s="2"/>
    </row>
    <row r="21030" spans="9:9">
      <c r="I21030" s="2"/>
    </row>
    <row r="21031" spans="9:9">
      <c r="I21031" s="2"/>
    </row>
    <row r="21032" spans="9:9">
      <c r="I21032" s="2"/>
    </row>
    <row r="21033" spans="9:9">
      <c r="I21033" s="2"/>
    </row>
    <row r="21034" spans="9:9">
      <c r="I21034" s="2"/>
    </row>
    <row r="21035" spans="9:9">
      <c r="I21035" s="2"/>
    </row>
    <row r="21036" spans="9:9">
      <c r="I21036" s="2"/>
    </row>
    <row r="21037" spans="9:9">
      <c r="I21037" s="2"/>
    </row>
    <row r="21038" spans="9:9">
      <c r="I21038" s="2"/>
    </row>
    <row r="21039" spans="9:9">
      <c r="I21039" s="2"/>
    </row>
    <row r="21040" spans="9:9">
      <c r="I21040" s="2"/>
    </row>
    <row r="21041" spans="9:9">
      <c r="I21041" s="2"/>
    </row>
    <row r="21042" spans="9:9">
      <c r="I21042" s="2"/>
    </row>
    <row r="21043" spans="9:9">
      <c r="I21043" s="2"/>
    </row>
    <row r="21044" spans="9:9">
      <c r="I21044" s="2"/>
    </row>
    <row r="21045" spans="9:9">
      <c r="I21045" s="2"/>
    </row>
    <row r="21046" spans="9:9">
      <c r="I21046" s="2"/>
    </row>
    <row r="21047" spans="9:9">
      <c r="I21047" s="2"/>
    </row>
    <row r="21048" spans="9:9">
      <c r="I21048" s="2"/>
    </row>
    <row r="21049" spans="9:9">
      <c r="I21049" s="2"/>
    </row>
    <row r="21050" spans="9:9">
      <c r="I21050" s="2"/>
    </row>
    <row r="21051" spans="9:9">
      <c r="I21051" s="2"/>
    </row>
    <row r="21052" spans="9:9">
      <c r="I21052" s="2"/>
    </row>
    <row r="21053" spans="9:9">
      <c r="I21053" s="2"/>
    </row>
    <row r="21054" spans="9:9">
      <c r="I21054" s="2"/>
    </row>
    <row r="21055" spans="9:9">
      <c r="I21055" s="2"/>
    </row>
    <row r="21056" spans="9:9">
      <c r="I21056" s="2"/>
    </row>
    <row r="21057" spans="9:9">
      <c r="I21057" s="2"/>
    </row>
    <row r="21058" spans="9:9">
      <c r="I21058" s="2"/>
    </row>
    <row r="21059" spans="9:9">
      <c r="I21059" s="2"/>
    </row>
    <row r="21060" spans="9:9">
      <c r="I21060" s="2"/>
    </row>
    <row r="21061" spans="9:9">
      <c r="I21061" s="2"/>
    </row>
    <row r="21062" spans="9:9">
      <c r="I21062" s="2"/>
    </row>
    <row r="21063" spans="9:9">
      <c r="I21063" s="2"/>
    </row>
    <row r="21064" spans="9:9">
      <c r="I21064" s="2"/>
    </row>
    <row r="21065" spans="9:9">
      <c r="I21065" s="2"/>
    </row>
    <row r="21066" spans="9:9">
      <c r="I21066" s="2"/>
    </row>
    <row r="21067" spans="9:9">
      <c r="I21067" s="2"/>
    </row>
    <row r="21068" spans="9:9">
      <c r="I21068" s="2"/>
    </row>
    <row r="21069" spans="9:9">
      <c r="I21069" s="2"/>
    </row>
    <row r="21070" spans="9:9">
      <c r="I21070" s="2"/>
    </row>
    <row r="21071" spans="9:9">
      <c r="I21071" s="2"/>
    </row>
    <row r="21072" spans="9:9">
      <c r="I21072" s="2"/>
    </row>
    <row r="21073" spans="9:9">
      <c r="I21073" s="2"/>
    </row>
    <row r="21074" spans="9:9">
      <c r="I21074" s="2"/>
    </row>
    <row r="21075" spans="9:9">
      <c r="I21075" s="2"/>
    </row>
    <row r="21076" spans="9:9">
      <c r="I21076" s="2"/>
    </row>
    <row r="21077" spans="9:9">
      <c r="I21077" s="2"/>
    </row>
    <row r="21078" spans="9:9">
      <c r="I21078" s="2"/>
    </row>
    <row r="21079" spans="9:9">
      <c r="I21079" s="2"/>
    </row>
    <row r="21080" spans="9:9">
      <c r="I21080" s="2"/>
    </row>
    <row r="21081" spans="9:9">
      <c r="I21081" s="2"/>
    </row>
    <row r="21082" spans="9:9">
      <c r="I21082" s="2"/>
    </row>
    <row r="21083" spans="9:9">
      <c r="I21083" s="2"/>
    </row>
    <row r="21084" spans="9:9">
      <c r="I21084" s="2"/>
    </row>
    <row r="21085" spans="9:9">
      <c r="I21085" s="2"/>
    </row>
    <row r="21086" spans="9:9">
      <c r="I21086" s="2"/>
    </row>
    <row r="21087" spans="9:9">
      <c r="I21087" s="2"/>
    </row>
    <row r="21088" spans="9:9">
      <c r="I21088" s="2"/>
    </row>
    <row r="21089" spans="9:9">
      <c r="I21089" s="2"/>
    </row>
    <row r="21090" spans="9:9">
      <c r="I21090" s="2"/>
    </row>
    <row r="21091" spans="9:9">
      <c r="I21091" s="2"/>
    </row>
    <row r="21092" spans="9:9">
      <c r="I21092" s="2"/>
    </row>
    <row r="21093" spans="9:9">
      <c r="I21093" s="2"/>
    </row>
    <row r="21094" spans="9:9">
      <c r="I21094" s="2"/>
    </row>
    <row r="21095" spans="9:9">
      <c r="I21095" s="2"/>
    </row>
    <row r="21096" spans="9:9">
      <c r="I21096" s="2"/>
    </row>
    <row r="21097" spans="9:9">
      <c r="I21097" s="2"/>
    </row>
    <row r="21098" spans="9:9">
      <c r="I21098" s="2"/>
    </row>
    <row r="21099" spans="9:9">
      <c r="I21099" s="2"/>
    </row>
    <row r="21100" spans="9:9">
      <c r="I21100" s="2"/>
    </row>
    <row r="21101" spans="9:9">
      <c r="I21101" s="2"/>
    </row>
    <row r="21102" spans="9:9">
      <c r="I21102" s="2"/>
    </row>
    <row r="21103" spans="9:9">
      <c r="I21103" s="2"/>
    </row>
    <row r="21104" spans="9:9">
      <c r="I21104" s="2"/>
    </row>
    <row r="21105" spans="9:9">
      <c r="I21105" s="2"/>
    </row>
    <row r="21106" spans="9:9">
      <c r="I21106" s="2"/>
    </row>
    <row r="21107" spans="9:9">
      <c r="I21107" s="2"/>
    </row>
    <row r="21108" spans="9:9">
      <c r="I21108" s="2"/>
    </row>
    <row r="21109" spans="9:9">
      <c r="I21109" s="2"/>
    </row>
    <row r="21110" spans="9:9">
      <c r="I21110" s="2"/>
    </row>
    <row r="21111" spans="9:9">
      <c r="I21111" s="2"/>
    </row>
    <row r="21112" spans="9:9">
      <c r="I21112" s="2"/>
    </row>
    <row r="21113" spans="9:9">
      <c r="I21113" s="2"/>
    </row>
    <row r="21114" spans="9:9">
      <c r="I21114" s="2"/>
    </row>
    <row r="21115" spans="9:9">
      <c r="I21115" s="2"/>
    </row>
    <row r="21116" spans="9:9">
      <c r="I21116" s="2"/>
    </row>
    <row r="21117" spans="9:9">
      <c r="I21117" s="2"/>
    </row>
    <row r="21118" spans="9:9">
      <c r="I21118" s="2"/>
    </row>
    <row r="21119" spans="9:9">
      <c r="I21119" s="2"/>
    </row>
    <row r="21120" spans="9:9">
      <c r="I21120" s="2"/>
    </row>
    <row r="21121" spans="9:9">
      <c r="I21121" s="2"/>
    </row>
    <row r="21122" spans="9:9">
      <c r="I21122" s="2"/>
    </row>
    <row r="21123" spans="9:9">
      <c r="I21123" s="2"/>
    </row>
    <row r="21124" spans="9:9">
      <c r="I21124" s="2"/>
    </row>
    <row r="21125" spans="9:9">
      <c r="I21125" s="2"/>
    </row>
    <row r="21126" spans="9:9">
      <c r="I21126" s="2"/>
    </row>
    <row r="21127" spans="9:9">
      <c r="I21127" s="2"/>
    </row>
    <row r="21128" spans="9:9">
      <c r="I21128" s="2"/>
    </row>
    <row r="21129" spans="9:9">
      <c r="I21129" s="2"/>
    </row>
    <row r="21130" spans="9:9">
      <c r="I21130" s="2"/>
    </row>
    <row r="21131" spans="9:9">
      <c r="I21131" s="2"/>
    </row>
    <row r="21132" spans="9:9">
      <c r="I21132" s="2"/>
    </row>
    <row r="21133" spans="9:9">
      <c r="I21133" s="2"/>
    </row>
    <row r="21134" spans="9:9">
      <c r="I21134" s="2"/>
    </row>
    <row r="21135" spans="9:9">
      <c r="I21135" s="2"/>
    </row>
    <row r="21136" spans="9:9">
      <c r="I21136" s="2"/>
    </row>
    <row r="21137" spans="9:9">
      <c r="I21137" s="2"/>
    </row>
    <row r="21138" spans="9:9">
      <c r="I21138" s="2"/>
    </row>
    <row r="21139" spans="9:9">
      <c r="I21139" s="2"/>
    </row>
    <row r="21140" spans="9:9">
      <c r="I21140" s="2"/>
    </row>
    <row r="21141" spans="9:9">
      <c r="I21141" s="2"/>
    </row>
    <row r="21142" spans="9:9">
      <c r="I21142" s="2"/>
    </row>
    <row r="21143" spans="9:9">
      <c r="I21143" s="2"/>
    </row>
    <row r="21144" spans="9:9">
      <c r="I21144" s="2"/>
    </row>
    <row r="21145" spans="9:9">
      <c r="I21145" s="2"/>
    </row>
    <row r="21146" spans="9:9">
      <c r="I21146" s="2"/>
    </row>
    <row r="21147" spans="9:9">
      <c r="I21147" s="2"/>
    </row>
    <row r="21148" spans="9:9">
      <c r="I21148" s="2"/>
    </row>
    <row r="21149" spans="9:9">
      <c r="I21149" s="2"/>
    </row>
    <row r="21150" spans="9:9">
      <c r="I21150" s="2"/>
    </row>
    <row r="21151" spans="9:9">
      <c r="I21151" s="2"/>
    </row>
    <row r="21152" spans="9:9">
      <c r="I21152" s="2"/>
    </row>
    <row r="21153" spans="9:9">
      <c r="I21153" s="2"/>
    </row>
    <row r="21154" spans="9:9">
      <c r="I21154" s="2"/>
    </row>
    <row r="21155" spans="9:9">
      <c r="I21155" s="2"/>
    </row>
    <row r="21156" spans="9:9">
      <c r="I21156" s="2"/>
    </row>
    <row r="21157" spans="9:9">
      <c r="I21157" s="2"/>
    </row>
    <row r="21158" spans="9:9">
      <c r="I21158" s="2"/>
    </row>
    <row r="21159" spans="9:9">
      <c r="I21159" s="2"/>
    </row>
    <row r="21160" spans="9:9">
      <c r="I21160" s="2"/>
    </row>
    <row r="21161" spans="9:9">
      <c r="I21161" s="2"/>
    </row>
    <row r="21162" spans="9:9">
      <c r="I21162" s="2"/>
    </row>
    <row r="21163" spans="9:9">
      <c r="I21163" s="2"/>
    </row>
    <row r="21164" spans="9:9">
      <c r="I21164" s="2"/>
    </row>
    <row r="21165" spans="9:9">
      <c r="I21165" s="2"/>
    </row>
    <row r="21166" spans="9:9">
      <c r="I21166" s="2"/>
    </row>
    <row r="21167" spans="9:9">
      <c r="I21167" s="2"/>
    </row>
    <row r="21168" spans="9:9">
      <c r="I21168" s="2"/>
    </row>
    <row r="21169" spans="9:9">
      <c r="I21169" s="2"/>
    </row>
    <row r="21170" spans="9:9">
      <c r="I21170" s="2"/>
    </row>
    <row r="21171" spans="9:9">
      <c r="I21171" s="2"/>
    </row>
    <row r="21172" spans="9:9">
      <c r="I21172" s="2"/>
    </row>
    <row r="21173" spans="9:9">
      <c r="I21173" s="2"/>
    </row>
    <row r="21174" spans="9:9">
      <c r="I21174" s="2"/>
    </row>
    <row r="21175" spans="9:9">
      <c r="I21175" s="2"/>
    </row>
    <row r="21176" spans="9:9">
      <c r="I21176" s="2"/>
    </row>
    <row r="21177" spans="9:9">
      <c r="I21177" s="2"/>
    </row>
    <row r="21178" spans="9:9">
      <c r="I21178" s="2"/>
    </row>
    <row r="21179" spans="9:9">
      <c r="I21179" s="2"/>
    </row>
    <row r="21180" spans="9:9">
      <c r="I21180" s="2"/>
    </row>
    <row r="21181" spans="9:9">
      <c r="I21181" s="2"/>
    </row>
    <row r="21182" spans="9:9">
      <c r="I21182" s="2"/>
    </row>
    <row r="21183" spans="9:9">
      <c r="I21183" s="2"/>
    </row>
    <row r="21184" spans="9:9">
      <c r="I21184" s="2"/>
    </row>
    <row r="21185" spans="9:9">
      <c r="I21185" s="2"/>
    </row>
    <row r="21186" spans="9:9">
      <c r="I21186" s="2"/>
    </row>
    <row r="21187" spans="9:9">
      <c r="I21187" s="2"/>
    </row>
    <row r="21188" spans="9:9">
      <c r="I21188" s="2"/>
    </row>
    <row r="21189" spans="9:9">
      <c r="I21189" s="2"/>
    </row>
    <row r="21190" spans="9:9">
      <c r="I21190" s="2"/>
    </row>
    <row r="21191" spans="9:9">
      <c r="I21191" s="2"/>
    </row>
    <row r="21192" spans="9:9">
      <c r="I21192" s="2"/>
    </row>
    <row r="21193" spans="9:9">
      <c r="I21193" s="2"/>
    </row>
    <row r="21194" spans="9:9">
      <c r="I21194" s="2"/>
    </row>
    <row r="21195" spans="9:9">
      <c r="I21195" s="2"/>
    </row>
    <row r="21196" spans="9:9">
      <c r="I21196" s="2"/>
    </row>
    <row r="21197" spans="9:9">
      <c r="I21197" s="2"/>
    </row>
    <row r="21198" spans="9:9">
      <c r="I21198" s="2"/>
    </row>
    <row r="21199" spans="9:9">
      <c r="I21199" s="2"/>
    </row>
    <row r="21200" spans="9:9">
      <c r="I21200" s="2"/>
    </row>
    <row r="21201" spans="9:9">
      <c r="I21201" s="2"/>
    </row>
    <row r="21202" spans="9:9">
      <c r="I21202" s="2"/>
    </row>
    <row r="21203" spans="9:9">
      <c r="I21203" s="2"/>
    </row>
    <row r="21204" spans="9:9">
      <c r="I21204" s="2"/>
    </row>
    <row r="21205" spans="9:9">
      <c r="I21205" s="2"/>
    </row>
    <row r="21206" spans="9:9">
      <c r="I21206" s="2"/>
    </row>
    <row r="21207" spans="9:9">
      <c r="I21207" s="2"/>
    </row>
    <row r="21208" spans="9:9">
      <c r="I21208" s="2"/>
    </row>
    <row r="21209" spans="9:9">
      <c r="I21209" s="2"/>
    </row>
    <row r="21210" spans="9:9">
      <c r="I21210" s="2"/>
    </row>
    <row r="21211" spans="9:9">
      <c r="I21211" s="2"/>
    </row>
    <row r="21212" spans="9:9">
      <c r="I21212" s="2"/>
    </row>
    <row r="21213" spans="9:9">
      <c r="I21213" s="2"/>
    </row>
    <row r="21214" spans="9:9">
      <c r="I21214" s="2"/>
    </row>
    <row r="21215" spans="9:9">
      <c r="I21215" s="2"/>
    </row>
    <row r="21216" spans="9:9">
      <c r="I21216" s="2"/>
    </row>
    <row r="21217" spans="9:9">
      <c r="I21217" s="2"/>
    </row>
    <row r="21218" spans="9:9">
      <c r="I21218" s="2"/>
    </row>
    <row r="21219" spans="9:9">
      <c r="I21219" s="2"/>
    </row>
    <row r="21220" spans="9:9">
      <c r="I21220" s="2"/>
    </row>
    <row r="21221" spans="9:9">
      <c r="I21221" s="2"/>
    </row>
    <row r="21222" spans="9:9">
      <c r="I21222" s="2"/>
    </row>
    <row r="21223" spans="9:9">
      <c r="I21223" s="2"/>
    </row>
    <row r="21224" spans="9:9">
      <c r="I21224" s="2"/>
    </row>
    <row r="21225" spans="9:9">
      <c r="I21225" s="2"/>
    </row>
    <row r="21226" spans="9:9">
      <c r="I21226" s="2"/>
    </row>
    <row r="21227" spans="9:9">
      <c r="I21227" s="2"/>
    </row>
    <row r="21228" spans="9:9">
      <c r="I21228" s="2"/>
    </row>
    <row r="21229" spans="9:9">
      <c r="I21229" s="2"/>
    </row>
    <row r="21230" spans="9:9">
      <c r="I21230" s="2"/>
    </row>
    <row r="21231" spans="9:9">
      <c r="I21231" s="2"/>
    </row>
    <row r="21232" spans="9:9">
      <c r="I21232" s="2"/>
    </row>
    <row r="21233" spans="9:9">
      <c r="I21233" s="2"/>
    </row>
    <row r="21234" spans="9:9">
      <c r="I21234" s="2"/>
    </row>
    <row r="21235" spans="9:9">
      <c r="I21235" s="2"/>
    </row>
    <row r="21236" spans="9:9">
      <c r="I21236" s="2"/>
    </row>
    <row r="21237" spans="9:9">
      <c r="I21237" s="2"/>
    </row>
    <row r="21238" spans="9:9">
      <c r="I21238" s="2"/>
    </row>
    <row r="21239" spans="9:9">
      <c r="I21239" s="2"/>
    </row>
    <row r="21240" spans="9:9">
      <c r="I21240" s="2"/>
    </row>
    <row r="21241" spans="9:9">
      <c r="I21241" s="2"/>
    </row>
    <row r="21242" spans="9:9">
      <c r="I21242" s="2"/>
    </row>
    <row r="21243" spans="9:9">
      <c r="I21243" s="2"/>
    </row>
    <row r="21244" spans="9:9">
      <c r="I21244" s="2"/>
    </row>
    <row r="21245" spans="9:9">
      <c r="I21245" s="2"/>
    </row>
    <row r="21246" spans="9:9">
      <c r="I21246" s="2"/>
    </row>
    <row r="21247" spans="9:9">
      <c r="I21247" s="2"/>
    </row>
    <row r="21248" spans="9:9">
      <c r="I21248" s="2"/>
    </row>
    <row r="21249" spans="9:9">
      <c r="I21249" s="2"/>
    </row>
    <row r="21250" spans="9:9">
      <c r="I21250" s="2"/>
    </row>
    <row r="21251" spans="9:9">
      <c r="I21251" s="2"/>
    </row>
    <row r="21252" spans="9:9">
      <c r="I21252" s="2"/>
    </row>
    <row r="21253" spans="9:9">
      <c r="I21253" s="2"/>
    </row>
    <row r="21254" spans="9:9">
      <c r="I21254" s="2"/>
    </row>
    <row r="21255" spans="9:9">
      <c r="I21255" s="2"/>
    </row>
    <row r="21256" spans="9:9">
      <c r="I21256" s="2"/>
    </row>
    <row r="21257" spans="9:9">
      <c r="I21257" s="2"/>
    </row>
    <row r="21258" spans="9:9">
      <c r="I21258" s="2"/>
    </row>
    <row r="21259" spans="9:9">
      <c r="I21259" s="2"/>
    </row>
    <row r="21260" spans="9:9">
      <c r="I21260" s="2"/>
    </row>
    <row r="21261" spans="9:9">
      <c r="I21261" s="2"/>
    </row>
    <row r="21262" spans="9:9">
      <c r="I21262" s="2"/>
    </row>
    <row r="21263" spans="9:9">
      <c r="I21263" s="2"/>
    </row>
    <row r="21264" spans="9:9">
      <c r="I21264" s="2"/>
    </row>
    <row r="21265" spans="9:9">
      <c r="I21265" s="2"/>
    </row>
    <row r="21266" spans="9:9">
      <c r="I21266" s="2"/>
    </row>
    <row r="21267" spans="9:9">
      <c r="I21267" s="2"/>
    </row>
    <row r="21268" spans="9:9">
      <c r="I21268" s="2"/>
    </row>
    <row r="21269" spans="9:9">
      <c r="I21269" s="2"/>
    </row>
    <row r="21270" spans="9:9">
      <c r="I21270" s="2"/>
    </row>
    <row r="21271" spans="9:9">
      <c r="I21271" s="2"/>
    </row>
    <row r="21272" spans="9:9">
      <c r="I21272" s="2"/>
    </row>
    <row r="21273" spans="9:9">
      <c r="I21273" s="2"/>
    </row>
    <row r="21274" spans="9:9">
      <c r="I21274" s="2"/>
    </row>
    <row r="21275" spans="9:9">
      <c r="I21275" s="2"/>
    </row>
    <row r="21276" spans="9:9">
      <c r="I21276" s="2"/>
    </row>
    <row r="21277" spans="9:9">
      <c r="I21277" s="2"/>
    </row>
    <row r="21278" spans="9:9">
      <c r="I21278" s="2"/>
    </row>
    <row r="21279" spans="9:9">
      <c r="I21279" s="2"/>
    </row>
    <row r="21280" spans="9:9">
      <c r="I21280" s="2"/>
    </row>
    <row r="21281" spans="9:9">
      <c r="I21281" s="2"/>
    </row>
    <row r="21282" spans="9:9">
      <c r="I21282" s="2"/>
    </row>
    <row r="21283" spans="9:9">
      <c r="I21283" s="2"/>
    </row>
    <row r="21284" spans="9:9">
      <c r="I21284" s="2"/>
    </row>
    <row r="21285" spans="9:9">
      <c r="I21285" s="2"/>
    </row>
    <row r="21286" spans="9:9">
      <c r="I21286" s="2"/>
    </row>
    <row r="21287" spans="9:9">
      <c r="I21287" s="2"/>
    </row>
    <row r="21288" spans="9:9">
      <c r="I21288" s="2"/>
    </row>
    <row r="21289" spans="9:9">
      <c r="I21289" s="2"/>
    </row>
    <row r="21290" spans="9:9">
      <c r="I21290" s="2"/>
    </row>
    <row r="21291" spans="9:9">
      <c r="I21291" s="2"/>
    </row>
    <row r="21292" spans="9:9">
      <c r="I21292" s="2"/>
    </row>
    <row r="21293" spans="9:9">
      <c r="I21293" s="2"/>
    </row>
    <row r="21294" spans="9:9">
      <c r="I21294" s="2"/>
    </row>
    <row r="21295" spans="9:9">
      <c r="I21295" s="2"/>
    </row>
    <row r="21296" spans="9:9">
      <c r="I21296" s="2"/>
    </row>
    <row r="21297" spans="9:9">
      <c r="I21297" s="2"/>
    </row>
    <row r="21298" spans="9:9">
      <c r="I21298" s="2"/>
    </row>
    <row r="21299" spans="9:9">
      <c r="I21299" s="2"/>
    </row>
    <row r="21300" spans="9:9">
      <c r="I21300" s="2"/>
    </row>
    <row r="21301" spans="9:9">
      <c r="I21301" s="2"/>
    </row>
    <row r="21302" spans="9:9">
      <c r="I21302" s="2"/>
    </row>
    <row r="21303" spans="9:9">
      <c r="I21303" s="2"/>
    </row>
    <row r="21304" spans="9:9">
      <c r="I21304" s="2"/>
    </row>
    <row r="21305" spans="9:9">
      <c r="I21305" s="2"/>
    </row>
    <row r="21306" spans="9:9">
      <c r="I21306" s="2"/>
    </row>
    <row r="21307" spans="9:9">
      <c r="I21307" s="2"/>
    </row>
    <row r="21308" spans="9:9">
      <c r="I21308" s="2"/>
    </row>
    <row r="21309" spans="9:9">
      <c r="I21309" s="2"/>
    </row>
    <row r="21310" spans="9:9">
      <c r="I21310" s="2"/>
    </row>
    <row r="21311" spans="9:9">
      <c r="I21311" s="2"/>
    </row>
    <row r="21312" spans="9:9">
      <c r="I21312" s="2"/>
    </row>
    <row r="21313" spans="9:9">
      <c r="I21313" s="2"/>
    </row>
    <row r="21314" spans="9:9">
      <c r="I21314" s="2"/>
    </row>
    <row r="21315" spans="9:9">
      <c r="I21315" s="2"/>
    </row>
    <row r="21316" spans="9:9">
      <c r="I21316" s="2"/>
    </row>
    <row r="21317" spans="9:9">
      <c r="I21317" s="2"/>
    </row>
    <row r="21318" spans="9:9">
      <c r="I21318" s="2"/>
    </row>
    <row r="21319" spans="9:9">
      <c r="I21319" s="2"/>
    </row>
    <row r="21320" spans="9:9">
      <c r="I21320" s="2"/>
    </row>
    <row r="21321" spans="9:9">
      <c r="I21321" s="2"/>
    </row>
    <row r="21322" spans="9:9">
      <c r="I21322" s="2"/>
    </row>
    <row r="21323" spans="9:9">
      <c r="I21323" s="2"/>
    </row>
    <row r="21324" spans="9:9">
      <c r="I21324" s="2"/>
    </row>
    <row r="21325" spans="9:9">
      <c r="I21325" s="2"/>
    </row>
    <row r="21326" spans="9:9">
      <c r="I21326" s="2"/>
    </row>
    <row r="21327" spans="9:9">
      <c r="I21327" s="2"/>
    </row>
    <row r="21328" spans="9:9">
      <c r="I21328" s="2"/>
    </row>
    <row r="21329" spans="9:9">
      <c r="I21329" s="2"/>
    </row>
    <row r="21330" spans="9:9">
      <c r="I21330" s="2"/>
    </row>
    <row r="21331" spans="9:9">
      <c r="I21331" s="2"/>
    </row>
    <row r="21332" spans="9:9">
      <c r="I21332" s="2"/>
    </row>
    <row r="21333" spans="9:9">
      <c r="I21333" s="2"/>
    </row>
    <row r="21334" spans="9:9">
      <c r="I21334" s="2"/>
    </row>
    <row r="21335" spans="9:9">
      <c r="I21335" s="2"/>
    </row>
    <row r="21336" spans="9:9">
      <c r="I21336" s="2"/>
    </row>
    <row r="21337" spans="9:9">
      <c r="I21337" s="2"/>
    </row>
    <row r="21338" spans="9:9">
      <c r="I21338" s="2"/>
    </row>
    <row r="21339" spans="9:9">
      <c r="I21339" s="2"/>
    </row>
    <row r="21340" spans="9:9">
      <c r="I21340" s="2"/>
    </row>
    <row r="21341" spans="9:9">
      <c r="I21341" s="2"/>
    </row>
    <row r="21342" spans="9:9">
      <c r="I21342" s="2"/>
    </row>
    <row r="21343" spans="9:9">
      <c r="I21343" s="2"/>
    </row>
    <row r="21344" spans="9:9">
      <c r="I21344" s="2"/>
    </row>
    <row r="21345" spans="9:9">
      <c r="I21345" s="2"/>
    </row>
    <row r="21346" spans="9:9">
      <c r="I21346" s="2"/>
    </row>
    <row r="21347" spans="9:9">
      <c r="I21347" s="2"/>
    </row>
    <row r="21348" spans="9:9">
      <c r="I21348" s="2"/>
    </row>
    <row r="21349" spans="9:9">
      <c r="I21349" s="2"/>
    </row>
    <row r="21350" spans="9:9">
      <c r="I21350" s="2"/>
    </row>
    <row r="21351" spans="9:9">
      <c r="I21351" s="2"/>
    </row>
    <row r="21352" spans="9:9">
      <c r="I21352" s="2"/>
    </row>
    <row r="21353" spans="9:9">
      <c r="I21353" s="2"/>
    </row>
    <row r="21354" spans="9:9">
      <c r="I21354" s="2"/>
    </row>
    <row r="21355" spans="9:9">
      <c r="I21355" s="2"/>
    </row>
    <row r="21356" spans="9:9">
      <c r="I21356" s="2"/>
    </row>
    <row r="21357" spans="9:9">
      <c r="I21357" s="2"/>
    </row>
    <row r="21358" spans="9:9">
      <c r="I21358" s="2"/>
    </row>
    <row r="21359" spans="9:9">
      <c r="I21359" s="2"/>
    </row>
    <row r="21360" spans="9:9">
      <c r="I21360" s="2"/>
    </row>
    <row r="21361" spans="9:9">
      <c r="I21361" s="2"/>
    </row>
    <row r="21362" spans="9:9">
      <c r="I21362" s="2"/>
    </row>
    <row r="21363" spans="9:9">
      <c r="I21363" s="2"/>
    </row>
    <row r="21364" spans="9:9">
      <c r="I21364" s="2"/>
    </row>
    <row r="21365" spans="9:9">
      <c r="I21365" s="2"/>
    </row>
    <row r="21366" spans="9:9">
      <c r="I21366" s="2"/>
    </row>
    <row r="21367" spans="9:9">
      <c r="I21367" s="2"/>
    </row>
    <row r="21368" spans="9:9">
      <c r="I21368" s="2"/>
    </row>
    <row r="21369" spans="9:9">
      <c r="I21369" s="2"/>
    </row>
    <row r="21370" spans="9:9">
      <c r="I21370" s="2"/>
    </row>
    <row r="21371" spans="9:9">
      <c r="I21371" s="2"/>
    </row>
    <row r="21372" spans="9:9">
      <c r="I21372" s="2"/>
    </row>
    <row r="21373" spans="9:9">
      <c r="I21373" s="2"/>
    </row>
    <row r="21374" spans="9:9">
      <c r="I21374" s="2"/>
    </row>
    <row r="21375" spans="9:9">
      <c r="I21375" s="2"/>
    </row>
    <row r="21376" spans="9:9">
      <c r="I21376" s="2"/>
    </row>
    <row r="21377" spans="9:9">
      <c r="I21377" s="2"/>
    </row>
    <row r="21378" spans="9:9">
      <c r="I21378" s="2"/>
    </row>
    <row r="21379" spans="9:9">
      <c r="I21379" s="2"/>
    </row>
    <row r="21380" spans="9:9">
      <c r="I21380" s="2"/>
    </row>
    <row r="21381" spans="9:9">
      <c r="I21381" s="2"/>
    </row>
    <row r="21382" spans="9:9">
      <c r="I21382" s="2"/>
    </row>
    <row r="21383" spans="9:9">
      <c r="I21383" s="2"/>
    </row>
    <row r="21384" spans="9:9">
      <c r="I21384" s="2"/>
    </row>
    <row r="21385" spans="9:9">
      <c r="I21385" s="2"/>
    </row>
    <row r="21386" spans="9:9">
      <c r="I21386" s="2"/>
    </row>
    <row r="21387" spans="9:9">
      <c r="I21387" s="2"/>
    </row>
    <row r="21388" spans="9:9">
      <c r="I21388" s="2"/>
    </row>
    <row r="21389" spans="9:9">
      <c r="I21389" s="2"/>
    </row>
    <row r="21390" spans="9:9">
      <c r="I21390" s="2"/>
    </row>
    <row r="21391" spans="9:9">
      <c r="I21391" s="2"/>
    </row>
    <row r="21392" spans="9:9">
      <c r="I21392" s="2"/>
    </row>
    <row r="21393" spans="9:9">
      <c r="I21393" s="2"/>
    </row>
    <row r="21394" spans="9:9">
      <c r="I21394" s="2"/>
    </row>
    <row r="21395" spans="9:9">
      <c r="I21395" s="2"/>
    </row>
    <row r="21396" spans="9:9">
      <c r="I21396" s="2"/>
    </row>
    <row r="21397" spans="9:9">
      <c r="I21397" s="2"/>
    </row>
    <row r="21398" spans="9:9">
      <c r="I21398" s="2"/>
    </row>
    <row r="21399" spans="9:9">
      <c r="I21399" s="2"/>
    </row>
    <row r="21400" spans="9:9">
      <c r="I21400" s="2"/>
    </row>
    <row r="21401" spans="9:9">
      <c r="I21401" s="2"/>
    </row>
    <row r="21402" spans="9:9">
      <c r="I21402" s="2"/>
    </row>
    <row r="21403" spans="9:9">
      <c r="I21403" s="2"/>
    </row>
    <row r="21404" spans="9:9">
      <c r="I21404" s="2"/>
    </row>
    <row r="21405" spans="9:9">
      <c r="I21405" s="2"/>
    </row>
    <row r="21406" spans="9:9">
      <c r="I21406" s="2"/>
    </row>
    <row r="21407" spans="9:9">
      <c r="I21407" s="2"/>
    </row>
    <row r="21408" spans="9:9">
      <c r="I21408" s="2"/>
    </row>
    <row r="21409" spans="9:9">
      <c r="I21409" s="2"/>
    </row>
    <row r="21410" spans="9:9">
      <c r="I21410" s="2"/>
    </row>
    <row r="21411" spans="9:9">
      <c r="I21411" s="2"/>
    </row>
    <row r="21412" spans="9:9">
      <c r="I21412" s="2"/>
    </row>
    <row r="21413" spans="9:9">
      <c r="I21413" s="2"/>
    </row>
    <row r="21414" spans="9:9">
      <c r="I21414" s="2"/>
    </row>
    <row r="21415" spans="9:9">
      <c r="I21415" s="2"/>
    </row>
    <row r="21416" spans="9:9">
      <c r="I21416" s="2"/>
    </row>
    <row r="21417" spans="9:9">
      <c r="I21417" s="2"/>
    </row>
    <row r="21418" spans="9:9">
      <c r="I21418" s="2"/>
    </row>
    <row r="21419" spans="9:9">
      <c r="I21419" s="2"/>
    </row>
    <row r="21420" spans="9:9">
      <c r="I21420" s="2"/>
    </row>
    <row r="21421" spans="9:9">
      <c r="I21421" s="2"/>
    </row>
    <row r="21422" spans="9:9">
      <c r="I21422" s="2"/>
    </row>
    <row r="21423" spans="9:9">
      <c r="I21423" s="2"/>
    </row>
    <row r="21424" spans="9:9">
      <c r="I21424" s="2"/>
    </row>
    <row r="21425" spans="9:9">
      <c r="I21425" s="2"/>
    </row>
    <row r="21426" spans="9:9">
      <c r="I21426" s="2"/>
    </row>
    <row r="21427" spans="9:9">
      <c r="I21427" s="2"/>
    </row>
    <row r="21428" spans="9:9">
      <c r="I21428" s="2"/>
    </row>
    <row r="21429" spans="9:9">
      <c r="I21429" s="2"/>
    </row>
    <row r="21430" spans="9:9">
      <c r="I21430" s="2"/>
    </row>
    <row r="21431" spans="9:9">
      <c r="I21431" s="2"/>
    </row>
    <row r="21432" spans="9:9">
      <c r="I21432" s="2"/>
    </row>
    <row r="21433" spans="9:9">
      <c r="I21433" s="2"/>
    </row>
    <row r="21434" spans="9:9">
      <c r="I21434" s="2"/>
    </row>
    <row r="21435" spans="9:9">
      <c r="I21435" s="2"/>
    </row>
    <row r="21436" spans="9:9">
      <c r="I21436" s="2"/>
    </row>
    <row r="21437" spans="9:9">
      <c r="I21437" s="2"/>
    </row>
    <row r="21438" spans="9:9">
      <c r="I21438" s="2"/>
    </row>
    <row r="21439" spans="9:9">
      <c r="I21439" s="2"/>
    </row>
    <row r="21440" spans="9:9">
      <c r="I21440" s="2"/>
    </row>
    <row r="21441" spans="9:9">
      <c r="I21441" s="2"/>
    </row>
    <row r="21442" spans="9:9">
      <c r="I21442" s="2"/>
    </row>
    <row r="21443" spans="9:9">
      <c r="I21443" s="2"/>
    </row>
    <row r="21444" spans="9:9">
      <c r="I21444" s="2"/>
    </row>
    <row r="21445" spans="9:9">
      <c r="I21445" s="2"/>
    </row>
    <row r="21446" spans="9:9">
      <c r="I21446" s="2"/>
    </row>
    <row r="21447" spans="9:9">
      <c r="I21447" s="2"/>
    </row>
    <row r="21448" spans="9:9">
      <c r="I21448" s="2"/>
    </row>
    <row r="21449" spans="9:9">
      <c r="I21449" s="2"/>
    </row>
    <row r="21450" spans="9:9">
      <c r="I21450" s="2"/>
    </row>
    <row r="21451" spans="9:9">
      <c r="I21451" s="2"/>
    </row>
    <row r="21452" spans="9:9">
      <c r="I21452" s="2"/>
    </row>
    <row r="21453" spans="9:9">
      <c r="I21453" s="2"/>
    </row>
    <row r="21454" spans="9:9">
      <c r="I21454" s="2"/>
    </row>
    <row r="21455" spans="9:9">
      <c r="I21455" s="2"/>
    </row>
    <row r="21456" spans="9:9">
      <c r="I21456" s="2"/>
    </row>
    <row r="21457" spans="9:9">
      <c r="I21457" s="2"/>
    </row>
    <row r="21458" spans="9:9">
      <c r="I21458" s="2"/>
    </row>
    <row r="21459" spans="9:9">
      <c r="I21459" s="2"/>
    </row>
    <row r="21460" spans="9:9">
      <c r="I21460" s="2"/>
    </row>
    <row r="21461" spans="9:9">
      <c r="I21461" s="2"/>
    </row>
    <row r="21462" spans="9:9">
      <c r="I21462" s="2"/>
    </row>
    <row r="21463" spans="9:9">
      <c r="I21463" s="2"/>
    </row>
    <row r="21464" spans="9:9">
      <c r="I21464" s="2"/>
    </row>
    <row r="21465" spans="9:9">
      <c r="I21465" s="2"/>
    </row>
    <row r="21466" spans="9:9">
      <c r="I21466" s="2"/>
    </row>
    <row r="21467" spans="9:9">
      <c r="I21467" s="2"/>
    </row>
    <row r="21468" spans="9:9">
      <c r="I21468" s="2"/>
    </row>
    <row r="21469" spans="9:9">
      <c r="I21469" s="2"/>
    </row>
    <row r="21470" spans="9:9">
      <c r="I21470" s="2"/>
    </row>
    <row r="21471" spans="9:9">
      <c r="I21471" s="2"/>
    </row>
    <row r="21472" spans="9:9">
      <c r="I21472" s="2"/>
    </row>
    <row r="21473" spans="9:9">
      <c r="I21473" s="2"/>
    </row>
    <row r="21474" spans="9:9">
      <c r="I21474" s="2"/>
    </row>
    <row r="21475" spans="9:9">
      <c r="I21475" s="2"/>
    </row>
    <row r="21476" spans="9:9">
      <c r="I21476" s="2"/>
    </row>
    <row r="21477" spans="9:9">
      <c r="I21477" s="2"/>
    </row>
    <row r="21478" spans="9:9">
      <c r="I21478" s="2"/>
    </row>
    <row r="21479" spans="9:9">
      <c r="I21479" s="2"/>
    </row>
    <row r="21480" spans="9:9">
      <c r="I21480" s="2"/>
    </row>
    <row r="21481" spans="9:9">
      <c r="I21481" s="2"/>
    </row>
    <row r="21482" spans="9:9">
      <c r="I21482" s="2"/>
    </row>
    <row r="21483" spans="9:9">
      <c r="I21483" s="2"/>
    </row>
    <row r="21484" spans="9:9">
      <c r="I21484" s="2"/>
    </row>
    <row r="21485" spans="9:9">
      <c r="I21485" s="2"/>
    </row>
    <row r="21486" spans="9:9">
      <c r="I21486" s="2"/>
    </row>
    <row r="21487" spans="9:9">
      <c r="I21487" s="2"/>
    </row>
    <row r="21488" spans="9:9">
      <c r="I21488" s="2"/>
    </row>
    <row r="21489" spans="9:9">
      <c r="I21489" s="2"/>
    </row>
    <row r="21490" spans="9:9">
      <c r="I21490" s="2"/>
    </row>
    <row r="21491" spans="9:9">
      <c r="I21491" s="2"/>
    </row>
    <row r="21492" spans="9:9">
      <c r="I21492" s="2"/>
    </row>
    <row r="21493" spans="9:9">
      <c r="I21493" s="2"/>
    </row>
    <row r="21494" spans="9:9">
      <c r="I21494" s="2"/>
    </row>
    <row r="21495" spans="9:9">
      <c r="I21495" s="2"/>
    </row>
    <row r="21496" spans="9:9">
      <c r="I21496" s="2"/>
    </row>
    <row r="21497" spans="9:9">
      <c r="I21497" s="2"/>
    </row>
    <row r="21498" spans="9:9">
      <c r="I21498" s="2"/>
    </row>
    <row r="21499" spans="9:9">
      <c r="I21499" s="2"/>
    </row>
    <row r="21500" spans="9:9">
      <c r="I21500" s="2"/>
    </row>
    <row r="21501" spans="9:9">
      <c r="I21501" s="2"/>
    </row>
    <row r="21502" spans="9:9">
      <c r="I21502" s="2"/>
    </row>
    <row r="21503" spans="9:9">
      <c r="I21503" s="2"/>
    </row>
    <row r="21504" spans="9:9">
      <c r="I21504" s="2"/>
    </row>
    <row r="21505" spans="9:9">
      <c r="I21505" s="2"/>
    </row>
    <row r="21506" spans="9:9">
      <c r="I21506" s="2"/>
    </row>
    <row r="21507" spans="9:9">
      <c r="I21507" s="2"/>
    </row>
    <row r="21508" spans="9:9">
      <c r="I21508" s="2"/>
    </row>
    <row r="21509" spans="9:9">
      <c r="I21509" s="2"/>
    </row>
    <row r="21510" spans="9:9">
      <c r="I21510" s="2"/>
    </row>
    <row r="21511" spans="9:9">
      <c r="I21511" s="2"/>
    </row>
    <row r="21512" spans="9:9">
      <c r="I21512" s="2"/>
    </row>
    <row r="21513" spans="9:9">
      <c r="I21513" s="2"/>
    </row>
    <row r="21514" spans="9:9">
      <c r="I21514" s="2"/>
    </row>
    <row r="21515" spans="9:9">
      <c r="I21515" s="2"/>
    </row>
    <row r="21516" spans="9:9">
      <c r="I21516" s="2"/>
    </row>
    <row r="21517" spans="9:9">
      <c r="I21517" s="2"/>
    </row>
    <row r="21518" spans="9:9">
      <c r="I21518" s="2"/>
    </row>
    <row r="21519" spans="9:9">
      <c r="I21519" s="2"/>
    </row>
    <row r="21520" spans="9:9">
      <c r="I21520" s="2"/>
    </row>
    <row r="21521" spans="9:9">
      <c r="I21521" s="2"/>
    </row>
    <row r="21522" spans="9:9">
      <c r="I21522" s="2"/>
    </row>
    <row r="21523" spans="9:9">
      <c r="I21523" s="2"/>
    </row>
    <row r="21524" spans="9:9">
      <c r="I21524" s="2"/>
    </row>
    <row r="21525" spans="9:9">
      <c r="I21525" s="2"/>
    </row>
    <row r="21526" spans="9:9">
      <c r="I21526" s="2"/>
    </row>
    <row r="21527" spans="9:9">
      <c r="I21527" s="2"/>
    </row>
    <row r="21528" spans="9:9">
      <c r="I21528" s="2"/>
    </row>
    <row r="21529" spans="9:9">
      <c r="I21529" s="2"/>
    </row>
    <row r="21530" spans="9:9">
      <c r="I21530" s="2"/>
    </row>
    <row r="21531" spans="9:9">
      <c r="I21531" s="2"/>
    </row>
    <row r="21532" spans="9:9">
      <c r="I21532" s="2"/>
    </row>
    <row r="21533" spans="9:9">
      <c r="I21533" s="2"/>
    </row>
    <row r="21534" spans="9:9">
      <c r="I21534" s="2"/>
    </row>
    <row r="21535" spans="9:9">
      <c r="I21535" s="2"/>
    </row>
    <row r="21536" spans="9:9">
      <c r="I21536" s="2"/>
    </row>
    <row r="21537" spans="9:9">
      <c r="I21537" s="2"/>
    </row>
    <row r="21538" spans="9:9">
      <c r="I21538" s="2"/>
    </row>
    <row r="21539" spans="9:9">
      <c r="I21539" s="2"/>
    </row>
    <row r="21540" spans="9:9">
      <c r="I21540" s="2"/>
    </row>
    <row r="21541" spans="9:9">
      <c r="I21541" s="2"/>
    </row>
    <row r="21542" spans="9:9">
      <c r="I21542" s="2"/>
    </row>
    <row r="21543" spans="9:9">
      <c r="I21543" s="2"/>
    </row>
    <row r="21544" spans="9:9">
      <c r="I21544" s="2"/>
    </row>
    <row r="21545" spans="9:9">
      <c r="I21545" s="2"/>
    </row>
    <row r="21546" spans="9:9">
      <c r="I21546" s="2"/>
    </row>
    <row r="21547" spans="9:9">
      <c r="I21547" s="2"/>
    </row>
    <row r="21548" spans="9:9">
      <c r="I21548" s="2"/>
    </row>
    <row r="21549" spans="9:9">
      <c r="I21549" s="2"/>
    </row>
    <row r="21550" spans="9:9">
      <c r="I21550" s="2"/>
    </row>
    <row r="21551" spans="9:9">
      <c r="I21551" s="2"/>
    </row>
    <row r="21552" spans="9:9">
      <c r="I21552" s="2"/>
    </row>
    <row r="21553" spans="9:9">
      <c r="I21553" s="2"/>
    </row>
    <row r="21554" spans="9:9">
      <c r="I21554" s="2"/>
    </row>
    <row r="21555" spans="9:9">
      <c r="I21555" s="2"/>
    </row>
    <row r="21556" spans="9:9">
      <c r="I21556" s="2"/>
    </row>
    <row r="21557" spans="9:9">
      <c r="I21557" s="2"/>
    </row>
    <row r="21558" spans="9:9">
      <c r="I21558" s="2"/>
    </row>
    <row r="21559" spans="9:9">
      <c r="I21559" s="2"/>
    </row>
    <row r="21560" spans="9:9">
      <c r="I21560" s="2"/>
    </row>
    <row r="21561" spans="9:9">
      <c r="I21561" s="2"/>
    </row>
    <row r="21562" spans="9:9">
      <c r="I21562" s="2"/>
    </row>
    <row r="21563" spans="9:9">
      <c r="I21563" s="2"/>
    </row>
    <row r="21564" spans="9:9">
      <c r="I21564" s="2"/>
    </row>
    <row r="21565" spans="9:9">
      <c r="I21565" s="2"/>
    </row>
    <row r="21566" spans="9:9">
      <c r="I21566" s="2"/>
    </row>
    <row r="21567" spans="9:9">
      <c r="I21567" s="2"/>
    </row>
    <row r="21568" spans="9:9">
      <c r="I21568" s="2"/>
    </row>
    <row r="21569" spans="9:9">
      <c r="I21569" s="2"/>
    </row>
    <row r="21570" spans="9:9">
      <c r="I21570" s="2"/>
    </row>
    <row r="21571" spans="9:9">
      <c r="I21571" s="2"/>
    </row>
    <row r="21572" spans="9:9">
      <c r="I21572" s="2"/>
    </row>
    <row r="21573" spans="9:9">
      <c r="I21573" s="2"/>
    </row>
    <row r="21574" spans="9:9">
      <c r="I21574" s="2"/>
    </row>
    <row r="21575" spans="9:9">
      <c r="I21575" s="2"/>
    </row>
    <row r="21576" spans="9:9">
      <c r="I21576" s="2"/>
    </row>
    <row r="21577" spans="9:9">
      <c r="I21577" s="2"/>
    </row>
    <row r="21578" spans="9:9">
      <c r="I21578" s="2"/>
    </row>
    <row r="21579" spans="9:9">
      <c r="I21579" s="2"/>
    </row>
    <row r="21580" spans="9:9">
      <c r="I21580" s="2"/>
    </row>
    <row r="21581" spans="9:9">
      <c r="I21581" s="2"/>
    </row>
    <row r="21582" spans="9:9">
      <c r="I21582" s="2"/>
    </row>
    <row r="21583" spans="9:9">
      <c r="I21583" s="2"/>
    </row>
    <row r="21584" spans="9:9">
      <c r="I21584" s="2"/>
    </row>
    <row r="21585" spans="9:9">
      <c r="I21585" s="2"/>
    </row>
    <row r="21586" spans="9:9">
      <c r="I21586" s="2"/>
    </row>
    <row r="21587" spans="9:9">
      <c r="I21587" s="2"/>
    </row>
    <row r="21588" spans="9:9">
      <c r="I21588" s="2"/>
    </row>
    <row r="21589" spans="9:9">
      <c r="I21589" s="2"/>
    </row>
    <row r="21590" spans="9:9">
      <c r="I21590" s="2"/>
    </row>
    <row r="21591" spans="9:9">
      <c r="I21591" s="2"/>
    </row>
    <row r="21592" spans="9:9">
      <c r="I21592" s="2"/>
    </row>
    <row r="21593" spans="9:9">
      <c r="I21593" s="2"/>
    </row>
    <row r="21594" spans="9:9">
      <c r="I21594" s="2"/>
    </row>
    <row r="21595" spans="9:9">
      <c r="I21595" s="2"/>
    </row>
    <row r="21596" spans="9:9">
      <c r="I21596" s="2"/>
    </row>
    <row r="21597" spans="9:9">
      <c r="I21597" s="2"/>
    </row>
    <row r="21598" spans="9:9">
      <c r="I21598" s="2"/>
    </row>
    <row r="21599" spans="9:9">
      <c r="I21599" s="2"/>
    </row>
    <row r="21600" spans="9:9">
      <c r="I21600" s="2"/>
    </row>
    <row r="21601" spans="9:9">
      <c r="I21601" s="2"/>
    </row>
    <row r="21602" spans="9:9">
      <c r="I21602" s="2"/>
    </row>
    <row r="21603" spans="9:9">
      <c r="I21603" s="2"/>
    </row>
    <row r="21604" spans="9:9">
      <c r="I21604" s="2"/>
    </row>
    <row r="21605" spans="9:9">
      <c r="I21605" s="2"/>
    </row>
    <row r="21606" spans="9:9">
      <c r="I21606" s="2"/>
    </row>
    <row r="21607" spans="9:9">
      <c r="I21607" s="2"/>
    </row>
    <row r="21608" spans="9:9">
      <c r="I21608" s="2"/>
    </row>
    <row r="21609" spans="9:9">
      <c r="I21609" s="2"/>
    </row>
    <row r="21610" spans="9:9">
      <c r="I21610" s="2"/>
    </row>
    <row r="21611" spans="9:9">
      <c r="I21611" s="2"/>
    </row>
    <row r="21612" spans="9:9">
      <c r="I21612" s="2"/>
    </row>
    <row r="21613" spans="9:9">
      <c r="I21613" s="2"/>
    </row>
    <row r="21614" spans="9:9">
      <c r="I21614" s="2"/>
    </row>
    <row r="21615" spans="9:9">
      <c r="I21615" s="2"/>
    </row>
    <row r="21616" spans="9:9">
      <c r="I21616" s="2"/>
    </row>
    <row r="21617" spans="9:9">
      <c r="I21617" s="2"/>
    </row>
    <row r="21618" spans="9:9">
      <c r="I21618" s="2"/>
    </row>
    <row r="21619" spans="9:9">
      <c r="I21619" s="2"/>
    </row>
    <row r="21620" spans="9:9">
      <c r="I21620" s="2"/>
    </row>
    <row r="21621" spans="9:9">
      <c r="I21621" s="2"/>
    </row>
    <row r="21622" spans="9:9">
      <c r="I21622" s="2"/>
    </row>
    <row r="21623" spans="9:9">
      <c r="I21623" s="2"/>
    </row>
    <row r="21624" spans="9:9">
      <c r="I21624" s="2"/>
    </row>
    <row r="21625" spans="9:9">
      <c r="I21625" s="2"/>
    </row>
    <row r="21626" spans="9:9">
      <c r="I21626" s="2"/>
    </row>
    <row r="21627" spans="9:9">
      <c r="I21627" s="2"/>
    </row>
    <row r="21628" spans="9:9">
      <c r="I21628" s="2"/>
    </row>
    <row r="21629" spans="9:9">
      <c r="I21629" s="2"/>
    </row>
    <row r="21630" spans="9:9">
      <c r="I21630" s="2"/>
    </row>
    <row r="21631" spans="9:9">
      <c r="I21631" s="2"/>
    </row>
    <row r="21632" spans="9:9">
      <c r="I21632" s="2"/>
    </row>
    <row r="21633" spans="9:9">
      <c r="I21633" s="2"/>
    </row>
    <row r="21634" spans="9:9">
      <c r="I21634" s="2"/>
    </row>
    <row r="21635" spans="9:9">
      <c r="I21635" s="2"/>
    </row>
    <row r="21636" spans="9:9">
      <c r="I21636" s="2"/>
    </row>
    <row r="21637" spans="9:9">
      <c r="I21637" s="2"/>
    </row>
    <row r="21638" spans="9:9">
      <c r="I21638" s="2"/>
    </row>
    <row r="21639" spans="9:9">
      <c r="I21639" s="2"/>
    </row>
    <row r="21640" spans="9:9">
      <c r="I21640" s="2"/>
    </row>
    <row r="21641" spans="9:9">
      <c r="I21641" s="2"/>
    </row>
    <row r="21642" spans="9:9">
      <c r="I21642" s="2"/>
    </row>
    <row r="21643" spans="9:9">
      <c r="I21643" s="2"/>
    </row>
    <row r="21644" spans="9:9">
      <c r="I21644" s="2"/>
    </row>
    <row r="21645" spans="9:9">
      <c r="I21645" s="2"/>
    </row>
    <row r="21646" spans="9:9">
      <c r="I21646" s="2"/>
    </row>
    <row r="21647" spans="9:9">
      <c r="I21647" s="2"/>
    </row>
    <row r="21648" spans="9:9">
      <c r="I21648" s="2"/>
    </row>
    <row r="21649" spans="9:9">
      <c r="I21649" s="2"/>
    </row>
    <row r="21650" spans="9:9">
      <c r="I21650" s="2"/>
    </row>
    <row r="21651" spans="9:9">
      <c r="I21651" s="2"/>
    </row>
    <row r="21652" spans="9:9">
      <c r="I21652" s="2"/>
    </row>
    <row r="21653" spans="9:9">
      <c r="I21653" s="2"/>
    </row>
    <row r="21654" spans="9:9">
      <c r="I21654" s="2"/>
    </row>
    <row r="21655" spans="9:9">
      <c r="I21655" s="2"/>
    </row>
    <row r="21656" spans="9:9">
      <c r="I21656" s="2"/>
    </row>
    <row r="21657" spans="9:9">
      <c r="I21657" s="2"/>
    </row>
    <row r="21658" spans="9:9">
      <c r="I21658" s="2"/>
    </row>
    <row r="21659" spans="9:9">
      <c r="I21659" s="2"/>
    </row>
    <row r="21660" spans="9:9">
      <c r="I21660" s="2"/>
    </row>
    <row r="21661" spans="9:9">
      <c r="I21661" s="2"/>
    </row>
    <row r="21662" spans="9:9">
      <c r="I21662" s="2"/>
    </row>
    <row r="21663" spans="9:9">
      <c r="I21663" s="2"/>
    </row>
    <row r="21664" spans="9:9">
      <c r="I21664" s="2"/>
    </row>
    <row r="21665" spans="9:9">
      <c r="I21665" s="2"/>
    </row>
    <row r="21666" spans="9:9">
      <c r="I21666" s="2"/>
    </row>
    <row r="21667" spans="9:9">
      <c r="I21667" s="2"/>
    </row>
    <row r="21668" spans="9:9">
      <c r="I21668" s="2"/>
    </row>
    <row r="21669" spans="9:9">
      <c r="I21669" s="2"/>
    </row>
    <row r="21670" spans="9:9">
      <c r="I21670" s="2"/>
    </row>
    <row r="21671" spans="9:9">
      <c r="I21671" s="2"/>
    </row>
    <row r="21672" spans="9:9">
      <c r="I21672" s="2"/>
    </row>
    <row r="21673" spans="9:9">
      <c r="I21673" s="2"/>
    </row>
    <row r="21674" spans="9:9">
      <c r="I21674" s="2"/>
    </row>
    <row r="21675" spans="9:9">
      <c r="I21675" s="2"/>
    </row>
    <row r="21676" spans="9:9">
      <c r="I21676" s="2"/>
    </row>
    <row r="21677" spans="9:9">
      <c r="I21677" s="2"/>
    </row>
    <row r="21678" spans="9:9">
      <c r="I21678" s="2"/>
    </row>
    <row r="21679" spans="9:9">
      <c r="I21679" s="2"/>
    </row>
    <row r="21680" spans="9:9">
      <c r="I21680" s="2"/>
    </row>
    <row r="21681" spans="9:9">
      <c r="I21681" s="2"/>
    </row>
    <row r="21682" spans="9:9">
      <c r="I21682" s="2"/>
    </row>
    <row r="21683" spans="9:9">
      <c r="I21683" s="2"/>
    </row>
    <row r="21684" spans="9:9">
      <c r="I21684" s="2"/>
    </row>
    <row r="21685" spans="9:9">
      <c r="I21685" s="2"/>
    </row>
    <row r="21686" spans="9:9">
      <c r="I21686" s="2"/>
    </row>
    <row r="21687" spans="9:9">
      <c r="I21687" s="2"/>
    </row>
    <row r="21688" spans="9:9">
      <c r="I21688" s="2"/>
    </row>
    <row r="21689" spans="9:9">
      <c r="I21689" s="2"/>
    </row>
    <row r="21690" spans="9:9">
      <c r="I21690" s="2"/>
    </row>
    <row r="21691" spans="9:9">
      <c r="I21691" s="2"/>
    </row>
    <row r="21692" spans="9:9">
      <c r="I21692" s="2"/>
    </row>
    <row r="21693" spans="9:9">
      <c r="I21693" s="2"/>
    </row>
    <row r="21694" spans="9:9">
      <c r="I21694" s="2"/>
    </row>
    <row r="21695" spans="9:9">
      <c r="I21695" s="2"/>
    </row>
    <row r="21696" spans="9:9">
      <c r="I21696" s="2"/>
    </row>
    <row r="21697" spans="9:9">
      <c r="I21697" s="2"/>
    </row>
    <row r="21698" spans="9:9">
      <c r="I21698" s="2"/>
    </row>
    <row r="21699" spans="9:9">
      <c r="I21699" s="2"/>
    </row>
    <row r="21700" spans="9:9">
      <c r="I21700" s="2"/>
    </row>
    <row r="21701" spans="9:9">
      <c r="I21701" s="2"/>
    </row>
    <row r="21702" spans="9:9">
      <c r="I21702" s="2"/>
    </row>
    <row r="21703" spans="9:9">
      <c r="I21703" s="2"/>
    </row>
    <row r="21704" spans="9:9">
      <c r="I21704" s="2"/>
    </row>
    <row r="21705" spans="9:9">
      <c r="I21705" s="2"/>
    </row>
    <row r="21706" spans="9:9">
      <c r="I21706" s="2"/>
    </row>
    <row r="21707" spans="9:9">
      <c r="I21707" s="2"/>
    </row>
    <row r="21708" spans="9:9">
      <c r="I21708" s="2"/>
    </row>
    <row r="21709" spans="9:9">
      <c r="I21709" s="2"/>
    </row>
    <row r="21710" spans="9:9">
      <c r="I21710" s="2"/>
    </row>
    <row r="21711" spans="9:9">
      <c r="I21711" s="2"/>
    </row>
    <row r="21712" spans="9:9">
      <c r="I21712" s="2"/>
    </row>
    <row r="21713" spans="9:9">
      <c r="I21713" s="2"/>
    </row>
    <row r="21714" spans="9:9">
      <c r="I21714" s="2"/>
    </row>
    <row r="21715" spans="9:9">
      <c r="I21715" s="2"/>
    </row>
    <row r="21716" spans="9:9">
      <c r="I21716" s="2"/>
    </row>
    <row r="21717" spans="9:9">
      <c r="I21717" s="2"/>
    </row>
    <row r="21718" spans="9:9">
      <c r="I21718" s="2"/>
    </row>
    <row r="21719" spans="9:9">
      <c r="I21719" s="2"/>
    </row>
    <row r="21720" spans="9:9">
      <c r="I21720" s="2"/>
    </row>
    <row r="21721" spans="9:9">
      <c r="I21721" s="2"/>
    </row>
    <row r="21722" spans="9:9">
      <c r="I21722" s="2"/>
    </row>
    <row r="21723" spans="9:9">
      <c r="I21723" s="2"/>
    </row>
    <row r="21724" spans="9:9">
      <c r="I21724" s="2"/>
    </row>
    <row r="21725" spans="9:9">
      <c r="I21725" s="2"/>
    </row>
    <row r="21726" spans="9:9">
      <c r="I21726" s="2"/>
    </row>
    <row r="21727" spans="9:9">
      <c r="I21727" s="2"/>
    </row>
    <row r="21728" spans="9:9">
      <c r="I21728" s="2"/>
    </row>
    <row r="21729" spans="9:9">
      <c r="I21729" s="2"/>
    </row>
    <row r="21730" spans="9:9">
      <c r="I21730" s="2"/>
    </row>
    <row r="21731" spans="9:9">
      <c r="I21731" s="2"/>
    </row>
    <row r="21732" spans="9:9">
      <c r="I21732" s="2"/>
    </row>
    <row r="21733" spans="9:9">
      <c r="I21733" s="2"/>
    </row>
    <row r="21734" spans="9:9">
      <c r="I21734" s="2"/>
    </row>
    <row r="21735" spans="9:9">
      <c r="I21735" s="2"/>
    </row>
    <row r="21736" spans="9:9">
      <c r="I21736" s="2"/>
    </row>
    <row r="21737" spans="9:9">
      <c r="I21737" s="2"/>
    </row>
    <row r="21738" spans="9:9">
      <c r="I21738" s="2"/>
    </row>
    <row r="21739" spans="9:9">
      <c r="I21739" s="2"/>
    </row>
    <row r="21740" spans="9:9">
      <c r="I21740" s="2"/>
    </row>
    <row r="21741" spans="9:9">
      <c r="I21741" s="2"/>
    </row>
    <row r="21742" spans="9:9">
      <c r="I21742" s="2"/>
    </row>
    <row r="21743" spans="9:9">
      <c r="I21743" s="2"/>
    </row>
    <row r="21744" spans="9:9">
      <c r="I21744" s="2"/>
    </row>
    <row r="21745" spans="9:9">
      <c r="I21745" s="2"/>
    </row>
    <row r="21746" spans="9:9">
      <c r="I21746" s="2"/>
    </row>
    <row r="21747" spans="9:9">
      <c r="I21747" s="2"/>
    </row>
    <row r="21748" spans="9:9">
      <c r="I21748" s="2"/>
    </row>
    <row r="21749" spans="9:9">
      <c r="I21749" s="2"/>
    </row>
    <row r="21750" spans="9:9">
      <c r="I21750" s="2"/>
    </row>
    <row r="21751" spans="9:9">
      <c r="I21751" s="2"/>
    </row>
    <row r="21752" spans="9:9">
      <c r="I21752" s="2"/>
    </row>
    <row r="21753" spans="9:9">
      <c r="I21753" s="2"/>
    </row>
    <row r="21754" spans="9:9">
      <c r="I21754" s="2"/>
    </row>
    <row r="21755" spans="9:9">
      <c r="I21755" s="2"/>
    </row>
    <row r="21756" spans="9:9">
      <c r="I21756" s="2"/>
    </row>
    <row r="21757" spans="9:9">
      <c r="I21757" s="2"/>
    </row>
    <row r="21758" spans="9:9">
      <c r="I21758" s="2"/>
    </row>
    <row r="21759" spans="9:9">
      <c r="I21759" s="2"/>
    </row>
    <row r="21760" spans="9:9">
      <c r="I21760" s="2"/>
    </row>
    <row r="21761" spans="9:9">
      <c r="I21761" s="2"/>
    </row>
    <row r="21762" spans="9:9">
      <c r="I21762" s="2"/>
    </row>
    <row r="21763" spans="9:9">
      <c r="I21763" s="2"/>
    </row>
    <row r="21764" spans="9:9">
      <c r="I21764" s="2"/>
    </row>
    <row r="21765" spans="9:9">
      <c r="I21765" s="2"/>
    </row>
    <row r="21766" spans="9:9">
      <c r="I21766" s="2"/>
    </row>
    <row r="21767" spans="9:9">
      <c r="I21767" s="2"/>
    </row>
    <row r="21768" spans="9:9">
      <c r="I21768" s="2"/>
    </row>
    <row r="21769" spans="9:9">
      <c r="I21769" s="2"/>
    </row>
    <row r="21770" spans="9:9">
      <c r="I21770" s="2"/>
    </row>
    <row r="21771" spans="9:9">
      <c r="I21771" s="2"/>
    </row>
    <row r="21772" spans="9:9">
      <c r="I21772" s="2"/>
    </row>
    <row r="21773" spans="9:9">
      <c r="I21773" s="2"/>
    </row>
    <row r="21774" spans="9:9">
      <c r="I21774" s="2"/>
    </row>
    <row r="21775" spans="9:9">
      <c r="I21775" s="2"/>
    </row>
    <row r="21776" spans="9:9">
      <c r="I21776" s="2"/>
    </row>
    <row r="21777" spans="9:9">
      <c r="I21777" s="2"/>
    </row>
    <row r="21778" spans="9:9">
      <c r="I21778" s="2"/>
    </row>
    <row r="21779" spans="9:9">
      <c r="I21779" s="2"/>
    </row>
    <row r="21780" spans="9:9">
      <c r="I21780" s="2"/>
    </row>
    <row r="21781" spans="9:9">
      <c r="I21781" s="2"/>
    </row>
    <row r="21782" spans="9:9">
      <c r="I21782" s="2"/>
    </row>
    <row r="21783" spans="9:9">
      <c r="I21783" s="2"/>
    </row>
    <row r="21784" spans="9:9">
      <c r="I21784" s="2"/>
    </row>
    <row r="21785" spans="9:9">
      <c r="I21785" s="2"/>
    </row>
    <row r="21786" spans="9:9">
      <c r="I21786" s="2"/>
    </row>
    <row r="21787" spans="9:9">
      <c r="I21787" s="2"/>
    </row>
    <row r="21788" spans="9:9">
      <c r="I21788" s="2"/>
    </row>
    <row r="21789" spans="9:9">
      <c r="I21789" s="2"/>
    </row>
    <row r="21790" spans="9:9">
      <c r="I21790" s="2"/>
    </row>
    <row r="21791" spans="9:9">
      <c r="I21791" s="2"/>
    </row>
    <row r="21792" spans="9:9">
      <c r="I21792" s="2"/>
    </row>
    <row r="21793" spans="9:9">
      <c r="I21793" s="2"/>
    </row>
    <row r="21794" spans="9:9">
      <c r="I21794" s="2"/>
    </row>
    <row r="21795" spans="9:9">
      <c r="I21795" s="2"/>
    </row>
    <row r="21796" spans="9:9">
      <c r="I21796" s="2"/>
    </row>
    <row r="21797" spans="9:9">
      <c r="I21797" s="2"/>
    </row>
    <row r="21798" spans="9:9">
      <c r="I21798" s="2"/>
    </row>
    <row r="21799" spans="9:9">
      <c r="I21799" s="2"/>
    </row>
    <row r="21800" spans="9:9">
      <c r="I21800" s="2"/>
    </row>
    <row r="21801" spans="9:9">
      <c r="I21801" s="2"/>
    </row>
    <row r="21802" spans="9:9">
      <c r="I21802" s="2"/>
    </row>
    <row r="21803" spans="9:9">
      <c r="I21803" s="2"/>
    </row>
    <row r="21804" spans="9:9">
      <c r="I21804" s="2"/>
    </row>
    <row r="21805" spans="9:9">
      <c r="I21805" s="2"/>
    </row>
    <row r="21806" spans="9:9">
      <c r="I21806" s="2"/>
    </row>
    <row r="21807" spans="9:9">
      <c r="I21807" s="2"/>
    </row>
    <row r="21808" spans="9:9">
      <c r="I21808" s="2"/>
    </row>
    <row r="21809" spans="9:9">
      <c r="I21809" s="2"/>
    </row>
    <row r="21810" spans="9:9">
      <c r="I21810" s="2"/>
    </row>
    <row r="21811" spans="9:9">
      <c r="I21811" s="2"/>
    </row>
    <row r="21812" spans="9:9">
      <c r="I21812" s="2"/>
    </row>
    <row r="21813" spans="9:9">
      <c r="I21813" s="2"/>
    </row>
    <row r="21814" spans="9:9">
      <c r="I21814" s="2"/>
    </row>
    <row r="21815" spans="9:9">
      <c r="I21815" s="2"/>
    </row>
    <row r="21816" spans="9:9">
      <c r="I21816" s="2"/>
    </row>
    <row r="21817" spans="9:9">
      <c r="I21817" s="2"/>
    </row>
    <row r="21818" spans="9:9">
      <c r="I21818" s="2"/>
    </row>
    <row r="21819" spans="9:9">
      <c r="I21819" s="2"/>
    </row>
    <row r="21820" spans="9:9">
      <c r="I21820" s="2"/>
    </row>
    <row r="21821" spans="9:9">
      <c r="I21821" s="2"/>
    </row>
    <row r="21822" spans="9:9">
      <c r="I21822" s="2"/>
    </row>
    <row r="21823" spans="9:9">
      <c r="I21823" s="2"/>
    </row>
    <row r="21824" spans="9:9">
      <c r="I21824" s="2"/>
    </row>
    <row r="21825" spans="9:9">
      <c r="I21825" s="2"/>
    </row>
    <row r="21826" spans="9:9">
      <c r="I21826" s="2"/>
    </row>
    <row r="21827" spans="9:9">
      <c r="I21827" s="2"/>
    </row>
    <row r="21828" spans="9:9">
      <c r="I21828" s="2"/>
    </row>
    <row r="21829" spans="9:9">
      <c r="I21829" s="2"/>
    </row>
    <row r="21830" spans="9:9">
      <c r="I21830" s="2"/>
    </row>
    <row r="21831" spans="9:9">
      <c r="I21831" s="2"/>
    </row>
    <row r="21832" spans="9:9">
      <c r="I21832" s="2"/>
    </row>
    <row r="21833" spans="9:9">
      <c r="I21833" s="2"/>
    </row>
    <row r="21834" spans="9:9">
      <c r="I21834" s="2"/>
    </row>
    <row r="21835" spans="9:9">
      <c r="I21835" s="2"/>
    </row>
    <row r="21836" spans="9:9">
      <c r="I21836" s="2"/>
    </row>
    <row r="21837" spans="9:9">
      <c r="I21837" s="2"/>
    </row>
    <row r="21838" spans="9:9">
      <c r="I21838" s="2"/>
    </row>
    <row r="21839" spans="9:9">
      <c r="I21839" s="2"/>
    </row>
    <row r="21840" spans="9:9">
      <c r="I21840" s="2"/>
    </row>
    <row r="21841" spans="9:9">
      <c r="I21841" s="2"/>
    </row>
    <row r="21842" spans="9:9">
      <c r="I21842" s="2"/>
    </row>
    <row r="21843" spans="9:9">
      <c r="I21843" s="2"/>
    </row>
    <row r="21844" spans="9:9">
      <c r="I21844" s="2"/>
    </row>
    <row r="21845" spans="9:9">
      <c r="I21845" s="2"/>
    </row>
    <row r="21846" spans="9:9">
      <c r="I21846" s="2"/>
    </row>
    <row r="21847" spans="9:9">
      <c r="I21847" s="2"/>
    </row>
    <row r="21848" spans="9:9">
      <c r="I21848" s="2"/>
    </row>
    <row r="21849" spans="9:9">
      <c r="I21849" s="2"/>
    </row>
    <row r="21850" spans="9:9">
      <c r="I21850" s="2"/>
    </row>
    <row r="21851" spans="9:9">
      <c r="I21851" s="2"/>
    </row>
    <row r="21852" spans="9:9">
      <c r="I21852" s="2"/>
    </row>
    <row r="21853" spans="9:9">
      <c r="I21853" s="2"/>
    </row>
    <row r="21854" spans="9:9">
      <c r="I21854" s="2"/>
    </row>
    <row r="21855" spans="9:9">
      <c r="I21855" s="2"/>
    </row>
    <row r="21856" spans="9:9">
      <c r="I21856" s="2"/>
    </row>
    <row r="21857" spans="9:9">
      <c r="I21857" s="2"/>
    </row>
    <row r="21858" spans="9:9">
      <c r="I21858" s="2"/>
    </row>
    <row r="21859" spans="9:9">
      <c r="I21859" s="2"/>
    </row>
    <row r="21860" spans="9:9">
      <c r="I21860" s="2"/>
    </row>
    <row r="21861" spans="9:9">
      <c r="I21861" s="2"/>
    </row>
    <row r="21862" spans="9:9">
      <c r="I21862" s="2"/>
    </row>
    <row r="21863" spans="9:9">
      <c r="I21863" s="2"/>
    </row>
    <row r="21864" spans="9:9">
      <c r="I21864" s="2"/>
    </row>
    <row r="21865" spans="9:9">
      <c r="I21865" s="2"/>
    </row>
    <row r="21866" spans="9:9">
      <c r="I21866" s="2"/>
    </row>
    <row r="21867" spans="9:9">
      <c r="I21867" s="2"/>
    </row>
    <row r="21868" spans="9:9">
      <c r="I21868" s="2"/>
    </row>
    <row r="21869" spans="9:9">
      <c r="I21869" s="2"/>
    </row>
    <row r="21870" spans="9:9">
      <c r="I21870" s="2"/>
    </row>
    <row r="21871" spans="9:9">
      <c r="I21871" s="2"/>
    </row>
    <row r="21872" spans="9:9">
      <c r="I21872" s="2"/>
    </row>
    <row r="21873" spans="9:9">
      <c r="I21873" s="2"/>
    </row>
    <row r="21874" spans="9:9">
      <c r="I21874" s="2"/>
    </row>
    <row r="21875" spans="9:9">
      <c r="I21875" s="2"/>
    </row>
    <row r="21876" spans="9:9">
      <c r="I21876" s="2"/>
    </row>
    <row r="21877" spans="9:9">
      <c r="I21877" s="2"/>
    </row>
    <row r="21878" spans="9:9">
      <c r="I21878" s="2"/>
    </row>
    <row r="21879" spans="9:9">
      <c r="I21879" s="2"/>
    </row>
    <row r="21880" spans="9:9">
      <c r="I21880" s="2"/>
    </row>
    <row r="21881" spans="9:9">
      <c r="I21881" s="2"/>
    </row>
    <row r="21882" spans="9:9">
      <c r="I21882" s="2"/>
    </row>
    <row r="21883" spans="9:9">
      <c r="I21883" s="2"/>
    </row>
    <row r="21884" spans="9:9">
      <c r="I21884" s="2"/>
    </row>
    <row r="21885" spans="9:9">
      <c r="I21885" s="2"/>
    </row>
    <row r="21886" spans="9:9">
      <c r="I21886" s="2"/>
    </row>
    <row r="21887" spans="9:9">
      <c r="I21887" s="2"/>
    </row>
    <row r="21888" spans="9:9">
      <c r="I21888" s="2"/>
    </row>
    <row r="21889" spans="9:9">
      <c r="I21889" s="2"/>
    </row>
    <row r="21890" spans="9:9">
      <c r="I21890" s="2"/>
    </row>
    <row r="21891" spans="9:9">
      <c r="I21891" s="2"/>
    </row>
    <row r="21892" spans="9:9">
      <c r="I21892" s="2"/>
    </row>
    <row r="21893" spans="9:9">
      <c r="I21893" s="2"/>
    </row>
    <row r="21894" spans="9:9">
      <c r="I21894" s="2"/>
    </row>
    <row r="21895" spans="9:9">
      <c r="I21895" s="2"/>
    </row>
    <row r="21896" spans="9:9">
      <c r="I21896" s="2"/>
    </row>
    <row r="21897" spans="9:9">
      <c r="I21897" s="2"/>
    </row>
    <row r="21898" spans="9:9">
      <c r="I21898" s="2"/>
    </row>
    <row r="21899" spans="9:9">
      <c r="I21899" s="2"/>
    </row>
    <row r="21900" spans="9:9">
      <c r="I21900" s="2"/>
    </row>
    <row r="21901" spans="9:9">
      <c r="I21901" s="2"/>
    </row>
    <row r="21902" spans="9:9">
      <c r="I21902" s="2"/>
    </row>
    <row r="21903" spans="9:9">
      <c r="I21903" s="2"/>
    </row>
    <row r="21904" spans="9:9">
      <c r="I21904" s="2"/>
    </row>
    <row r="21905" spans="9:9">
      <c r="I21905" s="2"/>
    </row>
    <row r="21906" spans="9:9">
      <c r="I21906" s="2"/>
    </row>
    <row r="21907" spans="9:9">
      <c r="I21907" s="2"/>
    </row>
    <row r="21908" spans="9:9">
      <c r="I21908" s="2"/>
    </row>
    <row r="21909" spans="9:9">
      <c r="I21909" s="2"/>
    </row>
    <row r="21910" spans="9:9">
      <c r="I21910" s="2"/>
    </row>
    <row r="21911" spans="9:9">
      <c r="I21911" s="2"/>
    </row>
    <row r="21912" spans="9:9">
      <c r="I21912" s="2"/>
    </row>
    <row r="21913" spans="9:9">
      <c r="I21913" s="2"/>
    </row>
    <row r="21914" spans="9:9">
      <c r="I21914" s="2"/>
    </row>
    <row r="21915" spans="9:9">
      <c r="I21915" s="2"/>
    </row>
    <row r="21916" spans="9:9">
      <c r="I21916" s="2"/>
    </row>
    <row r="21917" spans="9:9">
      <c r="I21917" s="2"/>
    </row>
    <row r="21918" spans="9:9">
      <c r="I21918" s="2"/>
    </row>
    <row r="21919" spans="9:9">
      <c r="I21919" s="2"/>
    </row>
    <row r="21920" spans="9:9">
      <c r="I21920" s="2"/>
    </row>
    <row r="21921" spans="9:9">
      <c r="I21921" s="2"/>
    </row>
    <row r="21922" spans="9:9">
      <c r="I21922" s="2"/>
    </row>
    <row r="21923" spans="9:9">
      <c r="I21923" s="2"/>
    </row>
    <row r="21924" spans="9:9">
      <c r="I21924" s="2"/>
    </row>
    <row r="21925" spans="9:9">
      <c r="I21925" s="2"/>
    </row>
    <row r="21926" spans="9:9">
      <c r="I21926" s="2"/>
    </row>
    <row r="21927" spans="9:9">
      <c r="I21927" s="2"/>
    </row>
    <row r="21928" spans="9:9">
      <c r="I21928" s="2"/>
    </row>
    <row r="21929" spans="9:9">
      <c r="I21929" s="2"/>
    </row>
    <row r="21930" spans="9:9">
      <c r="I21930" s="2"/>
    </row>
    <row r="21931" spans="9:9">
      <c r="I21931" s="2"/>
    </row>
    <row r="21932" spans="9:9">
      <c r="I21932" s="2"/>
    </row>
    <row r="21933" spans="9:9">
      <c r="I21933" s="2"/>
    </row>
    <row r="21934" spans="9:9">
      <c r="I21934" s="2"/>
    </row>
    <row r="21935" spans="9:9">
      <c r="I21935" s="2"/>
    </row>
    <row r="21936" spans="9:9">
      <c r="I21936" s="2"/>
    </row>
    <row r="21937" spans="9:9">
      <c r="I21937" s="2"/>
    </row>
    <row r="21938" spans="9:9">
      <c r="I21938" s="2"/>
    </row>
    <row r="21939" spans="9:9">
      <c r="I21939" s="2"/>
    </row>
    <row r="21940" spans="9:9">
      <c r="I21940" s="2"/>
    </row>
    <row r="21941" spans="9:9">
      <c r="I21941" s="2"/>
    </row>
    <row r="21942" spans="9:9">
      <c r="I21942" s="2"/>
    </row>
    <row r="21943" spans="9:9">
      <c r="I21943" s="2"/>
    </row>
    <row r="21944" spans="9:9">
      <c r="I21944" s="2"/>
    </row>
    <row r="21945" spans="9:9">
      <c r="I21945" s="2"/>
    </row>
    <row r="21946" spans="9:9">
      <c r="I21946" s="2"/>
    </row>
    <row r="21947" spans="9:9">
      <c r="I21947" s="2"/>
    </row>
    <row r="21948" spans="9:9">
      <c r="I21948" s="2"/>
    </row>
    <row r="21949" spans="9:9">
      <c r="I21949" s="2"/>
    </row>
    <row r="21950" spans="9:9">
      <c r="I21950" s="2"/>
    </row>
    <row r="21951" spans="9:9">
      <c r="I21951" s="2"/>
    </row>
    <row r="21952" spans="9:9">
      <c r="I21952" s="2"/>
    </row>
    <row r="21953" spans="9:9">
      <c r="I21953" s="2"/>
    </row>
    <row r="21954" spans="9:9">
      <c r="I21954" s="2"/>
    </row>
    <row r="21955" spans="9:9">
      <c r="I21955" s="2"/>
    </row>
    <row r="21956" spans="9:9">
      <c r="I21956" s="2"/>
    </row>
    <row r="21957" spans="9:9">
      <c r="I21957" s="2"/>
    </row>
    <row r="21958" spans="9:9">
      <c r="I21958" s="2"/>
    </row>
    <row r="21959" spans="9:9">
      <c r="I21959" s="2"/>
    </row>
    <row r="21960" spans="9:9">
      <c r="I21960" s="2"/>
    </row>
    <row r="21961" spans="9:9">
      <c r="I21961" s="2"/>
    </row>
    <row r="21962" spans="9:9">
      <c r="I21962" s="2"/>
    </row>
    <row r="21963" spans="9:9">
      <c r="I21963" s="2"/>
    </row>
    <row r="21964" spans="9:9">
      <c r="I21964" s="2"/>
    </row>
    <row r="21965" spans="9:9">
      <c r="I21965" s="2"/>
    </row>
    <row r="21966" spans="9:9">
      <c r="I21966" s="2"/>
    </row>
    <row r="21967" spans="9:9">
      <c r="I21967" s="2"/>
    </row>
    <row r="21968" spans="9:9">
      <c r="I21968" s="2"/>
    </row>
    <row r="21969" spans="9:9">
      <c r="I21969" s="2"/>
    </row>
    <row r="21970" spans="9:9">
      <c r="I21970" s="2"/>
    </row>
    <row r="21971" spans="9:9">
      <c r="I21971" s="2"/>
    </row>
    <row r="21972" spans="9:9">
      <c r="I21972" s="2"/>
    </row>
    <row r="21973" spans="9:9">
      <c r="I21973" s="2"/>
    </row>
    <row r="21974" spans="9:9">
      <c r="I21974" s="2"/>
    </row>
    <row r="21975" spans="9:9">
      <c r="I21975" s="2"/>
    </row>
    <row r="21976" spans="9:9">
      <c r="I21976" s="2"/>
    </row>
    <row r="21977" spans="9:9">
      <c r="I21977" s="2"/>
    </row>
    <row r="21978" spans="9:9">
      <c r="I21978" s="2"/>
    </row>
    <row r="21979" spans="9:9">
      <c r="I21979" s="2"/>
    </row>
    <row r="21980" spans="9:9">
      <c r="I21980" s="2"/>
    </row>
    <row r="21981" spans="9:9">
      <c r="I21981" s="2"/>
    </row>
    <row r="21982" spans="9:9">
      <c r="I21982" s="2"/>
    </row>
    <row r="21983" spans="9:9">
      <c r="I21983" s="2"/>
    </row>
    <row r="21984" spans="9:9">
      <c r="I21984" s="2"/>
    </row>
    <row r="21985" spans="9:9">
      <c r="I21985" s="2"/>
    </row>
    <row r="21986" spans="9:9">
      <c r="I21986" s="2"/>
    </row>
    <row r="21987" spans="9:9">
      <c r="I21987" s="2"/>
    </row>
    <row r="21988" spans="9:9">
      <c r="I21988" s="2"/>
    </row>
    <row r="21989" spans="9:9">
      <c r="I21989" s="2"/>
    </row>
    <row r="21990" spans="9:9">
      <c r="I21990" s="2"/>
    </row>
    <row r="21991" spans="9:9">
      <c r="I21991" s="2"/>
    </row>
    <row r="21992" spans="9:9">
      <c r="I21992" s="2"/>
    </row>
    <row r="21993" spans="9:9">
      <c r="I21993" s="2"/>
    </row>
    <row r="21994" spans="9:9">
      <c r="I21994" s="2"/>
    </row>
    <row r="21995" spans="9:9">
      <c r="I21995" s="2"/>
    </row>
    <row r="21996" spans="9:9">
      <c r="I21996" s="2"/>
    </row>
    <row r="21997" spans="9:9">
      <c r="I21997" s="2"/>
    </row>
    <row r="21998" spans="9:9">
      <c r="I21998" s="2"/>
    </row>
    <row r="21999" spans="9:9">
      <c r="I21999" s="2"/>
    </row>
    <row r="22000" spans="9:9">
      <c r="I22000" s="2"/>
    </row>
    <row r="22001" spans="9:9">
      <c r="I22001" s="2"/>
    </row>
    <row r="22002" spans="9:9">
      <c r="I22002" s="2"/>
    </row>
    <row r="22003" spans="9:9">
      <c r="I22003" s="2"/>
    </row>
    <row r="22004" spans="9:9">
      <c r="I22004" s="2"/>
    </row>
    <row r="22005" spans="9:9">
      <c r="I22005" s="2"/>
    </row>
    <row r="22006" spans="9:9">
      <c r="I22006" s="2"/>
    </row>
    <row r="22007" spans="9:9">
      <c r="I22007" s="2"/>
    </row>
    <row r="22008" spans="9:9">
      <c r="I22008" s="2"/>
    </row>
    <row r="22009" spans="9:9">
      <c r="I22009" s="2"/>
    </row>
    <row r="22010" spans="9:9">
      <c r="I22010" s="2"/>
    </row>
    <row r="22011" spans="9:9">
      <c r="I22011" s="2"/>
    </row>
    <row r="22012" spans="9:9">
      <c r="I22012" s="2"/>
    </row>
    <row r="22013" spans="9:9">
      <c r="I22013" s="2"/>
    </row>
    <row r="22014" spans="9:9">
      <c r="I22014" s="2"/>
    </row>
    <row r="22015" spans="9:9">
      <c r="I22015" s="2"/>
    </row>
    <row r="22016" spans="9:9">
      <c r="I22016" s="2"/>
    </row>
    <row r="22017" spans="9:9">
      <c r="I22017" s="2"/>
    </row>
    <row r="22018" spans="9:9">
      <c r="I22018" s="2"/>
    </row>
    <row r="22019" spans="9:9">
      <c r="I22019" s="2"/>
    </row>
    <row r="22020" spans="9:9">
      <c r="I22020" s="2"/>
    </row>
    <row r="22021" spans="9:9">
      <c r="I22021" s="2"/>
    </row>
    <row r="22022" spans="9:9">
      <c r="I22022" s="2"/>
    </row>
    <row r="22023" spans="9:9">
      <c r="I22023" s="2"/>
    </row>
    <row r="22024" spans="9:9">
      <c r="I22024" s="2"/>
    </row>
    <row r="22025" spans="9:9">
      <c r="I22025" s="2"/>
    </row>
    <row r="22026" spans="9:9">
      <c r="I22026" s="2"/>
    </row>
    <row r="22027" spans="9:9">
      <c r="I22027" s="2"/>
    </row>
    <row r="22028" spans="9:9">
      <c r="I22028" s="2"/>
    </row>
    <row r="22029" spans="9:9">
      <c r="I22029" s="2"/>
    </row>
    <row r="22030" spans="9:9">
      <c r="I22030" s="2"/>
    </row>
    <row r="22031" spans="9:9">
      <c r="I22031" s="2"/>
    </row>
    <row r="22032" spans="9:9">
      <c r="I22032" s="2"/>
    </row>
    <row r="22033" spans="9:9">
      <c r="I22033" s="2"/>
    </row>
    <row r="22034" spans="9:9">
      <c r="I22034" s="2"/>
    </row>
    <row r="22035" spans="9:9">
      <c r="I22035" s="2"/>
    </row>
    <row r="22036" spans="9:9">
      <c r="I22036" s="2"/>
    </row>
    <row r="22037" spans="9:9">
      <c r="I22037" s="2"/>
    </row>
    <row r="22038" spans="9:9">
      <c r="I22038" s="2"/>
    </row>
    <row r="22039" spans="9:9">
      <c r="I22039" s="2"/>
    </row>
    <row r="22040" spans="9:9">
      <c r="I22040" s="2"/>
    </row>
    <row r="22041" spans="9:9">
      <c r="I22041" s="2"/>
    </row>
    <row r="22042" spans="9:9">
      <c r="I22042" s="2"/>
    </row>
    <row r="22043" spans="9:9">
      <c r="I22043" s="2"/>
    </row>
    <row r="22044" spans="9:9">
      <c r="I22044" s="2"/>
    </row>
    <row r="22045" spans="9:9">
      <c r="I22045" s="2"/>
    </row>
    <row r="22046" spans="9:9">
      <c r="I22046" s="2"/>
    </row>
    <row r="22047" spans="9:9">
      <c r="I22047" s="2"/>
    </row>
    <row r="22048" spans="9:9">
      <c r="I22048" s="2"/>
    </row>
    <row r="22049" spans="9:9">
      <c r="I22049" s="2"/>
    </row>
    <row r="22050" spans="9:9">
      <c r="I22050" s="2"/>
    </row>
    <row r="22051" spans="9:9">
      <c r="I22051" s="2"/>
    </row>
    <row r="22052" spans="9:9">
      <c r="I22052" s="2"/>
    </row>
    <row r="22053" spans="9:9">
      <c r="I22053" s="2"/>
    </row>
    <row r="22054" spans="9:9">
      <c r="I22054" s="2"/>
    </row>
    <row r="22055" spans="9:9">
      <c r="I22055" s="2"/>
    </row>
    <row r="22056" spans="9:9">
      <c r="I22056" s="2"/>
    </row>
    <row r="22057" spans="9:9">
      <c r="I22057" s="2"/>
    </row>
    <row r="22058" spans="9:9">
      <c r="I22058" s="2"/>
    </row>
    <row r="22059" spans="9:9">
      <c r="I22059" s="2"/>
    </row>
    <row r="22060" spans="9:9">
      <c r="I22060" s="2"/>
    </row>
    <row r="22061" spans="9:9">
      <c r="I22061" s="2"/>
    </row>
    <row r="22062" spans="9:9">
      <c r="I22062" s="2"/>
    </row>
    <row r="22063" spans="9:9">
      <c r="I22063" s="2"/>
    </row>
    <row r="22064" spans="9:9">
      <c r="I22064" s="2"/>
    </row>
    <row r="22065" spans="9:9">
      <c r="I22065" s="2"/>
    </row>
    <row r="22066" spans="9:9">
      <c r="I22066" s="2"/>
    </row>
    <row r="22067" spans="9:9">
      <c r="I22067" s="2"/>
    </row>
    <row r="22068" spans="9:9">
      <c r="I22068" s="2"/>
    </row>
    <row r="22069" spans="9:9">
      <c r="I22069" s="2"/>
    </row>
    <row r="22070" spans="9:9">
      <c r="I22070" s="2"/>
    </row>
    <row r="22071" spans="9:9">
      <c r="I22071" s="2"/>
    </row>
    <row r="22072" spans="9:9">
      <c r="I22072" s="2"/>
    </row>
    <row r="22073" spans="9:9">
      <c r="I22073" s="2"/>
    </row>
    <row r="22074" spans="9:9">
      <c r="I22074" s="2"/>
    </row>
    <row r="22075" spans="9:9">
      <c r="I22075" s="2"/>
    </row>
    <row r="22076" spans="9:9">
      <c r="I22076" s="2"/>
    </row>
    <row r="22077" spans="9:9">
      <c r="I22077" s="2"/>
    </row>
    <row r="22078" spans="9:9">
      <c r="I22078" s="2"/>
    </row>
    <row r="22079" spans="9:9">
      <c r="I22079" s="2"/>
    </row>
    <row r="22080" spans="9:9">
      <c r="I22080" s="2"/>
    </row>
    <row r="22081" spans="9:9">
      <c r="I22081" s="2"/>
    </row>
    <row r="22082" spans="9:9">
      <c r="I22082" s="2"/>
    </row>
    <row r="22083" spans="9:9">
      <c r="I22083" s="2"/>
    </row>
    <row r="22084" spans="9:9">
      <c r="I22084" s="2"/>
    </row>
    <row r="22085" spans="9:9">
      <c r="I22085" s="2"/>
    </row>
    <row r="22086" spans="9:9">
      <c r="I22086" s="2"/>
    </row>
    <row r="22087" spans="9:9">
      <c r="I22087" s="2"/>
    </row>
    <row r="22088" spans="9:9">
      <c r="I22088" s="2"/>
    </row>
    <row r="22089" spans="9:9">
      <c r="I22089" s="2"/>
    </row>
    <row r="22090" spans="9:9">
      <c r="I22090" s="2"/>
    </row>
    <row r="22091" spans="9:9">
      <c r="I22091" s="2"/>
    </row>
    <row r="22092" spans="9:9">
      <c r="I22092" s="2"/>
    </row>
    <row r="22093" spans="9:9">
      <c r="I22093" s="2"/>
    </row>
    <row r="22094" spans="9:9">
      <c r="I22094" s="2"/>
    </row>
    <row r="22095" spans="9:9">
      <c r="I22095" s="2"/>
    </row>
    <row r="22096" spans="9:9">
      <c r="I22096" s="2"/>
    </row>
    <row r="22097" spans="9:9">
      <c r="I22097" s="2"/>
    </row>
    <row r="22098" spans="9:9">
      <c r="I22098" s="2"/>
    </row>
    <row r="22099" spans="9:9">
      <c r="I22099" s="2"/>
    </row>
    <row r="22100" spans="9:9">
      <c r="I22100" s="2"/>
    </row>
    <row r="22101" spans="9:9">
      <c r="I22101" s="2"/>
    </row>
    <row r="22102" spans="9:9">
      <c r="I22102" s="2"/>
    </row>
    <row r="22103" spans="9:9">
      <c r="I22103" s="2"/>
    </row>
    <row r="22104" spans="9:9">
      <c r="I22104" s="2"/>
    </row>
    <row r="22105" spans="9:9">
      <c r="I22105" s="2"/>
    </row>
    <row r="22106" spans="9:9">
      <c r="I22106" s="2"/>
    </row>
    <row r="22107" spans="9:9">
      <c r="I22107" s="2"/>
    </row>
    <row r="22108" spans="9:9">
      <c r="I22108" s="2"/>
    </row>
    <row r="22109" spans="9:9">
      <c r="I22109" s="2"/>
    </row>
    <row r="22110" spans="9:9">
      <c r="I22110" s="2"/>
    </row>
    <row r="22111" spans="9:9">
      <c r="I22111" s="2"/>
    </row>
    <row r="22112" spans="9:9">
      <c r="I22112" s="2"/>
    </row>
    <row r="22113" spans="9:9">
      <c r="I22113" s="2"/>
    </row>
    <row r="22114" spans="9:9">
      <c r="I22114" s="2"/>
    </row>
    <row r="22115" spans="9:9">
      <c r="I22115" s="2"/>
    </row>
    <row r="22116" spans="9:9">
      <c r="I22116" s="2"/>
    </row>
    <row r="22117" spans="9:9">
      <c r="I22117" s="2"/>
    </row>
    <row r="22118" spans="9:9">
      <c r="I22118" s="2"/>
    </row>
    <row r="22119" spans="9:9">
      <c r="I22119" s="2"/>
    </row>
    <row r="22120" spans="9:9">
      <c r="I22120" s="2"/>
    </row>
    <row r="22121" spans="9:9">
      <c r="I22121" s="2"/>
    </row>
    <row r="22122" spans="9:9">
      <c r="I22122" s="2"/>
    </row>
    <row r="22123" spans="9:9">
      <c r="I22123" s="2"/>
    </row>
    <row r="22124" spans="9:9">
      <c r="I22124" s="2"/>
    </row>
    <row r="22125" spans="9:9">
      <c r="I22125" s="2"/>
    </row>
    <row r="22126" spans="9:9">
      <c r="I22126" s="2"/>
    </row>
    <row r="22127" spans="9:9">
      <c r="I22127" s="2"/>
    </row>
    <row r="22128" spans="9:9">
      <c r="I22128" s="2"/>
    </row>
    <row r="22129" spans="9:9">
      <c r="I22129" s="2"/>
    </row>
    <row r="22130" spans="9:9">
      <c r="I22130" s="2"/>
    </row>
    <row r="22131" spans="9:9">
      <c r="I22131" s="2"/>
    </row>
    <row r="22132" spans="9:9">
      <c r="I22132" s="2"/>
    </row>
    <row r="22133" spans="9:9">
      <c r="I22133" s="2"/>
    </row>
    <row r="22134" spans="9:9">
      <c r="I22134" s="2"/>
    </row>
    <row r="22135" spans="9:9">
      <c r="I22135" s="2"/>
    </row>
    <row r="22136" spans="9:9">
      <c r="I22136" s="2"/>
    </row>
    <row r="22137" spans="9:9">
      <c r="I22137" s="2"/>
    </row>
    <row r="22138" spans="9:9">
      <c r="I22138" s="2"/>
    </row>
    <row r="22139" spans="9:9">
      <c r="I22139" s="2"/>
    </row>
    <row r="22140" spans="9:9">
      <c r="I22140" s="2"/>
    </row>
    <row r="22141" spans="9:9">
      <c r="I22141" s="2"/>
    </row>
    <row r="22142" spans="9:9">
      <c r="I22142" s="2"/>
    </row>
    <row r="22143" spans="9:9">
      <c r="I22143" s="2"/>
    </row>
    <row r="22144" spans="9:9">
      <c r="I22144" s="2"/>
    </row>
    <row r="22145" spans="9:9">
      <c r="I22145" s="2"/>
    </row>
    <row r="22146" spans="9:9">
      <c r="I22146" s="2"/>
    </row>
    <row r="22147" spans="9:9">
      <c r="I22147" s="2"/>
    </row>
    <row r="22148" spans="9:9">
      <c r="I22148" s="2"/>
    </row>
    <row r="22149" spans="9:9">
      <c r="I22149" s="2"/>
    </row>
    <row r="22150" spans="9:9">
      <c r="I22150" s="2"/>
    </row>
    <row r="22151" spans="9:9">
      <c r="I22151" s="2"/>
    </row>
    <row r="22152" spans="9:9">
      <c r="I22152" s="2"/>
    </row>
    <row r="22153" spans="9:9">
      <c r="I22153" s="2"/>
    </row>
    <row r="22154" spans="9:9">
      <c r="I22154" s="2"/>
    </row>
    <row r="22155" spans="9:9">
      <c r="I22155" s="2"/>
    </row>
    <row r="22156" spans="9:9">
      <c r="I22156" s="2"/>
    </row>
    <row r="22157" spans="9:9">
      <c r="I22157" s="2"/>
    </row>
    <row r="22158" spans="9:9">
      <c r="I22158" s="2"/>
    </row>
    <row r="22159" spans="9:9">
      <c r="I22159" s="2"/>
    </row>
    <row r="22160" spans="9:9">
      <c r="I22160" s="2"/>
    </row>
    <row r="22161" spans="9:9">
      <c r="I22161" s="2"/>
    </row>
    <row r="22162" spans="9:9">
      <c r="I22162" s="2"/>
    </row>
    <row r="22163" spans="9:9">
      <c r="I22163" s="2"/>
    </row>
    <row r="22164" spans="9:9">
      <c r="I22164" s="2"/>
    </row>
    <row r="22165" spans="9:9">
      <c r="I22165" s="2"/>
    </row>
    <row r="22166" spans="9:9">
      <c r="I22166" s="2"/>
    </row>
    <row r="22167" spans="9:9">
      <c r="I22167" s="2"/>
    </row>
    <row r="22168" spans="9:9">
      <c r="I22168" s="2"/>
    </row>
    <row r="22169" spans="9:9">
      <c r="I22169" s="2"/>
    </row>
    <row r="22170" spans="9:9">
      <c r="I22170" s="2"/>
    </row>
    <row r="22171" spans="9:9">
      <c r="I22171" s="2"/>
    </row>
    <row r="22172" spans="9:9">
      <c r="I22172" s="2"/>
    </row>
    <row r="22173" spans="9:9">
      <c r="I22173" s="2"/>
    </row>
    <row r="22174" spans="9:9">
      <c r="I22174" s="2"/>
    </row>
    <row r="22175" spans="9:9">
      <c r="I22175" s="2"/>
    </row>
    <row r="22176" spans="9:9">
      <c r="I22176" s="2"/>
    </row>
    <row r="22177" spans="9:9">
      <c r="I22177" s="2"/>
    </row>
    <row r="22178" spans="9:9">
      <c r="I22178" s="2"/>
    </row>
    <row r="22179" spans="9:9">
      <c r="I22179" s="2"/>
    </row>
    <row r="22180" spans="9:9">
      <c r="I22180" s="2"/>
    </row>
    <row r="22181" spans="9:9">
      <c r="I22181" s="2"/>
    </row>
    <row r="22182" spans="9:9">
      <c r="I22182" s="2"/>
    </row>
    <row r="22183" spans="9:9">
      <c r="I22183" s="2"/>
    </row>
    <row r="22184" spans="9:9">
      <c r="I22184" s="2"/>
    </row>
    <row r="22185" spans="9:9">
      <c r="I22185" s="2"/>
    </row>
    <row r="22186" spans="9:9">
      <c r="I22186" s="2"/>
    </row>
    <row r="22187" spans="9:9">
      <c r="I22187" s="2"/>
    </row>
    <row r="22188" spans="9:9">
      <c r="I22188" s="2"/>
    </row>
    <row r="22189" spans="9:9">
      <c r="I22189" s="2"/>
    </row>
    <row r="22190" spans="9:9">
      <c r="I22190" s="2"/>
    </row>
    <row r="22191" spans="9:9">
      <c r="I22191" s="2"/>
    </row>
    <row r="22192" spans="9:9">
      <c r="I22192" s="2"/>
    </row>
    <row r="22193" spans="9:9">
      <c r="I22193" s="2"/>
    </row>
    <row r="22194" spans="9:9">
      <c r="I22194" s="2"/>
    </row>
    <row r="22195" spans="9:9">
      <c r="I22195" s="2"/>
    </row>
    <row r="22196" spans="9:9">
      <c r="I22196" s="2"/>
    </row>
    <row r="22197" spans="9:9">
      <c r="I22197" s="2"/>
    </row>
    <row r="22198" spans="9:9">
      <c r="I22198" s="2"/>
    </row>
    <row r="22199" spans="9:9">
      <c r="I22199" s="2"/>
    </row>
    <row r="22200" spans="9:9">
      <c r="I22200" s="2"/>
    </row>
    <row r="22201" spans="9:9">
      <c r="I22201" s="2"/>
    </row>
    <row r="22202" spans="9:9">
      <c r="I22202" s="2"/>
    </row>
    <row r="22203" spans="9:9">
      <c r="I22203" s="2"/>
    </row>
    <row r="22204" spans="9:9">
      <c r="I22204" s="2"/>
    </row>
    <row r="22205" spans="9:9">
      <c r="I22205" s="2"/>
    </row>
    <row r="22206" spans="9:9">
      <c r="I22206" s="2"/>
    </row>
    <row r="22207" spans="9:9">
      <c r="I22207" s="2"/>
    </row>
    <row r="22208" spans="9:9">
      <c r="I22208" s="2"/>
    </row>
    <row r="22209" spans="9:9">
      <c r="I22209" s="2"/>
    </row>
    <row r="22210" spans="9:9">
      <c r="I22210" s="2"/>
    </row>
    <row r="22211" spans="9:9">
      <c r="I22211" s="2"/>
    </row>
    <row r="22212" spans="9:9">
      <c r="I22212" s="2"/>
    </row>
    <row r="22213" spans="9:9">
      <c r="I22213" s="2"/>
    </row>
    <row r="22214" spans="9:9">
      <c r="I22214" s="2"/>
    </row>
    <row r="22215" spans="9:9">
      <c r="I22215" s="2"/>
    </row>
    <row r="22216" spans="9:9">
      <c r="I22216" s="2"/>
    </row>
    <row r="22217" spans="9:9">
      <c r="I22217" s="2"/>
    </row>
    <row r="22218" spans="9:9">
      <c r="I22218" s="2"/>
    </row>
    <row r="22219" spans="9:9">
      <c r="I22219" s="2"/>
    </row>
    <row r="22220" spans="9:9">
      <c r="I22220" s="2"/>
    </row>
    <row r="22221" spans="9:9">
      <c r="I22221" s="2"/>
    </row>
    <row r="22222" spans="9:9">
      <c r="I22222" s="2"/>
    </row>
    <row r="22223" spans="9:9">
      <c r="I22223" s="2"/>
    </row>
    <row r="22224" spans="9:9">
      <c r="I22224" s="2"/>
    </row>
    <row r="22225" spans="9:9">
      <c r="I22225" s="2"/>
    </row>
    <row r="22226" spans="9:9">
      <c r="I22226" s="2"/>
    </row>
    <row r="22227" spans="9:9">
      <c r="I22227" s="2"/>
    </row>
    <row r="22228" spans="9:9">
      <c r="I22228" s="2"/>
    </row>
    <row r="22229" spans="9:9">
      <c r="I22229" s="2"/>
    </row>
    <row r="22230" spans="9:9">
      <c r="I22230" s="2"/>
    </row>
    <row r="22231" spans="9:9">
      <c r="I22231" s="2"/>
    </row>
    <row r="22232" spans="9:9">
      <c r="I22232" s="2"/>
    </row>
    <row r="22233" spans="9:9">
      <c r="I22233" s="2"/>
    </row>
    <row r="22234" spans="9:9">
      <c r="I22234" s="2"/>
    </row>
    <row r="22235" spans="9:9">
      <c r="I22235" s="2"/>
    </row>
    <row r="22236" spans="9:9">
      <c r="I22236" s="2"/>
    </row>
    <row r="22237" spans="9:9">
      <c r="I22237" s="2"/>
    </row>
    <row r="22238" spans="9:9">
      <c r="I22238" s="2"/>
    </row>
    <row r="22239" spans="9:9">
      <c r="I22239" s="2"/>
    </row>
    <row r="22240" spans="9:9">
      <c r="I22240" s="2"/>
    </row>
    <row r="22241" spans="9:9">
      <c r="I22241" s="2"/>
    </row>
    <row r="22242" spans="9:9">
      <c r="I22242" s="2"/>
    </row>
    <row r="22243" spans="9:9">
      <c r="I22243" s="2"/>
    </row>
    <row r="22244" spans="9:9">
      <c r="I22244" s="2"/>
    </row>
    <row r="22245" spans="9:9">
      <c r="I22245" s="2"/>
    </row>
    <row r="22246" spans="9:9">
      <c r="I22246" s="2"/>
    </row>
    <row r="22247" spans="9:9">
      <c r="I22247" s="2"/>
    </row>
    <row r="22248" spans="9:9">
      <c r="I22248" s="2"/>
    </row>
    <row r="22249" spans="9:9">
      <c r="I22249" s="2"/>
    </row>
    <row r="22250" spans="9:9">
      <c r="I22250" s="2"/>
    </row>
    <row r="22251" spans="9:9">
      <c r="I22251" s="2"/>
    </row>
    <row r="22252" spans="9:9">
      <c r="I22252" s="2"/>
    </row>
    <row r="22253" spans="9:9">
      <c r="I22253" s="2"/>
    </row>
    <row r="22254" spans="9:9">
      <c r="I22254" s="2"/>
    </row>
    <row r="22255" spans="9:9">
      <c r="I22255" s="2"/>
    </row>
    <row r="22256" spans="9:9">
      <c r="I22256" s="2"/>
    </row>
    <row r="22257" spans="9:9">
      <c r="I22257" s="2"/>
    </row>
    <row r="22258" spans="9:9">
      <c r="I22258" s="2"/>
    </row>
    <row r="22259" spans="9:9">
      <c r="I22259" s="2"/>
    </row>
    <row r="22260" spans="9:9">
      <c r="I22260" s="2"/>
    </row>
    <row r="22261" spans="9:9">
      <c r="I22261" s="2"/>
    </row>
    <row r="22262" spans="9:9">
      <c r="I22262" s="2"/>
    </row>
    <row r="22263" spans="9:9">
      <c r="I22263" s="2"/>
    </row>
    <row r="22264" spans="9:9">
      <c r="I22264" s="2"/>
    </row>
    <row r="22265" spans="9:9">
      <c r="I22265" s="2"/>
    </row>
    <row r="22266" spans="9:9">
      <c r="I22266" s="2"/>
    </row>
    <row r="22267" spans="9:9">
      <c r="I22267" s="2"/>
    </row>
    <row r="22268" spans="9:9">
      <c r="I22268" s="2"/>
    </row>
    <row r="22269" spans="9:9">
      <c r="I22269" s="2"/>
    </row>
    <row r="22270" spans="9:9">
      <c r="I22270" s="2"/>
    </row>
    <row r="22271" spans="9:9">
      <c r="I22271" s="2"/>
    </row>
    <row r="22272" spans="9:9">
      <c r="I22272" s="2"/>
    </row>
    <row r="22273" spans="9:9">
      <c r="I22273" s="2"/>
    </row>
    <row r="22274" spans="9:9">
      <c r="I22274" s="2"/>
    </row>
    <row r="22275" spans="9:9">
      <c r="I22275" s="2"/>
    </row>
    <row r="22276" spans="9:9">
      <c r="I22276" s="2"/>
    </row>
    <row r="22277" spans="9:9">
      <c r="I22277" s="2"/>
    </row>
    <row r="22278" spans="9:9">
      <c r="I22278" s="2"/>
    </row>
    <row r="22279" spans="9:9">
      <c r="I22279" s="2"/>
    </row>
    <row r="22280" spans="9:9">
      <c r="I22280" s="2"/>
    </row>
    <row r="22281" spans="9:9">
      <c r="I22281" s="2"/>
    </row>
    <row r="22282" spans="9:9">
      <c r="I22282" s="2"/>
    </row>
    <row r="22283" spans="9:9">
      <c r="I22283" s="2"/>
    </row>
    <row r="22284" spans="9:9">
      <c r="I22284" s="2"/>
    </row>
    <row r="22285" spans="9:9">
      <c r="I22285" s="2"/>
    </row>
    <row r="22286" spans="9:9">
      <c r="I22286" s="2"/>
    </row>
    <row r="22287" spans="9:9">
      <c r="I22287" s="2"/>
    </row>
    <row r="22288" spans="9:9">
      <c r="I22288" s="2"/>
    </row>
    <row r="22289" spans="9:9">
      <c r="I22289" s="2"/>
    </row>
    <row r="22290" spans="9:9">
      <c r="I22290" s="2"/>
    </row>
    <row r="22291" spans="9:9">
      <c r="I22291" s="2"/>
    </row>
    <row r="22292" spans="9:9">
      <c r="I22292" s="2"/>
    </row>
    <row r="22293" spans="9:9">
      <c r="I22293" s="2"/>
    </row>
    <row r="22294" spans="9:9">
      <c r="I22294" s="2"/>
    </row>
    <row r="22295" spans="9:9">
      <c r="I22295" s="2"/>
    </row>
    <row r="22296" spans="9:9">
      <c r="I22296" s="2"/>
    </row>
    <row r="22297" spans="9:9">
      <c r="I22297" s="2"/>
    </row>
    <row r="22298" spans="9:9">
      <c r="I22298" s="2"/>
    </row>
    <row r="22299" spans="9:9">
      <c r="I22299" s="2"/>
    </row>
    <row r="22300" spans="9:9">
      <c r="I22300" s="2"/>
    </row>
    <row r="22301" spans="9:9">
      <c r="I22301" s="2"/>
    </row>
    <row r="22302" spans="9:9">
      <c r="I22302" s="2"/>
    </row>
    <row r="22303" spans="9:9">
      <c r="I22303" s="2"/>
    </row>
    <row r="22304" spans="9:9">
      <c r="I22304" s="2"/>
    </row>
    <row r="22305" spans="9:9">
      <c r="I22305" s="2"/>
    </row>
    <row r="22306" spans="9:9">
      <c r="I22306" s="2"/>
    </row>
    <row r="22307" spans="9:9">
      <c r="I22307" s="2"/>
    </row>
    <row r="22308" spans="9:9">
      <c r="I22308" s="2"/>
    </row>
    <row r="22309" spans="9:9">
      <c r="I22309" s="2"/>
    </row>
    <row r="22310" spans="9:9">
      <c r="I22310" s="2"/>
    </row>
    <row r="22311" spans="9:9">
      <c r="I22311" s="2"/>
    </row>
    <row r="22312" spans="9:9">
      <c r="I22312" s="2"/>
    </row>
    <row r="22313" spans="9:9">
      <c r="I22313" s="2"/>
    </row>
    <row r="22314" spans="9:9">
      <c r="I22314" s="2"/>
    </row>
    <row r="22315" spans="9:9">
      <c r="I22315" s="2"/>
    </row>
    <row r="22316" spans="9:9">
      <c r="I22316" s="2"/>
    </row>
    <row r="22317" spans="9:9">
      <c r="I22317" s="2"/>
    </row>
    <row r="22318" spans="9:9">
      <c r="I22318" s="2"/>
    </row>
    <row r="22319" spans="9:9">
      <c r="I22319" s="2"/>
    </row>
    <row r="22320" spans="9:9">
      <c r="I22320" s="2"/>
    </row>
    <row r="22321" spans="9:9">
      <c r="I22321" s="2"/>
    </row>
    <row r="22322" spans="9:9">
      <c r="I22322" s="2"/>
    </row>
    <row r="22323" spans="9:9">
      <c r="I22323" s="2"/>
    </row>
    <row r="22324" spans="9:9">
      <c r="I22324" s="2"/>
    </row>
    <row r="22325" spans="9:9">
      <c r="I22325" s="2"/>
    </row>
    <row r="22326" spans="9:9">
      <c r="I22326" s="2"/>
    </row>
    <row r="22327" spans="9:9">
      <c r="I22327" s="2"/>
    </row>
    <row r="22328" spans="9:9">
      <c r="I22328" s="2"/>
    </row>
    <row r="22329" spans="9:9">
      <c r="I22329" s="2"/>
    </row>
    <row r="22330" spans="9:9">
      <c r="I22330" s="2"/>
    </row>
    <row r="22331" spans="9:9">
      <c r="I22331" s="2"/>
    </row>
    <row r="22332" spans="9:9">
      <c r="I22332" s="2"/>
    </row>
    <row r="22333" spans="9:9">
      <c r="I22333" s="2"/>
    </row>
    <row r="22334" spans="9:9">
      <c r="I22334" s="2"/>
    </row>
    <row r="22335" spans="9:9">
      <c r="I22335" s="2"/>
    </row>
    <row r="22336" spans="9:9">
      <c r="I22336" s="2"/>
    </row>
    <row r="22337" spans="9:9">
      <c r="I22337" s="2"/>
    </row>
    <row r="22338" spans="9:9">
      <c r="I22338" s="2"/>
    </row>
    <row r="22339" spans="9:9">
      <c r="I22339" s="2"/>
    </row>
    <row r="22340" spans="9:9">
      <c r="I22340" s="2"/>
    </row>
    <row r="22341" spans="9:9">
      <c r="I22341" s="2"/>
    </row>
    <row r="22342" spans="9:9">
      <c r="I22342" s="2"/>
    </row>
    <row r="22343" spans="9:9">
      <c r="I22343" s="2"/>
    </row>
    <row r="22344" spans="9:9">
      <c r="I22344" s="2"/>
    </row>
    <row r="22345" spans="9:9">
      <c r="I22345" s="2"/>
    </row>
    <row r="22346" spans="9:9">
      <c r="I22346" s="2"/>
    </row>
    <row r="22347" spans="9:9">
      <c r="I22347" s="2"/>
    </row>
    <row r="22348" spans="9:9">
      <c r="I22348" s="2"/>
    </row>
    <row r="22349" spans="9:9">
      <c r="I22349" s="2"/>
    </row>
    <row r="22350" spans="9:9">
      <c r="I22350" s="2"/>
    </row>
    <row r="22351" spans="9:9">
      <c r="I22351" s="2"/>
    </row>
    <row r="22352" spans="9:9">
      <c r="I22352" s="2"/>
    </row>
    <row r="22353" spans="9:9">
      <c r="I22353" s="2"/>
    </row>
    <row r="22354" spans="9:9">
      <c r="I22354" s="2"/>
    </row>
    <row r="22355" spans="9:9">
      <c r="I22355" s="2"/>
    </row>
    <row r="22356" spans="9:9">
      <c r="I22356" s="2"/>
    </row>
    <row r="22357" spans="9:9">
      <c r="I22357" s="2"/>
    </row>
    <row r="22358" spans="9:9">
      <c r="I22358" s="2"/>
    </row>
    <row r="22359" spans="9:9">
      <c r="I22359" s="2"/>
    </row>
    <row r="22360" spans="9:9">
      <c r="I22360" s="2"/>
    </row>
    <row r="22361" spans="9:9">
      <c r="I22361" s="2"/>
    </row>
    <row r="22362" spans="9:9">
      <c r="I22362" s="2"/>
    </row>
    <row r="22363" spans="9:9">
      <c r="I22363" s="2"/>
    </row>
    <row r="22364" spans="9:9">
      <c r="I22364" s="2"/>
    </row>
    <row r="22365" spans="9:9">
      <c r="I22365" s="2"/>
    </row>
    <row r="22366" spans="9:9">
      <c r="I22366" s="2"/>
    </row>
    <row r="22367" spans="9:9">
      <c r="I22367" s="2"/>
    </row>
    <row r="22368" spans="9:9">
      <c r="I22368" s="2"/>
    </row>
    <row r="22369" spans="9:9">
      <c r="I22369" s="2"/>
    </row>
    <row r="22370" spans="9:9">
      <c r="I22370" s="2"/>
    </row>
    <row r="22371" spans="9:9">
      <c r="I22371" s="2"/>
    </row>
    <row r="22372" spans="9:9">
      <c r="I22372" s="2"/>
    </row>
    <row r="22373" spans="9:9">
      <c r="I22373" s="2"/>
    </row>
    <row r="22374" spans="9:9">
      <c r="I22374" s="2"/>
    </row>
    <row r="22375" spans="9:9">
      <c r="I22375" s="2"/>
    </row>
    <row r="22376" spans="9:9">
      <c r="I22376" s="2"/>
    </row>
    <row r="22377" spans="9:9">
      <c r="I22377" s="2"/>
    </row>
    <row r="22378" spans="9:9">
      <c r="I22378" s="2"/>
    </row>
    <row r="22379" spans="9:9">
      <c r="I22379" s="2"/>
    </row>
    <row r="22380" spans="9:9">
      <c r="I22380" s="2"/>
    </row>
    <row r="22381" spans="9:9">
      <c r="I22381" s="2"/>
    </row>
    <row r="22382" spans="9:9">
      <c r="I22382" s="2"/>
    </row>
    <row r="22383" spans="9:9">
      <c r="I22383" s="2"/>
    </row>
    <row r="22384" spans="9:9">
      <c r="I22384" s="2"/>
    </row>
    <row r="22385" spans="9:9">
      <c r="I22385" s="2"/>
    </row>
    <row r="22386" spans="9:9">
      <c r="I22386" s="2"/>
    </row>
    <row r="22387" spans="9:9">
      <c r="I22387" s="2"/>
    </row>
    <row r="22388" spans="9:9">
      <c r="I22388" s="2"/>
    </row>
    <row r="22389" spans="9:9">
      <c r="I22389" s="2"/>
    </row>
    <row r="22390" spans="9:9">
      <c r="I22390" s="2"/>
    </row>
    <row r="22391" spans="9:9">
      <c r="I22391" s="2"/>
    </row>
    <row r="22392" spans="9:9">
      <c r="I22392" s="2"/>
    </row>
    <row r="22393" spans="9:9">
      <c r="I22393" s="2"/>
    </row>
    <row r="22394" spans="9:9">
      <c r="I22394" s="2"/>
    </row>
    <row r="22395" spans="9:9">
      <c r="I22395" s="2"/>
    </row>
    <row r="22396" spans="9:9">
      <c r="I22396" s="2"/>
    </row>
    <row r="22397" spans="9:9">
      <c r="I22397" s="2"/>
    </row>
    <row r="22398" spans="9:9">
      <c r="I22398" s="2"/>
    </row>
    <row r="22399" spans="9:9">
      <c r="I22399" s="2"/>
    </row>
    <row r="22400" spans="9:9">
      <c r="I22400" s="2"/>
    </row>
    <row r="22401" spans="9:9">
      <c r="I22401" s="2"/>
    </row>
    <row r="22402" spans="9:9">
      <c r="I22402" s="2"/>
    </row>
    <row r="22403" spans="9:9">
      <c r="I22403" s="2"/>
    </row>
    <row r="22404" spans="9:9">
      <c r="I22404" s="2"/>
    </row>
    <row r="22405" spans="9:9">
      <c r="I22405" s="2"/>
    </row>
    <row r="22406" spans="9:9">
      <c r="I22406" s="2"/>
    </row>
    <row r="22407" spans="9:9">
      <c r="I22407" s="2"/>
    </row>
    <row r="22408" spans="9:9">
      <c r="I22408" s="2"/>
    </row>
    <row r="22409" spans="9:9">
      <c r="I22409" s="2"/>
    </row>
    <row r="22410" spans="9:9">
      <c r="I22410" s="2"/>
    </row>
    <row r="22411" spans="9:9">
      <c r="I22411" s="2"/>
    </row>
    <row r="22412" spans="9:9">
      <c r="I22412" s="2"/>
    </row>
    <row r="22413" spans="9:9">
      <c r="I22413" s="2"/>
    </row>
    <row r="22414" spans="9:9">
      <c r="I22414" s="2"/>
    </row>
    <row r="22415" spans="9:9">
      <c r="I22415" s="2"/>
    </row>
    <row r="22416" spans="9:9">
      <c r="I22416" s="2"/>
    </row>
    <row r="22417" spans="9:9">
      <c r="I22417" s="2"/>
    </row>
    <row r="22418" spans="9:9">
      <c r="I22418" s="2"/>
    </row>
    <row r="22419" spans="9:9">
      <c r="I22419" s="2"/>
    </row>
    <row r="22420" spans="9:9">
      <c r="I22420" s="2"/>
    </row>
    <row r="22421" spans="9:9">
      <c r="I22421" s="2"/>
    </row>
    <row r="22422" spans="9:9">
      <c r="I22422" s="2"/>
    </row>
    <row r="22423" spans="9:9">
      <c r="I22423" s="2"/>
    </row>
    <row r="22424" spans="9:9">
      <c r="I22424" s="2"/>
    </row>
    <row r="22425" spans="9:9">
      <c r="I22425" s="2"/>
    </row>
    <row r="22426" spans="9:9">
      <c r="I22426" s="2"/>
    </row>
    <row r="22427" spans="9:9">
      <c r="I22427" s="2"/>
    </row>
    <row r="22428" spans="9:9">
      <c r="I22428" s="2"/>
    </row>
    <row r="22429" spans="9:9">
      <c r="I22429" s="2"/>
    </row>
    <row r="22430" spans="9:9">
      <c r="I22430" s="2"/>
    </row>
    <row r="22431" spans="9:9">
      <c r="I22431" s="2"/>
    </row>
    <row r="22432" spans="9:9">
      <c r="I22432" s="2"/>
    </row>
    <row r="22433" spans="9:9">
      <c r="I22433" s="2"/>
    </row>
    <row r="22434" spans="9:9">
      <c r="I22434" s="2"/>
    </row>
    <row r="22435" spans="9:9">
      <c r="I22435" s="2"/>
    </row>
    <row r="22436" spans="9:9">
      <c r="I22436" s="2"/>
    </row>
    <row r="22437" spans="9:9">
      <c r="I22437" s="2"/>
    </row>
    <row r="22438" spans="9:9">
      <c r="I22438" s="2"/>
    </row>
    <row r="22439" spans="9:9">
      <c r="I22439" s="2"/>
    </row>
    <row r="22440" spans="9:9">
      <c r="I22440" s="2"/>
    </row>
    <row r="22441" spans="9:9">
      <c r="I22441" s="2"/>
    </row>
    <row r="22442" spans="9:9">
      <c r="I22442" s="2"/>
    </row>
    <row r="22443" spans="9:9">
      <c r="I22443" s="2"/>
    </row>
    <row r="22444" spans="9:9">
      <c r="I22444" s="2"/>
    </row>
    <row r="22445" spans="9:9">
      <c r="I22445" s="2"/>
    </row>
    <row r="22446" spans="9:9">
      <c r="I22446" s="2"/>
    </row>
    <row r="22447" spans="9:9">
      <c r="I22447" s="2"/>
    </row>
    <row r="22448" spans="9:9">
      <c r="I22448" s="2"/>
    </row>
    <row r="22449" spans="9:9">
      <c r="I22449" s="2"/>
    </row>
    <row r="22450" spans="9:9">
      <c r="I22450" s="2"/>
    </row>
    <row r="22451" spans="9:9">
      <c r="I22451" s="2"/>
    </row>
    <row r="22452" spans="9:9">
      <c r="I22452" s="2"/>
    </row>
    <row r="22453" spans="9:9">
      <c r="I22453" s="2"/>
    </row>
    <row r="22454" spans="9:9">
      <c r="I22454" s="2"/>
    </row>
    <row r="22455" spans="9:9">
      <c r="I22455" s="2"/>
    </row>
    <row r="22456" spans="9:9">
      <c r="I22456" s="2"/>
    </row>
    <row r="22457" spans="9:9">
      <c r="I22457" s="2"/>
    </row>
    <row r="22458" spans="9:9">
      <c r="I22458" s="2"/>
    </row>
    <row r="22459" spans="9:9">
      <c r="I22459" s="2"/>
    </row>
    <row r="22460" spans="9:9">
      <c r="I22460" s="2"/>
    </row>
    <row r="22461" spans="9:9">
      <c r="I22461" s="2"/>
    </row>
    <row r="22462" spans="9:9">
      <c r="I22462" s="2"/>
    </row>
    <row r="22463" spans="9:9">
      <c r="I22463" s="2"/>
    </row>
    <row r="22464" spans="9:9">
      <c r="I22464" s="2"/>
    </row>
    <row r="22465" spans="9:9">
      <c r="I22465" s="2"/>
    </row>
    <row r="22466" spans="9:9">
      <c r="I22466" s="2"/>
    </row>
    <row r="22467" spans="9:9">
      <c r="I22467" s="2"/>
    </row>
    <row r="22468" spans="9:9">
      <c r="I22468" s="2"/>
    </row>
    <row r="22469" spans="9:9">
      <c r="I22469" s="2"/>
    </row>
    <row r="22470" spans="9:9">
      <c r="I22470" s="2"/>
    </row>
    <row r="22471" spans="9:9">
      <c r="I22471" s="2"/>
    </row>
    <row r="22472" spans="9:9">
      <c r="I22472" s="2"/>
    </row>
    <row r="22473" spans="9:9">
      <c r="I22473" s="2"/>
    </row>
    <row r="22474" spans="9:9">
      <c r="I22474" s="2"/>
    </row>
    <row r="22475" spans="9:9">
      <c r="I22475" s="2"/>
    </row>
    <row r="22476" spans="9:9">
      <c r="I22476" s="2"/>
    </row>
    <row r="22477" spans="9:9">
      <c r="I22477" s="2"/>
    </row>
    <row r="22478" spans="9:9">
      <c r="I22478" s="2"/>
    </row>
    <row r="22479" spans="9:9">
      <c r="I22479" s="2"/>
    </row>
    <row r="22480" spans="9:9">
      <c r="I22480" s="2"/>
    </row>
    <row r="22481" spans="9:9">
      <c r="I22481" s="2"/>
    </row>
    <row r="22482" spans="9:9">
      <c r="I22482" s="2"/>
    </row>
    <row r="22483" spans="9:9">
      <c r="I22483" s="2"/>
    </row>
    <row r="22484" spans="9:9">
      <c r="I22484" s="2"/>
    </row>
    <row r="22485" spans="9:9">
      <c r="I22485" s="2"/>
    </row>
    <row r="22486" spans="9:9">
      <c r="I22486" s="2"/>
    </row>
    <row r="22487" spans="9:9">
      <c r="I22487" s="2"/>
    </row>
    <row r="22488" spans="9:9">
      <c r="I22488" s="2"/>
    </row>
    <row r="22489" spans="9:9">
      <c r="I22489" s="2"/>
    </row>
    <row r="22490" spans="9:9">
      <c r="I22490" s="2"/>
    </row>
    <row r="22491" spans="9:9">
      <c r="I22491" s="2"/>
    </row>
    <row r="22492" spans="9:9">
      <c r="I22492" s="2"/>
    </row>
    <row r="22493" spans="9:9">
      <c r="I22493" s="2"/>
    </row>
    <row r="22494" spans="9:9">
      <c r="I22494" s="2"/>
    </row>
    <row r="22495" spans="9:9">
      <c r="I22495" s="2"/>
    </row>
    <row r="22496" spans="9:9">
      <c r="I22496" s="2"/>
    </row>
    <row r="22497" spans="9:9">
      <c r="I22497" s="2"/>
    </row>
    <row r="22498" spans="9:9">
      <c r="I22498" s="2"/>
    </row>
    <row r="22499" spans="9:9">
      <c r="I22499" s="2"/>
    </row>
    <row r="22500" spans="9:9">
      <c r="I22500" s="2"/>
    </row>
    <row r="22501" spans="9:9">
      <c r="I22501" s="2"/>
    </row>
    <row r="22502" spans="9:9">
      <c r="I22502" s="2"/>
    </row>
    <row r="22503" spans="9:9">
      <c r="I22503" s="2"/>
    </row>
    <row r="22504" spans="9:9">
      <c r="I22504" s="2"/>
    </row>
    <row r="22505" spans="9:9">
      <c r="I22505" s="2"/>
    </row>
    <row r="22506" spans="9:9">
      <c r="I22506" s="2"/>
    </row>
    <row r="22507" spans="9:9">
      <c r="I22507" s="2"/>
    </row>
    <row r="22508" spans="9:9">
      <c r="I22508" s="2"/>
    </row>
    <row r="22509" spans="9:9">
      <c r="I22509" s="2"/>
    </row>
    <row r="22510" spans="9:9">
      <c r="I22510" s="2"/>
    </row>
    <row r="22511" spans="9:9">
      <c r="I22511" s="2"/>
    </row>
    <row r="22512" spans="9:9">
      <c r="I22512" s="2"/>
    </row>
    <row r="22513" spans="9:9">
      <c r="I22513" s="2"/>
    </row>
    <row r="22514" spans="9:9">
      <c r="I22514" s="2"/>
    </row>
    <row r="22515" spans="9:9">
      <c r="I22515" s="2"/>
    </row>
    <row r="22516" spans="9:9">
      <c r="I22516" s="2"/>
    </row>
    <row r="22517" spans="9:9">
      <c r="I22517" s="2"/>
    </row>
    <row r="22518" spans="9:9">
      <c r="I22518" s="2"/>
    </row>
    <row r="22519" spans="9:9">
      <c r="I22519" s="2"/>
    </row>
    <row r="22520" spans="9:9">
      <c r="I22520" s="2"/>
    </row>
    <row r="22521" spans="9:9">
      <c r="I22521" s="2"/>
    </row>
    <row r="22522" spans="9:9">
      <c r="I22522" s="2"/>
    </row>
    <row r="22523" spans="9:9">
      <c r="I22523" s="2"/>
    </row>
    <row r="22524" spans="9:9">
      <c r="I22524" s="2"/>
    </row>
    <row r="22525" spans="9:9">
      <c r="I22525" s="2"/>
    </row>
    <row r="22526" spans="9:9">
      <c r="I22526" s="2"/>
    </row>
    <row r="22527" spans="9:9">
      <c r="I22527" s="2"/>
    </row>
    <row r="22528" spans="9:9">
      <c r="I22528" s="2"/>
    </row>
    <row r="22529" spans="9:9">
      <c r="I22529" s="2"/>
    </row>
    <row r="22530" spans="9:9">
      <c r="I22530" s="2"/>
    </row>
    <row r="22531" spans="9:9">
      <c r="I22531" s="2"/>
    </row>
    <row r="22532" spans="9:9">
      <c r="I22532" s="2"/>
    </row>
    <row r="22533" spans="9:9">
      <c r="I22533" s="2"/>
    </row>
    <row r="22534" spans="9:9">
      <c r="I22534" s="2"/>
    </row>
    <row r="22535" spans="9:9">
      <c r="I22535" s="2"/>
    </row>
    <row r="22536" spans="9:9">
      <c r="I22536" s="2"/>
    </row>
    <row r="22537" spans="9:9">
      <c r="I22537" s="2"/>
    </row>
    <row r="22538" spans="9:9">
      <c r="I22538" s="2"/>
    </row>
    <row r="22539" spans="9:9">
      <c r="I22539" s="2"/>
    </row>
    <row r="22540" spans="9:9">
      <c r="I22540" s="2"/>
    </row>
    <row r="22541" spans="9:9">
      <c r="I22541" s="2"/>
    </row>
    <row r="22542" spans="9:9">
      <c r="I22542" s="2"/>
    </row>
    <row r="22543" spans="9:9">
      <c r="I22543" s="2"/>
    </row>
    <row r="22544" spans="9:9">
      <c r="I22544" s="2"/>
    </row>
    <row r="22545" spans="9:9">
      <c r="I22545" s="2"/>
    </row>
    <row r="22546" spans="9:9">
      <c r="I22546" s="2"/>
    </row>
    <row r="22547" spans="9:9">
      <c r="I22547" s="2"/>
    </row>
    <row r="22548" spans="9:9">
      <c r="I22548" s="2"/>
    </row>
    <row r="22549" spans="9:9">
      <c r="I22549" s="2"/>
    </row>
    <row r="22550" spans="9:9">
      <c r="I22550" s="2"/>
    </row>
    <row r="22551" spans="9:9">
      <c r="I22551" s="2"/>
    </row>
    <row r="22552" spans="9:9">
      <c r="I22552" s="2"/>
    </row>
    <row r="22553" spans="9:9">
      <c r="I22553" s="2"/>
    </row>
    <row r="22554" spans="9:9">
      <c r="I22554" s="2"/>
    </row>
    <row r="22555" spans="9:9">
      <c r="I22555" s="2"/>
    </row>
    <row r="22556" spans="9:9">
      <c r="I22556" s="2"/>
    </row>
    <row r="22557" spans="9:9">
      <c r="I22557" s="2"/>
    </row>
    <row r="22558" spans="9:9">
      <c r="I22558" s="2"/>
    </row>
    <row r="22559" spans="9:9">
      <c r="I22559" s="2"/>
    </row>
    <row r="22560" spans="9:9">
      <c r="I22560" s="2"/>
    </row>
    <row r="22561" spans="9:9">
      <c r="I22561" s="2"/>
    </row>
    <row r="22562" spans="9:9">
      <c r="I22562" s="2"/>
    </row>
    <row r="22563" spans="9:9">
      <c r="I22563" s="2"/>
    </row>
    <row r="22564" spans="9:9">
      <c r="I22564" s="2"/>
    </row>
    <row r="22565" spans="9:9">
      <c r="I22565" s="2"/>
    </row>
    <row r="22566" spans="9:9">
      <c r="I22566" s="2"/>
    </row>
    <row r="22567" spans="9:9">
      <c r="I22567" s="2"/>
    </row>
    <row r="22568" spans="9:9">
      <c r="I22568" s="2"/>
    </row>
    <row r="22569" spans="9:9">
      <c r="I22569" s="2"/>
    </row>
    <row r="22570" spans="9:9">
      <c r="I22570" s="2"/>
    </row>
    <row r="22571" spans="9:9">
      <c r="I22571" s="2"/>
    </row>
    <row r="22572" spans="9:9">
      <c r="I22572" s="2"/>
    </row>
    <row r="22573" spans="9:9">
      <c r="I22573" s="2"/>
    </row>
    <row r="22574" spans="9:9">
      <c r="I22574" s="2"/>
    </row>
    <row r="22575" spans="9:9">
      <c r="I22575" s="2"/>
    </row>
    <row r="22576" spans="9:9">
      <c r="I22576" s="2"/>
    </row>
    <row r="22577" spans="9:9">
      <c r="I22577" s="2"/>
    </row>
    <row r="22578" spans="9:9">
      <c r="I22578" s="2"/>
    </row>
    <row r="22579" spans="9:9">
      <c r="I22579" s="2"/>
    </row>
    <row r="22580" spans="9:9">
      <c r="I22580" s="2"/>
    </row>
    <row r="22581" spans="9:9">
      <c r="I22581" s="2"/>
    </row>
    <row r="22582" spans="9:9">
      <c r="I22582" s="2"/>
    </row>
    <row r="22583" spans="9:9">
      <c r="I22583" s="2"/>
    </row>
    <row r="22584" spans="9:9">
      <c r="I22584" s="2"/>
    </row>
    <row r="22585" spans="9:9">
      <c r="I22585" s="2"/>
    </row>
    <row r="22586" spans="9:9">
      <c r="I22586" s="2"/>
    </row>
    <row r="22587" spans="9:9">
      <c r="I22587" s="2"/>
    </row>
    <row r="22588" spans="9:9">
      <c r="I22588" s="2"/>
    </row>
    <row r="22589" spans="9:9">
      <c r="I22589" s="2"/>
    </row>
    <row r="22590" spans="9:9">
      <c r="I22590" s="2"/>
    </row>
    <row r="22591" spans="9:9">
      <c r="I22591" s="2"/>
    </row>
    <row r="22592" spans="9:9">
      <c r="I22592" s="2"/>
    </row>
    <row r="22593" spans="9:9">
      <c r="I22593" s="2"/>
    </row>
    <row r="22594" spans="9:9">
      <c r="I22594" s="2"/>
    </row>
    <row r="22595" spans="9:9">
      <c r="I22595" s="2"/>
    </row>
    <row r="22596" spans="9:9">
      <c r="I22596" s="2"/>
    </row>
    <row r="22597" spans="9:9">
      <c r="I22597" s="2"/>
    </row>
    <row r="22598" spans="9:9">
      <c r="I22598" s="2"/>
    </row>
    <row r="22599" spans="9:9">
      <c r="I22599" s="2"/>
    </row>
    <row r="22600" spans="9:9">
      <c r="I22600" s="2"/>
    </row>
    <row r="22601" spans="9:9">
      <c r="I22601" s="2"/>
    </row>
    <row r="22602" spans="9:9">
      <c r="I22602" s="2"/>
    </row>
    <row r="22603" spans="9:9">
      <c r="I22603" s="2"/>
    </row>
    <row r="22604" spans="9:9">
      <c r="I22604" s="2"/>
    </row>
    <row r="22605" spans="9:9">
      <c r="I22605" s="2"/>
    </row>
    <row r="22606" spans="9:9">
      <c r="I22606" s="2"/>
    </row>
    <row r="22607" spans="9:9">
      <c r="I22607" s="2"/>
    </row>
    <row r="22608" spans="9:9">
      <c r="I22608" s="2"/>
    </row>
    <row r="22609" spans="9:9">
      <c r="I22609" s="2"/>
    </row>
    <row r="22610" spans="9:9">
      <c r="I22610" s="2"/>
    </row>
    <row r="22611" spans="9:9">
      <c r="I22611" s="2"/>
    </row>
    <row r="22612" spans="9:9">
      <c r="I22612" s="2"/>
    </row>
    <row r="22613" spans="9:9">
      <c r="I22613" s="2"/>
    </row>
    <row r="22614" spans="9:9">
      <c r="I22614" s="2"/>
    </row>
    <row r="22615" spans="9:9">
      <c r="I22615" s="2"/>
    </row>
    <row r="22616" spans="9:9">
      <c r="I22616" s="2"/>
    </row>
    <row r="22617" spans="9:9">
      <c r="I22617" s="2"/>
    </row>
    <row r="22618" spans="9:9">
      <c r="I22618" s="2"/>
    </row>
    <row r="22619" spans="9:9">
      <c r="I22619" s="2"/>
    </row>
    <row r="22620" spans="9:9">
      <c r="I22620" s="2"/>
    </row>
    <row r="22621" spans="9:9">
      <c r="I22621" s="2"/>
    </row>
    <row r="22622" spans="9:9">
      <c r="I22622" s="2"/>
    </row>
    <row r="22623" spans="9:9">
      <c r="I22623" s="2"/>
    </row>
    <row r="22624" spans="9:9">
      <c r="I22624" s="2"/>
    </row>
    <row r="22625" spans="9:9">
      <c r="I22625" s="2"/>
    </row>
    <row r="22626" spans="9:9">
      <c r="I22626" s="2"/>
    </row>
    <row r="22627" spans="9:9">
      <c r="I22627" s="2"/>
    </row>
    <row r="22628" spans="9:9">
      <c r="I22628" s="2"/>
    </row>
    <row r="22629" spans="9:9">
      <c r="I22629" s="2"/>
    </row>
    <row r="22630" spans="9:9">
      <c r="I22630" s="2"/>
    </row>
    <row r="22631" spans="9:9">
      <c r="I22631" s="2"/>
    </row>
    <row r="22632" spans="9:9">
      <c r="I22632" s="2"/>
    </row>
    <row r="22633" spans="9:9">
      <c r="I22633" s="2"/>
    </row>
    <row r="22634" spans="9:9">
      <c r="I22634" s="2"/>
    </row>
    <row r="22635" spans="9:9">
      <c r="I22635" s="2"/>
    </row>
    <row r="22636" spans="9:9">
      <c r="I22636" s="2"/>
    </row>
    <row r="22637" spans="9:9">
      <c r="I22637" s="2"/>
    </row>
    <row r="22638" spans="9:9">
      <c r="I22638" s="2"/>
    </row>
    <row r="22639" spans="9:9">
      <c r="I22639" s="2"/>
    </row>
    <row r="22640" spans="9:9">
      <c r="I22640" s="2"/>
    </row>
    <row r="22641" spans="9:9">
      <c r="I22641" s="2"/>
    </row>
    <row r="22642" spans="9:9">
      <c r="I22642" s="2"/>
    </row>
    <row r="22643" spans="9:9">
      <c r="I22643" s="2"/>
    </row>
    <row r="22644" spans="9:9">
      <c r="I22644" s="2"/>
    </row>
    <row r="22645" spans="9:9">
      <c r="I22645" s="2"/>
    </row>
    <row r="22646" spans="9:9">
      <c r="I22646" s="2"/>
    </row>
    <row r="22647" spans="9:9">
      <c r="I22647" s="2"/>
    </row>
    <row r="22648" spans="9:9">
      <c r="I22648" s="2"/>
    </row>
    <row r="22649" spans="9:9">
      <c r="I22649" s="2"/>
    </row>
    <row r="22650" spans="9:9">
      <c r="I22650" s="2"/>
    </row>
    <row r="22651" spans="9:9">
      <c r="I22651" s="2"/>
    </row>
    <row r="22652" spans="9:9">
      <c r="I22652" s="2"/>
    </row>
    <row r="22653" spans="9:9">
      <c r="I22653" s="2"/>
    </row>
    <row r="22654" spans="9:9">
      <c r="I22654" s="2"/>
    </row>
    <row r="22655" spans="9:9">
      <c r="I22655" s="2"/>
    </row>
    <row r="22656" spans="9:9">
      <c r="I22656" s="2"/>
    </row>
    <row r="22657" spans="9:9">
      <c r="I22657" s="2"/>
    </row>
    <row r="22658" spans="9:9">
      <c r="I22658" s="2"/>
    </row>
    <row r="22659" spans="9:9">
      <c r="I22659" s="2"/>
    </row>
    <row r="22660" spans="9:9">
      <c r="I22660" s="2"/>
    </row>
    <row r="22661" spans="9:9">
      <c r="I22661" s="2"/>
    </row>
    <row r="22662" spans="9:9">
      <c r="I22662" s="2"/>
    </row>
    <row r="22663" spans="9:9">
      <c r="I22663" s="2"/>
    </row>
    <row r="22664" spans="9:9">
      <c r="I22664" s="2"/>
    </row>
    <row r="22665" spans="9:9">
      <c r="I22665" s="2"/>
    </row>
    <row r="22666" spans="9:9">
      <c r="I22666" s="2"/>
    </row>
    <row r="22667" spans="9:9">
      <c r="I22667" s="2"/>
    </row>
    <row r="22668" spans="9:9">
      <c r="I22668" s="2"/>
    </row>
    <row r="22669" spans="9:9">
      <c r="I22669" s="2"/>
    </row>
    <row r="22670" spans="9:9">
      <c r="I22670" s="2"/>
    </row>
    <row r="22671" spans="9:9">
      <c r="I22671" s="2"/>
    </row>
    <row r="22672" spans="9:9">
      <c r="I22672" s="2"/>
    </row>
    <row r="22673" spans="9:9">
      <c r="I22673" s="2"/>
    </row>
    <row r="22674" spans="9:9">
      <c r="I22674" s="2"/>
    </row>
    <row r="22675" spans="9:9">
      <c r="I22675" s="2"/>
    </row>
    <row r="22676" spans="9:9">
      <c r="I22676" s="2"/>
    </row>
    <row r="22677" spans="9:9">
      <c r="I22677" s="2"/>
    </row>
    <row r="22678" spans="9:9">
      <c r="I22678" s="2"/>
    </row>
    <row r="22679" spans="9:9">
      <c r="I22679" s="2"/>
    </row>
    <row r="22680" spans="9:9">
      <c r="I22680" s="2"/>
    </row>
    <row r="22681" spans="9:9">
      <c r="I22681" s="2"/>
    </row>
    <row r="22682" spans="9:9">
      <c r="I22682" s="2"/>
    </row>
    <row r="22683" spans="9:9">
      <c r="I22683" s="2"/>
    </row>
    <row r="22684" spans="9:9">
      <c r="I22684" s="2"/>
    </row>
    <row r="22685" spans="9:9">
      <c r="I22685" s="2"/>
    </row>
    <row r="22686" spans="9:9">
      <c r="I22686" s="2"/>
    </row>
    <row r="22687" spans="9:9">
      <c r="I22687" s="2"/>
    </row>
    <row r="22688" spans="9:9">
      <c r="I22688" s="2"/>
    </row>
    <row r="22689" spans="9:9">
      <c r="I22689" s="2"/>
    </row>
    <row r="22690" spans="9:9">
      <c r="I22690" s="2"/>
    </row>
    <row r="22691" spans="9:9">
      <c r="I22691" s="2"/>
    </row>
    <row r="22692" spans="9:9">
      <c r="I22692" s="2"/>
    </row>
    <row r="22693" spans="9:9">
      <c r="I22693" s="2"/>
    </row>
    <row r="22694" spans="9:9">
      <c r="I22694" s="2"/>
    </row>
    <row r="22695" spans="9:9">
      <c r="I22695" s="2"/>
    </row>
    <row r="22696" spans="9:9">
      <c r="I22696" s="2"/>
    </row>
    <row r="22697" spans="9:9">
      <c r="I22697" s="2"/>
    </row>
    <row r="22698" spans="9:9">
      <c r="I22698" s="2"/>
    </row>
    <row r="22699" spans="9:9">
      <c r="I22699" s="2"/>
    </row>
    <row r="22700" spans="9:9">
      <c r="I22700" s="2"/>
    </row>
    <row r="22701" spans="9:9">
      <c r="I22701" s="2"/>
    </row>
    <row r="22702" spans="9:9">
      <c r="I22702" s="2"/>
    </row>
    <row r="22703" spans="9:9">
      <c r="I22703" s="2"/>
    </row>
    <row r="22704" spans="9:9">
      <c r="I22704" s="2"/>
    </row>
    <row r="22705" spans="9:9">
      <c r="I22705" s="2"/>
    </row>
    <row r="22706" spans="9:9">
      <c r="I22706" s="2"/>
    </row>
    <row r="22707" spans="9:9">
      <c r="I22707" s="2"/>
    </row>
    <row r="22708" spans="9:9">
      <c r="I22708" s="2"/>
    </row>
    <row r="22709" spans="9:9">
      <c r="I22709" s="2"/>
    </row>
    <row r="22710" spans="9:9">
      <c r="I22710" s="2"/>
    </row>
    <row r="22711" spans="9:9">
      <c r="I22711" s="2"/>
    </row>
    <row r="22712" spans="9:9">
      <c r="I22712" s="2"/>
    </row>
    <row r="22713" spans="9:9">
      <c r="I22713" s="2"/>
    </row>
    <row r="22714" spans="9:9">
      <c r="I22714" s="2"/>
    </row>
    <row r="22715" spans="9:9">
      <c r="I22715" s="2"/>
    </row>
    <row r="22716" spans="9:9">
      <c r="I22716" s="2"/>
    </row>
    <row r="22717" spans="9:9">
      <c r="I22717" s="2"/>
    </row>
    <row r="22718" spans="9:9">
      <c r="I22718" s="2"/>
    </row>
    <row r="22719" spans="9:9">
      <c r="I22719" s="2"/>
    </row>
    <row r="22720" spans="9:9">
      <c r="I22720" s="2"/>
    </row>
    <row r="22721" spans="9:9">
      <c r="I22721" s="2"/>
    </row>
    <row r="22722" spans="9:9">
      <c r="I22722" s="2"/>
    </row>
    <row r="22723" spans="9:9">
      <c r="I22723" s="2"/>
    </row>
    <row r="22724" spans="9:9">
      <c r="I22724" s="2"/>
    </row>
    <row r="22725" spans="9:9">
      <c r="I22725" s="2"/>
    </row>
    <row r="22726" spans="9:9">
      <c r="I22726" s="2"/>
    </row>
    <row r="22727" spans="9:9">
      <c r="I22727" s="2"/>
    </row>
    <row r="22728" spans="9:9">
      <c r="I22728" s="2"/>
    </row>
    <row r="22729" spans="9:9">
      <c r="I22729" s="2"/>
    </row>
    <row r="22730" spans="9:9">
      <c r="I22730" s="2"/>
    </row>
    <row r="22731" spans="9:9">
      <c r="I22731" s="2"/>
    </row>
    <row r="22732" spans="9:9">
      <c r="I22732" s="2"/>
    </row>
    <row r="22733" spans="9:9">
      <c r="I22733" s="2"/>
    </row>
    <row r="22734" spans="9:9">
      <c r="I22734" s="2"/>
    </row>
    <row r="22735" spans="9:9">
      <c r="I22735" s="2"/>
    </row>
    <row r="22736" spans="9:9">
      <c r="I22736" s="2"/>
    </row>
    <row r="22737" spans="9:9">
      <c r="I22737" s="2"/>
    </row>
    <row r="22738" spans="9:9">
      <c r="I22738" s="2"/>
    </row>
    <row r="22739" spans="9:9">
      <c r="I22739" s="2"/>
    </row>
    <row r="22740" spans="9:9">
      <c r="I22740" s="2"/>
    </row>
    <row r="22741" spans="9:9">
      <c r="I22741" s="2"/>
    </row>
    <row r="22742" spans="9:9">
      <c r="I22742" s="2"/>
    </row>
    <row r="22743" spans="9:9">
      <c r="I22743" s="2"/>
    </row>
    <row r="22744" spans="9:9">
      <c r="I22744" s="2"/>
    </row>
    <row r="22745" spans="9:9">
      <c r="I22745" s="2"/>
    </row>
    <row r="22746" spans="9:9">
      <c r="I22746" s="2"/>
    </row>
    <row r="22747" spans="9:9">
      <c r="I22747" s="2"/>
    </row>
    <row r="22748" spans="9:9">
      <c r="I22748" s="2"/>
    </row>
    <row r="22749" spans="9:9">
      <c r="I22749" s="2"/>
    </row>
    <row r="22750" spans="9:9">
      <c r="I22750" s="2"/>
    </row>
    <row r="22751" spans="9:9">
      <c r="I22751" s="2"/>
    </row>
    <row r="22752" spans="9:9">
      <c r="I22752" s="2"/>
    </row>
    <row r="22753" spans="9:9">
      <c r="I22753" s="2"/>
    </row>
    <row r="22754" spans="9:9">
      <c r="I22754" s="2"/>
    </row>
    <row r="22755" spans="9:9">
      <c r="I22755" s="2"/>
    </row>
    <row r="22756" spans="9:9">
      <c r="I22756" s="2"/>
    </row>
    <row r="22757" spans="9:9">
      <c r="I22757" s="2"/>
    </row>
    <row r="22758" spans="9:9">
      <c r="I22758" s="2"/>
    </row>
    <row r="22759" spans="9:9">
      <c r="I22759" s="2"/>
    </row>
    <row r="22760" spans="9:9">
      <c r="I22760" s="2"/>
    </row>
    <row r="22761" spans="9:9">
      <c r="I22761" s="2"/>
    </row>
    <row r="22762" spans="9:9">
      <c r="I22762" s="2"/>
    </row>
    <row r="22763" spans="9:9">
      <c r="I22763" s="2"/>
    </row>
    <row r="22764" spans="9:9">
      <c r="I22764" s="2"/>
    </row>
    <row r="22765" spans="9:9">
      <c r="I22765" s="2"/>
    </row>
    <row r="22766" spans="9:9">
      <c r="I22766" s="2"/>
    </row>
    <row r="22767" spans="9:9">
      <c r="I22767" s="2"/>
    </row>
    <row r="22768" spans="9:9">
      <c r="I22768" s="2"/>
    </row>
    <row r="22769" spans="9:9">
      <c r="I22769" s="2"/>
    </row>
    <row r="22770" spans="9:9">
      <c r="I22770" s="2"/>
    </row>
    <row r="22771" spans="9:9">
      <c r="I22771" s="2"/>
    </row>
    <row r="22772" spans="9:9">
      <c r="I22772" s="2"/>
    </row>
    <row r="22773" spans="9:9">
      <c r="I22773" s="2"/>
    </row>
    <row r="22774" spans="9:9">
      <c r="I22774" s="2"/>
    </row>
    <row r="22775" spans="9:9">
      <c r="I22775" s="2"/>
    </row>
    <row r="22776" spans="9:9">
      <c r="I22776" s="2"/>
    </row>
    <row r="22777" spans="9:9">
      <c r="I22777" s="2"/>
    </row>
    <row r="22778" spans="9:9">
      <c r="I22778" s="2"/>
    </row>
    <row r="22779" spans="9:9">
      <c r="I22779" s="2"/>
    </row>
    <row r="22780" spans="9:9">
      <c r="I22780" s="2"/>
    </row>
    <row r="22781" spans="9:9">
      <c r="I22781" s="2"/>
    </row>
    <row r="22782" spans="9:9">
      <c r="I22782" s="2"/>
    </row>
    <row r="22783" spans="9:9">
      <c r="I22783" s="2"/>
    </row>
    <row r="22784" spans="9:9">
      <c r="I22784" s="2"/>
    </row>
    <row r="22785" spans="9:9">
      <c r="I22785" s="2"/>
    </row>
    <row r="22786" spans="9:9">
      <c r="I22786" s="2"/>
    </row>
    <row r="22787" spans="9:9">
      <c r="I22787" s="2"/>
    </row>
    <row r="22788" spans="9:9">
      <c r="I22788" s="2"/>
    </row>
    <row r="22789" spans="9:9">
      <c r="I22789" s="2"/>
    </row>
    <row r="22790" spans="9:9">
      <c r="I22790" s="2"/>
    </row>
    <row r="22791" spans="9:9">
      <c r="I22791" s="2"/>
    </row>
    <row r="22792" spans="9:9">
      <c r="I22792" s="2"/>
    </row>
    <row r="22793" spans="9:9">
      <c r="I22793" s="2"/>
    </row>
    <row r="22794" spans="9:9">
      <c r="I22794" s="2"/>
    </row>
    <row r="22795" spans="9:9">
      <c r="I22795" s="2"/>
    </row>
    <row r="22796" spans="9:9">
      <c r="I22796" s="2"/>
    </row>
    <row r="22797" spans="9:9">
      <c r="I22797" s="2"/>
    </row>
    <row r="22798" spans="9:9">
      <c r="I22798" s="2"/>
    </row>
    <row r="22799" spans="9:9">
      <c r="I22799" s="2"/>
    </row>
    <row r="22800" spans="9:9">
      <c r="I22800" s="2"/>
    </row>
    <row r="22801" spans="9:9">
      <c r="I22801" s="2"/>
    </row>
    <row r="22802" spans="9:9">
      <c r="I22802" s="2"/>
    </row>
    <row r="22803" spans="9:9">
      <c r="I22803" s="2"/>
    </row>
    <row r="22804" spans="9:9">
      <c r="I22804" s="2"/>
    </row>
    <row r="22805" spans="9:9">
      <c r="I22805" s="2"/>
    </row>
    <row r="22806" spans="9:9">
      <c r="I22806" s="2"/>
    </row>
    <row r="22807" spans="9:9">
      <c r="I22807" s="2"/>
    </row>
    <row r="22808" spans="9:9">
      <c r="I22808" s="2"/>
    </row>
    <row r="22809" spans="9:9">
      <c r="I22809" s="2"/>
    </row>
    <row r="22810" spans="9:9">
      <c r="I22810" s="2"/>
    </row>
    <row r="22811" spans="9:9">
      <c r="I22811" s="2"/>
    </row>
    <row r="22812" spans="9:9">
      <c r="I22812" s="2"/>
    </row>
    <row r="22813" spans="9:9">
      <c r="I22813" s="2"/>
    </row>
    <row r="22814" spans="9:9">
      <c r="I22814" s="2"/>
    </row>
    <row r="22815" spans="9:9">
      <c r="I22815" s="2"/>
    </row>
    <row r="22816" spans="9:9">
      <c r="I22816" s="2"/>
    </row>
    <row r="22817" spans="9:9">
      <c r="I22817" s="2"/>
    </row>
    <row r="22818" spans="9:9">
      <c r="I22818" s="2"/>
    </row>
    <row r="22819" spans="9:9">
      <c r="I22819" s="2"/>
    </row>
    <row r="22820" spans="9:9">
      <c r="I22820" s="2"/>
    </row>
    <row r="22821" spans="9:9">
      <c r="I22821" s="2"/>
    </row>
    <row r="22822" spans="9:9">
      <c r="I22822" s="2"/>
    </row>
    <row r="22823" spans="9:9">
      <c r="I22823" s="2"/>
    </row>
    <row r="22824" spans="9:9">
      <c r="I22824" s="2"/>
    </row>
    <row r="22825" spans="9:9">
      <c r="I22825" s="2"/>
    </row>
    <row r="22826" spans="9:9">
      <c r="I22826" s="2"/>
    </row>
    <row r="22827" spans="9:9">
      <c r="I22827" s="2"/>
    </row>
    <row r="22828" spans="9:9">
      <c r="I22828" s="2"/>
    </row>
    <row r="22829" spans="9:9">
      <c r="I22829" s="2"/>
    </row>
    <row r="22830" spans="9:9">
      <c r="I22830" s="2"/>
    </row>
    <row r="22831" spans="9:9">
      <c r="I22831" s="2"/>
    </row>
    <row r="22832" spans="9:9">
      <c r="I22832" s="2"/>
    </row>
    <row r="22833" spans="9:9">
      <c r="I22833" s="2"/>
    </row>
    <row r="22834" spans="9:9">
      <c r="I22834" s="2"/>
    </row>
    <row r="22835" spans="9:9">
      <c r="I22835" s="2"/>
    </row>
    <row r="22836" spans="9:9">
      <c r="I22836" s="2"/>
    </row>
    <row r="22837" spans="9:9">
      <c r="I22837" s="2"/>
    </row>
    <row r="22838" spans="9:9">
      <c r="I22838" s="2"/>
    </row>
    <row r="22839" spans="9:9">
      <c r="I22839" s="2"/>
    </row>
    <row r="22840" spans="9:9">
      <c r="I22840" s="2"/>
    </row>
    <row r="22841" spans="9:9">
      <c r="I22841" s="2"/>
    </row>
    <row r="22842" spans="9:9">
      <c r="I22842" s="2"/>
    </row>
    <row r="22843" spans="9:9">
      <c r="I22843" s="2"/>
    </row>
    <row r="22844" spans="9:9">
      <c r="I22844" s="2"/>
    </row>
    <row r="22845" spans="9:9">
      <c r="I22845" s="2"/>
    </row>
    <row r="22846" spans="9:9">
      <c r="I22846" s="2"/>
    </row>
    <row r="22847" spans="9:9">
      <c r="I22847" s="2"/>
    </row>
    <row r="22848" spans="9:9">
      <c r="I22848" s="2"/>
    </row>
    <row r="22849" spans="9:9">
      <c r="I22849" s="2"/>
    </row>
    <row r="22850" spans="9:9">
      <c r="I22850" s="2"/>
    </row>
    <row r="22851" spans="9:9">
      <c r="I22851" s="2"/>
    </row>
    <row r="22852" spans="9:9">
      <c r="I22852" s="2"/>
    </row>
    <row r="22853" spans="9:9">
      <c r="I22853" s="2"/>
    </row>
    <row r="22854" spans="9:9">
      <c r="I22854" s="2"/>
    </row>
    <row r="22855" spans="9:9">
      <c r="I22855" s="2"/>
    </row>
    <row r="22856" spans="9:9">
      <c r="I22856" s="2"/>
    </row>
    <row r="22857" spans="9:9">
      <c r="I22857" s="2"/>
    </row>
    <row r="22858" spans="9:9">
      <c r="I22858" s="2"/>
    </row>
    <row r="22859" spans="9:9">
      <c r="I22859" s="2"/>
    </row>
    <row r="22860" spans="9:9">
      <c r="I22860" s="2"/>
    </row>
    <row r="22861" spans="9:9">
      <c r="I22861" s="2"/>
    </row>
    <row r="22862" spans="9:9">
      <c r="I22862" s="2"/>
    </row>
    <row r="22863" spans="9:9">
      <c r="I22863" s="2"/>
    </row>
    <row r="22864" spans="9:9">
      <c r="I22864" s="2"/>
    </row>
    <row r="22865" spans="9:9">
      <c r="I22865" s="2"/>
    </row>
    <row r="22866" spans="9:9">
      <c r="I22866" s="2"/>
    </row>
    <row r="22867" spans="9:9">
      <c r="I22867" s="2"/>
    </row>
    <row r="22868" spans="9:9">
      <c r="I22868" s="2"/>
    </row>
    <row r="22869" spans="9:9">
      <c r="I22869" s="2"/>
    </row>
    <row r="22870" spans="9:9">
      <c r="I22870" s="2"/>
    </row>
    <row r="22871" spans="9:9">
      <c r="I22871" s="2"/>
    </row>
    <row r="22872" spans="9:9">
      <c r="I22872" s="2"/>
    </row>
    <row r="22873" spans="9:9">
      <c r="I22873" s="2"/>
    </row>
    <row r="22874" spans="9:9">
      <c r="I22874" s="2"/>
    </row>
    <row r="22875" spans="9:9">
      <c r="I22875" s="2"/>
    </row>
    <row r="22876" spans="9:9">
      <c r="I22876" s="2"/>
    </row>
    <row r="22877" spans="9:9">
      <c r="I22877" s="2"/>
    </row>
    <row r="22878" spans="9:9">
      <c r="I22878" s="2"/>
    </row>
    <row r="22879" spans="9:9">
      <c r="I22879" s="2"/>
    </row>
    <row r="22880" spans="9:9">
      <c r="I22880" s="2"/>
    </row>
    <row r="22881" spans="9:9">
      <c r="I22881" s="2"/>
    </row>
    <row r="22882" spans="9:9">
      <c r="I22882" s="2"/>
    </row>
    <row r="22883" spans="9:9">
      <c r="I22883" s="2"/>
    </row>
    <row r="22884" spans="9:9">
      <c r="I22884" s="2"/>
    </row>
    <row r="22885" spans="9:9">
      <c r="I22885" s="2"/>
    </row>
    <row r="22886" spans="9:9">
      <c r="I22886" s="2"/>
    </row>
    <row r="22887" spans="9:9">
      <c r="I22887" s="2"/>
    </row>
    <row r="22888" spans="9:9">
      <c r="I22888" s="2"/>
    </row>
    <row r="22889" spans="9:9">
      <c r="I22889" s="2"/>
    </row>
    <row r="22890" spans="9:9">
      <c r="I22890" s="2"/>
    </row>
    <row r="22891" spans="9:9">
      <c r="I22891" s="2"/>
    </row>
    <row r="22892" spans="9:9">
      <c r="I22892" s="2"/>
    </row>
    <row r="22893" spans="9:9">
      <c r="I22893" s="2"/>
    </row>
    <row r="22894" spans="9:9">
      <c r="I22894" s="2"/>
    </row>
    <row r="22895" spans="9:9">
      <c r="I22895" s="2"/>
    </row>
    <row r="22896" spans="9:9">
      <c r="I22896" s="2"/>
    </row>
    <row r="22897" spans="9:9">
      <c r="I22897" s="2"/>
    </row>
    <row r="22898" spans="9:9">
      <c r="I22898" s="2"/>
    </row>
    <row r="22899" spans="9:9">
      <c r="I22899" s="2"/>
    </row>
    <row r="22900" spans="9:9">
      <c r="I22900" s="2"/>
    </row>
    <row r="22901" spans="9:9">
      <c r="I22901" s="2"/>
    </row>
    <row r="22902" spans="9:9">
      <c r="I22902" s="2"/>
    </row>
    <row r="22903" spans="9:9">
      <c r="I22903" s="2"/>
    </row>
    <row r="22904" spans="9:9">
      <c r="I22904" s="2"/>
    </row>
    <row r="22905" spans="9:9">
      <c r="I22905" s="2"/>
    </row>
    <row r="22906" spans="9:9">
      <c r="I22906" s="2"/>
    </row>
    <row r="22907" spans="9:9">
      <c r="I22907" s="2"/>
    </row>
    <row r="22908" spans="9:9">
      <c r="I22908" s="2"/>
    </row>
    <row r="22909" spans="9:9">
      <c r="I22909" s="2"/>
    </row>
    <row r="22910" spans="9:9">
      <c r="I22910" s="2"/>
    </row>
    <row r="22911" spans="9:9">
      <c r="I22911" s="2"/>
    </row>
    <row r="22912" spans="9:9">
      <c r="I22912" s="2"/>
    </row>
    <row r="22913" spans="9:9">
      <c r="I22913" s="2"/>
    </row>
    <row r="22914" spans="9:9">
      <c r="I22914" s="2"/>
    </row>
    <row r="22915" spans="9:9">
      <c r="I22915" s="2"/>
    </row>
    <row r="22916" spans="9:9">
      <c r="I22916" s="2"/>
    </row>
    <row r="22917" spans="9:9">
      <c r="I22917" s="2"/>
    </row>
    <row r="22918" spans="9:9">
      <c r="I22918" s="2"/>
    </row>
    <row r="22919" spans="9:9">
      <c r="I22919" s="2"/>
    </row>
    <row r="22920" spans="9:9">
      <c r="I22920" s="2"/>
    </row>
    <row r="22921" spans="9:9">
      <c r="I22921" s="2"/>
    </row>
    <row r="22922" spans="9:9">
      <c r="I22922" s="2"/>
    </row>
    <row r="22923" spans="9:9">
      <c r="I22923" s="2"/>
    </row>
    <row r="22924" spans="9:9">
      <c r="I22924" s="2"/>
    </row>
    <row r="22925" spans="9:9">
      <c r="I22925" s="2"/>
    </row>
    <row r="22926" spans="9:9">
      <c r="I22926" s="2"/>
    </row>
    <row r="22927" spans="9:9">
      <c r="I22927" s="2"/>
    </row>
    <row r="22928" spans="9:9">
      <c r="I22928" s="2"/>
    </row>
    <row r="22929" spans="9:9">
      <c r="I22929" s="2"/>
    </row>
    <row r="22930" spans="9:9">
      <c r="I22930" s="2"/>
    </row>
    <row r="22931" spans="9:9">
      <c r="I22931" s="2"/>
    </row>
    <row r="22932" spans="9:9">
      <c r="I22932" s="2"/>
    </row>
    <row r="22933" spans="9:9">
      <c r="I22933" s="2"/>
    </row>
    <row r="22934" spans="9:9">
      <c r="I22934" s="2"/>
    </row>
    <row r="22935" spans="9:9">
      <c r="I22935" s="2"/>
    </row>
    <row r="22936" spans="9:9">
      <c r="I22936" s="2"/>
    </row>
    <row r="22937" spans="9:9">
      <c r="I22937" s="2"/>
    </row>
    <row r="22938" spans="9:9">
      <c r="I22938" s="2"/>
    </row>
    <row r="22939" spans="9:9">
      <c r="I22939" s="2"/>
    </row>
    <row r="22940" spans="9:9">
      <c r="I22940" s="2"/>
    </row>
    <row r="22941" spans="9:9">
      <c r="I22941" s="2"/>
    </row>
    <row r="22942" spans="9:9">
      <c r="I22942" s="2"/>
    </row>
    <row r="22943" spans="9:9">
      <c r="I22943" s="2"/>
    </row>
    <row r="22944" spans="9:9">
      <c r="I22944" s="2"/>
    </row>
    <row r="22945" spans="9:9">
      <c r="I22945" s="2"/>
    </row>
    <row r="22946" spans="9:9">
      <c r="I22946" s="2"/>
    </row>
    <row r="22947" spans="9:9">
      <c r="I22947" s="2"/>
    </row>
    <row r="22948" spans="9:9">
      <c r="I22948" s="2"/>
    </row>
    <row r="22949" spans="9:9">
      <c r="I22949" s="2"/>
    </row>
    <row r="22950" spans="9:9">
      <c r="I22950" s="2"/>
    </row>
    <row r="22951" spans="9:9">
      <c r="I22951" s="2"/>
    </row>
    <row r="22952" spans="9:9">
      <c r="I22952" s="2"/>
    </row>
    <row r="22953" spans="9:9">
      <c r="I22953" s="2"/>
    </row>
    <row r="22954" spans="9:9">
      <c r="I22954" s="2"/>
    </row>
    <row r="22955" spans="9:9">
      <c r="I22955" s="2"/>
    </row>
    <row r="22956" spans="9:9">
      <c r="I22956" s="2"/>
    </row>
    <row r="22957" spans="9:9">
      <c r="I22957" s="2"/>
    </row>
    <row r="22958" spans="9:9">
      <c r="I22958" s="2"/>
    </row>
    <row r="22959" spans="9:9">
      <c r="I22959" s="2"/>
    </row>
    <row r="22960" spans="9:9">
      <c r="I22960" s="2"/>
    </row>
    <row r="22961" spans="9:9">
      <c r="I22961" s="2"/>
    </row>
    <row r="22962" spans="9:9">
      <c r="I22962" s="2"/>
    </row>
    <row r="22963" spans="9:9">
      <c r="I22963" s="2"/>
    </row>
    <row r="22964" spans="9:9">
      <c r="I22964" s="2"/>
    </row>
    <row r="22965" spans="9:9">
      <c r="I22965" s="2"/>
    </row>
    <row r="22966" spans="9:9">
      <c r="I22966" s="2"/>
    </row>
    <row r="22967" spans="9:9">
      <c r="I22967" s="2"/>
    </row>
    <row r="22968" spans="9:9">
      <c r="I22968" s="2"/>
    </row>
    <row r="22969" spans="9:9">
      <c r="I22969" s="2"/>
    </row>
    <row r="22970" spans="9:9">
      <c r="I22970" s="2"/>
    </row>
    <row r="22971" spans="9:9">
      <c r="I22971" s="2"/>
    </row>
    <row r="22972" spans="9:9">
      <c r="I22972" s="2"/>
    </row>
    <row r="22973" spans="9:9">
      <c r="I22973" s="2"/>
    </row>
    <row r="22974" spans="9:9">
      <c r="I22974" s="2"/>
    </row>
    <row r="22975" spans="9:9">
      <c r="I22975" s="2"/>
    </row>
    <row r="22976" spans="9:9">
      <c r="I22976" s="2"/>
    </row>
    <row r="22977" spans="9:9">
      <c r="I22977" s="2"/>
    </row>
    <row r="22978" spans="9:9">
      <c r="I22978" s="2"/>
    </row>
    <row r="22979" spans="9:9">
      <c r="I22979" s="2"/>
    </row>
    <row r="22980" spans="9:9">
      <c r="I22980" s="2"/>
    </row>
    <row r="22981" spans="9:9">
      <c r="I22981" s="2"/>
    </row>
    <row r="22982" spans="9:9">
      <c r="I22982" s="2"/>
    </row>
    <row r="22983" spans="9:9">
      <c r="I22983" s="2"/>
    </row>
    <row r="22984" spans="9:9">
      <c r="I22984" s="2"/>
    </row>
    <row r="22985" spans="9:9">
      <c r="I22985" s="2"/>
    </row>
    <row r="22986" spans="9:9">
      <c r="I22986" s="2"/>
    </row>
    <row r="22987" spans="9:9">
      <c r="I22987" s="2"/>
    </row>
    <row r="22988" spans="9:9">
      <c r="I22988" s="2"/>
    </row>
    <row r="22989" spans="9:9">
      <c r="I22989" s="2"/>
    </row>
    <row r="22990" spans="9:9">
      <c r="I22990" s="2"/>
    </row>
    <row r="22991" spans="9:9">
      <c r="I22991" s="2"/>
    </row>
    <row r="22992" spans="9:9">
      <c r="I22992" s="2"/>
    </row>
    <row r="22993" spans="9:9">
      <c r="I22993" s="2"/>
    </row>
    <row r="22994" spans="9:9">
      <c r="I22994" s="2"/>
    </row>
    <row r="22995" spans="9:9">
      <c r="I22995" s="2"/>
    </row>
    <row r="22996" spans="9:9">
      <c r="I22996" s="2"/>
    </row>
    <row r="22997" spans="9:9">
      <c r="I22997" s="2"/>
    </row>
    <row r="22998" spans="9:9">
      <c r="I22998" s="2"/>
    </row>
    <row r="22999" spans="9:9">
      <c r="I22999" s="2"/>
    </row>
    <row r="23000" spans="9:9">
      <c r="I23000" s="2"/>
    </row>
    <row r="23001" spans="9:9">
      <c r="I23001" s="2"/>
    </row>
    <row r="23002" spans="9:9">
      <c r="I23002" s="2"/>
    </row>
    <row r="23003" spans="9:9">
      <c r="I23003" s="2"/>
    </row>
    <row r="23004" spans="9:9">
      <c r="I23004" s="2"/>
    </row>
    <row r="23005" spans="9:9">
      <c r="I23005" s="2"/>
    </row>
    <row r="23006" spans="9:9">
      <c r="I23006" s="2"/>
    </row>
    <row r="23007" spans="9:9">
      <c r="I23007" s="2"/>
    </row>
    <row r="23008" spans="9:9">
      <c r="I23008" s="2"/>
    </row>
    <row r="23009" spans="9:9">
      <c r="I23009" s="2"/>
    </row>
    <row r="23010" spans="9:9">
      <c r="I23010" s="2"/>
    </row>
    <row r="23011" spans="9:9">
      <c r="I23011" s="2"/>
    </row>
    <row r="23012" spans="9:9">
      <c r="I23012" s="2"/>
    </row>
    <row r="23013" spans="9:9">
      <c r="I23013" s="2"/>
    </row>
    <row r="23014" spans="9:9">
      <c r="I23014" s="2"/>
    </row>
    <row r="23015" spans="9:9">
      <c r="I23015" s="2"/>
    </row>
    <row r="23016" spans="9:9">
      <c r="I23016" s="2"/>
    </row>
    <row r="23017" spans="9:9">
      <c r="I23017" s="2"/>
    </row>
    <row r="23018" spans="9:9">
      <c r="I23018" s="2"/>
    </row>
    <row r="23019" spans="9:9">
      <c r="I23019" s="2"/>
    </row>
    <row r="23020" spans="9:9">
      <c r="I23020" s="2"/>
    </row>
    <row r="23021" spans="9:9">
      <c r="I23021" s="2"/>
    </row>
    <row r="23022" spans="9:9">
      <c r="I23022" s="2"/>
    </row>
    <row r="23023" spans="9:9">
      <c r="I23023" s="2"/>
    </row>
    <row r="23024" spans="9:9">
      <c r="I23024" s="2"/>
    </row>
    <row r="23025" spans="9:9">
      <c r="I23025" s="2"/>
    </row>
    <row r="23026" spans="9:9">
      <c r="I23026" s="2"/>
    </row>
    <row r="23027" spans="9:9">
      <c r="I23027" s="2"/>
    </row>
    <row r="23028" spans="9:9">
      <c r="I23028" s="2"/>
    </row>
    <row r="23029" spans="9:9">
      <c r="I23029" s="2"/>
    </row>
    <row r="23030" spans="9:9">
      <c r="I23030" s="2"/>
    </row>
    <row r="23031" spans="9:9">
      <c r="I23031" s="2"/>
    </row>
    <row r="23032" spans="9:9">
      <c r="I23032" s="2"/>
    </row>
    <row r="23033" spans="9:9">
      <c r="I23033" s="2"/>
    </row>
    <row r="23034" spans="9:9">
      <c r="I23034" s="2"/>
    </row>
    <row r="23035" spans="9:9">
      <c r="I23035" s="2"/>
    </row>
    <row r="23036" spans="9:9">
      <c r="I23036" s="2"/>
    </row>
    <row r="23037" spans="9:9">
      <c r="I23037" s="2"/>
    </row>
    <row r="23038" spans="9:9">
      <c r="I23038" s="2"/>
    </row>
    <row r="23039" spans="9:9">
      <c r="I23039" s="2"/>
    </row>
    <row r="23040" spans="9:9">
      <c r="I23040" s="2"/>
    </row>
    <row r="23041" spans="9:9">
      <c r="I23041" s="2"/>
    </row>
    <row r="23042" spans="9:9">
      <c r="I23042" s="2"/>
    </row>
    <row r="23043" spans="9:9">
      <c r="I23043" s="2"/>
    </row>
    <row r="23044" spans="9:9">
      <c r="I23044" s="2"/>
    </row>
    <row r="23045" spans="9:9">
      <c r="I23045" s="2"/>
    </row>
    <row r="23046" spans="9:9">
      <c r="I23046" s="2"/>
    </row>
    <row r="23047" spans="9:9">
      <c r="I23047" s="2"/>
    </row>
    <row r="23048" spans="9:9">
      <c r="I23048" s="2"/>
    </row>
    <row r="23049" spans="9:9">
      <c r="I23049" s="2"/>
    </row>
    <row r="23050" spans="9:9">
      <c r="I23050" s="2"/>
    </row>
    <row r="23051" spans="9:9">
      <c r="I23051" s="2"/>
    </row>
    <row r="23052" spans="9:9">
      <c r="I23052" s="2"/>
    </row>
    <row r="23053" spans="9:9">
      <c r="I23053" s="2"/>
    </row>
    <row r="23054" spans="9:9">
      <c r="I23054" s="2"/>
    </row>
    <row r="23055" spans="9:9">
      <c r="I23055" s="2"/>
    </row>
    <row r="23056" spans="9:9">
      <c r="I23056" s="2"/>
    </row>
    <row r="23057" spans="9:9">
      <c r="I23057" s="2"/>
    </row>
    <row r="23058" spans="9:9">
      <c r="I23058" s="2"/>
    </row>
    <row r="23059" spans="9:9">
      <c r="I23059" s="2"/>
    </row>
    <row r="23060" spans="9:9">
      <c r="I23060" s="2"/>
    </row>
    <row r="23061" spans="9:9">
      <c r="I23061" s="2"/>
    </row>
    <row r="23062" spans="9:9">
      <c r="I23062" s="2"/>
    </row>
    <row r="23063" spans="9:9">
      <c r="I23063" s="2"/>
    </row>
    <row r="23064" spans="9:9">
      <c r="I23064" s="2"/>
    </row>
    <row r="23065" spans="9:9">
      <c r="I23065" s="2"/>
    </row>
    <row r="23066" spans="9:9">
      <c r="I23066" s="2"/>
    </row>
    <row r="23067" spans="9:9">
      <c r="I23067" s="2"/>
    </row>
    <row r="23068" spans="9:9">
      <c r="I23068" s="2"/>
    </row>
    <row r="23069" spans="9:9">
      <c r="I23069" s="2"/>
    </row>
    <row r="23070" spans="9:9">
      <c r="I23070" s="2"/>
    </row>
    <row r="23071" spans="9:9">
      <c r="I23071" s="2"/>
    </row>
    <row r="23072" spans="9:9">
      <c r="I23072" s="2"/>
    </row>
    <row r="23073" spans="9:9">
      <c r="I23073" s="2"/>
    </row>
    <row r="23074" spans="9:9">
      <c r="I23074" s="2"/>
    </row>
    <row r="23075" spans="9:9">
      <c r="I23075" s="2"/>
    </row>
    <row r="23076" spans="9:9">
      <c r="I23076" s="2"/>
    </row>
    <row r="23077" spans="9:9">
      <c r="I23077" s="2"/>
    </row>
    <row r="23078" spans="9:9">
      <c r="I23078" s="2"/>
    </row>
    <row r="23079" spans="9:9">
      <c r="I23079" s="2"/>
    </row>
    <row r="23080" spans="9:9">
      <c r="I23080" s="2"/>
    </row>
    <row r="23081" spans="9:9">
      <c r="I23081" s="2"/>
    </row>
    <row r="23082" spans="9:9">
      <c r="I23082" s="2"/>
    </row>
    <row r="23083" spans="9:9">
      <c r="I23083" s="2"/>
    </row>
    <row r="23084" spans="9:9">
      <c r="I23084" s="2"/>
    </row>
    <row r="23085" spans="9:9">
      <c r="I23085" s="2"/>
    </row>
    <row r="23086" spans="9:9">
      <c r="I23086" s="2"/>
    </row>
    <row r="23087" spans="9:9">
      <c r="I23087" s="2"/>
    </row>
    <row r="23088" spans="9:9">
      <c r="I23088" s="2"/>
    </row>
    <row r="23089" spans="9:9">
      <c r="I23089" s="2"/>
    </row>
    <row r="23090" spans="9:9">
      <c r="I23090" s="2"/>
    </row>
    <row r="23091" spans="9:9">
      <c r="I23091" s="2"/>
    </row>
    <row r="23092" spans="9:9">
      <c r="I23092" s="2"/>
    </row>
    <row r="23093" spans="9:9">
      <c r="I23093" s="2"/>
    </row>
    <row r="23094" spans="9:9">
      <c r="I23094" s="2"/>
    </row>
    <row r="23095" spans="9:9">
      <c r="I23095" s="2"/>
    </row>
    <row r="23096" spans="9:9">
      <c r="I23096" s="2"/>
    </row>
    <row r="23097" spans="9:9">
      <c r="I23097" s="2"/>
    </row>
    <row r="23098" spans="9:9">
      <c r="I23098" s="2"/>
    </row>
    <row r="23099" spans="9:9">
      <c r="I23099" s="2"/>
    </row>
    <row r="23100" spans="9:9">
      <c r="I23100" s="2"/>
    </row>
    <row r="23101" spans="9:9">
      <c r="I23101" s="2"/>
    </row>
    <row r="23102" spans="9:9">
      <c r="I23102" s="2"/>
    </row>
    <row r="23103" spans="9:9">
      <c r="I23103" s="2"/>
    </row>
    <row r="23104" spans="9:9">
      <c r="I23104" s="2"/>
    </row>
    <row r="23105" spans="9:9">
      <c r="I23105" s="2"/>
    </row>
    <row r="23106" spans="9:9">
      <c r="I23106" s="2"/>
    </row>
    <row r="23107" spans="9:9">
      <c r="I23107" s="2"/>
    </row>
    <row r="23108" spans="9:9">
      <c r="I23108" s="2"/>
    </row>
  </sheetData>
  <mergeCells count="1">
    <mergeCell ref="H1:H4"/>
  </mergeCells>
  <phoneticPr fontId="1" type="noConversion"/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8"/>
  <sheetViews>
    <sheetView topLeftCell="A2" workbookViewId="0">
      <selection activeCell="F18" sqref="F18"/>
    </sheetView>
  </sheetViews>
  <sheetFormatPr defaultRowHeight="16.5"/>
  <cols>
    <col min="1" max="1" width="15.5" bestFit="1" customWidth="1"/>
    <col min="2" max="2" width="26.625" bestFit="1" customWidth="1"/>
    <col min="3" max="3" width="9.875" bestFit="1" customWidth="1"/>
    <col min="4" max="4" width="6.75" bestFit="1" customWidth="1"/>
  </cols>
  <sheetData>
    <row r="1" spans="1:4">
      <c r="A1" s="9" t="s">
        <v>19</v>
      </c>
      <c r="B1" t="s">
        <v>40</v>
      </c>
    </row>
    <row r="3" spans="1:4">
      <c r="A3" s="9" t="s">
        <v>16</v>
      </c>
    </row>
    <row r="4" spans="1:4">
      <c r="A4" s="9" t="s">
        <v>0</v>
      </c>
      <c r="B4" s="9" t="s">
        <v>2</v>
      </c>
      <c r="C4" s="9" t="s">
        <v>1</v>
      </c>
      <c r="D4" t="s">
        <v>6</v>
      </c>
    </row>
    <row r="5" spans="1:4">
      <c r="A5" t="s">
        <v>26</v>
      </c>
      <c r="B5" s="34">
        <v>45646.214699074073</v>
      </c>
      <c r="C5" t="s">
        <v>34</v>
      </c>
      <c r="D5" s="40">
        <v>1965</v>
      </c>
    </row>
    <row r="6" spans="1:4">
      <c r="B6" s="34">
        <v>45654.967789351853</v>
      </c>
      <c r="C6" t="s">
        <v>34</v>
      </c>
      <c r="D6" s="40">
        <v>1965</v>
      </c>
    </row>
    <row r="7" spans="1:4">
      <c r="B7" s="34">
        <v>45664.633518518516</v>
      </c>
      <c r="C7" t="s">
        <v>34</v>
      </c>
      <c r="D7" s="40">
        <v>1965</v>
      </c>
    </row>
    <row r="8" spans="1:4">
      <c r="B8" s="34">
        <v>45738.282152777778</v>
      </c>
      <c r="C8" t="s">
        <v>34</v>
      </c>
      <c r="D8" s="40">
        <v>1965</v>
      </c>
    </row>
    <row r="9" spans="1:4">
      <c r="B9" s="34">
        <v>45758.05740740741</v>
      </c>
      <c r="C9" t="s">
        <v>34</v>
      </c>
      <c r="D9" s="40">
        <v>1965</v>
      </c>
    </row>
    <row r="10" spans="1:4">
      <c r="B10" s="34">
        <v>45766.411400462966</v>
      </c>
      <c r="C10" t="s">
        <v>34</v>
      </c>
      <c r="D10" s="40">
        <v>1965</v>
      </c>
    </row>
    <row r="11" spans="1:4">
      <c r="B11" s="34">
        <v>45776.287673611114</v>
      </c>
      <c r="C11" t="s">
        <v>34</v>
      </c>
      <c r="D11" s="40">
        <v>1965</v>
      </c>
    </row>
    <row r="12" spans="1:4">
      <c r="B12" s="34">
        <v>45776.561319444445</v>
      </c>
      <c r="C12" t="s">
        <v>34</v>
      </c>
      <c r="D12" s="40">
        <v>1965</v>
      </c>
    </row>
    <row r="13" spans="1:4">
      <c r="B13" s="34">
        <v>45777.029826388891</v>
      </c>
      <c r="C13" t="s">
        <v>34</v>
      </c>
      <c r="D13" s="40">
        <v>1965</v>
      </c>
    </row>
    <row r="14" spans="1:4">
      <c r="A14" t="s">
        <v>27</v>
      </c>
      <c r="D14" s="40">
        <v>17685</v>
      </c>
    </row>
    <row r="15" spans="1:4">
      <c r="A15" t="s">
        <v>28</v>
      </c>
      <c r="B15" s="34">
        <v>45755.124594907407</v>
      </c>
      <c r="C15" t="s">
        <v>39</v>
      </c>
      <c r="D15" s="40">
        <v>1260</v>
      </c>
    </row>
    <row r="16" spans="1:4">
      <c r="B16" s="34">
        <v>45758.284618055557</v>
      </c>
      <c r="C16" t="s">
        <v>39</v>
      </c>
      <c r="D16" s="40">
        <v>1260</v>
      </c>
    </row>
    <row r="17" spans="1:4">
      <c r="B17" s="34">
        <v>45758.306990740741</v>
      </c>
      <c r="C17" t="s">
        <v>39</v>
      </c>
      <c r="D17" s="40">
        <v>1260</v>
      </c>
    </row>
    <row r="18" spans="1:4">
      <c r="B18" s="34">
        <v>45761.970405092594</v>
      </c>
      <c r="C18" t="s">
        <v>39</v>
      </c>
      <c r="D18" s="40">
        <v>1260</v>
      </c>
    </row>
    <row r="19" spans="1:4">
      <c r="B19" s="34">
        <v>45783.246261574073</v>
      </c>
      <c r="C19" t="s">
        <v>39</v>
      </c>
      <c r="D19" s="40">
        <v>1260</v>
      </c>
    </row>
    <row r="20" spans="1:4">
      <c r="B20" s="34">
        <v>45783.669386574074</v>
      </c>
      <c r="C20" t="s">
        <v>34</v>
      </c>
      <c r="D20" s="40">
        <v>1965</v>
      </c>
    </row>
    <row r="21" spans="1:4">
      <c r="B21" s="34">
        <v>45784.284942129627</v>
      </c>
      <c r="C21" t="s">
        <v>34</v>
      </c>
      <c r="D21" s="40">
        <v>1965</v>
      </c>
    </row>
    <row r="22" spans="1:4">
      <c r="B22" s="34">
        <v>45785.27847222222</v>
      </c>
      <c r="C22" t="s">
        <v>34</v>
      </c>
      <c r="D22" s="40">
        <v>1965</v>
      </c>
    </row>
    <row r="23" spans="1:4">
      <c r="A23" t="s">
        <v>29</v>
      </c>
      <c r="D23" s="40">
        <v>12195</v>
      </c>
    </row>
    <row r="24" spans="1:4">
      <c r="A24" t="s">
        <v>33</v>
      </c>
      <c r="B24" s="34">
        <v>45684.220810185187</v>
      </c>
      <c r="C24" t="s">
        <v>34</v>
      </c>
      <c r="D24" s="40">
        <v>1965</v>
      </c>
    </row>
    <row r="25" spans="1:4">
      <c r="B25" s="34">
        <v>45695.541180555556</v>
      </c>
      <c r="C25" t="s">
        <v>34</v>
      </c>
      <c r="D25" s="40">
        <v>1965</v>
      </c>
    </row>
    <row r="26" spans="1:4">
      <c r="B26" s="34">
        <v>45708.219861111109</v>
      </c>
      <c r="C26" t="s">
        <v>34</v>
      </c>
      <c r="D26" s="40">
        <v>1965</v>
      </c>
    </row>
    <row r="27" spans="1:4">
      <c r="A27" t="s">
        <v>38</v>
      </c>
      <c r="D27" s="40">
        <v>5895</v>
      </c>
    </row>
    <row r="28" spans="1:4">
      <c r="A28" t="s">
        <v>7</v>
      </c>
      <c r="D28" s="40">
        <v>35775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Pocl3_Data</vt:lpstr>
      <vt:lpstr>Pocl_List</vt:lpstr>
      <vt:lpstr>Pocl3_Data!來自_WEHQDBMS02_的查詢</vt:lpstr>
    </vt:vector>
  </TitlesOfParts>
  <Company>&lt;Default&gt;Winbond Electronics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lastModifiedBy>S220 WCLin15</cp:lastModifiedBy>
  <dcterms:created xsi:type="dcterms:W3CDTF">2010-03-23T23:51:50Z</dcterms:created>
  <dcterms:modified xsi:type="dcterms:W3CDTF">2025-05-21T11:01:57Z</dcterms:modified>
</cp:coreProperties>
</file>