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ctsai4\AppData\Local\Microsoft\Windows\INetCache\Content.Outlook\733KJ71B\"/>
    </mc:Choice>
  </mc:AlternateContent>
  <xr:revisionPtr revIDLastSave="0" documentId="13_ncr:1_{F1074282-A1FA-432A-954F-2D4E713FB753}" xr6:coauthVersionLast="47" xr6:coauthVersionMax="47" xr10:uidLastSave="{00000000-0000-0000-0000-000000000000}"/>
  <bookViews>
    <workbookView xWindow="-108" yWindow="-108" windowWidth="23256" windowHeight="12456" tabRatio="795" xr2:uid="{00000000-000D-0000-FFFF-FFFF00000000}"/>
  </bookViews>
  <sheets>
    <sheet name="PTC OOS" sheetId="41" r:id="rId1"/>
    <sheet name="PTC OOS Rate" sheetId="2" r:id="rId2"/>
    <sheet name="PM PTC OOS Rate" sheetId="60" r:id="rId3"/>
    <sheet name="工作表4" sheetId="54" state="hidden" r:id="rId4"/>
    <sheet name="PTC OOS RUN 數" sheetId="43" r:id="rId5"/>
    <sheet name="PTC OOS 位置別" sheetId="42" r:id="rId6"/>
    <sheet name="LP-T UT%" sheetId="28" r:id="rId7"/>
    <sheet name="MANIFOLD" sheetId="13" r:id="rId8"/>
    <sheet name="WEEEKLY" sheetId="15" r:id="rId9"/>
    <sheet name="工作表5" sheetId="14" r:id="rId10"/>
  </sheets>
  <definedNames>
    <definedName name="_xlnm.Print_Area" localSheetId="2">'PM PTC OOS Rate'!#REF!</definedName>
    <definedName name="_xlnm.Print_Area" localSheetId="1">'PTC OOS Rate'!$A$4:$W$25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8" i="2" l="1"/>
  <c r="F18" i="2"/>
  <c r="L23" i="2"/>
  <c r="K13" i="2"/>
  <c r="D6" i="2"/>
  <c r="I12" i="2"/>
  <c r="I11" i="2"/>
  <c r="I10" i="2"/>
  <c r="I9" i="2"/>
  <c r="I8" i="2"/>
  <c r="I7" i="2"/>
  <c r="I6" i="2"/>
  <c r="H12" i="2"/>
  <c r="H11" i="2"/>
  <c r="H10" i="2"/>
  <c r="H9" i="2"/>
  <c r="H8" i="2"/>
  <c r="H7" i="2"/>
  <c r="H6" i="2"/>
  <c r="G12" i="2"/>
  <c r="G11" i="2"/>
  <c r="G10" i="2"/>
  <c r="G9" i="2"/>
  <c r="G8" i="2"/>
  <c r="G7" i="2"/>
  <c r="G6" i="2"/>
  <c r="F12" i="2"/>
  <c r="F11" i="2"/>
  <c r="F10" i="2"/>
  <c r="F9" i="2"/>
  <c r="F8" i="2"/>
  <c r="F7" i="2"/>
  <c r="F6" i="2"/>
  <c r="K23" i="2"/>
  <c r="D16" i="2"/>
  <c r="F16" i="2"/>
  <c r="F13" i="2" l="1"/>
  <c r="N10" i="60"/>
  <c r="B9" i="60"/>
  <c r="B11" i="60" s="1"/>
  <c r="N8" i="60"/>
  <c r="N7" i="60"/>
  <c r="N6" i="60"/>
  <c r="N5" i="60"/>
  <c r="N4" i="60"/>
  <c r="N3" i="60"/>
  <c r="N2" i="60"/>
  <c r="N9" i="60" l="1"/>
  <c r="N11" i="60" s="1"/>
  <c r="D7" i="2"/>
  <c r="D8" i="2"/>
  <c r="D9" i="2"/>
  <c r="D10" i="2"/>
  <c r="D11" i="2"/>
  <c r="D12" i="2"/>
  <c r="K2" i="2" l="1"/>
  <c r="D23" i="2"/>
  <c r="D13" i="2"/>
  <c r="F23" i="2"/>
  <c r="C2" i="28"/>
  <c r="F2" i="2" l="1"/>
  <c r="D2" i="2"/>
  <c r="O22" i="43" l="1"/>
  <c r="O21" i="43"/>
  <c r="O20" i="43"/>
  <c r="O19" i="43"/>
  <c r="O18" i="43"/>
  <c r="O17" i="43"/>
  <c r="O16" i="43"/>
  <c r="O15" i="43"/>
  <c r="O14" i="43"/>
  <c r="O13" i="43"/>
  <c r="O12" i="43"/>
  <c r="O11" i="43"/>
  <c r="O10" i="43"/>
  <c r="O9" i="43"/>
  <c r="O8" i="43"/>
  <c r="O7" i="43"/>
  <c r="O6" i="43"/>
  <c r="O5" i="43"/>
  <c r="O4" i="43"/>
  <c r="O3" i="43"/>
  <c r="O2" i="43"/>
  <c r="O22" i="42"/>
  <c r="O21" i="42"/>
  <c r="O20" i="42"/>
  <c r="O19" i="42"/>
  <c r="O18" i="42"/>
  <c r="O17" i="42"/>
  <c r="O16" i="42"/>
  <c r="O15" i="42"/>
  <c r="O14" i="42"/>
  <c r="O13" i="42"/>
  <c r="O12" i="42"/>
  <c r="O11" i="42"/>
  <c r="O10" i="42"/>
  <c r="O9" i="42"/>
  <c r="O8" i="42"/>
  <c r="O7" i="42"/>
  <c r="O6" i="42"/>
  <c r="O5" i="42"/>
  <c r="O4" i="42"/>
  <c r="O3" i="42"/>
  <c r="O2" i="42"/>
  <c r="E2" i="28" l="1"/>
  <c r="D52" i="15" l="1"/>
  <c r="E52" i="15"/>
  <c r="F52" i="15"/>
  <c r="G52" i="15"/>
  <c r="H52" i="15"/>
  <c r="C52" i="15"/>
  <c r="M9" i="15" l="1"/>
  <c r="L9" i="15"/>
  <c r="K9" i="15"/>
  <c r="J9" i="15"/>
  <c r="I9" i="15"/>
  <c r="H9" i="15"/>
  <c r="G9" i="15"/>
  <c r="F9" i="15"/>
  <c r="E9" i="15"/>
  <c r="D9" i="15"/>
  <c r="C9" i="15"/>
  <c r="B9" i="15"/>
  <c r="M32" i="15" l="1"/>
  <c r="L32" i="15"/>
  <c r="K32" i="15"/>
  <c r="J32" i="15"/>
  <c r="I32" i="15"/>
  <c r="H32" i="15"/>
  <c r="G32" i="15"/>
  <c r="F32" i="15"/>
  <c r="E32" i="15"/>
  <c r="D32" i="15"/>
  <c r="C32" i="15"/>
  <c r="B32" i="15"/>
  <c r="M20" i="15"/>
  <c r="L20" i="15"/>
  <c r="K20" i="15"/>
  <c r="J20" i="15"/>
  <c r="I20" i="15"/>
  <c r="H20" i="15"/>
  <c r="G20" i="15"/>
  <c r="F20" i="15"/>
  <c r="E20" i="15"/>
  <c r="D20" i="15"/>
  <c r="C20" i="15"/>
  <c r="B20" i="15"/>
</calcChain>
</file>

<file path=xl/sharedStrings.xml><?xml version="1.0" encoding="utf-8"?>
<sst xmlns="http://schemas.openxmlformats.org/spreadsheetml/2006/main" count="399" uniqueCount="203">
  <si>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</si>
  <si>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</si>
  <si>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</si>
  <si>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</si>
  <si>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LP-T1</t>
    <phoneticPr fontId="3" type="noConversion"/>
  </si>
  <si>
    <t>LP-T2</t>
    <phoneticPr fontId="3" type="noConversion"/>
  </si>
  <si>
    <t>LP-T3</t>
    <phoneticPr fontId="3" type="noConversion"/>
  </si>
  <si>
    <t>LP-T4</t>
    <phoneticPr fontId="3" type="noConversion"/>
  </si>
  <si>
    <t>LP-T5</t>
    <phoneticPr fontId="3" type="noConversion"/>
  </si>
  <si>
    <t>LP-T6</t>
    <phoneticPr fontId="3" type="noConversion"/>
  </si>
  <si>
    <t>LP-T8</t>
    <phoneticPr fontId="3" type="noConversion"/>
  </si>
  <si>
    <t>LP-T  PTC次數</t>
    <phoneticPr fontId="3" type="noConversion"/>
  </si>
  <si>
    <t>日期</t>
    <phoneticPr fontId="6" type="noConversion"/>
  </si>
  <si>
    <t>機台</t>
    <phoneticPr fontId="6" type="noConversion"/>
  </si>
  <si>
    <t>機台處理說明</t>
    <phoneticPr fontId="6" type="noConversion"/>
  </si>
  <si>
    <t>產品PE or KLA check</t>
    <phoneticPr fontId="6" type="noConversion"/>
  </si>
  <si>
    <t>SS-3(大D)</t>
    <phoneticPr fontId="2" type="noConversion"/>
  </si>
  <si>
    <t>SS-4(U)</t>
    <phoneticPr fontId="2" type="noConversion"/>
  </si>
  <si>
    <t>SS-5(B)</t>
    <phoneticPr fontId="2" type="noConversion"/>
  </si>
  <si>
    <t>2019/2/17 LP-T6 C6 PTC</t>
    <phoneticPr fontId="2" type="noConversion"/>
  </si>
  <si>
    <t>誤差</t>
    <phoneticPr fontId="2" type="noConversion"/>
  </si>
  <si>
    <t>69顆</t>
    <phoneticPr fontId="2" type="noConversion"/>
  </si>
  <si>
    <t>2019/2/17 LP-T1 C6 PTC</t>
    <phoneticPr fontId="2" type="noConversion"/>
  </si>
  <si>
    <t>84顆</t>
    <phoneticPr fontId="2" type="noConversion"/>
  </si>
  <si>
    <t>2/18 LP-T6 TEST RUN T01</t>
    <phoneticPr fontId="2" type="noConversion"/>
  </si>
  <si>
    <t>T01 TOX:3000A 量*7 TEOS</t>
    <phoneticPr fontId="2" type="noConversion"/>
  </si>
  <si>
    <t>Recipe</t>
  </si>
  <si>
    <t>修改前</t>
  </si>
  <si>
    <t>修改後</t>
  </si>
  <si>
    <t>*3</t>
  </si>
  <si>
    <t>*5</t>
  </si>
  <si>
    <t>*5-TEOS</t>
  </si>
  <si>
    <t>*6-TEOS</t>
  </si>
  <si>
    <t>*7-TEOS</t>
  </si>
  <si>
    <t>*11</t>
  </si>
  <si>
    <t>*13</t>
  </si>
  <si>
    <t>POLY-3800</t>
  </si>
  <si>
    <t>POLY-6000-1um</t>
  </si>
  <si>
    <t>LP-T3</t>
  </si>
  <si>
    <t>W9</t>
  </si>
  <si>
    <t>W10</t>
  </si>
  <si>
    <t>W11</t>
  </si>
  <si>
    <t>W12</t>
  </si>
  <si>
    <t>WEEKLY OOS</t>
    <phoneticPr fontId="2" type="noConversion"/>
  </si>
  <si>
    <t>OOS RATE%</t>
    <phoneticPr fontId="2" type="noConversion"/>
  </si>
  <si>
    <t>RUN數</t>
    <phoneticPr fontId="2" type="noConversion"/>
  </si>
  <si>
    <t>2/11-2/18</t>
    <phoneticPr fontId="2" type="noConversion"/>
  </si>
  <si>
    <t>2/4-2/11</t>
    <phoneticPr fontId="2" type="noConversion"/>
  </si>
  <si>
    <t>1/28-2/4</t>
    <phoneticPr fontId="2" type="noConversion"/>
  </si>
  <si>
    <t>1/21-1/28</t>
    <phoneticPr fontId="2" type="noConversion"/>
  </si>
  <si>
    <t>1/14-1/21</t>
    <phoneticPr fontId="2" type="noConversion"/>
  </si>
  <si>
    <t>1/7-1/14</t>
    <phoneticPr fontId="2" type="noConversion"/>
  </si>
  <si>
    <t>2/26 修改</t>
    <phoneticPr fontId="2" type="noConversion"/>
  </si>
  <si>
    <t>TEOS-501-1999</t>
    <phoneticPr fontId="2" type="noConversion"/>
  </si>
  <si>
    <t>TEOS-2000-3000</t>
    <phoneticPr fontId="2" type="noConversion"/>
  </si>
  <si>
    <t>無</t>
    <phoneticPr fontId="2" type="noConversion"/>
  </si>
  <si>
    <t>SS-3 (大D)</t>
    <phoneticPr fontId="2" type="noConversion"/>
  </si>
  <si>
    <t>SS-4 (U-T)</t>
    <phoneticPr fontId="2" type="noConversion"/>
  </si>
  <si>
    <t>SS-5 (B-T)</t>
    <phoneticPr fontId="2" type="noConversion"/>
  </si>
  <si>
    <t>TEOS-3001-5000</t>
    <phoneticPr fontId="2" type="noConversion"/>
  </si>
  <si>
    <t>TEOS&gt;5000</t>
    <phoneticPr fontId="2" type="noConversion"/>
  </si>
  <si>
    <t>W1</t>
    <phoneticPr fontId="2" type="noConversion"/>
  </si>
  <si>
    <t>1/1-1/7</t>
    <phoneticPr fontId="2" type="noConversion"/>
  </si>
  <si>
    <t>W2</t>
    <phoneticPr fontId="2" type="noConversion"/>
  </si>
  <si>
    <t>W3</t>
    <phoneticPr fontId="2" type="noConversion"/>
  </si>
  <si>
    <t>W4</t>
    <phoneticPr fontId="2" type="noConversion"/>
  </si>
  <si>
    <t>W5</t>
    <phoneticPr fontId="2" type="noConversion"/>
  </si>
  <si>
    <t>W6</t>
    <phoneticPr fontId="2" type="noConversion"/>
  </si>
  <si>
    <t>W7</t>
    <phoneticPr fontId="2" type="noConversion"/>
  </si>
  <si>
    <t>W8</t>
    <phoneticPr fontId="2" type="noConversion"/>
  </si>
  <si>
    <t>2/18-2/25</t>
    <phoneticPr fontId="2" type="noConversion"/>
  </si>
  <si>
    <t>2/25-3/4</t>
    <phoneticPr fontId="2" type="noConversion"/>
  </si>
  <si>
    <t>LP-T2</t>
  </si>
  <si>
    <t>3/4-3/11</t>
    <phoneticPr fontId="2" type="noConversion"/>
  </si>
  <si>
    <t>SLOT-1</t>
    <phoneticPr fontId="2" type="noConversion"/>
  </si>
  <si>
    <t>SLOT-2</t>
  </si>
  <si>
    <t>SLOT-3</t>
  </si>
  <si>
    <t>SS-3 (U)</t>
    <phoneticPr fontId="2" type="noConversion"/>
  </si>
  <si>
    <t>SS-5 (B)</t>
    <phoneticPr fontId="2" type="noConversion"/>
  </si>
  <si>
    <t>SS-4 (D)</t>
    <phoneticPr fontId="2" type="noConversion"/>
  </si>
  <si>
    <t>TEOS M/W</t>
    <phoneticPr fontId="2" type="noConversion"/>
  </si>
  <si>
    <t>LP-T1</t>
    <phoneticPr fontId="2" type="noConversion"/>
  </si>
  <si>
    <t>LP-T4</t>
  </si>
  <si>
    <t>LP-T5</t>
  </si>
  <si>
    <t>LP-T6</t>
  </si>
  <si>
    <t>LP-T8</t>
    <phoneticPr fontId="2" type="noConversion"/>
  </si>
  <si>
    <t>T01:3000A</t>
    <phoneticPr fontId="2" type="noConversion"/>
  </si>
  <si>
    <t>T04:2000A</t>
    <phoneticPr fontId="2" type="noConversion"/>
  </si>
  <si>
    <t>T05:1500A</t>
    <phoneticPr fontId="2" type="noConversion"/>
  </si>
  <si>
    <t>T06:1000A</t>
    <phoneticPr fontId="2" type="noConversion"/>
  </si>
  <si>
    <t>T08:350A</t>
    <phoneticPr fontId="2" type="noConversion"/>
  </si>
  <si>
    <t>T11:110A</t>
    <phoneticPr fontId="2" type="noConversion"/>
  </si>
  <si>
    <t>Total:</t>
    <phoneticPr fontId="2" type="noConversion"/>
  </si>
  <si>
    <t>機台程式別</t>
    <phoneticPr fontId="2" type="noConversion"/>
  </si>
  <si>
    <t>刻號</t>
    <phoneticPr fontId="2" type="noConversion"/>
  </si>
  <si>
    <t>TA</t>
    <phoneticPr fontId="2" type="noConversion"/>
  </si>
  <si>
    <t>RECIPE</t>
    <phoneticPr fontId="6" type="noConversion"/>
  </si>
  <si>
    <t>M/W狀態</t>
    <phoneticPr fontId="6" type="noConversion"/>
  </si>
  <si>
    <t>PM 次數</t>
    <phoneticPr fontId="2" type="noConversion"/>
  </si>
  <si>
    <t>PTC OOS rate</t>
    <phoneticPr fontId="2" type="noConversion"/>
  </si>
  <si>
    <t>TC</t>
    <phoneticPr fontId="2" type="noConversion"/>
  </si>
  <si>
    <t>Q1</t>
    <phoneticPr fontId="2" type="noConversion"/>
  </si>
  <si>
    <t>Q2</t>
    <phoneticPr fontId="2" type="noConversion"/>
  </si>
  <si>
    <t>Q3</t>
    <phoneticPr fontId="2" type="noConversion"/>
  </si>
  <si>
    <t>Q4</t>
    <phoneticPr fontId="2" type="noConversion"/>
  </si>
  <si>
    <t>spec &gt; 90.6%</t>
    <phoneticPr fontId="2" type="noConversion"/>
  </si>
  <si>
    <t>LP-T1</t>
    <phoneticPr fontId="3" type="noConversion"/>
  </si>
  <si>
    <t>LP-T2</t>
    <phoneticPr fontId="3" type="noConversion"/>
  </si>
  <si>
    <t>LP-T3</t>
    <phoneticPr fontId="3" type="noConversion"/>
  </si>
  <si>
    <t>LP-T4</t>
    <phoneticPr fontId="3" type="noConversion"/>
  </si>
  <si>
    <t>LP-T5</t>
    <phoneticPr fontId="3" type="noConversion"/>
  </si>
  <si>
    <t>LP-T6</t>
    <phoneticPr fontId="3" type="noConversion"/>
  </si>
  <si>
    <t>LP-T8</t>
    <phoneticPr fontId="3" type="noConversion"/>
  </si>
  <si>
    <t>TB</t>
    <phoneticPr fontId="2" type="noConversion"/>
  </si>
  <si>
    <t>TE</t>
    <phoneticPr fontId="2" type="noConversion"/>
  </si>
  <si>
    <t>manifold 送洗日期</t>
    <phoneticPr fontId="2" type="noConversion"/>
  </si>
  <si>
    <t>manifold 送回日期</t>
    <phoneticPr fontId="2" type="noConversion"/>
  </si>
  <si>
    <t>位置</t>
    <phoneticPr fontId="6" type="noConversion"/>
  </si>
  <si>
    <t>1月</t>
    <phoneticPr fontId="6" type="noConversion"/>
  </si>
  <si>
    <t>2月</t>
    <phoneticPr fontId="6" type="noConversion"/>
  </si>
  <si>
    <t>3月</t>
    <phoneticPr fontId="6" type="noConversion"/>
  </si>
  <si>
    <t>4月</t>
    <phoneticPr fontId="6" type="noConversion"/>
  </si>
  <si>
    <t>5月</t>
    <phoneticPr fontId="6" type="noConversion"/>
  </si>
  <si>
    <t>6月</t>
    <phoneticPr fontId="6" type="noConversion"/>
  </si>
  <si>
    <t>7月</t>
    <phoneticPr fontId="6" type="noConversion"/>
  </si>
  <si>
    <t>8月</t>
    <phoneticPr fontId="6" type="noConversion"/>
  </si>
  <si>
    <t>9月</t>
    <phoneticPr fontId="6" type="noConversion"/>
  </si>
  <si>
    <t>10月</t>
    <phoneticPr fontId="6" type="noConversion"/>
  </si>
  <si>
    <t>11月</t>
    <phoneticPr fontId="6" type="noConversion"/>
  </si>
  <si>
    <t>12月</t>
    <phoneticPr fontId="6" type="noConversion"/>
  </si>
  <si>
    <t>TOP</t>
    <phoneticPr fontId="6" type="noConversion"/>
  </si>
  <si>
    <t>CEN</t>
    <phoneticPr fontId="6" type="noConversion"/>
  </si>
  <si>
    <t>BOT</t>
    <phoneticPr fontId="6" type="noConversion"/>
  </si>
  <si>
    <t>TOP</t>
    <phoneticPr fontId="6" type="noConversion"/>
  </si>
  <si>
    <t>CEN</t>
    <phoneticPr fontId="6" type="noConversion"/>
  </si>
  <si>
    <t>BOT</t>
    <phoneticPr fontId="6" type="noConversion"/>
  </si>
  <si>
    <t>TOP</t>
    <phoneticPr fontId="6" type="noConversion"/>
  </si>
  <si>
    <t>BOT</t>
    <phoneticPr fontId="6" type="noConversion"/>
  </si>
  <si>
    <t>T1</t>
    <phoneticPr fontId="6" type="noConversion"/>
  </si>
  <si>
    <t>T2</t>
    <phoneticPr fontId="6" type="noConversion"/>
  </si>
  <si>
    <t>T3</t>
    <phoneticPr fontId="6" type="noConversion"/>
  </si>
  <si>
    <t>T4</t>
    <phoneticPr fontId="6" type="noConversion"/>
  </si>
  <si>
    <t>T5</t>
    <phoneticPr fontId="6" type="noConversion"/>
  </si>
  <si>
    <t>T6</t>
    <phoneticPr fontId="6" type="noConversion"/>
  </si>
  <si>
    <t>T8</t>
    <phoneticPr fontId="6" type="noConversion"/>
  </si>
  <si>
    <t>RUN 數</t>
    <phoneticPr fontId="6" type="noConversion"/>
  </si>
  <si>
    <t>SPM 0~9μ</t>
  </si>
  <si>
    <t>SPM 9~18μ</t>
  </si>
  <si>
    <t>BPM 18~27μ</t>
  </si>
  <si>
    <t>SPM 0~9μ</t>
    <phoneticPr fontId="2" type="noConversion"/>
  </si>
  <si>
    <t>SPM 9~18μ</t>
    <phoneticPr fontId="6" type="noConversion"/>
  </si>
  <si>
    <t>BPM 18~27μ</t>
    <phoneticPr fontId="6" type="noConversion"/>
  </si>
  <si>
    <t>TEG</t>
    <phoneticPr fontId="2" type="noConversion"/>
  </si>
  <si>
    <t>TED</t>
    <phoneticPr fontId="2" type="noConversion"/>
  </si>
  <si>
    <t>TEF</t>
    <phoneticPr fontId="2" type="noConversion"/>
  </si>
  <si>
    <t>TEH</t>
    <phoneticPr fontId="2" type="noConversion"/>
  </si>
  <si>
    <t>TEZ</t>
    <phoneticPr fontId="2" type="noConversion"/>
  </si>
  <si>
    <t>2023Y</t>
  </si>
  <si>
    <t>2024Y</t>
  </si>
  <si>
    <t>PTC OOS</t>
  </si>
  <si>
    <t>TEST RUN PTC</t>
  </si>
  <si>
    <t xml:space="preserve"> </t>
  </si>
  <si>
    <t>OOS rate</t>
  </si>
  <si>
    <t>Spec (%)</t>
  </si>
  <si>
    <t>23Y</t>
  </si>
  <si>
    <t>24Y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</si>
  <si>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</si>
  <si>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</si>
  <si>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</si>
  <si>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</si>
  <si>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</si>
  <si>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</si>
  <si>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</si>
  <si>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</si>
  <si>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</si>
  <si>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</si>
  <si>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</si>
  <si>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12M</t>
  </si>
  <si>
    <t>PM PTC fail</t>
  </si>
  <si>
    <t>Test Run PTC OOS</t>
  </si>
  <si>
    <t>LP-T1</t>
  </si>
  <si>
    <t>T06</t>
  </si>
  <si>
    <t>Run數</t>
  </si>
  <si>
    <t>備註</t>
  </si>
  <si>
    <t>PTC 次數</t>
  </si>
  <si>
    <t>Run 數</t>
  </si>
  <si>
    <t>機台</t>
  </si>
  <si>
    <t>LP-TEOS</t>
  </si>
  <si>
    <t>LP-T (UT+LT+OT+FD)%</t>
  </si>
  <si>
    <t>manifold 維修回廠日期</t>
  </si>
  <si>
    <t xml:space="preserve"> manifold 維修廠商</t>
  </si>
  <si>
    <t>福田</t>
  </si>
  <si>
    <t>東柏</t>
  </si>
  <si>
    <t>C6=69</t>
  </si>
  <si>
    <t>PTC=0/1/4</t>
  </si>
  <si>
    <t>1.check quartz/pedestal cover/boat normal,
2.check boat無刮管/vent氣聲ok,check c8 transfer ok
3.replace boat d/w ok,test run ok</t>
  </si>
  <si>
    <t>24533140 Def%: 0.34~1.57%
24533360 Def : 0.06~3.76%
Leica OM check #05 L/R-Key by PTC issue</t>
  </si>
  <si>
    <t>25Y</t>
  </si>
  <si>
    <t>T05</t>
  </si>
  <si>
    <t>C1=79</t>
  </si>
  <si>
    <r>
      <t>PTC=</t>
    </r>
    <r>
      <rPr>
        <sz val="12"/>
        <color rgb="FFFF0000"/>
        <rFont val="微軟正黑體"/>
        <family val="2"/>
        <charset val="136"/>
      </rPr>
      <t>64</t>
    </r>
    <r>
      <rPr>
        <sz val="12"/>
        <color theme="1"/>
        <rFont val="微軟正黑體"/>
        <family val="2"/>
        <charset val="136"/>
      </rPr>
      <t>/0/0</t>
    </r>
  </si>
  <si>
    <r>
      <t>1.,BOAT ROTATE 無刮管,VENT氣聲正常
2.TEST RUN T05 PTC=</t>
    </r>
    <r>
      <rPr>
        <sz val="11"/>
        <color rgb="FFFF0000"/>
        <rFont val="微軟正黑體"/>
        <family val="2"/>
        <charset val="136"/>
      </rPr>
      <t>64</t>
    </r>
    <r>
      <rPr>
        <sz val="11"/>
        <color theme="1"/>
        <rFont val="微軟正黑體"/>
        <family val="2"/>
        <charset val="136"/>
      </rPr>
      <t>/0/0 C1 OOS
3.CLEAN ROBOT 底下圓盤、ROLLOR、
PEDESTAL、M/W BOX、CAS STAGE OK
4.retest run T05 C1/C4/C6 ptc:15/3/0</t>
    </r>
  </si>
  <si>
    <r>
      <t xml:space="preserve">24511710 defect rate: 0.43~1.44%
</t>
    </r>
    <r>
      <rPr>
        <sz val="9"/>
        <color theme="1"/>
        <rFont val="微軟正黑體"/>
        <family val="2"/>
        <charset val="136"/>
      </rPr>
      <t xml:space="preserve">OM check #14 by under layer defocus
</t>
    </r>
    <r>
      <rPr>
        <sz val="11"/>
        <color theme="1"/>
        <rFont val="微軟正黑體"/>
        <family val="2"/>
        <charset val="136"/>
      </rPr>
      <t>24521210 Def%: 0.94~1.72%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</si>
</sst>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&quot;$&quot;#,##0_);[Red]\(&quot;$&quot;#,##0\)"/>
    <numFmt numFmtId="165" formatCode="0.0%"/>
    <numFmt numFmtId="166" formatCode="m/d;@"/>
    <numFmt numFmtId="167" formatCode="m&quot;月&quot;d&quot;日&quot;"/>
    <numFmt numFmtId="168" formatCode="0.0000000000"/>
    <numFmt numFmtId="169" formatCode="_ * #,##0_ ;_ * \-#,##0_ ;_ * &quot;-&quot;_ ;_ @_ "/>
    <numFmt numFmtId="170" formatCode="_ * #,##0.00_ ;_ * \-#,##0.00_ ;_ * &quot;-&quot;??_ ;_ @_ "/>
    <numFmt numFmtId="171" formatCode="_ &quot;\&quot;* #,##0_ ;_ &quot;\&quot;* \-#,##0_ ;_ &quot;\&quot;* &quot;-&quot;_ ;_ @_ "/>
    <numFmt numFmtId="172" formatCode="_ &quot;\&quot;* #,##0.00_ ;_ &quot;\&quot;* \-#,##0.00_ ;_ &quot;\&quot;* &quot;-&quot;??_ ;_ @_ "/>
    <numFmt numFmtId="173" formatCode="m/d/yyyy;@"/>
  </numFmts>
  <fonts count="32">
    <font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9"/>
      <name val="Calibri"/>
      <family val="2"/>
      <charset val="136"/>
      <scheme val="minor"/>
    </font>
    <font>
      <sz val="12"/>
      <name val="新細明體"/>
      <family val="1"/>
      <charset val="136"/>
    </font>
    <font>
      <b/>
      <sz val="12"/>
      <color theme="1"/>
      <name val="微軟正黑體"/>
      <family val="2"/>
      <charset val="136"/>
    </font>
    <font>
      <sz val="9"/>
      <name val="新細明體"/>
      <family val="1"/>
      <charset val="136"/>
    </font>
    <font>
      <sz val="12"/>
      <color rgb="FF000000"/>
      <name val="細明體"/>
      <family val="3"/>
      <charset val="136"/>
    </font>
    <font>
      <sz val="12"/>
      <color rgb="FF1F497D"/>
      <name val="細明體"/>
      <family val="3"/>
      <charset val="136"/>
    </font>
    <font>
      <b/>
      <sz val="12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Calibri"/>
      <family val="1"/>
      <charset val="136"/>
      <scheme val="minor"/>
    </font>
    <font>
      <sz val="8"/>
      <name val="Arial"/>
      <family val="2"/>
    </font>
    <font>
      <u/>
      <sz val="12"/>
      <color indexed="36"/>
      <name val="Times New Roman"/>
      <family val="1"/>
    </font>
    <font>
      <b/>
      <sz val="12"/>
      <name val="Arial"/>
      <family val="2"/>
    </font>
    <font>
      <u/>
      <sz val="12"/>
      <color indexed="12"/>
      <name val="Times New Roman"/>
      <family val="1"/>
    </font>
    <font>
      <sz val="10"/>
      <name val="Arial"/>
      <family val="2"/>
    </font>
    <font>
      <sz val="12"/>
      <name val="夥鰻羹"/>
      <family val="1"/>
      <charset val="136"/>
    </font>
    <font>
      <sz val="12"/>
      <name val="Times New Roman"/>
      <family val="1"/>
    </font>
    <font>
      <sz val="12"/>
      <name val="Courier"/>
      <family val="3"/>
    </font>
    <font>
      <sz val="9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b/>
      <sz val="10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rgb="FF000000"/>
      <name val="Times New Roman"/>
      <family val="1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8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</borders>
  <cellStyleXfs count="2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12" fillId="0" borderId="0">
      <alignment vertical="center"/>
    </xf>
    <xf numFmtId="0" fontId="13" fillId="0" borderId="0" applyNumberFormat="0" applyAlignment="0"/>
    <xf numFmtId="0" fontId="14" fillId="0" borderId="0" applyNumberFormat="0" applyFill="0" applyBorder="0" applyAlignment="0" applyProtection="0">
      <alignment vertical="top"/>
      <protection locked="0"/>
    </xf>
    <xf numFmtId="38" fontId="13" fillId="7" borderId="0" applyNumberFormat="0" applyBorder="0" applyAlignment="0" applyProtection="0"/>
    <xf numFmtId="0" fontId="15" fillId="0" borderId="27" applyNumberFormat="0" applyAlignment="0" applyProtection="0">
      <alignment horizontal="left" vertical="center"/>
    </xf>
    <xf numFmtId="0" fontId="15" fillId="0" borderId="6">
      <alignment horizontal="left" vertical="center"/>
    </xf>
    <xf numFmtId="0" fontId="16" fillId="0" borderId="0" applyNumberFormat="0" applyFill="0" applyBorder="0" applyAlignment="0" applyProtection="0">
      <alignment vertical="top"/>
      <protection locked="0"/>
    </xf>
    <xf numFmtId="10" fontId="13" fillId="8" borderId="2" applyNumberFormat="0" applyBorder="0" applyAlignment="0" applyProtection="0"/>
    <xf numFmtId="168" fontId="17" fillId="0" borderId="0"/>
    <xf numFmtId="10" fontId="17" fillId="0" borderId="0" applyFont="0" applyFill="0" applyBorder="0" applyAlignment="0" applyProtection="0"/>
    <xf numFmtId="0" fontId="17" fillId="0" borderId="0" applyNumberFormat="0" applyFont="0" applyBorder="0" applyAlignment="0" applyProtection="0"/>
    <xf numFmtId="0" fontId="18" fillId="0" borderId="0"/>
    <xf numFmtId="0" fontId="19" fillId="0" borderId="0"/>
    <xf numFmtId="9" fontId="19" fillId="0" borderId="0" applyFont="0" applyFill="0" applyBorder="0" applyAlignment="0" applyProtection="0"/>
    <xf numFmtId="164" fontId="20" fillId="0" borderId="0" applyFont="0" applyFill="0" applyBorder="0" applyAlignment="0" applyProtection="0"/>
    <xf numFmtId="169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2" fontId="18" fillId="0" borderId="0" applyFont="0" applyFill="0" applyBorder="0" applyAlignment="0" applyProtection="0"/>
  </cellStyleXfs>
  <cellXfs count="186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0" xfId="1" applyNumberFormat="1" applyFont="1" applyBorder="1" applyAlignment="1">
      <alignment horizontal="center" vertical="center"/>
    </xf>
    <xf numFmtId="10" fontId="0" fillId="0" borderId="0" xfId="0" applyNumberFormat="1">
      <alignment vertical="center"/>
    </xf>
    <xf numFmtId="10" fontId="0" fillId="0" borderId="0" xfId="1" applyNumberFormat="1" applyFont="1" applyFill="1" applyBorder="1" applyAlignment="1">
      <alignment horizontal="center" vertical="center"/>
    </xf>
    <xf numFmtId="10" fontId="0" fillId="0" borderId="0" xfId="1" applyNumberFormat="1" applyFont="1" applyFill="1" applyBorder="1">
      <alignment vertical="center"/>
    </xf>
    <xf numFmtId="165" fontId="0" fillId="0" borderId="0" xfId="1" applyNumberFormat="1" applyFont="1" applyFill="1" applyBorder="1" applyAlignment="1">
      <alignment horizontal="center" vertical="center"/>
    </xf>
    <xf numFmtId="10" fontId="0" fillId="0" borderId="0" xfId="1" applyNumberFormat="1" applyFont="1" applyBorder="1">
      <alignment vertical="center"/>
    </xf>
    <xf numFmtId="165" fontId="0" fillId="0" borderId="0" xfId="1" applyNumberFormat="1" applyFont="1" applyBorder="1" applyAlignment="1">
      <alignment horizontal="center" vertical="center"/>
    </xf>
    <xf numFmtId="165" fontId="0" fillId="0" borderId="0" xfId="0" applyNumberFormat="1">
      <alignment vertical="center"/>
    </xf>
    <xf numFmtId="0" fontId="0" fillId="2" borderId="2" xfId="0" applyFill="1" applyBorder="1" applyAlignment="1">
      <alignment horizontal="center" vertical="center"/>
    </xf>
    <xf numFmtId="167" fontId="0" fillId="0" borderId="2" xfId="0" applyNumberForma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167" fontId="5" fillId="0" borderId="2" xfId="0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1" fillId="0" borderId="0" xfId="3" applyFont="1" applyAlignment="1">
      <alignment horizontal="left" vertical="center" wrapText="1"/>
    </xf>
    <xf numFmtId="165" fontId="0" fillId="0" borderId="2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167" fontId="5" fillId="9" borderId="2" xfId="0" applyNumberFormat="1" applyFont="1" applyFill="1" applyBorder="1" applyAlignment="1">
      <alignment horizontal="center" vertical="center"/>
    </xf>
    <xf numFmtId="0" fontId="11" fillId="0" borderId="2" xfId="3" applyFont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11" fillId="0" borderId="2" xfId="3" applyFont="1" applyBorder="1" applyAlignment="1">
      <alignment horizontal="center" vertical="center" wrapText="1"/>
    </xf>
    <xf numFmtId="166" fontId="11" fillId="0" borderId="0" xfId="3" applyNumberFormat="1" applyFont="1" applyAlignment="1">
      <alignment horizontal="center" vertical="center"/>
    </xf>
    <xf numFmtId="0" fontId="11" fillId="0" borderId="0" xfId="3" applyFont="1" applyAlignment="1">
      <alignment vertical="center" wrapText="1"/>
    </xf>
    <xf numFmtId="0" fontId="11" fillId="0" borderId="2" xfId="3" applyFont="1" applyBorder="1" applyAlignment="1">
      <alignment horizontal="left" vertical="center" wrapText="1"/>
    </xf>
    <xf numFmtId="0" fontId="0" fillId="9" borderId="2" xfId="0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32" xfId="0" applyFont="1" applyBorder="1" applyAlignment="1">
      <alignment horizontal="center" vertical="center"/>
    </xf>
    <xf numFmtId="0" fontId="22" fillId="0" borderId="33" xfId="0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32" xfId="0" applyFont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3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10" borderId="17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0" fontId="10" fillId="0" borderId="2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10" borderId="19" xfId="0" applyFont="1" applyFill="1" applyBorder="1" applyAlignment="1">
      <alignment horizontal="center" vertical="center"/>
    </xf>
    <xf numFmtId="10" fontId="10" fillId="0" borderId="20" xfId="0" applyNumberFormat="1" applyFont="1" applyBorder="1" applyAlignment="1">
      <alignment horizontal="center" vertical="center"/>
    </xf>
    <xf numFmtId="10" fontId="10" fillId="0" borderId="21" xfId="0" applyNumberFormat="1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1" fontId="10" fillId="0" borderId="0" xfId="0" applyNumberFormat="1" applyFont="1" applyAlignment="1">
      <alignment horizontal="center" vertical="center"/>
    </xf>
    <xf numFmtId="0" fontId="10" fillId="2" borderId="2" xfId="0" applyFont="1" applyFill="1" applyBorder="1" applyAlignment="1">
      <alignment horizontal="center" vertical="center" wrapText="1"/>
    </xf>
    <xf numFmtId="0" fontId="10" fillId="9" borderId="19" xfId="0" applyFont="1" applyFill="1" applyBorder="1" applyAlignment="1">
      <alignment horizontal="center" vertical="center"/>
    </xf>
    <xf numFmtId="1" fontId="10" fillId="9" borderId="20" xfId="0" applyNumberFormat="1" applyFont="1" applyFill="1" applyBorder="1" applyAlignment="1">
      <alignment horizontal="center" vertical="center"/>
    </xf>
    <xf numFmtId="0" fontId="10" fillId="9" borderId="20" xfId="0" applyFont="1" applyFill="1" applyBorder="1" applyAlignment="1">
      <alignment horizontal="center" vertical="center"/>
    </xf>
    <xf numFmtId="0" fontId="10" fillId="9" borderId="21" xfId="0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 vertical="center"/>
    </xf>
    <xf numFmtId="10" fontId="10" fillId="0" borderId="28" xfId="0" applyNumberFormat="1" applyFont="1" applyBorder="1" applyAlignment="1">
      <alignment horizontal="center" vertical="center"/>
    </xf>
    <xf numFmtId="0" fontId="10" fillId="9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center" vertical="center"/>
    </xf>
    <xf numFmtId="9" fontId="10" fillId="9" borderId="4" xfId="0" applyNumberFormat="1" applyFont="1" applyFill="1" applyBorder="1" applyAlignment="1">
      <alignment horizontal="center" vertical="center"/>
    </xf>
    <xf numFmtId="0" fontId="24" fillId="4" borderId="2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9" fontId="10" fillId="4" borderId="4" xfId="0" applyNumberFormat="1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 wrapText="1"/>
    </xf>
    <xf numFmtId="0" fontId="25" fillId="3" borderId="15" xfId="0" applyFont="1" applyFill="1" applyBorder="1" applyAlignment="1">
      <alignment horizontal="center" vertical="center" wrapText="1"/>
    </xf>
    <xf numFmtId="0" fontId="25" fillId="3" borderId="16" xfId="0" applyFont="1" applyFill="1" applyBorder="1" applyAlignment="1">
      <alignment horizontal="center" vertical="center" wrapText="1"/>
    </xf>
    <xf numFmtId="0" fontId="22" fillId="0" borderId="0" xfId="0" applyFont="1">
      <alignment vertical="center"/>
    </xf>
    <xf numFmtId="0" fontId="25" fillId="3" borderId="17" xfId="0" applyFont="1" applyFill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25" fillId="0" borderId="18" xfId="0" applyFont="1" applyBorder="1" applyAlignment="1">
      <alignment horizontal="center"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10" fontId="25" fillId="0" borderId="20" xfId="0" applyNumberFormat="1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 wrapText="1"/>
    </xf>
    <xf numFmtId="0" fontId="25" fillId="3" borderId="7" xfId="0" applyFon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3" borderId="12" xfId="0" applyFont="1" applyFill="1" applyBorder="1" applyAlignment="1">
      <alignment horizontal="center" vertical="center"/>
    </xf>
    <xf numFmtId="0" fontId="25" fillId="3" borderId="13" xfId="0" applyFont="1" applyFill="1" applyBorder="1" applyAlignment="1">
      <alignment horizontal="center" vertical="center"/>
    </xf>
    <xf numFmtId="10" fontId="22" fillId="0" borderId="2" xfId="0" applyNumberFormat="1" applyFont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4" borderId="2" xfId="0" applyFont="1" applyFill="1" applyBorder="1" applyAlignment="1">
      <alignment horizontal="center" vertical="center"/>
    </xf>
    <xf numFmtId="0" fontId="25" fillId="6" borderId="2" xfId="0" applyFont="1" applyFill="1" applyBorder="1" applyAlignment="1">
      <alignment horizontal="center" vertical="center"/>
    </xf>
    <xf numFmtId="0" fontId="26" fillId="6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0" borderId="2" xfId="3" applyFont="1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0" fontId="11" fillId="0" borderId="0" xfId="3" applyFont="1" applyAlignment="1">
      <alignment horizontal="center" vertical="center" wrapText="1"/>
    </xf>
    <xf numFmtId="0" fontId="22" fillId="5" borderId="34" xfId="0" applyFont="1" applyFill="1" applyBorder="1" applyAlignment="1">
      <alignment horizontal="center" vertical="center"/>
    </xf>
    <xf numFmtId="0" fontId="22" fillId="5" borderId="35" xfId="0" applyFont="1" applyFill="1" applyBorder="1" applyAlignment="1">
      <alignment horizontal="center" vertical="center"/>
    </xf>
    <xf numFmtId="0" fontId="22" fillId="5" borderId="36" xfId="0" applyFont="1" applyFill="1" applyBorder="1" applyAlignment="1">
      <alignment horizontal="center" vertical="center"/>
    </xf>
    <xf numFmtId="0" fontId="10" fillId="5" borderId="14" xfId="0" applyFont="1" applyFill="1" applyBorder="1" applyAlignment="1">
      <alignment horizontal="center" vertical="center" wrapText="1"/>
    </xf>
    <xf numFmtId="0" fontId="10" fillId="5" borderId="15" xfId="0" applyFont="1" applyFill="1" applyBorder="1" applyAlignment="1">
      <alignment horizontal="center" vertical="center" wrapText="1"/>
    </xf>
    <xf numFmtId="0" fontId="10" fillId="5" borderId="16" xfId="0" applyFont="1" applyFill="1" applyBorder="1" applyAlignment="1">
      <alignment horizontal="center" vertical="center" wrapText="1"/>
    </xf>
    <xf numFmtId="0" fontId="10" fillId="11" borderId="17" xfId="0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6" xfId="0" applyFont="1" applyFill="1" applyBorder="1" applyAlignment="1">
      <alignment horizontal="center" vertical="center" wrapText="1"/>
    </xf>
    <xf numFmtId="0" fontId="10" fillId="6" borderId="20" xfId="0" applyFont="1" applyFill="1" applyBorder="1" applyAlignment="1">
      <alignment horizontal="center" vertical="center"/>
    </xf>
    <xf numFmtId="1" fontId="10" fillId="6" borderId="20" xfId="0" applyNumberFormat="1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0" fillId="12" borderId="14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center" vertical="center" wrapText="1"/>
    </xf>
    <xf numFmtId="166" fontId="11" fillId="11" borderId="2" xfId="3" applyNumberFormat="1" applyFont="1" applyFill="1" applyBorder="1" applyAlignment="1">
      <alignment horizontal="center" vertical="center"/>
    </xf>
    <xf numFmtId="0" fontId="27" fillId="9" borderId="2" xfId="0" applyFont="1" applyFill="1" applyBorder="1" applyAlignment="1">
      <alignment horizontal="center" vertical="center"/>
    </xf>
    <xf numFmtId="0" fontId="28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10" fillId="5" borderId="2" xfId="3" applyNumberFormat="1" applyFont="1" applyFill="1" applyBorder="1" applyAlignment="1">
      <alignment horizontal="center" vertical="center"/>
    </xf>
    <xf numFmtId="0" fontId="10" fillId="5" borderId="2" xfId="3" applyFont="1" applyFill="1" applyBorder="1" applyAlignment="1">
      <alignment horizontal="center" vertical="center"/>
    </xf>
    <xf numFmtId="0" fontId="10" fillId="5" borderId="2" xfId="3" applyFont="1" applyFill="1" applyBorder="1" applyAlignment="1">
      <alignment horizontal="center" vertical="center" wrapText="1"/>
    </xf>
    <xf numFmtId="0" fontId="10" fillId="11" borderId="2" xfId="3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166" fontId="11" fillId="11" borderId="13" xfId="3" applyNumberFormat="1" applyFont="1" applyFill="1" applyBorder="1" applyAlignment="1">
      <alignment horizontal="center" vertical="center"/>
    </xf>
    <xf numFmtId="0" fontId="10" fillId="11" borderId="13" xfId="3" applyFont="1" applyFill="1" applyBorder="1" applyAlignment="1">
      <alignment horizontal="center" vertical="center"/>
    </xf>
    <xf numFmtId="0" fontId="11" fillId="0" borderId="13" xfId="3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1" fillId="0" borderId="13" xfId="3" applyFont="1" applyBorder="1" applyAlignment="1">
      <alignment horizontal="left" vertical="center" wrapText="1"/>
    </xf>
    <xf numFmtId="0" fontId="0" fillId="2" borderId="13" xfId="0" applyFill="1" applyBorder="1" applyAlignment="1">
      <alignment horizontal="center" vertical="center" wrapText="1"/>
    </xf>
    <xf numFmtId="0" fontId="11" fillId="0" borderId="13" xfId="3" applyFont="1" applyBorder="1" applyAlignment="1">
      <alignment horizontal="center" vertical="center" wrapText="1"/>
    </xf>
    <xf numFmtId="0" fontId="11" fillId="11" borderId="2" xfId="3" applyFont="1" applyFill="1" applyBorder="1" applyAlignment="1">
      <alignment horizontal="center" vertical="center"/>
    </xf>
    <xf numFmtId="0" fontId="11" fillId="0" borderId="2" xfId="3" applyFont="1" applyBorder="1" applyAlignment="1">
      <alignment vertical="center" wrapText="1"/>
    </xf>
    <xf numFmtId="0" fontId="21" fillId="0" borderId="2" xfId="3" applyFont="1" applyBorder="1" applyAlignment="1">
      <alignment horizontal="center" vertical="center"/>
    </xf>
    <xf numFmtId="0" fontId="11" fillId="11" borderId="13" xfId="3" applyFont="1" applyFill="1" applyBorder="1" applyAlignment="1">
      <alignment horizontal="center" vertical="center"/>
    </xf>
    <xf numFmtId="0" fontId="11" fillId="0" borderId="13" xfId="3" applyFont="1" applyBorder="1" applyAlignment="1">
      <alignment vertical="center" wrapText="1"/>
    </xf>
    <xf numFmtId="173" fontId="5" fillId="0" borderId="2" xfId="0" applyNumberFormat="1" applyFont="1" applyBorder="1" applyAlignment="1">
      <alignment horizontal="center" vertical="center"/>
    </xf>
    <xf numFmtId="0" fontId="29" fillId="0" borderId="2" xfId="0" applyFont="1" applyBorder="1">
      <alignment vertical="center"/>
    </xf>
    <xf numFmtId="0" fontId="29" fillId="0" borderId="0" xfId="0" applyFont="1">
      <alignment vertical="center"/>
    </xf>
    <xf numFmtId="0" fontId="0" fillId="0" borderId="13" xfId="0" applyBorder="1" applyAlignment="1">
      <alignment horizontal="center" vertical="center" wrapText="1"/>
    </xf>
    <xf numFmtId="2" fontId="11" fillId="0" borderId="2" xfId="3" applyNumberFormat="1" applyFont="1" applyBorder="1" applyAlignment="1">
      <alignment horizontal="center" vertical="center" wrapText="1"/>
    </xf>
    <xf numFmtId="0" fontId="10" fillId="0" borderId="37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1" fillId="11" borderId="14" xfId="0" applyFont="1" applyFill="1" applyBorder="1" applyAlignment="1">
      <alignment horizontal="center" vertical="center"/>
    </xf>
    <xf numFmtId="0" fontId="21" fillId="11" borderId="17" xfId="0" applyFont="1" applyFill="1" applyBorder="1" applyAlignment="1">
      <alignment horizontal="center" vertical="center"/>
    </xf>
    <xf numFmtId="0" fontId="21" fillId="11" borderId="19" xfId="0" applyFont="1" applyFill="1" applyBorder="1" applyAlignment="1">
      <alignment horizontal="center" vertical="center"/>
    </xf>
    <xf numFmtId="0" fontId="21" fillId="11" borderId="31" xfId="0" applyFont="1" applyFill="1" applyBorder="1" applyAlignment="1">
      <alignment horizontal="center" vertical="center"/>
    </xf>
    <xf numFmtId="0" fontId="21" fillId="11" borderId="29" xfId="0" applyFont="1" applyFill="1" applyBorder="1" applyAlignment="1">
      <alignment horizontal="center" vertical="center"/>
    </xf>
    <xf numFmtId="0" fontId="22" fillId="11" borderId="14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1" borderId="19" xfId="0" applyFont="1" applyFill="1" applyBorder="1" applyAlignment="1">
      <alignment horizontal="center" vertical="center"/>
    </xf>
    <xf numFmtId="0" fontId="22" fillId="11" borderId="31" xfId="0" applyFont="1" applyFill="1" applyBorder="1" applyAlignment="1">
      <alignment horizontal="center" vertical="center"/>
    </xf>
    <xf numFmtId="0" fontId="22" fillId="11" borderId="29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</cellXfs>
  <cellStyles count="22">
    <cellStyle name="active" xfId="4" xr:uid="{00000000-0005-0000-0000-000000000000}"/>
    <cellStyle name="Followed Hyperlink" xfId="5" xr:uid="{00000000-0005-0000-0000-000001000000}"/>
    <cellStyle name="Grey" xfId="6" xr:uid="{00000000-0005-0000-0000-000002000000}"/>
    <cellStyle name="Header1" xfId="7" xr:uid="{00000000-0005-0000-0000-000003000000}"/>
    <cellStyle name="Header2" xfId="8" xr:uid="{00000000-0005-0000-0000-000004000000}"/>
    <cellStyle name="Hyperlink" xfId="9" xr:uid="{00000000-0005-0000-0000-000005000000}"/>
    <cellStyle name="Input [yellow]" xfId="10" xr:uid="{00000000-0005-0000-0000-000006000000}"/>
    <cellStyle name="Normal - Style1" xfId="11" xr:uid="{00000000-0005-0000-0000-000007000000}"/>
    <cellStyle name="Normal_kpi index (2)" xfId="2" xr:uid="{00000000-0005-0000-0000-000008000000}"/>
    <cellStyle name="Percent [2]" xfId="12" xr:uid="{00000000-0005-0000-0000-000009000000}"/>
    <cellStyle name="wafer" xfId="13" xr:uid="{00000000-0005-0000-0000-00000A000000}"/>
    <cellStyle name="遽_laroux" xfId="14" xr:uid="{00000000-0005-0000-0000-00000B000000}"/>
    <cellStyle name="一般" xfId="0" builtinId="0"/>
    <cellStyle name="一般 2" xfId="15" xr:uid="{00000000-0005-0000-0000-00000D000000}"/>
    <cellStyle name="一般 3" xfId="3" xr:uid="{00000000-0005-0000-0000-00000E000000}"/>
    <cellStyle name="百分比" xfId="1" builtinId="5"/>
    <cellStyle name="百分比 2" xfId="16" xr:uid="{00000000-0005-0000-0000-000010000000}"/>
    <cellStyle name="貨幣[0]_laroux" xfId="17" xr:uid="{00000000-0005-0000-0000-000011000000}"/>
    <cellStyle name="巍葆 [0]_laroux" xfId="18" xr:uid="{00000000-0005-0000-0000-000012000000}"/>
    <cellStyle name="巍葆_laroux" xfId="19" xr:uid="{00000000-0005-0000-0000-000013000000}"/>
    <cellStyle name="鱔 [0]_laroux" xfId="20" xr:uid="{00000000-0005-0000-0000-000014000000}"/>
    <cellStyle name="鱔_laroux" xfId="21" xr:uid="{00000000-0005-0000-0000-000015000000}"/>
  </cellStyles>
  <dxfs count="0"/>
  <tableStyles count="0" defaultTableStyle="TableStyleMedium2" defaultPivotStyle="PivotStyleLight16"/>
  <colors>
    <mruColors>
      <color rgb="FF4132FE"/>
      <color rgb="FF2E8282"/>
      <color rgb="FF0000CC"/>
      <color rgb="FF66FF99"/>
      <color rgb="FFFF0000"/>
      <color rgb="FF4B33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LP-T RUN</a:t>
            </a:r>
            <a:r>
              <a:rPr lang="zh-TW"/>
              <a:t>次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'PTC OOS Rate'!$A$6</c:f>
              <c:strCache>
                <c:ptCount val="1"/>
                <c:pt idx="0">
                  <c:v>LP-T1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Rate'!$B$6:$V$6</c:f>
              <c:numCache>
                <c:formatCode>0</c:formatCode>
                <c:ptCount val="21"/>
                <c:pt idx="0">
                  <c:v>118.33333333333333</c:v>
                </c:pt>
                <c:pt idx="1">
                  <c:v>123.58333333333333</c:v>
                </c:pt>
                <c:pt idx="2">
                  <c:v>112</c:v>
                </c:pt>
                <c:pt idx="4">
                  <c:v>112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112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B8DA-4182-95A1-3F3C99D6985F}"/>
            </c:ext>
          </c:extLst>
        </c:ser>
        <c:ser>
          <c:idx val="1"/>
          <c:order val="1"/>
          <c:tx>
            <c:strRef>
              <c:f>'PTC OOS Rate'!$A$7</c:f>
              <c:strCache>
                <c:ptCount val="1"/>
                <c:pt idx="0">
                  <c:v>LP-T2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Rate'!$B$7:$V$7</c:f>
              <c:numCache>
                <c:formatCode>0</c:formatCode>
                <c:ptCount val="21"/>
                <c:pt idx="0">
                  <c:v>116.58333333333333</c:v>
                </c:pt>
                <c:pt idx="1">
                  <c:v>126.33333333333333</c:v>
                </c:pt>
                <c:pt idx="2">
                  <c:v>121</c:v>
                </c:pt>
                <c:pt idx="4">
                  <c:v>121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121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B8DA-4182-95A1-3F3C99D6985F}"/>
            </c:ext>
          </c:extLst>
        </c:ser>
        <c:ser>
          <c:idx val="2"/>
          <c:order val="2"/>
          <c:tx>
            <c:strRef>
              <c:f>'PTC OOS Rate'!$A$8</c:f>
              <c:strCache>
                <c:ptCount val="1"/>
                <c:pt idx="0">
                  <c:v>LP-T3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Rate'!$B$8:$V$8</c:f>
              <c:numCache>
                <c:formatCode>0</c:formatCode>
                <c:ptCount val="21"/>
                <c:pt idx="0">
                  <c:v>130.91666666666666</c:v>
                </c:pt>
                <c:pt idx="1">
                  <c:v>131.83333333333334</c:v>
                </c:pt>
                <c:pt idx="2">
                  <c:v>132</c:v>
                </c:pt>
                <c:pt idx="4">
                  <c:v>132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132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B8DA-4182-95A1-3F3C99D6985F}"/>
            </c:ext>
          </c:extLst>
        </c:ser>
        <c:ser>
          <c:idx val="3"/>
          <c:order val="3"/>
          <c:tx>
            <c:strRef>
              <c:f>'PTC OOS Rate'!$A$9</c:f>
              <c:strCache>
                <c:ptCount val="1"/>
                <c:pt idx="0">
                  <c:v>LP-T4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Rate'!$B$9:$V$9</c:f>
              <c:numCache>
                <c:formatCode>0</c:formatCode>
                <c:ptCount val="21"/>
                <c:pt idx="0">
                  <c:v>110.75</c:v>
                </c:pt>
                <c:pt idx="1">
                  <c:v>141.25</c:v>
                </c:pt>
                <c:pt idx="2">
                  <c:v>126</c:v>
                </c:pt>
                <c:pt idx="4">
                  <c:v>126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126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B8DA-4182-95A1-3F3C99D6985F}"/>
            </c:ext>
          </c:extLst>
        </c:ser>
        <c:ser>
          <c:idx val="4"/>
          <c:order val="4"/>
          <c:tx>
            <c:strRef>
              <c:f>'PTC OOS Rate'!$A$10</c:f>
              <c:strCache>
                <c:ptCount val="1"/>
                <c:pt idx="0">
                  <c:v>LP-T5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Rate'!$B$10:$V$10</c:f>
              <c:numCache>
                <c:formatCode>0</c:formatCode>
                <c:ptCount val="21"/>
                <c:pt idx="0">
                  <c:v>124.75</c:v>
                </c:pt>
                <c:pt idx="1">
                  <c:v>141.91666666666666</c:v>
                </c:pt>
                <c:pt idx="2">
                  <c:v>133</c:v>
                </c:pt>
                <c:pt idx="4">
                  <c:v>133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133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B8DA-4182-95A1-3F3C99D6985F}"/>
            </c:ext>
          </c:extLst>
        </c:ser>
        <c:ser>
          <c:idx val="5"/>
          <c:order val="5"/>
          <c:tx>
            <c:strRef>
              <c:f>'PTC OOS Rate'!$A$11</c:f>
              <c:strCache>
                <c:ptCount val="1"/>
                <c:pt idx="0">
                  <c:v>LP-T6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Rate'!$B$11:$V$11</c:f>
              <c:numCache>
                <c:formatCode>0</c:formatCode>
                <c:ptCount val="21"/>
                <c:pt idx="0">
                  <c:v>135.66666666666666</c:v>
                </c:pt>
                <c:pt idx="1">
                  <c:v>145.5</c:v>
                </c:pt>
                <c:pt idx="2">
                  <c:v>125</c:v>
                </c:pt>
                <c:pt idx="4">
                  <c:v>125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125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B8DA-4182-95A1-3F3C99D6985F}"/>
            </c:ext>
          </c:extLst>
        </c:ser>
        <c:ser>
          <c:idx val="6"/>
          <c:order val="6"/>
          <c:tx>
            <c:strRef>
              <c:f>'PTC OOS Rate'!$A$12</c:f>
              <c:strCache>
                <c:ptCount val="1"/>
                <c:pt idx="0">
                  <c:v>LP-T8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'PTC OOS Rate'!$B$12:$V$12</c:f>
              <c:numCache>
                <c:formatCode>0</c:formatCode>
                <c:ptCount val="21"/>
                <c:pt idx="0">
                  <c:v>64.333333333333329</c:v>
                </c:pt>
                <c:pt idx="1">
                  <c:v>70.166666666666671</c:v>
                </c:pt>
                <c:pt idx="2">
                  <c:v>39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9" formatCode="General">
                  <c:v>39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'2018 LP PTC OOC Rate'!#REF!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6-B8DA-4182-95A1-3F3C99D6985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2201728"/>
        <c:axId val="52219904"/>
      </c:barChart>
      <c:catAx>
        <c:axId val="5220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19904"/>
        <c:crosses val="autoZero"/>
        <c:auto val="1"/>
        <c:lblAlgn val="ctr"/>
        <c:lblOffset val="100"/>
        <c:noMultiLvlLbl val="0"/>
      </c:catAx>
      <c:valAx>
        <c:axId val="5221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0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altLang="zh-TW" sz="1600">
                <a:latin typeface="微軟正黑體" panose="020B0604030504040204" pitchFamily="34" charset="-120"/>
                <a:ea typeface="微軟正黑體" panose="020B0604030504040204" pitchFamily="34" charset="-120"/>
              </a:rPr>
              <a:t>LP-T PTC</a:t>
            </a:r>
            <a:r>
              <a:rPr lang="en-US" altLang="zh-TW" sz="1600" baseline="0">
                <a:latin typeface="微軟正黑體" panose="020B0604030504040204" pitchFamily="34" charset="-120"/>
                <a:ea typeface="微軟正黑體" panose="020B0604030504040204" pitchFamily="34" charset="-120"/>
              </a:rPr>
              <a:t> OOS Rate</a:t>
            </a:r>
            <a:endParaRPr lang="zh-TW" sz="1600"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35844488188976376"/>
          <c:y val="7.7972589871851744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178706962715887"/>
          <c:y val="0.14408769820395281"/>
          <c:w val="0.84285558984824172"/>
          <c:h val="0.54338729507253136"/>
        </c:manualLayout>
      </c:layout>
      <c:lineChart>
        <c:grouping val="standard"/>
        <c:varyColors val="0"/>
        <c:ser>
          <c:idx val="3"/>
          <c:order val="0"/>
          <c:tx>
            <c:strRef>
              <c:f>'PTC OOS Rate'!$A$3</c:f>
              <c:strCache>
                <c:ptCount val="1"/>
                <c:pt idx="0">
                  <c:v>Spec (%)</c:v>
                </c:pt>
              </c:strCache>
            </c:strRef>
          </c:tx>
          <c:spPr>
            <a:ln w="28575">
              <a:solidFill>
                <a:srgbClr val="FF0000"/>
              </a:solidFill>
              <a:prstDash val="sysDash"/>
            </a:ln>
          </c:spPr>
          <c:marker>
            <c:symbol val="none"/>
          </c:marker>
          <c:val>
            <c:numRef>
              <c:f>'PTC OOS Rate'!$B$3:$V$3</c:f>
              <c:numCache>
                <c:formatCode>0.00%</c:formatCode>
                <c:ptCount val="21"/>
                <c:pt idx="0">
                  <c:v>2E-3</c:v>
                </c:pt>
                <c:pt idx="1">
                  <c:v>2E-3</c:v>
                </c:pt>
                <c:pt idx="2">
                  <c:v>2E-3</c:v>
                </c:pt>
                <c:pt idx="3">
                  <c:v>2E-3</c:v>
                </c:pt>
                <c:pt idx="4">
                  <c:v>2E-3</c:v>
                </c:pt>
                <c:pt idx="5">
                  <c:v>2E-3</c:v>
                </c:pt>
                <c:pt idx="6">
                  <c:v>2E-3</c:v>
                </c:pt>
                <c:pt idx="7">
                  <c:v>2E-3</c:v>
                </c:pt>
                <c:pt idx="8">
                  <c:v>2E-3</c:v>
                </c:pt>
                <c:pt idx="9">
                  <c:v>2E-3</c:v>
                </c:pt>
                <c:pt idx="10">
                  <c:v>2E-3</c:v>
                </c:pt>
                <c:pt idx="11">
                  <c:v>2E-3</c:v>
                </c:pt>
                <c:pt idx="12">
                  <c:v>2E-3</c:v>
                </c:pt>
                <c:pt idx="13">
                  <c:v>2E-3</c:v>
                </c:pt>
                <c:pt idx="14">
                  <c:v>2E-3</c:v>
                </c:pt>
                <c:pt idx="15">
                  <c:v>2E-3</c:v>
                </c:pt>
                <c:pt idx="16">
                  <c:v>2E-3</c:v>
                </c:pt>
                <c:pt idx="17">
                  <c:v>2E-3</c:v>
                </c:pt>
                <c:pt idx="18">
                  <c:v>2E-3</c:v>
                </c:pt>
                <c:pt idx="19">
                  <c:v>2E-3</c:v>
                </c:pt>
                <c:pt idx="20">
                  <c:v>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14-400D-914A-8777D1205356}"/>
            </c:ext>
          </c:extLst>
        </c:ser>
        <c:ser>
          <c:idx val="1"/>
          <c:order val="1"/>
          <c:tx>
            <c:strRef>
              <c:f>'PTC OOS Rate'!$A$2</c:f>
              <c:strCache>
                <c:ptCount val="1"/>
                <c:pt idx="0">
                  <c:v>OOS rate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2857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aseline="0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AFCF-4062-B064-16558B9239DA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aseline="0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FCF-4062-B064-16558B9239DA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000" baseline="0"/>
                  </a:pPr>
                  <a:endParaRPr lang="en-US"/>
                </a:p>
              </c:txPr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AFCF-4062-B064-16558B9239D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aseline="0"/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'PTC OOS Rate'!$B$1:$V$1</c:f>
              <c:strCache>
                <c:ptCount val="21"/>
                <c:pt idx="0">
                  <c:v>23Y</c:v>
                </c:pt>
                <c:pt idx="1">
                  <c:v>24Y</c:v>
                </c:pt>
                <c:pt idx="2">
                  <c:v>25Y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9">
                  <c:v>1M</c:v>
                </c:pt>
                <c:pt idx="10">
                  <c:v>2M</c:v>
                </c:pt>
                <c:pt idx="11">
                  <c:v>3M</c:v>
                </c:pt>
                <c:pt idx="12">
                  <c:v>4M</c:v>
                </c:pt>
                <c:pt idx="13">
                  <c:v>5M</c:v>
                </c:pt>
                <c:pt idx="14">
                  <c:v>6M</c:v>
                </c:pt>
                <c:pt idx="15">
                  <c:v>7M</c:v>
                </c:pt>
                <c:pt idx="16">
                  <c:v>8M</c:v>
                </c:pt>
                <c:pt idx="17">
                  <c:v>9M</c:v>
                </c:pt>
                <c:pt idx="18">
                  <c:v>10M</c:v>
                </c:pt>
                <c:pt idx="19">
                  <c:v>11M</c:v>
                </c:pt>
                <c:pt idx="20">
                  <c:v>12M</c:v>
                </c:pt>
              </c:strCache>
            </c:strRef>
          </c:cat>
          <c:val>
            <c:numRef>
              <c:f>'PTC OOS Rate'!$B$2:$V$2</c:f>
              <c:numCache>
                <c:formatCode>0.00%</c:formatCode>
                <c:ptCount val="21"/>
                <c:pt idx="0">
                  <c:v>7.8618279586157875E-4</c:v>
                </c:pt>
                <c:pt idx="1">
                  <c:v>1.5141478186807987E-3</c:v>
                </c:pt>
                <c:pt idx="2">
                  <c:v>2.5380710659898475E-3</c:v>
                </c:pt>
                <c:pt idx="4">
                  <c:v>2.5380710659898475E-3</c:v>
                </c:pt>
                <c:pt idx="9">
                  <c:v>1.2690355329949238E-3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0D-4BC5-A38C-CEFF65602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2344320"/>
        <c:axId val="52345856"/>
        <c:extLst>
          <c:ext xmlns:c15="http://schemas.microsoft.com/office/drawing/2012/chart" uri="{02D57815-91ED-43cb-92C2-25804820EDAC}">
            <c15:filteredLineSeries>
              <c15:ser>
                <c:idx val="0"/>
                <c:order val="2"/>
                <c:tx>
                  <c:strRef>
                    <c:extLst>
                      <c:ext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rgbClr val="4B33FD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4B33FD"/>
                    </a:solidFill>
                    <a:ln w="28575">
                      <a:solidFill>
                        <a:srgbClr val="4132FE"/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ormulaRef>
                          <c15:sqref>'PTC OOS Rate'!$B$1:$V$1</c15:sqref>
                        </c15:formulaRef>
                      </c:ext>
                    </c:extLst>
                    <c:strCache>
                      <c:ptCount val="21"/>
                      <c:pt idx="0">
                        <c:v>23Y</c:v>
                      </c:pt>
                      <c:pt idx="1">
                        <c:v>24Y</c:v>
                      </c:pt>
                      <c:pt idx="2">
                        <c:v>25Y</c:v>
                      </c:pt>
                      <c:pt idx="4">
                        <c:v>Q1</c:v>
                      </c:pt>
                      <c:pt idx="5">
                        <c:v>Q2</c:v>
                      </c:pt>
                      <c:pt idx="6">
                        <c:v>Q3</c:v>
                      </c:pt>
                      <c:pt idx="7">
                        <c:v>Q4</c:v>
                      </c:pt>
                      <c:pt idx="9">
                        <c:v>1M</c:v>
                      </c:pt>
                      <c:pt idx="10">
                        <c:v>2M</c:v>
                      </c:pt>
                      <c:pt idx="11">
                        <c:v>3M</c:v>
                      </c:pt>
                      <c:pt idx="12">
                        <c:v>4M</c:v>
                      </c:pt>
                      <c:pt idx="13">
                        <c:v>5M</c:v>
                      </c:pt>
                      <c:pt idx="14">
                        <c:v>6M</c:v>
                      </c:pt>
                      <c:pt idx="15">
                        <c:v>7M</c:v>
                      </c:pt>
                      <c:pt idx="16">
                        <c:v>8M</c:v>
                      </c:pt>
                      <c:pt idx="17">
                        <c:v>9M</c:v>
                      </c:pt>
                      <c:pt idx="18">
                        <c:v>10M</c:v>
                      </c:pt>
                      <c:pt idx="19">
                        <c:v>11M</c:v>
                      </c:pt>
                      <c:pt idx="20">
                        <c:v>12M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00D-4BC5-A38C-CEFF6560244B}"/>
                  </c:ext>
                </c:extLst>
              </c15:ser>
            </c15:filteredLineSeries>
            <c15:filteredLineSeries>
              <c15:ser>
                <c:idx val="2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:tx>
                <c:spPr>
                  <a:ln w="28575" cap="rnd">
                    <a:solidFill>
                      <a:schemeClr val="tx1">
                        <a:lumMod val="95000"/>
                        <a:lumOff val="5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tx1">
                        <a:lumMod val="85000"/>
                        <a:lumOff val="15000"/>
                      </a:schemeClr>
                    </a:solidFill>
                    <a:ln w="31750">
                      <a:solidFill>
                        <a:schemeClr val="tx1"/>
                      </a:solidFill>
                    </a:ln>
                    <a:effectLst/>
                  </c:spPr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'PTC OOS Rate'!$B$1:$V$1</c15:sqref>
                        </c15:formulaRef>
                      </c:ext>
                    </c:extLst>
                    <c:strCache>
                      <c:ptCount val="21"/>
                      <c:pt idx="0">
                        <c:v>23Y</c:v>
                      </c:pt>
                      <c:pt idx="1">
                        <c:v>24Y</c:v>
                      </c:pt>
                      <c:pt idx="2">
                        <c:v>25Y</c:v>
                      </c:pt>
                      <c:pt idx="4">
                        <c:v>Q1</c:v>
                      </c:pt>
                      <c:pt idx="5">
                        <c:v>Q2</c:v>
                      </c:pt>
                      <c:pt idx="6">
                        <c:v>Q3</c:v>
                      </c:pt>
                      <c:pt idx="7">
                        <c:v>Q4</c:v>
                      </c:pt>
                      <c:pt idx="9">
                        <c:v>1M</c:v>
                      </c:pt>
                      <c:pt idx="10">
                        <c:v>2M</c:v>
                      </c:pt>
                      <c:pt idx="11">
                        <c:v>3M</c:v>
                      </c:pt>
                      <c:pt idx="12">
                        <c:v>4M</c:v>
                      </c:pt>
                      <c:pt idx="13">
                        <c:v>5M</c:v>
                      </c:pt>
                      <c:pt idx="14">
                        <c:v>6M</c:v>
                      </c:pt>
                      <c:pt idx="15">
                        <c:v>7M</c:v>
                      </c:pt>
                      <c:pt idx="16">
                        <c:v>8M</c:v>
                      </c:pt>
                      <c:pt idx="17">
                        <c:v>9M</c:v>
                      </c:pt>
                      <c:pt idx="18">
                        <c:v>10M</c:v>
                      </c:pt>
                      <c:pt idx="19">
                        <c:v>11M</c:v>
                      </c:pt>
                      <c:pt idx="20">
                        <c:v>12M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'2023Y LP PTC OOS Rate'!#REF!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00D-4BC5-A38C-CEFF6560244B}"/>
                  </c:ext>
                </c:extLst>
              </c15:ser>
            </c15:filteredLineSeries>
          </c:ext>
        </c:extLst>
      </c:lineChart>
      <c:catAx>
        <c:axId val="52344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5856"/>
        <c:crosses val="autoZero"/>
        <c:auto val="1"/>
        <c:lblAlgn val="ctr"/>
        <c:lblOffset val="100"/>
        <c:noMultiLvlLbl val="0"/>
      </c:catAx>
      <c:valAx>
        <c:axId val="5234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344320"/>
        <c:crosses val="autoZero"/>
        <c:crossBetween val="between"/>
      </c:valAx>
      <c:dTable>
        <c:showHorzBorder val="1"/>
        <c:showVertBorder val="1"/>
        <c:showOutline val="1"/>
        <c:showKeys val="1"/>
        <c:txPr>
          <a:bodyPr/>
          <a:lstStyle/>
          <a:p>
            <a:pPr rtl="0">
              <a:defRPr sz="1200" baseline="0"/>
            </a:pPr>
            <a:endParaRPr lang="en-US"/>
          </a:p>
        </c:txPr>
      </c:dTable>
      <c:spPr>
        <a:blipFill>
          <a:blip xmlns:r="http://schemas.openxmlformats.org/officeDocument/2006/relationships" r:embed="rId1"/>
          <a:tile tx="0" ty="0" sx="100000" sy="100000" flip="none" algn="tl"/>
        </a:blipFill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1"/>
      <a:tile tx="0" ty="0" sx="100000" sy="100000" flip="none" algn="tl"/>
    </a:blip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LP-T PTC OOS </a:t>
            </a:r>
            <a:r>
              <a:rPr lang="zh-TW" altLang="en-US" sz="1600" b="1">
                <a:solidFill>
                  <a:schemeClr val="tx1"/>
                </a:solidFill>
              </a:rPr>
              <a:t>次數</a:t>
            </a:r>
            <a:endParaRPr lang="en-US" sz="16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39115081800155543"/>
          <c:y val="5.985906921697520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微軟正黑體" panose="020B0604030504040204" pitchFamily="34" charset="-12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398073183941355"/>
          <c:y val="0.10417905265662072"/>
          <c:w val="0.81381076897179172"/>
          <c:h val="0.3357915272292693"/>
        </c:manualLayout>
      </c:layout>
      <c:barChart>
        <c:barDir val="col"/>
        <c:grouping val="stacked"/>
        <c:varyColors val="0"/>
        <c:ser>
          <c:idx val="8"/>
          <c:order val="2"/>
          <c:tx>
            <c:strRef>
              <c:f>'PTC OOS Rate'!$A$22</c:f>
              <c:strCache>
                <c:ptCount val="1"/>
                <c:pt idx="0">
                  <c:v>LP-T8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Rate'!$B$22:$V$22</c:f>
              <c:numCache>
                <c:formatCode>General</c:formatCode>
                <c:ptCount val="21"/>
                <c:pt idx="0">
                  <c:v>1</c:v>
                </c:pt>
                <c:pt idx="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C96-44ED-8BD6-14F3AC62EF21}"/>
            </c:ext>
          </c:extLst>
        </c:ser>
        <c:ser>
          <c:idx val="7"/>
          <c:order val="3"/>
          <c:tx>
            <c:strRef>
              <c:f>'PTC OOS Rate'!$A$21</c:f>
              <c:strCache>
                <c:ptCount val="1"/>
                <c:pt idx="0">
                  <c:v>LP-T6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Rate'!$B$21:$V$21</c:f>
              <c:numCache>
                <c:formatCode>General</c:formatCode>
                <c:ptCount val="21"/>
                <c:pt idx="0">
                  <c:v>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C96-44ED-8BD6-14F3AC62EF21}"/>
            </c:ext>
          </c:extLst>
        </c:ser>
        <c:ser>
          <c:idx val="6"/>
          <c:order val="4"/>
          <c:tx>
            <c:strRef>
              <c:f>'PTC OOS Rate'!$A$20</c:f>
              <c:strCache>
                <c:ptCount val="1"/>
                <c:pt idx="0">
                  <c:v>LP-T5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'PTC OOS Rate'!$B$20:$V$20</c:f>
              <c:numCache>
                <c:formatCode>General</c:formatCode>
                <c:ptCount val="21"/>
              </c:numCache>
            </c:numRef>
          </c:val>
          <c:extLst>
            <c:ext xmlns:c16="http://schemas.microsoft.com/office/drawing/2014/chart" uri="{C3380CC4-5D6E-409C-BE32-E72D297353CC}">
              <c16:uniqueId val="{00000004-AC96-44ED-8BD6-14F3AC62EF21}"/>
            </c:ext>
          </c:extLst>
        </c:ser>
        <c:ser>
          <c:idx val="5"/>
          <c:order val="5"/>
          <c:tx>
            <c:strRef>
              <c:f>'PTC OOS Rate'!$A$19</c:f>
              <c:strCache>
                <c:ptCount val="1"/>
                <c:pt idx="0">
                  <c:v>LP-T4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Rate'!$B$19:$V$19</c:f>
              <c:numCache>
                <c:formatCode>General</c:formatCode>
                <c:ptCount val="21"/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96-44ED-8BD6-14F3AC62EF21}"/>
            </c:ext>
          </c:extLst>
        </c:ser>
        <c:ser>
          <c:idx val="4"/>
          <c:order val="6"/>
          <c:tx>
            <c:strRef>
              <c:f>'PTC OOS Rate'!$A$18</c:f>
              <c:strCache>
                <c:ptCount val="1"/>
                <c:pt idx="0">
                  <c:v>LP-T3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Rate'!$B$18:$V$18</c:f>
              <c:numCache>
                <c:formatCode>General</c:formatCode>
                <c:ptCount val="21"/>
                <c:pt idx="0">
                  <c:v>2</c:v>
                </c:pt>
                <c:pt idx="2" formatCode="0">
                  <c:v>1</c:v>
                </c:pt>
                <c:pt idx="4" formatCode="0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96-44ED-8BD6-14F3AC62EF21}"/>
            </c:ext>
          </c:extLst>
        </c:ser>
        <c:ser>
          <c:idx val="3"/>
          <c:order val="7"/>
          <c:tx>
            <c:strRef>
              <c:f>'PTC OOS Rate'!$A$17</c:f>
              <c:strCache>
                <c:ptCount val="1"/>
                <c:pt idx="0">
                  <c:v>LP-T2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Rate'!$B$17:$V$17</c:f>
              <c:numCache>
                <c:formatCode>General</c:formatCode>
                <c:ptCount val="21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6-44ED-8BD6-14F3AC62EF21}"/>
            </c:ext>
          </c:extLst>
        </c:ser>
        <c:ser>
          <c:idx val="2"/>
          <c:order val="8"/>
          <c:tx>
            <c:strRef>
              <c:f>'PTC OOS Rate'!$A$16</c:f>
              <c:strCache>
                <c:ptCount val="1"/>
                <c:pt idx="0">
                  <c:v>LP-T1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'PTC OOS Rate'!$B$16:$V$16</c:f>
              <c:numCache>
                <c:formatCode>General</c:formatCode>
                <c:ptCount val="21"/>
                <c:pt idx="0">
                  <c:v>1</c:v>
                </c:pt>
                <c:pt idx="1">
                  <c:v>6</c:v>
                </c:pt>
                <c:pt idx="2" formatCode="0">
                  <c:v>1</c:v>
                </c:pt>
                <c:pt idx="4" formatCode="0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6-44ED-8BD6-14F3AC62E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7361183"/>
        <c:axId val="837360767"/>
      </c:barChart>
      <c:lineChart>
        <c:grouping val="standard"/>
        <c:varyColors val="0"/>
        <c:ser>
          <c:idx val="1"/>
          <c:order val="0"/>
          <c:tx>
            <c:strRef>
              <c:f>'PTC OOS Rate'!$A$23</c:f>
              <c:strCache>
                <c:ptCount val="1"/>
                <c:pt idx="0">
                  <c:v>PTC 次數</c:v>
                </c:pt>
              </c:strCache>
            </c:strRef>
          </c:tx>
          <c:spPr>
            <a:ln w="31750" cap="rnd">
              <a:noFill/>
              <a:round/>
            </a:ln>
            <a:effectLst/>
          </c:spPr>
          <c:marker>
            <c:symbol val="none"/>
          </c:marker>
          <c:cat>
            <c:strRef>
              <c:f>'PTC OOS Rate'!$B$5:$V$5</c:f>
              <c:strCache>
                <c:ptCount val="21"/>
                <c:pt idx="0">
                  <c:v>23Y</c:v>
                </c:pt>
                <c:pt idx="1">
                  <c:v>24Y</c:v>
                </c:pt>
                <c:pt idx="2">
                  <c:v>25Y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9">
                  <c:v>1M</c:v>
                </c:pt>
                <c:pt idx="10">
                  <c:v>2M</c:v>
                </c:pt>
                <c:pt idx="11">
                  <c:v>3M</c:v>
                </c:pt>
                <c:pt idx="12">
                  <c:v>4M</c:v>
                </c:pt>
                <c:pt idx="13">
                  <c:v>5M</c:v>
                </c:pt>
                <c:pt idx="14">
                  <c:v>6M</c:v>
                </c:pt>
                <c:pt idx="15">
                  <c:v>7M</c:v>
                </c:pt>
                <c:pt idx="16">
                  <c:v>8M</c:v>
                </c:pt>
                <c:pt idx="17">
                  <c:v>9M</c:v>
                </c:pt>
                <c:pt idx="18">
                  <c:v>10M</c:v>
                </c:pt>
                <c:pt idx="19">
                  <c:v>11M</c:v>
                </c:pt>
                <c:pt idx="20">
                  <c:v>12M</c:v>
                </c:pt>
              </c:strCache>
            </c:strRef>
          </c:cat>
          <c:val>
            <c:numRef>
              <c:f>'PTC OOS Rate'!$B$23:$V$23</c:f>
              <c:numCache>
                <c:formatCode>General</c:formatCode>
                <c:ptCount val="21"/>
                <c:pt idx="0">
                  <c:v>7</c:v>
                </c:pt>
                <c:pt idx="1">
                  <c:v>16</c:v>
                </c:pt>
                <c:pt idx="2">
                  <c:v>2</c:v>
                </c:pt>
                <c:pt idx="4" formatCode="0">
                  <c:v>2</c:v>
                </c:pt>
                <c:pt idx="9" formatCode="0">
                  <c:v>1</c:v>
                </c:pt>
                <c:pt idx="10" formatCode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1BE-4DFE-96B6-0CA90E1A19D0}"/>
            </c:ext>
          </c:extLst>
        </c:ser>
        <c:ser>
          <c:idx val="0"/>
          <c:order val="1"/>
          <c:tx>
            <c:strRef>
              <c:f>'PTC OOS Rate'!$A$13</c:f>
              <c:strCache>
                <c:ptCount val="1"/>
                <c:pt idx="0">
                  <c:v>Run 數</c:v>
                </c:pt>
              </c:strCache>
            </c:strRef>
          </c:tx>
          <c:spPr>
            <a:ln w="12700" cap="rnd">
              <a:noFill/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strRef>
              <c:f>'PTC OOS Rate'!$B$5:$V$5</c:f>
              <c:strCache>
                <c:ptCount val="21"/>
                <c:pt idx="0">
                  <c:v>23Y</c:v>
                </c:pt>
                <c:pt idx="1">
                  <c:v>24Y</c:v>
                </c:pt>
                <c:pt idx="2">
                  <c:v>25Y</c:v>
                </c:pt>
                <c:pt idx="4">
                  <c:v>Q1</c:v>
                </c:pt>
                <c:pt idx="5">
                  <c:v>Q2</c:v>
                </c:pt>
                <c:pt idx="6">
                  <c:v>Q3</c:v>
                </c:pt>
                <c:pt idx="7">
                  <c:v>Q4</c:v>
                </c:pt>
                <c:pt idx="9">
                  <c:v>1M</c:v>
                </c:pt>
                <c:pt idx="10">
                  <c:v>2M</c:v>
                </c:pt>
                <c:pt idx="11">
                  <c:v>3M</c:v>
                </c:pt>
                <c:pt idx="12">
                  <c:v>4M</c:v>
                </c:pt>
                <c:pt idx="13">
                  <c:v>5M</c:v>
                </c:pt>
                <c:pt idx="14">
                  <c:v>6M</c:v>
                </c:pt>
                <c:pt idx="15">
                  <c:v>7M</c:v>
                </c:pt>
                <c:pt idx="16">
                  <c:v>8M</c:v>
                </c:pt>
                <c:pt idx="17">
                  <c:v>9M</c:v>
                </c:pt>
                <c:pt idx="18">
                  <c:v>10M</c:v>
                </c:pt>
                <c:pt idx="19">
                  <c:v>11M</c:v>
                </c:pt>
                <c:pt idx="20">
                  <c:v>12M</c:v>
                </c:pt>
              </c:strCache>
            </c:strRef>
          </c:cat>
          <c:val>
            <c:numRef>
              <c:f>'PTC OOS Rate'!$B$13:$V$13</c:f>
              <c:numCache>
                <c:formatCode>0</c:formatCode>
                <c:ptCount val="21"/>
                <c:pt idx="0">
                  <c:v>801.33333333333337</c:v>
                </c:pt>
                <c:pt idx="1">
                  <c:v>880.58333333333337</c:v>
                </c:pt>
                <c:pt idx="2">
                  <c:v>788</c:v>
                </c:pt>
                <c:pt idx="4">
                  <c:v>788</c:v>
                </c:pt>
                <c:pt idx="9" formatCode="General">
                  <c:v>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1BE-4DFE-96B6-0CA90E1A1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520832"/>
        <c:axId val="52518272"/>
      </c:lineChart>
      <c:valAx>
        <c:axId val="52518272"/>
        <c:scaling>
          <c:orientation val="minMax"/>
          <c:max val="40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r>
                  <a:rPr lang="en-US" sz="1100" b="0">
                    <a:solidFill>
                      <a:schemeClr val="tx1"/>
                    </a:solidFill>
                  </a:rPr>
                  <a:t>OOC</a:t>
                </a:r>
                <a:r>
                  <a:rPr lang="zh-TW" sz="1100" b="0">
                    <a:solidFill>
                      <a:schemeClr val="tx1"/>
                    </a:solidFill>
                  </a:rPr>
                  <a:t>次數</a:t>
                </a:r>
              </a:p>
            </c:rich>
          </c:tx>
          <c:layout>
            <c:manualLayout>
              <c:xMode val="edge"/>
              <c:yMode val="edge"/>
              <c:x val="2.8956174717598746E-2"/>
              <c:y val="0.181891820149230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微軟正黑體" panose="020B0604030504040204" pitchFamily="34" charset="-12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2520832"/>
        <c:crosses val="max"/>
        <c:crossBetween val="between"/>
      </c:valAx>
      <c:catAx>
        <c:axId val="52520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2518272"/>
        <c:crosses val="autoZero"/>
        <c:auto val="1"/>
        <c:lblAlgn val="ctr"/>
        <c:lblOffset val="100"/>
        <c:noMultiLvlLbl val="0"/>
      </c:catAx>
      <c:valAx>
        <c:axId val="837360767"/>
        <c:scaling>
          <c:orientation val="minMax"/>
          <c:max val="14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837361183"/>
        <c:crosses val="autoZero"/>
        <c:crossBetween val="between"/>
        <c:majorUnit val="2"/>
      </c:valAx>
      <c:catAx>
        <c:axId val="837361183"/>
        <c:scaling>
          <c:orientation val="minMax"/>
        </c:scaling>
        <c:delete val="1"/>
        <c:axPos val="b"/>
        <c:majorTickMark val="out"/>
        <c:minorTickMark val="none"/>
        <c:tickLblPos val="nextTo"/>
        <c:crossAx val="837360767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000" b="1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aseline="0">
          <a:solidFill>
            <a:sysClr val="windowText" lastClr="000000"/>
          </a:solidFill>
          <a:latin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600" b="1" i="0" u="none" strike="noStrike" kern="1200" spc="100" baseline="0">
                <a:solidFill>
                  <a:schemeClr val="tx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>
                <a:solidFill>
                  <a:schemeClr val="tx1"/>
                </a:solidFill>
                <a:latin typeface="微軟正黑體" panose="020B0604030504040204" pitchFamily="34" charset="-120"/>
                <a:ea typeface="微軟正黑體" panose="020B0604030504040204" pitchFamily="34" charset="-120"/>
              </a:rPr>
              <a:t>LP TEOS PM PTC fail rate</a:t>
            </a:r>
            <a:endParaRPr lang="zh-TW">
              <a:solidFill>
                <a:schemeClr val="tx1"/>
              </a:solidFill>
              <a:latin typeface="微軟正黑體" panose="020B0604030504040204" pitchFamily="34" charset="-120"/>
              <a:ea typeface="微軟正黑體" panose="020B0604030504040204" pitchFamily="34" charset="-120"/>
            </a:endParaRPr>
          </a:p>
        </c:rich>
      </c:tx>
      <c:layout>
        <c:manualLayout>
          <c:xMode val="edge"/>
          <c:yMode val="edge"/>
          <c:x val="0.3765297506115714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600" b="1" i="0" u="none" strike="noStrike" kern="1200" spc="100" baseline="0">
              <a:solidFill>
                <a:schemeClr val="tx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167322115684434"/>
          <c:y val="0.12151133501259444"/>
          <c:w val="0.80808228791792003"/>
          <c:h val="0.27086481947942909"/>
        </c:manualLayout>
      </c:layout>
      <c:barChart>
        <c:barDir val="col"/>
        <c:grouping val="stacked"/>
        <c:varyColors val="0"/>
        <c:ser>
          <c:idx val="6"/>
          <c:order val="0"/>
          <c:tx>
            <c:strRef>
              <c:f>'PM PTC OOS Rate'!$A$8</c:f>
              <c:strCache>
                <c:ptCount val="1"/>
                <c:pt idx="0">
                  <c:v>LP-T8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Rate'!$B$8:$M$8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12CB-4A93-8F14-6C8005A864E4}"/>
            </c:ext>
          </c:extLst>
        </c:ser>
        <c:ser>
          <c:idx val="5"/>
          <c:order val="1"/>
          <c:tx>
            <c:strRef>
              <c:f>'PM PTC OOS Rate'!$A$7</c:f>
              <c:strCache>
                <c:ptCount val="1"/>
                <c:pt idx="0">
                  <c:v>LP-T6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Rate'!$B$7:$M$7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5-12CB-4A93-8F14-6C8005A864E4}"/>
            </c:ext>
          </c:extLst>
        </c:ser>
        <c:ser>
          <c:idx val="4"/>
          <c:order val="2"/>
          <c:tx>
            <c:strRef>
              <c:f>'PM PTC OOS Rate'!$A$6</c:f>
              <c:strCache>
                <c:ptCount val="1"/>
                <c:pt idx="0">
                  <c:v>LP-T5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Rate'!$B$6:$M$6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12CB-4A93-8F14-6C8005A864E4}"/>
            </c:ext>
          </c:extLst>
        </c:ser>
        <c:ser>
          <c:idx val="3"/>
          <c:order val="3"/>
          <c:tx>
            <c:strRef>
              <c:f>'PM PTC OOS Rate'!$A$5</c:f>
              <c:strCache>
                <c:ptCount val="1"/>
                <c:pt idx="0">
                  <c:v>LP-T4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Rate'!$B$5:$M$5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12CB-4A93-8F14-6C8005A864E4}"/>
            </c:ext>
          </c:extLst>
        </c:ser>
        <c:ser>
          <c:idx val="2"/>
          <c:order val="4"/>
          <c:tx>
            <c:strRef>
              <c:f>'PM PTC OOS Rate'!$A$4</c:f>
              <c:strCache>
                <c:ptCount val="1"/>
                <c:pt idx="0">
                  <c:v>LP-T3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Rate'!$B$4:$M$4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12CB-4A93-8F14-6C8005A864E4}"/>
            </c:ext>
          </c:extLst>
        </c:ser>
        <c:ser>
          <c:idx val="1"/>
          <c:order val="5"/>
          <c:tx>
            <c:strRef>
              <c:f>'PM PTC OOS Rate'!$A$3</c:f>
              <c:strCache>
                <c:ptCount val="1"/>
                <c:pt idx="0">
                  <c:v>LP-T2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Rate'!$B$3:$M$3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2CB-4A93-8F14-6C8005A864E4}"/>
            </c:ext>
          </c:extLst>
        </c:ser>
        <c:ser>
          <c:idx val="0"/>
          <c:order val="6"/>
          <c:tx>
            <c:strRef>
              <c:f>'PM PTC OOS Rate'!$A$2</c:f>
              <c:strCache>
                <c:ptCount val="1"/>
                <c:pt idx="0">
                  <c:v>LP-T1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Rate'!$B$2:$M$2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12CB-4A93-8F14-6C8005A86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52672768"/>
        <c:axId val="52678656"/>
      </c:barChart>
      <c:lineChart>
        <c:grouping val="stacked"/>
        <c:varyColors val="0"/>
        <c:ser>
          <c:idx val="8"/>
          <c:order val="7"/>
          <c:tx>
            <c:strRef>
              <c:f>'PM PTC OOS Rate'!$A$10</c:f>
              <c:strCache>
                <c:ptCount val="1"/>
                <c:pt idx="0">
                  <c:v>PM 次數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Rate'!$B$10:$M$10</c:f>
              <c:numCache>
                <c:formatCode>General</c:formatCode>
                <c:ptCount val="12"/>
                <c:pt idx="0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2CB-4A93-8F14-6C8005A864E4}"/>
            </c:ext>
          </c:extLst>
        </c:ser>
        <c:ser>
          <c:idx val="7"/>
          <c:order val="8"/>
          <c:tx>
            <c:strRef>
              <c:f>'PM PTC OOS Rate'!$A$9</c:f>
              <c:strCache>
                <c:ptCount val="1"/>
                <c:pt idx="0">
                  <c:v>Test Run PTC OOS</c:v>
                </c:pt>
              </c:strCache>
            </c:strRef>
          </c:tx>
          <c:spPr>
            <a:ln w="34925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Rate'!$B$9:$M$9</c:f>
              <c:numCache>
                <c:formatCode>General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2CB-4A93-8F14-6C8005A86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672768"/>
        <c:axId val="52678656"/>
      </c:lineChart>
      <c:lineChart>
        <c:grouping val="standard"/>
        <c:varyColors val="0"/>
        <c:ser>
          <c:idx val="9"/>
          <c:order val="9"/>
          <c:tx>
            <c:strRef>
              <c:f>'PM PTC OOS Rate'!$A$11</c:f>
              <c:strCache>
                <c:ptCount val="1"/>
                <c:pt idx="0">
                  <c:v>PTC OOS rate</c:v>
                </c:pt>
              </c:strCache>
            </c:strRef>
          </c:tx>
          <c:spPr>
            <a:ln w="34925" cap="rnd">
              <a:solidFill>
                <a:schemeClr val="accent4">
                  <a:lumMod val="75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square"/>
            <c:size val="5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5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'PM PTC OOS Rate'!$B$1:$M$1</c:f>
              <c:strCache>
                <c:ptCount val="12"/>
                <c:pt idx="0">
                  <c:v>1M</c:v>
                </c:pt>
                <c:pt idx="1">
                  <c:v>2M</c:v>
                </c:pt>
                <c:pt idx="2">
                  <c:v>3M</c:v>
                </c:pt>
                <c:pt idx="3">
                  <c:v>4M</c:v>
                </c:pt>
                <c:pt idx="4">
                  <c:v>5M</c:v>
                </c:pt>
                <c:pt idx="5">
                  <c:v>6M</c:v>
                </c:pt>
                <c:pt idx="6">
                  <c:v>7M</c:v>
                </c:pt>
                <c:pt idx="7">
                  <c:v>8M</c:v>
                </c:pt>
                <c:pt idx="8">
                  <c:v>9M</c:v>
                </c:pt>
                <c:pt idx="9">
                  <c:v>10M</c:v>
                </c:pt>
                <c:pt idx="10">
                  <c:v>11M</c:v>
                </c:pt>
                <c:pt idx="11">
                  <c:v>12M</c:v>
                </c:pt>
              </c:strCache>
            </c:strRef>
          </c:cat>
          <c:val>
            <c:numRef>
              <c:f>'PM PTC OOS Rate'!$B$11:$M$11</c:f>
              <c:numCache>
                <c:formatCode>0%</c:formatCode>
                <c:ptCount val="12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2CB-4A93-8F14-6C8005A86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3088415"/>
        <c:axId val="873087999"/>
      </c:lineChart>
      <c:catAx>
        <c:axId val="52672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78656"/>
        <c:crosses val="autoZero"/>
        <c:auto val="1"/>
        <c:lblAlgn val="ctr"/>
        <c:lblOffset val="100"/>
        <c:noMultiLvlLbl val="0"/>
      </c:catAx>
      <c:valAx>
        <c:axId val="52678656"/>
        <c:scaling>
          <c:orientation val="minMax"/>
          <c:max val="8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alpha val="3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2672768"/>
        <c:crosses val="autoZero"/>
        <c:crossBetween val="between"/>
        <c:majorUnit val="2"/>
      </c:valAx>
      <c:valAx>
        <c:axId val="873087999"/>
        <c:scaling>
          <c:orientation val="minMax"/>
          <c:max val="10"/>
        </c:scaling>
        <c:delete val="1"/>
        <c:axPos val="r"/>
        <c:numFmt formatCode="0%" sourceLinked="1"/>
        <c:majorTickMark val="out"/>
        <c:minorTickMark val="none"/>
        <c:tickLblPos val="nextTo"/>
        <c:crossAx val="873088415"/>
        <c:crosses val="max"/>
        <c:crossBetween val="between"/>
        <c:majorUnit val="1"/>
      </c:valAx>
      <c:catAx>
        <c:axId val="873088415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3087999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ysClr val="windowText" lastClr="000000"/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95000"/>
      </a:schemeClr>
    </a:solidFill>
    <a:ln>
      <a:solidFill>
        <a:sysClr val="windowText" lastClr="000000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sz="1200"/>
              <a:t>LP-TOES PTC O.O.S.</a:t>
            </a:r>
            <a:r>
              <a:rPr lang="zh-TW" altLang="en-US" sz="1200"/>
              <a:t> </a:t>
            </a:r>
            <a:r>
              <a:rPr lang="en-US" altLang="zh-TW" sz="1200"/>
              <a:t>RUN</a:t>
            </a:r>
            <a:r>
              <a:rPr lang="en-US" altLang="zh-TW" sz="1200" baseline="0"/>
              <a:t> </a:t>
            </a:r>
            <a:r>
              <a:rPr lang="zh-TW" altLang="en-US" sz="1200" baseline="0"/>
              <a:t>數</a:t>
            </a:r>
            <a:endParaRPr lang="zh-TW" sz="1200"/>
          </a:p>
        </c:rich>
      </c:tx>
      <c:layout>
        <c:manualLayout>
          <c:xMode val="edge"/>
          <c:yMode val="edge"/>
          <c:x val="0.33541929611346843"/>
          <c:y val="4.810004810004810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27542373985777"/>
          <c:y val="5.4829396325459315E-2"/>
          <c:w val="0.83316222140554175"/>
          <c:h val="0.12065901955012633"/>
        </c:manualLayout>
      </c:layout>
      <c:barChart>
        <c:barDir val="col"/>
        <c:grouping val="stacked"/>
        <c:varyColors val="0"/>
        <c:ser>
          <c:idx val="20"/>
          <c:order val="0"/>
          <c:tx>
            <c:strRef>
              <c:f>'PTC OOS RUN 數'!$A$22:$B$22</c:f>
              <c:strCache>
                <c:ptCount val="2"/>
                <c:pt idx="0">
                  <c:v>T8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數'!$C$22:$N$22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676B-42FE-8739-96F3A19357B3}"/>
            </c:ext>
          </c:extLst>
        </c:ser>
        <c:ser>
          <c:idx val="19"/>
          <c:order val="1"/>
          <c:tx>
            <c:strRef>
              <c:f>'PTC OOS RUN 數'!$A$21:$B$21</c:f>
              <c:strCache>
                <c:ptCount val="2"/>
                <c:pt idx="0">
                  <c:v>T8</c:v>
                </c:pt>
                <c:pt idx="1">
                  <c:v>SPM 9~18μ</c:v>
                </c:pt>
              </c:strCache>
            </c:strRef>
          </c:tx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數'!$C$21:$N$21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676B-42FE-8739-96F3A19357B3}"/>
            </c:ext>
          </c:extLst>
        </c:ser>
        <c:ser>
          <c:idx val="18"/>
          <c:order val="2"/>
          <c:tx>
            <c:strRef>
              <c:f>'PTC OOS RUN 數'!$A$20:$B$20</c:f>
              <c:strCache>
                <c:ptCount val="2"/>
                <c:pt idx="0">
                  <c:v>T8</c:v>
                </c:pt>
                <c:pt idx="1">
                  <c:v>SPM 0~9μ</c:v>
                </c:pt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數'!$C$20:$N$20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676B-42FE-8739-96F3A19357B3}"/>
            </c:ext>
          </c:extLst>
        </c:ser>
        <c:ser>
          <c:idx val="17"/>
          <c:order val="3"/>
          <c:tx>
            <c:strRef>
              <c:f>'PTC OOS RUN 數'!$A$19:$B$19</c:f>
              <c:strCache>
                <c:ptCount val="2"/>
                <c:pt idx="0">
                  <c:v>T6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數'!$C$19:$N$19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676B-42FE-8739-96F3A19357B3}"/>
            </c:ext>
          </c:extLst>
        </c:ser>
        <c:ser>
          <c:idx val="16"/>
          <c:order val="4"/>
          <c:tx>
            <c:strRef>
              <c:f>'PTC OOS RUN 數'!$A$18:$B$18</c:f>
              <c:strCache>
                <c:ptCount val="2"/>
                <c:pt idx="0">
                  <c:v>T6</c:v>
                </c:pt>
                <c:pt idx="1">
                  <c:v>SPM 9~18μ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數'!$C$18:$N$18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676B-42FE-8739-96F3A19357B3}"/>
            </c:ext>
          </c:extLst>
        </c:ser>
        <c:ser>
          <c:idx val="15"/>
          <c:order val="5"/>
          <c:tx>
            <c:strRef>
              <c:f>'PTC OOS RUN 數'!$A$17:$B$17</c:f>
              <c:strCache>
                <c:ptCount val="2"/>
                <c:pt idx="0">
                  <c:v>T6</c:v>
                </c:pt>
                <c:pt idx="1">
                  <c:v>SPM 0~9μ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數'!$C$17:$N$17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676B-42FE-8739-96F3A19357B3}"/>
            </c:ext>
          </c:extLst>
        </c:ser>
        <c:ser>
          <c:idx val="14"/>
          <c:order val="6"/>
          <c:tx>
            <c:strRef>
              <c:f>'PTC OOS RUN 數'!$A$16:$B$16</c:f>
              <c:strCache>
                <c:ptCount val="2"/>
                <c:pt idx="0">
                  <c:v>T5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數'!$C$16:$N$16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F-676B-42FE-8739-96F3A19357B3}"/>
            </c:ext>
          </c:extLst>
        </c:ser>
        <c:ser>
          <c:idx val="13"/>
          <c:order val="7"/>
          <c:tx>
            <c:strRef>
              <c:f>'PTC OOS RUN 數'!$A$15:$B$15</c:f>
              <c:strCache>
                <c:ptCount val="2"/>
                <c:pt idx="0">
                  <c:v>T5</c:v>
                </c:pt>
                <c:pt idx="1">
                  <c:v>SPM 9~18μ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數'!$C$15:$N$15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E-676B-42FE-8739-96F3A19357B3}"/>
            </c:ext>
          </c:extLst>
        </c:ser>
        <c:ser>
          <c:idx val="12"/>
          <c:order val="8"/>
          <c:tx>
            <c:strRef>
              <c:f>'PTC OOS RUN 數'!$A$14:$B$14</c:f>
              <c:strCache>
                <c:ptCount val="2"/>
                <c:pt idx="0">
                  <c:v>T5</c:v>
                </c:pt>
                <c:pt idx="1">
                  <c:v>SPM 0~9μ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數'!$C$14:$N$14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D-676B-42FE-8739-96F3A19357B3}"/>
            </c:ext>
          </c:extLst>
        </c:ser>
        <c:ser>
          <c:idx val="11"/>
          <c:order val="9"/>
          <c:tx>
            <c:strRef>
              <c:f>'PTC OOS RUN 數'!$A$13:$B$13</c:f>
              <c:strCache>
                <c:ptCount val="2"/>
                <c:pt idx="0">
                  <c:v>T4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數'!$C$13:$N$13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C-676B-42FE-8739-96F3A19357B3}"/>
            </c:ext>
          </c:extLst>
        </c:ser>
        <c:ser>
          <c:idx val="10"/>
          <c:order val="10"/>
          <c:tx>
            <c:strRef>
              <c:f>'PTC OOS RUN 數'!$A$12:$B$12</c:f>
              <c:strCache>
                <c:ptCount val="2"/>
                <c:pt idx="0">
                  <c:v>T4</c:v>
                </c:pt>
                <c:pt idx="1">
                  <c:v>SPM 9~18μ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數'!$C$12:$N$12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676B-42FE-8739-96F3A19357B3}"/>
            </c:ext>
          </c:extLst>
        </c:ser>
        <c:ser>
          <c:idx val="9"/>
          <c:order val="11"/>
          <c:tx>
            <c:strRef>
              <c:f>'PTC OOS RUN 數'!$A$11:$B$11</c:f>
              <c:strCache>
                <c:ptCount val="2"/>
                <c:pt idx="0">
                  <c:v>T4</c:v>
                </c:pt>
                <c:pt idx="1">
                  <c:v>SPM 0~9μ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數'!$C$11:$N$11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676B-42FE-8739-96F3A19357B3}"/>
            </c:ext>
          </c:extLst>
        </c:ser>
        <c:ser>
          <c:idx val="7"/>
          <c:order val="12"/>
          <c:tx>
            <c:strRef>
              <c:f>'PTC OOS RUN 數'!$A$9:$B$9</c:f>
              <c:strCache>
                <c:ptCount val="2"/>
                <c:pt idx="0">
                  <c:v>T3</c:v>
                </c:pt>
                <c:pt idx="1">
                  <c:v>SPM 9~18μ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數'!$C$9:$N$9</c:f>
              <c:numCache>
                <c:formatCode>General</c:formatCode>
                <c:ptCount val="1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76B-42FE-8739-96F3A19357B3}"/>
            </c:ext>
          </c:extLst>
        </c:ser>
        <c:ser>
          <c:idx val="8"/>
          <c:order val="13"/>
          <c:tx>
            <c:strRef>
              <c:f>'PTC OOS RUN 數'!$A$10:$B$10</c:f>
              <c:strCache>
                <c:ptCount val="2"/>
                <c:pt idx="0">
                  <c:v>T3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數'!$C$10:$N$10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676B-42FE-8739-96F3A19357B3}"/>
            </c:ext>
          </c:extLst>
        </c:ser>
        <c:ser>
          <c:idx val="6"/>
          <c:order val="14"/>
          <c:tx>
            <c:strRef>
              <c:f>'PTC OOS RUN 數'!$A$8:$B$8</c:f>
              <c:strCache>
                <c:ptCount val="2"/>
                <c:pt idx="0">
                  <c:v>T3</c:v>
                </c:pt>
                <c:pt idx="1">
                  <c:v>SPM 0~9μ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數'!$C$8:$N$8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7-676B-42FE-8739-96F3A19357B3}"/>
            </c:ext>
          </c:extLst>
        </c:ser>
        <c:ser>
          <c:idx val="5"/>
          <c:order val="15"/>
          <c:tx>
            <c:strRef>
              <c:f>'PTC OOS RUN 數'!$A$7:$B$7</c:f>
              <c:strCache>
                <c:ptCount val="2"/>
                <c:pt idx="0">
                  <c:v>T2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61C76F-67AD-418B-9876-41D5CD604FE9}" type="VALUE">
                      <a:rPr lang="en-US" altLang="zh-TW">
                        <a:latin typeface="微軟正黑體" panose="020B0604030504040204" pitchFamily="34" charset="-120"/>
                        <a:ea typeface="微軟正黑體" panose="020B0604030504040204" pitchFamily="34" charset="-120"/>
                      </a:rPr>
                      <a:pPr/>
                      <a:t>[值]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676B-42FE-8739-96F3A19357B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數'!$C$7:$N$7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676B-42FE-8739-96F3A19357B3}"/>
            </c:ext>
          </c:extLst>
        </c:ser>
        <c:ser>
          <c:idx val="4"/>
          <c:order val="16"/>
          <c:tx>
            <c:strRef>
              <c:f>'PTC OOS RUN 數'!$A$6:$B$6</c:f>
              <c:strCache>
                <c:ptCount val="2"/>
                <c:pt idx="0">
                  <c:v>T2</c:v>
                </c:pt>
                <c:pt idx="1">
                  <c:v>SPM 9~18μ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數'!$C$6:$N$6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676B-42FE-8739-96F3A19357B3}"/>
            </c:ext>
          </c:extLst>
        </c:ser>
        <c:ser>
          <c:idx val="3"/>
          <c:order val="17"/>
          <c:tx>
            <c:strRef>
              <c:f>'PTC OOS RUN 數'!$A$5:$B$5</c:f>
              <c:strCache>
                <c:ptCount val="2"/>
                <c:pt idx="0">
                  <c:v>T2</c:v>
                </c:pt>
                <c:pt idx="1">
                  <c:v>SPM 0~9μ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數'!$C$5:$N$5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676B-42FE-8739-96F3A19357B3}"/>
            </c:ext>
          </c:extLst>
        </c:ser>
        <c:ser>
          <c:idx val="2"/>
          <c:order val="18"/>
          <c:tx>
            <c:strRef>
              <c:f>'PTC OOS RUN 數'!$A$4:$B$4</c:f>
              <c:strCache>
                <c:ptCount val="2"/>
                <c:pt idx="0">
                  <c:v>T1</c:v>
                </c:pt>
                <c:pt idx="1">
                  <c:v>BPM 18~27μ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數'!$C$4:$N$4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676B-42FE-8739-96F3A19357B3}"/>
            </c:ext>
          </c:extLst>
        </c:ser>
        <c:ser>
          <c:idx val="1"/>
          <c:order val="19"/>
          <c:tx>
            <c:strRef>
              <c:f>'PTC OOS RUN 數'!$A$3:$B$3</c:f>
              <c:strCache>
                <c:ptCount val="2"/>
                <c:pt idx="0">
                  <c:v>T1</c:v>
                </c:pt>
                <c:pt idx="1">
                  <c:v>SPM 9~18μ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數'!$C$3:$N$3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676B-42FE-8739-96F3A19357B3}"/>
            </c:ext>
          </c:extLst>
        </c:ser>
        <c:ser>
          <c:idx val="0"/>
          <c:order val="20"/>
          <c:tx>
            <c:strRef>
              <c:f>'PTC OOS RUN 數'!$A$2:$B$2</c:f>
              <c:strCache>
                <c:ptCount val="2"/>
                <c:pt idx="0">
                  <c:v>T1</c:v>
                </c:pt>
                <c:pt idx="1">
                  <c:v>SPM 0~9μ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RUN 數'!$C$1:$N$1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RUN 數'!$C$2:$N$2</c:f>
              <c:numCache>
                <c:formatCode>General</c:formatCode>
                <c:ptCount val="1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6B-42FE-8739-96F3A19357B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6739712"/>
        <c:axId val="226741248"/>
      </c:barChart>
      <c:catAx>
        <c:axId val="2267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226741248"/>
        <c:crosses val="autoZero"/>
        <c:auto val="1"/>
        <c:lblAlgn val="ctr"/>
        <c:lblOffset val="100"/>
        <c:noMultiLvlLbl val="0"/>
      </c:catAx>
      <c:valAx>
        <c:axId val="226741248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sz="1000"/>
                  <a:t>次數</a:t>
                </a:r>
              </a:p>
            </c:rich>
          </c:tx>
          <c:layout>
            <c:manualLayout>
              <c:xMode val="edge"/>
              <c:yMode val="edge"/>
              <c:x val="6.6977434190796936E-2"/>
              <c:y val="8.5744227623720942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2673971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700" b="0" i="0" u="none" strike="noStrike" kern="10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800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en-US" sz="1200"/>
              <a:t>LP-TOES PTC O.O.S.</a:t>
            </a:r>
            <a:endParaRPr lang="zh-TW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20"/>
          <c:order val="0"/>
          <c:tx>
            <c:strRef>
              <c:f>'PTC OOS 位置別'!$A$22:$B$22</c:f>
              <c:strCache>
                <c:ptCount val="2"/>
                <c:pt idx="0">
                  <c:v>T8</c:v>
                </c:pt>
                <c:pt idx="1">
                  <c:v>BOT</c:v>
                </c:pt>
              </c:strCache>
            </c:strRef>
          </c:tx>
          <c:spPr>
            <a:solidFill>
              <a:schemeClr val="accent3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位置別'!$C$22:$N$22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5-8973-4D58-8821-5C17991F7F6E}"/>
            </c:ext>
          </c:extLst>
        </c:ser>
        <c:ser>
          <c:idx val="19"/>
          <c:order val="1"/>
          <c:tx>
            <c:strRef>
              <c:f>'PTC OOS 位置別'!$A$21:$B$21</c:f>
              <c:strCache>
                <c:ptCount val="2"/>
                <c:pt idx="0">
                  <c:v>T8</c:v>
                </c:pt>
                <c:pt idx="1">
                  <c:v>CEN</c:v>
                </c:pt>
              </c:strCache>
            </c:strRef>
          </c:tx>
          <c:spPr>
            <a:solidFill>
              <a:schemeClr val="accent2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位置別'!$C$21:$N$21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4-8973-4D58-8821-5C17991F7F6E}"/>
            </c:ext>
          </c:extLst>
        </c:ser>
        <c:ser>
          <c:idx val="18"/>
          <c:order val="2"/>
          <c:tx>
            <c:strRef>
              <c:f>'PTC OOS 位置別'!$A$20:$B$20</c:f>
              <c:strCache>
                <c:ptCount val="2"/>
                <c:pt idx="0">
                  <c:v>T8</c:v>
                </c:pt>
                <c:pt idx="1">
                  <c:v>TOP</c:v>
                </c:pt>
              </c:strCache>
            </c:strRef>
          </c:tx>
          <c:spPr>
            <a:solidFill>
              <a:schemeClr val="accent1">
                <a:lumMod val="8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位置別'!$C$20:$N$20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3-8973-4D58-8821-5C17991F7F6E}"/>
            </c:ext>
          </c:extLst>
        </c:ser>
        <c:ser>
          <c:idx val="17"/>
          <c:order val="3"/>
          <c:tx>
            <c:strRef>
              <c:f>'PTC OOS 位置別'!$A$19:$B$19</c:f>
              <c:strCache>
                <c:ptCount val="2"/>
                <c:pt idx="0">
                  <c:v>T6</c:v>
                </c:pt>
                <c:pt idx="1">
                  <c:v>BOT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位置別'!$C$19:$N$19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2-8973-4D58-8821-5C17991F7F6E}"/>
            </c:ext>
          </c:extLst>
        </c:ser>
        <c:ser>
          <c:idx val="16"/>
          <c:order val="4"/>
          <c:tx>
            <c:strRef>
              <c:f>'PTC OOS 位置別'!$A$18:$B$18</c:f>
              <c:strCache>
                <c:ptCount val="2"/>
                <c:pt idx="0">
                  <c:v>T6</c:v>
                </c:pt>
                <c:pt idx="1">
                  <c:v>CEN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位置別'!$C$18:$N$18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1-8973-4D58-8821-5C17991F7F6E}"/>
            </c:ext>
          </c:extLst>
        </c:ser>
        <c:ser>
          <c:idx val="15"/>
          <c:order val="5"/>
          <c:tx>
            <c:strRef>
              <c:f>'PTC OOS 位置別'!$A$17:$B$17</c:f>
              <c:strCache>
                <c:ptCount val="2"/>
                <c:pt idx="0">
                  <c:v>T6</c:v>
                </c:pt>
                <c:pt idx="1">
                  <c:v>TOP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位置別'!$C$17:$N$17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10-8973-4D58-8821-5C17991F7F6E}"/>
            </c:ext>
          </c:extLst>
        </c:ser>
        <c:ser>
          <c:idx val="14"/>
          <c:order val="6"/>
          <c:tx>
            <c:strRef>
              <c:f>'PTC OOS 位置別'!$A$16:$B$16</c:f>
              <c:strCache>
                <c:ptCount val="2"/>
                <c:pt idx="0">
                  <c:v>T5</c:v>
                </c:pt>
                <c:pt idx="1">
                  <c:v>BOT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位置別'!$C$16:$N$16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F-8973-4D58-8821-5C17991F7F6E}"/>
            </c:ext>
          </c:extLst>
        </c:ser>
        <c:ser>
          <c:idx val="13"/>
          <c:order val="7"/>
          <c:tx>
            <c:strRef>
              <c:f>'PTC OOS 位置別'!$A$15:$B$15</c:f>
              <c:strCache>
                <c:ptCount val="2"/>
                <c:pt idx="0">
                  <c:v>T5</c:v>
                </c:pt>
                <c:pt idx="1">
                  <c:v>CEN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位置別'!$C$15:$N$15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E-8973-4D58-8821-5C17991F7F6E}"/>
            </c:ext>
          </c:extLst>
        </c:ser>
        <c:ser>
          <c:idx val="12"/>
          <c:order val="8"/>
          <c:tx>
            <c:strRef>
              <c:f>'PTC OOS 位置別'!$A$14:$B$14</c:f>
              <c:strCache>
                <c:ptCount val="2"/>
                <c:pt idx="0">
                  <c:v>T5</c:v>
                </c:pt>
                <c:pt idx="1">
                  <c:v>TOP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位置別'!$C$14:$N$14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D-8973-4D58-8821-5C17991F7F6E}"/>
            </c:ext>
          </c:extLst>
        </c:ser>
        <c:ser>
          <c:idx val="11"/>
          <c:order val="9"/>
          <c:tx>
            <c:strRef>
              <c:f>'PTC OOS 位置別'!$A$13:$B$13</c:f>
              <c:strCache>
                <c:ptCount val="2"/>
                <c:pt idx="0">
                  <c:v>T4</c:v>
                </c:pt>
                <c:pt idx="1">
                  <c:v>BOT</c:v>
                </c:pt>
              </c:strCache>
            </c:strRef>
          </c:tx>
          <c:spPr>
            <a:solidFill>
              <a:schemeClr val="accent6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位置別'!$C$13:$N$13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C-8973-4D58-8821-5C17991F7F6E}"/>
            </c:ext>
          </c:extLst>
        </c:ser>
        <c:ser>
          <c:idx val="10"/>
          <c:order val="10"/>
          <c:tx>
            <c:strRef>
              <c:f>'PTC OOS 位置別'!$A$12:$B$12</c:f>
              <c:strCache>
                <c:ptCount val="2"/>
                <c:pt idx="0">
                  <c:v>T4</c:v>
                </c:pt>
                <c:pt idx="1">
                  <c:v>CEN</c:v>
                </c:pt>
              </c:strCache>
            </c:strRef>
          </c:tx>
          <c:spPr>
            <a:solidFill>
              <a:schemeClr val="accent5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位置別'!$C$12:$N$12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B-8973-4D58-8821-5C17991F7F6E}"/>
            </c:ext>
          </c:extLst>
        </c:ser>
        <c:ser>
          <c:idx val="9"/>
          <c:order val="11"/>
          <c:tx>
            <c:strRef>
              <c:f>'PTC OOS 位置別'!$A$11:$B$11</c:f>
              <c:strCache>
                <c:ptCount val="2"/>
                <c:pt idx="0">
                  <c:v>T4</c:v>
                </c:pt>
                <c:pt idx="1">
                  <c:v>TOP</c:v>
                </c:pt>
              </c:strCache>
            </c:strRef>
          </c:tx>
          <c:spPr>
            <a:solidFill>
              <a:schemeClr val="accent4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位置別'!$C$11:$N$11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A-8973-4D58-8821-5C17991F7F6E}"/>
            </c:ext>
          </c:extLst>
        </c:ser>
        <c:ser>
          <c:idx val="8"/>
          <c:order val="12"/>
          <c:tx>
            <c:strRef>
              <c:f>'PTC OOS 位置別'!$A$10:$B$10</c:f>
              <c:strCache>
                <c:ptCount val="2"/>
                <c:pt idx="0">
                  <c:v>T3</c:v>
                </c:pt>
                <c:pt idx="1">
                  <c:v>BOT</c:v>
                </c:pt>
              </c:strCache>
            </c:strRef>
          </c:tx>
          <c:spPr>
            <a:solidFill>
              <a:schemeClr val="accent3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位置別'!$C$10:$N$10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9-8973-4D58-8821-5C17991F7F6E}"/>
            </c:ext>
          </c:extLst>
        </c:ser>
        <c:ser>
          <c:idx val="7"/>
          <c:order val="13"/>
          <c:tx>
            <c:strRef>
              <c:f>'PTC OOS 位置別'!$A$9:$B$9</c:f>
              <c:strCache>
                <c:ptCount val="2"/>
                <c:pt idx="0">
                  <c:v>T3</c:v>
                </c:pt>
                <c:pt idx="1">
                  <c:v>CEN</c:v>
                </c:pt>
              </c:strCache>
            </c:strRef>
          </c:tx>
          <c:spPr>
            <a:solidFill>
              <a:schemeClr val="accent2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位置別'!$C$9:$N$9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8-8973-4D58-8821-5C17991F7F6E}"/>
            </c:ext>
          </c:extLst>
        </c:ser>
        <c:ser>
          <c:idx val="6"/>
          <c:order val="14"/>
          <c:tx>
            <c:strRef>
              <c:f>'PTC OOS 位置別'!$A$8:$B$8</c:f>
              <c:strCache>
                <c:ptCount val="2"/>
                <c:pt idx="0">
                  <c:v>T3</c:v>
                </c:pt>
                <c:pt idx="1">
                  <c:v>TOP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位置別'!$C$8:$N$8</c:f>
              <c:numCache>
                <c:formatCode>General</c:formatCode>
                <c:ptCount val="12"/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973-4D58-8821-5C17991F7F6E}"/>
            </c:ext>
          </c:extLst>
        </c:ser>
        <c:ser>
          <c:idx val="5"/>
          <c:order val="15"/>
          <c:tx>
            <c:strRef>
              <c:f>'PTC OOS 位置別'!$A$7:$B$7</c:f>
              <c:strCache>
                <c:ptCount val="2"/>
                <c:pt idx="0">
                  <c:v>T2</c:v>
                </c:pt>
                <c:pt idx="1">
                  <c:v>BOT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161C76F-67AD-418B-9876-41D5CD604FE9}" type="VALUE">
                      <a:rPr lang="en-US" altLang="zh-TW">
                        <a:latin typeface="微軟正黑體" panose="020B0604030504040204" pitchFamily="34" charset="-120"/>
                        <a:ea typeface="微軟正黑體" panose="020B0604030504040204" pitchFamily="34" charset="-120"/>
                      </a:rPr>
                      <a:pPr/>
                      <a:t>[值]</a:t>
                    </a:fld>
                    <a:endParaRPr lang="en-US"/>
                  </a:p>
                </c:rich>
              </c:tx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8973-4D58-8821-5C17991F7F6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位置別'!$C$7:$N$7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6-8973-4D58-8821-5C17991F7F6E}"/>
            </c:ext>
          </c:extLst>
        </c:ser>
        <c:ser>
          <c:idx val="4"/>
          <c:order val="16"/>
          <c:tx>
            <c:strRef>
              <c:f>'PTC OOS 位置別'!$A$6:$B$6</c:f>
              <c:strCache>
                <c:ptCount val="2"/>
                <c:pt idx="0">
                  <c:v>T2</c:v>
                </c:pt>
                <c:pt idx="1">
                  <c:v>CEN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位置別'!$C$6:$N$6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8973-4D58-8821-5C17991F7F6E}"/>
            </c:ext>
          </c:extLst>
        </c:ser>
        <c:ser>
          <c:idx val="3"/>
          <c:order val="17"/>
          <c:tx>
            <c:strRef>
              <c:f>'PTC OOS 位置別'!$A$5:$B$5</c:f>
              <c:strCache>
                <c:ptCount val="2"/>
                <c:pt idx="0">
                  <c:v>T2</c:v>
                </c:pt>
                <c:pt idx="1">
                  <c:v>TOP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位置別'!$C$5:$N$5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8973-4D58-8821-5C17991F7F6E}"/>
            </c:ext>
          </c:extLst>
        </c:ser>
        <c:ser>
          <c:idx val="2"/>
          <c:order val="18"/>
          <c:tx>
            <c:strRef>
              <c:f>'PTC OOS 位置別'!$A$4:$B$4</c:f>
              <c:strCache>
                <c:ptCount val="2"/>
                <c:pt idx="0">
                  <c:v>T1</c:v>
                </c:pt>
                <c:pt idx="1">
                  <c:v>BOT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位置別'!$C$4:$N$4</c:f>
              <c:numCache>
                <c:formatCode>General</c:formatCode>
                <c:ptCount val="12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73-4D58-8821-5C17991F7F6E}"/>
            </c:ext>
          </c:extLst>
        </c:ser>
        <c:ser>
          <c:idx val="1"/>
          <c:order val="19"/>
          <c:tx>
            <c:strRef>
              <c:f>'PTC OOS 位置別'!$A$3:$B$3</c:f>
              <c:strCache>
                <c:ptCount val="2"/>
                <c:pt idx="0">
                  <c:v>T1</c:v>
                </c:pt>
                <c:pt idx="1">
                  <c:v>CEN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位置別'!$C$3:$N$3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8973-4D58-8821-5C17991F7F6E}"/>
            </c:ext>
          </c:extLst>
        </c:ser>
        <c:ser>
          <c:idx val="0"/>
          <c:order val="20"/>
          <c:tx>
            <c:strRef>
              <c:f>'PTC OOS 位置別'!$A$2:$B$2</c:f>
              <c:strCache>
                <c:ptCount val="2"/>
                <c:pt idx="0">
                  <c:v>T1</c:v>
                </c:pt>
                <c:pt idx="1">
                  <c:v>TOP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1" i="0" u="none" strike="noStrike" kern="1200" baseline="0">
                    <a:solidFill>
                      <a:schemeClr val="lt1"/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'PTC OOS 位置別'!$C$1:$N$1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'PTC OOS 位置別'!$C$2:$N$2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8973-4D58-8821-5C17991F7F6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26739712"/>
        <c:axId val="226741248"/>
      </c:barChart>
      <c:catAx>
        <c:axId val="22673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226741248"/>
        <c:crosses val="autoZero"/>
        <c:auto val="1"/>
        <c:lblAlgn val="ctr"/>
        <c:lblOffset val="100"/>
        <c:noMultiLvlLbl val="0"/>
      </c:catAx>
      <c:valAx>
        <c:axId val="22674124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微軟正黑體" panose="020B0604030504040204" pitchFamily="34" charset="-120"/>
                    <a:ea typeface="微軟正黑體" panose="020B0604030504040204" pitchFamily="34" charset="-120"/>
                    <a:cs typeface="+mn-cs"/>
                  </a:defRPr>
                </a:pPr>
                <a:r>
                  <a:rPr lang="zh-TW" sz="1000"/>
                  <a:t>次數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微軟正黑體" panose="020B0604030504040204" pitchFamily="34" charset="-120"/>
                  <a:ea typeface="微軟正黑體" panose="020B0604030504040204" pitchFamily="34" charset="-12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  <c:crossAx val="226739712"/>
        <c:crosses val="autoZero"/>
        <c:crossBetween val="between"/>
        <c:majorUnit val="1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8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800">
          <a:latin typeface="微軟正黑體" panose="020B0604030504040204" pitchFamily="34" charset="-120"/>
          <a:ea typeface="微軟正黑體" panose="020B0604030504040204" pitchFamily="34" charset="-12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aseline="0">
                <a:solidFill>
                  <a:schemeClr val="tx1"/>
                </a:solidFill>
              </a:rPr>
              <a:t>LP-TEOS  (UT+LT+OT+FD)%</a:t>
            </a:r>
            <a:endParaRPr lang="zh-TW" sz="1600" baseline="0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96652127117201E-2"/>
          <c:y val="0.12700029336426619"/>
          <c:w val="0.91747600974338639"/>
          <c:h val="0.6711777901481437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'LP-T UT%'!$A$2</c:f>
              <c:strCache>
                <c:ptCount val="1"/>
                <c:pt idx="0">
                  <c:v>LP-T (UT+LT+OT+FD)%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9680-4BFA-B346-1C07538922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rgbClr val="FF0000"/>
                    </a:solidFill>
                    <a:latin typeface="微軟正黑體" panose="020B0604030504040204" pitchFamily="34" charset="-120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'LP-T UT%'!$B$1:$U$1</c:f>
              <c:strCache>
                <c:ptCount val="20"/>
                <c:pt idx="0">
                  <c:v>2023Y</c:v>
                </c:pt>
                <c:pt idx="1">
                  <c:v>2024Y</c:v>
                </c:pt>
                <c:pt idx="3">
                  <c:v>Q1</c:v>
                </c:pt>
                <c:pt idx="4">
                  <c:v>Q2</c:v>
                </c:pt>
                <c:pt idx="5">
                  <c:v>Q3</c:v>
                </c:pt>
                <c:pt idx="6">
                  <c:v>Q4</c:v>
                </c:pt>
                <c:pt idx="8">
                  <c:v>1M</c:v>
                </c:pt>
                <c:pt idx="9">
                  <c:v>2M</c:v>
                </c:pt>
                <c:pt idx="10">
                  <c:v>3M</c:v>
                </c:pt>
                <c:pt idx="11">
                  <c:v>4M</c:v>
                </c:pt>
                <c:pt idx="12">
                  <c:v>5M</c:v>
                </c:pt>
                <c:pt idx="13">
                  <c:v>6M</c:v>
                </c:pt>
                <c:pt idx="14">
                  <c:v>7M</c:v>
                </c:pt>
                <c:pt idx="15">
                  <c:v>8M</c:v>
                </c:pt>
                <c:pt idx="16">
                  <c:v>9M</c:v>
                </c:pt>
                <c:pt idx="17">
                  <c:v>10M</c:v>
                </c:pt>
                <c:pt idx="18">
                  <c:v>11M</c:v>
                </c:pt>
                <c:pt idx="19">
                  <c:v>12M</c:v>
                </c:pt>
              </c:strCache>
            </c:strRef>
          </c:cat>
          <c:val>
            <c:numRef>
              <c:f>'LP-T UT%'!$B$2:$U$2</c:f>
              <c:numCache>
                <c:formatCode>0.0%</c:formatCode>
                <c:ptCount val="20"/>
                <c:pt idx="0">
                  <c:v>0.90900000000000003</c:v>
                </c:pt>
                <c:pt idx="1">
                  <c:v>0.92900000000000005</c:v>
                </c:pt>
                <c:pt idx="3">
                  <c:v>0.92900000000000005</c:v>
                </c:pt>
                <c:pt idx="8">
                  <c:v>0.92300000000000004</c:v>
                </c:pt>
                <c:pt idx="9">
                  <c:v>0.93500000000000005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D7-4221-8CE3-D6D38EC8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0784896"/>
        <c:axId val="51057024"/>
      </c:barChart>
      <c:lineChart>
        <c:grouping val="standard"/>
        <c:varyColors val="0"/>
        <c:ser>
          <c:idx val="1"/>
          <c:order val="1"/>
          <c:tx>
            <c:strRef>
              <c:f>'LP-T UT%'!$A$3</c:f>
              <c:strCache>
                <c:ptCount val="1"/>
                <c:pt idx="0">
                  <c:v>spec &gt; 90.6%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'LP-T UT%'!$B$3:$U$3</c:f>
              <c:numCache>
                <c:formatCode>0.0%</c:formatCode>
                <c:ptCount val="20"/>
                <c:pt idx="0">
                  <c:v>0.90600000000000003</c:v>
                </c:pt>
                <c:pt idx="1">
                  <c:v>0.90600000000000003</c:v>
                </c:pt>
                <c:pt idx="3">
                  <c:v>0.90600000000000003</c:v>
                </c:pt>
                <c:pt idx="4">
                  <c:v>0.90600000000000003</c:v>
                </c:pt>
                <c:pt idx="5">
                  <c:v>0.90600000000000003</c:v>
                </c:pt>
                <c:pt idx="6">
                  <c:v>0.90600000000000003</c:v>
                </c:pt>
                <c:pt idx="8">
                  <c:v>0.90600000000000003</c:v>
                </c:pt>
                <c:pt idx="9">
                  <c:v>0.90600000000000003</c:v>
                </c:pt>
                <c:pt idx="10">
                  <c:v>0.90600000000000003</c:v>
                </c:pt>
                <c:pt idx="11">
                  <c:v>0.90600000000000003</c:v>
                </c:pt>
                <c:pt idx="12">
                  <c:v>0.90600000000000003</c:v>
                </c:pt>
                <c:pt idx="13">
                  <c:v>0.90600000000000003</c:v>
                </c:pt>
                <c:pt idx="14">
                  <c:v>0.90600000000000003</c:v>
                </c:pt>
                <c:pt idx="15">
                  <c:v>0.90600000000000003</c:v>
                </c:pt>
                <c:pt idx="16">
                  <c:v>0.90600000000000003</c:v>
                </c:pt>
                <c:pt idx="17">
                  <c:v>0.90600000000000003</c:v>
                </c:pt>
                <c:pt idx="18">
                  <c:v>0.90600000000000003</c:v>
                </c:pt>
                <c:pt idx="19">
                  <c:v>0.90600000000000003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D7-4221-8CE3-D6D38EC82C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784896"/>
        <c:axId val="51057024"/>
      </c:lineChart>
      <c:catAx>
        <c:axId val="5078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微軟正黑體" panose="020B0604030504040204" pitchFamily="34" charset="-120"/>
                <a:ea typeface="+mn-ea"/>
                <a:cs typeface="+mn-cs"/>
              </a:defRPr>
            </a:pPr>
            <a:endParaRPr lang="en-US"/>
          </a:p>
        </c:txPr>
        <c:crossAx val="51057024"/>
        <c:crosses val="autoZero"/>
        <c:auto val="1"/>
        <c:lblAlgn val="ctr"/>
        <c:lblOffset val="100"/>
        <c:noMultiLvlLbl val="0"/>
      </c:catAx>
      <c:valAx>
        <c:axId val="51057024"/>
        <c:scaling>
          <c:orientation val="minMax"/>
          <c:max val="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784896"/>
        <c:crosses val="autoZero"/>
        <c:crossBetween val="between"/>
        <c:majorUnit val="5.000000000000001E-2"/>
        <c:minorUnit val="4.0000000000000008E-2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微軟正黑體" panose="020B0604030504040204" pitchFamily="34" charset="-12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0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4" Type="http://schemas.microsoft.com/office/2007/relationships/hdphoto" Target="../media/hdphoto2.wdp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54430</xdr:colOff>
      <xdr:row>1</xdr:row>
      <xdr:rowOff>32657</xdr:rowOff>
    </xdr:from>
    <xdr:to>
      <xdr:col>7</xdr:col>
      <xdr:colOff>2056154</xdr:colOff>
      <xdr:row>1</xdr:row>
      <xdr:rowOff>1415143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031B3536-9ED1-7D35-F260-98F410EC5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75916" y="326571"/>
          <a:ext cx="2001724" cy="13824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43542</xdr:colOff>
      <xdr:row>2</xdr:row>
      <xdr:rowOff>47171</xdr:rowOff>
    </xdr:from>
    <xdr:to>
      <xdr:col>7</xdr:col>
      <xdr:colOff>2090057</xdr:colOff>
      <xdr:row>2</xdr:row>
      <xdr:rowOff>1411514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46FB4973-DAEE-A7D3-EDBC-766021E6D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sharpenSoften amount="50000"/>
                  </a14:imgEffect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5028" y="1767114"/>
          <a:ext cx="2046515" cy="13643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162303</xdr:colOff>
      <xdr:row>3</xdr:row>
      <xdr:rowOff>20410</xdr:rowOff>
    </xdr:from>
    <xdr:to>
      <xdr:col>31</xdr:col>
      <xdr:colOff>705757</xdr:colOff>
      <xdr:row>14</xdr:row>
      <xdr:rowOff>202746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76201</xdr:colOff>
      <xdr:row>24</xdr:row>
      <xdr:rowOff>28570</xdr:rowOff>
    </xdr:from>
    <xdr:to>
      <xdr:col>12</xdr:col>
      <xdr:colOff>657226</xdr:colOff>
      <xdr:row>42</xdr:row>
      <xdr:rowOff>28575</xdr:rowOff>
    </xdr:to>
    <xdr:graphicFrame macro="">
      <xdr:nvGraphicFramePr>
        <xdr:cNvPr id="14" name="圖表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88103</xdr:colOff>
      <xdr:row>24</xdr:row>
      <xdr:rowOff>29935</xdr:rowOff>
    </xdr:from>
    <xdr:to>
      <xdr:col>24</xdr:col>
      <xdr:colOff>733424</xdr:colOff>
      <xdr:row>48</xdr:row>
      <xdr:rowOff>0</xdr:rowOff>
    </xdr:to>
    <xdr:graphicFrame macro="">
      <xdr:nvGraphicFramePr>
        <xdr:cNvPr id="19" name="圖表 18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120082</xdr:colOff>
      <xdr:row>12</xdr:row>
      <xdr:rowOff>95249</xdr:rowOff>
    </xdr:from>
    <xdr:to>
      <xdr:col>14</xdr:col>
      <xdr:colOff>90488</xdr:colOff>
      <xdr:row>33</xdr:row>
      <xdr:rowOff>76199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A2721525-203F-484E-8349-731624922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83820</xdr:colOff>
      <xdr:row>0</xdr:row>
      <xdr:rowOff>15240</xdr:rowOff>
    </xdr:from>
    <xdr:to>
      <xdr:col>23</xdr:col>
      <xdr:colOff>662940</xdr:colOff>
      <xdr:row>25</xdr:row>
      <xdr:rowOff>137160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60959</xdr:colOff>
      <xdr:row>0</xdr:row>
      <xdr:rowOff>53340</xdr:rowOff>
    </xdr:from>
    <xdr:to>
      <xdr:col>23</xdr:col>
      <xdr:colOff>609600</xdr:colOff>
      <xdr:row>27</xdr:row>
      <xdr:rowOff>167640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35078</xdr:colOff>
      <xdr:row>3</xdr:row>
      <xdr:rowOff>60176</xdr:rowOff>
    </xdr:from>
    <xdr:to>
      <xdr:col>19</xdr:col>
      <xdr:colOff>391886</xdr:colOff>
      <xdr:row>20</xdr:row>
      <xdr:rowOff>97972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34"/>
  <sheetViews>
    <sheetView tabSelected="1" zoomScale="70" zoomScaleNormal="70" workbookViewId="0">
      <selection activeCell="L5" sqref="L5"/>
    </sheetView>
  </sheetViews>
  <sheetFormatPr defaultRowHeight="70.5" customHeight="1"/>
  <cols>
    <col min="1" max="1" width="5.33203125" style="41" customWidth="1"/>
    <col min="2" max="2" width="5.33203125" style="39" customWidth="1"/>
    <col min="3" max="3" width="6.4140625" style="39" customWidth="1"/>
    <col min="4" max="4" width="7.75" style="39" customWidth="1"/>
    <col min="5" max="5" width="11.6640625" style="39" customWidth="1"/>
    <col min="6" max="6" width="32.25" style="33" customWidth="1"/>
    <col min="7" max="7" width="25.4140625" style="42" customWidth="1"/>
    <col min="8" max="8" width="27.4140625" style="33" customWidth="1"/>
    <col min="9" max="9" width="6.08203125" style="124" customWidth="1"/>
    <col min="10" max="10" width="8.9140625" style="39" customWidth="1"/>
    <col min="11" max="11" width="18.25" style="39" customWidth="1"/>
    <col min="12" max="257" width="8.9140625" style="39"/>
    <col min="258" max="258" width="4.75" style="39" customWidth="1"/>
    <col min="259" max="259" width="5.33203125" style="39" customWidth="1"/>
    <col min="260" max="260" width="4.4140625" style="39" customWidth="1"/>
    <col min="261" max="261" width="5.25" style="39" customWidth="1"/>
    <col min="262" max="262" width="38.9140625" style="39" customWidth="1"/>
    <col min="263" max="263" width="27.4140625" style="39" customWidth="1"/>
    <col min="264" max="265" width="14.08203125" style="39" customWidth="1"/>
    <col min="266" max="266" width="9.9140625" style="39" customWidth="1"/>
    <col min="267" max="513" width="8.9140625" style="39"/>
    <col min="514" max="514" width="4.75" style="39" customWidth="1"/>
    <col min="515" max="515" width="5.33203125" style="39" customWidth="1"/>
    <col min="516" max="516" width="4.4140625" style="39" customWidth="1"/>
    <col min="517" max="517" width="5.25" style="39" customWidth="1"/>
    <col min="518" max="518" width="38.9140625" style="39" customWidth="1"/>
    <col min="519" max="519" width="27.4140625" style="39" customWidth="1"/>
    <col min="520" max="521" width="14.08203125" style="39" customWidth="1"/>
    <col min="522" max="522" width="9.9140625" style="39" customWidth="1"/>
    <col min="523" max="769" width="8.9140625" style="39"/>
    <col min="770" max="770" width="4.75" style="39" customWidth="1"/>
    <col min="771" max="771" width="5.33203125" style="39" customWidth="1"/>
    <col min="772" max="772" width="4.4140625" style="39" customWidth="1"/>
    <col min="773" max="773" width="5.25" style="39" customWidth="1"/>
    <col min="774" max="774" width="38.9140625" style="39" customWidth="1"/>
    <col min="775" max="775" width="27.4140625" style="39" customWidth="1"/>
    <col min="776" max="777" width="14.08203125" style="39" customWidth="1"/>
    <col min="778" max="778" width="9.9140625" style="39" customWidth="1"/>
    <col min="779" max="1025" width="8.9140625" style="39"/>
    <col min="1026" max="1026" width="4.75" style="39" customWidth="1"/>
    <col min="1027" max="1027" width="5.33203125" style="39" customWidth="1"/>
    <col min="1028" max="1028" width="4.4140625" style="39" customWidth="1"/>
    <col min="1029" max="1029" width="5.25" style="39" customWidth="1"/>
    <col min="1030" max="1030" width="38.9140625" style="39" customWidth="1"/>
    <col min="1031" max="1031" width="27.4140625" style="39" customWidth="1"/>
    <col min="1032" max="1033" width="14.08203125" style="39" customWidth="1"/>
    <col min="1034" max="1034" width="9.9140625" style="39" customWidth="1"/>
    <col min="1035" max="1281" width="8.9140625" style="39"/>
    <col min="1282" max="1282" width="4.75" style="39" customWidth="1"/>
    <col min="1283" max="1283" width="5.33203125" style="39" customWidth="1"/>
    <col min="1284" max="1284" width="4.4140625" style="39" customWidth="1"/>
    <col min="1285" max="1285" width="5.25" style="39" customWidth="1"/>
    <col min="1286" max="1286" width="38.9140625" style="39" customWidth="1"/>
    <col min="1287" max="1287" width="27.4140625" style="39" customWidth="1"/>
    <col min="1288" max="1289" width="14.08203125" style="39" customWidth="1"/>
    <col min="1290" max="1290" width="9.9140625" style="39" customWidth="1"/>
    <col min="1291" max="1537" width="8.9140625" style="39"/>
    <col min="1538" max="1538" width="4.75" style="39" customWidth="1"/>
    <col min="1539" max="1539" width="5.33203125" style="39" customWidth="1"/>
    <col min="1540" max="1540" width="4.4140625" style="39" customWidth="1"/>
    <col min="1541" max="1541" width="5.25" style="39" customWidth="1"/>
    <col min="1542" max="1542" width="38.9140625" style="39" customWidth="1"/>
    <col min="1543" max="1543" width="27.4140625" style="39" customWidth="1"/>
    <col min="1544" max="1545" width="14.08203125" style="39" customWidth="1"/>
    <col min="1546" max="1546" width="9.9140625" style="39" customWidth="1"/>
    <col min="1547" max="1793" width="8.9140625" style="39"/>
    <col min="1794" max="1794" width="4.75" style="39" customWidth="1"/>
    <col min="1795" max="1795" width="5.33203125" style="39" customWidth="1"/>
    <col min="1796" max="1796" width="4.4140625" style="39" customWidth="1"/>
    <col min="1797" max="1797" width="5.25" style="39" customWidth="1"/>
    <col min="1798" max="1798" width="38.9140625" style="39" customWidth="1"/>
    <col min="1799" max="1799" width="27.4140625" style="39" customWidth="1"/>
    <col min="1800" max="1801" width="14.08203125" style="39" customWidth="1"/>
    <col min="1802" max="1802" width="9.9140625" style="39" customWidth="1"/>
    <col min="1803" max="2049" width="8.9140625" style="39"/>
    <col min="2050" max="2050" width="4.75" style="39" customWidth="1"/>
    <col min="2051" max="2051" width="5.33203125" style="39" customWidth="1"/>
    <col min="2052" max="2052" width="4.4140625" style="39" customWidth="1"/>
    <col min="2053" max="2053" width="5.25" style="39" customWidth="1"/>
    <col min="2054" max="2054" width="38.9140625" style="39" customWidth="1"/>
    <col min="2055" max="2055" width="27.4140625" style="39" customWidth="1"/>
    <col min="2056" max="2057" width="14.08203125" style="39" customWidth="1"/>
    <col min="2058" max="2058" width="9.9140625" style="39" customWidth="1"/>
    <col min="2059" max="2305" width="8.9140625" style="39"/>
    <col min="2306" max="2306" width="4.75" style="39" customWidth="1"/>
    <col min="2307" max="2307" width="5.33203125" style="39" customWidth="1"/>
    <col min="2308" max="2308" width="4.4140625" style="39" customWidth="1"/>
    <col min="2309" max="2309" width="5.25" style="39" customWidth="1"/>
    <col min="2310" max="2310" width="38.9140625" style="39" customWidth="1"/>
    <col min="2311" max="2311" width="27.4140625" style="39" customWidth="1"/>
    <col min="2312" max="2313" width="14.08203125" style="39" customWidth="1"/>
    <col min="2314" max="2314" width="9.9140625" style="39" customWidth="1"/>
    <col min="2315" max="2561" width="8.9140625" style="39"/>
    <col min="2562" max="2562" width="4.75" style="39" customWidth="1"/>
    <col min="2563" max="2563" width="5.33203125" style="39" customWidth="1"/>
    <col min="2564" max="2564" width="4.4140625" style="39" customWidth="1"/>
    <col min="2565" max="2565" width="5.25" style="39" customWidth="1"/>
    <col min="2566" max="2566" width="38.9140625" style="39" customWidth="1"/>
    <col min="2567" max="2567" width="27.4140625" style="39" customWidth="1"/>
    <col min="2568" max="2569" width="14.08203125" style="39" customWidth="1"/>
    <col min="2570" max="2570" width="9.9140625" style="39" customWidth="1"/>
    <col min="2571" max="2817" width="8.9140625" style="39"/>
    <col min="2818" max="2818" width="4.75" style="39" customWidth="1"/>
    <col min="2819" max="2819" width="5.33203125" style="39" customWidth="1"/>
    <col min="2820" max="2820" width="4.4140625" style="39" customWidth="1"/>
    <col min="2821" max="2821" width="5.25" style="39" customWidth="1"/>
    <col min="2822" max="2822" width="38.9140625" style="39" customWidth="1"/>
    <col min="2823" max="2823" width="27.4140625" style="39" customWidth="1"/>
    <col min="2824" max="2825" width="14.08203125" style="39" customWidth="1"/>
    <col min="2826" max="2826" width="9.9140625" style="39" customWidth="1"/>
    <col min="2827" max="3073" width="8.9140625" style="39"/>
    <col min="3074" max="3074" width="4.75" style="39" customWidth="1"/>
    <col min="3075" max="3075" width="5.33203125" style="39" customWidth="1"/>
    <col min="3076" max="3076" width="4.4140625" style="39" customWidth="1"/>
    <col min="3077" max="3077" width="5.25" style="39" customWidth="1"/>
    <col min="3078" max="3078" width="38.9140625" style="39" customWidth="1"/>
    <col min="3079" max="3079" width="27.4140625" style="39" customWidth="1"/>
    <col min="3080" max="3081" width="14.08203125" style="39" customWidth="1"/>
    <col min="3082" max="3082" width="9.9140625" style="39" customWidth="1"/>
    <col min="3083" max="3329" width="8.9140625" style="39"/>
    <col min="3330" max="3330" width="4.75" style="39" customWidth="1"/>
    <col min="3331" max="3331" width="5.33203125" style="39" customWidth="1"/>
    <col min="3332" max="3332" width="4.4140625" style="39" customWidth="1"/>
    <col min="3333" max="3333" width="5.25" style="39" customWidth="1"/>
    <col min="3334" max="3334" width="38.9140625" style="39" customWidth="1"/>
    <col min="3335" max="3335" width="27.4140625" style="39" customWidth="1"/>
    <col min="3336" max="3337" width="14.08203125" style="39" customWidth="1"/>
    <col min="3338" max="3338" width="9.9140625" style="39" customWidth="1"/>
    <col min="3339" max="3585" width="8.9140625" style="39"/>
    <col min="3586" max="3586" width="4.75" style="39" customWidth="1"/>
    <col min="3587" max="3587" width="5.33203125" style="39" customWidth="1"/>
    <col min="3588" max="3588" width="4.4140625" style="39" customWidth="1"/>
    <col min="3589" max="3589" width="5.25" style="39" customWidth="1"/>
    <col min="3590" max="3590" width="38.9140625" style="39" customWidth="1"/>
    <col min="3591" max="3591" width="27.4140625" style="39" customWidth="1"/>
    <col min="3592" max="3593" width="14.08203125" style="39" customWidth="1"/>
    <col min="3594" max="3594" width="9.9140625" style="39" customWidth="1"/>
    <col min="3595" max="3841" width="8.9140625" style="39"/>
    <col min="3842" max="3842" width="4.75" style="39" customWidth="1"/>
    <col min="3843" max="3843" width="5.33203125" style="39" customWidth="1"/>
    <col min="3844" max="3844" width="4.4140625" style="39" customWidth="1"/>
    <col min="3845" max="3845" width="5.25" style="39" customWidth="1"/>
    <col min="3846" max="3846" width="38.9140625" style="39" customWidth="1"/>
    <col min="3847" max="3847" width="27.4140625" style="39" customWidth="1"/>
    <col min="3848" max="3849" width="14.08203125" style="39" customWidth="1"/>
    <col min="3850" max="3850" width="9.9140625" style="39" customWidth="1"/>
    <col min="3851" max="4097" width="8.9140625" style="39"/>
    <col min="4098" max="4098" width="4.75" style="39" customWidth="1"/>
    <col min="4099" max="4099" width="5.33203125" style="39" customWidth="1"/>
    <col min="4100" max="4100" width="4.4140625" style="39" customWidth="1"/>
    <col min="4101" max="4101" width="5.25" style="39" customWidth="1"/>
    <col min="4102" max="4102" width="38.9140625" style="39" customWidth="1"/>
    <col min="4103" max="4103" width="27.4140625" style="39" customWidth="1"/>
    <col min="4104" max="4105" width="14.08203125" style="39" customWidth="1"/>
    <col min="4106" max="4106" width="9.9140625" style="39" customWidth="1"/>
    <col min="4107" max="4353" width="8.9140625" style="39"/>
    <col min="4354" max="4354" width="4.75" style="39" customWidth="1"/>
    <col min="4355" max="4355" width="5.33203125" style="39" customWidth="1"/>
    <col min="4356" max="4356" width="4.4140625" style="39" customWidth="1"/>
    <col min="4357" max="4357" width="5.25" style="39" customWidth="1"/>
    <col min="4358" max="4358" width="38.9140625" style="39" customWidth="1"/>
    <col min="4359" max="4359" width="27.4140625" style="39" customWidth="1"/>
    <col min="4360" max="4361" width="14.08203125" style="39" customWidth="1"/>
    <col min="4362" max="4362" width="9.9140625" style="39" customWidth="1"/>
    <col min="4363" max="4609" width="8.9140625" style="39"/>
    <col min="4610" max="4610" width="4.75" style="39" customWidth="1"/>
    <col min="4611" max="4611" width="5.33203125" style="39" customWidth="1"/>
    <col min="4612" max="4612" width="4.4140625" style="39" customWidth="1"/>
    <col min="4613" max="4613" width="5.25" style="39" customWidth="1"/>
    <col min="4614" max="4614" width="38.9140625" style="39" customWidth="1"/>
    <col min="4615" max="4615" width="27.4140625" style="39" customWidth="1"/>
    <col min="4616" max="4617" width="14.08203125" style="39" customWidth="1"/>
    <col min="4618" max="4618" width="9.9140625" style="39" customWidth="1"/>
    <col min="4619" max="4865" width="8.9140625" style="39"/>
    <col min="4866" max="4866" width="4.75" style="39" customWidth="1"/>
    <col min="4867" max="4867" width="5.33203125" style="39" customWidth="1"/>
    <col min="4868" max="4868" width="4.4140625" style="39" customWidth="1"/>
    <col min="4869" max="4869" width="5.25" style="39" customWidth="1"/>
    <col min="4870" max="4870" width="38.9140625" style="39" customWidth="1"/>
    <col min="4871" max="4871" width="27.4140625" style="39" customWidth="1"/>
    <col min="4872" max="4873" width="14.08203125" style="39" customWidth="1"/>
    <col min="4874" max="4874" width="9.9140625" style="39" customWidth="1"/>
    <col min="4875" max="5121" width="8.9140625" style="39"/>
    <col min="5122" max="5122" width="4.75" style="39" customWidth="1"/>
    <col min="5123" max="5123" width="5.33203125" style="39" customWidth="1"/>
    <col min="5124" max="5124" width="4.4140625" style="39" customWidth="1"/>
    <col min="5125" max="5125" width="5.25" style="39" customWidth="1"/>
    <col min="5126" max="5126" width="38.9140625" style="39" customWidth="1"/>
    <col min="5127" max="5127" width="27.4140625" style="39" customWidth="1"/>
    <col min="5128" max="5129" width="14.08203125" style="39" customWidth="1"/>
    <col min="5130" max="5130" width="9.9140625" style="39" customWidth="1"/>
    <col min="5131" max="5377" width="8.9140625" style="39"/>
    <col min="5378" max="5378" width="4.75" style="39" customWidth="1"/>
    <col min="5379" max="5379" width="5.33203125" style="39" customWidth="1"/>
    <col min="5380" max="5380" width="4.4140625" style="39" customWidth="1"/>
    <col min="5381" max="5381" width="5.25" style="39" customWidth="1"/>
    <col min="5382" max="5382" width="38.9140625" style="39" customWidth="1"/>
    <col min="5383" max="5383" width="27.4140625" style="39" customWidth="1"/>
    <col min="5384" max="5385" width="14.08203125" style="39" customWidth="1"/>
    <col min="5386" max="5386" width="9.9140625" style="39" customWidth="1"/>
    <col min="5387" max="5633" width="8.9140625" style="39"/>
    <col min="5634" max="5634" width="4.75" style="39" customWidth="1"/>
    <col min="5635" max="5635" width="5.33203125" style="39" customWidth="1"/>
    <col min="5636" max="5636" width="4.4140625" style="39" customWidth="1"/>
    <col min="5637" max="5637" width="5.25" style="39" customWidth="1"/>
    <col min="5638" max="5638" width="38.9140625" style="39" customWidth="1"/>
    <col min="5639" max="5639" width="27.4140625" style="39" customWidth="1"/>
    <col min="5640" max="5641" width="14.08203125" style="39" customWidth="1"/>
    <col min="5642" max="5642" width="9.9140625" style="39" customWidth="1"/>
    <col min="5643" max="5889" width="8.9140625" style="39"/>
    <col min="5890" max="5890" width="4.75" style="39" customWidth="1"/>
    <col min="5891" max="5891" width="5.33203125" style="39" customWidth="1"/>
    <col min="5892" max="5892" width="4.4140625" style="39" customWidth="1"/>
    <col min="5893" max="5893" width="5.25" style="39" customWidth="1"/>
    <col min="5894" max="5894" width="38.9140625" style="39" customWidth="1"/>
    <col min="5895" max="5895" width="27.4140625" style="39" customWidth="1"/>
    <col min="5896" max="5897" width="14.08203125" style="39" customWidth="1"/>
    <col min="5898" max="5898" width="9.9140625" style="39" customWidth="1"/>
    <col min="5899" max="6145" width="8.9140625" style="39"/>
    <col min="6146" max="6146" width="4.75" style="39" customWidth="1"/>
    <col min="6147" max="6147" width="5.33203125" style="39" customWidth="1"/>
    <col min="6148" max="6148" width="4.4140625" style="39" customWidth="1"/>
    <col min="6149" max="6149" width="5.25" style="39" customWidth="1"/>
    <col min="6150" max="6150" width="38.9140625" style="39" customWidth="1"/>
    <col min="6151" max="6151" width="27.4140625" style="39" customWidth="1"/>
    <col min="6152" max="6153" width="14.08203125" style="39" customWidth="1"/>
    <col min="6154" max="6154" width="9.9140625" style="39" customWidth="1"/>
    <col min="6155" max="6401" width="8.9140625" style="39"/>
    <col min="6402" max="6402" width="4.75" style="39" customWidth="1"/>
    <col min="6403" max="6403" width="5.33203125" style="39" customWidth="1"/>
    <col min="6404" max="6404" width="4.4140625" style="39" customWidth="1"/>
    <col min="6405" max="6405" width="5.25" style="39" customWidth="1"/>
    <col min="6406" max="6406" width="38.9140625" style="39" customWidth="1"/>
    <col min="6407" max="6407" width="27.4140625" style="39" customWidth="1"/>
    <col min="6408" max="6409" width="14.08203125" style="39" customWidth="1"/>
    <col min="6410" max="6410" width="9.9140625" style="39" customWidth="1"/>
    <col min="6411" max="6657" width="8.9140625" style="39"/>
    <col min="6658" max="6658" width="4.75" style="39" customWidth="1"/>
    <col min="6659" max="6659" width="5.33203125" style="39" customWidth="1"/>
    <col min="6660" max="6660" width="4.4140625" style="39" customWidth="1"/>
    <col min="6661" max="6661" width="5.25" style="39" customWidth="1"/>
    <col min="6662" max="6662" width="38.9140625" style="39" customWidth="1"/>
    <col min="6663" max="6663" width="27.4140625" style="39" customWidth="1"/>
    <col min="6664" max="6665" width="14.08203125" style="39" customWidth="1"/>
    <col min="6666" max="6666" width="9.9140625" style="39" customWidth="1"/>
    <col min="6667" max="6913" width="8.9140625" style="39"/>
    <col min="6914" max="6914" width="4.75" style="39" customWidth="1"/>
    <col min="6915" max="6915" width="5.33203125" style="39" customWidth="1"/>
    <col min="6916" max="6916" width="4.4140625" style="39" customWidth="1"/>
    <col min="6917" max="6917" width="5.25" style="39" customWidth="1"/>
    <col min="6918" max="6918" width="38.9140625" style="39" customWidth="1"/>
    <col min="6919" max="6919" width="27.4140625" style="39" customWidth="1"/>
    <col min="6920" max="6921" width="14.08203125" style="39" customWidth="1"/>
    <col min="6922" max="6922" width="9.9140625" style="39" customWidth="1"/>
    <col min="6923" max="7169" width="8.9140625" style="39"/>
    <col min="7170" max="7170" width="4.75" style="39" customWidth="1"/>
    <col min="7171" max="7171" width="5.33203125" style="39" customWidth="1"/>
    <col min="7172" max="7172" width="4.4140625" style="39" customWidth="1"/>
    <col min="7173" max="7173" width="5.25" style="39" customWidth="1"/>
    <col min="7174" max="7174" width="38.9140625" style="39" customWidth="1"/>
    <col min="7175" max="7175" width="27.4140625" style="39" customWidth="1"/>
    <col min="7176" max="7177" width="14.08203125" style="39" customWidth="1"/>
    <col min="7178" max="7178" width="9.9140625" style="39" customWidth="1"/>
    <col min="7179" max="7425" width="8.9140625" style="39"/>
    <col min="7426" max="7426" width="4.75" style="39" customWidth="1"/>
    <col min="7427" max="7427" width="5.33203125" style="39" customWidth="1"/>
    <col min="7428" max="7428" width="4.4140625" style="39" customWidth="1"/>
    <col min="7429" max="7429" width="5.25" style="39" customWidth="1"/>
    <col min="7430" max="7430" width="38.9140625" style="39" customWidth="1"/>
    <col min="7431" max="7431" width="27.4140625" style="39" customWidth="1"/>
    <col min="7432" max="7433" width="14.08203125" style="39" customWidth="1"/>
    <col min="7434" max="7434" width="9.9140625" style="39" customWidth="1"/>
    <col min="7435" max="7681" width="8.9140625" style="39"/>
    <col min="7682" max="7682" width="4.75" style="39" customWidth="1"/>
    <col min="7683" max="7683" width="5.33203125" style="39" customWidth="1"/>
    <col min="7684" max="7684" width="4.4140625" style="39" customWidth="1"/>
    <col min="7685" max="7685" width="5.25" style="39" customWidth="1"/>
    <col min="7686" max="7686" width="38.9140625" style="39" customWidth="1"/>
    <col min="7687" max="7687" width="27.4140625" style="39" customWidth="1"/>
    <col min="7688" max="7689" width="14.08203125" style="39" customWidth="1"/>
    <col min="7690" max="7690" width="9.9140625" style="39" customWidth="1"/>
    <col min="7691" max="7937" width="8.9140625" style="39"/>
    <col min="7938" max="7938" width="4.75" style="39" customWidth="1"/>
    <col min="7939" max="7939" width="5.33203125" style="39" customWidth="1"/>
    <col min="7940" max="7940" width="4.4140625" style="39" customWidth="1"/>
    <col min="7941" max="7941" width="5.25" style="39" customWidth="1"/>
    <col min="7942" max="7942" width="38.9140625" style="39" customWidth="1"/>
    <col min="7943" max="7943" width="27.4140625" style="39" customWidth="1"/>
    <col min="7944" max="7945" width="14.08203125" style="39" customWidth="1"/>
    <col min="7946" max="7946" width="9.9140625" style="39" customWidth="1"/>
    <col min="7947" max="8193" width="8.9140625" style="39"/>
    <col min="8194" max="8194" width="4.75" style="39" customWidth="1"/>
    <col min="8195" max="8195" width="5.33203125" style="39" customWidth="1"/>
    <col min="8196" max="8196" width="4.4140625" style="39" customWidth="1"/>
    <col min="8197" max="8197" width="5.25" style="39" customWidth="1"/>
    <col min="8198" max="8198" width="38.9140625" style="39" customWidth="1"/>
    <col min="8199" max="8199" width="27.4140625" style="39" customWidth="1"/>
    <col min="8200" max="8201" width="14.08203125" style="39" customWidth="1"/>
    <col min="8202" max="8202" width="9.9140625" style="39" customWidth="1"/>
    <col min="8203" max="8449" width="8.9140625" style="39"/>
    <col min="8450" max="8450" width="4.75" style="39" customWidth="1"/>
    <col min="8451" max="8451" width="5.33203125" style="39" customWidth="1"/>
    <col min="8452" max="8452" width="4.4140625" style="39" customWidth="1"/>
    <col min="8453" max="8453" width="5.25" style="39" customWidth="1"/>
    <col min="8454" max="8454" width="38.9140625" style="39" customWidth="1"/>
    <col min="8455" max="8455" width="27.4140625" style="39" customWidth="1"/>
    <col min="8456" max="8457" width="14.08203125" style="39" customWidth="1"/>
    <col min="8458" max="8458" width="9.9140625" style="39" customWidth="1"/>
    <col min="8459" max="8705" width="8.9140625" style="39"/>
    <col min="8706" max="8706" width="4.75" style="39" customWidth="1"/>
    <col min="8707" max="8707" width="5.33203125" style="39" customWidth="1"/>
    <col min="8708" max="8708" width="4.4140625" style="39" customWidth="1"/>
    <col min="8709" max="8709" width="5.25" style="39" customWidth="1"/>
    <col min="8710" max="8710" width="38.9140625" style="39" customWidth="1"/>
    <col min="8711" max="8711" width="27.4140625" style="39" customWidth="1"/>
    <col min="8712" max="8713" width="14.08203125" style="39" customWidth="1"/>
    <col min="8714" max="8714" width="9.9140625" style="39" customWidth="1"/>
    <col min="8715" max="8961" width="8.9140625" style="39"/>
    <col min="8962" max="8962" width="4.75" style="39" customWidth="1"/>
    <col min="8963" max="8963" width="5.33203125" style="39" customWidth="1"/>
    <col min="8964" max="8964" width="4.4140625" style="39" customWidth="1"/>
    <col min="8965" max="8965" width="5.25" style="39" customWidth="1"/>
    <col min="8966" max="8966" width="38.9140625" style="39" customWidth="1"/>
    <col min="8967" max="8967" width="27.4140625" style="39" customWidth="1"/>
    <col min="8968" max="8969" width="14.08203125" style="39" customWidth="1"/>
    <col min="8970" max="8970" width="9.9140625" style="39" customWidth="1"/>
    <col min="8971" max="9217" width="8.9140625" style="39"/>
    <col min="9218" max="9218" width="4.75" style="39" customWidth="1"/>
    <col min="9219" max="9219" width="5.33203125" style="39" customWidth="1"/>
    <col min="9220" max="9220" width="4.4140625" style="39" customWidth="1"/>
    <col min="9221" max="9221" width="5.25" style="39" customWidth="1"/>
    <col min="9222" max="9222" width="38.9140625" style="39" customWidth="1"/>
    <col min="9223" max="9223" width="27.4140625" style="39" customWidth="1"/>
    <col min="9224" max="9225" width="14.08203125" style="39" customWidth="1"/>
    <col min="9226" max="9226" width="9.9140625" style="39" customWidth="1"/>
    <col min="9227" max="9473" width="8.9140625" style="39"/>
    <col min="9474" max="9474" width="4.75" style="39" customWidth="1"/>
    <col min="9475" max="9475" width="5.33203125" style="39" customWidth="1"/>
    <col min="9476" max="9476" width="4.4140625" style="39" customWidth="1"/>
    <col min="9477" max="9477" width="5.25" style="39" customWidth="1"/>
    <col min="9478" max="9478" width="38.9140625" style="39" customWidth="1"/>
    <col min="9479" max="9479" width="27.4140625" style="39" customWidth="1"/>
    <col min="9480" max="9481" width="14.08203125" style="39" customWidth="1"/>
    <col min="9482" max="9482" width="9.9140625" style="39" customWidth="1"/>
    <col min="9483" max="9729" width="8.9140625" style="39"/>
    <col min="9730" max="9730" width="4.75" style="39" customWidth="1"/>
    <col min="9731" max="9731" width="5.33203125" style="39" customWidth="1"/>
    <col min="9732" max="9732" width="4.4140625" style="39" customWidth="1"/>
    <col min="9733" max="9733" width="5.25" style="39" customWidth="1"/>
    <col min="9734" max="9734" width="38.9140625" style="39" customWidth="1"/>
    <col min="9735" max="9735" width="27.4140625" style="39" customWidth="1"/>
    <col min="9736" max="9737" width="14.08203125" style="39" customWidth="1"/>
    <col min="9738" max="9738" width="9.9140625" style="39" customWidth="1"/>
    <col min="9739" max="9985" width="8.9140625" style="39"/>
    <col min="9986" max="9986" width="4.75" style="39" customWidth="1"/>
    <col min="9987" max="9987" width="5.33203125" style="39" customWidth="1"/>
    <col min="9988" max="9988" width="4.4140625" style="39" customWidth="1"/>
    <col min="9989" max="9989" width="5.25" style="39" customWidth="1"/>
    <col min="9990" max="9990" width="38.9140625" style="39" customWidth="1"/>
    <col min="9991" max="9991" width="27.4140625" style="39" customWidth="1"/>
    <col min="9992" max="9993" width="14.08203125" style="39" customWidth="1"/>
    <col min="9994" max="9994" width="9.9140625" style="39" customWidth="1"/>
    <col min="9995" max="10241" width="8.9140625" style="39"/>
    <col min="10242" max="10242" width="4.75" style="39" customWidth="1"/>
    <col min="10243" max="10243" width="5.33203125" style="39" customWidth="1"/>
    <col min="10244" max="10244" width="4.4140625" style="39" customWidth="1"/>
    <col min="10245" max="10245" width="5.25" style="39" customWidth="1"/>
    <col min="10246" max="10246" width="38.9140625" style="39" customWidth="1"/>
    <col min="10247" max="10247" width="27.4140625" style="39" customWidth="1"/>
    <col min="10248" max="10249" width="14.08203125" style="39" customWidth="1"/>
    <col min="10250" max="10250" width="9.9140625" style="39" customWidth="1"/>
    <col min="10251" max="10497" width="8.9140625" style="39"/>
    <col min="10498" max="10498" width="4.75" style="39" customWidth="1"/>
    <col min="10499" max="10499" width="5.33203125" style="39" customWidth="1"/>
    <col min="10500" max="10500" width="4.4140625" style="39" customWidth="1"/>
    <col min="10501" max="10501" width="5.25" style="39" customWidth="1"/>
    <col min="10502" max="10502" width="38.9140625" style="39" customWidth="1"/>
    <col min="10503" max="10503" width="27.4140625" style="39" customWidth="1"/>
    <col min="10504" max="10505" width="14.08203125" style="39" customWidth="1"/>
    <col min="10506" max="10506" width="9.9140625" style="39" customWidth="1"/>
    <col min="10507" max="10753" width="8.9140625" style="39"/>
    <col min="10754" max="10754" width="4.75" style="39" customWidth="1"/>
    <col min="10755" max="10755" width="5.33203125" style="39" customWidth="1"/>
    <col min="10756" max="10756" width="4.4140625" style="39" customWidth="1"/>
    <col min="10757" max="10757" width="5.25" style="39" customWidth="1"/>
    <col min="10758" max="10758" width="38.9140625" style="39" customWidth="1"/>
    <col min="10759" max="10759" width="27.4140625" style="39" customWidth="1"/>
    <col min="10760" max="10761" width="14.08203125" style="39" customWidth="1"/>
    <col min="10762" max="10762" width="9.9140625" style="39" customWidth="1"/>
    <col min="10763" max="11009" width="8.9140625" style="39"/>
    <col min="11010" max="11010" width="4.75" style="39" customWidth="1"/>
    <col min="11011" max="11011" width="5.33203125" style="39" customWidth="1"/>
    <col min="11012" max="11012" width="4.4140625" style="39" customWidth="1"/>
    <col min="11013" max="11013" width="5.25" style="39" customWidth="1"/>
    <col min="11014" max="11014" width="38.9140625" style="39" customWidth="1"/>
    <col min="11015" max="11015" width="27.4140625" style="39" customWidth="1"/>
    <col min="11016" max="11017" width="14.08203125" style="39" customWidth="1"/>
    <col min="11018" max="11018" width="9.9140625" style="39" customWidth="1"/>
    <col min="11019" max="11265" width="8.9140625" style="39"/>
    <col min="11266" max="11266" width="4.75" style="39" customWidth="1"/>
    <col min="11267" max="11267" width="5.33203125" style="39" customWidth="1"/>
    <col min="11268" max="11268" width="4.4140625" style="39" customWidth="1"/>
    <col min="11269" max="11269" width="5.25" style="39" customWidth="1"/>
    <col min="11270" max="11270" width="38.9140625" style="39" customWidth="1"/>
    <col min="11271" max="11271" width="27.4140625" style="39" customWidth="1"/>
    <col min="11272" max="11273" width="14.08203125" style="39" customWidth="1"/>
    <col min="11274" max="11274" width="9.9140625" style="39" customWidth="1"/>
    <col min="11275" max="11521" width="8.9140625" style="39"/>
    <col min="11522" max="11522" width="4.75" style="39" customWidth="1"/>
    <col min="11523" max="11523" width="5.33203125" style="39" customWidth="1"/>
    <col min="11524" max="11524" width="4.4140625" style="39" customWidth="1"/>
    <col min="11525" max="11525" width="5.25" style="39" customWidth="1"/>
    <col min="11526" max="11526" width="38.9140625" style="39" customWidth="1"/>
    <col min="11527" max="11527" width="27.4140625" style="39" customWidth="1"/>
    <col min="11528" max="11529" width="14.08203125" style="39" customWidth="1"/>
    <col min="11530" max="11530" width="9.9140625" style="39" customWidth="1"/>
    <col min="11531" max="11777" width="8.9140625" style="39"/>
    <col min="11778" max="11778" width="4.75" style="39" customWidth="1"/>
    <col min="11779" max="11779" width="5.33203125" style="39" customWidth="1"/>
    <col min="11780" max="11780" width="4.4140625" style="39" customWidth="1"/>
    <col min="11781" max="11781" width="5.25" style="39" customWidth="1"/>
    <col min="11782" max="11782" width="38.9140625" style="39" customWidth="1"/>
    <col min="11783" max="11783" width="27.4140625" style="39" customWidth="1"/>
    <col min="11784" max="11785" width="14.08203125" style="39" customWidth="1"/>
    <col min="11786" max="11786" width="9.9140625" style="39" customWidth="1"/>
    <col min="11787" max="12033" width="8.9140625" style="39"/>
    <col min="12034" max="12034" width="4.75" style="39" customWidth="1"/>
    <col min="12035" max="12035" width="5.33203125" style="39" customWidth="1"/>
    <col min="12036" max="12036" width="4.4140625" style="39" customWidth="1"/>
    <col min="12037" max="12037" width="5.25" style="39" customWidth="1"/>
    <col min="12038" max="12038" width="38.9140625" style="39" customWidth="1"/>
    <col min="12039" max="12039" width="27.4140625" style="39" customWidth="1"/>
    <col min="12040" max="12041" width="14.08203125" style="39" customWidth="1"/>
    <col min="12042" max="12042" width="9.9140625" style="39" customWidth="1"/>
    <col min="12043" max="12289" width="8.9140625" style="39"/>
    <col min="12290" max="12290" width="4.75" style="39" customWidth="1"/>
    <col min="12291" max="12291" width="5.33203125" style="39" customWidth="1"/>
    <col min="12292" max="12292" width="4.4140625" style="39" customWidth="1"/>
    <col min="12293" max="12293" width="5.25" style="39" customWidth="1"/>
    <col min="12294" max="12294" width="38.9140625" style="39" customWidth="1"/>
    <col min="12295" max="12295" width="27.4140625" style="39" customWidth="1"/>
    <col min="12296" max="12297" width="14.08203125" style="39" customWidth="1"/>
    <col min="12298" max="12298" width="9.9140625" style="39" customWidth="1"/>
    <col min="12299" max="12545" width="8.9140625" style="39"/>
    <col min="12546" max="12546" width="4.75" style="39" customWidth="1"/>
    <col min="12547" max="12547" width="5.33203125" style="39" customWidth="1"/>
    <col min="12548" max="12548" width="4.4140625" style="39" customWidth="1"/>
    <col min="12549" max="12549" width="5.25" style="39" customWidth="1"/>
    <col min="12550" max="12550" width="38.9140625" style="39" customWidth="1"/>
    <col min="12551" max="12551" width="27.4140625" style="39" customWidth="1"/>
    <col min="12552" max="12553" width="14.08203125" style="39" customWidth="1"/>
    <col min="12554" max="12554" width="9.9140625" style="39" customWidth="1"/>
    <col min="12555" max="12801" width="8.9140625" style="39"/>
    <col min="12802" max="12802" width="4.75" style="39" customWidth="1"/>
    <col min="12803" max="12803" width="5.33203125" style="39" customWidth="1"/>
    <col min="12804" max="12804" width="4.4140625" style="39" customWidth="1"/>
    <col min="12805" max="12805" width="5.25" style="39" customWidth="1"/>
    <col min="12806" max="12806" width="38.9140625" style="39" customWidth="1"/>
    <col min="12807" max="12807" width="27.4140625" style="39" customWidth="1"/>
    <col min="12808" max="12809" width="14.08203125" style="39" customWidth="1"/>
    <col min="12810" max="12810" width="9.9140625" style="39" customWidth="1"/>
    <col min="12811" max="13057" width="8.9140625" style="39"/>
    <col min="13058" max="13058" width="4.75" style="39" customWidth="1"/>
    <col min="13059" max="13059" width="5.33203125" style="39" customWidth="1"/>
    <col min="13060" max="13060" width="4.4140625" style="39" customWidth="1"/>
    <col min="13061" max="13061" width="5.25" style="39" customWidth="1"/>
    <col min="13062" max="13062" width="38.9140625" style="39" customWidth="1"/>
    <col min="13063" max="13063" width="27.4140625" style="39" customWidth="1"/>
    <col min="13064" max="13065" width="14.08203125" style="39" customWidth="1"/>
    <col min="13066" max="13066" width="9.9140625" style="39" customWidth="1"/>
    <col min="13067" max="13313" width="8.9140625" style="39"/>
    <col min="13314" max="13314" width="4.75" style="39" customWidth="1"/>
    <col min="13315" max="13315" width="5.33203125" style="39" customWidth="1"/>
    <col min="13316" max="13316" width="4.4140625" style="39" customWidth="1"/>
    <col min="13317" max="13317" width="5.25" style="39" customWidth="1"/>
    <col min="13318" max="13318" width="38.9140625" style="39" customWidth="1"/>
    <col min="13319" max="13319" width="27.4140625" style="39" customWidth="1"/>
    <col min="13320" max="13321" width="14.08203125" style="39" customWidth="1"/>
    <col min="13322" max="13322" width="9.9140625" style="39" customWidth="1"/>
    <col min="13323" max="13569" width="8.9140625" style="39"/>
    <col min="13570" max="13570" width="4.75" style="39" customWidth="1"/>
    <col min="13571" max="13571" width="5.33203125" style="39" customWidth="1"/>
    <col min="13572" max="13572" width="4.4140625" style="39" customWidth="1"/>
    <col min="13573" max="13573" width="5.25" style="39" customWidth="1"/>
    <col min="13574" max="13574" width="38.9140625" style="39" customWidth="1"/>
    <col min="13575" max="13575" width="27.4140625" style="39" customWidth="1"/>
    <col min="13576" max="13577" width="14.08203125" style="39" customWidth="1"/>
    <col min="13578" max="13578" width="9.9140625" style="39" customWidth="1"/>
    <col min="13579" max="13825" width="8.9140625" style="39"/>
    <col min="13826" max="13826" width="4.75" style="39" customWidth="1"/>
    <col min="13827" max="13827" width="5.33203125" style="39" customWidth="1"/>
    <col min="13828" max="13828" width="4.4140625" style="39" customWidth="1"/>
    <col min="13829" max="13829" width="5.25" style="39" customWidth="1"/>
    <col min="13830" max="13830" width="38.9140625" style="39" customWidth="1"/>
    <col min="13831" max="13831" width="27.4140625" style="39" customWidth="1"/>
    <col min="13832" max="13833" width="14.08203125" style="39" customWidth="1"/>
    <col min="13834" max="13834" width="9.9140625" style="39" customWidth="1"/>
    <col min="13835" max="14081" width="8.9140625" style="39"/>
    <col min="14082" max="14082" width="4.75" style="39" customWidth="1"/>
    <col min="14083" max="14083" width="5.33203125" style="39" customWidth="1"/>
    <col min="14084" max="14084" width="4.4140625" style="39" customWidth="1"/>
    <col min="14085" max="14085" width="5.25" style="39" customWidth="1"/>
    <col min="14086" max="14086" width="38.9140625" style="39" customWidth="1"/>
    <col min="14087" max="14087" width="27.4140625" style="39" customWidth="1"/>
    <col min="14088" max="14089" width="14.08203125" style="39" customWidth="1"/>
    <col min="14090" max="14090" width="9.9140625" style="39" customWidth="1"/>
    <col min="14091" max="14337" width="8.9140625" style="39"/>
    <col min="14338" max="14338" width="4.75" style="39" customWidth="1"/>
    <col min="14339" max="14339" width="5.33203125" style="39" customWidth="1"/>
    <col min="14340" max="14340" width="4.4140625" style="39" customWidth="1"/>
    <col min="14341" max="14341" width="5.25" style="39" customWidth="1"/>
    <col min="14342" max="14342" width="38.9140625" style="39" customWidth="1"/>
    <col min="14343" max="14343" width="27.4140625" style="39" customWidth="1"/>
    <col min="14344" max="14345" width="14.08203125" style="39" customWidth="1"/>
    <col min="14346" max="14346" width="9.9140625" style="39" customWidth="1"/>
    <col min="14347" max="14593" width="8.9140625" style="39"/>
    <col min="14594" max="14594" width="4.75" style="39" customWidth="1"/>
    <col min="14595" max="14595" width="5.33203125" style="39" customWidth="1"/>
    <col min="14596" max="14596" width="4.4140625" style="39" customWidth="1"/>
    <col min="14597" max="14597" width="5.25" style="39" customWidth="1"/>
    <col min="14598" max="14598" width="38.9140625" style="39" customWidth="1"/>
    <col min="14599" max="14599" width="27.4140625" style="39" customWidth="1"/>
    <col min="14600" max="14601" width="14.08203125" style="39" customWidth="1"/>
    <col min="14602" max="14602" width="9.9140625" style="39" customWidth="1"/>
    <col min="14603" max="14849" width="8.9140625" style="39"/>
    <col min="14850" max="14850" width="4.75" style="39" customWidth="1"/>
    <col min="14851" max="14851" width="5.33203125" style="39" customWidth="1"/>
    <col min="14852" max="14852" width="4.4140625" style="39" customWidth="1"/>
    <col min="14853" max="14853" width="5.25" style="39" customWidth="1"/>
    <col min="14854" max="14854" width="38.9140625" style="39" customWidth="1"/>
    <col min="14855" max="14855" width="27.4140625" style="39" customWidth="1"/>
    <col min="14856" max="14857" width="14.08203125" style="39" customWidth="1"/>
    <col min="14858" max="14858" width="9.9140625" style="39" customWidth="1"/>
    <col min="14859" max="15105" width="8.9140625" style="39"/>
    <col min="15106" max="15106" width="4.75" style="39" customWidth="1"/>
    <col min="15107" max="15107" width="5.33203125" style="39" customWidth="1"/>
    <col min="15108" max="15108" width="4.4140625" style="39" customWidth="1"/>
    <col min="15109" max="15109" width="5.25" style="39" customWidth="1"/>
    <col min="15110" max="15110" width="38.9140625" style="39" customWidth="1"/>
    <col min="15111" max="15111" width="27.4140625" style="39" customWidth="1"/>
    <col min="15112" max="15113" width="14.08203125" style="39" customWidth="1"/>
    <col min="15114" max="15114" width="9.9140625" style="39" customWidth="1"/>
    <col min="15115" max="15361" width="8.9140625" style="39"/>
    <col min="15362" max="15362" width="4.75" style="39" customWidth="1"/>
    <col min="15363" max="15363" width="5.33203125" style="39" customWidth="1"/>
    <col min="15364" max="15364" width="4.4140625" style="39" customWidth="1"/>
    <col min="15365" max="15365" width="5.25" style="39" customWidth="1"/>
    <col min="15366" max="15366" width="38.9140625" style="39" customWidth="1"/>
    <col min="15367" max="15367" width="27.4140625" style="39" customWidth="1"/>
    <col min="15368" max="15369" width="14.08203125" style="39" customWidth="1"/>
    <col min="15370" max="15370" width="9.9140625" style="39" customWidth="1"/>
    <col min="15371" max="15617" width="8.9140625" style="39"/>
    <col min="15618" max="15618" width="4.75" style="39" customWidth="1"/>
    <col min="15619" max="15619" width="5.33203125" style="39" customWidth="1"/>
    <col min="15620" max="15620" width="4.4140625" style="39" customWidth="1"/>
    <col min="15621" max="15621" width="5.25" style="39" customWidth="1"/>
    <col min="15622" max="15622" width="38.9140625" style="39" customWidth="1"/>
    <col min="15623" max="15623" width="27.4140625" style="39" customWidth="1"/>
    <col min="15624" max="15625" width="14.08203125" style="39" customWidth="1"/>
    <col min="15626" max="15626" width="9.9140625" style="39" customWidth="1"/>
    <col min="15627" max="15873" width="8.9140625" style="39"/>
    <col min="15874" max="15874" width="4.75" style="39" customWidth="1"/>
    <col min="15875" max="15875" width="5.33203125" style="39" customWidth="1"/>
    <col min="15876" max="15876" width="4.4140625" style="39" customWidth="1"/>
    <col min="15877" max="15877" width="5.25" style="39" customWidth="1"/>
    <col min="15878" max="15878" width="38.9140625" style="39" customWidth="1"/>
    <col min="15879" max="15879" width="27.4140625" style="39" customWidth="1"/>
    <col min="15880" max="15881" width="14.08203125" style="39" customWidth="1"/>
    <col min="15882" max="15882" width="9.9140625" style="39" customWidth="1"/>
    <col min="15883" max="16129" width="8.9140625" style="39"/>
    <col min="16130" max="16130" width="4.75" style="39" customWidth="1"/>
    <col min="16131" max="16131" width="5.33203125" style="39" customWidth="1"/>
    <col min="16132" max="16132" width="4.4140625" style="39" customWidth="1"/>
    <col min="16133" max="16133" width="5.25" style="39" customWidth="1"/>
    <col min="16134" max="16134" width="38.9140625" style="39" customWidth="1"/>
    <col min="16135" max="16135" width="27.4140625" style="39" customWidth="1"/>
    <col min="16136" max="16137" width="14.08203125" style="39" customWidth="1"/>
    <col min="16138" max="16138" width="9.9140625" style="39" customWidth="1"/>
    <col min="16139" max="16383" width="8.9140625" style="39"/>
    <col min="16384" max="16384" width="8.9140625" style="39" customWidth="1"/>
  </cols>
  <sheetData>
    <row r="1" spans="1:10" ht="23.4" customHeight="1">
      <c r="A1" s="145" t="s">
        <v>12</v>
      </c>
      <c r="B1" s="146" t="s">
        <v>13</v>
      </c>
      <c r="C1" s="146" t="s">
        <v>96</v>
      </c>
      <c r="D1" s="146" t="s">
        <v>159</v>
      </c>
      <c r="E1" s="146" t="s">
        <v>160</v>
      </c>
      <c r="F1" s="147" t="s">
        <v>14</v>
      </c>
      <c r="G1" s="147" t="s">
        <v>15</v>
      </c>
      <c r="H1" s="147" t="s">
        <v>97</v>
      </c>
      <c r="I1" s="147" t="s">
        <v>183</v>
      </c>
      <c r="J1" s="146" t="s">
        <v>182</v>
      </c>
    </row>
    <row r="2" spans="1:10" ht="112.2" customHeight="1">
      <c r="A2" s="141">
        <v>45666</v>
      </c>
      <c r="B2" s="148" t="s">
        <v>180</v>
      </c>
      <c r="C2" s="38" t="s">
        <v>181</v>
      </c>
      <c r="D2" s="38" t="s">
        <v>193</v>
      </c>
      <c r="E2" s="3" t="s">
        <v>194</v>
      </c>
      <c r="F2" s="43" t="s">
        <v>195</v>
      </c>
      <c r="G2" s="43" t="s">
        <v>196</v>
      </c>
      <c r="H2" s="1"/>
      <c r="I2" s="144"/>
      <c r="J2" s="167">
        <v>3</v>
      </c>
    </row>
    <row r="3" spans="1:10" ht="118.95" customHeight="1">
      <c r="A3" s="141">
        <v>45689</v>
      </c>
      <c r="B3" s="148" t="s">
        <v>38</v>
      </c>
      <c r="C3" s="38" t="s">
        <v>198</v>
      </c>
      <c r="D3" s="38" t="s">
        <v>199</v>
      </c>
      <c r="E3" s="3" t="s">
        <v>200</v>
      </c>
      <c r="F3" s="43" t="s">
        <v>201</v>
      </c>
      <c r="G3" s="122" t="s">
        <v>202</v>
      </c>
      <c r="H3" s="1"/>
      <c r="I3" s="144"/>
      <c r="J3" s="40">
        <v>12.8</v>
      </c>
    </row>
    <row r="4" spans="1:10" ht="98.4" customHeight="1">
      <c r="A4" s="141"/>
      <c r="B4" s="148"/>
      <c r="C4" s="38"/>
      <c r="D4" s="38"/>
      <c r="E4" s="123"/>
      <c r="F4" s="43"/>
      <c r="G4" s="122"/>
      <c r="H4" s="1"/>
      <c r="I4" s="144"/>
      <c r="J4" s="40"/>
    </row>
    <row r="5" spans="1:10" ht="99.6" customHeight="1">
      <c r="A5" s="151"/>
      <c r="B5" s="152"/>
      <c r="C5" s="153"/>
      <c r="D5" s="153"/>
      <c r="E5" s="154"/>
      <c r="F5" s="155"/>
      <c r="G5" s="155"/>
      <c r="H5" s="150"/>
      <c r="I5" s="166"/>
      <c r="J5" s="157"/>
    </row>
    <row r="6" spans="1:10" ht="23.4" customHeight="1">
      <c r="A6" s="145"/>
      <c r="B6" s="146"/>
      <c r="C6" s="146"/>
      <c r="D6" s="146"/>
      <c r="E6" s="146"/>
      <c r="F6" s="147"/>
      <c r="G6" s="147"/>
      <c r="H6" s="147"/>
      <c r="I6" s="147"/>
      <c r="J6" s="146"/>
    </row>
    <row r="7" spans="1:10" ht="99.6" customHeight="1">
      <c r="A7" s="141"/>
      <c r="B7" s="158"/>
      <c r="C7" s="38"/>
      <c r="D7" s="38"/>
      <c r="E7" s="38"/>
      <c r="F7" s="43"/>
      <c r="G7" s="159"/>
      <c r="H7" s="1"/>
      <c r="I7" s="40"/>
      <c r="J7" s="157"/>
    </row>
    <row r="8" spans="1:10" ht="99.6" customHeight="1">
      <c r="A8" s="141"/>
      <c r="B8" s="158"/>
      <c r="C8" s="38"/>
      <c r="D8" s="38"/>
      <c r="E8" s="38"/>
      <c r="F8" s="43"/>
      <c r="G8" s="159"/>
      <c r="H8" s="1"/>
      <c r="I8" s="40"/>
      <c r="J8" s="40"/>
    </row>
    <row r="9" spans="1:10" ht="99.6" customHeight="1">
      <c r="A9" s="141"/>
      <c r="B9" s="158"/>
      <c r="C9" s="38"/>
      <c r="D9" s="38"/>
      <c r="E9" s="38"/>
      <c r="F9" s="43"/>
      <c r="G9" s="159"/>
      <c r="H9" s="1"/>
      <c r="I9" s="40"/>
      <c r="J9" s="40"/>
    </row>
    <row r="10" spans="1:10" ht="99" customHeight="1">
      <c r="A10" s="141"/>
      <c r="B10" s="158"/>
      <c r="C10" s="38"/>
      <c r="D10" s="38"/>
      <c r="E10" s="160"/>
      <c r="F10" s="43"/>
      <c r="G10" s="159"/>
      <c r="H10" s="1"/>
      <c r="I10" s="40"/>
      <c r="J10" s="40"/>
    </row>
    <row r="11" spans="1:10" ht="103.95" customHeight="1">
      <c r="A11" s="141"/>
      <c r="B11" s="158"/>
      <c r="C11" s="38"/>
      <c r="D11" s="38"/>
      <c r="E11" s="38"/>
      <c r="F11" s="43"/>
      <c r="G11" s="159"/>
      <c r="H11" s="1"/>
      <c r="I11" s="40"/>
      <c r="J11" s="38"/>
    </row>
    <row r="12" spans="1:10" ht="27" customHeight="1">
      <c r="A12" s="145"/>
      <c r="B12" s="146"/>
      <c r="C12" s="146"/>
      <c r="D12" s="146"/>
      <c r="E12" s="146"/>
      <c r="F12" s="147"/>
      <c r="G12" s="147"/>
      <c r="H12" s="147"/>
      <c r="I12" s="147"/>
      <c r="J12" s="146"/>
    </row>
    <row r="13" spans="1:10" ht="103.95" customHeight="1">
      <c r="A13" s="141"/>
      <c r="B13" s="158"/>
      <c r="C13" s="38"/>
      <c r="D13" s="38"/>
      <c r="E13" s="38"/>
      <c r="F13" s="43"/>
      <c r="G13" s="159"/>
      <c r="H13"/>
      <c r="I13" s="157"/>
      <c r="J13" s="38"/>
    </row>
    <row r="14" spans="1:10" ht="102" customHeight="1">
      <c r="A14" s="151"/>
      <c r="B14" s="161"/>
      <c r="C14" s="153"/>
      <c r="D14" s="153"/>
      <c r="E14" s="153"/>
      <c r="F14" s="155"/>
      <c r="G14" s="162"/>
      <c r="H14" s="150"/>
      <c r="I14" s="156"/>
      <c r="J14" s="153"/>
    </row>
    <row r="15" spans="1:10" ht="124.2" customHeight="1">
      <c r="A15" s="141"/>
      <c r="B15" s="158"/>
      <c r="C15" s="38"/>
      <c r="D15" s="38"/>
      <c r="E15" s="38"/>
      <c r="F15" s="43"/>
      <c r="G15" s="159"/>
      <c r="H15" s="43"/>
      <c r="I15" s="40"/>
      <c r="J15" s="38"/>
    </row>
    <row r="16" spans="1:10" ht="113.4" customHeight="1">
      <c r="A16" s="141"/>
      <c r="B16" s="158"/>
      <c r="C16" s="38"/>
      <c r="D16" s="38"/>
      <c r="E16" s="38"/>
      <c r="F16" s="43"/>
      <c r="G16" s="159"/>
      <c r="H16" s="43"/>
      <c r="I16" s="40"/>
      <c r="J16" s="38"/>
    </row>
    <row r="17" spans="1:10" ht="27" customHeight="1">
      <c r="A17" s="145"/>
      <c r="B17" s="146"/>
      <c r="C17" s="146"/>
      <c r="D17" s="146"/>
      <c r="E17" s="146"/>
      <c r="F17" s="147"/>
      <c r="G17" s="147"/>
      <c r="H17" s="147"/>
      <c r="I17" s="147"/>
      <c r="J17" s="146"/>
    </row>
    <row r="18" spans="1:10" ht="105.6" customHeight="1">
      <c r="A18" s="151"/>
      <c r="B18" s="161"/>
      <c r="C18" s="153"/>
      <c r="D18" s="153"/>
      <c r="E18" s="153"/>
      <c r="F18" s="155"/>
      <c r="G18" s="162"/>
      <c r="H18"/>
      <c r="I18" s="157"/>
      <c r="J18" s="153"/>
    </row>
    <row r="19" spans="1:10" ht="99.6" customHeight="1">
      <c r="A19" s="141"/>
      <c r="B19" s="158"/>
      <c r="C19" s="38"/>
      <c r="D19" s="38"/>
      <c r="E19" s="38"/>
      <c r="F19" s="43"/>
      <c r="G19" s="159"/>
      <c r="H19" s="164"/>
      <c r="I19" s="40"/>
      <c r="J19" s="38"/>
    </row>
    <row r="20" spans="1:10" ht="99.6" customHeight="1">
      <c r="A20" s="141"/>
      <c r="B20" s="158"/>
      <c r="C20" s="38"/>
      <c r="D20" s="38"/>
      <c r="E20" s="38"/>
      <c r="F20" s="43"/>
      <c r="G20" s="159"/>
      <c r="H20" s="164"/>
      <c r="I20" s="149"/>
      <c r="J20" s="38"/>
    </row>
    <row r="21" spans="1:10" ht="99.6" customHeight="1">
      <c r="A21" s="141"/>
      <c r="B21" s="158"/>
      <c r="C21" s="38"/>
      <c r="D21" s="38"/>
      <c r="E21" s="38"/>
      <c r="F21" s="43"/>
      <c r="G21" s="159"/>
      <c r="H21" s="165"/>
      <c r="I21" s="149"/>
      <c r="J21" s="38"/>
    </row>
    <row r="22" spans="1:10" ht="27" customHeight="1">
      <c r="A22" s="145"/>
      <c r="B22" s="146"/>
      <c r="C22" s="146"/>
      <c r="D22" s="146"/>
      <c r="E22" s="146"/>
      <c r="F22" s="147"/>
      <c r="G22" s="147"/>
      <c r="H22" s="147"/>
      <c r="I22" s="147"/>
      <c r="J22" s="146"/>
    </row>
    <row r="23" spans="1:10" ht="99.6" customHeight="1">
      <c r="A23" s="141"/>
      <c r="B23" s="158"/>
      <c r="C23" s="38"/>
      <c r="D23" s="38"/>
      <c r="E23" s="38"/>
      <c r="F23" s="43"/>
      <c r="G23" s="159"/>
      <c r="H23" s="43"/>
      <c r="I23" s="149"/>
      <c r="J23" s="38"/>
    </row>
    <row r="24" spans="1:10" ht="99.6" customHeight="1">
      <c r="A24" s="141"/>
      <c r="B24" s="158"/>
      <c r="C24" s="38"/>
      <c r="D24" s="38"/>
      <c r="E24" s="38"/>
      <c r="F24" s="43"/>
      <c r="G24" s="159"/>
      <c r="H24" s="43"/>
      <c r="I24" s="149"/>
      <c r="J24" s="38"/>
    </row>
    <row r="25" spans="1:10" ht="99.6" customHeight="1">
      <c r="A25" s="141"/>
      <c r="B25" s="158"/>
      <c r="C25" s="38"/>
      <c r="D25" s="38"/>
      <c r="E25" s="38"/>
      <c r="F25" s="43"/>
      <c r="G25" s="159"/>
      <c r="H25" s="1"/>
      <c r="I25" s="40"/>
      <c r="J25" s="38"/>
    </row>
    <row r="26" spans="1:10" ht="99.6" customHeight="1">
      <c r="A26" s="141"/>
      <c r="B26" s="158"/>
      <c r="C26" s="38"/>
      <c r="D26" s="38"/>
      <c r="E26" s="38"/>
      <c r="F26" s="43"/>
      <c r="G26" s="159"/>
      <c r="H26" s="1"/>
      <c r="I26" s="40"/>
      <c r="J26" s="38"/>
    </row>
    <row r="27" spans="1:10" ht="99.6" customHeight="1">
      <c r="A27" s="141"/>
      <c r="B27" s="158"/>
      <c r="C27" s="38"/>
      <c r="D27" s="38"/>
      <c r="E27" s="38"/>
      <c r="F27" s="43"/>
      <c r="G27" s="159"/>
      <c r="H27" s="43"/>
      <c r="I27" s="149"/>
      <c r="J27" s="38"/>
    </row>
    <row r="28" spans="1:10" ht="99.6" customHeight="1">
      <c r="A28" s="141"/>
      <c r="B28" s="158"/>
      <c r="C28" s="38"/>
      <c r="D28" s="38"/>
      <c r="E28" s="38"/>
      <c r="F28" s="43"/>
      <c r="G28" s="159"/>
      <c r="H28" s="43"/>
      <c r="I28" s="149"/>
      <c r="J28" s="38"/>
    </row>
    <row r="29" spans="1:10" ht="126" customHeight="1">
      <c r="A29" s="141"/>
      <c r="B29" s="158"/>
      <c r="C29" s="38"/>
      <c r="D29" s="38"/>
      <c r="E29" s="38"/>
      <c r="F29" s="43"/>
      <c r="G29" s="159"/>
      <c r="H29" s="43"/>
      <c r="I29" s="40"/>
      <c r="J29" s="38"/>
    </row>
    <row r="30" spans="1:10" ht="125.4" customHeight="1">
      <c r="A30" s="141"/>
      <c r="B30" s="158"/>
      <c r="C30" s="38"/>
      <c r="D30" s="38"/>
      <c r="E30" s="38"/>
      <c r="F30" s="43"/>
      <c r="G30" s="159"/>
      <c r="H30" s="43"/>
      <c r="I30" s="149"/>
      <c r="J30" s="38"/>
    </row>
    <row r="31" spans="1:10" ht="124.2" customHeight="1">
      <c r="A31" s="141"/>
      <c r="B31" s="158"/>
      <c r="C31" s="38"/>
      <c r="D31" s="38"/>
      <c r="E31" s="38"/>
      <c r="F31" s="43"/>
      <c r="G31" s="159"/>
      <c r="H31" s="43"/>
      <c r="I31" s="149"/>
      <c r="J31" s="38"/>
    </row>
    <row r="32" spans="1:10" ht="122.4" customHeight="1">
      <c r="A32" s="141"/>
      <c r="B32" s="158"/>
      <c r="C32" s="38"/>
      <c r="D32" s="38"/>
      <c r="E32" s="38"/>
      <c r="F32" s="43"/>
      <c r="G32" s="159"/>
      <c r="H32" s="43"/>
      <c r="I32" s="40"/>
      <c r="J32" s="38"/>
    </row>
    <row r="33" spans="1:10" ht="126.6" customHeight="1">
      <c r="A33" s="141"/>
      <c r="B33" s="158"/>
      <c r="C33" s="38"/>
      <c r="D33" s="38"/>
      <c r="E33" s="38"/>
      <c r="F33" s="43"/>
      <c r="G33" s="159"/>
      <c r="H33" s="43"/>
      <c r="I33" s="149"/>
      <c r="J33" s="38"/>
    </row>
    <row r="34" spans="1:10" ht="126" customHeight="1">
      <c r="A34" s="141"/>
      <c r="B34" s="158"/>
      <c r="C34" s="38"/>
      <c r="D34" s="38"/>
      <c r="E34" s="38"/>
      <c r="F34" s="43"/>
      <c r="G34" s="159"/>
      <c r="H34" s="43"/>
      <c r="I34" s="149"/>
      <c r="J34" s="38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工作表2">
    <tabColor theme="9" tint="0.79998168889431442"/>
    <pageSetUpPr fitToPage="1"/>
  </sheetPr>
  <dimension ref="A1:W24"/>
  <sheetViews>
    <sheetView zoomScale="80" zoomScaleNormal="80" workbookViewId="0">
      <selection activeCell="O21" sqref="O21"/>
    </sheetView>
  </sheetViews>
  <sheetFormatPr defaultColWidth="8.9140625" defaultRowHeight="14.4"/>
  <cols>
    <col min="1" max="1" width="8.25" style="72" customWidth="1"/>
    <col min="2" max="4" width="7.58203125" style="72" customWidth="1"/>
    <col min="5" max="5" width="3.4140625" style="72" customWidth="1"/>
    <col min="6" max="6" width="7.6640625" style="72" customWidth="1"/>
    <col min="7" max="9" width="7.58203125" style="72" customWidth="1"/>
    <col min="10" max="10" width="3.4140625" style="72" customWidth="1"/>
    <col min="11" max="23" width="7.58203125" style="72" customWidth="1"/>
    <col min="24" max="16384" width="8.9140625" style="72"/>
  </cols>
  <sheetData>
    <row r="1" spans="1:23" s="68" customFormat="1" ht="22.2" customHeight="1">
      <c r="A1" s="138" t="s">
        <v>187</v>
      </c>
      <c r="B1" s="139" t="s">
        <v>164</v>
      </c>
      <c r="C1" s="139" t="s">
        <v>165</v>
      </c>
      <c r="D1" s="139" t="s">
        <v>197</v>
      </c>
      <c r="E1" s="139"/>
      <c r="F1" s="139" t="s">
        <v>0</v>
      </c>
      <c r="G1" s="139" t="s">
        <v>1</v>
      </c>
      <c r="H1" s="139" t="s">
        <v>2</v>
      </c>
      <c r="I1" s="139" t="s">
        <v>3</v>
      </c>
      <c r="J1" s="139"/>
      <c r="K1" s="139" t="s">
        <v>166</v>
      </c>
      <c r="L1" s="139" t="s">
        <v>167</v>
      </c>
      <c r="M1" s="139" t="s">
        <v>168</v>
      </c>
      <c r="N1" s="139" t="s">
        <v>169</v>
      </c>
      <c r="O1" s="139" t="s">
        <v>170</v>
      </c>
      <c r="P1" s="139" t="s">
        <v>171</v>
      </c>
      <c r="Q1" s="139" t="s">
        <v>172</v>
      </c>
      <c r="R1" s="139" t="s">
        <v>173</v>
      </c>
      <c r="S1" s="139" t="s">
        <v>174</v>
      </c>
      <c r="T1" s="139" t="s">
        <v>175</v>
      </c>
      <c r="U1" s="139" t="s">
        <v>176</v>
      </c>
      <c r="V1" s="140" t="s">
        <v>177</v>
      </c>
    </row>
    <row r="2" spans="1:23" ht="27" customHeight="1">
      <c r="A2" s="69" t="s">
        <v>162</v>
      </c>
      <c r="B2" s="71">
        <v>7.8618279586157875E-4</v>
      </c>
      <c r="C2" s="71">
        <v>1.5141478186807987E-3</v>
      </c>
      <c r="D2" s="71">
        <f>D23/(F13+G13+H13+I13)</f>
        <v>2.5380710659898475E-3</v>
      </c>
      <c r="E2" s="71"/>
      <c r="F2" s="71">
        <f t="shared" ref="F2" si="0">F23/F13</f>
        <v>2.5380710659898475E-3</v>
      </c>
      <c r="G2" s="71"/>
      <c r="H2" s="71"/>
      <c r="I2" s="71"/>
      <c r="J2" s="70"/>
      <c r="K2" s="71">
        <f t="shared" ref="K2" si="1">K23/K13</f>
        <v>1.2690355329949238E-3</v>
      </c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</row>
    <row r="3" spans="1:23" ht="27" customHeight="1" thickBot="1">
      <c r="A3" s="73" t="s">
        <v>163</v>
      </c>
      <c r="B3" s="74">
        <v>2E-3</v>
      </c>
      <c r="C3" s="74">
        <v>2E-3</v>
      </c>
      <c r="D3" s="74">
        <v>2E-3</v>
      </c>
      <c r="E3" s="74">
        <v>2E-3</v>
      </c>
      <c r="F3" s="74">
        <v>2E-3</v>
      </c>
      <c r="G3" s="74">
        <v>2E-3</v>
      </c>
      <c r="H3" s="74">
        <v>2E-3</v>
      </c>
      <c r="I3" s="74">
        <v>2E-3</v>
      </c>
      <c r="J3" s="74">
        <v>2E-3</v>
      </c>
      <c r="K3" s="74">
        <v>2E-3</v>
      </c>
      <c r="L3" s="74">
        <v>2E-3</v>
      </c>
      <c r="M3" s="74">
        <v>2E-3</v>
      </c>
      <c r="N3" s="74">
        <v>2E-3</v>
      </c>
      <c r="O3" s="74">
        <v>2E-3</v>
      </c>
      <c r="P3" s="74">
        <v>2E-3</v>
      </c>
      <c r="Q3" s="74">
        <v>2E-3</v>
      </c>
      <c r="R3" s="74">
        <v>2E-3</v>
      </c>
      <c r="S3" s="74">
        <v>2E-3</v>
      </c>
      <c r="T3" s="74">
        <v>2E-3</v>
      </c>
      <c r="U3" s="74">
        <v>2E-3</v>
      </c>
      <c r="V3" s="75">
        <v>2E-3</v>
      </c>
      <c r="W3" s="86" t="s">
        <v>161</v>
      </c>
    </row>
    <row r="4" spans="1:23" ht="16.2" thickBot="1">
      <c r="A4" s="168"/>
      <c r="B4" s="169"/>
      <c r="C4" s="169"/>
      <c r="D4" s="169"/>
      <c r="E4" s="169"/>
      <c r="F4" s="169"/>
      <c r="G4" s="169"/>
      <c r="H4" s="169"/>
      <c r="I4" s="169"/>
      <c r="J4" s="169"/>
      <c r="K4" s="169"/>
      <c r="L4" s="169"/>
      <c r="M4" s="169"/>
      <c r="N4" s="169"/>
      <c r="O4" s="169"/>
      <c r="P4" s="169"/>
      <c r="Q4" s="169"/>
      <c r="R4" s="169"/>
      <c r="S4" s="169"/>
      <c r="T4" s="169"/>
      <c r="U4" s="169"/>
      <c r="V4" s="170"/>
    </row>
    <row r="5" spans="1:23" s="68" customFormat="1" ht="18" customHeight="1">
      <c r="A5" s="128" t="s">
        <v>186</v>
      </c>
      <c r="B5" s="129" t="s">
        <v>164</v>
      </c>
      <c r="C5" s="129" t="s">
        <v>165</v>
      </c>
      <c r="D5" s="129" t="s">
        <v>197</v>
      </c>
      <c r="E5" s="129"/>
      <c r="F5" s="129" t="s">
        <v>0</v>
      </c>
      <c r="G5" s="129" t="s">
        <v>1</v>
      </c>
      <c r="H5" s="129" t="s">
        <v>2</v>
      </c>
      <c r="I5" s="129" t="s">
        <v>3</v>
      </c>
      <c r="J5" s="129"/>
      <c r="K5" s="129" t="s">
        <v>166</v>
      </c>
      <c r="L5" s="129" t="s">
        <v>167</v>
      </c>
      <c r="M5" s="129" t="s">
        <v>168</v>
      </c>
      <c r="N5" s="129" t="s">
        <v>169</v>
      </c>
      <c r="O5" s="129" t="s">
        <v>170</v>
      </c>
      <c r="P5" s="129" t="s">
        <v>171</v>
      </c>
      <c r="Q5" s="129" t="s">
        <v>172</v>
      </c>
      <c r="R5" s="129" t="s">
        <v>173</v>
      </c>
      <c r="S5" s="129" t="s">
        <v>174</v>
      </c>
      <c r="T5" s="129" t="s">
        <v>175</v>
      </c>
      <c r="U5" s="129" t="s">
        <v>176</v>
      </c>
      <c r="V5" s="130" t="s">
        <v>177</v>
      </c>
    </row>
    <row r="6" spans="1:23" ht="16.2" customHeight="1">
      <c r="A6" s="131" t="s">
        <v>4</v>
      </c>
      <c r="B6" s="76">
        <v>118.33333333333333</v>
      </c>
      <c r="C6" s="76">
        <v>123.58333333333333</v>
      </c>
      <c r="D6" s="76">
        <f>IF(AVERAGE(K6:V6)=0,"",AVERAGE(K6:V6))</f>
        <v>112</v>
      </c>
      <c r="E6" s="76"/>
      <c r="F6" s="76">
        <f t="shared" ref="F6:F12" si="2">IF(SUM(K6:M6)=0,"",SUM(K6:M6))</f>
        <v>112</v>
      </c>
      <c r="G6" s="76" t="str">
        <f t="shared" ref="G6:G12" si="3">IF(SUM(N6:P6)=0,"",SUM(N6:P6))</f>
        <v/>
      </c>
      <c r="H6" s="76" t="str">
        <f t="shared" ref="H6:H12" si="4">IF(SUM(Q6:S6)=0,"",SUM(Q6:S6))</f>
        <v/>
      </c>
      <c r="I6" s="76" t="str">
        <f t="shared" ref="I6:I12" si="5">IF(SUM(T6:V6)=0,"",SUM(T6:V6))</f>
        <v/>
      </c>
      <c r="J6" s="70"/>
      <c r="K6" s="70">
        <v>112</v>
      </c>
      <c r="L6" s="70"/>
      <c r="M6" s="70"/>
      <c r="N6" s="70"/>
      <c r="O6" s="45"/>
      <c r="P6" s="70"/>
      <c r="Q6" s="70"/>
      <c r="R6" s="70"/>
      <c r="S6" s="70"/>
      <c r="T6" s="70"/>
      <c r="U6" s="70"/>
      <c r="V6" s="77"/>
      <c r="W6"/>
    </row>
    <row r="7" spans="1:23" ht="16.2" customHeight="1">
      <c r="A7" s="131" t="s">
        <v>5</v>
      </c>
      <c r="B7" s="76">
        <v>116.58333333333333</v>
      </c>
      <c r="C7" s="76">
        <v>126.33333333333333</v>
      </c>
      <c r="D7" s="76">
        <f t="shared" ref="D7:D12" si="6">IF(AVERAGE(K7:V7)=0,"",AVERAGE(K7:V7))</f>
        <v>121</v>
      </c>
      <c r="E7" s="76"/>
      <c r="F7" s="76">
        <f t="shared" si="2"/>
        <v>121</v>
      </c>
      <c r="G7" s="76" t="str">
        <f t="shared" si="3"/>
        <v/>
      </c>
      <c r="H7" s="76" t="str">
        <f t="shared" si="4"/>
        <v/>
      </c>
      <c r="I7" s="76" t="str">
        <f t="shared" si="5"/>
        <v/>
      </c>
      <c r="J7" s="70"/>
      <c r="K7" s="70">
        <v>121</v>
      </c>
      <c r="L7" s="70"/>
      <c r="M7" s="70"/>
      <c r="N7" s="70"/>
      <c r="O7" s="45"/>
      <c r="P7" s="70"/>
      <c r="Q7" s="70"/>
      <c r="R7" s="70"/>
      <c r="S7" s="70"/>
      <c r="T7" s="70"/>
      <c r="U7" s="70"/>
      <c r="V7" s="77"/>
    </row>
    <row r="8" spans="1:23" ht="16.2" customHeight="1">
      <c r="A8" s="131" t="s">
        <v>6</v>
      </c>
      <c r="B8" s="76">
        <v>130.91666666666666</v>
      </c>
      <c r="C8" s="76">
        <v>131.83333333333334</v>
      </c>
      <c r="D8" s="76">
        <f t="shared" si="6"/>
        <v>132</v>
      </c>
      <c r="E8" s="76"/>
      <c r="F8" s="76">
        <f t="shared" si="2"/>
        <v>132</v>
      </c>
      <c r="G8" s="76" t="str">
        <f t="shared" si="3"/>
        <v/>
      </c>
      <c r="H8" s="76" t="str">
        <f t="shared" si="4"/>
        <v/>
      </c>
      <c r="I8" s="76" t="str">
        <f t="shared" si="5"/>
        <v/>
      </c>
      <c r="J8" s="70"/>
      <c r="K8" s="70">
        <v>132</v>
      </c>
      <c r="L8" s="70"/>
      <c r="M8" s="70"/>
      <c r="N8" s="70"/>
      <c r="O8" s="45"/>
      <c r="P8" s="70"/>
      <c r="Q8" s="70"/>
      <c r="R8" s="70"/>
      <c r="S8" s="70"/>
      <c r="T8" s="70"/>
      <c r="U8" s="70"/>
      <c r="V8" s="77"/>
    </row>
    <row r="9" spans="1:23" ht="16.2" customHeight="1">
      <c r="A9" s="131" t="s">
        <v>7</v>
      </c>
      <c r="B9" s="76">
        <v>110.75</v>
      </c>
      <c r="C9" s="76">
        <v>141.25</v>
      </c>
      <c r="D9" s="76">
        <f t="shared" si="6"/>
        <v>126</v>
      </c>
      <c r="E9" s="76"/>
      <c r="F9" s="76">
        <f t="shared" si="2"/>
        <v>126</v>
      </c>
      <c r="G9" s="76" t="str">
        <f t="shared" si="3"/>
        <v/>
      </c>
      <c r="H9" s="76" t="str">
        <f t="shared" si="4"/>
        <v/>
      </c>
      <c r="I9" s="76" t="str">
        <f t="shared" si="5"/>
        <v/>
      </c>
      <c r="J9" s="70"/>
      <c r="K9" s="70">
        <v>126</v>
      </c>
      <c r="L9" s="70"/>
      <c r="M9" s="70"/>
      <c r="N9" s="70"/>
      <c r="O9" s="45"/>
      <c r="P9" s="70"/>
      <c r="Q9" s="70"/>
      <c r="R9" s="70"/>
      <c r="S9" s="70"/>
      <c r="T9" s="70"/>
      <c r="U9" s="70"/>
      <c r="V9" s="77"/>
    </row>
    <row r="10" spans="1:23" ht="16.2" customHeight="1">
      <c r="A10" s="131" t="s">
        <v>8</v>
      </c>
      <c r="B10" s="76">
        <v>124.75</v>
      </c>
      <c r="C10" s="76">
        <v>141.91666666666666</v>
      </c>
      <c r="D10" s="76">
        <f t="shared" si="6"/>
        <v>133</v>
      </c>
      <c r="E10" s="76"/>
      <c r="F10" s="76">
        <f t="shared" si="2"/>
        <v>133</v>
      </c>
      <c r="G10" s="76" t="str">
        <f t="shared" si="3"/>
        <v/>
      </c>
      <c r="H10" s="76" t="str">
        <f t="shared" si="4"/>
        <v/>
      </c>
      <c r="I10" s="76" t="str">
        <f t="shared" si="5"/>
        <v/>
      </c>
      <c r="J10" s="70"/>
      <c r="K10" s="70">
        <v>133</v>
      </c>
      <c r="L10" s="70"/>
      <c r="M10" s="70"/>
      <c r="N10" s="70"/>
      <c r="O10" s="45"/>
      <c r="P10" s="70"/>
      <c r="Q10" s="70"/>
      <c r="R10" s="70"/>
      <c r="S10" s="70"/>
      <c r="T10" s="70"/>
      <c r="U10" s="70"/>
      <c r="V10" s="77"/>
    </row>
    <row r="11" spans="1:23" ht="16.2" customHeight="1">
      <c r="A11" s="131" t="s">
        <v>9</v>
      </c>
      <c r="B11" s="76">
        <v>135.66666666666666</v>
      </c>
      <c r="C11" s="76">
        <v>145.5</v>
      </c>
      <c r="D11" s="76">
        <f t="shared" si="6"/>
        <v>125</v>
      </c>
      <c r="E11" s="76"/>
      <c r="F11" s="76">
        <f t="shared" si="2"/>
        <v>125</v>
      </c>
      <c r="G11" s="76" t="str">
        <f t="shared" si="3"/>
        <v/>
      </c>
      <c r="H11" s="76" t="str">
        <f t="shared" si="4"/>
        <v/>
      </c>
      <c r="I11" s="76" t="str">
        <f t="shared" si="5"/>
        <v/>
      </c>
      <c r="J11" s="70"/>
      <c r="K11" s="70">
        <v>125</v>
      </c>
      <c r="L11" s="70"/>
      <c r="M11" s="70"/>
      <c r="N11" s="70"/>
      <c r="O11" s="45"/>
      <c r="P11" s="70"/>
      <c r="Q11" s="70"/>
      <c r="R11" s="70"/>
      <c r="S11" s="70"/>
      <c r="T11" s="70"/>
      <c r="U11" s="70"/>
      <c r="V11" s="77"/>
    </row>
    <row r="12" spans="1:23" ht="16.2" customHeight="1">
      <c r="A12" s="131" t="s">
        <v>10</v>
      </c>
      <c r="B12" s="76">
        <v>64.333333333333329</v>
      </c>
      <c r="C12" s="76">
        <v>70.166666666666671</v>
      </c>
      <c r="D12" s="76">
        <f t="shared" si="6"/>
        <v>39</v>
      </c>
      <c r="E12" s="76"/>
      <c r="F12" s="76">
        <f t="shared" si="2"/>
        <v>39</v>
      </c>
      <c r="G12" s="76" t="str">
        <f t="shared" si="3"/>
        <v/>
      </c>
      <c r="H12" s="76" t="str">
        <f t="shared" si="4"/>
        <v/>
      </c>
      <c r="I12" s="76" t="str">
        <f t="shared" si="5"/>
        <v/>
      </c>
      <c r="J12" s="70"/>
      <c r="K12" s="70">
        <v>39</v>
      </c>
      <c r="L12" s="70"/>
      <c r="M12" s="70"/>
      <c r="N12" s="70"/>
      <c r="O12" s="45"/>
      <c r="P12" s="70"/>
      <c r="Q12" s="70"/>
      <c r="R12" s="70"/>
      <c r="S12" s="70"/>
      <c r="T12" s="70"/>
      <c r="U12" s="70"/>
      <c r="V12" s="77"/>
    </row>
    <row r="13" spans="1:23" ht="16.2" customHeight="1" thickBot="1">
      <c r="A13" s="81" t="s">
        <v>185</v>
      </c>
      <c r="B13" s="82">
        <v>801.33333333333337</v>
      </c>
      <c r="C13" s="82">
        <v>880.58333333333337</v>
      </c>
      <c r="D13" s="82">
        <f>IF(AVERAGE(K13:V13)=0,"",AVERAGE(K13:V13))</f>
        <v>788</v>
      </c>
      <c r="E13" s="82"/>
      <c r="F13" s="82">
        <f>IF(SUM(F6:F12)=0,"",SUM(F6:F12))</f>
        <v>788</v>
      </c>
      <c r="G13" s="82"/>
      <c r="H13" s="82"/>
      <c r="I13" s="82"/>
      <c r="J13" s="83"/>
      <c r="K13" s="83">
        <f>IF(SUM(K6:K12)=0,"",SUM(K6:K12))</f>
        <v>788</v>
      </c>
      <c r="L13" s="83"/>
      <c r="M13" s="83"/>
      <c r="N13" s="83"/>
      <c r="O13" s="83"/>
      <c r="P13" s="83"/>
      <c r="Q13" s="83"/>
      <c r="R13" s="83"/>
      <c r="S13" s="83"/>
      <c r="T13" s="83"/>
      <c r="U13" s="83"/>
      <c r="V13" s="84"/>
    </row>
    <row r="14" spans="1:23" ht="16.2" thickBot="1">
      <c r="A14" s="168"/>
      <c r="B14" s="169"/>
      <c r="C14" s="169"/>
      <c r="D14" s="169"/>
      <c r="E14" s="169"/>
      <c r="F14" s="169"/>
      <c r="G14" s="169"/>
      <c r="H14" s="169"/>
      <c r="I14" s="169"/>
      <c r="J14" s="169"/>
      <c r="K14" s="169"/>
      <c r="L14" s="169"/>
      <c r="M14" s="169"/>
      <c r="N14" s="169"/>
      <c r="O14" s="169"/>
      <c r="P14" s="169"/>
      <c r="Q14" s="169"/>
      <c r="R14" s="169"/>
      <c r="S14" s="169"/>
      <c r="T14" s="169"/>
      <c r="U14" s="169"/>
      <c r="V14" s="170"/>
    </row>
    <row r="15" spans="1:23" s="68" customFormat="1" ht="16.2" customHeight="1">
      <c r="A15" s="132" t="s">
        <v>186</v>
      </c>
      <c r="B15" s="133" t="s">
        <v>164</v>
      </c>
      <c r="C15" s="133" t="s">
        <v>165</v>
      </c>
      <c r="D15" s="133" t="s">
        <v>197</v>
      </c>
      <c r="E15" s="133"/>
      <c r="F15" s="133" t="s">
        <v>0</v>
      </c>
      <c r="G15" s="133" t="s">
        <v>1</v>
      </c>
      <c r="H15" s="133" t="s">
        <v>2</v>
      </c>
      <c r="I15" s="133" t="s">
        <v>3</v>
      </c>
      <c r="J15" s="133"/>
      <c r="K15" s="133">
        <v>1</v>
      </c>
      <c r="L15" s="133">
        <v>2</v>
      </c>
      <c r="M15" s="133">
        <v>3</v>
      </c>
      <c r="N15" s="133">
        <v>4</v>
      </c>
      <c r="O15" s="133">
        <v>5</v>
      </c>
      <c r="P15" s="133">
        <v>6</v>
      </c>
      <c r="Q15" s="133">
        <v>7</v>
      </c>
      <c r="R15" s="133">
        <v>8</v>
      </c>
      <c r="S15" s="133">
        <v>9</v>
      </c>
      <c r="T15" s="133">
        <v>10</v>
      </c>
      <c r="U15" s="133">
        <v>11</v>
      </c>
      <c r="V15" s="134">
        <v>12</v>
      </c>
    </row>
    <row r="16" spans="1:23" ht="16.2" customHeight="1">
      <c r="A16" s="85" t="s">
        <v>4</v>
      </c>
      <c r="B16" s="70">
        <v>1</v>
      </c>
      <c r="C16" s="70">
        <v>6</v>
      </c>
      <c r="D16" s="76">
        <f t="shared" ref="D16:D18" si="7">IF(SUM(K16:V16)=0,"",SUM(K16:V16))</f>
        <v>1</v>
      </c>
      <c r="E16" s="70"/>
      <c r="F16" s="76">
        <f t="shared" ref="F16:F18" si="8">IF(SUM(K16:M16)=0,"",SUM(K16:M16))</f>
        <v>1</v>
      </c>
      <c r="G16" s="76"/>
      <c r="H16" s="76"/>
      <c r="I16" s="76"/>
      <c r="J16" s="70"/>
      <c r="K16" s="70"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7"/>
    </row>
    <row r="17" spans="1:22" ht="16.2" customHeight="1">
      <c r="A17" s="85" t="s">
        <v>5</v>
      </c>
      <c r="B17" s="70"/>
      <c r="C17" s="70">
        <v>1</v>
      </c>
      <c r="D17" s="76"/>
      <c r="E17" s="70"/>
      <c r="F17" s="76"/>
      <c r="G17" s="76"/>
      <c r="H17" s="76"/>
      <c r="I17" s="76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7"/>
    </row>
    <row r="18" spans="1:22" ht="16.2" customHeight="1">
      <c r="A18" s="85" t="s">
        <v>6</v>
      </c>
      <c r="B18" s="70">
        <v>2</v>
      </c>
      <c r="C18" s="70"/>
      <c r="D18" s="76">
        <f t="shared" si="7"/>
        <v>1</v>
      </c>
      <c r="E18" s="70"/>
      <c r="F18" s="76">
        <f t="shared" si="8"/>
        <v>1</v>
      </c>
      <c r="G18" s="76"/>
      <c r="H18" s="76"/>
      <c r="I18" s="76"/>
      <c r="J18" s="70"/>
      <c r="K18" s="70"/>
      <c r="L18" s="78">
        <v>1</v>
      </c>
      <c r="M18" s="70"/>
      <c r="N18" s="70"/>
      <c r="O18" s="70"/>
      <c r="P18" s="70"/>
      <c r="Q18" s="70"/>
      <c r="R18" s="70"/>
      <c r="S18" s="70"/>
      <c r="T18" s="70"/>
      <c r="U18" s="70"/>
      <c r="V18" s="77"/>
    </row>
    <row r="19" spans="1:22" ht="16.2" customHeight="1">
      <c r="A19" s="85" t="s">
        <v>7</v>
      </c>
      <c r="B19" s="70"/>
      <c r="C19" s="70">
        <v>4</v>
      </c>
      <c r="D19" s="76"/>
      <c r="E19" s="70"/>
      <c r="F19" s="76"/>
      <c r="G19" s="76"/>
      <c r="H19" s="76"/>
      <c r="I19" s="76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7"/>
    </row>
    <row r="20" spans="1:22" ht="16.2" customHeight="1">
      <c r="A20" s="85" t="s">
        <v>8</v>
      </c>
      <c r="B20" s="70"/>
      <c r="C20" s="70"/>
      <c r="D20" s="76"/>
      <c r="E20" s="70"/>
      <c r="F20" s="76"/>
      <c r="G20" s="76"/>
      <c r="H20" s="76"/>
      <c r="I20" s="76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7"/>
    </row>
    <row r="21" spans="1:22" ht="16.2" customHeight="1">
      <c r="A21" s="85" t="s">
        <v>9</v>
      </c>
      <c r="B21" s="70">
        <v>2</v>
      </c>
      <c r="C21" s="70">
        <v>2</v>
      </c>
      <c r="D21" s="76"/>
      <c r="E21" s="70"/>
      <c r="F21" s="76"/>
      <c r="H21" s="76"/>
      <c r="I21" s="76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7"/>
    </row>
    <row r="22" spans="1:22" ht="16.2" customHeight="1">
      <c r="A22" s="85" t="s">
        <v>10</v>
      </c>
      <c r="B22" s="70">
        <v>1</v>
      </c>
      <c r="C22" s="70">
        <v>3</v>
      </c>
      <c r="D22" s="76"/>
      <c r="E22" s="70"/>
      <c r="F22" s="76"/>
      <c r="G22" s="76"/>
      <c r="H22" s="76"/>
      <c r="I22" s="76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7"/>
    </row>
    <row r="23" spans="1:22" ht="16.2" customHeight="1" thickBot="1">
      <c r="A23" s="137" t="s">
        <v>184</v>
      </c>
      <c r="B23" s="135">
        <v>7</v>
      </c>
      <c r="C23" s="135">
        <v>16</v>
      </c>
      <c r="D23" s="135">
        <f>SUM(K23:V23)</f>
        <v>2</v>
      </c>
      <c r="E23" s="135"/>
      <c r="F23" s="136">
        <f>IF(SUM(F16:F22)=0,"",SUM(F16:F22))</f>
        <v>2</v>
      </c>
      <c r="G23" s="136"/>
      <c r="H23" s="136"/>
      <c r="I23" s="136"/>
      <c r="J23" s="135"/>
      <c r="K23" s="136">
        <f t="shared" ref="K23:L23" si="9">IF(SUM(K16:K22)=0,"",SUM(K16:K22))</f>
        <v>1</v>
      </c>
      <c r="L23" s="136">
        <f t="shared" si="9"/>
        <v>1</v>
      </c>
      <c r="M23" s="136"/>
      <c r="N23" s="136"/>
      <c r="O23" s="136"/>
      <c r="P23" s="136"/>
      <c r="Q23" s="136"/>
      <c r="R23" s="136"/>
      <c r="S23" s="136"/>
      <c r="T23" s="136"/>
      <c r="U23" s="136"/>
      <c r="V23" s="136"/>
    </row>
    <row r="24" spans="1:22">
      <c r="G24" s="79"/>
      <c r="H24" s="79"/>
      <c r="I24" s="79"/>
      <c r="J24" s="79"/>
    </row>
  </sheetData>
  <mergeCells count="2">
    <mergeCell ref="A4:V4"/>
    <mergeCell ref="A14:V14"/>
  </mergeCells>
  <phoneticPr fontId="2" type="noConversion"/>
  <pageMargins left="0.70866141732283472" right="0.70866141732283472" top="0.74803149606299213" bottom="0.74803149606299213" header="0.31496062992125984" footer="0.31496062992125984"/>
  <pageSetup scale="59" orientation="landscape" r:id="rId1"/>
  <ignoredErrors>
    <ignoredError sqref="K23" formulaRange="1"/>
    <ignoredError sqref="D2 F2 K2" evalError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2AC16-B76B-436F-9A26-80B5979BA20D}">
  <sheetPr>
    <tabColor theme="7" tint="0.79998168889431442"/>
    <pageSetUpPr fitToPage="1"/>
  </sheetPr>
  <dimension ref="A1:N12"/>
  <sheetViews>
    <sheetView zoomScale="80" zoomScaleNormal="80" workbookViewId="0">
      <selection activeCell="R12" sqref="R12"/>
    </sheetView>
  </sheetViews>
  <sheetFormatPr defaultColWidth="8.9140625" defaultRowHeight="14.4"/>
  <cols>
    <col min="1" max="1" width="14.6640625" style="72" customWidth="1"/>
    <col min="2" max="14" width="7.08203125" style="72" customWidth="1"/>
    <col min="15" max="25" width="7.58203125" style="72" customWidth="1"/>
    <col min="26" max="16384" width="8.9140625" style="72"/>
  </cols>
  <sheetData>
    <row r="1" spans="1:14" ht="22.2" customHeight="1">
      <c r="A1" s="80" t="s">
        <v>178</v>
      </c>
      <c r="B1" s="87" t="s">
        <v>166</v>
      </c>
      <c r="C1" s="87" t="s">
        <v>167</v>
      </c>
      <c r="D1" s="87" t="s">
        <v>168</v>
      </c>
      <c r="E1" s="87" t="s">
        <v>169</v>
      </c>
      <c r="F1" s="87" t="s">
        <v>170</v>
      </c>
      <c r="G1" s="87" t="s">
        <v>171</v>
      </c>
      <c r="H1" s="87" t="s">
        <v>172</v>
      </c>
      <c r="I1" s="87" t="s">
        <v>173</v>
      </c>
      <c r="J1" s="87" t="s">
        <v>174</v>
      </c>
      <c r="K1" s="87" t="s">
        <v>175</v>
      </c>
      <c r="L1" s="87" t="s">
        <v>176</v>
      </c>
      <c r="M1" s="87" t="s">
        <v>177</v>
      </c>
      <c r="N1" s="91" t="s">
        <v>92</v>
      </c>
    </row>
    <row r="2" spans="1:14" ht="16.95" customHeight="1">
      <c r="A2" s="88" t="s">
        <v>4</v>
      </c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91">
        <f t="shared" ref="N2:N9" si="0">SUM(A2:M2)</f>
        <v>0</v>
      </c>
    </row>
    <row r="3" spans="1:14" ht="16.95" customHeight="1">
      <c r="A3" s="88" t="s">
        <v>5</v>
      </c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91">
        <f t="shared" si="0"/>
        <v>0</v>
      </c>
    </row>
    <row r="4" spans="1:14" ht="16.95" customHeight="1">
      <c r="A4" s="88" t="s">
        <v>6</v>
      </c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91">
        <f t="shared" si="0"/>
        <v>0</v>
      </c>
    </row>
    <row r="5" spans="1:14" ht="16.95" customHeight="1">
      <c r="A5" s="88" t="s">
        <v>7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91">
        <f t="shared" si="0"/>
        <v>0</v>
      </c>
    </row>
    <row r="6" spans="1:14" ht="16.95" customHeight="1">
      <c r="A6" s="88" t="s">
        <v>8</v>
      </c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91">
        <f t="shared" si="0"/>
        <v>0</v>
      </c>
    </row>
    <row r="7" spans="1:14" ht="16.95" customHeight="1">
      <c r="A7" s="88" t="s">
        <v>9</v>
      </c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91">
        <f t="shared" si="0"/>
        <v>0</v>
      </c>
    </row>
    <row r="8" spans="1:14" ht="16.95" customHeight="1">
      <c r="A8" s="88" t="s">
        <v>10</v>
      </c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91">
        <f t="shared" si="0"/>
        <v>0</v>
      </c>
    </row>
    <row r="9" spans="1:14" ht="24" customHeight="1">
      <c r="A9" s="87" t="s">
        <v>179</v>
      </c>
      <c r="B9" s="88">
        <f t="shared" ref="B9" si="1">SUM(B2:B8)</f>
        <v>0</v>
      </c>
      <c r="C9" s="88"/>
      <c r="D9" s="88"/>
      <c r="E9" s="88"/>
      <c r="F9" s="88"/>
      <c r="G9" s="88"/>
      <c r="H9" s="88"/>
      <c r="I9" s="88"/>
      <c r="J9" s="88"/>
      <c r="K9" s="88"/>
      <c r="L9" s="88"/>
      <c r="M9" s="88"/>
      <c r="N9" s="92">
        <f t="shared" si="0"/>
        <v>0</v>
      </c>
    </row>
    <row r="10" spans="1:14" ht="23.4" customHeight="1">
      <c r="A10" s="88" t="s">
        <v>98</v>
      </c>
      <c r="B10" s="88">
        <v>15</v>
      </c>
      <c r="C10" s="88"/>
      <c r="D10" s="88"/>
      <c r="E10" s="88"/>
      <c r="F10" s="88"/>
      <c r="G10" s="88"/>
      <c r="H10" s="88"/>
      <c r="I10" s="88"/>
      <c r="J10" s="88"/>
      <c r="K10" s="88"/>
      <c r="L10" s="88"/>
      <c r="M10" s="88"/>
      <c r="N10" s="92">
        <f>SUM(B10:M10)</f>
        <v>15</v>
      </c>
    </row>
    <row r="11" spans="1:14" ht="28.95" customHeight="1" thickBot="1">
      <c r="A11" s="89" t="s">
        <v>99</v>
      </c>
      <c r="B11" s="90">
        <f t="shared" ref="B11" si="2">B9/B10</f>
        <v>0</v>
      </c>
      <c r="C11" s="90"/>
      <c r="D11" s="90"/>
      <c r="E11" s="90"/>
      <c r="F11" s="90"/>
      <c r="G11" s="90"/>
      <c r="H11" s="90"/>
      <c r="I11" s="90"/>
      <c r="J11" s="90"/>
      <c r="K11" s="90"/>
      <c r="L11" s="90"/>
      <c r="M11" s="90"/>
      <c r="N11" s="93">
        <f>N9/N10</f>
        <v>0</v>
      </c>
    </row>
    <row r="12" spans="1:14" ht="15" thickTop="1"/>
  </sheetData>
  <pageMargins left="0.70866141732283472" right="0.70866141732283472" top="0.74803149606299213" bottom="0.74803149606299213" header="0.31496062992125984" footer="0.31496062992125984"/>
  <pageSetup scale="86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FF0000"/>
  </sheetPr>
  <dimension ref="A1"/>
  <sheetViews>
    <sheetView workbookViewId="0">
      <selection activeCell="B29" sqref="B29"/>
    </sheetView>
  </sheetViews>
  <sheetFormatPr defaultRowHeight="15.6"/>
  <sheetData/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2"/>
  <sheetViews>
    <sheetView workbookViewId="0">
      <selection activeCell="D9" sqref="D9"/>
    </sheetView>
  </sheetViews>
  <sheetFormatPr defaultRowHeight="12"/>
  <cols>
    <col min="1" max="1" width="3.9140625" style="60" customWidth="1"/>
    <col min="2" max="2" width="9.6640625" style="60" customWidth="1"/>
    <col min="3" max="15" width="4.75" style="60" customWidth="1"/>
    <col min="16" max="255" width="8.9140625" style="60"/>
    <col min="256" max="256" width="6.75" style="60" customWidth="1"/>
    <col min="257" max="257" width="6.58203125" style="60" customWidth="1"/>
    <col min="258" max="269" width="4.58203125" style="60" customWidth="1"/>
    <col min="270" max="270" width="3.25" style="60" customWidth="1"/>
    <col min="271" max="511" width="8.9140625" style="60"/>
    <col min="512" max="512" width="6.75" style="60" customWidth="1"/>
    <col min="513" max="513" width="6.58203125" style="60" customWidth="1"/>
    <col min="514" max="525" width="4.58203125" style="60" customWidth="1"/>
    <col min="526" max="526" width="3.25" style="60" customWidth="1"/>
    <col min="527" max="767" width="8.9140625" style="60"/>
    <col min="768" max="768" width="6.75" style="60" customWidth="1"/>
    <col min="769" max="769" width="6.58203125" style="60" customWidth="1"/>
    <col min="770" max="781" width="4.58203125" style="60" customWidth="1"/>
    <col min="782" max="782" width="3.25" style="60" customWidth="1"/>
    <col min="783" max="1023" width="8.9140625" style="60"/>
    <col min="1024" max="1024" width="6.75" style="60" customWidth="1"/>
    <col min="1025" max="1025" width="6.58203125" style="60" customWidth="1"/>
    <col min="1026" max="1037" width="4.58203125" style="60" customWidth="1"/>
    <col min="1038" max="1038" width="3.25" style="60" customWidth="1"/>
    <col min="1039" max="1279" width="8.9140625" style="60"/>
    <col min="1280" max="1280" width="6.75" style="60" customWidth="1"/>
    <col min="1281" max="1281" width="6.58203125" style="60" customWidth="1"/>
    <col min="1282" max="1293" width="4.58203125" style="60" customWidth="1"/>
    <col min="1294" max="1294" width="3.25" style="60" customWidth="1"/>
    <col min="1295" max="1535" width="8.9140625" style="60"/>
    <col min="1536" max="1536" width="6.75" style="60" customWidth="1"/>
    <col min="1537" max="1537" width="6.58203125" style="60" customWidth="1"/>
    <col min="1538" max="1549" width="4.58203125" style="60" customWidth="1"/>
    <col min="1550" max="1550" width="3.25" style="60" customWidth="1"/>
    <col min="1551" max="1791" width="8.9140625" style="60"/>
    <col min="1792" max="1792" width="6.75" style="60" customWidth="1"/>
    <col min="1793" max="1793" width="6.58203125" style="60" customWidth="1"/>
    <col min="1794" max="1805" width="4.58203125" style="60" customWidth="1"/>
    <col min="1806" max="1806" width="3.25" style="60" customWidth="1"/>
    <col min="1807" max="2047" width="8.9140625" style="60"/>
    <col min="2048" max="2048" width="6.75" style="60" customWidth="1"/>
    <col min="2049" max="2049" width="6.58203125" style="60" customWidth="1"/>
    <col min="2050" max="2061" width="4.58203125" style="60" customWidth="1"/>
    <col min="2062" max="2062" width="3.25" style="60" customWidth="1"/>
    <col min="2063" max="2303" width="8.9140625" style="60"/>
    <col min="2304" max="2304" width="6.75" style="60" customWidth="1"/>
    <col min="2305" max="2305" width="6.58203125" style="60" customWidth="1"/>
    <col min="2306" max="2317" width="4.58203125" style="60" customWidth="1"/>
    <col min="2318" max="2318" width="3.25" style="60" customWidth="1"/>
    <col min="2319" max="2559" width="8.9140625" style="60"/>
    <col min="2560" max="2560" width="6.75" style="60" customWidth="1"/>
    <col min="2561" max="2561" width="6.58203125" style="60" customWidth="1"/>
    <col min="2562" max="2573" width="4.58203125" style="60" customWidth="1"/>
    <col min="2574" max="2574" width="3.25" style="60" customWidth="1"/>
    <col min="2575" max="2815" width="8.9140625" style="60"/>
    <col min="2816" max="2816" width="6.75" style="60" customWidth="1"/>
    <col min="2817" max="2817" width="6.58203125" style="60" customWidth="1"/>
    <col min="2818" max="2829" width="4.58203125" style="60" customWidth="1"/>
    <col min="2830" max="2830" width="3.25" style="60" customWidth="1"/>
    <col min="2831" max="3071" width="8.9140625" style="60"/>
    <col min="3072" max="3072" width="6.75" style="60" customWidth="1"/>
    <col min="3073" max="3073" width="6.58203125" style="60" customWidth="1"/>
    <col min="3074" max="3085" width="4.58203125" style="60" customWidth="1"/>
    <col min="3086" max="3086" width="3.25" style="60" customWidth="1"/>
    <col min="3087" max="3327" width="8.9140625" style="60"/>
    <col min="3328" max="3328" width="6.75" style="60" customWidth="1"/>
    <col min="3329" max="3329" width="6.58203125" style="60" customWidth="1"/>
    <col min="3330" max="3341" width="4.58203125" style="60" customWidth="1"/>
    <col min="3342" max="3342" width="3.25" style="60" customWidth="1"/>
    <col min="3343" max="3583" width="8.9140625" style="60"/>
    <col min="3584" max="3584" width="6.75" style="60" customWidth="1"/>
    <col min="3585" max="3585" width="6.58203125" style="60" customWidth="1"/>
    <col min="3586" max="3597" width="4.58203125" style="60" customWidth="1"/>
    <col min="3598" max="3598" width="3.25" style="60" customWidth="1"/>
    <col min="3599" max="3839" width="8.9140625" style="60"/>
    <col min="3840" max="3840" width="6.75" style="60" customWidth="1"/>
    <col min="3841" max="3841" width="6.58203125" style="60" customWidth="1"/>
    <col min="3842" max="3853" width="4.58203125" style="60" customWidth="1"/>
    <col min="3854" max="3854" width="3.25" style="60" customWidth="1"/>
    <col min="3855" max="4095" width="8.9140625" style="60"/>
    <col min="4096" max="4096" width="6.75" style="60" customWidth="1"/>
    <col min="4097" max="4097" width="6.58203125" style="60" customWidth="1"/>
    <col min="4098" max="4109" width="4.58203125" style="60" customWidth="1"/>
    <col min="4110" max="4110" width="3.25" style="60" customWidth="1"/>
    <col min="4111" max="4351" width="8.9140625" style="60"/>
    <col min="4352" max="4352" width="6.75" style="60" customWidth="1"/>
    <col min="4353" max="4353" width="6.58203125" style="60" customWidth="1"/>
    <col min="4354" max="4365" width="4.58203125" style="60" customWidth="1"/>
    <col min="4366" max="4366" width="3.25" style="60" customWidth="1"/>
    <col min="4367" max="4607" width="8.9140625" style="60"/>
    <col min="4608" max="4608" width="6.75" style="60" customWidth="1"/>
    <col min="4609" max="4609" width="6.58203125" style="60" customWidth="1"/>
    <col min="4610" max="4621" width="4.58203125" style="60" customWidth="1"/>
    <col min="4622" max="4622" width="3.25" style="60" customWidth="1"/>
    <col min="4623" max="4863" width="8.9140625" style="60"/>
    <col min="4864" max="4864" width="6.75" style="60" customWidth="1"/>
    <col min="4865" max="4865" width="6.58203125" style="60" customWidth="1"/>
    <col min="4866" max="4877" width="4.58203125" style="60" customWidth="1"/>
    <col min="4878" max="4878" width="3.25" style="60" customWidth="1"/>
    <col min="4879" max="5119" width="8.9140625" style="60"/>
    <col min="5120" max="5120" width="6.75" style="60" customWidth="1"/>
    <col min="5121" max="5121" width="6.58203125" style="60" customWidth="1"/>
    <col min="5122" max="5133" width="4.58203125" style="60" customWidth="1"/>
    <col min="5134" max="5134" width="3.25" style="60" customWidth="1"/>
    <col min="5135" max="5375" width="8.9140625" style="60"/>
    <col min="5376" max="5376" width="6.75" style="60" customWidth="1"/>
    <col min="5377" max="5377" width="6.58203125" style="60" customWidth="1"/>
    <col min="5378" max="5389" width="4.58203125" style="60" customWidth="1"/>
    <col min="5390" max="5390" width="3.25" style="60" customWidth="1"/>
    <col min="5391" max="5631" width="8.9140625" style="60"/>
    <col min="5632" max="5632" width="6.75" style="60" customWidth="1"/>
    <col min="5633" max="5633" width="6.58203125" style="60" customWidth="1"/>
    <col min="5634" max="5645" width="4.58203125" style="60" customWidth="1"/>
    <col min="5646" max="5646" width="3.25" style="60" customWidth="1"/>
    <col min="5647" max="5887" width="8.9140625" style="60"/>
    <col min="5888" max="5888" width="6.75" style="60" customWidth="1"/>
    <col min="5889" max="5889" width="6.58203125" style="60" customWidth="1"/>
    <col min="5890" max="5901" width="4.58203125" style="60" customWidth="1"/>
    <col min="5902" max="5902" width="3.25" style="60" customWidth="1"/>
    <col min="5903" max="6143" width="8.9140625" style="60"/>
    <col min="6144" max="6144" width="6.75" style="60" customWidth="1"/>
    <col min="6145" max="6145" width="6.58203125" style="60" customWidth="1"/>
    <col min="6146" max="6157" width="4.58203125" style="60" customWidth="1"/>
    <col min="6158" max="6158" width="3.25" style="60" customWidth="1"/>
    <col min="6159" max="6399" width="8.9140625" style="60"/>
    <col min="6400" max="6400" width="6.75" style="60" customWidth="1"/>
    <col min="6401" max="6401" width="6.58203125" style="60" customWidth="1"/>
    <col min="6402" max="6413" width="4.58203125" style="60" customWidth="1"/>
    <col min="6414" max="6414" width="3.25" style="60" customWidth="1"/>
    <col min="6415" max="6655" width="8.9140625" style="60"/>
    <col min="6656" max="6656" width="6.75" style="60" customWidth="1"/>
    <col min="6657" max="6657" width="6.58203125" style="60" customWidth="1"/>
    <col min="6658" max="6669" width="4.58203125" style="60" customWidth="1"/>
    <col min="6670" max="6670" width="3.25" style="60" customWidth="1"/>
    <col min="6671" max="6911" width="8.9140625" style="60"/>
    <col min="6912" max="6912" width="6.75" style="60" customWidth="1"/>
    <col min="6913" max="6913" width="6.58203125" style="60" customWidth="1"/>
    <col min="6914" max="6925" width="4.58203125" style="60" customWidth="1"/>
    <col min="6926" max="6926" width="3.25" style="60" customWidth="1"/>
    <col min="6927" max="7167" width="8.9140625" style="60"/>
    <col min="7168" max="7168" width="6.75" style="60" customWidth="1"/>
    <col min="7169" max="7169" width="6.58203125" style="60" customWidth="1"/>
    <col min="7170" max="7181" width="4.58203125" style="60" customWidth="1"/>
    <col min="7182" max="7182" width="3.25" style="60" customWidth="1"/>
    <col min="7183" max="7423" width="8.9140625" style="60"/>
    <col min="7424" max="7424" width="6.75" style="60" customWidth="1"/>
    <col min="7425" max="7425" width="6.58203125" style="60" customWidth="1"/>
    <col min="7426" max="7437" width="4.58203125" style="60" customWidth="1"/>
    <col min="7438" max="7438" width="3.25" style="60" customWidth="1"/>
    <col min="7439" max="7679" width="8.9140625" style="60"/>
    <col min="7680" max="7680" width="6.75" style="60" customWidth="1"/>
    <col min="7681" max="7681" width="6.58203125" style="60" customWidth="1"/>
    <col min="7682" max="7693" width="4.58203125" style="60" customWidth="1"/>
    <col min="7694" max="7694" width="3.25" style="60" customWidth="1"/>
    <col min="7695" max="7935" width="8.9140625" style="60"/>
    <col min="7936" max="7936" width="6.75" style="60" customWidth="1"/>
    <col min="7937" max="7937" width="6.58203125" style="60" customWidth="1"/>
    <col min="7938" max="7949" width="4.58203125" style="60" customWidth="1"/>
    <col min="7950" max="7950" width="3.25" style="60" customWidth="1"/>
    <col min="7951" max="8191" width="8.9140625" style="60"/>
    <col min="8192" max="8192" width="6.75" style="60" customWidth="1"/>
    <col min="8193" max="8193" width="6.58203125" style="60" customWidth="1"/>
    <col min="8194" max="8205" width="4.58203125" style="60" customWidth="1"/>
    <col min="8206" max="8206" width="3.25" style="60" customWidth="1"/>
    <col min="8207" max="8447" width="8.9140625" style="60"/>
    <col min="8448" max="8448" width="6.75" style="60" customWidth="1"/>
    <col min="8449" max="8449" width="6.58203125" style="60" customWidth="1"/>
    <col min="8450" max="8461" width="4.58203125" style="60" customWidth="1"/>
    <col min="8462" max="8462" width="3.25" style="60" customWidth="1"/>
    <col min="8463" max="8703" width="8.9140625" style="60"/>
    <col min="8704" max="8704" width="6.75" style="60" customWidth="1"/>
    <col min="8705" max="8705" width="6.58203125" style="60" customWidth="1"/>
    <col min="8706" max="8717" width="4.58203125" style="60" customWidth="1"/>
    <col min="8718" max="8718" width="3.25" style="60" customWidth="1"/>
    <col min="8719" max="8959" width="8.9140625" style="60"/>
    <col min="8960" max="8960" width="6.75" style="60" customWidth="1"/>
    <col min="8961" max="8961" width="6.58203125" style="60" customWidth="1"/>
    <col min="8962" max="8973" width="4.58203125" style="60" customWidth="1"/>
    <col min="8974" max="8974" width="3.25" style="60" customWidth="1"/>
    <col min="8975" max="9215" width="8.9140625" style="60"/>
    <col min="9216" max="9216" width="6.75" style="60" customWidth="1"/>
    <col min="9217" max="9217" width="6.58203125" style="60" customWidth="1"/>
    <col min="9218" max="9229" width="4.58203125" style="60" customWidth="1"/>
    <col min="9230" max="9230" width="3.25" style="60" customWidth="1"/>
    <col min="9231" max="9471" width="8.9140625" style="60"/>
    <col min="9472" max="9472" width="6.75" style="60" customWidth="1"/>
    <col min="9473" max="9473" width="6.58203125" style="60" customWidth="1"/>
    <col min="9474" max="9485" width="4.58203125" style="60" customWidth="1"/>
    <col min="9486" max="9486" width="3.25" style="60" customWidth="1"/>
    <col min="9487" max="9727" width="8.9140625" style="60"/>
    <col min="9728" max="9728" width="6.75" style="60" customWidth="1"/>
    <col min="9729" max="9729" width="6.58203125" style="60" customWidth="1"/>
    <col min="9730" max="9741" width="4.58203125" style="60" customWidth="1"/>
    <col min="9742" max="9742" width="3.25" style="60" customWidth="1"/>
    <col min="9743" max="9983" width="8.9140625" style="60"/>
    <col min="9984" max="9984" width="6.75" style="60" customWidth="1"/>
    <col min="9985" max="9985" width="6.58203125" style="60" customWidth="1"/>
    <col min="9986" max="9997" width="4.58203125" style="60" customWidth="1"/>
    <col min="9998" max="9998" width="3.25" style="60" customWidth="1"/>
    <col min="9999" max="10239" width="8.9140625" style="60"/>
    <col min="10240" max="10240" width="6.75" style="60" customWidth="1"/>
    <col min="10241" max="10241" width="6.58203125" style="60" customWidth="1"/>
    <col min="10242" max="10253" width="4.58203125" style="60" customWidth="1"/>
    <col min="10254" max="10254" width="3.25" style="60" customWidth="1"/>
    <col min="10255" max="10495" width="8.9140625" style="60"/>
    <col min="10496" max="10496" width="6.75" style="60" customWidth="1"/>
    <col min="10497" max="10497" width="6.58203125" style="60" customWidth="1"/>
    <col min="10498" max="10509" width="4.58203125" style="60" customWidth="1"/>
    <col min="10510" max="10510" width="3.25" style="60" customWidth="1"/>
    <col min="10511" max="10751" width="8.9140625" style="60"/>
    <col min="10752" max="10752" width="6.75" style="60" customWidth="1"/>
    <col min="10753" max="10753" width="6.58203125" style="60" customWidth="1"/>
    <col min="10754" max="10765" width="4.58203125" style="60" customWidth="1"/>
    <col min="10766" max="10766" width="3.25" style="60" customWidth="1"/>
    <col min="10767" max="11007" width="8.9140625" style="60"/>
    <col min="11008" max="11008" width="6.75" style="60" customWidth="1"/>
    <col min="11009" max="11009" width="6.58203125" style="60" customWidth="1"/>
    <col min="11010" max="11021" width="4.58203125" style="60" customWidth="1"/>
    <col min="11022" max="11022" width="3.25" style="60" customWidth="1"/>
    <col min="11023" max="11263" width="8.9140625" style="60"/>
    <col min="11264" max="11264" width="6.75" style="60" customWidth="1"/>
    <col min="11265" max="11265" width="6.58203125" style="60" customWidth="1"/>
    <col min="11266" max="11277" width="4.58203125" style="60" customWidth="1"/>
    <col min="11278" max="11278" width="3.25" style="60" customWidth="1"/>
    <col min="11279" max="11519" width="8.9140625" style="60"/>
    <col min="11520" max="11520" width="6.75" style="60" customWidth="1"/>
    <col min="11521" max="11521" width="6.58203125" style="60" customWidth="1"/>
    <col min="11522" max="11533" width="4.58203125" style="60" customWidth="1"/>
    <col min="11534" max="11534" width="3.25" style="60" customWidth="1"/>
    <col min="11535" max="11775" width="8.9140625" style="60"/>
    <col min="11776" max="11776" width="6.75" style="60" customWidth="1"/>
    <col min="11777" max="11777" width="6.58203125" style="60" customWidth="1"/>
    <col min="11778" max="11789" width="4.58203125" style="60" customWidth="1"/>
    <col min="11790" max="11790" width="3.25" style="60" customWidth="1"/>
    <col min="11791" max="12031" width="8.9140625" style="60"/>
    <col min="12032" max="12032" width="6.75" style="60" customWidth="1"/>
    <col min="12033" max="12033" width="6.58203125" style="60" customWidth="1"/>
    <col min="12034" max="12045" width="4.58203125" style="60" customWidth="1"/>
    <col min="12046" max="12046" width="3.25" style="60" customWidth="1"/>
    <col min="12047" max="12287" width="8.9140625" style="60"/>
    <col min="12288" max="12288" width="6.75" style="60" customWidth="1"/>
    <col min="12289" max="12289" width="6.58203125" style="60" customWidth="1"/>
    <col min="12290" max="12301" width="4.58203125" style="60" customWidth="1"/>
    <col min="12302" max="12302" width="3.25" style="60" customWidth="1"/>
    <col min="12303" max="12543" width="8.9140625" style="60"/>
    <col min="12544" max="12544" width="6.75" style="60" customWidth="1"/>
    <col min="12545" max="12545" width="6.58203125" style="60" customWidth="1"/>
    <col min="12546" max="12557" width="4.58203125" style="60" customWidth="1"/>
    <col min="12558" max="12558" width="3.25" style="60" customWidth="1"/>
    <col min="12559" max="12799" width="8.9140625" style="60"/>
    <col min="12800" max="12800" width="6.75" style="60" customWidth="1"/>
    <col min="12801" max="12801" width="6.58203125" style="60" customWidth="1"/>
    <col min="12802" max="12813" width="4.58203125" style="60" customWidth="1"/>
    <col min="12814" max="12814" width="3.25" style="60" customWidth="1"/>
    <col min="12815" max="13055" width="8.9140625" style="60"/>
    <col min="13056" max="13056" width="6.75" style="60" customWidth="1"/>
    <col min="13057" max="13057" width="6.58203125" style="60" customWidth="1"/>
    <col min="13058" max="13069" width="4.58203125" style="60" customWidth="1"/>
    <col min="13070" max="13070" width="3.25" style="60" customWidth="1"/>
    <col min="13071" max="13311" width="8.9140625" style="60"/>
    <col min="13312" max="13312" width="6.75" style="60" customWidth="1"/>
    <col min="13313" max="13313" width="6.58203125" style="60" customWidth="1"/>
    <col min="13314" max="13325" width="4.58203125" style="60" customWidth="1"/>
    <col min="13326" max="13326" width="3.25" style="60" customWidth="1"/>
    <col min="13327" max="13567" width="8.9140625" style="60"/>
    <col min="13568" max="13568" width="6.75" style="60" customWidth="1"/>
    <col min="13569" max="13569" width="6.58203125" style="60" customWidth="1"/>
    <col min="13570" max="13581" width="4.58203125" style="60" customWidth="1"/>
    <col min="13582" max="13582" width="3.25" style="60" customWidth="1"/>
    <col min="13583" max="13823" width="8.9140625" style="60"/>
    <col min="13824" max="13824" width="6.75" style="60" customWidth="1"/>
    <col min="13825" max="13825" width="6.58203125" style="60" customWidth="1"/>
    <col min="13826" max="13837" width="4.58203125" style="60" customWidth="1"/>
    <col min="13838" max="13838" width="3.25" style="60" customWidth="1"/>
    <col min="13839" max="14079" width="8.9140625" style="60"/>
    <col min="14080" max="14080" width="6.75" style="60" customWidth="1"/>
    <col min="14081" max="14081" width="6.58203125" style="60" customWidth="1"/>
    <col min="14082" max="14093" width="4.58203125" style="60" customWidth="1"/>
    <col min="14094" max="14094" width="3.25" style="60" customWidth="1"/>
    <col min="14095" max="14335" width="8.9140625" style="60"/>
    <col min="14336" max="14336" width="6.75" style="60" customWidth="1"/>
    <col min="14337" max="14337" width="6.58203125" style="60" customWidth="1"/>
    <col min="14338" max="14349" width="4.58203125" style="60" customWidth="1"/>
    <col min="14350" max="14350" width="3.25" style="60" customWidth="1"/>
    <col min="14351" max="14591" width="8.9140625" style="60"/>
    <col min="14592" max="14592" width="6.75" style="60" customWidth="1"/>
    <col min="14593" max="14593" width="6.58203125" style="60" customWidth="1"/>
    <col min="14594" max="14605" width="4.58203125" style="60" customWidth="1"/>
    <col min="14606" max="14606" width="3.25" style="60" customWidth="1"/>
    <col min="14607" max="14847" width="8.9140625" style="60"/>
    <col min="14848" max="14848" width="6.75" style="60" customWidth="1"/>
    <col min="14849" max="14849" width="6.58203125" style="60" customWidth="1"/>
    <col min="14850" max="14861" width="4.58203125" style="60" customWidth="1"/>
    <col min="14862" max="14862" width="3.25" style="60" customWidth="1"/>
    <col min="14863" max="15103" width="8.9140625" style="60"/>
    <col min="15104" max="15104" width="6.75" style="60" customWidth="1"/>
    <col min="15105" max="15105" width="6.58203125" style="60" customWidth="1"/>
    <col min="15106" max="15117" width="4.58203125" style="60" customWidth="1"/>
    <col min="15118" max="15118" width="3.25" style="60" customWidth="1"/>
    <col min="15119" max="15359" width="8.9140625" style="60"/>
    <col min="15360" max="15360" width="6.75" style="60" customWidth="1"/>
    <col min="15361" max="15361" width="6.58203125" style="60" customWidth="1"/>
    <col min="15362" max="15373" width="4.58203125" style="60" customWidth="1"/>
    <col min="15374" max="15374" width="3.25" style="60" customWidth="1"/>
    <col min="15375" max="15615" width="8.9140625" style="60"/>
    <col min="15616" max="15616" width="6.75" style="60" customWidth="1"/>
    <col min="15617" max="15617" width="6.58203125" style="60" customWidth="1"/>
    <col min="15618" max="15629" width="4.58203125" style="60" customWidth="1"/>
    <col min="15630" max="15630" width="3.25" style="60" customWidth="1"/>
    <col min="15631" max="15871" width="8.9140625" style="60"/>
    <col min="15872" max="15872" width="6.75" style="60" customWidth="1"/>
    <col min="15873" max="15873" width="6.58203125" style="60" customWidth="1"/>
    <col min="15874" max="15885" width="4.58203125" style="60" customWidth="1"/>
    <col min="15886" max="15886" width="3.25" style="60" customWidth="1"/>
    <col min="15887" max="16127" width="8.9140625" style="60"/>
    <col min="16128" max="16128" width="6.75" style="60" customWidth="1"/>
    <col min="16129" max="16129" width="6.58203125" style="60" customWidth="1"/>
    <col min="16130" max="16141" width="4.58203125" style="60" customWidth="1"/>
    <col min="16142" max="16142" width="3.25" style="60" customWidth="1"/>
    <col min="16143" max="16383" width="8.9140625" style="60"/>
    <col min="16384" max="16384" width="8.9140625" style="60" customWidth="1"/>
  </cols>
  <sheetData>
    <row r="1" spans="1:15" ht="20.399999999999999" customHeight="1" thickBot="1">
      <c r="A1" s="125" t="s">
        <v>13</v>
      </c>
      <c r="B1" s="126" t="s">
        <v>145</v>
      </c>
      <c r="C1" s="126" t="s">
        <v>118</v>
      </c>
      <c r="D1" s="126" t="s">
        <v>119</v>
      </c>
      <c r="E1" s="126" t="s">
        <v>120</v>
      </c>
      <c r="F1" s="126" t="s">
        <v>121</v>
      </c>
      <c r="G1" s="126" t="s">
        <v>122</v>
      </c>
      <c r="H1" s="126" t="s">
        <v>123</v>
      </c>
      <c r="I1" s="126" t="s">
        <v>124</v>
      </c>
      <c r="J1" s="126" t="s">
        <v>125</v>
      </c>
      <c r="K1" s="126" t="s">
        <v>126</v>
      </c>
      <c r="L1" s="126" t="s">
        <v>127</v>
      </c>
      <c r="M1" s="126" t="s">
        <v>128</v>
      </c>
      <c r="N1" s="126" t="s">
        <v>129</v>
      </c>
      <c r="O1" s="127" t="s">
        <v>158</v>
      </c>
    </row>
    <row r="2" spans="1:15" ht="16.95" customHeight="1">
      <c r="A2" s="171" t="s">
        <v>138</v>
      </c>
      <c r="B2" s="46" t="s">
        <v>149</v>
      </c>
      <c r="C2" s="46">
        <v>1</v>
      </c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61">
        <f t="shared" ref="O2:O22" si="0">SUM(C2:N2)</f>
        <v>1</v>
      </c>
    </row>
    <row r="3" spans="1:15" ht="16.95" customHeight="1">
      <c r="A3" s="172"/>
      <c r="B3" s="47" t="s">
        <v>150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62">
        <f t="shared" si="0"/>
        <v>0</v>
      </c>
    </row>
    <row r="4" spans="1:15" ht="16.95" customHeight="1" thickBot="1">
      <c r="A4" s="173"/>
      <c r="B4" s="48" t="s">
        <v>151</v>
      </c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63">
        <f t="shared" si="0"/>
        <v>0</v>
      </c>
    </row>
    <row r="5" spans="1:15" ht="16.95" customHeight="1">
      <c r="A5" s="171" t="s">
        <v>139</v>
      </c>
      <c r="B5" s="46" t="s">
        <v>146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61">
        <f t="shared" si="0"/>
        <v>0</v>
      </c>
    </row>
    <row r="6" spans="1:15" ht="16.95" customHeight="1">
      <c r="A6" s="172"/>
      <c r="B6" s="47" t="s">
        <v>147</v>
      </c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62">
        <f t="shared" si="0"/>
        <v>0</v>
      </c>
    </row>
    <row r="7" spans="1:15" ht="16.95" customHeight="1" thickBot="1">
      <c r="A7" s="173"/>
      <c r="B7" s="48" t="s">
        <v>148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63">
        <f t="shared" si="0"/>
        <v>0</v>
      </c>
    </row>
    <row r="8" spans="1:15" ht="16.95" customHeight="1">
      <c r="A8" s="174" t="s">
        <v>140</v>
      </c>
      <c r="B8" s="46" t="s">
        <v>146</v>
      </c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5">
        <f t="shared" si="0"/>
        <v>0</v>
      </c>
    </row>
    <row r="9" spans="1:15" ht="16.95" customHeight="1">
      <c r="A9" s="172"/>
      <c r="B9" s="47" t="s">
        <v>147</v>
      </c>
      <c r="C9" s="47"/>
      <c r="D9" s="47">
        <v>1</v>
      </c>
      <c r="E9" s="47"/>
      <c r="F9" s="47"/>
      <c r="G9" s="47"/>
      <c r="H9" s="47"/>
      <c r="I9" s="47"/>
      <c r="J9" s="47"/>
      <c r="K9" s="47"/>
      <c r="L9" s="47"/>
      <c r="M9" s="47"/>
      <c r="N9" s="47"/>
      <c r="O9" s="62">
        <f t="shared" si="0"/>
        <v>1</v>
      </c>
    </row>
    <row r="10" spans="1:15" ht="16.95" customHeight="1" thickBot="1">
      <c r="A10" s="175"/>
      <c r="B10" s="48" t="s">
        <v>148</v>
      </c>
      <c r="C10" s="66"/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7">
        <f t="shared" si="0"/>
        <v>0</v>
      </c>
    </row>
    <row r="11" spans="1:15" ht="16.95" customHeight="1">
      <c r="A11" s="171" t="s">
        <v>141</v>
      </c>
      <c r="B11" s="46" t="s">
        <v>146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61">
        <f t="shared" si="0"/>
        <v>0</v>
      </c>
    </row>
    <row r="12" spans="1:15" ht="16.95" customHeight="1">
      <c r="A12" s="172"/>
      <c r="B12" s="47" t="s">
        <v>147</v>
      </c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62">
        <f t="shared" si="0"/>
        <v>0</v>
      </c>
    </row>
    <row r="13" spans="1:15" ht="16.95" customHeight="1" thickBot="1">
      <c r="A13" s="175"/>
      <c r="B13" s="48" t="s">
        <v>148</v>
      </c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7">
        <f t="shared" si="0"/>
        <v>0</v>
      </c>
    </row>
    <row r="14" spans="1:15" ht="16.95" customHeight="1">
      <c r="A14" s="171" t="s">
        <v>142</v>
      </c>
      <c r="B14" s="46" t="s">
        <v>146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61">
        <f t="shared" si="0"/>
        <v>0</v>
      </c>
    </row>
    <row r="15" spans="1:15" ht="16.95" customHeight="1">
      <c r="A15" s="172"/>
      <c r="B15" s="47" t="s">
        <v>147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62">
        <f t="shared" si="0"/>
        <v>0</v>
      </c>
    </row>
    <row r="16" spans="1:15" ht="16.95" customHeight="1" thickBot="1">
      <c r="A16" s="173"/>
      <c r="B16" s="48" t="s">
        <v>148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63">
        <f t="shared" si="0"/>
        <v>0</v>
      </c>
    </row>
    <row r="17" spans="1:15" ht="16.95" customHeight="1">
      <c r="A17" s="174" t="s">
        <v>143</v>
      </c>
      <c r="B17" s="46" t="s">
        <v>146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5">
        <f t="shared" si="0"/>
        <v>0</v>
      </c>
    </row>
    <row r="18" spans="1:15" ht="16.95" customHeight="1">
      <c r="A18" s="172"/>
      <c r="B18" s="47" t="s">
        <v>147</v>
      </c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62">
        <f t="shared" si="0"/>
        <v>0</v>
      </c>
    </row>
    <row r="19" spans="1:15" ht="16.95" customHeight="1" thickBot="1">
      <c r="A19" s="175"/>
      <c r="B19" s="48" t="s">
        <v>148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7">
        <f t="shared" si="0"/>
        <v>0</v>
      </c>
    </row>
    <row r="20" spans="1:15" ht="16.95" customHeight="1">
      <c r="A20" s="171" t="s">
        <v>144</v>
      </c>
      <c r="B20" s="46" t="s">
        <v>146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61">
        <f t="shared" si="0"/>
        <v>0</v>
      </c>
    </row>
    <row r="21" spans="1:15" ht="16.95" customHeight="1">
      <c r="A21" s="172"/>
      <c r="B21" s="47" t="s">
        <v>147</v>
      </c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62">
        <f t="shared" si="0"/>
        <v>0</v>
      </c>
    </row>
    <row r="22" spans="1:15" ht="16.95" customHeight="1" thickBot="1">
      <c r="A22" s="173"/>
      <c r="B22" s="48" t="s">
        <v>148</v>
      </c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63">
        <f t="shared" si="0"/>
        <v>0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2"/>
  <sheetViews>
    <sheetView workbookViewId="0">
      <selection activeCell="I15" sqref="I15"/>
    </sheetView>
  </sheetViews>
  <sheetFormatPr defaultRowHeight="13.8"/>
  <cols>
    <col min="1" max="1" width="4.33203125" style="49" customWidth="1"/>
    <col min="2" max="2" width="6.58203125" style="49" customWidth="1"/>
    <col min="3" max="14" width="4.58203125" style="49" customWidth="1"/>
    <col min="15" max="15" width="6.75" style="49" customWidth="1"/>
    <col min="16" max="255" width="8.9140625" style="49"/>
    <col min="256" max="256" width="6.75" style="49" customWidth="1"/>
    <col min="257" max="257" width="6.58203125" style="49" customWidth="1"/>
    <col min="258" max="269" width="4.58203125" style="49" customWidth="1"/>
    <col min="270" max="270" width="3.25" style="49" customWidth="1"/>
    <col min="271" max="511" width="8.9140625" style="49"/>
    <col min="512" max="512" width="6.75" style="49" customWidth="1"/>
    <col min="513" max="513" width="6.58203125" style="49" customWidth="1"/>
    <col min="514" max="525" width="4.58203125" style="49" customWidth="1"/>
    <col min="526" max="526" width="3.25" style="49" customWidth="1"/>
    <col min="527" max="767" width="8.9140625" style="49"/>
    <col min="768" max="768" width="6.75" style="49" customWidth="1"/>
    <col min="769" max="769" width="6.58203125" style="49" customWidth="1"/>
    <col min="770" max="781" width="4.58203125" style="49" customWidth="1"/>
    <col min="782" max="782" width="3.25" style="49" customWidth="1"/>
    <col min="783" max="1023" width="8.9140625" style="49"/>
    <col min="1024" max="1024" width="6.75" style="49" customWidth="1"/>
    <col min="1025" max="1025" width="6.58203125" style="49" customWidth="1"/>
    <col min="1026" max="1037" width="4.58203125" style="49" customWidth="1"/>
    <col min="1038" max="1038" width="3.25" style="49" customWidth="1"/>
    <col min="1039" max="1279" width="8.9140625" style="49"/>
    <col min="1280" max="1280" width="6.75" style="49" customWidth="1"/>
    <col min="1281" max="1281" width="6.58203125" style="49" customWidth="1"/>
    <col min="1282" max="1293" width="4.58203125" style="49" customWidth="1"/>
    <col min="1294" max="1294" width="3.25" style="49" customWidth="1"/>
    <col min="1295" max="1535" width="8.9140625" style="49"/>
    <col min="1536" max="1536" width="6.75" style="49" customWidth="1"/>
    <col min="1537" max="1537" width="6.58203125" style="49" customWidth="1"/>
    <col min="1538" max="1549" width="4.58203125" style="49" customWidth="1"/>
    <col min="1550" max="1550" width="3.25" style="49" customWidth="1"/>
    <col min="1551" max="1791" width="8.9140625" style="49"/>
    <col min="1792" max="1792" width="6.75" style="49" customWidth="1"/>
    <col min="1793" max="1793" width="6.58203125" style="49" customWidth="1"/>
    <col min="1794" max="1805" width="4.58203125" style="49" customWidth="1"/>
    <col min="1806" max="1806" width="3.25" style="49" customWidth="1"/>
    <col min="1807" max="2047" width="8.9140625" style="49"/>
    <col min="2048" max="2048" width="6.75" style="49" customWidth="1"/>
    <col min="2049" max="2049" width="6.58203125" style="49" customWidth="1"/>
    <col min="2050" max="2061" width="4.58203125" style="49" customWidth="1"/>
    <col min="2062" max="2062" width="3.25" style="49" customWidth="1"/>
    <col min="2063" max="2303" width="8.9140625" style="49"/>
    <col min="2304" max="2304" width="6.75" style="49" customWidth="1"/>
    <col min="2305" max="2305" width="6.58203125" style="49" customWidth="1"/>
    <col min="2306" max="2317" width="4.58203125" style="49" customWidth="1"/>
    <col min="2318" max="2318" width="3.25" style="49" customWidth="1"/>
    <col min="2319" max="2559" width="8.9140625" style="49"/>
    <col min="2560" max="2560" width="6.75" style="49" customWidth="1"/>
    <col min="2561" max="2561" width="6.58203125" style="49" customWidth="1"/>
    <col min="2562" max="2573" width="4.58203125" style="49" customWidth="1"/>
    <col min="2574" max="2574" width="3.25" style="49" customWidth="1"/>
    <col min="2575" max="2815" width="8.9140625" style="49"/>
    <col min="2816" max="2816" width="6.75" style="49" customWidth="1"/>
    <col min="2817" max="2817" width="6.58203125" style="49" customWidth="1"/>
    <col min="2818" max="2829" width="4.58203125" style="49" customWidth="1"/>
    <col min="2830" max="2830" width="3.25" style="49" customWidth="1"/>
    <col min="2831" max="3071" width="8.9140625" style="49"/>
    <col min="3072" max="3072" width="6.75" style="49" customWidth="1"/>
    <col min="3073" max="3073" width="6.58203125" style="49" customWidth="1"/>
    <col min="3074" max="3085" width="4.58203125" style="49" customWidth="1"/>
    <col min="3086" max="3086" width="3.25" style="49" customWidth="1"/>
    <col min="3087" max="3327" width="8.9140625" style="49"/>
    <col min="3328" max="3328" width="6.75" style="49" customWidth="1"/>
    <col min="3329" max="3329" width="6.58203125" style="49" customWidth="1"/>
    <col min="3330" max="3341" width="4.58203125" style="49" customWidth="1"/>
    <col min="3342" max="3342" width="3.25" style="49" customWidth="1"/>
    <col min="3343" max="3583" width="8.9140625" style="49"/>
    <col min="3584" max="3584" width="6.75" style="49" customWidth="1"/>
    <col min="3585" max="3585" width="6.58203125" style="49" customWidth="1"/>
    <col min="3586" max="3597" width="4.58203125" style="49" customWidth="1"/>
    <col min="3598" max="3598" width="3.25" style="49" customWidth="1"/>
    <col min="3599" max="3839" width="8.9140625" style="49"/>
    <col min="3840" max="3840" width="6.75" style="49" customWidth="1"/>
    <col min="3841" max="3841" width="6.58203125" style="49" customWidth="1"/>
    <col min="3842" max="3853" width="4.58203125" style="49" customWidth="1"/>
    <col min="3854" max="3854" width="3.25" style="49" customWidth="1"/>
    <col min="3855" max="4095" width="8.9140625" style="49"/>
    <col min="4096" max="4096" width="6.75" style="49" customWidth="1"/>
    <col min="4097" max="4097" width="6.58203125" style="49" customWidth="1"/>
    <col min="4098" max="4109" width="4.58203125" style="49" customWidth="1"/>
    <col min="4110" max="4110" width="3.25" style="49" customWidth="1"/>
    <col min="4111" max="4351" width="8.9140625" style="49"/>
    <col min="4352" max="4352" width="6.75" style="49" customWidth="1"/>
    <col min="4353" max="4353" width="6.58203125" style="49" customWidth="1"/>
    <col min="4354" max="4365" width="4.58203125" style="49" customWidth="1"/>
    <col min="4366" max="4366" width="3.25" style="49" customWidth="1"/>
    <col min="4367" max="4607" width="8.9140625" style="49"/>
    <col min="4608" max="4608" width="6.75" style="49" customWidth="1"/>
    <col min="4609" max="4609" width="6.58203125" style="49" customWidth="1"/>
    <col min="4610" max="4621" width="4.58203125" style="49" customWidth="1"/>
    <col min="4622" max="4622" width="3.25" style="49" customWidth="1"/>
    <col min="4623" max="4863" width="8.9140625" style="49"/>
    <col min="4864" max="4864" width="6.75" style="49" customWidth="1"/>
    <col min="4865" max="4865" width="6.58203125" style="49" customWidth="1"/>
    <col min="4866" max="4877" width="4.58203125" style="49" customWidth="1"/>
    <col min="4878" max="4878" width="3.25" style="49" customWidth="1"/>
    <col min="4879" max="5119" width="8.9140625" style="49"/>
    <col min="5120" max="5120" width="6.75" style="49" customWidth="1"/>
    <col min="5121" max="5121" width="6.58203125" style="49" customWidth="1"/>
    <col min="5122" max="5133" width="4.58203125" style="49" customWidth="1"/>
    <col min="5134" max="5134" width="3.25" style="49" customWidth="1"/>
    <col min="5135" max="5375" width="8.9140625" style="49"/>
    <col min="5376" max="5376" width="6.75" style="49" customWidth="1"/>
    <col min="5377" max="5377" width="6.58203125" style="49" customWidth="1"/>
    <col min="5378" max="5389" width="4.58203125" style="49" customWidth="1"/>
    <col min="5390" max="5390" width="3.25" style="49" customWidth="1"/>
    <col min="5391" max="5631" width="8.9140625" style="49"/>
    <col min="5632" max="5632" width="6.75" style="49" customWidth="1"/>
    <col min="5633" max="5633" width="6.58203125" style="49" customWidth="1"/>
    <col min="5634" max="5645" width="4.58203125" style="49" customWidth="1"/>
    <col min="5646" max="5646" width="3.25" style="49" customWidth="1"/>
    <col min="5647" max="5887" width="8.9140625" style="49"/>
    <col min="5888" max="5888" width="6.75" style="49" customWidth="1"/>
    <col min="5889" max="5889" width="6.58203125" style="49" customWidth="1"/>
    <col min="5890" max="5901" width="4.58203125" style="49" customWidth="1"/>
    <col min="5902" max="5902" width="3.25" style="49" customWidth="1"/>
    <col min="5903" max="6143" width="8.9140625" style="49"/>
    <col min="6144" max="6144" width="6.75" style="49" customWidth="1"/>
    <col min="6145" max="6145" width="6.58203125" style="49" customWidth="1"/>
    <col min="6146" max="6157" width="4.58203125" style="49" customWidth="1"/>
    <col min="6158" max="6158" width="3.25" style="49" customWidth="1"/>
    <col min="6159" max="6399" width="8.9140625" style="49"/>
    <col min="6400" max="6400" width="6.75" style="49" customWidth="1"/>
    <col min="6401" max="6401" width="6.58203125" style="49" customWidth="1"/>
    <col min="6402" max="6413" width="4.58203125" style="49" customWidth="1"/>
    <col min="6414" max="6414" width="3.25" style="49" customWidth="1"/>
    <col min="6415" max="6655" width="8.9140625" style="49"/>
    <col min="6656" max="6656" width="6.75" style="49" customWidth="1"/>
    <col min="6657" max="6657" width="6.58203125" style="49" customWidth="1"/>
    <col min="6658" max="6669" width="4.58203125" style="49" customWidth="1"/>
    <col min="6670" max="6670" width="3.25" style="49" customWidth="1"/>
    <col min="6671" max="6911" width="8.9140625" style="49"/>
    <col min="6912" max="6912" width="6.75" style="49" customWidth="1"/>
    <col min="6913" max="6913" width="6.58203125" style="49" customWidth="1"/>
    <col min="6914" max="6925" width="4.58203125" style="49" customWidth="1"/>
    <col min="6926" max="6926" width="3.25" style="49" customWidth="1"/>
    <col min="6927" max="7167" width="8.9140625" style="49"/>
    <col min="7168" max="7168" width="6.75" style="49" customWidth="1"/>
    <col min="7169" max="7169" width="6.58203125" style="49" customWidth="1"/>
    <col min="7170" max="7181" width="4.58203125" style="49" customWidth="1"/>
    <col min="7182" max="7182" width="3.25" style="49" customWidth="1"/>
    <col min="7183" max="7423" width="8.9140625" style="49"/>
    <col min="7424" max="7424" width="6.75" style="49" customWidth="1"/>
    <col min="7425" max="7425" width="6.58203125" style="49" customWidth="1"/>
    <col min="7426" max="7437" width="4.58203125" style="49" customWidth="1"/>
    <col min="7438" max="7438" width="3.25" style="49" customWidth="1"/>
    <col min="7439" max="7679" width="8.9140625" style="49"/>
    <col min="7680" max="7680" width="6.75" style="49" customWidth="1"/>
    <col min="7681" max="7681" width="6.58203125" style="49" customWidth="1"/>
    <col min="7682" max="7693" width="4.58203125" style="49" customWidth="1"/>
    <col min="7694" max="7694" width="3.25" style="49" customWidth="1"/>
    <col min="7695" max="7935" width="8.9140625" style="49"/>
    <col min="7936" max="7936" width="6.75" style="49" customWidth="1"/>
    <col min="7937" max="7937" width="6.58203125" style="49" customWidth="1"/>
    <col min="7938" max="7949" width="4.58203125" style="49" customWidth="1"/>
    <col min="7950" max="7950" width="3.25" style="49" customWidth="1"/>
    <col min="7951" max="8191" width="8.9140625" style="49"/>
    <col min="8192" max="8192" width="6.75" style="49" customWidth="1"/>
    <col min="8193" max="8193" width="6.58203125" style="49" customWidth="1"/>
    <col min="8194" max="8205" width="4.58203125" style="49" customWidth="1"/>
    <col min="8206" max="8206" width="3.25" style="49" customWidth="1"/>
    <col min="8207" max="8447" width="8.9140625" style="49"/>
    <col min="8448" max="8448" width="6.75" style="49" customWidth="1"/>
    <col min="8449" max="8449" width="6.58203125" style="49" customWidth="1"/>
    <col min="8450" max="8461" width="4.58203125" style="49" customWidth="1"/>
    <col min="8462" max="8462" width="3.25" style="49" customWidth="1"/>
    <col min="8463" max="8703" width="8.9140625" style="49"/>
    <col min="8704" max="8704" width="6.75" style="49" customWidth="1"/>
    <col min="8705" max="8705" width="6.58203125" style="49" customWidth="1"/>
    <col min="8706" max="8717" width="4.58203125" style="49" customWidth="1"/>
    <col min="8718" max="8718" width="3.25" style="49" customWidth="1"/>
    <col min="8719" max="8959" width="8.9140625" style="49"/>
    <col min="8960" max="8960" width="6.75" style="49" customWidth="1"/>
    <col min="8961" max="8961" width="6.58203125" style="49" customWidth="1"/>
    <col min="8962" max="8973" width="4.58203125" style="49" customWidth="1"/>
    <col min="8974" max="8974" width="3.25" style="49" customWidth="1"/>
    <col min="8975" max="9215" width="8.9140625" style="49"/>
    <col min="9216" max="9216" width="6.75" style="49" customWidth="1"/>
    <col min="9217" max="9217" width="6.58203125" style="49" customWidth="1"/>
    <col min="9218" max="9229" width="4.58203125" style="49" customWidth="1"/>
    <col min="9230" max="9230" width="3.25" style="49" customWidth="1"/>
    <col min="9231" max="9471" width="8.9140625" style="49"/>
    <col min="9472" max="9472" width="6.75" style="49" customWidth="1"/>
    <col min="9473" max="9473" width="6.58203125" style="49" customWidth="1"/>
    <col min="9474" max="9485" width="4.58203125" style="49" customWidth="1"/>
    <col min="9486" max="9486" width="3.25" style="49" customWidth="1"/>
    <col min="9487" max="9727" width="8.9140625" style="49"/>
    <col min="9728" max="9728" width="6.75" style="49" customWidth="1"/>
    <col min="9729" max="9729" width="6.58203125" style="49" customWidth="1"/>
    <col min="9730" max="9741" width="4.58203125" style="49" customWidth="1"/>
    <col min="9742" max="9742" width="3.25" style="49" customWidth="1"/>
    <col min="9743" max="9983" width="8.9140625" style="49"/>
    <col min="9984" max="9984" width="6.75" style="49" customWidth="1"/>
    <col min="9985" max="9985" width="6.58203125" style="49" customWidth="1"/>
    <col min="9986" max="9997" width="4.58203125" style="49" customWidth="1"/>
    <col min="9998" max="9998" width="3.25" style="49" customWidth="1"/>
    <col min="9999" max="10239" width="8.9140625" style="49"/>
    <col min="10240" max="10240" width="6.75" style="49" customWidth="1"/>
    <col min="10241" max="10241" width="6.58203125" style="49" customWidth="1"/>
    <col min="10242" max="10253" width="4.58203125" style="49" customWidth="1"/>
    <col min="10254" max="10254" width="3.25" style="49" customWidth="1"/>
    <col min="10255" max="10495" width="8.9140625" style="49"/>
    <col min="10496" max="10496" width="6.75" style="49" customWidth="1"/>
    <col min="10497" max="10497" width="6.58203125" style="49" customWidth="1"/>
    <col min="10498" max="10509" width="4.58203125" style="49" customWidth="1"/>
    <col min="10510" max="10510" width="3.25" style="49" customWidth="1"/>
    <col min="10511" max="10751" width="8.9140625" style="49"/>
    <col min="10752" max="10752" width="6.75" style="49" customWidth="1"/>
    <col min="10753" max="10753" width="6.58203125" style="49" customWidth="1"/>
    <col min="10754" max="10765" width="4.58203125" style="49" customWidth="1"/>
    <col min="10766" max="10766" width="3.25" style="49" customWidth="1"/>
    <col min="10767" max="11007" width="8.9140625" style="49"/>
    <col min="11008" max="11008" width="6.75" style="49" customWidth="1"/>
    <col min="11009" max="11009" width="6.58203125" style="49" customWidth="1"/>
    <col min="11010" max="11021" width="4.58203125" style="49" customWidth="1"/>
    <col min="11022" max="11022" width="3.25" style="49" customWidth="1"/>
    <col min="11023" max="11263" width="8.9140625" style="49"/>
    <col min="11264" max="11264" width="6.75" style="49" customWidth="1"/>
    <col min="11265" max="11265" width="6.58203125" style="49" customWidth="1"/>
    <col min="11266" max="11277" width="4.58203125" style="49" customWidth="1"/>
    <col min="11278" max="11278" width="3.25" style="49" customWidth="1"/>
    <col min="11279" max="11519" width="8.9140625" style="49"/>
    <col min="11520" max="11520" width="6.75" style="49" customWidth="1"/>
    <col min="11521" max="11521" width="6.58203125" style="49" customWidth="1"/>
    <col min="11522" max="11533" width="4.58203125" style="49" customWidth="1"/>
    <col min="11534" max="11534" width="3.25" style="49" customWidth="1"/>
    <col min="11535" max="11775" width="8.9140625" style="49"/>
    <col min="11776" max="11776" width="6.75" style="49" customWidth="1"/>
    <col min="11777" max="11777" width="6.58203125" style="49" customWidth="1"/>
    <col min="11778" max="11789" width="4.58203125" style="49" customWidth="1"/>
    <col min="11790" max="11790" width="3.25" style="49" customWidth="1"/>
    <col min="11791" max="12031" width="8.9140625" style="49"/>
    <col min="12032" max="12032" width="6.75" style="49" customWidth="1"/>
    <col min="12033" max="12033" width="6.58203125" style="49" customWidth="1"/>
    <col min="12034" max="12045" width="4.58203125" style="49" customWidth="1"/>
    <col min="12046" max="12046" width="3.25" style="49" customWidth="1"/>
    <col min="12047" max="12287" width="8.9140625" style="49"/>
    <col min="12288" max="12288" width="6.75" style="49" customWidth="1"/>
    <col min="12289" max="12289" width="6.58203125" style="49" customWidth="1"/>
    <col min="12290" max="12301" width="4.58203125" style="49" customWidth="1"/>
    <col min="12302" max="12302" width="3.25" style="49" customWidth="1"/>
    <col min="12303" max="12543" width="8.9140625" style="49"/>
    <col min="12544" max="12544" width="6.75" style="49" customWidth="1"/>
    <col min="12545" max="12545" width="6.58203125" style="49" customWidth="1"/>
    <col min="12546" max="12557" width="4.58203125" style="49" customWidth="1"/>
    <col min="12558" max="12558" width="3.25" style="49" customWidth="1"/>
    <col min="12559" max="12799" width="8.9140625" style="49"/>
    <col min="12800" max="12800" width="6.75" style="49" customWidth="1"/>
    <col min="12801" max="12801" width="6.58203125" style="49" customWidth="1"/>
    <col min="12802" max="12813" width="4.58203125" style="49" customWidth="1"/>
    <col min="12814" max="12814" width="3.25" style="49" customWidth="1"/>
    <col min="12815" max="13055" width="8.9140625" style="49"/>
    <col min="13056" max="13056" width="6.75" style="49" customWidth="1"/>
    <col min="13057" max="13057" width="6.58203125" style="49" customWidth="1"/>
    <col min="13058" max="13069" width="4.58203125" style="49" customWidth="1"/>
    <col min="13070" max="13070" width="3.25" style="49" customWidth="1"/>
    <col min="13071" max="13311" width="8.9140625" style="49"/>
    <col min="13312" max="13312" width="6.75" style="49" customWidth="1"/>
    <col min="13313" max="13313" width="6.58203125" style="49" customWidth="1"/>
    <col min="13314" max="13325" width="4.58203125" style="49" customWidth="1"/>
    <col min="13326" max="13326" width="3.25" style="49" customWidth="1"/>
    <col min="13327" max="13567" width="8.9140625" style="49"/>
    <col min="13568" max="13568" width="6.75" style="49" customWidth="1"/>
    <col min="13569" max="13569" width="6.58203125" style="49" customWidth="1"/>
    <col min="13570" max="13581" width="4.58203125" style="49" customWidth="1"/>
    <col min="13582" max="13582" width="3.25" style="49" customWidth="1"/>
    <col min="13583" max="13823" width="8.9140625" style="49"/>
    <col min="13824" max="13824" width="6.75" style="49" customWidth="1"/>
    <col min="13825" max="13825" width="6.58203125" style="49" customWidth="1"/>
    <col min="13826" max="13837" width="4.58203125" style="49" customWidth="1"/>
    <col min="13838" max="13838" width="3.25" style="49" customWidth="1"/>
    <col min="13839" max="14079" width="8.9140625" style="49"/>
    <col min="14080" max="14080" width="6.75" style="49" customWidth="1"/>
    <col min="14081" max="14081" width="6.58203125" style="49" customWidth="1"/>
    <col min="14082" max="14093" width="4.58203125" style="49" customWidth="1"/>
    <col min="14094" max="14094" width="3.25" style="49" customWidth="1"/>
    <col min="14095" max="14335" width="8.9140625" style="49"/>
    <col min="14336" max="14336" width="6.75" style="49" customWidth="1"/>
    <col min="14337" max="14337" width="6.58203125" style="49" customWidth="1"/>
    <col min="14338" max="14349" width="4.58203125" style="49" customWidth="1"/>
    <col min="14350" max="14350" width="3.25" style="49" customWidth="1"/>
    <col min="14351" max="14591" width="8.9140625" style="49"/>
    <col min="14592" max="14592" width="6.75" style="49" customWidth="1"/>
    <col min="14593" max="14593" width="6.58203125" style="49" customWidth="1"/>
    <col min="14594" max="14605" width="4.58203125" style="49" customWidth="1"/>
    <col min="14606" max="14606" width="3.25" style="49" customWidth="1"/>
    <col min="14607" max="14847" width="8.9140625" style="49"/>
    <col min="14848" max="14848" width="6.75" style="49" customWidth="1"/>
    <col min="14849" max="14849" width="6.58203125" style="49" customWidth="1"/>
    <col min="14850" max="14861" width="4.58203125" style="49" customWidth="1"/>
    <col min="14862" max="14862" width="3.25" style="49" customWidth="1"/>
    <col min="14863" max="15103" width="8.9140625" style="49"/>
    <col min="15104" max="15104" width="6.75" style="49" customWidth="1"/>
    <col min="15105" max="15105" width="6.58203125" style="49" customWidth="1"/>
    <col min="15106" max="15117" width="4.58203125" style="49" customWidth="1"/>
    <col min="15118" max="15118" width="3.25" style="49" customWidth="1"/>
    <col min="15119" max="15359" width="8.9140625" style="49"/>
    <col min="15360" max="15360" width="6.75" style="49" customWidth="1"/>
    <col min="15361" max="15361" width="6.58203125" style="49" customWidth="1"/>
    <col min="15362" max="15373" width="4.58203125" style="49" customWidth="1"/>
    <col min="15374" max="15374" width="3.25" style="49" customWidth="1"/>
    <col min="15375" max="15615" width="8.9140625" style="49"/>
    <col min="15616" max="15616" width="6.75" style="49" customWidth="1"/>
    <col min="15617" max="15617" width="6.58203125" style="49" customWidth="1"/>
    <col min="15618" max="15629" width="4.58203125" style="49" customWidth="1"/>
    <col min="15630" max="15630" width="3.25" style="49" customWidth="1"/>
    <col min="15631" max="15871" width="8.9140625" style="49"/>
    <col min="15872" max="15872" width="6.75" style="49" customWidth="1"/>
    <col min="15873" max="15873" width="6.58203125" style="49" customWidth="1"/>
    <col min="15874" max="15885" width="4.58203125" style="49" customWidth="1"/>
    <col min="15886" max="15886" width="3.25" style="49" customWidth="1"/>
    <col min="15887" max="16127" width="8.9140625" style="49"/>
    <col min="16128" max="16128" width="6.75" style="49" customWidth="1"/>
    <col min="16129" max="16129" width="6.58203125" style="49" customWidth="1"/>
    <col min="16130" max="16141" width="4.58203125" style="49" customWidth="1"/>
    <col min="16142" max="16142" width="3.25" style="49" customWidth="1"/>
    <col min="16143" max="16383" width="8.9140625" style="49"/>
    <col min="16384" max="16384" width="8.9140625" style="49" customWidth="1"/>
  </cols>
  <sheetData>
    <row r="1" spans="1:15" ht="19.2" customHeight="1" thickBot="1">
      <c r="A1" s="125" t="s">
        <v>13</v>
      </c>
      <c r="B1" s="126" t="s">
        <v>117</v>
      </c>
      <c r="C1" s="126" t="s">
        <v>118</v>
      </c>
      <c r="D1" s="126" t="s">
        <v>119</v>
      </c>
      <c r="E1" s="126" t="s">
        <v>120</v>
      </c>
      <c r="F1" s="126" t="s">
        <v>121</v>
      </c>
      <c r="G1" s="126" t="s">
        <v>122</v>
      </c>
      <c r="H1" s="126" t="s">
        <v>123</v>
      </c>
      <c r="I1" s="126" t="s">
        <v>124</v>
      </c>
      <c r="J1" s="126" t="s">
        <v>125</v>
      </c>
      <c r="K1" s="126" t="s">
        <v>126</v>
      </c>
      <c r="L1" s="126" t="s">
        <v>127</v>
      </c>
      <c r="M1" s="126" t="s">
        <v>128</v>
      </c>
      <c r="N1" s="126" t="s">
        <v>129</v>
      </c>
      <c r="O1" s="127" t="s">
        <v>158</v>
      </c>
    </row>
    <row r="2" spans="1:15" ht="16.95" customHeight="1">
      <c r="A2" s="176" t="s">
        <v>138</v>
      </c>
      <c r="B2" s="46" t="s">
        <v>130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1">
        <f t="shared" ref="O2:O22" si="0">SUM(C2:N2)</f>
        <v>0</v>
      </c>
    </row>
    <row r="3" spans="1:15" ht="16.95" customHeight="1">
      <c r="A3" s="177"/>
      <c r="B3" s="47" t="s">
        <v>131</v>
      </c>
      <c r="C3" s="52"/>
      <c r="D3" s="52"/>
      <c r="E3" s="52"/>
      <c r="F3" s="52"/>
      <c r="G3" s="52"/>
      <c r="H3" s="52"/>
      <c r="I3" s="52"/>
      <c r="J3" s="52"/>
      <c r="K3" s="52"/>
      <c r="L3" s="52"/>
      <c r="M3" s="52"/>
      <c r="N3" s="52"/>
      <c r="O3" s="53">
        <f t="shared" si="0"/>
        <v>0</v>
      </c>
    </row>
    <row r="4" spans="1:15" ht="16.95" customHeight="1" thickBot="1">
      <c r="A4" s="178"/>
      <c r="B4" s="48" t="s">
        <v>132</v>
      </c>
      <c r="C4" s="54">
        <v>1</v>
      </c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5">
        <f t="shared" si="0"/>
        <v>1</v>
      </c>
    </row>
    <row r="5" spans="1:15" ht="16.95" customHeight="1">
      <c r="A5" s="176" t="s">
        <v>139</v>
      </c>
      <c r="B5" s="46" t="s">
        <v>133</v>
      </c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1">
        <f t="shared" si="0"/>
        <v>0</v>
      </c>
    </row>
    <row r="6" spans="1:15" ht="16.95" customHeight="1">
      <c r="A6" s="177"/>
      <c r="B6" s="47" t="s">
        <v>134</v>
      </c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3">
        <f t="shared" si="0"/>
        <v>0</v>
      </c>
    </row>
    <row r="7" spans="1:15" ht="16.95" customHeight="1" thickBot="1">
      <c r="A7" s="178"/>
      <c r="B7" s="48" t="s">
        <v>135</v>
      </c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5">
        <f t="shared" si="0"/>
        <v>0</v>
      </c>
    </row>
    <row r="8" spans="1:15" ht="16.95" customHeight="1">
      <c r="A8" s="179" t="s">
        <v>140</v>
      </c>
      <c r="B8" s="64" t="s">
        <v>136</v>
      </c>
      <c r="C8" s="56"/>
      <c r="D8" s="56">
        <v>1</v>
      </c>
      <c r="E8" s="56"/>
      <c r="F8" s="56"/>
      <c r="G8" s="56"/>
      <c r="H8" s="56"/>
      <c r="I8" s="56"/>
      <c r="J8" s="56"/>
      <c r="K8" s="56"/>
      <c r="L8" s="56"/>
      <c r="M8" s="56"/>
      <c r="N8" s="56"/>
      <c r="O8" s="57">
        <f t="shared" si="0"/>
        <v>1</v>
      </c>
    </row>
    <row r="9" spans="1:15" ht="16.95" customHeight="1">
      <c r="A9" s="177"/>
      <c r="B9" s="47" t="s">
        <v>134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3">
        <f t="shared" si="0"/>
        <v>0</v>
      </c>
    </row>
    <row r="10" spans="1:15" ht="16.95" customHeight="1" thickBot="1">
      <c r="A10" s="180"/>
      <c r="B10" s="66" t="s">
        <v>132</v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9">
        <f t="shared" si="0"/>
        <v>0</v>
      </c>
    </row>
    <row r="11" spans="1:15" ht="16.95" customHeight="1">
      <c r="A11" s="176" t="s">
        <v>141</v>
      </c>
      <c r="B11" s="46" t="s">
        <v>130</v>
      </c>
      <c r="C11" s="50"/>
      <c r="D11" s="50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1">
        <f t="shared" si="0"/>
        <v>0</v>
      </c>
    </row>
    <row r="12" spans="1:15" ht="16.95" customHeight="1">
      <c r="A12" s="177"/>
      <c r="B12" s="47" t="s">
        <v>131</v>
      </c>
      <c r="C12" s="52"/>
      <c r="D12" s="52"/>
      <c r="E12" s="52"/>
      <c r="F12" s="52"/>
      <c r="G12" s="52"/>
      <c r="H12" s="52"/>
      <c r="I12" s="52"/>
      <c r="J12" s="52"/>
      <c r="K12" s="52"/>
      <c r="L12" s="52"/>
      <c r="M12" s="52"/>
      <c r="N12" s="52"/>
      <c r="O12" s="53">
        <f t="shared" si="0"/>
        <v>0</v>
      </c>
    </row>
    <row r="13" spans="1:15" ht="16.95" customHeight="1" thickBot="1">
      <c r="A13" s="180"/>
      <c r="B13" s="66" t="s">
        <v>132</v>
      </c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9">
        <f t="shared" si="0"/>
        <v>0</v>
      </c>
    </row>
    <row r="14" spans="1:15" ht="16.95" customHeight="1">
      <c r="A14" s="176" t="s">
        <v>142</v>
      </c>
      <c r="B14" s="46" t="s">
        <v>136</v>
      </c>
      <c r="C14" s="50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1">
        <f t="shared" si="0"/>
        <v>0</v>
      </c>
    </row>
    <row r="15" spans="1:15" ht="16.95" customHeight="1">
      <c r="A15" s="177"/>
      <c r="B15" s="47" t="s">
        <v>131</v>
      </c>
      <c r="C15" s="52"/>
      <c r="D15" s="52"/>
      <c r="E15" s="52"/>
      <c r="F15" s="52"/>
      <c r="G15" s="52"/>
      <c r="H15" s="52"/>
      <c r="I15" s="52"/>
      <c r="J15" s="52"/>
      <c r="K15" s="52"/>
      <c r="L15" s="52"/>
      <c r="M15" s="52"/>
      <c r="N15" s="52"/>
      <c r="O15" s="53">
        <f t="shared" si="0"/>
        <v>0</v>
      </c>
    </row>
    <row r="16" spans="1:15" ht="16.95" customHeight="1" thickBot="1">
      <c r="A16" s="178"/>
      <c r="B16" s="48" t="s">
        <v>137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5">
        <f t="shared" si="0"/>
        <v>0</v>
      </c>
    </row>
    <row r="17" spans="1:15" ht="16.95" customHeight="1">
      <c r="A17" s="179" t="s">
        <v>143</v>
      </c>
      <c r="B17" s="64" t="s">
        <v>136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7">
        <f t="shared" si="0"/>
        <v>0</v>
      </c>
    </row>
    <row r="18" spans="1:15" ht="16.95" customHeight="1">
      <c r="A18" s="177"/>
      <c r="B18" s="47" t="s">
        <v>131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3">
        <f t="shared" si="0"/>
        <v>0</v>
      </c>
    </row>
    <row r="19" spans="1:15" ht="16.95" customHeight="1" thickBot="1">
      <c r="A19" s="180"/>
      <c r="B19" s="66" t="s">
        <v>137</v>
      </c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/>
      <c r="O19" s="59">
        <f t="shared" si="0"/>
        <v>0</v>
      </c>
    </row>
    <row r="20" spans="1:15" ht="16.95" customHeight="1">
      <c r="A20" s="176" t="s">
        <v>144</v>
      </c>
      <c r="B20" s="46" t="s">
        <v>136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1">
        <f t="shared" si="0"/>
        <v>0</v>
      </c>
    </row>
    <row r="21" spans="1:15" ht="16.95" customHeight="1">
      <c r="A21" s="177"/>
      <c r="B21" s="47" t="s">
        <v>131</v>
      </c>
      <c r="C21" s="52"/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3">
        <f t="shared" si="0"/>
        <v>0</v>
      </c>
    </row>
    <row r="22" spans="1:15" ht="16.95" customHeight="1" thickBot="1">
      <c r="A22" s="178"/>
      <c r="B22" s="48" t="s">
        <v>137</v>
      </c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5">
        <f t="shared" si="0"/>
        <v>0</v>
      </c>
    </row>
  </sheetData>
  <mergeCells count="7">
    <mergeCell ref="A20:A22"/>
    <mergeCell ref="A2:A4"/>
    <mergeCell ref="A5:A7"/>
    <mergeCell ref="A8:A10"/>
    <mergeCell ref="A11:A13"/>
    <mergeCell ref="A14:A16"/>
    <mergeCell ref="A17:A19"/>
  </mergeCells>
  <phoneticPr fontId="2" type="noConversion"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V43"/>
  <sheetViews>
    <sheetView zoomScale="70" zoomScaleNormal="70" workbookViewId="0">
      <selection activeCell="X23" sqref="X23"/>
    </sheetView>
  </sheetViews>
  <sheetFormatPr defaultRowHeight="15.6"/>
  <cols>
    <col min="1" max="1" width="19.4140625" customWidth="1"/>
    <col min="2" max="3" width="6.58203125" customWidth="1"/>
    <col min="4" max="4" width="1.58203125" customWidth="1"/>
    <col min="5" max="8" width="6.58203125" customWidth="1"/>
    <col min="9" max="9" width="1.58203125" customWidth="1"/>
    <col min="10" max="20" width="6.58203125" customWidth="1"/>
    <col min="21" max="21" width="6.58203125" style="2" customWidth="1"/>
    <col min="22" max="22" width="7.58203125" customWidth="1"/>
  </cols>
  <sheetData>
    <row r="1" spans="1:22" ht="33.6" customHeight="1">
      <c r="A1" s="44"/>
      <c r="B1" s="36" t="s">
        <v>157</v>
      </c>
      <c r="C1" s="36" t="s">
        <v>158</v>
      </c>
      <c r="D1" s="36"/>
      <c r="E1" s="36" t="s">
        <v>101</v>
      </c>
      <c r="F1" s="36" t="s">
        <v>102</v>
      </c>
      <c r="G1" s="36" t="s">
        <v>103</v>
      </c>
      <c r="H1" s="36" t="s">
        <v>104</v>
      </c>
      <c r="I1" s="36"/>
      <c r="J1" s="36" t="s">
        <v>166</v>
      </c>
      <c r="K1" s="36" t="s">
        <v>167</v>
      </c>
      <c r="L1" s="36" t="s">
        <v>168</v>
      </c>
      <c r="M1" s="36" t="s">
        <v>169</v>
      </c>
      <c r="N1" s="142" t="s">
        <v>170</v>
      </c>
      <c r="O1" s="142" t="s">
        <v>171</v>
      </c>
      <c r="P1" s="36" t="s">
        <v>172</v>
      </c>
      <c r="Q1" s="36" t="s">
        <v>173</v>
      </c>
      <c r="R1" s="36" t="s">
        <v>174</v>
      </c>
      <c r="S1" s="36" t="s">
        <v>175</v>
      </c>
      <c r="T1" s="36" t="s">
        <v>176</v>
      </c>
      <c r="U1" s="36" t="s">
        <v>177</v>
      </c>
    </row>
    <row r="2" spans="1:22" s="2" customFormat="1" ht="31.2" customHeight="1">
      <c r="A2" s="36" t="s">
        <v>188</v>
      </c>
      <c r="B2" s="30">
        <v>0.90900000000000003</v>
      </c>
      <c r="C2" s="30">
        <f>AVERAGE(J2:U2)</f>
        <v>0.92900000000000005</v>
      </c>
      <c r="D2" s="30"/>
      <c r="E2" s="30">
        <f>AVERAGE(J2:L2)</f>
        <v>0.92900000000000005</v>
      </c>
      <c r="F2" s="1"/>
      <c r="G2" s="1"/>
      <c r="H2" s="1"/>
      <c r="I2" s="30"/>
      <c r="J2" s="30">
        <v>0.92300000000000004</v>
      </c>
      <c r="K2" s="34">
        <v>0.93500000000000005</v>
      </c>
      <c r="L2" s="30"/>
      <c r="M2" s="30"/>
      <c r="N2" s="30"/>
      <c r="O2" s="30"/>
      <c r="P2" s="30"/>
      <c r="Q2" s="30"/>
      <c r="R2" s="34"/>
      <c r="S2" s="34"/>
      <c r="T2" s="34"/>
      <c r="U2" s="34"/>
      <c r="V2" s="35"/>
    </row>
    <row r="3" spans="1:22" s="2" customFormat="1" ht="33.6" customHeight="1">
      <c r="A3" s="36" t="s">
        <v>105</v>
      </c>
      <c r="B3" s="30">
        <v>0.90600000000000003</v>
      </c>
      <c r="C3" s="30">
        <v>0.90600000000000003</v>
      </c>
      <c r="D3" s="30"/>
      <c r="E3" s="30">
        <v>0.90600000000000003</v>
      </c>
      <c r="F3" s="30">
        <v>0.90600000000000003</v>
      </c>
      <c r="G3" s="30">
        <v>0.90600000000000003</v>
      </c>
      <c r="H3" s="30">
        <v>0.90600000000000003</v>
      </c>
      <c r="I3" s="30"/>
      <c r="J3" s="30">
        <v>0.90600000000000003</v>
      </c>
      <c r="K3" s="30">
        <v>0.90600000000000003</v>
      </c>
      <c r="L3" s="30">
        <v>0.90600000000000003</v>
      </c>
      <c r="M3" s="30">
        <v>0.90600000000000003</v>
      </c>
      <c r="N3" s="30">
        <v>0.90600000000000003</v>
      </c>
      <c r="O3" s="30">
        <v>0.90600000000000003</v>
      </c>
      <c r="P3" s="30">
        <v>0.90600000000000003</v>
      </c>
      <c r="Q3" s="30">
        <v>0.90600000000000003</v>
      </c>
      <c r="R3" s="30">
        <v>0.90600000000000003</v>
      </c>
      <c r="S3" s="30">
        <v>0.90600000000000003</v>
      </c>
      <c r="T3" s="30">
        <v>0.90600000000000003</v>
      </c>
      <c r="U3" s="30">
        <v>0.90600000000000003</v>
      </c>
    </row>
    <row r="4" spans="1:22">
      <c r="B4" s="5"/>
      <c r="D4" s="4"/>
      <c r="E4" s="2"/>
      <c r="F4" s="2"/>
      <c r="G4" s="2"/>
      <c r="H4" s="2"/>
      <c r="I4" s="4"/>
      <c r="J4" s="4"/>
      <c r="K4" s="4"/>
      <c r="L4" s="4"/>
      <c r="M4" s="4"/>
      <c r="N4" s="9"/>
      <c r="O4" s="9"/>
      <c r="P4" s="9"/>
      <c r="Q4" s="9"/>
      <c r="R4" s="9"/>
      <c r="S4" s="9"/>
      <c r="T4" s="7"/>
      <c r="U4" s="10"/>
      <c r="V4" s="11"/>
    </row>
    <row r="5" spans="1:22">
      <c r="B5" s="5"/>
      <c r="C5" s="6"/>
      <c r="D5" s="6"/>
      <c r="E5" s="2"/>
      <c r="F5" s="2"/>
      <c r="G5" s="2"/>
      <c r="H5" s="2"/>
      <c r="I5" s="6"/>
      <c r="J5" s="6"/>
      <c r="K5" s="6"/>
      <c r="L5" s="2"/>
      <c r="M5" s="2"/>
      <c r="N5" s="7"/>
      <c r="O5" s="7"/>
      <c r="P5" s="7"/>
      <c r="Q5" s="7"/>
      <c r="R5" s="7"/>
      <c r="S5" s="7"/>
      <c r="T5" s="7"/>
      <c r="U5" s="8"/>
    </row>
    <row r="6" spans="1:22">
      <c r="T6" s="2"/>
    </row>
    <row r="7" spans="1:22">
      <c r="T7" s="2"/>
    </row>
    <row r="9" spans="1:22">
      <c r="T9" t="s">
        <v>161</v>
      </c>
    </row>
    <row r="11" spans="1:22">
      <c r="P11" s="32" t="s">
        <v>161</v>
      </c>
      <c r="Q11" s="32"/>
    </row>
    <row r="22" spans="1:21" ht="26.4" customHeight="1">
      <c r="A22" s="143" t="s">
        <v>186</v>
      </c>
      <c r="B22" s="36" t="s">
        <v>157</v>
      </c>
      <c r="C22" s="36" t="s">
        <v>158</v>
      </c>
      <c r="D22" s="36"/>
      <c r="E22" s="36" t="s">
        <v>0</v>
      </c>
      <c r="F22" s="36" t="s">
        <v>1</v>
      </c>
      <c r="G22" s="36" t="s">
        <v>2</v>
      </c>
      <c r="H22" s="36" t="s">
        <v>3</v>
      </c>
      <c r="I22" s="36"/>
      <c r="J22" s="36" t="s">
        <v>166</v>
      </c>
      <c r="K22" s="36" t="s">
        <v>167</v>
      </c>
      <c r="L22" s="36" t="s">
        <v>168</v>
      </c>
      <c r="M22" s="36" t="s">
        <v>169</v>
      </c>
      <c r="N22" s="142" t="s">
        <v>170</v>
      </c>
      <c r="O22" s="142" t="s">
        <v>171</v>
      </c>
      <c r="P22" s="36" t="s">
        <v>172</v>
      </c>
      <c r="Q22" s="36" t="s">
        <v>173</v>
      </c>
      <c r="R22" s="36" t="s">
        <v>174</v>
      </c>
      <c r="S22" s="36" t="s">
        <v>175</v>
      </c>
      <c r="T22" s="36" t="s">
        <v>176</v>
      </c>
      <c r="U22" s="36" t="s">
        <v>177</v>
      </c>
    </row>
    <row r="23" spans="1:21" ht="25.2" customHeight="1">
      <c r="A23" s="36" t="s">
        <v>106</v>
      </c>
      <c r="B23" s="34">
        <v>0.91600000000000004</v>
      </c>
      <c r="C23" s="30">
        <v>0.9</v>
      </c>
      <c r="D23" s="30"/>
      <c r="E23" s="34">
        <v>0.9</v>
      </c>
      <c r="F23" s="30"/>
      <c r="G23" s="30"/>
      <c r="H23" s="30"/>
      <c r="I23" s="30"/>
      <c r="J23" s="34">
        <v>0.90400000000000003</v>
      </c>
      <c r="K23" s="34">
        <v>0.89400000000000002</v>
      </c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5.2" customHeight="1">
      <c r="A24" s="36" t="s">
        <v>107</v>
      </c>
      <c r="B24" s="34">
        <v>0.87</v>
      </c>
      <c r="C24" s="30">
        <v>0.93100000000000005</v>
      </c>
      <c r="D24" s="30"/>
      <c r="E24" s="34">
        <v>0.93100000000000005</v>
      </c>
      <c r="F24" s="30"/>
      <c r="G24" s="30"/>
      <c r="H24" s="30"/>
      <c r="I24" s="30"/>
      <c r="J24" s="34">
        <v>0.90200000000000002</v>
      </c>
      <c r="K24" s="34">
        <v>0.96399999999999997</v>
      </c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25.2" customHeight="1">
      <c r="A25" s="36" t="s">
        <v>108</v>
      </c>
      <c r="B25" s="34">
        <v>0.91400000000000003</v>
      </c>
      <c r="C25" s="30">
        <v>0.93</v>
      </c>
      <c r="D25" s="30"/>
      <c r="E25" s="34">
        <v>0.93</v>
      </c>
      <c r="F25" s="30"/>
      <c r="G25" s="30"/>
      <c r="H25" s="30"/>
      <c r="I25" s="30"/>
      <c r="J25" s="34">
        <v>0.95199999999999996</v>
      </c>
      <c r="K25" s="34">
        <v>0.90500000000000003</v>
      </c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25.2" customHeight="1">
      <c r="A26" s="36" t="s">
        <v>109</v>
      </c>
      <c r="B26" s="34">
        <v>0.87</v>
      </c>
      <c r="C26" s="30">
        <v>0.92300000000000004</v>
      </c>
      <c r="D26" s="30"/>
      <c r="E26" s="34">
        <v>0.92300000000000004</v>
      </c>
      <c r="F26" s="30"/>
      <c r="G26" s="30"/>
      <c r="H26" s="30"/>
      <c r="I26" s="30"/>
      <c r="J26" s="34">
        <v>0.92500000000000004</v>
      </c>
      <c r="K26" s="34">
        <v>0.92200000000000004</v>
      </c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25.2" customHeight="1">
      <c r="A27" s="36" t="s">
        <v>110</v>
      </c>
      <c r="B27" s="34">
        <v>0.91700000000000004</v>
      </c>
      <c r="C27" s="30">
        <v>0.92700000000000005</v>
      </c>
      <c r="D27" s="30"/>
      <c r="E27" s="34">
        <v>0.92700000000000005</v>
      </c>
      <c r="F27" s="30"/>
      <c r="G27" s="30"/>
      <c r="H27" s="30"/>
      <c r="I27" s="30"/>
      <c r="J27" s="34">
        <v>0.91900000000000004</v>
      </c>
      <c r="K27" s="34">
        <v>0.93500000000000005</v>
      </c>
      <c r="L27" s="3"/>
      <c r="M27" s="3"/>
      <c r="N27" s="3"/>
      <c r="O27" s="3"/>
      <c r="P27" s="3"/>
      <c r="Q27" s="3"/>
      <c r="R27" s="3"/>
      <c r="S27" s="3"/>
      <c r="T27" s="3"/>
      <c r="U27" s="3"/>
    </row>
    <row r="28" spans="1:21" ht="25.2" customHeight="1">
      <c r="A28" s="36" t="s">
        <v>111</v>
      </c>
      <c r="B28" s="34">
        <v>0.94299999999999995</v>
      </c>
      <c r="C28" s="30">
        <v>0.94099999999999995</v>
      </c>
      <c r="D28" s="30"/>
      <c r="E28" s="34">
        <v>0.94099999999999995</v>
      </c>
      <c r="F28" s="30"/>
      <c r="G28" s="30"/>
      <c r="H28" s="30"/>
      <c r="I28" s="30"/>
      <c r="J28" s="34">
        <v>0.93300000000000005</v>
      </c>
      <c r="K28" s="34">
        <v>0.94899999999999995</v>
      </c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1" ht="25.2" customHeight="1">
      <c r="A29" s="36" t="s">
        <v>112</v>
      </c>
      <c r="B29" s="34">
        <v>0.93</v>
      </c>
      <c r="C29" s="30">
        <v>0.95</v>
      </c>
      <c r="D29" s="30"/>
      <c r="E29" s="34">
        <v>0.95</v>
      </c>
      <c r="F29" s="30"/>
      <c r="G29" s="30"/>
      <c r="H29" s="30"/>
      <c r="I29" s="30"/>
      <c r="J29" s="34">
        <v>0.92600000000000005</v>
      </c>
      <c r="K29" s="34">
        <v>0.97499999999999998</v>
      </c>
      <c r="L29" s="3"/>
      <c r="M29" s="3"/>
      <c r="N29" s="3"/>
      <c r="O29" s="3"/>
      <c r="P29" s="3"/>
      <c r="Q29" s="3"/>
      <c r="R29" s="3"/>
      <c r="S29" s="3"/>
      <c r="T29" s="3"/>
      <c r="U29" s="3"/>
    </row>
    <row r="30" spans="1:21" ht="25.2" customHeight="1">
      <c r="A30" s="36" t="s">
        <v>188</v>
      </c>
      <c r="B30" s="34">
        <v>0.90900000000000003</v>
      </c>
      <c r="C30" s="30">
        <v>0.92900000000000005</v>
      </c>
      <c r="D30" s="30"/>
      <c r="E30" s="34">
        <v>0.92900000000000005</v>
      </c>
      <c r="F30" s="30"/>
      <c r="G30" s="30"/>
      <c r="H30" s="30"/>
      <c r="I30" s="30"/>
      <c r="J30" s="34">
        <v>0.92300000000000004</v>
      </c>
      <c r="K30" s="34">
        <v>0.93500000000000005</v>
      </c>
      <c r="L30" s="3"/>
      <c r="M30" s="3"/>
      <c r="N30" s="3"/>
      <c r="O30" s="3"/>
      <c r="P30" s="3"/>
      <c r="Q30" s="3"/>
      <c r="R30" s="3"/>
      <c r="S30" s="3"/>
      <c r="T30" s="3"/>
      <c r="U30" s="3"/>
    </row>
    <row r="32" spans="1:21" ht="19.95" customHeight="1"/>
    <row r="33" spans="8:21" ht="19.95" customHeight="1">
      <c r="H33" s="2"/>
      <c r="U33"/>
    </row>
    <row r="34" spans="8:21" ht="19.95" customHeight="1">
      <c r="U34"/>
    </row>
    <row r="35" spans="8:21" ht="19.95" customHeight="1">
      <c r="U35"/>
    </row>
    <row r="36" spans="8:21" ht="19.95" customHeight="1">
      <c r="U36"/>
    </row>
    <row r="37" spans="8:21" ht="19.95" customHeight="1">
      <c r="U37"/>
    </row>
    <row r="38" spans="8:21" ht="19.95" customHeight="1">
      <c r="U38"/>
    </row>
    <row r="39" spans="8:21" ht="19.95" customHeight="1">
      <c r="U39"/>
    </row>
    <row r="40" spans="8:21" ht="19.95" customHeight="1">
      <c r="U40"/>
    </row>
    <row r="41" spans="8:21" ht="19.95" customHeight="1">
      <c r="U41"/>
    </row>
    <row r="42" spans="8:21" ht="19.95" customHeight="1">
      <c r="U42"/>
    </row>
    <row r="43" spans="8:21">
      <c r="J43" s="2"/>
      <c r="U43"/>
    </row>
  </sheetData>
  <phoneticPr fontId="2" type="noConversion"/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工作表11"/>
  <dimension ref="A1:J10"/>
  <sheetViews>
    <sheetView workbookViewId="0">
      <selection activeCell="L16" sqref="L16"/>
    </sheetView>
  </sheetViews>
  <sheetFormatPr defaultRowHeight="15.6"/>
  <cols>
    <col min="1" max="1" width="18.9140625" customWidth="1"/>
    <col min="2" max="7" width="9.9140625" customWidth="1"/>
    <col min="8" max="8" width="10.83203125" customWidth="1"/>
    <col min="9" max="10" width="9.9140625" customWidth="1"/>
  </cols>
  <sheetData>
    <row r="1" spans="1:10">
      <c r="A1" s="36" t="s">
        <v>94</v>
      </c>
      <c r="B1" s="37" t="s">
        <v>95</v>
      </c>
      <c r="C1" s="37" t="s">
        <v>113</v>
      </c>
      <c r="D1" s="36" t="s">
        <v>100</v>
      </c>
      <c r="E1" s="36" t="s">
        <v>153</v>
      </c>
      <c r="F1" s="36" t="s">
        <v>114</v>
      </c>
      <c r="G1" s="36" t="s">
        <v>154</v>
      </c>
      <c r="H1" s="36" t="s">
        <v>152</v>
      </c>
      <c r="I1" s="37" t="s">
        <v>155</v>
      </c>
      <c r="J1" s="37" t="s">
        <v>156</v>
      </c>
    </row>
    <row r="2" spans="1:10">
      <c r="A2" s="31" t="s">
        <v>189</v>
      </c>
      <c r="B2" s="163" t="s">
        <v>161</v>
      </c>
      <c r="C2" s="163">
        <v>45511</v>
      </c>
      <c r="D2" s="163">
        <v>45510</v>
      </c>
      <c r="E2" s="163"/>
      <c r="F2" s="163"/>
      <c r="G2" s="163"/>
      <c r="H2" s="163">
        <v>45645</v>
      </c>
      <c r="I2" s="163" t="s">
        <v>161</v>
      </c>
      <c r="J2" s="163" t="s">
        <v>161</v>
      </c>
    </row>
    <row r="3" spans="1:10">
      <c r="A3" s="31" t="s">
        <v>190</v>
      </c>
      <c r="B3" s="29"/>
      <c r="C3" s="29" t="s">
        <v>192</v>
      </c>
      <c r="D3" s="29" t="s">
        <v>191</v>
      </c>
      <c r="E3" s="29"/>
      <c r="F3" s="29"/>
      <c r="G3" s="29"/>
      <c r="H3" s="29" t="s">
        <v>191</v>
      </c>
      <c r="I3" s="29"/>
      <c r="J3" s="29"/>
    </row>
    <row r="8" spans="1:10">
      <c r="A8" s="36" t="s">
        <v>94</v>
      </c>
      <c r="B8" s="37" t="s">
        <v>95</v>
      </c>
      <c r="C8" s="37" t="s">
        <v>113</v>
      </c>
      <c r="D8" s="36" t="s">
        <v>100</v>
      </c>
      <c r="E8" s="36" t="s">
        <v>153</v>
      </c>
      <c r="F8" s="36" t="s">
        <v>114</v>
      </c>
      <c r="G8" s="36" t="s">
        <v>154</v>
      </c>
      <c r="H8" s="36" t="s">
        <v>152</v>
      </c>
      <c r="I8" s="37" t="s">
        <v>155</v>
      </c>
      <c r="J8" s="37" t="s">
        <v>156</v>
      </c>
    </row>
    <row r="9" spans="1:10">
      <c r="A9" s="31" t="s">
        <v>115</v>
      </c>
      <c r="B9" s="163"/>
      <c r="C9" s="163" t="s">
        <v>161</v>
      </c>
      <c r="D9" s="163">
        <v>45510</v>
      </c>
      <c r="E9" s="163"/>
      <c r="F9" s="163"/>
      <c r="G9" s="163"/>
      <c r="H9" s="163">
        <v>45645</v>
      </c>
      <c r="I9" s="163"/>
      <c r="J9" s="163"/>
    </row>
    <row r="10" spans="1:10">
      <c r="A10" s="31" t="s">
        <v>116</v>
      </c>
      <c r="B10" s="29"/>
      <c r="C10" s="29" t="s">
        <v>161</v>
      </c>
      <c r="D10" s="29" t="s">
        <v>191</v>
      </c>
      <c r="E10" s="29"/>
      <c r="F10" s="29"/>
      <c r="G10" s="29"/>
      <c r="H10" s="29"/>
      <c r="I10" s="29"/>
      <c r="J10" s="29"/>
    </row>
  </sheetData>
  <phoneticPr fontId="2" type="noConversion"/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工作表6"/>
  <dimension ref="A1:N52"/>
  <sheetViews>
    <sheetView workbookViewId="0">
      <selection activeCell="N16" sqref="N16"/>
    </sheetView>
  </sheetViews>
  <sheetFormatPr defaultColWidth="8.6640625" defaultRowHeight="13.8"/>
  <cols>
    <col min="1" max="1" width="13.4140625" style="97" bestFit="1" customWidth="1"/>
    <col min="2" max="2" width="11" style="97" bestFit="1" customWidth="1"/>
    <col min="3" max="6" width="10.25" style="97" bestFit="1" customWidth="1"/>
    <col min="7" max="7" width="9.25" style="97" bestFit="1" customWidth="1"/>
    <col min="8" max="16384" width="8.6640625" style="97"/>
  </cols>
  <sheetData>
    <row r="1" spans="1:14">
      <c r="A1" s="94"/>
      <c r="B1" s="95">
        <v>1</v>
      </c>
      <c r="C1" s="95">
        <v>2</v>
      </c>
      <c r="D1" s="95">
        <v>3</v>
      </c>
      <c r="E1" s="95">
        <v>4</v>
      </c>
      <c r="F1" s="95">
        <v>5</v>
      </c>
      <c r="G1" s="95">
        <v>6</v>
      </c>
      <c r="H1" s="95">
        <v>7</v>
      </c>
      <c r="I1" s="95">
        <v>8</v>
      </c>
      <c r="J1" s="95">
        <v>9</v>
      </c>
      <c r="K1" s="95">
        <v>10</v>
      </c>
      <c r="L1" s="95">
        <v>11</v>
      </c>
      <c r="M1" s="96">
        <v>12</v>
      </c>
    </row>
    <row r="2" spans="1:14">
      <c r="A2" s="98" t="s">
        <v>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100"/>
    </row>
    <row r="3" spans="1:14">
      <c r="A3" s="98" t="s">
        <v>5</v>
      </c>
      <c r="B3" s="99"/>
      <c r="C3" s="99"/>
      <c r="D3" s="99"/>
      <c r="E3" s="99"/>
      <c r="F3" s="99"/>
      <c r="G3" s="99"/>
      <c r="H3" s="99"/>
      <c r="I3" s="99"/>
      <c r="J3" s="99"/>
      <c r="K3" s="99"/>
      <c r="L3" s="99"/>
      <c r="M3" s="100"/>
    </row>
    <row r="4" spans="1:14">
      <c r="A4" s="98" t="s">
        <v>6</v>
      </c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  <c r="M4" s="100"/>
    </row>
    <row r="5" spans="1:14">
      <c r="A5" s="98" t="s">
        <v>7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100"/>
    </row>
    <row r="6" spans="1:14">
      <c r="A6" s="98" t="s">
        <v>8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100"/>
    </row>
    <row r="7" spans="1:14">
      <c r="A7" s="98" t="s">
        <v>9</v>
      </c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100"/>
    </row>
    <row r="8" spans="1:14">
      <c r="A8" s="98" t="s">
        <v>10</v>
      </c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100"/>
    </row>
    <row r="9" spans="1:14" ht="14.4" thickBot="1">
      <c r="A9" s="101" t="s">
        <v>11</v>
      </c>
      <c r="B9" s="102" t="str">
        <f t="shared" ref="B9:M9" si="0">IF(SUM(B2:B8)=0,"",SUM(B2:B8))</f>
        <v/>
      </c>
      <c r="C9" s="102" t="str">
        <f t="shared" si="0"/>
        <v/>
      </c>
      <c r="D9" s="102" t="str">
        <f t="shared" si="0"/>
        <v/>
      </c>
      <c r="E9" s="102" t="str">
        <f t="shared" si="0"/>
        <v/>
      </c>
      <c r="F9" s="102" t="str">
        <f t="shared" si="0"/>
        <v/>
      </c>
      <c r="G9" s="102" t="str">
        <f t="shared" si="0"/>
        <v/>
      </c>
      <c r="H9" s="102" t="str">
        <f t="shared" si="0"/>
        <v/>
      </c>
      <c r="I9" s="102" t="str">
        <f t="shared" si="0"/>
        <v/>
      </c>
      <c r="J9" s="102" t="str">
        <f t="shared" si="0"/>
        <v/>
      </c>
      <c r="K9" s="102" t="str">
        <f t="shared" si="0"/>
        <v/>
      </c>
      <c r="L9" s="102" t="str">
        <f t="shared" si="0"/>
        <v/>
      </c>
      <c r="M9" s="103" t="str">
        <f t="shared" si="0"/>
        <v/>
      </c>
    </row>
    <row r="10" spans="1:14" ht="14.4" thickTop="1">
      <c r="A10" s="104" t="s">
        <v>45</v>
      </c>
      <c r="B10" s="99">
        <v>582</v>
      </c>
      <c r="C10" s="99">
        <v>592</v>
      </c>
      <c r="D10" s="99">
        <v>806</v>
      </c>
      <c r="E10" s="99">
        <v>476</v>
      </c>
      <c r="F10" s="99"/>
      <c r="G10" s="99"/>
      <c r="H10" s="99"/>
      <c r="I10" s="99"/>
      <c r="J10" s="99"/>
      <c r="K10" s="99"/>
      <c r="L10" s="99"/>
      <c r="M10" s="100"/>
      <c r="N10" s="105"/>
    </row>
    <row r="11" spans="1:14" ht="14.4" thickBot="1">
      <c r="A11" s="106" t="s">
        <v>44</v>
      </c>
      <c r="B11" s="107">
        <v>3.3999999999999998E-3</v>
      </c>
      <c r="C11" s="107">
        <v>6.7999999999999996E-3</v>
      </c>
      <c r="D11" s="107">
        <v>1.1999999999999999E-3</v>
      </c>
      <c r="E11" s="108">
        <v>0.63</v>
      </c>
      <c r="F11" s="108"/>
      <c r="G11" s="108"/>
      <c r="H11" s="108"/>
      <c r="I11" s="107"/>
      <c r="J11" s="108"/>
      <c r="K11" s="108"/>
      <c r="L11" s="108"/>
      <c r="M11" s="109"/>
      <c r="N11" s="105"/>
    </row>
    <row r="12" spans="1:14">
      <c r="A12" s="94"/>
      <c r="B12" s="95">
        <v>1</v>
      </c>
      <c r="C12" s="95">
        <v>2</v>
      </c>
      <c r="D12" s="95">
        <v>3</v>
      </c>
      <c r="E12" s="95">
        <v>4</v>
      </c>
      <c r="F12" s="95">
        <v>5</v>
      </c>
      <c r="G12" s="95">
        <v>6</v>
      </c>
      <c r="H12" s="95">
        <v>7</v>
      </c>
      <c r="I12" s="95">
        <v>8</v>
      </c>
      <c r="J12" s="95">
        <v>9</v>
      </c>
      <c r="K12" s="95">
        <v>10</v>
      </c>
      <c r="L12" s="95">
        <v>11</v>
      </c>
      <c r="M12" s="96">
        <v>12</v>
      </c>
    </row>
    <row r="13" spans="1:14">
      <c r="A13" s="98" t="s">
        <v>4</v>
      </c>
      <c r="B13" s="99"/>
      <c r="C13" s="99">
        <v>1</v>
      </c>
      <c r="D13" s="99"/>
      <c r="E13" s="99"/>
      <c r="F13" s="99"/>
      <c r="G13" s="99"/>
      <c r="H13" s="99"/>
      <c r="I13" s="99"/>
      <c r="J13" s="99"/>
      <c r="K13" s="99"/>
      <c r="L13" s="99"/>
      <c r="M13" s="100"/>
    </row>
    <row r="14" spans="1:14">
      <c r="A14" s="98" t="s">
        <v>5</v>
      </c>
      <c r="B14" s="99"/>
      <c r="C14" s="99"/>
      <c r="D14" s="99">
        <v>1</v>
      </c>
      <c r="E14" s="99">
        <v>1</v>
      </c>
      <c r="F14" s="99"/>
      <c r="G14" s="99"/>
      <c r="H14" s="99"/>
      <c r="I14" s="99"/>
      <c r="J14" s="99"/>
      <c r="K14" s="99"/>
      <c r="L14" s="99"/>
      <c r="M14" s="100"/>
    </row>
    <row r="15" spans="1:14">
      <c r="A15" s="98" t="s">
        <v>6</v>
      </c>
      <c r="B15" s="99"/>
      <c r="C15" s="99">
        <v>1</v>
      </c>
      <c r="D15" s="99"/>
      <c r="E15" s="99">
        <v>3</v>
      </c>
      <c r="F15" s="99"/>
      <c r="G15" s="99"/>
      <c r="H15" s="99"/>
      <c r="I15" s="99"/>
      <c r="J15" s="99"/>
      <c r="K15" s="99"/>
      <c r="L15" s="99"/>
      <c r="M15" s="100"/>
    </row>
    <row r="16" spans="1:14">
      <c r="A16" s="98" t="s">
        <v>7</v>
      </c>
      <c r="B16" s="99"/>
      <c r="C16" s="99">
        <v>1</v>
      </c>
      <c r="D16" s="99"/>
      <c r="E16" s="99"/>
      <c r="F16" s="99"/>
      <c r="G16" s="99"/>
      <c r="H16" s="99"/>
      <c r="I16" s="99"/>
      <c r="J16" s="99"/>
      <c r="K16" s="99"/>
      <c r="L16" s="99"/>
      <c r="M16" s="100"/>
    </row>
    <row r="17" spans="1:14">
      <c r="A17" s="98" t="s">
        <v>8</v>
      </c>
      <c r="B17" s="99">
        <v>1</v>
      </c>
      <c r="C17" s="99">
        <v>1</v>
      </c>
      <c r="D17" s="99"/>
      <c r="E17" s="99"/>
      <c r="F17" s="99"/>
      <c r="G17" s="99"/>
      <c r="H17" s="99"/>
      <c r="I17" s="99"/>
      <c r="J17" s="99"/>
      <c r="K17" s="99"/>
      <c r="L17" s="99"/>
      <c r="M17" s="100"/>
    </row>
    <row r="18" spans="1:14">
      <c r="A18" s="98" t="s">
        <v>9</v>
      </c>
      <c r="B18" s="99">
        <v>1</v>
      </c>
      <c r="C18" s="99">
        <v>4</v>
      </c>
      <c r="D18" s="99"/>
      <c r="E18" s="99"/>
      <c r="F18" s="99"/>
      <c r="G18" s="99"/>
      <c r="H18" s="99"/>
      <c r="I18" s="99"/>
      <c r="J18" s="99"/>
      <c r="K18" s="99"/>
      <c r="L18" s="99"/>
      <c r="M18" s="100"/>
    </row>
    <row r="19" spans="1:14">
      <c r="A19" s="98" t="s">
        <v>10</v>
      </c>
      <c r="B19" s="99"/>
      <c r="C19" s="99"/>
      <c r="D19" s="99"/>
      <c r="E19" s="99"/>
      <c r="F19" s="99"/>
      <c r="G19" s="99"/>
      <c r="H19" s="99"/>
      <c r="I19" s="99"/>
      <c r="J19" s="99"/>
      <c r="K19" s="99"/>
      <c r="L19" s="99"/>
      <c r="M19" s="100"/>
    </row>
    <row r="20" spans="1:14" ht="14.4" thickBot="1">
      <c r="A20" s="101" t="s">
        <v>11</v>
      </c>
      <c r="B20" s="102">
        <f t="shared" ref="B20:M20" si="1">IF(SUM(B13:B19)=0,"",SUM(B13:B19))</f>
        <v>2</v>
      </c>
      <c r="C20" s="102">
        <f t="shared" si="1"/>
        <v>8</v>
      </c>
      <c r="D20" s="102">
        <f t="shared" si="1"/>
        <v>1</v>
      </c>
      <c r="E20" s="102">
        <f t="shared" si="1"/>
        <v>4</v>
      </c>
      <c r="F20" s="102" t="str">
        <f t="shared" si="1"/>
        <v/>
      </c>
      <c r="G20" s="102" t="str">
        <f t="shared" si="1"/>
        <v/>
      </c>
      <c r="H20" s="102" t="str">
        <f t="shared" si="1"/>
        <v/>
      </c>
      <c r="I20" s="102" t="str">
        <f t="shared" si="1"/>
        <v/>
      </c>
      <c r="J20" s="102" t="str">
        <f t="shared" si="1"/>
        <v/>
      </c>
      <c r="K20" s="102" t="str">
        <f t="shared" si="1"/>
        <v/>
      </c>
      <c r="L20" s="102" t="str">
        <f t="shared" si="1"/>
        <v/>
      </c>
      <c r="M20" s="103" t="str">
        <f t="shared" si="1"/>
        <v/>
      </c>
    </row>
    <row r="21" spans="1:14" ht="14.4" thickTop="1">
      <c r="A21" s="104" t="s">
        <v>45</v>
      </c>
      <c r="B21" s="99">
        <v>582</v>
      </c>
      <c r="C21" s="99">
        <v>592</v>
      </c>
      <c r="D21" s="99">
        <v>806</v>
      </c>
      <c r="E21" s="99">
        <v>476</v>
      </c>
      <c r="F21" s="99"/>
      <c r="G21" s="99"/>
      <c r="H21" s="99"/>
      <c r="I21" s="99"/>
      <c r="J21" s="99"/>
      <c r="K21" s="99"/>
      <c r="L21" s="99"/>
      <c r="M21" s="100"/>
      <c r="N21" s="105"/>
    </row>
    <row r="22" spans="1:14" ht="14.4" thickBot="1">
      <c r="A22" s="106" t="s">
        <v>44</v>
      </c>
      <c r="B22" s="107">
        <v>3.3999999999999998E-3</v>
      </c>
      <c r="C22" s="107">
        <v>6.7999999999999996E-3</v>
      </c>
      <c r="D22" s="107">
        <v>1.1999999999999999E-3</v>
      </c>
      <c r="E22" s="108">
        <v>0.63</v>
      </c>
      <c r="F22" s="108"/>
      <c r="G22" s="108"/>
      <c r="H22" s="108"/>
      <c r="I22" s="107"/>
      <c r="J22" s="108"/>
      <c r="K22" s="108"/>
      <c r="L22" s="108"/>
      <c r="M22" s="109"/>
      <c r="N22" s="105"/>
    </row>
    <row r="24" spans="1:14">
      <c r="A24" s="110" t="s">
        <v>43</v>
      </c>
      <c r="B24" s="111" t="s">
        <v>61</v>
      </c>
      <c r="C24" s="111" t="s">
        <v>63</v>
      </c>
      <c r="D24" s="111" t="s">
        <v>64</v>
      </c>
      <c r="E24" s="111" t="s">
        <v>65</v>
      </c>
      <c r="F24" s="111" t="s">
        <v>66</v>
      </c>
      <c r="G24" s="111" t="s">
        <v>67</v>
      </c>
      <c r="H24" s="111" t="s">
        <v>68</v>
      </c>
      <c r="I24" s="111" t="s">
        <v>69</v>
      </c>
      <c r="J24" s="111" t="s">
        <v>39</v>
      </c>
      <c r="K24" s="111" t="s">
        <v>40</v>
      </c>
      <c r="L24" s="111" t="s">
        <v>41</v>
      </c>
      <c r="M24" s="111" t="s">
        <v>42</v>
      </c>
    </row>
    <row r="25" spans="1:14">
      <c r="A25" s="112" t="s">
        <v>4</v>
      </c>
      <c r="B25" s="99"/>
      <c r="C25" s="99"/>
      <c r="D25" s="99"/>
      <c r="E25" s="99"/>
      <c r="F25" s="99">
        <v>1</v>
      </c>
      <c r="G25" s="99"/>
      <c r="H25" s="99">
        <v>1</v>
      </c>
      <c r="I25" s="99"/>
      <c r="J25" s="99"/>
      <c r="K25" s="99"/>
      <c r="L25" s="99"/>
      <c r="M25" s="113"/>
    </row>
    <row r="26" spans="1:14">
      <c r="A26" s="112" t="s">
        <v>5</v>
      </c>
      <c r="B26" s="99"/>
      <c r="C26" s="99"/>
      <c r="D26" s="99"/>
      <c r="E26" s="99"/>
      <c r="F26" s="99"/>
      <c r="G26" s="99"/>
      <c r="H26" s="99"/>
      <c r="I26" s="99"/>
      <c r="J26" s="99"/>
      <c r="K26" s="99">
        <v>1</v>
      </c>
      <c r="L26" s="99"/>
      <c r="M26" s="113"/>
    </row>
    <row r="27" spans="1:14">
      <c r="A27" s="112" t="s">
        <v>6</v>
      </c>
      <c r="B27" s="99"/>
      <c r="C27" s="99"/>
      <c r="D27" s="99"/>
      <c r="E27" s="99"/>
      <c r="F27" s="99"/>
      <c r="G27" s="99"/>
      <c r="H27" s="99"/>
      <c r="I27" s="99"/>
      <c r="J27" s="99">
        <v>1</v>
      </c>
      <c r="K27" s="99"/>
      <c r="L27" s="99"/>
      <c r="M27" s="113"/>
    </row>
    <row r="28" spans="1:14">
      <c r="A28" s="112" t="s">
        <v>7</v>
      </c>
      <c r="B28" s="99"/>
      <c r="C28" s="99"/>
      <c r="D28" s="99"/>
      <c r="E28" s="99"/>
      <c r="F28" s="99"/>
      <c r="G28" s="99"/>
      <c r="H28" s="99"/>
      <c r="I28" s="99">
        <v>1</v>
      </c>
      <c r="J28" s="99"/>
      <c r="K28" s="99"/>
      <c r="L28" s="99"/>
      <c r="M28" s="113"/>
    </row>
    <row r="29" spans="1:14">
      <c r="A29" s="112" t="s">
        <v>8</v>
      </c>
      <c r="B29" s="99"/>
      <c r="C29" s="99"/>
      <c r="D29" s="99">
        <v>1</v>
      </c>
      <c r="E29" s="99"/>
      <c r="F29" s="99"/>
      <c r="G29" s="99"/>
      <c r="H29" s="99"/>
      <c r="I29" s="99">
        <v>1</v>
      </c>
      <c r="J29" s="99"/>
      <c r="K29" s="99"/>
      <c r="L29" s="99"/>
      <c r="M29" s="113"/>
    </row>
    <row r="30" spans="1:14">
      <c r="A30" s="112" t="s">
        <v>9</v>
      </c>
      <c r="B30" s="99"/>
      <c r="C30" s="99">
        <v>1</v>
      </c>
      <c r="D30" s="99"/>
      <c r="E30" s="99"/>
      <c r="F30" s="99"/>
      <c r="G30" s="99"/>
      <c r="H30" s="99">
        <v>3</v>
      </c>
      <c r="I30" s="99">
        <v>1</v>
      </c>
      <c r="J30" s="99"/>
      <c r="K30" s="99"/>
      <c r="L30" s="99"/>
      <c r="M30" s="113"/>
    </row>
    <row r="31" spans="1:14">
      <c r="A31" s="112" t="s">
        <v>10</v>
      </c>
      <c r="B31" s="99"/>
      <c r="C31" s="99"/>
      <c r="D31" s="99"/>
      <c r="E31" s="99"/>
      <c r="F31" s="99"/>
      <c r="G31" s="99"/>
      <c r="H31" s="99"/>
      <c r="I31" s="99"/>
      <c r="J31" s="99"/>
      <c r="K31" s="99"/>
      <c r="L31" s="99"/>
      <c r="M31" s="113"/>
    </row>
    <row r="32" spans="1:14">
      <c r="A32" s="114" t="s">
        <v>11</v>
      </c>
      <c r="B32" s="115" t="str">
        <f t="shared" ref="B32:M32" si="2">IF(SUM(B25:B31)=0,"",SUM(B25:B31))</f>
        <v/>
      </c>
      <c r="C32" s="115">
        <f t="shared" si="2"/>
        <v>1</v>
      </c>
      <c r="D32" s="115">
        <f t="shared" si="2"/>
        <v>1</v>
      </c>
      <c r="E32" s="115" t="str">
        <f t="shared" si="2"/>
        <v/>
      </c>
      <c r="F32" s="115">
        <f t="shared" si="2"/>
        <v>1</v>
      </c>
      <c r="G32" s="115" t="str">
        <f t="shared" si="2"/>
        <v/>
      </c>
      <c r="H32" s="115">
        <f t="shared" si="2"/>
        <v>4</v>
      </c>
      <c r="I32" s="115">
        <f t="shared" si="2"/>
        <v>3</v>
      </c>
      <c r="J32" s="115">
        <f t="shared" si="2"/>
        <v>1</v>
      </c>
      <c r="K32" s="115">
        <f t="shared" si="2"/>
        <v>1</v>
      </c>
      <c r="L32" s="115" t="str">
        <f t="shared" si="2"/>
        <v/>
      </c>
      <c r="M32" s="115" t="str">
        <f t="shared" si="2"/>
        <v/>
      </c>
    </row>
    <row r="33" spans="1:13">
      <c r="A33" s="52" t="s">
        <v>45</v>
      </c>
      <c r="B33" s="52">
        <v>124</v>
      </c>
      <c r="C33" s="52">
        <v>172</v>
      </c>
      <c r="D33" s="52">
        <v>86</v>
      </c>
      <c r="E33" s="52">
        <v>125</v>
      </c>
      <c r="F33" s="52">
        <v>87</v>
      </c>
      <c r="G33" s="52">
        <v>76</v>
      </c>
      <c r="H33" s="52">
        <v>175</v>
      </c>
      <c r="I33" s="52">
        <v>181</v>
      </c>
      <c r="J33" s="52"/>
      <c r="K33" s="52"/>
      <c r="L33" s="52"/>
      <c r="M33" s="52"/>
    </row>
    <row r="34" spans="1:13">
      <c r="A34" s="52" t="s">
        <v>44</v>
      </c>
      <c r="B34" s="52">
        <v>0</v>
      </c>
      <c r="C34" s="52">
        <v>0.57999999999999996</v>
      </c>
      <c r="D34" s="116">
        <v>1.1599999999999999E-2</v>
      </c>
      <c r="E34" s="52">
        <v>0</v>
      </c>
      <c r="F34" s="116">
        <v>1.14E-2</v>
      </c>
      <c r="G34" s="52">
        <v>0</v>
      </c>
      <c r="H34" s="116">
        <v>2.2849999999999999E-2</v>
      </c>
      <c r="I34" s="116">
        <v>1.66E-2</v>
      </c>
      <c r="J34" s="52"/>
      <c r="K34" s="52"/>
      <c r="L34" s="52"/>
      <c r="M34" s="52"/>
    </row>
    <row r="35" spans="1:13">
      <c r="B35" s="97" t="s">
        <v>62</v>
      </c>
      <c r="C35" s="97" t="s">
        <v>51</v>
      </c>
      <c r="D35" s="97" t="s">
        <v>50</v>
      </c>
      <c r="E35" s="97" t="s">
        <v>49</v>
      </c>
      <c r="F35" s="97" t="s">
        <v>48</v>
      </c>
      <c r="G35" s="97" t="s">
        <v>47</v>
      </c>
      <c r="H35" s="97" t="s">
        <v>46</v>
      </c>
      <c r="I35" s="97" t="s">
        <v>70</v>
      </c>
      <c r="J35" s="97" t="s">
        <v>71</v>
      </c>
      <c r="K35" s="97" t="s">
        <v>73</v>
      </c>
    </row>
    <row r="38" spans="1:13">
      <c r="B38" s="117" t="s">
        <v>80</v>
      </c>
      <c r="C38" s="117" t="s">
        <v>74</v>
      </c>
      <c r="D38" s="117" t="s">
        <v>75</v>
      </c>
      <c r="E38" s="117" t="s">
        <v>76</v>
      </c>
    </row>
    <row r="39" spans="1:13">
      <c r="B39" s="118" t="s">
        <v>77</v>
      </c>
      <c r="C39" s="99">
        <v>50</v>
      </c>
      <c r="D39" s="99">
        <v>9</v>
      </c>
      <c r="E39" s="99">
        <v>23</v>
      </c>
    </row>
    <row r="40" spans="1:13">
      <c r="B40" s="118" t="s">
        <v>79</v>
      </c>
      <c r="C40" s="99">
        <v>41</v>
      </c>
      <c r="D40" s="99">
        <v>9</v>
      </c>
      <c r="E40" s="99">
        <v>23</v>
      </c>
    </row>
    <row r="41" spans="1:13">
      <c r="B41" s="118" t="s">
        <v>78</v>
      </c>
      <c r="C41" s="99">
        <v>37</v>
      </c>
      <c r="D41" s="99">
        <v>9</v>
      </c>
      <c r="E41" s="99">
        <v>14</v>
      </c>
    </row>
    <row r="44" spans="1:13" ht="21" customHeight="1">
      <c r="B44" s="117" t="s">
        <v>93</v>
      </c>
      <c r="C44" s="117" t="s">
        <v>86</v>
      </c>
      <c r="D44" s="117" t="s">
        <v>87</v>
      </c>
      <c r="E44" s="117" t="s">
        <v>88</v>
      </c>
      <c r="F44" s="117" t="s">
        <v>89</v>
      </c>
      <c r="G44" s="117" t="s">
        <v>90</v>
      </c>
      <c r="H44" s="117" t="s">
        <v>91</v>
      </c>
    </row>
    <row r="45" spans="1:13" ht="18" customHeight="1">
      <c r="B45" s="119" t="s">
        <v>81</v>
      </c>
      <c r="C45" s="99">
        <v>2</v>
      </c>
      <c r="D45" s="99"/>
      <c r="E45" s="99"/>
      <c r="F45" s="99"/>
      <c r="G45" s="99"/>
      <c r="H45" s="99"/>
    </row>
    <row r="46" spans="1:13" ht="18" customHeight="1">
      <c r="B46" s="119" t="s">
        <v>72</v>
      </c>
      <c r="C46" s="99"/>
      <c r="D46" s="99"/>
      <c r="E46" s="99">
        <v>1</v>
      </c>
      <c r="F46" s="99"/>
      <c r="G46" s="99"/>
      <c r="H46" s="99"/>
    </row>
    <row r="47" spans="1:13" ht="18" customHeight="1">
      <c r="B47" s="119" t="s">
        <v>38</v>
      </c>
      <c r="C47" s="99"/>
      <c r="D47" s="99"/>
      <c r="E47" s="99"/>
      <c r="F47" s="99">
        <v>1</v>
      </c>
      <c r="G47" s="99"/>
      <c r="H47" s="99"/>
    </row>
    <row r="48" spans="1:13" ht="18" customHeight="1">
      <c r="B48" s="119" t="s">
        <v>82</v>
      </c>
      <c r="C48" s="99"/>
      <c r="D48" s="99"/>
      <c r="E48" s="99"/>
      <c r="F48" s="99"/>
      <c r="G48" s="99"/>
      <c r="H48" s="99">
        <v>1</v>
      </c>
    </row>
    <row r="49" spans="2:8" ht="18" customHeight="1">
      <c r="B49" s="119" t="s">
        <v>83</v>
      </c>
      <c r="C49" s="99"/>
      <c r="D49" s="99"/>
      <c r="E49" s="99">
        <v>1</v>
      </c>
      <c r="F49" s="99">
        <v>1</v>
      </c>
      <c r="G49" s="99"/>
      <c r="H49" s="99"/>
    </row>
    <row r="50" spans="2:8" ht="18" customHeight="1">
      <c r="B50" s="119" t="s">
        <v>84</v>
      </c>
      <c r="C50" s="99">
        <v>4</v>
      </c>
      <c r="D50" s="99">
        <v>1</v>
      </c>
      <c r="E50" s="99"/>
      <c r="F50" s="99"/>
      <c r="G50" s="99"/>
      <c r="H50" s="99"/>
    </row>
    <row r="51" spans="2:8" ht="18" customHeight="1">
      <c r="B51" s="119" t="s">
        <v>85</v>
      </c>
      <c r="C51" s="99"/>
      <c r="D51" s="99"/>
      <c r="E51" s="99"/>
      <c r="F51" s="99"/>
      <c r="G51" s="99"/>
      <c r="H51" s="99"/>
    </row>
    <row r="52" spans="2:8">
      <c r="B52" s="120" t="s">
        <v>92</v>
      </c>
      <c r="C52" s="121">
        <f t="shared" ref="C52:H52" si="3">SUM(C45:C51)</f>
        <v>6</v>
      </c>
      <c r="D52" s="121">
        <f t="shared" si="3"/>
        <v>1</v>
      </c>
      <c r="E52" s="121">
        <f t="shared" si="3"/>
        <v>2</v>
      </c>
      <c r="F52" s="121">
        <f t="shared" si="3"/>
        <v>2</v>
      </c>
      <c r="G52" s="121">
        <f t="shared" si="3"/>
        <v>0</v>
      </c>
      <c r="H52" s="121">
        <f t="shared" si="3"/>
        <v>1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工作表13"/>
  <dimension ref="C2:O19"/>
  <sheetViews>
    <sheetView showWhiteSpace="0" view="pageLayout" zoomScaleNormal="100" workbookViewId="0">
      <selection activeCell="G19" sqref="G19"/>
    </sheetView>
  </sheetViews>
  <sheetFormatPr defaultRowHeight="15.6"/>
  <cols>
    <col min="3" max="3" width="22.9140625" bestFit="1" customWidth="1"/>
    <col min="9" max="9" width="17.08203125" bestFit="1" customWidth="1"/>
  </cols>
  <sheetData>
    <row r="2" spans="3:15" ht="16.2" thickBot="1"/>
    <row r="3" spans="3:15" ht="33" customHeight="1" thickBot="1">
      <c r="C3" s="12" t="s">
        <v>25</v>
      </c>
      <c r="D3" s="12" t="s">
        <v>16</v>
      </c>
      <c r="E3" s="12" t="s">
        <v>17</v>
      </c>
      <c r="F3" s="12" t="s">
        <v>18</v>
      </c>
      <c r="G3" s="12" t="s">
        <v>20</v>
      </c>
      <c r="I3" s="16" t="s">
        <v>26</v>
      </c>
      <c r="J3" s="17" t="s">
        <v>27</v>
      </c>
      <c r="K3" s="17" t="s">
        <v>28</v>
      </c>
    </row>
    <row r="4" spans="3:15" ht="16.8" thickBot="1">
      <c r="C4" s="13" t="s">
        <v>19</v>
      </c>
      <c r="D4" s="3">
        <v>340</v>
      </c>
      <c r="E4" s="3">
        <v>281</v>
      </c>
      <c r="F4" s="3">
        <v>284</v>
      </c>
      <c r="G4" s="3" t="s">
        <v>21</v>
      </c>
      <c r="I4" s="18" t="s">
        <v>29</v>
      </c>
      <c r="J4" s="14">
        <v>0.23</v>
      </c>
      <c r="K4" s="15">
        <v>0.3</v>
      </c>
    </row>
    <row r="5" spans="3:15" ht="16.8" thickBot="1">
      <c r="C5" s="13" t="s">
        <v>22</v>
      </c>
      <c r="D5" s="3">
        <v>354</v>
      </c>
      <c r="E5" s="3">
        <v>272</v>
      </c>
      <c r="F5" s="3">
        <v>270</v>
      </c>
      <c r="G5" s="3" t="s">
        <v>23</v>
      </c>
      <c r="I5" s="18" t="s">
        <v>30</v>
      </c>
      <c r="J5" s="14">
        <v>0.27</v>
      </c>
      <c r="K5" s="15">
        <v>0.3</v>
      </c>
    </row>
    <row r="6" spans="3:15" ht="16.8" thickBot="1">
      <c r="C6" s="181" t="s">
        <v>24</v>
      </c>
      <c r="D6" s="3">
        <v>63</v>
      </c>
      <c r="E6" s="3"/>
      <c r="F6" s="3">
        <v>56</v>
      </c>
      <c r="G6" s="3">
        <v>7</v>
      </c>
      <c r="I6" s="18" t="s">
        <v>31</v>
      </c>
      <c r="J6" s="14">
        <v>0.3</v>
      </c>
      <c r="K6" s="14">
        <v>0.35</v>
      </c>
    </row>
    <row r="7" spans="3:15" ht="16.8" thickBot="1">
      <c r="C7" s="181"/>
      <c r="D7" s="3">
        <v>121</v>
      </c>
      <c r="E7" s="3"/>
      <c r="F7" s="3">
        <v>95</v>
      </c>
      <c r="G7" s="3">
        <v>26</v>
      </c>
      <c r="I7" s="18" t="s">
        <v>32</v>
      </c>
      <c r="J7" s="14">
        <v>0.3</v>
      </c>
      <c r="K7" s="14">
        <v>0.35</v>
      </c>
    </row>
    <row r="8" spans="3:15" ht="16.8" thickBot="1">
      <c r="C8" s="181"/>
      <c r="D8" s="3">
        <v>178</v>
      </c>
      <c r="E8" s="3"/>
      <c r="F8" s="3">
        <v>143</v>
      </c>
      <c r="G8" s="3">
        <v>35</v>
      </c>
      <c r="I8" s="18" t="s">
        <v>33</v>
      </c>
      <c r="J8" s="14">
        <v>0.3</v>
      </c>
      <c r="K8" s="14">
        <v>0.35</v>
      </c>
    </row>
    <row r="9" spans="3:15" ht="16.8" thickBot="1">
      <c r="I9" s="18" t="s">
        <v>34</v>
      </c>
      <c r="J9" s="14">
        <v>0.20599999999999999</v>
      </c>
      <c r="K9" s="14">
        <v>0.35</v>
      </c>
    </row>
    <row r="10" spans="3:15" ht="16.8" thickBot="1">
      <c r="I10" s="18" t="s">
        <v>35</v>
      </c>
      <c r="J10" s="14">
        <v>0.23</v>
      </c>
      <c r="K10" s="14">
        <v>0.35</v>
      </c>
    </row>
    <row r="11" spans="3:15" ht="16.8" thickBot="1">
      <c r="I11" s="18" t="s">
        <v>36</v>
      </c>
      <c r="J11" s="14">
        <v>0.35</v>
      </c>
      <c r="K11" s="14">
        <v>0.5</v>
      </c>
    </row>
    <row r="12" spans="3:15" ht="16.8" thickBot="1">
      <c r="I12" s="18" t="s">
        <v>37</v>
      </c>
      <c r="J12" s="14">
        <v>0.9</v>
      </c>
      <c r="K12" s="14">
        <v>0.9</v>
      </c>
    </row>
    <row r="13" spans="3:15" ht="16.2" thickBot="1"/>
    <row r="14" spans="3:15" ht="16.5" customHeight="1">
      <c r="I14" s="25" t="s">
        <v>52</v>
      </c>
      <c r="J14" s="182" t="s">
        <v>56</v>
      </c>
      <c r="K14" s="182"/>
      <c r="L14" s="183" t="s">
        <v>57</v>
      </c>
      <c r="M14" s="184"/>
      <c r="N14" s="183" t="s">
        <v>58</v>
      </c>
      <c r="O14" s="185"/>
    </row>
    <row r="15" spans="3:15">
      <c r="I15" s="26" t="s">
        <v>26</v>
      </c>
      <c r="J15" s="27" t="s">
        <v>27</v>
      </c>
      <c r="K15" s="27" t="s">
        <v>28</v>
      </c>
      <c r="L15" s="27" t="s">
        <v>27</v>
      </c>
      <c r="M15" s="27" t="s">
        <v>28</v>
      </c>
      <c r="N15" s="27" t="s">
        <v>27</v>
      </c>
      <c r="O15" s="28" t="s">
        <v>28</v>
      </c>
    </row>
    <row r="16" spans="3:15">
      <c r="I16" s="20" t="s">
        <v>53</v>
      </c>
      <c r="J16" s="19">
        <v>0.3</v>
      </c>
      <c r="K16" s="19">
        <v>0.35</v>
      </c>
      <c r="L16" s="19">
        <v>0.3</v>
      </c>
      <c r="M16" s="19">
        <v>0.35</v>
      </c>
      <c r="N16" s="19">
        <v>0.3</v>
      </c>
      <c r="O16" s="21">
        <v>0.35</v>
      </c>
    </row>
    <row r="17" spans="9:15">
      <c r="I17" s="20" t="s">
        <v>54</v>
      </c>
      <c r="J17" s="19" t="s">
        <v>55</v>
      </c>
      <c r="K17" s="19" t="s">
        <v>55</v>
      </c>
      <c r="L17" s="19">
        <v>0.3</v>
      </c>
      <c r="M17" s="19">
        <v>0.35</v>
      </c>
      <c r="N17" s="19">
        <v>0.3</v>
      </c>
      <c r="O17" s="21">
        <v>0.35</v>
      </c>
    </row>
    <row r="18" spans="9:15">
      <c r="I18" s="20" t="s">
        <v>59</v>
      </c>
      <c r="J18" s="19" t="s">
        <v>55</v>
      </c>
      <c r="K18" s="19" t="s">
        <v>55</v>
      </c>
      <c r="L18" s="19">
        <v>0.3</v>
      </c>
      <c r="M18" s="19">
        <v>0.5</v>
      </c>
      <c r="N18" s="19">
        <v>0.3</v>
      </c>
      <c r="O18" s="21">
        <v>0.5</v>
      </c>
    </row>
    <row r="19" spans="9:15" ht="16.2" thickBot="1">
      <c r="I19" s="22" t="s">
        <v>60</v>
      </c>
      <c r="J19" s="23" t="s">
        <v>55</v>
      </c>
      <c r="K19" s="23" t="s">
        <v>55</v>
      </c>
      <c r="L19" s="23">
        <v>0.3</v>
      </c>
      <c r="M19" s="23">
        <v>1</v>
      </c>
      <c r="N19" s="23">
        <v>0.3</v>
      </c>
      <c r="O19" s="24">
        <v>1</v>
      </c>
    </row>
  </sheetData>
  <mergeCells count="4">
    <mergeCell ref="C6:C8"/>
    <mergeCell ref="J14:K14"/>
    <mergeCell ref="L14:M14"/>
    <mergeCell ref="N14:O14"/>
  </mergeCells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Form" ma:contentTypeID="0x01010100D78A8C50EF1FB546AAF10AA08C1608BD" ma:contentTypeVersion="2" ma:contentTypeDescription="Fill out this form." ma:contentTypeScope="" ma:versionID="9e2168629f30d20b6b2b9fb4a8a7cc36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77b8cfcb884412bbba6d692195423fb6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howCombineView" minOccurs="0"/>
                <xsd:element ref="ns1:ShowRepairView" minOccurs="0"/>
                <xsd:element ref="ns1:TemplateUrl" minOccurs="0"/>
                <xsd:element ref="ns1:xd_Prog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ShowCombineView" ma:index="8" nillable="true" ma:displayName="Show Combine View" ma:hidden="true" ma:internalName="ShowCombineView">
      <xsd:simpleType>
        <xsd:restriction base="dms:Text"/>
      </xsd:simpleType>
    </xsd:element>
    <xsd:element name="ShowRepairView" ma:index="10" nillable="true" ma:displayName="Show Repair View" ma:hidden="true" ma:internalName="ShowRepairView">
      <xsd:simpleType>
        <xsd:restriction base="dms:Text"/>
      </xsd:simpleType>
    </xsd:element>
    <xsd:element name="TemplateUrl" ma:index="11" nillable="true" ma:displayName="Template Link" ma:hidden="true" ma:internalName="TemplateUrl">
      <xsd:simpleType>
        <xsd:restriction base="dms:Text"/>
      </xsd:simpleType>
    </xsd:element>
    <xsd:element name="xd_ProgID" ma:index="12" nillable="true" ma:displayName="HTML File Link" ma:hidden="true" ma:internalName="xd_ProgID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ShowRepairView xmlns="http://schemas.microsoft.com/sharepoint/v3" xsi:nil="true"/>
    <ShowCombineView xmlns="http://schemas.microsoft.com/sharepoint/v3" xsi:nil="true"/>
    <xd_ProgID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C8435126-67A1-422E-B0A2-FFFBB5C483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9EC514-3204-4B92-BB91-8242A8C9102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608418-E97B-4DFA-A6EB-31AFD16FB509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具名範圍</vt:lpstr>
      </vt:variant>
      <vt:variant>
        <vt:i4>1</vt:i4>
      </vt:variant>
    </vt:vector>
  </HeadingPairs>
  <TitlesOfParts>
    <vt:vector size="11" baseType="lpstr">
      <vt:lpstr>PTC OOS</vt:lpstr>
      <vt:lpstr>PTC OOS Rate</vt:lpstr>
      <vt:lpstr>PM PTC OOS Rate</vt:lpstr>
      <vt:lpstr>工作表4</vt:lpstr>
      <vt:lpstr>PTC OOS RUN 數</vt:lpstr>
      <vt:lpstr>PTC OOS 位置別</vt:lpstr>
      <vt:lpstr>LP-T UT%</vt:lpstr>
      <vt:lpstr>MANIFOLD</vt:lpstr>
      <vt:lpstr>WEEEKLY</vt:lpstr>
      <vt:lpstr>工作表5</vt:lpstr>
      <vt:lpstr>'PTC OOS Rate'!Print_Area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S220 THChiu;S220  YHOUYANG</dc:creator>
  <cp:lastModifiedBy>S220 MCTsai4</cp:lastModifiedBy>
  <cp:lastPrinted>2020-02-11T08:33:28Z</cp:lastPrinted>
  <dcterms:created xsi:type="dcterms:W3CDTF">2017-07-24T07:39:31Z</dcterms:created>
  <dcterms:modified xsi:type="dcterms:W3CDTF">2025-02-13T01:14:18Z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0x01010100D78A8C50EF1FB546AAF10AA08C1608BD</vt:lpwstr>
  </property>
</Properties>
</file>