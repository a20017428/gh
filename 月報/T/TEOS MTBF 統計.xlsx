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tsai4\AppData\Local\Microsoft\Windows\INetCache\Content.Outlook\733KJ71B\"/>
    </mc:Choice>
  </mc:AlternateContent>
  <xr:revisionPtr revIDLastSave="0" documentId="13_ncr:1_{E13808A5-63DA-4F8B-8BD1-2A62D5920569}" xr6:coauthVersionLast="47" xr6:coauthVersionMax="47" xr10:uidLastSave="{00000000-0000-0000-0000-000000000000}"/>
  <bookViews>
    <workbookView xWindow="-108" yWindow="-108" windowWidth="23256" windowHeight="12456" activeTab="8" xr2:uid="{D3DADC27-012F-41EC-88C3-B87715852021}"/>
  </bookViews>
  <sheets>
    <sheet name="T1" sheetId="1" r:id="rId1"/>
    <sheet name="T2" sheetId="2" r:id="rId2"/>
    <sheet name="T3" sheetId="3" r:id="rId3"/>
    <sheet name="T4" sheetId="7" r:id="rId4"/>
    <sheet name="T5" sheetId="8" r:id="rId5"/>
    <sheet name="T6" sheetId="9" r:id="rId6"/>
    <sheet name="T8" sheetId="10" r:id="rId7"/>
    <sheet name="TEOS (2)" sheetId="14" r:id="rId8"/>
    <sheet name="MTBF" sheetId="5" r:id="rId9"/>
    <sheet name="MD+PM" sheetId="11" r:id="rId10"/>
    <sheet name="LP-T UT%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5" l="1"/>
  <c r="K9" i="5"/>
  <c r="K10" i="5"/>
  <c r="K27" i="5"/>
  <c r="K26" i="5"/>
  <c r="AC12" i="13"/>
  <c r="AC11" i="13"/>
  <c r="AC10" i="13"/>
  <c r="AC9" i="13"/>
  <c r="AC8" i="13"/>
  <c r="AC7" i="13"/>
  <c r="AC6" i="13"/>
  <c r="AC5" i="13"/>
  <c r="C11" i="11"/>
  <c r="C10" i="11"/>
  <c r="C9" i="11"/>
  <c r="C8" i="11"/>
  <c r="C7" i="11"/>
  <c r="C6" i="11"/>
  <c r="C5" i="11"/>
  <c r="C3" i="11"/>
  <c r="C4" i="11"/>
  <c r="C2" i="11"/>
  <c r="J10" i="5"/>
  <c r="J8" i="5"/>
  <c r="E8" i="5" s="1"/>
  <c r="C8" i="5" s="1"/>
  <c r="J9" i="5"/>
  <c r="J5" i="5"/>
  <c r="J27" i="5"/>
  <c r="J26" i="5"/>
  <c r="E9" i="5"/>
  <c r="C9" i="5" s="1"/>
  <c r="E10" i="5" l="1"/>
  <c r="C10" i="5" s="1"/>
  <c r="J11" i="5"/>
  <c r="E11" i="5" s="1"/>
  <c r="C11" i="5" s="1"/>
  <c r="E5" i="5"/>
  <c r="J6" i="5"/>
  <c r="E6" i="5" s="1"/>
  <c r="C6" i="5" s="1"/>
  <c r="E11" i="11" l="1"/>
  <c r="E10" i="11"/>
  <c r="E9" i="11"/>
  <c r="E8" i="11"/>
  <c r="E7" i="11"/>
  <c r="E6" i="11"/>
  <c r="E5" i="11"/>
  <c r="E4" i="11"/>
  <c r="E3" i="11"/>
  <c r="E2" i="11"/>
  <c r="A21" i="13"/>
  <c r="C30" i="13"/>
  <c r="C29" i="13"/>
  <c r="C28" i="13"/>
  <c r="C27" i="13"/>
  <c r="C26" i="13"/>
  <c r="C25" i="13"/>
  <c r="C24" i="13"/>
  <c r="C23" i="13"/>
  <c r="E23" i="13"/>
  <c r="E24" i="13"/>
  <c r="E25" i="13"/>
  <c r="E26" i="13"/>
  <c r="E27" i="13"/>
  <c r="E28" i="13"/>
  <c r="E29" i="13"/>
  <c r="E30" i="13"/>
  <c r="E2" i="13"/>
  <c r="C2" i="13"/>
  <c r="E25" i="5" l="1"/>
  <c r="C25" i="5" s="1"/>
  <c r="E24" i="5"/>
  <c r="C24" i="5" s="1"/>
  <c r="E23" i="5"/>
  <c r="C23" i="5" s="1"/>
  <c r="E22" i="5"/>
  <c r="E21" i="5"/>
  <c r="C21" i="5" s="1"/>
  <c r="E20" i="5"/>
  <c r="C20" i="5" s="1"/>
  <c r="E19" i="5"/>
  <c r="C19" i="5" s="1"/>
  <c r="E18" i="5"/>
  <c r="C18" i="5" s="1"/>
  <c r="E17" i="5"/>
  <c r="C17" i="5" s="1"/>
  <c r="E16" i="5"/>
  <c r="C16" i="5" s="1"/>
  <c r="E15" i="5"/>
  <c r="E14" i="5"/>
  <c r="C14" i="5" s="1"/>
  <c r="E13" i="5"/>
  <c r="C13" i="5" s="1"/>
  <c r="E12" i="5"/>
  <c r="C12" i="5" s="1"/>
  <c r="J7" i="5"/>
  <c r="E7" i="5" s="1"/>
  <c r="C7" i="5" s="1"/>
  <c r="C22" i="5" l="1"/>
  <c r="C27" i="5" s="1"/>
  <c r="E27" i="5"/>
  <c r="C15" i="5"/>
  <c r="C26" i="5" s="1"/>
  <c r="E26" i="5"/>
  <c r="J3" i="5"/>
  <c r="E3" i="5" s="1"/>
  <c r="C3" i="5" s="1"/>
  <c r="C5" i="5"/>
</calcChain>
</file>

<file path=xl/sharedStrings.xml><?xml version="1.0" encoding="utf-8"?>
<sst xmlns="http://schemas.openxmlformats.org/spreadsheetml/2006/main" count="337" uniqueCount="122">
  <si>
    <t>說明</t>
  </si>
  <si>
    <t>機台</t>
  </si>
  <si>
    <t>M/D開始</t>
  </si>
  <si>
    <t>M/D結束</t>
  </si>
  <si>
    <t>M/D原因</t>
  </si>
  <si>
    <t>月份</t>
  </si>
  <si>
    <t>時間(hrs)</t>
  </si>
  <si>
    <t>2024Y</t>
  </si>
  <si>
    <t>Q1</t>
  </si>
  <si>
    <t>Q2</t>
  </si>
  <si>
    <t>Q3</t>
  </si>
  <si>
    <t>Q4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</si>
  <si>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</si>
  <si>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</si>
  <si>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</si>
  <si>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</si>
  <si>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</si>
  <si>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</si>
  <si>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</si>
  <si>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</si>
  <si>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</si>
  <si>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</si>
  <si>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</si>
  <si>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</si>
  <si>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T1 MTBF</t>
  </si>
  <si>
    <t>T2 MTBF</t>
  </si>
  <si>
    <t>T3 MTBF</t>
  </si>
  <si>
    <t>T4 MTBF</t>
  </si>
  <si>
    <t>T5 MTBF</t>
  </si>
  <si>
    <t>T6 MTBF</t>
  </si>
  <si>
    <t>T8 MTBF</t>
  </si>
  <si>
    <t>T1 M/D(次)</t>
  </si>
  <si>
    <t>T2 M/D(次)</t>
  </si>
  <si>
    <t>T3 M/D(次)</t>
  </si>
  <si>
    <t>T4 M/D(次)</t>
  </si>
  <si>
    <t>T5 M/D(次)</t>
  </si>
  <si>
    <t>T6 M/D(次)</t>
  </si>
  <si>
    <t>T8 M/D(次)</t>
  </si>
  <si>
    <t>TEOS機台</t>
  </si>
  <si>
    <t>LP-T4</t>
  </si>
  <si>
    <t>LP-T8</t>
  </si>
  <si>
    <t>Targe</t>
  </si>
  <si>
    <t>LP-T1</t>
  </si>
  <si>
    <t>LP-T2</t>
  </si>
  <si>
    <t>時間   (hrs)</t>
  </si>
  <si>
    <t>24Y</t>
  </si>
  <si>
    <t>TEOS M/D+PM</t>
  </si>
  <si>
    <t>TEOS M/D</t>
  </si>
  <si>
    <t>TEOS PM</t>
  </si>
  <si>
    <t>LP-T1 M/D+PM</t>
  </si>
  <si>
    <t>LP-T2 M/D+PM</t>
  </si>
  <si>
    <t>LP-T3 M/D+PM</t>
  </si>
  <si>
    <t>LP-T4 M/D+PM</t>
  </si>
  <si>
    <t>LP-T5 M/D+PM</t>
  </si>
  <si>
    <t>LP-T6 M/D+PM</t>
  </si>
  <si>
    <t>LP-T8 M/D+PM</t>
  </si>
  <si>
    <t>LP-T3</t>
  </si>
  <si>
    <t>T1 M/D(hrs)</t>
  </si>
  <si>
    <t>T2 M/D(hrs)</t>
  </si>
  <si>
    <t>T3 M/D(hrs)</t>
  </si>
  <si>
    <t>T4 M/D(hrs)</t>
  </si>
  <si>
    <t>T5 M/D(hrs)</t>
  </si>
  <si>
    <t>T6 M/D(hrs)</t>
  </si>
  <si>
    <t>T8 M/D(hrs)</t>
  </si>
  <si>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</si>
  <si>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</si>
  <si>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</si>
  <si>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</si>
  <si>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spec &gt; 90.6%</t>
    <phoneticPr fontId="1" type="noConversion"/>
  </si>
  <si>
    <t xml:space="preserve"> </t>
  </si>
  <si>
    <t>LP-T1</t>
    <phoneticPr fontId="2" type="noConversion"/>
  </si>
  <si>
    <t>LP-T2</t>
    <phoneticPr fontId="2" type="noConversion"/>
  </si>
  <si>
    <t>LP-T3</t>
    <phoneticPr fontId="2" type="noConversion"/>
  </si>
  <si>
    <t>LP-T4</t>
    <phoneticPr fontId="2" type="noConversion"/>
  </si>
  <si>
    <t>LP-T5</t>
    <phoneticPr fontId="2" type="noConversion"/>
  </si>
  <si>
    <t>LP-T6</t>
    <phoneticPr fontId="2" type="noConversion"/>
  </si>
  <si>
    <t>LP-T8</t>
    <phoneticPr fontId="2" type="noConversion"/>
  </si>
  <si>
    <r>
      <t xml:space="preserve">LP-T </t>
    </r>
    <r>
      <rPr>
        <b/>
        <sz val="10"/>
        <color theme="1"/>
        <rFont val="微軟正黑體"/>
        <family val="2"/>
        <charset val="136"/>
      </rPr>
      <t>(UT+LT+OT+FD)</t>
    </r>
    <r>
      <rPr>
        <b/>
        <sz val="12"/>
        <color theme="1"/>
        <rFont val="微軟正黑體"/>
        <family val="2"/>
        <charset val="136"/>
      </rPr>
      <t>%</t>
    </r>
  </si>
  <si>
    <t>LP-T M/D(次)</t>
  </si>
  <si>
    <t>LP-T M/D(hrs)</t>
  </si>
  <si>
    <t>LP-T MTBF</t>
  </si>
  <si>
    <t>LP-T6</t>
  </si>
  <si>
    <t>LP-T5</t>
  </si>
  <si>
    <t>U/T%</t>
  </si>
  <si>
    <t>L/T%</t>
  </si>
  <si>
    <t>O/T%</t>
  </si>
  <si>
    <t xml:space="preserve">LP-T1       </t>
  </si>
  <si>
    <t xml:space="preserve">LP-T2       </t>
  </si>
  <si>
    <t xml:space="preserve">LP-T3       </t>
  </si>
  <si>
    <t xml:space="preserve">LP-T4       </t>
  </si>
  <si>
    <t xml:space="preserve">LP-T5       </t>
  </si>
  <si>
    <t xml:space="preserve">LP-T6       </t>
  </si>
  <si>
    <t xml:space="preserve">LP-T8       </t>
  </si>
  <si>
    <t>TOTAL</t>
  </si>
  <si>
    <t>¾÷¥x¥N¸¹</t>
  </si>
  <si>
    <t>R/D%</t>
  </si>
  <si>
    <t>PTC UP</t>
  </si>
  <si>
    <t>F/D%</t>
  </si>
  <si>
    <t>2025Y</t>
  </si>
  <si>
    <t>09 Jan 2025 23:07:41</t>
  </si>
  <si>
    <t>09 Jan 2025 23:19:50</t>
  </si>
  <si>
    <t>13 Jan 2025 05:09:18</t>
  </si>
  <si>
    <t>13 Jan 2025 05:48:14</t>
  </si>
  <si>
    <t>更換 TEOS 鋼瓶</t>
  </si>
  <si>
    <t xml:space="preserve">check machine normal,test run ptc = 0/1/4 </t>
  </si>
  <si>
    <t>25Y</t>
  </si>
  <si>
    <t>M/D%</t>
  </si>
  <si>
    <t>P/M%</t>
  </si>
  <si>
    <t>MD+PM</t>
  </si>
  <si>
    <r>
      <t xml:space="preserve">LP-T </t>
    </r>
    <r>
      <rPr>
        <b/>
        <sz val="10"/>
        <color theme="1"/>
        <rFont val="微軟正黑體"/>
        <family val="2"/>
        <charset val="136"/>
      </rPr>
      <t>(UT+LT+OT+FD+RD)</t>
    </r>
    <r>
      <rPr>
        <b/>
        <sz val="12"/>
        <color theme="1"/>
        <rFont val="微軟正黑體"/>
        <family val="2"/>
        <charset val="136"/>
      </rPr>
      <t>%</t>
    </r>
  </si>
  <si>
    <t>01 Feb 2025 18:13:27</t>
  </si>
  <si>
    <t>01 Feb 2025 21:03:55</t>
  </si>
  <si>
    <t>01 Feb 2025 10:05:26</t>
  </si>
  <si>
    <t>01 Feb 2025 21:06:42</t>
  </si>
  <si>
    <t>01 Feb 2025 09:44:03</t>
  </si>
  <si>
    <t>01 Feb 2025 11:08:09</t>
  </si>
  <si>
    <t xml:space="preserve"> APC-01 abort</t>
  </si>
  <si>
    <t>1.MANUAL TEST APC OPEN/CLOSE:498/101 N.G
2.CHECK APC CLOSE葉片 POWDER 賭塞造成
3.拆APC CLEAN OK,校正APC OPEN/CLOSE:498/26 OK
4.test run CHECK STEP13. APC AHGLE =52~53 OK</t>
  </si>
  <si>
    <t>step-4 壓力讀值異常</t>
  </si>
  <si>
    <t>1.step-4 check P1:0.33,P3:0.18,step-5 P1 LK: 7.xx
2.抓漏G230 cap與轉子附近大漏1E-7-&gt;3.0E-4
3.replace G230 O-RING及轉子ok,測漏LK:0.01/70SEC OK
4.check 承接arm 抖動ID.02 alarm,replace driver NG
5.replace arm motor ok,power on VL-800 ID.41/ID.51 alarm無法reset ,replace CP-8321 PCB ok</t>
  </si>
  <si>
    <t>step-4 B/E aalrm(id.01)</t>
  </si>
  <si>
    <t>check M01 driver no power,replace driver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</si>
</sst>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1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9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0" xfId="1">
      <alignment vertical="center"/>
    </xf>
    <xf numFmtId="165" fontId="0" fillId="0" borderId="1" xfId="2" applyNumberFormat="1" applyFont="1" applyBorder="1" applyAlignment="1">
      <alignment horizontal="center" vertical="center"/>
    </xf>
    <xf numFmtId="165" fontId="5" fillId="0" borderId="1" xfId="1" applyNumberFormat="1" applyBorder="1" applyAlignment="1">
      <alignment horizontal="center" vertical="center"/>
    </xf>
    <xf numFmtId="10" fontId="5" fillId="0" borderId="0" xfId="1" applyNumberFormat="1" applyAlignment="1">
      <alignment horizontal="center" vertical="center"/>
    </xf>
    <xf numFmtId="0" fontId="5" fillId="0" borderId="0" xfId="1" applyAlignment="1">
      <alignment horizontal="center" vertical="center"/>
    </xf>
    <xf numFmtId="10" fontId="5" fillId="0" borderId="0" xfId="1" applyNumberFormat="1">
      <alignment vertical="center"/>
    </xf>
    <xf numFmtId="10" fontId="0" fillId="0" borderId="0" xfId="2" applyNumberFormat="1" applyFont="1" applyBorder="1" applyAlignment="1">
      <alignment horizontal="center" vertical="center"/>
    </xf>
    <xf numFmtId="10" fontId="0" fillId="0" borderId="0" xfId="2" applyNumberFormat="1" applyFont="1" applyBorder="1">
      <alignment vertical="center"/>
    </xf>
    <xf numFmtId="10" fontId="0" fillId="0" borderId="0" xfId="2" applyNumberFormat="1" applyFont="1" applyFill="1" applyBorder="1">
      <alignment vertical="center"/>
    </xf>
    <xf numFmtId="165" fontId="0" fillId="0" borderId="0" xfId="2" applyNumberFormat="1" applyFont="1" applyBorder="1" applyAlignment="1">
      <alignment horizontal="center" vertical="center"/>
    </xf>
    <xf numFmtId="165" fontId="5" fillId="0" borderId="0" xfId="1" applyNumberFormat="1">
      <alignment vertical="center"/>
    </xf>
    <xf numFmtId="10" fontId="0" fillId="0" borderId="0" xfId="2" applyNumberFormat="1" applyFont="1" applyFill="1" applyBorder="1" applyAlignment="1">
      <alignment horizontal="center" vertical="center"/>
    </xf>
    <xf numFmtId="165" fontId="0" fillId="0" borderId="0" xfId="2" applyNumberFormat="1" applyFont="1" applyFill="1" applyBorder="1" applyAlignment="1">
      <alignment horizontal="center" vertical="center"/>
    </xf>
    <xf numFmtId="0" fontId="8" fillId="0" borderId="0" xfId="1" applyFont="1">
      <alignment vertical="center"/>
    </xf>
    <xf numFmtId="0" fontId="5" fillId="4" borderId="1" xfId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165" fontId="5" fillId="2" borderId="1" xfId="1" applyNumberFormat="1" applyFill="1" applyBorder="1" applyAlignment="1">
      <alignment horizontal="center" vertical="center"/>
    </xf>
    <xf numFmtId="165" fontId="0" fillId="2" borderId="1" xfId="2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5" fillId="0" borderId="1" xfId="1" applyNumberForma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2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2" fontId="16" fillId="0" borderId="1" xfId="0" applyNumberFormat="1" applyFont="1" applyBorder="1" applyAlignment="1">
      <alignment horizontal="center" vertical="center"/>
    </xf>
    <xf numFmtId="165" fontId="5" fillId="0" borderId="1" xfId="2" applyNumberFormat="1" applyFont="1" applyBorder="1" applyAlignment="1">
      <alignment horizontal="center" vertical="center"/>
    </xf>
    <xf numFmtId="165" fontId="5" fillId="2" borderId="1" xfId="2" applyNumberFormat="1" applyFont="1" applyFill="1" applyBorder="1" applyAlignment="1">
      <alignment horizontal="center" vertical="center"/>
    </xf>
    <xf numFmtId="165" fontId="5" fillId="0" borderId="1" xfId="2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22" fontId="15" fillId="0" borderId="1" xfId="0" applyNumberFormat="1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164" fontId="13" fillId="0" borderId="1" xfId="0" applyNumberFormat="1" applyFont="1" applyBorder="1" applyAlignment="1">
      <alignment horizontal="center" vertical="center"/>
    </xf>
  </cellXfs>
  <cellStyles count="3">
    <cellStyle name="一般" xfId="0" builtinId="0"/>
    <cellStyle name="一般 2" xfId="1" xr:uid="{3AAD7941-E6F7-46E6-AF0D-281D050AE8F5}"/>
    <cellStyle name="百分比 2" xfId="2" xr:uid="{51CF0446-CA39-4740-9ECD-2093156013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en-US" altLang="zh-TW" sz="1200" b="1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2024Y TEOS</a:t>
            </a:r>
            <a:r>
              <a:rPr lang="en-US" altLang="zh-TW" sz="1200" b="1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 </a:t>
            </a:r>
            <a:r>
              <a:rPr lang="zh-TW" altLang="en-US" sz="1200" b="1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機台 </a:t>
            </a:r>
            <a:r>
              <a:rPr lang="en-US" altLang="zh-TW" sz="1200" b="1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MTBF</a:t>
            </a:r>
            <a:endParaRPr lang="zh-TW" altLang="en-US" sz="1200" b="1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c:rich>
      </c:tx>
      <c:layout>
        <c:manualLayout>
          <c:xMode val="edge"/>
          <c:yMode val="edge"/>
          <c:x val="0.39759372265966753"/>
          <c:y val="6.0661207158022442E-3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2539412270236"/>
          <c:y val="0.19340433541424851"/>
          <c:w val="0.83433744277609567"/>
          <c:h val="0.42911085317522563"/>
        </c:manualLayout>
      </c:layout>
      <c:lineChart>
        <c:grouping val="standard"/>
        <c:varyColors val="0"/>
        <c:ser>
          <c:idx val="4"/>
          <c:order val="0"/>
          <c:tx>
            <c:strRef>
              <c:f>MTBF!$A$3</c:f>
              <c:strCache>
                <c:ptCount val="1"/>
                <c:pt idx="0">
                  <c:v>LP-T MTBF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MTBF!$B$1:$U$1</c:f>
              <c:strCache>
                <c:ptCount val="20"/>
                <c:pt idx="0">
                  <c:v>2024Y</c:v>
                </c:pt>
                <c:pt idx="1">
                  <c:v>2025Y</c:v>
                </c:pt>
                <c:pt idx="3">
                  <c:v>Q1</c:v>
                </c:pt>
                <c:pt idx="4">
                  <c:v>Q2</c:v>
                </c:pt>
                <c:pt idx="5">
                  <c:v>Q3</c:v>
                </c:pt>
                <c:pt idx="6">
                  <c:v>Q4</c:v>
                </c:pt>
                <c:pt idx="8">
                  <c:v>1M</c:v>
                </c:pt>
                <c:pt idx="9">
                  <c:v>2M</c:v>
                </c:pt>
                <c:pt idx="10">
                  <c:v>3M</c:v>
                </c:pt>
                <c:pt idx="11">
                  <c:v>4M</c:v>
                </c:pt>
                <c:pt idx="12">
                  <c:v>5M</c:v>
                </c:pt>
                <c:pt idx="13">
                  <c:v>6M</c:v>
                </c:pt>
                <c:pt idx="14">
                  <c:v>7M</c:v>
                </c:pt>
                <c:pt idx="15">
                  <c:v>8M</c:v>
                </c:pt>
                <c:pt idx="16">
                  <c:v>9M</c:v>
                </c:pt>
                <c:pt idx="17">
                  <c:v>10M</c:v>
                </c:pt>
                <c:pt idx="18">
                  <c:v>11M</c:v>
                </c:pt>
                <c:pt idx="19">
                  <c:v>12M</c:v>
                </c:pt>
              </c:strCache>
            </c:strRef>
          </c:cat>
          <c:val>
            <c:numRef>
              <c:f>MTBF!$B$3:$U$3</c:f>
              <c:numCache>
                <c:formatCode>0</c:formatCode>
                <c:ptCount val="20"/>
                <c:pt idx="0">
                  <c:v>655</c:v>
                </c:pt>
                <c:pt idx="1">
                  <c:v>743.87142857142862</c:v>
                </c:pt>
                <c:pt idx="3">
                  <c:v>743.87142857142862</c:v>
                </c:pt>
                <c:pt idx="8">
                  <c:v>743.87142857142862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1C-4A80-AE88-A7CFAFC2EF0F}"/>
            </c:ext>
          </c:extLst>
        </c:ser>
        <c:ser>
          <c:idx val="9"/>
          <c:order val="1"/>
          <c:tx>
            <c:strRef>
              <c:f>MTBF!$A$2</c:f>
              <c:strCache>
                <c:ptCount val="1"/>
                <c:pt idx="0">
                  <c:v>Targe</c:v>
                </c:pt>
              </c:strCache>
            </c:strRef>
          </c:tx>
          <c:spPr>
            <a:ln w="12700" cap="rnd">
              <a:solidFill>
                <a:schemeClr val="accent4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dot"/>
            <c:size val="2"/>
            <c:spPr>
              <a:solidFill>
                <a:schemeClr val="accent4">
                  <a:lumMod val="60000"/>
                </a:schemeClr>
              </a:solidFill>
              <a:ln w="12700">
                <a:solidFill>
                  <a:schemeClr val="accent4">
                    <a:lumMod val="60000"/>
                  </a:schemeClr>
                </a:solidFill>
                <a:prstDash val="dash"/>
              </a:ln>
              <a:effectLst/>
            </c:spPr>
          </c:marker>
          <c:val>
            <c:numRef>
              <c:f>MTBF!$B$2:$U$2</c:f>
              <c:numCache>
                <c:formatCode>General</c:formatCode>
                <c:ptCount val="20"/>
                <c:pt idx="0">
                  <c:v>680</c:v>
                </c:pt>
                <c:pt idx="1">
                  <c:v>680</c:v>
                </c:pt>
                <c:pt idx="3">
                  <c:v>680</c:v>
                </c:pt>
                <c:pt idx="4">
                  <c:v>680</c:v>
                </c:pt>
                <c:pt idx="5">
                  <c:v>680</c:v>
                </c:pt>
                <c:pt idx="6">
                  <c:v>680</c:v>
                </c:pt>
                <c:pt idx="8">
                  <c:v>680</c:v>
                </c:pt>
                <c:pt idx="9">
                  <c:v>680</c:v>
                </c:pt>
                <c:pt idx="10">
                  <c:v>680</c:v>
                </c:pt>
                <c:pt idx="11">
                  <c:v>680</c:v>
                </c:pt>
                <c:pt idx="12">
                  <c:v>680</c:v>
                </c:pt>
                <c:pt idx="13">
                  <c:v>680</c:v>
                </c:pt>
                <c:pt idx="14">
                  <c:v>680</c:v>
                </c:pt>
                <c:pt idx="15">
                  <c:v>680</c:v>
                </c:pt>
                <c:pt idx="16">
                  <c:v>680</c:v>
                </c:pt>
                <c:pt idx="17">
                  <c:v>680</c:v>
                </c:pt>
                <c:pt idx="18">
                  <c:v>680</c:v>
                </c:pt>
                <c:pt idx="19">
                  <c:v>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A8-47A7-AB3F-58F1AE3E9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9542960"/>
        <c:axId val="319543376"/>
      </c:lineChart>
      <c:catAx>
        <c:axId val="31954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543376"/>
        <c:crosses val="autoZero"/>
        <c:auto val="1"/>
        <c:lblAlgn val="ctr"/>
        <c:lblOffset val="100"/>
        <c:noMultiLvlLbl val="0"/>
      </c:catAx>
      <c:valAx>
        <c:axId val="319543376"/>
        <c:scaling>
          <c:orientation val="minMax"/>
          <c:max val="80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542960"/>
        <c:crosses val="autoZero"/>
        <c:crossBetween val="between"/>
        <c:majorUnit val="5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LP-TEOS M/D+PM % ( &lt; 4.4 % )</a:t>
            </a:r>
            <a:endParaRPr lang="zh-TW" sz="1200"/>
          </a:p>
        </c:rich>
      </c:tx>
      <c:layout>
        <c:manualLayout>
          <c:xMode val="edge"/>
          <c:yMode val="edge"/>
          <c:x val="0.34175014235880863"/>
          <c:y val="8.419039134251312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2903016752537"/>
          <c:y val="0.10519916142557652"/>
          <c:w val="0.84218945256641631"/>
          <c:h val="0.22204396188700673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'MD+PM'!$A$4</c:f>
              <c:strCache>
                <c:ptCount val="1"/>
                <c:pt idx="0">
                  <c:v>TEOS PM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'MD+PM'!$B$1:$U$1</c:f>
              <c:strCache>
                <c:ptCount val="20"/>
                <c:pt idx="0">
                  <c:v>24Y</c:v>
                </c:pt>
                <c:pt idx="1">
                  <c:v>25Y</c:v>
                </c:pt>
                <c:pt idx="3">
                  <c:v>Q1</c:v>
                </c:pt>
                <c:pt idx="4">
                  <c:v>Q2</c:v>
                </c:pt>
                <c:pt idx="5">
                  <c:v>Q3</c:v>
                </c:pt>
                <c:pt idx="6">
                  <c:v>Q4</c:v>
                </c:pt>
                <c:pt idx="8">
                  <c:v>1M</c:v>
                </c:pt>
                <c:pt idx="9">
                  <c:v>2M</c:v>
                </c:pt>
                <c:pt idx="10">
                  <c:v>3M</c:v>
                </c:pt>
                <c:pt idx="11">
                  <c:v>4M</c:v>
                </c:pt>
                <c:pt idx="12">
                  <c:v>5M</c:v>
                </c:pt>
                <c:pt idx="13">
                  <c:v>6M</c:v>
                </c:pt>
                <c:pt idx="14">
                  <c:v>7M</c:v>
                </c:pt>
                <c:pt idx="15">
                  <c:v>8M</c:v>
                </c:pt>
                <c:pt idx="16">
                  <c:v>9M</c:v>
                </c:pt>
                <c:pt idx="17">
                  <c:v>10M</c:v>
                </c:pt>
                <c:pt idx="18">
                  <c:v>11M</c:v>
                </c:pt>
                <c:pt idx="19">
                  <c:v>12M</c:v>
                </c:pt>
              </c:strCache>
            </c:strRef>
          </c:cat>
          <c:val>
            <c:numRef>
              <c:f>'MD+PM'!$B$4:$U$4</c:f>
              <c:numCache>
                <c:formatCode>0.0</c:formatCode>
                <c:ptCount val="20"/>
                <c:pt idx="0">
                  <c:v>3.2250000000000001</c:v>
                </c:pt>
                <c:pt idx="1">
                  <c:v>4</c:v>
                </c:pt>
                <c:pt idx="3">
                  <c:v>4</c:v>
                </c:pt>
                <c:pt idx="8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AC-4866-A27D-53F575E3A7AA}"/>
            </c:ext>
          </c:extLst>
        </c:ser>
        <c:ser>
          <c:idx val="1"/>
          <c:order val="2"/>
          <c:tx>
            <c:strRef>
              <c:f>'MD+PM'!$A$3</c:f>
              <c:strCache>
                <c:ptCount val="1"/>
                <c:pt idx="0">
                  <c:v>TEOS M/D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'MD+PM'!$B$1:$U$1</c:f>
              <c:strCache>
                <c:ptCount val="20"/>
                <c:pt idx="0">
                  <c:v>24Y</c:v>
                </c:pt>
                <c:pt idx="1">
                  <c:v>25Y</c:v>
                </c:pt>
                <c:pt idx="3">
                  <c:v>Q1</c:v>
                </c:pt>
                <c:pt idx="4">
                  <c:v>Q2</c:v>
                </c:pt>
                <c:pt idx="5">
                  <c:v>Q3</c:v>
                </c:pt>
                <c:pt idx="6">
                  <c:v>Q4</c:v>
                </c:pt>
                <c:pt idx="8">
                  <c:v>1M</c:v>
                </c:pt>
                <c:pt idx="9">
                  <c:v>2M</c:v>
                </c:pt>
                <c:pt idx="10">
                  <c:v>3M</c:v>
                </c:pt>
                <c:pt idx="11">
                  <c:v>4M</c:v>
                </c:pt>
                <c:pt idx="12">
                  <c:v>5M</c:v>
                </c:pt>
                <c:pt idx="13">
                  <c:v>6M</c:v>
                </c:pt>
                <c:pt idx="14">
                  <c:v>7M</c:v>
                </c:pt>
                <c:pt idx="15">
                  <c:v>8M</c:v>
                </c:pt>
                <c:pt idx="16">
                  <c:v>9M</c:v>
                </c:pt>
                <c:pt idx="17">
                  <c:v>10M</c:v>
                </c:pt>
                <c:pt idx="18">
                  <c:v>11M</c:v>
                </c:pt>
                <c:pt idx="19">
                  <c:v>12M</c:v>
                </c:pt>
              </c:strCache>
            </c:strRef>
          </c:cat>
          <c:val>
            <c:numRef>
              <c:f>'MD+PM'!$B$3:$U$3</c:f>
              <c:numCache>
                <c:formatCode>0.0</c:formatCode>
                <c:ptCount val="20"/>
                <c:pt idx="0">
                  <c:v>0.30833333333333335</c:v>
                </c:pt>
                <c:pt idx="1">
                  <c:v>0</c:v>
                </c:pt>
                <c:pt idx="3">
                  <c:v>0</c:v>
                </c:pt>
                <c:pt idx="8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C-4866-A27D-53F575E3A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37502495"/>
        <c:axId val="937508735"/>
      </c:barChart>
      <c:lineChart>
        <c:grouping val="standard"/>
        <c:varyColors val="0"/>
        <c:ser>
          <c:idx val="0"/>
          <c:order val="0"/>
          <c:tx>
            <c:strRef>
              <c:f>'MD+PM'!$A$2</c:f>
              <c:strCache>
                <c:ptCount val="1"/>
                <c:pt idx="0">
                  <c:v>TEOS M/D+PM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11"/>
              <c:layout>
                <c:manualLayout>
                  <c:x val="-2.42796058746979E-2"/>
                  <c:y val="-3.53266209860206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C69-4357-A2FF-3A4427C83C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'MD+PM'!$B$1:$U$1</c:f>
              <c:strCache>
                <c:ptCount val="20"/>
                <c:pt idx="0">
                  <c:v>24Y</c:v>
                </c:pt>
                <c:pt idx="1">
                  <c:v>25Y</c:v>
                </c:pt>
                <c:pt idx="3">
                  <c:v>Q1</c:v>
                </c:pt>
                <c:pt idx="4">
                  <c:v>Q2</c:v>
                </c:pt>
                <c:pt idx="5">
                  <c:v>Q3</c:v>
                </c:pt>
                <c:pt idx="6">
                  <c:v>Q4</c:v>
                </c:pt>
                <c:pt idx="8">
                  <c:v>1M</c:v>
                </c:pt>
                <c:pt idx="9">
                  <c:v>2M</c:v>
                </c:pt>
                <c:pt idx="10">
                  <c:v>3M</c:v>
                </c:pt>
                <c:pt idx="11">
                  <c:v>4M</c:v>
                </c:pt>
                <c:pt idx="12">
                  <c:v>5M</c:v>
                </c:pt>
                <c:pt idx="13">
                  <c:v>6M</c:v>
                </c:pt>
                <c:pt idx="14">
                  <c:v>7M</c:v>
                </c:pt>
                <c:pt idx="15">
                  <c:v>8M</c:v>
                </c:pt>
                <c:pt idx="16">
                  <c:v>9M</c:v>
                </c:pt>
                <c:pt idx="17">
                  <c:v>10M</c:v>
                </c:pt>
                <c:pt idx="18">
                  <c:v>11M</c:v>
                </c:pt>
                <c:pt idx="19">
                  <c:v>12M</c:v>
                </c:pt>
              </c:strCache>
            </c:strRef>
          </c:cat>
          <c:val>
            <c:numRef>
              <c:f>'MD+PM'!$B$2:$U$2</c:f>
              <c:numCache>
                <c:formatCode>0.0</c:formatCode>
                <c:ptCount val="20"/>
                <c:pt idx="0">
                  <c:v>3.5833333333333335</c:v>
                </c:pt>
                <c:pt idx="1">
                  <c:v>4</c:v>
                </c:pt>
                <c:pt idx="3">
                  <c:v>4</c:v>
                </c:pt>
                <c:pt idx="8" formatCode="General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AC-4866-A27D-53F575E3A7AA}"/>
            </c:ext>
          </c:extLst>
        </c:ser>
        <c:ser>
          <c:idx val="3"/>
          <c:order val="3"/>
          <c:tx>
            <c:strRef>
              <c:f>'MD+PM'!$A$5</c:f>
              <c:strCache>
                <c:ptCount val="1"/>
                <c:pt idx="0">
                  <c:v>LP-T1 M/D+PM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Pt>
            <c:idx val="1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7C69-4357-A2FF-3A4427C83CA5}"/>
              </c:ext>
            </c:extLst>
          </c:dPt>
          <c:cat>
            <c:strRef>
              <c:f>'MD+PM'!$B$1:$U$1</c:f>
              <c:strCache>
                <c:ptCount val="20"/>
                <c:pt idx="0">
                  <c:v>24Y</c:v>
                </c:pt>
                <c:pt idx="1">
                  <c:v>25Y</c:v>
                </c:pt>
                <c:pt idx="3">
                  <c:v>Q1</c:v>
                </c:pt>
                <c:pt idx="4">
                  <c:v>Q2</c:v>
                </c:pt>
                <c:pt idx="5">
                  <c:v>Q3</c:v>
                </c:pt>
                <c:pt idx="6">
                  <c:v>Q4</c:v>
                </c:pt>
                <c:pt idx="8">
                  <c:v>1M</c:v>
                </c:pt>
                <c:pt idx="9">
                  <c:v>2M</c:v>
                </c:pt>
                <c:pt idx="10">
                  <c:v>3M</c:v>
                </c:pt>
                <c:pt idx="11">
                  <c:v>4M</c:v>
                </c:pt>
                <c:pt idx="12">
                  <c:v>5M</c:v>
                </c:pt>
                <c:pt idx="13">
                  <c:v>6M</c:v>
                </c:pt>
                <c:pt idx="14">
                  <c:v>7M</c:v>
                </c:pt>
                <c:pt idx="15">
                  <c:v>8M</c:v>
                </c:pt>
                <c:pt idx="16">
                  <c:v>9M</c:v>
                </c:pt>
                <c:pt idx="17">
                  <c:v>10M</c:v>
                </c:pt>
                <c:pt idx="18">
                  <c:v>11M</c:v>
                </c:pt>
                <c:pt idx="19">
                  <c:v>12M</c:v>
                </c:pt>
              </c:strCache>
            </c:strRef>
          </c:cat>
          <c:val>
            <c:numRef>
              <c:f>'MD+PM'!$B$5:$U$5</c:f>
              <c:numCache>
                <c:formatCode>0.0</c:formatCode>
                <c:ptCount val="20"/>
                <c:pt idx="0">
                  <c:v>5.8583333333333316</c:v>
                </c:pt>
                <c:pt idx="1">
                  <c:v>4.0999999999999996</c:v>
                </c:pt>
                <c:pt idx="3">
                  <c:v>4.0999999999999996</c:v>
                </c:pt>
                <c:pt idx="8" formatCode="General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AC-4866-A27D-53F575E3A7AA}"/>
            </c:ext>
          </c:extLst>
        </c:ser>
        <c:ser>
          <c:idx val="4"/>
          <c:order val="4"/>
          <c:tx>
            <c:strRef>
              <c:f>'MD+PM'!$A$6</c:f>
              <c:strCache>
                <c:ptCount val="1"/>
                <c:pt idx="0">
                  <c:v>LP-T2 M/D+PM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'MD+PM'!$B$1:$U$1</c:f>
              <c:strCache>
                <c:ptCount val="20"/>
                <c:pt idx="0">
                  <c:v>24Y</c:v>
                </c:pt>
                <c:pt idx="1">
                  <c:v>25Y</c:v>
                </c:pt>
                <c:pt idx="3">
                  <c:v>Q1</c:v>
                </c:pt>
                <c:pt idx="4">
                  <c:v>Q2</c:v>
                </c:pt>
                <c:pt idx="5">
                  <c:v>Q3</c:v>
                </c:pt>
                <c:pt idx="6">
                  <c:v>Q4</c:v>
                </c:pt>
                <c:pt idx="8">
                  <c:v>1M</c:v>
                </c:pt>
                <c:pt idx="9">
                  <c:v>2M</c:v>
                </c:pt>
                <c:pt idx="10">
                  <c:v>3M</c:v>
                </c:pt>
                <c:pt idx="11">
                  <c:v>4M</c:v>
                </c:pt>
                <c:pt idx="12">
                  <c:v>5M</c:v>
                </c:pt>
                <c:pt idx="13">
                  <c:v>6M</c:v>
                </c:pt>
                <c:pt idx="14">
                  <c:v>7M</c:v>
                </c:pt>
                <c:pt idx="15">
                  <c:v>8M</c:v>
                </c:pt>
                <c:pt idx="16">
                  <c:v>9M</c:v>
                </c:pt>
                <c:pt idx="17">
                  <c:v>10M</c:v>
                </c:pt>
                <c:pt idx="18">
                  <c:v>11M</c:v>
                </c:pt>
                <c:pt idx="19">
                  <c:v>12M</c:v>
                </c:pt>
              </c:strCache>
            </c:strRef>
          </c:cat>
          <c:val>
            <c:numRef>
              <c:f>'MD+PM'!$B$6:$U$6</c:f>
              <c:numCache>
                <c:formatCode>0.0</c:formatCode>
                <c:ptCount val="20"/>
                <c:pt idx="0">
                  <c:v>3.5083333333333333</c:v>
                </c:pt>
                <c:pt idx="1">
                  <c:v>2.2000000000000002</c:v>
                </c:pt>
                <c:pt idx="3">
                  <c:v>2.2000000000000002</c:v>
                </c:pt>
                <c:pt idx="8" formatCode="General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AC-4866-A27D-53F575E3A7AA}"/>
            </c:ext>
          </c:extLst>
        </c:ser>
        <c:ser>
          <c:idx val="5"/>
          <c:order val="5"/>
          <c:tx>
            <c:strRef>
              <c:f>'MD+PM'!$A$7</c:f>
              <c:strCache>
                <c:ptCount val="1"/>
                <c:pt idx="0">
                  <c:v>LP-T3 M/D+PM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'MD+PM'!$B$1:$U$1</c:f>
              <c:strCache>
                <c:ptCount val="20"/>
                <c:pt idx="0">
                  <c:v>24Y</c:v>
                </c:pt>
                <c:pt idx="1">
                  <c:v>25Y</c:v>
                </c:pt>
                <c:pt idx="3">
                  <c:v>Q1</c:v>
                </c:pt>
                <c:pt idx="4">
                  <c:v>Q2</c:v>
                </c:pt>
                <c:pt idx="5">
                  <c:v>Q3</c:v>
                </c:pt>
                <c:pt idx="6">
                  <c:v>Q4</c:v>
                </c:pt>
                <c:pt idx="8">
                  <c:v>1M</c:v>
                </c:pt>
                <c:pt idx="9">
                  <c:v>2M</c:v>
                </c:pt>
                <c:pt idx="10">
                  <c:v>3M</c:v>
                </c:pt>
                <c:pt idx="11">
                  <c:v>4M</c:v>
                </c:pt>
                <c:pt idx="12">
                  <c:v>5M</c:v>
                </c:pt>
                <c:pt idx="13">
                  <c:v>6M</c:v>
                </c:pt>
                <c:pt idx="14">
                  <c:v>7M</c:v>
                </c:pt>
                <c:pt idx="15">
                  <c:v>8M</c:v>
                </c:pt>
                <c:pt idx="16">
                  <c:v>9M</c:v>
                </c:pt>
                <c:pt idx="17">
                  <c:v>10M</c:v>
                </c:pt>
                <c:pt idx="18">
                  <c:v>11M</c:v>
                </c:pt>
                <c:pt idx="19">
                  <c:v>12M</c:v>
                </c:pt>
              </c:strCache>
            </c:strRef>
          </c:cat>
          <c:val>
            <c:numRef>
              <c:f>'MD+PM'!$B$7:$U$7</c:f>
              <c:numCache>
                <c:formatCode>0.0</c:formatCode>
                <c:ptCount val="20"/>
                <c:pt idx="0">
                  <c:v>3.4249999999999994</c:v>
                </c:pt>
                <c:pt idx="1">
                  <c:v>3.7</c:v>
                </c:pt>
                <c:pt idx="3">
                  <c:v>3.7</c:v>
                </c:pt>
                <c:pt idx="8" formatCode="General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AC-4866-A27D-53F575E3A7AA}"/>
            </c:ext>
          </c:extLst>
        </c:ser>
        <c:ser>
          <c:idx val="6"/>
          <c:order val="6"/>
          <c:tx>
            <c:strRef>
              <c:f>'MD+PM'!$A$8</c:f>
              <c:strCache>
                <c:ptCount val="1"/>
                <c:pt idx="0">
                  <c:v>LP-T4 M/D+PM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'MD+PM'!$B$1:$U$1</c:f>
              <c:strCache>
                <c:ptCount val="20"/>
                <c:pt idx="0">
                  <c:v>24Y</c:v>
                </c:pt>
                <c:pt idx="1">
                  <c:v>25Y</c:v>
                </c:pt>
                <c:pt idx="3">
                  <c:v>Q1</c:v>
                </c:pt>
                <c:pt idx="4">
                  <c:v>Q2</c:v>
                </c:pt>
                <c:pt idx="5">
                  <c:v>Q3</c:v>
                </c:pt>
                <c:pt idx="6">
                  <c:v>Q4</c:v>
                </c:pt>
                <c:pt idx="8">
                  <c:v>1M</c:v>
                </c:pt>
                <c:pt idx="9">
                  <c:v>2M</c:v>
                </c:pt>
                <c:pt idx="10">
                  <c:v>3M</c:v>
                </c:pt>
                <c:pt idx="11">
                  <c:v>4M</c:v>
                </c:pt>
                <c:pt idx="12">
                  <c:v>5M</c:v>
                </c:pt>
                <c:pt idx="13">
                  <c:v>6M</c:v>
                </c:pt>
                <c:pt idx="14">
                  <c:v>7M</c:v>
                </c:pt>
                <c:pt idx="15">
                  <c:v>8M</c:v>
                </c:pt>
                <c:pt idx="16">
                  <c:v>9M</c:v>
                </c:pt>
                <c:pt idx="17">
                  <c:v>10M</c:v>
                </c:pt>
                <c:pt idx="18">
                  <c:v>11M</c:v>
                </c:pt>
                <c:pt idx="19">
                  <c:v>12M</c:v>
                </c:pt>
              </c:strCache>
            </c:strRef>
          </c:cat>
          <c:val>
            <c:numRef>
              <c:f>'MD+PM'!$B$8:$U$8</c:f>
              <c:numCache>
                <c:formatCode>0.0</c:formatCode>
                <c:ptCount val="20"/>
                <c:pt idx="0">
                  <c:v>3.5749999999999997</c:v>
                </c:pt>
                <c:pt idx="1">
                  <c:v>3.2</c:v>
                </c:pt>
                <c:pt idx="3">
                  <c:v>3.2</c:v>
                </c:pt>
                <c:pt idx="8" formatCode="General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AC-4866-A27D-53F575E3A7AA}"/>
            </c:ext>
          </c:extLst>
        </c:ser>
        <c:ser>
          <c:idx val="7"/>
          <c:order val="7"/>
          <c:tx>
            <c:strRef>
              <c:f>'MD+PM'!$A$9</c:f>
              <c:strCache>
                <c:ptCount val="1"/>
                <c:pt idx="0">
                  <c:v>LP-T5 M/D+PM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'MD+PM'!$B$1:$U$1</c:f>
              <c:strCache>
                <c:ptCount val="20"/>
                <c:pt idx="0">
                  <c:v>24Y</c:v>
                </c:pt>
                <c:pt idx="1">
                  <c:v>25Y</c:v>
                </c:pt>
                <c:pt idx="3">
                  <c:v>Q1</c:v>
                </c:pt>
                <c:pt idx="4">
                  <c:v>Q2</c:v>
                </c:pt>
                <c:pt idx="5">
                  <c:v>Q3</c:v>
                </c:pt>
                <c:pt idx="6">
                  <c:v>Q4</c:v>
                </c:pt>
                <c:pt idx="8">
                  <c:v>1M</c:v>
                </c:pt>
                <c:pt idx="9">
                  <c:v>2M</c:v>
                </c:pt>
                <c:pt idx="10">
                  <c:v>3M</c:v>
                </c:pt>
                <c:pt idx="11">
                  <c:v>4M</c:v>
                </c:pt>
                <c:pt idx="12">
                  <c:v>5M</c:v>
                </c:pt>
                <c:pt idx="13">
                  <c:v>6M</c:v>
                </c:pt>
                <c:pt idx="14">
                  <c:v>7M</c:v>
                </c:pt>
                <c:pt idx="15">
                  <c:v>8M</c:v>
                </c:pt>
                <c:pt idx="16">
                  <c:v>9M</c:v>
                </c:pt>
                <c:pt idx="17">
                  <c:v>10M</c:v>
                </c:pt>
                <c:pt idx="18">
                  <c:v>11M</c:v>
                </c:pt>
                <c:pt idx="19">
                  <c:v>12M</c:v>
                </c:pt>
              </c:strCache>
            </c:strRef>
          </c:cat>
          <c:val>
            <c:numRef>
              <c:f>'MD+PM'!$B$9:$U$9</c:f>
              <c:numCache>
                <c:formatCode>0.0</c:formatCode>
                <c:ptCount val="20"/>
                <c:pt idx="0">
                  <c:v>2.9416666666666669</c:v>
                </c:pt>
                <c:pt idx="1">
                  <c:v>1.9</c:v>
                </c:pt>
                <c:pt idx="3">
                  <c:v>1.9</c:v>
                </c:pt>
                <c:pt idx="8" formatCode="General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AAC-4866-A27D-53F575E3A7AA}"/>
            </c:ext>
          </c:extLst>
        </c:ser>
        <c:ser>
          <c:idx val="8"/>
          <c:order val="8"/>
          <c:tx>
            <c:strRef>
              <c:f>'MD+PM'!$A$10</c:f>
              <c:strCache>
                <c:ptCount val="1"/>
                <c:pt idx="0">
                  <c:v>LP-T6 M/D+PM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'MD+PM'!$B$1:$U$1</c:f>
              <c:strCache>
                <c:ptCount val="20"/>
                <c:pt idx="0">
                  <c:v>24Y</c:v>
                </c:pt>
                <c:pt idx="1">
                  <c:v>25Y</c:v>
                </c:pt>
                <c:pt idx="3">
                  <c:v>Q1</c:v>
                </c:pt>
                <c:pt idx="4">
                  <c:v>Q2</c:v>
                </c:pt>
                <c:pt idx="5">
                  <c:v>Q3</c:v>
                </c:pt>
                <c:pt idx="6">
                  <c:v>Q4</c:v>
                </c:pt>
                <c:pt idx="8">
                  <c:v>1M</c:v>
                </c:pt>
                <c:pt idx="9">
                  <c:v>2M</c:v>
                </c:pt>
                <c:pt idx="10">
                  <c:v>3M</c:v>
                </c:pt>
                <c:pt idx="11">
                  <c:v>4M</c:v>
                </c:pt>
                <c:pt idx="12">
                  <c:v>5M</c:v>
                </c:pt>
                <c:pt idx="13">
                  <c:v>6M</c:v>
                </c:pt>
                <c:pt idx="14">
                  <c:v>7M</c:v>
                </c:pt>
                <c:pt idx="15">
                  <c:v>8M</c:v>
                </c:pt>
                <c:pt idx="16">
                  <c:v>9M</c:v>
                </c:pt>
                <c:pt idx="17">
                  <c:v>10M</c:v>
                </c:pt>
                <c:pt idx="18">
                  <c:v>11M</c:v>
                </c:pt>
                <c:pt idx="19">
                  <c:v>12M</c:v>
                </c:pt>
              </c:strCache>
            </c:strRef>
          </c:cat>
          <c:val>
            <c:numRef>
              <c:f>'MD+PM'!$B$10:$U$10</c:f>
              <c:numCache>
                <c:formatCode>0.0</c:formatCode>
                <c:ptCount val="20"/>
                <c:pt idx="0">
                  <c:v>2.5249999999999999</c:v>
                </c:pt>
                <c:pt idx="1">
                  <c:v>2.1</c:v>
                </c:pt>
                <c:pt idx="3">
                  <c:v>2.1</c:v>
                </c:pt>
                <c:pt idx="8" formatCode="General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AC-4866-A27D-53F575E3A7AA}"/>
            </c:ext>
          </c:extLst>
        </c:ser>
        <c:ser>
          <c:idx val="9"/>
          <c:order val="9"/>
          <c:tx>
            <c:strRef>
              <c:f>'MD+PM'!$A$11</c:f>
              <c:strCache>
                <c:ptCount val="1"/>
                <c:pt idx="0">
                  <c:v>LP-T8 M/D+PM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'MD+PM'!$B$1:$U$1</c:f>
              <c:strCache>
                <c:ptCount val="20"/>
                <c:pt idx="0">
                  <c:v>24Y</c:v>
                </c:pt>
                <c:pt idx="1">
                  <c:v>25Y</c:v>
                </c:pt>
                <c:pt idx="3">
                  <c:v>Q1</c:v>
                </c:pt>
                <c:pt idx="4">
                  <c:v>Q2</c:v>
                </c:pt>
                <c:pt idx="5">
                  <c:v>Q3</c:v>
                </c:pt>
                <c:pt idx="6">
                  <c:v>Q4</c:v>
                </c:pt>
                <c:pt idx="8">
                  <c:v>1M</c:v>
                </c:pt>
                <c:pt idx="9">
                  <c:v>2M</c:v>
                </c:pt>
                <c:pt idx="10">
                  <c:v>3M</c:v>
                </c:pt>
                <c:pt idx="11">
                  <c:v>4M</c:v>
                </c:pt>
                <c:pt idx="12">
                  <c:v>5M</c:v>
                </c:pt>
                <c:pt idx="13">
                  <c:v>6M</c:v>
                </c:pt>
                <c:pt idx="14">
                  <c:v>7M</c:v>
                </c:pt>
                <c:pt idx="15">
                  <c:v>8M</c:v>
                </c:pt>
                <c:pt idx="16">
                  <c:v>9M</c:v>
                </c:pt>
                <c:pt idx="17">
                  <c:v>10M</c:v>
                </c:pt>
                <c:pt idx="18">
                  <c:v>11M</c:v>
                </c:pt>
                <c:pt idx="19">
                  <c:v>12M</c:v>
                </c:pt>
              </c:strCache>
            </c:strRef>
          </c:cat>
          <c:val>
            <c:numRef>
              <c:f>'MD+PM'!$B$11:$U$11</c:f>
              <c:numCache>
                <c:formatCode>0.0</c:formatCode>
                <c:ptCount val="20"/>
                <c:pt idx="0">
                  <c:v>3.3250000000000006</c:v>
                </c:pt>
                <c:pt idx="1">
                  <c:v>11.1</c:v>
                </c:pt>
                <c:pt idx="3">
                  <c:v>11.1</c:v>
                </c:pt>
                <c:pt idx="8" formatCode="General">
                  <c:v>11.1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AAC-4866-A27D-53F575E3A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7502495"/>
        <c:axId val="937508735"/>
      </c:lineChart>
      <c:catAx>
        <c:axId val="93750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508735"/>
        <c:crosses val="autoZero"/>
        <c:auto val="1"/>
        <c:lblAlgn val="ctr"/>
        <c:lblOffset val="100"/>
        <c:noMultiLvlLbl val="0"/>
      </c:catAx>
      <c:valAx>
        <c:axId val="937508735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502495"/>
        <c:crosses val="autoZero"/>
        <c:crossBetween val="between"/>
        <c:majorUnit val="2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9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aseline="0">
                <a:solidFill>
                  <a:schemeClr val="tx1"/>
                </a:solidFill>
              </a:rPr>
              <a:t>LP-TEOS  (UT+LT+OT+FD+RD)%</a:t>
            </a:r>
            <a:endParaRPr lang="zh-TW" sz="1600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696652127117201E-2"/>
          <c:y val="0.12700029336426619"/>
          <c:w val="0.91747600974338639"/>
          <c:h val="0.671177790148143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'LP-T UT%'!$A$2</c:f>
              <c:strCache>
                <c:ptCount val="1"/>
                <c:pt idx="0">
                  <c:v>LP-T (UT+LT+OT+FD+RD)%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4EE-4DEB-BE80-1BA3F7872E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微軟正黑體" panose="020B0604030504040204" pitchFamily="34" charset="-12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'LP-T UT%'!$B$1:$U$1</c:f>
              <c:strCache>
                <c:ptCount val="20"/>
                <c:pt idx="0">
                  <c:v>2024Y</c:v>
                </c:pt>
                <c:pt idx="1">
                  <c:v>2025Y</c:v>
                </c:pt>
                <c:pt idx="3">
                  <c:v>Q1</c:v>
                </c:pt>
                <c:pt idx="4">
                  <c:v>Q2</c:v>
                </c:pt>
                <c:pt idx="5">
                  <c:v>Q3</c:v>
                </c:pt>
                <c:pt idx="6">
                  <c:v>Q4</c:v>
                </c:pt>
                <c:pt idx="8">
                  <c:v>1M</c:v>
                </c:pt>
                <c:pt idx="9">
                  <c:v>2M</c:v>
                </c:pt>
                <c:pt idx="10">
                  <c:v>3M</c:v>
                </c:pt>
                <c:pt idx="11">
                  <c:v>4M</c:v>
                </c:pt>
                <c:pt idx="12">
                  <c:v>5M</c:v>
                </c:pt>
                <c:pt idx="13">
                  <c:v>6M</c:v>
                </c:pt>
                <c:pt idx="14">
                  <c:v>7M</c:v>
                </c:pt>
                <c:pt idx="15">
                  <c:v>8M</c:v>
                </c:pt>
                <c:pt idx="16">
                  <c:v>9M</c:v>
                </c:pt>
                <c:pt idx="17">
                  <c:v>10M</c:v>
                </c:pt>
                <c:pt idx="18">
                  <c:v>11M</c:v>
                </c:pt>
                <c:pt idx="19">
                  <c:v>12M</c:v>
                </c:pt>
              </c:strCache>
            </c:strRef>
          </c:cat>
          <c:val>
            <c:numRef>
              <c:f>'LP-T UT%'!$B$2:$U$2</c:f>
              <c:numCache>
                <c:formatCode>0.0%</c:formatCode>
                <c:ptCount val="20"/>
                <c:pt idx="0">
                  <c:v>0.91341666666666665</c:v>
                </c:pt>
                <c:pt idx="1">
                  <c:v>0.91</c:v>
                </c:pt>
                <c:pt idx="3">
                  <c:v>0.91</c:v>
                </c:pt>
                <c:pt idx="8">
                  <c:v>0.91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EE-4DEB-BE80-1BA3F7872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784896"/>
        <c:axId val="51057024"/>
      </c:barChart>
      <c:lineChart>
        <c:grouping val="standard"/>
        <c:varyColors val="0"/>
        <c:ser>
          <c:idx val="1"/>
          <c:order val="1"/>
          <c:tx>
            <c:strRef>
              <c:f>'LP-T UT%'!$A$3</c:f>
              <c:strCache>
                <c:ptCount val="1"/>
                <c:pt idx="0">
                  <c:v>spec &gt; 90.6%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'LP-T UT%'!$B$3:$U$3</c:f>
              <c:numCache>
                <c:formatCode>0.0%</c:formatCode>
                <c:ptCount val="20"/>
                <c:pt idx="0">
                  <c:v>0.90600000000000003</c:v>
                </c:pt>
                <c:pt idx="1">
                  <c:v>0.90600000000000003</c:v>
                </c:pt>
                <c:pt idx="3">
                  <c:v>0.90600000000000003</c:v>
                </c:pt>
                <c:pt idx="4">
                  <c:v>0.90600000000000003</c:v>
                </c:pt>
                <c:pt idx="5">
                  <c:v>0.90600000000000003</c:v>
                </c:pt>
                <c:pt idx="6">
                  <c:v>0.90600000000000003</c:v>
                </c:pt>
                <c:pt idx="8">
                  <c:v>0.90600000000000003</c:v>
                </c:pt>
                <c:pt idx="9">
                  <c:v>0.90600000000000003</c:v>
                </c:pt>
                <c:pt idx="10">
                  <c:v>0.90600000000000003</c:v>
                </c:pt>
                <c:pt idx="11">
                  <c:v>0.90600000000000003</c:v>
                </c:pt>
                <c:pt idx="12">
                  <c:v>0.90600000000000003</c:v>
                </c:pt>
                <c:pt idx="13">
                  <c:v>0.90600000000000003</c:v>
                </c:pt>
                <c:pt idx="14">
                  <c:v>0.90600000000000003</c:v>
                </c:pt>
                <c:pt idx="15">
                  <c:v>0.90600000000000003</c:v>
                </c:pt>
                <c:pt idx="16">
                  <c:v>0.90600000000000003</c:v>
                </c:pt>
                <c:pt idx="17">
                  <c:v>0.90600000000000003</c:v>
                </c:pt>
                <c:pt idx="18">
                  <c:v>0.90600000000000003</c:v>
                </c:pt>
                <c:pt idx="19">
                  <c:v>0.90600000000000003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EE-4DEB-BE80-1BA3F7872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84896"/>
        <c:axId val="51057024"/>
      </c:lineChart>
      <c:catAx>
        <c:axId val="507848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+mn-ea"/>
                <a:cs typeface="+mn-cs"/>
              </a:defRPr>
            </a:pPr>
            <a:endParaRPr lang="en-US"/>
          </a:p>
        </c:txPr>
        <c:crossAx val="51057024"/>
        <c:crosses val="autoZero"/>
        <c:auto val="1"/>
        <c:lblAlgn val="ctr"/>
        <c:lblOffset val="100"/>
        <c:noMultiLvlLbl val="0"/>
      </c:catAx>
      <c:valAx>
        <c:axId val="51057024"/>
        <c:scaling>
          <c:orientation val="minMax"/>
          <c:max val="1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84896"/>
        <c:crosses val="autoZero"/>
        <c:crossBetween val="between"/>
        <c:majorUnit val="5.000000000000001E-2"/>
        <c:minorUnit val="4.0000000000000008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微軟正黑體" panose="020B0604030504040204" pitchFamily="34" charset="-12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56728</xdr:colOff>
      <xdr:row>0</xdr:row>
      <xdr:rowOff>38100</xdr:rowOff>
    </xdr:from>
    <xdr:to>
      <xdr:col>31</xdr:col>
      <xdr:colOff>304800</xdr:colOff>
      <xdr:row>10</xdr:row>
      <xdr:rowOff>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5D8F1E02-576D-EA72-EB7A-4C22EF2B4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</xdr:colOff>
      <xdr:row>11</xdr:row>
      <xdr:rowOff>83820</xdr:rowOff>
    </xdr:from>
    <xdr:to>
      <xdr:col>21</xdr:col>
      <xdr:colOff>539750</xdr:colOff>
      <xdr:row>31</xdr:row>
      <xdr:rowOff>88900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A7E8FEA-2535-4098-E449-19149AF6F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35078</xdr:colOff>
      <xdr:row>3</xdr:row>
      <xdr:rowOff>60176</xdr:rowOff>
    </xdr:from>
    <xdr:to>
      <xdr:col>19</xdr:col>
      <xdr:colOff>391886</xdr:colOff>
      <xdr:row>20</xdr:row>
      <xdr:rowOff>97972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3A1B447-13FC-415E-AFE4-D173B7B689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3C973-356E-4066-8638-B967D5B1A33A}">
  <dimension ref="A1:G19"/>
  <sheetViews>
    <sheetView workbookViewId="0">
      <selection activeCell="C7" sqref="C7"/>
    </sheetView>
  </sheetViews>
  <sheetFormatPr defaultRowHeight="15.6" x14ac:dyDescent="0.3"/>
  <cols>
    <col min="1" max="2" width="6.69921875" style="1" customWidth="1"/>
    <col min="3" max="3" width="15.59765625" style="1" customWidth="1"/>
    <col min="4" max="4" width="15.296875" style="1" customWidth="1"/>
    <col min="5" max="5" width="8.69921875" style="1" customWidth="1"/>
    <col min="6" max="6" width="31.3984375" style="2" customWidth="1"/>
    <col min="7" max="7" width="38.3984375" style="2" customWidth="1"/>
    <col min="8" max="16384" width="8.796875" style="1"/>
  </cols>
  <sheetData>
    <row r="1" spans="1:7" ht="16.8" customHeight="1" x14ac:dyDescent="0.3">
      <c r="A1" s="51" t="s">
        <v>1</v>
      </c>
      <c r="B1" s="51" t="s">
        <v>5</v>
      </c>
      <c r="C1" s="51" t="s">
        <v>2</v>
      </c>
      <c r="D1" s="51" t="s">
        <v>3</v>
      </c>
      <c r="E1" s="51" t="s">
        <v>6</v>
      </c>
      <c r="F1" s="52" t="s">
        <v>4</v>
      </c>
      <c r="G1" s="52" t="s">
        <v>0</v>
      </c>
    </row>
    <row r="2" spans="1:7" ht="30.6" customHeight="1" x14ac:dyDescent="0.3">
      <c r="A2" s="12" t="s">
        <v>42</v>
      </c>
      <c r="B2" s="3">
        <v>1</v>
      </c>
      <c r="C2" s="81" t="s">
        <v>99</v>
      </c>
      <c r="D2" s="81" t="s">
        <v>100</v>
      </c>
      <c r="E2" s="3">
        <v>0.2</v>
      </c>
      <c r="F2" s="11" t="s">
        <v>96</v>
      </c>
      <c r="G2" s="4" t="s">
        <v>104</v>
      </c>
    </row>
    <row r="3" spans="1:7" ht="30.6" customHeight="1" x14ac:dyDescent="0.3">
      <c r="A3" s="12" t="s">
        <v>42</v>
      </c>
      <c r="B3" s="3"/>
      <c r="C3" s="82"/>
      <c r="D3" s="82"/>
      <c r="E3" s="3"/>
      <c r="F3" s="4"/>
      <c r="G3" s="11"/>
    </row>
    <row r="4" spans="1:7" ht="30.6" customHeight="1" x14ac:dyDescent="0.3">
      <c r="A4" s="12" t="s">
        <v>42</v>
      </c>
      <c r="B4" s="3"/>
      <c r="C4" s="82"/>
      <c r="D4" s="82"/>
      <c r="E4" s="3"/>
      <c r="F4" s="4"/>
      <c r="G4" s="11"/>
    </row>
    <row r="5" spans="1:7" ht="30.6" customHeight="1" x14ac:dyDescent="0.3">
      <c r="A5" s="12" t="s">
        <v>42</v>
      </c>
      <c r="B5" s="3"/>
      <c r="C5" s="82"/>
      <c r="D5" s="82"/>
      <c r="E5" s="3"/>
      <c r="F5" s="4"/>
      <c r="G5" s="11"/>
    </row>
    <row r="6" spans="1:7" ht="30.6" customHeight="1" x14ac:dyDescent="0.3">
      <c r="A6" s="12" t="s">
        <v>42</v>
      </c>
      <c r="B6" s="3"/>
      <c r="C6" s="82"/>
      <c r="D6" s="82"/>
      <c r="E6" s="3"/>
      <c r="F6" s="4"/>
      <c r="G6" s="11"/>
    </row>
    <row r="7" spans="1:7" ht="30.6" customHeight="1" x14ac:dyDescent="0.3">
      <c r="A7" s="12" t="s">
        <v>42</v>
      </c>
      <c r="B7" s="3"/>
      <c r="C7" s="82"/>
      <c r="D7" s="82"/>
      <c r="E7" s="3"/>
      <c r="F7" s="4"/>
      <c r="G7" s="11"/>
    </row>
    <row r="8" spans="1:7" ht="30.6" customHeight="1" x14ac:dyDescent="0.3">
      <c r="A8" s="12" t="s">
        <v>42</v>
      </c>
      <c r="B8" s="3"/>
      <c r="C8" s="82"/>
      <c r="D8" s="82"/>
      <c r="E8" s="3"/>
      <c r="F8" s="11"/>
      <c r="G8" s="11"/>
    </row>
    <row r="9" spans="1:7" ht="30.6" customHeight="1" x14ac:dyDescent="0.3">
      <c r="A9" s="12" t="s">
        <v>42</v>
      </c>
      <c r="B9" s="3"/>
      <c r="C9" s="82"/>
      <c r="D9" s="82"/>
      <c r="E9" s="3"/>
      <c r="F9" s="4"/>
      <c r="G9" s="11"/>
    </row>
    <row r="10" spans="1:7" ht="30.6" customHeight="1" x14ac:dyDescent="0.3">
      <c r="A10" s="12" t="s">
        <v>42</v>
      </c>
      <c r="B10" s="3"/>
      <c r="C10" s="82"/>
      <c r="D10" s="82"/>
      <c r="E10" s="3"/>
      <c r="F10" s="4"/>
      <c r="G10" s="11"/>
    </row>
    <row r="11" spans="1:7" ht="30.6" customHeight="1" x14ac:dyDescent="0.3">
      <c r="A11" s="12" t="s">
        <v>42</v>
      </c>
      <c r="B11" s="3"/>
      <c r="C11" s="82"/>
      <c r="D11" s="82"/>
      <c r="E11" s="3"/>
      <c r="F11" s="4"/>
      <c r="G11" s="4"/>
    </row>
    <row r="12" spans="1:7" ht="30.6" customHeight="1" x14ac:dyDescent="0.3">
      <c r="A12" s="12" t="s">
        <v>42</v>
      </c>
      <c r="B12" s="3"/>
      <c r="C12" s="82"/>
      <c r="D12" s="82"/>
      <c r="E12" s="3"/>
      <c r="F12" s="4"/>
      <c r="G12" s="11"/>
    </row>
    <row r="13" spans="1:7" ht="30.6" customHeight="1" x14ac:dyDescent="0.3">
      <c r="A13" s="12" t="s">
        <v>42</v>
      </c>
      <c r="B13" s="3"/>
      <c r="C13" s="82"/>
      <c r="D13" s="82"/>
      <c r="E13" s="3"/>
      <c r="F13" s="4"/>
      <c r="G13" s="11"/>
    </row>
    <row r="14" spans="1:7" ht="30.6" customHeight="1" x14ac:dyDescent="0.3">
      <c r="A14" s="12" t="s">
        <v>42</v>
      </c>
      <c r="B14" s="3"/>
      <c r="C14" s="82"/>
      <c r="D14" s="82"/>
      <c r="E14" s="3"/>
      <c r="F14" s="4"/>
      <c r="G14" s="4"/>
    </row>
    <row r="15" spans="1:7" ht="30.6" customHeight="1" x14ac:dyDescent="0.3">
      <c r="A15" s="12" t="s">
        <v>42</v>
      </c>
      <c r="B15" s="3"/>
      <c r="C15" s="82"/>
      <c r="D15" s="82"/>
      <c r="E15" s="3"/>
      <c r="F15" s="4"/>
      <c r="G15" s="11"/>
    </row>
    <row r="16" spans="1:7" ht="30.6" customHeight="1" x14ac:dyDescent="0.3">
      <c r="A16" s="12" t="s">
        <v>42</v>
      </c>
      <c r="B16" s="3"/>
      <c r="C16" s="82"/>
      <c r="D16" s="82"/>
      <c r="E16" s="3"/>
      <c r="F16" s="4"/>
      <c r="G16" s="11"/>
    </row>
    <row r="17" spans="1:7" ht="30.6" customHeight="1" x14ac:dyDescent="0.3">
      <c r="A17" s="12" t="s">
        <v>42</v>
      </c>
      <c r="B17" s="3"/>
      <c r="C17" s="82"/>
      <c r="D17" s="82"/>
      <c r="E17" s="3"/>
      <c r="F17" s="4"/>
      <c r="G17" s="4"/>
    </row>
    <row r="18" spans="1:7" ht="30.6" customHeight="1" x14ac:dyDescent="0.3">
      <c r="A18" s="12" t="s">
        <v>42</v>
      </c>
      <c r="B18" s="3"/>
      <c r="C18" s="82"/>
      <c r="D18" s="82"/>
      <c r="E18" s="3"/>
      <c r="F18" s="4"/>
      <c r="G18" s="4"/>
    </row>
    <row r="19" spans="1:7" ht="30.6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9F67-E7A0-469A-B433-1DCA7C57A504}">
  <dimension ref="A1:G19"/>
  <sheetViews>
    <sheetView workbookViewId="0">
      <selection activeCell="I1" sqref="I1:J1048576"/>
    </sheetView>
  </sheetViews>
  <sheetFormatPr defaultRowHeight="15.6" x14ac:dyDescent="0.3"/>
  <cols>
    <col min="1" max="2" width="6.69921875" style="1" customWidth="1"/>
    <col min="3" max="3" width="15.3984375" style="1" customWidth="1"/>
    <col min="4" max="4" width="15.69921875" style="1" customWidth="1"/>
    <col min="5" max="5" width="8.69921875" style="1" customWidth="1"/>
    <col min="6" max="6" width="29.09765625" style="2" customWidth="1"/>
    <col min="7" max="7" width="43.5" style="2" customWidth="1"/>
    <col min="8" max="16384" width="8.796875" style="1"/>
  </cols>
  <sheetData>
    <row r="1" spans="1:7" ht="23.4" customHeight="1" x14ac:dyDescent="0.3">
      <c r="A1" s="51" t="s">
        <v>1</v>
      </c>
      <c r="B1" s="51" t="s">
        <v>5</v>
      </c>
      <c r="C1" s="51" t="s">
        <v>2</v>
      </c>
      <c r="D1" s="51" t="s">
        <v>3</v>
      </c>
      <c r="E1" s="51" t="s">
        <v>6</v>
      </c>
      <c r="F1" s="52" t="s">
        <v>4</v>
      </c>
      <c r="G1" s="52" t="s">
        <v>0</v>
      </c>
    </row>
    <row r="2" spans="1:7" ht="23.4" customHeight="1" x14ac:dyDescent="0.3">
      <c r="A2" s="12" t="s">
        <v>43</v>
      </c>
      <c r="B2" s="3"/>
      <c r="C2" s="10"/>
      <c r="D2" s="10"/>
      <c r="E2" s="6"/>
      <c r="F2" s="4"/>
      <c r="G2" s="11"/>
    </row>
    <row r="3" spans="1:7" ht="23.4" customHeight="1" x14ac:dyDescent="0.3">
      <c r="A3" s="12" t="s">
        <v>43</v>
      </c>
      <c r="B3" s="3"/>
      <c r="C3" s="10"/>
      <c r="D3" s="10"/>
      <c r="E3" s="6"/>
      <c r="F3" s="11"/>
      <c r="G3" s="11"/>
    </row>
    <row r="4" spans="1:7" ht="23.4" customHeight="1" x14ac:dyDescent="0.3">
      <c r="A4" s="12" t="s">
        <v>43</v>
      </c>
      <c r="B4" s="3"/>
      <c r="C4" s="10"/>
      <c r="D4" s="10"/>
      <c r="E4" s="6"/>
      <c r="F4" s="4"/>
      <c r="G4" s="11"/>
    </row>
    <row r="5" spans="1:7" ht="23.4" customHeight="1" x14ac:dyDescent="0.3">
      <c r="A5" s="12" t="s">
        <v>43</v>
      </c>
      <c r="B5" s="3"/>
      <c r="C5" s="10"/>
      <c r="D5" s="10"/>
      <c r="E5" s="3"/>
      <c r="F5" s="4"/>
      <c r="G5" s="4"/>
    </row>
    <row r="6" spans="1:7" ht="23.4" customHeight="1" x14ac:dyDescent="0.3">
      <c r="A6" s="12" t="s">
        <v>43</v>
      </c>
      <c r="B6" s="3"/>
      <c r="C6" s="10"/>
      <c r="D6" s="10"/>
      <c r="E6" s="3"/>
      <c r="F6" s="4"/>
      <c r="G6" s="11"/>
    </row>
    <row r="7" spans="1:7" ht="23.4" customHeight="1" x14ac:dyDescent="0.3">
      <c r="A7" s="12" t="s">
        <v>43</v>
      </c>
      <c r="B7" s="3"/>
      <c r="C7" s="10"/>
      <c r="D7" s="10"/>
      <c r="E7" s="3"/>
      <c r="F7" s="4"/>
      <c r="G7" s="11"/>
    </row>
    <row r="8" spans="1:7" ht="23.4" customHeight="1" x14ac:dyDescent="0.3">
      <c r="A8" s="12" t="s">
        <v>43</v>
      </c>
      <c r="B8" s="3"/>
      <c r="C8" s="10"/>
      <c r="D8" s="10"/>
      <c r="E8" s="3"/>
      <c r="F8" s="4"/>
      <c r="G8" s="11"/>
    </row>
    <row r="9" spans="1:7" ht="23.4" customHeight="1" x14ac:dyDescent="0.3">
      <c r="A9" s="12" t="s">
        <v>43</v>
      </c>
      <c r="B9" s="3"/>
      <c r="C9" s="10"/>
      <c r="D9" s="10"/>
      <c r="E9" s="3"/>
      <c r="F9" s="4"/>
      <c r="G9" s="11"/>
    </row>
    <row r="10" spans="1:7" ht="23.4" customHeight="1" x14ac:dyDescent="0.3">
      <c r="A10" s="12" t="s">
        <v>43</v>
      </c>
      <c r="B10" s="3"/>
      <c r="C10" s="10"/>
      <c r="D10" s="10"/>
      <c r="E10" s="3"/>
      <c r="F10" s="4"/>
      <c r="G10" s="11"/>
    </row>
    <row r="11" spans="1:7" ht="23.4" customHeight="1" x14ac:dyDescent="0.3">
      <c r="A11" s="12" t="s">
        <v>43</v>
      </c>
      <c r="B11" s="3"/>
      <c r="C11" s="10"/>
      <c r="D11" s="10"/>
      <c r="E11" s="3"/>
      <c r="F11" s="4"/>
      <c r="G11" s="11"/>
    </row>
    <row r="12" spans="1:7" ht="23.4" customHeight="1" x14ac:dyDescent="0.3">
      <c r="A12" s="12" t="s">
        <v>43</v>
      </c>
      <c r="B12" s="3"/>
      <c r="C12" s="10"/>
      <c r="D12" s="10"/>
      <c r="E12" s="3"/>
      <c r="F12" s="4"/>
      <c r="G12" s="4"/>
    </row>
    <row r="13" spans="1:7" ht="23.4" customHeight="1" x14ac:dyDescent="0.3"/>
    <row r="14" spans="1:7" ht="23.4" customHeight="1" x14ac:dyDescent="0.3"/>
    <row r="15" spans="1:7" ht="23.4" customHeight="1" x14ac:dyDescent="0.3">
      <c r="E15" s="1" t="s">
        <v>69</v>
      </c>
    </row>
    <row r="19" spans="5:5" x14ac:dyDescent="0.3">
      <c r="E19" s="1" t="s">
        <v>69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7431-CBFC-43AD-B17A-DBC8666DD1AC}">
  <dimension ref="A1:G16"/>
  <sheetViews>
    <sheetView workbookViewId="0">
      <selection activeCell="I1" sqref="I1:J1048576"/>
    </sheetView>
  </sheetViews>
  <sheetFormatPr defaultRowHeight="22.2" customHeight="1" x14ac:dyDescent="0.3"/>
  <cols>
    <col min="1" max="2" width="6.69921875" style="1" customWidth="1"/>
    <col min="3" max="4" width="14.69921875" style="1" customWidth="1"/>
    <col min="5" max="5" width="8.69921875" style="1" customWidth="1"/>
    <col min="6" max="6" width="27.59765625" style="2" customWidth="1"/>
    <col min="7" max="7" width="40.59765625" style="2" customWidth="1"/>
    <col min="8" max="16384" width="8.796875" style="1"/>
  </cols>
  <sheetData>
    <row r="1" spans="1:7" ht="22.2" customHeight="1" x14ac:dyDescent="0.3">
      <c r="A1" s="51" t="s">
        <v>1</v>
      </c>
      <c r="B1" s="51" t="s">
        <v>5</v>
      </c>
      <c r="C1" s="51" t="s">
        <v>2</v>
      </c>
      <c r="D1" s="51" t="s">
        <v>3</v>
      </c>
      <c r="E1" s="51" t="s">
        <v>6</v>
      </c>
      <c r="F1" s="52" t="s">
        <v>4</v>
      </c>
      <c r="G1" s="52" t="s">
        <v>0</v>
      </c>
    </row>
    <row r="2" spans="1:7" ht="22.2" customHeight="1" x14ac:dyDescent="0.3">
      <c r="A2" s="12" t="s">
        <v>56</v>
      </c>
      <c r="B2" s="3"/>
      <c r="C2" s="10"/>
      <c r="D2" s="10"/>
      <c r="E2" s="6"/>
      <c r="F2" s="4"/>
      <c r="G2" s="11"/>
    </row>
    <row r="3" spans="1:7" ht="22.2" customHeight="1" x14ac:dyDescent="0.3">
      <c r="A3" s="12" t="s">
        <v>56</v>
      </c>
      <c r="B3" s="3"/>
      <c r="C3" s="10"/>
      <c r="D3" s="10"/>
      <c r="E3" s="3"/>
      <c r="F3" s="4"/>
      <c r="G3" s="11"/>
    </row>
    <row r="4" spans="1:7" ht="22.2" customHeight="1" x14ac:dyDescent="0.3">
      <c r="A4" s="12" t="s">
        <v>56</v>
      </c>
      <c r="B4" s="3"/>
      <c r="C4" s="10"/>
      <c r="D4" s="10"/>
      <c r="E4" s="3"/>
      <c r="F4" s="4"/>
      <c r="G4" s="11"/>
    </row>
    <row r="5" spans="1:7" ht="22.2" customHeight="1" x14ac:dyDescent="0.3">
      <c r="A5" s="12" t="s">
        <v>56</v>
      </c>
      <c r="B5" s="3"/>
      <c r="C5" s="10"/>
      <c r="D5" s="10"/>
      <c r="E5" s="3"/>
      <c r="F5" s="4"/>
      <c r="G5" s="11"/>
    </row>
    <row r="6" spans="1:7" ht="22.2" customHeight="1" x14ac:dyDescent="0.3">
      <c r="A6" s="12" t="s">
        <v>56</v>
      </c>
      <c r="B6" s="3"/>
      <c r="C6" s="10"/>
      <c r="D6" s="10"/>
      <c r="E6" s="3"/>
      <c r="F6" s="4"/>
      <c r="G6" s="11"/>
    </row>
    <row r="7" spans="1:7" ht="22.2" customHeight="1" x14ac:dyDescent="0.3">
      <c r="A7" s="12" t="s">
        <v>56</v>
      </c>
      <c r="B7" s="3"/>
      <c r="C7" s="10"/>
      <c r="D7" s="10"/>
      <c r="E7" s="3"/>
      <c r="F7" s="4"/>
      <c r="G7" s="11"/>
    </row>
    <row r="8" spans="1:7" ht="22.2" customHeight="1" x14ac:dyDescent="0.3">
      <c r="A8" s="12" t="s">
        <v>56</v>
      </c>
      <c r="B8" s="3"/>
      <c r="C8" s="10"/>
      <c r="D8" s="10"/>
      <c r="E8" s="3"/>
      <c r="F8" s="4"/>
      <c r="G8" s="60"/>
    </row>
    <row r="9" spans="1:7" ht="22.2" customHeight="1" x14ac:dyDescent="0.3">
      <c r="A9" s="12" t="s">
        <v>56</v>
      </c>
      <c r="B9" s="3"/>
      <c r="C9" s="10"/>
      <c r="D9" s="10"/>
      <c r="E9" s="3"/>
      <c r="F9" s="4"/>
      <c r="G9" s="11"/>
    </row>
    <row r="11" spans="1:7" ht="22.2" customHeight="1" x14ac:dyDescent="0.3">
      <c r="E11" s="1" t="s">
        <v>69</v>
      </c>
    </row>
    <row r="16" spans="1:7" ht="22.2" customHeight="1" x14ac:dyDescent="0.3">
      <c r="E16" s="5" t="s">
        <v>69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B92A-2B25-4C31-A12E-A4BB60D9A906}">
  <dimension ref="A1:G12"/>
  <sheetViews>
    <sheetView workbookViewId="0">
      <selection activeCell="F6" sqref="F6"/>
    </sheetView>
  </sheetViews>
  <sheetFormatPr defaultRowHeight="27.6" customHeight="1" x14ac:dyDescent="0.3"/>
  <cols>
    <col min="1" max="2" width="6.69921875" style="1" customWidth="1"/>
    <col min="3" max="4" width="15.3984375" style="8" customWidth="1"/>
    <col min="5" max="5" width="8.69921875" style="1" customWidth="1"/>
    <col min="6" max="6" width="29.19921875" style="2" customWidth="1"/>
    <col min="7" max="7" width="47.09765625" style="92" customWidth="1"/>
    <col min="8" max="16384" width="8.796875" style="1"/>
  </cols>
  <sheetData>
    <row r="1" spans="1:7" ht="27.6" customHeight="1" x14ac:dyDescent="0.3">
      <c r="A1" s="51" t="s">
        <v>1</v>
      </c>
      <c r="B1" s="51" t="s">
        <v>5</v>
      </c>
      <c r="C1" s="89" t="s">
        <v>2</v>
      </c>
      <c r="D1" s="89" t="s">
        <v>3</v>
      </c>
      <c r="E1" s="51" t="s">
        <v>6</v>
      </c>
      <c r="F1" s="52" t="s">
        <v>4</v>
      </c>
      <c r="G1" s="90" t="s">
        <v>0</v>
      </c>
    </row>
    <row r="2" spans="1:7" ht="60" customHeight="1" x14ac:dyDescent="0.3">
      <c r="A2" s="12" t="s">
        <v>39</v>
      </c>
      <c r="B2" s="3">
        <v>2</v>
      </c>
      <c r="C2" s="82" t="s">
        <v>110</v>
      </c>
      <c r="D2" s="82" t="s">
        <v>111</v>
      </c>
      <c r="E2" s="3">
        <v>2.83</v>
      </c>
      <c r="F2" s="4" t="s">
        <v>116</v>
      </c>
      <c r="G2" s="91" t="s">
        <v>117</v>
      </c>
    </row>
    <row r="3" spans="1:7" ht="27.6" customHeight="1" x14ac:dyDescent="0.3">
      <c r="A3" s="12" t="s">
        <v>39</v>
      </c>
      <c r="B3" s="3"/>
      <c r="C3" s="82"/>
      <c r="D3" s="82"/>
      <c r="E3" s="3"/>
      <c r="F3" s="4"/>
      <c r="G3" s="91"/>
    </row>
    <row r="4" spans="1:7" ht="27.6" customHeight="1" x14ac:dyDescent="0.3">
      <c r="A4" s="12" t="s">
        <v>39</v>
      </c>
      <c r="B4" s="3"/>
      <c r="C4" s="82"/>
      <c r="D4" s="82"/>
      <c r="E4" s="3"/>
      <c r="F4" s="4"/>
      <c r="G4" s="91"/>
    </row>
    <row r="5" spans="1:7" ht="27.6" customHeight="1" x14ac:dyDescent="0.3">
      <c r="A5" s="12" t="s">
        <v>39</v>
      </c>
      <c r="B5" s="3"/>
      <c r="C5" s="82"/>
      <c r="D5" s="82"/>
      <c r="E5" s="3"/>
      <c r="F5" s="4"/>
      <c r="G5" s="91"/>
    </row>
    <row r="6" spans="1:7" ht="27.6" customHeight="1" x14ac:dyDescent="0.3">
      <c r="A6" s="12" t="s">
        <v>39</v>
      </c>
      <c r="B6" s="3"/>
      <c r="C6" s="82"/>
      <c r="D6" s="82"/>
      <c r="E6" s="3"/>
      <c r="F6" s="4"/>
      <c r="G6" s="91"/>
    </row>
    <row r="7" spans="1:7" ht="27.6" customHeight="1" x14ac:dyDescent="0.3">
      <c r="A7" s="12" t="s">
        <v>39</v>
      </c>
      <c r="B7" s="3"/>
      <c r="C7" s="82"/>
      <c r="D7" s="82"/>
      <c r="E7" s="3"/>
      <c r="F7" s="4"/>
      <c r="G7" s="91"/>
    </row>
    <row r="8" spans="1:7" ht="27.6" customHeight="1" x14ac:dyDescent="0.3">
      <c r="A8" s="12" t="s">
        <v>39</v>
      </c>
      <c r="B8" s="3"/>
      <c r="C8" s="82"/>
      <c r="D8" s="82"/>
      <c r="E8" s="3"/>
      <c r="F8" s="4"/>
      <c r="G8" s="91"/>
    </row>
    <row r="9" spans="1:7" ht="27.6" customHeight="1" x14ac:dyDescent="0.3">
      <c r="A9" s="12" t="s">
        <v>39</v>
      </c>
      <c r="B9" s="3"/>
      <c r="C9" s="82"/>
      <c r="D9" s="82"/>
      <c r="E9" s="3"/>
      <c r="F9" s="4"/>
      <c r="G9" s="91"/>
    </row>
    <row r="10" spans="1:7" ht="27.6" customHeight="1" x14ac:dyDescent="0.3">
      <c r="A10" s="12" t="s">
        <v>39</v>
      </c>
      <c r="B10" s="3"/>
      <c r="C10" s="82"/>
      <c r="D10" s="82"/>
      <c r="E10" s="3"/>
      <c r="F10" s="4"/>
      <c r="G10" s="91"/>
    </row>
    <row r="11" spans="1:7" ht="27.6" customHeight="1" x14ac:dyDescent="0.3">
      <c r="A11" s="12" t="s">
        <v>39</v>
      </c>
      <c r="B11" s="3"/>
      <c r="C11" s="82"/>
      <c r="D11" s="82"/>
      <c r="E11" s="3"/>
      <c r="F11" s="4"/>
      <c r="G11" s="91"/>
    </row>
    <row r="12" spans="1:7" ht="27.6" customHeight="1" x14ac:dyDescent="0.3">
      <c r="A12" s="12" t="s">
        <v>39</v>
      </c>
      <c r="B12" s="3"/>
      <c r="C12" s="82"/>
      <c r="D12" s="82"/>
      <c r="E12" s="3"/>
      <c r="F12" s="4"/>
      <c r="G12" s="9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CDD73-12CF-4891-982E-8587030DB72F}">
  <dimension ref="A1:G21"/>
  <sheetViews>
    <sheetView workbookViewId="0">
      <selection activeCell="G7" sqref="G7"/>
    </sheetView>
  </sheetViews>
  <sheetFormatPr defaultRowHeight="21" customHeight="1" x14ac:dyDescent="0.3"/>
  <cols>
    <col min="1" max="2" width="6.69921875" style="1" customWidth="1"/>
    <col min="3" max="4" width="14.69921875" style="8" customWidth="1"/>
    <col min="5" max="5" width="8.69921875" style="1" customWidth="1"/>
    <col min="6" max="6" width="29.09765625" style="2" customWidth="1"/>
    <col min="7" max="7" width="45.5" style="92" customWidth="1"/>
    <col min="8" max="16384" width="8.796875" style="1"/>
  </cols>
  <sheetData>
    <row r="1" spans="1:7" ht="21" customHeight="1" x14ac:dyDescent="0.3">
      <c r="A1" s="51" t="s">
        <v>1</v>
      </c>
      <c r="B1" s="51" t="s">
        <v>5</v>
      </c>
      <c r="C1" s="89" t="s">
        <v>2</v>
      </c>
      <c r="D1" s="89" t="s">
        <v>3</v>
      </c>
      <c r="E1" s="51" t="s">
        <v>6</v>
      </c>
      <c r="F1" s="52" t="s">
        <v>4</v>
      </c>
      <c r="G1" s="90" t="s">
        <v>0</v>
      </c>
    </row>
    <row r="2" spans="1:7" ht="85.8" customHeight="1" x14ac:dyDescent="0.3">
      <c r="A2" s="12" t="s">
        <v>82</v>
      </c>
      <c r="B2" s="3">
        <v>2</v>
      </c>
      <c r="C2" s="82" t="s">
        <v>112</v>
      </c>
      <c r="D2" s="82" t="s">
        <v>113</v>
      </c>
      <c r="E2" s="6">
        <v>11.02</v>
      </c>
      <c r="F2" s="4" t="s">
        <v>118</v>
      </c>
      <c r="G2" s="91" t="s">
        <v>119</v>
      </c>
    </row>
    <row r="3" spans="1:7" ht="21" customHeight="1" x14ac:dyDescent="0.3">
      <c r="A3" s="12" t="s">
        <v>82</v>
      </c>
      <c r="B3" s="3"/>
      <c r="C3" s="82"/>
      <c r="D3" s="82"/>
      <c r="E3" s="6"/>
      <c r="F3" s="11"/>
      <c r="G3" s="93"/>
    </row>
    <row r="4" spans="1:7" ht="21" customHeight="1" x14ac:dyDescent="0.3">
      <c r="A4" s="12" t="s">
        <v>82</v>
      </c>
      <c r="B4" s="3"/>
      <c r="C4" s="82"/>
      <c r="D4" s="82"/>
      <c r="E4" s="6"/>
      <c r="F4" s="4"/>
      <c r="G4" s="93"/>
    </row>
    <row r="5" spans="1:7" ht="21" customHeight="1" x14ac:dyDescent="0.3">
      <c r="A5" s="12" t="s">
        <v>82</v>
      </c>
      <c r="B5" s="3"/>
      <c r="C5" s="82"/>
      <c r="D5" s="82"/>
      <c r="E5" s="3"/>
      <c r="F5" s="4"/>
      <c r="G5" s="91"/>
    </row>
    <row r="6" spans="1:7" ht="21" customHeight="1" x14ac:dyDescent="0.3">
      <c r="A6" s="12" t="s">
        <v>82</v>
      </c>
      <c r="B6" s="3"/>
      <c r="C6" s="82"/>
      <c r="D6" s="82"/>
      <c r="E6" s="3"/>
      <c r="F6" s="4"/>
      <c r="G6" s="91"/>
    </row>
    <row r="7" spans="1:7" ht="21" customHeight="1" x14ac:dyDescent="0.3">
      <c r="A7" s="12" t="s">
        <v>82</v>
      </c>
      <c r="B7" s="3"/>
      <c r="C7" s="82"/>
      <c r="D7" s="82"/>
      <c r="E7" s="3"/>
      <c r="F7" s="4"/>
      <c r="G7" s="91"/>
    </row>
    <row r="8" spans="1:7" ht="21" customHeight="1" x14ac:dyDescent="0.3">
      <c r="A8" s="12" t="s">
        <v>82</v>
      </c>
      <c r="B8" s="3"/>
      <c r="C8" s="82"/>
      <c r="D8" s="82"/>
      <c r="E8" s="3"/>
      <c r="F8" s="4"/>
      <c r="G8" s="91"/>
    </row>
    <row r="9" spans="1:7" ht="21" customHeight="1" x14ac:dyDescent="0.3">
      <c r="A9" s="12" t="s">
        <v>82</v>
      </c>
      <c r="B9" s="3"/>
      <c r="C9" s="82"/>
      <c r="D9" s="82"/>
      <c r="E9" s="6"/>
      <c r="F9" s="4"/>
      <c r="G9" s="91"/>
    </row>
    <row r="10" spans="1:7" ht="21" customHeight="1" x14ac:dyDescent="0.3">
      <c r="A10" s="12" t="s">
        <v>82</v>
      </c>
      <c r="B10" s="3"/>
      <c r="C10" s="82"/>
      <c r="D10" s="82"/>
      <c r="E10" s="3"/>
      <c r="F10" s="4"/>
      <c r="G10" s="91"/>
    </row>
    <row r="11" spans="1:7" ht="21" customHeight="1" x14ac:dyDescent="0.3">
      <c r="A11" s="12" t="s">
        <v>82</v>
      </c>
      <c r="B11" s="3"/>
      <c r="C11" s="82"/>
      <c r="D11" s="82"/>
      <c r="E11" s="3"/>
      <c r="F11" s="4"/>
      <c r="G11" s="93"/>
    </row>
    <row r="12" spans="1:7" ht="21" customHeight="1" x14ac:dyDescent="0.3">
      <c r="A12" s="12" t="s">
        <v>82</v>
      </c>
      <c r="B12" s="3"/>
      <c r="C12" s="82"/>
      <c r="D12" s="82"/>
      <c r="E12" s="6"/>
      <c r="F12" s="4"/>
      <c r="G12" s="93"/>
    </row>
    <row r="21" spans="5:5" ht="21" customHeight="1" x14ac:dyDescent="0.3">
      <c r="E21" s="1" t="s">
        <v>69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B5CA-B8E1-4910-B42B-8C81874D42DD}">
  <dimension ref="A1:G17"/>
  <sheetViews>
    <sheetView workbookViewId="0">
      <selection activeCell="I12" sqref="I12"/>
    </sheetView>
  </sheetViews>
  <sheetFormatPr defaultRowHeight="19.8" customHeight="1" x14ac:dyDescent="0.3"/>
  <cols>
    <col min="1" max="2" width="6.69921875" style="1" customWidth="1"/>
    <col min="3" max="4" width="15.3984375" style="8" customWidth="1"/>
    <col min="5" max="5" width="8.69921875" style="1" customWidth="1"/>
    <col min="6" max="6" width="29.296875" style="2" customWidth="1"/>
    <col min="7" max="7" width="33.796875" style="92" customWidth="1"/>
    <col min="8" max="16384" width="8.796875" style="1"/>
  </cols>
  <sheetData>
    <row r="1" spans="1:7" ht="19.8" customHeight="1" x14ac:dyDescent="0.3">
      <c r="A1" s="51" t="s">
        <v>1</v>
      </c>
      <c r="B1" s="51" t="s">
        <v>5</v>
      </c>
      <c r="C1" s="89" t="s">
        <v>2</v>
      </c>
      <c r="D1" s="89" t="s">
        <v>3</v>
      </c>
      <c r="E1" s="51" t="s">
        <v>6</v>
      </c>
      <c r="F1" s="52" t="s">
        <v>4</v>
      </c>
      <c r="G1" s="90" t="s">
        <v>0</v>
      </c>
    </row>
    <row r="2" spans="1:7" ht="19.8" customHeight="1" x14ac:dyDescent="0.3">
      <c r="A2" s="12" t="s">
        <v>81</v>
      </c>
      <c r="B2" s="3">
        <v>1</v>
      </c>
      <c r="C2" s="82" t="s">
        <v>101</v>
      </c>
      <c r="D2" s="82" t="s">
        <v>102</v>
      </c>
      <c r="E2" s="6">
        <v>0.65</v>
      </c>
      <c r="F2" s="4" t="s">
        <v>103</v>
      </c>
      <c r="G2" s="93"/>
    </row>
    <row r="3" spans="1:7" ht="22.2" customHeight="1" x14ac:dyDescent="0.3">
      <c r="A3" s="12" t="s">
        <v>81</v>
      </c>
      <c r="B3" s="3">
        <v>2</v>
      </c>
      <c r="C3" s="82" t="s">
        <v>114</v>
      </c>
      <c r="D3" s="82" t="s">
        <v>115</v>
      </c>
      <c r="E3" s="3">
        <v>1.4</v>
      </c>
      <c r="F3" s="4" t="s">
        <v>120</v>
      </c>
      <c r="G3" s="91" t="s">
        <v>121</v>
      </c>
    </row>
    <row r="4" spans="1:7" ht="19.8" customHeight="1" x14ac:dyDescent="0.3">
      <c r="A4" s="12" t="s">
        <v>81</v>
      </c>
      <c r="B4" s="3"/>
      <c r="C4" s="82"/>
      <c r="D4" s="82"/>
      <c r="E4" s="3"/>
      <c r="F4" s="4"/>
      <c r="G4" s="91"/>
    </row>
    <row r="5" spans="1:7" ht="19.8" customHeight="1" x14ac:dyDescent="0.3">
      <c r="A5" s="12" t="s">
        <v>81</v>
      </c>
      <c r="B5" s="3"/>
      <c r="C5" s="82"/>
      <c r="D5" s="82"/>
      <c r="E5" s="3"/>
      <c r="F5" s="4"/>
      <c r="G5" s="91"/>
    </row>
    <row r="17" spans="5:5" ht="19.8" customHeight="1" x14ac:dyDescent="0.3">
      <c r="E17" s="53" t="s">
        <v>69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06F67-A7D0-4CC7-9839-4D652F732231}">
  <dimension ref="A1:G21"/>
  <sheetViews>
    <sheetView workbookViewId="0">
      <selection activeCell="C10" sqref="C10"/>
    </sheetView>
  </sheetViews>
  <sheetFormatPr defaultRowHeight="20.399999999999999" customHeight="1" x14ac:dyDescent="0.3"/>
  <cols>
    <col min="1" max="2" width="6.69921875" style="1" customWidth="1"/>
    <col min="3" max="4" width="14.69921875" style="1" customWidth="1"/>
    <col min="5" max="5" width="8.69921875" style="1" customWidth="1"/>
    <col min="6" max="6" width="25.59765625" style="2" customWidth="1"/>
    <col min="7" max="7" width="39" style="2" customWidth="1"/>
    <col min="8" max="16384" width="8.796875" style="1"/>
  </cols>
  <sheetData>
    <row r="1" spans="1:7" ht="20.399999999999999" customHeight="1" x14ac:dyDescent="0.3">
      <c r="A1" s="51" t="s">
        <v>1</v>
      </c>
      <c r="B1" s="51" t="s">
        <v>5</v>
      </c>
      <c r="C1" s="51" t="s">
        <v>2</v>
      </c>
      <c r="D1" s="51" t="s">
        <v>3</v>
      </c>
      <c r="E1" s="51" t="s">
        <v>6</v>
      </c>
      <c r="F1" s="52" t="s">
        <v>4</v>
      </c>
      <c r="G1" s="52" t="s">
        <v>0</v>
      </c>
    </row>
    <row r="2" spans="1:7" ht="20.399999999999999" customHeight="1" x14ac:dyDescent="0.3">
      <c r="A2" s="12" t="s">
        <v>40</v>
      </c>
      <c r="B2" s="3"/>
      <c r="C2" s="10"/>
      <c r="D2" s="10"/>
      <c r="E2" s="6"/>
      <c r="F2" s="4"/>
      <c r="G2" s="11"/>
    </row>
    <row r="3" spans="1:7" ht="20.399999999999999" customHeight="1" x14ac:dyDescent="0.3">
      <c r="A3" s="12" t="s">
        <v>40</v>
      </c>
      <c r="B3" s="3"/>
      <c r="C3" s="10"/>
      <c r="D3" s="10"/>
      <c r="E3" s="3"/>
      <c r="F3" s="4"/>
      <c r="G3" s="4"/>
    </row>
    <row r="4" spans="1:7" ht="20.399999999999999" customHeight="1" x14ac:dyDescent="0.3">
      <c r="A4" s="12" t="s">
        <v>40</v>
      </c>
      <c r="B4" s="3"/>
      <c r="C4" s="10"/>
      <c r="D4" s="10"/>
      <c r="E4" s="3"/>
      <c r="F4" s="4"/>
      <c r="G4" s="11"/>
    </row>
    <row r="21" spans="5:5" ht="20.399999999999999" customHeight="1" x14ac:dyDescent="0.3">
      <c r="E21" s="5" t="s">
        <v>69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249B6-B70F-4856-914D-64BB600A6296}">
  <dimension ref="A1:G33"/>
  <sheetViews>
    <sheetView zoomScale="90" zoomScaleNormal="90" workbookViewId="0">
      <selection activeCell="K15" sqref="K15"/>
    </sheetView>
  </sheetViews>
  <sheetFormatPr defaultRowHeight="14.4" x14ac:dyDescent="0.3"/>
  <cols>
    <col min="1" max="1" width="5.8984375" style="7" customWidth="1"/>
    <col min="2" max="2" width="4.59765625" style="7" customWidth="1"/>
    <col min="3" max="4" width="14.69921875" style="7" customWidth="1"/>
    <col min="5" max="5" width="5.5" style="7" customWidth="1"/>
    <col min="6" max="6" width="26.09765625" style="72" customWidth="1"/>
    <col min="7" max="7" width="58" style="72" customWidth="1"/>
    <col min="8" max="16384" width="8.796875" style="7"/>
  </cols>
  <sheetData>
    <row r="1" spans="1:7" ht="24.6" customHeight="1" x14ac:dyDescent="0.3">
      <c r="A1" s="16" t="s">
        <v>1</v>
      </c>
      <c r="B1" s="16" t="s">
        <v>5</v>
      </c>
      <c r="C1" s="16" t="s">
        <v>2</v>
      </c>
      <c r="D1" s="16" t="s">
        <v>3</v>
      </c>
      <c r="E1" s="61" t="s">
        <v>44</v>
      </c>
      <c r="F1" s="15" t="s">
        <v>4</v>
      </c>
      <c r="G1" s="15" t="s">
        <v>0</v>
      </c>
    </row>
    <row r="2" spans="1:7" ht="32.4" customHeight="1" x14ac:dyDescent="0.3">
      <c r="A2" s="62" t="s">
        <v>42</v>
      </c>
      <c r="B2" s="13">
        <v>1</v>
      </c>
      <c r="C2" s="81" t="s">
        <v>99</v>
      </c>
      <c r="D2" s="81" t="s">
        <v>100</v>
      </c>
      <c r="E2" s="13">
        <v>0.2</v>
      </c>
      <c r="F2" s="60" t="s">
        <v>96</v>
      </c>
      <c r="G2" s="64" t="s">
        <v>104</v>
      </c>
    </row>
    <row r="3" spans="1:7" ht="31.8" customHeight="1" x14ac:dyDescent="0.3">
      <c r="A3" s="62" t="s">
        <v>81</v>
      </c>
      <c r="B3" s="13">
        <v>1</v>
      </c>
      <c r="C3" s="81" t="s">
        <v>101</v>
      </c>
      <c r="D3" s="81" t="s">
        <v>102</v>
      </c>
      <c r="E3" s="65">
        <v>0.65</v>
      </c>
      <c r="F3" s="64" t="s">
        <v>103</v>
      </c>
      <c r="G3" s="60"/>
    </row>
    <row r="4" spans="1:7" ht="34.200000000000003" customHeight="1" x14ac:dyDescent="0.3">
      <c r="A4" s="62"/>
      <c r="B4" s="13"/>
      <c r="C4" s="63"/>
      <c r="D4" s="63"/>
      <c r="E4" s="13"/>
      <c r="F4" s="64"/>
      <c r="G4" s="60"/>
    </row>
    <row r="5" spans="1:7" ht="33.6" customHeight="1" x14ac:dyDescent="0.3">
      <c r="A5" s="66"/>
      <c r="B5" s="67"/>
      <c r="C5" s="68"/>
      <c r="D5" s="68"/>
      <c r="E5" s="69"/>
      <c r="F5" s="70"/>
      <c r="G5" s="71"/>
    </row>
    <row r="6" spans="1:7" ht="24" customHeight="1" x14ac:dyDescent="0.3">
      <c r="A6" s="62"/>
      <c r="B6" s="13"/>
      <c r="C6" s="63"/>
      <c r="D6" s="63"/>
      <c r="E6" s="65"/>
      <c r="F6" s="64"/>
      <c r="G6" s="60"/>
    </row>
    <row r="7" spans="1:7" x14ac:dyDescent="0.3">
      <c r="A7" s="62"/>
      <c r="B7" s="13"/>
      <c r="C7" s="63"/>
      <c r="D7" s="63"/>
      <c r="E7" s="13"/>
      <c r="F7" s="64"/>
      <c r="G7" s="60"/>
    </row>
    <row r="8" spans="1:7" ht="25.8" customHeight="1" x14ac:dyDescent="0.3">
      <c r="A8" s="62"/>
      <c r="B8" s="13"/>
      <c r="C8" s="63"/>
      <c r="D8" s="63"/>
      <c r="E8" s="65"/>
      <c r="F8" s="60"/>
      <c r="G8" s="60"/>
    </row>
    <row r="9" spans="1:7" ht="24.6" customHeight="1" x14ac:dyDescent="0.3">
      <c r="A9" s="62"/>
      <c r="B9" s="13"/>
      <c r="C9" s="63"/>
      <c r="D9" s="63"/>
      <c r="E9" s="65"/>
      <c r="F9" s="64"/>
      <c r="G9" s="60"/>
    </row>
    <row r="10" spans="1:7" ht="24.6" customHeight="1" x14ac:dyDescent="0.3">
      <c r="A10" s="16" t="s">
        <v>1</v>
      </c>
      <c r="B10" s="16" t="s">
        <v>5</v>
      </c>
      <c r="C10" s="16" t="s">
        <v>2</v>
      </c>
      <c r="D10" s="16" t="s">
        <v>3</v>
      </c>
      <c r="E10" s="61" t="s">
        <v>44</v>
      </c>
      <c r="F10" s="15" t="s">
        <v>4</v>
      </c>
      <c r="G10" s="15" t="s">
        <v>0</v>
      </c>
    </row>
    <row r="11" spans="1:7" ht="15.6" x14ac:dyDescent="0.3">
      <c r="A11" s="12"/>
      <c r="B11" s="3"/>
      <c r="C11" s="10"/>
      <c r="D11" s="10"/>
      <c r="E11" s="3"/>
      <c r="F11" s="11"/>
      <c r="G11" s="11"/>
    </row>
    <row r="12" spans="1:7" ht="15.6" x14ac:dyDescent="0.3">
      <c r="A12" s="12"/>
      <c r="B12" s="3"/>
      <c r="C12" s="10"/>
      <c r="D12" s="10"/>
      <c r="E12" s="3"/>
      <c r="F12" s="11"/>
      <c r="G12" s="11"/>
    </row>
    <row r="13" spans="1:7" ht="15.6" x14ac:dyDescent="0.3">
      <c r="A13" s="12"/>
      <c r="B13" s="3"/>
      <c r="C13" s="10"/>
      <c r="D13" s="10"/>
      <c r="E13" s="3"/>
      <c r="F13" s="4"/>
      <c r="G13" s="11"/>
    </row>
    <row r="14" spans="1:7" ht="22.2" customHeight="1" x14ac:dyDescent="0.3">
      <c r="A14" s="12"/>
      <c r="B14" s="3"/>
      <c r="C14" s="10"/>
      <c r="D14" s="10"/>
      <c r="E14" s="3"/>
      <c r="F14" s="4"/>
      <c r="G14" s="4"/>
    </row>
    <row r="15" spans="1:7" ht="19.8" customHeight="1" x14ac:dyDescent="0.3">
      <c r="A15" s="12"/>
      <c r="B15" s="3"/>
      <c r="C15" s="10"/>
      <c r="D15" s="10"/>
      <c r="E15" s="6"/>
      <c r="F15" s="4"/>
      <c r="G15" s="4"/>
    </row>
    <row r="16" spans="1:7" ht="21.6" customHeight="1" x14ac:dyDescent="0.3">
      <c r="A16" s="12"/>
      <c r="B16" s="3"/>
      <c r="C16" s="10"/>
      <c r="D16" s="10"/>
      <c r="E16" s="3"/>
      <c r="F16" s="4"/>
      <c r="G16" s="11"/>
    </row>
    <row r="17" spans="1:7" ht="78.599999999999994" customHeight="1" x14ac:dyDescent="0.3">
      <c r="A17" s="12"/>
      <c r="B17" s="3"/>
      <c r="C17" s="10"/>
      <c r="D17" s="10"/>
      <c r="E17" s="3"/>
      <c r="F17" s="4"/>
      <c r="G17" s="11"/>
    </row>
    <row r="18" spans="1:7" ht="23.4" customHeight="1" x14ac:dyDescent="0.3">
      <c r="A18" s="12"/>
      <c r="B18" s="3"/>
      <c r="C18" s="10"/>
      <c r="D18" s="10"/>
      <c r="E18" s="3"/>
      <c r="F18" s="4"/>
      <c r="G18" s="11"/>
    </row>
    <row r="19" spans="1:7" ht="111.6" customHeight="1" x14ac:dyDescent="0.3">
      <c r="A19" s="12"/>
      <c r="B19" s="3"/>
      <c r="C19" s="10"/>
      <c r="D19" s="10"/>
      <c r="E19" s="3"/>
      <c r="F19" s="4"/>
      <c r="G19" s="11"/>
    </row>
    <row r="20" spans="1:7" ht="22.2" customHeight="1" x14ac:dyDescent="0.3">
      <c r="A20" s="12"/>
      <c r="B20" s="3"/>
      <c r="C20" s="10"/>
      <c r="D20" s="10"/>
      <c r="E20" s="6"/>
      <c r="F20" s="4"/>
      <c r="G20" s="4"/>
    </row>
    <row r="21" spans="1:7" ht="21.6" customHeight="1" x14ac:dyDescent="0.3">
      <c r="A21" s="12"/>
      <c r="B21" s="3"/>
      <c r="C21" s="10"/>
      <c r="D21" s="10"/>
      <c r="E21" s="3"/>
      <c r="F21" s="4"/>
      <c r="G21" s="4"/>
    </row>
    <row r="22" spans="1:7" ht="15.6" x14ac:dyDescent="0.3">
      <c r="A22" s="12"/>
      <c r="B22" s="3"/>
      <c r="C22" s="10"/>
      <c r="D22" s="10"/>
      <c r="E22" s="3"/>
      <c r="F22" s="4"/>
      <c r="G22" s="11"/>
    </row>
    <row r="23" spans="1:7" ht="15.6" x14ac:dyDescent="0.3">
      <c r="A23" s="12"/>
      <c r="B23" s="3"/>
      <c r="C23" s="10"/>
      <c r="D23" s="10"/>
      <c r="E23" s="3"/>
      <c r="F23" s="4"/>
      <c r="G23" s="11"/>
    </row>
    <row r="24" spans="1:7" ht="15.6" x14ac:dyDescent="0.3">
      <c r="A24" s="12"/>
      <c r="B24" s="3"/>
      <c r="C24" s="10"/>
      <c r="D24" s="10"/>
      <c r="E24" s="3"/>
      <c r="F24" s="4"/>
      <c r="G24" s="11"/>
    </row>
    <row r="25" spans="1:7" ht="15.6" x14ac:dyDescent="0.3">
      <c r="A25" s="12"/>
      <c r="B25" s="3"/>
      <c r="C25" s="10"/>
      <c r="D25" s="10"/>
      <c r="E25" s="3"/>
      <c r="F25" s="4"/>
      <c r="G25" s="11"/>
    </row>
    <row r="26" spans="1:7" ht="21.6" customHeight="1" x14ac:dyDescent="0.3">
      <c r="A26" s="16" t="s">
        <v>1</v>
      </c>
      <c r="B26" s="16" t="s">
        <v>5</v>
      </c>
      <c r="C26" s="16" t="s">
        <v>2</v>
      </c>
      <c r="D26" s="16" t="s">
        <v>3</v>
      </c>
      <c r="E26" s="61" t="s">
        <v>44</v>
      </c>
      <c r="F26" s="15" t="s">
        <v>4</v>
      </c>
      <c r="G26" s="15" t="s">
        <v>0</v>
      </c>
    </row>
    <row r="27" spans="1:7" ht="15.6" x14ac:dyDescent="0.3">
      <c r="A27" s="12"/>
      <c r="B27" s="3"/>
      <c r="C27" s="10"/>
      <c r="D27" s="10"/>
      <c r="E27" s="3"/>
      <c r="F27" s="4"/>
      <c r="G27" s="11"/>
    </row>
    <row r="28" spans="1:7" ht="15.6" x14ac:dyDescent="0.3">
      <c r="A28" s="12"/>
      <c r="B28" s="3"/>
      <c r="C28" s="10"/>
      <c r="D28" s="10"/>
      <c r="E28" s="3"/>
      <c r="F28" s="4"/>
      <c r="G28" s="11"/>
    </row>
    <row r="29" spans="1:7" ht="21.6" customHeight="1" x14ac:dyDescent="0.3">
      <c r="A29" s="12"/>
      <c r="B29" s="3"/>
      <c r="C29" s="10"/>
      <c r="D29" s="10"/>
      <c r="E29" s="6"/>
      <c r="F29" s="4"/>
      <c r="G29" s="4"/>
    </row>
    <row r="30" spans="1:7" ht="15.6" x14ac:dyDescent="0.3">
      <c r="A30" s="12"/>
      <c r="B30" s="3"/>
      <c r="C30" s="10"/>
      <c r="D30" s="10"/>
      <c r="E30" s="3"/>
      <c r="F30" s="4"/>
      <c r="G30" s="11"/>
    </row>
    <row r="31" spans="1:7" ht="15.6" x14ac:dyDescent="0.3">
      <c r="A31" s="12"/>
      <c r="B31" s="3"/>
      <c r="C31" s="10"/>
      <c r="D31" s="10"/>
      <c r="E31" s="3"/>
      <c r="F31" s="4"/>
      <c r="G31" s="11"/>
    </row>
    <row r="32" spans="1:7" ht="15.6" x14ac:dyDescent="0.3">
      <c r="A32" s="12"/>
      <c r="B32" s="3"/>
      <c r="C32" s="10"/>
      <c r="D32" s="10"/>
      <c r="E32" s="3"/>
      <c r="F32" s="4"/>
      <c r="G32" s="11"/>
    </row>
    <row r="33" spans="1:7" ht="15.6" x14ac:dyDescent="0.3">
      <c r="A33" s="12"/>
      <c r="B33" s="3"/>
      <c r="C33" s="10"/>
      <c r="D33" s="10"/>
      <c r="E33" s="3"/>
      <c r="F33" s="4"/>
      <c r="G33" s="1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C465D-A956-46B0-B0B0-2C984E05AB20}">
  <dimension ref="A1:U27"/>
  <sheetViews>
    <sheetView tabSelected="1" zoomScaleNormal="100" zoomScaleSheetLayoutView="100" workbookViewId="0">
      <selection activeCell="X20" sqref="X20"/>
    </sheetView>
  </sheetViews>
  <sheetFormatPr defaultRowHeight="15" customHeight="1" x14ac:dyDescent="0.3"/>
  <cols>
    <col min="1" max="1" width="12.09765625" style="7" customWidth="1"/>
    <col min="2" max="3" width="4.796875" style="7" customWidth="1"/>
    <col min="4" max="4" width="1.09765625" style="7" customWidth="1"/>
    <col min="5" max="8" width="4.796875" style="7" customWidth="1"/>
    <col min="9" max="9" width="1" style="7" customWidth="1"/>
    <col min="10" max="21" width="4.796875" style="7" customWidth="1"/>
    <col min="22" max="16384" width="8.796875" style="7"/>
  </cols>
  <sheetData>
    <row r="1" spans="1:21" ht="18.600000000000001" customHeight="1" x14ac:dyDescent="0.3">
      <c r="A1" s="15" t="s">
        <v>38</v>
      </c>
      <c r="B1" s="16" t="s">
        <v>7</v>
      </c>
      <c r="C1" s="16" t="s">
        <v>98</v>
      </c>
      <c r="D1" s="16"/>
      <c r="E1" s="16" t="s">
        <v>8</v>
      </c>
      <c r="F1" s="16" t="s">
        <v>9</v>
      </c>
      <c r="G1" s="16" t="s">
        <v>10</v>
      </c>
      <c r="H1" s="16" t="s">
        <v>11</v>
      </c>
      <c r="I1" s="16"/>
      <c r="J1" s="16" t="s">
        <v>12</v>
      </c>
      <c r="K1" s="16" t="s">
        <v>13</v>
      </c>
      <c r="L1" s="16" t="s">
        <v>14</v>
      </c>
      <c r="M1" s="16" t="s">
        <v>15</v>
      </c>
      <c r="N1" s="16" t="s">
        <v>16</v>
      </c>
      <c r="O1" s="16" t="s">
        <v>17</v>
      </c>
      <c r="P1" s="16" t="s">
        <v>18</v>
      </c>
      <c r="Q1" s="16" t="s">
        <v>19</v>
      </c>
      <c r="R1" s="16" t="s">
        <v>20</v>
      </c>
      <c r="S1" s="16" t="s">
        <v>21</v>
      </c>
      <c r="T1" s="16" t="s">
        <v>22</v>
      </c>
      <c r="U1" s="16" t="s">
        <v>23</v>
      </c>
    </row>
    <row r="2" spans="1:21" ht="15" customHeight="1" x14ac:dyDescent="0.3">
      <c r="A2" s="17" t="s">
        <v>41</v>
      </c>
      <c r="B2" s="13">
        <v>680</v>
      </c>
      <c r="C2" s="13">
        <v>680</v>
      </c>
      <c r="D2" s="13"/>
      <c r="E2" s="13">
        <v>680</v>
      </c>
      <c r="F2" s="13">
        <v>680</v>
      </c>
      <c r="G2" s="13">
        <v>680</v>
      </c>
      <c r="H2" s="13">
        <v>680</v>
      </c>
      <c r="I2" s="13"/>
      <c r="J2" s="13">
        <v>680</v>
      </c>
      <c r="K2" s="13">
        <v>680</v>
      </c>
      <c r="L2" s="13">
        <v>680</v>
      </c>
      <c r="M2" s="13">
        <v>680</v>
      </c>
      <c r="N2" s="13">
        <v>680</v>
      </c>
      <c r="O2" s="13">
        <v>680</v>
      </c>
      <c r="P2" s="13">
        <v>680</v>
      </c>
      <c r="Q2" s="13">
        <v>680</v>
      </c>
      <c r="R2" s="13">
        <v>680</v>
      </c>
      <c r="S2" s="13">
        <v>680</v>
      </c>
      <c r="T2" s="13">
        <v>680</v>
      </c>
      <c r="U2" s="13">
        <v>680</v>
      </c>
    </row>
    <row r="3" spans="1:21" ht="15" customHeight="1" x14ac:dyDescent="0.3">
      <c r="A3" s="17" t="s">
        <v>80</v>
      </c>
      <c r="B3" s="80">
        <v>655</v>
      </c>
      <c r="C3" s="19">
        <f>(E3+F3+G3+H3)</f>
        <v>743.87142857142862</v>
      </c>
      <c r="D3" s="19"/>
      <c r="E3" s="19">
        <f>(J3+K3+L3)</f>
        <v>743.87142857142862</v>
      </c>
      <c r="F3" s="19"/>
      <c r="G3" s="19"/>
      <c r="H3" s="19"/>
      <c r="I3" s="18"/>
      <c r="J3" s="19">
        <f t="shared" ref="J3" si="0">(J5+J6+J7+J8+J9+J10+J11)/7</f>
        <v>743.87142857142862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1" ht="15" customHeight="1" x14ac:dyDescent="0.3">
      <c r="A4" s="15" t="s">
        <v>38</v>
      </c>
      <c r="B4" s="16" t="s">
        <v>7</v>
      </c>
      <c r="C4" s="16" t="s">
        <v>7</v>
      </c>
      <c r="D4" s="16"/>
      <c r="E4" s="16" t="s">
        <v>8</v>
      </c>
      <c r="F4" s="16" t="s">
        <v>9</v>
      </c>
      <c r="G4" s="16" t="s">
        <v>10</v>
      </c>
      <c r="H4" s="16" t="s">
        <v>11</v>
      </c>
      <c r="I4" s="16"/>
      <c r="J4" s="16" t="s">
        <v>12</v>
      </c>
      <c r="K4" s="16" t="s">
        <v>13</v>
      </c>
      <c r="L4" s="16" t="s">
        <v>14</v>
      </c>
      <c r="M4" s="16" t="s">
        <v>15</v>
      </c>
      <c r="N4" s="16" t="s">
        <v>16</v>
      </c>
      <c r="O4" s="16" t="s">
        <v>17</v>
      </c>
      <c r="P4" s="16" t="s">
        <v>18</v>
      </c>
      <c r="Q4" s="16" t="s">
        <v>19</v>
      </c>
      <c r="R4" s="16" t="s">
        <v>20</v>
      </c>
      <c r="S4" s="16" t="s">
        <v>21</v>
      </c>
      <c r="T4" s="16" t="s">
        <v>22</v>
      </c>
      <c r="U4" s="16" t="s">
        <v>23</v>
      </c>
    </row>
    <row r="5" spans="1:21" ht="15" customHeight="1" x14ac:dyDescent="0.3">
      <c r="A5" s="17" t="s">
        <v>24</v>
      </c>
      <c r="B5" s="20">
        <v>566.70861111111117</v>
      </c>
      <c r="C5" s="14">
        <f t="shared" ref="C5:C25" si="1">(E5+F5+G5+H5)</f>
        <v>743.8</v>
      </c>
      <c r="D5" s="20"/>
      <c r="E5" s="20">
        <f t="shared" ref="E5:E11" si="2">(J5+K5+L5)</f>
        <v>743.8</v>
      </c>
      <c r="F5" s="20"/>
      <c r="G5" s="20"/>
      <c r="H5" s="20"/>
      <c r="I5" s="13"/>
      <c r="J5" s="14">
        <f>(24*31)-J19/J12</f>
        <v>743.8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spans="1:21" ht="15" customHeight="1" x14ac:dyDescent="0.3">
      <c r="A6" s="17" t="s">
        <v>25</v>
      </c>
      <c r="B6" s="20">
        <v>656.88972222222219</v>
      </c>
      <c r="C6" s="14">
        <f t="shared" si="1"/>
        <v>744</v>
      </c>
      <c r="D6" s="20"/>
      <c r="E6" s="20">
        <f t="shared" si="2"/>
        <v>744</v>
      </c>
      <c r="F6" s="20"/>
      <c r="G6" s="20"/>
      <c r="H6" s="20"/>
      <c r="I6" s="13"/>
      <c r="J6" s="14">
        <f>(24*31)-J20</f>
        <v>744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ht="15" customHeight="1" x14ac:dyDescent="0.3">
      <c r="A7" s="17" t="s">
        <v>26</v>
      </c>
      <c r="B7" s="20">
        <v>629.08527777777772</v>
      </c>
      <c r="C7" s="14">
        <f t="shared" si="1"/>
        <v>744</v>
      </c>
      <c r="D7" s="20"/>
      <c r="E7" s="20">
        <f t="shared" si="2"/>
        <v>744</v>
      </c>
      <c r="F7" s="20"/>
      <c r="G7" s="20"/>
      <c r="H7" s="20"/>
      <c r="I7" s="13"/>
      <c r="J7" s="14">
        <f>(24*31)-J21</f>
        <v>744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spans="1:21" ht="15" customHeight="1" x14ac:dyDescent="0.3">
      <c r="A8" s="17" t="s">
        <v>27</v>
      </c>
      <c r="B8" s="20">
        <v>653.09791666666661</v>
      </c>
      <c r="C8" s="14">
        <f t="shared" si="1"/>
        <v>1413.17</v>
      </c>
      <c r="D8" s="20"/>
      <c r="E8" s="20">
        <f t="shared" si="2"/>
        <v>1413.17</v>
      </c>
      <c r="F8" s="20"/>
      <c r="G8" s="20"/>
      <c r="H8" s="20"/>
      <c r="I8" s="13"/>
      <c r="J8" s="14">
        <f>(24*31)-J22</f>
        <v>744</v>
      </c>
      <c r="K8" s="14">
        <f>(24*28)-K22/K15</f>
        <v>669.17</v>
      </c>
      <c r="L8" s="14"/>
      <c r="M8" s="14"/>
      <c r="N8" s="14"/>
      <c r="O8" s="14"/>
      <c r="P8" s="14"/>
      <c r="Q8" s="14"/>
      <c r="R8" s="14"/>
      <c r="S8" s="14"/>
      <c r="T8" s="14"/>
      <c r="U8" s="14"/>
    </row>
    <row r="9" spans="1:21" ht="15" customHeight="1" x14ac:dyDescent="0.3">
      <c r="A9" s="17" t="s">
        <v>28</v>
      </c>
      <c r="B9" s="20">
        <v>649.12916666666672</v>
      </c>
      <c r="C9" s="14">
        <f t="shared" si="1"/>
        <v>1405</v>
      </c>
      <c r="D9" s="20"/>
      <c r="E9" s="20">
        <f t="shared" si="2"/>
        <v>1405</v>
      </c>
      <c r="F9" s="20"/>
      <c r="G9" s="20"/>
      <c r="H9" s="20"/>
      <c r="I9" s="13"/>
      <c r="J9" s="14">
        <f>(24*31)-J23</f>
        <v>744</v>
      </c>
      <c r="K9" s="14">
        <f>(24*28)-K23/K16</f>
        <v>661</v>
      </c>
      <c r="L9" s="14"/>
      <c r="M9" s="14"/>
      <c r="N9" s="14"/>
      <c r="O9" s="14"/>
      <c r="P9" s="14"/>
      <c r="Q9" s="14"/>
      <c r="R9" s="14"/>
      <c r="S9" s="14"/>
      <c r="T9" s="14"/>
      <c r="U9" s="14"/>
    </row>
    <row r="10" spans="1:21" ht="15" customHeight="1" x14ac:dyDescent="0.3">
      <c r="A10" s="17" t="s">
        <v>29</v>
      </c>
      <c r="B10" s="20">
        <v>700.41374999999994</v>
      </c>
      <c r="C10" s="14">
        <f t="shared" si="1"/>
        <v>1413.9</v>
      </c>
      <c r="D10" s="20"/>
      <c r="E10" s="20">
        <f t="shared" si="2"/>
        <v>1413.9</v>
      </c>
      <c r="F10" s="20"/>
      <c r="G10" s="20"/>
      <c r="H10" s="20"/>
      <c r="I10" s="13"/>
      <c r="J10" s="14">
        <f>(24*31)-J24/J17</f>
        <v>743.3</v>
      </c>
      <c r="K10" s="14">
        <f>(24*28)-K24/K17</f>
        <v>670.6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 ht="15" customHeight="1" x14ac:dyDescent="0.3">
      <c r="A11" s="17" t="s">
        <v>30</v>
      </c>
      <c r="B11" s="20">
        <v>730.60666666666668</v>
      </c>
      <c r="C11" s="14">
        <f t="shared" si="1"/>
        <v>744</v>
      </c>
      <c r="D11" s="20"/>
      <c r="E11" s="20">
        <f t="shared" si="2"/>
        <v>744</v>
      </c>
      <c r="F11" s="20"/>
      <c r="G11" s="20"/>
      <c r="H11" s="20"/>
      <c r="I11" s="13"/>
      <c r="J11" s="14">
        <f>(24*31)-J25</f>
        <v>744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 ht="15" customHeight="1" x14ac:dyDescent="0.3">
      <c r="A12" s="17" t="s">
        <v>31</v>
      </c>
      <c r="B12" s="20">
        <v>17</v>
      </c>
      <c r="C12" s="14">
        <f t="shared" si="1"/>
        <v>1</v>
      </c>
      <c r="D12" s="20"/>
      <c r="E12" s="14">
        <f t="shared" ref="E12:E25" si="3">J12+K12+L12</f>
        <v>1</v>
      </c>
      <c r="F12" s="20"/>
      <c r="G12" s="20"/>
      <c r="H12" s="20"/>
      <c r="I12" s="13"/>
      <c r="J12" s="14">
        <v>1</v>
      </c>
      <c r="K12" s="49"/>
      <c r="L12" s="49"/>
      <c r="M12" s="13"/>
      <c r="N12" s="54"/>
      <c r="O12" s="13"/>
      <c r="P12" s="54"/>
      <c r="Q12" s="13"/>
      <c r="R12" s="13"/>
      <c r="S12" s="13"/>
      <c r="T12" s="13"/>
      <c r="U12" s="13"/>
    </row>
    <row r="13" spans="1:21" ht="15" customHeight="1" x14ac:dyDescent="0.3">
      <c r="A13" s="17" t="s">
        <v>32</v>
      </c>
      <c r="B13" s="20">
        <v>11</v>
      </c>
      <c r="C13" s="14">
        <f t="shared" si="1"/>
        <v>0</v>
      </c>
      <c r="D13" s="20"/>
      <c r="E13" s="86">
        <f t="shared" si="3"/>
        <v>0</v>
      </c>
      <c r="F13" s="20"/>
      <c r="G13" s="20"/>
      <c r="H13" s="20"/>
      <c r="I13" s="13"/>
      <c r="J13" s="86">
        <v>0</v>
      </c>
      <c r="K13" s="49"/>
      <c r="L13" s="13"/>
      <c r="M13" s="13"/>
      <c r="N13" s="13"/>
      <c r="O13" s="13"/>
      <c r="P13" s="13"/>
      <c r="Q13" s="13"/>
      <c r="R13" s="54"/>
      <c r="S13" s="13"/>
      <c r="T13" s="54"/>
      <c r="U13" s="49"/>
    </row>
    <row r="14" spans="1:21" ht="15" customHeight="1" x14ac:dyDescent="0.3">
      <c r="A14" s="17" t="s">
        <v>33</v>
      </c>
      <c r="B14" s="20">
        <v>8</v>
      </c>
      <c r="C14" s="14">
        <f t="shared" si="1"/>
        <v>0</v>
      </c>
      <c r="D14" s="20"/>
      <c r="E14" s="86">
        <f t="shared" si="3"/>
        <v>0</v>
      </c>
      <c r="F14" s="20"/>
      <c r="G14" s="20"/>
      <c r="H14" s="59"/>
      <c r="I14" s="13"/>
      <c r="J14" s="86">
        <v>0</v>
      </c>
      <c r="K14" s="13"/>
      <c r="L14" s="49"/>
      <c r="M14" s="54"/>
      <c r="N14" s="13"/>
      <c r="O14" s="49"/>
      <c r="P14" s="13"/>
      <c r="Q14" s="13"/>
      <c r="R14" s="54"/>
      <c r="S14" s="54"/>
      <c r="T14" s="54"/>
      <c r="U14" s="49"/>
    </row>
    <row r="15" spans="1:21" ht="15" customHeight="1" x14ac:dyDescent="0.3">
      <c r="A15" s="17" t="s">
        <v>34</v>
      </c>
      <c r="B15" s="20">
        <v>11</v>
      </c>
      <c r="C15" s="14">
        <f t="shared" si="1"/>
        <v>1</v>
      </c>
      <c r="D15" s="20"/>
      <c r="E15" s="86">
        <f t="shared" si="3"/>
        <v>1</v>
      </c>
      <c r="F15" s="20"/>
      <c r="G15" s="20"/>
      <c r="H15" s="20"/>
      <c r="I15" s="13"/>
      <c r="J15" s="86">
        <v>0</v>
      </c>
      <c r="K15" s="57">
        <v>1</v>
      </c>
      <c r="L15" s="49"/>
      <c r="M15" s="54"/>
      <c r="N15" s="54"/>
      <c r="O15" s="13"/>
      <c r="P15" s="54"/>
      <c r="Q15" s="13"/>
      <c r="R15" s="13"/>
      <c r="S15" s="13"/>
      <c r="T15" s="13"/>
      <c r="U15" s="13"/>
    </row>
    <row r="16" spans="1:21" ht="15" customHeight="1" x14ac:dyDescent="0.3">
      <c r="A16" s="17" t="s">
        <v>35</v>
      </c>
      <c r="B16" s="20">
        <v>11</v>
      </c>
      <c r="C16" s="14">
        <f t="shared" si="1"/>
        <v>1</v>
      </c>
      <c r="D16" s="20"/>
      <c r="E16" s="86">
        <f t="shared" si="3"/>
        <v>1</v>
      </c>
      <c r="F16" s="20"/>
      <c r="G16" s="20"/>
      <c r="H16" s="20"/>
      <c r="I16" s="13"/>
      <c r="J16" s="86">
        <v>0</v>
      </c>
      <c r="K16" s="57">
        <v>1</v>
      </c>
      <c r="L16" s="49"/>
      <c r="M16" s="54"/>
      <c r="N16" s="13"/>
      <c r="O16" s="57"/>
      <c r="P16" s="13"/>
      <c r="Q16" s="13"/>
      <c r="R16" s="54"/>
      <c r="S16" s="13"/>
      <c r="T16" s="13"/>
      <c r="U16" s="49"/>
    </row>
    <row r="17" spans="1:21" ht="15" customHeight="1" x14ac:dyDescent="0.3">
      <c r="A17" s="17" t="s">
        <v>36</v>
      </c>
      <c r="B17" s="20">
        <v>4</v>
      </c>
      <c r="C17" s="14">
        <f t="shared" si="1"/>
        <v>2</v>
      </c>
      <c r="D17" s="20"/>
      <c r="E17" s="20">
        <f t="shared" si="3"/>
        <v>2</v>
      </c>
      <c r="F17" s="20"/>
      <c r="G17" s="59"/>
      <c r="H17" s="59"/>
      <c r="I17" s="13"/>
      <c r="J17" s="14">
        <v>1</v>
      </c>
      <c r="K17" s="57">
        <v>1</v>
      </c>
      <c r="L17" s="49"/>
      <c r="M17" s="13"/>
      <c r="N17" s="54"/>
      <c r="O17" s="49"/>
      <c r="P17" s="54"/>
      <c r="Q17" s="54"/>
      <c r="R17" s="54"/>
      <c r="S17" s="54"/>
      <c r="T17" s="13"/>
      <c r="U17" s="57"/>
    </row>
    <row r="18" spans="1:21" ht="15" customHeight="1" x14ac:dyDescent="0.3">
      <c r="A18" s="17" t="s">
        <v>37</v>
      </c>
      <c r="B18" s="20">
        <v>3</v>
      </c>
      <c r="C18" s="65">
        <f t="shared" si="1"/>
        <v>0</v>
      </c>
      <c r="D18" s="20"/>
      <c r="E18" s="86">
        <f t="shared" si="3"/>
        <v>0</v>
      </c>
      <c r="F18" s="20"/>
      <c r="G18" s="59"/>
      <c r="H18" s="59"/>
      <c r="I18" s="13"/>
      <c r="J18" s="86">
        <v>0</v>
      </c>
      <c r="K18" s="49"/>
      <c r="L18" s="49"/>
      <c r="M18" s="54"/>
      <c r="N18" s="57"/>
      <c r="O18" s="13"/>
      <c r="P18" s="54"/>
      <c r="Q18" s="54"/>
      <c r="R18" s="54"/>
      <c r="S18" s="54"/>
      <c r="T18" s="54"/>
      <c r="U18" s="49"/>
    </row>
    <row r="19" spans="1:21" ht="15" customHeight="1" x14ac:dyDescent="0.3">
      <c r="A19" s="17" t="s">
        <v>57</v>
      </c>
      <c r="B19" s="84">
        <v>61.26</v>
      </c>
      <c r="C19" s="65">
        <f t="shared" si="1"/>
        <v>0.2</v>
      </c>
      <c r="D19" s="56"/>
      <c r="E19" s="65">
        <f t="shared" si="3"/>
        <v>0.2</v>
      </c>
      <c r="F19" s="56"/>
      <c r="G19" s="56"/>
      <c r="H19" s="56"/>
      <c r="I19" s="13"/>
      <c r="J19" s="65">
        <v>0.2</v>
      </c>
      <c r="K19" s="94"/>
      <c r="L19" s="50"/>
      <c r="M19" s="55"/>
      <c r="N19" s="54"/>
      <c r="O19" s="13"/>
      <c r="P19" s="54"/>
      <c r="Q19" s="13"/>
      <c r="R19" s="13"/>
      <c r="S19" s="13"/>
      <c r="T19" s="13"/>
      <c r="U19" s="13"/>
    </row>
    <row r="20" spans="1:21" ht="15" customHeight="1" x14ac:dyDescent="0.3">
      <c r="A20" s="17" t="s">
        <v>58</v>
      </c>
      <c r="B20" s="84">
        <v>25.94</v>
      </c>
      <c r="C20" s="65">
        <f t="shared" si="1"/>
        <v>0</v>
      </c>
      <c r="D20" s="56"/>
      <c r="E20" s="87">
        <f t="shared" si="3"/>
        <v>0</v>
      </c>
      <c r="F20" s="56"/>
      <c r="G20" s="56"/>
      <c r="H20" s="56"/>
      <c r="I20" s="13"/>
      <c r="J20" s="87">
        <v>0</v>
      </c>
      <c r="K20" s="94"/>
      <c r="L20" s="55"/>
      <c r="M20" s="55"/>
      <c r="N20" s="13"/>
      <c r="O20" s="13"/>
      <c r="P20" s="13"/>
      <c r="Q20" s="13"/>
      <c r="R20" s="54"/>
      <c r="S20" s="13"/>
      <c r="T20" s="54"/>
      <c r="U20" s="49"/>
    </row>
    <row r="21" spans="1:21" ht="15" customHeight="1" x14ac:dyDescent="0.3">
      <c r="A21" s="17" t="s">
        <v>59</v>
      </c>
      <c r="B21" s="84">
        <v>18.550000000000004</v>
      </c>
      <c r="C21" s="65">
        <f t="shared" si="1"/>
        <v>0</v>
      </c>
      <c r="D21" s="56"/>
      <c r="E21" s="87">
        <f t="shared" si="3"/>
        <v>0</v>
      </c>
      <c r="F21" s="56"/>
      <c r="G21" s="56"/>
      <c r="H21" s="59"/>
      <c r="I21" s="13"/>
      <c r="J21" s="87">
        <v>0</v>
      </c>
      <c r="K21" s="65"/>
      <c r="L21" s="50"/>
      <c r="M21" s="59"/>
      <c r="N21" s="13"/>
      <c r="O21" s="49"/>
      <c r="P21" s="13"/>
      <c r="Q21" s="13"/>
      <c r="R21" s="54"/>
      <c r="S21" s="54"/>
      <c r="T21" s="54"/>
      <c r="U21" s="49"/>
    </row>
    <row r="22" spans="1:21" ht="15" customHeight="1" x14ac:dyDescent="0.3">
      <c r="A22" s="17" t="s">
        <v>60</v>
      </c>
      <c r="B22" s="84">
        <v>23.630000000000003</v>
      </c>
      <c r="C22" s="65">
        <f t="shared" si="1"/>
        <v>2.83</v>
      </c>
      <c r="D22" s="56"/>
      <c r="E22" s="87">
        <f t="shared" si="3"/>
        <v>2.83</v>
      </c>
      <c r="F22" s="56"/>
      <c r="G22" s="56"/>
      <c r="H22" s="56"/>
      <c r="I22" s="13"/>
      <c r="J22" s="87">
        <v>0</v>
      </c>
      <c r="K22" s="84">
        <v>2.83</v>
      </c>
      <c r="L22" s="50"/>
      <c r="M22" s="59"/>
      <c r="N22" s="59"/>
      <c r="O22" s="13"/>
      <c r="P22" s="54"/>
      <c r="Q22" s="13"/>
      <c r="R22" s="13"/>
      <c r="S22" s="55"/>
      <c r="T22" s="13"/>
      <c r="U22" s="13"/>
    </row>
    <row r="23" spans="1:21" ht="15" customHeight="1" x14ac:dyDescent="0.3">
      <c r="A23" s="17" t="s">
        <v>61</v>
      </c>
      <c r="B23" s="84">
        <v>47.669999999999995</v>
      </c>
      <c r="C23" s="65">
        <f t="shared" si="1"/>
        <v>11</v>
      </c>
      <c r="D23" s="56"/>
      <c r="E23" s="83">
        <f t="shared" si="3"/>
        <v>11</v>
      </c>
      <c r="F23" s="56"/>
      <c r="G23" s="56"/>
      <c r="H23" s="56"/>
      <c r="I23" s="13"/>
      <c r="J23" s="87">
        <v>0</v>
      </c>
      <c r="K23" s="84">
        <v>11</v>
      </c>
      <c r="L23" s="50"/>
      <c r="M23" s="59"/>
      <c r="N23" s="13"/>
      <c r="O23" s="57"/>
      <c r="P23" s="13"/>
      <c r="Q23" s="13"/>
      <c r="R23" s="54"/>
      <c r="S23" s="13"/>
      <c r="T23" s="13"/>
      <c r="U23" s="49"/>
    </row>
    <row r="24" spans="1:21" ht="15" customHeight="1" x14ac:dyDescent="0.3">
      <c r="A24" s="17" t="s">
        <v>62</v>
      </c>
      <c r="B24" s="84">
        <v>8.2899999999999991</v>
      </c>
      <c r="C24" s="65">
        <f t="shared" si="1"/>
        <v>2.0999999999999996</v>
      </c>
      <c r="D24" s="56"/>
      <c r="E24" s="83">
        <f t="shared" si="3"/>
        <v>2.0999999999999996</v>
      </c>
      <c r="F24" s="56"/>
      <c r="G24" s="59"/>
      <c r="H24" s="20"/>
      <c r="I24" s="13"/>
      <c r="J24" s="84">
        <v>0.7</v>
      </c>
      <c r="K24" s="84">
        <v>1.4</v>
      </c>
      <c r="L24" s="50"/>
      <c r="M24" s="55"/>
      <c r="N24" s="59"/>
      <c r="O24" s="49"/>
      <c r="P24" s="54"/>
      <c r="Q24" s="54"/>
      <c r="R24" s="54"/>
      <c r="S24" s="54"/>
      <c r="T24" s="13"/>
      <c r="U24" s="57"/>
    </row>
    <row r="25" spans="1:21" ht="15" customHeight="1" x14ac:dyDescent="0.3">
      <c r="A25" s="17" t="s">
        <v>63</v>
      </c>
      <c r="B25" s="84">
        <v>4.7200000000000006</v>
      </c>
      <c r="C25" s="65">
        <f t="shared" si="1"/>
        <v>0</v>
      </c>
      <c r="D25" s="56"/>
      <c r="E25" s="65">
        <f t="shared" si="3"/>
        <v>0</v>
      </c>
      <c r="F25" s="56"/>
      <c r="G25" s="59"/>
      <c r="H25" s="59"/>
      <c r="I25" s="13"/>
      <c r="J25" s="87">
        <v>0</v>
      </c>
      <c r="K25" s="94"/>
      <c r="L25" s="50"/>
      <c r="M25" s="59"/>
      <c r="N25" s="56"/>
      <c r="O25" s="13"/>
      <c r="P25" s="54"/>
      <c r="Q25" s="54"/>
      <c r="R25" s="54"/>
      <c r="S25" s="54"/>
      <c r="T25" s="54"/>
      <c r="U25" s="49"/>
    </row>
    <row r="26" spans="1:21" ht="15" customHeight="1" x14ac:dyDescent="0.3">
      <c r="A26" s="17" t="s">
        <v>78</v>
      </c>
      <c r="B26" s="84">
        <v>65</v>
      </c>
      <c r="C26" s="14">
        <f>C12+C13+C14+C15+C16+C17+C18</f>
        <v>5</v>
      </c>
      <c r="D26" s="20"/>
      <c r="E26" s="14">
        <f>E12+E13+E14+E15+E16+E17+E18</f>
        <v>5</v>
      </c>
      <c r="F26" s="20"/>
      <c r="G26" s="20"/>
      <c r="H26" s="20"/>
      <c r="I26" s="13"/>
      <c r="J26" s="14">
        <f>J12+J13+J14+J15+J16+J17+J18</f>
        <v>2</v>
      </c>
      <c r="K26" s="14">
        <f>K12+K13+K14+K15+K16+K17+K18</f>
        <v>3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spans="1:21" ht="15" customHeight="1" x14ac:dyDescent="0.3">
      <c r="A27" s="17" t="s">
        <v>79</v>
      </c>
      <c r="B27" s="85">
        <v>190.06</v>
      </c>
      <c r="C27" s="55">
        <f>C19+C20+C21+C22+C23+C24+C25</f>
        <v>16.130000000000003</v>
      </c>
      <c r="D27" s="73"/>
      <c r="E27" s="55">
        <f>E19+E20+E21+E22+E23+E24+E25</f>
        <v>16.130000000000003</v>
      </c>
      <c r="F27" s="56"/>
      <c r="G27" s="56"/>
      <c r="H27" s="20"/>
      <c r="I27" s="13"/>
      <c r="J27" s="55">
        <f>J19+J20+J21+J22+J23+J24+J25</f>
        <v>0.89999999999999991</v>
      </c>
      <c r="K27" s="55">
        <f>K19+K20+K21+K22+K23+K24+K25</f>
        <v>15.23</v>
      </c>
      <c r="L27" s="55"/>
      <c r="M27" s="55"/>
      <c r="N27" s="55"/>
      <c r="O27" s="55"/>
      <c r="P27" s="55"/>
      <c r="Q27" s="55"/>
      <c r="R27" s="55"/>
      <c r="S27" s="55"/>
      <c r="T27" s="55"/>
      <c r="U27" s="55"/>
    </row>
  </sheetData>
  <pageMargins left="0.7" right="0.7" top="0.75" bottom="0.75" header="0.3" footer="0.3"/>
  <pageSetup orientation="portrait" r:id="rId1"/>
  <ignoredErrors>
    <ignoredError sqref="E26 C26 J10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60B3C-2857-4730-B8BA-3163D3CE39A0}">
  <dimension ref="A1:Z11"/>
  <sheetViews>
    <sheetView zoomScale="120" zoomScaleNormal="120" workbookViewId="0">
      <selection activeCell="Z15" sqref="Z15"/>
    </sheetView>
  </sheetViews>
  <sheetFormatPr defaultRowHeight="12" x14ac:dyDescent="0.3"/>
  <cols>
    <col min="1" max="1" width="10.19921875" style="9" customWidth="1"/>
    <col min="2" max="3" width="4.09765625" style="8" customWidth="1"/>
    <col min="4" max="4" width="1.8984375" style="8" customWidth="1"/>
    <col min="5" max="8" width="4.09765625" style="8" customWidth="1"/>
    <col min="9" max="9" width="1.8984375" style="8" customWidth="1"/>
    <col min="10" max="21" width="4.09765625" style="8" customWidth="1"/>
    <col min="22" max="16384" width="8.796875" style="8"/>
  </cols>
  <sheetData>
    <row r="1" spans="1:26" ht="18" customHeight="1" x14ac:dyDescent="0.3">
      <c r="A1" s="43" t="s">
        <v>1</v>
      </c>
      <c r="B1" s="44" t="s">
        <v>45</v>
      </c>
      <c r="C1" s="44" t="s">
        <v>105</v>
      </c>
      <c r="D1" s="44"/>
      <c r="E1" s="44" t="s">
        <v>8</v>
      </c>
      <c r="F1" s="44" t="s">
        <v>9</v>
      </c>
      <c r="G1" s="44" t="s">
        <v>10</v>
      </c>
      <c r="H1" s="44" t="s">
        <v>11</v>
      </c>
      <c r="I1" s="44"/>
      <c r="J1" s="44" t="s">
        <v>12</v>
      </c>
      <c r="K1" s="44" t="s">
        <v>13</v>
      </c>
      <c r="L1" s="44" t="s">
        <v>14</v>
      </c>
      <c r="M1" s="44" t="s">
        <v>15</v>
      </c>
      <c r="N1" s="44" t="s">
        <v>16</v>
      </c>
      <c r="O1" s="44" t="s">
        <v>17</v>
      </c>
      <c r="P1" s="44" t="s">
        <v>18</v>
      </c>
      <c r="Q1" s="44" t="s">
        <v>19</v>
      </c>
      <c r="R1" s="44" t="s">
        <v>20</v>
      </c>
      <c r="S1" s="44" t="s">
        <v>21</v>
      </c>
      <c r="T1" s="44" t="s">
        <v>22</v>
      </c>
      <c r="U1" s="44" t="s">
        <v>23</v>
      </c>
    </row>
    <row r="2" spans="1:26" x14ac:dyDescent="0.3">
      <c r="A2" s="45" t="s">
        <v>46</v>
      </c>
      <c r="B2" s="88">
        <v>3.5833333333333335</v>
      </c>
      <c r="C2" s="78">
        <f t="shared" ref="C2:C11" si="0">AVERAGE(J2:U2)</f>
        <v>4</v>
      </c>
      <c r="D2" s="46"/>
      <c r="E2" s="78">
        <f t="shared" ref="E2:E11" si="1">AVERAGE(J2:L2)</f>
        <v>4</v>
      </c>
      <c r="F2" s="46"/>
      <c r="G2" s="46"/>
      <c r="H2" s="46"/>
      <c r="I2" s="46"/>
      <c r="J2" s="46">
        <v>4</v>
      </c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W2" s="8" t="s">
        <v>94</v>
      </c>
      <c r="X2" s="8" t="s">
        <v>106</v>
      </c>
      <c r="Y2" s="8" t="s">
        <v>107</v>
      </c>
      <c r="Z2" s="8" t="s">
        <v>108</v>
      </c>
    </row>
    <row r="3" spans="1:26" x14ac:dyDescent="0.3">
      <c r="A3" s="45" t="s">
        <v>47</v>
      </c>
      <c r="B3" s="79">
        <v>0.30833333333333335</v>
      </c>
      <c r="C3" s="79">
        <f t="shared" si="0"/>
        <v>0</v>
      </c>
      <c r="D3" s="47"/>
      <c r="E3" s="79">
        <f t="shared" si="1"/>
        <v>0</v>
      </c>
      <c r="F3" s="79"/>
      <c r="G3" s="79"/>
      <c r="H3" s="77"/>
      <c r="I3" s="47"/>
      <c r="J3" s="47">
        <v>0</v>
      </c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W3" s="8" t="s">
        <v>86</v>
      </c>
      <c r="X3" s="8">
        <v>0.1</v>
      </c>
      <c r="Y3" s="8">
        <v>4</v>
      </c>
      <c r="Z3" s="8">
        <v>4.0999999999999996</v>
      </c>
    </row>
    <row r="4" spans="1:26" x14ac:dyDescent="0.3">
      <c r="A4" s="45" t="s">
        <v>48</v>
      </c>
      <c r="B4" s="79">
        <v>3.2250000000000001</v>
      </c>
      <c r="C4" s="79">
        <f t="shared" si="0"/>
        <v>4</v>
      </c>
      <c r="D4" s="47"/>
      <c r="E4" s="79">
        <f t="shared" si="1"/>
        <v>4</v>
      </c>
      <c r="F4" s="79"/>
      <c r="G4" s="79"/>
      <c r="H4" s="79"/>
      <c r="I4" s="47"/>
      <c r="J4" s="47">
        <v>4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W4" s="8" t="s">
        <v>87</v>
      </c>
      <c r="X4" s="8">
        <v>0</v>
      </c>
      <c r="Y4" s="8">
        <v>2.2000000000000002</v>
      </c>
      <c r="Z4" s="8">
        <v>2.2000000000000002</v>
      </c>
    </row>
    <row r="5" spans="1:26" x14ac:dyDescent="0.3">
      <c r="A5" s="45" t="s">
        <v>49</v>
      </c>
      <c r="B5" s="79">
        <v>5.8583333333333316</v>
      </c>
      <c r="C5" s="79">
        <f t="shared" si="0"/>
        <v>4.0999999999999996</v>
      </c>
      <c r="D5" s="47"/>
      <c r="E5" s="79">
        <f t="shared" si="1"/>
        <v>4.0999999999999996</v>
      </c>
      <c r="F5" s="77"/>
      <c r="G5" s="79"/>
      <c r="H5" s="79"/>
      <c r="I5" s="47"/>
      <c r="J5" s="47">
        <v>4.0999999999999996</v>
      </c>
      <c r="K5" s="48"/>
      <c r="L5" s="47"/>
      <c r="M5" s="47"/>
      <c r="N5" s="47"/>
      <c r="O5" s="47"/>
      <c r="P5" s="47"/>
      <c r="Q5" s="47"/>
      <c r="R5" s="47"/>
      <c r="S5" s="47"/>
      <c r="T5" s="47"/>
      <c r="U5" s="47"/>
      <c r="W5" s="8" t="s">
        <v>88</v>
      </c>
      <c r="X5" s="8">
        <v>0</v>
      </c>
      <c r="Y5" s="8">
        <v>3.7</v>
      </c>
      <c r="Z5" s="8">
        <v>3.7</v>
      </c>
    </row>
    <row r="6" spans="1:26" x14ac:dyDescent="0.3">
      <c r="A6" s="45" t="s">
        <v>50</v>
      </c>
      <c r="B6" s="79">
        <v>3.5083333333333333</v>
      </c>
      <c r="C6" s="79">
        <f t="shared" si="0"/>
        <v>2.2000000000000002</v>
      </c>
      <c r="D6" s="47"/>
      <c r="E6" s="79">
        <f t="shared" si="1"/>
        <v>2.2000000000000002</v>
      </c>
      <c r="F6" s="77"/>
      <c r="G6" s="79"/>
      <c r="H6" s="77"/>
      <c r="I6" s="47"/>
      <c r="J6" s="47">
        <v>2.2000000000000002</v>
      </c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W6" s="8" t="s">
        <v>89</v>
      </c>
      <c r="X6" s="8">
        <v>0</v>
      </c>
      <c r="Y6" s="8">
        <v>3.2</v>
      </c>
      <c r="Z6" s="8">
        <v>3.2</v>
      </c>
    </row>
    <row r="7" spans="1:26" x14ac:dyDescent="0.3">
      <c r="A7" s="45" t="s">
        <v>51</v>
      </c>
      <c r="B7" s="79">
        <v>3.4249999999999994</v>
      </c>
      <c r="C7" s="79">
        <f t="shared" si="0"/>
        <v>3.7</v>
      </c>
      <c r="D7" s="47"/>
      <c r="E7" s="79">
        <f t="shared" si="1"/>
        <v>3.7</v>
      </c>
      <c r="F7" s="77"/>
      <c r="G7" s="79"/>
      <c r="H7" s="77"/>
      <c r="I7" s="47"/>
      <c r="J7" s="47">
        <v>3.7</v>
      </c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W7" s="8" t="s">
        <v>90</v>
      </c>
      <c r="X7" s="8">
        <v>0</v>
      </c>
      <c r="Y7" s="8">
        <v>1.9</v>
      </c>
      <c r="Z7" s="8">
        <v>1.9</v>
      </c>
    </row>
    <row r="8" spans="1:26" x14ac:dyDescent="0.3">
      <c r="A8" s="45" t="s">
        <v>52</v>
      </c>
      <c r="B8" s="79">
        <v>3.5749999999999997</v>
      </c>
      <c r="C8" s="79">
        <f t="shared" si="0"/>
        <v>3.2</v>
      </c>
      <c r="D8" s="47"/>
      <c r="E8" s="79">
        <f t="shared" si="1"/>
        <v>3.2</v>
      </c>
      <c r="F8" s="79"/>
      <c r="G8" s="79"/>
      <c r="H8" s="77"/>
      <c r="I8" s="47"/>
      <c r="J8" s="47">
        <v>3.2</v>
      </c>
      <c r="K8" s="48"/>
      <c r="L8" s="47"/>
      <c r="M8" s="47"/>
      <c r="N8" s="47"/>
      <c r="O8" s="47"/>
      <c r="P8" s="47"/>
      <c r="Q8" s="47"/>
      <c r="R8" s="47"/>
      <c r="S8" s="47"/>
      <c r="T8" s="47"/>
      <c r="U8" s="47"/>
      <c r="W8" s="8" t="s">
        <v>91</v>
      </c>
      <c r="X8" s="8">
        <v>0.1</v>
      </c>
      <c r="Y8" s="8">
        <v>2</v>
      </c>
      <c r="Z8" s="8">
        <v>2.1</v>
      </c>
    </row>
    <row r="9" spans="1:26" x14ac:dyDescent="0.3">
      <c r="A9" s="45" t="s">
        <v>53</v>
      </c>
      <c r="B9" s="79">
        <v>2.9416666666666669</v>
      </c>
      <c r="C9" s="79">
        <f t="shared" si="0"/>
        <v>1.9</v>
      </c>
      <c r="D9" s="47"/>
      <c r="E9" s="79">
        <f t="shared" si="1"/>
        <v>1.9</v>
      </c>
      <c r="F9" s="77"/>
      <c r="G9" s="79"/>
      <c r="H9" s="79"/>
      <c r="I9" s="47"/>
      <c r="J9" s="47">
        <v>1.9</v>
      </c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W9" s="8" t="s">
        <v>92</v>
      </c>
      <c r="X9" s="8">
        <v>0</v>
      </c>
      <c r="Y9" s="8">
        <v>11.1</v>
      </c>
      <c r="Z9" s="8">
        <v>11.1</v>
      </c>
    </row>
    <row r="10" spans="1:26" x14ac:dyDescent="0.3">
      <c r="A10" s="45" t="s">
        <v>54</v>
      </c>
      <c r="B10" s="79">
        <v>2.5249999999999999</v>
      </c>
      <c r="C10" s="79">
        <f t="shared" si="0"/>
        <v>2.1</v>
      </c>
      <c r="D10" s="47"/>
      <c r="E10" s="79">
        <f t="shared" si="1"/>
        <v>2.1</v>
      </c>
      <c r="F10" s="79"/>
      <c r="G10" s="79"/>
      <c r="H10" s="77"/>
      <c r="I10" s="47"/>
      <c r="J10" s="47">
        <v>2.1</v>
      </c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W10" s="8" t="s">
        <v>93</v>
      </c>
      <c r="X10" s="8">
        <v>0</v>
      </c>
      <c r="Y10" s="8">
        <v>4</v>
      </c>
      <c r="Z10" s="8">
        <v>4</v>
      </c>
    </row>
    <row r="11" spans="1:26" x14ac:dyDescent="0.3">
      <c r="A11" s="45" t="s">
        <v>55</v>
      </c>
      <c r="B11" s="79">
        <v>3.3250000000000006</v>
      </c>
      <c r="C11" s="79">
        <f t="shared" si="0"/>
        <v>11.1</v>
      </c>
      <c r="D11" s="47"/>
      <c r="E11" s="79">
        <f t="shared" si="1"/>
        <v>11.1</v>
      </c>
      <c r="F11" s="79"/>
      <c r="G11" s="79"/>
      <c r="H11" s="79"/>
      <c r="I11" s="47"/>
      <c r="J11" s="47">
        <v>11.1</v>
      </c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</row>
  </sheetData>
  <pageMargins left="0.7" right="0.7" top="0.75" bottom="0.75" header="0.3" footer="0.3"/>
  <pageSetup orientation="portrait" r:id="rId1"/>
  <ignoredErrors>
    <ignoredError sqref="E2:E11" formulaRange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55B1-0A4A-47F6-BF74-F81D5C38341B}">
  <dimension ref="A1:AC43"/>
  <sheetViews>
    <sheetView zoomScale="70" zoomScaleNormal="70" workbookViewId="0">
      <selection activeCell="W29" sqref="W29"/>
    </sheetView>
  </sheetViews>
  <sheetFormatPr defaultRowHeight="15.6" x14ac:dyDescent="0.3"/>
  <cols>
    <col min="1" max="1" width="16.5" style="21" customWidth="1"/>
    <col min="2" max="3" width="7.8984375" style="21" customWidth="1"/>
    <col min="4" max="4" width="1.8984375" style="21" customWidth="1"/>
    <col min="5" max="8" width="7.8984375" style="21" customWidth="1"/>
    <col min="9" max="9" width="1.8984375" style="21" customWidth="1"/>
    <col min="10" max="20" width="7.8984375" style="21" customWidth="1"/>
    <col min="21" max="21" width="7.8984375" style="25" customWidth="1"/>
    <col min="22" max="22" width="9.09765625" style="21" customWidth="1"/>
    <col min="23" max="16384" width="8.796875" style="21"/>
  </cols>
  <sheetData>
    <row r="1" spans="1:29" ht="33.6" customHeight="1" x14ac:dyDescent="0.3">
      <c r="A1" s="35"/>
      <c r="B1" s="36" t="s">
        <v>7</v>
      </c>
      <c r="C1" s="36" t="s">
        <v>98</v>
      </c>
      <c r="D1" s="36"/>
      <c r="E1" s="36" t="s">
        <v>64</v>
      </c>
      <c r="F1" s="36" t="s">
        <v>65</v>
      </c>
      <c r="G1" s="36" t="s">
        <v>66</v>
      </c>
      <c r="H1" s="36" t="s">
        <v>67</v>
      </c>
      <c r="I1" s="36"/>
      <c r="J1" s="36" t="s">
        <v>12</v>
      </c>
      <c r="K1" s="36" t="s">
        <v>13</v>
      </c>
      <c r="L1" s="36" t="s">
        <v>14</v>
      </c>
      <c r="M1" s="36" t="s">
        <v>15</v>
      </c>
      <c r="N1" s="37" t="s">
        <v>16</v>
      </c>
      <c r="O1" s="37" t="s">
        <v>17</v>
      </c>
      <c r="P1" s="36" t="s">
        <v>18</v>
      </c>
      <c r="Q1" s="36" t="s">
        <v>19</v>
      </c>
      <c r="R1" s="36" t="s">
        <v>20</v>
      </c>
      <c r="S1" s="36" t="s">
        <v>21</v>
      </c>
      <c r="T1" s="36" t="s">
        <v>22</v>
      </c>
      <c r="U1" s="36" t="s">
        <v>23</v>
      </c>
    </row>
    <row r="2" spans="1:29" s="25" customFormat="1" ht="33" customHeight="1" x14ac:dyDescent="0.3">
      <c r="A2" s="40" t="s">
        <v>109</v>
      </c>
      <c r="B2" s="22">
        <v>0.91341666666666665</v>
      </c>
      <c r="C2" s="22">
        <f>AVERAGE(J2:U2)</f>
        <v>0.91</v>
      </c>
      <c r="D2" s="22"/>
      <c r="E2" s="22">
        <f>AVERAGE(J2:L2)</f>
        <v>0.91</v>
      </c>
      <c r="F2" s="22"/>
      <c r="G2" s="22"/>
      <c r="H2" s="76"/>
      <c r="I2" s="22"/>
      <c r="J2" s="22">
        <v>0.91</v>
      </c>
      <c r="K2" s="23"/>
      <c r="L2" s="22"/>
      <c r="M2" s="22"/>
      <c r="N2" s="22"/>
      <c r="O2" s="22"/>
      <c r="P2" s="22"/>
      <c r="Q2" s="22"/>
      <c r="R2" s="22"/>
      <c r="S2" s="22"/>
      <c r="T2" s="22"/>
      <c r="U2" s="22"/>
      <c r="V2" s="24"/>
    </row>
    <row r="3" spans="1:29" s="25" customFormat="1" ht="33.6" customHeight="1" x14ac:dyDescent="0.3">
      <c r="A3" s="38" t="s">
        <v>68</v>
      </c>
      <c r="B3" s="22">
        <v>0.90600000000000003</v>
      </c>
      <c r="C3" s="22">
        <v>0.90600000000000003</v>
      </c>
      <c r="D3" s="22"/>
      <c r="E3" s="22">
        <v>0.90600000000000003</v>
      </c>
      <c r="F3" s="22">
        <v>0.90600000000000003</v>
      </c>
      <c r="G3" s="22">
        <v>0.90600000000000003</v>
      </c>
      <c r="H3" s="22">
        <v>0.90600000000000003</v>
      </c>
      <c r="I3" s="22"/>
      <c r="J3" s="22">
        <v>0.90600000000000003</v>
      </c>
      <c r="K3" s="22">
        <v>0.90600000000000003</v>
      </c>
      <c r="L3" s="22">
        <v>0.90600000000000003</v>
      </c>
      <c r="M3" s="22">
        <v>0.90600000000000003</v>
      </c>
      <c r="N3" s="22">
        <v>0.90600000000000003</v>
      </c>
      <c r="O3" s="22">
        <v>0.90600000000000003</v>
      </c>
      <c r="P3" s="22">
        <v>0.90600000000000003</v>
      </c>
      <c r="Q3" s="22">
        <v>0.90600000000000003</v>
      </c>
      <c r="R3" s="22">
        <v>0.90600000000000003</v>
      </c>
      <c r="S3" s="22">
        <v>0.90600000000000003</v>
      </c>
      <c r="T3" s="22">
        <v>0.90600000000000003</v>
      </c>
      <c r="U3" s="22">
        <v>0.90600000000000003</v>
      </c>
    </row>
    <row r="4" spans="1:29" x14ac:dyDescent="0.3">
      <c r="B4" s="26"/>
      <c r="D4" s="27"/>
      <c r="E4" s="25"/>
      <c r="F4" s="25"/>
      <c r="G4" s="25"/>
      <c r="H4" s="25"/>
      <c r="I4" s="27"/>
      <c r="J4" s="27"/>
      <c r="K4" s="27"/>
      <c r="L4" s="27"/>
      <c r="M4" s="27"/>
      <c r="N4" s="28"/>
      <c r="O4" s="28"/>
      <c r="P4" s="28"/>
      <c r="Q4" s="28"/>
      <c r="R4" s="28"/>
      <c r="S4" s="28"/>
      <c r="T4" s="29"/>
      <c r="U4" s="30"/>
      <c r="V4" s="31"/>
      <c r="W4" s="21" t="s">
        <v>94</v>
      </c>
      <c r="X4" s="21" t="s">
        <v>83</v>
      </c>
      <c r="Y4" s="21" t="s">
        <v>84</v>
      </c>
      <c r="Z4" s="21" t="s">
        <v>85</v>
      </c>
      <c r="AA4" s="21" t="s">
        <v>97</v>
      </c>
      <c r="AB4" s="21" t="s">
        <v>95</v>
      </c>
    </row>
    <row r="5" spans="1:29" x14ac:dyDescent="0.3">
      <c r="B5" s="26"/>
      <c r="C5" s="32"/>
      <c r="D5" s="32"/>
      <c r="E5" s="25"/>
      <c r="F5" s="25"/>
      <c r="G5" s="25"/>
      <c r="H5" s="25"/>
      <c r="I5" s="32"/>
      <c r="J5" s="32"/>
      <c r="K5" s="32"/>
      <c r="L5" s="25"/>
      <c r="M5" s="25"/>
      <c r="N5" s="29"/>
      <c r="O5" s="29"/>
      <c r="P5" s="29"/>
      <c r="Q5" s="29"/>
      <c r="R5" s="29"/>
      <c r="S5" s="29"/>
      <c r="T5" s="29"/>
      <c r="U5" s="33"/>
      <c r="W5" s="21" t="s">
        <v>86</v>
      </c>
      <c r="X5" s="21">
        <v>70.3</v>
      </c>
      <c r="Y5" s="21">
        <v>6.6</v>
      </c>
      <c r="Z5" s="21">
        <v>2.5</v>
      </c>
      <c r="AA5" s="21">
        <v>11.3</v>
      </c>
      <c r="AB5" s="21">
        <v>0</v>
      </c>
      <c r="AC5" s="21">
        <f t="shared" ref="AC5:AC12" si="0">SUM(X5:AB5)</f>
        <v>90.699999999999989</v>
      </c>
    </row>
    <row r="6" spans="1:29" x14ac:dyDescent="0.3">
      <c r="T6" s="25"/>
      <c r="W6" s="21" t="s">
        <v>87</v>
      </c>
      <c r="X6" s="21">
        <v>76.900000000000006</v>
      </c>
      <c r="Y6" s="21">
        <v>4.9000000000000004</v>
      </c>
      <c r="Z6" s="21">
        <v>2.1</v>
      </c>
      <c r="AA6" s="21">
        <v>11.3</v>
      </c>
      <c r="AB6" s="21">
        <v>0</v>
      </c>
      <c r="AC6" s="21">
        <f t="shared" si="0"/>
        <v>95.2</v>
      </c>
    </row>
    <row r="7" spans="1:29" x14ac:dyDescent="0.3">
      <c r="T7" s="25"/>
      <c r="W7" s="21" t="s">
        <v>88</v>
      </c>
      <c r="X7" s="21">
        <v>73.900000000000006</v>
      </c>
      <c r="Y7" s="21">
        <v>3.4</v>
      </c>
      <c r="Z7" s="21">
        <v>2.2999999999999998</v>
      </c>
      <c r="AA7" s="21">
        <v>11.3</v>
      </c>
      <c r="AB7" s="21">
        <v>0</v>
      </c>
      <c r="AC7" s="21">
        <f t="shared" si="0"/>
        <v>90.9</v>
      </c>
    </row>
    <row r="8" spans="1:29" x14ac:dyDescent="0.3">
      <c r="W8" s="21" t="s">
        <v>89</v>
      </c>
      <c r="X8" s="21">
        <v>74.099999999999994</v>
      </c>
      <c r="Y8" s="21">
        <v>5.3</v>
      </c>
      <c r="Z8" s="21">
        <v>1.5</v>
      </c>
      <c r="AA8" s="21">
        <v>11.3</v>
      </c>
      <c r="AB8" s="21">
        <v>0</v>
      </c>
      <c r="AC8" s="21">
        <f t="shared" si="0"/>
        <v>92.199999999999989</v>
      </c>
    </row>
    <row r="9" spans="1:29" x14ac:dyDescent="0.3">
      <c r="T9" s="21" t="s">
        <v>69</v>
      </c>
      <c r="W9" s="21" t="s">
        <v>90</v>
      </c>
      <c r="X9" s="21">
        <v>77.400000000000006</v>
      </c>
      <c r="Y9" s="21">
        <v>5.7</v>
      </c>
      <c r="Z9" s="21">
        <v>0.5</v>
      </c>
      <c r="AA9" s="21">
        <v>11.3</v>
      </c>
      <c r="AB9" s="21">
        <v>0</v>
      </c>
      <c r="AC9" s="21">
        <f t="shared" si="0"/>
        <v>94.9</v>
      </c>
    </row>
    <row r="10" spans="1:29" x14ac:dyDescent="0.3">
      <c r="W10" s="21" t="s">
        <v>91</v>
      </c>
      <c r="X10" s="21">
        <v>76</v>
      </c>
      <c r="Y10" s="21">
        <v>5</v>
      </c>
      <c r="Z10" s="21">
        <v>0.5</v>
      </c>
      <c r="AA10" s="21">
        <v>11.3</v>
      </c>
      <c r="AB10" s="21">
        <v>0</v>
      </c>
      <c r="AC10" s="21">
        <f t="shared" si="0"/>
        <v>92.8</v>
      </c>
    </row>
    <row r="11" spans="1:29" x14ac:dyDescent="0.3">
      <c r="P11" s="34" t="s">
        <v>69</v>
      </c>
      <c r="Q11" s="34"/>
      <c r="W11" s="21" t="s">
        <v>92</v>
      </c>
      <c r="X11" s="21">
        <v>28.1</v>
      </c>
      <c r="Y11" s="21">
        <v>23.9</v>
      </c>
      <c r="Z11" s="21">
        <v>1.2</v>
      </c>
      <c r="AA11" s="21">
        <v>11.3</v>
      </c>
      <c r="AB11" s="21">
        <v>16.5</v>
      </c>
      <c r="AC11" s="21">
        <f t="shared" si="0"/>
        <v>81</v>
      </c>
    </row>
    <row r="12" spans="1:29" x14ac:dyDescent="0.3">
      <c r="W12" s="21" t="s">
        <v>93</v>
      </c>
      <c r="X12" s="21">
        <v>68.099999999999994</v>
      </c>
      <c r="Y12" s="21">
        <v>7.8</v>
      </c>
      <c r="Z12" s="21">
        <v>1.5</v>
      </c>
      <c r="AA12" s="21">
        <v>11.3</v>
      </c>
      <c r="AB12" s="21">
        <v>2.2999999999999998</v>
      </c>
      <c r="AC12" s="21">
        <f t="shared" si="0"/>
        <v>90.999999999999986</v>
      </c>
    </row>
    <row r="21" spans="1:21" x14ac:dyDescent="0.3">
      <c r="A21" s="22" t="e">
        <f>AVERAGE(J21:L21)</f>
        <v>#DIV/0!</v>
      </c>
    </row>
    <row r="22" spans="1:21" ht="26.4" customHeight="1" x14ac:dyDescent="0.3">
      <c r="A22" s="39" t="s">
        <v>1</v>
      </c>
      <c r="B22" s="36" t="s">
        <v>7</v>
      </c>
      <c r="C22" s="36" t="s">
        <v>98</v>
      </c>
      <c r="D22" s="36"/>
      <c r="E22" s="36" t="s">
        <v>64</v>
      </c>
      <c r="F22" s="36" t="s">
        <v>65</v>
      </c>
      <c r="G22" s="36" t="s">
        <v>66</v>
      </c>
      <c r="H22" s="36" t="s">
        <v>67</v>
      </c>
      <c r="I22" s="36"/>
      <c r="J22" s="36" t="s">
        <v>12</v>
      </c>
      <c r="K22" s="36" t="s">
        <v>13</v>
      </c>
      <c r="L22" s="36" t="s">
        <v>14</v>
      </c>
      <c r="M22" s="36" t="s">
        <v>15</v>
      </c>
      <c r="N22" s="37" t="s">
        <v>16</v>
      </c>
      <c r="O22" s="37" t="s">
        <v>17</v>
      </c>
      <c r="P22" s="36" t="s">
        <v>18</v>
      </c>
      <c r="Q22" s="36" t="s">
        <v>19</v>
      </c>
      <c r="R22" s="36" t="s">
        <v>20</v>
      </c>
      <c r="S22" s="36" t="s">
        <v>21</v>
      </c>
      <c r="T22" s="36" t="s">
        <v>22</v>
      </c>
      <c r="U22" s="36" t="s">
        <v>23</v>
      </c>
    </row>
    <row r="23" spans="1:21" ht="25.2" customHeight="1" x14ac:dyDescent="0.3">
      <c r="A23" s="38" t="s">
        <v>70</v>
      </c>
      <c r="B23" s="23">
        <v>0.88716666666666677</v>
      </c>
      <c r="C23" s="74">
        <f t="shared" ref="C23:C30" si="1">AVERAGE(J23:U23)</f>
        <v>0.90700000000000003</v>
      </c>
      <c r="D23" s="74"/>
      <c r="E23" s="74">
        <f t="shared" ref="E23:E30" si="2">AVERAGE(J23:L23)</f>
        <v>0.90700000000000003</v>
      </c>
      <c r="F23" s="74"/>
      <c r="G23" s="74"/>
      <c r="H23" s="74"/>
      <c r="I23" s="22"/>
      <c r="J23" s="23">
        <v>0.90700000000000003</v>
      </c>
      <c r="K23" s="23"/>
      <c r="L23" s="23"/>
      <c r="M23" s="23"/>
      <c r="N23" s="58"/>
      <c r="O23" s="23"/>
      <c r="P23" s="58"/>
      <c r="Q23" s="23"/>
      <c r="R23" s="23"/>
      <c r="S23" s="23"/>
      <c r="T23" s="23"/>
      <c r="U23" s="23"/>
    </row>
    <row r="24" spans="1:21" ht="25.2" customHeight="1" x14ac:dyDescent="0.3">
      <c r="A24" s="38" t="s">
        <v>71</v>
      </c>
      <c r="B24" s="23">
        <v>0.90450000000000008</v>
      </c>
      <c r="C24" s="74">
        <f t="shared" si="1"/>
        <v>0.95199999999999996</v>
      </c>
      <c r="D24" s="74"/>
      <c r="E24" s="74">
        <f t="shared" si="2"/>
        <v>0.95199999999999996</v>
      </c>
      <c r="F24" s="74"/>
      <c r="G24" s="74"/>
      <c r="H24" s="74"/>
      <c r="I24" s="22"/>
      <c r="J24" s="23">
        <v>0.95199999999999996</v>
      </c>
      <c r="K24" s="23"/>
      <c r="L24" s="23"/>
      <c r="M24" s="23"/>
      <c r="N24" s="58"/>
      <c r="O24" s="23"/>
      <c r="P24" s="23"/>
      <c r="Q24" s="23"/>
      <c r="R24" s="23"/>
      <c r="S24" s="23"/>
      <c r="T24" s="23"/>
      <c r="U24" s="23"/>
    </row>
    <row r="25" spans="1:21" ht="25.2" customHeight="1" x14ac:dyDescent="0.3">
      <c r="A25" s="38" t="s">
        <v>72</v>
      </c>
      <c r="B25" s="23">
        <v>0.91825000000000001</v>
      </c>
      <c r="C25" s="74">
        <f t="shared" si="1"/>
        <v>0.90900000000000003</v>
      </c>
      <c r="D25" s="74"/>
      <c r="E25" s="74">
        <f t="shared" si="2"/>
        <v>0.90900000000000003</v>
      </c>
      <c r="F25" s="74"/>
      <c r="G25" s="74"/>
      <c r="H25" s="74"/>
      <c r="I25" s="22"/>
      <c r="J25" s="23">
        <v>0.90900000000000003</v>
      </c>
      <c r="K25" s="23"/>
      <c r="L25" s="23"/>
      <c r="M25" s="23"/>
      <c r="N25" s="23"/>
      <c r="O25" s="23"/>
      <c r="P25" s="58"/>
      <c r="Q25" s="23"/>
      <c r="R25" s="23"/>
      <c r="S25" s="23"/>
      <c r="T25" s="23"/>
      <c r="U25" s="23"/>
    </row>
    <row r="26" spans="1:21" ht="25.2" customHeight="1" x14ac:dyDescent="0.3">
      <c r="A26" s="38" t="s">
        <v>73</v>
      </c>
      <c r="B26" s="23">
        <v>0.89600000000000002</v>
      </c>
      <c r="C26" s="74">
        <f t="shared" si="1"/>
        <v>0.92200000000000004</v>
      </c>
      <c r="D26" s="74"/>
      <c r="E26" s="74">
        <f t="shared" si="2"/>
        <v>0.92200000000000004</v>
      </c>
      <c r="F26" s="74"/>
      <c r="G26" s="74"/>
      <c r="H26" s="74"/>
      <c r="I26" s="22"/>
      <c r="J26" s="23">
        <v>0.92200000000000004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</row>
    <row r="27" spans="1:21" ht="25.2" customHeight="1" x14ac:dyDescent="0.3">
      <c r="A27" s="38" t="s">
        <v>74</v>
      </c>
      <c r="B27" s="23">
        <v>0.90908333333333335</v>
      </c>
      <c r="C27" s="74">
        <f t="shared" si="1"/>
        <v>0.94899999999999995</v>
      </c>
      <c r="D27" s="74"/>
      <c r="E27" s="74">
        <f t="shared" si="2"/>
        <v>0.94899999999999995</v>
      </c>
      <c r="F27" s="74"/>
      <c r="G27" s="74"/>
      <c r="H27" s="74"/>
      <c r="I27" s="22"/>
      <c r="J27" s="23">
        <v>0.94899999999999995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</row>
    <row r="28" spans="1:21" ht="25.2" customHeight="1" x14ac:dyDescent="0.3">
      <c r="A28" s="38" t="s">
        <v>75</v>
      </c>
      <c r="B28" s="23">
        <v>0.93783333333333341</v>
      </c>
      <c r="C28" s="74">
        <f t="shared" si="1"/>
        <v>0.92800000000000005</v>
      </c>
      <c r="D28" s="74"/>
      <c r="E28" s="74">
        <f t="shared" si="2"/>
        <v>0.92800000000000005</v>
      </c>
      <c r="F28" s="74"/>
      <c r="G28" s="74"/>
      <c r="H28" s="74"/>
      <c r="I28" s="22"/>
      <c r="J28" s="23">
        <v>0.92800000000000005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</row>
    <row r="29" spans="1:21" ht="25.2" customHeight="1" x14ac:dyDescent="0.3">
      <c r="A29" s="38" t="s">
        <v>76</v>
      </c>
      <c r="B29" s="23">
        <v>0.93983333333333341</v>
      </c>
      <c r="C29" s="74">
        <f t="shared" si="1"/>
        <v>0.81</v>
      </c>
      <c r="D29" s="74"/>
      <c r="E29" s="74">
        <f t="shared" si="2"/>
        <v>0.81</v>
      </c>
      <c r="F29" s="74"/>
      <c r="G29" s="74"/>
      <c r="H29" s="74"/>
      <c r="I29" s="22"/>
      <c r="J29" s="23">
        <v>0.81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</row>
    <row r="30" spans="1:21" ht="31.8" customHeight="1" x14ac:dyDescent="0.3">
      <c r="A30" s="40" t="s">
        <v>77</v>
      </c>
      <c r="B30" s="41">
        <v>0.91308333333333336</v>
      </c>
      <c r="C30" s="75">
        <f t="shared" si="1"/>
        <v>0.91</v>
      </c>
      <c r="D30" s="75"/>
      <c r="E30" s="75">
        <f t="shared" si="2"/>
        <v>0.91</v>
      </c>
      <c r="F30" s="75"/>
      <c r="G30" s="75"/>
      <c r="H30" s="75"/>
      <c r="I30" s="42"/>
      <c r="J30" s="41">
        <v>0.91</v>
      </c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</row>
    <row r="32" spans="1:21" ht="19.8" customHeight="1" x14ac:dyDescent="0.3"/>
    <row r="33" spans="8:21" ht="19.8" customHeight="1" x14ac:dyDescent="0.3">
      <c r="H33" s="25"/>
      <c r="U33" s="21"/>
    </row>
    <row r="34" spans="8:21" ht="19.8" customHeight="1" x14ac:dyDescent="0.3">
      <c r="U34" s="21"/>
    </row>
    <row r="35" spans="8:21" ht="19.8" customHeight="1" x14ac:dyDescent="0.3">
      <c r="U35" s="21"/>
    </row>
    <row r="36" spans="8:21" ht="19.8" customHeight="1" x14ac:dyDescent="0.3">
      <c r="U36" s="21"/>
    </row>
    <row r="37" spans="8:21" ht="19.8" customHeight="1" x14ac:dyDescent="0.3">
      <c r="U37" s="21"/>
    </row>
    <row r="38" spans="8:21" ht="19.8" customHeight="1" x14ac:dyDescent="0.3">
      <c r="U38" s="21"/>
    </row>
    <row r="39" spans="8:21" ht="19.8" customHeight="1" x14ac:dyDescent="0.3">
      <c r="U39" s="21"/>
    </row>
    <row r="40" spans="8:21" ht="19.8" customHeight="1" x14ac:dyDescent="0.3">
      <c r="U40" s="21"/>
    </row>
    <row r="41" spans="8:21" ht="19.8" customHeight="1" x14ac:dyDescent="0.3">
      <c r="U41" s="21"/>
    </row>
    <row r="42" spans="8:21" ht="19.8" customHeight="1" x14ac:dyDescent="0.3">
      <c r="U42" s="21"/>
    </row>
    <row r="43" spans="8:21" x14ac:dyDescent="0.3">
      <c r="J43" s="25"/>
      <c r="U43" s="21"/>
    </row>
  </sheetData>
  <pageMargins left="0.7" right="0.7" top="0.75" bottom="0.75" header="0.3" footer="0.3"/>
  <pageSetup orientation="portrait" r:id="rId1"/>
  <ignoredErrors>
    <ignoredError sqref="E30 E2 E23:E29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T1</vt:lpstr>
      <vt:lpstr>T2</vt:lpstr>
      <vt:lpstr>T3</vt:lpstr>
      <vt:lpstr>T4</vt:lpstr>
      <vt:lpstr>T5</vt:lpstr>
      <vt:lpstr>T6</vt:lpstr>
      <vt:lpstr>T8</vt:lpstr>
      <vt:lpstr>TEOS (2)</vt:lpstr>
      <vt:lpstr>MTBF</vt:lpstr>
      <vt:lpstr>MD+PM</vt:lpstr>
      <vt:lpstr>LP-T UT%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S220 MCTsai4</dc:creator>
  <cp:lastModifiedBy>S220 MCTsai4</cp:lastModifiedBy>
  <dcterms:created xsi:type="dcterms:W3CDTF">2024-01-15T05:24:19Z</dcterms:created>
  <dcterms:modified xsi:type="dcterms:W3CDTF">2025-02-13T01:12:21Z</dcterms:modified>
</cp:coreProperties>
</file>