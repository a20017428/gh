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YLIN\Desktop\ni\"/>
    </mc:Choice>
  </mc:AlternateContent>
  <xr:revisionPtr revIDLastSave="0" documentId="8_{3F5C640C-0987-40CF-BD8D-F15C78DE241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PCVD(M)" sheetId="9" r:id="rId1"/>
    <sheet name="LPCVD(W)" sheetId="5" r:id="rId2"/>
  </sheets>
  <definedNames>
    <definedName name="_xlnm._FilterDatabase" localSheetId="1" hidden="1">'LPCVD(W)'!$CA$17:$CC$23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5" l="1"/>
  <c r="I60" i="5"/>
  <c r="I61" i="5"/>
  <c r="I62" i="5"/>
  <c r="C76" i="5"/>
  <c r="D76" i="5"/>
  <c r="E76" i="5"/>
  <c r="F76" i="5"/>
  <c r="G76" i="5"/>
  <c r="B76" i="5"/>
  <c r="BW76" i="5"/>
  <c r="BV76" i="5"/>
  <c r="BU76" i="5"/>
  <c r="BT76" i="5"/>
  <c r="BS76" i="5"/>
  <c r="BR76" i="5"/>
  <c r="BQ76" i="5"/>
  <c r="BP76" i="5"/>
  <c r="BO76" i="5"/>
  <c r="BN76" i="5"/>
  <c r="BM76" i="5"/>
  <c r="BL76" i="5"/>
  <c r="BK76" i="5"/>
  <c r="BJ76" i="5"/>
  <c r="BI76" i="5"/>
  <c r="BH76" i="5"/>
  <c r="BG76" i="5"/>
  <c r="BF76" i="5"/>
  <c r="BE76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V76" i="5"/>
  <c r="U76" i="5"/>
  <c r="T76" i="5"/>
  <c r="S76" i="5"/>
  <c r="R76" i="5"/>
  <c r="Q76" i="5"/>
  <c r="P76" i="5"/>
  <c r="O76" i="5"/>
  <c r="N76" i="5"/>
  <c r="M76" i="5"/>
  <c r="L76" i="5"/>
  <c r="K76" i="5"/>
  <c r="I75" i="5"/>
  <c r="I74" i="5"/>
  <c r="I73" i="5"/>
  <c r="I72" i="5"/>
  <c r="I71" i="5"/>
  <c r="I76" i="5" s="1"/>
  <c r="BX85" i="5"/>
  <c r="BW85" i="5"/>
  <c r="BV85" i="5"/>
  <c r="BU85" i="5"/>
  <c r="BT85" i="5"/>
  <c r="BS85" i="5"/>
  <c r="BR85" i="5"/>
  <c r="BQ85" i="5"/>
  <c r="BP85" i="5"/>
  <c r="BO85" i="5"/>
  <c r="BN85" i="5"/>
  <c r="BM85" i="5"/>
  <c r="BL85" i="5"/>
  <c r="BK85" i="5"/>
  <c r="BJ85" i="5"/>
  <c r="BI85" i="5"/>
  <c r="BH85" i="5"/>
  <c r="BG85" i="5"/>
  <c r="BF85" i="5"/>
  <c r="BE85" i="5"/>
  <c r="BD85" i="5"/>
  <c r="BC85" i="5"/>
  <c r="BB85" i="5"/>
  <c r="BA85" i="5"/>
  <c r="AZ85" i="5"/>
  <c r="AY85" i="5"/>
  <c r="AX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V85" i="5"/>
  <c r="U85" i="5"/>
  <c r="T85" i="5"/>
  <c r="S85" i="5"/>
  <c r="R85" i="5"/>
  <c r="Q85" i="5"/>
  <c r="P85" i="5"/>
  <c r="O85" i="5"/>
  <c r="N85" i="5"/>
  <c r="M85" i="5"/>
  <c r="L85" i="5"/>
  <c r="K85" i="5"/>
  <c r="H85" i="5"/>
  <c r="I84" i="5"/>
  <c r="I83" i="5"/>
  <c r="I82" i="5"/>
  <c r="I81" i="5"/>
  <c r="I80" i="5"/>
  <c r="I85" i="5" s="1"/>
  <c r="L49" i="9"/>
  <c r="M49" i="9"/>
  <c r="J49" i="9" s="1"/>
  <c r="N49" i="9"/>
  <c r="N55" i="9" s="1"/>
  <c r="N10" i="9" s="1"/>
  <c r="O49" i="9"/>
  <c r="L50" i="9"/>
  <c r="M50" i="9"/>
  <c r="N50" i="9"/>
  <c r="O50" i="9"/>
  <c r="L51" i="9"/>
  <c r="M51" i="9"/>
  <c r="N51" i="9"/>
  <c r="O51" i="9"/>
  <c r="L52" i="9"/>
  <c r="M52" i="9"/>
  <c r="N52" i="9"/>
  <c r="O52" i="9"/>
  <c r="L53" i="9"/>
  <c r="M53" i="9"/>
  <c r="N53" i="9"/>
  <c r="O53" i="9"/>
  <c r="L54" i="9"/>
  <c r="M54" i="9"/>
  <c r="N54" i="9"/>
  <c r="O54" i="9"/>
  <c r="L39" i="9"/>
  <c r="M39" i="9"/>
  <c r="N39" i="9"/>
  <c r="O39" i="9"/>
  <c r="L40" i="9"/>
  <c r="M40" i="9"/>
  <c r="N40" i="9"/>
  <c r="O40" i="9"/>
  <c r="L41" i="9"/>
  <c r="M41" i="9"/>
  <c r="N41" i="9"/>
  <c r="O41" i="9"/>
  <c r="L42" i="9"/>
  <c r="M42" i="9"/>
  <c r="N42" i="9"/>
  <c r="O42" i="9"/>
  <c r="O45" i="9" s="1"/>
  <c r="O16" i="9" s="1"/>
  <c r="L43" i="9"/>
  <c r="M43" i="9"/>
  <c r="N43" i="9"/>
  <c r="O43" i="9"/>
  <c r="L44" i="9"/>
  <c r="M44" i="9"/>
  <c r="N44" i="9"/>
  <c r="O44" i="9"/>
  <c r="L31" i="9"/>
  <c r="M31" i="9"/>
  <c r="M35" i="9" s="1"/>
  <c r="M8" i="9" s="1"/>
  <c r="N31" i="9"/>
  <c r="O31" i="9"/>
  <c r="L32" i="9"/>
  <c r="M32" i="9"/>
  <c r="J32" i="9" s="1"/>
  <c r="N32" i="9"/>
  <c r="N35" i="9" s="1"/>
  <c r="N8" i="9" s="1"/>
  <c r="O32" i="9"/>
  <c r="L33" i="9"/>
  <c r="M33" i="9"/>
  <c r="N33" i="9"/>
  <c r="O33" i="9"/>
  <c r="L34" i="9"/>
  <c r="M34" i="9"/>
  <c r="J34" i="9" s="1"/>
  <c r="N34" i="9"/>
  <c r="O34" i="9"/>
  <c r="L23" i="9"/>
  <c r="M23" i="9"/>
  <c r="N23" i="9"/>
  <c r="O23" i="9"/>
  <c r="L24" i="9"/>
  <c r="M24" i="9"/>
  <c r="N24" i="9"/>
  <c r="O24" i="9"/>
  <c r="L25" i="9"/>
  <c r="M25" i="9"/>
  <c r="M27" i="9" s="1"/>
  <c r="M15" i="9" s="1"/>
  <c r="N25" i="9"/>
  <c r="N27" i="9" s="1"/>
  <c r="N15" i="9" s="1"/>
  <c r="O25" i="9"/>
  <c r="O27" i="9" s="1"/>
  <c r="O15" i="9" s="1"/>
  <c r="L26" i="9"/>
  <c r="M26" i="9"/>
  <c r="N26" i="9"/>
  <c r="O26" i="9"/>
  <c r="O22" i="9"/>
  <c r="N22" i="9"/>
  <c r="M22" i="9"/>
  <c r="L22" i="9"/>
  <c r="O30" i="9"/>
  <c r="N30" i="9"/>
  <c r="M30" i="9"/>
  <c r="L30" i="9"/>
  <c r="O38" i="9"/>
  <c r="N38" i="9"/>
  <c r="M38" i="9"/>
  <c r="L38" i="9"/>
  <c r="O48" i="9"/>
  <c r="N48" i="9"/>
  <c r="M48" i="9"/>
  <c r="L48" i="9"/>
  <c r="L59" i="9"/>
  <c r="M59" i="9"/>
  <c r="N59" i="9"/>
  <c r="O59" i="9"/>
  <c r="L60" i="9"/>
  <c r="M60" i="9"/>
  <c r="N60" i="9"/>
  <c r="O60" i="9"/>
  <c r="L61" i="9"/>
  <c r="M61" i="9"/>
  <c r="N61" i="9"/>
  <c r="N65" i="9" s="1"/>
  <c r="N17" i="9" s="1"/>
  <c r="O61" i="9"/>
  <c r="O65" i="9" s="1"/>
  <c r="O17" i="9" s="1"/>
  <c r="L62" i="9"/>
  <c r="M62" i="9"/>
  <c r="N62" i="9"/>
  <c r="O62" i="9"/>
  <c r="L63" i="9"/>
  <c r="M63" i="9"/>
  <c r="N63" i="9"/>
  <c r="O63" i="9"/>
  <c r="L64" i="9"/>
  <c r="M64" i="9"/>
  <c r="N64" i="9"/>
  <c r="O64" i="9"/>
  <c r="O58" i="9"/>
  <c r="N58" i="9"/>
  <c r="M58" i="9"/>
  <c r="L58" i="9"/>
  <c r="L69" i="9"/>
  <c r="M69" i="9"/>
  <c r="N69" i="9"/>
  <c r="O69" i="9"/>
  <c r="L70" i="9"/>
  <c r="M70" i="9"/>
  <c r="N70" i="9"/>
  <c r="O70" i="9"/>
  <c r="L71" i="9"/>
  <c r="M71" i="9"/>
  <c r="N71" i="9"/>
  <c r="N75" i="9" s="1"/>
  <c r="N12" i="9" s="1"/>
  <c r="O71" i="9"/>
  <c r="L72" i="9"/>
  <c r="M72" i="9"/>
  <c r="N72" i="9"/>
  <c r="O72" i="9"/>
  <c r="L73" i="9"/>
  <c r="M73" i="9"/>
  <c r="N73" i="9"/>
  <c r="O73" i="9"/>
  <c r="L74" i="9"/>
  <c r="M74" i="9"/>
  <c r="N74" i="9"/>
  <c r="O74" i="9"/>
  <c r="O68" i="9"/>
  <c r="N68" i="9"/>
  <c r="M68" i="9"/>
  <c r="L68" i="9"/>
  <c r="L79" i="9"/>
  <c r="M79" i="9"/>
  <c r="N79" i="9"/>
  <c r="O79" i="9"/>
  <c r="L80" i="9"/>
  <c r="M80" i="9"/>
  <c r="N80" i="9"/>
  <c r="O80" i="9"/>
  <c r="O83" i="9" s="1"/>
  <c r="L81" i="9"/>
  <c r="M81" i="9"/>
  <c r="M83" i="9" s="1"/>
  <c r="N81" i="9"/>
  <c r="N83" i="9" s="1"/>
  <c r="O81" i="9"/>
  <c r="L82" i="9"/>
  <c r="M82" i="9"/>
  <c r="N82" i="9"/>
  <c r="O82" i="9"/>
  <c r="O78" i="9"/>
  <c r="N78" i="9"/>
  <c r="M78" i="9"/>
  <c r="L78" i="9"/>
  <c r="O87" i="9"/>
  <c r="O88" i="9"/>
  <c r="O89" i="9"/>
  <c r="O90" i="9"/>
  <c r="O86" i="9"/>
  <c r="N87" i="9"/>
  <c r="N91" i="9" s="1"/>
  <c r="N88" i="9"/>
  <c r="N89" i="9"/>
  <c r="N90" i="9"/>
  <c r="N86" i="9"/>
  <c r="L87" i="9"/>
  <c r="L88" i="9"/>
  <c r="L89" i="9"/>
  <c r="L90" i="9"/>
  <c r="L86" i="9"/>
  <c r="M87" i="9"/>
  <c r="M91" i="9" s="1"/>
  <c r="M88" i="9"/>
  <c r="M89" i="9"/>
  <c r="M90" i="9"/>
  <c r="M86" i="9"/>
  <c r="J33" i="9"/>
  <c r="N45" i="9"/>
  <c r="N16" i="9" s="1"/>
  <c r="O75" i="9"/>
  <c r="O12" i="9" s="1"/>
  <c r="M75" i="9"/>
  <c r="M12" i="9" s="1"/>
  <c r="L83" i="9"/>
  <c r="AB17" i="9"/>
  <c r="AA17" i="9"/>
  <c r="Z17" i="9"/>
  <c r="Y17" i="9"/>
  <c r="X17" i="9"/>
  <c r="W17" i="9"/>
  <c r="V17" i="9"/>
  <c r="U17" i="9"/>
  <c r="T17" i="9"/>
  <c r="S17" i="9"/>
  <c r="R17" i="9"/>
  <c r="Q17" i="9"/>
  <c r="T16" i="9"/>
  <c r="U16" i="9"/>
  <c r="V16" i="9"/>
  <c r="W16" i="9"/>
  <c r="X16" i="9"/>
  <c r="Y16" i="9"/>
  <c r="Z16" i="9"/>
  <c r="AA16" i="9"/>
  <c r="AB16" i="9"/>
  <c r="R15" i="9"/>
  <c r="T15" i="9"/>
  <c r="U15" i="9"/>
  <c r="V15" i="9"/>
  <c r="W15" i="9"/>
  <c r="X15" i="9"/>
  <c r="Y15" i="9"/>
  <c r="Z15" i="9"/>
  <c r="AA15" i="9"/>
  <c r="AB15" i="9"/>
  <c r="F17" i="9"/>
  <c r="G17" i="9"/>
  <c r="H17" i="9"/>
  <c r="I17" i="9"/>
  <c r="F16" i="9"/>
  <c r="G16" i="9"/>
  <c r="H16" i="9"/>
  <c r="I16" i="9"/>
  <c r="F15" i="9"/>
  <c r="G15" i="9"/>
  <c r="H15" i="9"/>
  <c r="I15" i="9"/>
  <c r="J17" i="9"/>
  <c r="G91" i="9"/>
  <c r="H91" i="9"/>
  <c r="I91" i="9"/>
  <c r="J91" i="9"/>
  <c r="J12" i="9" s="1"/>
  <c r="F91" i="9"/>
  <c r="G83" i="9"/>
  <c r="H83" i="9"/>
  <c r="I83" i="9"/>
  <c r="J83" i="9"/>
  <c r="F83" i="9"/>
  <c r="AB91" i="9"/>
  <c r="AA91" i="9"/>
  <c r="Z91" i="9"/>
  <c r="Y91" i="9"/>
  <c r="X91" i="9"/>
  <c r="W91" i="9"/>
  <c r="V91" i="9"/>
  <c r="U91" i="9"/>
  <c r="T91" i="9"/>
  <c r="S91" i="9"/>
  <c r="R91" i="9"/>
  <c r="Q91" i="9"/>
  <c r="AB83" i="9"/>
  <c r="AA83" i="9"/>
  <c r="Z83" i="9"/>
  <c r="Y83" i="9"/>
  <c r="X83" i="9"/>
  <c r="W83" i="9"/>
  <c r="V83" i="9"/>
  <c r="U83" i="9"/>
  <c r="T83" i="9"/>
  <c r="S83" i="9"/>
  <c r="R83" i="9"/>
  <c r="Q83" i="9"/>
  <c r="J65" i="9"/>
  <c r="O35" i="9"/>
  <c r="O8" i="9" s="1"/>
  <c r="O55" i="9"/>
  <c r="O10" i="9" s="1"/>
  <c r="M65" i="9"/>
  <c r="M17" i="9" s="1"/>
  <c r="L65" i="9"/>
  <c r="L17" i="9" s="1"/>
  <c r="R65" i="9"/>
  <c r="Q65" i="9"/>
  <c r="Q55" i="9"/>
  <c r="Q10" i="9" s="1"/>
  <c r="I19" i="5"/>
  <c r="I20" i="5"/>
  <c r="I21" i="5"/>
  <c r="I22" i="5"/>
  <c r="I18" i="5"/>
  <c r="I50" i="5"/>
  <c r="I51" i="5"/>
  <c r="I52" i="5"/>
  <c r="I53" i="5"/>
  <c r="I54" i="5"/>
  <c r="I55" i="5"/>
  <c r="I49" i="5"/>
  <c r="J54" i="9"/>
  <c r="J53" i="9"/>
  <c r="J52" i="9"/>
  <c r="J51" i="9"/>
  <c r="J50" i="9"/>
  <c r="J48" i="9"/>
  <c r="J44" i="9"/>
  <c r="J43" i="9"/>
  <c r="J42" i="9"/>
  <c r="J41" i="9"/>
  <c r="J40" i="9"/>
  <c r="J39" i="9"/>
  <c r="J38" i="9"/>
  <c r="J31" i="9"/>
  <c r="J30" i="9"/>
  <c r="J26" i="9"/>
  <c r="J25" i="9"/>
  <c r="J24" i="9"/>
  <c r="J23" i="9"/>
  <c r="J22" i="9"/>
  <c r="I10" i="5"/>
  <c r="I11" i="5"/>
  <c r="I12" i="5"/>
  <c r="I13" i="5"/>
  <c r="I9" i="5"/>
  <c r="I39" i="5"/>
  <c r="I40" i="5"/>
  <c r="I41" i="5"/>
  <c r="I42" i="5"/>
  <c r="I43" i="5"/>
  <c r="I44" i="5"/>
  <c r="I38" i="5"/>
  <c r="I28" i="5"/>
  <c r="I29" i="5"/>
  <c r="I30" i="5"/>
  <c r="I31" i="5"/>
  <c r="I32" i="5"/>
  <c r="I33" i="5"/>
  <c r="I27" i="5"/>
  <c r="I34" i="5" s="1"/>
  <c r="I66" i="5"/>
  <c r="I65" i="5"/>
  <c r="I64" i="5"/>
  <c r="I63" i="5"/>
  <c r="I67" i="5"/>
  <c r="I23" i="5"/>
  <c r="I45" i="5"/>
  <c r="M45" i="5"/>
  <c r="N45" i="5"/>
  <c r="O45" i="5"/>
  <c r="P45" i="5"/>
  <c r="Q45" i="5"/>
  <c r="R45" i="5"/>
  <c r="S45" i="5"/>
  <c r="T45" i="5"/>
  <c r="U45" i="5"/>
  <c r="V45" i="5"/>
  <c r="AB27" i="9"/>
  <c r="BX45" i="5"/>
  <c r="BW45" i="5"/>
  <c r="BV45" i="5"/>
  <c r="BU45" i="5"/>
  <c r="BT45" i="5"/>
  <c r="BS45" i="5"/>
  <c r="BR45" i="5"/>
  <c r="BQ45" i="5"/>
  <c r="BP45" i="5"/>
  <c r="BO45" i="5"/>
  <c r="BN45" i="5"/>
  <c r="BM45" i="5"/>
  <c r="BL45" i="5"/>
  <c r="BK45" i="5"/>
  <c r="BJ45" i="5"/>
  <c r="BI45" i="5"/>
  <c r="BH45" i="5"/>
  <c r="BG45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BX23" i="5"/>
  <c r="BW23" i="5"/>
  <c r="BV23" i="5"/>
  <c r="BU23" i="5"/>
  <c r="BT23" i="5"/>
  <c r="BS23" i="5"/>
  <c r="BR23" i="5"/>
  <c r="BQ23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AN67" i="5"/>
  <c r="AM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L67" i="5"/>
  <c r="M67" i="5"/>
  <c r="N67" i="5"/>
  <c r="O67" i="5"/>
  <c r="P67" i="5"/>
  <c r="Q67" i="5"/>
  <c r="R67" i="5"/>
  <c r="S67" i="5"/>
  <c r="T67" i="5"/>
  <c r="U67" i="5"/>
  <c r="V67" i="5"/>
  <c r="K67" i="5"/>
  <c r="Y75" i="9"/>
  <c r="Y12" i="9" s="1"/>
  <c r="X75" i="9"/>
  <c r="X12" i="9" s="1"/>
  <c r="Y65" i="9"/>
  <c r="X65" i="9"/>
  <c r="Y55" i="9"/>
  <c r="Y10" i="9" s="1"/>
  <c r="X55" i="9"/>
  <c r="X10" i="9" s="1"/>
  <c r="Y45" i="9"/>
  <c r="Y3" i="9" s="1"/>
  <c r="Y9" i="9" s="1"/>
  <c r="X45" i="9"/>
  <c r="X3" i="9" s="1"/>
  <c r="X9" i="9" s="1"/>
  <c r="Y35" i="9"/>
  <c r="Y8" i="9" s="1"/>
  <c r="X35" i="9"/>
  <c r="X8" i="9" s="1"/>
  <c r="Y27" i="9"/>
  <c r="X27" i="9"/>
  <c r="AY34" i="5"/>
  <c r="AX34" i="5"/>
  <c r="K14" i="5"/>
  <c r="K23" i="5"/>
  <c r="K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X3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X14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Y56" i="5"/>
  <c r="X56" i="5"/>
  <c r="L23" i="5"/>
  <c r="M23" i="5"/>
  <c r="N23" i="5"/>
  <c r="O23" i="5"/>
  <c r="P23" i="5"/>
  <c r="Q23" i="5"/>
  <c r="R23" i="5"/>
  <c r="S23" i="5"/>
  <c r="T23" i="5"/>
  <c r="U23" i="5"/>
  <c r="V23" i="5"/>
  <c r="H4" i="5"/>
  <c r="U14" i="5"/>
  <c r="U4" i="5"/>
  <c r="V56" i="5"/>
  <c r="V3" i="5"/>
  <c r="V14" i="5"/>
  <c r="M34" i="5"/>
  <c r="Q34" i="5"/>
  <c r="Q5" i="5"/>
  <c r="U34" i="5"/>
  <c r="U5" i="5"/>
  <c r="N56" i="5"/>
  <c r="N3" i="5"/>
  <c r="T56" i="5"/>
  <c r="T3" i="5"/>
  <c r="K56" i="5"/>
  <c r="L56" i="5"/>
  <c r="L3" i="5"/>
  <c r="M56" i="5"/>
  <c r="M3" i="5"/>
  <c r="U56" i="5"/>
  <c r="U3" i="5"/>
  <c r="O56" i="5"/>
  <c r="O3" i="5"/>
  <c r="P56" i="5"/>
  <c r="Q56" i="5"/>
  <c r="R56" i="5"/>
  <c r="R3" i="5"/>
  <c r="S56" i="5"/>
  <c r="S3" i="5"/>
  <c r="M14" i="5"/>
  <c r="M4" i="5"/>
  <c r="L14" i="5"/>
  <c r="N14" i="5"/>
  <c r="N4" i="5"/>
  <c r="O14" i="5"/>
  <c r="P14" i="5"/>
  <c r="P4" i="5"/>
  <c r="Q14" i="5"/>
  <c r="R14" i="5"/>
  <c r="T14" i="5"/>
  <c r="T4" i="5"/>
  <c r="S14" i="5"/>
  <c r="K45" i="5"/>
  <c r="L45" i="5"/>
  <c r="I5" i="5" s="1"/>
  <c r="O34" i="5"/>
  <c r="O5" i="5"/>
  <c r="T34" i="5"/>
  <c r="T5" i="5"/>
  <c r="V34" i="5"/>
  <c r="V5" i="5"/>
  <c r="L34" i="5"/>
  <c r="N34" i="5"/>
  <c r="P34" i="5"/>
  <c r="P5" i="5"/>
  <c r="R34" i="5"/>
  <c r="S34" i="5"/>
  <c r="S5" i="5"/>
  <c r="R5" i="5"/>
  <c r="Q4" i="5"/>
  <c r="L4" i="5"/>
  <c r="Q3" i="5"/>
  <c r="P3" i="5"/>
  <c r="AB65" i="9"/>
  <c r="AA65" i="9"/>
  <c r="Z65" i="9"/>
  <c r="W65" i="9"/>
  <c r="V65" i="9"/>
  <c r="U65" i="9"/>
  <c r="U75" i="9"/>
  <c r="U12" i="9" s="1"/>
  <c r="AB35" i="9"/>
  <c r="AA35" i="9"/>
  <c r="AA8" i="9" s="1"/>
  <c r="Z35" i="9"/>
  <c r="Z8" i="9" s="1"/>
  <c r="W35" i="9"/>
  <c r="V35" i="9"/>
  <c r="V8" i="9" s="1"/>
  <c r="U35" i="9"/>
  <c r="U8" i="9" s="1"/>
  <c r="AB55" i="9"/>
  <c r="AB10" i="9" s="1"/>
  <c r="AA55" i="9"/>
  <c r="AA10" i="9" s="1"/>
  <c r="Z55" i="9"/>
  <c r="Z10" i="9" s="1"/>
  <c r="R55" i="9"/>
  <c r="R10" i="9" s="1"/>
  <c r="S55" i="9"/>
  <c r="S10" i="9" s="1"/>
  <c r="T55" i="9"/>
  <c r="T10" i="9" s="1"/>
  <c r="U55" i="9"/>
  <c r="V55" i="9"/>
  <c r="V10" i="9" s="1"/>
  <c r="W55" i="9"/>
  <c r="W10" i="9" s="1"/>
  <c r="AB75" i="9"/>
  <c r="AB12" i="9" s="1"/>
  <c r="AA75" i="9"/>
  <c r="AA12" i="9" s="1"/>
  <c r="Z75" i="9"/>
  <c r="Z12" i="9" s="1"/>
  <c r="W75" i="9"/>
  <c r="W12" i="9" s="1"/>
  <c r="V75" i="9"/>
  <c r="V12" i="9" s="1"/>
  <c r="T75" i="9"/>
  <c r="T12" i="9" s="1"/>
  <c r="R35" i="9"/>
  <c r="R8" i="9" s="1"/>
  <c r="S75" i="9"/>
  <c r="S12" i="9" s="1"/>
  <c r="R75" i="9"/>
  <c r="Q75" i="9"/>
  <c r="Q12" i="9" s="1"/>
  <c r="T35" i="9"/>
  <c r="T8" i="9" s="1"/>
  <c r="S35" i="9"/>
  <c r="S8" i="9" s="1"/>
  <c r="Q35" i="9"/>
  <c r="Q8" i="9" s="1"/>
  <c r="AA27" i="9"/>
  <c r="W27" i="9"/>
  <c r="S27" i="9"/>
  <c r="S15" i="9" s="1"/>
  <c r="T65" i="9"/>
  <c r="S65" i="9"/>
  <c r="R45" i="9"/>
  <c r="R16" i="9" s="1"/>
  <c r="R27" i="9"/>
  <c r="Q45" i="9"/>
  <c r="Q16" i="9" s="1"/>
  <c r="AB45" i="9"/>
  <c r="AA45" i="9"/>
  <c r="Z45" i="9"/>
  <c r="S45" i="9"/>
  <c r="S16" i="9" s="1"/>
  <c r="T45" i="9"/>
  <c r="U45" i="9"/>
  <c r="V45" i="9"/>
  <c r="W45" i="9"/>
  <c r="Z27" i="9"/>
  <c r="Q27" i="9"/>
  <c r="Q15" i="9" s="1"/>
  <c r="T27" i="9"/>
  <c r="U27" i="9"/>
  <c r="V27" i="9"/>
  <c r="D12" i="9"/>
  <c r="D11" i="9"/>
  <c r="D10" i="9"/>
  <c r="D9" i="9"/>
  <c r="D8" i="9"/>
  <c r="D7" i="9"/>
  <c r="W8" i="9"/>
  <c r="U10" i="9"/>
  <c r="N5" i="5"/>
  <c r="K5" i="5"/>
  <c r="L5" i="5"/>
  <c r="M5" i="5"/>
  <c r="H45" i="5"/>
  <c r="V4" i="5"/>
  <c r="R4" i="5"/>
  <c r="S4" i="5"/>
  <c r="O4" i="5"/>
  <c r="H23" i="5"/>
  <c r="H67" i="5"/>
  <c r="K3" i="5"/>
  <c r="H5" i="5"/>
  <c r="H3" i="5"/>
  <c r="I56" i="5" l="1"/>
  <c r="L27" i="9"/>
  <c r="L15" i="9" s="1"/>
  <c r="L35" i="9"/>
  <c r="L8" i="9" s="1"/>
  <c r="L55" i="9"/>
  <c r="L10" i="9" s="1"/>
  <c r="M55" i="9"/>
  <c r="M10" i="9" s="1"/>
  <c r="M45" i="9"/>
  <c r="M16" i="9" s="1"/>
  <c r="O91" i="9"/>
  <c r="L91" i="9"/>
  <c r="L45" i="9"/>
  <c r="L16" i="9" s="1"/>
  <c r="L75" i="9"/>
  <c r="L12" i="9" s="1"/>
  <c r="N4" i="9"/>
  <c r="N11" i="9" s="1"/>
  <c r="O2" i="9"/>
  <c r="O7" i="9" s="1"/>
  <c r="R3" i="9"/>
  <c r="R9" i="9" s="1"/>
  <c r="S4" i="9"/>
  <c r="S11" i="9" s="1"/>
  <c r="U3" i="9"/>
  <c r="U9" i="9" s="1"/>
  <c r="M4" i="9"/>
  <c r="M11" i="9" s="1"/>
  <c r="N3" i="9"/>
  <c r="N9" i="9" s="1"/>
  <c r="M2" i="9"/>
  <c r="M7" i="9" s="1"/>
  <c r="J4" i="9"/>
  <c r="J11" i="9" s="1"/>
  <c r="X4" i="9"/>
  <c r="X11" i="9" s="1"/>
  <c r="N2" i="9"/>
  <c r="N7" i="9" s="1"/>
  <c r="AA3" i="9"/>
  <c r="AA9" i="9" s="1"/>
  <c r="V4" i="9"/>
  <c r="V11" i="9" s="1"/>
  <c r="Y4" i="9"/>
  <c r="Y11" i="9" s="1"/>
  <c r="R2" i="9"/>
  <c r="R7" i="9" s="1"/>
  <c r="AA4" i="9"/>
  <c r="AA11" i="9" s="1"/>
  <c r="O4" i="9"/>
  <c r="O11" i="9" s="1"/>
  <c r="Q2" i="9"/>
  <c r="Q7" i="9" s="1"/>
  <c r="AB2" i="9"/>
  <c r="AB7" i="9" s="1"/>
  <c r="Z4" i="9"/>
  <c r="Z11" i="9" s="1"/>
  <c r="Z3" i="9"/>
  <c r="Z9" i="9" s="1"/>
  <c r="AB8" i="9"/>
  <c r="W2" i="9"/>
  <c r="W7" i="9" s="1"/>
  <c r="Q4" i="9"/>
  <c r="Q11" i="9" s="1"/>
  <c r="O3" i="9"/>
  <c r="O9" i="9" s="1"/>
  <c r="J55" i="9"/>
  <c r="J10" i="9" s="1"/>
  <c r="AA2" i="9"/>
  <c r="AA7" i="9" s="1"/>
  <c r="S2" i="9"/>
  <c r="S7" i="9" s="1"/>
  <c r="AB3" i="9"/>
  <c r="AB9" i="9" s="1"/>
  <c r="V3" i="9"/>
  <c r="V9" i="9" s="1"/>
  <c r="U2" i="9"/>
  <c r="U7" i="9" s="1"/>
  <c r="T2" i="9"/>
  <c r="T7" i="9" s="1"/>
  <c r="AB4" i="9"/>
  <c r="AB11" i="9" s="1"/>
  <c r="X2" i="9"/>
  <c r="X7" i="9" s="1"/>
  <c r="Y2" i="9"/>
  <c r="Y7" i="9" s="1"/>
  <c r="T3" i="9"/>
  <c r="T9" i="9" s="1"/>
  <c r="W4" i="9"/>
  <c r="W11" i="9" s="1"/>
  <c r="U4" i="9"/>
  <c r="U11" i="9" s="1"/>
  <c r="T4" i="9"/>
  <c r="T11" i="9" s="1"/>
  <c r="V2" i="9"/>
  <c r="V7" i="9" s="1"/>
  <c r="S3" i="9"/>
  <c r="S9" i="9" s="1"/>
  <c r="R4" i="9"/>
  <c r="R11" i="9" s="1"/>
  <c r="Q3" i="9"/>
  <c r="Q9" i="9" s="1"/>
  <c r="R12" i="9"/>
  <c r="Z2" i="9"/>
  <c r="Z7" i="9" s="1"/>
  <c r="J35" i="9"/>
  <c r="J8" i="9" s="1"/>
  <c r="W3" i="9"/>
  <c r="W9" i="9" s="1"/>
  <c r="I14" i="5"/>
  <c r="H56" i="5"/>
  <c r="I4" i="5"/>
  <c r="I3" i="5"/>
  <c r="J45" i="9"/>
  <c r="J27" i="9"/>
  <c r="J2" i="9" l="1"/>
  <c r="J7" i="9" s="1"/>
  <c r="J15" i="9"/>
  <c r="L2" i="9"/>
  <c r="L7" i="9" s="1"/>
  <c r="J3" i="9"/>
  <c r="J9" i="9" s="1"/>
  <c r="J16" i="9"/>
  <c r="M3" i="9"/>
  <c r="M9" i="9" s="1"/>
  <c r="L3" i="9"/>
  <c r="L9" i="9" s="1"/>
  <c r="L4" i="9"/>
  <c r="L11" i="9" s="1"/>
</calcChain>
</file>

<file path=xl/sharedStrings.xml><?xml version="1.0" encoding="utf-8"?>
<sst xmlns="http://schemas.openxmlformats.org/spreadsheetml/2006/main" count="1041" uniqueCount="258">
  <si>
    <t>負責人</t>
    <phoneticPr fontId="4" type="noConversion"/>
  </si>
  <si>
    <t>2021 KPI</t>
    <phoneticPr fontId="4" type="noConversion"/>
  </si>
  <si>
    <t>2017y PTC OOS Rate</t>
    <phoneticPr fontId="4" type="noConversion"/>
  </si>
  <si>
    <t>2018y PTC OOS</t>
    <phoneticPr fontId="4" type="noConversion"/>
  </si>
  <si>
    <t>2021y PTC OOS Rate</t>
  </si>
  <si>
    <t>2022y PTC OOS Rate</t>
  </si>
  <si>
    <t>2023y PTC OOS Rate</t>
  </si>
  <si>
    <t>2024y PTC OOS Rate</t>
  </si>
  <si>
    <t>2025y PTC OOS Rate</t>
  </si>
  <si>
    <t>Q1</t>
    <phoneticPr fontId="4" type="noConversion"/>
  </si>
  <si>
    <t>Q2</t>
    <phoneticPr fontId="4" type="noConversion"/>
  </si>
  <si>
    <t>Q3</t>
    <phoneticPr fontId="4" type="noConversion"/>
  </si>
  <si>
    <t>Q4</t>
    <phoneticPr fontId="4" type="noConversion"/>
  </si>
  <si>
    <t>LP-P OOS rate</t>
    <phoneticPr fontId="5" type="noConversion"/>
  </si>
  <si>
    <t>周尚勳</t>
    <phoneticPr fontId="4" type="noConversion"/>
  </si>
  <si>
    <t>&lt;0.4%</t>
    <phoneticPr fontId="4" type="noConversion"/>
  </si>
  <si>
    <t>LP-T OOS rate</t>
    <phoneticPr fontId="5" type="noConversion"/>
  </si>
  <si>
    <t>黃建華</t>
    <phoneticPr fontId="4" type="noConversion"/>
  </si>
  <si>
    <t>&lt;0.2%</t>
    <phoneticPr fontId="4" type="noConversion"/>
  </si>
  <si>
    <t>LP-N OOS rate</t>
    <phoneticPr fontId="5" type="noConversion"/>
  </si>
  <si>
    <t>林韋志</t>
    <phoneticPr fontId="4" type="noConversion"/>
  </si>
  <si>
    <t>2020 KPI</t>
    <phoneticPr fontId="4" type="noConversion"/>
  </si>
  <si>
    <t>17y PTC OOS Rate</t>
    <phoneticPr fontId="4" type="noConversion"/>
  </si>
  <si>
    <t>18y PTC OOS Rate</t>
    <phoneticPr fontId="4" type="noConversion"/>
  </si>
  <si>
    <t>21y PTC OOS Rate</t>
  </si>
  <si>
    <t>22y PTC OOS Rate</t>
  </si>
  <si>
    <t>23y PTC OOS Rate</t>
  </si>
  <si>
    <t>24y PTC OOS Rate</t>
  </si>
  <si>
    <t>25y PTC OOS Rate</t>
  </si>
  <si>
    <t>LP-P PTC次數</t>
    <phoneticPr fontId="4" type="noConversion"/>
  </si>
  <si>
    <t>LP-T PTC次數</t>
    <phoneticPr fontId="4" type="noConversion"/>
  </si>
  <si>
    <t>LP-N PTC次數</t>
    <phoneticPr fontId="4" type="noConversion"/>
  </si>
  <si>
    <t>2021y run count</t>
  </si>
  <si>
    <t>2022y run count</t>
  </si>
  <si>
    <t>2023y run count</t>
  </si>
  <si>
    <t>2024y run count</t>
  </si>
  <si>
    <t>2025y run count</t>
  </si>
  <si>
    <t>LP-P run count</t>
  </si>
  <si>
    <t>LP-T run count</t>
  </si>
  <si>
    <t>LP-N run count</t>
  </si>
  <si>
    <t>Run數</t>
    <phoneticPr fontId="4" type="noConversion"/>
  </si>
  <si>
    <t>2017y 平均RUN數</t>
    <phoneticPr fontId="4" type="noConversion"/>
  </si>
  <si>
    <t>2018y平均RUN數</t>
    <phoneticPr fontId="4" type="noConversion"/>
  </si>
  <si>
    <t>2021y平均RUN數</t>
  </si>
  <si>
    <t>2022y平均RUN數</t>
  </si>
  <si>
    <t>2023y平均RUN數</t>
  </si>
  <si>
    <t>2024y平均RUN數</t>
  </si>
  <si>
    <r>
      <t>2025y</t>
    </r>
    <r>
      <rPr>
        <b/>
        <sz val="12"/>
        <color rgb="FF000000"/>
        <rFont val="微軟正黑體"/>
        <family val="2"/>
        <charset val="136"/>
      </rPr>
      <t>平均RUN數</t>
    </r>
  </si>
  <si>
    <t xml:space="preserve">LP-P1 </t>
    <phoneticPr fontId="5" type="noConversion"/>
  </si>
  <si>
    <t>LP-P2</t>
    <phoneticPr fontId="5" type="noConversion"/>
  </si>
  <si>
    <t>LP-P3</t>
    <phoneticPr fontId="5" type="noConversion"/>
  </si>
  <si>
    <t>LP-P4</t>
    <phoneticPr fontId="5" type="noConversion"/>
  </si>
  <si>
    <t>LP-P6</t>
    <phoneticPr fontId="5" type="noConversion"/>
  </si>
  <si>
    <t>LP-P run數</t>
    <phoneticPr fontId="5" type="noConversion"/>
  </si>
  <si>
    <t>PTC次數</t>
    <phoneticPr fontId="4" type="noConversion"/>
  </si>
  <si>
    <t>2017y Total PTC</t>
    <phoneticPr fontId="4" type="noConversion"/>
  </si>
  <si>
    <t>2018y Total PTC</t>
    <phoneticPr fontId="4" type="noConversion"/>
  </si>
  <si>
    <t>2021y Total PTC</t>
  </si>
  <si>
    <t>2022y Total PTC</t>
  </si>
  <si>
    <t>2023y Total PTC</t>
  </si>
  <si>
    <t>2024y Total PTC</t>
  </si>
  <si>
    <t>2025y Total PTC</t>
  </si>
  <si>
    <t>LP-P1</t>
    <phoneticPr fontId="5" type="noConversion"/>
  </si>
  <si>
    <t>LP-P PTC次數</t>
    <phoneticPr fontId="5" type="noConversion"/>
  </si>
  <si>
    <t>LP-T1</t>
    <phoneticPr fontId="5" type="noConversion"/>
  </si>
  <si>
    <t>LP-T2</t>
    <phoneticPr fontId="5" type="noConversion"/>
  </si>
  <si>
    <t>LP-T3</t>
    <phoneticPr fontId="5" type="noConversion"/>
  </si>
  <si>
    <t>LP-T4</t>
    <phoneticPr fontId="5" type="noConversion"/>
  </si>
  <si>
    <t>LP-T5</t>
    <phoneticPr fontId="5" type="noConversion"/>
  </si>
  <si>
    <t>LP-T6</t>
    <phoneticPr fontId="5" type="noConversion"/>
  </si>
  <si>
    <t>LP-T8</t>
    <phoneticPr fontId="5" type="noConversion"/>
  </si>
  <si>
    <t>LP-T run數</t>
    <phoneticPr fontId="5" type="noConversion"/>
  </si>
  <si>
    <t>LP-T  PTC次數</t>
    <phoneticPr fontId="5" type="noConversion"/>
  </si>
  <si>
    <t>Run數</t>
  </si>
  <si>
    <t>LP-N1</t>
    <phoneticPr fontId="5" type="noConversion"/>
  </si>
  <si>
    <t>LP-N2</t>
    <phoneticPr fontId="5" type="noConversion"/>
  </si>
  <si>
    <t>LP-N3</t>
    <phoneticPr fontId="5" type="noConversion"/>
  </si>
  <si>
    <t>LP-N4</t>
    <phoneticPr fontId="5" type="noConversion"/>
  </si>
  <si>
    <t>LP-N5</t>
    <phoneticPr fontId="5" type="noConversion"/>
  </si>
  <si>
    <t>LP-N6</t>
    <phoneticPr fontId="5" type="noConversion"/>
  </si>
  <si>
    <t>LP-N7</t>
    <phoneticPr fontId="5" type="noConversion"/>
  </si>
  <si>
    <t>LP-N run數</t>
    <phoneticPr fontId="5" type="noConversion"/>
  </si>
  <si>
    <t>LP-N  PTC次數</t>
    <phoneticPr fontId="5" type="noConversion"/>
  </si>
  <si>
    <t>製程</t>
    <phoneticPr fontId="1" type="noConversion"/>
  </si>
  <si>
    <t>2018 OOS RATE</t>
  </si>
  <si>
    <t>2019 OOS RATE</t>
  </si>
  <si>
    <t>2020 OOS RATE</t>
  </si>
  <si>
    <t>2021 OOS RATE</t>
  </si>
  <si>
    <t>2022 OOS RATE</t>
  </si>
  <si>
    <t>2023 OOS RATE</t>
  </si>
  <si>
    <t>2024 OOS RATE</t>
  </si>
  <si>
    <t>2025 OOS RATE</t>
  </si>
  <si>
    <t>M1 OOS RATE</t>
    <phoneticPr fontId="1" type="noConversion"/>
  </si>
  <si>
    <t>M2 OOS RATE</t>
    <phoneticPr fontId="1" type="noConversion"/>
  </si>
  <si>
    <t>M3 OOS RATE</t>
    <phoneticPr fontId="1" type="noConversion"/>
  </si>
  <si>
    <t>M4 OOS RATE</t>
    <phoneticPr fontId="1" type="noConversion"/>
  </si>
  <si>
    <t>M5 OOS RATE</t>
    <phoneticPr fontId="1" type="noConversion"/>
  </si>
  <si>
    <t>M6 OOS RATE</t>
    <phoneticPr fontId="1" type="noConversion"/>
  </si>
  <si>
    <t>M7 OOS RATE</t>
    <phoneticPr fontId="1" type="noConversion"/>
  </si>
  <si>
    <t>M8 OOS RATE</t>
    <phoneticPr fontId="1" type="noConversion"/>
  </si>
  <si>
    <t>M9 OOS RATE</t>
    <phoneticPr fontId="1" type="noConversion"/>
  </si>
  <si>
    <t>M10 OOS RATE</t>
    <phoneticPr fontId="1" type="noConversion"/>
  </si>
  <si>
    <t>M11 OOS RATE</t>
    <phoneticPr fontId="1" type="noConversion"/>
  </si>
  <si>
    <t>M12 OOS RATE</t>
    <phoneticPr fontId="1" type="noConversion"/>
  </si>
  <si>
    <t>M1 OOS 次數</t>
    <phoneticPr fontId="1" type="noConversion"/>
  </si>
  <si>
    <t>M2 OOS 次數</t>
    <phoneticPr fontId="1" type="noConversion"/>
  </si>
  <si>
    <t>M3 OOS 次數</t>
    <phoneticPr fontId="1" type="noConversion"/>
  </si>
  <si>
    <t>M4 OOS 次數</t>
    <phoneticPr fontId="1" type="noConversion"/>
  </si>
  <si>
    <t>M5 OOS 次數</t>
    <phoneticPr fontId="1" type="noConversion"/>
  </si>
  <si>
    <t>M6 OOS 次數</t>
    <phoneticPr fontId="1" type="noConversion"/>
  </si>
  <si>
    <t>M7 OOS 次數</t>
    <phoneticPr fontId="1" type="noConversion"/>
  </si>
  <si>
    <t>M8 OOS 次數</t>
    <phoneticPr fontId="1" type="noConversion"/>
  </si>
  <si>
    <t>M9 OOS 次數</t>
    <phoneticPr fontId="1" type="noConversion"/>
  </si>
  <si>
    <t>M10 OOS 次數</t>
    <phoneticPr fontId="1" type="noConversion"/>
  </si>
  <si>
    <t>M11 OOS 次數</t>
  </si>
  <si>
    <t>M12 OOS 次數</t>
    <phoneticPr fontId="1" type="noConversion"/>
  </si>
  <si>
    <t>W1</t>
    <phoneticPr fontId="1" type="noConversion"/>
  </si>
  <si>
    <t>W2</t>
    <phoneticPr fontId="1" type="noConversion"/>
  </si>
  <si>
    <t>W3</t>
  </si>
  <si>
    <t>W4</t>
  </si>
  <si>
    <t>W5</t>
    <phoneticPr fontId="1" type="noConversion"/>
  </si>
  <si>
    <t>W6</t>
    <phoneticPr fontId="1" type="noConversion"/>
  </si>
  <si>
    <t>W7</t>
    <phoneticPr fontId="1" type="noConversion"/>
  </si>
  <si>
    <t>W8</t>
    <phoneticPr fontId="1" type="noConversion"/>
  </si>
  <si>
    <t>W9</t>
    <phoneticPr fontId="1" type="noConversion"/>
  </si>
  <si>
    <t>W10</t>
  </si>
  <si>
    <t>W11</t>
  </si>
  <si>
    <t>W12</t>
  </si>
  <si>
    <t>W13</t>
  </si>
  <si>
    <t>W14</t>
  </si>
  <si>
    <t>W15</t>
    <phoneticPr fontId="1" type="noConversion"/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</si>
  <si>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</si>
  <si>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</si>
  <si>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</si>
  <si>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</si>
  <si>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</si>
  <si>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</si>
  <si>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</si>
  <si>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</si>
  <si>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</si>
  <si>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</si>
  <si>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</si>
  <si>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  <phoneticPr fontId="1" type="noConversion"/>
  </si>
  <si>
    <t>W28</t>
    <phoneticPr fontId="1" type="noConversion"/>
  </si>
  <si>
    <t>W29</t>
  </si>
  <si>
    <t>W30</t>
  </si>
  <si>
    <t>W31</t>
  </si>
  <si>
    <t>W32</t>
    <phoneticPr fontId="1" type="noConversion"/>
  </si>
  <si>
    <t>W33</t>
    <phoneticPr fontId="1" type="noConversion"/>
  </si>
  <si>
    <t>W34</t>
    <phoneticPr fontId="1" type="noConversion"/>
  </si>
  <si>
    <t>W35</t>
    <phoneticPr fontId="1" type="noConversion"/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</si>
  <si>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</si>
  <si>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</si>
  <si>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</si>
  <si>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</si>
  <si>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</si>
  <si>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</si>
  <si>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</si>
  <si>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</si>
  <si>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</si>
  <si>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  <phoneticPr fontId="1" type="noConversion"/>
  </si>
  <si>
    <t>W46</t>
    <phoneticPr fontId="1" type="noConversion"/>
  </si>
  <si>
    <t>W47</t>
  </si>
  <si>
    <t>W48</t>
  </si>
  <si>
    <t>W49</t>
    <phoneticPr fontId="1" type="noConversion"/>
  </si>
  <si>
    <t>W50</t>
    <phoneticPr fontId="1" type="noConversion"/>
  </si>
  <si>
    <t>W51</t>
    <phoneticPr fontId="1" type="noConversion"/>
  </si>
  <si>
    <t>W52</t>
    <phoneticPr fontId="1" type="noConversion"/>
  </si>
  <si>
    <t xml:space="preserve">LP-N PTC OOS </t>
    <phoneticPr fontId="1" type="noConversion"/>
  </si>
  <si>
    <t xml:space="preserve">LP-P PTC OOS </t>
    <phoneticPr fontId="1" type="noConversion"/>
  </si>
  <si>
    <t xml:space="preserve">LP-T PTC OOS </t>
    <phoneticPr fontId="1" type="noConversion"/>
  </si>
  <si>
    <t>RUN數</t>
    <phoneticPr fontId="1" type="noConversion"/>
  </si>
  <si>
    <t>2018 AVG/M</t>
  </si>
  <si>
    <t>2019 AVG/M</t>
  </si>
  <si>
    <t>2020 AVG/M</t>
  </si>
  <si>
    <t>2021 AVG/M</t>
  </si>
  <si>
    <t>2022 AVG/M</t>
  </si>
  <si>
    <t>2023 AVG/M</t>
  </si>
  <si>
    <t>2024AVG/M</t>
  </si>
  <si>
    <t>2025AVG/M</t>
  </si>
  <si>
    <t>M1 RUN COUNT</t>
  </si>
  <si>
    <t>M2 RUN COUNT</t>
  </si>
  <si>
    <t>M3 RUN COUNT</t>
  </si>
  <si>
    <t>M4 RUN COUNT</t>
  </si>
  <si>
    <t>M5 RUN COUNT</t>
  </si>
  <si>
    <t>M6 RUN COUNT</t>
  </si>
  <si>
    <t>M7 RUN COUNT</t>
  </si>
  <si>
    <t>M8 RUN COUNT</t>
  </si>
  <si>
    <t>M9 RUN COUNT</t>
  </si>
  <si>
    <t>M10 RUN COUNT</t>
  </si>
  <si>
    <t>M11 RUN COUNT</t>
  </si>
  <si>
    <t>M12 RUN COUNT</t>
  </si>
  <si>
    <t>M5 OOS次數</t>
  </si>
  <si>
    <t>M11 OOS 次數</t>
    <phoneticPr fontId="1" type="noConversion"/>
  </si>
  <si>
    <t>W1</t>
  </si>
  <si>
    <t>W2</t>
  </si>
  <si>
    <t>W27</t>
  </si>
  <si>
    <t>W28</t>
  </si>
  <si>
    <t>W32</t>
  </si>
  <si>
    <t>W33</t>
  </si>
  <si>
    <t>W34</t>
  </si>
  <si>
    <t>W35</t>
  </si>
  <si>
    <t>W45</t>
  </si>
  <si>
    <t>W46</t>
  </si>
  <si>
    <t>LP-P1</t>
    <phoneticPr fontId="1" type="noConversion"/>
  </si>
  <si>
    <t>LP-P2</t>
    <phoneticPr fontId="1" type="noConversion"/>
  </si>
  <si>
    <t>LP-P3</t>
    <phoneticPr fontId="1" type="noConversion"/>
  </si>
  <si>
    <t>LP-P4</t>
    <phoneticPr fontId="1" type="noConversion"/>
  </si>
  <si>
    <t>LP-P6</t>
    <phoneticPr fontId="1" type="noConversion"/>
  </si>
  <si>
    <t>LP-P</t>
    <phoneticPr fontId="1" type="noConversion"/>
  </si>
  <si>
    <t>OOS次數</t>
    <phoneticPr fontId="1" type="noConversion"/>
  </si>
  <si>
    <t xml:space="preserve">2018 OOS </t>
  </si>
  <si>
    <t xml:space="preserve">2019 OOS </t>
  </si>
  <si>
    <t>2020 OOS</t>
  </si>
  <si>
    <t>2021 OOS</t>
  </si>
  <si>
    <t>2022 OOS</t>
  </si>
  <si>
    <t>2023 OOS</t>
  </si>
  <si>
    <t>2024 OOS</t>
  </si>
  <si>
    <t>2025 OOS</t>
  </si>
  <si>
    <t>M1 PTC</t>
  </si>
  <si>
    <t>M2 PTC</t>
  </si>
  <si>
    <t>M3 PTC</t>
  </si>
  <si>
    <t>M4 PTC</t>
  </si>
  <si>
    <t>M5 PTC</t>
  </si>
  <si>
    <t>M6 PTC</t>
  </si>
  <si>
    <t>M7 PTC</t>
  </si>
  <si>
    <t>M8 PTC</t>
  </si>
  <si>
    <t>M9 PTC</t>
  </si>
  <si>
    <t>M10 PTC</t>
  </si>
  <si>
    <t>M11 PTC</t>
  </si>
  <si>
    <t>M12 PTC</t>
  </si>
  <si>
    <t>M1 RUN 數</t>
  </si>
  <si>
    <t>M2 RUN 數</t>
  </si>
  <si>
    <t>M3 RUN 數</t>
  </si>
  <si>
    <t>M4 RUN 數</t>
  </si>
  <si>
    <t>M5 RUN 數</t>
  </si>
  <si>
    <t>M6 RUN 數</t>
  </si>
  <si>
    <t>LP-T1</t>
    <phoneticPr fontId="1" type="noConversion"/>
  </si>
  <si>
    <t>LP-T2</t>
    <phoneticPr fontId="1" type="noConversion"/>
  </si>
  <si>
    <t>LP-T3</t>
    <phoneticPr fontId="1" type="noConversion"/>
  </si>
  <si>
    <t>LP-T4</t>
    <phoneticPr fontId="1" type="noConversion"/>
  </si>
  <si>
    <t>LP-T5</t>
    <phoneticPr fontId="1" type="noConversion"/>
  </si>
  <si>
    <t>LP-T6</t>
    <phoneticPr fontId="1" type="noConversion"/>
  </si>
  <si>
    <t>LP-T8</t>
    <phoneticPr fontId="1" type="noConversion"/>
  </si>
  <si>
    <t>LP-T</t>
    <phoneticPr fontId="1" type="noConversion"/>
  </si>
  <si>
    <t>2024 AVG/M</t>
  </si>
  <si>
    <t>2025 AVG/M</t>
  </si>
  <si>
    <t>LP-N1</t>
    <phoneticPr fontId="1" type="noConversion"/>
  </si>
  <si>
    <t>LP-N2</t>
    <phoneticPr fontId="1" type="noConversion"/>
  </si>
  <si>
    <t>LP-N3</t>
    <phoneticPr fontId="1" type="noConversion"/>
  </si>
  <si>
    <t>LP-N4</t>
    <phoneticPr fontId="1" type="noConversion"/>
  </si>
  <si>
    <t>LP-N5</t>
    <phoneticPr fontId="1" type="noConversion"/>
  </si>
  <si>
    <t>LP-N6</t>
    <phoneticPr fontId="1" type="noConversion"/>
  </si>
  <si>
    <t>LP-N7</t>
    <phoneticPr fontId="1" type="noConversion"/>
  </si>
  <si>
    <t>LP-N</t>
    <phoneticPr fontId="1" type="noConversion"/>
  </si>
  <si>
    <t>2025OOS</t>
  </si>
  <si>
    <t>M8 OOS 次數</t>
  </si>
  <si>
    <t>M9 OOS 次數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</si>
</sst>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&quot;月&quot;d&quot;日&quot;"/>
    <numFmt numFmtId="165" formatCode="0.0%"/>
    <numFmt numFmtId="166" formatCode="0_);[Red]\(0\)"/>
    <numFmt numFmtId="167" formatCode="0_ "/>
    <numFmt numFmtId="168" formatCode="0.00_);[Red]\(0.00\)"/>
  </numFmts>
  <fonts count="13">
    <font>
      <sz val="12"/>
      <color theme="1"/>
      <name val="Calibri"/>
      <family val="1"/>
      <charset val="136"/>
      <scheme val="minor"/>
    </font>
    <font>
      <sz val="9"/>
      <name val="新細明體"/>
      <family val="1"/>
      <charset val="136"/>
    </font>
    <font>
      <sz val="10"/>
      <name val="Arial"/>
      <family val="2"/>
    </font>
    <font>
      <sz val="12"/>
      <name val="新細明體"/>
      <family val="1"/>
      <charset val="136"/>
    </font>
    <font>
      <sz val="9"/>
      <name val="微軟正黑體"/>
      <family val="2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2" fillId="0" borderId="0"/>
    <xf numFmtId="9" fontId="7" fillId="0" borderId="0" applyFont="0" applyFill="0" applyBorder="0" applyAlignment="0" applyProtection="0">
      <alignment vertical="center"/>
    </xf>
  </cellStyleXfs>
  <cellXfs count="151"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10" fontId="8" fillId="0" borderId="1" xfId="3" applyNumberFormat="1" applyFont="1" applyBorder="1" applyAlignment="1">
      <alignment horizontal="center" vertical="center"/>
    </xf>
    <xf numFmtId="17" fontId="8" fillId="0" borderId="0" xfId="0" quotePrefix="1" applyNumberFormat="1" applyFont="1" applyAlignment="1">
      <alignment horizontal="center" vertical="center"/>
    </xf>
    <xf numFmtId="10" fontId="8" fillId="0" borderId="0" xfId="3" applyNumberFormat="1" applyFont="1" applyAlignment="1">
      <alignment horizontal="center" vertical="center"/>
    </xf>
    <xf numFmtId="9" fontId="8" fillId="0" borderId="0" xfId="3" applyFont="1" applyAlignment="1">
      <alignment horizontal="center" vertical="center"/>
    </xf>
    <xf numFmtId="168" fontId="8" fillId="0" borderId="3" xfId="0" applyNumberFormat="1" applyFont="1" applyBorder="1" applyAlignment="1">
      <alignment horizontal="center" vertical="center"/>
    </xf>
    <xf numFmtId="168" fontId="8" fillId="0" borderId="3" xfId="0" quotePrefix="1" applyNumberFormat="1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7" fontId="8" fillId="0" borderId="4" xfId="0" quotePrefix="1" applyNumberFormat="1" applyFont="1" applyBorder="1" applyAlignment="1">
      <alignment horizontal="center" vertical="center"/>
    </xf>
    <xf numFmtId="17" fontId="8" fillId="0" borderId="5" xfId="0" quotePrefix="1" applyNumberFormat="1" applyFont="1" applyBorder="1" applyAlignment="1">
      <alignment horizontal="center" vertical="center"/>
    </xf>
    <xf numFmtId="168" fontId="8" fillId="0" borderId="6" xfId="0" quotePrefix="1" applyNumberFormat="1" applyFont="1" applyBorder="1" applyAlignment="1">
      <alignment horizontal="center" vertical="center"/>
    </xf>
    <xf numFmtId="10" fontId="8" fillId="0" borderId="7" xfId="3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10" fontId="9" fillId="0" borderId="1" xfId="3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0" fontId="9" fillId="0" borderId="13" xfId="3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0" fontId="9" fillId="0" borderId="16" xfId="0" applyNumberFormat="1" applyFont="1" applyBorder="1" applyAlignment="1">
      <alignment horizontal="center" vertical="center"/>
    </xf>
    <xf numFmtId="10" fontId="9" fillId="0" borderId="16" xfId="3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0" fontId="9" fillId="0" borderId="17" xfId="3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0" fontId="9" fillId="0" borderId="20" xfId="0" applyNumberFormat="1" applyFont="1" applyBorder="1" applyAlignment="1">
      <alignment horizontal="center" vertical="center"/>
    </xf>
    <xf numFmtId="10" fontId="9" fillId="0" borderId="20" xfId="3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0" fontId="9" fillId="0" borderId="21" xfId="3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/>
    </xf>
    <xf numFmtId="1" fontId="9" fillId="0" borderId="20" xfId="0" applyNumberFormat="1" applyFont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/>
    </xf>
    <xf numFmtId="1" fontId="9" fillId="5" borderId="16" xfId="0" applyNumberFormat="1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168" fontId="8" fillId="2" borderId="3" xfId="0" applyNumberFormat="1" applyFont="1" applyFill="1" applyBorder="1" applyAlignment="1">
      <alignment horizontal="center" vertical="center"/>
    </xf>
    <xf numFmtId="168" fontId="8" fillId="2" borderId="3" xfId="0" quotePrefix="1" applyNumberFormat="1" applyFont="1" applyFill="1" applyBorder="1" applyAlignment="1">
      <alignment horizontal="center" vertical="center"/>
    </xf>
    <xf numFmtId="168" fontId="8" fillId="2" borderId="6" xfId="0" quotePrefix="1" applyNumberFormat="1" applyFont="1" applyFill="1" applyBorder="1" applyAlignment="1">
      <alignment horizontal="center" vertical="center"/>
    </xf>
    <xf numFmtId="17" fontId="8" fillId="2" borderId="0" xfId="0" quotePrefix="1" applyNumberFormat="1" applyFont="1" applyFill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166" fontId="9" fillId="2" borderId="1" xfId="0" applyNumberFormat="1" applyFont="1" applyFill="1" applyBorder="1" applyAlignment="1">
      <alignment horizontal="center" vertical="center"/>
    </xf>
    <xf numFmtId="167" fontId="9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67" fontId="9" fillId="5" borderId="16" xfId="0" applyNumberFormat="1" applyFont="1" applyFill="1" applyBorder="1" applyAlignment="1">
      <alignment horizontal="center" vertical="center"/>
    </xf>
    <xf numFmtId="167" fontId="9" fillId="2" borderId="16" xfId="0" applyNumberFormat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167" fontId="9" fillId="4" borderId="16" xfId="0" applyNumberFormat="1" applyFont="1" applyFill="1" applyBorder="1" applyAlignment="1">
      <alignment horizontal="center" vertical="center"/>
    </xf>
    <xf numFmtId="17" fontId="8" fillId="0" borderId="12" xfId="0" quotePrefix="1" applyNumberFormat="1" applyFont="1" applyBorder="1" applyAlignment="1">
      <alignment horizontal="center" vertical="center"/>
    </xf>
    <xf numFmtId="166" fontId="9" fillId="3" borderId="16" xfId="0" applyNumberFormat="1" applyFont="1" applyFill="1" applyBorder="1" applyAlignment="1">
      <alignment horizontal="center" vertical="center"/>
    </xf>
    <xf numFmtId="166" fontId="9" fillId="2" borderId="16" xfId="0" applyNumberFormat="1" applyFont="1" applyFill="1" applyBorder="1" applyAlignment="1">
      <alignment horizontal="center" vertical="center"/>
    </xf>
    <xf numFmtId="9" fontId="8" fillId="0" borderId="26" xfId="3" applyFont="1" applyBorder="1" applyAlignment="1">
      <alignment horizontal="center" vertical="center"/>
    </xf>
    <xf numFmtId="165" fontId="8" fillId="0" borderId="26" xfId="3" applyNumberFormat="1" applyFont="1" applyBorder="1" applyAlignment="1">
      <alignment horizontal="center" vertical="center"/>
    </xf>
    <xf numFmtId="9" fontId="8" fillId="0" borderId="28" xfId="3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" fontId="9" fillId="0" borderId="1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9" fillId="0" borderId="14" xfId="0" applyNumberFormat="1" applyFont="1" applyBorder="1" applyAlignment="1">
      <alignment horizontal="center" vertical="center"/>
    </xf>
    <xf numFmtId="1" fontId="9" fillId="0" borderId="15" xfId="0" applyNumberFormat="1" applyFont="1" applyBorder="1" applyAlignment="1">
      <alignment horizontal="center" vertical="center"/>
    </xf>
    <xf numFmtId="1" fontId="9" fillId="0" borderId="16" xfId="3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1" fontId="9" fillId="0" borderId="26" xfId="3" applyNumberFormat="1" applyFont="1" applyBorder="1" applyAlignment="1">
      <alignment horizontal="center" vertical="center"/>
    </xf>
    <xf numFmtId="1" fontId="9" fillId="0" borderId="34" xfId="3" applyNumberFormat="1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 wrapText="1"/>
    </xf>
    <xf numFmtId="1" fontId="9" fillId="0" borderId="36" xfId="3" applyNumberFormat="1" applyFont="1" applyBorder="1" applyAlignment="1">
      <alignment horizontal="center" vertical="center"/>
    </xf>
    <xf numFmtId="1" fontId="9" fillId="0" borderId="37" xfId="3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4">
    <cellStyle name="??&amp;_x0012_?&amp;_x000b_?_x0008_??_x0007__x0001__x0001_" xfId="1" xr:uid="{00000000-0005-0000-0000-000000000000}"/>
    <cellStyle name="0,0_x000d__x000a_NA_x000d__x000a_" xfId="2" xr:uid="{00000000-0005-0000-0000-000001000000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en-US"/>
              <a:t>LPCVD PTC OOS Rate</a:t>
            </a:r>
            <a:endParaRPr lang="zh-TW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'LPCVD(M)'!$A$2</c:f>
              <c:strCache>
                <c:ptCount val="1"/>
                <c:pt idx="0">
                  <c:v>LP-P OOS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'LPCVD(M)'!$D$1:$AB$1</c:f>
              <c:strCache>
                <c:ptCount val="23"/>
                <c:pt idx="0">
                  <c:v>2021y PTC OOS Rate</c:v>
                </c:pt>
                <c:pt idx="1">
                  <c:v>2022y PTC OOS Rate</c:v>
                </c:pt>
                <c:pt idx="2">
                  <c:v>2023y PTC OOS Rate</c:v>
                </c:pt>
                <c:pt idx="3">
                  <c:v>2024y PTC OOS Rate</c:v>
                </c:pt>
                <c:pt idx="4">
                  <c:v>2025y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'LPCVD(M)'!$D$2:$AB$2</c:f>
              <c:numCache>
                <c:formatCode>0.00%</c:formatCode>
                <c:ptCount val="23"/>
                <c:pt idx="0">
                  <c:v>2.2000000000000001E-3</c:v>
                </c:pt>
                <c:pt idx="1">
                  <c:v>1E-3</c:v>
                </c:pt>
                <c:pt idx="2">
                  <c:v>2.2000000000000001E-3</c:v>
                </c:pt>
                <c:pt idx="3">
                  <c:v>2.3186485591255384E-3</c:v>
                </c:pt>
                <c:pt idx="4">
                  <c:v>3.996003996003996E-4</c:v>
                </c:pt>
                <c:pt idx="6">
                  <c:v>6.8441064638783264E-3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1.7283950617283949E-2</c:v>
                </c:pt>
                <c:pt idx="12">
                  <c:v>2.3474178403755869E-3</c:v>
                </c:pt>
                <c:pt idx="13">
                  <c:v>2.0661157024793389E-3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95-4CF3-939F-3269290AC6AC}"/>
            </c:ext>
          </c:extLst>
        </c:ser>
        <c:ser>
          <c:idx val="1"/>
          <c:order val="1"/>
          <c:tx>
            <c:strRef>
              <c:f>'LPCVD(M)'!$A$3</c:f>
              <c:strCache>
                <c:ptCount val="1"/>
                <c:pt idx="0">
                  <c:v>LP-T OOS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'LPCVD(M)'!$D$1:$AB$1</c:f>
              <c:strCache>
                <c:ptCount val="23"/>
                <c:pt idx="0">
                  <c:v>2021y PTC OOS Rate</c:v>
                </c:pt>
                <c:pt idx="1">
                  <c:v>2022y PTC OOS Rate</c:v>
                </c:pt>
                <c:pt idx="2">
                  <c:v>2023y PTC OOS Rate</c:v>
                </c:pt>
                <c:pt idx="3">
                  <c:v>2024y PTC OOS Rate</c:v>
                </c:pt>
                <c:pt idx="4">
                  <c:v>2025y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'LPCVD(M)'!$D$3:$AB$3</c:f>
              <c:numCache>
                <c:formatCode>0.00%</c:formatCode>
                <c:ptCount val="23"/>
                <c:pt idx="0">
                  <c:v>1.2999999999999999E-3</c:v>
                </c:pt>
                <c:pt idx="1">
                  <c:v>6.9999999999999999E-4</c:v>
                </c:pt>
                <c:pt idx="2">
                  <c:v>6.9999999999999999E-4</c:v>
                </c:pt>
                <c:pt idx="3">
                  <c:v>1.4334862385321102E-3</c:v>
                </c:pt>
                <c:pt idx="4">
                  <c:v>3.3077898450851751E-4</c:v>
                </c:pt>
                <c:pt idx="6">
                  <c:v>1.6413623307345096E-3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1.2690355329949238E-3</c:v>
                </c:pt>
                <c:pt idx="12">
                  <c:v>3.7359900373599006E-3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95-4CF3-939F-3269290AC6AC}"/>
            </c:ext>
          </c:extLst>
        </c:ser>
        <c:ser>
          <c:idx val="2"/>
          <c:order val="2"/>
          <c:tx>
            <c:strRef>
              <c:f>'LPCVD(M)'!$A$4</c:f>
              <c:strCache>
                <c:ptCount val="1"/>
                <c:pt idx="0">
                  <c:v>LP-N OOS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'LPCVD(M)'!$D$1:$AB$1</c:f>
              <c:strCache>
                <c:ptCount val="23"/>
                <c:pt idx="0">
                  <c:v>2021y PTC OOS Rate</c:v>
                </c:pt>
                <c:pt idx="1">
                  <c:v>2022y PTC OOS Rate</c:v>
                </c:pt>
                <c:pt idx="2">
                  <c:v>2023y PTC OOS Rate</c:v>
                </c:pt>
                <c:pt idx="3">
                  <c:v>2024y PTC OOS Rate</c:v>
                </c:pt>
                <c:pt idx="4">
                  <c:v>2025y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'LPCVD(M)'!$D$4:$AB$4</c:f>
              <c:numCache>
                <c:formatCode>0.00%</c:formatCode>
                <c:ptCount val="23"/>
                <c:pt idx="0">
                  <c:v>1.1999999999999999E-3</c:v>
                </c:pt>
                <c:pt idx="1">
                  <c:v>2.9999999999999997E-4</c:v>
                </c:pt>
                <c:pt idx="2">
                  <c:v>2.0000000000000001E-4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95-4CF3-939F-3269290AC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50736"/>
        <c:axId val="1"/>
      </c:lineChart>
      <c:catAx>
        <c:axId val="10005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000507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  <a:cs typeface="微軟正黑體"/>
              </a:defRPr>
            </a:pPr>
            <a:r>
              <a:rPr lang="en-US" sz="14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</a:rPr>
              <a:t>LP-P OOS次數 &amp; OOS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'LPCVD(M)'!$A$8</c:f>
              <c:strCache>
                <c:ptCount val="1"/>
                <c:pt idx="0">
                  <c:v>LP-P PTC次數</c:v>
                </c:pt>
              </c:strCache>
            </c:strRef>
          </c:tx>
          <c:spPr>
            <a:pattFill prst="dotDmnd">
              <a:fgClr>
                <a:srgbClr val="1D0195"/>
              </a:fgClr>
              <a:bgClr>
                <a:schemeClr val="bg1"/>
              </a:bgClr>
            </a:pattFill>
            <a:ln w="15875">
              <a:solidFill>
                <a:srgbClr val="1D0195"/>
              </a:solidFill>
            </a:ln>
            <a:effectLst/>
          </c:spPr>
          <c:invertIfNegative val="0"/>
          <c:cat>
            <c:strRef>
              <c:f>'LPCVD(M)'!$D$6:$AB$6</c:f>
              <c:strCache>
                <c:ptCount val="23"/>
                <c:pt idx="0">
                  <c:v>21y PTC OOS Rate</c:v>
                </c:pt>
                <c:pt idx="1">
                  <c:v>22y PTC OOS Rate</c:v>
                </c:pt>
                <c:pt idx="2">
                  <c:v>23y PTC OOS Rate</c:v>
                </c:pt>
                <c:pt idx="3">
                  <c:v>24y PTC OOS Rate</c:v>
                </c:pt>
                <c:pt idx="4">
                  <c:v>25y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'LPCVD(M)'!$D$8:$AB$8</c:f>
              <c:numCache>
                <c:formatCode>General</c:formatCode>
                <c:ptCount val="23"/>
                <c:pt idx="0">
                  <c:v>15</c:v>
                </c:pt>
                <c:pt idx="1">
                  <c:v>7</c:v>
                </c:pt>
                <c:pt idx="2">
                  <c:v>12</c:v>
                </c:pt>
                <c:pt idx="3">
                  <c:v>14</c:v>
                </c:pt>
                <c:pt idx="4">
                  <c:v>2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7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D-427F-BFBB-10BF500D4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0"/>
          <c:order val="0"/>
          <c:tx>
            <c:strRef>
              <c:f>'LPCVD(M)'!$A$7</c:f>
              <c:strCache>
                <c:ptCount val="1"/>
                <c:pt idx="0">
                  <c:v>LP-P OOS rate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10"/>
            <c:spPr>
              <a:solidFill>
                <a:srgbClr val="FF0000"/>
              </a:solidFill>
              <a:ln w="19050">
                <a:solidFill>
                  <a:schemeClr val="tx1"/>
                </a:solidFill>
              </a:ln>
              <a:effectLst/>
            </c:spPr>
          </c:marker>
          <c:cat>
            <c:strRef>
              <c:f>'LPCVD(M)'!$D$6:$AB$6</c:f>
              <c:strCache>
                <c:ptCount val="23"/>
                <c:pt idx="0">
                  <c:v>21y PTC OOS Rate</c:v>
                </c:pt>
                <c:pt idx="1">
                  <c:v>22y PTC OOS Rate</c:v>
                </c:pt>
                <c:pt idx="2">
                  <c:v>23y PTC OOS Rate</c:v>
                </c:pt>
                <c:pt idx="3">
                  <c:v>24y PTC OOS Rate</c:v>
                </c:pt>
                <c:pt idx="4">
                  <c:v>25y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'LPCVD(M)'!$D$7:$AB$7</c:f>
              <c:numCache>
                <c:formatCode>0.00%</c:formatCode>
                <c:ptCount val="23"/>
                <c:pt idx="0">
                  <c:v>2.2000000000000001E-3</c:v>
                </c:pt>
                <c:pt idx="1">
                  <c:v>1E-3</c:v>
                </c:pt>
                <c:pt idx="2">
                  <c:v>2.2000000000000001E-3</c:v>
                </c:pt>
                <c:pt idx="3">
                  <c:v>2.3186485591255384E-3</c:v>
                </c:pt>
                <c:pt idx="4">
                  <c:v>3.996003996003996E-4</c:v>
                </c:pt>
                <c:pt idx="6">
                  <c:v>6.8441064638783264E-3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1.7283950617283949E-2</c:v>
                </c:pt>
                <c:pt idx="12">
                  <c:v>2.3474178403755869E-3</c:v>
                </c:pt>
                <c:pt idx="13">
                  <c:v>2.0661157024793389E-3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DD-427F-BFBB-10BF500D4F20}"/>
            </c:ext>
          </c:extLst>
        </c:ser>
        <c:ser>
          <c:idx val="2"/>
          <c:order val="2"/>
          <c:tx>
            <c:v>LP-P Run數</c:v>
          </c:tx>
          <c:spPr>
            <a:ln>
              <a:noFill/>
            </a:ln>
          </c:spPr>
          <c:marker>
            <c:symbol val="none"/>
          </c:marker>
          <c:val>
            <c:numRef>
              <c:f>'LPCVD(M)'!$F$15:$AB$15</c:f>
              <c:numCache>
                <c:formatCode>0</c:formatCode>
                <c:ptCount val="23"/>
                <c:pt idx="0">
                  <c:v>575</c:v>
                </c:pt>
                <c:pt idx="1">
                  <c:v>573</c:v>
                </c:pt>
                <c:pt idx="2">
                  <c:v>465</c:v>
                </c:pt>
                <c:pt idx="3">
                  <c:v>503.16666666666669</c:v>
                </c:pt>
                <c:pt idx="4">
                  <c:v>455</c:v>
                </c:pt>
                <c:pt idx="6">
                  <c:v>438.33333333333337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405</c:v>
                </c:pt>
                <c:pt idx="12">
                  <c:v>426</c:v>
                </c:pt>
                <c:pt idx="13">
                  <c:v>484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6-4949-AE54-5E4C3EEAB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51936"/>
        <c:axId val="1"/>
      </c:lineChart>
      <c:catAx>
        <c:axId val="10005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00051936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3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  <a:cs typeface="微軟正黑體"/>
              </a:defRPr>
            </a:pPr>
            <a:r>
              <a:rPr lang="en-US" sz="14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</a:rPr>
              <a:t>LP-T OOS次數 &amp; OOS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'LPCVD(M)'!$A$10</c:f>
              <c:strCache>
                <c:ptCount val="1"/>
                <c:pt idx="0">
                  <c:v>LP-T PTC次數</c:v>
                </c:pt>
              </c:strCache>
            </c:strRef>
          </c:tx>
          <c:spPr>
            <a:pattFill prst="ltUpDiag">
              <a:fgClr>
                <a:srgbClr val="00B050"/>
              </a:fgClr>
              <a:bgClr>
                <a:schemeClr val="bg1"/>
              </a:bgClr>
            </a:pattFill>
            <a:ln w="19050">
              <a:solidFill>
                <a:srgbClr val="00B050"/>
              </a:solidFill>
            </a:ln>
            <a:effectLst/>
          </c:spPr>
          <c:invertIfNegative val="0"/>
          <c:cat>
            <c:strRef>
              <c:f>'LPCVD(M)'!$D$6:$AB$6</c:f>
              <c:strCache>
                <c:ptCount val="23"/>
                <c:pt idx="0">
                  <c:v>21y PTC OOS Rate</c:v>
                </c:pt>
                <c:pt idx="1">
                  <c:v>22y PTC OOS Rate</c:v>
                </c:pt>
                <c:pt idx="2">
                  <c:v>23y PTC OOS Rate</c:v>
                </c:pt>
                <c:pt idx="3">
                  <c:v>24y PTC OOS Rate</c:v>
                </c:pt>
                <c:pt idx="4">
                  <c:v>25y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'LPCVD(M)'!$D$10:$AB$10</c:f>
              <c:numCache>
                <c:formatCode>General</c:formatCode>
                <c:ptCount val="23"/>
                <c:pt idx="0">
                  <c:v>15</c:v>
                </c:pt>
                <c:pt idx="1">
                  <c:v>8</c:v>
                </c:pt>
                <c:pt idx="2">
                  <c:v>7</c:v>
                </c:pt>
                <c:pt idx="3">
                  <c:v>15</c:v>
                </c:pt>
                <c:pt idx="4">
                  <c:v>3</c:v>
                </c:pt>
                <c:pt idx="6">
                  <c:v>1.3333333333333333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1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A-43F1-8949-D6C8A5DCE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0"/>
          <c:order val="0"/>
          <c:tx>
            <c:strRef>
              <c:f>'LPCVD(M)'!$A$9</c:f>
              <c:strCache>
                <c:ptCount val="1"/>
                <c:pt idx="0">
                  <c:v>LP-T OOS rate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10"/>
            <c:spPr>
              <a:solidFill>
                <a:srgbClr val="FF0000"/>
              </a:solidFill>
              <a:ln w="19050">
                <a:solidFill>
                  <a:schemeClr val="tx1"/>
                </a:solidFill>
              </a:ln>
              <a:effectLst/>
            </c:spPr>
          </c:marker>
          <c:cat>
            <c:strRef>
              <c:f>'LPCVD(M)'!$D$6:$AB$6</c:f>
              <c:strCache>
                <c:ptCount val="23"/>
                <c:pt idx="0">
                  <c:v>21y PTC OOS Rate</c:v>
                </c:pt>
                <c:pt idx="1">
                  <c:v>22y PTC OOS Rate</c:v>
                </c:pt>
                <c:pt idx="2">
                  <c:v>23y PTC OOS Rate</c:v>
                </c:pt>
                <c:pt idx="3">
                  <c:v>24y PTC OOS Rate</c:v>
                </c:pt>
                <c:pt idx="4">
                  <c:v>25y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'LPCVD(M)'!$D$9:$AB$9</c:f>
              <c:numCache>
                <c:formatCode>0.00%</c:formatCode>
                <c:ptCount val="23"/>
                <c:pt idx="0">
                  <c:v>1.2999999999999999E-3</c:v>
                </c:pt>
                <c:pt idx="1">
                  <c:v>6.9999999999999999E-4</c:v>
                </c:pt>
                <c:pt idx="2">
                  <c:v>6.9999999999999999E-4</c:v>
                </c:pt>
                <c:pt idx="3">
                  <c:v>1.4334862385321102E-3</c:v>
                </c:pt>
                <c:pt idx="4">
                  <c:v>3.3077898450851751E-4</c:v>
                </c:pt>
                <c:pt idx="6">
                  <c:v>1.6413623307345096E-3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1.2690355329949238E-3</c:v>
                </c:pt>
                <c:pt idx="12">
                  <c:v>3.7359900373599006E-3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DA-43F1-8949-D6C8A5DCEF15}"/>
            </c:ext>
          </c:extLst>
        </c:ser>
        <c:ser>
          <c:idx val="2"/>
          <c:order val="2"/>
          <c:tx>
            <c:v>LP-T Run數</c:v>
          </c:tx>
          <c:spPr>
            <a:ln>
              <a:noFill/>
            </a:ln>
          </c:spPr>
          <c:marker>
            <c:symbol val="none"/>
          </c:marker>
          <c:val>
            <c:numRef>
              <c:f>'LPCVD(M)'!$F$16:$AB$16</c:f>
              <c:numCache>
                <c:formatCode>0</c:formatCode>
                <c:ptCount val="23"/>
                <c:pt idx="0">
                  <c:v>997</c:v>
                </c:pt>
                <c:pt idx="1">
                  <c:v>962</c:v>
                </c:pt>
                <c:pt idx="2">
                  <c:v>801</c:v>
                </c:pt>
                <c:pt idx="3">
                  <c:v>872</c:v>
                </c:pt>
                <c:pt idx="4">
                  <c:v>824.5</c:v>
                </c:pt>
                <c:pt idx="6">
                  <c:v>812.33333333333326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788</c:v>
                </c:pt>
                <c:pt idx="12">
                  <c:v>803</c:v>
                </c:pt>
                <c:pt idx="13">
                  <c:v>846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81-4811-BCBE-6A52F9EE8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58576"/>
        <c:axId val="1"/>
      </c:lineChart>
      <c:catAx>
        <c:axId val="10005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5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00058576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3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  <a:cs typeface="微軟正黑體"/>
              </a:defRPr>
            </a:pPr>
            <a:r>
              <a:rPr lang="en-US" sz="14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</a:rPr>
              <a:t>LP-N OOS次數 &amp; OOS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'LPCVD(M)'!$A$12</c:f>
              <c:strCache>
                <c:ptCount val="1"/>
                <c:pt idx="0">
                  <c:v>LP-N PTC次數</c:v>
                </c:pt>
              </c:strCache>
            </c:strRef>
          </c:tx>
          <c:spPr>
            <a:pattFill prst="horzBrick">
              <a:fgClr>
                <a:srgbClr val="00B0F0"/>
              </a:fgClr>
              <a:bgClr>
                <a:schemeClr val="bg1"/>
              </a:bgClr>
            </a:pattFill>
            <a:ln w="19050">
              <a:solidFill>
                <a:srgbClr val="00B0F0"/>
              </a:solidFill>
            </a:ln>
            <a:effectLst/>
          </c:spPr>
          <c:invertIfNegative val="0"/>
          <c:cat>
            <c:strRef>
              <c:f>'LPCVD(M)'!$D$6:$AB$6</c:f>
              <c:strCache>
                <c:ptCount val="23"/>
                <c:pt idx="0">
                  <c:v>21y PTC OOS Rate</c:v>
                </c:pt>
                <c:pt idx="1">
                  <c:v>22y PTC OOS Rate</c:v>
                </c:pt>
                <c:pt idx="2">
                  <c:v>23y PTC OOS Rate</c:v>
                </c:pt>
                <c:pt idx="3">
                  <c:v>24y PTC OOS Rate</c:v>
                </c:pt>
                <c:pt idx="4">
                  <c:v>25y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'LPCVD(M)'!$D$12:$AB$12</c:f>
              <c:numCache>
                <c:formatCode>General</c:formatCode>
                <c:ptCount val="23"/>
                <c:pt idx="0">
                  <c:v>9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 formatCode="0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5-4995-8669-7C3802078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0"/>
          <c:order val="0"/>
          <c:tx>
            <c:strRef>
              <c:f>'LPCVD(M)'!$A$11</c:f>
              <c:strCache>
                <c:ptCount val="1"/>
                <c:pt idx="0">
                  <c:v>LP-N OOS rate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10"/>
            <c:spPr>
              <a:solidFill>
                <a:srgbClr val="FF0000"/>
              </a:solidFill>
              <a:ln w="19050">
                <a:solidFill>
                  <a:schemeClr val="tx1"/>
                </a:solidFill>
              </a:ln>
              <a:effectLst/>
            </c:spPr>
          </c:marker>
          <c:cat>
            <c:strRef>
              <c:f>'LPCVD(M)'!$D$6:$AB$6</c:f>
              <c:strCache>
                <c:ptCount val="23"/>
                <c:pt idx="0">
                  <c:v>21y PTC OOS Rate</c:v>
                </c:pt>
                <c:pt idx="1">
                  <c:v>22y PTC OOS Rate</c:v>
                </c:pt>
                <c:pt idx="2">
                  <c:v>23y PTC OOS Rate</c:v>
                </c:pt>
                <c:pt idx="3">
                  <c:v>24y PTC OOS Rate</c:v>
                </c:pt>
                <c:pt idx="4">
                  <c:v>25y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'LPCVD(M)'!$D$11:$AB$11</c:f>
              <c:numCache>
                <c:formatCode>0.00%</c:formatCode>
                <c:ptCount val="23"/>
                <c:pt idx="0">
                  <c:v>1.1999999999999999E-3</c:v>
                </c:pt>
                <c:pt idx="1">
                  <c:v>2.9999999999999997E-4</c:v>
                </c:pt>
                <c:pt idx="2">
                  <c:v>2.0000000000000001E-4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B5-4995-8669-7C3802078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80160"/>
        <c:axId val="1"/>
      </c:lineChart>
      <c:catAx>
        <c:axId val="10268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.000000000000000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02680160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3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en-US" altLang="zh-TW" sz="1800"/>
              <a:t>LP-CVD PTC OOS rate</a:t>
            </a:r>
            <a:endParaRPr lang="zh-TW" sz="1800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'LPCVD(M)'!$A$2</c:f>
              <c:strCache>
                <c:ptCount val="1"/>
                <c:pt idx="0">
                  <c:v>LP-P OOS rate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'LPCVD(M)'!$B$1:$AB$1</c:f>
              <c:strCache>
                <c:ptCount val="24"/>
                <c:pt idx="0">
                  <c:v>2021 KPI</c:v>
                </c:pt>
                <c:pt idx="1">
                  <c:v>2021y PTC OOS Rate</c:v>
                </c:pt>
                <c:pt idx="2">
                  <c:v>2022y PTC OOS Rate</c:v>
                </c:pt>
                <c:pt idx="3">
                  <c:v>2023y PTC OOS Rate</c:v>
                </c:pt>
                <c:pt idx="4">
                  <c:v>2024y PTC OOS Rate</c:v>
                </c:pt>
                <c:pt idx="5">
                  <c:v>2025y PTC OOS Rate</c:v>
                </c:pt>
                <c:pt idx="7">
                  <c:v>Q1</c:v>
                </c:pt>
                <c:pt idx="8">
                  <c:v>Q2</c:v>
                </c:pt>
                <c:pt idx="9">
                  <c:v>Q3</c:v>
                </c:pt>
                <c:pt idx="10">
                  <c:v>Q4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</c:strCache>
            </c:strRef>
          </c:cat>
          <c:val>
            <c:numRef>
              <c:f>'LPCVD(M)'!$B$2:$AB$2</c:f>
              <c:numCache>
                <c:formatCode>0.00%</c:formatCode>
                <c:ptCount val="24"/>
                <c:pt idx="0" formatCode="General">
                  <c:v>0</c:v>
                </c:pt>
                <c:pt idx="1">
                  <c:v>2.2000000000000001E-3</c:v>
                </c:pt>
                <c:pt idx="2">
                  <c:v>1E-3</c:v>
                </c:pt>
                <c:pt idx="3">
                  <c:v>2.2000000000000001E-3</c:v>
                </c:pt>
                <c:pt idx="4">
                  <c:v>2.3186485591255384E-3</c:v>
                </c:pt>
                <c:pt idx="5">
                  <c:v>3.996003996003996E-4</c:v>
                </c:pt>
                <c:pt idx="7">
                  <c:v>6.8441064638783264E-3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1.7283950617283949E-2</c:v>
                </c:pt>
                <c:pt idx="13">
                  <c:v>2.3474178403755869E-3</c:v>
                </c:pt>
                <c:pt idx="14">
                  <c:v>2.0661157024793389E-3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A-4E96-B190-BC49DAB9A529}"/>
            </c:ext>
          </c:extLst>
        </c:ser>
        <c:ser>
          <c:idx val="1"/>
          <c:order val="1"/>
          <c:tx>
            <c:strRef>
              <c:f>'LPCVD(M)'!$A$3</c:f>
              <c:strCache>
                <c:ptCount val="1"/>
                <c:pt idx="0">
                  <c:v>LP-T OOS rate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'LPCVD(M)'!$B$1:$AB$1</c:f>
              <c:strCache>
                <c:ptCount val="24"/>
                <c:pt idx="0">
                  <c:v>2021 KPI</c:v>
                </c:pt>
                <c:pt idx="1">
                  <c:v>2021y PTC OOS Rate</c:v>
                </c:pt>
                <c:pt idx="2">
                  <c:v>2022y PTC OOS Rate</c:v>
                </c:pt>
                <c:pt idx="3">
                  <c:v>2023y PTC OOS Rate</c:v>
                </c:pt>
                <c:pt idx="4">
                  <c:v>2024y PTC OOS Rate</c:v>
                </c:pt>
                <c:pt idx="5">
                  <c:v>2025y PTC OOS Rate</c:v>
                </c:pt>
                <c:pt idx="7">
                  <c:v>Q1</c:v>
                </c:pt>
                <c:pt idx="8">
                  <c:v>Q2</c:v>
                </c:pt>
                <c:pt idx="9">
                  <c:v>Q3</c:v>
                </c:pt>
                <c:pt idx="10">
                  <c:v>Q4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</c:strCache>
            </c:strRef>
          </c:cat>
          <c:val>
            <c:numRef>
              <c:f>'LPCVD(M)'!$B$3:$AB$3</c:f>
              <c:numCache>
                <c:formatCode>0.00%</c:formatCode>
                <c:ptCount val="24"/>
                <c:pt idx="0" formatCode="General">
                  <c:v>0</c:v>
                </c:pt>
                <c:pt idx="1">
                  <c:v>1.2999999999999999E-3</c:v>
                </c:pt>
                <c:pt idx="2">
                  <c:v>6.9999999999999999E-4</c:v>
                </c:pt>
                <c:pt idx="3">
                  <c:v>6.9999999999999999E-4</c:v>
                </c:pt>
                <c:pt idx="4">
                  <c:v>1.4334862385321102E-3</c:v>
                </c:pt>
                <c:pt idx="5">
                  <c:v>3.3077898450851751E-4</c:v>
                </c:pt>
                <c:pt idx="7">
                  <c:v>1.6413623307345096E-3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1.2690355329949238E-3</c:v>
                </c:pt>
                <c:pt idx="13">
                  <c:v>3.7359900373599006E-3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A-4E96-B190-BC49DAB9A529}"/>
            </c:ext>
          </c:extLst>
        </c:ser>
        <c:ser>
          <c:idx val="2"/>
          <c:order val="2"/>
          <c:tx>
            <c:strRef>
              <c:f>'LPCVD(M)'!$A$4</c:f>
              <c:strCache>
                <c:ptCount val="1"/>
                <c:pt idx="0">
                  <c:v>LP-N OOS rate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'LPCVD(M)'!$B$1:$AB$1</c:f>
              <c:strCache>
                <c:ptCount val="24"/>
                <c:pt idx="0">
                  <c:v>2021 KPI</c:v>
                </c:pt>
                <c:pt idx="1">
                  <c:v>2021y PTC OOS Rate</c:v>
                </c:pt>
                <c:pt idx="2">
                  <c:v>2022y PTC OOS Rate</c:v>
                </c:pt>
                <c:pt idx="3">
                  <c:v>2023y PTC OOS Rate</c:v>
                </c:pt>
                <c:pt idx="4">
                  <c:v>2024y PTC OOS Rate</c:v>
                </c:pt>
                <c:pt idx="5">
                  <c:v>2025y PTC OOS Rate</c:v>
                </c:pt>
                <c:pt idx="7">
                  <c:v>Q1</c:v>
                </c:pt>
                <c:pt idx="8">
                  <c:v>Q2</c:v>
                </c:pt>
                <c:pt idx="9">
                  <c:v>Q3</c:v>
                </c:pt>
                <c:pt idx="10">
                  <c:v>Q4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</c:strCache>
            </c:strRef>
          </c:cat>
          <c:val>
            <c:numRef>
              <c:f>'LPCVD(M)'!$B$4:$AB$4</c:f>
              <c:numCache>
                <c:formatCode>0.00%</c:formatCode>
                <c:ptCount val="24"/>
                <c:pt idx="0" formatCode="General">
                  <c:v>0</c:v>
                </c:pt>
                <c:pt idx="1">
                  <c:v>1.1999999999999999E-3</c:v>
                </c:pt>
                <c:pt idx="2">
                  <c:v>2.9999999999999997E-4</c:v>
                </c:pt>
                <c:pt idx="3">
                  <c:v>2.0000000000000001E-4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EA-4E96-B190-BC49DAB9A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02678160"/>
        <c:axId val="1"/>
      </c:barChart>
      <c:catAx>
        <c:axId val="10267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r>
                  <a:rPr lang="en-US" altLang="zh-TW" sz="1400"/>
                  <a:t>%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026781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  <a:cs typeface="微軟正黑體"/>
              </a:defRPr>
            </a:pPr>
            <a:r>
              <a:rPr lang="en-US" sz="14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</a:rPr>
              <a:t>LP-N OOS次數 &amp; OOS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'LPCVD(M)'!$A$12</c:f>
              <c:strCache>
                <c:ptCount val="1"/>
                <c:pt idx="0">
                  <c:v>LP-N PTC次數</c:v>
                </c:pt>
              </c:strCache>
            </c:strRef>
          </c:tx>
          <c:spPr>
            <a:pattFill prst="horzBrick">
              <a:fgClr>
                <a:srgbClr val="00B0F0"/>
              </a:fgClr>
              <a:bgClr>
                <a:schemeClr val="bg1"/>
              </a:bgClr>
            </a:pattFill>
            <a:ln w="19050">
              <a:solidFill>
                <a:srgbClr val="00B0F0"/>
              </a:solidFill>
            </a:ln>
            <a:effectLst/>
          </c:spPr>
          <c:invertIfNegative val="0"/>
          <c:cat>
            <c:strRef>
              <c:f>'LPCVD(M)'!$D$6:$AB$6</c:f>
              <c:strCache>
                <c:ptCount val="23"/>
                <c:pt idx="0">
                  <c:v>21y PTC OOS Rate</c:v>
                </c:pt>
                <c:pt idx="1">
                  <c:v>22y PTC OOS Rate</c:v>
                </c:pt>
                <c:pt idx="2">
                  <c:v>23y PTC OOS Rate</c:v>
                </c:pt>
                <c:pt idx="3">
                  <c:v>24y PTC OOS Rate</c:v>
                </c:pt>
                <c:pt idx="4">
                  <c:v>25y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'LPCVD(M)'!$D$12:$AB$12</c:f>
              <c:numCache>
                <c:formatCode>General</c:formatCode>
                <c:ptCount val="23"/>
                <c:pt idx="0">
                  <c:v>9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 formatCode="0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C-43F1-8266-B0BD5419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0"/>
          <c:order val="0"/>
          <c:tx>
            <c:strRef>
              <c:f>'LPCVD(M)'!$A$11</c:f>
              <c:strCache>
                <c:ptCount val="1"/>
                <c:pt idx="0">
                  <c:v>LP-N OOS rate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10"/>
            <c:spPr>
              <a:solidFill>
                <a:srgbClr val="FF0000"/>
              </a:solidFill>
              <a:ln w="19050">
                <a:solidFill>
                  <a:schemeClr val="tx1"/>
                </a:solidFill>
              </a:ln>
              <a:effectLst/>
            </c:spPr>
          </c:marker>
          <c:cat>
            <c:strRef>
              <c:f>'LPCVD(M)'!$D$6:$AB$6</c:f>
              <c:strCache>
                <c:ptCount val="23"/>
                <c:pt idx="0">
                  <c:v>21y PTC OOS Rate</c:v>
                </c:pt>
                <c:pt idx="1">
                  <c:v>22y PTC OOS Rate</c:v>
                </c:pt>
                <c:pt idx="2">
                  <c:v>23y PTC OOS Rate</c:v>
                </c:pt>
                <c:pt idx="3">
                  <c:v>24y PTC OOS Rate</c:v>
                </c:pt>
                <c:pt idx="4">
                  <c:v>25y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'LPCVD(M)'!$D$11:$AB$11</c:f>
              <c:numCache>
                <c:formatCode>0.00%</c:formatCode>
                <c:ptCount val="23"/>
                <c:pt idx="0">
                  <c:v>1.1999999999999999E-3</c:v>
                </c:pt>
                <c:pt idx="1">
                  <c:v>2.9999999999999997E-4</c:v>
                </c:pt>
                <c:pt idx="2">
                  <c:v>2.0000000000000001E-4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3C-43F1-8266-B0BD5419C833}"/>
            </c:ext>
          </c:extLst>
        </c:ser>
        <c:ser>
          <c:idx val="2"/>
          <c:order val="2"/>
          <c:tx>
            <c:v>LP-N Run數</c:v>
          </c:tx>
          <c:spPr>
            <a:ln>
              <a:noFill/>
            </a:ln>
          </c:spPr>
          <c:marker>
            <c:symbol val="none"/>
          </c:marker>
          <c:val>
            <c:numRef>
              <c:f>'LPCVD(M)'!$F$17:$AB$17</c:f>
              <c:numCache>
                <c:formatCode>0</c:formatCode>
                <c:ptCount val="23"/>
                <c:pt idx="0">
                  <c:v>623</c:v>
                </c:pt>
                <c:pt idx="1">
                  <c:v>595</c:v>
                </c:pt>
                <c:pt idx="2">
                  <c:v>437</c:v>
                </c:pt>
                <c:pt idx="3">
                  <c:v>614</c:v>
                </c:pt>
                <c:pt idx="4">
                  <c:v>393</c:v>
                </c:pt>
                <c:pt idx="6">
                  <c:v>440.33333333333337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334</c:v>
                </c:pt>
                <c:pt idx="12">
                  <c:v>237</c:v>
                </c:pt>
                <c:pt idx="13">
                  <c:v>320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3C-43F1-8266-B0BD5419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80160"/>
        <c:axId val="1"/>
      </c:lineChart>
      <c:catAx>
        <c:axId val="10268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.000000000000000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02680160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3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941585146956734E-2"/>
          <c:y val="8.4092409240924079E-2"/>
          <c:w val="0.80732452173720648"/>
          <c:h val="0.80395693112618349"/>
        </c:manualLayout>
      </c:layout>
      <c:lineChart>
        <c:grouping val="standard"/>
        <c:varyColors val="0"/>
        <c:ser>
          <c:idx val="0"/>
          <c:order val="0"/>
          <c:tx>
            <c:strRef>
              <c:f>'LPCVD(W)'!$A$3</c:f>
              <c:strCache>
                <c:ptCount val="1"/>
                <c:pt idx="0">
                  <c:v>LP-N PTC OOS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'LPCVD(W)'!$B$1:$V$2</c:f>
              <c:multiLvlStrCache>
                <c:ptCount val="21"/>
                <c:lvl/>
                <c:lvl>
                  <c:pt idx="0">
                    <c:v>2018 OOS RATE</c:v>
                  </c:pt>
                  <c:pt idx="1">
                    <c:v>2019 OOS RATE</c:v>
                  </c:pt>
                  <c:pt idx="2">
                    <c:v>2020 OOS RATE</c:v>
                  </c:pt>
                  <c:pt idx="3">
                    <c:v>2021 OOS RATE</c:v>
                  </c:pt>
                  <c:pt idx="4">
                    <c:v>2022 OOS RATE</c:v>
                  </c:pt>
                  <c:pt idx="5">
                    <c:v>2023 OOS RATE</c:v>
                  </c:pt>
                  <c:pt idx="6">
                    <c:v>2024 OOS RATE</c:v>
                  </c:pt>
                  <c:pt idx="7">
                    <c:v>2025 OOS RATE</c:v>
                  </c:pt>
                  <c:pt idx="9">
                    <c:v>M1 OOS RATE</c:v>
                  </c:pt>
                  <c:pt idx="10">
                    <c:v>M2 OOS RATE</c:v>
                  </c:pt>
                  <c:pt idx="11">
                    <c:v>M3 OOS RATE</c:v>
                  </c:pt>
                  <c:pt idx="12">
                    <c:v>M4 OOS RATE</c:v>
                  </c:pt>
                  <c:pt idx="13">
                    <c:v>M5 OOS RATE</c:v>
                  </c:pt>
                  <c:pt idx="14">
                    <c:v>M6 OOS RATE</c:v>
                  </c:pt>
                  <c:pt idx="15">
                    <c:v>M7 OOS RATE</c:v>
                  </c:pt>
                  <c:pt idx="16">
                    <c:v>M8 OOS RATE</c:v>
                  </c:pt>
                  <c:pt idx="17">
                    <c:v>M9 OOS RATE</c:v>
                  </c:pt>
                  <c:pt idx="18">
                    <c:v>M10 OOS RATE</c:v>
                  </c:pt>
                  <c:pt idx="19">
                    <c:v>M11 OOS RATE</c:v>
                  </c:pt>
                  <c:pt idx="20">
                    <c:v>M12 OOS RATE</c:v>
                  </c:pt>
                </c:lvl>
              </c:multiLvlStrCache>
            </c:multiLvlStrRef>
          </c:cat>
          <c:val>
            <c:numRef>
              <c:f>'LPCVD(W)'!$B$3:$V$3</c:f>
              <c:numCache>
                <c:formatCode>0.00_);[Red]\(0.00\)</c:formatCode>
                <c:ptCount val="21"/>
                <c:pt idx="0">
                  <c:v>0.54</c:v>
                </c:pt>
                <c:pt idx="1">
                  <c:v>0.09</c:v>
                </c:pt>
                <c:pt idx="2">
                  <c:v>0.16</c:v>
                </c:pt>
                <c:pt idx="3">
                  <c:v>0.12</c:v>
                </c:pt>
                <c:pt idx="4">
                  <c:v>0.03</c:v>
                </c:pt>
                <c:pt idx="5">
                  <c:v>0.01</c:v>
                </c:pt>
                <c:pt idx="6">
                  <c:v>0</c:v>
                </c:pt>
                <c:pt idx="7">
                  <c:v>0</c:v>
                </c:pt>
                <c:pt idx="9" formatCode="0.00%">
                  <c:v>0</c:v>
                </c:pt>
                <c:pt idx="10" formatCode="0.00%">
                  <c:v>0</c:v>
                </c:pt>
                <c:pt idx="11" formatCode="0.00%">
                  <c:v>0</c:v>
                </c:pt>
                <c:pt idx="12" formatCode="0.00%">
                  <c:v>0</c:v>
                </c:pt>
                <c:pt idx="13" formatCode="0.00%">
                  <c:v>0</c:v>
                </c:pt>
                <c:pt idx="14" formatCode="0.00%">
                  <c:v>0</c:v>
                </c:pt>
                <c:pt idx="15" formatCode="0.00%">
                  <c:v>0</c:v>
                </c:pt>
                <c:pt idx="16" formatCode="0.00%">
                  <c:v>0</c:v>
                </c:pt>
                <c:pt idx="17" formatCode="0.00%">
                  <c:v>0</c:v>
                </c:pt>
                <c:pt idx="18" formatCode="0.00%">
                  <c:v>0</c:v>
                </c:pt>
                <c:pt idx="19" formatCode="0.00%">
                  <c:v>0</c:v>
                </c:pt>
                <c:pt idx="2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B2-4486-9560-FBF2F1117F46}"/>
            </c:ext>
          </c:extLst>
        </c:ser>
        <c:ser>
          <c:idx val="1"/>
          <c:order val="1"/>
          <c:tx>
            <c:strRef>
              <c:f>'LPCVD(W)'!$A$4</c:f>
              <c:strCache>
                <c:ptCount val="1"/>
                <c:pt idx="0">
                  <c:v>LP-P PTC OOS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'LPCVD(W)'!$B$1:$V$2</c:f>
              <c:multiLvlStrCache>
                <c:ptCount val="21"/>
                <c:lvl/>
                <c:lvl>
                  <c:pt idx="0">
                    <c:v>2018 OOS RATE</c:v>
                  </c:pt>
                  <c:pt idx="1">
                    <c:v>2019 OOS RATE</c:v>
                  </c:pt>
                  <c:pt idx="2">
                    <c:v>2020 OOS RATE</c:v>
                  </c:pt>
                  <c:pt idx="3">
                    <c:v>2021 OOS RATE</c:v>
                  </c:pt>
                  <c:pt idx="4">
                    <c:v>2022 OOS RATE</c:v>
                  </c:pt>
                  <c:pt idx="5">
                    <c:v>2023 OOS RATE</c:v>
                  </c:pt>
                  <c:pt idx="6">
                    <c:v>2024 OOS RATE</c:v>
                  </c:pt>
                  <c:pt idx="7">
                    <c:v>2025 OOS RATE</c:v>
                  </c:pt>
                  <c:pt idx="9">
                    <c:v>M1 OOS RATE</c:v>
                  </c:pt>
                  <c:pt idx="10">
                    <c:v>M2 OOS RATE</c:v>
                  </c:pt>
                  <c:pt idx="11">
                    <c:v>M3 OOS RATE</c:v>
                  </c:pt>
                  <c:pt idx="12">
                    <c:v>M4 OOS RATE</c:v>
                  </c:pt>
                  <c:pt idx="13">
                    <c:v>M5 OOS RATE</c:v>
                  </c:pt>
                  <c:pt idx="14">
                    <c:v>M6 OOS RATE</c:v>
                  </c:pt>
                  <c:pt idx="15">
                    <c:v>M7 OOS RATE</c:v>
                  </c:pt>
                  <c:pt idx="16">
                    <c:v>M8 OOS RATE</c:v>
                  </c:pt>
                  <c:pt idx="17">
                    <c:v>M9 OOS RATE</c:v>
                  </c:pt>
                  <c:pt idx="18">
                    <c:v>M10 OOS RATE</c:v>
                  </c:pt>
                  <c:pt idx="19">
                    <c:v>M11 OOS RATE</c:v>
                  </c:pt>
                  <c:pt idx="20">
                    <c:v>M12 OOS RATE</c:v>
                  </c:pt>
                </c:lvl>
              </c:multiLvlStrCache>
            </c:multiLvlStrRef>
          </c:cat>
          <c:val>
            <c:numRef>
              <c:f>'LPCVD(W)'!$B$4:$V$4</c:f>
              <c:numCache>
                <c:formatCode>0.00_);[Red]\(0.00\)</c:formatCode>
                <c:ptCount val="21"/>
                <c:pt idx="0">
                  <c:v>0.68</c:v>
                </c:pt>
                <c:pt idx="1">
                  <c:v>0.28999999999999998</c:v>
                </c:pt>
                <c:pt idx="2">
                  <c:v>0.3</c:v>
                </c:pt>
                <c:pt idx="3">
                  <c:v>0.22</c:v>
                </c:pt>
                <c:pt idx="4">
                  <c:v>0.09</c:v>
                </c:pt>
                <c:pt idx="5">
                  <c:v>0.19</c:v>
                </c:pt>
                <c:pt idx="6">
                  <c:v>0.16198704103671707</c:v>
                </c:pt>
                <c:pt idx="7">
                  <c:v>3.5311357898267975E-2</c:v>
                </c:pt>
                <c:pt idx="9" formatCode="0.00%">
                  <c:v>1.7283950617283949E-2</c:v>
                </c:pt>
                <c:pt idx="10" formatCode="0.00%">
                  <c:v>2.3474178403755869E-3</c:v>
                </c:pt>
                <c:pt idx="11" formatCode="0.00%">
                  <c:v>2.0661157024793389E-3</c:v>
                </c:pt>
                <c:pt idx="12" formatCode="0.00%">
                  <c:v>0</c:v>
                </c:pt>
                <c:pt idx="13" formatCode="0.00%">
                  <c:v>0</c:v>
                </c:pt>
                <c:pt idx="14" formatCode="0.00%">
                  <c:v>0</c:v>
                </c:pt>
                <c:pt idx="15" formatCode="0.00%">
                  <c:v>0</c:v>
                </c:pt>
                <c:pt idx="16" formatCode="0.00%">
                  <c:v>0</c:v>
                </c:pt>
                <c:pt idx="17" formatCode="0.00%">
                  <c:v>0</c:v>
                </c:pt>
                <c:pt idx="18" formatCode="0.00%">
                  <c:v>0</c:v>
                </c:pt>
                <c:pt idx="19" formatCode="0.00%">
                  <c:v>0</c:v>
                </c:pt>
                <c:pt idx="2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B2-4486-9560-FBF2F1117F46}"/>
            </c:ext>
          </c:extLst>
        </c:ser>
        <c:ser>
          <c:idx val="2"/>
          <c:order val="2"/>
          <c:tx>
            <c:strRef>
              <c:f>'LPCVD(W)'!$A$5</c:f>
              <c:strCache>
                <c:ptCount val="1"/>
                <c:pt idx="0">
                  <c:v>LP-T PTC OOS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'LPCVD(W)'!$B$1:$V$2</c:f>
              <c:multiLvlStrCache>
                <c:ptCount val="21"/>
                <c:lvl/>
                <c:lvl>
                  <c:pt idx="0">
                    <c:v>2018 OOS RATE</c:v>
                  </c:pt>
                  <c:pt idx="1">
                    <c:v>2019 OOS RATE</c:v>
                  </c:pt>
                  <c:pt idx="2">
                    <c:v>2020 OOS RATE</c:v>
                  </c:pt>
                  <c:pt idx="3">
                    <c:v>2021 OOS RATE</c:v>
                  </c:pt>
                  <c:pt idx="4">
                    <c:v>2022 OOS RATE</c:v>
                  </c:pt>
                  <c:pt idx="5">
                    <c:v>2023 OOS RATE</c:v>
                  </c:pt>
                  <c:pt idx="6">
                    <c:v>2024 OOS RATE</c:v>
                  </c:pt>
                  <c:pt idx="7">
                    <c:v>2025 OOS RATE</c:v>
                  </c:pt>
                  <c:pt idx="9">
                    <c:v>M1 OOS RATE</c:v>
                  </c:pt>
                  <c:pt idx="10">
                    <c:v>M2 OOS RATE</c:v>
                  </c:pt>
                  <c:pt idx="11">
                    <c:v>M3 OOS RATE</c:v>
                  </c:pt>
                  <c:pt idx="12">
                    <c:v>M4 OOS RATE</c:v>
                  </c:pt>
                  <c:pt idx="13">
                    <c:v>M5 OOS RATE</c:v>
                  </c:pt>
                  <c:pt idx="14">
                    <c:v>M6 OOS RATE</c:v>
                  </c:pt>
                  <c:pt idx="15">
                    <c:v>M7 OOS RATE</c:v>
                  </c:pt>
                  <c:pt idx="16">
                    <c:v>M8 OOS RATE</c:v>
                  </c:pt>
                  <c:pt idx="17">
                    <c:v>M9 OOS RATE</c:v>
                  </c:pt>
                  <c:pt idx="18">
                    <c:v>M10 OOS RATE</c:v>
                  </c:pt>
                  <c:pt idx="19">
                    <c:v>M11 OOS RATE</c:v>
                  </c:pt>
                  <c:pt idx="20">
                    <c:v>M12 OOS RATE</c:v>
                  </c:pt>
                </c:lvl>
              </c:multiLvlStrCache>
            </c:multiLvlStrRef>
          </c:cat>
          <c:val>
            <c:numRef>
              <c:f>'LPCVD(W)'!$B$5:$V$5</c:f>
              <c:numCache>
                <c:formatCode>0.00_);[Red]\(0.00\)</c:formatCode>
                <c:ptCount val="21"/>
                <c:pt idx="0">
                  <c:v>0.17</c:v>
                </c:pt>
                <c:pt idx="1">
                  <c:v>0.19</c:v>
                </c:pt>
                <c:pt idx="2">
                  <c:v>0.11</c:v>
                </c:pt>
                <c:pt idx="3">
                  <c:v>0.13</c:v>
                </c:pt>
                <c:pt idx="4">
                  <c:v>0.05</c:v>
                </c:pt>
                <c:pt idx="5">
                  <c:v>0.06</c:v>
                </c:pt>
                <c:pt idx="6">
                  <c:v>4.1459369817578771E-2</c:v>
                </c:pt>
                <c:pt idx="7">
                  <c:v>3.0609121518212427E-2</c:v>
                </c:pt>
                <c:pt idx="9" formatCode="0.00%">
                  <c:v>1.2690355329949238E-3</c:v>
                </c:pt>
                <c:pt idx="10" formatCode="0.00%">
                  <c:v>3.7359900373599006E-3</c:v>
                </c:pt>
                <c:pt idx="11" formatCode="0.00%">
                  <c:v>0</c:v>
                </c:pt>
                <c:pt idx="12" formatCode="0.00%">
                  <c:v>0</c:v>
                </c:pt>
                <c:pt idx="13" formatCode="0.00%">
                  <c:v>0</c:v>
                </c:pt>
                <c:pt idx="14" formatCode="0.00%">
                  <c:v>0</c:v>
                </c:pt>
                <c:pt idx="15" formatCode="0.00%">
                  <c:v>0</c:v>
                </c:pt>
                <c:pt idx="16" formatCode="0.00%">
                  <c:v>0</c:v>
                </c:pt>
                <c:pt idx="17" formatCode="0.00%">
                  <c:v>0</c:v>
                </c:pt>
                <c:pt idx="18" formatCode="0.00%">
                  <c:v>0</c:v>
                </c:pt>
                <c:pt idx="19" formatCode="0.00%">
                  <c:v>0</c:v>
                </c:pt>
                <c:pt idx="2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B2-4486-9560-FBF2F1117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74960"/>
        <c:axId val="1"/>
      </c:lineChart>
      <c:catAx>
        <c:axId val="10267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749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643210989354808"/>
          <c:y val="0.91625761642476433"/>
          <c:w val="0.44814487593024382"/>
          <c:h val="3.6124813962067348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666750</xdr:colOff>
      <xdr:row>0</xdr:row>
      <xdr:rowOff>9525</xdr:rowOff>
    </xdr:from>
    <xdr:to>
      <xdr:col>43</xdr:col>
      <xdr:colOff>342900</xdr:colOff>
      <xdr:row>23</xdr:row>
      <xdr:rowOff>133350</xdr:rowOff>
    </xdr:to>
    <xdr:graphicFrame macro="">
      <xdr:nvGraphicFramePr>
        <xdr:cNvPr id="1239664" name="圖表 1">
          <a:extLst>
            <a:ext uri="{FF2B5EF4-FFF2-40B4-BE49-F238E27FC236}">
              <a16:creationId xmlns:a16="http://schemas.microsoft.com/office/drawing/2014/main" id="{7D8C78A6-1DB2-4F83-961E-0D6DFB9F9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666750</xdr:colOff>
      <xdr:row>25</xdr:row>
      <xdr:rowOff>0</xdr:rowOff>
    </xdr:from>
    <xdr:to>
      <xdr:col>43</xdr:col>
      <xdr:colOff>342900</xdr:colOff>
      <xdr:row>41</xdr:row>
      <xdr:rowOff>171450</xdr:rowOff>
    </xdr:to>
    <xdr:graphicFrame macro="">
      <xdr:nvGraphicFramePr>
        <xdr:cNvPr id="1239665" name="圖表 2">
          <a:extLst>
            <a:ext uri="{FF2B5EF4-FFF2-40B4-BE49-F238E27FC236}">
              <a16:creationId xmlns:a16="http://schemas.microsoft.com/office/drawing/2014/main" id="{82841034-8D83-4FDD-8EE2-A3B6CE811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314325</xdr:colOff>
      <xdr:row>42</xdr:row>
      <xdr:rowOff>190500</xdr:rowOff>
    </xdr:from>
    <xdr:to>
      <xdr:col>43</xdr:col>
      <xdr:colOff>0</xdr:colOff>
      <xdr:row>58</xdr:row>
      <xdr:rowOff>0</xdr:rowOff>
    </xdr:to>
    <xdr:graphicFrame macro="">
      <xdr:nvGraphicFramePr>
        <xdr:cNvPr id="1239666" name="圖表 4">
          <a:extLst>
            <a:ext uri="{FF2B5EF4-FFF2-40B4-BE49-F238E27FC236}">
              <a16:creationId xmlns:a16="http://schemas.microsoft.com/office/drawing/2014/main" id="{9035EFFE-1CED-4DD6-868D-8C2B38967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295275</xdr:colOff>
      <xdr:row>58</xdr:row>
      <xdr:rowOff>161925</xdr:rowOff>
    </xdr:from>
    <xdr:to>
      <xdr:col>43</xdr:col>
      <xdr:colOff>9525</xdr:colOff>
      <xdr:row>74</xdr:row>
      <xdr:rowOff>228600</xdr:rowOff>
    </xdr:to>
    <xdr:graphicFrame macro="">
      <xdr:nvGraphicFramePr>
        <xdr:cNvPr id="1239667" name="圖表 5">
          <a:extLst>
            <a:ext uri="{FF2B5EF4-FFF2-40B4-BE49-F238E27FC236}">
              <a16:creationId xmlns:a16="http://schemas.microsoft.com/office/drawing/2014/main" id="{FE51FE0B-90AD-42E5-87DF-93019F7B3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47</xdr:col>
      <xdr:colOff>619125</xdr:colOff>
      <xdr:row>1</xdr:row>
      <xdr:rowOff>19050</xdr:rowOff>
    </xdr:from>
    <xdr:to>
      <xdr:col>64</xdr:col>
      <xdr:colOff>152400</xdr:colOff>
      <xdr:row>25</xdr:row>
      <xdr:rowOff>19050</xdr:rowOff>
    </xdr:to>
    <xdr:graphicFrame macro="">
      <xdr:nvGraphicFramePr>
        <xdr:cNvPr id="1239668" name="圖表 1">
          <a:extLst>
            <a:ext uri="{FF2B5EF4-FFF2-40B4-BE49-F238E27FC236}">
              <a16:creationId xmlns:a16="http://schemas.microsoft.com/office/drawing/2014/main" id="{5034F9F3-CE42-4097-ACAE-088286B73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333373</xdr:colOff>
      <xdr:row>76</xdr:row>
      <xdr:rowOff>0</xdr:rowOff>
    </xdr:from>
    <xdr:to>
      <xdr:col>43</xdr:col>
      <xdr:colOff>47623</xdr:colOff>
      <xdr:row>91</xdr:row>
      <xdr:rowOff>38100</xdr:rowOff>
    </xdr:to>
    <xdr:graphicFrame macro="">
      <xdr:nvGraphicFramePr>
        <xdr:cNvPr id="2" name="圖表 5">
          <a:extLst>
            <a:ext uri="{FF2B5EF4-FFF2-40B4-BE49-F238E27FC236}">
              <a16:creationId xmlns:a16="http://schemas.microsoft.com/office/drawing/2014/main" id="{0A39BE8B-2263-49F8-A3D7-67D735615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666750</xdr:colOff>
      <xdr:row>4</xdr:row>
      <xdr:rowOff>219075</xdr:rowOff>
    </xdr:from>
    <xdr:to>
      <xdr:col>90</xdr:col>
      <xdr:colOff>495300</xdr:colOff>
      <xdr:row>140</xdr:row>
      <xdr:rowOff>0</xdr:rowOff>
    </xdr:to>
    <xdr:graphicFrame macro="">
      <xdr:nvGraphicFramePr>
        <xdr:cNvPr id="11572" name="圖表 1">
          <a:extLst>
            <a:ext uri="{FF2B5EF4-FFF2-40B4-BE49-F238E27FC236}">
              <a16:creationId xmlns:a16="http://schemas.microsoft.com/office/drawing/2014/main" id="{676367BF-4D0E-4E11-912F-AE46181A1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1"/>
  <sheetViews>
    <sheetView topLeftCell="A13" zoomScale="80" zoomScaleNormal="80" workbookViewId="0">
      <pane xSplit="3" topLeftCell="I34" activePane="topRight" state="frozen"/>
      <selection pane="topRight" activeCell="Q48" sqref="Q48:S54"/>
      <selection activeCell="A37" sqref="A37"/>
    </sheetView>
  </sheetViews>
  <sheetFormatPr defaultColWidth="9" defaultRowHeight="15.75"/>
  <cols>
    <col min="1" max="1" width="18.625" style="30" customWidth="1"/>
    <col min="2" max="2" width="18.625" style="30" hidden="1" customWidth="1"/>
    <col min="3" max="3" width="18.625" style="30" customWidth="1"/>
    <col min="4" max="5" width="15.25" style="30" hidden="1" customWidth="1"/>
    <col min="6" max="11" width="15.25" style="30" customWidth="1"/>
    <col min="12" max="12" width="11.625" style="30" customWidth="1"/>
    <col min="13" max="14" width="10.125" style="30" customWidth="1"/>
    <col min="15" max="15" width="11.625" style="30" customWidth="1"/>
    <col min="16" max="16" width="10.125" style="30" customWidth="1"/>
    <col min="17" max="28" width="10.25" style="30" bestFit="1" customWidth="1"/>
    <col min="29" max="16384" width="9" style="30"/>
  </cols>
  <sheetData>
    <row r="1" spans="1:28" s="23" customFormat="1" ht="31.5">
      <c r="A1" s="19"/>
      <c r="B1" s="20" t="s">
        <v>0</v>
      </c>
      <c r="C1" s="19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/>
      <c r="L1" s="21" t="s">
        <v>9</v>
      </c>
      <c r="M1" s="21" t="s">
        <v>10</v>
      </c>
      <c r="N1" s="21" t="s">
        <v>11</v>
      </c>
      <c r="O1" s="21" t="s">
        <v>12</v>
      </c>
      <c r="P1" s="21"/>
      <c r="Q1" s="21">
        <v>1</v>
      </c>
      <c r="R1" s="21">
        <v>2</v>
      </c>
      <c r="S1" s="21">
        <v>3</v>
      </c>
      <c r="T1" s="21">
        <v>4</v>
      </c>
      <c r="U1" s="21">
        <v>5</v>
      </c>
      <c r="V1" s="21">
        <v>6</v>
      </c>
      <c r="W1" s="21">
        <v>7</v>
      </c>
      <c r="X1" s="21">
        <v>8</v>
      </c>
      <c r="Y1" s="21">
        <v>9</v>
      </c>
      <c r="Z1" s="21">
        <v>10</v>
      </c>
      <c r="AA1" s="21">
        <v>11</v>
      </c>
      <c r="AB1" s="22">
        <v>12</v>
      </c>
    </row>
    <row r="2" spans="1:28" ht="28.5" customHeight="1">
      <c r="A2" s="24" t="s">
        <v>13</v>
      </c>
      <c r="B2" s="25" t="s">
        <v>14</v>
      </c>
      <c r="C2" s="24" t="s">
        <v>15</v>
      </c>
      <c r="D2" s="26">
        <v>6.4000000000000003E-3</v>
      </c>
      <c r="E2" s="26">
        <v>6.7999999999999996E-3</v>
      </c>
      <c r="F2" s="27">
        <v>2.2000000000000001E-3</v>
      </c>
      <c r="G2" s="27">
        <v>1E-3</v>
      </c>
      <c r="H2" s="27">
        <v>2.2000000000000001E-3</v>
      </c>
      <c r="I2" s="27">
        <v>2.3186485591255384E-3</v>
      </c>
      <c r="J2" s="27">
        <f>AVERAGE(R35:AC35)/J27</f>
        <v>3.996003996003996E-4</v>
      </c>
      <c r="K2" s="27"/>
      <c r="L2" s="27">
        <f>L35/L27</f>
        <v>6.8441064638783264E-3</v>
      </c>
      <c r="M2" s="27" t="e">
        <f>M35/M27</f>
        <v>#DIV/0!</v>
      </c>
      <c r="N2" s="27" t="e">
        <f>N35/N27</f>
        <v>#DIV/0!</v>
      </c>
      <c r="O2" s="27" t="e">
        <f>O35/O27</f>
        <v>#DIV/0!</v>
      </c>
      <c r="P2" s="28"/>
      <c r="Q2" s="27">
        <f>Q35/Q27</f>
        <v>1.7283950617283949E-2</v>
      </c>
      <c r="R2" s="27">
        <f t="shared" ref="R2:AB2" si="0">R35/R27</f>
        <v>2.3474178403755869E-3</v>
      </c>
      <c r="S2" s="27">
        <f t="shared" si="0"/>
        <v>2.0661157024793389E-3</v>
      </c>
      <c r="T2" s="27" t="e">
        <f t="shared" si="0"/>
        <v>#VALUE!</v>
      </c>
      <c r="U2" s="27" t="e">
        <f t="shared" si="0"/>
        <v>#VALUE!</v>
      </c>
      <c r="V2" s="27" t="e">
        <f t="shared" si="0"/>
        <v>#VALUE!</v>
      </c>
      <c r="W2" s="27" t="e">
        <f t="shared" si="0"/>
        <v>#VALUE!</v>
      </c>
      <c r="X2" s="27" t="e">
        <f t="shared" si="0"/>
        <v>#VALUE!</v>
      </c>
      <c r="Y2" s="27" t="e">
        <f t="shared" si="0"/>
        <v>#VALUE!</v>
      </c>
      <c r="Z2" s="27" t="e">
        <f t="shared" si="0"/>
        <v>#VALUE!</v>
      </c>
      <c r="AA2" s="27" t="e">
        <f t="shared" si="0"/>
        <v>#VALUE!</v>
      </c>
      <c r="AB2" s="29" t="e">
        <f t="shared" si="0"/>
        <v>#VALUE!</v>
      </c>
    </row>
    <row r="3" spans="1:28" ht="28.5" customHeight="1">
      <c r="A3" s="24" t="s">
        <v>16</v>
      </c>
      <c r="B3" s="25" t="s">
        <v>17</v>
      </c>
      <c r="C3" s="24" t="s">
        <v>18</v>
      </c>
      <c r="D3" s="26">
        <v>1.5E-3</v>
      </c>
      <c r="E3" s="26">
        <v>1.6999999999999999E-3</v>
      </c>
      <c r="F3" s="27">
        <v>1.2999999999999999E-3</v>
      </c>
      <c r="G3" s="27">
        <v>6.9999999999999999E-4</v>
      </c>
      <c r="H3" s="27">
        <v>6.9999999999999999E-4</v>
      </c>
      <c r="I3" s="27">
        <v>1.4334862385321102E-3</v>
      </c>
      <c r="J3" s="27">
        <f>AVERAGE(R55:AC55)/J45</f>
        <v>3.3077898450851751E-4</v>
      </c>
      <c r="K3" s="27"/>
      <c r="L3" s="27">
        <f>L55/L45</f>
        <v>1.6413623307345096E-3</v>
      </c>
      <c r="M3" s="27" t="e">
        <f>M55/M45</f>
        <v>#DIV/0!</v>
      </c>
      <c r="N3" s="27" t="e">
        <f>N55/N45</f>
        <v>#DIV/0!</v>
      </c>
      <c r="O3" s="27" t="e">
        <f>O55/O45</f>
        <v>#DIV/0!</v>
      </c>
      <c r="P3" s="28"/>
      <c r="Q3" s="27">
        <f>Q55/Q45</f>
        <v>1.2690355329949238E-3</v>
      </c>
      <c r="R3" s="27">
        <f t="shared" ref="R3:AB3" si="1">R55/R45</f>
        <v>3.7359900373599006E-3</v>
      </c>
      <c r="S3" s="27">
        <f t="shared" si="1"/>
        <v>0</v>
      </c>
      <c r="T3" s="27" t="e">
        <f t="shared" si="1"/>
        <v>#VALUE!</v>
      </c>
      <c r="U3" s="27" t="e">
        <f t="shared" si="1"/>
        <v>#VALUE!</v>
      </c>
      <c r="V3" s="27" t="e">
        <f t="shared" si="1"/>
        <v>#VALUE!</v>
      </c>
      <c r="W3" s="27" t="e">
        <f t="shared" si="1"/>
        <v>#VALUE!</v>
      </c>
      <c r="X3" s="27" t="e">
        <f t="shared" si="1"/>
        <v>#VALUE!</v>
      </c>
      <c r="Y3" s="27" t="e">
        <f t="shared" si="1"/>
        <v>#VALUE!</v>
      </c>
      <c r="Z3" s="27" t="e">
        <f t="shared" si="1"/>
        <v>#VALUE!</v>
      </c>
      <c r="AA3" s="27" t="e">
        <f t="shared" si="1"/>
        <v>#VALUE!</v>
      </c>
      <c r="AB3" s="29" t="e">
        <f t="shared" si="1"/>
        <v>#VALUE!</v>
      </c>
    </row>
    <row r="4" spans="1:28" ht="28.5" customHeight="1">
      <c r="A4" s="31" t="s">
        <v>19</v>
      </c>
      <c r="B4" s="32" t="s">
        <v>20</v>
      </c>
      <c r="C4" s="31" t="s">
        <v>15</v>
      </c>
      <c r="D4" s="33">
        <v>4.4000000000000003E-3</v>
      </c>
      <c r="E4" s="33">
        <v>5.4000000000000003E-3</v>
      </c>
      <c r="F4" s="34">
        <v>1.1999999999999999E-3</v>
      </c>
      <c r="G4" s="34">
        <v>2.9999999999999997E-4</v>
      </c>
      <c r="H4" s="34">
        <v>2.0000000000000001E-4</v>
      </c>
      <c r="I4" s="34">
        <v>0</v>
      </c>
      <c r="J4" s="34">
        <f>AVERAGE(R91:AC91)/J65</f>
        <v>0</v>
      </c>
      <c r="K4" s="34"/>
      <c r="L4" s="34">
        <f>L75/L65</f>
        <v>0</v>
      </c>
      <c r="M4" s="34" t="e">
        <f>M75/M65</f>
        <v>#DIV/0!</v>
      </c>
      <c r="N4" s="34" t="e">
        <f>N75/N65</f>
        <v>#DIV/0!</v>
      </c>
      <c r="O4" s="34" t="e">
        <f>O75/O65</f>
        <v>#DIV/0!</v>
      </c>
      <c r="P4" s="35"/>
      <c r="Q4" s="34">
        <f>Q75/Q65</f>
        <v>0</v>
      </c>
      <c r="R4" s="34">
        <f t="shared" ref="R4:AB4" si="2">R75/R65</f>
        <v>0</v>
      </c>
      <c r="S4" s="34">
        <f t="shared" si="2"/>
        <v>0</v>
      </c>
      <c r="T4" s="34" t="e">
        <f t="shared" si="2"/>
        <v>#VALUE!</v>
      </c>
      <c r="U4" s="34" t="e">
        <f t="shared" si="2"/>
        <v>#VALUE!</v>
      </c>
      <c r="V4" s="34" t="e">
        <f t="shared" si="2"/>
        <v>#VALUE!</v>
      </c>
      <c r="W4" s="34" t="e">
        <f t="shared" si="2"/>
        <v>#VALUE!</v>
      </c>
      <c r="X4" s="34" t="e">
        <f t="shared" si="2"/>
        <v>#VALUE!</v>
      </c>
      <c r="Y4" s="34" t="e">
        <f t="shared" si="2"/>
        <v>#VALUE!</v>
      </c>
      <c r="Z4" s="34" t="e">
        <f t="shared" si="2"/>
        <v>#VALUE!</v>
      </c>
      <c r="AA4" s="34" t="e">
        <f t="shared" si="2"/>
        <v>#VALUE!</v>
      </c>
      <c r="AB4" s="36" t="e">
        <f t="shared" si="2"/>
        <v>#VALUE!</v>
      </c>
    </row>
    <row r="5" spans="1:28">
      <c r="A5" s="37"/>
      <c r="C5" s="38"/>
      <c r="D5" s="39"/>
      <c r="E5" s="39"/>
      <c r="F5" s="40"/>
      <c r="G5" s="40"/>
      <c r="H5" s="40"/>
      <c r="I5" s="40"/>
      <c r="J5" s="40"/>
      <c r="K5" s="40"/>
      <c r="L5" s="40"/>
      <c r="M5" s="40"/>
      <c r="N5" s="40"/>
      <c r="O5" s="40"/>
      <c r="P5" s="41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2"/>
    </row>
    <row r="6" spans="1:28" ht="31.5">
      <c r="A6" s="19"/>
      <c r="B6" s="21" t="s">
        <v>0</v>
      </c>
      <c r="C6" s="21" t="s">
        <v>21</v>
      </c>
      <c r="D6" s="21" t="s">
        <v>22</v>
      </c>
      <c r="E6" s="21" t="s">
        <v>23</v>
      </c>
      <c r="F6" s="21" t="s">
        <v>24</v>
      </c>
      <c r="G6" s="21" t="s">
        <v>25</v>
      </c>
      <c r="H6" s="21" t="s">
        <v>26</v>
      </c>
      <c r="I6" s="21" t="s">
        <v>27</v>
      </c>
      <c r="J6" s="21" t="s">
        <v>28</v>
      </c>
      <c r="K6" s="21"/>
      <c r="L6" s="21" t="s">
        <v>9</v>
      </c>
      <c r="M6" s="21" t="s">
        <v>10</v>
      </c>
      <c r="N6" s="21" t="s">
        <v>11</v>
      </c>
      <c r="O6" s="21" t="s">
        <v>12</v>
      </c>
      <c r="P6" s="21"/>
      <c r="Q6" s="21">
        <v>1</v>
      </c>
      <c r="R6" s="21">
        <v>2</v>
      </c>
      <c r="S6" s="21">
        <v>3</v>
      </c>
      <c r="T6" s="21">
        <v>4</v>
      </c>
      <c r="U6" s="21">
        <v>5</v>
      </c>
      <c r="V6" s="21">
        <v>6</v>
      </c>
      <c r="W6" s="21">
        <v>7</v>
      </c>
      <c r="X6" s="21">
        <v>8</v>
      </c>
      <c r="Y6" s="21">
        <v>9</v>
      </c>
      <c r="Z6" s="21">
        <v>10</v>
      </c>
      <c r="AA6" s="21">
        <v>11</v>
      </c>
      <c r="AB6" s="22">
        <v>12</v>
      </c>
    </row>
    <row r="7" spans="1:28" ht="25.5" customHeight="1">
      <c r="A7" s="24" t="s">
        <v>13</v>
      </c>
      <c r="B7" s="25" t="s">
        <v>14</v>
      </c>
      <c r="C7" s="28" t="s">
        <v>15</v>
      </c>
      <c r="D7" s="26">
        <f>D2</f>
        <v>6.4000000000000003E-3</v>
      </c>
      <c r="E7" s="26">
        <v>6.7999999999999996E-3</v>
      </c>
      <c r="F7" s="27">
        <v>2.2000000000000001E-3</v>
      </c>
      <c r="G7" s="27">
        <v>1E-3</v>
      </c>
      <c r="H7" s="27">
        <v>2.2000000000000001E-3</v>
      </c>
      <c r="I7" s="27">
        <v>2.3186485591255384E-3</v>
      </c>
      <c r="J7" s="27">
        <f>J2</f>
        <v>3.996003996003996E-4</v>
      </c>
      <c r="K7" s="27"/>
      <c r="L7" s="27">
        <f>L2</f>
        <v>6.8441064638783264E-3</v>
      </c>
      <c r="M7" s="27" t="e">
        <f>M2</f>
        <v>#DIV/0!</v>
      </c>
      <c r="N7" s="27" t="e">
        <f>N2</f>
        <v>#DIV/0!</v>
      </c>
      <c r="O7" s="27" t="e">
        <f>O2</f>
        <v>#DIV/0!</v>
      </c>
      <c r="P7" s="28"/>
      <c r="Q7" s="27">
        <f t="shared" ref="Q7:AB7" si="3">Q2</f>
        <v>1.7283950617283949E-2</v>
      </c>
      <c r="R7" s="27">
        <f t="shared" si="3"/>
        <v>2.3474178403755869E-3</v>
      </c>
      <c r="S7" s="27">
        <f t="shared" si="3"/>
        <v>2.0661157024793389E-3</v>
      </c>
      <c r="T7" s="27" t="e">
        <f t="shared" si="3"/>
        <v>#VALUE!</v>
      </c>
      <c r="U7" s="27" t="e">
        <f t="shared" si="3"/>
        <v>#VALUE!</v>
      </c>
      <c r="V7" s="27" t="e">
        <f t="shared" si="3"/>
        <v>#VALUE!</v>
      </c>
      <c r="W7" s="27" t="e">
        <f t="shared" si="3"/>
        <v>#VALUE!</v>
      </c>
      <c r="X7" s="27" t="e">
        <f t="shared" si="3"/>
        <v>#VALUE!</v>
      </c>
      <c r="Y7" s="27" t="e">
        <f t="shared" si="3"/>
        <v>#VALUE!</v>
      </c>
      <c r="Z7" s="27" t="e">
        <f t="shared" si="3"/>
        <v>#VALUE!</v>
      </c>
      <c r="AA7" s="27" t="e">
        <f t="shared" si="3"/>
        <v>#VALUE!</v>
      </c>
      <c r="AB7" s="29" t="e">
        <f t="shared" si="3"/>
        <v>#VALUE!</v>
      </c>
    </row>
    <row r="8" spans="1:28" ht="25.5" customHeight="1">
      <c r="A8" s="31" t="s">
        <v>29</v>
      </c>
      <c r="B8" s="35"/>
      <c r="C8" s="35"/>
      <c r="D8" s="35">
        <f>D35</f>
        <v>41</v>
      </c>
      <c r="E8" s="35">
        <v>41</v>
      </c>
      <c r="F8" s="35">
        <v>15</v>
      </c>
      <c r="G8" s="35">
        <v>7</v>
      </c>
      <c r="H8" s="35">
        <v>12</v>
      </c>
      <c r="I8" s="35">
        <v>14</v>
      </c>
      <c r="J8" s="35">
        <f>J35</f>
        <v>2</v>
      </c>
      <c r="K8" s="35"/>
      <c r="L8" s="35">
        <f>L35</f>
        <v>3</v>
      </c>
      <c r="M8" s="35">
        <f>M35</f>
        <v>0</v>
      </c>
      <c r="N8" s="35">
        <f>N35</f>
        <v>0</v>
      </c>
      <c r="O8" s="35">
        <f>O35</f>
        <v>0</v>
      </c>
      <c r="P8" s="35"/>
      <c r="Q8" s="35">
        <f t="shared" ref="Q8:AB8" si="4">Q35</f>
        <v>7</v>
      </c>
      <c r="R8" s="35">
        <f>R35</f>
        <v>1</v>
      </c>
      <c r="S8" s="35">
        <f t="shared" si="4"/>
        <v>1</v>
      </c>
      <c r="T8" s="35">
        <f t="shared" si="4"/>
        <v>0</v>
      </c>
      <c r="U8" s="35">
        <f t="shared" si="4"/>
        <v>0</v>
      </c>
      <c r="V8" s="35">
        <f t="shared" si="4"/>
        <v>0</v>
      </c>
      <c r="W8" s="35">
        <f t="shared" si="4"/>
        <v>0</v>
      </c>
      <c r="X8" s="35">
        <f t="shared" si="4"/>
        <v>0</v>
      </c>
      <c r="Y8" s="35">
        <f t="shared" si="4"/>
        <v>0</v>
      </c>
      <c r="Z8" s="35">
        <f t="shared" si="4"/>
        <v>0</v>
      </c>
      <c r="AA8" s="35">
        <f t="shared" si="4"/>
        <v>0</v>
      </c>
      <c r="AB8" s="43">
        <f t="shared" si="4"/>
        <v>0</v>
      </c>
    </row>
    <row r="9" spans="1:28" ht="25.5" customHeight="1">
      <c r="A9" s="24" t="s">
        <v>16</v>
      </c>
      <c r="B9" s="25" t="s">
        <v>17</v>
      </c>
      <c r="C9" s="28" t="s">
        <v>18</v>
      </c>
      <c r="D9" s="26">
        <f>D3</f>
        <v>1.5E-3</v>
      </c>
      <c r="E9" s="26">
        <v>1.6999999999999999E-3</v>
      </c>
      <c r="F9" s="26">
        <v>1.2999999999999999E-3</v>
      </c>
      <c r="G9" s="26">
        <v>6.9999999999999999E-4</v>
      </c>
      <c r="H9" s="26">
        <v>6.9999999999999999E-4</v>
      </c>
      <c r="I9" s="26">
        <v>1.4334862385321102E-3</v>
      </c>
      <c r="J9" s="26">
        <f t="shared" ref="J9" si="5">J3</f>
        <v>3.3077898450851751E-4</v>
      </c>
      <c r="K9" s="26"/>
      <c r="L9" s="26">
        <f t="shared" ref="L9:AB9" si="6">L3</f>
        <v>1.6413623307345096E-3</v>
      </c>
      <c r="M9" s="26" t="e">
        <f t="shared" si="6"/>
        <v>#DIV/0!</v>
      </c>
      <c r="N9" s="26" t="e">
        <f t="shared" si="6"/>
        <v>#DIV/0!</v>
      </c>
      <c r="O9" s="26" t="e">
        <f t="shared" si="6"/>
        <v>#DIV/0!</v>
      </c>
      <c r="P9" s="26"/>
      <c r="Q9" s="26">
        <f t="shared" si="6"/>
        <v>1.2690355329949238E-3</v>
      </c>
      <c r="R9" s="26">
        <f t="shared" si="6"/>
        <v>3.7359900373599006E-3</v>
      </c>
      <c r="S9" s="26">
        <f t="shared" si="6"/>
        <v>0</v>
      </c>
      <c r="T9" s="26" t="e">
        <f t="shared" si="6"/>
        <v>#VALUE!</v>
      </c>
      <c r="U9" s="26" t="e">
        <f t="shared" si="6"/>
        <v>#VALUE!</v>
      </c>
      <c r="V9" s="26" t="e">
        <f t="shared" si="6"/>
        <v>#VALUE!</v>
      </c>
      <c r="W9" s="26" t="e">
        <f t="shared" si="6"/>
        <v>#VALUE!</v>
      </c>
      <c r="X9" s="26" t="e">
        <f t="shared" si="6"/>
        <v>#VALUE!</v>
      </c>
      <c r="Y9" s="26" t="e">
        <f t="shared" si="6"/>
        <v>#VALUE!</v>
      </c>
      <c r="Z9" s="26" t="e">
        <f t="shared" si="6"/>
        <v>#VALUE!</v>
      </c>
      <c r="AA9" s="26" t="e">
        <f t="shared" si="6"/>
        <v>#VALUE!</v>
      </c>
      <c r="AB9" s="26" t="e">
        <f t="shared" si="6"/>
        <v>#VALUE!</v>
      </c>
    </row>
    <row r="10" spans="1:28" ht="25.5" customHeight="1">
      <c r="A10" s="31" t="s">
        <v>30</v>
      </c>
      <c r="B10" s="35"/>
      <c r="C10" s="35"/>
      <c r="D10" s="35">
        <f>D55</f>
        <v>15</v>
      </c>
      <c r="E10" s="35">
        <v>17</v>
      </c>
      <c r="F10" s="35">
        <v>15</v>
      </c>
      <c r="G10" s="35">
        <v>8</v>
      </c>
      <c r="H10" s="35">
        <v>7</v>
      </c>
      <c r="I10" s="35">
        <v>15</v>
      </c>
      <c r="J10" s="35">
        <f t="shared" ref="J10" si="7">J55</f>
        <v>3</v>
      </c>
      <c r="K10" s="35"/>
      <c r="L10" s="35">
        <f t="shared" ref="L10:AB10" si="8">L55</f>
        <v>1.3333333333333333</v>
      </c>
      <c r="M10" s="35">
        <f t="shared" si="8"/>
        <v>0</v>
      </c>
      <c r="N10" s="35">
        <f t="shared" si="8"/>
        <v>0</v>
      </c>
      <c r="O10" s="35">
        <f t="shared" si="8"/>
        <v>0</v>
      </c>
      <c r="P10" s="35"/>
      <c r="Q10" s="35">
        <f>Q55</f>
        <v>1</v>
      </c>
      <c r="R10" s="35">
        <f t="shared" si="8"/>
        <v>3</v>
      </c>
      <c r="S10" s="35">
        <f t="shared" si="8"/>
        <v>0</v>
      </c>
      <c r="T10" s="35">
        <f t="shared" si="8"/>
        <v>0</v>
      </c>
      <c r="U10" s="35">
        <f t="shared" si="8"/>
        <v>0</v>
      </c>
      <c r="V10" s="35">
        <f t="shared" si="8"/>
        <v>0</v>
      </c>
      <c r="W10" s="35">
        <f t="shared" si="8"/>
        <v>0</v>
      </c>
      <c r="X10" s="35">
        <f t="shared" si="8"/>
        <v>0</v>
      </c>
      <c r="Y10" s="35">
        <f t="shared" si="8"/>
        <v>0</v>
      </c>
      <c r="Z10" s="35">
        <f t="shared" si="8"/>
        <v>0</v>
      </c>
      <c r="AA10" s="35">
        <f t="shared" si="8"/>
        <v>0</v>
      </c>
      <c r="AB10" s="35">
        <f t="shared" si="8"/>
        <v>0</v>
      </c>
    </row>
    <row r="11" spans="1:28" ht="25.5" customHeight="1">
      <c r="A11" s="24" t="s">
        <v>19</v>
      </c>
      <c r="B11" s="28" t="s">
        <v>20</v>
      </c>
      <c r="C11" s="28" t="s">
        <v>15</v>
      </c>
      <c r="D11" s="26">
        <f>D4</f>
        <v>4.4000000000000003E-3</v>
      </c>
      <c r="E11" s="26">
        <v>5.4000000000000003E-3</v>
      </c>
      <c r="F11" s="26">
        <v>1.1999999999999999E-3</v>
      </c>
      <c r="G11" s="26">
        <v>2.9999999999999997E-4</v>
      </c>
      <c r="H11" s="26">
        <v>2.0000000000000001E-4</v>
      </c>
      <c r="I11" s="26">
        <v>0</v>
      </c>
      <c r="J11" s="26">
        <f t="shared" ref="J11" si="9">J4</f>
        <v>0</v>
      </c>
      <c r="K11" s="26"/>
      <c r="L11" s="26">
        <f t="shared" ref="L11:AB11" si="10">L4</f>
        <v>0</v>
      </c>
      <c r="M11" s="26" t="e">
        <f t="shared" si="10"/>
        <v>#DIV/0!</v>
      </c>
      <c r="N11" s="26" t="e">
        <f t="shared" si="10"/>
        <v>#DIV/0!</v>
      </c>
      <c r="O11" s="26" t="e">
        <f t="shared" si="10"/>
        <v>#DIV/0!</v>
      </c>
      <c r="P11" s="26"/>
      <c r="Q11" s="26">
        <f t="shared" si="10"/>
        <v>0</v>
      </c>
      <c r="R11" s="26">
        <f t="shared" si="10"/>
        <v>0</v>
      </c>
      <c r="S11" s="26">
        <f t="shared" si="10"/>
        <v>0</v>
      </c>
      <c r="T11" s="26" t="e">
        <f t="shared" si="10"/>
        <v>#VALUE!</v>
      </c>
      <c r="U11" s="26" t="e">
        <f t="shared" si="10"/>
        <v>#VALUE!</v>
      </c>
      <c r="V11" s="26" t="e">
        <f t="shared" si="10"/>
        <v>#VALUE!</v>
      </c>
      <c r="W11" s="26" t="e">
        <f t="shared" si="10"/>
        <v>#VALUE!</v>
      </c>
      <c r="X11" s="26" t="e">
        <f t="shared" si="10"/>
        <v>#VALUE!</v>
      </c>
      <c r="Y11" s="26" t="e">
        <f t="shared" si="10"/>
        <v>#VALUE!</v>
      </c>
      <c r="Z11" s="26" t="e">
        <f t="shared" si="10"/>
        <v>#VALUE!</v>
      </c>
      <c r="AA11" s="26" t="e">
        <f t="shared" si="10"/>
        <v>#VALUE!</v>
      </c>
      <c r="AB11" s="26" t="e">
        <f t="shared" si="10"/>
        <v>#VALUE!</v>
      </c>
    </row>
    <row r="12" spans="1:28" ht="25.5" customHeight="1" thickBot="1">
      <c r="A12" s="31" t="s">
        <v>31</v>
      </c>
      <c r="B12" s="35"/>
      <c r="C12" s="35"/>
      <c r="D12" s="35">
        <f>D75</f>
        <v>26</v>
      </c>
      <c r="E12" s="35">
        <v>32</v>
      </c>
      <c r="F12" s="35">
        <v>9</v>
      </c>
      <c r="G12" s="35">
        <v>2</v>
      </c>
      <c r="H12" s="35">
        <v>1</v>
      </c>
      <c r="I12" s="35">
        <v>0</v>
      </c>
      <c r="J12" s="110">
        <f>J91</f>
        <v>0</v>
      </c>
      <c r="K12" s="35"/>
      <c r="L12" s="35">
        <f t="shared" ref="L12:AB12" si="11">L75</f>
        <v>0</v>
      </c>
      <c r="M12" s="35">
        <f t="shared" si="11"/>
        <v>0</v>
      </c>
      <c r="N12" s="35">
        <f t="shared" si="11"/>
        <v>0</v>
      </c>
      <c r="O12" s="35">
        <f t="shared" si="11"/>
        <v>0</v>
      </c>
      <c r="P12" s="35"/>
      <c r="Q12" s="35">
        <f t="shared" si="11"/>
        <v>0</v>
      </c>
      <c r="R12" s="35">
        <f t="shared" si="11"/>
        <v>0</v>
      </c>
      <c r="S12" s="35">
        <f t="shared" si="11"/>
        <v>0</v>
      </c>
      <c r="T12" s="35">
        <f t="shared" si="11"/>
        <v>0</v>
      </c>
      <c r="U12" s="35">
        <f t="shared" si="11"/>
        <v>0</v>
      </c>
      <c r="V12" s="35">
        <f t="shared" si="11"/>
        <v>0</v>
      </c>
      <c r="W12" s="35">
        <f t="shared" si="11"/>
        <v>0</v>
      </c>
      <c r="X12" s="35">
        <f t="shared" si="11"/>
        <v>0</v>
      </c>
      <c r="Y12" s="35">
        <f t="shared" si="11"/>
        <v>0</v>
      </c>
      <c r="Z12" s="35">
        <f t="shared" si="11"/>
        <v>0</v>
      </c>
      <c r="AA12" s="35">
        <f t="shared" si="11"/>
        <v>0</v>
      </c>
      <c r="AB12" s="35">
        <f t="shared" si="11"/>
        <v>0</v>
      </c>
    </row>
    <row r="13" spans="1:28" ht="25.5" customHeight="1" thickTop="1" thickBot="1">
      <c r="A13" s="37"/>
      <c r="C13" s="38"/>
      <c r="D13" s="41"/>
      <c r="E13" s="41"/>
      <c r="F13" s="41"/>
      <c r="G13" s="41"/>
      <c r="H13" s="41"/>
      <c r="I13" s="41"/>
      <c r="J13" s="49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111"/>
    </row>
    <row r="14" spans="1:28" s="23" customFormat="1" ht="32.25" thickTop="1">
      <c r="A14" s="19"/>
      <c r="B14" s="20" t="s">
        <v>0</v>
      </c>
      <c r="C14" s="19"/>
      <c r="D14" s="21" t="s">
        <v>2</v>
      </c>
      <c r="E14" s="21" t="s">
        <v>3</v>
      </c>
      <c r="F14" s="21" t="s">
        <v>32</v>
      </c>
      <c r="G14" s="21" t="s">
        <v>33</v>
      </c>
      <c r="H14" s="21" t="s">
        <v>34</v>
      </c>
      <c r="I14" s="21" t="s">
        <v>35</v>
      </c>
      <c r="J14" s="21" t="s">
        <v>36</v>
      </c>
      <c r="K14" s="21"/>
      <c r="L14" s="21" t="s">
        <v>9</v>
      </c>
      <c r="M14" s="21" t="s">
        <v>10</v>
      </c>
      <c r="N14" s="21" t="s">
        <v>11</v>
      </c>
      <c r="O14" s="21" t="s">
        <v>12</v>
      </c>
      <c r="P14" s="21"/>
      <c r="Q14" s="21">
        <v>1</v>
      </c>
      <c r="R14" s="21">
        <v>2</v>
      </c>
      <c r="S14" s="21">
        <v>3</v>
      </c>
      <c r="T14" s="21">
        <v>4</v>
      </c>
      <c r="U14" s="21">
        <v>5</v>
      </c>
      <c r="V14" s="21">
        <v>6</v>
      </c>
      <c r="W14" s="21">
        <v>7</v>
      </c>
      <c r="X14" s="21">
        <v>8</v>
      </c>
      <c r="Y14" s="21">
        <v>9</v>
      </c>
      <c r="Z14" s="21">
        <v>10</v>
      </c>
      <c r="AA14" s="125">
        <v>11</v>
      </c>
      <c r="AB14" s="128">
        <v>12</v>
      </c>
    </row>
    <row r="15" spans="1:28" s="115" customFormat="1" ht="28.5" customHeight="1">
      <c r="A15" s="112" t="s">
        <v>37</v>
      </c>
      <c r="B15" s="113" t="s">
        <v>14</v>
      </c>
      <c r="C15" s="112"/>
      <c r="D15" s="44">
        <v>6.4000000000000003E-3</v>
      </c>
      <c r="E15" s="44">
        <v>6.7999999999999996E-3</v>
      </c>
      <c r="F15" s="114">
        <f>F27</f>
        <v>575</v>
      </c>
      <c r="G15" s="114">
        <f t="shared" ref="G15:I15" si="12">G27</f>
        <v>573</v>
      </c>
      <c r="H15" s="114">
        <f t="shared" si="12"/>
        <v>465</v>
      </c>
      <c r="I15" s="114">
        <f t="shared" si="12"/>
        <v>503.16666666666669</v>
      </c>
      <c r="J15" s="114">
        <f>J27</f>
        <v>455</v>
      </c>
      <c r="K15" s="114"/>
      <c r="L15" s="114">
        <f>L27</f>
        <v>438.33333333333337</v>
      </c>
      <c r="M15" s="114">
        <f t="shared" ref="M15:O15" si="13">M27</f>
        <v>0</v>
      </c>
      <c r="N15" s="114">
        <f t="shared" si="13"/>
        <v>0</v>
      </c>
      <c r="O15" s="114">
        <f t="shared" si="13"/>
        <v>0</v>
      </c>
      <c r="P15" s="44"/>
      <c r="Q15" s="114">
        <f>Q27</f>
        <v>405</v>
      </c>
      <c r="R15" s="114">
        <f t="shared" ref="R15:AB15" si="14">R27</f>
        <v>426</v>
      </c>
      <c r="S15" s="114">
        <f t="shared" si="14"/>
        <v>484</v>
      </c>
      <c r="T15" s="114" t="str">
        <f t="shared" si="14"/>
        <v/>
      </c>
      <c r="U15" s="114" t="str">
        <f t="shared" si="14"/>
        <v/>
      </c>
      <c r="V15" s="114" t="str">
        <f t="shared" si="14"/>
        <v/>
      </c>
      <c r="W15" s="114" t="str">
        <f t="shared" si="14"/>
        <v/>
      </c>
      <c r="X15" s="114" t="str">
        <f t="shared" si="14"/>
        <v/>
      </c>
      <c r="Y15" s="114" t="str">
        <f t="shared" si="14"/>
        <v/>
      </c>
      <c r="Z15" s="114" t="str">
        <f t="shared" si="14"/>
        <v/>
      </c>
      <c r="AA15" s="126" t="str">
        <f t="shared" si="14"/>
        <v/>
      </c>
      <c r="AB15" s="129" t="str">
        <f t="shared" si="14"/>
        <v/>
      </c>
    </row>
    <row r="16" spans="1:28" s="115" customFormat="1" ht="28.5" customHeight="1">
      <c r="A16" s="112" t="s">
        <v>38</v>
      </c>
      <c r="B16" s="113" t="s">
        <v>17</v>
      </c>
      <c r="C16" s="112"/>
      <c r="D16" s="44">
        <v>1.5E-3</v>
      </c>
      <c r="E16" s="44">
        <v>1.6999999999999999E-3</v>
      </c>
      <c r="F16" s="114">
        <f t="shared" ref="F16:I16" si="15">F45</f>
        <v>997</v>
      </c>
      <c r="G16" s="114">
        <f t="shared" si="15"/>
        <v>962</v>
      </c>
      <c r="H16" s="114">
        <f t="shared" si="15"/>
        <v>801</v>
      </c>
      <c r="I16" s="114">
        <f t="shared" si="15"/>
        <v>872</v>
      </c>
      <c r="J16" s="114">
        <f>J45</f>
        <v>824.5</v>
      </c>
      <c r="K16" s="114"/>
      <c r="L16" s="114">
        <f>L45</f>
        <v>812.33333333333326</v>
      </c>
      <c r="M16" s="114">
        <f t="shared" ref="M16:O16" si="16">M45</f>
        <v>0</v>
      </c>
      <c r="N16" s="114">
        <f t="shared" si="16"/>
        <v>0</v>
      </c>
      <c r="O16" s="114">
        <f t="shared" si="16"/>
        <v>0</v>
      </c>
      <c r="P16" s="44"/>
      <c r="Q16" s="114">
        <f>Q45</f>
        <v>788</v>
      </c>
      <c r="R16" s="114">
        <f t="shared" ref="R16:AB16" si="17">R45</f>
        <v>803</v>
      </c>
      <c r="S16" s="114">
        <f t="shared" si="17"/>
        <v>846</v>
      </c>
      <c r="T16" s="114" t="str">
        <f t="shared" si="17"/>
        <v/>
      </c>
      <c r="U16" s="114" t="str">
        <f t="shared" si="17"/>
        <v/>
      </c>
      <c r="V16" s="114" t="str">
        <f t="shared" si="17"/>
        <v/>
      </c>
      <c r="W16" s="114" t="str">
        <f t="shared" si="17"/>
        <v/>
      </c>
      <c r="X16" s="114" t="str">
        <f t="shared" si="17"/>
        <v/>
      </c>
      <c r="Y16" s="114" t="str">
        <f t="shared" si="17"/>
        <v/>
      </c>
      <c r="Z16" s="114" t="str">
        <f t="shared" si="17"/>
        <v/>
      </c>
      <c r="AA16" s="126" t="str">
        <f t="shared" si="17"/>
        <v/>
      </c>
      <c r="AB16" s="129" t="str">
        <f t="shared" si="17"/>
        <v/>
      </c>
    </row>
    <row r="17" spans="1:28" s="115" customFormat="1" ht="28.5" customHeight="1" thickBot="1">
      <c r="A17" s="116" t="s">
        <v>39</v>
      </c>
      <c r="B17" s="117" t="s">
        <v>20</v>
      </c>
      <c r="C17" s="116"/>
      <c r="D17" s="110">
        <v>4.4000000000000003E-3</v>
      </c>
      <c r="E17" s="110">
        <v>5.4000000000000003E-3</v>
      </c>
      <c r="F17" s="118">
        <f t="shared" ref="F17:I17" si="18">F65</f>
        <v>623</v>
      </c>
      <c r="G17" s="118">
        <f t="shared" si="18"/>
        <v>595</v>
      </c>
      <c r="H17" s="118">
        <f t="shared" si="18"/>
        <v>437</v>
      </c>
      <c r="I17" s="118">
        <f t="shared" si="18"/>
        <v>614</v>
      </c>
      <c r="J17" s="118">
        <f>J65</f>
        <v>393</v>
      </c>
      <c r="K17" s="118"/>
      <c r="L17" s="118">
        <f>L65</f>
        <v>440.33333333333337</v>
      </c>
      <c r="M17" s="118">
        <f t="shared" ref="M17:O17" si="19">M65</f>
        <v>0</v>
      </c>
      <c r="N17" s="118">
        <f t="shared" si="19"/>
        <v>0</v>
      </c>
      <c r="O17" s="118">
        <f t="shared" si="19"/>
        <v>0</v>
      </c>
      <c r="P17" s="110"/>
      <c r="Q17" s="118">
        <f>Q83</f>
        <v>334</v>
      </c>
      <c r="R17" s="118">
        <f t="shared" ref="R17:AB17" si="20">R83</f>
        <v>237</v>
      </c>
      <c r="S17" s="118">
        <f t="shared" si="20"/>
        <v>320</v>
      </c>
      <c r="T17" s="118" t="str">
        <f t="shared" si="20"/>
        <v/>
      </c>
      <c r="U17" s="118" t="str">
        <f t="shared" si="20"/>
        <v/>
      </c>
      <c r="V17" s="118" t="str">
        <f t="shared" si="20"/>
        <v/>
      </c>
      <c r="W17" s="118" t="str">
        <f t="shared" si="20"/>
        <v/>
      </c>
      <c r="X17" s="118" t="str">
        <f t="shared" si="20"/>
        <v/>
      </c>
      <c r="Y17" s="118" t="str">
        <f t="shared" si="20"/>
        <v/>
      </c>
      <c r="Z17" s="118" t="str">
        <f t="shared" si="20"/>
        <v/>
      </c>
      <c r="AA17" s="127" t="str">
        <f t="shared" si="20"/>
        <v/>
      </c>
      <c r="AB17" s="130" t="str">
        <f t="shared" si="20"/>
        <v/>
      </c>
    </row>
    <row r="18" spans="1:28" ht="16.5" thickTop="1">
      <c r="A18" s="37"/>
      <c r="C18" s="38"/>
      <c r="D18" s="39"/>
      <c r="E18" s="39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1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2"/>
    </row>
    <row r="19" spans="1:28">
      <c r="A19" s="37"/>
      <c r="B19" s="38"/>
      <c r="C19" s="41"/>
      <c r="D19" s="39"/>
      <c r="E19" s="39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1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2"/>
    </row>
    <row r="20" spans="1:28">
      <c r="A20" s="37"/>
      <c r="B20" s="38"/>
      <c r="C20" s="41"/>
      <c r="D20" s="39"/>
      <c r="E20" s="39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1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2"/>
    </row>
    <row r="21" spans="1:28" s="23" customFormat="1" ht="37.5" customHeight="1">
      <c r="A21" s="47"/>
      <c r="B21" s="47" t="s">
        <v>40</v>
      </c>
      <c r="C21" s="47"/>
      <c r="D21" s="47" t="s">
        <v>41</v>
      </c>
      <c r="E21" s="47" t="s">
        <v>42</v>
      </c>
      <c r="F21" s="47" t="s">
        <v>43</v>
      </c>
      <c r="G21" s="47" t="s">
        <v>44</v>
      </c>
      <c r="H21" s="47" t="s">
        <v>45</v>
      </c>
      <c r="I21" s="47" t="s">
        <v>46</v>
      </c>
      <c r="J21" s="123" t="s">
        <v>47</v>
      </c>
      <c r="K21" s="47"/>
      <c r="L21" s="47" t="s">
        <v>9</v>
      </c>
      <c r="M21" s="47" t="s">
        <v>10</v>
      </c>
      <c r="N21" s="47" t="s">
        <v>11</v>
      </c>
      <c r="O21" s="47" t="s">
        <v>12</v>
      </c>
      <c r="P21" s="47"/>
      <c r="Q21" s="47">
        <v>1</v>
      </c>
      <c r="R21" s="47">
        <v>2</v>
      </c>
      <c r="S21" s="47">
        <v>3</v>
      </c>
      <c r="T21" s="47">
        <v>4</v>
      </c>
      <c r="U21" s="47">
        <v>5</v>
      </c>
      <c r="V21" s="47">
        <v>6</v>
      </c>
      <c r="W21" s="47">
        <v>7</v>
      </c>
      <c r="X21" s="47">
        <v>8</v>
      </c>
      <c r="Y21" s="47">
        <v>9</v>
      </c>
      <c r="Z21" s="47">
        <v>10</v>
      </c>
      <c r="AA21" s="47">
        <v>11</v>
      </c>
      <c r="AB21" s="47">
        <v>12</v>
      </c>
    </row>
    <row r="22" spans="1:28">
      <c r="A22" s="17" t="s">
        <v>48</v>
      </c>
      <c r="B22" s="28"/>
      <c r="C22" s="28"/>
      <c r="D22" s="28">
        <v>104</v>
      </c>
      <c r="E22" s="28">
        <v>106</v>
      </c>
      <c r="F22" s="44">
        <v>119</v>
      </c>
      <c r="G22" s="44">
        <v>117</v>
      </c>
      <c r="H22" s="44">
        <v>97</v>
      </c>
      <c r="I22" s="44">
        <v>100.33333333333333</v>
      </c>
      <c r="J22" s="44">
        <f t="shared" ref="J22:J27" si="21">IF(AVERAGE(R22:AC22)=0,"",AVERAGE(R22:AC22))</f>
        <v>73</v>
      </c>
      <c r="K22" s="44"/>
      <c r="L22" s="44">
        <f>IFERROR(AVERAGE(Q22:S22),)</f>
        <v>76.333333333333329</v>
      </c>
      <c r="M22" s="44">
        <f>IFERROR(AVERAGE(T22:V22),)</f>
        <v>0</v>
      </c>
      <c r="N22" s="44">
        <f>IFERROR(AVERAGE(W22:Y22),)</f>
        <v>0</v>
      </c>
      <c r="O22" s="44">
        <f>IFERROR(AVERAGE(Z22:AB22),)</f>
        <v>0</v>
      </c>
      <c r="P22" s="28"/>
      <c r="Q22" s="15">
        <v>83</v>
      </c>
      <c r="R22" s="15">
        <v>67</v>
      </c>
      <c r="S22" s="28">
        <v>79</v>
      </c>
      <c r="T22" s="28"/>
      <c r="U22" s="28"/>
      <c r="V22" s="28"/>
      <c r="W22" s="28"/>
      <c r="X22" s="28"/>
      <c r="Y22" s="28"/>
      <c r="Z22" s="28"/>
      <c r="AA22" s="28"/>
      <c r="AB22" s="28"/>
    </row>
    <row r="23" spans="1:28">
      <c r="A23" s="17" t="s">
        <v>49</v>
      </c>
      <c r="B23" s="28"/>
      <c r="C23" s="28"/>
      <c r="D23" s="28">
        <v>112</v>
      </c>
      <c r="E23" s="28">
        <v>101</v>
      </c>
      <c r="F23" s="44">
        <v>119</v>
      </c>
      <c r="G23" s="44">
        <v>118</v>
      </c>
      <c r="H23" s="44">
        <v>103</v>
      </c>
      <c r="I23" s="44">
        <v>106.33333333333333</v>
      </c>
      <c r="J23" s="44">
        <f t="shared" si="21"/>
        <v>107</v>
      </c>
      <c r="K23" s="44"/>
      <c r="L23" s="44">
        <f t="shared" ref="L23:L26" si="22">IFERROR(AVERAGE(Q23:S23),)</f>
        <v>99</v>
      </c>
      <c r="M23" s="44">
        <f t="shared" ref="M23:M26" si="23">IFERROR(AVERAGE(T23:V23),)</f>
        <v>0</v>
      </c>
      <c r="N23" s="44">
        <f t="shared" ref="N23:N26" si="24">IFERROR(AVERAGE(W23:Y23),)</f>
        <v>0</v>
      </c>
      <c r="O23" s="44">
        <f t="shared" ref="O23:O26" si="25">IFERROR(AVERAGE(Z23:AB23),)</f>
        <v>0</v>
      </c>
      <c r="P23" s="28"/>
      <c r="Q23" s="15">
        <v>83</v>
      </c>
      <c r="R23" s="15">
        <v>104</v>
      </c>
      <c r="S23" s="28">
        <v>110</v>
      </c>
      <c r="T23" s="28"/>
      <c r="U23" s="28"/>
      <c r="V23" s="28"/>
      <c r="W23" s="28"/>
      <c r="X23" s="28"/>
      <c r="Y23" s="28"/>
      <c r="Z23" s="28"/>
      <c r="AA23" s="28"/>
      <c r="AB23" s="28"/>
    </row>
    <row r="24" spans="1:28">
      <c r="A24" s="17" t="s">
        <v>50</v>
      </c>
      <c r="B24" s="28"/>
      <c r="C24" s="28"/>
      <c r="D24" s="28">
        <v>118</v>
      </c>
      <c r="E24" s="28">
        <v>111</v>
      </c>
      <c r="F24" s="44">
        <v>127</v>
      </c>
      <c r="G24" s="44">
        <v>127</v>
      </c>
      <c r="H24" s="44">
        <v>113</v>
      </c>
      <c r="I24" s="44">
        <v>113.58333333333333</v>
      </c>
      <c r="J24" s="44">
        <f t="shared" si="21"/>
        <v>109</v>
      </c>
      <c r="K24" s="44"/>
      <c r="L24" s="44">
        <f t="shared" si="22"/>
        <v>101.66666666666667</v>
      </c>
      <c r="M24" s="44">
        <f t="shared" si="23"/>
        <v>0</v>
      </c>
      <c r="N24" s="44">
        <f t="shared" si="24"/>
        <v>0</v>
      </c>
      <c r="O24" s="44">
        <f t="shared" si="25"/>
        <v>0</v>
      </c>
      <c r="P24" s="28"/>
      <c r="Q24" s="15">
        <v>87</v>
      </c>
      <c r="R24" s="15">
        <v>102</v>
      </c>
      <c r="S24" s="28">
        <v>116</v>
      </c>
      <c r="T24" s="28"/>
      <c r="U24" s="28"/>
      <c r="V24" s="28"/>
      <c r="W24" s="28"/>
      <c r="X24" s="28"/>
      <c r="Y24" s="28"/>
      <c r="Z24" s="28"/>
      <c r="AA24" s="28"/>
      <c r="AB24" s="28"/>
    </row>
    <row r="25" spans="1:28">
      <c r="A25" s="17" t="s">
        <v>51</v>
      </c>
      <c r="B25" s="28"/>
      <c r="C25" s="28"/>
      <c r="D25" s="28">
        <v>120</v>
      </c>
      <c r="E25" s="28">
        <v>107</v>
      </c>
      <c r="F25" s="44">
        <v>122</v>
      </c>
      <c r="G25" s="44">
        <v>119</v>
      </c>
      <c r="H25" s="44">
        <v>104</v>
      </c>
      <c r="I25" s="44">
        <v>111</v>
      </c>
      <c r="J25" s="44">
        <f t="shared" si="21"/>
        <v>106</v>
      </c>
      <c r="K25" s="44"/>
      <c r="L25" s="44">
        <f t="shared" si="22"/>
        <v>99.666666666666671</v>
      </c>
      <c r="M25" s="44">
        <f t="shared" si="23"/>
        <v>0</v>
      </c>
      <c r="N25" s="44">
        <f t="shared" si="24"/>
        <v>0</v>
      </c>
      <c r="O25" s="44">
        <f t="shared" si="25"/>
        <v>0</v>
      </c>
      <c r="P25" s="28"/>
      <c r="Q25" s="15">
        <v>87</v>
      </c>
      <c r="R25" s="15">
        <v>100</v>
      </c>
      <c r="S25" s="28">
        <v>112</v>
      </c>
      <c r="T25" s="28"/>
      <c r="U25" s="28"/>
      <c r="V25" s="28"/>
      <c r="W25" s="28"/>
      <c r="X25" s="28"/>
      <c r="Y25" s="28"/>
      <c r="Z25" s="28"/>
      <c r="AA25" s="28"/>
      <c r="AB25" s="28"/>
    </row>
    <row r="26" spans="1:28">
      <c r="A26" s="17" t="s">
        <v>52</v>
      </c>
      <c r="B26" s="28"/>
      <c r="C26" s="28"/>
      <c r="D26" s="28">
        <v>84</v>
      </c>
      <c r="E26" s="28">
        <v>78</v>
      </c>
      <c r="F26" s="44">
        <v>87</v>
      </c>
      <c r="G26" s="44">
        <v>93</v>
      </c>
      <c r="H26" s="44">
        <v>49</v>
      </c>
      <c r="I26" s="44">
        <v>71.916666666666671</v>
      </c>
      <c r="J26" s="44">
        <f t="shared" si="21"/>
        <v>60</v>
      </c>
      <c r="K26" s="44"/>
      <c r="L26" s="44">
        <f t="shared" si="22"/>
        <v>61.666666666666664</v>
      </c>
      <c r="M26" s="44">
        <f t="shared" si="23"/>
        <v>0</v>
      </c>
      <c r="N26" s="44">
        <f t="shared" si="24"/>
        <v>0</v>
      </c>
      <c r="O26" s="44">
        <f t="shared" si="25"/>
        <v>0</v>
      </c>
      <c r="P26" s="28"/>
      <c r="Q26" s="15">
        <v>65</v>
      </c>
      <c r="R26" s="15">
        <v>53</v>
      </c>
      <c r="S26" s="28">
        <v>67</v>
      </c>
      <c r="T26" s="28"/>
      <c r="U26" s="28"/>
      <c r="V26" s="28"/>
      <c r="W26" s="28"/>
      <c r="X26" s="28"/>
      <c r="Y26" s="28"/>
      <c r="Z26" s="28"/>
      <c r="AA26" s="28"/>
      <c r="AB26" s="28"/>
    </row>
    <row r="27" spans="1:28">
      <c r="A27" s="17" t="s">
        <v>53</v>
      </c>
      <c r="B27" s="17"/>
      <c r="C27" s="17"/>
      <c r="D27" s="17">
        <v>530</v>
      </c>
      <c r="E27" s="17">
        <v>501</v>
      </c>
      <c r="F27" s="45">
        <v>575</v>
      </c>
      <c r="G27" s="45">
        <v>573</v>
      </c>
      <c r="H27" s="45">
        <v>465</v>
      </c>
      <c r="I27" s="45">
        <v>503.16666666666669</v>
      </c>
      <c r="J27" s="45">
        <f t="shared" si="21"/>
        <v>455</v>
      </c>
      <c r="K27" s="45"/>
      <c r="L27" s="45">
        <f>SUM(L22:L26)</f>
        <v>438.33333333333337</v>
      </c>
      <c r="M27" s="45">
        <f t="shared" ref="M27" si="26">SUM(M22:M26)</f>
        <v>0</v>
      </c>
      <c r="N27" s="45">
        <f t="shared" ref="N27" si="27">SUM(N22:N26)</f>
        <v>0</v>
      </c>
      <c r="O27" s="45">
        <f t="shared" ref="O27" si="28">SUM(O22:O26)</f>
        <v>0</v>
      </c>
      <c r="P27" s="17"/>
      <c r="Q27" s="17">
        <f>IF(SUM(Q22:Q26)=0,"",SUM(Q22:Q26))</f>
        <v>405</v>
      </c>
      <c r="R27" s="17">
        <f>IF(SUM(R22:R26)=0,"",SUM(R22:R26))</f>
        <v>426</v>
      </c>
      <c r="S27" s="17">
        <f t="shared" ref="S27:AB27" si="29">IF(SUM(S22:S26)=0,"",SUM(S22:S26))</f>
        <v>484</v>
      </c>
      <c r="T27" s="17" t="str">
        <f t="shared" si="29"/>
        <v/>
      </c>
      <c r="U27" s="17" t="str">
        <f t="shared" si="29"/>
        <v/>
      </c>
      <c r="V27" s="17" t="str">
        <f t="shared" si="29"/>
        <v/>
      </c>
      <c r="W27" s="17" t="str">
        <f t="shared" si="29"/>
        <v/>
      </c>
      <c r="X27" s="17" t="str">
        <f>IF(SUM(X22:X26)=0,"",SUM(X22:X26))</f>
        <v/>
      </c>
      <c r="Y27" s="17" t="str">
        <f>IF(SUM(Y22:Y26)=0,"",SUM(Y22:Y26))</f>
        <v/>
      </c>
      <c r="Z27" s="17" t="str">
        <f t="shared" si="29"/>
        <v/>
      </c>
      <c r="AA27" s="17" t="str">
        <f t="shared" si="29"/>
        <v/>
      </c>
      <c r="AB27" s="17" t="str">
        <f t="shared" si="29"/>
        <v/>
      </c>
    </row>
    <row r="28" spans="1:28">
      <c r="A28" s="37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111"/>
    </row>
    <row r="29" spans="1:28" s="23" customFormat="1" ht="36.75" customHeight="1">
      <c r="A29" s="47"/>
      <c r="B29" s="47" t="s">
        <v>54</v>
      </c>
      <c r="C29" s="47"/>
      <c r="D29" s="47" t="s">
        <v>55</v>
      </c>
      <c r="E29" s="47" t="s">
        <v>56</v>
      </c>
      <c r="F29" s="47" t="s">
        <v>57</v>
      </c>
      <c r="G29" s="47" t="s">
        <v>58</v>
      </c>
      <c r="H29" s="47" t="s">
        <v>59</v>
      </c>
      <c r="I29" s="47" t="s">
        <v>60</v>
      </c>
      <c r="J29" s="47" t="s">
        <v>61</v>
      </c>
      <c r="K29" s="47"/>
      <c r="L29" s="47" t="s">
        <v>9</v>
      </c>
      <c r="M29" s="47" t="s">
        <v>10</v>
      </c>
      <c r="N29" s="47" t="s">
        <v>11</v>
      </c>
      <c r="O29" s="47" t="s">
        <v>12</v>
      </c>
      <c r="P29" s="47"/>
      <c r="Q29" s="47">
        <v>1</v>
      </c>
      <c r="R29" s="47">
        <v>2</v>
      </c>
      <c r="S29" s="47">
        <v>3</v>
      </c>
      <c r="T29" s="47">
        <v>4</v>
      </c>
      <c r="U29" s="47">
        <v>5</v>
      </c>
      <c r="V29" s="47">
        <v>6</v>
      </c>
      <c r="W29" s="47">
        <v>7</v>
      </c>
      <c r="X29" s="47">
        <v>8</v>
      </c>
      <c r="Y29" s="47">
        <v>9</v>
      </c>
      <c r="Z29" s="47">
        <v>10</v>
      </c>
      <c r="AA29" s="47">
        <v>11</v>
      </c>
      <c r="AB29" s="47">
        <v>12</v>
      </c>
    </row>
    <row r="30" spans="1:28">
      <c r="A30" s="17" t="s">
        <v>62</v>
      </c>
      <c r="B30" s="28"/>
      <c r="C30" s="28"/>
      <c r="D30" s="28">
        <v>20</v>
      </c>
      <c r="E30" s="28">
        <v>19</v>
      </c>
      <c r="F30" s="28">
        <v>4</v>
      </c>
      <c r="G30" s="28">
        <v>4</v>
      </c>
      <c r="H30" s="28">
        <v>2</v>
      </c>
      <c r="I30" s="28">
        <v>8</v>
      </c>
      <c r="J30" s="28">
        <f>SUM(R30:AC30)</f>
        <v>2</v>
      </c>
      <c r="K30" s="28"/>
      <c r="L30" s="44">
        <f>IFERROR(AVERAGE(Q30:S30),)</f>
        <v>1.3333333333333333</v>
      </c>
      <c r="M30" s="44">
        <f>IFERROR(AVERAGE(T30:V30),)</f>
        <v>0</v>
      </c>
      <c r="N30" s="44">
        <f>IFERROR(AVERAGE(W30:Y30),)</f>
        <v>0</v>
      </c>
      <c r="O30" s="44">
        <f>IFERROR(AVERAGE(Z30:AB30),)</f>
        <v>0</v>
      </c>
      <c r="P30" s="28"/>
      <c r="Q30" s="15">
        <v>2</v>
      </c>
      <c r="R30" s="15">
        <v>1</v>
      </c>
      <c r="S30" s="15">
        <v>1</v>
      </c>
      <c r="T30" s="15"/>
      <c r="U30" s="15"/>
      <c r="V30" s="15"/>
      <c r="W30" s="15"/>
      <c r="X30" s="15"/>
      <c r="Y30" s="15"/>
      <c r="Z30" s="15"/>
      <c r="AA30" s="15"/>
      <c r="AB30" s="15"/>
    </row>
    <row r="31" spans="1:28">
      <c r="A31" s="17" t="s">
        <v>49</v>
      </c>
      <c r="B31" s="28"/>
      <c r="C31" s="28"/>
      <c r="D31" s="28">
        <v>6</v>
      </c>
      <c r="E31" s="28">
        <v>8</v>
      </c>
      <c r="F31" s="28">
        <v>2</v>
      </c>
      <c r="G31" s="28">
        <v>0</v>
      </c>
      <c r="H31" s="44">
        <v>2</v>
      </c>
      <c r="I31" s="44">
        <v>2</v>
      </c>
      <c r="J31" s="44">
        <f>SUM(M31:P31)</f>
        <v>0</v>
      </c>
      <c r="K31" s="28"/>
      <c r="L31" s="44">
        <f t="shared" ref="L31:L34" si="30">IFERROR(AVERAGE(Q31:S31),)</f>
        <v>0.33333333333333331</v>
      </c>
      <c r="M31" s="44">
        <f t="shared" ref="M31:M34" si="31">IFERROR(AVERAGE(T31:V31),)</f>
        <v>0</v>
      </c>
      <c r="N31" s="44">
        <f t="shared" ref="N31:N34" si="32">IFERROR(AVERAGE(W31:Y31),)</f>
        <v>0</v>
      </c>
      <c r="O31" s="44">
        <f t="shared" ref="O31:O34" si="33">IFERROR(AVERAGE(Z31:AB31),)</f>
        <v>0</v>
      </c>
      <c r="P31" s="28"/>
      <c r="Q31" s="15">
        <v>1</v>
      </c>
      <c r="R31" s="15">
        <v>0</v>
      </c>
      <c r="S31" s="15">
        <v>0</v>
      </c>
      <c r="T31" s="15"/>
      <c r="U31" s="15"/>
      <c r="V31" s="15"/>
      <c r="W31" s="15"/>
      <c r="X31" s="15"/>
      <c r="Y31" s="15"/>
      <c r="Z31" s="15"/>
      <c r="AA31" s="15"/>
      <c r="AB31" s="15"/>
    </row>
    <row r="32" spans="1:28">
      <c r="A32" s="17" t="s">
        <v>50</v>
      </c>
      <c r="B32" s="28"/>
      <c r="C32" s="28"/>
      <c r="D32" s="28">
        <v>5</v>
      </c>
      <c r="E32" s="28">
        <v>4</v>
      </c>
      <c r="F32" s="28">
        <v>3</v>
      </c>
      <c r="G32" s="28">
        <v>0</v>
      </c>
      <c r="H32" s="44">
        <v>0</v>
      </c>
      <c r="I32" s="44">
        <v>0</v>
      </c>
      <c r="J32" s="44">
        <f>SUM(M32:P32)</f>
        <v>0</v>
      </c>
      <c r="K32" s="28"/>
      <c r="L32" s="44">
        <f t="shared" si="30"/>
        <v>0.66666666666666663</v>
      </c>
      <c r="M32" s="44">
        <f t="shared" si="31"/>
        <v>0</v>
      </c>
      <c r="N32" s="44">
        <f t="shared" si="32"/>
        <v>0</v>
      </c>
      <c r="O32" s="44">
        <f t="shared" si="33"/>
        <v>0</v>
      </c>
      <c r="P32" s="28"/>
      <c r="Q32" s="15">
        <v>2</v>
      </c>
      <c r="R32" s="15">
        <v>0</v>
      </c>
      <c r="S32" s="15">
        <v>0</v>
      </c>
      <c r="T32" s="15"/>
      <c r="U32" s="15"/>
      <c r="V32" s="15"/>
      <c r="W32" s="15"/>
      <c r="X32" s="15"/>
      <c r="Y32" s="15"/>
      <c r="Z32" s="15"/>
      <c r="AA32" s="15"/>
      <c r="AB32" s="15"/>
    </row>
    <row r="33" spans="1:28">
      <c r="A33" s="17" t="s">
        <v>51</v>
      </c>
      <c r="B33" s="28"/>
      <c r="C33" s="28"/>
      <c r="D33" s="28">
        <v>5</v>
      </c>
      <c r="E33" s="28">
        <v>5</v>
      </c>
      <c r="F33" s="28">
        <v>3</v>
      </c>
      <c r="G33" s="28">
        <v>2</v>
      </c>
      <c r="H33" s="28">
        <v>4</v>
      </c>
      <c r="I33" s="44">
        <v>2</v>
      </c>
      <c r="J33" s="44">
        <f>SUM(M33:P33)</f>
        <v>0</v>
      </c>
      <c r="K33" s="28"/>
      <c r="L33" s="44">
        <f t="shared" si="30"/>
        <v>0.33333333333333331</v>
      </c>
      <c r="M33" s="44">
        <f t="shared" si="31"/>
        <v>0</v>
      </c>
      <c r="N33" s="44">
        <f t="shared" si="32"/>
        <v>0</v>
      </c>
      <c r="O33" s="44">
        <f t="shared" si="33"/>
        <v>0</v>
      </c>
      <c r="P33" s="28"/>
      <c r="Q33" s="15">
        <v>1</v>
      </c>
      <c r="R33" s="15">
        <v>0</v>
      </c>
      <c r="S33" s="15">
        <v>0</v>
      </c>
      <c r="T33" s="15"/>
      <c r="U33" s="15"/>
      <c r="V33" s="15"/>
      <c r="W33" s="15"/>
      <c r="X33" s="15"/>
      <c r="Y33" s="15"/>
      <c r="Z33" s="15"/>
      <c r="AA33" s="15"/>
      <c r="AB33" s="15"/>
    </row>
    <row r="34" spans="1:28">
      <c r="A34" s="17" t="s">
        <v>52</v>
      </c>
      <c r="B34" s="28"/>
      <c r="C34" s="28"/>
      <c r="D34" s="28">
        <v>5</v>
      </c>
      <c r="E34" s="28">
        <v>5</v>
      </c>
      <c r="F34" s="28">
        <v>3</v>
      </c>
      <c r="G34" s="28">
        <v>1</v>
      </c>
      <c r="H34" s="28">
        <v>4</v>
      </c>
      <c r="I34" s="44">
        <v>2</v>
      </c>
      <c r="J34" s="44">
        <f>SUM(M34:P34)</f>
        <v>0</v>
      </c>
      <c r="K34" s="28"/>
      <c r="L34" s="44">
        <f t="shared" si="30"/>
        <v>0.33333333333333331</v>
      </c>
      <c r="M34" s="44">
        <f t="shared" si="31"/>
        <v>0</v>
      </c>
      <c r="N34" s="44">
        <f t="shared" si="32"/>
        <v>0</v>
      </c>
      <c r="O34" s="44">
        <f t="shared" si="33"/>
        <v>0</v>
      </c>
      <c r="P34" s="28"/>
      <c r="Q34" s="15">
        <v>1</v>
      </c>
      <c r="R34" s="15">
        <v>0</v>
      </c>
      <c r="S34" s="15">
        <v>0</v>
      </c>
      <c r="T34" s="15"/>
      <c r="U34" s="15"/>
      <c r="V34" s="15"/>
      <c r="W34" s="15"/>
      <c r="X34" s="15"/>
      <c r="Y34" s="15"/>
      <c r="Z34" s="15"/>
      <c r="AA34" s="15"/>
      <c r="AB34" s="15"/>
    </row>
    <row r="35" spans="1:28">
      <c r="A35" s="17" t="s">
        <v>63</v>
      </c>
      <c r="B35" s="17"/>
      <c r="C35" s="17"/>
      <c r="D35" s="17">
        <v>41</v>
      </c>
      <c r="E35" s="17">
        <v>41</v>
      </c>
      <c r="F35" s="17">
        <v>15</v>
      </c>
      <c r="G35" s="17">
        <v>7</v>
      </c>
      <c r="H35" s="17">
        <v>12</v>
      </c>
      <c r="I35" s="17">
        <v>14</v>
      </c>
      <c r="J35" s="17">
        <f>SUM(J30:J34)</f>
        <v>2</v>
      </c>
      <c r="K35" s="17"/>
      <c r="L35" s="45">
        <f>SUM(L30:L34)</f>
        <v>3</v>
      </c>
      <c r="M35" s="45">
        <f t="shared" ref="M35:O35" si="34">SUM(M30:M34)</f>
        <v>0</v>
      </c>
      <c r="N35" s="45">
        <f t="shared" si="34"/>
        <v>0</v>
      </c>
      <c r="O35" s="45">
        <f t="shared" si="34"/>
        <v>0</v>
      </c>
      <c r="P35" s="17"/>
      <c r="Q35" s="17">
        <f>SUM(Q30:Q34)</f>
        <v>7</v>
      </c>
      <c r="R35" s="17">
        <f>SUM(R30:R34)</f>
        <v>1</v>
      </c>
      <c r="S35" s="17">
        <f>SUM(S30:S34)</f>
        <v>1</v>
      </c>
      <c r="T35" s="17">
        <f>SUM(T30:T34)</f>
        <v>0</v>
      </c>
      <c r="U35" s="17">
        <f t="shared" ref="U35:AB35" si="35">SUM(U30:U34)</f>
        <v>0</v>
      </c>
      <c r="V35" s="17">
        <f t="shared" si="35"/>
        <v>0</v>
      </c>
      <c r="W35" s="17">
        <f t="shared" si="35"/>
        <v>0</v>
      </c>
      <c r="X35" s="17">
        <f>SUM(Y30:Y34)</f>
        <v>0</v>
      </c>
      <c r="Y35" s="17">
        <f>SUM(Y30:Y34)</f>
        <v>0</v>
      </c>
      <c r="Z35" s="17">
        <f t="shared" si="35"/>
        <v>0</v>
      </c>
      <c r="AA35" s="17">
        <f t="shared" si="35"/>
        <v>0</v>
      </c>
      <c r="AB35" s="17">
        <f t="shared" si="35"/>
        <v>0</v>
      </c>
    </row>
    <row r="36" spans="1:28">
      <c r="A36" s="37"/>
      <c r="B36" s="38"/>
      <c r="C36" s="41"/>
      <c r="D36" s="41"/>
      <c r="E36" s="41"/>
      <c r="F36" s="41"/>
      <c r="G36" s="41"/>
      <c r="H36" s="41"/>
      <c r="I36" s="41"/>
      <c r="J36" s="41"/>
      <c r="K36" s="41"/>
      <c r="L36" s="49"/>
      <c r="M36" s="49"/>
      <c r="N36" s="49"/>
      <c r="O36" s="49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111"/>
    </row>
    <row r="37" spans="1:28" s="23" customFormat="1" ht="37.5" customHeight="1">
      <c r="A37" s="51"/>
      <c r="B37" s="51"/>
      <c r="C37" s="51"/>
      <c r="D37" s="51" t="s">
        <v>41</v>
      </c>
      <c r="E37" s="51" t="s">
        <v>42</v>
      </c>
      <c r="F37" s="51" t="s">
        <v>43</v>
      </c>
      <c r="G37" s="51" t="s">
        <v>44</v>
      </c>
      <c r="H37" s="51" t="s">
        <v>45</v>
      </c>
      <c r="I37" s="51" t="s">
        <v>46</v>
      </c>
      <c r="J37" s="124" t="s">
        <v>47</v>
      </c>
      <c r="K37" s="51"/>
      <c r="L37" s="51" t="s">
        <v>9</v>
      </c>
      <c r="M37" s="51" t="s">
        <v>10</v>
      </c>
      <c r="N37" s="51" t="s">
        <v>11</v>
      </c>
      <c r="O37" s="51" t="s">
        <v>12</v>
      </c>
      <c r="P37" s="51"/>
      <c r="Q37" s="51">
        <v>1</v>
      </c>
      <c r="R37" s="51">
        <v>2</v>
      </c>
      <c r="S37" s="51">
        <v>3</v>
      </c>
      <c r="T37" s="51">
        <v>4</v>
      </c>
      <c r="U37" s="51">
        <v>5</v>
      </c>
      <c r="V37" s="51">
        <v>6</v>
      </c>
      <c r="W37" s="51">
        <v>7</v>
      </c>
      <c r="X37" s="51">
        <v>8</v>
      </c>
      <c r="Y37" s="51">
        <v>9</v>
      </c>
      <c r="Z37" s="51">
        <v>10</v>
      </c>
      <c r="AA37" s="51">
        <v>11</v>
      </c>
      <c r="AB37" s="51">
        <v>12</v>
      </c>
    </row>
    <row r="38" spans="1:28">
      <c r="A38" s="18" t="s">
        <v>64</v>
      </c>
      <c r="B38" s="28"/>
      <c r="C38" s="28"/>
      <c r="D38" s="28">
        <v>134</v>
      </c>
      <c r="E38" s="28">
        <v>116</v>
      </c>
      <c r="F38" s="44">
        <v>141</v>
      </c>
      <c r="G38" s="44">
        <v>133</v>
      </c>
      <c r="H38" s="44">
        <v>118</v>
      </c>
      <c r="I38" s="44">
        <v>121.83333333333333</v>
      </c>
      <c r="J38" s="44">
        <f t="shared" ref="J38:J45" si="36">IF(AVERAGE(R38:AC38)=0,"",AVERAGE(R38:AC38))</f>
        <v>127</v>
      </c>
      <c r="K38" s="44"/>
      <c r="L38" s="44">
        <f>IFERROR(AVERAGE(Q38:S38),)</f>
        <v>122</v>
      </c>
      <c r="M38" s="44">
        <f>IFERROR(AVERAGE(T38:V38),)</f>
        <v>0</v>
      </c>
      <c r="N38" s="44">
        <f>IFERROR(AVERAGE(W38:Y38),)</f>
        <v>0</v>
      </c>
      <c r="O38" s="44">
        <f>IFERROR(AVERAGE(Z38:AB38),)</f>
        <v>0</v>
      </c>
      <c r="P38" s="28"/>
      <c r="Q38" s="15">
        <v>112</v>
      </c>
      <c r="R38" s="15">
        <v>126</v>
      </c>
      <c r="S38" s="28">
        <v>128</v>
      </c>
      <c r="T38" s="28"/>
      <c r="U38" s="28"/>
      <c r="V38" s="28"/>
      <c r="W38" s="28"/>
      <c r="X38" s="28"/>
      <c r="Y38" s="28"/>
      <c r="Z38" s="28"/>
      <c r="AA38" s="28"/>
      <c r="AB38" s="28"/>
    </row>
    <row r="39" spans="1:28">
      <c r="A39" s="18" t="s">
        <v>65</v>
      </c>
      <c r="B39" s="28"/>
      <c r="C39" s="28"/>
      <c r="D39" s="28">
        <v>133</v>
      </c>
      <c r="E39" s="28">
        <v>128</v>
      </c>
      <c r="F39" s="44">
        <v>142</v>
      </c>
      <c r="G39" s="44">
        <v>134</v>
      </c>
      <c r="H39" s="44">
        <v>117</v>
      </c>
      <c r="I39" s="44">
        <v>125.91666666666667</v>
      </c>
      <c r="J39" s="44">
        <f t="shared" si="36"/>
        <v>124.5</v>
      </c>
      <c r="K39" s="44"/>
      <c r="L39" s="44">
        <f t="shared" ref="L39:L44" si="37">IFERROR(AVERAGE(Q39:S39),)</f>
        <v>123.33333333333333</v>
      </c>
      <c r="M39" s="44">
        <f t="shared" ref="M39:M44" si="38">IFERROR(AVERAGE(T39:V39),)</f>
        <v>0</v>
      </c>
      <c r="N39" s="44">
        <f t="shared" ref="N39:N44" si="39">IFERROR(AVERAGE(W39:Y39),)</f>
        <v>0</v>
      </c>
      <c r="O39" s="44">
        <f t="shared" ref="O39:O44" si="40">IFERROR(AVERAGE(Z39:AB39),)</f>
        <v>0</v>
      </c>
      <c r="P39" s="28"/>
      <c r="Q39" s="15">
        <v>121</v>
      </c>
      <c r="R39" s="15">
        <v>114</v>
      </c>
      <c r="S39" s="28">
        <v>135</v>
      </c>
      <c r="T39" s="28"/>
      <c r="U39" s="28"/>
      <c r="V39" s="28"/>
      <c r="W39" s="28"/>
      <c r="X39" s="28"/>
      <c r="Y39" s="28"/>
      <c r="Z39" s="28"/>
      <c r="AA39" s="28"/>
      <c r="AB39" s="28"/>
    </row>
    <row r="40" spans="1:28">
      <c r="A40" s="18" t="s">
        <v>66</v>
      </c>
      <c r="B40" s="28"/>
      <c r="C40" s="28"/>
      <c r="D40" s="28">
        <v>139</v>
      </c>
      <c r="E40" s="28">
        <v>133</v>
      </c>
      <c r="F40" s="44">
        <v>157</v>
      </c>
      <c r="G40" s="44">
        <v>155</v>
      </c>
      <c r="H40" s="44">
        <v>131</v>
      </c>
      <c r="I40" s="44">
        <v>130.25</v>
      </c>
      <c r="J40" s="44">
        <f t="shared" si="36"/>
        <v>145</v>
      </c>
      <c r="K40" s="44"/>
      <c r="L40" s="44">
        <f t="shared" si="37"/>
        <v>140.66666666666666</v>
      </c>
      <c r="M40" s="44">
        <f t="shared" si="38"/>
        <v>0</v>
      </c>
      <c r="N40" s="44">
        <f t="shared" si="39"/>
        <v>0</v>
      </c>
      <c r="O40" s="44">
        <f t="shared" si="40"/>
        <v>0</v>
      </c>
      <c r="P40" s="28"/>
      <c r="Q40" s="15">
        <v>132</v>
      </c>
      <c r="R40" s="15">
        <v>134</v>
      </c>
      <c r="S40" s="28">
        <v>156</v>
      </c>
      <c r="T40" s="28"/>
      <c r="U40" s="28"/>
      <c r="V40" s="28"/>
      <c r="W40" s="28"/>
      <c r="X40" s="28"/>
      <c r="Y40" s="28"/>
      <c r="Z40" s="28"/>
      <c r="AA40" s="28"/>
      <c r="AB40" s="28"/>
    </row>
    <row r="41" spans="1:28">
      <c r="A41" s="18" t="s">
        <v>67</v>
      </c>
      <c r="B41" s="28"/>
      <c r="C41" s="28"/>
      <c r="D41" s="28">
        <v>119</v>
      </c>
      <c r="E41" s="28">
        <v>131</v>
      </c>
      <c r="F41" s="44">
        <v>151</v>
      </c>
      <c r="G41" s="44">
        <v>147</v>
      </c>
      <c r="H41" s="44">
        <v>111</v>
      </c>
      <c r="I41" s="44">
        <v>140</v>
      </c>
      <c r="J41" s="44">
        <f t="shared" si="36"/>
        <v>127.5</v>
      </c>
      <c r="K41" s="44"/>
      <c r="L41" s="44">
        <f t="shared" si="37"/>
        <v>127</v>
      </c>
      <c r="M41" s="44">
        <f t="shared" si="38"/>
        <v>0</v>
      </c>
      <c r="N41" s="44">
        <f t="shared" si="39"/>
        <v>0</v>
      </c>
      <c r="O41" s="44">
        <f t="shared" si="40"/>
        <v>0</v>
      </c>
      <c r="P41" s="28"/>
      <c r="Q41" s="15">
        <v>126</v>
      </c>
      <c r="R41" s="15">
        <v>122</v>
      </c>
      <c r="S41" s="28">
        <v>133</v>
      </c>
      <c r="T41" s="28"/>
      <c r="U41" s="28"/>
      <c r="V41" s="28"/>
      <c r="W41" s="28"/>
      <c r="X41" s="28"/>
      <c r="Y41" s="28"/>
      <c r="Z41" s="28"/>
      <c r="AA41" s="28"/>
      <c r="AB41" s="28"/>
    </row>
    <row r="42" spans="1:28">
      <c r="A42" s="18" t="s">
        <v>68</v>
      </c>
      <c r="B42" s="28"/>
      <c r="C42" s="28"/>
      <c r="D42" s="28">
        <v>111</v>
      </c>
      <c r="E42" s="28">
        <v>119</v>
      </c>
      <c r="F42" s="44">
        <v>144</v>
      </c>
      <c r="G42" s="44">
        <v>137</v>
      </c>
      <c r="H42" s="44">
        <v>125</v>
      </c>
      <c r="I42" s="44">
        <v>140.75</v>
      </c>
      <c r="J42" s="44">
        <f t="shared" si="36"/>
        <v>114.5</v>
      </c>
      <c r="K42" s="44"/>
      <c r="L42" s="44">
        <f t="shared" si="37"/>
        <v>120.66666666666667</v>
      </c>
      <c r="M42" s="44">
        <f t="shared" si="38"/>
        <v>0</v>
      </c>
      <c r="N42" s="44">
        <f t="shared" si="39"/>
        <v>0</v>
      </c>
      <c r="O42" s="44">
        <f t="shared" si="40"/>
        <v>0</v>
      </c>
      <c r="P42" s="28"/>
      <c r="Q42" s="15">
        <v>133</v>
      </c>
      <c r="R42" s="15">
        <v>96</v>
      </c>
      <c r="S42" s="28">
        <v>133</v>
      </c>
      <c r="T42" s="28"/>
      <c r="U42" s="28"/>
      <c r="V42" s="28"/>
      <c r="W42" s="28"/>
      <c r="X42" s="28"/>
      <c r="Y42" s="28"/>
      <c r="Z42" s="28"/>
      <c r="AA42" s="28"/>
      <c r="AB42" s="28"/>
    </row>
    <row r="43" spans="1:28">
      <c r="A43" s="18" t="s">
        <v>69</v>
      </c>
      <c r="B43" s="28"/>
      <c r="C43" s="28"/>
      <c r="D43" s="28">
        <v>121</v>
      </c>
      <c r="E43" s="28">
        <v>121</v>
      </c>
      <c r="F43" s="44">
        <v>148</v>
      </c>
      <c r="G43" s="44">
        <v>144</v>
      </c>
      <c r="H43" s="44">
        <v>136</v>
      </c>
      <c r="I43" s="44">
        <v>144.41666666666666</v>
      </c>
      <c r="J43" s="44">
        <f t="shared" si="36"/>
        <v>144.5</v>
      </c>
      <c r="K43" s="44"/>
      <c r="L43" s="44">
        <f t="shared" si="37"/>
        <v>138</v>
      </c>
      <c r="M43" s="44">
        <f t="shared" si="38"/>
        <v>0</v>
      </c>
      <c r="N43" s="44">
        <f t="shared" si="39"/>
        <v>0</v>
      </c>
      <c r="O43" s="44">
        <f t="shared" si="40"/>
        <v>0</v>
      </c>
      <c r="P43" s="28"/>
      <c r="Q43" s="15">
        <v>125</v>
      </c>
      <c r="R43" s="15">
        <v>147</v>
      </c>
      <c r="S43" s="28">
        <v>142</v>
      </c>
      <c r="T43" s="28"/>
      <c r="U43" s="28"/>
      <c r="V43" s="28"/>
      <c r="W43" s="28"/>
      <c r="X43" s="28"/>
      <c r="Y43" s="28"/>
      <c r="Z43" s="28"/>
      <c r="AA43" s="28"/>
      <c r="AB43" s="28"/>
    </row>
    <row r="44" spans="1:28">
      <c r="A44" s="18" t="s">
        <v>70</v>
      </c>
      <c r="B44" s="28"/>
      <c r="C44" s="28"/>
      <c r="D44" s="28">
        <v>69</v>
      </c>
      <c r="E44" s="28">
        <v>69</v>
      </c>
      <c r="F44" s="44">
        <v>113</v>
      </c>
      <c r="G44" s="44">
        <v>111</v>
      </c>
      <c r="H44" s="44">
        <v>64</v>
      </c>
      <c r="I44" s="44">
        <v>68.833333333333329</v>
      </c>
      <c r="J44" s="44">
        <f t="shared" si="36"/>
        <v>41.5</v>
      </c>
      <c r="K44" s="44"/>
      <c r="L44" s="44">
        <f t="shared" si="37"/>
        <v>40.666666666666664</v>
      </c>
      <c r="M44" s="44">
        <f t="shared" si="38"/>
        <v>0</v>
      </c>
      <c r="N44" s="44">
        <f t="shared" si="39"/>
        <v>0</v>
      </c>
      <c r="O44" s="44">
        <f t="shared" si="40"/>
        <v>0</v>
      </c>
      <c r="P44" s="28"/>
      <c r="Q44" s="15">
        <v>39</v>
      </c>
      <c r="R44" s="15">
        <v>64</v>
      </c>
      <c r="S44" s="28">
        <v>19</v>
      </c>
      <c r="T44" s="28"/>
      <c r="U44" s="28"/>
      <c r="V44" s="28"/>
      <c r="W44" s="28"/>
      <c r="X44" s="28"/>
      <c r="Y44" s="28"/>
      <c r="Z44" s="28"/>
      <c r="AA44" s="28"/>
      <c r="AB44" s="28"/>
    </row>
    <row r="45" spans="1:28">
      <c r="A45" s="18" t="s">
        <v>71</v>
      </c>
      <c r="B45" s="18"/>
      <c r="C45" s="18"/>
      <c r="D45" s="18">
        <v>815</v>
      </c>
      <c r="E45" s="18">
        <v>817</v>
      </c>
      <c r="F45" s="50">
        <v>997</v>
      </c>
      <c r="G45" s="50">
        <v>962</v>
      </c>
      <c r="H45" s="50">
        <v>801</v>
      </c>
      <c r="I45" s="50">
        <v>872</v>
      </c>
      <c r="J45" s="50">
        <f t="shared" si="36"/>
        <v>824.5</v>
      </c>
      <c r="K45" s="50"/>
      <c r="L45" s="50">
        <f>SUM(L38:L44)</f>
        <v>812.33333333333326</v>
      </c>
      <c r="M45" s="50">
        <f t="shared" ref="M45:O45" si="41">SUM(M38:M44)</f>
        <v>0</v>
      </c>
      <c r="N45" s="50">
        <f t="shared" si="41"/>
        <v>0</v>
      </c>
      <c r="O45" s="50">
        <f t="shared" si="41"/>
        <v>0</v>
      </c>
      <c r="P45" s="18"/>
      <c r="Q45" s="18">
        <f>IF(SUM(Q38:Q44)=0,"",SUM(Q38:Q44))</f>
        <v>788</v>
      </c>
      <c r="R45" s="18">
        <f>IF(SUM(R38:R44)=0,"",SUM(R38:R44))</f>
        <v>803</v>
      </c>
      <c r="S45" s="18">
        <f t="shared" ref="S45:AB45" si="42">IF(SUM(S38:S44)=0,"",SUM(S38:S44))</f>
        <v>846</v>
      </c>
      <c r="T45" s="18" t="str">
        <f t="shared" si="42"/>
        <v/>
      </c>
      <c r="U45" s="18" t="str">
        <f t="shared" si="42"/>
        <v/>
      </c>
      <c r="V45" s="18" t="str">
        <f t="shared" si="42"/>
        <v/>
      </c>
      <c r="W45" s="18" t="str">
        <f t="shared" si="42"/>
        <v/>
      </c>
      <c r="X45" s="18" t="str">
        <f>IF(SUM(X38:X44)=0,"",SUM(X38:X44))</f>
        <v/>
      </c>
      <c r="Y45" s="18" t="str">
        <f>IF(SUM(Y38:Y44)=0,"",SUM(Y38:Y44))</f>
        <v/>
      </c>
      <c r="Z45" s="18" t="str">
        <f t="shared" si="42"/>
        <v/>
      </c>
      <c r="AA45" s="18" t="str">
        <f t="shared" si="42"/>
        <v/>
      </c>
      <c r="AB45" s="18" t="str">
        <f t="shared" si="42"/>
        <v/>
      </c>
    </row>
    <row r="46" spans="1:28">
      <c r="A46" s="37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111"/>
    </row>
    <row r="47" spans="1:28" s="23" customFormat="1" ht="36.75" customHeight="1">
      <c r="A47" s="51"/>
      <c r="B47" s="51"/>
      <c r="C47" s="51"/>
      <c r="D47" s="51" t="s">
        <v>55</v>
      </c>
      <c r="E47" s="51" t="s">
        <v>56</v>
      </c>
      <c r="F47" s="51" t="s">
        <v>57</v>
      </c>
      <c r="G47" s="51" t="s">
        <v>58</v>
      </c>
      <c r="H47" s="51" t="s">
        <v>59</v>
      </c>
      <c r="I47" s="51" t="s">
        <v>60</v>
      </c>
      <c r="J47" s="51" t="s">
        <v>61</v>
      </c>
      <c r="K47" s="51"/>
      <c r="L47" s="51" t="s">
        <v>9</v>
      </c>
      <c r="M47" s="51" t="s">
        <v>10</v>
      </c>
      <c r="N47" s="51" t="s">
        <v>11</v>
      </c>
      <c r="O47" s="51" t="s">
        <v>12</v>
      </c>
      <c r="P47" s="51"/>
      <c r="Q47" s="51">
        <v>1</v>
      </c>
      <c r="R47" s="51">
        <v>2</v>
      </c>
      <c r="S47" s="51">
        <v>3</v>
      </c>
      <c r="T47" s="51">
        <v>4</v>
      </c>
      <c r="U47" s="51">
        <v>5</v>
      </c>
      <c r="V47" s="51">
        <v>6</v>
      </c>
      <c r="W47" s="51">
        <v>7</v>
      </c>
      <c r="X47" s="51">
        <v>8</v>
      </c>
      <c r="Y47" s="51">
        <v>9</v>
      </c>
      <c r="Z47" s="51">
        <v>10</v>
      </c>
      <c r="AA47" s="51">
        <v>11</v>
      </c>
      <c r="AB47" s="51">
        <v>12</v>
      </c>
    </row>
    <row r="48" spans="1:28">
      <c r="A48" s="18" t="s">
        <v>64</v>
      </c>
      <c r="B48" s="28"/>
      <c r="C48" s="28"/>
      <c r="D48" s="28">
        <v>5</v>
      </c>
      <c r="E48" s="28">
        <v>3</v>
      </c>
      <c r="F48" s="28">
        <v>3</v>
      </c>
      <c r="G48" s="28">
        <v>4</v>
      </c>
      <c r="H48" s="28">
        <v>2</v>
      </c>
      <c r="I48" s="44">
        <v>6</v>
      </c>
      <c r="J48" s="44">
        <f>SUM(M48:P48)</f>
        <v>0</v>
      </c>
      <c r="K48" s="28"/>
      <c r="L48" s="44">
        <f>IFERROR(AVERAGE(Q48:S48),)</f>
        <v>0.33333333333333331</v>
      </c>
      <c r="M48" s="44">
        <f>IFERROR(AVERAGE(T48:V48),)</f>
        <v>0</v>
      </c>
      <c r="N48" s="44">
        <f>IFERROR(AVERAGE(W48:Y48),)</f>
        <v>0</v>
      </c>
      <c r="O48" s="44">
        <f>IFERROR(AVERAGE(Z48:AB48),)</f>
        <v>0</v>
      </c>
      <c r="P48" s="28"/>
      <c r="Q48" s="15">
        <v>1</v>
      </c>
      <c r="R48" s="15">
        <v>0</v>
      </c>
      <c r="S48" s="15">
        <v>0</v>
      </c>
      <c r="T48" s="15"/>
      <c r="U48" s="15"/>
      <c r="V48" s="15"/>
      <c r="W48" s="15"/>
      <c r="X48" s="15"/>
      <c r="Y48" s="15"/>
      <c r="Z48" s="15"/>
      <c r="AA48" s="15"/>
      <c r="AB48" s="15"/>
    </row>
    <row r="49" spans="1:28">
      <c r="A49" s="18" t="s">
        <v>65</v>
      </c>
      <c r="B49" s="28"/>
      <c r="C49" s="28"/>
      <c r="D49" s="28">
        <v>4</v>
      </c>
      <c r="E49" s="28">
        <v>0</v>
      </c>
      <c r="F49" s="28">
        <v>1</v>
      </c>
      <c r="G49" s="28">
        <v>4</v>
      </c>
      <c r="H49" s="28">
        <v>0</v>
      </c>
      <c r="I49" s="44">
        <v>1</v>
      </c>
      <c r="J49" s="44">
        <f>SUM(M49:P49)</f>
        <v>0</v>
      </c>
      <c r="K49" s="28"/>
      <c r="L49" s="44">
        <f t="shared" ref="L49:L54" si="43">IFERROR(AVERAGE(Q49:S49),)</f>
        <v>0</v>
      </c>
      <c r="M49" s="44">
        <f t="shared" ref="M49:M54" si="44">IFERROR(AVERAGE(T49:V49),)</f>
        <v>0</v>
      </c>
      <c r="N49" s="44">
        <f t="shared" ref="N49:N54" si="45">IFERROR(AVERAGE(W49:Y49),)</f>
        <v>0</v>
      </c>
      <c r="O49" s="44">
        <f t="shared" ref="O49:O54" si="46">IFERROR(AVERAGE(Z49:AB49),)</f>
        <v>0</v>
      </c>
      <c r="P49" s="28"/>
      <c r="Q49" s="15">
        <v>0</v>
      </c>
      <c r="R49" s="15">
        <v>0</v>
      </c>
      <c r="S49" s="15">
        <v>0</v>
      </c>
      <c r="T49" s="15"/>
      <c r="U49" s="15"/>
      <c r="V49" s="15"/>
      <c r="W49" s="15"/>
      <c r="X49" s="15"/>
      <c r="Y49" s="15"/>
      <c r="Z49" s="15"/>
      <c r="AA49" s="15"/>
      <c r="AB49" s="15"/>
    </row>
    <row r="50" spans="1:28">
      <c r="A50" s="18" t="s">
        <v>66</v>
      </c>
      <c r="B50" s="28"/>
      <c r="C50" s="28"/>
      <c r="D50" s="28">
        <v>1</v>
      </c>
      <c r="E50" s="28">
        <v>1</v>
      </c>
      <c r="F50" s="28">
        <v>0</v>
      </c>
      <c r="G50" s="28">
        <v>0</v>
      </c>
      <c r="H50" s="28">
        <v>2</v>
      </c>
      <c r="I50" s="28">
        <v>0</v>
      </c>
      <c r="J50" s="28">
        <f>SUM(R50:AC50)</f>
        <v>1</v>
      </c>
      <c r="K50" s="28"/>
      <c r="L50" s="44">
        <f t="shared" si="43"/>
        <v>0.33333333333333331</v>
      </c>
      <c r="M50" s="44">
        <f t="shared" si="44"/>
        <v>0</v>
      </c>
      <c r="N50" s="44">
        <f t="shared" si="45"/>
        <v>0</v>
      </c>
      <c r="O50" s="44">
        <f t="shared" si="46"/>
        <v>0</v>
      </c>
      <c r="P50" s="28"/>
      <c r="Q50" s="15">
        <v>0</v>
      </c>
      <c r="R50" s="15">
        <v>1</v>
      </c>
      <c r="S50" s="15">
        <v>0</v>
      </c>
      <c r="T50" s="15"/>
      <c r="U50" s="15"/>
      <c r="V50" s="15"/>
      <c r="W50" s="15"/>
      <c r="X50" s="15"/>
      <c r="Y50" s="15"/>
      <c r="Z50" s="15"/>
      <c r="AA50" s="15"/>
      <c r="AB50" s="15"/>
    </row>
    <row r="51" spans="1:28">
      <c r="A51" s="18" t="s">
        <v>67</v>
      </c>
      <c r="B51" s="28"/>
      <c r="C51" s="28"/>
      <c r="D51" s="28">
        <v>0</v>
      </c>
      <c r="E51" s="28">
        <v>1</v>
      </c>
      <c r="F51" s="28">
        <v>2</v>
      </c>
      <c r="G51" s="28">
        <v>0</v>
      </c>
      <c r="H51" s="28">
        <v>0</v>
      </c>
      <c r="I51" s="28">
        <v>3</v>
      </c>
      <c r="J51" s="28">
        <f>SUM(R51:AC51)</f>
        <v>0</v>
      </c>
      <c r="K51" s="28"/>
      <c r="L51" s="44">
        <f t="shared" si="43"/>
        <v>0</v>
      </c>
      <c r="M51" s="44">
        <f t="shared" si="44"/>
        <v>0</v>
      </c>
      <c r="N51" s="44">
        <f t="shared" si="45"/>
        <v>0</v>
      </c>
      <c r="O51" s="44">
        <f t="shared" si="46"/>
        <v>0</v>
      </c>
      <c r="P51" s="28"/>
      <c r="Q51" s="15">
        <v>0</v>
      </c>
      <c r="R51" s="15">
        <v>0</v>
      </c>
      <c r="S51" s="15">
        <v>0</v>
      </c>
      <c r="T51" s="15"/>
      <c r="U51" s="15"/>
      <c r="V51" s="15"/>
      <c r="W51" s="15"/>
      <c r="X51" s="15"/>
      <c r="Y51" s="15"/>
      <c r="Z51" s="15"/>
      <c r="AA51" s="15"/>
      <c r="AB51" s="15"/>
    </row>
    <row r="52" spans="1:28">
      <c r="A52" s="18" t="s">
        <v>68</v>
      </c>
      <c r="B52" s="28"/>
      <c r="C52" s="28"/>
      <c r="D52" s="28">
        <v>2</v>
      </c>
      <c r="E52" s="28">
        <v>5</v>
      </c>
      <c r="F52" s="28">
        <v>0</v>
      </c>
      <c r="G52" s="28">
        <v>0</v>
      </c>
      <c r="H52" s="28">
        <v>0</v>
      </c>
      <c r="I52" s="28">
        <v>0</v>
      </c>
      <c r="J52" s="28">
        <f>SUM(R52:AC52)</f>
        <v>2</v>
      </c>
      <c r="K52" s="28"/>
      <c r="L52" s="44">
        <f t="shared" si="43"/>
        <v>0.66666666666666663</v>
      </c>
      <c r="M52" s="44">
        <f t="shared" si="44"/>
        <v>0</v>
      </c>
      <c r="N52" s="44">
        <f t="shared" si="45"/>
        <v>0</v>
      </c>
      <c r="O52" s="44">
        <f t="shared" si="46"/>
        <v>0</v>
      </c>
      <c r="P52" s="28"/>
      <c r="Q52" s="15">
        <v>0</v>
      </c>
      <c r="R52" s="15">
        <v>2</v>
      </c>
      <c r="S52" s="15">
        <v>0</v>
      </c>
      <c r="T52" s="15"/>
      <c r="U52" s="15"/>
      <c r="V52" s="15"/>
      <c r="W52" s="15"/>
      <c r="X52" s="15"/>
      <c r="Y52" s="15"/>
      <c r="Z52" s="15"/>
      <c r="AA52" s="15"/>
      <c r="AB52" s="15"/>
    </row>
    <row r="53" spans="1:28">
      <c r="A53" s="18" t="s">
        <v>69</v>
      </c>
      <c r="B53" s="28"/>
      <c r="C53" s="28"/>
      <c r="D53" s="28">
        <v>2</v>
      </c>
      <c r="E53" s="28">
        <v>4</v>
      </c>
      <c r="F53" s="28">
        <v>4</v>
      </c>
      <c r="G53" s="28">
        <v>0</v>
      </c>
      <c r="H53" s="28">
        <v>2</v>
      </c>
      <c r="I53" s="28">
        <v>2</v>
      </c>
      <c r="J53" s="28">
        <f>SUM(R53:AC53)</f>
        <v>0</v>
      </c>
      <c r="K53" s="28"/>
      <c r="L53" s="44">
        <f t="shared" si="43"/>
        <v>0</v>
      </c>
      <c r="M53" s="44">
        <f t="shared" si="44"/>
        <v>0</v>
      </c>
      <c r="N53" s="44">
        <f t="shared" si="45"/>
        <v>0</v>
      </c>
      <c r="O53" s="44">
        <f t="shared" si="46"/>
        <v>0</v>
      </c>
      <c r="P53" s="28"/>
      <c r="Q53" s="15">
        <v>0</v>
      </c>
      <c r="R53" s="15">
        <v>0</v>
      </c>
      <c r="S53" s="15">
        <v>0</v>
      </c>
      <c r="T53" s="15"/>
      <c r="U53" s="15"/>
      <c r="V53" s="15"/>
      <c r="W53" s="15"/>
      <c r="X53" s="15"/>
      <c r="Y53" s="15"/>
      <c r="Z53" s="15"/>
      <c r="AA53" s="15"/>
      <c r="AB53" s="15"/>
    </row>
    <row r="54" spans="1:28">
      <c r="A54" s="18" t="s">
        <v>70</v>
      </c>
      <c r="B54" s="28"/>
      <c r="C54" s="28"/>
      <c r="D54" s="28">
        <v>1</v>
      </c>
      <c r="E54" s="28">
        <v>3</v>
      </c>
      <c r="F54" s="28">
        <v>3</v>
      </c>
      <c r="G54" s="28">
        <v>0</v>
      </c>
      <c r="H54" s="28">
        <v>1</v>
      </c>
      <c r="I54" s="28">
        <v>3</v>
      </c>
      <c r="J54" s="28">
        <f>SUM(R54:AC54)</f>
        <v>0</v>
      </c>
      <c r="K54" s="28"/>
      <c r="L54" s="44">
        <f t="shared" si="43"/>
        <v>0</v>
      </c>
      <c r="M54" s="44">
        <f t="shared" si="44"/>
        <v>0</v>
      </c>
      <c r="N54" s="44">
        <f t="shared" si="45"/>
        <v>0</v>
      </c>
      <c r="O54" s="44">
        <f t="shared" si="46"/>
        <v>0</v>
      </c>
      <c r="P54" s="28"/>
      <c r="Q54" s="15">
        <v>0</v>
      </c>
      <c r="R54" s="15">
        <v>0</v>
      </c>
      <c r="S54" s="15">
        <v>0</v>
      </c>
      <c r="T54" s="15"/>
      <c r="U54" s="15"/>
      <c r="V54" s="15"/>
      <c r="W54" s="15"/>
      <c r="X54" s="15"/>
      <c r="Y54" s="15"/>
      <c r="Z54" s="15"/>
      <c r="AA54" s="15"/>
      <c r="AB54" s="15"/>
    </row>
    <row r="55" spans="1:28">
      <c r="A55" s="18" t="s">
        <v>72</v>
      </c>
      <c r="B55" s="18"/>
      <c r="C55" s="18"/>
      <c r="D55" s="18">
        <v>15</v>
      </c>
      <c r="E55" s="18">
        <v>17</v>
      </c>
      <c r="F55" s="18">
        <v>7</v>
      </c>
      <c r="G55" s="18">
        <v>8</v>
      </c>
      <c r="H55" s="18">
        <v>7</v>
      </c>
      <c r="I55" s="50">
        <v>15</v>
      </c>
      <c r="J55" s="50">
        <f>SUM(J48:J54)</f>
        <v>3</v>
      </c>
      <c r="K55" s="18"/>
      <c r="L55" s="50">
        <f>SUM(L48:L54)</f>
        <v>1.3333333333333333</v>
      </c>
      <c r="M55" s="50">
        <f>SUM(M48:M54)</f>
        <v>0</v>
      </c>
      <c r="N55" s="50">
        <f>SUM(N48:N54)</f>
        <v>0</v>
      </c>
      <c r="O55" s="50">
        <f>SUM(O48:O54)</f>
        <v>0</v>
      </c>
      <c r="P55" s="18"/>
      <c r="Q55" s="18">
        <f>SUM(Q48:Q54)</f>
        <v>1</v>
      </c>
      <c r="R55" s="18">
        <f>SUM(R48:R54)</f>
        <v>3</v>
      </c>
      <c r="S55" s="18">
        <f>SUM(S48:S54)</f>
        <v>0</v>
      </c>
      <c r="T55" s="18">
        <f>SUM(T48:T54)</f>
        <v>0</v>
      </c>
      <c r="U55" s="18">
        <f t="shared" ref="U55:AB55" si="47">SUM(U48:U54)</f>
        <v>0</v>
      </c>
      <c r="V55" s="18">
        <f t="shared" si="47"/>
        <v>0</v>
      </c>
      <c r="W55" s="18">
        <f t="shared" si="47"/>
        <v>0</v>
      </c>
      <c r="X55" s="18">
        <f>SUM(X48:X54)</f>
        <v>0</v>
      </c>
      <c r="Y55" s="18">
        <f>SUM(Y48:Y54)</f>
        <v>0</v>
      </c>
      <c r="Z55" s="18">
        <f t="shared" si="47"/>
        <v>0</v>
      </c>
      <c r="AA55" s="18">
        <f t="shared" si="47"/>
        <v>0</v>
      </c>
      <c r="AB55" s="18">
        <f t="shared" si="47"/>
        <v>0</v>
      </c>
    </row>
    <row r="56" spans="1:28">
      <c r="A56" s="37"/>
      <c r="B56" s="38"/>
      <c r="C56" s="41"/>
      <c r="D56" s="41"/>
      <c r="E56" s="41"/>
      <c r="F56" s="41"/>
      <c r="G56" s="41"/>
      <c r="H56" s="41"/>
      <c r="I56" s="41"/>
      <c r="J56" s="41"/>
      <c r="K56" s="41"/>
      <c r="L56" s="49"/>
      <c r="M56" s="49"/>
      <c r="N56" s="49"/>
      <c r="O56" s="49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111"/>
    </row>
    <row r="57" spans="1:28" s="23" customFormat="1" ht="37.5" customHeight="1">
      <c r="A57" s="57"/>
      <c r="B57" s="57" t="s">
        <v>73</v>
      </c>
      <c r="C57" s="57"/>
      <c r="D57" s="57" t="s">
        <v>41</v>
      </c>
      <c r="E57" s="57" t="s">
        <v>42</v>
      </c>
      <c r="F57" s="57" t="s">
        <v>43</v>
      </c>
      <c r="G57" s="57" t="s">
        <v>44</v>
      </c>
      <c r="H57" s="57" t="s">
        <v>45</v>
      </c>
      <c r="I57" s="57" t="s">
        <v>46</v>
      </c>
      <c r="J57" s="121" t="s">
        <v>47</v>
      </c>
      <c r="K57" s="57"/>
      <c r="L57" s="57" t="s">
        <v>9</v>
      </c>
      <c r="M57" s="57" t="s">
        <v>10</v>
      </c>
      <c r="N57" s="57" t="s">
        <v>11</v>
      </c>
      <c r="O57" s="57" t="s">
        <v>12</v>
      </c>
      <c r="P57" s="57"/>
      <c r="Q57" s="57">
        <v>1</v>
      </c>
      <c r="R57" s="57">
        <v>2</v>
      </c>
      <c r="S57" s="57">
        <v>3</v>
      </c>
      <c r="T57" s="57">
        <v>4</v>
      </c>
      <c r="U57" s="57">
        <v>5</v>
      </c>
      <c r="V57" s="57">
        <v>6</v>
      </c>
      <c r="W57" s="57">
        <v>7</v>
      </c>
      <c r="X57" s="57">
        <v>8</v>
      </c>
      <c r="Y57" s="57">
        <v>9</v>
      </c>
      <c r="Z57" s="57">
        <v>10</v>
      </c>
      <c r="AA57" s="57">
        <v>11</v>
      </c>
      <c r="AB57" s="57">
        <v>12</v>
      </c>
    </row>
    <row r="58" spans="1:28">
      <c r="A58" s="16" t="s">
        <v>74</v>
      </c>
      <c r="B58" s="28"/>
      <c r="C58" s="28"/>
      <c r="D58" s="28">
        <v>82</v>
      </c>
      <c r="E58" s="28">
        <v>78</v>
      </c>
      <c r="F58" s="44">
        <v>89</v>
      </c>
      <c r="G58" s="44">
        <v>83</v>
      </c>
      <c r="H58" s="44">
        <v>61</v>
      </c>
      <c r="I58" s="44">
        <v>75.666666666666671</v>
      </c>
      <c r="J58" s="44">
        <v>57</v>
      </c>
      <c r="K58" s="44"/>
      <c r="L58" s="44">
        <f>IFERROR(AVERAGE(Q58:S58),)</f>
        <v>58.666666666666664</v>
      </c>
      <c r="M58" s="44">
        <f>IFERROR(AVERAGE(T58:V58),)</f>
        <v>0</v>
      </c>
      <c r="N58" s="44">
        <f>IFERROR(AVERAGE(W58:Y58),)</f>
        <v>0</v>
      </c>
      <c r="O58" s="44">
        <f>IFERROR(AVERAGE(Z58:AB58),)</f>
        <v>0</v>
      </c>
      <c r="P58" s="28"/>
      <c r="Q58" s="15">
        <v>62</v>
      </c>
      <c r="R58" s="15">
        <v>52</v>
      </c>
      <c r="S58" s="28">
        <v>62</v>
      </c>
      <c r="T58" s="28"/>
      <c r="U58" s="28"/>
      <c r="V58" s="28"/>
      <c r="W58" s="28"/>
      <c r="X58" s="28"/>
      <c r="Y58" s="28"/>
      <c r="Z58" s="28"/>
      <c r="AA58" s="28"/>
      <c r="AB58" s="28"/>
    </row>
    <row r="59" spans="1:28">
      <c r="A59" s="16" t="s">
        <v>75</v>
      </c>
      <c r="B59" s="28"/>
      <c r="C59" s="28"/>
      <c r="D59" s="28">
        <v>82</v>
      </c>
      <c r="E59" s="28">
        <v>81</v>
      </c>
      <c r="F59" s="44">
        <v>90</v>
      </c>
      <c r="G59" s="44">
        <v>77</v>
      </c>
      <c r="H59" s="44">
        <v>67</v>
      </c>
      <c r="I59" s="44">
        <v>100.58333333333333</v>
      </c>
      <c r="J59" s="44">
        <v>57.5</v>
      </c>
      <c r="K59" s="44"/>
      <c r="L59" s="44">
        <f t="shared" ref="L59:L64" si="48">IFERROR(AVERAGE(Q59:S59),)</f>
        <v>68.666666666666671</v>
      </c>
      <c r="M59" s="44">
        <f t="shared" ref="M59:M64" si="49">IFERROR(AVERAGE(T59:V59),)</f>
        <v>0</v>
      </c>
      <c r="N59" s="44">
        <f t="shared" ref="N59:N64" si="50">IFERROR(AVERAGE(W59:Y59),)</f>
        <v>0</v>
      </c>
      <c r="O59" s="44">
        <f t="shared" ref="O59:O64" si="51">IFERROR(AVERAGE(Z59:AB59),)</f>
        <v>0</v>
      </c>
      <c r="P59" s="28"/>
      <c r="Q59" s="15">
        <v>58</v>
      </c>
      <c r="R59" s="15">
        <v>57</v>
      </c>
      <c r="S59" s="28">
        <v>91</v>
      </c>
      <c r="T59" s="28"/>
      <c r="U59" s="28"/>
      <c r="V59" s="28"/>
      <c r="W59" s="28"/>
      <c r="X59" s="28"/>
      <c r="Y59" s="28"/>
      <c r="Z59" s="28"/>
      <c r="AA59" s="28"/>
      <c r="AB59" s="28"/>
    </row>
    <row r="60" spans="1:28">
      <c r="A60" s="16" t="s">
        <v>76</v>
      </c>
      <c r="B60" s="28"/>
      <c r="C60" s="28"/>
      <c r="D60" s="28">
        <v>91</v>
      </c>
      <c r="E60" s="28">
        <v>90</v>
      </c>
      <c r="F60" s="44">
        <v>106</v>
      </c>
      <c r="G60" s="44">
        <v>104</v>
      </c>
      <c r="H60" s="44">
        <v>83</v>
      </c>
      <c r="I60" s="44">
        <v>111</v>
      </c>
      <c r="J60" s="44">
        <v>59.5</v>
      </c>
      <c r="K60" s="44"/>
      <c r="L60" s="44">
        <f t="shared" si="48"/>
        <v>71</v>
      </c>
      <c r="M60" s="44">
        <f t="shared" si="49"/>
        <v>0</v>
      </c>
      <c r="N60" s="44">
        <f t="shared" si="50"/>
        <v>0</v>
      </c>
      <c r="O60" s="44">
        <f t="shared" si="51"/>
        <v>0</v>
      </c>
      <c r="P60" s="28"/>
      <c r="Q60" s="15">
        <v>62</v>
      </c>
      <c r="R60" s="15">
        <v>57</v>
      </c>
      <c r="S60" s="28">
        <v>94</v>
      </c>
      <c r="T60" s="28"/>
      <c r="U60" s="28"/>
      <c r="V60" s="28"/>
      <c r="W60" s="28"/>
      <c r="X60" s="28"/>
      <c r="Y60" s="28"/>
      <c r="Z60" s="28"/>
      <c r="AA60" s="28"/>
      <c r="AB60" s="28"/>
    </row>
    <row r="61" spans="1:28">
      <c r="A61" s="16" t="s">
        <v>77</v>
      </c>
      <c r="B61" s="28"/>
      <c r="C61" s="28"/>
      <c r="D61" s="28">
        <v>85</v>
      </c>
      <c r="E61" s="28">
        <v>80</v>
      </c>
      <c r="F61" s="44">
        <v>98</v>
      </c>
      <c r="G61" s="44">
        <v>95</v>
      </c>
      <c r="H61" s="44">
        <v>78</v>
      </c>
      <c r="I61" s="44">
        <v>102.33333333333333</v>
      </c>
      <c r="J61" s="44">
        <v>74</v>
      </c>
      <c r="K61" s="44"/>
      <c r="L61" s="44">
        <f t="shared" si="48"/>
        <v>79.666666666666671</v>
      </c>
      <c r="M61" s="44">
        <f t="shared" si="49"/>
        <v>0</v>
      </c>
      <c r="N61" s="44">
        <f t="shared" si="50"/>
        <v>0</v>
      </c>
      <c r="O61" s="44">
        <f t="shared" si="51"/>
        <v>0</v>
      </c>
      <c r="P61" s="28"/>
      <c r="Q61" s="15">
        <v>82</v>
      </c>
      <c r="R61" s="15">
        <v>66</v>
      </c>
      <c r="S61" s="28">
        <v>91</v>
      </c>
      <c r="T61" s="28"/>
      <c r="U61" s="28"/>
      <c r="V61" s="28"/>
      <c r="W61" s="28"/>
      <c r="X61" s="28"/>
      <c r="Y61" s="28"/>
      <c r="Z61" s="28"/>
      <c r="AA61" s="15"/>
      <c r="AB61" s="28"/>
    </row>
    <row r="62" spans="1:28">
      <c r="A62" s="16" t="s">
        <v>78</v>
      </c>
      <c r="B62" s="28"/>
      <c r="C62" s="28"/>
      <c r="D62" s="28">
        <v>65</v>
      </c>
      <c r="E62" s="28">
        <v>54</v>
      </c>
      <c r="F62" s="44">
        <v>85</v>
      </c>
      <c r="G62" s="44">
        <v>84</v>
      </c>
      <c r="H62" s="44">
        <v>53</v>
      </c>
      <c r="I62" s="44">
        <v>85.333333333333329</v>
      </c>
      <c r="J62" s="44">
        <v>55.5</v>
      </c>
      <c r="K62" s="44"/>
      <c r="L62" s="44">
        <f t="shared" si="48"/>
        <v>57.666666666666664</v>
      </c>
      <c r="M62" s="44">
        <f t="shared" si="49"/>
        <v>0</v>
      </c>
      <c r="N62" s="44">
        <f t="shared" si="50"/>
        <v>0</v>
      </c>
      <c r="O62" s="44">
        <f t="shared" si="51"/>
        <v>0</v>
      </c>
      <c r="P62" s="28"/>
      <c r="Q62" s="15">
        <v>77</v>
      </c>
      <c r="R62" s="15">
        <v>34</v>
      </c>
      <c r="S62" s="28">
        <v>62</v>
      </c>
      <c r="T62" s="28"/>
      <c r="U62" s="28"/>
      <c r="V62" s="28"/>
      <c r="W62" s="28"/>
      <c r="X62" s="28"/>
      <c r="Y62" s="28"/>
      <c r="Z62" s="28"/>
      <c r="AA62" s="15"/>
      <c r="AB62" s="28"/>
    </row>
    <row r="63" spans="1:28">
      <c r="A63" s="16" t="s">
        <v>79</v>
      </c>
      <c r="B63" s="28"/>
      <c r="C63" s="28"/>
      <c r="D63" s="28">
        <v>41</v>
      </c>
      <c r="E63" s="28">
        <v>53</v>
      </c>
      <c r="F63" s="44">
        <v>80</v>
      </c>
      <c r="G63" s="44">
        <v>82</v>
      </c>
      <c r="H63" s="44">
        <v>58</v>
      </c>
      <c r="I63" s="44">
        <v>79.083333333333329</v>
      </c>
      <c r="J63" s="44">
        <v>50</v>
      </c>
      <c r="K63" s="44"/>
      <c r="L63" s="44">
        <f t="shared" si="48"/>
        <v>64.666666666666671</v>
      </c>
      <c r="M63" s="44">
        <f t="shared" si="49"/>
        <v>0</v>
      </c>
      <c r="N63" s="44">
        <f t="shared" si="50"/>
        <v>0</v>
      </c>
      <c r="O63" s="44">
        <f t="shared" si="51"/>
        <v>0</v>
      </c>
      <c r="P63" s="28"/>
      <c r="Q63" s="15">
        <v>59</v>
      </c>
      <c r="R63" s="15">
        <v>41</v>
      </c>
      <c r="S63" s="28">
        <v>94</v>
      </c>
      <c r="T63" s="28"/>
      <c r="U63" s="28"/>
      <c r="V63" s="28"/>
      <c r="W63" s="28"/>
      <c r="X63" s="28"/>
      <c r="Y63" s="28"/>
      <c r="Z63" s="28"/>
      <c r="AA63" s="15"/>
      <c r="AB63" s="28"/>
    </row>
    <row r="64" spans="1:28">
      <c r="A64" s="16" t="s">
        <v>80</v>
      </c>
      <c r="B64" s="28"/>
      <c r="C64" s="28"/>
      <c r="D64" s="28">
        <v>48</v>
      </c>
      <c r="E64" s="28">
        <v>56</v>
      </c>
      <c r="F64" s="44">
        <v>76</v>
      </c>
      <c r="G64" s="44">
        <v>69</v>
      </c>
      <c r="H64" s="44">
        <v>37</v>
      </c>
      <c r="I64" s="44">
        <v>60</v>
      </c>
      <c r="J64" s="44">
        <v>39.5</v>
      </c>
      <c r="K64" s="44"/>
      <c r="L64" s="44">
        <f t="shared" si="48"/>
        <v>40</v>
      </c>
      <c r="M64" s="44">
        <f t="shared" si="49"/>
        <v>0</v>
      </c>
      <c r="N64" s="44">
        <f t="shared" si="50"/>
        <v>0</v>
      </c>
      <c r="O64" s="44">
        <f t="shared" si="51"/>
        <v>0</v>
      </c>
      <c r="P64" s="28"/>
      <c r="Q64" s="15">
        <v>51</v>
      </c>
      <c r="R64" s="15">
        <v>28</v>
      </c>
      <c r="S64" s="28">
        <v>41</v>
      </c>
      <c r="T64" s="28"/>
      <c r="U64" s="28"/>
      <c r="V64" s="28"/>
      <c r="W64" s="28"/>
      <c r="X64" s="28"/>
      <c r="Y64" s="28"/>
      <c r="Z64" s="28"/>
      <c r="AA64" s="15"/>
      <c r="AB64" s="28"/>
    </row>
    <row r="65" spans="1:28">
      <c r="A65" s="16" t="s">
        <v>81</v>
      </c>
      <c r="B65" s="16"/>
      <c r="C65" s="16"/>
      <c r="D65" s="16">
        <v>490</v>
      </c>
      <c r="E65" s="16">
        <v>493</v>
      </c>
      <c r="F65" s="55">
        <v>623</v>
      </c>
      <c r="G65" s="55">
        <v>595</v>
      </c>
      <c r="H65" s="55">
        <v>437</v>
      </c>
      <c r="I65" s="55">
        <v>614</v>
      </c>
      <c r="J65" s="55">
        <f>SUM(J58:J64)</f>
        <v>393</v>
      </c>
      <c r="K65" s="55"/>
      <c r="L65" s="55">
        <f>SUM(L58:L64)</f>
        <v>440.33333333333337</v>
      </c>
      <c r="M65" s="55">
        <f>SUM(M58:M64)</f>
        <v>0</v>
      </c>
      <c r="N65" s="55">
        <f>SUM(N58:N64)</f>
        <v>0</v>
      </c>
      <c r="O65" s="55">
        <f>SUM(O58:O64)</f>
        <v>0</v>
      </c>
      <c r="P65" s="16"/>
      <c r="Q65" s="16">
        <f>SUM(Q58:Q64)</f>
        <v>451</v>
      </c>
      <c r="R65" s="16">
        <f>SUM(R58:R64)</f>
        <v>335</v>
      </c>
      <c r="S65" s="16">
        <f t="shared" ref="S65:AB65" si="52">IF(SUM(S58:S64)=0,"",SUM(S58:S64))</f>
        <v>535</v>
      </c>
      <c r="T65" s="16" t="str">
        <f t="shared" si="52"/>
        <v/>
      </c>
      <c r="U65" s="16" t="str">
        <f t="shared" si="52"/>
        <v/>
      </c>
      <c r="V65" s="16" t="str">
        <f t="shared" si="52"/>
        <v/>
      </c>
      <c r="W65" s="16" t="str">
        <f t="shared" si="52"/>
        <v/>
      </c>
      <c r="X65" s="16" t="str">
        <f t="shared" si="52"/>
        <v/>
      </c>
      <c r="Y65" s="16" t="str">
        <f t="shared" si="52"/>
        <v/>
      </c>
      <c r="Z65" s="16" t="str">
        <f t="shared" si="52"/>
        <v/>
      </c>
      <c r="AA65" s="16" t="str">
        <f t="shared" si="52"/>
        <v/>
      </c>
      <c r="AB65" s="16" t="str">
        <f t="shared" si="52"/>
        <v/>
      </c>
    </row>
    <row r="66" spans="1:28">
      <c r="A66" s="119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2"/>
    </row>
    <row r="67" spans="1:28" s="23" customFormat="1" ht="36.75" customHeight="1">
      <c r="A67" s="57"/>
      <c r="B67" s="57"/>
      <c r="C67" s="57"/>
      <c r="D67" s="57" t="s">
        <v>55</v>
      </c>
      <c r="E67" s="57" t="s">
        <v>56</v>
      </c>
      <c r="F67" s="57" t="s">
        <v>57</v>
      </c>
      <c r="G67" s="57" t="s">
        <v>58</v>
      </c>
      <c r="H67" s="57" t="s">
        <v>59</v>
      </c>
      <c r="I67" s="57" t="s">
        <v>60</v>
      </c>
      <c r="J67" s="57" t="s">
        <v>61</v>
      </c>
      <c r="K67" s="57"/>
      <c r="L67" s="57" t="s">
        <v>9</v>
      </c>
      <c r="M67" s="57" t="s">
        <v>10</v>
      </c>
      <c r="N67" s="57" t="s">
        <v>11</v>
      </c>
      <c r="O67" s="57" t="s">
        <v>12</v>
      </c>
      <c r="P67" s="57"/>
      <c r="Q67" s="57">
        <v>1</v>
      </c>
      <c r="R67" s="57">
        <v>2</v>
      </c>
      <c r="S67" s="57">
        <v>3</v>
      </c>
      <c r="T67" s="57">
        <v>4</v>
      </c>
      <c r="U67" s="57">
        <v>5</v>
      </c>
      <c r="V67" s="57">
        <v>6</v>
      </c>
      <c r="W67" s="57">
        <v>7</v>
      </c>
      <c r="X67" s="57">
        <v>8</v>
      </c>
      <c r="Y67" s="57">
        <v>9</v>
      </c>
      <c r="Z67" s="57">
        <v>10</v>
      </c>
      <c r="AA67" s="57">
        <v>11</v>
      </c>
      <c r="AB67" s="57">
        <v>12</v>
      </c>
    </row>
    <row r="68" spans="1:28">
      <c r="A68" s="16" t="s">
        <v>74</v>
      </c>
      <c r="B68" s="28"/>
      <c r="C68" s="28"/>
      <c r="D68" s="28">
        <v>1</v>
      </c>
      <c r="E68" s="28">
        <v>2</v>
      </c>
      <c r="F68" s="28">
        <v>1</v>
      </c>
      <c r="G68" s="28">
        <v>0</v>
      </c>
      <c r="H68" s="28">
        <v>1</v>
      </c>
      <c r="I68" s="28">
        <v>0</v>
      </c>
      <c r="J68" s="28">
        <v>0</v>
      </c>
      <c r="K68" s="28"/>
      <c r="L68" s="44">
        <f>IFERROR(AVERAGE(Q68:S68),)</f>
        <v>0</v>
      </c>
      <c r="M68" s="44">
        <f>IFERROR(AVERAGE(T68:V68),)</f>
        <v>0</v>
      </c>
      <c r="N68" s="44">
        <f>IFERROR(AVERAGE(W68:Y68),)</f>
        <v>0</v>
      </c>
      <c r="O68" s="44">
        <f>IFERROR(AVERAGE(Z68:AB68),)</f>
        <v>0</v>
      </c>
      <c r="P68" s="28"/>
      <c r="Q68" s="28">
        <v>0</v>
      </c>
      <c r="R68" s="28">
        <v>0</v>
      </c>
      <c r="S68" s="28">
        <v>0</v>
      </c>
      <c r="T68" s="28"/>
      <c r="U68" s="28"/>
      <c r="V68" s="28"/>
      <c r="W68" s="28"/>
      <c r="X68" s="28"/>
      <c r="Y68" s="28"/>
      <c r="Z68" s="28"/>
      <c r="AA68" s="28"/>
      <c r="AB68" s="28"/>
    </row>
    <row r="69" spans="1:28">
      <c r="A69" s="16" t="s">
        <v>75</v>
      </c>
      <c r="B69" s="28"/>
      <c r="C69" s="28"/>
      <c r="D69" s="28">
        <v>1</v>
      </c>
      <c r="E69" s="28">
        <v>3</v>
      </c>
      <c r="F69" s="28">
        <v>4</v>
      </c>
      <c r="G69" s="28">
        <v>1</v>
      </c>
      <c r="H69" s="28">
        <v>0</v>
      </c>
      <c r="I69" s="28">
        <v>0</v>
      </c>
      <c r="J69" s="28">
        <v>0</v>
      </c>
      <c r="K69" s="28"/>
      <c r="L69" s="44">
        <f t="shared" ref="L69:L74" si="53">IFERROR(AVERAGE(Q69:S69),)</f>
        <v>0</v>
      </c>
      <c r="M69" s="44">
        <f t="shared" ref="M69:M74" si="54">IFERROR(AVERAGE(T69:V69),)</f>
        <v>0</v>
      </c>
      <c r="N69" s="44">
        <f t="shared" ref="N69:N74" si="55">IFERROR(AVERAGE(W69:Y69),)</f>
        <v>0</v>
      </c>
      <c r="O69" s="44">
        <f t="shared" ref="O69:O74" si="56">IFERROR(AVERAGE(Z69:AB69),)</f>
        <v>0</v>
      </c>
      <c r="P69" s="28"/>
      <c r="Q69" s="28">
        <v>0</v>
      </c>
      <c r="R69" s="28">
        <v>0</v>
      </c>
      <c r="S69" s="28">
        <v>0</v>
      </c>
      <c r="T69" s="28"/>
      <c r="U69" s="28"/>
      <c r="V69" s="28"/>
      <c r="W69" s="28"/>
      <c r="X69" s="28"/>
      <c r="Y69" s="28"/>
      <c r="Z69" s="28"/>
      <c r="AA69" s="28"/>
      <c r="AB69" s="28"/>
    </row>
    <row r="70" spans="1:28">
      <c r="A70" s="16" t="s">
        <v>76</v>
      </c>
      <c r="B70" s="28"/>
      <c r="C70" s="28"/>
      <c r="D70" s="28">
        <v>5</v>
      </c>
      <c r="E70" s="28">
        <v>7</v>
      </c>
      <c r="F70" s="28">
        <v>1</v>
      </c>
      <c r="G70" s="28">
        <v>1</v>
      </c>
      <c r="H70" s="28">
        <v>0</v>
      </c>
      <c r="I70" s="28">
        <v>0</v>
      </c>
      <c r="J70" s="28">
        <v>0</v>
      </c>
      <c r="K70" s="28"/>
      <c r="L70" s="44">
        <f t="shared" si="53"/>
        <v>0</v>
      </c>
      <c r="M70" s="44">
        <f t="shared" si="54"/>
        <v>0</v>
      </c>
      <c r="N70" s="44">
        <f t="shared" si="55"/>
        <v>0</v>
      </c>
      <c r="O70" s="44">
        <f t="shared" si="56"/>
        <v>0</v>
      </c>
      <c r="P70" s="28"/>
      <c r="Q70" s="28">
        <v>0</v>
      </c>
      <c r="R70" s="28">
        <v>0</v>
      </c>
      <c r="S70" s="28">
        <v>0</v>
      </c>
      <c r="T70" s="28"/>
      <c r="U70" s="28"/>
      <c r="V70" s="28"/>
      <c r="W70" s="28"/>
      <c r="X70" s="28"/>
      <c r="Y70" s="28"/>
      <c r="Z70" s="28"/>
      <c r="AA70" s="28"/>
      <c r="AB70" s="28"/>
    </row>
    <row r="71" spans="1:28">
      <c r="A71" s="16" t="s">
        <v>77</v>
      </c>
      <c r="B71" s="28"/>
      <c r="C71" s="28"/>
      <c r="D71" s="28">
        <v>6</v>
      </c>
      <c r="E71" s="28">
        <v>6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K71" s="28"/>
      <c r="L71" s="44">
        <f t="shared" si="53"/>
        <v>0</v>
      </c>
      <c r="M71" s="44">
        <f t="shared" si="54"/>
        <v>0</v>
      </c>
      <c r="N71" s="44">
        <f t="shared" si="55"/>
        <v>0</v>
      </c>
      <c r="O71" s="44">
        <f t="shared" si="56"/>
        <v>0</v>
      </c>
      <c r="P71" s="28"/>
      <c r="Q71" s="15">
        <v>0</v>
      </c>
      <c r="R71" s="15">
        <v>0</v>
      </c>
      <c r="S71" s="15">
        <v>0</v>
      </c>
      <c r="T71" s="15"/>
      <c r="U71" s="15"/>
      <c r="V71" s="15"/>
      <c r="W71" s="15"/>
      <c r="X71" s="15"/>
      <c r="Y71" s="15"/>
      <c r="Z71" s="15"/>
      <c r="AA71" s="15"/>
      <c r="AB71" s="15"/>
    </row>
    <row r="72" spans="1:28">
      <c r="A72" s="16" t="s">
        <v>78</v>
      </c>
      <c r="B72" s="28"/>
      <c r="C72" s="28"/>
      <c r="D72" s="28">
        <v>9</v>
      </c>
      <c r="E72" s="28">
        <v>14</v>
      </c>
      <c r="F72" s="28">
        <v>2</v>
      </c>
      <c r="G72" s="28">
        <v>0</v>
      </c>
      <c r="H72" s="28">
        <v>0</v>
      </c>
      <c r="I72" s="28">
        <v>0</v>
      </c>
      <c r="J72" s="28">
        <v>0</v>
      </c>
      <c r="K72" s="28"/>
      <c r="L72" s="44">
        <f t="shared" si="53"/>
        <v>0</v>
      </c>
      <c r="M72" s="44">
        <f t="shared" si="54"/>
        <v>0</v>
      </c>
      <c r="N72" s="44">
        <f t="shared" si="55"/>
        <v>0</v>
      </c>
      <c r="O72" s="44">
        <f t="shared" si="56"/>
        <v>0</v>
      </c>
      <c r="P72" s="28"/>
      <c r="Q72" s="15">
        <v>0</v>
      </c>
      <c r="R72" s="15">
        <v>0</v>
      </c>
      <c r="S72" s="15">
        <v>0</v>
      </c>
      <c r="T72" s="15"/>
      <c r="U72" s="15"/>
      <c r="V72" s="15"/>
      <c r="W72" s="15"/>
      <c r="X72" s="15"/>
      <c r="Y72" s="15"/>
      <c r="Z72" s="15"/>
      <c r="AA72" s="15"/>
      <c r="AB72" s="15"/>
    </row>
    <row r="73" spans="1:28">
      <c r="A73" s="16" t="s">
        <v>79</v>
      </c>
      <c r="B73" s="28"/>
      <c r="C73" s="28"/>
      <c r="D73" s="28">
        <v>0</v>
      </c>
      <c r="E73" s="28">
        <v>0</v>
      </c>
      <c r="F73" s="28">
        <v>1</v>
      </c>
      <c r="G73" s="28">
        <v>0</v>
      </c>
      <c r="H73" s="28">
        <v>0</v>
      </c>
      <c r="I73" s="28">
        <v>0</v>
      </c>
      <c r="J73" s="28">
        <v>0</v>
      </c>
      <c r="K73" s="28"/>
      <c r="L73" s="44">
        <f t="shared" si="53"/>
        <v>0</v>
      </c>
      <c r="M73" s="44">
        <f t="shared" si="54"/>
        <v>0</v>
      </c>
      <c r="N73" s="44">
        <f t="shared" si="55"/>
        <v>0</v>
      </c>
      <c r="O73" s="44">
        <f t="shared" si="56"/>
        <v>0</v>
      </c>
      <c r="P73" s="28"/>
      <c r="Q73" s="15">
        <v>0</v>
      </c>
      <c r="R73" s="15">
        <v>0</v>
      </c>
      <c r="S73" s="15">
        <v>0</v>
      </c>
      <c r="T73" s="15"/>
      <c r="U73" s="15"/>
      <c r="V73" s="15"/>
      <c r="W73" s="15"/>
      <c r="X73" s="15"/>
      <c r="Y73" s="15"/>
      <c r="Z73" s="15"/>
      <c r="AA73" s="15"/>
      <c r="AB73" s="15"/>
    </row>
    <row r="74" spans="1:28">
      <c r="A74" s="16" t="s">
        <v>80</v>
      </c>
      <c r="B74" s="28"/>
      <c r="C74" s="28"/>
      <c r="D74" s="28">
        <v>4</v>
      </c>
      <c r="E74" s="28">
        <v>0</v>
      </c>
      <c r="F74" s="28">
        <v>0</v>
      </c>
      <c r="G74" s="28">
        <v>0</v>
      </c>
      <c r="H74" s="28">
        <v>0</v>
      </c>
      <c r="I74" s="28">
        <v>0</v>
      </c>
      <c r="J74" s="28">
        <v>0</v>
      </c>
      <c r="K74" s="28"/>
      <c r="L74" s="44">
        <f t="shared" si="53"/>
        <v>0</v>
      </c>
      <c r="M74" s="44">
        <f t="shared" si="54"/>
        <v>0</v>
      </c>
      <c r="N74" s="44">
        <f t="shared" si="55"/>
        <v>0</v>
      </c>
      <c r="O74" s="44">
        <f t="shared" si="56"/>
        <v>0</v>
      </c>
      <c r="P74" s="28"/>
      <c r="Q74" s="15">
        <v>0</v>
      </c>
      <c r="R74" s="15">
        <v>0</v>
      </c>
      <c r="S74" s="15">
        <v>0</v>
      </c>
      <c r="T74" s="15"/>
      <c r="U74" s="15"/>
      <c r="V74" s="15"/>
      <c r="W74" s="15"/>
      <c r="X74" s="15"/>
      <c r="Y74" s="15"/>
      <c r="Z74" s="15"/>
      <c r="AA74" s="15"/>
      <c r="AB74" s="15"/>
    </row>
    <row r="75" spans="1:28">
      <c r="A75" s="16" t="s">
        <v>82</v>
      </c>
      <c r="B75" s="16"/>
      <c r="C75" s="16"/>
      <c r="D75" s="16">
        <v>26</v>
      </c>
      <c r="E75" s="16">
        <v>32</v>
      </c>
      <c r="F75" s="16">
        <v>9</v>
      </c>
      <c r="G75" s="16">
        <v>2</v>
      </c>
      <c r="H75" s="16">
        <v>1</v>
      </c>
      <c r="I75" s="16">
        <v>0</v>
      </c>
      <c r="J75" s="16">
        <v>0</v>
      </c>
      <c r="K75" s="16"/>
      <c r="L75" s="55">
        <f>SUM(L68:L74)</f>
        <v>0</v>
      </c>
      <c r="M75" s="55">
        <f t="shared" ref="M75:O75" si="57">SUM(M68:M74)</f>
        <v>0</v>
      </c>
      <c r="N75" s="55">
        <f t="shared" si="57"/>
        <v>0</v>
      </c>
      <c r="O75" s="55">
        <f t="shared" si="57"/>
        <v>0</v>
      </c>
      <c r="P75" s="16"/>
      <c r="Q75" s="16">
        <f t="shared" ref="Q75:AB75" si="58">SUM(Q68:Q74)</f>
        <v>0</v>
      </c>
      <c r="R75" s="16">
        <f t="shared" si="58"/>
        <v>0</v>
      </c>
      <c r="S75" s="16">
        <f t="shared" si="58"/>
        <v>0</v>
      </c>
      <c r="T75" s="16">
        <f t="shared" si="58"/>
        <v>0</v>
      </c>
      <c r="U75" s="16">
        <f t="shared" si="58"/>
        <v>0</v>
      </c>
      <c r="V75" s="16">
        <f t="shared" si="58"/>
        <v>0</v>
      </c>
      <c r="W75" s="16">
        <f t="shared" si="58"/>
        <v>0</v>
      </c>
      <c r="X75" s="16">
        <f>SUM(X68:X74)</f>
        <v>0</v>
      </c>
      <c r="Y75" s="16">
        <f>SUM(Y68:Y74)</f>
        <v>0</v>
      </c>
      <c r="Z75" s="16">
        <f t="shared" si="58"/>
        <v>0</v>
      </c>
      <c r="AA75" s="16">
        <f t="shared" si="58"/>
        <v>0</v>
      </c>
      <c r="AB75" s="16">
        <f t="shared" si="58"/>
        <v>0</v>
      </c>
    </row>
    <row r="77" spans="1:28" ht="33">
      <c r="A77" s="57"/>
      <c r="B77" s="57" t="s">
        <v>73</v>
      </c>
      <c r="C77" s="57"/>
      <c r="D77" s="57" t="s">
        <v>41</v>
      </c>
      <c r="E77" s="57" t="s">
        <v>42</v>
      </c>
      <c r="F77" s="57" t="s">
        <v>43</v>
      </c>
      <c r="G77" s="57" t="s">
        <v>44</v>
      </c>
      <c r="H77" s="57" t="s">
        <v>45</v>
      </c>
      <c r="I77" s="57" t="s">
        <v>46</v>
      </c>
      <c r="J77" s="121" t="s">
        <v>47</v>
      </c>
      <c r="K77" s="57"/>
      <c r="L77" s="57" t="s">
        <v>9</v>
      </c>
      <c r="M77" s="57" t="s">
        <v>10</v>
      </c>
      <c r="N77" s="57" t="s">
        <v>11</v>
      </c>
      <c r="O77" s="57" t="s">
        <v>12</v>
      </c>
      <c r="P77" s="57"/>
      <c r="Q77" s="57">
        <v>1</v>
      </c>
      <c r="R77" s="57">
        <v>2</v>
      </c>
      <c r="S77" s="57">
        <v>3</v>
      </c>
      <c r="T77" s="57">
        <v>4</v>
      </c>
      <c r="U77" s="57">
        <v>5</v>
      </c>
      <c r="V77" s="57">
        <v>6</v>
      </c>
      <c r="W77" s="57">
        <v>7</v>
      </c>
      <c r="X77" s="57">
        <v>8</v>
      </c>
      <c r="Y77" s="57">
        <v>9</v>
      </c>
      <c r="Z77" s="57">
        <v>10</v>
      </c>
      <c r="AA77" s="57">
        <v>11</v>
      </c>
      <c r="AB77" s="57">
        <v>12</v>
      </c>
    </row>
    <row r="78" spans="1:28">
      <c r="A78" s="54" t="s">
        <v>74</v>
      </c>
      <c r="B78" s="28"/>
      <c r="C78" s="28"/>
      <c r="D78" s="28">
        <v>82</v>
      </c>
      <c r="E78" s="28">
        <v>78</v>
      </c>
      <c r="F78" s="44">
        <v>89</v>
      </c>
      <c r="G78" s="44">
        <v>83</v>
      </c>
      <c r="H78" s="44">
        <v>61</v>
      </c>
      <c r="I78" s="44">
        <v>75.666666666666671</v>
      </c>
      <c r="J78" s="44">
        <v>57</v>
      </c>
      <c r="K78" s="44"/>
      <c r="L78" s="44">
        <f>IFERROR(AVERAGE(Q78:S78),)</f>
        <v>48.666666666666664</v>
      </c>
      <c r="M78" s="44">
        <f>IFERROR(AVERAGE(T78:V78),)</f>
        <v>0</v>
      </c>
      <c r="N78" s="44">
        <f>IFERROR(AVERAGE(W78:Y78),)</f>
        <v>0</v>
      </c>
      <c r="O78" s="44">
        <f>IFERROR(AVERAGE(Z78:AB78),)</f>
        <v>0</v>
      </c>
      <c r="P78" s="28"/>
      <c r="Q78" s="15">
        <v>62</v>
      </c>
      <c r="R78" s="15">
        <v>52</v>
      </c>
      <c r="S78" s="28">
        <v>32</v>
      </c>
      <c r="T78" s="28"/>
      <c r="U78" s="28"/>
      <c r="V78" s="28"/>
      <c r="W78" s="28"/>
      <c r="X78" s="28"/>
      <c r="Y78" s="28"/>
      <c r="Z78" s="28"/>
      <c r="AA78" s="28"/>
      <c r="AB78" s="28"/>
    </row>
    <row r="79" spans="1:28">
      <c r="A79" s="54" t="s">
        <v>76</v>
      </c>
      <c r="B79" s="28"/>
      <c r="C79" s="28"/>
      <c r="D79" s="28">
        <v>91</v>
      </c>
      <c r="E79" s="28">
        <v>90</v>
      </c>
      <c r="F79" s="44">
        <v>106</v>
      </c>
      <c r="G79" s="44">
        <v>104</v>
      </c>
      <c r="H79" s="44">
        <v>83</v>
      </c>
      <c r="I79" s="44">
        <v>111</v>
      </c>
      <c r="J79" s="44">
        <v>59.5</v>
      </c>
      <c r="K79" s="44"/>
      <c r="L79" s="44">
        <f t="shared" ref="L79:L82" si="59">IFERROR(AVERAGE(Q79:S79),)</f>
        <v>71</v>
      </c>
      <c r="M79" s="44">
        <f t="shared" ref="M79:M82" si="60">IFERROR(AVERAGE(T79:V79),)</f>
        <v>0</v>
      </c>
      <c r="N79" s="44">
        <f t="shared" ref="N79:N82" si="61">IFERROR(AVERAGE(W79:Y79),)</f>
        <v>0</v>
      </c>
      <c r="O79" s="44">
        <f t="shared" ref="O79:O82" si="62">IFERROR(AVERAGE(Z79:AB79),)</f>
        <v>0</v>
      </c>
      <c r="P79" s="28"/>
      <c r="Q79" s="15">
        <v>62</v>
      </c>
      <c r="R79" s="15">
        <v>57</v>
      </c>
      <c r="S79" s="28">
        <v>94</v>
      </c>
      <c r="T79" s="28"/>
      <c r="U79" s="28"/>
      <c r="V79" s="28"/>
      <c r="W79" s="28"/>
      <c r="X79" s="28"/>
      <c r="Y79" s="28"/>
      <c r="Z79" s="28"/>
      <c r="AA79" s="28"/>
      <c r="AB79" s="28"/>
    </row>
    <row r="80" spans="1:28">
      <c r="A80" s="54" t="s">
        <v>77</v>
      </c>
      <c r="B80" s="28"/>
      <c r="C80" s="28"/>
      <c r="D80" s="28">
        <v>85</v>
      </c>
      <c r="E80" s="28">
        <v>80</v>
      </c>
      <c r="F80" s="44">
        <v>98</v>
      </c>
      <c r="G80" s="44">
        <v>95</v>
      </c>
      <c r="H80" s="44">
        <v>78</v>
      </c>
      <c r="I80" s="44">
        <v>102.33333333333333</v>
      </c>
      <c r="J80" s="44">
        <v>74</v>
      </c>
      <c r="K80" s="44"/>
      <c r="L80" s="44">
        <f t="shared" si="59"/>
        <v>79.666666666666671</v>
      </c>
      <c r="M80" s="44">
        <f t="shared" si="60"/>
        <v>0</v>
      </c>
      <c r="N80" s="44">
        <f t="shared" si="61"/>
        <v>0</v>
      </c>
      <c r="O80" s="44">
        <f t="shared" si="62"/>
        <v>0</v>
      </c>
      <c r="P80" s="28"/>
      <c r="Q80" s="15">
        <v>82</v>
      </c>
      <c r="R80" s="15">
        <v>66</v>
      </c>
      <c r="S80" s="28">
        <v>91</v>
      </c>
      <c r="T80" s="28"/>
      <c r="U80" s="28"/>
      <c r="V80" s="28"/>
      <c r="W80" s="28"/>
      <c r="X80" s="28"/>
      <c r="Y80" s="28"/>
      <c r="Z80" s="28"/>
      <c r="AA80" s="15"/>
      <c r="AB80" s="28"/>
    </row>
    <row r="81" spans="1:28">
      <c r="A81" s="54" t="s">
        <v>78</v>
      </c>
      <c r="B81" s="28"/>
      <c r="C81" s="28"/>
      <c r="D81" s="28">
        <v>65</v>
      </c>
      <c r="E81" s="28">
        <v>54</v>
      </c>
      <c r="F81" s="44">
        <v>85</v>
      </c>
      <c r="G81" s="44">
        <v>84</v>
      </c>
      <c r="H81" s="44">
        <v>53</v>
      </c>
      <c r="I81" s="44">
        <v>85.333333333333329</v>
      </c>
      <c r="J81" s="44">
        <v>55.5</v>
      </c>
      <c r="K81" s="44"/>
      <c r="L81" s="44">
        <f t="shared" si="59"/>
        <v>57.666666666666664</v>
      </c>
      <c r="M81" s="44">
        <f t="shared" si="60"/>
        <v>0</v>
      </c>
      <c r="N81" s="44">
        <f t="shared" si="61"/>
        <v>0</v>
      </c>
      <c r="O81" s="44">
        <f t="shared" si="62"/>
        <v>0</v>
      </c>
      <c r="P81" s="28"/>
      <c r="Q81" s="15">
        <v>77</v>
      </c>
      <c r="R81" s="15">
        <v>34</v>
      </c>
      <c r="S81" s="28">
        <v>62</v>
      </c>
      <c r="T81" s="28"/>
      <c r="U81" s="28"/>
      <c r="V81" s="28"/>
      <c r="W81" s="28"/>
      <c r="X81" s="28"/>
      <c r="Y81" s="28"/>
      <c r="Z81" s="28"/>
      <c r="AA81" s="15"/>
      <c r="AB81" s="28"/>
    </row>
    <row r="82" spans="1:28">
      <c r="A82" s="54" t="s">
        <v>80</v>
      </c>
      <c r="B82" s="28"/>
      <c r="C82" s="28"/>
      <c r="D82" s="28">
        <v>48</v>
      </c>
      <c r="E82" s="28">
        <v>56</v>
      </c>
      <c r="F82" s="44">
        <v>76</v>
      </c>
      <c r="G82" s="44">
        <v>69</v>
      </c>
      <c r="H82" s="44">
        <v>37</v>
      </c>
      <c r="I82" s="44">
        <v>60</v>
      </c>
      <c r="J82" s="44">
        <v>39.5</v>
      </c>
      <c r="K82" s="44"/>
      <c r="L82" s="44">
        <f t="shared" si="59"/>
        <v>40</v>
      </c>
      <c r="M82" s="44">
        <f t="shared" si="60"/>
        <v>0</v>
      </c>
      <c r="N82" s="44">
        <f t="shared" si="61"/>
        <v>0</v>
      </c>
      <c r="O82" s="44">
        <f t="shared" si="62"/>
        <v>0</v>
      </c>
      <c r="P82" s="28"/>
      <c r="Q82" s="15">
        <v>51</v>
      </c>
      <c r="R82" s="15">
        <v>28</v>
      </c>
      <c r="S82" s="28">
        <v>41</v>
      </c>
      <c r="T82" s="28"/>
      <c r="U82" s="28"/>
      <c r="V82" s="28"/>
      <c r="W82" s="28"/>
      <c r="X82" s="28"/>
      <c r="Y82" s="28"/>
      <c r="Z82" s="28"/>
      <c r="AA82" s="15"/>
      <c r="AB82" s="28"/>
    </row>
    <row r="83" spans="1:28">
      <c r="A83" s="16" t="s">
        <v>81</v>
      </c>
      <c r="B83" s="16"/>
      <c r="C83" s="16"/>
      <c r="D83" s="16">
        <v>490</v>
      </c>
      <c r="E83" s="16">
        <v>493</v>
      </c>
      <c r="F83" s="55">
        <f>SUM(F78:F82)</f>
        <v>454</v>
      </c>
      <c r="G83" s="55">
        <f t="shared" ref="G83:J83" si="63">SUM(G78:G82)</f>
        <v>435</v>
      </c>
      <c r="H83" s="55">
        <f t="shared" si="63"/>
        <v>312</v>
      </c>
      <c r="I83" s="55">
        <f t="shared" si="63"/>
        <v>434.33333333333331</v>
      </c>
      <c r="J83" s="55">
        <f t="shared" si="63"/>
        <v>285.5</v>
      </c>
      <c r="K83" s="55"/>
      <c r="L83" s="55">
        <f>SUM(L78:L82)</f>
        <v>297</v>
      </c>
      <c r="M83" s="55">
        <f>SUM(M78:M82)</f>
        <v>0</v>
      </c>
      <c r="N83" s="55">
        <f>SUM(N78:N82)</f>
        <v>0</v>
      </c>
      <c r="O83" s="55">
        <f>SUM(O78:O82)</f>
        <v>0</v>
      </c>
      <c r="P83" s="16"/>
      <c r="Q83" s="16">
        <f>SUM(Q78:Q82)</f>
        <v>334</v>
      </c>
      <c r="R83" s="16">
        <f>SUM(R78:R82)</f>
        <v>237</v>
      </c>
      <c r="S83" s="16">
        <f t="shared" ref="S83:AB83" si="64">IF(SUM(S78:S82)=0,"",SUM(S78:S82))</f>
        <v>320</v>
      </c>
      <c r="T83" s="16" t="str">
        <f t="shared" si="64"/>
        <v/>
      </c>
      <c r="U83" s="16" t="str">
        <f t="shared" si="64"/>
        <v/>
      </c>
      <c r="V83" s="16" t="str">
        <f t="shared" si="64"/>
        <v/>
      </c>
      <c r="W83" s="16" t="str">
        <f t="shared" si="64"/>
        <v/>
      </c>
      <c r="X83" s="16" t="str">
        <f t="shared" si="64"/>
        <v/>
      </c>
      <c r="Y83" s="16" t="str">
        <f t="shared" si="64"/>
        <v/>
      </c>
      <c r="Z83" s="16" t="str">
        <f t="shared" si="64"/>
        <v/>
      </c>
      <c r="AA83" s="16" t="str">
        <f t="shared" si="64"/>
        <v/>
      </c>
      <c r="AB83" s="16" t="str">
        <f t="shared" si="64"/>
        <v/>
      </c>
    </row>
    <row r="84" spans="1:28">
      <c r="A84" s="119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2"/>
    </row>
    <row r="85" spans="1:28" ht="31.5">
      <c r="A85" s="56"/>
      <c r="B85" s="57"/>
      <c r="C85" s="57"/>
      <c r="D85" s="57" t="s">
        <v>55</v>
      </c>
      <c r="E85" s="57" t="s">
        <v>56</v>
      </c>
      <c r="F85" s="57" t="s">
        <v>57</v>
      </c>
      <c r="G85" s="57" t="s">
        <v>58</v>
      </c>
      <c r="H85" s="57" t="s">
        <v>59</v>
      </c>
      <c r="I85" s="57" t="s">
        <v>60</v>
      </c>
      <c r="J85" s="57" t="s">
        <v>61</v>
      </c>
      <c r="K85" s="57"/>
      <c r="L85" s="57" t="s">
        <v>9</v>
      </c>
      <c r="M85" s="57" t="s">
        <v>10</v>
      </c>
      <c r="N85" s="57" t="s">
        <v>11</v>
      </c>
      <c r="O85" s="57" t="s">
        <v>12</v>
      </c>
      <c r="P85" s="57"/>
      <c r="Q85" s="57">
        <v>1</v>
      </c>
      <c r="R85" s="57">
        <v>2</v>
      </c>
      <c r="S85" s="57">
        <v>3</v>
      </c>
      <c r="T85" s="57">
        <v>4</v>
      </c>
      <c r="U85" s="57">
        <v>5</v>
      </c>
      <c r="V85" s="57">
        <v>6</v>
      </c>
      <c r="W85" s="57">
        <v>7</v>
      </c>
      <c r="X85" s="57">
        <v>8</v>
      </c>
      <c r="Y85" s="57">
        <v>9</v>
      </c>
      <c r="Z85" s="57">
        <v>10</v>
      </c>
      <c r="AA85" s="57">
        <v>11</v>
      </c>
      <c r="AB85" s="57">
        <v>12</v>
      </c>
    </row>
    <row r="86" spans="1:28">
      <c r="A86" s="54" t="s">
        <v>74</v>
      </c>
      <c r="B86" s="28"/>
      <c r="C86" s="28"/>
      <c r="D86" s="28">
        <v>1</v>
      </c>
      <c r="E86" s="28">
        <v>2</v>
      </c>
      <c r="F86" s="28">
        <v>1</v>
      </c>
      <c r="G86" s="28">
        <v>0</v>
      </c>
      <c r="H86" s="28">
        <v>1</v>
      </c>
      <c r="I86" s="28">
        <v>0</v>
      </c>
      <c r="J86" s="28">
        <v>0</v>
      </c>
      <c r="K86" s="28"/>
      <c r="L86" s="44">
        <f>IFERROR(AVERAGE(Q86:S86),)</f>
        <v>0</v>
      </c>
      <c r="M86" s="44">
        <f>IFERROR(AVERAGE(T86:V86),)</f>
        <v>0</v>
      </c>
      <c r="N86" s="44">
        <f>IFERROR(AVERAGE(W86:Y86),)</f>
        <v>0</v>
      </c>
      <c r="O86" s="44">
        <f>IFERROR(AVERAGE(Z86:AB86),)</f>
        <v>0</v>
      </c>
      <c r="P86" s="28"/>
      <c r="Q86" s="28">
        <v>0</v>
      </c>
      <c r="R86" s="28">
        <v>0</v>
      </c>
      <c r="S86" s="28">
        <v>0</v>
      </c>
      <c r="T86" s="28"/>
      <c r="U86" s="28"/>
      <c r="V86" s="28"/>
      <c r="W86" s="28"/>
      <c r="X86" s="28"/>
      <c r="Y86" s="28"/>
      <c r="Z86" s="28"/>
      <c r="AA86" s="28"/>
      <c r="AB86" s="28"/>
    </row>
    <row r="87" spans="1:28">
      <c r="A87" s="54" t="s">
        <v>76</v>
      </c>
      <c r="B87" s="28"/>
      <c r="C87" s="28"/>
      <c r="D87" s="28">
        <v>5</v>
      </c>
      <c r="E87" s="28">
        <v>7</v>
      </c>
      <c r="F87" s="28">
        <v>1</v>
      </c>
      <c r="G87" s="28">
        <v>1</v>
      </c>
      <c r="H87" s="28">
        <v>0</v>
      </c>
      <c r="I87" s="28">
        <v>0</v>
      </c>
      <c r="J87" s="28">
        <v>0</v>
      </c>
      <c r="K87" s="28"/>
      <c r="L87" s="44">
        <f t="shared" ref="L87:L90" si="65">IFERROR(AVERAGE(Q87:S87),)</f>
        <v>0</v>
      </c>
      <c r="M87" s="44">
        <f t="shared" ref="M87:M90" si="66">IFERROR(AVERAGE(T87:V87),)</f>
        <v>0</v>
      </c>
      <c r="N87" s="44">
        <f t="shared" ref="N87:N90" si="67">IFERROR(AVERAGE(W87:Y87),)</f>
        <v>0</v>
      </c>
      <c r="O87" s="44">
        <f t="shared" ref="O87:O90" si="68">IFERROR(AVERAGE(Z87:AB87),)</f>
        <v>0</v>
      </c>
      <c r="P87" s="28"/>
      <c r="Q87" s="28">
        <v>0</v>
      </c>
      <c r="R87" s="28">
        <v>0</v>
      </c>
      <c r="S87" s="28">
        <v>0</v>
      </c>
      <c r="T87" s="28"/>
      <c r="U87" s="28"/>
      <c r="V87" s="28"/>
      <c r="W87" s="28"/>
      <c r="X87" s="28"/>
      <c r="Y87" s="28"/>
      <c r="Z87" s="28"/>
      <c r="AA87" s="28"/>
      <c r="AB87" s="28"/>
    </row>
    <row r="88" spans="1:28">
      <c r="A88" s="54" t="s">
        <v>77</v>
      </c>
      <c r="B88" s="28"/>
      <c r="C88" s="28"/>
      <c r="D88" s="28">
        <v>6</v>
      </c>
      <c r="E88" s="28">
        <v>6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/>
      <c r="L88" s="44">
        <f t="shared" si="65"/>
        <v>0</v>
      </c>
      <c r="M88" s="44">
        <f t="shared" si="66"/>
        <v>0</v>
      </c>
      <c r="N88" s="44">
        <f t="shared" si="67"/>
        <v>0</v>
      </c>
      <c r="O88" s="44">
        <f t="shared" si="68"/>
        <v>0</v>
      </c>
      <c r="P88" s="28"/>
      <c r="Q88" s="15">
        <v>0</v>
      </c>
      <c r="R88" s="15">
        <v>0</v>
      </c>
      <c r="S88" s="15">
        <v>0</v>
      </c>
      <c r="T88" s="15"/>
      <c r="U88" s="15"/>
      <c r="V88" s="15"/>
      <c r="W88" s="15"/>
      <c r="X88" s="15"/>
      <c r="Y88" s="15"/>
      <c r="Z88" s="15"/>
      <c r="AA88" s="15"/>
      <c r="AB88" s="15"/>
    </row>
    <row r="89" spans="1:28">
      <c r="A89" s="54" t="s">
        <v>78</v>
      </c>
      <c r="B89" s="28"/>
      <c r="C89" s="28"/>
      <c r="D89" s="28">
        <v>9</v>
      </c>
      <c r="E89" s="28">
        <v>14</v>
      </c>
      <c r="F89" s="28">
        <v>2</v>
      </c>
      <c r="G89" s="28">
        <v>0</v>
      </c>
      <c r="H89" s="28">
        <v>0</v>
      </c>
      <c r="I89" s="28">
        <v>0</v>
      </c>
      <c r="J89" s="28">
        <v>0</v>
      </c>
      <c r="K89" s="28"/>
      <c r="L89" s="44">
        <f t="shared" si="65"/>
        <v>0</v>
      </c>
      <c r="M89" s="44">
        <f t="shared" si="66"/>
        <v>0</v>
      </c>
      <c r="N89" s="44">
        <f t="shared" si="67"/>
        <v>0</v>
      </c>
      <c r="O89" s="44">
        <f t="shared" si="68"/>
        <v>0</v>
      </c>
      <c r="P89" s="28"/>
      <c r="Q89" s="15">
        <v>0</v>
      </c>
      <c r="R89" s="15">
        <v>0</v>
      </c>
      <c r="S89" s="15">
        <v>0</v>
      </c>
      <c r="T89" s="15"/>
      <c r="U89" s="15"/>
      <c r="V89" s="15"/>
      <c r="W89" s="15"/>
      <c r="X89" s="15"/>
      <c r="Y89" s="15"/>
      <c r="Z89" s="15"/>
      <c r="AA89" s="15"/>
      <c r="AB89" s="15"/>
    </row>
    <row r="90" spans="1:28">
      <c r="A90" s="54" t="s">
        <v>80</v>
      </c>
      <c r="B90" s="28"/>
      <c r="C90" s="28"/>
      <c r="D90" s="28">
        <v>4</v>
      </c>
      <c r="E90" s="28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/>
      <c r="L90" s="44">
        <f t="shared" si="65"/>
        <v>0</v>
      </c>
      <c r="M90" s="44">
        <f t="shared" si="66"/>
        <v>0</v>
      </c>
      <c r="N90" s="44">
        <f t="shared" si="67"/>
        <v>0</v>
      </c>
      <c r="O90" s="44">
        <f t="shared" si="68"/>
        <v>0</v>
      </c>
      <c r="P90" s="28"/>
      <c r="Q90" s="15">
        <v>0</v>
      </c>
      <c r="R90" s="15">
        <v>0</v>
      </c>
      <c r="S90" s="15">
        <v>0</v>
      </c>
      <c r="T90" s="15"/>
      <c r="U90" s="15"/>
      <c r="V90" s="15"/>
      <c r="W90" s="15"/>
      <c r="X90" s="15"/>
      <c r="Y90" s="15"/>
      <c r="Z90" s="15"/>
      <c r="AA90" s="15"/>
      <c r="AB90" s="15"/>
    </row>
    <row r="91" spans="1:28">
      <c r="A91" s="16" t="s">
        <v>82</v>
      </c>
      <c r="B91" s="16"/>
      <c r="C91" s="16"/>
      <c r="D91" s="16">
        <v>26</v>
      </c>
      <c r="E91" s="16">
        <v>32</v>
      </c>
      <c r="F91" s="55">
        <f>SUM(F86:F90)</f>
        <v>4</v>
      </c>
      <c r="G91" s="55">
        <f t="shared" ref="G91:J91" si="69">SUM(G86:G90)</f>
        <v>1</v>
      </c>
      <c r="H91" s="55">
        <f t="shared" si="69"/>
        <v>1</v>
      </c>
      <c r="I91" s="55">
        <f t="shared" si="69"/>
        <v>0</v>
      </c>
      <c r="J91" s="55">
        <f t="shared" si="69"/>
        <v>0</v>
      </c>
      <c r="K91" s="16"/>
      <c r="L91" s="55">
        <f>SUM(L86:L90)</f>
        <v>0</v>
      </c>
      <c r="M91" s="55">
        <f>SUM(M86:M90)</f>
        <v>0</v>
      </c>
      <c r="N91" s="55">
        <f>SUM(N86:N90)</f>
        <v>0</v>
      </c>
      <c r="O91" s="55">
        <f>SUM(O86:O90)</f>
        <v>0</v>
      </c>
      <c r="P91" s="16"/>
      <c r="Q91" s="16">
        <f t="shared" ref="Q91:AB91" si="70">SUM(Q86:Q90)</f>
        <v>0</v>
      </c>
      <c r="R91" s="16">
        <f t="shared" si="70"/>
        <v>0</v>
      </c>
      <c r="S91" s="16">
        <f t="shared" si="70"/>
        <v>0</v>
      </c>
      <c r="T91" s="16">
        <f t="shared" si="70"/>
        <v>0</v>
      </c>
      <c r="U91" s="16">
        <f t="shared" si="70"/>
        <v>0</v>
      </c>
      <c r="V91" s="16">
        <f t="shared" si="70"/>
        <v>0</v>
      </c>
      <c r="W91" s="16">
        <f t="shared" si="70"/>
        <v>0</v>
      </c>
      <c r="X91" s="16">
        <f t="shared" si="70"/>
        <v>0</v>
      </c>
      <c r="Y91" s="16">
        <f t="shared" si="70"/>
        <v>0</v>
      </c>
      <c r="Z91" s="16">
        <f t="shared" si="70"/>
        <v>0</v>
      </c>
      <c r="AA91" s="16">
        <f t="shared" si="70"/>
        <v>0</v>
      </c>
      <c r="AB91" s="16">
        <f t="shared" si="70"/>
        <v>0</v>
      </c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38"/>
  <sheetViews>
    <sheetView tabSelected="1" zoomScale="80" zoomScaleNormal="80" workbookViewId="0">
      <pane xSplit="1" topLeftCell="B129" activePane="topRight" state="frozen"/>
      <selection pane="topRight" activeCell="Y145" sqref="A139:Y145"/>
    </sheetView>
  </sheetViews>
  <sheetFormatPr defaultColWidth="9" defaultRowHeight="13.5"/>
  <cols>
    <col min="1" max="1" width="13.5" style="1" bestFit="1" customWidth="1"/>
    <col min="2" max="6" width="15.125" style="1" bestFit="1" customWidth="1"/>
    <col min="7" max="7" width="15.125" style="1" customWidth="1"/>
    <col min="8" max="10" width="16.375" style="8" customWidth="1"/>
    <col min="11" max="19" width="13.875" style="1" bestFit="1" customWidth="1"/>
    <col min="20" max="22" width="15" style="1" bestFit="1" customWidth="1"/>
    <col min="23" max="23" width="9" style="1" customWidth="1"/>
    <col min="24" max="25" width="4.875" style="1" customWidth="1"/>
    <col min="26" max="26" width="4.625" style="1" customWidth="1"/>
    <col min="27" max="27" width="4.875" style="1" customWidth="1"/>
    <col min="28" max="28" width="5" style="1" customWidth="1"/>
    <col min="29" max="31" width="5.125" style="1" customWidth="1"/>
    <col min="32" max="32" width="4.5" style="1" customWidth="1"/>
    <col min="33" max="36" width="5.125" style="1" customWidth="1"/>
    <col min="37" max="40" width="5.5" style="1" customWidth="1"/>
    <col min="41" max="45" width="6.625" style="1" customWidth="1"/>
    <col min="46" max="76" width="9" style="1" customWidth="1"/>
    <col min="77" max="80" width="9" style="1"/>
    <col min="81" max="81" width="16.625" style="1" bestFit="1" customWidth="1"/>
    <col min="82" max="16384" width="9" style="1"/>
  </cols>
  <sheetData>
    <row r="1" spans="1:77" ht="15.75">
      <c r="A1" s="149" t="s">
        <v>83</v>
      </c>
      <c r="B1" s="133" t="s">
        <v>84</v>
      </c>
      <c r="C1" s="133" t="s">
        <v>85</v>
      </c>
      <c r="D1" s="133" t="s">
        <v>86</v>
      </c>
      <c r="E1" s="133" t="s">
        <v>87</v>
      </c>
      <c r="F1" s="133" t="s">
        <v>88</v>
      </c>
      <c r="G1" s="133" t="s">
        <v>89</v>
      </c>
      <c r="H1" s="133" t="s">
        <v>90</v>
      </c>
      <c r="I1" s="133" t="s">
        <v>91</v>
      </c>
      <c r="J1" s="61"/>
      <c r="K1" s="133" t="s">
        <v>92</v>
      </c>
      <c r="L1" s="133" t="s">
        <v>93</v>
      </c>
      <c r="M1" s="141" t="s">
        <v>94</v>
      </c>
      <c r="N1" s="141" t="s">
        <v>95</v>
      </c>
      <c r="O1" s="141" t="s">
        <v>96</v>
      </c>
      <c r="P1" s="141" t="s">
        <v>97</v>
      </c>
      <c r="Q1" s="141" t="s">
        <v>98</v>
      </c>
      <c r="R1" s="141" t="s">
        <v>99</v>
      </c>
      <c r="S1" s="141" t="s">
        <v>100</v>
      </c>
      <c r="T1" s="141" t="s">
        <v>101</v>
      </c>
      <c r="U1" s="141" t="s">
        <v>102</v>
      </c>
      <c r="V1" s="141" t="s">
        <v>103</v>
      </c>
      <c r="W1" s="133"/>
      <c r="X1" s="134" t="s">
        <v>104</v>
      </c>
      <c r="Y1" s="135"/>
      <c r="Z1" s="135"/>
      <c r="AA1" s="135"/>
      <c r="AB1" s="136"/>
      <c r="AC1" s="134" t="s">
        <v>105</v>
      </c>
      <c r="AD1" s="135"/>
      <c r="AE1" s="135"/>
      <c r="AF1" s="136"/>
      <c r="AG1" s="134" t="s">
        <v>106</v>
      </c>
      <c r="AH1" s="135"/>
      <c r="AI1" s="135"/>
      <c r="AJ1" s="136"/>
      <c r="AK1" s="134" t="s">
        <v>107</v>
      </c>
      <c r="AL1" s="137"/>
      <c r="AM1" s="137"/>
      <c r="AN1" s="137"/>
      <c r="AO1" s="135" t="s">
        <v>108</v>
      </c>
      <c r="AP1" s="137"/>
      <c r="AQ1" s="137"/>
      <c r="AR1" s="137"/>
      <c r="AS1" s="138"/>
      <c r="AT1" s="134" t="s">
        <v>109</v>
      </c>
      <c r="AU1" s="135"/>
      <c r="AV1" s="135"/>
      <c r="AW1" s="136"/>
      <c r="AX1" s="134" t="s">
        <v>110</v>
      </c>
      <c r="AY1" s="135"/>
      <c r="AZ1" s="135"/>
      <c r="BA1" s="135"/>
      <c r="BB1" s="136"/>
      <c r="BC1" s="146" t="s">
        <v>111</v>
      </c>
      <c r="BD1" s="137"/>
      <c r="BE1" s="137"/>
      <c r="BF1" s="138"/>
      <c r="BG1" s="146" t="s">
        <v>112</v>
      </c>
      <c r="BH1" s="137"/>
      <c r="BI1" s="137"/>
      <c r="BJ1" s="138"/>
      <c r="BK1" s="146" t="s">
        <v>113</v>
      </c>
      <c r="BL1" s="137"/>
      <c r="BM1" s="137"/>
      <c r="BN1" s="137"/>
      <c r="BO1" s="138"/>
      <c r="BP1" s="146" t="s">
        <v>114</v>
      </c>
      <c r="BQ1" s="137"/>
      <c r="BR1" s="137"/>
      <c r="BS1" s="138"/>
      <c r="BT1" s="146" t="s">
        <v>115</v>
      </c>
      <c r="BU1" s="137"/>
      <c r="BV1" s="137"/>
      <c r="BW1" s="137"/>
      <c r="BX1" s="138"/>
    </row>
    <row r="2" spans="1:77" ht="13.9" customHeight="1">
      <c r="A2" s="150"/>
      <c r="B2" s="132"/>
      <c r="C2" s="132"/>
      <c r="D2" s="132"/>
      <c r="E2" s="132"/>
      <c r="F2" s="132"/>
      <c r="G2" s="132"/>
      <c r="H2" s="132"/>
      <c r="I2" s="132"/>
      <c r="J2" s="96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4" t="s">
        <v>116</v>
      </c>
      <c r="Y2" s="69" t="s">
        <v>117</v>
      </c>
      <c r="Z2" s="14" t="s">
        <v>118</v>
      </c>
      <c r="AA2" s="69" t="s">
        <v>119</v>
      </c>
      <c r="AB2" s="14" t="s">
        <v>120</v>
      </c>
      <c r="AC2" s="69" t="s">
        <v>121</v>
      </c>
      <c r="AD2" s="69" t="s">
        <v>122</v>
      </c>
      <c r="AE2" s="69" t="s">
        <v>123</v>
      </c>
      <c r="AF2" s="69" t="s">
        <v>124</v>
      </c>
      <c r="AG2" s="14" t="s">
        <v>125</v>
      </c>
      <c r="AH2" s="69" t="s">
        <v>126</v>
      </c>
      <c r="AI2" s="69" t="s">
        <v>127</v>
      </c>
      <c r="AJ2" s="69" t="s">
        <v>128</v>
      </c>
      <c r="AK2" s="69" t="s">
        <v>129</v>
      </c>
      <c r="AL2" s="69" t="s">
        <v>130</v>
      </c>
      <c r="AM2" s="69" t="s">
        <v>131</v>
      </c>
      <c r="AN2" s="69" t="s">
        <v>132</v>
      </c>
      <c r="AO2" s="69" t="s">
        <v>133</v>
      </c>
      <c r="AP2" s="69" t="s">
        <v>134</v>
      </c>
      <c r="AQ2" s="69" t="s">
        <v>135</v>
      </c>
      <c r="AR2" s="69" t="s">
        <v>136</v>
      </c>
      <c r="AS2" s="69" t="s">
        <v>137</v>
      </c>
      <c r="AT2" s="69" t="s">
        <v>138</v>
      </c>
      <c r="AU2" s="69" t="s">
        <v>139</v>
      </c>
      <c r="AV2" s="69" t="s">
        <v>140</v>
      </c>
      <c r="AW2" s="69" t="s">
        <v>141</v>
      </c>
      <c r="AX2" s="69" t="s">
        <v>142</v>
      </c>
      <c r="AY2" s="69" t="s">
        <v>143</v>
      </c>
      <c r="AZ2" s="69" t="s">
        <v>144</v>
      </c>
      <c r="BA2" s="69" t="s">
        <v>145</v>
      </c>
      <c r="BB2" s="69" t="s">
        <v>146</v>
      </c>
      <c r="BC2" s="69" t="s">
        <v>147</v>
      </c>
      <c r="BD2" s="69" t="s">
        <v>148</v>
      </c>
      <c r="BE2" s="69" t="s">
        <v>149</v>
      </c>
      <c r="BF2" s="69" t="s">
        <v>150</v>
      </c>
      <c r="BG2" s="69" t="s">
        <v>151</v>
      </c>
      <c r="BH2" s="69" t="s">
        <v>152</v>
      </c>
      <c r="BI2" s="69" t="s">
        <v>153</v>
      </c>
      <c r="BJ2" s="69" t="s">
        <v>154</v>
      </c>
      <c r="BK2" s="69" t="s">
        <v>155</v>
      </c>
      <c r="BL2" s="69" t="s">
        <v>156</v>
      </c>
      <c r="BM2" s="69" t="s">
        <v>157</v>
      </c>
      <c r="BN2" s="69" t="s">
        <v>158</v>
      </c>
      <c r="BO2" s="69" t="s">
        <v>159</v>
      </c>
      <c r="BP2" s="69" t="s">
        <v>160</v>
      </c>
      <c r="BQ2" s="69" t="s">
        <v>161</v>
      </c>
      <c r="BR2" s="69" t="s">
        <v>162</v>
      </c>
      <c r="BS2" s="69" t="s">
        <v>163</v>
      </c>
      <c r="BT2" s="69" t="s">
        <v>164</v>
      </c>
      <c r="BU2" s="69" t="s">
        <v>165</v>
      </c>
      <c r="BV2" s="69" t="s">
        <v>166</v>
      </c>
      <c r="BW2" s="69" t="s">
        <v>167</v>
      </c>
      <c r="BX2" s="69"/>
    </row>
    <row r="3" spans="1:77" ht="23.25" customHeight="1">
      <c r="A3" s="9" t="s">
        <v>168</v>
      </c>
      <c r="B3" s="6">
        <v>0.54</v>
      </c>
      <c r="C3" s="6">
        <v>0.09</v>
      </c>
      <c r="D3" s="6">
        <v>0.16</v>
      </c>
      <c r="E3" s="6">
        <v>0.12</v>
      </c>
      <c r="F3" s="6">
        <v>0.03</v>
      </c>
      <c r="G3" s="6">
        <v>0.01</v>
      </c>
      <c r="H3" s="6">
        <f>AVERAGE(K67:V67)/G56*100</f>
        <v>0</v>
      </c>
      <c r="I3" s="6">
        <f>AVERAGE(L67:W67)/H56*100</f>
        <v>0</v>
      </c>
      <c r="J3" s="62"/>
      <c r="K3" s="2">
        <f>K67/K56</f>
        <v>0</v>
      </c>
      <c r="L3" s="2">
        <f>L67/L56</f>
        <v>0</v>
      </c>
      <c r="M3" s="2">
        <f>M67/M56</f>
        <v>0</v>
      </c>
      <c r="N3" s="2" t="e">
        <f>N67/N56</f>
        <v>#DIV/0!</v>
      </c>
      <c r="O3" s="2" t="e">
        <f>O67/O56</f>
        <v>#DIV/0!</v>
      </c>
      <c r="P3" s="2" t="e">
        <f>P67/P56</f>
        <v>#DIV/0!</v>
      </c>
      <c r="Q3" s="2" t="e">
        <f>Q67/Q56</f>
        <v>#DIV/0!</v>
      </c>
      <c r="R3" s="2" t="e">
        <f>R67/R56</f>
        <v>#DIV/0!</v>
      </c>
      <c r="S3" s="2" t="e">
        <f>S67/S56</f>
        <v>#DIV/0!</v>
      </c>
      <c r="T3" s="2" t="e">
        <f>T67/T56</f>
        <v>#DIV/0!</v>
      </c>
      <c r="U3" s="2" t="e">
        <f>U67/U56</f>
        <v>#DIV/0!</v>
      </c>
      <c r="V3" s="2" t="e">
        <f>V67/V56</f>
        <v>#DIV/0!</v>
      </c>
      <c r="W3" s="86"/>
      <c r="X3" s="69">
        <v>0</v>
      </c>
      <c r="Y3" s="69">
        <v>0</v>
      </c>
      <c r="Z3" s="69">
        <v>0</v>
      </c>
      <c r="AA3" s="69">
        <v>0</v>
      </c>
      <c r="AB3" s="69">
        <v>0</v>
      </c>
      <c r="AC3" s="69">
        <v>0</v>
      </c>
      <c r="AD3" s="69">
        <v>0</v>
      </c>
      <c r="AE3" s="69">
        <v>0</v>
      </c>
      <c r="AF3" s="69">
        <v>0</v>
      </c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1">
        <v>6</v>
      </c>
    </row>
    <row r="4" spans="1:77" ht="23.25" customHeight="1">
      <c r="A4" s="10" t="s">
        <v>169</v>
      </c>
      <c r="B4" s="7">
        <v>0.68</v>
      </c>
      <c r="C4" s="7">
        <v>0.28999999999999998</v>
      </c>
      <c r="D4" s="7">
        <v>0.3</v>
      </c>
      <c r="E4" s="7">
        <v>0.22</v>
      </c>
      <c r="F4" s="7">
        <v>0.09</v>
      </c>
      <c r="G4" s="7">
        <v>0.19</v>
      </c>
      <c r="H4" s="7">
        <f>AVERAGE(K23:V23)/G14*100</f>
        <v>0.16198704103671707</v>
      </c>
      <c r="I4" s="7">
        <f>AVERAGE(L23:W23)/H14*100</f>
        <v>3.5311357898267975E-2</v>
      </c>
      <c r="J4" s="63"/>
      <c r="K4" s="2">
        <f>K23/K14</f>
        <v>1.7283950617283949E-2</v>
      </c>
      <c r="L4" s="2">
        <f>L23/L14</f>
        <v>2.3474178403755869E-3</v>
      </c>
      <c r="M4" s="2">
        <f>M23/M14</f>
        <v>2.0661157024793389E-3</v>
      </c>
      <c r="N4" s="2" t="e">
        <f>N23/N14</f>
        <v>#DIV/0!</v>
      </c>
      <c r="O4" s="2" t="e">
        <f>O23/O14</f>
        <v>#DIV/0!</v>
      </c>
      <c r="P4" s="2" t="e">
        <f>P23/P14</f>
        <v>#DIV/0!</v>
      </c>
      <c r="Q4" s="2" t="e">
        <f>Q23/Q14</f>
        <v>#DIV/0!</v>
      </c>
      <c r="R4" s="2" t="e">
        <f>R23/R14</f>
        <v>#DIV/0!</v>
      </c>
      <c r="S4" s="2" t="e">
        <f>S23/S14</f>
        <v>#DIV/0!</v>
      </c>
      <c r="T4" s="2" t="e">
        <f>T23/T14</f>
        <v>#DIV/0!</v>
      </c>
      <c r="U4" s="2" t="e">
        <f>U23/U14</f>
        <v>#DIV/0!</v>
      </c>
      <c r="V4" s="2" t="e">
        <f>V23/V14</f>
        <v>#DIV/0!</v>
      </c>
      <c r="W4" s="87"/>
      <c r="X4" s="69">
        <v>0</v>
      </c>
      <c r="Y4" s="69">
        <v>0</v>
      </c>
      <c r="Z4" s="69">
        <v>0</v>
      </c>
      <c r="AA4" s="69">
        <v>0</v>
      </c>
      <c r="AB4" s="69">
        <v>0</v>
      </c>
      <c r="AC4" s="69">
        <v>0</v>
      </c>
      <c r="AD4" s="69">
        <v>0</v>
      </c>
      <c r="AE4" s="69">
        <v>0</v>
      </c>
      <c r="AF4" s="69">
        <v>0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</row>
    <row r="5" spans="1:77" ht="23.25" customHeight="1">
      <c r="A5" s="11" t="s">
        <v>170</v>
      </c>
      <c r="B5" s="12">
        <v>0.17</v>
      </c>
      <c r="C5" s="12">
        <v>0.19</v>
      </c>
      <c r="D5" s="12">
        <v>0.11</v>
      </c>
      <c r="E5" s="12">
        <v>0.13</v>
      </c>
      <c r="F5" s="12">
        <v>0.05</v>
      </c>
      <c r="G5" s="12">
        <v>0.06</v>
      </c>
      <c r="H5" s="12">
        <f>AVERAGE(K45:V45)/G34*100</f>
        <v>4.1459369817578771E-2</v>
      </c>
      <c r="I5" s="12">
        <f>AVERAGE(L45:W45)/H34*100</f>
        <v>3.0609121518212427E-2</v>
      </c>
      <c r="J5" s="64"/>
      <c r="K5" s="13">
        <f>K45/K34</f>
        <v>1.2690355329949238E-3</v>
      </c>
      <c r="L5" s="13">
        <f>L45/L34</f>
        <v>3.7359900373599006E-3</v>
      </c>
      <c r="M5" s="13">
        <f>M45/M34</f>
        <v>0</v>
      </c>
      <c r="N5" s="13" t="e">
        <f>N45/N34</f>
        <v>#DIV/0!</v>
      </c>
      <c r="O5" s="13" t="e">
        <f>O45/O34</f>
        <v>#DIV/0!</v>
      </c>
      <c r="P5" s="13" t="e">
        <f>P45/P34</f>
        <v>#DIV/0!</v>
      </c>
      <c r="Q5" s="13" t="e">
        <f>Q45/Q34</f>
        <v>#DIV/0!</v>
      </c>
      <c r="R5" s="13" t="e">
        <f>R45/R34</f>
        <v>#DIV/0!</v>
      </c>
      <c r="S5" s="13" t="e">
        <f>S45/S34</f>
        <v>#DIV/0!</v>
      </c>
      <c r="T5" s="13" t="e">
        <f>T45/T34</f>
        <v>#DIV/0!</v>
      </c>
      <c r="U5" s="13" t="e">
        <f>U45/U34</f>
        <v>#DIV/0!</v>
      </c>
      <c r="V5" s="13" t="e">
        <f>V45/V34</f>
        <v>#DIV/0!</v>
      </c>
      <c r="W5" s="88"/>
      <c r="X5" s="69">
        <v>0</v>
      </c>
      <c r="Y5" s="69">
        <v>0</v>
      </c>
      <c r="Z5" s="69">
        <v>0</v>
      </c>
      <c r="AA5" s="69">
        <v>0</v>
      </c>
      <c r="AB5" s="69">
        <v>0</v>
      </c>
      <c r="AC5" s="69">
        <v>0</v>
      </c>
      <c r="AD5" s="69">
        <v>2</v>
      </c>
      <c r="AE5" s="69">
        <v>0</v>
      </c>
      <c r="AF5" s="69">
        <v>0</v>
      </c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9"/>
      <c r="BN5" s="69"/>
      <c r="BO5" s="69"/>
      <c r="BP5" s="69"/>
      <c r="BQ5" s="69"/>
      <c r="BR5" s="69"/>
      <c r="BS5" s="69"/>
      <c r="BT5" s="69"/>
      <c r="BU5" s="69"/>
      <c r="BV5" s="69"/>
      <c r="BW5" s="69"/>
      <c r="BX5" s="69"/>
    </row>
    <row r="6" spans="1:77" ht="23.25" customHeight="1">
      <c r="A6" s="3"/>
      <c r="B6" s="3"/>
      <c r="C6" s="3"/>
      <c r="D6" s="3"/>
      <c r="E6" s="3"/>
      <c r="F6" s="3"/>
      <c r="G6" s="3"/>
      <c r="H6" s="3"/>
      <c r="I6" s="65"/>
      <c r="J6" s="6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5"/>
    </row>
    <row r="7" spans="1:77" ht="15.75">
      <c r="A7" s="147" t="s">
        <v>171</v>
      </c>
      <c r="B7" s="144" t="s">
        <v>172</v>
      </c>
      <c r="C7" s="144" t="s">
        <v>173</v>
      </c>
      <c r="D7" s="144" t="s">
        <v>174</v>
      </c>
      <c r="E7" s="144" t="s">
        <v>175</v>
      </c>
      <c r="F7" s="144" t="s">
        <v>176</v>
      </c>
      <c r="G7" s="131" t="s">
        <v>177</v>
      </c>
      <c r="H7" s="131" t="s">
        <v>178</v>
      </c>
      <c r="I7" s="131" t="s">
        <v>179</v>
      </c>
      <c r="J7" s="97"/>
      <c r="K7" s="139" t="s">
        <v>180</v>
      </c>
      <c r="L7" s="139" t="s">
        <v>181</v>
      </c>
      <c r="M7" s="131" t="s">
        <v>182</v>
      </c>
      <c r="N7" s="131" t="s">
        <v>183</v>
      </c>
      <c r="O7" s="131" t="s">
        <v>184</v>
      </c>
      <c r="P7" s="139" t="s">
        <v>185</v>
      </c>
      <c r="Q7" s="139" t="s">
        <v>186</v>
      </c>
      <c r="R7" s="131" t="s">
        <v>187</v>
      </c>
      <c r="S7" s="131" t="s">
        <v>188</v>
      </c>
      <c r="T7" s="131" t="s">
        <v>189</v>
      </c>
      <c r="U7" s="131" t="s">
        <v>190</v>
      </c>
      <c r="V7" s="131" t="s">
        <v>191</v>
      </c>
      <c r="W7" s="142"/>
      <c r="X7" s="134" t="s">
        <v>104</v>
      </c>
      <c r="Y7" s="135"/>
      <c r="Z7" s="135"/>
      <c r="AA7" s="135"/>
      <c r="AB7" s="136"/>
      <c r="AC7" s="134" t="s">
        <v>105</v>
      </c>
      <c r="AD7" s="135"/>
      <c r="AE7" s="135"/>
      <c r="AF7" s="136"/>
      <c r="AG7" s="134" t="s">
        <v>106</v>
      </c>
      <c r="AH7" s="135"/>
      <c r="AI7" s="135"/>
      <c r="AJ7" s="136"/>
      <c r="AK7" s="134" t="s">
        <v>107</v>
      </c>
      <c r="AL7" s="135"/>
      <c r="AM7" s="135"/>
      <c r="AN7" s="135"/>
      <c r="AO7" s="135" t="s">
        <v>192</v>
      </c>
      <c r="AP7" s="137" t="s">
        <v>108</v>
      </c>
      <c r="AQ7" s="137"/>
      <c r="AR7" s="137"/>
      <c r="AS7" s="138"/>
      <c r="AT7" s="134" t="s">
        <v>109</v>
      </c>
      <c r="AU7" s="135"/>
      <c r="AV7" s="135"/>
      <c r="AW7" s="136"/>
      <c r="AX7" s="134" t="s">
        <v>110</v>
      </c>
      <c r="AY7" s="135"/>
      <c r="AZ7" s="135"/>
      <c r="BA7" s="135"/>
      <c r="BB7" s="136"/>
      <c r="BC7" s="146" t="s">
        <v>111</v>
      </c>
      <c r="BD7" s="137"/>
      <c r="BE7" s="137"/>
      <c r="BF7" s="138"/>
      <c r="BG7" s="146" t="s">
        <v>112</v>
      </c>
      <c r="BH7" s="137"/>
      <c r="BI7" s="137"/>
      <c r="BJ7" s="138"/>
      <c r="BK7" s="146" t="s">
        <v>113</v>
      </c>
      <c r="BL7" s="137"/>
      <c r="BM7" s="137"/>
      <c r="BN7" s="137"/>
      <c r="BO7" s="138"/>
      <c r="BP7" s="146" t="s">
        <v>193</v>
      </c>
      <c r="BQ7" s="137"/>
      <c r="BR7" s="137"/>
      <c r="BS7" s="138"/>
      <c r="BT7" s="146" t="s">
        <v>115</v>
      </c>
      <c r="BU7" s="137"/>
      <c r="BV7" s="137"/>
      <c r="BW7" s="137"/>
      <c r="BX7" s="138"/>
    </row>
    <row r="8" spans="1:77" ht="15.75">
      <c r="A8" s="148"/>
      <c r="B8" s="145"/>
      <c r="C8" s="145"/>
      <c r="D8" s="145"/>
      <c r="E8" s="145"/>
      <c r="F8" s="145"/>
      <c r="G8" s="132"/>
      <c r="H8" s="132"/>
      <c r="I8" s="132"/>
      <c r="J8" s="98"/>
      <c r="K8" s="140"/>
      <c r="L8" s="140"/>
      <c r="M8" s="132"/>
      <c r="N8" s="132"/>
      <c r="O8" s="132"/>
      <c r="P8" s="140"/>
      <c r="Q8" s="140"/>
      <c r="R8" s="132"/>
      <c r="S8" s="132"/>
      <c r="T8" s="132"/>
      <c r="U8" s="132"/>
      <c r="V8" s="132"/>
      <c r="W8" s="143"/>
      <c r="X8" s="69" t="s">
        <v>194</v>
      </c>
      <c r="Y8" s="14" t="s">
        <v>195</v>
      </c>
      <c r="Z8" s="69" t="s">
        <v>118</v>
      </c>
      <c r="AA8" s="69" t="s">
        <v>119</v>
      </c>
      <c r="AB8" s="14" t="s">
        <v>120</v>
      </c>
      <c r="AC8" s="69" t="s">
        <v>121</v>
      </c>
      <c r="AD8" s="69" t="s">
        <v>122</v>
      </c>
      <c r="AE8" s="69" t="s">
        <v>123</v>
      </c>
      <c r="AF8" s="69" t="s">
        <v>124</v>
      </c>
      <c r="AG8" s="14" t="s">
        <v>125</v>
      </c>
      <c r="AH8" s="69" t="s">
        <v>126</v>
      </c>
      <c r="AI8" s="69" t="s">
        <v>127</v>
      </c>
      <c r="AJ8" s="69" t="s">
        <v>128</v>
      </c>
      <c r="AK8" s="69" t="s">
        <v>129</v>
      </c>
      <c r="AL8" s="69" t="s">
        <v>130</v>
      </c>
      <c r="AM8" s="69" t="s">
        <v>131</v>
      </c>
      <c r="AN8" s="69" t="s">
        <v>132</v>
      </c>
      <c r="AO8" s="69" t="s">
        <v>133</v>
      </c>
      <c r="AP8" s="69" t="s">
        <v>134</v>
      </c>
      <c r="AQ8" s="69" t="s">
        <v>135</v>
      </c>
      <c r="AR8" s="69" t="s">
        <v>136</v>
      </c>
      <c r="AS8" s="69" t="s">
        <v>137</v>
      </c>
      <c r="AT8" s="69" t="s">
        <v>138</v>
      </c>
      <c r="AU8" s="69" t="s">
        <v>139</v>
      </c>
      <c r="AV8" s="69" t="s">
        <v>140</v>
      </c>
      <c r="AW8" s="69" t="s">
        <v>141</v>
      </c>
      <c r="AX8" s="69" t="s">
        <v>196</v>
      </c>
      <c r="AY8" s="69" t="s">
        <v>197</v>
      </c>
      <c r="AZ8" s="69" t="s">
        <v>144</v>
      </c>
      <c r="BA8" s="69" t="s">
        <v>145</v>
      </c>
      <c r="BB8" s="69" t="s">
        <v>146</v>
      </c>
      <c r="BC8" s="69" t="s">
        <v>198</v>
      </c>
      <c r="BD8" s="69" t="s">
        <v>199</v>
      </c>
      <c r="BE8" s="69" t="s">
        <v>200</v>
      </c>
      <c r="BF8" s="69" t="s">
        <v>201</v>
      </c>
      <c r="BG8" s="69" t="s">
        <v>151</v>
      </c>
      <c r="BH8" s="69" t="s">
        <v>152</v>
      </c>
      <c r="BI8" s="69" t="s">
        <v>153</v>
      </c>
      <c r="BJ8" s="69" t="s">
        <v>154</v>
      </c>
      <c r="BK8" s="69" t="s">
        <v>155</v>
      </c>
      <c r="BL8" s="69" t="s">
        <v>156</v>
      </c>
      <c r="BM8" s="69" t="s">
        <v>157</v>
      </c>
      <c r="BN8" s="69" t="s">
        <v>158</v>
      </c>
      <c r="BO8" s="69" t="s">
        <v>159</v>
      </c>
      <c r="BP8" s="69" t="s">
        <v>202</v>
      </c>
      <c r="BQ8" s="69" t="s">
        <v>203</v>
      </c>
      <c r="BR8" s="69" t="s">
        <v>162</v>
      </c>
      <c r="BS8" s="69" t="s">
        <v>163</v>
      </c>
      <c r="BT8" s="69" t="s">
        <v>164</v>
      </c>
      <c r="BU8" s="69" t="s">
        <v>165</v>
      </c>
      <c r="BV8" s="69" t="s">
        <v>166</v>
      </c>
      <c r="BW8" s="69" t="s">
        <v>167</v>
      </c>
      <c r="BX8" s="69"/>
    </row>
    <row r="9" spans="1:77" ht="15.75">
      <c r="A9" s="71" t="s">
        <v>204</v>
      </c>
      <c r="B9" s="28">
        <v>106</v>
      </c>
      <c r="C9" s="28">
        <v>113</v>
      </c>
      <c r="D9" s="28">
        <v>120</v>
      </c>
      <c r="E9" s="60">
        <v>119</v>
      </c>
      <c r="F9" s="60">
        <v>116</v>
      </c>
      <c r="G9" s="44">
        <v>97</v>
      </c>
      <c r="H9" s="44">
        <v>100.08333333333333</v>
      </c>
      <c r="I9" s="44">
        <f>AVERAGE(K9:V9)</f>
        <v>76.333333333333329</v>
      </c>
      <c r="J9" s="68"/>
      <c r="K9" s="28">
        <v>83</v>
      </c>
      <c r="L9" s="15">
        <v>67</v>
      </c>
      <c r="M9" s="28">
        <v>79</v>
      </c>
      <c r="N9" s="28"/>
      <c r="O9" s="28"/>
      <c r="P9" s="28"/>
      <c r="Q9" s="28"/>
      <c r="R9" s="28"/>
      <c r="S9" s="28"/>
      <c r="T9" s="28"/>
      <c r="U9" s="28"/>
      <c r="V9" s="46"/>
      <c r="W9" s="95"/>
      <c r="X9" s="70"/>
      <c r="Y9" s="15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</row>
    <row r="10" spans="1:77" ht="13.9" customHeight="1">
      <c r="A10" s="71" t="s">
        <v>205</v>
      </c>
      <c r="B10" s="28">
        <v>101</v>
      </c>
      <c r="C10" s="28">
        <v>106</v>
      </c>
      <c r="D10" s="28">
        <v>122</v>
      </c>
      <c r="E10" s="60">
        <v>119</v>
      </c>
      <c r="F10" s="60">
        <v>117</v>
      </c>
      <c r="G10" s="44">
        <v>103</v>
      </c>
      <c r="H10" s="44">
        <v>105.91666666666667</v>
      </c>
      <c r="I10" s="44">
        <f t="shared" ref="I10:I13" si="0">AVERAGE(K10:V10)</f>
        <v>99</v>
      </c>
      <c r="J10" s="68"/>
      <c r="K10" s="28">
        <v>83</v>
      </c>
      <c r="L10" s="15">
        <v>104</v>
      </c>
      <c r="M10" s="28">
        <v>110</v>
      </c>
      <c r="N10" s="28"/>
      <c r="O10" s="28"/>
      <c r="P10" s="28"/>
      <c r="Q10" s="28"/>
      <c r="R10" s="28"/>
      <c r="S10" s="28"/>
      <c r="T10" s="28"/>
      <c r="U10" s="28"/>
      <c r="V10" s="46"/>
      <c r="W10" s="95"/>
      <c r="X10" s="70"/>
      <c r="Y10" s="15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69"/>
      <c r="BR10" s="69"/>
      <c r="BS10" s="69"/>
      <c r="BT10" s="69"/>
      <c r="BU10" s="69"/>
      <c r="BV10" s="69"/>
      <c r="BW10" s="69"/>
      <c r="BX10" s="69"/>
    </row>
    <row r="11" spans="1:77" ht="15.75">
      <c r="A11" s="71" t="s">
        <v>206</v>
      </c>
      <c r="B11" s="28">
        <v>111</v>
      </c>
      <c r="C11" s="28">
        <v>117</v>
      </c>
      <c r="D11" s="28">
        <v>125</v>
      </c>
      <c r="E11" s="60">
        <v>127</v>
      </c>
      <c r="F11" s="60">
        <v>126</v>
      </c>
      <c r="G11" s="44">
        <v>113</v>
      </c>
      <c r="H11" s="44">
        <v>113.16666666666667</v>
      </c>
      <c r="I11" s="44">
        <f t="shared" si="0"/>
        <v>101.66666666666667</v>
      </c>
      <c r="J11" s="68"/>
      <c r="K11" s="28">
        <v>87</v>
      </c>
      <c r="L11" s="15">
        <v>102</v>
      </c>
      <c r="M11" s="28">
        <v>116</v>
      </c>
      <c r="N11" s="28"/>
      <c r="O11" s="28"/>
      <c r="P11" s="28"/>
      <c r="Q11" s="28"/>
      <c r="R11" s="28"/>
      <c r="S11" s="28"/>
      <c r="T11" s="28"/>
      <c r="U11" s="28"/>
      <c r="V11" s="46"/>
      <c r="W11" s="95"/>
      <c r="X11" s="70"/>
      <c r="Y11" s="15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</row>
    <row r="12" spans="1:77" ht="15.75">
      <c r="A12" s="71" t="s">
        <v>207</v>
      </c>
      <c r="B12" s="28">
        <v>107</v>
      </c>
      <c r="C12" s="28">
        <v>115</v>
      </c>
      <c r="D12" s="28">
        <v>122</v>
      </c>
      <c r="E12" s="60">
        <v>122</v>
      </c>
      <c r="F12" s="60">
        <v>118</v>
      </c>
      <c r="G12" s="44">
        <v>104</v>
      </c>
      <c r="H12" s="44">
        <v>110.75</v>
      </c>
      <c r="I12" s="44">
        <f t="shared" si="0"/>
        <v>99.666666666666671</v>
      </c>
      <c r="J12" s="68"/>
      <c r="K12" s="28">
        <v>87</v>
      </c>
      <c r="L12" s="15">
        <v>100</v>
      </c>
      <c r="M12" s="28">
        <v>112</v>
      </c>
      <c r="N12" s="28"/>
      <c r="O12" s="28"/>
      <c r="P12" s="28"/>
      <c r="Q12" s="28"/>
      <c r="R12" s="28"/>
      <c r="S12" s="28"/>
      <c r="T12" s="28"/>
      <c r="U12" s="28"/>
      <c r="V12" s="46"/>
      <c r="W12" s="95"/>
      <c r="X12" s="70"/>
      <c r="Y12" s="15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</row>
    <row r="13" spans="1:77" ht="15.75">
      <c r="A13" s="71" t="s">
        <v>208</v>
      </c>
      <c r="B13" s="28">
        <v>78</v>
      </c>
      <c r="C13" s="28">
        <v>89</v>
      </c>
      <c r="D13" s="28">
        <v>99</v>
      </c>
      <c r="E13" s="60">
        <v>87</v>
      </c>
      <c r="F13" s="60">
        <v>90</v>
      </c>
      <c r="G13" s="44">
        <v>49</v>
      </c>
      <c r="H13" s="44">
        <v>71.75</v>
      </c>
      <c r="I13" s="44">
        <f t="shared" si="0"/>
        <v>61.666666666666664</v>
      </c>
      <c r="J13" s="68"/>
      <c r="K13" s="28">
        <v>65</v>
      </c>
      <c r="L13" s="15">
        <v>53</v>
      </c>
      <c r="M13" s="28">
        <v>67</v>
      </c>
      <c r="N13" s="28"/>
      <c r="O13" s="28"/>
      <c r="P13" s="28"/>
      <c r="Q13" s="28"/>
      <c r="R13" s="28"/>
      <c r="S13" s="28"/>
      <c r="T13" s="28"/>
      <c r="U13" s="28"/>
      <c r="V13" s="46"/>
      <c r="W13" s="95"/>
      <c r="X13" s="70"/>
      <c r="Y13" s="15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</row>
    <row r="14" spans="1:77" ht="15.75">
      <c r="A14" s="73" t="s">
        <v>209</v>
      </c>
      <c r="B14" s="48">
        <v>501</v>
      </c>
      <c r="C14" s="48">
        <v>540</v>
      </c>
      <c r="D14" s="48">
        <v>588</v>
      </c>
      <c r="E14" s="82">
        <v>573</v>
      </c>
      <c r="F14" s="82">
        <v>566</v>
      </c>
      <c r="G14" s="82">
        <v>463</v>
      </c>
      <c r="H14" s="82">
        <v>514.9</v>
      </c>
      <c r="I14" s="82">
        <f>IF(AVERAGE(L14:U14)=0,"",AVERAGE(L14:U14))</f>
        <v>91</v>
      </c>
      <c r="J14" s="75"/>
      <c r="K14" s="76">
        <f>SUM(K9:K13)</f>
        <v>405</v>
      </c>
      <c r="L14" s="76">
        <f t="shared" ref="L14:P14" si="1">SUM(L9:L13)</f>
        <v>426</v>
      </c>
      <c r="M14" s="76">
        <f t="shared" si="1"/>
        <v>484</v>
      </c>
      <c r="N14" s="76">
        <f t="shared" si="1"/>
        <v>0</v>
      </c>
      <c r="O14" s="76">
        <f t="shared" si="1"/>
        <v>0</v>
      </c>
      <c r="P14" s="76">
        <f t="shared" si="1"/>
        <v>0</v>
      </c>
      <c r="Q14" s="76">
        <f t="shared" ref="Q14:V14" si="2">SUM(Q9:Q13)</f>
        <v>0</v>
      </c>
      <c r="R14" s="76">
        <f t="shared" si="2"/>
        <v>0</v>
      </c>
      <c r="S14" s="76">
        <f t="shared" si="2"/>
        <v>0</v>
      </c>
      <c r="T14" s="76">
        <f t="shared" si="2"/>
        <v>0</v>
      </c>
      <c r="U14" s="76">
        <f t="shared" si="2"/>
        <v>0</v>
      </c>
      <c r="V14" s="77">
        <f t="shared" si="2"/>
        <v>0</v>
      </c>
      <c r="W14" s="95"/>
      <c r="X14" s="69">
        <f>SUM(X9:X13)</f>
        <v>0</v>
      </c>
      <c r="Y14" s="69">
        <f t="shared" ref="Y14:BW14" si="3">SUM(Y9:Y13)</f>
        <v>0</v>
      </c>
      <c r="Z14" s="69">
        <f t="shared" si="3"/>
        <v>0</v>
      </c>
      <c r="AA14" s="69">
        <f t="shared" si="3"/>
        <v>0</v>
      </c>
      <c r="AB14" s="69">
        <f t="shared" si="3"/>
        <v>0</v>
      </c>
      <c r="AC14" s="69">
        <f t="shared" si="3"/>
        <v>0</v>
      </c>
      <c r="AD14" s="69">
        <f t="shared" si="3"/>
        <v>0</v>
      </c>
      <c r="AE14" s="69">
        <f t="shared" si="3"/>
        <v>0</v>
      </c>
      <c r="AF14" s="69">
        <f t="shared" si="3"/>
        <v>0</v>
      </c>
      <c r="AG14" s="69">
        <f t="shared" si="3"/>
        <v>0</v>
      </c>
      <c r="AH14" s="69">
        <f t="shared" si="3"/>
        <v>0</v>
      </c>
      <c r="AI14" s="69">
        <f t="shared" si="3"/>
        <v>0</v>
      </c>
      <c r="AJ14" s="69">
        <f t="shared" si="3"/>
        <v>0</v>
      </c>
      <c r="AK14" s="69">
        <f t="shared" si="3"/>
        <v>0</v>
      </c>
      <c r="AL14" s="69">
        <f t="shared" si="3"/>
        <v>0</v>
      </c>
      <c r="AM14" s="69">
        <f t="shared" si="3"/>
        <v>0</v>
      </c>
      <c r="AN14" s="69">
        <f t="shared" si="3"/>
        <v>0</v>
      </c>
      <c r="AO14" s="69">
        <f t="shared" si="3"/>
        <v>0</v>
      </c>
      <c r="AP14" s="69">
        <f t="shared" si="3"/>
        <v>0</v>
      </c>
      <c r="AQ14" s="69">
        <f t="shared" si="3"/>
        <v>0</v>
      </c>
      <c r="AR14" s="69">
        <f t="shared" si="3"/>
        <v>0</v>
      </c>
      <c r="AS14" s="69">
        <f t="shared" si="3"/>
        <v>0</v>
      </c>
      <c r="AT14" s="69">
        <f t="shared" si="3"/>
        <v>0</v>
      </c>
      <c r="AU14" s="69">
        <f t="shared" si="3"/>
        <v>0</v>
      </c>
      <c r="AV14" s="69">
        <f t="shared" si="3"/>
        <v>0</v>
      </c>
      <c r="AW14" s="69">
        <f t="shared" si="3"/>
        <v>0</v>
      </c>
      <c r="AX14" s="69">
        <f t="shared" si="3"/>
        <v>0</v>
      </c>
      <c r="AY14" s="69">
        <f t="shared" si="3"/>
        <v>0</v>
      </c>
      <c r="AZ14" s="69">
        <f t="shared" si="3"/>
        <v>0</v>
      </c>
      <c r="BA14" s="69">
        <f t="shared" si="3"/>
        <v>0</v>
      </c>
      <c r="BB14" s="69">
        <f t="shared" si="3"/>
        <v>0</v>
      </c>
      <c r="BC14" s="69">
        <f t="shared" si="3"/>
        <v>0</v>
      </c>
      <c r="BD14" s="69">
        <f t="shared" si="3"/>
        <v>0</v>
      </c>
      <c r="BE14" s="69">
        <f t="shared" si="3"/>
        <v>0</v>
      </c>
      <c r="BF14" s="69">
        <f t="shared" si="3"/>
        <v>0</v>
      </c>
      <c r="BG14" s="69">
        <f t="shared" si="3"/>
        <v>0</v>
      </c>
      <c r="BH14" s="69">
        <f t="shared" si="3"/>
        <v>0</v>
      </c>
      <c r="BI14" s="69">
        <f t="shared" si="3"/>
        <v>0</v>
      </c>
      <c r="BJ14" s="69">
        <f t="shared" si="3"/>
        <v>0</v>
      </c>
      <c r="BK14" s="69">
        <f t="shared" si="3"/>
        <v>0</v>
      </c>
      <c r="BL14" s="69">
        <f t="shared" si="3"/>
        <v>0</v>
      </c>
      <c r="BM14" s="69">
        <f t="shared" si="3"/>
        <v>0</v>
      </c>
      <c r="BN14" s="69">
        <f t="shared" si="3"/>
        <v>0</v>
      </c>
      <c r="BO14" s="69">
        <f t="shared" si="3"/>
        <v>0</v>
      </c>
      <c r="BP14" s="69">
        <f t="shared" si="3"/>
        <v>0</v>
      </c>
      <c r="BQ14" s="69">
        <f t="shared" si="3"/>
        <v>0</v>
      </c>
      <c r="BR14" s="69">
        <f t="shared" si="3"/>
        <v>0</v>
      </c>
      <c r="BS14" s="69">
        <f t="shared" si="3"/>
        <v>0</v>
      </c>
      <c r="BT14" s="69">
        <f t="shared" si="3"/>
        <v>0</v>
      </c>
      <c r="BU14" s="69">
        <f t="shared" si="3"/>
        <v>0</v>
      </c>
      <c r="BV14" s="69">
        <f t="shared" si="3"/>
        <v>0</v>
      </c>
      <c r="BW14" s="69">
        <f t="shared" si="3"/>
        <v>0</v>
      </c>
      <c r="BX14" s="69"/>
    </row>
    <row r="15" spans="1:77">
      <c r="H15" s="1"/>
      <c r="I15" s="1"/>
      <c r="J15" s="1"/>
    </row>
    <row r="16" spans="1:77" ht="15.75">
      <c r="A16" s="147" t="s">
        <v>210</v>
      </c>
      <c r="B16" s="131" t="s">
        <v>211</v>
      </c>
      <c r="C16" s="131" t="s">
        <v>212</v>
      </c>
      <c r="D16" s="131" t="s">
        <v>213</v>
      </c>
      <c r="E16" s="131" t="s">
        <v>214</v>
      </c>
      <c r="F16" s="131" t="s">
        <v>215</v>
      </c>
      <c r="G16" s="131" t="s">
        <v>216</v>
      </c>
      <c r="H16" s="131" t="s">
        <v>217</v>
      </c>
      <c r="I16" s="131" t="s">
        <v>218</v>
      </c>
      <c r="J16" s="97"/>
      <c r="K16" s="131" t="s">
        <v>219</v>
      </c>
      <c r="L16" s="131" t="s">
        <v>220</v>
      </c>
      <c r="M16" s="131" t="s">
        <v>221</v>
      </c>
      <c r="N16" s="131" t="s">
        <v>222</v>
      </c>
      <c r="O16" s="131" t="s">
        <v>223</v>
      </c>
      <c r="P16" s="131" t="s">
        <v>224</v>
      </c>
      <c r="Q16" s="131" t="s">
        <v>225</v>
      </c>
      <c r="R16" s="131" t="s">
        <v>226</v>
      </c>
      <c r="S16" s="131" t="s">
        <v>227</v>
      </c>
      <c r="T16" s="131" t="s">
        <v>228</v>
      </c>
      <c r="U16" s="131" t="s">
        <v>229</v>
      </c>
      <c r="V16" s="131" t="s">
        <v>230</v>
      </c>
      <c r="W16" s="142"/>
      <c r="X16" s="134" t="s">
        <v>104</v>
      </c>
      <c r="Y16" s="135"/>
      <c r="Z16" s="135"/>
      <c r="AA16" s="135"/>
      <c r="AB16" s="136"/>
      <c r="AC16" s="134" t="s">
        <v>105</v>
      </c>
      <c r="AD16" s="135"/>
      <c r="AE16" s="135"/>
      <c r="AF16" s="136"/>
      <c r="AG16" s="134" t="s">
        <v>106</v>
      </c>
      <c r="AH16" s="135"/>
      <c r="AI16" s="135"/>
      <c r="AJ16" s="136"/>
      <c r="AK16" s="134" t="s">
        <v>107</v>
      </c>
      <c r="AL16" s="135"/>
      <c r="AM16" s="135"/>
      <c r="AN16" s="135"/>
      <c r="AO16" s="135" t="s">
        <v>108</v>
      </c>
      <c r="AP16" s="137" t="s">
        <v>108</v>
      </c>
      <c r="AQ16" s="137"/>
      <c r="AR16" s="137"/>
      <c r="AS16" s="138"/>
      <c r="AT16" s="134" t="s">
        <v>109</v>
      </c>
      <c r="AU16" s="135"/>
      <c r="AV16" s="135"/>
      <c r="AW16" s="136"/>
      <c r="AX16" s="134" t="s">
        <v>110</v>
      </c>
      <c r="AY16" s="135"/>
      <c r="AZ16" s="135"/>
      <c r="BA16" s="135"/>
      <c r="BB16" s="136"/>
      <c r="BC16" s="146" t="s">
        <v>111</v>
      </c>
      <c r="BD16" s="137"/>
      <c r="BE16" s="137"/>
      <c r="BF16" s="138"/>
      <c r="BG16" s="146" t="s">
        <v>112</v>
      </c>
      <c r="BH16" s="137"/>
      <c r="BI16" s="137"/>
      <c r="BJ16" s="138"/>
      <c r="BK16" s="146" t="s">
        <v>113</v>
      </c>
      <c r="BL16" s="137"/>
      <c r="BM16" s="137"/>
      <c r="BN16" s="137"/>
      <c r="BO16" s="138"/>
      <c r="BP16" s="146" t="s">
        <v>193</v>
      </c>
      <c r="BQ16" s="137"/>
      <c r="BR16" s="137"/>
      <c r="BS16" s="138"/>
      <c r="BT16" s="146" t="s">
        <v>115</v>
      </c>
      <c r="BU16" s="137"/>
      <c r="BV16" s="137"/>
      <c r="BW16" s="137"/>
      <c r="BX16" s="138"/>
    </row>
    <row r="17" spans="1:76" ht="15.75">
      <c r="A17" s="148"/>
      <c r="B17" s="132"/>
      <c r="C17" s="132"/>
      <c r="D17" s="132"/>
      <c r="E17" s="132"/>
      <c r="F17" s="132"/>
      <c r="G17" s="132"/>
      <c r="H17" s="132"/>
      <c r="I17" s="132"/>
      <c r="J17" s="98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43"/>
      <c r="X17" s="69" t="s">
        <v>194</v>
      </c>
      <c r="Y17" s="14" t="s">
        <v>195</v>
      </c>
      <c r="Z17" s="69" t="s">
        <v>118</v>
      </c>
      <c r="AA17" s="69" t="s">
        <v>119</v>
      </c>
      <c r="AB17" s="14" t="s">
        <v>120</v>
      </c>
      <c r="AC17" s="69" t="s">
        <v>121</v>
      </c>
      <c r="AD17" s="69" t="s">
        <v>122</v>
      </c>
      <c r="AE17" s="69" t="s">
        <v>123</v>
      </c>
      <c r="AF17" s="69" t="s">
        <v>124</v>
      </c>
      <c r="AG17" s="14" t="s">
        <v>125</v>
      </c>
      <c r="AH17" s="69" t="s">
        <v>126</v>
      </c>
      <c r="AI17" s="69" t="s">
        <v>127</v>
      </c>
      <c r="AJ17" s="69" t="s">
        <v>128</v>
      </c>
      <c r="AK17" s="69" t="s">
        <v>129</v>
      </c>
      <c r="AL17" s="69" t="s">
        <v>130</v>
      </c>
      <c r="AM17" s="69" t="s">
        <v>131</v>
      </c>
      <c r="AN17" s="69" t="s">
        <v>132</v>
      </c>
      <c r="AO17" s="69" t="s">
        <v>133</v>
      </c>
      <c r="AP17" s="69" t="s">
        <v>134</v>
      </c>
      <c r="AQ17" s="69" t="s">
        <v>135</v>
      </c>
      <c r="AR17" s="69" t="s">
        <v>136</v>
      </c>
      <c r="AS17" s="69" t="s">
        <v>137</v>
      </c>
      <c r="AT17" s="69" t="s">
        <v>138</v>
      </c>
      <c r="AU17" s="69" t="s">
        <v>139</v>
      </c>
      <c r="AV17" s="69" t="s">
        <v>140</v>
      </c>
      <c r="AW17" s="69" t="s">
        <v>141</v>
      </c>
      <c r="AX17" s="69" t="s">
        <v>196</v>
      </c>
      <c r="AY17" s="69" t="s">
        <v>197</v>
      </c>
      <c r="AZ17" s="69" t="s">
        <v>144</v>
      </c>
      <c r="BA17" s="69" t="s">
        <v>145</v>
      </c>
      <c r="BB17" s="69" t="s">
        <v>146</v>
      </c>
      <c r="BC17" s="69" t="s">
        <v>198</v>
      </c>
      <c r="BD17" s="69" t="s">
        <v>199</v>
      </c>
      <c r="BE17" s="69" t="s">
        <v>200</v>
      </c>
      <c r="BF17" s="69" t="s">
        <v>201</v>
      </c>
      <c r="BG17" s="69" t="s">
        <v>151</v>
      </c>
      <c r="BH17" s="69" t="s">
        <v>152</v>
      </c>
      <c r="BI17" s="69" t="s">
        <v>153</v>
      </c>
      <c r="BJ17" s="69" t="s">
        <v>154</v>
      </c>
      <c r="BK17" s="69" t="s">
        <v>155</v>
      </c>
      <c r="BL17" s="69" t="s">
        <v>156</v>
      </c>
      <c r="BM17" s="69" t="s">
        <v>157</v>
      </c>
      <c r="BN17" s="69" t="s">
        <v>158</v>
      </c>
      <c r="BO17" s="69" t="s">
        <v>159</v>
      </c>
      <c r="BP17" s="69" t="s">
        <v>202</v>
      </c>
      <c r="BQ17" s="69" t="s">
        <v>203</v>
      </c>
      <c r="BR17" s="69" t="s">
        <v>162</v>
      </c>
      <c r="BS17" s="69" t="s">
        <v>163</v>
      </c>
      <c r="BT17" s="69" t="s">
        <v>164</v>
      </c>
      <c r="BU17" s="69" t="s">
        <v>165</v>
      </c>
      <c r="BV17" s="69" t="s">
        <v>166</v>
      </c>
      <c r="BW17" s="69" t="s">
        <v>167</v>
      </c>
      <c r="BX17" s="69"/>
    </row>
    <row r="18" spans="1:76" ht="15.75">
      <c r="A18" s="71" t="s">
        <v>204</v>
      </c>
      <c r="B18" s="28">
        <v>19</v>
      </c>
      <c r="C18" s="28">
        <v>8</v>
      </c>
      <c r="D18" s="28">
        <v>9</v>
      </c>
      <c r="E18" s="28">
        <v>4</v>
      </c>
      <c r="F18" s="28">
        <v>4</v>
      </c>
      <c r="G18" s="28">
        <v>2</v>
      </c>
      <c r="H18" s="28">
        <v>8</v>
      </c>
      <c r="I18" s="44">
        <f>AVERAGE(K18:V18)</f>
        <v>1.3333333333333333</v>
      </c>
      <c r="J18" s="15"/>
      <c r="K18" s="44">
        <v>2</v>
      </c>
      <c r="L18" s="15">
        <v>1</v>
      </c>
      <c r="M18" s="15">
        <v>1</v>
      </c>
      <c r="N18" s="15"/>
      <c r="O18" s="15"/>
      <c r="P18" s="15"/>
      <c r="Q18" s="15"/>
      <c r="R18" s="15"/>
      <c r="S18" s="15"/>
      <c r="T18" s="15"/>
      <c r="U18" s="15"/>
      <c r="V18" s="72"/>
      <c r="W18" s="95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69"/>
      <c r="BQ18" s="69"/>
      <c r="BR18" s="69"/>
      <c r="BS18" s="69"/>
      <c r="BT18" s="69"/>
      <c r="BU18" s="69"/>
      <c r="BV18" s="69"/>
      <c r="BW18" s="69"/>
      <c r="BX18" s="69"/>
    </row>
    <row r="19" spans="1:76" ht="15.75">
      <c r="A19" s="71" t="s">
        <v>205</v>
      </c>
      <c r="B19" s="28">
        <v>8</v>
      </c>
      <c r="C19" s="28">
        <v>7</v>
      </c>
      <c r="D19" s="28">
        <v>5</v>
      </c>
      <c r="E19" s="28">
        <v>2</v>
      </c>
      <c r="F19" s="28">
        <v>0</v>
      </c>
      <c r="G19" s="28">
        <v>2</v>
      </c>
      <c r="H19" s="28">
        <v>2</v>
      </c>
      <c r="I19" s="44">
        <f t="shared" ref="I19:I22" si="4">AVERAGE(K19:V19)</f>
        <v>0.33333333333333331</v>
      </c>
      <c r="J19" s="15"/>
      <c r="K19" s="44">
        <v>1</v>
      </c>
      <c r="L19" s="15">
        <v>0</v>
      </c>
      <c r="M19" s="15">
        <v>0</v>
      </c>
      <c r="N19" s="15"/>
      <c r="O19" s="15"/>
      <c r="P19" s="15"/>
      <c r="Q19" s="15"/>
      <c r="R19" s="15"/>
      <c r="S19" s="15"/>
      <c r="T19" s="15"/>
      <c r="U19" s="15"/>
      <c r="V19" s="72"/>
      <c r="W19" s="95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</row>
    <row r="20" spans="1:76" ht="15.75">
      <c r="A20" s="71" t="s">
        <v>206</v>
      </c>
      <c r="B20" s="28">
        <v>4</v>
      </c>
      <c r="C20" s="28">
        <v>2</v>
      </c>
      <c r="D20" s="28">
        <v>2</v>
      </c>
      <c r="E20" s="28">
        <v>3</v>
      </c>
      <c r="F20" s="28">
        <v>0</v>
      </c>
      <c r="G20" s="28">
        <v>0</v>
      </c>
      <c r="H20" s="28">
        <v>0</v>
      </c>
      <c r="I20" s="44">
        <f t="shared" si="4"/>
        <v>0.66666666666666663</v>
      </c>
      <c r="J20" s="15"/>
      <c r="K20" s="44">
        <v>2</v>
      </c>
      <c r="L20" s="15">
        <v>0</v>
      </c>
      <c r="M20" s="15">
        <v>0</v>
      </c>
      <c r="N20" s="15"/>
      <c r="O20" s="15"/>
      <c r="P20" s="15"/>
      <c r="Q20" s="15"/>
      <c r="R20" s="15"/>
      <c r="S20" s="15"/>
      <c r="T20" s="15"/>
      <c r="U20" s="15"/>
      <c r="V20" s="72"/>
      <c r="W20" s="95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</row>
    <row r="21" spans="1:76" ht="15.75">
      <c r="A21" s="71" t="s">
        <v>207</v>
      </c>
      <c r="B21" s="28">
        <v>5</v>
      </c>
      <c r="C21" s="28">
        <v>0</v>
      </c>
      <c r="D21" s="28">
        <v>4</v>
      </c>
      <c r="E21" s="28">
        <v>3</v>
      </c>
      <c r="F21" s="28">
        <v>2</v>
      </c>
      <c r="G21" s="28">
        <v>4</v>
      </c>
      <c r="H21" s="28">
        <v>2</v>
      </c>
      <c r="I21" s="44">
        <f t="shared" si="4"/>
        <v>0.33333333333333331</v>
      </c>
      <c r="J21" s="15"/>
      <c r="K21" s="44">
        <v>1</v>
      </c>
      <c r="L21" s="15">
        <v>0</v>
      </c>
      <c r="M21" s="15">
        <v>0</v>
      </c>
      <c r="N21" s="15"/>
      <c r="O21" s="15"/>
      <c r="P21" s="15"/>
      <c r="Q21" s="15"/>
      <c r="R21" s="15"/>
      <c r="S21" s="15"/>
      <c r="T21" s="15"/>
      <c r="U21" s="15"/>
      <c r="V21" s="72"/>
      <c r="W21" s="95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</row>
    <row r="22" spans="1:76" ht="15.75">
      <c r="A22" s="71" t="s">
        <v>208</v>
      </c>
      <c r="B22" s="28">
        <v>5</v>
      </c>
      <c r="C22" s="28">
        <v>2</v>
      </c>
      <c r="D22" s="28">
        <v>2</v>
      </c>
      <c r="E22" s="28">
        <v>3</v>
      </c>
      <c r="F22" s="28">
        <v>1</v>
      </c>
      <c r="G22" s="28">
        <v>5</v>
      </c>
      <c r="H22" s="28">
        <v>2</v>
      </c>
      <c r="I22" s="44">
        <f t="shared" si="4"/>
        <v>0.33333333333333331</v>
      </c>
      <c r="J22" s="15"/>
      <c r="K22" s="44">
        <v>1</v>
      </c>
      <c r="L22" s="15">
        <v>0</v>
      </c>
      <c r="M22" s="15">
        <v>0</v>
      </c>
      <c r="N22" s="15"/>
      <c r="O22" s="15"/>
      <c r="P22" s="15"/>
      <c r="Q22" s="15"/>
      <c r="R22" s="15"/>
      <c r="S22" s="15"/>
      <c r="T22" s="15"/>
      <c r="U22" s="15"/>
      <c r="V22" s="72"/>
      <c r="W22" s="95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</row>
    <row r="23" spans="1:76" ht="15.75">
      <c r="A23" s="73" t="s">
        <v>209</v>
      </c>
      <c r="B23" s="48">
        <v>41</v>
      </c>
      <c r="C23" s="48">
        <v>19</v>
      </c>
      <c r="D23" s="48">
        <v>22</v>
      </c>
      <c r="E23" s="48">
        <v>15</v>
      </c>
      <c r="F23" s="48">
        <v>7</v>
      </c>
      <c r="G23" s="48">
        <v>13</v>
      </c>
      <c r="H23" s="48">
        <f>SUM(H18:H22)</f>
        <v>14</v>
      </c>
      <c r="I23" s="48">
        <f>SUM(I18:I22)</f>
        <v>3</v>
      </c>
      <c r="J23" s="78"/>
      <c r="K23" s="76">
        <f>SUM(K18:K22)</f>
        <v>7</v>
      </c>
      <c r="L23" s="76">
        <f t="shared" ref="L23:V23" si="5">SUM(L18:L22)</f>
        <v>1</v>
      </c>
      <c r="M23" s="76">
        <f t="shared" si="5"/>
        <v>1</v>
      </c>
      <c r="N23" s="76">
        <f t="shared" si="5"/>
        <v>0</v>
      </c>
      <c r="O23" s="76">
        <f t="shared" si="5"/>
        <v>0</v>
      </c>
      <c r="P23" s="76">
        <f t="shared" si="5"/>
        <v>0</v>
      </c>
      <c r="Q23" s="76">
        <f t="shared" si="5"/>
        <v>0</v>
      </c>
      <c r="R23" s="76">
        <f t="shared" si="5"/>
        <v>0</v>
      </c>
      <c r="S23" s="76">
        <f t="shared" si="5"/>
        <v>0</v>
      </c>
      <c r="T23" s="76">
        <f t="shared" si="5"/>
        <v>0</v>
      </c>
      <c r="U23" s="76">
        <f t="shared" si="5"/>
        <v>0</v>
      </c>
      <c r="V23" s="77">
        <f t="shared" si="5"/>
        <v>0</v>
      </c>
      <c r="W23" s="95"/>
      <c r="X23" s="69">
        <v>0</v>
      </c>
      <c r="Y23" s="69">
        <f t="shared" ref="Y23" si="6">SUM(Y16:Y22)</f>
        <v>0</v>
      </c>
      <c r="Z23" s="69">
        <f t="shared" ref="Z23" si="7">SUM(Z16:Z22)</f>
        <v>0</v>
      </c>
      <c r="AA23" s="69">
        <f t="shared" ref="AA23" si="8">SUM(AA16:AA22)</f>
        <v>0</v>
      </c>
      <c r="AB23" s="69">
        <f t="shared" ref="AB23" si="9">SUM(AB16:AB22)</f>
        <v>0</v>
      </c>
      <c r="AC23" s="69">
        <f t="shared" ref="AC23" si="10">SUM(AC16:AC22)</f>
        <v>0</v>
      </c>
      <c r="AD23" s="69">
        <f t="shared" ref="AD23" si="11">SUM(AD16:AD22)</f>
        <v>0</v>
      </c>
      <c r="AE23" s="69">
        <f t="shared" ref="AE23" si="12">SUM(AE16:AE22)</f>
        <v>0</v>
      </c>
      <c r="AF23" s="69">
        <f t="shared" ref="AF23" si="13">SUM(AF16:AF22)</f>
        <v>0</v>
      </c>
      <c r="AG23" s="69">
        <f t="shared" ref="AG23" si="14">SUM(AG16:AG22)</f>
        <v>0</v>
      </c>
      <c r="AH23" s="69">
        <f t="shared" ref="AH23" si="15">SUM(AH16:AH22)</f>
        <v>0</v>
      </c>
      <c r="AI23" s="69">
        <f t="shared" ref="AI23" si="16">SUM(AI16:AI22)</f>
        <v>0</v>
      </c>
      <c r="AJ23" s="69">
        <f t="shared" ref="AJ23" si="17">SUM(AJ16:AJ22)</f>
        <v>0</v>
      </c>
      <c r="AK23" s="69">
        <f t="shared" ref="AK23" si="18">SUM(AK16:AK22)</f>
        <v>0</v>
      </c>
      <c r="AL23" s="69">
        <f t="shared" ref="AL23" si="19">SUM(AL16:AL22)</f>
        <v>0</v>
      </c>
      <c r="AM23" s="69">
        <f t="shared" ref="AM23" si="20">SUM(AM16:AM22)</f>
        <v>0</v>
      </c>
      <c r="AN23" s="69">
        <f t="shared" ref="AN23" si="21">SUM(AN16:AN22)</f>
        <v>0</v>
      </c>
      <c r="AO23" s="69">
        <f t="shared" ref="AO23" si="22">SUM(AO16:AO22)</f>
        <v>0</v>
      </c>
      <c r="AP23" s="69">
        <f t="shared" ref="AP23" si="23">SUM(AP16:AP22)</f>
        <v>0</v>
      </c>
      <c r="AQ23" s="69">
        <f t="shared" ref="AQ23" si="24">SUM(AQ16:AQ22)</f>
        <v>0</v>
      </c>
      <c r="AR23" s="69">
        <f t="shared" ref="AR23" si="25">SUM(AR16:AR22)</f>
        <v>0</v>
      </c>
      <c r="AS23" s="69">
        <f t="shared" ref="AS23" si="26">SUM(AS16:AS22)</f>
        <v>0</v>
      </c>
      <c r="AT23" s="69">
        <f t="shared" ref="AT23" si="27">SUM(AT16:AT22)</f>
        <v>0</v>
      </c>
      <c r="AU23" s="69">
        <f t="shared" ref="AU23" si="28">SUM(AU16:AU22)</f>
        <v>0</v>
      </c>
      <c r="AV23" s="69">
        <f t="shared" ref="AV23" si="29">SUM(AV16:AV22)</f>
        <v>0</v>
      </c>
      <c r="AW23" s="69">
        <f t="shared" ref="AW23" si="30">SUM(AW16:AW22)</f>
        <v>0</v>
      </c>
      <c r="AX23" s="69">
        <f t="shared" ref="AX23" si="31">SUM(AX16:AX22)</f>
        <v>0</v>
      </c>
      <c r="AY23" s="69">
        <f t="shared" ref="AY23" si="32">SUM(AY16:AY22)</f>
        <v>0</v>
      </c>
      <c r="AZ23" s="69">
        <f t="shared" ref="AZ23" si="33">SUM(AZ16:AZ22)</f>
        <v>0</v>
      </c>
      <c r="BA23" s="69">
        <f t="shared" ref="BA23" si="34">SUM(BA16:BA22)</f>
        <v>0</v>
      </c>
      <c r="BB23" s="69">
        <f t="shared" ref="BB23" si="35">SUM(BB16:BB22)</f>
        <v>0</v>
      </c>
      <c r="BC23" s="69">
        <f t="shared" ref="BC23" si="36">SUM(BC16:BC22)</f>
        <v>0</v>
      </c>
      <c r="BD23" s="69">
        <f t="shared" ref="BD23" si="37">SUM(BD16:BD22)</f>
        <v>0</v>
      </c>
      <c r="BE23" s="69">
        <f t="shared" ref="BE23" si="38">SUM(BE16:BE22)</f>
        <v>0</v>
      </c>
      <c r="BF23" s="69">
        <f t="shared" ref="BF23" si="39">SUM(BF16:BF22)</f>
        <v>0</v>
      </c>
      <c r="BG23" s="69">
        <f t="shared" ref="BG23" si="40">SUM(BG16:BG22)</f>
        <v>0</v>
      </c>
      <c r="BH23" s="69">
        <f t="shared" ref="BH23" si="41">SUM(BH16:BH22)</f>
        <v>0</v>
      </c>
      <c r="BI23" s="69">
        <f t="shared" ref="BI23" si="42">SUM(BI16:BI22)</f>
        <v>0</v>
      </c>
      <c r="BJ23" s="69">
        <f t="shared" ref="BJ23" si="43">SUM(BJ16:BJ22)</f>
        <v>0</v>
      </c>
      <c r="BK23" s="69">
        <f t="shared" ref="BK23" si="44">SUM(BK16:BK22)</f>
        <v>0</v>
      </c>
      <c r="BL23" s="69">
        <f t="shared" ref="BL23" si="45">SUM(BL16:BL22)</f>
        <v>0</v>
      </c>
      <c r="BM23" s="69">
        <f t="shared" ref="BM23" si="46">SUM(BM16:BM22)</f>
        <v>0</v>
      </c>
      <c r="BN23" s="69">
        <f t="shared" ref="BN23" si="47">SUM(BN16:BN22)</f>
        <v>0</v>
      </c>
      <c r="BO23" s="69">
        <f t="shared" ref="BO23" si="48">SUM(BO16:BO22)</f>
        <v>0</v>
      </c>
      <c r="BP23" s="69">
        <f t="shared" ref="BP23" si="49">SUM(BP16:BP22)</f>
        <v>0</v>
      </c>
      <c r="BQ23" s="69">
        <f t="shared" ref="BQ23" si="50">SUM(BQ16:BQ22)</f>
        <v>0</v>
      </c>
      <c r="BR23" s="69">
        <f t="shared" ref="BR23" si="51">SUM(BR16:BR22)</f>
        <v>0</v>
      </c>
      <c r="BS23" s="69">
        <f t="shared" ref="BS23" si="52">SUM(BS16:BS22)</f>
        <v>0</v>
      </c>
      <c r="BT23" s="69">
        <f t="shared" ref="BT23" si="53">SUM(BT16:BT22)</f>
        <v>0</v>
      </c>
      <c r="BU23" s="69">
        <f t="shared" ref="BU23" si="54">SUM(BU16:BU22)</f>
        <v>0</v>
      </c>
      <c r="BV23" s="69">
        <f t="shared" ref="BV23" si="55">SUM(BV16:BV22)</f>
        <v>0</v>
      </c>
      <c r="BW23" s="69">
        <f t="shared" ref="BW23" si="56">SUM(BW16:BW22)</f>
        <v>0</v>
      </c>
      <c r="BX23" s="69">
        <f t="shared" ref="BX23" si="57">SUM(BX16:BX22)</f>
        <v>0</v>
      </c>
    </row>
    <row r="24" spans="1:76">
      <c r="H24" s="1"/>
      <c r="I24" s="1"/>
      <c r="J24" s="1"/>
    </row>
    <row r="25" spans="1:76" ht="15.75">
      <c r="A25" s="147" t="s">
        <v>171</v>
      </c>
      <c r="B25" s="144" t="s">
        <v>172</v>
      </c>
      <c r="C25" s="144" t="s">
        <v>173</v>
      </c>
      <c r="D25" s="144" t="s">
        <v>174</v>
      </c>
      <c r="E25" s="144" t="s">
        <v>175</v>
      </c>
      <c r="F25" s="144" t="s">
        <v>176</v>
      </c>
      <c r="G25" s="131" t="s">
        <v>177</v>
      </c>
      <c r="H25" s="131" t="s">
        <v>178</v>
      </c>
      <c r="I25" s="131" t="s">
        <v>179</v>
      </c>
      <c r="J25" s="97"/>
      <c r="K25" s="139" t="s">
        <v>180</v>
      </c>
      <c r="L25" s="139" t="s">
        <v>181</v>
      </c>
      <c r="M25" s="131" t="s">
        <v>182</v>
      </c>
      <c r="N25" s="131" t="s">
        <v>183</v>
      </c>
      <c r="O25" s="131" t="s">
        <v>184</v>
      </c>
      <c r="P25" s="139" t="s">
        <v>185</v>
      </c>
      <c r="Q25" s="139" t="s">
        <v>186</v>
      </c>
      <c r="R25" s="131" t="s">
        <v>187</v>
      </c>
      <c r="S25" s="131" t="s">
        <v>188</v>
      </c>
      <c r="T25" s="131" t="s">
        <v>189</v>
      </c>
      <c r="U25" s="131" t="s">
        <v>190</v>
      </c>
      <c r="V25" s="131" t="s">
        <v>191</v>
      </c>
      <c r="W25" s="142"/>
      <c r="X25" s="134" t="s">
        <v>231</v>
      </c>
      <c r="Y25" s="135"/>
      <c r="Z25" s="135"/>
      <c r="AA25" s="135"/>
      <c r="AB25" s="136"/>
      <c r="AC25" s="134" t="s">
        <v>232</v>
      </c>
      <c r="AD25" s="135"/>
      <c r="AE25" s="135"/>
      <c r="AF25" s="136"/>
      <c r="AG25" s="134" t="s">
        <v>233</v>
      </c>
      <c r="AH25" s="135"/>
      <c r="AI25" s="135"/>
      <c r="AJ25" s="136"/>
      <c r="AK25" s="134" t="s">
        <v>234</v>
      </c>
      <c r="AL25" s="135"/>
      <c r="AM25" s="135"/>
      <c r="AN25" s="136"/>
      <c r="AO25" s="135" t="s">
        <v>235</v>
      </c>
      <c r="AP25" s="137" t="s">
        <v>108</v>
      </c>
      <c r="AQ25" s="137"/>
      <c r="AR25" s="137"/>
      <c r="AS25" s="138"/>
      <c r="AT25" s="134" t="s">
        <v>236</v>
      </c>
      <c r="AU25" s="135"/>
      <c r="AV25" s="135"/>
      <c r="AW25" s="136"/>
      <c r="AX25" s="134" t="s">
        <v>232</v>
      </c>
      <c r="AY25" s="135"/>
      <c r="AZ25" s="135"/>
      <c r="BA25" s="135"/>
      <c r="BB25" s="136"/>
      <c r="BC25" s="146" t="s">
        <v>111</v>
      </c>
      <c r="BD25" s="137"/>
      <c r="BE25" s="137"/>
      <c r="BF25" s="138"/>
      <c r="BG25" s="146" t="s">
        <v>112</v>
      </c>
      <c r="BH25" s="137"/>
      <c r="BI25" s="137"/>
      <c r="BJ25" s="138"/>
      <c r="BK25" s="146" t="s">
        <v>113</v>
      </c>
      <c r="BL25" s="137"/>
      <c r="BM25" s="137"/>
      <c r="BN25" s="137"/>
      <c r="BO25" s="138"/>
      <c r="BP25" s="146" t="s">
        <v>193</v>
      </c>
      <c r="BQ25" s="137"/>
      <c r="BR25" s="137"/>
      <c r="BS25" s="138"/>
      <c r="BT25" s="146" t="s">
        <v>115</v>
      </c>
      <c r="BU25" s="137"/>
      <c r="BV25" s="137"/>
      <c r="BW25" s="137"/>
      <c r="BX25" s="138"/>
    </row>
    <row r="26" spans="1:76" ht="15.75">
      <c r="A26" s="148"/>
      <c r="B26" s="145"/>
      <c r="C26" s="145"/>
      <c r="D26" s="145"/>
      <c r="E26" s="145"/>
      <c r="F26" s="145"/>
      <c r="G26" s="132"/>
      <c r="H26" s="132"/>
      <c r="I26" s="132"/>
      <c r="J26" s="98"/>
      <c r="K26" s="140"/>
      <c r="L26" s="140"/>
      <c r="M26" s="132"/>
      <c r="N26" s="132"/>
      <c r="O26" s="132"/>
      <c r="P26" s="140"/>
      <c r="Q26" s="140"/>
      <c r="R26" s="132"/>
      <c r="S26" s="132"/>
      <c r="T26" s="132"/>
      <c r="U26" s="132"/>
      <c r="V26" s="132"/>
      <c r="W26" s="143"/>
      <c r="X26" s="69" t="s">
        <v>194</v>
      </c>
      <c r="Y26" s="14" t="s">
        <v>195</v>
      </c>
      <c r="Z26" s="69" t="s">
        <v>118</v>
      </c>
      <c r="AA26" s="69" t="s">
        <v>119</v>
      </c>
      <c r="AB26" s="14" t="s">
        <v>120</v>
      </c>
      <c r="AC26" s="69" t="s">
        <v>121</v>
      </c>
      <c r="AD26" s="69" t="s">
        <v>122</v>
      </c>
      <c r="AE26" s="69" t="s">
        <v>123</v>
      </c>
      <c r="AF26" s="69" t="s">
        <v>124</v>
      </c>
      <c r="AG26" s="14" t="s">
        <v>125</v>
      </c>
      <c r="AH26" s="69" t="s">
        <v>126</v>
      </c>
      <c r="AI26" s="69" t="s">
        <v>127</v>
      </c>
      <c r="AJ26" s="69" t="s">
        <v>128</v>
      </c>
      <c r="AK26" s="69" t="s">
        <v>129</v>
      </c>
      <c r="AL26" s="69" t="s">
        <v>130</v>
      </c>
      <c r="AM26" s="69" t="s">
        <v>131</v>
      </c>
      <c r="AN26" s="69" t="s">
        <v>132</v>
      </c>
      <c r="AO26" s="69" t="s">
        <v>133</v>
      </c>
      <c r="AP26" s="69" t="s">
        <v>134</v>
      </c>
      <c r="AQ26" s="69" t="s">
        <v>135</v>
      </c>
      <c r="AR26" s="69" t="s">
        <v>136</v>
      </c>
      <c r="AS26" s="69" t="s">
        <v>137</v>
      </c>
      <c r="AT26" s="69" t="s">
        <v>138</v>
      </c>
      <c r="AU26" s="69" t="s">
        <v>139</v>
      </c>
      <c r="AV26" s="69" t="s">
        <v>140</v>
      </c>
      <c r="AW26" s="69" t="s">
        <v>141</v>
      </c>
      <c r="AX26" s="69" t="s">
        <v>196</v>
      </c>
      <c r="AY26" s="69" t="s">
        <v>197</v>
      </c>
      <c r="AZ26" s="69" t="s">
        <v>144</v>
      </c>
      <c r="BA26" s="69" t="s">
        <v>145</v>
      </c>
      <c r="BB26" s="69" t="s">
        <v>146</v>
      </c>
      <c r="BC26" s="69" t="s">
        <v>198</v>
      </c>
      <c r="BD26" s="69" t="s">
        <v>199</v>
      </c>
      <c r="BE26" s="69" t="s">
        <v>200</v>
      </c>
      <c r="BF26" s="69" t="s">
        <v>201</v>
      </c>
      <c r="BG26" s="69" t="s">
        <v>151</v>
      </c>
      <c r="BH26" s="69" t="s">
        <v>152</v>
      </c>
      <c r="BI26" s="69" t="s">
        <v>153</v>
      </c>
      <c r="BJ26" s="69" t="s">
        <v>154</v>
      </c>
      <c r="BK26" s="69" t="s">
        <v>155</v>
      </c>
      <c r="BL26" s="69" t="s">
        <v>156</v>
      </c>
      <c r="BM26" s="69" t="s">
        <v>157</v>
      </c>
      <c r="BN26" s="69" t="s">
        <v>158</v>
      </c>
      <c r="BO26" s="69" t="s">
        <v>159</v>
      </c>
      <c r="BP26" s="69" t="s">
        <v>202</v>
      </c>
      <c r="BQ26" s="69" t="s">
        <v>203</v>
      </c>
      <c r="BR26" s="69" t="s">
        <v>162</v>
      </c>
      <c r="BS26" s="69" t="s">
        <v>163</v>
      </c>
      <c r="BT26" s="69" t="s">
        <v>164</v>
      </c>
      <c r="BU26" s="69" t="s">
        <v>165</v>
      </c>
      <c r="BV26" s="69" t="s">
        <v>166</v>
      </c>
      <c r="BW26" s="69" t="s">
        <v>167</v>
      </c>
      <c r="BX26" s="69"/>
    </row>
    <row r="27" spans="1:76" ht="15.75">
      <c r="A27" s="71" t="s">
        <v>237</v>
      </c>
      <c r="B27" s="28">
        <v>116</v>
      </c>
      <c r="C27" s="28">
        <v>123</v>
      </c>
      <c r="D27" s="28">
        <v>137</v>
      </c>
      <c r="E27" s="60">
        <v>141</v>
      </c>
      <c r="F27" s="60">
        <v>133</v>
      </c>
      <c r="G27" s="44">
        <v>118</v>
      </c>
      <c r="H27" s="60">
        <v>121.83333333333333</v>
      </c>
      <c r="I27" s="60">
        <f>AVERAGE(K27:V27)</f>
        <v>122</v>
      </c>
      <c r="J27" s="68"/>
      <c r="K27" s="70">
        <v>112</v>
      </c>
      <c r="L27" s="15">
        <v>126</v>
      </c>
      <c r="M27" s="28">
        <v>128</v>
      </c>
      <c r="N27" s="28"/>
      <c r="O27" s="28"/>
      <c r="P27" s="28"/>
      <c r="Q27" s="28"/>
      <c r="R27" s="28"/>
      <c r="S27" s="28"/>
      <c r="T27" s="28"/>
      <c r="U27" s="28"/>
      <c r="V27" s="46"/>
      <c r="W27" s="95"/>
      <c r="X27" s="70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69"/>
      <c r="BQ27" s="69"/>
      <c r="BR27" s="69"/>
      <c r="BS27" s="69"/>
      <c r="BT27" s="69"/>
      <c r="BU27" s="69"/>
      <c r="BV27" s="69"/>
      <c r="BW27" s="69"/>
      <c r="BX27" s="69"/>
    </row>
    <row r="28" spans="1:76" ht="15.75">
      <c r="A28" s="71" t="s">
        <v>238</v>
      </c>
      <c r="B28" s="28">
        <v>128</v>
      </c>
      <c r="C28" s="28">
        <v>131</v>
      </c>
      <c r="D28" s="28">
        <v>137</v>
      </c>
      <c r="E28" s="60">
        <v>142</v>
      </c>
      <c r="F28" s="60">
        <v>134</v>
      </c>
      <c r="G28" s="44">
        <v>117</v>
      </c>
      <c r="H28" s="60">
        <v>125.5</v>
      </c>
      <c r="I28" s="60">
        <f t="shared" ref="I28:I33" si="58">AVERAGE(K28:V28)</f>
        <v>123.33333333333333</v>
      </c>
      <c r="J28" s="68"/>
      <c r="K28" s="70">
        <v>121</v>
      </c>
      <c r="L28" s="15">
        <v>114</v>
      </c>
      <c r="M28" s="28">
        <v>135</v>
      </c>
      <c r="N28" s="28"/>
      <c r="O28" s="28"/>
      <c r="P28" s="28"/>
      <c r="Q28" s="28"/>
      <c r="R28" s="28"/>
      <c r="S28" s="28"/>
      <c r="T28" s="28"/>
      <c r="U28" s="28"/>
      <c r="V28" s="46"/>
      <c r="W28" s="95"/>
      <c r="X28" s="70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</row>
    <row r="29" spans="1:76" ht="15.75">
      <c r="A29" s="71" t="s">
        <v>239</v>
      </c>
      <c r="B29" s="28">
        <v>133</v>
      </c>
      <c r="C29" s="28">
        <v>137</v>
      </c>
      <c r="D29" s="28">
        <v>144</v>
      </c>
      <c r="E29" s="60">
        <v>157</v>
      </c>
      <c r="F29" s="60">
        <v>153</v>
      </c>
      <c r="G29" s="44">
        <v>131</v>
      </c>
      <c r="H29" s="60">
        <v>129.75</v>
      </c>
      <c r="I29" s="60">
        <f t="shared" si="58"/>
        <v>140.66666666666666</v>
      </c>
      <c r="J29" s="68"/>
      <c r="K29" s="70">
        <v>132</v>
      </c>
      <c r="L29" s="15">
        <v>134</v>
      </c>
      <c r="M29" s="28">
        <v>156</v>
      </c>
      <c r="N29" s="28"/>
      <c r="O29" s="28"/>
      <c r="P29" s="28"/>
      <c r="Q29" s="28"/>
      <c r="R29" s="28"/>
      <c r="S29" s="28"/>
      <c r="T29" s="28"/>
      <c r="U29" s="28"/>
      <c r="V29" s="46"/>
      <c r="W29" s="95"/>
      <c r="X29" s="70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69"/>
      <c r="BQ29" s="69"/>
      <c r="BR29" s="69"/>
      <c r="BS29" s="69"/>
      <c r="BT29" s="69"/>
      <c r="BU29" s="69"/>
      <c r="BV29" s="69"/>
      <c r="BW29" s="69"/>
      <c r="BX29" s="69"/>
    </row>
    <row r="30" spans="1:76" ht="15.75">
      <c r="A30" s="71" t="s">
        <v>240</v>
      </c>
      <c r="B30" s="28">
        <v>131</v>
      </c>
      <c r="C30" s="28">
        <v>136</v>
      </c>
      <c r="D30" s="28">
        <v>150</v>
      </c>
      <c r="E30" s="60">
        <v>151</v>
      </c>
      <c r="F30" s="60">
        <v>145</v>
      </c>
      <c r="G30" s="44">
        <v>111</v>
      </c>
      <c r="H30" s="60">
        <v>139.5</v>
      </c>
      <c r="I30" s="60">
        <f t="shared" si="58"/>
        <v>127</v>
      </c>
      <c r="J30" s="68"/>
      <c r="K30" s="70">
        <v>126</v>
      </c>
      <c r="L30" s="15">
        <v>122</v>
      </c>
      <c r="M30" s="28">
        <v>133</v>
      </c>
      <c r="N30" s="28"/>
      <c r="O30" s="28"/>
      <c r="P30" s="28"/>
      <c r="Q30" s="28"/>
      <c r="R30" s="28"/>
      <c r="S30" s="28"/>
      <c r="T30" s="28"/>
      <c r="U30" s="28"/>
      <c r="V30" s="46"/>
      <c r="W30" s="95"/>
      <c r="X30" s="70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</row>
    <row r="31" spans="1:76" ht="15.75">
      <c r="A31" s="71" t="s">
        <v>241</v>
      </c>
      <c r="B31" s="28">
        <v>119</v>
      </c>
      <c r="C31" s="28">
        <v>126</v>
      </c>
      <c r="D31" s="28">
        <v>133</v>
      </c>
      <c r="E31" s="60">
        <v>144</v>
      </c>
      <c r="F31" s="60">
        <v>135</v>
      </c>
      <c r="G31" s="44">
        <v>125</v>
      </c>
      <c r="H31" s="60">
        <v>140.25</v>
      </c>
      <c r="I31" s="60">
        <f t="shared" si="58"/>
        <v>120.66666666666667</v>
      </c>
      <c r="J31" s="68"/>
      <c r="K31" s="70">
        <v>133</v>
      </c>
      <c r="L31" s="15">
        <v>96</v>
      </c>
      <c r="M31" s="28">
        <v>133</v>
      </c>
      <c r="N31" s="28"/>
      <c r="O31" s="28"/>
      <c r="P31" s="28"/>
      <c r="Q31" s="28"/>
      <c r="R31" s="28"/>
      <c r="S31" s="28"/>
      <c r="T31" s="28"/>
      <c r="U31" s="28"/>
      <c r="V31" s="46"/>
      <c r="W31" s="95"/>
      <c r="X31" s="70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  <c r="BW31" s="69"/>
      <c r="BX31" s="69"/>
    </row>
    <row r="32" spans="1:76" ht="15.75">
      <c r="A32" s="71" t="s">
        <v>242</v>
      </c>
      <c r="B32" s="28">
        <v>121</v>
      </c>
      <c r="C32" s="28">
        <v>132</v>
      </c>
      <c r="D32" s="28">
        <v>141</v>
      </c>
      <c r="E32" s="60">
        <v>148</v>
      </c>
      <c r="F32" s="60">
        <v>142</v>
      </c>
      <c r="G32" s="44">
        <v>136</v>
      </c>
      <c r="H32" s="60">
        <v>144</v>
      </c>
      <c r="I32" s="60">
        <f t="shared" si="58"/>
        <v>138</v>
      </c>
      <c r="J32" s="68"/>
      <c r="K32" s="70">
        <v>125</v>
      </c>
      <c r="L32" s="15">
        <v>147</v>
      </c>
      <c r="M32" s="28">
        <v>142</v>
      </c>
      <c r="N32" s="28"/>
      <c r="O32" s="28"/>
      <c r="P32" s="28"/>
      <c r="Q32" s="28"/>
      <c r="R32" s="28"/>
      <c r="S32" s="28"/>
      <c r="T32" s="28"/>
      <c r="U32" s="28"/>
      <c r="V32" s="46"/>
      <c r="W32" s="95"/>
      <c r="X32" s="70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  <c r="BW32" s="69"/>
      <c r="BX32" s="69"/>
    </row>
    <row r="33" spans="1:76" ht="15.75">
      <c r="A33" s="71" t="s">
        <v>243</v>
      </c>
      <c r="B33" s="28">
        <v>69</v>
      </c>
      <c r="C33" s="28">
        <v>84</v>
      </c>
      <c r="D33" s="28">
        <v>100</v>
      </c>
      <c r="E33" s="60">
        <v>113</v>
      </c>
      <c r="F33" s="60">
        <v>110</v>
      </c>
      <c r="G33" s="44">
        <v>64</v>
      </c>
      <c r="H33" s="60">
        <v>68.833333333333329</v>
      </c>
      <c r="I33" s="60">
        <f t="shared" si="58"/>
        <v>40.666666666666664</v>
      </c>
      <c r="J33" s="68"/>
      <c r="K33" s="70">
        <v>39</v>
      </c>
      <c r="L33" s="15">
        <v>64</v>
      </c>
      <c r="M33" s="28">
        <v>19</v>
      </c>
      <c r="N33" s="28"/>
      <c r="O33" s="28"/>
      <c r="P33" s="28"/>
      <c r="Q33" s="28"/>
      <c r="R33" s="28"/>
      <c r="S33" s="28"/>
      <c r="T33" s="28"/>
      <c r="U33" s="28"/>
      <c r="V33" s="46"/>
      <c r="W33" s="95"/>
      <c r="X33" s="70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  <c r="BW33" s="69"/>
      <c r="BX33" s="69"/>
    </row>
    <row r="34" spans="1:76" ht="15.75">
      <c r="A34" s="73" t="s">
        <v>244</v>
      </c>
      <c r="B34" s="52">
        <v>817</v>
      </c>
      <c r="C34" s="52">
        <v>869</v>
      </c>
      <c r="D34" s="52">
        <v>942</v>
      </c>
      <c r="E34" s="74">
        <v>993</v>
      </c>
      <c r="F34" s="74">
        <v>951</v>
      </c>
      <c r="G34" s="53">
        <v>804</v>
      </c>
      <c r="H34" s="74">
        <v>891</v>
      </c>
      <c r="I34" s="74">
        <f>SUM(I27:I33)</f>
        <v>812.33333333333326</v>
      </c>
      <c r="J34" s="75"/>
      <c r="K34" s="76">
        <f t="shared" ref="K34:P34" si="59">SUM(K27:K33)</f>
        <v>788</v>
      </c>
      <c r="L34" s="76">
        <f t="shared" si="59"/>
        <v>803</v>
      </c>
      <c r="M34" s="76">
        <f t="shared" si="59"/>
        <v>846</v>
      </c>
      <c r="N34" s="76">
        <f t="shared" si="59"/>
        <v>0</v>
      </c>
      <c r="O34" s="76">
        <f t="shared" si="59"/>
        <v>0</v>
      </c>
      <c r="P34" s="76">
        <f t="shared" si="59"/>
        <v>0</v>
      </c>
      <c r="Q34" s="76">
        <f t="shared" ref="Q34:V34" si="60">SUM(Q27:Q33)</f>
        <v>0</v>
      </c>
      <c r="R34" s="76">
        <f t="shared" si="60"/>
        <v>0</v>
      </c>
      <c r="S34" s="76">
        <f t="shared" si="60"/>
        <v>0</v>
      </c>
      <c r="T34" s="76">
        <f t="shared" si="60"/>
        <v>0</v>
      </c>
      <c r="U34" s="76">
        <f t="shared" si="60"/>
        <v>0</v>
      </c>
      <c r="V34" s="77">
        <f t="shared" si="60"/>
        <v>0</v>
      </c>
      <c r="W34" s="95"/>
      <c r="X34" s="69">
        <f>SUM(X27:X33)</f>
        <v>0</v>
      </c>
      <c r="Y34" s="69">
        <f t="shared" ref="Y34:BW34" si="61">SUM(Y27:Y33)</f>
        <v>0</v>
      </c>
      <c r="Z34" s="69">
        <f t="shared" si="61"/>
        <v>0</v>
      </c>
      <c r="AA34" s="69">
        <f t="shared" si="61"/>
        <v>0</v>
      </c>
      <c r="AB34" s="69">
        <f t="shared" si="61"/>
        <v>0</v>
      </c>
      <c r="AC34" s="69">
        <f t="shared" si="61"/>
        <v>0</v>
      </c>
      <c r="AD34" s="69">
        <f t="shared" si="61"/>
        <v>0</v>
      </c>
      <c r="AE34" s="69">
        <f t="shared" si="61"/>
        <v>0</v>
      </c>
      <c r="AF34" s="69">
        <f t="shared" si="61"/>
        <v>0</v>
      </c>
      <c r="AG34" s="69">
        <f t="shared" si="61"/>
        <v>0</v>
      </c>
      <c r="AH34" s="69">
        <f t="shared" si="61"/>
        <v>0</v>
      </c>
      <c r="AI34" s="69">
        <f t="shared" si="61"/>
        <v>0</v>
      </c>
      <c r="AJ34" s="69">
        <f t="shared" si="61"/>
        <v>0</v>
      </c>
      <c r="AK34" s="69">
        <f t="shared" si="61"/>
        <v>0</v>
      </c>
      <c r="AL34" s="69">
        <f t="shared" si="61"/>
        <v>0</v>
      </c>
      <c r="AM34" s="69">
        <f t="shared" si="61"/>
        <v>0</v>
      </c>
      <c r="AN34" s="69">
        <f t="shared" si="61"/>
        <v>0</v>
      </c>
      <c r="AO34" s="69">
        <f t="shared" si="61"/>
        <v>0</v>
      </c>
      <c r="AP34" s="69">
        <f t="shared" si="61"/>
        <v>0</v>
      </c>
      <c r="AQ34" s="69">
        <f t="shared" si="61"/>
        <v>0</v>
      </c>
      <c r="AR34" s="69">
        <f t="shared" si="61"/>
        <v>0</v>
      </c>
      <c r="AS34" s="69">
        <f t="shared" si="61"/>
        <v>0</v>
      </c>
      <c r="AT34" s="69">
        <f t="shared" si="61"/>
        <v>0</v>
      </c>
      <c r="AU34" s="69">
        <f t="shared" si="61"/>
        <v>0</v>
      </c>
      <c r="AV34" s="69">
        <f t="shared" si="61"/>
        <v>0</v>
      </c>
      <c r="AW34" s="69">
        <f t="shared" si="61"/>
        <v>0</v>
      </c>
      <c r="AX34" s="69">
        <f>SUM(AX27:AX33)</f>
        <v>0</v>
      </c>
      <c r="AY34" s="69">
        <f>SUM(AY27:AY33)</f>
        <v>0</v>
      </c>
      <c r="AZ34" s="69">
        <f t="shared" si="61"/>
        <v>0</v>
      </c>
      <c r="BA34" s="69">
        <f t="shared" si="61"/>
        <v>0</v>
      </c>
      <c r="BB34" s="69">
        <f t="shared" si="61"/>
        <v>0</v>
      </c>
      <c r="BC34" s="69">
        <f t="shared" si="61"/>
        <v>0</v>
      </c>
      <c r="BD34" s="69">
        <f t="shared" si="61"/>
        <v>0</v>
      </c>
      <c r="BE34" s="69">
        <f t="shared" si="61"/>
        <v>0</v>
      </c>
      <c r="BF34" s="69">
        <f t="shared" si="61"/>
        <v>0</v>
      </c>
      <c r="BG34" s="69">
        <f t="shared" si="61"/>
        <v>0</v>
      </c>
      <c r="BH34" s="69">
        <f t="shared" si="61"/>
        <v>0</v>
      </c>
      <c r="BI34" s="69">
        <f t="shared" si="61"/>
        <v>0</v>
      </c>
      <c r="BJ34" s="69">
        <f t="shared" si="61"/>
        <v>0</v>
      </c>
      <c r="BK34" s="69">
        <f t="shared" si="61"/>
        <v>0</v>
      </c>
      <c r="BL34" s="69">
        <f t="shared" si="61"/>
        <v>0</v>
      </c>
      <c r="BM34" s="69">
        <f t="shared" si="61"/>
        <v>0</v>
      </c>
      <c r="BN34" s="69">
        <f t="shared" si="61"/>
        <v>0</v>
      </c>
      <c r="BO34" s="69">
        <f t="shared" si="61"/>
        <v>0</v>
      </c>
      <c r="BP34" s="69">
        <f t="shared" si="61"/>
        <v>0</v>
      </c>
      <c r="BQ34" s="69">
        <f t="shared" si="61"/>
        <v>0</v>
      </c>
      <c r="BR34" s="69">
        <f t="shared" si="61"/>
        <v>0</v>
      </c>
      <c r="BS34" s="69">
        <f t="shared" si="61"/>
        <v>0</v>
      </c>
      <c r="BT34" s="69">
        <f t="shared" si="61"/>
        <v>0</v>
      </c>
      <c r="BU34" s="69">
        <f t="shared" si="61"/>
        <v>0</v>
      </c>
      <c r="BV34" s="69">
        <f t="shared" si="61"/>
        <v>0</v>
      </c>
      <c r="BW34" s="69">
        <f t="shared" si="61"/>
        <v>0</v>
      </c>
      <c r="BX34" s="69"/>
    </row>
    <row r="35" spans="1:76">
      <c r="H35" s="1"/>
      <c r="I35" s="1"/>
      <c r="J35" s="1"/>
    </row>
    <row r="36" spans="1:76" ht="15.75">
      <c r="A36" s="147" t="s">
        <v>210</v>
      </c>
      <c r="B36" s="131" t="s">
        <v>211</v>
      </c>
      <c r="C36" s="131" t="s">
        <v>212</v>
      </c>
      <c r="D36" s="131" t="s">
        <v>213</v>
      </c>
      <c r="E36" s="131" t="s">
        <v>214</v>
      </c>
      <c r="F36" s="131" t="s">
        <v>215</v>
      </c>
      <c r="G36" s="131" t="s">
        <v>216</v>
      </c>
      <c r="H36" s="131" t="s">
        <v>217</v>
      </c>
      <c r="I36" s="131" t="s">
        <v>218</v>
      </c>
      <c r="J36" s="97"/>
      <c r="K36" s="131" t="s">
        <v>219</v>
      </c>
      <c r="L36" s="131" t="s">
        <v>220</v>
      </c>
      <c r="M36" s="131" t="s">
        <v>221</v>
      </c>
      <c r="N36" s="131" t="s">
        <v>222</v>
      </c>
      <c r="O36" s="131" t="s">
        <v>223</v>
      </c>
      <c r="P36" s="131" t="s">
        <v>224</v>
      </c>
      <c r="Q36" s="131" t="s">
        <v>225</v>
      </c>
      <c r="R36" s="131" t="s">
        <v>226</v>
      </c>
      <c r="S36" s="131" t="s">
        <v>227</v>
      </c>
      <c r="T36" s="131" t="s">
        <v>228</v>
      </c>
      <c r="U36" s="131" t="s">
        <v>229</v>
      </c>
      <c r="V36" s="131" t="s">
        <v>230</v>
      </c>
      <c r="W36" s="142"/>
      <c r="X36" s="134" t="s">
        <v>104</v>
      </c>
      <c r="Y36" s="135"/>
      <c r="Z36" s="135"/>
      <c r="AA36" s="135"/>
      <c r="AB36" s="136"/>
      <c r="AC36" s="134" t="s">
        <v>105</v>
      </c>
      <c r="AD36" s="135"/>
      <c r="AE36" s="135"/>
      <c r="AF36" s="136"/>
      <c r="AG36" s="134" t="s">
        <v>106</v>
      </c>
      <c r="AH36" s="135"/>
      <c r="AI36" s="135"/>
      <c r="AJ36" s="136"/>
      <c r="AK36" s="134" t="s">
        <v>107</v>
      </c>
      <c r="AL36" s="135"/>
      <c r="AM36" s="135"/>
      <c r="AN36" s="135"/>
      <c r="AO36" s="135" t="s">
        <v>108</v>
      </c>
      <c r="AP36" s="137" t="s">
        <v>108</v>
      </c>
      <c r="AQ36" s="137"/>
      <c r="AR36" s="137"/>
      <c r="AS36" s="138"/>
      <c r="AT36" s="134" t="s">
        <v>109</v>
      </c>
      <c r="AU36" s="135"/>
      <c r="AV36" s="135"/>
      <c r="AW36" s="136"/>
      <c r="AX36" s="134" t="s">
        <v>110</v>
      </c>
      <c r="AY36" s="135"/>
      <c r="AZ36" s="135"/>
      <c r="BA36" s="135"/>
      <c r="BB36" s="136"/>
      <c r="BC36" s="146" t="s">
        <v>111</v>
      </c>
      <c r="BD36" s="137"/>
      <c r="BE36" s="137"/>
      <c r="BF36" s="138"/>
      <c r="BG36" s="146" t="s">
        <v>112</v>
      </c>
      <c r="BH36" s="137"/>
      <c r="BI36" s="137"/>
      <c r="BJ36" s="138"/>
      <c r="BK36" s="146" t="s">
        <v>113</v>
      </c>
      <c r="BL36" s="137"/>
      <c r="BM36" s="137"/>
      <c r="BN36" s="137"/>
      <c r="BO36" s="138"/>
      <c r="BP36" s="146" t="s">
        <v>193</v>
      </c>
      <c r="BQ36" s="137"/>
      <c r="BR36" s="137"/>
      <c r="BS36" s="138"/>
      <c r="BT36" s="146" t="s">
        <v>115</v>
      </c>
      <c r="BU36" s="137"/>
      <c r="BV36" s="137"/>
      <c r="BW36" s="137"/>
      <c r="BX36" s="138"/>
    </row>
    <row r="37" spans="1:76" ht="15.75">
      <c r="A37" s="148"/>
      <c r="B37" s="132"/>
      <c r="C37" s="132"/>
      <c r="D37" s="132"/>
      <c r="E37" s="132"/>
      <c r="F37" s="132"/>
      <c r="G37" s="132"/>
      <c r="H37" s="132"/>
      <c r="I37" s="132"/>
      <c r="J37" s="98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43"/>
      <c r="X37" s="69" t="s">
        <v>194</v>
      </c>
      <c r="Y37" s="14" t="s">
        <v>195</v>
      </c>
      <c r="Z37" s="69" t="s">
        <v>118</v>
      </c>
      <c r="AA37" s="69" t="s">
        <v>119</v>
      </c>
      <c r="AB37" s="14" t="s">
        <v>120</v>
      </c>
      <c r="AC37" s="69" t="s">
        <v>121</v>
      </c>
      <c r="AD37" s="69" t="s">
        <v>122</v>
      </c>
      <c r="AE37" s="69" t="s">
        <v>123</v>
      </c>
      <c r="AF37" s="69" t="s">
        <v>124</v>
      </c>
      <c r="AG37" s="14" t="s">
        <v>125</v>
      </c>
      <c r="AH37" s="69" t="s">
        <v>126</v>
      </c>
      <c r="AI37" s="69" t="s">
        <v>127</v>
      </c>
      <c r="AJ37" s="69" t="s">
        <v>128</v>
      </c>
      <c r="AK37" s="69" t="s">
        <v>129</v>
      </c>
      <c r="AL37" s="69" t="s">
        <v>130</v>
      </c>
      <c r="AM37" s="69" t="s">
        <v>131</v>
      </c>
      <c r="AN37" s="69" t="s">
        <v>132</v>
      </c>
      <c r="AO37" s="69" t="s">
        <v>133</v>
      </c>
      <c r="AP37" s="69" t="s">
        <v>134</v>
      </c>
      <c r="AQ37" s="69" t="s">
        <v>135</v>
      </c>
      <c r="AR37" s="69" t="s">
        <v>136</v>
      </c>
      <c r="AS37" s="69" t="s">
        <v>137</v>
      </c>
      <c r="AT37" s="69" t="s">
        <v>138</v>
      </c>
      <c r="AU37" s="69" t="s">
        <v>139</v>
      </c>
      <c r="AV37" s="69" t="s">
        <v>140</v>
      </c>
      <c r="AW37" s="69" t="s">
        <v>141</v>
      </c>
      <c r="AX37" s="69" t="s">
        <v>196</v>
      </c>
      <c r="AY37" s="69" t="s">
        <v>197</v>
      </c>
      <c r="AZ37" s="69" t="s">
        <v>144</v>
      </c>
      <c r="BA37" s="69" t="s">
        <v>145</v>
      </c>
      <c r="BB37" s="69" t="s">
        <v>146</v>
      </c>
      <c r="BC37" s="69" t="s">
        <v>198</v>
      </c>
      <c r="BD37" s="69" t="s">
        <v>199</v>
      </c>
      <c r="BE37" s="69" t="s">
        <v>200</v>
      </c>
      <c r="BF37" s="69" t="s">
        <v>201</v>
      </c>
      <c r="BG37" s="69" t="s">
        <v>151</v>
      </c>
      <c r="BH37" s="69" t="s">
        <v>152</v>
      </c>
      <c r="BI37" s="69" t="s">
        <v>153</v>
      </c>
      <c r="BJ37" s="69" t="s">
        <v>154</v>
      </c>
      <c r="BK37" s="69" t="s">
        <v>155</v>
      </c>
      <c r="BL37" s="69" t="s">
        <v>156</v>
      </c>
      <c r="BM37" s="69" t="s">
        <v>157</v>
      </c>
      <c r="BN37" s="69" t="s">
        <v>158</v>
      </c>
      <c r="BO37" s="69" t="s">
        <v>159</v>
      </c>
      <c r="BP37" s="69" t="s">
        <v>202</v>
      </c>
      <c r="BQ37" s="69" t="s">
        <v>203</v>
      </c>
      <c r="BR37" s="69" t="s">
        <v>162</v>
      </c>
      <c r="BS37" s="69" t="s">
        <v>163</v>
      </c>
      <c r="BT37" s="69" t="s">
        <v>164</v>
      </c>
      <c r="BU37" s="69" t="s">
        <v>165</v>
      </c>
      <c r="BV37" s="69" t="s">
        <v>166</v>
      </c>
      <c r="BW37" s="69" t="s">
        <v>167</v>
      </c>
      <c r="BX37" s="69"/>
    </row>
    <row r="38" spans="1:76" ht="15.75">
      <c r="A38" s="71" t="s">
        <v>237</v>
      </c>
      <c r="B38" s="28">
        <v>3</v>
      </c>
      <c r="C38" s="28">
        <v>2</v>
      </c>
      <c r="D38" s="28">
        <v>0</v>
      </c>
      <c r="E38" s="28">
        <v>3</v>
      </c>
      <c r="F38" s="28">
        <v>4</v>
      </c>
      <c r="G38" s="28">
        <v>2</v>
      </c>
      <c r="H38" s="28">
        <v>6</v>
      </c>
      <c r="I38" s="28">
        <f>SUM(K38:V38)</f>
        <v>1</v>
      </c>
      <c r="J38" s="15"/>
      <c r="K38" s="89">
        <v>1</v>
      </c>
      <c r="L38" s="89">
        <v>0</v>
      </c>
      <c r="M38" s="89">
        <v>0</v>
      </c>
      <c r="N38" s="89"/>
      <c r="O38" s="89"/>
      <c r="P38" s="15"/>
      <c r="Q38" s="15"/>
      <c r="R38" s="15"/>
      <c r="S38" s="15"/>
      <c r="T38" s="15"/>
      <c r="U38" s="89"/>
      <c r="V38" s="90"/>
      <c r="W38" s="95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  <c r="BW38" s="69"/>
      <c r="BX38" s="69"/>
    </row>
    <row r="39" spans="1:76" ht="15.75">
      <c r="A39" s="71" t="s">
        <v>238</v>
      </c>
      <c r="B39" s="28">
        <v>0</v>
      </c>
      <c r="C39" s="28">
        <v>4</v>
      </c>
      <c r="D39" s="28">
        <v>4</v>
      </c>
      <c r="E39" s="28">
        <v>1</v>
      </c>
      <c r="F39" s="28">
        <v>4</v>
      </c>
      <c r="G39" s="28">
        <v>0</v>
      </c>
      <c r="H39" s="28">
        <v>1</v>
      </c>
      <c r="I39" s="28">
        <f t="shared" ref="I39:I44" si="62">SUM(K39:V39)</f>
        <v>0</v>
      </c>
      <c r="J39" s="15"/>
      <c r="K39" s="89">
        <v>0</v>
      </c>
      <c r="L39" s="89">
        <v>0</v>
      </c>
      <c r="M39" s="89">
        <v>0</v>
      </c>
      <c r="N39" s="89"/>
      <c r="O39" s="89"/>
      <c r="P39" s="15"/>
      <c r="Q39" s="15"/>
      <c r="R39" s="15"/>
      <c r="S39" s="15"/>
      <c r="T39" s="15"/>
      <c r="U39" s="89"/>
      <c r="V39" s="90"/>
      <c r="W39" s="95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  <c r="BW39" s="69"/>
      <c r="BX39" s="69"/>
    </row>
    <row r="40" spans="1:76" ht="15.75">
      <c r="A40" s="71" t="s">
        <v>239</v>
      </c>
      <c r="B40" s="28">
        <v>1</v>
      </c>
      <c r="C40" s="28">
        <v>6</v>
      </c>
      <c r="D40" s="28">
        <v>1</v>
      </c>
      <c r="E40" s="28">
        <v>0</v>
      </c>
      <c r="F40" s="28">
        <v>0</v>
      </c>
      <c r="G40" s="28">
        <v>2</v>
      </c>
      <c r="H40" s="28">
        <v>0</v>
      </c>
      <c r="I40" s="28">
        <f t="shared" si="62"/>
        <v>1</v>
      </c>
      <c r="J40" s="15"/>
      <c r="K40" s="89">
        <v>0</v>
      </c>
      <c r="L40" s="89">
        <v>1</v>
      </c>
      <c r="M40" s="89">
        <v>0</v>
      </c>
      <c r="N40" s="89"/>
      <c r="O40" s="89"/>
      <c r="P40" s="15"/>
      <c r="Q40" s="15"/>
      <c r="R40" s="15"/>
      <c r="S40" s="15"/>
      <c r="T40" s="15"/>
      <c r="U40" s="89"/>
      <c r="V40" s="90"/>
      <c r="W40" s="95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69"/>
      <c r="BW40" s="69"/>
      <c r="BX40" s="69"/>
    </row>
    <row r="41" spans="1:76" ht="15.75">
      <c r="A41" s="71" t="s">
        <v>240</v>
      </c>
      <c r="B41" s="28">
        <v>1</v>
      </c>
      <c r="C41" s="28">
        <v>4</v>
      </c>
      <c r="D41" s="28">
        <v>4</v>
      </c>
      <c r="E41" s="28">
        <v>2</v>
      </c>
      <c r="F41" s="28">
        <v>0</v>
      </c>
      <c r="G41" s="28">
        <v>0</v>
      </c>
      <c r="H41" s="28">
        <v>3</v>
      </c>
      <c r="I41" s="28">
        <f t="shared" si="62"/>
        <v>0</v>
      </c>
      <c r="J41" s="15"/>
      <c r="K41" s="89">
        <v>0</v>
      </c>
      <c r="L41" s="89">
        <v>0</v>
      </c>
      <c r="M41" s="89">
        <v>0</v>
      </c>
      <c r="N41" s="89"/>
      <c r="O41" s="89"/>
      <c r="P41" s="15"/>
      <c r="Q41" s="15"/>
      <c r="R41" s="15"/>
      <c r="S41" s="15"/>
      <c r="T41" s="15"/>
      <c r="U41" s="89"/>
      <c r="V41" s="90"/>
      <c r="W41" s="95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69"/>
      <c r="BQ41" s="69"/>
      <c r="BR41" s="69"/>
      <c r="BS41" s="69"/>
      <c r="BT41" s="69"/>
      <c r="BU41" s="69"/>
      <c r="BV41" s="69"/>
      <c r="BW41" s="69"/>
      <c r="BX41" s="69"/>
    </row>
    <row r="42" spans="1:76" ht="15.75">
      <c r="A42" s="71" t="s">
        <v>241</v>
      </c>
      <c r="B42" s="28">
        <v>5</v>
      </c>
      <c r="C42" s="28">
        <v>1</v>
      </c>
      <c r="D42" s="28">
        <v>1</v>
      </c>
      <c r="E42" s="28">
        <v>1</v>
      </c>
      <c r="F42" s="28">
        <v>0</v>
      </c>
      <c r="G42" s="28">
        <v>0</v>
      </c>
      <c r="H42" s="28">
        <v>0</v>
      </c>
      <c r="I42" s="28">
        <f t="shared" si="62"/>
        <v>2</v>
      </c>
      <c r="J42" s="15"/>
      <c r="K42" s="89">
        <v>0</v>
      </c>
      <c r="L42" s="89">
        <v>2</v>
      </c>
      <c r="M42" s="89">
        <v>0</v>
      </c>
      <c r="N42" s="89"/>
      <c r="O42" s="89"/>
      <c r="P42" s="15"/>
      <c r="Q42" s="15"/>
      <c r="R42" s="15"/>
      <c r="S42" s="15"/>
      <c r="T42" s="15"/>
      <c r="U42" s="89"/>
      <c r="V42" s="90"/>
      <c r="W42" s="95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69"/>
      <c r="BQ42" s="69"/>
      <c r="BR42" s="69"/>
      <c r="BS42" s="69"/>
      <c r="BT42" s="69"/>
      <c r="BU42" s="69"/>
      <c r="BV42" s="69"/>
      <c r="BW42" s="69"/>
      <c r="BX42" s="69"/>
    </row>
    <row r="43" spans="1:76" ht="15.75">
      <c r="A43" s="71" t="s">
        <v>242</v>
      </c>
      <c r="B43" s="28">
        <v>4</v>
      </c>
      <c r="C43" s="28">
        <v>3</v>
      </c>
      <c r="D43" s="28">
        <v>2</v>
      </c>
      <c r="E43" s="28">
        <v>5</v>
      </c>
      <c r="F43" s="28">
        <v>0</v>
      </c>
      <c r="G43" s="28">
        <v>2</v>
      </c>
      <c r="H43" s="28">
        <v>2</v>
      </c>
      <c r="I43" s="28">
        <f t="shared" si="62"/>
        <v>0</v>
      </c>
      <c r="J43" s="15"/>
      <c r="K43" s="89">
        <v>0</v>
      </c>
      <c r="L43" s="89">
        <v>0</v>
      </c>
      <c r="M43" s="89">
        <v>0</v>
      </c>
      <c r="N43" s="89"/>
      <c r="O43" s="89"/>
      <c r="P43" s="15"/>
      <c r="Q43" s="15"/>
      <c r="R43" s="15"/>
      <c r="S43" s="15"/>
      <c r="T43" s="15"/>
      <c r="U43" s="89"/>
      <c r="V43" s="90"/>
      <c r="W43" s="95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69"/>
      <c r="BQ43" s="69"/>
      <c r="BR43" s="69"/>
      <c r="BS43" s="69"/>
      <c r="BT43" s="69"/>
      <c r="BU43" s="69"/>
      <c r="BV43" s="69"/>
      <c r="BW43" s="69"/>
      <c r="BX43" s="69"/>
    </row>
    <row r="44" spans="1:76" ht="15.75">
      <c r="A44" s="71" t="s">
        <v>243</v>
      </c>
      <c r="B44" s="28">
        <v>3</v>
      </c>
      <c r="C44" s="28">
        <v>0</v>
      </c>
      <c r="D44" s="28">
        <v>2</v>
      </c>
      <c r="E44" s="28">
        <v>3</v>
      </c>
      <c r="F44" s="28">
        <v>0</v>
      </c>
      <c r="G44" s="28">
        <v>1</v>
      </c>
      <c r="H44" s="28">
        <v>3</v>
      </c>
      <c r="I44" s="28">
        <f t="shared" si="62"/>
        <v>0</v>
      </c>
      <c r="J44" s="15"/>
      <c r="K44" s="89">
        <v>0</v>
      </c>
      <c r="L44" s="89">
        <v>0</v>
      </c>
      <c r="M44" s="89">
        <v>0</v>
      </c>
      <c r="N44" s="89"/>
      <c r="O44" s="89"/>
      <c r="P44" s="15"/>
      <c r="Q44" s="15"/>
      <c r="R44" s="15"/>
      <c r="S44" s="15"/>
      <c r="T44" s="15"/>
      <c r="U44" s="89"/>
      <c r="V44" s="90"/>
      <c r="W44" s="95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69"/>
      <c r="BQ44" s="69"/>
      <c r="BR44" s="69"/>
      <c r="BS44" s="69"/>
      <c r="BT44" s="69"/>
      <c r="BU44" s="69"/>
      <c r="BV44" s="69"/>
      <c r="BW44" s="69"/>
      <c r="BX44" s="69"/>
    </row>
    <row r="45" spans="1:76" ht="15.75">
      <c r="A45" s="73" t="s">
        <v>244</v>
      </c>
      <c r="B45" s="52">
        <v>17</v>
      </c>
      <c r="C45" s="52">
        <v>20</v>
      </c>
      <c r="D45" s="52">
        <v>14</v>
      </c>
      <c r="E45" s="52">
        <v>15</v>
      </c>
      <c r="F45" s="52">
        <v>8</v>
      </c>
      <c r="G45" s="52">
        <v>7</v>
      </c>
      <c r="H45" s="52">
        <f>SUM(H38:H44)</f>
        <v>15</v>
      </c>
      <c r="I45" s="52">
        <f>SUM(I38:I44)</f>
        <v>4</v>
      </c>
      <c r="J45" s="78"/>
      <c r="K45" s="91">
        <f t="shared" ref="K45:V45" si="63">SUM(K38:K44)</f>
        <v>1</v>
      </c>
      <c r="L45" s="91">
        <f t="shared" si="63"/>
        <v>3</v>
      </c>
      <c r="M45" s="91">
        <f t="shared" si="63"/>
        <v>0</v>
      </c>
      <c r="N45" s="91">
        <f t="shared" si="63"/>
        <v>0</v>
      </c>
      <c r="O45" s="91">
        <f t="shared" si="63"/>
        <v>0</v>
      </c>
      <c r="P45" s="91">
        <f t="shared" si="63"/>
        <v>0</v>
      </c>
      <c r="Q45" s="91">
        <f t="shared" si="63"/>
        <v>0</v>
      </c>
      <c r="R45" s="91">
        <f t="shared" si="63"/>
        <v>0</v>
      </c>
      <c r="S45" s="91">
        <f t="shared" si="63"/>
        <v>0</v>
      </c>
      <c r="T45" s="91">
        <f t="shared" si="63"/>
        <v>0</v>
      </c>
      <c r="U45" s="91">
        <f t="shared" si="63"/>
        <v>0</v>
      </c>
      <c r="V45" s="92">
        <f t="shared" si="63"/>
        <v>0</v>
      </c>
      <c r="W45" s="95"/>
      <c r="X45" s="69">
        <v>0</v>
      </c>
      <c r="Y45" s="69">
        <f t="shared" ref="Y45" si="64">SUM(Y38:Y44)</f>
        <v>0</v>
      </c>
      <c r="Z45" s="69">
        <f t="shared" ref="Z45" si="65">SUM(Z38:Z44)</f>
        <v>0</v>
      </c>
      <c r="AA45" s="69">
        <f t="shared" ref="AA45" si="66">SUM(AA38:AA44)</f>
        <v>0</v>
      </c>
      <c r="AB45" s="69">
        <f t="shared" ref="AB45" si="67">SUM(AB38:AB44)</f>
        <v>0</v>
      </c>
      <c r="AC45" s="69">
        <f t="shared" ref="AC45" si="68">SUM(AC38:AC44)</f>
        <v>0</v>
      </c>
      <c r="AD45" s="69">
        <f t="shared" ref="AD45" si="69">SUM(AD38:AD44)</f>
        <v>0</v>
      </c>
      <c r="AE45" s="69">
        <f t="shared" ref="AE45" si="70">SUM(AE38:AE44)</f>
        <v>0</v>
      </c>
      <c r="AF45" s="69">
        <f t="shared" ref="AF45" si="71">SUM(AF38:AF44)</f>
        <v>0</v>
      </c>
      <c r="AG45" s="69">
        <f t="shared" ref="AG45" si="72">SUM(AG38:AG44)</f>
        <v>0</v>
      </c>
      <c r="AH45" s="69">
        <f t="shared" ref="AH45" si="73">SUM(AH38:AH44)</f>
        <v>0</v>
      </c>
      <c r="AI45" s="69">
        <f t="shared" ref="AI45" si="74">SUM(AI38:AI44)</f>
        <v>0</v>
      </c>
      <c r="AJ45" s="69">
        <f t="shared" ref="AJ45" si="75">SUM(AJ38:AJ44)</f>
        <v>0</v>
      </c>
      <c r="AK45" s="69">
        <f t="shared" ref="AK45" si="76">SUM(AK38:AK44)</f>
        <v>0</v>
      </c>
      <c r="AL45" s="69">
        <f t="shared" ref="AL45" si="77">SUM(AL38:AL44)</f>
        <v>0</v>
      </c>
      <c r="AM45" s="69">
        <f t="shared" ref="AM45" si="78">SUM(AM38:AM44)</f>
        <v>0</v>
      </c>
      <c r="AN45" s="69">
        <f t="shared" ref="AN45" si="79">SUM(AN38:AN44)</f>
        <v>0</v>
      </c>
      <c r="AO45" s="69">
        <f t="shared" ref="AO45" si="80">SUM(AO38:AO44)</f>
        <v>0</v>
      </c>
      <c r="AP45" s="69">
        <f t="shared" ref="AP45" si="81">SUM(AP38:AP44)</f>
        <v>0</v>
      </c>
      <c r="AQ45" s="69">
        <f t="shared" ref="AQ45" si="82">SUM(AQ38:AQ44)</f>
        <v>0</v>
      </c>
      <c r="AR45" s="69">
        <f t="shared" ref="AR45" si="83">SUM(AR38:AR44)</f>
        <v>0</v>
      </c>
      <c r="AS45" s="69">
        <f t="shared" ref="AS45" si="84">SUM(AS38:AS44)</f>
        <v>0</v>
      </c>
      <c r="AT45" s="69">
        <f t="shared" ref="AT45" si="85">SUM(AT38:AT44)</f>
        <v>0</v>
      </c>
      <c r="AU45" s="69">
        <f t="shared" ref="AU45" si="86">SUM(AU38:AU44)</f>
        <v>0</v>
      </c>
      <c r="AV45" s="69">
        <f t="shared" ref="AV45" si="87">SUM(AV38:AV44)</f>
        <v>0</v>
      </c>
      <c r="AW45" s="69">
        <f t="shared" ref="AW45" si="88">SUM(AW38:AW44)</f>
        <v>0</v>
      </c>
      <c r="AX45" s="69">
        <f t="shared" ref="AX45" si="89">SUM(AX38:AX44)</f>
        <v>0</v>
      </c>
      <c r="AY45" s="69">
        <f t="shared" ref="AY45" si="90">SUM(AY38:AY44)</f>
        <v>0</v>
      </c>
      <c r="AZ45" s="69">
        <f t="shared" ref="AZ45" si="91">SUM(AZ38:AZ44)</f>
        <v>0</v>
      </c>
      <c r="BA45" s="69">
        <f t="shared" ref="BA45" si="92">SUM(BA38:BA44)</f>
        <v>0</v>
      </c>
      <c r="BB45" s="69">
        <f t="shared" ref="BB45" si="93">SUM(BB38:BB44)</f>
        <v>0</v>
      </c>
      <c r="BC45" s="69">
        <f t="shared" ref="BC45" si="94">SUM(BC38:BC44)</f>
        <v>0</v>
      </c>
      <c r="BD45" s="69">
        <f t="shared" ref="BD45" si="95">SUM(BD38:BD44)</f>
        <v>0</v>
      </c>
      <c r="BE45" s="69">
        <f t="shared" ref="BE45" si="96">SUM(BE38:BE44)</f>
        <v>0</v>
      </c>
      <c r="BF45" s="69">
        <f t="shared" ref="BF45" si="97">SUM(BF38:BF44)</f>
        <v>0</v>
      </c>
      <c r="BG45" s="69">
        <f t="shared" ref="BG45" si="98">SUM(BG38:BG44)</f>
        <v>0</v>
      </c>
      <c r="BH45" s="69">
        <f t="shared" ref="BH45" si="99">SUM(BH38:BH44)</f>
        <v>0</v>
      </c>
      <c r="BI45" s="69">
        <f t="shared" ref="BI45" si="100">SUM(BI38:BI44)</f>
        <v>0</v>
      </c>
      <c r="BJ45" s="69">
        <f t="shared" ref="BJ45" si="101">SUM(BJ38:BJ44)</f>
        <v>0</v>
      </c>
      <c r="BK45" s="69">
        <f t="shared" ref="BK45" si="102">SUM(BK38:BK44)</f>
        <v>0</v>
      </c>
      <c r="BL45" s="69">
        <f t="shared" ref="BL45" si="103">SUM(BL38:BL44)</f>
        <v>0</v>
      </c>
      <c r="BM45" s="69">
        <f t="shared" ref="BM45" si="104">SUM(BM38:BM44)</f>
        <v>0</v>
      </c>
      <c r="BN45" s="69">
        <f t="shared" ref="BN45" si="105">SUM(BN38:BN44)</f>
        <v>0</v>
      </c>
      <c r="BO45" s="69">
        <f t="shared" ref="BO45" si="106">SUM(BO38:BO44)</f>
        <v>0</v>
      </c>
      <c r="BP45" s="69">
        <f t="shared" ref="BP45" si="107">SUM(BP38:BP44)</f>
        <v>0</v>
      </c>
      <c r="BQ45" s="69">
        <f t="shared" ref="BQ45" si="108">SUM(BQ38:BQ44)</f>
        <v>0</v>
      </c>
      <c r="BR45" s="69">
        <f t="shared" ref="BR45" si="109">SUM(BR38:BR44)</f>
        <v>0</v>
      </c>
      <c r="BS45" s="69">
        <f t="shared" ref="BS45" si="110">SUM(BS38:BS44)</f>
        <v>0</v>
      </c>
      <c r="BT45" s="69">
        <f t="shared" ref="BT45" si="111">SUM(BT38:BT44)</f>
        <v>0</v>
      </c>
      <c r="BU45" s="69">
        <f t="shared" ref="BU45" si="112">SUM(BU38:BU44)</f>
        <v>0</v>
      </c>
      <c r="BV45" s="69">
        <f t="shared" ref="BV45" si="113">SUM(BV38:BV44)</f>
        <v>0</v>
      </c>
      <c r="BW45" s="69">
        <f t="shared" ref="BW45" si="114">SUM(BW38:BW44)</f>
        <v>0</v>
      </c>
      <c r="BX45" s="69">
        <f t="shared" ref="BX45" si="115">SUM(BX38:BX44)</f>
        <v>0</v>
      </c>
    </row>
    <row r="46" spans="1:76" ht="13.9" customHeight="1">
      <c r="H46" s="1"/>
      <c r="I46" s="1"/>
      <c r="J46" s="1"/>
    </row>
    <row r="47" spans="1:76" ht="15.75">
      <c r="A47" s="147" t="s">
        <v>171</v>
      </c>
      <c r="B47" s="144" t="s">
        <v>172</v>
      </c>
      <c r="C47" s="144" t="s">
        <v>173</v>
      </c>
      <c r="D47" s="144" t="s">
        <v>174</v>
      </c>
      <c r="E47" s="144" t="s">
        <v>175</v>
      </c>
      <c r="F47" s="144" t="s">
        <v>176</v>
      </c>
      <c r="G47" s="131" t="s">
        <v>177</v>
      </c>
      <c r="H47" s="131" t="s">
        <v>245</v>
      </c>
      <c r="I47" s="131" t="s">
        <v>246</v>
      </c>
      <c r="J47" s="97"/>
      <c r="K47" s="139" t="s">
        <v>180</v>
      </c>
      <c r="L47" s="139" t="s">
        <v>181</v>
      </c>
      <c r="M47" s="131" t="s">
        <v>182</v>
      </c>
      <c r="N47" s="131" t="s">
        <v>183</v>
      </c>
      <c r="O47" s="131" t="s">
        <v>184</v>
      </c>
      <c r="P47" s="139" t="s">
        <v>185</v>
      </c>
      <c r="Q47" s="139" t="s">
        <v>186</v>
      </c>
      <c r="R47" s="131" t="s">
        <v>187</v>
      </c>
      <c r="S47" s="131" t="s">
        <v>188</v>
      </c>
      <c r="T47" s="131" t="s">
        <v>189</v>
      </c>
      <c r="U47" s="131" t="s">
        <v>190</v>
      </c>
      <c r="V47" s="131" t="s">
        <v>191</v>
      </c>
      <c r="W47" s="142"/>
      <c r="X47" s="134" t="s">
        <v>104</v>
      </c>
      <c r="Y47" s="135"/>
      <c r="Z47" s="135"/>
      <c r="AA47" s="135"/>
      <c r="AB47" s="136"/>
      <c r="AC47" s="134" t="s">
        <v>105</v>
      </c>
      <c r="AD47" s="135"/>
      <c r="AE47" s="135"/>
      <c r="AF47" s="136"/>
      <c r="AG47" s="134" t="s">
        <v>106</v>
      </c>
      <c r="AH47" s="135"/>
      <c r="AI47" s="135"/>
      <c r="AJ47" s="136"/>
      <c r="AK47" s="134" t="s">
        <v>107</v>
      </c>
      <c r="AL47" s="135"/>
      <c r="AM47" s="135"/>
      <c r="AN47" s="135"/>
      <c r="AO47" s="135" t="s">
        <v>108</v>
      </c>
      <c r="AP47" s="135"/>
      <c r="AQ47" s="135"/>
      <c r="AR47" s="135"/>
      <c r="AS47" s="136"/>
      <c r="AT47" s="134" t="s">
        <v>109</v>
      </c>
      <c r="AU47" s="135"/>
      <c r="AV47" s="135"/>
      <c r="AW47" s="136"/>
      <c r="AX47" s="134" t="s">
        <v>110</v>
      </c>
      <c r="AY47" s="135"/>
      <c r="AZ47" s="135"/>
      <c r="BA47" s="135"/>
      <c r="BB47" s="136"/>
      <c r="BC47" s="146" t="s">
        <v>111</v>
      </c>
      <c r="BD47" s="137"/>
      <c r="BE47" s="137"/>
      <c r="BF47" s="138"/>
      <c r="BG47" s="146" t="s">
        <v>112</v>
      </c>
      <c r="BH47" s="137"/>
      <c r="BI47" s="137"/>
      <c r="BJ47" s="138"/>
      <c r="BK47" s="146" t="s">
        <v>113</v>
      </c>
      <c r="BL47" s="137"/>
      <c r="BM47" s="137"/>
      <c r="BN47" s="137"/>
      <c r="BO47" s="138"/>
      <c r="BP47" s="146" t="s">
        <v>193</v>
      </c>
      <c r="BQ47" s="137"/>
      <c r="BR47" s="137"/>
      <c r="BS47" s="138"/>
      <c r="BT47" s="146" t="s">
        <v>115</v>
      </c>
      <c r="BU47" s="137"/>
      <c r="BV47" s="137"/>
      <c r="BW47" s="137"/>
      <c r="BX47" s="138"/>
    </row>
    <row r="48" spans="1:76" ht="15.75">
      <c r="A48" s="148"/>
      <c r="B48" s="145"/>
      <c r="C48" s="145"/>
      <c r="D48" s="145"/>
      <c r="E48" s="145"/>
      <c r="F48" s="145"/>
      <c r="G48" s="132"/>
      <c r="H48" s="132"/>
      <c r="I48" s="132"/>
      <c r="J48" s="98"/>
      <c r="K48" s="140"/>
      <c r="L48" s="140"/>
      <c r="M48" s="132"/>
      <c r="N48" s="132"/>
      <c r="O48" s="132"/>
      <c r="P48" s="140"/>
      <c r="Q48" s="140"/>
      <c r="R48" s="132"/>
      <c r="S48" s="132"/>
      <c r="T48" s="132"/>
      <c r="U48" s="132"/>
      <c r="V48" s="132"/>
      <c r="W48" s="143"/>
      <c r="X48" s="69" t="s">
        <v>194</v>
      </c>
      <c r="Y48" s="14" t="s">
        <v>195</v>
      </c>
      <c r="Z48" s="69" t="s">
        <v>118</v>
      </c>
      <c r="AA48" s="69" t="s">
        <v>119</v>
      </c>
      <c r="AB48" s="14" t="s">
        <v>120</v>
      </c>
      <c r="AC48" s="69" t="s">
        <v>121</v>
      </c>
      <c r="AD48" s="69" t="s">
        <v>122</v>
      </c>
      <c r="AE48" s="69" t="s">
        <v>123</v>
      </c>
      <c r="AF48" s="69" t="s">
        <v>124</v>
      </c>
      <c r="AG48" s="14" t="s">
        <v>125</v>
      </c>
      <c r="AH48" s="69" t="s">
        <v>126</v>
      </c>
      <c r="AI48" s="69" t="s">
        <v>127</v>
      </c>
      <c r="AJ48" s="69" t="s">
        <v>128</v>
      </c>
      <c r="AK48" s="69" t="s">
        <v>129</v>
      </c>
      <c r="AL48" s="69" t="s">
        <v>130</v>
      </c>
      <c r="AM48" s="69" t="s">
        <v>131</v>
      </c>
      <c r="AN48" s="69" t="s">
        <v>132</v>
      </c>
      <c r="AO48" s="69" t="s">
        <v>133</v>
      </c>
      <c r="AP48" s="69" t="s">
        <v>134</v>
      </c>
      <c r="AQ48" s="69" t="s">
        <v>135</v>
      </c>
      <c r="AR48" s="69" t="s">
        <v>136</v>
      </c>
      <c r="AS48" s="69" t="s">
        <v>137</v>
      </c>
      <c r="AT48" s="69" t="s">
        <v>138</v>
      </c>
      <c r="AU48" s="69" t="s">
        <v>139</v>
      </c>
      <c r="AV48" s="69" t="s">
        <v>140</v>
      </c>
      <c r="AW48" s="69" t="s">
        <v>141</v>
      </c>
      <c r="AX48" s="69" t="s">
        <v>196</v>
      </c>
      <c r="AY48" s="69" t="s">
        <v>197</v>
      </c>
      <c r="AZ48" s="69" t="s">
        <v>144</v>
      </c>
      <c r="BA48" s="69" t="s">
        <v>145</v>
      </c>
      <c r="BB48" s="69" t="s">
        <v>146</v>
      </c>
      <c r="BC48" s="69" t="s">
        <v>198</v>
      </c>
      <c r="BD48" s="69" t="s">
        <v>199</v>
      </c>
      <c r="BE48" s="69" t="s">
        <v>200</v>
      </c>
      <c r="BF48" s="69" t="s">
        <v>201</v>
      </c>
      <c r="BG48" s="69" t="s">
        <v>151</v>
      </c>
      <c r="BH48" s="69" t="s">
        <v>152</v>
      </c>
      <c r="BI48" s="69" t="s">
        <v>153</v>
      </c>
      <c r="BJ48" s="69" t="s">
        <v>154</v>
      </c>
      <c r="BK48" s="69" t="s">
        <v>155</v>
      </c>
      <c r="BL48" s="69" t="s">
        <v>156</v>
      </c>
      <c r="BM48" s="69" t="s">
        <v>157</v>
      </c>
      <c r="BN48" s="69" t="s">
        <v>158</v>
      </c>
      <c r="BO48" s="69" t="s">
        <v>159</v>
      </c>
      <c r="BP48" s="69" t="s">
        <v>202</v>
      </c>
      <c r="BQ48" s="69" t="s">
        <v>203</v>
      </c>
      <c r="BR48" s="69" t="s">
        <v>162</v>
      </c>
      <c r="BS48" s="69" t="s">
        <v>163</v>
      </c>
      <c r="BT48" s="69" t="s">
        <v>164</v>
      </c>
      <c r="BU48" s="69" t="s">
        <v>165</v>
      </c>
      <c r="BV48" s="69" t="s">
        <v>166</v>
      </c>
      <c r="BW48" s="69" t="s">
        <v>167</v>
      </c>
      <c r="BX48" s="69"/>
    </row>
    <row r="49" spans="1:76" ht="15.75">
      <c r="A49" s="71" t="s">
        <v>247</v>
      </c>
      <c r="B49" s="28">
        <v>78</v>
      </c>
      <c r="C49" s="28">
        <v>75</v>
      </c>
      <c r="D49" s="28">
        <v>85</v>
      </c>
      <c r="E49" s="59">
        <v>89</v>
      </c>
      <c r="F49" s="59">
        <v>81</v>
      </c>
      <c r="G49" s="44">
        <v>61</v>
      </c>
      <c r="H49" s="44">
        <v>75.416666666666671</v>
      </c>
      <c r="I49" s="44">
        <f>AVERAGE(K49:V49)</f>
        <v>58.666666666666664</v>
      </c>
      <c r="J49" s="67"/>
      <c r="K49" s="89">
        <v>62</v>
      </c>
      <c r="L49" s="15">
        <v>52</v>
      </c>
      <c r="M49" s="93">
        <v>62</v>
      </c>
      <c r="N49" s="28"/>
      <c r="O49" s="28"/>
      <c r="P49" s="93"/>
      <c r="Q49" s="93"/>
      <c r="R49" s="28"/>
      <c r="S49" s="28"/>
      <c r="T49" s="93"/>
      <c r="U49" s="93"/>
      <c r="V49" s="94"/>
      <c r="W49" s="95"/>
      <c r="X49" s="70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69"/>
      <c r="BQ49" s="69"/>
      <c r="BR49" s="69"/>
      <c r="BS49" s="69"/>
      <c r="BT49" s="69"/>
      <c r="BU49" s="69"/>
      <c r="BV49" s="69"/>
      <c r="BW49" s="69"/>
      <c r="BX49" s="69"/>
    </row>
    <row r="50" spans="1:76" ht="15.75">
      <c r="A50" s="83" t="s">
        <v>248</v>
      </c>
      <c r="B50" s="28">
        <v>81</v>
      </c>
      <c r="C50" s="28">
        <v>80</v>
      </c>
      <c r="D50" s="28">
        <v>85</v>
      </c>
      <c r="E50" s="59">
        <v>90</v>
      </c>
      <c r="F50" s="59">
        <v>75</v>
      </c>
      <c r="G50" s="44">
        <v>67</v>
      </c>
      <c r="H50" s="44">
        <v>101.91666666666667</v>
      </c>
      <c r="I50" s="44">
        <f t="shared" ref="I50:I55" si="116">AVERAGE(K50:V50)</f>
        <v>68.666666666666671</v>
      </c>
      <c r="J50" s="67"/>
      <c r="K50" s="89">
        <v>58</v>
      </c>
      <c r="L50" s="15">
        <v>57</v>
      </c>
      <c r="M50" s="93">
        <v>91</v>
      </c>
      <c r="N50" s="28"/>
      <c r="O50" s="28"/>
      <c r="P50" s="93"/>
      <c r="Q50" s="93"/>
      <c r="R50" s="28"/>
      <c r="S50" s="28"/>
      <c r="T50" s="93"/>
      <c r="U50" s="93"/>
      <c r="V50" s="94"/>
      <c r="W50" s="95"/>
      <c r="X50" s="70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69"/>
      <c r="BQ50" s="69"/>
      <c r="BR50" s="69"/>
      <c r="BS50" s="69"/>
      <c r="BT50" s="69"/>
      <c r="BU50" s="69"/>
      <c r="BV50" s="69"/>
      <c r="BW50" s="69"/>
      <c r="BX50" s="69"/>
    </row>
    <row r="51" spans="1:76" ht="15.75">
      <c r="A51" s="83" t="s">
        <v>249</v>
      </c>
      <c r="B51" s="28">
        <v>90</v>
      </c>
      <c r="C51" s="28">
        <v>94</v>
      </c>
      <c r="D51" s="28">
        <v>103</v>
      </c>
      <c r="E51" s="59">
        <v>106</v>
      </c>
      <c r="F51" s="59">
        <v>102</v>
      </c>
      <c r="G51" s="44">
        <v>83</v>
      </c>
      <c r="H51" s="44">
        <v>110.66666666666667</v>
      </c>
      <c r="I51" s="44">
        <f t="shared" si="116"/>
        <v>71</v>
      </c>
      <c r="J51" s="67"/>
      <c r="K51" s="89">
        <v>62</v>
      </c>
      <c r="L51" s="15">
        <v>57</v>
      </c>
      <c r="M51" s="93">
        <v>94</v>
      </c>
      <c r="N51" s="28"/>
      <c r="O51" s="28"/>
      <c r="P51" s="93"/>
      <c r="Q51" s="93"/>
      <c r="R51" s="28"/>
      <c r="S51" s="28"/>
      <c r="T51" s="93"/>
      <c r="U51" s="93"/>
      <c r="V51" s="94"/>
      <c r="W51" s="95"/>
      <c r="X51" s="70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69"/>
      <c r="BQ51" s="69"/>
      <c r="BR51" s="69"/>
      <c r="BS51" s="69"/>
      <c r="BT51" s="69"/>
      <c r="BU51" s="69"/>
      <c r="BV51" s="69"/>
      <c r="BW51" s="69"/>
      <c r="BX51" s="69"/>
    </row>
    <row r="52" spans="1:76" ht="15.75">
      <c r="A52" s="83" t="s">
        <v>250</v>
      </c>
      <c r="B52" s="28">
        <v>80</v>
      </c>
      <c r="C52" s="28">
        <v>89</v>
      </c>
      <c r="D52" s="28">
        <v>93</v>
      </c>
      <c r="E52" s="59">
        <v>98</v>
      </c>
      <c r="F52" s="59">
        <v>93</v>
      </c>
      <c r="G52" s="44">
        <v>78</v>
      </c>
      <c r="H52" s="44">
        <v>103.66666666666667</v>
      </c>
      <c r="I52" s="44">
        <f t="shared" si="116"/>
        <v>79.666666666666671</v>
      </c>
      <c r="J52" s="67"/>
      <c r="K52" s="89">
        <v>82</v>
      </c>
      <c r="L52" s="15">
        <v>66</v>
      </c>
      <c r="M52" s="93">
        <v>91</v>
      </c>
      <c r="N52" s="28"/>
      <c r="O52" s="28"/>
      <c r="P52" s="93"/>
      <c r="Q52" s="93"/>
      <c r="R52" s="28"/>
      <c r="S52" s="28"/>
      <c r="T52" s="93"/>
      <c r="U52" s="89"/>
      <c r="V52" s="94"/>
      <c r="W52" s="95"/>
      <c r="X52" s="70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9"/>
      <c r="BQ52" s="69"/>
      <c r="BR52" s="69"/>
      <c r="BS52" s="69"/>
      <c r="BT52" s="69"/>
      <c r="BU52" s="69"/>
      <c r="BV52" s="69"/>
      <c r="BW52" s="69"/>
      <c r="BX52" s="69"/>
    </row>
    <row r="53" spans="1:76" ht="15.75">
      <c r="A53" s="71" t="s">
        <v>251</v>
      </c>
      <c r="B53" s="28">
        <v>54</v>
      </c>
      <c r="C53" s="28">
        <v>73</v>
      </c>
      <c r="D53" s="28">
        <v>86</v>
      </c>
      <c r="E53" s="59">
        <v>85</v>
      </c>
      <c r="F53" s="59">
        <v>81</v>
      </c>
      <c r="G53" s="44">
        <v>53</v>
      </c>
      <c r="H53" s="44">
        <v>86.083333333333329</v>
      </c>
      <c r="I53" s="44">
        <f t="shared" si="116"/>
        <v>57.666666666666664</v>
      </c>
      <c r="J53" s="67"/>
      <c r="K53" s="89">
        <v>77</v>
      </c>
      <c r="L53" s="15">
        <v>34</v>
      </c>
      <c r="M53" s="93">
        <v>62</v>
      </c>
      <c r="N53" s="28"/>
      <c r="O53" s="28"/>
      <c r="P53" s="93"/>
      <c r="Q53" s="93"/>
      <c r="R53" s="28"/>
      <c r="S53" s="28"/>
      <c r="T53" s="93"/>
      <c r="U53" s="89"/>
      <c r="V53" s="94"/>
      <c r="W53" s="95"/>
      <c r="X53" s="70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  <c r="BT53" s="69"/>
      <c r="BU53" s="69"/>
      <c r="BV53" s="69"/>
      <c r="BW53" s="69"/>
      <c r="BX53" s="69"/>
    </row>
    <row r="54" spans="1:76" ht="15.75">
      <c r="A54" s="71" t="s">
        <v>252</v>
      </c>
      <c r="B54" s="28">
        <v>53</v>
      </c>
      <c r="C54" s="28">
        <v>65</v>
      </c>
      <c r="D54" s="28">
        <v>80</v>
      </c>
      <c r="E54" s="59">
        <v>80</v>
      </c>
      <c r="F54" s="59">
        <v>81</v>
      </c>
      <c r="G54" s="44">
        <v>58</v>
      </c>
      <c r="H54" s="44">
        <v>79.583333333333329</v>
      </c>
      <c r="I54" s="44">
        <f t="shared" si="116"/>
        <v>64.666666666666671</v>
      </c>
      <c r="J54" s="67"/>
      <c r="K54" s="89">
        <v>59</v>
      </c>
      <c r="L54" s="15">
        <v>41</v>
      </c>
      <c r="M54" s="93">
        <v>94</v>
      </c>
      <c r="N54" s="28"/>
      <c r="O54" s="28"/>
      <c r="P54" s="93"/>
      <c r="Q54" s="93"/>
      <c r="R54" s="28"/>
      <c r="S54" s="28"/>
      <c r="T54" s="93"/>
      <c r="U54" s="89"/>
      <c r="V54" s="94"/>
      <c r="W54" s="95"/>
      <c r="X54" s="70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</row>
    <row r="55" spans="1:76" ht="15.75">
      <c r="A55" s="71" t="s">
        <v>253</v>
      </c>
      <c r="B55" s="28">
        <v>56</v>
      </c>
      <c r="C55" s="28">
        <v>62</v>
      </c>
      <c r="D55" s="28">
        <v>78</v>
      </c>
      <c r="E55" s="59">
        <v>76</v>
      </c>
      <c r="F55" s="59">
        <v>67</v>
      </c>
      <c r="G55" s="44">
        <v>37</v>
      </c>
      <c r="H55" s="44">
        <v>60.25</v>
      </c>
      <c r="I55" s="44">
        <f t="shared" si="116"/>
        <v>40</v>
      </c>
      <c r="J55" s="67"/>
      <c r="K55" s="89">
        <v>51</v>
      </c>
      <c r="L55" s="15">
        <v>28</v>
      </c>
      <c r="M55" s="93">
        <v>41</v>
      </c>
      <c r="N55" s="28"/>
      <c r="O55" s="28"/>
      <c r="P55" s="93"/>
      <c r="Q55" s="93"/>
      <c r="R55" s="28"/>
      <c r="S55" s="28"/>
      <c r="T55" s="93"/>
      <c r="U55" s="89"/>
      <c r="V55" s="94"/>
      <c r="W55" s="95"/>
      <c r="X55" s="70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69"/>
      <c r="BU55" s="69"/>
      <c r="BV55" s="69"/>
      <c r="BW55" s="69"/>
      <c r="BX55" s="69"/>
    </row>
    <row r="56" spans="1:76" ht="15.75">
      <c r="A56" s="73" t="s">
        <v>254</v>
      </c>
      <c r="B56" s="58">
        <v>493</v>
      </c>
      <c r="C56" s="58">
        <v>538</v>
      </c>
      <c r="D56" s="58">
        <v>610</v>
      </c>
      <c r="E56" s="84">
        <v>622</v>
      </c>
      <c r="F56" s="84">
        <v>579</v>
      </c>
      <c r="G56" s="84">
        <v>435</v>
      </c>
      <c r="H56" s="84">
        <f>IF(AVERAGE(K56:T56)=0,"",AVERAGE(J56:S56))</f>
        <v>146.77777777777777</v>
      </c>
      <c r="I56" s="84">
        <f>IF(AVERAGE(L56:U56)=0,"",AVERAGE(K56:T56))</f>
        <v>132.1</v>
      </c>
      <c r="J56" s="85"/>
      <c r="K56" s="91">
        <f t="shared" ref="K56:P56" si="117">SUM(K49:K55)</f>
        <v>451</v>
      </c>
      <c r="L56" s="91">
        <f t="shared" si="117"/>
        <v>335</v>
      </c>
      <c r="M56" s="91">
        <f t="shared" si="117"/>
        <v>535</v>
      </c>
      <c r="N56" s="91">
        <f t="shared" si="117"/>
        <v>0</v>
      </c>
      <c r="O56" s="91">
        <f t="shared" si="117"/>
        <v>0</v>
      </c>
      <c r="P56" s="91">
        <f t="shared" si="117"/>
        <v>0</v>
      </c>
      <c r="Q56" s="91">
        <f t="shared" ref="Q56:V56" si="118">SUM(Q49:Q55)</f>
        <v>0</v>
      </c>
      <c r="R56" s="91">
        <f t="shared" si="118"/>
        <v>0</v>
      </c>
      <c r="S56" s="91">
        <f t="shared" si="118"/>
        <v>0</v>
      </c>
      <c r="T56" s="91">
        <f t="shared" si="118"/>
        <v>0</v>
      </c>
      <c r="U56" s="91">
        <f t="shared" si="118"/>
        <v>0</v>
      </c>
      <c r="V56" s="92">
        <f t="shared" si="118"/>
        <v>0</v>
      </c>
      <c r="W56" s="95"/>
      <c r="X56" s="69">
        <f>SUM(X49:X55)</f>
        <v>0</v>
      </c>
      <c r="Y56" s="69">
        <f>SUM(Y49:Y55)</f>
        <v>0</v>
      </c>
      <c r="Z56" s="69">
        <f t="shared" ref="Z56:BW56" si="119">SUM(Z49:Z55)</f>
        <v>0</v>
      </c>
      <c r="AA56" s="69">
        <f t="shared" si="119"/>
        <v>0</v>
      </c>
      <c r="AB56" s="69">
        <f t="shared" si="119"/>
        <v>0</v>
      </c>
      <c r="AC56" s="69">
        <f t="shared" si="119"/>
        <v>0</v>
      </c>
      <c r="AD56" s="69">
        <f t="shared" si="119"/>
        <v>0</v>
      </c>
      <c r="AE56" s="69">
        <f t="shared" si="119"/>
        <v>0</v>
      </c>
      <c r="AF56" s="69">
        <f t="shared" si="119"/>
        <v>0</v>
      </c>
      <c r="AG56" s="69">
        <f t="shared" si="119"/>
        <v>0</v>
      </c>
      <c r="AH56" s="69">
        <f t="shared" si="119"/>
        <v>0</v>
      </c>
      <c r="AI56" s="69">
        <f t="shared" si="119"/>
        <v>0</v>
      </c>
      <c r="AJ56" s="69">
        <f t="shared" si="119"/>
        <v>0</v>
      </c>
      <c r="AK56" s="69">
        <f t="shared" si="119"/>
        <v>0</v>
      </c>
      <c r="AL56" s="69">
        <f t="shared" si="119"/>
        <v>0</v>
      </c>
      <c r="AM56" s="69">
        <f t="shared" si="119"/>
        <v>0</v>
      </c>
      <c r="AN56" s="69">
        <f t="shared" si="119"/>
        <v>0</v>
      </c>
      <c r="AO56" s="69">
        <f t="shared" si="119"/>
        <v>0</v>
      </c>
      <c r="AP56" s="69">
        <f t="shared" si="119"/>
        <v>0</v>
      </c>
      <c r="AQ56" s="69">
        <f t="shared" si="119"/>
        <v>0</v>
      </c>
      <c r="AR56" s="69">
        <f t="shared" si="119"/>
        <v>0</v>
      </c>
      <c r="AS56" s="69">
        <f t="shared" si="119"/>
        <v>0</v>
      </c>
      <c r="AT56" s="69">
        <f t="shared" si="119"/>
        <v>0</v>
      </c>
      <c r="AU56" s="69">
        <f t="shared" si="119"/>
        <v>0</v>
      </c>
      <c r="AV56" s="69">
        <f t="shared" si="119"/>
        <v>0</v>
      </c>
      <c r="AW56" s="69">
        <f t="shared" si="119"/>
        <v>0</v>
      </c>
      <c r="AX56" s="69">
        <f t="shared" si="119"/>
        <v>0</v>
      </c>
      <c r="AY56" s="69">
        <f t="shared" si="119"/>
        <v>0</v>
      </c>
      <c r="AZ56" s="69">
        <f t="shared" si="119"/>
        <v>0</v>
      </c>
      <c r="BA56" s="69">
        <f t="shared" si="119"/>
        <v>0</v>
      </c>
      <c r="BB56" s="69">
        <f t="shared" si="119"/>
        <v>0</v>
      </c>
      <c r="BC56" s="69">
        <f t="shared" si="119"/>
        <v>0</v>
      </c>
      <c r="BD56" s="69">
        <f t="shared" si="119"/>
        <v>0</v>
      </c>
      <c r="BE56" s="69">
        <f t="shared" si="119"/>
        <v>0</v>
      </c>
      <c r="BF56" s="69">
        <f t="shared" si="119"/>
        <v>0</v>
      </c>
      <c r="BG56" s="69">
        <f t="shared" si="119"/>
        <v>0</v>
      </c>
      <c r="BH56" s="69">
        <f t="shared" si="119"/>
        <v>0</v>
      </c>
      <c r="BI56" s="69">
        <f t="shared" si="119"/>
        <v>0</v>
      </c>
      <c r="BJ56" s="69">
        <f t="shared" si="119"/>
        <v>0</v>
      </c>
      <c r="BK56" s="69">
        <f t="shared" si="119"/>
        <v>0</v>
      </c>
      <c r="BL56" s="69">
        <f t="shared" si="119"/>
        <v>0</v>
      </c>
      <c r="BM56" s="69">
        <f t="shared" si="119"/>
        <v>0</v>
      </c>
      <c r="BN56" s="69">
        <f t="shared" si="119"/>
        <v>0</v>
      </c>
      <c r="BO56" s="69">
        <f t="shared" si="119"/>
        <v>0</v>
      </c>
      <c r="BP56" s="69">
        <f t="shared" si="119"/>
        <v>0</v>
      </c>
      <c r="BQ56" s="69">
        <f t="shared" si="119"/>
        <v>0</v>
      </c>
      <c r="BR56" s="69">
        <f t="shared" si="119"/>
        <v>0</v>
      </c>
      <c r="BS56" s="69">
        <f t="shared" si="119"/>
        <v>0</v>
      </c>
      <c r="BT56" s="69">
        <f t="shared" si="119"/>
        <v>0</v>
      </c>
      <c r="BU56" s="69">
        <f t="shared" si="119"/>
        <v>0</v>
      </c>
      <c r="BV56" s="69">
        <f t="shared" si="119"/>
        <v>0</v>
      </c>
      <c r="BW56" s="69">
        <f t="shared" si="119"/>
        <v>0</v>
      </c>
      <c r="BX56" s="69"/>
    </row>
    <row r="57" spans="1:76">
      <c r="A57" s="79"/>
      <c r="B57" s="80"/>
      <c r="C57" s="80"/>
      <c r="D57" s="80"/>
      <c r="E57" s="80"/>
      <c r="F57" s="80"/>
      <c r="G57" s="80"/>
      <c r="H57" s="80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81"/>
      <c r="W57" s="95"/>
    </row>
    <row r="58" spans="1:76" ht="15.75">
      <c r="A58" s="147" t="s">
        <v>210</v>
      </c>
      <c r="B58" s="131" t="s">
        <v>211</v>
      </c>
      <c r="C58" s="131" t="s">
        <v>212</v>
      </c>
      <c r="D58" s="131" t="s">
        <v>213</v>
      </c>
      <c r="E58" s="131" t="s">
        <v>214</v>
      </c>
      <c r="F58" s="131" t="s">
        <v>215</v>
      </c>
      <c r="G58" s="131" t="s">
        <v>216</v>
      </c>
      <c r="H58" s="131" t="s">
        <v>217</v>
      </c>
      <c r="I58" s="131" t="s">
        <v>255</v>
      </c>
      <c r="J58" s="97"/>
      <c r="K58" s="131" t="s">
        <v>219</v>
      </c>
      <c r="L58" s="131" t="s">
        <v>220</v>
      </c>
      <c r="M58" s="131" t="s">
        <v>221</v>
      </c>
      <c r="N58" s="131" t="s">
        <v>222</v>
      </c>
      <c r="O58" s="131" t="s">
        <v>223</v>
      </c>
      <c r="P58" s="131" t="s">
        <v>224</v>
      </c>
      <c r="Q58" s="131" t="s">
        <v>225</v>
      </c>
      <c r="R58" s="131" t="s">
        <v>226</v>
      </c>
      <c r="S58" s="131" t="s">
        <v>227</v>
      </c>
      <c r="T58" s="131" t="s">
        <v>228</v>
      </c>
      <c r="U58" s="131" t="s">
        <v>229</v>
      </c>
      <c r="V58" s="131" t="s">
        <v>230</v>
      </c>
      <c r="W58" s="142"/>
      <c r="X58" s="134" t="s">
        <v>104</v>
      </c>
      <c r="Y58" s="135"/>
      <c r="Z58" s="135"/>
      <c r="AA58" s="135"/>
      <c r="AB58" s="136"/>
      <c r="AC58" s="134" t="s">
        <v>105</v>
      </c>
      <c r="AD58" s="135"/>
      <c r="AE58" s="135"/>
      <c r="AF58" s="136"/>
      <c r="AG58" s="134" t="s">
        <v>106</v>
      </c>
      <c r="AH58" s="135"/>
      <c r="AI58" s="135"/>
      <c r="AJ58" s="136"/>
      <c r="AK58" s="134" t="s">
        <v>107</v>
      </c>
      <c r="AL58" s="135"/>
      <c r="AM58" s="135"/>
      <c r="AN58" s="135"/>
      <c r="AO58" s="135" t="s">
        <v>108</v>
      </c>
      <c r="AP58" s="137"/>
      <c r="AQ58" s="137"/>
      <c r="AR58" s="137"/>
      <c r="AS58" s="138"/>
      <c r="AT58" s="134" t="s">
        <v>109</v>
      </c>
      <c r="AU58" s="135"/>
      <c r="AV58" s="135"/>
      <c r="AW58" s="136"/>
      <c r="AX58" s="134" t="s">
        <v>110</v>
      </c>
      <c r="AY58" s="135"/>
      <c r="AZ58" s="135"/>
      <c r="BA58" s="135"/>
      <c r="BB58" s="136"/>
      <c r="BC58" s="146" t="s">
        <v>256</v>
      </c>
      <c r="BD58" s="137"/>
      <c r="BE58" s="137"/>
      <c r="BF58" s="138"/>
      <c r="BG58" s="146" t="s">
        <v>257</v>
      </c>
      <c r="BH58" s="137"/>
      <c r="BI58" s="137"/>
      <c r="BJ58" s="138"/>
      <c r="BK58" s="146" t="s">
        <v>113</v>
      </c>
      <c r="BL58" s="137"/>
      <c r="BM58" s="137"/>
      <c r="BN58" s="137"/>
      <c r="BO58" s="138"/>
      <c r="BP58" s="146" t="s">
        <v>193</v>
      </c>
      <c r="BQ58" s="137"/>
      <c r="BR58" s="137"/>
      <c r="BS58" s="138"/>
      <c r="BT58" s="146" t="s">
        <v>115</v>
      </c>
      <c r="BU58" s="137"/>
      <c r="BV58" s="137"/>
      <c r="BW58" s="137"/>
      <c r="BX58" s="138"/>
    </row>
    <row r="59" spans="1:76" ht="15.75">
      <c r="A59" s="148"/>
      <c r="B59" s="132"/>
      <c r="C59" s="132"/>
      <c r="D59" s="132"/>
      <c r="E59" s="132"/>
      <c r="F59" s="132"/>
      <c r="G59" s="132"/>
      <c r="H59" s="132"/>
      <c r="I59" s="132"/>
      <c r="J59" s="98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43"/>
      <c r="X59" s="69" t="s">
        <v>194</v>
      </c>
      <c r="Y59" s="14" t="s">
        <v>195</v>
      </c>
      <c r="Z59" s="69" t="s">
        <v>118</v>
      </c>
      <c r="AA59" s="69" t="s">
        <v>119</v>
      </c>
      <c r="AB59" s="14" t="s">
        <v>120</v>
      </c>
      <c r="AC59" s="69" t="s">
        <v>121</v>
      </c>
      <c r="AD59" s="69" t="s">
        <v>122</v>
      </c>
      <c r="AE59" s="69" t="s">
        <v>123</v>
      </c>
      <c r="AF59" s="69" t="s">
        <v>124</v>
      </c>
      <c r="AG59" s="14" t="s">
        <v>125</v>
      </c>
      <c r="AH59" s="69" t="s">
        <v>126</v>
      </c>
      <c r="AI59" s="69" t="s">
        <v>127</v>
      </c>
      <c r="AJ59" s="69" t="s">
        <v>128</v>
      </c>
      <c r="AK59" s="69" t="s">
        <v>129</v>
      </c>
      <c r="AL59" s="69" t="s">
        <v>130</v>
      </c>
      <c r="AM59" s="69" t="s">
        <v>131</v>
      </c>
      <c r="AN59" s="69" t="s">
        <v>132</v>
      </c>
      <c r="AO59" s="69" t="s">
        <v>133</v>
      </c>
      <c r="AP59" s="69" t="s">
        <v>134</v>
      </c>
      <c r="AQ59" s="69" t="s">
        <v>135</v>
      </c>
      <c r="AR59" s="69" t="s">
        <v>136</v>
      </c>
      <c r="AS59" s="69" t="s">
        <v>137</v>
      </c>
      <c r="AT59" s="69" t="s">
        <v>138</v>
      </c>
      <c r="AU59" s="69" t="s">
        <v>139</v>
      </c>
      <c r="AV59" s="69" t="s">
        <v>140</v>
      </c>
      <c r="AW59" s="69" t="s">
        <v>141</v>
      </c>
      <c r="AX59" s="69" t="s">
        <v>196</v>
      </c>
      <c r="AY59" s="69" t="s">
        <v>197</v>
      </c>
      <c r="AZ59" s="69" t="s">
        <v>144</v>
      </c>
      <c r="BA59" s="69" t="s">
        <v>145</v>
      </c>
      <c r="BB59" s="69" t="s">
        <v>146</v>
      </c>
      <c r="BC59" s="69" t="s">
        <v>198</v>
      </c>
      <c r="BD59" s="69" t="s">
        <v>199</v>
      </c>
      <c r="BE59" s="69" t="s">
        <v>200</v>
      </c>
      <c r="BF59" s="69" t="s">
        <v>201</v>
      </c>
      <c r="BG59" s="69" t="s">
        <v>151</v>
      </c>
      <c r="BH59" s="69" t="s">
        <v>152</v>
      </c>
      <c r="BI59" s="69" t="s">
        <v>153</v>
      </c>
      <c r="BJ59" s="69" t="s">
        <v>154</v>
      </c>
      <c r="BK59" s="69" t="s">
        <v>155</v>
      </c>
      <c r="BL59" s="69" t="s">
        <v>156</v>
      </c>
      <c r="BM59" s="69" t="s">
        <v>157</v>
      </c>
      <c r="BN59" s="69" t="s">
        <v>158</v>
      </c>
      <c r="BO59" s="69" t="s">
        <v>159</v>
      </c>
      <c r="BP59" s="69" t="s">
        <v>202</v>
      </c>
      <c r="BQ59" s="69" t="s">
        <v>203</v>
      </c>
      <c r="BR59" s="69" t="s">
        <v>162</v>
      </c>
      <c r="BS59" s="69" t="s">
        <v>163</v>
      </c>
      <c r="BT59" s="69" t="s">
        <v>164</v>
      </c>
      <c r="BU59" s="69" t="s">
        <v>165</v>
      </c>
      <c r="BV59" s="69" t="s">
        <v>166</v>
      </c>
      <c r="BW59" s="69" t="s">
        <v>167</v>
      </c>
      <c r="BX59" s="69"/>
    </row>
    <row r="60" spans="1:76" ht="15.75">
      <c r="A60" s="71" t="s">
        <v>247</v>
      </c>
      <c r="B60" s="28">
        <v>2</v>
      </c>
      <c r="C60" s="28">
        <v>1</v>
      </c>
      <c r="D60" s="28">
        <v>1</v>
      </c>
      <c r="E60" s="28">
        <v>1</v>
      </c>
      <c r="F60" s="28">
        <v>0</v>
      </c>
      <c r="G60" s="28">
        <v>1</v>
      </c>
      <c r="H60" s="28">
        <v>2</v>
      </c>
      <c r="I60" s="28">
        <f t="shared" ref="I60:I66" si="120">SUM(L60:W60)</f>
        <v>0</v>
      </c>
      <c r="J60" s="15"/>
      <c r="K60" s="93">
        <v>0</v>
      </c>
      <c r="L60" s="93">
        <v>0</v>
      </c>
      <c r="M60" s="93">
        <v>0</v>
      </c>
      <c r="N60" s="93"/>
      <c r="O60" s="28"/>
      <c r="P60" s="28"/>
      <c r="Q60" s="28"/>
      <c r="R60" s="28"/>
      <c r="S60" s="28"/>
      <c r="T60" s="28"/>
      <c r="U60" s="93"/>
      <c r="V60" s="94"/>
      <c r="W60" s="95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U60" s="69"/>
      <c r="BV60" s="69"/>
      <c r="BW60" s="69"/>
      <c r="BX60" s="69"/>
    </row>
    <row r="61" spans="1:76" ht="15.75">
      <c r="A61" s="83" t="s">
        <v>248</v>
      </c>
      <c r="B61" s="28">
        <v>3</v>
      </c>
      <c r="C61" s="28">
        <v>1</v>
      </c>
      <c r="D61" s="28">
        <v>2</v>
      </c>
      <c r="E61" s="28">
        <v>4</v>
      </c>
      <c r="F61" s="28">
        <v>1</v>
      </c>
      <c r="G61" s="28">
        <v>0</v>
      </c>
      <c r="H61" s="28">
        <v>0</v>
      </c>
      <c r="I61" s="28">
        <f t="shared" si="120"/>
        <v>0</v>
      </c>
      <c r="J61" s="15"/>
      <c r="K61" s="93">
        <v>0</v>
      </c>
      <c r="L61" s="93">
        <v>0</v>
      </c>
      <c r="M61" s="93">
        <v>0</v>
      </c>
      <c r="N61" s="93"/>
      <c r="O61" s="28"/>
      <c r="P61" s="28"/>
      <c r="Q61" s="28"/>
      <c r="R61" s="28"/>
      <c r="S61" s="28"/>
      <c r="T61" s="28"/>
      <c r="U61" s="93"/>
      <c r="V61" s="94"/>
      <c r="W61" s="95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69"/>
      <c r="BV61" s="69"/>
      <c r="BW61" s="69"/>
      <c r="BX61" s="69"/>
    </row>
    <row r="62" spans="1:76" ht="15.75">
      <c r="A62" s="83" t="s">
        <v>249</v>
      </c>
      <c r="B62" s="28">
        <v>7</v>
      </c>
      <c r="C62" s="28">
        <v>0</v>
      </c>
      <c r="D62" s="28">
        <v>1</v>
      </c>
      <c r="E62" s="28">
        <v>1</v>
      </c>
      <c r="F62" s="28">
        <v>1</v>
      </c>
      <c r="G62" s="28">
        <v>0</v>
      </c>
      <c r="H62" s="28">
        <v>0</v>
      </c>
      <c r="I62" s="28">
        <f t="shared" si="120"/>
        <v>0</v>
      </c>
      <c r="J62" s="15"/>
      <c r="K62" s="93">
        <v>0</v>
      </c>
      <c r="L62" s="93">
        <v>0</v>
      </c>
      <c r="M62" s="93">
        <v>0</v>
      </c>
      <c r="N62" s="93"/>
      <c r="O62" s="28"/>
      <c r="P62" s="28"/>
      <c r="Q62" s="28"/>
      <c r="R62" s="28"/>
      <c r="S62" s="28"/>
      <c r="T62" s="28"/>
      <c r="U62" s="93"/>
      <c r="V62" s="94"/>
      <c r="W62" s="95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69"/>
      <c r="BQ62" s="69"/>
      <c r="BR62" s="69"/>
      <c r="BS62" s="69"/>
      <c r="BT62" s="69"/>
      <c r="BU62" s="69"/>
      <c r="BV62" s="69"/>
      <c r="BW62" s="69"/>
      <c r="BX62" s="69"/>
    </row>
    <row r="63" spans="1:76" ht="15.75">
      <c r="A63" s="83" t="s">
        <v>250</v>
      </c>
      <c r="B63" s="28">
        <v>6</v>
      </c>
      <c r="C63" s="28">
        <v>2</v>
      </c>
      <c r="D63" s="28">
        <v>5</v>
      </c>
      <c r="E63" s="28">
        <v>0</v>
      </c>
      <c r="F63" s="28">
        <v>0</v>
      </c>
      <c r="G63" s="28">
        <v>0</v>
      </c>
      <c r="H63" s="28">
        <v>1</v>
      </c>
      <c r="I63" s="28">
        <f t="shared" si="120"/>
        <v>0</v>
      </c>
      <c r="J63" s="15"/>
      <c r="K63" s="93">
        <v>0</v>
      </c>
      <c r="L63" s="93">
        <v>0</v>
      </c>
      <c r="M63" s="93">
        <v>0</v>
      </c>
      <c r="N63" s="89"/>
      <c r="O63" s="15"/>
      <c r="P63" s="15"/>
      <c r="Q63" s="15"/>
      <c r="R63" s="15"/>
      <c r="S63" s="15"/>
      <c r="T63" s="15"/>
      <c r="U63" s="89"/>
      <c r="V63" s="90"/>
      <c r="W63" s="95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69"/>
      <c r="BQ63" s="69"/>
      <c r="BR63" s="69"/>
      <c r="BS63" s="69"/>
      <c r="BT63" s="69"/>
      <c r="BU63" s="69"/>
      <c r="BV63" s="69"/>
      <c r="BW63" s="69"/>
      <c r="BX63" s="69"/>
    </row>
    <row r="64" spans="1:76" ht="15.75">
      <c r="A64" s="71" t="s">
        <v>251</v>
      </c>
      <c r="B64" s="28">
        <v>14</v>
      </c>
      <c r="C64" s="28">
        <v>2</v>
      </c>
      <c r="D64" s="28">
        <v>3</v>
      </c>
      <c r="E64" s="28">
        <v>2</v>
      </c>
      <c r="F64" s="28">
        <v>0</v>
      </c>
      <c r="G64" s="28">
        <v>0</v>
      </c>
      <c r="H64" s="28">
        <v>0</v>
      </c>
      <c r="I64" s="28">
        <f t="shared" si="120"/>
        <v>0</v>
      </c>
      <c r="J64" s="15"/>
      <c r="K64" s="93">
        <v>0</v>
      </c>
      <c r="L64" s="93">
        <v>0</v>
      </c>
      <c r="M64" s="93">
        <v>0</v>
      </c>
      <c r="N64" s="89"/>
      <c r="O64" s="15"/>
      <c r="P64" s="15"/>
      <c r="Q64" s="15"/>
      <c r="R64" s="15"/>
      <c r="S64" s="15"/>
      <c r="T64" s="15"/>
      <c r="U64" s="89"/>
      <c r="V64" s="90"/>
      <c r="W64" s="95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69"/>
      <c r="BQ64" s="69"/>
      <c r="BR64" s="69"/>
      <c r="BS64" s="69"/>
      <c r="BT64" s="69"/>
      <c r="BU64" s="69"/>
      <c r="BV64" s="69"/>
      <c r="BW64" s="69"/>
      <c r="BX64" s="69"/>
    </row>
    <row r="65" spans="1:76" ht="15.75">
      <c r="A65" s="71" t="s">
        <v>252</v>
      </c>
      <c r="B65" s="28">
        <v>0</v>
      </c>
      <c r="C65" s="28">
        <v>0</v>
      </c>
      <c r="D65" s="28">
        <v>0</v>
      </c>
      <c r="E65" s="28">
        <v>1</v>
      </c>
      <c r="F65" s="28">
        <v>1</v>
      </c>
      <c r="G65" s="28">
        <v>0</v>
      </c>
      <c r="H65" s="28">
        <v>0</v>
      </c>
      <c r="I65" s="28">
        <f t="shared" si="120"/>
        <v>0</v>
      </c>
      <c r="J65" s="15"/>
      <c r="K65" s="93">
        <v>0</v>
      </c>
      <c r="L65" s="93">
        <v>0</v>
      </c>
      <c r="M65" s="93">
        <v>0</v>
      </c>
      <c r="N65" s="89"/>
      <c r="O65" s="15"/>
      <c r="P65" s="15"/>
      <c r="Q65" s="15"/>
      <c r="R65" s="15"/>
      <c r="S65" s="15"/>
      <c r="T65" s="15"/>
      <c r="U65" s="89"/>
      <c r="V65" s="90"/>
      <c r="W65" s="95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9"/>
      <c r="BQ65" s="69"/>
      <c r="BR65" s="69"/>
      <c r="BS65" s="69"/>
      <c r="BT65" s="69"/>
      <c r="BU65" s="69"/>
      <c r="BV65" s="69"/>
      <c r="BW65" s="69"/>
      <c r="BX65" s="69"/>
    </row>
    <row r="66" spans="1:76" ht="15.75">
      <c r="A66" s="71" t="s">
        <v>253</v>
      </c>
      <c r="B66" s="28">
        <v>0</v>
      </c>
      <c r="C66" s="28">
        <v>0</v>
      </c>
      <c r="D66" s="28">
        <v>0</v>
      </c>
      <c r="E66" s="28">
        <v>0</v>
      </c>
      <c r="F66" s="28">
        <v>0</v>
      </c>
      <c r="G66" s="28">
        <v>0</v>
      </c>
      <c r="H66" s="28">
        <v>0</v>
      </c>
      <c r="I66" s="28">
        <f t="shared" si="120"/>
        <v>0</v>
      </c>
      <c r="J66" s="15"/>
      <c r="K66" s="93">
        <v>0</v>
      </c>
      <c r="L66" s="93">
        <v>0</v>
      </c>
      <c r="M66" s="93">
        <v>0</v>
      </c>
      <c r="N66" s="89"/>
      <c r="O66" s="15"/>
      <c r="P66" s="15"/>
      <c r="Q66" s="15"/>
      <c r="R66" s="15"/>
      <c r="S66" s="15"/>
      <c r="T66" s="15"/>
      <c r="U66" s="89"/>
      <c r="V66" s="90"/>
      <c r="W66" s="95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69"/>
      <c r="BQ66" s="69"/>
      <c r="BR66" s="69"/>
      <c r="BS66" s="69"/>
      <c r="BT66" s="69"/>
      <c r="BU66" s="69"/>
      <c r="BV66" s="69"/>
      <c r="BW66" s="69"/>
      <c r="BX66" s="69"/>
    </row>
    <row r="67" spans="1:76" ht="15.75">
      <c r="A67" s="73" t="s">
        <v>254</v>
      </c>
      <c r="B67" s="58">
        <v>32</v>
      </c>
      <c r="C67" s="58">
        <v>6</v>
      </c>
      <c r="D67" s="58">
        <v>12</v>
      </c>
      <c r="E67" s="58">
        <v>9</v>
      </c>
      <c r="F67" s="58">
        <v>3</v>
      </c>
      <c r="G67" s="58">
        <v>1</v>
      </c>
      <c r="H67" s="58">
        <f>SUM(H60:H66)</f>
        <v>3</v>
      </c>
      <c r="I67" s="58">
        <f>SUM(I60:I66)</f>
        <v>0</v>
      </c>
      <c r="J67" s="78"/>
      <c r="K67" s="91">
        <f>SUM(K60:K66)</f>
        <v>0</v>
      </c>
      <c r="L67" s="91">
        <f t="shared" ref="L67:V67" si="121">SUM(L60:L66)</f>
        <v>0</v>
      </c>
      <c r="M67" s="91">
        <f t="shared" si="121"/>
        <v>0</v>
      </c>
      <c r="N67" s="91">
        <f t="shared" si="121"/>
        <v>0</v>
      </c>
      <c r="O67" s="91">
        <f t="shared" si="121"/>
        <v>0</v>
      </c>
      <c r="P67" s="91">
        <f t="shared" si="121"/>
        <v>0</v>
      </c>
      <c r="Q67" s="91">
        <f t="shared" si="121"/>
        <v>0</v>
      </c>
      <c r="R67" s="91">
        <f t="shared" si="121"/>
        <v>0</v>
      </c>
      <c r="S67" s="91">
        <f t="shared" si="121"/>
        <v>0</v>
      </c>
      <c r="T67" s="91">
        <f t="shared" si="121"/>
        <v>0</v>
      </c>
      <c r="U67" s="91">
        <f t="shared" si="121"/>
        <v>0</v>
      </c>
      <c r="V67" s="91">
        <f t="shared" si="121"/>
        <v>0</v>
      </c>
      <c r="W67" s="95"/>
      <c r="X67" s="69">
        <v>0</v>
      </c>
      <c r="Y67" s="69">
        <f t="shared" ref="Y67:AN67" si="122">SUM(Y60:Y66)</f>
        <v>0</v>
      </c>
      <c r="Z67" s="69">
        <f t="shared" si="122"/>
        <v>0</v>
      </c>
      <c r="AA67" s="69">
        <f t="shared" si="122"/>
        <v>0</v>
      </c>
      <c r="AB67" s="69">
        <f t="shared" si="122"/>
        <v>0</v>
      </c>
      <c r="AC67" s="69">
        <f t="shared" si="122"/>
        <v>0</v>
      </c>
      <c r="AD67" s="69">
        <f t="shared" si="122"/>
        <v>0</v>
      </c>
      <c r="AE67" s="69">
        <f t="shared" si="122"/>
        <v>0</v>
      </c>
      <c r="AF67" s="69">
        <f t="shared" si="122"/>
        <v>0</v>
      </c>
      <c r="AG67" s="69">
        <f t="shared" si="122"/>
        <v>0</v>
      </c>
      <c r="AH67" s="69">
        <f t="shared" si="122"/>
        <v>0</v>
      </c>
      <c r="AI67" s="69">
        <f t="shared" si="122"/>
        <v>0</v>
      </c>
      <c r="AJ67" s="69">
        <f t="shared" si="122"/>
        <v>0</v>
      </c>
      <c r="AK67" s="69">
        <f t="shared" si="122"/>
        <v>0</v>
      </c>
      <c r="AL67" s="69">
        <f t="shared" si="122"/>
        <v>0</v>
      </c>
      <c r="AM67" s="69">
        <f t="shared" si="122"/>
        <v>0</v>
      </c>
      <c r="AN67" s="69">
        <f t="shared" si="122"/>
        <v>0</v>
      </c>
      <c r="AO67" s="69">
        <f t="shared" ref="AO67" si="123">SUM(AO60:AO66)</f>
        <v>0</v>
      </c>
      <c r="AP67" s="69">
        <f t="shared" ref="AP67" si="124">SUM(AP60:AP66)</f>
        <v>0</v>
      </c>
      <c r="AQ67" s="69">
        <f t="shared" ref="AQ67" si="125">SUM(AQ60:AQ66)</f>
        <v>0</v>
      </c>
      <c r="AR67" s="69">
        <f t="shared" ref="AR67" si="126">SUM(AR60:AR66)</f>
        <v>0</v>
      </c>
      <c r="AS67" s="69">
        <f t="shared" ref="AS67" si="127">SUM(AS60:AS66)</f>
        <v>0</v>
      </c>
      <c r="AT67" s="69">
        <f t="shared" ref="AT67" si="128">SUM(AT60:AT66)</f>
        <v>0</v>
      </c>
      <c r="AU67" s="69">
        <f t="shared" ref="AU67" si="129">SUM(AU60:AU66)</f>
        <v>0</v>
      </c>
      <c r="AV67" s="69">
        <f t="shared" ref="AV67" si="130">SUM(AV60:AV66)</f>
        <v>0</v>
      </c>
      <c r="AW67" s="69">
        <f t="shared" ref="AW67" si="131">SUM(AW60:AW66)</f>
        <v>0</v>
      </c>
      <c r="AX67" s="69">
        <f t="shared" ref="AX67" si="132">SUM(AX60:AX66)</f>
        <v>0</v>
      </c>
      <c r="AY67" s="69">
        <f t="shared" ref="AY67" si="133">SUM(AY60:AY66)</f>
        <v>0</v>
      </c>
      <c r="AZ67" s="69">
        <f t="shared" ref="AZ67" si="134">SUM(AZ60:AZ66)</f>
        <v>0</v>
      </c>
      <c r="BA67" s="69">
        <f t="shared" ref="BA67" si="135">SUM(BA60:BA66)</f>
        <v>0</v>
      </c>
      <c r="BB67" s="69">
        <f t="shared" ref="BB67" si="136">SUM(BB60:BB66)</f>
        <v>0</v>
      </c>
      <c r="BC67" s="69">
        <f t="shared" ref="BC67" si="137">SUM(BC60:BC66)</f>
        <v>0</v>
      </c>
      <c r="BD67" s="69">
        <f t="shared" ref="BD67" si="138">SUM(BD60:BD66)</f>
        <v>0</v>
      </c>
      <c r="BE67" s="69">
        <f t="shared" ref="BE67" si="139">SUM(BE60:BE66)</f>
        <v>0</v>
      </c>
      <c r="BF67" s="69">
        <f t="shared" ref="BF67" si="140">SUM(BF60:BF66)</f>
        <v>0</v>
      </c>
      <c r="BG67" s="69">
        <f t="shared" ref="BG67" si="141">SUM(BG60:BG66)</f>
        <v>0</v>
      </c>
      <c r="BH67" s="69">
        <f t="shared" ref="BH67" si="142">SUM(BH60:BH66)</f>
        <v>0</v>
      </c>
      <c r="BI67" s="69">
        <f t="shared" ref="BI67" si="143">SUM(BI60:BI66)</f>
        <v>0</v>
      </c>
      <c r="BJ67" s="69">
        <f t="shared" ref="BJ67" si="144">SUM(BJ60:BJ66)</f>
        <v>0</v>
      </c>
      <c r="BK67" s="69">
        <f t="shared" ref="BK67" si="145">SUM(BK60:BK66)</f>
        <v>0</v>
      </c>
      <c r="BL67" s="69">
        <f t="shared" ref="BL67" si="146">SUM(BL60:BL66)</f>
        <v>0</v>
      </c>
      <c r="BM67" s="69">
        <f t="shared" ref="BM67" si="147">SUM(BM60:BM66)</f>
        <v>0</v>
      </c>
      <c r="BN67" s="69">
        <f t="shared" ref="BN67" si="148">SUM(BN60:BN66)</f>
        <v>0</v>
      </c>
      <c r="BO67" s="69">
        <f t="shared" ref="BO67" si="149">SUM(BO60:BO66)</f>
        <v>0</v>
      </c>
      <c r="BP67" s="69">
        <f t="shared" ref="BP67" si="150">SUM(BP60:BP66)</f>
        <v>0</v>
      </c>
      <c r="BQ67" s="69">
        <f t="shared" ref="BQ67" si="151">SUM(BQ60:BQ66)</f>
        <v>0</v>
      </c>
      <c r="BR67" s="69">
        <f t="shared" ref="BR67" si="152">SUM(BR60:BR66)</f>
        <v>0</v>
      </c>
      <c r="BS67" s="69">
        <f t="shared" ref="BS67" si="153">SUM(BS60:BS66)</f>
        <v>0</v>
      </c>
      <c r="BT67" s="69">
        <f t="shared" ref="BT67" si="154">SUM(BT60:BT66)</f>
        <v>0</v>
      </c>
      <c r="BU67" s="69">
        <f t="shared" ref="BU67" si="155">SUM(BU60:BU66)</f>
        <v>0</v>
      </c>
      <c r="BV67" s="69">
        <f t="shared" ref="BV67" si="156">SUM(BV60:BV66)</f>
        <v>0</v>
      </c>
      <c r="BW67" s="69">
        <f t="shared" ref="BW67" si="157">SUM(BW60:BW66)</f>
        <v>0</v>
      </c>
      <c r="BX67" s="69">
        <f t="shared" ref="BX67" si="158">SUM(BX60:BX66)</f>
        <v>0</v>
      </c>
    </row>
    <row r="68" spans="1:76">
      <c r="H68" s="1"/>
      <c r="I68" s="1"/>
      <c r="J68" s="1"/>
    </row>
    <row r="69" spans="1:76" ht="15.75">
      <c r="A69" s="108" t="s">
        <v>171</v>
      </c>
      <c r="B69" s="109" t="s">
        <v>172</v>
      </c>
      <c r="C69" s="109" t="s">
        <v>173</v>
      </c>
      <c r="D69" s="109" t="s">
        <v>174</v>
      </c>
      <c r="E69" s="109" t="s">
        <v>175</v>
      </c>
      <c r="F69" s="109" t="s">
        <v>176</v>
      </c>
      <c r="G69" s="101" t="s">
        <v>177</v>
      </c>
      <c r="H69" s="101" t="s">
        <v>245</v>
      </c>
      <c r="I69" s="101" t="s">
        <v>246</v>
      </c>
      <c r="J69" s="97"/>
      <c r="K69" s="97" t="s">
        <v>180</v>
      </c>
      <c r="L69" s="97" t="s">
        <v>181</v>
      </c>
      <c r="M69" s="101" t="s">
        <v>182</v>
      </c>
      <c r="N69" s="101" t="s">
        <v>183</v>
      </c>
      <c r="O69" s="101" t="s">
        <v>184</v>
      </c>
      <c r="P69" s="97" t="s">
        <v>185</v>
      </c>
      <c r="Q69" s="97" t="s">
        <v>186</v>
      </c>
      <c r="R69" s="101" t="s">
        <v>187</v>
      </c>
      <c r="S69" s="101" t="s">
        <v>188</v>
      </c>
      <c r="T69" s="101" t="s">
        <v>189</v>
      </c>
      <c r="U69" s="101" t="s">
        <v>190</v>
      </c>
      <c r="V69" s="101" t="s">
        <v>191</v>
      </c>
      <c r="W69" s="103"/>
      <c r="X69" s="99" t="s">
        <v>104</v>
      </c>
      <c r="Y69" s="25"/>
      <c r="Z69" s="25"/>
      <c r="AA69" s="25"/>
      <c r="AB69" s="100"/>
      <c r="AC69" s="99" t="s">
        <v>105</v>
      </c>
      <c r="AD69" s="25"/>
      <c r="AE69" s="25"/>
      <c r="AF69" s="100"/>
      <c r="AG69" s="99" t="s">
        <v>106</v>
      </c>
      <c r="AH69" s="25"/>
      <c r="AI69" s="25"/>
      <c r="AJ69" s="100"/>
      <c r="AK69" s="99" t="s">
        <v>107</v>
      </c>
      <c r="AL69" s="25"/>
      <c r="AM69" s="25"/>
      <c r="AN69" s="25"/>
      <c r="AO69" s="25" t="s">
        <v>108</v>
      </c>
      <c r="AP69" s="25"/>
      <c r="AQ69" s="25"/>
      <c r="AR69" s="25"/>
      <c r="AS69" s="100"/>
      <c r="AT69" s="99" t="s">
        <v>109</v>
      </c>
      <c r="AU69" s="25"/>
      <c r="AV69" s="25"/>
      <c r="AW69" s="100"/>
      <c r="AX69" s="99" t="s">
        <v>110</v>
      </c>
      <c r="AY69" s="25"/>
      <c r="AZ69" s="25"/>
      <c r="BA69" s="25"/>
      <c r="BB69" s="100"/>
      <c r="BC69" s="105" t="s">
        <v>111</v>
      </c>
      <c r="BD69" s="106"/>
      <c r="BE69" s="106"/>
      <c r="BF69" s="107"/>
      <c r="BG69" s="105" t="s">
        <v>112</v>
      </c>
      <c r="BH69" s="106"/>
      <c r="BI69" s="106"/>
      <c r="BJ69" s="107"/>
      <c r="BK69" s="105" t="s">
        <v>113</v>
      </c>
      <c r="BL69" s="106"/>
      <c r="BM69" s="106"/>
      <c r="BN69" s="106"/>
      <c r="BO69" s="107"/>
      <c r="BP69" s="105" t="s">
        <v>193</v>
      </c>
      <c r="BQ69" s="106"/>
      <c r="BR69" s="106"/>
      <c r="BS69" s="107"/>
      <c r="BT69" s="105" t="s">
        <v>115</v>
      </c>
      <c r="BU69" s="106"/>
      <c r="BV69" s="106"/>
      <c r="BW69" s="106"/>
      <c r="BX69" s="107"/>
    </row>
    <row r="70" spans="1:76" ht="15.75">
      <c r="A70" s="71"/>
      <c r="B70" s="28"/>
      <c r="C70" s="28"/>
      <c r="D70" s="28"/>
      <c r="E70" s="28"/>
      <c r="F70" s="28"/>
      <c r="G70" s="102"/>
      <c r="H70" s="102"/>
      <c r="I70" s="102"/>
      <c r="J70" s="98"/>
      <c r="K70" s="96"/>
      <c r="L70" s="96"/>
      <c r="M70" s="102"/>
      <c r="N70" s="102"/>
      <c r="O70" s="102"/>
      <c r="P70" s="96"/>
      <c r="Q70" s="96"/>
      <c r="R70" s="102"/>
      <c r="S70" s="102"/>
      <c r="T70" s="102"/>
      <c r="U70" s="102"/>
      <c r="V70" s="102"/>
      <c r="W70" s="104"/>
      <c r="X70" s="69" t="s">
        <v>194</v>
      </c>
      <c r="Y70" s="14" t="s">
        <v>195</v>
      </c>
      <c r="Z70" s="69" t="s">
        <v>118</v>
      </c>
      <c r="AA70" s="69" t="s">
        <v>119</v>
      </c>
      <c r="AB70" s="14" t="s">
        <v>120</v>
      </c>
      <c r="AC70" s="69" t="s">
        <v>121</v>
      </c>
      <c r="AD70" s="69" t="s">
        <v>122</v>
      </c>
      <c r="AE70" s="69" t="s">
        <v>123</v>
      </c>
      <c r="AF70" s="69" t="s">
        <v>124</v>
      </c>
      <c r="AG70" s="14" t="s">
        <v>125</v>
      </c>
      <c r="AH70" s="69" t="s">
        <v>126</v>
      </c>
      <c r="AI70" s="69" t="s">
        <v>127</v>
      </c>
      <c r="AJ70" s="69" t="s">
        <v>128</v>
      </c>
      <c r="AK70" s="69" t="s">
        <v>129</v>
      </c>
      <c r="AL70" s="69" t="s">
        <v>130</v>
      </c>
      <c r="AM70" s="69" t="s">
        <v>131</v>
      </c>
      <c r="AN70" s="69" t="s">
        <v>132</v>
      </c>
      <c r="AO70" s="69" t="s">
        <v>133</v>
      </c>
      <c r="AP70" s="69" t="s">
        <v>134</v>
      </c>
      <c r="AQ70" s="69" t="s">
        <v>135</v>
      </c>
      <c r="AR70" s="69" t="s">
        <v>136</v>
      </c>
      <c r="AS70" s="69" t="s">
        <v>137</v>
      </c>
      <c r="AT70" s="69" t="s">
        <v>138</v>
      </c>
      <c r="AU70" s="69" t="s">
        <v>139</v>
      </c>
      <c r="AV70" s="69" t="s">
        <v>140</v>
      </c>
      <c r="AW70" s="69" t="s">
        <v>141</v>
      </c>
      <c r="AX70" s="69" t="s">
        <v>196</v>
      </c>
      <c r="AY70" s="69" t="s">
        <v>197</v>
      </c>
      <c r="AZ70" s="69" t="s">
        <v>144</v>
      </c>
      <c r="BA70" s="69" t="s">
        <v>145</v>
      </c>
      <c r="BB70" s="69" t="s">
        <v>146</v>
      </c>
      <c r="BC70" s="69" t="s">
        <v>198</v>
      </c>
      <c r="BD70" s="69" t="s">
        <v>199</v>
      </c>
      <c r="BE70" s="69" t="s">
        <v>200</v>
      </c>
      <c r="BF70" s="69" t="s">
        <v>201</v>
      </c>
      <c r="BG70" s="69" t="s">
        <v>151</v>
      </c>
      <c r="BH70" s="69" t="s">
        <v>152</v>
      </c>
      <c r="BI70" s="69" t="s">
        <v>153</v>
      </c>
      <c r="BJ70" s="69" t="s">
        <v>154</v>
      </c>
      <c r="BK70" s="69" t="s">
        <v>155</v>
      </c>
      <c r="BL70" s="69" t="s">
        <v>156</v>
      </c>
      <c r="BM70" s="69" t="s">
        <v>157</v>
      </c>
      <c r="BN70" s="69" t="s">
        <v>158</v>
      </c>
      <c r="BO70" s="69" t="s">
        <v>159</v>
      </c>
      <c r="BP70" s="69" t="s">
        <v>202</v>
      </c>
      <c r="BQ70" s="69" t="s">
        <v>203</v>
      </c>
      <c r="BR70" s="69" t="s">
        <v>162</v>
      </c>
      <c r="BS70" s="69" t="s">
        <v>163</v>
      </c>
      <c r="BT70" s="69" t="s">
        <v>164</v>
      </c>
      <c r="BU70" s="69" t="s">
        <v>165</v>
      </c>
      <c r="BV70" s="69" t="s">
        <v>166</v>
      </c>
      <c r="BW70" s="69" t="s">
        <v>167</v>
      </c>
      <c r="BX70" s="69"/>
    </row>
    <row r="71" spans="1:76" ht="15.75">
      <c r="A71" s="71" t="s">
        <v>247</v>
      </c>
      <c r="B71" s="28">
        <v>78</v>
      </c>
      <c r="C71" s="28">
        <v>75</v>
      </c>
      <c r="D71" s="28">
        <v>85</v>
      </c>
      <c r="E71" s="59">
        <v>89</v>
      </c>
      <c r="F71" s="59">
        <v>81</v>
      </c>
      <c r="G71" s="44">
        <v>61</v>
      </c>
      <c r="H71" s="44">
        <v>75.416666666666671</v>
      </c>
      <c r="I71" s="44">
        <f>AVERAGE(K71:V71)</f>
        <v>48.666666666666664</v>
      </c>
      <c r="J71" s="67"/>
      <c r="K71" s="89">
        <v>62</v>
      </c>
      <c r="L71" s="15">
        <v>52</v>
      </c>
      <c r="M71" s="93">
        <v>32</v>
      </c>
      <c r="N71" s="28"/>
      <c r="O71" s="28"/>
      <c r="P71" s="93"/>
      <c r="Q71" s="93"/>
      <c r="R71" s="28"/>
      <c r="S71" s="28"/>
      <c r="T71" s="93"/>
      <c r="U71" s="93"/>
      <c r="V71" s="94"/>
      <c r="W71" s="95"/>
      <c r="X71" s="70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69"/>
      <c r="BQ71" s="69"/>
      <c r="BR71" s="69"/>
      <c r="BS71" s="69"/>
      <c r="BT71" s="69"/>
      <c r="BU71" s="69"/>
      <c r="BV71" s="69"/>
      <c r="BW71" s="69"/>
      <c r="BX71" s="69"/>
    </row>
    <row r="72" spans="1:76" ht="15.75">
      <c r="A72" s="83" t="s">
        <v>249</v>
      </c>
      <c r="B72" s="28">
        <v>90</v>
      </c>
      <c r="C72" s="28">
        <v>94</v>
      </c>
      <c r="D72" s="28">
        <v>103</v>
      </c>
      <c r="E72" s="59">
        <v>106</v>
      </c>
      <c r="F72" s="59">
        <v>102</v>
      </c>
      <c r="G72" s="44">
        <v>83</v>
      </c>
      <c r="H72" s="44">
        <v>110.66666666666667</v>
      </c>
      <c r="I72" s="44">
        <f t="shared" ref="I72:I75" si="159">AVERAGE(K72:V72)</f>
        <v>71</v>
      </c>
      <c r="J72" s="67"/>
      <c r="K72" s="89">
        <v>62</v>
      </c>
      <c r="L72" s="15">
        <v>57</v>
      </c>
      <c r="M72" s="93">
        <v>94</v>
      </c>
      <c r="N72" s="28"/>
      <c r="O72" s="28"/>
      <c r="P72" s="93"/>
      <c r="Q72" s="93"/>
      <c r="R72" s="28"/>
      <c r="S72" s="28"/>
      <c r="T72" s="93"/>
      <c r="U72" s="93"/>
      <c r="V72" s="94"/>
      <c r="W72" s="95"/>
      <c r="X72" s="70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69"/>
      <c r="BQ72" s="69"/>
      <c r="BR72" s="69"/>
      <c r="BS72" s="69"/>
      <c r="BT72" s="69"/>
      <c r="BU72" s="69"/>
      <c r="BV72" s="69"/>
      <c r="BW72" s="69"/>
      <c r="BX72" s="69"/>
    </row>
    <row r="73" spans="1:76" ht="15.75">
      <c r="A73" s="83" t="s">
        <v>250</v>
      </c>
      <c r="B73" s="28">
        <v>80</v>
      </c>
      <c r="C73" s="28">
        <v>89</v>
      </c>
      <c r="D73" s="28">
        <v>93</v>
      </c>
      <c r="E73" s="59">
        <v>98</v>
      </c>
      <c r="F73" s="59">
        <v>93</v>
      </c>
      <c r="G73" s="44">
        <v>78</v>
      </c>
      <c r="H73" s="44">
        <v>103.66666666666667</v>
      </c>
      <c r="I73" s="44">
        <f t="shared" si="159"/>
        <v>79.666666666666671</v>
      </c>
      <c r="J73" s="67"/>
      <c r="K73" s="89">
        <v>82</v>
      </c>
      <c r="L73" s="15">
        <v>66</v>
      </c>
      <c r="M73" s="93">
        <v>91</v>
      </c>
      <c r="N73" s="28"/>
      <c r="O73" s="28"/>
      <c r="P73" s="93"/>
      <c r="Q73" s="93"/>
      <c r="R73" s="28"/>
      <c r="S73" s="28"/>
      <c r="T73" s="93"/>
      <c r="U73" s="89"/>
      <c r="V73" s="94"/>
      <c r="W73" s="95"/>
      <c r="X73" s="70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9"/>
      <c r="BQ73" s="69"/>
      <c r="BR73" s="69"/>
      <c r="BS73" s="69"/>
      <c r="BT73" s="69"/>
      <c r="BU73" s="69"/>
      <c r="BV73" s="69"/>
      <c r="BW73" s="69"/>
      <c r="BX73" s="69"/>
    </row>
    <row r="74" spans="1:76" ht="15.75">
      <c r="A74" s="71" t="s">
        <v>251</v>
      </c>
      <c r="B74" s="28">
        <v>54</v>
      </c>
      <c r="C74" s="28">
        <v>73</v>
      </c>
      <c r="D74" s="28">
        <v>86</v>
      </c>
      <c r="E74" s="59">
        <v>85</v>
      </c>
      <c r="F74" s="59">
        <v>81</v>
      </c>
      <c r="G74" s="44">
        <v>53</v>
      </c>
      <c r="H74" s="44">
        <v>86.083333333333329</v>
      </c>
      <c r="I74" s="44">
        <f t="shared" si="159"/>
        <v>57.666666666666664</v>
      </c>
      <c r="J74" s="67"/>
      <c r="K74" s="89">
        <v>77</v>
      </c>
      <c r="L74" s="15">
        <v>34</v>
      </c>
      <c r="M74" s="93">
        <v>62</v>
      </c>
      <c r="N74" s="28"/>
      <c r="O74" s="28"/>
      <c r="P74" s="93"/>
      <c r="Q74" s="93"/>
      <c r="R74" s="28"/>
      <c r="S74" s="28"/>
      <c r="T74" s="93"/>
      <c r="U74" s="89"/>
      <c r="V74" s="94"/>
      <c r="W74" s="95"/>
      <c r="X74" s="70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69"/>
      <c r="BQ74" s="69"/>
      <c r="BR74" s="69"/>
      <c r="BS74" s="69"/>
      <c r="BT74" s="69"/>
      <c r="BU74" s="69"/>
      <c r="BV74" s="69"/>
      <c r="BW74" s="69"/>
      <c r="BX74" s="69"/>
    </row>
    <row r="75" spans="1:76" ht="15.75">
      <c r="A75" s="71" t="s">
        <v>253</v>
      </c>
      <c r="B75" s="28">
        <v>56</v>
      </c>
      <c r="C75" s="28">
        <v>62</v>
      </c>
      <c r="D75" s="28">
        <v>78</v>
      </c>
      <c r="E75" s="59">
        <v>76</v>
      </c>
      <c r="F75" s="59">
        <v>67</v>
      </c>
      <c r="G75" s="44">
        <v>37</v>
      </c>
      <c r="H75" s="44">
        <v>60.25</v>
      </c>
      <c r="I75" s="44">
        <f t="shared" si="159"/>
        <v>40</v>
      </c>
      <c r="J75" s="67"/>
      <c r="K75" s="89">
        <v>51</v>
      </c>
      <c r="L75" s="15">
        <v>28</v>
      </c>
      <c r="M75" s="93">
        <v>41</v>
      </c>
      <c r="N75" s="28"/>
      <c r="O75" s="28"/>
      <c r="P75" s="93"/>
      <c r="Q75" s="93"/>
      <c r="R75" s="28"/>
      <c r="S75" s="28"/>
      <c r="T75" s="93"/>
      <c r="U75" s="89"/>
      <c r="V75" s="94"/>
      <c r="W75" s="95"/>
      <c r="X75" s="70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69"/>
      <c r="BQ75" s="69"/>
      <c r="BR75" s="69"/>
      <c r="BS75" s="69"/>
      <c r="BT75" s="69"/>
      <c r="BU75" s="69"/>
      <c r="BV75" s="69"/>
      <c r="BW75" s="69"/>
      <c r="BX75" s="69"/>
    </row>
    <row r="76" spans="1:76" ht="15.75">
      <c r="A76" s="73" t="s">
        <v>254</v>
      </c>
      <c r="B76" s="58">
        <f>SUM(B71:B75)</f>
        <v>358</v>
      </c>
      <c r="C76" s="58">
        <f t="shared" ref="C76:I76" si="160">SUM(C71:C75)</f>
        <v>393</v>
      </c>
      <c r="D76" s="58">
        <f t="shared" si="160"/>
        <v>445</v>
      </c>
      <c r="E76" s="58">
        <f t="shared" si="160"/>
        <v>454</v>
      </c>
      <c r="F76" s="58">
        <f t="shared" si="160"/>
        <v>424</v>
      </c>
      <c r="G76" s="58">
        <f t="shared" si="160"/>
        <v>312</v>
      </c>
      <c r="H76" s="58">
        <v>436</v>
      </c>
      <c r="I76" s="58">
        <f t="shared" si="160"/>
        <v>297</v>
      </c>
      <c r="J76" s="85"/>
      <c r="K76" s="91">
        <f>SUM(K71:K75)</f>
        <v>334</v>
      </c>
      <c r="L76" s="91">
        <f>SUM(L71:L75)</f>
        <v>237</v>
      </c>
      <c r="M76" s="91">
        <f>SUM(M71:M75)</f>
        <v>320</v>
      </c>
      <c r="N76" s="91">
        <f>SUM(N71:N75)</f>
        <v>0</v>
      </c>
      <c r="O76" s="91">
        <f>SUM(O71:O75)</f>
        <v>0</v>
      </c>
      <c r="P76" s="91">
        <f>SUM(P71:P75)</f>
        <v>0</v>
      </c>
      <c r="Q76" s="91">
        <f>SUM(Q71:Q75)</f>
        <v>0</v>
      </c>
      <c r="R76" s="91">
        <f>SUM(R71:R75)</f>
        <v>0</v>
      </c>
      <c r="S76" s="91">
        <f>SUM(S71:S75)</f>
        <v>0</v>
      </c>
      <c r="T76" s="91">
        <f>SUM(T71:T75)</f>
        <v>0</v>
      </c>
      <c r="U76" s="91">
        <f>SUM(U71:U75)</f>
        <v>0</v>
      </c>
      <c r="V76" s="92">
        <f>SUM(V71:V75)</f>
        <v>0</v>
      </c>
      <c r="W76" s="95"/>
      <c r="X76" s="69">
        <f>SUM(X71:X75)</f>
        <v>0</v>
      </c>
      <c r="Y76" s="69">
        <f>SUM(Y71:Y75)</f>
        <v>0</v>
      </c>
      <c r="Z76" s="69">
        <f>SUM(Z71:Z75)</f>
        <v>0</v>
      </c>
      <c r="AA76" s="69">
        <f>SUM(AA71:AA75)</f>
        <v>0</v>
      </c>
      <c r="AB76" s="69">
        <f>SUM(AB71:AB75)</f>
        <v>0</v>
      </c>
      <c r="AC76" s="69">
        <f>SUM(AC71:AC75)</f>
        <v>0</v>
      </c>
      <c r="AD76" s="69">
        <f>SUM(AD71:AD75)</f>
        <v>0</v>
      </c>
      <c r="AE76" s="69">
        <f>SUM(AE71:AE75)</f>
        <v>0</v>
      </c>
      <c r="AF76" s="69">
        <f>SUM(AF71:AF75)</f>
        <v>0</v>
      </c>
      <c r="AG76" s="69">
        <f>SUM(AG71:AG75)</f>
        <v>0</v>
      </c>
      <c r="AH76" s="69">
        <f>SUM(AH71:AH75)</f>
        <v>0</v>
      </c>
      <c r="AI76" s="69">
        <f>SUM(AI71:AI75)</f>
        <v>0</v>
      </c>
      <c r="AJ76" s="69">
        <f>SUM(AJ71:AJ75)</f>
        <v>0</v>
      </c>
      <c r="AK76" s="69">
        <f>SUM(AK71:AK75)</f>
        <v>0</v>
      </c>
      <c r="AL76" s="69">
        <f>SUM(AL71:AL75)</f>
        <v>0</v>
      </c>
      <c r="AM76" s="69">
        <f>SUM(AM71:AM75)</f>
        <v>0</v>
      </c>
      <c r="AN76" s="69">
        <f>SUM(AN71:AN75)</f>
        <v>0</v>
      </c>
      <c r="AO76" s="69">
        <f>SUM(AO71:AO75)</f>
        <v>0</v>
      </c>
      <c r="AP76" s="69">
        <f>SUM(AP71:AP75)</f>
        <v>0</v>
      </c>
      <c r="AQ76" s="69">
        <f>SUM(AQ71:AQ75)</f>
        <v>0</v>
      </c>
      <c r="AR76" s="69">
        <f>SUM(AR71:AR75)</f>
        <v>0</v>
      </c>
      <c r="AS76" s="69">
        <f>SUM(AS71:AS75)</f>
        <v>0</v>
      </c>
      <c r="AT76" s="69">
        <f>SUM(AT71:AT75)</f>
        <v>0</v>
      </c>
      <c r="AU76" s="69">
        <f>SUM(AU71:AU75)</f>
        <v>0</v>
      </c>
      <c r="AV76" s="69">
        <f>SUM(AV71:AV75)</f>
        <v>0</v>
      </c>
      <c r="AW76" s="69">
        <f>SUM(AW71:AW75)</f>
        <v>0</v>
      </c>
      <c r="AX76" s="69">
        <f>SUM(AX71:AX75)</f>
        <v>0</v>
      </c>
      <c r="AY76" s="69">
        <f>SUM(AY71:AY75)</f>
        <v>0</v>
      </c>
      <c r="AZ76" s="69">
        <f>SUM(AZ71:AZ75)</f>
        <v>0</v>
      </c>
      <c r="BA76" s="69">
        <f>SUM(BA71:BA75)</f>
        <v>0</v>
      </c>
      <c r="BB76" s="69">
        <f>SUM(BB71:BB75)</f>
        <v>0</v>
      </c>
      <c r="BC76" s="69">
        <f>SUM(BC71:BC75)</f>
        <v>0</v>
      </c>
      <c r="BD76" s="69">
        <f>SUM(BD71:BD75)</f>
        <v>0</v>
      </c>
      <c r="BE76" s="69">
        <f>SUM(BE71:BE75)</f>
        <v>0</v>
      </c>
      <c r="BF76" s="69">
        <f>SUM(BF71:BF75)</f>
        <v>0</v>
      </c>
      <c r="BG76" s="69">
        <f>SUM(BG71:BG75)</f>
        <v>0</v>
      </c>
      <c r="BH76" s="69">
        <f>SUM(BH71:BH75)</f>
        <v>0</v>
      </c>
      <c r="BI76" s="69">
        <f>SUM(BI71:BI75)</f>
        <v>0</v>
      </c>
      <c r="BJ76" s="69">
        <f>SUM(BJ71:BJ75)</f>
        <v>0</v>
      </c>
      <c r="BK76" s="69">
        <f>SUM(BK71:BK75)</f>
        <v>0</v>
      </c>
      <c r="BL76" s="69">
        <f>SUM(BL71:BL75)</f>
        <v>0</v>
      </c>
      <c r="BM76" s="69">
        <f>SUM(BM71:BM75)</f>
        <v>0</v>
      </c>
      <c r="BN76" s="69">
        <f>SUM(BN71:BN75)</f>
        <v>0</v>
      </c>
      <c r="BO76" s="69">
        <f>SUM(BO71:BO75)</f>
        <v>0</v>
      </c>
      <c r="BP76" s="69">
        <f>SUM(BP71:BP75)</f>
        <v>0</v>
      </c>
      <c r="BQ76" s="69">
        <f>SUM(BQ71:BQ75)</f>
        <v>0</v>
      </c>
      <c r="BR76" s="69">
        <f>SUM(BR71:BR75)</f>
        <v>0</v>
      </c>
      <c r="BS76" s="69">
        <f>SUM(BS71:BS75)</f>
        <v>0</v>
      </c>
      <c r="BT76" s="69">
        <f>SUM(BT71:BT75)</f>
        <v>0</v>
      </c>
      <c r="BU76" s="69">
        <f>SUM(BU71:BU75)</f>
        <v>0</v>
      </c>
      <c r="BV76" s="69">
        <f>SUM(BV71:BV75)</f>
        <v>0</v>
      </c>
      <c r="BW76" s="69">
        <f>SUM(BW71:BW75)</f>
        <v>0</v>
      </c>
      <c r="BX76" s="69"/>
    </row>
    <row r="77" spans="1:76">
      <c r="H77" s="1"/>
      <c r="I77" s="1"/>
      <c r="J77" s="1"/>
    </row>
    <row r="78" spans="1:76" ht="15.75">
      <c r="A78" s="108" t="s">
        <v>210</v>
      </c>
      <c r="B78" s="101" t="s">
        <v>211</v>
      </c>
      <c r="C78" s="101" t="s">
        <v>212</v>
      </c>
      <c r="D78" s="101" t="s">
        <v>213</v>
      </c>
      <c r="E78" s="101" t="s">
        <v>214</v>
      </c>
      <c r="F78" s="101" t="s">
        <v>215</v>
      </c>
      <c r="G78" s="101" t="s">
        <v>216</v>
      </c>
      <c r="H78" s="101" t="s">
        <v>217</v>
      </c>
      <c r="I78" s="101" t="s">
        <v>255</v>
      </c>
      <c r="J78" s="97"/>
      <c r="K78" s="101" t="s">
        <v>219</v>
      </c>
      <c r="L78" s="101" t="s">
        <v>220</v>
      </c>
      <c r="M78" s="101" t="s">
        <v>221</v>
      </c>
      <c r="N78" s="101" t="s">
        <v>222</v>
      </c>
      <c r="O78" s="101" t="s">
        <v>223</v>
      </c>
      <c r="P78" s="101" t="s">
        <v>224</v>
      </c>
      <c r="Q78" s="101" t="s">
        <v>225</v>
      </c>
      <c r="R78" s="101" t="s">
        <v>226</v>
      </c>
      <c r="S78" s="101" t="s">
        <v>227</v>
      </c>
      <c r="T78" s="101" t="s">
        <v>228</v>
      </c>
      <c r="U78" s="101" t="s">
        <v>229</v>
      </c>
      <c r="V78" s="101" t="s">
        <v>230</v>
      </c>
      <c r="W78" s="103"/>
      <c r="X78" s="99" t="s">
        <v>104</v>
      </c>
      <c r="Y78" s="25"/>
      <c r="Z78" s="25"/>
      <c r="AA78" s="25"/>
      <c r="AB78" s="100"/>
      <c r="AC78" s="99" t="s">
        <v>105</v>
      </c>
      <c r="AD78" s="25"/>
      <c r="AE78" s="25"/>
      <c r="AF78" s="100"/>
      <c r="AG78" s="99" t="s">
        <v>106</v>
      </c>
      <c r="AH78" s="25"/>
      <c r="AI78" s="25"/>
      <c r="AJ78" s="100"/>
      <c r="AK78" s="99" t="s">
        <v>107</v>
      </c>
      <c r="AL78" s="25"/>
      <c r="AM78" s="25"/>
      <c r="AN78" s="25"/>
      <c r="AO78" s="25" t="s">
        <v>108</v>
      </c>
      <c r="AP78" s="106"/>
      <c r="AQ78" s="106"/>
      <c r="AR78" s="106"/>
      <c r="AS78" s="107"/>
      <c r="AT78" s="99" t="s">
        <v>109</v>
      </c>
      <c r="AU78" s="25"/>
      <c r="AV78" s="25"/>
      <c r="AW78" s="100"/>
      <c r="AX78" s="99" t="s">
        <v>110</v>
      </c>
      <c r="AY78" s="25"/>
      <c r="AZ78" s="25"/>
      <c r="BA78" s="25"/>
      <c r="BB78" s="100"/>
      <c r="BC78" s="105" t="s">
        <v>256</v>
      </c>
      <c r="BD78" s="106"/>
      <c r="BE78" s="106"/>
      <c r="BF78" s="107"/>
      <c r="BG78" s="105" t="s">
        <v>257</v>
      </c>
      <c r="BH78" s="106"/>
      <c r="BI78" s="106"/>
      <c r="BJ78" s="107"/>
      <c r="BK78" s="105" t="s">
        <v>113</v>
      </c>
      <c r="BL78" s="106"/>
      <c r="BM78" s="106"/>
      <c r="BN78" s="106"/>
      <c r="BO78" s="107"/>
      <c r="BP78" s="105" t="s">
        <v>193</v>
      </c>
      <c r="BQ78" s="106"/>
      <c r="BR78" s="106"/>
      <c r="BS78" s="107"/>
      <c r="BT78" s="105" t="s">
        <v>115</v>
      </c>
      <c r="BU78" s="106"/>
      <c r="BV78" s="106"/>
      <c r="BW78" s="106"/>
      <c r="BX78" s="107"/>
    </row>
    <row r="79" spans="1:76" ht="15.75">
      <c r="A79" s="71"/>
      <c r="B79" s="102"/>
      <c r="C79" s="102"/>
      <c r="D79" s="102"/>
      <c r="E79" s="102"/>
      <c r="F79" s="102"/>
      <c r="G79" s="102"/>
      <c r="H79" s="102"/>
      <c r="I79" s="102"/>
      <c r="J79" s="98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4"/>
      <c r="X79" s="69" t="s">
        <v>194</v>
      </c>
      <c r="Y79" s="14" t="s">
        <v>195</v>
      </c>
      <c r="Z79" s="69" t="s">
        <v>118</v>
      </c>
      <c r="AA79" s="69" t="s">
        <v>119</v>
      </c>
      <c r="AB79" s="14" t="s">
        <v>120</v>
      </c>
      <c r="AC79" s="69" t="s">
        <v>121</v>
      </c>
      <c r="AD79" s="69" t="s">
        <v>122</v>
      </c>
      <c r="AE79" s="69" t="s">
        <v>123</v>
      </c>
      <c r="AF79" s="69" t="s">
        <v>124</v>
      </c>
      <c r="AG79" s="14" t="s">
        <v>125</v>
      </c>
      <c r="AH79" s="69" t="s">
        <v>126</v>
      </c>
      <c r="AI79" s="69" t="s">
        <v>127</v>
      </c>
      <c r="AJ79" s="69" t="s">
        <v>128</v>
      </c>
      <c r="AK79" s="69" t="s">
        <v>129</v>
      </c>
      <c r="AL79" s="69" t="s">
        <v>130</v>
      </c>
      <c r="AM79" s="69" t="s">
        <v>131</v>
      </c>
      <c r="AN79" s="69" t="s">
        <v>132</v>
      </c>
      <c r="AO79" s="69" t="s">
        <v>133</v>
      </c>
      <c r="AP79" s="69" t="s">
        <v>134</v>
      </c>
      <c r="AQ79" s="69" t="s">
        <v>135</v>
      </c>
      <c r="AR79" s="69" t="s">
        <v>136</v>
      </c>
      <c r="AS79" s="69" t="s">
        <v>137</v>
      </c>
      <c r="AT79" s="69" t="s">
        <v>138</v>
      </c>
      <c r="AU79" s="69" t="s">
        <v>139</v>
      </c>
      <c r="AV79" s="69" t="s">
        <v>140</v>
      </c>
      <c r="AW79" s="69" t="s">
        <v>141</v>
      </c>
      <c r="AX79" s="69" t="s">
        <v>196</v>
      </c>
      <c r="AY79" s="69" t="s">
        <v>197</v>
      </c>
      <c r="AZ79" s="69" t="s">
        <v>144</v>
      </c>
      <c r="BA79" s="69" t="s">
        <v>145</v>
      </c>
      <c r="BB79" s="69" t="s">
        <v>146</v>
      </c>
      <c r="BC79" s="69" t="s">
        <v>198</v>
      </c>
      <c r="BD79" s="69" t="s">
        <v>199</v>
      </c>
      <c r="BE79" s="69" t="s">
        <v>200</v>
      </c>
      <c r="BF79" s="69" t="s">
        <v>201</v>
      </c>
      <c r="BG79" s="69" t="s">
        <v>151</v>
      </c>
      <c r="BH79" s="69" t="s">
        <v>152</v>
      </c>
      <c r="BI79" s="69" t="s">
        <v>153</v>
      </c>
      <c r="BJ79" s="69" t="s">
        <v>154</v>
      </c>
      <c r="BK79" s="69" t="s">
        <v>155</v>
      </c>
      <c r="BL79" s="69" t="s">
        <v>156</v>
      </c>
      <c r="BM79" s="69" t="s">
        <v>157</v>
      </c>
      <c r="BN79" s="69" t="s">
        <v>158</v>
      </c>
      <c r="BO79" s="69" t="s">
        <v>159</v>
      </c>
      <c r="BP79" s="69" t="s">
        <v>202</v>
      </c>
      <c r="BQ79" s="69" t="s">
        <v>203</v>
      </c>
      <c r="BR79" s="69" t="s">
        <v>162</v>
      </c>
      <c r="BS79" s="69" t="s">
        <v>163</v>
      </c>
      <c r="BT79" s="69" t="s">
        <v>164</v>
      </c>
      <c r="BU79" s="69" t="s">
        <v>165</v>
      </c>
      <c r="BV79" s="69" t="s">
        <v>166</v>
      </c>
      <c r="BW79" s="69" t="s">
        <v>167</v>
      </c>
      <c r="BX79" s="69"/>
    </row>
    <row r="80" spans="1:76" ht="15.75">
      <c r="A80" s="71" t="s">
        <v>247</v>
      </c>
      <c r="B80" s="28">
        <v>2</v>
      </c>
      <c r="C80" s="28">
        <v>1</v>
      </c>
      <c r="D80" s="28">
        <v>1</v>
      </c>
      <c r="E80" s="28">
        <v>1</v>
      </c>
      <c r="F80" s="28">
        <v>0</v>
      </c>
      <c r="G80" s="28">
        <v>1</v>
      </c>
      <c r="H80" s="28">
        <v>2</v>
      </c>
      <c r="I80" s="28">
        <f t="shared" ref="I80:I84" si="161">SUM(L80:W80)</f>
        <v>0</v>
      </c>
      <c r="J80" s="15"/>
      <c r="K80" s="93">
        <v>0</v>
      </c>
      <c r="L80" s="93">
        <v>0</v>
      </c>
      <c r="M80" s="93">
        <v>0</v>
      </c>
      <c r="N80" s="93"/>
      <c r="O80" s="28"/>
      <c r="P80" s="28"/>
      <c r="Q80" s="28"/>
      <c r="R80" s="28"/>
      <c r="S80" s="28"/>
      <c r="T80" s="28"/>
      <c r="U80" s="93"/>
      <c r="V80" s="94"/>
      <c r="W80" s="95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  <c r="BT80" s="69"/>
      <c r="BU80" s="69"/>
      <c r="BV80" s="69"/>
      <c r="BW80" s="69"/>
      <c r="BX80" s="69"/>
    </row>
    <row r="81" spans="1:76" ht="15.75">
      <c r="A81" s="83" t="s">
        <v>249</v>
      </c>
      <c r="B81" s="28">
        <v>7</v>
      </c>
      <c r="C81" s="28">
        <v>0</v>
      </c>
      <c r="D81" s="28">
        <v>1</v>
      </c>
      <c r="E81" s="28">
        <v>1</v>
      </c>
      <c r="F81" s="28">
        <v>1</v>
      </c>
      <c r="G81" s="28">
        <v>0</v>
      </c>
      <c r="H81" s="28">
        <v>0</v>
      </c>
      <c r="I81" s="28">
        <f t="shared" si="161"/>
        <v>0</v>
      </c>
      <c r="J81" s="15"/>
      <c r="K81" s="93">
        <v>0</v>
      </c>
      <c r="L81" s="93">
        <v>0</v>
      </c>
      <c r="M81" s="93">
        <v>0</v>
      </c>
      <c r="N81" s="93"/>
      <c r="O81" s="28"/>
      <c r="P81" s="28"/>
      <c r="Q81" s="28"/>
      <c r="R81" s="28"/>
      <c r="S81" s="28"/>
      <c r="T81" s="28"/>
      <c r="U81" s="93"/>
      <c r="V81" s="94"/>
      <c r="W81" s="95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69"/>
      <c r="BQ81" s="69"/>
      <c r="BR81" s="69"/>
      <c r="BS81" s="69"/>
      <c r="BT81" s="69"/>
      <c r="BU81" s="69"/>
      <c r="BV81" s="69"/>
      <c r="BW81" s="69"/>
      <c r="BX81" s="69"/>
    </row>
    <row r="82" spans="1:76" ht="15.75">
      <c r="A82" s="83" t="s">
        <v>250</v>
      </c>
      <c r="B82" s="28">
        <v>6</v>
      </c>
      <c r="C82" s="28">
        <v>2</v>
      </c>
      <c r="D82" s="28">
        <v>5</v>
      </c>
      <c r="E82" s="28">
        <v>0</v>
      </c>
      <c r="F82" s="28">
        <v>0</v>
      </c>
      <c r="G82" s="28">
        <v>0</v>
      </c>
      <c r="H82" s="28">
        <v>1</v>
      </c>
      <c r="I82" s="28">
        <f t="shared" si="161"/>
        <v>0</v>
      </c>
      <c r="J82" s="15"/>
      <c r="K82" s="93">
        <v>0</v>
      </c>
      <c r="L82" s="93">
        <v>0</v>
      </c>
      <c r="M82" s="93">
        <v>0</v>
      </c>
      <c r="N82" s="89"/>
      <c r="O82" s="15"/>
      <c r="P82" s="15"/>
      <c r="Q82" s="15"/>
      <c r="R82" s="15"/>
      <c r="S82" s="15"/>
      <c r="T82" s="15"/>
      <c r="U82" s="89"/>
      <c r="V82" s="90"/>
      <c r="W82" s="95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69"/>
      <c r="BQ82" s="69"/>
      <c r="BR82" s="69"/>
      <c r="BS82" s="69"/>
      <c r="BT82" s="69"/>
      <c r="BU82" s="69"/>
      <c r="BV82" s="69"/>
      <c r="BW82" s="69"/>
      <c r="BX82" s="69"/>
    </row>
    <row r="83" spans="1:76" ht="15.75">
      <c r="A83" s="71" t="s">
        <v>251</v>
      </c>
      <c r="B83" s="28">
        <v>14</v>
      </c>
      <c r="C83" s="28">
        <v>2</v>
      </c>
      <c r="D83" s="28">
        <v>3</v>
      </c>
      <c r="E83" s="28">
        <v>2</v>
      </c>
      <c r="F83" s="28">
        <v>0</v>
      </c>
      <c r="G83" s="28">
        <v>0</v>
      </c>
      <c r="H83" s="28">
        <v>0</v>
      </c>
      <c r="I83" s="28">
        <f t="shared" si="161"/>
        <v>0</v>
      </c>
      <c r="J83" s="15"/>
      <c r="K83" s="93">
        <v>0</v>
      </c>
      <c r="L83" s="93">
        <v>0</v>
      </c>
      <c r="M83" s="93">
        <v>0</v>
      </c>
      <c r="N83" s="89"/>
      <c r="O83" s="15"/>
      <c r="P83" s="15"/>
      <c r="Q83" s="15"/>
      <c r="R83" s="15"/>
      <c r="S83" s="15"/>
      <c r="T83" s="15"/>
      <c r="U83" s="89"/>
      <c r="V83" s="90"/>
      <c r="W83" s="95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69"/>
      <c r="BQ83" s="69"/>
      <c r="BR83" s="69"/>
      <c r="BS83" s="69"/>
      <c r="BT83" s="69"/>
      <c r="BU83" s="69"/>
      <c r="BV83" s="69"/>
      <c r="BW83" s="69"/>
      <c r="BX83" s="69"/>
    </row>
    <row r="84" spans="1:76" ht="15.75">
      <c r="A84" s="71" t="s">
        <v>253</v>
      </c>
      <c r="B84" s="28">
        <v>0</v>
      </c>
      <c r="C84" s="28">
        <v>0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f t="shared" si="161"/>
        <v>0</v>
      </c>
      <c r="J84" s="15"/>
      <c r="K84" s="93">
        <v>0</v>
      </c>
      <c r="L84" s="93">
        <v>0</v>
      </c>
      <c r="M84" s="93">
        <v>0</v>
      </c>
      <c r="N84" s="89"/>
      <c r="O84" s="15"/>
      <c r="P84" s="15"/>
      <c r="Q84" s="15"/>
      <c r="R84" s="15"/>
      <c r="S84" s="15"/>
      <c r="T84" s="15"/>
      <c r="U84" s="89"/>
      <c r="V84" s="90"/>
      <c r="W84" s="95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69"/>
      <c r="BQ84" s="69"/>
      <c r="BR84" s="69"/>
      <c r="BS84" s="69"/>
      <c r="BT84" s="69"/>
      <c r="BU84" s="69"/>
      <c r="BV84" s="69"/>
      <c r="BW84" s="69"/>
      <c r="BX84" s="69"/>
    </row>
    <row r="85" spans="1:76" ht="15.75">
      <c r="A85" s="73" t="s">
        <v>254</v>
      </c>
      <c r="B85" s="58">
        <v>32</v>
      </c>
      <c r="C85" s="58">
        <v>6</v>
      </c>
      <c r="D85" s="58">
        <v>12</v>
      </c>
      <c r="E85" s="58">
        <v>9</v>
      </c>
      <c r="F85" s="58">
        <v>3</v>
      </c>
      <c r="G85" s="58">
        <v>1</v>
      </c>
      <c r="H85" s="58">
        <f>SUM(H80:H84)</f>
        <v>3</v>
      </c>
      <c r="I85" s="58">
        <f>SUM(I80:I84)</f>
        <v>0</v>
      </c>
      <c r="J85" s="78"/>
      <c r="K85" s="91">
        <f>SUM(K80:K84)</f>
        <v>0</v>
      </c>
      <c r="L85" s="91">
        <f>SUM(L80:L84)</f>
        <v>0</v>
      </c>
      <c r="M85" s="91">
        <f>SUM(M80:M84)</f>
        <v>0</v>
      </c>
      <c r="N85" s="91">
        <f>SUM(N80:N84)</f>
        <v>0</v>
      </c>
      <c r="O85" s="91">
        <f>SUM(O80:O84)</f>
        <v>0</v>
      </c>
      <c r="P85" s="91">
        <f>SUM(P80:P84)</f>
        <v>0</v>
      </c>
      <c r="Q85" s="91">
        <f>SUM(Q80:Q84)</f>
        <v>0</v>
      </c>
      <c r="R85" s="91">
        <f>SUM(R80:R84)</f>
        <v>0</v>
      </c>
      <c r="S85" s="91">
        <f>SUM(S80:S84)</f>
        <v>0</v>
      </c>
      <c r="T85" s="91">
        <f>SUM(T80:T84)</f>
        <v>0</v>
      </c>
      <c r="U85" s="91">
        <f>SUM(U80:U84)</f>
        <v>0</v>
      </c>
      <c r="V85" s="91">
        <f>SUM(V80:V84)</f>
        <v>0</v>
      </c>
      <c r="W85" s="95"/>
      <c r="X85" s="69">
        <v>0</v>
      </c>
      <c r="Y85" s="69">
        <f>SUM(Y80:Y84)</f>
        <v>0</v>
      </c>
      <c r="Z85" s="69">
        <f>SUM(Z80:Z84)</f>
        <v>0</v>
      </c>
      <c r="AA85" s="69">
        <f>SUM(AA80:AA84)</f>
        <v>0</v>
      </c>
      <c r="AB85" s="69">
        <f>SUM(AB80:AB84)</f>
        <v>0</v>
      </c>
      <c r="AC85" s="69">
        <f>SUM(AC80:AC84)</f>
        <v>0</v>
      </c>
      <c r="AD85" s="69">
        <f>SUM(AD80:AD84)</f>
        <v>0</v>
      </c>
      <c r="AE85" s="69">
        <f>SUM(AE80:AE84)</f>
        <v>0</v>
      </c>
      <c r="AF85" s="69">
        <f>SUM(AF80:AF84)</f>
        <v>0</v>
      </c>
      <c r="AG85" s="69">
        <f>SUM(AG80:AG84)</f>
        <v>0</v>
      </c>
      <c r="AH85" s="69">
        <f>SUM(AH80:AH84)</f>
        <v>0</v>
      </c>
      <c r="AI85" s="69">
        <f>SUM(AI80:AI84)</f>
        <v>0</v>
      </c>
      <c r="AJ85" s="69">
        <f>SUM(AJ80:AJ84)</f>
        <v>0</v>
      </c>
      <c r="AK85" s="69">
        <f>SUM(AK80:AK84)</f>
        <v>0</v>
      </c>
      <c r="AL85" s="69">
        <f>SUM(AL80:AL84)</f>
        <v>0</v>
      </c>
      <c r="AM85" s="69">
        <f>SUM(AM80:AM84)</f>
        <v>0</v>
      </c>
      <c r="AN85" s="69">
        <f>SUM(AN80:AN84)</f>
        <v>0</v>
      </c>
      <c r="AO85" s="69">
        <f>SUM(AO80:AO84)</f>
        <v>0</v>
      </c>
      <c r="AP85" s="69">
        <f>SUM(AP80:AP84)</f>
        <v>0</v>
      </c>
      <c r="AQ85" s="69">
        <f>SUM(AQ80:AQ84)</f>
        <v>0</v>
      </c>
      <c r="AR85" s="69">
        <f>SUM(AR80:AR84)</f>
        <v>0</v>
      </c>
      <c r="AS85" s="69">
        <f>SUM(AS80:AS84)</f>
        <v>0</v>
      </c>
      <c r="AT85" s="69">
        <f>SUM(AT80:AT84)</f>
        <v>0</v>
      </c>
      <c r="AU85" s="69">
        <f>SUM(AU80:AU84)</f>
        <v>0</v>
      </c>
      <c r="AV85" s="69">
        <f>SUM(AV80:AV84)</f>
        <v>0</v>
      </c>
      <c r="AW85" s="69">
        <f>SUM(AW80:AW84)</f>
        <v>0</v>
      </c>
      <c r="AX85" s="69">
        <f>SUM(AX80:AX84)</f>
        <v>0</v>
      </c>
      <c r="AY85" s="69">
        <f>SUM(AY80:AY84)</f>
        <v>0</v>
      </c>
      <c r="AZ85" s="69">
        <f>SUM(AZ80:AZ84)</f>
        <v>0</v>
      </c>
      <c r="BA85" s="69">
        <f>SUM(BA80:BA84)</f>
        <v>0</v>
      </c>
      <c r="BB85" s="69">
        <f>SUM(BB80:BB84)</f>
        <v>0</v>
      </c>
      <c r="BC85" s="69">
        <f>SUM(BC80:BC84)</f>
        <v>0</v>
      </c>
      <c r="BD85" s="69">
        <f>SUM(BD80:BD84)</f>
        <v>0</v>
      </c>
      <c r="BE85" s="69">
        <f>SUM(BE80:BE84)</f>
        <v>0</v>
      </c>
      <c r="BF85" s="69">
        <f>SUM(BF80:BF84)</f>
        <v>0</v>
      </c>
      <c r="BG85" s="69">
        <f>SUM(BG80:BG84)</f>
        <v>0</v>
      </c>
      <c r="BH85" s="69">
        <f>SUM(BH80:BH84)</f>
        <v>0</v>
      </c>
      <c r="BI85" s="69">
        <f>SUM(BI80:BI84)</f>
        <v>0</v>
      </c>
      <c r="BJ85" s="69">
        <f>SUM(BJ80:BJ84)</f>
        <v>0</v>
      </c>
      <c r="BK85" s="69">
        <f>SUM(BK80:BK84)</f>
        <v>0</v>
      </c>
      <c r="BL85" s="69">
        <f>SUM(BL80:BL84)</f>
        <v>0</v>
      </c>
      <c r="BM85" s="69">
        <f>SUM(BM80:BM84)</f>
        <v>0</v>
      </c>
      <c r="BN85" s="69">
        <f>SUM(BN80:BN84)</f>
        <v>0</v>
      </c>
      <c r="BO85" s="69">
        <f>SUM(BO80:BO84)</f>
        <v>0</v>
      </c>
      <c r="BP85" s="69">
        <f>SUM(BP80:BP84)</f>
        <v>0</v>
      </c>
      <c r="BQ85" s="69">
        <f>SUM(BQ80:BQ84)</f>
        <v>0</v>
      </c>
      <c r="BR85" s="69">
        <f>SUM(BR80:BR84)</f>
        <v>0</v>
      </c>
      <c r="BS85" s="69">
        <f>SUM(BS80:BS84)</f>
        <v>0</v>
      </c>
      <c r="BT85" s="69">
        <f>SUM(BT80:BT84)</f>
        <v>0</v>
      </c>
      <c r="BU85" s="69">
        <f>SUM(BU80:BU84)</f>
        <v>0</v>
      </c>
      <c r="BV85" s="69">
        <f>SUM(BV80:BV84)</f>
        <v>0</v>
      </c>
      <c r="BW85" s="69">
        <f>SUM(BW80:BW84)</f>
        <v>0</v>
      </c>
      <c r="BX85" s="69">
        <f>SUM(BX80:BX84)</f>
        <v>0</v>
      </c>
    </row>
    <row r="86" spans="1:76">
      <c r="H86" s="1"/>
      <c r="I86" s="1"/>
      <c r="J86" s="1"/>
    </row>
    <row r="87" spans="1:76">
      <c r="H87" s="1"/>
      <c r="I87" s="1"/>
      <c r="J87" s="1"/>
    </row>
    <row r="88" spans="1:76">
      <c r="H88" s="1"/>
      <c r="I88" s="1"/>
      <c r="J88" s="1"/>
    </row>
    <row r="89" spans="1:76">
      <c r="H89" s="1"/>
      <c r="I89" s="1"/>
      <c r="J89" s="1"/>
    </row>
    <row r="90" spans="1:76">
      <c r="H90" s="1"/>
      <c r="I90" s="1"/>
      <c r="J90" s="1"/>
    </row>
    <row r="91" spans="1:76">
      <c r="H91" s="1"/>
      <c r="I91" s="1"/>
      <c r="J91" s="1"/>
    </row>
    <row r="92" spans="1:76">
      <c r="H92" s="1"/>
      <c r="I92" s="1"/>
      <c r="J92" s="1"/>
    </row>
    <row r="93" spans="1:76">
      <c r="H93" s="1"/>
      <c r="I93" s="1"/>
      <c r="J93" s="1"/>
    </row>
    <row r="94" spans="1:76" ht="13.9" customHeight="1">
      <c r="H94" s="1"/>
      <c r="I94" s="1"/>
      <c r="J94" s="1"/>
    </row>
    <row r="95" spans="1:76">
      <c r="H95" s="1"/>
      <c r="I95" s="1"/>
      <c r="J95" s="1"/>
    </row>
    <row r="96" spans="1:76">
      <c r="H96" s="1"/>
      <c r="I96" s="1"/>
      <c r="J96" s="1"/>
    </row>
    <row r="97" spans="8:10">
      <c r="H97" s="1"/>
      <c r="I97" s="1"/>
      <c r="J97" s="1"/>
    </row>
    <row r="98" spans="8:10">
      <c r="H98" s="1"/>
      <c r="I98" s="1"/>
      <c r="J98" s="1"/>
    </row>
    <row r="99" spans="8:10">
      <c r="H99" s="1"/>
      <c r="I99" s="1"/>
      <c r="J99" s="1"/>
    </row>
    <row r="100" spans="8:10">
      <c r="H100" s="1"/>
      <c r="I100" s="1"/>
      <c r="J100" s="1"/>
    </row>
    <row r="101" spans="8:10">
      <c r="H101" s="1"/>
      <c r="I101" s="1"/>
      <c r="J101" s="1"/>
    </row>
    <row r="102" spans="8:10">
      <c r="H102" s="1"/>
      <c r="I102" s="1"/>
      <c r="J102" s="1"/>
    </row>
    <row r="103" spans="8:10" ht="13.9" customHeight="1">
      <c r="H103" s="1"/>
      <c r="I103" s="1"/>
      <c r="J103" s="1"/>
    </row>
    <row r="104" spans="8:10">
      <c r="H104" s="1"/>
      <c r="I104" s="1"/>
      <c r="J104" s="1"/>
    </row>
    <row r="105" spans="8:10">
      <c r="H105" s="1"/>
      <c r="I105" s="1"/>
      <c r="J105" s="1"/>
    </row>
    <row r="106" spans="8:10">
      <c r="H106" s="1"/>
      <c r="I106" s="1"/>
      <c r="J106" s="1"/>
    </row>
    <row r="107" spans="8:10">
      <c r="H107" s="1"/>
      <c r="I107" s="1"/>
      <c r="J107" s="1"/>
    </row>
    <row r="108" spans="8:10">
      <c r="H108" s="1"/>
      <c r="I108" s="1"/>
      <c r="J108" s="1"/>
    </row>
    <row r="109" spans="8:10">
      <c r="H109" s="1"/>
      <c r="I109" s="1"/>
      <c r="J109" s="1"/>
    </row>
    <row r="110" spans="8:10">
      <c r="H110" s="1"/>
      <c r="I110" s="1"/>
      <c r="J110" s="1"/>
    </row>
    <row r="111" spans="8:10">
      <c r="H111" s="1"/>
      <c r="I111" s="1"/>
      <c r="J111" s="1"/>
    </row>
    <row r="112" spans="8:10">
      <c r="H112" s="1"/>
      <c r="I112" s="1"/>
      <c r="J112" s="1"/>
    </row>
    <row r="113" spans="8:10">
      <c r="H113" s="1"/>
      <c r="I113" s="1"/>
      <c r="J113" s="1"/>
    </row>
    <row r="114" spans="8:10" ht="13.9" customHeight="1">
      <c r="H114" s="1"/>
      <c r="I114" s="1"/>
      <c r="J114" s="1"/>
    </row>
    <row r="115" spans="8:10">
      <c r="H115" s="1"/>
      <c r="I115" s="1"/>
      <c r="J115" s="1"/>
    </row>
    <row r="116" spans="8:10">
      <c r="H116" s="1"/>
      <c r="I116" s="1"/>
      <c r="J116" s="1"/>
    </row>
    <row r="117" spans="8:10">
      <c r="H117" s="1"/>
      <c r="I117" s="1"/>
      <c r="J117" s="1"/>
    </row>
    <row r="118" spans="8:10">
      <c r="H118" s="1"/>
      <c r="I118" s="1"/>
      <c r="J118" s="1"/>
    </row>
    <row r="119" spans="8:10">
      <c r="H119" s="1"/>
      <c r="I119" s="1"/>
      <c r="J119" s="1"/>
    </row>
    <row r="120" spans="8:10">
      <c r="H120" s="1"/>
      <c r="I120" s="1"/>
      <c r="J120" s="1"/>
    </row>
    <row r="121" spans="8:10">
      <c r="H121" s="1"/>
      <c r="I121" s="1"/>
      <c r="J121" s="1"/>
    </row>
    <row r="122" spans="8:10">
      <c r="H122" s="1"/>
      <c r="I122" s="1"/>
      <c r="J122" s="1"/>
    </row>
    <row r="123" spans="8:10">
      <c r="H123" s="1"/>
      <c r="I123" s="1"/>
      <c r="J123" s="1"/>
    </row>
    <row r="124" spans="8:10">
      <c r="H124" s="1"/>
      <c r="I124" s="1"/>
      <c r="J124" s="1"/>
    </row>
    <row r="125" spans="8:10">
      <c r="H125" s="1"/>
      <c r="I125" s="1"/>
      <c r="J125" s="1"/>
    </row>
    <row r="126" spans="8:10">
      <c r="H126" s="1"/>
      <c r="I126" s="1"/>
      <c r="J126" s="1"/>
    </row>
    <row r="127" spans="8:10">
      <c r="H127" s="1"/>
      <c r="I127" s="1"/>
      <c r="J127" s="1"/>
    </row>
    <row r="128" spans="8:10">
      <c r="H128" s="1"/>
      <c r="I128" s="1"/>
      <c r="J128" s="1"/>
    </row>
    <row r="129" spans="8:10">
      <c r="H129" s="1"/>
      <c r="I129" s="1"/>
      <c r="J129" s="1"/>
    </row>
    <row r="130" spans="8:10">
      <c r="H130" s="1"/>
      <c r="I130" s="1"/>
      <c r="J130" s="1"/>
    </row>
    <row r="131" spans="8:10">
      <c r="H131" s="1"/>
      <c r="I131" s="1"/>
      <c r="J131" s="1"/>
    </row>
    <row r="132" spans="8:10">
      <c r="H132" s="1"/>
      <c r="I132" s="1"/>
      <c r="J132" s="1"/>
    </row>
    <row r="133" spans="8:10">
      <c r="H133" s="1"/>
      <c r="I133" s="1"/>
      <c r="J133" s="1"/>
    </row>
    <row r="134" spans="8:10">
      <c r="H134" s="1"/>
      <c r="I134" s="1"/>
      <c r="J134" s="1"/>
    </row>
    <row r="135" spans="8:10">
      <c r="H135" s="1"/>
      <c r="I135" s="1"/>
      <c r="J135" s="1"/>
    </row>
    <row r="136" spans="8:10">
      <c r="H136" s="1"/>
      <c r="I136" s="1"/>
      <c r="J136" s="1"/>
    </row>
    <row r="137" spans="8:10">
      <c r="H137" s="1"/>
      <c r="I137" s="1"/>
      <c r="J137" s="1"/>
    </row>
    <row r="138" spans="8:10">
      <c r="H138" s="1"/>
      <c r="I138" s="1"/>
      <c r="J138" s="1"/>
    </row>
  </sheetData>
  <mergeCells count="238">
    <mergeCell ref="AT25:AW25"/>
    <mergeCell ref="AX25:BB25"/>
    <mergeCell ref="N25:N26"/>
    <mergeCell ref="P36:P37"/>
    <mergeCell ref="N36:N37"/>
    <mergeCell ref="O25:O26"/>
    <mergeCell ref="O7:O8"/>
    <mergeCell ref="Q25:Q26"/>
    <mergeCell ref="G25:G26"/>
    <mergeCell ref="AC7:AF7"/>
    <mergeCell ref="AG25:AJ25"/>
    <mergeCell ref="X36:AB36"/>
    <mergeCell ref="W25:W26"/>
    <mergeCell ref="X25:AB25"/>
    <mergeCell ref="AC25:AF25"/>
    <mergeCell ref="X7:AB7"/>
    <mergeCell ref="W36:W37"/>
    <mergeCell ref="O36:O37"/>
    <mergeCell ref="Q7:Q8"/>
    <mergeCell ref="Q36:Q37"/>
    <mergeCell ref="P25:P26"/>
    <mergeCell ref="P7:P8"/>
    <mergeCell ref="V25:V26"/>
    <mergeCell ref="R25:R26"/>
    <mergeCell ref="T25:T26"/>
    <mergeCell ref="S25:S26"/>
    <mergeCell ref="R7:R8"/>
    <mergeCell ref="R36:R37"/>
    <mergeCell ref="U36:U37"/>
    <mergeCell ref="T7:T8"/>
    <mergeCell ref="U7:U8"/>
    <mergeCell ref="T36:T37"/>
    <mergeCell ref="S7:S8"/>
    <mergeCell ref="S36:S37"/>
    <mergeCell ref="G36:G37"/>
    <mergeCell ref="V36:V37"/>
    <mergeCell ref="V7:V8"/>
    <mergeCell ref="V16:V17"/>
    <mergeCell ref="V47:V48"/>
    <mergeCell ref="V58:V59"/>
    <mergeCell ref="P1:P2"/>
    <mergeCell ref="P58:P59"/>
    <mergeCell ref="P47:P48"/>
    <mergeCell ref="P16:P17"/>
    <mergeCell ref="T16:T17"/>
    <mergeCell ref="S16:S17"/>
    <mergeCell ref="T1:T2"/>
    <mergeCell ref="T58:T59"/>
    <mergeCell ref="T47:T48"/>
    <mergeCell ref="N16:N17"/>
    <mergeCell ref="N7:N8"/>
    <mergeCell ref="M58:M59"/>
    <mergeCell ref="L1:L2"/>
    <mergeCell ref="U58:U59"/>
    <mergeCell ref="U47:U48"/>
    <mergeCell ref="U16:U17"/>
    <mergeCell ref="Q58:Q59"/>
    <mergeCell ref="R16:R17"/>
    <mergeCell ref="AX36:BB36"/>
    <mergeCell ref="X16:AB16"/>
    <mergeCell ref="AT36:AW36"/>
    <mergeCell ref="AT1:AW1"/>
    <mergeCell ref="AT58:AW58"/>
    <mergeCell ref="AT47:AW47"/>
    <mergeCell ref="AX1:BB1"/>
    <mergeCell ref="BC36:BF36"/>
    <mergeCell ref="AG7:AJ7"/>
    <mergeCell ref="AG16:AJ16"/>
    <mergeCell ref="AC16:AF16"/>
    <mergeCell ref="AO58:AS58"/>
    <mergeCell ref="AK58:AN58"/>
    <mergeCell ref="AO1:AS1"/>
    <mergeCell ref="AK1:AN1"/>
    <mergeCell ref="AG1:AJ1"/>
    <mergeCell ref="AT16:AW16"/>
    <mergeCell ref="AT7:AW7"/>
    <mergeCell ref="AX47:BB47"/>
    <mergeCell ref="AX16:BB16"/>
    <mergeCell ref="AX7:BB7"/>
    <mergeCell ref="AX58:BB58"/>
    <mergeCell ref="X1:AB1"/>
    <mergeCell ref="X58:AB58"/>
    <mergeCell ref="A1:A2"/>
    <mergeCell ref="K1:K2"/>
    <mergeCell ref="B1:B2"/>
    <mergeCell ref="B58:B59"/>
    <mergeCell ref="A58:A59"/>
    <mergeCell ref="B47:B48"/>
    <mergeCell ref="B16:B17"/>
    <mergeCell ref="B7:B8"/>
    <mergeCell ref="C1:C2"/>
    <mergeCell ref="K58:K59"/>
    <mergeCell ref="E1:E2"/>
    <mergeCell ref="E58:E59"/>
    <mergeCell ref="C58:C59"/>
    <mergeCell ref="C16:C17"/>
    <mergeCell ref="C7:C8"/>
    <mergeCell ref="K16:K17"/>
    <mergeCell ref="K7:K8"/>
    <mergeCell ref="G1:G2"/>
    <mergeCell ref="G58:G59"/>
    <mergeCell ref="G47:G48"/>
    <mergeCell ref="G16:G17"/>
    <mergeCell ref="G7:G8"/>
    <mergeCell ref="H1:H2"/>
    <mergeCell ref="H58:H59"/>
    <mergeCell ref="A25:A26"/>
    <mergeCell ref="K47:K48"/>
    <mergeCell ref="L7:L8"/>
    <mergeCell ref="M7:M8"/>
    <mergeCell ref="C25:C26"/>
    <mergeCell ref="A16:A17"/>
    <mergeCell ref="A36:A37"/>
    <mergeCell ref="B25:B26"/>
    <mergeCell ref="C47:C48"/>
    <mergeCell ref="A47:A48"/>
    <mergeCell ref="M36:M37"/>
    <mergeCell ref="M25:M26"/>
    <mergeCell ref="M47:M48"/>
    <mergeCell ref="M16:M17"/>
    <mergeCell ref="E47:E48"/>
    <mergeCell ref="E7:E8"/>
    <mergeCell ref="A7:A8"/>
    <mergeCell ref="B36:B37"/>
    <mergeCell ref="E25:E26"/>
    <mergeCell ref="E16:E17"/>
    <mergeCell ref="E36:E37"/>
    <mergeCell ref="L16:L17"/>
    <mergeCell ref="L25:L26"/>
    <mergeCell ref="C36:C37"/>
    <mergeCell ref="AG47:AJ47"/>
    <mergeCell ref="AC58:AF58"/>
    <mergeCell ref="BC25:BF25"/>
    <mergeCell ref="BT1:BX1"/>
    <mergeCell ref="BT58:BX58"/>
    <mergeCell ref="BP25:BS25"/>
    <mergeCell ref="BP1:BS1"/>
    <mergeCell ref="BP58:BS58"/>
    <mergeCell ref="BP47:BS47"/>
    <mergeCell ref="BP16:BS16"/>
    <mergeCell ref="BP7:BS7"/>
    <mergeCell ref="BP36:BS36"/>
    <mergeCell ref="BG1:BJ1"/>
    <mergeCell ref="BK1:BO1"/>
    <mergeCell ref="BK58:BO58"/>
    <mergeCell ref="BK47:BO47"/>
    <mergeCell ref="BG16:BJ16"/>
    <mergeCell ref="BG7:BJ7"/>
    <mergeCell ref="BK16:BO16"/>
    <mergeCell ref="BG58:BJ58"/>
    <mergeCell ref="BC1:BF1"/>
    <mergeCell ref="BC58:BF58"/>
    <mergeCell ref="BC47:BF47"/>
    <mergeCell ref="BC16:BF16"/>
    <mergeCell ref="BC7:BF7"/>
    <mergeCell ref="BT47:BX47"/>
    <mergeCell ref="BT16:BX16"/>
    <mergeCell ref="BT7:BX7"/>
    <mergeCell ref="BT36:BX36"/>
    <mergeCell ref="BT25:BX25"/>
    <mergeCell ref="BG36:BJ36"/>
    <mergeCell ref="BG47:BJ47"/>
    <mergeCell ref="BG25:BJ25"/>
    <mergeCell ref="BK7:BO7"/>
    <mergeCell ref="BK36:BO36"/>
    <mergeCell ref="BK25:BO25"/>
    <mergeCell ref="H36:H37"/>
    <mergeCell ref="H25:H26"/>
    <mergeCell ref="Q16:Q17"/>
    <mergeCell ref="D25:D26"/>
    <mergeCell ref="D1:D2"/>
    <mergeCell ref="D58:D59"/>
    <mergeCell ref="D47:D48"/>
    <mergeCell ref="D16:D17"/>
    <mergeCell ref="D7:D8"/>
    <mergeCell ref="D36:D37"/>
    <mergeCell ref="F25:F26"/>
    <mergeCell ref="F1:F2"/>
    <mergeCell ref="F58:F59"/>
    <mergeCell ref="F47:F48"/>
    <mergeCell ref="F16:F17"/>
    <mergeCell ref="F7:F8"/>
    <mergeCell ref="F36:F37"/>
    <mergeCell ref="L58:L59"/>
    <mergeCell ref="M1:M2"/>
    <mergeCell ref="L47:L48"/>
    <mergeCell ref="N47:N48"/>
    <mergeCell ref="O16:O17"/>
    <mergeCell ref="K36:K37"/>
    <mergeCell ref="L36:L37"/>
    <mergeCell ref="H47:H48"/>
    <mergeCell ref="H16:H17"/>
    <mergeCell ref="H7:H8"/>
    <mergeCell ref="O1:O2"/>
    <mergeCell ref="Q1:Q2"/>
    <mergeCell ref="U1:U2"/>
    <mergeCell ref="V1:V2"/>
    <mergeCell ref="R1:R2"/>
    <mergeCell ref="AC1:AF1"/>
    <mergeCell ref="N1:N2"/>
    <mergeCell ref="S1:S2"/>
    <mergeCell ref="W16:W17"/>
    <mergeCell ref="N58:N59"/>
    <mergeCell ref="O58:O59"/>
    <mergeCell ref="O47:O48"/>
    <mergeCell ref="R58:R59"/>
    <mergeCell ref="R47:R48"/>
    <mergeCell ref="Q47:Q48"/>
    <mergeCell ref="S58:S59"/>
    <mergeCell ref="S47:S48"/>
    <mergeCell ref="AC47:AF47"/>
    <mergeCell ref="W58:W59"/>
    <mergeCell ref="W47:W48"/>
    <mergeCell ref="W7:W8"/>
    <mergeCell ref="I36:I37"/>
    <mergeCell ref="I7:I8"/>
    <mergeCell ref="I16:I17"/>
    <mergeCell ref="I47:I48"/>
    <mergeCell ref="I58:I59"/>
    <mergeCell ref="I25:I26"/>
    <mergeCell ref="I1:I2"/>
    <mergeCell ref="AK25:AN25"/>
    <mergeCell ref="AO25:AS25"/>
    <mergeCell ref="AK36:AN36"/>
    <mergeCell ref="AO36:AS36"/>
    <mergeCell ref="AK7:AN7"/>
    <mergeCell ref="AO7:AS7"/>
    <mergeCell ref="AK16:AN16"/>
    <mergeCell ref="AO16:AS16"/>
    <mergeCell ref="AO47:AS47"/>
    <mergeCell ref="AK47:AN47"/>
    <mergeCell ref="K25:K26"/>
    <mergeCell ref="AC36:AF36"/>
    <mergeCell ref="AG36:AJ36"/>
    <mergeCell ref="X47:AB47"/>
    <mergeCell ref="AG58:AJ58"/>
    <mergeCell ref="W1:W2"/>
    <mergeCell ref="U25:U26"/>
  </mergeCells>
  <phoneticPr fontId="1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2D6C3BF362140AD4B6103F32582AA" ma:contentTypeVersion="6" ma:contentTypeDescription="Create a new document." ma:contentTypeScope="" ma:versionID="748b169f20d1f27769f3412e0cd0a14a">
  <xsd:schema xmlns:xsd="http://www.w3.org/2001/XMLSchema" xmlns:xs="http://www.w3.org/2001/XMLSchema" xmlns:p="http://schemas.microsoft.com/office/2006/metadata/properties" xmlns:ns2="d1a8d81b-8a26-4b64-83a5-9cf210ca3335" targetNamespace="http://schemas.microsoft.com/office/2006/metadata/properties" ma:root="true" ma:fieldsID="fc26e90fda7269abcb2689097e7ea055" ns2:_="">
    <xsd:import namespace="d1a8d81b-8a26-4b64-83a5-9cf210ca33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8d81b-8a26-4b64-83a5-9cf210ca33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01A5C3-94B5-497F-8E02-E7CAF5B0AF63}"/>
</file>

<file path=customXml/itemProps2.xml><?xml version="1.0" encoding="utf-8"?>
<ds:datastoreItem xmlns:ds="http://schemas.openxmlformats.org/officeDocument/2006/customXml" ds:itemID="{E136808C-E57A-4C51-A967-C963A52BB1E5}"/>
</file>

<file path=customXml/itemProps3.xml><?xml version="1.0" encoding="utf-8"?>
<ds:datastoreItem xmlns:ds="http://schemas.openxmlformats.org/officeDocument/2006/customXml" ds:itemID="{9A097FC3-162C-4221-A861-B4F1B1837D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nuvoton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S220 THChiu</dc:creator>
  <cp:keywords/>
  <dc:description/>
  <cp:lastModifiedBy/>
  <cp:revision/>
  <dcterms:created xsi:type="dcterms:W3CDTF">2016-12-30T03:27:39Z</dcterms:created>
  <dcterms:modified xsi:type="dcterms:W3CDTF">2025-04-03T15:50:22Z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ShowRepairView">
    <vt:lpwstr/>
  </property>
  <property fmtid="{D5CDD505-2E9C-101B-9397-08002B2CF9AE}" pid="4" name="ShowCombineView">
    <vt:lpwstr/>
  </property>
  <property fmtid="{D5CDD505-2E9C-101B-9397-08002B2CF9AE}" pid="5" name="xd_ProgID">
    <vt:lpwstr/>
  </property>
  <property fmtid="{D5CDD505-2E9C-101B-9397-08002B2CF9AE}" pid="6" name="Order">
    <vt:r8>71900</vt:r8>
  </property>
  <property fmtid="{D5CDD505-2E9C-101B-9397-08002B2CF9AE}" pid="7" name="MetaInfo">
    <vt:lpwstr/>
  </property>
  <property fmtid="{D5CDD505-2E9C-101B-9397-08002B2CF9AE}" pid="8" name="ContentTypeId">
    <vt:lpwstr>0x0101001D42D6C3BF362140AD4B6103F32582AA</vt:lpwstr>
  </property>
</Properties>
</file>