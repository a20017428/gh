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CLIN15\Desktop\2024Y LP-N\"/>
    </mc:Choice>
  </mc:AlternateContent>
  <xr:revisionPtr revIDLastSave="0" documentId="13_ncr:1_{0A985566-E118-4DDB-B8CF-849638EA79B3}" xr6:coauthVersionLast="47" xr6:coauthVersionMax="47" xr10:uidLastSave="{00000000-0000-0000-0000-000000000000}"/>
  <bookViews>
    <workbookView xWindow="-120" yWindow="-120" windowWidth="29040" windowHeight="15840" tabRatio="801" firstSheet="1" activeTab="5" xr2:uid="{00000000-000D-0000-FFFF-FFFF00000000}"/>
  </bookViews>
  <sheets>
    <sheet name="2018 OOS說明 " sheetId="28" state="hidden" r:id="rId1"/>
    <sheet name="2024 OOS次數 改rate版" sheetId="38" r:id="rId2"/>
    <sheet name="2024 OOS說明" sheetId="30" r:id="rId3"/>
    <sheet name="OOS率" sheetId="23" state="hidden" r:id="rId4"/>
    <sheet name="2024 RUN數統計" sheetId="50" r:id="rId5"/>
    <sheet name="PM FAIL" sheetId="45" r:id="rId6"/>
    <sheet name="2024 10M PM table" sheetId="55" r:id="rId7"/>
    <sheet name="2024 9M PM table" sheetId="54" r:id="rId8"/>
    <sheet name="2024Y 8M PM table" sheetId="53" r:id="rId9"/>
    <sheet name="2024Y 7M PM table" sheetId="52" r:id="rId10"/>
    <sheet name="2024Y 6M PM table" sheetId="51" r:id="rId11"/>
    <sheet name="2024Y 1~5M PM table" sheetId="47" r:id="rId12"/>
    <sheet name="Up Time" sheetId="24" r:id="rId13"/>
    <sheet name="Up Time machine" sheetId="25" r:id="rId14"/>
    <sheet name="工作表2" sheetId="48" r:id="rId15"/>
  </sheets>
  <definedNames>
    <definedName name="_xlnm._FilterDatabase" localSheetId="6" hidden="1">'2024 10M PM table'!$B$1:$B$132</definedName>
    <definedName name="_xlnm._FilterDatabase" localSheetId="7" hidden="1">'2024 9M PM table'!$B$1:$B$400</definedName>
    <definedName name="_xlnm._FilterDatabase" localSheetId="11" hidden="1">'2024Y 1~5M PM table'!$A$1:$K$626</definedName>
    <definedName name="_xlnm._FilterDatabase" localSheetId="10" hidden="1">'2024Y 6M PM table'!$A$1:$K$136</definedName>
    <definedName name="_xlnm._FilterDatabase" localSheetId="9" hidden="1">'2024Y 7M PM table'!$A$1:$K$129</definedName>
    <definedName name="_xlnm._FilterDatabase" localSheetId="8" hidden="1">'2024Y 8M PM table'!$B$1:$B$129</definedName>
    <definedName name="_xlnm.Print_Area" localSheetId="1">'2024 OOS次數 改rate版'!$A$1:$AB$35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45" l="1"/>
  <c r="E11" i="45"/>
  <c r="C11" i="45"/>
  <c r="H3" i="45"/>
  <c r="G3" i="45"/>
  <c r="F3" i="45"/>
  <c r="E3" i="45"/>
  <c r="G4" i="38"/>
  <c r="E5" i="50"/>
  <c r="C5" i="50" s="1"/>
  <c r="E6" i="50"/>
  <c r="C6" i="50" s="1"/>
  <c r="E7" i="50"/>
  <c r="C7" i="50" s="1"/>
  <c r="E8" i="50"/>
  <c r="C8" i="50" s="1"/>
  <c r="E9" i="50"/>
  <c r="C9" i="50" s="1"/>
  <c r="E4" i="50"/>
  <c r="C4" i="50" s="1"/>
  <c r="E3" i="50"/>
  <c r="C3" i="50" s="1"/>
  <c r="D5" i="50"/>
  <c r="D6" i="50"/>
  <c r="D7" i="50"/>
  <c r="D8" i="50"/>
  <c r="D9" i="50"/>
  <c r="D10" i="50"/>
  <c r="D4" i="50"/>
  <c r="D3" i="50"/>
  <c r="J10" i="50"/>
  <c r="K10" i="50"/>
  <c r="L10" i="50"/>
  <c r="M10" i="50"/>
  <c r="E10" i="50" s="1"/>
  <c r="C10" i="50" s="1"/>
  <c r="N10" i="50"/>
  <c r="O10" i="50"/>
  <c r="P10" i="50"/>
  <c r="Q10" i="50"/>
  <c r="R10" i="50"/>
  <c r="S10" i="50"/>
  <c r="I10" i="50"/>
  <c r="H10" i="50"/>
  <c r="C5" i="38" l="1"/>
  <c r="D5" i="38"/>
  <c r="E5" i="38"/>
  <c r="F5" i="38"/>
  <c r="Y16" i="24"/>
  <c r="Y17" i="24"/>
  <c r="Y18" i="24"/>
  <c r="Y19" i="24"/>
  <c r="Y20" i="24"/>
  <c r="Y21" i="24"/>
  <c r="Y15" i="24"/>
  <c r="H9" i="45" l="1"/>
  <c r="H8" i="45"/>
  <c r="H7" i="45"/>
  <c r="H6" i="45"/>
  <c r="H5" i="45"/>
  <c r="H4" i="45"/>
  <c r="H11" i="45"/>
  <c r="L4" i="38" l="1"/>
  <c r="L5" i="38" s="1"/>
  <c r="K4" i="38"/>
  <c r="K5" i="38" s="1"/>
  <c r="J4" i="38"/>
  <c r="J5" i="38" s="1"/>
  <c r="I4" i="38"/>
  <c r="W5" i="38" l="1"/>
  <c r="K10" i="45" l="1"/>
  <c r="K12" i="45" s="1"/>
  <c r="I11" i="25"/>
  <c r="J10" i="45"/>
  <c r="D10" i="25"/>
  <c r="D9" i="25"/>
  <c r="D8" i="25"/>
  <c r="D7" i="25"/>
  <c r="D6" i="25"/>
  <c r="D5" i="25"/>
  <c r="D4" i="25"/>
  <c r="D9" i="24"/>
  <c r="D4" i="24"/>
  <c r="G4" i="45"/>
  <c r="G5" i="45"/>
  <c r="G6" i="45"/>
  <c r="G7" i="45"/>
  <c r="G8" i="45"/>
  <c r="G9" i="45"/>
  <c r="G11" i="45"/>
  <c r="J6" i="24"/>
  <c r="J7" i="24"/>
  <c r="J8" i="24"/>
  <c r="J9" i="24"/>
  <c r="J10" i="24"/>
  <c r="J5" i="24"/>
  <c r="J3" i="24"/>
  <c r="J5" i="25"/>
  <c r="J6" i="25"/>
  <c r="J7" i="25"/>
  <c r="J8" i="25"/>
  <c r="J9" i="25"/>
  <c r="J10" i="25"/>
  <c r="J4" i="25"/>
  <c r="I4" i="25"/>
  <c r="I6" i="24"/>
  <c r="I7" i="24"/>
  <c r="I8" i="24"/>
  <c r="I9" i="24"/>
  <c r="I10" i="24"/>
  <c r="I5" i="24"/>
  <c r="I3" i="24"/>
  <c r="I5" i="25"/>
  <c r="I6" i="25"/>
  <c r="I7" i="25"/>
  <c r="I8" i="25"/>
  <c r="I9" i="25"/>
  <c r="I10" i="25"/>
  <c r="F4" i="45"/>
  <c r="F5" i="45"/>
  <c r="F6" i="45"/>
  <c r="F7" i="45"/>
  <c r="F8" i="45"/>
  <c r="F9" i="45"/>
  <c r="E4" i="45"/>
  <c r="E5" i="45"/>
  <c r="E6" i="45"/>
  <c r="E7" i="45"/>
  <c r="E8" i="45"/>
  <c r="E9" i="45"/>
  <c r="C3" i="45"/>
  <c r="C4" i="45"/>
  <c r="C5" i="45"/>
  <c r="C6" i="45"/>
  <c r="C7" i="45"/>
  <c r="C8" i="45"/>
  <c r="C9" i="45"/>
  <c r="L10" i="45"/>
  <c r="L12" i="45" s="1"/>
  <c r="M10" i="45"/>
  <c r="N10" i="45"/>
  <c r="N12" i="45" s="1"/>
  <c r="O12" i="45"/>
  <c r="P10" i="45"/>
  <c r="P12" i="45" s="1"/>
  <c r="Q10" i="45"/>
  <c r="Q12" i="45" s="1"/>
  <c r="R10" i="45"/>
  <c r="R12" i="45" s="1"/>
  <c r="S10" i="45"/>
  <c r="T10" i="45"/>
  <c r="T12" i="45" s="1"/>
  <c r="U10" i="45"/>
  <c r="U12" i="45" s="1"/>
  <c r="I5" i="38"/>
  <c r="H5" i="25"/>
  <c r="H6" i="25"/>
  <c r="H7" i="25"/>
  <c r="H8" i="25"/>
  <c r="H9" i="25"/>
  <c r="H10" i="25"/>
  <c r="H4" i="25"/>
  <c r="B7" i="24"/>
  <c r="C7" i="24"/>
  <c r="K4" i="24"/>
  <c r="J4" i="24"/>
  <c r="I4" i="24"/>
  <c r="H4" i="24"/>
  <c r="H5" i="24"/>
  <c r="H6" i="24"/>
  <c r="H8" i="24"/>
  <c r="H9" i="24"/>
  <c r="H10" i="24"/>
  <c r="H3" i="24"/>
  <c r="AD9" i="24"/>
  <c r="Y5" i="38"/>
  <c r="X5" i="38"/>
  <c r="V5" i="38"/>
  <c r="U5" i="38"/>
  <c r="T5" i="38"/>
  <c r="S5" i="38"/>
  <c r="R5" i="38"/>
  <c r="Q5" i="38"/>
  <c r="P5" i="38"/>
  <c r="O5" i="38"/>
  <c r="N5" i="38"/>
  <c r="L3" i="38"/>
  <c r="K3" i="38"/>
  <c r="J3" i="38"/>
  <c r="I3" i="38"/>
  <c r="B3" i="23"/>
  <c r="J3" i="23"/>
  <c r="K3" i="23"/>
  <c r="L3" i="23"/>
  <c r="M3" i="23"/>
  <c r="N3" i="23"/>
  <c r="O3" i="23"/>
  <c r="P3" i="23"/>
  <c r="Q3" i="23"/>
  <c r="R3" i="23"/>
  <c r="S3" i="23"/>
  <c r="T3" i="23"/>
  <c r="U3" i="23"/>
  <c r="E5" i="23"/>
  <c r="F5" i="23"/>
  <c r="C5" i="23" s="1"/>
  <c r="G5" i="23"/>
  <c r="G3" i="23" s="1"/>
  <c r="H5" i="23"/>
  <c r="H3" i="23" s="1"/>
  <c r="E6" i="23"/>
  <c r="C6" i="23" s="1"/>
  <c r="C3" i="23" s="1"/>
  <c r="E3" i="23"/>
  <c r="F6" i="23"/>
  <c r="F3" i="23"/>
  <c r="G6" i="23"/>
  <c r="H6" i="23"/>
  <c r="H7" i="24"/>
  <c r="M12" i="45" l="1"/>
  <c r="F10" i="45"/>
  <c r="E10" i="45"/>
  <c r="G10" i="45"/>
  <c r="H10" i="45"/>
  <c r="H12" i="45" s="1"/>
  <c r="S12" i="45"/>
  <c r="G12" i="45"/>
  <c r="F12" i="45"/>
  <c r="G3" i="38"/>
  <c r="G5" i="38" s="1"/>
  <c r="C10" i="45"/>
  <c r="C12" i="45" s="1"/>
  <c r="E12" i="45"/>
  <c r="J12" i="45"/>
</calcChain>
</file>

<file path=xl/sharedStrings.xml><?xml version="1.0" encoding="utf-8"?>
<sst xmlns="http://schemas.openxmlformats.org/spreadsheetml/2006/main" count="10887" uniqueCount="4228">
  <si>
    <t>機台</t>
  </si>
  <si>
    <t xml:space="preserve">1月 </t>
  </si>
  <si>
    <t>2月</t>
  </si>
  <si>
    <t>3月</t>
  </si>
  <si>
    <t xml:space="preserve">4月 </t>
  </si>
  <si>
    <t xml:space="preserve">5月 </t>
  </si>
  <si>
    <t xml:space="preserve">6月 </t>
  </si>
  <si>
    <t>7月</t>
  </si>
  <si>
    <t>8月</t>
  </si>
  <si>
    <t>9月</t>
  </si>
  <si>
    <t>10月</t>
  </si>
  <si>
    <t>11月</t>
  </si>
  <si>
    <t>12月</t>
  </si>
  <si>
    <t>target</t>
  </si>
  <si>
    <t>機台</t>
    <phoneticPr fontId="11" type="noConversion"/>
  </si>
  <si>
    <t>位置</t>
    <phoneticPr fontId="11" type="noConversion"/>
  </si>
  <si>
    <t>PTC</t>
    <phoneticPr fontId="11" type="noConversion"/>
  </si>
  <si>
    <t>M/W狀態</t>
    <phoneticPr fontId="11" type="noConversion"/>
  </si>
  <si>
    <t>產品PE or KLA check</t>
    <phoneticPr fontId="11" type="noConversion"/>
  </si>
  <si>
    <t>機台處理說明</t>
    <phoneticPr fontId="11" type="noConversion"/>
  </si>
  <si>
    <t>日期</t>
    <phoneticPr fontId="11" type="noConversion"/>
  </si>
  <si>
    <t>OOS</t>
    <phoneticPr fontId="11" type="noConversion"/>
  </si>
  <si>
    <t>2016Y</t>
    <phoneticPr fontId="11" type="noConversion"/>
  </si>
  <si>
    <t>2017Y</t>
    <phoneticPr fontId="11" type="noConversion"/>
  </si>
  <si>
    <t>LP-N3</t>
    <phoneticPr fontId="11" type="noConversion"/>
  </si>
  <si>
    <t xml:space="preserve">Q1 </t>
    <phoneticPr fontId="11" type="noConversion"/>
  </si>
  <si>
    <t xml:space="preserve">Q2 </t>
    <phoneticPr fontId="11" type="noConversion"/>
  </si>
  <si>
    <t>Q3</t>
    <phoneticPr fontId="11" type="noConversion"/>
  </si>
  <si>
    <t>Q4</t>
    <phoneticPr fontId="11" type="noConversion"/>
  </si>
  <si>
    <t>備註</t>
    <phoneticPr fontId="12" type="noConversion"/>
  </si>
  <si>
    <t>申請刪除</t>
    <phoneticPr fontId="12" type="noConversion"/>
  </si>
  <si>
    <t>OOS%</t>
    <phoneticPr fontId="13" type="noConversion"/>
  </si>
  <si>
    <t>target</t>
    <phoneticPr fontId="13" type="noConversion"/>
  </si>
  <si>
    <t>run數</t>
    <phoneticPr fontId="13" type="noConversion"/>
  </si>
  <si>
    <t>target%</t>
    <phoneticPr fontId="13" type="noConversion"/>
  </si>
  <si>
    <t>PM%</t>
    <phoneticPr fontId="13" type="noConversion"/>
  </si>
  <si>
    <t>S/U%</t>
    <phoneticPr fontId="14" type="noConversion"/>
  </si>
  <si>
    <t>up time%</t>
    <phoneticPr fontId="13" type="noConversion"/>
  </si>
  <si>
    <t>F/D%</t>
    <phoneticPr fontId="14" type="noConversion"/>
  </si>
  <si>
    <t>機台       up time%</t>
    <phoneticPr fontId="16" type="noConversion"/>
  </si>
  <si>
    <t>LP-N2</t>
    <phoneticPr fontId="13" type="noConversion"/>
  </si>
  <si>
    <t>LP-N7</t>
    <phoneticPr fontId="14" type="noConversion"/>
  </si>
  <si>
    <t>LP-N1</t>
    <phoneticPr fontId="13" type="noConversion"/>
  </si>
  <si>
    <t>LP-N4</t>
    <phoneticPr fontId="14" type="noConversion"/>
  </si>
  <si>
    <t>LP-N5</t>
    <phoneticPr fontId="14" type="noConversion"/>
  </si>
  <si>
    <t>LP-N6</t>
    <phoneticPr fontId="14" type="noConversion"/>
  </si>
  <si>
    <t>targe%</t>
    <phoneticPr fontId="13" type="noConversion"/>
  </si>
  <si>
    <t>Action</t>
    <phoneticPr fontId="12" type="noConversion"/>
  </si>
  <si>
    <t>N5</t>
    <phoneticPr fontId="17" type="noConversion"/>
  </si>
  <si>
    <t>N5</t>
    <phoneticPr fontId="17" type="noConversion"/>
  </si>
  <si>
    <t>C4</t>
    <phoneticPr fontId="17" type="noConversion"/>
  </si>
  <si>
    <t>C6</t>
    <phoneticPr fontId="17" type="noConversion"/>
  </si>
  <si>
    <t>C1</t>
    <phoneticPr fontId="17" type="noConversion"/>
  </si>
  <si>
    <t>BPM</t>
    <phoneticPr fontId="17" type="noConversion"/>
  </si>
  <si>
    <t>RUN 4217 c4 PTC:113,加量c1~c6:84/206/122/
115 SLOT-2/38/4,依指示降溫BPM</t>
    <phoneticPr fontId="17" type="noConversion"/>
  </si>
  <si>
    <t xml:space="preserve">N5 run N01 C6 PTC: 14938 O.O.S, tox=1491,加量C1/C2/C3/C4/C5 ptc=7995/5288/10836/7533/20932, tox=1484/1499/1485/1500
轉子加速旋轉無異音
拆sih2cl2 bellow, elbow端有coating, 拆elbow, filter 管內有coating
將NH3及sih2cl2 含elbow 拆除震盪clean
sih2cl2 bellow及filter 換新安裝ok, NH3 bellow/elbow clean </t>
    <phoneticPr fontId="17" type="noConversion"/>
  </si>
  <si>
    <t>REPLACE GAS BELLOW/FILTER</t>
    <phoneticPr fontId="17" type="noConversion"/>
  </si>
  <si>
    <t>SPM</t>
    <phoneticPr fontId="17" type="noConversion"/>
  </si>
  <si>
    <t>run N01 C1 ptc oos=154, 加量其他c2/c3/c4/c5/c6=121/145/178/314/35
run數=38,check 轉子無異音, cap無powder, 執行SPM</t>
    <phoneticPr fontId="17" type="noConversion"/>
  </si>
  <si>
    <t>SINRWK OK,PASS</t>
    <phoneticPr fontId="17" type="noConversion"/>
  </si>
  <si>
    <t>SINRWK OK,PASS</t>
    <phoneticPr fontId="17" type="noConversion"/>
  </si>
  <si>
    <t>SINRWK OK,PASS</t>
    <phoneticPr fontId="17" type="noConversion"/>
  </si>
  <si>
    <t>N5</t>
    <phoneticPr fontId="17" type="noConversion"/>
  </si>
  <si>
    <t>C4</t>
    <phoneticPr fontId="17" type="noConversion"/>
  </si>
  <si>
    <t>PG  --&gt;BPM</t>
    <phoneticPr fontId="17" type="noConversion"/>
  </si>
  <si>
    <t>SIN RWK OK,PASS</t>
    <phoneticPr fontId="17" type="noConversion"/>
  </si>
  <si>
    <t>N4</t>
    <phoneticPr fontId="17" type="noConversion"/>
  </si>
  <si>
    <t xml:space="preserve"> C4 PTC 402,replace pressure bellow/boat test run ok</t>
    <phoneticPr fontId="17" type="noConversion"/>
  </si>
  <si>
    <t>REPLACE PRESSURE BELLOW/BOAT</t>
    <phoneticPr fontId="17" type="noConversion"/>
  </si>
  <si>
    <t>C1</t>
    <phoneticPr fontId="17" type="noConversion"/>
  </si>
  <si>
    <t>C4 PTC:162 map 分布均勻,2.加量C1/C2/C3/C5/C6 PTC:94/80/180/169/204,run count:75,check 轉子無異音抖動,cap water close 會alarm,check pipe M.H &amp; pressure tape heater &amp; 刮管 &amp; vent破大氣 ok,6.run PG</t>
    <phoneticPr fontId="17" type="noConversion"/>
  </si>
  <si>
    <t>run product C1 PTC:183,run count:35,check PTC map 分佈均勻.stop machine check 轉子正常無異音,boat normal no powder,check 7 fime 表面有微亮片.
do SPM (加量C2/C3/C4   PTC 122/130/93 顆)</t>
    <phoneticPr fontId="17" type="noConversion"/>
  </si>
  <si>
    <t>OOS Rate</t>
    <phoneticPr fontId="11" type="noConversion"/>
  </si>
  <si>
    <t>Run次</t>
    <phoneticPr fontId="11" type="noConversion"/>
  </si>
  <si>
    <t>OOS次數</t>
    <phoneticPr fontId="11" type="noConversion"/>
  </si>
  <si>
    <t>2018Y</t>
    <phoneticPr fontId="14" type="noConversion"/>
  </si>
  <si>
    <t>C4</t>
    <phoneticPr fontId="18" type="noConversion"/>
  </si>
  <si>
    <t>release</t>
    <phoneticPr fontId="18" type="noConversion"/>
  </si>
  <si>
    <t>申請刪除</t>
    <phoneticPr fontId="18" type="noConversion"/>
  </si>
  <si>
    <t>Action</t>
    <phoneticPr fontId="18" type="noConversion"/>
  </si>
  <si>
    <t>R/D%</t>
    <phoneticPr fontId="14" type="noConversion"/>
  </si>
  <si>
    <t>LP-N2</t>
  </si>
  <si>
    <t>LP-N3</t>
  </si>
  <si>
    <t>LP-N4</t>
  </si>
  <si>
    <t>LP-N5</t>
  </si>
  <si>
    <t>LP-N7</t>
  </si>
  <si>
    <t>2019Y</t>
    <phoneticPr fontId="14" type="noConversion"/>
  </si>
  <si>
    <t>2020Y</t>
    <phoneticPr fontId="14" type="noConversion"/>
  </si>
  <si>
    <t>M/D%</t>
    <phoneticPr fontId="11" type="noConversion"/>
  </si>
  <si>
    <t>PM%+M/D%</t>
    <phoneticPr fontId="13" type="noConversion"/>
  </si>
  <si>
    <t>N1</t>
    <phoneticPr fontId="18" type="noConversion"/>
  </si>
  <si>
    <t>1.OM normal,all D-clean PTC:42
2.AOI Def%: 0.05~0.32% ok,all pass</t>
    <phoneticPr fontId="18" type="noConversion"/>
  </si>
  <si>
    <t>C6</t>
    <phoneticPr fontId="18" type="noConversion"/>
  </si>
  <si>
    <t>N4</t>
    <phoneticPr fontId="18" type="noConversion"/>
  </si>
  <si>
    <t>BPM</t>
    <phoneticPr fontId="18" type="noConversion"/>
  </si>
  <si>
    <t>LP-N6</t>
  </si>
  <si>
    <t>N4</t>
    <phoneticPr fontId="18" type="noConversion"/>
  </si>
  <si>
    <t>C4</t>
    <phoneticPr fontId="18" type="noConversion"/>
  </si>
  <si>
    <t>BPM</t>
    <phoneticPr fontId="18" type="noConversion"/>
  </si>
  <si>
    <t>賓士盤issue刮管</t>
    <phoneticPr fontId="18" type="noConversion"/>
  </si>
  <si>
    <t>VV1 HPA Leak Base Dream</t>
    <phoneticPr fontId="18" type="noConversion"/>
  </si>
  <si>
    <t>OOS,all do SIN RWK</t>
    <phoneticPr fontId="18" type="noConversion"/>
  </si>
  <si>
    <t>OOS,all do SINRWK</t>
    <phoneticPr fontId="18" type="noConversion"/>
  </si>
  <si>
    <r>
      <rPr>
        <sz val="12"/>
        <color indexed="10"/>
        <rFont val="微軟正黑體"/>
        <family val="2"/>
        <charset val="136"/>
      </rPr>
      <t>VV1(N.O.) HPA Leak造成Base Dream</t>
    </r>
    <r>
      <rPr>
        <sz val="12"/>
        <color indexed="8"/>
        <rFont val="微軟正黑體"/>
        <family val="2"/>
        <charset val="136"/>
      </rPr>
      <t>,直接降溫拆管BPM</t>
    </r>
    <phoneticPr fontId="18" type="noConversion"/>
  </si>
  <si>
    <t>LP-N1</t>
    <phoneticPr fontId="25" type="noConversion"/>
  </si>
  <si>
    <t>Fail Rate</t>
    <phoneticPr fontId="25" type="noConversion"/>
  </si>
  <si>
    <t>Q1</t>
    <phoneticPr fontId="25" type="noConversion"/>
  </si>
  <si>
    <t>Q2</t>
    <phoneticPr fontId="25" type="noConversion"/>
  </si>
  <si>
    <t>Q3</t>
    <phoneticPr fontId="25" type="noConversion"/>
  </si>
  <si>
    <t>Q4</t>
    <phoneticPr fontId="25" type="noConversion"/>
  </si>
  <si>
    <t>M1</t>
    <phoneticPr fontId="25" type="noConversion"/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</si>
  <si>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</si>
  <si>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</si>
  <si>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</si>
  <si>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</si>
  <si>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</si>
  <si>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</si>
  <si>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</si>
  <si>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</si>
  <si>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</si>
  <si>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</si>
  <si>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</si>
  <si>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N4</t>
    <phoneticPr fontId="18" type="noConversion"/>
  </si>
  <si>
    <t>C6</t>
    <phoneticPr fontId="18" type="noConversion"/>
  </si>
  <si>
    <t>1.Run N08 12 o'clock 異常圓圈Pattern,目視M/W Color Normal
2.Check Machine Status Normal
3.Release加放PTC:0</t>
    <phoneticPr fontId="18" type="noConversion"/>
  </si>
  <si>
    <t>BPM</t>
    <phoneticPr fontId="18" type="noConversion"/>
  </si>
  <si>
    <t>N4</t>
    <phoneticPr fontId="18" type="noConversion"/>
  </si>
  <si>
    <t>C6</t>
    <phoneticPr fontId="18" type="noConversion"/>
  </si>
  <si>
    <t>1.Run N01,Step 27 "PU+N2"alarm
2.Booster Pump槍體前後隔板裂開
3.Boat out Check Cap/Boat皆有白色生成物
4.PTC:763/768/955/965/957/1686)
5.Replace Pump &amp; 降溫4PM</t>
    <phoneticPr fontId="18" type="noConversion"/>
  </si>
  <si>
    <r>
      <t xml:space="preserve">1.3/27 SPM後,C1/C4 PTC unstable,
2.3/28 更換Boat,C1 PTC:38/82,Spec.,但PTC map集中右半部,check </t>
    </r>
    <r>
      <rPr>
        <sz val="12"/>
        <color indexed="10"/>
        <rFont val="微軟正黑體"/>
        <family val="2"/>
        <charset val="136"/>
      </rPr>
      <t>boat有類似刮管痕跡</t>
    </r>
    <r>
      <rPr>
        <sz val="12"/>
        <color indexed="8"/>
        <rFont val="微軟正黑體"/>
        <family val="2"/>
        <charset val="136"/>
      </rPr>
      <t xml:space="preserve">
3.3/29 調整內管位置,C1 PTC:48/87,禁run加放
4.3/30 C4 PTC=264 OOS,加量C1/C3/C4/C5/C6 PTC=345/261/264/191</t>
    </r>
    <r>
      <rPr>
        <sz val="12"/>
        <rFont val="微軟正黑體"/>
        <family val="2"/>
        <charset val="136"/>
      </rPr>
      <t>/346,降溫BPM</t>
    </r>
    <r>
      <rPr>
        <sz val="12"/>
        <color indexed="10"/>
        <rFont val="微軟正黑體"/>
        <family val="2"/>
        <charset val="136"/>
      </rPr>
      <t xml:space="preserve">
</t>
    </r>
    <r>
      <rPr>
        <sz val="12"/>
        <rFont val="微軟正黑體"/>
        <family val="2"/>
        <charset val="136"/>
      </rPr>
      <t>5.拆賓士盤菜瓜布clean後boat rotate無刮管,PTC in Spec.,monitor</t>
    </r>
    <phoneticPr fontId="18" type="noConversion"/>
  </si>
  <si>
    <t xml:space="preserve">1.LP-N4 N12 PT:228 OOS, ALL DO D-CLEAN THEN PE CHECK
2.follow PTC=29 after D-clean ok,pass </t>
    <phoneticPr fontId="18" type="noConversion"/>
  </si>
  <si>
    <t xml:space="preserve">1.All do SiN rework 
C4/C6 SS-4 PTC &gt;10000,C6 AOI check defect ~5%,count~83~268,
C4/C6 SCR#39 then PE check slot1/13/25 PTC,then asign PAD+4217,others pass
C4/C6 4227 AOI確認SIN INK
全部於SIN REMOVE後確認AOI </t>
    <phoneticPr fontId="18" type="noConversion"/>
  </si>
  <si>
    <t>延續4/8 Pump Abort PTC</t>
    <phoneticPr fontId="18" type="noConversion"/>
  </si>
  <si>
    <t>1.Run N12 C6 PTC 228 顆(分布均勻)
2.Check Machine Status Normal
3.Run PG PTC:5/9/54,13/14/35,禁Run C5/C6,C6 ADD M/W PTC:602 分佈均勻
4.降溫BPM,Replace DCS/NH3 Filter,Monitor</t>
    <phoneticPr fontId="18" type="noConversion"/>
  </si>
  <si>
    <t>N2</t>
    <phoneticPr fontId="18" type="noConversion"/>
  </si>
  <si>
    <t>C1</t>
    <phoneticPr fontId="18" type="noConversion"/>
  </si>
  <si>
    <t>1.LP-N2 PT C1 PTC:46 OOS,D-clean not work,C1 AOI check
2.OT FU SA8101-20184310-6003-5X Def% 0.08~0.41%,  all pass</t>
    <phoneticPr fontId="18" type="noConversion"/>
  </si>
  <si>
    <t>1.check shutter close形成異常,replace 調壓閥*2
2.check Boat Top Platen 有類似刮管痕跡,replace sic boat,check承接/刮管,微調cap水平</t>
    <phoneticPr fontId="18" type="noConversion"/>
  </si>
  <si>
    <t>Replace Boat &amp; adj cap水平</t>
    <phoneticPr fontId="18" type="noConversion"/>
  </si>
  <si>
    <t>Release</t>
    <phoneticPr fontId="18" type="noConversion"/>
  </si>
  <si>
    <t>N5</t>
    <phoneticPr fontId="18" type="noConversion"/>
  </si>
  <si>
    <t xml:space="preserve">Y1P0L3-20290120-4605-5X Def% 0.05~0.19%
AOI ok
</t>
    <phoneticPr fontId="18" type="noConversion"/>
  </si>
  <si>
    <t>C1</t>
    <phoneticPr fontId="18" type="noConversion"/>
  </si>
  <si>
    <t>RUN N01 C1 PTC=240, 加量C2~C6 H-BAR PTC=251/243/76/4/2, RUN=18, DO SPM</t>
    <phoneticPr fontId="18" type="noConversion"/>
  </si>
  <si>
    <t>OOS,C1~C3 do SIN RWK</t>
    <phoneticPr fontId="18" type="noConversion"/>
  </si>
  <si>
    <t>1.Run N08 10 o'clock 異常圓圈Pattern,目視M/W Color Normal
2.Check Machine Status Normal
3.直接 Test Run C1/4/6 PTC：0/0/0</t>
    <phoneticPr fontId="18" type="noConversion"/>
  </si>
  <si>
    <t>懷疑VV1(N.O) 氣管接頭漏氣</t>
    <phoneticPr fontId="18" type="noConversion"/>
  </si>
  <si>
    <t>1.Run N01 C4 PTC=228 OOS
2.Run Count:40.5,直接執行SPM</t>
    <phoneticPr fontId="18" type="noConversion"/>
  </si>
  <si>
    <t>1.Run N01 C4 PTC=256 OOS
2.加量 C1~C6 PTC=138/126/180/258/155/53
3.Run Count:102,直接執行BPM</t>
    <phoneticPr fontId="18" type="noConversion"/>
  </si>
  <si>
    <t>C4 SIN RWK</t>
    <phoneticPr fontId="18" type="noConversion"/>
  </si>
  <si>
    <t>C4 do SIN rwk, others add D-CLEAN then AOI check</t>
    <phoneticPr fontId="18" type="noConversion"/>
  </si>
  <si>
    <t>2022Y</t>
  </si>
  <si>
    <t>2022Y</t>
    <phoneticPr fontId="21" type="noConversion"/>
  </si>
  <si>
    <t>2021Y</t>
  </si>
  <si>
    <t>2021Y</t>
    <phoneticPr fontId="11" type="noConversion"/>
  </si>
  <si>
    <t>2020Y</t>
    <phoneticPr fontId="21" type="noConversion"/>
  </si>
  <si>
    <t>N2</t>
    <phoneticPr fontId="17" type="noConversion"/>
  </si>
  <si>
    <t>SS-4 M/W狀態</t>
    <phoneticPr fontId="11" type="noConversion"/>
  </si>
  <si>
    <t>SS-6 M/W狀態</t>
    <phoneticPr fontId="11" type="noConversion"/>
  </si>
  <si>
    <t xml:space="preserve">
LP-N2 PT C1:104 OOS,OM check normal,all do D-clean then PE check
----------------
清洗後ptc:10 顆,release</t>
    <phoneticPr fontId="17" type="noConversion"/>
  </si>
  <si>
    <t>1.確認 boat Top plate 白色刮管痕跡
2.adj cap 水平
3.Test run N08, ptc=0/0/0</t>
    <phoneticPr fontId="18" type="noConversion"/>
  </si>
  <si>
    <t>PM Code</t>
  </si>
  <si>
    <t>Memo</t>
  </si>
  <si>
    <t>EM-6</t>
  </si>
  <si>
    <t>D91</t>
  </si>
  <si>
    <t>EM-5</t>
  </si>
  <si>
    <t>EM-4</t>
  </si>
  <si>
    <t>A62</t>
  </si>
  <si>
    <t>RTP-1</t>
  </si>
  <si>
    <t>G12</t>
  </si>
  <si>
    <t>RTP-2</t>
  </si>
  <si>
    <t>G13</t>
  </si>
  <si>
    <t>RTP-4</t>
  </si>
  <si>
    <t>K06</t>
  </si>
  <si>
    <t>SORT-D2</t>
  </si>
  <si>
    <t>D21</t>
  </si>
  <si>
    <t>SORT-D1</t>
  </si>
  <si>
    <t>D01</t>
  </si>
  <si>
    <t>F33</t>
  </si>
  <si>
    <t>I02</t>
  </si>
  <si>
    <t>LP-T1</t>
  </si>
  <si>
    <t>D02</t>
  </si>
  <si>
    <t>RIP</t>
  </si>
  <si>
    <t>WAT</t>
  </si>
  <si>
    <t>LP-P2</t>
  </si>
  <si>
    <t>D55</t>
  </si>
  <si>
    <t>RTP-3</t>
  </si>
  <si>
    <t>G16</t>
  </si>
  <si>
    <t>LP-T3</t>
  </si>
  <si>
    <t>D05</t>
  </si>
  <si>
    <t>D17</t>
  </si>
  <si>
    <t>OSC-2</t>
  </si>
  <si>
    <t>OSC-1</t>
  </si>
  <si>
    <t>PASTE-3</t>
  </si>
  <si>
    <t>GRD-2</t>
  </si>
  <si>
    <t>LP-P3</t>
  </si>
  <si>
    <t>D59</t>
  </si>
  <si>
    <t>F39</t>
  </si>
  <si>
    <t>D30</t>
  </si>
  <si>
    <t>LP-T8</t>
  </si>
  <si>
    <t>J03</t>
  </si>
  <si>
    <t>D11</t>
  </si>
  <si>
    <t>F36</t>
  </si>
  <si>
    <t>I05</t>
  </si>
  <si>
    <t>WSIX-2D</t>
  </si>
  <si>
    <t>G15</t>
  </si>
  <si>
    <t>WSIX-2C</t>
  </si>
  <si>
    <t>WSIX-2B</t>
  </si>
  <si>
    <t>SORT-K1</t>
  </si>
  <si>
    <t>K20</t>
  </si>
  <si>
    <t>SORT-J1</t>
  </si>
  <si>
    <t>J16</t>
  </si>
  <si>
    <t>LP-P4</t>
  </si>
  <si>
    <t>D58</t>
  </si>
  <si>
    <t>WSIX-2A</t>
  </si>
  <si>
    <t>LP-P1</t>
  </si>
  <si>
    <t>D56</t>
  </si>
  <si>
    <t>D07</t>
  </si>
  <si>
    <t>LP-T2</t>
  </si>
  <si>
    <t>GRD-3</t>
  </si>
  <si>
    <t>LP-T4</t>
  </si>
  <si>
    <t>D08</t>
  </si>
  <si>
    <t>F34</t>
  </si>
  <si>
    <t>I03</t>
  </si>
  <si>
    <t>F13</t>
  </si>
  <si>
    <t>D65</t>
  </si>
  <si>
    <t>D19</t>
  </si>
  <si>
    <t>F14</t>
  </si>
  <si>
    <t>D64</t>
  </si>
  <si>
    <t>LP-T6</t>
  </si>
  <si>
    <t>D10</t>
  </si>
  <si>
    <t>F07</t>
  </si>
  <si>
    <t>D72</t>
  </si>
  <si>
    <t>SORT-I2</t>
  </si>
  <si>
    <t>I01</t>
  </si>
  <si>
    <t>SORT-I1</t>
  </si>
  <si>
    <t>LP-P6</t>
  </si>
  <si>
    <t>J04</t>
  </si>
  <si>
    <t>F25</t>
  </si>
  <si>
    <t>D54</t>
  </si>
  <si>
    <t>LP-T5</t>
  </si>
  <si>
    <t>D09</t>
  </si>
  <si>
    <t>F24</t>
  </si>
  <si>
    <t>D60</t>
  </si>
  <si>
    <t>F30</t>
  </si>
  <si>
    <t>E23</t>
  </si>
  <si>
    <t>PASTE-2</t>
  </si>
  <si>
    <t>F15</t>
  </si>
  <si>
    <t>D63</t>
  </si>
  <si>
    <t>F17</t>
  </si>
  <si>
    <t>D61</t>
  </si>
  <si>
    <t>WSIX-1C</t>
  </si>
  <si>
    <t>A64</t>
  </si>
  <si>
    <t>WSIX-1B</t>
  </si>
  <si>
    <t>WSIX-1A</t>
  </si>
  <si>
    <t>F10</t>
  </si>
  <si>
    <t>D68</t>
  </si>
  <si>
    <t>WSIX-1D</t>
  </si>
  <si>
    <t>D18</t>
  </si>
  <si>
    <t>F40</t>
  </si>
  <si>
    <t>J02</t>
  </si>
  <si>
    <t>F18</t>
  </si>
  <si>
    <t>D41</t>
  </si>
  <si>
    <t>機台代號</t>
  </si>
  <si>
    <t>位置編號</t>
  </si>
  <si>
    <t>開始時間</t>
  </si>
  <si>
    <t>結束時間</t>
  </si>
  <si>
    <t>區間(Hrs)</t>
  </si>
  <si>
    <t>工程師</t>
  </si>
  <si>
    <t>SORT-W2</t>
  </si>
  <si>
    <t>U19</t>
  </si>
  <si>
    <t>SORT-W1</t>
  </si>
  <si>
    <t>S39</t>
  </si>
  <si>
    <t>徐偉傑</t>
  </si>
  <si>
    <t>歐陽以恆</t>
  </si>
  <si>
    <t>本次PM同上次</t>
  </si>
  <si>
    <t>李治中</t>
  </si>
  <si>
    <t>黃建華</t>
  </si>
  <si>
    <t>蔡孟哲</t>
  </si>
  <si>
    <t>F28</t>
  </si>
  <si>
    <t>E18</t>
  </si>
  <si>
    <t>F01</t>
  </si>
  <si>
    <t>D76</t>
  </si>
  <si>
    <t>F32</t>
  </si>
  <si>
    <t>F16</t>
  </si>
  <si>
    <t>D62</t>
  </si>
  <si>
    <t>林萬郝</t>
  </si>
  <si>
    <t>LP-N1</t>
  </si>
  <si>
    <t>D03</t>
  </si>
  <si>
    <t>D04</t>
  </si>
  <si>
    <t>F27</t>
  </si>
  <si>
    <t>E19</t>
  </si>
  <si>
    <t>F43</t>
  </si>
  <si>
    <t>B48</t>
  </si>
  <si>
    <t>林韋志</t>
  </si>
  <si>
    <t>林毓翔</t>
  </si>
  <si>
    <t>F12</t>
  </si>
  <si>
    <t>D66</t>
  </si>
  <si>
    <t>F37</t>
  </si>
  <si>
    <t>I06</t>
  </si>
  <si>
    <t>F35</t>
  </si>
  <si>
    <t>I04</t>
  </si>
  <si>
    <t>F02</t>
  </si>
  <si>
    <t>D75</t>
  </si>
  <si>
    <t>F45</t>
  </si>
  <si>
    <t>B49</t>
  </si>
  <si>
    <t>F29</t>
  </si>
  <si>
    <t>E17</t>
  </si>
  <si>
    <t>F20</t>
  </si>
  <si>
    <t>D39</t>
  </si>
  <si>
    <t>F08</t>
  </si>
  <si>
    <t>D70</t>
  </si>
  <si>
    <t>F41</t>
  </si>
  <si>
    <t>J05</t>
  </si>
  <si>
    <t>F11</t>
  </si>
  <si>
    <t>D67</t>
  </si>
  <si>
    <t>F22</t>
  </si>
  <si>
    <t>D37</t>
  </si>
  <si>
    <t>F09</t>
  </si>
  <si>
    <t>D69</t>
  </si>
  <si>
    <t>F04</t>
  </si>
  <si>
    <t>D73</t>
  </si>
  <si>
    <t>F19</t>
  </si>
  <si>
    <t>D40</t>
  </si>
  <si>
    <t>F03</t>
  </si>
  <si>
    <t>D74</t>
  </si>
  <si>
    <t>F06</t>
  </si>
  <si>
    <t>D06</t>
  </si>
  <si>
    <t>F05</t>
  </si>
  <si>
    <t>D71</t>
  </si>
  <si>
    <t>F26</t>
  </si>
  <si>
    <t>D53</t>
  </si>
  <si>
    <t>F23</t>
  </si>
  <si>
    <t>D57</t>
  </si>
  <si>
    <t>F38</t>
  </si>
  <si>
    <t>I07</t>
  </si>
  <si>
    <t>F44</t>
  </si>
  <si>
    <t>F42</t>
  </si>
  <si>
    <t>J06</t>
  </si>
  <si>
    <t>F21</t>
  </si>
  <si>
    <t>D38</t>
  </si>
  <si>
    <t>1.check C1 slot1 集中 pattern 平邊朝下3鐘方向                       2.check機台無刮管、CAP無髒汙
3.請EA加量C1 slot1~5=294/35/11/7/10、C2~C6 PTC=15/9/8/7/13
4.test run N01</t>
    <phoneticPr fontId="18" type="noConversion"/>
  </si>
  <si>
    <t>M/D</t>
    <phoneticPr fontId="18" type="noConversion"/>
  </si>
  <si>
    <t>22391590#01洽製程LP-N3 PTC    C1 SLOT1-5=296/35/11/7/10, C1#1 SIN RWK
C2-C6 PASS, C1 22391590#1 SIN RWK</t>
    <phoneticPr fontId="18" type="noConversion"/>
  </si>
  <si>
    <t>N6</t>
    <phoneticPr fontId="17" type="noConversion"/>
  </si>
  <si>
    <t xml:space="preserve">
run N08 ,3 m/w check ptc:134/6/2 oos,tox:201/198/201
1. check boat top plate 刮管痕跡,check boat rotate 單邊外
擴很接近內管,拆cap 賓士盤clean 重裝test boat rotate 正
常,重調承接及check transfer ok
2. replace d/w ok,run PG ok,test run N08</t>
    <phoneticPr fontId="18" type="noConversion"/>
  </si>
  <si>
    <t>LP-N6 C1 after D-clean PTC:113 C1 22520150 AOI check
22520150-4605_op Def: 0.02~0.34% data ok</t>
    <phoneticPr fontId="18" type="noConversion"/>
  </si>
  <si>
    <t>Run數</t>
  </si>
  <si>
    <t>2017y 平均RUN數</t>
  </si>
  <si>
    <t>2018y平均RUN數</t>
  </si>
  <si>
    <t>2019y平均RUN數</t>
  </si>
  <si>
    <t>2020y平均RUN數</t>
  </si>
  <si>
    <t>2021y平均RUN數</t>
  </si>
  <si>
    <t>2022y平均RUN數</t>
  </si>
  <si>
    <t>Q1</t>
  </si>
  <si>
    <t>Q2</t>
  </si>
  <si>
    <t>Q3</t>
  </si>
  <si>
    <t>Q4</t>
  </si>
  <si>
    <t>LP-N run數</t>
  </si>
  <si>
    <t>2017y Total PTC</t>
  </si>
  <si>
    <t>2018y Total PTC</t>
  </si>
  <si>
    <t>2019y Total PTC</t>
  </si>
  <si>
    <t>2020y Total PTC</t>
  </si>
  <si>
    <t>2021y Total PTC</t>
  </si>
  <si>
    <t>2022y Total PTC</t>
  </si>
  <si>
    <t>LP-N  PTC次數</t>
  </si>
  <si>
    <t>2023Y</t>
    <phoneticPr fontId="21" type="noConversion"/>
  </si>
  <si>
    <t>-</t>
  </si>
  <si>
    <t>2024Y</t>
  </si>
  <si>
    <t>S</t>
  </si>
  <si>
    <t>M1</t>
  </si>
  <si>
    <t>Total</t>
  </si>
  <si>
    <t>簽結人</t>
  </si>
  <si>
    <t>主管審核</t>
  </si>
  <si>
    <t>01 Jun 2024 05:54:13</t>
  </si>
  <si>
    <t>01 Jun 2024 06:22:38</t>
  </si>
  <si>
    <t>S220.Furnace.撕膠.PM.2.RIP.2140</t>
  </si>
  <si>
    <t>31 May 2024 14:11:28</t>
  </si>
  <si>
    <t>31 May 2024 14:40:18</t>
  </si>
  <si>
    <t>S220.Furnace.量測厚度.EM每週保養.1.EM-5.213</t>
  </si>
  <si>
    <t>31 May 2024 14:10:59</t>
  </si>
  <si>
    <t>31 May 2024 14:40:28</t>
  </si>
  <si>
    <t>S220.Furnace.量測厚度.EM每週保養.1.EM-6.215</t>
  </si>
  <si>
    <t>31 May 2024 14:02:15</t>
  </si>
  <si>
    <t>31 May 2024 14:12:46</t>
  </si>
  <si>
    <t>S220.Furnace.osc-2.每月保養.1.OSC-2.63</t>
  </si>
  <si>
    <t>31 May 2024 10:27:11</t>
  </si>
  <si>
    <t>31 May 2024 10:59:42</t>
  </si>
  <si>
    <t>S220.Furnace.撕膠.每月保養.1.RIP.73</t>
  </si>
  <si>
    <t>31 May 2024 10:27:04</t>
  </si>
  <si>
    <t>31 May 2024 11:00:27</t>
  </si>
  <si>
    <t>S220.Furnace.貼膠.每月保養.1.PASTE-3.110</t>
  </si>
  <si>
    <t>31 May 2024 09:48:38</t>
  </si>
  <si>
    <t>31 May 2024 11:45:50</t>
  </si>
  <si>
    <t>S220.Furnace.量測厚度.EM每週保養.1.EM-4.213</t>
  </si>
  <si>
    <t>31 May 2024 09:25:07</t>
  </si>
  <si>
    <t>31 May 2024 17:29:21</t>
  </si>
  <si>
    <t>S220.Furnace.Poly.小PM.9.LP-P4.17</t>
  </si>
  <si>
    <t>31 May 2024 09:17:04</t>
  </si>
  <si>
    <t>31 May 2024 14:01:33</t>
  </si>
  <si>
    <t>S220.Furnace.GRIND.GRD每月保養.4.GRD-3.99</t>
  </si>
  <si>
    <t>31 May 2024 09:02:09</t>
  </si>
  <si>
    <t>31 May 2024 16:24:25</t>
  </si>
  <si>
    <t>S220.Furnace.TEOS.小PM(9um).10.LP-T8.3</t>
  </si>
  <si>
    <t>31 May 2024 07:09:01</t>
  </si>
  <si>
    <t>31 May 2024 19:13:13</t>
  </si>
  <si>
    <t>S220.Furnace.SiN.Thick 小 PM(40).7.LP-N5.9</t>
  </si>
  <si>
    <t>31 May 2024 01:33:11</t>
  </si>
  <si>
    <t>31 May 2024 01:52:53</t>
  </si>
  <si>
    <t>S220.Furnace.快速回火.8PM.6.RTP-1.3</t>
  </si>
  <si>
    <t>30 May 2024 15:38:28</t>
  </si>
  <si>
    <t>30 May 2024 15:52:57</t>
  </si>
  <si>
    <t>S220.Furnace.快速回火.17PM.6.RTP-3.2</t>
  </si>
  <si>
    <t>30 May 2024 08:08:05</t>
  </si>
  <si>
    <t>30 May 2024 18:49:24</t>
  </si>
  <si>
    <t>S220.Furnace.TEOS.小PM(18um).8.LP-T1.2</t>
  </si>
  <si>
    <t>30 May 2024 04:23:10</t>
  </si>
  <si>
    <t>30 May 2024 13:55:44</t>
  </si>
  <si>
    <t>S220.Furnace.N+預置.大PM.28.F39.6</t>
  </si>
  <si>
    <t>29 May 2024 09:23:51</t>
  </si>
  <si>
    <t>29 May 2024 20:27:09</t>
  </si>
  <si>
    <t>S220.Furnace.TEOS.小PM(9um).10.LP-T2.2</t>
  </si>
  <si>
    <t>29 May 2024 03:24:22</t>
  </si>
  <si>
    <t>29 May 2024 19:41:30</t>
  </si>
  <si>
    <t>S220.Furnace.Poly.4PM.20.LP-P1.1</t>
  </si>
  <si>
    <t>薛鐘隆</t>
  </si>
  <si>
    <t>28 May 2024 09:11:16</t>
  </si>
  <si>
    <t>28 May 2024 20:36:00</t>
  </si>
  <si>
    <t>S220.Furnace.Poly.小PM.9.LP-P6.13</t>
  </si>
  <si>
    <t>28 May 2024 08:27:38</t>
  </si>
  <si>
    <t>28 May 2024 16:09:03</t>
  </si>
  <si>
    <t>S220.Furnace.SiN.Thick 小 PM(40).7.LP-N3.13</t>
  </si>
  <si>
    <t>28 May 2024 06:22:16</t>
  </si>
  <si>
    <t>28 May 2024 14:47:12</t>
  </si>
  <si>
    <t>S220.Furnace.場氧化.大PM.20.F03.2</t>
  </si>
  <si>
    <t>27 May 2024 09:38:35</t>
  </si>
  <si>
    <t>27 May 2024 19:40:56</t>
  </si>
  <si>
    <t>S220.Furnace.TEOS.小PM(9um).10.LP-T3.3</t>
  </si>
  <si>
    <t>27 May 2024 09:36:35</t>
  </si>
  <si>
    <t>27 May 2024 15:39:24</t>
  </si>
  <si>
    <t>S220.Furnace.快速回火.20PM.6.RTP-4.4</t>
  </si>
  <si>
    <t>27 May 2024 03:21:45</t>
  </si>
  <si>
    <t>27 May 2024 13:47:13</t>
  </si>
  <si>
    <t>S220.Furnace.N+預置.大PM.28.F25.11</t>
  </si>
  <si>
    <t>26 May 2024 05:16:33</t>
  </si>
  <si>
    <t>26 May 2024 05:33:28</t>
  </si>
  <si>
    <t>S220.Furnace.快速回火.7PM.6.RTP-1.3</t>
  </si>
  <si>
    <t>25 May 2024 20:18:16</t>
  </si>
  <si>
    <t>25 May 2024 20:23:30</t>
  </si>
  <si>
    <t>S220.Furnace.快速回火.16PM.6.RTP-3.3</t>
  </si>
  <si>
    <t>24 May 2024 09:56:19</t>
  </si>
  <si>
    <t>24 May 2024 10:10:13</t>
  </si>
  <si>
    <t>S220.Furnace.量測厚度.EM每週保養.1.EM-4.212</t>
  </si>
  <si>
    <t>24 May 2024 09:53:30</t>
  </si>
  <si>
    <t>24 May 2024 10:09:07</t>
  </si>
  <si>
    <t>S220.Furnace.量測厚度.EM每週保養.1.EM-6.214</t>
  </si>
  <si>
    <t>24 May 2024 09:53:14</t>
  </si>
  <si>
    <t>24 May 2024 10:06:29</t>
  </si>
  <si>
    <t>S220.Furnace.量測厚度.EM每週保養.1.EM-5.212</t>
  </si>
  <si>
    <t>24 May 2024 08:45:06</t>
  </si>
  <si>
    <t>24 May 2024 20:06:15</t>
  </si>
  <si>
    <t>S220.Furnace.Poly.小PM.9.LP-P2.16</t>
  </si>
  <si>
    <t>24 May 2024 07:23:12</t>
  </si>
  <si>
    <t>24 May 2024 09:57:01</t>
  </si>
  <si>
    <t>S220.Furnace.PLUG回火.OXIDE FURNACE WAFER TRANSFER CHECK.5.F36.10</t>
  </si>
  <si>
    <t>24 May 2024 03:06:16</t>
  </si>
  <si>
    <t>24 May 2024 20:17:26</t>
  </si>
  <si>
    <t>S220.Furnace.SiN.Thick_2PM.31.LP-N7.1</t>
  </si>
  <si>
    <t>23 May 2024 13:40:26</t>
  </si>
  <si>
    <t>23 May 2024 14:56:27</t>
  </si>
  <si>
    <t>S220.Furnace.Wsix.LOADLOCK.11.WSIX-1B.56</t>
  </si>
  <si>
    <t>23 May 2024 13:40:12</t>
  </si>
  <si>
    <t>23 May 2024 14:56:45</t>
  </si>
  <si>
    <t>S220.Furnace.Wsix.LOADLOCK.11.WSIX-1D.54</t>
  </si>
  <si>
    <t>23 May 2024 13:40:00</t>
  </si>
  <si>
    <t>23 May 2024 14:56:38</t>
  </si>
  <si>
    <t>S220.Furnace.Wsix.LOADLOCK.11.WSIX-1C.54</t>
  </si>
  <si>
    <t>23 May 2024 10:26:50</t>
  </si>
  <si>
    <t>23 May 2024 15:27:20</t>
  </si>
  <si>
    <t>S220.Furnace.快速回火.19PM.6.RTP-4.3</t>
  </si>
  <si>
    <t>test 固資aligner</t>
  </si>
  <si>
    <t>23 May 2024 10:08:33</t>
  </si>
  <si>
    <t>23 May 2024 14:33:28</t>
  </si>
  <si>
    <t>S220.Furnace.井區擴散.OXIDE FURNACE WAFER TRANSFER CHECK.5.F11.9</t>
  </si>
  <si>
    <t>23 May 2024 07:27:51</t>
  </si>
  <si>
    <t>23 May 2024 10:03:38</t>
  </si>
  <si>
    <t>S220.Furnace.場氧化.OXIDE FURNACE WAFER TRANSFER CHECK.5.F15.9</t>
  </si>
  <si>
    <t>23 May 2024 04:23:26</t>
  </si>
  <si>
    <t>23 May 2024 19:34:11</t>
  </si>
  <si>
    <t>S220.Furnace.Wsix.WSIX 大PM.20.WSIX-1A.4</t>
  </si>
  <si>
    <t>23 May 2024 03:30:20</t>
  </si>
  <si>
    <t>23 May 2024 04:02:06</t>
  </si>
  <si>
    <t>S220.Furnace.快速回火.14PM.6.RTP-2.3</t>
  </si>
  <si>
    <t>22 May 2024 09:27:00</t>
  </si>
  <si>
    <t>22 May 2024 09:46:12</t>
  </si>
  <si>
    <t>S220.Furnace.快速回火.18PM.6.RTP-4.3</t>
  </si>
  <si>
    <t>22 May 2024 04:09:57</t>
  </si>
  <si>
    <t>22 May 2024 14:45:33</t>
  </si>
  <si>
    <t>S220.Furnace.S/D氧化.大PM.21.F34.2</t>
  </si>
  <si>
    <t>22 May 2024 03:22:21</t>
  </si>
  <si>
    <t>22 May 2024 19:38:50</t>
  </si>
  <si>
    <t>S220.Furnace.Poly.3PM.20.LP-P3.1</t>
  </si>
  <si>
    <t>21 May 2024 09:46:18</t>
  </si>
  <si>
    <t>21 May 2024 11:52:11</t>
  </si>
  <si>
    <t>S220.Furnace.貼膠.每月保養.1.PASTE-3.109</t>
  </si>
  <si>
    <t>21 May 2024 09:39:56</t>
  </si>
  <si>
    <t>21 May 2024 11:38:44</t>
  </si>
  <si>
    <t>S220.Furnace.GRIND.GRD每月保養.4.GRD-2.103</t>
  </si>
  <si>
    <t>21 May 2024 09:23:30</t>
  </si>
  <si>
    <t>21 May 2024 17:34:56</t>
  </si>
  <si>
    <t>S220.Furnace.SiN.Thin_小PM_150.31.LP-N2.3</t>
  </si>
  <si>
    <t>21 May 2024 09:19:47</t>
  </si>
  <si>
    <t>21 May 2024 15:37:11</t>
  </si>
  <si>
    <t>S220.Furnace.TEOS.小PM(9um).10.LP-T1.3</t>
  </si>
  <si>
    <t>21 May 2024 07:58:27</t>
  </si>
  <si>
    <t>21 May 2024 08:12:54</t>
  </si>
  <si>
    <t>S220.Furnace.快速回火.6PM.10.RTP-1.3</t>
  </si>
  <si>
    <t>21 May 2024 01:32:29</t>
  </si>
  <si>
    <t>21 May 2024 02:09:55</t>
  </si>
  <si>
    <t>S220.Furnace.快速回火.15PM.6.RTP-3.4</t>
  </si>
  <si>
    <t>20 May 2024 09:31:58</t>
  </si>
  <si>
    <t>20 May 2024 16:19:05</t>
  </si>
  <si>
    <t>S220.Furnace.SiN.Thick 小 PM(40).7.LP-N4.9</t>
  </si>
  <si>
    <t>20 May 2024 04:18:32</t>
  </si>
  <si>
    <t>20 May 2024 19:30:21</t>
  </si>
  <si>
    <t>S220.Furnace.Poly.4PM.20.LP-P4.1</t>
  </si>
  <si>
    <t>20 May 2024 04:07:21</t>
  </si>
  <si>
    <t>20 May 2024 05:05:53</t>
  </si>
  <si>
    <t>S220.Furnace.N+預置.更換POCL3 BOTTLE.4.F39.39</t>
  </si>
  <si>
    <t>20 May 2024 04:01:12</t>
  </si>
  <si>
    <t>20 May 2024 19:25:34</t>
  </si>
  <si>
    <t>S220.Furnace.TEOS.1PM.35.LP-T8.1</t>
  </si>
  <si>
    <t>18 May 2024 09:58:02</t>
  </si>
  <si>
    <t>18 May 2024 10:10:46</t>
  </si>
  <si>
    <t>S220.Furnace.快速回火.13PM.6.RTP-2.3</t>
  </si>
  <si>
    <t>17 May 2024 13:07:36</t>
  </si>
  <si>
    <t>17 May 2024 15:24:26</t>
  </si>
  <si>
    <t>S220.Furnace.Wsix.LOADLOCK.11.WSIX-1C.53</t>
  </si>
  <si>
    <t>17 May 2024 13:07:27</t>
  </si>
  <si>
    <t>17 May 2024 15:23:17</t>
  </si>
  <si>
    <t>S220.Furnace.Wsix.LOADLOCK.11.WSIX-1B.55</t>
  </si>
  <si>
    <t>17 May 2024 13:07:18</t>
  </si>
  <si>
    <t>17 May 2024 15:13:15</t>
  </si>
  <si>
    <t>S220.Furnace.Wsix.LOADLOCK.11.WSIX-1A.54</t>
  </si>
  <si>
    <t>17 May 2024 09:19:27</t>
  </si>
  <si>
    <t>17 May 2024 09:30:43</t>
  </si>
  <si>
    <t>S220.Furnace.量測厚度.EM每週保養.1.EM-6.213</t>
  </si>
  <si>
    <t>17 May 2024 09:19:16</t>
  </si>
  <si>
    <t>17 May 2024 09:26:37</t>
  </si>
  <si>
    <t>S220.Furnace.量測厚度.EM每週保養.1.EM-5.211</t>
  </si>
  <si>
    <t>17 May 2024 09:18:48</t>
  </si>
  <si>
    <t>17 May 2024 09:28:33</t>
  </si>
  <si>
    <t>S220.Furnace.量測厚度.EM每週保養.1.EM-4.211</t>
  </si>
  <si>
    <t>17 May 2024 06:11:33</t>
  </si>
  <si>
    <t>17 May 2024 06:28:41</t>
  </si>
  <si>
    <t>S220.Furnace.快速回火.17PM.6.RTP-4.3</t>
  </si>
  <si>
    <t>17 May 2024 04:51:10</t>
  </si>
  <si>
    <t>17 May 2024 16:54:38</t>
  </si>
  <si>
    <t>S220.Furnace.Wsix.WSIX 大PM.20.WSIX-1D.4</t>
  </si>
  <si>
    <t>17 May 2024 03:55:19</t>
  </si>
  <si>
    <t>17 May 2024 14:42:21</t>
  </si>
  <si>
    <t>S220.Furnace.墊層氧化.大PM.16.F14.2</t>
  </si>
  <si>
    <t>ADE</t>
  </si>
  <si>
    <t>S36</t>
  </si>
  <si>
    <t>16 May 2024 13:17:13</t>
  </si>
  <si>
    <t>16 May 2024 13:26:09</t>
  </si>
  <si>
    <t>S220.Furnace.研磨厚度量測.MPM.1.ADE.12</t>
  </si>
  <si>
    <t>16 May 2024 10:27:03</t>
  </si>
  <si>
    <t>16 May 2024 10:44:48</t>
  </si>
  <si>
    <t>S220.Furnace.快速回火.5PM.11.RTP-1.3</t>
  </si>
  <si>
    <t>16 May 2024 09:39:21</t>
  </si>
  <si>
    <t>16 May 2024 10:14:18</t>
  </si>
  <si>
    <t>S220.Furnace.快速回火.14PM.6.RTP-3.3</t>
  </si>
  <si>
    <t>16 May 2024 09:03:12</t>
  </si>
  <si>
    <t>16 May 2024 13:24:52</t>
  </si>
  <si>
    <t>S220.Furnace.GRIND.更換WHEEL.49.GRD-3.43</t>
  </si>
  <si>
    <t>16 May 2024 09:01:06</t>
  </si>
  <si>
    <t>16 May 2024 16:12:27</t>
  </si>
  <si>
    <t>S220.Furnace.TEOS.小PM(18um).8.LP-T5.1</t>
  </si>
  <si>
    <t>16 May 2024 08:00:09</t>
  </si>
  <si>
    <t>16 May 2024 16:09:34</t>
  </si>
  <si>
    <t>S220.Furnace.SiN.Thick 小 PM(40).7.LP-N3.12</t>
  </si>
  <si>
    <t>15 May 2024 03:44:47</t>
  </si>
  <si>
    <t>15 May 2024 20:27:41</t>
  </si>
  <si>
    <t>S220.Furnace.TEOS.3PM.35.LP-T2.1</t>
  </si>
  <si>
    <t>15 May 2024 02:32:07</t>
  </si>
  <si>
    <t>15 May 2024 03:23:40</t>
  </si>
  <si>
    <t>S220.Furnace.TEOS.KEY  IN  ERROR.1.LP-T6.10</t>
  </si>
  <si>
    <t>「KEY IN ERROR」非正常狀況，CIA ID=73899</t>
  </si>
  <si>
    <t>15 May 2024 02:20:33</t>
  </si>
  <si>
    <t>15 May 2024 19:52:35</t>
  </si>
  <si>
    <t>S220.Furnace.Poly.1PM.26.LP-P6.1</t>
  </si>
  <si>
    <t>14 May 2024 11:09:32</t>
  </si>
  <si>
    <t>14 May 2024 20:01:13</t>
  </si>
  <si>
    <t>S220.Furnace.Poly.小PM.9.LP-P1.13</t>
  </si>
  <si>
    <t>14 May 2024 04:12:30</t>
  </si>
  <si>
    <t>14 May 2024 21:50:01</t>
  </si>
  <si>
    <t>S220.Furnace.SiN.Thick_3PM.31.LP-N5.1</t>
  </si>
  <si>
    <t>14 May 2024 03:06:02</t>
  </si>
  <si>
    <t>14 May 2024 19:34:32</t>
  </si>
  <si>
    <t>S220.Furnace.TEOS.2PM.33.LP-T4.1</t>
  </si>
  <si>
    <t>14 May 2024 00:43:14</t>
  </si>
  <si>
    <t>14 May 2024 01:20:07</t>
  </si>
  <si>
    <t>S220.Furnace.貼膠.PM.3.PASTE-3.545</t>
  </si>
  <si>
    <t>13 May 2024 12:45:21</t>
  </si>
  <si>
    <t>13 May 2024 13:45:19</t>
  </si>
  <si>
    <t>S220.Furnace.快速回火.12PM.6.RTP-2.3</t>
  </si>
  <si>
    <t>13 May 2024 06:01:01</t>
  </si>
  <si>
    <t>13 May 2024 20:58:25</t>
  </si>
  <si>
    <t>S220.Furnace.Poly.4PM.20.LP-P2.1</t>
  </si>
  <si>
    <t>13 May 2024 03:16:36</t>
  </si>
  <si>
    <t>13 May 2024 18:00:55</t>
  </si>
  <si>
    <t>S220.Furnace.TEOS.3PM.35.LP-T3.1</t>
  </si>
  <si>
    <t>11 May 2024 01:32:12</t>
  </si>
  <si>
    <t>11 May 2024 02:02:36</t>
  </si>
  <si>
    <t>S220.Furnace.快速回火.13PM.6.RTP-3.3</t>
  </si>
  <si>
    <t>10 May 2024 14:21:04</t>
  </si>
  <si>
    <t>10 May 2024 15:15:28</t>
  </si>
  <si>
    <t>S220.Furnace.SiN.Thick 小 PM(40).7.LP-N7.5</t>
  </si>
  <si>
    <t>10 May 2024 13:40:41</t>
  </si>
  <si>
    <t>10 May 2024 14:19:34</t>
  </si>
  <si>
    <t>S220.Furnace.快速回火.16PM.6.RTP-4.3</t>
  </si>
  <si>
    <t>10 May 2024 08:42:24</t>
  </si>
  <si>
    <t>10 May 2024 09:54:20</t>
  </si>
  <si>
    <t>S220.Furnace.快速回火.4PM.8.RTP-1.3</t>
  </si>
  <si>
    <t>10 May 2024 03:57:40</t>
  </si>
  <si>
    <t>10 May 2024 17:31:32</t>
  </si>
  <si>
    <t>S220.Furnace.TEOS.3PM.35.LP-T1.1</t>
  </si>
  <si>
    <t>09 May 2024 16:05:47</t>
  </si>
  <si>
    <t>09 May 2024 17:25:09</t>
  </si>
  <si>
    <t>S220.Furnace.WAFER TRANSFER.PM.4.SORT-W2.47</t>
  </si>
  <si>
    <t>09 May 2024 10:56:25</t>
  </si>
  <si>
    <t>09 May 2024 11:04:05</t>
  </si>
  <si>
    <t>S220.Furnace.量測厚度.EM 每月保養.1.EM-4.67</t>
  </si>
  <si>
    <t>09 May 2024 10:32:03</t>
  </si>
  <si>
    <t>09 May 2024 10:45:12</t>
  </si>
  <si>
    <t>S220.Furnace.量測厚度.EM 每月保養.1.EM-5.57</t>
  </si>
  <si>
    <t>09 May 2024 10:14:08</t>
  </si>
  <si>
    <t>09 May 2024 11:23:33</t>
  </si>
  <si>
    <t>S220.Furnace.WAFER TRANSFER.PM.4.SORT-K1.134</t>
  </si>
  <si>
    <t>09 May 2024 10:13:50</t>
  </si>
  <si>
    <t>09 May 2024 11:24:17</t>
  </si>
  <si>
    <t>S220.Furnace.WAFER TRANSFER.PM.4.SORT-J1.116</t>
  </si>
  <si>
    <t>09 May 2024 10:13:17</t>
  </si>
  <si>
    <t>09 May 2024 10:44:26</t>
  </si>
  <si>
    <t>S220.Furnace.量測厚度.EM 每月保養.1.EM-6.55</t>
  </si>
  <si>
    <t>09 May 2024 09:19:41</t>
  </si>
  <si>
    <t>09 May 2024 10:43:42</t>
  </si>
  <si>
    <t>S220.Furnace.WAFER TRANSFER.PM.4.SORT-I2.103</t>
  </si>
  <si>
    <t>09 May 2024 09:19:30</t>
  </si>
  <si>
    <t>09 May 2024 10:42:57</t>
  </si>
  <si>
    <t>S220.Furnace.WAFER TRANSFER.PM.4.SORT-I1.109</t>
  </si>
  <si>
    <t>09 May 2024 09:19:15</t>
  </si>
  <si>
    <t>09 May 2024 10:42:17</t>
  </si>
  <si>
    <t>S220.Furnace.WAFER TRANSFER.PM.4.SORT-D2.134</t>
  </si>
  <si>
    <t>09 May 2024 09:19:06</t>
  </si>
  <si>
    <t>09 May 2024 10:40:16</t>
  </si>
  <si>
    <t>S220.Furnace.WAFER TRANSFER.PM.4.SORT-D1.134</t>
  </si>
  <si>
    <t>09 May 2024 09:10:14</t>
  </si>
  <si>
    <t>09 May 2024 10:39:25</t>
  </si>
  <si>
    <t>S220.Furnace.WAFER TRANSFER.PM.4.SORT-W1.135</t>
  </si>
  <si>
    <t>PACKAGE-2</t>
  </si>
  <si>
    <t>09 May 2024 08:59:29</t>
  </si>
  <si>
    <t>09 May 2024 09:09:00</t>
  </si>
  <si>
    <t>S220.Furnace.PACKAGE-2.MPM.2.PACKAGE-2.7</t>
  </si>
  <si>
    <t>09 May 2024 08:05:01</t>
  </si>
  <si>
    <t>09 May 2024 15:49:56</t>
  </si>
  <si>
    <t>S220.Furnace.Poly.小PM.9.LP-P4.16</t>
  </si>
  <si>
    <t>09 May 2024 04:16:07</t>
  </si>
  <si>
    <t>09 May 2024 21:12:35</t>
  </si>
  <si>
    <t>S220.Furnace.SiN.Thick_4PM.41.LP-N4.1</t>
  </si>
  <si>
    <t>08 May 2024 21:45:05</t>
  </si>
  <si>
    <t>09 May 2024 02:00:18</t>
  </si>
  <si>
    <t>S220.Furnace.PLUG回火.OXIDE FURNACE WAFER TRANSFER CHECK.5.F41.13</t>
  </si>
  <si>
    <t>08 May 2024 14:59:38</t>
  </si>
  <si>
    <t>08 May 2024 15:57:11</t>
  </si>
  <si>
    <t>S220.Furnace.Wsix.LOADLOCK.11.WSIX-1C.52</t>
  </si>
  <si>
    <t>08 May 2024 14:59:29</t>
  </si>
  <si>
    <t>08 May 2024 15:58:08</t>
  </si>
  <si>
    <t>S220.Furnace.Wsix.LOADLOCK.11.WSIX-1D.53</t>
  </si>
  <si>
    <t>08 May 2024 14:59:19</t>
  </si>
  <si>
    <t>08 May 2024 20:00:19</t>
  </si>
  <si>
    <t>S220.Furnace.Wsix.LOADLOCK.11.WSIX-1A.53</t>
  </si>
  <si>
    <t>08 May 2024 10:22:17</t>
  </si>
  <si>
    <t>08 May 2024 12:00:06</t>
  </si>
  <si>
    <t>S220.Furnace.osc-2.每月保養.1.OSC-2.62</t>
  </si>
  <si>
    <t>08 May 2024 10:22:07</t>
  </si>
  <si>
    <t>08 May 2024 11:59:29</t>
  </si>
  <si>
    <t>S220.Furnace.OSC-1.每月保養.3.OSC-1.91</t>
  </si>
  <si>
    <t>08 May 2024 10:21:53</t>
  </si>
  <si>
    <t>08 May 2024 11:36:39</t>
  </si>
  <si>
    <t>S220.Furnace.撕膠.每月保養.1.RIP.72</t>
  </si>
  <si>
    <t>08 May 2024 10:21:40</t>
  </si>
  <si>
    <t>08 May 2024 11:35:51</t>
  </si>
  <si>
    <t>S220.Furnace.貼膠.每月保養.1.PASTE-3.108</t>
  </si>
  <si>
    <t>08 May 2024 09:45:06</t>
  </si>
  <si>
    <t>08 May 2024 20:00:29</t>
  </si>
  <si>
    <t>S220.Furnace.Wsix.LOADLOCK.11.WSIX-1B.54</t>
  </si>
  <si>
    <t>08 May 2024 09:03:53</t>
  </si>
  <si>
    <t>08 May 2024 11:35:06</t>
  </si>
  <si>
    <t>S220.Furnace.GRIND.GRD每月保養.4.GRD-2.102</t>
  </si>
  <si>
    <t>08 May 2024 08:54:38</t>
  </si>
  <si>
    <t>08 May 2024 18:18:03</t>
  </si>
  <si>
    <t>S220.Furnace.Poly.小PM.9.LP-P3.12</t>
  </si>
  <si>
    <t>08 May 2024 03:21:18</t>
  </si>
  <si>
    <t>08 May 2024 13:49:34</t>
  </si>
  <si>
    <t>S220.Furnace.井區擴散.大PM.22.F42.2</t>
  </si>
  <si>
    <t>07 May 2024 13:37:43</t>
  </si>
  <si>
    <t>07 May 2024 15:27:16</t>
  </si>
  <si>
    <t>S220.Furnace.Wsix.LOADLOCK.11.WSIX-2D.52</t>
  </si>
  <si>
    <t>07 May 2024 13:37:27</t>
  </si>
  <si>
    <t>07 May 2024 15:27:00</t>
  </si>
  <si>
    <t>S220.Furnace.Wsix.LOADLOCK.11.WSIX-2B.52</t>
  </si>
  <si>
    <t>07 May 2024 13:36:43</t>
  </si>
  <si>
    <t>07 May 2024 15:26:33</t>
  </si>
  <si>
    <t>S220.Furnace.Wsix.LOADLOCK.11.WSIX-2A.51</t>
  </si>
  <si>
    <t>07 May 2024 09:42:29</t>
  </si>
  <si>
    <t>07 May 2024 17:17:08</t>
  </si>
  <si>
    <t>S220.Furnace.TEOS.小PM(18um).8.LP-T8.1</t>
  </si>
  <si>
    <t>07 May 2024 09:32:43</t>
  </si>
  <si>
    <t>07 May 2024 15:10:19</t>
  </si>
  <si>
    <t>S220.Furnace.快速回火.11PM.6.RTP-2.3</t>
  </si>
  <si>
    <t>07 May 2024 06:36:15</t>
  </si>
  <si>
    <t>07 May 2024 21:23:57</t>
  </si>
  <si>
    <t>S220.Furnace.Wsix.WSIX 大PM.20.WSIX-2C.2</t>
  </si>
  <si>
    <t>06 May 2024 08:23:20</t>
  </si>
  <si>
    <t>06 May 2024 10:24:47</t>
  </si>
  <si>
    <t>S220.Furnace.閘層氧化.OXIDE FURNACE WAFER TRANSFER CHECK.5.F23.10</t>
  </si>
  <si>
    <t>06 May 2024 04:24:41</t>
  </si>
  <si>
    <t>06 May 2024 17:28:49</t>
  </si>
  <si>
    <t>S220.Furnace.SiN.Thick_2PM.31.LP-N3.1</t>
  </si>
  <si>
    <t>05 May 2024 17:26:04</t>
  </si>
  <si>
    <t>05 May 2024 17:47:01</t>
  </si>
  <si>
    <t>S220.Furnace.快速回火.12PM.6.RTP-3.3</t>
  </si>
  <si>
    <t>04 May 2024 11:56:26</t>
  </si>
  <si>
    <t>04 May 2024 12:18:55</t>
  </si>
  <si>
    <t>S220.Furnace.快速回火.15PM.6.RTP-4.3</t>
  </si>
  <si>
    <t>04 May 2024 07:38:30</t>
  </si>
  <si>
    <t>04 May 2024 07:51:41</t>
  </si>
  <si>
    <t>S220.Furnace.快速回火.3PM.8.RTP-1.3</t>
  </si>
  <si>
    <t>03 May 2024 13:44:43</t>
  </si>
  <si>
    <t>03 May 2024 14:45:38</t>
  </si>
  <si>
    <t>S220.Furnace.Wsix.LOADLOCK.11.WSIX-2A.50</t>
  </si>
  <si>
    <t>03 May 2024 13:44:20</t>
  </si>
  <si>
    <t>03 May 2024 14:45:46</t>
  </si>
  <si>
    <t>S220.Furnace.Wsix.LOADLOCK.11.WSIX-2B.51</t>
  </si>
  <si>
    <t>03 May 2024 13:44:09</t>
  </si>
  <si>
    <t>03 May 2024 14:45:54</t>
  </si>
  <si>
    <t>S220.Furnace.Wsix.LOADLOCK.11.WSIX-2C.53</t>
  </si>
  <si>
    <t>03 May 2024 13:43:59</t>
  </si>
  <si>
    <t>03 May 2024 14:46:02</t>
  </si>
  <si>
    <t>S220.Furnace.Wsix.LOADLOCK.11.WSIX-2D.51</t>
  </si>
  <si>
    <t>03 May 2024 10:25:23</t>
  </si>
  <si>
    <t>03 May 2024 11:32:10</t>
  </si>
  <si>
    <t>S220.Furnace.Wsix.LOADLOCK.11.WSIX-1A.52</t>
  </si>
  <si>
    <t>03 May 2024 10:25:14</t>
  </si>
  <si>
    <t>03 May 2024 11:32:20</t>
  </si>
  <si>
    <t>S220.Furnace.Wsix.LOADLOCK.11.WSIX-1B.53</t>
  </si>
  <si>
    <t>03 May 2024 10:25:04</t>
  </si>
  <si>
    <t>03 May 2024 11:32:31</t>
  </si>
  <si>
    <t>S220.Furnace.Wsix.LOADLOCK.11.WSIX-1C.51</t>
  </si>
  <si>
    <t>03 May 2024 10:24:49</t>
  </si>
  <si>
    <t>03 May 2024 11:32:39</t>
  </si>
  <si>
    <t>S220.Furnace.Wsix.LOADLOCK.11.WSIX-1D.52</t>
  </si>
  <si>
    <t>03 May 2024 10:14:05</t>
  </si>
  <si>
    <t>03 May 2024 10:33:13</t>
  </si>
  <si>
    <t>S220.Furnace.量測厚度.EM每週保養.1.EM-4.210</t>
  </si>
  <si>
    <t>03 May 2024 10:07:31</t>
  </si>
  <si>
    <t>03 May 2024 10:21:46</t>
  </si>
  <si>
    <t>S220.Furnace.量測厚度.EM每週保養.1.EM-5.210</t>
  </si>
  <si>
    <t>03 May 2024 09:56:49</t>
  </si>
  <si>
    <t>03 May 2024 10:13:20</t>
  </si>
  <si>
    <t>S220.Furnace.量測厚度.EM每週保養.1.EM-6.212</t>
  </si>
  <si>
    <t>03 May 2024 09:51:10</t>
  </si>
  <si>
    <t>03 May 2024 18:09:46</t>
  </si>
  <si>
    <t>S220.Furnace.TEOS.小PM(9um).10.LP-T4.1</t>
  </si>
  <si>
    <t>03 May 2024 07:40:32</t>
  </si>
  <si>
    <t>03 May 2024 19:33:29</t>
  </si>
  <si>
    <t>S220.Furnace.Poly.3PM.20.LP-P1.1</t>
  </si>
  <si>
    <t>03 May 2024 02:09:20</t>
  </si>
  <si>
    <t>03 May 2024 19:40:42</t>
  </si>
  <si>
    <t>S220.Furnace.SiN.Thick_3PM.31.LP-N1.1</t>
  </si>
  <si>
    <t>02 May 2024 10:03:33</t>
  </si>
  <si>
    <t>02 May 2024 11:10:31</t>
  </si>
  <si>
    <t>S220.Furnace.GRIND.GRD每月保養.4.GRD-3.98</t>
  </si>
  <si>
    <t>02 May 2024 09:01:56</t>
  </si>
  <si>
    <t>02 May 2024 09:52:11</t>
  </si>
  <si>
    <t>S220.Furnace.快速回火.10PM.6.RTP-2.3</t>
  </si>
  <si>
    <t>02 May 2024 08:13:36</t>
  </si>
  <si>
    <t>02 May 2024 16:05:08</t>
  </si>
  <si>
    <t>S220.Furnace.TEOS.小PM(18um).8.LP-T2.1</t>
  </si>
  <si>
    <t>02 May 2024 07:40:08</t>
  </si>
  <si>
    <t>02 May 2024 15:48:17</t>
  </si>
  <si>
    <t>S220.Furnace.Poly.小PM.9.LP-P6.12</t>
  </si>
  <si>
    <t>02 May 2024 03:55:02</t>
  </si>
  <si>
    <t>02 May 2024 14:29:51</t>
  </si>
  <si>
    <t>S220.Furnace.PLUG回火.大PM.18.F37.2</t>
  </si>
  <si>
    <t>01 May 2024 08:40:43</t>
  </si>
  <si>
    <t>01 May 2024 17:59:26</t>
  </si>
  <si>
    <t>S220.Furnace.SiN.Thick 小 PM(80).8.LP-N5.6</t>
  </si>
  <si>
    <t>30 Apr 2024 23:50:33</t>
  </si>
  <si>
    <t>01 May 2024 19:06:15</t>
  </si>
  <si>
    <t>S220.Furnace.TEOS.3PM.35.LP-T6.1</t>
  </si>
  <si>
    <t>PTC OOS,DO BPM</t>
  </si>
  <si>
    <t>30 Apr 2024 11:45:07</t>
  </si>
  <si>
    <t>30 Apr 2024 19:34:34</t>
  </si>
  <si>
    <t>S220.Furnace.TEOS.小PM(18um).8.LP-T6.1</t>
  </si>
  <si>
    <t>PTC OOS,DO SPM</t>
  </si>
  <si>
    <t>30 Apr 2024 09:44:28</t>
  </si>
  <si>
    <t>30 Apr 2024 11:04:27</t>
  </si>
  <si>
    <t>S220.Furnace.S/D氧化.OXIDE FURNACE WAFER TRANSFER CHECK.5.F34.11</t>
  </si>
  <si>
    <t>30 Apr 2024 08:52:07</t>
  </si>
  <si>
    <t>30 Apr 2024 16:11:42</t>
  </si>
  <si>
    <t>S220.Furnace.Poly.小PM.9.LP-P2.15</t>
  </si>
  <si>
    <t>29 Apr 2024 14:32:17</t>
  </si>
  <si>
    <t>29 Apr 2024 14:43:40</t>
  </si>
  <si>
    <t>S220.Furnace.快速回火.11PM.6.RTP-3.3</t>
  </si>
  <si>
    <t>29 Apr 2024 13:31:07</t>
  </si>
  <si>
    <t>29 Apr 2024 19:18:49</t>
  </si>
  <si>
    <t>S220.Furnace.TEOS.小PM(9um).10.LP-T3.2</t>
  </si>
  <si>
    <t>29 Apr 2024 09:04:39</t>
  </si>
  <si>
    <t>29 Apr 2024 16:33:31</t>
  </si>
  <si>
    <t>S220.Furnace.SiN.Thick 小 PM(80).8.LP-N4.8</t>
  </si>
  <si>
    <t>29 Apr 2024 02:02:52</t>
  </si>
  <si>
    <t>29 Apr 2024 16:47:04</t>
  </si>
  <si>
    <t>S220.Furnace.N+預置.大PM.28.F13.9</t>
  </si>
  <si>
    <t>28 Apr 2024 20:36:44</t>
  </si>
  <si>
    <t>29 Apr 2024 06:18:35</t>
  </si>
  <si>
    <t>S220.Furnace.TEOS.小PM(18um).8.LP-T1.1</t>
  </si>
  <si>
    <t>27 Apr 2024 21:05:17</t>
  </si>
  <si>
    <t>27 Apr 2024 21:10:07</t>
  </si>
  <si>
    <t>S220.Furnace.量測厚度.EM每週保養.1.EM-4.209</t>
  </si>
  <si>
    <t>27 Apr 2024 21:00:53</t>
  </si>
  <si>
    <t>27 Apr 2024 21:08:50</t>
  </si>
  <si>
    <t>S220.Furnace.量測厚度.EM每週保養.1.EM-6.211</t>
  </si>
  <si>
    <t>27 Apr 2024 21:00:39</t>
  </si>
  <si>
    <t>27 Apr 2024 21:08:57</t>
  </si>
  <si>
    <t>S220.Furnace.量測厚度.EM每週保養.1.EM-5.209</t>
  </si>
  <si>
    <t>27 Apr 2024 19:49:54</t>
  </si>
  <si>
    <t>27 Apr 2024 20:15:52</t>
  </si>
  <si>
    <t>S220.Furnace.快速回火.14PM.6.RTP-4.3</t>
  </si>
  <si>
    <t>27 Apr 2024 14:51:45</t>
  </si>
  <si>
    <t>27 Apr 2024 15:10:45</t>
  </si>
  <si>
    <t>S220.Furnace.快速回火.2PM.8.RTP-1.4</t>
  </si>
  <si>
    <t>26 Apr 2024 08:57:17</t>
  </si>
  <si>
    <t>26 Apr 2024 17:51:38</t>
  </si>
  <si>
    <t>S220.Furnace.TEOS.小PM(9um).10.LP-T5.1</t>
  </si>
  <si>
    <t>26 Apr 2024 07:33:44</t>
  </si>
  <si>
    <t>26 Apr 2024 15:27:17</t>
  </si>
  <si>
    <t>S220.Furnace.SiN.Thick 小 PM(40).7.LP-N3.11</t>
  </si>
  <si>
    <t>26 Apr 2024 07:04:34</t>
  </si>
  <si>
    <t>26 Apr 2024 18:34:44</t>
  </si>
  <si>
    <t>S220.Furnace.Poly.3PM.20.LP-P4.1</t>
  </si>
  <si>
    <t>25 Apr 2024 14:22:12</t>
  </si>
  <si>
    <t>25 Apr 2024 16:13:50</t>
  </si>
  <si>
    <t>S220.Furnace.快速回火.9PM.6.RTP-2.3</t>
  </si>
  <si>
    <t>25 Apr 2024 07:44:49</t>
  </si>
  <si>
    <t>25 Apr 2024 18:35:09</t>
  </si>
  <si>
    <t>S220.Furnace.SiN.Thick 小 PM(40).7.LP-N7.4</t>
  </si>
  <si>
    <t>25 Apr 2024 05:09:40</t>
  </si>
  <si>
    <t>25 Apr 2024 18:13:43</t>
  </si>
  <si>
    <t>S220.Furnace.Poly.2PM.21.LP-P3.1</t>
  </si>
  <si>
    <t>24 Apr 2024 21:34:45</t>
  </si>
  <si>
    <t>24 Apr 2024 21:54:39</t>
  </si>
  <si>
    <t>S220.Furnace.N+預置.更換POCL3 BOTTLE.4.F25.45</t>
  </si>
  <si>
    <t>24 Apr 2024 13:01:42</t>
  </si>
  <si>
    <t>24 Apr 2024 15:58:45</t>
  </si>
  <si>
    <t>S220.Furnace.Wsix.LOADLOCK.11.WSIX-2A.49</t>
  </si>
  <si>
    <t>24 Apr 2024 13:01:28</t>
  </si>
  <si>
    <t>24 Apr 2024 15:59:08</t>
  </si>
  <si>
    <t>S220.Furnace.Wsix.LOADLOCK.11.WSIX-2B.50</t>
  </si>
  <si>
    <t>24 Apr 2024 13:01:13</t>
  </si>
  <si>
    <t>24 Apr 2024 15:59:26</t>
  </si>
  <si>
    <t>S220.Furnace.Wsix.LOADLOCK.11.WSIX-2C.52</t>
  </si>
  <si>
    <t>24 Apr 2024 11:40:06</t>
  </si>
  <si>
    <t>24 Apr 2024 12:07:45</t>
  </si>
  <si>
    <t>S220.Furnace.快速回火.10PM.6.RTP-3.2</t>
  </si>
  <si>
    <t>24 Apr 2024 09:16:44</t>
  </si>
  <si>
    <t>24 Apr 2024 11:20:52</t>
  </si>
  <si>
    <t>S220.Furnace.GRIND.GRD每月保養.4.GRD-2.101</t>
  </si>
  <si>
    <t>24 Apr 2024 09:14:05</t>
  </si>
  <si>
    <t>24 Apr 2024 18:00:49</t>
  </si>
  <si>
    <t>S220.Furnace.TEOS.小PM(9um).10.LP-T6.1</t>
  </si>
  <si>
    <t>24 Apr 2024 06:30:28</t>
  </si>
  <si>
    <t>24 Apr 2024 21:05:16</t>
  </si>
  <si>
    <t>S220.Furnace.Wsix.WSIX 大PM.20.WSIX-2D.3</t>
  </si>
  <si>
    <t>23 Apr 2024 08:20:53</t>
  </si>
  <si>
    <t>23 Apr 2024 09:53:01</t>
  </si>
  <si>
    <t>S220.Furnace.快速回火.8PM.6.RTP-2.3</t>
  </si>
  <si>
    <t>23 Apr 2024 03:43:16</t>
  </si>
  <si>
    <t>23 Apr 2024 14:19:37</t>
  </si>
  <si>
    <t>S220.Furnace.S/D氧化.大PM.21.F32.2</t>
  </si>
  <si>
    <t>22 Apr 2024 17:51:51</t>
  </si>
  <si>
    <t>23 Apr 2024 01:55:37</t>
  </si>
  <si>
    <t>S220.Furnace.PLUG回火.OXIDE FURNACE WAFER TRANSFER CHECK.5.F41.12</t>
  </si>
  <si>
    <t>22 Apr 2024 09:52:53</t>
  </si>
  <si>
    <t>22 Apr 2024 17:39:48</t>
  </si>
  <si>
    <t>S220.Furnace.TEOS.小PM(9um).10.LP-T8.1</t>
  </si>
  <si>
    <t>22 Apr 2024 07:55:29</t>
  </si>
  <si>
    <t>22 Apr 2024 08:07:44</t>
  </si>
  <si>
    <t>S220.Furnace.快速回火.13PM.6.RTP-4.3</t>
  </si>
  <si>
    <t>22 Apr 2024 03:59:20</t>
  </si>
  <si>
    <t>22 Apr 2024 20:00:59</t>
  </si>
  <si>
    <t>S220.Furnace.Poly.5PM.24.LP-P6.1</t>
  </si>
  <si>
    <t>22 Apr 2024 01:05:03</t>
  </si>
  <si>
    <t>22 Apr 2024 01:21:18</t>
  </si>
  <si>
    <t>S220.Furnace.快速回火.1PM.8.RTP-1.5</t>
  </si>
  <si>
    <t>19 Apr 2024 20:46:59</t>
  </si>
  <si>
    <t>19 Apr 2024 22:50:33</t>
  </si>
  <si>
    <t>S220.Furnace.快速回火.9PM.6.RTP-3.5</t>
  </si>
  <si>
    <t>19 Apr 2024 10:11:51</t>
  </si>
  <si>
    <t>19 Apr 2024 10:39:07</t>
  </si>
  <si>
    <t>S220.Furnace.量測厚度.EM每週保養.1.EM-4.208</t>
  </si>
  <si>
    <t>19 Apr 2024 10:08:01</t>
  </si>
  <si>
    <t>19 Apr 2024 10:39:31</t>
  </si>
  <si>
    <t>S220.Furnace.量測厚度.EM每週保養.1.EM-5.208</t>
  </si>
  <si>
    <t>19 Apr 2024 10:05:28</t>
  </si>
  <si>
    <t>19 Apr 2024 10:39:55</t>
  </si>
  <si>
    <t>S220.Furnace.量測厚度.EM每週保養.1.EM-6.210</t>
  </si>
  <si>
    <t>19 Apr 2024 07:35:35</t>
  </si>
  <si>
    <t>19 Apr 2024 15:35:00</t>
  </si>
  <si>
    <t>S220.Furnace.SiN.Thick 小 PM(40).7.LP-N5.8</t>
  </si>
  <si>
    <t>19 Apr 2024 07:25:34</t>
  </si>
  <si>
    <t>19 Apr 2024 15:46:16</t>
  </si>
  <si>
    <t>S220.Furnace.Poly.小PM.9.LP-P1.12</t>
  </si>
  <si>
    <t>18 Apr 2024 10:21:26</t>
  </si>
  <si>
    <t>18 Apr 2024 12:05:24</t>
  </si>
  <si>
    <t>S220.Furnace.研磨厚度量測.MPM.1.ADE.11</t>
  </si>
  <si>
    <t>18 Apr 2024 10:14:06</t>
  </si>
  <si>
    <t>18 Apr 2024 11:34:01</t>
  </si>
  <si>
    <t>S220.Furnace.快速回火.7PM.6.RTP-2.3</t>
  </si>
  <si>
    <t>本次PM同上次，REPLACE ROBOT CONTROLLER</t>
  </si>
  <si>
    <t>18 Apr 2024 09:12:03</t>
  </si>
  <si>
    <t>18 Apr 2024 13:58:16</t>
  </si>
  <si>
    <t>S220.Furnace.GRIND.GRD每月保養.4.GRD-3.97</t>
  </si>
  <si>
    <t>18 Apr 2024 07:33:52</t>
  </si>
  <si>
    <t>18 Apr 2024 15:34:51</t>
  </si>
  <si>
    <t>S220.Furnace.TEOS.小PM(9um).10.LP-T1.1</t>
  </si>
  <si>
    <t>18 Apr 2024 06:26:12</t>
  </si>
  <si>
    <t>18 Apr 2024 19:16:15</t>
  </si>
  <si>
    <t>S220.Furnace.Poly.3PM.20.LP-P2.1</t>
  </si>
  <si>
    <t>18 Apr 2024 04:49:21</t>
  </si>
  <si>
    <t>18 Apr 2024 05:29:27</t>
  </si>
  <si>
    <t>RTP-M</t>
  </si>
  <si>
    <t>U12</t>
  </si>
  <si>
    <t>17 Apr 2024 08:51:15</t>
  </si>
  <si>
    <t>17 Apr 2024 10:52:45</t>
  </si>
  <si>
    <t>S220.Furnace.IMP M/W ANNEAL.QPM.2.RTP-M.4</t>
  </si>
  <si>
    <t>17 Apr 2024 08:40:18</t>
  </si>
  <si>
    <t>17 Apr 2024 16:13:49</t>
  </si>
  <si>
    <t>S220.Furnace.TEOS.小PM(9um).10.LP-T2.1</t>
  </si>
  <si>
    <t>17 Apr 2024 01:32:12</t>
  </si>
  <si>
    <t>17 Apr 2024 16:58:28</t>
  </si>
  <si>
    <t>S220.Furnace.閘層氧化.大PM.22.F06.1</t>
  </si>
  <si>
    <t>16 Apr 2024 21:03:31</t>
  </si>
  <si>
    <t>16 Apr 2024 21:26:37</t>
  </si>
  <si>
    <t>S220.Furnace.快速回火.12PM.6.RTP-4.3</t>
  </si>
  <si>
    <t>16 Apr 2024 10:03:09</t>
  </si>
  <si>
    <t>16 Apr 2024 15:02:52</t>
  </si>
  <si>
    <t>S220.Furnace.快速回火.25PM.9.RTP-1.2</t>
  </si>
  <si>
    <t>16 Apr 2024 09:20:38</t>
  </si>
  <si>
    <t>16 Apr 2024 22:27:39</t>
  </si>
  <si>
    <t>S220.Furnace.SiN.Thick 小 PM(40).7.LP-N4.8</t>
  </si>
  <si>
    <t>16 Apr 2024 08:28:44</t>
  </si>
  <si>
    <t>16 Apr 2024 16:20:54</t>
  </si>
  <si>
    <t>S220.Furnace.SiN.Thick 小 PM(40).7.LP-N3.10</t>
  </si>
  <si>
    <t>16 Apr 2024 07:16:26</t>
  </si>
  <si>
    <t>16 Apr 2024 16:14:20</t>
  </si>
  <si>
    <t>S220.Furnace.Poly.小PM.9.LP-P4.15</t>
  </si>
  <si>
    <t>15 Apr 2024 11:42:08</t>
  </si>
  <si>
    <t>15 Apr 2024 13:03:52</t>
  </si>
  <si>
    <t>S220.Furnace.快速回火.2PM.8.RTP-1.3</t>
  </si>
  <si>
    <t>15 Apr 2024 08:34:39</t>
  </si>
  <si>
    <t>15 Apr 2024 15:52:05</t>
  </si>
  <si>
    <t>S220.Furnace.Poly.小PM.9.LP-P3.11</t>
  </si>
  <si>
    <t>15 Apr 2024 07:24:58</t>
  </si>
  <si>
    <t>15 Apr 2024 15:11:17</t>
  </si>
  <si>
    <t>S220.Furnace.TEOS.小PM(9um).10.LP-T3.1</t>
  </si>
  <si>
    <t>15 Apr 2024 05:48:01</t>
  </si>
  <si>
    <t>15 Apr 2024 06:15:13</t>
  </si>
  <si>
    <t>S220.Furnace.快速回火.8PM.6.RTP-3.3</t>
  </si>
  <si>
    <t>13 Apr 2024 13:38:14</t>
  </si>
  <si>
    <t>13 Apr 2024 13:49:00</t>
  </si>
  <si>
    <t>S220.Furnace.快速回火.6PM.10.RTP-2.3</t>
  </si>
  <si>
    <t>12 Apr 2024 15:10:09</t>
  </si>
  <si>
    <t>12 Apr 2024 15:34:49</t>
  </si>
  <si>
    <t>S220.Furnace.量測厚度.EM 每月保養.1.EM-4.66</t>
  </si>
  <si>
    <t>12 Apr 2024 13:59:18</t>
  </si>
  <si>
    <t>12 Apr 2024 14:16:59</t>
  </si>
  <si>
    <t>S220.Furnace.量測厚度.EM 每月保養.1.EM-5.56</t>
  </si>
  <si>
    <t>12 Apr 2024 13:15:27</t>
  </si>
  <si>
    <t>12 Apr 2024 14:18:36</t>
  </si>
  <si>
    <t>S220.Furnace.WAFER TRANSFER.PM.4.SORT-W1.134</t>
  </si>
  <si>
    <t>12 Apr 2024 10:07:18</t>
  </si>
  <si>
    <t>12 Apr 2024 11:23:11</t>
  </si>
  <si>
    <t>S220.Furnace.WAFER TRANSFER.PM.4.SORT-K1.133</t>
  </si>
  <si>
    <t>12 Apr 2024 10:06:56</t>
  </si>
  <si>
    <t>12 Apr 2024 11:23:24</t>
  </si>
  <si>
    <t>S220.Furnace.WAFER TRANSFER.PM.4.SORT-J1.115</t>
  </si>
  <si>
    <t>12 Apr 2024 10:06:34</t>
  </si>
  <si>
    <t>12 Apr 2024 11:23:00</t>
  </si>
  <si>
    <t>S220.Furnace.WAFER TRANSFER.PM.4.SORT-D2.133</t>
  </si>
  <si>
    <t>12 Apr 2024 10:06:23</t>
  </si>
  <si>
    <t>12 Apr 2024 11:24:17</t>
  </si>
  <si>
    <t>S220.Furnace.WAFER TRANSFER.PM.4.SORT-D1.133</t>
  </si>
  <si>
    <t>12 Apr 2024 09:40:06</t>
  </si>
  <si>
    <t>12 Apr 2024 11:05:36</t>
  </si>
  <si>
    <t>S220.Furnace.WAFER TRANSFER.PM.4.SORT-I2.102</t>
  </si>
  <si>
    <t>12 Apr 2024 09:39:55</t>
  </si>
  <si>
    <t>12 Apr 2024 11:05:26</t>
  </si>
  <si>
    <t>S220.Furnace.WAFER TRANSFER.PM.4.SORT-I1.108</t>
  </si>
  <si>
    <t>12 Apr 2024 09:20:35</t>
  </si>
  <si>
    <t>12 Apr 2024 09:48:40</t>
  </si>
  <si>
    <t>S220.Furnace.量測厚度.EM 每月保養.1.EM-6.54</t>
  </si>
  <si>
    <t>12 Apr 2024 07:32:50</t>
  </si>
  <si>
    <t>12 Apr 2024 15:34:37</t>
  </si>
  <si>
    <t>S220.Furnace.Poly.小PM.9.LP-P6.11</t>
  </si>
  <si>
    <t>12 Apr 2024 07:14:18</t>
  </si>
  <si>
    <t>12 Apr 2024 14:41:21</t>
  </si>
  <si>
    <t>S220.Furnace.N+預置.大PM.28.F25.10</t>
  </si>
  <si>
    <t>11 Apr 2024 16:12:58</t>
  </si>
  <si>
    <t>11 Apr 2024 16:52:44</t>
  </si>
  <si>
    <t>S220.Furnace.井區擴散.OXIDE FURNACE WAFER TRANSFER CHECK.5.F04.9</t>
  </si>
  <si>
    <t>11 Apr 2024 14:41:58</t>
  </si>
  <si>
    <t>11 Apr 2024 14:53:15</t>
  </si>
  <si>
    <t>S220.Furnace.撕膠.每月保養.1.RIP.71</t>
  </si>
  <si>
    <t>11 Apr 2024 14:41:50</t>
  </si>
  <si>
    <t>11 Apr 2024 14:53:51</t>
  </si>
  <si>
    <t>S220.Furnace.貼膠.每月保養.1.PASTE-3.107</t>
  </si>
  <si>
    <t>11 Apr 2024 14:10:05</t>
  </si>
  <si>
    <t>11 Apr 2024 16:51:55</t>
  </si>
  <si>
    <t>S220.Furnace.osc-2.每月保養.1.OSC-2.61</t>
  </si>
  <si>
    <t>11 Apr 2024 14:09:58</t>
  </si>
  <si>
    <t>11 Apr 2024 16:39:08</t>
  </si>
  <si>
    <t>S220.Furnace.OSC-1.每月保養.3.OSC-1.90</t>
  </si>
  <si>
    <t>11 Apr 2024 09:09:51</t>
  </si>
  <si>
    <t>11 Apr 2024 17:26:41</t>
  </si>
  <si>
    <t>S220.Furnace.GRIND.GRD每月保養.4.GRD-2.100</t>
  </si>
  <si>
    <t>11 Apr 2024 08:37:16</t>
  </si>
  <si>
    <t>11 Apr 2024 10:00:25</t>
  </si>
  <si>
    <t>S220.Furnace.S/D氧化.OXIDE FURNACE WAFER TRANSFER CHECK.5.F32.10</t>
  </si>
  <si>
    <t>11 Apr 2024 08:05:06</t>
  </si>
  <si>
    <t>11 Apr 2024 10:20:31</t>
  </si>
  <si>
    <t>S220.Furnace.融合.OXIDE FURNACE WAFER TRANSFER CHECK.5.F27.8</t>
  </si>
  <si>
    <t>10 Apr 2024 21:59:58</t>
  </si>
  <si>
    <t>10 Apr 2024 22:39:05</t>
  </si>
  <si>
    <t>S220.Furnace.快速回火.11PM.6.RTP-4.3</t>
  </si>
  <si>
    <t>10 Apr 2024 14:14:52</t>
  </si>
  <si>
    <t>10 Apr 2024 14:20:39</t>
  </si>
  <si>
    <t>S220.Furnace.WAFER TRANSFER.PM.4.SORT-W2.46</t>
  </si>
  <si>
    <t>10 Apr 2024 14:04:14</t>
  </si>
  <si>
    <t>10 Apr 2024 14:12:33</t>
  </si>
  <si>
    <t>S220.Furnace.WAFER TRANSFER.PM.4.SORT-W2.45</t>
  </si>
  <si>
    <t>10 Apr 2024 05:26:16</t>
  </si>
  <si>
    <t>10 Apr 2024 19:06:54</t>
  </si>
  <si>
    <t>S220.Furnace.TEOS.3PM.34.LP-T8.3</t>
  </si>
  <si>
    <t>09 Apr 2024 23:05:49</t>
  </si>
  <si>
    <t>09 Apr 2024 23:21:32</t>
  </si>
  <si>
    <t>S220.Furnace.快速回火.1PM.8.RTP-1.4</t>
  </si>
  <si>
    <t>09 Apr 2024 16:55:15</t>
  </si>
  <si>
    <t>09 Apr 2024 17:07:57</t>
  </si>
  <si>
    <t>S220.Furnace.快速回火.7PM.6.RTP-3.3</t>
  </si>
  <si>
    <t>09 Apr 2024 15:00:04</t>
  </si>
  <si>
    <t>09 Apr 2024 15:43:23</t>
  </si>
  <si>
    <t>S220.Furnace.Wsix.LOADLOCK.11.WSIX-2A.48</t>
  </si>
  <si>
    <t>09 Apr 2024 14:59:53</t>
  </si>
  <si>
    <t>09 Apr 2024 15:44:00</t>
  </si>
  <si>
    <t>S220.Furnace.Wsix.LOADLOCK.11.WSIX-2B.49</t>
  </si>
  <si>
    <t>09 Apr 2024 14:59:43</t>
  </si>
  <si>
    <t>09 Apr 2024 15:44:37</t>
  </si>
  <si>
    <t>S220.Furnace.Wsix.LOADLOCK.11.WSIX-2C.51</t>
  </si>
  <si>
    <t>09 Apr 2024 14:59:34</t>
  </si>
  <si>
    <t>09 Apr 2024 15:45:16</t>
  </si>
  <si>
    <t>S220.Furnace.Wsix.LOADLOCK.11.WSIX-2D.50</t>
  </si>
  <si>
    <t>09 Apr 2024 13:39:50</t>
  </si>
  <si>
    <t>09 Apr 2024 16:33:13</t>
  </si>
  <si>
    <t>S220.Furnace.Wsix.LOADLOCK.11.WSIX-1C.50</t>
  </si>
  <si>
    <t>09 Apr 2024 13:28:12</t>
  </si>
  <si>
    <t>09 Apr 2024 13:51:53</t>
  </si>
  <si>
    <t>S220.Furnace.Wsix.LOADLOCK.11.WSIX-1A.51</t>
  </si>
  <si>
    <t>09 Apr 2024 10:00:31</t>
  </si>
  <si>
    <t>09 Apr 2024 13:52:09</t>
  </si>
  <si>
    <t>S220.Furnace.Wsix.LOADLOCK.11.WSIX-1B.52</t>
  </si>
  <si>
    <t>09 Apr 2024 10:00:18</t>
  </si>
  <si>
    <t>09 Apr 2024 13:52:25</t>
  </si>
  <si>
    <t>S220.Furnace.Wsix.LOADLOCK.11.WSIX-1D.51</t>
  </si>
  <si>
    <t>09 Apr 2024 02:30:25</t>
  </si>
  <si>
    <t>09 Apr 2024 17:28:11</t>
  </si>
  <si>
    <t>S220.Furnace.Poly.2PM.20.LP-P1.3</t>
  </si>
  <si>
    <t>08 Apr 2024 10:12:40</t>
  </si>
  <si>
    <t>08 Apr 2024 10:35:40</t>
  </si>
  <si>
    <t>S220.Furnace.osc-2.每月保養.1.OSC-2.60</t>
  </si>
  <si>
    <t>08 Apr 2024 10:12:31</t>
  </si>
  <si>
    <t>08 Apr 2024 10:26:50</t>
  </si>
  <si>
    <t>S220.Furnace.PACKAGE-2.MPM.2.PACKAGE-2.6</t>
  </si>
  <si>
    <t>08 Apr 2024 08:07:16</t>
  </si>
  <si>
    <t>08 Apr 2024 13:44:42</t>
  </si>
  <si>
    <t>S220.Furnace.SAC氧化.OXIDE FURNACE WAFER TRANSFER CHECK.6.F22.10</t>
  </si>
  <si>
    <t>08 Apr 2024 07:54:15</t>
  </si>
  <si>
    <t>08 Apr 2024 11:21:36</t>
  </si>
  <si>
    <t>S220.Furnace.融合.OXIDE FURNACE WAFER TRANSFER CHECK.5.F29.10</t>
  </si>
  <si>
    <t>08 Apr 2024 07:26:02</t>
  </si>
  <si>
    <t>08 Apr 2024 15:29:31</t>
  </si>
  <si>
    <t>S220.Furnace.Poly.小PM.9.LP-P2.14</t>
  </si>
  <si>
    <t>07 Apr 2024 09:08:26</t>
  </si>
  <si>
    <t>07 Apr 2024 10:02:51</t>
  </si>
  <si>
    <t>S220.Furnace.快速回火.5PM.11.RTP-2.3</t>
  </si>
  <si>
    <t>07 Apr 2024 08:51:07</t>
  </si>
  <si>
    <t>07 Apr 2024 09:51:38</t>
  </si>
  <si>
    <t>S220.Furnace.量測厚度.EM每週保養.1.EM-6.209</t>
  </si>
  <si>
    <t>07 Apr 2024 08:51:06</t>
  </si>
  <si>
    <t>07 Apr 2024 09:48:39</t>
  </si>
  <si>
    <t>S220.Furnace.量測厚度.EM每週保養.1.EM-5.207</t>
  </si>
  <si>
    <t>07 Apr 2024 08:51:05</t>
  </si>
  <si>
    <t>07 Apr 2024 09:48:27</t>
  </si>
  <si>
    <t>S220.Furnace.量測厚度.EM每週保養.1.EM-4.207</t>
  </si>
  <si>
    <t>06 Apr 2024 08:03:36</t>
  </si>
  <si>
    <t>07 Apr 2024 12:19:58</t>
  </si>
  <si>
    <t>S220.Furnace.TEOS.3PM.34.LP-T1.5</t>
  </si>
  <si>
    <t>05 Apr 2024 01:59:18</t>
  </si>
  <si>
    <t>05 Apr 2024 03:15:56</t>
  </si>
  <si>
    <t>S220.Furnace.快速回火.6PM.10.RTP-3.3</t>
  </si>
  <si>
    <t>04 Apr 2024 22:45:15</t>
  </si>
  <si>
    <t>04 Apr 2024 23:09:02</t>
  </si>
  <si>
    <t>S220.Furnace.撕膠.每月保養.1.RIP.70</t>
  </si>
  <si>
    <t>04 Apr 2024 19:52:00</t>
  </si>
  <si>
    <t>04 Apr 2024 20:20:08</t>
  </si>
  <si>
    <t>S220.Furnace.快速回火.10PM.6.RTP-4.3</t>
  </si>
  <si>
    <t>04 Apr 2024 13:35:18</t>
  </si>
  <si>
    <t>04 Apr 2024 16:46:47</t>
  </si>
  <si>
    <t>S220.Furnace.Wsix.LOADLOCK.11.WSIX-1D.50</t>
  </si>
  <si>
    <t>04 Apr 2024 13:35:05</t>
  </si>
  <si>
    <t>04 Apr 2024 16:46:08</t>
  </si>
  <si>
    <t>S220.Furnace.Wsix.LOADLOCK.11.WSIX-1B.51</t>
  </si>
  <si>
    <t>04 Apr 2024 13:34:53</t>
  </si>
  <si>
    <t>04 Apr 2024 16:45:18</t>
  </si>
  <si>
    <t>S220.Furnace.Wsix.LOADLOCK.11.WSIX-1A.50</t>
  </si>
  <si>
    <t>04 Apr 2024 12:07:33</t>
  </si>
  <si>
    <t>04 Apr 2024 13:23:40</t>
  </si>
  <si>
    <t>S220.Furnace.快速回火.25PM.9.RTP-1.1</t>
  </si>
  <si>
    <t>03 Apr 2024 19:54:47</t>
  </si>
  <si>
    <t>06 Apr 2024 22:25:41</t>
  </si>
  <si>
    <t>S220.Furnace.SiN.Thick_1PM.32.LP-N7.2</t>
  </si>
  <si>
    <t>地震 issue , 降溫 BPM</t>
  </si>
  <si>
    <t>03 Apr 2024 19:14:57</t>
  </si>
  <si>
    <t>05 Apr 2024 22:29:21</t>
  </si>
  <si>
    <t>S220.Furnace.Poly.2PM.20.LP-P4.3</t>
  </si>
  <si>
    <t>地震issue,BPM ok</t>
  </si>
  <si>
    <t>03 Apr 2024 19:14:45</t>
  </si>
  <si>
    <t>04 Apr 2024 21:55:27</t>
  </si>
  <si>
    <t>S220.Furnace.Poly.1PM.25.LP-P3.4</t>
  </si>
  <si>
    <t>03 Apr 2024 19:12:10</t>
  </si>
  <si>
    <t>05 Apr 2024 20:12:40</t>
  </si>
  <si>
    <t>S220.Furnace.SiN.Thin_4PM.34.LP-N6.1</t>
  </si>
  <si>
    <t>地震ISSUE DO BPM</t>
  </si>
  <si>
    <t>03 Apr 2024 19:09:21</t>
  </si>
  <si>
    <t>05 Apr 2024 22:27:11</t>
  </si>
  <si>
    <t>S220.Furnace.TEOS.2PM.32.LP-T6.2</t>
  </si>
  <si>
    <t>03 Apr 2024 18:50:48</t>
  </si>
  <si>
    <t>03 Apr 2024 21:23:25</t>
  </si>
  <si>
    <t>S220.Furnace.墊層氧化.OXIDE FURNACE WAFER TRANSFER CHECK.5.F14.11</t>
  </si>
  <si>
    <t>03 Apr 2024 18:47:06</t>
  </si>
  <si>
    <t>04 Apr 2024 19:07:53</t>
  </si>
  <si>
    <t>S220.Furnace.TEOS.3PM.34.LP-T5.2</t>
  </si>
  <si>
    <t>03 Apr 2024 18:46:49</t>
  </si>
  <si>
    <t>05 Apr 2024 19:21:11</t>
  </si>
  <si>
    <t>S220.Furnace.TEOS.1PM.34.LP-T4.3</t>
  </si>
  <si>
    <t>地震issue do BPM</t>
  </si>
  <si>
    <t>03 Apr 2024 18:46:19</t>
  </si>
  <si>
    <t>04 Apr 2024 14:46:57</t>
  </si>
  <si>
    <t>S220.Furnace.TEOS.3PM.34.LP-T3.3</t>
  </si>
  <si>
    <t>03 Apr 2024 18:46:06</t>
  </si>
  <si>
    <t>05 Apr 2024 15:52:50</t>
  </si>
  <si>
    <t>S220.Furnace.TEOS.3PM.34.LP-T1.4</t>
  </si>
  <si>
    <t>03 Apr 2024 18:45:51</t>
  </si>
  <si>
    <t>04 Apr 2024 18:39:29</t>
  </si>
  <si>
    <t>S220.Furnace.SiN.Thin_1PM.28.LP-N2.1</t>
  </si>
  <si>
    <t>03 Apr 2024 18:45:17</t>
  </si>
  <si>
    <t>04 Apr 2024 20:21:15</t>
  </si>
  <si>
    <t>S220.Furnace.井區擴散.大PM.22.F08.3</t>
  </si>
  <si>
    <t>地震 issue &amp; tube 變形 do YPM</t>
  </si>
  <si>
    <t>03 Apr 2024 15:55:54</t>
  </si>
  <si>
    <t>04 Apr 2024 03:18:35</t>
  </si>
  <si>
    <t>S220.Furnace.SiN.Thick_1PM.32.LP-N3.3</t>
  </si>
  <si>
    <t>03 Apr 2024 15:29:58</t>
  </si>
  <si>
    <t>04 Apr 2024 23:43:55</t>
  </si>
  <si>
    <t>S220.Furnace.SiN.Thick_2PM.30.LP-N5.2</t>
  </si>
  <si>
    <t>地震issue , BPM</t>
  </si>
  <si>
    <t>03 Apr 2024 15:29:31</t>
  </si>
  <si>
    <t>04 Apr 2024 05:51:18</t>
  </si>
  <si>
    <t>S220.Furnace.SiN.Thick_4PM.40.LP-N4.3</t>
  </si>
  <si>
    <t>地震issue,降溫BPM</t>
  </si>
  <si>
    <t>03 Apr 2024 15:29:16</t>
  </si>
  <si>
    <t>04 Apr 2024 01:48:01</t>
  </si>
  <si>
    <t>S220.Furnace.TEOS.2PM.32.LP-T2.3</t>
  </si>
  <si>
    <t>03 Apr 2024 04:00:21</t>
  </si>
  <si>
    <t>04 Apr 2024 21:57:08</t>
  </si>
  <si>
    <t>S220.Furnace.Wsix.WSIX 大PM.20.WSIX-1C.4</t>
  </si>
  <si>
    <t>03 Apr 2024 03:29:00</t>
  </si>
  <si>
    <t>03 Apr 2024 23:10:54</t>
  </si>
  <si>
    <t>S220.Furnace.Poly.4PM.19.LP-P6.2</t>
  </si>
  <si>
    <t>02 Apr 2024 12:35:13</t>
  </si>
  <si>
    <t>02 Apr 2024 13:28:22</t>
  </si>
  <si>
    <t>S220.Furnace.快速回火.4PM.8.RTP-2.3</t>
  </si>
  <si>
    <t>02 Apr 2024 08:41:02</t>
  </si>
  <si>
    <t>02 Apr 2024 09:52:46</t>
  </si>
  <si>
    <t>S220.Furnace.場氧化.OXIDE FURNACE WAFER TRANSFER CHECK.5.F03.11</t>
  </si>
  <si>
    <t>02 Apr 2024 08:34:37</t>
  </si>
  <si>
    <t>02 Apr 2024 16:15:33</t>
  </si>
  <si>
    <t>S220.Furnace.SiN.Thick 小 PM(40).7.LP-N3.9</t>
  </si>
  <si>
    <t>01 Apr 2024 13:05:29</t>
  </si>
  <si>
    <t>01 Apr 2024 14:42:25</t>
  </si>
  <si>
    <t>S220.Furnace.PLUG回火.OXIDE FURNACE WAFER TRANSFER CHECK.5.F37.11</t>
  </si>
  <si>
    <t>01 Apr 2024 10:08:20</t>
  </si>
  <si>
    <t>01 Apr 2024 16:02:58</t>
  </si>
  <si>
    <t>S220.Furnace.TEOS.小PM(9um).9.LP-T1.11</t>
  </si>
  <si>
    <t>01 Apr 2024 08:45:29</t>
  </si>
  <si>
    <t>01 Apr 2024 18:27:37</t>
  </si>
  <si>
    <t>S220.Furnace.SiN.Thin_小PM_150.31.LP-N2.2</t>
  </si>
  <si>
    <t>01 Apr 2024 08:30:04</t>
  </si>
  <si>
    <t>01 Apr 2024 10:19:59</t>
  </si>
  <si>
    <t>S220.Furnace.墊層氧化.OXIDE FURNACE WAFER TRANSFER CHECK.5.F26.11</t>
  </si>
  <si>
    <t>31 Mar 2024 08:46:13</t>
  </si>
  <si>
    <t>31 Mar 2024 09:46:43</t>
  </si>
  <si>
    <t>S220.Furnace.快速回火.5PM.11.RTP-3.3</t>
  </si>
  <si>
    <t>30 Mar 2024 19:36:57</t>
  </si>
  <si>
    <t>30 Mar 2024 20:03:26</t>
  </si>
  <si>
    <t>S220.Furnace.快速回火.9PM.6.RTP-4.3</t>
  </si>
  <si>
    <t>30 Mar 2024 17:40:26</t>
  </si>
  <si>
    <t>30 Mar 2024 18:16:56</t>
  </si>
  <si>
    <t>S220.Furnace.快速回火.24PM.6.RTP-1.3</t>
  </si>
  <si>
    <t>29 Mar 2024 13:00:57</t>
  </si>
  <si>
    <t>29 Mar 2024 14:28:11</t>
  </si>
  <si>
    <t>S220.Furnace.Wsix.LOADLOCK.11.WSIX-2D.49</t>
  </si>
  <si>
    <t>29 Mar 2024 13:00:47</t>
  </si>
  <si>
    <t>29 Mar 2024 14:28:03</t>
  </si>
  <si>
    <t>S220.Furnace.Wsix.LOADLOCK.11.WSIX-2C.50</t>
  </si>
  <si>
    <t>29 Mar 2024 13:00:38</t>
  </si>
  <si>
    <t>29 Mar 2024 14:27:55</t>
  </si>
  <si>
    <t>S220.Furnace.Wsix.LOADLOCK.11.WSIX-2B.48</t>
  </si>
  <si>
    <t>29 Mar 2024 13:00:29</t>
  </si>
  <si>
    <t>29 Mar 2024 14:27:46</t>
  </si>
  <si>
    <t>S220.Furnace.Wsix.LOADLOCK.11.WSIX-2A.47</t>
  </si>
  <si>
    <t>29 Mar 2024 10:18:44</t>
  </si>
  <si>
    <t>29 Mar 2024 10:24:48</t>
  </si>
  <si>
    <t>S220.Furnace.量測厚度.EM每週保養.1.EM-6.208</t>
  </si>
  <si>
    <t>29 Mar 2024 10:18:34</t>
  </si>
  <si>
    <t>29 Mar 2024 10:30:05</t>
  </si>
  <si>
    <t>S220.Furnace.量測厚度.EM每週保養.1.EM-5.206</t>
  </si>
  <si>
    <t>29 Mar 2024 10:18:22</t>
  </si>
  <si>
    <t>29 Mar 2024 10:30:14</t>
  </si>
  <si>
    <t>S220.Furnace.量測厚度.EM每週保養.1.EM-4.206</t>
  </si>
  <si>
    <t>29 Mar 2024 09:47:44</t>
  </si>
  <si>
    <t>29 Mar 2024 10:04:13</t>
  </si>
  <si>
    <t>S220.Furnace.快速回火.3PM.8.RTP-2.3</t>
  </si>
  <si>
    <t>29 Mar 2024 09:16:50</t>
  </si>
  <si>
    <t>29 Mar 2024 10:54:04</t>
  </si>
  <si>
    <t>S220.Furnace.爐管烘烤.OXIDE FURNACE WAFER TRANSFER CHECK.5.F45.10</t>
  </si>
  <si>
    <t>29 Mar 2024 08:08:29</t>
  </si>
  <si>
    <t>29 Mar 2024 15:42:52</t>
  </si>
  <si>
    <t>S220.Furnace.Poly.小PM.9.LP-P4.14</t>
  </si>
  <si>
    <t>29 Mar 2024 03:17:40</t>
  </si>
  <si>
    <t>29 Mar 2024 20:09:03</t>
  </si>
  <si>
    <t>S220.Furnace.SiN.Thick_3PM.30.LP-N4.2</t>
  </si>
  <si>
    <t>28 Mar 2024 08:41:55</t>
  </si>
  <si>
    <t>28 Mar 2024 10:48:12</t>
  </si>
  <si>
    <t>S220.Furnace.爐管烘烤.OXIDE FURNACE WAFER TRANSFER CHECK.5.F30.9</t>
  </si>
  <si>
    <t>28 Mar 2024 07:26:43</t>
  </si>
  <si>
    <t>28 Mar 2024 16:32:57</t>
  </si>
  <si>
    <t>S220.Furnace.TEOS.小PM(9um).9.LP-T8.8</t>
  </si>
  <si>
    <t>28 Mar 2024 03:40:12</t>
  </si>
  <si>
    <t>29 Mar 2024 15:19:37</t>
  </si>
  <si>
    <t>S220.Furnace.S/D氧化.大PM.21.F33.2</t>
  </si>
  <si>
    <t>27 Mar 2024 13:34:05</t>
  </si>
  <si>
    <t>27 Mar 2024 15:55:07</t>
  </si>
  <si>
    <t>S220.Furnace.墊層氧化.OXIDE FURNACE WAFER TRANSFER CHECK.5.F12.10</t>
  </si>
  <si>
    <t>27 Mar 2024 13:26:01</t>
  </si>
  <si>
    <t>27 Mar 2024 19:41:10</t>
  </si>
  <si>
    <t>S220.Furnace.Poly.小PM.9.LP-P1.11</t>
  </si>
  <si>
    <t>27 Mar 2024 09:18:50</t>
  </si>
  <si>
    <t>27 Mar 2024 13:54:27</t>
  </si>
  <si>
    <t>S220.Furnace.GRIND.GRD每月保養.4.GRD-3.96</t>
  </si>
  <si>
    <t>27 Mar 2024 08:59:18</t>
  </si>
  <si>
    <t>27 Mar 2024 09:48:34</t>
  </si>
  <si>
    <t>S220.Furnace.井區擴散.OXIDE FURNACE WAFER TRANSFER CHECK.5.F04.8</t>
  </si>
  <si>
    <t>27 Mar 2024 02:33:53</t>
  </si>
  <si>
    <t>27 Mar 2024 18:44:19</t>
  </si>
  <si>
    <t>S220.Furnace.TEOS.1PM.34.LP-T2.3</t>
  </si>
  <si>
    <t>26 Mar 2024 11:09:25</t>
  </si>
  <si>
    <t>26 Mar 2024 19:34:07</t>
  </si>
  <si>
    <t>S220.Furnace.SiN.Thick 小 PM(40).7.LP-N5.7</t>
  </si>
  <si>
    <t>26 Mar 2024 09:47:52</t>
  </si>
  <si>
    <t>26 Mar 2024 09:57:48</t>
  </si>
  <si>
    <t>S220.Furnace.快速回火.4PM.8.RTP-3.3</t>
  </si>
  <si>
    <t>26 Mar 2024 08:15:45</t>
  </si>
  <si>
    <t>26 Mar 2024 18:23:23</t>
  </si>
  <si>
    <t>S220.Furnace.TEOS.小PM(18um).7.LP-T3.6</t>
  </si>
  <si>
    <t>26 Mar 2024 04:07:36</t>
  </si>
  <si>
    <t>26 Mar 2024 20:27:38</t>
  </si>
  <si>
    <t>S220.Furnace.Poly.2PM.20.LP-P2.2</t>
  </si>
  <si>
    <t>26 Mar 2024 02:02:06</t>
  </si>
  <si>
    <t>26 Mar 2024 02:36:52</t>
  </si>
  <si>
    <t>S220.Furnace.快速回火.23PM.6.RTP-1.3</t>
  </si>
  <si>
    <t>25 Mar 2024 09:03:31</t>
  </si>
  <si>
    <t>25 Mar 2024 16:30:22</t>
  </si>
  <si>
    <t>S220.Furnace.SiN.Thick 小 PM(80).8.LP-N1.5</t>
  </si>
  <si>
    <t>25 Mar 2024 07:00:09</t>
  </si>
  <si>
    <t>25 Mar 2024 07:17:15</t>
  </si>
  <si>
    <t>S220.Furnace.快速回火.8PM.6.RTP-4.3</t>
  </si>
  <si>
    <t>25 Mar 2024 02:22:41</t>
  </si>
  <si>
    <t>25 Mar 2024 19:58:02</t>
  </si>
  <si>
    <t>S220.Furnace.Poly.5PM.23.LP-P3.1</t>
  </si>
  <si>
    <t>24 Mar 2024 22:49:27</t>
  </si>
  <si>
    <t>24 Mar 2024 23:19:06</t>
  </si>
  <si>
    <t>S220.Furnace.快速回火.2PM.8.RTP-2.3</t>
  </si>
  <si>
    <t>22 Mar 2024 22:03:36</t>
  </si>
  <si>
    <t>23 Mar 2024 03:01:19</t>
  </si>
  <si>
    <t>S220.Furnace.閘層氧化.大PM.22.F19.2</t>
  </si>
  <si>
    <t>22 Mar 2024 14:26:18</t>
  </si>
  <si>
    <t>22 Mar 2024 17:53:11</t>
  </si>
  <si>
    <t>S220.Furnace.閘層氧化.大PM.22.F19.1</t>
  </si>
  <si>
    <t>22 Mar 2024 10:36:13</t>
  </si>
  <si>
    <t>22 Mar 2024 10:58:02</t>
  </si>
  <si>
    <t>S220.Furnace.量測厚度.EM每週保養.1.EM-5.205</t>
  </si>
  <si>
    <t>22 Mar 2024 10:25:31</t>
  </si>
  <si>
    <t>22 Mar 2024 10:37:04</t>
  </si>
  <si>
    <t>S220.Furnace.量測厚度.EM每週保養.1.EM-4.205</t>
  </si>
  <si>
    <t>22 Mar 2024 10:20:24</t>
  </si>
  <si>
    <t>22 Mar 2024 10:35:45</t>
  </si>
  <si>
    <t>S220.Furnace.量測厚度.EM每週保養.1.EM-6.207</t>
  </si>
  <si>
    <t>22 Mar 2024 07:29:44</t>
  </si>
  <si>
    <t>22 Mar 2024 16:04:00</t>
  </si>
  <si>
    <t>S220.Furnace.Poly.小PM.9.LP-P6.10</t>
  </si>
  <si>
    <t>22 Mar 2024 05:58:18</t>
  </si>
  <si>
    <t>22 Mar 2024 23:33:43</t>
  </si>
  <si>
    <t>S220.Furnace.SiN.Thick_4PM.40.LP-N3.3</t>
  </si>
  <si>
    <t>21 Mar 2024 21:59:57</t>
  </si>
  <si>
    <t>21 Mar 2024 23:33:50</t>
  </si>
  <si>
    <t>S220.Furnace.快速回火.3PM.8.RTP-3.3</t>
  </si>
  <si>
    <t>21 Mar 2024 14:05:40</t>
  </si>
  <si>
    <t>21 Mar 2024 14:14:01</t>
  </si>
  <si>
    <t>S220.Furnace.研磨厚度量測.MPM.1.ADE.10</t>
  </si>
  <si>
    <t>21 Mar 2024 13:53:16</t>
  </si>
  <si>
    <t>21 Mar 2024 14:07:39</t>
  </si>
  <si>
    <t>S220.Furnace.貼膠.每月保養.1.PASTE-3.106</t>
  </si>
  <si>
    <t>21 Mar 2024 09:36:16</t>
  </si>
  <si>
    <t>21 Mar 2024 10:07:36</t>
  </si>
  <si>
    <t>S220.Furnace.快速回火.22PM.6.RTP-1.3</t>
  </si>
  <si>
    <t>21 Mar 2024 09:09:10</t>
  </si>
  <si>
    <t>21 Mar 2024 13:51:04</t>
  </si>
  <si>
    <t>S220.Furnace.GRIND.GRD每月保養.4.GRD-2.99</t>
  </si>
  <si>
    <t>21 Mar 2024 06:08:32</t>
  </si>
  <si>
    <t>21 Mar 2024 19:32:37</t>
  </si>
  <si>
    <t>S220.Furnace.Wsix.WSIX 大PM.20.WSIX-1B.3</t>
  </si>
  <si>
    <t>21 Mar 2024 04:28:39</t>
  </si>
  <si>
    <t>21 Mar 2024 15:41:58</t>
  </si>
  <si>
    <t>S220.Furnace.TEOS.2PM.32.LP-T1.3</t>
  </si>
  <si>
    <t>20 Mar 2024 09:31:30</t>
  </si>
  <si>
    <t>20 Mar 2024 17:57:13</t>
  </si>
  <si>
    <t>S220.Furnace.SiN.Thick 小 PM(40).7.LP-N7.3</t>
  </si>
  <si>
    <t>20 Mar 2024 07:41:32</t>
  </si>
  <si>
    <t>20 Mar 2024 15:53:00</t>
  </si>
  <si>
    <t>S220.Furnace.TEOS.小PM(9um).9.LP-T6.4</t>
  </si>
  <si>
    <t>19 Mar 2024 23:53:52</t>
  </si>
  <si>
    <t>20 Mar 2024 00:03:18</t>
  </si>
  <si>
    <t>S220.Furnace.快速回火.1PM.8.RTP-2.3</t>
  </si>
  <si>
    <t>19 Mar 2024 22:50:12</t>
  </si>
  <si>
    <t>19 Mar 2024 23:39:07</t>
  </si>
  <si>
    <t>S220.Furnace.快速回火.7PM.6.RTP-4.2</t>
  </si>
  <si>
    <t>19 Mar 2024 03:42:50</t>
  </si>
  <si>
    <t>19 Mar 2024 19:44:19</t>
  </si>
  <si>
    <t>S220.Furnace.TEOS.3PM.34.LP-T4.2</t>
  </si>
  <si>
    <t>18 Mar 2024 08:40:35</t>
  </si>
  <si>
    <t>18 Mar 2024 16:23:46</t>
  </si>
  <si>
    <t>S220.Furnace.SiN.Thick 小 PM(80).8.LP-N4.7</t>
  </si>
  <si>
    <t>18 Mar 2024 07:53:24</t>
  </si>
  <si>
    <t>18 Mar 2024 16:45:15</t>
  </si>
  <si>
    <t>S220.Furnace.TEOS.小PM(9um).9.LP-T8.7</t>
  </si>
  <si>
    <t>18 Mar 2024 03:26:50</t>
  </si>
  <si>
    <t>18 Mar 2024 19:53:25</t>
  </si>
  <si>
    <t>S220.Furnace.Poly.1PM.25.LP-P4.3</t>
  </si>
  <si>
    <t>17 Mar 2024 09:09:50</t>
  </si>
  <si>
    <t>17 Mar 2024 10:02:44</t>
  </si>
  <si>
    <t>S220.Furnace.快速回火.2PM.8.RTP-3.4</t>
  </si>
  <si>
    <t>16 Mar 2024 17:39:01</t>
  </si>
  <si>
    <t>16 Mar 2024 17:53:11</t>
  </si>
  <si>
    <t>S220.Furnace.快速回火.21PM.6.RTP-1.3</t>
  </si>
  <si>
    <t>15 Mar 2024 16:22:37</t>
  </si>
  <si>
    <t>15 Mar 2024 16:52:00</t>
  </si>
  <si>
    <t>S220.Furnace.量測厚度.EM 每月保養.1.EM-5.55</t>
  </si>
  <si>
    <t>15 Mar 2024 11:28:39</t>
  </si>
  <si>
    <t>15 Mar 2024 12:04:28</t>
  </si>
  <si>
    <t>S220.Furnace.量測厚度.EM 每月保養.1.EM-6.53</t>
  </si>
  <si>
    <t>15 Mar 2024 11:28:29</t>
  </si>
  <si>
    <t>15 Mar 2024 12:03:42</t>
  </si>
  <si>
    <t>S220.Furnace.量測厚度.EM 每月保養.1.EM-4.65</t>
  </si>
  <si>
    <t>15 Mar 2024 09:24:55</t>
  </si>
  <si>
    <t>15 Mar 2024 14:55:11</t>
  </si>
  <si>
    <t>S220.Furnace.快速回火.25PM.8.RTP-2.4</t>
  </si>
  <si>
    <t>15 Mar 2024 07:30:13</t>
  </si>
  <si>
    <t>15 Mar 2024 16:19:42</t>
  </si>
  <si>
    <t>S220.Furnace.TEOS.小PM(9um).9.LP-T5.5</t>
  </si>
  <si>
    <t>15 Mar 2024 06:20:13</t>
  </si>
  <si>
    <t>15 Mar 2024 16:52:50</t>
  </si>
  <si>
    <t>S220.Furnace.井區擴散.大PM.22.F09.3</t>
  </si>
  <si>
    <t>15 Mar 2024 03:39:28</t>
  </si>
  <si>
    <t>15 Mar 2024 19:33:46</t>
  </si>
  <si>
    <t>S220.Furnace.Poly.1PM.25.LP-P1.3</t>
  </si>
  <si>
    <t>14 Mar 2024 14:07:59</t>
  </si>
  <si>
    <t>14 Mar 2024 17:37:59</t>
  </si>
  <si>
    <t>S220.Furnace.OSC-1.每月保養.3.OSC-1.89</t>
  </si>
  <si>
    <t>14 Mar 2024 12:41:39</t>
  </si>
  <si>
    <t>14 Mar 2024 15:43:34</t>
  </si>
  <si>
    <t>S220.Furnace.融合.OXIDE FURNACE WAFER TRANSFER CHECK.5.F40.9</t>
  </si>
  <si>
    <t>14 Mar 2024 10:37:04</t>
  </si>
  <si>
    <t>14 Mar 2024 11:30:29</t>
  </si>
  <si>
    <t>S220.Furnace.osc-2.每月保養.1.OSC-2.59</t>
  </si>
  <si>
    <t>14 Mar 2024 09:17:34</t>
  </si>
  <si>
    <t>14 Mar 2024 13:42:40</t>
  </si>
  <si>
    <t>S220.Furnace.GRIND.GRD每月保養.4.GRD-3.95</t>
  </si>
  <si>
    <t>14 Mar 2024 07:43:56</t>
  </si>
  <si>
    <t>14 Mar 2024 13:57:05</t>
  </si>
  <si>
    <t>S220.Furnace.閘層氧化.OXIDE FURNACE WAFER TRANSFER CHECK.5.F16.8</t>
  </si>
  <si>
    <t>14 Mar 2024 07:22:37</t>
  </si>
  <si>
    <t>14 Mar 2024 15:46:18</t>
  </si>
  <si>
    <t>S220.Furnace.Poly.小PM.9.LP-P3.10</t>
  </si>
  <si>
    <t>14 Mar 2024 04:55:03</t>
  </si>
  <si>
    <t>14 Mar 2024 16:42:57</t>
  </si>
  <si>
    <t>S220.Furnace.SAC氧化.大PM.19.F20.2</t>
  </si>
  <si>
    <t>14 Mar 2024 00:20:29</t>
  </si>
  <si>
    <t>14 Mar 2024 00:51:28</t>
  </si>
  <si>
    <t>S220.Furnace.快速回火.6PM.10.RTP-4.3</t>
  </si>
  <si>
    <t>13 Mar 2024 14:17:52</t>
  </si>
  <si>
    <t>13 Mar 2024 15:40:45</t>
  </si>
  <si>
    <t>S220.Furnace.PACKAGE-2.MPM.2.PACKAGE-2.5</t>
  </si>
  <si>
    <t>13 Mar 2024 09:24:25</t>
  </si>
  <si>
    <t>13 Mar 2024 17:06:00</t>
  </si>
  <si>
    <t>S220.Furnace.TEOS.小PM(18um).7.LP-T2.6</t>
  </si>
  <si>
    <t>13 Mar 2024 08:53:47</t>
  </si>
  <si>
    <t>13 Mar 2024 16:10:06</t>
  </si>
  <si>
    <t>S220.Furnace.SiN.Thick 小 PM(80).8.LP-N3.7</t>
  </si>
  <si>
    <t>13 Mar 2024 06:30:18</t>
  </si>
  <si>
    <t>13 Mar 2024 14:15:47</t>
  </si>
  <si>
    <t>S220.Furnace.N+預置.大PM.28.F39.5</t>
  </si>
  <si>
    <t>12 Mar 2024 09:32:29</t>
  </si>
  <si>
    <t>12 Mar 2024 09:47:43</t>
  </si>
  <si>
    <t>S220.Furnace.快速回火.1PM.8.RTP-3.3</t>
  </si>
  <si>
    <t>12 Mar 2024 08:27:22</t>
  </si>
  <si>
    <t>12 Mar 2024 16:10:08</t>
  </si>
  <si>
    <t>S220.Furnace.TEOS.小PM(9um).9.LP-T3.7</t>
  </si>
  <si>
    <t>12 Mar 2024 07:21:30</t>
  </si>
  <si>
    <t>12 Mar 2024 16:12:02</t>
  </si>
  <si>
    <t>S220.Furnace.Poly.小PM.9.LP-P2.13</t>
  </si>
  <si>
    <t>12 Mar 2024 04:56:31</t>
  </si>
  <si>
    <t>12 Mar 2024 05:03:14</t>
  </si>
  <si>
    <t>S220.Furnace.快速回火.24PM.6.RTP-2.3</t>
  </si>
  <si>
    <t>12 Mar 2024 03:13:34</t>
  </si>
  <si>
    <t>12 Mar 2024 23:57:04</t>
  </si>
  <si>
    <t>S220.Furnace.SiN.Thick_1PM.32.LP-N5.2</t>
  </si>
  <si>
    <t>11 Mar 2024 10:04:06</t>
  </si>
  <si>
    <t>11 Mar 2024 11:30:51</t>
  </si>
  <si>
    <t>S220.Furnace.快速回火.20PM.6.RTP-1.2</t>
  </si>
  <si>
    <t>water leakage error 轉PM</t>
  </si>
  <si>
    <t>11 Mar 2024 08:10:42</t>
  </si>
  <si>
    <t>11 Mar 2024 09:55:06</t>
  </si>
  <si>
    <t>S220.Furnace.閘層氧化.OXIDE FURNACE WAFER TRANSFER CHECK.5.F18.10</t>
  </si>
  <si>
    <t>11 Mar 2024 08:04:48</t>
  </si>
  <si>
    <t>11 Mar 2024 15:40:05</t>
  </si>
  <si>
    <t>S220.Furnace.TEOS.小PM(18um).7.LP-T1.7</t>
  </si>
  <si>
    <t>10 Mar 2024 13:43:04</t>
  </si>
  <si>
    <t>10 Mar 2024 14:56:15</t>
  </si>
  <si>
    <t>S220.Furnace.快速回火.19PM.6.RTP-1.4</t>
  </si>
  <si>
    <t>08 Mar 2024 14:14:44</t>
  </si>
  <si>
    <t>08 Mar 2024 15:41:03</t>
  </si>
  <si>
    <t>S220.Furnace.WAFER TRANSFER.PM.4.SORT-W2.44</t>
  </si>
  <si>
    <t>08 Mar 2024 13:55:51</t>
  </si>
  <si>
    <t>08 Mar 2024 15:31:52</t>
  </si>
  <si>
    <t>S220.Furnace.WAFER TRANSFER.PM.4.SORT-W1.133</t>
  </si>
  <si>
    <t>08 Mar 2024 13:55:24</t>
  </si>
  <si>
    <t>08 Mar 2024 15:32:10</t>
  </si>
  <si>
    <t>S220.Furnace.WAFER TRANSFER.PM.4.SORT-J1.114</t>
  </si>
  <si>
    <t>08 Mar 2024 13:55:07</t>
  </si>
  <si>
    <t>08 Mar 2024 15:32:02</t>
  </si>
  <si>
    <t>S220.Furnace.WAFER TRANSFER.PM.4.SORT-K1.132</t>
  </si>
  <si>
    <t>08 Mar 2024 11:31:21</t>
  </si>
  <si>
    <t>08 Mar 2024 14:13:02</t>
  </si>
  <si>
    <t>S220.Furnace.場氧化.OXIDE FURNACE WAFER TRANSFER CHECK.5.F07.10</t>
  </si>
  <si>
    <t>08 Mar 2024 10:10:40</t>
  </si>
  <si>
    <t>08 Mar 2024 11:19:14</t>
  </si>
  <si>
    <t>S220.Furnace.WAFER TRANSFER.PM.4.SORT-I2.101</t>
  </si>
  <si>
    <t>08 Mar 2024 10:10:26</t>
  </si>
  <si>
    <t>08 Mar 2024 11:19:06</t>
  </si>
  <si>
    <t>S220.Furnace.WAFER TRANSFER.PM.4.SORT-I1.107</t>
  </si>
  <si>
    <t>08 Mar 2024 10:10:11</t>
  </si>
  <si>
    <t>08 Mar 2024 11:18:57</t>
  </si>
  <si>
    <t>S220.Furnace.WAFER TRANSFER.PM.4.SORT-D2.132</t>
  </si>
  <si>
    <t>08 Mar 2024 10:09:54</t>
  </si>
  <si>
    <t>08 Mar 2024 11:18:48</t>
  </si>
  <si>
    <t>S220.Furnace.WAFER TRANSFER.PM.4.SORT-D1.132</t>
  </si>
  <si>
    <t>08 Mar 2024 10:07:56</t>
  </si>
  <si>
    <t>08 Mar 2024 17:40:50</t>
  </si>
  <si>
    <t>S220.Furnace.Poly.小PM.9.LP-P4.13</t>
  </si>
  <si>
    <t>08 Mar 2024 09:48:14</t>
  </si>
  <si>
    <t>08 Mar 2024 10:01:56</t>
  </si>
  <si>
    <t>S220.Furnace.量測厚度.EM每週保養.1.EM-4.204</t>
  </si>
  <si>
    <t>08 Mar 2024 09:33:31</t>
  </si>
  <si>
    <t>08 Mar 2024 09:47:42</t>
  </si>
  <si>
    <t>S220.Furnace.量測厚度.EM每週保養.1.EM-6.206</t>
  </si>
  <si>
    <t>08 Mar 2024 09:33:09</t>
  </si>
  <si>
    <t>08 Mar 2024 09:47:26</t>
  </si>
  <si>
    <t>S220.Furnace.量測厚度.EM每週保養.1.EM-5.204</t>
  </si>
  <si>
    <t>08 Mar 2024 09:05:52</t>
  </si>
  <si>
    <t>08 Mar 2024 11:33:50</t>
  </si>
  <si>
    <t>S220.Furnace.爐管烘烤.OXIDE FURNACE WAFER TRANSFER CHECK.5.F28.9</t>
  </si>
  <si>
    <t>07 Mar 2024 13:47:27</t>
  </si>
  <si>
    <t>07 Mar 2024 15:04:13</t>
  </si>
  <si>
    <t>S220.Furnace.閘層氧化.OXIDE FURNACE WAFER TRANSFER CHECK.5.F10.8</t>
  </si>
  <si>
    <t>07 Mar 2024 13:19:36</t>
  </si>
  <si>
    <t>07 Mar 2024 15:02:48</t>
  </si>
  <si>
    <t>S220.Furnace.SAC氧化.OXIDE FURNACE WAFER TRANSFER CHECK.6.F21.10</t>
  </si>
  <si>
    <t>07 Mar 2024 04:32:47</t>
  </si>
  <si>
    <t>07 Mar 2024 17:13:19</t>
  </si>
  <si>
    <t>S220.Furnace.場氧化.大PM.20.F01.2</t>
  </si>
  <si>
    <t>07 Mar 2024 03:25:53</t>
  </si>
  <si>
    <t>07 Mar 2024 19:00:00</t>
  </si>
  <si>
    <t>S220.Furnace.Poly.3PM.19.LP-P6.2</t>
  </si>
  <si>
    <t>06 Mar 2024 13:42:27</t>
  </si>
  <si>
    <t>06 Mar 2024 15:29:42</t>
  </si>
  <si>
    <t>S220.Furnace.場氧化.OXIDE FURNACE WAFER TRANSFER CHECK.5.F02.10</t>
  </si>
  <si>
    <t>06 Mar 2024 13:39:58</t>
  </si>
  <si>
    <t>06 Mar 2024 15:40:27</t>
  </si>
  <si>
    <t>S220.Furnace.快速回火.5PM.11.RTP-4.3</t>
  </si>
  <si>
    <t>06 Mar 2024 10:57:29</t>
  </si>
  <si>
    <t>06 Mar 2024 11:33:07</t>
  </si>
  <si>
    <t>S220.Furnace.撕膠.每月保養.1.RIP.69</t>
  </si>
  <si>
    <t>06 Mar 2024 10:57:23</t>
  </si>
  <si>
    <t>06 Mar 2024 11:32:57</t>
  </si>
  <si>
    <t>S220.Furnace.貼膠.每月保養.1.PASTE-3.105</t>
  </si>
  <si>
    <t>06 Mar 2024 10:50:30</t>
  </si>
  <si>
    <t>06 Mar 2024 11:15:18</t>
  </si>
  <si>
    <t>S220.Furnace.井區擴散.OXIDE FURNACE WAFER TRANSFER CHECK.5.F24.9</t>
  </si>
  <si>
    <t>06 Mar 2024 10:47:45</t>
  </si>
  <si>
    <t>06 Mar 2024 11:32:27</t>
  </si>
  <si>
    <t>S220.Furnace.研磨厚度量測.MPM.1.ADE.9</t>
  </si>
  <si>
    <t>06 Mar 2024 10:09:58</t>
  </si>
  <si>
    <t>06 Mar 2024 11:00:06</t>
  </si>
  <si>
    <t>S220.Furnace.Wsix.LOADLOCK.11.WSIX-1D.49</t>
  </si>
  <si>
    <t>06 Mar 2024 10:09:42</t>
  </si>
  <si>
    <t>06 Mar 2024 10:59:59</t>
  </si>
  <si>
    <t>S220.Furnace.Wsix.LOADLOCK.11.WSIX-1C.49</t>
  </si>
  <si>
    <t>06 Mar 2024 10:09:26</t>
  </si>
  <si>
    <t>06 Mar 2024 10:59:50</t>
  </si>
  <si>
    <t>S220.Furnace.Wsix.LOADLOCK.11.WSIX-1B.50</t>
  </si>
  <si>
    <t>06 Mar 2024 10:09:14</t>
  </si>
  <si>
    <t>06 Mar 2024 10:59:41</t>
  </si>
  <si>
    <t>S220.Furnace.Wsix.LOADLOCK.11.WSIX-1A.48</t>
  </si>
  <si>
    <t>06 Mar 2024 09:24:59</t>
  </si>
  <si>
    <t>06 Mar 2024 12:54:16</t>
  </si>
  <si>
    <t>S220.Furnace.GRIND.GRD每月保養.4.GRD-2.98</t>
  </si>
  <si>
    <t>06 Mar 2024 08:27:07</t>
  </si>
  <si>
    <t>06 Mar 2024 16:33:07</t>
  </si>
  <si>
    <t>S220.Furnace.SiN.Thick 小 PM(40).7.LP-N4.7</t>
  </si>
  <si>
    <t>05 Mar 2024 22:15:03</t>
  </si>
  <si>
    <t>05 Mar 2024 22:27:15</t>
  </si>
  <si>
    <t>S220.Furnace.快速回火.23PM.6.RTP-2.3</t>
  </si>
  <si>
    <t>05 Mar 2024 10:06:59</t>
  </si>
  <si>
    <t>05 Mar 2024 18:27:09</t>
  </si>
  <si>
    <t>S220.Furnace.TEOS.小PM(18um).7.LP-T4.5</t>
  </si>
  <si>
    <t>05 Mar 2024 08:41:34</t>
  </si>
  <si>
    <t>05 Mar 2024 18:35:24</t>
  </si>
  <si>
    <t>S220.Furnace.快速回火.25PM.8.RTP-3.6</t>
  </si>
  <si>
    <t>05 Mar 2024 08:39:46</t>
  </si>
  <si>
    <t>05 Mar 2024 09:45:13</t>
  </si>
  <si>
    <t>S220.Furnace.快速回火.18PM.6.RTP-1.2</t>
  </si>
  <si>
    <t>05 Mar 2024 02:39:39</t>
  </si>
  <si>
    <t>05 Mar 2024 14:19:27</t>
  </si>
  <si>
    <t>S220.Furnace.S/D氧化.大PM.21.F35.4</t>
  </si>
  <si>
    <t>04 Mar 2024 08:19:44</t>
  </si>
  <si>
    <t>04 Mar 2024 19:32:19</t>
  </si>
  <si>
    <t>S220.Furnace.Poly.4PM.19.LP-P3.3</t>
  </si>
  <si>
    <t>04 Mar 2024 04:36:32</t>
  </si>
  <si>
    <t>04 Mar 2024 20:52:49</t>
  </si>
  <si>
    <t>S220.Furnace.TEOS.2PM.32.LP-T8.2</t>
  </si>
  <si>
    <t>04 Mar 2024 02:19:36</t>
  </si>
  <si>
    <t>04 Mar 2024 15:04:48</t>
  </si>
  <si>
    <t>S220.Furnace.N+預置.大PM.28.F13.8</t>
  </si>
  <si>
    <t>01 Mar 2024 13:37:49</t>
  </si>
  <si>
    <t>01 Mar 2024 15:46:17</t>
  </si>
  <si>
    <t>S220.Furnace.Wsix.LOADLOCK.11.WSIX-2D.48</t>
  </si>
  <si>
    <t>01 Mar 2024 13:37:37</t>
  </si>
  <si>
    <t>01 Mar 2024 15:45:48</t>
  </si>
  <si>
    <t>S220.Furnace.Wsix.LOADLOCK.11.WSIX-2C.49</t>
  </si>
  <si>
    <t>01 Mar 2024 13:37:26</t>
  </si>
  <si>
    <t>01 Mar 2024 15:07:17</t>
  </si>
  <si>
    <t>S220.Furnace.Wsix.LOADLOCK.11.WSIX-2B.47</t>
  </si>
  <si>
    <t>01 Mar 2024 10:36:45</t>
  </si>
  <si>
    <t>01 Mar 2024 10:49:28</t>
  </si>
  <si>
    <t>S220.Furnace.量測厚度.EM每週保養.1.EM-4.203</t>
  </si>
  <si>
    <t>01 Mar 2024 10:28:56</t>
  </si>
  <si>
    <t>01 Mar 2024 10:44:39</t>
  </si>
  <si>
    <t>S220.Furnace.量測厚度.EM每週保養.1.EM-6.205</t>
  </si>
  <si>
    <t>01 Mar 2024 10:28:44</t>
  </si>
  <si>
    <t>01 Mar 2024 10:43:48</t>
  </si>
  <si>
    <t>S220.Furnace.量測厚度.EM每週保養.1.EM-5.203</t>
  </si>
  <si>
    <t>01 Mar 2024 09:57:17</t>
  </si>
  <si>
    <t>01 Mar 2024 18:24:59</t>
  </si>
  <si>
    <t>S220.Furnace.TEOS.小PM(9um).9.LP-T2.6</t>
  </si>
  <si>
    <t>01 Mar 2024 06:14:37</t>
  </si>
  <si>
    <t>01 Mar 2024 20:55:29</t>
  </si>
  <si>
    <t>S220.Furnace.Wsix.WSIX 大PM.20.WSIX-2A.2</t>
  </si>
  <si>
    <t>01 Mar 2024 03:48:14</t>
  </si>
  <si>
    <t>01 Mar 2024 20:51:47</t>
  </si>
  <si>
    <t>S220.Furnace.Poly.1PM.25.LP-P2.3</t>
  </si>
  <si>
    <t>29 Feb 2024 09:27:02</t>
  </si>
  <si>
    <t>29 Feb 2024 18:40:12</t>
  </si>
  <si>
    <t>S220.Furnace.SiN.Thick 小 PM(40).7.LP-N3.8</t>
  </si>
  <si>
    <t>29 Feb 2024 08:29:47</t>
  </si>
  <si>
    <t>29 Feb 2024 19:59:30</t>
  </si>
  <si>
    <t>S220.Furnace.Poly.小PM.9.LP-P1.10</t>
  </si>
  <si>
    <t>29 Feb 2024 07:47:23</t>
  </si>
  <si>
    <t>29 Feb 2024 18:26:34</t>
  </si>
  <si>
    <t>S220.Furnace.TEOS.小PM(9um).9.LP-T1.10</t>
  </si>
  <si>
    <t>29 Feb 2024 03:17:12</t>
  </si>
  <si>
    <t>29 Feb 2024 14:00:24</t>
  </si>
  <si>
    <t>S220.Furnace.N+預置.大PM.28.F25.9</t>
  </si>
  <si>
    <t>28 Feb 2024 14:02:36</t>
  </si>
  <si>
    <t>28 Feb 2024 14:16:17</t>
  </si>
  <si>
    <t>S220.Furnace.快速回火.4PM.8.RTP-4.2</t>
  </si>
  <si>
    <t>28 Feb 2024 11:54:10</t>
  </si>
  <si>
    <t>28 Feb 2024 13:58:20</t>
  </si>
  <si>
    <t>S220.Furnace.快速回火.22PM.6.RTP-2.3</t>
  </si>
  <si>
    <t>28 Feb 2024 03:27:06</t>
  </si>
  <si>
    <t>28 Feb 2024 16:12:50</t>
  </si>
  <si>
    <t>S220.Furnace.TEOS.2PM.32.LP-T5.2</t>
  </si>
  <si>
    <t>27 Feb 2024 21:30:59</t>
  </si>
  <si>
    <t>27 Feb 2024 22:07:55</t>
  </si>
  <si>
    <t>S220.Furnace.快速回火.17PM.6.RTP-1.2</t>
  </si>
  <si>
    <t>27 Feb 2024 16:57:04</t>
  </si>
  <si>
    <t>27 Feb 2024 17:13:11</t>
  </si>
  <si>
    <t>S220.Furnace.快速回火.25PM.8.RTP-3.5</t>
  </si>
  <si>
    <t>27 Feb 2024 13:35:49</t>
  </si>
  <si>
    <t>27 Feb 2024 14:08:48</t>
  </si>
  <si>
    <t>S220.Furnace.撕膠.每月保養.1.RIP.68</t>
  </si>
  <si>
    <t>27 Feb 2024 10:18:19</t>
  </si>
  <si>
    <t>27 Feb 2024 11:21:02</t>
  </si>
  <si>
    <t>S220.Furnace.貼膠.每月保養.1.PASTE-3.104</t>
  </si>
  <si>
    <t>27 Feb 2024 09:01:03</t>
  </si>
  <si>
    <t>27 Feb 2024 14:08:37</t>
  </si>
  <si>
    <t>S220.Furnace.GRIND.GRD每月保養.4.GRD-3.94</t>
  </si>
  <si>
    <t>27 Feb 2024 07:59:50</t>
  </si>
  <si>
    <t>27 Feb 2024 09:40:58</t>
  </si>
  <si>
    <t>S220.Furnace.井區擴散.OXIDE FURNACE WAFER TRANSFER CHECK.5.F42.9</t>
  </si>
  <si>
    <t>27 Feb 2024 03:32:01</t>
  </si>
  <si>
    <t>27 Feb 2024 19:39:17</t>
  </si>
  <si>
    <t>S220.Furnace.Poly.5PM.23.LP-P4.1</t>
  </si>
  <si>
    <t>26 Feb 2024 08:07:08</t>
  </si>
  <si>
    <t>26 Feb 2024 15:27:35</t>
  </si>
  <si>
    <t>S220.Furnace.Poly.小PM.9.LP-P6.9</t>
  </si>
  <si>
    <t>26 Feb 2024 04:10:48</t>
  </si>
  <si>
    <t>26 Feb 2024 20:26:37</t>
  </si>
  <si>
    <t>S220.Furnace.SiN.Thick_4PM.40.LP-N7.1</t>
  </si>
  <si>
    <t>25 Feb 2024 10:48:26</t>
  </si>
  <si>
    <t>25 Feb 2024 11:37:17</t>
  </si>
  <si>
    <t>S220.Furnace.快速回火.21PM.6.RTP-2.3</t>
  </si>
  <si>
    <t>25 Feb 2024 08:50:55</t>
  </si>
  <si>
    <t>25 Feb 2024 10:01:56</t>
  </si>
  <si>
    <t>S220.Furnace.Wsix.LOADLOCK.11.WSIX-1A.47</t>
  </si>
  <si>
    <t>23 Feb 2024 10:29:21</t>
  </si>
  <si>
    <t>23 Feb 2024 20:20:15</t>
  </si>
  <si>
    <t>S220.Furnace.SiN.Thin_小PM_150.31.LP-N6.2</t>
  </si>
  <si>
    <t>23 Feb 2024 09:56:58</t>
  </si>
  <si>
    <t>23 Feb 2024 10:17:56</t>
  </si>
  <si>
    <t>S220.Furnace.量測厚度.EM每週保養.1.EM-4.202</t>
  </si>
  <si>
    <t>23 Feb 2024 09:37:53</t>
  </si>
  <si>
    <t>23 Feb 2024 09:52:03</t>
  </si>
  <si>
    <t>S220.Furnace.量測厚度.EM每週保養.1.EM-5.202</t>
  </si>
  <si>
    <t>23 Feb 2024 09:36:58</t>
  </si>
  <si>
    <t>23 Feb 2024 09:51:48</t>
  </si>
  <si>
    <t>S220.Furnace.量測厚度.EM每週保養.1.EM-6.204</t>
  </si>
  <si>
    <t>23 Feb 2024 09:08:39</t>
  </si>
  <si>
    <t>23 Feb 2024 11:03:02</t>
  </si>
  <si>
    <t>S220.Furnace.PLUG回火.OXIDE FURNACE WAFER TRANSFER CHECK.5.F41.11</t>
  </si>
  <si>
    <t>23 Feb 2024 04:02:44</t>
  </si>
  <si>
    <t>23 Feb 2024 14:46:33</t>
  </si>
  <si>
    <t>S220.Furnace.爐管烘烤.大PM.14.F44.2</t>
  </si>
  <si>
    <t>22 Feb 2024 10:06:24</t>
  </si>
  <si>
    <t>22 Feb 2024 10:58:23</t>
  </si>
  <si>
    <t>S220.Furnace.Wsix.LOADLOCK.11.WSIX-2D.47</t>
  </si>
  <si>
    <t>22 Feb 2024 10:06:15</t>
  </si>
  <si>
    <t>22 Feb 2024 10:58:07</t>
  </si>
  <si>
    <t>S220.Furnace.Wsix.LOADLOCK.11.WSIX-2C.48</t>
  </si>
  <si>
    <t>22 Feb 2024 10:06:06</t>
  </si>
  <si>
    <t>22 Feb 2024 10:57:53</t>
  </si>
  <si>
    <t>S220.Furnace.Wsix.LOADLOCK.11.WSIX-2B.46</t>
  </si>
  <si>
    <t>22 Feb 2024 10:05:56</t>
  </si>
  <si>
    <t>22 Feb 2024 10:57:08</t>
  </si>
  <si>
    <t>S220.Furnace.Wsix.LOADLOCK.11.WSIX-2A.46</t>
  </si>
  <si>
    <t>22 Feb 2024 09:48:03</t>
  </si>
  <si>
    <t>22 Feb 2024 14:02:34</t>
  </si>
  <si>
    <t>S220.Furnace.井區擴散.OXIDE FURNACE WAFER TRANSFER CHECK.5.F05.8</t>
  </si>
  <si>
    <t>22 Feb 2024 09:43:37</t>
  </si>
  <si>
    <t>22 Feb 2024 10:11:37</t>
  </si>
  <si>
    <t>S220.Furnace.快速回火.16PM.6.RTP-1.2</t>
  </si>
  <si>
    <t>22 Feb 2024 09:40:50</t>
  </si>
  <si>
    <t>22 Feb 2024 20:29:34</t>
  </si>
  <si>
    <t>S220.Furnace.SiN.Thick 小 PM(80).8.LP-N5.5</t>
  </si>
  <si>
    <t>22 Feb 2024 05:57:33</t>
  </si>
  <si>
    <t>22 Feb 2024 06:04:53</t>
  </si>
  <si>
    <t>S220.Furnace.快速回火.24PM.6.RTP-3.3</t>
  </si>
  <si>
    <t>22 Feb 2024 05:33:01</t>
  </si>
  <si>
    <t>22 Feb 2024 16:27:54</t>
  </si>
  <si>
    <t>S220.Furnace.TEOS.2PM.32.LP-T3.2</t>
  </si>
  <si>
    <t>21 Feb 2024 19:27:27</t>
  </si>
  <si>
    <t>21 Feb 2024 20:14:05</t>
  </si>
  <si>
    <t>S220.Furnace.快速回火.3PM.8.RTP-4.2</t>
  </si>
  <si>
    <t>21 Feb 2024 09:16:00</t>
  </si>
  <si>
    <t>21 Feb 2024 15:09:32</t>
  </si>
  <si>
    <t>S220.Furnace.墊層氧化.OXIDE FURNACE WAFER TRANSFER CHECK.5.F17.10</t>
  </si>
  <si>
    <t>21 Feb 2024 09:06:22</t>
  </si>
  <si>
    <t>21 Feb 2024 11:14:15</t>
  </si>
  <si>
    <t>S220.Furnace.PLUG回火.OXIDE FURNACE WAFER TRANSFER CHECK.5.F38.9</t>
  </si>
  <si>
    <t>21 Feb 2024 06:51:58</t>
  </si>
  <si>
    <t>21 Feb 2024 19:31:51</t>
  </si>
  <si>
    <t>S220.Furnace.SiN.Thick_2PM.30.LP-N4.2</t>
  </si>
  <si>
    <t>20 Feb 2024 08:14:28</t>
  </si>
  <si>
    <t>20 Feb 2024 17:43:25</t>
  </si>
  <si>
    <t>S220.Furnace.Poly.小PM.9.LP-P3.9</t>
  </si>
  <si>
    <t>20 Feb 2024 04:40:38</t>
  </si>
  <si>
    <t>20 Feb 2024 16:41:11</t>
  </si>
  <si>
    <t>S220.Furnace.TEOS.1PM.34.LP-T6.2</t>
  </si>
  <si>
    <t>19 Feb 2024 20:10:40</t>
  </si>
  <si>
    <t>19 Feb 2024 20:34:02</t>
  </si>
  <si>
    <t>S220.Furnace.快速回火.20PM.6.RTP-2.3</t>
  </si>
  <si>
    <t>19 Feb 2024 11:03:05</t>
  </si>
  <si>
    <t>19 Feb 2024 11:20:10</t>
  </si>
  <si>
    <t>S220.Furnace.研磨厚度量測.MPM.1.ADE.8</t>
  </si>
  <si>
    <t>19 Feb 2024 11:02:56</t>
  </si>
  <si>
    <t>19 Feb 2024 11:24:17</t>
  </si>
  <si>
    <t>S220.Furnace.貼膠.每月保養.1.PASTE-2.69</t>
  </si>
  <si>
    <t>19 Feb 2024 10:35:57</t>
  </si>
  <si>
    <t>19 Feb 2024 11:00:23</t>
  </si>
  <si>
    <t>S220.Furnace.osc-2.每月保養.1.OSC-2.58</t>
  </si>
  <si>
    <t>19 Feb 2024 09:05:18</t>
  </si>
  <si>
    <t>19 Feb 2024 13:24:15</t>
  </si>
  <si>
    <t>S220.Furnace.GRIND.GRD每月保養.4.GRD-2.97</t>
  </si>
  <si>
    <t>19 Feb 2024 08:16:11</t>
  </si>
  <si>
    <t>19 Feb 2024 11:20:23</t>
  </si>
  <si>
    <t>S220.Furnace.S/D氧化.OXIDE FURNACE WAFER TRANSFER CHECK.5.F33.10</t>
  </si>
  <si>
    <t>19 Feb 2024 03:20:25</t>
  </si>
  <si>
    <t>19 Feb 2024 19:40:16</t>
  </si>
  <si>
    <t>S220.Furnace.Poly.5PM.23.LP-P1.2</t>
  </si>
  <si>
    <t>18 Feb 2024 14:13:58</t>
  </si>
  <si>
    <t>18 Feb 2024 20:56:27</t>
  </si>
  <si>
    <t>S220.Furnace.Poly.小PM.9.LP-P2.12</t>
  </si>
  <si>
    <t>17 Feb 2024 10:09:16</t>
  </si>
  <si>
    <t>17 Feb 2024 10:36:10</t>
  </si>
  <si>
    <t>S220.Furnace.快速回火.23PM.6.RTP-3.3</t>
  </si>
  <si>
    <t>17 Feb 2024 01:37:24</t>
  </si>
  <si>
    <t>17 Feb 2024 01:48:53</t>
  </si>
  <si>
    <t>S220.Furnace.快速回火.15PM.6.RTP-1.2</t>
  </si>
  <si>
    <t>16 Feb 2024 13:16:49</t>
  </si>
  <si>
    <t>16 Feb 2024 13:30:01</t>
  </si>
  <si>
    <t>S220.Furnace.快速回火.2PM.8.RTP-4.2</t>
  </si>
  <si>
    <t>16 Feb 2024 10:16:22</t>
  </si>
  <si>
    <t>16 Feb 2024 19:16:59</t>
  </si>
  <si>
    <t>S220.Furnace.TEOS.小PM(9um).9.LP-T4.8</t>
  </si>
  <si>
    <t>16 Feb 2024 06:49:32</t>
  </si>
  <si>
    <t>16 Feb 2024 20:34:47</t>
  </si>
  <si>
    <t>S220.Furnace.Poly.2PM.20.LP-P6.2</t>
  </si>
  <si>
    <t>16 Feb 2024 03:40:29</t>
  </si>
  <si>
    <t>16 Feb 2024 16:42:45</t>
  </si>
  <si>
    <t>S220.Furnace.SiN.Thick_3PM.30.LP-N3.2</t>
  </si>
  <si>
    <t>15 Feb 2024 10:22:50</t>
  </si>
  <si>
    <t>15 Feb 2024 11:02:35</t>
  </si>
  <si>
    <t>S220.Furnace.PACKAGE-2.MPM.2.PACKAGE-2.4</t>
  </si>
  <si>
    <t>15 Feb 2024 10:20:36</t>
  </si>
  <si>
    <t>15 Feb 2024 11:02:12</t>
  </si>
  <si>
    <t>S220.Furnace.量測厚度.EM 每月保養.1.EM-4.64</t>
  </si>
  <si>
    <t>15 Feb 2024 10:15:48</t>
  </si>
  <si>
    <t>15 Feb 2024 10:48:32</t>
  </si>
  <si>
    <t>S220.Furnace.量測厚度.EM 每月保養.1.EM-5.54</t>
  </si>
  <si>
    <t>15 Feb 2024 10:14:25</t>
  </si>
  <si>
    <t>15 Feb 2024 23:01:12</t>
  </si>
  <si>
    <t>S220.Furnace.TEOS.1PM.34.LP-T1.4</t>
  </si>
  <si>
    <t>PTC unsatble , 降溫 BPM</t>
  </si>
  <si>
    <t>15 Feb 2024 09:39:27</t>
  </si>
  <si>
    <t>15 Feb 2024 10:14:29</t>
  </si>
  <si>
    <t>S220.Furnace.量測厚度.EM 每月保養.1.EM-6.52</t>
  </si>
  <si>
    <t>15 Feb 2024 06:13:07</t>
  </si>
  <si>
    <t>15 Feb 2024 19:16:21</t>
  </si>
  <si>
    <t>S220.Furnace.TEOS.3PM.34.LP-T2.2</t>
  </si>
  <si>
    <t>14 Feb 2024 13:36:03</t>
  </si>
  <si>
    <t>14 Feb 2024 14:18:06</t>
  </si>
  <si>
    <t>S220.Furnace.OSC-1.每月保養.3.OSC-1.88</t>
  </si>
  <si>
    <t>14 Feb 2024 13:35:56</t>
  </si>
  <si>
    <t>14 Feb 2024 19:02:35</t>
  </si>
  <si>
    <t>S220.Furnace.TEOS.小PM(9um).9.LP-T1.9</t>
  </si>
  <si>
    <t>PTC ISSUE , 提前 SPM</t>
  </si>
  <si>
    <t>14 Feb 2024 09:25:06</t>
  </si>
  <si>
    <t>14 Feb 2024 09:51:47</t>
  </si>
  <si>
    <t>S220.Furnace.快速回火.19PM.6.RTP-2.3</t>
  </si>
  <si>
    <t>14 Feb 2024 08:47:27</t>
  </si>
  <si>
    <t>14 Feb 2024 15:55:34</t>
  </si>
  <si>
    <t>S220.Furnace.Poly.小PM.9.LP-P4.12</t>
  </si>
  <si>
    <t>14 Feb 2024 08:40:23</t>
  </si>
  <si>
    <t>14 Feb 2024 16:18:29</t>
  </si>
  <si>
    <t>S220.Furnace.TEOS.小PM(18um).7.LP-T8.7</t>
  </si>
  <si>
    <t>13 Feb 2024 06:40:33</t>
  </si>
  <si>
    <t>13 Feb 2024 16:05:52</t>
  </si>
  <si>
    <t>S220.Furnace.TEOS.1PM.34.LP-T1.3</t>
  </si>
  <si>
    <t>08 Feb 2024 07:25:17</t>
  </si>
  <si>
    <t>08 Feb 2024 14:54:15</t>
  </si>
  <si>
    <t>S220.Furnace.SiN.Thick 小 PM(80).8.LP-N7.5</t>
  </si>
  <si>
    <t>07 Feb 2024 18:24:23</t>
  </si>
  <si>
    <t>07 Feb 2024 19:16:56</t>
  </si>
  <si>
    <t>S220.Furnace.快速回火.22PM.6.RTP-3.3</t>
  </si>
  <si>
    <t>07 Feb 2024 13:18:01</t>
  </si>
  <si>
    <t>07 Feb 2024 15:36:55</t>
  </si>
  <si>
    <t>S220.Furnace.Wsix.LOADLOCK.11.WSIX-1D.48</t>
  </si>
  <si>
    <t>07 Feb 2024 13:17:52</t>
  </si>
  <si>
    <t>07 Feb 2024 15:36:25</t>
  </si>
  <si>
    <t>S220.Furnace.Wsix.LOADLOCK.11.WSIX-1C.48</t>
  </si>
  <si>
    <t>07 Feb 2024 13:17:44</t>
  </si>
  <si>
    <t>07 Feb 2024 15:35:55</t>
  </si>
  <si>
    <t>S220.Furnace.Wsix.LOADLOCK.11.WSIX-1B.49</t>
  </si>
  <si>
    <t>07 Feb 2024 10:53:32</t>
  </si>
  <si>
    <t>07 Feb 2024 11:09:05</t>
  </si>
  <si>
    <t>S220.Furnace.研磨厚度量測.MPM.1.ADE.7</t>
  </si>
  <si>
    <t>07 Feb 2024 10:19:24</t>
  </si>
  <si>
    <t>07 Feb 2024 10:35:07</t>
  </si>
  <si>
    <t>S220.Furnace.量測厚度.EM每週保養.1.EM-5.201</t>
  </si>
  <si>
    <t>07 Feb 2024 10:19:00</t>
  </si>
  <si>
    <t>07 Feb 2024 10:34:33</t>
  </si>
  <si>
    <t>S220.Furnace.量測厚度.EM每週保養.1.EM-4.201</t>
  </si>
  <si>
    <t>07 Feb 2024 10:00:21</t>
  </si>
  <si>
    <t>07 Feb 2024 14:27:23</t>
  </si>
  <si>
    <t>S220.Furnace.WAFER TRANSFER.PM.4.SORT-W2.43</t>
  </si>
  <si>
    <t>07 Feb 2024 10:00:08</t>
  </si>
  <si>
    <t>07 Feb 2024 12:33:08</t>
  </si>
  <si>
    <t>S220.Furnace.WAFER TRANSFER.PM.4.SORT-W1.132</t>
  </si>
  <si>
    <t>07 Feb 2024 09:59:56</t>
  </si>
  <si>
    <t>07 Feb 2024 12:32:20</t>
  </si>
  <si>
    <t>S220.Furnace.WAFER TRANSFER.PM.4.SORT-K1.131</t>
  </si>
  <si>
    <t>07 Feb 2024 09:59:43</t>
  </si>
  <si>
    <t>07 Feb 2024 12:16:47</t>
  </si>
  <si>
    <t>S220.Furnace.WAFER TRANSFER.PM.4.SORT-J1.113</t>
  </si>
  <si>
    <t>07 Feb 2024 09:56:19</t>
  </si>
  <si>
    <t>07 Feb 2024 10:17:34</t>
  </si>
  <si>
    <t>S220.Furnace.量測厚度.EM每週保養.1.EM-6.203</t>
  </si>
  <si>
    <t>07 Feb 2024 09:11:02</t>
  </si>
  <si>
    <t>07 Feb 2024 10:12:43</t>
  </si>
  <si>
    <t>S220.Furnace.WAFER TRANSFER.PM.4.SORT-I2.100</t>
  </si>
  <si>
    <t>07 Feb 2024 09:10:39</t>
  </si>
  <si>
    <t>07 Feb 2024 10:12:19</t>
  </si>
  <si>
    <t>S220.Furnace.WAFER TRANSFER.PM.4.SORT-I1.106</t>
  </si>
  <si>
    <t>07 Feb 2024 09:07:00</t>
  </si>
  <si>
    <t>07 Feb 2024 10:08:55</t>
  </si>
  <si>
    <t>S220.Furnace.WAFER TRANSFER.PM.4.SORT-D2.131</t>
  </si>
  <si>
    <t>07 Feb 2024 09:06:44</t>
  </si>
  <si>
    <t>07 Feb 2024 10:08:19</t>
  </si>
  <si>
    <t>S220.Furnace.WAFER TRANSFER.PM.4.SORT-D1.131</t>
  </si>
  <si>
    <t>07 Feb 2024 06:32:31</t>
  </si>
  <si>
    <t>07 Feb 2024 22:08:09</t>
  </si>
  <si>
    <t>S220.Furnace.Wsix.WSIX 大PM.20.WSIX-1A.3</t>
  </si>
  <si>
    <t>07 Feb 2024 03:42:47</t>
  </si>
  <si>
    <t>07 Feb 2024 15:46:51</t>
  </si>
  <si>
    <t>S220.Furnace.PLUG回火.大PM.18.F36.2</t>
  </si>
  <si>
    <t>06 Feb 2024 08:19:44</t>
  </si>
  <si>
    <t>06 Feb 2024 16:15:10</t>
  </si>
  <si>
    <t>S220.Furnace.SiN.Thick 小 PM(40).7.LP-N5.6</t>
  </si>
  <si>
    <t>05 Feb 2024 23:55:43</t>
  </si>
  <si>
    <t>06 Feb 2024 00:06:57</t>
  </si>
  <si>
    <t>S220.Furnace.快速回火.1PM.8.RTP-4.3</t>
  </si>
  <si>
    <t>05 Feb 2024 08:31:55</t>
  </si>
  <si>
    <t>05 Feb 2024 16:29:19</t>
  </si>
  <si>
    <t>S220.Furnace.SiN.Thick 小 PM(80).8.LP-N4.6</t>
  </si>
  <si>
    <t>05 Feb 2024 03:55:24</t>
  </si>
  <si>
    <t>05 Feb 2024 18:56:04</t>
  </si>
  <si>
    <t>S220.Furnace.Poly.3PM.19.LP-P3.2</t>
  </si>
  <si>
    <t>04 Feb 2024 23:22:21</t>
  </si>
  <si>
    <t>04 Feb 2024 23:45:34</t>
  </si>
  <si>
    <t>S220.Furnace.快速回火.14PM.6.RTP-1.2</t>
  </si>
  <si>
    <t>04 Feb 2024 14:21:43</t>
  </si>
  <si>
    <t>06 Feb 2024 16:09:29</t>
  </si>
  <si>
    <t>S220.Furnace.井區擴散.大PM.22.F11.2</t>
  </si>
  <si>
    <t>02 Feb 2024 16:16:44</t>
  </si>
  <si>
    <t>02 Feb 2024 17:27:08</t>
  </si>
  <si>
    <t>S220.Furnace.快速回火.18PM.6.RTP-2.3</t>
  </si>
  <si>
    <t>02 Feb 2024 11:18:33</t>
  </si>
  <si>
    <t>02 Feb 2024 20:04:59</t>
  </si>
  <si>
    <t>S220.Furnace.Poly.小PM.9.LP-P1.9</t>
  </si>
  <si>
    <t>02 Feb 2024 10:15:41</t>
  </si>
  <si>
    <t>02 Feb 2024 10:41:48</t>
  </si>
  <si>
    <t>S220.Furnace.撕膠.每月保養.1.RIP.67</t>
  </si>
  <si>
    <t>02 Feb 2024 09:20:12</t>
  </si>
  <si>
    <t>02 Feb 2024 10:53:56</t>
  </si>
  <si>
    <t>S220.Furnace.GRIND.GRD每月保養.4.GRD-3.93</t>
  </si>
  <si>
    <t>02 Feb 2024 08:59:44</t>
  </si>
  <si>
    <t>02 Feb 2024 09:30:02</t>
  </si>
  <si>
    <t>S220.Furnace.貼膠.每月保養.1.PASTE-3.103</t>
  </si>
  <si>
    <t>02 Feb 2024 08:28:36</t>
  </si>
  <si>
    <t>02 Feb 2024 16:38:03</t>
  </si>
  <si>
    <t>S220.Furnace.SiN.Thick 小 PM(80).8.LP-N3.6</t>
  </si>
  <si>
    <t>01 Feb 2024 21:04:55</t>
  </si>
  <si>
    <t>01 Feb 2024 21:17:15</t>
  </si>
  <si>
    <t>S220.Furnace.快速回火.17PM.6.RTP-2.3</t>
  </si>
  <si>
    <t>01 Feb 2024 20:36:37</t>
  </si>
  <si>
    <t>01 Feb 2024 20:56:28</t>
  </si>
  <si>
    <t>S220.Furnace.快速回火.21PM.6.RTP-3.3</t>
  </si>
  <si>
    <t>01 Feb 2024 07:55:13</t>
  </si>
  <si>
    <t>01 Feb 2024 16:05:07</t>
  </si>
  <si>
    <t>S220.Furnace.TEOS.小PM(18um).7.LP-T3.5</t>
  </si>
  <si>
    <t>01 Feb 2024 04:19:06</t>
  </si>
  <si>
    <t>01 Feb 2024 19:56:16</t>
  </si>
  <si>
    <t>S220.Furnace.Poly.5PM.23.LP-P2.1</t>
  </si>
  <si>
    <t>31 Jan 2024 09:33:15</t>
  </si>
  <si>
    <t>31 Jan 2024 13:40:48</t>
  </si>
  <si>
    <t>S220.Furnace.SiN.Thin_4PM.34.LP-N2.2</t>
  </si>
  <si>
    <t>本次PM同上次, release run count</t>
  </si>
  <si>
    <t>31 Jan 2024 08:45:32</t>
  </si>
  <si>
    <t>31 Jan 2024 08:54:17</t>
  </si>
  <si>
    <t>S220.Furnace.量測厚度.EM每週保養.1.EM-5.200</t>
  </si>
  <si>
    <t>31 Jan 2024 08:09:47</t>
  </si>
  <si>
    <t>31 Jan 2024 16:15:56</t>
  </si>
  <si>
    <t>S220.Furnace.SiN.Thick 小 PM(40).7.LP-N1.3</t>
  </si>
  <si>
    <t>31 Jan 2024 03:21:27</t>
  </si>
  <si>
    <t>31 Jan 2024 19:31:06</t>
  </si>
  <si>
    <t>S220.Furnace.Poly.4PM.19.LP-P4.3</t>
  </si>
  <si>
    <t>31 Jan 2024 01:48:01</t>
  </si>
  <si>
    <t>31 Jan 2024 04:27:34</t>
  </si>
  <si>
    <t>S220.Furnace.閘層氧化.OXIDE FURNACE WAFER TRANSFER CHECK.5.F06.10</t>
  </si>
  <si>
    <t>30 Jan 2024 12:43:04</t>
  </si>
  <si>
    <t>30 Jan 2024 13:32:35</t>
  </si>
  <si>
    <t>S220.Furnace.快速回火.13PM.6.RTP-1.2</t>
  </si>
  <si>
    <t>30 Jan 2024 10:43:21</t>
  </si>
  <si>
    <t>30 Jan 2024 10:56:15</t>
  </si>
  <si>
    <t>S220.Furnace.量測厚度.EM每週保養.1.EM-4.200</t>
  </si>
  <si>
    <t>30 Jan 2024 10:34:22</t>
  </si>
  <si>
    <t>30 Jan 2024 10:45:37</t>
  </si>
  <si>
    <t>S220.Furnace.量測厚度.EM每週保養.1.EM-6.202</t>
  </si>
  <si>
    <t>30 Jan 2024 08:26:41</t>
  </si>
  <si>
    <t>30 Jan 2024 17:08:50</t>
  </si>
  <si>
    <t>S220.Furnace.TEOS.小PM(18um).7.LP-T6.3</t>
  </si>
  <si>
    <t>30 Jan 2024 03:33:34</t>
  </si>
  <si>
    <t>30 Jan 2024 23:29:37</t>
  </si>
  <si>
    <t>S220.Furnace.SiN.Thin_4PM.34.LP-N2.1</t>
  </si>
  <si>
    <t>29 Jan 2024 07:41:39</t>
  </si>
  <si>
    <t>29 Jan 2024 15:32:01</t>
  </si>
  <si>
    <t>S220.Furnace.TEOS.小PM(9um).9.LP-T1.8</t>
  </si>
  <si>
    <t>29 Jan 2024 07:19:19</t>
  </si>
  <si>
    <t>29 Jan 2024 17:57:24</t>
  </si>
  <si>
    <t>S220.Furnace.Poly.小PM.9.LP-P6.8</t>
  </si>
  <si>
    <t>29 Jan 2024 03:50:59</t>
  </si>
  <si>
    <t>29 Jan 2024 15:04:57</t>
  </si>
  <si>
    <t>S220.Furnace.場氧化.大PM.20.F15.2</t>
  </si>
  <si>
    <t>28 Jan 2024 07:00:03</t>
  </si>
  <si>
    <t>28 Jan 2024 07:23:25</t>
  </si>
  <si>
    <t>S220.Furnace.快速回火.25PM.8.RTP-4.3</t>
  </si>
  <si>
    <t>28 Jan 2024 04:57:48</t>
  </si>
  <si>
    <t>28 Jan 2024 05:21:02</t>
  </si>
  <si>
    <t>S220.Furnace.快速回火.16PM.6.RTP-2.2</t>
  </si>
  <si>
    <t>27 Jan 2024 23:18:02</t>
  </si>
  <si>
    <t>27 Jan 2024 23:40:55</t>
  </si>
  <si>
    <t>S220.Furnace.快速回火.20PM.6.RTP-3.2</t>
  </si>
  <si>
    <t>26 Jan 2024 14:13:04</t>
  </si>
  <si>
    <t>26 Jan 2024 15:47:03</t>
  </si>
  <si>
    <t>S220.Furnace.Wsix.LOADLOCK.11.WSIX-2D.46</t>
  </si>
  <si>
    <t>26 Jan 2024 14:12:52</t>
  </si>
  <si>
    <t>26 Jan 2024 15:46:51</t>
  </si>
  <si>
    <t>S220.Furnace.Wsix.LOADLOCK.11.WSIX-2C.47</t>
  </si>
  <si>
    <t>26 Jan 2024 14:12:40</t>
  </si>
  <si>
    <t>26 Jan 2024 15:46:36</t>
  </si>
  <si>
    <t>S220.Furnace.Wsix.LOADLOCK.11.WSIX-2A.45</t>
  </si>
  <si>
    <t>26 Jan 2024 07:49:23</t>
  </si>
  <si>
    <t>26 Jan 2024 16:14:48</t>
  </si>
  <si>
    <t>S220.Furnace.TEOS.小PM(9um).9.LP-T8.6</t>
  </si>
  <si>
    <t>26 Jan 2024 06:42:19</t>
  </si>
  <si>
    <t>26 Jan 2024 21:08:53</t>
  </si>
  <si>
    <t>S220.Furnace.Wsix.WSIX 大PM.20.WSIX-2B.2</t>
  </si>
  <si>
    <t>25 Jan 2024 13:13:07</t>
  </si>
  <si>
    <t>25 Jan 2024 15:58:21</t>
  </si>
  <si>
    <t>S220.Furnace.Wsix.LOADLOCK.11.WSIX-1C.47</t>
  </si>
  <si>
    <t>25 Jan 2024 13:12:59</t>
  </si>
  <si>
    <t>25 Jan 2024 15:58:13</t>
  </si>
  <si>
    <t>S220.Furnace.Wsix.LOADLOCK.11.WSIX-1B.48</t>
  </si>
  <si>
    <t>25 Jan 2024 13:12:52</t>
  </si>
  <si>
    <t>25 Jan 2024 15:58:04</t>
  </si>
  <si>
    <t>S220.Furnace.Wsix.LOADLOCK.11.WSIX-1A.46</t>
  </si>
  <si>
    <t>25 Jan 2024 07:33:53</t>
  </si>
  <si>
    <t>25 Jan 2024 16:01:31</t>
  </si>
  <si>
    <t>S220.Furnace.TEOS.小PM(18um).7.LP-T2.5</t>
  </si>
  <si>
    <t>25 Jan 2024 06:39:39</t>
  </si>
  <si>
    <t>25 Jan 2024 21:26:22</t>
  </si>
  <si>
    <t>S220.Furnace.Wsix.WSIX 大PM.20.WSIX-1D.3</t>
  </si>
  <si>
    <t>25 Jan 2024 02:46:53</t>
  </si>
  <si>
    <t>25 Jan 2024 03:13:20</t>
  </si>
  <si>
    <t>S220.Furnace.快速回火.12PM.6.RTP-1.2</t>
  </si>
  <si>
    <t>24 Jan 2024 16:29:10</t>
  </si>
  <si>
    <t>24 Jan 2024 17:10:19</t>
  </si>
  <si>
    <t>S220.Furnace.N+預置.更換POCL3 BOTTLE.4.F13.49</t>
  </si>
  <si>
    <t>24 Jan 2024 10:30:39</t>
  </si>
  <si>
    <t>24 Jan 2024 16:14:59</t>
  </si>
  <si>
    <t>S220.Furnace.SiN.Thick 小 PM(40).7.LP-N4.6</t>
  </si>
  <si>
    <t>24 Jan 2024 08:50:42</t>
  </si>
  <si>
    <t>24 Jan 2024 16:16:16</t>
  </si>
  <si>
    <t>S220.Furnace.TEOS.小PM(18um).7.LP-T5.4</t>
  </si>
  <si>
    <t>23 Jan 2024 14:42:17</t>
  </si>
  <si>
    <t>23 Jan 2024 15:02:46</t>
  </si>
  <si>
    <t>S220.Furnace.貼膠.每月保養.1.PASTE-2.68</t>
  </si>
  <si>
    <t>23 Jan 2024 14:42:07</t>
  </si>
  <si>
    <t>23 Jan 2024 15:02:11</t>
  </si>
  <si>
    <t>S220.Furnace.osc-2.每月保養.1.OSC-2.57</t>
  </si>
  <si>
    <t>23 Jan 2024 11:07:00</t>
  </si>
  <si>
    <t>23 Jan 2024 11:19:51</t>
  </si>
  <si>
    <t>S220.Furnace.快速回火.19PM.6.RTP-3.2</t>
  </si>
  <si>
    <t>23 Jan 2024 09:30:10</t>
  </si>
  <si>
    <t>23 Jan 2024 15:40:04</t>
  </si>
  <si>
    <t>S220.Furnace.快速回火.15PM.6.RTP-2.2</t>
  </si>
  <si>
    <t>23 Jan 2024 09:23:27</t>
  </si>
  <si>
    <t>23 Jan 2024 14:37:29</t>
  </si>
  <si>
    <t>S220.Furnace.GRIND.GRD每月保養.4.GRD-2.96</t>
  </si>
  <si>
    <t>23 Jan 2024 09:03:26</t>
  </si>
  <si>
    <t>23 Jan 2024 15:19:07</t>
  </si>
  <si>
    <t>S220.Furnace.SiN.Thick 小 PM(40).7.LP-N3.7</t>
  </si>
  <si>
    <t>23 Jan 2024 03:51:19</t>
  </si>
  <si>
    <t>23 Jan 2024 18:34:37</t>
  </si>
  <si>
    <t>S220.Furnace.TEOS.2PM.32.LP-T4.2</t>
  </si>
  <si>
    <t>22 Jan 2024 14:34:18</t>
  </si>
  <si>
    <t>22 Jan 2024 15:33:27</t>
  </si>
  <si>
    <t>S220.Furnace.量測厚度.EM 每月保養.1.EM-4.63</t>
  </si>
  <si>
    <t>22 Jan 2024 10:51:03</t>
  </si>
  <si>
    <t>22 Jan 2024 11:19:00</t>
  </si>
  <si>
    <t>S220.Furnace.量測厚度.EM 每月保養.1.EM-6.51</t>
  </si>
  <si>
    <t>22 Jan 2024 10:10:24</t>
  </si>
  <si>
    <t>22 Jan 2024 10:35:43</t>
  </si>
  <si>
    <t>S220.Furnace.量測厚度.EM 每月保養.1.EM-5.53</t>
  </si>
  <si>
    <t>22 Jan 2024 09:46:02</t>
  </si>
  <si>
    <t>22 Jan 2024 18:20:31</t>
  </si>
  <si>
    <t>S220.Furnace.Poly.小PM.9.LP-P3.8</t>
  </si>
  <si>
    <t>22 Jan 2024 09:39:52</t>
  </si>
  <si>
    <t>22 Jan 2024 10:23:35</t>
  </si>
  <si>
    <t>S220.Furnace.快速回火.24PM.6.RTP-4.2</t>
  </si>
  <si>
    <t>22 Jan 2024 07:26:47</t>
  </si>
  <si>
    <t>22 Jan 2024 14:37:08</t>
  </si>
  <si>
    <t>S220.Furnace.SiN.Thick 小 PM(40).7.LP-N7.2</t>
  </si>
  <si>
    <t>20 Jan 2024 01:43:03</t>
  </si>
  <si>
    <t>20 Jan 2024 02:53:07</t>
  </si>
  <si>
    <t>S220.Furnace.快速回火.11PM.6.RTP-1.2</t>
  </si>
  <si>
    <t>19 Jan 2024 07:40:14</t>
  </si>
  <si>
    <t>19 Jan 2024 15:40:35</t>
  </si>
  <si>
    <t>S220.Furnace.Poly.小PM.9.LP-P2.11</t>
  </si>
  <si>
    <t>19 Jan 2024 06:02:03</t>
  </si>
  <si>
    <t>19 Jan 2024 06:40:24</t>
  </si>
  <si>
    <t>S220.Furnace.快速回火.14PM.6.RTP-2.2</t>
  </si>
  <si>
    <t>19 Jan 2024 03:54:48</t>
  </si>
  <si>
    <t>19 Jan 2024 22:59:30</t>
  </si>
  <si>
    <t>S220.Furnace.SiN.Thin_4PM.34.LP-N5.1</t>
  </si>
  <si>
    <t>18 Jan 2024 20:05:03</t>
  </si>
  <si>
    <t>18 Jan 2024 20:15:38</t>
  </si>
  <si>
    <t>S220.Furnace.撕膠.PM.2.RIP.2139</t>
  </si>
  <si>
    <t>徐哲軒</t>
  </si>
  <si>
    <t>18 Jan 2024 13:43:09</t>
  </si>
  <si>
    <t>18 Jan 2024 15:03:39</t>
  </si>
  <si>
    <t>S220.Furnace.S/D氧化.OXIDE FURNACE WAFER TRANSFER CHECK.5.F34.10</t>
  </si>
  <si>
    <t>18 Jan 2024 12:58:25</t>
  </si>
  <si>
    <t>18 Jan 2024 14:39:34</t>
  </si>
  <si>
    <t>S220.Furnace.墊層氧化.OXIDE FURNACE WAFER TRANSFER CHECK.5.F17.9</t>
  </si>
  <si>
    <t>18 Jan 2024 08:13:55</t>
  </si>
  <si>
    <t>18 Jan 2024 09:59:42</t>
  </si>
  <si>
    <t>S220.Furnace.閘層氧化.OXIDE FURNACE WAFER TRANSFER CHECK.5.F23.9</t>
  </si>
  <si>
    <t>18 Jan 2024 07:26:40</t>
  </si>
  <si>
    <t>18 Jan 2024 09:20:11</t>
  </si>
  <si>
    <t>S220.Furnace.井區擴散.OXIDE FURNACE WAFER TRANSFER CHECK.5.F09.9</t>
  </si>
  <si>
    <t>17 Jan 2024 09:05:48</t>
  </si>
  <si>
    <t>17 Jan 2024 15:37:50</t>
  </si>
  <si>
    <t>S220.Furnace.TEOS.小PM(9um).9.LP-T1.7</t>
  </si>
  <si>
    <t>17 Jan 2024 08:21:14</t>
  </si>
  <si>
    <t>17 Jan 2024 09:13:59</t>
  </si>
  <si>
    <t>S220.Furnace.快速回火.23PM.6.RTP-4.2</t>
  </si>
  <si>
    <t>17 Jan 2024 03:49:54</t>
  </si>
  <si>
    <t>17 Jan 2024 19:29:24</t>
  </si>
  <si>
    <t>S220.Furnace.Poly.4PM.19.LP-P1.2</t>
  </si>
  <si>
    <t>16 Jan 2024 09:26:31</t>
  </si>
  <si>
    <t>16 Jan 2024 20:42:19</t>
  </si>
  <si>
    <t>S220.Furnace.TEOS.小PM(9um).9.LP-T3.6</t>
  </si>
  <si>
    <t>16 Jan 2024 09:15:39</t>
  </si>
  <si>
    <t>16 Jan 2024 09:58:53</t>
  </si>
  <si>
    <t>S220.Furnace.研磨厚度量測.MPM.1.ADE.6</t>
  </si>
  <si>
    <t>16 Jan 2024 09:15:18</t>
  </si>
  <si>
    <t>16 Jan 2024 12:44:56</t>
  </si>
  <si>
    <t>S220.Furnace.OSC-1.每月保養.3.OSC-1.87</t>
  </si>
  <si>
    <t>16 Jan 2024 09:15:03</t>
  </si>
  <si>
    <t>16 Jan 2024 10:00:53</t>
  </si>
  <si>
    <t>S220.Furnace.PACKAGE-2.MPM.2.PACKAGE-2.3</t>
  </si>
  <si>
    <t>16 Jan 2024 08:08:39</t>
  </si>
  <si>
    <t>16 Jan 2024 15:36:54</t>
  </si>
  <si>
    <t>S220.Furnace.Poly.小PM.9.LP-P4.11</t>
  </si>
  <si>
    <t>15 Jan 2024 15:13:20</t>
  </si>
  <si>
    <t>15 Jan 2024 16:19:24</t>
  </si>
  <si>
    <t>S220.Furnace.GRIND.GRD每月保養.4.GRD-3.92</t>
  </si>
  <si>
    <t>15 Jan 2024 03:51:18</t>
  </si>
  <si>
    <t>15 Jan 2024 19:46:31</t>
  </si>
  <si>
    <t>S220.Furnace.TEOS.1PM.34.LP-T8.2</t>
  </si>
  <si>
    <t>15 Jan 2024 03:50:16</t>
  </si>
  <si>
    <t>15 Jan 2024 20:20:59</t>
  </si>
  <si>
    <t>S220.Furnace.Poly.1PM.25.LP-P6.2</t>
  </si>
  <si>
    <t>14 Jan 2024 23:58:01</t>
  </si>
  <si>
    <t>15 Jan 2024 01:56:12</t>
  </si>
  <si>
    <t>S220.Furnace.快速回火.10PM.6.RTP-1.2</t>
  </si>
  <si>
    <t>14 Jan 2024 23:57:06</t>
  </si>
  <si>
    <t>15 Jan 2024 01:15:24</t>
  </si>
  <si>
    <t>S220.Furnace.快速回火.13PM.6.RTP-2.2</t>
  </si>
  <si>
    <t>14 Jan 2024 08:51:34</t>
  </si>
  <si>
    <t>14 Jan 2024 09:59:26</t>
  </si>
  <si>
    <t>S220.Furnace.量測厚度.EM每週保養.1.EM-6.201</t>
  </si>
  <si>
    <t>14 Jan 2024 08:51:32</t>
  </si>
  <si>
    <t>14 Jan 2024 09:58:44</t>
  </si>
  <si>
    <t>S220.Furnace.量測厚度.EM每週保養.1.EM-5.199</t>
  </si>
  <si>
    <t>14 Jan 2024 08:51:31</t>
  </si>
  <si>
    <t>14 Jan 2024 09:57:54</t>
  </si>
  <si>
    <t>S220.Furnace.量測厚度.EM每週保養.1.EM-4.199</t>
  </si>
  <si>
    <t>14 Jan 2024 05:01:13</t>
  </si>
  <si>
    <t>14 Jan 2024 05:39:41</t>
  </si>
  <si>
    <t>S220.Furnace.快速回火.18PM.6.RTP-3.2</t>
  </si>
  <si>
    <t>12 Jan 2024 09:52:09</t>
  </si>
  <si>
    <t>12 Jan 2024 16:21:34</t>
  </si>
  <si>
    <t>S220.Furnace.TEOS.小PM(9um).9.LP-T2.5</t>
  </si>
  <si>
    <t>11 Jan 2024 09:31:06</t>
  </si>
  <si>
    <t>11 Jan 2024 10:44:29</t>
  </si>
  <si>
    <t>S220.Furnace.Wsix.LOADLOCK.11.WSIX-1D.47</t>
  </si>
  <si>
    <t>11 Jan 2024 09:30:57</t>
  </si>
  <si>
    <t>11 Jan 2024 10:43:42</t>
  </si>
  <si>
    <t>S220.Furnace.Wsix.LOADLOCK.11.WSIX-1C.46</t>
  </si>
  <si>
    <t>11 Jan 2024 09:30:47</t>
  </si>
  <si>
    <t>11 Jan 2024 10:42:52</t>
  </si>
  <si>
    <t>S220.Furnace.Wsix.LOADLOCK.11.WSIX-1B.47</t>
  </si>
  <si>
    <t>11 Jan 2024 09:30:38</t>
  </si>
  <si>
    <t>11 Jan 2024 10:41:33</t>
  </si>
  <si>
    <t>S220.Furnace.Wsix.LOADLOCK.11.WSIX-1A.45</t>
  </si>
  <si>
    <t>11 Jan 2024 07:57:03</t>
  </si>
  <si>
    <t>11 Jan 2024 10:02:45</t>
  </si>
  <si>
    <t>S220.Furnace.閘層氧化.OXIDE FURNACE WAFER TRANSFER CHECK.5.F18.9</t>
  </si>
  <si>
    <t>11 Jan 2024 07:28:35</t>
  </si>
  <si>
    <t>11 Jan 2024 09:31:34</t>
  </si>
  <si>
    <t>S220.Furnace.S/D氧化.OXIDE FURNACE WAFER TRANSFER CHECK.5.F33.9</t>
  </si>
  <si>
    <t>11 Jan 2024 07:15:32</t>
  </si>
  <si>
    <t>11 Jan 2024 09:31:17</t>
  </si>
  <si>
    <t>S220.Furnace.井區擴散.OXIDE FURNACE WAFER TRANSFER CHECK.5.F08.8</t>
  </si>
  <si>
    <t>09 Jan 2024 18:50:58</t>
  </si>
  <si>
    <t>10 Jan 2024 17:55:00</t>
  </si>
  <si>
    <t>S220.Furnace.SiN.Thick_2PM.30.LP-N3.2</t>
  </si>
  <si>
    <t>ptc up , BPM</t>
  </si>
  <si>
    <t>08 Jan 2024 13:48:29</t>
  </si>
  <si>
    <t>09 Jan 2024 12:57:29</t>
  </si>
  <si>
    <t>S220.Furnace.SiN.Thick_1PM.32.LP-N4.2</t>
  </si>
  <si>
    <t>APM gas pump down</t>
  </si>
  <si>
    <t>08 Jan 2024 13:40:57</t>
  </si>
  <si>
    <t>08 Jan 2024 19:43:36</t>
  </si>
  <si>
    <t>S220.Furnace.Poly.3PM.19.LP-P4.2</t>
  </si>
  <si>
    <t>05 Jan 2024 13:26:37</t>
  </si>
  <si>
    <t>05 Jan 2024 14:31:58</t>
  </si>
  <si>
    <t>S220.Furnace.WAFER TRANSFER.PM.4.SORT-W2.42</t>
  </si>
  <si>
    <t>05 Jan 2024 13:26:21</t>
  </si>
  <si>
    <t>05 Jan 2024 14:29:03</t>
  </si>
  <si>
    <t>S220.Furnace.WAFER TRANSFER.PM.4.SORT-W1.131</t>
  </si>
  <si>
    <t>05 Jan 2024 10:30:49</t>
  </si>
  <si>
    <t>05 Jan 2024 12:45:28</t>
  </si>
  <si>
    <t>S220.Furnace.WAFER TRANSFER.PM.4.SORT-K1.130</t>
  </si>
  <si>
    <t>05 Jan 2024 09:47:23</t>
  </si>
  <si>
    <t>05 Jan 2024 09:57:15</t>
  </si>
  <si>
    <t>S220.Furnace.量測厚度.EM每週保養.1.EM-4.198</t>
  </si>
  <si>
    <t>05 Jan 2024 09:43:38</t>
  </si>
  <si>
    <t>05 Jan 2024 10:54:28</t>
  </si>
  <si>
    <t>S220.Furnace.WAFER TRANSFER.PM.4.SORT-I2.99</t>
  </si>
  <si>
    <t>05 Jan 2024 09:33:05</t>
  </si>
  <si>
    <t>05 Jan 2024 09:52:30</t>
  </si>
  <si>
    <t>S220.Furnace.快速回火.17PM.6.RTP-3.1</t>
  </si>
  <si>
    <t>05 Jan 2024 09:32:55</t>
  </si>
  <si>
    <t>05 Jan 2024 09:57:58</t>
  </si>
  <si>
    <t>S220.Furnace.快速回火.12PM.6.RTP-2.2</t>
  </si>
  <si>
    <t>05 Jan 2024 09:32:44</t>
  </si>
  <si>
    <t>05 Jan 2024 09:55:29</t>
  </si>
  <si>
    <t>S220.Furnace.快速回火.9PM.6.RTP-1.2</t>
  </si>
  <si>
    <t>05 Jan 2024 09:23:39</t>
  </si>
  <si>
    <t>05 Jan 2024 10:27:05</t>
  </si>
  <si>
    <t>S220.Furnace.WAFER TRANSFER.PM.4.SORT-D2.130</t>
  </si>
  <si>
    <t>05 Jan 2024 09:22:54</t>
  </si>
  <si>
    <t>05 Jan 2024 10:26:27</t>
  </si>
  <si>
    <t>S220.Furnace.WAFER TRANSFER.PM.4.SORT-D1.130</t>
  </si>
  <si>
    <t>05 Jan 2024 09:22:31</t>
  </si>
  <si>
    <t>05 Jan 2024 10:25:55</t>
  </si>
  <si>
    <t>S220.Furnace.WAFER TRANSFER.PM.4.SORT-I1.105</t>
  </si>
  <si>
    <t>05 Jan 2024 09:21:57</t>
  </si>
  <si>
    <t>05 Jan 2024 10:25:20</t>
  </si>
  <si>
    <t>S220.Furnace.WAFER TRANSFER.PM.4.SORT-J1.112</t>
  </si>
  <si>
    <t>05 Jan 2024 09:21:23</t>
  </si>
  <si>
    <t>05 Jan 2024 09:42:44</t>
  </si>
  <si>
    <t>S220.Furnace.量測厚度.EM每週保養.1.EM-6.200</t>
  </si>
  <si>
    <t>05 Jan 2024 09:20:46</t>
  </si>
  <si>
    <t>05 Jan 2024 09:42:26</t>
  </si>
  <si>
    <t>S220.Furnace.量測厚度.EM每週保養.1.EM-5.198</t>
  </si>
  <si>
    <t>05 Jan 2024 06:07:22</t>
  </si>
  <si>
    <t>08 Jan 2024 13:23:55</t>
  </si>
  <si>
    <t>S220.Furnace.SiN.Thick_1PM.32.LP-N3.2</t>
  </si>
  <si>
    <t>05 Jan 2024 04:44:34</t>
  </si>
  <si>
    <t>08 Jan 2024 18:50:45</t>
  </si>
  <si>
    <t>S220.Furnace.Poly.2PM.20.LP-P3.2</t>
  </si>
  <si>
    <t>APM heater off</t>
  </si>
  <si>
    <t>05 Jan 2024 03:36:28</t>
  </si>
  <si>
    <t>08 Jan 2024 19:31:35</t>
  </si>
  <si>
    <t>S220.Furnace.Poly.1PM.25.LP-P2.2</t>
  </si>
  <si>
    <t>04 Jan 2024 22:57:02</t>
  </si>
  <si>
    <t>08 Jan 2024 10:25:30</t>
  </si>
  <si>
    <t>S220.Furnace.N+預置.大PM.28.F25.8</t>
  </si>
  <si>
    <t>04 Jan 2024 14:08:24</t>
  </si>
  <si>
    <t>04 Jan 2024 14:45:09</t>
  </si>
  <si>
    <t>S220.Furnace.貼膠.每月保養.1.PASTE-2.67</t>
  </si>
  <si>
    <t>04 Jan 2024 13:52:23</t>
  </si>
  <si>
    <t>04 Jan 2024 14:08:28</t>
  </si>
  <si>
    <t>S220.Furnace.快速回火.20PM.6.RTP-4.3</t>
  </si>
  <si>
    <t>04 Jan 2024 09:04:41</t>
  </si>
  <si>
    <t>04 Jan 2024 14:20:54</t>
  </si>
  <si>
    <t>S220.Furnace.撕膠.每月保養.1.RIP.66</t>
  </si>
  <si>
    <t>04 Jan 2024 09:04:32</t>
  </si>
  <si>
    <t>04 Jan 2024 11:36:06</t>
  </si>
  <si>
    <t>S220.Furnace.貼膠.每月保養.1.PASTE-3.102</t>
  </si>
  <si>
    <t>04 Jan 2024 09:04:23</t>
  </si>
  <si>
    <t>04 Jan 2024 10:57:05</t>
  </si>
  <si>
    <t>S220.Furnace.osc-2.每月保養.1.OSC-2.56</t>
  </si>
  <si>
    <t>04 Jan 2024 09:04:11</t>
  </si>
  <si>
    <t>04 Jan 2024 14:20:29</t>
  </si>
  <si>
    <t>S220.Furnace.GRIND.GRD每月保養.4.GRD-3.91</t>
  </si>
  <si>
    <t>04 Jan 2024 05:32:10</t>
  </si>
  <si>
    <t>04 Jan 2024 19:32:14</t>
  </si>
  <si>
    <t>S220.Furnace.SiN.Thick_2PM.30.LP-N1.1</t>
  </si>
  <si>
    <t>04 Jan 2024 04:00:23</t>
  </si>
  <si>
    <t>04 Jan 2024 19:31:31</t>
  </si>
  <si>
    <t>S220.Furnace.TEOS.3PM.34.LP-T1.3</t>
  </si>
  <si>
    <t>04 Jan 2024 03:43:07</t>
  </si>
  <si>
    <t>04 Jan 2024 15:40:57</t>
  </si>
  <si>
    <t>歲修BPM</t>
  </si>
  <si>
    <t>03 Jan 2024 09:43:02</t>
  </si>
  <si>
    <t>03 Jan 2024 12:51:45</t>
  </si>
  <si>
    <t>S220.Furnace.GRIND.更換WHEEL.49.GRD-2.49</t>
  </si>
  <si>
    <t>03 Jan 2024 09:18:44</t>
  </si>
  <si>
    <t>03 Jan 2024 11:38:10</t>
  </si>
  <si>
    <t>S220.Furnace.TEOS.更換PUMP.1.LP-T6.1</t>
  </si>
  <si>
    <t>03 Jan 2024 09:01:56</t>
  </si>
  <si>
    <t>03 Jan 2024 22:57:46</t>
  </si>
  <si>
    <t>S220.Furnace.SiN.Thick 小 PM(80).8.LP-N5.4</t>
  </si>
  <si>
    <t>02 Jan 2024 16:37:44</t>
  </si>
  <si>
    <t>08 Jan 2024 10:26:13</t>
  </si>
  <si>
    <t>S220.Furnace.CURING.大PM.1.F43.20</t>
  </si>
  <si>
    <t>02 Jan 2024 15:51:54</t>
  </si>
  <si>
    <t>02 Jan 2024 17:55:09</t>
  </si>
  <si>
    <t>S220.Furnace.Poly.小PM.9.LP-P1.8</t>
  </si>
  <si>
    <t>LP-P7</t>
  </si>
  <si>
    <t>J07</t>
  </si>
  <si>
    <t>02 Jan 2024 14:45:48</t>
  </si>
  <si>
    <t>08 Jan 2024 22:01:48</t>
  </si>
  <si>
    <t>S220.Furnace.IN-SITU POLY.大PM.5.LP-P7.2</t>
  </si>
  <si>
    <t>02 Jan 2024 08:15:57</t>
  </si>
  <si>
    <t>02 Jan 2024 15:15:32</t>
  </si>
  <si>
    <t>S220.Furnace.TEOS.小PM(9um).9.LP-T6.3</t>
  </si>
  <si>
    <t>02 Jan 2024 03:42:10</t>
  </si>
  <si>
    <t>02 Jan 2024 18:43:43</t>
  </si>
  <si>
    <t>S220.Furnace.N+預置.大PM.28.F13.7</t>
  </si>
  <si>
    <t>01 Jan 2024 08:45:49</t>
  </si>
  <si>
    <t>01 Jan 2024 17:44:47</t>
  </si>
  <si>
    <t>S220.Furnace.TEOS.小PM(9um).9.LP-T5.4</t>
  </si>
  <si>
    <t>01 Jan 2024 08:21:44</t>
  </si>
  <si>
    <t>01 Jan 2024 14:40:43</t>
  </si>
  <si>
    <t>S220.Furnace.SiN.Thick 小 PM(40).7.LP-N4.5</t>
  </si>
  <si>
    <t>01 Jan 2024 07:20:59</t>
  </si>
  <si>
    <t>01 Jan 2024 15:13:23</t>
  </si>
  <si>
    <t>S220.Furnace.Poly.小PM.9.LP-P6.7</t>
  </si>
  <si>
    <t>Fail 次數</t>
  </si>
  <si>
    <t>PM 次數</t>
  </si>
  <si>
    <t>20 Jun 2024 08:34:00</t>
  </si>
  <si>
    <t>20 Jun 2024 18:49:05</t>
  </si>
  <si>
    <t>S220.Furnace.SiN.Thick 小 PM(40).7.LP-N1.4</t>
  </si>
  <si>
    <t>30 Jun 2024 10:52:26</t>
  </si>
  <si>
    <t>30 Jun 2024 11:25:18</t>
  </si>
  <si>
    <t>S220.Furnace.快速回火.4PM.8.RTP-2.4</t>
  </si>
  <si>
    <t>30 Jun 2024 00:28:23</t>
  </si>
  <si>
    <t>30 Jun 2024 00:55:55</t>
  </si>
  <si>
    <t>S220.Furnace.快速回火.13PM.6.RTP-1.3</t>
  </si>
  <si>
    <t>28 Jun 2024 09:47:05</t>
  </si>
  <si>
    <t>28 Jun 2024 17:23:12</t>
  </si>
  <si>
    <t>S220.Furnace.TEOS.小PM(9um).10.LP-T2.3</t>
  </si>
  <si>
    <t>28 Jun 2024 09:37:44</t>
  </si>
  <si>
    <t>28 Jun 2024 09:40:57</t>
  </si>
  <si>
    <t>S220.Furnace.量測厚度.EM每週保養.1.EM-4.216</t>
  </si>
  <si>
    <t>28 Jun 2024 09:23:59</t>
  </si>
  <si>
    <t>28 Jun 2024 09:32:58</t>
  </si>
  <si>
    <t>S220.Furnace.量測厚度.EM每週保養.1.EM-5.216</t>
  </si>
  <si>
    <t>28 Jun 2024 09:22:32</t>
  </si>
  <si>
    <t>28 Jun 2024 09:33:57</t>
  </si>
  <si>
    <t>S220.Furnace.量測厚度.EM每週保養.1.EM-6.218</t>
  </si>
  <si>
    <t>28 Jun 2024 09:15:25</t>
  </si>
  <si>
    <t>28 Jun 2024 10:50:34</t>
  </si>
  <si>
    <t>S220.Furnace.場氧化.OXIDE FURNACE WAFER TRANSFER CHECK.5.F15.10</t>
  </si>
  <si>
    <t>28 Jun 2024 07:24:02</t>
  </si>
  <si>
    <t>28 Jun 2024 09:31:20</t>
  </si>
  <si>
    <t>S220.Furnace.S/D氧化.OXIDE FURNACE WAFER TRANSFER CHECK.5.F33.11</t>
  </si>
  <si>
    <t>28 Jun 2024 07:20:01</t>
  </si>
  <si>
    <t>28 Jun 2024 21:56:50</t>
  </si>
  <si>
    <t>S220.Furnace.Poly.1PM.27.LP-P2.1</t>
  </si>
  <si>
    <t>27 Jun 2024 19:34:24</t>
  </si>
  <si>
    <t>27 Jun 2024 19:57:49</t>
  </si>
  <si>
    <t>S220.Furnace.快速回火.23PM.6.RTP-3.4</t>
  </si>
  <si>
    <t>27 Jun 2024 14:53:21</t>
  </si>
  <si>
    <t>27 Jun 2024 15:28:02</t>
  </si>
  <si>
    <t>S220.Furnace.貼膠.每月保養.1.PASTE-3.111</t>
  </si>
  <si>
    <t>27 Jun 2024 13:51:04</t>
  </si>
  <si>
    <t>27 Jun 2024 15:41:08</t>
  </si>
  <si>
    <t>S220.Furnace.爐管烘烤.OXIDE FURNACE WAFER TRANSFER CHECK.5.F30.10</t>
  </si>
  <si>
    <t>27 Jun 2024 10:51:35</t>
  </si>
  <si>
    <t>27 Jun 2024 11:10:03</t>
  </si>
  <si>
    <t>S220.Furnace.osc-2.每月保養.1.OSC-2.64</t>
  </si>
  <si>
    <t>27 Jun 2024 09:12:23</t>
  </si>
  <si>
    <t>27 Jun 2024 15:28:17</t>
  </si>
  <si>
    <t>S220.Furnace.GRIND.GRD每月保養.4.GRD-3.101</t>
  </si>
  <si>
    <t>27 Jun 2024 08:25:55</t>
  </si>
  <si>
    <t>27 Jun 2024 15:41:45</t>
  </si>
  <si>
    <t>S220.Furnace.Poly.小PM.9.LP-P3.14</t>
  </si>
  <si>
    <t>27 Jun 2024 07:23:50</t>
  </si>
  <si>
    <t>27 Jun 2024 09:29:10</t>
  </si>
  <si>
    <t>S220.Furnace.墊層氧化.OXIDE FURNACE WAFER TRANSFER CHECK.5.F12.11</t>
  </si>
  <si>
    <t>26 Jun 2024 09:58:17</t>
  </si>
  <si>
    <t>26 Jun 2024 17:20:25</t>
  </si>
  <si>
    <t>S220.Furnace.快速回火.25PM.9.RTP-4.2</t>
  </si>
  <si>
    <t>26 Jun 2024 09:09:35</t>
  </si>
  <si>
    <t>26 Jun 2024 16:45:26</t>
  </si>
  <si>
    <t>S220.Furnace.TEOS.小PM(18um).8.LP-T4.1</t>
  </si>
  <si>
    <t>26 Jun 2024 07:41:42</t>
  </si>
  <si>
    <t>26 Jun 2024 09:35:26</t>
  </si>
  <si>
    <t>S220.Furnace.閘層氧化.OXIDE FURNACE WAFER TRANSFER CHECK.5.F19.5</t>
  </si>
  <si>
    <t>25 Jun 2024 13:19:29</t>
  </si>
  <si>
    <t>25 Jun 2024 16:32:02</t>
  </si>
  <si>
    <t>S220.Furnace.Wsix.LOADLOCK.11.WSIX-1A.56</t>
  </si>
  <si>
    <t>25 Jun 2024 13:19:18</t>
  </si>
  <si>
    <t>25 Jun 2024 16:33:27</t>
  </si>
  <si>
    <t>S220.Furnace.Wsix.LOADLOCK.11.WSIX-1D.56</t>
  </si>
  <si>
    <t>25 Jun 2024 13:19:09</t>
  </si>
  <si>
    <t>25 Jun 2024 16:32:49</t>
  </si>
  <si>
    <t>S220.Furnace.Wsix.LOADLOCK.11.WSIX-1C.56</t>
  </si>
  <si>
    <t>25 Jun 2024 06:23:16</t>
  </si>
  <si>
    <t>26 Jun 2024 01:42:52</t>
  </si>
  <si>
    <t>S220.Furnace.Wsix.WSIX 大PM.20.WSIX-1B.4</t>
  </si>
  <si>
    <t>25 Jun 2024 05:32:42</t>
  </si>
  <si>
    <t>25 Jun 2024 19:54:31</t>
  </si>
  <si>
    <t>S220.Furnace.Poly.3PM.21.LP-P6.1</t>
  </si>
  <si>
    <t>24 Jun 2024 13:39:36</t>
  </si>
  <si>
    <t>24 Jun 2024 14:59:02</t>
  </si>
  <si>
    <t>S220.Furnace.WAFER TRANSFER.QPM.1.SORT-W2.1</t>
  </si>
  <si>
    <t>24 Jun 2024 13:39:30</t>
  </si>
  <si>
    <t>24 Jun 2024 14:58:55</t>
  </si>
  <si>
    <t>S220.Furnace.WAFER TRANSFER.QPM.1.SORT-W1.1</t>
  </si>
  <si>
    <t>24 Jun 2024 13:39:07</t>
  </si>
  <si>
    <t>24 Jun 2024 14:58:33</t>
  </si>
  <si>
    <t>S220.Furnace.WAFER TRANSFER.QPM.1.SORT-K1.1</t>
  </si>
  <si>
    <t>24 Jun 2024 13:38:59</t>
  </si>
  <si>
    <t>24 Jun 2024 14:58:24</t>
  </si>
  <si>
    <t>S220.Furnace.WAFER TRANSFER.QPM.1.SORT-J1.1</t>
  </si>
  <si>
    <t>24 Jun 2024 13:38:51</t>
  </si>
  <si>
    <t>24 Jun 2024 14:58:15</t>
  </si>
  <si>
    <t>S220.Furnace.WAFER TRANSFER.QPM.1.SORT-I2.1</t>
  </si>
  <si>
    <t>24 Jun 2024 13:38:44</t>
  </si>
  <si>
    <t>24 Jun 2024 14:58:09</t>
  </si>
  <si>
    <t>S220.Furnace.WAFER TRANSFER.QPM.1.SORT-I1.1</t>
  </si>
  <si>
    <t>24 Jun 2024 13:37:59</t>
  </si>
  <si>
    <t>24 Jun 2024 14:57:26</t>
  </si>
  <si>
    <t>S220.Furnace.WAFER TRANSFER.QPM.1.SORT-D2.1</t>
  </si>
  <si>
    <t>24 Jun 2024 13:37:47</t>
  </si>
  <si>
    <t>24 Jun 2024 14:57:18</t>
  </si>
  <si>
    <t>S220.Furnace.WAFER TRANSFER.QPM.1.SORT-D1.1</t>
  </si>
  <si>
    <t>24 Jun 2024 13:00:06</t>
  </si>
  <si>
    <t>24 Jun 2024 14:29:48</t>
  </si>
  <si>
    <t>S220.Furnace.井區擴散.OXIDE FURNACE WAFER TRANSFER CHECK.5.F09.10</t>
  </si>
  <si>
    <t>24 Jun 2024 09:08:03</t>
  </si>
  <si>
    <t>24 Jun 2024 19:31:17</t>
  </si>
  <si>
    <t>S220.Furnace.TEOS.小PM(9um).10.LP-T5.2</t>
  </si>
  <si>
    <t>24 Jun 2024 08:24:53</t>
  </si>
  <si>
    <t>24 Jun 2024 10:28:46</t>
  </si>
  <si>
    <t>S220.Furnace.SAC氧化.OXIDE FURNACE WAFER TRANSFER CHECK.6.F20.10</t>
  </si>
  <si>
    <t>24 Jun 2024 07:27:34</t>
  </si>
  <si>
    <t>24 Jun 2024 17:29:34</t>
  </si>
  <si>
    <t>S220.Furnace.Poly.小PM.9.LP-P4.18</t>
  </si>
  <si>
    <t>24 Jun 2024 02:46:09</t>
  </si>
  <si>
    <t>24 Jun 2024 03:03:25</t>
  </si>
  <si>
    <t>S220.Furnace.快速回火.25PM.9.RTP-4.1</t>
  </si>
  <si>
    <t>23 Jun 2024 19:06:48</t>
  </si>
  <si>
    <t>23 Jun 2024 19:27:43</t>
  </si>
  <si>
    <t>S220.Furnace.快速回火.22PM.6.RTP-3.4</t>
  </si>
  <si>
    <t>23 Jun 2024 15:04:59</t>
  </si>
  <si>
    <t>23 Jun 2024 15:31:57</t>
  </si>
  <si>
    <t>S220.Furnace.快速回火.3PM.8.RTP-2.4</t>
  </si>
  <si>
    <t>23 Jun 2024 02:57:32</t>
  </si>
  <si>
    <t>23 Jun 2024 03:34:19</t>
  </si>
  <si>
    <t>S220.Furnace.快速回火.12PM.6.RTP-1.3</t>
  </si>
  <si>
    <t>21 Jun 2024 13:51:13</t>
  </si>
  <si>
    <t>21 Jun 2024 17:35:22</t>
  </si>
  <si>
    <t>S220.Furnace.WAFER TRANSFER.PM.4.SORT-W2.48</t>
  </si>
  <si>
    <t>21 Jun 2024 11:25:47</t>
  </si>
  <si>
    <t>21 Jun 2024 14:11:16</t>
  </si>
  <si>
    <t>S220.Furnace.WAFER TRANSFER.PM.4.SORT-K1.135</t>
  </si>
  <si>
    <t>21 Jun 2024 10:02:20</t>
  </si>
  <si>
    <t>21 Jun 2024 12:50:20</t>
  </si>
  <si>
    <t>S220.Furnace.WAFER TRANSFER.PM.4.SORT-J1.117</t>
  </si>
  <si>
    <t>21 Jun 2024 10:02:09</t>
  </si>
  <si>
    <t>21 Jun 2024 11:15:45</t>
  </si>
  <si>
    <t>S220.Furnace.WAFER TRANSFER.PM.4.SORT-I2.104</t>
  </si>
  <si>
    <t>21 Jun 2024 10:02:00</t>
  </si>
  <si>
    <t>21 Jun 2024 11:14:58</t>
  </si>
  <si>
    <t>S220.Furnace.WAFER TRANSFER.PM.4.SORT-I1.110</t>
  </si>
  <si>
    <t>21 Jun 2024 10:01:47</t>
  </si>
  <si>
    <t>21 Jun 2024 11:14:00</t>
  </si>
  <si>
    <t>S220.Furnace.WAFER TRANSFER.PM.4.SORT-D2.135</t>
  </si>
  <si>
    <t>21 Jun 2024 10:01:38</t>
  </si>
  <si>
    <t>21 Jun 2024 11:13:16</t>
  </si>
  <si>
    <t>S220.Furnace.WAFER TRANSFER.PM.4.SORT-D1.135</t>
  </si>
  <si>
    <t>21 Jun 2024 10:01:29</t>
  </si>
  <si>
    <t>21 Jun 2024 10:26:24</t>
  </si>
  <si>
    <t>S220.Furnace.量測厚度.EM 每月保養.1.EM-4.68</t>
  </si>
  <si>
    <t>21 Jun 2024 09:59:00</t>
  </si>
  <si>
    <t>21 Jun 2024 11:06:56</t>
  </si>
  <si>
    <t>S220.Furnace.WAFER TRANSFER.PM.4.SORT-W1.136</t>
  </si>
  <si>
    <t>21 Jun 2024 09:24:45</t>
  </si>
  <si>
    <t>21 Jun 2024 10:44:26</t>
  </si>
  <si>
    <t>S220.Furnace.融合.OXIDE FURNACE WAFER TRANSFER CHECK.5.F40.10</t>
  </si>
  <si>
    <t>21 Jun 2024 08:20:09</t>
  </si>
  <si>
    <t>21 Jun 2024 16:09:56</t>
  </si>
  <si>
    <t>S220.Furnace.TEOS.小PM(9um).10.LP-T1.4</t>
  </si>
  <si>
    <t>21 Jun 2024 06:20:02</t>
  </si>
  <si>
    <t>21 Jun 2024 22:53:20</t>
  </si>
  <si>
    <t>S220.Furnace.Poly.5PM.25.LP-P1.1</t>
  </si>
  <si>
    <t>20 Jun 2024 11:03:39</t>
  </si>
  <si>
    <t>20 Jun 2024 14:46:40</t>
  </si>
  <si>
    <t>S220.Furnace.量測厚度.EM 每月保養.1.EM-6.56</t>
  </si>
  <si>
    <t>20 Jun 2024 11:03:29</t>
  </si>
  <si>
    <t>20 Jun 2024 11:38:49</t>
  </si>
  <si>
    <t>S220.Furnace.量測厚度.EM 每月保養.1.EM-5.58</t>
  </si>
  <si>
    <t>20 Jun 2024 10:48:41</t>
  </si>
  <si>
    <t>20 Jun 2024 11:18:00</t>
  </si>
  <si>
    <t>S220.Furnace.PACKAGE-2.MPM.2.PACKAGE-2.8</t>
  </si>
  <si>
    <t>20 Jun 2024 06:10:50</t>
  </si>
  <si>
    <t>20 Jun 2024 16:35:50</t>
  </si>
  <si>
    <t>S220.Furnace.爐管烘烤.大PM.14.F28.3</t>
  </si>
  <si>
    <t>20 Jun 2024 01:49:12</t>
  </si>
  <si>
    <t>20 Jun 2024 15:12:30</t>
  </si>
  <si>
    <t>S220.Furnace.N+預置.大PM.28.F13.10</t>
  </si>
  <si>
    <t>19 Jun 2024 17:33:58</t>
  </si>
  <si>
    <t>20 Jun 2024 18:12:13</t>
  </si>
  <si>
    <t>S220.Furnace.TEOS.2PM.34.LP-T8.1</t>
  </si>
  <si>
    <t>19 Jun 2024 10:22:39</t>
  </si>
  <si>
    <t>19 Jun 2024 10:54:03</t>
  </si>
  <si>
    <t>S220.Furnace.井區擴散.OXIDE FURNACE WAFER TRANSFER CHECK.5.F10.1</t>
  </si>
  <si>
    <t>19 Jun 2024 09:31:52</t>
  </si>
  <si>
    <t>19 Jun 2024 12:28:23</t>
  </si>
  <si>
    <t>S220.Furnace.GRIND.GRD每月保養.4.GRD-2.105</t>
  </si>
  <si>
    <t>19 Jun 2024 08:32:58</t>
  </si>
  <si>
    <t>19 Jun 2024 16:21:16</t>
  </si>
  <si>
    <t>S220.Furnace.SiN.Thick 小 PM(40).7.LP-N3.14</t>
  </si>
  <si>
    <t>19 Jun 2024 08:07:28</t>
  </si>
  <si>
    <t>19 Jun 2024 10:21:36</t>
  </si>
  <si>
    <t>S220.Furnace.墊層氧化.OXIDE FURNACE WAFER TRANSFER CHECK.5.F17.11</t>
  </si>
  <si>
    <t>19 Jun 2024 07:58:46</t>
  </si>
  <si>
    <t>19 Jun 2024 10:53:16</t>
  </si>
  <si>
    <t>S220.Furnace.場氧化.OXIDE FURNACE WAFER TRANSFER CHECK.5.F07.11</t>
  </si>
  <si>
    <t>19 Jun 2024 03:52:51</t>
  </si>
  <si>
    <t>19 Jun 2024 05:15:34</t>
  </si>
  <si>
    <t>S220.Furnace.N+預置.OXIDE FURNACE WAFER TRANSFER CHECK.5.F13.2</t>
  </si>
  <si>
    <t>18 Jun 2024 16:48:46</t>
  </si>
  <si>
    <t>18 Jun 2024 17:00:17</t>
  </si>
  <si>
    <t>S220.Furnace.Poly.4PM.20.LP-P3.1</t>
  </si>
  <si>
    <t>18 Jun 2024 13:28:17</t>
  </si>
  <si>
    <t>18 Jun 2024 14:35:07</t>
  </si>
  <si>
    <t>S220.Furnace.井區擴散.OXIDE FURNACE WAFER TRANSFER CHECK.5.F24.10</t>
  </si>
  <si>
    <t>18 Jun 2024 12:09:13</t>
  </si>
  <si>
    <t>18 Jun 2024 16:02:23</t>
  </si>
  <si>
    <t>S220.Furnace.Poly.小PM.9.LP-P2.17</t>
  </si>
  <si>
    <t>18 Jun 2024 08:37:48</t>
  </si>
  <si>
    <t>18 Jun 2024 09:43:43</t>
  </si>
  <si>
    <t>S220.Furnace.SAC氧化.OXIDE FURNACE WAFER TRANSFER CHECK.6.F21.11</t>
  </si>
  <si>
    <t>18 Jun 2024 03:56:36</t>
  </si>
  <si>
    <t>18 Jun 2024 23:06:23</t>
  </si>
  <si>
    <t>S220.Furnace.TEOS.1PM.36.LP-T3.1</t>
  </si>
  <si>
    <t>17 Jun 2024 13:02:19</t>
  </si>
  <si>
    <t>17 Jun 2024 14:44:17</t>
  </si>
  <si>
    <t>S220.Furnace.S/D氧化.OXIDE FURNACE WAFER TRANSFER CHECK.5.F35.10</t>
  </si>
  <si>
    <t>17 Jun 2024 11:25:44</t>
  </si>
  <si>
    <t>17 Jun 2024 12:12:55</t>
  </si>
  <si>
    <t>S220.Furnace.快速回火.21PM.6.RTP-3.4</t>
  </si>
  <si>
    <t>17 Jun 2024 07:31:01</t>
  </si>
  <si>
    <t>17 Jun 2024 09:26:32</t>
  </si>
  <si>
    <t>S220.Furnace.場氧化.OXIDE FURNACE WAFER TRANSFER CHECK.5.F01.9</t>
  </si>
  <si>
    <t>17 Jun 2024 04:51:41</t>
  </si>
  <si>
    <t>17 Jun 2024 05:14:50</t>
  </si>
  <si>
    <t>S220.Furnace.快速回火.24PM.6.RTP-4.3</t>
  </si>
  <si>
    <t>F31</t>
  </si>
  <si>
    <t>B29</t>
  </si>
  <si>
    <t>17 Jun 2024 04:32:03</t>
  </si>
  <si>
    <t>19 Jun 2024 11:18:00</t>
  </si>
  <si>
    <t>S220.Furnace.CURING.大PM.1.F31.27</t>
  </si>
  <si>
    <t>17 Jun 2024 03:21:49</t>
  </si>
  <si>
    <t>17 Jun 2024 21:54:46</t>
  </si>
  <si>
    <t>16 Jun 2024 21:56:18</t>
  </si>
  <si>
    <t>16 Jun 2024 22:40:17</t>
  </si>
  <si>
    <t>S220.Furnace.快速回火.2PM.8.RTP-2.4</t>
  </si>
  <si>
    <t>16 Jun 2024 09:23:03</t>
  </si>
  <si>
    <t>16 Jun 2024 09:32:45</t>
  </si>
  <si>
    <t>S220.Furnace.快速回火.11PM.6.RTP-1.3</t>
  </si>
  <si>
    <t>14 Jun 2024 08:23:26</t>
  </si>
  <si>
    <t>14 Jun 2024 16:17:29</t>
  </si>
  <si>
    <t>S220.Furnace.Poly.小PM.9.LP-P6.14</t>
  </si>
  <si>
    <t>14 Jun 2024 06:13:43</t>
  </si>
  <si>
    <t>14 Jun 2024 19:43:28</t>
  </si>
  <si>
    <t>S220.Furnace.Wsix.WSIX 大PM.20.WSIX-2B.3</t>
  </si>
  <si>
    <t>14 Jun 2024 04:19:30</t>
  </si>
  <si>
    <t>14 Jun 2024 22:55:13</t>
  </si>
  <si>
    <t>S220.Furnace.SiN.Thick_1PM.33.LP-N4.1</t>
  </si>
  <si>
    <t>14 Jun 2024 03:58:06</t>
  </si>
  <si>
    <t>14 Jun 2024 19:15:59</t>
  </si>
  <si>
    <t>S220.Furnace.TEOS.1PM.35.LP-T2.1</t>
  </si>
  <si>
    <t>PTC ISSUE , DO BPM</t>
  </si>
  <si>
    <t>14 Jun 2024 02:12:57</t>
  </si>
  <si>
    <t>14 Jun 2024 03:35:49</t>
  </si>
  <si>
    <t>S220.Furnace.快速回火.20PM.6.RTP-3.3</t>
  </si>
  <si>
    <t>13 Jun 2024 14:09:24</t>
  </si>
  <si>
    <t>13 Jun 2024 14:47:35</t>
  </si>
  <si>
    <t>S220.Furnace.量測厚度.EM每週保養.1.EM-4.215</t>
  </si>
  <si>
    <t>13 Jun 2024 13:58:07</t>
  </si>
  <si>
    <t>13 Jun 2024 16:18:59</t>
  </si>
  <si>
    <t>S220.Furnace.TEOS.小PM(18um).8.LP-T2.2</t>
  </si>
  <si>
    <t>13 Jun 2024 13:48:58</t>
  </si>
  <si>
    <t>13 Jun 2024 14:07:14</t>
  </si>
  <si>
    <t>S220.Furnace.量測厚度.EM每週保養.1.EM-6.217</t>
  </si>
  <si>
    <t>13 Jun 2024 13:48:45</t>
  </si>
  <si>
    <t>13 Jun 2024 14:07:04</t>
  </si>
  <si>
    <t>S220.Furnace.量測厚度.EM每週保養.1.EM-5.215</t>
  </si>
  <si>
    <t>13 Jun 2024 11:14:34</t>
  </si>
  <si>
    <t>13 Jun 2024 11:29:14</t>
  </si>
  <si>
    <t>S220.Furnace.研磨厚度量測.MPM.1.ADE.13</t>
  </si>
  <si>
    <t>13 Jun 2024 09:46:29</t>
  </si>
  <si>
    <t>13 Jun 2024 11:28:56</t>
  </si>
  <si>
    <t>S220.Furnace.GRIND.GRD每月保養.4.GRD-3.100</t>
  </si>
  <si>
    <t>13 Jun 2024 08:49:19</t>
  </si>
  <si>
    <t>13 Jun 2024 20:05:50</t>
  </si>
  <si>
    <t>S220.Furnace.SiN.Thick 小 PM(40).7.LP-N5.10</t>
  </si>
  <si>
    <t>13 Jun 2024 02:58:40</t>
  </si>
  <si>
    <t>13 Jun 2024 15:53:35</t>
  </si>
  <si>
    <t>S220.Furnace.PLUG回火.大PM.18.F41.3</t>
  </si>
  <si>
    <t>12 Jun 2024 09:34:50</t>
  </si>
  <si>
    <t>12 Jun 2024 16:40:28</t>
  </si>
  <si>
    <t>S220.Furnace.TEOS.小PM(18um).8.LP-T8.2</t>
  </si>
  <si>
    <t>12 Jun 2024 09:13:54</t>
  </si>
  <si>
    <t>12 Jun 2024 10:00:55</t>
  </si>
  <si>
    <t>S220.Furnace.快速回火.1PM.8.RTP-2.4</t>
  </si>
  <si>
    <t>12 Jun 2024 07:24:23</t>
  </si>
  <si>
    <t>12 Jun 2024 15:12:13</t>
  </si>
  <si>
    <t>S220.Furnace.SiN.Thick 小 PM(40).7.LP-N7.6</t>
  </si>
  <si>
    <t>12 Jun 2024 03:49:02</t>
  </si>
  <si>
    <t>12 Jun 2024 21:27:07</t>
  </si>
  <si>
    <t>S220.Furnace.Poly.5PM.24.LP-P4.1</t>
  </si>
  <si>
    <t>11 Jun 2024 13:20:30</t>
  </si>
  <si>
    <t>11 Jun 2024 15:03:18</t>
  </si>
  <si>
    <t>S220.Furnace.Wsix.LOADLOCK.11.WSIX-1B.57</t>
  </si>
  <si>
    <t>11 Jun 2024 13:20:22</t>
  </si>
  <si>
    <t>11 Jun 2024 15:01:18</t>
  </si>
  <si>
    <t>S220.Furnace.Wsix.LOADLOCK.11.WSIX-1A.55</t>
  </si>
  <si>
    <t>11 Jun 2024 13:20:13</t>
  </si>
  <si>
    <t>11 Jun 2024 15:04:20</t>
  </si>
  <si>
    <t>S220.Furnace.Wsix.LOADLOCK.11.WSIX-1C.55</t>
  </si>
  <si>
    <t>11 Jun 2024 13:20:05</t>
  </si>
  <si>
    <t>11 Jun 2024 15:05:10</t>
  </si>
  <si>
    <t>S220.Furnace.Wsix.LOADLOCK.11.WSIX-1D.55</t>
  </si>
  <si>
    <t>11 Jun 2024 10:58:32</t>
  </si>
  <si>
    <t>11 Jun 2024 15:28:32</t>
  </si>
  <si>
    <t>S220.Furnace.快速回火.23PM.6.RTP-4.3</t>
  </si>
  <si>
    <t>11 Jun 2024 09:40:32</t>
  </si>
  <si>
    <t>11 Jun 2024 11:05:59</t>
  </si>
  <si>
    <t>S220.Furnace.Wsix.LOADLOCK.11.WSIX-2A.52</t>
  </si>
  <si>
    <t>11 Jun 2024 09:40:21</t>
  </si>
  <si>
    <t>11 Jun 2024 11:06:55</t>
  </si>
  <si>
    <t>S220.Furnace.Wsix.LOADLOCK.11.WSIX-2B.53</t>
  </si>
  <si>
    <t>11 Jun 2024 09:40:07</t>
  </si>
  <si>
    <t>11 Jun 2024 11:07:53</t>
  </si>
  <si>
    <t>S220.Furnace.Wsix.LOADLOCK.11.WSIX-2C.54</t>
  </si>
  <si>
    <t>11 Jun 2024 09:39:56</t>
  </si>
  <si>
    <t>11 Jun 2024 11:09:43</t>
  </si>
  <si>
    <t>S220.Furnace.Wsix.LOADLOCK.11.WSIX-2D.53</t>
  </si>
  <si>
    <t>11 Jun 2024 08:19:51</t>
  </si>
  <si>
    <t>11 Jun 2024 10:26:38</t>
  </si>
  <si>
    <t>S220.Furnace.場氧化.OXIDE FURNACE WAFER TRANSFER CHECK.5.F02.11</t>
  </si>
  <si>
    <t>11 Jun 2024 04:32:07</t>
  </si>
  <si>
    <t>11 Jun 2024 20:31:22</t>
  </si>
  <si>
    <t>S220.Furnace.TEOS.1PM.35.LP-T1.1</t>
  </si>
  <si>
    <t>11 Jun 2024 03:54:20</t>
  </si>
  <si>
    <t>11 Jun 2024 14:22:39</t>
  </si>
  <si>
    <t>S220.Furnace.融合.大PM.13.F29.3</t>
  </si>
  <si>
    <t>11 Jun 2024 02:17:44</t>
  </si>
  <si>
    <t>11 Jun 2024 03:01:51</t>
  </si>
  <si>
    <t>S220.Furnace.快速回火.10PM.6.RTP-1.3</t>
  </si>
  <si>
    <t>10 Jun 2024 09:31:34</t>
  </si>
  <si>
    <t>10 Jun 2024 18:07:02</t>
  </si>
  <si>
    <t>S220.Furnace.Poly.小PM.9.LP-P1.14</t>
  </si>
  <si>
    <t>10 Jun 2024 07:41:35</t>
  </si>
  <si>
    <t>10 Jun 2024 16:52:20</t>
  </si>
  <si>
    <t>S220.Furnace.SiN.Thin_小PM_150.31.LP-N6.3</t>
  </si>
  <si>
    <t>08 Jun 2024 23:26:30</t>
  </si>
  <si>
    <t>08 Jun 2024 23:44:30</t>
  </si>
  <si>
    <t>S220.Furnace.快速回火.19PM.6.RTP-3.3</t>
  </si>
  <si>
    <t>07 Jun 2024 10:17:14</t>
  </si>
  <si>
    <t>07 Jun 2024 10:28:19</t>
  </si>
  <si>
    <t>S220.Furnace.量測厚度.EM每週保養.1.EM-4.214</t>
  </si>
  <si>
    <t>07 Jun 2024 10:03:07</t>
  </si>
  <si>
    <t>07 Jun 2024 10:12:23</t>
  </si>
  <si>
    <t>S220.Furnace.量測厚度.EM每週保養.1.EM-6.216</t>
  </si>
  <si>
    <t>07 Jun 2024 09:47:14</t>
  </si>
  <si>
    <t>07 Jun 2024 09:59:23</t>
  </si>
  <si>
    <t>S220.Furnace.量測厚度.EM每週保養.1.EM-5.214</t>
  </si>
  <si>
    <t>07 Jun 2024 09:30:13</t>
  </si>
  <si>
    <t>07 Jun 2024 11:34:18</t>
  </si>
  <si>
    <t>S220.Furnace.GRIND.GRD每月保養.4.GRD-2.104</t>
  </si>
  <si>
    <t>07 Jun 2024 08:51:12</t>
  </si>
  <si>
    <t>07 Jun 2024 14:55:45</t>
  </si>
  <si>
    <t>S220.Furnace.OSC-1.每月保養.3.OSC-1.92</t>
  </si>
  <si>
    <t>07 Jun 2024 08:19:41</t>
  </si>
  <si>
    <t>07 Jun 2024 15:40:28</t>
  </si>
  <si>
    <t>S220.Furnace.TEOS.小PM(18um).8.LP-T3.1</t>
  </si>
  <si>
    <t>07 Jun 2024 07:26:43</t>
  </si>
  <si>
    <t>07 Jun 2024 14:15:57</t>
  </si>
  <si>
    <t>S220.Furnace.快速回火.25PM.9.RTP-2.1</t>
  </si>
  <si>
    <t>07 Jun 2024 03:45:05</t>
  </si>
  <si>
    <t>07 Jun 2024 19:50:56</t>
  </si>
  <si>
    <t>S220.Furnace.SiN.Thick_3PM.31.LP-N3.1</t>
  </si>
  <si>
    <t>07 Jun 2024 01:39:43</t>
  </si>
  <si>
    <t>07 Jun 2024 20:37:04</t>
  </si>
  <si>
    <t>S220.Furnace.Poly.2PM.21.LP-P6.1</t>
  </si>
  <si>
    <t>07 Jun 2024 00:39:47</t>
  </si>
  <si>
    <t>07 Jun 2024 01:17:46</t>
  </si>
  <si>
    <t>S220.Furnace.撕膠.PM.2.RIP.2141</t>
  </si>
  <si>
    <t>06 Jun 2024 21:27:50</t>
  </si>
  <si>
    <t>06 Jun 2024 21:39:51</t>
  </si>
  <si>
    <t>S220.Furnace.快速回火.22PM.6.RTP-4.2</t>
  </si>
  <si>
    <t>06 Jun 2024 07:54:25</t>
  </si>
  <si>
    <t>06 Jun 2024 10:18:46</t>
  </si>
  <si>
    <t>S220.Furnace.井區擴散.OXIDE FURNACE WAFER TRANSFER CHECK.5.F05.9</t>
  </si>
  <si>
    <t>06 Jun 2024 02:53:44</t>
  </si>
  <si>
    <t>06 Jun 2024 23:59:28</t>
  </si>
  <si>
    <t>S220.Furnace.TEOS.3PM.35.LP-T5.1</t>
  </si>
  <si>
    <t>05 Jun 2024 09:47:10</t>
  </si>
  <si>
    <t>05 Jun 2024 10:29:00</t>
  </si>
  <si>
    <t>S220.Furnace.快速回火.9PM.6.RTP-1.3</t>
  </si>
  <si>
    <t>05 Jun 2024 03:41:40</t>
  </si>
  <si>
    <t>05 Jun 2024 21:25:12</t>
  </si>
  <si>
    <t>S220.Furnace.Poly.5PM.24.LP-P2.1</t>
  </si>
  <si>
    <t>05 Jun 2024 03:23:25</t>
  </si>
  <si>
    <t>05 Jun 2024 14:58:42</t>
  </si>
  <si>
    <t>S220.Furnace.墊層氧化.大PM.16.F26.2</t>
  </si>
  <si>
    <t>04 Jun 2024 13:51:12</t>
  </si>
  <si>
    <t>04 Jun 2024 16:17:40</t>
  </si>
  <si>
    <t>S220.Furnace.爐管烘烤.OXIDE FURNACE WAFER TRANSFER CHECK.5.F44.10</t>
  </si>
  <si>
    <t>04 Jun 2024 09:26:07</t>
  </si>
  <si>
    <t>04 Jun 2024 17:31:50</t>
  </si>
  <si>
    <t>S220.Furnace.Poly.小PM.9.LP-P3.13</t>
  </si>
  <si>
    <t>04 Jun 2024 08:22:35</t>
  </si>
  <si>
    <t>04 Jun 2024 19:58:30</t>
  </si>
  <si>
    <t>S220.Furnace.TEOS.小PM(9um).10.LP-T4.2</t>
  </si>
  <si>
    <t>04 Jun 2024 07:46:58</t>
  </si>
  <si>
    <t>04 Jun 2024 07:54:33</t>
  </si>
  <si>
    <t>S220.Furnace.快速回火.18PM.6.RTP-3.3</t>
  </si>
  <si>
    <t>04 Jun 2024 07:29:29</t>
  </si>
  <si>
    <t>04 Jun 2024 09:41:45</t>
  </si>
  <si>
    <t>S220.Furnace.PLUG回火.OXIDE FURNACE WAFER TRANSFER CHECK.5.F38.10</t>
  </si>
  <si>
    <t>03 Jun 2024 09:01:17</t>
  </si>
  <si>
    <t>03 Jun 2024 16:32:08</t>
  </si>
  <si>
    <t>S220.Furnace.TEOS.小PM(9um).10.LP-T6.2</t>
  </si>
  <si>
    <t>03 Jun 2024 08:58:00</t>
  </si>
  <si>
    <t>03 Jun 2024 18:06:36</t>
  </si>
  <si>
    <t>S220.Furnace.SiN.Thick 小 PM(40).7.LP-N4.10</t>
  </si>
  <si>
    <t>02 Jun 2024 06:28:04</t>
  </si>
  <si>
    <t>02 Jun 2024 06:43:59</t>
  </si>
  <si>
    <t>S220.Furnace.快速回火.21PM.6.RTP-4.3</t>
  </si>
  <si>
    <t>01 Aug 2024 03:52:57</t>
  </si>
  <si>
    <t>31 Jul 2024 22:01:28</t>
  </si>
  <si>
    <t>31 Jul 2024 23:02:23</t>
  </si>
  <si>
    <t>S220.Furnace.快速回火.5PM.11.RTP-4.4</t>
  </si>
  <si>
    <t>31 Jul 2024 07:23:32</t>
  </si>
  <si>
    <t>31 Jul 2024 15:37:29</t>
  </si>
  <si>
    <t>S220.Furnace.Poly.小PM.9.LP-P6.16</t>
  </si>
  <si>
    <t>30 Jul 2024 13:52:53</t>
  </si>
  <si>
    <t>30 Jul 2024 16:34:12</t>
  </si>
  <si>
    <t>S220.Furnace.Wsix.LOADLOCK.11.WSIX-2D.55</t>
  </si>
  <si>
    <t>30 Jul 2024 13:52:47</t>
  </si>
  <si>
    <t>30 Jul 2024 16:33:58</t>
  </si>
  <si>
    <t>S220.Furnace.Wsix.LOADLOCK.11.WSIX-2C.56</t>
  </si>
  <si>
    <t>30 Jul 2024 13:52:41</t>
  </si>
  <si>
    <t>30 Jul 2024 16:33:42</t>
  </si>
  <si>
    <t>S220.Furnace.Wsix.LOADLOCK.11.WSIX-2B.55</t>
  </si>
  <si>
    <t>30 Jul 2024 05:49:17</t>
  </si>
  <si>
    <t>30 Jul 2024 21:01:57</t>
  </si>
  <si>
    <t>S220.Furnace.Wsix.WSIX 大PM.20.WSIX-2A.3</t>
  </si>
  <si>
    <t>30 Jul 2024 03:44:59</t>
  </si>
  <si>
    <t>30 Jul 2024 19:12:46</t>
  </si>
  <si>
    <t>S220.Furnace.TEOS.1PM.36.LP-T6.1</t>
  </si>
  <si>
    <t>29 Jul 2024 13:35:01</t>
  </si>
  <si>
    <t>29 Jul 2024 14:44:55</t>
  </si>
  <si>
    <t>S220.Furnace.OSC-1.每月保養.3.OSC-1.94</t>
  </si>
  <si>
    <t>29 Jul 2024 13:27:18</t>
  </si>
  <si>
    <t>29 Jul 2024 14:45:06</t>
  </si>
  <si>
    <t>S220.Furnace.撕膠.每月保養.1.RIP.75</t>
  </si>
  <si>
    <t>29 Jul 2024 13:27:11</t>
  </si>
  <si>
    <t>29 Jul 2024 13:55:38</t>
  </si>
  <si>
    <t>S220.Furnace.貼膠.每月保養.1.PASTE-3.113</t>
  </si>
  <si>
    <t>29 Jul 2024 10:13:40</t>
  </si>
  <si>
    <t>29 Jul 2024 14:44:46</t>
  </si>
  <si>
    <t>S220.Furnace.GRIND.GRD每月保養.4.GRD-2.107</t>
  </si>
  <si>
    <t>29 Jul 2024 07:21:30</t>
  </si>
  <si>
    <t>29 Jul 2024 15:53:41</t>
  </si>
  <si>
    <t>S220.Furnace.Poly.小PM.9.LP-P1.16</t>
  </si>
  <si>
    <t>28 Jul 2024 09:09:39</t>
  </si>
  <si>
    <t>28 Jul 2024 09:35:26</t>
  </si>
  <si>
    <t>S220.Furnace.快速回火.18PM.6.RTP-1.3</t>
  </si>
  <si>
    <t>27 Jul 2024 14:35:46</t>
  </si>
  <si>
    <t>27 Jul 2024 14:58:01</t>
  </si>
  <si>
    <t>S220.Furnace.快速回火.4PM.8.RTP-3.4</t>
  </si>
  <si>
    <t>26 Jul 2024 10:28:47</t>
  </si>
  <si>
    <t>26 Jul 2024 10:56:06</t>
  </si>
  <si>
    <t>S220.Furnace.量測厚度.EM 每月保養.1.EM-5.59</t>
  </si>
  <si>
    <t>26 Jul 2024 10:12:18</t>
  </si>
  <si>
    <t>26 Jul 2024 10:34:41</t>
  </si>
  <si>
    <t>S220.Furnace.量測厚度.EM 每月保養.1.EM-4.69</t>
  </si>
  <si>
    <t>26 Jul 2024 09:48:23</t>
  </si>
  <si>
    <t>26 Jul 2024 10:13:26</t>
  </si>
  <si>
    <t>S220.Furnace.量測厚度.EM 每月保養.1.EM-6.57</t>
  </si>
  <si>
    <t>26 Jul 2024 07:16:28</t>
  </si>
  <si>
    <t>26 Jul 2024 14:28:20</t>
  </si>
  <si>
    <t>S220.Furnace.SiN.Thick 小 PM(40).7.LP-N3.16</t>
  </si>
  <si>
    <t>26 Jul 2024 01:35:41</t>
  </si>
  <si>
    <t>26 Jul 2024 23:02:55</t>
  </si>
  <si>
    <t>S220.Furnace.TEOS.3PM.36.LP-T8.1</t>
  </si>
  <si>
    <t>25 Jul 2024 08:01:25</t>
  </si>
  <si>
    <t>25 Jul 2024 15:44:12</t>
  </si>
  <si>
    <t>S220.Furnace.TEOS.小PM(9um).10.LP-T1.6</t>
  </si>
  <si>
    <t>25 Jul 2024 07:58:27</t>
  </si>
  <si>
    <t>25 Jul 2024 09:51:45</t>
  </si>
  <si>
    <t>S220.Furnace.墊層氧化.OXIDE FURNACE WAFER TRANSFER CHECK.5.F14.12</t>
  </si>
  <si>
    <t>25 Jul 2024 07:39:23</t>
  </si>
  <si>
    <t>25 Jul 2024 09:53:00</t>
  </si>
  <si>
    <t>S220.Furnace.S/D氧化.OXIDE FURNACE WAFER TRANSFER CHECK.5.F34.12</t>
  </si>
  <si>
    <t>25 Jul 2024 00:06:13</t>
  </si>
  <si>
    <t>25 Jul 2024 00:38:32</t>
  </si>
  <si>
    <t>S220.Furnace.快速回火.9PM.6.RTP-2.4</t>
  </si>
  <si>
    <t>24 Jul 2024 07:44:43</t>
  </si>
  <si>
    <t>24 Jul 2024 09:28:12</t>
  </si>
  <si>
    <t>S220.Furnace.井區擴散.OXIDE FURNACE WAFER TRANSFER CHECK.5.F42.10</t>
  </si>
  <si>
    <t>24 Jul 2024 02:55:26</t>
  </si>
  <si>
    <t>24 Jul 2024 04:28:42</t>
  </si>
  <si>
    <t>S220.Furnace.快速回火.4PM.8.RTP-4.3</t>
  </si>
  <si>
    <t>23 Jul 2024 20:35:32</t>
  </si>
  <si>
    <t>24 Jul 2024 18:05:11</t>
  </si>
  <si>
    <t>S220.Furnace.Poly.2PM.22.LP-P4.1</t>
  </si>
  <si>
    <t>23 Jul 2024 08:40:00</t>
  </si>
  <si>
    <t>23 Jul 2024 15:50:43</t>
  </si>
  <si>
    <t>S220.Furnace.Poly.小PM.9.LP-P3.15</t>
  </si>
  <si>
    <t>23 Jul 2024 04:36:34</t>
  </si>
  <si>
    <t>23 Jul 2024 19:19:25</t>
  </si>
  <si>
    <t>S220.Furnace.TEOS.2PM.34.LP-T3.1</t>
  </si>
  <si>
    <t>23 Jul 2024 03:42:36</t>
  </si>
  <si>
    <t>23 Jul 2024 22:56:16</t>
  </si>
  <si>
    <t>S220.Furnace.SiN.Thick_2PM.32.LP-N4.1</t>
  </si>
  <si>
    <t>22 Jul 2024 20:23:36</t>
  </si>
  <si>
    <t>22 Jul 2024 20:40:04</t>
  </si>
  <si>
    <t>S220.Furnace.快速回火.3PM.8.RTP-3.4</t>
  </si>
  <si>
    <t>22 Jul 2024 17:03:41</t>
  </si>
  <si>
    <t>22 Jul 2024 17:23:12</t>
  </si>
  <si>
    <t>S220.Furnace.快速回火.17PM.6.RTP-1.3</t>
  </si>
  <si>
    <t>22 Jul 2024 13:51:06</t>
  </si>
  <si>
    <t>22 Jul 2024 15:05:33</t>
  </si>
  <si>
    <t>S220.Furnace.WAFER TRANSFER.MPM.1.SORT-W2.1</t>
  </si>
  <si>
    <t>22 Jul 2024 13:28:34</t>
  </si>
  <si>
    <t>22 Jul 2024 14:05:32</t>
  </si>
  <si>
    <t>S220.Furnace.貼膠.每月保養.1.PASTE-3.112</t>
  </si>
  <si>
    <t>22 Jul 2024 11:10:05</t>
  </si>
  <si>
    <t>22 Jul 2024 13:09:34</t>
  </si>
  <si>
    <t>S220.Furnace.WAFER TRANSFER.MPM.1.SORT-D2.1</t>
  </si>
  <si>
    <t>22 Jul 2024 11:09:50</t>
  </si>
  <si>
    <t>22 Jul 2024 13:09:22</t>
  </si>
  <si>
    <t>S220.Furnace.WAFER TRANSFER.MPM.1.SORT-D1.1</t>
  </si>
  <si>
    <t>22 Jul 2024 10:47:16</t>
  </si>
  <si>
    <t>22 Jul 2024 11:06:54</t>
  </si>
  <si>
    <t>S220.Furnace.撕膠.PM.2.RIP.2142</t>
  </si>
  <si>
    <t>22 Jul 2024 10:23:04</t>
  </si>
  <si>
    <t>22 Jul 2024 12:08:22</t>
  </si>
  <si>
    <t>S220.Furnace.WAFER TRANSFER.MPM.1.SORT-K1.1</t>
  </si>
  <si>
    <t>22 Jul 2024 10:22:39</t>
  </si>
  <si>
    <t>22 Jul 2024 12:07:35</t>
  </si>
  <si>
    <t>S220.Furnace.WAFER TRANSFER.MPM.1.SORT-J1.1</t>
  </si>
  <si>
    <t>22 Jul 2024 10:03:29</t>
  </si>
  <si>
    <t>22 Jul 2024 11:09:01</t>
  </si>
  <si>
    <t>S220.Furnace.WAFER TRANSFER.MPM.1.SORT-I1.1</t>
  </si>
  <si>
    <t>22 Jul 2024 10:03:12</t>
  </si>
  <si>
    <t>22 Jul 2024 11:09:11</t>
  </si>
  <si>
    <t>S220.Furnace.WAFER TRANSFER.MPM.1.SORT-I2.1</t>
  </si>
  <si>
    <t>22 Jul 2024 09:56:42</t>
  </si>
  <si>
    <t>22 Jul 2024 11:09:22</t>
  </si>
  <si>
    <t>S220.Furnace.WAFER TRANSFER.MPM.1.SORT-W1.1</t>
  </si>
  <si>
    <t>22 Jul 2024 09:33:44</t>
  </si>
  <si>
    <t>22 Jul 2024 09:55:59</t>
  </si>
  <si>
    <t>S220.Furnace.PACKAGE-2.MPM.2.PACKAGE-2.9</t>
  </si>
  <si>
    <t>22 Jul 2024 09:33:34</t>
  </si>
  <si>
    <t>22 Jul 2024 09:48:12</t>
  </si>
  <si>
    <t>S220.Furnace.osc-2.每月保養.1.OSC-2.65</t>
  </si>
  <si>
    <t>22 Jul 2024 07:22:10</t>
  </si>
  <si>
    <t>22 Jul 2024 16:16:24</t>
  </si>
  <si>
    <t>S220.Furnace.SiN.Thick 小 PM(40).7.LP-N5.11</t>
  </si>
  <si>
    <t>22 Jul 2024 04:44:14</t>
  </si>
  <si>
    <t>22 Jul 2024 19:25:25</t>
  </si>
  <si>
    <t>S220.Furnace.Poly.2PM.22.LP-P2.1</t>
  </si>
  <si>
    <t>20 Jul 2024 20:22:25</t>
  </si>
  <si>
    <t>20 Jul 2024 21:26:08</t>
  </si>
  <si>
    <t>S220.Furnace.快速回火.8PM.6.RTP-2.4</t>
  </si>
  <si>
    <t>19 Jul 2024 13:50:12</t>
  </si>
  <si>
    <t>19 Jul 2024 14:00:35</t>
  </si>
  <si>
    <t>S220.Furnace.量測厚度.EM每週保養.1.EM-4.219</t>
  </si>
  <si>
    <t>19 Jul 2024 13:36:05</t>
  </si>
  <si>
    <t>19 Jul 2024 13:48:48</t>
  </si>
  <si>
    <t>S220.Furnace.量測厚度.EM每週保養.1.EM-6.221</t>
  </si>
  <si>
    <t>19 Jul 2024 13:35:46</t>
  </si>
  <si>
    <t>19 Jul 2024 13:48:31</t>
  </si>
  <si>
    <t>S220.Furnace.量測厚度.EM每週保養.1.EM-5.219</t>
  </si>
  <si>
    <t>19 Jul 2024 03:11:40</t>
  </si>
  <si>
    <t>19 Jul 2024 17:41:45</t>
  </si>
  <si>
    <t>S220.Furnace.閘層氧化.大PM.22.F16.1</t>
  </si>
  <si>
    <t>19 Jul 2024 02:14:28</t>
  </si>
  <si>
    <t>19 Jul 2024 02:32:46</t>
  </si>
  <si>
    <t>S220.Furnace.快速回火.3PM.8.RTP-4.3</t>
  </si>
  <si>
    <t>18 Jul 2024 19:29:29</t>
  </si>
  <si>
    <t>19 Jul 2024 18:26:34</t>
  </si>
  <si>
    <t>S220.Furnace.Poly.4PM.21.LP-P6.1</t>
  </si>
  <si>
    <t>18 Jul 2024 09:51:44</t>
  </si>
  <si>
    <t>18 Jul 2024 17:28:32</t>
  </si>
  <si>
    <t>S220.Furnace.Wsix.LOADLOCK.11.WSIX-1D.59</t>
  </si>
  <si>
    <t>18 Jul 2024 09:51:31</t>
  </si>
  <si>
    <t>18 Jul 2024 17:27:30</t>
  </si>
  <si>
    <t>S220.Furnace.Wsix.LOADLOCK.11.WSIX-1C.58</t>
  </si>
  <si>
    <t>18 Jul 2024 09:51:20</t>
  </si>
  <si>
    <t>18 Jul 2024 17:26:29</t>
  </si>
  <si>
    <t>S220.Furnace.Wsix.LOADLOCK.11.WSIX-1B.60</t>
  </si>
  <si>
    <t>18 Jul 2024 09:50:56</t>
  </si>
  <si>
    <t>18 Jul 2024 17:25:42</t>
  </si>
  <si>
    <t>S220.Furnace.Wsix.LOADLOCK.11.WSIX-1A.59</t>
  </si>
  <si>
    <t>18 Jul 2024 08:22:40</t>
  </si>
  <si>
    <t>18 Jul 2024 11:02:05</t>
  </si>
  <si>
    <t>S220.Furnace.PLUG回火.OXIDE FURNACE WAFER TRANSFER CHECK.5.F37.12</t>
  </si>
  <si>
    <t>18 Jul 2024 06:15:08</t>
  </si>
  <si>
    <t>18 Jul 2024 06:24:32</t>
  </si>
  <si>
    <t>S220.Furnace.快速回火.2PM.8.RTP-3.5</t>
  </si>
  <si>
    <t>18 Jul 2024 04:11:56</t>
  </si>
  <si>
    <t>18 Jul 2024 04:16:35</t>
  </si>
  <si>
    <t>S220.Furnace.快速回火.16PM.6.RTP-1.3</t>
  </si>
  <si>
    <t>18 Jul 2024 03:28:34</t>
  </si>
  <si>
    <t>18 Jul 2024 19:43:24</t>
  </si>
  <si>
    <t>S220.Furnace.TEOS.3PM.36.LP-T4.1</t>
  </si>
  <si>
    <t>17 Jul 2024 09:13:30</t>
  </si>
  <si>
    <t>17 Jul 2024 18:56:41</t>
  </si>
  <si>
    <t>S220.Furnace.TEOS.小PM(18um).8.LP-T5.2</t>
  </si>
  <si>
    <t>17 Jul 2024 08:40:25</t>
  </si>
  <si>
    <t>17 Jul 2024 11:29:37</t>
  </si>
  <si>
    <t>S220.Furnace.GRIND.GRD每月保養.4.GRD-3.102</t>
  </si>
  <si>
    <t>17 Jul 2024 07:27:27</t>
  </si>
  <si>
    <t>17 Jul 2024 09:48:28</t>
  </si>
  <si>
    <t>S220.Furnace.S/D氧化.OXIDE FURNACE WAFER TRANSFER CHECK.5.f32.11</t>
  </si>
  <si>
    <t>17 Jul 2024 02:23:18</t>
  </si>
  <si>
    <t>17 Jul 2024 19:37:12</t>
  </si>
  <si>
    <t>S220.Furnace.Poly.1PM.27.LP-P1.1</t>
  </si>
  <si>
    <t>16 Jul 2024 14:20:22</t>
  </si>
  <si>
    <t>16 Jul 2024 17:32:49</t>
  </si>
  <si>
    <t>S220.Furnace.Wsix.LOADLOCK.11.WSIX-1D.58</t>
  </si>
  <si>
    <t>16 Jul 2024 14:20:13</t>
  </si>
  <si>
    <t>16 Jul 2024 17:32:05</t>
  </si>
  <si>
    <t>S220.Furnace.Wsix.LOADLOCK.11.WSIX-1B.59</t>
  </si>
  <si>
    <t>16 Jul 2024 14:20:01</t>
  </si>
  <si>
    <t>16 Jul 2024 17:31:21</t>
  </si>
  <si>
    <t>S220.Furnace.Wsix.LOADLOCK.11.WSIX-1A.58</t>
  </si>
  <si>
    <t>16 Jul 2024 08:51:15</t>
  </si>
  <si>
    <t>16 Jul 2024 10:56:35</t>
  </si>
  <si>
    <t>S220.Furnace.融合.OXIDE FURNACE WAFER TRANSFER CHECK.5.F27.9</t>
  </si>
  <si>
    <t>16 Jul 2024 07:38:40</t>
  </si>
  <si>
    <t>16 Jul 2024 08:04:28</t>
  </si>
  <si>
    <t>S220.Furnace.快速回火.7PM.6.RTP-2.4</t>
  </si>
  <si>
    <t>16 Jul 2024 07:21:37</t>
  </si>
  <si>
    <t>16 Jul 2024 16:17:00</t>
  </si>
  <si>
    <t>S220.Furnace.TEOS.小PM(18um).8.LP-T8.3</t>
  </si>
  <si>
    <t>16 Jul 2024 06:14:50</t>
  </si>
  <si>
    <t>16 Jul 2024 23:27:43</t>
  </si>
  <si>
    <t>S220.Furnace.Wsix.WSIX 大PM.20.WSIX-1C.5</t>
  </si>
  <si>
    <t>15 Jul 2024 09:35:50</t>
  </si>
  <si>
    <t>15 Jul 2024 16:13:39</t>
  </si>
  <si>
    <t>S220.Furnace.TEOS.小PM(18um).8.LP-T2.3</t>
  </si>
  <si>
    <t>15 Jul 2024 09:34:35</t>
  </si>
  <si>
    <t>15 Jul 2024 16:08:31</t>
  </si>
  <si>
    <t>S220.Furnace.Poly.小PM.9.LP-P4.19</t>
  </si>
  <si>
    <t>15 Jul 2024 04:13:12</t>
  </si>
  <si>
    <t>16 Jul 2024 01:46:54</t>
  </si>
  <si>
    <t>S220.Furnace.SiN.Thin_2PM.30.LP-N2.1</t>
  </si>
  <si>
    <t>13 Jul 2024 19:23:36</t>
  </si>
  <si>
    <t>13 Jul 2024 19:58:47</t>
  </si>
  <si>
    <t>S220.Furnace.快速回火.1PM.8.RTP-3.4</t>
  </si>
  <si>
    <t>13 Jul 2024 15:02:44</t>
  </si>
  <si>
    <t>13 Jul 2024 16:01:08</t>
  </si>
  <si>
    <t>S220.Furnace.快速回火.2PM.8.RTP-4.3</t>
  </si>
  <si>
    <t>13 Jul 2024 14:50:16</t>
  </si>
  <si>
    <t>13 Jul 2024 15:20:45</t>
  </si>
  <si>
    <t>S220.Furnace.快速回火.15PM.6.RTP-1.3</t>
  </si>
  <si>
    <t>13 Jul 2024 08:51:17</t>
  </si>
  <si>
    <t>13 Jul 2024 09:27:26</t>
  </si>
  <si>
    <t>S220.Furnace.研磨厚度量測.MPM.1.ADE.14</t>
  </si>
  <si>
    <t>12 Jul 2024 10:26:48</t>
  </si>
  <si>
    <t>12 Jul 2024 10:35:11</t>
  </si>
  <si>
    <t>S220.Furnace.量測厚度.EM每週保養.1.EM-4.218</t>
  </si>
  <si>
    <t>12 Jul 2024 10:14:08</t>
  </si>
  <si>
    <t>12 Jul 2024 10:25:06</t>
  </si>
  <si>
    <t>S220.Furnace.量測厚度.EM每週保養.1.EM-6.220</t>
  </si>
  <si>
    <t>12 Jul 2024 10:13:53</t>
  </si>
  <si>
    <t>12 Jul 2024 10:24:49</t>
  </si>
  <si>
    <t>S220.Furnace.量測厚度.EM每週保養.1.EM-5.218</t>
  </si>
  <si>
    <t>12 Jul 2024 08:33:13</t>
  </si>
  <si>
    <t>12 Jul 2024 16:29:12</t>
  </si>
  <si>
    <t>S220.Furnace.Poly.小PM.9.LP-P2.18</t>
  </si>
  <si>
    <t>12 Jul 2024 04:53:49</t>
  </si>
  <si>
    <t>13 Jul 2024 00:08:26</t>
  </si>
  <si>
    <t>S220.Furnace.SiN.Thick_4PM.42.LP-N3.1</t>
  </si>
  <si>
    <t>12 Jul 2024 03:57:01</t>
  </si>
  <si>
    <t>12 Jul 2024 17:33:34</t>
  </si>
  <si>
    <t>S220.Furnace.TEOS.2PM.34.LP-T1.1</t>
  </si>
  <si>
    <t>11 Jul 2024 19:55:31</t>
  </si>
  <si>
    <t>11 Jul 2024 20:15:56</t>
  </si>
  <si>
    <t>S220.Furnace.快速回火.6PM.10.RTP-2.4</t>
  </si>
  <si>
    <t>11 Jul 2024 09:14:48</t>
  </si>
  <si>
    <t>11 Jul 2024 16:40:38</t>
  </si>
  <si>
    <t>S220.Furnace.SiN.Thick 小 PM(80).8.LP-N4.9</t>
  </si>
  <si>
    <t>11 Jul 2024 08:09:00</t>
  </si>
  <si>
    <t>11 Jul 2024 17:12:19</t>
  </si>
  <si>
    <t>S220.Furnace.TEOS.小PM(18um).8.LP-T3.2</t>
  </si>
  <si>
    <t>11 Jul 2024 03:06:30</t>
  </si>
  <si>
    <t>11 Jul 2024 14:32:20</t>
  </si>
  <si>
    <t>S220.Furnace.N+預置.大PM.28.F25.12</t>
  </si>
  <si>
    <t>10 Jul 2024 07:28:07</t>
  </si>
  <si>
    <t>10 Jul 2024 15:48:17</t>
  </si>
  <si>
    <t>S220.Furnace.SiN.Thick 小 PM(80).8.LP-N7.6</t>
  </si>
  <si>
    <t>10 Jul 2024 07:21:02</t>
  </si>
  <si>
    <t>10 Jul 2024 10:00:51</t>
  </si>
  <si>
    <t>S220.Furnace.閘層氧化.OXIDE FURNACE WAFER TRANSFER CHECK.5.F06.11</t>
  </si>
  <si>
    <t>10 Jul 2024 04:04:58</t>
  </si>
  <si>
    <t>10 Jul 2024 20:54:02</t>
  </si>
  <si>
    <t>S220.Furnace.Poly.5PM.25.LP-P3.1</t>
  </si>
  <si>
    <t>09 Jul 2024 08:38:53</t>
  </si>
  <si>
    <t>09 Jul 2024 17:54:00</t>
  </si>
  <si>
    <t>S220.Furnace.Poly.小PM.9.LP-P6.15</t>
  </si>
  <si>
    <t>09 Jul 2024 04:27:45</t>
  </si>
  <si>
    <t>09 Jul 2024 14:10:53</t>
  </si>
  <si>
    <t>S220.Furnace.融合.大PM.13.F40.3</t>
  </si>
  <si>
    <t>08 Jul 2024 19:17:50</t>
  </si>
  <si>
    <t>08 Jul 2024 19:35:32</t>
  </si>
  <si>
    <t>S220.Furnace.快速回火.25PM.9.RTP-3.1</t>
  </si>
  <si>
    <t>08 Jul 2024 07:27:00</t>
  </si>
  <si>
    <t>08 Jul 2024 09:36:06</t>
  </si>
  <si>
    <t>S220.Furnace.SAC氧化.OXIDE FURNACE WAFER TRANSFER CHECK.6.F22.11</t>
  </si>
  <si>
    <t>08 Jul 2024 02:00:32</t>
  </si>
  <si>
    <t>08 Jul 2024 22:49:06</t>
  </si>
  <si>
    <t>S220.Furnace.SiN.Thick_4PM.42.LP-N5.1</t>
  </si>
  <si>
    <t>07 Jul 2024 08:01:01</t>
  </si>
  <si>
    <t>07 Jul 2024 08:12:50</t>
  </si>
  <si>
    <t>S220.Furnace.快速回火.14PM.6.RTP-1.3</t>
  </si>
  <si>
    <t>06 Jul 2024 13:38:05</t>
  </si>
  <si>
    <t>06 Jul 2024 14:19:52</t>
  </si>
  <si>
    <t>S220.Furnace.快速回火.5PM.11.RTP-2.5</t>
  </si>
  <si>
    <t>05 Jul 2024 14:15:09</t>
  </si>
  <si>
    <t>05 Jul 2024 14:26:55</t>
  </si>
  <si>
    <t>S220.Furnace.量測厚度.EM每週保養.1.EM-6.219</t>
  </si>
  <si>
    <t>05 Jul 2024 13:42:03</t>
  </si>
  <si>
    <t>05 Jul 2024 13:58:47</t>
  </si>
  <si>
    <t>S220.Furnace.量測厚度.EM每週保養.1.EM-5.217</t>
  </si>
  <si>
    <t>05 Jul 2024 13:35:52</t>
  </si>
  <si>
    <t>05 Jul 2024 14:00:54</t>
  </si>
  <si>
    <t>S220.Furnace.量測厚度.EM每週保養.1.EM-4.217</t>
  </si>
  <si>
    <t>05 Jul 2024 13:35:30</t>
  </si>
  <si>
    <t>05 Jul 2024 15:15:52</t>
  </si>
  <si>
    <t>S220.Furnace.井區擴散.OXIDE FURNACE WAFER TRANSFER CHECK.5.F04.10</t>
  </si>
  <si>
    <t>05 Jul 2024 09:53:24</t>
  </si>
  <si>
    <t>05 Jul 2024 21:21:11</t>
  </si>
  <si>
    <t>S220.Furnace.Poly.1PM.27.LP-P4.1</t>
  </si>
  <si>
    <t>05 Jul 2024 08:37:47</t>
  </si>
  <si>
    <t>05 Jul 2024 09:52:35</t>
  </si>
  <si>
    <t>S220.Furnace.快速回火.1PM.8.RTP-4.4</t>
  </si>
  <si>
    <t>04 Jul 2024 13:03:09</t>
  </si>
  <si>
    <t>04 Jul 2024 15:06:17</t>
  </si>
  <si>
    <t>S220.Furnace.爐管烘烤.OXIDE FURNACE WAFER TRANSFER CHECK.5.F45.11</t>
  </si>
  <si>
    <t>04 Jul 2024 09:00:33</t>
  </si>
  <si>
    <t>04 Jul 2024 19:03:46</t>
  </si>
  <si>
    <t>S220.Furnace.TEOS.小PM(9um).10.LP-T8.4</t>
  </si>
  <si>
    <t>04 Jul 2024 07:29:00</t>
  </si>
  <si>
    <t>04 Jul 2024 16:29:53</t>
  </si>
  <si>
    <t>S220.Furnace.Poly.小PM.9.LP-P1.15</t>
  </si>
  <si>
    <t>04 Jul 2024 07:28:47</t>
  </si>
  <si>
    <t>04 Jul 2024 09:52:39</t>
  </si>
  <si>
    <t>S220.Furnace.井區擴散.OXIDE FURNACE WAFER TRANSFER CHECK.5.F08.9</t>
  </si>
  <si>
    <t>04 Jul 2024 00:44:34</t>
  </si>
  <si>
    <t>04 Jul 2024 01:03:53</t>
  </si>
  <si>
    <t>S220.Furnace.貼膠.PM.3.PASTE-3.546</t>
  </si>
  <si>
    <t>03 Jul 2024 21:26:00</t>
  </si>
  <si>
    <t>03 Jul 2024 21:45:19</t>
  </si>
  <si>
    <t>S220.Furnace.快速回火.24PM.6.RTP-3.4</t>
  </si>
  <si>
    <t>03 Jul 2024 13:57:02</t>
  </si>
  <si>
    <t>03 Jul 2024 14:24:22</t>
  </si>
  <si>
    <t>S220.Furnace.撕膠.每月保養.1.RIP.74</t>
  </si>
  <si>
    <t>03 Jul 2024 13:56:38</t>
  </si>
  <si>
    <t>03 Jul 2024 15:40:10</t>
  </si>
  <si>
    <t>S220.Furnace.OSC-1.每月保養.3.OSC-1.93</t>
  </si>
  <si>
    <t>03 Jul 2024 10:06:51</t>
  </si>
  <si>
    <t>03 Jul 2024 12:35:10</t>
  </si>
  <si>
    <t>S220.Furnace.Wsix.LOADLOCK.11.WSIX-1D.57</t>
  </si>
  <si>
    <t>03 Jul 2024 10:06:42</t>
  </si>
  <si>
    <t>03 Jul 2024 12:33:31</t>
  </si>
  <si>
    <t>S220.Furnace.Wsix.LOADLOCK.11.WSIX-1C.57</t>
  </si>
  <si>
    <t>03 Jul 2024 10:06:33</t>
  </si>
  <si>
    <t>03 Jul 2024 12:32:30</t>
  </si>
  <si>
    <t>S220.Furnace.Wsix.LOADLOCK.11.WSIX-1B.58</t>
  </si>
  <si>
    <t>03 Jul 2024 10:06:21</t>
  </si>
  <si>
    <t>03 Jul 2024 12:31:24</t>
  </si>
  <si>
    <t>S220.Furnace.Wsix.LOADLOCK.11.WSIX-1A.57</t>
  </si>
  <si>
    <t>03 Jul 2024 09:18:08</t>
  </si>
  <si>
    <t>03 Jul 2024 16:21:44</t>
  </si>
  <si>
    <t>S220.Furnace.TEOS.小PM(18um).8.LP-T6.2</t>
  </si>
  <si>
    <t>03 Jul 2024 09:14:24</t>
  </si>
  <si>
    <t>03 Jul 2024 14:23:40</t>
  </si>
  <si>
    <t>S220.Furnace.GRIND.GRD每月保養.4.GRD-2.106</t>
  </si>
  <si>
    <t>02 Jul 2024 07:27:22</t>
  </si>
  <si>
    <t>02 Jul 2024 17:21:57</t>
  </si>
  <si>
    <t>S220.Furnace.SiN.Thick 小 PM(40).7.LP-N3.15</t>
  </si>
  <si>
    <t>02 Jul 2024 07:23:46</t>
  </si>
  <si>
    <t>02 Jul 2024 13:48:08</t>
  </si>
  <si>
    <t>S220.Furnace.TEOS.小PM(9um).10.LP-T1.5</t>
  </si>
  <si>
    <t>02 Jul 2024 01:52:37</t>
  </si>
  <si>
    <t>02 Jul 2024 17:21:44</t>
  </si>
  <si>
    <t>S220.Furnace.閘層氧化.大PM.22.F18.1</t>
  </si>
  <si>
    <t>01 Jul 2024 13:49:53</t>
  </si>
  <si>
    <t>01 Jul 2024 15:55:16</t>
  </si>
  <si>
    <t>S220.Furnace.Wsix.LOADLOCK.11.WSIX-2D.54</t>
  </si>
  <si>
    <t>01 Jul 2024 13:49:38</t>
  </si>
  <si>
    <t>01 Jul 2024 15:55:07</t>
  </si>
  <si>
    <t>S220.Furnace.Wsix.LOADLOCK.11.WSIX-2C.55</t>
  </si>
  <si>
    <t>01 Jul 2024 13:49:23</t>
  </si>
  <si>
    <t>01 Jul 2024 15:54:56</t>
  </si>
  <si>
    <t>S220.Furnace.Wsix.LOADLOCK.11.WSIX-2B.54</t>
  </si>
  <si>
    <t>01 Jul 2024 13:49:04</t>
  </si>
  <si>
    <t>01 Jul 2024 15:54:48</t>
  </si>
  <si>
    <t>S220.Furnace.Wsix.LOADLOCK.11.WSIX-2A.53</t>
  </si>
  <si>
    <t>01 Jul 2024 09:53:22</t>
  </si>
  <si>
    <t>01 Jul 2024 16:59:38</t>
  </si>
  <si>
    <t>S220.Furnace.TEOS.小PM(9um).10.LP-T3.4</t>
  </si>
  <si>
    <t>01 Jul 2024 09:28:15</t>
  </si>
  <si>
    <t>01 Jul 2024 19:53:38</t>
  </si>
  <si>
    <t>S220.Furnace.SiN.Thick 小 PM(40).7.LP-N4.11</t>
  </si>
  <si>
    <t>30 Aug 2024 23:12:53</t>
  </si>
  <si>
    <t>30 Aug 2024 23:28:06</t>
  </si>
  <si>
    <t>S220.Furnace.快速回火.16PM.6.RTP-2.3</t>
  </si>
  <si>
    <t>30 Aug 2024 16:57:31</t>
  </si>
  <si>
    <t>03 Sep 2024 16:50:29</t>
  </si>
  <si>
    <t>S220.Furnace.N+預置.大PM.28.F13.12</t>
  </si>
  <si>
    <t>30 Aug 2024 16:07:21</t>
  </si>
  <si>
    <t>30 Aug 2024 17:21:01</t>
  </si>
  <si>
    <t>S220.Furnace.N+預置.更換POCL3 BOTTLE.4.F39.40</t>
  </si>
  <si>
    <t>30 Aug 2024 11:19:39</t>
  </si>
  <si>
    <t>30 Aug 2024 11:26:25</t>
  </si>
  <si>
    <t>S220.Furnace.量測厚度.EM每週保養.1.EM-4.223</t>
  </si>
  <si>
    <t>顏竹</t>
  </si>
  <si>
    <t>30 Aug 2024 10:06:45</t>
  </si>
  <si>
    <t>30 Aug 2024 10:30:31</t>
  </si>
  <si>
    <t>S220.Furnace.量測厚度.EM每週保養.1.EM-6.225</t>
  </si>
  <si>
    <t>30 Aug 2024 10:06:33</t>
  </si>
  <si>
    <t>30 Aug 2024 10:29:59</t>
  </si>
  <si>
    <t>S220.Furnace.量測厚度.EM每週保養.1.EM-5.223</t>
  </si>
  <si>
    <t>30 Aug 2024 08:51:35</t>
  </si>
  <si>
    <t>30 Aug 2024 16:16:05</t>
  </si>
  <si>
    <t>S220.Furnace.TEOS.小PM(9um).10.LP-T5.3</t>
  </si>
  <si>
    <t>30 Aug 2024 05:57:33</t>
  </si>
  <si>
    <t>30 Aug 2024 19:58:35</t>
  </si>
  <si>
    <t>S220.Furnace.Poly.2PM.22.LP-P3.1</t>
  </si>
  <si>
    <t>29 Aug 2024 13:04:55</t>
  </si>
  <si>
    <t>29 Aug 2024 16:48:19</t>
  </si>
  <si>
    <t>S220.Furnace.S/D氧化.OXIDE FURNACE WAFER TRANSFER CHECK.5.F33.12</t>
  </si>
  <si>
    <t>29 Aug 2024 10:41:08</t>
  </si>
  <si>
    <t>29 Aug 2024 15:39:37</t>
  </si>
  <si>
    <t>S220.Furnace.閘層氧化.OXIDE FURNACE WAFER TRANSFER CHECK.5.F19.6</t>
  </si>
  <si>
    <t>29 Aug 2024 08:22:18</t>
  </si>
  <si>
    <t>29 Aug 2024 16:13:17</t>
  </si>
  <si>
    <t>S220.Furnace.TEOS.小PM(9um).10.LP-T6.3</t>
  </si>
  <si>
    <t>28 Aug 2024 08:37:22</t>
  </si>
  <si>
    <t>28 Aug 2024 18:59:44</t>
  </si>
  <si>
    <t>S220.Furnace.SiN.Thick 小 PM(80).8.LP-N1.6</t>
  </si>
  <si>
    <t>28 Aug 2024 08:32:42</t>
  </si>
  <si>
    <t>28 Aug 2024 19:50:25</t>
  </si>
  <si>
    <t>S220.Furnace.TEOS.更換PUMP.1.LP-T2.1</t>
  </si>
  <si>
    <t>28 Aug 2024 07:41:18</t>
  </si>
  <si>
    <t>28 Aug 2024 22:09:15</t>
  </si>
  <si>
    <t>S220.Furnace.Poly.小PM.9.LP-P6.17</t>
  </si>
  <si>
    <t>28 Aug 2024 05:37:32</t>
  </si>
  <si>
    <t>28 Aug 2024 07:53:31</t>
  </si>
  <si>
    <t>S220.Furnace.快速回火.10PM.6.RTP-3.3</t>
  </si>
  <si>
    <t>M/D TEST RUN RS OOC 轉PM</t>
  </si>
  <si>
    <t>27 Aug 2024 13:59:20</t>
  </si>
  <si>
    <t>27 Aug 2024 16:08:58</t>
  </si>
  <si>
    <t>S220.Furnace.Wsix.LOADLOCK.11.WSIX-1B.62</t>
  </si>
  <si>
    <t>27 Aug 2024 13:59:10</t>
  </si>
  <si>
    <t>27 Aug 2024 16:09:13</t>
  </si>
  <si>
    <t>S220.Furnace.Wsix.LOADLOCK.11.WSIX-1C.60</t>
  </si>
  <si>
    <t>27 Aug 2024 13:58:59</t>
  </si>
  <si>
    <t>27 Aug 2024 16:08:44</t>
  </si>
  <si>
    <t>S220.Furnace.Wsix.LOADLOCK.11.WSIX-1A.61</t>
  </si>
  <si>
    <t>27 Aug 2024 13:33:48</t>
  </si>
  <si>
    <t>27 Aug 2024 14:52:08</t>
  </si>
  <si>
    <t>S220.Furnace.撕膠.每月保養.1.RIP.76</t>
  </si>
  <si>
    <t>27 Aug 2024 13:33:45</t>
  </si>
  <si>
    <t>27 Aug 2024 14:50:59</t>
  </si>
  <si>
    <t>S220.Furnace.貼膠.每月保養.1.PASTE-3.114</t>
  </si>
  <si>
    <t>27 Aug 2024 13:33:41</t>
  </si>
  <si>
    <t>27 Aug 2024 14:50:10</t>
  </si>
  <si>
    <t>S220.Furnace.OSC-1.每月保養.3.OSC-1.95</t>
  </si>
  <si>
    <t>27 Aug 2024 12:53:22</t>
  </si>
  <si>
    <t>27 Aug 2024 13:27:00</t>
  </si>
  <si>
    <t>S220.Furnace.墊層氧化.OXIDE FURNACE WAFER TRANSFER CHECK.5.F12.12</t>
  </si>
  <si>
    <t>27 Aug 2024 09:18:31</t>
  </si>
  <si>
    <t>27 Aug 2024 14:53:04</t>
  </si>
  <si>
    <t>S220.Furnace.GRIND.GRD每月保養.4.GRD-3.104</t>
  </si>
  <si>
    <t>27 Aug 2024 08:06:00</t>
  </si>
  <si>
    <t>27 Aug 2024 10:04:02</t>
  </si>
  <si>
    <t>S220.Furnace.井區擴散.OXIDE FURNACE WAFER TRANSFER CHECK.5.F10.2</t>
  </si>
  <si>
    <t>27 Aug 2024 06:27:32</t>
  </si>
  <si>
    <t>27 Aug 2024 20:13:38</t>
  </si>
  <si>
    <t>S220.Furnace.Wsix.WSIX 大PM.20.WSIX-1D.5</t>
  </si>
  <si>
    <t>26 Aug 2024 13:35:45</t>
  </si>
  <si>
    <t>26 Aug 2024 16:20:44</t>
  </si>
  <si>
    <t>S220.Furnace.N+預置.更換POCL3 BOTTLE.4.F13.50</t>
  </si>
  <si>
    <t>26 Aug 2024 13:04:26</t>
  </si>
  <si>
    <t>26 Aug 2024 15:05:07</t>
  </si>
  <si>
    <t>S220.Furnace.SAC氧化.OXIDE FURNACE WAFER TRANSFER CHECK.6.F20.11</t>
  </si>
  <si>
    <t>26 Aug 2024 10:41:27</t>
  </si>
  <si>
    <t>26 Aug 2024 13:37:41</t>
  </si>
  <si>
    <t>S220.Furnace.場氧化.OXIDE FURNACE WAFER TRANSFER CHECK.5.F07.12</t>
  </si>
  <si>
    <t>26 Aug 2024 09:04:16</t>
  </si>
  <si>
    <t>26 Aug 2024 22:48:09</t>
  </si>
  <si>
    <t>S220.Furnace.TEOS.小PM(9um).10.LP-T1.7</t>
  </si>
  <si>
    <t>26 Aug 2024 08:01:32</t>
  </si>
  <si>
    <t>26 Aug 2024 15:46:00</t>
  </si>
  <si>
    <t>S220.Furnace.Poly.小PM.9.LP-P2.21</t>
  </si>
  <si>
    <t>25 Aug 2024 22:12:41</t>
  </si>
  <si>
    <t>25 Aug 2024 22:43:45</t>
  </si>
  <si>
    <t>S220.Furnace.快速回火.23PM.6.RTP-1.4</t>
  </si>
  <si>
    <t>25 Aug 2024 20:52:06</t>
  </si>
  <si>
    <t>25 Aug 2024 21:24:46</t>
  </si>
  <si>
    <t>S220.Furnace.快速回火.9PM.6.RTP-4.4</t>
  </si>
  <si>
    <t>25 Aug 2024 17:30:25</t>
  </si>
  <si>
    <t>25 Aug 2024 17:41:30</t>
  </si>
  <si>
    <t>S220.Furnace.N+預置.更換POCL3 BOTTLE.4.F25.46</t>
  </si>
  <si>
    <t>25 Aug 2024 15:53:17</t>
  </si>
  <si>
    <t>25 Aug 2024 16:07:59</t>
  </si>
  <si>
    <t>S220.Furnace.快速回火.15PM.6.RTP-2.3</t>
  </si>
  <si>
    <t>24 Aug 2024 07:47:39</t>
  </si>
  <si>
    <t>24 Aug 2024 08:14:46</t>
  </si>
  <si>
    <t>S220.Furnace.快速回火.9PM.6.RTP-3.6</t>
  </si>
  <si>
    <t>23 Aug 2024 15:22:13</t>
  </si>
  <si>
    <t>23 Aug 2024 15:59:29</t>
  </si>
  <si>
    <t>S220.Furnace.量測厚度.EM 每月保養.1.EM-6.58</t>
  </si>
  <si>
    <t>23 Aug 2024 15:22:01</t>
  </si>
  <si>
    <t>23 Aug 2024 15:59:18</t>
  </si>
  <si>
    <t>S220.Furnace.量測厚度.EM 每月保養.1.EM-5.60</t>
  </si>
  <si>
    <t>23 Aug 2024 10:40:36</t>
  </si>
  <si>
    <t>23 Aug 2024 11:06:59</t>
  </si>
  <si>
    <t>S220.Furnace.量測厚度.EM 每月保養.1.EM-4.70</t>
  </si>
  <si>
    <t>23 Aug 2024 10:38:27</t>
  </si>
  <si>
    <t>23 Aug 2024 13:55:12</t>
  </si>
  <si>
    <t>S220.Furnace.井區擴散.OXIDE FURNACE WAFER TRANSFER CHECK.5.F24.11</t>
  </si>
  <si>
    <t>23 Aug 2024 08:11:30</t>
  </si>
  <si>
    <t>23 Aug 2024 19:54:39</t>
  </si>
  <si>
    <t>S220.Furnace.Poly.小PM.9.LP-P4.21</t>
  </si>
  <si>
    <t>23 Aug 2024 08:09:38</t>
  </si>
  <si>
    <t>23 Aug 2024 10:16:34</t>
  </si>
  <si>
    <t>S220.Furnace.SAC氧化.OXIDE FURNACE WAFER TRANSFER CHECK.6.F21.12</t>
  </si>
  <si>
    <t>23 Aug 2024 07:33:15</t>
  </si>
  <si>
    <t>23 Aug 2024 16:09:34</t>
  </si>
  <si>
    <t>S220.Furnace.TEOS.小PM(18um).8.LP-T8.4</t>
  </si>
  <si>
    <t>22 Aug 2024 19:43:27</t>
  </si>
  <si>
    <t>22 Aug 2024 20:03:02</t>
  </si>
  <si>
    <t>S220.Furnace.快速回火.14PM.6.RTP-2.4</t>
  </si>
  <si>
    <t>22 Aug 2024 13:02:57</t>
  </si>
  <si>
    <t>22 Aug 2024 15:44:30</t>
  </si>
  <si>
    <t>S220.Furnace.爐管烘烤.OXIDE FURNACE WAFER TRANSFER CHECK.5.F28.10</t>
  </si>
  <si>
    <t>22 Aug 2024 09:26:23</t>
  </si>
  <si>
    <t>22 Aug 2024 16:40:24</t>
  </si>
  <si>
    <t>S220.Furnace.SiN.Thick 小 PM(80).8.LP-N4.10</t>
  </si>
  <si>
    <t>22 Aug 2024 08:30:26</t>
  </si>
  <si>
    <t>22 Aug 2024 11:07:51</t>
  </si>
  <si>
    <t>S220.Furnace.墊層氧化.OXIDE FURNACE WAFER TRANSFER CHECK.5.F17.12</t>
  </si>
  <si>
    <t>22 Aug 2024 02:12:33</t>
  </si>
  <si>
    <t>22 Aug 2024 16:06:53</t>
  </si>
  <si>
    <t>S220.Furnace.閘層氧化.大PM.22.F23.1</t>
  </si>
  <si>
    <t>21 Aug 2024 17:38:03</t>
  </si>
  <si>
    <t>22 Aug 2024 15:01:24</t>
  </si>
  <si>
    <t>S220.Furnace.N+預置.大PM.28.F25.13</t>
  </si>
  <si>
    <t>21 Aug 2024 12:07:13</t>
  </si>
  <si>
    <t>21 Aug 2024 15:40:36</t>
  </si>
  <si>
    <t>S220.Furnace.場氧化.OXIDE FURNACE WAFER TRANSFER CHECK.5.F01.10</t>
  </si>
  <si>
    <t>21 Aug 2024 09:14:00</t>
  </si>
  <si>
    <t>21 Aug 2024 17:55:01</t>
  </si>
  <si>
    <t>S220.Furnace.Poly.小PM.9.LP-P1.17</t>
  </si>
  <si>
    <t>21 Aug 2024 09:02:32</t>
  </si>
  <si>
    <t>21 Aug 2024 10:38:54</t>
  </si>
  <si>
    <t>S220.Furnace.爐管烘烤.OXIDE FURNACE WAFER TRANSFER CHECK.5.F44.11</t>
  </si>
  <si>
    <t>21 Aug 2024 05:14:38</t>
  </si>
  <si>
    <t>22 Aug 2024 00:26:22</t>
  </si>
  <si>
    <t>S220.Furnace.SiN.Thick_1PM.34.LP-N5.1</t>
  </si>
  <si>
    <t>21 Aug 2024 01:02:29</t>
  </si>
  <si>
    <t>21 Aug 2024 02:25:03</t>
  </si>
  <si>
    <t>S220.Furnace.快速回火.8PM.6.RTP-4.4</t>
  </si>
  <si>
    <t>21 Aug 2024 00:55:16</t>
  </si>
  <si>
    <t>21 Aug 2024 02:24:06</t>
  </si>
  <si>
    <t>S220.Furnace.快速回火.22PM.6.RTP-1.4</t>
  </si>
  <si>
    <t>20 Aug 2024 10:11:56</t>
  </si>
  <si>
    <t>20 Aug 2024 11:27:53</t>
  </si>
  <si>
    <t>S220.Furnace.井區擴散.OXIDE FURNACE WAFER TRANSFER CHECK.5.F05.10</t>
  </si>
  <si>
    <t>20 Aug 2024 07:59:41</t>
  </si>
  <si>
    <t>20 Aug 2024 20:01:17</t>
  </si>
  <si>
    <t>S220.Furnace.TEOS.小PM(18um).8.LP-T3.3</t>
  </si>
  <si>
    <t>20 Aug 2024 07:20:25</t>
  </si>
  <si>
    <t>20 Aug 2024 09:25:10</t>
  </si>
  <si>
    <t>S220.Furnace.墊層氧化.OXIDE FURNACE WAFER TRANSFER CHECK.5.F26.12</t>
  </si>
  <si>
    <t>20 Aug 2024 03:50:12</t>
  </si>
  <si>
    <t>20 Aug 2024 19:28:09</t>
  </si>
  <si>
    <t>S220.Furnace.SiN.Thick_1PM.34.LP-N3.1</t>
  </si>
  <si>
    <t>19 Aug 2024 19:22:29</t>
  </si>
  <si>
    <t>19 Aug 2024 20:37:30</t>
  </si>
  <si>
    <t>S220.Furnace.GRIND.GRD每月保養.4.GRD-2.108</t>
  </si>
  <si>
    <t>19 Aug 2024 16:17:55</t>
  </si>
  <si>
    <t>19 Aug 2024 16:54:14</t>
  </si>
  <si>
    <t>S220.Furnace.快速回火.8PM.6.RTP-3.4</t>
  </si>
  <si>
    <t>19 Aug 2024 08:35:51</t>
  </si>
  <si>
    <t>19 Aug 2024 16:16:59</t>
  </si>
  <si>
    <t>S220.Furnace.TEOS.小PM(9um).10.LP-T2.4</t>
  </si>
  <si>
    <t>19 Aug 2024 07:55:02</t>
  </si>
  <si>
    <t>19 Aug 2024 15:37:57</t>
  </si>
  <si>
    <t>S220.Furnace.Poly.小PM.9.LP-P3.16</t>
  </si>
  <si>
    <t>19 Aug 2024 07:21:32</t>
  </si>
  <si>
    <t>19 Aug 2024 14:45:34</t>
  </si>
  <si>
    <t>S220.Furnace.SiN.Thick 小 PM(40).7.LP-N7.7</t>
  </si>
  <si>
    <t>18 Aug 2024 09:37:09</t>
  </si>
  <si>
    <t>18 Aug 2024 10:02:48</t>
  </si>
  <si>
    <t>S220.Furnace.快速回火.13PM.6.RTP-2.4</t>
  </si>
  <si>
    <t>16 Aug 2024 13:15:10</t>
  </si>
  <si>
    <t>16 Aug 2024 14:24:58</t>
  </si>
  <si>
    <t>S220.Furnace.PLUG回火.OXIDE FURNACE WAFER TRANSFER CHECK.5.F41.14</t>
  </si>
  <si>
    <t>16 Aug 2024 09:50:33</t>
  </si>
  <si>
    <t>16 Aug 2024 11:18:05</t>
  </si>
  <si>
    <t>S220.Furnace.融合.OXIDE FURNACE WAFER TRANSFER CHECK.5.F29.11</t>
  </si>
  <si>
    <t>16 Aug 2024 09:49:53</t>
  </si>
  <si>
    <t>16 Aug 2024 09:56:15</t>
  </si>
  <si>
    <t>S220.Furnace.爐管烘烤.KEY  IN  ERROR.1.F30.12</t>
  </si>
  <si>
    <t>EA KEY IN ERROR</t>
  </si>
  <si>
    <t>16 Aug 2024 09:33:49</t>
  </si>
  <si>
    <t>16 Aug 2024 09:55:30</t>
  </si>
  <si>
    <t>S220.Furnace.量測厚度.EM每週保養.1.EM-4.222</t>
  </si>
  <si>
    <t>16 Aug 2024 09:27:26</t>
  </si>
  <si>
    <t>16 Aug 2024 09:55:07</t>
  </si>
  <si>
    <t>S220.Furnace.量測厚度.EM每週保養.1.EM-5.222</t>
  </si>
  <si>
    <t>16 Aug 2024 09:23:06</t>
  </si>
  <si>
    <t>16 Aug 2024 09:55:19</t>
  </si>
  <si>
    <t>S220.Furnace.量測厚度.EM每週保養.1.EM-6.224</t>
  </si>
  <si>
    <t>16 Aug 2024 05:10:49</t>
  </si>
  <si>
    <t>17 Aug 2024 07:43:56</t>
  </si>
  <si>
    <t>S220.Furnace.Poly.5PM.25.LP-P6.1</t>
  </si>
  <si>
    <t>15 Aug 2024 13:00:59</t>
  </si>
  <si>
    <t>15 Aug 2024 13:55:11</t>
  </si>
  <si>
    <t>S220.Furnace.快速回火.21PM.6.RTP-1.4</t>
  </si>
  <si>
    <t>15 Aug 2024 12:53:08</t>
  </si>
  <si>
    <t>15 Aug 2024 15:08:12</t>
  </si>
  <si>
    <t>S220.Furnace.場氧化.OXIDE FURNACE WAFER TRANSFER CHECK.5.F02.12</t>
  </si>
  <si>
    <t>15 Aug 2024 07:28:58</t>
  </si>
  <si>
    <t>15 Aug 2024 09:22:07</t>
  </si>
  <si>
    <t>S220.Furnace.S/D氧化.OXIDE FURNACE WAFER TRANSFER CHECK.5.F35.11</t>
  </si>
  <si>
    <t>15 Aug 2024 03:49:00</t>
  </si>
  <si>
    <t>15 Aug 2024 14:01:46</t>
  </si>
  <si>
    <t>S220.Furnace.爐管烘烤.大PM.14.F30.3</t>
  </si>
  <si>
    <t>14 Aug 2024 12:01:42</t>
  </si>
  <si>
    <t>14 Aug 2024 14:02:32</t>
  </si>
  <si>
    <t>S220.Furnace.快速回火.7PM.6.RTP-3.4</t>
  </si>
  <si>
    <t>14 Aug 2024 10:15:20</t>
  </si>
  <si>
    <t>14 Aug 2024 14:18:33</t>
  </si>
  <si>
    <t>S220.Furnace.IMP M/W ANNEAL.YPM.2.RTP-M.3</t>
  </si>
  <si>
    <t>14 Aug 2024 03:43:45</t>
  </si>
  <si>
    <t>14 Aug 2024 19:00:28</t>
  </si>
  <si>
    <t>S220.Furnace.N+預置.大PM.28.F13.11</t>
  </si>
  <si>
    <t>14 Aug 2024 03:41:16</t>
  </si>
  <si>
    <t>14 Aug 2024 20:19:45</t>
  </si>
  <si>
    <t>S220.Furnace.Poly.3PM.21.LP-P2.1</t>
  </si>
  <si>
    <t>13 Aug 2024 16:20:17</t>
  </si>
  <si>
    <t>13 Aug 2024 17:02:59</t>
  </si>
  <si>
    <t>S220.Furnace.快速回火.7PM.6.RTP-4.3</t>
  </si>
  <si>
    <t>13 Aug 2024 03:41:58</t>
  </si>
  <si>
    <t>13 Aug 2024 19:49:29</t>
  </si>
  <si>
    <t>S220.Furnace.Poly.3PM.21.LP-P4.1</t>
  </si>
  <si>
    <t>13 Aug 2024 02:47:30</t>
  </si>
  <si>
    <t>13 Aug 2024 19:23:13</t>
  </si>
  <si>
    <t>S220.Furnace.TEOS.3PM.36.LP-T1.1</t>
  </si>
  <si>
    <t>12 Aug 2024 08:35:10</t>
  </si>
  <si>
    <t>12 Aug 2024 16:04:56</t>
  </si>
  <si>
    <t>S220.Furnace.SiN.Thick 小 PM(40).7.LP-N4.12</t>
  </si>
  <si>
    <t>12 Aug 2024 08:34:39</t>
  </si>
  <si>
    <t>12 Aug 2024 10:01:58</t>
  </si>
  <si>
    <t>S220.Furnace.快速回火.12PM.6.RTP-2.4</t>
  </si>
  <si>
    <t>12 Aug 2024 07:38:11</t>
  </si>
  <si>
    <t>12 Aug 2024 16:06:00</t>
  </si>
  <si>
    <t>S220.Furnace.TEOS.小PM(9um).10.LP-T4.3</t>
  </si>
  <si>
    <t>09 Aug 2024 08:58:16</t>
  </si>
  <si>
    <t>09 Aug 2024 09:23:18</t>
  </si>
  <si>
    <t>S220.Furnace.快速回火.20PM.6.RTP-1.4</t>
  </si>
  <si>
    <t>09 Aug 2024 07:52:22</t>
  </si>
  <si>
    <t>09 Aug 2024 16:16:35</t>
  </si>
  <si>
    <t>S220.Furnace.TEOS.小PM(9um).10.LP-T8.5</t>
  </si>
  <si>
    <t>09 Aug 2024 05:29:20</t>
  </si>
  <si>
    <t>09 Aug 2024 19:16:41</t>
  </si>
  <si>
    <t>S220.Furnace.Poly.2PM.22.LP-P1.1</t>
  </si>
  <si>
    <t>09 Aug 2024 04:00:22</t>
  </si>
  <si>
    <t>09 Aug 2024 17:23:31</t>
  </si>
  <si>
    <t>S220.Furnace.PLUG回火.大PM.18.F38.3</t>
  </si>
  <si>
    <t>08 Aug 2024 10:19:25</t>
  </si>
  <si>
    <t>08 Aug 2024 15:59:44</t>
  </si>
  <si>
    <t>S220.Furnace.SiN.Thick 小 PM(80).8.LP-N3.8</t>
  </si>
  <si>
    <t>08 Aug 2024 09:19:08</t>
  </si>
  <si>
    <t>08 Aug 2024 09:29:13</t>
  </si>
  <si>
    <t>S220.Furnace.量測厚度.EM每週保養.1.EM-4.221</t>
  </si>
  <si>
    <t>08 Aug 2024 09:18:58</t>
  </si>
  <si>
    <t>08 Aug 2024 09:29:02</t>
  </si>
  <si>
    <t>S220.Furnace.量測厚度.EM每週保養.1.EM-5.221</t>
  </si>
  <si>
    <t>08 Aug 2024 09:08:22</t>
  </si>
  <si>
    <t>08 Aug 2024 09:22:04</t>
  </si>
  <si>
    <t>S220.Furnace.量測厚度.EM每週保養.1.EM-6.223</t>
  </si>
  <si>
    <t>08 Aug 2024 07:49:36</t>
  </si>
  <si>
    <t>08 Aug 2024 09:35:19</t>
  </si>
  <si>
    <t>S220.Furnace.場氧化.OXIDE FURNACE WAFER TRANSFER CHECK.5.F03.12</t>
  </si>
  <si>
    <t>07 Aug 2024 19:47:03</t>
  </si>
  <si>
    <t>07 Aug 2024 20:43:46</t>
  </si>
  <si>
    <t>S220.Furnace.快速回火.6PM.10.RTP-3.4</t>
  </si>
  <si>
    <t>07 Aug 2024 08:05:03</t>
  </si>
  <si>
    <t>07 Aug 2024 15:32:14</t>
  </si>
  <si>
    <t>S220.Furnace.TEOS.小PM(9um).10.LP-T3.5</t>
  </si>
  <si>
    <t>07 Aug 2024 07:52:34</t>
  </si>
  <si>
    <t>07 Aug 2024 16:05:45</t>
  </si>
  <si>
    <t>S220.Furnace.SiN.Thick 小 PM(80).8.LP-N5.7</t>
  </si>
  <si>
    <t>06 Aug 2024 19:52:05</t>
  </si>
  <si>
    <t>06 Aug 2024 20:02:53</t>
  </si>
  <si>
    <t>S220.Furnace.快速回火.6PM.10.RTP-4.4</t>
  </si>
  <si>
    <t>06 Aug 2024 10:25:59</t>
  </si>
  <si>
    <t>06 Aug 2024 11:27:54</t>
  </si>
  <si>
    <t>S220.Furnace.研磨厚度量測.MPM.1.ADE.15</t>
  </si>
  <si>
    <t>06 Aug 2024 10:25:53</t>
  </si>
  <si>
    <t>06 Aug 2024 11:43:00</t>
  </si>
  <si>
    <t>S220.Furnace.osc-2.每月保養.1.OSC-2.66</t>
  </si>
  <si>
    <t>06 Aug 2024 09:18:27</t>
  </si>
  <si>
    <t>06 Aug 2024 14:57:27</t>
  </si>
  <si>
    <t>S220.Furnace.GRIND.GRD每月保養.4.GRD-3.103</t>
  </si>
  <si>
    <t>06 Aug 2024 08:50:51</t>
  </si>
  <si>
    <t>06 Aug 2024 09:20:55</t>
  </si>
  <si>
    <t>S220.Furnace.快速回火.11PM.6.RTP-2.4</t>
  </si>
  <si>
    <t>06 Aug 2024 08:12:25</t>
  </si>
  <si>
    <t>06 Aug 2024 15:39:35</t>
  </si>
  <si>
    <t>S220.Furnace.TEOS.小PM(18um).8.LP-T1.3</t>
  </si>
  <si>
    <t>05 Aug 2024 22:48:35</t>
  </si>
  <si>
    <t>06 Aug 2024 18:43:20</t>
  </si>
  <si>
    <t>S220.Furnace.Poly.1PM.27.LP-P3.1</t>
  </si>
  <si>
    <t>05 Aug 2024 08:59:54</t>
  </si>
  <si>
    <t>05 Aug 2024 15:42:19</t>
  </si>
  <si>
    <t>S220.Furnace.Poly.小PM.9.LP-P4.20</t>
  </si>
  <si>
    <t>05 Aug 2024 00:59:18</t>
  </si>
  <si>
    <t>05 Aug 2024 17:59:59</t>
  </si>
  <si>
    <t>S220.Furnace.TEOS.1PM.36.LP-T5.1</t>
  </si>
  <si>
    <t>04 Aug 2024 01:03:19</t>
  </si>
  <si>
    <t>04 Aug 2024 02:15:09</t>
  </si>
  <si>
    <t>S220.Furnace.快速回火.19PM.6.RTP-1.5</t>
  </si>
  <si>
    <t>02 Aug 2024 10:41:24</t>
  </si>
  <si>
    <t>02 Aug 2024 10:50:00</t>
  </si>
  <si>
    <t>S220.Furnace.量測厚度.EM每週保養.1.EM-4.220</t>
  </si>
  <si>
    <t>02 Aug 2024 09:18:16</t>
  </si>
  <si>
    <t>02 Aug 2024 10:37:39</t>
  </si>
  <si>
    <t>S220.Furnace.量測厚度.EM每週保養.1.EM-6.222</t>
  </si>
  <si>
    <t>02 Aug 2024 09:18:00</t>
  </si>
  <si>
    <t>02 Aug 2024 09:26:00</t>
  </si>
  <si>
    <t>S220.Furnace.量測厚度.EM每週保養.1.EM-5.220</t>
  </si>
  <si>
    <t>02 Aug 2024 09:11:50</t>
  </si>
  <si>
    <t>02 Aug 2024 10:34:49</t>
  </si>
  <si>
    <t>S220.Furnace.快速回火.5PM.11.RTP-3.4</t>
  </si>
  <si>
    <t>02 Aug 2024 08:23:58</t>
  </si>
  <si>
    <t>02 Aug 2024 15:43:51</t>
  </si>
  <si>
    <t>S220.Furnace.Poly.小PM.9.LP-P2.20</t>
  </si>
  <si>
    <t>02 Aug 2024 07:45:24</t>
  </si>
  <si>
    <t>02 Aug 2024 08:04:53</t>
  </si>
  <si>
    <t>S220.Furnace.Poly.小PM.9.LP-P2.19</t>
  </si>
  <si>
    <t>02 Aug 2024 07:32:00</t>
  </si>
  <si>
    <t>02 Aug 2024 10:36:43</t>
  </si>
  <si>
    <t>S220.Furnace.PLUG回火.OXIDE FURNACE WAFER TRANSFER CHECK.5.F36.11</t>
  </si>
  <si>
    <t>02 Aug 2024 03:06:22</t>
  </si>
  <si>
    <t>02 Aug 2024 19:38:17</t>
  </si>
  <si>
    <t>S220.Furnace.TEOS.2PM.34.LP-T2.1</t>
  </si>
  <si>
    <t>01 Aug 2024 13:25:24</t>
  </si>
  <si>
    <t>01 Aug 2024 16:00:06</t>
  </si>
  <si>
    <t>S220.Furnace.Wsix.LOADLOCK.11.WSIX-1D.60</t>
  </si>
  <si>
    <t>01 Aug 2024 13:25:11</t>
  </si>
  <si>
    <t>01 Aug 2024 15:59:58</t>
  </si>
  <si>
    <t>S220.Furnace.Wsix.LOADLOCK.11.WSIX-1C.59</t>
  </si>
  <si>
    <t>01 Aug 2024 13:24:57</t>
  </si>
  <si>
    <t>01 Aug 2024 15:59:52</t>
  </si>
  <si>
    <t>S220.Furnace.Wsix.LOADLOCK.11.WSIX-1B.61</t>
  </si>
  <si>
    <t>01 Aug 2024 13:24:47</t>
  </si>
  <si>
    <t>01 Aug 2024 15:59:44</t>
  </si>
  <si>
    <t>S220.Furnace.Wsix.LOADLOCK.11.WSIX-1A.60</t>
  </si>
  <si>
    <t>01 Aug 2024 09:44:09</t>
  </si>
  <si>
    <t>01 Aug 2024 11:39:02</t>
  </si>
  <si>
    <t>S220.Furnace.Wsix.LOADLOCK.11.WSIX-2A.54</t>
  </si>
  <si>
    <t>01 Aug 2024 09:43:59</t>
  </si>
  <si>
    <t>01 Aug 2024 11:39:16</t>
  </si>
  <si>
    <t>S220.Furnace.Wsix.LOADLOCK.11.WSIX-2B.56</t>
  </si>
  <si>
    <t>01 Aug 2024 09:43:50</t>
  </si>
  <si>
    <t>01 Aug 2024 11:39:09</t>
  </si>
  <si>
    <t>S220.Furnace.Wsix.LOADLOCK.11.WSIX-2C.57</t>
  </si>
  <si>
    <t>01 Aug 2024 09:43:41</t>
  </si>
  <si>
    <t>01 Aug 2024 11:39:23</t>
  </si>
  <si>
    <t>S220.Furnace.Wsix.LOADLOCK.11.WSIX-2D.56</t>
  </si>
  <si>
    <t>01 Aug 2024 09:04:58</t>
  </si>
  <si>
    <t>01 Aug 2024 11:14:21</t>
  </si>
  <si>
    <t>S220.Furnace.井區擴散.OXIDE FURNACE WAFER TRANSFER CHECK.5.F11.10</t>
  </si>
  <si>
    <t>01 Aug 2024 08:37:21</t>
  </si>
  <si>
    <t>01 Aug 2024 09:21:07</t>
  </si>
  <si>
    <t>S220.Furnace.快速回火.10PM.6.RTP-2.4</t>
  </si>
  <si>
    <t>N5</t>
  </si>
  <si>
    <t>C4</t>
  </si>
  <si>
    <t>replace 轉子</t>
  </si>
  <si>
    <t xml:space="preserve">
1. run N01 C4 PTC=194 OOC , check map 集中於 2點鐘方向 pattern
2. 類似轉子異常 map , 卸轉子 belt check 轉子轉到某一角度卡卡
3. replace 轉子 ok , check 承接 &amp; 刮管 &amp; 傳送 ok
4. test run N01 PTC=0/0/0 ok , release</t>
  </si>
  <si>
    <t>加量 PTC C1~C6=3/51/44/195/12/1
加量 C4 slot-2/13/25=129/164/116 &lt;200ea
All C1-C6 ptc&lt;200ea in spec pass</t>
  </si>
  <si>
    <t>02 Oct 2024 14:19:13</t>
  </si>
  <si>
    <t>02 Oct 2024 16:13:29</t>
  </si>
  <si>
    <t>S220.Furnace.融合.OXIDE FURNACE WAFER TRANSFER CHECK.6.F29.1</t>
  </si>
  <si>
    <t>02 Oct 2024 07:23:24</t>
  </si>
  <si>
    <t>02 Oct 2024 09:55:55</t>
  </si>
  <si>
    <t>S220.Furnace.場氧化.OXIDE FURNACE WAFER TRANSFER CHECK.6.F02.1</t>
  </si>
  <si>
    <t>02 Oct 2024 06:27:31</t>
  </si>
  <si>
    <t>02 Oct 2024 20:34:34</t>
  </si>
  <si>
    <t>S220.Furnace.Poly.4PM.21.LP-P1.1</t>
  </si>
  <si>
    <t>01 Oct 2024 14:23:04</t>
  </si>
  <si>
    <t>01 Oct 2024 17:26:07</t>
  </si>
  <si>
    <t>S220.Furnace.快速回火.4PM.8.RTP-1.4</t>
  </si>
  <si>
    <t>01 Oct 2024 13:05:14</t>
  </si>
  <si>
    <t>01 Oct 2024 14:46:43</t>
  </si>
  <si>
    <t>S220.Furnace.Wsix.LOADLOCK.11.WSIX-1A.62</t>
  </si>
  <si>
    <t>01 Oct 2024 13:05:01</t>
  </si>
  <si>
    <t>01 Oct 2024 14:46:59</t>
  </si>
  <si>
    <t>S220.Furnace.Wsix.LOADLOCK.11.WSIX-1B.64</t>
  </si>
  <si>
    <t>01 Oct 2024 13:04:48</t>
  </si>
  <si>
    <t>01 Oct 2024 14:47:14</t>
  </si>
  <si>
    <t>S220.Furnace.Wsix.LOADLOCK.11.WSIX-1C.62</t>
  </si>
  <si>
    <t>01 Oct 2024 13:04:40</t>
  </si>
  <si>
    <t>01 Oct 2024 14:47:30</t>
  </si>
  <si>
    <t>S220.Furnace.Wsix.LOADLOCK.11.WSIX-1D.62</t>
  </si>
  <si>
    <t>01 Oct 2024 13:00:14</t>
  </si>
  <si>
    <t>01 Oct 2024 14:59:04</t>
  </si>
  <si>
    <t>S220.Furnace.S/D氧化.OXIDE FURNACE WAFER TRANSFER CHECK.6.F35.1</t>
  </si>
  <si>
    <t>01 Oct 2024 09:14:09</t>
  </si>
  <si>
    <t>01 Oct 2024 11:13:03</t>
  </si>
  <si>
    <t>S220.Furnace.Wsix.LOADLOCK.11.WSIX-2A.56</t>
  </si>
  <si>
    <t>01 Oct 2024 09:13:55</t>
  </si>
  <si>
    <t>01 Oct 2024 11:13:21</t>
  </si>
  <si>
    <t>S220.Furnace.Wsix.LOADLOCK.11.WSIX-2B.58</t>
  </si>
  <si>
    <t>01 Oct 2024 09:12:43</t>
  </si>
  <si>
    <t>01 Oct 2024 11:14:08</t>
  </si>
  <si>
    <t>S220.Furnace.Wsix.LOADLOCK.11.WSIX-2C.59</t>
  </si>
  <si>
    <t>01 Oct 2024 09:12:34</t>
  </si>
  <si>
    <t>01 Oct 2024 11:13:44</t>
  </si>
  <si>
    <t>S220.Furnace.Wsix.LOADLOCK.11.WSIX-2D.58</t>
  </si>
  <si>
    <t>01 Oct 2024 08:14:27</t>
  </si>
  <si>
    <t>01 Oct 2024 18:44:54</t>
  </si>
  <si>
    <t>S220.Furnace.TEOS.小PM(18um).8.LP-T6.3</t>
  </si>
  <si>
    <t>01 Oct 2024 08:08:28</t>
  </si>
  <si>
    <t>01 Oct 2024 09:31:04</t>
  </si>
  <si>
    <t>S220.Furnace.爐管烘烤.OXIDE FURNACE WAFER TRANSFER CHECK.6.F30.1</t>
  </si>
  <si>
    <t>01 Oct 2024 03:07:12</t>
  </si>
  <si>
    <t>01 Oct 2024 03:48:58</t>
  </si>
  <si>
    <t>S220.Furnace.快速回火.16PM.6.RTP-3.4</t>
  </si>
  <si>
    <t>林峻毅</t>
  </si>
  <si>
    <t>30 Sep 2024 13:26:07</t>
  </si>
  <si>
    <t>30 Sep 2024 15:47:33</t>
  </si>
  <si>
    <t>S220.Furnace.PLUG回火.OXIDE FURNACE WAFER TRANSFER CHECK.6.F41.1</t>
  </si>
  <si>
    <t>30 Sep 2024 09:50:38</t>
  </si>
  <si>
    <t>30 Sep 2024 10:37:07</t>
  </si>
  <si>
    <t>S220.Furnace.快速回火.22PM.6.RTP-2.4</t>
  </si>
  <si>
    <t>拆chiller 送修</t>
  </si>
  <si>
    <t>30 Sep 2024 09:12:33</t>
  </si>
  <si>
    <t>30 Sep 2024 11:14:32</t>
  </si>
  <si>
    <t>S220.Furnace.PLUG回火.OXIDE FURNACE WAFER TRANSFER CHECK.6.F38.1</t>
  </si>
  <si>
    <t>30 Sep 2024 05:16:53</t>
  </si>
  <si>
    <t>30 Sep 2024 19:41:51</t>
  </si>
  <si>
    <t>S220.Furnace.SiN.Thick_2PM.32.LP-N3.1</t>
  </si>
  <si>
    <t>28 Sep 2024 20:47:59</t>
  </si>
  <si>
    <t>28 Sep 2024 21:08:24</t>
  </si>
  <si>
    <t>S220.Furnace.快速回火.14PM.6.RTP-4.4</t>
  </si>
  <si>
    <t>28 Sep 2024 20:35:02</t>
  </si>
  <si>
    <t>28 Sep 2024 20:52:58</t>
  </si>
  <si>
    <t>S220.Furnace.快速回火.21PM.6.RTP-2.4</t>
  </si>
  <si>
    <t>28 Sep 2024 04:14:17</t>
  </si>
  <si>
    <t>28 Sep 2024 04:35:13</t>
  </si>
  <si>
    <t>S220.Furnace.撕膠.PM.2.RIP.2146</t>
  </si>
  <si>
    <t>27 Sep 2024 16:29:36</t>
  </si>
  <si>
    <t>27 Sep 2024 16:33:51</t>
  </si>
  <si>
    <t>S220.Furnace.量測厚度.EM每週保養.1.EM-4.227</t>
  </si>
  <si>
    <t>27 Sep 2024 15:14:41</t>
  </si>
  <si>
    <t>27 Sep 2024 15:19:18</t>
  </si>
  <si>
    <t>S220.Furnace.量測厚度.EM每週保養.1.EM-6.229</t>
  </si>
  <si>
    <t>27 Sep 2024 14:49:20</t>
  </si>
  <si>
    <t>27 Sep 2024 14:53:17</t>
  </si>
  <si>
    <t>S220.Furnace.量測厚度.EM每週保養.1.EM-5.227</t>
  </si>
  <si>
    <t>27 Sep 2024 08:18:06</t>
  </si>
  <si>
    <t>27 Sep 2024 18:18:49</t>
  </si>
  <si>
    <t>S220.Furnace.TEOS.小PM(18um).8.LP-T1.5</t>
  </si>
  <si>
    <t>27 Sep 2024 07:22:43</t>
  </si>
  <si>
    <t>27 Sep 2024 09:42:25</t>
  </si>
  <si>
    <t>S220.Furnace.場氧化.OXIDE FURNACE WAFER TRANSFER CHECK.6.F03.1</t>
  </si>
  <si>
    <t>26 Sep 2024 14:47:59</t>
  </si>
  <si>
    <t>26 Sep 2024 15:43:33</t>
  </si>
  <si>
    <t>S220.Furnace.井區擴散.OXIDE FURNACE WAFER TRANSFER CHECK.7.F11.1</t>
  </si>
  <si>
    <t>26 Sep 2024 10:06:45</t>
  </si>
  <si>
    <t>26 Sep 2024 10:31:14</t>
  </si>
  <si>
    <t>S220.Furnace.撕膠.PM.2.RIP.2145</t>
  </si>
  <si>
    <t>26 Sep 2024 07:26:35</t>
  </si>
  <si>
    <t>26 Sep 2024 10:37:24</t>
  </si>
  <si>
    <t>S220.Furnace.PLUG回火.OXIDE FURNACE WAFER TRANSFER CHECK.6.F36.1</t>
  </si>
  <si>
    <t>26 Sep 2024 03:29:43</t>
  </si>
  <si>
    <t>26 Sep 2024 19:58:00</t>
  </si>
  <si>
    <t>S220.Furnace.Poly.5PM.25.LP-P4.1</t>
  </si>
  <si>
    <t>25 Sep 2024 13:29:56</t>
  </si>
  <si>
    <t>25 Sep 2024 13:59:03</t>
  </si>
  <si>
    <t>S220.Furnace.撕膠.每月保養.1.RIP.78</t>
  </si>
  <si>
    <t>25 Sep 2024 13:26:23</t>
  </si>
  <si>
    <t>25 Sep 2024 13:58:24</t>
  </si>
  <si>
    <t>S220.Furnace.貼膠.每月保養.1.PASTE-3.116</t>
  </si>
  <si>
    <t>25 Sep 2024 09:52:11</t>
  </si>
  <si>
    <t>25 Sep 2024 16:07:21</t>
  </si>
  <si>
    <t>S220.Furnace.TEOS.小PM(9um).10.LP-T4.4</t>
  </si>
  <si>
    <t>25 Sep 2024 09:19:53</t>
  </si>
  <si>
    <t>25 Sep 2024 14:26:39</t>
  </si>
  <si>
    <t>S220.Furnace.GRIND.GRD每月保養.4.GRD-2.110</t>
  </si>
  <si>
    <t>25 Sep 2024 07:42:03</t>
  </si>
  <si>
    <t>25 Sep 2024 09:42:38</t>
  </si>
  <si>
    <t>S220.Furnace.墊層氧化.OXIDE FURNACE WAFER TRANSFER CHECK.6.F14.1</t>
  </si>
  <si>
    <t>25 Sep 2024 07:24:58</t>
  </si>
  <si>
    <t>25 Sep 2024 09:38:13</t>
  </si>
  <si>
    <t>S220.Furnace.快速回火.15PM.6.RTP-3.5</t>
  </si>
  <si>
    <t>24 Sep 2024 09:05:30</t>
  </si>
  <si>
    <t>24 Sep 2024 11:15:18</t>
  </si>
  <si>
    <t>S220.Furnace.閘層氧化.OXIDE FURNACE WAFER TRANSFER CHECK.6.F16.1</t>
  </si>
  <si>
    <t>24 Sep 2024 08:07:52</t>
  </si>
  <si>
    <t>24 Sep 2024 09:33:43</t>
  </si>
  <si>
    <t>S220.Furnace.快速回火.3PM.8.RTP-1.4</t>
  </si>
  <si>
    <t>24 Sep 2024 07:25:04</t>
  </si>
  <si>
    <t>24 Sep 2024 15:42:32</t>
  </si>
  <si>
    <t>S220.Furnace.TEOS.小PM(18um).8.LP-T3.4</t>
  </si>
  <si>
    <t>24 Sep 2024 03:22:07</t>
  </si>
  <si>
    <t>24 Sep 2024 17:45:01</t>
  </si>
  <si>
    <t>S220.Furnace.Poly.3PM.21.LP-P3.1</t>
  </si>
  <si>
    <t>23 Sep 2024 10:43:38</t>
  </si>
  <si>
    <t>23 Sep 2024 14:50:19</t>
  </si>
  <si>
    <t>S220.Furnace.閘層氧化.OXIDE FURNACE WAFER TRANSFER CHECK.6.F06.1</t>
  </si>
  <si>
    <t>23 Sep 2024 09:19:24</t>
  </si>
  <si>
    <t>23 Sep 2024 17:44:06</t>
  </si>
  <si>
    <t>S220.Furnace.SiN.Thick 小 PM(40).7.LP-N7.8</t>
  </si>
  <si>
    <t>23 Sep 2024 08:26:57</t>
  </si>
  <si>
    <t>23 Sep 2024 09:38:54</t>
  </si>
  <si>
    <t>S220.Furnace.爐管烘烤.OXIDE FURNACE WAFER TRANSFER CHECK.6.F45.2</t>
  </si>
  <si>
    <t>23 Sep 2024 08:01:40</t>
  </si>
  <si>
    <t>23 Sep 2024 08:25:02</t>
  </si>
  <si>
    <t>S220.Furnace.爐管烘烤.OXIDE FURNACE WAFER TRANSFER CHECK.6.F45.1</t>
  </si>
  <si>
    <t>21 Sep 2024 23:43:22</t>
  </si>
  <si>
    <t>22 Sep 2024 00:01:11</t>
  </si>
  <si>
    <t>S220.Furnace.撕膠.PM.2.RIP.2144</t>
  </si>
  <si>
    <t>21 Sep 2024 23:08:25</t>
  </si>
  <si>
    <t>21 Sep 2024 23:30:53</t>
  </si>
  <si>
    <t>S220.Furnace.快速回火.20PM.6.RTP-2.4</t>
  </si>
  <si>
    <t>21 Sep 2024 03:13:22</t>
  </si>
  <si>
    <t>21 Sep 2024 03:18:32</t>
  </si>
  <si>
    <t>S220.Furnace.量測厚度.EM每週保養.1.EM-6.228</t>
  </si>
  <si>
    <t>21 Sep 2024 01:29:41</t>
  </si>
  <si>
    <t>21 Sep 2024 01:34:42</t>
  </si>
  <si>
    <t>S220.Furnace.量測厚度.EM每週保養.1.EM-5.226</t>
  </si>
  <si>
    <t>21 Sep 2024 00:47:54</t>
  </si>
  <si>
    <t>21 Sep 2024 00:53:30</t>
  </si>
  <si>
    <t>S220.Furnace.量測厚度.EM每週保養.1.EM-4.226</t>
  </si>
  <si>
    <t>20 Sep 2024 20:32:41</t>
  </si>
  <si>
    <t>20 Sep 2024 21:17:07</t>
  </si>
  <si>
    <t>S220.Furnace.快速回火.13PM.6.RTP-4.4</t>
  </si>
  <si>
    <t>20 Sep 2024 13:36:27</t>
  </si>
  <si>
    <t>20 Sep 2024 14:00:09</t>
  </si>
  <si>
    <t>S220.Furnace.快速回火.14PM.6.RTP-3.4</t>
  </si>
  <si>
    <t>20 Sep 2024 12:28:42</t>
  </si>
  <si>
    <t>20 Sep 2024 15:00:51</t>
  </si>
  <si>
    <t>S220.Furnace.井區擴散.OXIDE FURNACE WAFER TRANSFER CHECK.7.F42.1</t>
  </si>
  <si>
    <t>20 Sep 2024 09:46:42</t>
  </si>
  <si>
    <t>20 Sep 2024 11:31:54</t>
  </si>
  <si>
    <t>S220.Furnace.osc-2.每月保養.1.OSC-2.68</t>
  </si>
  <si>
    <t>20 Sep 2024 09:46:34</t>
  </si>
  <si>
    <t>20 Sep 2024 14:04:11</t>
  </si>
  <si>
    <t>S220.Furnace.OSC-1.每月保養.3.OSC-1.96</t>
  </si>
  <si>
    <t>20 Sep 2024 09:46:25</t>
  </si>
  <si>
    <t>20 Sep 2024 11:26:04</t>
  </si>
  <si>
    <t>S220.Furnace.撕膠.每月保養.1.RIP.77</t>
  </si>
  <si>
    <t>20 Sep 2024 09:46:14</t>
  </si>
  <si>
    <t>20 Sep 2024 11:25:24</t>
  </si>
  <si>
    <t>S220.Furnace.貼膠.每月保養.1.PASTE-3.115</t>
  </si>
  <si>
    <t>20 Sep 2024 08:03:32</t>
  </si>
  <si>
    <t>20 Sep 2024 10:34:28</t>
  </si>
  <si>
    <t>S220.Furnace.S/D氧化.OXIDE FURNACE WAFER TRANSFER CHECK.6.F34.1</t>
  </si>
  <si>
    <t>20 Sep 2024 07:21:37</t>
  </si>
  <si>
    <t>20 Sep 2024 14:35:03</t>
  </si>
  <si>
    <t>S220.Furnace.SiN.Thick 小 PM(40).7.LP-N4.13</t>
  </si>
  <si>
    <t>20 Sep 2024 04:54:59</t>
  </si>
  <si>
    <t>20 Sep 2024 11:33:25</t>
  </si>
  <si>
    <t>S220.Furnace.GRIND.GRD每月保養.4.GRD-3.105</t>
  </si>
  <si>
    <t>19 Sep 2024 21:14:54</t>
  </si>
  <si>
    <t>19 Sep 2024 21:35:47</t>
  </si>
  <si>
    <t>S220.Furnace.貼膠.PM.3.PASTE-3.548</t>
  </si>
  <si>
    <t>19 Sep 2024 12:58:25</t>
  </si>
  <si>
    <t>19 Sep 2024 15:20:03</t>
  </si>
  <si>
    <t>S220.Furnace.S/D氧化.OXIDE FURNACE WAFER TRANSFER CHECK.6.F32.1</t>
  </si>
  <si>
    <t>19 Sep 2024 09:28:37</t>
  </si>
  <si>
    <t>19 Sep 2024 10:18:27</t>
  </si>
  <si>
    <t>S220.Furnace.快速回火.2PM.8.RTP-1.5</t>
  </si>
  <si>
    <t>19 Sep 2024 08:41:17</t>
  </si>
  <si>
    <t>19 Sep 2024 11:06:39</t>
  </si>
  <si>
    <t>S220.Furnace.融合.OXIDE FURNACE WAFER TRANSFER CHECK.6.F27.1</t>
  </si>
  <si>
    <t>19 Sep 2024 04:28:10</t>
  </si>
  <si>
    <t>19 Sep 2024 20:05:44</t>
  </si>
  <si>
    <t>S220.Furnace.TEOS.3PM.36.LP-T2.1</t>
  </si>
  <si>
    <t>18 Sep 2024 10:27:26</t>
  </si>
  <si>
    <t>18 Sep 2024 19:40:16</t>
  </si>
  <si>
    <t>S220.Furnace.Poly.小PM.9.LP-P2.22</t>
  </si>
  <si>
    <t>18 Sep 2024 10:00:27</t>
  </si>
  <si>
    <t>18 Sep 2024 18:24:51</t>
  </si>
  <si>
    <t>S220.Furnace.TEOS.小PM(18um).8.LP-T5.3</t>
  </si>
  <si>
    <t>18 Sep 2024 04:15:39</t>
  </si>
  <si>
    <t>19 Sep 2024 02:37:48</t>
  </si>
  <si>
    <t>S220.Furnace.SiN.Thick_4PM.42.LP-N1.1</t>
  </si>
  <si>
    <t>17 Sep 2024 21:44:23</t>
  </si>
  <si>
    <t>17 Sep 2024 23:13:09</t>
  </si>
  <si>
    <t>S220.Furnace.快速回火.19PM.6.RTP-2.4</t>
  </si>
  <si>
    <t>17 Sep 2024 07:30:46</t>
  </si>
  <si>
    <t>17 Sep 2024 15:31:40</t>
  </si>
  <si>
    <t>S220.Furnace.Poly.小PM.9.LP-P1.18</t>
  </si>
  <si>
    <t>17 Sep 2024 04:07:08</t>
  </si>
  <si>
    <t>17 Sep 2024 17:33:26</t>
  </si>
  <si>
    <t>S220.Furnace.TEOS.1PM.36.LP-T1.1</t>
  </si>
  <si>
    <t>16 Sep 2024 09:07:31</t>
  </si>
  <si>
    <t>16 Sep 2024 20:53:53</t>
  </si>
  <si>
    <t>S220.Furnace.SiN.Thick 小 PM(80).8.LP-N3.9</t>
  </si>
  <si>
    <t>16 Sep 2024 08:42:59</t>
  </si>
  <si>
    <t>16 Sep 2024 16:22:19</t>
  </si>
  <si>
    <t>S220.Furnace.TEOS.小PM(9um).10.LP-T8.6</t>
  </si>
  <si>
    <t>16 Sep 2024 07:25:22</t>
  </si>
  <si>
    <t>16 Sep 2024 15:28:25</t>
  </si>
  <si>
    <t>S220.Furnace.Poly.小PM.9.LP-P4.22</t>
  </si>
  <si>
    <t>16 Sep 2024 07:02:56</t>
  </si>
  <si>
    <t>16 Sep 2024 07:43:50</t>
  </si>
  <si>
    <t>S220.Furnace.快速回火.13PM.6.RTP-3.4</t>
  </si>
  <si>
    <t>16 Sep 2024 02:48:29</t>
  </si>
  <si>
    <t>16 Sep 2024 03:57:54</t>
  </si>
  <si>
    <t>S220.Furnace.快速回火.12PM.6.RTP-4.4</t>
  </si>
  <si>
    <t>14 Sep 2024 22:57:41</t>
  </si>
  <si>
    <t>14 Sep 2024 23:01:55</t>
  </si>
  <si>
    <t>S220.Furnace.快速回火.1PM.8.RTP-1.6</t>
  </si>
  <si>
    <t>13 Sep 2024 14:14:41</t>
  </si>
  <si>
    <t>13 Sep 2024 14:53:26</t>
  </si>
  <si>
    <t>S220.Furnace.量測厚度.EM每週保養.1.EM-6.227</t>
  </si>
  <si>
    <t>13 Sep 2024 14:14:21</t>
  </si>
  <si>
    <t>13 Sep 2024 14:53:08</t>
  </si>
  <si>
    <t>S220.Furnace.量測厚度.EM每週保養.1.EM-5.225</t>
  </si>
  <si>
    <t>13 Sep 2024 11:23:06</t>
  </si>
  <si>
    <t>13 Sep 2024 11:55:45</t>
  </si>
  <si>
    <t>S220.Furnace.量測厚度.EM每週保養.1.EM-4.225</t>
  </si>
  <si>
    <t>13 Sep 2024 09:36:22</t>
  </si>
  <si>
    <t>13 Sep 2024 19:58:51</t>
  </si>
  <si>
    <t>S220.Furnace.SiN.Thick 小 PM(40).7.LP-N5.12</t>
  </si>
  <si>
    <t>13 Sep 2024 09:06:14</t>
  </si>
  <si>
    <t>13 Sep 2024 10:27:53</t>
  </si>
  <si>
    <t>S220.Furnace.快速回火.18PM.6.RTP-2.4</t>
  </si>
  <si>
    <t>13 Sep 2024 07:55:53</t>
  </si>
  <si>
    <t>13 Sep 2024 15:34:06</t>
  </si>
  <si>
    <t>S220.Furnace.TEOS.小PM(9um).10.LP-T3.6</t>
  </si>
  <si>
    <t>12 Sep 2024 12:56:26</t>
  </si>
  <si>
    <t>12 Sep 2024 14:33:40</t>
  </si>
  <si>
    <t>S220.Furnace.融合.OXIDE FURNACE WAFER TRANSFER CHECK.5.F40.11</t>
  </si>
  <si>
    <t>12 Sep 2024 08:37:37</t>
  </si>
  <si>
    <t>12 Sep 2024 19:21:54</t>
  </si>
  <si>
    <t>S220.Furnace.Poly.小PM.9.LP-P3.17</t>
  </si>
  <si>
    <t>12 Sep 2024 08:30:31</t>
  </si>
  <si>
    <t>12 Sep 2024 10:55:36</t>
  </si>
  <si>
    <t>S220.Furnace.PLUG回火.OXIDE FURNACE WAFER TRANSFER CHECK.5.F37.13</t>
  </si>
  <si>
    <t>11 Sep 2024 09:24:31</t>
  </si>
  <si>
    <t>11 Sep 2024 15:02:36</t>
  </si>
  <si>
    <t>S220.Furnace.快速回火.12PM.6.RTP-3.4</t>
  </si>
  <si>
    <t>11 Sep 2024 07:24:59</t>
  </si>
  <si>
    <t>11 Sep 2024 15:46:29</t>
  </si>
  <si>
    <t>S220.Furnace.SiN.Thin_小PM_150.31.LP-N2.4</t>
  </si>
  <si>
    <t>11 Sep 2024 02:32:57</t>
  </si>
  <si>
    <t>11 Sep 2024 22:44:52</t>
  </si>
  <si>
    <t>S220.Furnace.Poly.1PM.27.LP-P6.1</t>
  </si>
  <si>
    <t>10 Sep 2024 13:06:28</t>
  </si>
  <si>
    <t>10 Sep 2024 15:18:50</t>
  </si>
  <si>
    <t>S220.Furnace.井區擴散.OXIDE FURNACE WAFER TRANSFER CHECK.5.F04.11</t>
  </si>
  <si>
    <t>10 Sep 2024 12:19:18</t>
  </si>
  <si>
    <t>10 Sep 2024 13:41:12</t>
  </si>
  <si>
    <t>S220.Furnace.快速回火.11PM.6.RTP-4.4</t>
  </si>
  <si>
    <t>10 Sep 2024 09:22:01</t>
  </si>
  <si>
    <t>10 Sep 2024 13:17:34</t>
  </si>
  <si>
    <t>S220.Furnace.GRIND.GRD每月保養.4.GRD-2.109</t>
  </si>
  <si>
    <t>10 Sep 2024 08:40:38</t>
  </si>
  <si>
    <t>10 Sep 2024 11:19:21</t>
  </si>
  <si>
    <t>S220.Furnace.墊層氧化.OXIDE FURNACE WAFER TRANSFER CHECK.5.F12.13</t>
  </si>
  <si>
    <t>10 Sep 2024 05:06:07</t>
  </si>
  <si>
    <t>10 Sep 2024 16:36:38</t>
  </si>
  <si>
    <t>S220.Furnace.SAC氧化.大PM.19.F22.4</t>
  </si>
  <si>
    <t>09 Sep 2024 10:05:13</t>
  </si>
  <si>
    <t>09 Sep 2024 17:42:47</t>
  </si>
  <si>
    <t>S220.Furnace.TEOS.小PM(18um).8.LP-T1.4</t>
  </si>
  <si>
    <t>09 Sep 2024 08:25:54</t>
  </si>
  <si>
    <t>09 Sep 2024 09:59:47</t>
  </si>
  <si>
    <t>S220.Furnace.快速回火.25PM.9.RTP-1.3</t>
  </si>
  <si>
    <t>09 Sep 2024 03:05:12</t>
  </si>
  <si>
    <t>09 Sep 2024 15:50:16</t>
  </si>
  <si>
    <t>S220.Furnace.井區擴散.大PM.22.F10.1</t>
  </si>
  <si>
    <t>08 Sep 2024 22:15:07</t>
  </si>
  <si>
    <t>10 Sep 2024 00:44:36</t>
  </si>
  <si>
    <t>S220.Furnace.SiN.Thin_4PM.36.LP-N6.1</t>
  </si>
  <si>
    <t>08 Sep 2024 02:17:51</t>
  </si>
  <si>
    <t>08 Sep 2024 02:38:10</t>
  </si>
  <si>
    <t>S220.Furnace.快速回火.17PM.6.RTP-2.4</t>
  </si>
  <si>
    <t>07 Sep 2024 18:54:06</t>
  </si>
  <si>
    <t>07 Sep 2024 20:47:56</t>
  </si>
  <si>
    <t>S220.Furnace.TEOS.1PM.36.LP-T4.1</t>
  </si>
  <si>
    <t>07 Sep 2024 09:37:33</t>
  </si>
  <si>
    <t>07 Sep 2024 18:51:28</t>
  </si>
  <si>
    <t>C6 PTC OOS , 提前 BPM</t>
  </si>
  <si>
    <t>06 Sep 2024 20:10:18</t>
  </si>
  <si>
    <t>06 Sep 2024 20:58:10</t>
  </si>
  <si>
    <t>S220.Furnace.貼膠.PM.3.PASTE-3.547</t>
  </si>
  <si>
    <t>06 Sep 2024 13:05:18</t>
  </si>
  <si>
    <t>06 Sep 2024 14:29:44</t>
  </si>
  <si>
    <t>S220.Furnace.場氧化.OXIDE FURNACE WAFER TRANSFER CHECK.5.F15.11</t>
  </si>
  <si>
    <t>06 Sep 2024 10:23:11</t>
  </si>
  <si>
    <t>06 Sep 2024 14:46:24</t>
  </si>
  <si>
    <t>S220.Furnace.井區擴散.OXIDE FURNACE WAFER TRANSFER CHECK.5.F08.10</t>
  </si>
  <si>
    <t>06 Sep 2024 09:50:50</t>
  </si>
  <si>
    <t>06 Sep 2024 10:13:41</t>
  </si>
  <si>
    <t>S220.Furnace.量測厚度.EM每週保養.1.EM-6.226</t>
  </si>
  <si>
    <t>06 Sep 2024 09:50:38</t>
  </si>
  <si>
    <t>06 Sep 2024 10:13:31</t>
  </si>
  <si>
    <t>S220.Furnace.量測厚度.EM每週保養.1.EM-5.224</t>
  </si>
  <si>
    <t>06 Sep 2024 09:33:55</t>
  </si>
  <si>
    <t>06 Sep 2024 09:54:33</t>
  </si>
  <si>
    <t>S220.Furnace.量測厚度.EM每週保養.1.EM-4.224</t>
  </si>
  <si>
    <t>06 Sep 2024 07:54:33</t>
  </si>
  <si>
    <t>06 Sep 2024 19:57:57</t>
  </si>
  <si>
    <t>S220.Furnace.TEOS.小PM(18um).8.LP-T4.2</t>
  </si>
  <si>
    <t>06 Sep 2024 07:48:37</t>
  </si>
  <si>
    <t>06 Sep 2024 19:07:27</t>
  </si>
  <si>
    <t>S220.Furnace.Poly.4PM.21.LP-P2.1</t>
  </si>
  <si>
    <t>05 Sep 2024 18:03:54</t>
  </si>
  <si>
    <t>05 Sep 2024 19:32:30</t>
  </si>
  <si>
    <t>S220.Furnace.撕膠.PM.2.RIP.2143</t>
  </si>
  <si>
    <t>05 Sep 2024 14:59:49</t>
  </si>
  <si>
    <t>05 Sep 2024 16:27:43</t>
  </si>
  <si>
    <t>S220.Furnace.閘層氧化.OXIDE FURNACE WAFER TRANSFER CHECK.5.F18.11</t>
  </si>
  <si>
    <t>05 Sep 2024 09:58:21</t>
  </si>
  <si>
    <t>05 Sep 2024 11:25:44</t>
  </si>
  <si>
    <t>S220.Furnace.Wsix.LOADLOCK.11.WSIX-2D.57</t>
  </si>
  <si>
    <t>05 Sep 2024 09:58:12</t>
  </si>
  <si>
    <t>05 Sep 2024 11:25:36</t>
  </si>
  <si>
    <t>S220.Furnace.Wsix.LOADLOCK.11.WSIX-2C.58</t>
  </si>
  <si>
    <t>05 Sep 2024 09:58:05</t>
  </si>
  <si>
    <t>05 Sep 2024 11:25:28</t>
  </si>
  <si>
    <t>S220.Furnace.Wsix.LOADLOCK.11.WSIX-2B.57</t>
  </si>
  <si>
    <t>05 Sep 2024 09:57:57</t>
  </si>
  <si>
    <t>05 Sep 2024 11:25:19</t>
  </si>
  <si>
    <t>S220.Furnace.Wsix.LOADLOCK.11.WSIX-2A.55</t>
  </si>
  <si>
    <t>05 Sep 2024 09:54:08</t>
  </si>
  <si>
    <t>05 Sep 2024 19:15:25</t>
  </si>
  <si>
    <t>S220.Furnace.TEOS.小PM(18um).8.LP-T2.4</t>
  </si>
  <si>
    <t>05 Sep 2024 07:18:13</t>
  </si>
  <si>
    <t>05 Sep 2024 09:24:37</t>
  </si>
  <si>
    <t>S220.Furnace.井區擴散.OXIDE FURNACE WAFER TRANSFER CHECK.5.F09.11</t>
  </si>
  <si>
    <t>05 Sep 2024 05:57:45</t>
  </si>
  <si>
    <t>06 Sep 2024 11:26:57</t>
  </si>
  <si>
    <t>S220.Furnace.N+預置.大PM.28.F13.13</t>
  </si>
  <si>
    <t>05 Sep 2024 01:44:32</t>
  </si>
  <si>
    <t>05 Sep 2024 23:24:09</t>
  </si>
  <si>
    <t>S220.Furnace.SiN.Thick_3PM.32.LP-N4.1</t>
  </si>
  <si>
    <t>04 Sep 2024 13:07:36</t>
  </si>
  <si>
    <t>04 Sep 2024 18:29:36</t>
  </si>
  <si>
    <t>S220.Furnace.Wsix.LOADLOCK.11.WSIX-1D.61</t>
  </si>
  <si>
    <t>04 Sep 2024 13:07:25</t>
  </si>
  <si>
    <t>04 Sep 2024 18:29:03</t>
  </si>
  <si>
    <t>S220.Furnace.Wsix.LOADLOCK.11.WSIX-1C.61</t>
  </si>
  <si>
    <t>04 Sep 2024 13:07:11</t>
  </si>
  <si>
    <t>04 Sep 2024 18:28:09</t>
  </si>
  <si>
    <t>S220.Furnace.Wsix.LOADLOCK.11.WSIX-1B.63</t>
  </si>
  <si>
    <t>04 Sep 2024 08:44:58</t>
  </si>
  <si>
    <t>04 Sep 2024 15:53:46</t>
  </si>
  <si>
    <t>S220.Furnace.WAFER TRANSFER.MPM.1.SORT-W2.2</t>
  </si>
  <si>
    <t>04 Sep 2024 08:44:47</t>
  </si>
  <si>
    <t>04 Sep 2024 11:12:19</t>
  </si>
  <si>
    <t>S220.Furnace.WAFER TRANSFER.MPM.1.SORT-W1.2</t>
  </si>
  <si>
    <t>04 Sep 2024 08:44:37</t>
  </si>
  <si>
    <t>04 Sep 2024 11:11:31</t>
  </si>
  <si>
    <t>S220.Furnace.WAFER TRANSFER.MPM.1.SORT-K1.2</t>
  </si>
  <si>
    <t>04 Sep 2024 08:44:28</t>
  </si>
  <si>
    <t>04 Sep 2024 11:10:10</t>
  </si>
  <si>
    <t>S220.Furnace.WAFER TRANSFER.MPM.1.SORT-J1.2</t>
  </si>
  <si>
    <t>04 Sep 2024 08:44:19</t>
  </si>
  <si>
    <t>04 Sep 2024 11:09:19</t>
  </si>
  <si>
    <t>S220.Furnace.WAFER TRANSFER.MPM.1.SORT-I2.2</t>
  </si>
  <si>
    <t>04 Sep 2024 08:44:08</t>
  </si>
  <si>
    <t>04 Sep 2024 11:06:32</t>
  </si>
  <si>
    <t>S220.Furnace.WAFER TRANSFER.MPM.1.SORT-I1.2</t>
  </si>
  <si>
    <t>04 Sep 2024 08:43:55</t>
  </si>
  <si>
    <t>04 Sep 2024 11:05:38</t>
  </si>
  <si>
    <t>S220.Furnace.WAFER TRANSFER.MPM.1.SORT-D2.2</t>
  </si>
  <si>
    <t>04 Sep 2024 08:43:44</t>
  </si>
  <si>
    <t>04 Sep 2024 11:04:50</t>
  </si>
  <si>
    <t>S220.Furnace.WAFER TRANSFER.MPM.1.SORT-D1.2</t>
  </si>
  <si>
    <t>04 Sep 2024 06:38:31</t>
  </si>
  <si>
    <t>04 Sep 2024 22:33:27</t>
  </si>
  <si>
    <t>S220.Furnace.Wsix.WSIX 大PM.20.WSIX-1A.5</t>
  </si>
  <si>
    <t>04 Sep 2024 06:34:49</t>
  </si>
  <si>
    <t>04 Sep 2024 06:37:43</t>
  </si>
  <si>
    <t>S220.Furnace.PACKAGE-2.MPM.2.PACKAGE-2.10</t>
  </si>
  <si>
    <t>04 Sep 2024 06:25:26</t>
  </si>
  <si>
    <t>04 Sep 2024 06:33:15</t>
  </si>
  <si>
    <t>S220.Furnace.osc-2.每月保養.1.OSC-2.67</t>
  </si>
  <si>
    <t>04 Sep 2024 06:24:55</t>
  </si>
  <si>
    <t>04 Sep 2024 22:19:36</t>
  </si>
  <si>
    <t>S220.Furnace.Poly.3PM.21.LP-P1.1</t>
  </si>
  <si>
    <t>04 Sep 2024 06:23:50</t>
  </si>
  <si>
    <t>04 Sep 2024 06:32:02</t>
  </si>
  <si>
    <t>S220.Furnace.研磨厚度量測.MPM.1.ADE.16</t>
  </si>
  <si>
    <t>03 Sep 2024 16:52:07</t>
  </si>
  <si>
    <t>04 Sep 2024 14:40:40</t>
  </si>
  <si>
    <t>03 Sep 2024 09:17:36</t>
  </si>
  <si>
    <t>03 Sep 2024 19:54:08</t>
  </si>
  <si>
    <t>S220.Furnace.Poly.4PM.21.LP-P4.2</t>
  </si>
  <si>
    <t>03 Sep 2024 08:37:42</t>
  </si>
  <si>
    <t>03 Sep 2024 19:54:24</t>
  </si>
  <si>
    <t>S220.Furnace.SiN.Thick 小 PM(40).7.LP-N3.17</t>
  </si>
  <si>
    <t>03 Sep 2024 08:30:00</t>
  </si>
  <si>
    <t>03 Sep 2024 09:37:03</t>
  </si>
  <si>
    <t>S220.Furnace.快速回火.11PM.6.RTP-3.4</t>
  </si>
  <si>
    <t>03 Sep 2024 06:12:21</t>
  </si>
  <si>
    <t>03 Sep 2024 19:40:36</t>
  </si>
  <si>
    <t>S220.Furnace.TEOS.1PM.36.LP-T8.1</t>
  </si>
  <si>
    <t>03 Sep 2024 01:47:40</t>
  </si>
  <si>
    <t>03 Sep 2024 09:15:25</t>
  </si>
  <si>
    <t>S220.Furnace.Poly.4PM.21.LP-P4.1</t>
  </si>
  <si>
    <t>02 Sep 2024 08:53:45</t>
  </si>
  <si>
    <t>02 Sep 2024 09:44:39</t>
  </si>
  <si>
    <t>S220.Furnace.快速回火.10PM.6.RTP-4.4</t>
  </si>
  <si>
    <t>02 Sep 2024 03:50:22</t>
  </si>
  <si>
    <t>02 Sep 2024 22:59:30</t>
  </si>
  <si>
    <t>S220.Furnace.TEOS.3PM.36.LP-T3.1</t>
  </si>
  <si>
    <t>02 Sep 2024 02:30:11</t>
  </si>
  <si>
    <t>02 Sep 2024 15:06:17</t>
  </si>
  <si>
    <t>S220.Furnace.N+預置.大PM.28.F39.7</t>
  </si>
  <si>
    <t>01 Sep 2024 08:34:15</t>
  </si>
  <si>
    <t>01 Sep 2024 09:37:16</t>
  </si>
  <si>
    <t>S220.Furnace.快速回火.24PM.6.RTP-1.4</t>
  </si>
  <si>
    <t>01 Nov 2024 03:49:00</t>
  </si>
  <si>
    <t>01 Nov 2024 20:10:58</t>
  </si>
  <si>
    <t>S220.Furnace.TEOS.1PM.36.LP-T2.1</t>
  </si>
  <si>
    <t>01 Nov 2024 03:41:19</t>
  </si>
  <si>
    <t>01 Nov 2024 03:55:34</t>
  </si>
  <si>
    <t>S220.Furnace.貼膠.PM.3.PASTE-3.550</t>
  </si>
  <si>
    <t>01 Nov 2024 02:29:39</t>
  </si>
  <si>
    <t>01 Nov 2024 05:47:12</t>
  </si>
  <si>
    <t>S220.Furnace.融合.OXIDE FURNACE WAFER TRANSFER CHECK.6.F40.1</t>
  </si>
  <si>
    <t>31 Oct 2024 21:17:16</t>
  </si>
  <si>
    <t>31 Oct 2024 21:57:36</t>
  </si>
  <si>
    <t>S220.Furnace.快速回火.9PM.6.RTP-1.4</t>
  </si>
  <si>
    <t>31 Oct 2024 18:16:56</t>
  </si>
  <si>
    <t>01 Nov 2024 19:26:09</t>
  </si>
  <si>
    <t>S220.Furnace.SiN.Thick_2PM.32.LP-N5.2</t>
  </si>
  <si>
    <t>31 Oct 2024 14:35:57</t>
  </si>
  <si>
    <t>31 Oct 2024 14:38:54</t>
  </si>
  <si>
    <t>S220.Furnace.WAFER TRANSFER.MPM.1.SORT-W2.4</t>
  </si>
  <si>
    <t>31 Oct 2024 03:59:34</t>
  </si>
  <si>
    <t>31 Oct 2024 19:39:59</t>
  </si>
  <si>
    <t>S220.Furnace.Poly.5PM.25.LP-P1.2</t>
  </si>
  <si>
    <t>31 Oct 2024 02:28:31</t>
  </si>
  <si>
    <t>31 Oct 2024 15:30:25</t>
  </si>
  <si>
    <t>S220.Furnace.融合.大PM.13.F27.3</t>
  </si>
  <si>
    <t>30 Oct 2024 05:44:14</t>
  </si>
  <si>
    <t>30 Oct 2024 20:17:59</t>
  </si>
  <si>
    <t>S220.Furnace.SiN.Thick_2PM.32.LP-N5.1</t>
  </si>
  <si>
    <t>29 Oct 2024 23:25:18</t>
  </si>
  <si>
    <t>30 Oct 2024 17:44:16</t>
  </si>
  <si>
    <t>S220.Furnace.TEOS.3PM.36.LP-T1.2</t>
  </si>
  <si>
    <t>PTC OOS , 提前 BPM</t>
  </si>
  <si>
    <t>29 Oct 2024 21:42:32</t>
  </si>
  <si>
    <t>29 Oct 2024 22:23:40</t>
  </si>
  <si>
    <t>S220.Furnace.快速回火.21PM.6.RTP-3.5</t>
  </si>
  <si>
    <t>29 Oct 2024 07:52:48</t>
  </si>
  <si>
    <t>29 Oct 2024 15:56:52</t>
  </si>
  <si>
    <t>S220.Furnace.SiN.Thick 小 PM(80).8.LP-N3.10</t>
  </si>
  <si>
    <t>29 Oct 2024 07:34:18</t>
  </si>
  <si>
    <t>29 Oct 2024 15:41:18</t>
  </si>
  <si>
    <t>S220.Furnace.Poly.小PM.9.LP-P4.24</t>
  </si>
  <si>
    <t>28 Oct 2024 03:15:28</t>
  </si>
  <si>
    <t>30 Oct 2024 18:31:30</t>
  </si>
  <si>
    <t>S220.Furnace.SiN.Thick_4PM.42.LP-N7.1</t>
  </si>
  <si>
    <t>27 Oct 2024 10:57:44</t>
  </si>
  <si>
    <t>27 Oct 2024 11:24:21</t>
  </si>
  <si>
    <t>S220.Furnace.快速回火.1PM.8.RTP-2.5</t>
  </si>
  <si>
    <t>26 Oct 2024 19:41:41</t>
  </si>
  <si>
    <t>26 Oct 2024 19:59:02</t>
  </si>
  <si>
    <t>S220.Furnace.快速回火.18PM.6.RTP-4.4</t>
  </si>
  <si>
    <t>25 Oct 2024 22:13:01</t>
  </si>
  <si>
    <t>25 Oct 2024 22:41:52</t>
  </si>
  <si>
    <t>S220.Furnace.快速回火.8PM.6.RTP-1.4</t>
  </si>
  <si>
    <t>25 Oct 2024 10:31:34</t>
  </si>
  <si>
    <t>25 Oct 2024 13:44:15</t>
  </si>
  <si>
    <t>S220.Furnace.SAC氧化.OXIDE FURNACE WAFER TRANSFER CHECK.7.F22.1</t>
  </si>
  <si>
    <t>25 Oct 2024 09:43:45</t>
  </si>
  <si>
    <t>25 Oct 2024 10:54:46</t>
  </si>
  <si>
    <t>S220.Furnace.井區擴散.OXIDE FURNACE WAFER TRANSFER CHECK.7.F04.1</t>
  </si>
  <si>
    <t>D77</t>
  </si>
  <si>
    <t>25 Oct 2024 09:43:00</t>
  </si>
  <si>
    <t>25 Oct 2024 09:55:41</t>
  </si>
  <si>
    <t>S220.Furnace.量測厚度.EM每週保養.1.EM-5.230</t>
  </si>
  <si>
    <t>I12</t>
  </si>
  <si>
    <t>25 Oct 2024 09:38:07</t>
  </si>
  <si>
    <t>25 Oct 2024 10:11:06</t>
  </si>
  <si>
    <t>S220.Furnace.量測厚度.EM每週保養.1.EM-6.232</t>
  </si>
  <si>
    <t>25 Oct 2024 09:34:23</t>
  </si>
  <si>
    <t>25 Oct 2024 09:44:41</t>
  </si>
  <si>
    <t>S220.Furnace.量測厚度.EM每週保養.1.EM-4.230</t>
  </si>
  <si>
    <t>25 Oct 2024 00:19:34</t>
  </si>
  <si>
    <t>25 Oct 2024 01:50:17</t>
  </si>
  <si>
    <t>S220.Furnace.貼膠.PM.3.PASTE-3.549</t>
  </si>
  <si>
    <t>24 Oct 2024 10:47:06</t>
  </si>
  <si>
    <t>24 Oct 2024 11:18:23</t>
  </si>
  <si>
    <t>S220.Furnace.快速回火.20PM.6.RTP-3.5</t>
  </si>
  <si>
    <t>24 Oct 2024 10:09:22</t>
  </si>
  <si>
    <t>24 Oct 2024 13:31:38</t>
  </si>
  <si>
    <t>S220.Furnace.閘層氧化.OXIDE FURNACE WAFER TRANSFER CHECK.6.F18.1</t>
  </si>
  <si>
    <t>24 Oct 2024 07:58:36</t>
  </si>
  <si>
    <t>24 Oct 2024 10:30:31</t>
  </si>
  <si>
    <t>S220.Furnace.墊層氧化.OXIDE FURNACE WAFER TRANSFER CHECK.6.F12.1</t>
  </si>
  <si>
    <t>23 Oct 2024 19:03:25</t>
  </si>
  <si>
    <t>23 Oct 2024 16:38:27</t>
  </si>
  <si>
    <t>23 Oct 2024 17:44:37</t>
  </si>
  <si>
    <t>S220.Furnace.閘層氧化.OXIDE FURNACE WAFER TRANSFER CHECK.6.F19.1</t>
  </si>
  <si>
    <t>23 Oct 2024 10:04:22</t>
  </si>
  <si>
    <t>23 Oct 2024 16:15:30</t>
  </si>
  <si>
    <t>S220.Furnace.GRIND.GRD每月保養.4.GRD-2.111</t>
  </si>
  <si>
    <t>23 Oct 2024 07:24:23</t>
  </si>
  <si>
    <t>23 Oct 2024 10:23:50</t>
  </si>
  <si>
    <t>S220.Furnace.井區擴散.OXIDE FURNACE WAFER TRANSFER CHECK.7.F08.1</t>
  </si>
  <si>
    <t>23 Oct 2024 02:28:41</t>
  </si>
  <si>
    <t>23 Oct 2024 19:44:46</t>
  </si>
  <si>
    <t>S220.Furnace.TEOS.2PM.34.LP-T4.1</t>
  </si>
  <si>
    <t>22 Oct 2024 10:08:26</t>
  </si>
  <si>
    <t>22 Oct 2024 17:24:50</t>
  </si>
  <si>
    <t>S220.Furnace.Poly.小PM.9.LP-P2.23</t>
  </si>
  <si>
    <t>22 Oct 2024 08:48:39</t>
  </si>
  <si>
    <t>22 Oct 2024 17:02:56</t>
  </si>
  <si>
    <t>S220.Furnace.TEOS.小PM(9um).10.LP-T3.7</t>
  </si>
  <si>
    <t>22 Oct 2024 02:07:14</t>
  </si>
  <si>
    <t>22 Oct 2024 23:33:47</t>
  </si>
  <si>
    <t>S220.Furnace.SiN.Thick_4PM.42.LP-N4.1</t>
  </si>
  <si>
    <t>21 Oct 2024 14:14:25</t>
  </si>
  <si>
    <t>21 Oct 2024 15:05:14</t>
  </si>
  <si>
    <t>S220.Furnace.快速回火.25PM.9.RTP-2.2</t>
  </si>
  <si>
    <t>21 Oct 2024 08:45:46</t>
  </si>
  <si>
    <t>21 Oct 2024 18:04:03</t>
  </si>
  <si>
    <t>S220.Furnace.TEOS.小PM(18um).8.LP-T2.5</t>
  </si>
  <si>
    <t>21 Oct 2024 05:04:12</t>
  </si>
  <si>
    <t>21 Oct 2024 20:00:51</t>
  </si>
  <si>
    <t>S220.Furnace.Poly.1PM.27.LP-P4.2</t>
  </si>
  <si>
    <t>20 Oct 2024 23:58:45</t>
  </si>
  <si>
    <t>21 Oct 2024 00:08:52</t>
  </si>
  <si>
    <t>S220.Furnace.快速回火.7PM.6.RTP-1.4</t>
  </si>
  <si>
    <t>19 Oct 2024 18:38:53</t>
  </si>
  <si>
    <t>19 Oct 2024 19:02:03</t>
  </si>
  <si>
    <t>S220.Furnace.快速回火.19PM.6.RTP-3.4</t>
  </si>
  <si>
    <t>19 Oct 2024 17:31:15</t>
  </si>
  <si>
    <t>19 Oct 2024 17:40:29</t>
  </si>
  <si>
    <t>S220.Furnace.快速回火.17PM.6.RTP-4.4</t>
  </si>
  <si>
    <t>19 Oct 2024 10:07:51</t>
  </si>
  <si>
    <t>19 Oct 2024 21:43:51</t>
  </si>
  <si>
    <t>S220.Furnace.TEOS.2PM.34.LP-T1.3</t>
  </si>
  <si>
    <t>Test run PTC up, do BPM</t>
  </si>
  <si>
    <t>18 Oct 2024 13:44:44</t>
  </si>
  <si>
    <t>18 Oct 2024 13:50:49</t>
  </si>
  <si>
    <t>S220.Furnace.量測厚度.EM每週保養.1.EM-5.229</t>
  </si>
  <si>
    <t>18 Oct 2024 09:40:52</t>
  </si>
  <si>
    <t>18 Oct 2024 10:02:23</t>
  </si>
  <si>
    <t>S220.Furnace.量測厚度.EM每週保養.1.EM-6.231</t>
  </si>
  <si>
    <t>18 Oct 2024 09:11:50</t>
  </si>
  <si>
    <t>18 Oct 2024 09:17:58</t>
  </si>
  <si>
    <t>S220.Furnace.量測厚度.EM每週保養.1.EM-4.229</t>
  </si>
  <si>
    <t>18 Oct 2024 08:51:21</t>
  </si>
  <si>
    <t>18 Oct 2024 12:14:35</t>
  </si>
  <si>
    <t>S220.Furnace.WAFER TRANSFER.QPM.1.SORT-K1.2</t>
  </si>
  <si>
    <t>18 Oct 2024 04:59:31</t>
  </si>
  <si>
    <t>18 Oct 2024 20:01:01</t>
  </si>
  <si>
    <t>S220.Furnace.Poly.2PM.22.LP-P6.1</t>
  </si>
  <si>
    <t>18 Oct 2024 04:15:23</t>
  </si>
  <si>
    <t>18 Oct 2024 19:26:59</t>
  </si>
  <si>
    <t>S220.Furnace.TEOS.2PM.34.LP-T1.2</t>
  </si>
  <si>
    <t>17 Oct 2024 12:35:16</t>
  </si>
  <si>
    <t>17 Oct 2024 14:24:16</t>
  </si>
  <si>
    <t>S220.Furnace.閘層氧化.OXIDE FURNACE WAFER TRANSFER CHECK.6.F23.1</t>
  </si>
  <si>
    <t>17 Oct 2024 09:41:08</t>
  </si>
  <si>
    <t>17 Oct 2024 11:37:26</t>
  </si>
  <si>
    <t>S220.Furnace.WAFER TRANSFER.QPM.1.SORT-W1.2</t>
  </si>
  <si>
    <t>17 Oct 2024 09:40:49</t>
  </si>
  <si>
    <t>17 Oct 2024 11:37:06</t>
  </si>
  <si>
    <t>S220.Furnace.WAFER TRANSFER.QPM.1.SORT-W2.2</t>
  </si>
  <si>
    <t>17 Oct 2024 09:40:36</t>
  </si>
  <si>
    <t>17 Oct 2024 11:00:31</t>
  </si>
  <si>
    <t>S220.Furnace.WAFER TRANSFER.QPM.1.SORT-J1.2</t>
  </si>
  <si>
    <t>17 Oct 2024 09:34:05</t>
  </si>
  <si>
    <t>17 Oct 2024 11:00:17</t>
  </si>
  <si>
    <t>S220.Furnace.WAFER TRANSFER.QPM.1.SORT-I2.2</t>
  </si>
  <si>
    <t>17 Oct 2024 09:33:46</t>
  </si>
  <si>
    <t>17 Oct 2024 11:00:02</t>
  </si>
  <si>
    <t>S220.Furnace.WAFER TRANSFER.QPM.1.SORT-I1.2</t>
  </si>
  <si>
    <t>17 Oct 2024 09:27:53</t>
  </si>
  <si>
    <t>17 Oct 2024 09:43:08</t>
  </si>
  <si>
    <t>S220.Furnace.PACKAGE-2.MPM.2.PACKAGE-2.11</t>
  </si>
  <si>
    <t>17 Oct 2024 09:05:17</t>
  </si>
  <si>
    <t>17 Oct 2024 14:55:18</t>
  </si>
  <si>
    <t>S220.Furnace.WAFER TRANSFER.QPM.1.SORT-D2.2</t>
  </si>
  <si>
    <t>17 Oct 2024 09:05:02</t>
  </si>
  <si>
    <t>17 Oct 2024 10:59:46</t>
  </si>
  <si>
    <t>S220.Furnace.WAFER TRANSFER.QPM.1.SORT-D1.2</t>
  </si>
  <si>
    <t>17 Oct 2024 07:17:27</t>
  </si>
  <si>
    <t>17 Oct 2024 09:52:04</t>
  </si>
  <si>
    <t>S220.Furnace.井區擴散.OXIDE FURNACE WAFER TRANSFER CHECK.7.F09.1</t>
  </si>
  <si>
    <t>17 Oct 2024 03:23:36</t>
  </si>
  <si>
    <t>17 Oct 2024 21:26:51</t>
  </si>
  <si>
    <t>S220.Furnace.Poly.4PM.21.LP-P3.1</t>
  </si>
  <si>
    <t>16 Oct 2024 13:19:23</t>
  </si>
  <si>
    <t>16 Oct 2024 16:17:29</t>
  </si>
  <si>
    <t>S220.Furnace.井區擴散.OXIDE FURNACE WAFER TRANSFER CHECK.7.F24.1</t>
  </si>
  <si>
    <t>16 Oct 2024 07:52:32</t>
  </si>
  <si>
    <t>16 Oct 2024 16:18:10</t>
  </si>
  <si>
    <t>S220.Furnace.Poly.小PM.9.LP-P1.19</t>
  </si>
  <si>
    <t>16 Oct 2024 07:29:02</t>
  </si>
  <si>
    <t>16 Oct 2024 09:36:00</t>
  </si>
  <si>
    <t>S220.Furnace.場氧化.OXIDE FURNACE WAFER TRANSFER CHECK.6.F15.1</t>
  </si>
  <si>
    <t>16 Oct 2024 05:07:04</t>
  </si>
  <si>
    <t>16 Oct 2024 18:52:19</t>
  </si>
  <si>
    <t>S220.Furnace.TEOS.2PM.34.LP-T5.1</t>
  </si>
  <si>
    <t>15 Oct 2024 13:49:44</t>
  </si>
  <si>
    <t>15 Oct 2024 14:23:29</t>
  </si>
  <si>
    <t>S220.Furnace.研磨厚度量測.MPM.1.ADE.18</t>
  </si>
  <si>
    <t>15 Oct 2024 13:10:25</t>
  </si>
  <si>
    <t>15 Oct 2024 14:23:21</t>
  </si>
  <si>
    <t>S220.Furnace.貼膠.每月保養.1.PASTE-3.117</t>
  </si>
  <si>
    <t>15 Oct 2024 12:59:12</t>
  </si>
  <si>
    <t>15 Oct 2024 14:23:13</t>
  </si>
  <si>
    <t>S220.Furnace.osc-2.每月保養.1.OSC-2.69</t>
  </si>
  <si>
    <t>15 Oct 2024 12:58:59</t>
  </si>
  <si>
    <t>15 Oct 2024 14:41:07</t>
  </si>
  <si>
    <t>S220.Furnace.OSC-1.每月保養.3.OSC-1.97</t>
  </si>
  <si>
    <t>15 Oct 2024 10:25:41</t>
  </si>
  <si>
    <t>15 Oct 2024 10:56:45</t>
  </si>
  <si>
    <t>S220.Furnace.撕膠.每月保養.1.RIP.79</t>
  </si>
  <si>
    <t>15 Oct 2024 09:17:05</t>
  </si>
  <si>
    <t>15 Oct 2024 11:17:06</t>
  </si>
  <si>
    <t>S220.Furnace.GRIND.GRD每月保養.4.GRD-3.106</t>
  </si>
  <si>
    <t>15 Oct 2024 04:59:35</t>
  </si>
  <si>
    <t>15 Oct 2024 17:31:25</t>
  </si>
  <si>
    <t>S220.Furnace.爐管烘烤.大PM.14.F45.2</t>
  </si>
  <si>
    <t>14 Oct 2024 13:53:39</t>
  </si>
  <si>
    <t>14 Oct 2024 15:19:40</t>
  </si>
  <si>
    <t>S220.Furnace.S/D氧化.OXIDE FURNACE WAFER TRANSFER CHECK.6.F33.1</t>
  </si>
  <si>
    <t>14 Oct 2024 13:31:05</t>
  </si>
  <si>
    <t>14 Oct 2024 17:30:08</t>
  </si>
  <si>
    <t>S220.Furnace.Wsix.LOADLOCK.11.WSIX-1D.63</t>
  </si>
  <si>
    <t>14 Oct 2024 13:30:56</t>
  </si>
  <si>
    <t>14 Oct 2024 17:29:57</t>
  </si>
  <si>
    <t>S220.Furnace.Wsix.LOADLOCK.11.WSIX-1C.63</t>
  </si>
  <si>
    <t>14 Oct 2024 13:30:46</t>
  </si>
  <si>
    <t>14 Oct 2024 17:29:47</t>
  </si>
  <si>
    <t>S220.Furnace.Wsix.LOADLOCK.11.WSIX-1A.64</t>
  </si>
  <si>
    <t>14 Oct 2024 08:44:08</t>
  </si>
  <si>
    <t>14 Oct 2024 10:02:02</t>
  </si>
  <si>
    <t>S220.Furnace.SAC氧化.OXIDE FURNACE WAFER TRANSFER CHECK.7.F21.1</t>
  </si>
  <si>
    <t>14 Oct 2024 08:34:21</t>
  </si>
  <si>
    <t>14 Oct 2024 17:51:12</t>
  </si>
  <si>
    <t>S220.Furnace.SiN.Thick 小 PM(40).7.LP-N3.18</t>
  </si>
  <si>
    <t>14 Oct 2024 04:23:47</t>
  </si>
  <si>
    <t>14 Oct 2024 21:40:02</t>
  </si>
  <si>
    <t>S220.Furnace.Wsix.WSIX 大PM.20.WSIX-1B.5</t>
  </si>
  <si>
    <t>13 Oct 2024 07:35:36</t>
  </si>
  <si>
    <t>13 Oct 2024 07:52:51</t>
  </si>
  <si>
    <t>S220.Furnace.快速回火.18PM.6.RTP-3.4</t>
  </si>
  <si>
    <t>13 Oct 2024 06:28:23</t>
  </si>
  <si>
    <t>13 Oct 2024 06:38:13</t>
  </si>
  <si>
    <t>S220.Furnace.快速回火.24PM.6.RTP-2.4</t>
  </si>
  <si>
    <t>12 Oct 2024 14:45:33</t>
  </si>
  <si>
    <t>12 Oct 2024 15:11:32</t>
  </si>
  <si>
    <t>S220.Furnace.快速回火.6PM.10.RTP-1.4</t>
  </si>
  <si>
    <t>12 Oct 2024 07:45:14</t>
  </si>
  <si>
    <t>12 Oct 2024 08:28:02</t>
  </si>
  <si>
    <t>S220.Furnace.快速回火.16PM.6.RTP-4.4</t>
  </si>
  <si>
    <t>11 Oct 2024 15:15:41</t>
  </si>
  <si>
    <t>11 Oct 2024 15:21:28</t>
  </si>
  <si>
    <t>S220.Furnace.量測厚度.EM每週保養.1.EM-5.228</t>
  </si>
  <si>
    <t>11 Oct 2024 13:30:05</t>
  </si>
  <si>
    <t>11 Oct 2024 13:35:07</t>
  </si>
  <si>
    <t>S220.Furnace.量測厚度.EM每週保養.1.EM-4.228</t>
  </si>
  <si>
    <t>11 Oct 2024 10:27:55</t>
  </si>
  <si>
    <t>11 Oct 2024 17:38:04</t>
  </si>
  <si>
    <t>S220.Furnace.Poly.小PM.9.LP-P4.23</t>
  </si>
  <si>
    <t>11 Oct 2024 09:21:35</t>
  </si>
  <si>
    <t>11 Oct 2024 19:19:26</t>
  </si>
  <si>
    <t>S220.Furnace.SiN.Thick 小 PM(40).7.LP-N1.5</t>
  </si>
  <si>
    <t>11 Oct 2024 09:16:00</t>
  </si>
  <si>
    <t>11 Oct 2024 09:18:57</t>
  </si>
  <si>
    <t>S220.Furnace.量測厚度.EM每週保養.1.EM-6.230</t>
  </si>
  <si>
    <t>11 Oct 2024 08:33:14</t>
  </si>
  <si>
    <t>11 Oct 2024 16:14:07</t>
  </si>
  <si>
    <t>S220.Furnace.TEOS.小PM(18um).8.LP-T4.3</t>
  </si>
  <si>
    <t>10 Oct 2024 09:20:03</t>
  </si>
  <si>
    <t>10 Oct 2024 10:49:25</t>
  </si>
  <si>
    <t>S220.Furnace.爐管烘烤.OXIDE FURNACE WAFER TRANSFER CHECK.6.F28.1</t>
  </si>
  <si>
    <t>10 Oct 2024 07:54:36</t>
  </si>
  <si>
    <t>10 Oct 2024 10:32:17</t>
  </si>
  <si>
    <t>S220.Furnace.SAC氧化.OXIDE FURNACE WAFER TRANSFER CHECK.7.F20.1</t>
  </si>
  <si>
    <t>09 Oct 2024 09:59:09</t>
  </si>
  <si>
    <t>09 Oct 2024 10:18:22</t>
  </si>
  <si>
    <t>S220.Furnace.快速回火.5PM.11.RTP-1.4</t>
  </si>
  <si>
    <t>09 Oct 2024 08:31:01</t>
  </si>
  <si>
    <t>09 Oct 2024 16:30:54</t>
  </si>
  <si>
    <t>S220.Furnace.SiN.Thick 小 PM(80).8.LP-N5.8</t>
  </si>
  <si>
    <t>09 Oct 2024 07:46:40</t>
  </si>
  <si>
    <t>09 Oct 2024 15:42:01</t>
  </si>
  <si>
    <t>S220.Furnace.Poly.小PM.9.LP-P3.18</t>
  </si>
  <si>
    <t>09 Oct 2024 04:04:01</t>
  </si>
  <si>
    <t>09 Oct 2024 13:19:12</t>
  </si>
  <si>
    <t>S220.Furnace.N+預置.大PM.28.F25.14</t>
  </si>
  <si>
    <t>08 Oct 2024 14:28:14</t>
  </si>
  <si>
    <t>08 Oct 2024 15:10:51</t>
  </si>
  <si>
    <t>S220.Furnace.墊層氧化.OXIDE FURNACE WAFER TRANSFER CHECK.6.F17.1</t>
  </si>
  <si>
    <t>08 Oct 2024 09:36:20</t>
  </si>
  <si>
    <t>08 Oct 2024 11:03:44</t>
  </si>
  <si>
    <t>S220.Furnace.場氧化.OXIDE FURNACE WAFER TRANSFER CHECK.6.F01.1</t>
  </si>
  <si>
    <t>08 Oct 2024 06:54:31</t>
  </si>
  <si>
    <t>08 Oct 2024 16:45:04</t>
  </si>
  <si>
    <t>S220.Furnace.TEOS.小PM(18um).8.LP-T1.6</t>
  </si>
  <si>
    <t>08 Oct 2024 05:17:48</t>
  </si>
  <si>
    <t>08 Oct 2024 17:26:47</t>
  </si>
  <si>
    <t>S220.Furnace.場氧化.大PM.20.F07.3</t>
  </si>
  <si>
    <t>07 Oct 2024 18:37:50</t>
  </si>
  <si>
    <t>07 Oct 2024 18:45:50</t>
  </si>
  <si>
    <t>S220.Furnace.WAFER TRANSFER.MPM.1.SORT-W2.3</t>
  </si>
  <si>
    <t>07 Oct 2024 08:31:17</t>
  </si>
  <si>
    <t>07 Oct 2024 16:04:17</t>
  </si>
  <si>
    <t>S220.Furnace.SiN.Thick 小 PM(80).8.LP-N4.11</t>
  </si>
  <si>
    <t>07 Oct 2024 03:23:51</t>
  </si>
  <si>
    <t>08 Oct 2024 11:44:13</t>
  </si>
  <si>
    <t>S220.Furnace.Poly.5PM.25.LP-P2.1</t>
  </si>
  <si>
    <t>07 Oct 2024 02:04:28</t>
  </si>
  <si>
    <t>07 Oct 2024 19:01:19</t>
  </si>
  <si>
    <t>S220.Furnace.TEOS.1PM.36.LP-T3.2</t>
  </si>
  <si>
    <t>06 Oct 2024 08:07:43</t>
  </si>
  <si>
    <t>06 Oct 2024 08:17:41</t>
  </si>
  <si>
    <t>S220.Furnace.快速回火.17PM.6.RTP-3.3</t>
  </si>
  <si>
    <t>06 Oct 2024 01:22:18</t>
  </si>
  <si>
    <t>06 Oct 2024 01:59:33</t>
  </si>
  <si>
    <t>S220.Furnace.快速回火.23PM.6.RTP-2.4</t>
  </si>
  <si>
    <t>05 Oct 2024 12:51:31</t>
  </si>
  <si>
    <t>05 Oct 2024 13:22:08</t>
  </si>
  <si>
    <t>S220.Furnace.量測厚度.EM 每月保養.1.EM-4.71</t>
  </si>
  <si>
    <t>05 Oct 2024 12:48:03</t>
  </si>
  <si>
    <t>05 Oct 2024 13:21:44</t>
  </si>
  <si>
    <t>S220.Furnace.量測厚度.EM 每月保養.1.EM-6.59</t>
  </si>
  <si>
    <t>05 Oct 2024 12:47:52</t>
  </si>
  <si>
    <t>05 Oct 2024 13:21:53</t>
  </si>
  <si>
    <t>S220.Furnace.量測厚度.EM 每月保養.1.EM-5.61</t>
  </si>
  <si>
    <t>04 Oct 2024 23:23:18</t>
  </si>
  <si>
    <t>04 Oct 2024 23:46:37</t>
  </si>
  <si>
    <t>S220.Furnace.快速回火.15PM.6.RTP-4.4</t>
  </si>
  <si>
    <t>04 Oct 2024 13:48:01</t>
  </si>
  <si>
    <t>04 Oct 2024 15:27:05</t>
  </si>
  <si>
    <t>S220.Furnace.爐管烘烤.OXIDE FURNACE WAFER TRANSFER CHECK.6.F44.1</t>
  </si>
  <si>
    <t>04 Oct 2024 09:25:38</t>
  </si>
  <si>
    <t>04 Oct 2024 10:34:18</t>
  </si>
  <si>
    <t>S220.Furnace.墊層氧化.OXIDE FURNACE WAFER TRANSFER CHECK.6.F26.1</t>
  </si>
  <si>
    <t>04 Oct 2024 07:35:32</t>
  </si>
  <si>
    <t>04 Oct 2024 16:29:29</t>
  </si>
  <si>
    <t>S220.Furnace.TEOS.小PM(9um).10.LP-T2.5</t>
  </si>
  <si>
    <t>03 Oct 2024 10:37:04</t>
  </si>
  <si>
    <t>03 Oct 2024 11:09:47</t>
  </si>
  <si>
    <t>S220.Furnace.研磨厚度量測.MPM.1.ADE.17</t>
  </si>
  <si>
    <t>03 Oct 2024 07:37:27</t>
  </si>
  <si>
    <t>03 Oct 2024 09:24:17</t>
  </si>
  <si>
    <t>S220.Furnace.井區擴散.OXIDE FURNACE WAFER TRANSFER CHECK.7.F05.1</t>
  </si>
  <si>
    <t>03 Oct 2024 07:25:04</t>
  </si>
  <si>
    <t>03 Oct 2024 15:46:09</t>
  </si>
  <si>
    <t>S220.Furnace.Poly.小PM.9.LP-P6.18</t>
  </si>
  <si>
    <t>S220.Furnace.Wsix.LOADLOCK.11.WSIX-1A.63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</si>
</sst>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_);[Red]\(&quot;$&quot;#,##0\)"/>
    <numFmt numFmtId="165" formatCode="0.0"/>
    <numFmt numFmtId="166" formatCode="_ &quot;\&quot;* #,##0_ ;_ &quot;\&quot;* \-#,##0_ ;_ &quot;\&quot;* &quot;-&quot;_ ;_ @_ "/>
    <numFmt numFmtId="167" formatCode="_ * #,##0_ ;_ * \-#,##0_ ;_ * &quot;-&quot;_ ;_ @_ "/>
    <numFmt numFmtId="168" formatCode="_ &quot;\&quot;* #,##0.00_ ;_ &quot;\&quot;* \-#,##0.00_ ;_ &quot;\&quot;* &quot;-&quot;??_ ;_ @_ "/>
    <numFmt numFmtId="169" formatCode="_ * #,##0.00_ ;_ * \-#,##0.00_ ;_ * &quot;-&quot;??_ ;_ @_ "/>
    <numFmt numFmtId="170" formatCode="0.0000000000"/>
    <numFmt numFmtId="171" formatCode="m/d;@"/>
  </numFmts>
  <fonts count="41">
    <font>
      <sz val="12"/>
      <color theme="1"/>
      <name val="Calibri"/>
      <family val="1"/>
      <charset val="136"/>
      <scheme val="minor"/>
    </font>
    <font>
      <sz val="12"/>
      <name val="Times New Roman"/>
      <family val="1"/>
    </font>
    <font>
      <sz val="8"/>
      <name val="Arial"/>
      <family val="2"/>
    </font>
    <font>
      <u/>
      <sz val="12"/>
      <color indexed="36"/>
      <name val="Times New Roman"/>
      <family val="1"/>
    </font>
    <font>
      <b/>
      <sz val="12"/>
      <name val="Arial"/>
      <family val="2"/>
    </font>
    <font>
      <u/>
      <sz val="12"/>
      <color indexed="12"/>
      <name val="Times New Roman"/>
      <family val="1"/>
    </font>
    <font>
      <sz val="10"/>
      <name val="Arial"/>
      <family val="2"/>
    </font>
    <font>
      <sz val="12"/>
      <name val="細明體"/>
      <family val="3"/>
      <charset val="136"/>
    </font>
    <font>
      <sz val="12"/>
      <name val="Courier"/>
      <family val="3"/>
    </font>
    <font>
      <sz val="12"/>
      <name val="夥鰻羹"/>
      <family val="1"/>
      <charset val="136"/>
    </font>
    <font>
      <b/>
      <sz val="10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b/>
      <sz val="10"/>
      <name val="微軟正黑體"/>
      <family val="2"/>
      <charset val="136"/>
    </font>
    <font>
      <sz val="10"/>
      <name val="微軟正黑體"/>
      <family val="2"/>
      <charset val="136"/>
    </font>
    <font>
      <sz val="9"/>
      <name val="新細明體"/>
      <family val="1"/>
      <charset val="136"/>
    </font>
    <font>
      <sz val="12"/>
      <color indexed="1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indexed="8"/>
      <name val="微軟正黑體"/>
      <family val="2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b/>
      <sz val="12"/>
      <color theme="1"/>
      <name val="Calibri"/>
      <family val="1"/>
      <charset val="136"/>
      <scheme val="minor"/>
    </font>
    <font>
      <sz val="10"/>
      <color theme="1"/>
      <name val="Calibri"/>
      <family val="1"/>
      <charset val="136"/>
      <scheme val="minor"/>
    </font>
    <font>
      <b/>
      <sz val="10"/>
      <color rgb="FFFF0000"/>
      <name val="新細明體"/>
      <family val="1"/>
      <charset val="136"/>
    </font>
    <font>
      <b/>
      <sz val="11"/>
      <color theme="1"/>
      <name val="Calibri"/>
      <family val="1"/>
      <charset val="136"/>
      <scheme val="minor"/>
    </font>
    <font>
      <sz val="11"/>
      <color theme="1"/>
      <name val="Calibri"/>
      <family val="1"/>
      <charset val="136"/>
      <scheme val="minor"/>
    </font>
    <font>
      <sz val="10"/>
      <color theme="1"/>
      <name val="新細明體"/>
      <family val="1"/>
      <charset val="136"/>
    </font>
    <font>
      <sz val="12"/>
      <color theme="1"/>
      <name val="微軟正黑體"/>
      <family val="2"/>
      <charset val="136"/>
    </font>
    <font>
      <b/>
      <sz val="10"/>
      <color theme="1"/>
      <name val="Calibri"/>
      <family val="1"/>
      <charset val="136"/>
      <scheme val="minor"/>
    </font>
    <font>
      <sz val="10"/>
      <name val="Calibri"/>
      <family val="1"/>
      <charset val="136"/>
      <scheme val="minor"/>
    </font>
    <font>
      <sz val="9"/>
      <name val="Calibri"/>
      <family val="1"/>
      <charset val="136"/>
      <scheme val="minor"/>
    </font>
    <font>
      <sz val="8"/>
      <name val="Calibri"/>
      <family val="1"/>
      <charset val="136"/>
      <scheme val="minor"/>
    </font>
    <font>
      <b/>
      <sz val="10"/>
      <color theme="1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b/>
      <sz val="10"/>
      <color rgb="FF00B0F0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0">
    <xf numFmtId="0" fontId="0" fillId="0" borderId="0">
      <alignment vertical="center"/>
    </xf>
    <xf numFmtId="0" fontId="2" fillId="0" borderId="0" applyNumberFormat="0" applyAlignment="0"/>
    <xf numFmtId="0" fontId="3" fillId="0" borderId="0" applyNumberFormat="0" applyFill="0" applyBorder="0" applyAlignment="0" applyProtection="0">
      <alignment vertical="top"/>
      <protection locked="0"/>
    </xf>
    <xf numFmtId="38" fontId="2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 applyNumberFormat="0" applyFill="0" applyBorder="0" applyAlignment="0" applyProtection="0">
      <alignment vertical="top"/>
      <protection locked="0"/>
    </xf>
    <xf numFmtId="10" fontId="2" fillId="3" borderId="3" applyNumberFormat="0" applyBorder="0" applyAlignment="0" applyProtection="0"/>
    <xf numFmtId="170" fontId="6" fillId="0" borderId="0"/>
    <xf numFmtId="10" fontId="6" fillId="0" borderId="0" applyFont="0" applyFill="0" applyBorder="0" applyAlignment="0" applyProtection="0"/>
    <xf numFmtId="0" fontId="6" fillId="0" borderId="0" applyNumberFormat="0" applyFont="0" applyBorder="0" applyAlignment="0" applyProtection="0"/>
    <xf numFmtId="0" fontId="9" fillId="0" borderId="0"/>
    <xf numFmtId="0" fontId="1" fillId="0" borderId="0"/>
    <xf numFmtId="0" fontId="7" fillId="0" borderId="0"/>
    <xf numFmtId="9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</cellStyleXfs>
  <cellXfs count="112">
    <xf numFmtId="0" fontId="0" fillId="0" borderId="0" xfId="0">
      <alignment vertical="center"/>
    </xf>
    <xf numFmtId="0" fontId="28" fillId="0" borderId="0" xfId="0" applyFont="1">
      <alignment vertical="center"/>
    </xf>
    <xf numFmtId="0" fontId="10" fillId="0" borderId="8" xfId="13" applyFont="1" applyBorder="1" applyAlignment="1">
      <alignment horizontal="center" vertical="center"/>
    </xf>
    <xf numFmtId="0" fontId="10" fillId="0" borderId="9" xfId="13" applyFont="1" applyBorder="1" applyAlignment="1">
      <alignment horizontal="center" vertical="center"/>
    </xf>
    <xf numFmtId="0" fontId="29" fillId="0" borderId="9" xfId="13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7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171" fontId="0" fillId="0" borderId="0" xfId="0" applyNumberFormat="1" applyAlignment="1">
      <alignment horizontal="center" vertical="center"/>
    </xf>
    <xf numFmtId="171" fontId="27" fillId="0" borderId="3" xfId="0" applyNumberFormat="1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 wrapText="1"/>
    </xf>
    <xf numFmtId="0" fontId="31" fillId="0" borderId="0" xfId="0" applyFont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171" fontId="0" fillId="4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31" fillId="4" borderId="3" xfId="0" applyFont="1" applyFill="1" applyBorder="1" applyAlignment="1">
      <alignment horizontal="left" vertical="center" wrapText="1"/>
    </xf>
    <xf numFmtId="0" fontId="0" fillId="4" borderId="3" xfId="0" applyFill="1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10" fillId="0" borderId="4" xfId="13" applyFont="1" applyBorder="1" applyAlignment="1">
      <alignment horizontal="center" vertical="center" wrapText="1"/>
    </xf>
    <xf numFmtId="0" fontId="10" fillId="0" borderId="5" xfId="13" applyFont="1" applyBorder="1" applyAlignment="1">
      <alignment horizontal="center" vertical="center" wrapText="1"/>
    </xf>
    <xf numFmtId="0" fontId="10" fillId="0" borderId="6" xfId="13" applyFont="1" applyBorder="1" applyAlignment="1">
      <alignment horizontal="center" vertical="center" wrapText="1"/>
    </xf>
    <xf numFmtId="0" fontId="10" fillId="0" borderId="7" xfId="13" applyFont="1" applyBorder="1" applyAlignment="1">
      <alignment horizontal="center" vertical="center" wrapText="1"/>
    </xf>
    <xf numFmtId="0" fontId="10" fillId="0" borderId="13" xfId="13" applyFont="1" applyBorder="1" applyAlignment="1">
      <alignment horizontal="center" vertical="center" wrapText="1"/>
    </xf>
    <xf numFmtId="0" fontId="10" fillId="0" borderId="14" xfId="13" applyFont="1" applyBorder="1" applyAlignment="1">
      <alignment horizontal="center" vertical="center" wrapText="1"/>
    </xf>
    <xf numFmtId="0" fontId="10" fillId="0" borderId="15" xfId="13" applyFont="1" applyBorder="1" applyAlignment="1">
      <alignment horizontal="center" vertical="center" wrapText="1"/>
    </xf>
    <xf numFmtId="0" fontId="10" fillId="0" borderId="16" xfId="13" applyFont="1" applyBorder="1" applyAlignment="1">
      <alignment horizontal="center" vertical="center" wrapText="1"/>
    </xf>
    <xf numFmtId="0" fontId="29" fillId="0" borderId="3" xfId="13" applyFont="1" applyBorder="1" applyAlignment="1">
      <alignment horizontal="center" vertical="center"/>
    </xf>
    <xf numFmtId="0" fontId="29" fillId="0" borderId="10" xfId="13" applyFont="1" applyBorder="1" applyAlignment="1">
      <alignment horizontal="center" vertical="center"/>
    </xf>
    <xf numFmtId="0" fontId="32" fillId="0" borderId="0" xfId="0" applyFont="1">
      <alignment vertical="center"/>
    </xf>
    <xf numFmtId="2" fontId="10" fillId="0" borderId="15" xfId="13" applyNumberFormat="1" applyFont="1" applyBorder="1" applyAlignment="1">
      <alignment horizontal="center" vertical="center" wrapText="1"/>
    </xf>
    <xf numFmtId="2" fontId="10" fillId="0" borderId="14" xfId="13" applyNumberFormat="1" applyFont="1" applyBorder="1" applyAlignment="1">
      <alignment horizontal="center" vertical="center" wrapText="1"/>
    </xf>
    <xf numFmtId="171" fontId="0" fillId="0" borderId="3" xfId="0" applyNumberFormat="1" applyBorder="1" applyAlignment="1">
      <alignment horizontal="center" vertical="center"/>
    </xf>
    <xf numFmtId="0" fontId="31" fillId="0" borderId="3" xfId="0" applyFont="1" applyBorder="1" applyAlignment="1">
      <alignment horizontal="left" vertical="center" wrapText="1"/>
    </xf>
    <xf numFmtId="0" fontId="31" fillId="0" borderId="3" xfId="0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165" fontId="15" fillId="0" borderId="3" xfId="13" applyNumberFormat="1" applyFont="1" applyBorder="1" applyAlignment="1">
      <alignment horizontal="center" vertical="center"/>
    </xf>
    <xf numFmtId="0" fontId="28" fillId="4" borderId="3" xfId="0" applyFont="1" applyFill="1" applyBorder="1" applyAlignment="1">
      <alignment vertical="center" wrapText="1"/>
    </xf>
    <xf numFmtId="0" fontId="0" fillId="5" borderId="11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171" fontId="0" fillId="6" borderId="3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31" fillId="6" borderId="3" xfId="0" applyFont="1" applyFill="1" applyBorder="1" applyAlignment="1">
      <alignment horizontal="left" vertical="center" wrapText="1"/>
    </xf>
    <xf numFmtId="0" fontId="0" fillId="6" borderId="3" xfId="0" applyFill="1" applyBorder="1" applyAlignment="1">
      <alignment vertical="center" wrapText="1"/>
    </xf>
    <xf numFmtId="0" fontId="28" fillId="6" borderId="3" xfId="0" applyFont="1" applyFill="1" applyBorder="1" applyAlignment="1">
      <alignment horizontal="left" vertical="center" wrapText="1"/>
    </xf>
    <xf numFmtId="171" fontId="0" fillId="6" borderId="12" xfId="0" applyNumberForma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31" fillId="6" borderId="12" xfId="0" applyFont="1" applyFill="1" applyBorder="1" applyAlignment="1">
      <alignment horizontal="left" vertical="center" wrapText="1"/>
    </xf>
    <xf numFmtId="0" fontId="0" fillId="6" borderId="12" xfId="0" applyFill="1" applyBorder="1" applyAlignment="1">
      <alignment vertical="center" wrapText="1"/>
    </xf>
    <xf numFmtId="165" fontId="20" fillId="0" borderId="3" xfId="13" applyNumberFormat="1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171" fontId="33" fillId="6" borderId="3" xfId="0" applyNumberFormat="1" applyFont="1" applyFill="1" applyBorder="1" applyAlignment="1">
      <alignment horizontal="center" vertical="center"/>
    </xf>
    <xf numFmtId="0" fontId="33" fillId="6" borderId="3" xfId="0" applyFont="1" applyFill="1" applyBorder="1" applyAlignment="1">
      <alignment horizontal="center" vertical="center"/>
    </xf>
    <xf numFmtId="0" fontId="33" fillId="0" borderId="11" xfId="0" applyFont="1" applyBorder="1" applyAlignment="1">
      <alignment horizontal="left" vertical="center" wrapText="1"/>
    </xf>
    <xf numFmtId="0" fontId="33" fillId="0" borderId="0" xfId="0" applyFont="1" applyAlignment="1">
      <alignment horizontal="center" vertical="center"/>
    </xf>
    <xf numFmtId="0" fontId="33" fillId="0" borderId="3" xfId="0" applyFont="1" applyBorder="1" applyAlignment="1">
      <alignment horizontal="left" vertical="center" wrapText="1"/>
    </xf>
    <xf numFmtId="0" fontId="33" fillId="6" borderId="3" xfId="0" applyFont="1" applyFill="1" applyBorder="1" applyAlignment="1">
      <alignment horizontal="left" vertical="center" wrapText="1"/>
    </xf>
    <xf numFmtId="0" fontId="33" fillId="6" borderId="3" xfId="0" applyFont="1" applyFill="1" applyBorder="1" applyAlignment="1">
      <alignment vertical="center" wrapText="1"/>
    </xf>
    <xf numFmtId="0" fontId="33" fillId="5" borderId="3" xfId="0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3" fillId="6" borderId="3" xfId="0" applyFont="1" applyFill="1" applyBorder="1" applyAlignment="1">
      <alignment horizontal="center" vertical="center" wrapText="1"/>
    </xf>
    <xf numFmtId="165" fontId="20" fillId="0" borderId="3" xfId="13" applyNumberFormat="1" applyFont="1" applyBorder="1" applyAlignment="1">
      <alignment horizontal="center" vertical="center" wrapText="1"/>
    </xf>
    <xf numFmtId="0" fontId="10" fillId="0" borderId="3" xfId="13" applyFont="1" applyBorder="1" applyAlignment="1">
      <alignment horizontal="center" vertical="center" wrapText="1"/>
    </xf>
    <xf numFmtId="165" fontId="15" fillId="0" borderId="3" xfId="13" applyNumberFormat="1" applyFont="1" applyBorder="1" applyAlignment="1">
      <alignment horizontal="center" vertical="center" wrapText="1"/>
    </xf>
    <xf numFmtId="0" fontId="10" fillId="0" borderId="3" xfId="13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165" fontId="28" fillId="0" borderId="0" xfId="0" applyNumberFormat="1" applyFont="1">
      <alignment vertical="center"/>
    </xf>
    <xf numFmtId="165" fontId="19" fillId="0" borderId="3" xfId="13" applyNumberFormat="1" applyFont="1" applyBorder="1" applyAlignment="1">
      <alignment horizontal="center" vertical="center" wrapText="1"/>
    </xf>
    <xf numFmtId="165" fontId="20" fillId="0" borderId="3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19" fillId="0" borderId="3" xfId="13" applyFont="1" applyBorder="1" applyAlignment="1">
      <alignment horizontal="center" vertical="center" wrapText="1"/>
    </xf>
    <xf numFmtId="0" fontId="19" fillId="0" borderId="3" xfId="13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3" xfId="0" applyFont="1" applyBorder="1">
      <alignment vertical="center"/>
    </xf>
    <xf numFmtId="165" fontId="28" fillId="0" borderId="3" xfId="0" applyNumberFormat="1" applyFont="1" applyBorder="1" applyAlignment="1">
      <alignment horizontal="center" vertical="center"/>
    </xf>
    <xf numFmtId="165" fontId="29" fillId="0" borderId="3" xfId="13" applyNumberFormat="1" applyFont="1" applyBorder="1" applyAlignment="1">
      <alignment horizontal="center" vertical="center" wrapText="1"/>
    </xf>
    <xf numFmtId="165" fontId="35" fillId="0" borderId="3" xfId="0" applyNumberFormat="1" applyFont="1" applyBorder="1" applyAlignment="1">
      <alignment horizontal="center" vertical="center"/>
    </xf>
    <xf numFmtId="22" fontId="0" fillId="0" borderId="0" xfId="0" applyNumberFormat="1">
      <alignment vertical="center"/>
    </xf>
    <xf numFmtId="0" fontId="33" fillId="6" borderId="0" xfId="0" applyFont="1" applyFill="1" applyAlignment="1">
      <alignment vertical="center" wrapText="1"/>
    </xf>
    <xf numFmtId="0" fontId="33" fillId="5" borderId="11" xfId="0" applyFont="1" applyFill="1" applyBorder="1" applyAlignment="1">
      <alignment horizontal="center" vertical="center" wrapText="1"/>
    </xf>
    <xf numFmtId="0" fontId="33" fillId="0" borderId="3" xfId="0" applyFont="1" applyBorder="1">
      <alignment vertical="center"/>
    </xf>
    <xf numFmtId="0" fontId="33" fillId="0" borderId="3" xfId="0" applyFont="1" applyBorder="1" applyAlignment="1">
      <alignment vertical="center" wrapText="1"/>
    </xf>
    <xf numFmtId="0" fontId="33" fillId="7" borderId="3" xfId="0" applyFont="1" applyFill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10" fontId="33" fillId="0" borderId="18" xfId="0" applyNumberFormat="1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10" fontId="33" fillId="0" borderId="19" xfId="0" applyNumberFormat="1" applyFont="1" applyBorder="1" applyAlignment="1">
      <alignment horizontal="center" vertical="center"/>
    </xf>
    <xf numFmtId="0" fontId="19" fillId="7" borderId="4" xfId="13" applyFont="1" applyFill="1" applyBorder="1" applyAlignment="1">
      <alignment horizontal="center" vertical="center" wrapText="1"/>
    </xf>
    <xf numFmtId="0" fontId="19" fillId="7" borderId="6" xfId="13" applyFont="1" applyFill="1" applyBorder="1" applyAlignment="1">
      <alignment horizontal="center" vertical="center" wrapText="1"/>
    </xf>
    <xf numFmtId="0" fontId="19" fillId="7" borderId="7" xfId="13" applyFont="1" applyFill="1" applyBorder="1" applyAlignment="1">
      <alignment horizontal="center" vertical="center" wrapText="1"/>
    </xf>
    <xf numFmtId="0" fontId="19" fillId="7" borderId="8" xfId="13" applyFont="1" applyFill="1" applyBorder="1" applyAlignment="1">
      <alignment horizontal="center" vertical="center"/>
    </xf>
    <xf numFmtId="0" fontId="38" fillId="7" borderId="3" xfId="13" applyFont="1" applyFill="1" applyBorder="1" applyAlignment="1">
      <alignment horizontal="center" vertical="center"/>
    </xf>
    <xf numFmtId="0" fontId="39" fillId="7" borderId="3" xfId="13" applyFont="1" applyFill="1" applyBorder="1" applyAlignment="1">
      <alignment horizontal="center" vertical="center"/>
    </xf>
    <xf numFmtId="0" fontId="39" fillId="7" borderId="10" xfId="13" applyFont="1" applyFill="1" applyBorder="1" applyAlignment="1">
      <alignment horizontal="center" vertical="center"/>
    </xf>
    <xf numFmtId="0" fontId="38" fillId="7" borderId="3" xfId="0" applyFont="1" applyFill="1" applyBorder="1" applyAlignment="1">
      <alignment horizontal="center" vertical="center"/>
    </xf>
    <xf numFmtId="10" fontId="39" fillId="7" borderId="3" xfId="13" applyNumberFormat="1" applyFont="1" applyFill="1" applyBorder="1" applyAlignment="1">
      <alignment horizontal="center" vertical="center"/>
    </xf>
    <xf numFmtId="10" fontId="39" fillId="7" borderId="10" xfId="13" applyNumberFormat="1" applyFont="1" applyFill="1" applyBorder="1" applyAlignment="1">
      <alignment horizontal="center" vertical="center"/>
    </xf>
    <xf numFmtId="0" fontId="19" fillId="7" borderId="17" xfId="13" applyFont="1" applyFill="1" applyBorder="1" applyAlignment="1">
      <alignment horizontal="center" vertical="center"/>
    </xf>
    <xf numFmtId="10" fontId="40" fillId="7" borderId="18" xfId="13" applyNumberFormat="1" applyFont="1" applyFill="1" applyBorder="1" applyAlignment="1">
      <alignment horizontal="center" vertical="center"/>
    </xf>
    <xf numFmtId="10" fontId="39" fillId="7" borderId="18" xfId="13" applyNumberFormat="1" applyFont="1" applyFill="1" applyBorder="1" applyAlignment="1">
      <alignment horizontal="center" vertical="center"/>
    </xf>
    <xf numFmtId="10" fontId="39" fillId="7" borderId="19" xfId="13" applyNumberFormat="1" applyFont="1" applyFill="1" applyBorder="1" applyAlignment="1">
      <alignment horizontal="center" vertical="center"/>
    </xf>
  </cellXfs>
  <cellStyles count="20">
    <cellStyle name="active" xfId="1" xr:uid="{00000000-0005-0000-0000-000000000000}"/>
    <cellStyle name="Followed Hyperlink" xfId="2" xr:uid="{00000000-0005-0000-0000-000001000000}"/>
    <cellStyle name="Grey" xfId="3" xr:uid="{00000000-0005-0000-0000-000002000000}"/>
    <cellStyle name="Header1" xfId="4" xr:uid="{00000000-0005-0000-0000-000003000000}"/>
    <cellStyle name="Header2" xfId="5" xr:uid="{00000000-0005-0000-0000-000004000000}"/>
    <cellStyle name="Hyperlink" xfId="6" xr:uid="{00000000-0005-0000-0000-000005000000}"/>
    <cellStyle name="Input [yellow]" xfId="7" xr:uid="{00000000-0005-0000-0000-000006000000}"/>
    <cellStyle name="Normal - Style1" xfId="8" xr:uid="{00000000-0005-0000-0000-000007000000}"/>
    <cellStyle name="Percent [2]" xfId="9" xr:uid="{00000000-0005-0000-0000-000008000000}"/>
    <cellStyle name="wafer" xfId="10" xr:uid="{00000000-0005-0000-0000-000009000000}"/>
    <cellStyle name="遽_laroux" xfId="11" xr:uid="{00000000-0005-0000-0000-00000A000000}"/>
    <cellStyle name="一般" xfId="0" builtinId="0"/>
    <cellStyle name="一般 2" xfId="12" xr:uid="{00000000-0005-0000-0000-00000C000000}"/>
    <cellStyle name="一般_99 TEOS PTC月報" xfId="13" xr:uid="{00000000-0005-0000-0000-00000D000000}"/>
    <cellStyle name="百分比 2" xfId="14" xr:uid="{00000000-0005-0000-0000-00000E000000}"/>
    <cellStyle name="貨幣[0]_laroux" xfId="15" xr:uid="{00000000-0005-0000-0000-00000F000000}"/>
    <cellStyle name="巍葆 [0]_laroux" xfId="16" xr:uid="{00000000-0005-0000-0000-000010000000}"/>
    <cellStyle name="巍葆_laroux" xfId="17" xr:uid="{00000000-0005-0000-0000-000011000000}"/>
    <cellStyle name="鱔 [0]_laroux" xfId="18" xr:uid="{00000000-0005-0000-0000-000012000000}"/>
    <cellStyle name="鱔_laroux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微軟正黑體" panose="020B0604030504040204" pitchFamily="34" charset="-120"/>
                <a:ea typeface="微軟正黑體" panose="020B0604030504040204" pitchFamily="34" charset="-120"/>
              </a:defRPr>
            </a:pPr>
            <a:r>
              <a:rPr 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20</a:t>
            </a:r>
            <a:r>
              <a:rPr lang="en-US" altLang="zh-TW">
                <a:latin typeface="微軟正黑體" panose="020B0604030504040204" pitchFamily="34" charset="-120"/>
                <a:ea typeface="微軟正黑體" panose="020B0604030504040204" pitchFamily="34" charset="-120"/>
              </a:rPr>
              <a:t>24</a:t>
            </a:r>
            <a:r>
              <a:rPr 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Y LP-Nitride PTC OOS Rate</a:t>
            </a:r>
            <a:endParaRPr lang="zh-TW"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437552353828112"/>
          <c:y val="0.1490376949215915"/>
          <c:w val="0.85289913553049634"/>
          <c:h val="0.54712598425196846"/>
        </c:manualLayout>
      </c:layout>
      <c:lineChart>
        <c:grouping val="standard"/>
        <c:varyColors val="0"/>
        <c:ser>
          <c:idx val="1"/>
          <c:order val="0"/>
          <c:tx>
            <c:strRef>
              <c:f>'2024 OOS次數 改rate版'!$B$5</c:f>
              <c:strCache>
                <c:ptCount val="1"/>
                <c:pt idx="0">
                  <c:v>OOS Rate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'2024 OOS次數 改rate版'!$C$2:$Y$2</c:f>
              <c:strCache>
                <c:ptCount val="23"/>
                <c:pt idx="0">
                  <c:v>2020Y</c:v>
                </c:pt>
                <c:pt idx="1">
                  <c:v>2021Y</c:v>
                </c:pt>
                <c:pt idx="2">
                  <c:v>2022Y</c:v>
                </c:pt>
                <c:pt idx="3">
                  <c:v>2023Y</c:v>
                </c:pt>
                <c:pt idx="4">
                  <c:v>2024Y</c:v>
                </c:pt>
                <c:pt idx="6">
                  <c:v>Q1 </c:v>
                </c:pt>
                <c:pt idx="7">
                  <c:v>Q2 </c:v>
                </c:pt>
                <c:pt idx="8">
                  <c:v>Q3</c:v>
                </c:pt>
                <c:pt idx="9">
                  <c:v>Q4</c:v>
                </c:pt>
                <c:pt idx="11">
                  <c:v>1月 </c:v>
                </c:pt>
                <c:pt idx="12">
                  <c:v>2月</c:v>
                </c:pt>
                <c:pt idx="13">
                  <c:v>3月</c:v>
                </c:pt>
                <c:pt idx="14">
                  <c:v>4月 </c:v>
                </c:pt>
                <c:pt idx="15">
                  <c:v>5月 </c:v>
                </c:pt>
                <c:pt idx="16">
                  <c:v>6月 </c:v>
                </c:pt>
                <c:pt idx="17">
                  <c:v>7月</c:v>
                </c:pt>
                <c:pt idx="18">
                  <c:v>8月</c:v>
                </c:pt>
                <c:pt idx="19">
                  <c:v>9月</c:v>
                </c:pt>
                <c:pt idx="20">
                  <c:v>10月</c:v>
                </c:pt>
                <c:pt idx="21">
                  <c:v>11月</c:v>
                </c:pt>
                <c:pt idx="22">
                  <c:v>12月</c:v>
                </c:pt>
              </c:strCache>
            </c:strRef>
          </c:cat>
          <c:val>
            <c:numRef>
              <c:f>'2024 OOS次數 改rate版'!$C$5:$Y$5</c:f>
              <c:numCache>
                <c:formatCode>0.00%</c:formatCode>
                <c:ptCount val="23"/>
                <c:pt idx="0">
                  <c:v>1.6404647983595353E-3</c:v>
                </c:pt>
                <c:pt idx="1">
                  <c:v>1.203852327447833E-3</c:v>
                </c:pt>
                <c:pt idx="2">
                  <c:v>4.3153049482163404E-4</c:v>
                </c:pt>
                <c:pt idx="3">
                  <c:v>1.9054878048780488E-4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EC2-4E1C-B832-B647BAEA51DC}"/>
            </c:ext>
          </c:extLst>
        </c:ser>
        <c:ser>
          <c:idx val="2"/>
          <c:order val="1"/>
          <c:tx>
            <c:strRef>
              <c:f>'2024 OOS次數 改rate版'!$B$6</c:f>
              <c:strCache>
                <c:ptCount val="1"/>
                <c:pt idx="0">
                  <c:v>target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'2024 OOS次數 改rate版'!$C$2:$Y$2</c:f>
              <c:strCache>
                <c:ptCount val="23"/>
                <c:pt idx="0">
                  <c:v>2020Y</c:v>
                </c:pt>
                <c:pt idx="1">
                  <c:v>2021Y</c:v>
                </c:pt>
                <c:pt idx="2">
                  <c:v>2022Y</c:v>
                </c:pt>
                <c:pt idx="3">
                  <c:v>2023Y</c:v>
                </c:pt>
                <c:pt idx="4">
                  <c:v>2024Y</c:v>
                </c:pt>
                <c:pt idx="6">
                  <c:v>Q1 </c:v>
                </c:pt>
                <c:pt idx="7">
                  <c:v>Q2 </c:v>
                </c:pt>
                <c:pt idx="8">
                  <c:v>Q3</c:v>
                </c:pt>
                <c:pt idx="9">
                  <c:v>Q4</c:v>
                </c:pt>
                <c:pt idx="11">
                  <c:v>1月 </c:v>
                </c:pt>
                <c:pt idx="12">
                  <c:v>2月</c:v>
                </c:pt>
                <c:pt idx="13">
                  <c:v>3月</c:v>
                </c:pt>
                <c:pt idx="14">
                  <c:v>4月 </c:v>
                </c:pt>
                <c:pt idx="15">
                  <c:v>5月 </c:v>
                </c:pt>
                <c:pt idx="16">
                  <c:v>6月 </c:v>
                </c:pt>
                <c:pt idx="17">
                  <c:v>7月</c:v>
                </c:pt>
                <c:pt idx="18">
                  <c:v>8月</c:v>
                </c:pt>
                <c:pt idx="19">
                  <c:v>9月</c:v>
                </c:pt>
                <c:pt idx="20">
                  <c:v>10月</c:v>
                </c:pt>
                <c:pt idx="21">
                  <c:v>11月</c:v>
                </c:pt>
                <c:pt idx="22">
                  <c:v>12月</c:v>
                </c:pt>
              </c:strCache>
            </c:strRef>
          </c:cat>
          <c:val>
            <c:numRef>
              <c:f>'2024 OOS次數 改rate版'!$C$6:$Y$6</c:f>
              <c:numCache>
                <c:formatCode>0.00%</c:formatCode>
                <c:ptCount val="23"/>
                <c:pt idx="0">
                  <c:v>4.0000000000000001E-3</c:v>
                </c:pt>
                <c:pt idx="1">
                  <c:v>4.0000000000000001E-3</c:v>
                </c:pt>
                <c:pt idx="2">
                  <c:v>4.0000000000000001E-3</c:v>
                </c:pt>
                <c:pt idx="3">
                  <c:v>4.0000000000000001E-3</c:v>
                </c:pt>
                <c:pt idx="4">
                  <c:v>4.0000000000000001E-3</c:v>
                </c:pt>
                <c:pt idx="6">
                  <c:v>4.0000000000000001E-3</c:v>
                </c:pt>
                <c:pt idx="7">
                  <c:v>4.0000000000000001E-3</c:v>
                </c:pt>
                <c:pt idx="8">
                  <c:v>4.0000000000000001E-3</c:v>
                </c:pt>
                <c:pt idx="9">
                  <c:v>4.0000000000000001E-3</c:v>
                </c:pt>
                <c:pt idx="11">
                  <c:v>4.0000000000000001E-3</c:v>
                </c:pt>
                <c:pt idx="12">
                  <c:v>4.0000000000000001E-3</c:v>
                </c:pt>
                <c:pt idx="13">
                  <c:v>4.0000000000000001E-3</c:v>
                </c:pt>
                <c:pt idx="14">
                  <c:v>4.0000000000000001E-3</c:v>
                </c:pt>
                <c:pt idx="15">
                  <c:v>4.0000000000000001E-3</c:v>
                </c:pt>
                <c:pt idx="16">
                  <c:v>4.0000000000000001E-3</c:v>
                </c:pt>
                <c:pt idx="17">
                  <c:v>4.0000000000000001E-3</c:v>
                </c:pt>
                <c:pt idx="18">
                  <c:v>4.0000000000000001E-3</c:v>
                </c:pt>
                <c:pt idx="19">
                  <c:v>4.0000000000000001E-3</c:v>
                </c:pt>
                <c:pt idx="20">
                  <c:v>4.0000000000000001E-3</c:v>
                </c:pt>
                <c:pt idx="21">
                  <c:v>4.0000000000000001E-3</c:v>
                </c:pt>
                <c:pt idx="22">
                  <c:v>4.0000000000000001E-3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EC2-4E1C-B832-B647BAEA5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206112"/>
        <c:axId val="1"/>
      </c:lineChart>
      <c:catAx>
        <c:axId val="56220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crossAx val="562206112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2017Y</a:t>
            </a:r>
            <a:r>
              <a:rPr lang="en-US" altLang="zh-TW" baseline="0"/>
              <a:t> LP-Ni PTC OOS Rate</a:t>
            </a:r>
            <a:endParaRPr lang="zh-TW" alt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77918329463801"/>
          <c:y val="0.14119955059170586"/>
          <c:w val="0.86055614084293863"/>
          <c:h val="0.45864358291343982"/>
        </c:manualLayout>
      </c:layout>
      <c:lineChart>
        <c:grouping val="standard"/>
        <c:varyColors val="0"/>
        <c:ser>
          <c:idx val="0"/>
          <c:order val="0"/>
          <c:tx>
            <c:strRef>
              <c:f>OOS率!$A$3</c:f>
              <c:strCache>
                <c:ptCount val="1"/>
                <c:pt idx="0">
                  <c:v>OOS%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9F7-4CE1-953D-5963499B052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89F7-4CE1-953D-5963499B052E}"/>
              </c:ext>
            </c:extLst>
          </c:dPt>
          <c:cat>
            <c:strRef>
              <c:f>OOS率!$B$2:$U$2</c:f>
              <c:strCache>
                <c:ptCount val="20"/>
                <c:pt idx="0">
                  <c:v>2016Y</c:v>
                </c:pt>
                <c:pt idx="1">
                  <c:v>2017Y</c:v>
                </c:pt>
                <c:pt idx="3">
                  <c:v>Q1 </c:v>
                </c:pt>
                <c:pt idx="4">
                  <c:v>Q2 </c:v>
                </c:pt>
                <c:pt idx="5">
                  <c:v>Q3</c:v>
                </c:pt>
                <c:pt idx="6">
                  <c:v>Q4</c:v>
                </c:pt>
                <c:pt idx="8">
                  <c:v>1月 </c:v>
                </c:pt>
                <c:pt idx="9">
                  <c:v>2月</c:v>
                </c:pt>
                <c:pt idx="10">
                  <c:v>3月</c:v>
                </c:pt>
                <c:pt idx="11">
                  <c:v>4月 </c:v>
                </c:pt>
                <c:pt idx="12">
                  <c:v>5月 </c:v>
                </c:pt>
                <c:pt idx="13">
                  <c:v>6月 </c:v>
                </c:pt>
                <c:pt idx="14">
                  <c:v>7月</c:v>
                </c:pt>
                <c:pt idx="15">
                  <c:v>8月</c:v>
                </c:pt>
                <c:pt idx="16">
                  <c:v>9月</c:v>
                </c:pt>
                <c:pt idx="17">
                  <c:v>10月</c:v>
                </c:pt>
                <c:pt idx="18">
                  <c:v>11月</c:v>
                </c:pt>
                <c:pt idx="19">
                  <c:v>12月</c:v>
                </c:pt>
              </c:strCache>
            </c:strRef>
          </c:cat>
          <c:val>
            <c:numRef>
              <c:f>OOS率!$B$3:$U$3</c:f>
              <c:numCache>
                <c:formatCode>0.00</c:formatCode>
                <c:ptCount val="20"/>
                <c:pt idx="0">
                  <c:v>0.44792833146696531</c:v>
                </c:pt>
                <c:pt idx="1">
                  <c:v>0.43822686667790328</c:v>
                </c:pt>
                <c:pt idx="3">
                  <c:v>0.33579583613163194</c:v>
                </c:pt>
                <c:pt idx="4">
                  <c:v>0.38709677419354838</c:v>
                </c:pt>
                <c:pt idx="5">
                  <c:v>0.20147750167897915</c:v>
                </c:pt>
                <c:pt idx="6">
                  <c:v>0.85409252669039148</c:v>
                </c:pt>
                <c:pt idx="8">
                  <c:v>0.21834061135371177</c:v>
                </c:pt>
                <c:pt idx="9">
                  <c:v>0.39920159680638717</c:v>
                </c:pt>
                <c:pt idx="10">
                  <c:v>0.37735849056603776</c:v>
                </c:pt>
                <c:pt idx="11">
                  <c:v>0.76481835564053535</c:v>
                </c:pt>
                <c:pt idx="12">
                  <c:v>0.19011406844106463</c:v>
                </c:pt>
                <c:pt idx="13">
                  <c:v>0.19960079840319359</c:v>
                </c:pt>
                <c:pt idx="14">
                  <c:v>0.20080321285140559</c:v>
                </c:pt>
                <c:pt idx="15">
                  <c:v>0.19342359767891684</c:v>
                </c:pt>
                <c:pt idx="16">
                  <c:v>0.21097046413502107</c:v>
                </c:pt>
                <c:pt idx="17">
                  <c:v>0.6085192697768762</c:v>
                </c:pt>
                <c:pt idx="18">
                  <c:v>0.82644628099173556</c:v>
                </c:pt>
                <c:pt idx="19">
                  <c:v>1.1682242990654206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F7-4CE1-953D-5963499B052E}"/>
            </c:ext>
          </c:extLst>
        </c:ser>
        <c:ser>
          <c:idx val="1"/>
          <c:order val="1"/>
          <c:tx>
            <c:strRef>
              <c:f>OOS率!$A$4</c:f>
              <c:strCache>
                <c:ptCount val="1"/>
                <c:pt idx="0">
                  <c:v>target</c:v>
                </c:pt>
              </c:strCache>
            </c:strRef>
          </c:tx>
          <c:spPr>
            <a:ln w="19050">
              <a:prstDash val="sysDash"/>
            </a:ln>
          </c:spPr>
          <c:marker>
            <c:symbol val="none"/>
          </c:marker>
          <c:dPt>
            <c:idx val="1"/>
            <c:bubble3D val="0"/>
            <c:spPr>
              <a:ln w="19050">
                <a:solidFill>
                  <a:schemeClr val="accent2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6-89F7-4CE1-953D-5963499B052E}"/>
              </c:ext>
            </c:extLst>
          </c:dPt>
          <c:cat>
            <c:strRef>
              <c:f>OOS率!$B$2:$U$2</c:f>
              <c:strCache>
                <c:ptCount val="20"/>
                <c:pt idx="0">
                  <c:v>2016Y</c:v>
                </c:pt>
                <c:pt idx="1">
                  <c:v>2017Y</c:v>
                </c:pt>
                <c:pt idx="3">
                  <c:v>Q1 </c:v>
                </c:pt>
                <c:pt idx="4">
                  <c:v>Q2 </c:v>
                </c:pt>
                <c:pt idx="5">
                  <c:v>Q3</c:v>
                </c:pt>
                <c:pt idx="6">
                  <c:v>Q4</c:v>
                </c:pt>
                <c:pt idx="8">
                  <c:v>1月 </c:v>
                </c:pt>
                <c:pt idx="9">
                  <c:v>2月</c:v>
                </c:pt>
                <c:pt idx="10">
                  <c:v>3月</c:v>
                </c:pt>
                <c:pt idx="11">
                  <c:v>4月 </c:v>
                </c:pt>
                <c:pt idx="12">
                  <c:v>5月 </c:v>
                </c:pt>
                <c:pt idx="13">
                  <c:v>6月 </c:v>
                </c:pt>
                <c:pt idx="14">
                  <c:v>7月</c:v>
                </c:pt>
                <c:pt idx="15">
                  <c:v>8月</c:v>
                </c:pt>
                <c:pt idx="16">
                  <c:v>9月</c:v>
                </c:pt>
                <c:pt idx="17">
                  <c:v>10月</c:v>
                </c:pt>
                <c:pt idx="18">
                  <c:v>11月</c:v>
                </c:pt>
                <c:pt idx="19">
                  <c:v>12月</c:v>
                </c:pt>
              </c:strCache>
            </c:strRef>
          </c:cat>
          <c:val>
            <c:numRef>
              <c:f>OOS率!$B$4:$U$4</c:f>
              <c:numCache>
                <c:formatCode>General</c:formatCode>
                <c:ptCount val="20"/>
                <c:pt idx="0">
                  <c:v>0.36</c:v>
                </c:pt>
                <c:pt idx="1">
                  <c:v>0.36</c:v>
                </c:pt>
                <c:pt idx="3">
                  <c:v>0.36</c:v>
                </c:pt>
                <c:pt idx="4">
                  <c:v>0.36</c:v>
                </c:pt>
                <c:pt idx="5">
                  <c:v>0.36</c:v>
                </c:pt>
                <c:pt idx="6">
                  <c:v>0.36</c:v>
                </c:pt>
                <c:pt idx="8">
                  <c:v>0.36</c:v>
                </c:pt>
                <c:pt idx="9">
                  <c:v>0.36</c:v>
                </c:pt>
                <c:pt idx="10">
                  <c:v>0.36</c:v>
                </c:pt>
                <c:pt idx="11">
                  <c:v>0.36</c:v>
                </c:pt>
                <c:pt idx="12">
                  <c:v>0.36</c:v>
                </c:pt>
                <c:pt idx="13">
                  <c:v>0.36</c:v>
                </c:pt>
                <c:pt idx="14">
                  <c:v>0.36</c:v>
                </c:pt>
                <c:pt idx="15">
                  <c:v>0.36</c:v>
                </c:pt>
                <c:pt idx="16">
                  <c:v>0.36</c:v>
                </c:pt>
                <c:pt idx="17">
                  <c:v>0.36</c:v>
                </c:pt>
                <c:pt idx="18">
                  <c:v>0.36</c:v>
                </c:pt>
                <c:pt idx="19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9F7-4CE1-953D-5963499B052E}"/>
            </c:ext>
          </c:extLst>
        </c:ser>
        <c:ser>
          <c:idx val="2"/>
          <c:order val="2"/>
          <c:tx>
            <c:strRef>
              <c:f>OOS率!$A$5</c:f>
              <c:strCache>
                <c:ptCount val="1"/>
                <c:pt idx="0">
                  <c:v>run數</c:v>
                </c:pt>
              </c:strCache>
            </c:strRef>
          </c:tx>
          <c:spPr>
            <a:ln>
              <a:noFill/>
            </a:ln>
          </c:spPr>
          <c:marker>
            <c:spPr>
              <a:noFill/>
              <a:ln>
                <a:noFill/>
              </a:ln>
            </c:spPr>
          </c:marker>
          <c:cat>
            <c:strRef>
              <c:f>OOS率!$B$2:$U$2</c:f>
              <c:strCache>
                <c:ptCount val="20"/>
                <c:pt idx="0">
                  <c:v>2016Y</c:v>
                </c:pt>
                <c:pt idx="1">
                  <c:v>2017Y</c:v>
                </c:pt>
                <c:pt idx="3">
                  <c:v>Q1 </c:v>
                </c:pt>
                <c:pt idx="4">
                  <c:v>Q2 </c:v>
                </c:pt>
                <c:pt idx="5">
                  <c:v>Q3</c:v>
                </c:pt>
                <c:pt idx="6">
                  <c:v>Q4</c:v>
                </c:pt>
                <c:pt idx="8">
                  <c:v>1月 </c:v>
                </c:pt>
                <c:pt idx="9">
                  <c:v>2月</c:v>
                </c:pt>
                <c:pt idx="10">
                  <c:v>3月</c:v>
                </c:pt>
                <c:pt idx="11">
                  <c:v>4月 </c:v>
                </c:pt>
                <c:pt idx="12">
                  <c:v>5月 </c:v>
                </c:pt>
                <c:pt idx="13">
                  <c:v>6月 </c:v>
                </c:pt>
                <c:pt idx="14">
                  <c:v>7月</c:v>
                </c:pt>
                <c:pt idx="15">
                  <c:v>8月</c:v>
                </c:pt>
                <c:pt idx="16">
                  <c:v>9月</c:v>
                </c:pt>
                <c:pt idx="17">
                  <c:v>10月</c:v>
                </c:pt>
                <c:pt idx="18">
                  <c:v>11月</c:v>
                </c:pt>
                <c:pt idx="19">
                  <c:v>12月</c:v>
                </c:pt>
              </c:strCache>
            </c:strRef>
          </c:cat>
          <c:val>
            <c:numRef>
              <c:f>OOS率!$B$5:$U$5</c:f>
              <c:numCache>
                <c:formatCode>General</c:formatCode>
                <c:ptCount val="20"/>
                <c:pt idx="0">
                  <c:v>5358</c:v>
                </c:pt>
                <c:pt idx="1">
                  <c:v>5933</c:v>
                </c:pt>
                <c:pt idx="3">
                  <c:v>1489</c:v>
                </c:pt>
                <c:pt idx="4">
                  <c:v>1550</c:v>
                </c:pt>
                <c:pt idx="5">
                  <c:v>1489</c:v>
                </c:pt>
                <c:pt idx="6">
                  <c:v>1405</c:v>
                </c:pt>
                <c:pt idx="8">
                  <c:v>458</c:v>
                </c:pt>
                <c:pt idx="9">
                  <c:v>501</c:v>
                </c:pt>
                <c:pt idx="10">
                  <c:v>530</c:v>
                </c:pt>
                <c:pt idx="11">
                  <c:v>523</c:v>
                </c:pt>
                <c:pt idx="12">
                  <c:v>526</c:v>
                </c:pt>
                <c:pt idx="13">
                  <c:v>501</c:v>
                </c:pt>
                <c:pt idx="14">
                  <c:v>498</c:v>
                </c:pt>
                <c:pt idx="15">
                  <c:v>517</c:v>
                </c:pt>
                <c:pt idx="16">
                  <c:v>474</c:v>
                </c:pt>
                <c:pt idx="17">
                  <c:v>493</c:v>
                </c:pt>
                <c:pt idx="18">
                  <c:v>484</c:v>
                </c:pt>
                <c:pt idx="19">
                  <c:v>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9F7-4CE1-953D-5963499B052E}"/>
            </c:ext>
          </c:extLst>
        </c:ser>
        <c:ser>
          <c:idx val="3"/>
          <c:order val="3"/>
          <c:tx>
            <c:strRef>
              <c:f>OOS率!$A$6</c:f>
              <c:strCache>
                <c:ptCount val="1"/>
                <c:pt idx="0">
                  <c:v>OOS</c:v>
                </c:pt>
              </c:strCache>
            </c:strRef>
          </c:tx>
          <c:spPr>
            <a:ln>
              <a:noFill/>
            </a:ln>
          </c:spPr>
          <c:marker>
            <c:spPr>
              <a:noFill/>
              <a:ln>
                <a:noFill/>
              </a:ln>
            </c:spPr>
          </c:marker>
          <c:cat>
            <c:strRef>
              <c:f>OOS率!$B$2:$U$2</c:f>
              <c:strCache>
                <c:ptCount val="20"/>
                <c:pt idx="0">
                  <c:v>2016Y</c:v>
                </c:pt>
                <c:pt idx="1">
                  <c:v>2017Y</c:v>
                </c:pt>
                <c:pt idx="3">
                  <c:v>Q1 </c:v>
                </c:pt>
                <c:pt idx="4">
                  <c:v>Q2 </c:v>
                </c:pt>
                <c:pt idx="5">
                  <c:v>Q3</c:v>
                </c:pt>
                <c:pt idx="6">
                  <c:v>Q4</c:v>
                </c:pt>
                <c:pt idx="8">
                  <c:v>1月 </c:v>
                </c:pt>
                <c:pt idx="9">
                  <c:v>2月</c:v>
                </c:pt>
                <c:pt idx="10">
                  <c:v>3月</c:v>
                </c:pt>
                <c:pt idx="11">
                  <c:v>4月 </c:v>
                </c:pt>
                <c:pt idx="12">
                  <c:v>5月 </c:v>
                </c:pt>
                <c:pt idx="13">
                  <c:v>6月 </c:v>
                </c:pt>
                <c:pt idx="14">
                  <c:v>7月</c:v>
                </c:pt>
                <c:pt idx="15">
                  <c:v>8月</c:v>
                </c:pt>
                <c:pt idx="16">
                  <c:v>9月</c:v>
                </c:pt>
                <c:pt idx="17">
                  <c:v>10月</c:v>
                </c:pt>
                <c:pt idx="18">
                  <c:v>11月</c:v>
                </c:pt>
                <c:pt idx="19">
                  <c:v>12月</c:v>
                </c:pt>
              </c:strCache>
            </c:strRef>
          </c:cat>
          <c:val>
            <c:numRef>
              <c:f>OOS率!$B$6:$U$6</c:f>
              <c:numCache>
                <c:formatCode>General</c:formatCode>
                <c:ptCount val="20"/>
                <c:pt idx="0">
                  <c:v>24</c:v>
                </c:pt>
                <c:pt idx="1">
                  <c:v>26</c:v>
                </c:pt>
                <c:pt idx="3">
                  <c:v>5</c:v>
                </c:pt>
                <c:pt idx="4">
                  <c:v>6</c:v>
                </c:pt>
                <c:pt idx="5">
                  <c:v>3</c:v>
                </c:pt>
                <c:pt idx="6">
                  <c:v>12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9F7-4CE1-953D-5963499B0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4894976"/>
        <c:axId val="1"/>
      </c:lineChart>
      <c:catAx>
        <c:axId val="75489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.2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75489497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1100" baseline="0"/>
            </a:pPr>
            <a:endParaRPr lang="en-US"/>
          </a:p>
        </c:txPr>
      </c:dTable>
    </c:plotArea>
    <c:plotVisOnly val="1"/>
    <c:dispBlanksAs val="gap"/>
    <c:showDLblsOverMax val="0"/>
  </c:chart>
  <c:spPr>
    <a:ln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kumimoji="1" lang="en-US" altLang="zh-TW" sz="1800" b="1" i="0" u="none" strike="noStrike" baseline="0">
                <a:effectLst/>
              </a:rPr>
              <a:t>LP-Nitride PM Fail Rate</a:t>
            </a:r>
            <a:endParaRPr lang="zh-TW" altLang="en-US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'PM FAIL'!$B$3</c:f>
              <c:strCache>
                <c:ptCount val="1"/>
                <c:pt idx="0">
                  <c:v>LP-N1</c:v>
                </c:pt>
              </c:strCache>
            </c:strRef>
          </c:tx>
          <c:invertIfNegative val="0"/>
          <c:cat>
            <c:strRef>
              <c:f>'PM FAIL'!$C$2:$U$2</c:f>
              <c:strCache>
                <c:ptCount val="19"/>
                <c:pt idx="0">
                  <c:v>2024Y</c:v>
                </c:pt>
                <c:pt idx="2">
                  <c:v>Q1</c:v>
                </c:pt>
                <c:pt idx="3">
                  <c:v>Q2</c:v>
                </c:pt>
                <c:pt idx="4">
                  <c:v>Q3</c:v>
                </c:pt>
                <c:pt idx="5">
                  <c:v>Q4</c:v>
                </c:pt>
                <c:pt idx="7">
                  <c:v>M1</c:v>
                </c:pt>
                <c:pt idx="8">
                  <c:v>M2</c:v>
                </c:pt>
                <c:pt idx="9">
                  <c:v>M3</c:v>
                </c:pt>
                <c:pt idx="10">
                  <c:v>M4</c:v>
                </c:pt>
                <c:pt idx="11">
                  <c:v>M5</c:v>
                </c:pt>
                <c:pt idx="12">
                  <c:v>M6</c:v>
                </c:pt>
                <c:pt idx="13">
                  <c:v>M7</c:v>
                </c:pt>
                <c:pt idx="14">
                  <c:v>M8</c:v>
                </c:pt>
                <c:pt idx="15">
                  <c:v>M9</c:v>
                </c:pt>
                <c:pt idx="16">
                  <c:v>M10</c:v>
                </c:pt>
                <c:pt idx="17">
                  <c:v>M11</c:v>
                </c:pt>
                <c:pt idx="18">
                  <c:v>M12</c:v>
                </c:pt>
              </c:strCache>
            </c:strRef>
          </c:cat>
          <c:val>
            <c:numRef>
              <c:f>'PM FAIL'!$C$3:$U$3</c:f>
              <c:numCache>
                <c:formatCode>General</c:formatCode>
                <c:ptCount val="19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1-41F7-BF88-4C8383363DC4}"/>
            </c:ext>
          </c:extLst>
        </c:ser>
        <c:ser>
          <c:idx val="1"/>
          <c:order val="1"/>
          <c:tx>
            <c:strRef>
              <c:f>'PM FAIL'!$B$4</c:f>
              <c:strCache>
                <c:ptCount val="1"/>
                <c:pt idx="0">
                  <c:v>LP-N2</c:v>
                </c:pt>
              </c:strCache>
            </c:strRef>
          </c:tx>
          <c:invertIfNegative val="0"/>
          <c:cat>
            <c:strRef>
              <c:f>'PM FAIL'!$C$2:$U$2</c:f>
              <c:strCache>
                <c:ptCount val="19"/>
                <c:pt idx="0">
                  <c:v>2024Y</c:v>
                </c:pt>
                <c:pt idx="2">
                  <c:v>Q1</c:v>
                </c:pt>
                <c:pt idx="3">
                  <c:v>Q2</c:v>
                </c:pt>
                <c:pt idx="4">
                  <c:v>Q3</c:v>
                </c:pt>
                <c:pt idx="5">
                  <c:v>Q4</c:v>
                </c:pt>
                <c:pt idx="7">
                  <c:v>M1</c:v>
                </c:pt>
                <c:pt idx="8">
                  <c:v>M2</c:v>
                </c:pt>
                <c:pt idx="9">
                  <c:v>M3</c:v>
                </c:pt>
                <c:pt idx="10">
                  <c:v>M4</c:v>
                </c:pt>
                <c:pt idx="11">
                  <c:v>M5</c:v>
                </c:pt>
                <c:pt idx="12">
                  <c:v>M6</c:v>
                </c:pt>
                <c:pt idx="13">
                  <c:v>M7</c:v>
                </c:pt>
                <c:pt idx="14">
                  <c:v>M8</c:v>
                </c:pt>
                <c:pt idx="15">
                  <c:v>M9</c:v>
                </c:pt>
                <c:pt idx="16">
                  <c:v>M10</c:v>
                </c:pt>
                <c:pt idx="17">
                  <c:v>M11</c:v>
                </c:pt>
                <c:pt idx="18">
                  <c:v>M12</c:v>
                </c:pt>
              </c:strCache>
            </c:strRef>
          </c:cat>
          <c:val>
            <c:numRef>
              <c:f>'PM FAIL'!$C$4:$U$4</c:f>
              <c:numCache>
                <c:formatCode>General</c:formatCode>
                <c:ptCount val="19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B1-41F7-BF88-4C8383363DC4}"/>
            </c:ext>
          </c:extLst>
        </c:ser>
        <c:ser>
          <c:idx val="2"/>
          <c:order val="2"/>
          <c:tx>
            <c:strRef>
              <c:f>'PM FAIL'!$B$5</c:f>
              <c:strCache>
                <c:ptCount val="1"/>
                <c:pt idx="0">
                  <c:v>LP-N3</c:v>
                </c:pt>
              </c:strCache>
            </c:strRef>
          </c:tx>
          <c:invertIfNegative val="0"/>
          <c:cat>
            <c:strRef>
              <c:f>'PM FAIL'!$C$2:$U$2</c:f>
              <c:strCache>
                <c:ptCount val="19"/>
                <c:pt idx="0">
                  <c:v>2024Y</c:v>
                </c:pt>
                <c:pt idx="2">
                  <c:v>Q1</c:v>
                </c:pt>
                <c:pt idx="3">
                  <c:v>Q2</c:v>
                </c:pt>
                <c:pt idx="4">
                  <c:v>Q3</c:v>
                </c:pt>
                <c:pt idx="5">
                  <c:v>Q4</c:v>
                </c:pt>
                <c:pt idx="7">
                  <c:v>M1</c:v>
                </c:pt>
                <c:pt idx="8">
                  <c:v>M2</c:v>
                </c:pt>
                <c:pt idx="9">
                  <c:v>M3</c:v>
                </c:pt>
                <c:pt idx="10">
                  <c:v>M4</c:v>
                </c:pt>
                <c:pt idx="11">
                  <c:v>M5</c:v>
                </c:pt>
                <c:pt idx="12">
                  <c:v>M6</c:v>
                </c:pt>
                <c:pt idx="13">
                  <c:v>M7</c:v>
                </c:pt>
                <c:pt idx="14">
                  <c:v>M8</c:v>
                </c:pt>
                <c:pt idx="15">
                  <c:v>M9</c:v>
                </c:pt>
                <c:pt idx="16">
                  <c:v>M10</c:v>
                </c:pt>
                <c:pt idx="17">
                  <c:v>M11</c:v>
                </c:pt>
                <c:pt idx="18">
                  <c:v>M12</c:v>
                </c:pt>
              </c:strCache>
            </c:strRef>
          </c:cat>
          <c:val>
            <c:numRef>
              <c:f>'PM FAIL'!$C$5:$U$5</c:f>
              <c:numCache>
                <c:formatCode>General</c:formatCode>
                <c:ptCount val="19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B1-41F7-BF88-4C8383363DC4}"/>
            </c:ext>
          </c:extLst>
        </c:ser>
        <c:ser>
          <c:idx val="3"/>
          <c:order val="3"/>
          <c:tx>
            <c:strRef>
              <c:f>'PM FAIL'!$B$6</c:f>
              <c:strCache>
                <c:ptCount val="1"/>
                <c:pt idx="0">
                  <c:v>LP-N4</c:v>
                </c:pt>
              </c:strCache>
            </c:strRef>
          </c:tx>
          <c:invertIfNegative val="0"/>
          <c:cat>
            <c:strRef>
              <c:f>'PM FAIL'!$C$2:$U$2</c:f>
              <c:strCache>
                <c:ptCount val="19"/>
                <c:pt idx="0">
                  <c:v>2024Y</c:v>
                </c:pt>
                <c:pt idx="2">
                  <c:v>Q1</c:v>
                </c:pt>
                <c:pt idx="3">
                  <c:v>Q2</c:v>
                </c:pt>
                <c:pt idx="4">
                  <c:v>Q3</c:v>
                </c:pt>
                <c:pt idx="5">
                  <c:v>Q4</c:v>
                </c:pt>
                <c:pt idx="7">
                  <c:v>M1</c:v>
                </c:pt>
                <c:pt idx="8">
                  <c:v>M2</c:v>
                </c:pt>
                <c:pt idx="9">
                  <c:v>M3</c:v>
                </c:pt>
                <c:pt idx="10">
                  <c:v>M4</c:v>
                </c:pt>
                <c:pt idx="11">
                  <c:v>M5</c:v>
                </c:pt>
                <c:pt idx="12">
                  <c:v>M6</c:v>
                </c:pt>
                <c:pt idx="13">
                  <c:v>M7</c:v>
                </c:pt>
                <c:pt idx="14">
                  <c:v>M8</c:v>
                </c:pt>
                <c:pt idx="15">
                  <c:v>M9</c:v>
                </c:pt>
                <c:pt idx="16">
                  <c:v>M10</c:v>
                </c:pt>
                <c:pt idx="17">
                  <c:v>M11</c:v>
                </c:pt>
                <c:pt idx="18">
                  <c:v>M12</c:v>
                </c:pt>
              </c:strCache>
            </c:strRef>
          </c:cat>
          <c:val>
            <c:numRef>
              <c:f>'PM FAIL'!$C$6:$U$6</c:f>
              <c:numCache>
                <c:formatCode>General</c:formatCode>
                <c:ptCount val="19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B1-41F7-BF88-4C8383363DC4}"/>
            </c:ext>
          </c:extLst>
        </c:ser>
        <c:ser>
          <c:idx val="4"/>
          <c:order val="4"/>
          <c:tx>
            <c:strRef>
              <c:f>'PM FAIL'!$B$7</c:f>
              <c:strCache>
                <c:ptCount val="1"/>
                <c:pt idx="0">
                  <c:v>LP-N5</c:v>
                </c:pt>
              </c:strCache>
            </c:strRef>
          </c:tx>
          <c:invertIfNegative val="0"/>
          <c:cat>
            <c:strRef>
              <c:f>'PM FAIL'!$C$2:$U$2</c:f>
              <c:strCache>
                <c:ptCount val="19"/>
                <c:pt idx="0">
                  <c:v>2024Y</c:v>
                </c:pt>
                <c:pt idx="2">
                  <c:v>Q1</c:v>
                </c:pt>
                <c:pt idx="3">
                  <c:v>Q2</c:v>
                </c:pt>
                <c:pt idx="4">
                  <c:v>Q3</c:v>
                </c:pt>
                <c:pt idx="5">
                  <c:v>Q4</c:v>
                </c:pt>
                <c:pt idx="7">
                  <c:v>M1</c:v>
                </c:pt>
                <c:pt idx="8">
                  <c:v>M2</c:v>
                </c:pt>
                <c:pt idx="9">
                  <c:v>M3</c:v>
                </c:pt>
                <c:pt idx="10">
                  <c:v>M4</c:v>
                </c:pt>
                <c:pt idx="11">
                  <c:v>M5</c:v>
                </c:pt>
                <c:pt idx="12">
                  <c:v>M6</c:v>
                </c:pt>
                <c:pt idx="13">
                  <c:v>M7</c:v>
                </c:pt>
                <c:pt idx="14">
                  <c:v>M8</c:v>
                </c:pt>
                <c:pt idx="15">
                  <c:v>M9</c:v>
                </c:pt>
                <c:pt idx="16">
                  <c:v>M10</c:v>
                </c:pt>
                <c:pt idx="17">
                  <c:v>M11</c:v>
                </c:pt>
                <c:pt idx="18">
                  <c:v>M12</c:v>
                </c:pt>
              </c:strCache>
            </c:strRef>
          </c:cat>
          <c:val>
            <c:numRef>
              <c:f>'PM FAIL'!$C$7:$U$7</c:f>
              <c:numCache>
                <c:formatCode>General</c:formatCode>
                <c:ptCount val="19"/>
                <c:pt idx="0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B1-41F7-BF88-4C8383363DC4}"/>
            </c:ext>
          </c:extLst>
        </c:ser>
        <c:ser>
          <c:idx val="5"/>
          <c:order val="5"/>
          <c:tx>
            <c:strRef>
              <c:f>'PM FAIL'!$B$8</c:f>
              <c:strCache>
                <c:ptCount val="1"/>
                <c:pt idx="0">
                  <c:v>LP-N6</c:v>
                </c:pt>
              </c:strCache>
            </c:strRef>
          </c:tx>
          <c:invertIfNegative val="0"/>
          <c:cat>
            <c:strRef>
              <c:f>'PM FAIL'!$C$2:$U$2</c:f>
              <c:strCache>
                <c:ptCount val="19"/>
                <c:pt idx="0">
                  <c:v>2024Y</c:v>
                </c:pt>
                <c:pt idx="2">
                  <c:v>Q1</c:v>
                </c:pt>
                <c:pt idx="3">
                  <c:v>Q2</c:v>
                </c:pt>
                <c:pt idx="4">
                  <c:v>Q3</c:v>
                </c:pt>
                <c:pt idx="5">
                  <c:v>Q4</c:v>
                </c:pt>
                <c:pt idx="7">
                  <c:v>M1</c:v>
                </c:pt>
                <c:pt idx="8">
                  <c:v>M2</c:v>
                </c:pt>
                <c:pt idx="9">
                  <c:v>M3</c:v>
                </c:pt>
                <c:pt idx="10">
                  <c:v>M4</c:v>
                </c:pt>
                <c:pt idx="11">
                  <c:v>M5</c:v>
                </c:pt>
                <c:pt idx="12">
                  <c:v>M6</c:v>
                </c:pt>
                <c:pt idx="13">
                  <c:v>M7</c:v>
                </c:pt>
                <c:pt idx="14">
                  <c:v>M8</c:v>
                </c:pt>
                <c:pt idx="15">
                  <c:v>M9</c:v>
                </c:pt>
                <c:pt idx="16">
                  <c:v>M10</c:v>
                </c:pt>
                <c:pt idx="17">
                  <c:v>M11</c:v>
                </c:pt>
                <c:pt idx="18">
                  <c:v>M12</c:v>
                </c:pt>
              </c:strCache>
            </c:strRef>
          </c:cat>
          <c:val>
            <c:numRef>
              <c:f>'PM FAIL'!$C$8:$U$8</c:f>
              <c:numCache>
                <c:formatCode>General</c:formatCode>
                <c:ptCount val="19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B1-41F7-BF88-4C8383363DC4}"/>
            </c:ext>
          </c:extLst>
        </c:ser>
        <c:ser>
          <c:idx val="6"/>
          <c:order val="6"/>
          <c:tx>
            <c:strRef>
              <c:f>'PM FAIL'!$B$9</c:f>
              <c:strCache>
                <c:ptCount val="1"/>
                <c:pt idx="0">
                  <c:v>LP-N7</c:v>
                </c:pt>
              </c:strCache>
            </c:strRef>
          </c:tx>
          <c:invertIfNegative val="0"/>
          <c:cat>
            <c:strRef>
              <c:f>'PM FAIL'!$C$2:$U$2</c:f>
              <c:strCache>
                <c:ptCount val="19"/>
                <c:pt idx="0">
                  <c:v>2024Y</c:v>
                </c:pt>
                <c:pt idx="2">
                  <c:v>Q1</c:v>
                </c:pt>
                <c:pt idx="3">
                  <c:v>Q2</c:v>
                </c:pt>
                <c:pt idx="4">
                  <c:v>Q3</c:v>
                </c:pt>
                <c:pt idx="5">
                  <c:v>Q4</c:v>
                </c:pt>
                <c:pt idx="7">
                  <c:v>M1</c:v>
                </c:pt>
                <c:pt idx="8">
                  <c:v>M2</c:v>
                </c:pt>
                <c:pt idx="9">
                  <c:v>M3</c:v>
                </c:pt>
                <c:pt idx="10">
                  <c:v>M4</c:v>
                </c:pt>
                <c:pt idx="11">
                  <c:v>M5</c:v>
                </c:pt>
                <c:pt idx="12">
                  <c:v>M6</c:v>
                </c:pt>
                <c:pt idx="13">
                  <c:v>M7</c:v>
                </c:pt>
                <c:pt idx="14">
                  <c:v>M8</c:v>
                </c:pt>
                <c:pt idx="15">
                  <c:v>M9</c:v>
                </c:pt>
                <c:pt idx="16">
                  <c:v>M10</c:v>
                </c:pt>
                <c:pt idx="17">
                  <c:v>M11</c:v>
                </c:pt>
                <c:pt idx="18">
                  <c:v>M12</c:v>
                </c:pt>
              </c:strCache>
            </c:strRef>
          </c:cat>
          <c:val>
            <c:numRef>
              <c:f>'PM FAIL'!$C$9:$U$9</c:f>
              <c:numCache>
                <c:formatCode>General</c:formatCode>
                <c:ptCount val="19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B1-41F7-BF88-4C8383363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754893664"/>
        <c:axId val="1"/>
      </c:barChart>
      <c:lineChart>
        <c:grouping val="standard"/>
        <c:varyColors val="0"/>
        <c:ser>
          <c:idx val="7"/>
          <c:order val="7"/>
          <c:tx>
            <c:strRef>
              <c:f>'PM FAIL'!$B$10</c:f>
              <c:strCache>
                <c:ptCount val="1"/>
                <c:pt idx="0">
                  <c:v>Fail 次數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'PM FAIL'!$C$2:$U$2</c:f>
              <c:strCache>
                <c:ptCount val="19"/>
                <c:pt idx="0">
                  <c:v>2024Y</c:v>
                </c:pt>
                <c:pt idx="2">
                  <c:v>Q1</c:v>
                </c:pt>
                <c:pt idx="3">
                  <c:v>Q2</c:v>
                </c:pt>
                <c:pt idx="4">
                  <c:v>Q3</c:v>
                </c:pt>
                <c:pt idx="5">
                  <c:v>Q4</c:v>
                </c:pt>
                <c:pt idx="7">
                  <c:v>M1</c:v>
                </c:pt>
                <c:pt idx="8">
                  <c:v>M2</c:v>
                </c:pt>
                <c:pt idx="9">
                  <c:v>M3</c:v>
                </c:pt>
                <c:pt idx="10">
                  <c:v>M4</c:v>
                </c:pt>
                <c:pt idx="11">
                  <c:v>M5</c:v>
                </c:pt>
                <c:pt idx="12">
                  <c:v>M6</c:v>
                </c:pt>
                <c:pt idx="13">
                  <c:v>M7</c:v>
                </c:pt>
                <c:pt idx="14">
                  <c:v>M8</c:v>
                </c:pt>
                <c:pt idx="15">
                  <c:v>M9</c:v>
                </c:pt>
                <c:pt idx="16">
                  <c:v>M10</c:v>
                </c:pt>
                <c:pt idx="17">
                  <c:v>M11</c:v>
                </c:pt>
                <c:pt idx="18">
                  <c:v>M12</c:v>
                </c:pt>
              </c:strCache>
            </c:strRef>
          </c:cat>
          <c:val>
            <c:numRef>
              <c:f>'PM FAIL'!$C$10:$U$10</c:f>
              <c:numCache>
                <c:formatCode>General</c:formatCode>
                <c:ptCount val="19"/>
                <c:pt idx="0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6B1-41F7-BF88-4C8383363DC4}"/>
            </c:ext>
          </c:extLst>
        </c:ser>
        <c:ser>
          <c:idx val="8"/>
          <c:order val="8"/>
          <c:tx>
            <c:strRef>
              <c:f>'PM FAIL'!$B$11</c:f>
              <c:strCache>
                <c:ptCount val="1"/>
                <c:pt idx="0">
                  <c:v>PM 次數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'PM FAIL'!$C$2:$U$2</c:f>
              <c:strCache>
                <c:ptCount val="19"/>
                <c:pt idx="0">
                  <c:v>2024Y</c:v>
                </c:pt>
                <c:pt idx="2">
                  <c:v>Q1</c:v>
                </c:pt>
                <c:pt idx="3">
                  <c:v>Q2</c:v>
                </c:pt>
                <c:pt idx="4">
                  <c:v>Q3</c:v>
                </c:pt>
                <c:pt idx="5">
                  <c:v>Q4</c:v>
                </c:pt>
                <c:pt idx="7">
                  <c:v>M1</c:v>
                </c:pt>
                <c:pt idx="8">
                  <c:v>M2</c:v>
                </c:pt>
                <c:pt idx="9">
                  <c:v>M3</c:v>
                </c:pt>
                <c:pt idx="10">
                  <c:v>M4</c:v>
                </c:pt>
                <c:pt idx="11">
                  <c:v>M5</c:v>
                </c:pt>
                <c:pt idx="12">
                  <c:v>M6</c:v>
                </c:pt>
                <c:pt idx="13">
                  <c:v>M7</c:v>
                </c:pt>
                <c:pt idx="14">
                  <c:v>M8</c:v>
                </c:pt>
                <c:pt idx="15">
                  <c:v>M9</c:v>
                </c:pt>
                <c:pt idx="16">
                  <c:v>M10</c:v>
                </c:pt>
                <c:pt idx="17">
                  <c:v>M11</c:v>
                </c:pt>
                <c:pt idx="18">
                  <c:v>M12</c:v>
                </c:pt>
              </c:strCache>
            </c:strRef>
          </c:cat>
          <c:val>
            <c:numRef>
              <c:f>'PM FAIL'!$C$11:$U$11</c:f>
              <c:numCache>
                <c:formatCode>General</c:formatCode>
                <c:ptCount val="19"/>
                <c:pt idx="0">
                  <c:v>103</c:v>
                </c:pt>
                <c:pt idx="2">
                  <c:v>32</c:v>
                </c:pt>
                <c:pt idx="3">
                  <c:v>34</c:v>
                </c:pt>
                <c:pt idx="4">
                  <c:v>28</c:v>
                </c:pt>
                <c:pt idx="5">
                  <c:v>9</c:v>
                </c:pt>
                <c:pt idx="7">
                  <c:v>13</c:v>
                </c:pt>
                <c:pt idx="8">
                  <c:v>10</c:v>
                </c:pt>
                <c:pt idx="9">
                  <c:v>9</c:v>
                </c:pt>
                <c:pt idx="10">
                  <c:v>14</c:v>
                </c:pt>
                <c:pt idx="11">
                  <c:v>12</c:v>
                </c:pt>
                <c:pt idx="12">
                  <c:v>8</c:v>
                </c:pt>
                <c:pt idx="13">
                  <c:v>10</c:v>
                </c:pt>
                <c:pt idx="14">
                  <c:v>8</c:v>
                </c:pt>
                <c:pt idx="15">
                  <c:v>10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6B1-41F7-BF88-4C8383363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4893664"/>
        <c:axId val="1"/>
      </c:lineChart>
      <c:lineChart>
        <c:grouping val="standard"/>
        <c:varyColors val="0"/>
        <c:ser>
          <c:idx val="9"/>
          <c:order val="9"/>
          <c:tx>
            <c:strRef>
              <c:f>'PM FAIL'!$B$12</c:f>
              <c:strCache>
                <c:ptCount val="1"/>
                <c:pt idx="0">
                  <c:v>Fail Rate</c:v>
                </c:pt>
              </c:strCache>
            </c:strRef>
          </c:tx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'PM FAIL'!$C$2:$U$2</c:f>
              <c:strCache>
                <c:ptCount val="19"/>
                <c:pt idx="0">
                  <c:v>2024Y</c:v>
                </c:pt>
                <c:pt idx="2">
                  <c:v>Q1</c:v>
                </c:pt>
                <c:pt idx="3">
                  <c:v>Q2</c:v>
                </c:pt>
                <c:pt idx="4">
                  <c:v>Q3</c:v>
                </c:pt>
                <c:pt idx="5">
                  <c:v>Q4</c:v>
                </c:pt>
                <c:pt idx="7">
                  <c:v>M1</c:v>
                </c:pt>
                <c:pt idx="8">
                  <c:v>M2</c:v>
                </c:pt>
                <c:pt idx="9">
                  <c:v>M3</c:v>
                </c:pt>
                <c:pt idx="10">
                  <c:v>M4</c:v>
                </c:pt>
                <c:pt idx="11">
                  <c:v>M5</c:v>
                </c:pt>
                <c:pt idx="12">
                  <c:v>M6</c:v>
                </c:pt>
                <c:pt idx="13">
                  <c:v>M7</c:v>
                </c:pt>
                <c:pt idx="14">
                  <c:v>M8</c:v>
                </c:pt>
                <c:pt idx="15">
                  <c:v>M9</c:v>
                </c:pt>
                <c:pt idx="16">
                  <c:v>M10</c:v>
                </c:pt>
                <c:pt idx="17">
                  <c:v>M11</c:v>
                </c:pt>
                <c:pt idx="18">
                  <c:v>M12</c:v>
                </c:pt>
              </c:strCache>
            </c:strRef>
          </c:cat>
          <c:val>
            <c:numRef>
              <c:f>'PM FAIL'!$C$12:$U$12</c:f>
              <c:numCache>
                <c:formatCode>0.00%</c:formatCode>
                <c:ptCount val="19"/>
                <c:pt idx="0">
                  <c:v>9.7087378640776691E-3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0.1111111111111111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0.1111111111111111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6B1-41F7-BF88-4C8383363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75489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754893664"/>
        <c:crosses val="autoZero"/>
        <c:crossBetween val="between"/>
        <c:majorUnit val="20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ax val="0.2"/>
        </c:scaling>
        <c:delete val="0"/>
        <c:axPos val="r"/>
        <c:numFmt formatCode="0.00%" sourceLinked="1"/>
        <c:majorTickMark val="out"/>
        <c:minorTickMark val="none"/>
        <c:tickLblPos val="nextTo"/>
        <c:crossAx val="3"/>
        <c:crosses val="max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2022</a:t>
            </a:r>
            <a:r>
              <a:rPr lang="zh-TW" altLang="en-US" baseline="0"/>
              <a:t> </a:t>
            </a:r>
            <a:r>
              <a:rPr lang="en-US" altLang="zh-TW"/>
              <a:t>Nitrdie</a:t>
            </a:r>
            <a:r>
              <a:rPr lang="zh-TW" altLang="en-US"/>
              <a:t> </a:t>
            </a:r>
            <a:r>
              <a:rPr lang="en-US" altLang="zh-TW"/>
              <a:t>Group U/T &amp; M/D+PM</a:t>
            </a:r>
            <a:endParaRPr lang="zh-TW" altLang="en-US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'Up Time'!$A$5</c:f>
              <c:strCache>
                <c:ptCount val="1"/>
                <c:pt idx="0">
                  <c:v>PM%</c:v>
                </c:pt>
              </c:strCache>
            </c:strRef>
          </c:tx>
          <c:invertIfNegative val="0"/>
          <c:cat>
            <c:strRef>
              <c:f>'Up Time'!$B$2:$X$2</c:f>
              <c:strCache>
                <c:ptCount val="23"/>
                <c:pt idx="0">
                  <c:v>2018Y</c:v>
                </c:pt>
                <c:pt idx="1">
                  <c:v>2019Y</c:v>
                </c:pt>
                <c:pt idx="2">
                  <c:v>2020Y</c:v>
                </c:pt>
                <c:pt idx="3">
                  <c:v>2021Y</c:v>
                </c:pt>
                <c:pt idx="4">
                  <c:v>2022Y</c:v>
                </c:pt>
                <c:pt idx="6">
                  <c:v>Q1 </c:v>
                </c:pt>
                <c:pt idx="7">
                  <c:v>Q2 </c:v>
                </c:pt>
                <c:pt idx="8">
                  <c:v>Q3</c:v>
                </c:pt>
                <c:pt idx="9">
                  <c:v>Q4</c:v>
                </c:pt>
                <c:pt idx="11">
                  <c:v>1月 </c:v>
                </c:pt>
                <c:pt idx="12">
                  <c:v>2月</c:v>
                </c:pt>
                <c:pt idx="13">
                  <c:v>3月</c:v>
                </c:pt>
                <c:pt idx="14">
                  <c:v>4月 </c:v>
                </c:pt>
                <c:pt idx="15">
                  <c:v>5月 </c:v>
                </c:pt>
                <c:pt idx="16">
                  <c:v>6月 </c:v>
                </c:pt>
                <c:pt idx="17">
                  <c:v>7月</c:v>
                </c:pt>
                <c:pt idx="18">
                  <c:v>8月</c:v>
                </c:pt>
                <c:pt idx="19">
                  <c:v>9月</c:v>
                </c:pt>
                <c:pt idx="20">
                  <c:v>10月</c:v>
                </c:pt>
                <c:pt idx="21">
                  <c:v>11月</c:v>
                </c:pt>
                <c:pt idx="22">
                  <c:v>12月</c:v>
                </c:pt>
              </c:strCache>
            </c:strRef>
          </c:cat>
          <c:val>
            <c:numRef>
              <c:f>'Up Time'!$B$5:$X$5</c:f>
              <c:numCache>
                <c:formatCode>0.0</c:formatCode>
                <c:ptCount val="23"/>
                <c:pt idx="0">
                  <c:v>2.4</c:v>
                </c:pt>
                <c:pt idx="1">
                  <c:v>2.4</c:v>
                </c:pt>
                <c:pt idx="2">
                  <c:v>4.4000000000000004</c:v>
                </c:pt>
                <c:pt idx="3">
                  <c:v>3.2</c:v>
                </c:pt>
                <c:pt idx="6">
                  <c:v>3.4333333333333336</c:v>
                </c:pt>
                <c:pt idx="7">
                  <c:v>2.1</c:v>
                </c:pt>
                <c:pt idx="8">
                  <c:v>0</c:v>
                </c:pt>
                <c:pt idx="11">
                  <c:v>3.5</c:v>
                </c:pt>
                <c:pt idx="12">
                  <c:v>3.7</c:v>
                </c:pt>
                <c:pt idx="13">
                  <c:v>3.1</c:v>
                </c:pt>
                <c:pt idx="14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8-4905-A6FA-30005221B4C7}"/>
            </c:ext>
          </c:extLst>
        </c:ser>
        <c:ser>
          <c:idx val="3"/>
          <c:order val="3"/>
          <c:tx>
            <c:strRef>
              <c:f>'Up Time'!$A$6</c:f>
              <c:strCache>
                <c:ptCount val="1"/>
                <c:pt idx="0">
                  <c:v>M/D%</c:v>
                </c:pt>
              </c:strCache>
            </c:strRef>
          </c:tx>
          <c:invertIfNegative val="0"/>
          <c:cat>
            <c:strRef>
              <c:f>'Up Time'!$B$2:$X$2</c:f>
              <c:strCache>
                <c:ptCount val="23"/>
                <c:pt idx="0">
                  <c:v>2018Y</c:v>
                </c:pt>
                <c:pt idx="1">
                  <c:v>2019Y</c:v>
                </c:pt>
                <c:pt idx="2">
                  <c:v>2020Y</c:v>
                </c:pt>
                <c:pt idx="3">
                  <c:v>2021Y</c:v>
                </c:pt>
                <c:pt idx="4">
                  <c:v>2022Y</c:v>
                </c:pt>
                <c:pt idx="6">
                  <c:v>Q1 </c:v>
                </c:pt>
                <c:pt idx="7">
                  <c:v>Q2 </c:v>
                </c:pt>
                <c:pt idx="8">
                  <c:v>Q3</c:v>
                </c:pt>
                <c:pt idx="9">
                  <c:v>Q4</c:v>
                </c:pt>
                <c:pt idx="11">
                  <c:v>1月 </c:v>
                </c:pt>
                <c:pt idx="12">
                  <c:v>2月</c:v>
                </c:pt>
                <c:pt idx="13">
                  <c:v>3月</c:v>
                </c:pt>
                <c:pt idx="14">
                  <c:v>4月 </c:v>
                </c:pt>
                <c:pt idx="15">
                  <c:v>5月 </c:v>
                </c:pt>
                <c:pt idx="16">
                  <c:v>6月 </c:v>
                </c:pt>
                <c:pt idx="17">
                  <c:v>7月</c:v>
                </c:pt>
                <c:pt idx="18">
                  <c:v>8月</c:v>
                </c:pt>
                <c:pt idx="19">
                  <c:v>9月</c:v>
                </c:pt>
                <c:pt idx="20">
                  <c:v>10月</c:v>
                </c:pt>
                <c:pt idx="21">
                  <c:v>11月</c:v>
                </c:pt>
                <c:pt idx="22">
                  <c:v>12月</c:v>
                </c:pt>
              </c:strCache>
            </c:strRef>
          </c:cat>
          <c:val>
            <c:numRef>
              <c:f>'Up Time'!$B$6:$X$6</c:f>
              <c:numCache>
                <c:formatCode>0.0</c:formatCode>
                <c:ptCount val="23"/>
                <c:pt idx="0">
                  <c:v>1.1000000000000001</c:v>
                </c:pt>
                <c:pt idx="1">
                  <c:v>1</c:v>
                </c:pt>
                <c:pt idx="2">
                  <c:v>1.4</c:v>
                </c:pt>
                <c:pt idx="3">
                  <c:v>0.7</c:v>
                </c:pt>
                <c:pt idx="6">
                  <c:v>0.66666666666666663</c:v>
                </c:pt>
                <c:pt idx="7">
                  <c:v>0.2</c:v>
                </c:pt>
                <c:pt idx="8">
                  <c:v>0</c:v>
                </c:pt>
                <c:pt idx="11">
                  <c:v>0.5</c:v>
                </c:pt>
                <c:pt idx="12">
                  <c:v>0.2</c:v>
                </c:pt>
                <c:pt idx="13">
                  <c:v>1.3</c:v>
                </c:pt>
                <c:pt idx="1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18-4905-A6FA-30005221B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"/>
        <c:axId val="4"/>
      </c:barChart>
      <c:lineChart>
        <c:grouping val="standard"/>
        <c:varyColors val="0"/>
        <c:ser>
          <c:idx val="0"/>
          <c:order val="0"/>
          <c:tx>
            <c:strRef>
              <c:f>'Up Time'!$A$3</c:f>
              <c:strCache>
                <c:ptCount val="1"/>
                <c:pt idx="0">
                  <c:v>up time%</c:v>
                </c:pt>
              </c:strCache>
            </c:strRef>
          </c:tx>
          <c:cat>
            <c:strRef>
              <c:f>'Up Time'!$B$2:$X$2</c:f>
              <c:strCache>
                <c:ptCount val="23"/>
                <c:pt idx="0">
                  <c:v>2018Y</c:v>
                </c:pt>
                <c:pt idx="1">
                  <c:v>2019Y</c:v>
                </c:pt>
                <c:pt idx="2">
                  <c:v>2020Y</c:v>
                </c:pt>
                <c:pt idx="3">
                  <c:v>2021Y</c:v>
                </c:pt>
                <c:pt idx="4">
                  <c:v>2022Y</c:v>
                </c:pt>
                <c:pt idx="6">
                  <c:v>Q1 </c:v>
                </c:pt>
                <c:pt idx="7">
                  <c:v>Q2 </c:v>
                </c:pt>
                <c:pt idx="8">
                  <c:v>Q3</c:v>
                </c:pt>
                <c:pt idx="9">
                  <c:v>Q4</c:v>
                </c:pt>
                <c:pt idx="11">
                  <c:v>1月 </c:v>
                </c:pt>
                <c:pt idx="12">
                  <c:v>2月</c:v>
                </c:pt>
                <c:pt idx="13">
                  <c:v>3月</c:v>
                </c:pt>
                <c:pt idx="14">
                  <c:v>4月 </c:v>
                </c:pt>
                <c:pt idx="15">
                  <c:v>5月 </c:v>
                </c:pt>
                <c:pt idx="16">
                  <c:v>6月 </c:v>
                </c:pt>
                <c:pt idx="17">
                  <c:v>7月</c:v>
                </c:pt>
                <c:pt idx="18">
                  <c:v>8月</c:v>
                </c:pt>
                <c:pt idx="19">
                  <c:v>9月</c:v>
                </c:pt>
                <c:pt idx="20">
                  <c:v>10月</c:v>
                </c:pt>
                <c:pt idx="21">
                  <c:v>11月</c:v>
                </c:pt>
                <c:pt idx="22">
                  <c:v>12月</c:v>
                </c:pt>
              </c:strCache>
            </c:strRef>
          </c:cat>
          <c:val>
            <c:numRef>
              <c:f>'Up Time'!$B$3:$X$3</c:f>
              <c:numCache>
                <c:formatCode>0.0</c:formatCode>
                <c:ptCount val="23"/>
                <c:pt idx="0">
                  <c:v>90</c:v>
                </c:pt>
                <c:pt idx="1">
                  <c:v>90.4</c:v>
                </c:pt>
                <c:pt idx="2">
                  <c:v>89.6</c:v>
                </c:pt>
                <c:pt idx="3">
                  <c:v>90.5</c:v>
                </c:pt>
                <c:pt idx="6">
                  <c:v>88.899999999999991</c:v>
                </c:pt>
                <c:pt idx="7">
                  <c:v>49.9</c:v>
                </c:pt>
                <c:pt idx="8">
                  <c:v>0</c:v>
                </c:pt>
                <c:pt idx="11" formatCode="General">
                  <c:v>83.9</c:v>
                </c:pt>
                <c:pt idx="12" formatCode="General">
                  <c:v>92</c:v>
                </c:pt>
                <c:pt idx="13" formatCode="General">
                  <c:v>90.8</c:v>
                </c:pt>
                <c:pt idx="14">
                  <c:v>49.9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18-4905-A6FA-30005221B4C7}"/>
            </c:ext>
          </c:extLst>
        </c:ser>
        <c:ser>
          <c:idx val="1"/>
          <c:order val="1"/>
          <c:tx>
            <c:strRef>
              <c:f>'Up Time'!$A$4</c:f>
              <c:strCache>
                <c:ptCount val="1"/>
                <c:pt idx="0">
                  <c:v>target%</c:v>
                </c:pt>
              </c:strCache>
            </c:strRef>
          </c:tx>
          <c:cat>
            <c:strRef>
              <c:f>'Up Time'!$B$2:$X$2</c:f>
              <c:strCache>
                <c:ptCount val="23"/>
                <c:pt idx="0">
                  <c:v>2018Y</c:v>
                </c:pt>
                <c:pt idx="1">
                  <c:v>2019Y</c:v>
                </c:pt>
                <c:pt idx="2">
                  <c:v>2020Y</c:v>
                </c:pt>
                <c:pt idx="3">
                  <c:v>2021Y</c:v>
                </c:pt>
                <c:pt idx="4">
                  <c:v>2022Y</c:v>
                </c:pt>
                <c:pt idx="6">
                  <c:v>Q1 </c:v>
                </c:pt>
                <c:pt idx="7">
                  <c:v>Q2 </c:v>
                </c:pt>
                <c:pt idx="8">
                  <c:v>Q3</c:v>
                </c:pt>
                <c:pt idx="9">
                  <c:v>Q4</c:v>
                </c:pt>
                <c:pt idx="11">
                  <c:v>1月 </c:v>
                </c:pt>
                <c:pt idx="12">
                  <c:v>2月</c:v>
                </c:pt>
                <c:pt idx="13">
                  <c:v>3月</c:v>
                </c:pt>
                <c:pt idx="14">
                  <c:v>4月 </c:v>
                </c:pt>
                <c:pt idx="15">
                  <c:v>5月 </c:v>
                </c:pt>
                <c:pt idx="16">
                  <c:v>6月 </c:v>
                </c:pt>
                <c:pt idx="17">
                  <c:v>7月</c:v>
                </c:pt>
                <c:pt idx="18">
                  <c:v>8月</c:v>
                </c:pt>
                <c:pt idx="19">
                  <c:v>9月</c:v>
                </c:pt>
                <c:pt idx="20">
                  <c:v>10月</c:v>
                </c:pt>
                <c:pt idx="21">
                  <c:v>11月</c:v>
                </c:pt>
                <c:pt idx="22">
                  <c:v>12月</c:v>
                </c:pt>
              </c:strCache>
            </c:strRef>
          </c:cat>
          <c:val>
            <c:numRef>
              <c:f>'Up Time'!$B$4:$X$4</c:f>
              <c:numCache>
                <c:formatCode>0.0</c:formatCode>
                <c:ptCount val="23"/>
                <c:pt idx="0">
                  <c:v>91.3</c:v>
                </c:pt>
                <c:pt idx="1">
                  <c:v>91.3</c:v>
                </c:pt>
                <c:pt idx="2">
                  <c:v>91.299999999999969</c:v>
                </c:pt>
                <c:pt idx="3">
                  <c:v>91.3</c:v>
                </c:pt>
                <c:pt idx="6">
                  <c:v>91.3</c:v>
                </c:pt>
                <c:pt idx="7">
                  <c:v>91.3</c:v>
                </c:pt>
                <c:pt idx="8">
                  <c:v>91.3</c:v>
                </c:pt>
                <c:pt idx="9">
                  <c:v>91.3</c:v>
                </c:pt>
                <c:pt idx="11">
                  <c:v>91.3</c:v>
                </c:pt>
                <c:pt idx="12">
                  <c:v>91.3</c:v>
                </c:pt>
                <c:pt idx="13">
                  <c:v>91.3</c:v>
                </c:pt>
                <c:pt idx="14">
                  <c:v>91.3</c:v>
                </c:pt>
                <c:pt idx="15">
                  <c:v>91.3</c:v>
                </c:pt>
                <c:pt idx="16">
                  <c:v>91.3</c:v>
                </c:pt>
                <c:pt idx="17">
                  <c:v>91.3</c:v>
                </c:pt>
                <c:pt idx="18">
                  <c:v>91.3</c:v>
                </c:pt>
                <c:pt idx="19">
                  <c:v>91.3</c:v>
                </c:pt>
                <c:pt idx="20">
                  <c:v>91.3</c:v>
                </c:pt>
                <c:pt idx="21">
                  <c:v>91.3</c:v>
                </c:pt>
                <c:pt idx="22">
                  <c:v>91.3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18-4905-A6FA-30005221B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4897928"/>
        <c:axId val="1"/>
      </c:lineChart>
      <c:lineChart>
        <c:grouping val="standard"/>
        <c:varyColors val="0"/>
        <c:ser>
          <c:idx val="4"/>
          <c:order val="4"/>
          <c:tx>
            <c:strRef>
              <c:f>'Up Time'!$A$7</c:f>
              <c:strCache>
                <c:ptCount val="1"/>
                <c:pt idx="0">
                  <c:v>PM%+M/D%</c:v>
                </c:pt>
              </c:strCache>
            </c:strRef>
          </c:tx>
          <c:cat>
            <c:strRef>
              <c:f>'Up Time'!$B$2:$X$2</c:f>
              <c:strCache>
                <c:ptCount val="23"/>
                <c:pt idx="0">
                  <c:v>2018Y</c:v>
                </c:pt>
                <c:pt idx="1">
                  <c:v>2019Y</c:v>
                </c:pt>
                <c:pt idx="2">
                  <c:v>2020Y</c:v>
                </c:pt>
                <c:pt idx="3">
                  <c:v>2021Y</c:v>
                </c:pt>
                <c:pt idx="4">
                  <c:v>2022Y</c:v>
                </c:pt>
                <c:pt idx="6">
                  <c:v>Q1 </c:v>
                </c:pt>
                <c:pt idx="7">
                  <c:v>Q2 </c:v>
                </c:pt>
                <c:pt idx="8">
                  <c:v>Q3</c:v>
                </c:pt>
                <c:pt idx="9">
                  <c:v>Q4</c:v>
                </c:pt>
                <c:pt idx="11">
                  <c:v>1月 </c:v>
                </c:pt>
                <c:pt idx="12">
                  <c:v>2月</c:v>
                </c:pt>
                <c:pt idx="13">
                  <c:v>3月</c:v>
                </c:pt>
                <c:pt idx="14">
                  <c:v>4月 </c:v>
                </c:pt>
                <c:pt idx="15">
                  <c:v>5月 </c:v>
                </c:pt>
                <c:pt idx="16">
                  <c:v>6月 </c:v>
                </c:pt>
                <c:pt idx="17">
                  <c:v>7月</c:v>
                </c:pt>
                <c:pt idx="18">
                  <c:v>8月</c:v>
                </c:pt>
                <c:pt idx="19">
                  <c:v>9月</c:v>
                </c:pt>
                <c:pt idx="20">
                  <c:v>10月</c:v>
                </c:pt>
                <c:pt idx="21">
                  <c:v>11月</c:v>
                </c:pt>
                <c:pt idx="22">
                  <c:v>12月</c:v>
                </c:pt>
              </c:strCache>
            </c:strRef>
          </c:cat>
          <c:val>
            <c:numRef>
              <c:f>'Up Time'!$B$7:$X$7</c:f>
              <c:numCache>
                <c:formatCode>0.0</c:formatCode>
                <c:ptCount val="23"/>
                <c:pt idx="0">
                  <c:v>3.5</c:v>
                </c:pt>
                <c:pt idx="1">
                  <c:v>3.4</c:v>
                </c:pt>
                <c:pt idx="2">
                  <c:v>5.9</c:v>
                </c:pt>
                <c:pt idx="3">
                  <c:v>4</c:v>
                </c:pt>
                <c:pt idx="6">
                  <c:v>4.1000000000000005</c:v>
                </c:pt>
                <c:pt idx="7">
                  <c:v>2.2999999999999998</c:v>
                </c:pt>
                <c:pt idx="8">
                  <c:v>0</c:v>
                </c:pt>
                <c:pt idx="11">
                  <c:v>4.0999999999999996</c:v>
                </c:pt>
                <c:pt idx="12">
                  <c:v>4</c:v>
                </c:pt>
                <c:pt idx="13">
                  <c:v>4.4000000000000004</c:v>
                </c:pt>
                <c:pt idx="14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18-4905-A6FA-30005221B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754897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" sourceLinked="1"/>
        <c:majorTickMark val="none"/>
        <c:minorTickMark val="none"/>
        <c:tickLblPos val="nextTo"/>
        <c:crossAx val="754897928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ax val="40"/>
        </c:scaling>
        <c:delete val="0"/>
        <c:axPos val="r"/>
        <c:numFmt formatCode="0.0" sourceLinked="1"/>
        <c:majorTickMark val="out"/>
        <c:minorTickMark val="none"/>
        <c:tickLblPos val="nextTo"/>
        <c:crossAx val="3"/>
        <c:crosses val="max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2020Y</a:t>
            </a:r>
            <a:r>
              <a:rPr lang="en-US" altLang="zh-TW" baseline="0"/>
              <a:t> LP-Ni Up Time (UT+LT+OT) Rate</a:t>
            </a:r>
            <a:endParaRPr lang="zh-TW" alt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01973857457455"/>
          <c:y val="0.13616903150264112"/>
          <c:w val="0.87036007489141043"/>
          <c:h val="0.33588775087324613"/>
        </c:manualLayout>
      </c:layout>
      <c:lineChart>
        <c:grouping val="standard"/>
        <c:varyColors val="0"/>
        <c:ser>
          <c:idx val="0"/>
          <c:order val="0"/>
          <c:tx>
            <c:strRef>
              <c:f>'Up Time machine'!$A$3</c:f>
              <c:strCache>
                <c:ptCount val="1"/>
                <c:pt idx="0">
                  <c:v>targe%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ysDash"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D201-4168-9401-61435562ACF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D201-4168-9401-61435562ACFE}"/>
              </c:ext>
            </c:extLst>
          </c:dPt>
          <c:cat>
            <c:strRef>
              <c:f>'Up Time machine'!$B$2:$X$2</c:f>
              <c:strCach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6">
                  <c:v>Q1 </c:v>
                </c:pt>
                <c:pt idx="7">
                  <c:v>Q2 </c:v>
                </c:pt>
                <c:pt idx="8">
                  <c:v>Q3</c:v>
                </c:pt>
                <c:pt idx="9">
                  <c:v>Q4</c:v>
                </c:pt>
                <c:pt idx="11">
                  <c:v>1月 </c:v>
                </c:pt>
                <c:pt idx="12">
                  <c:v>2月</c:v>
                </c:pt>
                <c:pt idx="13">
                  <c:v>3月</c:v>
                </c:pt>
                <c:pt idx="14">
                  <c:v>4月 </c:v>
                </c:pt>
                <c:pt idx="15">
                  <c:v>5月 </c:v>
                </c:pt>
                <c:pt idx="16">
                  <c:v>6月 </c:v>
                </c:pt>
                <c:pt idx="17">
                  <c:v>7月</c:v>
                </c:pt>
                <c:pt idx="18">
                  <c:v>8月</c:v>
                </c:pt>
                <c:pt idx="19">
                  <c:v>9月</c:v>
                </c:pt>
                <c:pt idx="20">
                  <c:v>10月</c:v>
                </c:pt>
                <c:pt idx="21">
                  <c:v>11月</c:v>
                </c:pt>
                <c:pt idx="22">
                  <c:v>12月</c:v>
                </c:pt>
              </c:strCache>
            </c:strRef>
          </c:cat>
          <c:val>
            <c:numRef>
              <c:f>'Up Time machine'!$B$3:$X$3</c:f>
              <c:numCache>
                <c:formatCode>0.0</c:formatCode>
                <c:ptCount val="23"/>
                <c:pt idx="0">
                  <c:v>91.3</c:v>
                </c:pt>
                <c:pt idx="1">
                  <c:v>91.3</c:v>
                </c:pt>
                <c:pt idx="2">
                  <c:v>91.3</c:v>
                </c:pt>
                <c:pt idx="3">
                  <c:v>91.3</c:v>
                </c:pt>
                <c:pt idx="4">
                  <c:v>91.3</c:v>
                </c:pt>
                <c:pt idx="6">
                  <c:v>91.3</c:v>
                </c:pt>
                <c:pt idx="7">
                  <c:v>91.3</c:v>
                </c:pt>
                <c:pt idx="8">
                  <c:v>91.3</c:v>
                </c:pt>
                <c:pt idx="9">
                  <c:v>91.3</c:v>
                </c:pt>
                <c:pt idx="11">
                  <c:v>91.3</c:v>
                </c:pt>
                <c:pt idx="12">
                  <c:v>91.3</c:v>
                </c:pt>
                <c:pt idx="13">
                  <c:v>91.3</c:v>
                </c:pt>
                <c:pt idx="14">
                  <c:v>91.3</c:v>
                </c:pt>
                <c:pt idx="15">
                  <c:v>91.3</c:v>
                </c:pt>
                <c:pt idx="16">
                  <c:v>91.3</c:v>
                </c:pt>
                <c:pt idx="17">
                  <c:v>91.3</c:v>
                </c:pt>
                <c:pt idx="18">
                  <c:v>91.3</c:v>
                </c:pt>
                <c:pt idx="19">
                  <c:v>91.3</c:v>
                </c:pt>
                <c:pt idx="20">
                  <c:v>91.3</c:v>
                </c:pt>
                <c:pt idx="21">
                  <c:v>91.3</c:v>
                </c:pt>
                <c:pt idx="22">
                  <c:v>91.3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01-4168-9401-61435562ACFE}"/>
            </c:ext>
          </c:extLst>
        </c:ser>
        <c:ser>
          <c:idx val="1"/>
          <c:order val="1"/>
          <c:tx>
            <c:strRef>
              <c:f>'Up Time machine'!$A$4</c:f>
              <c:strCache>
                <c:ptCount val="1"/>
                <c:pt idx="0">
                  <c:v>LP-N1</c:v>
                </c:pt>
              </c:strCache>
            </c:strRef>
          </c:tx>
          <c:spPr>
            <a:ln w="25400">
              <a:solidFill>
                <a:schemeClr val="accent1"/>
              </a:solidFill>
              <a:prstDash val="sysDash"/>
            </a:ln>
          </c:spPr>
          <c:marker>
            <c:symbol val="diamond"/>
            <c:size val="5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Pt>
            <c:idx val="1"/>
            <c:bubble3D val="0"/>
            <c:spPr>
              <a:ln w="25400">
                <a:solidFill>
                  <a:schemeClr val="accen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201-4168-9401-61435562ACFE}"/>
              </c:ext>
            </c:extLst>
          </c:dPt>
          <c:cat>
            <c:strRef>
              <c:f>'Up Time machine'!$B$2:$X$2</c:f>
              <c:strCach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6">
                  <c:v>Q1 </c:v>
                </c:pt>
                <c:pt idx="7">
                  <c:v>Q2 </c:v>
                </c:pt>
                <c:pt idx="8">
                  <c:v>Q3</c:v>
                </c:pt>
                <c:pt idx="9">
                  <c:v>Q4</c:v>
                </c:pt>
                <c:pt idx="11">
                  <c:v>1月 </c:v>
                </c:pt>
                <c:pt idx="12">
                  <c:v>2月</c:v>
                </c:pt>
                <c:pt idx="13">
                  <c:v>3月</c:v>
                </c:pt>
                <c:pt idx="14">
                  <c:v>4月 </c:v>
                </c:pt>
                <c:pt idx="15">
                  <c:v>5月 </c:v>
                </c:pt>
                <c:pt idx="16">
                  <c:v>6月 </c:v>
                </c:pt>
                <c:pt idx="17">
                  <c:v>7月</c:v>
                </c:pt>
                <c:pt idx="18">
                  <c:v>8月</c:v>
                </c:pt>
                <c:pt idx="19">
                  <c:v>9月</c:v>
                </c:pt>
                <c:pt idx="20">
                  <c:v>10月</c:v>
                </c:pt>
                <c:pt idx="21">
                  <c:v>11月</c:v>
                </c:pt>
                <c:pt idx="22">
                  <c:v>12月</c:v>
                </c:pt>
              </c:strCache>
            </c:strRef>
          </c:cat>
          <c:val>
            <c:numRef>
              <c:f>'Up Time machine'!$B$4:$X$4</c:f>
              <c:numCache>
                <c:formatCode>General</c:formatCode>
                <c:ptCount val="23"/>
                <c:pt idx="0">
                  <c:v>94.8</c:v>
                </c:pt>
                <c:pt idx="1">
                  <c:v>91.9</c:v>
                </c:pt>
                <c:pt idx="2" formatCode="0.0">
                  <c:v>90.850000000000009</c:v>
                </c:pt>
                <c:pt idx="6" formatCode="0.0">
                  <c:v>88.533333333333346</c:v>
                </c:pt>
                <c:pt idx="7" formatCode="0.0">
                  <c:v>97.8</c:v>
                </c:pt>
                <c:pt idx="8" formatCode="0.0">
                  <c:v>0</c:v>
                </c:pt>
                <c:pt idx="11" formatCode="0.0">
                  <c:v>82.5</c:v>
                </c:pt>
                <c:pt idx="12" formatCode="0.0">
                  <c:v>92.4</c:v>
                </c:pt>
                <c:pt idx="13" formatCode="0.0">
                  <c:v>90.7</c:v>
                </c:pt>
                <c:pt idx="14">
                  <c:v>97.8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201-4168-9401-61435562ACFE}"/>
            </c:ext>
          </c:extLst>
        </c:ser>
        <c:ser>
          <c:idx val="2"/>
          <c:order val="2"/>
          <c:tx>
            <c:strRef>
              <c:f>'Up Time machine'!$A$5</c:f>
              <c:strCache>
                <c:ptCount val="1"/>
                <c:pt idx="0">
                  <c:v>LP-N2</c:v>
                </c:pt>
              </c:strCache>
            </c:strRef>
          </c:tx>
          <c:spPr>
            <a:ln w="25400">
              <a:solidFill>
                <a:srgbClr val="FFC000"/>
              </a:solidFill>
            </a:ln>
          </c:spPr>
          <c:marker>
            <c:symbol val="triangle"/>
            <c:size val="5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cat>
            <c:strRef>
              <c:f>'Up Time machine'!$B$2:$X$2</c:f>
              <c:strCach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6">
                  <c:v>Q1 </c:v>
                </c:pt>
                <c:pt idx="7">
                  <c:v>Q2 </c:v>
                </c:pt>
                <c:pt idx="8">
                  <c:v>Q3</c:v>
                </c:pt>
                <c:pt idx="9">
                  <c:v>Q4</c:v>
                </c:pt>
                <c:pt idx="11">
                  <c:v>1月 </c:v>
                </c:pt>
                <c:pt idx="12">
                  <c:v>2月</c:v>
                </c:pt>
                <c:pt idx="13">
                  <c:v>3月</c:v>
                </c:pt>
                <c:pt idx="14">
                  <c:v>4月 </c:v>
                </c:pt>
                <c:pt idx="15">
                  <c:v>5月 </c:v>
                </c:pt>
                <c:pt idx="16">
                  <c:v>6月 </c:v>
                </c:pt>
                <c:pt idx="17">
                  <c:v>7月</c:v>
                </c:pt>
                <c:pt idx="18">
                  <c:v>8月</c:v>
                </c:pt>
                <c:pt idx="19">
                  <c:v>9月</c:v>
                </c:pt>
                <c:pt idx="20">
                  <c:v>10月</c:v>
                </c:pt>
                <c:pt idx="21">
                  <c:v>11月</c:v>
                </c:pt>
                <c:pt idx="22">
                  <c:v>12月</c:v>
                </c:pt>
              </c:strCache>
            </c:strRef>
          </c:cat>
          <c:val>
            <c:numRef>
              <c:f>'Up Time machine'!$B$5:$X$5</c:f>
              <c:numCache>
                <c:formatCode>General</c:formatCode>
                <c:ptCount val="23"/>
                <c:pt idx="0">
                  <c:v>93.4</c:v>
                </c:pt>
                <c:pt idx="1">
                  <c:v>89.6</c:v>
                </c:pt>
                <c:pt idx="2" formatCode="0.0">
                  <c:v>86</c:v>
                </c:pt>
                <c:pt idx="6" formatCode="0.0">
                  <c:v>85.566666666666663</c:v>
                </c:pt>
                <c:pt idx="7" formatCode="0.0">
                  <c:v>87.3</c:v>
                </c:pt>
                <c:pt idx="8" formatCode="0.0">
                  <c:v>0</c:v>
                </c:pt>
                <c:pt idx="11" formatCode="0.0">
                  <c:v>79.099999999999994</c:v>
                </c:pt>
                <c:pt idx="12" formatCode="0.0">
                  <c:v>90</c:v>
                </c:pt>
                <c:pt idx="13" formatCode="0.0">
                  <c:v>87.6</c:v>
                </c:pt>
                <c:pt idx="14">
                  <c:v>87.3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201-4168-9401-61435562ACFE}"/>
            </c:ext>
          </c:extLst>
        </c:ser>
        <c:ser>
          <c:idx val="3"/>
          <c:order val="3"/>
          <c:tx>
            <c:strRef>
              <c:f>'Up Time machine'!$A$6</c:f>
              <c:strCache>
                <c:ptCount val="1"/>
                <c:pt idx="0">
                  <c:v>LP-N3</c:v>
                </c:pt>
              </c:strCache>
            </c:strRef>
          </c:tx>
          <c:spPr>
            <a:ln w="25400">
              <a:solidFill>
                <a:srgbClr val="7030A0"/>
              </a:solidFill>
            </a:ln>
          </c:spPr>
          <c:marker>
            <c:symbol val="square"/>
            <c:size val="5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strRef>
              <c:f>'Up Time machine'!$B$2:$X$2</c:f>
              <c:strCach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6">
                  <c:v>Q1 </c:v>
                </c:pt>
                <c:pt idx="7">
                  <c:v>Q2 </c:v>
                </c:pt>
                <c:pt idx="8">
                  <c:v>Q3</c:v>
                </c:pt>
                <c:pt idx="9">
                  <c:v>Q4</c:v>
                </c:pt>
                <c:pt idx="11">
                  <c:v>1月 </c:v>
                </c:pt>
                <c:pt idx="12">
                  <c:v>2月</c:v>
                </c:pt>
                <c:pt idx="13">
                  <c:v>3月</c:v>
                </c:pt>
                <c:pt idx="14">
                  <c:v>4月 </c:v>
                </c:pt>
                <c:pt idx="15">
                  <c:v>5月 </c:v>
                </c:pt>
                <c:pt idx="16">
                  <c:v>6月 </c:v>
                </c:pt>
                <c:pt idx="17">
                  <c:v>7月</c:v>
                </c:pt>
                <c:pt idx="18">
                  <c:v>8月</c:v>
                </c:pt>
                <c:pt idx="19">
                  <c:v>9月</c:v>
                </c:pt>
                <c:pt idx="20">
                  <c:v>10月</c:v>
                </c:pt>
                <c:pt idx="21">
                  <c:v>11月</c:v>
                </c:pt>
                <c:pt idx="22">
                  <c:v>12月</c:v>
                </c:pt>
              </c:strCache>
            </c:strRef>
          </c:cat>
          <c:val>
            <c:numRef>
              <c:f>'Up Time machine'!$B$6:$X$6</c:f>
              <c:numCache>
                <c:formatCode>General</c:formatCode>
                <c:ptCount val="23"/>
                <c:pt idx="0">
                  <c:v>91.2</c:v>
                </c:pt>
                <c:pt idx="1">
                  <c:v>88.7</c:v>
                </c:pt>
                <c:pt idx="2" formatCode="0.0">
                  <c:v>89.899999999999991</c:v>
                </c:pt>
                <c:pt idx="6" formatCode="0.0">
                  <c:v>88.633333333333326</c:v>
                </c:pt>
                <c:pt idx="7" formatCode="0.0">
                  <c:v>93.7</c:v>
                </c:pt>
                <c:pt idx="8" formatCode="0.0">
                  <c:v>0</c:v>
                </c:pt>
                <c:pt idx="11" formatCode="0.0">
                  <c:v>84.9</c:v>
                </c:pt>
                <c:pt idx="12" formatCode="0.0">
                  <c:v>92.5</c:v>
                </c:pt>
                <c:pt idx="13" formatCode="0.0">
                  <c:v>88.5</c:v>
                </c:pt>
                <c:pt idx="14">
                  <c:v>93.7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201-4168-9401-61435562ACFE}"/>
            </c:ext>
          </c:extLst>
        </c:ser>
        <c:ser>
          <c:idx val="4"/>
          <c:order val="4"/>
          <c:tx>
            <c:strRef>
              <c:f>'Up Time machine'!$A$7</c:f>
              <c:strCache>
                <c:ptCount val="1"/>
                <c:pt idx="0">
                  <c:v>LP-N4</c:v>
                </c:pt>
              </c:strCache>
            </c:strRef>
          </c:tx>
          <c:spPr>
            <a:ln w="25400">
              <a:solidFill>
                <a:schemeClr val="accent6">
                  <a:lumMod val="75000"/>
                </a:schemeClr>
              </a:solidFill>
            </a:ln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strRef>
              <c:f>'Up Time machine'!$B$2:$X$2</c:f>
              <c:strCach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6">
                  <c:v>Q1 </c:v>
                </c:pt>
                <c:pt idx="7">
                  <c:v>Q2 </c:v>
                </c:pt>
                <c:pt idx="8">
                  <c:v>Q3</c:v>
                </c:pt>
                <c:pt idx="9">
                  <c:v>Q4</c:v>
                </c:pt>
                <c:pt idx="11">
                  <c:v>1月 </c:v>
                </c:pt>
                <c:pt idx="12">
                  <c:v>2月</c:v>
                </c:pt>
                <c:pt idx="13">
                  <c:v>3月</c:v>
                </c:pt>
                <c:pt idx="14">
                  <c:v>4月 </c:v>
                </c:pt>
                <c:pt idx="15">
                  <c:v>5月 </c:v>
                </c:pt>
                <c:pt idx="16">
                  <c:v>6月 </c:v>
                </c:pt>
                <c:pt idx="17">
                  <c:v>7月</c:v>
                </c:pt>
                <c:pt idx="18">
                  <c:v>8月</c:v>
                </c:pt>
                <c:pt idx="19">
                  <c:v>9月</c:v>
                </c:pt>
                <c:pt idx="20">
                  <c:v>10月</c:v>
                </c:pt>
                <c:pt idx="21">
                  <c:v>11月</c:v>
                </c:pt>
                <c:pt idx="22">
                  <c:v>12月</c:v>
                </c:pt>
              </c:strCache>
            </c:strRef>
          </c:cat>
          <c:val>
            <c:numRef>
              <c:f>'Up Time machine'!$B$7:$X$7</c:f>
              <c:numCache>
                <c:formatCode>General</c:formatCode>
                <c:ptCount val="23"/>
                <c:pt idx="0">
                  <c:v>92.1</c:v>
                </c:pt>
                <c:pt idx="1">
                  <c:v>89.5</c:v>
                </c:pt>
                <c:pt idx="2" formatCode="0.0">
                  <c:v>87.4</c:v>
                </c:pt>
                <c:pt idx="6" formatCode="0.0">
                  <c:v>86.2</c:v>
                </c:pt>
                <c:pt idx="7" formatCode="0.0">
                  <c:v>91</c:v>
                </c:pt>
                <c:pt idx="8" formatCode="0.0">
                  <c:v>0</c:v>
                </c:pt>
                <c:pt idx="11" formatCode="0.0">
                  <c:v>86</c:v>
                </c:pt>
                <c:pt idx="12" formatCode="0.0">
                  <c:v>90.2</c:v>
                </c:pt>
                <c:pt idx="13" formatCode="0.0">
                  <c:v>82.4</c:v>
                </c:pt>
                <c:pt idx="14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201-4168-9401-61435562ACFE}"/>
            </c:ext>
          </c:extLst>
        </c:ser>
        <c:ser>
          <c:idx val="5"/>
          <c:order val="5"/>
          <c:tx>
            <c:strRef>
              <c:f>'Up Time machine'!$A$8</c:f>
              <c:strCache>
                <c:ptCount val="1"/>
                <c:pt idx="0">
                  <c:v>LP-N5</c:v>
                </c:pt>
              </c:strCache>
            </c:strRef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tar"/>
            <c:size val="7"/>
            <c:spPr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strRef>
              <c:f>'Up Time machine'!$B$2:$X$2</c:f>
              <c:strCach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6">
                  <c:v>Q1 </c:v>
                </c:pt>
                <c:pt idx="7">
                  <c:v>Q2 </c:v>
                </c:pt>
                <c:pt idx="8">
                  <c:v>Q3</c:v>
                </c:pt>
                <c:pt idx="9">
                  <c:v>Q4</c:v>
                </c:pt>
                <c:pt idx="11">
                  <c:v>1月 </c:v>
                </c:pt>
                <c:pt idx="12">
                  <c:v>2月</c:v>
                </c:pt>
                <c:pt idx="13">
                  <c:v>3月</c:v>
                </c:pt>
                <c:pt idx="14">
                  <c:v>4月 </c:v>
                </c:pt>
                <c:pt idx="15">
                  <c:v>5月 </c:v>
                </c:pt>
                <c:pt idx="16">
                  <c:v>6月 </c:v>
                </c:pt>
                <c:pt idx="17">
                  <c:v>7月</c:v>
                </c:pt>
                <c:pt idx="18">
                  <c:v>8月</c:v>
                </c:pt>
                <c:pt idx="19">
                  <c:v>9月</c:v>
                </c:pt>
                <c:pt idx="20">
                  <c:v>10月</c:v>
                </c:pt>
                <c:pt idx="21">
                  <c:v>11月</c:v>
                </c:pt>
                <c:pt idx="22">
                  <c:v>12月</c:v>
                </c:pt>
              </c:strCache>
            </c:strRef>
          </c:cat>
          <c:val>
            <c:numRef>
              <c:f>'Up Time machine'!$B$8:$X$8</c:f>
              <c:numCache>
                <c:formatCode>General</c:formatCode>
                <c:ptCount val="23"/>
                <c:pt idx="0">
                  <c:v>85.3</c:v>
                </c:pt>
                <c:pt idx="1">
                  <c:v>89.9</c:v>
                </c:pt>
                <c:pt idx="2" formatCode="0.0">
                  <c:v>90.124999999999986</c:v>
                </c:pt>
                <c:pt idx="6" formatCode="0.0">
                  <c:v>89.59999999999998</c:v>
                </c:pt>
                <c:pt idx="7" formatCode="0.0">
                  <c:v>91.7</c:v>
                </c:pt>
                <c:pt idx="8" formatCode="0.0">
                  <c:v>0</c:v>
                </c:pt>
                <c:pt idx="11">
                  <c:v>83.2</c:v>
                </c:pt>
                <c:pt idx="12">
                  <c:v>89.5</c:v>
                </c:pt>
                <c:pt idx="13">
                  <c:v>96.1</c:v>
                </c:pt>
                <c:pt idx="14">
                  <c:v>91.7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201-4168-9401-61435562ACFE}"/>
            </c:ext>
          </c:extLst>
        </c:ser>
        <c:ser>
          <c:idx val="6"/>
          <c:order val="6"/>
          <c:tx>
            <c:strRef>
              <c:f>'Up Time machine'!$A$9</c:f>
              <c:strCache>
                <c:ptCount val="1"/>
                <c:pt idx="0">
                  <c:v>LP-N6</c:v>
                </c:pt>
              </c:strCache>
            </c:strRef>
          </c:tx>
          <c:spPr>
            <a:ln w="25400"/>
          </c:spPr>
          <c:marker>
            <c:symbol val="plus"/>
            <c:size val="5"/>
          </c:marker>
          <c:cat>
            <c:strRef>
              <c:f>'Up Time machine'!$B$2:$X$2</c:f>
              <c:strCach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6">
                  <c:v>Q1 </c:v>
                </c:pt>
                <c:pt idx="7">
                  <c:v>Q2 </c:v>
                </c:pt>
                <c:pt idx="8">
                  <c:v>Q3</c:v>
                </c:pt>
                <c:pt idx="9">
                  <c:v>Q4</c:v>
                </c:pt>
                <c:pt idx="11">
                  <c:v>1月 </c:v>
                </c:pt>
                <c:pt idx="12">
                  <c:v>2月</c:v>
                </c:pt>
                <c:pt idx="13">
                  <c:v>3月</c:v>
                </c:pt>
                <c:pt idx="14">
                  <c:v>4月 </c:v>
                </c:pt>
                <c:pt idx="15">
                  <c:v>5月 </c:v>
                </c:pt>
                <c:pt idx="16">
                  <c:v>6月 </c:v>
                </c:pt>
                <c:pt idx="17">
                  <c:v>7月</c:v>
                </c:pt>
                <c:pt idx="18">
                  <c:v>8月</c:v>
                </c:pt>
                <c:pt idx="19">
                  <c:v>9月</c:v>
                </c:pt>
                <c:pt idx="20">
                  <c:v>10月</c:v>
                </c:pt>
                <c:pt idx="21">
                  <c:v>11月</c:v>
                </c:pt>
                <c:pt idx="22">
                  <c:v>12月</c:v>
                </c:pt>
              </c:strCache>
            </c:strRef>
          </c:cat>
          <c:val>
            <c:numRef>
              <c:f>'Up Time machine'!$B$9:$X$9</c:f>
              <c:numCache>
                <c:formatCode>General</c:formatCode>
                <c:ptCount val="23"/>
                <c:pt idx="0">
                  <c:v>79.099999999999994</c:v>
                </c:pt>
                <c:pt idx="1">
                  <c:v>92.9</c:v>
                </c:pt>
                <c:pt idx="2" formatCode="0.0">
                  <c:v>94.95</c:v>
                </c:pt>
                <c:pt idx="6" formatCode="0.0">
                  <c:v>94.333333333333329</c:v>
                </c:pt>
                <c:pt idx="7" formatCode="0.0">
                  <c:v>96.8</c:v>
                </c:pt>
                <c:pt idx="8" formatCode="0.0">
                  <c:v>0</c:v>
                </c:pt>
                <c:pt idx="11">
                  <c:v>87.4</c:v>
                </c:pt>
                <c:pt idx="12">
                  <c:v>95.9</c:v>
                </c:pt>
                <c:pt idx="13">
                  <c:v>99.7</c:v>
                </c:pt>
                <c:pt idx="14">
                  <c:v>96.8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201-4168-9401-61435562ACFE}"/>
            </c:ext>
          </c:extLst>
        </c:ser>
        <c:ser>
          <c:idx val="7"/>
          <c:order val="7"/>
          <c:tx>
            <c:strRef>
              <c:f>'Up Time machine'!$A$10</c:f>
              <c:strCache>
                <c:ptCount val="1"/>
                <c:pt idx="0">
                  <c:v>LP-N7</c:v>
                </c:pt>
              </c:strCache>
            </c:strRef>
          </c:tx>
          <c:marker>
            <c:symbol val="circle"/>
            <c:size val="5"/>
          </c:marker>
          <c:cat>
            <c:strRef>
              <c:f>'Up Time machine'!$B$2:$X$2</c:f>
              <c:strCache>
                <c:ptCount val="2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6">
                  <c:v>Q1 </c:v>
                </c:pt>
                <c:pt idx="7">
                  <c:v>Q2 </c:v>
                </c:pt>
                <c:pt idx="8">
                  <c:v>Q3</c:v>
                </c:pt>
                <c:pt idx="9">
                  <c:v>Q4</c:v>
                </c:pt>
                <c:pt idx="11">
                  <c:v>1月 </c:v>
                </c:pt>
                <c:pt idx="12">
                  <c:v>2月</c:v>
                </c:pt>
                <c:pt idx="13">
                  <c:v>3月</c:v>
                </c:pt>
                <c:pt idx="14">
                  <c:v>4月 </c:v>
                </c:pt>
                <c:pt idx="15">
                  <c:v>5月 </c:v>
                </c:pt>
                <c:pt idx="16">
                  <c:v>6月 </c:v>
                </c:pt>
                <c:pt idx="17">
                  <c:v>7月</c:v>
                </c:pt>
                <c:pt idx="18">
                  <c:v>8月</c:v>
                </c:pt>
                <c:pt idx="19">
                  <c:v>9月</c:v>
                </c:pt>
                <c:pt idx="20">
                  <c:v>10月</c:v>
                </c:pt>
                <c:pt idx="21">
                  <c:v>11月</c:v>
                </c:pt>
                <c:pt idx="22">
                  <c:v>12月</c:v>
                </c:pt>
              </c:strCache>
            </c:strRef>
          </c:cat>
          <c:val>
            <c:numRef>
              <c:f>'Up Time machine'!$B$10:$X$10</c:f>
              <c:numCache>
                <c:formatCode>General</c:formatCode>
                <c:ptCount val="23"/>
                <c:pt idx="0">
                  <c:v>93.7</c:v>
                </c:pt>
                <c:pt idx="1">
                  <c:v>90.8</c:v>
                </c:pt>
                <c:pt idx="2" formatCode="0.0">
                  <c:v>89.75</c:v>
                </c:pt>
                <c:pt idx="6" formatCode="0.0">
                  <c:v>89.166666666666671</c:v>
                </c:pt>
                <c:pt idx="7" formatCode="0.0">
                  <c:v>91.5</c:v>
                </c:pt>
                <c:pt idx="8" formatCode="0.0">
                  <c:v>0</c:v>
                </c:pt>
                <c:pt idx="11">
                  <c:v>84.1</c:v>
                </c:pt>
                <c:pt idx="12">
                  <c:v>93</c:v>
                </c:pt>
                <c:pt idx="13">
                  <c:v>90.4</c:v>
                </c:pt>
                <c:pt idx="14">
                  <c:v>91.5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201-4168-9401-61435562A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4874968"/>
        <c:axId val="1"/>
      </c:lineChart>
      <c:catAx>
        <c:axId val="754874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"/>
          <c:min val="65"/>
        </c:scaling>
        <c:delete val="0"/>
        <c:axPos val="l"/>
        <c:majorGridlines/>
        <c:numFmt formatCode="0.0" sourceLinked="1"/>
        <c:majorTickMark val="none"/>
        <c:minorTickMark val="none"/>
        <c:tickLblPos val="nextTo"/>
        <c:crossAx val="75487496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1100" baseline="0"/>
            </a:pPr>
            <a:endParaRPr lang="en-US"/>
          </a:p>
        </c:txPr>
      </c:dTable>
    </c:plotArea>
    <c:plotVisOnly val="1"/>
    <c:dispBlanksAs val="gap"/>
    <c:showDLblsOverMax val="0"/>
  </c:chart>
  <c:spPr>
    <a:ln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Relationship Id="rId4" Type="http://schemas.openxmlformats.org/officeDocument/2006/relationships/image" Target="../media/image10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0</xdr:colOff>
      <xdr:row>2</xdr:row>
      <xdr:rowOff>0</xdr:rowOff>
    </xdr:to>
    <xdr:pic>
      <xdr:nvPicPr>
        <xdr:cNvPr id="7479000" name="圖片 1">
          <a:extLst>
            <a:ext uri="{FF2B5EF4-FFF2-40B4-BE49-F238E27FC236}">
              <a16:creationId xmlns:a16="http://schemas.microsoft.com/office/drawing/2014/main" id="{00000000-0008-0000-0000-0000D81E7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75" y="419100"/>
          <a:ext cx="12096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2343150</xdr:colOff>
      <xdr:row>2</xdr:row>
      <xdr:rowOff>0</xdr:rowOff>
    </xdr:from>
    <xdr:to>
      <xdr:col>6</xdr:col>
      <xdr:colOff>1200150</xdr:colOff>
      <xdr:row>2</xdr:row>
      <xdr:rowOff>1076325</xdr:rowOff>
    </xdr:to>
    <xdr:pic>
      <xdr:nvPicPr>
        <xdr:cNvPr id="7479001" name="圖片 2">
          <a:extLst>
            <a:ext uri="{FF2B5EF4-FFF2-40B4-BE49-F238E27FC236}">
              <a16:creationId xmlns:a16="http://schemas.microsoft.com/office/drawing/2014/main" id="{00000000-0008-0000-0000-0000D91E7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1314450"/>
          <a:ext cx="120967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0</xdr:colOff>
      <xdr:row>4</xdr:row>
      <xdr:rowOff>9525</xdr:rowOff>
    </xdr:to>
    <xdr:pic>
      <xdr:nvPicPr>
        <xdr:cNvPr id="7479002" name="圖片 3">
          <a:extLst>
            <a:ext uri="{FF2B5EF4-FFF2-40B4-BE49-F238E27FC236}">
              <a16:creationId xmlns:a16="http://schemas.microsoft.com/office/drawing/2014/main" id="{00000000-0008-0000-0000-0000DA1E7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75" y="2400300"/>
          <a:ext cx="1209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9525</xdr:colOff>
      <xdr:row>5</xdr:row>
      <xdr:rowOff>0</xdr:rowOff>
    </xdr:to>
    <xdr:pic>
      <xdr:nvPicPr>
        <xdr:cNvPr id="7479003" name="圖片 1">
          <a:extLst>
            <a:ext uri="{FF2B5EF4-FFF2-40B4-BE49-F238E27FC236}">
              <a16:creationId xmlns:a16="http://schemas.microsoft.com/office/drawing/2014/main" id="{00000000-0008-0000-0000-0000DB1E7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75" y="3295650"/>
          <a:ext cx="121920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0</xdr:colOff>
      <xdr:row>7</xdr:row>
      <xdr:rowOff>28575</xdr:rowOff>
    </xdr:to>
    <xdr:pic>
      <xdr:nvPicPr>
        <xdr:cNvPr id="7479004" name="圖片 2">
          <a:extLst>
            <a:ext uri="{FF2B5EF4-FFF2-40B4-BE49-F238E27FC236}">
              <a16:creationId xmlns:a16="http://schemas.microsoft.com/office/drawing/2014/main" id="{00000000-0008-0000-0000-0000DC1E7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75" y="4638675"/>
          <a:ext cx="12096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9525</xdr:colOff>
      <xdr:row>7</xdr:row>
      <xdr:rowOff>9525</xdr:rowOff>
    </xdr:from>
    <xdr:to>
      <xdr:col>6</xdr:col>
      <xdr:colOff>1209675</xdr:colOff>
      <xdr:row>7</xdr:row>
      <xdr:rowOff>876300</xdr:rowOff>
    </xdr:to>
    <xdr:pic>
      <xdr:nvPicPr>
        <xdr:cNvPr id="7479005" name="圖片 4">
          <a:extLst>
            <a:ext uri="{FF2B5EF4-FFF2-40B4-BE49-F238E27FC236}">
              <a16:creationId xmlns:a16="http://schemas.microsoft.com/office/drawing/2014/main" id="{00000000-0008-0000-0000-0000DD1E7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0" y="5543550"/>
          <a:ext cx="120015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17767</xdr:colOff>
      <xdr:row>8</xdr:row>
      <xdr:rowOff>13045</xdr:rowOff>
    </xdr:from>
    <xdr:to>
      <xdr:col>20</xdr:col>
      <xdr:colOff>11205</xdr:colOff>
      <xdr:row>33</xdr:row>
      <xdr:rowOff>179294</xdr:rowOff>
    </xdr:to>
    <xdr:graphicFrame macro="">
      <xdr:nvGraphicFramePr>
        <xdr:cNvPr id="7708773" name="圖表 3">
          <a:extLst>
            <a:ext uri="{FF2B5EF4-FFF2-40B4-BE49-F238E27FC236}">
              <a16:creationId xmlns:a16="http://schemas.microsoft.com/office/drawing/2014/main" id="{00000000-0008-0000-0100-000065A07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16</xdr:row>
      <xdr:rowOff>514350</xdr:rowOff>
    </xdr:from>
    <xdr:to>
      <xdr:col>6</xdr:col>
      <xdr:colOff>1219200</xdr:colOff>
      <xdr:row>17</xdr:row>
      <xdr:rowOff>645319</xdr:rowOff>
    </xdr:to>
    <xdr:pic>
      <xdr:nvPicPr>
        <xdr:cNvPr id="8409289" name="圖片 1">
          <a:extLst>
            <a:ext uri="{FF2B5EF4-FFF2-40B4-BE49-F238E27FC236}">
              <a16:creationId xmlns:a16="http://schemas.microsoft.com/office/drawing/2014/main" id="{00000000-0008-0000-0200-0000C9508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7210425"/>
          <a:ext cx="12001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71436</xdr:colOff>
      <xdr:row>1</xdr:row>
      <xdr:rowOff>0</xdr:rowOff>
    </xdr:from>
    <xdr:to>
      <xdr:col>6</xdr:col>
      <xdr:colOff>4369593</xdr:colOff>
      <xdr:row>1</xdr:row>
      <xdr:rowOff>1893094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6405" y="2452687"/>
          <a:ext cx="4298157" cy="1893094"/>
        </a:xfrm>
        <a:prstGeom prst="rect">
          <a:avLst/>
        </a:prstGeom>
      </xdr:spPr>
    </xdr:pic>
    <xdr:clientData/>
  </xdr:twoCellAnchor>
  <xdr:twoCellAnchor editAs="oneCell">
    <xdr:from>
      <xdr:col>6</xdr:col>
      <xdr:colOff>35718</xdr:colOff>
      <xdr:row>1</xdr:row>
      <xdr:rowOff>0</xdr:rowOff>
    </xdr:from>
    <xdr:to>
      <xdr:col>6</xdr:col>
      <xdr:colOff>4321968</xdr:colOff>
      <xdr:row>1</xdr:row>
      <xdr:rowOff>1850678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0687" y="554385"/>
          <a:ext cx="4286250" cy="185067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5748811</xdr:colOff>
      <xdr:row>2</xdr:row>
      <xdr:rowOff>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8E6BA3C-4199-59A6-9CEF-FED6EB53D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4969" y="4345781"/>
          <a:ext cx="5748811" cy="29884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95250</xdr:rowOff>
    </xdr:from>
    <xdr:to>
      <xdr:col>18</xdr:col>
      <xdr:colOff>219075</xdr:colOff>
      <xdr:row>26</xdr:row>
      <xdr:rowOff>28575</xdr:rowOff>
    </xdr:to>
    <xdr:graphicFrame macro="">
      <xdr:nvGraphicFramePr>
        <xdr:cNvPr id="8470534" name="圖表 3">
          <a:extLst>
            <a:ext uri="{FF2B5EF4-FFF2-40B4-BE49-F238E27FC236}">
              <a16:creationId xmlns:a16="http://schemas.microsoft.com/office/drawing/2014/main" id="{00000000-0008-0000-0300-000006408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205740</xdr:colOff>
      <xdr:row>14</xdr:row>
      <xdr:rowOff>106680</xdr:rowOff>
    </xdr:from>
    <xdr:to>
      <xdr:col>2</xdr:col>
      <xdr:colOff>68527</xdr:colOff>
      <xdr:row>16</xdr:row>
      <xdr:rowOff>144780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666750" y="3295650"/>
          <a:ext cx="38100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2000" b="1">
              <a:ln>
                <a:noFill/>
              </a:ln>
              <a:solidFill>
                <a:sysClr val="windowText" lastClr="000000"/>
              </a:solidFill>
              <a:latin typeface="新細明體"/>
              <a:ea typeface="新細明體"/>
            </a:rPr>
            <a:t>%</a:t>
          </a:r>
          <a:endParaRPr lang="zh-TW" altLang="en-US" sz="2000" b="1">
            <a:ln>
              <a:noFill/>
            </a:ln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17689</xdr:colOff>
      <xdr:row>13</xdr:row>
      <xdr:rowOff>27214</xdr:rowOff>
    </xdr:from>
    <xdr:to>
      <xdr:col>19</xdr:col>
      <xdr:colOff>570139</xdr:colOff>
      <xdr:row>37</xdr:row>
      <xdr:rowOff>170089</xdr:rowOff>
    </xdr:to>
    <xdr:graphicFrame macro="">
      <xdr:nvGraphicFramePr>
        <xdr:cNvPr id="8167493" name="圖表 3">
          <a:extLst>
            <a:ext uri="{FF2B5EF4-FFF2-40B4-BE49-F238E27FC236}">
              <a16:creationId xmlns:a16="http://schemas.microsoft.com/office/drawing/2014/main" id="{00000000-0008-0000-0600-000045A07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10</xdr:row>
      <xdr:rowOff>161925</xdr:rowOff>
    </xdr:from>
    <xdr:to>
      <xdr:col>20</xdr:col>
      <xdr:colOff>57150</xdr:colOff>
      <xdr:row>41</xdr:row>
      <xdr:rowOff>19050</xdr:rowOff>
    </xdr:to>
    <xdr:graphicFrame macro="">
      <xdr:nvGraphicFramePr>
        <xdr:cNvPr id="3066763" name="圖表 4">
          <a:extLst>
            <a:ext uri="{FF2B5EF4-FFF2-40B4-BE49-F238E27FC236}">
              <a16:creationId xmlns:a16="http://schemas.microsoft.com/office/drawing/2014/main" id="{00000000-0008-0000-0400-00008BCB2E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21</xdr:row>
      <xdr:rowOff>38100</xdr:rowOff>
    </xdr:from>
    <xdr:to>
      <xdr:col>24</xdr:col>
      <xdr:colOff>314325</xdr:colOff>
      <xdr:row>42</xdr:row>
      <xdr:rowOff>38100</xdr:rowOff>
    </xdr:to>
    <xdr:graphicFrame macro="">
      <xdr:nvGraphicFramePr>
        <xdr:cNvPr id="3252141" name="圖表 3">
          <a:extLst>
            <a:ext uri="{FF2B5EF4-FFF2-40B4-BE49-F238E27FC236}">
              <a16:creationId xmlns:a16="http://schemas.microsoft.com/office/drawing/2014/main" id="{00000000-0008-0000-0500-0000AD9F3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624840</xdr:colOff>
      <xdr:row>17</xdr:row>
      <xdr:rowOff>144780</xdr:rowOff>
    </xdr:from>
    <xdr:to>
      <xdr:col>5</xdr:col>
      <xdr:colOff>281940</xdr:colOff>
      <xdr:row>19</xdr:row>
      <xdr:rowOff>162049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619125" y="3600450"/>
          <a:ext cx="323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2000" b="1">
              <a:ln>
                <a:noFill/>
              </a:ln>
              <a:solidFill>
                <a:sysClr val="windowText" lastClr="000000"/>
              </a:solidFill>
              <a:latin typeface="新細明體"/>
              <a:ea typeface="新細明體"/>
            </a:rPr>
            <a:t>%</a:t>
          </a:r>
          <a:endParaRPr lang="zh-TW" altLang="en-US" sz="2000" b="1">
            <a:ln>
              <a:noFill/>
            </a:ln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rgb="FFFF0000"/>
  </sheetPr>
  <dimension ref="A1:I37"/>
  <sheetViews>
    <sheetView zoomScaleNormal="100" workbookViewId="0">
      <pane ySplit="1" topLeftCell="A2" activePane="bottomLeft" state="frozen"/>
      <selection pane="bottomLeft" activeCell="J2" sqref="J2"/>
    </sheetView>
  </sheetViews>
  <sheetFormatPr defaultRowHeight="70.5" customHeight="1"/>
  <cols>
    <col min="1" max="1" width="5.375" style="11" customWidth="1"/>
    <col min="2" max="2" width="6" style="6" customWidth="1"/>
    <col min="3" max="3" width="5" style="6" customWidth="1"/>
    <col min="4" max="4" width="5.875" style="6" customWidth="1"/>
    <col min="5" max="5" width="43.75" style="14" customWidth="1"/>
    <col min="6" max="6" width="30.875" style="5" customWidth="1"/>
    <col min="7" max="8" width="15.875" style="7" customWidth="1"/>
    <col min="9" max="9" width="11.125" style="6" customWidth="1"/>
    <col min="10" max="16384" width="9" style="6"/>
  </cols>
  <sheetData>
    <row r="1" spans="1:9" ht="33" customHeight="1">
      <c r="A1" s="12" t="s">
        <v>20</v>
      </c>
      <c r="B1" s="8" t="s">
        <v>14</v>
      </c>
      <c r="C1" s="8" t="s">
        <v>15</v>
      </c>
      <c r="D1" s="8" t="s">
        <v>16</v>
      </c>
      <c r="E1" s="13" t="s">
        <v>19</v>
      </c>
      <c r="F1" s="9" t="s">
        <v>18</v>
      </c>
      <c r="G1" s="10" t="s">
        <v>17</v>
      </c>
      <c r="H1" s="10" t="s">
        <v>47</v>
      </c>
      <c r="I1" s="8" t="s">
        <v>29</v>
      </c>
    </row>
    <row r="2" spans="1:9" ht="70.5" customHeight="1">
      <c r="A2" s="44">
        <v>43101</v>
      </c>
      <c r="B2" s="45" t="s">
        <v>48</v>
      </c>
      <c r="C2" s="45" t="s">
        <v>50</v>
      </c>
      <c r="D2" s="45">
        <v>113</v>
      </c>
      <c r="E2" s="46" t="s">
        <v>54</v>
      </c>
      <c r="F2" s="47" t="s">
        <v>61</v>
      </c>
      <c r="G2" s="16"/>
      <c r="H2" s="42" t="s">
        <v>53</v>
      </c>
      <c r="I2" s="15"/>
    </row>
    <row r="3" spans="1:9" ht="114.75">
      <c r="A3" s="44">
        <v>43104</v>
      </c>
      <c r="B3" s="45" t="s">
        <v>49</v>
      </c>
      <c r="C3" s="45" t="s">
        <v>51</v>
      </c>
      <c r="D3" s="45">
        <v>14938</v>
      </c>
      <c r="E3" s="48" t="s">
        <v>55</v>
      </c>
      <c r="F3" s="47" t="s">
        <v>60</v>
      </c>
      <c r="G3" s="22"/>
      <c r="H3" s="43" t="s">
        <v>56</v>
      </c>
      <c r="I3" s="15"/>
    </row>
    <row r="4" spans="1:9" ht="70.5" customHeight="1">
      <c r="A4" s="44">
        <v>43117</v>
      </c>
      <c r="B4" s="45" t="s">
        <v>49</v>
      </c>
      <c r="C4" s="45" t="s">
        <v>52</v>
      </c>
      <c r="D4" s="45">
        <v>154</v>
      </c>
      <c r="E4" s="46" t="s">
        <v>58</v>
      </c>
      <c r="F4" s="47" t="s">
        <v>59</v>
      </c>
      <c r="G4" s="22"/>
      <c r="H4" s="43" t="s">
        <v>57</v>
      </c>
      <c r="I4" s="15"/>
    </row>
    <row r="5" spans="1:9" ht="70.5" customHeight="1">
      <c r="A5" s="44">
        <v>43131</v>
      </c>
      <c r="B5" s="45" t="s">
        <v>62</v>
      </c>
      <c r="C5" s="45" t="s">
        <v>63</v>
      </c>
      <c r="D5" s="45">
        <v>162</v>
      </c>
      <c r="E5" s="46" t="s">
        <v>70</v>
      </c>
      <c r="F5" s="47" t="s">
        <v>65</v>
      </c>
      <c r="G5" s="16"/>
      <c r="H5" s="42" t="s">
        <v>64</v>
      </c>
      <c r="I5" s="15"/>
    </row>
    <row r="6" spans="1:9" ht="35.25" customHeight="1">
      <c r="A6" s="12" t="s">
        <v>20</v>
      </c>
      <c r="B6" s="8" t="s">
        <v>14</v>
      </c>
      <c r="C6" s="8" t="s">
        <v>15</v>
      </c>
      <c r="D6" s="8" t="s">
        <v>16</v>
      </c>
      <c r="E6" s="13" t="s">
        <v>19</v>
      </c>
      <c r="F6" s="9" t="s">
        <v>18</v>
      </c>
      <c r="G6" s="10" t="s">
        <v>17</v>
      </c>
      <c r="H6" s="10"/>
      <c r="I6" s="8" t="s">
        <v>29</v>
      </c>
    </row>
    <row r="7" spans="1:9" ht="70.5" customHeight="1">
      <c r="A7" s="44">
        <v>43133</v>
      </c>
      <c r="B7" s="45" t="s">
        <v>66</v>
      </c>
      <c r="C7" s="45" t="s">
        <v>63</v>
      </c>
      <c r="D7" s="45">
        <v>402</v>
      </c>
      <c r="E7" s="46" t="s">
        <v>67</v>
      </c>
      <c r="F7" s="47" t="s">
        <v>65</v>
      </c>
      <c r="G7" s="22"/>
      <c r="H7" s="43" t="s">
        <v>68</v>
      </c>
      <c r="I7" s="15"/>
    </row>
    <row r="8" spans="1:9" ht="70.5" customHeight="1">
      <c r="A8" s="44">
        <v>43140</v>
      </c>
      <c r="B8" s="45" t="s">
        <v>62</v>
      </c>
      <c r="C8" s="45" t="s">
        <v>69</v>
      </c>
      <c r="D8" s="45">
        <v>183</v>
      </c>
      <c r="E8" s="46" t="s">
        <v>71</v>
      </c>
      <c r="F8" s="47"/>
      <c r="G8" s="22"/>
      <c r="H8" s="43" t="s">
        <v>57</v>
      </c>
      <c r="I8" s="15"/>
    </row>
    <row r="9" spans="1:9" ht="33" customHeight="1">
      <c r="A9" s="12" t="s">
        <v>20</v>
      </c>
      <c r="B9" s="8" t="s">
        <v>14</v>
      </c>
      <c r="C9" s="8" t="s">
        <v>15</v>
      </c>
      <c r="D9" s="8" t="s">
        <v>16</v>
      </c>
      <c r="E9" s="13" t="s">
        <v>19</v>
      </c>
      <c r="F9" s="9" t="s">
        <v>18</v>
      </c>
      <c r="G9" s="10" t="s">
        <v>17</v>
      </c>
      <c r="H9" s="10"/>
      <c r="I9" s="8" t="s">
        <v>29</v>
      </c>
    </row>
    <row r="10" spans="1:9" ht="70.5" customHeight="1">
      <c r="A10" s="18"/>
      <c r="B10" s="19"/>
      <c r="C10" s="19"/>
      <c r="D10" s="19"/>
      <c r="E10" s="20"/>
      <c r="F10" s="21"/>
      <c r="G10" s="22"/>
      <c r="H10" s="22"/>
      <c r="I10" s="15"/>
    </row>
    <row r="11" spans="1:9" ht="104.25" customHeight="1">
      <c r="A11" s="18"/>
      <c r="B11" s="19"/>
      <c r="C11" s="19"/>
      <c r="D11" s="19"/>
      <c r="E11" s="20"/>
      <c r="F11" s="21"/>
      <c r="G11" s="22"/>
      <c r="H11" s="22"/>
      <c r="I11" s="15"/>
    </row>
    <row r="12" spans="1:9" ht="70.5" customHeight="1">
      <c r="A12" s="18"/>
      <c r="B12" s="19"/>
      <c r="C12" s="19"/>
      <c r="D12" s="19"/>
      <c r="E12" s="20"/>
      <c r="F12" s="21"/>
      <c r="G12" s="22"/>
      <c r="H12" s="22"/>
      <c r="I12" s="15"/>
    </row>
    <row r="13" spans="1:9" ht="70.5" customHeight="1">
      <c r="A13" s="18"/>
      <c r="B13" s="19"/>
      <c r="C13" s="19"/>
      <c r="D13" s="19"/>
      <c r="E13" s="20"/>
      <c r="F13" s="21"/>
      <c r="G13" s="22"/>
      <c r="H13" s="22"/>
      <c r="I13" s="15"/>
    </row>
    <row r="14" spans="1:9" ht="70.5" customHeight="1">
      <c r="A14" s="49"/>
      <c r="B14" s="50"/>
      <c r="C14" s="50"/>
      <c r="D14" s="50"/>
      <c r="E14" s="51"/>
      <c r="F14" s="52"/>
      <c r="G14"/>
      <c r="H14"/>
      <c r="I14" s="17"/>
    </row>
    <row r="15" spans="1:9" ht="70.5" customHeight="1">
      <c r="A15" s="44"/>
      <c r="B15" s="45"/>
      <c r="C15" s="45"/>
      <c r="D15" s="45"/>
      <c r="E15" s="46"/>
      <c r="F15" s="47"/>
      <c r="G15" s="22"/>
      <c r="H15" s="22"/>
      <c r="I15" s="15"/>
    </row>
    <row r="16" spans="1:9" ht="29.25" customHeight="1">
      <c r="A16" s="12" t="s">
        <v>20</v>
      </c>
      <c r="B16" s="8" t="s">
        <v>14</v>
      </c>
      <c r="C16" s="8" t="s">
        <v>15</v>
      </c>
      <c r="D16" s="8" t="s">
        <v>16</v>
      </c>
      <c r="E16" s="13" t="s">
        <v>19</v>
      </c>
      <c r="F16" s="9" t="s">
        <v>18</v>
      </c>
      <c r="G16" s="10" t="s">
        <v>17</v>
      </c>
      <c r="H16" s="10"/>
      <c r="I16" s="8" t="s">
        <v>29</v>
      </c>
    </row>
    <row r="17" spans="1:9" ht="82.5" customHeight="1">
      <c r="A17" s="44"/>
      <c r="B17" s="45"/>
      <c r="C17" s="45"/>
      <c r="D17" s="45"/>
      <c r="E17" s="46"/>
      <c r="F17" s="47"/>
      <c r="G17" s="22"/>
      <c r="H17" s="22"/>
      <c r="I17" s="15"/>
    </row>
    <row r="18" spans="1:9" ht="70.5" customHeight="1">
      <c r="A18" s="44"/>
      <c r="B18" s="45"/>
      <c r="C18" s="45"/>
      <c r="D18" s="45"/>
      <c r="E18" s="46"/>
      <c r="F18" s="47"/>
      <c r="G18" s="22"/>
      <c r="H18" s="22"/>
      <c r="I18" s="15" t="s">
        <v>30</v>
      </c>
    </row>
    <row r="19" spans="1:9" ht="30.75" customHeight="1">
      <c r="A19" s="12" t="s">
        <v>20</v>
      </c>
      <c r="B19" s="8" t="s">
        <v>14</v>
      </c>
      <c r="C19" s="8" t="s">
        <v>15</v>
      </c>
      <c r="D19" s="8" t="s">
        <v>16</v>
      </c>
      <c r="E19" s="13" t="s">
        <v>19</v>
      </c>
      <c r="F19" s="9" t="s">
        <v>18</v>
      </c>
      <c r="G19" s="10" t="s">
        <v>17</v>
      </c>
      <c r="H19" s="10"/>
      <c r="I19" s="8" t="s">
        <v>29</v>
      </c>
    </row>
    <row r="20" spans="1:9" ht="75" customHeight="1">
      <c r="A20" s="18"/>
      <c r="B20" s="19"/>
      <c r="C20" s="19"/>
      <c r="D20" s="19"/>
      <c r="E20" s="20"/>
      <c r="F20" s="21"/>
      <c r="G20" s="22"/>
      <c r="H20" s="22"/>
      <c r="I20" s="15"/>
    </row>
    <row r="21" spans="1:9" ht="70.5" customHeight="1">
      <c r="A21" s="36"/>
      <c r="B21" s="15"/>
      <c r="C21" s="15"/>
      <c r="D21" s="15"/>
      <c r="E21" s="37"/>
      <c r="F21" s="38"/>
      <c r="G21" s="22"/>
      <c r="H21" s="22"/>
      <c r="I21" s="15" t="s">
        <v>30</v>
      </c>
    </row>
    <row r="22" spans="1:9" ht="93.75" customHeight="1">
      <c r="A22" s="18"/>
      <c r="B22" s="19"/>
      <c r="C22" s="19"/>
      <c r="D22" s="19"/>
      <c r="E22" s="20"/>
      <c r="F22" s="21"/>
      <c r="G22" s="22"/>
      <c r="H22" s="22"/>
      <c r="I22" s="15"/>
    </row>
    <row r="23" spans="1:9" ht="28.5" customHeight="1">
      <c r="A23" s="12" t="s">
        <v>20</v>
      </c>
      <c r="B23" s="8" t="s">
        <v>14</v>
      </c>
      <c r="C23" s="8" t="s">
        <v>15</v>
      </c>
      <c r="D23" s="8" t="s">
        <v>16</v>
      </c>
      <c r="E23" s="13" t="s">
        <v>19</v>
      </c>
      <c r="F23" s="9" t="s">
        <v>18</v>
      </c>
      <c r="G23" s="10" t="s">
        <v>17</v>
      </c>
      <c r="H23" s="10"/>
      <c r="I23" s="8" t="s">
        <v>29</v>
      </c>
    </row>
    <row r="24" spans="1:9" ht="117.75" customHeight="1">
      <c r="A24" s="18"/>
      <c r="B24" s="19"/>
      <c r="C24" s="19"/>
      <c r="D24" s="19"/>
      <c r="E24" s="20"/>
      <c r="F24" s="21"/>
      <c r="G24" s="22"/>
      <c r="H24" s="22"/>
      <c r="I24" s="15"/>
    </row>
    <row r="25" spans="1:9" ht="123" customHeight="1">
      <c r="A25" s="18"/>
      <c r="B25" s="19"/>
      <c r="C25" s="19"/>
      <c r="D25" s="19"/>
      <c r="E25" s="20"/>
      <c r="F25" s="21"/>
      <c r="G25" s="22"/>
      <c r="H25" s="22"/>
      <c r="I25" s="15"/>
    </row>
    <row r="26" spans="1:9" ht="80.25" customHeight="1">
      <c r="A26" s="18"/>
      <c r="B26" s="19"/>
      <c r="C26" s="19"/>
      <c r="D26" s="19"/>
      <c r="E26" s="20"/>
      <c r="F26" s="21"/>
      <c r="G26" s="22"/>
      <c r="H26" s="22"/>
      <c r="I26" s="15"/>
    </row>
    <row r="27" spans="1:9" ht="27" customHeight="1">
      <c r="A27" s="12" t="s">
        <v>20</v>
      </c>
      <c r="B27" s="8" t="s">
        <v>14</v>
      </c>
      <c r="C27" s="8" t="s">
        <v>15</v>
      </c>
      <c r="D27" s="8" t="s">
        <v>16</v>
      </c>
      <c r="E27" s="13" t="s">
        <v>19</v>
      </c>
      <c r="F27" s="9" t="s">
        <v>18</v>
      </c>
      <c r="G27" s="10" t="s">
        <v>17</v>
      </c>
      <c r="H27" s="10"/>
      <c r="I27" s="8" t="s">
        <v>29</v>
      </c>
    </row>
    <row r="28" spans="1:9" ht="75" customHeight="1">
      <c r="A28" s="18"/>
      <c r="B28" s="19"/>
      <c r="C28" s="19"/>
      <c r="D28" s="19"/>
      <c r="E28" s="20"/>
      <c r="F28" s="41"/>
      <c r="G28" s="22"/>
      <c r="H28" s="22"/>
      <c r="I28" s="15"/>
    </row>
    <row r="29" spans="1:9" ht="75" customHeight="1">
      <c r="A29" s="18"/>
      <c r="B29" s="19"/>
      <c r="C29" s="19"/>
      <c r="D29" s="19"/>
      <c r="E29" s="20"/>
      <c r="F29" s="41"/>
      <c r="G29" s="22"/>
      <c r="H29" s="22"/>
      <c r="I29" s="15"/>
    </row>
    <row r="30" spans="1:9" ht="100.5" customHeight="1">
      <c r="A30" s="18"/>
      <c r="B30" s="19"/>
      <c r="C30" s="19"/>
      <c r="D30" s="19"/>
      <c r="E30" s="20"/>
      <c r="F30" s="21"/>
      <c r="G30" s="22"/>
      <c r="H30" s="22"/>
      <c r="I30" s="15"/>
    </row>
    <row r="31" spans="1:9" ht="117" customHeight="1">
      <c r="A31" s="18"/>
      <c r="B31" s="19"/>
      <c r="C31" s="19"/>
      <c r="D31" s="19"/>
      <c r="E31" s="20"/>
      <c r="F31" s="21"/>
      <c r="G31" s="22"/>
      <c r="H31" s="22"/>
      <c r="I31" s="15"/>
    </row>
    <row r="32" spans="1:9" ht="26.25" customHeight="1">
      <c r="A32" s="12" t="s">
        <v>20</v>
      </c>
      <c r="B32" s="8" t="s">
        <v>14</v>
      </c>
      <c r="C32" s="8" t="s">
        <v>15</v>
      </c>
      <c r="D32" s="8" t="s">
        <v>16</v>
      </c>
      <c r="E32" s="13" t="s">
        <v>19</v>
      </c>
      <c r="F32" s="9" t="s">
        <v>18</v>
      </c>
      <c r="G32" s="10" t="s">
        <v>17</v>
      </c>
      <c r="H32" s="10"/>
      <c r="I32" s="8" t="s">
        <v>29</v>
      </c>
    </row>
    <row r="33" spans="1:9" ht="84.75" customHeight="1">
      <c r="A33" s="18"/>
      <c r="B33" s="19"/>
      <c r="C33" s="19"/>
      <c r="D33" s="19"/>
      <c r="E33" s="20"/>
      <c r="F33" s="21"/>
      <c r="G33" s="22"/>
      <c r="H33" s="22"/>
      <c r="I33" s="15"/>
    </row>
    <row r="34" spans="1:9" ht="75" customHeight="1">
      <c r="A34" s="18"/>
      <c r="B34" s="19"/>
      <c r="C34" s="19"/>
      <c r="D34" s="19"/>
      <c r="E34" s="20"/>
      <c r="F34" s="21"/>
      <c r="G34" s="22"/>
      <c r="H34" s="22"/>
      <c r="I34" s="15"/>
    </row>
    <row r="35" spans="1:9" ht="75" customHeight="1">
      <c r="A35" s="18"/>
      <c r="B35" s="19"/>
      <c r="C35" s="19"/>
      <c r="D35" s="19"/>
      <c r="E35" s="20"/>
      <c r="F35" s="21"/>
      <c r="G35" s="22"/>
      <c r="H35" s="22"/>
      <c r="I35" s="15"/>
    </row>
    <row r="36" spans="1:9" ht="89.25" customHeight="1">
      <c r="A36" s="18"/>
      <c r="B36" s="19"/>
      <c r="C36" s="19"/>
      <c r="D36" s="19"/>
      <c r="E36" s="20"/>
      <c r="F36" s="21"/>
      <c r="G36" s="22"/>
      <c r="H36" s="22"/>
      <c r="I36" s="15"/>
    </row>
    <row r="37" spans="1:9" ht="113.25" customHeight="1">
      <c r="A37" s="18"/>
      <c r="B37" s="19"/>
      <c r="C37" s="19"/>
      <c r="D37" s="19"/>
      <c r="E37" s="20"/>
      <c r="F37" s="21"/>
      <c r="G37" s="22"/>
      <c r="H37" s="22"/>
      <c r="I37" s="15"/>
    </row>
  </sheetData>
  <phoneticPr fontId="17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tabColor rgb="FFFF0000"/>
  </sheetPr>
  <dimension ref="B1:AD48"/>
  <sheetViews>
    <sheetView zoomScale="85" zoomScaleNormal="85" workbookViewId="0">
      <selection activeCell="B2" sqref="B2:Y6"/>
    </sheetView>
  </sheetViews>
  <sheetFormatPr defaultColWidth="6" defaultRowHeight="12.75"/>
  <cols>
    <col min="1" max="1" width="6" style="1"/>
    <col min="2" max="2" width="23.625" style="1" customWidth="1"/>
    <col min="3" max="7" width="6.125" style="1" bestFit="1" customWidth="1"/>
    <col min="8" max="8" width="8.625" style="1" customWidth="1"/>
    <col min="9" max="10" width="7.375" style="1" customWidth="1"/>
    <col min="11" max="12" width="7.375" style="1" bestFit="1" customWidth="1"/>
    <col min="13" max="13" width="8.625" style="1" customWidth="1"/>
    <col min="14" max="18" width="8.125" style="1" customWidth="1"/>
    <col min="19" max="25" width="8.125" style="1" bestFit="1" customWidth="1"/>
    <col min="26" max="16384" width="6" style="1"/>
  </cols>
  <sheetData>
    <row r="1" spans="2:25" ht="13.5" thickBot="1"/>
    <row r="2" spans="2:25" ht="28.5" customHeight="1">
      <c r="B2" s="98" t="s">
        <v>0</v>
      </c>
      <c r="C2" s="99" t="s">
        <v>155</v>
      </c>
      <c r="D2" s="99" t="s">
        <v>154</v>
      </c>
      <c r="E2" s="99" t="s">
        <v>152</v>
      </c>
      <c r="F2" s="99" t="s">
        <v>366</v>
      </c>
      <c r="G2" s="99" t="s">
        <v>368</v>
      </c>
      <c r="H2" s="99"/>
      <c r="I2" s="99" t="s">
        <v>25</v>
      </c>
      <c r="J2" s="99" t="s">
        <v>26</v>
      </c>
      <c r="K2" s="99" t="s">
        <v>27</v>
      </c>
      <c r="L2" s="99" t="s">
        <v>28</v>
      </c>
      <c r="M2" s="99"/>
      <c r="N2" s="99" t="s">
        <v>1</v>
      </c>
      <c r="O2" s="99" t="s">
        <v>2</v>
      </c>
      <c r="P2" s="99" t="s">
        <v>3</v>
      </c>
      <c r="Q2" s="99" t="s">
        <v>4</v>
      </c>
      <c r="R2" s="99" t="s">
        <v>5</v>
      </c>
      <c r="S2" s="99" t="s">
        <v>6</v>
      </c>
      <c r="T2" s="99" t="s">
        <v>7</v>
      </c>
      <c r="U2" s="99" t="s">
        <v>8</v>
      </c>
      <c r="V2" s="99" t="s">
        <v>9</v>
      </c>
      <c r="W2" s="99" t="s">
        <v>10</v>
      </c>
      <c r="X2" s="99" t="s">
        <v>11</v>
      </c>
      <c r="Y2" s="100" t="s">
        <v>12</v>
      </c>
    </row>
    <row r="3" spans="2:25" ht="18.75" customHeight="1">
      <c r="B3" s="101" t="s">
        <v>74</v>
      </c>
      <c r="C3" s="102">
        <v>12</v>
      </c>
      <c r="D3" s="102">
        <v>9</v>
      </c>
      <c r="E3" s="102">
        <v>3</v>
      </c>
      <c r="F3" s="102">
        <v>1</v>
      </c>
      <c r="G3" s="102">
        <f>SUM(I3:L3)</f>
        <v>0</v>
      </c>
      <c r="H3" s="103"/>
      <c r="I3" s="103">
        <f>SUM(N3:P3)</f>
        <v>0</v>
      </c>
      <c r="J3" s="103">
        <f>SUM(Q3:S3)</f>
        <v>0</v>
      </c>
      <c r="K3" s="103">
        <f>SUM(T3:V3)</f>
        <v>0</v>
      </c>
      <c r="L3" s="103">
        <f>SUM(W3:Y3)</f>
        <v>0</v>
      </c>
      <c r="M3" s="103"/>
      <c r="N3" s="103">
        <v>0</v>
      </c>
      <c r="O3" s="103">
        <v>0</v>
      </c>
      <c r="P3" s="103">
        <v>0</v>
      </c>
      <c r="Q3" s="103">
        <v>0</v>
      </c>
      <c r="R3" s="103">
        <v>0</v>
      </c>
      <c r="S3" s="103">
        <v>0</v>
      </c>
      <c r="T3" s="103">
        <v>0</v>
      </c>
      <c r="U3" s="103">
        <v>0</v>
      </c>
      <c r="V3" s="103">
        <v>0</v>
      </c>
      <c r="W3" s="103">
        <v>0</v>
      </c>
      <c r="X3" s="103" t="s">
        <v>367</v>
      </c>
      <c r="Y3" s="104" t="s">
        <v>367</v>
      </c>
    </row>
    <row r="4" spans="2:25" ht="18.75" customHeight="1">
      <c r="B4" s="101" t="s">
        <v>73</v>
      </c>
      <c r="C4" s="102">
        <v>7315</v>
      </c>
      <c r="D4" s="105">
        <v>7476</v>
      </c>
      <c r="E4" s="102">
        <v>6952</v>
      </c>
      <c r="F4" s="102">
        <v>5248</v>
      </c>
      <c r="G4" s="102">
        <f>SUM(N4:Y4)</f>
        <v>5020</v>
      </c>
      <c r="H4" s="103"/>
      <c r="I4" s="103">
        <f>SUM(N4:P4)</f>
        <v>1523</v>
      </c>
      <c r="J4" s="103">
        <f>SUM(Q4:S4)</f>
        <v>1623</v>
      </c>
      <c r="K4" s="103">
        <f>SUM(T4:V4)</f>
        <v>1395</v>
      </c>
      <c r="L4" s="103">
        <f>SUM(W4:Y4)</f>
        <v>479</v>
      </c>
      <c r="M4" s="103"/>
      <c r="N4" s="103">
        <v>486</v>
      </c>
      <c r="O4" s="103">
        <v>475</v>
      </c>
      <c r="P4" s="103">
        <v>562</v>
      </c>
      <c r="Q4" s="103">
        <v>552</v>
      </c>
      <c r="R4" s="103">
        <v>629</v>
      </c>
      <c r="S4" s="103">
        <v>442</v>
      </c>
      <c r="T4" s="103">
        <v>438</v>
      </c>
      <c r="U4" s="103">
        <v>522</v>
      </c>
      <c r="V4" s="103">
        <v>435</v>
      </c>
      <c r="W4" s="103">
        <v>479</v>
      </c>
      <c r="X4" s="103" t="s">
        <v>367</v>
      </c>
      <c r="Y4" s="104" t="s">
        <v>367</v>
      </c>
    </row>
    <row r="5" spans="2:25" ht="18.75" customHeight="1">
      <c r="B5" s="101" t="s">
        <v>72</v>
      </c>
      <c r="C5" s="106">
        <f t="shared" ref="C5:E5" si="0">C3/C4</f>
        <v>1.6404647983595353E-3</v>
      </c>
      <c r="D5" s="106">
        <f t="shared" si="0"/>
        <v>1.203852327447833E-3</v>
      </c>
      <c r="E5" s="106">
        <f t="shared" si="0"/>
        <v>4.3153049482163404E-4</v>
      </c>
      <c r="F5" s="106">
        <f>F3/F4</f>
        <v>1.9054878048780488E-4</v>
      </c>
      <c r="G5" s="106">
        <f>G3/G4</f>
        <v>0</v>
      </c>
      <c r="H5" s="103"/>
      <c r="I5" s="106">
        <f>AVERAGE(N3:P3)/I4</f>
        <v>0</v>
      </c>
      <c r="J5" s="106">
        <f>AVERAGE(Q3:S3)/J4</f>
        <v>0</v>
      </c>
      <c r="K5" s="106">
        <f>AVERAGE(T3:V3)/K4</f>
        <v>0</v>
      </c>
      <c r="L5" s="106">
        <f>AVERAGE(W3:Y3)/L4</f>
        <v>0</v>
      </c>
      <c r="M5" s="103"/>
      <c r="N5" s="106">
        <f>N3/N4</f>
        <v>0</v>
      </c>
      <c r="O5" s="106">
        <f t="shared" ref="O5:Y5" si="1">O3/O4</f>
        <v>0</v>
      </c>
      <c r="P5" s="106">
        <f t="shared" si="1"/>
        <v>0</v>
      </c>
      <c r="Q5" s="106">
        <f t="shared" si="1"/>
        <v>0</v>
      </c>
      <c r="R5" s="106">
        <f t="shared" si="1"/>
        <v>0</v>
      </c>
      <c r="S5" s="106">
        <f t="shared" si="1"/>
        <v>0</v>
      </c>
      <c r="T5" s="106">
        <f t="shared" si="1"/>
        <v>0</v>
      </c>
      <c r="U5" s="106">
        <f t="shared" si="1"/>
        <v>0</v>
      </c>
      <c r="V5" s="106">
        <f t="shared" si="1"/>
        <v>0</v>
      </c>
      <c r="W5" s="106">
        <f t="shared" si="1"/>
        <v>0</v>
      </c>
      <c r="X5" s="106" t="e">
        <f t="shared" si="1"/>
        <v>#VALUE!</v>
      </c>
      <c r="Y5" s="107" t="e">
        <f t="shared" si="1"/>
        <v>#VALUE!</v>
      </c>
    </row>
    <row r="6" spans="2:25" ht="21.75" customHeight="1" thickBot="1">
      <c r="B6" s="108" t="s">
        <v>13</v>
      </c>
      <c r="C6" s="109">
        <v>4.0000000000000001E-3</v>
      </c>
      <c r="D6" s="109">
        <v>4.0000000000000001E-3</v>
      </c>
      <c r="E6" s="109">
        <v>4.0000000000000001E-3</v>
      </c>
      <c r="F6" s="109">
        <v>4.0000000000000001E-3</v>
      </c>
      <c r="G6" s="109">
        <v>4.0000000000000001E-3</v>
      </c>
      <c r="H6" s="109"/>
      <c r="I6" s="110">
        <v>4.0000000000000001E-3</v>
      </c>
      <c r="J6" s="110">
        <v>4.0000000000000001E-3</v>
      </c>
      <c r="K6" s="110">
        <v>4.0000000000000001E-3</v>
      </c>
      <c r="L6" s="110">
        <v>4.0000000000000001E-3</v>
      </c>
      <c r="M6" s="110"/>
      <c r="N6" s="110">
        <v>4.0000000000000001E-3</v>
      </c>
      <c r="O6" s="110">
        <v>4.0000000000000001E-3</v>
      </c>
      <c r="P6" s="110">
        <v>4.0000000000000001E-3</v>
      </c>
      <c r="Q6" s="110">
        <v>4.0000000000000001E-3</v>
      </c>
      <c r="R6" s="110">
        <v>4.0000000000000001E-3</v>
      </c>
      <c r="S6" s="110">
        <v>4.0000000000000001E-3</v>
      </c>
      <c r="T6" s="110">
        <v>4.0000000000000001E-3</v>
      </c>
      <c r="U6" s="110">
        <v>4.0000000000000001E-3</v>
      </c>
      <c r="V6" s="110">
        <v>4.0000000000000001E-3</v>
      </c>
      <c r="W6" s="110">
        <v>4.0000000000000001E-3</v>
      </c>
      <c r="X6" s="110">
        <v>4.0000000000000001E-3</v>
      </c>
      <c r="Y6" s="111">
        <v>4.0000000000000001E-3</v>
      </c>
    </row>
    <row r="8" spans="2:25" ht="15.75">
      <c r="Q8"/>
      <c r="R8"/>
      <c r="S8"/>
    </row>
    <row r="10" spans="2:25" ht="15.75">
      <c r="B10"/>
      <c r="C10"/>
      <c r="D10"/>
    </row>
    <row r="11" spans="2:25" ht="15.75">
      <c r="B11"/>
      <c r="C11"/>
      <c r="D11"/>
    </row>
    <row r="12" spans="2:25" ht="15.75">
      <c r="B12"/>
      <c r="C12"/>
      <c r="D12"/>
    </row>
    <row r="13" spans="2:25" ht="15.75">
      <c r="B13"/>
      <c r="C13"/>
      <c r="D13"/>
    </row>
    <row r="14" spans="2:25" ht="15.75">
      <c r="B14"/>
      <c r="C14"/>
      <c r="D14"/>
    </row>
    <row r="17" spans="26:30" ht="15.75">
      <c r="Z17"/>
      <c r="AA17"/>
      <c r="AB17"/>
      <c r="AC17"/>
      <c r="AD17"/>
    </row>
    <row r="18" spans="26:30" ht="15.75">
      <c r="Z18"/>
      <c r="AA18"/>
      <c r="AB18"/>
      <c r="AC18"/>
      <c r="AD18"/>
    </row>
    <row r="19" spans="26:30" ht="15.75">
      <c r="Z19"/>
      <c r="AA19"/>
      <c r="AB19"/>
      <c r="AC19"/>
      <c r="AD19"/>
    </row>
    <row r="20" spans="26:30" ht="15.75">
      <c r="Z20"/>
      <c r="AA20"/>
      <c r="AB20"/>
      <c r="AC20"/>
      <c r="AD20"/>
    </row>
    <row r="21" spans="26:30" ht="15.75">
      <c r="Z21"/>
      <c r="AA21"/>
      <c r="AB21"/>
      <c r="AC21"/>
      <c r="AD21"/>
    </row>
    <row r="22" spans="26:30" ht="15.75">
      <c r="Z22"/>
      <c r="AA22"/>
      <c r="AB22"/>
      <c r="AC22"/>
      <c r="AD22"/>
    </row>
    <row r="23" spans="26:30" ht="15.75">
      <c r="Z23"/>
      <c r="AA23"/>
      <c r="AB23"/>
      <c r="AC23"/>
      <c r="AD23"/>
    </row>
    <row r="24" spans="26:30" ht="15.75">
      <c r="Z24"/>
      <c r="AA24"/>
      <c r="AB24"/>
      <c r="AC24"/>
      <c r="AD24"/>
    </row>
    <row r="25" spans="26:30" ht="15.75">
      <c r="Z25"/>
      <c r="AA25"/>
      <c r="AB25"/>
      <c r="AC25"/>
      <c r="AD25"/>
    </row>
    <row r="26" spans="26:30" ht="15.75">
      <c r="Z26"/>
      <c r="AA26"/>
      <c r="AB26"/>
      <c r="AC26"/>
      <c r="AD26"/>
    </row>
    <row r="27" spans="26:30" ht="15.75">
      <c r="Z27"/>
      <c r="AA27"/>
      <c r="AB27"/>
      <c r="AC27"/>
      <c r="AD27"/>
    </row>
    <row r="28" spans="26:30" ht="15.75">
      <c r="Z28"/>
      <c r="AA28"/>
      <c r="AB28"/>
      <c r="AC28"/>
      <c r="AD28"/>
    </row>
    <row r="29" spans="26:30" ht="15.75">
      <c r="Z29"/>
      <c r="AA29"/>
      <c r="AB29"/>
      <c r="AC29"/>
      <c r="AD29"/>
    </row>
    <row r="30" spans="26:30" ht="15.75">
      <c r="Z30"/>
      <c r="AA30"/>
      <c r="AB30"/>
      <c r="AC30"/>
      <c r="AD30"/>
    </row>
    <row r="31" spans="26:30" ht="15.75">
      <c r="Z31"/>
      <c r="AA31"/>
      <c r="AB31"/>
      <c r="AC31"/>
      <c r="AD31"/>
    </row>
    <row r="32" spans="26:30" ht="15.75">
      <c r="Z32"/>
      <c r="AA32"/>
      <c r="AB32"/>
      <c r="AC32"/>
      <c r="AD32"/>
    </row>
    <row r="33" spans="25:30" ht="15.75">
      <c r="Z33"/>
      <c r="AA33"/>
      <c r="AB33"/>
      <c r="AC33"/>
      <c r="AD33"/>
    </row>
    <row r="34" spans="25:30" ht="15.75">
      <c r="Z34"/>
      <c r="AA34"/>
      <c r="AB34"/>
      <c r="AC34"/>
      <c r="AD34"/>
    </row>
    <row r="35" spans="25:30" ht="15.75">
      <c r="Z35"/>
      <c r="AA35"/>
      <c r="AB35"/>
      <c r="AC35"/>
      <c r="AD35"/>
    </row>
    <row r="36" spans="25:30" ht="15.75">
      <c r="Z36"/>
      <c r="AA36"/>
      <c r="AB36"/>
      <c r="AC36"/>
      <c r="AD36"/>
    </row>
    <row r="48" spans="25:30">
      <c r="Y48" s="1" t="s">
        <v>369</v>
      </c>
    </row>
  </sheetData>
  <phoneticPr fontId="21" type="noConversion"/>
  <pageMargins left="0.7" right="0.7" top="0.75" bottom="0.75" header="0.3" footer="0.3"/>
  <pageSetup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tabColor rgb="FFFF0000"/>
  </sheetPr>
  <dimension ref="A1:J34"/>
  <sheetViews>
    <sheetView zoomScale="80" zoomScaleNormal="80" workbookViewId="0">
      <pane ySplit="1" topLeftCell="A2" activePane="bottomLeft" state="frozen"/>
      <selection pane="bottomLeft"/>
    </sheetView>
  </sheetViews>
  <sheetFormatPr defaultRowHeight="70.5" customHeight="1"/>
  <cols>
    <col min="1" max="1" width="7.125" style="11" bestFit="1" customWidth="1"/>
    <col min="2" max="2" width="6" style="6" customWidth="1"/>
    <col min="3" max="3" width="7.625" style="6" bestFit="1" customWidth="1"/>
    <col min="4" max="4" width="9.125" style="6" bestFit="1" customWidth="1"/>
    <col min="5" max="5" width="59" style="14" customWidth="1"/>
    <col min="6" max="6" width="32.75" style="5" customWidth="1"/>
    <col min="7" max="7" width="75.625" style="7" customWidth="1"/>
    <col min="8" max="8" width="0.125" style="7" customWidth="1"/>
    <col min="9" max="9" width="13.625" style="7" bestFit="1" customWidth="1"/>
    <col min="10" max="10" width="12.5" style="6" customWidth="1"/>
    <col min="11" max="16384" width="9" style="6"/>
  </cols>
  <sheetData>
    <row r="1" spans="1:10" ht="42" customHeight="1">
      <c r="A1" s="12" t="s">
        <v>20</v>
      </c>
      <c r="B1" s="8" t="s">
        <v>14</v>
      </c>
      <c r="C1" s="8" t="s">
        <v>15</v>
      </c>
      <c r="D1" s="8" t="s">
        <v>16</v>
      </c>
      <c r="E1" s="13" t="s">
        <v>19</v>
      </c>
      <c r="F1" s="9" t="s">
        <v>18</v>
      </c>
      <c r="G1" s="10" t="s">
        <v>158</v>
      </c>
      <c r="H1" s="10" t="s">
        <v>158</v>
      </c>
      <c r="I1" s="10" t="s">
        <v>47</v>
      </c>
      <c r="J1" s="8" t="s">
        <v>29</v>
      </c>
    </row>
    <row r="2" spans="1:10" ht="235.5" customHeight="1">
      <c r="A2" s="55">
        <v>45535</v>
      </c>
      <c r="B2" s="56" t="s">
        <v>3445</v>
      </c>
      <c r="C2" s="56" t="s">
        <v>3446</v>
      </c>
      <c r="D2" s="56">
        <v>194</v>
      </c>
      <c r="E2" s="84" t="s">
        <v>3448</v>
      </c>
      <c r="F2" s="60" t="s">
        <v>3449</v>
      </c>
      <c r="G2" s="57"/>
      <c r="H2" s="57"/>
      <c r="I2" s="85" t="s">
        <v>3447</v>
      </c>
      <c r="J2" s="54"/>
    </row>
    <row r="3" spans="1:10" s="58" customFormat="1" ht="61.5" customHeight="1">
      <c r="A3" s="12" t="s">
        <v>20</v>
      </c>
      <c r="B3" s="8" t="s">
        <v>14</v>
      </c>
      <c r="C3" s="8" t="s">
        <v>15</v>
      </c>
      <c r="D3" s="8" t="s">
        <v>16</v>
      </c>
      <c r="E3" s="13" t="s">
        <v>19</v>
      </c>
      <c r="F3" s="9" t="s">
        <v>18</v>
      </c>
      <c r="G3" s="10" t="s">
        <v>158</v>
      </c>
      <c r="H3" s="10" t="s">
        <v>158</v>
      </c>
      <c r="I3" s="10" t="s">
        <v>47</v>
      </c>
      <c r="J3" s="8" t="s">
        <v>29</v>
      </c>
    </row>
    <row r="4" spans="1:10" ht="118.5" customHeight="1">
      <c r="A4" s="55">
        <v>45290</v>
      </c>
      <c r="B4" s="56" t="s">
        <v>344</v>
      </c>
      <c r="C4" s="56" t="s">
        <v>52</v>
      </c>
      <c r="D4" s="56">
        <v>134</v>
      </c>
      <c r="E4" s="84" t="s">
        <v>345</v>
      </c>
      <c r="F4" s="60" t="s">
        <v>346</v>
      </c>
      <c r="G4" s="57"/>
      <c r="H4" s="57" t="s">
        <v>342</v>
      </c>
      <c r="I4" s="62" t="s">
        <v>139</v>
      </c>
      <c r="J4" s="54"/>
    </row>
    <row r="5" spans="1:10" s="58" customFormat="1" ht="24" customHeight="1">
      <c r="A5" s="55"/>
      <c r="B5" s="56"/>
      <c r="C5" s="56"/>
      <c r="D5" s="56"/>
      <c r="E5" s="84"/>
      <c r="F5" s="60"/>
      <c r="G5" s="57"/>
      <c r="H5" s="57"/>
      <c r="I5" s="85"/>
      <c r="J5" s="54"/>
    </row>
    <row r="6" spans="1:10" s="58" customFormat="1" ht="80.25" customHeight="1">
      <c r="A6" s="12" t="s">
        <v>20</v>
      </c>
      <c r="B6" s="8" t="s">
        <v>14</v>
      </c>
      <c r="C6" s="8" t="s">
        <v>15</v>
      </c>
      <c r="D6" s="8" t="s">
        <v>16</v>
      </c>
      <c r="E6" s="13" t="s">
        <v>19</v>
      </c>
      <c r="F6" s="9" t="s">
        <v>18</v>
      </c>
      <c r="G6" s="10" t="s">
        <v>157</v>
      </c>
      <c r="H6" s="10" t="s">
        <v>158</v>
      </c>
      <c r="I6" s="10" t="s">
        <v>47</v>
      </c>
      <c r="J6" s="8" t="s">
        <v>29</v>
      </c>
    </row>
    <row r="7" spans="1:10" ht="33" customHeight="1">
      <c r="A7" s="55">
        <v>44847</v>
      </c>
      <c r="B7" s="56" t="s">
        <v>156</v>
      </c>
      <c r="C7" s="56" t="s">
        <v>52</v>
      </c>
      <c r="D7" s="56">
        <v>291</v>
      </c>
      <c r="E7" s="84" t="s">
        <v>341</v>
      </c>
      <c r="F7" s="60" t="s">
        <v>343</v>
      </c>
      <c r="G7" s="57"/>
      <c r="H7" s="57" t="s">
        <v>342</v>
      </c>
      <c r="I7" s="62" t="s">
        <v>139</v>
      </c>
      <c r="J7" s="54"/>
    </row>
    <row r="8" spans="1:10" ht="15.75"/>
    <row r="9" spans="1:10" ht="29.25" customHeight="1">
      <c r="A9" s="12" t="s">
        <v>20</v>
      </c>
      <c r="B9" s="8" t="s">
        <v>14</v>
      </c>
      <c r="C9" s="8" t="s">
        <v>15</v>
      </c>
      <c r="D9" s="8" t="s">
        <v>16</v>
      </c>
      <c r="E9" s="13" t="s">
        <v>19</v>
      </c>
      <c r="F9" s="9" t="s">
        <v>18</v>
      </c>
      <c r="G9" s="10" t="s">
        <v>157</v>
      </c>
      <c r="H9" s="10" t="s">
        <v>158</v>
      </c>
      <c r="I9" s="10" t="s">
        <v>47</v>
      </c>
      <c r="J9" s="8" t="s">
        <v>29</v>
      </c>
    </row>
    <row r="10" spans="1:10" ht="110.25">
      <c r="A10" s="55">
        <v>44703</v>
      </c>
      <c r="B10" s="56" t="s">
        <v>156</v>
      </c>
      <c r="C10" s="56" t="s">
        <v>52</v>
      </c>
      <c r="D10" s="56">
        <v>104</v>
      </c>
      <c r="E10" s="60" t="s">
        <v>160</v>
      </c>
      <c r="F10" s="60" t="s">
        <v>159</v>
      </c>
      <c r="G10" s="57"/>
      <c r="H10" s="57"/>
      <c r="I10" s="62" t="s">
        <v>139</v>
      </c>
      <c r="J10" s="54"/>
    </row>
    <row r="11" spans="1:10" ht="15.75">
      <c r="A11" s="12" t="s">
        <v>20</v>
      </c>
      <c r="B11" s="8" t="s">
        <v>14</v>
      </c>
      <c r="C11" s="8" t="s">
        <v>15</v>
      </c>
      <c r="D11" s="8" t="s">
        <v>16</v>
      </c>
      <c r="E11" s="13" t="s">
        <v>19</v>
      </c>
      <c r="F11" s="9" t="s">
        <v>18</v>
      </c>
      <c r="G11" s="10" t="s">
        <v>17</v>
      </c>
      <c r="H11" s="10"/>
      <c r="I11" s="10" t="s">
        <v>79</v>
      </c>
      <c r="J11" s="8" t="s">
        <v>29</v>
      </c>
    </row>
    <row r="12" spans="1:10" ht="30.75" customHeight="1">
      <c r="A12" s="55">
        <v>43872</v>
      </c>
      <c r="B12" s="56" t="s">
        <v>93</v>
      </c>
      <c r="C12" s="56" t="s">
        <v>92</v>
      </c>
      <c r="D12" s="56">
        <v>386</v>
      </c>
      <c r="E12" s="60" t="s">
        <v>103</v>
      </c>
      <c r="F12" s="61" t="s">
        <v>102</v>
      </c>
      <c r="G12" s="59"/>
      <c r="H12" s="59"/>
      <c r="I12" s="62" t="s">
        <v>94</v>
      </c>
      <c r="J12" s="54" t="s">
        <v>100</v>
      </c>
    </row>
    <row r="13" spans="1:10" ht="63">
      <c r="A13" s="55">
        <v>43884</v>
      </c>
      <c r="B13" s="56" t="s">
        <v>90</v>
      </c>
      <c r="C13" s="56" t="s">
        <v>76</v>
      </c>
      <c r="D13" s="56">
        <v>55</v>
      </c>
      <c r="E13" s="60" t="s">
        <v>124</v>
      </c>
      <c r="F13" s="61" t="s">
        <v>91</v>
      </c>
      <c r="G13" s="59"/>
      <c r="H13" s="59"/>
      <c r="I13" s="62" t="s">
        <v>77</v>
      </c>
      <c r="J13" s="54" t="s">
        <v>78</v>
      </c>
    </row>
    <row r="14" spans="1:10" ht="28.5" customHeight="1">
      <c r="A14" s="12" t="s">
        <v>20</v>
      </c>
      <c r="B14" s="8" t="s">
        <v>14</v>
      </c>
      <c r="C14" s="8" t="s">
        <v>15</v>
      </c>
      <c r="D14" s="8" t="s">
        <v>16</v>
      </c>
      <c r="E14" s="13" t="s">
        <v>19</v>
      </c>
      <c r="F14" s="9" t="s">
        <v>18</v>
      </c>
      <c r="G14" s="10" t="s">
        <v>17</v>
      </c>
      <c r="H14" s="10"/>
      <c r="I14" s="10"/>
      <c r="J14" s="8" t="s">
        <v>29</v>
      </c>
    </row>
    <row r="15" spans="1:10" ht="126">
      <c r="A15" s="55">
        <v>43920</v>
      </c>
      <c r="B15" s="56" t="s">
        <v>96</v>
      </c>
      <c r="C15" s="56" t="s">
        <v>97</v>
      </c>
      <c r="D15" s="56">
        <v>264</v>
      </c>
      <c r="E15" s="60" t="s">
        <v>129</v>
      </c>
      <c r="F15" s="61" t="s">
        <v>101</v>
      </c>
      <c r="G15" s="22"/>
      <c r="H15" s="22"/>
      <c r="I15" s="62" t="s">
        <v>98</v>
      </c>
      <c r="J15" s="54" t="s">
        <v>99</v>
      </c>
    </row>
    <row r="16" spans="1:10" ht="58.15" customHeight="1">
      <c r="A16" s="12" t="s">
        <v>20</v>
      </c>
      <c r="B16" s="8" t="s">
        <v>14</v>
      </c>
      <c r="C16" s="8" t="s">
        <v>15</v>
      </c>
      <c r="D16" s="8" t="s">
        <v>16</v>
      </c>
      <c r="E16" s="13" t="s">
        <v>19</v>
      </c>
      <c r="F16" s="9" t="s">
        <v>18</v>
      </c>
      <c r="G16" s="10" t="s">
        <v>17</v>
      </c>
      <c r="H16" s="10"/>
      <c r="I16" s="10"/>
      <c r="J16" s="8" t="s">
        <v>29</v>
      </c>
    </row>
    <row r="17" spans="1:10" ht="27" customHeight="1">
      <c r="A17" s="55">
        <v>43929</v>
      </c>
      <c r="B17" s="56" t="s">
        <v>126</v>
      </c>
      <c r="C17" s="56" t="s">
        <v>127</v>
      </c>
      <c r="D17" s="56">
        <v>1686</v>
      </c>
      <c r="E17" s="60" t="s">
        <v>128</v>
      </c>
      <c r="F17" s="61" t="s">
        <v>131</v>
      </c>
      <c r="G17" s="22"/>
      <c r="H17" s="22"/>
      <c r="I17" s="62" t="s">
        <v>94</v>
      </c>
      <c r="J17" s="54"/>
    </row>
    <row r="18" spans="1:10" ht="60.6" customHeight="1">
      <c r="A18" s="44">
        <v>43939</v>
      </c>
      <c r="B18" s="56" t="s">
        <v>122</v>
      </c>
      <c r="C18" s="56" t="s">
        <v>123</v>
      </c>
      <c r="D18" s="56">
        <v>228</v>
      </c>
      <c r="E18" s="60" t="s">
        <v>133</v>
      </c>
      <c r="F18" s="61" t="s">
        <v>130</v>
      </c>
      <c r="G18" s="22"/>
      <c r="H18" s="22"/>
      <c r="I18" s="62" t="s">
        <v>125</v>
      </c>
      <c r="J18" s="54" t="s">
        <v>132</v>
      </c>
    </row>
    <row r="19" spans="1:10" ht="61.9" customHeight="1">
      <c r="A19" s="12" t="s">
        <v>20</v>
      </c>
      <c r="B19" s="8" t="s">
        <v>14</v>
      </c>
      <c r="C19" s="8" t="s">
        <v>15</v>
      </c>
      <c r="D19" s="8" t="s">
        <v>16</v>
      </c>
      <c r="E19" s="13" t="s">
        <v>19</v>
      </c>
      <c r="F19" s="9" t="s">
        <v>18</v>
      </c>
      <c r="G19" s="10" t="s">
        <v>17</v>
      </c>
      <c r="H19" s="10"/>
      <c r="I19" s="10"/>
      <c r="J19" s="8" t="s">
        <v>29</v>
      </c>
    </row>
    <row r="20" spans="1:10" ht="27" customHeight="1">
      <c r="A20" s="55">
        <v>43997</v>
      </c>
      <c r="B20" s="56" t="s">
        <v>134</v>
      </c>
      <c r="C20" s="56" t="s">
        <v>135</v>
      </c>
      <c r="D20" s="56">
        <v>48</v>
      </c>
      <c r="E20" s="60" t="s">
        <v>137</v>
      </c>
      <c r="F20" s="61" t="s">
        <v>136</v>
      </c>
      <c r="G20" s="22"/>
      <c r="H20" s="22"/>
      <c r="I20" s="62" t="s">
        <v>139</v>
      </c>
      <c r="J20" s="54" t="s">
        <v>138</v>
      </c>
    </row>
    <row r="21" spans="1:10" ht="15.75">
      <c r="A21" s="12" t="s">
        <v>20</v>
      </c>
      <c r="B21" s="8" t="s">
        <v>14</v>
      </c>
      <c r="C21" s="8" t="s">
        <v>15</v>
      </c>
      <c r="D21" s="8" t="s">
        <v>16</v>
      </c>
      <c r="E21" s="13" t="s">
        <v>19</v>
      </c>
      <c r="F21" s="9" t="s">
        <v>18</v>
      </c>
      <c r="G21" s="10" t="s">
        <v>17</v>
      </c>
      <c r="H21" s="10"/>
      <c r="I21" s="10"/>
      <c r="J21" s="8" t="s">
        <v>29</v>
      </c>
    </row>
    <row r="22" spans="1:10" ht="33" customHeight="1">
      <c r="A22" s="55">
        <v>44035</v>
      </c>
      <c r="B22" s="56" t="s">
        <v>134</v>
      </c>
      <c r="C22" s="56" t="s">
        <v>76</v>
      </c>
      <c r="D22" s="56">
        <v>58</v>
      </c>
      <c r="E22" s="60" t="s">
        <v>145</v>
      </c>
      <c r="F22" s="61" t="s">
        <v>141</v>
      </c>
      <c r="G22" s="22"/>
      <c r="H22" s="22"/>
      <c r="I22" s="62" t="s">
        <v>78</v>
      </c>
      <c r="J22" s="54"/>
    </row>
    <row r="23" spans="1:10" ht="31.5">
      <c r="A23" s="55">
        <v>44043</v>
      </c>
      <c r="B23" s="64" t="s">
        <v>140</v>
      </c>
      <c r="C23" s="64" t="s">
        <v>142</v>
      </c>
      <c r="D23" s="64">
        <v>240</v>
      </c>
      <c r="E23" s="60" t="s">
        <v>143</v>
      </c>
      <c r="F23" s="61" t="s">
        <v>144</v>
      </c>
      <c r="G23" s="64"/>
      <c r="H23" s="64"/>
      <c r="I23" s="62" t="s">
        <v>139</v>
      </c>
      <c r="J23" s="54" t="s">
        <v>146</v>
      </c>
    </row>
    <row r="24" spans="1:10" ht="27" customHeight="1">
      <c r="A24" s="12" t="s">
        <v>20</v>
      </c>
      <c r="B24" s="8" t="s">
        <v>14</v>
      </c>
      <c r="C24" s="8" t="s">
        <v>15</v>
      </c>
      <c r="D24" s="8" t="s">
        <v>16</v>
      </c>
      <c r="E24" s="13" t="s">
        <v>19</v>
      </c>
      <c r="F24" s="9" t="s">
        <v>18</v>
      </c>
      <c r="G24" s="10" t="s">
        <v>17</v>
      </c>
      <c r="H24" s="10"/>
      <c r="I24" s="10"/>
      <c r="J24" s="8" t="s">
        <v>29</v>
      </c>
    </row>
    <row r="25" spans="1:10" ht="31.5">
      <c r="A25" s="55">
        <v>44085</v>
      </c>
      <c r="B25" s="56" t="s">
        <v>90</v>
      </c>
      <c r="C25" s="56" t="s">
        <v>76</v>
      </c>
      <c r="D25" s="56">
        <v>228</v>
      </c>
      <c r="E25" s="60" t="s">
        <v>147</v>
      </c>
      <c r="F25" s="61" t="s">
        <v>150</v>
      </c>
      <c r="G25" s="22"/>
      <c r="H25" s="22"/>
      <c r="I25" s="62" t="s">
        <v>139</v>
      </c>
      <c r="J25" s="54"/>
    </row>
    <row r="26" spans="1:10" ht="47.25">
      <c r="A26" s="55">
        <v>44102</v>
      </c>
      <c r="B26" s="56" t="s">
        <v>93</v>
      </c>
      <c r="C26" s="56" t="s">
        <v>76</v>
      </c>
      <c r="D26" s="56">
        <v>256</v>
      </c>
      <c r="E26" s="60" t="s">
        <v>148</v>
      </c>
      <c r="F26" s="61" t="s">
        <v>149</v>
      </c>
      <c r="G26" s="59"/>
      <c r="H26" s="59"/>
      <c r="I26" s="62" t="s">
        <v>139</v>
      </c>
      <c r="J26" s="54"/>
    </row>
    <row r="27" spans="1:10" ht="15.75">
      <c r="A27" s="12" t="s">
        <v>20</v>
      </c>
      <c r="B27" s="8" t="s">
        <v>14</v>
      </c>
      <c r="C27" s="8" t="s">
        <v>15</v>
      </c>
      <c r="D27" s="8" t="s">
        <v>16</v>
      </c>
      <c r="E27" s="13" t="s">
        <v>19</v>
      </c>
      <c r="F27" s="9" t="s">
        <v>18</v>
      </c>
      <c r="G27" s="10" t="s">
        <v>17</v>
      </c>
      <c r="H27" s="10"/>
      <c r="I27" s="10"/>
      <c r="J27" s="8" t="s">
        <v>29</v>
      </c>
    </row>
    <row r="28" spans="1:10" ht="70.5" customHeight="1">
      <c r="A28" s="55"/>
      <c r="B28" s="56"/>
      <c r="C28" s="56"/>
      <c r="D28" s="56"/>
      <c r="E28" s="60"/>
      <c r="F28" s="61"/>
      <c r="G28" s="22"/>
      <c r="H28" s="22"/>
      <c r="I28" s="62"/>
      <c r="J28" s="54"/>
    </row>
    <row r="29" spans="1:10" ht="70.5" customHeight="1">
      <c r="A29" s="12" t="s">
        <v>20</v>
      </c>
      <c r="B29" s="8" t="s">
        <v>14</v>
      </c>
      <c r="C29" s="8" t="s">
        <v>15</v>
      </c>
      <c r="D29" s="8" t="s">
        <v>16</v>
      </c>
      <c r="E29" s="13" t="s">
        <v>19</v>
      </c>
      <c r="F29" s="9" t="s">
        <v>18</v>
      </c>
      <c r="G29" s="10" t="s">
        <v>17</v>
      </c>
      <c r="H29" s="10"/>
      <c r="I29" s="10" t="s">
        <v>47</v>
      </c>
      <c r="J29" s="8" t="s">
        <v>29</v>
      </c>
    </row>
    <row r="30" spans="1:10" ht="70.5" customHeight="1">
      <c r="A30" s="55"/>
      <c r="B30" s="56"/>
      <c r="C30" s="56"/>
      <c r="D30" s="56"/>
      <c r="E30" s="60"/>
      <c r="F30" s="64"/>
      <c r="G30" s="22"/>
      <c r="H30" s="22"/>
      <c r="I30" s="62"/>
      <c r="J30" s="54"/>
    </row>
    <row r="31" spans="1:10" ht="70.5" customHeight="1">
      <c r="A31" s="12" t="s">
        <v>20</v>
      </c>
      <c r="B31" s="8" t="s">
        <v>14</v>
      </c>
      <c r="C31" s="8" t="s">
        <v>15</v>
      </c>
      <c r="D31" s="8"/>
      <c r="E31" s="13" t="s">
        <v>19</v>
      </c>
      <c r="F31" s="9" t="s">
        <v>18</v>
      </c>
      <c r="G31" s="10" t="s">
        <v>17</v>
      </c>
      <c r="H31" s="10"/>
      <c r="I31" s="10"/>
      <c r="J31" s="8" t="s">
        <v>29</v>
      </c>
    </row>
    <row r="32" spans="1:10" ht="70.5" customHeight="1">
      <c r="A32" s="55"/>
      <c r="B32" s="56"/>
      <c r="C32" s="56"/>
      <c r="D32" s="56"/>
      <c r="E32" s="60"/>
      <c r="F32" s="61"/>
      <c r="G32" s="22"/>
      <c r="H32" s="22"/>
      <c r="I32" s="62"/>
      <c r="J32" s="54"/>
    </row>
    <row r="33" spans="1:10" ht="70.5" customHeight="1">
      <c r="A33" s="55"/>
      <c r="B33" s="56"/>
      <c r="C33" s="56"/>
      <c r="D33" s="56"/>
      <c r="E33" s="60"/>
      <c r="F33" s="61"/>
      <c r="G33" s="22"/>
      <c r="H33" s="22"/>
      <c r="I33" s="62"/>
      <c r="J33" s="63"/>
    </row>
    <row r="34" spans="1:10" ht="70.5" customHeight="1">
      <c r="A34" s="55"/>
      <c r="B34" s="56"/>
      <c r="C34" s="56"/>
      <c r="D34" s="56"/>
      <c r="E34" s="60"/>
      <c r="F34" s="61"/>
      <c r="G34" s="22"/>
      <c r="H34" s="22"/>
      <c r="I34" s="62"/>
      <c r="J34" s="63"/>
    </row>
  </sheetData>
  <phoneticPr fontId="18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U6"/>
  <sheetViews>
    <sheetView zoomScaleNormal="100" workbookViewId="0">
      <selection activeCell="E3" sqref="E3"/>
    </sheetView>
  </sheetViews>
  <sheetFormatPr defaultColWidth="6" defaultRowHeight="12.75"/>
  <cols>
    <col min="1" max="1" width="6" style="1" customWidth="1"/>
    <col min="2" max="2" width="6.875" style="1" customWidth="1"/>
    <col min="3" max="3" width="6" style="1" customWidth="1"/>
    <col min="4" max="4" width="3.125" style="1" customWidth="1"/>
    <col min="5" max="6" width="6" style="1" customWidth="1"/>
    <col min="7" max="7" width="6.875" style="1" customWidth="1"/>
    <col min="8" max="8" width="7.125" style="1" customWidth="1"/>
    <col min="9" max="9" width="3.375" style="1" customWidth="1"/>
    <col min="10" max="21" width="6.75" style="1" customWidth="1"/>
    <col min="22" max="16384" width="6" style="1"/>
  </cols>
  <sheetData>
    <row r="1" spans="1:21" ht="13.5" thickBot="1"/>
    <row r="2" spans="1:21" s="33" customFormat="1" ht="28.5" customHeight="1">
      <c r="A2" s="23" t="s">
        <v>0</v>
      </c>
      <c r="B2" s="24" t="s">
        <v>22</v>
      </c>
      <c r="C2" s="24" t="s">
        <v>23</v>
      </c>
      <c r="D2" s="24"/>
      <c r="E2" s="24" t="s">
        <v>25</v>
      </c>
      <c r="F2" s="24" t="s">
        <v>26</v>
      </c>
      <c r="G2" s="24" t="s">
        <v>27</v>
      </c>
      <c r="H2" s="24" t="s">
        <v>28</v>
      </c>
      <c r="I2" s="24"/>
      <c r="J2" s="25" t="s">
        <v>1</v>
      </c>
      <c r="K2" s="25" t="s">
        <v>2</v>
      </c>
      <c r="L2" s="25" t="s">
        <v>3</v>
      </c>
      <c r="M2" s="25" t="s">
        <v>4</v>
      </c>
      <c r="N2" s="25" t="s">
        <v>5</v>
      </c>
      <c r="O2" s="25" t="s">
        <v>6</v>
      </c>
      <c r="P2" s="25" t="s">
        <v>7</v>
      </c>
      <c r="Q2" s="25" t="s">
        <v>8</v>
      </c>
      <c r="R2" s="25" t="s">
        <v>9</v>
      </c>
      <c r="S2" s="25" t="s">
        <v>10</v>
      </c>
      <c r="T2" s="25" t="s">
        <v>11</v>
      </c>
      <c r="U2" s="26" t="s">
        <v>12</v>
      </c>
    </row>
    <row r="3" spans="1:21" s="33" customFormat="1" ht="18.75" customHeight="1">
      <c r="A3" s="27" t="s">
        <v>31</v>
      </c>
      <c r="B3" s="34">
        <f>(B6/B5)*100</f>
        <v>0.44792833146696531</v>
      </c>
      <c r="C3" s="34">
        <f>(C6/C5)*100</f>
        <v>0.43822686667790328</v>
      </c>
      <c r="D3" s="35"/>
      <c r="E3" s="34">
        <f>(E6/E5)*100</f>
        <v>0.33579583613163194</v>
      </c>
      <c r="F3" s="34">
        <f>(F6/F5)*100</f>
        <v>0.38709677419354838</v>
      </c>
      <c r="G3" s="34">
        <f>(G6/G5)*100</f>
        <v>0.20147750167897915</v>
      </c>
      <c r="H3" s="34">
        <f>(H6/H5)*100</f>
        <v>0.85409252669039148</v>
      </c>
      <c r="I3" s="35"/>
      <c r="J3" s="34">
        <f t="shared" ref="J3:U3" si="0">(J6/J5)*100</f>
        <v>0.21834061135371177</v>
      </c>
      <c r="K3" s="34">
        <f t="shared" si="0"/>
        <v>0.39920159680638717</v>
      </c>
      <c r="L3" s="34">
        <f t="shared" si="0"/>
        <v>0.37735849056603776</v>
      </c>
      <c r="M3" s="34">
        <f t="shared" si="0"/>
        <v>0.76481835564053535</v>
      </c>
      <c r="N3" s="34">
        <f t="shared" si="0"/>
        <v>0.19011406844106463</v>
      </c>
      <c r="O3" s="34">
        <f t="shared" si="0"/>
        <v>0.19960079840319359</v>
      </c>
      <c r="P3" s="34">
        <f t="shared" si="0"/>
        <v>0.20080321285140559</v>
      </c>
      <c r="Q3" s="34">
        <f t="shared" si="0"/>
        <v>0.19342359767891684</v>
      </c>
      <c r="R3" s="34">
        <f t="shared" si="0"/>
        <v>0.21097046413502107</v>
      </c>
      <c r="S3" s="34">
        <f t="shared" si="0"/>
        <v>0.6085192697768762</v>
      </c>
      <c r="T3" s="34">
        <f t="shared" si="0"/>
        <v>0.82644628099173556</v>
      </c>
      <c r="U3" s="34">
        <f t="shared" si="0"/>
        <v>1.1682242990654206</v>
      </c>
    </row>
    <row r="4" spans="1:21" s="33" customFormat="1" ht="18.75" customHeight="1">
      <c r="A4" s="27" t="s">
        <v>32</v>
      </c>
      <c r="B4" s="29">
        <v>0.36</v>
      </c>
      <c r="C4" s="29">
        <v>0.36</v>
      </c>
      <c r="D4" s="28"/>
      <c r="E4" s="29">
        <v>0.36</v>
      </c>
      <c r="F4" s="29">
        <v>0.36</v>
      </c>
      <c r="G4" s="29">
        <v>0.36</v>
      </c>
      <c r="H4" s="29">
        <v>0.36</v>
      </c>
      <c r="I4" s="28"/>
      <c r="J4" s="29">
        <v>0.36</v>
      </c>
      <c r="K4" s="29">
        <v>0.36</v>
      </c>
      <c r="L4" s="29">
        <v>0.36</v>
      </c>
      <c r="M4" s="29">
        <v>0.36</v>
      </c>
      <c r="N4" s="29">
        <v>0.36</v>
      </c>
      <c r="O4" s="29">
        <v>0.36</v>
      </c>
      <c r="P4" s="29">
        <v>0.36</v>
      </c>
      <c r="Q4" s="29">
        <v>0.36</v>
      </c>
      <c r="R4" s="29">
        <v>0.36</v>
      </c>
      <c r="S4" s="29">
        <v>0.36</v>
      </c>
      <c r="T4" s="29">
        <v>0.36</v>
      </c>
      <c r="U4" s="29">
        <v>0.36</v>
      </c>
    </row>
    <row r="5" spans="1:21" s="33" customFormat="1" ht="18.75" customHeight="1">
      <c r="A5" s="27" t="s">
        <v>33</v>
      </c>
      <c r="B5" s="28">
        <v>5358</v>
      </c>
      <c r="C5" s="3">
        <f>SUM(E5:H5)</f>
        <v>5933</v>
      </c>
      <c r="D5" s="28"/>
      <c r="E5" s="3">
        <f>SUM(J5:L5)</f>
        <v>1489</v>
      </c>
      <c r="F5" s="3">
        <f>SUM(M5:O5)</f>
        <v>1550</v>
      </c>
      <c r="G5" s="3">
        <f>SUM(P5:R5)</f>
        <v>1489</v>
      </c>
      <c r="H5" s="3">
        <f>SUM(S5:U5)</f>
        <v>1405</v>
      </c>
      <c r="I5" s="28"/>
      <c r="J5" s="29">
        <v>458</v>
      </c>
      <c r="K5" s="29">
        <v>501</v>
      </c>
      <c r="L5" s="29">
        <v>530</v>
      </c>
      <c r="M5" s="29">
        <v>523</v>
      </c>
      <c r="N5" s="29">
        <v>526</v>
      </c>
      <c r="O5" s="29">
        <v>501</v>
      </c>
      <c r="P5" s="29">
        <v>498</v>
      </c>
      <c r="Q5" s="29">
        <v>517</v>
      </c>
      <c r="R5" s="29">
        <v>474</v>
      </c>
      <c r="S5" s="29">
        <v>493</v>
      </c>
      <c r="T5" s="29">
        <v>484</v>
      </c>
      <c r="U5" s="30">
        <v>428</v>
      </c>
    </row>
    <row r="6" spans="1:21" s="33" customFormat="1" ht="18.75" customHeight="1">
      <c r="A6" s="2" t="s">
        <v>21</v>
      </c>
      <c r="B6" s="3">
        <v>24</v>
      </c>
      <c r="C6" s="4">
        <f>SUM(E6:H6)</f>
        <v>26</v>
      </c>
      <c r="D6" s="4"/>
      <c r="E6" s="4">
        <f>SUM(J6:L6)</f>
        <v>5</v>
      </c>
      <c r="F6" s="4">
        <f>SUM(M6:O6)</f>
        <v>6</v>
      </c>
      <c r="G6" s="4">
        <f>SUM(P6:R6)</f>
        <v>3</v>
      </c>
      <c r="H6" s="4">
        <f>SUM(S6:U6)</f>
        <v>12</v>
      </c>
      <c r="I6" s="4"/>
      <c r="J6" s="31">
        <v>1</v>
      </c>
      <c r="K6" s="31">
        <v>2</v>
      </c>
      <c r="L6" s="31">
        <v>2</v>
      </c>
      <c r="M6" s="31">
        <v>4</v>
      </c>
      <c r="N6" s="31">
        <v>1</v>
      </c>
      <c r="O6" s="31">
        <v>1</v>
      </c>
      <c r="P6" s="31">
        <v>1</v>
      </c>
      <c r="Q6" s="31">
        <v>1</v>
      </c>
      <c r="R6" s="31">
        <v>1</v>
      </c>
      <c r="S6" s="31">
        <v>3</v>
      </c>
      <c r="T6" s="31">
        <v>4</v>
      </c>
      <c r="U6" s="32">
        <v>5</v>
      </c>
    </row>
  </sheetData>
  <phoneticPr fontId="13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897B5-C9A4-4F24-A6E7-9F1BFAAE6199}">
  <dimension ref="B2:S10"/>
  <sheetViews>
    <sheetView zoomScale="85" zoomScaleNormal="85" workbookViewId="0"/>
  </sheetViews>
  <sheetFormatPr defaultRowHeight="15.75"/>
  <cols>
    <col min="1" max="1" width="3.75" customWidth="1"/>
    <col min="2" max="19" width="10.5" customWidth="1"/>
  </cols>
  <sheetData>
    <row r="2" spans="2:19">
      <c r="B2" s="54"/>
      <c r="C2" s="54" t="s">
        <v>368</v>
      </c>
      <c r="D2" s="54" t="s">
        <v>354</v>
      </c>
      <c r="E2" s="54" t="s">
        <v>355</v>
      </c>
      <c r="F2" s="54" t="s">
        <v>356</v>
      </c>
      <c r="G2" s="54" t="s">
        <v>357</v>
      </c>
      <c r="H2" s="54" t="s">
        <v>370</v>
      </c>
      <c r="I2" s="54" t="s">
        <v>111</v>
      </c>
      <c r="J2" s="54" t="s">
        <v>112</v>
      </c>
      <c r="K2" s="54" t="s">
        <v>113</v>
      </c>
      <c r="L2" s="54" t="s">
        <v>114</v>
      </c>
      <c r="M2" s="54" t="s">
        <v>115</v>
      </c>
      <c r="N2" s="54" t="s">
        <v>116</v>
      </c>
      <c r="O2" s="54" t="s">
        <v>117</v>
      </c>
      <c r="P2" s="54" t="s">
        <v>118</v>
      </c>
      <c r="Q2" s="54" t="s">
        <v>119</v>
      </c>
      <c r="R2" s="54" t="s">
        <v>120</v>
      </c>
      <c r="S2" s="54" t="s">
        <v>121</v>
      </c>
    </row>
    <row r="3" spans="2:19">
      <c r="B3" s="54" t="s">
        <v>287</v>
      </c>
      <c r="C3" s="54">
        <f>SUM(D3:G3)</f>
        <v>419</v>
      </c>
      <c r="D3" s="54">
        <f>SUM(H3:J3)</f>
        <v>187</v>
      </c>
      <c r="E3" s="54">
        <f>SUM(K3:M3)</f>
        <v>232</v>
      </c>
      <c r="F3" s="54"/>
      <c r="G3" s="54"/>
      <c r="H3" s="88">
        <v>62</v>
      </c>
      <c r="I3" s="88">
        <v>65</v>
      </c>
      <c r="J3" s="54">
        <v>60</v>
      </c>
      <c r="K3" s="54">
        <v>83</v>
      </c>
      <c r="L3" s="54">
        <v>82</v>
      </c>
      <c r="M3" s="54">
        <v>67</v>
      </c>
      <c r="N3" s="54">
        <v>48</v>
      </c>
      <c r="O3" s="54">
        <v>60</v>
      </c>
      <c r="P3" s="54">
        <v>44</v>
      </c>
      <c r="Q3" s="54">
        <v>51</v>
      </c>
      <c r="R3" s="54"/>
      <c r="S3" s="54"/>
    </row>
    <row r="4" spans="2:19">
      <c r="B4" s="54" t="s">
        <v>81</v>
      </c>
      <c r="C4" s="54">
        <f>SUM(D4:G4)</f>
        <v>483</v>
      </c>
      <c r="D4" s="54">
        <f>SUM(H4:J4)</f>
        <v>215</v>
      </c>
      <c r="E4" s="54">
        <f>SUM(K4:M4)</f>
        <v>268</v>
      </c>
      <c r="F4" s="54"/>
      <c r="G4" s="54"/>
      <c r="H4" s="88">
        <v>71</v>
      </c>
      <c r="I4" s="88">
        <v>66</v>
      </c>
      <c r="J4" s="54">
        <v>78</v>
      </c>
      <c r="K4" s="54">
        <v>88</v>
      </c>
      <c r="L4" s="54">
        <v>102</v>
      </c>
      <c r="M4" s="54">
        <v>78</v>
      </c>
      <c r="N4" s="54">
        <v>63</v>
      </c>
      <c r="O4" s="54">
        <v>81</v>
      </c>
      <c r="P4" s="54">
        <v>81</v>
      </c>
      <c r="Q4" s="54">
        <v>93</v>
      </c>
      <c r="R4" s="54"/>
      <c r="S4" s="54"/>
    </row>
    <row r="5" spans="2:19">
      <c r="B5" s="54" t="s">
        <v>82</v>
      </c>
      <c r="C5" s="54">
        <f t="shared" ref="C5:C10" si="0">SUM(D5:G5)</f>
        <v>562</v>
      </c>
      <c r="D5" s="54">
        <f t="shared" ref="D5:D10" si="1">SUM(H5:J5)</f>
        <v>270</v>
      </c>
      <c r="E5" s="54">
        <f t="shared" ref="E5:E10" si="2">SUM(K5:M5)</f>
        <v>292</v>
      </c>
      <c r="F5" s="54"/>
      <c r="G5" s="54"/>
      <c r="H5" s="88">
        <v>87</v>
      </c>
      <c r="I5" s="88">
        <v>76</v>
      </c>
      <c r="J5" s="54">
        <v>107</v>
      </c>
      <c r="K5" s="54">
        <v>98</v>
      </c>
      <c r="L5" s="54">
        <v>103</v>
      </c>
      <c r="M5" s="54">
        <v>91</v>
      </c>
      <c r="N5" s="54">
        <v>85</v>
      </c>
      <c r="O5" s="54">
        <v>96</v>
      </c>
      <c r="P5" s="54">
        <v>82</v>
      </c>
      <c r="Q5" s="54">
        <v>79</v>
      </c>
      <c r="R5" s="54"/>
      <c r="S5" s="54"/>
    </row>
    <row r="6" spans="2:19">
      <c r="B6" s="54" t="s">
        <v>83</v>
      </c>
      <c r="C6" s="54">
        <f t="shared" si="0"/>
        <v>527</v>
      </c>
      <c r="D6" s="54">
        <f t="shared" si="1"/>
        <v>254</v>
      </c>
      <c r="E6" s="54">
        <f t="shared" si="2"/>
        <v>273</v>
      </c>
      <c r="F6" s="54"/>
      <c r="G6" s="54"/>
      <c r="H6" s="88">
        <v>74</v>
      </c>
      <c r="I6" s="88">
        <v>82</v>
      </c>
      <c r="J6" s="54">
        <v>98</v>
      </c>
      <c r="K6" s="54">
        <v>93</v>
      </c>
      <c r="L6" s="54">
        <v>108</v>
      </c>
      <c r="M6" s="54">
        <v>72</v>
      </c>
      <c r="N6" s="54">
        <v>78</v>
      </c>
      <c r="O6" s="54">
        <v>87</v>
      </c>
      <c r="P6" s="54">
        <v>67</v>
      </c>
      <c r="Q6" s="54">
        <v>87</v>
      </c>
      <c r="R6" s="54"/>
      <c r="S6" s="54"/>
    </row>
    <row r="7" spans="2:19">
      <c r="B7" s="54" t="s">
        <v>84</v>
      </c>
      <c r="C7" s="54">
        <f t="shared" si="0"/>
        <v>429</v>
      </c>
      <c r="D7" s="54">
        <f t="shared" si="1"/>
        <v>209</v>
      </c>
      <c r="E7" s="54">
        <f t="shared" si="2"/>
        <v>220</v>
      </c>
      <c r="F7" s="54"/>
      <c r="G7" s="54"/>
      <c r="H7" s="88">
        <v>64</v>
      </c>
      <c r="I7" s="88">
        <v>60</v>
      </c>
      <c r="J7" s="54">
        <v>85</v>
      </c>
      <c r="K7" s="54">
        <v>83</v>
      </c>
      <c r="L7" s="54">
        <v>83</v>
      </c>
      <c r="M7" s="54">
        <v>54</v>
      </c>
      <c r="N7" s="54">
        <v>81</v>
      </c>
      <c r="O7" s="54">
        <v>73</v>
      </c>
      <c r="P7" s="54">
        <v>48</v>
      </c>
      <c r="Q7" s="54">
        <v>55</v>
      </c>
      <c r="R7" s="54"/>
      <c r="S7" s="54"/>
    </row>
    <row r="8" spans="2:19">
      <c r="B8" s="54" t="s">
        <v>95</v>
      </c>
      <c r="C8" s="54">
        <f t="shared" si="0"/>
        <v>400</v>
      </c>
      <c r="D8" s="54">
        <f t="shared" si="1"/>
        <v>219</v>
      </c>
      <c r="E8" s="54">
        <f t="shared" si="2"/>
        <v>181</v>
      </c>
      <c r="F8" s="54"/>
      <c r="G8" s="54"/>
      <c r="H8" s="88">
        <v>76</v>
      </c>
      <c r="I8" s="88">
        <v>75</v>
      </c>
      <c r="J8" s="54">
        <v>68</v>
      </c>
      <c r="K8" s="54">
        <v>56</v>
      </c>
      <c r="L8" s="54">
        <v>77</v>
      </c>
      <c r="M8" s="54">
        <v>48</v>
      </c>
      <c r="N8" s="54">
        <v>23</v>
      </c>
      <c r="O8" s="54">
        <v>77</v>
      </c>
      <c r="P8" s="54">
        <v>84</v>
      </c>
      <c r="Q8" s="54">
        <v>85</v>
      </c>
      <c r="R8" s="54"/>
      <c r="S8" s="54"/>
    </row>
    <row r="9" spans="2:19">
      <c r="B9" s="54" t="s">
        <v>85</v>
      </c>
      <c r="C9" s="54">
        <f t="shared" si="0"/>
        <v>326</v>
      </c>
      <c r="D9" s="54">
        <f t="shared" si="1"/>
        <v>169</v>
      </c>
      <c r="E9" s="54">
        <f t="shared" si="2"/>
        <v>157</v>
      </c>
      <c r="F9" s="54"/>
      <c r="G9" s="54"/>
      <c r="H9" s="88">
        <v>52</v>
      </c>
      <c r="I9" s="88">
        <v>51</v>
      </c>
      <c r="J9" s="54">
        <v>66</v>
      </c>
      <c r="K9" s="54">
        <v>51</v>
      </c>
      <c r="L9" s="54">
        <v>74</v>
      </c>
      <c r="M9" s="54">
        <v>32</v>
      </c>
      <c r="N9" s="54">
        <v>60</v>
      </c>
      <c r="O9" s="54">
        <v>48</v>
      </c>
      <c r="P9" s="54">
        <v>29</v>
      </c>
      <c r="Q9" s="54">
        <v>29</v>
      </c>
      <c r="R9" s="54"/>
      <c r="S9" s="54"/>
    </row>
    <row r="10" spans="2:19">
      <c r="B10" s="54" t="s">
        <v>371</v>
      </c>
      <c r="C10" s="54">
        <f t="shared" si="0"/>
        <v>3146</v>
      </c>
      <c r="D10" s="54">
        <f t="shared" si="1"/>
        <v>1523</v>
      </c>
      <c r="E10" s="54">
        <f t="shared" si="2"/>
        <v>1623</v>
      </c>
      <c r="F10" s="54"/>
      <c r="G10" s="54"/>
      <c r="H10" s="54">
        <f>SUM(H3:H9)</f>
        <v>486</v>
      </c>
      <c r="I10" s="54">
        <f>SUM(I3:I9)</f>
        <v>475</v>
      </c>
      <c r="J10" s="54">
        <f t="shared" ref="J10:S10" si="3">SUM(J3:J9)</f>
        <v>562</v>
      </c>
      <c r="K10" s="54">
        <f t="shared" si="3"/>
        <v>552</v>
      </c>
      <c r="L10" s="54">
        <f t="shared" si="3"/>
        <v>629</v>
      </c>
      <c r="M10" s="54">
        <f t="shared" si="3"/>
        <v>442</v>
      </c>
      <c r="N10" s="54">
        <f t="shared" si="3"/>
        <v>438</v>
      </c>
      <c r="O10" s="54">
        <f t="shared" si="3"/>
        <v>522</v>
      </c>
      <c r="P10" s="54">
        <f t="shared" si="3"/>
        <v>435</v>
      </c>
      <c r="Q10" s="54">
        <f t="shared" si="3"/>
        <v>479</v>
      </c>
      <c r="R10" s="54">
        <f t="shared" si="3"/>
        <v>0</v>
      </c>
      <c r="S10" s="54">
        <f t="shared" si="3"/>
        <v>0</v>
      </c>
    </row>
  </sheetData>
  <phoneticPr fontId="37" type="noConversion"/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/>
  <dimension ref="B1:U12"/>
  <sheetViews>
    <sheetView tabSelected="1" zoomScale="85" zoomScaleNormal="85" workbookViewId="0"/>
  </sheetViews>
  <sheetFormatPr defaultRowHeight="15.75"/>
  <cols>
    <col min="1" max="1" width="4.625" customWidth="1"/>
  </cols>
  <sheetData>
    <row r="1" spans="2:21" ht="16.5" thickBot="1"/>
    <row r="2" spans="2:21">
      <c r="B2" s="89"/>
      <c r="C2" s="90" t="s">
        <v>368</v>
      </c>
      <c r="D2" s="90"/>
      <c r="E2" s="90" t="s">
        <v>106</v>
      </c>
      <c r="F2" s="90" t="s">
        <v>107</v>
      </c>
      <c r="G2" s="90" t="s">
        <v>108</v>
      </c>
      <c r="H2" s="90" t="s">
        <v>109</v>
      </c>
      <c r="I2" s="90"/>
      <c r="J2" s="90" t="s">
        <v>110</v>
      </c>
      <c r="K2" s="90" t="s">
        <v>111</v>
      </c>
      <c r="L2" s="90" t="s">
        <v>112</v>
      </c>
      <c r="M2" s="90" t="s">
        <v>113</v>
      </c>
      <c r="N2" s="90" t="s">
        <v>114</v>
      </c>
      <c r="O2" s="90" t="s">
        <v>115</v>
      </c>
      <c r="P2" s="90" t="s">
        <v>116</v>
      </c>
      <c r="Q2" s="90" t="s">
        <v>117</v>
      </c>
      <c r="R2" s="90" t="s">
        <v>118</v>
      </c>
      <c r="S2" s="90" t="s">
        <v>119</v>
      </c>
      <c r="T2" s="90" t="s">
        <v>120</v>
      </c>
      <c r="U2" s="91" t="s">
        <v>121</v>
      </c>
    </row>
    <row r="3" spans="2:21">
      <c r="B3" s="92" t="s">
        <v>104</v>
      </c>
      <c r="C3" s="54">
        <f t="shared" ref="C3:C10" si="0">SUM(J3:U3)</f>
        <v>0</v>
      </c>
      <c r="D3" s="54"/>
      <c r="E3" s="54">
        <f>SUM(J3:L3)</f>
        <v>0</v>
      </c>
      <c r="F3" s="54">
        <f>SUM(M3:O3)</f>
        <v>0</v>
      </c>
      <c r="G3" s="54">
        <f>SUM(P3:R3)</f>
        <v>0</v>
      </c>
      <c r="H3" s="54">
        <f>SUM(S3:U3)</f>
        <v>0</v>
      </c>
      <c r="I3" s="54"/>
      <c r="J3" s="54">
        <v>0</v>
      </c>
      <c r="K3" s="54">
        <v>0</v>
      </c>
      <c r="L3" s="54">
        <v>0</v>
      </c>
      <c r="M3" s="54">
        <v>0</v>
      </c>
      <c r="N3" s="54">
        <v>0</v>
      </c>
      <c r="O3" s="54">
        <v>0</v>
      </c>
      <c r="P3" s="54">
        <v>0</v>
      </c>
      <c r="Q3" s="54">
        <v>0</v>
      </c>
      <c r="R3" s="54">
        <v>0</v>
      </c>
      <c r="S3" s="54">
        <v>0</v>
      </c>
      <c r="T3" s="54">
        <v>0</v>
      </c>
      <c r="U3" s="93">
        <v>0</v>
      </c>
    </row>
    <row r="4" spans="2:21">
      <c r="B4" s="92" t="s">
        <v>81</v>
      </c>
      <c r="C4" s="54">
        <f t="shared" si="0"/>
        <v>0</v>
      </c>
      <c r="D4" s="54"/>
      <c r="E4" s="54">
        <f t="shared" ref="E4:E9" si="1">SUM(J4:L4)</f>
        <v>0</v>
      </c>
      <c r="F4" s="54">
        <f t="shared" ref="F4:F9" si="2">SUM(M4:O4)</f>
        <v>0</v>
      </c>
      <c r="G4" s="54">
        <f t="shared" ref="G4:G11" si="3">SUM(P4:R4)</f>
        <v>0</v>
      </c>
      <c r="H4" s="54">
        <f t="shared" ref="H4:H11" si="4">SUM(S4:U4)</f>
        <v>0</v>
      </c>
      <c r="I4" s="54"/>
      <c r="J4" s="54">
        <v>0</v>
      </c>
      <c r="K4" s="54">
        <v>0</v>
      </c>
      <c r="L4" s="54">
        <v>0</v>
      </c>
      <c r="M4" s="54">
        <v>0</v>
      </c>
      <c r="N4" s="54">
        <v>0</v>
      </c>
      <c r="O4" s="54">
        <v>0</v>
      </c>
      <c r="P4" s="54">
        <v>0</v>
      </c>
      <c r="Q4" s="54">
        <v>0</v>
      </c>
      <c r="R4" s="54">
        <v>0</v>
      </c>
      <c r="S4" s="54">
        <v>0</v>
      </c>
      <c r="T4" s="54">
        <v>0</v>
      </c>
      <c r="U4" s="93">
        <v>0</v>
      </c>
    </row>
    <row r="5" spans="2:21">
      <c r="B5" s="92" t="s">
        <v>82</v>
      </c>
      <c r="C5" s="54">
        <f t="shared" si="0"/>
        <v>0</v>
      </c>
      <c r="D5" s="54"/>
      <c r="E5" s="54">
        <f t="shared" si="1"/>
        <v>0</v>
      </c>
      <c r="F5" s="54">
        <f t="shared" si="2"/>
        <v>0</v>
      </c>
      <c r="G5" s="54">
        <f t="shared" si="3"/>
        <v>0</v>
      </c>
      <c r="H5" s="54">
        <f t="shared" si="4"/>
        <v>0</v>
      </c>
      <c r="I5" s="54"/>
      <c r="J5" s="54">
        <v>0</v>
      </c>
      <c r="K5" s="54">
        <v>0</v>
      </c>
      <c r="L5" s="54">
        <v>0</v>
      </c>
      <c r="M5" s="54"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v>0</v>
      </c>
      <c r="T5" s="54">
        <v>0</v>
      </c>
      <c r="U5" s="93">
        <v>0</v>
      </c>
    </row>
    <row r="6" spans="2:21">
      <c r="B6" s="92" t="s">
        <v>83</v>
      </c>
      <c r="C6" s="54">
        <f t="shared" si="0"/>
        <v>0</v>
      </c>
      <c r="D6" s="54"/>
      <c r="E6" s="54">
        <f t="shared" si="1"/>
        <v>0</v>
      </c>
      <c r="F6" s="54">
        <f t="shared" si="2"/>
        <v>0</v>
      </c>
      <c r="G6" s="54">
        <f t="shared" si="3"/>
        <v>0</v>
      </c>
      <c r="H6" s="54">
        <f t="shared" si="4"/>
        <v>0</v>
      </c>
      <c r="I6" s="54"/>
      <c r="J6" s="54">
        <v>0</v>
      </c>
      <c r="K6" s="54">
        <v>0</v>
      </c>
      <c r="L6" s="54">
        <v>0</v>
      </c>
      <c r="M6" s="54">
        <v>0</v>
      </c>
      <c r="N6" s="54">
        <v>0</v>
      </c>
      <c r="O6" s="54">
        <v>0</v>
      </c>
      <c r="P6" s="54">
        <v>0</v>
      </c>
      <c r="Q6" s="54">
        <v>0</v>
      </c>
      <c r="R6" s="54">
        <v>0</v>
      </c>
      <c r="S6" s="54">
        <v>0</v>
      </c>
      <c r="T6" s="54">
        <v>0</v>
      </c>
      <c r="U6" s="93">
        <v>0</v>
      </c>
    </row>
    <row r="7" spans="2:21">
      <c r="B7" s="92" t="s">
        <v>84</v>
      </c>
      <c r="C7" s="54">
        <f t="shared" si="0"/>
        <v>1</v>
      </c>
      <c r="D7" s="54"/>
      <c r="E7" s="54">
        <f t="shared" si="1"/>
        <v>0</v>
      </c>
      <c r="F7" s="54">
        <f t="shared" si="2"/>
        <v>0</v>
      </c>
      <c r="G7" s="54">
        <f t="shared" si="3"/>
        <v>0</v>
      </c>
      <c r="H7" s="54">
        <f t="shared" si="4"/>
        <v>1</v>
      </c>
      <c r="I7" s="54"/>
      <c r="J7" s="54">
        <v>0</v>
      </c>
      <c r="K7" s="54">
        <v>0</v>
      </c>
      <c r="L7" s="54">
        <v>0</v>
      </c>
      <c r="M7" s="54">
        <v>0</v>
      </c>
      <c r="N7" s="54">
        <v>0</v>
      </c>
      <c r="O7" s="54">
        <v>0</v>
      </c>
      <c r="P7" s="54">
        <v>0</v>
      </c>
      <c r="Q7" s="54">
        <v>0</v>
      </c>
      <c r="R7" s="54">
        <v>0</v>
      </c>
      <c r="S7" s="54">
        <v>1</v>
      </c>
      <c r="T7" s="54">
        <v>0</v>
      </c>
      <c r="U7" s="93">
        <v>0</v>
      </c>
    </row>
    <row r="8" spans="2:21">
      <c r="B8" s="92" t="s">
        <v>95</v>
      </c>
      <c r="C8" s="54">
        <f t="shared" si="0"/>
        <v>0</v>
      </c>
      <c r="D8" s="54"/>
      <c r="E8" s="54">
        <f t="shared" si="1"/>
        <v>0</v>
      </c>
      <c r="F8" s="54">
        <f t="shared" si="2"/>
        <v>0</v>
      </c>
      <c r="G8" s="54">
        <f t="shared" si="3"/>
        <v>0</v>
      </c>
      <c r="H8" s="54">
        <f t="shared" si="4"/>
        <v>0</v>
      </c>
      <c r="I8" s="54"/>
      <c r="J8" s="54">
        <v>0</v>
      </c>
      <c r="K8" s="54">
        <v>0</v>
      </c>
      <c r="L8" s="54">
        <v>0</v>
      </c>
      <c r="M8" s="54">
        <v>0</v>
      </c>
      <c r="N8" s="54">
        <v>0</v>
      </c>
      <c r="O8" s="54">
        <v>0</v>
      </c>
      <c r="P8" s="54">
        <v>0</v>
      </c>
      <c r="Q8" s="54">
        <v>0</v>
      </c>
      <c r="R8" s="54">
        <v>0</v>
      </c>
      <c r="S8" s="54">
        <v>0</v>
      </c>
      <c r="T8" s="54">
        <v>0</v>
      </c>
      <c r="U8" s="93">
        <v>0</v>
      </c>
    </row>
    <row r="9" spans="2:21">
      <c r="B9" s="92" t="s">
        <v>85</v>
      </c>
      <c r="C9" s="54">
        <f t="shared" si="0"/>
        <v>0</v>
      </c>
      <c r="D9" s="54"/>
      <c r="E9" s="54">
        <f t="shared" si="1"/>
        <v>0</v>
      </c>
      <c r="F9" s="54">
        <f t="shared" si="2"/>
        <v>0</v>
      </c>
      <c r="G9" s="54">
        <f t="shared" si="3"/>
        <v>0</v>
      </c>
      <c r="H9" s="54">
        <f t="shared" si="4"/>
        <v>0</v>
      </c>
      <c r="I9" s="54"/>
      <c r="J9" s="54">
        <v>0</v>
      </c>
      <c r="K9" s="54">
        <v>0</v>
      </c>
      <c r="L9" s="54">
        <v>0</v>
      </c>
      <c r="M9" s="54">
        <v>0</v>
      </c>
      <c r="N9" s="54">
        <v>0</v>
      </c>
      <c r="O9" s="54">
        <v>0</v>
      </c>
      <c r="P9" s="54">
        <v>0</v>
      </c>
      <c r="Q9" s="54">
        <v>0</v>
      </c>
      <c r="R9" s="54">
        <v>0</v>
      </c>
      <c r="S9" s="54">
        <v>0</v>
      </c>
      <c r="T9" s="54">
        <v>0</v>
      </c>
      <c r="U9" s="93">
        <v>0</v>
      </c>
    </row>
    <row r="10" spans="2:21">
      <c r="B10" s="92" t="s">
        <v>2276</v>
      </c>
      <c r="C10" s="54">
        <f t="shared" si="0"/>
        <v>1</v>
      </c>
      <c r="D10" s="54"/>
      <c r="E10" s="54">
        <f>SUM(J10:L10)</f>
        <v>0</v>
      </c>
      <c r="F10" s="54">
        <f>SUM(M10:O10)</f>
        <v>0</v>
      </c>
      <c r="G10" s="54">
        <f t="shared" si="3"/>
        <v>0</v>
      </c>
      <c r="H10" s="54">
        <f t="shared" si="4"/>
        <v>1</v>
      </c>
      <c r="I10" s="54"/>
      <c r="J10" s="54">
        <f t="shared" ref="J10:U10" si="5">SUM(J3:J9)</f>
        <v>0</v>
      </c>
      <c r="K10" s="54">
        <f t="shared" si="5"/>
        <v>0</v>
      </c>
      <c r="L10" s="54">
        <f t="shared" si="5"/>
        <v>0</v>
      </c>
      <c r="M10" s="54">
        <f t="shared" si="5"/>
        <v>0</v>
      </c>
      <c r="N10" s="54">
        <f t="shared" si="5"/>
        <v>0</v>
      </c>
      <c r="O10" s="54">
        <v>0</v>
      </c>
      <c r="P10" s="54">
        <f t="shared" si="5"/>
        <v>0</v>
      </c>
      <c r="Q10" s="54">
        <f t="shared" si="5"/>
        <v>0</v>
      </c>
      <c r="R10" s="54">
        <f t="shared" si="5"/>
        <v>0</v>
      </c>
      <c r="S10" s="54">
        <f t="shared" si="5"/>
        <v>1</v>
      </c>
      <c r="T10" s="54">
        <f t="shared" si="5"/>
        <v>0</v>
      </c>
      <c r="U10" s="93">
        <f t="shared" si="5"/>
        <v>0</v>
      </c>
    </row>
    <row r="11" spans="2:21">
      <c r="B11" s="92" t="s">
        <v>2277</v>
      </c>
      <c r="C11" s="54">
        <f>SUM(J11:U11)</f>
        <v>103</v>
      </c>
      <c r="D11" s="54"/>
      <c r="E11" s="54">
        <f>SUM(J11:L11)</f>
        <v>32</v>
      </c>
      <c r="F11" s="54">
        <f>SUM(M11:O11)</f>
        <v>34</v>
      </c>
      <c r="G11" s="54">
        <f t="shared" si="3"/>
        <v>28</v>
      </c>
      <c r="H11" s="54">
        <f t="shared" si="4"/>
        <v>9</v>
      </c>
      <c r="I11" s="54"/>
      <c r="J11" s="54">
        <v>13</v>
      </c>
      <c r="K11" s="54">
        <v>10</v>
      </c>
      <c r="L11" s="54">
        <v>9</v>
      </c>
      <c r="M11" s="54">
        <v>14</v>
      </c>
      <c r="N11" s="54">
        <v>12</v>
      </c>
      <c r="O11" s="54">
        <v>8</v>
      </c>
      <c r="P11" s="54">
        <v>10</v>
      </c>
      <c r="Q11" s="54">
        <v>8</v>
      </c>
      <c r="R11" s="54">
        <v>10</v>
      </c>
      <c r="S11" s="54">
        <v>9</v>
      </c>
      <c r="T11" s="54">
        <v>0</v>
      </c>
      <c r="U11" s="93">
        <v>0</v>
      </c>
    </row>
    <row r="12" spans="2:21" ht="16.5" thickBot="1">
      <c r="B12" s="94" t="s">
        <v>105</v>
      </c>
      <c r="C12" s="95">
        <f>C10/C11</f>
        <v>9.7087378640776691E-3</v>
      </c>
      <c r="D12" s="95"/>
      <c r="E12" s="95">
        <f>E10/E11</f>
        <v>0</v>
      </c>
      <c r="F12" s="95">
        <f>F10/F11</f>
        <v>0</v>
      </c>
      <c r="G12" s="95">
        <f>G10/G11</f>
        <v>0</v>
      </c>
      <c r="H12" s="95">
        <f>H10/H11</f>
        <v>0.1111111111111111</v>
      </c>
      <c r="I12" s="96"/>
      <c r="J12" s="95">
        <f t="shared" ref="J12:U12" si="6">J10/J11</f>
        <v>0</v>
      </c>
      <c r="K12" s="95">
        <f t="shared" si="6"/>
        <v>0</v>
      </c>
      <c r="L12" s="95">
        <f t="shared" si="6"/>
        <v>0</v>
      </c>
      <c r="M12" s="95">
        <f t="shared" si="6"/>
        <v>0</v>
      </c>
      <c r="N12" s="95">
        <f t="shared" si="6"/>
        <v>0</v>
      </c>
      <c r="O12" s="95">
        <f t="shared" si="6"/>
        <v>0</v>
      </c>
      <c r="P12" s="95">
        <f t="shared" si="6"/>
        <v>0</v>
      </c>
      <c r="Q12" s="95">
        <f t="shared" si="6"/>
        <v>0</v>
      </c>
      <c r="R12" s="95">
        <f t="shared" si="6"/>
        <v>0</v>
      </c>
      <c r="S12" s="95">
        <f t="shared" si="6"/>
        <v>0.1111111111111111</v>
      </c>
      <c r="T12" s="95" t="e">
        <f t="shared" si="6"/>
        <v>#DIV/0!</v>
      </c>
      <c r="U12" s="97" t="e">
        <f t="shared" si="6"/>
        <v>#DIV/0!</v>
      </c>
    </row>
  </sheetData>
  <phoneticPr fontId="25" type="noConversion"/>
  <pageMargins left="0.7" right="0.7" top="0.75" bottom="0.75" header="0.3" footer="0.3"/>
  <pageSetup scale="4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4FA5B-3291-4919-851D-327EE3B53752}">
  <sheetPr filterMode="1"/>
  <dimension ref="B1:K132"/>
  <sheetViews>
    <sheetView workbookViewId="0">
      <selection activeCell="B99" sqref="B6:B99"/>
    </sheetView>
  </sheetViews>
  <sheetFormatPr defaultRowHeight="15.75"/>
  <cols>
    <col min="2" max="2" width="10.875" bestFit="1" customWidth="1"/>
    <col min="3" max="3" width="8.875" bestFit="1" customWidth="1"/>
    <col min="4" max="5" width="18.75" bestFit="1" customWidth="1"/>
    <col min="6" max="6" width="8.875" bestFit="1" customWidth="1"/>
    <col min="7" max="7" width="63.625" bestFit="1" customWidth="1"/>
    <col min="8" max="8" width="8.875" bestFit="1" customWidth="1"/>
    <col min="9" max="9" width="21.25" bestFit="1" customWidth="1"/>
    <col min="10" max="11" width="8.875" bestFit="1" customWidth="1"/>
  </cols>
  <sheetData>
    <row r="1" spans="2:11"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161</v>
      </c>
      <c r="H1" t="s">
        <v>268</v>
      </c>
      <c r="I1" t="s">
        <v>162</v>
      </c>
      <c r="J1" t="s">
        <v>372</v>
      </c>
      <c r="K1" t="s">
        <v>373</v>
      </c>
    </row>
    <row r="2" spans="2:11" hidden="1">
      <c r="B2" t="s">
        <v>218</v>
      </c>
      <c r="C2" t="s">
        <v>177</v>
      </c>
      <c r="D2" t="s">
        <v>3889</v>
      </c>
      <c r="E2" t="s">
        <v>3890</v>
      </c>
      <c r="F2">
        <v>16.350000000000001</v>
      </c>
      <c r="G2" t="s">
        <v>3891</v>
      </c>
      <c r="H2" t="s">
        <v>274</v>
      </c>
      <c r="J2" t="s">
        <v>274</v>
      </c>
      <c r="K2" t="s">
        <v>274</v>
      </c>
    </row>
    <row r="3" spans="2:11" hidden="1">
      <c r="B3" t="s">
        <v>193</v>
      </c>
      <c r="C3" t="s">
        <v>183</v>
      </c>
      <c r="D3" t="s">
        <v>3892</v>
      </c>
      <c r="E3" t="s">
        <v>3893</v>
      </c>
      <c r="F3">
        <v>0.23</v>
      </c>
      <c r="G3" t="s">
        <v>3894</v>
      </c>
      <c r="H3" t="s">
        <v>277</v>
      </c>
      <c r="J3" t="s">
        <v>277</v>
      </c>
      <c r="K3" t="s">
        <v>277</v>
      </c>
    </row>
    <row r="4" spans="2:11" hidden="1">
      <c r="B4" t="s">
        <v>259</v>
      </c>
      <c r="C4" t="s">
        <v>260</v>
      </c>
      <c r="D4" t="s">
        <v>3895</v>
      </c>
      <c r="E4" t="s">
        <v>3896</v>
      </c>
      <c r="F4">
        <v>3.3</v>
      </c>
      <c r="G4" t="s">
        <v>3897</v>
      </c>
      <c r="H4" t="s">
        <v>277</v>
      </c>
      <c r="J4" t="s">
        <v>277</v>
      </c>
      <c r="K4" t="s">
        <v>277</v>
      </c>
    </row>
    <row r="5" spans="2:11" hidden="1">
      <c r="B5" t="s">
        <v>168</v>
      </c>
      <c r="C5" t="s">
        <v>169</v>
      </c>
      <c r="D5" t="s">
        <v>3898</v>
      </c>
      <c r="E5" t="s">
        <v>3899</v>
      </c>
      <c r="F5">
        <v>0.67</v>
      </c>
      <c r="G5" t="s">
        <v>3900</v>
      </c>
      <c r="H5" t="s">
        <v>274</v>
      </c>
      <c r="J5" t="s">
        <v>274</v>
      </c>
      <c r="K5" t="s">
        <v>274</v>
      </c>
    </row>
    <row r="6" spans="2:11">
      <c r="B6" t="s">
        <v>84</v>
      </c>
      <c r="C6" t="s">
        <v>190</v>
      </c>
      <c r="D6" t="s">
        <v>3901</v>
      </c>
      <c r="E6" t="s">
        <v>3902</v>
      </c>
      <c r="F6">
        <v>25.17</v>
      </c>
      <c r="G6" t="s">
        <v>3903</v>
      </c>
      <c r="H6" t="s">
        <v>274</v>
      </c>
      <c r="J6" t="s">
        <v>274</v>
      </c>
      <c r="K6" t="s">
        <v>274</v>
      </c>
    </row>
    <row r="7" spans="2:11" hidden="1">
      <c r="B7" t="s">
        <v>269</v>
      </c>
      <c r="C7" t="s">
        <v>270</v>
      </c>
      <c r="D7" t="s">
        <v>3904</v>
      </c>
      <c r="E7" t="s">
        <v>3905</v>
      </c>
      <c r="F7">
        <v>0.05</v>
      </c>
      <c r="G7" t="s">
        <v>3906</v>
      </c>
      <c r="H7" t="s">
        <v>276</v>
      </c>
      <c r="J7" t="s">
        <v>276</v>
      </c>
      <c r="K7" t="s">
        <v>276</v>
      </c>
    </row>
    <row r="8" spans="2:11" hidden="1">
      <c r="B8" t="s">
        <v>215</v>
      </c>
      <c r="C8" t="s">
        <v>216</v>
      </c>
      <c r="D8" t="s">
        <v>3907</v>
      </c>
      <c r="E8" t="s">
        <v>3908</v>
      </c>
      <c r="F8">
        <v>15.67</v>
      </c>
      <c r="G8" t="s">
        <v>3909</v>
      </c>
      <c r="H8" t="s">
        <v>276</v>
      </c>
      <c r="J8" t="s">
        <v>276</v>
      </c>
      <c r="K8" t="s">
        <v>276</v>
      </c>
    </row>
    <row r="9" spans="2:11" hidden="1">
      <c r="B9" t="s">
        <v>290</v>
      </c>
      <c r="C9" t="s">
        <v>291</v>
      </c>
      <c r="D9" t="s">
        <v>3910</v>
      </c>
      <c r="E9" t="s">
        <v>3911</v>
      </c>
      <c r="F9">
        <v>13.03</v>
      </c>
      <c r="G9" t="s">
        <v>3912</v>
      </c>
      <c r="H9" t="s">
        <v>276</v>
      </c>
      <c r="J9" t="s">
        <v>276</v>
      </c>
      <c r="K9" t="s">
        <v>276</v>
      </c>
    </row>
    <row r="10" spans="2:11">
      <c r="B10" t="s">
        <v>84</v>
      </c>
      <c r="C10" t="s">
        <v>190</v>
      </c>
      <c r="D10" t="s">
        <v>3913</v>
      </c>
      <c r="E10" t="s">
        <v>3914</v>
      </c>
      <c r="F10">
        <v>14.55</v>
      </c>
      <c r="G10" t="s">
        <v>3915</v>
      </c>
      <c r="H10" t="s">
        <v>3079</v>
      </c>
      <c r="J10" t="s">
        <v>3079</v>
      </c>
      <c r="K10" t="s">
        <v>3079</v>
      </c>
    </row>
    <row r="11" spans="2:11" hidden="1">
      <c r="B11" t="s">
        <v>180</v>
      </c>
      <c r="C11" t="s">
        <v>181</v>
      </c>
      <c r="D11" t="s">
        <v>3916</v>
      </c>
      <c r="E11" t="s">
        <v>3917</v>
      </c>
      <c r="F11">
        <v>18.32</v>
      </c>
      <c r="G11" t="s">
        <v>3918</v>
      </c>
      <c r="H11" t="s">
        <v>294</v>
      </c>
      <c r="I11" t="s">
        <v>3919</v>
      </c>
      <c r="J11" t="s">
        <v>294</v>
      </c>
      <c r="K11" t="s">
        <v>294</v>
      </c>
    </row>
    <row r="12" spans="2:11" hidden="1">
      <c r="B12" t="s">
        <v>186</v>
      </c>
      <c r="C12" t="s">
        <v>187</v>
      </c>
      <c r="D12" t="s">
        <v>3920</v>
      </c>
      <c r="E12" t="s">
        <v>3921</v>
      </c>
      <c r="F12">
        <v>0.68</v>
      </c>
      <c r="G12" t="s">
        <v>3922</v>
      </c>
      <c r="H12" t="s">
        <v>274</v>
      </c>
      <c r="J12" t="s">
        <v>274</v>
      </c>
      <c r="K12" t="s">
        <v>274</v>
      </c>
    </row>
    <row r="13" spans="2:11">
      <c r="B13" t="s">
        <v>82</v>
      </c>
      <c r="C13" t="s">
        <v>217</v>
      </c>
      <c r="D13" t="s">
        <v>3923</v>
      </c>
      <c r="E13" t="s">
        <v>3924</v>
      </c>
      <c r="F13">
        <v>8.07</v>
      </c>
      <c r="G13" t="s">
        <v>3925</v>
      </c>
      <c r="H13" t="s">
        <v>294</v>
      </c>
      <c r="J13" t="s">
        <v>294</v>
      </c>
      <c r="K13" t="s">
        <v>294</v>
      </c>
    </row>
    <row r="14" spans="2:11" hidden="1">
      <c r="B14" t="s">
        <v>212</v>
      </c>
      <c r="C14" t="s">
        <v>213</v>
      </c>
      <c r="D14" t="s">
        <v>3926</v>
      </c>
      <c r="E14" t="s">
        <v>3927</v>
      </c>
      <c r="F14">
        <v>8.1199999999999992</v>
      </c>
      <c r="G14" t="s">
        <v>3928</v>
      </c>
      <c r="H14" t="s">
        <v>3498</v>
      </c>
      <c r="J14" t="s">
        <v>3498</v>
      </c>
      <c r="K14" t="s">
        <v>3498</v>
      </c>
    </row>
    <row r="15" spans="2:11">
      <c r="B15" t="s">
        <v>85</v>
      </c>
      <c r="C15" t="s">
        <v>226</v>
      </c>
      <c r="D15" t="s">
        <v>3929</v>
      </c>
      <c r="E15" t="s">
        <v>3930</v>
      </c>
      <c r="F15">
        <v>63.27</v>
      </c>
      <c r="G15" t="s">
        <v>3931</v>
      </c>
      <c r="H15" t="s">
        <v>276</v>
      </c>
      <c r="J15" t="s">
        <v>276</v>
      </c>
      <c r="K15" t="s">
        <v>276</v>
      </c>
    </row>
    <row r="16" spans="2:11" hidden="1">
      <c r="B16" t="s">
        <v>170</v>
      </c>
      <c r="C16" t="s">
        <v>171</v>
      </c>
      <c r="D16" t="s">
        <v>3932</v>
      </c>
      <c r="E16" t="s">
        <v>3933</v>
      </c>
      <c r="F16">
        <v>0.45</v>
      </c>
      <c r="G16" t="s">
        <v>3934</v>
      </c>
      <c r="H16" t="s">
        <v>3079</v>
      </c>
      <c r="J16" t="s">
        <v>3079</v>
      </c>
      <c r="K16" t="s">
        <v>3079</v>
      </c>
    </row>
    <row r="17" spans="2:11" hidden="1">
      <c r="B17" t="s">
        <v>172</v>
      </c>
      <c r="C17" t="s">
        <v>173</v>
      </c>
      <c r="D17" t="s">
        <v>3935</v>
      </c>
      <c r="E17" t="s">
        <v>3936</v>
      </c>
      <c r="F17">
        <v>0.3</v>
      </c>
      <c r="G17" t="s">
        <v>3937</v>
      </c>
      <c r="H17" t="s">
        <v>294</v>
      </c>
      <c r="J17" t="s">
        <v>294</v>
      </c>
      <c r="K17" t="s">
        <v>294</v>
      </c>
    </row>
    <row r="18" spans="2:11" hidden="1">
      <c r="B18" t="s">
        <v>168</v>
      </c>
      <c r="C18" t="s">
        <v>169</v>
      </c>
      <c r="D18" t="s">
        <v>3938</v>
      </c>
      <c r="E18" t="s">
        <v>3939</v>
      </c>
      <c r="F18">
        <v>0.47</v>
      </c>
      <c r="G18" t="s">
        <v>3940</v>
      </c>
      <c r="H18" t="s">
        <v>274</v>
      </c>
      <c r="J18" t="s">
        <v>274</v>
      </c>
      <c r="K18" t="s">
        <v>274</v>
      </c>
    </row>
    <row r="19" spans="2:11" hidden="1">
      <c r="B19" t="s">
        <v>316</v>
      </c>
      <c r="C19" t="s">
        <v>317</v>
      </c>
      <c r="D19" t="s">
        <v>3941</v>
      </c>
      <c r="E19" t="s">
        <v>3942</v>
      </c>
      <c r="F19">
        <v>3.22</v>
      </c>
      <c r="G19" t="s">
        <v>3943</v>
      </c>
      <c r="H19" t="s">
        <v>3498</v>
      </c>
      <c r="J19" t="s">
        <v>3498</v>
      </c>
      <c r="K19" t="s">
        <v>3498</v>
      </c>
    </row>
    <row r="20" spans="2:11" hidden="1">
      <c r="B20" t="s">
        <v>320</v>
      </c>
      <c r="C20" t="s">
        <v>321</v>
      </c>
      <c r="D20" t="s">
        <v>3944</v>
      </c>
      <c r="E20" t="s">
        <v>3945</v>
      </c>
      <c r="F20">
        <v>1.18</v>
      </c>
      <c r="G20" t="s">
        <v>3946</v>
      </c>
      <c r="H20" t="s">
        <v>3498</v>
      </c>
      <c r="J20" t="s">
        <v>3498</v>
      </c>
      <c r="K20" t="s">
        <v>3498</v>
      </c>
    </row>
    <row r="21" spans="2:11" hidden="1">
      <c r="B21" t="s">
        <v>165</v>
      </c>
      <c r="C21" t="s">
        <v>3947</v>
      </c>
      <c r="D21" t="s">
        <v>3948</v>
      </c>
      <c r="E21" t="s">
        <v>3949</v>
      </c>
      <c r="F21">
        <v>0.2</v>
      </c>
      <c r="G21" t="s">
        <v>3950</v>
      </c>
      <c r="H21" t="s">
        <v>3079</v>
      </c>
      <c r="J21" t="s">
        <v>3079</v>
      </c>
      <c r="K21" t="s">
        <v>3079</v>
      </c>
    </row>
    <row r="22" spans="2:11" hidden="1">
      <c r="B22" t="s">
        <v>163</v>
      </c>
      <c r="C22" t="s">
        <v>3951</v>
      </c>
      <c r="D22" t="s">
        <v>3952</v>
      </c>
      <c r="E22" t="s">
        <v>3953</v>
      </c>
      <c r="F22">
        <v>0.55000000000000004</v>
      </c>
      <c r="G22" t="s">
        <v>3954</v>
      </c>
      <c r="H22" t="s">
        <v>3079</v>
      </c>
      <c r="J22" t="s">
        <v>3079</v>
      </c>
      <c r="K22" t="s">
        <v>3079</v>
      </c>
    </row>
    <row r="23" spans="2:11" hidden="1">
      <c r="B23" t="s">
        <v>166</v>
      </c>
      <c r="C23" t="s">
        <v>167</v>
      </c>
      <c r="D23" t="s">
        <v>3955</v>
      </c>
      <c r="E23" t="s">
        <v>3956</v>
      </c>
      <c r="F23">
        <v>0.17</v>
      </c>
      <c r="G23" t="s">
        <v>3957</v>
      </c>
      <c r="H23" t="s">
        <v>3079</v>
      </c>
      <c r="J23" t="s">
        <v>3079</v>
      </c>
      <c r="K23" t="s">
        <v>3079</v>
      </c>
    </row>
    <row r="24" spans="2:11" hidden="1">
      <c r="B24" t="s">
        <v>193</v>
      </c>
      <c r="C24" t="s">
        <v>183</v>
      </c>
      <c r="D24" t="s">
        <v>3958</v>
      </c>
      <c r="E24" t="s">
        <v>3959</v>
      </c>
      <c r="F24">
        <v>1.52</v>
      </c>
      <c r="G24" t="s">
        <v>3960</v>
      </c>
      <c r="H24" t="s">
        <v>277</v>
      </c>
      <c r="J24" t="s">
        <v>277</v>
      </c>
      <c r="K24" t="s">
        <v>277</v>
      </c>
    </row>
    <row r="25" spans="2:11" hidden="1">
      <c r="B25" t="s">
        <v>186</v>
      </c>
      <c r="C25" t="s">
        <v>187</v>
      </c>
      <c r="D25" t="s">
        <v>3961</v>
      </c>
      <c r="E25" t="s">
        <v>3962</v>
      </c>
      <c r="F25">
        <v>0.52</v>
      </c>
      <c r="G25" t="s">
        <v>3963</v>
      </c>
      <c r="H25" t="s">
        <v>3079</v>
      </c>
      <c r="J25" t="s">
        <v>3079</v>
      </c>
      <c r="K25" t="s">
        <v>3079</v>
      </c>
    </row>
    <row r="26" spans="2:11" hidden="1">
      <c r="B26" t="s">
        <v>261</v>
      </c>
      <c r="C26" t="s">
        <v>262</v>
      </c>
      <c r="D26" t="s">
        <v>3964</v>
      </c>
      <c r="E26" t="s">
        <v>3965</v>
      </c>
      <c r="F26">
        <v>3.37</v>
      </c>
      <c r="G26" t="s">
        <v>3966</v>
      </c>
      <c r="H26" t="s">
        <v>294</v>
      </c>
      <c r="J26" t="s">
        <v>294</v>
      </c>
      <c r="K26" t="s">
        <v>294</v>
      </c>
    </row>
    <row r="27" spans="2:11" hidden="1">
      <c r="B27" t="s">
        <v>296</v>
      </c>
      <c r="C27" t="s">
        <v>297</v>
      </c>
      <c r="D27" t="s">
        <v>3967</v>
      </c>
      <c r="E27" t="s">
        <v>3968</v>
      </c>
      <c r="F27">
        <v>2.5299999999999998</v>
      </c>
      <c r="G27" t="s">
        <v>3969</v>
      </c>
      <c r="H27" t="s">
        <v>3079</v>
      </c>
      <c r="J27" t="s">
        <v>3079</v>
      </c>
      <c r="K27" t="s">
        <v>3079</v>
      </c>
    </row>
    <row r="28" spans="2:11" hidden="1">
      <c r="B28" t="s">
        <v>318</v>
      </c>
      <c r="C28" t="s">
        <v>319</v>
      </c>
      <c r="D28" t="s">
        <v>3970</v>
      </c>
    </row>
    <row r="29" spans="2:11" hidden="1">
      <c r="B29" t="s">
        <v>322</v>
      </c>
      <c r="C29" t="s">
        <v>323</v>
      </c>
      <c r="D29" t="s">
        <v>3971</v>
      </c>
      <c r="E29" t="s">
        <v>3972</v>
      </c>
      <c r="F29">
        <v>1.1000000000000001</v>
      </c>
      <c r="G29" t="s">
        <v>3973</v>
      </c>
      <c r="H29" t="s">
        <v>278</v>
      </c>
      <c r="J29" t="s">
        <v>278</v>
      </c>
      <c r="K29" t="s">
        <v>278</v>
      </c>
    </row>
    <row r="30" spans="2:11" hidden="1">
      <c r="B30" t="s">
        <v>194</v>
      </c>
      <c r="C30" t="s">
        <v>183</v>
      </c>
      <c r="D30" t="s">
        <v>3974</v>
      </c>
      <c r="E30" t="s">
        <v>3975</v>
      </c>
      <c r="F30">
        <v>6.18</v>
      </c>
      <c r="G30" t="s">
        <v>3976</v>
      </c>
      <c r="H30" t="s">
        <v>294</v>
      </c>
      <c r="J30" t="s">
        <v>294</v>
      </c>
      <c r="K30" t="s">
        <v>294</v>
      </c>
    </row>
    <row r="31" spans="2:11" hidden="1">
      <c r="B31" t="s">
        <v>310</v>
      </c>
      <c r="C31" t="s">
        <v>311</v>
      </c>
      <c r="D31" t="s">
        <v>3977</v>
      </c>
      <c r="E31" t="s">
        <v>3978</v>
      </c>
      <c r="F31">
        <v>2.98</v>
      </c>
      <c r="G31" t="s">
        <v>3979</v>
      </c>
      <c r="H31" t="s">
        <v>294</v>
      </c>
      <c r="J31" t="s">
        <v>294</v>
      </c>
      <c r="K31" t="s">
        <v>294</v>
      </c>
    </row>
    <row r="32" spans="2:11" hidden="1">
      <c r="B32" t="s">
        <v>220</v>
      </c>
      <c r="C32" t="s">
        <v>221</v>
      </c>
      <c r="D32" t="s">
        <v>3980</v>
      </c>
      <c r="E32" t="s">
        <v>3981</v>
      </c>
      <c r="F32">
        <v>17.27</v>
      </c>
      <c r="G32" t="s">
        <v>3982</v>
      </c>
      <c r="H32" t="s">
        <v>294</v>
      </c>
      <c r="J32" t="s">
        <v>294</v>
      </c>
      <c r="K32" t="s">
        <v>294</v>
      </c>
    </row>
    <row r="33" spans="2:11" hidden="1">
      <c r="B33" t="s">
        <v>184</v>
      </c>
      <c r="C33" t="s">
        <v>185</v>
      </c>
      <c r="D33" t="s">
        <v>3983</v>
      </c>
      <c r="E33" t="s">
        <v>3984</v>
      </c>
      <c r="F33">
        <v>7.27</v>
      </c>
      <c r="G33" t="s">
        <v>3985</v>
      </c>
      <c r="H33" t="s">
        <v>3498</v>
      </c>
      <c r="J33" t="s">
        <v>3498</v>
      </c>
      <c r="K33" t="s">
        <v>3498</v>
      </c>
    </row>
    <row r="34" spans="2:11" hidden="1">
      <c r="B34" t="s">
        <v>188</v>
      </c>
      <c r="C34" t="s">
        <v>189</v>
      </c>
      <c r="D34" t="s">
        <v>3986</v>
      </c>
      <c r="E34" t="s">
        <v>3987</v>
      </c>
      <c r="F34">
        <v>8.23</v>
      </c>
      <c r="G34" t="s">
        <v>3988</v>
      </c>
      <c r="H34" t="s">
        <v>3498</v>
      </c>
      <c r="J34" t="s">
        <v>3498</v>
      </c>
      <c r="K34" t="s">
        <v>3498</v>
      </c>
    </row>
    <row r="35" spans="2:11">
      <c r="B35" t="s">
        <v>83</v>
      </c>
      <c r="C35" t="s">
        <v>201</v>
      </c>
      <c r="D35" t="s">
        <v>3989</v>
      </c>
      <c r="E35" t="s">
        <v>3990</v>
      </c>
      <c r="F35">
        <v>21.43</v>
      </c>
      <c r="G35" t="s">
        <v>3991</v>
      </c>
      <c r="H35" t="s">
        <v>3079</v>
      </c>
      <c r="J35" t="s">
        <v>3079</v>
      </c>
      <c r="K35" t="s">
        <v>3079</v>
      </c>
    </row>
    <row r="36" spans="2:11" hidden="1">
      <c r="B36" t="s">
        <v>170</v>
      </c>
      <c r="C36" t="s">
        <v>171</v>
      </c>
      <c r="D36" t="s">
        <v>3992</v>
      </c>
      <c r="E36" t="s">
        <v>3993</v>
      </c>
      <c r="F36">
        <v>0.85</v>
      </c>
      <c r="G36" t="s">
        <v>3994</v>
      </c>
      <c r="H36" t="s">
        <v>3079</v>
      </c>
      <c r="J36" t="s">
        <v>3079</v>
      </c>
      <c r="K36" t="s">
        <v>3079</v>
      </c>
    </row>
    <row r="37" spans="2:11" hidden="1">
      <c r="B37" t="s">
        <v>218</v>
      </c>
      <c r="C37" t="s">
        <v>177</v>
      </c>
      <c r="D37" t="s">
        <v>3995</v>
      </c>
      <c r="E37" t="s">
        <v>3996</v>
      </c>
      <c r="F37">
        <v>9.32</v>
      </c>
      <c r="G37" t="s">
        <v>3997</v>
      </c>
      <c r="H37" t="s">
        <v>276</v>
      </c>
      <c r="J37" t="s">
        <v>276</v>
      </c>
      <c r="K37" t="s">
        <v>276</v>
      </c>
    </row>
    <row r="38" spans="2:11" hidden="1">
      <c r="B38" t="s">
        <v>212</v>
      </c>
      <c r="C38" t="s">
        <v>213</v>
      </c>
      <c r="D38" t="s">
        <v>3998</v>
      </c>
      <c r="E38" t="s">
        <v>3999</v>
      </c>
      <c r="F38">
        <v>14.93</v>
      </c>
      <c r="G38" t="s">
        <v>4000</v>
      </c>
      <c r="H38" t="s">
        <v>274</v>
      </c>
      <c r="J38" t="s">
        <v>274</v>
      </c>
      <c r="K38" t="s">
        <v>274</v>
      </c>
    </row>
    <row r="39" spans="2:11" hidden="1">
      <c r="B39" t="s">
        <v>168</v>
      </c>
      <c r="C39" t="s">
        <v>169</v>
      </c>
      <c r="D39" t="s">
        <v>4001</v>
      </c>
      <c r="E39" t="s">
        <v>4002</v>
      </c>
      <c r="F39">
        <v>0.17</v>
      </c>
      <c r="G39" t="s">
        <v>4003</v>
      </c>
      <c r="H39" t="s">
        <v>277</v>
      </c>
      <c r="J39" t="s">
        <v>277</v>
      </c>
      <c r="K39" t="s">
        <v>277</v>
      </c>
    </row>
    <row r="40" spans="2:11" hidden="1">
      <c r="B40" t="s">
        <v>186</v>
      </c>
      <c r="C40" t="s">
        <v>187</v>
      </c>
      <c r="D40" t="s">
        <v>4004</v>
      </c>
      <c r="E40" t="s">
        <v>4005</v>
      </c>
      <c r="F40">
        <v>0.4</v>
      </c>
      <c r="G40" t="s">
        <v>4006</v>
      </c>
      <c r="H40" t="s">
        <v>3498</v>
      </c>
      <c r="J40" t="s">
        <v>3498</v>
      </c>
      <c r="K40" t="s">
        <v>3498</v>
      </c>
    </row>
    <row r="41" spans="2:11" hidden="1">
      <c r="B41" t="s">
        <v>172</v>
      </c>
      <c r="C41" t="s">
        <v>173</v>
      </c>
      <c r="D41" t="s">
        <v>4007</v>
      </c>
      <c r="E41" t="s">
        <v>4008</v>
      </c>
      <c r="F41">
        <v>0.15</v>
      </c>
      <c r="G41" t="s">
        <v>4009</v>
      </c>
      <c r="H41" t="s">
        <v>276</v>
      </c>
      <c r="J41" t="s">
        <v>276</v>
      </c>
      <c r="K41" t="s">
        <v>276</v>
      </c>
    </row>
    <row r="42" spans="2:11" hidden="1">
      <c r="B42" t="s">
        <v>180</v>
      </c>
      <c r="C42" t="s">
        <v>181</v>
      </c>
      <c r="D42" t="s">
        <v>4010</v>
      </c>
      <c r="E42" t="s">
        <v>4011</v>
      </c>
      <c r="F42">
        <v>11.6</v>
      </c>
      <c r="G42" t="s">
        <v>4012</v>
      </c>
      <c r="H42" t="s">
        <v>276</v>
      </c>
      <c r="I42" t="s">
        <v>4013</v>
      </c>
      <c r="J42" t="s">
        <v>276</v>
      </c>
      <c r="K42" t="s">
        <v>276</v>
      </c>
    </row>
    <row r="43" spans="2:11" hidden="1">
      <c r="B43" t="s">
        <v>165</v>
      </c>
      <c r="C43" t="s">
        <v>3947</v>
      </c>
      <c r="D43" t="s">
        <v>4014</v>
      </c>
      <c r="E43" t="s">
        <v>4015</v>
      </c>
      <c r="F43">
        <v>0.1</v>
      </c>
      <c r="G43" t="s">
        <v>4016</v>
      </c>
      <c r="H43" t="s">
        <v>3079</v>
      </c>
      <c r="J43" t="s">
        <v>3079</v>
      </c>
      <c r="K43" t="s">
        <v>3079</v>
      </c>
    </row>
    <row r="44" spans="2:11" hidden="1">
      <c r="B44" t="s">
        <v>163</v>
      </c>
      <c r="C44" t="s">
        <v>3951</v>
      </c>
      <c r="D44" t="s">
        <v>4017</v>
      </c>
      <c r="E44" t="s">
        <v>4018</v>
      </c>
      <c r="F44">
        <v>0.37</v>
      </c>
      <c r="G44" t="s">
        <v>4019</v>
      </c>
      <c r="H44" t="s">
        <v>3079</v>
      </c>
      <c r="J44" t="s">
        <v>3079</v>
      </c>
      <c r="K44" t="s">
        <v>3079</v>
      </c>
    </row>
    <row r="45" spans="2:11" hidden="1">
      <c r="B45" t="s">
        <v>166</v>
      </c>
      <c r="C45" t="s">
        <v>167</v>
      </c>
      <c r="D45" t="s">
        <v>4020</v>
      </c>
      <c r="E45" t="s">
        <v>4021</v>
      </c>
      <c r="F45">
        <v>0.1</v>
      </c>
      <c r="G45" t="s">
        <v>4022</v>
      </c>
      <c r="H45" t="s">
        <v>3079</v>
      </c>
      <c r="J45" t="s">
        <v>3079</v>
      </c>
      <c r="K45" t="s">
        <v>3079</v>
      </c>
    </row>
    <row r="46" spans="2:11" hidden="1">
      <c r="B46" t="s">
        <v>208</v>
      </c>
      <c r="C46" t="s">
        <v>209</v>
      </c>
      <c r="D46" t="s">
        <v>4023</v>
      </c>
      <c r="E46" t="s">
        <v>4024</v>
      </c>
      <c r="F46">
        <v>3.38</v>
      </c>
      <c r="G46" t="s">
        <v>4025</v>
      </c>
      <c r="H46" t="s">
        <v>294</v>
      </c>
      <c r="J46" t="s">
        <v>294</v>
      </c>
      <c r="K46" t="s">
        <v>294</v>
      </c>
    </row>
    <row r="47" spans="2:11" hidden="1">
      <c r="B47" t="s">
        <v>236</v>
      </c>
      <c r="C47" t="s">
        <v>237</v>
      </c>
      <c r="D47" t="s">
        <v>4026</v>
      </c>
      <c r="E47" t="s">
        <v>4027</v>
      </c>
      <c r="F47">
        <v>15.03</v>
      </c>
      <c r="G47" t="s">
        <v>4028</v>
      </c>
      <c r="H47" t="s">
        <v>274</v>
      </c>
      <c r="J47" t="s">
        <v>274</v>
      </c>
      <c r="K47" t="s">
        <v>274</v>
      </c>
    </row>
    <row r="48" spans="2:11" hidden="1">
      <c r="B48" t="s">
        <v>180</v>
      </c>
      <c r="C48" t="s">
        <v>181</v>
      </c>
      <c r="D48" t="s">
        <v>4029</v>
      </c>
      <c r="E48" t="s">
        <v>4030</v>
      </c>
      <c r="F48">
        <v>15.18</v>
      </c>
      <c r="G48" t="s">
        <v>4031</v>
      </c>
      <c r="H48" t="s">
        <v>278</v>
      </c>
      <c r="J48" t="s">
        <v>278</v>
      </c>
      <c r="K48" t="s">
        <v>278</v>
      </c>
    </row>
    <row r="49" spans="2:11" hidden="1">
      <c r="B49" t="s">
        <v>332</v>
      </c>
      <c r="C49" t="s">
        <v>333</v>
      </c>
      <c r="D49" t="s">
        <v>4032</v>
      </c>
      <c r="E49" t="s">
        <v>4033</v>
      </c>
      <c r="F49">
        <v>1.82</v>
      </c>
      <c r="G49" t="s">
        <v>4034</v>
      </c>
      <c r="H49" t="s">
        <v>3079</v>
      </c>
      <c r="J49" t="s">
        <v>3079</v>
      </c>
      <c r="K49" t="s">
        <v>3079</v>
      </c>
    </row>
    <row r="50" spans="2:11" hidden="1">
      <c r="B50" t="s">
        <v>271</v>
      </c>
      <c r="C50" t="s">
        <v>272</v>
      </c>
      <c r="D50" t="s">
        <v>4035</v>
      </c>
      <c r="E50" t="s">
        <v>4036</v>
      </c>
      <c r="F50">
        <v>1.93</v>
      </c>
      <c r="G50" t="s">
        <v>4037</v>
      </c>
      <c r="H50" t="s">
        <v>3498</v>
      </c>
      <c r="J50" t="s">
        <v>3498</v>
      </c>
      <c r="K50" t="s">
        <v>3498</v>
      </c>
    </row>
    <row r="51" spans="2:11" hidden="1">
      <c r="B51" t="s">
        <v>269</v>
      </c>
      <c r="C51" t="s">
        <v>270</v>
      </c>
      <c r="D51" t="s">
        <v>4038</v>
      </c>
      <c r="E51" t="s">
        <v>4039</v>
      </c>
      <c r="F51">
        <v>1.95</v>
      </c>
      <c r="G51" t="s">
        <v>4040</v>
      </c>
      <c r="H51" t="s">
        <v>3498</v>
      </c>
      <c r="J51" t="s">
        <v>3498</v>
      </c>
      <c r="K51" t="s">
        <v>3498</v>
      </c>
    </row>
    <row r="52" spans="2:11" hidden="1">
      <c r="B52" t="s">
        <v>210</v>
      </c>
      <c r="C52" t="s">
        <v>211</v>
      </c>
      <c r="D52" t="s">
        <v>4041</v>
      </c>
      <c r="E52" t="s">
        <v>4042</v>
      </c>
      <c r="F52">
        <v>1.33</v>
      </c>
      <c r="G52" t="s">
        <v>4043</v>
      </c>
      <c r="H52" t="s">
        <v>3498</v>
      </c>
      <c r="J52" t="s">
        <v>3498</v>
      </c>
      <c r="K52" t="s">
        <v>3498</v>
      </c>
    </row>
    <row r="53" spans="2:11" hidden="1">
      <c r="B53" t="s">
        <v>233</v>
      </c>
      <c r="C53" t="s">
        <v>234</v>
      </c>
      <c r="D53" t="s">
        <v>4044</v>
      </c>
      <c r="E53" t="s">
        <v>4045</v>
      </c>
      <c r="F53">
        <v>1.43</v>
      </c>
      <c r="G53" t="s">
        <v>4046</v>
      </c>
      <c r="H53" t="s">
        <v>3498</v>
      </c>
      <c r="J53" t="s">
        <v>3498</v>
      </c>
      <c r="K53" t="s">
        <v>3498</v>
      </c>
    </row>
    <row r="54" spans="2:11" hidden="1">
      <c r="B54" t="s">
        <v>235</v>
      </c>
      <c r="C54" t="s">
        <v>234</v>
      </c>
      <c r="D54" t="s">
        <v>4047</v>
      </c>
      <c r="E54" t="s">
        <v>4048</v>
      </c>
      <c r="F54">
        <v>1.45</v>
      </c>
      <c r="G54" t="s">
        <v>4049</v>
      </c>
      <c r="H54" t="s">
        <v>3498</v>
      </c>
      <c r="J54" t="s">
        <v>3498</v>
      </c>
      <c r="K54" t="s">
        <v>3498</v>
      </c>
    </row>
    <row r="55" spans="2:11" hidden="1">
      <c r="B55" t="s">
        <v>661</v>
      </c>
      <c r="C55" t="s">
        <v>183</v>
      </c>
      <c r="D55" t="s">
        <v>4050</v>
      </c>
      <c r="E55" t="s">
        <v>4051</v>
      </c>
      <c r="F55">
        <v>0.27</v>
      </c>
      <c r="G55" t="s">
        <v>4052</v>
      </c>
      <c r="H55" t="s">
        <v>276</v>
      </c>
      <c r="J55" t="s">
        <v>276</v>
      </c>
      <c r="K55" t="s">
        <v>276</v>
      </c>
    </row>
    <row r="56" spans="2:11" hidden="1">
      <c r="B56" t="s">
        <v>174</v>
      </c>
      <c r="C56" t="s">
        <v>175</v>
      </c>
      <c r="D56" t="s">
        <v>4053</v>
      </c>
      <c r="E56" t="s">
        <v>4054</v>
      </c>
      <c r="F56">
        <v>5.83</v>
      </c>
      <c r="G56" t="s">
        <v>4055</v>
      </c>
      <c r="H56" t="s">
        <v>3498</v>
      </c>
      <c r="J56" t="s">
        <v>3498</v>
      </c>
      <c r="K56" t="s">
        <v>3498</v>
      </c>
    </row>
    <row r="57" spans="2:11" hidden="1">
      <c r="B57" t="s">
        <v>176</v>
      </c>
      <c r="C57" t="s">
        <v>177</v>
      </c>
      <c r="D57" t="s">
        <v>4056</v>
      </c>
      <c r="E57" t="s">
        <v>4057</v>
      </c>
      <c r="F57">
        <v>1.9</v>
      </c>
      <c r="G57" t="s">
        <v>4058</v>
      </c>
      <c r="H57" t="s">
        <v>3498</v>
      </c>
      <c r="J57" t="s">
        <v>3498</v>
      </c>
      <c r="K57" t="s">
        <v>3498</v>
      </c>
    </row>
    <row r="58" spans="2:11" hidden="1">
      <c r="B58" t="s">
        <v>318</v>
      </c>
      <c r="C58" t="s">
        <v>319</v>
      </c>
      <c r="D58" t="s">
        <v>4059</v>
      </c>
      <c r="E58" t="s">
        <v>4060</v>
      </c>
      <c r="F58">
        <v>2.58</v>
      </c>
      <c r="G58" t="s">
        <v>4061</v>
      </c>
      <c r="H58" t="s">
        <v>3079</v>
      </c>
      <c r="J58" t="s">
        <v>3079</v>
      </c>
      <c r="K58" t="s">
        <v>3079</v>
      </c>
    </row>
    <row r="59" spans="2:11" hidden="1">
      <c r="B59" t="s">
        <v>195</v>
      </c>
      <c r="C59" t="s">
        <v>196</v>
      </c>
      <c r="D59" t="s">
        <v>4062</v>
      </c>
      <c r="E59" t="s">
        <v>4063</v>
      </c>
      <c r="F59">
        <v>18.05</v>
      </c>
      <c r="G59" t="s">
        <v>4064</v>
      </c>
      <c r="H59" t="s">
        <v>278</v>
      </c>
      <c r="J59" t="s">
        <v>278</v>
      </c>
      <c r="K59" t="s">
        <v>278</v>
      </c>
    </row>
    <row r="60" spans="2:11" hidden="1">
      <c r="B60" t="s">
        <v>242</v>
      </c>
      <c r="C60" t="s">
        <v>243</v>
      </c>
      <c r="D60" t="s">
        <v>4065</v>
      </c>
      <c r="E60" t="s">
        <v>4066</v>
      </c>
      <c r="F60">
        <v>2.97</v>
      </c>
      <c r="G60" t="s">
        <v>4067</v>
      </c>
      <c r="H60" t="s">
        <v>3498</v>
      </c>
      <c r="J60" t="s">
        <v>3498</v>
      </c>
      <c r="K60" t="s">
        <v>3498</v>
      </c>
    </row>
    <row r="61" spans="2:11" hidden="1">
      <c r="B61" t="s">
        <v>215</v>
      </c>
      <c r="C61" t="s">
        <v>216</v>
      </c>
      <c r="D61" t="s">
        <v>4068</v>
      </c>
      <c r="E61" t="s">
        <v>4069</v>
      </c>
      <c r="F61">
        <v>8.43</v>
      </c>
      <c r="G61" t="s">
        <v>4070</v>
      </c>
      <c r="H61" t="s">
        <v>3498</v>
      </c>
      <c r="J61" t="s">
        <v>3498</v>
      </c>
      <c r="K61" t="s">
        <v>3498</v>
      </c>
    </row>
    <row r="62" spans="2:11" hidden="1">
      <c r="B62" t="s">
        <v>247</v>
      </c>
      <c r="C62" t="s">
        <v>248</v>
      </c>
      <c r="D62" t="s">
        <v>4071</v>
      </c>
      <c r="E62" t="s">
        <v>4072</v>
      </c>
      <c r="F62">
        <v>2.12</v>
      </c>
      <c r="G62" t="s">
        <v>4073</v>
      </c>
      <c r="H62" t="s">
        <v>3498</v>
      </c>
      <c r="J62" t="s">
        <v>3498</v>
      </c>
      <c r="K62" t="s">
        <v>3498</v>
      </c>
    </row>
    <row r="63" spans="2:11" hidden="1">
      <c r="B63" t="s">
        <v>240</v>
      </c>
      <c r="C63" t="s">
        <v>241</v>
      </c>
      <c r="D63" t="s">
        <v>4074</v>
      </c>
      <c r="E63" t="s">
        <v>4075</v>
      </c>
      <c r="F63">
        <v>13.75</v>
      </c>
      <c r="G63" t="s">
        <v>4076</v>
      </c>
      <c r="H63" t="s">
        <v>276</v>
      </c>
      <c r="J63" t="s">
        <v>276</v>
      </c>
      <c r="K63" t="s">
        <v>276</v>
      </c>
    </row>
    <row r="64" spans="2:11" hidden="1">
      <c r="B64" t="s">
        <v>562</v>
      </c>
      <c r="C64" t="s">
        <v>563</v>
      </c>
      <c r="D64" t="s">
        <v>4077</v>
      </c>
      <c r="E64" t="s">
        <v>4078</v>
      </c>
      <c r="F64">
        <v>0.56999999999999995</v>
      </c>
      <c r="G64" t="s">
        <v>4079</v>
      </c>
      <c r="H64" t="s">
        <v>276</v>
      </c>
      <c r="J64" t="s">
        <v>276</v>
      </c>
      <c r="K64" t="s">
        <v>276</v>
      </c>
    </row>
    <row r="65" spans="2:11" hidden="1">
      <c r="B65" t="s">
        <v>193</v>
      </c>
      <c r="C65" t="s">
        <v>183</v>
      </c>
      <c r="D65" t="s">
        <v>4080</v>
      </c>
      <c r="E65" t="s">
        <v>4081</v>
      </c>
      <c r="F65">
        <v>1.22</v>
      </c>
      <c r="G65" t="s">
        <v>4082</v>
      </c>
      <c r="H65" t="s">
        <v>276</v>
      </c>
      <c r="J65" t="s">
        <v>276</v>
      </c>
      <c r="K65" t="s">
        <v>276</v>
      </c>
    </row>
    <row r="66" spans="2:11" hidden="1">
      <c r="B66" t="s">
        <v>191</v>
      </c>
      <c r="C66" t="s">
        <v>183</v>
      </c>
      <c r="D66" t="s">
        <v>4083</v>
      </c>
      <c r="E66" t="s">
        <v>4084</v>
      </c>
      <c r="F66">
        <v>1.4</v>
      </c>
      <c r="G66" t="s">
        <v>4085</v>
      </c>
      <c r="H66" t="s">
        <v>276</v>
      </c>
      <c r="J66" t="s">
        <v>276</v>
      </c>
      <c r="K66" t="s">
        <v>276</v>
      </c>
    </row>
    <row r="67" spans="2:11" hidden="1">
      <c r="B67" t="s">
        <v>192</v>
      </c>
      <c r="C67" t="s">
        <v>183</v>
      </c>
      <c r="D67" t="s">
        <v>4086</v>
      </c>
      <c r="E67" t="s">
        <v>4087</v>
      </c>
      <c r="F67">
        <v>1.72</v>
      </c>
      <c r="G67" t="s">
        <v>4088</v>
      </c>
      <c r="H67" t="s">
        <v>276</v>
      </c>
      <c r="J67" t="s">
        <v>276</v>
      </c>
      <c r="K67" t="s">
        <v>276</v>
      </c>
    </row>
    <row r="68" spans="2:11" hidden="1">
      <c r="B68" t="s">
        <v>182</v>
      </c>
      <c r="C68" t="s">
        <v>183</v>
      </c>
      <c r="D68" t="s">
        <v>4089</v>
      </c>
      <c r="E68" t="s">
        <v>4090</v>
      </c>
      <c r="F68">
        <v>0.52</v>
      </c>
      <c r="G68" t="s">
        <v>4091</v>
      </c>
      <c r="H68" t="s">
        <v>294</v>
      </c>
      <c r="J68" t="s">
        <v>294</v>
      </c>
      <c r="K68" t="s">
        <v>294</v>
      </c>
    </row>
    <row r="69" spans="2:11" hidden="1">
      <c r="B69" t="s">
        <v>219</v>
      </c>
      <c r="C69" t="s">
        <v>183</v>
      </c>
      <c r="D69" t="s">
        <v>4092</v>
      </c>
      <c r="E69" t="s">
        <v>4093</v>
      </c>
      <c r="F69">
        <v>2</v>
      </c>
      <c r="G69" t="s">
        <v>4094</v>
      </c>
      <c r="H69" t="s">
        <v>276</v>
      </c>
      <c r="J69" t="s">
        <v>276</v>
      </c>
      <c r="K69" t="s">
        <v>276</v>
      </c>
    </row>
    <row r="70" spans="2:11" hidden="1">
      <c r="B70" t="s">
        <v>304</v>
      </c>
      <c r="C70" t="s">
        <v>305</v>
      </c>
      <c r="D70" t="s">
        <v>4095</v>
      </c>
      <c r="E70" t="s">
        <v>4096</v>
      </c>
      <c r="F70">
        <v>12.53</v>
      </c>
      <c r="G70" t="s">
        <v>4097</v>
      </c>
      <c r="H70" t="s">
        <v>294</v>
      </c>
      <c r="J70" t="s">
        <v>294</v>
      </c>
      <c r="K70" t="s">
        <v>294</v>
      </c>
    </row>
    <row r="71" spans="2:11" hidden="1">
      <c r="B71" t="s">
        <v>178</v>
      </c>
      <c r="C71" t="s">
        <v>179</v>
      </c>
      <c r="D71" t="s">
        <v>4098</v>
      </c>
      <c r="E71" t="s">
        <v>4099</v>
      </c>
      <c r="F71">
        <v>1.43</v>
      </c>
      <c r="G71" t="s">
        <v>4100</v>
      </c>
      <c r="H71" t="s">
        <v>3498</v>
      </c>
      <c r="J71" t="s">
        <v>3498</v>
      </c>
      <c r="K71" t="s">
        <v>3498</v>
      </c>
    </row>
    <row r="72" spans="2:11" hidden="1">
      <c r="B72" t="s">
        <v>257</v>
      </c>
      <c r="C72" t="s">
        <v>252</v>
      </c>
      <c r="D72" t="s">
        <v>4101</v>
      </c>
      <c r="E72" t="s">
        <v>4102</v>
      </c>
      <c r="F72">
        <v>3.98</v>
      </c>
      <c r="G72" t="s">
        <v>4103</v>
      </c>
      <c r="H72" t="s">
        <v>276</v>
      </c>
      <c r="J72" t="s">
        <v>276</v>
      </c>
      <c r="K72" t="s">
        <v>276</v>
      </c>
    </row>
    <row r="73" spans="2:11" hidden="1">
      <c r="B73" t="s">
        <v>251</v>
      </c>
      <c r="C73" t="s">
        <v>252</v>
      </c>
      <c r="D73" t="s">
        <v>4104</v>
      </c>
      <c r="E73" t="s">
        <v>4105</v>
      </c>
      <c r="F73">
        <v>3.98</v>
      </c>
      <c r="G73" t="s">
        <v>4106</v>
      </c>
      <c r="H73" t="s">
        <v>276</v>
      </c>
      <c r="J73" t="s">
        <v>276</v>
      </c>
      <c r="K73" t="s">
        <v>276</v>
      </c>
    </row>
    <row r="74" spans="2:11" hidden="1">
      <c r="B74" t="s">
        <v>254</v>
      </c>
      <c r="C74" t="s">
        <v>252</v>
      </c>
      <c r="D74" t="s">
        <v>4107</v>
      </c>
      <c r="E74" t="s">
        <v>4108</v>
      </c>
      <c r="F74">
        <v>3.98</v>
      </c>
      <c r="G74" t="s">
        <v>4109</v>
      </c>
      <c r="H74" t="s">
        <v>276</v>
      </c>
      <c r="J74" t="s">
        <v>276</v>
      </c>
      <c r="K74" t="s">
        <v>276</v>
      </c>
    </row>
    <row r="75" spans="2:11" hidden="1">
      <c r="B75" t="s">
        <v>339</v>
      </c>
      <c r="C75" t="s">
        <v>340</v>
      </c>
      <c r="D75" t="s">
        <v>4110</v>
      </c>
      <c r="E75" t="s">
        <v>4111</v>
      </c>
      <c r="F75">
        <v>1.3</v>
      </c>
      <c r="G75" t="s">
        <v>4112</v>
      </c>
      <c r="H75" t="s">
        <v>3498</v>
      </c>
      <c r="J75" t="s">
        <v>3498</v>
      </c>
      <c r="K75" t="s">
        <v>3498</v>
      </c>
    </row>
    <row r="76" spans="2:11">
      <c r="B76" t="s">
        <v>82</v>
      </c>
      <c r="C76" t="s">
        <v>217</v>
      </c>
      <c r="D76" t="s">
        <v>4113</v>
      </c>
      <c r="E76" t="s">
        <v>4114</v>
      </c>
      <c r="F76">
        <v>9.2799999999999994</v>
      </c>
      <c r="G76" t="s">
        <v>4115</v>
      </c>
      <c r="H76" t="s">
        <v>3498</v>
      </c>
      <c r="J76" t="s">
        <v>3498</v>
      </c>
      <c r="K76" t="s">
        <v>3498</v>
      </c>
    </row>
    <row r="77" spans="2:11" hidden="1">
      <c r="B77" t="s">
        <v>253</v>
      </c>
      <c r="C77" t="s">
        <v>252</v>
      </c>
      <c r="D77" t="s">
        <v>4116</v>
      </c>
      <c r="E77" t="s">
        <v>4117</v>
      </c>
      <c r="F77">
        <v>17.28</v>
      </c>
      <c r="G77" t="s">
        <v>4118</v>
      </c>
      <c r="H77" t="s">
        <v>3079</v>
      </c>
      <c r="J77" t="s">
        <v>3079</v>
      </c>
      <c r="K77" t="s">
        <v>3079</v>
      </c>
    </row>
    <row r="78" spans="2:11" hidden="1">
      <c r="B78" t="s">
        <v>186</v>
      </c>
      <c r="C78" t="s">
        <v>187</v>
      </c>
      <c r="D78" t="s">
        <v>4119</v>
      </c>
      <c r="E78" t="s">
        <v>4120</v>
      </c>
      <c r="F78">
        <v>0.28000000000000003</v>
      </c>
      <c r="G78" t="s">
        <v>4121</v>
      </c>
      <c r="H78" t="s">
        <v>274</v>
      </c>
      <c r="J78" t="s">
        <v>274</v>
      </c>
      <c r="K78" t="s">
        <v>274</v>
      </c>
    </row>
    <row r="79" spans="2:11" hidden="1">
      <c r="B79" t="s">
        <v>170</v>
      </c>
      <c r="C79" t="s">
        <v>171</v>
      </c>
      <c r="D79" t="s">
        <v>4122</v>
      </c>
      <c r="E79" t="s">
        <v>4123</v>
      </c>
      <c r="F79">
        <v>0.17</v>
      </c>
      <c r="G79" t="s">
        <v>4124</v>
      </c>
      <c r="H79" t="s">
        <v>274</v>
      </c>
      <c r="J79" t="s">
        <v>274</v>
      </c>
      <c r="K79" t="s">
        <v>274</v>
      </c>
    </row>
    <row r="80" spans="2:11" hidden="1">
      <c r="B80" t="s">
        <v>168</v>
      </c>
      <c r="C80" t="s">
        <v>169</v>
      </c>
      <c r="D80" t="s">
        <v>4125</v>
      </c>
      <c r="E80" t="s">
        <v>4126</v>
      </c>
      <c r="F80">
        <v>0.43</v>
      </c>
      <c r="G80" t="s">
        <v>4127</v>
      </c>
      <c r="H80" t="s">
        <v>294</v>
      </c>
      <c r="J80" t="s">
        <v>294</v>
      </c>
      <c r="K80" t="s">
        <v>294</v>
      </c>
    </row>
    <row r="81" spans="2:11" hidden="1">
      <c r="B81" t="s">
        <v>172</v>
      </c>
      <c r="C81" t="s">
        <v>173</v>
      </c>
      <c r="D81" t="s">
        <v>4128</v>
      </c>
      <c r="E81" t="s">
        <v>4129</v>
      </c>
      <c r="F81">
        <v>0.72</v>
      </c>
      <c r="G81" t="s">
        <v>4130</v>
      </c>
      <c r="H81" t="s">
        <v>3498</v>
      </c>
      <c r="J81" t="s">
        <v>3498</v>
      </c>
      <c r="K81" t="s">
        <v>3498</v>
      </c>
    </row>
    <row r="82" spans="2:11" hidden="1">
      <c r="B82" t="s">
        <v>165</v>
      </c>
      <c r="C82" t="s">
        <v>3947</v>
      </c>
      <c r="D82" t="s">
        <v>4131</v>
      </c>
      <c r="E82" t="s">
        <v>4132</v>
      </c>
      <c r="F82">
        <v>0.1</v>
      </c>
      <c r="G82" t="s">
        <v>4133</v>
      </c>
      <c r="H82" t="s">
        <v>3079</v>
      </c>
      <c r="J82" t="s">
        <v>3079</v>
      </c>
      <c r="K82" t="s">
        <v>3079</v>
      </c>
    </row>
    <row r="83" spans="2:11" hidden="1">
      <c r="B83" t="s">
        <v>166</v>
      </c>
      <c r="C83" t="s">
        <v>167</v>
      </c>
      <c r="D83" t="s">
        <v>4134</v>
      </c>
      <c r="E83" t="s">
        <v>4135</v>
      </c>
      <c r="F83">
        <v>0.08</v>
      </c>
      <c r="G83" t="s">
        <v>4136</v>
      </c>
      <c r="H83" t="s">
        <v>3079</v>
      </c>
      <c r="J83" t="s">
        <v>3079</v>
      </c>
      <c r="K83" t="s">
        <v>3079</v>
      </c>
    </row>
    <row r="84" spans="2:11" hidden="1">
      <c r="B84" t="s">
        <v>212</v>
      </c>
      <c r="C84" t="s">
        <v>213</v>
      </c>
      <c r="D84" t="s">
        <v>4137</v>
      </c>
      <c r="E84" t="s">
        <v>4138</v>
      </c>
      <c r="F84">
        <v>7.18</v>
      </c>
      <c r="G84" t="s">
        <v>4139</v>
      </c>
      <c r="H84" t="s">
        <v>274</v>
      </c>
      <c r="J84" t="s">
        <v>274</v>
      </c>
      <c r="K84" t="s">
        <v>274</v>
      </c>
    </row>
    <row r="85" spans="2:11">
      <c r="B85" t="s">
        <v>287</v>
      </c>
      <c r="C85" t="s">
        <v>288</v>
      </c>
      <c r="D85" t="s">
        <v>4140</v>
      </c>
      <c r="E85" t="s">
        <v>4141</v>
      </c>
      <c r="F85">
        <v>9.9700000000000006</v>
      </c>
      <c r="G85" t="s">
        <v>4142</v>
      </c>
      <c r="H85" t="s">
        <v>274</v>
      </c>
      <c r="J85" t="s">
        <v>274</v>
      </c>
      <c r="K85" t="s">
        <v>274</v>
      </c>
    </row>
    <row r="86" spans="2:11" hidden="1">
      <c r="B86" t="s">
        <v>163</v>
      </c>
      <c r="C86" t="s">
        <v>3951</v>
      </c>
      <c r="D86" t="s">
        <v>4143</v>
      </c>
      <c r="E86" t="s">
        <v>4144</v>
      </c>
      <c r="F86">
        <v>0.03</v>
      </c>
      <c r="G86" t="s">
        <v>4145</v>
      </c>
      <c r="H86" t="s">
        <v>3079</v>
      </c>
      <c r="J86" t="s">
        <v>3079</v>
      </c>
      <c r="K86" t="s">
        <v>3079</v>
      </c>
    </row>
    <row r="87" spans="2:11" hidden="1">
      <c r="B87" t="s">
        <v>220</v>
      </c>
      <c r="C87" t="s">
        <v>221</v>
      </c>
      <c r="D87" t="s">
        <v>4146</v>
      </c>
      <c r="E87" t="s">
        <v>4147</v>
      </c>
      <c r="F87">
        <v>7.68</v>
      </c>
      <c r="G87" t="s">
        <v>4148</v>
      </c>
      <c r="H87" t="s">
        <v>274</v>
      </c>
      <c r="J87" t="s">
        <v>274</v>
      </c>
      <c r="K87" t="s">
        <v>274</v>
      </c>
    </row>
    <row r="88" spans="2:11" hidden="1">
      <c r="B88" t="s">
        <v>279</v>
      </c>
      <c r="C88" t="s">
        <v>280</v>
      </c>
      <c r="D88" t="s">
        <v>4149</v>
      </c>
      <c r="E88" t="s">
        <v>4150</v>
      </c>
      <c r="F88">
        <v>1.48</v>
      </c>
      <c r="G88" t="s">
        <v>4151</v>
      </c>
      <c r="H88" t="s">
        <v>3079</v>
      </c>
      <c r="J88" t="s">
        <v>3079</v>
      </c>
      <c r="K88" t="s">
        <v>3079</v>
      </c>
    </row>
    <row r="89" spans="2:11" hidden="1">
      <c r="B89" t="s">
        <v>308</v>
      </c>
      <c r="C89" t="s">
        <v>309</v>
      </c>
      <c r="D89" t="s">
        <v>4152</v>
      </c>
      <c r="E89" t="s">
        <v>4153</v>
      </c>
      <c r="F89">
        <v>2.63</v>
      </c>
      <c r="G89" t="s">
        <v>4154</v>
      </c>
      <c r="H89" t="s">
        <v>294</v>
      </c>
      <c r="J89" t="s">
        <v>294</v>
      </c>
      <c r="K89" t="s">
        <v>294</v>
      </c>
    </row>
    <row r="90" spans="2:11" hidden="1">
      <c r="B90" t="s">
        <v>168</v>
      </c>
      <c r="C90" t="s">
        <v>169</v>
      </c>
      <c r="D90" t="s">
        <v>4155</v>
      </c>
      <c r="E90" t="s">
        <v>4156</v>
      </c>
      <c r="F90">
        <v>0.32</v>
      </c>
      <c r="G90" t="s">
        <v>4157</v>
      </c>
      <c r="H90" t="s">
        <v>3079</v>
      </c>
      <c r="J90" t="s">
        <v>3079</v>
      </c>
      <c r="K90" t="s">
        <v>3079</v>
      </c>
    </row>
    <row r="91" spans="2:11">
      <c r="B91" t="s">
        <v>84</v>
      </c>
      <c r="C91" t="s">
        <v>190</v>
      </c>
      <c r="D91" t="s">
        <v>4158</v>
      </c>
      <c r="E91" t="s">
        <v>4159</v>
      </c>
      <c r="F91">
        <v>7.98</v>
      </c>
      <c r="G91" t="s">
        <v>4160</v>
      </c>
      <c r="H91" t="s">
        <v>294</v>
      </c>
      <c r="J91" t="s">
        <v>294</v>
      </c>
      <c r="K91" t="s">
        <v>294</v>
      </c>
    </row>
    <row r="92" spans="2:11" hidden="1">
      <c r="B92" t="s">
        <v>195</v>
      </c>
      <c r="C92" t="s">
        <v>196</v>
      </c>
      <c r="D92" t="s">
        <v>4161</v>
      </c>
      <c r="E92" t="s">
        <v>4162</v>
      </c>
      <c r="F92">
        <v>7.93</v>
      </c>
      <c r="G92" t="s">
        <v>4163</v>
      </c>
      <c r="H92" t="s">
        <v>294</v>
      </c>
      <c r="J92" t="s">
        <v>294</v>
      </c>
      <c r="K92" t="s">
        <v>294</v>
      </c>
    </row>
    <row r="93" spans="2:11" hidden="1">
      <c r="B93" t="s">
        <v>238</v>
      </c>
      <c r="C93" t="s">
        <v>239</v>
      </c>
      <c r="D93" t="s">
        <v>4164</v>
      </c>
      <c r="E93" t="s">
        <v>4165</v>
      </c>
      <c r="F93">
        <v>9.25</v>
      </c>
      <c r="G93" t="s">
        <v>4166</v>
      </c>
      <c r="H93" t="s">
        <v>294</v>
      </c>
      <c r="J93" t="s">
        <v>294</v>
      </c>
      <c r="K93" t="s">
        <v>294</v>
      </c>
    </row>
    <row r="94" spans="2:11" hidden="1">
      <c r="B94" t="s">
        <v>249</v>
      </c>
      <c r="C94" t="s">
        <v>250</v>
      </c>
      <c r="D94" t="s">
        <v>4167</v>
      </c>
      <c r="E94" t="s">
        <v>4168</v>
      </c>
      <c r="F94">
        <v>0.7</v>
      </c>
      <c r="G94" t="s">
        <v>4169</v>
      </c>
      <c r="H94" t="s">
        <v>3079</v>
      </c>
      <c r="J94" t="s">
        <v>3079</v>
      </c>
      <c r="K94" t="s">
        <v>3079</v>
      </c>
    </row>
    <row r="95" spans="2:11" hidden="1">
      <c r="B95" t="s">
        <v>281</v>
      </c>
      <c r="C95" t="s">
        <v>282</v>
      </c>
      <c r="D95" t="s">
        <v>4170</v>
      </c>
      <c r="E95" t="s">
        <v>4171</v>
      </c>
      <c r="F95">
        <v>1.45</v>
      </c>
      <c r="G95" t="s">
        <v>4172</v>
      </c>
      <c r="H95" t="s">
        <v>294</v>
      </c>
      <c r="J95" t="s">
        <v>294</v>
      </c>
      <c r="K95" t="s">
        <v>294</v>
      </c>
    </row>
    <row r="96" spans="2:11" hidden="1">
      <c r="B96" t="s">
        <v>180</v>
      </c>
      <c r="C96" t="s">
        <v>181</v>
      </c>
      <c r="D96" t="s">
        <v>4173</v>
      </c>
      <c r="E96" t="s">
        <v>4174</v>
      </c>
      <c r="F96">
        <v>9.85</v>
      </c>
      <c r="G96" t="s">
        <v>4175</v>
      </c>
      <c r="H96" t="s">
        <v>294</v>
      </c>
      <c r="J96" t="s">
        <v>294</v>
      </c>
      <c r="K96" t="s">
        <v>294</v>
      </c>
    </row>
    <row r="97" spans="2:11" hidden="1">
      <c r="B97" t="s">
        <v>231</v>
      </c>
      <c r="C97" t="s">
        <v>232</v>
      </c>
      <c r="D97" t="s">
        <v>4176</v>
      </c>
      <c r="E97" t="s">
        <v>4177</v>
      </c>
      <c r="F97">
        <v>12.15</v>
      </c>
      <c r="G97" t="s">
        <v>4178</v>
      </c>
      <c r="H97" t="s">
        <v>294</v>
      </c>
      <c r="J97" t="s">
        <v>294</v>
      </c>
      <c r="K97" t="s">
        <v>294</v>
      </c>
    </row>
    <row r="98" spans="2:11" hidden="1">
      <c r="B98" t="s">
        <v>269</v>
      </c>
      <c r="C98" t="s">
        <v>270</v>
      </c>
      <c r="D98" t="s">
        <v>4179</v>
      </c>
      <c r="E98" t="s">
        <v>4180</v>
      </c>
      <c r="F98">
        <v>0.13</v>
      </c>
      <c r="G98" t="s">
        <v>4181</v>
      </c>
      <c r="H98" t="s">
        <v>278</v>
      </c>
      <c r="J98" t="s">
        <v>278</v>
      </c>
      <c r="K98" t="s">
        <v>278</v>
      </c>
    </row>
    <row r="99" spans="2:11">
      <c r="B99" t="s">
        <v>83</v>
      </c>
      <c r="C99" t="s">
        <v>201</v>
      </c>
      <c r="D99" t="s">
        <v>4182</v>
      </c>
      <c r="E99" t="s">
        <v>4183</v>
      </c>
      <c r="F99">
        <v>7.55</v>
      </c>
      <c r="G99" t="s">
        <v>4184</v>
      </c>
      <c r="H99" t="s">
        <v>294</v>
      </c>
      <c r="J99" t="s">
        <v>294</v>
      </c>
      <c r="K99" t="s">
        <v>294</v>
      </c>
    </row>
    <row r="100" spans="2:11" hidden="1">
      <c r="B100" t="s">
        <v>184</v>
      </c>
      <c r="C100" t="s">
        <v>185</v>
      </c>
      <c r="D100" t="s">
        <v>4185</v>
      </c>
      <c r="E100" t="s">
        <v>4186</v>
      </c>
      <c r="F100">
        <v>32.35</v>
      </c>
      <c r="G100" t="s">
        <v>4187</v>
      </c>
      <c r="H100" t="s">
        <v>278</v>
      </c>
      <c r="J100" t="s">
        <v>278</v>
      </c>
      <c r="K100" t="s">
        <v>278</v>
      </c>
    </row>
    <row r="101" spans="2:11" hidden="1">
      <c r="B101" t="s">
        <v>188</v>
      </c>
      <c r="C101" t="s">
        <v>189</v>
      </c>
      <c r="D101" t="s">
        <v>4188</v>
      </c>
      <c r="E101" t="s">
        <v>4189</v>
      </c>
      <c r="F101">
        <v>16.95</v>
      </c>
      <c r="G101" t="s">
        <v>4190</v>
      </c>
      <c r="H101" t="s">
        <v>278</v>
      </c>
      <c r="J101" t="s">
        <v>278</v>
      </c>
      <c r="K101" t="s">
        <v>278</v>
      </c>
    </row>
    <row r="102" spans="2:11" hidden="1">
      <c r="B102" t="s">
        <v>186</v>
      </c>
      <c r="C102" t="s">
        <v>187</v>
      </c>
      <c r="D102" t="s">
        <v>4191</v>
      </c>
      <c r="E102" t="s">
        <v>4192</v>
      </c>
      <c r="F102">
        <v>0.17</v>
      </c>
      <c r="G102" t="s">
        <v>4193</v>
      </c>
      <c r="H102" t="s">
        <v>278</v>
      </c>
      <c r="J102" t="s">
        <v>278</v>
      </c>
      <c r="K102" t="s">
        <v>278</v>
      </c>
    </row>
    <row r="103" spans="2:11" hidden="1">
      <c r="B103" t="s">
        <v>170</v>
      </c>
      <c r="C103" t="s">
        <v>171</v>
      </c>
      <c r="D103" t="s">
        <v>4194</v>
      </c>
      <c r="E103" t="s">
        <v>4195</v>
      </c>
      <c r="F103">
        <v>0.62</v>
      </c>
      <c r="G103" t="s">
        <v>4196</v>
      </c>
      <c r="H103" t="s">
        <v>278</v>
      </c>
      <c r="J103" t="s">
        <v>278</v>
      </c>
      <c r="K103" t="s">
        <v>278</v>
      </c>
    </row>
    <row r="104" spans="2:11" hidden="1">
      <c r="B104" t="s">
        <v>166</v>
      </c>
      <c r="C104" t="s">
        <v>167</v>
      </c>
      <c r="D104" t="s">
        <v>4197</v>
      </c>
      <c r="E104" t="s">
        <v>4198</v>
      </c>
      <c r="F104">
        <v>0.52</v>
      </c>
      <c r="G104" t="s">
        <v>4199</v>
      </c>
      <c r="H104" t="s">
        <v>294</v>
      </c>
      <c r="J104" t="s">
        <v>294</v>
      </c>
      <c r="K104" t="s">
        <v>294</v>
      </c>
    </row>
    <row r="105" spans="2:11" hidden="1">
      <c r="B105" t="s">
        <v>163</v>
      </c>
      <c r="C105" t="s">
        <v>3951</v>
      </c>
      <c r="D105" t="s">
        <v>4200</v>
      </c>
      <c r="E105" t="s">
        <v>4201</v>
      </c>
      <c r="F105">
        <v>0.55000000000000004</v>
      </c>
      <c r="G105" t="s">
        <v>4202</v>
      </c>
      <c r="H105" t="s">
        <v>294</v>
      </c>
      <c r="J105" t="s">
        <v>294</v>
      </c>
      <c r="K105" t="s">
        <v>294</v>
      </c>
    </row>
    <row r="106" spans="2:11" hidden="1">
      <c r="B106" t="s">
        <v>165</v>
      </c>
      <c r="C106" t="s">
        <v>3947</v>
      </c>
      <c r="D106" t="s">
        <v>4203</v>
      </c>
      <c r="E106" t="s">
        <v>4204</v>
      </c>
      <c r="F106">
        <v>0.56999999999999995</v>
      </c>
      <c r="G106" t="s">
        <v>4205</v>
      </c>
      <c r="H106" t="s">
        <v>294</v>
      </c>
      <c r="J106" t="s">
        <v>294</v>
      </c>
      <c r="K106" t="s">
        <v>294</v>
      </c>
    </row>
    <row r="107" spans="2:11" hidden="1">
      <c r="B107" t="s">
        <v>172</v>
      </c>
      <c r="C107" t="s">
        <v>173</v>
      </c>
      <c r="D107" t="s">
        <v>4206</v>
      </c>
      <c r="E107" t="s">
        <v>4207</v>
      </c>
      <c r="F107">
        <v>0.38</v>
      </c>
      <c r="G107" t="s">
        <v>4208</v>
      </c>
      <c r="H107" t="s">
        <v>278</v>
      </c>
      <c r="J107" t="s">
        <v>278</v>
      </c>
      <c r="K107" t="s">
        <v>278</v>
      </c>
    </row>
    <row r="108" spans="2:11" hidden="1">
      <c r="B108" t="s">
        <v>336</v>
      </c>
      <c r="C108" t="s">
        <v>305</v>
      </c>
      <c r="D108" t="s">
        <v>4209</v>
      </c>
      <c r="E108" t="s">
        <v>4210</v>
      </c>
      <c r="F108">
        <v>1.65</v>
      </c>
      <c r="G108" t="s">
        <v>4211</v>
      </c>
      <c r="H108" t="s">
        <v>3079</v>
      </c>
      <c r="J108" t="s">
        <v>3079</v>
      </c>
      <c r="K108" t="s">
        <v>3079</v>
      </c>
    </row>
    <row r="109" spans="2:11" hidden="1">
      <c r="B109" t="s">
        <v>330</v>
      </c>
      <c r="C109" t="s">
        <v>331</v>
      </c>
      <c r="D109" t="s">
        <v>4212</v>
      </c>
      <c r="E109" t="s">
        <v>4213</v>
      </c>
      <c r="F109">
        <v>1.1499999999999999</v>
      </c>
      <c r="G109" t="s">
        <v>4214</v>
      </c>
      <c r="H109" t="s">
        <v>277</v>
      </c>
      <c r="J109" t="s">
        <v>277</v>
      </c>
      <c r="K109" t="s">
        <v>277</v>
      </c>
    </row>
    <row r="110" spans="2:11" hidden="1">
      <c r="B110" t="s">
        <v>218</v>
      </c>
      <c r="C110" t="s">
        <v>177</v>
      </c>
      <c r="D110" t="s">
        <v>4215</v>
      </c>
      <c r="E110" t="s">
        <v>4216</v>
      </c>
      <c r="F110">
        <v>8.9</v>
      </c>
      <c r="G110" t="s">
        <v>4217</v>
      </c>
      <c r="H110" t="s">
        <v>3079</v>
      </c>
      <c r="J110" t="s">
        <v>3079</v>
      </c>
      <c r="K110" t="s">
        <v>3079</v>
      </c>
    </row>
    <row r="111" spans="2:11" hidden="1">
      <c r="B111" t="s">
        <v>562</v>
      </c>
      <c r="C111" t="s">
        <v>563</v>
      </c>
      <c r="D111" t="s">
        <v>4218</v>
      </c>
      <c r="E111" t="s">
        <v>4219</v>
      </c>
      <c r="F111">
        <v>0.53</v>
      </c>
      <c r="G111" t="s">
        <v>4220</v>
      </c>
      <c r="H111" t="s">
        <v>294</v>
      </c>
      <c r="J111" t="s">
        <v>294</v>
      </c>
      <c r="K111" t="s">
        <v>294</v>
      </c>
    </row>
    <row r="112" spans="2:11" hidden="1">
      <c r="B112" t="s">
        <v>328</v>
      </c>
      <c r="C112" t="s">
        <v>329</v>
      </c>
      <c r="D112" t="s">
        <v>4221</v>
      </c>
      <c r="E112" t="s">
        <v>4222</v>
      </c>
      <c r="F112">
        <v>1.78</v>
      </c>
      <c r="G112" t="s">
        <v>4223</v>
      </c>
      <c r="H112" t="s">
        <v>294</v>
      </c>
      <c r="J112" t="s">
        <v>294</v>
      </c>
      <c r="K112" t="s">
        <v>294</v>
      </c>
    </row>
    <row r="113" spans="2:11" hidden="1">
      <c r="B113" t="s">
        <v>236</v>
      </c>
      <c r="C113" t="s">
        <v>237</v>
      </c>
      <c r="D113" t="s">
        <v>4224</v>
      </c>
      <c r="E113" t="s">
        <v>4225</v>
      </c>
      <c r="F113">
        <v>8.35</v>
      </c>
      <c r="G113" t="s">
        <v>4226</v>
      </c>
      <c r="H113" t="s">
        <v>294</v>
      </c>
      <c r="J113" t="s">
        <v>294</v>
      </c>
      <c r="K113" t="s">
        <v>294</v>
      </c>
    </row>
    <row r="114" spans="2:11" hidden="1">
      <c r="B114" t="s">
        <v>306</v>
      </c>
      <c r="C114" t="s">
        <v>307</v>
      </c>
      <c r="D114" t="s">
        <v>3450</v>
      </c>
      <c r="E114" t="s">
        <v>3451</v>
      </c>
      <c r="F114">
        <v>1.9</v>
      </c>
      <c r="G114" t="s">
        <v>3452</v>
      </c>
      <c r="H114" t="s">
        <v>277</v>
      </c>
      <c r="J114" t="s">
        <v>277</v>
      </c>
      <c r="K114" t="s">
        <v>277</v>
      </c>
    </row>
    <row r="115" spans="2:11" hidden="1">
      <c r="B115" t="s">
        <v>302</v>
      </c>
      <c r="C115" t="s">
        <v>303</v>
      </c>
      <c r="D115" t="s">
        <v>3453</v>
      </c>
      <c r="E115" t="s">
        <v>3454</v>
      </c>
      <c r="F115">
        <v>2.5299999999999998</v>
      </c>
      <c r="G115" t="s">
        <v>3455</v>
      </c>
      <c r="H115" t="s">
        <v>277</v>
      </c>
      <c r="J115" t="s">
        <v>277</v>
      </c>
      <c r="K115" t="s">
        <v>277</v>
      </c>
    </row>
    <row r="116" spans="2:11" hidden="1">
      <c r="B116" t="s">
        <v>215</v>
      </c>
      <c r="C116" t="s">
        <v>216</v>
      </c>
      <c r="D116" t="s">
        <v>3456</v>
      </c>
      <c r="E116" t="s">
        <v>3457</v>
      </c>
      <c r="F116">
        <v>14.12</v>
      </c>
      <c r="G116" t="s">
        <v>3458</v>
      </c>
      <c r="H116" t="s">
        <v>277</v>
      </c>
      <c r="J116" t="s">
        <v>277</v>
      </c>
      <c r="K116" t="s">
        <v>277</v>
      </c>
    </row>
    <row r="117" spans="2:11" hidden="1">
      <c r="B117" t="s">
        <v>168</v>
      </c>
      <c r="C117" t="s">
        <v>169</v>
      </c>
      <c r="D117" t="s">
        <v>3459</v>
      </c>
      <c r="E117" t="s">
        <v>3460</v>
      </c>
      <c r="F117">
        <v>3.05</v>
      </c>
      <c r="G117" t="s">
        <v>3461</v>
      </c>
      <c r="H117" t="s">
        <v>3079</v>
      </c>
      <c r="J117" t="s">
        <v>3079</v>
      </c>
      <c r="K117" t="s">
        <v>3079</v>
      </c>
    </row>
    <row r="118" spans="2:11" hidden="1">
      <c r="B118" t="s">
        <v>254</v>
      </c>
      <c r="C118" t="s">
        <v>252</v>
      </c>
      <c r="D118" t="s">
        <v>3462</v>
      </c>
      <c r="E118" t="s">
        <v>3463</v>
      </c>
      <c r="F118">
        <v>1.68</v>
      </c>
      <c r="G118" t="s">
        <v>4227</v>
      </c>
      <c r="H118" t="s">
        <v>276</v>
      </c>
      <c r="J118" t="s">
        <v>276</v>
      </c>
      <c r="K118" t="s">
        <v>276</v>
      </c>
    </row>
    <row r="119" spans="2:11" hidden="1">
      <c r="B119" t="s">
        <v>253</v>
      </c>
      <c r="C119" t="s">
        <v>252</v>
      </c>
      <c r="D119" t="s">
        <v>3465</v>
      </c>
      <c r="E119" t="s">
        <v>3466</v>
      </c>
      <c r="F119">
        <v>1.68</v>
      </c>
      <c r="G119" t="s">
        <v>3467</v>
      </c>
      <c r="H119" t="s">
        <v>277</v>
      </c>
      <c r="J119" t="s">
        <v>277</v>
      </c>
      <c r="K119" t="s">
        <v>277</v>
      </c>
    </row>
    <row r="120" spans="2:11" hidden="1">
      <c r="B120" t="s">
        <v>251</v>
      </c>
      <c r="C120" t="s">
        <v>252</v>
      </c>
      <c r="D120" t="s">
        <v>3468</v>
      </c>
      <c r="E120" t="s">
        <v>3469</v>
      </c>
      <c r="F120">
        <v>1.72</v>
      </c>
      <c r="G120" t="s">
        <v>3470</v>
      </c>
      <c r="H120" t="s">
        <v>277</v>
      </c>
      <c r="J120" t="s">
        <v>277</v>
      </c>
      <c r="K120" t="s">
        <v>277</v>
      </c>
    </row>
    <row r="121" spans="2:11" hidden="1">
      <c r="B121" t="s">
        <v>257</v>
      </c>
      <c r="C121" t="s">
        <v>252</v>
      </c>
      <c r="D121" t="s">
        <v>3471</v>
      </c>
      <c r="E121" t="s">
        <v>3472</v>
      </c>
      <c r="F121">
        <v>1.72</v>
      </c>
      <c r="G121" t="s">
        <v>3473</v>
      </c>
      <c r="H121" t="s">
        <v>277</v>
      </c>
      <c r="J121" t="s">
        <v>277</v>
      </c>
      <c r="K121" t="s">
        <v>277</v>
      </c>
    </row>
    <row r="122" spans="2:11" hidden="1">
      <c r="B122" t="s">
        <v>300</v>
      </c>
      <c r="C122" t="s">
        <v>301</v>
      </c>
      <c r="D122" t="s">
        <v>3474</v>
      </c>
      <c r="E122" t="s">
        <v>3475</v>
      </c>
      <c r="F122">
        <v>1.98</v>
      </c>
      <c r="G122" t="s">
        <v>3476</v>
      </c>
      <c r="H122" t="s">
        <v>3079</v>
      </c>
      <c r="J122" t="s">
        <v>3079</v>
      </c>
      <c r="K122" t="s">
        <v>3079</v>
      </c>
    </row>
    <row r="123" spans="2:11" hidden="1">
      <c r="B123" t="s">
        <v>214</v>
      </c>
      <c r="C123" t="s">
        <v>205</v>
      </c>
      <c r="D123" t="s">
        <v>3477</v>
      </c>
      <c r="E123" t="s">
        <v>3478</v>
      </c>
      <c r="F123">
        <v>1.98</v>
      </c>
      <c r="G123" t="s">
        <v>3479</v>
      </c>
      <c r="H123" t="s">
        <v>277</v>
      </c>
      <c r="J123" t="s">
        <v>277</v>
      </c>
      <c r="K123" t="s">
        <v>277</v>
      </c>
    </row>
    <row r="124" spans="2:11" hidden="1">
      <c r="B124" t="s">
        <v>207</v>
      </c>
      <c r="C124" t="s">
        <v>205</v>
      </c>
      <c r="D124" t="s">
        <v>3480</v>
      </c>
      <c r="E124" t="s">
        <v>3481</v>
      </c>
      <c r="F124">
        <v>2</v>
      </c>
      <c r="G124" t="s">
        <v>3482</v>
      </c>
      <c r="H124" t="s">
        <v>277</v>
      </c>
      <c r="J124" t="s">
        <v>277</v>
      </c>
      <c r="K124" t="s">
        <v>277</v>
      </c>
    </row>
    <row r="125" spans="2:11" hidden="1">
      <c r="B125" t="s">
        <v>206</v>
      </c>
      <c r="C125" t="s">
        <v>205</v>
      </c>
      <c r="D125" t="s">
        <v>3483</v>
      </c>
      <c r="E125" t="s">
        <v>3484</v>
      </c>
      <c r="F125">
        <v>2.0299999999999998</v>
      </c>
      <c r="G125" t="s">
        <v>3485</v>
      </c>
      <c r="H125" t="s">
        <v>277</v>
      </c>
      <c r="J125" t="s">
        <v>277</v>
      </c>
      <c r="K125" t="s">
        <v>277</v>
      </c>
    </row>
    <row r="126" spans="2:11" hidden="1">
      <c r="B126" t="s">
        <v>204</v>
      </c>
      <c r="C126" t="s">
        <v>205</v>
      </c>
      <c r="D126" t="s">
        <v>3486</v>
      </c>
      <c r="E126" t="s">
        <v>3487</v>
      </c>
      <c r="F126">
        <v>2.02</v>
      </c>
      <c r="G126" t="s">
        <v>3488</v>
      </c>
      <c r="H126" t="s">
        <v>277</v>
      </c>
      <c r="J126" t="s">
        <v>277</v>
      </c>
      <c r="K126" t="s">
        <v>277</v>
      </c>
    </row>
    <row r="127" spans="2:11" hidden="1">
      <c r="B127" t="s">
        <v>229</v>
      </c>
      <c r="C127" t="s">
        <v>230</v>
      </c>
      <c r="D127" t="s">
        <v>3489</v>
      </c>
      <c r="E127" t="s">
        <v>3490</v>
      </c>
      <c r="F127">
        <v>10.5</v>
      </c>
      <c r="G127" t="s">
        <v>3491</v>
      </c>
      <c r="H127" t="s">
        <v>278</v>
      </c>
      <c r="J127" t="s">
        <v>278</v>
      </c>
      <c r="K127" t="s">
        <v>278</v>
      </c>
    </row>
    <row r="128" spans="2:11" hidden="1">
      <c r="B128" t="s">
        <v>244</v>
      </c>
      <c r="C128" t="s">
        <v>245</v>
      </c>
      <c r="D128" t="s">
        <v>3492</v>
      </c>
      <c r="E128" t="s">
        <v>3493</v>
      </c>
      <c r="F128">
        <v>1.38</v>
      </c>
      <c r="G128" t="s">
        <v>3494</v>
      </c>
      <c r="H128" t="s">
        <v>3079</v>
      </c>
      <c r="J128" t="s">
        <v>3079</v>
      </c>
      <c r="K128" t="s">
        <v>3079</v>
      </c>
    </row>
    <row r="129" spans="2:11" hidden="1">
      <c r="B129" t="s">
        <v>186</v>
      </c>
      <c r="C129" t="s">
        <v>187</v>
      </c>
      <c r="D129" t="s">
        <v>3495</v>
      </c>
      <c r="E129" t="s">
        <v>3496</v>
      </c>
      <c r="F129">
        <v>0.68</v>
      </c>
      <c r="G129" t="s">
        <v>3497</v>
      </c>
      <c r="H129" t="s">
        <v>3498</v>
      </c>
      <c r="J129" t="s">
        <v>3498</v>
      </c>
      <c r="K129" t="s">
        <v>3498</v>
      </c>
    </row>
    <row r="130" spans="2:11" hidden="1">
      <c r="B130" t="s">
        <v>312</v>
      </c>
      <c r="C130" t="s">
        <v>313</v>
      </c>
      <c r="D130" t="s">
        <v>3499</v>
      </c>
      <c r="E130" t="s">
        <v>3500</v>
      </c>
      <c r="F130">
        <v>2.35</v>
      </c>
      <c r="G130" t="s">
        <v>3501</v>
      </c>
      <c r="H130" t="s">
        <v>294</v>
      </c>
      <c r="J130" t="s">
        <v>294</v>
      </c>
      <c r="K130" t="s">
        <v>294</v>
      </c>
    </row>
    <row r="131" spans="2:11" hidden="1">
      <c r="B131" t="s">
        <v>170</v>
      </c>
      <c r="C131" t="s">
        <v>171</v>
      </c>
      <c r="D131" t="s">
        <v>3502</v>
      </c>
      <c r="E131" t="s">
        <v>3503</v>
      </c>
      <c r="F131">
        <v>0.78</v>
      </c>
      <c r="G131" t="s">
        <v>3504</v>
      </c>
      <c r="H131" t="s">
        <v>277</v>
      </c>
      <c r="I131" t="s">
        <v>3505</v>
      </c>
      <c r="J131" t="s">
        <v>277</v>
      </c>
      <c r="K131" t="s">
        <v>277</v>
      </c>
    </row>
    <row r="132" spans="2:11" hidden="1">
      <c r="B132" t="s">
        <v>334</v>
      </c>
      <c r="C132" t="s">
        <v>335</v>
      </c>
      <c r="D132" t="s">
        <v>3506</v>
      </c>
      <c r="E132" t="s">
        <v>3507</v>
      </c>
      <c r="F132">
        <v>2.0299999999999998</v>
      </c>
      <c r="G132" t="s">
        <v>3508</v>
      </c>
      <c r="H132" t="s">
        <v>294</v>
      </c>
      <c r="J132" t="s">
        <v>294</v>
      </c>
      <c r="K132" t="s">
        <v>294</v>
      </c>
    </row>
  </sheetData>
  <autoFilter ref="B1:B132" xr:uid="{05A4FA5B-3291-4919-851D-327EE3B53752}">
    <filterColumn colId="0">
      <filters>
        <filter val="LP-N1"/>
        <filter val="LP-N3"/>
        <filter val="LP-N4"/>
        <filter val="LP-N5"/>
        <filter val="LP-N7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ED618-51EA-4CC8-83DB-07E7E9F7DBE7}">
  <sheetPr filterMode="1"/>
  <dimension ref="B1:K400"/>
  <sheetViews>
    <sheetView workbookViewId="0"/>
  </sheetViews>
  <sheetFormatPr defaultRowHeight="15.75"/>
  <cols>
    <col min="2" max="2" width="10.125" bestFit="1" customWidth="1"/>
    <col min="3" max="3" width="8.875" bestFit="1" customWidth="1"/>
    <col min="4" max="5" width="18.75" bestFit="1" customWidth="1"/>
    <col min="6" max="6" width="8.875" bestFit="1" customWidth="1"/>
    <col min="7" max="7" width="64.625" bestFit="1" customWidth="1"/>
    <col min="8" max="8" width="8.875" bestFit="1" customWidth="1"/>
    <col min="9" max="9" width="25.5" bestFit="1" customWidth="1"/>
    <col min="10" max="11" width="8.875" bestFit="1" customWidth="1"/>
  </cols>
  <sheetData>
    <row r="1" spans="2:11"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161</v>
      </c>
      <c r="H1" t="s">
        <v>268</v>
      </c>
      <c r="I1" t="s">
        <v>162</v>
      </c>
      <c r="J1" t="s">
        <v>372</v>
      </c>
      <c r="K1" t="s">
        <v>373</v>
      </c>
    </row>
    <row r="2" spans="2:11" hidden="1">
      <c r="B2" t="s">
        <v>306</v>
      </c>
      <c r="C2" t="s">
        <v>307</v>
      </c>
      <c r="D2" t="s">
        <v>3450</v>
      </c>
      <c r="E2" t="s">
        <v>3451</v>
      </c>
      <c r="F2">
        <v>1.9</v>
      </c>
      <c r="G2" t="s">
        <v>3452</v>
      </c>
      <c r="H2" t="s">
        <v>277</v>
      </c>
      <c r="J2" t="s">
        <v>277</v>
      </c>
      <c r="K2" t="s">
        <v>277</v>
      </c>
    </row>
    <row r="3" spans="2:11" hidden="1">
      <c r="B3" t="s">
        <v>302</v>
      </c>
      <c r="C3" t="s">
        <v>303</v>
      </c>
      <c r="D3" t="s">
        <v>3453</v>
      </c>
      <c r="E3" t="s">
        <v>3454</v>
      </c>
      <c r="F3">
        <v>2.5299999999999998</v>
      </c>
      <c r="G3" t="s">
        <v>3455</v>
      </c>
      <c r="H3" t="s">
        <v>277</v>
      </c>
      <c r="J3" t="s">
        <v>277</v>
      </c>
      <c r="K3" t="s">
        <v>277</v>
      </c>
    </row>
    <row r="4" spans="2:11" hidden="1">
      <c r="B4" t="s">
        <v>215</v>
      </c>
      <c r="C4" t="s">
        <v>216</v>
      </c>
      <c r="D4" t="s">
        <v>3456</v>
      </c>
      <c r="E4" t="s">
        <v>3457</v>
      </c>
      <c r="F4">
        <v>14.12</v>
      </c>
      <c r="G4" t="s">
        <v>3458</v>
      </c>
      <c r="H4" t="s">
        <v>277</v>
      </c>
      <c r="J4" t="s">
        <v>277</v>
      </c>
      <c r="K4" t="s">
        <v>277</v>
      </c>
    </row>
    <row r="5" spans="2:11" hidden="1">
      <c r="B5" t="s">
        <v>168</v>
      </c>
      <c r="C5" t="s">
        <v>169</v>
      </c>
      <c r="D5" t="s">
        <v>3459</v>
      </c>
      <c r="E5" t="s">
        <v>3460</v>
      </c>
      <c r="F5">
        <v>3.05</v>
      </c>
      <c r="G5" t="s">
        <v>3461</v>
      </c>
      <c r="H5" t="s">
        <v>3079</v>
      </c>
      <c r="J5" t="s">
        <v>3079</v>
      </c>
      <c r="K5" t="s">
        <v>3079</v>
      </c>
    </row>
    <row r="6" spans="2:11" hidden="1">
      <c r="B6" t="s">
        <v>254</v>
      </c>
      <c r="C6" t="s">
        <v>252</v>
      </c>
      <c r="D6" t="s">
        <v>3462</v>
      </c>
      <c r="E6" t="s">
        <v>3463</v>
      </c>
      <c r="F6">
        <v>1.68</v>
      </c>
      <c r="G6" t="s">
        <v>3464</v>
      </c>
      <c r="H6" t="s">
        <v>277</v>
      </c>
      <c r="J6" t="s">
        <v>277</v>
      </c>
      <c r="K6" t="s">
        <v>277</v>
      </c>
    </row>
    <row r="7" spans="2:11" hidden="1">
      <c r="B7" t="s">
        <v>253</v>
      </c>
      <c r="C7" t="s">
        <v>252</v>
      </c>
      <c r="D7" t="s">
        <v>3465</v>
      </c>
      <c r="E7" t="s">
        <v>3466</v>
      </c>
      <c r="F7">
        <v>1.68</v>
      </c>
      <c r="G7" t="s">
        <v>3467</v>
      </c>
      <c r="H7" t="s">
        <v>277</v>
      </c>
      <c r="J7" t="s">
        <v>277</v>
      </c>
      <c r="K7" t="s">
        <v>277</v>
      </c>
    </row>
    <row r="8" spans="2:11" hidden="1">
      <c r="B8" t="s">
        <v>251</v>
      </c>
      <c r="C8" t="s">
        <v>252</v>
      </c>
      <c r="D8" t="s">
        <v>3468</v>
      </c>
      <c r="E8" t="s">
        <v>3469</v>
      </c>
      <c r="F8">
        <v>1.72</v>
      </c>
      <c r="G8" t="s">
        <v>3470</v>
      </c>
      <c r="H8" t="s">
        <v>277</v>
      </c>
      <c r="J8" t="s">
        <v>277</v>
      </c>
      <c r="K8" t="s">
        <v>277</v>
      </c>
    </row>
    <row r="9" spans="2:11" hidden="1">
      <c r="B9" t="s">
        <v>257</v>
      </c>
      <c r="C9" t="s">
        <v>252</v>
      </c>
      <c r="D9" t="s">
        <v>3471</v>
      </c>
      <c r="E9" t="s">
        <v>3472</v>
      </c>
      <c r="F9">
        <v>1.72</v>
      </c>
      <c r="G9" t="s">
        <v>3473</v>
      </c>
      <c r="H9" t="s">
        <v>277</v>
      </c>
      <c r="J9" t="s">
        <v>277</v>
      </c>
      <c r="K9" t="s">
        <v>277</v>
      </c>
    </row>
    <row r="10" spans="2:11" hidden="1">
      <c r="B10" t="s">
        <v>300</v>
      </c>
      <c r="C10" t="s">
        <v>301</v>
      </c>
      <c r="D10" t="s">
        <v>3474</v>
      </c>
      <c r="E10" t="s">
        <v>3475</v>
      </c>
      <c r="F10">
        <v>1.98</v>
      </c>
      <c r="G10" t="s">
        <v>3476</v>
      </c>
      <c r="H10" t="s">
        <v>3079</v>
      </c>
      <c r="J10" t="s">
        <v>3079</v>
      </c>
      <c r="K10" t="s">
        <v>3079</v>
      </c>
    </row>
    <row r="11" spans="2:11" hidden="1">
      <c r="B11" t="s">
        <v>214</v>
      </c>
      <c r="C11" t="s">
        <v>205</v>
      </c>
      <c r="D11" t="s">
        <v>3477</v>
      </c>
      <c r="E11" t="s">
        <v>3478</v>
      </c>
      <c r="F11">
        <v>1.98</v>
      </c>
      <c r="G11" t="s">
        <v>3479</v>
      </c>
      <c r="H11" t="s">
        <v>277</v>
      </c>
      <c r="J11" t="s">
        <v>277</v>
      </c>
      <c r="K11" t="s">
        <v>277</v>
      </c>
    </row>
    <row r="12" spans="2:11" hidden="1">
      <c r="B12" t="s">
        <v>207</v>
      </c>
      <c r="C12" t="s">
        <v>205</v>
      </c>
      <c r="D12" t="s">
        <v>3480</v>
      </c>
      <c r="E12" t="s">
        <v>3481</v>
      </c>
      <c r="F12">
        <v>2</v>
      </c>
      <c r="G12" t="s">
        <v>3482</v>
      </c>
      <c r="H12" t="s">
        <v>277</v>
      </c>
      <c r="J12" t="s">
        <v>277</v>
      </c>
      <c r="K12" t="s">
        <v>277</v>
      </c>
    </row>
    <row r="13" spans="2:11" hidden="1">
      <c r="B13" t="s">
        <v>206</v>
      </c>
      <c r="C13" t="s">
        <v>205</v>
      </c>
      <c r="D13" t="s">
        <v>3483</v>
      </c>
      <c r="E13" t="s">
        <v>3484</v>
      </c>
      <c r="F13">
        <v>2.0299999999999998</v>
      </c>
      <c r="G13" t="s">
        <v>3485</v>
      </c>
      <c r="H13" t="s">
        <v>277</v>
      </c>
      <c r="J13" t="s">
        <v>277</v>
      </c>
      <c r="K13" t="s">
        <v>277</v>
      </c>
    </row>
    <row r="14" spans="2:11" hidden="1">
      <c r="B14" t="s">
        <v>204</v>
      </c>
      <c r="C14" t="s">
        <v>205</v>
      </c>
      <c r="D14" t="s">
        <v>3486</v>
      </c>
      <c r="E14" t="s">
        <v>3487</v>
      </c>
      <c r="F14">
        <v>2.02</v>
      </c>
      <c r="G14" t="s">
        <v>3488</v>
      </c>
      <c r="H14" t="s">
        <v>277</v>
      </c>
      <c r="J14" t="s">
        <v>277</v>
      </c>
      <c r="K14" t="s">
        <v>277</v>
      </c>
    </row>
    <row r="15" spans="2:11" hidden="1">
      <c r="B15" t="s">
        <v>229</v>
      </c>
      <c r="C15" t="s">
        <v>230</v>
      </c>
      <c r="D15" t="s">
        <v>3489</v>
      </c>
      <c r="E15" t="s">
        <v>3490</v>
      </c>
      <c r="F15">
        <v>10.5</v>
      </c>
      <c r="G15" t="s">
        <v>3491</v>
      </c>
      <c r="H15" t="s">
        <v>278</v>
      </c>
      <c r="J15" t="s">
        <v>278</v>
      </c>
      <c r="K15" t="s">
        <v>278</v>
      </c>
    </row>
    <row r="16" spans="2:11" hidden="1">
      <c r="B16" t="s">
        <v>244</v>
      </c>
      <c r="C16" t="s">
        <v>245</v>
      </c>
      <c r="D16" t="s">
        <v>3492</v>
      </c>
      <c r="E16" t="s">
        <v>3493</v>
      </c>
      <c r="F16">
        <v>1.38</v>
      </c>
      <c r="G16" t="s">
        <v>3494</v>
      </c>
      <c r="H16" t="s">
        <v>3079</v>
      </c>
      <c r="J16" t="s">
        <v>3079</v>
      </c>
      <c r="K16" t="s">
        <v>3079</v>
      </c>
    </row>
    <row r="17" spans="2:11" hidden="1">
      <c r="B17" t="s">
        <v>186</v>
      </c>
      <c r="C17" t="s">
        <v>187</v>
      </c>
      <c r="D17" t="s">
        <v>3495</v>
      </c>
      <c r="E17" t="s">
        <v>3496</v>
      </c>
      <c r="F17">
        <v>0.68</v>
      </c>
      <c r="G17" t="s">
        <v>3497</v>
      </c>
      <c r="H17" t="s">
        <v>3498</v>
      </c>
      <c r="J17" t="s">
        <v>3498</v>
      </c>
      <c r="K17" t="s">
        <v>3498</v>
      </c>
    </row>
    <row r="18" spans="2:11" hidden="1">
      <c r="B18" t="s">
        <v>312</v>
      </c>
      <c r="C18" t="s">
        <v>313</v>
      </c>
      <c r="D18" t="s">
        <v>3499</v>
      </c>
      <c r="E18" t="s">
        <v>3500</v>
      </c>
      <c r="F18">
        <v>2.35</v>
      </c>
      <c r="G18" t="s">
        <v>3501</v>
      </c>
      <c r="H18" t="s">
        <v>294</v>
      </c>
      <c r="J18" t="s">
        <v>294</v>
      </c>
      <c r="K18" t="s">
        <v>294</v>
      </c>
    </row>
    <row r="19" spans="2:11" hidden="1">
      <c r="B19" t="s">
        <v>170</v>
      </c>
      <c r="C19" t="s">
        <v>171</v>
      </c>
      <c r="D19" t="s">
        <v>3502</v>
      </c>
      <c r="E19" t="s">
        <v>3503</v>
      </c>
      <c r="F19">
        <v>0.78</v>
      </c>
      <c r="G19" t="s">
        <v>3504</v>
      </c>
      <c r="H19" t="s">
        <v>277</v>
      </c>
      <c r="I19" t="s">
        <v>3505</v>
      </c>
      <c r="J19" t="s">
        <v>277</v>
      </c>
      <c r="K19" t="s">
        <v>277</v>
      </c>
    </row>
    <row r="20" spans="2:11" hidden="1">
      <c r="B20" t="s">
        <v>334</v>
      </c>
      <c r="C20" t="s">
        <v>335</v>
      </c>
      <c r="D20" t="s">
        <v>3506</v>
      </c>
      <c r="E20" t="s">
        <v>3507</v>
      </c>
      <c r="F20">
        <v>2.0299999999999998</v>
      </c>
      <c r="G20" t="s">
        <v>3508</v>
      </c>
      <c r="H20" t="s">
        <v>294</v>
      </c>
      <c r="J20" t="s">
        <v>294</v>
      </c>
      <c r="K20" t="s">
        <v>294</v>
      </c>
    </row>
    <row r="21" spans="2:11">
      <c r="B21" t="s">
        <v>82</v>
      </c>
      <c r="C21" t="s">
        <v>217</v>
      </c>
      <c r="D21" t="s">
        <v>3509</v>
      </c>
      <c r="E21" t="s">
        <v>3510</v>
      </c>
      <c r="F21">
        <v>14.42</v>
      </c>
      <c r="G21" t="s">
        <v>3511</v>
      </c>
      <c r="H21" t="s">
        <v>278</v>
      </c>
      <c r="J21" t="s">
        <v>278</v>
      </c>
      <c r="K21" t="s">
        <v>278</v>
      </c>
    </row>
    <row r="22" spans="2:11" hidden="1">
      <c r="B22" t="s">
        <v>172</v>
      </c>
      <c r="C22" t="s">
        <v>173</v>
      </c>
      <c r="D22" t="s">
        <v>3512</v>
      </c>
      <c r="E22" t="s">
        <v>3513</v>
      </c>
      <c r="F22">
        <v>0.35</v>
      </c>
      <c r="G22" t="s">
        <v>3514</v>
      </c>
      <c r="H22" t="s">
        <v>278</v>
      </c>
      <c r="J22" t="s">
        <v>278</v>
      </c>
      <c r="K22" t="s">
        <v>278</v>
      </c>
    </row>
    <row r="23" spans="2:11" hidden="1">
      <c r="B23" t="s">
        <v>170</v>
      </c>
      <c r="C23" t="s">
        <v>171</v>
      </c>
      <c r="D23" t="s">
        <v>3515</v>
      </c>
      <c r="E23" t="s">
        <v>3516</v>
      </c>
      <c r="F23">
        <v>0.28000000000000003</v>
      </c>
      <c r="G23" t="s">
        <v>3517</v>
      </c>
      <c r="H23" t="s">
        <v>278</v>
      </c>
      <c r="J23" t="s">
        <v>278</v>
      </c>
      <c r="K23" t="s">
        <v>278</v>
      </c>
    </row>
    <row r="24" spans="2:11" hidden="1">
      <c r="B24" t="s">
        <v>182</v>
      </c>
      <c r="C24" t="s">
        <v>183</v>
      </c>
      <c r="D24" t="s">
        <v>3518</v>
      </c>
      <c r="E24" t="s">
        <v>3519</v>
      </c>
      <c r="F24">
        <v>0.35</v>
      </c>
      <c r="G24" t="s">
        <v>3520</v>
      </c>
      <c r="H24" t="s">
        <v>3498</v>
      </c>
      <c r="J24" t="s">
        <v>3498</v>
      </c>
      <c r="K24" t="s">
        <v>3498</v>
      </c>
    </row>
    <row r="25" spans="2:11" hidden="1">
      <c r="B25" t="s">
        <v>166</v>
      </c>
      <c r="C25" t="s">
        <v>167</v>
      </c>
      <c r="D25" t="s">
        <v>3521</v>
      </c>
      <c r="E25" t="s">
        <v>3522</v>
      </c>
      <c r="F25">
        <v>7.0000000000000007E-2</v>
      </c>
      <c r="G25" t="s">
        <v>3523</v>
      </c>
      <c r="H25" t="s">
        <v>3079</v>
      </c>
      <c r="J25" t="s">
        <v>3079</v>
      </c>
      <c r="K25" t="s">
        <v>3079</v>
      </c>
    </row>
    <row r="26" spans="2:11" hidden="1">
      <c r="B26" t="s">
        <v>163</v>
      </c>
      <c r="C26" t="s">
        <v>164</v>
      </c>
      <c r="D26" t="s">
        <v>3524</v>
      </c>
      <c r="E26" t="s">
        <v>3525</v>
      </c>
      <c r="F26">
        <v>0.08</v>
      </c>
      <c r="G26" t="s">
        <v>3526</v>
      </c>
      <c r="H26" t="s">
        <v>3079</v>
      </c>
      <c r="J26" t="s">
        <v>3079</v>
      </c>
      <c r="K26" t="s">
        <v>3079</v>
      </c>
    </row>
    <row r="27" spans="2:11" hidden="1">
      <c r="B27" t="s">
        <v>165</v>
      </c>
      <c r="C27" t="s">
        <v>164</v>
      </c>
      <c r="D27" t="s">
        <v>3527</v>
      </c>
      <c r="E27" t="s">
        <v>3528</v>
      </c>
      <c r="F27">
        <v>7.0000000000000007E-2</v>
      </c>
      <c r="G27" t="s">
        <v>3529</v>
      </c>
      <c r="H27" t="s">
        <v>3079</v>
      </c>
      <c r="J27" t="s">
        <v>3079</v>
      </c>
      <c r="K27" t="s">
        <v>3079</v>
      </c>
    </row>
    <row r="28" spans="2:11" hidden="1">
      <c r="B28" t="s">
        <v>180</v>
      </c>
      <c r="C28" t="s">
        <v>181</v>
      </c>
      <c r="D28" t="s">
        <v>3530</v>
      </c>
      <c r="E28" t="s">
        <v>3531</v>
      </c>
      <c r="F28">
        <v>10</v>
      </c>
      <c r="G28" t="s">
        <v>3532</v>
      </c>
      <c r="H28" t="s">
        <v>274</v>
      </c>
      <c r="J28" t="s">
        <v>274</v>
      </c>
      <c r="K28" t="s">
        <v>274</v>
      </c>
    </row>
    <row r="29" spans="2:11" hidden="1">
      <c r="B29" t="s">
        <v>324</v>
      </c>
      <c r="C29" t="s">
        <v>325</v>
      </c>
      <c r="D29" t="s">
        <v>3533</v>
      </c>
      <c r="E29" t="s">
        <v>3534</v>
      </c>
      <c r="F29">
        <v>2.33</v>
      </c>
      <c r="G29" t="s">
        <v>3535</v>
      </c>
      <c r="H29" t="s">
        <v>3079</v>
      </c>
      <c r="J29" t="s">
        <v>3079</v>
      </c>
      <c r="K29" t="s">
        <v>3079</v>
      </c>
    </row>
    <row r="30" spans="2:11" hidden="1">
      <c r="B30" t="s">
        <v>314</v>
      </c>
      <c r="C30" t="s">
        <v>315</v>
      </c>
      <c r="D30" t="s">
        <v>3536</v>
      </c>
      <c r="E30" t="s">
        <v>3537</v>
      </c>
      <c r="F30">
        <v>0.93</v>
      </c>
      <c r="G30" t="s">
        <v>3538</v>
      </c>
      <c r="H30" t="s">
        <v>3079</v>
      </c>
      <c r="J30" t="s">
        <v>3079</v>
      </c>
      <c r="K30" t="s">
        <v>3079</v>
      </c>
    </row>
    <row r="31" spans="2:11" hidden="1">
      <c r="B31" t="s">
        <v>182</v>
      </c>
      <c r="C31" t="s">
        <v>183</v>
      </c>
      <c r="D31" t="s">
        <v>3539</v>
      </c>
      <c r="E31" t="s">
        <v>3540</v>
      </c>
      <c r="F31">
        <v>0.42</v>
      </c>
      <c r="G31" t="s">
        <v>3541</v>
      </c>
      <c r="H31" t="s">
        <v>3079</v>
      </c>
      <c r="J31" t="s">
        <v>3079</v>
      </c>
      <c r="K31" t="s">
        <v>3079</v>
      </c>
    </row>
    <row r="32" spans="2:11" hidden="1">
      <c r="B32" t="s">
        <v>202</v>
      </c>
      <c r="C32" t="s">
        <v>203</v>
      </c>
      <c r="D32" t="s">
        <v>3542</v>
      </c>
      <c r="E32" t="s">
        <v>3543</v>
      </c>
      <c r="F32">
        <v>3.18</v>
      </c>
      <c r="G32" t="s">
        <v>3544</v>
      </c>
      <c r="H32" t="s">
        <v>3079</v>
      </c>
      <c r="J32" t="s">
        <v>3079</v>
      </c>
      <c r="K32" t="s">
        <v>3079</v>
      </c>
    </row>
    <row r="33" spans="2:11" hidden="1">
      <c r="B33" t="s">
        <v>212</v>
      </c>
      <c r="C33" t="s">
        <v>213</v>
      </c>
      <c r="D33" t="s">
        <v>3545</v>
      </c>
      <c r="E33" t="s">
        <v>3546</v>
      </c>
      <c r="F33">
        <v>16.48</v>
      </c>
      <c r="G33" t="s">
        <v>3547</v>
      </c>
      <c r="H33" t="s">
        <v>274</v>
      </c>
      <c r="J33" t="s">
        <v>274</v>
      </c>
      <c r="K33" t="s">
        <v>274</v>
      </c>
    </row>
    <row r="34" spans="2:11" hidden="1">
      <c r="B34" t="s">
        <v>182</v>
      </c>
      <c r="C34" t="s">
        <v>183</v>
      </c>
      <c r="D34" t="s">
        <v>3548</v>
      </c>
      <c r="E34" t="s">
        <v>3549</v>
      </c>
      <c r="F34">
        <v>0.5</v>
      </c>
      <c r="G34" t="s">
        <v>3550</v>
      </c>
      <c r="H34" t="s">
        <v>274</v>
      </c>
      <c r="J34" t="s">
        <v>274</v>
      </c>
      <c r="K34" t="s">
        <v>274</v>
      </c>
    </row>
    <row r="35" spans="2:11" hidden="1">
      <c r="B35" t="s">
        <v>193</v>
      </c>
      <c r="C35" t="s">
        <v>183</v>
      </c>
      <c r="D35" t="s">
        <v>3551</v>
      </c>
      <c r="E35" t="s">
        <v>3552</v>
      </c>
      <c r="F35">
        <v>0.53</v>
      </c>
      <c r="G35" t="s">
        <v>3553</v>
      </c>
      <c r="H35" t="s">
        <v>274</v>
      </c>
      <c r="J35" t="s">
        <v>274</v>
      </c>
      <c r="K35" t="s">
        <v>274</v>
      </c>
    </row>
    <row r="36" spans="2:11" hidden="1">
      <c r="B36" t="s">
        <v>220</v>
      </c>
      <c r="C36" t="s">
        <v>221</v>
      </c>
      <c r="D36" t="s">
        <v>3554</v>
      </c>
      <c r="E36" t="s">
        <v>3555</v>
      </c>
      <c r="F36">
        <v>6.25</v>
      </c>
      <c r="G36" t="s">
        <v>3556</v>
      </c>
      <c r="H36" t="s">
        <v>3079</v>
      </c>
      <c r="J36" t="s">
        <v>3079</v>
      </c>
      <c r="K36" t="s">
        <v>3079</v>
      </c>
    </row>
    <row r="37" spans="2:11" hidden="1">
      <c r="B37" t="s">
        <v>194</v>
      </c>
      <c r="C37" t="s">
        <v>183</v>
      </c>
      <c r="D37" t="s">
        <v>3557</v>
      </c>
      <c r="E37" t="s">
        <v>3558</v>
      </c>
      <c r="F37">
        <v>5.12</v>
      </c>
      <c r="G37" t="s">
        <v>3559</v>
      </c>
      <c r="H37" t="s">
        <v>274</v>
      </c>
      <c r="J37" t="s">
        <v>274</v>
      </c>
      <c r="K37" t="s">
        <v>274</v>
      </c>
    </row>
    <row r="38" spans="2:11" hidden="1">
      <c r="B38" t="s">
        <v>227</v>
      </c>
      <c r="C38" t="s">
        <v>228</v>
      </c>
      <c r="D38" t="s">
        <v>3560</v>
      </c>
      <c r="E38" t="s">
        <v>3561</v>
      </c>
      <c r="F38">
        <v>2</v>
      </c>
      <c r="G38" t="s">
        <v>3562</v>
      </c>
      <c r="H38" t="s">
        <v>3079</v>
      </c>
      <c r="J38" t="s">
        <v>3079</v>
      </c>
      <c r="K38" t="s">
        <v>3079</v>
      </c>
    </row>
    <row r="39" spans="2:11" hidden="1">
      <c r="B39" t="s">
        <v>186</v>
      </c>
      <c r="C39" t="s">
        <v>187</v>
      </c>
      <c r="D39" t="s">
        <v>3563</v>
      </c>
      <c r="E39" t="s">
        <v>3564</v>
      </c>
      <c r="F39">
        <v>2.23</v>
      </c>
      <c r="G39" t="s">
        <v>3565</v>
      </c>
      <c r="H39" t="s">
        <v>3079</v>
      </c>
      <c r="J39" t="s">
        <v>3079</v>
      </c>
      <c r="K39" t="s">
        <v>3079</v>
      </c>
    </row>
    <row r="40" spans="2:11" hidden="1">
      <c r="B40" t="s">
        <v>284</v>
      </c>
      <c r="C40" t="s">
        <v>285</v>
      </c>
      <c r="D40" t="s">
        <v>3566</v>
      </c>
      <c r="E40" t="s">
        <v>3567</v>
      </c>
      <c r="F40">
        <v>2.17</v>
      </c>
      <c r="G40" t="s">
        <v>3568</v>
      </c>
      <c r="H40" t="s">
        <v>277</v>
      </c>
      <c r="J40" t="s">
        <v>277</v>
      </c>
      <c r="K40" t="s">
        <v>277</v>
      </c>
    </row>
    <row r="41" spans="2:11" hidden="1">
      <c r="B41" t="s">
        <v>168</v>
      </c>
      <c r="C41" t="s">
        <v>169</v>
      </c>
      <c r="D41" t="s">
        <v>3569</v>
      </c>
      <c r="E41" t="s">
        <v>3570</v>
      </c>
      <c r="F41">
        <v>1.43</v>
      </c>
      <c r="G41" t="s">
        <v>3571</v>
      </c>
      <c r="H41" t="s">
        <v>3079</v>
      </c>
      <c r="J41" t="s">
        <v>3079</v>
      </c>
      <c r="K41" t="s">
        <v>3079</v>
      </c>
    </row>
    <row r="42" spans="2:11" hidden="1">
      <c r="B42" t="s">
        <v>188</v>
      </c>
      <c r="C42" t="s">
        <v>189</v>
      </c>
      <c r="D42" t="s">
        <v>3572</v>
      </c>
      <c r="E42" t="s">
        <v>3573</v>
      </c>
      <c r="F42">
        <v>8.2799999999999994</v>
      </c>
      <c r="G42" t="s">
        <v>3574</v>
      </c>
      <c r="H42" t="s">
        <v>277</v>
      </c>
      <c r="J42" t="s">
        <v>277</v>
      </c>
      <c r="K42" t="s">
        <v>277</v>
      </c>
    </row>
    <row r="43" spans="2:11" hidden="1">
      <c r="B43" t="s">
        <v>195</v>
      </c>
      <c r="C43" t="s">
        <v>196</v>
      </c>
      <c r="D43" t="s">
        <v>3575</v>
      </c>
      <c r="E43" t="s">
        <v>3576</v>
      </c>
      <c r="F43">
        <v>14.38</v>
      </c>
      <c r="G43" t="s">
        <v>3577</v>
      </c>
      <c r="H43" t="s">
        <v>3079</v>
      </c>
      <c r="J43" t="s">
        <v>3079</v>
      </c>
      <c r="K43" t="s">
        <v>3079</v>
      </c>
    </row>
    <row r="44" spans="2:11" hidden="1">
      <c r="B44" t="s">
        <v>326</v>
      </c>
      <c r="C44" t="s">
        <v>327</v>
      </c>
      <c r="D44" t="s">
        <v>3578</v>
      </c>
      <c r="E44" t="s">
        <v>3579</v>
      </c>
      <c r="F44">
        <v>4.12</v>
      </c>
      <c r="G44" t="s">
        <v>3580</v>
      </c>
      <c r="H44" t="s">
        <v>3079</v>
      </c>
      <c r="J44" t="s">
        <v>3079</v>
      </c>
      <c r="K44" t="s">
        <v>3079</v>
      </c>
    </row>
    <row r="45" spans="2:11">
      <c r="B45" t="s">
        <v>85</v>
      </c>
      <c r="C45" t="s">
        <v>226</v>
      </c>
      <c r="D45" t="s">
        <v>3581</v>
      </c>
      <c r="E45" t="s">
        <v>3582</v>
      </c>
      <c r="F45">
        <v>8.42</v>
      </c>
      <c r="G45" t="s">
        <v>3583</v>
      </c>
      <c r="H45" t="s">
        <v>3079</v>
      </c>
      <c r="J45" t="s">
        <v>3079</v>
      </c>
      <c r="K45" t="s">
        <v>3079</v>
      </c>
    </row>
    <row r="46" spans="2:11" hidden="1">
      <c r="B46" t="s">
        <v>304</v>
      </c>
      <c r="C46" t="s">
        <v>305</v>
      </c>
      <c r="D46" t="s">
        <v>3584</v>
      </c>
      <c r="E46" t="s">
        <v>3585</v>
      </c>
      <c r="F46">
        <v>1.2</v>
      </c>
      <c r="G46" t="s">
        <v>3586</v>
      </c>
      <c r="H46" t="s">
        <v>3079</v>
      </c>
      <c r="J46" t="s">
        <v>3079</v>
      </c>
      <c r="K46" t="s">
        <v>3079</v>
      </c>
    </row>
    <row r="47" spans="2:11" hidden="1">
      <c r="B47" t="s">
        <v>304</v>
      </c>
      <c r="C47" t="s">
        <v>305</v>
      </c>
      <c r="D47" t="s">
        <v>3587</v>
      </c>
      <c r="E47" t="s">
        <v>3588</v>
      </c>
      <c r="F47">
        <v>0.4</v>
      </c>
      <c r="G47" t="s">
        <v>3589</v>
      </c>
      <c r="H47" t="s">
        <v>274</v>
      </c>
      <c r="J47" t="s">
        <v>274</v>
      </c>
      <c r="K47" t="s">
        <v>274</v>
      </c>
    </row>
    <row r="48" spans="2:11" hidden="1">
      <c r="B48" t="s">
        <v>182</v>
      </c>
      <c r="C48" t="s">
        <v>183</v>
      </c>
      <c r="D48" t="s">
        <v>3590</v>
      </c>
      <c r="E48" t="s">
        <v>3591</v>
      </c>
      <c r="F48">
        <v>0.3</v>
      </c>
      <c r="G48" t="s">
        <v>3592</v>
      </c>
      <c r="H48" t="s">
        <v>278</v>
      </c>
      <c r="J48" t="s">
        <v>278</v>
      </c>
      <c r="K48" t="s">
        <v>278</v>
      </c>
    </row>
    <row r="49" spans="2:11" hidden="1">
      <c r="B49" t="s">
        <v>170</v>
      </c>
      <c r="C49" t="s">
        <v>171</v>
      </c>
      <c r="D49" t="s">
        <v>3593</v>
      </c>
      <c r="E49" t="s">
        <v>3594</v>
      </c>
      <c r="F49">
        <v>0.37</v>
      </c>
      <c r="G49" t="s">
        <v>3595</v>
      </c>
      <c r="H49" t="s">
        <v>278</v>
      </c>
      <c r="J49" t="s">
        <v>278</v>
      </c>
      <c r="K49" t="s">
        <v>278</v>
      </c>
    </row>
    <row r="50" spans="2:11" hidden="1">
      <c r="B50" t="s">
        <v>163</v>
      </c>
      <c r="C50" t="s">
        <v>164</v>
      </c>
      <c r="D50" t="s">
        <v>3596</v>
      </c>
      <c r="E50" t="s">
        <v>3597</v>
      </c>
      <c r="F50">
        <v>0.08</v>
      </c>
      <c r="G50" t="s">
        <v>3598</v>
      </c>
      <c r="H50" t="s">
        <v>3079</v>
      </c>
      <c r="J50" t="s">
        <v>3079</v>
      </c>
      <c r="K50" t="s">
        <v>3079</v>
      </c>
    </row>
    <row r="51" spans="2:11" hidden="1">
      <c r="B51" t="s">
        <v>165</v>
      </c>
      <c r="C51" t="s">
        <v>164</v>
      </c>
      <c r="D51" t="s">
        <v>3599</v>
      </c>
      <c r="E51" t="s">
        <v>3600</v>
      </c>
      <c r="F51">
        <v>0.08</v>
      </c>
      <c r="G51" t="s">
        <v>3601</v>
      </c>
      <c r="H51" t="s">
        <v>3079</v>
      </c>
      <c r="J51" t="s">
        <v>3079</v>
      </c>
      <c r="K51" t="s">
        <v>3079</v>
      </c>
    </row>
    <row r="52" spans="2:11" hidden="1">
      <c r="B52" t="s">
        <v>166</v>
      </c>
      <c r="C52" t="s">
        <v>167</v>
      </c>
      <c r="D52" t="s">
        <v>3602</v>
      </c>
      <c r="E52" t="s">
        <v>3603</v>
      </c>
      <c r="F52">
        <v>0.1</v>
      </c>
      <c r="G52" t="s">
        <v>3604</v>
      </c>
      <c r="H52" t="s">
        <v>3079</v>
      </c>
      <c r="J52" t="s">
        <v>3079</v>
      </c>
      <c r="K52" t="s">
        <v>3079</v>
      </c>
    </row>
    <row r="53" spans="2:11" hidden="1">
      <c r="B53" t="s">
        <v>172</v>
      </c>
      <c r="C53" t="s">
        <v>173</v>
      </c>
      <c r="D53" t="s">
        <v>3605</v>
      </c>
      <c r="E53" t="s">
        <v>3606</v>
      </c>
      <c r="F53">
        <v>0.75</v>
      </c>
      <c r="G53" t="s">
        <v>3607</v>
      </c>
      <c r="H53" t="s">
        <v>277</v>
      </c>
      <c r="J53" t="s">
        <v>277</v>
      </c>
      <c r="K53" t="s">
        <v>277</v>
      </c>
    </row>
    <row r="54" spans="2:11" hidden="1">
      <c r="B54" t="s">
        <v>186</v>
      </c>
      <c r="C54" t="s">
        <v>187</v>
      </c>
      <c r="D54" t="s">
        <v>3608</v>
      </c>
      <c r="E54" t="s">
        <v>3609</v>
      </c>
      <c r="F54">
        <v>0.4</v>
      </c>
      <c r="G54" t="s">
        <v>3610</v>
      </c>
      <c r="H54" t="s">
        <v>3498</v>
      </c>
      <c r="J54" t="s">
        <v>3498</v>
      </c>
      <c r="K54" t="s">
        <v>3498</v>
      </c>
    </row>
    <row r="55" spans="2:11" hidden="1">
      <c r="B55" t="s">
        <v>337</v>
      </c>
      <c r="C55" t="s">
        <v>338</v>
      </c>
      <c r="D55" t="s">
        <v>3611</v>
      </c>
      <c r="E55" t="s">
        <v>3612</v>
      </c>
      <c r="F55">
        <v>2.5299999999999998</v>
      </c>
      <c r="G55" t="s">
        <v>3613</v>
      </c>
      <c r="H55" t="s">
        <v>294</v>
      </c>
      <c r="J55" t="s">
        <v>294</v>
      </c>
      <c r="K55" t="s">
        <v>294</v>
      </c>
    </row>
    <row r="56" spans="2:11" hidden="1">
      <c r="B56" t="s">
        <v>191</v>
      </c>
      <c r="C56" t="s">
        <v>183</v>
      </c>
      <c r="D56" t="s">
        <v>3614</v>
      </c>
      <c r="E56" t="s">
        <v>3615</v>
      </c>
      <c r="F56">
        <v>1.75</v>
      </c>
      <c r="G56" t="s">
        <v>3616</v>
      </c>
      <c r="H56" t="s">
        <v>276</v>
      </c>
      <c r="J56" t="s">
        <v>276</v>
      </c>
      <c r="K56" t="s">
        <v>276</v>
      </c>
    </row>
    <row r="57" spans="2:11" hidden="1">
      <c r="B57" t="s">
        <v>192</v>
      </c>
      <c r="C57" t="s">
        <v>183</v>
      </c>
      <c r="D57" t="s">
        <v>3617</v>
      </c>
      <c r="E57" t="s">
        <v>3618</v>
      </c>
      <c r="F57">
        <v>4.3</v>
      </c>
      <c r="G57" t="s">
        <v>3619</v>
      </c>
      <c r="H57" t="s">
        <v>276</v>
      </c>
      <c r="J57" t="s">
        <v>276</v>
      </c>
      <c r="K57" t="s">
        <v>276</v>
      </c>
    </row>
    <row r="58" spans="2:11" hidden="1">
      <c r="B58" t="s">
        <v>182</v>
      </c>
      <c r="C58" t="s">
        <v>183</v>
      </c>
      <c r="D58" t="s">
        <v>3620</v>
      </c>
      <c r="E58" t="s">
        <v>3621</v>
      </c>
      <c r="F58">
        <v>1.67</v>
      </c>
      <c r="G58" t="s">
        <v>3622</v>
      </c>
      <c r="H58" t="s">
        <v>276</v>
      </c>
      <c r="J58" t="s">
        <v>276</v>
      </c>
      <c r="K58" t="s">
        <v>276</v>
      </c>
    </row>
    <row r="59" spans="2:11" hidden="1">
      <c r="B59" t="s">
        <v>193</v>
      </c>
      <c r="C59" t="s">
        <v>183</v>
      </c>
      <c r="D59" t="s">
        <v>3623</v>
      </c>
      <c r="E59" t="s">
        <v>3624</v>
      </c>
      <c r="F59">
        <v>1.65</v>
      </c>
      <c r="G59" t="s">
        <v>3625</v>
      </c>
      <c r="H59" t="s">
        <v>276</v>
      </c>
      <c r="J59" t="s">
        <v>276</v>
      </c>
      <c r="K59" t="s">
        <v>276</v>
      </c>
    </row>
    <row r="60" spans="2:11" hidden="1">
      <c r="B60" t="s">
        <v>222</v>
      </c>
      <c r="C60" t="s">
        <v>223</v>
      </c>
      <c r="D60" t="s">
        <v>3626</v>
      </c>
      <c r="E60" t="s">
        <v>3627</v>
      </c>
      <c r="F60">
        <v>2.52</v>
      </c>
      <c r="G60" t="s">
        <v>3628</v>
      </c>
      <c r="H60" t="s">
        <v>294</v>
      </c>
      <c r="J60" t="s">
        <v>294</v>
      </c>
      <c r="K60" t="s">
        <v>294</v>
      </c>
    </row>
    <row r="61" spans="2:11">
      <c r="B61" t="s">
        <v>83</v>
      </c>
      <c r="C61" t="s">
        <v>201</v>
      </c>
      <c r="D61" t="s">
        <v>3629</v>
      </c>
      <c r="E61" t="s">
        <v>3630</v>
      </c>
      <c r="F61">
        <v>7.23</v>
      </c>
      <c r="G61" t="s">
        <v>3631</v>
      </c>
      <c r="H61" t="s">
        <v>3498</v>
      </c>
      <c r="J61" t="s">
        <v>3498</v>
      </c>
      <c r="K61" t="s">
        <v>3498</v>
      </c>
    </row>
    <row r="62" spans="2:11" hidden="1">
      <c r="B62" t="s">
        <v>219</v>
      </c>
      <c r="C62" t="s">
        <v>183</v>
      </c>
      <c r="D62" t="s">
        <v>3632</v>
      </c>
      <c r="E62" t="s">
        <v>3633</v>
      </c>
      <c r="F62">
        <v>6.65</v>
      </c>
      <c r="G62" t="s">
        <v>3634</v>
      </c>
      <c r="H62" t="s">
        <v>276</v>
      </c>
      <c r="J62" t="s">
        <v>276</v>
      </c>
      <c r="K62" t="s">
        <v>276</v>
      </c>
    </row>
    <row r="63" spans="2:11" hidden="1">
      <c r="B63" t="s">
        <v>193</v>
      </c>
      <c r="C63" t="s">
        <v>183</v>
      </c>
      <c r="D63" t="s">
        <v>3635</v>
      </c>
      <c r="E63" t="s">
        <v>3636</v>
      </c>
      <c r="F63">
        <v>0.35</v>
      </c>
      <c r="G63" t="s">
        <v>3637</v>
      </c>
      <c r="H63" t="s">
        <v>277</v>
      </c>
      <c r="J63" t="s">
        <v>277</v>
      </c>
      <c r="K63" t="s">
        <v>277</v>
      </c>
    </row>
    <row r="64" spans="2:11" hidden="1">
      <c r="B64" t="s">
        <v>283</v>
      </c>
      <c r="C64" t="s">
        <v>234</v>
      </c>
      <c r="D64" t="s">
        <v>3638</v>
      </c>
      <c r="E64" t="s">
        <v>3639</v>
      </c>
      <c r="F64">
        <v>2.37</v>
      </c>
      <c r="G64" t="s">
        <v>3640</v>
      </c>
      <c r="H64" t="s">
        <v>294</v>
      </c>
      <c r="J64" t="s">
        <v>294</v>
      </c>
      <c r="K64" t="s">
        <v>294</v>
      </c>
    </row>
    <row r="65" spans="2:11" hidden="1">
      <c r="B65" t="s">
        <v>168</v>
      </c>
      <c r="C65" t="s">
        <v>169</v>
      </c>
      <c r="D65" t="s">
        <v>3641</v>
      </c>
      <c r="E65" t="s">
        <v>3642</v>
      </c>
      <c r="F65">
        <v>0.83</v>
      </c>
      <c r="G65" t="s">
        <v>3643</v>
      </c>
      <c r="H65" t="s">
        <v>3498</v>
      </c>
      <c r="J65" t="s">
        <v>3498</v>
      </c>
      <c r="K65" t="s">
        <v>3498</v>
      </c>
    </row>
    <row r="66" spans="2:11" hidden="1">
      <c r="B66" t="s">
        <v>290</v>
      </c>
      <c r="C66" t="s">
        <v>291</v>
      </c>
      <c r="D66" t="s">
        <v>3644</v>
      </c>
      <c r="E66" t="s">
        <v>3645</v>
      </c>
      <c r="F66">
        <v>2.42</v>
      </c>
      <c r="G66" t="s">
        <v>3646</v>
      </c>
      <c r="H66" t="s">
        <v>294</v>
      </c>
      <c r="J66" t="s">
        <v>294</v>
      </c>
      <c r="K66" t="s">
        <v>294</v>
      </c>
    </row>
    <row r="67" spans="2:11" hidden="1">
      <c r="B67" t="s">
        <v>218</v>
      </c>
      <c r="C67" t="s">
        <v>177</v>
      </c>
      <c r="D67" t="s">
        <v>3647</v>
      </c>
      <c r="E67" t="s">
        <v>3648</v>
      </c>
      <c r="F67">
        <v>15.62</v>
      </c>
      <c r="G67" t="s">
        <v>3649</v>
      </c>
      <c r="H67" t="s">
        <v>278</v>
      </c>
      <c r="J67" t="s">
        <v>278</v>
      </c>
      <c r="K67" t="s">
        <v>278</v>
      </c>
    </row>
    <row r="68" spans="2:11" hidden="1">
      <c r="B68" t="s">
        <v>184</v>
      </c>
      <c r="C68" t="s">
        <v>185</v>
      </c>
      <c r="D68" t="s">
        <v>3650</v>
      </c>
      <c r="E68" t="s">
        <v>3651</v>
      </c>
      <c r="F68">
        <v>9.2200000000000006</v>
      </c>
      <c r="G68" t="s">
        <v>3652</v>
      </c>
      <c r="H68" t="s">
        <v>277</v>
      </c>
      <c r="J68" t="s">
        <v>277</v>
      </c>
      <c r="K68" t="s">
        <v>277</v>
      </c>
    </row>
    <row r="69" spans="2:11" hidden="1">
      <c r="B69" t="s">
        <v>240</v>
      </c>
      <c r="C69" t="s">
        <v>241</v>
      </c>
      <c r="D69" t="s">
        <v>3653</v>
      </c>
      <c r="E69" t="s">
        <v>3654</v>
      </c>
      <c r="F69">
        <v>8.4</v>
      </c>
      <c r="G69" t="s">
        <v>3655</v>
      </c>
      <c r="H69" t="s">
        <v>278</v>
      </c>
      <c r="J69" t="s">
        <v>278</v>
      </c>
      <c r="K69" t="s">
        <v>278</v>
      </c>
    </row>
    <row r="70" spans="2:11">
      <c r="B70" t="s">
        <v>287</v>
      </c>
      <c r="C70" t="s">
        <v>288</v>
      </c>
      <c r="D70" t="s">
        <v>3656</v>
      </c>
      <c r="E70" t="s">
        <v>3657</v>
      </c>
      <c r="F70">
        <v>22.37</v>
      </c>
      <c r="G70" t="s">
        <v>3658</v>
      </c>
      <c r="H70" t="s">
        <v>278</v>
      </c>
      <c r="J70" t="s">
        <v>278</v>
      </c>
      <c r="K70" t="s">
        <v>278</v>
      </c>
    </row>
    <row r="71" spans="2:11" hidden="1">
      <c r="B71" t="s">
        <v>170</v>
      </c>
      <c r="C71" t="s">
        <v>171</v>
      </c>
      <c r="D71" t="s">
        <v>3659</v>
      </c>
      <c r="E71" t="s">
        <v>3660</v>
      </c>
      <c r="F71">
        <v>1.48</v>
      </c>
      <c r="G71" t="s">
        <v>3661</v>
      </c>
      <c r="H71" t="s">
        <v>3079</v>
      </c>
      <c r="J71" t="s">
        <v>3079</v>
      </c>
      <c r="K71" t="s">
        <v>3079</v>
      </c>
    </row>
    <row r="72" spans="2:11" hidden="1">
      <c r="B72" t="s">
        <v>215</v>
      </c>
      <c r="C72" t="s">
        <v>216</v>
      </c>
      <c r="D72" t="s">
        <v>3662</v>
      </c>
      <c r="E72" t="s">
        <v>3663</v>
      </c>
      <c r="F72">
        <v>8.02</v>
      </c>
      <c r="G72" t="s">
        <v>3664</v>
      </c>
      <c r="H72" t="s">
        <v>294</v>
      </c>
      <c r="J72" t="s">
        <v>294</v>
      </c>
      <c r="K72" t="s">
        <v>294</v>
      </c>
    </row>
    <row r="73" spans="2:11" hidden="1">
      <c r="B73" t="s">
        <v>180</v>
      </c>
      <c r="C73" t="s">
        <v>181</v>
      </c>
      <c r="D73" t="s">
        <v>3665</v>
      </c>
      <c r="E73" t="s">
        <v>3666</v>
      </c>
      <c r="F73">
        <v>13.43</v>
      </c>
      <c r="G73" t="s">
        <v>3667</v>
      </c>
      <c r="H73" t="s">
        <v>294</v>
      </c>
      <c r="J73" t="s">
        <v>294</v>
      </c>
      <c r="K73" t="s">
        <v>294</v>
      </c>
    </row>
    <row r="74" spans="2:11">
      <c r="B74" t="s">
        <v>82</v>
      </c>
      <c r="C74" t="s">
        <v>217</v>
      </c>
      <c r="D74" t="s">
        <v>3668</v>
      </c>
      <c r="E74" t="s">
        <v>3669</v>
      </c>
      <c r="F74">
        <v>11.77</v>
      </c>
      <c r="G74" t="s">
        <v>3670</v>
      </c>
      <c r="H74" t="s">
        <v>3498</v>
      </c>
      <c r="J74" t="s">
        <v>3498</v>
      </c>
      <c r="K74" t="s">
        <v>3498</v>
      </c>
    </row>
    <row r="75" spans="2:11" hidden="1">
      <c r="B75" t="s">
        <v>199</v>
      </c>
      <c r="C75" t="s">
        <v>200</v>
      </c>
      <c r="D75" t="s">
        <v>3671</v>
      </c>
      <c r="E75" t="s">
        <v>3672</v>
      </c>
      <c r="F75">
        <v>7.67</v>
      </c>
      <c r="G75" t="s">
        <v>3673</v>
      </c>
      <c r="H75" t="s">
        <v>294</v>
      </c>
      <c r="J75" t="s">
        <v>294</v>
      </c>
      <c r="K75" t="s">
        <v>294</v>
      </c>
    </row>
    <row r="76" spans="2:11" hidden="1">
      <c r="B76" t="s">
        <v>212</v>
      </c>
      <c r="C76" t="s">
        <v>213</v>
      </c>
      <c r="D76" t="s">
        <v>3674</v>
      </c>
      <c r="E76" t="s">
        <v>3675</v>
      </c>
      <c r="F76">
        <v>8.0500000000000007</v>
      </c>
      <c r="G76" t="s">
        <v>3676</v>
      </c>
      <c r="H76" t="s">
        <v>3498</v>
      </c>
      <c r="J76" t="s">
        <v>3498</v>
      </c>
      <c r="K76" t="s">
        <v>3498</v>
      </c>
    </row>
    <row r="77" spans="2:11" hidden="1">
      <c r="B77" t="s">
        <v>186</v>
      </c>
      <c r="C77" t="s">
        <v>187</v>
      </c>
      <c r="D77" t="s">
        <v>3677</v>
      </c>
      <c r="E77" t="s">
        <v>3678</v>
      </c>
      <c r="F77">
        <v>0.68</v>
      </c>
      <c r="G77" t="s">
        <v>3679</v>
      </c>
      <c r="H77" t="s">
        <v>274</v>
      </c>
      <c r="J77" t="s">
        <v>274</v>
      </c>
      <c r="K77" t="s">
        <v>274</v>
      </c>
    </row>
    <row r="78" spans="2:11" hidden="1">
      <c r="B78" t="s">
        <v>172</v>
      </c>
      <c r="C78" t="s">
        <v>173</v>
      </c>
      <c r="D78" t="s">
        <v>3680</v>
      </c>
      <c r="E78" t="s">
        <v>3681</v>
      </c>
      <c r="F78">
        <v>1.1499999999999999</v>
      </c>
      <c r="G78" t="s">
        <v>3682</v>
      </c>
      <c r="H78" t="s">
        <v>274</v>
      </c>
      <c r="J78" t="s">
        <v>274</v>
      </c>
      <c r="K78" t="s">
        <v>274</v>
      </c>
    </row>
    <row r="79" spans="2:11" hidden="1">
      <c r="B79" t="s">
        <v>168</v>
      </c>
      <c r="C79" t="s">
        <v>169</v>
      </c>
      <c r="D79" t="s">
        <v>3683</v>
      </c>
      <c r="E79" t="s">
        <v>3684</v>
      </c>
      <c r="F79">
        <v>7.0000000000000007E-2</v>
      </c>
      <c r="G79" t="s">
        <v>3685</v>
      </c>
      <c r="H79" t="s">
        <v>277</v>
      </c>
      <c r="J79" t="s">
        <v>277</v>
      </c>
      <c r="K79" t="s">
        <v>277</v>
      </c>
    </row>
    <row r="80" spans="2:11" hidden="1">
      <c r="B80" t="s">
        <v>163</v>
      </c>
      <c r="C80" t="s">
        <v>164</v>
      </c>
      <c r="D80" t="s">
        <v>3686</v>
      </c>
      <c r="E80" t="s">
        <v>3687</v>
      </c>
      <c r="F80">
        <v>0.65</v>
      </c>
      <c r="G80" t="s">
        <v>3688</v>
      </c>
      <c r="H80" t="s">
        <v>3498</v>
      </c>
      <c r="J80" t="s">
        <v>3498</v>
      </c>
      <c r="K80" t="s">
        <v>3498</v>
      </c>
    </row>
    <row r="81" spans="2:11" hidden="1">
      <c r="B81" t="s">
        <v>165</v>
      </c>
      <c r="C81" t="s">
        <v>164</v>
      </c>
      <c r="D81" t="s">
        <v>3689</v>
      </c>
      <c r="E81" t="s">
        <v>3690</v>
      </c>
      <c r="F81">
        <v>0.65</v>
      </c>
      <c r="G81" t="s">
        <v>3691</v>
      </c>
      <c r="H81" t="s">
        <v>3498</v>
      </c>
      <c r="J81" t="s">
        <v>3498</v>
      </c>
      <c r="K81" t="s">
        <v>3498</v>
      </c>
    </row>
    <row r="82" spans="2:11" hidden="1">
      <c r="B82" t="s">
        <v>166</v>
      </c>
      <c r="C82" t="s">
        <v>167</v>
      </c>
      <c r="D82" t="s">
        <v>3692</v>
      </c>
      <c r="E82" t="s">
        <v>3693</v>
      </c>
      <c r="F82">
        <v>0.53</v>
      </c>
      <c r="G82" t="s">
        <v>3694</v>
      </c>
      <c r="H82" t="s">
        <v>294</v>
      </c>
      <c r="J82" t="s">
        <v>294</v>
      </c>
      <c r="K82" t="s">
        <v>294</v>
      </c>
    </row>
    <row r="83" spans="2:11">
      <c r="B83" t="s">
        <v>84</v>
      </c>
      <c r="C83" t="s">
        <v>190</v>
      </c>
      <c r="D83" t="s">
        <v>3695</v>
      </c>
      <c r="E83" t="s">
        <v>3696</v>
      </c>
      <c r="F83">
        <v>10.37</v>
      </c>
      <c r="G83" t="s">
        <v>3697</v>
      </c>
      <c r="H83" t="s">
        <v>3498</v>
      </c>
      <c r="J83" t="s">
        <v>3498</v>
      </c>
      <c r="K83" t="s">
        <v>3498</v>
      </c>
    </row>
    <row r="84" spans="2:11" hidden="1">
      <c r="B84" t="s">
        <v>170</v>
      </c>
      <c r="C84" t="s">
        <v>171</v>
      </c>
      <c r="D84" t="s">
        <v>3698</v>
      </c>
      <c r="E84" t="s">
        <v>3699</v>
      </c>
      <c r="F84">
        <v>1.35</v>
      </c>
      <c r="G84" t="s">
        <v>3700</v>
      </c>
      <c r="H84" t="s">
        <v>3498</v>
      </c>
      <c r="J84" t="s">
        <v>3498</v>
      </c>
      <c r="K84" t="s">
        <v>3498</v>
      </c>
    </row>
    <row r="85" spans="2:11" hidden="1">
      <c r="B85" t="s">
        <v>188</v>
      </c>
      <c r="C85" t="s">
        <v>189</v>
      </c>
      <c r="D85" t="s">
        <v>3701</v>
      </c>
      <c r="E85" t="s">
        <v>3702</v>
      </c>
      <c r="F85">
        <v>7.65</v>
      </c>
      <c r="G85" t="s">
        <v>3703</v>
      </c>
      <c r="H85" t="s">
        <v>3498</v>
      </c>
      <c r="J85" t="s">
        <v>3498</v>
      </c>
      <c r="K85" t="s">
        <v>3498</v>
      </c>
    </row>
    <row r="86" spans="2:11" hidden="1">
      <c r="B86" t="s">
        <v>259</v>
      </c>
      <c r="C86" t="s">
        <v>260</v>
      </c>
      <c r="D86" t="s">
        <v>3704</v>
      </c>
      <c r="E86" t="s">
        <v>3705</v>
      </c>
      <c r="F86">
        <v>1.62</v>
      </c>
      <c r="G86" t="s">
        <v>3706</v>
      </c>
      <c r="H86" t="s">
        <v>294</v>
      </c>
      <c r="J86" t="s">
        <v>294</v>
      </c>
      <c r="K86" t="s">
        <v>294</v>
      </c>
    </row>
    <row r="87" spans="2:11" hidden="1">
      <c r="B87" t="s">
        <v>195</v>
      </c>
      <c r="C87" t="s">
        <v>196</v>
      </c>
      <c r="D87" t="s">
        <v>3707</v>
      </c>
      <c r="E87" t="s">
        <v>3708</v>
      </c>
      <c r="F87">
        <v>10.73</v>
      </c>
      <c r="G87" t="s">
        <v>3709</v>
      </c>
      <c r="H87" t="s">
        <v>278</v>
      </c>
      <c r="J87" t="s">
        <v>278</v>
      </c>
      <c r="K87" t="s">
        <v>278</v>
      </c>
    </row>
    <row r="88" spans="2:11" hidden="1">
      <c r="B88" t="s">
        <v>298</v>
      </c>
      <c r="C88" t="s">
        <v>299</v>
      </c>
      <c r="D88" t="s">
        <v>3710</v>
      </c>
      <c r="E88" t="s">
        <v>3711</v>
      </c>
      <c r="F88">
        <v>2.42</v>
      </c>
      <c r="G88" t="s">
        <v>3712</v>
      </c>
      <c r="H88" t="s">
        <v>3498</v>
      </c>
      <c r="J88" t="s">
        <v>3498</v>
      </c>
      <c r="K88" t="s">
        <v>3498</v>
      </c>
    </row>
    <row r="89" spans="2:11" hidden="1">
      <c r="B89" t="s">
        <v>186</v>
      </c>
      <c r="C89" t="s">
        <v>187</v>
      </c>
      <c r="D89" t="s">
        <v>3713</v>
      </c>
      <c r="E89" t="s">
        <v>3714</v>
      </c>
      <c r="F89">
        <v>5.63</v>
      </c>
      <c r="G89" t="s">
        <v>3715</v>
      </c>
      <c r="H89" t="s">
        <v>278</v>
      </c>
      <c r="J89" t="s">
        <v>278</v>
      </c>
      <c r="K89" t="s">
        <v>278</v>
      </c>
    </row>
    <row r="90" spans="2:11">
      <c r="B90" t="s">
        <v>81</v>
      </c>
      <c r="C90" t="s">
        <v>289</v>
      </c>
      <c r="D90" t="s">
        <v>3716</v>
      </c>
      <c r="E90" t="s">
        <v>3717</v>
      </c>
      <c r="F90">
        <v>8.3699999999999992</v>
      </c>
      <c r="G90" t="s">
        <v>3718</v>
      </c>
      <c r="H90" t="s">
        <v>3498</v>
      </c>
      <c r="J90" t="s">
        <v>3498</v>
      </c>
      <c r="K90" t="s">
        <v>3498</v>
      </c>
    </row>
    <row r="91" spans="2:11" hidden="1">
      <c r="B91" t="s">
        <v>236</v>
      </c>
      <c r="C91" t="s">
        <v>237</v>
      </c>
      <c r="D91" t="s">
        <v>3719</v>
      </c>
      <c r="E91" t="s">
        <v>3720</v>
      </c>
      <c r="F91">
        <v>20.2</v>
      </c>
      <c r="G91" t="s">
        <v>3721</v>
      </c>
      <c r="H91" t="s">
        <v>276</v>
      </c>
      <c r="J91" t="s">
        <v>276</v>
      </c>
      <c r="K91" t="s">
        <v>276</v>
      </c>
    </row>
    <row r="92" spans="2:11" hidden="1">
      <c r="B92" t="s">
        <v>320</v>
      </c>
      <c r="C92" t="s">
        <v>321</v>
      </c>
      <c r="D92" t="s">
        <v>3722</v>
      </c>
      <c r="E92" t="s">
        <v>3723</v>
      </c>
      <c r="F92">
        <v>2.2000000000000002</v>
      </c>
      <c r="G92" t="s">
        <v>3724</v>
      </c>
      <c r="H92" t="s">
        <v>3498</v>
      </c>
      <c r="J92" t="s">
        <v>3498</v>
      </c>
      <c r="K92" t="s">
        <v>3498</v>
      </c>
    </row>
    <row r="93" spans="2:11" hidden="1">
      <c r="B93" t="s">
        <v>172</v>
      </c>
      <c r="C93" t="s">
        <v>173</v>
      </c>
      <c r="D93" t="s">
        <v>3725</v>
      </c>
      <c r="E93" t="s">
        <v>3726</v>
      </c>
      <c r="F93">
        <v>1.37</v>
      </c>
      <c r="G93" t="s">
        <v>3727</v>
      </c>
      <c r="H93" t="s">
        <v>3498</v>
      </c>
      <c r="J93" t="s">
        <v>3498</v>
      </c>
      <c r="K93" t="s">
        <v>3498</v>
      </c>
    </row>
    <row r="94" spans="2:11" hidden="1">
      <c r="B94" t="s">
        <v>194</v>
      </c>
      <c r="C94" t="s">
        <v>183</v>
      </c>
      <c r="D94" t="s">
        <v>3728</v>
      </c>
      <c r="E94" t="s">
        <v>3729</v>
      </c>
      <c r="F94">
        <v>3.92</v>
      </c>
      <c r="G94" t="s">
        <v>3730</v>
      </c>
      <c r="H94" t="s">
        <v>276</v>
      </c>
      <c r="J94" t="s">
        <v>276</v>
      </c>
      <c r="K94" t="s">
        <v>276</v>
      </c>
    </row>
    <row r="95" spans="2:11" hidden="1">
      <c r="B95" t="s">
        <v>296</v>
      </c>
      <c r="C95" t="s">
        <v>297</v>
      </c>
      <c r="D95" t="s">
        <v>3731</v>
      </c>
      <c r="E95" t="s">
        <v>3732</v>
      </c>
      <c r="F95">
        <v>2.65</v>
      </c>
      <c r="G95" t="s">
        <v>3733</v>
      </c>
      <c r="H95" t="s">
        <v>3498</v>
      </c>
      <c r="J95" t="s">
        <v>3498</v>
      </c>
      <c r="K95" t="s">
        <v>3498</v>
      </c>
    </row>
    <row r="96" spans="2:11" hidden="1">
      <c r="B96" t="s">
        <v>316</v>
      </c>
      <c r="C96" t="s">
        <v>317</v>
      </c>
      <c r="D96" t="s">
        <v>3734</v>
      </c>
      <c r="E96" t="s">
        <v>3735</v>
      </c>
      <c r="F96">
        <v>11.5</v>
      </c>
      <c r="G96" t="s">
        <v>3736</v>
      </c>
      <c r="H96" t="s">
        <v>294</v>
      </c>
      <c r="J96" t="s">
        <v>294</v>
      </c>
      <c r="K96" t="s">
        <v>294</v>
      </c>
    </row>
    <row r="97" spans="2:11" hidden="1">
      <c r="B97" t="s">
        <v>180</v>
      </c>
      <c r="C97" t="s">
        <v>181</v>
      </c>
      <c r="D97" t="s">
        <v>3737</v>
      </c>
      <c r="E97" t="s">
        <v>3738</v>
      </c>
      <c r="F97">
        <v>7.62</v>
      </c>
      <c r="G97" t="s">
        <v>3739</v>
      </c>
      <c r="H97" t="s">
        <v>276</v>
      </c>
      <c r="J97" t="s">
        <v>276</v>
      </c>
      <c r="K97" t="s">
        <v>276</v>
      </c>
    </row>
    <row r="98" spans="2:11" hidden="1">
      <c r="B98" t="s">
        <v>168</v>
      </c>
      <c r="C98" t="s">
        <v>169</v>
      </c>
      <c r="D98" t="s">
        <v>3740</v>
      </c>
      <c r="E98" t="s">
        <v>3741</v>
      </c>
      <c r="F98">
        <v>1.57</v>
      </c>
      <c r="G98" t="s">
        <v>3742</v>
      </c>
      <c r="H98" t="s">
        <v>3498</v>
      </c>
      <c r="J98" t="s">
        <v>3498</v>
      </c>
      <c r="K98" t="s">
        <v>3498</v>
      </c>
    </row>
    <row r="99" spans="2:11" hidden="1">
      <c r="B99" t="s">
        <v>255</v>
      </c>
      <c r="C99" t="s">
        <v>256</v>
      </c>
      <c r="D99" t="s">
        <v>3743</v>
      </c>
      <c r="E99" t="s">
        <v>3744</v>
      </c>
      <c r="F99">
        <v>12.75</v>
      </c>
      <c r="G99" t="s">
        <v>3745</v>
      </c>
      <c r="H99" t="s">
        <v>294</v>
      </c>
      <c r="J99" t="s">
        <v>294</v>
      </c>
      <c r="K99" t="s">
        <v>294</v>
      </c>
    </row>
    <row r="100" spans="2:11">
      <c r="B100" t="s">
        <v>95</v>
      </c>
      <c r="C100" t="s">
        <v>258</v>
      </c>
      <c r="D100" t="s">
        <v>3746</v>
      </c>
      <c r="E100" t="s">
        <v>3747</v>
      </c>
      <c r="F100">
        <v>26.48</v>
      </c>
      <c r="G100" t="s">
        <v>3748</v>
      </c>
      <c r="H100" t="s">
        <v>276</v>
      </c>
      <c r="J100" t="s">
        <v>276</v>
      </c>
      <c r="K100" t="s">
        <v>276</v>
      </c>
    </row>
    <row r="101" spans="2:11" hidden="1">
      <c r="B101" t="s">
        <v>170</v>
      </c>
      <c r="C101" t="s">
        <v>171</v>
      </c>
      <c r="D101" t="s">
        <v>3749</v>
      </c>
      <c r="E101" t="s">
        <v>3750</v>
      </c>
      <c r="F101">
        <v>0.35</v>
      </c>
      <c r="G101" t="s">
        <v>3751</v>
      </c>
      <c r="H101" t="s">
        <v>277</v>
      </c>
      <c r="J101" t="s">
        <v>277</v>
      </c>
      <c r="K101" t="s">
        <v>277</v>
      </c>
    </row>
    <row r="102" spans="2:11" hidden="1">
      <c r="B102" t="s">
        <v>220</v>
      </c>
      <c r="C102" t="s">
        <v>221</v>
      </c>
      <c r="D102" t="s">
        <v>3752</v>
      </c>
      <c r="E102" t="s">
        <v>3753</v>
      </c>
      <c r="F102">
        <v>1.88</v>
      </c>
      <c r="G102" t="s">
        <v>3754</v>
      </c>
      <c r="I102" t="s">
        <v>275</v>
      </c>
      <c r="J102" t="s">
        <v>294</v>
      </c>
      <c r="K102" t="s">
        <v>294</v>
      </c>
    </row>
    <row r="103" spans="2:11" hidden="1">
      <c r="B103" t="s">
        <v>220</v>
      </c>
      <c r="C103" t="s">
        <v>221</v>
      </c>
      <c r="D103" t="s">
        <v>3755</v>
      </c>
      <c r="E103" t="s">
        <v>3756</v>
      </c>
      <c r="F103">
        <v>9.23</v>
      </c>
      <c r="G103" t="s">
        <v>3754</v>
      </c>
      <c r="H103" t="s">
        <v>294</v>
      </c>
      <c r="I103" t="s">
        <v>3757</v>
      </c>
      <c r="J103" t="s">
        <v>294</v>
      </c>
      <c r="K103" t="s">
        <v>294</v>
      </c>
    </row>
    <row r="104" spans="2:11" hidden="1">
      <c r="B104" t="s">
        <v>193</v>
      </c>
      <c r="C104" t="s">
        <v>183</v>
      </c>
      <c r="D104" t="s">
        <v>3758</v>
      </c>
      <c r="E104" t="s">
        <v>3759</v>
      </c>
      <c r="F104">
        <v>0.8</v>
      </c>
      <c r="G104" t="s">
        <v>3760</v>
      </c>
      <c r="H104" t="s">
        <v>277</v>
      </c>
      <c r="J104" t="s">
        <v>277</v>
      </c>
      <c r="K104" t="s">
        <v>277</v>
      </c>
    </row>
    <row r="105" spans="2:11" hidden="1">
      <c r="B105" t="s">
        <v>247</v>
      </c>
      <c r="C105" t="s">
        <v>248</v>
      </c>
      <c r="D105" t="s">
        <v>3761</v>
      </c>
      <c r="E105" t="s">
        <v>3762</v>
      </c>
      <c r="F105">
        <v>1.4</v>
      </c>
      <c r="G105" t="s">
        <v>3763</v>
      </c>
      <c r="H105" t="s">
        <v>278</v>
      </c>
      <c r="J105" t="s">
        <v>278</v>
      </c>
      <c r="K105" t="s">
        <v>278</v>
      </c>
    </row>
    <row r="106" spans="2:11" hidden="1">
      <c r="B106" t="s">
        <v>310</v>
      </c>
      <c r="C106" t="s">
        <v>311</v>
      </c>
      <c r="D106" t="s">
        <v>3764</v>
      </c>
      <c r="E106" t="s">
        <v>3765</v>
      </c>
      <c r="F106">
        <v>4.38</v>
      </c>
      <c r="G106" t="s">
        <v>3766</v>
      </c>
      <c r="H106" t="s">
        <v>278</v>
      </c>
      <c r="J106" t="s">
        <v>278</v>
      </c>
      <c r="K106" t="s">
        <v>278</v>
      </c>
    </row>
    <row r="107" spans="2:11" hidden="1">
      <c r="B107" t="s">
        <v>163</v>
      </c>
      <c r="C107" t="s">
        <v>164</v>
      </c>
      <c r="D107" t="s">
        <v>3767</v>
      </c>
      <c r="E107" t="s">
        <v>3768</v>
      </c>
      <c r="F107">
        <v>0.38</v>
      </c>
      <c r="G107" t="s">
        <v>3769</v>
      </c>
      <c r="H107" t="s">
        <v>294</v>
      </c>
      <c r="J107" t="s">
        <v>294</v>
      </c>
      <c r="K107" t="s">
        <v>294</v>
      </c>
    </row>
    <row r="108" spans="2:11" hidden="1">
      <c r="B108" t="s">
        <v>165</v>
      </c>
      <c r="C108" t="s">
        <v>164</v>
      </c>
      <c r="D108" t="s">
        <v>3770</v>
      </c>
      <c r="E108" t="s">
        <v>3771</v>
      </c>
      <c r="F108">
        <v>0.38</v>
      </c>
      <c r="G108" t="s">
        <v>3772</v>
      </c>
      <c r="H108" t="s">
        <v>294</v>
      </c>
      <c r="J108" t="s">
        <v>294</v>
      </c>
      <c r="K108" t="s">
        <v>294</v>
      </c>
    </row>
    <row r="109" spans="2:11" hidden="1">
      <c r="B109" t="s">
        <v>166</v>
      </c>
      <c r="C109" t="s">
        <v>167</v>
      </c>
      <c r="D109" t="s">
        <v>3773</v>
      </c>
      <c r="E109" t="s">
        <v>3774</v>
      </c>
      <c r="F109">
        <v>0.35</v>
      </c>
      <c r="G109" t="s">
        <v>3775</v>
      </c>
      <c r="H109" t="s">
        <v>294</v>
      </c>
      <c r="J109" t="s">
        <v>294</v>
      </c>
      <c r="K109" t="s">
        <v>294</v>
      </c>
    </row>
    <row r="110" spans="2:11" hidden="1">
      <c r="B110" t="s">
        <v>220</v>
      </c>
      <c r="C110" t="s">
        <v>221</v>
      </c>
      <c r="D110" t="s">
        <v>3776</v>
      </c>
      <c r="E110" t="s">
        <v>3777</v>
      </c>
      <c r="F110">
        <v>12.05</v>
      </c>
      <c r="G110" t="s">
        <v>3778</v>
      </c>
      <c r="H110" t="s">
        <v>278</v>
      </c>
      <c r="J110" t="s">
        <v>278</v>
      </c>
      <c r="K110" t="s">
        <v>278</v>
      </c>
    </row>
    <row r="111" spans="2:11" hidden="1">
      <c r="B111" t="s">
        <v>184</v>
      </c>
      <c r="C111" t="s">
        <v>185</v>
      </c>
      <c r="D111" t="s">
        <v>3779</v>
      </c>
      <c r="E111" t="s">
        <v>3780</v>
      </c>
      <c r="F111">
        <v>11.32</v>
      </c>
      <c r="G111" t="s">
        <v>3781</v>
      </c>
      <c r="H111" t="s">
        <v>278</v>
      </c>
      <c r="J111" t="s">
        <v>278</v>
      </c>
      <c r="K111" t="s">
        <v>278</v>
      </c>
    </row>
    <row r="112" spans="2:11" hidden="1">
      <c r="B112" t="s">
        <v>182</v>
      </c>
      <c r="C112" t="s">
        <v>183</v>
      </c>
      <c r="D112" t="s">
        <v>3782</v>
      </c>
      <c r="E112" t="s">
        <v>3783</v>
      </c>
      <c r="F112">
        <v>1.48</v>
      </c>
      <c r="G112" t="s">
        <v>3784</v>
      </c>
      <c r="H112" t="s">
        <v>277</v>
      </c>
      <c r="J112" t="s">
        <v>277</v>
      </c>
      <c r="K112" t="s">
        <v>277</v>
      </c>
    </row>
    <row r="113" spans="2:11" hidden="1">
      <c r="B113" t="s">
        <v>261</v>
      </c>
      <c r="C113" t="s">
        <v>262</v>
      </c>
      <c r="D113" t="s">
        <v>3785</v>
      </c>
      <c r="E113" t="s">
        <v>3786</v>
      </c>
      <c r="F113">
        <v>1.47</v>
      </c>
      <c r="G113" t="s">
        <v>3787</v>
      </c>
      <c r="H113" t="s">
        <v>276</v>
      </c>
      <c r="J113" t="s">
        <v>276</v>
      </c>
      <c r="K113" t="s">
        <v>276</v>
      </c>
    </row>
    <row r="114" spans="2:11" hidden="1">
      <c r="B114" t="s">
        <v>204</v>
      </c>
      <c r="C114" t="s">
        <v>205</v>
      </c>
      <c r="D114" t="s">
        <v>3788</v>
      </c>
      <c r="E114" t="s">
        <v>3789</v>
      </c>
      <c r="F114">
        <v>1.45</v>
      </c>
      <c r="G114" t="s">
        <v>3790</v>
      </c>
      <c r="H114" t="s">
        <v>294</v>
      </c>
      <c r="J114" t="s">
        <v>294</v>
      </c>
      <c r="K114" t="s">
        <v>294</v>
      </c>
    </row>
    <row r="115" spans="2:11" hidden="1">
      <c r="B115" t="s">
        <v>206</v>
      </c>
      <c r="C115" t="s">
        <v>205</v>
      </c>
      <c r="D115" t="s">
        <v>3791</v>
      </c>
      <c r="E115" t="s">
        <v>3792</v>
      </c>
      <c r="F115">
        <v>1.45</v>
      </c>
      <c r="G115" t="s">
        <v>3793</v>
      </c>
      <c r="H115" t="s">
        <v>294</v>
      </c>
      <c r="J115" t="s">
        <v>294</v>
      </c>
      <c r="K115" t="s">
        <v>294</v>
      </c>
    </row>
    <row r="116" spans="2:11" hidden="1">
      <c r="B116" t="s">
        <v>207</v>
      </c>
      <c r="C116" t="s">
        <v>205</v>
      </c>
      <c r="D116" t="s">
        <v>3794</v>
      </c>
      <c r="E116" t="s">
        <v>3795</v>
      </c>
      <c r="F116">
        <v>1.45</v>
      </c>
      <c r="G116" t="s">
        <v>3796</v>
      </c>
      <c r="H116" t="s">
        <v>294</v>
      </c>
      <c r="J116" t="s">
        <v>294</v>
      </c>
      <c r="K116" t="s">
        <v>294</v>
      </c>
    </row>
    <row r="117" spans="2:11" hidden="1">
      <c r="B117" t="s">
        <v>214</v>
      </c>
      <c r="C117" t="s">
        <v>205</v>
      </c>
      <c r="D117" t="s">
        <v>3797</v>
      </c>
      <c r="E117" t="s">
        <v>3798</v>
      </c>
      <c r="F117">
        <v>1.47</v>
      </c>
      <c r="G117" t="s">
        <v>3799</v>
      </c>
      <c r="H117" t="s">
        <v>294</v>
      </c>
      <c r="J117" t="s">
        <v>294</v>
      </c>
      <c r="K117" t="s">
        <v>294</v>
      </c>
    </row>
    <row r="118" spans="2:11" hidden="1">
      <c r="B118" t="s">
        <v>218</v>
      </c>
      <c r="C118" t="s">
        <v>177</v>
      </c>
      <c r="D118" t="s">
        <v>3800</v>
      </c>
      <c r="E118" t="s">
        <v>3801</v>
      </c>
      <c r="F118">
        <v>9.35</v>
      </c>
      <c r="G118" t="s">
        <v>3802</v>
      </c>
      <c r="H118" t="s">
        <v>276</v>
      </c>
      <c r="J118" t="s">
        <v>276</v>
      </c>
      <c r="K118" t="s">
        <v>276</v>
      </c>
    </row>
    <row r="119" spans="2:11" hidden="1">
      <c r="B119" t="s">
        <v>318</v>
      </c>
      <c r="C119" t="s">
        <v>319</v>
      </c>
      <c r="D119" t="s">
        <v>3803</v>
      </c>
      <c r="E119" t="s">
        <v>3804</v>
      </c>
      <c r="F119">
        <v>2.1</v>
      </c>
      <c r="G119" t="s">
        <v>3805</v>
      </c>
      <c r="H119" t="s">
        <v>3498</v>
      </c>
      <c r="J119" t="s">
        <v>3498</v>
      </c>
      <c r="K119" t="s">
        <v>3498</v>
      </c>
    </row>
    <row r="120" spans="2:11" hidden="1">
      <c r="B120" t="s">
        <v>224</v>
      </c>
      <c r="C120" t="s">
        <v>225</v>
      </c>
      <c r="D120" t="s">
        <v>3806</v>
      </c>
      <c r="E120" t="s">
        <v>3807</v>
      </c>
      <c r="F120">
        <v>29.48</v>
      </c>
      <c r="G120" t="s">
        <v>3808</v>
      </c>
      <c r="H120" t="s">
        <v>274</v>
      </c>
      <c r="J120" t="s">
        <v>274</v>
      </c>
      <c r="K120" t="s">
        <v>274</v>
      </c>
    </row>
    <row r="121" spans="2:11">
      <c r="B121" t="s">
        <v>83</v>
      </c>
      <c r="C121" t="s">
        <v>201</v>
      </c>
      <c r="D121" t="s">
        <v>3809</v>
      </c>
      <c r="E121" t="s">
        <v>3810</v>
      </c>
      <c r="F121">
        <v>21.67</v>
      </c>
      <c r="G121" t="s">
        <v>3811</v>
      </c>
      <c r="H121" t="s">
        <v>276</v>
      </c>
      <c r="J121" t="s">
        <v>276</v>
      </c>
      <c r="K121" t="s">
        <v>276</v>
      </c>
    </row>
    <row r="122" spans="2:11" hidden="1">
      <c r="B122" t="s">
        <v>257</v>
      </c>
      <c r="C122" t="s">
        <v>252</v>
      </c>
      <c r="D122" t="s">
        <v>3812</v>
      </c>
      <c r="E122" t="s">
        <v>3813</v>
      </c>
      <c r="F122">
        <v>5.37</v>
      </c>
      <c r="G122" t="s">
        <v>3814</v>
      </c>
      <c r="H122" t="s">
        <v>294</v>
      </c>
      <c r="J122" t="s">
        <v>294</v>
      </c>
      <c r="K122" t="s">
        <v>294</v>
      </c>
    </row>
    <row r="123" spans="2:11" hidden="1">
      <c r="B123" t="s">
        <v>251</v>
      </c>
      <c r="C123" t="s">
        <v>252</v>
      </c>
      <c r="D123" t="s">
        <v>3815</v>
      </c>
      <c r="E123" t="s">
        <v>3816</v>
      </c>
      <c r="F123">
        <v>5.37</v>
      </c>
      <c r="G123" t="s">
        <v>3817</v>
      </c>
      <c r="H123" t="s">
        <v>294</v>
      </c>
      <c r="J123" t="s">
        <v>294</v>
      </c>
      <c r="K123" t="s">
        <v>294</v>
      </c>
    </row>
    <row r="124" spans="2:11" hidden="1">
      <c r="B124" t="s">
        <v>253</v>
      </c>
      <c r="C124" t="s">
        <v>252</v>
      </c>
      <c r="D124" t="s">
        <v>3818</v>
      </c>
      <c r="E124" t="s">
        <v>3819</v>
      </c>
      <c r="F124">
        <v>5.35</v>
      </c>
      <c r="G124" t="s">
        <v>3820</v>
      </c>
      <c r="H124" t="s">
        <v>294</v>
      </c>
      <c r="J124" t="s">
        <v>294</v>
      </c>
      <c r="K124" t="s">
        <v>294</v>
      </c>
    </row>
    <row r="125" spans="2:11" hidden="1">
      <c r="B125" t="s">
        <v>269</v>
      </c>
      <c r="C125" t="s">
        <v>270</v>
      </c>
      <c r="D125" t="s">
        <v>3821</v>
      </c>
      <c r="E125" t="s">
        <v>3822</v>
      </c>
      <c r="F125">
        <v>7.15</v>
      </c>
      <c r="G125" t="s">
        <v>3823</v>
      </c>
      <c r="H125" t="s">
        <v>294</v>
      </c>
      <c r="J125" t="s">
        <v>294</v>
      </c>
      <c r="K125" t="s">
        <v>294</v>
      </c>
    </row>
    <row r="126" spans="2:11" hidden="1">
      <c r="B126" t="s">
        <v>271</v>
      </c>
      <c r="C126" t="s">
        <v>272</v>
      </c>
      <c r="D126" t="s">
        <v>3824</v>
      </c>
      <c r="E126" t="s">
        <v>3825</v>
      </c>
      <c r="F126">
        <v>2.4700000000000002</v>
      </c>
      <c r="G126" t="s">
        <v>3826</v>
      </c>
      <c r="H126" t="s">
        <v>294</v>
      </c>
      <c r="J126" t="s">
        <v>294</v>
      </c>
      <c r="K126" t="s">
        <v>294</v>
      </c>
    </row>
    <row r="127" spans="2:11" hidden="1">
      <c r="B127" t="s">
        <v>208</v>
      </c>
      <c r="C127" t="s">
        <v>209</v>
      </c>
      <c r="D127" t="s">
        <v>3827</v>
      </c>
      <c r="E127" t="s">
        <v>3828</v>
      </c>
      <c r="F127">
        <v>2.4500000000000002</v>
      </c>
      <c r="G127" t="s">
        <v>3829</v>
      </c>
      <c r="H127" t="s">
        <v>294</v>
      </c>
      <c r="J127" t="s">
        <v>294</v>
      </c>
      <c r="K127" t="s">
        <v>294</v>
      </c>
    </row>
    <row r="128" spans="2:11" hidden="1">
      <c r="B128" t="s">
        <v>210</v>
      </c>
      <c r="C128" t="s">
        <v>211</v>
      </c>
      <c r="D128" t="s">
        <v>3830</v>
      </c>
      <c r="E128" t="s">
        <v>3831</v>
      </c>
      <c r="F128">
        <v>2.4300000000000002</v>
      </c>
      <c r="G128" t="s">
        <v>3832</v>
      </c>
      <c r="H128" t="s">
        <v>294</v>
      </c>
      <c r="J128" t="s">
        <v>294</v>
      </c>
      <c r="K128" t="s">
        <v>294</v>
      </c>
    </row>
    <row r="129" spans="2:11" hidden="1">
      <c r="B129" t="s">
        <v>233</v>
      </c>
      <c r="C129" t="s">
        <v>234</v>
      </c>
      <c r="D129" t="s">
        <v>3833</v>
      </c>
      <c r="E129" t="s">
        <v>3834</v>
      </c>
      <c r="F129">
        <v>2.42</v>
      </c>
      <c r="G129" t="s">
        <v>3835</v>
      </c>
      <c r="H129" t="s">
        <v>294</v>
      </c>
      <c r="J129" t="s">
        <v>294</v>
      </c>
      <c r="K129" t="s">
        <v>294</v>
      </c>
    </row>
    <row r="130" spans="2:11" hidden="1">
      <c r="B130" t="s">
        <v>235</v>
      </c>
      <c r="C130" t="s">
        <v>234</v>
      </c>
      <c r="D130" t="s">
        <v>3836</v>
      </c>
      <c r="E130" t="s">
        <v>3837</v>
      </c>
      <c r="F130">
        <v>2.37</v>
      </c>
      <c r="G130" t="s">
        <v>3838</v>
      </c>
      <c r="H130" t="s">
        <v>294</v>
      </c>
      <c r="J130" t="s">
        <v>294</v>
      </c>
      <c r="K130" t="s">
        <v>294</v>
      </c>
    </row>
    <row r="131" spans="2:11" hidden="1">
      <c r="B131" t="s">
        <v>174</v>
      </c>
      <c r="C131" t="s">
        <v>175</v>
      </c>
      <c r="D131" t="s">
        <v>3839</v>
      </c>
      <c r="E131" t="s">
        <v>3840</v>
      </c>
      <c r="F131">
        <v>2.37</v>
      </c>
      <c r="G131" t="s">
        <v>3841</v>
      </c>
      <c r="H131" t="s">
        <v>294</v>
      </c>
      <c r="J131" t="s">
        <v>294</v>
      </c>
      <c r="K131" t="s">
        <v>294</v>
      </c>
    </row>
    <row r="132" spans="2:11" hidden="1">
      <c r="B132" t="s">
        <v>176</v>
      </c>
      <c r="C132" t="s">
        <v>177</v>
      </c>
      <c r="D132" t="s">
        <v>3842</v>
      </c>
      <c r="E132" t="s">
        <v>3843</v>
      </c>
      <c r="F132">
        <v>2.35</v>
      </c>
      <c r="G132" t="s">
        <v>3844</v>
      </c>
      <c r="H132" t="s">
        <v>294</v>
      </c>
      <c r="J132" t="s">
        <v>294</v>
      </c>
      <c r="K132" t="s">
        <v>294</v>
      </c>
    </row>
    <row r="133" spans="2:11" hidden="1">
      <c r="B133" t="s">
        <v>254</v>
      </c>
      <c r="C133" t="s">
        <v>252</v>
      </c>
      <c r="D133" t="s">
        <v>3845</v>
      </c>
      <c r="E133" t="s">
        <v>3846</v>
      </c>
      <c r="F133">
        <v>15.92</v>
      </c>
      <c r="G133" t="s">
        <v>3847</v>
      </c>
      <c r="H133" t="s">
        <v>277</v>
      </c>
      <c r="J133" t="s">
        <v>277</v>
      </c>
      <c r="K133" t="s">
        <v>277</v>
      </c>
    </row>
    <row r="134" spans="2:11" hidden="1">
      <c r="B134" t="s">
        <v>661</v>
      </c>
      <c r="C134" t="s">
        <v>183</v>
      </c>
      <c r="D134" t="s">
        <v>3848</v>
      </c>
      <c r="E134" t="s">
        <v>3849</v>
      </c>
      <c r="F134">
        <v>0.05</v>
      </c>
      <c r="G134" t="s">
        <v>3850</v>
      </c>
      <c r="H134" t="s">
        <v>274</v>
      </c>
      <c r="J134" t="s">
        <v>274</v>
      </c>
      <c r="K134" t="s">
        <v>274</v>
      </c>
    </row>
    <row r="135" spans="2:11" hidden="1">
      <c r="B135" t="s">
        <v>191</v>
      </c>
      <c r="C135" t="s">
        <v>183</v>
      </c>
      <c r="D135" t="s">
        <v>3851</v>
      </c>
      <c r="E135" t="s">
        <v>3852</v>
      </c>
      <c r="F135">
        <v>0.13</v>
      </c>
      <c r="G135" t="s">
        <v>3853</v>
      </c>
      <c r="H135" t="s">
        <v>274</v>
      </c>
      <c r="J135" t="s">
        <v>274</v>
      </c>
      <c r="K135" t="s">
        <v>274</v>
      </c>
    </row>
    <row r="136" spans="2:11" hidden="1">
      <c r="B136" t="s">
        <v>215</v>
      </c>
      <c r="C136" t="s">
        <v>216</v>
      </c>
      <c r="D136" t="s">
        <v>3854</v>
      </c>
      <c r="E136" t="s">
        <v>3855</v>
      </c>
      <c r="F136">
        <v>15.92</v>
      </c>
      <c r="G136" t="s">
        <v>3856</v>
      </c>
      <c r="H136" t="s">
        <v>277</v>
      </c>
      <c r="J136" t="s">
        <v>277</v>
      </c>
      <c r="K136" t="s">
        <v>277</v>
      </c>
    </row>
    <row r="137" spans="2:11" hidden="1">
      <c r="B137" t="s">
        <v>562</v>
      </c>
      <c r="C137" t="s">
        <v>563</v>
      </c>
      <c r="D137" t="s">
        <v>3857</v>
      </c>
      <c r="E137" t="s">
        <v>3858</v>
      </c>
      <c r="F137">
        <v>0.15</v>
      </c>
      <c r="G137" t="s">
        <v>3859</v>
      </c>
      <c r="H137" t="s">
        <v>274</v>
      </c>
      <c r="J137" t="s">
        <v>274</v>
      </c>
      <c r="K137" t="s">
        <v>274</v>
      </c>
    </row>
    <row r="138" spans="2:11" hidden="1">
      <c r="B138" t="s">
        <v>224</v>
      </c>
      <c r="C138" t="s">
        <v>225</v>
      </c>
      <c r="D138" t="s">
        <v>3860</v>
      </c>
      <c r="E138" t="s">
        <v>3861</v>
      </c>
      <c r="F138">
        <v>21.8</v>
      </c>
      <c r="G138" t="s">
        <v>3072</v>
      </c>
      <c r="I138" t="s">
        <v>275</v>
      </c>
      <c r="J138" t="s">
        <v>294</v>
      </c>
      <c r="K138" t="s">
        <v>294</v>
      </c>
    </row>
    <row r="139" spans="2:11" hidden="1">
      <c r="B139" t="s">
        <v>212</v>
      </c>
      <c r="C139" t="s">
        <v>213</v>
      </c>
      <c r="D139" t="s">
        <v>3862</v>
      </c>
      <c r="E139" t="s">
        <v>3863</v>
      </c>
      <c r="F139">
        <v>10.62</v>
      </c>
      <c r="G139" t="s">
        <v>3864</v>
      </c>
      <c r="H139" t="s">
        <v>276</v>
      </c>
      <c r="J139" t="s">
        <v>276</v>
      </c>
      <c r="K139" t="s">
        <v>276</v>
      </c>
    </row>
    <row r="140" spans="2:11">
      <c r="B140" t="s">
        <v>82</v>
      </c>
      <c r="C140" t="s">
        <v>217</v>
      </c>
      <c r="D140" t="s">
        <v>3865</v>
      </c>
      <c r="E140" t="s">
        <v>3866</v>
      </c>
      <c r="F140">
        <v>11.28</v>
      </c>
      <c r="G140" t="s">
        <v>3867</v>
      </c>
      <c r="H140" t="s">
        <v>276</v>
      </c>
      <c r="J140" t="s">
        <v>276</v>
      </c>
      <c r="K140" t="s">
        <v>276</v>
      </c>
    </row>
    <row r="141" spans="2:11" hidden="1">
      <c r="B141" t="s">
        <v>186</v>
      </c>
      <c r="C141" t="s">
        <v>187</v>
      </c>
      <c r="D141" t="s">
        <v>3868</v>
      </c>
      <c r="E141" t="s">
        <v>3869</v>
      </c>
      <c r="F141">
        <v>1.1200000000000001</v>
      </c>
      <c r="G141" t="s">
        <v>3870</v>
      </c>
      <c r="H141" t="s">
        <v>276</v>
      </c>
      <c r="J141" t="s">
        <v>276</v>
      </c>
      <c r="K141" t="s">
        <v>276</v>
      </c>
    </row>
    <row r="142" spans="2:11" hidden="1">
      <c r="B142" t="s">
        <v>199</v>
      </c>
      <c r="C142" t="s">
        <v>200</v>
      </c>
      <c r="D142" t="s">
        <v>3871</v>
      </c>
      <c r="E142" t="s">
        <v>3872</v>
      </c>
      <c r="F142">
        <v>13.47</v>
      </c>
      <c r="G142" t="s">
        <v>3873</v>
      </c>
      <c r="H142" t="s">
        <v>276</v>
      </c>
      <c r="J142" t="s">
        <v>276</v>
      </c>
      <c r="K142" t="s">
        <v>276</v>
      </c>
    </row>
    <row r="143" spans="2:11" hidden="1">
      <c r="B143" t="s">
        <v>212</v>
      </c>
      <c r="C143" t="s">
        <v>213</v>
      </c>
      <c r="D143" t="s">
        <v>3874</v>
      </c>
      <c r="E143" t="s">
        <v>3875</v>
      </c>
      <c r="F143">
        <v>7.47</v>
      </c>
      <c r="G143" t="s">
        <v>3876</v>
      </c>
      <c r="H143" t="s">
        <v>294</v>
      </c>
      <c r="J143" t="s">
        <v>294</v>
      </c>
      <c r="K143" t="s">
        <v>294</v>
      </c>
    </row>
    <row r="144" spans="2:11" hidden="1">
      <c r="B144" t="s">
        <v>172</v>
      </c>
      <c r="C144" t="s">
        <v>173</v>
      </c>
      <c r="D144" t="s">
        <v>3877</v>
      </c>
      <c r="E144" t="s">
        <v>3878</v>
      </c>
      <c r="F144">
        <v>0.85</v>
      </c>
      <c r="G144" t="s">
        <v>3879</v>
      </c>
      <c r="H144" t="s">
        <v>276</v>
      </c>
      <c r="J144" t="s">
        <v>276</v>
      </c>
      <c r="K144" t="s">
        <v>276</v>
      </c>
    </row>
    <row r="145" spans="2:11" hidden="1">
      <c r="B145" t="s">
        <v>188</v>
      </c>
      <c r="C145" t="s">
        <v>189</v>
      </c>
      <c r="D145" t="s">
        <v>3880</v>
      </c>
      <c r="E145" t="s">
        <v>3881</v>
      </c>
      <c r="F145">
        <v>19.149999999999999</v>
      </c>
      <c r="G145" t="s">
        <v>3882</v>
      </c>
      <c r="H145" t="s">
        <v>277</v>
      </c>
      <c r="J145" t="s">
        <v>277</v>
      </c>
      <c r="K145" t="s">
        <v>277</v>
      </c>
    </row>
    <row r="146" spans="2:11" hidden="1">
      <c r="B146" t="s">
        <v>197</v>
      </c>
      <c r="C146" t="s">
        <v>198</v>
      </c>
      <c r="D146" t="s">
        <v>3883</v>
      </c>
      <c r="E146" t="s">
        <v>3884</v>
      </c>
      <c r="F146">
        <v>12.6</v>
      </c>
      <c r="G146" t="s">
        <v>3885</v>
      </c>
      <c r="H146" t="s">
        <v>276</v>
      </c>
      <c r="J146" t="s">
        <v>276</v>
      </c>
      <c r="K146" t="s">
        <v>276</v>
      </c>
    </row>
    <row r="147" spans="2:11" hidden="1">
      <c r="B147" t="s">
        <v>168</v>
      </c>
      <c r="C147" t="s">
        <v>169</v>
      </c>
      <c r="D147" t="s">
        <v>3886</v>
      </c>
      <c r="E147" t="s">
        <v>3887</v>
      </c>
      <c r="F147">
        <v>1.05</v>
      </c>
      <c r="G147" t="s">
        <v>3888</v>
      </c>
      <c r="H147" t="s">
        <v>276</v>
      </c>
      <c r="J147" t="s">
        <v>276</v>
      </c>
      <c r="K147" t="s">
        <v>276</v>
      </c>
    </row>
    <row r="148" spans="2:11" hidden="1"/>
    <row r="149" spans="2:11" hidden="1"/>
    <row r="150" spans="2:11" hidden="1"/>
    <row r="151" spans="2:11" hidden="1"/>
    <row r="152" spans="2:11" hidden="1"/>
    <row r="153" spans="2:11" hidden="1"/>
    <row r="154" spans="2:11" hidden="1"/>
    <row r="155" spans="2:11" hidden="1"/>
    <row r="156" spans="2:11" hidden="1"/>
    <row r="157" spans="2:11" hidden="1"/>
    <row r="158" spans="2:11" hidden="1"/>
    <row r="159" spans="2:11" hidden="1"/>
    <row r="160" spans="2:11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</sheetData>
  <autoFilter ref="B1:B400" xr:uid="{E8FED618-51EA-4CC8-83DB-07E7E9F7DBE7}">
    <filterColumn colId="0">
      <filters>
        <filter val="LP-N1"/>
        <filter val="LP-N2"/>
        <filter val="LP-N3"/>
        <filter val="LP-N4"/>
        <filter val="LP-N5"/>
        <filter val="LP-N6"/>
        <filter val="LP-N7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0828-4A62-4B31-A209-F0B979029BC1}">
  <sheetPr filterMode="1"/>
  <dimension ref="B1:K129"/>
  <sheetViews>
    <sheetView workbookViewId="0">
      <selection activeCell="B1" sqref="B1:B1048576"/>
    </sheetView>
  </sheetViews>
  <sheetFormatPr defaultRowHeight="15.75"/>
  <cols>
    <col min="2" max="2" width="10.125" bestFit="1" customWidth="1"/>
    <col min="3" max="3" width="8.875" bestFit="1" customWidth="1"/>
    <col min="4" max="5" width="18.25" bestFit="1" customWidth="1"/>
    <col min="6" max="6" width="8.875" bestFit="1" customWidth="1"/>
    <col min="7" max="7" width="64.625" bestFit="1" customWidth="1"/>
    <col min="8" max="8" width="8.875" bestFit="1" customWidth="1"/>
    <col min="9" max="9" width="17.625" bestFit="1" customWidth="1"/>
    <col min="10" max="11" width="8.875" bestFit="1" customWidth="1"/>
  </cols>
  <sheetData>
    <row r="1" spans="2:11"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161</v>
      </c>
      <c r="H1" t="s">
        <v>268</v>
      </c>
      <c r="I1" t="s">
        <v>162</v>
      </c>
      <c r="J1" t="s">
        <v>372</v>
      </c>
      <c r="K1" t="s">
        <v>373</v>
      </c>
    </row>
    <row r="2" spans="2:11" hidden="1">
      <c r="B2" t="s">
        <v>170</v>
      </c>
      <c r="C2" t="s">
        <v>171</v>
      </c>
      <c r="D2" t="s">
        <v>3067</v>
      </c>
      <c r="E2" t="s">
        <v>3068</v>
      </c>
      <c r="F2">
        <v>0.27</v>
      </c>
      <c r="G2" t="s">
        <v>3069</v>
      </c>
      <c r="H2" t="s">
        <v>276</v>
      </c>
      <c r="J2" t="s">
        <v>276</v>
      </c>
      <c r="K2" t="s">
        <v>276</v>
      </c>
    </row>
    <row r="3" spans="2:11" hidden="1">
      <c r="B3" t="s">
        <v>224</v>
      </c>
      <c r="C3" t="s">
        <v>225</v>
      </c>
      <c r="D3" t="s">
        <v>3070</v>
      </c>
      <c r="E3" t="s">
        <v>3071</v>
      </c>
      <c r="F3">
        <v>95.88</v>
      </c>
      <c r="G3" t="s">
        <v>3072</v>
      </c>
      <c r="H3" t="s">
        <v>277</v>
      </c>
      <c r="J3" t="s">
        <v>277</v>
      </c>
      <c r="K3" t="s">
        <v>277</v>
      </c>
    </row>
    <row r="4" spans="2:11" hidden="1">
      <c r="B4" t="s">
        <v>197</v>
      </c>
      <c r="C4" t="s">
        <v>198</v>
      </c>
      <c r="D4" t="s">
        <v>3073</v>
      </c>
      <c r="E4" t="s">
        <v>3074</v>
      </c>
      <c r="F4">
        <v>1.23</v>
      </c>
      <c r="G4" t="s">
        <v>3075</v>
      </c>
      <c r="H4" t="s">
        <v>277</v>
      </c>
      <c r="J4" t="s">
        <v>277</v>
      </c>
      <c r="K4" t="s">
        <v>277</v>
      </c>
    </row>
    <row r="5" spans="2:11" hidden="1">
      <c r="B5" t="s">
        <v>166</v>
      </c>
      <c r="C5" t="s">
        <v>167</v>
      </c>
      <c r="D5" t="s">
        <v>3076</v>
      </c>
      <c r="E5" t="s">
        <v>3077</v>
      </c>
      <c r="F5">
        <v>0.12</v>
      </c>
      <c r="G5" t="s">
        <v>3078</v>
      </c>
      <c r="H5" t="s">
        <v>3079</v>
      </c>
      <c r="J5" t="s">
        <v>3079</v>
      </c>
      <c r="K5" t="s">
        <v>3079</v>
      </c>
    </row>
    <row r="6" spans="2:11" hidden="1">
      <c r="B6" t="s">
        <v>163</v>
      </c>
      <c r="C6" t="s">
        <v>164</v>
      </c>
      <c r="D6" t="s">
        <v>3080</v>
      </c>
      <c r="E6" t="s">
        <v>3081</v>
      </c>
      <c r="F6">
        <v>0.4</v>
      </c>
      <c r="G6" t="s">
        <v>3082</v>
      </c>
      <c r="H6" t="s">
        <v>3079</v>
      </c>
      <c r="J6" t="s">
        <v>3079</v>
      </c>
      <c r="K6" t="s">
        <v>3079</v>
      </c>
    </row>
    <row r="7" spans="2:11" hidden="1">
      <c r="B7" t="s">
        <v>165</v>
      </c>
      <c r="C7" t="s">
        <v>164</v>
      </c>
      <c r="D7" t="s">
        <v>3083</v>
      </c>
      <c r="E7" t="s">
        <v>3084</v>
      </c>
      <c r="F7">
        <v>0.38</v>
      </c>
      <c r="G7" t="s">
        <v>3085</v>
      </c>
      <c r="H7" t="s">
        <v>3079</v>
      </c>
      <c r="J7" t="s">
        <v>3079</v>
      </c>
      <c r="K7" t="s">
        <v>3079</v>
      </c>
    </row>
    <row r="8" spans="2:11" hidden="1">
      <c r="B8" t="s">
        <v>240</v>
      </c>
      <c r="C8" t="s">
        <v>241</v>
      </c>
      <c r="D8" t="s">
        <v>3086</v>
      </c>
      <c r="E8" t="s">
        <v>3087</v>
      </c>
      <c r="F8">
        <v>7.42</v>
      </c>
      <c r="G8" t="s">
        <v>3088</v>
      </c>
      <c r="H8" t="s">
        <v>3079</v>
      </c>
      <c r="J8" t="s">
        <v>3079</v>
      </c>
      <c r="K8" t="s">
        <v>3079</v>
      </c>
    </row>
    <row r="9" spans="2:11" hidden="1">
      <c r="B9" t="s">
        <v>195</v>
      </c>
      <c r="C9" t="s">
        <v>196</v>
      </c>
      <c r="D9" t="s">
        <v>3089</v>
      </c>
      <c r="E9" t="s">
        <v>3090</v>
      </c>
      <c r="F9">
        <v>14.02</v>
      </c>
      <c r="G9" t="s">
        <v>3091</v>
      </c>
      <c r="H9" t="s">
        <v>277</v>
      </c>
      <c r="J9" t="s">
        <v>277</v>
      </c>
      <c r="K9" t="s">
        <v>277</v>
      </c>
    </row>
    <row r="10" spans="2:11" hidden="1">
      <c r="B10" t="s">
        <v>178</v>
      </c>
      <c r="C10" t="s">
        <v>179</v>
      </c>
      <c r="D10" t="s">
        <v>3092</v>
      </c>
      <c r="E10" t="s">
        <v>3093</v>
      </c>
      <c r="F10">
        <v>3.73</v>
      </c>
      <c r="G10" t="s">
        <v>3094</v>
      </c>
      <c r="H10" t="s">
        <v>274</v>
      </c>
      <c r="J10" t="s">
        <v>274</v>
      </c>
      <c r="K10" t="s">
        <v>274</v>
      </c>
    </row>
    <row r="11" spans="2:11" hidden="1">
      <c r="B11" t="s">
        <v>322</v>
      </c>
      <c r="C11" t="s">
        <v>323</v>
      </c>
      <c r="D11" t="s">
        <v>3095</v>
      </c>
      <c r="E11" t="s">
        <v>3096</v>
      </c>
      <c r="F11">
        <v>4.97</v>
      </c>
      <c r="G11" t="s">
        <v>3097</v>
      </c>
      <c r="H11" t="s">
        <v>274</v>
      </c>
      <c r="J11" t="s">
        <v>274</v>
      </c>
      <c r="K11" t="s">
        <v>274</v>
      </c>
    </row>
    <row r="12" spans="2:11" hidden="1">
      <c r="B12" t="s">
        <v>229</v>
      </c>
      <c r="C12" t="s">
        <v>230</v>
      </c>
      <c r="D12" t="s">
        <v>3098</v>
      </c>
      <c r="E12" t="s">
        <v>3099</v>
      </c>
      <c r="F12">
        <v>7.85</v>
      </c>
      <c r="G12" t="s">
        <v>3100</v>
      </c>
      <c r="H12" t="s">
        <v>274</v>
      </c>
      <c r="J12" t="s">
        <v>274</v>
      </c>
      <c r="K12" t="s">
        <v>274</v>
      </c>
    </row>
    <row r="13" spans="2:11">
      <c r="B13" t="s">
        <v>287</v>
      </c>
      <c r="C13" t="s">
        <v>288</v>
      </c>
      <c r="D13" t="s">
        <v>3101</v>
      </c>
      <c r="E13" t="s">
        <v>3102</v>
      </c>
      <c r="F13">
        <v>10.37</v>
      </c>
      <c r="G13" t="s">
        <v>3103</v>
      </c>
      <c r="H13" t="s">
        <v>276</v>
      </c>
      <c r="J13" t="s">
        <v>276</v>
      </c>
      <c r="K13" t="s">
        <v>276</v>
      </c>
    </row>
    <row r="14" spans="2:11" hidden="1">
      <c r="B14" t="s">
        <v>218</v>
      </c>
      <c r="C14" t="s">
        <v>177</v>
      </c>
      <c r="D14" t="s">
        <v>3104</v>
      </c>
      <c r="E14" t="s">
        <v>3105</v>
      </c>
      <c r="F14">
        <v>11.3</v>
      </c>
      <c r="G14" t="s">
        <v>3106</v>
      </c>
      <c r="H14" t="s">
        <v>274</v>
      </c>
      <c r="J14" t="s">
        <v>274</v>
      </c>
      <c r="K14" t="s">
        <v>274</v>
      </c>
    </row>
    <row r="15" spans="2:11" hidden="1">
      <c r="B15" t="s">
        <v>236</v>
      </c>
      <c r="C15" t="s">
        <v>237</v>
      </c>
      <c r="D15" t="s">
        <v>3107</v>
      </c>
      <c r="E15" t="s">
        <v>3108</v>
      </c>
      <c r="F15">
        <v>14.47</v>
      </c>
      <c r="G15" t="s">
        <v>3109</v>
      </c>
      <c r="H15" t="s">
        <v>276</v>
      </c>
      <c r="J15" t="s">
        <v>276</v>
      </c>
      <c r="K15" t="s">
        <v>276</v>
      </c>
    </row>
    <row r="16" spans="2:11" hidden="1">
      <c r="B16" t="s">
        <v>186</v>
      </c>
      <c r="C16" t="s">
        <v>187</v>
      </c>
      <c r="D16" t="s">
        <v>3110</v>
      </c>
      <c r="E16" t="s">
        <v>3111</v>
      </c>
      <c r="F16">
        <v>2.27</v>
      </c>
      <c r="G16" t="s">
        <v>3112</v>
      </c>
      <c r="H16" t="s">
        <v>278</v>
      </c>
      <c r="I16" t="s">
        <v>3113</v>
      </c>
      <c r="J16" t="s">
        <v>278</v>
      </c>
      <c r="K16" t="s">
        <v>278</v>
      </c>
    </row>
    <row r="17" spans="2:11" hidden="1">
      <c r="B17" t="s">
        <v>253</v>
      </c>
      <c r="C17" t="s">
        <v>252</v>
      </c>
      <c r="D17" t="s">
        <v>3114</v>
      </c>
      <c r="E17" t="s">
        <v>3115</v>
      </c>
      <c r="F17">
        <v>2.15</v>
      </c>
      <c r="G17" t="s">
        <v>3116</v>
      </c>
      <c r="H17" t="s">
        <v>277</v>
      </c>
      <c r="J17" t="s">
        <v>277</v>
      </c>
      <c r="K17" t="s">
        <v>277</v>
      </c>
    </row>
    <row r="18" spans="2:11" hidden="1">
      <c r="B18" t="s">
        <v>251</v>
      </c>
      <c r="C18" t="s">
        <v>252</v>
      </c>
      <c r="D18" t="s">
        <v>3117</v>
      </c>
      <c r="E18" t="s">
        <v>3118</v>
      </c>
      <c r="F18">
        <v>2.17</v>
      </c>
      <c r="G18" t="s">
        <v>3119</v>
      </c>
      <c r="H18" t="s">
        <v>277</v>
      </c>
      <c r="J18" t="s">
        <v>277</v>
      </c>
      <c r="K18" t="s">
        <v>277</v>
      </c>
    </row>
    <row r="19" spans="2:11" hidden="1">
      <c r="B19" t="s">
        <v>254</v>
      </c>
      <c r="C19" t="s">
        <v>252</v>
      </c>
      <c r="D19" t="s">
        <v>3120</v>
      </c>
      <c r="E19" t="s">
        <v>3121</v>
      </c>
      <c r="F19">
        <v>2.17</v>
      </c>
      <c r="G19" t="s">
        <v>3122</v>
      </c>
      <c r="H19" t="s">
        <v>277</v>
      </c>
      <c r="J19" t="s">
        <v>277</v>
      </c>
      <c r="K19" t="s">
        <v>277</v>
      </c>
    </row>
    <row r="20" spans="2:11" hidden="1">
      <c r="B20" t="s">
        <v>182</v>
      </c>
      <c r="C20" t="s">
        <v>183</v>
      </c>
      <c r="D20" t="s">
        <v>3123</v>
      </c>
      <c r="E20" t="s">
        <v>3124</v>
      </c>
      <c r="F20">
        <v>1.32</v>
      </c>
      <c r="G20" t="s">
        <v>3125</v>
      </c>
      <c r="H20" t="s">
        <v>274</v>
      </c>
      <c r="J20" t="s">
        <v>274</v>
      </c>
      <c r="K20" t="s">
        <v>274</v>
      </c>
    </row>
    <row r="21" spans="2:11" hidden="1">
      <c r="B21" t="s">
        <v>193</v>
      </c>
      <c r="C21" t="s">
        <v>183</v>
      </c>
      <c r="D21" t="s">
        <v>3126</v>
      </c>
      <c r="E21" t="s">
        <v>3127</v>
      </c>
      <c r="F21">
        <v>1.28</v>
      </c>
      <c r="G21" t="s">
        <v>3128</v>
      </c>
      <c r="H21" t="s">
        <v>274</v>
      </c>
      <c r="J21" t="s">
        <v>274</v>
      </c>
      <c r="K21" t="s">
        <v>274</v>
      </c>
    </row>
    <row r="22" spans="2:11" hidden="1">
      <c r="B22" t="s">
        <v>192</v>
      </c>
      <c r="C22" t="s">
        <v>183</v>
      </c>
      <c r="D22" t="s">
        <v>3129</v>
      </c>
      <c r="E22" t="s">
        <v>3130</v>
      </c>
      <c r="F22">
        <v>1.28</v>
      </c>
      <c r="G22" t="s">
        <v>3131</v>
      </c>
      <c r="H22" t="s">
        <v>274</v>
      </c>
      <c r="J22" t="s">
        <v>274</v>
      </c>
      <c r="K22" t="s">
        <v>274</v>
      </c>
    </row>
    <row r="23" spans="2:11" hidden="1">
      <c r="B23" t="s">
        <v>296</v>
      </c>
      <c r="C23" t="s">
        <v>297</v>
      </c>
      <c r="D23" t="s">
        <v>3132</v>
      </c>
      <c r="E23" t="s">
        <v>3133</v>
      </c>
      <c r="F23">
        <v>0.56999999999999995</v>
      </c>
      <c r="G23" t="s">
        <v>3134</v>
      </c>
      <c r="H23" t="s">
        <v>274</v>
      </c>
      <c r="J23" t="s">
        <v>274</v>
      </c>
      <c r="K23" t="s">
        <v>274</v>
      </c>
    </row>
    <row r="24" spans="2:11" hidden="1">
      <c r="B24" t="s">
        <v>219</v>
      </c>
      <c r="C24" t="s">
        <v>183</v>
      </c>
      <c r="D24" t="s">
        <v>3135</v>
      </c>
      <c r="E24" t="s">
        <v>3136</v>
      </c>
      <c r="F24">
        <v>5.58</v>
      </c>
      <c r="G24" t="s">
        <v>3137</v>
      </c>
      <c r="H24" t="s">
        <v>274</v>
      </c>
      <c r="J24" t="s">
        <v>274</v>
      </c>
      <c r="K24" t="s">
        <v>274</v>
      </c>
    </row>
    <row r="25" spans="2:11" hidden="1">
      <c r="B25" t="s">
        <v>255</v>
      </c>
      <c r="C25" t="s">
        <v>256</v>
      </c>
      <c r="D25" t="s">
        <v>3138</v>
      </c>
      <c r="E25" t="s">
        <v>3139</v>
      </c>
      <c r="F25">
        <v>1.97</v>
      </c>
      <c r="G25" t="s">
        <v>3140</v>
      </c>
      <c r="H25" t="s">
        <v>274</v>
      </c>
      <c r="J25" t="s">
        <v>274</v>
      </c>
      <c r="K25" t="s">
        <v>274</v>
      </c>
    </row>
    <row r="26" spans="2:11" hidden="1">
      <c r="B26" t="s">
        <v>257</v>
      </c>
      <c r="C26" t="s">
        <v>252</v>
      </c>
      <c r="D26" t="s">
        <v>3141</v>
      </c>
      <c r="E26" t="s">
        <v>3142</v>
      </c>
      <c r="F26">
        <v>13.77</v>
      </c>
      <c r="G26" t="s">
        <v>3143</v>
      </c>
      <c r="H26" t="s">
        <v>277</v>
      </c>
      <c r="J26" t="s">
        <v>277</v>
      </c>
      <c r="K26" t="s">
        <v>277</v>
      </c>
    </row>
    <row r="27" spans="2:11" hidden="1">
      <c r="B27" t="s">
        <v>224</v>
      </c>
      <c r="C27" t="s">
        <v>225</v>
      </c>
      <c r="D27" t="s">
        <v>3144</v>
      </c>
      <c r="E27" t="s">
        <v>3145</v>
      </c>
      <c r="F27">
        <v>2.75</v>
      </c>
      <c r="G27" t="s">
        <v>3146</v>
      </c>
      <c r="H27" t="s">
        <v>277</v>
      </c>
      <c r="J27" t="s">
        <v>277</v>
      </c>
      <c r="K27" t="s">
        <v>277</v>
      </c>
    </row>
    <row r="28" spans="2:11" hidden="1">
      <c r="B28" t="s">
        <v>308</v>
      </c>
      <c r="C28" t="s">
        <v>309</v>
      </c>
      <c r="D28" t="s">
        <v>3147</v>
      </c>
      <c r="E28" t="s">
        <v>3148</v>
      </c>
      <c r="F28">
        <v>2.02</v>
      </c>
      <c r="G28" t="s">
        <v>3149</v>
      </c>
      <c r="H28" t="s">
        <v>277</v>
      </c>
      <c r="J28" t="s">
        <v>277</v>
      </c>
      <c r="K28" t="s">
        <v>277</v>
      </c>
    </row>
    <row r="29" spans="2:11" hidden="1">
      <c r="B29" t="s">
        <v>231</v>
      </c>
      <c r="C29" t="s">
        <v>232</v>
      </c>
      <c r="D29" t="s">
        <v>3150</v>
      </c>
      <c r="E29" t="s">
        <v>3151</v>
      </c>
      <c r="F29">
        <v>2.93</v>
      </c>
      <c r="G29" t="s">
        <v>3152</v>
      </c>
      <c r="H29" t="s">
        <v>3079</v>
      </c>
      <c r="J29" t="s">
        <v>3079</v>
      </c>
      <c r="K29" t="s">
        <v>3079</v>
      </c>
    </row>
    <row r="30" spans="2:11" hidden="1">
      <c r="B30" t="s">
        <v>180</v>
      </c>
      <c r="C30" t="s">
        <v>181</v>
      </c>
      <c r="D30" t="s">
        <v>3153</v>
      </c>
      <c r="E30" t="s">
        <v>3154</v>
      </c>
      <c r="F30">
        <v>13.73</v>
      </c>
      <c r="G30" t="s">
        <v>3155</v>
      </c>
      <c r="H30" t="s">
        <v>274</v>
      </c>
      <c r="J30" t="s">
        <v>274</v>
      </c>
      <c r="K30" t="s">
        <v>274</v>
      </c>
    </row>
    <row r="31" spans="2:11" hidden="1">
      <c r="B31" t="s">
        <v>184</v>
      </c>
      <c r="C31" t="s">
        <v>185</v>
      </c>
      <c r="D31" t="s">
        <v>3156</v>
      </c>
      <c r="E31" t="s">
        <v>3157</v>
      </c>
      <c r="F31">
        <v>7.75</v>
      </c>
      <c r="G31" t="s">
        <v>3158</v>
      </c>
      <c r="H31" t="s">
        <v>277</v>
      </c>
      <c r="J31" t="s">
        <v>277</v>
      </c>
      <c r="K31" t="s">
        <v>277</v>
      </c>
    </row>
    <row r="32" spans="2:11" hidden="1">
      <c r="B32" t="s">
        <v>168</v>
      </c>
      <c r="C32" t="s">
        <v>169</v>
      </c>
      <c r="D32" t="s">
        <v>3159</v>
      </c>
      <c r="E32" t="s">
        <v>3160</v>
      </c>
      <c r="F32">
        <v>0.52</v>
      </c>
      <c r="G32" t="s">
        <v>3161</v>
      </c>
      <c r="H32" t="s">
        <v>278</v>
      </c>
      <c r="J32" t="s">
        <v>278</v>
      </c>
      <c r="K32" t="s">
        <v>278</v>
      </c>
    </row>
    <row r="33" spans="2:11" hidden="1">
      <c r="B33" t="s">
        <v>172</v>
      </c>
      <c r="C33" t="s">
        <v>173</v>
      </c>
      <c r="D33" t="s">
        <v>3162</v>
      </c>
      <c r="E33" t="s">
        <v>3163</v>
      </c>
      <c r="F33">
        <v>0.53</v>
      </c>
      <c r="G33" t="s">
        <v>3164</v>
      </c>
      <c r="H33" t="s">
        <v>278</v>
      </c>
      <c r="J33" t="s">
        <v>278</v>
      </c>
      <c r="K33" t="s">
        <v>278</v>
      </c>
    </row>
    <row r="34" spans="2:11" hidden="1">
      <c r="B34" t="s">
        <v>238</v>
      </c>
      <c r="C34" t="s">
        <v>239</v>
      </c>
      <c r="D34" t="s">
        <v>3165</v>
      </c>
      <c r="E34" t="s">
        <v>3166</v>
      </c>
      <c r="F34">
        <v>0.18</v>
      </c>
      <c r="G34" t="s">
        <v>3167</v>
      </c>
      <c r="H34" t="s">
        <v>294</v>
      </c>
      <c r="J34" t="s">
        <v>294</v>
      </c>
      <c r="K34" t="s">
        <v>294</v>
      </c>
    </row>
    <row r="35" spans="2:11" hidden="1">
      <c r="B35" t="s">
        <v>170</v>
      </c>
      <c r="C35" t="s">
        <v>171</v>
      </c>
      <c r="D35" t="s">
        <v>3168</v>
      </c>
      <c r="E35" t="s">
        <v>3169</v>
      </c>
      <c r="F35">
        <v>0.23</v>
      </c>
      <c r="G35" t="s">
        <v>3170</v>
      </c>
      <c r="H35" t="s">
        <v>294</v>
      </c>
      <c r="J35" t="s">
        <v>294</v>
      </c>
      <c r="K35" t="s">
        <v>294</v>
      </c>
    </row>
    <row r="36" spans="2:11" hidden="1">
      <c r="B36" t="s">
        <v>186</v>
      </c>
      <c r="C36" t="s">
        <v>187</v>
      </c>
      <c r="D36" t="s">
        <v>3171</v>
      </c>
      <c r="E36" t="s">
        <v>3172</v>
      </c>
      <c r="F36">
        <v>0.45</v>
      </c>
      <c r="G36" t="s">
        <v>3173</v>
      </c>
      <c r="H36" t="s">
        <v>278</v>
      </c>
      <c r="J36" t="s">
        <v>278</v>
      </c>
      <c r="K36" t="s">
        <v>278</v>
      </c>
    </row>
    <row r="37" spans="2:11" hidden="1">
      <c r="B37" t="s">
        <v>163</v>
      </c>
      <c r="C37" t="s">
        <v>164</v>
      </c>
      <c r="D37" t="s">
        <v>3174</v>
      </c>
      <c r="E37" t="s">
        <v>3175</v>
      </c>
      <c r="F37">
        <v>0.62</v>
      </c>
      <c r="G37" t="s">
        <v>3176</v>
      </c>
      <c r="H37" t="s">
        <v>294</v>
      </c>
      <c r="J37" t="s">
        <v>294</v>
      </c>
      <c r="K37" t="s">
        <v>294</v>
      </c>
    </row>
    <row r="38" spans="2:11" hidden="1">
      <c r="B38" t="s">
        <v>165</v>
      </c>
      <c r="C38" t="s">
        <v>164</v>
      </c>
      <c r="D38" t="s">
        <v>3177</v>
      </c>
      <c r="E38" t="s">
        <v>3178</v>
      </c>
      <c r="F38">
        <v>0.62</v>
      </c>
      <c r="G38" t="s">
        <v>3179</v>
      </c>
      <c r="H38" t="s">
        <v>294</v>
      </c>
      <c r="J38" t="s">
        <v>294</v>
      </c>
      <c r="K38" t="s">
        <v>294</v>
      </c>
    </row>
    <row r="39" spans="2:11" hidden="1">
      <c r="B39" t="s">
        <v>166</v>
      </c>
      <c r="C39" t="s">
        <v>167</v>
      </c>
      <c r="D39" t="s">
        <v>3180</v>
      </c>
      <c r="E39" t="s">
        <v>3181</v>
      </c>
      <c r="F39">
        <v>0.43</v>
      </c>
      <c r="G39" t="s">
        <v>3182</v>
      </c>
      <c r="H39" t="s">
        <v>294</v>
      </c>
      <c r="J39" t="s">
        <v>294</v>
      </c>
      <c r="K39" t="s">
        <v>294</v>
      </c>
    </row>
    <row r="40" spans="2:11" hidden="1">
      <c r="B40" t="s">
        <v>242</v>
      </c>
      <c r="C40" t="s">
        <v>243</v>
      </c>
      <c r="D40" t="s">
        <v>3183</v>
      </c>
      <c r="E40" t="s">
        <v>3184</v>
      </c>
      <c r="F40">
        <v>3.28</v>
      </c>
      <c r="G40" t="s">
        <v>3185</v>
      </c>
      <c r="H40" t="s">
        <v>3079</v>
      </c>
      <c r="J40" t="s">
        <v>3079</v>
      </c>
      <c r="K40" t="s">
        <v>3079</v>
      </c>
    </row>
    <row r="41" spans="2:11" hidden="1">
      <c r="B41" t="s">
        <v>212</v>
      </c>
      <c r="C41" t="s">
        <v>213</v>
      </c>
      <c r="D41" t="s">
        <v>3186</v>
      </c>
      <c r="E41" t="s">
        <v>3187</v>
      </c>
      <c r="F41">
        <v>11.72</v>
      </c>
      <c r="G41" t="s">
        <v>3188</v>
      </c>
      <c r="H41" t="s">
        <v>274</v>
      </c>
      <c r="J41" t="s">
        <v>274</v>
      </c>
      <c r="K41" t="s">
        <v>274</v>
      </c>
    </row>
    <row r="42" spans="2:11" hidden="1">
      <c r="B42" t="s">
        <v>339</v>
      </c>
      <c r="C42" t="s">
        <v>340</v>
      </c>
      <c r="D42" t="s">
        <v>3189</v>
      </c>
      <c r="E42" t="s">
        <v>3190</v>
      </c>
      <c r="F42">
        <v>2.12</v>
      </c>
      <c r="G42" t="s">
        <v>3191</v>
      </c>
      <c r="H42" t="s">
        <v>3079</v>
      </c>
      <c r="J42" t="s">
        <v>3079</v>
      </c>
      <c r="K42" t="s">
        <v>3079</v>
      </c>
    </row>
    <row r="43" spans="2:11" hidden="1">
      <c r="B43" t="s">
        <v>199</v>
      </c>
      <c r="C43" t="s">
        <v>200</v>
      </c>
      <c r="D43" t="s">
        <v>3192</v>
      </c>
      <c r="E43" t="s">
        <v>3193</v>
      </c>
      <c r="F43">
        <v>8.6</v>
      </c>
      <c r="G43" t="s">
        <v>3194</v>
      </c>
      <c r="H43" t="s">
        <v>274</v>
      </c>
      <c r="J43" t="s">
        <v>274</v>
      </c>
      <c r="K43" t="s">
        <v>274</v>
      </c>
    </row>
    <row r="44" spans="2:11" hidden="1">
      <c r="B44" t="s">
        <v>170</v>
      </c>
      <c r="C44" t="s">
        <v>171</v>
      </c>
      <c r="D44" t="s">
        <v>3195</v>
      </c>
      <c r="E44" t="s">
        <v>3196</v>
      </c>
      <c r="F44">
        <v>0.33</v>
      </c>
      <c r="G44" t="s">
        <v>3197</v>
      </c>
      <c r="H44" t="s">
        <v>276</v>
      </c>
      <c r="J44" t="s">
        <v>276</v>
      </c>
      <c r="K44" t="s">
        <v>276</v>
      </c>
    </row>
    <row r="45" spans="2:11" hidden="1">
      <c r="B45" t="s">
        <v>279</v>
      </c>
      <c r="C45" t="s">
        <v>280</v>
      </c>
      <c r="D45" t="s">
        <v>3198</v>
      </c>
      <c r="E45" t="s">
        <v>3199</v>
      </c>
      <c r="F45">
        <v>2.7</v>
      </c>
      <c r="G45" t="s">
        <v>3200</v>
      </c>
      <c r="H45" t="s">
        <v>3079</v>
      </c>
      <c r="J45" t="s">
        <v>3079</v>
      </c>
      <c r="K45" t="s">
        <v>3079</v>
      </c>
    </row>
    <row r="46" spans="2:11">
      <c r="B46" t="s">
        <v>83</v>
      </c>
      <c r="C46" t="s">
        <v>201</v>
      </c>
      <c r="D46" t="s">
        <v>3201</v>
      </c>
      <c r="E46" t="s">
        <v>3202</v>
      </c>
      <c r="F46">
        <v>7.23</v>
      </c>
      <c r="G46" t="s">
        <v>3203</v>
      </c>
      <c r="H46" t="s">
        <v>274</v>
      </c>
      <c r="J46" t="s">
        <v>274</v>
      </c>
      <c r="K46" t="s">
        <v>274</v>
      </c>
    </row>
    <row r="47" spans="2:11" hidden="1">
      <c r="B47" t="s">
        <v>249</v>
      </c>
      <c r="C47" t="s">
        <v>250</v>
      </c>
      <c r="D47" t="s">
        <v>3204</v>
      </c>
      <c r="E47" t="s">
        <v>3205</v>
      </c>
      <c r="F47">
        <v>2.62</v>
      </c>
      <c r="G47" t="s">
        <v>3206</v>
      </c>
      <c r="H47" t="s">
        <v>3079</v>
      </c>
      <c r="J47" t="s">
        <v>3079</v>
      </c>
      <c r="K47" t="s">
        <v>3079</v>
      </c>
    </row>
    <row r="48" spans="2:11" hidden="1">
      <c r="B48" t="s">
        <v>332</v>
      </c>
      <c r="C48" t="s">
        <v>333</v>
      </c>
      <c r="D48" t="s">
        <v>3207</v>
      </c>
      <c r="E48" t="s">
        <v>3208</v>
      </c>
      <c r="F48">
        <v>13.9</v>
      </c>
      <c r="G48" t="s">
        <v>3209</v>
      </c>
      <c r="H48" t="s">
        <v>274</v>
      </c>
      <c r="J48" t="s">
        <v>274</v>
      </c>
      <c r="K48" t="s">
        <v>274</v>
      </c>
    </row>
    <row r="49" spans="2:11" hidden="1">
      <c r="B49" t="s">
        <v>238</v>
      </c>
      <c r="C49" t="s">
        <v>239</v>
      </c>
      <c r="D49" t="s">
        <v>3210</v>
      </c>
      <c r="E49" t="s">
        <v>3211</v>
      </c>
      <c r="F49">
        <v>21.38</v>
      </c>
      <c r="G49" t="s">
        <v>3212</v>
      </c>
      <c r="H49" t="s">
        <v>294</v>
      </c>
      <c r="J49" t="s">
        <v>294</v>
      </c>
      <c r="K49" t="s">
        <v>294</v>
      </c>
    </row>
    <row r="50" spans="2:11" hidden="1">
      <c r="B50" t="s">
        <v>281</v>
      </c>
      <c r="C50" t="s">
        <v>282</v>
      </c>
      <c r="D50" t="s">
        <v>3213</v>
      </c>
      <c r="E50" t="s">
        <v>3214</v>
      </c>
      <c r="F50">
        <v>3.55</v>
      </c>
      <c r="G50" t="s">
        <v>3215</v>
      </c>
      <c r="H50" t="s">
        <v>294</v>
      </c>
      <c r="J50" t="s">
        <v>294</v>
      </c>
      <c r="K50" t="s">
        <v>294</v>
      </c>
    </row>
    <row r="51" spans="2:11" hidden="1">
      <c r="B51" t="s">
        <v>215</v>
      </c>
      <c r="C51" t="s">
        <v>216</v>
      </c>
      <c r="D51" t="s">
        <v>3216</v>
      </c>
      <c r="E51" t="s">
        <v>3217</v>
      </c>
      <c r="F51">
        <v>8.68</v>
      </c>
      <c r="G51" t="s">
        <v>3218</v>
      </c>
      <c r="H51" t="s">
        <v>274</v>
      </c>
      <c r="J51" t="s">
        <v>274</v>
      </c>
      <c r="K51" t="s">
        <v>274</v>
      </c>
    </row>
    <row r="52" spans="2:11" hidden="1">
      <c r="B52" t="s">
        <v>336</v>
      </c>
      <c r="C52" t="s">
        <v>305</v>
      </c>
      <c r="D52" t="s">
        <v>3219</v>
      </c>
      <c r="E52" t="s">
        <v>3220</v>
      </c>
      <c r="F52">
        <v>1.6</v>
      </c>
      <c r="G52" t="s">
        <v>3221</v>
      </c>
      <c r="H52" t="s">
        <v>3079</v>
      </c>
      <c r="J52" t="s">
        <v>3079</v>
      </c>
      <c r="K52" t="s">
        <v>3079</v>
      </c>
    </row>
    <row r="53" spans="2:11">
      <c r="B53" t="s">
        <v>84</v>
      </c>
      <c r="C53" t="s">
        <v>190</v>
      </c>
      <c r="D53" t="s">
        <v>3222</v>
      </c>
      <c r="E53" t="s">
        <v>3223</v>
      </c>
      <c r="F53">
        <v>19.2</v>
      </c>
      <c r="G53" t="s">
        <v>3224</v>
      </c>
      <c r="H53" t="s">
        <v>276</v>
      </c>
      <c r="J53" t="s">
        <v>276</v>
      </c>
      <c r="K53" t="s">
        <v>276</v>
      </c>
    </row>
    <row r="54" spans="2:11" hidden="1">
      <c r="B54" t="s">
        <v>172</v>
      </c>
      <c r="C54" t="s">
        <v>173</v>
      </c>
      <c r="D54" t="s">
        <v>3225</v>
      </c>
      <c r="E54" t="s">
        <v>3226</v>
      </c>
      <c r="F54">
        <v>1.38</v>
      </c>
      <c r="G54" t="s">
        <v>3227</v>
      </c>
      <c r="H54" t="s">
        <v>278</v>
      </c>
      <c r="J54" t="s">
        <v>278</v>
      </c>
      <c r="K54" t="s">
        <v>278</v>
      </c>
    </row>
    <row r="55" spans="2:11" hidden="1">
      <c r="B55" t="s">
        <v>168</v>
      </c>
      <c r="C55" t="s">
        <v>169</v>
      </c>
      <c r="D55" t="s">
        <v>3228</v>
      </c>
      <c r="E55" t="s">
        <v>3229</v>
      </c>
      <c r="F55">
        <v>1.48</v>
      </c>
      <c r="G55" t="s">
        <v>3230</v>
      </c>
      <c r="H55" t="s">
        <v>278</v>
      </c>
      <c r="J55" t="s">
        <v>278</v>
      </c>
      <c r="K55" t="s">
        <v>278</v>
      </c>
    </row>
    <row r="56" spans="2:11" hidden="1">
      <c r="B56" t="s">
        <v>328</v>
      </c>
      <c r="C56" t="s">
        <v>329</v>
      </c>
      <c r="D56" t="s">
        <v>3231</v>
      </c>
      <c r="E56" t="s">
        <v>3232</v>
      </c>
      <c r="F56">
        <v>1.27</v>
      </c>
      <c r="G56" t="s">
        <v>3233</v>
      </c>
      <c r="H56" t="s">
        <v>274</v>
      </c>
      <c r="J56" t="s">
        <v>274</v>
      </c>
      <c r="K56" t="s">
        <v>274</v>
      </c>
    </row>
    <row r="57" spans="2:11" hidden="1">
      <c r="B57" t="s">
        <v>188</v>
      </c>
      <c r="C57" t="s">
        <v>189</v>
      </c>
      <c r="D57" t="s">
        <v>3234</v>
      </c>
      <c r="E57" t="s">
        <v>3235</v>
      </c>
      <c r="F57">
        <v>12.03</v>
      </c>
      <c r="G57" t="s">
        <v>3236</v>
      </c>
      <c r="H57" t="s">
        <v>276</v>
      </c>
      <c r="J57" t="s">
        <v>276</v>
      </c>
      <c r="K57" t="s">
        <v>276</v>
      </c>
    </row>
    <row r="58" spans="2:11" hidden="1">
      <c r="B58" t="s">
        <v>330</v>
      </c>
      <c r="C58" t="s">
        <v>331</v>
      </c>
      <c r="D58" t="s">
        <v>3237</v>
      </c>
      <c r="E58" t="s">
        <v>3238</v>
      </c>
      <c r="F58">
        <v>2.08</v>
      </c>
      <c r="G58" t="s">
        <v>3239</v>
      </c>
      <c r="H58" t="s">
        <v>294</v>
      </c>
      <c r="J58" t="s">
        <v>294</v>
      </c>
      <c r="K58" t="s">
        <v>294</v>
      </c>
    </row>
    <row r="59" spans="2:11">
      <c r="B59" t="s">
        <v>82</v>
      </c>
      <c r="C59" t="s">
        <v>217</v>
      </c>
      <c r="D59" t="s">
        <v>3240</v>
      </c>
      <c r="E59" t="s">
        <v>3241</v>
      </c>
      <c r="F59">
        <v>15.63</v>
      </c>
      <c r="G59" t="s">
        <v>3242</v>
      </c>
      <c r="H59" t="s">
        <v>276</v>
      </c>
      <c r="J59" t="s">
        <v>276</v>
      </c>
      <c r="K59" t="s">
        <v>276</v>
      </c>
    </row>
    <row r="60" spans="2:11" hidden="1">
      <c r="B60" t="s">
        <v>194</v>
      </c>
      <c r="C60" t="s">
        <v>183</v>
      </c>
      <c r="D60" t="s">
        <v>3243</v>
      </c>
      <c r="E60" t="s">
        <v>3244</v>
      </c>
      <c r="F60">
        <v>1.25</v>
      </c>
      <c r="G60" t="s">
        <v>3245</v>
      </c>
      <c r="H60" t="s">
        <v>276</v>
      </c>
      <c r="J60" t="s">
        <v>276</v>
      </c>
      <c r="K60" t="s">
        <v>276</v>
      </c>
    </row>
    <row r="61" spans="2:11" hidden="1">
      <c r="B61" t="s">
        <v>186</v>
      </c>
      <c r="C61" t="s">
        <v>187</v>
      </c>
      <c r="D61" t="s">
        <v>3246</v>
      </c>
      <c r="E61" t="s">
        <v>3247</v>
      </c>
      <c r="F61">
        <v>0.62</v>
      </c>
      <c r="G61" t="s">
        <v>3248</v>
      </c>
      <c r="H61" t="s">
        <v>294</v>
      </c>
      <c r="J61" t="s">
        <v>294</v>
      </c>
      <c r="K61" t="s">
        <v>294</v>
      </c>
    </row>
    <row r="62" spans="2:11" hidden="1">
      <c r="B62" t="s">
        <v>218</v>
      </c>
      <c r="C62" t="s">
        <v>177</v>
      </c>
      <c r="D62" t="s">
        <v>3249</v>
      </c>
      <c r="E62" t="s">
        <v>3250</v>
      </c>
      <c r="F62">
        <v>7.68</v>
      </c>
      <c r="G62" t="s">
        <v>3251</v>
      </c>
      <c r="H62" t="s">
        <v>294</v>
      </c>
      <c r="J62" t="s">
        <v>294</v>
      </c>
      <c r="K62" t="s">
        <v>294</v>
      </c>
    </row>
    <row r="63" spans="2:11" hidden="1">
      <c r="B63" t="s">
        <v>195</v>
      </c>
      <c r="C63" t="s">
        <v>196</v>
      </c>
      <c r="D63" t="s">
        <v>3252</v>
      </c>
      <c r="E63" t="s">
        <v>3253</v>
      </c>
      <c r="F63">
        <v>7.7</v>
      </c>
      <c r="G63" t="s">
        <v>3254</v>
      </c>
      <c r="H63" t="s">
        <v>294</v>
      </c>
      <c r="J63" t="s">
        <v>294</v>
      </c>
      <c r="K63" t="s">
        <v>294</v>
      </c>
    </row>
    <row r="64" spans="2:11">
      <c r="B64" t="s">
        <v>85</v>
      </c>
      <c r="C64" t="s">
        <v>226</v>
      </c>
      <c r="D64" t="s">
        <v>3255</v>
      </c>
      <c r="E64" t="s">
        <v>3256</v>
      </c>
      <c r="F64">
        <v>7.4</v>
      </c>
      <c r="G64" t="s">
        <v>3257</v>
      </c>
      <c r="H64" t="s">
        <v>294</v>
      </c>
      <c r="J64" t="s">
        <v>294</v>
      </c>
      <c r="K64" t="s">
        <v>294</v>
      </c>
    </row>
    <row r="65" spans="2:11" hidden="1">
      <c r="B65" t="s">
        <v>170</v>
      </c>
      <c r="C65" t="s">
        <v>171</v>
      </c>
      <c r="D65" t="s">
        <v>3258</v>
      </c>
      <c r="E65" t="s">
        <v>3259</v>
      </c>
      <c r="F65">
        <v>0.42</v>
      </c>
      <c r="G65" t="s">
        <v>3260</v>
      </c>
      <c r="H65" t="s">
        <v>274</v>
      </c>
      <c r="J65" t="s">
        <v>274</v>
      </c>
      <c r="K65" t="s">
        <v>274</v>
      </c>
    </row>
    <row r="66" spans="2:11" hidden="1">
      <c r="B66" t="s">
        <v>312</v>
      </c>
      <c r="C66" t="s">
        <v>313</v>
      </c>
      <c r="D66" t="s">
        <v>3261</v>
      </c>
      <c r="E66" t="s">
        <v>3262</v>
      </c>
      <c r="F66">
        <v>1.1499999999999999</v>
      </c>
      <c r="G66" t="s">
        <v>3263</v>
      </c>
      <c r="H66" t="s">
        <v>294</v>
      </c>
      <c r="J66" t="s">
        <v>294</v>
      </c>
      <c r="K66" t="s">
        <v>294</v>
      </c>
    </row>
    <row r="67" spans="2:11" hidden="1">
      <c r="B67" t="s">
        <v>306</v>
      </c>
      <c r="C67" t="s">
        <v>307</v>
      </c>
      <c r="D67" t="s">
        <v>3264</v>
      </c>
      <c r="E67" t="s">
        <v>3265</v>
      </c>
      <c r="F67">
        <v>1.47</v>
      </c>
      <c r="G67" t="s">
        <v>3266</v>
      </c>
      <c r="H67" t="s">
        <v>277</v>
      </c>
      <c r="J67" t="s">
        <v>277</v>
      </c>
      <c r="K67" t="s">
        <v>277</v>
      </c>
    </row>
    <row r="68" spans="2:11" hidden="1">
      <c r="B68" t="s">
        <v>244</v>
      </c>
      <c r="C68" t="s">
        <v>245</v>
      </c>
      <c r="D68" t="s">
        <v>3267</v>
      </c>
      <c r="E68" t="s">
        <v>3268</v>
      </c>
      <c r="F68">
        <v>0.12</v>
      </c>
      <c r="G68" t="s">
        <v>3269</v>
      </c>
      <c r="H68" t="s">
        <v>294</v>
      </c>
      <c r="I68" t="s">
        <v>3270</v>
      </c>
      <c r="J68" t="s">
        <v>294</v>
      </c>
      <c r="K68" t="s">
        <v>294</v>
      </c>
    </row>
    <row r="69" spans="2:11" hidden="1">
      <c r="B69" t="s">
        <v>166</v>
      </c>
      <c r="C69" t="s">
        <v>167</v>
      </c>
      <c r="D69" t="s">
        <v>3271</v>
      </c>
      <c r="E69" t="s">
        <v>3272</v>
      </c>
      <c r="F69">
        <v>0.37</v>
      </c>
      <c r="G69" t="s">
        <v>3273</v>
      </c>
      <c r="H69" t="s">
        <v>294</v>
      </c>
      <c r="J69" t="s">
        <v>294</v>
      </c>
      <c r="K69" t="s">
        <v>294</v>
      </c>
    </row>
    <row r="70" spans="2:11" hidden="1">
      <c r="B70" t="s">
        <v>165</v>
      </c>
      <c r="C70" t="s">
        <v>164</v>
      </c>
      <c r="D70" t="s">
        <v>3274</v>
      </c>
      <c r="E70" t="s">
        <v>3275</v>
      </c>
      <c r="F70">
        <v>0.47</v>
      </c>
      <c r="G70" t="s">
        <v>3276</v>
      </c>
      <c r="H70" t="s">
        <v>294</v>
      </c>
      <c r="J70" t="s">
        <v>294</v>
      </c>
      <c r="K70" t="s">
        <v>294</v>
      </c>
    </row>
    <row r="71" spans="2:11" hidden="1">
      <c r="B71" t="s">
        <v>163</v>
      </c>
      <c r="C71" t="s">
        <v>164</v>
      </c>
      <c r="D71" t="s">
        <v>3277</v>
      </c>
      <c r="E71" t="s">
        <v>3278</v>
      </c>
      <c r="F71">
        <v>0.53</v>
      </c>
      <c r="G71" t="s">
        <v>3279</v>
      </c>
      <c r="H71" t="s">
        <v>294</v>
      </c>
      <c r="J71" t="s">
        <v>294</v>
      </c>
      <c r="K71" t="s">
        <v>294</v>
      </c>
    </row>
    <row r="72" spans="2:11" hidden="1">
      <c r="B72" t="s">
        <v>236</v>
      </c>
      <c r="C72" t="s">
        <v>237</v>
      </c>
      <c r="D72" t="s">
        <v>3280</v>
      </c>
      <c r="E72" t="s">
        <v>3281</v>
      </c>
      <c r="F72">
        <v>26.55</v>
      </c>
      <c r="G72" t="s">
        <v>3282</v>
      </c>
      <c r="H72" t="s">
        <v>274</v>
      </c>
      <c r="J72" t="s">
        <v>274</v>
      </c>
      <c r="K72" t="s">
        <v>274</v>
      </c>
    </row>
    <row r="73" spans="2:11" hidden="1">
      <c r="B73" t="s">
        <v>168</v>
      </c>
      <c r="C73" t="s">
        <v>169</v>
      </c>
      <c r="D73" t="s">
        <v>3283</v>
      </c>
      <c r="E73" t="s">
        <v>3284</v>
      </c>
      <c r="F73">
        <v>0.92</v>
      </c>
      <c r="G73" t="s">
        <v>3285</v>
      </c>
      <c r="H73" t="s">
        <v>294</v>
      </c>
      <c r="J73" t="s">
        <v>294</v>
      </c>
      <c r="K73" t="s">
        <v>294</v>
      </c>
    </row>
    <row r="74" spans="2:11" hidden="1">
      <c r="B74" t="s">
        <v>302</v>
      </c>
      <c r="C74" t="s">
        <v>303</v>
      </c>
      <c r="D74" t="s">
        <v>3286</v>
      </c>
      <c r="E74" t="s">
        <v>3287</v>
      </c>
      <c r="F74">
        <v>2.25</v>
      </c>
      <c r="G74" t="s">
        <v>3288</v>
      </c>
      <c r="H74" t="s">
        <v>294</v>
      </c>
      <c r="J74" t="s">
        <v>294</v>
      </c>
      <c r="K74" t="s">
        <v>294</v>
      </c>
    </row>
    <row r="75" spans="2:11" hidden="1">
      <c r="B75" t="s">
        <v>300</v>
      </c>
      <c r="C75" t="s">
        <v>301</v>
      </c>
      <c r="D75" t="s">
        <v>3289</v>
      </c>
      <c r="E75" t="s">
        <v>3290</v>
      </c>
      <c r="F75">
        <v>1.9</v>
      </c>
      <c r="G75" t="s">
        <v>3291</v>
      </c>
      <c r="H75" t="s">
        <v>294</v>
      </c>
      <c r="J75" t="s">
        <v>294</v>
      </c>
      <c r="K75" t="s">
        <v>294</v>
      </c>
    </row>
    <row r="76" spans="2:11" hidden="1">
      <c r="B76" t="s">
        <v>244</v>
      </c>
      <c r="C76" t="s">
        <v>245</v>
      </c>
      <c r="D76" t="s">
        <v>3292</v>
      </c>
      <c r="E76" t="s">
        <v>3293</v>
      </c>
      <c r="F76">
        <v>10.199999999999999</v>
      </c>
      <c r="G76" t="s">
        <v>3294</v>
      </c>
      <c r="H76" t="s">
        <v>294</v>
      </c>
      <c r="J76" t="s">
        <v>294</v>
      </c>
      <c r="K76" t="s">
        <v>294</v>
      </c>
    </row>
    <row r="77" spans="2:11" hidden="1">
      <c r="B77" t="s">
        <v>186</v>
      </c>
      <c r="C77" t="s">
        <v>187</v>
      </c>
      <c r="D77" t="s">
        <v>3295</v>
      </c>
      <c r="E77" t="s">
        <v>3296</v>
      </c>
      <c r="F77">
        <v>2.02</v>
      </c>
      <c r="G77" t="s">
        <v>3297</v>
      </c>
      <c r="H77" t="s">
        <v>294</v>
      </c>
      <c r="J77" t="s">
        <v>294</v>
      </c>
      <c r="K77" t="s">
        <v>294</v>
      </c>
    </row>
    <row r="78" spans="2:11" hidden="1">
      <c r="B78" t="s">
        <v>943</v>
      </c>
      <c r="C78" t="s">
        <v>944</v>
      </c>
      <c r="D78" t="s">
        <v>3298</v>
      </c>
      <c r="E78" t="s">
        <v>3299</v>
      </c>
      <c r="F78">
        <v>4.05</v>
      </c>
      <c r="G78" t="s">
        <v>3300</v>
      </c>
      <c r="H78" t="s">
        <v>294</v>
      </c>
      <c r="J78" t="s">
        <v>294</v>
      </c>
      <c r="K78" t="s">
        <v>294</v>
      </c>
    </row>
    <row r="79" spans="2:11" hidden="1">
      <c r="B79" t="s">
        <v>224</v>
      </c>
      <c r="C79" t="s">
        <v>225</v>
      </c>
      <c r="D79" t="s">
        <v>3301</v>
      </c>
      <c r="E79" t="s">
        <v>3302</v>
      </c>
      <c r="F79">
        <v>15.28</v>
      </c>
      <c r="G79" t="s">
        <v>3303</v>
      </c>
      <c r="H79" t="s">
        <v>274</v>
      </c>
      <c r="J79" t="s">
        <v>274</v>
      </c>
      <c r="K79" t="s">
        <v>274</v>
      </c>
    </row>
    <row r="80" spans="2:11" hidden="1">
      <c r="B80" t="s">
        <v>184</v>
      </c>
      <c r="C80" t="s">
        <v>185</v>
      </c>
      <c r="D80" t="s">
        <v>3304</v>
      </c>
      <c r="E80" t="s">
        <v>3305</v>
      </c>
      <c r="F80">
        <v>16.63</v>
      </c>
      <c r="G80" t="s">
        <v>3306</v>
      </c>
      <c r="H80" t="s">
        <v>274</v>
      </c>
      <c r="J80" t="s">
        <v>274</v>
      </c>
      <c r="K80" t="s">
        <v>274</v>
      </c>
    </row>
    <row r="81" spans="2:11" hidden="1">
      <c r="B81" t="s">
        <v>172</v>
      </c>
      <c r="C81" t="s">
        <v>173</v>
      </c>
      <c r="D81" t="s">
        <v>3307</v>
      </c>
      <c r="E81" t="s">
        <v>3308</v>
      </c>
      <c r="F81">
        <v>0.7</v>
      </c>
      <c r="G81" t="s">
        <v>3309</v>
      </c>
      <c r="H81" t="s">
        <v>276</v>
      </c>
      <c r="J81" t="s">
        <v>276</v>
      </c>
      <c r="K81" t="s">
        <v>276</v>
      </c>
    </row>
    <row r="82" spans="2:11" hidden="1">
      <c r="B82" t="s">
        <v>212</v>
      </c>
      <c r="C82" t="s">
        <v>213</v>
      </c>
      <c r="D82" t="s">
        <v>3310</v>
      </c>
      <c r="E82" t="s">
        <v>3311</v>
      </c>
      <c r="F82">
        <v>16.13</v>
      </c>
      <c r="G82" t="s">
        <v>3312</v>
      </c>
      <c r="H82" t="s">
        <v>276</v>
      </c>
      <c r="J82" t="s">
        <v>276</v>
      </c>
      <c r="K82" t="s">
        <v>276</v>
      </c>
    </row>
    <row r="83" spans="2:11" hidden="1">
      <c r="B83" t="s">
        <v>180</v>
      </c>
      <c r="C83" t="s">
        <v>181</v>
      </c>
      <c r="D83" t="s">
        <v>3313</v>
      </c>
      <c r="E83" t="s">
        <v>3314</v>
      </c>
      <c r="F83">
        <v>16.600000000000001</v>
      </c>
      <c r="G83" t="s">
        <v>3315</v>
      </c>
      <c r="H83" t="s">
        <v>276</v>
      </c>
      <c r="J83" t="s">
        <v>276</v>
      </c>
      <c r="K83" t="s">
        <v>276</v>
      </c>
    </row>
    <row r="84" spans="2:11">
      <c r="B84" t="s">
        <v>83</v>
      </c>
      <c r="C84" t="s">
        <v>201</v>
      </c>
      <c r="D84" t="s">
        <v>3316</v>
      </c>
      <c r="E84" t="s">
        <v>3317</v>
      </c>
      <c r="F84">
        <v>7.48</v>
      </c>
      <c r="G84" t="s">
        <v>3318</v>
      </c>
      <c r="H84" t="s">
        <v>274</v>
      </c>
      <c r="J84" t="s">
        <v>274</v>
      </c>
      <c r="K84" t="s">
        <v>274</v>
      </c>
    </row>
    <row r="85" spans="2:11" hidden="1">
      <c r="B85" t="s">
        <v>170</v>
      </c>
      <c r="C85" t="s">
        <v>171</v>
      </c>
      <c r="D85" t="s">
        <v>3319</v>
      </c>
      <c r="E85" t="s">
        <v>3320</v>
      </c>
      <c r="F85">
        <v>1.45</v>
      </c>
      <c r="G85" t="s">
        <v>3321</v>
      </c>
      <c r="H85" t="s">
        <v>274</v>
      </c>
      <c r="J85" t="s">
        <v>274</v>
      </c>
      <c r="K85" t="s">
        <v>274</v>
      </c>
    </row>
    <row r="86" spans="2:11" hidden="1">
      <c r="B86" t="s">
        <v>220</v>
      </c>
      <c r="C86" t="s">
        <v>221</v>
      </c>
      <c r="D86" t="s">
        <v>3322</v>
      </c>
      <c r="E86" t="s">
        <v>3323</v>
      </c>
      <c r="F86">
        <v>8.4700000000000006</v>
      </c>
      <c r="G86" t="s">
        <v>3324</v>
      </c>
      <c r="H86" t="s">
        <v>274</v>
      </c>
      <c r="J86" t="s">
        <v>274</v>
      </c>
      <c r="K86" t="s">
        <v>274</v>
      </c>
    </row>
    <row r="87" spans="2:11" hidden="1">
      <c r="B87" t="s">
        <v>168</v>
      </c>
      <c r="C87" t="s">
        <v>169</v>
      </c>
      <c r="D87" t="s">
        <v>3325</v>
      </c>
      <c r="E87" t="s">
        <v>3326</v>
      </c>
      <c r="F87">
        <v>0.42</v>
      </c>
      <c r="G87" t="s">
        <v>3327</v>
      </c>
      <c r="H87" t="s">
        <v>276</v>
      </c>
      <c r="J87" t="s">
        <v>276</v>
      </c>
      <c r="K87" t="s">
        <v>276</v>
      </c>
    </row>
    <row r="88" spans="2:11" hidden="1">
      <c r="B88" t="s">
        <v>199</v>
      </c>
      <c r="C88" t="s">
        <v>200</v>
      </c>
      <c r="D88" t="s">
        <v>3328</v>
      </c>
      <c r="E88" t="s">
        <v>3329</v>
      </c>
      <c r="F88">
        <v>8.4</v>
      </c>
      <c r="G88" t="s">
        <v>3330</v>
      </c>
      <c r="H88" t="s">
        <v>276</v>
      </c>
      <c r="J88" t="s">
        <v>276</v>
      </c>
      <c r="K88" t="s">
        <v>276</v>
      </c>
    </row>
    <row r="89" spans="2:11" hidden="1">
      <c r="B89" t="s">
        <v>215</v>
      </c>
      <c r="C89" t="s">
        <v>216</v>
      </c>
      <c r="D89" t="s">
        <v>3331</v>
      </c>
      <c r="E89" t="s">
        <v>3332</v>
      </c>
      <c r="F89">
        <v>13.78</v>
      </c>
      <c r="G89" t="s">
        <v>3333</v>
      </c>
      <c r="H89" t="s">
        <v>276</v>
      </c>
      <c r="J89" t="s">
        <v>276</v>
      </c>
      <c r="K89" t="s">
        <v>276</v>
      </c>
    </row>
    <row r="90" spans="2:11" hidden="1">
      <c r="B90" t="s">
        <v>334</v>
      </c>
      <c r="C90" t="s">
        <v>335</v>
      </c>
      <c r="D90" t="s">
        <v>3334</v>
      </c>
      <c r="E90" t="s">
        <v>3335</v>
      </c>
      <c r="F90">
        <v>13.38</v>
      </c>
      <c r="G90" t="s">
        <v>3336</v>
      </c>
      <c r="H90" t="s">
        <v>276</v>
      </c>
      <c r="J90" t="s">
        <v>276</v>
      </c>
      <c r="K90" t="s">
        <v>276</v>
      </c>
    </row>
    <row r="91" spans="2:11">
      <c r="B91" t="s">
        <v>82</v>
      </c>
      <c r="C91" t="s">
        <v>217</v>
      </c>
      <c r="D91" t="s">
        <v>3337</v>
      </c>
      <c r="E91" t="s">
        <v>3338</v>
      </c>
      <c r="F91">
        <v>5.67</v>
      </c>
      <c r="G91" t="s">
        <v>3339</v>
      </c>
      <c r="H91" t="s">
        <v>276</v>
      </c>
      <c r="J91" t="s">
        <v>276</v>
      </c>
      <c r="K91" t="s">
        <v>276</v>
      </c>
    </row>
    <row r="92" spans="2:11" hidden="1">
      <c r="B92" t="s">
        <v>166</v>
      </c>
      <c r="C92" t="s">
        <v>167</v>
      </c>
      <c r="D92" t="s">
        <v>3340</v>
      </c>
      <c r="E92" t="s">
        <v>3341</v>
      </c>
      <c r="F92">
        <v>0.17</v>
      </c>
      <c r="G92" t="s">
        <v>3342</v>
      </c>
      <c r="H92" t="s">
        <v>276</v>
      </c>
      <c r="J92" t="s">
        <v>276</v>
      </c>
      <c r="K92" t="s">
        <v>276</v>
      </c>
    </row>
    <row r="93" spans="2:11" hidden="1">
      <c r="B93" t="s">
        <v>165</v>
      </c>
      <c r="C93" t="s">
        <v>164</v>
      </c>
      <c r="D93" t="s">
        <v>3343</v>
      </c>
      <c r="E93" t="s">
        <v>3344</v>
      </c>
      <c r="F93">
        <v>0.18</v>
      </c>
      <c r="G93" t="s">
        <v>3345</v>
      </c>
      <c r="H93" t="s">
        <v>276</v>
      </c>
      <c r="J93" t="s">
        <v>276</v>
      </c>
      <c r="K93" t="s">
        <v>276</v>
      </c>
    </row>
    <row r="94" spans="2:11" hidden="1">
      <c r="B94" t="s">
        <v>163</v>
      </c>
      <c r="C94" t="s">
        <v>164</v>
      </c>
      <c r="D94" t="s">
        <v>3346</v>
      </c>
      <c r="E94" t="s">
        <v>3347</v>
      </c>
      <c r="F94">
        <v>0.23</v>
      </c>
      <c r="G94" t="s">
        <v>3348</v>
      </c>
      <c r="H94" t="s">
        <v>276</v>
      </c>
      <c r="J94" t="s">
        <v>276</v>
      </c>
      <c r="K94" t="s">
        <v>276</v>
      </c>
    </row>
    <row r="95" spans="2:11" hidden="1">
      <c r="B95" t="s">
        <v>324</v>
      </c>
      <c r="C95" t="s">
        <v>325</v>
      </c>
      <c r="D95" t="s">
        <v>3349</v>
      </c>
      <c r="E95" t="s">
        <v>3350</v>
      </c>
      <c r="F95">
        <v>1.77</v>
      </c>
      <c r="G95" t="s">
        <v>3351</v>
      </c>
      <c r="H95" t="s">
        <v>276</v>
      </c>
      <c r="J95" t="s">
        <v>276</v>
      </c>
      <c r="K95" t="s">
        <v>276</v>
      </c>
    </row>
    <row r="96" spans="2:11" hidden="1">
      <c r="B96" t="s">
        <v>186</v>
      </c>
      <c r="C96" t="s">
        <v>187</v>
      </c>
      <c r="D96" t="s">
        <v>3352</v>
      </c>
      <c r="E96" t="s">
        <v>3353</v>
      </c>
      <c r="F96">
        <v>0.93</v>
      </c>
      <c r="G96" t="s">
        <v>3354</v>
      </c>
      <c r="H96" t="s">
        <v>277</v>
      </c>
      <c r="J96" t="s">
        <v>277</v>
      </c>
      <c r="K96" t="s">
        <v>277</v>
      </c>
    </row>
    <row r="97" spans="2:11" hidden="1">
      <c r="B97" t="s">
        <v>188</v>
      </c>
      <c r="C97" t="s">
        <v>189</v>
      </c>
      <c r="D97" t="s">
        <v>3355</v>
      </c>
      <c r="E97" t="s">
        <v>3356</v>
      </c>
      <c r="F97">
        <v>7.45</v>
      </c>
      <c r="G97" t="s">
        <v>3357</v>
      </c>
      <c r="H97" t="s">
        <v>278</v>
      </c>
      <c r="J97" t="s">
        <v>278</v>
      </c>
      <c r="K97" t="s">
        <v>278</v>
      </c>
    </row>
    <row r="98" spans="2:11">
      <c r="B98" t="s">
        <v>84</v>
      </c>
      <c r="C98" t="s">
        <v>190</v>
      </c>
      <c r="D98" t="s">
        <v>3358</v>
      </c>
      <c r="E98" t="s">
        <v>3359</v>
      </c>
      <c r="F98">
        <v>8.2200000000000006</v>
      </c>
      <c r="G98" t="s">
        <v>3360</v>
      </c>
      <c r="H98" t="s">
        <v>274</v>
      </c>
      <c r="J98" t="s">
        <v>274</v>
      </c>
      <c r="K98" t="s">
        <v>274</v>
      </c>
    </row>
    <row r="99" spans="2:11" hidden="1">
      <c r="B99" t="s">
        <v>172</v>
      </c>
      <c r="C99" t="s">
        <v>173</v>
      </c>
      <c r="D99" t="s">
        <v>3361</v>
      </c>
      <c r="E99" t="s">
        <v>3362</v>
      </c>
      <c r="F99">
        <v>0.17</v>
      </c>
      <c r="G99" t="s">
        <v>3363</v>
      </c>
      <c r="H99" t="s">
        <v>277</v>
      </c>
      <c r="J99" t="s">
        <v>277</v>
      </c>
      <c r="K99" t="s">
        <v>277</v>
      </c>
    </row>
    <row r="100" spans="2:11" hidden="1">
      <c r="B100" t="s">
        <v>562</v>
      </c>
      <c r="C100" t="s">
        <v>563</v>
      </c>
      <c r="D100" t="s">
        <v>3364</v>
      </c>
      <c r="E100" t="s">
        <v>3365</v>
      </c>
      <c r="F100">
        <v>1.03</v>
      </c>
      <c r="G100" t="s">
        <v>3366</v>
      </c>
      <c r="H100" t="s">
        <v>274</v>
      </c>
      <c r="J100" t="s">
        <v>274</v>
      </c>
      <c r="K100" t="s">
        <v>274</v>
      </c>
    </row>
    <row r="101" spans="2:11" hidden="1">
      <c r="B101" t="s">
        <v>191</v>
      </c>
      <c r="C101" t="s">
        <v>183</v>
      </c>
      <c r="D101" t="s">
        <v>3367</v>
      </c>
      <c r="E101" t="s">
        <v>3368</v>
      </c>
      <c r="F101">
        <v>1.3</v>
      </c>
      <c r="G101" t="s">
        <v>3369</v>
      </c>
      <c r="H101" t="s">
        <v>274</v>
      </c>
      <c r="J101" t="s">
        <v>274</v>
      </c>
      <c r="K101" t="s">
        <v>274</v>
      </c>
    </row>
    <row r="102" spans="2:11" hidden="1">
      <c r="B102" t="s">
        <v>219</v>
      </c>
      <c r="C102" t="s">
        <v>183</v>
      </c>
      <c r="D102" t="s">
        <v>3370</v>
      </c>
      <c r="E102" t="s">
        <v>3371</v>
      </c>
      <c r="F102">
        <v>5.65</v>
      </c>
      <c r="G102" t="s">
        <v>3372</v>
      </c>
      <c r="H102" t="s">
        <v>274</v>
      </c>
      <c r="J102" t="s">
        <v>274</v>
      </c>
      <c r="K102" t="s">
        <v>274</v>
      </c>
    </row>
    <row r="103" spans="2:11" hidden="1">
      <c r="B103" t="s">
        <v>170</v>
      </c>
      <c r="C103" t="s">
        <v>171</v>
      </c>
      <c r="D103" t="s">
        <v>3373</v>
      </c>
      <c r="E103" t="s">
        <v>3374</v>
      </c>
      <c r="F103">
        <v>0.5</v>
      </c>
      <c r="G103" t="s">
        <v>3375</v>
      </c>
      <c r="H103" t="s">
        <v>276</v>
      </c>
      <c r="J103" t="s">
        <v>276</v>
      </c>
      <c r="K103" t="s">
        <v>276</v>
      </c>
    </row>
    <row r="104" spans="2:11" hidden="1">
      <c r="B104" t="s">
        <v>180</v>
      </c>
      <c r="C104" t="s">
        <v>181</v>
      </c>
      <c r="D104" t="s">
        <v>3376</v>
      </c>
      <c r="E104" t="s">
        <v>3377</v>
      </c>
      <c r="F104">
        <v>7.45</v>
      </c>
      <c r="G104" t="s">
        <v>3378</v>
      </c>
      <c r="H104" t="s">
        <v>276</v>
      </c>
      <c r="J104" t="s">
        <v>276</v>
      </c>
      <c r="K104" t="s">
        <v>276</v>
      </c>
    </row>
    <row r="105" spans="2:11" hidden="1">
      <c r="B105" t="s">
        <v>195</v>
      </c>
      <c r="C105" t="s">
        <v>196</v>
      </c>
      <c r="D105" t="s">
        <v>3379</v>
      </c>
      <c r="E105" t="s">
        <v>3380</v>
      </c>
      <c r="F105">
        <v>19.920000000000002</v>
      </c>
      <c r="G105" t="s">
        <v>3381</v>
      </c>
      <c r="H105" t="s">
        <v>276</v>
      </c>
      <c r="J105" t="s">
        <v>276</v>
      </c>
      <c r="K105" t="s">
        <v>276</v>
      </c>
    </row>
    <row r="106" spans="2:11" hidden="1">
      <c r="B106" t="s">
        <v>212</v>
      </c>
      <c r="C106" t="s">
        <v>213</v>
      </c>
      <c r="D106" t="s">
        <v>3382</v>
      </c>
      <c r="E106" t="s">
        <v>3383</v>
      </c>
      <c r="F106">
        <v>6.72</v>
      </c>
      <c r="G106" t="s">
        <v>3384</v>
      </c>
      <c r="H106" t="s">
        <v>276</v>
      </c>
      <c r="J106" t="s">
        <v>276</v>
      </c>
      <c r="K106" t="s">
        <v>276</v>
      </c>
    </row>
    <row r="107" spans="2:11" hidden="1">
      <c r="B107" t="s">
        <v>240</v>
      </c>
      <c r="C107" t="s">
        <v>241</v>
      </c>
      <c r="D107" t="s">
        <v>3385</v>
      </c>
      <c r="E107" t="s">
        <v>3386</v>
      </c>
      <c r="F107">
        <v>17</v>
      </c>
      <c r="G107" t="s">
        <v>3387</v>
      </c>
      <c r="H107" t="s">
        <v>276</v>
      </c>
      <c r="J107" t="s">
        <v>276</v>
      </c>
      <c r="K107" t="s">
        <v>276</v>
      </c>
    </row>
    <row r="108" spans="2:11" hidden="1">
      <c r="B108" t="s">
        <v>168</v>
      </c>
      <c r="C108" t="s">
        <v>169</v>
      </c>
      <c r="D108" t="s">
        <v>3388</v>
      </c>
      <c r="E108" t="s">
        <v>3389</v>
      </c>
      <c r="F108">
        <v>1.2</v>
      </c>
      <c r="G108" t="s">
        <v>3390</v>
      </c>
      <c r="H108" t="s">
        <v>294</v>
      </c>
      <c r="J108" t="s">
        <v>294</v>
      </c>
      <c r="K108" t="s">
        <v>294</v>
      </c>
    </row>
    <row r="109" spans="2:11" hidden="1">
      <c r="B109" t="s">
        <v>166</v>
      </c>
      <c r="C109" t="s">
        <v>167</v>
      </c>
      <c r="D109" t="s">
        <v>3391</v>
      </c>
      <c r="E109" t="s">
        <v>3392</v>
      </c>
      <c r="F109">
        <v>0.15</v>
      </c>
      <c r="G109" t="s">
        <v>3393</v>
      </c>
      <c r="H109" t="s">
        <v>274</v>
      </c>
      <c r="J109" t="s">
        <v>274</v>
      </c>
      <c r="K109" t="s">
        <v>274</v>
      </c>
    </row>
    <row r="110" spans="2:11" hidden="1">
      <c r="B110" t="s">
        <v>163</v>
      </c>
      <c r="C110" t="s">
        <v>164</v>
      </c>
      <c r="D110" t="s">
        <v>3394</v>
      </c>
      <c r="E110" t="s">
        <v>3395</v>
      </c>
      <c r="F110">
        <v>1.32</v>
      </c>
      <c r="G110" t="s">
        <v>3396</v>
      </c>
      <c r="H110" t="s">
        <v>274</v>
      </c>
      <c r="J110" t="s">
        <v>274</v>
      </c>
      <c r="K110" t="s">
        <v>274</v>
      </c>
    </row>
    <row r="111" spans="2:11" hidden="1">
      <c r="B111" t="s">
        <v>165</v>
      </c>
      <c r="C111" t="s">
        <v>164</v>
      </c>
      <c r="D111" t="s">
        <v>3397</v>
      </c>
      <c r="E111" t="s">
        <v>3398</v>
      </c>
      <c r="F111">
        <v>0.13</v>
      </c>
      <c r="G111" t="s">
        <v>3399</v>
      </c>
      <c r="H111" t="s">
        <v>274</v>
      </c>
      <c r="J111" t="s">
        <v>274</v>
      </c>
      <c r="K111" t="s">
        <v>274</v>
      </c>
    </row>
    <row r="112" spans="2:11" hidden="1">
      <c r="B112" t="s">
        <v>186</v>
      </c>
      <c r="C112" t="s">
        <v>187</v>
      </c>
      <c r="D112" t="s">
        <v>3400</v>
      </c>
      <c r="E112" t="s">
        <v>3401</v>
      </c>
      <c r="F112">
        <v>1.38</v>
      </c>
      <c r="G112" t="s">
        <v>3402</v>
      </c>
      <c r="H112" t="s">
        <v>274</v>
      </c>
      <c r="J112" t="s">
        <v>274</v>
      </c>
      <c r="K112" t="s">
        <v>274</v>
      </c>
    </row>
    <row r="113" spans="2:11" hidden="1">
      <c r="B113" t="s">
        <v>184</v>
      </c>
      <c r="C113" t="s">
        <v>185</v>
      </c>
      <c r="D113" t="s">
        <v>3403</v>
      </c>
      <c r="E113" t="s">
        <v>3404</v>
      </c>
      <c r="F113">
        <v>7.33</v>
      </c>
      <c r="G113" t="s">
        <v>3405</v>
      </c>
      <c r="H113" t="s">
        <v>278</v>
      </c>
      <c r="J113" t="s">
        <v>278</v>
      </c>
      <c r="K113" t="s">
        <v>278</v>
      </c>
    </row>
    <row r="114" spans="2:11" hidden="1">
      <c r="B114" t="s">
        <v>184</v>
      </c>
      <c r="C114" t="s">
        <v>185</v>
      </c>
      <c r="D114" t="s">
        <v>3406</v>
      </c>
      <c r="E114" t="s">
        <v>3407</v>
      </c>
      <c r="F114">
        <v>0.32</v>
      </c>
      <c r="G114" t="s">
        <v>3408</v>
      </c>
      <c r="H114" t="s">
        <v>294</v>
      </c>
      <c r="J114" t="s">
        <v>294</v>
      </c>
      <c r="K114" t="s">
        <v>294</v>
      </c>
    </row>
    <row r="115" spans="2:11" hidden="1">
      <c r="B115" t="s">
        <v>202</v>
      </c>
      <c r="C115" t="s">
        <v>203</v>
      </c>
      <c r="D115" t="s">
        <v>3409</v>
      </c>
      <c r="E115" t="s">
        <v>3410</v>
      </c>
      <c r="F115">
        <v>3.07</v>
      </c>
      <c r="G115" t="s">
        <v>3411</v>
      </c>
      <c r="H115" t="s">
        <v>274</v>
      </c>
      <c r="J115" t="s">
        <v>274</v>
      </c>
      <c r="K115" t="s">
        <v>274</v>
      </c>
    </row>
    <row r="116" spans="2:11" hidden="1">
      <c r="B116" t="s">
        <v>218</v>
      </c>
      <c r="C116" t="s">
        <v>177</v>
      </c>
      <c r="D116" t="s">
        <v>3412</v>
      </c>
      <c r="E116" t="s">
        <v>3413</v>
      </c>
      <c r="F116">
        <v>16.53</v>
      </c>
      <c r="G116" t="s">
        <v>3414</v>
      </c>
      <c r="H116" t="s">
        <v>276</v>
      </c>
      <c r="J116" t="s">
        <v>276</v>
      </c>
      <c r="K116" t="s">
        <v>276</v>
      </c>
    </row>
    <row r="117" spans="2:11" hidden="1">
      <c r="B117" t="s">
        <v>257</v>
      </c>
      <c r="C117" t="s">
        <v>252</v>
      </c>
      <c r="D117" t="s">
        <v>3415</v>
      </c>
      <c r="E117" t="s">
        <v>3416</v>
      </c>
      <c r="F117">
        <v>2.58</v>
      </c>
      <c r="G117" t="s">
        <v>3417</v>
      </c>
      <c r="H117" t="s">
        <v>274</v>
      </c>
      <c r="J117" t="s">
        <v>274</v>
      </c>
      <c r="K117" t="s">
        <v>274</v>
      </c>
    </row>
    <row r="118" spans="2:11" hidden="1">
      <c r="B118" t="s">
        <v>251</v>
      </c>
      <c r="C118" t="s">
        <v>252</v>
      </c>
      <c r="D118" t="s">
        <v>3418</v>
      </c>
      <c r="E118" t="s">
        <v>3419</v>
      </c>
      <c r="F118">
        <v>2.57</v>
      </c>
      <c r="G118" t="s">
        <v>3420</v>
      </c>
      <c r="H118" t="s">
        <v>274</v>
      </c>
      <c r="J118" t="s">
        <v>274</v>
      </c>
      <c r="K118" t="s">
        <v>274</v>
      </c>
    </row>
    <row r="119" spans="2:11" hidden="1">
      <c r="B119" t="s">
        <v>253</v>
      </c>
      <c r="C119" t="s">
        <v>252</v>
      </c>
      <c r="D119" t="s">
        <v>3421</v>
      </c>
      <c r="E119" t="s">
        <v>3422</v>
      </c>
      <c r="F119">
        <v>2.58</v>
      </c>
      <c r="G119" t="s">
        <v>3423</v>
      </c>
      <c r="H119" t="s">
        <v>274</v>
      </c>
      <c r="J119" t="s">
        <v>274</v>
      </c>
      <c r="K119" t="s">
        <v>274</v>
      </c>
    </row>
    <row r="120" spans="2:11" hidden="1">
      <c r="B120" t="s">
        <v>254</v>
      </c>
      <c r="C120" t="s">
        <v>252</v>
      </c>
      <c r="D120" t="s">
        <v>3424</v>
      </c>
      <c r="E120" t="s">
        <v>3425</v>
      </c>
      <c r="F120">
        <v>2.58</v>
      </c>
      <c r="G120" t="s">
        <v>3426</v>
      </c>
      <c r="H120" t="s">
        <v>274</v>
      </c>
      <c r="J120" t="s">
        <v>274</v>
      </c>
      <c r="K120" t="s">
        <v>274</v>
      </c>
    </row>
    <row r="121" spans="2:11" hidden="1">
      <c r="B121" t="s">
        <v>214</v>
      </c>
      <c r="C121" t="s">
        <v>205</v>
      </c>
      <c r="D121" t="s">
        <v>3427</v>
      </c>
      <c r="E121" t="s">
        <v>3428</v>
      </c>
      <c r="F121">
        <v>1.92</v>
      </c>
      <c r="G121" t="s">
        <v>3429</v>
      </c>
      <c r="H121" t="s">
        <v>274</v>
      </c>
      <c r="J121" t="s">
        <v>274</v>
      </c>
      <c r="K121" t="s">
        <v>274</v>
      </c>
    </row>
    <row r="122" spans="2:11" hidden="1">
      <c r="B122" t="s">
        <v>207</v>
      </c>
      <c r="C122" t="s">
        <v>205</v>
      </c>
      <c r="D122" t="s">
        <v>3430</v>
      </c>
      <c r="E122" t="s">
        <v>3431</v>
      </c>
      <c r="F122">
        <v>1.93</v>
      </c>
      <c r="G122" t="s">
        <v>3432</v>
      </c>
      <c r="H122" t="s">
        <v>274</v>
      </c>
      <c r="J122" t="s">
        <v>274</v>
      </c>
      <c r="K122" t="s">
        <v>274</v>
      </c>
    </row>
    <row r="123" spans="2:11" hidden="1">
      <c r="B123" t="s">
        <v>206</v>
      </c>
      <c r="C123" t="s">
        <v>205</v>
      </c>
      <c r="D123" t="s">
        <v>3433</v>
      </c>
      <c r="E123" t="s">
        <v>3434</v>
      </c>
      <c r="F123">
        <v>1.93</v>
      </c>
      <c r="G123" t="s">
        <v>3435</v>
      </c>
      <c r="H123" t="s">
        <v>274</v>
      </c>
      <c r="J123" t="s">
        <v>274</v>
      </c>
      <c r="K123" t="s">
        <v>274</v>
      </c>
    </row>
    <row r="124" spans="2:11" hidden="1">
      <c r="B124" t="s">
        <v>204</v>
      </c>
      <c r="C124" t="s">
        <v>205</v>
      </c>
      <c r="D124" t="s">
        <v>3436</v>
      </c>
      <c r="E124" t="s">
        <v>3437</v>
      </c>
      <c r="F124">
        <v>1.93</v>
      </c>
      <c r="G124" t="s">
        <v>3438</v>
      </c>
      <c r="H124" t="s">
        <v>274</v>
      </c>
      <c r="J124" t="s">
        <v>274</v>
      </c>
      <c r="K124" t="s">
        <v>274</v>
      </c>
    </row>
    <row r="125" spans="2:11" hidden="1">
      <c r="B125" t="s">
        <v>314</v>
      </c>
      <c r="C125" t="s">
        <v>315</v>
      </c>
      <c r="D125" t="s">
        <v>3439</v>
      </c>
      <c r="E125" t="s">
        <v>3440</v>
      </c>
      <c r="F125">
        <v>2.17</v>
      </c>
      <c r="G125" t="s">
        <v>3441</v>
      </c>
      <c r="H125" t="s">
        <v>286</v>
      </c>
      <c r="J125" t="s">
        <v>286</v>
      </c>
      <c r="K125" t="s">
        <v>286</v>
      </c>
    </row>
    <row r="126" spans="2:11" hidden="1">
      <c r="B126" t="s">
        <v>170</v>
      </c>
      <c r="C126" t="s">
        <v>171</v>
      </c>
      <c r="D126" t="s">
        <v>3442</v>
      </c>
      <c r="E126" t="s">
        <v>3443</v>
      </c>
      <c r="F126">
        <v>0.73</v>
      </c>
      <c r="G126" t="s">
        <v>3444</v>
      </c>
      <c r="H126" t="s">
        <v>286</v>
      </c>
      <c r="J126" t="s">
        <v>286</v>
      </c>
      <c r="K126" t="s">
        <v>286</v>
      </c>
    </row>
    <row r="127" spans="2:11" hidden="1"/>
    <row r="128" spans="2:11" hidden="1"/>
    <row r="129" hidden="1"/>
  </sheetData>
  <autoFilter ref="B1:B129" xr:uid="{02800828-4A62-4B31-A209-F0B979029BC1}">
    <filterColumn colId="0">
      <filters>
        <filter val="LP-N1"/>
        <filter val="LP-N3"/>
        <filter val="LP-N4"/>
        <filter val="LP-N5"/>
        <filter val="LP-N7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86ACA-2C52-4B38-A85B-38DCC0E4954C}">
  <sheetPr filterMode="1"/>
  <dimension ref="B1:K129"/>
  <sheetViews>
    <sheetView workbookViewId="0">
      <selection sqref="A1:XFD1"/>
    </sheetView>
  </sheetViews>
  <sheetFormatPr defaultRowHeight="15.75"/>
  <cols>
    <col min="2" max="2" width="10.125" bestFit="1" customWidth="1"/>
    <col min="3" max="3" width="8.875" bestFit="1" customWidth="1"/>
    <col min="4" max="5" width="18.25" bestFit="1" customWidth="1"/>
    <col min="6" max="6" width="8.875" bestFit="1" customWidth="1"/>
    <col min="7" max="7" width="64.625" bestFit="1" customWidth="1"/>
    <col min="8" max="8" width="8.875" bestFit="1" customWidth="1"/>
    <col min="9" max="9" width="17.625" bestFit="1" customWidth="1"/>
    <col min="10" max="11" width="8.875" bestFit="1" customWidth="1"/>
  </cols>
  <sheetData>
    <row r="1" spans="2:11"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161</v>
      </c>
      <c r="H1" t="s">
        <v>268</v>
      </c>
      <c r="I1" t="s">
        <v>162</v>
      </c>
      <c r="J1" t="s">
        <v>372</v>
      </c>
      <c r="K1" t="s">
        <v>373</v>
      </c>
    </row>
    <row r="2" spans="2:11" hidden="1">
      <c r="B2" t="s">
        <v>85</v>
      </c>
      <c r="C2" t="s">
        <v>226</v>
      </c>
      <c r="D2" t="s">
        <v>2685</v>
      </c>
    </row>
    <row r="3" spans="2:11" hidden="1">
      <c r="B3" t="s">
        <v>172</v>
      </c>
      <c r="C3" t="s">
        <v>173</v>
      </c>
      <c r="D3" t="s">
        <v>2686</v>
      </c>
      <c r="E3" t="s">
        <v>2687</v>
      </c>
      <c r="F3">
        <v>1.02</v>
      </c>
      <c r="G3" t="s">
        <v>2688</v>
      </c>
      <c r="H3" t="s">
        <v>277</v>
      </c>
      <c r="J3" t="s">
        <v>277</v>
      </c>
      <c r="K3" t="s">
        <v>277</v>
      </c>
    </row>
    <row r="4" spans="2:11" hidden="1">
      <c r="B4" t="s">
        <v>236</v>
      </c>
      <c r="C4" t="s">
        <v>237</v>
      </c>
      <c r="D4" t="s">
        <v>2689</v>
      </c>
      <c r="E4" t="s">
        <v>2690</v>
      </c>
      <c r="F4">
        <v>8.23</v>
      </c>
      <c r="G4" t="s">
        <v>2691</v>
      </c>
      <c r="H4" t="s">
        <v>276</v>
      </c>
      <c r="J4" t="s">
        <v>276</v>
      </c>
      <c r="K4" t="s">
        <v>276</v>
      </c>
    </row>
    <row r="5" spans="2:11" hidden="1">
      <c r="B5" t="s">
        <v>204</v>
      </c>
      <c r="C5" t="s">
        <v>205</v>
      </c>
      <c r="D5" t="s">
        <v>2692</v>
      </c>
      <c r="E5" t="s">
        <v>2693</v>
      </c>
      <c r="F5">
        <v>2.7</v>
      </c>
      <c r="G5" t="s">
        <v>2694</v>
      </c>
      <c r="H5" t="s">
        <v>276</v>
      </c>
      <c r="J5" t="s">
        <v>276</v>
      </c>
      <c r="K5" t="s">
        <v>276</v>
      </c>
    </row>
    <row r="6" spans="2:11" hidden="1">
      <c r="B6" t="s">
        <v>206</v>
      </c>
      <c r="C6" t="s">
        <v>205</v>
      </c>
      <c r="D6" t="s">
        <v>2695</v>
      </c>
      <c r="E6" t="s">
        <v>2696</v>
      </c>
      <c r="F6">
        <v>2.68</v>
      </c>
      <c r="G6" t="s">
        <v>2697</v>
      </c>
      <c r="H6" t="s">
        <v>276</v>
      </c>
      <c r="J6" t="s">
        <v>276</v>
      </c>
      <c r="K6" t="s">
        <v>276</v>
      </c>
    </row>
    <row r="7" spans="2:11" hidden="1">
      <c r="B7" t="s">
        <v>207</v>
      </c>
      <c r="C7" t="s">
        <v>205</v>
      </c>
      <c r="D7" t="s">
        <v>2698</v>
      </c>
      <c r="E7" t="s">
        <v>2699</v>
      </c>
      <c r="F7">
        <v>2.68</v>
      </c>
      <c r="G7" t="s">
        <v>2700</v>
      </c>
      <c r="H7" t="s">
        <v>276</v>
      </c>
      <c r="J7" t="s">
        <v>276</v>
      </c>
      <c r="K7" t="s">
        <v>276</v>
      </c>
    </row>
    <row r="8" spans="2:11" hidden="1">
      <c r="B8" t="s">
        <v>214</v>
      </c>
      <c r="C8" t="s">
        <v>205</v>
      </c>
      <c r="D8" t="s">
        <v>2701</v>
      </c>
      <c r="E8" t="s">
        <v>2702</v>
      </c>
      <c r="F8">
        <v>15.2</v>
      </c>
      <c r="G8" t="s">
        <v>2703</v>
      </c>
      <c r="H8" t="s">
        <v>276</v>
      </c>
      <c r="J8" t="s">
        <v>276</v>
      </c>
      <c r="K8" t="s">
        <v>276</v>
      </c>
    </row>
    <row r="9" spans="2:11" hidden="1">
      <c r="B9" t="s">
        <v>229</v>
      </c>
      <c r="C9" t="s">
        <v>230</v>
      </c>
      <c r="D9" t="s">
        <v>2704</v>
      </c>
      <c r="E9" t="s">
        <v>2705</v>
      </c>
      <c r="F9">
        <v>15.47</v>
      </c>
      <c r="G9" t="s">
        <v>2706</v>
      </c>
      <c r="H9" t="s">
        <v>274</v>
      </c>
      <c r="J9" t="s">
        <v>274</v>
      </c>
      <c r="K9" t="s">
        <v>274</v>
      </c>
    </row>
    <row r="10" spans="2:11" hidden="1">
      <c r="B10" t="s">
        <v>192</v>
      </c>
      <c r="C10" t="s">
        <v>183</v>
      </c>
      <c r="D10" t="s">
        <v>2707</v>
      </c>
      <c r="E10" t="s">
        <v>2708</v>
      </c>
      <c r="F10">
        <v>1.1499999999999999</v>
      </c>
      <c r="G10" t="s">
        <v>2709</v>
      </c>
      <c r="H10" t="s">
        <v>276</v>
      </c>
      <c r="J10" t="s">
        <v>276</v>
      </c>
      <c r="K10" t="s">
        <v>276</v>
      </c>
    </row>
    <row r="11" spans="2:11" hidden="1">
      <c r="B11" t="s">
        <v>182</v>
      </c>
      <c r="C11" t="s">
        <v>183</v>
      </c>
      <c r="D11" t="s">
        <v>2710</v>
      </c>
      <c r="E11" t="s">
        <v>2711</v>
      </c>
      <c r="F11">
        <v>1.3</v>
      </c>
      <c r="G11" t="s">
        <v>2712</v>
      </c>
      <c r="H11" t="s">
        <v>276</v>
      </c>
      <c r="J11" t="s">
        <v>276</v>
      </c>
      <c r="K11" t="s">
        <v>276</v>
      </c>
    </row>
    <row r="12" spans="2:11" hidden="1">
      <c r="B12" t="s">
        <v>193</v>
      </c>
      <c r="C12" t="s">
        <v>183</v>
      </c>
      <c r="D12" t="s">
        <v>2713</v>
      </c>
      <c r="E12" t="s">
        <v>2714</v>
      </c>
      <c r="F12">
        <v>0.47</v>
      </c>
      <c r="G12" t="s">
        <v>2715</v>
      </c>
      <c r="H12" t="s">
        <v>276</v>
      </c>
      <c r="J12" t="s">
        <v>276</v>
      </c>
      <c r="K12" t="s">
        <v>276</v>
      </c>
    </row>
    <row r="13" spans="2:11" hidden="1">
      <c r="B13" t="s">
        <v>194</v>
      </c>
      <c r="C13" t="s">
        <v>183</v>
      </c>
      <c r="D13" t="s">
        <v>2716</v>
      </c>
      <c r="E13" t="s">
        <v>2717</v>
      </c>
      <c r="F13">
        <v>4.5199999999999996</v>
      </c>
      <c r="G13" t="s">
        <v>2718</v>
      </c>
      <c r="H13" t="s">
        <v>276</v>
      </c>
      <c r="J13" t="s">
        <v>276</v>
      </c>
      <c r="K13" t="s">
        <v>276</v>
      </c>
    </row>
    <row r="14" spans="2:11" hidden="1">
      <c r="B14" t="s">
        <v>215</v>
      </c>
      <c r="C14" t="s">
        <v>216</v>
      </c>
      <c r="D14" t="s">
        <v>2719</v>
      </c>
      <c r="E14" t="s">
        <v>2720</v>
      </c>
      <c r="F14">
        <v>8.5299999999999994</v>
      </c>
      <c r="G14" t="s">
        <v>2721</v>
      </c>
      <c r="H14" t="s">
        <v>274</v>
      </c>
      <c r="J14" t="s">
        <v>274</v>
      </c>
      <c r="K14" t="s">
        <v>274</v>
      </c>
    </row>
    <row r="15" spans="2:11" hidden="1">
      <c r="B15" t="s">
        <v>168</v>
      </c>
      <c r="C15" t="s">
        <v>169</v>
      </c>
      <c r="D15" t="s">
        <v>2722</v>
      </c>
      <c r="E15" t="s">
        <v>2723</v>
      </c>
      <c r="F15">
        <v>0.43</v>
      </c>
      <c r="G15" t="s">
        <v>2724</v>
      </c>
      <c r="H15" t="s">
        <v>286</v>
      </c>
      <c r="J15" t="s">
        <v>286</v>
      </c>
      <c r="K15" t="s">
        <v>286</v>
      </c>
    </row>
    <row r="16" spans="2:11" hidden="1">
      <c r="B16" t="s">
        <v>186</v>
      </c>
      <c r="C16" t="s">
        <v>187</v>
      </c>
      <c r="D16" t="s">
        <v>2725</v>
      </c>
      <c r="E16" t="s">
        <v>2726</v>
      </c>
      <c r="F16">
        <v>0.38</v>
      </c>
      <c r="G16" t="s">
        <v>2727</v>
      </c>
      <c r="H16" t="s">
        <v>278</v>
      </c>
      <c r="J16" t="s">
        <v>278</v>
      </c>
      <c r="K16" t="s">
        <v>278</v>
      </c>
    </row>
    <row r="17" spans="2:11" hidden="1">
      <c r="B17" t="s">
        <v>165</v>
      </c>
      <c r="C17" t="s">
        <v>164</v>
      </c>
      <c r="D17" t="s">
        <v>2728</v>
      </c>
      <c r="E17" t="s">
        <v>2729</v>
      </c>
      <c r="F17">
        <v>0.47</v>
      </c>
      <c r="G17" t="s">
        <v>2730</v>
      </c>
      <c r="H17" t="s">
        <v>276</v>
      </c>
      <c r="J17" t="s">
        <v>276</v>
      </c>
      <c r="K17" t="s">
        <v>276</v>
      </c>
    </row>
    <row r="18" spans="2:11" hidden="1">
      <c r="B18" t="s">
        <v>166</v>
      </c>
      <c r="C18" t="s">
        <v>167</v>
      </c>
      <c r="D18" t="s">
        <v>2731</v>
      </c>
      <c r="E18" t="s">
        <v>2732</v>
      </c>
      <c r="F18">
        <v>0.37</v>
      </c>
      <c r="G18" t="s">
        <v>2733</v>
      </c>
      <c r="H18" t="s">
        <v>276</v>
      </c>
      <c r="J18" t="s">
        <v>276</v>
      </c>
      <c r="K18" t="s">
        <v>276</v>
      </c>
    </row>
    <row r="19" spans="2:11" hidden="1">
      <c r="B19" t="s">
        <v>163</v>
      </c>
      <c r="C19" t="s">
        <v>164</v>
      </c>
      <c r="D19" t="s">
        <v>2734</v>
      </c>
      <c r="E19" t="s">
        <v>2735</v>
      </c>
      <c r="F19">
        <v>0.42</v>
      </c>
      <c r="G19" t="s">
        <v>2736</v>
      </c>
      <c r="H19" t="s">
        <v>276</v>
      </c>
      <c r="J19" t="s">
        <v>276</v>
      </c>
      <c r="K19" t="s">
        <v>276</v>
      </c>
    </row>
    <row r="20" spans="2:11">
      <c r="B20" t="s">
        <v>82</v>
      </c>
      <c r="C20" t="s">
        <v>217</v>
      </c>
      <c r="D20" t="s">
        <v>2737</v>
      </c>
      <c r="E20" t="s">
        <v>2738</v>
      </c>
      <c r="F20">
        <v>7.2</v>
      </c>
      <c r="G20" t="s">
        <v>2739</v>
      </c>
      <c r="H20" t="s">
        <v>278</v>
      </c>
      <c r="J20" t="s">
        <v>278</v>
      </c>
      <c r="K20" t="s">
        <v>278</v>
      </c>
    </row>
    <row r="21" spans="2:11" hidden="1">
      <c r="B21" t="s">
        <v>199</v>
      </c>
      <c r="C21" t="s">
        <v>200</v>
      </c>
      <c r="D21" t="s">
        <v>2740</v>
      </c>
      <c r="E21" t="s">
        <v>2741</v>
      </c>
      <c r="F21">
        <v>21.45</v>
      </c>
      <c r="G21" t="s">
        <v>2742</v>
      </c>
      <c r="H21" t="s">
        <v>286</v>
      </c>
      <c r="J21" t="s">
        <v>286</v>
      </c>
      <c r="K21" t="s">
        <v>286</v>
      </c>
    </row>
    <row r="22" spans="2:11" hidden="1">
      <c r="B22" t="s">
        <v>180</v>
      </c>
      <c r="C22" t="s">
        <v>181</v>
      </c>
      <c r="D22" t="s">
        <v>2743</v>
      </c>
      <c r="E22" t="s">
        <v>2744</v>
      </c>
      <c r="F22">
        <v>7.72</v>
      </c>
      <c r="G22" t="s">
        <v>2745</v>
      </c>
      <c r="H22" t="s">
        <v>274</v>
      </c>
      <c r="J22" t="s">
        <v>274</v>
      </c>
      <c r="K22" t="s">
        <v>274</v>
      </c>
    </row>
    <row r="23" spans="2:11" hidden="1">
      <c r="B23" t="s">
        <v>227</v>
      </c>
      <c r="C23" t="s">
        <v>228</v>
      </c>
      <c r="D23" t="s">
        <v>2746</v>
      </c>
      <c r="E23" t="s">
        <v>2747</v>
      </c>
      <c r="F23">
        <v>1.88</v>
      </c>
      <c r="G23" t="s">
        <v>2748</v>
      </c>
      <c r="H23" t="s">
        <v>274</v>
      </c>
      <c r="J23" t="s">
        <v>274</v>
      </c>
      <c r="K23" t="s">
        <v>274</v>
      </c>
    </row>
    <row r="24" spans="2:11" hidden="1">
      <c r="B24" t="s">
        <v>222</v>
      </c>
      <c r="C24" t="s">
        <v>223</v>
      </c>
      <c r="D24" t="s">
        <v>2749</v>
      </c>
      <c r="E24" t="s">
        <v>2750</v>
      </c>
      <c r="F24">
        <v>2.23</v>
      </c>
      <c r="G24" t="s">
        <v>2751</v>
      </c>
      <c r="H24" t="s">
        <v>274</v>
      </c>
      <c r="J24" t="s">
        <v>274</v>
      </c>
      <c r="K24" t="s">
        <v>274</v>
      </c>
    </row>
    <row r="25" spans="2:11" hidden="1">
      <c r="B25" t="s">
        <v>170</v>
      </c>
      <c r="C25" t="s">
        <v>171</v>
      </c>
      <c r="D25" t="s">
        <v>2752</v>
      </c>
      <c r="E25" t="s">
        <v>2753</v>
      </c>
      <c r="F25">
        <v>0.53</v>
      </c>
      <c r="G25" t="s">
        <v>2754</v>
      </c>
      <c r="H25" t="s">
        <v>277</v>
      </c>
      <c r="J25" t="s">
        <v>277</v>
      </c>
      <c r="K25" t="s">
        <v>277</v>
      </c>
    </row>
    <row r="26" spans="2:11" hidden="1">
      <c r="B26" t="s">
        <v>337</v>
      </c>
      <c r="C26" t="s">
        <v>338</v>
      </c>
      <c r="D26" t="s">
        <v>2755</v>
      </c>
      <c r="E26" t="s">
        <v>2756</v>
      </c>
      <c r="F26">
        <v>1.73</v>
      </c>
      <c r="G26" t="s">
        <v>2757</v>
      </c>
      <c r="H26" t="s">
        <v>276</v>
      </c>
      <c r="J26" t="s">
        <v>276</v>
      </c>
      <c r="K26" t="s">
        <v>276</v>
      </c>
    </row>
    <row r="27" spans="2:11" hidden="1">
      <c r="B27" t="s">
        <v>172</v>
      </c>
      <c r="C27" t="s">
        <v>173</v>
      </c>
      <c r="D27" t="s">
        <v>2758</v>
      </c>
      <c r="E27" t="s">
        <v>2759</v>
      </c>
      <c r="F27">
        <v>1.55</v>
      </c>
      <c r="G27" t="s">
        <v>2760</v>
      </c>
      <c r="H27" t="s">
        <v>294</v>
      </c>
      <c r="J27" t="s">
        <v>294</v>
      </c>
      <c r="K27" t="s">
        <v>294</v>
      </c>
    </row>
    <row r="28" spans="2:11" hidden="1">
      <c r="B28" t="s">
        <v>212</v>
      </c>
      <c r="C28" t="s">
        <v>213</v>
      </c>
      <c r="D28" t="s">
        <v>2761</v>
      </c>
      <c r="E28" t="s">
        <v>2762</v>
      </c>
      <c r="F28">
        <v>21.5</v>
      </c>
      <c r="G28" t="s">
        <v>2763</v>
      </c>
      <c r="H28" t="s">
        <v>276</v>
      </c>
      <c r="J28" t="s">
        <v>276</v>
      </c>
      <c r="K28" t="s">
        <v>276</v>
      </c>
    </row>
    <row r="29" spans="2:11" hidden="1">
      <c r="B29" t="s">
        <v>195</v>
      </c>
      <c r="C29" t="s">
        <v>196</v>
      </c>
      <c r="D29" t="s">
        <v>2764</v>
      </c>
      <c r="E29" t="s">
        <v>2765</v>
      </c>
      <c r="F29">
        <v>7.17</v>
      </c>
      <c r="G29" t="s">
        <v>2766</v>
      </c>
      <c r="H29" t="s">
        <v>274</v>
      </c>
      <c r="J29" t="s">
        <v>274</v>
      </c>
      <c r="K29" t="s">
        <v>274</v>
      </c>
    </row>
    <row r="30" spans="2:11" hidden="1">
      <c r="B30" t="s">
        <v>188</v>
      </c>
      <c r="C30" t="s">
        <v>189</v>
      </c>
      <c r="D30" t="s">
        <v>2767</v>
      </c>
      <c r="E30" t="s">
        <v>2768</v>
      </c>
      <c r="F30">
        <v>14.72</v>
      </c>
      <c r="G30" t="s">
        <v>2769</v>
      </c>
      <c r="H30" t="s">
        <v>274</v>
      </c>
      <c r="J30" t="s">
        <v>274</v>
      </c>
      <c r="K30" t="s">
        <v>274</v>
      </c>
    </row>
    <row r="31" spans="2:11">
      <c r="B31" t="s">
        <v>83</v>
      </c>
      <c r="C31" t="s">
        <v>201</v>
      </c>
      <c r="D31" t="s">
        <v>2770</v>
      </c>
      <c r="E31" t="s">
        <v>2771</v>
      </c>
      <c r="F31">
        <v>19.23</v>
      </c>
      <c r="G31" t="s">
        <v>2772</v>
      </c>
      <c r="H31" t="s">
        <v>276</v>
      </c>
      <c r="J31" t="s">
        <v>276</v>
      </c>
      <c r="K31" t="s">
        <v>276</v>
      </c>
    </row>
    <row r="32" spans="2:11" hidden="1">
      <c r="B32" t="s">
        <v>186</v>
      </c>
      <c r="C32" t="s">
        <v>187</v>
      </c>
      <c r="D32" t="s">
        <v>2773</v>
      </c>
      <c r="E32" t="s">
        <v>2774</v>
      </c>
      <c r="F32">
        <v>0.28000000000000003</v>
      </c>
      <c r="G32" t="s">
        <v>2775</v>
      </c>
      <c r="H32" t="s">
        <v>277</v>
      </c>
      <c r="J32" t="s">
        <v>277</v>
      </c>
      <c r="K32" t="s">
        <v>277</v>
      </c>
    </row>
    <row r="33" spans="2:11" hidden="1">
      <c r="B33" t="s">
        <v>168</v>
      </c>
      <c r="C33" t="s">
        <v>169</v>
      </c>
      <c r="D33" t="s">
        <v>2776</v>
      </c>
      <c r="E33" t="s">
        <v>2777</v>
      </c>
      <c r="F33">
        <v>0.33</v>
      </c>
      <c r="G33" t="s">
        <v>2778</v>
      </c>
      <c r="H33" t="s">
        <v>286</v>
      </c>
      <c r="J33" t="s">
        <v>286</v>
      </c>
      <c r="K33" t="s">
        <v>286</v>
      </c>
    </row>
    <row r="34" spans="2:11" hidden="1">
      <c r="B34" t="s">
        <v>269</v>
      </c>
      <c r="C34" t="s">
        <v>270</v>
      </c>
      <c r="D34" t="s">
        <v>2779</v>
      </c>
      <c r="E34" t="s">
        <v>2780</v>
      </c>
      <c r="F34">
        <v>1.23</v>
      </c>
      <c r="G34" t="s">
        <v>2781</v>
      </c>
      <c r="H34" t="s">
        <v>276</v>
      </c>
      <c r="J34" t="s">
        <v>276</v>
      </c>
      <c r="K34" t="s">
        <v>276</v>
      </c>
    </row>
    <row r="35" spans="2:11" hidden="1">
      <c r="B35" t="s">
        <v>193</v>
      </c>
      <c r="C35" t="s">
        <v>183</v>
      </c>
      <c r="D35" t="s">
        <v>2782</v>
      </c>
      <c r="E35" t="s">
        <v>2783</v>
      </c>
      <c r="F35">
        <v>0.62</v>
      </c>
      <c r="G35" t="s">
        <v>2784</v>
      </c>
      <c r="H35" t="s">
        <v>276</v>
      </c>
      <c r="J35" t="s">
        <v>276</v>
      </c>
      <c r="K35" t="s">
        <v>276</v>
      </c>
    </row>
    <row r="36" spans="2:11" hidden="1">
      <c r="B36" t="s">
        <v>174</v>
      </c>
      <c r="C36" t="s">
        <v>175</v>
      </c>
      <c r="D36" t="s">
        <v>2785</v>
      </c>
      <c r="E36" t="s">
        <v>2786</v>
      </c>
      <c r="F36">
        <v>1.98</v>
      </c>
      <c r="G36" t="s">
        <v>2787</v>
      </c>
      <c r="H36" t="s">
        <v>276</v>
      </c>
      <c r="J36" t="s">
        <v>276</v>
      </c>
      <c r="K36" t="s">
        <v>276</v>
      </c>
    </row>
    <row r="37" spans="2:11" hidden="1">
      <c r="B37" t="s">
        <v>176</v>
      </c>
      <c r="C37" t="s">
        <v>177</v>
      </c>
      <c r="D37" t="s">
        <v>2788</v>
      </c>
      <c r="E37" t="s">
        <v>2789</v>
      </c>
      <c r="F37">
        <v>2</v>
      </c>
      <c r="G37" t="s">
        <v>2790</v>
      </c>
      <c r="H37" t="s">
        <v>276</v>
      </c>
      <c r="J37" t="s">
        <v>276</v>
      </c>
      <c r="K37" t="s">
        <v>276</v>
      </c>
    </row>
    <row r="38" spans="2:11" hidden="1">
      <c r="B38" t="s">
        <v>182</v>
      </c>
      <c r="C38" t="s">
        <v>183</v>
      </c>
      <c r="D38" t="s">
        <v>2791</v>
      </c>
      <c r="E38" t="s">
        <v>2792</v>
      </c>
      <c r="F38">
        <v>0.32</v>
      </c>
      <c r="G38" t="s">
        <v>2793</v>
      </c>
      <c r="H38" t="s">
        <v>276</v>
      </c>
      <c r="J38" t="s">
        <v>276</v>
      </c>
      <c r="K38" t="s">
        <v>276</v>
      </c>
    </row>
    <row r="39" spans="2:11" hidden="1">
      <c r="B39" t="s">
        <v>208</v>
      </c>
      <c r="C39" t="s">
        <v>209</v>
      </c>
      <c r="D39" t="s">
        <v>2794</v>
      </c>
      <c r="E39" t="s">
        <v>2795</v>
      </c>
      <c r="F39">
        <v>1.75</v>
      </c>
      <c r="G39" t="s">
        <v>2796</v>
      </c>
      <c r="H39" t="s">
        <v>276</v>
      </c>
      <c r="J39" t="s">
        <v>276</v>
      </c>
      <c r="K39" t="s">
        <v>276</v>
      </c>
    </row>
    <row r="40" spans="2:11" hidden="1">
      <c r="B40" t="s">
        <v>210</v>
      </c>
      <c r="C40" t="s">
        <v>211</v>
      </c>
      <c r="D40" t="s">
        <v>2797</v>
      </c>
      <c r="E40" t="s">
        <v>2798</v>
      </c>
      <c r="F40">
        <v>1.75</v>
      </c>
      <c r="G40" t="s">
        <v>2799</v>
      </c>
      <c r="H40" t="s">
        <v>276</v>
      </c>
      <c r="J40" t="s">
        <v>276</v>
      </c>
      <c r="K40" t="s">
        <v>276</v>
      </c>
    </row>
    <row r="41" spans="2:11" hidden="1">
      <c r="B41" t="s">
        <v>235</v>
      </c>
      <c r="C41" t="s">
        <v>234</v>
      </c>
      <c r="D41" t="s">
        <v>2800</v>
      </c>
      <c r="E41" t="s">
        <v>2801</v>
      </c>
      <c r="F41">
        <v>1.1000000000000001</v>
      </c>
      <c r="G41" t="s">
        <v>2802</v>
      </c>
      <c r="H41" t="s">
        <v>276</v>
      </c>
      <c r="J41" t="s">
        <v>276</v>
      </c>
      <c r="K41" t="s">
        <v>276</v>
      </c>
    </row>
    <row r="42" spans="2:11" hidden="1">
      <c r="B42" t="s">
        <v>233</v>
      </c>
      <c r="C42" t="s">
        <v>234</v>
      </c>
      <c r="D42" t="s">
        <v>2803</v>
      </c>
      <c r="E42" t="s">
        <v>2804</v>
      </c>
      <c r="F42">
        <v>1.1000000000000001</v>
      </c>
      <c r="G42" t="s">
        <v>2805</v>
      </c>
      <c r="H42" t="s">
        <v>276</v>
      </c>
      <c r="J42" t="s">
        <v>276</v>
      </c>
      <c r="K42" t="s">
        <v>276</v>
      </c>
    </row>
    <row r="43" spans="2:11" hidden="1">
      <c r="B43" t="s">
        <v>271</v>
      </c>
      <c r="C43" t="s">
        <v>272</v>
      </c>
      <c r="D43" t="s">
        <v>2806</v>
      </c>
      <c r="E43" t="s">
        <v>2807</v>
      </c>
      <c r="F43">
        <v>1.22</v>
      </c>
      <c r="G43" t="s">
        <v>2808</v>
      </c>
      <c r="H43" t="s">
        <v>276</v>
      </c>
      <c r="J43" t="s">
        <v>276</v>
      </c>
      <c r="K43" t="s">
        <v>276</v>
      </c>
    </row>
    <row r="44" spans="2:11" hidden="1">
      <c r="B44" t="s">
        <v>661</v>
      </c>
      <c r="C44" t="s">
        <v>183</v>
      </c>
      <c r="D44" t="s">
        <v>2809</v>
      </c>
      <c r="E44" t="s">
        <v>2810</v>
      </c>
      <c r="F44">
        <v>0.37</v>
      </c>
      <c r="G44" t="s">
        <v>2811</v>
      </c>
      <c r="H44" t="s">
        <v>276</v>
      </c>
      <c r="J44" t="s">
        <v>276</v>
      </c>
      <c r="K44" t="s">
        <v>276</v>
      </c>
    </row>
    <row r="45" spans="2:11" hidden="1">
      <c r="B45" t="s">
        <v>191</v>
      </c>
      <c r="C45" t="s">
        <v>183</v>
      </c>
      <c r="D45" t="s">
        <v>2812</v>
      </c>
      <c r="E45" t="s">
        <v>2813</v>
      </c>
      <c r="F45">
        <v>0.25</v>
      </c>
      <c r="G45" t="s">
        <v>2814</v>
      </c>
      <c r="H45" t="s">
        <v>276</v>
      </c>
      <c r="J45" t="s">
        <v>276</v>
      </c>
      <c r="K45" t="s">
        <v>276</v>
      </c>
    </row>
    <row r="46" spans="2:11">
      <c r="B46" t="s">
        <v>84</v>
      </c>
      <c r="C46" t="s">
        <v>190</v>
      </c>
      <c r="D46" t="s">
        <v>2815</v>
      </c>
      <c r="E46" t="s">
        <v>2816</v>
      </c>
      <c r="F46">
        <v>8.9</v>
      </c>
      <c r="G46" t="s">
        <v>2817</v>
      </c>
      <c r="H46" t="s">
        <v>274</v>
      </c>
      <c r="J46" t="s">
        <v>274</v>
      </c>
      <c r="K46" t="s">
        <v>274</v>
      </c>
    </row>
    <row r="47" spans="2:11" hidden="1">
      <c r="B47" t="s">
        <v>184</v>
      </c>
      <c r="C47" t="s">
        <v>185</v>
      </c>
      <c r="D47" t="s">
        <v>2818</v>
      </c>
      <c r="E47" t="s">
        <v>2819</v>
      </c>
      <c r="F47">
        <v>14.68</v>
      </c>
      <c r="G47" t="s">
        <v>2820</v>
      </c>
      <c r="H47" t="s">
        <v>274</v>
      </c>
      <c r="J47" t="s">
        <v>274</v>
      </c>
      <c r="K47" t="s">
        <v>274</v>
      </c>
    </row>
    <row r="48" spans="2:11" hidden="1">
      <c r="B48" t="s">
        <v>170</v>
      </c>
      <c r="C48" t="s">
        <v>171</v>
      </c>
      <c r="D48" t="s">
        <v>2821</v>
      </c>
      <c r="E48" t="s">
        <v>2822</v>
      </c>
      <c r="F48">
        <v>1.07</v>
      </c>
      <c r="G48" t="s">
        <v>2823</v>
      </c>
      <c r="H48" t="s">
        <v>277</v>
      </c>
      <c r="J48" t="s">
        <v>277</v>
      </c>
      <c r="K48" t="s">
        <v>277</v>
      </c>
    </row>
    <row r="49" spans="2:11" hidden="1">
      <c r="B49" t="s">
        <v>166</v>
      </c>
      <c r="C49" t="s">
        <v>167</v>
      </c>
      <c r="D49" t="s">
        <v>2824</v>
      </c>
      <c r="E49" t="s">
        <v>2825</v>
      </c>
      <c r="F49">
        <v>0.17</v>
      </c>
      <c r="G49" t="s">
        <v>2826</v>
      </c>
      <c r="H49" t="s">
        <v>278</v>
      </c>
      <c r="J49" t="s">
        <v>278</v>
      </c>
      <c r="K49" t="s">
        <v>278</v>
      </c>
    </row>
    <row r="50" spans="2:11" hidden="1">
      <c r="B50" t="s">
        <v>163</v>
      </c>
      <c r="C50" t="s">
        <v>164</v>
      </c>
      <c r="D50" t="s">
        <v>2827</v>
      </c>
      <c r="E50" t="s">
        <v>2828</v>
      </c>
      <c r="F50">
        <v>0.2</v>
      </c>
      <c r="G50" t="s">
        <v>2829</v>
      </c>
      <c r="H50" t="s">
        <v>278</v>
      </c>
      <c r="J50" t="s">
        <v>278</v>
      </c>
      <c r="K50" t="s">
        <v>278</v>
      </c>
    </row>
    <row r="51" spans="2:11" hidden="1">
      <c r="B51" t="s">
        <v>165</v>
      </c>
      <c r="C51" t="s">
        <v>164</v>
      </c>
      <c r="D51" t="s">
        <v>2830</v>
      </c>
      <c r="E51" t="s">
        <v>2831</v>
      </c>
      <c r="F51">
        <v>0.22</v>
      </c>
      <c r="G51" t="s">
        <v>2832</v>
      </c>
      <c r="H51" t="s">
        <v>278</v>
      </c>
      <c r="J51" t="s">
        <v>278</v>
      </c>
      <c r="K51" t="s">
        <v>278</v>
      </c>
    </row>
    <row r="52" spans="2:11" hidden="1">
      <c r="B52" t="s">
        <v>284</v>
      </c>
      <c r="C52" t="s">
        <v>285</v>
      </c>
      <c r="D52" t="s">
        <v>2833</v>
      </c>
      <c r="E52" t="s">
        <v>2834</v>
      </c>
      <c r="F52">
        <v>14.5</v>
      </c>
      <c r="G52" t="s">
        <v>2835</v>
      </c>
      <c r="H52" t="s">
        <v>277</v>
      </c>
      <c r="J52" t="s">
        <v>277</v>
      </c>
      <c r="K52" t="s">
        <v>277</v>
      </c>
    </row>
    <row r="53" spans="2:11" hidden="1">
      <c r="B53" t="s">
        <v>172</v>
      </c>
      <c r="C53" t="s">
        <v>173</v>
      </c>
      <c r="D53" t="s">
        <v>2836</v>
      </c>
      <c r="E53" t="s">
        <v>2837</v>
      </c>
      <c r="F53">
        <v>0.3</v>
      </c>
      <c r="G53" t="s">
        <v>2838</v>
      </c>
      <c r="H53" t="s">
        <v>276</v>
      </c>
      <c r="J53" t="s">
        <v>276</v>
      </c>
      <c r="K53" t="s">
        <v>276</v>
      </c>
    </row>
    <row r="54" spans="2:11" hidden="1">
      <c r="B54" t="s">
        <v>236</v>
      </c>
      <c r="C54" t="s">
        <v>237</v>
      </c>
      <c r="D54" t="s">
        <v>2839</v>
      </c>
      <c r="E54" t="s">
        <v>2840</v>
      </c>
      <c r="F54">
        <v>22.95</v>
      </c>
      <c r="G54" t="s">
        <v>2841</v>
      </c>
      <c r="H54" t="s">
        <v>274</v>
      </c>
      <c r="J54" t="s">
        <v>274</v>
      </c>
      <c r="K54" t="s">
        <v>274</v>
      </c>
    </row>
    <row r="55" spans="2:11" hidden="1">
      <c r="B55" t="s">
        <v>257</v>
      </c>
      <c r="C55" t="s">
        <v>252</v>
      </c>
      <c r="D55" t="s">
        <v>2842</v>
      </c>
      <c r="E55" t="s">
        <v>2843</v>
      </c>
      <c r="F55">
        <v>7.62</v>
      </c>
      <c r="G55" t="s">
        <v>2844</v>
      </c>
      <c r="H55" t="s">
        <v>277</v>
      </c>
      <c r="J55" t="s">
        <v>277</v>
      </c>
      <c r="K55" t="s">
        <v>277</v>
      </c>
    </row>
    <row r="56" spans="2:11" hidden="1">
      <c r="B56" t="s">
        <v>251</v>
      </c>
      <c r="C56" t="s">
        <v>252</v>
      </c>
      <c r="D56" t="s">
        <v>2845</v>
      </c>
      <c r="E56" t="s">
        <v>2846</v>
      </c>
      <c r="F56">
        <v>7.6</v>
      </c>
      <c r="G56" t="s">
        <v>2847</v>
      </c>
      <c r="H56" t="s">
        <v>277</v>
      </c>
      <c r="J56" t="s">
        <v>277</v>
      </c>
      <c r="K56" t="s">
        <v>277</v>
      </c>
    </row>
    <row r="57" spans="2:11" hidden="1">
      <c r="B57" t="s">
        <v>253</v>
      </c>
      <c r="C57" t="s">
        <v>252</v>
      </c>
      <c r="D57" t="s">
        <v>2848</v>
      </c>
      <c r="E57" t="s">
        <v>2849</v>
      </c>
      <c r="F57">
        <v>7.58</v>
      </c>
      <c r="G57" t="s">
        <v>2850</v>
      </c>
      <c r="H57" t="s">
        <v>277</v>
      </c>
      <c r="J57" t="s">
        <v>277</v>
      </c>
      <c r="K57" t="s">
        <v>277</v>
      </c>
    </row>
    <row r="58" spans="2:11" hidden="1">
      <c r="B58" t="s">
        <v>254</v>
      </c>
      <c r="C58" t="s">
        <v>252</v>
      </c>
      <c r="D58" t="s">
        <v>2851</v>
      </c>
      <c r="E58" t="s">
        <v>2852</v>
      </c>
      <c r="F58">
        <v>7.58</v>
      </c>
      <c r="G58" t="s">
        <v>2853</v>
      </c>
      <c r="H58" t="s">
        <v>277</v>
      </c>
      <c r="J58" t="s">
        <v>277</v>
      </c>
      <c r="K58" t="s">
        <v>277</v>
      </c>
    </row>
    <row r="59" spans="2:11" hidden="1">
      <c r="B59" t="s">
        <v>298</v>
      </c>
      <c r="C59" t="s">
        <v>299</v>
      </c>
      <c r="D59" t="s">
        <v>2854</v>
      </c>
      <c r="E59" t="s">
        <v>2855</v>
      </c>
      <c r="F59">
        <v>2.67</v>
      </c>
      <c r="G59" t="s">
        <v>2856</v>
      </c>
      <c r="H59" t="s">
        <v>278</v>
      </c>
      <c r="J59" t="s">
        <v>278</v>
      </c>
      <c r="K59" t="s">
        <v>278</v>
      </c>
    </row>
    <row r="60" spans="2:11" hidden="1">
      <c r="B60" t="s">
        <v>186</v>
      </c>
      <c r="C60" t="s">
        <v>187</v>
      </c>
      <c r="D60" t="s">
        <v>2857</v>
      </c>
      <c r="E60" t="s">
        <v>2858</v>
      </c>
      <c r="F60">
        <v>0.15</v>
      </c>
      <c r="G60" t="s">
        <v>2859</v>
      </c>
      <c r="H60" t="s">
        <v>276</v>
      </c>
      <c r="J60" t="s">
        <v>276</v>
      </c>
      <c r="K60" t="s">
        <v>276</v>
      </c>
    </row>
    <row r="61" spans="2:11" hidden="1">
      <c r="B61" t="s">
        <v>168</v>
      </c>
      <c r="C61" t="s">
        <v>169</v>
      </c>
      <c r="D61" t="s">
        <v>2860</v>
      </c>
      <c r="E61" t="s">
        <v>2861</v>
      </c>
      <c r="F61">
        <v>0.08</v>
      </c>
      <c r="G61" t="s">
        <v>2862</v>
      </c>
      <c r="H61" t="s">
        <v>276</v>
      </c>
      <c r="J61" t="s">
        <v>276</v>
      </c>
      <c r="K61" t="s">
        <v>276</v>
      </c>
    </row>
    <row r="62" spans="2:11" hidden="1">
      <c r="B62" t="s">
        <v>220</v>
      </c>
      <c r="C62" t="s">
        <v>221</v>
      </c>
      <c r="D62" t="s">
        <v>2863</v>
      </c>
      <c r="E62" t="s">
        <v>2864</v>
      </c>
      <c r="F62">
        <v>16.25</v>
      </c>
      <c r="G62" t="s">
        <v>2865</v>
      </c>
      <c r="H62" t="s">
        <v>294</v>
      </c>
      <c r="J62" t="s">
        <v>294</v>
      </c>
      <c r="K62" t="s">
        <v>294</v>
      </c>
    </row>
    <row r="63" spans="2:11" hidden="1">
      <c r="B63" t="s">
        <v>240</v>
      </c>
      <c r="C63" t="s">
        <v>241</v>
      </c>
      <c r="D63" t="s">
        <v>2866</v>
      </c>
      <c r="E63" t="s">
        <v>2867</v>
      </c>
      <c r="F63">
        <v>9.7200000000000006</v>
      </c>
      <c r="G63" t="s">
        <v>2868</v>
      </c>
      <c r="H63" t="s">
        <v>277</v>
      </c>
      <c r="J63" t="s">
        <v>277</v>
      </c>
      <c r="K63" t="s">
        <v>277</v>
      </c>
    </row>
    <row r="64" spans="2:11" hidden="1">
      <c r="B64" t="s">
        <v>219</v>
      </c>
      <c r="C64" t="s">
        <v>183</v>
      </c>
      <c r="D64" t="s">
        <v>2869</v>
      </c>
      <c r="E64" t="s">
        <v>2870</v>
      </c>
      <c r="F64">
        <v>2.82</v>
      </c>
      <c r="G64" t="s">
        <v>2871</v>
      </c>
      <c r="H64" t="s">
        <v>286</v>
      </c>
      <c r="J64" t="s">
        <v>286</v>
      </c>
      <c r="K64" t="s">
        <v>286</v>
      </c>
    </row>
    <row r="65" spans="2:11" hidden="1">
      <c r="B65" t="s">
        <v>283</v>
      </c>
      <c r="C65" t="s">
        <v>234</v>
      </c>
      <c r="D65" t="s">
        <v>2872</v>
      </c>
      <c r="E65" t="s">
        <v>2873</v>
      </c>
      <c r="F65">
        <v>2.35</v>
      </c>
      <c r="G65" t="s">
        <v>2874</v>
      </c>
      <c r="H65" t="s">
        <v>294</v>
      </c>
      <c r="J65" t="s">
        <v>294</v>
      </c>
      <c r="K65" t="s">
        <v>294</v>
      </c>
    </row>
    <row r="66" spans="2:11" hidden="1">
      <c r="B66" t="s">
        <v>215</v>
      </c>
      <c r="C66" t="s">
        <v>216</v>
      </c>
      <c r="D66" t="s">
        <v>2875</v>
      </c>
      <c r="E66" t="s">
        <v>2876</v>
      </c>
      <c r="F66">
        <v>17.23</v>
      </c>
      <c r="G66" t="s">
        <v>2877</v>
      </c>
      <c r="H66" t="s">
        <v>274</v>
      </c>
      <c r="J66" t="s">
        <v>274</v>
      </c>
      <c r="K66" t="s">
        <v>274</v>
      </c>
    </row>
    <row r="67" spans="2:11" hidden="1">
      <c r="B67" t="s">
        <v>257</v>
      </c>
      <c r="C67" t="s">
        <v>252</v>
      </c>
      <c r="D67" t="s">
        <v>2878</v>
      </c>
      <c r="E67" t="s">
        <v>2879</v>
      </c>
      <c r="F67">
        <v>3.2</v>
      </c>
      <c r="G67" t="s">
        <v>2880</v>
      </c>
      <c r="H67" t="s">
        <v>286</v>
      </c>
      <c r="J67" t="s">
        <v>286</v>
      </c>
      <c r="K67" t="s">
        <v>286</v>
      </c>
    </row>
    <row r="68" spans="2:11" hidden="1">
      <c r="B68" t="s">
        <v>253</v>
      </c>
      <c r="C68" t="s">
        <v>252</v>
      </c>
      <c r="D68" t="s">
        <v>2881</v>
      </c>
      <c r="E68" t="s">
        <v>2882</v>
      </c>
      <c r="F68">
        <v>3.2</v>
      </c>
      <c r="G68" t="s">
        <v>2883</v>
      </c>
      <c r="H68" t="s">
        <v>286</v>
      </c>
      <c r="J68" t="s">
        <v>286</v>
      </c>
      <c r="K68" t="s">
        <v>286</v>
      </c>
    </row>
    <row r="69" spans="2:11" hidden="1">
      <c r="B69" t="s">
        <v>254</v>
      </c>
      <c r="C69" t="s">
        <v>252</v>
      </c>
      <c r="D69" t="s">
        <v>2884</v>
      </c>
      <c r="E69" t="s">
        <v>2885</v>
      </c>
      <c r="F69">
        <v>3.18</v>
      </c>
      <c r="G69" t="s">
        <v>2886</v>
      </c>
      <c r="H69" t="s">
        <v>286</v>
      </c>
      <c r="J69" t="s">
        <v>286</v>
      </c>
      <c r="K69" t="s">
        <v>286</v>
      </c>
    </row>
    <row r="70" spans="2:11" hidden="1">
      <c r="B70" t="s">
        <v>290</v>
      </c>
      <c r="C70" t="s">
        <v>291</v>
      </c>
      <c r="D70" t="s">
        <v>2887</v>
      </c>
      <c r="E70" t="s">
        <v>2888</v>
      </c>
      <c r="F70">
        <v>2.08</v>
      </c>
      <c r="G70" t="s">
        <v>2889</v>
      </c>
      <c r="H70" t="s">
        <v>277</v>
      </c>
      <c r="J70" t="s">
        <v>277</v>
      </c>
      <c r="K70" t="s">
        <v>277</v>
      </c>
    </row>
    <row r="71" spans="2:11" hidden="1">
      <c r="B71" t="s">
        <v>170</v>
      </c>
      <c r="C71" t="s">
        <v>171</v>
      </c>
      <c r="D71" t="s">
        <v>2890</v>
      </c>
      <c r="E71" t="s">
        <v>2891</v>
      </c>
      <c r="F71">
        <v>0.43</v>
      </c>
      <c r="G71" t="s">
        <v>2892</v>
      </c>
      <c r="H71" t="s">
        <v>276</v>
      </c>
      <c r="J71" t="s">
        <v>276</v>
      </c>
      <c r="K71" t="s">
        <v>276</v>
      </c>
    </row>
    <row r="72" spans="2:11" hidden="1">
      <c r="B72" t="s">
        <v>199</v>
      </c>
      <c r="C72" t="s">
        <v>200</v>
      </c>
      <c r="D72" t="s">
        <v>2893</v>
      </c>
      <c r="E72" t="s">
        <v>2894</v>
      </c>
      <c r="F72">
        <v>8.93</v>
      </c>
      <c r="G72" t="s">
        <v>2895</v>
      </c>
      <c r="H72" t="s">
        <v>278</v>
      </c>
      <c r="J72" t="s">
        <v>278</v>
      </c>
      <c r="K72" t="s">
        <v>278</v>
      </c>
    </row>
    <row r="73" spans="2:11" hidden="1">
      <c r="B73" t="s">
        <v>251</v>
      </c>
      <c r="C73" t="s">
        <v>252</v>
      </c>
      <c r="D73" t="s">
        <v>2896</v>
      </c>
      <c r="E73" t="s">
        <v>2897</v>
      </c>
      <c r="F73">
        <v>17.22</v>
      </c>
      <c r="G73" t="s">
        <v>2898</v>
      </c>
      <c r="H73" t="s">
        <v>274</v>
      </c>
      <c r="J73" t="s">
        <v>274</v>
      </c>
      <c r="K73" t="s">
        <v>274</v>
      </c>
    </row>
    <row r="74" spans="2:11" hidden="1">
      <c r="B74" t="s">
        <v>218</v>
      </c>
      <c r="C74" t="s">
        <v>177</v>
      </c>
      <c r="D74" t="s">
        <v>2899</v>
      </c>
      <c r="E74" t="s">
        <v>2900</v>
      </c>
      <c r="F74">
        <v>6.63</v>
      </c>
      <c r="G74" t="s">
        <v>2901</v>
      </c>
      <c r="H74" t="s">
        <v>278</v>
      </c>
      <c r="J74" t="s">
        <v>278</v>
      </c>
      <c r="K74" t="s">
        <v>278</v>
      </c>
    </row>
    <row r="75" spans="2:11" hidden="1">
      <c r="B75" t="s">
        <v>212</v>
      </c>
      <c r="C75" t="s">
        <v>213</v>
      </c>
      <c r="D75" t="s">
        <v>2902</v>
      </c>
      <c r="E75" t="s">
        <v>2903</v>
      </c>
      <c r="F75">
        <v>6.57</v>
      </c>
      <c r="G75" t="s">
        <v>2904</v>
      </c>
      <c r="H75" t="s">
        <v>278</v>
      </c>
      <c r="J75" t="s">
        <v>278</v>
      </c>
      <c r="K75" t="s">
        <v>278</v>
      </c>
    </row>
    <row r="76" spans="2:11">
      <c r="B76" t="s">
        <v>81</v>
      </c>
      <c r="C76" t="s">
        <v>289</v>
      </c>
      <c r="D76" t="s">
        <v>2905</v>
      </c>
      <c r="E76" t="s">
        <v>2906</v>
      </c>
      <c r="F76">
        <v>21.55</v>
      </c>
      <c r="G76" t="s">
        <v>2907</v>
      </c>
      <c r="H76" t="s">
        <v>277</v>
      </c>
      <c r="J76" t="s">
        <v>277</v>
      </c>
      <c r="K76" t="s">
        <v>277</v>
      </c>
    </row>
    <row r="77" spans="2:11" hidden="1">
      <c r="B77" t="s">
        <v>186</v>
      </c>
      <c r="C77" t="s">
        <v>187</v>
      </c>
      <c r="D77" t="s">
        <v>2908</v>
      </c>
      <c r="E77" t="s">
        <v>2909</v>
      </c>
      <c r="F77">
        <v>0.57999999999999996</v>
      </c>
      <c r="G77" t="s">
        <v>2910</v>
      </c>
      <c r="H77" t="s">
        <v>278</v>
      </c>
      <c r="J77" t="s">
        <v>278</v>
      </c>
      <c r="K77" t="s">
        <v>278</v>
      </c>
    </row>
    <row r="78" spans="2:11" hidden="1">
      <c r="B78" t="s">
        <v>172</v>
      </c>
      <c r="C78" t="s">
        <v>173</v>
      </c>
      <c r="D78" t="s">
        <v>2911</v>
      </c>
      <c r="E78" t="s">
        <v>2912</v>
      </c>
      <c r="F78">
        <v>0.98</v>
      </c>
      <c r="G78" t="s">
        <v>2913</v>
      </c>
      <c r="H78" t="s">
        <v>278</v>
      </c>
      <c r="J78" t="s">
        <v>278</v>
      </c>
      <c r="K78" t="s">
        <v>278</v>
      </c>
    </row>
    <row r="79" spans="2:11" hidden="1">
      <c r="B79" t="s">
        <v>168</v>
      </c>
      <c r="C79" t="s">
        <v>169</v>
      </c>
      <c r="D79" t="s">
        <v>2914</v>
      </c>
      <c r="E79" t="s">
        <v>2915</v>
      </c>
      <c r="F79">
        <v>0.5</v>
      </c>
      <c r="G79" t="s">
        <v>2916</v>
      </c>
      <c r="H79" t="s">
        <v>278</v>
      </c>
      <c r="J79" t="s">
        <v>278</v>
      </c>
      <c r="K79" t="s">
        <v>278</v>
      </c>
    </row>
    <row r="80" spans="2:11" hidden="1">
      <c r="B80" t="s">
        <v>562</v>
      </c>
      <c r="C80" t="s">
        <v>563</v>
      </c>
      <c r="D80" t="s">
        <v>2917</v>
      </c>
      <c r="E80" t="s">
        <v>2918</v>
      </c>
      <c r="F80">
        <v>0.6</v>
      </c>
      <c r="G80" t="s">
        <v>2919</v>
      </c>
      <c r="H80" t="s">
        <v>278</v>
      </c>
      <c r="J80" t="s">
        <v>278</v>
      </c>
      <c r="K80" t="s">
        <v>278</v>
      </c>
    </row>
    <row r="81" spans="2:11" hidden="1">
      <c r="B81" t="s">
        <v>166</v>
      </c>
      <c r="C81" t="s">
        <v>167</v>
      </c>
      <c r="D81" t="s">
        <v>2920</v>
      </c>
      <c r="E81" t="s">
        <v>2921</v>
      </c>
      <c r="F81">
        <v>0.15</v>
      </c>
      <c r="G81" t="s">
        <v>2922</v>
      </c>
      <c r="H81" t="s">
        <v>277</v>
      </c>
      <c r="J81" t="s">
        <v>277</v>
      </c>
      <c r="K81" t="s">
        <v>277</v>
      </c>
    </row>
    <row r="82" spans="2:11" hidden="1">
      <c r="B82" t="s">
        <v>163</v>
      </c>
      <c r="C82" t="s">
        <v>164</v>
      </c>
      <c r="D82" t="s">
        <v>2923</v>
      </c>
      <c r="E82" t="s">
        <v>2924</v>
      </c>
      <c r="F82">
        <v>0.18</v>
      </c>
      <c r="G82" t="s">
        <v>2925</v>
      </c>
      <c r="H82" t="s">
        <v>277</v>
      </c>
      <c r="J82" t="s">
        <v>277</v>
      </c>
      <c r="K82" t="s">
        <v>277</v>
      </c>
    </row>
    <row r="83" spans="2:11" hidden="1">
      <c r="B83" t="s">
        <v>165</v>
      </c>
      <c r="C83" t="s">
        <v>164</v>
      </c>
      <c r="D83" t="s">
        <v>2926</v>
      </c>
      <c r="E83" t="s">
        <v>2927</v>
      </c>
      <c r="F83">
        <v>0.18</v>
      </c>
      <c r="G83" t="s">
        <v>2928</v>
      </c>
      <c r="H83" t="s">
        <v>277</v>
      </c>
      <c r="J83" t="s">
        <v>277</v>
      </c>
      <c r="K83" t="s">
        <v>277</v>
      </c>
    </row>
    <row r="84" spans="2:11" hidden="1">
      <c r="B84" t="s">
        <v>184</v>
      </c>
      <c r="C84" t="s">
        <v>185</v>
      </c>
      <c r="D84" t="s">
        <v>2929</v>
      </c>
      <c r="E84" t="s">
        <v>2930</v>
      </c>
      <c r="F84">
        <v>7.93</v>
      </c>
      <c r="G84" t="s">
        <v>2931</v>
      </c>
      <c r="H84" t="s">
        <v>294</v>
      </c>
      <c r="J84" t="s">
        <v>294</v>
      </c>
      <c r="K84" t="s">
        <v>294</v>
      </c>
    </row>
    <row r="85" spans="2:11">
      <c r="B85" t="s">
        <v>82</v>
      </c>
      <c r="C85" t="s">
        <v>217</v>
      </c>
      <c r="D85" t="s">
        <v>2932</v>
      </c>
      <c r="E85" t="s">
        <v>2933</v>
      </c>
      <c r="F85">
        <v>19.25</v>
      </c>
      <c r="G85" t="s">
        <v>2934</v>
      </c>
      <c r="H85" t="s">
        <v>286</v>
      </c>
      <c r="J85" t="s">
        <v>286</v>
      </c>
      <c r="K85" t="s">
        <v>286</v>
      </c>
    </row>
    <row r="86" spans="2:11" hidden="1">
      <c r="B86" t="s">
        <v>180</v>
      </c>
      <c r="C86" t="s">
        <v>181</v>
      </c>
      <c r="D86" t="s">
        <v>2935</v>
      </c>
      <c r="E86" t="s">
        <v>2936</v>
      </c>
      <c r="F86">
        <v>13.6</v>
      </c>
      <c r="G86" t="s">
        <v>2937</v>
      </c>
      <c r="H86" t="s">
        <v>277</v>
      </c>
      <c r="J86" t="s">
        <v>277</v>
      </c>
      <c r="K86" t="s">
        <v>277</v>
      </c>
    </row>
    <row r="87" spans="2:11" hidden="1">
      <c r="B87" t="s">
        <v>170</v>
      </c>
      <c r="C87" t="s">
        <v>171</v>
      </c>
      <c r="D87" t="s">
        <v>2938</v>
      </c>
      <c r="E87" t="s">
        <v>2939</v>
      </c>
      <c r="F87">
        <v>0.33</v>
      </c>
      <c r="G87" t="s">
        <v>2940</v>
      </c>
      <c r="H87" t="s">
        <v>274</v>
      </c>
      <c r="J87" t="s">
        <v>274</v>
      </c>
      <c r="K87" t="s">
        <v>274</v>
      </c>
    </row>
    <row r="88" spans="2:11">
      <c r="B88" t="s">
        <v>83</v>
      </c>
      <c r="C88" t="s">
        <v>201</v>
      </c>
      <c r="D88" t="s">
        <v>2941</v>
      </c>
      <c r="E88" t="s">
        <v>2942</v>
      </c>
      <c r="F88">
        <v>7.43</v>
      </c>
      <c r="G88" t="s">
        <v>2943</v>
      </c>
      <c r="H88" t="s">
        <v>294</v>
      </c>
      <c r="J88" t="s">
        <v>294</v>
      </c>
      <c r="K88" t="s">
        <v>294</v>
      </c>
    </row>
    <row r="89" spans="2:11" hidden="1">
      <c r="B89" t="s">
        <v>188</v>
      </c>
      <c r="C89" t="s">
        <v>189</v>
      </c>
      <c r="D89" t="s">
        <v>2944</v>
      </c>
      <c r="E89" t="s">
        <v>2945</v>
      </c>
      <c r="F89">
        <v>9.0500000000000007</v>
      </c>
      <c r="G89" t="s">
        <v>2946</v>
      </c>
      <c r="H89" t="s">
        <v>294</v>
      </c>
      <c r="J89" t="s">
        <v>294</v>
      </c>
      <c r="K89" t="s">
        <v>294</v>
      </c>
    </row>
    <row r="90" spans="2:11" hidden="1">
      <c r="B90" t="s">
        <v>238</v>
      </c>
      <c r="C90" t="s">
        <v>239</v>
      </c>
      <c r="D90" t="s">
        <v>2947</v>
      </c>
      <c r="E90" t="s">
        <v>2948</v>
      </c>
      <c r="F90">
        <v>11.43</v>
      </c>
      <c r="G90" t="s">
        <v>2949</v>
      </c>
      <c r="H90" t="s">
        <v>286</v>
      </c>
      <c r="J90" t="s">
        <v>286</v>
      </c>
      <c r="K90" t="s">
        <v>286</v>
      </c>
    </row>
    <row r="91" spans="2:11">
      <c r="B91" t="s">
        <v>85</v>
      </c>
      <c r="C91" t="s">
        <v>226</v>
      </c>
      <c r="D91" t="s">
        <v>2950</v>
      </c>
      <c r="E91" t="s">
        <v>2951</v>
      </c>
      <c r="F91">
        <v>8.33</v>
      </c>
      <c r="G91" t="s">
        <v>2952</v>
      </c>
      <c r="H91" t="s">
        <v>277</v>
      </c>
      <c r="J91" t="s">
        <v>277</v>
      </c>
      <c r="K91" t="s">
        <v>277</v>
      </c>
    </row>
    <row r="92" spans="2:11" hidden="1">
      <c r="B92" t="s">
        <v>326</v>
      </c>
      <c r="C92" t="s">
        <v>327</v>
      </c>
      <c r="D92" t="s">
        <v>2953</v>
      </c>
      <c r="E92" t="s">
        <v>2954</v>
      </c>
      <c r="F92">
        <v>2.65</v>
      </c>
      <c r="G92" t="s">
        <v>2955</v>
      </c>
      <c r="H92" t="s">
        <v>294</v>
      </c>
      <c r="J92" t="s">
        <v>294</v>
      </c>
      <c r="K92" t="s">
        <v>294</v>
      </c>
    </row>
    <row r="93" spans="2:11" hidden="1">
      <c r="B93" t="s">
        <v>195</v>
      </c>
      <c r="C93" t="s">
        <v>196</v>
      </c>
      <c r="D93" t="s">
        <v>2956</v>
      </c>
      <c r="E93" t="s">
        <v>2957</v>
      </c>
      <c r="F93">
        <v>16.829999999999998</v>
      </c>
      <c r="G93" t="s">
        <v>2958</v>
      </c>
      <c r="H93" t="s">
        <v>274</v>
      </c>
      <c r="J93" t="s">
        <v>274</v>
      </c>
      <c r="K93" t="s">
        <v>274</v>
      </c>
    </row>
    <row r="94" spans="2:11" hidden="1">
      <c r="B94" t="s">
        <v>236</v>
      </c>
      <c r="C94" t="s">
        <v>237</v>
      </c>
      <c r="D94" t="s">
        <v>2959</v>
      </c>
      <c r="E94" t="s">
        <v>2960</v>
      </c>
      <c r="F94">
        <v>9.27</v>
      </c>
      <c r="G94" t="s">
        <v>2961</v>
      </c>
      <c r="H94" t="s">
        <v>277</v>
      </c>
      <c r="J94" t="s">
        <v>277</v>
      </c>
      <c r="K94" t="s">
        <v>277</v>
      </c>
    </row>
    <row r="95" spans="2:11" hidden="1">
      <c r="B95" t="s">
        <v>259</v>
      </c>
      <c r="C95" t="s">
        <v>260</v>
      </c>
      <c r="D95" t="s">
        <v>2962</v>
      </c>
      <c r="E95" t="s">
        <v>2963</v>
      </c>
      <c r="F95">
        <v>9.7200000000000006</v>
      </c>
      <c r="G95" t="s">
        <v>2964</v>
      </c>
      <c r="H95" t="s">
        <v>277</v>
      </c>
      <c r="J95" t="s">
        <v>277</v>
      </c>
      <c r="K95" t="s">
        <v>277</v>
      </c>
    </row>
    <row r="96" spans="2:11" hidden="1">
      <c r="B96" t="s">
        <v>186</v>
      </c>
      <c r="C96" t="s">
        <v>187</v>
      </c>
      <c r="D96" t="s">
        <v>2965</v>
      </c>
      <c r="E96" t="s">
        <v>2966</v>
      </c>
      <c r="F96">
        <v>0.3</v>
      </c>
      <c r="G96" t="s">
        <v>2967</v>
      </c>
      <c r="H96" t="s">
        <v>274</v>
      </c>
      <c r="J96" t="s">
        <v>274</v>
      </c>
      <c r="K96" t="s">
        <v>274</v>
      </c>
    </row>
    <row r="97" spans="2:11" hidden="1">
      <c r="B97" t="s">
        <v>316</v>
      </c>
      <c r="C97" t="s">
        <v>317</v>
      </c>
      <c r="D97" t="s">
        <v>2968</v>
      </c>
      <c r="E97" t="s">
        <v>2969</v>
      </c>
      <c r="F97">
        <v>2.15</v>
      </c>
      <c r="G97" t="s">
        <v>2970</v>
      </c>
      <c r="H97" t="s">
        <v>294</v>
      </c>
      <c r="J97" t="s">
        <v>294</v>
      </c>
      <c r="K97" t="s">
        <v>294</v>
      </c>
    </row>
    <row r="98" spans="2:11">
      <c r="B98" t="s">
        <v>84</v>
      </c>
      <c r="C98" t="s">
        <v>190</v>
      </c>
      <c r="D98" t="s">
        <v>2971</v>
      </c>
      <c r="E98" t="s">
        <v>2972</v>
      </c>
      <c r="F98">
        <v>20.82</v>
      </c>
      <c r="G98" t="s">
        <v>2973</v>
      </c>
      <c r="H98" t="s">
        <v>274</v>
      </c>
      <c r="J98" t="s">
        <v>274</v>
      </c>
      <c r="K98" t="s">
        <v>274</v>
      </c>
    </row>
    <row r="99" spans="2:11" hidden="1">
      <c r="B99" t="s">
        <v>168</v>
      </c>
      <c r="C99" t="s">
        <v>169</v>
      </c>
      <c r="D99" t="s">
        <v>2974</v>
      </c>
      <c r="E99" t="s">
        <v>2975</v>
      </c>
      <c r="F99">
        <v>0.18</v>
      </c>
      <c r="G99" t="s">
        <v>2976</v>
      </c>
      <c r="H99" t="s">
        <v>274</v>
      </c>
      <c r="J99" t="s">
        <v>274</v>
      </c>
      <c r="K99" t="s">
        <v>274</v>
      </c>
    </row>
    <row r="100" spans="2:11" hidden="1">
      <c r="B100" t="s">
        <v>170</v>
      </c>
      <c r="C100" t="s">
        <v>171</v>
      </c>
      <c r="D100" t="s">
        <v>2977</v>
      </c>
      <c r="E100" t="s">
        <v>2978</v>
      </c>
      <c r="F100">
        <v>0.68</v>
      </c>
      <c r="G100" t="s">
        <v>2979</v>
      </c>
      <c r="H100" t="s">
        <v>286</v>
      </c>
      <c r="J100" t="s">
        <v>286</v>
      </c>
      <c r="K100" t="s">
        <v>286</v>
      </c>
    </row>
    <row r="101" spans="2:11" hidden="1">
      <c r="B101" t="s">
        <v>163</v>
      </c>
      <c r="C101" t="s">
        <v>164</v>
      </c>
      <c r="D101" t="s">
        <v>2980</v>
      </c>
      <c r="E101" t="s">
        <v>2981</v>
      </c>
      <c r="F101">
        <v>0.18</v>
      </c>
      <c r="G101" t="s">
        <v>2982</v>
      </c>
      <c r="H101" t="s">
        <v>286</v>
      </c>
      <c r="J101" t="s">
        <v>286</v>
      </c>
      <c r="K101" t="s">
        <v>286</v>
      </c>
    </row>
    <row r="102" spans="2:11" hidden="1">
      <c r="B102" t="s">
        <v>165</v>
      </c>
      <c r="C102" t="s">
        <v>164</v>
      </c>
      <c r="D102" t="s">
        <v>2983</v>
      </c>
      <c r="E102" t="s">
        <v>2984</v>
      </c>
      <c r="F102">
        <v>0.27</v>
      </c>
      <c r="G102" t="s">
        <v>2985</v>
      </c>
      <c r="H102" t="s">
        <v>286</v>
      </c>
      <c r="J102" t="s">
        <v>286</v>
      </c>
      <c r="K102" t="s">
        <v>286</v>
      </c>
    </row>
    <row r="103" spans="2:11" hidden="1">
      <c r="B103" t="s">
        <v>166</v>
      </c>
      <c r="C103" t="s">
        <v>167</v>
      </c>
      <c r="D103" t="s">
        <v>2986</v>
      </c>
      <c r="E103" t="s">
        <v>2987</v>
      </c>
      <c r="F103">
        <v>0.42</v>
      </c>
      <c r="G103" t="s">
        <v>2988</v>
      </c>
      <c r="H103" t="s">
        <v>286</v>
      </c>
      <c r="J103" t="s">
        <v>286</v>
      </c>
      <c r="K103" t="s">
        <v>286</v>
      </c>
    </row>
    <row r="104" spans="2:11" hidden="1">
      <c r="B104" t="s">
        <v>320</v>
      </c>
      <c r="C104" t="s">
        <v>321</v>
      </c>
      <c r="D104" t="s">
        <v>2989</v>
      </c>
      <c r="E104" t="s">
        <v>2990</v>
      </c>
      <c r="F104">
        <v>1.67</v>
      </c>
      <c r="G104" t="s">
        <v>2991</v>
      </c>
      <c r="H104" t="s">
        <v>286</v>
      </c>
      <c r="J104" t="s">
        <v>286</v>
      </c>
      <c r="K104" t="s">
        <v>286</v>
      </c>
    </row>
    <row r="105" spans="2:11" hidden="1">
      <c r="B105" t="s">
        <v>212</v>
      </c>
      <c r="C105" t="s">
        <v>213</v>
      </c>
      <c r="D105" t="s">
        <v>2992</v>
      </c>
      <c r="E105" t="s">
        <v>2993</v>
      </c>
      <c r="F105">
        <v>11.47</v>
      </c>
      <c r="G105" t="s">
        <v>2994</v>
      </c>
      <c r="H105" t="s">
        <v>274</v>
      </c>
      <c r="J105" t="s">
        <v>274</v>
      </c>
      <c r="K105" t="s">
        <v>274</v>
      </c>
    </row>
    <row r="106" spans="2:11" hidden="1">
      <c r="B106" t="s">
        <v>172</v>
      </c>
      <c r="C106" t="s">
        <v>173</v>
      </c>
      <c r="D106" t="s">
        <v>2995</v>
      </c>
      <c r="E106" t="s">
        <v>2996</v>
      </c>
      <c r="F106">
        <v>1.25</v>
      </c>
      <c r="G106" t="s">
        <v>2997</v>
      </c>
      <c r="H106" t="s">
        <v>278</v>
      </c>
      <c r="J106" t="s">
        <v>278</v>
      </c>
      <c r="K106" t="s">
        <v>278</v>
      </c>
    </row>
    <row r="107" spans="2:11" hidden="1">
      <c r="B107" t="s">
        <v>304</v>
      </c>
      <c r="C107" t="s">
        <v>305</v>
      </c>
      <c r="D107" t="s">
        <v>2998</v>
      </c>
      <c r="E107" t="s">
        <v>2999</v>
      </c>
      <c r="F107">
        <v>2.0499999999999998</v>
      </c>
      <c r="G107" t="s">
        <v>3000</v>
      </c>
      <c r="H107" t="s">
        <v>286</v>
      </c>
      <c r="J107" t="s">
        <v>286</v>
      </c>
      <c r="K107" t="s">
        <v>286</v>
      </c>
    </row>
    <row r="108" spans="2:11" hidden="1">
      <c r="B108" t="s">
        <v>199</v>
      </c>
      <c r="C108" t="s">
        <v>200</v>
      </c>
      <c r="D108" t="s">
        <v>3001</v>
      </c>
      <c r="E108" t="s">
        <v>3002</v>
      </c>
      <c r="F108">
        <v>10.050000000000001</v>
      </c>
      <c r="G108" t="s">
        <v>3003</v>
      </c>
      <c r="H108" t="s">
        <v>294</v>
      </c>
      <c r="J108" t="s">
        <v>294</v>
      </c>
      <c r="K108" t="s">
        <v>294</v>
      </c>
    </row>
    <row r="109" spans="2:11" hidden="1">
      <c r="B109" t="s">
        <v>215</v>
      </c>
      <c r="C109" t="s">
        <v>216</v>
      </c>
      <c r="D109" t="s">
        <v>3004</v>
      </c>
      <c r="E109" t="s">
        <v>3005</v>
      </c>
      <c r="F109">
        <v>9</v>
      </c>
      <c r="G109" t="s">
        <v>3006</v>
      </c>
      <c r="H109" t="s">
        <v>278</v>
      </c>
      <c r="J109" t="s">
        <v>278</v>
      </c>
      <c r="K109" t="s">
        <v>278</v>
      </c>
    </row>
    <row r="110" spans="2:11" hidden="1">
      <c r="B110" t="s">
        <v>310</v>
      </c>
      <c r="C110" t="s">
        <v>311</v>
      </c>
      <c r="D110" t="s">
        <v>3007</v>
      </c>
      <c r="E110" t="s">
        <v>3008</v>
      </c>
      <c r="F110">
        <v>2.4</v>
      </c>
      <c r="G110" t="s">
        <v>3009</v>
      </c>
      <c r="H110" t="s">
        <v>286</v>
      </c>
      <c r="J110" t="s">
        <v>286</v>
      </c>
      <c r="K110" t="s">
        <v>286</v>
      </c>
    </row>
    <row r="111" spans="2:11" hidden="1">
      <c r="B111" t="s">
        <v>193</v>
      </c>
      <c r="C111" t="s">
        <v>183</v>
      </c>
      <c r="D111" t="s">
        <v>3010</v>
      </c>
      <c r="E111" t="s">
        <v>3011</v>
      </c>
      <c r="F111">
        <v>0.32</v>
      </c>
      <c r="G111" t="s">
        <v>3012</v>
      </c>
      <c r="H111" t="s">
        <v>276</v>
      </c>
      <c r="J111" t="s">
        <v>276</v>
      </c>
      <c r="K111" t="s">
        <v>276</v>
      </c>
    </row>
    <row r="112" spans="2:11" hidden="1">
      <c r="B112" t="s">
        <v>186</v>
      </c>
      <c r="C112" t="s">
        <v>187</v>
      </c>
      <c r="D112" t="s">
        <v>3013</v>
      </c>
      <c r="E112" t="s">
        <v>3014</v>
      </c>
      <c r="F112">
        <v>0.32</v>
      </c>
      <c r="G112" t="s">
        <v>3015</v>
      </c>
      <c r="H112" t="s">
        <v>274</v>
      </c>
      <c r="J112" t="s">
        <v>274</v>
      </c>
      <c r="K112" t="s">
        <v>274</v>
      </c>
    </row>
    <row r="113" spans="2:11" hidden="1">
      <c r="B113" t="s">
        <v>182</v>
      </c>
      <c r="C113" t="s">
        <v>183</v>
      </c>
      <c r="D113" t="s">
        <v>3016</v>
      </c>
      <c r="E113" t="s">
        <v>3017</v>
      </c>
      <c r="F113">
        <v>0.45</v>
      </c>
      <c r="G113" t="s">
        <v>3018</v>
      </c>
      <c r="H113" t="s">
        <v>286</v>
      </c>
      <c r="J113" t="s">
        <v>286</v>
      </c>
      <c r="K113" t="s">
        <v>286</v>
      </c>
    </row>
    <row r="114" spans="2:11" hidden="1">
      <c r="B114" t="s">
        <v>192</v>
      </c>
      <c r="C114" t="s">
        <v>183</v>
      </c>
      <c r="D114" t="s">
        <v>3019</v>
      </c>
      <c r="E114" t="s">
        <v>3020</v>
      </c>
      <c r="F114">
        <v>1.73</v>
      </c>
      <c r="G114" t="s">
        <v>3021</v>
      </c>
      <c r="H114" t="s">
        <v>286</v>
      </c>
      <c r="J114" t="s">
        <v>286</v>
      </c>
      <c r="K114" t="s">
        <v>286</v>
      </c>
    </row>
    <row r="115" spans="2:11" hidden="1">
      <c r="B115" t="s">
        <v>257</v>
      </c>
      <c r="C115" t="s">
        <v>252</v>
      </c>
      <c r="D115" t="s">
        <v>3022</v>
      </c>
      <c r="E115" t="s">
        <v>3023</v>
      </c>
      <c r="F115">
        <v>2.48</v>
      </c>
      <c r="G115" t="s">
        <v>3024</v>
      </c>
      <c r="H115" t="s">
        <v>294</v>
      </c>
      <c r="J115" t="s">
        <v>294</v>
      </c>
      <c r="K115" t="s">
        <v>294</v>
      </c>
    </row>
    <row r="116" spans="2:11" hidden="1">
      <c r="B116" t="s">
        <v>251</v>
      </c>
      <c r="C116" t="s">
        <v>252</v>
      </c>
      <c r="D116" t="s">
        <v>3025</v>
      </c>
      <c r="E116" t="s">
        <v>3026</v>
      </c>
      <c r="F116">
        <v>2.4500000000000002</v>
      </c>
      <c r="G116" t="s">
        <v>3027</v>
      </c>
      <c r="H116" t="s">
        <v>294</v>
      </c>
      <c r="J116" t="s">
        <v>294</v>
      </c>
      <c r="K116" t="s">
        <v>294</v>
      </c>
    </row>
    <row r="117" spans="2:11" hidden="1">
      <c r="B117" t="s">
        <v>253</v>
      </c>
      <c r="C117" t="s">
        <v>252</v>
      </c>
      <c r="D117" t="s">
        <v>3028</v>
      </c>
      <c r="E117" t="s">
        <v>3029</v>
      </c>
      <c r="F117">
        <v>2.4300000000000002</v>
      </c>
      <c r="G117" t="s">
        <v>3030</v>
      </c>
      <c r="H117" t="s">
        <v>294</v>
      </c>
      <c r="J117" t="s">
        <v>294</v>
      </c>
      <c r="K117" t="s">
        <v>294</v>
      </c>
    </row>
    <row r="118" spans="2:11" hidden="1">
      <c r="B118" t="s">
        <v>254</v>
      </c>
      <c r="C118" t="s">
        <v>252</v>
      </c>
      <c r="D118" t="s">
        <v>3031</v>
      </c>
      <c r="E118" t="s">
        <v>3032</v>
      </c>
      <c r="F118">
        <v>2.42</v>
      </c>
      <c r="G118" t="s">
        <v>3033</v>
      </c>
      <c r="H118" t="s">
        <v>294</v>
      </c>
      <c r="J118" t="s">
        <v>294</v>
      </c>
      <c r="K118" t="s">
        <v>294</v>
      </c>
    </row>
    <row r="119" spans="2:11" hidden="1">
      <c r="B119" t="s">
        <v>229</v>
      </c>
      <c r="C119" t="s">
        <v>230</v>
      </c>
      <c r="D119" t="s">
        <v>3034</v>
      </c>
      <c r="E119" t="s">
        <v>3035</v>
      </c>
      <c r="F119">
        <v>7.05</v>
      </c>
      <c r="G119" t="s">
        <v>3036</v>
      </c>
      <c r="H119" t="s">
        <v>294</v>
      </c>
      <c r="J119" t="s">
        <v>294</v>
      </c>
      <c r="K119" t="s">
        <v>294</v>
      </c>
    </row>
    <row r="120" spans="2:11" hidden="1">
      <c r="B120" t="s">
        <v>194</v>
      </c>
      <c r="C120" t="s">
        <v>183</v>
      </c>
      <c r="D120" t="s">
        <v>3037</v>
      </c>
      <c r="E120" t="s">
        <v>3038</v>
      </c>
      <c r="F120">
        <v>5.15</v>
      </c>
      <c r="G120" t="s">
        <v>3039</v>
      </c>
      <c r="H120" t="s">
        <v>286</v>
      </c>
      <c r="J120" t="s">
        <v>286</v>
      </c>
      <c r="K120" t="s">
        <v>286</v>
      </c>
    </row>
    <row r="121" spans="2:11">
      <c r="B121" t="s">
        <v>82</v>
      </c>
      <c r="C121" t="s">
        <v>217</v>
      </c>
      <c r="D121" t="s">
        <v>3040</v>
      </c>
      <c r="E121" t="s">
        <v>3041</v>
      </c>
      <c r="F121">
        <v>9.9</v>
      </c>
      <c r="G121" t="s">
        <v>3042</v>
      </c>
      <c r="H121" t="s">
        <v>286</v>
      </c>
      <c r="J121" t="s">
        <v>286</v>
      </c>
      <c r="K121" t="s">
        <v>286</v>
      </c>
    </row>
    <row r="122" spans="2:11" hidden="1">
      <c r="B122" t="s">
        <v>180</v>
      </c>
      <c r="C122" t="s">
        <v>181</v>
      </c>
      <c r="D122" t="s">
        <v>3043</v>
      </c>
      <c r="E122" t="s">
        <v>3044</v>
      </c>
      <c r="F122">
        <v>6.42</v>
      </c>
      <c r="G122" t="s">
        <v>3045</v>
      </c>
      <c r="H122" t="s">
        <v>286</v>
      </c>
      <c r="J122" t="s">
        <v>286</v>
      </c>
      <c r="K122" t="s">
        <v>286</v>
      </c>
    </row>
    <row r="123" spans="2:11" hidden="1">
      <c r="B123" t="s">
        <v>261</v>
      </c>
      <c r="C123" t="s">
        <v>262</v>
      </c>
      <c r="D123" t="s">
        <v>3046</v>
      </c>
      <c r="E123" t="s">
        <v>3047</v>
      </c>
      <c r="F123">
        <v>15.48</v>
      </c>
      <c r="G123" t="s">
        <v>3048</v>
      </c>
      <c r="H123" t="s">
        <v>294</v>
      </c>
      <c r="J123" t="s">
        <v>294</v>
      </c>
      <c r="K123" t="s">
        <v>294</v>
      </c>
    </row>
    <row r="124" spans="2:11" hidden="1">
      <c r="B124" t="s">
        <v>204</v>
      </c>
      <c r="C124" t="s">
        <v>205</v>
      </c>
      <c r="D124" t="s">
        <v>3049</v>
      </c>
      <c r="E124" t="s">
        <v>3050</v>
      </c>
      <c r="F124">
        <v>2.1</v>
      </c>
      <c r="G124" t="s">
        <v>3051</v>
      </c>
      <c r="H124" t="s">
        <v>294</v>
      </c>
      <c r="J124" t="s">
        <v>294</v>
      </c>
      <c r="K124" t="s">
        <v>294</v>
      </c>
    </row>
    <row r="125" spans="2:11" hidden="1">
      <c r="B125" t="s">
        <v>206</v>
      </c>
      <c r="C125" t="s">
        <v>205</v>
      </c>
      <c r="D125" t="s">
        <v>3052</v>
      </c>
      <c r="E125" t="s">
        <v>3053</v>
      </c>
      <c r="F125">
        <v>2.1</v>
      </c>
      <c r="G125" t="s">
        <v>3054</v>
      </c>
      <c r="H125" t="s">
        <v>294</v>
      </c>
      <c r="J125" t="s">
        <v>294</v>
      </c>
      <c r="K125" t="s">
        <v>294</v>
      </c>
    </row>
    <row r="126" spans="2:11" hidden="1">
      <c r="B126" t="s">
        <v>207</v>
      </c>
      <c r="C126" t="s">
        <v>205</v>
      </c>
      <c r="D126" t="s">
        <v>3055</v>
      </c>
      <c r="E126" t="s">
        <v>3056</v>
      </c>
      <c r="F126">
        <v>2.08</v>
      </c>
      <c r="G126" t="s">
        <v>3057</v>
      </c>
      <c r="H126" t="s">
        <v>294</v>
      </c>
      <c r="J126" t="s">
        <v>294</v>
      </c>
      <c r="K126" t="s">
        <v>294</v>
      </c>
    </row>
    <row r="127" spans="2:11" hidden="1">
      <c r="B127" t="s">
        <v>214</v>
      </c>
      <c r="C127" t="s">
        <v>205</v>
      </c>
      <c r="D127" t="s">
        <v>3058</v>
      </c>
      <c r="E127" t="s">
        <v>3059</v>
      </c>
      <c r="F127">
        <v>2.08</v>
      </c>
      <c r="G127" t="s">
        <v>3060</v>
      </c>
      <c r="H127" t="s">
        <v>294</v>
      </c>
      <c r="J127" t="s">
        <v>294</v>
      </c>
      <c r="K127" t="s">
        <v>294</v>
      </c>
    </row>
    <row r="128" spans="2:11" hidden="1">
      <c r="B128" t="s">
        <v>188</v>
      </c>
      <c r="C128" t="s">
        <v>189</v>
      </c>
      <c r="D128" t="s">
        <v>3061</v>
      </c>
      <c r="E128" t="s">
        <v>3062</v>
      </c>
      <c r="F128">
        <v>7.1</v>
      </c>
      <c r="G128" t="s">
        <v>3063</v>
      </c>
      <c r="H128" t="s">
        <v>286</v>
      </c>
      <c r="J128" t="s">
        <v>286</v>
      </c>
      <c r="K128" t="s">
        <v>286</v>
      </c>
    </row>
    <row r="129" spans="2:11">
      <c r="B129" t="s">
        <v>83</v>
      </c>
      <c r="C129" t="s">
        <v>201</v>
      </c>
      <c r="D129" t="s">
        <v>3064</v>
      </c>
      <c r="E129" t="s">
        <v>3065</v>
      </c>
      <c r="F129">
        <v>10.42</v>
      </c>
      <c r="G129" t="s">
        <v>3066</v>
      </c>
      <c r="H129" t="s">
        <v>286</v>
      </c>
      <c r="J129" t="s">
        <v>286</v>
      </c>
      <c r="K129" t="s">
        <v>286</v>
      </c>
    </row>
  </sheetData>
  <autoFilter ref="A1:K129" xr:uid="{D1F86ACA-2C52-4B38-A85B-38DCC0E4954C}">
    <filterColumn colId="1">
      <filters>
        <filter val="LP-N2"/>
        <filter val="LP-N3"/>
        <filter val="LP-N4"/>
        <filter val="LP-N5"/>
        <filter val="LP-N7"/>
      </filters>
    </filterColumn>
    <filterColumn colId="3">
      <filters>
        <filter val="01 Jul 2024 09:28:15"/>
        <filter val="02 Jul 2024 07:27:22"/>
        <filter val="08 Jul 2024 02:00:32"/>
        <filter val="10 Jul 2024 07:28:07"/>
        <filter val="11 Jul 2024 09:14:48"/>
        <filter val="12 Jul 2024 04:53:49"/>
        <filter val="15 Jul 2024 04:13:12"/>
        <filter val="22 Jul 2024 07:22:10"/>
        <filter val="23 Jul 2024 03:42:36"/>
        <filter val="26 Jul 2024 07:16:28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CDDB-2073-4CB7-9979-2B57F929CA14}">
  <sheetPr filterMode="1"/>
  <dimension ref="B1:K136"/>
  <sheetViews>
    <sheetView workbookViewId="0"/>
  </sheetViews>
  <sheetFormatPr defaultRowHeight="15.75"/>
  <cols>
    <col min="2" max="2" width="10.125" bestFit="1" customWidth="1"/>
    <col min="3" max="3" width="8.875" bestFit="1" customWidth="1"/>
    <col min="4" max="5" width="18.25" bestFit="1" customWidth="1"/>
    <col min="6" max="6" width="8.875" bestFit="1" customWidth="1"/>
    <col min="7" max="7" width="64.625" bestFit="1" customWidth="1"/>
    <col min="8" max="8" width="8.875" bestFit="1" customWidth="1"/>
    <col min="9" max="9" width="17.625" bestFit="1" customWidth="1"/>
    <col min="10" max="11" width="8.875" bestFit="1" customWidth="1"/>
  </cols>
  <sheetData>
    <row r="1" spans="2:11"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161</v>
      </c>
      <c r="H1" t="s">
        <v>268</v>
      </c>
      <c r="I1" t="s">
        <v>162</v>
      </c>
      <c r="J1" t="s">
        <v>372</v>
      </c>
      <c r="K1" t="s">
        <v>373</v>
      </c>
    </row>
    <row r="2" spans="2:11" hidden="1">
      <c r="B2" t="s">
        <v>170</v>
      </c>
      <c r="C2" t="s">
        <v>171</v>
      </c>
      <c r="D2" t="s">
        <v>2281</v>
      </c>
      <c r="E2" t="s">
        <v>2282</v>
      </c>
      <c r="F2">
        <v>0.55000000000000004</v>
      </c>
      <c r="G2" t="s">
        <v>2283</v>
      </c>
      <c r="H2" t="s">
        <v>294</v>
      </c>
      <c r="J2" t="s">
        <v>294</v>
      </c>
      <c r="K2" t="s">
        <v>294</v>
      </c>
    </row>
    <row r="3" spans="2:11" hidden="1">
      <c r="B3" t="s">
        <v>168</v>
      </c>
      <c r="C3" t="s">
        <v>169</v>
      </c>
      <c r="D3" t="s">
        <v>2284</v>
      </c>
      <c r="E3" t="s">
        <v>2285</v>
      </c>
      <c r="F3">
        <v>0.45</v>
      </c>
      <c r="G3" t="s">
        <v>2286</v>
      </c>
      <c r="H3" t="s">
        <v>274</v>
      </c>
      <c r="J3" t="s">
        <v>274</v>
      </c>
      <c r="K3" t="s">
        <v>274</v>
      </c>
    </row>
    <row r="4" spans="2:11" hidden="1">
      <c r="B4" t="s">
        <v>218</v>
      </c>
      <c r="C4" t="s">
        <v>177</v>
      </c>
      <c r="D4" t="s">
        <v>2287</v>
      </c>
      <c r="E4" t="s">
        <v>2288</v>
      </c>
      <c r="F4">
        <v>7.6</v>
      </c>
      <c r="G4" t="s">
        <v>2289</v>
      </c>
      <c r="H4" t="s">
        <v>278</v>
      </c>
      <c r="J4" t="s">
        <v>278</v>
      </c>
      <c r="K4" t="s">
        <v>278</v>
      </c>
    </row>
    <row r="5" spans="2:11" hidden="1">
      <c r="B5" t="s">
        <v>166</v>
      </c>
      <c r="C5" t="s">
        <v>167</v>
      </c>
      <c r="D5" t="s">
        <v>2290</v>
      </c>
      <c r="E5" t="s">
        <v>2291</v>
      </c>
      <c r="F5">
        <v>0.05</v>
      </c>
      <c r="G5" t="s">
        <v>2292</v>
      </c>
      <c r="H5" t="s">
        <v>274</v>
      </c>
      <c r="J5" t="s">
        <v>274</v>
      </c>
      <c r="K5" t="s">
        <v>274</v>
      </c>
    </row>
    <row r="6" spans="2:11" hidden="1">
      <c r="B6" t="s">
        <v>165</v>
      </c>
      <c r="C6" t="s">
        <v>164</v>
      </c>
      <c r="D6" t="s">
        <v>2293</v>
      </c>
      <c r="E6" t="s">
        <v>2294</v>
      </c>
      <c r="F6">
        <v>0.15</v>
      </c>
      <c r="G6" t="s">
        <v>2295</v>
      </c>
      <c r="H6" t="s">
        <v>274</v>
      </c>
      <c r="J6" t="s">
        <v>274</v>
      </c>
      <c r="K6" t="s">
        <v>274</v>
      </c>
    </row>
    <row r="7" spans="2:11" hidden="1">
      <c r="B7" t="s">
        <v>163</v>
      </c>
      <c r="C7" t="s">
        <v>164</v>
      </c>
      <c r="D7" t="s">
        <v>2296</v>
      </c>
      <c r="E7" t="s">
        <v>2297</v>
      </c>
      <c r="F7">
        <v>0.18</v>
      </c>
      <c r="G7" t="s">
        <v>2298</v>
      </c>
      <c r="H7" t="s">
        <v>274</v>
      </c>
      <c r="J7" t="s">
        <v>274</v>
      </c>
      <c r="K7" t="s">
        <v>274</v>
      </c>
    </row>
    <row r="8" spans="2:11" hidden="1">
      <c r="B8" t="s">
        <v>247</v>
      </c>
      <c r="C8" t="s">
        <v>248</v>
      </c>
      <c r="D8" t="s">
        <v>2299</v>
      </c>
      <c r="E8" t="s">
        <v>2300</v>
      </c>
      <c r="F8">
        <v>1.58</v>
      </c>
      <c r="G8" t="s">
        <v>2301</v>
      </c>
      <c r="H8" t="s">
        <v>274</v>
      </c>
      <c r="J8" t="s">
        <v>274</v>
      </c>
      <c r="K8" t="s">
        <v>274</v>
      </c>
    </row>
    <row r="9" spans="2:11" hidden="1">
      <c r="B9" t="s">
        <v>178</v>
      </c>
      <c r="C9" t="s">
        <v>179</v>
      </c>
      <c r="D9" t="s">
        <v>2302</v>
      </c>
      <c r="E9" t="s">
        <v>2303</v>
      </c>
      <c r="F9">
        <v>2.12</v>
      </c>
      <c r="G9" t="s">
        <v>2304</v>
      </c>
      <c r="H9" t="s">
        <v>274</v>
      </c>
      <c r="J9" t="s">
        <v>274</v>
      </c>
      <c r="K9" t="s">
        <v>274</v>
      </c>
    </row>
    <row r="10" spans="2:11" hidden="1">
      <c r="B10" t="s">
        <v>184</v>
      </c>
      <c r="C10" t="s">
        <v>185</v>
      </c>
      <c r="D10" t="s">
        <v>2305</v>
      </c>
      <c r="E10" t="s">
        <v>2306</v>
      </c>
      <c r="F10">
        <v>14.6</v>
      </c>
      <c r="G10" t="s">
        <v>2307</v>
      </c>
      <c r="H10" t="s">
        <v>276</v>
      </c>
      <c r="J10" t="s">
        <v>276</v>
      </c>
      <c r="K10" t="s">
        <v>276</v>
      </c>
    </row>
    <row r="11" spans="2:11" hidden="1">
      <c r="B11" t="s">
        <v>186</v>
      </c>
      <c r="C11" t="s">
        <v>187</v>
      </c>
      <c r="D11" t="s">
        <v>2308</v>
      </c>
      <c r="E11" t="s">
        <v>2309</v>
      </c>
      <c r="F11">
        <v>0.38</v>
      </c>
      <c r="G11" t="s">
        <v>2310</v>
      </c>
      <c r="H11" t="s">
        <v>277</v>
      </c>
      <c r="J11" t="s">
        <v>277</v>
      </c>
      <c r="K11" t="s">
        <v>277</v>
      </c>
    </row>
    <row r="12" spans="2:11" hidden="1">
      <c r="B12" t="s">
        <v>193</v>
      </c>
      <c r="C12" t="s">
        <v>183</v>
      </c>
      <c r="D12" t="s">
        <v>2311</v>
      </c>
      <c r="E12" t="s">
        <v>2312</v>
      </c>
      <c r="F12">
        <v>0.57999999999999996</v>
      </c>
      <c r="G12" t="s">
        <v>2313</v>
      </c>
      <c r="H12" t="s">
        <v>274</v>
      </c>
      <c r="J12" t="s">
        <v>274</v>
      </c>
      <c r="K12" t="s">
        <v>274</v>
      </c>
    </row>
    <row r="13" spans="2:11" hidden="1">
      <c r="B13" t="s">
        <v>244</v>
      </c>
      <c r="C13" t="s">
        <v>245</v>
      </c>
      <c r="D13" t="s">
        <v>2314</v>
      </c>
      <c r="E13" t="s">
        <v>2315</v>
      </c>
      <c r="F13">
        <v>1.83</v>
      </c>
      <c r="G13" t="s">
        <v>2316</v>
      </c>
      <c r="H13" t="s">
        <v>276</v>
      </c>
      <c r="J13" t="s">
        <v>276</v>
      </c>
      <c r="K13" t="s">
        <v>276</v>
      </c>
    </row>
    <row r="14" spans="2:11" hidden="1">
      <c r="B14" t="s">
        <v>191</v>
      </c>
      <c r="C14" t="s">
        <v>183</v>
      </c>
      <c r="D14" t="s">
        <v>2317</v>
      </c>
      <c r="E14" t="s">
        <v>2318</v>
      </c>
      <c r="F14">
        <v>0.32</v>
      </c>
      <c r="G14" t="s">
        <v>2319</v>
      </c>
      <c r="H14" t="s">
        <v>274</v>
      </c>
      <c r="J14" t="s">
        <v>274</v>
      </c>
      <c r="K14" t="s">
        <v>274</v>
      </c>
    </row>
    <row r="15" spans="2:11" hidden="1">
      <c r="B15" t="s">
        <v>219</v>
      </c>
      <c r="C15" t="s">
        <v>183</v>
      </c>
      <c r="D15" t="s">
        <v>2320</v>
      </c>
      <c r="E15" t="s">
        <v>2321</v>
      </c>
      <c r="F15">
        <v>6.27</v>
      </c>
      <c r="G15" t="s">
        <v>2322</v>
      </c>
      <c r="H15" t="s">
        <v>274</v>
      </c>
      <c r="J15" t="s">
        <v>274</v>
      </c>
      <c r="K15" t="s">
        <v>274</v>
      </c>
    </row>
    <row r="16" spans="2:11" hidden="1">
      <c r="B16" t="s">
        <v>195</v>
      </c>
      <c r="C16" t="s">
        <v>196</v>
      </c>
      <c r="D16" t="s">
        <v>2323</v>
      </c>
      <c r="E16" t="s">
        <v>2324</v>
      </c>
      <c r="F16">
        <v>7.27</v>
      </c>
      <c r="G16" t="s">
        <v>2325</v>
      </c>
      <c r="H16" t="s">
        <v>276</v>
      </c>
      <c r="J16" t="s">
        <v>276</v>
      </c>
      <c r="K16" t="s">
        <v>276</v>
      </c>
    </row>
    <row r="17" spans="2:11" hidden="1">
      <c r="B17" t="s">
        <v>296</v>
      </c>
      <c r="C17" t="s">
        <v>297</v>
      </c>
      <c r="D17" t="s">
        <v>2326</v>
      </c>
      <c r="E17" t="s">
        <v>2327</v>
      </c>
      <c r="F17">
        <v>2.1</v>
      </c>
      <c r="G17" t="s">
        <v>2328</v>
      </c>
      <c r="H17" t="s">
        <v>276</v>
      </c>
      <c r="J17" t="s">
        <v>276</v>
      </c>
      <c r="K17" t="s">
        <v>276</v>
      </c>
    </row>
    <row r="18" spans="2:11" hidden="1">
      <c r="B18" t="s">
        <v>172</v>
      </c>
      <c r="C18" t="s">
        <v>173</v>
      </c>
      <c r="D18" t="s">
        <v>2329</v>
      </c>
      <c r="E18" t="s">
        <v>2330</v>
      </c>
      <c r="F18">
        <v>7.37</v>
      </c>
      <c r="G18" t="s">
        <v>2331</v>
      </c>
      <c r="H18" t="s">
        <v>276</v>
      </c>
      <c r="J18" t="s">
        <v>276</v>
      </c>
      <c r="K18" t="s">
        <v>276</v>
      </c>
    </row>
    <row r="19" spans="2:11" hidden="1">
      <c r="B19" t="s">
        <v>220</v>
      </c>
      <c r="C19" t="s">
        <v>221</v>
      </c>
      <c r="D19" t="s">
        <v>2332</v>
      </c>
      <c r="E19" t="s">
        <v>2333</v>
      </c>
      <c r="F19">
        <v>7.6</v>
      </c>
      <c r="G19" t="s">
        <v>2334</v>
      </c>
      <c r="H19" t="s">
        <v>274</v>
      </c>
      <c r="J19" t="s">
        <v>274</v>
      </c>
      <c r="K19" t="s">
        <v>274</v>
      </c>
    </row>
    <row r="20" spans="2:11" hidden="1">
      <c r="B20" t="s">
        <v>322</v>
      </c>
      <c r="C20" t="s">
        <v>323</v>
      </c>
      <c r="D20" t="s">
        <v>2335</v>
      </c>
      <c r="E20" t="s">
        <v>2336</v>
      </c>
      <c r="F20">
        <v>1.9</v>
      </c>
      <c r="G20" t="s">
        <v>2337</v>
      </c>
      <c r="H20" t="s">
        <v>274</v>
      </c>
      <c r="J20" t="s">
        <v>274</v>
      </c>
      <c r="K20" t="s">
        <v>274</v>
      </c>
    </row>
    <row r="21" spans="2:11" hidden="1">
      <c r="B21" t="s">
        <v>254</v>
      </c>
      <c r="C21" t="s">
        <v>252</v>
      </c>
      <c r="D21" t="s">
        <v>2338</v>
      </c>
      <c r="E21" t="s">
        <v>2339</v>
      </c>
      <c r="F21">
        <v>3.22</v>
      </c>
      <c r="G21" t="s">
        <v>2340</v>
      </c>
      <c r="H21" t="s">
        <v>274</v>
      </c>
      <c r="J21" t="s">
        <v>274</v>
      </c>
      <c r="K21" t="s">
        <v>274</v>
      </c>
    </row>
    <row r="22" spans="2:11" hidden="1">
      <c r="B22" t="s">
        <v>257</v>
      </c>
      <c r="C22" t="s">
        <v>252</v>
      </c>
      <c r="D22" t="s">
        <v>2341</v>
      </c>
      <c r="E22" t="s">
        <v>2342</v>
      </c>
      <c r="F22">
        <v>3.23</v>
      </c>
      <c r="G22" t="s">
        <v>2343</v>
      </c>
      <c r="H22" t="s">
        <v>274</v>
      </c>
      <c r="J22" t="s">
        <v>274</v>
      </c>
      <c r="K22" t="s">
        <v>274</v>
      </c>
    </row>
    <row r="23" spans="2:11" hidden="1">
      <c r="B23" t="s">
        <v>251</v>
      </c>
      <c r="C23" t="s">
        <v>252</v>
      </c>
      <c r="D23" t="s">
        <v>2344</v>
      </c>
      <c r="E23" t="s">
        <v>2345</v>
      </c>
      <c r="F23">
        <v>3.22</v>
      </c>
      <c r="G23" t="s">
        <v>2346</v>
      </c>
      <c r="H23" t="s">
        <v>274</v>
      </c>
      <c r="J23" t="s">
        <v>274</v>
      </c>
      <c r="K23" t="s">
        <v>274</v>
      </c>
    </row>
    <row r="24" spans="2:11" hidden="1">
      <c r="B24" t="s">
        <v>253</v>
      </c>
      <c r="C24" t="s">
        <v>252</v>
      </c>
      <c r="D24" t="s">
        <v>2347</v>
      </c>
      <c r="E24" t="s">
        <v>2348</v>
      </c>
      <c r="F24">
        <v>19.32</v>
      </c>
      <c r="G24" t="s">
        <v>2349</v>
      </c>
      <c r="H24" t="s">
        <v>274</v>
      </c>
      <c r="J24" t="s">
        <v>274</v>
      </c>
      <c r="K24" t="s">
        <v>274</v>
      </c>
    </row>
    <row r="25" spans="2:11" hidden="1">
      <c r="B25" t="s">
        <v>236</v>
      </c>
      <c r="C25" t="s">
        <v>237</v>
      </c>
      <c r="D25" t="s">
        <v>2350</v>
      </c>
      <c r="E25" t="s">
        <v>2351</v>
      </c>
      <c r="F25">
        <v>14.37</v>
      </c>
      <c r="G25" t="s">
        <v>2352</v>
      </c>
      <c r="H25" t="s">
        <v>277</v>
      </c>
      <c r="J25" t="s">
        <v>277</v>
      </c>
      <c r="K25" t="s">
        <v>277</v>
      </c>
    </row>
    <row r="26" spans="2:11" hidden="1">
      <c r="B26" t="s">
        <v>269</v>
      </c>
      <c r="C26" t="s">
        <v>270</v>
      </c>
      <c r="D26" t="s">
        <v>2353</v>
      </c>
      <c r="E26" t="s">
        <v>2354</v>
      </c>
      <c r="F26">
        <v>1.33</v>
      </c>
      <c r="G26" t="s">
        <v>2355</v>
      </c>
      <c r="H26" t="s">
        <v>294</v>
      </c>
      <c r="J26" t="s">
        <v>294</v>
      </c>
      <c r="K26" t="s">
        <v>294</v>
      </c>
    </row>
    <row r="27" spans="2:11" hidden="1">
      <c r="B27" t="s">
        <v>271</v>
      </c>
      <c r="C27" t="s">
        <v>272</v>
      </c>
      <c r="D27" t="s">
        <v>2356</v>
      </c>
      <c r="E27" t="s">
        <v>2357</v>
      </c>
      <c r="F27">
        <v>1.32</v>
      </c>
      <c r="G27" t="s">
        <v>2358</v>
      </c>
      <c r="H27" t="s">
        <v>294</v>
      </c>
      <c r="J27" t="s">
        <v>294</v>
      </c>
      <c r="K27" t="s">
        <v>294</v>
      </c>
    </row>
    <row r="28" spans="2:11" hidden="1">
      <c r="B28" t="s">
        <v>208</v>
      </c>
      <c r="C28" t="s">
        <v>209</v>
      </c>
      <c r="D28" t="s">
        <v>2359</v>
      </c>
      <c r="E28" t="s">
        <v>2360</v>
      </c>
      <c r="F28">
        <v>1.32</v>
      </c>
      <c r="G28" t="s">
        <v>2361</v>
      </c>
      <c r="H28" t="s">
        <v>294</v>
      </c>
      <c r="J28" t="s">
        <v>294</v>
      </c>
      <c r="K28" t="s">
        <v>294</v>
      </c>
    </row>
    <row r="29" spans="2:11" hidden="1">
      <c r="B29" t="s">
        <v>210</v>
      </c>
      <c r="C29" t="s">
        <v>211</v>
      </c>
      <c r="D29" t="s">
        <v>2362</v>
      </c>
      <c r="E29" t="s">
        <v>2363</v>
      </c>
      <c r="F29">
        <v>1.33</v>
      </c>
      <c r="G29" t="s">
        <v>2364</v>
      </c>
      <c r="H29" t="s">
        <v>294</v>
      </c>
      <c r="J29" t="s">
        <v>294</v>
      </c>
      <c r="K29" t="s">
        <v>294</v>
      </c>
    </row>
    <row r="30" spans="2:11" hidden="1">
      <c r="B30" t="s">
        <v>233</v>
      </c>
      <c r="C30" t="s">
        <v>234</v>
      </c>
      <c r="D30" t="s">
        <v>2365</v>
      </c>
      <c r="E30" t="s">
        <v>2366</v>
      </c>
      <c r="F30">
        <v>1.33</v>
      </c>
      <c r="G30" t="s">
        <v>2367</v>
      </c>
      <c r="H30" t="s">
        <v>294</v>
      </c>
      <c r="J30" t="s">
        <v>294</v>
      </c>
      <c r="K30" t="s">
        <v>294</v>
      </c>
    </row>
    <row r="31" spans="2:11" hidden="1">
      <c r="B31" t="s">
        <v>235</v>
      </c>
      <c r="C31" t="s">
        <v>234</v>
      </c>
      <c r="D31" t="s">
        <v>2368</v>
      </c>
      <c r="E31" t="s">
        <v>2369</v>
      </c>
      <c r="F31">
        <v>1.33</v>
      </c>
      <c r="G31" t="s">
        <v>2370</v>
      </c>
      <c r="H31" t="s">
        <v>294</v>
      </c>
      <c r="J31" t="s">
        <v>294</v>
      </c>
      <c r="K31" t="s">
        <v>294</v>
      </c>
    </row>
    <row r="32" spans="2:11" hidden="1">
      <c r="B32" t="s">
        <v>174</v>
      </c>
      <c r="C32" t="s">
        <v>175</v>
      </c>
      <c r="D32" t="s">
        <v>2371</v>
      </c>
      <c r="E32" t="s">
        <v>2372</v>
      </c>
      <c r="F32">
        <v>1.33</v>
      </c>
      <c r="G32" t="s">
        <v>2373</v>
      </c>
      <c r="H32" t="s">
        <v>294</v>
      </c>
      <c r="J32" t="s">
        <v>294</v>
      </c>
      <c r="K32" t="s">
        <v>294</v>
      </c>
    </row>
    <row r="33" spans="2:11" hidden="1">
      <c r="B33" t="s">
        <v>176</v>
      </c>
      <c r="C33" t="s">
        <v>177</v>
      </c>
      <c r="D33" t="s">
        <v>2374</v>
      </c>
      <c r="E33" t="s">
        <v>2375</v>
      </c>
      <c r="F33">
        <v>1.33</v>
      </c>
      <c r="G33" t="s">
        <v>2376</v>
      </c>
      <c r="H33" t="s">
        <v>294</v>
      </c>
      <c r="J33" t="s">
        <v>294</v>
      </c>
      <c r="K33" t="s">
        <v>294</v>
      </c>
    </row>
    <row r="34" spans="2:11" hidden="1">
      <c r="B34" t="s">
        <v>318</v>
      </c>
      <c r="C34" t="s">
        <v>319</v>
      </c>
      <c r="D34" t="s">
        <v>2377</v>
      </c>
      <c r="E34" t="s">
        <v>2378</v>
      </c>
      <c r="F34">
        <v>1.48</v>
      </c>
      <c r="G34" t="s">
        <v>2379</v>
      </c>
      <c r="H34" t="s">
        <v>276</v>
      </c>
      <c r="J34" t="s">
        <v>276</v>
      </c>
      <c r="K34" t="s">
        <v>276</v>
      </c>
    </row>
    <row r="35" spans="2:11" hidden="1">
      <c r="B35" t="s">
        <v>240</v>
      </c>
      <c r="C35" t="s">
        <v>241</v>
      </c>
      <c r="D35" t="s">
        <v>2380</v>
      </c>
      <c r="E35" t="s">
        <v>2381</v>
      </c>
      <c r="F35">
        <v>10.38</v>
      </c>
      <c r="G35" t="s">
        <v>2382</v>
      </c>
      <c r="H35" t="s">
        <v>276</v>
      </c>
      <c r="J35" t="s">
        <v>276</v>
      </c>
      <c r="K35" t="s">
        <v>276</v>
      </c>
    </row>
    <row r="36" spans="2:11" hidden="1">
      <c r="B36" t="s">
        <v>308</v>
      </c>
      <c r="C36" t="s">
        <v>309</v>
      </c>
      <c r="D36" t="s">
        <v>2383</v>
      </c>
      <c r="E36" t="s">
        <v>2384</v>
      </c>
      <c r="F36">
        <v>2.0699999999999998</v>
      </c>
      <c r="G36" t="s">
        <v>2385</v>
      </c>
      <c r="H36" t="s">
        <v>294</v>
      </c>
      <c r="J36" t="s">
        <v>294</v>
      </c>
      <c r="K36" t="s">
        <v>294</v>
      </c>
    </row>
    <row r="37" spans="2:11" hidden="1">
      <c r="B37" t="s">
        <v>212</v>
      </c>
      <c r="C37" t="s">
        <v>213</v>
      </c>
      <c r="D37" t="s">
        <v>2386</v>
      </c>
      <c r="E37" t="s">
        <v>2387</v>
      </c>
      <c r="F37">
        <v>10.029999999999999</v>
      </c>
      <c r="G37" t="s">
        <v>2388</v>
      </c>
      <c r="H37" t="s">
        <v>294</v>
      </c>
      <c r="J37" t="s">
        <v>294</v>
      </c>
      <c r="K37" t="s">
        <v>294</v>
      </c>
    </row>
    <row r="38" spans="2:11" hidden="1">
      <c r="B38" t="s">
        <v>172</v>
      </c>
      <c r="C38" t="s">
        <v>173</v>
      </c>
      <c r="D38" t="s">
        <v>2389</v>
      </c>
      <c r="E38" t="s">
        <v>2390</v>
      </c>
      <c r="F38">
        <v>0.28000000000000003</v>
      </c>
      <c r="G38" t="s">
        <v>2391</v>
      </c>
      <c r="H38" t="s">
        <v>286</v>
      </c>
      <c r="J38" t="s">
        <v>286</v>
      </c>
      <c r="K38" t="s">
        <v>286</v>
      </c>
    </row>
    <row r="39" spans="2:11" hidden="1">
      <c r="B39" t="s">
        <v>186</v>
      </c>
      <c r="C39" t="s">
        <v>187</v>
      </c>
      <c r="D39" t="s">
        <v>2392</v>
      </c>
      <c r="E39" t="s">
        <v>2393</v>
      </c>
      <c r="F39">
        <v>0.35</v>
      </c>
      <c r="G39" t="s">
        <v>2394</v>
      </c>
      <c r="H39" t="s">
        <v>425</v>
      </c>
      <c r="J39" t="s">
        <v>425</v>
      </c>
      <c r="K39" t="s">
        <v>425</v>
      </c>
    </row>
    <row r="40" spans="2:11" hidden="1">
      <c r="B40" t="s">
        <v>170</v>
      </c>
      <c r="C40" t="s">
        <v>171</v>
      </c>
      <c r="D40" t="s">
        <v>2395</v>
      </c>
      <c r="E40" t="s">
        <v>2396</v>
      </c>
      <c r="F40">
        <v>0.45</v>
      </c>
      <c r="G40" t="s">
        <v>2397</v>
      </c>
      <c r="H40" t="s">
        <v>425</v>
      </c>
      <c r="J40" t="s">
        <v>425</v>
      </c>
      <c r="K40" t="s">
        <v>425</v>
      </c>
    </row>
    <row r="41" spans="2:11" hidden="1">
      <c r="B41" t="s">
        <v>168</v>
      </c>
      <c r="C41" t="s">
        <v>169</v>
      </c>
      <c r="D41" t="s">
        <v>2398</v>
      </c>
      <c r="E41" t="s">
        <v>2399</v>
      </c>
      <c r="F41">
        <v>0.62</v>
      </c>
      <c r="G41" t="s">
        <v>2400</v>
      </c>
      <c r="H41" t="s">
        <v>277</v>
      </c>
      <c r="J41" t="s">
        <v>277</v>
      </c>
      <c r="K41" t="s">
        <v>277</v>
      </c>
    </row>
    <row r="42" spans="2:11" hidden="1">
      <c r="B42" t="s">
        <v>269</v>
      </c>
      <c r="C42" t="s">
        <v>270</v>
      </c>
      <c r="D42" t="s">
        <v>2401</v>
      </c>
      <c r="E42" t="s">
        <v>2402</v>
      </c>
      <c r="F42">
        <v>3.73</v>
      </c>
      <c r="G42" t="s">
        <v>2403</v>
      </c>
      <c r="H42" t="s">
        <v>274</v>
      </c>
      <c r="J42" t="s">
        <v>274</v>
      </c>
      <c r="K42" t="s">
        <v>274</v>
      </c>
    </row>
    <row r="43" spans="2:11" hidden="1">
      <c r="B43" t="s">
        <v>208</v>
      </c>
      <c r="C43" t="s">
        <v>209</v>
      </c>
      <c r="D43" t="s">
        <v>2404</v>
      </c>
      <c r="E43" t="s">
        <v>2405</v>
      </c>
      <c r="F43">
        <v>2.77</v>
      </c>
      <c r="G43" t="s">
        <v>2406</v>
      </c>
      <c r="H43" t="s">
        <v>274</v>
      </c>
      <c r="J43" t="s">
        <v>274</v>
      </c>
      <c r="K43" t="s">
        <v>274</v>
      </c>
    </row>
    <row r="44" spans="2:11" hidden="1">
      <c r="B44" t="s">
        <v>210</v>
      </c>
      <c r="C44" t="s">
        <v>211</v>
      </c>
      <c r="D44" t="s">
        <v>2407</v>
      </c>
      <c r="E44" t="s">
        <v>2408</v>
      </c>
      <c r="F44">
        <v>2.8</v>
      </c>
      <c r="G44" t="s">
        <v>2409</v>
      </c>
      <c r="H44" t="s">
        <v>274</v>
      </c>
      <c r="J44" t="s">
        <v>274</v>
      </c>
      <c r="K44" t="s">
        <v>274</v>
      </c>
    </row>
    <row r="45" spans="2:11" hidden="1">
      <c r="B45" t="s">
        <v>233</v>
      </c>
      <c r="C45" t="s">
        <v>234</v>
      </c>
      <c r="D45" t="s">
        <v>2410</v>
      </c>
      <c r="E45" t="s">
        <v>2411</v>
      </c>
      <c r="F45">
        <v>1.22</v>
      </c>
      <c r="G45" t="s">
        <v>2412</v>
      </c>
      <c r="H45" t="s">
        <v>274</v>
      </c>
      <c r="J45" t="s">
        <v>274</v>
      </c>
      <c r="K45" t="s">
        <v>274</v>
      </c>
    </row>
    <row r="46" spans="2:11" hidden="1">
      <c r="B46" t="s">
        <v>235</v>
      </c>
      <c r="C46" t="s">
        <v>234</v>
      </c>
      <c r="D46" t="s">
        <v>2413</v>
      </c>
      <c r="E46" t="s">
        <v>2414</v>
      </c>
      <c r="F46">
        <v>1.2</v>
      </c>
      <c r="G46" t="s">
        <v>2415</v>
      </c>
      <c r="H46" t="s">
        <v>274</v>
      </c>
      <c r="J46" t="s">
        <v>274</v>
      </c>
      <c r="K46" t="s">
        <v>274</v>
      </c>
    </row>
    <row r="47" spans="2:11" hidden="1">
      <c r="B47" t="s">
        <v>174</v>
      </c>
      <c r="C47" t="s">
        <v>175</v>
      </c>
      <c r="D47" t="s">
        <v>2416</v>
      </c>
      <c r="E47" t="s">
        <v>2417</v>
      </c>
      <c r="F47">
        <v>1.22</v>
      </c>
      <c r="G47" t="s">
        <v>2418</v>
      </c>
      <c r="H47" t="s">
        <v>274</v>
      </c>
      <c r="J47" t="s">
        <v>274</v>
      </c>
      <c r="K47" t="s">
        <v>274</v>
      </c>
    </row>
    <row r="48" spans="2:11" hidden="1">
      <c r="B48" t="s">
        <v>176</v>
      </c>
      <c r="C48" t="s">
        <v>177</v>
      </c>
      <c r="D48" t="s">
        <v>2419</v>
      </c>
      <c r="E48" t="s">
        <v>2420</v>
      </c>
      <c r="F48">
        <v>1.2</v>
      </c>
      <c r="G48" t="s">
        <v>2421</v>
      </c>
      <c r="H48" t="s">
        <v>274</v>
      </c>
      <c r="J48" t="s">
        <v>274</v>
      </c>
      <c r="K48" t="s">
        <v>274</v>
      </c>
    </row>
    <row r="49" spans="2:11" hidden="1">
      <c r="B49" t="s">
        <v>166</v>
      </c>
      <c r="C49" t="s">
        <v>167</v>
      </c>
      <c r="D49" t="s">
        <v>2422</v>
      </c>
      <c r="E49" t="s">
        <v>2423</v>
      </c>
      <c r="F49">
        <v>0.42</v>
      </c>
      <c r="G49" t="s">
        <v>2424</v>
      </c>
      <c r="H49" t="s">
        <v>274</v>
      </c>
      <c r="J49" t="s">
        <v>274</v>
      </c>
      <c r="K49" t="s">
        <v>274</v>
      </c>
    </row>
    <row r="50" spans="2:11" hidden="1">
      <c r="B50" t="s">
        <v>271</v>
      </c>
      <c r="C50" t="s">
        <v>272</v>
      </c>
      <c r="D50" t="s">
        <v>2425</v>
      </c>
      <c r="E50" t="s">
        <v>2426</v>
      </c>
      <c r="F50">
        <v>1.1200000000000001</v>
      </c>
      <c r="G50" t="s">
        <v>2427</v>
      </c>
      <c r="H50" t="s">
        <v>274</v>
      </c>
      <c r="J50" t="s">
        <v>274</v>
      </c>
      <c r="K50" t="s">
        <v>274</v>
      </c>
    </row>
    <row r="51" spans="2:11" hidden="1">
      <c r="B51" t="s">
        <v>259</v>
      </c>
      <c r="C51" t="s">
        <v>260</v>
      </c>
      <c r="D51" t="s">
        <v>2428</v>
      </c>
      <c r="E51" t="s">
        <v>2429</v>
      </c>
      <c r="F51">
        <v>1.33</v>
      </c>
      <c r="G51" t="s">
        <v>2430</v>
      </c>
      <c r="H51" t="s">
        <v>274</v>
      </c>
      <c r="J51" t="s">
        <v>274</v>
      </c>
      <c r="K51" t="s">
        <v>274</v>
      </c>
    </row>
    <row r="52" spans="2:11" hidden="1">
      <c r="B52" t="s">
        <v>180</v>
      </c>
      <c r="C52" t="s">
        <v>181</v>
      </c>
      <c r="D52" t="s">
        <v>2431</v>
      </c>
      <c r="E52" t="s">
        <v>2432</v>
      </c>
      <c r="F52">
        <v>7.82</v>
      </c>
      <c r="G52" t="s">
        <v>2433</v>
      </c>
      <c r="H52" t="s">
        <v>278</v>
      </c>
      <c r="J52" t="s">
        <v>278</v>
      </c>
      <c r="K52" t="s">
        <v>278</v>
      </c>
    </row>
    <row r="53" spans="2:11" hidden="1">
      <c r="B53" t="s">
        <v>215</v>
      </c>
      <c r="C53" t="s">
        <v>216</v>
      </c>
      <c r="D53" t="s">
        <v>2434</v>
      </c>
      <c r="E53" t="s">
        <v>2435</v>
      </c>
      <c r="F53">
        <v>16.55</v>
      </c>
      <c r="G53" t="s">
        <v>2436</v>
      </c>
      <c r="H53" t="s">
        <v>294</v>
      </c>
      <c r="J53" t="s">
        <v>294</v>
      </c>
      <c r="K53" t="s">
        <v>294</v>
      </c>
    </row>
    <row r="54" spans="2:11" hidden="1">
      <c r="B54" t="s">
        <v>163</v>
      </c>
      <c r="C54" t="s">
        <v>164</v>
      </c>
      <c r="D54" t="s">
        <v>2437</v>
      </c>
      <c r="E54" t="s">
        <v>2438</v>
      </c>
      <c r="F54">
        <v>3.72</v>
      </c>
      <c r="G54" t="s">
        <v>2439</v>
      </c>
      <c r="H54" t="s">
        <v>294</v>
      </c>
      <c r="J54" t="s">
        <v>294</v>
      </c>
      <c r="K54" t="s">
        <v>294</v>
      </c>
    </row>
    <row r="55" spans="2:11" hidden="1">
      <c r="B55" t="s">
        <v>165</v>
      </c>
      <c r="C55" t="s">
        <v>164</v>
      </c>
      <c r="D55" t="s">
        <v>2440</v>
      </c>
      <c r="E55" t="s">
        <v>2441</v>
      </c>
      <c r="F55">
        <v>0.57999999999999996</v>
      </c>
      <c r="G55" t="s">
        <v>2442</v>
      </c>
      <c r="H55" t="s">
        <v>294</v>
      </c>
      <c r="J55" t="s">
        <v>294</v>
      </c>
      <c r="K55" t="s">
        <v>294</v>
      </c>
    </row>
    <row r="56" spans="2:11" hidden="1">
      <c r="B56" t="s">
        <v>661</v>
      </c>
      <c r="C56" t="s">
        <v>183</v>
      </c>
      <c r="D56" t="s">
        <v>2443</v>
      </c>
      <c r="E56" t="s">
        <v>2444</v>
      </c>
      <c r="F56">
        <v>0.5</v>
      </c>
      <c r="G56" t="s">
        <v>2445</v>
      </c>
      <c r="H56" t="s">
        <v>294</v>
      </c>
      <c r="J56" t="s">
        <v>294</v>
      </c>
      <c r="K56" t="s">
        <v>294</v>
      </c>
    </row>
    <row r="57" spans="2:11">
      <c r="B57" t="s">
        <v>287</v>
      </c>
      <c r="C57" t="s">
        <v>288</v>
      </c>
      <c r="D57" t="s">
        <v>2278</v>
      </c>
      <c r="E57" t="s">
        <v>2279</v>
      </c>
      <c r="F57">
        <v>10.25</v>
      </c>
      <c r="G57" t="s">
        <v>2280</v>
      </c>
      <c r="H57" t="s">
        <v>276</v>
      </c>
      <c r="J57" t="s">
        <v>276</v>
      </c>
      <c r="K57" t="s">
        <v>276</v>
      </c>
    </row>
    <row r="58" spans="2:11" hidden="1">
      <c r="B58" t="s">
        <v>279</v>
      </c>
      <c r="C58" t="s">
        <v>280</v>
      </c>
      <c r="D58" t="s">
        <v>2446</v>
      </c>
      <c r="E58" t="s">
        <v>2447</v>
      </c>
      <c r="F58">
        <v>10.42</v>
      </c>
      <c r="G58" t="s">
        <v>2448</v>
      </c>
      <c r="H58" t="s">
        <v>294</v>
      </c>
      <c r="J58" t="s">
        <v>294</v>
      </c>
      <c r="K58" t="s">
        <v>294</v>
      </c>
    </row>
    <row r="59" spans="2:11" hidden="1">
      <c r="B59" t="s">
        <v>224</v>
      </c>
      <c r="C59" t="s">
        <v>225</v>
      </c>
      <c r="D59" t="s">
        <v>2449</v>
      </c>
      <c r="E59" t="s">
        <v>2450</v>
      </c>
      <c r="F59">
        <v>13.38</v>
      </c>
      <c r="G59" t="s">
        <v>2451</v>
      </c>
      <c r="H59" t="s">
        <v>274</v>
      </c>
      <c r="J59" t="s">
        <v>274</v>
      </c>
      <c r="K59" t="s">
        <v>274</v>
      </c>
    </row>
    <row r="60" spans="2:11" hidden="1">
      <c r="B60" t="s">
        <v>199</v>
      </c>
      <c r="C60" t="s">
        <v>200</v>
      </c>
      <c r="D60" t="s">
        <v>2452</v>
      </c>
      <c r="E60" t="s">
        <v>2453</v>
      </c>
      <c r="F60">
        <v>24.65</v>
      </c>
      <c r="G60" t="s">
        <v>2454</v>
      </c>
      <c r="H60" t="s">
        <v>278</v>
      </c>
      <c r="J60" t="s">
        <v>278</v>
      </c>
      <c r="K60" t="s">
        <v>278</v>
      </c>
    </row>
    <row r="61" spans="2:11" hidden="1">
      <c r="B61" t="s">
        <v>255</v>
      </c>
      <c r="C61" t="s">
        <v>256</v>
      </c>
      <c r="D61" t="s">
        <v>2455</v>
      </c>
      <c r="E61" t="s">
        <v>2456</v>
      </c>
      <c r="F61">
        <v>0.53</v>
      </c>
      <c r="G61" t="s">
        <v>2457</v>
      </c>
      <c r="H61" t="s">
        <v>425</v>
      </c>
      <c r="J61" t="s">
        <v>425</v>
      </c>
      <c r="K61" t="s">
        <v>425</v>
      </c>
    </row>
    <row r="62" spans="2:11" hidden="1">
      <c r="B62" t="s">
        <v>194</v>
      </c>
      <c r="C62" t="s">
        <v>183</v>
      </c>
      <c r="D62" t="s">
        <v>2458</v>
      </c>
      <c r="E62" t="s">
        <v>2459</v>
      </c>
      <c r="F62">
        <v>2.95</v>
      </c>
      <c r="G62" t="s">
        <v>2460</v>
      </c>
      <c r="H62" t="s">
        <v>294</v>
      </c>
      <c r="J62" t="s">
        <v>294</v>
      </c>
      <c r="K62" t="s">
        <v>294</v>
      </c>
    </row>
    <row r="63" spans="2:11">
      <c r="B63" t="s">
        <v>82</v>
      </c>
      <c r="C63" t="s">
        <v>217</v>
      </c>
      <c r="D63" t="s">
        <v>2461</v>
      </c>
      <c r="E63" t="s">
        <v>2462</v>
      </c>
      <c r="F63">
        <v>7.82</v>
      </c>
      <c r="G63" t="s">
        <v>2463</v>
      </c>
      <c r="H63" t="s">
        <v>278</v>
      </c>
      <c r="J63" t="s">
        <v>278</v>
      </c>
      <c r="K63" t="s">
        <v>278</v>
      </c>
    </row>
    <row r="64" spans="2:11" hidden="1">
      <c r="B64" t="s">
        <v>249</v>
      </c>
      <c r="C64" t="s">
        <v>250</v>
      </c>
      <c r="D64" t="s">
        <v>2464</v>
      </c>
      <c r="E64" t="s">
        <v>2465</v>
      </c>
      <c r="F64">
        <v>2.23</v>
      </c>
      <c r="G64" t="s">
        <v>2466</v>
      </c>
      <c r="H64" t="s">
        <v>278</v>
      </c>
      <c r="J64" t="s">
        <v>278</v>
      </c>
      <c r="K64" t="s">
        <v>278</v>
      </c>
    </row>
    <row r="65" spans="2:11" hidden="1">
      <c r="B65" t="s">
        <v>231</v>
      </c>
      <c r="C65" t="s">
        <v>232</v>
      </c>
      <c r="D65" t="s">
        <v>2467</v>
      </c>
      <c r="E65" t="s">
        <v>2468</v>
      </c>
      <c r="F65">
        <v>2.92</v>
      </c>
      <c r="G65" t="s">
        <v>2469</v>
      </c>
      <c r="H65" t="s">
        <v>425</v>
      </c>
      <c r="J65" t="s">
        <v>425</v>
      </c>
      <c r="K65" t="s">
        <v>425</v>
      </c>
    </row>
    <row r="66" spans="2:11" hidden="1">
      <c r="B66" t="s">
        <v>224</v>
      </c>
      <c r="C66" t="s">
        <v>225</v>
      </c>
      <c r="D66" t="s">
        <v>2470</v>
      </c>
      <c r="E66" t="s">
        <v>2471</v>
      </c>
      <c r="F66">
        <v>1.38</v>
      </c>
      <c r="G66" t="s">
        <v>2472</v>
      </c>
      <c r="H66" t="s">
        <v>286</v>
      </c>
      <c r="J66" t="s">
        <v>286</v>
      </c>
      <c r="K66" t="s">
        <v>286</v>
      </c>
    </row>
    <row r="67" spans="2:11" hidden="1">
      <c r="B67" t="s">
        <v>195</v>
      </c>
      <c r="C67" t="s">
        <v>196</v>
      </c>
      <c r="D67" t="s">
        <v>2473</v>
      </c>
      <c r="E67" t="s">
        <v>2474</v>
      </c>
      <c r="F67">
        <v>0.2</v>
      </c>
      <c r="G67" t="s">
        <v>2475</v>
      </c>
      <c r="I67" t="s">
        <v>275</v>
      </c>
      <c r="J67" t="s">
        <v>425</v>
      </c>
      <c r="K67" t="s">
        <v>425</v>
      </c>
    </row>
    <row r="68" spans="2:11" hidden="1">
      <c r="B68" t="s">
        <v>242</v>
      </c>
      <c r="C68" t="s">
        <v>243</v>
      </c>
      <c r="D68" t="s">
        <v>2476</v>
      </c>
      <c r="E68" t="s">
        <v>2477</v>
      </c>
      <c r="F68">
        <v>1.1200000000000001</v>
      </c>
      <c r="G68" t="s">
        <v>2478</v>
      </c>
      <c r="H68" t="s">
        <v>274</v>
      </c>
      <c r="J68" t="s">
        <v>274</v>
      </c>
      <c r="K68" t="s">
        <v>274</v>
      </c>
    </row>
    <row r="69" spans="2:11" hidden="1">
      <c r="B69" t="s">
        <v>184</v>
      </c>
      <c r="C69" t="s">
        <v>185</v>
      </c>
      <c r="D69" t="s">
        <v>2479</v>
      </c>
      <c r="E69" t="s">
        <v>2480</v>
      </c>
      <c r="F69">
        <v>3.88</v>
      </c>
      <c r="G69" t="s">
        <v>2481</v>
      </c>
      <c r="H69" t="s">
        <v>274</v>
      </c>
      <c r="J69" t="s">
        <v>274</v>
      </c>
      <c r="K69" t="s">
        <v>274</v>
      </c>
    </row>
    <row r="70" spans="2:11" hidden="1">
      <c r="B70" t="s">
        <v>339</v>
      </c>
      <c r="C70" t="s">
        <v>340</v>
      </c>
      <c r="D70" t="s">
        <v>2482</v>
      </c>
      <c r="E70" t="s">
        <v>2483</v>
      </c>
      <c r="F70">
        <v>1.1000000000000001</v>
      </c>
      <c r="G70" t="s">
        <v>2484</v>
      </c>
      <c r="H70" t="s">
        <v>274</v>
      </c>
      <c r="J70" t="s">
        <v>274</v>
      </c>
      <c r="K70" t="s">
        <v>274</v>
      </c>
    </row>
    <row r="71" spans="2:11" hidden="1">
      <c r="B71" t="s">
        <v>188</v>
      </c>
      <c r="C71" t="s">
        <v>189</v>
      </c>
      <c r="D71" t="s">
        <v>2485</v>
      </c>
      <c r="E71" t="s">
        <v>2486</v>
      </c>
      <c r="F71">
        <v>19.170000000000002</v>
      </c>
      <c r="G71" t="s">
        <v>2487</v>
      </c>
      <c r="H71" t="s">
        <v>277</v>
      </c>
      <c r="J71" t="s">
        <v>277</v>
      </c>
      <c r="K71" t="s">
        <v>277</v>
      </c>
    </row>
    <row r="72" spans="2:11" hidden="1">
      <c r="B72" t="s">
        <v>300</v>
      </c>
      <c r="C72" t="s">
        <v>301</v>
      </c>
      <c r="D72" t="s">
        <v>2488</v>
      </c>
      <c r="E72" t="s">
        <v>2489</v>
      </c>
      <c r="F72">
        <v>1.7</v>
      </c>
      <c r="G72" t="s">
        <v>2490</v>
      </c>
      <c r="H72" t="s">
        <v>294</v>
      </c>
      <c r="J72" t="s">
        <v>294</v>
      </c>
      <c r="K72" t="s">
        <v>294</v>
      </c>
    </row>
    <row r="73" spans="2:11" hidden="1">
      <c r="B73" t="s">
        <v>186</v>
      </c>
      <c r="C73" t="s">
        <v>187</v>
      </c>
      <c r="D73" t="s">
        <v>2491</v>
      </c>
      <c r="E73" t="s">
        <v>2492</v>
      </c>
      <c r="F73">
        <v>0.78</v>
      </c>
      <c r="G73" t="s">
        <v>2493</v>
      </c>
      <c r="H73" t="s">
        <v>294</v>
      </c>
      <c r="J73" t="s">
        <v>294</v>
      </c>
      <c r="K73" t="s">
        <v>294</v>
      </c>
    </row>
    <row r="74" spans="2:11" hidden="1">
      <c r="B74" t="s">
        <v>281</v>
      </c>
      <c r="C74" t="s">
        <v>282</v>
      </c>
      <c r="D74" t="s">
        <v>2494</v>
      </c>
      <c r="E74" t="s">
        <v>2495</v>
      </c>
      <c r="F74">
        <v>1.92</v>
      </c>
      <c r="G74" t="s">
        <v>2496</v>
      </c>
      <c r="H74" t="s">
        <v>294</v>
      </c>
      <c r="J74" t="s">
        <v>294</v>
      </c>
      <c r="K74" t="s">
        <v>294</v>
      </c>
    </row>
    <row r="75" spans="2:11" hidden="1">
      <c r="B75" t="s">
        <v>172</v>
      </c>
      <c r="C75" t="s">
        <v>173</v>
      </c>
      <c r="D75" t="s">
        <v>2497</v>
      </c>
      <c r="E75" t="s">
        <v>2498</v>
      </c>
      <c r="F75">
        <v>0.38</v>
      </c>
      <c r="G75" t="s">
        <v>2499</v>
      </c>
      <c r="H75" t="s">
        <v>286</v>
      </c>
      <c r="J75" t="s">
        <v>286</v>
      </c>
      <c r="K75" t="s">
        <v>286</v>
      </c>
    </row>
    <row r="76" spans="2:11" hidden="1">
      <c r="B76" t="s">
        <v>2500</v>
      </c>
      <c r="C76" t="s">
        <v>2501</v>
      </c>
      <c r="D76" t="s">
        <v>2502</v>
      </c>
      <c r="E76" t="s">
        <v>2503</v>
      </c>
      <c r="F76">
        <v>54.77</v>
      </c>
      <c r="G76" t="s">
        <v>2504</v>
      </c>
      <c r="H76" t="s">
        <v>274</v>
      </c>
      <c r="J76" t="s">
        <v>274</v>
      </c>
      <c r="K76" t="s">
        <v>274</v>
      </c>
    </row>
    <row r="77" spans="2:11" hidden="1">
      <c r="B77" t="s">
        <v>195</v>
      </c>
      <c r="C77" t="s">
        <v>196</v>
      </c>
      <c r="D77" t="s">
        <v>2505</v>
      </c>
      <c r="E77" t="s">
        <v>2506</v>
      </c>
      <c r="F77">
        <v>18.55</v>
      </c>
      <c r="G77" t="s">
        <v>2475</v>
      </c>
      <c r="H77" t="s">
        <v>276</v>
      </c>
      <c r="J77" t="s">
        <v>276</v>
      </c>
      <c r="K77" t="s">
        <v>276</v>
      </c>
    </row>
    <row r="78" spans="2:11" hidden="1">
      <c r="B78" t="s">
        <v>170</v>
      </c>
      <c r="C78" t="s">
        <v>171</v>
      </c>
      <c r="D78" t="s">
        <v>2507</v>
      </c>
      <c r="E78" t="s">
        <v>2508</v>
      </c>
      <c r="F78">
        <v>0.73</v>
      </c>
      <c r="G78" t="s">
        <v>2509</v>
      </c>
      <c r="H78" t="s">
        <v>273</v>
      </c>
      <c r="J78" t="s">
        <v>273</v>
      </c>
      <c r="K78" t="s">
        <v>273</v>
      </c>
    </row>
    <row r="79" spans="2:11" hidden="1">
      <c r="B79" t="s">
        <v>168</v>
      </c>
      <c r="C79" t="s">
        <v>169</v>
      </c>
      <c r="D79" t="s">
        <v>2510</v>
      </c>
      <c r="E79" t="s">
        <v>2511</v>
      </c>
      <c r="F79">
        <v>0.15</v>
      </c>
      <c r="G79" t="s">
        <v>2512</v>
      </c>
      <c r="H79" t="s">
        <v>294</v>
      </c>
      <c r="J79" t="s">
        <v>294</v>
      </c>
      <c r="K79" t="s">
        <v>294</v>
      </c>
    </row>
    <row r="80" spans="2:11" hidden="1">
      <c r="B80" t="s">
        <v>236</v>
      </c>
      <c r="C80" t="s">
        <v>237</v>
      </c>
      <c r="D80" t="s">
        <v>2513</v>
      </c>
      <c r="E80" t="s">
        <v>2514</v>
      </c>
      <c r="F80">
        <v>7.9</v>
      </c>
      <c r="G80" t="s">
        <v>2515</v>
      </c>
      <c r="H80" t="s">
        <v>294</v>
      </c>
      <c r="J80" t="s">
        <v>294</v>
      </c>
      <c r="K80" t="s">
        <v>294</v>
      </c>
    </row>
    <row r="81" spans="2:11" hidden="1">
      <c r="B81" t="s">
        <v>207</v>
      </c>
      <c r="C81" t="s">
        <v>205</v>
      </c>
      <c r="D81" t="s">
        <v>2516</v>
      </c>
      <c r="E81" t="s">
        <v>2517</v>
      </c>
      <c r="F81">
        <v>13.5</v>
      </c>
      <c r="G81" t="s">
        <v>2518</v>
      </c>
      <c r="H81" t="s">
        <v>425</v>
      </c>
      <c r="J81" t="s">
        <v>425</v>
      </c>
      <c r="K81" t="s">
        <v>425</v>
      </c>
    </row>
    <row r="82" spans="2:11">
      <c r="B82" t="s">
        <v>83</v>
      </c>
      <c r="C82" t="s">
        <v>201</v>
      </c>
      <c r="D82" t="s">
        <v>2519</v>
      </c>
      <c r="E82" t="s">
        <v>2520</v>
      </c>
      <c r="F82">
        <v>18.600000000000001</v>
      </c>
      <c r="G82" t="s">
        <v>2521</v>
      </c>
      <c r="H82" t="s">
        <v>294</v>
      </c>
      <c r="J82" t="s">
        <v>294</v>
      </c>
      <c r="K82" t="s">
        <v>294</v>
      </c>
    </row>
    <row r="83" spans="2:11" hidden="1">
      <c r="B83" t="s">
        <v>218</v>
      </c>
      <c r="C83" t="s">
        <v>177</v>
      </c>
      <c r="D83" t="s">
        <v>2522</v>
      </c>
      <c r="E83" t="s">
        <v>2523</v>
      </c>
      <c r="F83">
        <v>15.28</v>
      </c>
      <c r="G83" t="s">
        <v>2524</v>
      </c>
      <c r="H83" t="s">
        <v>294</v>
      </c>
      <c r="I83" t="s">
        <v>2525</v>
      </c>
      <c r="J83" t="s">
        <v>294</v>
      </c>
      <c r="K83" t="s">
        <v>294</v>
      </c>
    </row>
    <row r="84" spans="2:11" hidden="1">
      <c r="B84" t="s">
        <v>186</v>
      </c>
      <c r="C84" t="s">
        <v>187</v>
      </c>
      <c r="D84" t="s">
        <v>2526</v>
      </c>
      <c r="E84" t="s">
        <v>2527</v>
      </c>
      <c r="F84">
        <v>1.38</v>
      </c>
      <c r="G84" t="s">
        <v>2528</v>
      </c>
      <c r="H84" t="s">
        <v>274</v>
      </c>
      <c r="J84" t="s">
        <v>274</v>
      </c>
      <c r="K84" t="s">
        <v>274</v>
      </c>
    </row>
    <row r="85" spans="2:11" hidden="1">
      <c r="B85" t="s">
        <v>166</v>
      </c>
      <c r="C85" t="s">
        <v>167</v>
      </c>
      <c r="D85" t="s">
        <v>2529</v>
      </c>
      <c r="E85" t="s">
        <v>2530</v>
      </c>
      <c r="F85">
        <v>0.63</v>
      </c>
      <c r="G85" t="s">
        <v>2531</v>
      </c>
      <c r="H85" t="s">
        <v>286</v>
      </c>
      <c r="J85" t="s">
        <v>286</v>
      </c>
      <c r="K85" t="s">
        <v>286</v>
      </c>
    </row>
    <row r="86" spans="2:11" hidden="1">
      <c r="B86" t="s">
        <v>218</v>
      </c>
      <c r="C86" t="s">
        <v>177</v>
      </c>
      <c r="D86" t="s">
        <v>2532</v>
      </c>
      <c r="E86" t="s">
        <v>2533</v>
      </c>
      <c r="F86">
        <v>2.33</v>
      </c>
      <c r="G86" t="s">
        <v>2534</v>
      </c>
      <c r="H86" t="s">
        <v>425</v>
      </c>
      <c r="J86" t="s">
        <v>425</v>
      </c>
      <c r="K86" t="s">
        <v>425</v>
      </c>
    </row>
    <row r="87" spans="2:11" hidden="1">
      <c r="B87" t="s">
        <v>163</v>
      </c>
      <c r="C87" t="s">
        <v>164</v>
      </c>
      <c r="D87" t="s">
        <v>2535</v>
      </c>
      <c r="E87" t="s">
        <v>2536</v>
      </c>
      <c r="F87">
        <v>0.32</v>
      </c>
      <c r="G87" t="s">
        <v>2537</v>
      </c>
      <c r="H87" t="s">
        <v>286</v>
      </c>
      <c r="J87" t="s">
        <v>286</v>
      </c>
      <c r="K87" t="s">
        <v>286</v>
      </c>
    </row>
    <row r="88" spans="2:11" hidden="1">
      <c r="B88" t="s">
        <v>165</v>
      </c>
      <c r="C88" t="s">
        <v>164</v>
      </c>
      <c r="D88" t="s">
        <v>2538</v>
      </c>
      <c r="E88" t="s">
        <v>2539</v>
      </c>
      <c r="F88">
        <v>0.32</v>
      </c>
      <c r="G88" t="s">
        <v>2540</v>
      </c>
      <c r="H88" t="s">
        <v>286</v>
      </c>
      <c r="J88" t="s">
        <v>286</v>
      </c>
      <c r="K88" t="s">
        <v>286</v>
      </c>
    </row>
    <row r="89" spans="2:11" hidden="1">
      <c r="B89" t="s">
        <v>562</v>
      </c>
      <c r="C89" t="s">
        <v>563</v>
      </c>
      <c r="D89" t="s">
        <v>2541</v>
      </c>
      <c r="E89" t="s">
        <v>2542</v>
      </c>
      <c r="F89">
        <v>0.25</v>
      </c>
      <c r="G89" t="s">
        <v>2543</v>
      </c>
      <c r="H89" t="s">
        <v>286</v>
      </c>
      <c r="J89" t="s">
        <v>286</v>
      </c>
      <c r="K89" t="s">
        <v>286</v>
      </c>
    </row>
    <row r="90" spans="2:11" hidden="1">
      <c r="B90" t="s">
        <v>219</v>
      </c>
      <c r="C90" t="s">
        <v>183</v>
      </c>
      <c r="D90" t="s">
        <v>2544</v>
      </c>
      <c r="E90" t="s">
        <v>2545</v>
      </c>
      <c r="F90">
        <v>1.7</v>
      </c>
      <c r="G90" t="s">
        <v>2546</v>
      </c>
      <c r="H90" t="s">
        <v>286</v>
      </c>
      <c r="J90" t="s">
        <v>286</v>
      </c>
      <c r="K90" t="s">
        <v>286</v>
      </c>
    </row>
    <row r="91" spans="2:11">
      <c r="B91" t="s">
        <v>84</v>
      </c>
      <c r="C91" t="s">
        <v>190</v>
      </c>
      <c r="D91" t="s">
        <v>2547</v>
      </c>
      <c r="E91" t="s">
        <v>2548</v>
      </c>
      <c r="F91">
        <v>11.27</v>
      </c>
      <c r="G91" t="s">
        <v>2549</v>
      </c>
      <c r="H91" t="s">
        <v>294</v>
      </c>
      <c r="J91" t="s">
        <v>294</v>
      </c>
      <c r="K91" t="s">
        <v>294</v>
      </c>
    </row>
    <row r="92" spans="2:11" hidden="1">
      <c r="B92" t="s">
        <v>312</v>
      </c>
      <c r="C92" t="s">
        <v>313</v>
      </c>
      <c r="D92" t="s">
        <v>2550</v>
      </c>
      <c r="E92" t="s">
        <v>2551</v>
      </c>
      <c r="F92">
        <v>12.92</v>
      </c>
      <c r="G92" t="s">
        <v>2552</v>
      </c>
      <c r="H92" t="s">
        <v>294</v>
      </c>
      <c r="J92" t="s">
        <v>294</v>
      </c>
      <c r="K92" t="s">
        <v>294</v>
      </c>
    </row>
    <row r="93" spans="2:11" hidden="1">
      <c r="B93" t="s">
        <v>199</v>
      </c>
      <c r="C93" t="s">
        <v>200</v>
      </c>
      <c r="D93" t="s">
        <v>2553</v>
      </c>
      <c r="E93" t="s">
        <v>2554</v>
      </c>
      <c r="F93">
        <v>7.1</v>
      </c>
      <c r="G93" t="s">
        <v>2555</v>
      </c>
      <c r="H93" t="s">
        <v>294</v>
      </c>
      <c r="J93" t="s">
        <v>294</v>
      </c>
      <c r="K93" t="s">
        <v>294</v>
      </c>
    </row>
    <row r="94" spans="2:11" hidden="1">
      <c r="B94" t="s">
        <v>170</v>
      </c>
      <c r="C94" t="s">
        <v>171</v>
      </c>
      <c r="D94" t="s">
        <v>2556</v>
      </c>
      <c r="E94" t="s">
        <v>2557</v>
      </c>
      <c r="F94">
        <v>0.78</v>
      </c>
      <c r="G94" t="s">
        <v>2558</v>
      </c>
      <c r="H94" t="s">
        <v>277</v>
      </c>
      <c r="J94" t="s">
        <v>277</v>
      </c>
      <c r="K94" t="s">
        <v>277</v>
      </c>
    </row>
    <row r="95" spans="2:11">
      <c r="B95" t="s">
        <v>85</v>
      </c>
      <c r="C95" t="s">
        <v>226</v>
      </c>
      <c r="D95" t="s">
        <v>2559</v>
      </c>
      <c r="E95" t="s">
        <v>2560</v>
      </c>
      <c r="F95">
        <v>7.8</v>
      </c>
      <c r="G95" t="s">
        <v>2561</v>
      </c>
      <c r="H95" t="s">
        <v>278</v>
      </c>
      <c r="J95" t="s">
        <v>278</v>
      </c>
      <c r="K95" t="s">
        <v>278</v>
      </c>
    </row>
    <row r="96" spans="2:11" hidden="1">
      <c r="B96" t="s">
        <v>212</v>
      </c>
      <c r="C96" t="s">
        <v>213</v>
      </c>
      <c r="D96" t="s">
        <v>2562</v>
      </c>
      <c r="E96" t="s">
        <v>2563</v>
      </c>
      <c r="F96">
        <v>17.63</v>
      </c>
      <c r="G96" t="s">
        <v>2564</v>
      </c>
      <c r="H96" t="s">
        <v>276</v>
      </c>
      <c r="J96" t="s">
        <v>276</v>
      </c>
      <c r="K96" t="s">
        <v>276</v>
      </c>
    </row>
    <row r="97" spans="2:11" hidden="1">
      <c r="B97" t="s">
        <v>253</v>
      </c>
      <c r="C97" t="s">
        <v>252</v>
      </c>
      <c r="D97" t="s">
        <v>2565</v>
      </c>
      <c r="E97" t="s">
        <v>2566</v>
      </c>
      <c r="F97">
        <v>1.72</v>
      </c>
      <c r="G97" t="s">
        <v>2567</v>
      </c>
      <c r="H97" t="s">
        <v>277</v>
      </c>
      <c r="J97" t="s">
        <v>277</v>
      </c>
      <c r="K97" t="s">
        <v>277</v>
      </c>
    </row>
    <row r="98" spans="2:11" hidden="1">
      <c r="B98" t="s">
        <v>254</v>
      </c>
      <c r="C98" t="s">
        <v>252</v>
      </c>
      <c r="D98" t="s">
        <v>2568</v>
      </c>
      <c r="E98" t="s">
        <v>2569</v>
      </c>
      <c r="F98">
        <v>1.68</v>
      </c>
      <c r="G98" t="s">
        <v>2570</v>
      </c>
      <c r="H98" t="s">
        <v>277</v>
      </c>
      <c r="J98" t="s">
        <v>277</v>
      </c>
      <c r="K98" t="s">
        <v>277</v>
      </c>
    </row>
    <row r="99" spans="2:11" hidden="1">
      <c r="B99" t="s">
        <v>251</v>
      </c>
      <c r="C99" t="s">
        <v>252</v>
      </c>
      <c r="D99" t="s">
        <v>2571</v>
      </c>
      <c r="E99" t="s">
        <v>2572</v>
      </c>
      <c r="F99">
        <v>1.73</v>
      </c>
      <c r="G99" t="s">
        <v>2573</v>
      </c>
      <c r="H99" t="s">
        <v>277</v>
      </c>
      <c r="J99" t="s">
        <v>277</v>
      </c>
      <c r="K99" t="s">
        <v>277</v>
      </c>
    </row>
    <row r="100" spans="2:11" hidden="1">
      <c r="B100" t="s">
        <v>257</v>
      </c>
      <c r="C100" t="s">
        <v>252</v>
      </c>
      <c r="D100" t="s">
        <v>2574</v>
      </c>
      <c r="E100" t="s">
        <v>2575</v>
      </c>
      <c r="F100">
        <v>1.75</v>
      </c>
      <c r="G100" t="s">
        <v>2576</v>
      </c>
      <c r="H100" t="s">
        <v>277</v>
      </c>
      <c r="J100" t="s">
        <v>277</v>
      </c>
      <c r="K100" t="s">
        <v>277</v>
      </c>
    </row>
    <row r="101" spans="2:11" hidden="1">
      <c r="B101" t="s">
        <v>172</v>
      </c>
      <c r="C101" t="s">
        <v>173</v>
      </c>
      <c r="D101" t="s">
        <v>2577</v>
      </c>
      <c r="E101" t="s">
        <v>2578</v>
      </c>
      <c r="F101">
        <v>4.5</v>
      </c>
      <c r="G101" t="s">
        <v>2579</v>
      </c>
      <c r="H101" t="s">
        <v>425</v>
      </c>
      <c r="J101" t="s">
        <v>425</v>
      </c>
      <c r="K101" t="s">
        <v>425</v>
      </c>
    </row>
    <row r="102" spans="2:11" hidden="1">
      <c r="B102" t="s">
        <v>214</v>
      </c>
      <c r="C102" t="s">
        <v>205</v>
      </c>
      <c r="D102" t="s">
        <v>2580</v>
      </c>
      <c r="E102" t="s">
        <v>2581</v>
      </c>
      <c r="F102">
        <v>1.42</v>
      </c>
      <c r="G102" t="s">
        <v>2582</v>
      </c>
      <c r="H102" t="s">
        <v>277</v>
      </c>
      <c r="J102" t="s">
        <v>277</v>
      </c>
      <c r="K102" t="s">
        <v>277</v>
      </c>
    </row>
    <row r="103" spans="2:11" hidden="1">
      <c r="B103" t="s">
        <v>207</v>
      </c>
      <c r="C103" t="s">
        <v>205</v>
      </c>
      <c r="D103" t="s">
        <v>2583</v>
      </c>
      <c r="E103" t="s">
        <v>2584</v>
      </c>
      <c r="F103">
        <v>1.43</v>
      </c>
      <c r="G103" t="s">
        <v>2585</v>
      </c>
      <c r="H103" t="s">
        <v>277</v>
      </c>
      <c r="J103" t="s">
        <v>277</v>
      </c>
      <c r="K103" t="s">
        <v>277</v>
      </c>
    </row>
    <row r="104" spans="2:11" hidden="1">
      <c r="B104" t="s">
        <v>206</v>
      </c>
      <c r="C104" t="s">
        <v>205</v>
      </c>
      <c r="D104" t="s">
        <v>2586</v>
      </c>
      <c r="E104" t="s">
        <v>2587</v>
      </c>
      <c r="F104">
        <v>1.45</v>
      </c>
      <c r="G104" t="s">
        <v>2588</v>
      </c>
      <c r="H104" t="s">
        <v>277</v>
      </c>
      <c r="J104" t="s">
        <v>277</v>
      </c>
      <c r="K104" t="s">
        <v>277</v>
      </c>
    </row>
    <row r="105" spans="2:11" hidden="1">
      <c r="B105" t="s">
        <v>204</v>
      </c>
      <c r="C105" t="s">
        <v>205</v>
      </c>
      <c r="D105" t="s">
        <v>2589</v>
      </c>
      <c r="E105" t="s">
        <v>2590</v>
      </c>
      <c r="F105">
        <v>1.5</v>
      </c>
      <c r="G105" t="s">
        <v>2591</v>
      </c>
      <c r="H105" t="s">
        <v>277</v>
      </c>
      <c r="J105" t="s">
        <v>277</v>
      </c>
      <c r="K105" t="s">
        <v>277</v>
      </c>
    </row>
    <row r="106" spans="2:11" hidden="1">
      <c r="B106" t="s">
        <v>302</v>
      </c>
      <c r="C106" t="s">
        <v>303</v>
      </c>
      <c r="D106" t="s">
        <v>2592</v>
      </c>
      <c r="E106" t="s">
        <v>2593</v>
      </c>
      <c r="F106">
        <v>2.12</v>
      </c>
      <c r="G106" t="s">
        <v>2594</v>
      </c>
      <c r="H106" t="s">
        <v>286</v>
      </c>
      <c r="J106" t="s">
        <v>286</v>
      </c>
      <c r="K106" t="s">
        <v>286</v>
      </c>
    </row>
    <row r="107" spans="2:11" hidden="1">
      <c r="B107" t="s">
        <v>180</v>
      </c>
      <c r="C107" t="s">
        <v>181</v>
      </c>
      <c r="D107" t="s">
        <v>2595</v>
      </c>
      <c r="E107" t="s">
        <v>2596</v>
      </c>
      <c r="F107">
        <v>15.98</v>
      </c>
      <c r="G107" t="s">
        <v>2597</v>
      </c>
      <c r="H107" t="s">
        <v>294</v>
      </c>
      <c r="J107" t="s">
        <v>294</v>
      </c>
      <c r="K107" t="s">
        <v>294</v>
      </c>
    </row>
    <row r="108" spans="2:11" hidden="1">
      <c r="B108" t="s">
        <v>306</v>
      </c>
      <c r="C108" t="s">
        <v>307</v>
      </c>
      <c r="D108" t="s">
        <v>2598</v>
      </c>
      <c r="E108" t="s">
        <v>2599</v>
      </c>
      <c r="F108">
        <v>10.47</v>
      </c>
      <c r="G108" t="s">
        <v>2600</v>
      </c>
      <c r="H108" t="s">
        <v>286</v>
      </c>
      <c r="J108" t="s">
        <v>286</v>
      </c>
      <c r="K108" t="s">
        <v>286</v>
      </c>
    </row>
    <row r="109" spans="2:11" hidden="1">
      <c r="B109" t="s">
        <v>168</v>
      </c>
      <c r="C109" t="s">
        <v>169</v>
      </c>
      <c r="D109" t="s">
        <v>2601</v>
      </c>
      <c r="E109" t="s">
        <v>2602</v>
      </c>
      <c r="F109">
        <v>0.73</v>
      </c>
      <c r="G109" t="s">
        <v>2603</v>
      </c>
      <c r="H109" t="s">
        <v>274</v>
      </c>
      <c r="J109" t="s">
        <v>274</v>
      </c>
      <c r="K109" t="s">
        <v>274</v>
      </c>
    </row>
    <row r="110" spans="2:11" hidden="1">
      <c r="B110" t="s">
        <v>215</v>
      </c>
      <c r="C110" t="s">
        <v>216</v>
      </c>
      <c r="D110" t="s">
        <v>2604</v>
      </c>
      <c r="E110" t="s">
        <v>2605</v>
      </c>
      <c r="F110">
        <v>8.6</v>
      </c>
      <c r="G110" t="s">
        <v>2606</v>
      </c>
      <c r="H110" t="s">
        <v>425</v>
      </c>
      <c r="J110" t="s">
        <v>425</v>
      </c>
      <c r="K110" t="s">
        <v>425</v>
      </c>
    </row>
    <row r="111" spans="2:11">
      <c r="B111" t="s">
        <v>95</v>
      </c>
      <c r="C111" t="s">
        <v>258</v>
      </c>
      <c r="D111" t="s">
        <v>2607</v>
      </c>
      <c r="E111" t="s">
        <v>2608</v>
      </c>
      <c r="F111">
        <v>9.18</v>
      </c>
      <c r="G111" t="s">
        <v>2609</v>
      </c>
      <c r="H111" t="s">
        <v>425</v>
      </c>
      <c r="J111" t="s">
        <v>425</v>
      </c>
      <c r="K111" t="s">
        <v>425</v>
      </c>
    </row>
    <row r="112" spans="2:11" hidden="1">
      <c r="B112" t="s">
        <v>186</v>
      </c>
      <c r="C112" t="s">
        <v>187</v>
      </c>
      <c r="D112" t="s">
        <v>2610</v>
      </c>
      <c r="E112" t="s">
        <v>2611</v>
      </c>
      <c r="F112">
        <v>0.3</v>
      </c>
      <c r="G112" t="s">
        <v>2612</v>
      </c>
      <c r="H112" t="s">
        <v>276</v>
      </c>
      <c r="J112" t="s">
        <v>276</v>
      </c>
      <c r="K112" t="s">
        <v>276</v>
      </c>
    </row>
    <row r="113" spans="2:11" hidden="1">
      <c r="B113" t="s">
        <v>166</v>
      </c>
      <c r="C113" t="s">
        <v>167</v>
      </c>
      <c r="D113" t="s">
        <v>2613</v>
      </c>
      <c r="E113" t="s">
        <v>2614</v>
      </c>
      <c r="F113">
        <v>0.18</v>
      </c>
      <c r="G113" t="s">
        <v>2615</v>
      </c>
      <c r="H113" t="s">
        <v>278</v>
      </c>
      <c r="J113" t="s">
        <v>278</v>
      </c>
      <c r="K113" t="s">
        <v>278</v>
      </c>
    </row>
    <row r="114" spans="2:11" hidden="1">
      <c r="B114" t="s">
        <v>163</v>
      </c>
      <c r="C114" t="s">
        <v>164</v>
      </c>
      <c r="D114" t="s">
        <v>2616</v>
      </c>
      <c r="E114" t="s">
        <v>2617</v>
      </c>
      <c r="F114">
        <v>0.15</v>
      </c>
      <c r="G114" t="s">
        <v>2618</v>
      </c>
      <c r="H114" t="s">
        <v>278</v>
      </c>
      <c r="J114" t="s">
        <v>278</v>
      </c>
      <c r="K114" t="s">
        <v>278</v>
      </c>
    </row>
    <row r="115" spans="2:11" hidden="1">
      <c r="B115" t="s">
        <v>165</v>
      </c>
      <c r="C115" t="s">
        <v>164</v>
      </c>
      <c r="D115" t="s">
        <v>2619</v>
      </c>
      <c r="E115" t="s">
        <v>2620</v>
      </c>
      <c r="F115">
        <v>0.2</v>
      </c>
      <c r="G115" t="s">
        <v>2621</v>
      </c>
      <c r="H115" t="s">
        <v>278</v>
      </c>
      <c r="J115" t="s">
        <v>278</v>
      </c>
      <c r="K115" t="s">
        <v>278</v>
      </c>
    </row>
    <row r="116" spans="2:11" hidden="1">
      <c r="B116" t="s">
        <v>194</v>
      </c>
      <c r="C116" t="s">
        <v>183</v>
      </c>
      <c r="D116" t="s">
        <v>2622</v>
      </c>
      <c r="E116" t="s">
        <v>2623</v>
      </c>
      <c r="F116">
        <v>2.0699999999999998</v>
      </c>
      <c r="G116" t="s">
        <v>2624</v>
      </c>
      <c r="H116" t="s">
        <v>286</v>
      </c>
      <c r="J116" t="s">
        <v>286</v>
      </c>
      <c r="K116" t="s">
        <v>286</v>
      </c>
    </row>
    <row r="117" spans="2:11" hidden="1">
      <c r="B117" t="s">
        <v>192</v>
      </c>
      <c r="C117" t="s">
        <v>183</v>
      </c>
      <c r="D117" t="s">
        <v>2625</v>
      </c>
      <c r="E117" t="s">
        <v>2626</v>
      </c>
      <c r="F117">
        <v>6.07</v>
      </c>
      <c r="G117" t="s">
        <v>2627</v>
      </c>
      <c r="H117" t="s">
        <v>286</v>
      </c>
      <c r="J117" t="s">
        <v>286</v>
      </c>
      <c r="K117" t="s">
        <v>286</v>
      </c>
    </row>
    <row r="118" spans="2:11" hidden="1">
      <c r="B118" t="s">
        <v>188</v>
      </c>
      <c r="C118" t="s">
        <v>189</v>
      </c>
      <c r="D118" t="s">
        <v>2628</v>
      </c>
      <c r="E118" t="s">
        <v>2629</v>
      </c>
      <c r="F118">
        <v>7.35</v>
      </c>
      <c r="G118" t="s">
        <v>2630</v>
      </c>
      <c r="H118" t="s">
        <v>278</v>
      </c>
      <c r="J118" t="s">
        <v>278</v>
      </c>
      <c r="K118" t="s">
        <v>278</v>
      </c>
    </row>
    <row r="119" spans="2:11" hidden="1">
      <c r="B119" t="s">
        <v>170</v>
      </c>
      <c r="C119" t="s">
        <v>171</v>
      </c>
      <c r="D119" t="s">
        <v>2631</v>
      </c>
      <c r="E119" t="s">
        <v>2632</v>
      </c>
      <c r="F119">
        <v>6.82</v>
      </c>
      <c r="G119" t="s">
        <v>2633</v>
      </c>
      <c r="H119" t="s">
        <v>425</v>
      </c>
      <c r="J119" t="s">
        <v>425</v>
      </c>
      <c r="K119" t="s">
        <v>425</v>
      </c>
    </row>
    <row r="120" spans="2:11">
      <c r="B120" t="s">
        <v>82</v>
      </c>
      <c r="C120" t="s">
        <v>217</v>
      </c>
      <c r="D120" t="s">
        <v>2634</v>
      </c>
      <c r="E120" t="s">
        <v>2635</v>
      </c>
      <c r="F120">
        <v>16.079999999999998</v>
      </c>
      <c r="G120" t="s">
        <v>2636</v>
      </c>
      <c r="H120" t="s">
        <v>276</v>
      </c>
      <c r="J120" t="s">
        <v>276</v>
      </c>
      <c r="K120" t="s">
        <v>276</v>
      </c>
    </row>
    <row r="121" spans="2:11" hidden="1">
      <c r="B121" t="s">
        <v>236</v>
      </c>
      <c r="C121" t="s">
        <v>237</v>
      </c>
      <c r="D121" t="s">
        <v>2637</v>
      </c>
      <c r="E121" t="s">
        <v>2638</v>
      </c>
      <c r="F121">
        <v>18.97</v>
      </c>
      <c r="G121" t="s">
        <v>2639</v>
      </c>
      <c r="H121" t="s">
        <v>294</v>
      </c>
      <c r="J121" t="s">
        <v>294</v>
      </c>
      <c r="K121" t="s">
        <v>294</v>
      </c>
    </row>
    <row r="122" spans="2:11" hidden="1">
      <c r="B122" t="s">
        <v>182</v>
      </c>
      <c r="C122" t="s">
        <v>183</v>
      </c>
      <c r="D122" t="s">
        <v>2640</v>
      </c>
      <c r="E122" t="s">
        <v>2641</v>
      </c>
      <c r="F122">
        <v>0.63</v>
      </c>
      <c r="G122" t="s">
        <v>2642</v>
      </c>
      <c r="H122" t="s">
        <v>274</v>
      </c>
      <c r="J122" t="s">
        <v>274</v>
      </c>
      <c r="K122" t="s">
        <v>274</v>
      </c>
    </row>
    <row r="123" spans="2:11" hidden="1">
      <c r="B123" t="s">
        <v>172</v>
      </c>
      <c r="C123" t="s">
        <v>173</v>
      </c>
      <c r="D123" t="s">
        <v>2643</v>
      </c>
      <c r="E123" t="s">
        <v>2644</v>
      </c>
      <c r="F123">
        <v>0.2</v>
      </c>
      <c r="G123" t="s">
        <v>2645</v>
      </c>
      <c r="H123" t="s">
        <v>276</v>
      </c>
      <c r="J123" t="s">
        <v>276</v>
      </c>
      <c r="K123" t="s">
        <v>276</v>
      </c>
    </row>
    <row r="124" spans="2:11" hidden="1">
      <c r="B124" t="s">
        <v>328</v>
      </c>
      <c r="C124" t="s">
        <v>329</v>
      </c>
      <c r="D124" t="s">
        <v>2646</v>
      </c>
      <c r="E124" t="s">
        <v>2647</v>
      </c>
      <c r="F124">
        <v>2.4</v>
      </c>
      <c r="G124" t="s">
        <v>2648</v>
      </c>
      <c r="H124" t="s">
        <v>286</v>
      </c>
      <c r="J124" t="s">
        <v>286</v>
      </c>
      <c r="K124" t="s">
        <v>286</v>
      </c>
    </row>
    <row r="125" spans="2:11" hidden="1">
      <c r="B125" t="s">
        <v>240</v>
      </c>
      <c r="C125" t="s">
        <v>241</v>
      </c>
      <c r="D125" t="s">
        <v>2649</v>
      </c>
      <c r="E125" t="s">
        <v>2650</v>
      </c>
      <c r="F125">
        <v>21.1</v>
      </c>
      <c r="G125" t="s">
        <v>2651</v>
      </c>
      <c r="H125" t="s">
        <v>276</v>
      </c>
      <c r="J125" t="s">
        <v>276</v>
      </c>
      <c r="K125" t="s">
        <v>276</v>
      </c>
    </row>
    <row r="126" spans="2:11" hidden="1">
      <c r="B126" t="s">
        <v>168</v>
      </c>
      <c r="C126" t="s">
        <v>169</v>
      </c>
      <c r="D126" t="s">
        <v>2652</v>
      </c>
      <c r="E126" t="s">
        <v>2653</v>
      </c>
      <c r="F126">
        <v>0.7</v>
      </c>
      <c r="G126" t="s">
        <v>2654</v>
      </c>
      <c r="H126" t="s">
        <v>425</v>
      </c>
      <c r="J126" t="s">
        <v>425</v>
      </c>
      <c r="K126" t="s">
        <v>425</v>
      </c>
    </row>
    <row r="127" spans="2:11" hidden="1">
      <c r="B127" t="s">
        <v>184</v>
      </c>
      <c r="C127" t="s">
        <v>185</v>
      </c>
      <c r="D127" t="s">
        <v>2655</v>
      </c>
      <c r="E127" t="s">
        <v>2656</v>
      </c>
      <c r="F127">
        <v>17.73</v>
      </c>
      <c r="G127" t="s">
        <v>2657</v>
      </c>
      <c r="H127" t="s">
        <v>277</v>
      </c>
      <c r="J127" t="s">
        <v>277</v>
      </c>
      <c r="K127" t="s">
        <v>277</v>
      </c>
    </row>
    <row r="128" spans="2:11" hidden="1">
      <c r="B128" t="s">
        <v>330</v>
      </c>
      <c r="C128" t="s">
        <v>331</v>
      </c>
      <c r="D128" t="s">
        <v>2658</v>
      </c>
      <c r="E128" t="s">
        <v>2659</v>
      </c>
      <c r="F128">
        <v>11.58</v>
      </c>
      <c r="G128" t="s">
        <v>2660</v>
      </c>
      <c r="H128" t="s">
        <v>425</v>
      </c>
      <c r="J128" t="s">
        <v>425</v>
      </c>
      <c r="K128" t="s">
        <v>425</v>
      </c>
    </row>
    <row r="129" spans="2:11" hidden="1">
      <c r="B129" t="s">
        <v>336</v>
      </c>
      <c r="C129" t="s">
        <v>305</v>
      </c>
      <c r="D129" t="s">
        <v>2661</v>
      </c>
      <c r="E129" t="s">
        <v>2662</v>
      </c>
      <c r="F129">
        <v>2.4300000000000002</v>
      </c>
      <c r="G129" t="s">
        <v>2663</v>
      </c>
      <c r="H129" t="s">
        <v>277</v>
      </c>
      <c r="J129" t="s">
        <v>277</v>
      </c>
      <c r="K129" t="s">
        <v>277</v>
      </c>
    </row>
    <row r="130" spans="2:11" hidden="1">
      <c r="B130" t="s">
        <v>195</v>
      </c>
      <c r="C130" t="s">
        <v>196</v>
      </c>
      <c r="D130" t="s">
        <v>2664</v>
      </c>
      <c r="E130" t="s">
        <v>2665</v>
      </c>
      <c r="F130">
        <v>8.08</v>
      </c>
      <c r="G130" t="s">
        <v>2666</v>
      </c>
      <c r="H130" t="s">
        <v>276</v>
      </c>
      <c r="J130" t="s">
        <v>276</v>
      </c>
      <c r="K130" t="s">
        <v>276</v>
      </c>
    </row>
    <row r="131" spans="2:11" hidden="1">
      <c r="B131" t="s">
        <v>220</v>
      </c>
      <c r="C131" t="s">
        <v>221</v>
      </c>
      <c r="D131" t="s">
        <v>2667</v>
      </c>
      <c r="E131" t="s">
        <v>2668</v>
      </c>
      <c r="F131">
        <v>11.6</v>
      </c>
      <c r="G131" t="s">
        <v>2669</v>
      </c>
      <c r="H131" t="s">
        <v>276</v>
      </c>
      <c r="J131" t="s">
        <v>276</v>
      </c>
      <c r="K131" t="s">
        <v>276</v>
      </c>
    </row>
    <row r="132" spans="2:11" hidden="1">
      <c r="B132" t="s">
        <v>186</v>
      </c>
      <c r="C132" t="s">
        <v>187</v>
      </c>
      <c r="D132" t="s">
        <v>2670</v>
      </c>
      <c r="E132" t="s">
        <v>2671</v>
      </c>
      <c r="F132">
        <v>0.13</v>
      </c>
      <c r="G132" t="s">
        <v>2672</v>
      </c>
      <c r="H132" t="s">
        <v>274</v>
      </c>
      <c r="J132" t="s">
        <v>274</v>
      </c>
      <c r="K132" t="s">
        <v>274</v>
      </c>
    </row>
    <row r="133" spans="2:11" hidden="1">
      <c r="B133" t="s">
        <v>334</v>
      </c>
      <c r="C133" t="s">
        <v>335</v>
      </c>
      <c r="D133" t="s">
        <v>2673</v>
      </c>
      <c r="E133" t="s">
        <v>2674</v>
      </c>
      <c r="F133">
        <v>2.2000000000000002</v>
      </c>
      <c r="G133" t="s">
        <v>2675</v>
      </c>
      <c r="H133" t="s">
        <v>277</v>
      </c>
      <c r="J133" t="s">
        <v>277</v>
      </c>
      <c r="K133" t="s">
        <v>277</v>
      </c>
    </row>
    <row r="134" spans="2:11" hidden="1">
      <c r="B134" t="s">
        <v>229</v>
      </c>
      <c r="C134" t="s">
        <v>230</v>
      </c>
      <c r="D134" t="s">
        <v>2676</v>
      </c>
      <c r="E134" t="s">
        <v>2677</v>
      </c>
      <c r="F134">
        <v>7.52</v>
      </c>
      <c r="G134" t="s">
        <v>2678</v>
      </c>
      <c r="H134" t="s">
        <v>276</v>
      </c>
      <c r="J134" t="s">
        <v>276</v>
      </c>
      <c r="K134" t="s">
        <v>276</v>
      </c>
    </row>
    <row r="135" spans="2:11">
      <c r="B135" t="s">
        <v>83</v>
      </c>
      <c r="C135" t="s">
        <v>201</v>
      </c>
      <c r="D135" t="s">
        <v>2679</v>
      </c>
      <c r="E135" t="s">
        <v>2680</v>
      </c>
      <c r="F135">
        <v>9.1300000000000008</v>
      </c>
      <c r="G135" t="s">
        <v>2681</v>
      </c>
      <c r="H135" t="s">
        <v>276</v>
      </c>
      <c r="J135" t="s">
        <v>276</v>
      </c>
      <c r="K135" t="s">
        <v>276</v>
      </c>
    </row>
    <row r="136" spans="2:11" hidden="1">
      <c r="B136" t="s">
        <v>172</v>
      </c>
      <c r="C136" t="s">
        <v>173</v>
      </c>
      <c r="D136" t="s">
        <v>2682</v>
      </c>
      <c r="E136" t="s">
        <v>2683</v>
      </c>
      <c r="F136">
        <v>0.25</v>
      </c>
      <c r="G136" t="s">
        <v>2684</v>
      </c>
      <c r="H136" t="s">
        <v>276</v>
      </c>
      <c r="J136" t="s">
        <v>276</v>
      </c>
      <c r="K136" t="s">
        <v>276</v>
      </c>
    </row>
  </sheetData>
  <autoFilter ref="A1:K136" xr:uid="{D2F8CDDB-2073-4CB7-9979-2B57F929CA14}">
    <filterColumn colId="1">
      <filters>
        <filter val="LP-N1"/>
        <filter val="LP-N3"/>
        <filter val="LP-N4"/>
        <filter val="LP-N5"/>
        <filter val="LP-N6"/>
        <filter val="LP-N7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 filterMode="1"/>
  <dimension ref="B1:K1001"/>
  <sheetViews>
    <sheetView workbookViewId="0">
      <selection sqref="A1:XFD12"/>
    </sheetView>
  </sheetViews>
  <sheetFormatPr defaultRowHeight="15.75"/>
  <cols>
    <col min="4" max="4" width="16.375" bestFit="1" customWidth="1"/>
    <col min="5" max="5" width="15.125" customWidth="1"/>
    <col min="7" max="7" width="27.5" customWidth="1"/>
  </cols>
  <sheetData>
    <row r="1" spans="2:11"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161</v>
      </c>
      <c r="H1" t="s">
        <v>268</v>
      </c>
      <c r="I1" t="s">
        <v>162</v>
      </c>
      <c r="J1" t="s">
        <v>372</v>
      </c>
      <c r="K1" t="s">
        <v>373</v>
      </c>
    </row>
    <row r="2" spans="2:11" hidden="1">
      <c r="B2" t="s">
        <v>182</v>
      </c>
      <c r="C2" t="s">
        <v>183</v>
      </c>
      <c r="D2" s="83" t="s">
        <v>374</v>
      </c>
      <c r="E2" s="83" t="s">
        <v>375</v>
      </c>
      <c r="F2">
        <v>0.47</v>
      </c>
      <c r="G2" t="s">
        <v>376</v>
      </c>
      <c r="H2" t="s">
        <v>277</v>
      </c>
      <c r="J2" t="s">
        <v>277</v>
      </c>
      <c r="K2" t="s">
        <v>277</v>
      </c>
    </row>
    <row r="3" spans="2:11" hidden="1">
      <c r="B3" t="s">
        <v>165</v>
      </c>
      <c r="C3" t="s">
        <v>164</v>
      </c>
      <c r="D3" s="83" t="s">
        <v>377</v>
      </c>
      <c r="E3" s="83" t="s">
        <v>378</v>
      </c>
      <c r="F3">
        <v>0.48</v>
      </c>
      <c r="G3" t="s">
        <v>379</v>
      </c>
      <c r="H3" t="s">
        <v>294</v>
      </c>
      <c r="J3" t="s">
        <v>294</v>
      </c>
      <c r="K3" t="s">
        <v>294</v>
      </c>
    </row>
    <row r="4" spans="2:11" hidden="1">
      <c r="B4" t="s">
        <v>163</v>
      </c>
      <c r="C4" t="s">
        <v>164</v>
      </c>
      <c r="D4" s="83" t="s">
        <v>380</v>
      </c>
      <c r="E4" s="83" t="s">
        <v>381</v>
      </c>
      <c r="F4">
        <v>0.5</v>
      </c>
      <c r="G4" t="s">
        <v>382</v>
      </c>
      <c r="H4" t="s">
        <v>294</v>
      </c>
      <c r="J4" t="s">
        <v>294</v>
      </c>
      <c r="K4" t="s">
        <v>294</v>
      </c>
    </row>
    <row r="5" spans="2:11" hidden="1">
      <c r="B5" t="s">
        <v>191</v>
      </c>
      <c r="C5" t="s">
        <v>183</v>
      </c>
      <c r="D5" s="83" t="s">
        <v>383</v>
      </c>
      <c r="E5" t="s">
        <v>384</v>
      </c>
      <c r="F5">
        <v>0.17</v>
      </c>
      <c r="G5" t="s">
        <v>385</v>
      </c>
      <c r="H5" t="s">
        <v>274</v>
      </c>
      <c r="J5" t="s">
        <v>274</v>
      </c>
      <c r="K5" t="s">
        <v>274</v>
      </c>
    </row>
    <row r="6" spans="2:11" hidden="1">
      <c r="B6" t="s">
        <v>182</v>
      </c>
      <c r="C6" t="s">
        <v>183</v>
      </c>
      <c r="D6" s="83" t="s">
        <v>386</v>
      </c>
      <c r="E6" t="s">
        <v>387</v>
      </c>
      <c r="F6">
        <v>0.53</v>
      </c>
      <c r="G6" t="s">
        <v>388</v>
      </c>
      <c r="H6" t="s">
        <v>274</v>
      </c>
      <c r="J6" t="s">
        <v>274</v>
      </c>
      <c r="K6" t="s">
        <v>274</v>
      </c>
    </row>
    <row r="7" spans="2:11" hidden="1">
      <c r="B7" t="s">
        <v>193</v>
      </c>
      <c r="C7" t="s">
        <v>183</v>
      </c>
      <c r="D7" s="83" t="s">
        <v>389</v>
      </c>
      <c r="E7" s="83" t="s">
        <v>390</v>
      </c>
      <c r="F7">
        <v>0.55000000000000004</v>
      </c>
      <c r="G7" t="s">
        <v>391</v>
      </c>
      <c r="H7" t="s">
        <v>274</v>
      </c>
      <c r="J7" t="s">
        <v>274</v>
      </c>
      <c r="K7" t="s">
        <v>274</v>
      </c>
    </row>
    <row r="8" spans="2:11" hidden="1">
      <c r="B8" t="s">
        <v>166</v>
      </c>
      <c r="C8" t="s">
        <v>167</v>
      </c>
      <c r="D8" s="83" t="s">
        <v>392</v>
      </c>
      <c r="E8" s="83" t="s">
        <v>393</v>
      </c>
      <c r="F8">
        <v>1.95</v>
      </c>
      <c r="G8" t="s">
        <v>394</v>
      </c>
      <c r="H8" t="s">
        <v>294</v>
      </c>
      <c r="J8" t="s">
        <v>294</v>
      </c>
      <c r="K8" t="s">
        <v>294</v>
      </c>
    </row>
    <row r="9" spans="2:11" hidden="1">
      <c r="B9" t="s">
        <v>212</v>
      </c>
      <c r="C9" t="s">
        <v>213</v>
      </c>
      <c r="D9" s="83" t="s">
        <v>395</v>
      </c>
      <c r="E9" s="83" t="s">
        <v>396</v>
      </c>
      <c r="F9">
        <v>8.07</v>
      </c>
      <c r="G9" t="s">
        <v>397</v>
      </c>
      <c r="H9" t="s">
        <v>286</v>
      </c>
      <c r="J9" t="s">
        <v>286</v>
      </c>
      <c r="K9" t="s">
        <v>286</v>
      </c>
    </row>
    <row r="10" spans="2:11" hidden="1">
      <c r="B10" t="s">
        <v>219</v>
      </c>
      <c r="C10" t="s">
        <v>183</v>
      </c>
      <c r="D10" s="83" t="s">
        <v>398</v>
      </c>
      <c r="E10" s="83" t="s">
        <v>399</v>
      </c>
      <c r="F10">
        <v>4.7300000000000004</v>
      </c>
      <c r="G10" t="s">
        <v>400</v>
      </c>
      <c r="H10" t="s">
        <v>274</v>
      </c>
      <c r="J10" t="s">
        <v>274</v>
      </c>
      <c r="K10" t="s">
        <v>274</v>
      </c>
    </row>
    <row r="11" spans="2:11" hidden="1">
      <c r="B11" t="s">
        <v>199</v>
      </c>
      <c r="C11" t="s">
        <v>200</v>
      </c>
      <c r="D11" s="83" t="s">
        <v>401</v>
      </c>
      <c r="E11" s="83" t="s">
        <v>402</v>
      </c>
      <c r="F11">
        <v>7.37</v>
      </c>
      <c r="G11" t="s">
        <v>403</v>
      </c>
      <c r="H11" t="s">
        <v>286</v>
      </c>
      <c r="J11" t="s">
        <v>286</v>
      </c>
      <c r="K11" t="s">
        <v>286</v>
      </c>
    </row>
    <row r="12" spans="2:11">
      <c r="B12" t="s">
        <v>84</v>
      </c>
      <c r="C12" t="s">
        <v>190</v>
      </c>
      <c r="D12" s="83" t="s">
        <v>404</v>
      </c>
      <c r="E12" s="83" t="s">
        <v>405</v>
      </c>
      <c r="F12">
        <v>12.07</v>
      </c>
      <c r="G12" t="s">
        <v>406</v>
      </c>
      <c r="H12" t="s">
        <v>276</v>
      </c>
      <c r="J12" t="s">
        <v>276</v>
      </c>
      <c r="K12" t="s">
        <v>276</v>
      </c>
    </row>
    <row r="13" spans="2:11" hidden="1">
      <c r="B13" t="s">
        <v>168</v>
      </c>
      <c r="C13" t="s">
        <v>169</v>
      </c>
      <c r="D13" s="83" t="s">
        <v>407</v>
      </c>
      <c r="E13" s="83" t="s">
        <v>408</v>
      </c>
      <c r="F13">
        <v>0.32</v>
      </c>
      <c r="G13" t="s">
        <v>409</v>
      </c>
      <c r="H13" t="s">
        <v>277</v>
      </c>
      <c r="J13" t="s">
        <v>277</v>
      </c>
      <c r="K13" t="s">
        <v>277</v>
      </c>
    </row>
    <row r="14" spans="2:11" hidden="1">
      <c r="B14" t="s">
        <v>186</v>
      </c>
      <c r="C14" t="s">
        <v>187</v>
      </c>
      <c r="D14" s="83" t="s">
        <v>410</v>
      </c>
      <c r="E14" s="83" t="s">
        <v>411</v>
      </c>
      <c r="F14">
        <v>0.23</v>
      </c>
      <c r="G14" t="s">
        <v>412</v>
      </c>
      <c r="H14" t="s">
        <v>274</v>
      </c>
      <c r="J14" t="s">
        <v>274</v>
      </c>
      <c r="K14" t="s">
        <v>274</v>
      </c>
    </row>
    <row r="15" spans="2:11" hidden="1">
      <c r="B15" t="s">
        <v>180</v>
      </c>
      <c r="C15" t="s">
        <v>181</v>
      </c>
      <c r="D15" s="83" t="s">
        <v>413</v>
      </c>
      <c r="E15" s="83" t="s">
        <v>414</v>
      </c>
      <c r="F15">
        <v>10.68</v>
      </c>
      <c r="G15" t="s">
        <v>415</v>
      </c>
      <c r="H15" t="s">
        <v>276</v>
      </c>
      <c r="J15" t="s">
        <v>276</v>
      </c>
      <c r="K15" t="s">
        <v>276</v>
      </c>
    </row>
    <row r="16" spans="2:11" hidden="1">
      <c r="B16" t="s">
        <v>197</v>
      </c>
      <c r="C16" t="s">
        <v>198</v>
      </c>
      <c r="D16" s="83" t="s">
        <v>416</v>
      </c>
      <c r="E16" s="83" t="s">
        <v>417</v>
      </c>
      <c r="F16">
        <v>9.5299999999999994</v>
      </c>
      <c r="G16" t="s">
        <v>418</v>
      </c>
      <c r="H16" t="s">
        <v>274</v>
      </c>
      <c r="J16" t="s">
        <v>274</v>
      </c>
      <c r="K16" t="s">
        <v>274</v>
      </c>
    </row>
    <row r="17" spans="2:11" hidden="1">
      <c r="B17" t="s">
        <v>218</v>
      </c>
      <c r="C17" t="s">
        <v>177</v>
      </c>
      <c r="D17" s="83" t="s">
        <v>419</v>
      </c>
      <c r="E17" s="83" t="s">
        <v>420</v>
      </c>
      <c r="F17">
        <v>11.07</v>
      </c>
      <c r="G17" t="s">
        <v>421</v>
      </c>
      <c r="H17" t="s">
        <v>276</v>
      </c>
      <c r="J17" t="s">
        <v>276</v>
      </c>
      <c r="K17" t="s">
        <v>276</v>
      </c>
    </row>
    <row r="18" spans="2:11" hidden="1">
      <c r="B18" t="s">
        <v>215</v>
      </c>
      <c r="C18" t="s">
        <v>216</v>
      </c>
      <c r="D18" s="83" t="s">
        <v>422</v>
      </c>
      <c r="E18" s="83" t="s">
        <v>423</v>
      </c>
      <c r="F18">
        <v>16.28</v>
      </c>
      <c r="G18" t="s">
        <v>424</v>
      </c>
      <c r="H18" t="s">
        <v>425</v>
      </c>
      <c r="J18" t="s">
        <v>425</v>
      </c>
      <c r="K18" t="s">
        <v>425</v>
      </c>
    </row>
    <row r="19" spans="2:11" hidden="1">
      <c r="B19" t="s">
        <v>236</v>
      </c>
      <c r="C19" t="s">
        <v>237</v>
      </c>
      <c r="D19" s="83" t="s">
        <v>426</v>
      </c>
      <c r="E19" s="83" t="s">
        <v>427</v>
      </c>
      <c r="F19">
        <v>11.42</v>
      </c>
      <c r="G19" t="s">
        <v>428</v>
      </c>
      <c r="H19" t="s">
        <v>276</v>
      </c>
      <c r="J19" t="s">
        <v>276</v>
      </c>
      <c r="K19" t="s">
        <v>276</v>
      </c>
    </row>
    <row r="20" spans="2:11">
      <c r="B20" t="s">
        <v>82</v>
      </c>
      <c r="C20" t="s">
        <v>217</v>
      </c>
      <c r="D20" s="83" t="s">
        <v>429</v>
      </c>
      <c r="E20" s="83" t="s">
        <v>430</v>
      </c>
      <c r="F20">
        <v>7.7</v>
      </c>
      <c r="G20" t="s">
        <v>431</v>
      </c>
      <c r="H20" t="s">
        <v>294</v>
      </c>
      <c r="J20" t="s">
        <v>294</v>
      </c>
      <c r="K20" t="s">
        <v>294</v>
      </c>
    </row>
    <row r="21" spans="2:11" hidden="1">
      <c r="B21" t="s">
        <v>324</v>
      </c>
      <c r="C21" t="s">
        <v>325</v>
      </c>
      <c r="D21" s="83" t="s">
        <v>432</v>
      </c>
      <c r="E21" s="83" t="s">
        <v>433</v>
      </c>
      <c r="F21">
        <v>8.42</v>
      </c>
      <c r="G21" t="s">
        <v>434</v>
      </c>
      <c r="H21" t="s">
        <v>295</v>
      </c>
      <c r="J21" t="s">
        <v>295</v>
      </c>
      <c r="K21" t="s">
        <v>295</v>
      </c>
    </row>
    <row r="22" spans="2:11" hidden="1">
      <c r="B22" t="s">
        <v>188</v>
      </c>
      <c r="C22" t="s">
        <v>189</v>
      </c>
      <c r="D22" s="83" t="s">
        <v>435</v>
      </c>
      <c r="E22" s="83" t="s">
        <v>436</v>
      </c>
      <c r="F22">
        <v>10.029999999999999</v>
      </c>
      <c r="G22" t="s">
        <v>437</v>
      </c>
      <c r="H22" t="s">
        <v>425</v>
      </c>
      <c r="J22" t="s">
        <v>425</v>
      </c>
      <c r="K22" t="s">
        <v>425</v>
      </c>
    </row>
    <row r="23" spans="2:11" hidden="1">
      <c r="B23" t="s">
        <v>172</v>
      </c>
      <c r="C23" t="s">
        <v>173</v>
      </c>
      <c r="D23" s="83" t="s">
        <v>438</v>
      </c>
      <c r="E23" s="83" t="s">
        <v>439</v>
      </c>
      <c r="F23">
        <v>6.05</v>
      </c>
      <c r="G23" t="s">
        <v>440</v>
      </c>
      <c r="H23" t="s">
        <v>278</v>
      </c>
      <c r="J23" t="s">
        <v>278</v>
      </c>
      <c r="K23" t="s">
        <v>278</v>
      </c>
    </row>
    <row r="24" spans="2:11" hidden="1">
      <c r="B24" t="s">
        <v>238</v>
      </c>
      <c r="C24" t="s">
        <v>239</v>
      </c>
      <c r="D24" s="83" t="s">
        <v>441</v>
      </c>
      <c r="E24" s="83" t="s">
        <v>442</v>
      </c>
      <c r="F24">
        <v>10.43</v>
      </c>
      <c r="G24" t="s">
        <v>443</v>
      </c>
      <c r="H24" t="s">
        <v>295</v>
      </c>
      <c r="J24" t="s">
        <v>295</v>
      </c>
      <c r="K24" t="s">
        <v>295</v>
      </c>
    </row>
    <row r="25" spans="2:11" hidden="1">
      <c r="B25" t="s">
        <v>168</v>
      </c>
      <c r="C25" t="s">
        <v>169</v>
      </c>
      <c r="D25" s="83" t="s">
        <v>444</v>
      </c>
      <c r="E25" s="83" t="s">
        <v>445</v>
      </c>
      <c r="F25">
        <v>0.28000000000000003</v>
      </c>
      <c r="G25" t="s">
        <v>446</v>
      </c>
      <c r="H25" t="s">
        <v>425</v>
      </c>
      <c r="J25" t="s">
        <v>425</v>
      </c>
      <c r="K25" t="s">
        <v>425</v>
      </c>
    </row>
    <row r="26" spans="2:11" hidden="1">
      <c r="B26" t="s">
        <v>186</v>
      </c>
      <c r="C26" t="s">
        <v>187</v>
      </c>
      <c r="D26" s="83" t="s">
        <v>447</v>
      </c>
      <c r="E26" s="83" t="s">
        <v>448</v>
      </c>
      <c r="F26">
        <v>0.08</v>
      </c>
      <c r="G26" t="s">
        <v>449</v>
      </c>
      <c r="H26" t="s">
        <v>276</v>
      </c>
      <c r="J26" t="s">
        <v>276</v>
      </c>
      <c r="K26" t="s">
        <v>276</v>
      </c>
    </row>
    <row r="27" spans="2:11" hidden="1">
      <c r="B27" t="s">
        <v>166</v>
      </c>
      <c r="C27" t="s">
        <v>167</v>
      </c>
      <c r="D27" s="83" t="s">
        <v>450</v>
      </c>
      <c r="E27" s="83" t="s">
        <v>451</v>
      </c>
      <c r="F27">
        <v>0.23</v>
      </c>
      <c r="G27" t="s">
        <v>452</v>
      </c>
      <c r="H27" t="s">
        <v>294</v>
      </c>
      <c r="J27" t="s">
        <v>294</v>
      </c>
      <c r="K27" t="s">
        <v>294</v>
      </c>
    </row>
    <row r="28" spans="2:11" hidden="1">
      <c r="B28" t="s">
        <v>163</v>
      </c>
      <c r="C28" t="s">
        <v>164</v>
      </c>
      <c r="D28" s="83" t="s">
        <v>453</v>
      </c>
      <c r="E28" s="83" t="s">
        <v>454</v>
      </c>
      <c r="F28">
        <v>0.27</v>
      </c>
      <c r="G28" t="s">
        <v>455</v>
      </c>
      <c r="H28" t="s">
        <v>294</v>
      </c>
      <c r="J28" t="s">
        <v>294</v>
      </c>
      <c r="K28" t="s">
        <v>294</v>
      </c>
    </row>
    <row r="29" spans="2:11" hidden="1">
      <c r="B29" t="s">
        <v>165</v>
      </c>
      <c r="C29" t="s">
        <v>164</v>
      </c>
      <c r="D29" s="83" t="s">
        <v>456</v>
      </c>
      <c r="E29" s="83" t="s">
        <v>457</v>
      </c>
      <c r="F29">
        <v>0.22</v>
      </c>
      <c r="G29" t="s">
        <v>458</v>
      </c>
      <c r="H29" t="s">
        <v>294</v>
      </c>
      <c r="J29" t="s">
        <v>294</v>
      </c>
      <c r="K29" t="s">
        <v>294</v>
      </c>
    </row>
    <row r="30" spans="2:11" hidden="1">
      <c r="B30" t="s">
        <v>184</v>
      </c>
      <c r="C30" t="s">
        <v>185</v>
      </c>
      <c r="D30" s="83" t="s">
        <v>459</v>
      </c>
      <c r="E30" s="83" t="s">
        <v>460</v>
      </c>
      <c r="F30">
        <v>11.35</v>
      </c>
      <c r="G30" t="s">
        <v>461</v>
      </c>
      <c r="H30" t="s">
        <v>276</v>
      </c>
      <c r="J30" t="s">
        <v>276</v>
      </c>
      <c r="K30" t="s">
        <v>276</v>
      </c>
    </row>
    <row r="31" spans="2:11" hidden="1">
      <c r="B31" t="s">
        <v>202</v>
      </c>
      <c r="C31" t="s">
        <v>203</v>
      </c>
      <c r="D31" s="83" t="s">
        <v>462</v>
      </c>
      <c r="E31" s="83" t="s">
        <v>463</v>
      </c>
      <c r="F31">
        <v>2.57</v>
      </c>
      <c r="G31" t="s">
        <v>464</v>
      </c>
      <c r="H31" t="s">
        <v>295</v>
      </c>
      <c r="J31" t="s">
        <v>295</v>
      </c>
      <c r="K31" t="s">
        <v>295</v>
      </c>
    </row>
    <row r="32" spans="2:11">
      <c r="B32" t="s">
        <v>85</v>
      </c>
      <c r="C32" t="s">
        <v>226</v>
      </c>
      <c r="D32" s="83" t="s">
        <v>465</v>
      </c>
      <c r="E32" s="83" t="s">
        <v>466</v>
      </c>
      <c r="F32">
        <v>17.18</v>
      </c>
      <c r="G32" t="s">
        <v>467</v>
      </c>
      <c r="H32" t="s">
        <v>295</v>
      </c>
      <c r="J32" t="s">
        <v>295</v>
      </c>
      <c r="K32" t="s">
        <v>295</v>
      </c>
    </row>
    <row r="33" spans="2:11" hidden="1">
      <c r="B33" t="s">
        <v>253</v>
      </c>
      <c r="C33" t="s">
        <v>252</v>
      </c>
      <c r="D33" s="83" t="s">
        <v>468</v>
      </c>
      <c r="E33" s="83" t="s">
        <v>469</v>
      </c>
      <c r="F33">
        <v>1.27</v>
      </c>
      <c r="G33" t="s">
        <v>470</v>
      </c>
      <c r="H33" t="s">
        <v>294</v>
      </c>
      <c r="J33" t="s">
        <v>294</v>
      </c>
      <c r="K33" t="s">
        <v>294</v>
      </c>
    </row>
    <row r="34" spans="2:11" hidden="1">
      <c r="B34" t="s">
        <v>257</v>
      </c>
      <c r="C34" t="s">
        <v>252</v>
      </c>
      <c r="D34" s="83" t="s">
        <v>471</v>
      </c>
      <c r="E34" s="83" t="s">
        <v>472</v>
      </c>
      <c r="F34">
        <v>1.27</v>
      </c>
      <c r="G34" t="s">
        <v>473</v>
      </c>
      <c r="H34" t="s">
        <v>294</v>
      </c>
      <c r="J34" t="s">
        <v>294</v>
      </c>
      <c r="K34" t="s">
        <v>294</v>
      </c>
    </row>
    <row r="35" spans="2:11" hidden="1">
      <c r="B35" t="s">
        <v>251</v>
      </c>
      <c r="C35" t="s">
        <v>252</v>
      </c>
      <c r="D35" s="83" t="s">
        <v>474</v>
      </c>
      <c r="E35" s="83" t="s">
        <v>475</v>
      </c>
      <c r="F35">
        <v>1.27</v>
      </c>
      <c r="G35" t="s">
        <v>476</v>
      </c>
      <c r="H35" t="s">
        <v>294</v>
      </c>
      <c r="J35" t="s">
        <v>294</v>
      </c>
      <c r="K35" t="s">
        <v>294</v>
      </c>
    </row>
    <row r="36" spans="2:11" hidden="1">
      <c r="B36" t="s">
        <v>172</v>
      </c>
      <c r="C36" t="s">
        <v>173</v>
      </c>
      <c r="D36" s="83" t="s">
        <v>477</v>
      </c>
      <c r="E36" s="83" t="s">
        <v>478</v>
      </c>
      <c r="F36">
        <v>5.0199999999999996</v>
      </c>
      <c r="G36" t="s">
        <v>479</v>
      </c>
      <c r="H36" t="s">
        <v>286</v>
      </c>
      <c r="I36" t="s">
        <v>480</v>
      </c>
      <c r="J36" t="s">
        <v>286</v>
      </c>
      <c r="K36" t="s">
        <v>286</v>
      </c>
    </row>
    <row r="37" spans="2:11" hidden="1">
      <c r="B37" t="s">
        <v>314</v>
      </c>
      <c r="C37" t="s">
        <v>315</v>
      </c>
      <c r="D37" s="83" t="s">
        <v>481</v>
      </c>
      <c r="E37" s="83" t="s">
        <v>482</v>
      </c>
      <c r="F37">
        <v>4.42</v>
      </c>
      <c r="G37" t="s">
        <v>483</v>
      </c>
      <c r="H37" t="s">
        <v>276</v>
      </c>
      <c r="J37" t="s">
        <v>276</v>
      </c>
      <c r="K37" t="s">
        <v>276</v>
      </c>
    </row>
    <row r="38" spans="2:11" hidden="1">
      <c r="B38" t="s">
        <v>247</v>
      </c>
      <c r="C38" t="s">
        <v>248</v>
      </c>
      <c r="D38" s="83" t="s">
        <v>484</v>
      </c>
      <c r="E38" s="83" t="s">
        <v>485</v>
      </c>
      <c r="F38">
        <v>2.6</v>
      </c>
      <c r="G38" t="s">
        <v>486</v>
      </c>
      <c r="H38" t="s">
        <v>274</v>
      </c>
      <c r="J38" t="s">
        <v>274</v>
      </c>
      <c r="K38" t="s">
        <v>274</v>
      </c>
    </row>
    <row r="39" spans="2:11" hidden="1">
      <c r="B39" t="s">
        <v>254</v>
      </c>
      <c r="C39" t="s">
        <v>252</v>
      </c>
      <c r="D39" s="83" t="s">
        <v>487</v>
      </c>
      <c r="E39" s="83" t="s">
        <v>488</v>
      </c>
      <c r="F39">
        <v>15.18</v>
      </c>
      <c r="G39" t="s">
        <v>489</v>
      </c>
      <c r="H39" t="s">
        <v>294</v>
      </c>
      <c r="J39" t="s">
        <v>294</v>
      </c>
      <c r="K39" t="s">
        <v>294</v>
      </c>
    </row>
    <row r="40" spans="2:11" hidden="1">
      <c r="B40" t="s">
        <v>170</v>
      </c>
      <c r="C40" t="s">
        <v>171</v>
      </c>
      <c r="D40" s="83" t="s">
        <v>490</v>
      </c>
      <c r="E40" s="83" t="s">
        <v>491</v>
      </c>
      <c r="F40">
        <v>0.53</v>
      </c>
      <c r="G40" t="s">
        <v>492</v>
      </c>
      <c r="H40" t="s">
        <v>277</v>
      </c>
      <c r="J40" t="s">
        <v>277</v>
      </c>
      <c r="K40" t="s">
        <v>277</v>
      </c>
    </row>
    <row r="41" spans="2:11" hidden="1">
      <c r="B41" t="s">
        <v>172</v>
      </c>
      <c r="C41" t="s">
        <v>173</v>
      </c>
      <c r="D41" s="83" t="s">
        <v>493</v>
      </c>
      <c r="E41" s="83" t="s">
        <v>494</v>
      </c>
      <c r="F41">
        <v>0.32</v>
      </c>
      <c r="G41" t="s">
        <v>495</v>
      </c>
      <c r="H41" t="s">
        <v>294</v>
      </c>
      <c r="J41" t="s">
        <v>294</v>
      </c>
      <c r="K41" t="s">
        <v>294</v>
      </c>
    </row>
    <row r="42" spans="2:11" hidden="1">
      <c r="B42" t="s">
        <v>222</v>
      </c>
      <c r="C42" t="s">
        <v>223</v>
      </c>
      <c r="D42" s="83" t="s">
        <v>496</v>
      </c>
      <c r="E42" s="83" t="s">
        <v>497</v>
      </c>
      <c r="F42">
        <v>10.6</v>
      </c>
      <c r="G42" t="s">
        <v>498</v>
      </c>
      <c r="H42" t="s">
        <v>276</v>
      </c>
      <c r="J42" t="s">
        <v>276</v>
      </c>
      <c r="K42" t="s">
        <v>276</v>
      </c>
    </row>
    <row r="43" spans="2:11" hidden="1">
      <c r="B43" t="s">
        <v>195</v>
      </c>
      <c r="C43" t="s">
        <v>196</v>
      </c>
      <c r="D43" s="83" t="s">
        <v>499</v>
      </c>
      <c r="E43" s="83" t="s">
        <v>500</v>
      </c>
      <c r="F43">
        <v>16.27</v>
      </c>
      <c r="G43" t="s">
        <v>501</v>
      </c>
      <c r="H43" t="s">
        <v>294</v>
      </c>
      <c r="J43" t="s">
        <v>294</v>
      </c>
      <c r="K43" t="s">
        <v>294</v>
      </c>
    </row>
    <row r="44" spans="2:11" hidden="1">
      <c r="B44" t="s">
        <v>193</v>
      </c>
      <c r="C44" t="s">
        <v>183</v>
      </c>
      <c r="D44" s="83" t="s">
        <v>502</v>
      </c>
      <c r="E44" s="83" t="s">
        <v>503</v>
      </c>
      <c r="F44">
        <v>2.1</v>
      </c>
      <c r="G44" t="s">
        <v>504</v>
      </c>
      <c r="H44" t="s">
        <v>274</v>
      </c>
      <c r="J44" t="s">
        <v>274</v>
      </c>
      <c r="K44" t="s">
        <v>274</v>
      </c>
    </row>
    <row r="45" spans="2:11" hidden="1">
      <c r="B45" t="s">
        <v>194</v>
      </c>
      <c r="C45" t="s">
        <v>183</v>
      </c>
      <c r="D45" s="83" t="s">
        <v>505</v>
      </c>
      <c r="E45" s="83" t="s">
        <v>506</v>
      </c>
      <c r="F45">
        <v>1.98</v>
      </c>
      <c r="G45" t="s">
        <v>507</v>
      </c>
      <c r="H45" t="s">
        <v>294</v>
      </c>
      <c r="J45" t="s">
        <v>294</v>
      </c>
      <c r="K45" t="s">
        <v>294</v>
      </c>
    </row>
    <row r="46" spans="2:11">
      <c r="B46" t="s">
        <v>81</v>
      </c>
      <c r="C46" t="s">
        <v>289</v>
      </c>
      <c r="D46" s="83" t="s">
        <v>508</v>
      </c>
      <c r="E46" s="83" t="s">
        <v>509</v>
      </c>
      <c r="F46">
        <v>8.18</v>
      </c>
      <c r="G46" t="s">
        <v>510</v>
      </c>
      <c r="H46" t="s">
        <v>274</v>
      </c>
      <c r="J46" t="s">
        <v>274</v>
      </c>
      <c r="K46" t="s">
        <v>274</v>
      </c>
    </row>
    <row r="47" spans="2:11" hidden="1">
      <c r="B47" t="s">
        <v>180</v>
      </c>
      <c r="C47" t="s">
        <v>181</v>
      </c>
      <c r="D47" s="83" t="s">
        <v>511</v>
      </c>
      <c r="E47" s="83" t="s">
        <v>512</v>
      </c>
      <c r="F47">
        <v>6.3</v>
      </c>
      <c r="G47" t="s">
        <v>513</v>
      </c>
      <c r="H47" t="s">
        <v>278</v>
      </c>
      <c r="J47" t="s">
        <v>278</v>
      </c>
      <c r="K47" t="s">
        <v>278</v>
      </c>
    </row>
    <row r="48" spans="2:11" hidden="1">
      <c r="B48" t="s">
        <v>168</v>
      </c>
      <c r="C48" t="s">
        <v>169</v>
      </c>
      <c r="D48" s="83" t="s">
        <v>514</v>
      </c>
      <c r="E48" s="83" t="s">
        <v>515</v>
      </c>
      <c r="F48">
        <v>0.23</v>
      </c>
      <c r="G48" t="s">
        <v>516</v>
      </c>
      <c r="H48" t="s">
        <v>277</v>
      </c>
      <c r="J48" t="s">
        <v>277</v>
      </c>
      <c r="K48" t="s">
        <v>277</v>
      </c>
    </row>
    <row r="49" spans="2:11" hidden="1">
      <c r="B49" t="s">
        <v>186</v>
      </c>
      <c r="C49" t="s">
        <v>187</v>
      </c>
      <c r="D49" s="83" t="s">
        <v>517</v>
      </c>
      <c r="E49" s="83" t="s">
        <v>518</v>
      </c>
      <c r="F49">
        <v>0.62</v>
      </c>
      <c r="G49" t="s">
        <v>519</v>
      </c>
      <c r="H49" t="s">
        <v>277</v>
      </c>
      <c r="J49" t="s">
        <v>277</v>
      </c>
      <c r="K49" t="s">
        <v>277</v>
      </c>
    </row>
    <row r="50" spans="2:11">
      <c r="B50" t="s">
        <v>83</v>
      </c>
      <c r="C50" t="s">
        <v>201</v>
      </c>
      <c r="D50" s="83" t="s">
        <v>520</v>
      </c>
      <c r="E50" s="83" t="s">
        <v>521</v>
      </c>
      <c r="F50">
        <v>6.8</v>
      </c>
      <c r="G50" t="s">
        <v>522</v>
      </c>
      <c r="H50" t="s">
        <v>276</v>
      </c>
      <c r="J50" t="s">
        <v>276</v>
      </c>
      <c r="K50" t="s">
        <v>276</v>
      </c>
    </row>
    <row r="51" spans="2:11" hidden="1">
      <c r="B51" t="s">
        <v>212</v>
      </c>
      <c r="C51" t="s">
        <v>213</v>
      </c>
      <c r="D51" s="83" t="s">
        <v>523</v>
      </c>
      <c r="E51" s="83" t="s">
        <v>524</v>
      </c>
      <c r="F51">
        <v>15.2</v>
      </c>
      <c r="G51" t="s">
        <v>525</v>
      </c>
      <c r="H51" t="s">
        <v>276</v>
      </c>
      <c r="J51" t="s">
        <v>276</v>
      </c>
      <c r="K51" t="s">
        <v>276</v>
      </c>
    </row>
    <row r="52" spans="2:11" hidden="1">
      <c r="B52" t="s">
        <v>197</v>
      </c>
      <c r="C52" t="s">
        <v>198</v>
      </c>
      <c r="D52" s="83" t="s">
        <v>526</v>
      </c>
      <c r="E52" s="83" t="s">
        <v>527</v>
      </c>
      <c r="F52">
        <v>0.97</v>
      </c>
      <c r="G52" t="s">
        <v>528</v>
      </c>
      <c r="H52" t="s">
        <v>277</v>
      </c>
      <c r="J52" t="s">
        <v>277</v>
      </c>
      <c r="K52" t="s">
        <v>277</v>
      </c>
    </row>
    <row r="53" spans="2:11" hidden="1">
      <c r="B53" t="s">
        <v>199</v>
      </c>
      <c r="C53" t="s">
        <v>200</v>
      </c>
      <c r="D53" s="83" t="s">
        <v>529</v>
      </c>
      <c r="E53" s="83" t="s">
        <v>530</v>
      </c>
      <c r="F53">
        <v>15.4</v>
      </c>
      <c r="G53" t="s">
        <v>531</v>
      </c>
      <c r="H53" t="s">
        <v>278</v>
      </c>
      <c r="J53" t="s">
        <v>278</v>
      </c>
      <c r="K53" t="s">
        <v>278</v>
      </c>
    </row>
    <row r="54" spans="2:11" hidden="1">
      <c r="B54" t="s">
        <v>170</v>
      </c>
      <c r="C54" t="s">
        <v>171</v>
      </c>
      <c r="D54" s="83" t="s">
        <v>532</v>
      </c>
      <c r="E54" s="83" t="s">
        <v>533</v>
      </c>
      <c r="F54">
        <v>0.2</v>
      </c>
      <c r="G54" t="s">
        <v>534</v>
      </c>
      <c r="H54" t="s">
        <v>295</v>
      </c>
      <c r="J54" t="s">
        <v>295</v>
      </c>
      <c r="K54" t="s">
        <v>295</v>
      </c>
    </row>
    <row r="55" spans="2:11" hidden="1">
      <c r="B55" t="s">
        <v>251</v>
      </c>
      <c r="C55" t="s">
        <v>252</v>
      </c>
      <c r="D55" s="83" t="s">
        <v>535</v>
      </c>
      <c r="E55" s="83" t="s">
        <v>536</v>
      </c>
      <c r="F55">
        <v>2.2799999999999998</v>
      </c>
      <c r="G55" t="s">
        <v>537</v>
      </c>
      <c r="H55" t="s">
        <v>274</v>
      </c>
      <c r="J55" t="s">
        <v>274</v>
      </c>
      <c r="K55" t="s">
        <v>274</v>
      </c>
    </row>
    <row r="56" spans="2:11" hidden="1">
      <c r="B56" t="s">
        <v>253</v>
      </c>
      <c r="C56" t="s">
        <v>252</v>
      </c>
      <c r="D56" s="83" t="s">
        <v>538</v>
      </c>
      <c r="E56" s="83" t="s">
        <v>539</v>
      </c>
      <c r="F56">
        <v>2.27</v>
      </c>
      <c r="G56" t="s">
        <v>540</v>
      </c>
      <c r="H56" t="s">
        <v>274</v>
      </c>
      <c r="J56" t="s">
        <v>274</v>
      </c>
      <c r="K56" t="s">
        <v>274</v>
      </c>
    </row>
    <row r="57" spans="2:11" hidden="1">
      <c r="B57" t="s">
        <v>254</v>
      </c>
      <c r="C57" t="s">
        <v>252</v>
      </c>
      <c r="D57" s="83" t="s">
        <v>541</v>
      </c>
      <c r="E57" s="83" t="s">
        <v>542</v>
      </c>
      <c r="F57">
        <v>2.1</v>
      </c>
      <c r="G57" t="s">
        <v>543</v>
      </c>
      <c r="H57" t="s">
        <v>274</v>
      </c>
      <c r="J57" t="s">
        <v>274</v>
      </c>
      <c r="K57" t="s">
        <v>274</v>
      </c>
    </row>
    <row r="58" spans="2:11" hidden="1">
      <c r="B58" t="s">
        <v>163</v>
      </c>
      <c r="C58" t="s">
        <v>164</v>
      </c>
      <c r="D58" s="83" t="s">
        <v>544</v>
      </c>
      <c r="E58" s="83" t="s">
        <v>545</v>
      </c>
      <c r="F58">
        <v>0.18</v>
      </c>
      <c r="G58" t="s">
        <v>546</v>
      </c>
      <c r="H58" t="s">
        <v>276</v>
      </c>
      <c r="J58" t="s">
        <v>276</v>
      </c>
      <c r="K58" t="s">
        <v>276</v>
      </c>
    </row>
    <row r="59" spans="2:11" hidden="1">
      <c r="B59" t="s">
        <v>165</v>
      </c>
      <c r="C59" t="s">
        <v>164</v>
      </c>
      <c r="D59" s="83" t="s">
        <v>547</v>
      </c>
      <c r="E59" s="83" t="s">
        <v>548</v>
      </c>
      <c r="F59">
        <v>0.12</v>
      </c>
      <c r="G59" t="s">
        <v>549</v>
      </c>
      <c r="H59" t="s">
        <v>276</v>
      </c>
      <c r="J59" t="s">
        <v>276</v>
      </c>
      <c r="K59" t="s">
        <v>276</v>
      </c>
    </row>
    <row r="60" spans="2:11" hidden="1">
      <c r="B60" t="s">
        <v>166</v>
      </c>
      <c r="C60" t="s">
        <v>167</v>
      </c>
      <c r="D60" s="83" t="s">
        <v>550</v>
      </c>
      <c r="E60" s="83" t="s">
        <v>551</v>
      </c>
      <c r="F60">
        <v>0.17</v>
      </c>
      <c r="G60" t="s">
        <v>552</v>
      </c>
      <c r="H60" t="s">
        <v>276</v>
      </c>
      <c r="J60" t="s">
        <v>276</v>
      </c>
      <c r="K60" t="s">
        <v>276</v>
      </c>
    </row>
    <row r="61" spans="2:11" hidden="1">
      <c r="B61" t="s">
        <v>172</v>
      </c>
      <c r="C61" t="s">
        <v>173</v>
      </c>
      <c r="D61" s="83" t="s">
        <v>553</v>
      </c>
      <c r="E61" s="83" t="s">
        <v>554</v>
      </c>
      <c r="F61">
        <v>0.28000000000000003</v>
      </c>
      <c r="G61" t="s">
        <v>555</v>
      </c>
      <c r="H61" t="s">
        <v>294</v>
      </c>
      <c r="J61" t="s">
        <v>294</v>
      </c>
      <c r="K61" t="s">
        <v>294</v>
      </c>
    </row>
    <row r="62" spans="2:11" hidden="1">
      <c r="B62" t="s">
        <v>257</v>
      </c>
      <c r="C62" t="s">
        <v>252</v>
      </c>
      <c r="D62" s="83" t="s">
        <v>556</v>
      </c>
      <c r="E62" s="83" t="s">
        <v>557</v>
      </c>
      <c r="F62">
        <v>12.05</v>
      </c>
      <c r="G62" t="s">
        <v>558</v>
      </c>
      <c r="H62" t="s">
        <v>274</v>
      </c>
      <c r="J62" t="s">
        <v>274</v>
      </c>
      <c r="K62" t="s">
        <v>274</v>
      </c>
    </row>
    <row r="63" spans="2:11" hidden="1">
      <c r="B63" t="s">
        <v>227</v>
      </c>
      <c r="C63" t="s">
        <v>228</v>
      </c>
      <c r="D63" s="83" t="s">
        <v>559</v>
      </c>
      <c r="E63" s="83" t="s">
        <v>560</v>
      </c>
      <c r="F63">
        <v>10.78</v>
      </c>
      <c r="G63" t="s">
        <v>561</v>
      </c>
      <c r="H63" t="s">
        <v>295</v>
      </c>
      <c r="J63" t="s">
        <v>295</v>
      </c>
      <c r="K63" t="s">
        <v>295</v>
      </c>
    </row>
    <row r="64" spans="2:11" hidden="1">
      <c r="B64" t="s">
        <v>562</v>
      </c>
      <c r="C64" t="s">
        <v>563</v>
      </c>
      <c r="D64" s="83" t="s">
        <v>564</v>
      </c>
      <c r="E64" s="83" t="s">
        <v>565</v>
      </c>
      <c r="F64">
        <v>0.15</v>
      </c>
      <c r="G64" t="s">
        <v>566</v>
      </c>
      <c r="H64" t="s">
        <v>274</v>
      </c>
      <c r="J64" t="s">
        <v>274</v>
      </c>
      <c r="K64" t="s">
        <v>274</v>
      </c>
    </row>
    <row r="65" spans="2:11" hidden="1">
      <c r="B65" t="s">
        <v>168</v>
      </c>
      <c r="C65" t="s">
        <v>169</v>
      </c>
      <c r="D65" s="83" t="s">
        <v>567</v>
      </c>
      <c r="E65" s="83" t="s">
        <v>568</v>
      </c>
      <c r="F65">
        <v>0.28000000000000003</v>
      </c>
      <c r="G65" t="s">
        <v>569</v>
      </c>
      <c r="H65" t="s">
        <v>295</v>
      </c>
      <c r="J65" t="s">
        <v>295</v>
      </c>
      <c r="K65" t="s">
        <v>295</v>
      </c>
    </row>
    <row r="66" spans="2:11" hidden="1">
      <c r="B66" t="s">
        <v>186</v>
      </c>
      <c r="C66" t="s">
        <v>187</v>
      </c>
      <c r="D66" s="83" t="s">
        <v>570</v>
      </c>
      <c r="E66" s="83" t="s">
        <v>571</v>
      </c>
      <c r="F66">
        <v>0.57999999999999996</v>
      </c>
      <c r="G66" t="s">
        <v>572</v>
      </c>
      <c r="H66" t="s">
        <v>295</v>
      </c>
      <c r="J66" t="s">
        <v>295</v>
      </c>
      <c r="K66" t="s">
        <v>295</v>
      </c>
    </row>
    <row r="67" spans="2:11" hidden="1">
      <c r="B67" t="s">
        <v>219</v>
      </c>
      <c r="C67" t="s">
        <v>183</v>
      </c>
      <c r="D67" s="83" t="s">
        <v>573</v>
      </c>
      <c r="E67" s="83" t="s">
        <v>574</v>
      </c>
      <c r="F67">
        <v>4.3499999999999996</v>
      </c>
      <c r="G67" t="s">
        <v>575</v>
      </c>
      <c r="H67" t="s">
        <v>274</v>
      </c>
      <c r="J67" t="s">
        <v>274</v>
      </c>
      <c r="K67" t="s">
        <v>274</v>
      </c>
    </row>
    <row r="68" spans="2:11" hidden="1">
      <c r="B68" t="s">
        <v>240</v>
      </c>
      <c r="C68" t="s">
        <v>241</v>
      </c>
      <c r="D68" s="83" t="s">
        <v>576</v>
      </c>
      <c r="E68" s="83" t="s">
        <v>577</v>
      </c>
      <c r="F68">
        <v>7.18</v>
      </c>
      <c r="G68" t="s">
        <v>578</v>
      </c>
      <c r="H68" t="s">
        <v>278</v>
      </c>
      <c r="J68" t="s">
        <v>278</v>
      </c>
      <c r="K68" t="s">
        <v>278</v>
      </c>
    </row>
    <row r="69" spans="2:11">
      <c r="B69" t="s">
        <v>82</v>
      </c>
      <c r="C69" t="s">
        <v>217</v>
      </c>
      <c r="D69" s="83" t="s">
        <v>579</v>
      </c>
      <c r="E69" s="83" t="s">
        <v>580</v>
      </c>
      <c r="F69">
        <v>8.15</v>
      </c>
      <c r="G69" t="s">
        <v>581</v>
      </c>
      <c r="H69" t="s">
        <v>276</v>
      </c>
      <c r="J69" t="s">
        <v>276</v>
      </c>
      <c r="K69" t="s">
        <v>276</v>
      </c>
    </row>
    <row r="70" spans="2:11" hidden="1">
      <c r="B70" t="s">
        <v>218</v>
      </c>
      <c r="C70" t="s">
        <v>177</v>
      </c>
      <c r="D70" s="83" t="s">
        <v>582</v>
      </c>
      <c r="E70" s="83" t="s">
        <v>583</v>
      </c>
      <c r="F70">
        <v>16.72</v>
      </c>
      <c r="G70" t="s">
        <v>584</v>
      </c>
      <c r="H70" t="s">
        <v>286</v>
      </c>
      <c r="J70" t="s">
        <v>286</v>
      </c>
      <c r="K70" t="s">
        <v>286</v>
      </c>
    </row>
    <row r="71" spans="2:11" hidden="1">
      <c r="B71" t="s">
        <v>229</v>
      </c>
      <c r="C71" t="s">
        <v>230</v>
      </c>
      <c r="D71" s="83" t="s">
        <v>585</v>
      </c>
      <c r="E71" s="83" t="s">
        <v>586</v>
      </c>
      <c r="F71">
        <v>0.85</v>
      </c>
      <c r="G71" t="s">
        <v>587</v>
      </c>
      <c r="H71" t="s">
        <v>294</v>
      </c>
      <c r="I71" t="s">
        <v>588</v>
      </c>
      <c r="J71" t="s">
        <v>294</v>
      </c>
      <c r="K71" t="s">
        <v>294</v>
      </c>
    </row>
    <row r="72" spans="2:11" hidden="1">
      <c r="B72" t="s">
        <v>236</v>
      </c>
      <c r="C72" t="s">
        <v>237</v>
      </c>
      <c r="D72" s="83" t="s">
        <v>589</v>
      </c>
      <c r="E72" s="83" t="s">
        <v>590</v>
      </c>
      <c r="F72">
        <v>17.53</v>
      </c>
      <c r="G72" t="s">
        <v>591</v>
      </c>
      <c r="H72" t="s">
        <v>286</v>
      </c>
      <c r="J72" t="s">
        <v>286</v>
      </c>
      <c r="K72" t="s">
        <v>286</v>
      </c>
    </row>
    <row r="73" spans="2:11" hidden="1">
      <c r="B73" t="s">
        <v>215</v>
      </c>
      <c r="C73" t="s">
        <v>216</v>
      </c>
      <c r="D73" s="83" t="s">
        <v>592</v>
      </c>
      <c r="E73" s="83" t="s">
        <v>593</v>
      </c>
      <c r="F73">
        <v>8.8699999999999992</v>
      </c>
      <c r="G73" t="s">
        <v>594</v>
      </c>
      <c r="H73" t="s">
        <v>276</v>
      </c>
      <c r="J73" t="s">
        <v>276</v>
      </c>
      <c r="K73" t="s">
        <v>276</v>
      </c>
    </row>
    <row r="74" spans="2:11">
      <c r="B74" t="s">
        <v>84</v>
      </c>
      <c r="C74" t="s">
        <v>190</v>
      </c>
      <c r="D74" s="83" t="s">
        <v>595</v>
      </c>
      <c r="E74" s="83" t="s">
        <v>596</v>
      </c>
      <c r="F74">
        <v>17.63</v>
      </c>
      <c r="G74" t="s">
        <v>597</v>
      </c>
      <c r="H74" t="s">
        <v>277</v>
      </c>
      <c r="J74" t="s">
        <v>277</v>
      </c>
      <c r="K74" t="s">
        <v>277</v>
      </c>
    </row>
    <row r="75" spans="2:11" hidden="1">
      <c r="B75" t="s">
        <v>220</v>
      </c>
      <c r="C75" t="s">
        <v>221</v>
      </c>
      <c r="D75" s="83" t="s">
        <v>598</v>
      </c>
      <c r="E75" s="83" t="s">
        <v>599</v>
      </c>
      <c r="F75">
        <v>16.47</v>
      </c>
      <c r="G75" t="s">
        <v>600</v>
      </c>
      <c r="H75" t="s">
        <v>274</v>
      </c>
      <c r="J75" t="s">
        <v>274</v>
      </c>
      <c r="K75" t="s">
        <v>274</v>
      </c>
    </row>
    <row r="76" spans="2:11" hidden="1">
      <c r="B76" t="s">
        <v>193</v>
      </c>
      <c r="C76" t="s">
        <v>183</v>
      </c>
      <c r="D76" s="83" t="s">
        <v>601</v>
      </c>
      <c r="E76" s="83" t="s">
        <v>602</v>
      </c>
      <c r="F76">
        <v>0.62</v>
      </c>
      <c r="G76" t="s">
        <v>603</v>
      </c>
      <c r="H76" t="s">
        <v>294</v>
      </c>
      <c r="J76" t="s">
        <v>294</v>
      </c>
      <c r="K76" t="s">
        <v>294</v>
      </c>
    </row>
    <row r="77" spans="2:11" hidden="1">
      <c r="B77" t="s">
        <v>170</v>
      </c>
      <c r="C77" t="s">
        <v>171</v>
      </c>
      <c r="D77" s="83" t="s">
        <v>604</v>
      </c>
      <c r="E77" s="83" t="s">
        <v>605</v>
      </c>
      <c r="F77">
        <v>1</v>
      </c>
      <c r="G77" t="s">
        <v>606</v>
      </c>
      <c r="H77" t="s">
        <v>274</v>
      </c>
      <c r="J77" t="s">
        <v>274</v>
      </c>
      <c r="K77" t="s">
        <v>274</v>
      </c>
    </row>
    <row r="78" spans="2:11" hidden="1">
      <c r="B78" t="s">
        <v>184</v>
      </c>
      <c r="C78" t="s">
        <v>185</v>
      </c>
      <c r="D78" s="83" t="s">
        <v>607</v>
      </c>
      <c r="E78" s="83" t="s">
        <v>608</v>
      </c>
      <c r="F78">
        <v>14.95</v>
      </c>
      <c r="G78" t="s">
        <v>609</v>
      </c>
      <c r="H78" t="s">
        <v>274</v>
      </c>
      <c r="J78" t="s">
        <v>274</v>
      </c>
      <c r="K78" t="s">
        <v>274</v>
      </c>
    </row>
    <row r="79" spans="2:11" hidden="1">
      <c r="B79" t="s">
        <v>188</v>
      </c>
      <c r="C79" t="s">
        <v>189</v>
      </c>
      <c r="D79" s="83" t="s">
        <v>610</v>
      </c>
      <c r="E79" s="83" t="s">
        <v>611</v>
      </c>
      <c r="F79">
        <v>14.73</v>
      </c>
      <c r="G79" t="s">
        <v>612</v>
      </c>
      <c r="H79" t="s">
        <v>276</v>
      </c>
      <c r="J79" t="s">
        <v>276</v>
      </c>
      <c r="K79" t="s">
        <v>276</v>
      </c>
    </row>
    <row r="80" spans="2:11" hidden="1">
      <c r="B80" t="s">
        <v>186</v>
      </c>
      <c r="C80" t="s">
        <v>187</v>
      </c>
      <c r="D80" s="83" t="s">
        <v>613</v>
      </c>
      <c r="E80" s="83" t="s">
        <v>614</v>
      </c>
      <c r="F80">
        <v>0.5</v>
      </c>
      <c r="G80" t="s">
        <v>615</v>
      </c>
      <c r="H80" t="s">
        <v>294</v>
      </c>
      <c r="J80" t="s">
        <v>294</v>
      </c>
      <c r="K80" t="s">
        <v>294</v>
      </c>
    </row>
    <row r="81" spans="2:11">
      <c r="B81" t="s">
        <v>85</v>
      </c>
      <c r="C81" t="s">
        <v>226</v>
      </c>
      <c r="D81" s="83" t="s">
        <v>616</v>
      </c>
      <c r="E81" s="83" t="s">
        <v>617</v>
      </c>
      <c r="F81">
        <v>0.9</v>
      </c>
      <c r="G81" t="s">
        <v>618</v>
      </c>
      <c r="H81" t="s">
        <v>425</v>
      </c>
      <c r="J81" t="s">
        <v>425</v>
      </c>
      <c r="K81" t="s">
        <v>425</v>
      </c>
    </row>
    <row r="82" spans="2:11" hidden="1">
      <c r="B82" t="s">
        <v>172</v>
      </c>
      <c r="C82" t="s">
        <v>173</v>
      </c>
      <c r="D82" s="83" t="s">
        <v>619</v>
      </c>
      <c r="E82" s="83" t="s">
        <v>620</v>
      </c>
      <c r="F82">
        <v>0.65</v>
      </c>
      <c r="G82" t="s">
        <v>621</v>
      </c>
      <c r="H82" t="s">
        <v>295</v>
      </c>
      <c r="J82" t="s">
        <v>295</v>
      </c>
      <c r="K82" t="s">
        <v>295</v>
      </c>
    </row>
    <row r="83" spans="2:11" hidden="1">
      <c r="B83" t="s">
        <v>168</v>
      </c>
      <c r="C83" t="s">
        <v>169</v>
      </c>
      <c r="D83" s="83" t="s">
        <v>622</v>
      </c>
      <c r="E83" s="83" t="s">
        <v>623</v>
      </c>
      <c r="F83">
        <v>1.2</v>
      </c>
      <c r="G83" t="s">
        <v>624</v>
      </c>
      <c r="H83" t="s">
        <v>295</v>
      </c>
      <c r="J83" t="s">
        <v>295</v>
      </c>
      <c r="K83" t="s">
        <v>295</v>
      </c>
    </row>
    <row r="84" spans="2:11" hidden="1">
      <c r="B84" t="s">
        <v>180</v>
      </c>
      <c r="C84" t="s">
        <v>181</v>
      </c>
      <c r="D84" s="83" t="s">
        <v>625</v>
      </c>
      <c r="E84" s="83" t="s">
        <v>626</v>
      </c>
      <c r="F84">
        <v>13.57</v>
      </c>
      <c r="G84" t="s">
        <v>627</v>
      </c>
      <c r="H84" t="s">
        <v>276</v>
      </c>
      <c r="J84" t="s">
        <v>276</v>
      </c>
      <c r="K84" t="s">
        <v>276</v>
      </c>
    </row>
    <row r="85" spans="2:11" hidden="1">
      <c r="B85" t="s">
        <v>269</v>
      </c>
      <c r="C85" t="s">
        <v>270</v>
      </c>
      <c r="D85" s="83" t="s">
        <v>628</v>
      </c>
      <c r="E85" s="83" t="s">
        <v>629</v>
      </c>
      <c r="F85">
        <v>1.33</v>
      </c>
      <c r="G85" t="s">
        <v>630</v>
      </c>
      <c r="H85" t="s">
        <v>274</v>
      </c>
      <c r="J85" t="s">
        <v>274</v>
      </c>
      <c r="K85" t="s">
        <v>274</v>
      </c>
    </row>
    <row r="86" spans="2:11" hidden="1">
      <c r="B86" t="s">
        <v>166</v>
      </c>
      <c r="C86" t="s">
        <v>167</v>
      </c>
      <c r="D86" s="83" t="s">
        <v>631</v>
      </c>
      <c r="E86" s="83" t="s">
        <v>632</v>
      </c>
      <c r="F86">
        <v>0.13</v>
      </c>
      <c r="G86" t="s">
        <v>633</v>
      </c>
      <c r="H86" t="s">
        <v>274</v>
      </c>
      <c r="J86" t="s">
        <v>274</v>
      </c>
      <c r="K86" t="s">
        <v>274</v>
      </c>
    </row>
    <row r="87" spans="2:11" hidden="1">
      <c r="B87" t="s">
        <v>165</v>
      </c>
      <c r="C87" t="s">
        <v>164</v>
      </c>
      <c r="D87" s="83" t="s">
        <v>634</v>
      </c>
      <c r="E87" s="83" t="s">
        <v>635</v>
      </c>
      <c r="F87">
        <v>0.22</v>
      </c>
      <c r="G87" t="s">
        <v>636</v>
      </c>
      <c r="H87" t="s">
        <v>274</v>
      </c>
      <c r="J87" t="s">
        <v>274</v>
      </c>
      <c r="K87" t="s">
        <v>274</v>
      </c>
    </row>
    <row r="88" spans="2:11" hidden="1">
      <c r="B88" t="s">
        <v>208</v>
      </c>
      <c r="C88" t="s">
        <v>209</v>
      </c>
      <c r="D88" s="83" t="s">
        <v>637</v>
      </c>
      <c r="E88" s="83" t="s">
        <v>638</v>
      </c>
      <c r="F88">
        <v>1.1499999999999999</v>
      </c>
      <c r="G88" t="s">
        <v>639</v>
      </c>
      <c r="H88" t="s">
        <v>274</v>
      </c>
      <c r="J88" t="s">
        <v>274</v>
      </c>
      <c r="K88" t="s">
        <v>274</v>
      </c>
    </row>
    <row r="89" spans="2:11" hidden="1">
      <c r="B89" t="s">
        <v>210</v>
      </c>
      <c r="C89" t="s">
        <v>211</v>
      </c>
      <c r="D89" s="83" t="s">
        <v>640</v>
      </c>
      <c r="E89" s="83" t="s">
        <v>641</v>
      </c>
      <c r="F89">
        <v>1.18</v>
      </c>
      <c r="G89" t="s">
        <v>642</v>
      </c>
      <c r="H89" t="s">
        <v>274</v>
      </c>
      <c r="J89" t="s">
        <v>274</v>
      </c>
      <c r="K89" t="s">
        <v>274</v>
      </c>
    </row>
    <row r="90" spans="2:11" hidden="1">
      <c r="B90" t="s">
        <v>163</v>
      </c>
      <c r="C90" t="s">
        <v>164</v>
      </c>
      <c r="D90" s="83" t="s">
        <v>643</v>
      </c>
      <c r="E90" s="83" t="s">
        <v>644</v>
      </c>
      <c r="F90">
        <v>0.52</v>
      </c>
      <c r="G90" t="s">
        <v>645</v>
      </c>
      <c r="H90" t="s">
        <v>274</v>
      </c>
      <c r="J90" t="s">
        <v>274</v>
      </c>
      <c r="K90" t="s">
        <v>274</v>
      </c>
    </row>
    <row r="91" spans="2:11" hidden="1">
      <c r="B91" t="s">
        <v>233</v>
      </c>
      <c r="C91" t="s">
        <v>234</v>
      </c>
      <c r="D91" s="83" t="s">
        <v>646</v>
      </c>
      <c r="E91" s="83" t="s">
        <v>647</v>
      </c>
      <c r="F91">
        <v>1.4</v>
      </c>
      <c r="G91" t="s">
        <v>648</v>
      </c>
      <c r="H91" t="s">
        <v>274</v>
      </c>
      <c r="J91" t="s">
        <v>274</v>
      </c>
      <c r="K91" t="s">
        <v>274</v>
      </c>
    </row>
    <row r="92" spans="2:11" hidden="1">
      <c r="B92" t="s">
        <v>235</v>
      </c>
      <c r="C92" t="s">
        <v>234</v>
      </c>
      <c r="D92" s="83" t="s">
        <v>649</v>
      </c>
      <c r="E92" s="83" t="s">
        <v>650</v>
      </c>
      <c r="F92">
        <v>1.38</v>
      </c>
      <c r="G92" t="s">
        <v>651</v>
      </c>
      <c r="H92" t="s">
        <v>274</v>
      </c>
      <c r="J92" t="s">
        <v>274</v>
      </c>
      <c r="K92" t="s">
        <v>274</v>
      </c>
    </row>
    <row r="93" spans="2:11" hidden="1">
      <c r="B93" t="s">
        <v>174</v>
      </c>
      <c r="C93" t="s">
        <v>175</v>
      </c>
      <c r="D93" s="83" t="s">
        <v>652</v>
      </c>
      <c r="E93" s="83" t="s">
        <v>653</v>
      </c>
      <c r="F93">
        <v>1.38</v>
      </c>
      <c r="G93" t="s">
        <v>654</v>
      </c>
      <c r="H93" t="s">
        <v>274</v>
      </c>
      <c r="J93" t="s">
        <v>274</v>
      </c>
      <c r="K93" t="s">
        <v>274</v>
      </c>
    </row>
    <row r="94" spans="2:11" hidden="1">
      <c r="B94" t="s">
        <v>176</v>
      </c>
      <c r="C94" t="s">
        <v>177</v>
      </c>
      <c r="D94" s="83" t="s">
        <v>655</v>
      </c>
      <c r="E94" s="83" t="s">
        <v>656</v>
      </c>
      <c r="F94">
        <v>1.35</v>
      </c>
      <c r="G94" t="s">
        <v>657</v>
      </c>
      <c r="H94" t="s">
        <v>274</v>
      </c>
      <c r="J94" t="s">
        <v>274</v>
      </c>
      <c r="K94" t="s">
        <v>274</v>
      </c>
    </row>
    <row r="95" spans="2:11" hidden="1">
      <c r="B95" t="s">
        <v>271</v>
      </c>
      <c r="C95" t="s">
        <v>272</v>
      </c>
      <c r="D95" s="83" t="s">
        <v>658</v>
      </c>
      <c r="E95" s="83" t="s">
        <v>659</v>
      </c>
      <c r="F95">
        <v>1.48</v>
      </c>
      <c r="G95" t="s">
        <v>660</v>
      </c>
      <c r="H95" t="s">
        <v>274</v>
      </c>
      <c r="J95" t="s">
        <v>274</v>
      </c>
      <c r="K95" t="s">
        <v>274</v>
      </c>
    </row>
    <row r="96" spans="2:11" hidden="1">
      <c r="B96" t="s">
        <v>661</v>
      </c>
      <c r="C96" t="s">
        <v>183</v>
      </c>
      <c r="D96" s="83" t="s">
        <v>662</v>
      </c>
      <c r="E96" s="83" t="s">
        <v>663</v>
      </c>
      <c r="F96">
        <v>0.17</v>
      </c>
      <c r="G96" t="s">
        <v>664</v>
      </c>
      <c r="H96" t="s">
        <v>274</v>
      </c>
      <c r="J96" t="s">
        <v>274</v>
      </c>
      <c r="K96" t="s">
        <v>274</v>
      </c>
    </row>
    <row r="97" spans="2:11" hidden="1">
      <c r="B97" t="s">
        <v>212</v>
      </c>
      <c r="C97" t="s">
        <v>213</v>
      </c>
      <c r="D97" s="83" t="s">
        <v>665</v>
      </c>
      <c r="E97" s="83" t="s">
        <v>666</v>
      </c>
      <c r="F97">
        <v>7.73</v>
      </c>
      <c r="G97" t="s">
        <v>667</v>
      </c>
      <c r="H97" t="s">
        <v>277</v>
      </c>
      <c r="J97" t="s">
        <v>277</v>
      </c>
      <c r="K97" t="s">
        <v>277</v>
      </c>
    </row>
    <row r="98" spans="2:11">
      <c r="B98" t="s">
        <v>83</v>
      </c>
      <c r="C98" t="s">
        <v>201</v>
      </c>
      <c r="D98" s="83" t="s">
        <v>668</v>
      </c>
      <c r="E98" s="83" t="s">
        <v>669</v>
      </c>
      <c r="F98">
        <v>16.93</v>
      </c>
      <c r="G98" t="s">
        <v>670</v>
      </c>
      <c r="H98" t="s">
        <v>276</v>
      </c>
      <c r="J98" t="s">
        <v>276</v>
      </c>
      <c r="K98" t="s">
        <v>276</v>
      </c>
    </row>
    <row r="99" spans="2:11" hidden="1">
      <c r="B99" t="s">
        <v>312</v>
      </c>
      <c r="C99" t="s">
        <v>313</v>
      </c>
      <c r="D99" s="83" t="s">
        <v>671</v>
      </c>
      <c r="E99" s="83" t="s">
        <v>672</v>
      </c>
      <c r="F99">
        <v>4.25</v>
      </c>
      <c r="G99" t="s">
        <v>673</v>
      </c>
      <c r="H99" t="s">
        <v>294</v>
      </c>
      <c r="J99" t="s">
        <v>294</v>
      </c>
      <c r="K99" t="s">
        <v>294</v>
      </c>
    </row>
    <row r="100" spans="2:11" hidden="1">
      <c r="B100" t="s">
        <v>251</v>
      </c>
      <c r="C100" t="s">
        <v>252</v>
      </c>
      <c r="D100" s="83" t="s">
        <v>674</v>
      </c>
      <c r="E100" s="83" t="s">
        <v>675</v>
      </c>
      <c r="F100">
        <v>0.97</v>
      </c>
      <c r="G100" t="s">
        <v>676</v>
      </c>
      <c r="H100" t="s">
        <v>276</v>
      </c>
      <c r="J100" t="s">
        <v>276</v>
      </c>
      <c r="K100" t="s">
        <v>276</v>
      </c>
    </row>
    <row r="101" spans="2:11" hidden="1">
      <c r="B101" t="s">
        <v>257</v>
      </c>
      <c r="C101" t="s">
        <v>252</v>
      </c>
      <c r="D101" s="83" t="s">
        <v>677</v>
      </c>
      <c r="E101" s="83" t="s">
        <v>678</v>
      </c>
      <c r="F101">
        <v>0.98</v>
      </c>
      <c r="G101" t="s">
        <v>679</v>
      </c>
      <c r="H101" t="s">
        <v>276</v>
      </c>
      <c r="J101" t="s">
        <v>276</v>
      </c>
      <c r="K101" t="s">
        <v>276</v>
      </c>
    </row>
    <row r="102" spans="2:11" hidden="1">
      <c r="B102" t="s">
        <v>254</v>
      </c>
      <c r="C102" t="s">
        <v>252</v>
      </c>
      <c r="D102" s="83" t="s">
        <v>680</v>
      </c>
      <c r="E102" s="83" t="s">
        <v>681</v>
      </c>
      <c r="F102">
        <v>5.0199999999999996</v>
      </c>
      <c r="G102" t="s">
        <v>682</v>
      </c>
      <c r="H102" t="s">
        <v>276</v>
      </c>
      <c r="J102" t="s">
        <v>276</v>
      </c>
      <c r="K102" t="s">
        <v>276</v>
      </c>
    </row>
    <row r="103" spans="2:11" hidden="1">
      <c r="B103" t="s">
        <v>191</v>
      </c>
      <c r="C103" t="s">
        <v>183</v>
      </c>
      <c r="D103" s="83" t="s">
        <v>683</v>
      </c>
      <c r="E103" s="83" t="s">
        <v>684</v>
      </c>
      <c r="F103">
        <v>1.63</v>
      </c>
      <c r="G103" t="s">
        <v>685</v>
      </c>
      <c r="H103" t="s">
        <v>295</v>
      </c>
      <c r="J103" t="s">
        <v>295</v>
      </c>
      <c r="K103" t="s">
        <v>295</v>
      </c>
    </row>
    <row r="104" spans="2:11" hidden="1">
      <c r="B104" t="s">
        <v>192</v>
      </c>
      <c r="C104" t="s">
        <v>183</v>
      </c>
      <c r="D104" s="83" t="s">
        <v>686</v>
      </c>
      <c r="E104" s="83" t="s">
        <v>687</v>
      </c>
      <c r="F104">
        <v>1.62</v>
      </c>
      <c r="G104" t="s">
        <v>688</v>
      </c>
      <c r="H104" t="s">
        <v>295</v>
      </c>
      <c r="J104" t="s">
        <v>295</v>
      </c>
      <c r="K104" t="s">
        <v>295</v>
      </c>
    </row>
    <row r="105" spans="2:11" hidden="1">
      <c r="B105" t="s">
        <v>182</v>
      </c>
      <c r="C105" t="s">
        <v>183</v>
      </c>
      <c r="D105" s="83" t="s">
        <v>689</v>
      </c>
      <c r="E105" s="83" t="s">
        <v>690</v>
      </c>
      <c r="F105">
        <v>1.25</v>
      </c>
      <c r="G105" t="s">
        <v>691</v>
      </c>
      <c r="H105" t="s">
        <v>295</v>
      </c>
      <c r="J105" t="s">
        <v>295</v>
      </c>
      <c r="K105" t="s">
        <v>295</v>
      </c>
    </row>
    <row r="106" spans="2:11" hidden="1">
      <c r="B106" t="s">
        <v>193</v>
      </c>
      <c r="C106" t="s">
        <v>183</v>
      </c>
      <c r="D106" s="83" t="s">
        <v>692</v>
      </c>
      <c r="E106" s="83" t="s">
        <v>693</v>
      </c>
      <c r="F106">
        <v>1.23</v>
      </c>
      <c r="G106" t="s">
        <v>694</v>
      </c>
      <c r="H106" t="s">
        <v>295</v>
      </c>
      <c r="J106" t="s">
        <v>295</v>
      </c>
      <c r="K106" t="s">
        <v>295</v>
      </c>
    </row>
    <row r="107" spans="2:11" hidden="1">
      <c r="B107" t="s">
        <v>253</v>
      </c>
      <c r="C107" t="s">
        <v>252</v>
      </c>
      <c r="D107" s="83" t="s">
        <v>695</v>
      </c>
      <c r="E107" s="83" t="s">
        <v>696</v>
      </c>
      <c r="F107">
        <v>10.25</v>
      </c>
      <c r="G107" t="s">
        <v>697</v>
      </c>
      <c r="H107" t="s">
        <v>276</v>
      </c>
      <c r="J107" t="s">
        <v>276</v>
      </c>
      <c r="K107" t="s">
        <v>276</v>
      </c>
    </row>
    <row r="108" spans="2:11" hidden="1">
      <c r="B108" t="s">
        <v>194</v>
      </c>
      <c r="C108" t="s">
        <v>183</v>
      </c>
      <c r="D108" s="83" t="s">
        <v>698</v>
      </c>
      <c r="E108" s="83" t="s">
        <v>699</v>
      </c>
      <c r="F108">
        <v>2.5299999999999998</v>
      </c>
      <c r="G108" t="s">
        <v>700</v>
      </c>
      <c r="H108" t="s">
        <v>295</v>
      </c>
      <c r="J108" t="s">
        <v>295</v>
      </c>
      <c r="K108" t="s">
        <v>295</v>
      </c>
    </row>
    <row r="109" spans="2:11" hidden="1">
      <c r="B109" t="s">
        <v>195</v>
      </c>
      <c r="C109" t="s">
        <v>196</v>
      </c>
      <c r="D109" s="83" t="s">
        <v>701</v>
      </c>
      <c r="E109" s="83" t="s">
        <v>702</v>
      </c>
      <c r="F109">
        <v>9.4</v>
      </c>
      <c r="G109" t="s">
        <v>703</v>
      </c>
      <c r="H109" t="s">
        <v>286</v>
      </c>
      <c r="J109" t="s">
        <v>286</v>
      </c>
      <c r="K109" t="s">
        <v>286</v>
      </c>
    </row>
    <row r="110" spans="2:11" hidden="1">
      <c r="B110" t="s">
        <v>337</v>
      </c>
      <c r="C110" t="s">
        <v>338</v>
      </c>
      <c r="D110" s="83" t="s">
        <v>704</v>
      </c>
      <c r="E110" s="83" t="s">
        <v>705</v>
      </c>
      <c r="F110">
        <v>10.47</v>
      </c>
      <c r="G110" t="s">
        <v>706</v>
      </c>
      <c r="H110" t="s">
        <v>276</v>
      </c>
      <c r="J110" t="s">
        <v>276</v>
      </c>
      <c r="K110" t="s">
        <v>276</v>
      </c>
    </row>
    <row r="111" spans="2:11" hidden="1">
      <c r="B111" t="s">
        <v>204</v>
      </c>
      <c r="C111" t="s">
        <v>205</v>
      </c>
      <c r="D111" s="83" t="s">
        <v>707</v>
      </c>
      <c r="E111" s="83" t="s">
        <v>708</v>
      </c>
      <c r="F111">
        <v>1.83</v>
      </c>
      <c r="G111" t="s">
        <v>709</v>
      </c>
      <c r="H111" t="s">
        <v>277</v>
      </c>
      <c r="J111" t="s">
        <v>277</v>
      </c>
      <c r="K111" t="s">
        <v>277</v>
      </c>
    </row>
    <row r="112" spans="2:11" hidden="1">
      <c r="B112" t="s">
        <v>207</v>
      </c>
      <c r="C112" t="s">
        <v>205</v>
      </c>
      <c r="D112" s="83" t="s">
        <v>710</v>
      </c>
      <c r="E112" s="83" t="s">
        <v>711</v>
      </c>
      <c r="F112">
        <v>1.83</v>
      </c>
      <c r="G112" t="s">
        <v>712</v>
      </c>
      <c r="H112" t="s">
        <v>277</v>
      </c>
      <c r="J112" t="s">
        <v>277</v>
      </c>
      <c r="K112" t="s">
        <v>277</v>
      </c>
    </row>
    <row r="113" spans="2:11" hidden="1">
      <c r="B113" t="s">
        <v>214</v>
      </c>
      <c r="C113" t="s">
        <v>205</v>
      </c>
      <c r="D113" s="83" t="s">
        <v>713</v>
      </c>
      <c r="E113" s="83" t="s">
        <v>714</v>
      </c>
      <c r="F113">
        <v>1.83</v>
      </c>
      <c r="G113" t="s">
        <v>715</v>
      </c>
      <c r="H113" t="s">
        <v>277</v>
      </c>
      <c r="J113" t="s">
        <v>277</v>
      </c>
      <c r="K113" t="s">
        <v>277</v>
      </c>
    </row>
    <row r="114" spans="2:11" hidden="1">
      <c r="B114" t="s">
        <v>199</v>
      </c>
      <c r="C114" t="s">
        <v>200</v>
      </c>
      <c r="D114" s="83" t="s">
        <v>716</v>
      </c>
      <c r="E114" s="83" t="s">
        <v>717</v>
      </c>
      <c r="F114">
        <v>7.58</v>
      </c>
      <c r="G114" t="s">
        <v>718</v>
      </c>
      <c r="H114" t="s">
        <v>278</v>
      </c>
      <c r="J114" t="s">
        <v>278</v>
      </c>
      <c r="K114" t="s">
        <v>278</v>
      </c>
    </row>
    <row r="115" spans="2:11" hidden="1">
      <c r="B115" t="s">
        <v>170</v>
      </c>
      <c r="C115" t="s">
        <v>171</v>
      </c>
      <c r="D115" s="83" t="s">
        <v>719</v>
      </c>
      <c r="E115" s="83" t="s">
        <v>720</v>
      </c>
      <c r="F115">
        <v>5.63</v>
      </c>
      <c r="G115" t="s">
        <v>721</v>
      </c>
      <c r="H115" t="s">
        <v>294</v>
      </c>
      <c r="J115" t="s">
        <v>294</v>
      </c>
      <c r="K115" t="s">
        <v>294</v>
      </c>
    </row>
    <row r="116" spans="2:11" hidden="1">
      <c r="B116" t="s">
        <v>206</v>
      </c>
      <c r="C116" t="s">
        <v>205</v>
      </c>
      <c r="D116" s="83" t="s">
        <v>722</v>
      </c>
      <c r="E116" s="83" t="s">
        <v>723</v>
      </c>
      <c r="F116">
        <v>14.78</v>
      </c>
      <c r="G116" t="s">
        <v>724</v>
      </c>
      <c r="H116" t="s">
        <v>277</v>
      </c>
      <c r="J116" t="s">
        <v>277</v>
      </c>
      <c r="K116" t="s">
        <v>277</v>
      </c>
    </row>
    <row r="117" spans="2:11" hidden="1">
      <c r="B117" t="s">
        <v>332</v>
      </c>
      <c r="C117" t="s">
        <v>333</v>
      </c>
      <c r="D117" s="83" t="s">
        <v>725</v>
      </c>
      <c r="E117" s="83" t="s">
        <v>726</v>
      </c>
      <c r="F117">
        <v>2.02</v>
      </c>
      <c r="G117" t="s">
        <v>727</v>
      </c>
      <c r="H117" t="s">
        <v>294</v>
      </c>
      <c r="J117" t="s">
        <v>294</v>
      </c>
      <c r="K117" t="s">
        <v>294</v>
      </c>
    </row>
    <row r="118" spans="2:11">
      <c r="B118" t="s">
        <v>82</v>
      </c>
      <c r="C118" t="s">
        <v>217</v>
      </c>
      <c r="D118" s="83" t="s">
        <v>728</v>
      </c>
      <c r="E118" s="83" t="s">
        <v>729</v>
      </c>
      <c r="F118">
        <v>13.07</v>
      </c>
      <c r="G118" t="s">
        <v>730</v>
      </c>
      <c r="H118" t="s">
        <v>295</v>
      </c>
      <c r="J118" t="s">
        <v>295</v>
      </c>
      <c r="K118" t="s">
        <v>295</v>
      </c>
    </row>
    <row r="119" spans="2:11" hidden="1">
      <c r="B119" t="s">
        <v>186</v>
      </c>
      <c r="C119" t="s">
        <v>187</v>
      </c>
      <c r="D119" s="83" t="s">
        <v>731</v>
      </c>
      <c r="E119" s="83" t="s">
        <v>732</v>
      </c>
      <c r="F119">
        <v>0.35</v>
      </c>
      <c r="G119" t="s">
        <v>733</v>
      </c>
      <c r="H119" t="s">
        <v>278</v>
      </c>
      <c r="J119" t="s">
        <v>278</v>
      </c>
      <c r="K119" t="s">
        <v>278</v>
      </c>
    </row>
    <row r="120" spans="2:11" hidden="1">
      <c r="B120" t="s">
        <v>172</v>
      </c>
      <c r="C120" t="s">
        <v>173</v>
      </c>
      <c r="D120" s="83" t="s">
        <v>734</v>
      </c>
      <c r="E120" s="83" t="s">
        <v>735</v>
      </c>
      <c r="F120">
        <v>0.37</v>
      </c>
      <c r="G120" t="s">
        <v>736</v>
      </c>
      <c r="H120" t="s">
        <v>295</v>
      </c>
      <c r="J120" t="s">
        <v>295</v>
      </c>
      <c r="K120" t="s">
        <v>295</v>
      </c>
    </row>
    <row r="121" spans="2:11" hidden="1">
      <c r="B121" t="s">
        <v>168</v>
      </c>
      <c r="C121" t="s">
        <v>169</v>
      </c>
      <c r="D121" s="83" t="s">
        <v>737</v>
      </c>
      <c r="E121" s="83" t="s">
        <v>738</v>
      </c>
      <c r="F121">
        <v>0.22</v>
      </c>
      <c r="G121" t="s">
        <v>739</v>
      </c>
      <c r="H121" t="s">
        <v>276</v>
      </c>
      <c r="J121" t="s">
        <v>276</v>
      </c>
      <c r="K121" t="s">
        <v>276</v>
      </c>
    </row>
    <row r="122" spans="2:11" hidden="1">
      <c r="B122" t="s">
        <v>214</v>
      </c>
      <c r="C122" t="s">
        <v>205</v>
      </c>
      <c r="D122" s="83" t="s">
        <v>740</v>
      </c>
      <c r="E122" s="83" t="s">
        <v>741</v>
      </c>
      <c r="F122">
        <v>1.02</v>
      </c>
      <c r="G122" t="s">
        <v>742</v>
      </c>
      <c r="H122" t="s">
        <v>286</v>
      </c>
      <c r="J122" t="s">
        <v>286</v>
      </c>
      <c r="K122" t="s">
        <v>286</v>
      </c>
    </row>
    <row r="123" spans="2:11" hidden="1">
      <c r="B123" t="s">
        <v>207</v>
      </c>
      <c r="C123" t="s">
        <v>205</v>
      </c>
      <c r="D123" s="83" t="s">
        <v>743</v>
      </c>
      <c r="E123" s="83" t="s">
        <v>744</v>
      </c>
      <c r="F123">
        <v>1.02</v>
      </c>
      <c r="G123" t="s">
        <v>745</v>
      </c>
      <c r="H123" t="s">
        <v>286</v>
      </c>
      <c r="J123" t="s">
        <v>286</v>
      </c>
      <c r="K123" t="s">
        <v>286</v>
      </c>
    </row>
    <row r="124" spans="2:11" hidden="1">
      <c r="B124" t="s">
        <v>206</v>
      </c>
      <c r="C124" t="s">
        <v>205</v>
      </c>
      <c r="D124" s="83" t="s">
        <v>746</v>
      </c>
      <c r="E124" s="83" t="s">
        <v>747</v>
      </c>
      <c r="F124">
        <v>1.02</v>
      </c>
      <c r="G124" t="s">
        <v>748</v>
      </c>
      <c r="H124" t="s">
        <v>286</v>
      </c>
      <c r="J124" t="s">
        <v>286</v>
      </c>
      <c r="K124" t="s">
        <v>286</v>
      </c>
    </row>
    <row r="125" spans="2:11" hidden="1">
      <c r="B125" t="s">
        <v>204</v>
      </c>
      <c r="C125" t="s">
        <v>205</v>
      </c>
      <c r="D125" s="83" t="s">
        <v>749</v>
      </c>
      <c r="E125" s="83" t="s">
        <v>750</v>
      </c>
      <c r="F125">
        <v>1.05</v>
      </c>
      <c r="G125" t="s">
        <v>751</v>
      </c>
      <c r="H125" t="s">
        <v>286</v>
      </c>
      <c r="J125" t="s">
        <v>286</v>
      </c>
      <c r="K125" t="s">
        <v>286</v>
      </c>
    </row>
    <row r="126" spans="2:11" hidden="1">
      <c r="B126" t="s">
        <v>254</v>
      </c>
      <c r="C126" t="s">
        <v>252</v>
      </c>
      <c r="D126" s="83" t="s">
        <v>752</v>
      </c>
      <c r="E126" s="83" t="s">
        <v>753</v>
      </c>
      <c r="F126">
        <v>1.1200000000000001</v>
      </c>
      <c r="G126" t="s">
        <v>754</v>
      </c>
      <c r="H126" t="s">
        <v>286</v>
      </c>
      <c r="J126" t="s">
        <v>286</v>
      </c>
      <c r="K126" t="s">
        <v>286</v>
      </c>
    </row>
    <row r="127" spans="2:11" hidden="1">
      <c r="B127" t="s">
        <v>253</v>
      </c>
      <c r="C127" t="s">
        <v>252</v>
      </c>
      <c r="D127" s="83" t="s">
        <v>755</v>
      </c>
      <c r="E127" s="83" t="s">
        <v>756</v>
      </c>
      <c r="F127">
        <v>1.1200000000000001</v>
      </c>
      <c r="G127" t="s">
        <v>757</v>
      </c>
      <c r="H127" t="s">
        <v>286</v>
      </c>
      <c r="J127" t="s">
        <v>286</v>
      </c>
      <c r="K127" t="s">
        <v>286</v>
      </c>
    </row>
    <row r="128" spans="2:11" hidden="1">
      <c r="B128" t="s">
        <v>251</v>
      </c>
      <c r="C128" t="s">
        <v>252</v>
      </c>
      <c r="D128" s="83" t="s">
        <v>758</v>
      </c>
      <c r="E128" s="83" t="s">
        <v>759</v>
      </c>
      <c r="F128">
        <v>1.1200000000000001</v>
      </c>
      <c r="G128" t="s">
        <v>760</v>
      </c>
      <c r="H128" t="s">
        <v>286</v>
      </c>
      <c r="J128" t="s">
        <v>286</v>
      </c>
      <c r="K128" t="s">
        <v>286</v>
      </c>
    </row>
    <row r="129" spans="2:11" hidden="1">
      <c r="B129" t="s">
        <v>257</v>
      </c>
      <c r="C129" t="s">
        <v>252</v>
      </c>
      <c r="D129" s="83" t="s">
        <v>761</v>
      </c>
      <c r="E129" s="83" t="s">
        <v>762</v>
      </c>
      <c r="F129">
        <v>1.1299999999999999</v>
      </c>
      <c r="G129" t="s">
        <v>763</v>
      </c>
      <c r="H129" t="s">
        <v>286</v>
      </c>
      <c r="J129" t="s">
        <v>286</v>
      </c>
      <c r="K129" t="s">
        <v>286</v>
      </c>
    </row>
    <row r="130" spans="2:11" hidden="1">
      <c r="B130" t="s">
        <v>166</v>
      </c>
      <c r="C130" t="s">
        <v>167</v>
      </c>
      <c r="D130" s="83" t="s">
        <v>764</v>
      </c>
      <c r="E130" s="83" t="s">
        <v>765</v>
      </c>
      <c r="F130">
        <v>0.32</v>
      </c>
      <c r="G130" t="s">
        <v>766</v>
      </c>
      <c r="H130" t="s">
        <v>294</v>
      </c>
      <c r="J130" t="s">
        <v>294</v>
      </c>
      <c r="K130" t="s">
        <v>294</v>
      </c>
    </row>
    <row r="131" spans="2:11" hidden="1">
      <c r="B131" t="s">
        <v>165</v>
      </c>
      <c r="C131" t="s">
        <v>164</v>
      </c>
      <c r="D131" s="83" t="s">
        <v>767</v>
      </c>
      <c r="E131" s="83" t="s">
        <v>768</v>
      </c>
      <c r="F131">
        <v>0.23</v>
      </c>
      <c r="G131" t="s">
        <v>769</v>
      </c>
      <c r="H131" t="s">
        <v>294</v>
      </c>
      <c r="J131" t="s">
        <v>294</v>
      </c>
      <c r="K131" t="s">
        <v>294</v>
      </c>
    </row>
    <row r="132" spans="2:11" hidden="1">
      <c r="B132" t="s">
        <v>163</v>
      </c>
      <c r="C132" t="s">
        <v>164</v>
      </c>
      <c r="D132" s="83" t="s">
        <v>770</v>
      </c>
      <c r="E132" s="83" t="s">
        <v>771</v>
      </c>
      <c r="F132">
        <v>0.28000000000000003</v>
      </c>
      <c r="G132" t="s">
        <v>772</v>
      </c>
      <c r="H132" t="s">
        <v>294</v>
      </c>
      <c r="J132" t="s">
        <v>294</v>
      </c>
      <c r="K132" t="s">
        <v>294</v>
      </c>
    </row>
    <row r="133" spans="2:11" hidden="1">
      <c r="B133" t="s">
        <v>220</v>
      </c>
      <c r="C133" t="s">
        <v>221</v>
      </c>
      <c r="D133" s="83" t="s">
        <v>773</v>
      </c>
      <c r="E133" s="83" t="s">
        <v>774</v>
      </c>
      <c r="F133">
        <v>8.3000000000000007</v>
      </c>
      <c r="G133" t="s">
        <v>775</v>
      </c>
      <c r="H133" t="s">
        <v>278</v>
      </c>
      <c r="J133" t="s">
        <v>278</v>
      </c>
      <c r="K133" t="s">
        <v>278</v>
      </c>
    </row>
    <row r="134" spans="2:11" hidden="1">
      <c r="B134" t="s">
        <v>215</v>
      </c>
      <c r="C134" t="s">
        <v>216</v>
      </c>
      <c r="D134" s="83" t="s">
        <v>776</v>
      </c>
      <c r="E134" s="83" t="s">
        <v>777</v>
      </c>
      <c r="F134">
        <v>11.88</v>
      </c>
      <c r="G134" t="s">
        <v>778</v>
      </c>
      <c r="H134" t="s">
        <v>286</v>
      </c>
      <c r="J134" t="s">
        <v>286</v>
      </c>
      <c r="K134" t="s">
        <v>286</v>
      </c>
    </row>
    <row r="135" spans="2:11">
      <c r="B135" t="s">
        <v>287</v>
      </c>
      <c r="C135" t="s">
        <v>288</v>
      </c>
      <c r="D135" s="83" t="s">
        <v>779</v>
      </c>
      <c r="E135" s="83" t="s">
        <v>780</v>
      </c>
      <c r="F135">
        <v>17.52</v>
      </c>
      <c r="G135" t="s">
        <v>781</v>
      </c>
      <c r="H135" t="s">
        <v>286</v>
      </c>
      <c r="J135" t="s">
        <v>286</v>
      </c>
      <c r="K135" t="s">
        <v>286</v>
      </c>
    </row>
    <row r="136" spans="2:11" hidden="1">
      <c r="B136" t="s">
        <v>219</v>
      </c>
      <c r="C136" t="s">
        <v>183</v>
      </c>
      <c r="D136" s="83" t="s">
        <v>782</v>
      </c>
      <c r="E136" s="83" t="s">
        <v>783</v>
      </c>
      <c r="F136">
        <v>1.1200000000000001</v>
      </c>
      <c r="G136" t="s">
        <v>784</v>
      </c>
      <c r="H136" t="s">
        <v>295</v>
      </c>
      <c r="J136" t="s">
        <v>295</v>
      </c>
      <c r="K136" t="s">
        <v>295</v>
      </c>
    </row>
    <row r="137" spans="2:11" hidden="1">
      <c r="B137" t="s">
        <v>170</v>
      </c>
      <c r="C137" t="s">
        <v>171</v>
      </c>
      <c r="D137" s="83" t="s">
        <v>785</v>
      </c>
      <c r="E137" s="83" t="s">
        <v>786</v>
      </c>
      <c r="F137">
        <v>0.85</v>
      </c>
      <c r="G137" t="s">
        <v>787</v>
      </c>
      <c r="H137" t="s">
        <v>294</v>
      </c>
      <c r="J137" t="s">
        <v>294</v>
      </c>
      <c r="K137" t="s">
        <v>294</v>
      </c>
    </row>
    <row r="138" spans="2:11" hidden="1">
      <c r="B138" t="s">
        <v>218</v>
      </c>
      <c r="C138" t="s">
        <v>177</v>
      </c>
      <c r="D138" s="83" t="s">
        <v>788</v>
      </c>
      <c r="E138" s="83" t="s">
        <v>789</v>
      </c>
      <c r="F138">
        <v>7.87</v>
      </c>
      <c r="G138" t="s">
        <v>790</v>
      </c>
      <c r="H138" t="s">
        <v>278</v>
      </c>
      <c r="J138" t="s">
        <v>278</v>
      </c>
      <c r="K138" t="s">
        <v>278</v>
      </c>
    </row>
    <row r="139" spans="2:11" hidden="1">
      <c r="B139" t="s">
        <v>236</v>
      </c>
      <c r="C139" t="s">
        <v>237</v>
      </c>
      <c r="D139" s="83" t="s">
        <v>791</v>
      </c>
      <c r="E139" s="83" t="s">
        <v>792</v>
      </c>
      <c r="F139">
        <v>8.1300000000000008</v>
      </c>
      <c r="G139" t="s">
        <v>793</v>
      </c>
      <c r="H139" t="s">
        <v>294</v>
      </c>
      <c r="J139" t="s">
        <v>294</v>
      </c>
      <c r="K139" t="s">
        <v>294</v>
      </c>
    </row>
    <row r="140" spans="2:11" hidden="1">
      <c r="B140" t="s">
        <v>298</v>
      </c>
      <c r="C140" t="s">
        <v>299</v>
      </c>
      <c r="D140" s="83" t="s">
        <v>794</v>
      </c>
      <c r="E140" s="83" t="s">
        <v>795</v>
      </c>
      <c r="F140">
        <v>10.57</v>
      </c>
      <c r="G140" t="s">
        <v>796</v>
      </c>
      <c r="H140" t="s">
        <v>294</v>
      </c>
      <c r="J140" t="s">
        <v>294</v>
      </c>
      <c r="K140" t="s">
        <v>294</v>
      </c>
    </row>
    <row r="141" spans="2:11">
      <c r="B141" t="s">
        <v>84</v>
      </c>
      <c r="C141" t="s">
        <v>190</v>
      </c>
      <c r="D141" s="83" t="s">
        <v>797</v>
      </c>
      <c r="E141" s="83" t="s">
        <v>798</v>
      </c>
      <c r="F141">
        <v>9.32</v>
      </c>
      <c r="G141" t="s">
        <v>799</v>
      </c>
      <c r="H141" t="s">
        <v>278</v>
      </c>
      <c r="J141" t="s">
        <v>278</v>
      </c>
      <c r="K141" t="s">
        <v>278</v>
      </c>
    </row>
    <row r="142" spans="2:11" hidden="1">
      <c r="B142" t="s">
        <v>229</v>
      </c>
      <c r="C142" t="s">
        <v>230</v>
      </c>
      <c r="D142" s="83" t="s">
        <v>800</v>
      </c>
      <c r="E142" s="83" t="s">
        <v>801</v>
      </c>
      <c r="F142">
        <v>19.27</v>
      </c>
      <c r="G142" t="s">
        <v>802</v>
      </c>
      <c r="H142" t="s">
        <v>278</v>
      </c>
      <c r="I142" t="s">
        <v>803</v>
      </c>
      <c r="J142" t="s">
        <v>278</v>
      </c>
      <c r="K142" t="s">
        <v>278</v>
      </c>
    </row>
    <row r="143" spans="2:11" hidden="1">
      <c r="B143" t="s">
        <v>229</v>
      </c>
      <c r="C143" t="s">
        <v>230</v>
      </c>
      <c r="D143" s="83" t="s">
        <v>804</v>
      </c>
      <c r="E143" s="83" t="s">
        <v>805</v>
      </c>
      <c r="F143">
        <v>7.82</v>
      </c>
      <c r="G143" t="s">
        <v>806</v>
      </c>
      <c r="H143" t="s">
        <v>278</v>
      </c>
      <c r="I143" t="s">
        <v>807</v>
      </c>
      <c r="J143" t="s">
        <v>278</v>
      </c>
      <c r="K143" t="s">
        <v>278</v>
      </c>
    </row>
    <row r="144" spans="2:11" hidden="1">
      <c r="B144" t="s">
        <v>222</v>
      </c>
      <c r="C144" t="s">
        <v>223</v>
      </c>
      <c r="D144" s="83" t="s">
        <v>808</v>
      </c>
      <c r="E144" s="83" t="s">
        <v>809</v>
      </c>
      <c r="F144">
        <v>1.33</v>
      </c>
      <c r="G144" t="s">
        <v>810</v>
      </c>
      <c r="H144" t="s">
        <v>294</v>
      </c>
      <c r="J144" t="s">
        <v>294</v>
      </c>
      <c r="K144" t="s">
        <v>294</v>
      </c>
    </row>
    <row r="145" spans="2:11" hidden="1">
      <c r="B145" t="s">
        <v>184</v>
      </c>
      <c r="C145" t="s">
        <v>185</v>
      </c>
      <c r="D145" s="83" t="s">
        <v>811</v>
      </c>
      <c r="E145" s="83" t="s">
        <v>812</v>
      </c>
      <c r="F145">
        <v>7.32</v>
      </c>
      <c r="G145" t="s">
        <v>813</v>
      </c>
      <c r="H145" t="s">
        <v>286</v>
      </c>
      <c r="J145" t="s">
        <v>286</v>
      </c>
      <c r="K145" t="s">
        <v>286</v>
      </c>
    </row>
    <row r="146" spans="2:11" hidden="1">
      <c r="B146" t="s">
        <v>186</v>
      </c>
      <c r="C146" t="s">
        <v>187</v>
      </c>
      <c r="D146" s="83" t="s">
        <v>814</v>
      </c>
      <c r="E146" s="83" t="s">
        <v>815</v>
      </c>
      <c r="F146">
        <v>0.18</v>
      </c>
      <c r="G146" t="s">
        <v>816</v>
      </c>
      <c r="H146" t="s">
        <v>294</v>
      </c>
      <c r="J146" t="s">
        <v>294</v>
      </c>
      <c r="K146" t="s">
        <v>294</v>
      </c>
    </row>
    <row r="147" spans="2:11" hidden="1">
      <c r="B147" t="s">
        <v>188</v>
      </c>
      <c r="C147" t="s">
        <v>189</v>
      </c>
      <c r="D147" s="83" t="s">
        <v>817</v>
      </c>
      <c r="E147" s="83" t="s">
        <v>818</v>
      </c>
      <c r="F147">
        <v>5.78</v>
      </c>
      <c r="G147" t="s">
        <v>819</v>
      </c>
      <c r="H147" t="s">
        <v>274</v>
      </c>
      <c r="J147" t="s">
        <v>274</v>
      </c>
      <c r="K147" t="s">
        <v>274</v>
      </c>
    </row>
    <row r="148" spans="2:11">
      <c r="B148" t="s">
        <v>83</v>
      </c>
      <c r="C148" t="s">
        <v>201</v>
      </c>
      <c r="D148" s="83" t="s">
        <v>820</v>
      </c>
      <c r="E148" s="83" t="s">
        <v>821</v>
      </c>
      <c r="F148">
        <v>7.48</v>
      </c>
      <c r="G148" t="s">
        <v>822</v>
      </c>
      <c r="H148" t="s">
        <v>294</v>
      </c>
      <c r="J148" t="s">
        <v>294</v>
      </c>
      <c r="K148" t="s">
        <v>294</v>
      </c>
    </row>
    <row r="149" spans="2:11" hidden="1">
      <c r="B149" t="s">
        <v>224</v>
      </c>
      <c r="C149" t="s">
        <v>225</v>
      </c>
      <c r="D149" s="83" t="s">
        <v>823</v>
      </c>
      <c r="E149" s="83" t="s">
        <v>824</v>
      </c>
      <c r="F149">
        <v>14.75</v>
      </c>
      <c r="G149" t="s">
        <v>825</v>
      </c>
      <c r="H149" t="s">
        <v>295</v>
      </c>
      <c r="J149" t="s">
        <v>295</v>
      </c>
      <c r="K149" t="s">
        <v>295</v>
      </c>
    </row>
    <row r="150" spans="2:11" hidden="1">
      <c r="B150" t="s">
        <v>180</v>
      </c>
      <c r="C150" t="s">
        <v>181</v>
      </c>
      <c r="D150" s="83" t="s">
        <v>826</v>
      </c>
      <c r="E150" s="83" t="s">
        <v>827</v>
      </c>
      <c r="F150">
        <v>9.6999999999999993</v>
      </c>
      <c r="G150" t="s">
        <v>828</v>
      </c>
      <c r="H150" t="s">
        <v>276</v>
      </c>
      <c r="J150" t="s">
        <v>276</v>
      </c>
      <c r="K150" t="s">
        <v>276</v>
      </c>
    </row>
    <row r="151" spans="2:11" hidden="1">
      <c r="B151" t="s">
        <v>166</v>
      </c>
      <c r="C151" t="s">
        <v>167</v>
      </c>
      <c r="D151" s="83" t="s">
        <v>829</v>
      </c>
      <c r="E151" s="83" t="s">
        <v>830</v>
      </c>
      <c r="F151">
        <v>0.08</v>
      </c>
      <c r="G151" t="s">
        <v>831</v>
      </c>
      <c r="H151" t="s">
        <v>274</v>
      </c>
      <c r="J151" t="s">
        <v>274</v>
      </c>
      <c r="K151" t="s">
        <v>274</v>
      </c>
    </row>
    <row r="152" spans="2:11" hidden="1">
      <c r="B152" t="s">
        <v>163</v>
      </c>
      <c r="C152" t="s">
        <v>164</v>
      </c>
      <c r="D152" s="83" t="s">
        <v>832</v>
      </c>
      <c r="E152" s="83" t="s">
        <v>833</v>
      </c>
      <c r="F152">
        <v>0.13</v>
      </c>
      <c r="G152" t="s">
        <v>834</v>
      </c>
      <c r="H152" t="s">
        <v>274</v>
      </c>
      <c r="J152" t="s">
        <v>274</v>
      </c>
      <c r="K152" t="s">
        <v>274</v>
      </c>
    </row>
    <row r="153" spans="2:11" hidden="1">
      <c r="B153" t="s">
        <v>165</v>
      </c>
      <c r="C153" t="s">
        <v>164</v>
      </c>
      <c r="D153" s="83" t="s">
        <v>835</v>
      </c>
      <c r="E153" s="83" t="s">
        <v>836</v>
      </c>
      <c r="F153">
        <v>0.13</v>
      </c>
      <c r="G153" t="s">
        <v>837</v>
      </c>
      <c r="H153" t="s">
        <v>274</v>
      </c>
      <c r="J153" t="s">
        <v>274</v>
      </c>
      <c r="K153" t="s">
        <v>274</v>
      </c>
    </row>
    <row r="154" spans="2:11" hidden="1">
      <c r="B154" t="s">
        <v>172</v>
      </c>
      <c r="C154" t="s">
        <v>173</v>
      </c>
      <c r="D154" s="83" t="s">
        <v>838</v>
      </c>
      <c r="E154" s="83" t="s">
        <v>839</v>
      </c>
      <c r="F154">
        <v>0.43</v>
      </c>
      <c r="G154" t="s">
        <v>840</v>
      </c>
      <c r="H154" t="s">
        <v>286</v>
      </c>
      <c r="J154" t="s">
        <v>286</v>
      </c>
      <c r="K154" t="s">
        <v>286</v>
      </c>
    </row>
    <row r="155" spans="2:11" hidden="1">
      <c r="B155" t="s">
        <v>168</v>
      </c>
      <c r="C155" t="s">
        <v>169</v>
      </c>
      <c r="D155" s="83" t="s">
        <v>841</v>
      </c>
      <c r="E155" s="83" t="s">
        <v>842</v>
      </c>
      <c r="F155">
        <v>0.32</v>
      </c>
      <c r="G155" t="s">
        <v>843</v>
      </c>
      <c r="H155" t="s">
        <v>286</v>
      </c>
      <c r="J155" t="s">
        <v>286</v>
      </c>
      <c r="K155" t="s">
        <v>286</v>
      </c>
    </row>
    <row r="156" spans="2:11" hidden="1">
      <c r="B156" t="s">
        <v>240</v>
      </c>
      <c r="C156" t="s">
        <v>241</v>
      </c>
      <c r="D156" s="83" t="s">
        <v>844</v>
      </c>
      <c r="E156" s="83" t="s">
        <v>845</v>
      </c>
      <c r="F156">
        <v>8.9</v>
      </c>
      <c r="G156" t="s">
        <v>846</v>
      </c>
      <c r="H156" t="s">
        <v>278</v>
      </c>
      <c r="J156" t="s">
        <v>278</v>
      </c>
      <c r="K156" t="s">
        <v>278</v>
      </c>
    </row>
    <row r="157" spans="2:11">
      <c r="B157" t="s">
        <v>82</v>
      </c>
      <c r="C157" t="s">
        <v>217</v>
      </c>
      <c r="D157" s="83" t="s">
        <v>847</v>
      </c>
      <c r="E157" s="83" t="s">
        <v>848</v>
      </c>
      <c r="F157">
        <v>7.9</v>
      </c>
      <c r="G157" t="s">
        <v>849</v>
      </c>
      <c r="H157" t="s">
        <v>286</v>
      </c>
      <c r="J157" t="s">
        <v>286</v>
      </c>
      <c r="K157" t="s">
        <v>286</v>
      </c>
    </row>
    <row r="158" spans="2:11" hidden="1">
      <c r="B158" t="s">
        <v>212</v>
      </c>
      <c r="C158" t="s">
        <v>213</v>
      </c>
      <c r="D158" s="83" t="s">
        <v>850</v>
      </c>
      <c r="E158" s="83" t="s">
        <v>851</v>
      </c>
      <c r="F158">
        <v>11.5</v>
      </c>
      <c r="G158" t="s">
        <v>852</v>
      </c>
      <c r="H158" t="s">
        <v>286</v>
      </c>
      <c r="J158" t="s">
        <v>286</v>
      </c>
      <c r="K158" t="s">
        <v>286</v>
      </c>
    </row>
    <row r="159" spans="2:11" hidden="1">
      <c r="B159" t="s">
        <v>170</v>
      </c>
      <c r="C159" t="s">
        <v>171</v>
      </c>
      <c r="D159" s="83" t="s">
        <v>853</v>
      </c>
      <c r="E159" s="83" t="s">
        <v>854</v>
      </c>
      <c r="F159">
        <v>1.85</v>
      </c>
      <c r="G159" t="s">
        <v>855</v>
      </c>
      <c r="H159" t="s">
        <v>295</v>
      </c>
      <c r="J159" t="s">
        <v>295</v>
      </c>
      <c r="K159" t="s">
        <v>295</v>
      </c>
    </row>
    <row r="160" spans="2:11">
      <c r="B160" t="s">
        <v>85</v>
      </c>
      <c r="C160" t="s">
        <v>226</v>
      </c>
      <c r="D160" s="83" t="s">
        <v>856</v>
      </c>
      <c r="E160" s="83" t="s">
        <v>857</v>
      </c>
      <c r="F160">
        <v>10.85</v>
      </c>
      <c r="G160" t="s">
        <v>858</v>
      </c>
      <c r="H160" t="s">
        <v>295</v>
      </c>
      <c r="J160" t="s">
        <v>295</v>
      </c>
      <c r="K160" t="s">
        <v>295</v>
      </c>
    </row>
    <row r="161" spans="2:11" hidden="1">
      <c r="B161" t="s">
        <v>195</v>
      </c>
      <c r="C161" t="s">
        <v>196</v>
      </c>
      <c r="D161" s="83" t="s">
        <v>859</v>
      </c>
      <c r="E161" s="83" t="s">
        <v>860</v>
      </c>
      <c r="F161">
        <v>13.07</v>
      </c>
      <c r="G161" t="s">
        <v>861</v>
      </c>
      <c r="H161" t="s">
        <v>295</v>
      </c>
      <c r="J161" t="s">
        <v>295</v>
      </c>
      <c r="K161" t="s">
        <v>295</v>
      </c>
    </row>
    <row r="162" spans="2:11" hidden="1">
      <c r="B162" t="s">
        <v>238</v>
      </c>
      <c r="C162" t="s">
        <v>239</v>
      </c>
      <c r="D162" s="83" t="s">
        <v>862</v>
      </c>
      <c r="E162" s="83" t="s">
        <v>863</v>
      </c>
      <c r="F162">
        <v>0.33</v>
      </c>
      <c r="G162" t="s">
        <v>864</v>
      </c>
      <c r="H162" t="s">
        <v>274</v>
      </c>
      <c r="J162" t="s">
        <v>274</v>
      </c>
      <c r="K162" t="s">
        <v>274</v>
      </c>
    </row>
    <row r="163" spans="2:11" hidden="1">
      <c r="B163" t="s">
        <v>214</v>
      </c>
      <c r="C163" t="s">
        <v>205</v>
      </c>
      <c r="D163" s="83" t="s">
        <v>865</v>
      </c>
      <c r="E163" s="83" t="s">
        <v>866</v>
      </c>
      <c r="F163">
        <v>2.95</v>
      </c>
      <c r="G163" t="s">
        <v>867</v>
      </c>
      <c r="H163" t="s">
        <v>277</v>
      </c>
      <c r="J163" t="s">
        <v>277</v>
      </c>
      <c r="K163" t="s">
        <v>277</v>
      </c>
    </row>
    <row r="164" spans="2:11" hidden="1">
      <c r="B164" t="s">
        <v>207</v>
      </c>
      <c r="C164" t="s">
        <v>205</v>
      </c>
      <c r="D164" s="83" t="s">
        <v>868</v>
      </c>
      <c r="E164" s="83" t="s">
        <v>869</v>
      </c>
      <c r="F164">
        <v>2.97</v>
      </c>
      <c r="G164" t="s">
        <v>870</v>
      </c>
      <c r="H164" t="s">
        <v>277</v>
      </c>
      <c r="J164" t="s">
        <v>277</v>
      </c>
      <c r="K164" t="s">
        <v>277</v>
      </c>
    </row>
    <row r="165" spans="2:11" hidden="1">
      <c r="B165" t="s">
        <v>206</v>
      </c>
      <c r="C165" t="s">
        <v>205</v>
      </c>
      <c r="D165" s="83" t="s">
        <v>871</v>
      </c>
      <c r="E165" s="83" t="s">
        <v>872</v>
      </c>
      <c r="F165">
        <v>2.97</v>
      </c>
      <c r="G165" t="s">
        <v>873</v>
      </c>
      <c r="H165" t="s">
        <v>277</v>
      </c>
      <c r="J165" t="s">
        <v>277</v>
      </c>
      <c r="K165" t="s">
        <v>277</v>
      </c>
    </row>
    <row r="166" spans="2:11" hidden="1">
      <c r="B166" t="s">
        <v>186</v>
      </c>
      <c r="C166" t="s">
        <v>187</v>
      </c>
      <c r="D166" s="83" t="s">
        <v>874</v>
      </c>
      <c r="E166" s="83" t="s">
        <v>875</v>
      </c>
      <c r="F166">
        <v>0.45</v>
      </c>
      <c r="G166" t="s">
        <v>876</v>
      </c>
      <c r="H166" t="s">
        <v>425</v>
      </c>
      <c r="J166" t="s">
        <v>425</v>
      </c>
      <c r="K166" t="s">
        <v>425</v>
      </c>
    </row>
    <row r="167" spans="2:11" hidden="1">
      <c r="B167" t="s">
        <v>194</v>
      </c>
      <c r="C167" t="s">
        <v>183</v>
      </c>
      <c r="D167" s="83" t="s">
        <v>877</v>
      </c>
      <c r="E167" s="83" t="s">
        <v>878</v>
      </c>
      <c r="F167">
        <v>2.0699999999999998</v>
      </c>
      <c r="G167" t="s">
        <v>879</v>
      </c>
      <c r="H167" t="s">
        <v>295</v>
      </c>
      <c r="J167" t="s">
        <v>295</v>
      </c>
      <c r="K167" t="s">
        <v>295</v>
      </c>
    </row>
    <row r="168" spans="2:11" hidden="1">
      <c r="B168" t="s">
        <v>229</v>
      </c>
      <c r="C168" t="s">
        <v>230</v>
      </c>
      <c r="D168" s="83" t="s">
        <v>880</v>
      </c>
      <c r="E168" s="83" t="s">
        <v>881</v>
      </c>
      <c r="F168">
        <v>8.77</v>
      </c>
      <c r="G168" t="s">
        <v>882</v>
      </c>
      <c r="H168" t="s">
        <v>295</v>
      </c>
      <c r="J168" t="s">
        <v>295</v>
      </c>
      <c r="K168" t="s">
        <v>295</v>
      </c>
    </row>
    <row r="169" spans="2:11" hidden="1">
      <c r="B169" t="s">
        <v>204</v>
      </c>
      <c r="C169" t="s">
        <v>205</v>
      </c>
      <c r="D169" s="83" t="s">
        <v>883</v>
      </c>
      <c r="E169" s="83" t="s">
        <v>884</v>
      </c>
      <c r="F169">
        <v>14.58</v>
      </c>
      <c r="G169" t="s">
        <v>885</v>
      </c>
      <c r="H169" t="s">
        <v>277</v>
      </c>
      <c r="J169" t="s">
        <v>277</v>
      </c>
      <c r="K169" t="s">
        <v>277</v>
      </c>
    </row>
    <row r="170" spans="2:11" hidden="1">
      <c r="B170" t="s">
        <v>170</v>
      </c>
      <c r="C170" t="s">
        <v>171</v>
      </c>
      <c r="D170" s="83" t="s">
        <v>886</v>
      </c>
      <c r="E170" s="83" t="s">
        <v>887</v>
      </c>
      <c r="F170">
        <v>1.55</v>
      </c>
      <c r="G170" t="s">
        <v>888</v>
      </c>
      <c r="H170" t="s">
        <v>277</v>
      </c>
      <c r="J170" t="s">
        <v>277</v>
      </c>
      <c r="K170" t="s">
        <v>277</v>
      </c>
    </row>
    <row r="171" spans="2:11" hidden="1">
      <c r="B171" t="s">
        <v>283</v>
      </c>
      <c r="C171" t="s">
        <v>234</v>
      </c>
      <c r="D171" s="83" t="s">
        <v>889</v>
      </c>
      <c r="E171" s="83" t="s">
        <v>890</v>
      </c>
      <c r="F171">
        <v>10.6</v>
      </c>
      <c r="G171" t="s">
        <v>891</v>
      </c>
      <c r="H171" t="s">
        <v>294</v>
      </c>
      <c r="J171" t="s">
        <v>294</v>
      </c>
      <c r="K171" t="s">
        <v>294</v>
      </c>
    </row>
    <row r="172" spans="2:11" hidden="1">
      <c r="B172" t="s">
        <v>312</v>
      </c>
      <c r="C172" t="s">
        <v>313</v>
      </c>
      <c r="D172" s="83" t="s">
        <v>892</v>
      </c>
      <c r="E172" s="83" t="s">
        <v>893</v>
      </c>
      <c r="F172">
        <v>8.07</v>
      </c>
      <c r="G172" t="s">
        <v>894</v>
      </c>
      <c r="H172" t="s">
        <v>276</v>
      </c>
      <c r="J172" t="s">
        <v>276</v>
      </c>
      <c r="K172" t="s">
        <v>276</v>
      </c>
    </row>
    <row r="173" spans="2:11" hidden="1">
      <c r="B173" t="s">
        <v>199</v>
      </c>
      <c r="C173" t="s">
        <v>200</v>
      </c>
      <c r="D173" s="83" t="s">
        <v>895</v>
      </c>
      <c r="E173" s="83" t="s">
        <v>896</v>
      </c>
      <c r="F173">
        <v>7.78</v>
      </c>
      <c r="G173" t="s">
        <v>897</v>
      </c>
      <c r="H173" t="s">
        <v>278</v>
      </c>
      <c r="J173" t="s">
        <v>278</v>
      </c>
      <c r="K173" t="s">
        <v>278</v>
      </c>
    </row>
    <row r="174" spans="2:11" hidden="1">
      <c r="B174" t="s">
        <v>172</v>
      </c>
      <c r="C174" t="s">
        <v>173</v>
      </c>
      <c r="D174" s="83" t="s">
        <v>898</v>
      </c>
      <c r="E174" s="83" t="s">
        <v>899</v>
      </c>
      <c r="F174">
        <v>0.2</v>
      </c>
      <c r="G174" t="s">
        <v>900</v>
      </c>
      <c r="H174" t="s">
        <v>276</v>
      </c>
      <c r="J174" t="s">
        <v>276</v>
      </c>
      <c r="K174" t="s">
        <v>276</v>
      </c>
    </row>
    <row r="175" spans="2:11" hidden="1">
      <c r="B175" t="s">
        <v>236</v>
      </c>
      <c r="C175" t="s">
        <v>237</v>
      </c>
      <c r="D175" s="83" t="s">
        <v>901</v>
      </c>
      <c r="E175" s="83" t="s">
        <v>902</v>
      </c>
      <c r="F175">
        <v>16.02</v>
      </c>
      <c r="G175" t="s">
        <v>903</v>
      </c>
      <c r="H175" t="s">
        <v>274</v>
      </c>
      <c r="J175" t="s">
        <v>274</v>
      </c>
      <c r="K175" t="s">
        <v>274</v>
      </c>
    </row>
    <row r="176" spans="2:11" hidden="1">
      <c r="B176" t="s">
        <v>168</v>
      </c>
      <c r="C176" t="s">
        <v>169</v>
      </c>
      <c r="D176" s="83" t="s">
        <v>904</v>
      </c>
      <c r="E176" s="83" t="s">
        <v>905</v>
      </c>
      <c r="F176">
        <v>0.27</v>
      </c>
      <c r="G176" t="s">
        <v>906</v>
      </c>
      <c r="H176" t="s">
        <v>276</v>
      </c>
      <c r="J176" t="s">
        <v>276</v>
      </c>
      <c r="K176" t="s">
        <v>276</v>
      </c>
    </row>
    <row r="177" spans="2:11" hidden="1">
      <c r="B177" t="s">
        <v>186</v>
      </c>
      <c r="C177" t="s">
        <v>187</v>
      </c>
      <c r="D177" s="83" t="s">
        <v>907</v>
      </c>
      <c r="E177" s="83" t="s">
        <v>908</v>
      </c>
      <c r="F177">
        <v>2.0699999999999998</v>
      </c>
      <c r="G177" t="s">
        <v>909</v>
      </c>
      <c r="H177" t="s">
        <v>425</v>
      </c>
      <c r="J177" t="s">
        <v>425</v>
      </c>
      <c r="K177" t="s">
        <v>425</v>
      </c>
    </row>
    <row r="178" spans="2:11" hidden="1">
      <c r="B178" t="s">
        <v>166</v>
      </c>
      <c r="C178" t="s">
        <v>167</v>
      </c>
      <c r="D178" s="83" t="s">
        <v>910</v>
      </c>
      <c r="E178" s="83" t="s">
        <v>911</v>
      </c>
      <c r="F178">
        <v>0.47</v>
      </c>
      <c r="G178" t="s">
        <v>912</v>
      </c>
      <c r="H178" t="s">
        <v>294</v>
      </c>
      <c r="J178" t="s">
        <v>294</v>
      </c>
      <c r="K178" t="s">
        <v>294</v>
      </c>
    </row>
    <row r="179" spans="2:11" hidden="1">
      <c r="B179" t="s">
        <v>165</v>
      </c>
      <c r="C179" t="s">
        <v>164</v>
      </c>
      <c r="D179" s="83" t="s">
        <v>913</v>
      </c>
      <c r="E179" s="83" t="s">
        <v>914</v>
      </c>
      <c r="F179">
        <v>0.52</v>
      </c>
      <c r="G179" t="s">
        <v>915</v>
      </c>
      <c r="H179" t="s">
        <v>294</v>
      </c>
      <c r="J179" t="s">
        <v>294</v>
      </c>
      <c r="K179" t="s">
        <v>294</v>
      </c>
    </row>
    <row r="180" spans="2:11" hidden="1">
      <c r="B180" t="s">
        <v>163</v>
      </c>
      <c r="C180" t="s">
        <v>164</v>
      </c>
      <c r="D180" s="83" t="s">
        <v>916</v>
      </c>
      <c r="E180" s="83" t="s">
        <v>917</v>
      </c>
      <c r="F180">
        <v>0.56999999999999995</v>
      </c>
      <c r="G180" t="s">
        <v>918</v>
      </c>
      <c r="H180" t="s">
        <v>294</v>
      </c>
      <c r="J180" t="s">
        <v>294</v>
      </c>
      <c r="K180" t="s">
        <v>294</v>
      </c>
    </row>
    <row r="181" spans="2:11">
      <c r="B181" t="s">
        <v>84</v>
      </c>
      <c r="C181" t="s">
        <v>190</v>
      </c>
      <c r="D181" s="83" t="s">
        <v>919</v>
      </c>
      <c r="E181" s="83" t="s">
        <v>920</v>
      </c>
      <c r="F181">
        <v>8</v>
      </c>
      <c r="G181" t="s">
        <v>921</v>
      </c>
      <c r="H181" t="s">
        <v>286</v>
      </c>
      <c r="J181" t="s">
        <v>286</v>
      </c>
      <c r="K181" t="s">
        <v>286</v>
      </c>
    </row>
    <row r="182" spans="2:11" hidden="1">
      <c r="B182" t="s">
        <v>215</v>
      </c>
      <c r="C182" t="s">
        <v>216</v>
      </c>
      <c r="D182" s="83" t="s">
        <v>922</v>
      </c>
      <c r="E182" s="83" t="s">
        <v>923</v>
      </c>
      <c r="F182">
        <v>8.35</v>
      </c>
      <c r="G182" t="s">
        <v>924</v>
      </c>
      <c r="H182" t="s">
        <v>276</v>
      </c>
      <c r="J182" t="s">
        <v>276</v>
      </c>
      <c r="K182" t="s">
        <v>276</v>
      </c>
    </row>
    <row r="183" spans="2:11" hidden="1">
      <c r="B183" t="s">
        <v>562</v>
      </c>
      <c r="C183" t="s">
        <v>563</v>
      </c>
      <c r="D183" s="83" t="s">
        <v>925</v>
      </c>
      <c r="E183" s="83" t="s">
        <v>926</v>
      </c>
      <c r="F183">
        <v>1.73</v>
      </c>
      <c r="G183" t="s">
        <v>927</v>
      </c>
      <c r="H183" t="s">
        <v>274</v>
      </c>
      <c r="J183" t="s">
        <v>274</v>
      </c>
      <c r="K183" t="s">
        <v>274</v>
      </c>
    </row>
    <row r="184" spans="2:11" hidden="1">
      <c r="B184" t="s">
        <v>170</v>
      </c>
      <c r="C184" t="s">
        <v>171</v>
      </c>
      <c r="D184" s="83" t="s">
        <v>928</v>
      </c>
      <c r="E184" s="83" t="s">
        <v>929</v>
      </c>
      <c r="F184">
        <v>1.33</v>
      </c>
      <c r="G184" t="s">
        <v>930</v>
      </c>
      <c r="I184" t="s">
        <v>931</v>
      </c>
      <c r="J184" t="s">
        <v>294</v>
      </c>
      <c r="K184" t="s">
        <v>294</v>
      </c>
    </row>
    <row r="185" spans="2:11" hidden="1">
      <c r="B185" t="s">
        <v>219</v>
      </c>
      <c r="C185" t="s">
        <v>183</v>
      </c>
      <c r="D185" s="83" t="s">
        <v>932</v>
      </c>
      <c r="E185" s="83" t="s">
        <v>933</v>
      </c>
      <c r="F185">
        <v>4.7699999999999996</v>
      </c>
      <c r="G185" t="s">
        <v>934</v>
      </c>
      <c r="H185" t="s">
        <v>274</v>
      </c>
      <c r="J185" t="s">
        <v>274</v>
      </c>
      <c r="K185" t="s">
        <v>274</v>
      </c>
    </row>
    <row r="186" spans="2:11" hidden="1">
      <c r="B186" t="s">
        <v>180</v>
      </c>
      <c r="C186" t="s">
        <v>181</v>
      </c>
      <c r="D186" s="83" t="s">
        <v>935</v>
      </c>
      <c r="E186" s="83" t="s">
        <v>936</v>
      </c>
      <c r="F186">
        <v>8.02</v>
      </c>
      <c r="G186" t="s">
        <v>937</v>
      </c>
      <c r="H186" t="s">
        <v>278</v>
      </c>
      <c r="J186" t="s">
        <v>278</v>
      </c>
      <c r="K186" t="s">
        <v>278</v>
      </c>
    </row>
    <row r="187" spans="2:11" hidden="1">
      <c r="B187" t="s">
        <v>184</v>
      </c>
      <c r="C187" t="s">
        <v>185</v>
      </c>
      <c r="D187" s="83" t="s">
        <v>938</v>
      </c>
      <c r="E187" s="83" t="s">
        <v>939</v>
      </c>
      <c r="F187">
        <v>12.83</v>
      </c>
      <c r="G187" t="s">
        <v>940</v>
      </c>
      <c r="H187" t="s">
        <v>425</v>
      </c>
      <c r="J187" t="s">
        <v>425</v>
      </c>
      <c r="K187" t="s">
        <v>425</v>
      </c>
    </row>
    <row r="188" spans="2:11" hidden="1">
      <c r="B188" t="s">
        <v>170</v>
      </c>
      <c r="C188" t="s">
        <v>171</v>
      </c>
      <c r="D188" s="83" t="s">
        <v>941</v>
      </c>
      <c r="E188" s="83" t="s">
        <v>942</v>
      </c>
      <c r="F188">
        <v>0.67</v>
      </c>
      <c r="G188" t="s">
        <v>930</v>
      </c>
      <c r="H188" t="s">
        <v>295</v>
      </c>
      <c r="J188" t="s">
        <v>295</v>
      </c>
      <c r="K188" t="s">
        <v>295</v>
      </c>
    </row>
    <row r="189" spans="2:11" hidden="1">
      <c r="B189" t="s">
        <v>943</v>
      </c>
      <c r="C189" t="s">
        <v>944</v>
      </c>
      <c r="D189" s="83" t="s">
        <v>945</v>
      </c>
      <c r="E189" s="83" t="s">
        <v>946</v>
      </c>
      <c r="F189">
        <v>2.02</v>
      </c>
      <c r="G189" t="s">
        <v>947</v>
      </c>
      <c r="H189" t="s">
        <v>277</v>
      </c>
      <c r="J189" t="s">
        <v>277</v>
      </c>
      <c r="K189" t="s">
        <v>277</v>
      </c>
    </row>
    <row r="190" spans="2:11" hidden="1">
      <c r="B190" t="s">
        <v>218</v>
      </c>
      <c r="C190" t="s">
        <v>177</v>
      </c>
      <c r="D190" s="83" t="s">
        <v>948</v>
      </c>
      <c r="E190" s="83" t="s">
        <v>949</v>
      </c>
      <c r="F190">
        <v>7.55</v>
      </c>
      <c r="G190" t="s">
        <v>950</v>
      </c>
      <c r="H190" t="s">
        <v>278</v>
      </c>
      <c r="J190" t="s">
        <v>278</v>
      </c>
      <c r="K190" t="s">
        <v>278</v>
      </c>
    </row>
    <row r="191" spans="2:11" hidden="1">
      <c r="B191" t="s">
        <v>326</v>
      </c>
      <c r="C191" t="s">
        <v>327</v>
      </c>
      <c r="D191" s="83" t="s">
        <v>951</v>
      </c>
      <c r="E191" s="83" t="s">
        <v>952</v>
      </c>
      <c r="F191">
        <v>15.43</v>
      </c>
      <c r="G191" t="s">
        <v>953</v>
      </c>
      <c r="H191" t="s">
        <v>276</v>
      </c>
      <c r="J191" t="s">
        <v>276</v>
      </c>
      <c r="K191" t="s">
        <v>276</v>
      </c>
    </row>
    <row r="192" spans="2:11" hidden="1">
      <c r="B192" t="s">
        <v>172</v>
      </c>
      <c r="C192" t="s">
        <v>173</v>
      </c>
      <c r="D192" s="83" t="s">
        <v>954</v>
      </c>
      <c r="E192" s="83" t="s">
        <v>955</v>
      </c>
      <c r="F192">
        <v>0.38</v>
      </c>
      <c r="G192" t="s">
        <v>956</v>
      </c>
      <c r="H192" t="s">
        <v>425</v>
      </c>
      <c r="J192" t="s">
        <v>425</v>
      </c>
      <c r="K192" t="s">
        <v>425</v>
      </c>
    </row>
    <row r="193" spans="2:11" hidden="1">
      <c r="B193" t="s">
        <v>168</v>
      </c>
      <c r="C193" t="s">
        <v>169</v>
      </c>
      <c r="D193" s="83" t="s">
        <v>957</v>
      </c>
      <c r="E193" s="83" t="s">
        <v>958</v>
      </c>
      <c r="F193">
        <v>4.9800000000000004</v>
      </c>
      <c r="G193" t="s">
        <v>959</v>
      </c>
      <c r="H193" t="s">
        <v>277</v>
      </c>
      <c r="J193" t="s">
        <v>277</v>
      </c>
      <c r="K193" t="s">
        <v>277</v>
      </c>
    </row>
    <row r="194" spans="2:11">
      <c r="B194" t="s">
        <v>83</v>
      </c>
      <c r="C194" t="s">
        <v>201</v>
      </c>
      <c r="D194" s="83" t="s">
        <v>960</v>
      </c>
      <c r="E194" s="83" t="s">
        <v>961</v>
      </c>
      <c r="F194">
        <v>13.12</v>
      </c>
      <c r="G194" t="s">
        <v>962</v>
      </c>
      <c r="H194" t="s">
        <v>425</v>
      </c>
      <c r="J194" t="s">
        <v>425</v>
      </c>
      <c r="K194" t="s">
        <v>425</v>
      </c>
    </row>
    <row r="195" spans="2:11">
      <c r="B195" t="s">
        <v>82</v>
      </c>
      <c r="C195" t="s">
        <v>217</v>
      </c>
      <c r="D195" s="83" t="s">
        <v>963</v>
      </c>
      <c r="E195" s="83" t="s">
        <v>964</v>
      </c>
      <c r="F195">
        <v>7.87</v>
      </c>
      <c r="G195" t="s">
        <v>965</v>
      </c>
      <c r="H195" t="s">
        <v>276</v>
      </c>
      <c r="J195" t="s">
        <v>276</v>
      </c>
      <c r="K195" t="s">
        <v>276</v>
      </c>
    </row>
    <row r="196" spans="2:11" hidden="1">
      <c r="B196" t="s">
        <v>212</v>
      </c>
      <c r="C196" t="s">
        <v>213</v>
      </c>
      <c r="D196" s="83" t="s">
        <v>966</v>
      </c>
      <c r="E196" s="83" t="s">
        <v>967</v>
      </c>
      <c r="F196">
        <v>8.9700000000000006</v>
      </c>
      <c r="G196" t="s">
        <v>968</v>
      </c>
      <c r="H196" t="s">
        <v>276</v>
      </c>
      <c r="J196" t="s">
        <v>276</v>
      </c>
      <c r="K196" t="s">
        <v>276</v>
      </c>
    </row>
    <row r="197" spans="2:11" hidden="1">
      <c r="B197" t="s">
        <v>168</v>
      </c>
      <c r="C197" t="s">
        <v>169</v>
      </c>
      <c r="D197" s="83" t="s">
        <v>969</v>
      </c>
      <c r="E197" s="83" t="s">
        <v>970</v>
      </c>
      <c r="F197">
        <v>1.35</v>
      </c>
      <c r="G197" t="s">
        <v>971</v>
      </c>
      <c r="H197" t="s">
        <v>274</v>
      </c>
      <c r="J197" t="s">
        <v>274</v>
      </c>
      <c r="K197" t="s">
        <v>274</v>
      </c>
    </row>
    <row r="198" spans="2:11" hidden="1">
      <c r="B198" t="s">
        <v>195</v>
      </c>
      <c r="C198" t="s">
        <v>196</v>
      </c>
      <c r="D198" s="83" t="s">
        <v>972</v>
      </c>
      <c r="E198" s="83" t="s">
        <v>973</v>
      </c>
      <c r="F198">
        <v>7.3</v>
      </c>
      <c r="G198" t="s">
        <v>974</v>
      </c>
      <c r="H198" t="s">
        <v>274</v>
      </c>
      <c r="J198" t="s">
        <v>274</v>
      </c>
      <c r="K198" t="s">
        <v>274</v>
      </c>
    </row>
    <row r="199" spans="2:11" hidden="1">
      <c r="B199" t="s">
        <v>188</v>
      </c>
      <c r="C199" t="s">
        <v>189</v>
      </c>
      <c r="D199" s="83" t="s">
        <v>975</v>
      </c>
      <c r="E199" s="83" t="s">
        <v>976</v>
      </c>
      <c r="F199">
        <v>7.78</v>
      </c>
      <c r="G199" t="s">
        <v>977</v>
      </c>
      <c r="H199" t="s">
        <v>274</v>
      </c>
      <c r="J199" t="s">
        <v>274</v>
      </c>
      <c r="K199" t="s">
        <v>274</v>
      </c>
    </row>
    <row r="200" spans="2:11" hidden="1">
      <c r="B200" t="s">
        <v>186</v>
      </c>
      <c r="C200" t="s">
        <v>187</v>
      </c>
      <c r="D200" s="83" t="s">
        <v>978</v>
      </c>
      <c r="E200" s="83" t="s">
        <v>979</v>
      </c>
      <c r="F200">
        <v>0.45</v>
      </c>
      <c r="G200" t="s">
        <v>980</v>
      </c>
      <c r="H200" t="s">
        <v>295</v>
      </c>
      <c r="J200" t="s">
        <v>295</v>
      </c>
      <c r="K200" t="s">
        <v>295</v>
      </c>
    </row>
    <row r="201" spans="2:11" hidden="1">
      <c r="B201" t="s">
        <v>170</v>
      </c>
      <c r="C201" t="s">
        <v>171</v>
      </c>
      <c r="D201" s="83" t="s">
        <v>981</v>
      </c>
      <c r="E201" s="83" t="s">
        <v>982</v>
      </c>
      <c r="F201">
        <v>0.18</v>
      </c>
      <c r="G201" t="s">
        <v>983</v>
      </c>
      <c r="H201" t="s">
        <v>294</v>
      </c>
      <c r="J201" t="s">
        <v>294</v>
      </c>
      <c r="K201" t="s">
        <v>294</v>
      </c>
    </row>
    <row r="202" spans="2:11" hidden="1">
      <c r="B202" t="s">
        <v>166</v>
      </c>
      <c r="C202" t="s">
        <v>167</v>
      </c>
      <c r="D202" s="83" t="s">
        <v>984</v>
      </c>
      <c r="E202" s="83" t="s">
        <v>985</v>
      </c>
      <c r="F202">
        <v>0.4</v>
      </c>
      <c r="G202" t="s">
        <v>986</v>
      </c>
      <c r="H202" t="s">
        <v>274</v>
      </c>
      <c r="J202" t="s">
        <v>274</v>
      </c>
      <c r="K202" t="s">
        <v>274</v>
      </c>
    </row>
    <row r="203" spans="2:11" hidden="1">
      <c r="B203" t="s">
        <v>165</v>
      </c>
      <c r="C203" t="s">
        <v>164</v>
      </c>
      <c r="D203" s="83" t="s">
        <v>987</v>
      </c>
      <c r="E203" s="83" t="s">
        <v>988</v>
      </c>
      <c r="F203">
        <v>0.28000000000000003</v>
      </c>
      <c r="G203" t="s">
        <v>989</v>
      </c>
      <c r="H203" t="s">
        <v>274</v>
      </c>
      <c r="J203" t="s">
        <v>274</v>
      </c>
      <c r="K203" t="s">
        <v>274</v>
      </c>
    </row>
    <row r="204" spans="2:11" hidden="1">
      <c r="B204" t="s">
        <v>271</v>
      </c>
      <c r="C204" t="s">
        <v>272</v>
      </c>
      <c r="D204" s="83" t="s">
        <v>990</v>
      </c>
      <c r="E204" s="83" t="s">
        <v>991</v>
      </c>
      <c r="F204">
        <v>1.05</v>
      </c>
      <c r="G204" t="s">
        <v>992</v>
      </c>
      <c r="H204" t="s">
        <v>274</v>
      </c>
      <c r="J204" t="s">
        <v>274</v>
      </c>
      <c r="K204" t="s">
        <v>274</v>
      </c>
    </row>
    <row r="205" spans="2:11" hidden="1">
      <c r="B205" t="s">
        <v>208</v>
      </c>
      <c r="C205" t="s">
        <v>209</v>
      </c>
      <c r="D205" s="83" t="s">
        <v>993</v>
      </c>
      <c r="E205" s="83" t="s">
        <v>994</v>
      </c>
      <c r="F205">
        <v>1.27</v>
      </c>
      <c r="G205" t="s">
        <v>995</v>
      </c>
      <c r="H205" t="s">
        <v>274</v>
      </c>
      <c r="J205" t="s">
        <v>274</v>
      </c>
      <c r="K205" t="s">
        <v>274</v>
      </c>
    </row>
    <row r="206" spans="2:11" hidden="1">
      <c r="B206" t="s">
        <v>210</v>
      </c>
      <c r="C206" t="s">
        <v>211</v>
      </c>
      <c r="D206" s="83" t="s">
        <v>996</v>
      </c>
      <c r="E206" s="83" t="s">
        <v>997</v>
      </c>
      <c r="F206">
        <v>1.28</v>
      </c>
      <c r="G206" t="s">
        <v>998</v>
      </c>
      <c r="H206" t="s">
        <v>274</v>
      </c>
      <c r="J206" t="s">
        <v>274</v>
      </c>
      <c r="K206" t="s">
        <v>274</v>
      </c>
    </row>
    <row r="207" spans="2:11" hidden="1">
      <c r="B207" t="s">
        <v>174</v>
      </c>
      <c r="C207" t="s">
        <v>175</v>
      </c>
      <c r="D207" s="83" t="s">
        <v>999</v>
      </c>
      <c r="E207" s="83" t="s">
        <v>1000</v>
      </c>
      <c r="F207">
        <v>1.28</v>
      </c>
      <c r="G207" t="s">
        <v>1001</v>
      </c>
      <c r="H207" t="s">
        <v>274</v>
      </c>
      <c r="J207" t="s">
        <v>274</v>
      </c>
      <c r="K207" t="s">
        <v>274</v>
      </c>
    </row>
    <row r="208" spans="2:11" hidden="1">
      <c r="B208" t="s">
        <v>176</v>
      </c>
      <c r="C208" t="s">
        <v>177</v>
      </c>
      <c r="D208" s="83" t="s">
        <v>1002</v>
      </c>
      <c r="E208" s="83" t="s">
        <v>1003</v>
      </c>
      <c r="F208">
        <v>1.3</v>
      </c>
      <c r="G208" t="s">
        <v>1004</v>
      </c>
      <c r="H208" t="s">
        <v>274</v>
      </c>
      <c r="J208" t="s">
        <v>274</v>
      </c>
      <c r="K208" t="s">
        <v>274</v>
      </c>
    </row>
    <row r="209" spans="2:11" hidden="1">
      <c r="B209" t="s">
        <v>233</v>
      </c>
      <c r="C209" t="s">
        <v>234</v>
      </c>
      <c r="D209" s="83" t="s">
        <v>1005</v>
      </c>
      <c r="E209" s="83" t="s">
        <v>1006</v>
      </c>
      <c r="F209">
        <v>1.42</v>
      </c>
      <c r="G209" t="s">
        <v>1007</v>
      </c>
      <c r="H209" t="s">
        <v>274</v>
      </c>
      <c r="J209" t="s">
        <v>274</v>
      </c>
      <c r="K209" t="s">
        <v>274</v>
      </c>
    </row>
    <row r="210" spans="2:11" hidden="1">
      <c r="B210" t="s">
        <v>235</v>
      </c>
      <c r="C210" t="s">
        <v>234</v>
      </c>
      <c r="D210" s="83" t="s">
        <v>1008</v>
      </c>
      <c r="E210" s="83" t="s">
        <v>1009</v>
      </c>
      <c r="F210">
        <v>1.43</v>
      </c>
      <c r="G210" t="s">
        <v>1010</v>
      </c>
      <c r="H210" t="s">
        <v>274</v>
      </c>
      <c r="J210" t="s">
        <v>274</v>
      </c>
      <c r="K210" t="s">
        <v>274</v>
      </c>
    </row>
    <row r="211" spans="2:11" hidden="1">
      <c r="B211" t="s">
        <v>163</v>
      </c>
      <c r="C211" t="s">
        <v>164</v>
      </c>
      <c r="D211" s="83" t="s">
        <v>1011</v>
      </c>
      <c r="E211" s="83" t="s">
        <v>1012</v>
      </c>
      <c r="F211">
        <v>0.47</v>
      </c>
      <c r="G211" t="s">
        <v>1013</v>
      </c>
      <c r="H211" t="s">
        <v>274</v>
      </c>
      <c r="J211" t="s">
        <v>274</v>
      </c>
      <c r="K211" t="s">
        <v>274</v>
      </c>
    </row>
    <row r="212" spans="2:11" hidden="1">
      <c r="B212" t="s">
        <v>236</v>
      </c>
      <c r="C212" t="s">
        <v>237</v>
      </c>
      <c r="D212" s="83" t="s">
        <v>1014</v>
      </c>
      <c r="E212" s="83" t="s">
        <v>1015</v>
      </c>
      <c r="F212">
        <v>8.0299999999999994</v>
      </c>
      <c r="G212" t="s">
        <v>1016</v>
      </c>
      <c r="H212" t="s">
        <v>278</v>
      </c>
      <c r="J212" t="s">
        <v>278</v>
      </c>
      <c r="K212" t="s">
        <v>278</v>
      </c>
    </row>
    <row r="213" spans="2:11" hidden="1">
      <c r="B213" t="s">
        <v>238</v>
      </c>
      <c r="C213" t="s">
        <v>239</v>
      </c>
      <c r="D213" s="83" t="s">
        <v>1017</v>
      </c>
      <c r="E213" s="83" t="s">
        <v>1018</v>
      </c>
      <c r="F213">
        <v>7.45</v>
      </c>
      <c r="G213" t="s">
        <v>1019</v>
      </c>
      <c r="H213" t="s">
        <v>294</v>
      </c>
      <c r="J213" t="s">
        <v>294</v>
      </c>
      <c r="K213" t="s">
        <v>294</v>
      </c>
    </row>
    <row r="214" spans="2:11" hidden="1">
      <c r="B214" t="s">
        <v>320</v>
      </c>
      <c r="C214" t="s">
        <v>321</v>
      </c>
      <c r="D214" s="83" t="s">
        <v>1020</v>
      </c>
      <c r="E214" s="83" t="s">
        <v>1021</v>
      </c>
      <c r="F214">
        <v>0.67</v>
      </c>
      <c r="G214" t="s">
        <v>1022</v>
      </c>
      <c r="H214" t="s">
        <v>278</v>
      </c>
      <c r="J214" t="s">
        <v>278</v>
      </c>
      <c r="K214" t="s">
        <v>278</v>
      </c>
    </row>
    <row r="215" spans="2:11" hidden="1">
      <c r="B215" t="s">
        <v>182</v>
      </c>
      <c r="C215" t="s">
        <v>183</v>
      </c>
      <c r="D215" s="83" t="s">
        <v>1023</v>
      </c>
      <c r="E215" s="83" t="s">
        <v>1024</v>
      </c>
      <c r="F215">
        <v>0.2</v>
      </c>
      <c r="G215" t="s">
        <v>1025</v>
      </c>
      <c r="H215" t="s">
        <v>286</v>
      </c>
      <c r="J215" t="s">
        <v>286</v>
      </c>
      <c r="K215" t="s">
        <v>286</v>
      </c>
    </row>
    <row r="216" spans="2:11" hidden="1">
      <c r="B216" t="s">
        <v>193</v>
      </c>
      <c r="C216" t="s">
        <v>183</v>
      </c>
      <c r="D216" s="83" t="s">
        <v>1026</v>
      </c>
      <c r="E216" s="83" t="s">
        <v>1027</v>
      </c>
      <c r="F216">
        <v>0.2</v>
      </c>
      <c r="G216" t="s">
        <v>1028</v>
      </c>
      <c r="H216" t="s">
        <v>286</v>
      </c>
      <c r="J216" t="s">
        <v>286</v>
      </c>
      <c r="K216" t="s">
        <v>286</v>
      </c>
    </row>
    <row r="217" spans="2:11" hidden="1">
      <c r="B217" t="s">
        <v>191</v>
      </c>
      <c r="C217" t="s">
        <v>183</v>
      </c>
      <c r="D217" s="83" t="s">
        <v>1029</v>
      </c>
      <c r="E217" s="83" t="s">
        <v>1030</v>
      </c>
      <c r="F217">
        <v>2.68</v>
      </c>
      <c r="G217" t="s">
        <v>1031</v>
      </c>
      <c r="H217" t="s">
        <v>286</v>
      </c>
      <c r="J217" t="s">
        <v>286</v>
      </c>
      <c r="K217" t="s">
        <v>286</v>
      </c>
    </row>
    <row r="218" spans="2:11" hidden="1">
      <c r="B218" t="s">
        <v>192</v>
      </c>
      <c r="C218" t="s">
        <v>183</v>
      </c>
      <c r="D218" s="83" t="s">
        <v>1032</v>
      </c>
      <c r="E218" s="83" t="s">
        <v>1033</v>
      </c>
      <c r="F218">
        <v>2.5</v>
      </c>
      <c r="G218" t="s">
        <v>1034</v>
      </c>
      <c r="H218" t="s">
        <v>274</v>
      </c>
      <c r="J218" t="s">
        <v>274</v>
      </c>
      <c r="K218" t="s">
        <v>274</v>
      </c>
    </row>
    <row r="219" spans="2:11" hidden="1">
      <c r="B219" t="s">
        <v>194</v>
      </c>
      <c r="C219" t="s">
        <v>183</v>
      </c>
      <c r="D219" s="83" t="s">
        <v>1035</v>
      </c>
      <c r="E219" s="83" t="s">
        <v>1036</v>
      </c>
      <c r="F219">
        <v>8.2799999999999994</v>
      </c>
      <c r="G219" t="s">
        <v>1037</v>
      </c>
      <c r="H219" t="s">
        <v>286</v>
      </c>
      <c r="J219" t="s">
        <v>286</v>
      </c>
      <c r="K219" t="s">
        <v>286</v>
      </c>
    </row>
    <row r="220" spans="2:11" hidden="1">
      <c r="B220" t="s">
        <v>283</v>
      </c>
      <c r="C220" t="s">
        <v>234</v>
      </c>
      <c r="D220" s="83" t="s">
        <v>1038</v>
      </c>
      <c r="E220" s="83" t="s">
        <v>1039</v>
      </c>
      <c r="F220">
        <v>1.38</v>
      </c>
      <c r="G220" t="s">
        <v>1040</v>
      </c>
      <c r="H220" t="s">
        <v>277</v>
      </c>
      <c r="J220" t="s">
        <v>277</v>
      </c>
      <c r="K220" t="s">
        <v>277</v>
      </c>
    </row>
    <row r="221" spans="2:11" hidden="1">
      <c r="B221" t="s">
        <v>290</v>
      </c>
      <c r="C221" t="s">
        <v>291</v>
      </c>
      <c r="D221" s="83" t="s">
        <v>1041</v>
      </c>
      <c r="E221" s="83" t="s">
        <v>1042</v>
      </c>
      <c r="F221">
        <v>2.25</v>
      </c>
      <c r="G221" t="s">
        <v>1043</v>
      </c>
      <c r="H221" t="s">
        <v>277</v>
      </c>
      <c r="J221" t="s">
        <v>277</v>
      </c>
      <c r="K221" t="s">
        <v>277</v>
      </c>
    </row>
    <row r="222" spans="2:11" hidden="1">
      <c r="B222" t="s">
        <v>172</v>
      </c>
      <c r="C222" t="s">
        <v>173</v>
      </c>
      <c r="D222" s="83" t="s">
        <v>1044</v>
      </c>
      <c r="E222" s="83" t="s">
        <v>1045</v>
      </c>
      <c r="F222">
        <v>0.67</v>
      </c>
      <c r="G222" t="s">
        <v>1046</v>
      </c>
      <c r="H222" t="s">
        <v>425</v>
      </c>
      <c r="J222" t="s">
        <v>425</v>
      </c>
      <c r="K222" t="s">
        <v>425</v>
      </c>
    </row>
    <row r="223" spans="2:11" hidden="1">
      <c r="B223" t="s">
        <v>269</v>
      </c>
      <c r="C223" t="s">
        <v>270</v>
      </c>
      <c r="D223" s="83" t="s">
        <v>1047</v>
      </c>
      <c r="E223" s="83" t="s">
        <v>1048</v>
      </c>
      <c r="F223">
        <v>0.1</v>
      </c>
      <c r="G223" t="s">
        <v>1049</v>
      </c>
      <c r="H223" t="s">
        <v>274</v>
      </c>
      <c r="J223" t="s">
        <v>274</v>
      </c>
      <c r="K223" t="s">
        <v>274</v>
      </c>
    </row>
    <row r="224" spans="2:11" hidden="1">
      <c r="B224" t="s">
        <v>269</v>
      </c>
      <c r="C224" t="s">
        <v>270</v>
      </c>
      <c r="D224" s="83" t="s">
        <v>1050</v>
      </c>
      <c r="E224" s="83" t="s">
        <v>1051</v>
      </c>
      <c r="F224">
        <v>0.13</v>
      </c>
      <c r="G224" t="s">
        <v>1052</v>
      </c>
      <c r="H224" t="s">
        <v>274</v>
      </c>
      <c r="J224" t="s">
        <v>274</v>
      </c>
      <c r="K224" t="s">
        <v>274</v>
      </c>
    </row>
    <row r="225" spans="2:11" hidden="1">
      <c r="B225" t="s">
        <v>199</v>
      </c>
      <c r="C225" t="s">
        <v>200</v>
      </c>
      <c r="D225" s="83" t="s">
        <v>1053</v>
      </c>
      <c r="E225" s="83" t="s">
        <v>1054</v>
      </c>
      <c r="F225">
        <v>13.67</v>
      </c>
      <c r="G225" t="s">
        <v>1055</v>
      </c>
      <c r="H225" t="s">
        <v>286</v>
      </c>
      <c r="J225" t="s">
        <v>286</v>
      </c>
      <c r="K225" t="s">
        <v>286</v>
      </c>
    </row>
    <row r="226" spans="2:11" hidden="1">
      <c r="B226" t="s">
        <v>168</v>
      </c>
      <c r="C226" t="s">
        <v>169</v>
      </c>
      <c r="D226" s="83" t="s">
        <v>1056</v>
      </c>
      <c r="E226" s="83" t="s">
        <v>1057</v>
      </c>
      <c r="F226">
        <v>0.27</v>
      </c>
      <c r="G226" t="s">
        <v>1058</v>
      </c>
      <c r="H226" t="s">
        <v>425</v>
      </c>
      <c r="J226" t="s">
        <v>425</v>
      </c>
      <c r="K226" t="s">
        <v>425</v>
      </c>
    </row>
    <row r="227" spans="2:11" hidden="1">
      <c r="B227" t="s">
        <v>186</v>
      </c>
      <c r="C227" t="s">
        <v>187</v>
      </c>
      <c r="D227" s="83" t="s">
        <v>1059</v>
      </c>
      <c r="E227" s="83" t="s">
        <v>1060</v>
      </c>
      <c r="F227">
        <v>0.2</v>
      </c>
      <c r="G227" t="s">
        <v>1061</v>
      </c>
      <c r="H227" t="s">
        <v>276</v>
      </c>
      <c r="J227" t="s">
        <v>276</v>
      </c>
      <c r="K227" t="s">
        <v>276</v>
      </c>
    </row>
    <row r="228" spans="2:11" hidden="1">
      <c r="B228" t="s">
        <v>214</v>
      </c>
      <c r="C228" t="s">
        <v>205</v>
      </c>
      <c r="D228" s="83" t="s">
        <v>1062</v>
      </c>
      <c r="E228" s="83" t="s">
        <v>1063</v>
      </c>
      <c r="F228">
        <v>0.72</v>
      </c>
      <c r="G228" t="s">
        <v>1064</v>
      </c>
      <c r="H228" t="s">
        <v>294</v>
      </c>
      <c r="J228" t="s">
        <v>294</v>
      </c>
      <c r="K228" t="s">
        <v>294</v>
      </c>
    </row>
    <row r="229" spans="2:11" hidden="1">
      <c r="B229" t="s">
        <v>207</v>
      </c>
      <c r="C229" t="s">
        <v>205</v>
      </c>
      <c r="D229" s="83" t="s">
        <v>1065</v>
      </c>
      <c r="E229" s="83" t="s">
        <v>1066</v>
      </c>
      <c r="F229">
        <v>0.75</v>
      </c>
      <c r="G229" t="s">
        <v>1067</v>
      </c>
      <c r="H229" t="s">
        <v>294</v>
      </c>
      <c r="J229" t="s">
        <v>294</v>
      </c>
      <c r="K229" t="s">
        <v>294</v>
      </c>
    </row>
    <row r="230" spans="2:11" hidden="1">
      <c r="B230" t="s">
        <v>206</v>
      </c>
      <c r="C230" t="s">
        <v>205</v>
      </c>
      <c r="D230" s="83" t="s">
        <v>1068</v>
      </c>
      <c r="E230" s="83" t="s">
        <v>1069</v>
      </c>
      <c r="F230">
        <v>0.75</v>
      </c>
      <c r="G230" t="s">
        <v>1070</v>
      </c>
      <c r="H230" t="s">
        <v>294</v>
      </c>
      <c r="J230" t="s">
        <v>294</v>
      </c>
      <c r="K230" t="s">
        <v>294</v>
      </c>
    </row>
    <row r="231" spans="2:11" hidden="1">
      <c r="B231" t="s">
        <v>204</v>
      </c>
      <c r="C231" t="s">
        <v>205</v>
      </c>
      <c r="D231" s="83" t="s">
        <v>1071</v>
      </c>
      <c r="E231" s="83" t="s">
        <v>1072</v>
      </c>
      <c r="F231">
        <v>0.77</v>
      </c>
      <c r="G231" t="s">
        <v>1073</v>
      </c>
      <c r="H231" t="s">
        <v>294</v>
      </c>
      <c r="J231" t="s">
        <v>294</v>
      </c>
      <c r="K231" t="s">
        <v>294</v>
      </c>
    </row>
    <row r="232" spans="2:11" hidden="1">
      <c r="B232" t="s">
        <v>251</v>
      </c>
      <c r="C232" t="s">
        <v>252</v>
      </c>
      <c r="D232" s="83" t="s">
        <v>1074</v>
      </c>
      <c r="E232" s="83" t="s">
        <v>1075</v>
      </c>
      <c r="F232">
        <v>2.9</v>
      </c>
      <c r="G232" t="s">
        <v>1076</v>
      </c>
      <c r="H232" t="s">
        <v>286</v>
      </c>
      <c r="J232" t="s">
        <v>286</v>
      </c>
      <c r="K232" t="s">
        <v>286</v>
      </c>
    </row>
    <row r="233" spans="2:11" hidden="1">
      <c r="B233" t="s">
        <v>254</v>
      </c>
      <c r="C233" t="s">
        <v>252</v>
      </c>
      <c r="D233" s="83" t="s">
        <v>1077</v>
      </c>
      <c r="E233" s="83" t="s">
        <v>1078</v>
      </c>
      <c r="F233">
        <v>0.38</v>
      </c>
      <c r="G233" t="s">
        <v>1079</v>
      </c>
      <c r="H233" t="s">
        <v>286</v>
      </c>
      <c r="J233" t="s">
        <v>286</v>
      </c>
      <c r="K233" t="s">
        <v>286</v>
      </c>
    </row>
    <row r="234" spans="2:11" hidden="1">
      <c r="B234" t="s">
        <v>253</v>
      </c>
      <c r="C234" t="s">
        <v>252</v>
      </c>
      <c r="D234" s="83" t="s">
        <v>1080</v>
      </c>
      <c r="E234" s="83" t="s">
        <v>1081</v>
      </c>
      <c r="F234">
        <v>3.87</v>
      </c>
      <c r="G234" t="s">
        <v>1082</v>
      </c>
      <c r="H234" t="s">
        <v>286</v>
      </c>
      <c r="J234" t="s">
        <v>286</v>
      </c>
      <c r="K234" t="s">
        <v>286</v>
      </c>
    </row>
    <row r="235" spans="2:11" hidden="1">
      <c r="B235" t="s">
        <v>257</v>
      </c>
      <c r="C235" t="s">
        <v>252</v>
      </c>
      <c r="D235" s="83" t="s">
        <v>1083</v>
      </c>
      <c r="E235" s="83" t="s">
        <v>1084</v>
      </c>
      <c r="F235">
        <v>3.87</v>
      </c>
      <c r="G235" t="s">
        <v>1085</v>
      </c>
      <c r="H235" t="s">
        <v>286</v>
      </c>
      <c r="J235" t="s">
        <v>286</v>
      </c>
      <c r="K235" t="s">
        <v>286</v>
      </c>
    </row>
    <row r="236" spans="2:11" hidden="1">
      <c r="B236" t="s">
        <v>215</v>
      </c>
      <c r="C236" t="s">
        <v>216</v>
      </c>
      <c r="D236" s="83" t="s">
        <v>1086</v>
      </c>
      <c r="E236" s="83" t="s">
        <v>1087</v>
      </c>
      <c r="F236">
        <v>14.97</v>
      </c>
      <c r="G236" t="s">
        <v>1088</v>
      </c>
      <c r="H236" t="s">
        <v>276</v>
      </c>
      <c r="J236" t="s">
        <v>276</v>
      </c>
      <c r="K236" t="s">
        <v>276</v>
      </c>
    </row>
    <row r="237" spans="2:11" hidden="1">
      <c r="B237" t="s">
        <v>191</v>
      </c>
      <c r="C237" t="s">
        <v>183</v>
      </c>
      <c r="D237" s="83" t="s">
        <v>1089</v>
      </c>
      <c r="E237" s="83" t="s">
        <v>1090</v>
      </c>
      <c r="F237">
        <v>0.38</v>
      </c>
      <c r="G237" t="s">
        <v>1091</v>
      </c>
      <c r="H237" t="s">
        <v>274</v>
      </c>
      <c r="J237" t="s">
        <v>274</v>
      </c>
      <c r="K237" t="s">
        <v>274</v>
      </c>
    </row>
    <row r="238" spans="2:11" hidden="1">
      <c r="B238" t="s">
        <v>661</v>
      </c>
      <c r="C238" t="s">
        <v>183</v>
      </c>
      <c r="D238" s="83" t="s">
        <v>1092</v>
      </c>
      <c r="E238" s="83" t="s">
        <v>1093</v>
      </c>
      <c r="F238">
        <v>0.23</v>
      </c>
      <c r="G238" t="s">
        <v>1094</v>
      </c>
      <c r="H238" t="s">
        <v>274</v>
      </c>
      <c r="J238" t="s">
        <v>274</v>
      </c>
      <c r="K238" t="s">
        <v>274</v>
      </c>
    </row>
    <row r="239" spans="2:11" hidden="1">
      <c r="B239" t="s">
        <v>316</v>
      </c>
      <c r="C239" t="s">
        <v>317</v>
      </c>
      <c r="D239" s="83" t="s">
        <v>1095</v>
      </c>
      <c r="E239" s="83" t="s">
        <v>1096</v>
      </c>
      <c r="F239">
        <v>5.62</v>
      </c>
      <c r="G239" t="s">
        <v>1097</v>
      </c>
      <c r="H239" t="s">
        <v>286</v>
      </c>
      <c r="J239" t="s">
        <v>286</v>
      </c>
      <c r="K239" t="s">
        <v>286</v>
      </c>
    </row>
    <row r="240" spans="2:11" hidden="1">
      <c r="B240" t="s">
        <v>306</v>
      </c>
      <c r="C240" t="s">
        <v>307</v>
      </c>
      <c r="D240" s="83" t="s">
        <v>1098</v>
      </c>
      <c r="E240" s="83" t="s">
        <v>1099</v>
      </c>
      <c r="F240">
        <v>3.45</v>
      </c>
      <c r="G240" t="s">
        <v>1100</v>
      </c>
      <c r="H240" t="s">
        <v>286</v>
      </c>
      <c r="J240" t="s">
        <v>286</v>
      </c>
      <c r="K240" t="s">
        <v>286</v>
      </c>
    </row>
    <row r="241" spans="2:11" hidden="1">
      <c r="B241" t="s">
        <v>184</v>
      </c>
      <c r="C241" t="s">
        <v>185</v>
      </c>
      <c r="D241" s="83" t="s">
        <v>1101</v>
      </c>
      <c r="E241" s="83" t="s">
        <v>1102</v>
      </c>
      <c r="F241">
        <v>8.0500000000000007</v>
      </c>
      <c r="G241" t="s">
        <v>1103</v>
      </c>
      <c r="H241" t="s">
        <v>276</v>
      </c>
      <c r="J241" t="s">
        <v>276</v>
      </c>
      <c r="K241" t="s">
        <v>276</v>
      </c>
    </row>
    <row r="242" spans="2:11" hidden="1">
      <c r="B242" t="s">
        <v>170</v>
      </c>
      <c r="C242" t="s">
        <v>171</v>
      </c>
      <c r="D242" s="83" t="s">
        <v>1104</v>
      </c>
      <c r="E242" s="83" t="s">
        <v>1105</v>
      </c>
      <c r="F242">
        <v>0.9</v>
      </c>
      <c r="G242" t="s">
        <v>1106</v>
      </c>
      <c r="H242" t="s">
        <v>274</v>
      </c>
      <c r="J242" t="s">
        <v>274</v>
      </c>
      <c r="K242" t="s">
        <v>274</v>
      </c>
    </row>
    <row r="243" spans="2:11" hidden="1">
      <c r="B243" t="s">
        <v>163</v>
      </c>
      <c r="C243" t="s">
        <v>164</v>
      </c>
      <c r="D243" s="83" t="s">
        <v>1107</v>
      </c>
      <c r="E243" s="83" t="s">
        <v>1108</v>
      </c>
      <c r="F243">
        <v>1</v>
      </c>
      <c r="G243" t="s">
        <v>1109</v>
      </c>
      <c r="H243" t="s">
        <v>274</v>
      </c>
      <c r="J243" t="s">
        <v>274</v>
      </c>
      <c r="K243" t="s">
        <v>274</v>
      </c>
    </row>
    <row r="244" spans="2:11" hidden="1">
      <c r="B244" t="s">
        <v>165</v>
      </c>
      <c r="C244" t="s">
        <v>164</v>
      </c>
      <c r="D244" s="83" t="s">
        <v>1110</v>
      </c>
      <c r="E244" s="83" t="s">
        <v>1111</v>
      </c>
      <c r="F244">
        <v>0.95</v>
      </c>
      <c r="G244" t="s">
        <v>1112</v>
      </c>
      <c r="H244" t="s">
        <v>274</v>
      </c>
      <c r="J244" t="s">
        <v>274</v>
      </c>
      <c r="K244" t="s">
        <v>274</v>
      </c>
    </row>
    <row r="245" spans="2:11" hidden="1">
      <c r="B245" t="s">
        <v>166</v>
      </c>
      <c r="C245" t="s">
        <v>167</v>
      </c>
      <c r="D245" s="83" t="s">
        <v>1113</v>
      </c>
      <c r="E245" s="83" t="s">
        <v>1114</v>
      </c>
      <c r="F245">
        <v>0.95</v>
      </c>
      <c r="G245" t="s">
        <v>1115</v>
      </c>
      <c r="H245" t="s">
        <v>274</v>
      </c>
      <c r="J245" t="s">
        <v>274</v>
      </c>
      <c r="K245" t="s">
        <v>274</v>
      </c>
    </row>
    <row r="246" spans="2:11" hidden="1">
      <c r="B246" t="s">
        <v>180</v>
      </c>
      <c r="C246" t="s">
        <v>181</v>
      </c>
      <c r="D246" s="83" t="s">
        <v>1116</v>
      </c>
      <c r="E246" s="83" t="s">
        <v>1117</v>
      </c>
      <c r="F246">
        <v>28.27</v>
      </c>
      <c r="G246" t="s">
        <v>1118</v>
      </c>
      <c r="H246" t="s">
        <v>274</v>
      </c>
      <c r="J246" t="s">
        <v>274</v>
      </c>
      <c r="K246" t="s">
        <v>274</v>
      </c>
    </row>
    <row r="247" spans="2:11" hidden="1">
      <c r="B247" t="s">
        <v>186</v>
      </c>
      <c r="C247" t="s">
        <v>187</v>
      </c>
      <c r="D247" s="83" t="s">
        <v>1119</v>
      </c>
      <c r="E247" s="83" t="s">
        <v>1120</v>
      </c>
      <c r="F247">
        <v>1.27</v>
      </c>
      <c r="G247" t="s">
        <v>1121</v>
      </c>
      <c r="H247" t="s">
        <v>286</v>
      </c>
      <c r="J247" t="s">
        <v>286</v>
      </c>
      <c r="K247" t="s">
        <v>286</v>
      </c>
    </row>
    <row r="248" spans="2:11" hidden="1">
      <c r="B248" t="s">
        <v>182</v>
      </c>
      <c r="C248" t="s">
        <v>183</v>
      </c>
      <c r="D248" s="83" t="s">
        <v>1122</v>
      </c>
      <c r="E248" s="83" t="s">
        <v>1123</v>
      </c>
      <c r="F248">
        <v>0.4</v>
      </c>
      <c r="G248" t="s">
        <v>1124</v>
      </c>
      <c r="H248" t="s">
        <v>286</v>
      </c>
      <c r="J248" t="s">
        <v>286</v>
      </c>
      <c r="K248" t="s">
        <v>286</v>
      </c>
    </row>
    <row r="249" spans="2:11" hidden="1">
      <c r="B249" t="s">
        <v>172</v>
      </c>
      <c r="C249" t="s">
        <v>173</v>
      </c>
      <c r="D249" s="83" t="s">
        <v>1125</v>
      </c>
      <c r="E249" s="83" t="s">
        <v>1126</v>
      </c>
      <c r="F249">
        <v>0.47</v>
      </c>
      <c r="G249" t="s">
        <v>1127</v>
      </c>
      <c r="H249" t="s">
        <v>278</v>
      </c>
      <c r="J249" t="s">
        <v>278</v>
      </c>
      <c r="K249" t="s">
        <v>278</v>
      </c>
    </row>
    <row r="250" spans="2:11" hidden="1">
      <c r="B250" t="s">
        <v>257</v>
      </c>
      <c r="C250" t="s">
        <v>252</v>
      </c>
      <c r="D250" s="83" t="s">
        <v>1128</v>
      </c>
      <c r="E250" s="83" t="s">
        <v>1129</v>
      </c>
      <c r="F250">
        <v>3.18</v>
      </c>
      <c r="G250" t="s">
        <v>1130</v>
      </c>
      <c r="H250" t="s">
        <v>274</v>
      </c>
      <c r="J250" t="s">
        <v>274</v>
      </c>
      <c r="K250" t="s">
        <v>274</v>
      </c>
    </row>
    <row r="251" spans="2:11" hidden="1">
      <c r="B251" t="s">
        <v>253</v>
      </c>
      <c r="C251" t="s">
        <v>252</v>
      </c>
      <c r="D251" s="83" t="s">
        <v>1131</v>
      </c>
      <c r="E251" s="83" t="s">
        <v>1132</v>
      </c>
      <c r="F251">
        <v>3.18</v>
      </c>
      <c r="G251" t="s">
        <v>1133</v>
      </c>
      <c r="H251" t="s">
        <v>274</v>
      </c>
      <c r="J251" t="s">
        <v>274</v>
      </c>
      <c r="K251" t="s">
        <v>274</v>
      </c>
    </row>
    <row r="252" spans="2:11" hidden="1">
      <c r="B252" t="s">
        <v>254</v>
      </c>
      <c r="C252" t="s">
        <v>252</v>
      </c>
      <c r="D252" s="83" t="s">
        <v>1134</v>
      </c>
      <c r="E252" s="83" t="s">
        <v>1135</v>
      </c>
      <c r="F252">
        <v>3.18</v>
      </c>
      <c r="G252" t="s">
        <v>1136</v>
      </c>
      <c r="H252" t="s">
        <v>274</v>
      </c>
      <c r="J252" t="s">
        <v>274</v>
      </c>
      <c r="K252" t="s">
        <v>274</v>
      </c>
    </row>
    <row r="253" spans="2:11" hidden="1">
      <c r="B253" t="s">
        <v>168</v>
      </c>
      <c r="C253" t="s">
        <v>169</v>
      </c>
      <c r="D253" s="83" t="s">
        <v>1137</v>
      </c>
      <c r="E253" s="83" t="s">
        <v>1138</v>
      </c>
      <c r="F253">
        <v>1.27</v>
      </c>
      <c r="G253" t="s">
        <v>1139</v>
      </c>
      <c r="H253" t="s">
        <v>294</v>
      </c>
      <c r="J253" t="s">
        <v>294</v>
      </c>
      <c r="K253" t="s">
        <v>294</v>
      </c>
    </row>
    <row r="254" spans="2:11">
      <c r="B254" t="s">
        <v>85</v>
      </c>
      <c r="C254" t="s">
        <v>226</v>
      </c>
      <c r="D254" s="83" t="s">
        <v>1140</v>
      </c>
      <c r="E254" s="83" t="s">
        <v>1141</v>
      </c>
      <c r="F254">
        <v>74.52</v>
      </c>
      <c r="G254" t="s">
        <v>1142</v>
      </c>
      <c r="H254" t="s">
        <v>294</v>
      </c>
      <c r="I254" t="s">
        <v>1143</v>
      </c>
      <c r="J254" t="s">
        <v>294</v>
      </c>
      <c r="K254" t="s">
        <v>294</v>
      </c>
    </row>
    <row r="255" spans="2:11" hidden="1">
      <c r="B255" t="s">
        <v>212</v>
      </c>
      <c r="C255" t="s">
        <v>213</v>
      </c>
      <c r="D255" s="83" t="s">
        <v>1144</v>
      </c>
      <c r="E255" s="83" t="s">
        <v>1145</v>
      </c>
      <c r="F255">
        <v>51.25</v>
      </c>
      <c r="G255" t="s">
        <v>1146</v>
      </c>
      <c r="H255" t="s">
        <v>277</v>
      </c>
      <c r="I255" t="s">
        <v>1147</v>
      </c>
      <c r="J255" t="s">
        <v>277</v>
      </c>
      <c r="K255" t="s">
        <v>277</v>
      </c>
    </row>
    <row r="256" spans="2:11" hidden="1">
      <c r="B256" t="s">
        <v>195</v>
      </c>
      <c r="C256" t="s">
        <v>196</v>
      </c>
      <c r="D256" s="83" t="s">
        <v>1148</v>
      </c>
      <c r="E256" s="83" t="s">
        <v>1149</v>
      </c>
      <c r="F256">
        <v>26.68</v>
      </c>
      <c r="G256" t="s">
        <v>1150</v>
      </c>
      <c r="H256" t="s">
        <v>286</v>
      </c>
      <c r="J256" t="s">
        <v>286</v>
      </c>
      <c r="K256" t="s">
        <v>286</v>
      </c>
    </row>
    <row r="257" spans="2:11">
      <c r="B257" t="s">
        <v>95</v>
      </c>
      <c r="C257" t="s">
        <v>258</v>
      </c>
      <c r="D257" s="83" t="s">
        <v>1151</v>
      </c>
      <c r="E257" s="83" t="s">
        <v>1152</v>
      </c>
      <c r="F257">
        <v>49</v>
      </c>
      <c r="G257" t="s">
        <v>1153</v>
      </c>
      <c r="H257" t="s">
        <v>278</v>
      </c>
      <c r="I257" t="s">
        <v>1154</v>
      </c>
      <c r="J257" t="s">
        <v>278</v>
      </c>
      <c r="K257" t="s">
        <v>278</v>
      </c>
    </row>
    <row r="258" spans="2:11" hidden="1">
      <c r="B258" t="s">
        <v>229</v>
      </c>
      <c r="C258" t="s">
        <v>230</v>
      </c>
      <c r="D258" s="83" t="s">
        <v>1155</v>
      </c>
      <c r="E258" s="83" t="s">
        <v>1156</v>
      </c>
      <c r="F258">
        <v>51.3</v>
      </c>
      <c r="G258" t="s">
        <v>1157</v>
      </c>
      <c r="H258" t="s">
        <v>277</v>
      </c>
      <c r="I258" t="s">
        <v>1147</v>
      </c>
      <c r="J258" t="s">
        <v>277</v>
      </c>
      <c r="K258" t="s">
        <v>277</v>
      </c>
    </row>
    <row r="259" spans="2:11" hidden="1">
      <c r="B259" t="s">
        <v>227</v>
      </c>
      <c r="C259" t="s">
        <v>228</v>
      </c>
      <c r="D259" s="83" t="s">
        <v>1158</v>
      </c>
      <c r="E259" s="83" t="s">
        <v>1159</v>
      </c>
      <c r="F259">
        <v>2.5499999999999998</v>
      </c>
      <c r="G259" t="s">
        <v>1160</v>
      </c>
      <c r="H259" t="s">
        <v>274</v>
      </c>
      <c r="J259" t="s">
        <v>274</v>
      </c>
      <c r="K259" t="s">
        <v>274</v>
      </c>
    </row>
    <row r="260" spans="2:11" hidden="1">
      <c r="B260" t="s">
        <v>240</v>
      </c>
      <c r="C260" t="s">
        <v>241</v>
      </c>
      <c r="D260" s="83" t="s">
        <v>1161</v>
      </c>
      <c r="E260" s="83" t="s">
        <v>1162</v>
      </c>
      <c r="F260">
        <v>24.33</v>
      </c>
      <c r="G260" t="s">
        <v>1163</v>
      </c>
      <c r="H260" t="s">
        <v>278</v>
      </c>
      <c r="I260" t="s">
        <v>1154</v>
      </c>
      <c r="J260" t="s">
        <v>278</v>
      </c>
      <c r="K260" t="s">
        <v>278</v>
      </c>
    </row>
    <row r="261" spans="2:11" hidden="1">
      <c r="B261" t="s">
        <v>220</v>
      </c>
      <c r="C261" t="s">
        <v>221</v>
      </c>
      <c r="D261" s="83" t="s">
        <v>1164</v>
      </c>
      <c r="E261" s="83" t="s">
        <v>1165</v>
      </c>
      <c r="F261">
        <v>48.58</v>
      </c>
      <c r="G261" t="s">
        <v>1166</v>
      </c>
      <c r="H261" t="s">
        <v>278</v>
      </c>
      <c r="I261" t="s">
        <v>1167</v>
      </c>
      <c r="J261" t="s">
        <v>278</v>
      </c>
      <c r="K261" t="s">
        <v>278</v>
      </c>
    </row>
    <row r="262" spans="2:11" hidden="1">
      <c r="B262" t="s">
        <v>188</v>
      </c>
      <c r="C262" t="s">
        <v>189</v>
      </c>
      <c r="D262" s="83" t="s">
        <v>1168</v>
      </c>
      <c r="E262" s="83" t="s">
        <v>1169</v>
      </c>
      <c r="F262">
        <v>20</v>
      </c>
      <c r="G262" t="s">
        <v>1170</v>
      </c>
      <c r="H262" t="s">
        <v>278</v>
      </c>
      <c r="J262" t="s">
        <v>278</v>
      </c>
      <c r="K262" t="s">
        <v>278</v>
      </c>
    </row>
    <row r="263" spans="2:11" hidden="1">
      <c r="B263" t="s">
        <v>180</v>
      </c>
      <c r="C263" t="s">
        <v>181</v>
      </c>
      <c r="D263" s="83" t="s">
        <v>1171</v>
      </c>
      <c r="E263" s="83" t="s">
        <v>1172</v>
      </c>
      <c r="F263">
        <v>45.1</v>
      </c>
      <c r="G263" t="s">
        <v>1173</v>
      </c>
      <c r="H263" t="s">
        <v>278</v>
      </c>
      <c r="I263" t="s">
        <v>1154</v>
      </c>
      <c r="J263" t="s">
        <v>278</v>
      </c>
      <c r="K263" t="s">
        <v>278</v>
      </c>
    </row>
    <row r="264" spans="2:11">
      <c r="B264" t="s">
        <v>81</v>
      </c>
      <c r="C264" t="s">
        <v>289</v>
      </c>
      <c r="D264" s="83" t="s">
        <v>1174</v>
      </c>
      <c r="E264" s="83" t="s">
        <v>1175</v>
      </c>
      <c r="F264">
        <v>23.9</v>
      </c>
      <c r="G264" t="s">
        <v>1176</v>
      </c>
      <c r="H264" t="s">
        <v>278</v>
      </c>
      <c r="I264" t="s">
        <v>1154</v>
      </c>
      <c r="J264" t="s">
        <v>278</v>
      </c>
      <c r="K264" t="s">
        <v>278</v>
      </c>
    </row>
    <row r="265" spans="2:11" hidden="1">
      <c r="B265" t="s">
        <v>310</v>
      </c>
      <c r="C265" t="s">
        <v>311</v>
      </c>
      <c r="D265" s="83" t="s">
        <v>1177</v>
      </c>
      <c r="E265" s="83" t="s">
        <v>1178</v>
      </c>
      <c r="F265">
        <v>25.6</v>
      </c>
      <c r="G265" t="s">
        <v>1179</v>
      </c>
      <c r="H265" t="s">
        <v>294</v>
      </c>
      <c r="I265" t="s">
        <v>1180</v>
      </c>
      <c r="J265" t="s">
        <v>294</v>
      </c>
      <c r="K265" t="s">
        <v>294</v>
      </c>
    </row>
    <row r="266" spans="2:11">
      <c r="B266" t="s">
        <v>82</v>
      </c>
      <c r="C266" t="s">
        <v>217</v>
      </c>
      <c r="D266" s="83" t="s">
        <v>1181</v>
      </c>
      <c r="E266" s="83" t="s">
        <v>1182</v>
      </c>
      <c r="F266">
        <v>11.38</v>
      </c>
      <c r="G266" t="s">
        <v>1183</v>
      </c>
      <c r="H266" t="s">
        <v>286</v>
      </c>
      <c r="J266" t="s">
        <v>286</v>
      </c>
      <c r="K266" t="s">
        <v>286</v>
      </c>
    </row>
    <row r="267" spans="2:11">
      <c r="B267" t="s">
        <v>84</v>
      </c>
      <c r="C267" t="s">
        <v>190</v>
      </c>
      <c r="D267" s="83" t="s">
        <v>1184</v>
      </c>
      <c r="E267" s="83" t="s">
        <v>1185</v>
      </c>
      <c r="F267">
        <v>32.229999999999997</v>
      </c>
      <c r="G267" t="s">
        <v>1186</v>
      </c>
      <c r="H267" t="s">
        <v>286</v>
      </c>
      <c r="I267" t="s">
        <v>1187</v>
      </c>
      <c r="J267" t="s">
        <v>286</v>
      </c>
      <c r="K267" t="s">
        <v>286</v>
      </c>
    </row>
    <row r="268" spans="2:11">
      <c r="B268" t="s">
        <v>83</v>
      </c>
      <c r="C268" t="s">
        <v>201</v>
      </c>
      <c r="D268" s="83" t="s">
        <v>1188</v>
      </c>
      <c r="E268" s="83" t="s">
        <v>1189</v>
      </c>
      <c r="F268">
        <v>14.37</v>
      </c>
      <c r="G268" t="s">
        <v>1190</v>
      </c>
      <c r="H268" t="s">
        <v>277</v>
      </c>
      <c r="I268" t="s">
        <v>1191</v>
      </c>
      <c r="J268" t="s">
        <v>277</v>
      </c>
      <c r="K268" t="s">
        <v>277</v>
      </c>
    </row>
    <row r="269" spans="2:11" hidden="1">
      <c r="B269" t="s">
        <v>218</v>
      </c>
      <c r="C269" t="s">
        <v>177</v>
      </c>
      <c r="D269" s="83" t="s">
        <v>1192</v>
      </c>
      <c r="E269" s="83" t="s">
        <v>1193</v>
      </c>
      <c r="F269">
        <v>10.32</v>
      </c>
      <c r="G269" t="s">
        <v>1194</v>
      </c>
      <c r="H269" t="s">
        <v>286</v>
      </c>
      <c r="J269" t="s">
        <v>286</v>
      </c>
      <c r="K269" t="s">
        <v>286</v>
      </c>
    </row>
    <row r="270" spans="2:11" hidden="1">
      <c r="B270" t="s">
        <v>251</v>
      </c>
      <c r="C270" t="s">
        <v>252</v>
      </c>
      <c r="D270" s="83" t="s">
        <v>1195</v>
      </c>
      <c r="E270" s="83" t="s">
        <v>1196</v>
      </c>
      <c r="F270">
        <v>41.95</v>
      </c>
      <c r="G270" t="s">
        <v>1197</v>
      </c>
      <c r="H270" t="s">
        <v>274</v>
      </c>
      <c r="J270" t="s">
        <v>274</v>
      </c>
      <c r="K270" t="s">
        <v>274</v>
      </c>
    </row>
    <row r="271" spans="2:11" hidden="1">
      <c r="B271" t="s">
        <v>236</v>
      </c>
      <c r="C271" t="s">
        <v>237</v>
      </c>
      <c r="D271" s="83" t="s">
        <v>1198</v>
      </c>
      <c r="E271" s="83" t="s">
        <v>1199</v>
      </c>
      <c r="F271">
        <v>19.68</v>
      </c>
      <c r="G271" t="s">
        <v>1200</v>
      </c>
      <c r="H271" t="s">
        <v>286</v>
      </c>
      <c r="J271" t="s">
        <v>286</v>
      </c>
      <c r="K271" t="s">
        <v>286</v>
      </c>
    </row>
    <row r="272" spans="2:11" hidden="1">
      <c r="B272" t="s">
        <v>170</v>
      </c>
      <c r="C272" t="s">
        <v>171</v>
      </c>
      <c r="D272" s="83" t="s">
        <v>1201</v>
      </c>
      <c r="E272" s="83" t="s">
        <v>1202</v>
      </c>
      <c r="F272">
        <v>0.88</v>
      </c>
      <c r="G272" t="s">
        <v>1203</v>
      </c>
      <c r="H272" t="s">
        <v>274</v>
      </c>
      <c r="J272" t="s">
        <v>274</v>
      </c>
      <c r="K272" t="s">
        <v>274</v>
      </c>
    </row>
    <row r="273" spans="2:11" hidden="1">
      <c r="B273" t="s">
        <v>324</v>
      </c>
      <c r="C273" t="s">
        <v>325</v>
      </c>
      <c r="D273" s="83" t="s">
        <v>1204</v>
      </c>
      <c r="E273" s="83" t="s">
        <v>1205</v>
      </c>
      <c r="F273">
        <v>1.18</v>
      </c>
      <c r="G273" t="s">
        <v>1206</v>
      </c>
      <c r="H273" t="s">
        <v>274</v>
      </c>
      <c r="J273" t="s">
        <v>274</v>
      </c>
      <c r="K273" t="s">
        <v>274</v>
      </c>
    </row>
    <row r="274" spans="2:11">
      <c r="B274" t="s">
        <v>82</v>
      </c>
      <c r="C274" t="s">
        <v>217</v>
      </c>
      <c r="D274" s="83" t="s">
        <v>1207</v>
      </c>
      <c r="E274" s="83" t="s">
        <v>1208</v>
      </c>
      <c r="F274">
        <v>7.68</v>
      </c>
      <c r="G274" t="s">
        <v>1209</v>
      </c>
      <c r="H274" t="s">
        <v>278</v>
      </c>
      <c r="J274" t="s">
        <v>278</v>
      </c>
      <c r="K274" t="s">
        <v>278</v>
      </c>
    </row>
    <row r="275" spans="2:11" hidden="1">
      <c r="B275" t="s">
        <v>298</v>
      </c>
      <c r="C275" t="s">
        <v>299</v>
      </c>
      <c r="D275" s="83" t="s">
        <v>1210</v>
      </c>
      <c r="E275" s="83" t="s">
        <v>1211</v>
      </c>
      <c r="F275">
        <v>1.62</v>
      </c>
      <c r="G275" t="s">
        <v>1212</v>
      </c>
      <c r="H275" t="s">
        <v>295</v>
      </c>
      <c r="J275" t="s">
        <v>295</v>
      </c>
      <c r="K275" t="s">
        <v>295</v>
      </c>
    </row>
    <row r="276" spans="2:11" hidden="1">
      <c r="B276" t="s">
        <v>180</v>
      </c>
      <c r="C276" t="s">
        <v>181</v>
      </c>
      <c r="D276" s="83" t="s">
        <v>1213</v>
      </c>
      <c r="E276" s="83" t="s">
        <v>1214</v>
      </c>
      <c r="F276">
        <v>5.9</v>
      </c>
      <c r="G276" t="s">
        <v>1215</v>
      </c>
      <c r="H276" t="s">
        <v>278</v>
      </c>
      <c r="J276" t="s">
        <v>278</v>
      </c>
      <c r="K276" t="s">
        <v>278</v>
      </c>
    </row>
    <row r="277" spans="2:11">
      <c r="B277" t="s">
        <v>81</v>
      </c>
      <c r="C277" t="s">
        <v>289</v>
      </c>
      <c r="D277" s="83" t="s">
        <v>1216</v>
      </c>
      <c r="E277" s="83" t="s">
        <v>1217</v>
      </c>
      <c r="F277">
        <v>9.6999999999999993</v>
      </c>
      <c r="G277" t="s">
        <v>1218</v>
      </c>
      <c r="H277" t="s">
        <v>295</v>
      </c>
      <c r="J277" t="s">
        <v>295</v>
      </c>
      <c r="K277" t="s">
        <v>295</v>
      </c>
    </row>
    <row r="278" spans="2:11" hidden="1">
      <c r="B278" t="s">
        <v>330</v>
      </c>
      <c r="C278" t="s">
        <v>331</v>
      </c>
      <c r="D278" s="83" t="s">
        <v>1219</v>
      </c>
      <c r="E278" s="83" t="s">
        <v>1220</v>
      </c>
      <c r="F278">
        <v>1.82</v>
      </c>
      <c r="G278" t="s">
        <v>1221</v>
      </c>
      <c r="H278" t="s">
        <v>295</v>
      </c>
      <c r="J278" t="s">
        <v>295</v>
      </c>
      <c r="K278" t="s">
        <v>295</v>
      </c>
    </row>
    <row r="279" spans="2:11" hidden="1">
      <c r="B279" t="s">
        <v>186</v>
      </c>
      <c r="C279" t="s">
        <v>187</v>
      </c>
      <c r="D279" s="83" t="s">
        <v>1222</v>
      </c>
      <c r="E279" s="83" t="s">
        <v>1223</v>
      </c>
      <c r="F279">
        <v>1</v>
      </c>
      <c r="G279" t="s">
        <v>1224</v>
      </c>
      <c r="H279" t="s">
        <v>294</v>
      </c>
      <c r="J279" t="s">
        <v>294</v>
      </c>
      <c r="K279" t="s">
        <v>294</v>
      </c>
    </row>
    <row r="280" spans="2:11" hidden="1">
      <c r="B280" t="s">
        <v>172</v>
      </c>
      <c r="C280" t="s">
        <v>173</v>
      </c>
      <c r="D280" s="83" t="s">
        <v>1225</v>
      </c>
      <c r="E280" s="83" t="s">
        <v>1226</v>
      </c>
      <c r="F280">
        <v>0.45</v>
      </c>
      <c r="G280" t="s">
        <v>1227</v>
      </c>
      <c r="H280" t="s">
        <v>425</v>
      </c>
      <c r="J280" t="s">
        <v>425</v>
      </c>
      <c r="K280" t="s">
        <v>425</v>
      </c>
    </row>
    <row r="281" spans="2:11" hidden="1">
      <c r="B281" t="s">
        <v>168</v>
      </c>
      <c r="C281" t="s">
        <v>169</v>
      </c>
      <c r="D281" s="83" t="s">
        <v>1228</v>
      </c>
      <c r="E281" s="83" t="s">
        <v>1229</v>
      </c>
      <c r="F281">
        <v>0.6</v>
      </c>
      <c r="G281" t="s">
        <v>1230</v>
      </c>
      <c r="H281" t="s">
        <v>425</v>
      </c>
      <c r="J281" t="s">
        <v>425</v>
      </c>
      <c r="K281" t="s">
        <v>425</v>
      </c>
    </row>
    <row r="282" spans="2:11" hidden="1">
      <c r="B282" t="s">
        <v>204</v>
      </c>
      <c r="C282" t="s">
        <v>205</v>
      </c>
      <c r="D282" s="83" t="s">
        <v>1231</v>
      </c>
      <c r="E282" s="83" t="s">
        <v>1232</v>
      </c>
      <c r="F282">
        <v>1.47</v>
      </c>
      <c r="G282" t="s">
        <v>1233</v>
      </c>
      <c r="H282" t="s">
        <v>276</v>
      </c>
      <c r="J282" t="s">
        <v>276</v>
      </c>
      <c r="K282" t="s">
        <v>276</v>
      </c>
    </row>
    <row r="283" spans="2:11" hidden="1">
      <c r="B283" t="s">
        <v>206</v>
      </c>
      <c r="C283" t="s">
        <v>205</v>
      </c>
      <c r="D283" s="83" t="s">
        <v>1234</v>
      </c>
      <c r="E283" s="83" t="s">
        <v>1235</v>
      </c>
      <c r="F283">
        <v>1.47</v>
      </c>
      <c r="G283" t="s">
        <v>1236</v>
      </c>
      <c r="H283" t="s">
        <v>276</v>
      </c>
      <c r="J283" t="s">
        <v>276</v>
      </c>
      <c r="K283" t="s">
        <v>276</v>
      </c>
    </row>
    <row r="284" spans="2:11" hidden="1">
      <c r="B284" t="s">
        <v>207</v>
      </c>
      <c r="C284" t="s">
        <v>205</v>
      </c>
      <c r="D284" s="83" t="s">
        <v>1237</v>
      </c>
      <c r="E284" s="83" t="s">
        <v>1238</v>
      </c>
      <c r="F284">
        <v>1.45</v>
      </c>
      <c r="G284" t="s">
        <v>1239</v>
      </c>
      <c r="H284" t="s">
        <v>276</v>
      </c>
      <c r="J284" t="s">
        <v>276</v>
      </c>
      <c r="K284" t="s">
        <v>276</v>
      </c>
    </row>
    <row r="285" spans="2:11" hidden="1">
      <c r="B285" t="s">
        <v>214</v>
      </c>
      <c r="C285" t="s">
        <v>205</v>
      </c>
      <c r="D285" s="83" t="s">
        <v>1240</v>
      </c>
      <c r="E285" s="83" t="s">
        <v>1241</v>
      </c>
      <c r="F285">
        <v>1.45</v>
      </c>
      <c r="G285" t="s">
        <v>1242</v>
      </c>
      <c r="H285" t="s">
        <v>276</v>
      </c>
      <c r="J285" t="s">
        <v>276</v>
      </c>
      <c r="K285" t="s">
        <v>276</v>
      </c>
    </row>
    <row r="286" spans="2:11" hidden="1">
      <c r="B286" t="s">
        <v>163</v>
      </c>
      <c r="C286" t="s">
        <v>164</v>
      </c>
      <c r="D286" s="83" t="s">
        <v>1243</v>
      </c>
      <c r="E286" s="83" t="s">
        <v>1244</v>
      </c>
      <c r="F286">
        <v>0.1</v>
      </c>
      <c r="G286" t="s">
        <v>1245</v>
      </c>
      <c r="H286" t="s">
        <v>276</v>
      </c>
      <c r="J286" t="s">
        <v>276</v>
      </c>
      <c r="K286" t="s">
        <v>276</v>
      </c>
    </row>
    <row r="287" spans="2:11" hidden="1">
      <c r="B287" t="s">
        <v>165</v>
      </c>
      <c r="C287" t="s">
        <v>164</v>
      </c>
      <c r="D287" s="83" t="s">
        <v>1246</v>
      </c>
      <c r="E287" s="83" t="s">
        <v>1247</v>
      </c>
      <c r="F287">
        <v>0.2</v>
      </c>
      <c r="G287" t="s">
        <v>1248</v>
      </c>
      <c r="H287" t="s">
        <v>276</v>
      </c>
      <c r="J287" t="s">
        <v>276</v>
      </c>
      <c r="K287" t="s">
        <v>276</v>
      </c>
    </row>
    <row r="288" spans="2:11" hidden="1">
      <c r="B288" t="s">
        <v>166</v>
      </c>
      <c r="C288" t="s">
        <v>167</v>
      </c>
      <c r="D288" s="83" t="s">
        <v>1249</v>
      </c>
      <c r="E288" s="83" t="s">
        <v>1250</v>
      </c>
      <c r="F288">
        <v>0.2</v>
      </c>
      <c r="G288" t="s">
        <v>1251</v>
      </c>
      <c r="H288" t="s">
        <v>276</v>
      </c>
      <c r="J288" t="s">
        <v>276</v>
      </c>
      <c r="K288" t="s">
        <v>276</v>
      </c>
    </row>
    <row r="289" spans="2:11" hidden="1">
      <c r="B289" t="s">
        <v>170</v>
      </c>
      <c r="C289" t="s">
        <v>171</v>
      </c>
      <c r="D289" s="83" t="s">
        <v>1252</v>
      </c>
      <c r="E289" s="83" t="s">
        <v>1253</v>
      </c>
      <c r="F289">
        <v>0.28000000000000003</v>
      </c>
      <c r="G289" t="s">
        <v>1254</v>
      </c>
      <c r="H289" t="s">
        <v>276</v>
      </c>
      <c r="J289" t="s">
        <v>276</v>
      </c>
      <c r="K289" t="s">
        <v>276</v>
      </c>
    </row>
    <row r="290" spans="2:11" hidden="1">
      <c r="B290" t="s">
        <v>304</v>
      </c>
      <c r="C290" t="s">
        <v>305</v>
      </c>
      <c r="D290" s="83" t="s">
        <v>1255</v>
      </c>
      <c r="E290" s="83" t="s">
        <v>1256</v>
      </c>
      <c r="F290">
        <v>1.63</v>
      </c>
      <c r="G290" t="s">
        <v>1257</v>
      </c>
      <c r="H290" t="s">
        <v>276</v>
      </c>
      <c r="J290" t="s">
        <v>276</v>
      </c>
      <c r="K290" t="s">
        <v>276</v>
      </c>
    </row>
    <row r="291" spans="2:11" hidden="1">
      <c r="B291" t="s">
        <v>212</v>
      </c>
      <c r="C291" t="s">
        <v>213</v>
      </c>
      <c r="D291" s="83" t="s">
        <v>1258</v>
      </c>
      <c r="E291" s="83" t="s">
        <v>1259</v>
      </c>
      <c r="F291">
        <v>7.57</v>
      </c>
      <c r="G291" t="s">
        <v>1260</v>
      </c>
      <c r="H291" t="s">
        <v>276</v>
      </c>
      <c r="J291" t="s">
        <v>276</v>
      </c>
      <c r="K291" t="s">
        <v>276</v>
      </c>
    </row>
    <row r="292" spans="2:11">
      <c r="B292" t="s">
        <v>83</v>
      </c>
      <c r="C292" t="s">
        <v>201</v>
      </c>
      <c r="D292" s="83" t="s">
        <v>1261</v>
      </c>
      <c r="E292" s="83" t="s">
        <v>1262</v>
      </c>
      <c r="F292">
        <v>16.87</v>
      </c>
      <c r="G292" t="s">
        <v>1263</v>
      </c>
      <c r="H292" t="s">
        <v>286</v>
      </c>
      <c r="J292" t="s">
        <v>286</v>
      </c>
      <c r="K292" t="s">
        <v>286</v>
      </c>
    </row>
    <row r="293" spans="2:11" hidden="1">
      <c r="B293" t="s">
        <v>244</v>
      </c>
      <c r="C293" t="s">
        <v>245</v>
      </c>
      <c r="D293" s="83" t="s">
        <v>1264</v>
      </c>
      <c r="E293" s="83" t="s">
        <v>1265</v>
      </c>
      <c r="F293">
        <v>2.12</v>
      </c>
      <c r="G293" t="s">
        <v>1266</v>
      </c>
      <c r="H293" t="s">
        <v>295</v>
      </c>
      <c r="J293" t="s">
        <v>295</v>
      </c>
      <c r="K293" t="s">
        <v>295</v>
      </c>
    </row>
    <row r="294" spans="2:11" hidden="1">
      <c r="B294" t="s">
        <v>199</v>
      </c>
      <c r="C294" t="s">
        <v>200</v>
      </c>
      <c r="D294" s="83" t="s">
        <v>1267</v>
      </c>
      <c r="E294" s="83" t="s">
        <v>1268</v>
      </c>
      <c r="F294">
        <v>9.1</v>
      </c>
      <c r="G294" t="s">
        <v>1269</v>
      </c>
      <c r="H294" t="s">
        <v>295</v>
      </c>
      <c r="J294" t="s">
        <v>295</v>
      </c>
      <c r="K294" t="s">
        <v>295</v>
      </c>
    </row>
    <row r="295" spans="2:11" hidden="1">
      <c r="B295" t="s">
        <v>178</v>
      </c>
      <c r="C295" t="s">
        <v>179</v>
      </c>
      <c r="D295" s="83" t="s">
        <v>1270</v>
      </c>
      <c r="E295" s="83" t="s">
        <v>1271</v>
      </c>
      <c r="F295">
        <v>35.65</v>
      </c>
      <c r="G295" t="s">
        <v>1272</v>
      </c>
      <c r="H295" t="s">
        <v>294</v>
      </c>
      <c r="J295" t="s">
        <v>294</v>
      </c>
      <c r="K295" t="s">
        <v>294</v>
      </c>
    </row>
    <row r="296" spans="2:11" hidden="1">
      <c r="B296" t="s">
        <v>296</v>
      </c>
      <c r="C296" t="s">
        <v>297</v>
      </c>
      <c r="D296" s="83" t="s">
        <v>1273</v>
      </c>
      <c r="E296" s="83" t="s">
        <v>1274</v>
      </c>
      <c r="F296">
        <v>2.35</v>
      </c>
      <c r="G296" t="s">
        <v>1275</v>
      </c>
      <c r="H296" t="s">
        <v>425</v>
      </c>
      <c r="J296" t="s">
        <v>425</v>
      </c>
      <c r="K296" t="s">
        <v>425</v>
      </c>
    </row>
    <row r="297" spans="2:11" hidden="1">
      <c r="B297" t="s">
        <v>215</v>
      </c>
      <c r="C297" t="s">
        <v>216</v>
      </c>
      <c r="D297" s="83" t="s">
        <v>1276</v>
      </c>
      <c r="E297" s="83" t="s">
        <v>1277</v>
      </c>
      <c r="F297">
        <v>6.25</v>
      </c>
      <c r="G297" t="s">
        <v>1278</v>
      </c>
      <c r="H297" t="s">
        <v>274</v>
      </c>
      <c r="J297" t="s">
        <v>274</v>
      </c>
      <c r="K297" t="s">
        <v>274</v>
      </c>
    </row>
    <row r="298" spans="2:11" hidden="1">
      <c r="B298" t="s">
        <v>219</v>
      </c>
      <c r="C298" t="s">
        <v>183</v>
      </c>
      <c r="D298" s="83" t="s">
        <v>1279</v>
      </c>
      <c r="E298" s="83" t="s">
        <v>1280</v>
      </c>
      <c r="F298">
        <v>4.5999999999999996</v>
      </c>
      <c r="G298" t="s">
        <v>1281</v>
      </c>
      <c r="H298" t="s">
        <v>294</v>
      </c>
      <c r="J298" t="s">
        <v>294</v>
      </c>
      <c r="K298" t="s">
        <v>294</v>
      </c>
    </row>
    <row r="299" spans="2:11" hidden="1">
      <c r="B299" t="s">
        <v>320</v>
      </c>
      <c r="C299" t="s">
        <v>321</v>
      </c>
      <c r="D299" s="83" t="s">
        <v>1282</v>
      </c>
      <c r="E299" s="83" t="s">
        <v>1283</v>
      </c>
      <c r="F299">
        <v>0.82</v>
      </c>
      <c r="G299" t="s">
        <v>1284</v>
      </c>
      <c r="H299" t="s">
        <v>425</v>
      </c>
      <c r="J299" t="s">
        <v>425</v>
      </c>
      <c r="K299" t="s">
        <v>425</v>
      </c>
    </row>
    <row r="300" spans="2:11" hidden="1">
      <c r="B300" t="s">
        <v>218</v>
      </c>
      <c r="C300" t="s">
        <v>177</v>
      </c>
      <c r="D300" s="83" t="s">
        <v>1285</v>
      </c>
      <c r="E300" s="83" t="s">
        <v>1286</v>
      </c>
      <c r="F300">
        <v>16.18</v>
      </c>
      <c r="G300" t="s">
        <v>1287</v>
      </c>
      <c r="H300" t="s">
        <v>278</v>
      </c>
      <c r="J300" t="s">
        <v>278</v>
      </c>
      <c r="K300" t="s">
        <v>278</v>
      </c>
    </row>
    <row r="301" spans="2:11">
      <c r="B301" t="s">
        <v>84</v>
      </c>
      <c r="C301" t="s">
        <v>190</v>
      </c>
      <c r="D301" s="83" t="s">
        <v>1288</v>
      </c>
      <c r="E301" s="83" t="s">
        <v>1289</v>
      </c>
      <c r="F301">
        <v>8.42</v>
      </c>
      <c r="G301" t="s">
        <v>1290</v>
      </c>
      <c r="H301" t="s">
        <v>286</v>
      </c>
      <c r="J301" t="s">
        <v>286</v>
      </c>
      <c r="K301" t="s">
        <v>286</v>
      </c>
    </row>
    <row r="302" spans="2:11" hidden="1">
      <c r="B302" t="s">
        <v>186</v>
      </c>
      <c r="C302" t="s">
        <v>187</v>
      </c>
      <c r="D302" s="83" t="s">
        <v>1291</v>
      </c>
      <c r="E302" s="83" t="s">
        <v>1292</v>
      </c>
      <c r="F302">
        <v>0.17</v>
      </c>
      <c r="G302" t="s">
        <v>1293</v>
      </c>
      <c r="H302" t="s">
        <v>274</v>
      </c>
      <c r="J302" t="s">
        <v>274</v>
      </c>
      <c r="K302" t="s">
        <v>274</v>
      </c>
    </row>
    <row r="303" spans="2:11" hidden="1">
      <c r="B303" t="s">
        <v>188</v>
      </c>
      <c r="C303" t="s">
        <v>189</v>
      </c>
      <c r="D303" s="83" t="s">
        <v>1294</v>
      </c>
      <c r="E303" s="83" t="s">
        <v>1295</v>
      </c>
      <c r="F303">
        <v>10.130000000000001</v>
      </c>
      <c r="G303" t="s">
        <v>1296</v>
      </c>
      <c r="H303" t="s">
        <v>278</v>
      </c>
      <c r="J303" t="s">
        <v>278</v>
      </c>
      <c r="K303" t="s">
        <v>278</v>
      </c>
    </row>
    <row r="304" spans="2:11" hidden="1">
      <c r="B304" t="s">
        <v>184</v>
      </c>
      <c r="C304" t="s">
        <v>185</v>
      </c>
      <c r="D304" s="83" t="s">
        <v>1297</v>
      </c>
      <c r="E304" s="83" t="s">
        <v>1298</v>
      </c>
      <c r="F304">
        <v>16.329999999999998</v>
      </c>
      <c r="G304" t="s">
        <v>1299</v>
      </c>
      <c r="H304" t="s">
        <v>286</v>
      </c>
      <c r="J304" t="s">
        <v>286</v>
      </c>
      <c r="K304" t="s">
        <v>286</v>
      </c>
    </row>
    <row r="305" spans="2:11" hidden="1">
      <c r="B305" t="s">
        <v>168</v>
      </c>
      <c r="C305" t="s">
        <v>169</v>
      </c>
      <c r="D305" s="83" t="s">
        <v>1300</v>
      </c>
      <c r="E305" s="83" t="s">
        <v>1301</v>
      </c>
      <c r="F305">
        <v>0.56999999999999995</v>
      </c>
      <c r="G305" t="s">
        <v>1302</v>
      </c>
      <c r="H305" t="s">
        <v>277</v>
      </c>
      <c r="J305" t="s">
        <v>277</v>
      </c>
      <c r="K305" t="s">
        <v>277</v>
      </c>
    </row>
    <row r="306" spans="2:11">
      <c r="B306" t="s">
        <v>287</v>
      </c>
      <c r="C306" t="s">
        <v>288</v>
      </c>
      <c r="D306" s="83" t="s">
        <v>1303</v>
      </c>
      <c r="E306" s="83" t="s">
        <v>1304</v>
      </c>
      <c r="F306">
        <v>7.45</v>
      </c>
      <c r="G306" t="s">
        <v>1305</v>
      </c>
      <c r="H306" t="s">
        <v>278</v>
      </c>
      <c r="J306" t="s">
        <v>278</v>
      </c>
      <c r="K306" t="s">
        <v>278</v>
      </c>
    </row>
    <row r="307" spans="2:11" hidden="1">
      <c r="B307" t="s">
        <v>172</v>
      </c>
      <c r="C307" t="s">
        <v>173</v>
      </c>
      <c r="D307" s="83" t="s">
        <v>1306</v>
      </c>
      <c r="E307" s="83" t="s">
        <v>1307</v>
      </c>
      <c r="F307">
        <v>0.28000000000000003</v>
      </c>
      <c r="G307" t="s">
        <v>1308</v>
      </c>
      <c r="H307" t="s">
        <v>277</v>
      </c>
      <c r="J307" t="s">
        <v>277</v>
      </c>
      <c r="K307" t="s">
        <v>277</v>
      </c>
    </row>
    <row r="308" spans="2:11" hidden="1">
      <c r="B308" t="s">
        <v>195</v>
      </c>
      <c r="C308" t="s">
        <v>196</v>
      </c>
      <c r="D308" s="83" t="s">
        <v>1309</v>
      </c>
      <c r="E308" s="83" t="s">
        <v>1310</v>
      </c>
      <c r="F308">
        <v>17.600000000000001</v>
      </c>
      <c r="G308" t="s">
        <v>1311</v>
      </c>
      <c r="H308" t="s">
        <v>295</v>
      </c>
      <c r="J308" t="s">
        <v>295</v>
      </c>
      <c r="K308" t="s">
        <v>295</v>
      </c>
    </row>
    <row r="309" spans="2:11" hidden="1">
      <c r="B309" t="s">
        <v>170</v>
      </c>
      <c r="C309" t="s">
        <v>171</v>
      </c>
      <c r="D309" s="83" t="s">
        <v>1312</v>
      </c>
      <c r="E309" s="83" t="s">
        <v>1313</v>
      </c>
      <c r="F309">
        <v>0.5</v>
      </c>
      <c r="G309" t="s">
        <v>1314</v>
      </c>
      <c r="H309" t="s">
        <v>277</v>
      </c>
      <c r="J309" t="s">
        <v>277</v>
      </c>
      <c r="K309" t="s">
        <v>277</v>
      </c>
    </row>
    <row r="310" spans="2:11" hidden="1">
      <c r="B310" t="s">
        <v>322</v>
      </c>
      <c r="C310" t="s">
        <v>323</v>
      </c>
      <c r="D310" s="83" t="s">
        <v>1315</v>
      </c>
      <c r="E310" s="83" t="s">
        <v>1316</v>
      </c>
      <c r="F310">
        <v>4.97</v>
      </c>
      <c r="G310" t="s">
        <v>1317</v>
      </c>
      <c r="H310" t="s">
        <v>276</v>
      </c>
      <c r="I310" t="s">
        <v>275</v>
      </c>
      <c r="J310" t="s">
        <v>276</v>
      </c>
      <c r="K310" t="s">
        <v>276</v>
      </c>
    </row>
    <row r="311" spans="2:11" hidden="1">
      <c r="B311" t="s">
        <v>322</v>
      </c>
      <c r="C311" t="s">
        <v>323</v>
      </c>
      <c r="D311" s="83" t="s">
        <v>1318</v>
      </c>
      <c r="E311" s="83" t="s">
        <v>1319</v>
      </c>
      <c r="F311">
        <v>3.45</v>
      </c>
      <c r="G311" t="s">
        <v>1320</v>
      </c>
      <c r="H311" t="s">
        <v>286</v>
      </c>
      <c r="J311" t="s">
        <v>286</v>
      </c>
      <c r="K311" t="s">
        <v>286</v>
      </c>
    </row>
    <row r="312" spans="2:11" hidden="1">
      <c r="B312" t="s">
        <v>165</v>
      </c>
      <c r="C312" t="s">
        <v>164</v>
      </c>
      <c r="D312" s="83" t="s">
        <v>1321</v>
      </c>
      <c r="E312" s="83" t="s">
        <v>1322</v>
      </c>
      <c r="F312">
        <v>0.37</v>
      </c>
      <c r="G312" t="s">
        <v>1323</v>
      </c>
      <c r="H312" t="s">
        <v>286</v>
      </c>
      <c r="J312" t="s">
        <v>286</v>
      </c>
      <c r="K312" t="s">
        <v>286</v>
      </c>
    </row>
    <row r="313" spans="2:11" hidden="1">
      <c r="B313" t="s">
        <v>166</v>
      </c>
      <c r="C313" t="s">
        <v>167</v>
      </c>
      <c r="D313" s="83" t="s">
        <v>1324</v>
      </c>
      <c r="E313" s="83" t="s">
        <v>1325</v>
      </c>
      <c r="F313">
        <v>0.2</v>
      </c>
      <c r="G313" t="s">
        <v>1326</v>
      </c>
      <c r="H313" t="s">
        <v>286</v>
      </c>
      <c r="J313" t="s">
        <v>286</v>
      </c>
      <c r="K313" t="s">
        <v>286</v>
      </c>
    </row>
    <row r="314" spans="2:11" hidden="1">
      <c r="B314" t="s">
        <v>163</v>
      </c>
      <c r="C314" t="s">
        <v>164</v>
      </c>
      <c r="D314" s="83" t="s">
        <v>1327</v>
      </c>
      <c r="E314" s="83" t="s">
        <v>1328</v>
      </c>
      <c r="F314">
        <v>0.25</v>
      </c>
      <c r="G314" t="s">
        <v>1329</v>
      </c>
      <c r="H314" t="s">
        <v>286</v>
      </c>
      <c r="J314" t="s">
        <v>286</v>
      </c>
      <c r="K314" t="s">
        <v>286</v>
      </c>
    </row>
    <row r="315" spans="2:11" hidden="1">
      <c r="B315" t="s">
        <v>236</v>
      </c>
      <c r="C315" t="s">
        <v>237</v>
      </c>
      <c r="D315" s="83" t="s">
        <v>1330</v>
      </c>
      <c r="E315" s="83" t="s">
        <v>1331</v>
      </c>
      <c r="F315">
        <v>8.58</v>
      </c>
      <c r="G315" t="s">
        <v>1332</v>
      </c>
      <c r="H315" t="s">
        <v>278</v>
      </c>
      <c r="J315" t="s">
        <v>278</v>
      </c>
      <c r="K315" t="s">
        <v>278</v>
      </c>
    </row>
    <row r="316" spans="2:11">
      <c r="B316" t="s">
        <v>82</v>
      </c>
      <c r="C316" t="s">
        <v>217</v>
      </c>
      <c r="D316" s="83" t="s">
        <v>1333</v>
      </c>
      <c r="E316" s="83" t="s">
        <v>1334</v>
      </c>
      <c r="F316">
        <v>17.579999999999998</v>
      </c>
      <c r="G316" t="s">
        <v>1335</v>
      </c>
      <c r="H316" t="s">
        <v>294</v>
      </c>
      <c r="J316" t="s">
        <v>294</v>
      </c>
      <c r="K316" t="s">
        <v>294</v>
      </c>
    </row>
    <row r="317" spans="2:11" hidden="1">
      <c r="B317" t="s">
        <v>186</v>
      </c>
      <c r="C317" t="s">
        <v>187</v>
      </c>
      <c r="D317" s="83" t="s">
        <v>1336</v>
      </c>
      <c r="E317" s="83" t="s">
        <v>1337</v>
      </c>
      <c r="F317">
        <v>1.57</v>
      </c>
      <c r="G317" t="s">
        <v>1338</v>
      </c>
      <c r="H317" t="s">
        <v>294</v>
      </c>
      <c r="J317" t="s">
        <v>294</v>
      </c>
      <c r="K317" t="s">
        <v>294</v>
      </c>
    </row>
    <row r="318" spans="2:11" hidden="1">
      <c r="B318" t="s">
        <v>562</v>
      </c>
      <c r="C318" t="s">
        <v>563</v>
      </c>
      <c r="D318" s="83" t="s">
        <v>1339</v>
      </c>
      <c r="E318" s="83" t="s">
        <v>1340</v>
      </c>
      <c r="F318">
        <v>0.15</v>
      </c>
      <c r="G318" t="s">
        <v>1341</v>
      </c>
      <c r="H318" t="s">
        <v>274</v>
      </c>
      <c r="J318" t="s">
        <v>274</v>
      </c>
      <c r="K318" t="s">
        <v>274</v>
      </c>
    </row>
    <row r="319" spans="2:11" hidden="1">
      <c r="B319" t="s">
        <v>193</v>
      </c>
      <c r="C319" t="s">
        <v>183</v>
      </c>
      <c r="D319" s="83" t="s">
        <v>1342</v>
      </c>
      <c r="E319" s="83" t="s">
        <v>1343</v>
      </c>
      <c r="F319">
        <v>0.23</v>
      </c>
      <c r="G319" t="s">
        <v>1344</v>
      </c>
      <c r="H319" t="s">
        <v>274</v>
      </c>
      <c r="J319" t="s">
        <v>274</v>
      </c>
      <c r="K319" t="s">
        <v>274</v>
      </c>
    </row>
    <row r="320" spans="2:11" hidden="1">
      <c r="B320" t="s">
        <v>168</v>
      </c>
      <c r="C320" t="s">
        <v>169</v>
      </c>
      <c r="D320" s="83" t="s">
        <v>1345</v>
      </c>
      <c r="E320" s="83" t="s">
        <v>1346</v>
      </c>
      <c r="F320">
        <v>0.52</v>
      </c>
      <c r="G320" t="s">
        <v>1347</v>
      </c>
      <c r="H320" t="s">
        <v>277</v>
      </c>
      <c r="J320" t="s">
        <v>277</v>
      </c>
      <c r="K320" t="s">
        <v>277</v>
      </c>
    </row>
    <row r="321" spans="2:11" hidden="1">
      <c r="B321" t="s">
        <v>194</v>
      </c>
      <c r="C321" t="s">
        <v>183</v>
      </c>
      <c r="D321" s="83" t="s">
        <v>1348</v>
      </c>
      <c r="E321" s="83" t="s">
        <v>1349</v>
      </c>
      <c r="F321">
        <v>4.7</v>
      </c>
      <c r="G321" t="s">
        <v>1350</v>
      </c>
      <c r="H321" t="s">
        <v>274</v>
      </c>
      <c r="J321" t="s">
        <v>274</v>
      </c>
      <c r="K321" t="s">
        <v>274</v>
      </c>
    </row>
    <row r="322" spans="2:11" hidden="1">
      <c r="B322" t="s">
        <v>253</v>
      </c>
      <c r="C322" t="s">
        <v>252</v>
      </c>
      <c r="D322" s="83" t="s">
        <v>1351</v>
      </c>
      <c r="E322" s="83" t="s">
        <v>1352</v>
      </c>
      <c r="F322">
        <v>13.4</v>
      </c>
      <c r="G322" t="s">
        <v>1353</v>
      </c>
      <c r="H322" t="s">
        <v>294</v>
      </c>
      <c r="J322" t="s">
        <v>294</v>
      </c>
      <c r="K322" t="s">
        <v>294</v>
      </c>
    </row>
    <row r="323" spans="2:11" hidden="1">
      <c r="B323" t="s">
        <v>180</v>
      </c>
      <c r="C323" t="s">
        <v>181</v>
      </c>
      <c r="D323" s="83" t="s">
        <v>1354</v>
      </c>
      <c r="E323" s="83" t="s">
        <v>1355</v>
      </c>
      <c r="F323">
        <v>11.22</v>
      </c>
      <c r="G323" t="s">
        <v>1356</v>
      </c>
      <c r="H323" t="s">
        <v>277</v>
      </c>
      <c r="J323" t="s">
        <v>277</v>
      </c>
      <c r="K323" t="s">
        <v>277</v>
      </c>
    </row>
    <row r="324" spans="2:11">
      <c r="B324" t="s">
        <v>85</v>
      </c>
      <c r="C324" t="s">
        <v>226</v>
      </c>
      <c r="D324" s="83" t="s">
        <v>1357</v>
      </c>
      <c r="E324" s="83" t="s">
        <v>1358</v>
      </c>
      <c r="F324">
        <v>8.43</v>
      </c>
      <c r="G324" t="s">
        <v>1359</v>
      </c>
      <c r="H324" t="s">
        <v>286</v>
      </c>
      <c r="J324" t="s">
        <v>286</v>
      </c>
      <c r="K324" t="s">
        <v>286</v>
      </c>
    </row>
    <row r="325" spans="2:11" hidden="1">
      <c r="B325" t="s">
        <v>229</v>
      </c>
      <c r="C325" t="s">
        <v>230</v>
      </c>
      <c r="D325" s="83" t="s">
        <v>1360</v>
      </c>
      <c r="E325" s="83" t="s">
        <v>1361</v>
      </c>
      <c r="F325">
        <v>8.1999999999999993</v>
      </c>
      <c r="G325" t="s">
        <v>1362</v>
      </c>
      <c r="H325" t="s">
        <v>425</v>
      </c>
      <c r="J325" t="s">
        <v>425</v>
      </c>
      <c r="K325" t="s">
        <v>425</v>
      </c>
    </row>
    <row r="326" spans="2:11" hidden="1">
      <c r="B326" t="s">
        <v>170</v>
      </c>
      <c r="C326" t="s">
        <v>171</v>
      </c>
      <c r="D326" s="83" t="s">
        <v>1363</v>
      </c>
      <c r="E326" s="83" t="s">
        <v>1364</v>
      </c>
      <c r="F326">
        <v>0.17</v>
      </c>
      <c r="G326" t="s">
        <v>1365</v>
      </c>
      <c r="H326" t="s">
        <v>294</v>
      </c>
      <c r="J326" t="s">
        <v>294</v>
      </c>
      <c r="K326" t="s">
        <v>294</v>
      </c>
    </row>
    <row r="327" spans="2:11" hidden="1">
      <c r="B327" t="s">
        <v>172</v>
      </c>
      <c r="C327" t="s">
        <v>173</v>
      </c>
      <c r="D327" s="83" t="s">
        <v>1366</v>
      </c>
      <c r="E327" s="83" t="s">
        <v>1367</v>
      </c>
      <c r="F327">
        <v>0.82</v>
      </c>
      <c r="G327" t="s">
        <v>1368</v>
      </c>
      <c r="H327" t="s">
        <v>294</v>
      </c>
      <c r="J327" t="s">
        <v>294</v>
      </c>
      <c r="K327" t="s">
        <v>294</v>
      </c>
    </row>
    <row r="328" spans="2:11" hidden="1">
      <c r="B328" t="s">
        <v>220</v>
      </c>
      <c r="C328" t="s">
        <v>221</v>
      </c>
      <c r="D328" s="83" t="s">
        <v>1369</v>
      </c>
      <c r="E328" s="83" t="s">
        <v>1370</v>
      </c>
      <c r="F328">
        <v>16.03</v>
      </c>
      <c r="G328" t="s">
        <v>1371</v>
      </c>
      <c r="H328" t="s">
        <v>295</v>
      </c>
      <c r="J328" t="s">
        <v>295</v>
      </c>
      <c r="K328" t="s">
        <v>295</v>
      </c>
    </row>
    <row r="329" spans="2:11">
      <c r="B329" t="s">
        <v>83</v>
      </c>
      <c r="C329" t="s">
        <v>201</v>
      </c>
      <c r="D329" s="83" t="s">
        <v>1372</v>
      </c>
      <c r="E329" s="83" t="s">
        <v>1373</v>
      </c>
      <c r="F329">
        <v>7.72</v>
      </c>
      <c r="G329" t="s">
        <v>1374</v>
      </c>
      <c r="H329" t="s">
        <v>277</v>
      </c>
      <c r="J329" t="s">
        <v>277</v>
      </c>
      <c r="K329" t="s">
        <v>277</v>
      </c>
    </row>
    <row r="330" spans="2:11" hidden="1">
      <c r="B330" t="s">
        <v>199</v>
      </c>
      <c r="C330" t="s">
        <v>200</v>
      </c>
      <c r="D330" s="83" t="s">
        <v>1375</v>
      </c>
      <c r="E330" s="83" t="s">
        <v>1376</v>
      </c>
      <c r="F330">
        <v>8.8699999999999992</v>
      </c>
      <c r="G330" t="s">
        <v>1377</v>
      </c>
      <c r="H330" t="s">
        <v>277</v>
      </c>
      <c r="J330" t="s">
        <v>277</v>
      </c>
      <c r="K330" t="s">
        <v>277</v>
      </c>
    </row>
    <row r="331" spans="2:11" hidden="1">
      <c r="B331" t="s">
        <v>212</v>
      </c>
      <c r="C331" t="s">
        <v>213</v>
      </c>
      <c r="D331" s="83" t="s">
        <v>1378</v>
      </c>
      <c r="E331" s="83" t="s">
        <v>1379</v>
      </c>
      <c r="F331">
        <v>16.45</v>
      </c>
      <c r="G331" t="s">
        <v>1380</v>
      </c>
      <c r="H331" t="s">
        <v>277</v>
      </c>
      <c r="J331" t="s">
        <v>277</v>
      </c>
      <c r="K331" t="s">
        <v>277</v>
      </c>
    </row>
    <row r="332" spans="2:11" hidden="1">
      <c r="B332" t="s">
        <v>186</v>
      </c>
      <c r="C332" t="s">
        <v>187</v>
      </c>
      <c r="D332" s="83" t="s">
        <v>1381</v>
      </c>
      <c r="E332" s="83" t="s">
        <v>1382</v>
      </c>
      <c r="F332">
        <v>0.88</v>
      </c>
      <c r="G332" t="s">
        <v>1383</v>
      </c>
      <c r="H332" t="s">
        <v>425</v>
      </c>
      <c r="J332" t="s">
        <v>425</v>
      </c>
      <c r="K332" t="s">
        <v>425</v>
      </c>
    </row>
    <row r="333" spans="2:11" hidden="1">
      <c r="B333" t="s">
        <v>168</v>
      </c>
      <c r="C333" t="s">
        <v>169</v>
      </c>
      <c r="D333" s="83" t="s">
        <v>1384</v>
      </c>
      <c r="E333" s="83" t="s">
        <v>1385</v>
      </c>
      <c r="F333">
        <v>0.23</v>
      </c>
      <c r="G333" t="s">
        <v>1386</v>
      </c>
      <c r="H333" t="s">
        <v>278</v>
      </c>
      <c r="J333" t="s">
        <v>278</v>
      </c>
      <c r="K333" t="s">
        <v>278</v>
      </c>
    </row>
    <row r="334" spans="2:11" hidden="1">
      <c r="B334" t="s">
        <v>165</v>
      </c>
      <c r="C334" t="s">
        <v>164</v>
      </c>
      <c r="D334" s="83" t="s">
        <v>1387</v>
      </c>
      <c r="E334" s="83" t="s">
        <v>1388</v>
      </c>
      <c r="F334">
        <v>0.5</v>
      </c>
      <c r="G334" t="s">
        <v>1389</v>
      </c>
      <c r="H334" t="s">
        <v>278</v>
      </c>
      <c r="J334" t="s">
        <v>278</v>
      </c>
      <c r="K334" t="s">
        <v>278</v>
      </c>
    </row>
    <row r="335" spans="2:11" hidden="1">
      <c r="B335" t="s">
        <v>163</v>
      </c>
      <c r="C335" t="s">
        <v>164</v>
      </c>
      <c r="D335" s="83" t="s">
        <v>1390</v>
      </c>
      <c r="E335" s="83" t="s">
        <v>1391</v>
      </c>
      <c r="F335">
        <v>0.6</v>
      </c>
      <c r="G335" t="s">
        <v>1392</v>
      </c>
      <c r="H335" t="s">
        <v>286</v>
      </c>
      <c r="J335" t="s">
        <v>286</v>
      </c>
      <c r="K335" t="s">
        <v>286</v>
      </c>
    </row>
    <row r="336" spans="2:11" hidden="1">
      <c r="B336" t="s">
        <v>166</v>
      </c>
      <c r="C336" t="s">
        <v>167</v>
      </c>
      <c r="D336" s="83" t="s">
        <v>1393</v>
      </c>
      <c r="E336" s="83" t="s">
        <v>1394</v>
      </c>
      <c r="F336">
        <v>0.57999999999999996</v>
      </c>
      <c r="G336" t="s">
        <v>1395</v>
      </c>
      <c r="H336" t="s">
        <v>286</v>
      </c>
      <c r="J336" t="s">
        <v>286</v>
      </c>
      <c r="K336" t="s">
        <v>286</v>
      </c>
    </row>
    <row r="337" spans="2:11" hidden="1">
      <c r="B337" t="s">
        <v>170</v>
      </c>
      <c r="C337" t="s">
        <v>171</v>
      </c>
      <c r="D337" s="83" t="s">
        <v>1396</v>
      </c>
      <c r="E337" s="83" t="s">
        <v>1397</v>
      </c>
      <c r="F337">
        <v>5.52</v>
      </c>
      <c r="G337" t="s">
        <v>1398</v>
      </c>
      <c r="H337" t="s">
        <v>274</v>
      </c>
      <c r="J337" t="s">
        <v>274</v>
      </c>
      <c r="K337" t="s">
        <v>274</v>
      </c>
    </row>
    <row r="338" spans="2:11" hidden="1">
      <c r="B338" t="s">
        <v>240</v>
      </c>
      <c r="C338" t="s">
        <v>241</v>
      </c>
      <c r="D338" s="83" t="s">
        <v>1399</v>
      </c>
      <c r="E338" s="83" t="s">
        <v>1400</v>
      </c>
      <c r="F338">
        <v>8.82</v>
      </c>
      <c r="G338" t="s">
        <v>1401</v>
      </c>
      <c r="H338" t="s">
        <v>286</v>
      </c>
      <c r="J338" t="s">
        <v>286</v>
      </c>
      <c r="K338" t="s">
        <v>286</v>
      </c>
    </row>
    <row r="339" spans="2:11" hidden="1">
      <c r="B339" t="s">
        <v>318</v>
      </c>
      <c r="C339" t="s">
        <v>319</v>
      </c>
      <c r="D339" s="83" t="s">
        <v>1402</v>
      </c>
      <c r="E339" s="83" t="s">
        <v>1403</v>
      </c>
      <c r="F339">
        <v>10.53</v>
      </c>
      <c r="G339" t="s">
        <v>1404</v>
      </c>
      <c r="H339" t="s">
        <v>295</v>
      </c>
      <c r="J339" t="s">
        <v>295</v>
      </c>
      <c r="K339" t="s">
        <v>295</v>
      </c>
    </row>
    <row r="340" spans="2:11" hidden="1">
      <c r="B340" t="s">
        <v>215</v>
      </c>
      <c r="C340" t="s">
        <v>216</v>
      </c>
      <c r="D340" s="83" t="s">
        <v>1405</v>
      </c>
      <c r="E340" s="83" t="s">
        <v>1406</v>
      </c>
      <c r="F340">
        <v>15.9</v>
      </c>
      <c r="G340" t="s">
        <v>1407</v>
      </c>
      <c r="H340" t="s">
        <v>294</v>
      </c>
      <c r="J340" t="s">
        <v>294</v>
      </c>
      <c r="K340" t="s">
        <v>294</v>
      </c>
    </row>
    <row r="341" spans="2:11" hidden="1">
      <c r="B341" t="s">
        <v>192</v>
      </c>
      <c r="C341" t="s">
        <v>183</v>
      </c>
      <c r="D341" s="83" t="s">
        <v>1408</v>
      </c>
      <c r="E341" s="83" t="s">
        <v>1409</v>
      </c>
      <c r="F341">
        <v>3.5</v>
      </c>
      <c r="G341" t="s">
        <v>1410</v>
      </c>
      <c r="H341" t="s">
        <v>274</v>
      </c>
      <c r="J341" t="s">
        <v>274</v>
      </c>
      <c r="K341" t="s">
        <v>274</v>
      </c>
    </row>
    <row r="342" spans="2:11" hidden="1">
      <c r="B342" t="s">
        <v>259</v>
      </c>
      <c r="C342" t="s">
        <v>260</v>
      </c>
      <c r="D342" s="83" t="s">
        <v>1411</v>
      </c>
      <c r="E342" s="83" t="s">
        <v>1412</v>
      </c>
      <c r="F342">
        <v>3.03</v>
      </c>
      <c r="G342" t="s">
        <v>1413</v>
      </c>
      <c r="H342" t="s">
        <v>425</v>
      </c>
      <c r="J342" t="s">
        <v>425</v>
      </c>
      <c r="K342" t="s">
        <v>425</v>
      </c>
    </row>
    <row r="343" spans="2:11" hidden="1">
      <c r="B343" t="s">
        <v>191</v>
      </c>
      <c r="C343" t="s">
        <v>183</v>
      </c>
      <c r="D343" s="83" t="s">
        <v>1414</v>
      </c>
      <c r="E343" s="83" t="s">
        <v>1415</v>
      </c>
      <c r="F343">
        <v>0.88</v>
      </c>
      <c r="G343" t="s">
        <v>1416</v>
      </c>
      <c r="H343" t="s">
        <v>274</v>
      </c>
      <c r="J343" t="s">
        <v>274</v>
      </c>
      <c r="K343" t="s">
        <v>274</v>
      </c>
    </row>
    <row r="344" spans="2:11" hidden="1">
      <c r="B344" t="s">
        <v>219</v>
      </c>
      <c r="C344" t="s">
        <v>183</v>
      </c>
      <c r="D344" s="83" t="s">
        <v>1417</v>
      </c>
      <c r="E344" s="83" t="s">
        <v>1418</v>
      </c>
      <c r="F344">
        <v>4.42</v>
      </c>
      <c r="G344" t="s">
        <v>1419</v>
      </c>
      <c r="H344" t="s">
        <v>274</v>
      </c>
      <c r="J344" t="s">
        <v>274</v>
      </c>
      <c r="K344" t="s">
        <v>274</v>
      </c>
    </row>
    <row r="345" spans="2:11" hidden="1">
      <c r="B345" t="s">
        <v>284</v>
      </c>
      <c r="C345" t="s">
        <v>285</v>
      </c>
      <c r="D345" s="83" t="s">
        <v>1420</v>
      </c>
      <c r="E345" s="83" t="s">
        <v>1421</v>
      </c>
      <c r="F345">
        <v>6.23</v>
      </c>
      <c r="G345" t="s">
        <v>1422</v>
      </c>
      <c r="H345" t="s">
        <v>294</v>
      </c>
      <c r="J345" t="s">
        <v>294</v>
      </c>
      <c r="K345" t="s">
        <v>294</v>
      </c>
    </row>
    <row r="346" spans="2:11" hidden="1">
      <c r="B346" t="s">
        <v>195</v>
      </c>
      <c r="C346" t="s">
        <v>196</v>
      </c>
      <c r="D346" s="83" t="s">
        <v>1423</v>
      </c>
      <c r="E346" s="83" t="s">
        <v>1424</v>
      </c>
      <c r="F346">
        <v>8.4</v>
      </c>
      <c r="G346" t="s">
        <v>1425</v>
      </c>
      <c r="H346" t="s">
        <v>425</v>
      </c>
      <c r="J346" t="s">
        <v>425</v>
      </c>
      <c r="K346" t="s">
        <v>425</v>
      </c>
    </row>
    <row r="347" spans="2:11" hidden="1">
      <c r="B347" t="s">
        <v>308</v>
      </c>
      <c r="C347" t="s">
        <v>309</v>
      </c>
      <c r="D347" s="83" t="s">
        <v>1426</v>
      </c>
      <c r="E347" s="83" t="s">
        <v>1427</v>
      </c>
      <c r="F347">
        <v>11.78</v>
      </c>
      <c r="G347" t="s">
        <v>1428</v>
      </c>
      <c r="H347" t="s">
        <v>286</v>
      </c>
      <c r="J347" t="s">
        <v>286</v>
      </c>
      <c r="K347" t="s">
        <v>286</v>
      </c>
    </row>
    <row r="348" spans="2:11" hidden="1">
      <c r="B348" t="s">
        <v>172</v>
      </c>
      <c r="C348" t="s">
        <v>173</v>
      </c>
      <c r="D348" s="83" t="s">
        <v>1429</v>
      </c>
      <c r="E348" s="83" t="s">
        <v>1430</v>
      </c>
      <c r="F348">
        <v>0.52</v>
      </c>
      <c r="G348" t="s">
        <v>1431</v>
      </c>
      <c r="H348" t="s">
        <v>276</v>
      </c>
      <c r="J348" t="s">
        <v>276</v>
      </c>
      <c r="K348" t="s">
        <v>276</v>
      </c>
    </row>
    <row r="349" spans="2:11" hidden="1">
      <c r="B349" t="s">
        <v>661</v>
      </c>
      <c r="C349" t="s">
        <v>183</v>
      </c>
      <c r="D349" s="83" t="s">
        <v>1432</v>
      </c>
      <c r="E349" s="83" t="s">
        <v>1433</v>
      </c>
      <c r="F349">
        <v>1.38</v>
      </c>
      <c r="G349" t="s">
        <v>1434</v>
      </c>
      <c r="H349" t="s">
        <v>274</v>
      </c>
      <c r="J349" t="s">
        <v>274</v>
      </c>
      <c r="K349" t="s">
        <v>274</v>
      </c>
    </row>
    <row r="350" spans="2:11" hidden="1">
      <c r="B350" t="s">
        <v>218</v>
      </c>
      <c r="C350" t="s">
        <v>177</v>
      </c>
      <c r="D350" s="83" t="s">
        <v>1435</v>
      </c>
      <c r="E350" s="83" t="s">
        <v>1436</v>
      </c>
      <c r="F350">
        <v>7.7</v>
      </c>
      <c r="G350" t="s">
        <v>1437</v>
      </c>
      <c r="H350" t="s">
        <v>278</v>
      </c>
      <c r="J350" t="s">
        <v>278</v>
      </c>
      <c r="K350" t="s">
        <v>278</v>
      </c>
    </row>
    <row r="351" spans="2:11">
      <c r="B351" t="s">
        <v>82</v>
      </c>
      <c r="C351" t="s">
        <v>217</v>
      </c>
      <c r="D351" s="83" t="s">
        <v>1438</v>
      </c>
      <c r="E351" s="83" t="s">
        <v>1439</v>
      </c>
      <c r="F351">
        <v>7.28</v>
      </c>
      <c r="G351" t="s">
        <v>1440</v>
      </c>
      <c r="H351" t="s">
        <v>278</v>
      </c>
      <c r="J351" t="s">
        <v>278</v>
      </c>
      <c r="K351" t="s">
        <v>278</v>
      </c>
    </row>
    <row r="352" spans="2:11" hidden="1">
      <c r="B352" t="s">
        <v>197</v>
      </c>
      <c r="C352" t="s">
        <v>198</v>
      </c>
      <c r="D352" s="83" t="s">
        <v>1441</v>
      </c>
      <c r="E352" s="83" t="s">
        <v>1442</v>
      </c>
      <c r="F352">
        <v>7.75</v>
      </c>
      <c r="G352" t="s">
        <v>1443</v>
      </c>
      <c r="H352" t="s">
        <v>286</v>
      </c>
      <c r="J352" t="s">
        <v>286</v>
      </c>
      <c r="K352" t="s">
        <v>286</v>
      </c>
    </row>
    <row r="353" spans="2:11" hidden="1">
      <c r="B353" t="s">
        <v>186</v>
      </c>
      <c r="C353" t="s">
        <v>187</v>
      </c>
      <c r="D353" s="83" t="s">
        <v>1444</v>
      </c>
      <c r="E353" s="83" t="s">
        <v>1445</v>
      </c>
      <c r="F353">
        <v>0.25</v>
      </c>
      <c r="G353" t="s">
        <v>1446</v>
      </c>
      <c r="H353" t="s">
        <v>277</v>
      </c>
      <c r="J353" t="s">
        <v>277</v>
      </c>
      <c r="K353" t="s">
        <v>277</v>
      </c>
    </row>
    <row r="354" spans="2:11" hidden="1">
      <c r="B354" t="s">
        <v>188</v>
      </c>
      <c r="C354" t="s">
        <v>189</v>
      </c>
      <c r="D354" s="83" t="s">
        <v>1447</v>
      </c>
      <c r="E354" s="83" t="s">
        <v>1448</v>
      </c>
      <c r="F354">
        <v>7.72</v>
      </c>
      <c r="G354" t="s">
        <v>1449</v>
      </c>
      <c r="H354" t="s">
        <v>278</v>
      </c>
      <c r="J354" t="s">
        <v>278</v>
      </c>
      <c r="K354" t="s">
        <v>278</v>
      </c>
    </row>
    <row r="355" spans="2:11" hidden="1">
      <c r="B355" t="s">
        <v>184</v>
      </c>
      <c r="C355" t="s">
        <v>185</v>
      </c>
      <c r="D355" s="83" t="s">
        <v>1450</v>
      </c>
      <c r="E355" s="83" t="s">
        <v>1451</v>
      </c>
      <c r="F355">
        <v>8.85</v>
      </c>
      <c r="G355" t="s">
        <v>1452</v>
      </c>
      <c r="H355" t="s">
        <v>278</v>
      </c>
      <c r="J355" t="s">
        <v>278</v>
      </c>
      <c r="K355" t="s">
        <v>278</v>
      </c>
    </row>
    <row r="356" spans="2:11" hidden="1">
      <c r="B356" t="s">
        <v>170</v>
      </c>
      <c r="C356" t="s">
        <v>171</v>
      </c>
      <c r="D356" s="83" t="s">
        <v>1453</v>
      </c>
      <c r="E356" s="83" t="s">
        <v>1454</v>
      </c>
      <c r="F356">
        <v>0.12</v>
      </c>
      <c r="G356" t="s">
        <v>1455</v>
      </c>
      <c r="H356" t="s">
        <v>276</v>
      </c>
      <c r="J356" t="s">
        <v>276</v>
      </c>
      <c r="K356" t="s">
        <v>276</v>
      </c>
    </row>
    <row r="357" spans="2:11">
      <c r="B357" t="s">
        <v>84</v>
      </c>
      <c r="C357" t="s">
        <v>190</v>
      </c>
      <c r="D357" s="83" t="s">
        <v>1456</v>
      </c>
      <c r="E357" s="83" t="s">
        <v>1457</v>
      </c>
      <c r="F357">
        <v>20.73</v>
      </c>
      <c r="G357" t="s">
        <v>1458</v>
      </c>
      <c r="H357" t="s">
        <v>294</v>
      </c>
      <c r="J357" t="s">
        <v>294</v>
      </c>
      <c r="K357" t="s">
        <v>294</v>
      </c>
    </row>
    <row r="358" spans="2:11" hidden="1">
      <c r="B358" t="s">
        <v>168</v>
      </c>
      <c r="C358" t="s">
        <v>169</v>
      </c>
      <c r="D358" s="83" t="s">
        <v>1459</v>
      </c>
      <c r="E358" s="83" t="s">
        <v>1460</v>
      </c>
      <c r="F358">
        <v>1.43</v>
      </c>
      <c r="G358" t="s">
        <v>1461</v>
      </c>
      <c r="H358" t="s">
        <v>277</v>
      </c>
      <c r="I358" t="s">
        <v>1462</v>
      </c>
      <c r="J358" t="s">
        <v>277</v>
      </c>
      <c r="K358" t="s">
        <v>277</v>
      </c>
    </row>
    <row r="359" spans="2:11" hidden="1">
      <c r="B359" t="s">
        <v>261</v>
      </c>
      <c r="C359" t="s">
        <v>262</v>
      </c>
      <c r="D359" s="83" t="s">
        <v>1463</v>
      </c>
      <c r="E359" s="83" t="s">
        <v>1464</v>
      </c>
      <c r="F359">
        <v>1.75</v>
      </c>
      <c r="G359" t="s">
        <v>1465</v>
      </c>
      <c r="H359" t="s">
        <v>294</v>
      </c>
      <c r="J359" t="s">
        <v>294</v>
      </c>
      <c r="K359" t="s">
        <v>294</v>
      </c>
    </row>
    <row r="360" spans="2:11" hidden="1">
      <c r="B360" t="s">
        <v>180</v>
      </c>
      <c r="C360" t="s">
        <v>181</v>
      </c>
      <c r="D360" s="83" t="s">
        <v>1466</v>
      </c>
      <c r="E360" s="83" t="s">
        <v>1467</v>
      </c>
      <c r="F360">
        <v>7.6</v>
      </c>
      <c r="G360" t="s">
        <v>1468</v>
      </c>
      <c r="H360" t="s">
        <v>295</v>
      </c>
      <c r="J360" t="s">
        <v>295</v>
      </c>
      <c r="K360" t="s">
        <v>295</v>
      </c>
    </row>
    <row r="361" spans="2:11" hidden="1">
      <c r="B361" t="s">
        <v>168</v>
      </c>
      <c r="C361" t="s">
        <v>169</v>
      </c>
      <c r="D361" s="83" t="s">
        <v>1469</v>
      </c>
      <c r="E361" s="83" t="s">
        <v>1470</v>
      </c>
      <c r="F361">
        <v>1.22</v>
      </c>
      <c r="G361" t="s">
        <v>1471</v>
      </c>
      <c r="H361" t="s">
        <v>294</v>
      </c>
      <c r="J361" t="s">
        <v>294</v>
      </c>
      <c r="K361" t="s">
        <v>294</v>
      </c>
    </row>
    <row r="362" spans="2:11" hidden="1">
      <c r="B362" t="s">
        <v>269</v>
      </c>
      <c r="C362" t="s">
        <v>270</v>
      </c>
      <c r="D362" s="83" t="s">
        <v>1472</v>
      </c>
      <c r="E362" s="83" t="s">
        <v>1473</v>
      </c>
      <c r="F362">
        <v>1.45</v>
      </c>
      <c r="G362" t="s">
        <v>1474</v>
      </c>
      <c r="H362" t="s">
        <v>286</v>
      </c>
      <c r="J362" t="s">
        <v>286</v>
      </c>
      <c r="K362" t="s">
        <v>286</v>
      </c>
    </row>
    <row r="363" spans="2:11" hidden="1">
      <c r="B363" t="s">
        <v>271</v>
      </c>
      <c r="C363" t="s">
        <v>272</v>
      </c>
      <c r="D363" s="83" t="s">
        <v>1475</v>
      </c>
      <c r="E363" s="83" t="s">
        <v>1476</v>
      </c>
      <c r="F363">
        <v>1.6</v>
      </c>
      <c r="G363" t="s">
        <v>1477</v>
      </c>
      <c r="H363" t="s">
        <v>286</v>
      </c>
      <c r="J363" t="s">
        <v>286</v>
      </c>
      <c r="K363" t="s">
        <v>286</v>
      </c>
    </row>
    <row r="364" spans="2:11" hidden="1">
      <c r="B364" t="s">
        <v>210</v>
      </c>
      <c r="C364" t="s">
        <v>211</v>
      </c>
      <c r="D364" s="83" t="s">
        <v>1478</v>
      </c>
      <c r="E364" s="83" t="s">
        <v>1479</v>
      </c>
      <c r="F364">
        <v>1.62</v>
      </c>
      <c r="G364" t="s">
        <v>1480</v>
      </c>
      <c r="H364" t="s">
        <v>286</v>
      </c>
      <c r="J364" t="s">
        <v>286</v>
      </c>
      <c r="K364" t="s">
        <v>286</v>
      </c>
    </row>
    <row r="365" spans="2:11" hidden="1">
      <c r="B365" t="s">
        <v>208</v>
      </c>
      <c r="C365" t="s">
        <v>209</v>
      </c>
      <c r="D365" s="83" t="s">
        <v>1481</v>
      </c>
      <c r="E365" s="83" t="s">
        <v>1482</v>
      </c>
      <c r="F365">
        <v>1.62</v>
      </c>
      <c r="G365" t="s">
        <v>1483</v>
      </c>
      <c r="H365" t="s">
        <v>286</v>
      </c>
      <c r="J365" t="s">
        <v>286</v>
      </c>
      <c r="K365" t="s">
        <v>286</v>
      </c>
    </row>
    <row r="366" spans="2:11" hidden="1">
      <c r="B366" t="s">
        <v>231</v>
      </c>
      <c r="C366" t="s">
        <v>232</v>
      </c>
      <c r="D366" s="83" t="s">
        <v>1484</v>
      </c>
      <c r="E366" s="83" t="s">
        <v>1485</v>
      </c>
      <c r="F366">
        <v>2.7</v>
      </c>
      <c r="G366" t="s">
        <v>1486</v>
      </c>
      <c r="H366" t="s">
        <v>425</v>
      </c>
      <c r="J366" t="s">
        <v>425</v>
      </c>
      <c r="K366" t="s">
        <v>425</v>
      </c>
    </row>
    <row r="367" spans="2:11" hidden="1">
      <c r="B367" t="s">
        <v>233</v>
      </c>
      <c r="C367" t="s">
        <v>234</v>
      </c>
      <c r="D367" s="83" t="s">
        <v>1487</v>
      </c>
      <c r="E367" s="83" t="s">
        <v>1488</v>
      </c>
      <c r="F367">
        <v>1.1499999999999999</v>
      </c>
      <c r="G367" t="s">
        <v>1489</v>
      </c>
      <c r="H367" t="s">
        <v>286</v>
      </c>
      <c r="J367" t="s">
        <v>286</v>
      </c>
      <c r="K367" t="s">
        <v>286</v>
      </c>
    </row>
    <row r="368" spans="2:11" hidden="1">
      <c r="B368" t="s">
        <v>235</v>
      </c>
      <c r="C368" t="s">
        <v>234</v>
      </c>
      <c r="D368" s="83" t="s">
        <v>1490</v>
      </c>
      <c r="E368" s="83" t="s">
        <v>1491</v>
      </c>
      <c r="F368">
        <v>1.1499999999999999</v>
      </c>
      <c r="G368" t="s">
        <v>1492</v>
      </c>
      <c r="H368" t="s">
        <v>286</v>
      </c>
      <c r="J368" t="s">
        <v>286</v>
      </c>
      <c r="K368" t="s">
        <v>286</v>
      </c>
    </row>
    <row r="369" spans="2:11" hidden="1">
      <c r="B369" t="s">
        <v>174</v>
      </c>
      <c r="C369" t="s">
        <v>175</v>
      </c>
      <c r="D369" s="83" t="s">
        <v>1493</v>
      </c>
      <c r="E369" s="83" t="s">
        <v>1494</v>
      </c>
      <c r="F369">
        <v>1.1299999999999999</v>
      </c>
      <c r="G369" t="s">
        <v>1495</v>
      </c>
      <c r="H369" t="s">
        <v>286</v>
      </c>
      <c r="J369" t="s">
        <v>286</v>
      </c>
      <c r="K369" t="s">
        <v>286</v>
      </c>
    </row>
    <row r="370" spans="2:11" hidden="1">
      <c r="B370" t="s">
        <v>176</v>
      </c>
      <c r="C370" t="s">
        <v>177</v>
      </c>
      <c r="D370" s="83" t="s">
        <v>1496</v>
      </c>
      <c r="E370" s="83" t="s">
        <v>1497</v>
      </c>
      <c r="F370">
        <v>1.1499999999999999</v>
      </c>
      <c r="G370" t="s">
        <v>1498</v>
      </c>
      <c r="H370" t="s">
        <v>286</v>
      </c>
      <c r="J370" t="s">
        <v>286</v>
      </c>
      <c r="K370" t="s">
        <v>286</v>
      </c>
    </row>
    <row r="371" spans="2:11" hidden="1">
      <c r="B371" t="s">
        <v>212</v>
      </c>
      <c r="C371" t="s">
        <v>213</v>
      </c>
      <c r="D371" s="83" t="s">
        <v>1499</v>
      </c>
      <c r="E371" s="83" t="s">
        <v>1500</v>
      </c>
      <c r="F371">
        <v>7.55</v>
      </c>
      <c r="G371" t="s">
        <v>1501</v>
      </c>
      <c r="H371" t="s">
        <v>295</v>
      </c>
      <c r="J371" t="s">
        <v>295</v>
      </c>
      <c r="K371" t="s">
        <v>295</v>
      </c>
    </row>
    <row r="372" spans="2:11" hidden="1">
      <c r="B372" t="s">
        <v>166</v>
      </c>
      <c r="C372" t="s">
        <v>167</v>
      </c>
      <c r="D372" s="83" t="s">
        <v>1502</v>
      </c>
      <c r="E372" s="83" t="s">
        <v>1503</v>
      </c>
      <c r="F372">
        <v>0.22</v>
      </c>
      <c r="G372" t="s">
        <v>1504</v>
      </c>
      <c r="H372" t="s">
        <v>286</v>
      </c>
      <c r="J372" t="s">
        <v>286</v>
      </c>
      <c r="K372" t="s">
        <v>286</v>
      </c>
    </row>
    <row r="373" spans="2:11" hidden="1">
      <c r="B373" t="s">
        <v>163</v>
      </c>
      <c r="C373" t="s">
        <v>164</v>
      </c>
      <c r="D373" s="83" t="s">
        <v>1505</v>
      </c>
      <c r="E373" s="83" t="s">
        <v>1506</v>
      </c>
      <c r="F373">
        <v>0.23</v>
      </c>
      <c r="G373" t="s">
        <v>1507</v>
      </c>
      <c r="H373" t="s">
        <v>286</v>
      </c>
      <c r="J373" t="s">
        <v>286</v>
      </c>
      <c r="K373" t="s">
        <v>286</v>
      </c>
    </row>
    <row r="374" spans="2:11" hidden="1">
      <c r="B374" t="s">
        <v>165</v>
      </c>
      <c r="C374" t="s">
        <v>164</v>
      </c>
      <c r="D374" s="83" t="s">
        <v>1508</v>
      </c>
      <c r="E374" s="83" t="s">
        <v>1509</v>
      </c>
      <c r="F374">
        <v>0.23</v>
      </c>
      <c r="G374" t="s">
        <v>1510</v>
      </c>
      <c r="H374" t="s">
        <v>286</v>
      </c>
      <c r="J374" t="s">
        <v>286</v>
      </c>
      <c r="K374" t="s">
        <v>286</v>
      </c>
    </row>
    <row r="375" spans="2:11" hidden="1">
      <c r="B375" t="s">
        <v>279</v>
      </c>
      <c r="C375" t="s">
        <v>280</v>
      </c>
      <c r="D375" s="83" t="s">
        <v>1511</v>
      </c>
      <c r="E375" s="83" t="s">
        <v>1512</v>
      </c>
      <c r="F375">
        <v>2.4700000000000002</v>
      </c>
      <c r="G375" t="s">
        <v>1513</v>
      </c>
      <c r="H375" t="s">
        <v>425</v>
      </c>
      <c r="J375" t="s">
        <v>425</v>
      </c>
      <c r="K375" t="s">
        <v>425</v>
      </c>
    </row>
    <row r="376" spans="2:11" hidden="1">
      <c r="B376" t="s">
        <v>255</v>
      </c>
      <c r="C376" t="s">
        <v>256</v>
      </c>
      <c r="D376" s="83" t="s">
        <v>1514</v>
      </c>
      <c r="E376" s="83" t="s">
        <v>1515</v>
      </c>
      <c r="F376">
        <v>1.28</v>
      </c>
      <c r="G376" t="s">
        <v>1516</v>
      </c>
      <c r="H376" t="s">
        <v>276</v>
      </c>
      <c r="J376" t="s">
        <v>276</v>
      </c>
      <c r="K376" t="s">
        <v>276</v>
      </c>
    </row>
    <row r="377" spans="2:11" hidden="1">
      <c r="B377" t="s">
        <v>339</v>
      </c>
      <c r="C377" t="s">
        <v>340</v>
      </c>
      <c r="D377" s="83" t="s">
        <v>1517</v>
      </c>
      <c r="E377" s="83" t="s">
        <v>1518</v>
      </c>
      <c r="F377">
        <v>1.72</v>
      </c>
      <c r="G377" t="s">
        <v>1519</v>
      </c>
      <c r="H377" t="s">
        <v>276</v>
      </c>
      <c r="J377" t="s">
        <v>276</v>
      </c>
      <c r="K377" t="s">
        <v>276</v>
      </c>
    </row>
    <row r="378" spans="2:11" hidden="1">
      <c r="B378" t="s">
        <v>281</v>
      </c>
      <c r="C378" t="s">
        <v>282</v>
      </c>
      <c r="D378" s="83" t="s">
        <v>1520</v>
      </c>
      <c r="E378" s="83" t="s">
        <v>1521</v>
      </c>
      <c r="F378">
        <v>12.68</v>
      </c>
      <c r="G378" t="s">
        <v>1522</v>
      </c>
      <c r="H378" t="s">
        <v>294</v>
      </c>
      <c r="J378" t="s">
        <v>294</v>
      </c>
      <c r="K378" t="s">
        <v>294</v>
      </c>
    </row>
    <row r="379" spans="2:11" hidden="1">
      <c r="B379" t="s">
        <v>236</v>
      </c>
      <c r="C379" t="s">
        <v>237</v>
      </c>
      <c r="D379" s="83" t="s">
        <v>1523</v>
      </c>
      <c r="E379" s="83" t="s">
        <v>1524</v>
      </c>
      <c r="F379">
        <v>15.58</v>
      </c>
      <c r="G379" t="s">
        <v>1525</v>
      </c>
      <c r="H379" t="s">
        <v>295</v>
      </c>
      <c r="J379" t="s">
        <v>295</v>
      </c>
      <c r="K379" t="s">
        <v>295</v>
      </c>
    </row>
    <row r="380" spans="2:11" hidden="1">
      <c r="B380" t="s">
        <v>302</v>
      </c>
      <c r="C380" t="s">
        <v>303</v>
      </c>
      <c r="D380" s="83" t="s">
        <v>1526</v>
      </c>
      <c r="E380" s="83" t="s">
        <v>1527</v>
      </c>
      <c r="F380">
        <v>1.78</v>
      </c>
      <c r="G380" t="s">
        <v>1528</v>
      </c>
      <c r="H380" t="s">
        <v>286</v>
      </c>
      <c r="J380" t="s">
        <v>286</v>
      </c>
      <c r="K380" t="s">
        <v>286</v>
      </c>
    </row>
    <row r="381" spans="2:11" hidden="1">
      <c r="B381" t="s">
        <v>172</v>
      </c>
      <c r="C381" t="s">
        <v>173</v>
      </c>
      <c r="D381" s="83" t="s">
        <v>1529</v>
      </c>
      <c r="E381" s="83" t="s">
        <v>1530</v>
      </c>
      <c r="F381">
        <v>2.02</v>
      </c>
      <c r="G381" t="s">
        <v>1531</v>
      </c>
      <c r="H381" t="s">
        <v>286</v>
      </c>
      <c r="J381" t="s">
        <v>286</v>
      </c>
      <c r="K381" t="s">
        <v>286</v>
      </c>
    </row>
    <row r="382" spans="2:11" hidden="1">
      <c r="B382" t="s">
        <v>182</v>
      </c>
      <c r="C382" t="s">
        <v>183</v>
      </c>
      <c r="D382" s="83" t="s">
        <v>1532</v>
      </c>
      <c r="E382" s="83" t="s">
        <v>1533</v>
      </c>
      <c r="F382">
        <v>0.6</v>
      </c>
      <c r="G382" t="s">
        <v>1534</v>
      </c>
      <c r="H382" t="s">
        <v>294</v>
      </c>
      <c r="J382" t="s">
        <v>294</v>
      </c>
      <c r="K382" t="s">
        <v>294</v>
      </c>
    </row>
    <row r="383" spans="2:11" hidden="1">
      <c r="B383" t="s">
        <v>193</v>
      </c>
      <c r="C383" t="s">
        <v>183</v>
      </c>
      <c r="D383" s="83" t="s">
        <v>1535</v>
      </c>
      <c r="E383" s="83" t="s">
        <v>1536</v>
      </c>
      <c r="F383">
        <v>0.57999999999999996</v>
      </c>
      <c r="G383" t="s">
        <v>1537</v>
      </c>
      <c r="H383" t="s">
        <v>294</v>
      </c>
      <c r="J383" t="s">
        <v>294</v>
      </c>
      <c r="K383" t="s">
        <v>294</v>
      </c>
    </row>
    <row r="384" spans="2:11" hidden="1">
      <c r="B384" t="s">
        <v>242</v>
      </c>
      <c r="C384" t="s">
        <v>243</v>
      </c>
      <c r="D384" s="83" t="s">
        <v>1538</v>
      </c>
      <c r="E384" s="83" t="s">
        <v>1539</v>
      </c>
      <c r="F384">
        <v>0.42</v>
      </c>
      <c r="G384" t="s">
        <v>1540</v>
      </c>
      <c r="H384" t="s">
        <v>286</v>
      </c>
      <c r="J384" t="s">
        <v>286</v>
      </c>
      <c r="K384" t="s">
        <v>286</v>
      </c>
    </row>
    <row r="385" spans="2:11" hidden="1">
      <c r="B385" t="s">
        <v>562</v>
      </c>
      <c r="C385" t="s">
        <v>563</v>
      </c>
      <c r="D385" s="83" t="s">
        <v>1541</v>
      </c>
      <c r="E385" s="83" t="s">
        <v>1542</v>
      </c>
      <c r="F385">
        <v>0.75</v>
      </c>
      <c r="G385" t="s">
        <v>1543</v>
      </c>
      <c r="H385" t="s">
        <v>294</v>
      </c>
      <c r="J385" t="s">
        <v>294</v>
      </c>
      <c r="K385" t="s">
        <v>294</v>
      </c>
    </row>
    <row r="386" spans="2:11" hidden="1">
      <c r="B386" t="s">
        <v>257</v>
      </c>
      <c r="C386" t="s">
        <v>252</v>
      </c>
      <c r="D386" s="83" t="s">
        <v>1544</v>
      </c>
      <c r="E386" s="83" t="s">
        <v>1545</v>
      </c>
      <c r="F386">
        <v>0.85</v>
      </c>
      <c r="G386" t="s">
        <v>1546</v>
      </c>
      <c r="H386" t="s">
        <v>276</v>
      </c>
      <c r="J386" t="s">
        <v>276</v>
      </c>
      <c r="K386" t="s">
        <v>276</v>
      </c>
    </row>
    <row r="387" spans="2:11" hidden="1">
      <c r="B387" t="s">
        <v>251</v>
      </c>
      <c r="C387" t="s">
        <v>252</v>
      </c>
      <c r="D387" s="83" t="s">
        <v>1547</v>
      </c>
      <c r="E387" s="83" t="s">
        <v>1548</v>
      </c>
      <c r="F387">
        <v>0.83</v>
      </c>
      <c r="G387" t="s">
        <v>1549</v>
      </c>
      <c r="H387" t="s">
        <v>276</v>
      </c>
      <c r="J387" t="s">
        <v>276</v>
      </c>
      <c r="K387" t="s">
        <v>276</v>
      </c>
    </row>
    <row r="388" spans="2:11" hidden="1">
      <c r="B388" t="s">
        <v>253</v>
      </c>
      <c r="C388" t="s">
        <v>252</v>
      </c>
      <c r="D388" s="83" t="s">
        <v>1550</v>
      </c>
      <c r="E388" s="83" t="s">
        <v>1551</v>
      </c>
      <c r="F388">
        <v>0.83</v>
      </c>
      <c r="G388" t="s">
        <v>1552</v>
      </c>
      <c r="H388" t="s">
        <v>276</v>
      </c>
      <c r="J388" t="s">
        <v>276</v>
      </c>
      <c r="K388" t="s">
        <v>276</v>
      </c>
    </row>
    <row r="389" spans="2:11" hidden="1">
      <c r="B389" t="s">
        <v>254</v>
      </c>
      <c r="C389" t="s">
        <v>252</v>
      </c>
      <c r="D389" s="83" t="s">
        <v>1553</v>
      </c>
      <c r="E389" s="83" t="s">
        <v>1554</v>
      </c>
      <c r="F389">
        <v>0.83</v>
      </c>
      <c r="G389" t="s">
        <v>1555</v>
      </c>
      <c r="H389" t="s">
        <v>276</v>
      </c>
      <c r="J389" t="s">
        <v>276</v>
      </c>
      <c r="K389" t="s">
        <v>276</v>
      </c>
    </row>
    <row r="390" spans="2:11" hidden="1">
      <c r="B390" t="s">
        <v>194</v>
      </c>
      <c r="C390" t="s">
        <v>183</v>
      </c>
      <c r="D390" s="83" t="s">
        <v>1556</v>
      </c>
      <c r="E390" s="83" t="s">
        <v>1557</v>
      </c>
      <c r="F390">
        <v>3.5</v>
      </c>
      <c r="G390" t="s">
        <v>1558</v>
      </c>
      <c r="H390" t="s">
        <v>294</v>
      </c>
      <c r="J390" t="s">
        <v>294</v>
      </c>
      <c r="K390" t="s">
        <v>294</v>
      </c>
    </row>
    <row r="391" spans="2:11">
      <c r="B391" t="s">
        <v>83</v>
      </c>
      <c r="C391" t="s">
        <v>201</v>
      </c>
      <c r="D391" s="83" t="s">
        <v>1559</v>
      </c>
      <c r="E391" s="83" t="s">
        <v>1560</v>
      </c>
      <c r="F391">
        <v>8.1</v>
      </c>
      <c r="G391" t="s">
        <v>1561</v>
      </c>
      <c r="H391" t="s">
        <v>278</v>
      </c>
      <c r="J391" t="s">
        <v>278</v>
      </c>
      <c r="K391" t="s">
        <v>278</v>
      </c>
    </row>
    <row r="392" spans="2:11" hidden="1">
      <c r="B392" t="s">
        <v>170</v>
      </c>
      <c r="C392" t="s">
        <v>171</v>
      </c>
      <c r="D392" s="83" t="s">
        <v>1562</v>
      </c>
      <c r="E392" s="83" t="s">
        <v>1563</v>
      </c>
      <c r="F392">
        <v>0.2</v>
      </c>
      <c r="G392" t="s">
        <v>1564</v>
      </c>
      <c r="H392" t="s">
        <v>295</v>
      </c>
      <c r="J392" t="s">
        <v>295</v>
      </c>
      <c r="K392" t="s">
        <v>295</v>
      </c>
    </row>
    <row r="393" spans="2:11" hidden="1">
      <c r="B393" t="s">
        <v>220</v>
      </c>
      <c r="C393" t="s">
        <v>221</v>
      </c>
      <c r="D393" s="83" t="s">
        <v>1565</v>
      </c>
      <c r="E393" s="83" t="s">
        <v>1566</v>
      </c>
      <c r="F393">
        <v>8.35</v>
      </c>
      <c r="G393" t="s">
        <v>1567</v>
      </c>
      <c r="H393" t="s">
        <v>278</v>
      </c>
      <c r="J393" t="s">
        <v>278</v>
      </c>
      <c r="K393" t="s">
        <v>278</v>
      </c>
    </row>
    <row r="394" spans="2:11" hidden="1">
      <c r="B394" t="s">
        <v>186</v>
      </c>
      <c r="C394" t="s">
        <v>187</v>
      </c>
      <c r="D394" s="83" t="s">
        <v>1568</v>
      </c>
      <c r="E394" s="83" t="s">
        <v>1569</v>
      </c>
      <c r="F394">
        <v>9.9</v>
      </c>
      <c r="G394" t="s">
        <v>1570</v>
      </c>
      <c r="H394" t="s">
        <v>294</v>
      </c>
      <c r="J394" t="s">
        <v>294</v>
      </c>
      <c r="K394" t="s">
        <v>294</v>
      </c>
    </row>
    <row r="395" spans="2:11" hidden="1">
      <c r="B395" t="s">
        <v>168</v>
      </c>
      <c r="C395" t="s">
        <v>169</v>
      </c>
      <c r="D395" s="83" t="s">
        <v>1571</v>
      </c>
      <c r="E395" s="83" t="s">
        <v>1572</v>
      </c>
      <c r="F395">
        <v>1.1000000000000001</v>
      </c>
      <c r="G395" t="s">
        <v>1573</v>
      </c>
      <c r="H395" t="s">
        <v>277</v>
      </c>
      <c r="J395" t="s">
        <v>277</v>
      </c>
      <c r="K395" t="s">
        <v>277</v>
      </c>
    </row>
    <row r="396" spans="2:11" hidden="1">
      <c r="B396" t="s">
        <v>300</v>
      </c>
      <c r="C396" t="s">
        <v>301</v>
      </c>
      <c r="D396" s="83" t="s">
        <v>1574</v>
      </c>
      <c r="E396" s="83" t="s">
        <v>1575</v>
      </c>
      <c r="F396">
        <v>11.67</v>
      </c>
      <c r="G396" t="s">
        <v>1576</v>
      </c>
      <c r="H396" t="s">
        <v>286</v>
      </c>
      <c r="J396" t="s">
        <v>286</v>
      </c>
      <c r="K396" t="s">
        <v>286</v>
      </c>
    </row>
    <row r="397" spans="2:11" hidden="1">
      <c r="B397" t="s">
        <v>195</v>
      </c>
      <c r="C397" t="s">
        <v>196</v>
      </c>
      <c r="D397" s="83" t="s">
        <v>1577</v>
      </c>
      <c r="E397" s="83" t="s">
        <v>1578</v>
      </c>
      <c r="F397">
        <v>11.22</v>
      </c>
      <c r="G397" t="s">
        <v>1579</v>
      </c>
      <c r="H397" t="s">
        <v>425</v>
      </c>
      <c r="J397" t="s">
        <v>425</v>
      </c>
      <c r="K397" t="s">
        <v>425</v>
      </c>
    </row>
    <row r="398" spans="2:11" hidden="1">
      <c r="B398" t="s">
        <v>199</v>
      </c>
      <c r="C398" t="s">
        <v>200</v>
      </c>
      <c r="D398" s="83" t="s">
        <v>1580</v>
      </c>
      <c r="E398" s="83" t="s">
        <v>1581</v>
      </c>
      <c r="F398">
        <v>16.27</v>
      </c>
      <c r="G398" t="s">
        <v>1582</v>
      </c>
      <c r="H398" t="s">
        <v>295</v>
      </c>
      <c r="J398" t="s">
        <v>295</v>
      </c>
      <c r="K398" t="s">
        <v>295</v>
      </c>
    </row>
    <row r="399" spans="2:11" hidden="1">
      <c r="B399" t="s">
        <v>224</v>
      </c>
      <c r="C399" t="s">
        <v>225</v>
      </c>
      <c r="D399" s="83" t="s">
        <v>1583</v>
      </c>
      <c r="E399" s="83" t="s">
        <v>1584</v>
      </c>
      <c r="F399">
        <v>12.75</v>
      </c>
      <c r="G399" t="s">
        <v>1585</v>
      </c>
      <c r="H399" t="s">
        <v>276</v>
      </c>
      <c r="J399" t="s">
        <v>276</v>
      </c>
      <c r="K399" t="s">
        <v>276</v>
      </c>
    </row>
    <row r="400" spans="2:11" hidden="1">
      <c r="B400" t="s">
        <v>204</v>
      </c>
      <c r="C400" t="s">
        <v>205</v>
      </c>
      <c r="D400" s="83" t="s">
        <v>1586</v>
      </c>
      <c r="E400" s="83" t="s">
        <v>1587</v>
      </c>
      <c r="F400">
        <v>2.15</v>
      </c>
      <c r="G400" t="s">
        <v>1588</v>
      </c>
      <c r="H400" t="s">
        <v>277</v>
      </c>
      <c r="J400" t="s">
        <v>277</v>
      </c>
      <c r="K400" t="s">
        <v>277</v>
      </c>
    </row>
    <row r="401" spans="2:11" hidden="1">
      <c r="B401" t="s">
        <v>206</v>
      </c>
      <c r="C401" t="s">
        <v>205</v>
      </c>
      <c r="D401" s="83" t="s">
        <v>1589</v>
      </c>
      <c r="E401" s="83" t="s">
        <v>1590</v>
      </c>
      <c r="F401">
        <v>2.13</v>
      </c>
      <c r="G401" t="s">
        <v>1591</v>
      </c>
      <c r="H401" t="s">
        <v>277</v>
      </c>
      <c r="J401" t="s">
        <v>277</v>
      </c>
      <c r="K401" t="s">
        <v>277</v>
      </c>
    </row>
    <row r="402" spans="2:11" hidden="1">
      <c r="B402" t="s">
        <v>207</v>
      </c>
      <c r="C402" t="s">
        <v>205</v>
      </c>
      <c r="D402" s="83" t="s">
        <v>1592</v>
      </c>
      <c r="E402" s="83" t="s">
        <v>1593</v>
      </c>
      <c r="F402">
        <v>1.5</v>
      </c>
      <c r="G402" t="s">
        <v>1594</v>
      </c>
      <c r="H402" t="s">
        <v>277</v>
      </c>
      <c r="J402" t="s">
        <v>277</v>
      </c>
      <c r="K402" t="s">
        <v>277</v>
      </c>
    </row>
    <row r="403" spans="2:11" hidden="1">
      <c r="B403" t="s">
        <v>166</v>
      </c>
      <c r="C403" t="s">
        <v>167</v>
      </c>
      <c r="D403" s="83" t="s">
        <v>1595</v>
      </c>
      <c r="E403" s="83" t="s">
        <v>1596</v>
      </c>
      <c r="F403">
        <v>0.22</v>
      </c>
      <c r="G403" t="s">
        <v>1597</v>
      </c>
      <c r="H403" t="s">
        <v>286</v>
      </c>
      <c r="J403" t="s">
        <v>286</v>
      </c>
      <c r="K403" t="s">
        <v>286</v>
      </c>
    </row>
    <row r="404" spans="2:11" hidden="1">
      <c r="B404" t="s">
        <v>163</v>
      </c>
      <c r="C404" t="s">
        <v>164</v>
      </c>
      <c r="D404" s="83" t="s">
        <v>1598</v>
      </c>
      <c r="E404" s="83" t="s">
        <v>1599</v>
      </c>
      <c r="F404">
        <v>0.27</v>
      </c>
      <c r="G404" t="s">
        <v>1600</v>
      </c>
      <c r="H404" t="s">
        <v>286</v>
      </c>
      <c r="J404" t="s">
        <v>286</v>
      </c>
      <c r="K404" t="s">
        <v>286</v>
      </c>
    </row>
    <row r="405" spans="2:11" hidden="1">
      <c r="B405" t="s">
        <v>165</v>
      </c>
      <c r="C405" t="s">
        <v>164</v>
      </c>
      <c r="D405" s="83" t="s">
        <v>1601</v>
      </c>
      <c r="E405" s="83" t="s">
        <v>1602</v>
      </c>
      <c r="F405">
        <v>0.25</v>
      </c>
      <c r="G405" t="s">
        <v>1603</v>
      </c>
      <c r="H405" t="s">
        <v>286</v>
      </c>
      <c r="J405" t="s">
        <v>286</v>
      </c>
      <c r="K405" t="s">
        <v>286</v>
      </c>
    </row>
    <row r="406" spans="2:11" hidden="1">
      <c r="B406" t="s">
        <v>218</v>
      </c>
      <c r="C406" t="s">
        <v>177</v>
      </c>
      <c r="D406" s="83" t="s">
        <v>1604</v>
      </c>
      <c r="E406" s="83" t="s">
        <v>1605</v>
      </c>
      <c r="F406">
        <v>8.4499999999999993</v>
      </c>
      <c r="G406" t="s">
        <v>1606</v>
      </c>
      <c r="H406" t="s">
        <v>278</v>
      </c>
      <c r="J406" t="s">
        <v>278</v>
      </c>
      <c r="K406" t="s">
        <v>278</v>
      </c>
    </row>
    <row r="407" spans="2:11" hidden="1">
      <c r="B407" t="s">
        <v>214</v>
      </c>
      <c r="C407" t="s">
        <v>205</v>
      </c>
      <c r="D407" s="83" t="s">
        <v>1607</v>
      </c>
      <c r="E407" s="83" t="s">
        <v>1608</v>
      </c>
      <c r="F407">
        <v>14.68</v>
      </c>
      <c r="G407" t="s">
        <v>1609</v>
      </c>
      <c r="H407" t="s">
        <v>277</v>
      </c>
      <c r="J407" t="s">
        <v>277</v>
      </c>
      <c r="K407" t="s">
        <v>277</v>
      </c>
    </row>
    <row r="408" spans="2:11" hidden="1">
      <c r="B408" t="s">
        <v>184</v>
      </c>
      <c r="C408" t="s">
        <v>185</v>
      </c>
      <c r="D408" s="83" t="s">
        <v>1610</v>
      </c>
      <c r="E408" s="83" t="s">
        <v>1611</v>
      </c>
      <c r="F408">
        <v>17.05</v>
      </c>
      <c r="G408" t="s">
        <v>1612</v>
      </c>
      <c r="H408" t="s">
        <v>294</v>
      </c>
      <c r="J408" t="s">
        <v>294</v>
      </c>
      <c r="K408" t="s">
        <v>294</v>
      </c>
    </row>
    <row r="409" spans="2:11">
      <c r="B409" t="s">
        <v>82</v>
      </c>
      <c r="C409" t="s">
        <v>217</v>
      </c>
      <c r="D409" s="83" t="s">
        <v>1613</v>
      </c>
      <c r="E409" s="83" t="s">
        <v>1614</v>
      </c>
      <c r="F409">
        <v>9.2200000000000006</v>
      </c>
      <c r="G409" t="s">
        <v>1615</v>
      </c>
      <c r="H409" t="s">
        <v>286</v>
      </c>
      <c r="J409" t="s">
        <v>286</v>
      </c>
      <c r="K409" t="s">
        <v>286</v>
      </c>
    </row>
    <row r="410" spans="2:11" hidden="1">
      <c r="B410" t="s">
        <v>215</v>
      </c>
      <c r="C410" t="s">
        <v>216</v>
      </c>
      <c r="D410" s="83" t="s">
        <v>1616</v>
      </c>
      <c r="E410" s="83" t="s">
        <v>1617</v>
      </c>
      <c r="F410">
        <v>11.5</v>
      </c>
      <c r="G410" t="s">
        <v>1618</v>
      </c>
      <c r="H410" t="s">
        <v>286</v>
      </c>
      <c r="J410" t="s">
        <v>286</v>
      </c>
      <c r="K410" t="s">
        <v>286</v>
      </c>
    </row>
    <row r="411" spans="2:11" hidden="1">
      <c r="B411" t="s">
        <v>180</v>
      </c>
      <c r="C411" t="s">
        <v>181</v>
      </c>
      <c r="D411" s="83" t="s">
        <v>1619</v>
      </c>
      <c r="E411" s="83" t="s">
        <v>1620</v>
      </c>
      <c r="F411">
        <v>10.65</v>
      </c>
      <c r="G411" t="s">
        <v>1621</v>
      </c>
      <c r="H411" t="s">
        <v>286</v>
      </c>
      <c r="J411" t="s">
        <v>286</v>
      </c>
      <c r="K411" t="s">
        <v>286</v>
      </c>
    </row>
    <row r="412" spans="2:11" hidden="1">
      <c r="B412" t="s">
        <v>238</v>
      </c>
      <c r="C412" t="s">
        <v>239</v>
      </c>
      <c r="D412" s="83" t="s">
        <v>1622</v>
      </c>
      <c r="E412" s="83" t="s">
        <v>1623</v>
      </c>
      <c r="F412">
        <v>10.72</v>
      </c>
      <c r="G412" t="s">
        <v>1624</v>
      </c>
      <c r="H412" t="s">
        <v>286</v>
      </c>
      <c r="J412" t="s">
        <v>286</v>
      </c>
      <c r="K412" t="s">
        <v>286</v>
      </c>
    </row>
    <row r="413" spans="2:11" hidden="1">
      <c r="B413" t="s">
        <v>172</v>
      </c>
      <c r="C413" t="s">
        <v>173</v>
      </c>
      <c r="D413" s="83" t="s">
        <v>1625</v>
      </c>
      <c r="E413" s="83" t="s">
        <v>1626</v>
      </c>
      <c r="F413">
        <v>0.23</v>
      </c>
      <c r="G413" t="s">
        <v>1627</v>
      </c>
      <c r="H413" t="s">
        <v>294</v>
      </c>
      <c r="J413" t="s">
        <v>294</v>
      </c>
      <c r="K413" t="s">
        <v>294</v>
      </c>
    </row>
    <row r="414" spans="2:11" hidden="1">
      <c r="B414" t="s">
        <v>170</v>
      </c>
      <c r="C414" t="s">
        <v>171</v>
      </c>
      <c r="D414" s="83" t="s">
        <v>1628</v>
      </c>
      <c r="E414" s="83" t="s">
        <v>1629</v>
      </c>
      <c r="F414">
        <v>2.0699999999999998</v>
      </c>
      <c r="G414" t="s">
        <v>1630</v>
      </c>
      <c r="H414" t="s">
        <v>294</v>
      </c>
      <c r="J414" t="s">
        <v>294</v>
      </c>
      <c r="K414" t="s">
        <v>294</v>
      </c>
    </row>
    <row r="415" spans="2:11" hidden="1">
      <c r="B415" t="s">
        <v>240</v>
      </c>
      <c r="C415" t="s">
        <v>241</v>
      </c>
      <c r="D415" s="83" t="s">
        <v>1631</v>
      </c>
      <c r="E415" s="83" t="s">
        <v>1632</v>
      </c>
      <c r="F415">
        <v>12.75</v>
      </c>
      <c r="G415" t="s">
        <v>1633</v>
      </c>
      <c r="H415" t="s">
        <v>294</v>
      </c>
      <c r="J415" t="s">
        <v>294</v>
      </c>
      <c r="K415" t="s">
        <v>294</v>
      </c>
    </row>
    <row r="416" spans="2:11" hidden="1">
      <c r="B416" t="s">
        <v>168</v>
      </c>
      <c r="C416" t="s">
        <v>169</v>
      </c>
      <c r="D416" s="83" t="s">
        <v>1634</v>
      </c>
      <c r="E416" s="83" t="s">
        <v>1635</v>
      </c>
      <c r="F416">
        <v>0.62</v>
      </c>
      <c r="G416" t="s">
        <v>1636</v>
      </c>
      <c r="H416" t="s">
        <v>295</v>
      </c>
      <c r="J416" t="s">
        <v>295</v>
      </c>
      <c r="K416" t="s">
        <v>295</v>
      </c>
    </row>
    <row r="417" spans="2:11" hidden="1">
      <c r="B417" t="s">
        <v>186</v>
      </c>
      <c r="C417" t="s">
        <v>187</v>
      </c>
      <c r="D417" s="83" t="s">
        <v>1637</v>
      </c>
      <c r="E417" s="83" t="s">
        <v>1638</v>
      </c>
      <c r="F417">
        <v>0.27</v>
      </c>
      <c r="G417" t="s">
        <v>1639</v>
      </c>
      <c r="H417" t="s">
        <v>277</v>
      </c>
      <c r="J417" t="s">
        <v>277</v>
      </c>
      <c r="K417" t="s">
        <v>277</v>
      </c>
    </row>
    <row r="418" spans="2:11" hidden="1">
      <c r="B418" t="s">
        <v>182</v>
      </c>
      <c r="C418" t="s">
        <v>183</v>
      </c>
      <c r="D418" s="83" t="s">
        <v>1640</v>
      </c>
      <c r="E418" s="83" t="s">
        <v>1641</v>
      </c>
      <c r="F418">
        <v>0.55000000000000004</v>
      </c>
      <c r="G418" t="s">
        <v>1642</v>
      </c>
      <c r="H418" t="s">
        <v>286</v>
      </c>
      <c r="J418" t="s">
        <v>286</v>
      </c>
      <c r="K418" t="s">
        <v>286</v>
      </c>
    </row>
    <row r="419" spans="2:11" hidden="1">
      <c r="B419" t="s">
        <v>193</v>
      </c>
      <c r="C419" t="s">
        <v>183</v>
      </c>
      <c r="D419" s="83" t="s">
        <v>1643</v>
      </c>
      <c r="E419" s="83" t="s">
        <v>1644</v>
      </c>
      <c r="F419">
        <v>1.05</v>
      </c>
      <c r="G419" t="s">
        <v>1645</v>
      </c>
      <c r="H419" t="s">
        <v>286</v>
      </c>
      <c r="J419" t="s">
        <v>286</v>
      </c>
      <c r="K419" t="s">
        <v>286</v>
      </c>
    </row>
    <row r="420" spans="2:11" hidden="1">
      <c r="B420" t="s">
        <v>219</v>
      </c>
      <c r="C420" t="s">
        <v>183</v>
      </c>
      <c r="D420" s="83" t="s">
        <v>1646</v>
      </c>
      <c r="E420" s="83" t="s">
        <v>1647</v>
      </c>
      <c r="F420">
        <v>5.12</v>
      </c>
      <c r="G420" t="s">
        <v>1648</v>
      </c>
      <c r="H420" t="s">
        <v>286</v>
      </c>
      <c r="J420" t="s">
        <v>286</v>
      </c>
      <c r="K420" t="s">
        <v>286</v>
      </c>
    </row>
    <row r="421" spans="2:11" hidden="1">
      <c r="B421" t="s">
        <v>337</v>
      </c>
      <c r="C421" t="s">
        <v>338</v>
      </c>
      <c r="D421" s="83" t="s">
        <v>1649</v>
      </c>
      <c r="E421" s="83" t="s">
        <v>1650</v>
      </c>
      <c r="F421">
        <v>1.68</v>
      </c>
      <c r="G421" t="s">
        <v>1651</v>
      </c>
      <c r="H421" t="s">
        <v>277</v>
      </c>
      <c r="J421" t="s">
        <v>277</v>
      </c>
      <c r="K421" t="s">
        <v>277</v>
      </c>
    </row>
    <row r="422" spans="2:11" hidden="1">
      <c r="B422" t="s">
        <v>212</v>
      </c>
      <c r="C422" t="s">
        <v>213</v>
      </c>
      <c r="D422" s="83" t="s">
        <v>1652</v>
      </c>
      <c r="E422" s="83" t="s">
        <v>1653</v>
      </c>
      <c r="F422">
        <v>16.12</v>
      </c>
      <c r="G422" t="s">
        <v>1654</v>
      </c>
      <c r="H422" t="s">
        <v>276</v>
      </c>
      <c r="J422" t="s">
        <v>276</v>
      </c>
      <c r="K422" t="s">
        <v>276</v>
      </c>
    </row>
    <row r="423" spans="2:11" hidden="1">
      <c r="B423" t="s">
        <v>236</v>
      </c>
      <c r="C423" t="s">
        <v>237</v>
      </c>
      <c r="D423" s="83" t="s">
        <v>1655</v>
      </c>
      <c r="E423" s="83" t="s">
        <v>1656</v>
      </c>
      <c r="F423">
        <v>7.33</v>
      </c>
      <c r="G423" t="s">
        <v>1657</v>
      </c>
      <c r="H423" t="s">
        <v>278</v>
      </c>
      <c r="J423" t="s">
        <v>278</v>
      </c>
      <c r="K423" t="s">
        <v>278</v>
      </c>
    </row>
    <row r="424" spans="2:11">
      <c r="B424" t="s">
        <v>85</v>
      </c>
      <c r="C424" t="s">
        <v>226</v>
      </c>
      <c r="D424" s="83" t="s">
        <v>1658</v>
      </c>
      <c r="E424" s="83" t="s">
        <v>1659</v>
      </c>
      <c r="F424">
        <v>16.27</v>
      </c>
      <c r="G424" t="s">
        <v>1660</v>
      </c>
      <c r="H424" t="s">
        <v>277</v>
      </c>
      <c r="J424" t="s">
        <v>277</v>
      </c>
      <c r="K424" t="s">
        <v>277</v>
      </c>
    </row>
    <row r="425" spans="2:11" hidden="1">
      <c r="B425" t="s">
        <v>170</v>
      </c>
      <c r="C425" t="s">
        <v>171</v>
      </c>
      <c r="D425" s="83" t="s">
        <v>1661</v>
      </c>
      <c r="E425" s="83" t="s">
        <v>1662</v>
      </c>
      <c r="F425">
        <v>0.82</v>
      </c>
      <c r="G425" t="s">
        <v>1663</v>
      </c>
      <c r="H425" t="s">
        <v>277</v>
      </c>
      <c r="J425" t="s">
        <v>277</v>
      </c>
      <c r="K425" t="s">
        <v>277</v>
      </c>
    </row>
    <row r="426" spans="2:11" hidden="1">
      <c r="B426" t="s">
        <v>254</v>
      </c>
      <c r="C426" t="s">
        <v>252</v>
      </c>
      <c r="D426" s="83" t="s">
        <v>1664</v>
      </c>
      <c r="E426" s="83" t="s">
        <v>1665</v>
      </c>
      <c r="F426">
        <v>1.18</v>
      </c>
      <c r="G426" t="s">
        <v>1666</v>
      </c>
      <c r="H426" t="s">
        <v>277</v>
      </c>
      <c r="J426" t="s">
        <v>277</v>
      </c>
      <c r="K426" t="s">
        <v>277</v>
      </c>
    </row>
    <row r="427" spans="2:11">
      <c r="B427" t="s">
        <v>95</v>
      </c>
      <c r="C427" t="s">
        <v>258</v>
      </c>
      <c r="D427" s="83" t="s">
        <v>1667</v>
      </c>
      <c r="E427" s="83" t="s">
        <v>1668</v>
      </c>
      <c r="F427">
        <v>9.85</v>
      </c>
      <c r="G427" t="s">
        <v>1669</v>
      </c>
      <c r="H427" t="s">
        <v>295</v>
      </c>
      <c r="J427" t="s">
        <v>295</v>
      </c>
      <c r="K427" t="s">
        <v>295</v>
      </c>
    </row>
    <row r="428" spans="2:11" hidden="1">
      <c r="B428" t="s">
        <v>166</v>
      </c>
      <c r="C428" t="s">
        <v>167</v>
      </c>
      <c r="D428" s="83" t="s">
        <v>1670</v>
      </c>
      <c r="E428" s="83" t="s">
        <v>1671</v>
      </c>
      <c r="F428">
        <v>0.35</v>
      </c>
      <c r="G428" t="s">
        <v>1672</v>
      </c>
      <c r="H428" t="s">
        <v>286</v>
      </c>
      <c r="J428" t="s">
        <v>286</v>
      </c>
      <c r="K428" t="s">
        <v>286</v>
      </c>
    </row>
    <row r="429" spans="2:11" hidden="1">
      <c r="B429" t="s">
        <v>165</v>
      </c>
      <c r="C429" t="s">
        <v>164</v>
      </c>
      <c r="D429" s="83" t="s">
        <v>1673</v>
      </c>
      <c r="E429" s="83" t="s">
        <v>1674</v>
      </c>
      <c r="F429">
        <v>0.25</v>
      </c>
      <c r="G429" t="s">
        <v>1675</v>
      </c>
      <c r="H429" t="s">
        <v>286</v>
      </c>
      <c r="J429" t="s">
        <v>286</v>
      </c>
      <c r="K429" t="s">
        <v>286</v>
      </c>
    </row>
    <row r="430" spans="2:11" hidden="1">
      <c r="B430" t="s">
        <v>163</v>
      </c>
      <c r="C430" t="s">
        <v>164</v>
      </c>
      <c r="D430" s="83" t="s">
        <v>1676</v>
      </c>
      <c r="E430" s="83" t="s">
        <v>1677</v>
      </c>
      <c r="F430">
        <v>0.25</v>
      </c>
      <c r="G430" t="s">
        <v>1678</v>
      </c>
      <c r="H430" t="s">
        <v>286</v>
      </c>
      <c r="J430" t="s">
        <v>286</v>
      </c>
      <c r="K430" t="s">
        <v>286</v>
      </c>
    </row>
    <row r="431" spans="2:11" hidden="1">
      <c r="B431" t="s">
        <v>312</v>
      </c>
      <c r="C431" t="s">
        <v>313</v>
      </c>
      <c r="D431" s="83" t="s">
        <v>1679</v>
      </c>
      <c r="E431" s="83" t="s">
        <v>1680</v>
      </c>
      <c r="F431">
        <v>1.92</v>
      </c>
      <c r="G431" t="s">
        <v>1681</v>
      </c>
      <c r="H431" t="s">
        <v>274</v>
      </c>
      <c r="J431" t="s">
        <v>274</v>
      </c>
      <c r="K431" t="s">
        <v>274</v>
      </c>
    </row>
    <row r="432" spans="2:11" hidden="1">
      <c r="B432" t="s">
        <v>336</v>
      </c>
      <c r="C432" t="s">
        <v>305</v>
      </c>
      <c r="D432" s="83" t="s">
        <v>1682</v>
      </c>
      <c r="E432" s="83" t="s">
        <v>1683</v>
      </c>
      <c r="F432">
        <v>10.73</v>
      </c>
      <c r="G432" t="s">
        <v>1684</v>
      </c>
      <c r="H432" t="s">
        <v>277</v>
      </c>
      <c r="J432" t="s">
        <v>277</v>
      </c>
      <c r="K432" t="s">
        <v>277</v>
      </c>
    </row>
    <row r="433" spans="2:11" hidden="1">
      <c r="B433" t="s">
        <v>204</v>
      </c>
      <c r="C433" t="s">
        <v>205</v>
      </c>
      <c r="D433" s="83" t="s">
        <v>1685</v>
      </c>
      <c r="E433" s="83" t="s">
        <v>1686</v>
      </c>
      <c r="F433">
        <v>0.87</v>
      </c>
      <c r="G433" t="s">
        <v>1687</v>
      </c>
      <c r="H433" t="s">
        <v>277</v>
      </c>
      <c r="J433" t="s">
        <v>277</v>
      </c>
      <c r="K433" t="s">
        <v>277</v>
      </c>
    </row>
    <row r="434" spans="2:11" hidden="1">
      <c r="B434" t="s">
        <v>206</v>
      </c>
      <c r="C434" t="s">
        <v>205</v>
      </c>
      <c r="D434" s="83" t="s">
        <v>1688</v>
      </c>
      <c r="E434" s="83" t="s">
        <v>1689</v>
      </c>
      <c r="F434">
        <v>0.87</v>
      </c>
      <c r="G434" t="s">
        <v>1690</v>
      </c>
      <c r="H434" t="s">
        <v>277</v>
      </c>
      <c r="J434" t="s">
        <v>277</v>
      </c>
      <c r="K434" t="s">
        <v>277</v>
      </c>
    </row>
    <row r="435" spans="2:11" hidden="1">
      <c r="B435" t="s">
        <v>207</v>
      </c>
      <c r="C435" t="s">
        <v>205</v>
      </c>
      <c r="D435" s="83" t="s">
        <v>1691</v>
      </c>
      <c r="E435" s="83" t="s">
        <v>1692</v>
      </c>
      <c r="F435">
        <v>0.85</v>
      </c>
      <c r="G435" t="s">
        <v>1693</v>
      </c>
      <c r="H435" t="s">
        <v>277</v>
      </c>
      <c r="J435" t="s">
        <v>277</v>
      </c>
      <c r="K435" t="s">
        <v>277</v>
      </c>
    </row>
    <row r="436" spans="2:11" hidden="1">
      <c r="B436" t="s">
        <v>214</v>
      </c>
      <c r="C436" t="s">
        <v>205</v>
      </c>
      <c r="D436" s="83" t="s">
        <v>1694</v>
      </c>
      <c r="E436" s="83" t="s">
        <v>1695</v>
      </c>
      <c r="F436">
        <v>0.87</v>
      </c>
      <c r="G436" t="s">
        <v>1696</v>
      </c>
      <c r="H436" t="s">
        <v>277</v>
      </c>
      <c r="J436" t="s">
        <v>277</v>
      </c>
      <c r="K436" t="s">
        <v>277</v>
      </c>
    </row>
    <row r="437" spans="2:11" hidden="1">
      <c r="B437" t="s">
        <v>328</v>
      </c>
      <c r="C437" t="s">
        <v>329</v>
      </c>
      <c r="D437" s="83" t="s">
        <v>1697</v>
      </c>
      <c r="E437" s="83" t="s">
        <v>1698</v>
      </c>
      <c r="F437">
        <v>4.2300000000000004</v>
      </c>
      <c r="G437" t="s">
        <v>1699</v>
      </c>
      <c r="H437" t="s">
        <v>286</v>
      </c>
      <c r="J437" t="s">
        <v>286</v>
      </c>
      <c r="K437" t="s">
        <v>286</v>
      </c>
    </row>
    <row r="438" spans="2:11" hidden="1">
      <c r="B438" t="s">
        <v>168</v>
      </c>
      <c r="C438" t="s">
        <v>169</v>
      </c>
      <c r="D438" s="83" t="s">
        <v>1700</v>
      </c>
      <c r="E438" s="83" t="s">
        <v>1701</v>
      </c>
      <c r="F438">
        <v>0.47</v>
      </c>
      <c r="G438" t="s">
        <v>1702</v>
      </c>
      <c r="H438" t="s">
        <v>286</v>
      </c>
      <c r="J438" t="s">
        <v>286</v>
      </c>
      <c r="K438" t="s">
        <v>286</v>
      </c>
    </row>
    <row r="439" spans="2:11">
      <c r="B439" t="s">
        <v>84</v>
      </c>
      <c r="C439" t="s">
        <v>190</v>
      </c>
      <c r="D439" s="83" t="s">
        <v>1703</v>
      </c>
      <c r="E439" s="83" t="s">
        <v>1704</v>
      </c>
      <c r="F439">
        <v>10.82</v>
      </c>
      <c r="G439" t="s">
        <v>1705</v>
      </c>
      <c r="H439" t="s">
        <v>286</v>
      </c>
      <c r="J439" t="s">
        <v>286</v>
      </c>
      <c r="K439" t="s">
        <v>286</v>
      </c>
    </row>
    <row r="440" spans="2:11" hidden="1">
      <c r="B440" t="s">
        <v>186</v>
      </c>
      <c r="C440" t="s">
        <v>187</v>
      </c>
      <c r="D440" s="83" t="s">
        <v>1706</v>
      </c>
      <c r="E440" s="83" t="s">
        <v>1707</v>
      </c>
      <c r="F440">
        <v>0.12</v>
      </c>
      <c r="G440" t="s">
        <v>1708</v>
      </c>
      <c r="H440" t="s">
        <v>276</v>
      </c>
      <c r="J440" t="s">
        <v>276</v>
      </c>
      <c r="K440" t="s">
        <v>276</v>
      </c>
    </row>
    <row r="441" spans="2:11" hidden="1">
      <c r="B441" t="s">
        <v>188</v>
      </c>
      <c r="C441" t="s">
        <v>189</v>
      </c>
      <c r="D441" s="83" t="s">
        <v>1709</v>
      </c>
      <c r="E441" s="83" t="s">
        <v>1710</v>
      </c>
      <c r="F441">
        <v>10.9</v>
      </c>
      <c r="G441" t="s">
        <v>1711</v>
      </c>
      <c r="H441" t="s">
        <v>278</v>
      </c>
      <c r="J441" t="s">
        <v>278</v>
      </c>
      <c r="K441" t="s">
        <v>278</v>
      </c>
    </row>
    <row r="442" spans="2:11" hidden="1">
      <c r="B442" t="s">
        <v>172</v>
      </c>
      <c r="C442" t="s">
        <v>173</v>
      </c>
      <c r="D442" s="83" t="s">
        <v>1712</v>
      </c>
      <c r="E442" s="83" t="s">
        <v>1713</v>
      </c>
      <c r="F442">
        <v>0.78</v>
      </c>
      <c r="G442" t="s">
        <v>1714</v>
      </c>
      <c r="H442" t="s">
        <v>425</v>
      </c>
      <c r="J442" t="s">
        <v>425</v>
      </c>
      <c r="K442" t="s">
        <v>425</v>
      </c>
    </row>
    <row r="443" spans="2:11" hidden="1">
      <c r="B443" t="s">
        <v>249</v>
      </c>
      <c r="C443" t="s">
        <v>250</v>
      </c>
      <c r="D443" s="83" t="s">
        <v>1715</v>
      </c>
      <c r="E443" s="83" t="s">
        <v>1716</v>
      </c>
      <c r="F443">
        <v>5.88</v>
      </c>
      <c r="G443" t="s">
        <v>1717</v>
      </c>
      <c r="H443" t="s">
        <v>295</v>
      </c>
      <c r="J443" t="s">
        <v>295</v>
      </c>
      <c r="K443" t="s">
        <v>295</v>
      </c>
    </row>
    <row r="444" spans="2:11" hidden="1">
      <c r="B444" t="s">
        <v>334</v>
      </c>
      <c r="C444" t="s">
        <v>335</v>
      </c>
      <c r="D444" s="83" t="s">
        <v>1718</v>
      </c>
      <c r="E444" s="83" t="s">
        <v>1719</v>
      </c>
      <c r="F444">
        <v>2.13</v>
      </c>
      <c r="G444" t="s">
        <v>1720</v>
      </c>
      <c r="H444" t="s">
        <v>278</v>
      </c>
      <c r="J444" t="s">
        <v>278</v>
      </c>
      <c r="K444" t="s">
        <v>278</v>
      </c>
    </row>
    <row r="445" spans="2:11">
      <c r="B445" t="s">
        <v>83</v>
      </c>
      <c r="C445" t="s">
        <v>201</v>
      </c>
      <c r="D445" s="83" t="s">
        <v>1721</v>
      </c>
      <c r="E445" s="83" t="s">
        <v>1722</v>
      </c>
      <c r="F445">
        <v>12.67</v>
      </c>
      <c r="G445" t="s">
        <v>1723</v>
      </c>
      <c r="H445" t="s">
        <v>425</v>
      </c>
      <c r="J445" t="s">
        <v>425</v>
      </c>
      <c r="K445" t="s">
        <v>425</v>
      </c>
    </row>
    <row r="446" spans="2:11" hidden="1">
      <c r="B446" t="s">
        <v>195</v>
      </c>
      <c r="C446" t="s">
        <v>196</v>
      </c>
      <c r="D446" s="83" t="s">
        <v>1724</v>
      </c>
      <c r="E446" s="83" t="s">
        <v>1725</v>
      </c>
      <c r="F446">
        <v>9.48</v>
      </c>
      <c r="G446" t="s">
        <v>1726</v>
      </c>
      <c r="H446" t="s">
        <v>295</v>
      </c>
      <c r="J446" t="s">
        <v>295</v>
      </c>
      <c r="K446" t="s">
        <v>295</v>
      </c>
    </row>
    <row r="447" spans="2:11" hidden="1">
      <c r="B447" t="s">
        <v>229</v>
      </c>
      <c r="C447" t="s">
        <v>230</v>
      </c>
      <c r="D447" s="83" t="s">
        <v>1727</v>
      </c>
      <c r="E447" s="83" t="s">
        <v>1728</v>
      </c>
      <c r="F447">
        <v>12.02</v>
      </c>
      <c r="G447" t="s">
        <v>1729</v>
      </c>
      <c r="H447" t="s">
        <v>274</v>
      </c>
      <c r="J447" t="s">
        <v>274</v>
      </c>
      <c r="K447" t="s">
        <v>274</v>
      </c>
    </row>
    <row r="448" spans="2:11" hidden="1">
      <c r="B448" t="s">
        <v>170</v>
      </c>
      <c r="C448" t="s">
        <v>171</v>
      </c>
      <c r="D448" s="83" t="s">
        <v>1730</v>
      </c>
      <c r="E448" s="83" t="s">
        <v>1731</v>
      </c>
      <c r="F448">
        <v>0.4</v>
      </c>
      <c r="G448" t="s">
        <v>1732</v>
      </c>
      <c r="H448" t="s">
        <v>425</v>
      </c>
      <c r="J448" t="s">
        <v>425</v>
      </c>
      <c r="K448" t="s">
        <v>425</v>
      </c>
    </row>
    <row r="449" spans="2:11" hidden="1">
      <c r="B449" t="s">
        <v>562</v>
      </c>
      <c r="C449" t="s">
        <v>563</v>
      </c>
      <c r="D449" s="83" t="s">
        <v>1733</v>
      </c>
      <c r="E449" s="83" t="s">
        <v>1734</v>
      </c>
      <c r="F449">
        <v>0.28000000000000003</v>
      </c>
      <c r="G449" t="s">
        <v>1735</v>
      </c>
      <c r="H449" t="s">
        <v>274</v>
      </c>
      <c r="J449" t="s">
        <v>274</v>
      </c>
      <c r="K449" t="s">
        <v>274</v>
      </c>
    </row>
    <row r="450" spans="2:11" hidden="1">
      <c r="B450" t="s">
        <v>246</v>
      </c>
      <c r="C450" t="s">
        <v>183</v>
      </c>
      <c r="D450" s="83" t="s">
        <v>1736</v>
      </c>
      <c r="E450" s="83" t="s">
        <v>1737</v>
      </c>
      <c r="F450">
        <v>0.37</v>
      </c>
      <c r="G450" t="s">
        <v>1738</v>
      </c>
      <c r="H450" t="s">
        <v>274</v>
      </c>
      <c r="J450" t="s">
        <v>274</v>
      </c>
      <c r="K450" t="s">
        <v>274</v>
      </c>
    </row>
    <row r="451" spans="2:11" hidden="1">
      <c r="B451" t="s">
        <v>191</v>
      </c>
      <c r="C451" t="s">
        <v>183</v>
      </c>
      <c r="D451" s="83" t="s">
        <v>1739</v>
      </c>
      <c r="E451" s="83" t="s">
        <v>1740</v>
      </c>
      <c r="F451">
        <v>0.42</v>
      </c>
      <c r="G451" t="s">
        <v>1741</v>
      </c>
      <c r="H451" t="s">
        <v>274</v>
      </c>
      <c r="J451" t="s">
        <v>274</v>
      </c>
      <c r="K451" t="s">
        <v>274</v>
      </c>
    </row>
    <row r="452" spans="2:11" hidden="1">
      <c r="B452" t="s">
        <v>194</v>
      </c>
      <c r="C452" t="s">
        <v>183</v>
      </c>
      <c r="D452" s="83" t="s">
        <v>1742</v>
      </c>
      <c r="E452" s="83" t="s">
        <v>1743</v>
      </c>
      <c r="F452">
        <v>4.32</v>
      </c>
      <c r="G452" t="s">
        <v>1744</v>
      </c>
      <c r="H452" t="s">
        <v>274</v>
      </c>
      <c r="J452" t="s">
        <v>274</v>
      </c>
      <c r="K452" t="s">
        <v>274</v>
      </c>
    </row>
    <row r="453" spans="2:11" hidden="1">
      <c r="B453" t="s">
        <v>178</v>
      </c>
      <c r="C453" t="s">
        <v>179</v>
      </c>
      <c r="D453" s="83" t="s">
        <v>1745</v>
      </c>
      <c r="E453" s="83" t="s">
        <v>1746</v>
      </c>
      <c r="F453">
        <v>3.07</v>
      </c>
      <c r="G453" t="s">
        <v>1747</v>
      </c>
      <c r="H453" t="s">
        <v>286</v>
      </c>
      <c r="J453" t="s">
        <v>286</v>
      </c>
      <c r="K453" t="s">
        <v>286</v>
      </c>
    </row>
    <row r="454" spans="2:11" hidden="1">
      <c r="B454" t="s">
        <v>215</v>
      </c>
      <c r="C454" t="s">
        <v>216</v>
      </c>
      <c r="D454" s="83" t="s">
        <v>1748</v>
      </c>
      <c r="E454" s="83" t="s">
        <v>1749</v>
      </c>
      <c r="F454">
        <v>16.329999999999998</v>
      </c>
      <c r="G454" t="s">
        <v>1750</v>
      </c>
      <c r="H454" t="s">
        <v>286</v>
      </c>
      <c r="J454" t="s">
        <v>286</v>
      </c>
      <c r="K454" t="s">
        <v>286</v>
      </c>
    </row>
    <row r="455" spans="2:11" hidden="1">
      <c r="B455" t="s">
        <v>184</v>
      </c>
      <c r="C455" t="s">
        <v>185</v>
      </c>
      <c r="D455" s="83" t="s">
        <v>1751</v>
      </c>
      <c r="E455" s="83" t="s">
        <v>1752</v>
      </c>
      <c r="F455">
        <v>6.72</v>
      </c>
      <c r="G455" t="s">
        <v>1753</v>
      </c>
      <c r="H455" t="s">
        <v>294</v>
      </c>
      <c r="J455" t="s">
        <v>294</v>
      </c>
      <c r="K455" t="s">
        <v>294</v>
      </c>
    </row>
    <row r="456" spans="2:11" hidden="1">
      <c r="B456" t="s">
        <v>186</v>
      </c>
      <c r="C456" t="s">
        <v>187</v>
      </c>
      <c r="D456" s="83" t="s">
        <v>1754</v>
      </c>
      <c r="E456" s="83" t="s">
        <v>1755</v>
      </c>
      <c r="F456">
        <v>0.45</v>
      </c>
      <c r="G456" t="s">
        <v>1756</v>
      </c>
      <c r="H456" t="s">
        <v>278</v>
      </c>
      <c r="J456" t="s">
        <v>278</v>
      </c>
      <c r="K456" t="s">
        <v>278</v>
      </c>
    </row>
    <row r="457" spans="2:11" hidden="1">
      <c r="B457" t="s">
        <v>168</v>
      </c>
      <c r="C457" t="s">
        <v>169</v>
      </c>
      <c r="D457" s="83" t="s">
        <v>1757</v>
      </c>
      <c r="E457" s="83" t="s">
        <v>1758</v>
      </c>
      <c r="F457">
        <v>0.18</v>
      </c>
      <c r="G457" t="s">
        <v>1759</v>
      </c>
      <c r="H457" t="s">
        <v>276</v>
      </c>
      <c r="J457" t="s">
        <v>276</v>
      </c>
      <c r="K457" t="s">
        <v>276</v>
      </c>
    </row>
    <row r="458" spans="2:11" hidden="1">
      <c r="B458" t="s">
        <v>172</v>
      </c>
      <c r="C458" t="s">
        <v>173</v>
      </c>
      <c r="D458" s="83" t="s">
        <v>1760</v>
      </c>
      <c r="E458" s="83" t="s">
        <v>1761</v>
      </c>
      <c r="F458">
        <v>0.23</v>
      </c>
      <c r="G458" t="s">
        <v>1762</v>
      </c>
      <c r="H458" t="s">
        <v>295</v>
      </c>
      <c r="J458" t="s">
        <v>295</v>
      </c>
      <c r="K458" t="s">
        <v>295</v>
      </c>
    </row>
    <row r="459" spans="2:11" hidden="1">
      <c r="B459" t="s">
        <v>220</v>
      </c>
      <c r="C459" t="s">
        <v>221</v>
      </c>
      <c r="D459" s="83" t="s">
        <v>1763</v>
      </c>
      <c r="E459" s="83" t="s">
        <v>1764</v>
      </c>
      <c r="F459">
        <v>9</v>
      </c>
      <c r="G459" t="s">
        <v>1765</v>
      </c>
      <c r="H459" t="s">
        <v>274</v>
      </c>
      <c r="J459" t="s">
        <v>274</v>
      </c>
      <c r="K459" t="s">
        <v>274</v>
      </c>
    </row>
    <row r="460" spans="2:11" hidden="1">
      <c r="B460" t="s">
        <v>236</v>
      </c>
      <c r="C460" t="s">
        <v>237</v>
      </c>
      <c r="D460" s="83" t="s">
        <v>1766</v>
      </c>
      <c r="E460" s="83" t="s">
        <v>1767</v>
      </c>
      <c r="F460">
        <v>13.75</v>
      </c>
      <c r="G460" t="s">
        <v>1768</v>
      </c>
      <c r="H460" t="s">
        <v>295</v>
      </c>
      <c r="J460" t="s">
        <v>295</v>
      </c>
      <c r="K460" t="s">
        <v>295</v>
      </c>
    </row>
    <row r="461" spans="2:11">
      <c r="B461" t="s">
        <v>82</v>
      </c>
      <c r="C461" t="s">
        <v>217</v>
      </c>
      <c r="D461" s="83" t="s">
        <v>1769</v>
      </c>
      <c r="E461" s="83" t="s">
        <v>1770</v>
      </c>
      <c r="F461">
        <v>13.03</v>
      </c>
      <c r="G461" t="s">
        <v>1771</v>
      </c>
      <c r="H461" t="s">
        <v>295</v>
      </c>
      <c r="J461" t="s">
        <v>295</v>
      </c>
      <c r="K461" t="s">
        <v>295</v>
      </c>
    </row>
    <row r="462" spans="2:11" hidden="1">
      <c r="B462" t="s">
        <v>661</v>
      </c>
      <c r="C462" t="s">
        <v>183</v>
      </c>
      <c r="D462" s="83" t="s">
        <v>1772</v>
      </c>
      <c r="E462" s="83" t="s">
        <v>1773</v>
      </c>
      <c r="F462">
        <v>0.67</v>
      </c>
      <c r="G462" t="s">
        <v>1774</v>
      </c>
      <c r="H462" t="s">
        <v>294</v>
      </c>
      <c r="J462" t="s">
        <v>294</v>
      </c>
      <c r="K462" t="s">
        <v>294</v>
      </c>
    </row>
    <row r="463" spans="2:11" hidden="1">
      <c r="B463" t="s">
        <v>166</v>
      </c>
      <c r="C463" t="s">
        <v>167</v>
      </c>
      <c r="D463" s="83" t="s">
        <v>1775</v>
      </c>
      <c r="E463" s="83" t="s">
        <v>1776</v>
      </c>
      <c r="F463">
        <v>0.7</v>
      </c>
      <c r="G463" t="s">
        <v>1777</v>
      </c>
      <c r="H463" t="s">
        <v>294</v>
      </c>
      <c r="J463" t="s">
        <v>294</v>
      </c>
      <c r="K463" t="s">
        <v>294</v>
      </c>
    </row>
    <row r="464" spans="2:11" hidden="1">
      <c r="B464" t="s">
        <v>165</v>
      </c>
      <c r="C464" t="s">
        <v>164</v>
      </c>
      <c r="D464" s="83" t="s">
        <v>1778</v>
      </c>
      <c r="E464" s="83" t="s">
        <v>1779</v>
      </c>
      <c r="F464">
        <v>0.55000000000000004</v>
      </c>
      <c r="G464" t="s">
        <v>1780</v>
      </c>
      <c r="H464" t="s">
        <v>294</v>
      </c>
      <c r="J464" t="s">
        <v>294</v>
      </c>
      <c r="K464" t="s">
        <v>294</v>
      </c>
    </row>
    <row r="465" spans="2:11" hidden="1">
      <c r="B465" t="s">
        <v>180</v>
      </c>
      <c r="C465" t="s">
        <v>181</v>
      </c>
      <c r="D465" s="83" t="s">
        <v>1781</v>
      </c>
      <c r="E465" s="83" t="s">
        <v>1782</v>
      </c>
      <c r="F465">
        <v>12.78</v>
      </c>
      <c r="G465" t="s">
        <v>1783</v>
      </c>
      <c r="H465" t="s">
        <v>294</v>
      </c>
      <c r="I465" t="s">
        <v>1784</v>
      </c>
      <c r="J465" t="s">
        <v>294</v>
      </c>
      <c r="K465" t="s">
        <v>294</v>
      </c>
    </row>
    <row r="466" spans="2:11" hidden="1">
      <c r="B466" t="s">
        <v>163</v>
      </c>
      <c r="C466" t="s">
        <v>164</v>
      </c>
      <c r="D466" s="83" t="s">
        <v>1785</v>
      </c>
      <c r="E466" s="83" t="s">
        <v>1786</v>
      </c>
      <c r="F466">
        <v>0.57999999999999996</v>
      </c>
      <c r="G466" t="s">
        <v>1787</v>
      </c>
      <c r="H466" t="s">
        <v>294</v>
      </c>
      <c r="J466" t="s">
        <v>294</v>
      </c>
      <c r="K466" t="s">
        <v>294</v>
      </c>
    </row>
    <row r="467" spans="2:11" hidden="1">
      <c r="B467" t="s">
        <v>218</v>
      </c>
      <c r="C467" t="s">
        <v>177</v>
      </c>
      <c r="D467" s="83" t="s">
        <v>1788</v>
      </c>
      <c r="E467" s="83" t="s">
        <v>1789</v>
      </c>
      <c r="F467">
        <v>13.05</v>
      </c>
      <c r="G467" t="s">
        <v>1790</v>
      </c>
      <c r="H467" t="s">
        <v>295</v>
      </c>
      <c r="J467" t="s">
        <v>295</v>
      </c>
      <c r="K467" t="s">
        <v>295</v>
      </c>
    </row>
    <row r="468" spans="2:11" hidden="1">
      <c r="B468" t="s">
        <v>192</v>
      </c>
      <c r="C468" t="s">
        <v>183</v>
      </c>
      <c r="D468" s="83" t="s">
        <v>1791</v>
      </c>
      <c r="E468" s="83" t="s">
        <v>1792</v>
      </c>
      <c r="F468">
        <v>0.7</v>
      </c>
      <c r="G468" t="s">
        <v>1793</v>
      </c>
      <c r="H468" t="s">
        <v>274</v>
      </c>
      <c r="J468" t="s">
        <v>274</v>
      </c>
      <c r="K468" t="s">
        <v>274</v>
      </c>
    </row>
    <row r="469" spans="2:11" hidden="1">
      <c r="B469" t="s">
        <v>180</v>
      </c>
      <c r="C469" t="s">
        <v>181</v>
      </c>
      <c r="D469" s="83" t="s">
        <v>1794</v>
      </c>
      <c r="E469" s="83" t="s">
        <v>1795</v>
      </c>
      <c r="F469">
        <v>5.45</v>
      </c>
      <c r="G469" t="s">
        <v>1796</v>
      </c>
      <c r="H469" t="s">
        <v>294</v>
      </c>
      <c r="I469" t="s">
        <v>1797</v>
      </c>
      <c r="J469" t="s">
        <v>294</v>
      </c>
      <c r="K469" t="s">
        <v>294</v>
      </c>
    </row>
    <row r="470" spans="2:11" hidden="1">
      <c r="B470" t="s">
        <v>170</v>
      </c>
      <c r="C470" t="s">
        <v>171</v>
      </c>
      <c r="D470" s="83" t="s">
        <v>1798</v>
      </c>
      <c r="E470" s="83" t="s">
        <v>1799</v>
      </c>
      <c r="F470">
        <v>0.43</v>
      </c>
      <c r="G470" t="s">
        <v>1800</v>
      </c>
      <c r="H470" t="s">
        <v>274</v>
      </c>
      <c r="J470" t="s">
        <v>274</v>
      </c>
      <c r="K470" t="s">
        <v>274</v>
      </c>
    </row>
    <row r="471" spans="2:11" hidden="1">
      <c r="B471" t="s">
        <v>212</v>
      </c>
      <c r="C471" t="s">
        <v>213</v>
      </c>
      <c r="D471" s="83" t="s">
        <v>1801</v>
      </c>
      <c r="E471" s="83" t="s">
        <v>1802</v>
      </c>
      <c r="F471">
        <v>7.13</v>
      </c>
      <c r="G471" t="s">
        <v>1803</v>
      </c>
      <c r="H471" t="s">
        <v>294</v>
      </c>
      <c r="J471" t="s">
        <v>294</v>
      </c>
      <c r="K471" t="s">
        <v>294</v>
      </c>
    </row>
    <row r="472" spans="2:11" hidden="1">
      <c r="B472" t="s">
        <v>199</v>
      </c>
      <c r="C472" t="s">
        <v>200</v>
      </c>
      <c r="D472" s="83" t="s">
        <v>1804</v>
      </c>
      <c r="E472" s="83" t="s">
        <v>1805</v>
      </c>
      <c r="F472">
        <v>7.63</v>
      </c>
      <c r="G472" t="s">
        <v>1806</v>
      </c>
      <c r="H472" t="s">
        <v>294</v>
      </c>
      <c r="J472" t="s">
        <v>294</v>
      </c>
      <c r="K472" t="s">
        <v>294</v>
      </c>
    </row>
    <row r="473" spans="2:11" hidden="1">
      <c r="B473" t="s">
        <v>180</v>
      </c>
      <c r="C473" t="s">
        <v>181</v>
      </c>
      <c r="D473" s="83" t="s">
        <v>1807</v>
      </c>
      <c r="E473" s="83" t="s">
        <v>1808</v>
      </c>
      <c r="F473">
        <v>9.42</v>
      </c>
      <c r="G473" t="s">
        <v>1809</v>
      </c>
      <c r="H473" t="s">
        <v>274</v>
      </c>
      <c r="J473" t="s">
        <v>274</v>
      </c>
      <c r="K473" t="s">
        <v>274</v>
      </c>
    </row>
    <row r="474" spans="2:11">
      <c r="B474" t="s">
        <v>85</v>
      </c>
      <c r="C474" t="s">
        <v>226</v>
      </c>
      <c r="D474" s="83" t="s">
        <v>1810</v>
      </c>
      <c r="E474" s="83" t="s">
        <v>1811</v>
      </c>
      <c r="F474">
        <v>7.48</v>
      </c>
      <c r="G474" t="s">
        <v>1812</v>
      </c>
      <c r="H474" t="s">
        <v>276</v>
      </c>
      <c r="J474" t="s">
        <v>276</v>
      </c>
      <c r="K474" t="s">
        <v>276</v>
      </c>
    </row>
    <row r="475" spans="2:11" hidden="1">
      <c r="B475" t="s">
        <v>186</v>
      </c>
      <c r="C475" t="s">
        <v>187</v>
      </c>
      <c r="D475" s="83" t="s">
        <v>1813</v>
      </c>
      <c r="E475" s="83" t="s">
        <v>1814</v>
      </c>
      <c r="F475">
        <v>0.87</v>
      </c>
      <c r="G475" t="s">
        <v>1815</v>
      </c>
      <c r="H475" t="s">
        <v>277</v>
      </c>
      <c r="J475" t="s">
        <v>277</v>
      </c>
      <c r="K475" t="s">
        <v>277</v>
      </c>
    </row>
    <row r="476" spans="2:11" hidden="1">
      <c r="B476" t="s">
        <v>257</v>
      </c>
      <c r="C476" t="s">
        <v>252</v>
      </c>
      <c r="D476" s="83" t="s">
        <v>1816</v>
      </c>
      <c r="E476" s="83" t="s">
        <v>1817</v>
      </c>
      <c r="F476">
        <v>2.2999999999999998</v>
      </c>
      <c r="G476" t="s">
        <v>1818</v>
      </c>
      <c r="H476" t="s">
        <v>276</v>
      </c>
      <c r="J476" t="s">
        <v>276</v>
      </c>
      <c r="K476" t="s">
        <v>276</v>
      </c>
    </row>
    <row r="477" spans="2:11" hidden="1">
      <c r="B477" t="s">
        <v>251</v>
      </c>
      <c r="C477" t="s">
        <v>252</v>
      </c>
      <c r="D477" s="83" t="s">
        <v>1819</v>
      </c>
      <c r="E477" s="83" t="s">
        <v>1820</v>
      </c>
      <c r="F477">
        <v>2.3199999999999998</v>
      </c>
      <c r="G477" t="s">
        <v>1821</v>
      </c>
      <c r="H477" t="s">
        <v>276</v>
      </c>
      <c r="J477" t="s">
        <v>276</v>
      </c>
      <c r="K477" t="s">
        <v>276</v>
      </c>
    </row>
    <row r="478" spans="2:11" hidden="1">
      <c r="B478" t="s">
        <v>253</v>
      </c>
      <c r="C478" t="s">
        <v>252</v>
      </c>
      <c r="D478" s="83" t="s">
        <v>1822</v>
      </c>
      <c r="E478" s="83" t="s">
        <v>1823</v>
      </c>
      <c r="F478">
        <v>2.2999999999999998</v>
      </c>
      <c r="G478" t="s">
        <v>1824</v>
      </c>
      <c r="H478" t="s">
        <v>276</v>
      </c>
      <c r="J478" t="s">
        <v>276</v>
      </c>
      <c r="K478" t="s">
        <v>276</v>
      </c>
    </row>
    <row r="479" spans="2:11" hidden="1">
      <c r="B479" t="s">
        <v>562</v>
      </c>
      <c r="C479" t="s">
        <v>563</v>
      </c>
      <c r="D479" s="83" t="s">
        <v>1825</v>
      </c>
      <c r="E479" s="83" t="s">
        <v>1826</v>
      </c>
      <c r="F479">
        <v>0.27</v>
      </c>
      <c r="G479" t="s">
        <v>1827</v>
      </c>
      <c r="H479" t="s">
        <v>274</v>
      </c>
      <c r="J479" t="s">
        <v>274</v>
      </c>
      <c r="K479" t="s">
        <v>274</v>
      </c>
    </row>
    <row r="480" spans="2:11" hidden="1">
      <c r="B480" t="s">
        <v>165</v>
      </c>
      <c r="C480" t="s">
        <v>164</v>
      </c>
      <c r="D480" s="83" t="s">
        <v>1828</v>
      </c>
      <c r="E480" s="83" t="s">
        <v>1829</v>
      </c>
      <c r="F480">
        <v>0.27</v>
      </c>
      <c r="G480" t="s">
        <v>1830</v>
      </c>
      <c r="H480" t="s">
        <v>294</v>
      </c>
      <c r="J480" t="s">
        <v>294</v>
      </c>
      <c r="K480" t="s">
        <v>294</v>
      </c>
    </row>
    <row r="481" spans="2:11" hidden="1">
      <c r="B481" t="s">
        <v>166</v>
      </c>
      <c r="C481" t="s">
        <v>167</v>
      </c>
      <c r="D481" s="83" t="s">
        <v>1831</v>
      </c>
      <c r="E481" s="83" t="s">
        <v>1832</v>
      </c>
      <c r="F481">
        <v>0.25</v>
      </c>
      <c r="G481" t="s">
        <v>1833</v>
      </c>
      <c r="H481" t="s">
        <v>294</v>
      </c>
      <c r="J481" t="s">
        <v>294</v>
      </c>
      <c r="K481" t="s">
        <v>294</v>
      </c>
    </row>
    <row r="482" spans="2:11" hidden="1">
      <c r="B482" t="s">
        <v>269</v>
      </c>
      <c r="C482" t="s">
        <v>270</v>
      </c>
      <c r="D482" s="83" t="s">
        <v>1834</v>
      </c>
      <c r="E482" s="83" t="s">
        <v>1835</v>
      </c>
      <c r="F482">
        <v>4.45</v>
      </c>
      <c r="G482" t="s">
        <v>1836</v>
      </c>
      <c r="H482" t="s">
        <v>294</v>
      </c>
      <c r="J482" t="s">
        <v>294</v>
      </c>
      <c r="K482" t="s">
        <v>294</v>
      </c>
    </row>
    <row r="483" spans="2:11" hidden="1">
      <c r="B483" t="s">
        <v>271</v>
      </c>
      <c r="C483" t="s">
        <v>272</v>
      </c>
      <c r="D483" s="83" t="s">
        <v>1837</v>
      </c>
      <c r="E483" s="83" t="s">
        <v>1838</v>
      </c>
      <c r="F483">
        <v>2.5499999999999998</v>
      </c>
      <c r="G483" t="s">
        <v>1839</v>
      </c>
      <c r="H483" t="s">
        <v>294</v>
      </c>
      <c r="J483" t="s">
        <v>294</v>
      </c>
      <c r="K483" t="s">
        <v>294</v>
      </c>
    </row>
    <row r="484" spans="2:11" hidden="1">
      <c r="B484" t="s">
        <v>208</v>
      </c>
      <c r="C484" t="s">
        <v>209</v>
      </c>
      <c r="D484" s="83" t="s">
        <v>1840</v>
      </c>
      <c r="E484" s="83" t="s">
        <v>1841</v>
      </c>
      <c r="F484">
        <v>2.5499999999999998</v>
      </c>
      <c r="G484" t="s">
        <v>1842</v>
      </c>
      <c r="H484" t="s">
        <v>294</v>
      </c>
      <c r="J484" t="s">
        <v>294</v>
      </c>
      <c r="K484" t="s">
        <v>294</v>
      </c>
    </row>
    <row r="485" spans="2:11" hidden="1">
      <c r="B485" t="s">
        <v>210</v>
      </c>
      <c r="C485" t="s">
        <v>211</v>
      </c>
      <c r="D485" s="83" t="s">
        <v>1843</v>
      </c>
      <c r="E485" s="83" t="s">
        <v>1844</v>
      </c>
      <c r="F485">
        <v>2.2799999999999998</v>
      </c>
      <c r="G485" t="s">
        <v>1845</v>
      </c>
      <c r="H485" t="s">
        <v>294</v>
      </c>
      <c r="J485" t="s">
        <v>294</v>
      </c>
      <c r="K485" t="s">
        <v>294</v>
      </c>
    </row>
    <row r="486" spans="2:11" hidden="1">
      <c r="B486" t="s">
        <v>163</v>
      </c>
      <c r="C486" t="s">
        <v>164</v>
      </c>
      <c r="D486" s="83" t="s">
        <v>1846</v>
      </c>
      <c r="E486" s="83" t="s">
        <v>1847</v>
      </c>
      <c r="F486">
        <v>0.35</v>
      </c>
      <c r="G486" t="s">
        <v>1848</v>
      </c>
      <c r="H486" t="s">
        <v>294</v>
      </c>
      <c r="J486" t="s">
        <v>294</v>
      </c>
      <c r="K486" t="s">
        <v>294</v>
      </c>
    </row>
    <row r="487" spans="2:11" hidden="1">
      <c r="B487" t="s">
        <v>233</v>
      </c>
      <c r="C487" t="s">
        <v>234</v>
      </c>
      <c r="D487" s="83" t="s">
        <v>1849</v>
      </c>
      <c r="E487" s="83" t="s">
        <v>1850</v>
      </c>
      <c r="F487">
        <v>1.02</v>
      </c>
      <c r="G487" t="s">
        <v>1851</v>
      </c>
      <c r="H487" t="s">
        <v>294</v>
      </c>
      <c r="J487" t="s">
        <v>294</v>
      </c>
      <c r="K487" t="s">
        <v>294</v>
      </c>
    </row>
    <row r="488" spans="2:11" hidden="1">
      <c r="B488" t="s">
        <v>235</v>
      </c>
      <c r="C488" t="s">
        <v>234</v>
      </c>
      <c r="D488" s="83" t="s">
        <v>1852</v>
      </c>
      <c r="E488" s="83" t="s">
        <v>1853</v>
      </c>
      <c r="F488">
        <v>1.03</v>
      </c>
      <c r="G488" t="s">
        <v>1854</v>
      </c>
      <c r="H488" t="s">
        <v>294</v>
      </c>
      <c r="J488" t="s">
        <v>294</v>
      </c>
      <c r="K488" t="s">
        <v>294</v>
      </c>
    </row>
    <row r="489" spans="2:11" hidden="1">
      <c r="B489" t="s">
        <v>174</v>
      </c>
      <c r="C489" t="s">
        <v>175</v>
      </c>
      <c r="D489" s="83" t="s">
        <v>1855</v>
      </c>
      <c r="E489" s="83" t="s">
        <v>1856</v>
      </c>
      <c r="F489">
        <v>1.02</v>
      </c>
      <c r="G489" t="s">
        <v>1857</v>
      </c>
      <c r="H489" t="s">
        <v>294</v>
      </c>
      <c r="J489" t="s">
        <v>294</v>
      </c>
      <c r="K489" t="s">
        <v>294</v>
      </c>
    </row>
    <row r="490" spans="2:11" hidden="1">
      <c r="B490" t="s">
        <v>176</v>
      </c>
      <c r="C490" t="s">
        <v>177</v>
      </c>
      <c r="D490" s="83" t="s">
        <v>1858</v>
      </c>
      <c r="E490" s="83" t="s">
        <v>1859</v>
      </c>
      <c r="F490">
        <v>1.03</v>
      </c>
      <c r="G490" t="s">
        <v>1860</v>
      </c>
      <c r="H490" t="s">
        <v>294</v>
      </c>
      <c r="J490" t="s">
        <v>294</v>
      </c>
      <c r="K490" t="s">
        <v>294</v>
      </c>
    </row>
    <row r="491" spans="2:11" hidden="1">
      <c r="B491" t="s">
        <v>254</v>
      </c>
      <c r="C491" t="s">
        <v>252</v>
      </c>
      <c r="D491" s="83" t="s">
        <v>1861</v>
      </c>
      <c r="E491" s="83" t="s">
        <v>1862</v>
      </c>
      <c r="F491">
        <v>15.6</v>
      </c>
      <c r="G491" t="s">
        <v>1863</v>
      </c>
      <c r="H491" t="s">
        <v>276</v>
      </c>
      <c r="J491" t="s">
        <v>276</v>
      </c>
      <c r="K491" t="s">
        <v>276</v>
      </c>
    </row>
    <row r="492" spans="2:11" hidden="1">
      <c r="B492" t="s">
        <v>202</v>
      </c>
      <c r="C492" t="s">
        <v>203</v>
      </c>
      <c r="D492" s="83" t="s">
        <v>1864</v>
      </c>
      <c r="E492" s="83" t="s">
        <v>1865</v>
      </c>
      <c r="F492">
        <v>12.07</v>
      </c>
      <c r="G492" t="s">
        <v>1866</v>
      </c>
      <c r="H492" t="s">
        <v>295</v>
      </c>
      <c r="J492" t="s">
        <v>295</v>
      </c>
      <c r="K492" t="s">
        <v>295</v>
      </c>
    </row>
    <row r="493" spans="2:11">
      <c r="B493" t="s">
        <v>84</v>
      </c>
      <c r="C493" t="s">
        <v>190</v>
      </c>
      <c r="D493" s="83" t="s">
        <v>1867</v>
      </c>
      <c r="E493" s="83" t="s">
        <v>1868</v>
      </c>
      <c r="F493">
        <v>7.93</v>
      </c>
      <c r="G493" t="s">
        <v>1869</v>
      </c>
      <c r="H493" t="s">
        <v>295</v>
      </c>
      <c r="J493" t="s">
        <v>295</v>
      </c>
      <c r="K493" t="s">
        <v>295</v>
      </c>
    </row>
    <row r="494" spans="2:11" hidden="1">
      <c r="B494" t="s">
        <v>172</v>
      </c>
      <c r="C494" t="s">
        <v>173</v>
      </c>
      <c r="D494" s="83" t="s">
        <v>1870</v>
      </c>
      <c r="E494" s="83" t="s">
        <v>1871</v>
      </c>
      <c r="F494">
        <v>0.18</v>
      </c>
      <c r="G494" t="s">
        <v>1872</v>
      </c>
      <c r="H494" t="s">
        <v>294</v>
      </c>
      <c r="J494" t="s">
        <v>294</v>
      </c>
      <c r="K494" t="s">
        <v>294</v>
      </c>
    </row>
    <row r="495" spans="2:11">
      <c r="B495" t="s">
        <v>83</v>
      </c>
      <c r="C495" t="s">
        <v>201</v>
      </c>
      <c r="D495" s="83" t="s">
        <v>1873</v>
      </c>
      <c r="E495" s="83" t="s">
        <v>1874</v>
      </c>
      <c r="F495">
        <v>7.97</v>
      </c>
      <c r="G495" t="s">
        <v>1875</v>
      </c>
      <c r="H495" t="s">
        <v>276</v>
      </c>
      <c r="J495" t="s">
        <v>276</v>
      </c>
      <c r="K495" t="s">
        <v>276</v>
      </c>
    </row>
    <row r="496" spans="2:11" hidden="1">
      <c r="B496" t="s">
        <v>195</v>
      </c>
      <c r="C496" t="s">
        <v>196</v>
      </c>
      <c r="D496" s="83" t="s">
        <v>1876</v>
      </c>
      <c r="E496" s="83" t="s">
        <v>1877</v>
      </c>
      <c r="F496">
        <v>15.02</v>
      </c>
      <c r="G496" t="s">
        <v>1878</v>
      </c>
      <c r="H496" t="s">
        <v>276</v>
      </c>
      <c r="J496" t="s">
        <v>276</v>
      </c>
      <c r="K496" t="s">
        <v>276</v>
      </c>
    </row>
    <row r="497" spans="2:11" hidden="1">
      <c r="B497" t="s">
        <v>168</v>
      </c>
      <c r="C497" t="s">
        <v>169</v>
      </c>
      <c r="D497" s="83" t="s">
        <v>1879</v>
      </c>
      <c r="E497" s="83" t="s">
        <v>1880</v>
      </c>
      <c r="F497">
        <v>0.38</v>
      </c>
      <c r="G497" t="s">
        <v>1881</v>
      </c>
      <c r="H497" t="s">
        <v>286</v>
      </c>
      <c r="J497" t="s">
        <v>286</v>
      </c>
      <c r="K497" t="s">
        <v>286</v>
      </c>
    </row>
    <row r="498" spans="2:11" hidden="1">
      <c r="B498" t="s">
        <v>314</v>
      </c>
      <c r="C498" t="s">
        <v>315</v>
      </c>
      <c r="D498" s="83" t="s">
        <v>1882</v>
      </c>
      <c r="E498" s="83" t="s">
        <v>1883</v>
      </c>
      <c r="F498">
        <v>49.8</v>
      </c>
      <c r="G498" t="s">
        <v>1884</v>
      </c>
      <c r="H498" t="s">
        <v>295</v>
      </c>
      <c r="J498" t="s">
        <v>295</v>
      </c>
      <c r="K498" t="s">
        <v>295</v>
      </c>
    </row>
    <row r="499" spans="2:11" hidden="1">
      <c r="B499" t="s">
        <v>170</v>
      </c>
      <c r="C499" t="s">
        <v>171</v>
      </c>
      <c r="D499" s="83" t="s">
        <v>1885</v>
      </c>
      <c r="E499" s="83" t="s">
        <v>1886</v>
      </c>
      <c r="F499">
        <v>1.18</v>
      </c>
      <c r="G499" t="s">
        <v>1887</v>
      </c>
      <c r="H499" t="s">
        <v>274</v>
      </c>
      <c r="J499" t="s">
        <v>274</v>
      </c>
      <c r="K499" t="s">
        <v>274</v>
      </c>
    </row>
    <row r="500" spans="2:11" hidden="1">
      <c r="B500" t="s">
        <v>215</v>
      </c>
      <c r="C500" t="s">
        <v>216</v>
      </c>
      <c r="D500" s="83" t="s">
        <v>1888</v>
      </c>
      <c r="E500" s="83" t="s">
        <v>1889</v>
      </c>
      <c r="F500">
        <v>8.77</v>
      </c>
      <c r="G500" t="s">
        <v>1890</v>
      </c>
      <c r="H500" t="s">
        <v>277</v>
      </c>
      <c r="J500" t="s">
        <v>277</v>
      </c>
      <c r="K500" t="s">
        <v>277</v>
      </c>
    </row>
    <row r="501" spans="2:11" hidden="1">
      <c r="B501" t="s">
        <v>182</v>
      </c>
      <c r="C501" t="s">
        <v>183</v>
      </c>
      <c r="D501" s="83" t="s">
        <v>1891</v>
      </c>
      <c r="E501" s="83" t="s">
        <v>1892</v>
      </c>
      <c r="F501">
        <v>0.43</v>
      </c>
      <c r="G501" t="s">
        <v>1893</v>
      </c>
      <c r="H501" t="s">
        <v>274</v>
      </c>
      <c r="J501" t="s">
        <v>274</v>
      </c>
      <c r="K501" t="s">
        <v>274</v>
      </c>
    </row>
    <row r="502" spans="2:11" hidden="1">
      <c r="B502" t="s">
        <v>219</v>
      </c>
      <c r="C502" t="s">
        <v>183</v>
      </c>
      <c r="D502" s="83" t="s">
        <v>1894</v>
      </c>
      <c r="E502" s="83" t="s">
        <v>1895</v>
      </c>
      <c r="F502">
        <v>1.55</v>
      </c>
      <c r="G502" t="s">
        <v>1896</v>
      </c>
      <c r="H502" t="s">
        <v>295</v>
      </c>
      <c r="J502" t="s">
        <v>295</v>
      </c>
      <c r="K502" t="s">
        <v>295</v>
      </c>
    </row>
    <row r="503" spans="2:11" hidden="1">
      <c r="B503" t="s">
        <v>193</v>
      </c>
      <c r="C503" t="s">
        <v>183</v>
      </c>
      <c r="D503" s="83" t="s">
        <v>1897</v>
      </c>
      <c r="E503" s="83" t="s">
        <v>1898</v>
      </c>
      <c r="F503">
        <v>0.52</v>
      </c>
      <c r="G503" t="s">
        <v>1899</v>
      </c>
      <c r="H503" t="s">
        <v>274</v>
      </c>
      <c r="J503" t="s">
        <v>274</v>
      </c>
      <c r="K503" t="s">
        <v>274</v>
      </c>
    </row>
    <row r="504" spans="2:11">
      <c r="B504" t="s">
        <v>82</v>
      </c>
      <c r="C504" t="s">
        <v>217</v>
      </c>
      <c r="D504" s="83" t="s">
        <v>1900</v>
      </c>
      <c r="E504" s="83" t="s">
        <v>1901</v>
      </c>
      <c r="F504">
        <v>8.17</v>
      </c>
      <c r="G504" t="s">
        <v>1902</v>
      </c>
      <c r="H504" t="s">
        <v>278</v>
      </c>
      <c r="J504" t="s">
        <v>278</v>
      </c>
      <c r="K504" t="s">
        <v>278</v>
      </c>
    </row>
    <row r="505" spans="2:11" hidden="1">
      <c r="B505" t="s">
        <v>170</v>
      </c>
      <c r="C505" t="s">
        <v>171</v>
      </c>
      <c r="D505" s="83" t="s">
        <v>1903</v>
      </c>
      <c r="E505" s="83" t="s">
        <v>1904</v>
      </c>
      <c r="F505">
        <v>0.22</v>
      </c>
      <c r="G505" t="s">
        <v>1905</v>
      </c>
      <c r="H505" t="s">
        <v>277</v>
      </c>
      <c r="J505" t="s">
        <v>277</v>
      </c>
      <c r="K505" t="s">
        <v>277</v>
      </c>
    </row>
    <row r="506" spans="2:11" hidden="1">
      <c r="B506" t="s">
        <v>186</v>
      </c>
      <c r="C506" t="s">
        <v>187</v>
      </c>
      <c r="D506" s="83" t="s">
        <v>1906</v>
      </c>
      <c r="E506" s="83" t="s">
        <v>1907</v>
      </c>
      <c r="F506">
        <v>0.33</v>
      </c>
      <c r="G506" t="s">
        <v>1908</v>
      </c>
      <c r="H506" t="s">
        <v>277</v>
      </c>
      <c r="J506" t="s">
        <v>277</v>
      </c>
      <c r="K506" t="s">
        <v>277</v>
      </c>
    </row>
    <row r="507" spans="2:11" hidden="1">
      <c r="B507" t="s">
        <v>188</v>
      </c>
      <c r="C507" t="s">
        <v>189</v>
      </c>
      <c r="D507" s="83" t="s">
        <v>1909</v>
      </c>
      <c r="E507" s="83" t="s">
        <v>1910</v>
      </c>
      <c r="F507">
        <v>8.17</v>
      </c>
      <c r="G507" t="s">
        <v>1911</v>
      </c>
      <c r="H507" t="s">
        <v>276</v>
      </c>
      <c r="J507" t="s">
        <v>276</v>
      </c>
      <c r="K507" t="s">
        <v>276</v>
      </c>
    </row>
    <row r="508" spans="2:11" hidden="1">
      <c r="B508" t="s">
        <v>184</v>
      </c>
      <c r="C508" t="s">
        <v>185</v>
      </c>
      <c r="D508" s="83" t="s">
        <v>1912</v>
      </c>
      <c r="E508" s="83" t="s">
        <v>1913</v>
      </c>
      <c r="F508">
        <v>15.62</v>
      </c>
      <c r="G508" t="s">
        <v>1914</v>
      </c>
      <c r="H508" t="s">
        <v>295</v>
      </c>
      <c r="J508" t="s">
        <v>295</v>
      </c>
      <c r="K508" t="s">
        <v>295</v>
      </c>
    </row>
    <row r="509" spans="2:11">
      <c r="B509" t="s">
        <v>81</v>
      </c>
      <c r="C509" t="s">
        <v>289</v>
      </c>
      <c r="D509" s="83" t="s">
        <v>1915</v>
      </c>
      <c r="E509" s="83" t="s">
        <v>1916</v>
      </c>
      <c r="F509">
        <v>4.12</v>
      </c>
      <c r="G509" t="s">
        <v>1917</v>
      </c>
      <c r="H509" t="s">
        <v>276</v>
      </c>
      <c r="I509" t="s">
        <v>1918</v>
      </c>
      <c r="J509" t="s">
        <v>276</v>
      </c>
      <c r="K509" t="s">
        <v>276</v>
      </c>
    </row>
    <row r="510" spans="2:11" hidden="1">
      <c r="B510" t="s">
        <v>165</v>
      </c>
      <c r="C510" t="s">
        <v>164</v>
      </c>
      <c r="D510" s="83" t="s">
        <v>1919</v>
      </c>
      <c r="E510" s="83" t="s">
        <v>1920</v>
      </c>
      <c r="F510">
        <v>0.15</v>
      </c>
      <c r="G510" t="s">
        <v>1921</v>
      </c>
      <c r="H510" t="s">
        <v>274</v>
      </c>
      <c r="J510" t="s">
        <v>274</v>
      </c>
      <c r="K510" t="s">
        <v>274</v>
      </c>
    </row>
    <row r="511" spans="2:11">
      <c r="B511" t="s">
        <v>287</v>
      </c>
      <c r="C511" t="s">
        <v>288</v>
      </c>
      <c r="D511" s="83" t="s">
        <v>1922</v>
      </c>
      <c r="E511" s="83" t="s">
        <v>1923</v>
      </c>
      <c r="F511">
        <v>8.1</v>
      </c>
      <c r="G511" t="s">
        <v>1924</v>
      </c>
      <c r="H511" t="s">
        <v>276</v>
      </c>
      <c r="J511" t="s">
        <v>276</v>
      </c>
      <c r="K511" t="s">
        <v>276</v>
      </c>
    </row>
    <row r="512" spans="2:11" hidden="1">
      <c r="B512" t="s">
        <v>212</v>
      </c>
      <c r="C512" t="s">
        <v>213</v>
      </c>
      <c r="D512" s="83" t="s">
        <v>1925</v>
      </c>
      <c r="E512" s="83" t="s">
        <v>1926</v>
      </c>
      <c r="F512">
        <v>16.170000000000002</v>
      </c>
      <c r="G512" t="s">
        <v>1927</v>
      </c>
      <c r="H512" t="s">
        <v>276</v>
      </c>
      <c r="J512" t="s">
        <v>276</v>
      </c>
      <c r="K512" t="s">
        <v>276</v>
      </c>
    </row>
    <row r="513" spans="2:11" hidden="1">
      <c r="B513" t="s">
        <v>326</v>
      </c>
      <c r="C513" t="s">
        <v>327</v>
      </c>
      <c r="D513" s="83" t="s">
        <v>1928</v>
      </c>
      <c r="E513" s="83" t="s">
        <v>1929</v>
      </c>
      <c r="F513">
        <v>2.65</v>
      </c>
      <c r="G513" t="s">
        <v>1930</v>
      </c>
      <c r="H513" t="s">
        <v>286</v>
      </c>
      <c r="J513" t="s">
        <v>286</v>
      </c>
      <c r="K513" t="s">
        <v>286</v>
      </c>
    </row>
    <row r="514" spans="2:11" hidden="1">
      <c r="B514" t="s">
        <v>168</v>
      </c>
      <c r="C514" t="s">
        <v>169</v>
      </c>
      <c r="D514" s="83" t="s">
        <v>1931</v>
      </c>
      <c r="E514" s="83" t="s">
        <v>1932</v>
      </c>
      <c r="F514">
        <v>0.82</v>
      </c>
      <c r="G514" t="s">
        <v>1933</v>
      </c>
      <c r="H514" t="s">
        <v>274</v>
      </c>
      <c r="J514" t="s">
        <v>274</v>
      </c>
      <c r="K514" t="s">
        <v>274</v>
      </c>
    </row>
    <row r="515" spans="2:11" hidden="1">
      <c r="B515" t="s">
        <v>166</v>
      </c>
      <c r="C515" t="s">
        <v>167</v>
      </c>
      <c r="D515" s="83" t="s">
        <v>1934</v>
      </c>
      <c r="E515" s="83" t="s">
        <v>1935</v>
      </c>
      <c r="F515">
        <v>0.22</v>
      </c>
      <c r="G515" t="s">
        <v>1936</v>
      </c>
      <c r="H515" t="s">
        <v>274</v>
      </c>
      <c r="J515" t="s">
        <v>274</v>
      </c>
      <c r="K515" t="s">
        <v>274</v>
      </c>
    </row>
    <row r="516" spans="2:11" hidden="1">
      <c r="B516" t="s">
        <v>163</v>
      </c>
      <c r="C516" t="s">
        <v>164</v>
      </c>
      <c r="D516" s="83" t="s">
        <v>1937</v>
      </c>
      <c r="E516" s="83" t="s">
        <v>1938</v>
      </c>
      <c r="F516">
        <v>0.18</v>
      </c>
      <c r="G516" t="s">
        <v>1939</v>
      </c>
      <c r="H516" t="s">
        <v>274</v>
      </c>
      <c r="J516" t="s">
        <v>274</v>
      </c>
      <c r="K516" t="s">
        <v>274</v>
      </c>
    </row>
    <row r="517" spans="2:11" hidden="1">
      <c r="B517" t="s">
        <v>229</v>
      </c>
      <c r="C517" t="s">
        <v>230</v>
      </c>
      <c r="D517" s="83" t="s">
        <v>1940</v>
      </c>
      <c r="E517" s="83" t="s">
        <v>1941</v>
      </c>
      <c r="F517">
        <v>8.6999999999999993</v>
      </c>
      <c r="G517" t="s">
        <v>1942</v>
      </c>
      <c r="H517" t="s">
        <v>276</v>
      </c>
      <c r="J517" t="s">
        <v>276</v>
      </c>
      <c r="K517" t="s">
        <v>276</v>
      </c>
    </row>
    <row r="518" spans="2:11">
      <c r="B518" t="s">
        <v>81</v>
      </c>
      <c r="C518" t="s">
        <v>289</v>
      </c>
      <c r="D518" s="83" t="s">
        <v>1943</v>
      </c>
      <c r="E518" s="83" t="s">
        <v>1944</v>
      </c>
      <c r="F518">
        <v>19.93</v>
      </c>
      <c r="G518" t="s">
        <v>1945</v>
      </c>
      <c r="H518" t="s">
        <v>295</v>
      </c>
      <c r="J518" t="s">
        <v>295</v>
      </c>
      <c r="K518" t="s">
        <v>295</v>
      </c>
    </row>
    <row r="519" spans="2:11" hidden="1">
      <c r="B519" t="s">
        <v>180</v>
      </c>
      <c r="C519" t="s">
        <v>181</v>
      </c>
      <c r="D519" s="83" t="s">
        <v>1946</v>
      </c>
      <c r="E519" s="83" t="s">
        <v>1947</v>
      </c>
      <c r="F519">
        <v>7.85</v>
      </c>
      <c r="G519" t="s">
        <v>1948</v>
      </c>
      <c r="H519" t="s">
        <v>295</v>
      </c>
      <c r="J519" t="s">
        <v>295</v>
      </c>
      <c r="K519" t="s">
        <v>295</v>
      </c>
    </row>
    <row r="520" spans="2:11" hidden="1">
      <c r="B520" t="s">
        <v>236</v>
      </c>
      <c r="C520" t="s">
        <v>237</v>
      </c>
      <c r="D520" s="83" t="s">
        <v>1949</v>
      </c>
      <c r="E520" s="83" t="s">
        <v>1950</v>
      </c>
      <c r="F520">
        <v>10.63</v>
      </c>
      <c r="G520" t="s">
        <v>1951</v>
      </c>
      <c r="H520" t="s">
        <v>274</v>
      </c>
      <c r="J520" t="s">
        <v>274</v>
      </c>
      <c r="K520" t="s">
        <v>274</v>
      </c>
    </row>
    <row r="521" spans="2:11" hidden="1">
      <c r="B521" t="s">
        <v>247</v>
      </c>
      <c r="C521" t="s">
        <v>248</v>
      </c>
      <c r="D521" s="83" t="s">
        <v>1952</v>
      </c>
      <c r="E521" s="83" t="s">
        <v>1953</v>
      </c>
      <c r="F521">
        <v>11.23</v>
      </c>
      <c r="G521" t="s">
        <v>1954</v>
      </c>
      <c r="H521" t="s">
        <v>295</v>
      </c>
      <c r="J521" t="s">
        <v>295</v>
      </c>
      <c r="K521" t="s">
        <v>295</v>
      </c>
    </row>
    <row r="522" spans="2:11" hidden="1">
      <c r="B522" t="s">
        <v>172</v>
      </c>
      <c r="C522" t="s">
        <v>173</v>
      </c>
      <c r="D522" s="83" t="s">
        <v>1955</v>
      </c>
      <c r="E522" s="83" t="s">
        <v>1956</v>
      </c>
      <c r="F522">
        <v>0.38</v>
      </c>
      <c r="G522" t="s">
        <v>1957</v>
      </c>
      <c r="H522" t="s">
        <v>277</v>
      </c>
      <c r="J522" t="s">
        <v>277</v>
      </c>
      <c r="K522" t="s">
        <v>277</v>
      </c>
    </row>
    <row r="523" spans="2:11" hidden="1">
      <c r="B523" t="s">
        <v>170</v>
      </c>
      <c r="C523" t="s">
        <v>171</v>
      </c>
      <c r="D523" s="83" t="s">
        <v>1958</v>
      </c>
      <c r="E523" s="83" t="s">
        <v>1959</v>
      </c>
      <c r="F523">
        <v>0.4</v>
      </c>
      <c r="G523" t="s">
        <v>1960</v>
      </c>
      <c r="H523" t="s">
        <v>277</v>
      </c>
      <c r="J523" t="s">
        <v>277</v>
      </c>
      <c r="K523" t="s">
        <v>277</v>
      </c>
    </row>
    <row r="524" spans="2:11" hidden="1">
      <c r="B524" t="s">
        <v>186</v>
      </c>
      <c r="C524" t="s">
        <v>187</v>
      </c>
      <c r="D524" s="83" t="s">
        <v>1961</v>
      </c>
      <c r="E524" s="83" t="s">
        <v>1962</v>
      </c>
      <c r="F524">
        <v>0.37</v>
      </c>
      <c r="G524" t="s">
        <v>1963</v>
      </c>
      <c r="H524" t="s">
        <v>277</v>
      </c>
      <c r="J524" t="s">
        <v>277</v>
      </c>
      <c r="K524" t="s">
        <v>277</v>
      </c>
    </row>
    <row r="525" spans="2:11" hidden="1">
      <c r="B525" t="s">
        <v>204</v>
      </c>
      <c r="C525" t="s">
        <v>205</v>
      </c>
      <c r="D525" s="83" t="s">
        <v>1964</v>
      </c>
      <c r="E525" s="83" t="s">
        <v>1965</v>
      </c>
      <c r="F525">
        <v>1.57</v>
      </c>
      <c r="G525" t="s">
        <v>1966</v>
      </c>
      <c r="H525" t="s">
        <v>273</v>
      </c>
      <c r="J525" t="s">
        <v>273</v>
      </c>
      <c r="K525" t="s">
        <v>273</v>
      </c>
    </row>
    <row r="526" spans="2:11" hidden="1">
      <c r="B526" t="s">
        <v>206</v>
      </c>
      <c r="C526" t="s">
        <v>205</v>
      </c>
      <c r="D526" s="83" t="s">
        <v>1967</v>
      </c>
      <c r="E526" s="83" t="s">
        <v>1968</v>
      </c>
      <c r="F526">
        <v>1.57</v>
      </c>
      <c r="G526" t="s">
        <v>1969</v>
      </c>
      <c r="H526" t="s">
        <v>273</v>
      </c>
      <c r="J526" t="s">
        <v>273</v>
      </c>
      <c r="K526" t="s">
        <v>273</v>
      </c>
    </row>
    <row r="527" spans="2:11" hidden="1">
      <c r="B527" t="s">
        <v>214</v>
      </c>
      <c r="C527" t="s">
        <v>205</v>
      </c>
      <c r="D527" s="83" t="s">
        <v>1970</v>
      </c>
      <c r="E527" s="83" t="s">
        <v>1971</v>
      </c>
      <c r="F527">
        <v>1.57</v>
      </c>
      <c r="G527" t="s">
        <v>1972</v>
      </c>
      <c r="H527" t="s">
        <v>273</v>
      </c>
      <c r="J527" t="s">
        <v>273</v>
      </c>
      <c r="K527" t="s">
        <v>273</v>
      </c>
    </row>
    <row r="528" spans="2:11" hidden="1">
      <c r="B528" t="s">
        <v>199</v>
      </c>
      <c r="C528" t="s">
        <v>200</v>
      </c>
      <c r="D528" s="83" t="s">
        <v>1973</v>
      </c>
      <c r="E528" s="83" t="s">
        <v>1974</v>
      </c>
      <c r="F528">
        <v>8.42</v>
      </c>
      <c r="G528" t="s">
        <v>1975</v>
      </c>
      <c r="H528" t="s">
        <v>276</v>
      </c>
      <c r="J528" t="s">
        <v>276</v>
      </c>
      <c r="K528" t="s">
        <v>276</v>
      </c>
    </row>
    <row r="529" spans="2:11" hidden="1">
      <c r="B529" t="s">
        <v>207</v>
      </c>
      <c r="C529" t="s">
        <v>205</v>
      </c>
      <c r="D529" s="83" t="s">
        <v>1976</v>
      </c>
      <c r="E529" s="83" t="s">
        <v>1977</v>
      </c>
      <c r="F529">
        <v>14.43</v>
      </c>
      <c r="G529" t="s">
        <v>1978</v>
      </c>
      <c r="H529" t="s">
        <v>273</v>
      </c>
      <c r="J529" t="s">
        <v>273</v>
      </c>
      <c r="K529" t="s">
        <v>273</v>
      </c>
    </row>
    <row r="530" spans="2:11" hidden="1">
      <c r="B530" t="s">
        <v>251</v>
      </c>
      <c r="C530" t="s">
        <v>252</v>
      </c>
      <c r="D530" s="83" t="s">
        <v>1979</v>
      </c>
      <c r="E530" s="83" t="s">
        <v>1980</v>
      </c>
      <c r="F530">
        <v>2.75</v>
      </c>
      <c r="G530" t="s">
        <v>1981</v>
      </c>
      <c r="H530" t="s">
        <v>286</v>
      </c>
      <c r="J530" t="s">
        <v>286</v>
      </c>
      <c r="K530" t="s">
        <v>286</v>
      </c>
    </row>
    <row r="531" spans="2:11" hidden="1">
      <c r="B531" t="s">
        <v>253</v>
      </c>
      <c r="C531" t="s">
        <v>252</v>
      </c>
      <c r="D531" s="83" t="s">
        <v>1982</v>
      </c>
      <c r="E531" s="83" t="s">
        <v>1983</v>
      </c>
      <c r="F531">
        <v>2.77</v>
      </c>
      <c r="G531" t="s">
        <v>1984</v>
      </c>
      <c r="H531" t="s">
        <v>286</v>
      </c>
      <c r="J531" t="s">
        <v>286</v>
      </c>
      <c r="K531" t="s">
        <v>286</v>
      </c>
    </row>
    <row r="532" spans="2:11" hidden="1">
      <c r="B532" t="s">
        <v>254</v>
      </c>
      <c r="C532" t="s">
        <v>252</v>
      </c>
      <c r="D532" s="83" t="s">
        <v>1985</v>
      </c>
      <c r="E532" s="83" t="s">
        <v>1986</v>
      </c>
      <c r="F532">
        <v>2.77</v>
      </c>
      <c r="G532" t="s">
        <v>1987</v>
      </c>
      <c r="H532" t="s">
        <v>286</v>
      </c>
      <c r="J532" t="s">
        <v>286</v>
      </c>
      <c r="K532" t="s">
        <v>286</v>
      </c>
    </row>
    <row r="533" spans="2:11" hidden="1">
      <c r="B533" t="s">
        <v>218</v>
      </c>
      <c r="C533" t="s">
        <v>177</v>
      </c>
      <c r="D533" s="83" t="s">
        <v>1988</v>
      </c>
      <c r="E533" s="83" t="s">
        <v>1989</v>
      </c>
      <c r="F533">
        <v>8.4700000000000006</v>
      </c>
      <c r="G533" t="s">
        <v>1990</v>
      </c>
      <c r="H533" t="s">
        <v>277</v>
      </c>
      <c r="J533" t="s">
        <v>277</v>
      </c>
      <c r="K533" t="s">
        <v>277</v>
      </c>
    </row>
    <row r="534" spans="2:11" hidden="1">
      <c r="B534" t="s">
        <v>257</v>
      </c>
      <c r="C534" t="s">
        <v>252</v>
      </c>
      <c r="D534" s="83" t="s">
        <v>1991</v>
      </c>
      <c r="E534" s="83" t="s">
        <v>1992</v>
      </c>
      <c r="F534">
        <v>14.78</v>
      </c>
      <c r="G534" t="s">
        <v>1993</v>
      </c>
      <c r="H534" t="s">
        <v>286</v>
      </c>
      <c r="J534" t="s">
        <v>286</v>
      </c>
      <c r="K534" t="s">
        <v>286</v>
      </c>
    </row>
    <row r="535" spans="2:11" hidden="1">
      <c r="B535" t="s">
        <v>168</v>
      </c>
      <c r="C535" t="s">
        <v>169</v>
      </c>
      <c r="D535" s="83" t="s">
        <v>1994</v>
      </c>
      <c r="E535" s="83" t="s">
        <v>1995</v>
      </c>
      <c r="F535">
        <v>0.45</v>
      </c>
      <c r="G535" t="s">
        <v>1996</v>
      </c>
      <c r="H535" t="s">
        <v>295</v>
      </c>
      <c r="J535" t="s">
        <v>295</v>
      </c>
      <c r="K535" t="s">
        <v>295</v>
      </c>
    </row>
    <row r="536" spans="2:11" hidden="1">
      <c r="B536" t="s">
        <v>224</v>
      </c>
      <c r="C536" t="s">
        <v>225</v>
      </c>
      <c r="D536" s="83" t="s">
        <v>1997</v>
      </c>
      <c r="E536" s="83" t="s">
        <v>1998</v>
      </c>
      <c r="F536">
        <v>0.68</v>
      </c>
      <c r="G536" t="s">
        <v>1999</v>
      </c>
      <c r="H536" t="s">
        <v>277</v>
      </c>
      <c r="J536" t="s">
        <v>277</v>
      </c>
      <c r="K536" t="s">
        <v>277</v>
      </c>
    </row>
    <row r="537" spans="2:11">
      <c r="B537" t="s">
        <v>83</v>
      </c>
      <c r="C537" t="s">
        <v>201</v>
      </c>
      <c r="D537" s="83" t="s">
        <v>2000</v>
      </c>
      <c r="E537" s="83" t="s">
        <v>2001</v>
      </c>
      <c r="F537">
        <v>5.73</v>
      </c>
      <c r="G537" t="s">
        <v>2002</v>
      </c>
      <c r="H537" t="s">
        <v>277</v>
      </c>
      <c r="J537" t="s">
        <v>277</v>
      </c>
      <c r="K537" t="s">
        <v>277</v>
      </c>
    </row>
    <row r="538" spans="2:11" hidden="1">
      <c r="B538" t="s">
        <v>240</v>
      </c>
      <c r="C538" t="s">
        <v>241</v>
      </c>
      <c r="D538" s="83" t="s">
        <v>2003</v>
      </c>
      <c r="E538" s="83" t="s">
        <v>2004</v>
      </c>
      <c r="F538">
        <v>7.43</v>
      </c>
      <c r="G538" t="s">
        <v>2005</v>
      </c>
      <c r="H538" t="s">
        <v>286</v>
      </c>
      <c r="J538" t="s">
        <v>286</v>
      </c>
      <c r="K538" t="s">
        <v>286</v>
      </c>
    </row>
    <row r="539" spans="2:11" hidden="1">
      <c r="B539" t="s">
        <v>246</v>
      </c>
      <c r="C539" t="s">
        <v>183</v>
      </c>
      <c r="D539" s="83" t="s">
        <v>2006</v>
      </c>
      <c r="E539" s="83" t="s">
        <v>2007</v>
      </c>
      <c r="F539">
        <v>0.33</v>
      </c>
      <c r="G539" t="s">
        <v>2008</v>
      </c>
      <c r="H539" t="s">
        <v>274</v>
      </c>
      <c r="J539" t="s">
        <v>274</v>
      </c>
      <c r="K539" t="s">
        <v>274</v>
      </c>
    </row>
    <row r="540" spans="2:11" hidden="1">
      <c r="B540" t="s">
        <v>191</v>
      </c>
      <c r="C540" t="s">
        <v>183</v>
      </c>
      <c r="D540" s="83" t="s">
        <v>2009</v>
      </c>
      <c r="E540" s="83" t="s">
        <v>2010</v>
      </c>
      <c r="F540">
        <v>0.33</v>
      </c>
      <c r="G540" t="s">
        <v>2011</v>
      </c>
      <c r="H540" t="s">
        <v>274</v>
      </c>
      <c r="J540" t="s">
        <v>274</v>
      </c>
      <c r="K540" t="s">
        <v>274</v>
      </c>
    </row>
    <row r="541" spans="2:11" hidden="1">
      <c r="B541" t="s">
        <v>186</v>
      </c>
      <c r="C541" t="s">
        <v>187</v>
      </c>
      <c r="D541" s="83" t="s">
        <v>2012</v>
      </c>
      <c r="E541" s="83" t="s">
        <v>2013</v>
      </c>
      <c r="F541">
        <v>0.2</v>
      </c>
      <c r="G541" t="s">
        <v>2014</v>
      </c>
      <c r="H541" t="s">
        <v>273</v>
      </c>
      <c r="J541" t="s">
        <v>273</v>
      </c>
      <c r="K541" t="s">
        <v>273</v>
      </c>
    </row>
    <row r="542" spans="2:11" hidden="1">
      <c r="B542" t="s">
        <v>170</v>
      </c>
      <c r="C542" t="s">
        <v>171</v>
      </c>
      <c r="D542" s="83" t="s">
        <v>2015</v>
      </c>
      <c r="E542" s="83" t="s">
        <v>2016</v>
      </c>
      <c r="F542">
        <v>6.17</v>
      </c>
      <c r="G542" t="s">
        <v>2017</v>
      </c>
      <c r="H542" t="s">
        <v>278</v>
      </c>
      <c r="J542" t="s">
        <v>278</v>
      </c>
      <c r="K542" t="s">
        <v>278</v>
      </c>
    </row>
    <row r="543" spans="2:11" hidden="1">
      <c r="B543" t="s">
        <v>194</v>
      </c>
      <c r="C543" t="s">
        <v>183</v>
      </c>
      <c r="D543" s="83" t="s">
        <v>2018</v>
      </c>
      <c r="E543" s="83" t="s">
        <v>2019</v>
      </c>
      <c r="F543">
        <v>5.23</v>
      </c>
      <c r="G543" t="s">
        <v>2020</v>
      </c>
      <c r="H543" t="s">
        <v>274</v>
      </c>
      <c r="J543" t="s">
        <v>274</v>
      </c>
      <c r="K543" t="s">
        <v>274</v>
      </c>
    </row>
    <row r="544" spans="2:11">
      <c r="B544" t="s">
        <v>82</v>
      </c>
      <c r="C544" t="s">
        <v>217</v>
      </c>
      <c r="D544" s="83" t="s">
        <v>2021</v>
      </c>
      <c r="E544" s="83" t="s">
        <v>2022</v>
      </c>
      <c r="F544">
        <v>6.27</v>
      </c>
      <c r="G544" t="s">
        <v>2023</v>
      </c>
      <c r="H544" t="s">
        <v>286</v>
      </c>
      <c r="J544" t="s">
        <v>286</v>
      </c>
      <c r="K544" t="s">
        <v>286</v>
      </c>
    </row>
    <row r="545" spans="2:11" hidden="1">
      <c r="B545" t="s">
        <v>220</v>
      </c>
      <c r="C545" t="s">
        <v>221</v>
      </c>
      <c r="D545" s="83" t="s">
        <v>2024</v>
      </c>
      <c r="E545" s="83" t="s">
        <v>2025</v>
      </c>
      <c r="F545">
        <v>14.72</v>
      </c>
      <c r="G545" t="s">
        <v>2026</v>
      </c>
      <c r="H545" t="s">
        <v>286</v>
      </c>
      <c r="J545" t="s">
        <v>286</v>
      </c>
      <c r="K545" t="s">
        <v>286</v>
      </c>
    </row>
    <row r="546" spans="2:11" hidden="1">
      <c r="B546" t="s">
        <v>166</v>
      </c>
      <c r="C546" t="s">
        <v>167</v>
      </c>
      <c r="D546" s="83" t="s">
        <v>2027</v>
      </c>
      <c r="E546" s="83" t="s">
        <v>2028</v>
      </c>
      <c r="F546">
        <v>0.98</v>
      </c>
      <c r="G546" t="s">
        <v>2029</v>
      </c>
      <c r="H546" t="s">
        <v>278</v>
      </c>
      <c r="J546" t="s">
        <v>278</v>
      </c>
      <c r="K546" t="s">
        <v>278</v>
      </c>
    </row>
    <row r="547" spans="2:11" hidden="1">
      <c r="B547" t="s">
        <v>163</v>
      </c>
      <c r="C547" t="s">
        <v>164</v>
      </c>
      <c r="D547" s="83" t="s">
        <v>2030</v>
      </c>
      <c r="E547" s="83" t="s">
        <v>2031</v>
      </c>
      <c r="F547">
        <v>0.47</v>
      </c>
      <c r="G547" t="s">
        <v>2032</v>
      </c>
      <c r="H547" t="s">
        <v>278</v>
      </c>
      <c r="J547" t="s">
        <v>278</v>
      </c>
      <c r="K547" t="s">
        <v>278</v>
      </c>
    </row>
    <row r="548" spans="2:11" hidden="1">
      <c r="B548" t="s">
        <v>165</v>
      </c>
      <c r="C548" t="s">
        <v>164</v>
      </c>
      <c r="D548" s="83" t="s">
        <v>2033</v>
      </c>
      <c r="E548" s="83" t="s">
        <v>2034</v>
      </c>
      <c r="F548">
        <v>0.42</v>
      </c>
      <c r="G548" t="s">
        <v>2035</v>
      </c>
      <c r="H548" t="s">
        <v>278</v>
      </c>
      <c r="J548" t="s">
        <v>278</v>
      </c>
      <c r="K548" t="s">
        <v>278</v>
      </c>
    </row>
    <row r="549" spans="2:11" hidden="1">
      <c r="B549" t="s">
        <v>195</v>
      </c>
      <c r="C549" t="s">
        <v>196</v>
      </c>
      <c r="D549" s="83" t="s">
        <v>2036</v>
      </c>
      <c r="E549" s="83" t="s">
        <v>2037</v>
      </c>
      <c r="F549">
        <v>8.57</v>
      </c>
      <c r="G549" t="s">
        <v>2038</v>
      </c>
      <c r="H549" t="s">
        <v>286</v>
      </c>
      <c r="J549" t="s">
        <v>286</v>
      </c>
      <c r="K549" t="s">
        <v>286</v>
      </c>
    </row>
    <row r="550" spans="2:11" hidden="1">
      <c r="B550" t="s">
        <v>172</v>
      </c>
      <c r="C550" t="s">
        <v>173</v>
      </c>
      <c r="D550" s="83" t="s">
        <v>2039</v>
      </c>
      <c r="E550" s="83" t="s">
        <v>2040</v>
      </c>
      <c r="F550">
        <v>0.73</v>
      </c>
      <c r="G550" t="s">
        <v>2041</v>
      </c>
      <c r="H550" t="s">
        <v>274</v>
      </c>
      <c r="J550" t="s">
        <v>274</v>
      </c>
      <c r="K550" t="s">
        <v>274</v>
      </c>
    </row>
    <row r="551" spans="2:11">
      <c r="B551" t="s">
        <v>85</v>
      </c>
      <c r="C551" t="s">
        <v>226</v>
      </c>
      <c r="D551" s="83" t="s">
        <v>2042</v>
      </c>
      <c r="E551" s="83" t="s">
        <v>2043</v>
      </c>
      <c r="F551">
        <v>7.18</v>
      </c>
      <c r="G551" t="s">
        <v>2044</v>
      </c>
      <c r="H551" t="s">
        <v>286</v>
      </c>
      <c r="J551" t="s">
        <v>286</v>
      </c>
      <c r="K551" t="s">
        <v>286</v>
      </c>
    </row>
    <row r="552" spans="2:11" hidden="1">
      <c r="B552" t="s">
        <v>168</v>
      </c>
      <c r="C552" t="s">
        <v>169</v>
      </c>
      <c r="D552" s="83" t="s">
        <v>2045</v>
      </c>
      <c r="E552" s="83" t="s">
        <v>2046</v>
      </c>
      <c r="F552">
        <v>1.17</v>
      </c>
      <c r="G552" t="s">
        <v>2047</v>
      </c>
      <c r="H552" t="s">
        <v>295</v>
      </c>
      <c r="J552" t="s">
        <v>295</v>
      </c>
      <c r="K552" t="s">
        <v>295</v>
      </c>
    </row>
    <row r="553" spans="2:11" hidden="1">
      <c r="B553" t="s">
        <v>184</v>
      </c>
      <c r="C553" t="s">
        <v>185</v>
      </c>
      <c r="D553" s="83" t="s">
        <v>2048</v>
      </c>
      <c r="E553" s="83" t="s">
        <v>2049</v>
      </c>
      <c r="F553">
        <v>8</v>
      </c>
      <c r="G553" t="s">
        <v>2050</v>
      </c>
      <c r="H553" t="s">
        <v>274</v>
      </c>
      <c r="J553" t="s">
        <v>274</v>
      </c>
      <c r="K553" t="s">
        <v>274</v>
      </c>
    </row>
    <row r="554" spans="2:11" hidden="1">
      <c r="B554" t="s">
        <v>170</v>
      </c>
      <c r="C554" t="s">
        <v>171</v>
      </c>
      <c r="D554" s="83" t="s">
        <v>2051</v>
      </c>
      <c r="E554" s="83" t="s">
        <v>2052</v>
      </c>
      <c r="F554">
        <v>0.63</v>
      </c>
      <c r="G554" t="s">
        <v>2053</v>
      </c>
      <c r="H554" t="s">
        <v>295</v>
      </c>
      <c r="J554" t="s">
        <v>295</v>
      </c>
      <c r="K554" t="s">
        <v>295</v>
      </c>
    </row>
    <row r="555" spans="2:11">
      <c r="B555" t="s">
        <v>84</v>
      </c>
      <c r="C555" t="s">
        <v>190</v>
      </c>
      <c r="D555" s="83" t="s">
        <v>2054</v>
      </c>
      <c r="E555" s="83" t="s">
        <v>2055</v>
      </c>
      <c r="F555">
        <v>19.079999999999998</v>
      </c>
      <c r="G555" t="s">
        <v>2056</v>
      </c>
      <c r="H555" t="s">
        <v>286</v>
      </c>
      <c r="J555" t="s">
        <v>286</v>
      </c>
      <c r="K555" t="s">
        <v>286</v>
      </c>
    </row>
    <row r="556" spans="2:11" hidden="1">
      <c r="B556" t="s">
        <v>182</v>
      </c>
      <c r="C556" t="s">
        <v>183</v>
      </c>
      <c r="D556" s="83" t="s">
        <v>2057</v>
      </c>
      <c r="E556" s="83" t="s">
        <v>2058</v>
      </c>
      <c r="F556">
        <v>0.17</v>
      </c>
      <c r="G556" t="s">
        <v>2059</v>
      </c>
      <c r="H556" t="s">
        <v>2060</v>
      </c>
      <c r="J556" t="s">
        <v>2060</v>
      </c>
      <c r="K556" t="s">
        <v>2060</v>
      </c>
    </row>
    <row r="557" spans="2:11" hidden="1">
      <c r="B557" t="s">
        <v>222</v>
      </c>
      <c r="C557" t="s">
        <v>223</v>
      </c>
      <c r="D557" s="83" t="s">
        <v>2061</v>
      </c>
      <c r="E557" s="83" t="s">
        <v>2062</v>
      </c>
      <c r="F557">
        <v>1.33</v>
      </c>
      <c r="G557" t="s">
        <v>2063</v>
      </c>
      <c r="H557" t="s">
        <v>277</v>
      </c>
      <c r="J557" t="s">
        <v>277</v>
      </c>
      <c r="K557" t="s">
        <v>277</v>
      </c>
    </row>
    <row r="558" spans="2:11" hidden="1">
      <c r="B558" t="s">
        <v>249</v>
      </c>
      <c r="C558" t="s">
        <v>250</v>
      </c>
      <c r="D558" s="83" t="s">
        <v>2064</v>
      </c>
      <c r="E558" s="83" t="s">
        <v>2065</v>
      </c>
      <c r="F558">
        <v>1.68</v>
      </c>
      <c r="G558" t="s">
        <v>2066</v>
      </c>
      <c r="H558" t="s">
        <v>277</v>
      </c>
      <c r="J558" t="s">
        <v>277</v>
      </c>
      <c r="K558" t="s">
        <v>277</v>
      </c>
    </row>
    <row r="559" spans="2:11" hidden="1">
      <c r="B559" t="s">
        <v>332</v>
      </c>
      <c r="C559" t="s">
        <v>333</v>
      </c>
      <c r="D559" s="83" t="s">
        <v>2067</v>
      </c>
      <c r="E559" s="83" t="s">
        <v>2068</v>
      </c>
      <c r="F559">
        <v>1.77</v>
      </c>
      <c r="G559" t="s">
        <v>2069</v>
      </c>
      <c r="H559" t="s">
        <v>294</v>
      </c>
      <c r="J559" t="s">
        <v>294</v>
      </c>
      <c r="K559" t="s">
        <v>294</v>
      </c>
    </row>
    <row r="560" spans="2:11" hidden="1">
      <c r="B560" t="s">
        <v>318</v>
      </c>
      <c r="C560" t="s">
        <v>319</v>
      </c>
      <c r="D560" s="83" t="s">
        <v>2070</v>
      </c>
      <c r="E560" s="83" t="s">
        <v>2071</v>
      </c>
      <c r="F560">
        <v>1.9</v>
      </c>
      <c r="G560" t="s">
        <v>2072</v>
      </c>
      <c r="H560" t="s">
        <v>277</v>
      </c>
      <c r="J560" t="s">
        <v>277</v>
      </c>
      <c r="K560" t="s">
        <v>277</v>
      </c>
    </row>
    <row r="561" spans="2:11" hidden="1">
      <c r="B561" t="s">
        <v>180</v>
      </c>
      <c r="C561" t="s">
        <v>181</v>
      </c>
      <c r="D561" s="83" t="s">
        <v>2073</v>
      </c>
      <c r="E561" s="83" t="s">
        <v>2074</v>
      </c>
      <c r="F561">
        <v>6.53</v>
      </c>
      <c r="G561" t="s">
        <v>2075</v>
      </c>
      <c r="H561" t="s">
        <v>277</v>
      </c>
      <c r="J561" t="s">
        <v>277</v>
      </c>
      <c r="K561" t="s">
        <v>277</v>
      </c>
    </row>
    <row r="562" spans="2:11" hidden="1">
      <c r="B562" t="s">
        <v>172</v>
      </c>
      <c r="C562" t="s">
        <v>173</v>
      </c>
      <c r="D562" s="83" t="s">
        <v>2076</v>
      </c>
      <c r="E562" s="83" t="s">
        <v>2077</v>
      </c>
      <c r="F562">
        <v>0.87</v>
      </c>
      <c r="G562" t="s">
        <v>2078</v>
      </c>
      <c r="H562" t="s">
        <v>276</v>
      </c>
      <c r="J562" t="s">
        <v>276</v>
      </c>
      <c r="K562" t="s">
        <v>276</v>
      </c>
    </row>
    <row r="563" spans="2:11" hidden="1">
      <c r="B563" t="s">
        <v>215</v>
      </c>
      <c r="C563" t="s">
        <v>216</v>
      </c>
      <c r="D563" s="83" t="s">
        <v>2079</v>
      </c>
      <c r="E563" s="83" t="s">
        <v>2080</v>
      </c>
      <c r="F563">
        <v>15.67</v>
      </c>
      <c r="G563" t="s">
        <v>2081</v>
      </c>
      <c r="H563" t="s">
        <v>277</v>
      </c>
      <c r="J563" t="s">
        <v>277</v>
      </c>
      <c r="K563" t="s">
        <v>277</v>
      </c>
    </row>
    <row r="564" spans="2:11" hidden="1">
      <c r="B564" t="s">
        <v>188</v>
      </c>
      <c r="C564" t="s">
        <v>189</v>
      </c>
      <c r="D564" s="83" t="s">
        <v>2082</v>
      </c>
      <c r="E564" s="83" t="s">
        <v>2083</v>
      </c>
      <c r="F564">
        <v>11.27</v>
      </c>
      <c r="G564" t="s">
        <v>2084</v>
      </c>
      <c r="H564" t="s">
        <v>286</v>
      </c>
      <c r="J564" t="s">
        <v>286</v>
      </c>
      <c r="K564" t="s">
        <v>286</v>
      </c>
    </row>
    <row r="565" spans="2:11" hidden="1">
      <c r="B565" t="s">
        <v>562</v>
      </c>
      <c r="C565" t="s">
        <v>563</v>
      </c>
      <c r="D565" s="83" t="s">
        <v>2085</v>
      </c>
      <c r="E565" s="83" t="s">
        <v>2086</v>
      </c>
      <c r="F565">
        <v>0.72</v>
      </c>
      <c r="G565" t="s">
        <v>2087</v>
      </c>
      <c r="H565" t="s">
        <v>274</v>
      </c>
      <c r="J565" t="s">
        <v>274</v>
      </c>
      <c r="K565" t="s">
        <v>274</v>
      </c>
    </row>
    <row r="566" spans="2:11" hidden="1">
      <c r="B566" t="s">
        <v>192</v>
      </c>
      <c r="C566" t="s">
        <v>183</v>
      </c>
      <c r="D566" s="83" t="s">
        <v>2088</v>
      </c>
      <c r="E566" s="83" t="s">
        <v>2089</v>
      </c>
      <c r="F566">
        <v>3.48</v>
      </c>
      <c r="G566" t="s">
        <v>2090</v>
      </c>
      <c r="H566" t="s">
        <v>274</v>
      </c>
      <c r="J566" t="s">
        <v>274</v>
      </c>
      <c r="K566" t="s">
        <v>274</v>
      </c>
    </row>
    <row r="567" spans="2:11" hidden="1">
      <c r="B567" t="s">
        <v>661</v>
      </c>
      <c r="C567" t="s">
        <v>183</v>
      </c>
      <c r="D567" s="83" t="s">
        <v>2091</v>
      </c>
      <c r="E567" s="83" t="s">
        <v>2092</v>
      </c>
      <c r="F567">
        <v>0.75</v>
      </c>
      <c r="G567" t="s">
        <v>2093</v>
      </c>
      <c r="H567" t="s">
        <v>274</v>
      </c>
      <c r="J567" t="s">
        <v>274</v>
      </c>
      <c r="K567" t="s">
        <v>274</v>
      </c>
    </row>
    <row r="568" spans="2:11" hidden="1">
      <c r="B568" t="s">
        <v>212</v>
      </c>
      <c r="C568" t="s">
        <v>213</v>
      </c>
      <c r="D568" s="83" t="s">
        <v>2094</v>
      </c>
      <c r="E568" s="83" t="s">
        <v>2095</v>
      </c>
      <c r="F568">
        <v>7.47</v>
      </c>
      <c r="G568" t="s">
        <v>2096</v>
      </c>
      <c r="H568" t="s">
        <v>276</v>
      </c>
      <c r="J568" t="s">
        <v>276</v>
      </c>
      <c r="K568" t="s">
        <v>276</v>
      </c>
    </row>
    <row r="569" spans="2:11" hidden="1">
      <c r="B569" t="s">
        <v>219</v>
      </c>
      <c r="C569" t="s">
        <v>183</v>
      </c>
      <c r="D569" s="83" t="s">
        <v>2097</v>
      </c>
      <c r="E569" s="83" t="s">
        <v>2098</v>
      </c>
      <c r="F569">
        <v>1.1000000000000001</v>
      </c>
      <c r="G569" t="s">
        <v>2099</v>
      </c>
      <c r="H569" t="s">
        <v>274</v>
      </c>
      <c r="J569" t="s">
        <v>274</v>
      </c>
      <c r="K569" t="s">
        <v>274</v>
      </c>
    </row>
    <row r="570" spans="2:11" hidden="1">
      <c r="B570" t="s">
        <v>199</v>
      </c>
      <c r="C570" t="s">
        <v>200</v>
      </c>
      <c r="D570" s="83" t="s">
        <v>2100</v>
      </c>
      <c r="E570" s="83" t="s">
        <v>2101</v>
      </c>
      <c r="F570">
        <v>15.92</v>
      </c>
      <c r="G570" t="s">
        <v>2102</v>
      </c>
      <c r="H570" t="s">
        <v>276</v>
      </c>
      <c r="J570" t="s">
        <v>276</v>
      </c>
      <c r="K570" t="s">
        <v>276</v>
      </c>
    </row>
    <row r="571" spans="2:11" hidden="1">
      <c r="B571" t="s">
        <v>236</v>
      </c>
      <c r="C571" t="s">
        <v>237</v>
      </c>
      <c r="D571" s="83" t="s">
        <v>2103</v>
      </c>
      <c r="E571" s="83" t="s">
        <v>2104</v>
      </c>
      <c r="F571">
        <v>16.5</v>
      </c>
      <c r="G571" t="s">
        <v>2105</v>
      </c>
      <c r="H571" t="s">
        <v>276</v>
      </c>
      <c r="J571" t="s">
        <v>276</v>
      </c>
      <c r="K571" t="s">
        <v>276</v>
      </c>
    </row>
    <row r="572" spans="2:11" hidden="1">
      <c r="B572" t="s">
        <v>168</v>
      </c>
      <c r="C572" t="s">
        <v>169</v>
      </c>
      <c r="D572" s="83" t="s">
        <v>2106</v>
      </c>
      <c r="E572" s="83" t="s">
        <v>2107</v>
      </c>
      <c r="F572">
        <v>1.97</v>
      </c>
      <c r="G572" t="s">
        <v>2108</v>
      </c>
      <c r="H572" t="s">
        <v>294</v>
      </c>
      <c r="J572" t="s">
        <v>294</v>
      </c>
      <c r="K572" t="s">
        <v>294</v>
      </c>
    </row>
    <row r="573" spans="2:11" hidden="1">
      <c r="B573" t="s">
        <v>170</v>
      </c>
      <c r="C573" t="s">
        <v>171</v>
      </c>
      <c r="D573" s="83" t="s">
        <v>2109</v>
      </c>
      <c r="E573" s="83" t="s">
        <v>2110</v>
      </c>
      <c r="F573">
        <v>1.3</v>
      </c>
      <c r="G573" t="s">
        <v>2111</v>
      </c>
      <c r="H573" t="s">
        <v>294</v>
      </c>
      <c r="J573" t="s">
        <v>294</v>
      </c>
      <c r="K573" t="s">
        <v>294</v>
      </c>
    </row>
    <row r="574" spans="2:11" hidden="1">
      <c r="B574" t="s">
        <v>163</v>
      </c>
      <c r="C574" t="s">
        <v>164</v>
      </c>
      <c r="D574" s="83" t="s">
        <v>2112</v>
      </c>
      <c r="E574" s="83" t="s">
        <v>2113</v>
      </c>
      <c r="F574">
        <v>1.1299999999999999</v>
      </c>
      <c r="G574" t="s">
        <v>2114</v>
      </c>
      <c r="H574" t="s">
        <v>425</v>
      </c>
      <c r="J574" t="s">
        <v>425</v>
      </c>
      <c r="K574" t="s">
        <v>425</v>
      </c>
    </row>
    <row r="575" spans="2:11" hidden="1">
      <c r="B575" t="s">
        <v>165</v>
      </c>
      <c r="C575" t="s">
        <v>164</v>
      </c>
      <c r="D575" s="83" t="s">
        <v>2115</v>
      </c>
      <c r="E575" s="83" t="s">
        <v>2116</v>
      </c>
      <c r="F575">
        <v>1.1200000000000001</v>
      </c>
      <c r="G575" t="s">
        <v>2117</v>
      </c>
      <c r="H575" t="s">
        <v>425</v>
      </c>
      <c r="J575" t="s">
        <v>425</v>
      </c>
      <c r="K575" t="s">
        <v>425</v>
      </c>
    </row>
    <row r="576" spans="2:11" hidden="1">
      <c r="B576" t="s">
        <v>166</v>
      </c>
      <c r="C576" t="s">
        <v>167</v>
      </c>
      <c r="D576" s="83" t="s">
        <v>2118</v>
      </c>
      <c r="E576" s="83" t="s">
        <v>2119</v>
      </c>
      <c r="F576">
        <v>1.1000000000000001</v>
      </c>
      <c r="G576" t="s">
        <v>2120</v>
      </c>
      <c r="H576" t="s">
        <v>425</v>
      </c>
      <c r="J576" t="s">
        <v>425</v>
      </c>
      <c r="K576" t="s">
        <v>425</v>
      </c>
    </row>
    <row r="577" spans="2:11" hidden="1">
      <c r="B577" t="s">
        <v>186</v>
      </c>
      <c r="C577" t="s">
        <v>187</v>
      </c>
      <c r="D577" s="83" t="s">
        <v>2121</v>
      </c>
      <c r="E577" s="83" t="s">
        <v>2122</v>
      </c>
      <c r="F577">
        <v>0.63</v>
      </c>
      <c r="G577" t="s">
        <v>2123</v>
      </c>
      <c r="H577" t="s">
        <v>2060</v>
      </c>
      <c r="J577" t="s">
        <v>2060</v>
      </c>
      <c r="K577" t="s">
        <v>2060</v>
      </c>
    </row>
    <row r="578" spans="2:11" hidden="1">
      <c r="B578" t="s">
        <v>218</v>
      </c>
      <c r="C578" t="s">
        <v>177</v>
      </c>
      <c r="D578" s="83" t="s">
        <v>2124</v>
      </c>
      <c r="E578" s="83" t="s">
        <v>2125</v>
      </c>
      <c r="F578">
        <v>6.48</v>
      </c>
      <c r="G578" t="s">
        <v>2126</v>
      </c>
      <c r="H578" t="s">
        <v>2060</v>
      </c>
      <c r="J578" t="s">
        <v>2060</v>
      </c>
      <c r="K578" t="s">
        <v>2060</v>
      </c>
    </row>
    <row r="579" spans="2:11" hidden="1">
      <c r="B579" t="s">
        <v>257</v>
      </c>
      <c r="C579" t="s">
        <v>252</v>
      </c>
      <c r="D579" s="83" t="s">
        <v>2127</v>
      </c>
      <c r="E579" s="83" t="s">
        <v>2128</v>
      </c>
      <c r="F579">
        <v>1.22</v>
      </c>
      <c r="G579" t="s">
        <v>2129</v>
      </c>
      <c r="H579" t="s">
        <v>277</v>
      </c>
      <c r="J579" t="s">
        <v>277</v>
      </c>
      <c r="K579" t="s">
        <v>277</v>
      </c>
    </row>
    <row r="580" spans="2:11" hidden="1">
      <c r="B580" t="s">
        <v>251</v>
      </c>
      <c r="C580" t="s">
        <v>252</v>
      </c>
      <c r="D580" s="83" t="s">
        <v>2130</v>
      </c>
      <c r="E580" s="83" t="s">
        <v>2131</v>
      </c>
      <c r="F580">
        <v>1.22</v>
      </c>
      <c r="G580" t="s">
        <v>2132</v>
      </c>
      <c r="H580" t="s">
        <v>277</v>
      </c>
      <c r="J580" t="s">
        <v>277</v>
      </c>
      <c r="K580" t="s">
        <v>277</v>
      </c>
    </row>
    <row r="581" spans="2:11" hidden="1">
      <c r="B581" t="s">
        <v>253</v>
      </c>
      <c r="C581" t="s">
        <v>252</v>
      </c>
      <c r="D581" s="83" t="s">
        <v>2133</v>
      </c>
      <c r="E581" s="83" t="s">
        <v>2134</v>
      </c>
      <c r="F581">
        <v>1.2</v>
      </c>
      <c r="G581" t="s">
        <v>2135</v>
      </c>
      <c r="H581" t="s">
        <v>277</v>
      </c>
      <c r="J581" t="s">
        <v>277</v>
      </c>
      <c r="K581" t="s">
        <v>277</v>
      </c>
    </row>
    <row r="582" spans="2:11" hidden="1">
      <c r="B582" t="s">
        <v>254</v>
      </c>
      <c r="C582" t="s">
        <v>252</v>
      </c>
      <c r="D582" s="83" t="s">
        <v>2136</v>
      </c>
      <c r="E582" s="83" t="s">
        <v>2137</v>
      </c>
      <c r="F582">
        <v>1.18</v>
      </c>
      <c r="G582" t="s">
        <v>2138</v>
      </c>
      <c r="H582" t="s">
        <v>277</v>
      </c>
      <c r="J582" t="s">
        <v>277</v>
      </c>
      <c r="K582" t="s">
        <v>277</v>
      </c>
    </row>
    <row r="583" spans="2:11" hidden="1">
      <c r="B583" t="s">
        <v>261</v>
      </c>
      <c r="C583" t="s">
        <v>262</v>
      </c>
      <c r="D583" s="83" t="s">
        <v>2139</v>
      </c>
      <c r="E583" s="83" t="s">
        <v>2140</v>
      </c>
      <c r="F583">
        <v>2.08</v>
      </c>
      <c r="G583" t="s">
        <v>2141</v>
      </c>
      <c r="H583" t="s">
        <v>294</v>
      </c>
      <c r="J583" t="s">
        <v>294</v>
      </c>
      <c r="K583" t="s">
        <v>294</v>
      </c>
    </row>
    <row r="584" spans="2:11" hidden="1">
      <c r="B584" t="s">
        <v>178</v>
      </c>
      <c r="C584" t="s">
        <v>179</v>
      </c>
      <c r="D584" s="83" t="s">
        <v>2142</v>
      </c>
      <c r="E584" s="83" t="s">
        <v>2143</v>
      </c>
      <c r="F584">
        <v>2.0499999999999998</v>
      </c>
      <c r="G584" t="s">
        <v>2144</v>
      </c>
      <c r="H584" t="s">
        <v>286</v>
      </c>
      <c r="J584" t="s">
        <v>286</v>
      </c>
      <c r="K584" t="s">
        <v>286</v>
      </c>
    </row>
    <row r="585" spans="2:11" hidden="1">
      <c r="B585" t="s">
        <v>310</v>
      </c>
      <c r="C585" t="s">
        <v>311</v>
      </c>
      <c r="D585" s="83" t="s">
        <v>2145</v>
      </c>
      <c r="E585" s="83" t="s">
        <v>2146</v>
      </c>
      <c r="F585">
        <v>2.27</v>
      </c>
      <c r="G585" t="s">
        <v>2147</v>
      </c>
      <c r="H585" t="s">
        <v>286</v>
      </c>
      <c r="J585" t="s">
        <v>286</v>
      </c>
      <c r="K585" t="s">
        <v>286</v>
      </c>
    </row>
    <row r="586" spans="2:11">
      <c r="B586" t="s">
        <v>82</v>
      </c>
      <c r="C586" t="s">
        <v>217</v>
      </c>
      <c r="D586" s="83" t="s">
        <v>2148</v>
      </c>
      <c r="E586" s="83" t="s">
        <v>2149</v>
      </c>
      <c r="F586">
        <v>23.08</v>
      </c>
      <c r="G586" t="s">
        <v>2150</v>
      </c>
      <c r="H586" t="s">
        <v>286</v>
      </c>
      <c r="I586" t="s">
        <v>2151</v>
      </c>
      <c r="J586" t="s">
        <v>286</v>
      </c>
      <c r="K586" t="s">
        <v>286</v>
      </c>
    </row>
    <row r="587" spans="2:11">
      <c r="B587" t="s">
        <v>83</v>
      </c>
      <c r="C587" t="s">
        <v>201</v>
      </c>
      <c r="D587" s="83" t="s">
        <v>2152</v>
      </c>
      <c r="E587" s="83" t="s">
        <v>2153</v>
      </c>
      <c r="F587">
        <v>23.15</v>
      </c>
      <c r="G587" t="s">
        <v>2154</v>
      </c>
      <c r="H587" t="s">
        <v>276</v>
      </c>
      <c r="I587" t="s">
        <v>2155</v>
      </c>
      <c r="J587" t="s">
        <v>276</v>
      </c>
      <c r="K587" t="s">
        <v>276</v>
      </c>
    </row>
    <row r="588" spans="2:11" hidden="1">
      <c r="B588" t="s">
        <v>212</v>
      </c>
      <c r="C588" t="s">
        <v>213</v>
      </c>
      <c r="D588" s="83" t="s">
        <v>2156</v>
      </c>
      <c r="E588" s="83" t="s">
        <v>2157</v>
      </c>
      <c r="F588">
        <v>6.05</v>
      </c>
      <c r="G588" t="s">
        <v>2158</v>
      </c>
      <c r="H588" t="s">
        <v>276</v>
      </c>
      <c r="J588" t="s">
        <v>276</v>
      </c>
      <c r="K588" t="s">
        <v>276</v>
      </c>
    </row>
    <row r="589" spans="2:11" hidden="1">
      <c r="B589" t="s">
        <v>269</v>
      </c>
      <c r="C589" t="s">
        <v>270</v>
      </c>
      <c r="D589" s="83" t="s">
        <v>2159</v>
      </c>
      <c r="E589" s="83" t="s">
        <v>2160</v>
      </c>
      <c r="F589">
        <v>1.08</v>
      </c>
      <c r="G589" t="s">
        <v>2161</v>
      </c>
      <c r="H589" t="s">
        <v>295</v>
      </c>
      <c r="J589" t="s">
        <v>295</v>
      </c>
      <c r="K589" t="s">
        <v>295</v>
      </c>
    </row>
    <row r="590" spans="2:11" hidden="1">
      <c r="B590" t="s">
        <v>271</v>
      </c>
      <c r="C590" t="s">
        <v>272</v>
      </c>
      <c r="D590" s="83" t="s">
        <v>2162</v>
      </c>
      <c r="E590" s="83" t="s">
        <v>2163</v>
      </c>
      <c r="F590">
        <v>1.05</v>
      </c>
      <c r="G590" t="s">
        <v>2164</v>
      </c>
      <c r="H590" t="s">
        <v>295</v>
      </c>
      <c r="J590" t="s">
        <v>295</v>
      </c>
      <c r="K590" t="s">
        <v>295</v>
      </c>
    </row>
    <row r="591" spans="2:11" hidden="1">
      <c r="B591" t="s">
        <v>208</v>
      </c>
      <c r="C591" t="s">
        <v>209</v>
      </c>
      <c r="D591" s="83" t="s">
        <v>2165</v>
      </c>
      <c r="E591" s="83" t="s">
        <v>2166</v>
      </c>
      <c r="F591">
        <v>2.25</v>
      </c>
      <c r="G591" t="s">
        <v>2167</v>
      </c>
      <c r="H591" t="s">
        <v>295</v>
      </c>
      <c r="J591" t="s">
        <v>295</v>
      </c>
      <c r="K591" t="s">
        <v>295</v>
      </c>
    </row>
    <row r="592" spans="2:11" hidden="1">
      <c r="B592" t="s">
        <v>166</v>
      </c>
      <c r="C592" t="s">
        <v>167</v>
      </c>
      <c r="D592" s="83" t="s">
        <v>2168</v>
      </c>
      <c r="E592" s="83" t="s">
        <v>2169</v>
      </c>
      <c r="F592">
        <v>0.17</v>
      </c>
      <c r="G592" t="s">
        <v>2170</v>
      </c>
      <c r="H592" t="s">
        <v>295</v>
      </c>
      <c r="J592" t="s">
        <v>295</v>
      </c>
      <c r="K592" t="s">
        <v>295</v>
      </c>
    </row>
    <row r="593" spans="2:11" hidden="1">
      <c r="B593" t="s">
        <v>233</v>
      </c>
      <c r="C593" t="s">
        <v>234</v>
      </c>
      <c r="D593" s="83" t="s">
        <v>2171</v>
      </c>
      <c r="E593" s="83" t="s">
        <v>2172</v>
      </c>
      <c r="F593">
        <v>1.18</v>
      </c>
      <c r="G593" t="s">
        <v>2173</v>
      </c>
      <c r="H593" t="s">
        <v>295</v>
      </c>
      <c r="J593" t="s">
        <v>295</v>
      </c>
      <c r="K593" t="s">
        <v>295</v>
      </c>
    </row>
    <row r="594" spans="2:11" hidden="1">
      <c r="B594" t="s">
        <v>186</v>
      </c>
      <c r="C594" t="s">
        <v>187</v>
      </c>
      <c r="D594" s="83" t="s">
        <v>2174</v>
      </c>
      <c r="E594" s="83" t="s">
        <v>2175</v>
      </c>
      <c r="F594">
        <v>0.32</v>
      </c>
      <c r="G594" t="s">
        <v>2176</v>
      </c>
      <c r="H594" t="s">
        <v>2060</v>
      </c>
      <c r="J594" t="s">
        <v>2060</v>
      </c>
      <c r="K594" t="s">
        <v>2060</v>
      </c>
    </row>
    <row r="595" spans="2:11" hidden="1">
      <c r="B595" t="s">
        <v>170</v>
      </c>
      <c r="C595" t="s">
        <v>171</v>
      </c>
      <c r="D595" s="83" t="s">
        <v>2177</v>
      </c>
      <c r="E595" s="83" t="s">
        <v>2178</v>
      </c>
      <c r="F595">
        <v>0.42</v>
      </c>
      <c r="G595" t="s">
        <v>2179</v>
      </c>
      <c r="H595" t="s">
        <v>2060</v>
      </c>
      <c r="J595" t="s">
        <v>2060</v>
      </c>
      <c r="K595" t="s">
        <v>2060</v>
      </c>
    </row>
    <row r="596" spans="2:11" hidden="1">
      <c r="B596" t="s">
        <v>168</v>
      </c>
      <c r="C596" t="s">
        <v>169</v>
      </c>
      <c r="D596" s="83" t="s">
        <v>2180</v>
      </c>
      <c r="E596" s="83" t="s">
        <v>2181</v>
      </c>
      <c r="F596">
        <v>0.38</v>
      </c>
      <c r="G596" t="s">
        <v>2182</v>
      </c>
      <c r="H596" t="s">
        <v>2060</v>
      </c>
      <c r="J596" t="s">
        <v>2060</v>
      </c>
      <c r="K596" t="s">
        <v>2060</v>
      </c>
    </row>
    <row r="597" spans="2:11" hidden="1">
      <c r="B597" t="s">
        <v>174</v>
      </c>
      <c r="C597" t="s">
        <v>175</v>
      </c>
      <c r="D597" s="83" t="s">
        <v>2183</v>
      </c>
      <c r="E597" s="83" t="s">
        <v>2184</v>
      </c>
      <c r="F597">
        <v>1.07</v>
      </c>
      <c r="G597" t="s">
        <v>2185</v>
      </c>
      <c r="H597" t="s">
        <v>295</v>
      </c>
      <c r="J597" t="s">
        <v>295</v>
      </c>
      <c r="K597" t="s">
        <v>295</v>
      </c>
    </row>
    <row r="598" spans="2:11" hidden="1">
      <c r="B598" t="s">
        <v>176</v>
      </c>
      <c r="C598" t="s">
        <v>177</v>
      </c>
      <c r="D598" s="83" t="s">
        <v>2186</v>
      </c>
      <c r="E598" s="83" t="s">
        <v>2187</v>
      </c>
      <c r="F598">
        <v>1.07</v>
      </c>
      <c r="G598" t="s">
        <v>2188</v>
      </c>
      <c r="H598" t="s">
        <v>295</v>
      </c>
      <c r="J598" t="s">
        <v>295</v>
      </c>
      <c r="K598" t="s">
        <v>295</v>
      </c>
    </row>
    <row r="599" spans="2:11" hidden="1">
      <c r="B599" t="s">
        <v>235</v>
      </c>
      <c r="C599" t="s">
        <v>234</v>
      </c>
      <c r="D599" s="83" t="s">
        <v>2189</v>
      </c>
      <c r="E599" s="83" t="s">
        <v>2190</v>
      </c>
      <c r="F599">
        <v>1.05</v>
      </c>
      <c r="G599" t="s">
        <v>2191</v>
      </c>
      <c r="H599" t="s">
        <v>295</v>
      </c>
      <c r="J599" t="s">
        <v>295</v>
      </c>
      <c r="K599" t="s">
        <v>295</v>
      </c>
    </row>
    <row r="600" spans="2:11" hidden="1">
      <c r="B600" t="s">
        <v>210</v>
      </c>
      <c r="C600" t="s">
        <v>211</v>
      </c>
      <c r="D600" s="83" t="s">
        <v>2192</v>
      </c>
      <c r="E600" s="83" t="s">
        <v>2193</v>
      </c>
      <c r="F600">
        <v>1.07</v>
      </c>
      <c r="G600" t="s">
        <v>2194</v>
      </c>
      <c r="H600" t="s">
        <v>295</v>
      </c>
      <c r="J600" t="s">
        <v>295</v>
      </c>
      <c r="K600" t="s">
        <v>295</v>
      </c>
    </row>
    <row r="601" spans="2:11" hidden="1">
      <c r="B601" t="s">
        <v>163</v>
      </c>
      <c r="C601" t="s">
        <v>164</v>
      </c>
      <c r="D601" s="83" t="s">
        <v>2195</v>
      </c>
      <c r="E601" s="83" t="s">
        <v>2196</v>
      </c>
      <c r="F601">
        <v>0.35</v>
      </c>
      <c r="G601" t="s">
        <v>2197</v>
      </c>
      <c r="H601" t="s">
        <v>295</v>
      </c>
      <c r="J601" t="s">
        <v>295</v>
      </c>
      <c r="K601" t="s">
        <v>295</v>
      </c>
    </row>
    <row r="602" spans="2:11" hidden="1">
      <c r="B602" t="s">
        <v>165</v>
      </c>
      <c r="C602" t="s">
        <v>164</v>
      </c>
      <c r="D602" s="83" t="s">
        <v>2198</v>
      </c>
      <c r="E602" s="83" t="s">
        <v>2199</v>
      </c>
      <c r="F602">
        <v>0.37</v>
      </c>
      <c r="G602" t="s">
        <v>2200</v>
      </c>
      <c r="H602" t="s">
        <v>295</v>
      </c>
      <c r="J602" t="s">
        <v>295</v>
      </c>
      <c r="K602" t="s">
        <v>295</v>
      </c>
    </row>
    <row r="603" spans="2:11">
      <c r="B603" t="s">
        <v>82</v>
      </c>
      <c r="C603" t="s">
        <v>217</v>
      </c>
      <c r="D603" s="83" t="s">
        <v>2201</v>
      </c>
      <c r="E603" s="83" t="s">
        <v>2202</v>
      </c>
      <c r="F603">
        <v>79.27</v>
      </c>
      <c r="G603" t="s">
        <v>2203</v>
      </c>
      <c r="H603" t="s">
        <v>276</v>
      </c>
      <c r="J603" t="s">
        <v>276</v>
      </c>
      <c r="K603" t="s">
        <v>276</v>
      </c>
    </row>
    <row r="604" spans="2:11" hidden="1">
      <c r="B604" t="s">
        <v>195</v>
      </c>
      <c r="C604" t="s">
        <v>196</v>
      </c>
      <c r="D604" s="83" t="s">
        <v>2204</v>
      </c>
      <c r="E604" s="83" t="s">
        <v>2205</v>
      </c>
      <c r="F604">
        <v>86.1</v>
      </c>
      <c r="G604" t="s">
        <v>2206</v>
      </c>
      <c r="H604" t="s">
        <v>276</v>
      </c>
      <c r="I604" t="s">
        <v>2207</v>
      </c>
      <c r="J604" t="s">
        <v>276</v>
      </c>
      <c r="K604" t="s">
        <v>276</v>
      </c>
    </row>
    <row r="605" spans="2:11" hidden="1">
      <c r="B605" t="s">
        <v>184</v>
      </c>
      <c r="C605" t="s">
        <v>185</v>
      </c>
      <c r="D605" s="83" t="s">
        <v>2208</v>
      </c>
      <c r="E605" s="83" t="s">
        <v>2209</v>
      </c>
      <c r="F605">
        <v>87.92</v>
      </c>
      <c r="G605" t="s">
        <v>2210</v>
      </c>
      <c r="H605" t="s">
        <v>276</v>
      </c>
      <c r="J605" t="s">
        <v>276</v>
      </c>
      <c r="K605" t="s">
        <v>276</v>
      </c>
    </row>
    <row r="606" spans="2:11" hidden="1">
      <c r="B606" t="s">
        <v>238</v>
      </c>
      <c r="C606" t="s">
        <v>239</v>
      </c>
      <c r="D606" s="83" t="s">
        <v>2211</v>
      </c>
      <c r="E606" s="83" t="s">
        <v>2212</v>
      </c>
      <c r="F606">
        <v>83.47</v>
      </c>
      <c r="G606" t="s">
        <v>2213</v>
      </c>
      <c r="I606" t="s">
        <v>275</v>
      </c>
      <c r="J606" t="s">
        <v>277</v>
      </c>
      <c r="K606" t="s">
        <v>277</v>
      </c>
    </row>
    <row r="607" spans="2:11" hidden="1">
      <c r="B607" t="s">
        <v>246</v>
      </c>
      <c r="C607" t="s">
        <v>183</v>
      </c>
      <c r="D607" s="83" t="s">
        <v>2214</v>
      </c>
      <c r="E607" s="83" t="s">
        <v>2215</v>
      </c>
      <c r="F607">
        <v>0.62</v>
      </c>
      <c r="G607" t="s">
        <v>2216</v>
      </c>
      <c r="H607" t="s">
        <v>274</v>
      </c>
      <c r="J607" t="s">
        <v>274</v>
      </c>
      <c r="K607" t="s">
        <v>274</v>
      </c>
    </row>
    <row r="608" spans="2:11" hidden="1">
      <c r="B608" t="s">
        <v>172</v>
      </c>
      <c r="C608" t="s">
        <v>173</v>
      </c>
      <c r="D608" s="83" t="s">
        <v>2217</v>
      </c>
      <c r="E608" s="83" t="s">
        <v>2218</v>
      </c>
      <c r="F608">
        <v>0.27</v>
      </c>
      <c r="G608" t="s">
        <v>2219</v>
      </c>
      <c r="H608" t="s">
        <v>286</v>
      </c>
      <c r="J608" t="s">
        <v>286</v>
      </c>
      <c r="K608" t="s">
        <v>286</v>
      </c>
    </row>
    <row r="609" spans="2:11" hidden="1">
      <c r="B609" t="s">
        <v>182</v>
      </c>
      <c r="C609" t="s">
        <v>183</v>
      </c>
      <c r="D609" s="83" t="s">
        <v>2220</v>
      </c>
      <c r="E609" s="83" t="s">
        <v>2221</v>
      </c>
      <c r="F609">
        <v>5.27</v>
      </c>
      <c r="G609" t="s">
        <v>2222</v>
      </c>
      <c r="H609" t="s">
        <v>274</v>
      </c>
      <c r="J609" t="s">
        <v>274</v>
      </c>
      <c r="K609" t="s">
        <v>274</v>
      </c>
    </row>
    <row r="610" spans="2:11" hidden="1">
      <c r="B610" t="s">
        <v>193</v>
      </c>
      <c r="C610" t="s">
        <v>183</v>
      </c>
      <c r="D610" s="83" t="s">
        <v>2223</v>
      </c>
      <c r="E610" s="83" t="s">
        <v>2224</v>
      </c>
      <c r="F610">
        <v>2.5299999999999998</v>
      </c>
      <c r="G610" t="s">
        <v>2225</v>
      </c>
      <c r="H610" t="s">
        <v>274</v>
      </c>
      <c r="J610" t="s">
        <v>274</v>
      </c>
      <c r="K610" t="s">
        <v>274</v>
      </c>
    </row>
    <row r="611" spans="2:11" hidden="1">
      <c r="B611" t="s">
        <v>191</v>
      </c>
      <c r="C611" t="s">
        <v>183</v>
      </c>
      <c r="D611" s="83" t="s">
        <v>2226</v>
      </c>
      <c r="E611" s="83" t="s">
        <v>2227</v>
      </c>
      <c r="F611">
        <v>1.88</v>
      </c>
      <c r="G611" t="s">
        <v>2228</v>
      </c>
      <c r="H611" t="s">
        <v>274</v>
      </c>
      <c r="J611" t="s">
        <v>274</v>
      </c>
      <c r="K611" t="s">
        <v>274</v>
      </c>
    </row>
    <row r="612" spans="2:11" hidden="1">
      <c r="B612" t="s">
        <v>219</v>
      </c>
      <c r="C612" t="s">
        <v>183</v>
      </c>
      <c r="D612" s="83" t="s">
        <v>2229</v>
      </c>
      <c r="E612" s="83" t="s">
        <v>2230</v>
      </c>
      <c r="F612">
        <v>5.27</v>
      </c>
      <c r="G612" t="s">
        <v>2231</v>
      </c>
      <c r="H612" t="s">
        <v>274</v>
      </c>
      <c r="J612" t="s">
        <v>274</v>
      </c>
      <c r="K612" t="s">
        <v>274</v>
      </c>
    </row>
    <row r="613" spans="2:11">
      <c r="B613" t="s">
        <v>287</v>
      </c>
      <c r="C613" t="s">
        <v>288</v>
      </c>
      <c r="D613" s="83" t="s">
        <v>2232</v>
      </c>
      <c r="E613" s="83" t="s">
        <v>2233</v>
      </c>
      <c r="F613">
        <v>14</v>
      </c>
      <c r="G613" t="s">
        <v>2234</v>
      </c>
      <c r="H613" t="s">
        <v>286</v>
      </c>
      <c r="J613" t="s">
        <v>286</v>
      </c>
      <c r="K613" t="s">
        <v>286</v>
      </c>
    </row>
    <row r="614" spans="2:11" hidden="1">
      <c r="B614" t="s">
        <v>180</v>
      </c>
      <c r="C614" t="s">
        <v>181</v>
      </c>
      <c r="D614" s="83" t="s">
        <v>2235</v>
      </c>
      <c r="E614" s="83" t="s">
        <v>2236</v>
      </c>
      <c r="F614">
        <v>15.52</v>
      </c>
      <c r="G614" t="s">
        <v>2237</v>
      </c>
      <c r="H614" t="s">
        <v>295</v>
      </c>
      <c r="J614" t="s">
        <v>295</v>
      </c>
      <c r="K614" t="s">
        <v>295</v>
      </c>
    </row>
    <row r="615" spans="2:11" hidden="1">
      <c r="B615" t="s">
        <v>238</v>
      </c>
      <c r="C615" t="s">
        <v>239</v>
      </c>
      <c r="D615" s="83" t="s">
        <v>2238</v>
      </c>
      <c r="E615" s="83" t="s">
        <v>2239</v>
      </c>
      <c r="F615">
        <v>11.95</v>
      </c>
      <c r="G615" t="s">
        <v>2213</v>
      </c>
      <c r="H615" t="s">
        <v>277</v>
      </c>
      <c r="I615" t="s">
        <v>2240</v>
      </c>
      <c r="J615" t="s">
        <v>277</v>
      </c>
      <c r="K615" t="s">
        <v>277</v>
      </c>
    </row>
    <row r="616" spans="2:11" hidden="1">
      <c r="B616" t="s">
        <v>194</v>
      </c>
      <c r="C616" t="s">
        <v>183</v>
      </c>
      <c r="D616" s="83" t="s">
        <v>2241</v>
      </c>
      <c r="E616" s="83" t="s">
        <v>2242</v>
      </c>
      <c r="F616">
        <v>3.13</v>
      </c>
      <c r="G616" t="s">
        <v>2243</v>
      </c>
      <c r="H616" t="s">
        <v>2060</v>
      </c>
      <c r="J616" t="s">
        <v>2060</v>
      </c>
      <c r="K616" t="s">
        <v>2060</v>
      </c>
    </row>
    <row r="617" spans="2:11" hidden="1">
      <c r="B617" t="s">
        <v>229</v>
      </c>
      <c r="C617" t="s">
        <v>230</v>
      </c>
      <c r="D617" s="83" t="s">
        <v>2244</v>
      </c>
      <c r="E617" s="83" t="s">
        <v>2245</v>
      </c>
      <c r="F617">
        <v>2.33</v>
      </c>
      <c r="G617" t="s">
        <v>2246</v>
      </c>
      <c r="H617" t="s">
        <v>295</v>
      </c>
      <c r="J617" t="s">
        <v>295</v>
      </c>
      <c r="K617" t="s">
        <v>295</v>
      </c>
    </row>
    <row r="618" spans="2:11">
      <c r="B618" t="s">
        <v>84</v>
      </c>
      <c r="C618" t="s">
        <v>190</v>
      </c>
      <c r="D618" s="83" t="s">
        <v>2247</v>
      </c>
      <c r="E618" s="83" t="s">
        <v>2248</v>
      </c>
      <c r="F618">
        <v>13.93</v>
      </c>
      <c r="G618" t="s">
        <v>2249</v>
      </c>
      <c r="H618" t="s">
        <v>278</v>
      </c>
      <c r="J618" t="s">
        <v>278</v>
      </c>
      <c r="K618" t="s">
        <v>278</v>
      </c>
    </row>
    <row r="619" spans="2:11" hidden="1">
      <c r="B619" t="s">
        <v>292</v>
      </c>
      <c r="C619" t="s">
        <v>293</v>
      </c>
      <c r="D619" s="83" t="s">
        <v>2250</v>
      </c>
      <c r="E619" s="83" t="s">
        <v>2251</v>
      </c>
      <c r="F619">
        <v>137.82</v>
      </c>
      <c r="G619" t="s">
        <v>2252</v>
      </c>
      <c r="H619" t="s">
        <v>425</v>
      </c>
      <c r="J619" t="s">
        <v>425</v>
      </c>
      <c r="K619" t="s">
        <v>425</v>
      </c>
    </row>
    <row r="620" spans="2:11" hidden="1">
      <c r="B620" t="s">
        <v>215</v>
      </c>
      <c r="C620" t="s">
        <v>216</v>
      </c>
      <c r="D620" s="83" t="s">
        <v>2253</v>
      </c>
      <c r="E620" s="83" t="s">
        <v>2254</v>
      </c>
      <c r="F620">
        <v>2.0699999999999998</v>
      </c>
      <c r="G620" t="s">
        <v>2255</v>
      </c>
      <c r="H620" t="s">
        <v>295</v>
      </c>
      <c r="J620" t="s">
        <v>295</v>
      </c>
      <c r="K620" t="s">
        <v>295</v>
      </c>
    </row>
    <row r="621" spans="2:11" hidden="1">
      <c r="B621" t="s">
        <v>2256</v>
      </c>
      <c r="C621" t="s">
        <v>2257</v>
      </c>
      <c r="D621" s="83" t="s">
        <v>2258</v>
      </c>
      <c r="E621" s="83" t="s">
        <v>2259</v>
      </c>
      <c r="F621">
        <v>151.27000000000001</v>
      </c>
      <c r="G621" t="s">
        <v>2260</v>
      </c>
      <c r="H621" t="s">
        <v>276</v>
      </c>
      <c r="J621" t="s">
        <v>276</v>
      </c>
      <c r="K621" t="s">
        <v>276</v>
      </c>
    </row>
    <row r="622" spans="2:11" hidden="1">
      <c r="B622" t="s">
        <v>229</v>
      </c>
      <c r="C622" t="s">
        <v>230</v>
      </c>
      <c r="D622" s="83" t="s">
        <v>2261</v>
      </c>
      <c r="E622" s="83" t="s">
        <v>2262</v>
      </c>
      <c r="F622">
        <v>7</v>
      </c>
      <c r="G622" t="s">
        <v>2263</v>
      </c>
      <c r="H622" t="s">
        <v>2060</v>
      </c>
      <c r="J622" t="s">
        <v>2060</v>
      </c>
      <c r="K622" t="s">
        <v>2060</v>
      </c>
    </row>
    <row r="623" spans="2:11" hidden="1">
      <c r="B623" t="s">
        <v>224</v>
      </c>
      <c r="C623" t="s">
        <v>225</v>
      </c>
      <c r="D623" s="83" t="s">
        <v>2264</v>
      </c>
      <c r="E623" s="83" t="s">
        <v>2265</v>
      </c>
      <c r="F623">
        <v>15.02</v>
      </c>
      <c r="G623" t="s">
        <v>2266</v>
      </c>
      <c r="H623" t="s">
        <v>295</v>
      </c>
      <c r="J623" t="s">
        <v>295</v>
      </c>
      <c r="K623" t="s">
        <v>295</v>
      </c>
    </row>
    <row r="624" spans="2:11" hidden="1">
      <c r="B624" t="s">
        <v>240</v>
      </c>
      <c r="C624" t="s">
        <v>241</v>
      </c>
      <c r="D624" s="83" t="s">
        <v>2267</v>
      </c>
      <c r="E624" s="83" t="s">
        <v>2268</v>
      </c>
      <c r="F624">
        <v>8.98</v>
      </c>
      <c r="G624" t="s">
        <v>2269</v>
      </c>
      <c r="H624" t="s">
        <v>286</v>
      </c>
      <c r="J624" t="s">
        <v>286</v>
      </c>
      <c r="K624" t="s">
        <v>286</v>
      </c>
    </row>
    <row r="625" spans="2:11">
      <c r="B625" t="s">
        <v>83</v>
      </c>
      <c r="C625" t="s">
        <v>201</v>
      </c>
      <c r="D625" s="83" t="s">
        <v>2270</v>
      </c>
      <c r="E625" s="83" t="s">
        <v>2271</v>
      </c>
      <c r="F625">
        <v>6.32</v>
      </c>
      <c r="G625" t="s">
        <v>2272</v>
      </c>
      <c r="H625" t="s">
        <v>286</v>
      </c>
      <c r="J625" t="s">
        <v>286</v>
      </c>
      <c r="K625" t="s">
        <v>286</v>
      </c>
    </row>
    <row r="626" spans="2:11" hidden="1">
      <c r="B626" t="s">
        <v>236</v>
      </c>
      <c r="C626" t="s">
        <v>237</v>
      </c>
      <c r="D626" s="83" t="s">
        <v>2273</v>
      </c>
      <c r="E626" s="83" t="s">
        <v>2274</v>
      </c>
      <c r="F626">
        <v>7.88</v>
      </c>
      <c r="G626" t="s">
        <v>2275</v>
      </c>
      <c r="H626" t="s">
        <v>286</v>
      </c>
      <c r="J626" t="s">
        <v>286</v>
      </c>
      <c r="K626" t="s">
        <v>286</v>
      </c>
    </row>
    <row r="627" spans="2:11">
      <c r="D627" s="83"/>
      <c r="E627" s="83"/>
    </row>
    <row r="628" spans="2:11">
      <c r="D628" s="83"/>
      <c r="E628" s="83"/>
    </row>
    <row r="629" spans="2:11">
      <c r="D629" s="83"/>
      <c r="E629" s="83"/>
    </row>
    <row r="630" spans="2:11">
      <c r="D630" s="83"/>
      <c r="E630" s="83"/>
    </row>
    <row r="631" spans="2:11">
      <c r="D631" s="83"/>
      <c r="E631" s="83"/>
    </row>
    <row r="632" spans="2:11">
      <c r="D632" s="83"/>
      <c r="E632" s="83"/>
    </row>
    <row r="633" spans="2:11">
      <c r="D633" s="83"/>
      <c r="E633" s="83"/>
    </row>
    <row r="634" spans="2:11">
      <c r="D634" s="83"/>
      <c r="E634" s="83"/>
    </row>
    <row r="635" spans="2:11">
      <c r="D635" s="83"/>
      <c r="E635" s="83"/>
    </row>
    <row r="636" spans="2:11">
      <c r="D636" s="83"/>
      <c r="E636" s="83"/>
    </row>
    <row r="637" spans="2:11">
      <c r="D637" s="83"/>
      <c r="E637" s="83"/>
    </row>
    <row r="638" spans="2:11">
      <c r="D638" s="83"/>
      <c r="E638" s="83"/>
    </row>
    <row r="639" spans="2:11">
      <c r="D639" s="83"/>
      <c r="E639" s="83"/>
    </row>
    <row r="640" spans="2:11">
      <c r="D640" s="83"/>
      <c r="E640" s="83"/>
    </row>
    <row r="641" spans="4:5">
      <c r="D641" s="83"/>
      <c r="E641" s="83"/>
    </row>
    <row r="642" spans="4:5">
      <c r="D642" s="83"/>
      <c r="E642" s="83"/>
    </row>
    <row r="643" spans="4:5">
      <c r="D643" s="83"/>
      <c r="E643" s="83"/>
    </row>
    <row r="644" spans="4:5">
      <c r="D644" s="83"/>
      <c r="E644" s="83"/>
    </row>
    <row r="645" spans="4:5">
      <c r="D645" s="83"/>
      <c r="E645" s="83"/>
    </row>
    <row r="646" spans="4:5">
      <c r="D646" s="83"/>
      <c r="E646" s="83"/>
    </row>
    <row r="647" spans="4:5">
      <c r="D647" s="83"/>
      <c r="E647" s="83"/>
    </row>
    <row r="648" spans="4:5">
      <c r="D648" s="83"/>
      <c r="E648" s="83"/>
    </row>
    <row r="649" spans="4:5">
      <c r="D649" s="83"/>
      <c r="E649" s="83"/>
    </row>
    <row r="650" spans="4:5">
      <c r="D650" s="83"/>
      <c r="E650" s="83"/>
    </row>
    <row r="651" spans="4:5">
      <c r="D651" s="83"/>
      <c r="E651" s="83"/>
    </row>
    <row r="652" spans="4:5">
      <c r="D652" s="83"/>
      <c r="E652" s="83"/>
    </row>
    <row r="653" spans="4:5">
      <c r="D653" s="83"/>
      <c r="E653" s="83"/>
    </row>
    <row r="654" spans="4:5">
      <c r="D654" s="83"/>
      <c r="E654" s="83"/>
    </row>
    <row r="655" spans="4:5">
      <c r="D655" s="83"/>
      <c r="E655" s="83"/>
    </row>
    <row r="656" spans="4:5">
      <c r="D656" s="83"/>
      <c r="E656" s="83"/>
    </row>
    <row r="657" spans="4:5">
      <c r="D657" s="83"/>
      <c r="E657" s="83"/>
    </row>
    <row r="658" spans="4:5">
      <c r="D658" s="83"/>
      <c r="E658" s="83"/>
    </row>
    <row r="659" spans="4:5">
      <c r="D659" s="83"/>
      <c r="E659" s="83"/>
    </row>
    <row r="660" spans="4:5">
      <c r="D660" s="83"/>
      <c r="E660" s="83"/>
    </row>
    <row r="661" spans="4:5">
      <c r="D661" s="83"/>
      <c r="E661" s="83"/>
    </row>
    <row r="662" spans="4:5">
      <c r="D662" s="83"/>
      <c r="E662" s="83"/>
    </row>
    <row r="663" spans="4:5">
      <c r="D663" s="83"/>
      <c r="E663" s="83"/>
    </row>
    <row r="664" spans="4:5">
      <c r="D664" s="83"/>
      <c r="E664" s="83"/>
    </row>
    <row r="665" spans="4:5">
      <c r="D665" s="83"/>
      <c r="E665" s="83"/>
    </row>
    <row r="666" spans="4:5">
      <c r="D666" s="83"/>
      <c r="E666" s="83"/>
    </row>
    <row r="667" spans="4:5">
      <c r="D667" s="83"/>
      <c r="E667" s="83"/>
    </row>
    <row r="668" spans="4:5">
      <c r="D668" s="83"/>
      <c r="E668" s="83"/>
    </row>
    <row r="669" spans="4:5">
      <c r="D669" s="83"/>
      <c r="E669" s="83"/>
    </row>
    <row r="670" spans="4:5">
      <c r="D670" s="83"/>
      <c r="E670" s="83"/>
    </row>
    <row r="671" spans="4:5">
      <c r="D671" s="83"/>
      <c r="E671" s="83"/>
    </row>
    <row r="672" spans="4:5">
      <c r="D672" s="83"/>
      <c r="E672" s="83"/>
    </row>
    <row r="673" spans="4:5">
      <c r="D673" s="83"/>
      <c r="E673" s="83"/>
    </row>
    <row r="674" spans="4:5">
      <c r="D674" s="83"/>
      <c r="E674" s="83"/>
    </row>
    <row r="675" spans="4:5">
      <c r="D675" s="83"/>
      <c r="E675" s="83"/>
    </row>
    <row r="676" spans="4:5">
      <c r="D676" s="83"/>
      <c r="E676" s="83"/>
    </row>
    <row r="677" spans="4:5">
      <c r="D677" s="83"/>
      <c r="E677" s="83"/>
    </row>
    <row r="678" spans="4:5">
      <c r="D678" s="83"/>
      <c r="E678" s="83"/>
    </row>
    <row r="679" spans="4:5">
      <c r="D679" s="83"/>
      <c r="E679" s="83"/>
    </row>
    <row r="680" spans="4:5">
      <c r="D680" s="83"/>
      <c r="E680" s="83"/>
    </row>
    <row r="681" spans="4:5">
      <c r="D681" s="83"/>
      <c r="E681" s="83"/>
    </row>
    <row r="682" spans="4:5">
      <c r="D682" s="83"/>
      <c r="E682" s="83"/>
    </row>
    <row r="683" spans="4:5">
      <c r="D683" s="83"/>
      <c r="E683" s="83"/>
    </row>
    <row r="684" spans="4:5">
      <c r="D684" s="83"/>
      <c r="E684" s="83"/>
    </row>
    <row r="685" spans="4:5">
      <c r="D685" s="83"/>
      <c r="E685" s="83"/>
    </row>
    <row r="686" spans="4:5">
      <c r="D686" s="83"/>
      <c r="E686" s="83"/>
    </row>
    <row r="687" spans="4:5">
      <c r="D687" s="83"/>
      <c r="E687" s="83"/>
    </row>
    <row r="688" spans="4:5">
      <c r="D688" s="83"/>
      <c r="E688" s="83"/>
    </row>
    <row r="689" spans="4:5">
      <c r="D689" s="83"/>
      <c r="E689" s="83"/>
    </row>
    <row r="690" spans="4:5">
      <c r="D690" s="83"/>
      <c r="E690" s="83"/>
    </row>
    <row r="691" spans="4:5">
      <c r="D691" s="83"/>
      <c r="E691" s="83"/>
    </row>
    <row r="692" spans="4:5">
      <c r="D692" s="83"/>
      <c r="E692" s="83"/>
    </row>
    <row r="693" spans="4:5">
      <c r="D693" s="83"/>
      <c r="E693" s="83"/>
    </row>
    <row r="694" spans="4:5">
      <c r="D694" s="83"/>
      <c r="E694" s="83"/>
    </row>
    <row r="695" spans="4:5">
      <c r="D695" s="83"/>
      <c r="E695" s="83"/>
    </row>
    <row r="696" spans="4:5">
      <c r="D696" s="83"/>
      <c r="E696" s="83"/>
    </row>
    <row r="697" spans="4:5">
      <c r="D697" s="83"/>
      <c r="E697" s="83"/>
    </row>
    <row r="698" spans="4:5">
      <c r="D698" s="83"/>
      <c r="E698" s="83"/>
    </row>
    <row r="699" spans="4:5">
      <c r="D699" s="83"/>
      <c r="E699" s="83"/>
    </row>
    <row r="700" spans="4:5">
      <c r="D700" s="83"/>
      <c r="E700" s="83"/>
    </row>
    <row r="701" spans="4:5">
      <c r="D701" s="83"/>
      <c r="E701" s="83"/>
    </row>
    <row r="702" spans="4:5">
      <c r="D702" s="83"/>
      <c r="E702" s="83"/>
    </row>
    <row r="703" spans="4:5">
      <c r="D703" s="83"/>
      <c r="E703" s="83"/>
    </row>
    <row r="704" spans="4:5">
      <c r="D704" s="83"/>
      <c r="E704" s="83"/>
    </row>
    <row r="705" spans="4:5">
      <c r="D705" s="83"/>
      <c r="E705" s="83"/>
    </row>
    <row r="706" spans="4:5">
      <c r="D706" s="83"/>
      <c r="E706" s="83"/>
    </row>
    <row r="707" spans="4:5">
      <c r="D707" s="83"/>
      <c r="E707" s="83"/>
    </row>
    <row r="708" spans="4:5">
      <c r="D708" s="83"/>
      <c r="E708" s="83"/>
    </row>
    <row r="709" spans="4:5">
      <c r="D709" s="83"/>
      <c r="E709" s="83"/>
    </row>
    <row r="710" spans="4:5">
      <c r="D710" s="83"/>
      <c r="E710" s="83"/>
    </row>
    <row r="711" spans="4:5">
      <c r="D711" s="83"/>
      <c r="E711" s="83"/>
    </row>
    <row r="712" spans="4:5">
      <c r="D712" s="83"/>
      <c r="E712" s="83"/>
    </row>
    <row r="713" spans="4:5">
      <c r="D713" s="83"/>
      <c r="E713" s="83"/>
    </row>
    <row r="714" spans="4:5">
      <c r="D714" s="83"/>
      <c r="E714" s="83"/>
    </row>
    <row r="715" spans="4:5">
      <c r="D715" s="83"/>
      <c r="E715" s="83"/>
    </row>
    <row r="716" spans="4:5">
      <c r="D716" s="83"/>
      <c r="E716" s="83"/>
    </row>
    <row r="717" spans="4:5">
      <c r="D717" s="83"/>
      <c r="E717" s="83"/>
    </row>
    <row r="718" spans="4:5">
      <c r="D718" s="83"/>
      <c r="E718" s="83"/>
    </row>
    <row r="719" spans="4:5">
      <c r="D719" s="83"/>
      <c r="E719" s="83"/>
    </row>
    <row r="720" spans="4:5">
      <c r="D720" s="83"/>
      <c r="E720" s="83"/>
    </row>
    <row r="721" spans="4:5">
      <c r="D721" s="83"/>
      <c r="E721" s="83"/>
    </row>
    <row r="722" spans="4:5">
      <c r="D722" s="83"/>
      <c r="E722" s="83"/>
    </row>
    <row r="723" spans="4:5">
      <c r="D723" s="83"/>
      <c r="E723" s="83"/>
    </row>
    <row r="724" spans="4:5">
      <c r="D724" s="83"/>
      <c r="E724" s="83"/>
    </row>
    <row r="725" spans="4:5">
      <c r="D725" s="83"/>
      <c r="E725" s="83"/>
    </row>
    <row r="726" spans="4:5">
      <c r="D726" s="83"/>
      <c r="E726" s="83"/>
    </row>
    <row r="727" spans="4:5">
      <c r="D727" s="83"/>
      <c r="E727" s="83"/>
    </row>
    <row r="728" spans="4:5">
      <c r="D728" s="83"/>
      <c r="E728" s="83"/>
    </row>
    <row r="729" spans="4:5">
      <c r="D729" s="83"/>
      <c r="E729" s="83"/>
    </row>
    <row r="730" spans="4:5">
      <c r="D730" s="83"/>
      <c r="E730" s="83"/>
    </row>
    <row r="731" spans="4:5">
      <c r="D731" s="83"/>
      <c r="E731" s="83"/>
    </row>
    <row r="732" spans="4:5">
      <c r="D732" s="83"/>
      <c r="E732" s="83"/>
    </row>
    <row r="733" spans="4:5">
      <c r="D733" s="83"/>
      <c r="E733" s="83"/>
    </row>
    <row r="734" spans="4:5">
      <c r="D734" s="83"/>
      <c r="E734" s="83"/>
    </row>
    <row r="735" spans="4:5">
      <c r="D735" s="83"/>
      <c r="E735" s="83"/>
    </row>
    <row r="736" spans="4:5">
      <c r="D736" s="83"/>
      <c r="E736" s="83"/>
    </row>
    <row r="737" spans="4:5">
      <c r="D737" s="83"/>
      <c r="E737" s="83"/>
    </row>
    <row r="738" spans="4:5">
      <c r="D738" s="83"/>
      <c r="E738" s="83"/>
    </row>
    <row r="739" spans="4:5">
      <c r="D739" s="83"/>
      <c r="E739" s="83"/>
    </row>
    <row r="740" spans="4:5">
      <c r="D740" s="83"/>
      <c r="E740" s="83"/>
    </row>
    <row r="741" spans="4:5">
      <c r="D741" s="83"/>
      <c r="E741" s="83"/>
    </row>
    <row r="742" spans="4:5">
      <c r="D742" s="83"/>
      <c r="E742" s="83"/>
    </row>
    <row r="743" spans="4:5">
      <c r="D743" s="83"/>
      <c r="E743" s="83"/>
    </row>
    <row r="744" spans="4:5">
      <c r="D744" s="83"/>
      <c r="E744" s="83"/>
    </row>
    <row r="745" spans="4:5">
      <c r="D745" s="83"/>
      <c r="E745" s="83"/>
    </row>
    <row r="746" spans="4:5">
      <c r="D746" s="83"/>
      <c r="E746" s="83"/>
    </row>
    <row r="747" spans="4:5">
      <c r="D747" s="83"/>
      <c r="E747" s="83"/>
    </row>
    <row r="748" spans="4:5">
      <c r="D748" s="83"/>
      <c r="E748" s="83"/>
    </row>
    <row r="749" spans="4:5">
      <c r="D749" s="83"/>
      <c r="E749" s="83"/>
    </row>
    <row r="750" spans="4:5">
      <c r="D750" s="83"/>
      <c r="E750" s="83"/>
    </row>
    <row r="751" spans="4:5">
      <c r="D751" s="83"/>
      <c r="E751" s="83"/>
    </row>
    <row r="752" spans="4:5">
      <c r="D752" s="83"/>
      <c r="E752" s="83"/>
    </row>
    <row r="753" spans="4:5">
      <c r="D753" s="83"/>
      <c r="E753" s="83"/>
    </row>
    <row r="754" spans="4:5">
      <c r="D754" s="83"/>
      <c r="E754" s="83"/>
    </row>
    <row r="755" spans="4:5">
      <c r="D755" s="83"/>
      <c r="E755" s="83"/>
    </row>
    <row r="756" spans="4:5">
      <c r="D756" s="83"/>
      <c r="E756" s="83"/>
    </row>
    <row r="757" spans="4:5">
      <c r="D757" s="83"/>
      <c r="E757" s="83"/>
    </row>
    <row r="758" spans="4:5">
      <c r="D758" s="83"/>
      <c r="E758" s="83"/>
    </row>
    <row r="759" spans="4:5">
      <c r="D759" s="83"/>
      <c r="E759" s="83"/>
    </row>
    <row r="760" spans="4:5">
      <c r="D760" s="83"/>
      <c r="E760" s="83"/>
    </row>
    <row r="761" spans="4:5">
      <c r="D761" s="83"/>
      <c r="E761" s="83"/>
    </row>
    <row r="762" spans="4:5">
      <c r="D762" s="83"/>
      <c r="E762" s="83"/>
    </row>
    <row r="763" spans="4:5">
      <c r="D763" s="83"/>
      <c r="E763" s="83"/>
    </row>
    <row r="764" spans="4:5">
      <c r="D764" s="83"/>
      <c r="E764" s="83"/>
    </row>
    <row r="765" spans="4:5">
      <c r="D765" s="83"/>
      <c r="E765" s="83"/>
    </row>
    <row r="766" spans="4:5">
      <c r="D766" s="83"/>
      <c r="E766" s="83"/>
    </row>
    <row r="767" spans="4:5">
      <c r="D767" s="83"/>
      <c r="E767" s="83"/>
    </row>
    <row r="768" spans="4:5">
      <c r="D768" s="83"/>
      <c r="E768" s="83"/>
    </row>
    <row r="769" spans="4:5">
      <c r="D769" s="83"/>
      <c r="E769" s="83"/>
    </row>
    <row r="770" spans="4:5">
      <c r="D770" s="83"/>
      <c r="E770" s="83"/>
    </row>
    <row r="771" spans="4:5">
      <c r="D771" s="83"/>
      <c r="E771" s="83"/>
    </row>
    <row r="772" spans="4:5">
      <c r="D772" s="83"/>
      <c r="E772" s="83"/>
    </row>
    <row r="773" spans="4:5">
      <c r="D773" s="83"/>
      <c r="E773" s="83"/>
    </row>
    <row r="774" spans="4:5">
      <c r="D774" s="83"/>
      <c r="E774" s="83"/>
    </row>
    <row r="775" spans="4:5">
      <c r="D775" s="83"/>
      <c r="E775" s="83"/>
    </row>
    <row r="776" spans="4:5">
      <c r="D776" s="83"/>
      <c r="E776" s="83"/>
    </row>
    <row r="777" spans="4:5">
      <c r="D777" s="83"/>
      <c r="E777" s="83"/>
    </row>
    <row r="778" spans="4:5">
      <c r="D778" s="83"/>
      <c r="E778" s="83"/>
    </row>
    <row r="779" spans="4:5">
      <c r="D779" s="83"/>
      <c r="E779" s="83"/>
    </row>
    <row r="780" spans="4:5">
      <c r="D780" s="83"/>
      <c r="E780" s="83"/>
    </row>
    <row r="781" spans="4:5">
      <c r="D781" s="83"/>
      <c r="E781" s="83"/>
    </row>
    <row r="782" spans="4:5">
      <c r="D782" s="83"/>
      <c r="E782" s="83"/>
    </row>
    <row r="783" spans="4:5">
      <c r="D783" s="83"/>
      <c r="E783" s="83"/>
    </row>
    <row r="784" spans="4:5">
      <c r="D784" s="83"/>
      <c r="E784" s="83"/>
    </row>
    <row r="785" spans="4:5">
      <c r="D785" s="83"/>
      <c r="E785" s="83"/>
    </row>
    <row r="786" spans="4:5">
      <c r="D786" s="83"/>
      <c r="E786" s="83"/>
    </row>
    <row r="787" spans="4:5">
      <c r="D787" s="83"/>
      <c r="E787" s="83"/>
    </row>
    <row r="788" spans="4:5">
      <c r="D788" s="83"/>
      <c r="E788" s="83"/>
    </row>
    <row r="789" spans="4:5">
      <c r="D789" s="83"/>
      <c r="E789" s="83"/>
    </row>
    <row r="790" spans="4:5">
      <c r="D790" s="83"/>
      <c r="E790" s="83"/>
    </row>
    <row r="791" spans="4:5">
      <c r="D791" s="83"/>
      <c r="E791" s="83"/>
    </row>
    <row r="792" spans="4:5">
      <c r="D792" s="83"/>
      <c r="E792" s="83"/>
    </row>
    <row r="793" spans="4:5">
      <c r="D793" s="83"/>
      <c r="E793" s="83"/>
    </row>
    <row r="794" spans="4:5">
      <c r="D794" s="83"/>
      <c r="E794" s="83"/>
    </row>
    <row r="795" spans="4:5">
      <c r="D795" s="83"/>
      <c r="E795" s="83"/>
    </row>
    <row r="796" spans="4:5">
      <c r="D796" s="83"/>
      <c r="E796" s="83"/>
    </row>
    <row r="797" spans="4:5">
      <c r="D797" s="83"/>
      <c r="E797" s="83"/>
    </row>
    <row r="798" spans="4:5">
      <c r="D798" s="83"/>
      <c r="E798" s="83"/>
    </row>
    <row r="799" spans="4:5">
      <c r="D799" s="83"/>
      <c r="E799" s="83"/>
    </row>
    <row r="800" spans="4:5">
      <c r="D800" s="83"/>
      <c r="E800" s="83"/>
    </row>
    <row r="801" spans="4:5">
      <c r="D801" s="83"/>
      <c r="E801" s="83"/>
    </row>
    <row r="802" spans="4:5">
      <c r="D802" s="83"/>
      <c r="E802" s="83"/>
    </row>
    <row r="803" spans="4:5">
      <c r="D803" s="83"/>
      <c r="E803" s="83"/>
    </row>
    <row r="804" spans="4:5">
      <c r="D804" s="83"/>
      <c r="E804" s="83"/>
    </row>
    <row r="805" spans="4:5">
      <c r="D805" s="83"/>
      <c r="E805" s="83"/>
    </row>
    <row r="806" spans="4:5">
      <c r="D806" s="83"/>
      <c r="E806" s="83"/>
    </row>
    <row r="807" spans="4:5">
      <c r="D807" s="83"/>
      <c r="E807" s="83"/>
    </row>
    <row r="808" spans="4:5">
      <c r="D808" s="83"/>
      <c r="E808" s="83"/>
    </row>
    <row r="809" spans="4:5">
      <c r="D809" s="83"/>
      <c r="E809" s="83"/>
    </row>
    <row r="810" spans="4:5">
      <c r="D810" s="83"/>
      <c r="E810" s="83"/>
    </row>
    <row r="811" spans="4:5">
      <c r="D811" s="83"/>
      <c r="E811" s="83"/>
    </row>
    <row r="812" spans="4:5">
      <c r="D812" s="83"/>
      <c r="E812" s="83"/>
    </row>
    <row r="813" spans="4:5">
      <c r="D813" s="83"/>
      <c r="E813" s="83"/>
    </row>
    <row r="814" spans="4:5">
      <c r="D814" s="83"/>
      <c r="E814" s="83"/>
    </row>
    <row r="815" spans="4:5">
      <c r="D815" s="83"/>
      <c r="E815" s="83"/>
    </row>
    <row r="816" spans="4:5">
      <c r="D816" s="83"/>
      <c r="E816" s="83"/>
    </row>
    <row r="817" spans="4:5">
      <c r="D817" s="83"/>
      <c r="E817" s="83"/>
    </row>
    <row r="818" spans="4:5">
      <c r="D818" s="83"/>
      <c r="E818" s="83"/>
    </row>
    <row r="819" spans="4:5">
      <c r="D819" s="83"/>
      <c r="E819" s="83"/>
    </row>
    <row r="820" spans="4:5">
      <c r="D820" s="83"/>
      <c r="E820" s="83"/>
    </row>
    <row r="821" spans="4:5">
      <c r="D821" s="83"/>
      <c r="E821" s="83"/>
    </row>
    <row r="822" spans="4:5">
      <c r="D822" s="83"/>
      <c r="E822" s="83"/>
    </row>
    <row r="823" spans="4:5">
      <c r="D823" s="83"/>
      <c r="E823" s="83"/>
    </row>
    <row r="824" spans="4:5">
      <c r="D824" s="83"/>
      <c r="E824" s="83"/>
    </row>
    <row r="825" spans="4:5">
      <c r="D825" s="83"/>
      <c r="E825" s="83"/>
    </row>
    <row r="826" spans="4:5">
      <c r="D826" s="83"/>
      <c r="E826" s="83"/>
    </row>
    <row r="827" spans="4:5">
      <c r="D827" s="83"/>
      <c r="E827" s="83"/>
    </row>
    <row r="828" spans="4:5">
      <c r="D828" s="83"/>
      <c r="E828" s="83"/>
    </row>
    <row r="829" spans="4:5">
      <c r="D829" s="83"/>
      <c r="E829" s="83"/>
    </row>
    <row r="830" spans="4:5">
      <c r="D830" s="83"/>
      <c r="E830" s="83"/>
    </row>
    <row r="831" spans="4:5">
      <c r="D831" s="83"/>
      <c r="E831" s="83"/>
    </row>
    <row r="832" spans="4:5">
      <c r="D832" s="83"/>
      <c r="E832" s="83"/>
    </row>
    <row r="833" spans="4:5">
      <c r="D833" s="83"/>
      <c r="E833" s="83"/>
    </row>
    <row r="834" spans="4:5">
      <c r="D834" s="83"/>
      <c r="E834" s="83"/>
    </row>
    <row r="835" spans="4:5">
      <c r="D835" s="83"/>
      <c r="E835" s="83"/>
    </row>
    <row r="836" spans="4:5">
      <c r="D836" s="83"/>
      <c r="E836" s="83"/>
    </row>
    <row r="837" spans="4:5">
      <c r="D837" s="83"/>
      <c r="E837" s="83"/>
    </row>
    <row r="838" spans="4:5">
      <c r="D838" s="83"/>
      <c r="E838" s="83"/>
    </row>
    <row r="839" spans="4:5">
      <c r="D839" s="83"/>
      <c r="E839" s="83"/>
    </row>
    <row r="840" spans="4:5">
      <c r="D840" s="83"/>
      <c r="E840" s="83"/>
    </row>
    <row r="841" spans="4:5">
      <c r="D841" s="83"/>
      <c r="E841" s="83"/>
    </row>
    <row r="842" spans="4:5">
      <c r="D842" s="83"/>
      <c r="E842" s="83"/>
    </row>
    <row r="843" spans="4:5">
      <c r="D843" s="83"/>
      <c r="E843" s="83"/>
    </row>
    <row r="844" spans="4:5">
      <c r="D844" s="83"/>
      <c r="E844" s="83"/>
    </row>
    <row r="845" spans="4:5">
      <c r="D845" s="83"/>
      <c r="E845" s="83"/>
    </row>
    <row r="846" spans="4:5">
      <c r="D846" s="83"/>
      <c r="E846" s="83"/>
    </row>
    <row r="847" spans="4:5">
      <c r="D847" s="83"/>
      <c r="E847" s="83"/>
    </row>
    <row r="848" spans="4:5">
      <c r="D848" s="83"/>
      <c r="E848" s="83"/>
    </row>
    <row r="849" spans="4:5">
      <c r="D849" s="83"/>
      <c r="E849" s="83"/>
    </row>
    <row r="850" spans="4:5">
      <c r="D850" s="83"/>
      <c r="E850" s="83"/>
    </row>
    <row r="851" spans="4:5">
      <c r="D851" s="83"/>
      <c r="E851" s="83"/>
    </row>
    <row r="852" spans="4:5">
      <c r="D852" s="83"/>
      <c r="E852" s="83"/>
    </row>
    <row r="853" spans="4:5">
      <c r="D853" s="83"/>
      <c r="E853" s="83"/>
    </row>
    <row r="854" spans="4:5">
      <c r="D854" s="83"/>
      <c r="E854" s="83"/>
    </row>
    <row r="855" spans="4:5">
      <c r="D855" s="83"/>
      <c r="E855" s="83"/>
    </row>
    <row r="856" spans="4:5">
      <c r="D856" s="83"/>
      <c r="E856" s="83"/>
    </row>
    <row r="857" spans="4:5">
      <c r="D857" s="83"/>
      <c r="E857" s="83"/>
    </row>
    <row r="858" spans="4:5">
      <c r="D858" s="83"/>
      <c r="E858" s="83"/>
    </row>
    <row r="859" spans="4:5">
      <c r="D859" s="83"/>
      <c r="E859" s="83"/>
    </row>
    <row r="860" spans="4:5">
      <c r="D860" s="83"/>
      <c r="E860" s="83"/>
    </row>
    <row r="861" spans="4:5">
      <c r="D861" s="83"/>
      <c r="E861" s="83"/>
    </row>
    <row r="862" spans="4:5">
      <c r="D862" s="83"/>
      <c r="E862" s="83"/>
    </row>
    <row r="863" spans="4:5">
      <c r="D863" s="83"/>
      <c r="E863" s="83"/>
    </row>
    <row r="864" spans="4:5">
      <c r="D864" s="83"/>
      <c r="E864" s="83"/>
    </row>
    <row r="865" spans="4:5">
      <c r="D865" s="83"/>
      <c r="E865" s="83"/>
    </row>
    <row r="866" spans="4:5">
      <c r="D866" s="83"/>
      <c r="E866" s="83"/>
    </row>
    <row r="867" spans="4:5">
      <c r="D867" s="83"/>
      <c r="E867" s="83"/>
    </row>
    <row r="868" spans="4:5">
      <c r="D868" s="83"/>
      <c r="E868" s="83"/>
    </row>
    <row r="869" spans="4:5">
      <c r="D869" s="83"/>
      <c r="E869" s="83"/>
    </row>
    <row r="870" spans="4:5">
      <c r="D870" s="83"/>
      <c r="E870" s="83"/>
    </row>
    <row r="871" spans="4:5">
      <c r="D871" s="83"/>
      <c r="E871" s="83"/>
    </row>
    <row r="872" spans="4:5">
      <c r="D872" s="83"/>
      <c r="E872" s="83"/>
    </row>
    <row r="873" spans="4:5">
      <c r="D873" s="83"/>
      <c r="E873" s="83"/>
    </row>
    <row r="874" spans="4:5">
      <c r="D874" s="83"/>
      <c r="E874" s="83"/>
    </row>
    <row r="875" spans="4:5">
      <c r="D875" s="83"/>
      <c r="E875" s="83"/>
    </row>
    <row r="876" spans="4:5">
      <c r="D876" s="83"/>
      <c r="E876" s="83"/>
    </row>
    <row r="877" spans="4:5">
      <c r="D877" s="83"/>
      <c r="E877" s="83"/>
    </row>
    <row r="878" spans="4:5">
      <c r="D878" s="83"/>
      <c r="E878" s="83"/>
    </row>
    <row r="879" spans="4:5">
      <c r="D879" s="83"/>
      <c r="E879" s="83"/>
    </row>
    <row r="880" spans="4:5">
      <c r="D880" s="83"/>
      <c r="E880" s="83"/>
    </row>
    <row r="881" spans="4:5">
      <c r="D881" s="83"/>
      <c r="E881" s="83"/>
    </row>
    <row r="882" spans="4:5">
      <c r="D882" s="83"/>
      <c r="E882" s="83"/>
    </row>
    <row r="883" spans="4:5">
      <c r="D883" s="83"/>
      <c r="E883" s="83"/>
    </row>
    <row r="884" spans="4:5">
      <c r="D884" s="83"/>
      <c r="E884" s="83"/>
    </row>
    <row r="885" spans="4:5">
      <c r="D885" s="83"/>
      <c r="E885" s="83"/>
    </row>
    <row r="886" spans="4:5">
      <c r="D886" s="83"/>
      <c r="E886" s="83"/>
    </row>
    <row r="887" spans="4:5">
      <c r="D887" s="83"/>
      <c r="E887" s="83"/>
    </row>
    <row r="888" spans="4:5">
      <c r="D888" s="83"/>
      <c r="E888" s="83"/>
    </row>
    <row r="889" spans="4:5">
      <c r="D889" s="83"/>
      <c r="E889" s="83"/>
    </row>
    <row r="890" spans="4:5">
      <c r="D890" s="83"/>
      <c r="E890" s="83"/>
    </row>
    <row r="891" spans="4:5">
      <c r="D891" s="83"/>
      <c r="E891" s="83"/>
    </row>
    <row r="892" spans="4:5">
      <c r="D892" s="83"/>
      <c r="E892" s="83"/>
    </row>
    <row r="893" spans="4:5">
      <c r="D893" s="83"/>
      <c r="E893" s="83"/>
    </row>
    <row r="894" spans="4:5">
      <c r="D894" s="83"/>
      <c r="E894" s="83"/>
    </row>
    <row r="895" spans="4:5">
      <c r="D895" s="83"/>
      <c r="E895" s="83"/>
    </row>
    <row r="896" spans="4:5">
      <c r="D896" s="83"/>
      <c r="E896" s="83"/>
    </row>
    <row r="897" spans="4:5">
      <c r="D897" s="83"/>
      <c r="E897" s="83"/>
    </row>
    <row r="898" spans="4:5">
      <c r="D898" s="83"/>
      <c r="E898" s="83"/>
    </row>
    <row r="899" spans="4:5">
      <c r="D899" s="83"/>
      <c r="E899" s="83"/>
    </row>
    <row r="900" spans="4:5">
      <c r="D900" s="83"/>
      <c r="E900" s="83"/>
    </row>
    <row r="901" spans="4:5">
      <c r="D901" s="83"/>
      <c r="E901" s="83"/>
    </row>
    <row r="902" spans="4:5">
      <c r="D902" s="83"/>
      <c r="E902" s="83"/>
    </row>
    <row r="903" spans="4:5">
      <c r="D903" s="83"/>
      <c r="E903" s="83"/>
    </row>
    <row r="904" spans="4:5">
      <c r="D904" s="83"/>
      <c r="E904" s="83"/>
    </row>
    <row r="905" spans="4:5">
      <c r="D905" s="83"/>
      <c r="E905" s="83"/>
    </row>
    <row r="906" spans="4:5">
      <c r="D906" s="83"/>
      <c r="E906" s="83"/>
    </row>
    <row r="907" spans="4:5">
      <c r="D907" s="83"/>
      <c r="E907" s="83"/>
    </row>
    <row r="908" spans="4:5">
      <c r="D908" s="83"/>
      <c r="E908" s="83"/>
    </row>
    <row r="909" spans="4:5">
      <c r="D909" s="83"/>
      <c r="E909" s="83"/>
    </row>
    <row r="910" spans="4:5">
      <c r="D910" s="83"/>
      <c r="E910" s="83"/>
    </row>
    <row r="911" spans="4:5">
      <c r="D911" s="83"/>
      <c r="E911" s="83"/>
    </row>
    <row r="912" spans="4:5">
      <c r="D912" s="83"/>
      <c r="E912" s="83"/>
    </row>
    <row r="913" spans="4:5">
      <c r="D913" s="83"/>
      <c r="E913" s="83"/>
    </row>
    <row r="914" spans="4:5">
      <c r="D914" s="83"/>
      <c r="E914" s="83"/>
    </row>
    <row r="915" spans="4:5">
      <c r="D915" s="83"/>
      <c r="E915" s="83"/>
    </row>
    <row r="916" spans="4:5">
      <c r="D916" s="83"/>
      <c r="E916" s="83"/>
    </row>
    <row r="917" spans="4:5">
      <c r="D917" s="83"/>
      <c r="E917" s="83"/>
    </row>
    <row r="918" spans="4:5">
      <c r="D918" s="83"/>
      <c r="E918" s="83"/>
    </row>
    <row r="919" spans="4:5">
      <c r="D919" s="83"/>
      <c r="E919" s="83"/>
    </row>
    <row r="920" spans="4:5">
      <c r="D920" s="83"/>
      <c r="E920" s="83"/>
    </row>
    <row r="921" spans="4:5">
      <c r="D921" s="83"/>
      <c r="E921" s="83"/>
    </row>
    <row r="922" spans="4:5">
      <c r="D922" s="83"/>
      <c r="E922" s="83"/>
    </row>
    <row r="923" spans="4:5">
      <c r="D923" s="83"/>
      <c r="E923" s="83"/>
    </row>
    <row r="924" spans="4:5">
      <c r="D924" s="83"/>
      <c r="E924" s="83"/>
    </row>
    <row r="925" spans="4:5">
      <c r="D925" s="83"/>
      <c r="E925" s="83"/>
    </row>
    <row r="926" spans="4:5">
      <c r="D926" s="83"/>
      <c r="E926" s="83"/>
    </row>
    <row r="927" spans="4:5">
      <c r="D927" s="83"/>
      <c r="E927" s="83"/>
    </row>
    <row r="928" spans="4:5">
      <c r="D928" s="83"/>
      <c r="E928" s="83"/>
    </row>
    <row r="929" spans="4:5">
      <c r="D929" s="83"/>
      <c r="E929" s="83"/>
    </row>
    <row r="930" spans="4:5">
      <c r="D930" s="83"/>
      <c r="E930" s="83"/>
    </row>
    <row r="931" spans="4:5">
      <c r="D931" s="83"/>
      <c r="E931" s="83"/>
    </row>
    <row r="932" spans="4:5">
      <c r="D932" s="83"/>
      <c r="E932" s="83"/>
    </row>
    <row r="933" spans="4:5">
      <c r="D933" s="83"/>
      <c r="E933" s="83"/>
    </row>
    <row r="934" spans="4:5">
      <c r="D934" s="83"/>
      <c r="E934" s="83"/>
    </row>
    <row r="935" spans="4:5">
      <c r="D935" s="83"/>
      <c r="E935" s="83"/>
    </row>
    <row r="936" spans="4:5">
      <c r="D936" s="83"/>
      <c r="E936" s="83"/>
    </row>
    <row r="937" spans="4:5">
      <c r="D937" s="83"/>
      <c r="E937" s="83"/>
    </row>
    <row r="938" spans="4:5">
      <c r="D938" s="83"/>
      <c r="E938" s="83"/>
    </row>
    <row r="939" spans="4:5">
      <c r="D939" s="83"/>
      <c r="E939" s="83"/>
    </row>
    <row r="940" spans="4:5">
      <c r="D940" s="83"/>
      <c r="E940" s="83"/>
    </row>
    <row r="941" spans="4:5">
      <c r="D941" s="83"/>
      <c r="E941" s="83"/>
    </row>
    <row r="942" spans="4:5">
      <c r="D942" s="83"/>
      <c r="E942" s="83"/>
    </row>
    <row r="943" spans="4:5">
      <c r="D943" s="83"/>
      <c r="E943" s="83"/>
    </row>
    <row r="944" spans="4:5">
      <c r="D944" s="83"/>
      <c r="E944" s="83"/>
    </row>
    <row r="945" spans="4:5">
      <c r="D945" s="83"/>
      <c r="E945" s="83"/>
    </row>
    <row r="946" spans="4:5">
      <c r="D946" s="83"/>
      <c r="E946" s="83"/>
    </row>
    <row r="947" spans="4:5">
      <c r="D947" s="83"/>
      <c r="E947" s="83"/>
    </row>
    <row r="948" spans="4:5">
      <c r="D948" s="83"/>
      <c r="E948" s="83"/>
    </row>
    <row r="949" spans="4:5">
      <c r="D949" s="83"/>
      <c r="E949" s="83"/>
    </row>
    <row r="950" spans="4:5">
      <c r="D950" s="83"/>
      <c r="E950" s="83"/>
    </row>
    <row r="951" spans="4:5">
      <c r="D951" s="83"/>
      <c r="E951" s="83"/>
    </row>
    <row r="952" spans="4:5">
      <c r="D952" s="83"/>
      <c r="E952" s="83"/>
    </row>
    <row r="953" spans="4:5">
      <c r="D953" s="83"/>
      <c r="E953" s="83"/>
    </row>
    <row r="954" spans="4:5">
      <c r="D954" s="83"/>
      <c r="E954" s="83"/>
    </row>
    <row r="955" spans="4:5">
      <c r="D955" s="83"/>
      <c r="E955" s="83"/>
    </row>
    <row r="956" spans="4:5">
      <c r="D956" s="83"/>
      <c r="E956" s="83"/>
    </row>
    <row r="957" spans="4:5">
      <c r="D957" s="83"/>
      <c r="E957" s="83"/>
    </row>
    <row r="958" spans="4:5">
      <c r="D958" s="83"/>
      <c r="E958" s="83"/>
    </row>
    <row r="959" spans="4:5">
      <c r="D959" s="83"/>
      <c r="E959" s="83"/>
    </row>
    <row r="960" spans="4:5">
      <c r="D960" s="83"/>
      <c r="E960" s="83"/>
    </row>
    <row r="961" spans="4:5">
      <c r="D961" s="83"/>
      <c r="E961" s="83"/>
    </row>
    <row r="962" spans="4:5">
      <c r="D962" s="83"/>
      <c r="E962" s="83"/>
    </row>
    <row r="963" spans="4:5">
      <c r="D963" s="83"/>
      <c r="E963" s="83"/>
    </row>
    <row r="964" spans="4:5">
      <c r="D964" s="83"/>
      <c r="E964" s="83"/>
    </row>
    <row r="965" spans="4:5">
      <c r="D965" s="83"/>
      <c r="E965" s="83"/>
    </row>
    <row r="966" spans="4:5">
      <c r="D966" s="83"/>
      <c r="E966" s="83"/>
    </row>
    <row r="967" spans="4:5">
      <c r="D967" s="83"/>
      <c r="E967" s="83"/>
    </row>
    <row r="968" spans="4:5">
      <c r="D968" s="83"/>
      <c r="E968" s="83"/>
    </row>
    <row r="969" spans="4:5">
      <c r="D969" s="83"/>
      <c r="E969" s="83"/>
    </row>
    <row r="970" spans="4:5">
      <c r="D970" s="83"/>
      <c r="E970" s="83"/>
    </row>
    <row r="971" spans="4:5">
      <c r="D971" s="83"/>
      <c r="E971" s="83"/>
    </row>
    <row r="972" spans="4:5">
      <c r="D972" s="83"/>
      <c r="E972" s="83"/>
    </row>
    <row r="973" spans="4:5">
      <c r="D973" s="83"/>
      <c r="E973" s="83"/>
    </row>
    <row r="974" spans="4:5">
      <c r="D974" s="83"/>
      <c r="E974" s="83"/>
    </row>
    <row r="975" spans="4:5">
      <c r="D975" s="83"/>
      <c r="E975" s="83"/>
    </row>
    <row r="976" spans="4:5">
      <c r="D976" s="83"/>
      <c r="E976" s="83"/>
    </row>
    <row r="977" spans="4:5">
      <c r="D977" s="83"/>
      <c r="E977" s="83"/>
    </row>
    <row r="978" spans="4:5">
      <c r="D978" s="83"/>
      <c r="E978" s="83"/>
    </row>
    <row r="979" spans="4:5">
      <c r="D979" s="83"/>
      <c r="E979" s="83"/>
    </row>
    <row r="980" spans="4:5">
      <c r="D980" s="83"/>
      <c r="E980" s="83"/>
    </row>
    <row r="981" spans="4:5">
      <c r="D981" s="83"/>
      <c r="E981" s="83"/>
    </row>
    <row r="982" spans="4:5">
      <c r="D982" s="83"/>
      <c r="E982" s="83"/>
    </row>
    <row r="983" spans="4:5">
      <c r="D983" s="83"/>
      <c r="E983" s="83"/>
    </row>
    <row r="984" spans="4:5">
      <c r="D984" s="83"/>
      <c r="E984" s="83"/>
    </row>
    <row r="985" spans="4:5">
      <c r="D985" s="83"/>
      <c r="E985" s="83"/>
    </row>
    <row r="986" spans="4:5">
      <c r="D986" s="83"/>
      <c r="E986" s="83"/>
    </row>
    <row r="987" spans="4:5">
      <c r="D987" s="83"/>
      <c r="E987" s="83"/>
    </row>
    <row r="988" spans="4:5">
      <c r="D988" s="83"/>
      <c r="E988" s="83"/>
    </row>
    <row r="989" spans="4:5">
      <c r="D989" s="83"/>
      <c r="E989" s="83"/>
    </row>
    <row r="990" spans="4:5">
      <c r="D990" s="83"/>
      <c r="E990" s="83"/>
    </row>
    <row r="991" spans="4:5">
      <c r="D991" s="83"/>
      <c r="E991" s="83"/>
    </row>
    <row r="992" spans="4:5">
      <c r="D992" s="83"/>
      <c r="E992" s="83"/>
    </row>
    <row r="993" spans="4:5">
      <c r="D993" s="83"/>
      <c r="E993" s="83"/>
    </row>
    <row r="994" spans="4:5">
      <c r="D994" s="83"/>
      <c r="E994" s="83"/>
    </row>
    <row r="995" spans="4:5">
      <c r="D995" s="83"/>
      <c r="E995" s="83"/>
    </row>
    <row r="996" spans="4:5">
      <c r="D996" s="83"/>
      <c r="E996" s="83"/>
    </row>
    <row r="997" spans="4:5">
      <c r="D997" s="83"/>
      <c r="E997" s="83"/>
    </row>
    <row r="998" spans="4:5">
      <c r="D998" s="83"/>
      <c r="E998" s="83"/>
    </row>
    <row r="999" spans="4:5">
      <c r="D999" s="83"/>
      <c r="E999" s="83"/>
    </row>
    <row r="1000" spans="4:5">
      <c r="D1000" s="83"/>
      <c r="E1000" s="83"/>
    </row>
    <row r="1001" spans="4:5">
      <c r="D1001" s="83"/>
      <c r="E1001" s="83"/>
    </row>
  </sheetData>
  <autoFilter ref="A1:K626" xr:uid="{00000000-0001-0000-0700-000000000000}">
    <filterColumn colId="1">
      <filters>
        <filter val="LP-N1"/>
        <filter val="LP-N2"/>
        <filter val="LP-N3"/>
        <filter val="LP-N4"/>
        <filter val="LP-N5"/>
        <filter val="LP-N6"/>
        <filter val="LP-N7"/>
      </filters>
    </filterColumn>
  </autoFilter>
  <phoneticPr fontId="2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/>
  <dimension ref="A2:AD21"/>
  <sheetViews>
    <sheetView zoomScale="90" zoomScaleNormal="90" workbookViewId="0">
      <selection activeCell="Z19" sqref="Z19"/>
    </sheetView>
  </sheetViews>
  <sheetFormatPr defaultColWidth="6" defaultRowHeight="12.75"/>
  <cols>
    <col min="1" max="6" width="8.75" style="1" customWidth="1"/>
    <col min="7" max="7" width="4.125" style="1" customWidth="1"/>
    <col min="8" max="8" width="6" style="1" customWidth="1"/>
    <col min="9" max="10" width="9" style="1" bestFit="1" customWidth="1"/>
    <col min="11" max="11" width="7.125" style="1" customWidth="1"/>
    <col min="12" max="12" width="5.75" style="1" bestFit="1" customWidth="1"/>
    <col min="13" max="24" width="6.75" style="1" customWidth="1"/>
    <col min="25" max="25" width="8.375" style="1" bestFit="1" customWidth="1"/>
    <col min="26" max="16384" width="6" style="1"/>
  </cols>
  <sheetData>
    <row r="2" spans="1:30" s="33" customFormat="1" ht="28.5" customHeight="1">
      <c r="A2" s="74" t="s">
        <v>0</v>
      </c>
      <c r="B2" s="74" t="s">
        <v>75</v>
      </c>
      <c r="C2" s="74" t="s">
        <v>86</v>
      </c>
      <c r="D2" s="74" t="s">
        <v>87</v>
      </c>
      <c r="E2" s="74" t="s">
        <v>153</v>
      </c>
      <c r="F2" s="74" t="s">
        <v>151</v>
      </c>
      <c r="G2" s="74"/>
      <c r="H2" s="74" t="s">
        <v>25</v>
      </c>
      <c r="I2" s="74" t="s">
        <v>26</v>
      </c>
      <c r="J2" s="74" t="s">
        <v>27</v>
      </c>
      <c r="K2" s="74" t="s">
        <v>28</v>
      </c>
      <c r="L2" s="74"/>
      <c r="M2" s="74" t="s">
        <v>1</v>
      </c>
      <c r="N2" s="74" t="s">
        <v>2</v>
      </c>
      <c r="O2" s="74" t="s">
        <v>3</v>
      </c>
      <c r="P2" s="74" t="s">
        <v>4</v>
      </c>
      <c r="Q2" s="74" t="s">
        <v>5</v>
      </c>
      <c r="R2" s="74" t="s">
        <v>6</v>
      </c>
      <c r="S2" s="74" t="s">
        <v>7</v>
      </c>
      <c r="T2" s="74" t="s">
        <v>8</v>
      </c>
      <c r="U2" s="74" t="s">
        <v>9</v>
      </c>
      <c r="V2" s="74" t="s">
        <v>10</v>
      </c>
      <c r="W2" s="74" t="s">
        <v>11</v>
      </c>
      <c r="X2" s="74" t="s">
        <v>12</v>
      </c>
    </row>
    <row r="3" spans="1:30" s="33" customFormat="1" ht="14.25">
      <c r="A3" s="74" t="s">
        <v>37</v>
      </c>
      <c r="B3" s="71">
        <v>90</v>
      </c>
      <c r="C3" s="71">
        <v>90.4</v>
      </c>
      <c r="D3" s="71">
        <v>89.6</v>
      </c>
      <c r="E3" s="71">
        <v>90.5</v>
      </c>
      <c r="F3" s="71"/>
      <c r="G3" s="71"/>
      <c r="H3" s="71">
        <f>AVERAGE(M3:O3)</f>
        <v>88.899999999999991</v>
      </c>
      <c r="I3" s="71">
        <f t="shared" ref="I3:I10" si="0">AVERAGE(P3:R3)</f>
        <v>49.9</v>
      </c>
      <c r="J3" s="71" t="e">
        <f t="shared" ref="J3:J10" si="1">AVERAGE(S3:U3)</f>
        <v>#DIV/0!</v>
      </c>
      <c r="K3" s="71"/>
      <c r="L3" s="71"/>
      <c r="M3" s="77">
        <v>83.9</v>
      </c>
      <c r="N3" s="77">
        <v>92</v>
      </c>
      <c r="O3" s="77">
        <v>90.8</v>
      </c>
      <c r="P3" s="71">
        <v>49.9</v>
      </c>
      <c r="Q3" s="71"/>
      <c r="R3" s="71"/>
      <c r="S3" s="71"/>
      <c r="T3" s="71"/>
      <c r="U3" s="71"/>
      <c r="V3" s="71"/>
      <c r="W3" s="71"/>
      <c r="X3" s="71"/>
      <c r="AD3" s="33">
        <v>93.8</v>
      </c>
    </row>
    <row r="4" spans="1:30" s="33" customFormat="1" ht="16.5" customHeight="1">
      <c r="A4" s="74" t="s">
        <v>34</v>
      </c>
      <c r="B4" s="71">
        <v>91.3</v>
      </c>
      <c r="C4" s="71">
        <v>91.3</v>
      </c>
      <c r="D4" s="71">
        <f>AVERAGE(K4:V4)</f>
        <v>91.299999999999969</v>
      </c>
      <c r="E4" s="71">
        <v>91.3</v>
      </c>
      <c r="F4" s="71"/>
      <c r="G4" s="71"/>
      <c r="H4" s="71">
        <f t="shared" ref="H4:H10" si="2">AVERAGE(M4:O4)</f>
        <v>91.3</v>
      </c>
      <c r="I4" s="71">
        <f t="shared" si="0"/>
        <v>91.3</v>
      </c>
      <c r="J4" s="71">
        <f t="shared" si="1"/>
        <v>91.3</v>
      </c>
      <c r="K4" s="71">
        <f>AVERAGE(V4:X4)</f>
        <v>91.3</v>
      </c>
      <c r="L4" s="65"/>
      <c r="M4" s="71">
        <v>91.3</v>
      </c>
      <c r="N4" s="71">
        <v>91.3</v>
      </c>
      <c r="O4" s="71">
        <v>91.3</v>
      </c>
      <c r="P4" s="71">
        <v>91.3</v>
      </c>
      <c r="Q4" s="71">
        <v>91.3</v>
      </c>
      <c r="R4" s="71">
        <v>91.3</v>
      </c>
      <c r="S4" s="71">
        <v>91.3</v>
      </c>
      <c r="T4" s="71">
        <v>91.3</v>
      </c>
      <c r="U4" s="71">
        <v>91.3</v>
      </c>
      <c r="V4" s="71">
        <v>91.3</v>
      </c>
      <c r="W4" s="71">
        <v>91.3</v>
      </c>
      <c r="X4" s="71">
        <v>91.3</v>
      </c>
      <c r="AD4" s="33">
        <v>91.3</v>
      </c>
    </row>
    <row r="5" spans="1:30" s="33" customFormat="1" ht="16.5" customHeight="1">
      <c r="A5" s="74" t="s">
        <v>35</v>
      </c>
      <c r="B5" s="71">
        <v>2.4</v>
      </c>
      <c r="C5" s="71">
        <v>2.4</v>
      </c>
      <c r="D5" s="71">
        <v>4.4000000000000004</v>
      </c>
      <c r="E5" s="71">
        <v>3.2</v>
      </c>
      <c r="F5" s="71"/>
      <c r="G5" s="71"/>
      <c r="H5" s="71">
        <f t="shared" si="2"/>
        <v>3.4333333333333336</v>
      </c>
      <c r="I5" s="71">
        <f t="shared" si="0"/>
        <v>2.1</v>
      </c>
      <c r="J5" s="71" t="e">
        <f t="shared" si="1"/>
        <v>#DIV/0!</v>
      </c>
      <c r="K5" s="71"/>
      <c r="L5" s="65"/>
      <c r="M5" s="65">
        <v>3.5</v>
      </c>
      <c r="N5" s="65">
        <v>3.7</v>
      </c>
      <c r="O5" s="65">
        <v>3.1</v>
      </c>
      <c r="P5" s="65">
        <v>2.1</v>
      </c>
      <c r="Q5" s="65"/>
      <c r="R5" s="65"/>
      <c r="S5" s="65"/>
      <c r="T5" s="65"/>
      <c r="U5" s="65"/>
      <c r="V5" s="65"/>
      <c r="W5" s="65"/>
      <c r="X5" s="65"/>
      <c r="AD5" s="33">
        <v>93</v>
      </c>
    </row>
    <row r="6" spans="1:30" s="33" customFormat="1" ht="16.5" customHeight="1">
      <c r="A6" s="75" t="s">
        <v>88</v>
      </c>
      <c r="B6" s="71">
        <v>1.1000000000000001</v>
      </c>
      <c r="C6" s="71">
        <v>1</v>
      </c>
      <c r="D6" s="71">
        <v>1.4</v>
      </c>
      <c r="E6" s="71">
        <v>0.7</v>
      </c>
      <c r="F6" s="71"/>
      <c r="G6" s="71"/>
      <c r="H6" s="71">
        <f t="shared" si="2"/>
        <v>0.66666666666666663</v>
      </c>
      <c r="I6" s="71">
        <f t="shared" si="0"/>
        <v>0.2</v>
      </c>
      <c r="J6" s="71" t="e">
        <f t="shared" si="1"/>
        <v>#DIV/0!</v>
      </c>
      <c r="K6" s="71"/>
      <c r="L6" s="53"/>
      <c r="M6" s="53">
        <v>0.5</v>
      </c>
      <c r="N6" s="53">
        <v>0.2</v>
      </c>
      <c r="O6" s="53">
        <v>1.3</v>
      </c>
      <c r="P6" s="53">
        <v>0.2</v>
      </c>
      <c r="Q6" s="53"/>
      <c r="R6" s="53"/>
      <c r="S6" s="53"/>
      <c r="T6" s="53"/>
      <c r="U6" s="53"/>
      <c r="V6" s="53"/>
      <c r="W6" s="53"/>
      <c r="X6" s="53"/>
      <c r="AD6" s="33">
        <v>91.6</v>
      </c>
    </row>
    <row r="7" spans="1:30" s="33" customFormat="1" ht="27">
      <c r="A7" s="74" t="s">
        <v>89</v>
      </c>
      <c r="B7" s="71">
        <f>SUM(B5:B6)</f>
        <v>3.5</v>
      </c>
      <c r="C7" s="71">
        <f>SUM(C5:C6)</f>
        <v>3.4</v>
      </c>
      <c r="D7" s="71">
        <v>5.9</v>
      </c>
      <c r="E7" s="71">
        <v>4</v>
      </c>
      <c r="F7" s="71"/>
      <c r="G7" s="71"/>
      <c r="H7" s="71">
        <f>SUM(H5:H6)</f>
        <v>4.1000000000000005</v>
      </c>
      <c r="I7" s="71">
        <f t="shared" si="0"/>
        <v>2.2999999999999998</v>
      </c>
      <c r="J7" s="71" t="e">
        <f t="shared" si="1"/>
        <v>#DIV/0!</v>
      </c>
      <c r="K7" s="71"/>
      <c r="L7" s="53"/>
      <c r="M7" s="53">
        <v>4.0999999999999996</v>
      </c>
      <c r="N7" s="53">
        <v>4</v>
      </c>
      <c r="O7" s="53">
        <v>4.4000000000000004</v>
      </c>
      <c r="P7" s="53">
        <v>2.2999999999999998</v>
      </c>
      <c r="Q7" s="53"/>
      <c r="R7" s="53"/>
      <c r="S7" s="53"/>
      <c r="T7" s="53"/>
      <c r="U7" s="53"/>
      <c r="V7" s="53"/>
      <c r="W7" s="53"/>
      <c r="X7" s="53"/>
    </row>
    <row r="8" spans="1:30" s="39" customFormat="1" ht="16.5" customHeight="1">
      <c r="A8" s="76" t="s">
        <v>36</v>
      </c>
      <c r="B8" s="71">
        <v>3</v>
      </c>
      <c r="C8" s="71">
        <v>3</v>
      </c>
      <c r="D8" s="71">
        <v>3.5</v>
      </c>
      <c r="E8" s="71">
        <v>3.4</v>
      </c>
      <c r="F8" s="71"/>
      <c r="G8" s="71"/>
      <c r="H8" s="71">
        <f t="shared" si="2"/>
        <v>3.4</v>
      </c>
      <c r="I8" s="71">
        <f t="shared" si="0"/>
        <v>1.9</v>
      </c>
      <c r="J8" s="71" t="e">
        <f t="shared" si="1"/>
        <v>#DIV/0!</v>
      </c>
      <c r="K8" s="71"/>
      <c r="L8" s="72"/>
      <c r="M8" s="72">
        <v>3.7</v>
      </c>
      <c r="N8" s="72">
        <v>3.4</v>
      </c>
      <c r="O8" s="72">
        <v>3.1</v>
      </c>
      <c r="P8" s="72">
        <v>1.9</v>
      </c>
      <c r="Q8" s="72"/>
      <c r="R8" s="72"/>
      <c r="S8" s="72"/>
      <c r="T8" s="72"/>
      <c r="U8" s="72"/>
      <c r="V8" s="72"/>
      <c r="W8" s="72"/>
      <c r="X8" s="72"/>
    </row>
    <row r="9" spans="1:30" s="39" customFormat="1" ht="15.75" customHeight="1">
      <c r="A9" s="76" t="s">
        <v>38</v>
      </c>
      <c r="B9" s="71">
        <v>2.5</v>
      </c>
      <c r="C9" s="71">
        <v>2</v>
      </c>
      <c r="D9" s="71">
        <f>AVERAGE(K9:V9)</f>
        <v>1.9</v>
      </c>
      <c r="E9" s="71">
        <v>0.6</v>
      </c>
      <c r="F9" s="71"/>
      <c r="G9" s="71"/>
      <c r="H9" s="71">
        <f t="shared" si="2"/>
        <v>2.5333333333333332</v>
      </c>
      <c r="I9" s="71">
        <f t="shared" si="0"/>
        <v>0</v>
      </c>
      <c r="J9" s="71" t="e">
        <f t="shared" si="1"/>
        <v>#DIV/0!</v>
      </c>
      <c r="K9" s="71"/>
      <c r="L9" s="73"/>
      <c r="M9" s="73">
        <v>7.6</v>
      </c>
      <c r="N9" s="73">
        <v>0</v>
      </c>
      <c r="O9" s="73">
        <v>0</v>
      </c>
      <c r="P9" s="73">
        <v>0</v>
      </c>
      <c r="Q9" s="73"/>
      <c r="R9" s="73"/>
      <c r="S9" s="73"/>
      <c r="T9" s="73"/>
      <c r="U9" s="73"/>
      <c r="V9" s="73"/>
      <c r="W9" s="73"/>
      <c r="X9" s="73"/>
      <c r="AD9" s="39">
        <f>AVERAGE(AD3:AD8)</f>
        <v>92.425000000000011</v>
      </c>
    </row>
    <row r="10" spans="1:30" ht="15.75" customHeight="1">
      <c r="A10" s="76" t="s">
        <v>80</v>
      </c>
      <c r="B10" s="71">
        <v>2.5</v>
      </c>
      <c r="C10" s="71">
        <v>0.2</v>
      </c>
      <c r="D10" s="71">
        <v>0.4</v>
      </c>
      <c r="E10" s="71">
        <v>0.8</v>
      </c>
      <c r="F10" s="71"/>
      <c r="G10" s="71"/>
      <c r="H10" s="71">
        <f t="shared" si="2"/>
        <v>0.6</v>
      </c>
      <c r="I10" s="71">
        <f t="shared" si="0"/>
        <v>2</v>
      </c>
      <c r="J10" s="71" t="e">
        <f t="shared" si="1"/>
        <v>#DIV/0!</v>
      </c>
      <c r="K10" s="71"/>
      <c r="L10" s="73"/>
      <c r="M10" s="73">
        <v>0.3</v>
      </c>
      <c r="N10" s="73">
        <v>0.3</v>
      </c>
      <c r="O10" s="73">
        <v>1.2</v>
      </c>
      <c r="P10" s="73">
        <v>2</v>
      </c>
      <c r="Q10" s="73"/>
      <c r="R10" s="73"/>
      <c r="S10" s="73"/>
      <c r="T10" s="73"/>
      <c r="U10" s="73"/>
      <c r="V10" s="73"/>
      <c r="W10" s="73"/>
      <c r="X10" s="73"/>
    </row>
    <row r="15" spans="1:30">
      <c r="W15" s="1">
        <v>54.4</v>
      </c>
      <c r="X15" s="1">
        <v>44.7</v>
      </c>
      <c r="Y15" s="1">
        <f>X15+W15</f>
        <v>99.1</v>
      </c>
    </row>
    <row r="16" spans="1:30">
      <c r="W16" s="1">
        <v>43.4</v>
      </c>
      <c r="X16" s="1">
        <v>36.9</v>
      </c>
      <c r="Y16" s="1">
        <f t="shared" ref="Y16:Y21" si="3">X16+W16</f>
        <v>80.3</v>
      </c>
    </row>
    <row r="17" spans="23:25">
      <c r="W17" s="1">
        <v>70.599999999999994</v>
      </c>
      <c r="X17" s="1">
        <v>23.7</v>
      </c>
      <c r="Y17" s="1">
        <f t="shared" si="3"/>
        <v>94.3</v>
      </c>
    </row>
    <row r="18" spans="23:25">
      <c r="W18" s="1">
        <v>64</v>
      </c>
      <c r="X18" s="1">
        <v>28.9</v>
      </c>
      <c r="Y18" s="1">
        <f t="shared" si="3"/>
        <v>92.9</v>
      </c>
    </row>
    <row r="19" spans="23:25">
      <c r="W19" s="1">
        <v>42.6</v>
      </c>
      <c r="X19" s="1">
        <v>51</v>
      </c>
      <c r="Y19" s="1">
        <f t="shared" si="3"/>
        <v>93.6</v>
      </c>
    </row>
    <row r="20" spans="23:25">
      <c r="W20" s="1">
        <v>49.3</v>
      </c>
      <c r="X20" s="1">
        <v>49.8</v>
      </c>
      <c r="Y20" s="1">
        <f t="shared" si="3"/>
        <v>99.1</v>
      </c>
    </row>
    <row r="21" spans="23:25">
      <c r="W21" s="1">
        <v>25.2</v>
      </c>
      <c r="X21" s="1">
        <v>65.7</v>
      </c>
      <c r="Y21" s="1">
        <f t="shared" si="3"/>
        <v>90.9</v>
      </c>
    </row>
  </sheetData>
  <phoneticPr fontId="14" type="noConversion"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/>
  <dimension ref="A2:X11"/>
  <sheetViews>
    <sheetView zoomScaleNormal="100" workbookViewId="0">
      <selection activeCell="P5" sqref="P5"/>
    </sheetView>
  </sheetViews>
  <sheetFormatPr defaultColWidth="6" defaultRowHeight="12.75"/>
  <cols>
    <col min="1" max="1" width="8.75" style="1" customWidth="1"/>
    <col min="2" max="3" width="5.5" style="1" bestFit="1" customWidth="1"/>
    <col min="4" max="4" width="7.375" style="1" bestFit="1" customWidth="1"/>
    <col min="5" max="5" width="5.5" style="1" customWidth="1"/>
    <col min="6" max="6" width="5.5" style="1" bestFit="1" customWidth="1"/>
    <col min="7" max="7" width="3.125" style="1" customWidth="1"/>
    <col min="8" max="9" width="7.375" style="1" bestFit="1" customWidth="1"/>
    <col min="10" max="10" width="6.875" style="1" customWidth="1"/>
    <col min="11" max="11" width="7.125" style="1" customWidth="1"/>
    <col min="12" max="12" width="3.375" style="1" customWidth="1"/>
    <col min="13" max="24" width="6.75" style="1" customWidth="1"/>
    <col min="25" max="16384" width="6" style="1"/>
  </cols>
  <sheetData>
    <row r="2" spans="1:24" s="33" customFormat="1" ht="28.5" customHeight="1">
      <c r="A2" s="66" t="s">
        <v>39</v>
      </c>
      <c r="B2" s="66">
        <v>2018</v>
      </c>
      <c r="C2" s="66">
        <v>2019</v>
      </c>
      <c r="D2" s="66">
        <v>2020</v>
      </c>
      <c r="E2" s="66">
        <v>2021</v>
      </c>
      <c r="F2" s="66">
        <v>2022</v>
      </c>
      <c r="G2" s="66"/>
      <c r="H2" s="66" t="s">
        <v>25</v>
      </c>
      <c r="I2" s="66" t="s">
        <v>26</v>
      </c>
      <c r="J2" s="66" t="s">
        <v>27</v>
      </c>
      <c r="K2" s="66" t="s">
        <v>28</v>
      </c>
      <c r="L2" s="66"/>
      <c r="M2" s="66" t="s">
        <v>1</v>
      </c>
      <c r="N2" s="66" t="s">
        <v>2</v>
      </c>
      <c r="O2" s="66" t="s">
        <v>3</v>
      </c>
      <c r="P2" s="66" t="s">
        <v>4</v>
      </c>
      <c r="Q2" s="66" t="s">
        <v>5</v>
      </c>
      <c r="R2" s="66" t="s">
        <v>6</v>
      </c>
      <c r="S2" s="66" t="s">
        <v>7</v>
      </c>
      <c r="T2" s="66" t="s">
        <v>8</v>
      </c>
      <c r="U2" s="66" t="s">
        <v>9</v>
      </c>
      <c r="V2" s="66" t="s">
        <v>10</v>
      </c>
      <c r="W2" s="66" t="s">
        <v>11</v>
      </c>
      <c r="X2" s="66" t="s">
        <v>12</v>
      </c>
    </row>
    <row r="3" spans="1:24" s="33" customFormat="1" ht="16.5" customHeight="1">
      <c r="A3" s="66" t="s">
        <v>46</v>
      </c>
      <c r="B3" s="81">
        <v>91.3</v>
      </c>
      <c r="C3" s="81">
        <v>91.3</v>
      </c>
      <c r="D3" s="81">
        <v>91.3</v>
      </c>
      <c r="E3" s="81">
        <v>91.3</v>
      </c>
      <c r="F3" s="81">
        <v>91.3</v>
      </c>
      <c r="G3" s="81"/>
      <c r="H3" s="81">
        <v>91.3</v>
      </c>
      <c r="I3" s="81">
        <v>91.3</v>
      </c>
      <c r="J3" s="81">
        <v>91.3</v>
      </c>
      <c r="K3" s="81">
        <v>91.3</v>
      </c>
      <c r="L3" s="81"/>
      <c r="M3" s="81">
        <v>91.3</v>
      </c>
      <c r="N3" s="81">
        <v>91.3</v>
      </c>
      <c r="O3" s="81">
        <v>91.3</v>
      </c>
      <c r="P3" s="81">
        <v>91.3</v>
      </c>
      <c r="Q3" s="81">
        <v>91.3</v>
      </c>
      <c r="R3" s="81">
        <v>91.3</v>
      </c>
      <c r="S3" s="81">
        <v>91.3</v>
      </c>
      <c r="T3" s="81">
        <v>91.3</v>
      </c>
      <c r="U3" s="81">
        <v>91.3</v>
      </c>
      <c r="V3" s="81">
        <v>91.3</v>
      </c>
      <c r="W3" s="81">
        <v>91.3</v>
      </c>
      <c r="X3" s="81">
        <v>91.3</v>
      </c>
    </row>
    <row r="4" spans="1:24" s="33" customFormat="1" ht="16.5" customHeight="1">
      <c r="A4" s="66" t="s">
        <v>42</v>
      </c>
      <c r="B4" s="66">
        <v>94.8</v>
      </c>
      <c r="C4" s="66">
        <v>91.9</v>
      </c>
      <c r="D4" s="67">
        <f>AVERAGE(K4:V4)</f>
        <v>90.850000000000009</v>
      </c>
      <c r="E4" s="66"/>
      <c r="F4" s="67"/>
      <c r="G4" s="67"/>
      <c r="H4" s="67">
        <f>AVERAGE(M4:O4)</f>
        <v>88.533333333333346</v>
      </c>
      <c r="I4" s="67">
        <f>AVERAGE(P4:R4)</f>
        <v>97.8</v>
      </c>
      <c r="J4" s="67" t="e">
        <f>AVERAGE(S4:U4)</f>
        <v>#DIV/0!</v>
      </c>
      <c r="K4" s="67"/>
      <c r="L4" s="67"/>
      <c r="M4" s="67">
        <v>82.5</v>
      </c>
      <c r="N4" s="67">
        <v>92.4</v>
      </c>
      <c r="O4" s="67">
        <v>90.7</v>
      </c>
      <c r="P4" s="79">
        <v>97.8</v>
      </c>
      <c r="Q4" s="79"/>
      <c r="R4" s="67"/>
      <c r="S4" s="67"/>
      <c r="T4" s="67"/>
      <c r="U4" s="67"/>
      <c r="V4" s="67"/>
      <c r="W4" s="67"/>
      <c r="X4" s="67"/>
    </row>
    <row r="5" spans="1:24" s="33" customFormat="1" ht="16.5" customHeight="1">
      <c r="A5" s="66" t="s">
        <v>40</v>
      </c>
      <c r="B5" s="66">
        <v>93.4</v>
      </c>
      <c r="C5" s="66">
        <v>89.6</v>
      </c>
      <c r="D5" s="67">
        <f t="shared" ref="D5:D10" si="0">AVERAGE(K5:V5)</f>
        <v>86</v>
      </c>
      <c r="E5" s="66"/>
      <c r="F5" s="67"/>
      <c r="G5" s="67"/>
      <c r="H5" s="67">
        <f t="shared" ref="H5:H10" si="1">AVERAGE(M5:O5)</f>
        <v>85.566666666666663</v>
      </c>
      <c r="I5" s="67">
        <f t="shared" ref="I5:I11" si="2">AVERAGE(P5:R5)</f>
        <v>87.3</v>
      </c>
      <c r="J5" s="67" t="e">
        <f t="shared" ref="J5:J10" si="3">AVERAGE(S5:U5)</f>
        <v>#DIV/0!</v>
      </c>
      <c r="K5" s="67"/>
      <c r="L5" s="67"/>
      <c r="M5" s="67">
        <v>79.099999999999994</v>
      </c>
      <c r="N5" s="67">
        <v>90</v>
      </c>
      <c r="O5" s="67">
        <v>87.6</v>
      </c>
      <c r="P5" s="79">
        <v>87.3</v>
      </c>
      <c r="Q5" s="79"/>
      <c r="R5" s="67"/>
      <c r="S5" s="67"/>
      <c r="T5" s="67"/>
      <c r="U5" s="67"/>
      <c r="V5" s="67"/>
      <c r="W5" s="67"/>
      <c r="X5" s="67"/>
    </row>
    <row r="6" spans="1:24" s="33" customFormat="1" ht="16.5" customHeight="1">
      <c r="A6" s="68" t="s">
        <v>24</v>
      </c>
      <c r="B6" s="68">
        <v>91.2</v>
      </c>
      <c r="C6" s="68">
        <v>88.7</v>
      </c>
      <c r="D6" s="67">
        <f t="shared" si="0"/>
        <v>89.899999999999991</v>
      </c>
      <c r="E6" s="68"/>
      <c r="F6" s="67"/>
      <c r="G6" s="40"/>
      <c r="H6" s="67">
        <f t="shared" si="1"/>
        <v>88.633333333333326</v>
      </c>
      <c r="I6" s="67">
        <f t="shared" si="2"/>
        <v>93.7</v>
      </c>
      <c r="J6" s="67" t="e">
        <f t="shared" si="3"/>
        <v>#DIV/0!</v>
      </c>
      <c r="K6" s="67"/>
      <c r="L6" s="40"/>
      <c r="M6" s="40">
        <v>84.9</v>
      </c>
      <c r="N6" s="40">
        <v>92.5</v>
      </c>
      <c r="O6" s="40">
        <v>88.5</v>
      </c>
      <c r="P6" s="79">
        <v>93.7</v>
      </c>
      <c r="Q6" s="79"/>
      <c r="R6" s="40"/>
      <c r="S6" s="40"/>
      <c r="T6" s="40"/>
      <c r="U6" s="40"/>
      <c r="V6" s="40"/>
      <c r="W6" s="40"/>
      <c r="X6" s="40"/>
    </row>
    <row r="7" spans="1:24" s="39" customFormat="1" ht="16.5" customHeight="1">
      <c r="A7" s="69" t="s">
        <v>43</v>
      </c>
      <c r="B7" s="69">
        <v>92.1</v>
      </c>
      <c r="C7" s="69">
        <v>89.5</v>
      </c>
      <c r="D7" s="67">
        <f t="shared" si="0"/>
        <v>87.4</v>
      </c>
      <c r="E7" s="69"/>
      <c r="F7" s="67"/>
      <c r="G7" s="82"/>
      <c r="H7" s="67">
        <f t="shared" si="1"/>
        <v>86.2</v>
      </c>
      <c r="I7" s="67">
        <f t="shared" si="2"/>
        <v>91</v>
      </c>
      <c r="J7" s="67" t="e">
        <f t="shared" si="3"/>
        <v>#DIV/0!</v>
      </c>
      <c r="K7" s="67"/>
      <c r="L7" s="80"/>
      <c r="M7" s="80">
        <v>86</v>
      </c>
      <c r="N7" s="80">
        <v>90.2</v>
      </c>
      <c r="O7" s="80">
        <v>82.4</v>
      </c>
      <c r="P7" s="79">
        <v>91</v>
      </c>
      <c r="Q7" s="79"/>
      <c r="R7" s="80"/>
      <c r="S7" s="80"/>
      <c r="T7" s="80"/>
      <c r="U7" s="80"/>
      <c r="V7" s="80"/>
      <c r="W7" s="80"/>
      <c r="X7" s="80"/>
    </row>
    <row r="8" spans="1:24" s="39" customFormat="1" ht="15.75" customHeight="1">
      <c r="A8" s="69" t="s">
        <v>44</v>
      </c>
      <c r="B8" s="69">
        <v>85.3</v>
      </c>
      <c r="C8" s="69">
        <v>89.9</v>
      </c>
      <c r="D8" s="67">
        <f t="shared" si="0"/>
        <v>90.124999999999986</v>
      </c>
      <c r="E8" s="69"/>
      <c r="F8" s="67"/>
      <c r="G8" s="78"/>
      <c r="H8" s="67">
        <f t="shared" si="1"/>
        <v>89.59999999999998</v>
      </c>
      <c r="I8" s="67">
        <f t="shared" si="2"/>
        <v>91.7</v>
      </c>
      <c r="J8" s="67" t="e">
        <f t="shared" si="3"/>
        <v>#DIV/0!</v>
      </c>
      <c r="K8" s="67"/>
      <c r="L8" s="78"/>
      <c r="M8" s="78">
        <v>83.2</v>
      </c>
      <c r="N8" s="78">
        <v>89.5</v>
      </c>
      <c r="O8" s="78">
        <v>96.1</v>
      </c>
      <c r="P8" s="79">
        <v>91.7</v>
      </c>
      <c r="Q8" s="79"/>
      <c r="R8" s="78"/>
      <c r="S8" s="78"/>
      <c r="T8" s="78"/>
      <c r="U8" s="78"/>
      <c r="V8" s="78"/>
      <c r="W8" s="78"/>
      <c r="X8" s="78"/>
    </row>
    <row r="9" spans="1:24" s="39" customFormat="1" ht="15.75" customHeight="1">
      <c r="A9" s="69" t="s">
        <v>45</v>
      </c>
      <c r="B9" s="69">
        <v>79.099999999999994</v>
      </c>
      <c r="C9" s="69">
        <v>92.9</v>
      </c>
      <c r="D9" s="67">
        <f t="shared" si="0"/>
        <v>94.95</v>
      </c>
      <c r="E9" s="69"/>
      <c r="F9" s="67"/>
      <c r="G9" s="78"/>
      <c r="H9" s="67">
        <f t="shared" si="1"/>
        <v>94.333333333333329</v>
      </c>
      <c r="I9" s="67">
        <f t="shared" si="2"/>
        <v>96.8</v>
      </c>
      <c r="J9" s="67" t="e">
        <f t="shared" si="3"/>
        <v>#DIV/0!</v>
      </c>
      <c r="K9" s="67"/>
      <c r="L9" s="78"/>
      <c r="M9" s="78">
        <v>87.4</v>
      </c>
      <c r="N9" s="78">
        <v>95.9</v>
      </c>
      <c r="O9" s="78">
        <v>99.7</v>
      </c>
      <c r="P9" s="79">
        <v>96.8</v>
      </c>
      <c r="Q9" s="79"/>
      <c r="R9" s="78"/>
      <c r="S9" s="78"/>
      <c r="T9" s="78"/>
      <c r="U9" s="78"/>
      <c r="V9" s="78"/>
      <c r="W9" s="78"/>
      <c r="X9" s="78"/>
    </row>
    <row r="10" spans="1:24" ht="14.25">
      <c r="A10" s="69" t="s">
        <v>41</v>
      </c>
      <c r="B10" s="69">
        <v>93.7</v>
      </c>
      <c r="C10" s="69">
        <v>90.8</v>
      </c>
      <c r="D10" s="67">
        <f t="shared" si="0"/>
        <v>89.75</v>
      </c>
      <c r="E10" s="69"/>
      <c r="F10" s="67"/>
      <c r="G10" s="78"/>
      <c r="H10" s="67">
        <f t="shared" si="1"/>
        <v>89.166666666666671</v>
      </c>
      <c r="I10" s="67">
        <f t="shared" si="2"/>
        <v>91.5</v>
      </c>
      <c r="J10" s="67" t="e">
        <f t="shared" si="3"/>
        <v>#DIV/0!</v>
      </c>
      <c r="K10" s="67"/>
      <c r="L10" s="78"/>
      <c r="M10" s="78">
        <v>84.1</v>
      </c>
      <c r="N10" s="78">
        <v>93</v>
      </c>
      <c r="O10" s="78">
        <v>90.4</v>
      </c>
      <c r="P10" s="79">
        <v>91.5</v>
      </c>
      <c r="Q10" s="79"/>
      <c r="R10" s="78"/>
      <c r="S10" s="78"/>
      <c r="T10" s="78"/>
      <c r="U10" s="78"/>
      <c r="V10" s="78"/>
      <c r="W10" s="78"/>
      <c r="X10" s="78"/>
    </row>
    <row r="11" spans="1:24">
      <c r="I11" s="1" t="e">
        <f t="shared" si="2"/>
        <v>#DIV/0!</v>
      </c>
      <c r="M11" s="70"/>
      <c r="N11" s="70"/>
      <c r="O11" s="70"/>
    </row>
  </sheetData>
  <phoneticPr fontId="16" type="noConversion"/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9"/>
  <dimension ref="A1:AA19"/>
  <sheetViews>
    <sheetView zoomScale="85" zoomScaleNormal="85" workbookViewId="0">
      <selection activeCell="H40" sqref="H40"/>
    </sheetView>
  </sheetViews>
  <sheetFormatPr defaultRowHeight="15.75"/>
  <cols>
    <col min="1" max="1" width="14" customWidth="1"/>
    <col min="3" max="3" width="5.5" customWidth="1"/>
    <col min="4" max="9" width="11" customWidth="1"/>
  </cols>
  <sheetData>
    <row r="1" spans="1:27" ht="34.5" customHeight="1">
      <c r="A1" s="86"/>
      <c r="B1" s="86" t="s">
        <v>347</v>
      </c>
      <c r="C1" s="86"/>
      <c r="D1" s="87" t="s">
        <v>348</v>
      </c>
      <c r="E1" s="87" t="s">
        <v>349</v>
      </c>
      <c r="F1" s="87" t="s">
        <v>350</v>
      </c>
      <c r="G1" s="87" t="s">
        <v>351</v>
      </c>
      <c r="H1" s="87" t="s">
        <v>352</v>
      </c>
      <c r="I1" s="87" t="s">
        <v>353</v>
      </c>
      <c r="J1" s="87"/>
      <c r="K1" s="86" t="s">
        <v>354</v>
      </c>
      <c r="L1" s="86" t="s">
        <v>355</v>
      </c>
      <c r="M1" s="86" t="s">
        <v>356</v>
      </c>
      <c r="N1" s="86" t="s">
        <v>357</v>
      </c>
      <c r="O1" s="86"/>
      <c r="P1" s="86">
        <v>1</v>
      </c>
      <c r="Q1" s="86">
        <v>2</v>
      </c>
      <c r="R1" s="86">
        <v>3</v>
      </c>
      <c r="S1" s="86">
        <v>4</v>
      </c>
      <c r="T1" s="86">
        <v>5</v>
      </c>
      <c r="U1" s="86">
        <v>6</v>
      </c>
      <c r="V1" s="86">
        <v>7</v>
      </c>
      <c r="W1" s="86">
        <v>8</v>
      </c>
      <c r="X1" s="86">
        <v>9</v>
      </c>
      <c r="Y1" s="86">
        <v>10</v>
      </c>
      <c r="Z1" s="86">
        <v>11</v>
      </c>
      <c r="AA1" s="86">
        <v>12</v>
      </c>
    </row>
    <row r="2" spans="1:27">
      <c r="A2" s="86" t="s">
        <v>287</v>
      </c>
      <c r="B2" s="86"/>
      <c r="C2" s="86"/>
      <c r="D2" s="87">
        <v>82</v>
      </c>
      <c r="E2" s="87">
        <v>78</v>
      </c>
      <c r="F2" s="87">
        <v>75</v>
      </c>
      <c r="G2" s="87">
        <v>85</v>
      </c>
      <c r="H2" s="87">
        <v>89</v>
      </c>
      <c r="I2" s="87">
        <v>81</v>
      </c>
      <c r="J2" s="87"/>
      <c r="K2" s="86">
        <v>247</v>
      </c>
      <c r="L2" s="86">
        <v>254</v>
      </c>
      <c r="M2" s="86">
        <v>287</v>
      </c>
      <c r="N2" s="86">
        <v>180</v>
      </c>
      <c r="O2" s="86"/>
      <c r="P2" s="86">
        <v>82</v>
      </c>
      <c r="Q2" s="86">
        <v>75</v>
      </c>
      <c r="R2" s="86">
        <v>90</v>
      </c>
      <c r="S2" s="86">
        <v>78</v>
      </c>
      <c r="T2" s="86">
        <v>83</v>
      </c>
      <c r="U2" s="86">
        <v>93</v>
      </c>
      <c r="V2" s="86">
        <v>104</v>
      </c>
      <c r="W2" s="86">
        <v>88</v>
      </c>
      <c r="X2" s="86">
        <v>95</v>
      </c>
      <c r="Y2" s="86">
        <v>73</v>
      </c>
      <c r="Z2" s="86">
        <v>53</v>
      </c>
      <c r="AA2" s="86">
        <v>54</v>
      </c>
    </row>
    <row r="3" spans="1:27">
      <c r="A3" s="86" t="s">
        <v>81</v>
      </c>
      <c r="B3" s="86"/>
      <c r="C3" s="86"/>
      <c r="D3" s="87">
        <v>82</v>
      </c>
      <c r="E3" s="87">
        <v>81</v>
      </c>
      <c r="F3" s="87">
        <v>80</v>
      </c>
      <c r="G3" s="87">
        <v>87</v>
      </c>
      <c r="H3" s="87">
        <v>90</v>
      </c>
      <c r="I3" s="87">
        <v>75</v>
      </c>
      <c r="J3" s="87"/>
      <c r="K3" s="86">
        <v>264</v>
      </c>
      <c r="L3" s="86">
        <v>229</v>
      </c>
      <c r="M3" s="86">
        <v>231</v>
      </c>
      <c r="N3" s="86">
        <v>175</v>
      </c>
      <c r="O3" s="86"/>
      <c r="P3" s="86">
        <v>76</v>
      </c>
      <c r="Q3" s="86">
        <v>82</v>
      </c>
      <c r="R3" s="86">
        <v>106</v>
      </c>
      <c r="S3" s="86">
        <v>83</v>
      </c>
      <c r="T3" s="86">
        <v>61</v>
      </c>
      <c r="U3" s="86">
        <v>85</v>
      </c>
      <c r="V3" s="86">
        <v>69</v>
      </c>
      <c r="W3" s="86">
        <v>71</v>
      </c>
      <c r="X3" s="86">
        <v>91</v>
      </c>
      <c r="Y3" s="86">
        <v>70</v>
      </c>
      <c r="Z3" s="86">
        <v>53</v>
      </c>
      <c r="AA3" s="86">
        <v>52</v>
      </c>
    </row>
    <row r="4" spans="1:27">
      <c r="A4" s="86" t="s">
        <v>82</v>
      </c>
      <c r="B4" s="86"/>
      <c r="C4" s="86"/>
      <c r="D4" s="87">
        <v>91</v>
      </c>
      <c r="E4" s="87">
        <v>90</v>
      </c>
      <c r="F4" s="87">
        <v>94</v>
      </c>
      <c r="G4" s="87">
        <v>104</v>
      </c>
      <c r="H4" s="87">
        <v>106</v>
      </c>
      <c r="I4" s="87">
        <v>102</v>
      </c>
      <c r="J4" s="87"/>
      <c r="K4" s="86">
        <v>303</v>
      </c>
      <c r="L4" s="86">
        <v>320</v>
      </c>
      <c r="M4" s="86">
        <v>321</v>
      </c>
      <c r="N4" s="86">
        <v>281</v>
      </c>
      <c r="O4" s="86"/>
      <c r="P4" s="86">
        <v>101</v>
      </c>
      <c r="Q4" s="86">
        <v>102</v>
      </c>
      <c r="R4" s="86">
        <v>100</v>
      </c>
      <c r="S4" s="86">
        <v>104</v>
      </c>
      <c r="T4" s="86">
        <v>108</v>
      </c>
      <c r="U4" s="86">
        <v>108</v>
      </c>
      <c r="V4" s="86">
        <v>113</v>
      </c>
      <c r="W4" s="86">
        <v>108</v>
      </c>
      <c r="X4" s="86">
        <v>100</v>
      </c>
      <c r="Y4" s="86">
        <v>95</v>
      </c>
      <c r="Z4" s="86">
        <v>103</v>
      </c>
      <c r="AA4" s="86">
        <v>83</v>
      </c>
    </row>
    <row r="5" spans="1:27">
      <c r="A5" s="86" t="s">
        <v>83</v>
      </c>
      <c r="B5" s="86"/>
      <c r="C5" s="86"/>
      <c r="D5" s="87">
        <v>85</v>
      </c>
      <c r="E5" s="87">
        <v>80</v>
      </c>
      <c r="F5" s="87">
        <v>89</v>
      </c>
      <c r="G5" s="87">
        <v>93</v>
      </c>
      <c r="H5" s="87">
        <v>98</v>
      </c>
      <c r="I5" s="87">
        <v>93</v>
      </c>
      <c r="J5" s="87"/>
      <c r="K5" s="86">
        <v>284</v>
      </c>
      <c r="L5" s="86">
        <v>286</v>
      </c>
      <c r="M5" s="86">
        <v>303</v>
      </c>
      <c r="N5" s="86">
        <v>242</v>
      </c>
      <c r="O5" s="86"/>
      <c r="P5" s="86">
        <v>95</v>
      </c>
      <c r="Q5" s="86">
        <v>99</v>
      </c>
      <c r="R5" s="86">
        <v>90</v>
      </c>
      <c r="S5" s="86">
        <v>94</v>
      </c>
      <c r="T5" s="86">
        <v>104</v>
      </c>
      <c r="U5" s="86">
        <v>88</v>
      </c>
      <c r="V5" s="86">
        <v>110</v>
      </c>
      <c r="W5" s="86">
        <v>99</v>
      </c>
      <c r="X5" s="86">
        <v>94</v>
      </c>
      <c r="Y5" s="86">
        <v>94</v>
      </c>
      <c r="Z5" s="86">
        <v>76</v>
      </c>
      <c r="AA5" s="86">
        <v>72</v>
      </c>
    </row>
    <row r="6" spans="1:27">
      <c r="A6" s="86" t="s">
        <v>84</v>
      </c>
      <c r="B6" s="86"/>
      <c r="C6" s="86"/>
      <c r="D6" s="87">
        <v>65</v>
      </c>
      <c r="E6" s="87">
        <v>54</v>
      </c>
      <c r="F6" s="87">
        <v>73</v>
      </c>
      <c r="G6" s="87">
        <v>86</v>
      </c>
      <c r="H6" s="87">
        <v>85</v>
      </c>
      <c r="I6" s="87">
        <v>81</v>
      </c>
      <c r="J6" s="87"/>
      <c r="K6" s="86">
        <v>246</v>
      </c>
      <c r="L6" s="86">
        <v>261</v>
      </c>
      <c r="M6" s="86">
        <v>268</v>
      </c>
      <c r="N6" s="86">
        <v>197</v>
      </c>
      <c r="O6" s="86"/>
      <c r="P6" s="86">
        <v>83</v>
      </c>
      <c r="Q6" s="86">
        <v>83</v>
      </c>
      <c r="R6" s="86">
        <v>80</v>
      </c>
      <c r="S6" s="86">
        <v>87</v>
      </c>
      <c r="T6" s="86">
        <v>88</v>
      </c>
      <c r="U6" s="86">
        <v>86</v>
      </c>
      <c r="V6" s="86">
        <v>103</v>
      </c>
      <c r="W6" s="86">
        <v>95</v>
      </c>
      <c r="X6" s="86">
        <v>70</v>
      </c>
      <c r="Y6" s="86">
        <v>61</v>
      </c>
      <c r="Z6" s="86">
        <v>92</v>
      </c>
      <c r="AA6" s="86">
        <v>44</v>
      </c>
    </row>
    <row r="7" spans="1:27">
      <c r="A7" s="86" t="s">
        <v>95</v>
      </c>
      <c r="B7" s="86"/>
      <c r="C7" s="86"/>
      <c r="D7" s="87">
        <v>41</v>
      </c>
      <c r="E7" s="87">
        <v>53</v>
      </c>
      <c r="F7" s="87">
        <v>65</v>
      </c>
      <c r="G7" s="87">
        <v>80</v>
      </c>
      <c r="H7" s="87">
        <v>80</v>
      </c>
      <c r="I7" s="87">
        <v>81</v>
      </c>
      <c r="J7" s="87"/>
      <c r="K7" s="86">
        <v>247</v>
      </c>
      <c r="L7" s="86">
        <v>285</v>
      </c>
      <c r="M7" s="86">
        <v>260</v>
      </c>
      <c r="N7" s="86">
        <v>180</v>
      </c>
      <c r="O7" s="86"/>
      <c r="P7" s="86">
        <v>77</v>
      </c>
      <c r="Q7" s="86">
        <v>69</v>
      </c>
      <c r="R7" s="86">
        <v>101</v>
      </c>
      <c r="S7" s="86">
        <v>80</v>
      </c>
      <c r="T7" s="86">
        <v>97</v>
      </c>
      <c r="U7" s="86">
        <v>108</v>
      </c>
      <c r="V7" s="86">
        <v>89</v>
      </c>
      <c r="W7" s="86">
        <v>73</v>
      </c>
      <c r="X7" s="86">
        <v>98</v>
      </c>
      <c r="Y7" s="86">
        <v>59</v>
      </c>
      <c r="Z7" s="86">
        <v>53</v>
      </c>
      <c r="AA7" s="86">
        <v>68</v>
      </c>
    </row>
    <row r="8" spans="1:27">
      <c r="A8" s="86" t="s">
        <v>85</v>
      </c>
      <c r="B8" s="86"/>
      <c r="C8" s="86"/>
      <c r="D8" s="87">
        <v>48</v>
      </c>
      <c r="E8" s="87">
        <v>56</v>
      </c>
      <c r="F8" s="87">
        <v>62</v>
      </c>
      <c r="G8" s="87">
        <v>78</v>
      </c>
      <c r="H8" s="87">
        <v>76</v>
      </c>
      <c r="I8" s="87">
        <v>67</v>
      </c>
      <c r="J8" s="87"/>
      <c r="K8" s="86">
        <v>231</v>
      </c>
      <c r="L8" s="86">
        <v>246</v>
      </c>
      <c r="M8" s="86">
        <v>227</v>
      </c>
      <c r="N8" s="86">
        <v>97</v>
      </c>
      <c r="O8" s="86"/>
      <c r="P8" s="86">
        <v>72</v>
      </c>
      <c r="Q8" s="86">
        <v>87</v>
      </c>
      <c r="R8" s="86">
        <v>72</v>
      </c>
      <c r="S8" s="86">
        <v>79</v>
      </c>
      <c r="T8" s="86">
        <v>85</v>
      </c>
      <c r="U8" s="86">
        <v>82</v>
      </c>
      <c r="V8" s="86">
        <v>95</v>
      </c>
      <c r="W8" s="86">
        <v>77</v>
      </c>
      <c r="X8" s="86">
        <v>55</v>
      </c>
      <c r="Y8" s="86">
        <v>14</v>
      </c>
      <c r="Z8" s="86">
        <v>45</v>
      </c>
      <c r="AA8" s="86">
        <v>38</v>
      </c>
    </row>
    <row r="9" spans="1:27">
      <c r="A9" s="86" t="s">
        <v>358</v>
      </c>
      <c r="B9" s="86"/>
      <c r="C9" s="86"/>
      <c r="D9" s="87">
        <v>490</v>
      </c>
      <c r="E9" s="87">
        <v>493</v>
      </c>
      <c r="F9" s="87">
        <v>538</v>
      </c>
      <c r="G9" s="87">
        <v>610</v>
      </c>
      <c r="H9" s="87">
        <v>623</v>
      </c>
      <c r="I9" s="87">
        <v>579</v>
      </c>
      <c r="J9" s="87"/>
      <c r="K9" s="86">
        <v>1822</v>
      </c>
      <c r="L9" s="86">
        <v>1881</v>
      </c>
      <c r="M9" s="86">
        <v>1897</v>
      </c>
      <c r="N9" s="86">
        <v>1352</v>
      </c>
      <c r="O9" s="86"/>
      <c r="P9" s="86">
        <v>586</v>
      </c>
      <c r="Q9" s="86">
        <v>597</v>
      </c>
      <c r="R9" s="86">
        <v>639</v>
      </c>
      <c r="S9" s="86">
        <v>605</v>
      </c>
      <c r="T9" s="86">
        <v>626</v>
      </c>
      <c r="U9" s="86">
        <v>650</v>
      </c>
      <c r="V9" s="86">
        <v>683</v>
      </c>
      <c r="W9" s="86">
        <v>611</v>
      </c>
      <c r="X9" s="86">
        <v>603</v>
      </c>
      <c r="Y9" s="86">
        <v>466</v>
      </c>
      <c r="Z9" s="86">
        <v>475</v>
      </c>
      <c r="AA9" s="86">
        <v>411</v>
      </c>
    </row>
    <row r="10" spans="1:27">
      <c r="A10" s="86"/>
      <c r="B10" s="86"/>
      <c r="C10" s="86"/>
      <c r="D10" s="87"/>
      <c r="E10" s="87"/>
      <c r="F10" s="87"/>
      <c r="G10" s="87"/>
      <c r="H10" s="87"/>
      <c r="I10" s="87"/>
      <c r="J10" s="87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</row>
    <row r="11" spans="1:27" ht="31.5">
      <c r="A11" s="86"/>
      <c r="B11" s="86"/>
      <c r="C11" s="86"/>
      <c r="D11" s="87" t="s">
        <v>359</v>
      </c>
      <c r="E11" s="87" t="s">
        <v>360</v>
      </c>
      <c r="F11" s="87" t="s">
        <v>361</v>
      </c>
      <c r="G11" s="87" t="s">
        <v>362</v>
      </c>
      <c r="H11" s="87" t="s">
        <v>363</v>
      </c>
      <c r="I11" s="87" t="s">
        <v>364</v>
      </c>
      <c r="J11" s="87"/>
      <c r="K11" s="86" t="s">
        <v>354</v>
      </c>
      <c r="L11" s="86" t="s">
        <v>355</v>
      </c>
      <c r="M11" s="86" t="s">
        <v>356</v>
      </c>
      <c r="N11" s="86" t="s">
        <v>357</v>
      </c>
      <c r="O11" s="86"/>
      <c r="P11" s="86">
        <v>1</v>
      </c>
      <c r="Q11" s="86">
        <v>2</v>
      </c>
      <c r="R11" s="86">
        <v>3</v>
      </c>
      <c r="S11" s="86">
        <v>4</v>
      </c>
      <c r="T11" s="86">
        <v>5</v>
      </c>
      <c r="U11" s="86">
        <v>6</v>
      </c>
      <c r="V11" s="86">
        <v>7</v>
      </c>
      <c r="W11" s="86">
        <v>8</v>
      </c>
      <c r="X11" s="86">
        <v>9</v>
      </c>
      <c r="Y11" s="86">
        <v>10</v>
      </c>
      <c r="Z11" s="86">
        <v>11</v>
      </c>
      <c r="AA11" s="86">
        <v>12</v>
      </c>
    </row>
    <row r="12" spans="1:27">
      <c r="A12" s="86" t="s">
        <v>287</v>
      </c>
      <c r="B12" s="86"/>
      <c r="C12" s="86"/>
      <c r="D12" s="87">
        <v>1</v>
      </c>
      <c r="E12" s="87">
        <v>2</v>
      </c>
      <c r="F12" s="87">
        <v>1</v>
      </c>
      <c r="G12" s="87">
        <v>1</v>
      </c>
      <c r="H12" s="87">
        <v>1</v>
      </c>
      <c r="I12" s="87">
        <v>0</v>
      </c>
      <c r="J12" s="87"/>
      <c r="K12" s="86">
        <v>0</v>
      </c>
      <c r="L12" s="86">
        <v>0</v>
      </c>
      <c r="M12" s="86">
        <v>0</v>
      </c>
      <c r="N12" s="86"/>
      <c r="O12" s="86"/>
      <c r="P12" s="86">
        <v>0</v>
      </c>
      <c r="Q12" s="86">
        <v>0</v>
      </c>
      <c r="R12" s="86">
        <v>0</v>
      </c>
      <c r="S12" s="86">
        <v>0</v>
      </c>
      <c r="T12" s="86">
        <v>0</v>
      </c>
      <c r="U12" s="86">
        <v>0</v>
      </c>
      <c r="V12" s="86">
        <v>0</v>
      </c>
      <c r="W12" s="86">
        <v>0</v>
      </c>
      <c r="X12" s="86">
        <v>0</v>
      </c>
      <c r="Y12" s="86">
        <v>0</v>
      </c>
      <c r="Z12" s="86">
        <v>0</v>
      </c>
      <c r="AA12" s="86">
        <v>0</v>
      </c>
    </row>
    <row r="13" spans="1:27">
      <c r="A13" s="86" t="s">
        <v>81</v>
      </c>
      <c r="B13" s="86"/>
      <c r="C13" s="86"/>
      <c r="D13" s="87">
        <v>1</v>
      </c>
      <c r="E13" s="87">
        <v>3</v>
      </c>
      <c r="F13" s="87">
        <v>1</v>
      </c>
      <c r="G13" s="87">
        <v>1</v>
      </c>
      <c r="H13" s="87">
        <v>4</v>
      </c>
      <c r="I13" s="87">
        <v>1</v>
      </c>
      <c r="J13" s="87"/>
      <c r="K13" s="86">
        <v>0</v>
      </c>
      <c r="L13" s="86">
        <v>1</v>
      </c>
      <c r="M13" s="86">
        <v>0</v>
      </c>
      <c r="N13" s="86"/>
      <c r="O13" s="86"/>
      <c r="P13" s="86">
        <v>0</v>
      </c>
      <c r="Q13" s="86">
        <v>0</v>
      </c>
      <c r="R13" s="86">
        <v>0</v>
      </c>
      <c r="S13" s="86">
        <v>0</v>
      </c>
      <c r="T13" s="86">
        <v>1</v>
      </c>
      <c r="U13" s="86">
        <v>0</v>
      </c>
      <c r="V13" s="86">
        <v>0</v>
      </c>
      <c r="W13" s="86">
        <v>0</v>
      </c>
      <c r="X13" s="86">
        <v>0</v>
      </c>
      <c r="Y13" s="86">
        <v>0</v>
      </c>
      <c r="Z13" s="86">
        <v>0</v>
      </c>
      <c r="AA13" s="86">
        <v>0</v>
      </c>
    </row>
    <row r="14" spans="1:27">
      <c r="A14" s="86" t="s">
        <v>82</v>
      </c>
      <c r="B14" s="86"/>
      <c r="C14" s="86"/>
      <c r="D14" s="87">
        <v>5</v>
      </c>
      <c r="E14" s="87">
        <v>7</v>
      </c>
      <c r="F14" s="87">
        <v>0</v>
      </c>
      <c r="G14" s="87">
        <v>0</v>
      </c>
      <c r="H14" s="87">
        <v>1</v>
      </c>
      <c r="I14" s="87">
        <v>1</v>
      </c>
      <c r="J14" s="87"/>
      <c r="K14" s="86">
        <v>0</v>
      </c>
      <c r="L14" s="86">
        <v>0</v>
      </c>
      <c r="M14" s="86">
        <v>0</v>
      </c>
      <c r="N14" s="86">
        <v>1</v>
      </c>
      <c r="O14" s="86"/>
      <c r="P14" s="86">
        <v>0</v>
      </c>
      <c r="Q14" s="86">
        <v>0</v>
      </c>
      <c r="R14" s="86">
        <v>0</v>
      </c>
      <c r="S14" s="86">
        <v>0</v>
      </c>
      <c r="T14" s="86">
        <v>0</v>
      </c>
      <c r="U14" s="86">
        <v>0</v>
      </c>
      <c r="V14" s="86">
        <v>0</v>
      </c>
      <c r="W14" s="86">
        <v>0</v>
      </c>
      <c r="X14" s="86">
        <v>0</v>
      </c>
      <c r="Y14" s="86">
        <v>1</v>
      </c>
      <c r="Z14" s="86">
        <v>0</v>
      </c>
      <c r="AA14" s="86">
        <v>0</v>
      </c>
    </row>
    <row r="15" spans="1:27">
      <c r="A15" s="86" t="s">
        <v>83</v>
      </c>
      <c r="B15" s="86"/>
      <c r="C15" s="86"/>
      <c r="D15" s="87">
        <v>6</v>
      </c>
      <c r="E15" s="87">
        <v>6</v>
      </c>
      <c r="F15" s="87">
        <v>2</v>
      </c>
      <c r="G15" s="87">
        <v>5</v>
      </c>
      <c r="H15" s="87">
        <v>0</v>
      </c>
      <c r="I15" s="87">
        <v>0</v>
      </c>
      <c r="J15" s="87"/>
      <c r="K15" s="86">
        <v>0</v>
      </c>
      <c r="L15" s="86">
        <v>0</v>
      </c>
      <c r="M15" s="86">
        <v>0</v>
      </c>
      <c r="N15" s="86"/>
      <c r="O15" s="86"/>
      <c r="P15" s="86">
        <v>0</v>
      </c>
      <c r="Q15" s="86">
        <v>0</v>
      </c>
      <c r="R15" s="86">
        <v>0</v>
      </c>
      <c r="S15" s="86">
        <v>0</v>
      </c>
      <c r="T15" s="86">
        <v>0</v>
      </c>
      <c r="U15" s="86">
        <v>0</v>
      </c>
      <c r="V15" s="86">
        <v>0</v>
      </c>
      <c r="W15" s="86">
        <v>0</v>
      </c>
      <c r="X15" s="86">
        <v>0</v>
      </c>
      <c r="Y15" s="86">
        <v>0</v>
      </c>
      <c r="Z15" s="86">
        <v>0</v>
      </c>
      <c r="AA15" s="86">
        <v>0</v>
      </c>
    </row>
    <row r="16" spans="1:27">
      <c r="A16" s="86" t="s">
        <v>84</v>
      </c>
      <c r="B16" s="86"/>
      <c r="C16" s="86"/>
      <c r="D16" s="87">
        <v>9</v>
      </c>
      <c r="E16" s="87">
        <v>14</v>
      </c>
      <c r="F16" s="87">
        <v>2</v>
      </c>
      <c r="G16" s="87">
        <v>2</v>
      </c>
      <c r="H16" s="87">
        <v>2</v>
      </c>
      <c r="I16" s="87">
        <v>0</v>
      </c>
      <c r="J16" s="87"/>
      <c r="K16" s="86">
        <v>0</v>
      </c>
      <c r="L16" s="86">
        <v>0</v>
      </c>
      <c r="M16" s="86">
        <v>0</v>
      </c>
      <c r="N16" s="86"/>
      <c r="O16" s="86"/>
      <c r="P16" s="86">
        <v>0</v>
      </c>
      <c r="Q16" s="86">
        <v>0</v>
      </c>
      <c r="R16" s="86">
        <v>0</v>
      </c>
      <c r="S16" s="86">
        <v>0</v>
      </c>
      <c r="T16" s="86">
        <v>0</v>
      </c>
      <c r="U16" s="86">
        <v>0</v>
      </c>
      <c r="V16" s="86">
        <v>0</v>
      </c>
      <c r="W16" s="86">
        <v>0</v>
      </c>
      <c r="X16" s="86">
        <v>0</v>
      </c>
      <c r="Y16" s="86">
        <v>0</v>
      </c>
      <c r="Z16" s="86">
        <v>0</v>
      </c>
      <c r="AA16" s="86">
        <v>0</v>
      </c>
    </row>
    <row r="17" spans="1:27">
      <c r="A17" s="86" t="s">
        <v>95</v>
      </c>
      <c r="B17" s="86"/>
      <c r="C17" s="86"/>
      <c r="D17" s="87">
        <v>0</v>
      </c>
      <c r="E17" s="87">
        <v>0</v>
      </c>
      <c r="F17" s="87">
        <v>0</v>
      </c>
      <c r="G17" s="87">
        <v>0</v>
      </c>
      <c r="H17" s="87">
        <v>1</v>
      </c>
      <c r="I17" s="87">
        <v>1</v>
      </c>
      <c r="J17" s="87"/>
      <c r="K17" s="86">
        <v>0</v>
      </c>
      <c r="L17" s="86">
        <v>0</v>
      </c>
      <c r="M17" s="86">
        <v>0</v>
      </c>
      <c r="N17" s="86">
        <v>1</v>
      </c>
      <c r="O17" s="86"/>
      <c r="P17" s="86">
        <v>0</v>
      </c>
      <c r="Q17" s="86">
        <v>0</v>
      </c>
      <c r="R17" s="86">
        <v>0</v>
      </c>
      <c r="S17" s="86">
        <v>0</v>
      </c>
      <c r="T17" s="86">
        <v>0</v>
      </c>
      <c r="U17" s="86">
        <v>0</v>
      </c>
      <c r="V17" s="86">
        <v>0</v>
      </c>
      <c r="W17" s="86">
        <v>0</v>
      </c>
      <c r="X17" s="86">
        <v>0</v>
      </c>
      <c r="Y17" s="86">
        <v>0</v>
      </c>
      <c r="Z17" s="86">
        <v>0</v>
      </c>
      <c r="AA17" s="86">
        <v>1</v>
      </c>
    </row>
    <row r="18" spans="1:27">
      <c r="A18" s="86" t="s">
        <v>85</v>
      </c>
      <c r="B18" s="86"/>
      <c r="C18" s="86"/>
      <c r="D18" s="87">
        <v>4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/>
      <c r="K18" s="86">
        <v>0</v>
      </c>
      <c r="L18" s="86">
        <v>0</v>
      </c>
      <c r="M18" s="86">
        <v>0</v>
      </c>
      <c r="N18" s="86"/>
      <c r="O18" s="86"/>
      <c r="P18" s="86">
        <v>0</v>
      </c>
      <c r="Q18" s="86">
        <v>0</v>
      </c>
      <c r="R18" s="86">
        <v>0</v>
      </c>
      <c r="S18" s="86">
        <v>0</v>
      </c>
      <c r="T18" s="86">
        <v>0</v>
      </c>
      <c r="U18" s="86">
        <v>0</v>
      </c>
      <c r="V18" s="86">
        <v>0</v>
      </c>
      <c r="W18" s="86">
        <v>0</v>
      </c>
      <c r="X18" s="86">
        <v>0</v>
      </c>
      <c r="Y18" s="86">
        <v>0</v>
      </c>
      <c r="Z18" s="86">
        <v>0</v>
      </c>
      <c r="AA18" s="86">
        <v>0</v>
      </c>
    </row>
    <row r="19" spans="1:27">
      <c r="A19" s="86" t="s">
        <v>365</v>
      </c>
      <c r="B19" s="86"/>
      <c r="C19" s="86"/>
      <c r="D19" s="87">
        <v>26</v>
      </c>
      <c r="E19" s="87">
        <v>32</v>
      </c>
      <c r="F19" s="87">
        <v>6</v>
      </c>
      <c r="G19" s="87">
        <v>12</v>
      </c>
      <c r="H19" s="87">
        <v>9</v>
      </c>
      <c r="I19" s="87">
        <v>3</v>
      </c>
      <c r="J19" s="87"/>
      <c r="K19" s="86">
        <v>0</v>
      </c>
      <c r="L19" s="86">
        <v>1</v>
      </c>
      <c r="M19" s="86">
        <v>0</v>
      </c>
      <c r="N19" s="86">
        <v>2</v>
      </c>
      <c r="O19" s="86"/>
      <c r="P19" s="86">
        <v>0</v>
      </c>
      <c r="Q19" s="86">
        <v>0</v>
      </c>
      <c r="R19" s="86">
        <v>0</v>
      </c>
      <c r="S19" s="86">
        <v>0</v>
      </c>
      <c r="T19" s="86">
        <v>1</v>
      </c>
      <c r="U19" s="86">
        <v>0</v>
      </c>
      <c r="V19" s="86">
        <v>0</v>
      </c>
      <c r="W19" s="86">
        <v>0</v>
      </c>
      <c r="X19" s="86">
        <v>0</v>
      </c>
      <c r="Y19" s="86">
        <v>1</v>
      </c>
      <c r="Z19" s="86">
        <v>0</v>
      </c>
      <c r="AA19" s="86">
        <v>1</v>
      </c>
    </row>
  </sheetData>
  <phoneticPr fontId="36" type="noConversion"/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具名範圍</vt:lpstr>
      </vt:variant>
      <vt:variant>
        <vt:i4>1</vt:i4>
      </vt:variant>
    </vt:vector>
  </HeadingPairs>
  <TitlesOfParts>
    <vt:vector size="16" baseType="lpstr">
      <vt:lpstr>2018 OOS說明 </vt:lpstr>
      <vt:lpstr>2024 OOS次數 改rate版</vt:lpstr>
      <vt:lpstr>2024 OOS說明</vt:lpstr>
      <vt:lpstr>OOS率</vt:lpstr>
      <vt:lpstr>2024 RUN數統計</vt:lpstr>
      <vt:lpstr>PM FAIL</vt:lpstr>
      <vt:lpstr>2024 10M PM table</vt:lpstr>
      <vt:lpstr>2024 9M PM table</vt:lpstr>
      <vt:lpstr>2024Y 8M PM table</vt:lpstr>
      <vt:lpstr>2024Y 7M PM table</vt:lpstr>
      <vt:lpstr>2024Y 6M PM table</vt:lpstr>
      <vt:lpstr>2024Y 1~5M PM table</vt:lpstr>
      <vt:lpstr>Up Time</vt:lpstr>
      <vt:lpstr>Up Time machine</vt:lpstr>
      <vt:lpstr>工作表2</vt:lpstr>
      <vt:lpstr>'2024 OOS次數 改rate版'!Print_Area</vt:lpstr>
    </vt:vector>
  </TitlesOfParts>
  <Company>nuvoton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S220 MCTsai4</dc:creator>
  <cp:lastModifiedBy>S220 WCLin15</cp:lastModifiedBy>
  <cp:lastPrinted>2024-01-04T08:03:05Z</cp:lastPrinted>
  <dcterms:created xsi:type="dcterms:W3CDTF">2014-02-10T08:41:27Z</dcterms:created>
  <dcterms:modified xsi:type="dcterms:W3CDTF">2024-11-13T02:12:27Z</dcterms:modified>
</cp:coreProperties>
</file>