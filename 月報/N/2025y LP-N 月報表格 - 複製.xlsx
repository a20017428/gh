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YLIN\Desktop\gh\月報\N\"/>
    </mc:Choice>
  </mc:AlternateContent>
  <xr:revisionPtr revIDLastSave="0" documentId="13_ncr:1_{07B9F88E-68BD-4D56-B91C-A94815AEC1D3}" xr6:coauthVersionLast="47" xr6:coauthVersionMax="47" xr10:uidLastSave="{00000000-0000-0000-0000-000000000000}"/>
  <bookViews>
    <workbookView xWindow="-120" yWindow="-120" windowWidth="29040" windowHeight="15720" firstSheet="2" activeTab="4" xr2:uid="{2EF8ECB5-68E2-4B1C-8F0C-12438D926500}"/>
  </bookViews>
  <sheets>
    <sheet name="2024 Poly PTC 統計" sheetId="6" r:id="rId1"/>
    <sheet name="2024 Poly PTC OOS Rate" sheetId="2" r:id="rId2"/>
    <sheet name="2024 Poly PTC zone別" sheetId="3" r:id="rId3"/>
    <sheet name="UT Trend chart " sheetId="5" r:id="rId4"/>
    <sheet name="Up Time" sheetId="4" r:id="rId5"/>
    <sheet name="UT Trend chart  (2)" sheetId="8" r:id="rId6"/>
    <sheet name="工作表3" sheetId="9" r:id="rId7"/>
    <sheet name="PTC OOS Rate" sheetId="10" r:id="rId8"/>
  </sheets>
  <definedNames>
    <definedName name="_xlnm.Print_Area" localSheetId="7">'PTC OOS Rate'!$A$4:$W$21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7" i="4" l="1"/>
  <c r="R158" i="4"/>
  <c r="O158" i="4"/>
  <c r="O165" i="4" s="1"/>
  <c r="Y165" i="4"/>
  <c r="X165" i="4"/>
  <c r="W165" i="4"/>
  <c r="V165" i="4"/>
  <c r="Y164" i="4"/>
  <c r="X164" i="4"/>
  <c r="W164" i="4"/>
  <c r="V164" i="4"/>
  <c r="U164" i="4"/>
  <c r="T164" i="4"/>
  <c r="S164" i="4"/>
  <c r="Q164" i="4"/>
  <c r="P164" i="4"/>
  <c r="O164" i="4"/>
  <c r="R164" i="4" s="1"/>
  <c r="Y163" i="4"/>
  <c r="X163" i="4"/>
  <c r="W163" i="4"/>
  <c r="V163" i="4"/>
  <c r="U163" i="4"/>
  <c r="T163" i="4"/>
  <c r="S163" i="4"/>
  <c r="Q163" i="4"/>
  <c r="P163" i="4"/>
  <c r="O163" i="4"/>
  <c r="R163" i="4" s="1"/>
  <c r="Y162" i="4"/>
  <c r="X162" i="4"/>
  <c r="W162" i="4"/>
  <c r="V162" i="4"/>
  <c r="U162" i="4"/>
  <c r="T162" i="4"/>
  <c r="S162" i="4"/>
  <c r="R162" i="4"/>
  <c r="Q162" i="4"/>
  <c r="P162" i="4"/>
  <c r="O162" i="4"/>
  <c r="Y161" i="4"/>
  <c r="X161" i="4"/>
  <c r="W161" i="4"/>
  <c r="V161" i="4"/>
  <c r="U161" i="4"/>
  <c r="U165" i="4" s="1"/>
  <c r="T161" i="4"/>
  <c r="S161" i="4"/>
  <c r="R161" i="4"/>
  <c r="Q161" i="4"/>
  <c r="P161" i="4"/>
  <c r="O161" i="4"/>
  <c r="Y160" i="4"/>
  <c r="X160" i="4"/>
  <c r="W160" i="4"/>
  <c r="V160" i="4"/>
  <c r="U160" i="4"/>
  <c r="T160" i="4"/>
  <c r="S160" i="4"/>
  <c r="Q160" i="4"/>
  <c r="P160" i="4"/>
  <c r="R160" i="4" s="1"/>
  <c r="O160" i="4"/>
  <c r="Y159" i="4"/>
  <c r="X159" i="4"/>
  <c r="W159" i="4"/>
  <c r="V159" i="4"/>
  <c r="U159" i="4"/>
  <c r="T159" i="4"/>
  <c r="S159" i="4"/>
  <c r="Q159" i="4"/>
  <c r="P159" i="4"/>
  <c r="O159" i="4"/>
  <c r="R159" i="4" s="1"/>
  <c r="Y158" i="4"/>
  <c r="X158" i="4"/>
  <c r="W158" i="4"/>
  <c r="V158" i="4"/>
  <c r="U158" i="4"/>
  <c r="T158" i="4"/>
  <c r="T165" i="4" s="1"/>
  <c r="S158" i="4"/>
  <c r="S165" i="4" s="1"/>
  <c r="Q158" i="4"/>
  <c r="Q165" i="4" s="1"/>
  <c r="P158" i="4"/>
  <c r="P165" i="4" s="1"/>
  <c r="O114" i="4"/>
  <c r="O121" i="4" s="1"/>
  <c r="R153" i="4"/>
  <c r="R152" i="4"/>
  <c r="R151" i="4"/>
  <c r="R150" i="4"/>
  <c r="R149" i="4"/>
  <c r="R148" i="4"/>
  <c r="R142" i="4"/>
  <c r="R141" i="4"/>
  <c r="R140" i="4"/>
  <c r="R139" i="4"/>
  <c r="R138" i="4"/>
  <c r="R137" i="4"/>
  <c r="R136" i="4"/>
  <c r="R131" i="4"/>
  <c r="R130" i="4"/>
  <c r="R129" i="4"/>
  <c r="R128" i="4"/>
  <c r="R127" i="4"/>
  <c r="R126" i="4"/>
  <c r="R125" i="4"/>
  <c r="P121" i="4"/>
  <c r="Q121" i="4"/>
  <c r="S121" i="4"/>
  <c r="T121" i="4"/>
  <c r="U121" i="4"/>
  <c r="V121" i="4"/>
  <c r="W121" i="4"/>
  <c r="X121" i="4"/>
  <c r="Y121" i="4"/>
  <c r="T114" i="4"/>
  <c r="U114" i="4"/>
  <c r="V114" i="4"/>
  <c r="W114" i="4"/>
  <c r="X114" i="4"/>
  <c r="Y114" i="4"/>
  <c r="T115" i="4"/>
  <c r="U115" i="4"/>
  <c r="V115" i="4"/>
  <c r="W115" i="4"/>
  <c r="X115" i="4"/>
  <c r="Y115" i="4"/>
  <c r="T116" i="4"/>
  <c r="U116" i="4"/>
  <c r="V116" i="4"/>
  <c r="W116" i="4"/>
  <c r="X116" i="4"/>
  <c r="Y116" i="4"/>
  <c r="T117" i="4"/>
  <c r="U117" i="4"/>
  <c r="V117" i="4"/>
  <c r="W117" i="4"/>
  <c r="X117" i="4"/>
  <c r="Y117" i="4"/>
  <c r="T118" i="4"/>
  <c r="U118" i="4"/>
  <c r="V118" i="4"/>
  <c r="W118" i="4"/>
  <c r="X118" i="4"/>
  <c r="Y118" i="4"/>
  <c r="T119" i="4"/>
  <c r="U119" i="4"/>
  <c r="V119" i="4"/>
  <c r="W119" i="4"/>
  <c r="X119" i="4"/>
  <c r="Y119" i="4"/>
  <c r="T120" i="4"/>
  <c r="U120" i="4"/>
  <c r="V120" i="4"/>
  <c r="W120" i="4"/>
  <c r="X120" i="4"/>
  <c r="Y120" i="4"/>
  <c r="S115" i="4"/>
  <c r="S116" i="4"/>
  <c r="S117" i="4"/>
  <c r="S118" i="4"/>
  <c r="S119" i="4"/>
  <c r="S120" i="4"/>
  <c r="S114" i="4"/>
  <c r="Q118" i="4"/>
  <c r="P114" i="4"/>
  <c r="Q114" i="4"/>
  <c r="P115" i="4"/>
  <c r="R115" i="4" s="1"/>
  <c r="Q115" i="4"/>
  <c r="P116" i="4"/>
  <c r="Q116" i="4"/>
  <c r="P117" i="4"/>
  <c r="Q117" i="4"/>
  <c r="P118" i="4"/>
  <c r="P119" i="4"/>
  <c r="Q119" i="4"/>
  <c r="P120" i="4"/>
  <c r="R120" i="4" s="1"/>
  <c r="Q120" i="4"/>
  <c r="O115" i="4"/>
  <c r="O116" i="4"/>
  <c r="R116" i="4" s="1"/>
  <c r="O117" i="4"/>
  <c r="O118" i="4"/>
  <c r="O119" i="4"/>
  <c r="O120" i="4"/>
  <c r="R119" i="4"/>
  <c r="R109" i="4"/>
  <c r="R108" i="4"/>
  <c r="R107" i="4"/>
  <c r="R106" i="4"/>
  <c r="R105" i="4"/>
  <c r="R104" i="4"/>
  <c r="R103" i="4"/>
  <c r="R98" i="4"/>
  <c r="R97" i="4"/>
  <c r="R96" i="4"/>
  <c r="R95" i="4"/>
  <c r="R94" i="4"/>
  <c r="R93" i="4"/>
  <c r="R92" i="4"/>
  <c r="X10" i="3"/>
  <c r="R87" i="4"/>
  <c r="R86" i="4"/>
  <c r="R85" i="4"/>
  <c r="R84" i="4"/>
  <c r="R83" i="4"/>
  <c r="R82" i="4"/>
  <c r="R81" i="4"/>
  <c r="R76" i="4"/>
  <c r="R75" i="4"/>
  <c r="R74" i="4"/>
  <c r="R73" i="4"/>
  <c r="R72" i="4"/>
  <c r="R71" i="4"/>
  <c r="R70" i="4"/>
  <c r="R60" i="4"/>
  <c r="R61" i="4"/>
  <c r="R62" i="4"/>
  <c r="R63" i="4"/>
  <c r="R64" i="4"/>
  <c r="R65" i="4"/>
  <c r="R59" i="4"/>
  <c r="R49" i="4"/>
  <c r="R50" i="4"/>
  <c r="R51" i="4"/>
  <c r="R55" i="4" s="1"/>
  <c r="R52" i="4"/>
  <c r="R53" i="4"/>
  <c r="R54" i="4"/>
  <c r="R48" i="4"/>
  <c r="U10" i="3"/>
  <c r="F56" i="4"/>
  <c r="S55" i="4"/>
  <c r="P39" i="4"/>
  <c r="Q39" i="4"/>
  <c r="V39" i="4"/>
  <c r="W39" i="4"/>
  <c r="U39" i="4"/>
  <c r="T39" i="4"/>
  <c r="X39" i="4"/>
  <c r="Y39" i="4"/>
  <c r="P40" i="4"/>
  <c r="Q40" i="4"/>
  <c r="V40" i="4"/>
  <c r="W40" i="4"/>
  <c r="U40" i="4"/>
  <c r="T40" i="4"/>
  <c r="X40" i="4"/>
  <c r="Y40" i="4"/>
  <c r="P41" i="4"/>
  <c r="Q41" i="4"/>
  <c r="V41" i="4"/>
  <c r="W41" i="4"/>
  <c r="U41" i="4"/>
  <c r="T41" i="4"/>
  <c r="X41" i="4"/>
  <c r="Y41" i="4"/>
  <c r="P42" i="4"/>
  <c r="Q42" i="4"/>
  <c r="V42" i="4"/>
  <c r="W42" i="4"/>
  <c r="U42" i="4"/>
  <c r="T42" i="4"/>
  <c r="X42" i="4"/>
  <c r="Y42" i="4"/>
  <c r="P43" i="4"/>
  <c r="Q43" i="4"/>
  <c r="V43" i="4"/>
  <c r="W43" i="4"/>
  <c r="U43" i="4"/>
  <c r="T43" i="4"/>
  <c r="X43" i="4"/>
  <c r="Y43" i="4"/>
  <c r="O40" i="4"/>
  <c r="O41" i="4"/>
  <c r="O42" i="4"/>
  <c r="O43" i="4"/>
  <c r="O39" i="4"/>
  <c r="R30" i="4"/>
  <c r="R31" i="4"/>
  <c r="R32" i="4"/>
  <c r="R33" i="4"/>
  <c r="R29" i="4"/>
  <c r="Y25" i="4"/>
  <c r="X25" i="4"/>
  <c r="T25" i="4"/>
  <c r="U25" i="4"/>
  <c r="W25" i="4"/>
  <c r="V25" i="4"/>
  <c r="Q25" i="4"/>
  <c r="P25" i="4"/>
  <c r="O25" i="4"/>
  <c r="P16" i="4"/>
  <c r="Q16" i="4"/>
  <c r="V16" i="4"/>
  <c r="W16" i="4"/>
  <c r="U16" i="4"/>
  <c r="T16" i="4"/>
  <c r="X16" i="4"/>
  <c r="Y16" i="4"/>
  <c r="O16" i="4"/>
  <c r="S24" i="4"/>
  <c r="S23" i="4"/>
  <c r="S22" i="4"/>
  <c r="S21" i="4"/>
  <c r="S20" i="4"/>
  <c r="S12" i="4"/>
  <c r="S13" i="4"/>
  <c r="S14" i="4"/>
  <c r="S15" i="4"/>
  <c r="S11" i="4"/>
  <c r="V19" i="10"/>
  <c r="U19" i="10"/>
  <c r="T19" i="10"/>
  <c r="S19" i="10"/>
  <c r="R19" i="10"/>
  <c r="Q19" i="10"/>
  <c r="P19" i="10"/>
  <c r="O19" i="10"/>
  <c r="N19" i="10"/>
  <c r="M19" i="10"/>
  <c r="L19" i="10"/>
  <c r="K19" i="10"/>
  <c r="K2" i="10" s="1"/>
  <c r="F19" i="10"/>
  <c r="M11" i="10"/>
  <c r="L11" i="10"/>
  <c r="K11" i="10"/>
  <c r="F11" i="10"/>
  <c r="I10" i="10"/>
  <c r="H10" i="10"/>
  <c r="I9" i="10"/>
  <c r="H9" i="10"/>
  <c r="I8" i="10"/>
  <c r="H8" i="10"/>
  <c r="I7" i="10"/>
  <c r="H7" i="10"/>
  <c r="I6" i="10"/>
  <c r="H6" i="10"/>
  <c r="F2" i="10"/>
  <c r="D2" i="10"/>
  <c r="R165" i="4" l="1"/>
  <c r="R114" i="4"/>
  <c r="R121" i="4" s="1"/>
  <c r="R154" i="4"/>
  <c r="R143" i="4"/>
  <c r="R132" i="4"/>
  <c r="R118" i="4"/>
  <c r="R117" i="4"/>
  <c r="R88" i="4"/>
  <c r="R110" i="4"/>
  <c r="R99" i="4"/>
  <c r="R77" i="4"/>
  <c r="R66" i="4"/>
  <c r="O44" i="4"/>
  <c r="S39" i="4"/>
  <c r="S25" i="4"/>
  <c r="S42" i="4"/>
  <c r="S41" i="4"/>
  <c r="S40" i="4"/>
  <c r="P44" i="4"/>
  <c r="S43" i="4"/>
  <c r="Y44" i="4"/>
  <c r="X44" i="4"/>
  <c r="T44" i="4"/>
  <c r="U44" i="4"/>
  <c r="Q44" i="4"/>
  <c r="S16" i="4"/>
  <c r="V44" i="4"/>
  <c r="W44" i="4"/>
  <c r="F34" i="4"/>
  <c r="R21" i="4"/>
  <c r="R22" i="4"/>
  <c r="R23" i="4"/>
  <c r="R24" i="4"/>
  <c r="R20" i="4"/>
  <c r="R12" i="4"/>
  <c r="R13" i="4"/>
  <c r="R14" i="4"/>
  <c r="R15" i="4"/>
  <c r="R11" i="4"/>
  <c r="C3" i="5"/>
  <c r="D3" i="5"/>
  <c r="E3" i="5"/>
  <c r="F3" i="5"/>
  <c r="S10" i="3"/>
  <c r="T10" i="3"/>
  <c r="V10" i="3"/>
  <c r="W10" i="3"/>
  <c r="Y10" i="3"/>
  <c r="Z10" i="3"/>
  <c r="AA10" i="3"/>
  <c r="AB10" i="3"/>
  <c r="AC10" i="3"/>
  <c r="R10" i="3"/>
  <c r="G88" i="4"/>
  <c r="H88" i="4"/>
  <c r="I88" i="4"/>
  <c r="J88" i="4"/>
  <c r="K88" i="4"/>
  <c r="L88" i="4"/>
  <c r="S44" i="4" l="1"/>
  <c r="R25" i="4"/>
  <c r="R39" i="4"/>
  <c r="R16" i="4"/>
  <c r="R43" i="4"/>
  <c r="R41" i="4"/>
  <c r="R42" i="4"/>
  <c r="R40" i="4"/>
  <c r="R34" i="4"/>
  <c r="G3" i="5"/>
  <c r="V144" i="6"/>
  <c r="V128" i="6" s="1"/>
  <c r="U144" i="6"/>
  <c r="T144" i="6"/>
  <c r="S144" i="6"/>
  <c r="R144" i="6"/>
  <c r="Q144" i="6"/>
  <c r="P144" i="6"/>
  <c r="O144" i="6"/>
  <c r="N144" i="6"/>
  <c r="M144" i="6"/>
  <c r="L144" i="6"/>
  <c r="K144" i="6"/>
  <c r="E144" i="6"/>
  <c r="J143" i="6"/>
  <c r="I143" i="6"/>
  <c r="H143" i="6"/>
  <c r="G143" i="6"/>
  <c r="J142" i="6"/>
  <c r="I142" i="6"/>
  <c r="H142" i="6"/>
  <c r="G142" i="6"/>
  <c r="J141" i="6"/>
  <c r="I141" i="6"/>
  <c r="H141" i="6"/>
  <c r="G141" i="6"/>
  <c r="J140" i="6"/>
  <c r="I140" i="6"/>
  <c r="H140" i="6"/>
  <c r="G140" i="6"/>
  <c r="J139" i="6"/>
  <c r="I139" i="6"/>
  <c r="H139" i="6"/>
  <c r="G139" i="6"/>
  <c r="U136" i="6"/>
  <c r="T136" i="6"/>
  <c r="J136" i="6" s="1"/>
  <c r="S136" i="6"/>
  <c r="R136" i="6"/>
  <c r="Q136" i="6"/>
  <c r="P136" i="6"/>
  <c r="O136" i="6"/>
  <c r="N136" i="6"/>
  <c r="M136" i="6"/>
  <c r="L136" i="6"/>
  <c r="K136" i="6"/>
  <c r="E136" i="6"/>
  <c r="J135" i="6"/>
  <c r="I135" i="6"/>
  <c r="H135" i="6"/>
  <c r="G135" i="6"/>
  <c r="J134" i="6"/>
  <c r="I134" i="6"/>
  <c r="H134" i="6"/>
  <c r="G134" i="6"/>
  <c r="J133" i="6"/>
  <c r="I133" i="6"/>
  <c r="H133" i="6"/>
  <c r="G133" i="6"/>
  <c r="J132" i="6"/>
  <c r="I132" i="6"/>
  <c r="H132" i="6"/>
  <c r="G132" i="6"/>
  <c r="J131" i="6"/>
  <c r="I131" i="6"/>
  <c r="H131" i="6"/>
  <c r="G131" i="6"/>
  <c r="N128" i="6"/>
  <c r="V117" i="6"/>
  <c r="U117" i="6"/>
  <c r="T117" i="6"/>
  <c r="S117" i="6"/>
  <c r="S101" i="6" s="1"/>
  <c r="R117" i="6"/>
  <c r="Q117" i="6"/>
  <c r="Q101" i="6" s="1"/>
  <c r="P117" i="6"/>
  <c r="O117" i="6"/>
  <c r="N117" i="6"/>
  <c r="M117" i="6"/>
  <c r="M101" i="6" s="1"/>
  <c r="L117" i="6"/>
  <c r="K117" i="6"/>
  <c r="K101" i="6" s="1"/>
  <c r="E117" i="6"/>
  <c r="J116" i="6"/>
  <c r="I116" i="6"/>
  <c r="H116" i="6"/>
  <c r="G116" i="6"/>
  <c r="F116" i="6" s="1"/>
  <c r="J115" i="6"/>
  <c r="I115" i="6"/>
  <c r="H115" i="6"/>
  <c r="G115" i="6"/>
  <c r="F115" i="6"/>
  <c r="J114" i="6"/>
  <c r="I114" i="6"/>
  <c r="H114" i="6"/>
  <c r="G114" i="6"/>
  <c r="G117" i="6" s="1"/>
  <c r="F114" i="6"/>
  <c r="J113" i="6"/>
  <c r="I113" i="6"/>
  <c r="H113" i="6"/>
  <c r="F113" i="6" s="1"/>
  <c r="G113" i="6"/>
  <c r="J112" i="6"/>
  <c r="J117" i="6" s="1"/>
  <c r="J101" i="6" s="1"/>
  <c r="I112" i="6"/>
  <c r="I117" i="6" s="1"/>
  <c r="I101" i="6" s="1"/>
  <c r="H112" i="6"/>
  <c r="G112" i="6"/>
  <c r="F112" i="6" s="1"/>
  <c r="U109" i="6"/>
  <c r="T109" i="6"/>
  <c r="J109" i="6" s="1"/>
  <c r="S109" i="6"/>
  <c r="R109" i="6"/>
  <c r="Q109" i="6"/>
  <c r="I109" i="6" s="1"/>
  <c r="P109" i="6"/>
  <c r="O109" i="6"/>
  <c r="N109" i="6"/>
  <c r="M109" i="6"/>
  <c r="G109" i="6" s="1"/>
  <c r="L109" i="6"/>
  <c r="K109" i="6"/>
  <c r="H109" i="6"/>
  <c r="E109" i="6"/>
  <c r="J108" i="6"/>
  <c r="I108" i="6"/>
  <c r="H108" i="6"/>
  <c r="G108" i="6"/>
  <c r="F108" i="6" s="1"/>
  <c r="J107" i="6"/>
  <c r="I107" i="6"/>
  <c r="H107" i="6"/>
  <c r="G107" i="6"/>
  <c r="F107" i="6" s="1"/>
  <c r="J106" i="6"/>
  <c r="I106" i="6"/>
  <c r="H106" i="6"/>
  <c r="G106" i="6"/>
  <c r="F106" i="6"/>
  <c r="J105" i="6"/>
  <c r="F105" i="6" s="1"/>
  <c r="I105" i="6"/>
  <c r="H105" i="6"/>
  <c r="G105" i="6"/>
  <c r="J104" i="6"/>
  <c r="I104" i="6"/>
  <c r="H104" i="6"/>
  <c r="G104" i="6"/>
  <c r="F104" i="6" s="1"/>
  <c r="V101" i="6"/>
  <c r="U101" i="6"/>
  <c r="T101" i="6"/>
  <c r="R101" i="6"/>
  <c r="P101" i="6"/>
  <c r="O101" i="6"/>
  <c r="N101" i="6"/>
  <c r="L101" i="6"/>
  <c r="R24" i="6"/>
  <c r="G27" i="6"/>
  <c r="F27" i="6" s="1"/>
  <c r="H27" i="6"/>
  <c r="I27" i="6"/>
  <c r="J27" i="6"/>
  <c r="G28" i="6"/>
  <c r="F28" i="6" s="1"/>
  <c r="H28" i="6"/>
  <c r="I28" i="6"/>
  <c r="J28" i="6"/>
  <c r="G29" i="6"/>
  <c r="F29" i="6" s="1"/>
  <c r="H29" i="6"/>
  <c r="I29" i="6"/>
  <c r="J29" i="6"/>
  <c r="G30" i="6"/>
  <c r="F30" i="6" s="1"/>
  <c r="H30" i="6"/>
  <c r="I30" i="6"/>
  <c r="J30" i="6"/>
  <c r="F31" i="6"/>
  <c r="G31" i="6"/>
  <c r="H31" i="6"/>
  <c r="I31" i="6"/>
  <c r="J31" i="6"/>
  <c r="I32" i="6"/>
  <c r="K32" i="6"/>
  <c r="G32" i="6" s="1"/>
  <c r="L32" i="6"/>
  <c r="M32" i="6"/>
  <c r="N32" i="6"/>
  <c r="H32" i="6" s="1"/>
  <c r="O32" i="6"/>
  <c r="P32" i="6"/>
  <c r="Q32" i="6"/>
  <c r="R32" i="6"/>
  <c r="S32" i="6"/>
  <c r="T32" i="6"/>
  <c r="U32" i="6"/>
  <c r="V32" i="6"/>
  <c r="J32" i="6" s="1"/>
  <c r="G35" i="6"/>
  <c r="G40" i="6" s="1"/>
  <c r="H35" i="6"/>
  <c r="H40" i="6" s="1"/>
  <c r="I35" i="6"/>
  <c r="J35" i="6"/>
  <c r="G36" i="6"/>
  <c r="F36" i="6" s="1"/>
  <c r="H36" i="6"/>
  <c r="I36" i="6"/>
  <c r="J36" i="6"/>
  <c r="G37" i="6"/>
  <c r="F37" i="6" s="1"/>
  <c r="H37" i="6"/>
  <c r="I37" i="6"/>
  <c r="I40" i="6" s="1"/>
  <c r="I24" i="6" s="1"/>
  <c r="J37" i="6"/>
  <c r="J40" i="6" s="1"/>
  <c r="J24" i="6" s="1"/>
  <c r="G38" i="6"/>
  <c r="F38" i="6" s="1"/>
  <c r="H38" i="6"/>
  <c r="I38" i="6"/>
  <c r="J38" i="6"/>
  <c r="G39" i="6"/>
  <c r="F39" i="6" s="1"/>
  <c r="H39" i="6"/>
  <c r="I39" i="6"/>
  <c r="J39" i="6"/>
  <c r="K40" i="6"/>
  <c r="K24" i="6" s="1"/>
  <c r="L40" i="6"/>
  <c r="M40" i="6"/>
  <c r="M24" i="6" s="1"/>
  <c r="N40" i="6"/>
  <c r="N24" i="6" s="1"/>
  <c r="O40" i="6"/>
  <c r="O24" i="6" s="1"/>
  <c r="P40" i="6"/>
  <c r="P24" i="6" s="1"/>
  <c r="Q40" i="6"/>
  <c r="Q24" i="6" s="1"/>
  <c r="R40" i="6"/>
  <c r="S40" i="6"/>
  <c r="S24" i="6" s="1"/>
  <c r="T40" i="6"/>
  <c r="T24" i="6" s="1"/>
  <c r="U40" i="6"/>
  <c r="U24" i="6" s="1"/>
  <c r="V40" i="6"/>
  <c r="V24" i="6" s="1"/>
  <c r="M50" i="6"/>
  <c r="G53" i="6"/>
  <c r="F53" i="6" s="1"/>
  <c r="F58" i="6" s="1"/>
  <c r="H53" i="6"/>
  <c r="I53" i="6"/>
  <c r="J53" i="6"/>
  <c r="G54" i="6"/>
  <c r="F54" i="6" s="1"/>
  <c r="H54" i="6"/>
  <c r="I54" i="6"/>
  <c r="J54" i="6"/>
  <c r="G55" i="6"/>
  <c r="F55" i="6" s="1"/>
  <c r="H55" i="6"/>
  <c r="I55" i="6"/>
  <c r="J55" i="6"/>
  <c r="F56" i="6"/>
  <c r="G56" i="6"/>
  <c r="H56" i="6"/>
  <c r="I56" i="6"/>
  <c r="J56" i="6"/>
  <c r="G57" i="6"/>
  <c r="F57" i="6" s="1"/>
  <c r="H57" i="6"/>
  <c r="I57" i="6"/>
  <c r="J57" i="6"/>
  <c r="E58" i="6"/>
  <c r="G58" i="6"/>
  <c r="K58" i="6"/>
  <c r="L58" i="6"/>
  <c r="M58" i="6"/>
  <c r="N58" i="6"/>
  <c r="O58" i="6"/>
  <c r="H58" i="6" s="1"/>
  <c r="P58" i="6"/>
  <c r="Q58" i="6"/>
  <c r="I58" i="6" s="1"/>
  <c r="R58" i="6"/>
  <c r="S58" i="6"/>
  <c r="T58" i="6"/>
  <c r="J58" i="6" s="1"/>
  <c r="U58" i="6"/>
  <c r="V58" i="6"/>
  <c r="G61" i="6"/>
  <c r="F61" i="6" s="1"/>
  <c r="H61" i="6"/>
  <c r="I61" i="6"/>
  <c r="J61" i="6"/>
  <c r="G62" i="6"/>
  <c r="F62" i="6" s="1"/>
  <c r="H62" i="6"/>
  <c r="H66" i="6" s="1"/>
  <c r="I62" i="6"/>
  <c r="I66" i="6" s="1"/>
  <c r="I50" i="6" s="1"/>
  <c r="J62" i="6"/>
  <c r="G63" i="6"/>
  <c r="F63" i="6" s="1"/>
  <c r="H63" i="6"/>
  <c r="I63" i="6"/>
  <c r="J63" i="6"/>
  <c r="G64" i="6"/>
  <c r="F64" i="6" s="1"/>
  <c r="H64" i="6"/>
  <c r="I64" i="6"/>
  <c r="J64" i="6"/>
  <c r="J66" i="6" s="1"/>
  <c r="J50" i="6" s="1"/>
  <c r="F65" i="6"/>
  <c r="G65" i="6"/>
  <c r="H65" i="6"/>
  <c r="I65" i="6"/>
  <c r="J65" i="6"/>
  <c r="E66" i="6"/>
  <c r="K66" i="6"/>
  <c r="K50" i="6" s="1"/>
  <c r="L66" i="6"/>
  <c r="L50" i="6" s="1"/>
  <c r="M66" i="6"/>
  <c r="N66" i="6"/>
  <c r="N50" i="6" s="1"/>
  <c r="O66" i="6"/>
  <c r="O50" i="6" s="1"/>
  <c r="P66" i="6"/>
  <c r="P50" i="6" s="1"/>
  <c r="Q66" i="6"/>
  <c r="Q50" i="6" s="1"/>
  <c r="R66" i="6"/>
  <c r="R50" i="6" s="1"/>
  <c r="S66" i="6"/>
  <c r="T66" i="6"/>
  <c r="T50" i="6" s="1"/>
  <c r="U66" i="6"/>
  <c r="U50" i="6" s="1"/>
  <c r="V66" i="6"/>
  <c r="V50" i="6" s="1"/>
  <c r="T78" i="6"/>
  <c r="U78" i="6"/>
  <c r="G81" i="6"/>
  <c r="F81" i="6" s="1"/>
  <c r="H81" i="6"/>
  <c r="I81" i="6"/>
  <c r="J81" i="6"/>
  <c r="G82" i="6"/>
  <c r="F82" i="6" s="1"/>
  <c r="H82" i="6"/>
  <c r="I82" i="6"/>
  <c r="J82" i="6"/>
  <c r="F83" i="6"/>
  <c r="G83" i="6"/>
  <c r="H83" i="6"/>
  <c r="I83" i="6"/>
  <c r="J83" i="6"/>
  <c r="F84" i="6"/>
  <c r="G84" i="6"/>
  <c r="H84" i="6"/>
  <c r="I84" i="6"/>
  <c r="J84" i="6"/>
  <c r="G85" i="6"/>
  <c r="F85" i="6" s="1"/>
  <c r="H85" i="6"/>
  <c r="I85" i="6"/>
  <c r="J85" i="6"/>
  <c r="E86" i="6"/>
  <c r="K86" i="6"/>
  <c r="L86" i="6"/>
  <c r="M86" i="6"/>
  <c r="G86" i="6" s="1"/>
  <c r="N86" i="6"/>
  <c r="H86" i="6" s="1"/>
  <c r="O86" i="6"/>
  <c r="P86" i="6"/>
  <c r="Q86" i="6"/>
  <c r="I86" i="6" s="1"/>
  <c r="R86" i="6"/>
  <c r="S86" i="6"/>
  <c r="T86" i="6"/>
  <c r="J86" i="6" s="1"/>
  <c r="U86" i="6"/>
  <c r="V86" i="6"/>
  <c r="G89" i="6"/>
  <c r="F89" i="6" s="1"/>
  <c r="H89" i="6"/>
  <c r="H94" i="6" s="1"/>
  <c r="I89" i="6"/>
  <c r="I94" i="6" s="1"/>
  <c r="I78" i="6" s="1"/>
  <c r="J89" i="6"/>
  <c r="G90" i="6"/>
  <c r="H90" i="6"/>
  <c r="I90" i="6"/>
  <c r="F90" i="6" s="1"/>
  <c r="J90" i="6"/>
  <c r="G91" i="6"/>
  <c r="H91" i="6"/>
  <c r="I91" i="6"/>
  <c r="J91" i="6"/>
  <c r="J94" i="6" s="1"/>
  <c r="J78" i="6" s="1"/>
  <c r="F92" i="6"/>
  <c r="G92" i="6"/>
  <c r="H92" i="6"/>
  <c r="I92" i="6"/>
  <c r="J92" i="6"/>
  <c r="G93" i="6"/>
  <c r="H93" i="6"/>
  <c r="F93" i="6" s="1"/>
  <c r="I93" i="6"/>
  <c r="J93" i="6"/>
  <c r="E94" i="6"/>
  <c r="G94" i="6"/>
  <c r="K94" i="6"/>
  <c r="K78" i="6" s="1"/>
  <c r="L94" i="6"/>
  <c r="L78" i="6" s="1"/>
  <c r="M94" i="6"/>
  <c r="M78" i="6" s="1"/>
  <c r="N94" i="6"/>
  <c r="N78" i="6" s="1"/>
  <c r="O94" i="6"/>
  <c r="P94" i="6"/>
  <c r="P78" i="6" s="1"/>
  <c r="Q94" i="6"/>
  <c r="Q78" i="6" s="1"/>
  <c r="R94" i="6"/>
  <c r="R78" i="6" s="1"/>
  <c r="S94" i="6"/>
  <c r="T94" i="6"/>
  <c r="U94" i="6"/>
  <c r="V94" i="6"/>
  <c r="V78" i="6" s="1"/>
  <c r="C5" i="5"/>
  <c r="D5" i="5"/>
  <c r="E5" i="5"/>
  <c r="F5" i="5"/>
  <c r="C6" i="5"/>
  <c r="D6" i="5"/>
  <c r="E6" i="5"/>
  <c r="F6" i="5"/>
  <c r="C7" i="5"/>
  <c r="D7" i="5"/>
  <c r="E7" i="5"/>
  <c r="F7" i="5"/>
  <c r="C8" i="5"/>
  <c r="D8" i="5"/>
  <c r="E8" i="5"/>
  <c r="F8" i="5"/>
  <c r="C9" i="5"/>
  <c r="D9" i="5"/>
  <c r="E9" i="5"/>
  <c r="F9" i="5"/>
  <c r="C10" i="5"/>
  <c r="D10" i="5"/>
  <c r="E10" i="5"/>
  <c r="F10" i="5"/>
  <c r="F3" i="4"/>
  <c r="F4" i="4"/>
  <c r="F5" i="4"/>
  <c r="F6" i="4"/>
  <c r="F7" i="4"/>
  <c r="C8" i="4"/>
  <c r="D8" i="4"/>
  <c r="E8" i="4"/>
  <c r="G8" i="4"/>
  <c r="H8" i="4"/>
  <c r="I8" i="4"/>
  <c r="J8" i="4"/>
  <c r="K8" i="4"/>
  <c r="L8" i="4"/>
  <c r="F13" i="4"/>
  <c r="F14" i="4"/>
  <c r="F15" i="4"/>
  <c r="F16" i="4"/>
  <c r="F17" i="4"/>
  <c r="C18" i="4"/>
  <c r="D18" i="4"/>
  <c r="E18" i="4"/>
  <c r="G18" i="4"/>
  <c r="H18" i="4"/>
  <c r="I18" i="4"/>
  <c r="J18" i="4"/>
  <c r="K18" i="4"/>
  <c r="L18" i="4"/>
  <c r="F23" i="4"/>
  <c r="F24" i="4"/>
  <c r="F25" i="4"/>
  <c r="F26" i="4"/>
  <c r="F27" i="4"/>
  <c r="C28" i="4"/>
  <c r="D28" i="4"/>
  <c r="E28" i="4"/>
  <c r="G28" i="4"/>
  <c r="H28" i="4"/>
  <c r="I28" i="4"/>
  <c r="J28" i="4"/>
  <c r="K28" i="4"/>
  <c r="L28" i="4"/>
  <c r="F33" i="4"/>
  <c r="F35" i="4"/>
  <c r="F36" i="4"/>
  <c r="F37" i="4"/>
  <c r="C38" i="4"/>
  <c r="D38" i="4"/>
  <c r="E38" i="4"/>
  <c r="G38" i="4"/>
  <c r="H38" i="4"/>
  <c r="I38" i="4"/>
  <c r="J38" i="4"/>
  <c r="K38" i="4"/>
  <c r="L38" i="4"/>
  <c r="F43" i="4"/>
  <c r="F44" i="4"/>
  <c r="F45" i="4"/>
  <c r="F46" i="4"/>
  <c r="F47" i="4"/>
  <c r="C48" i="4"/>
  <c r="D48" i="4"/>
  <c r="E48" i="4"/>
  <c r="G48" i="4"/>
  <c r="H48" i="4"/>
  <c r="I48" i="4"/>
  <c r="J48" i="4"/>
  <c r="K48" i="4"/>
  <c r="L48" i="4"/>
  <c r="F53" i="4"/>
  <c r="F54" i="4"/>
  <c r="F55" i="4"/>
  <c r="F57" i="4"/>
  <c r="C58" i="4"/>
  <c r="D58" i="4"/>
  <c r="E58" i="4"/>
  <c r="G58" i="4"/>
  <c r="H58" i="4"/>
  <c r="I58" i="4"/>
  <c r="J58" i="4"/>
  <c r="K58" i="4"/>
  <c r="L58" i="4"/>
  <c r="F63" i="4"/>
  <c r="F64" i="4"/>
  <c r="F65" i="4"/>
  <c r="F66" i="4"/>
  <c r="F67" i="4"/>
  <c r="C68" i="4"/>
  <c r="D68" i="4"/>
  <c r="E68" i="4"/>
  <c r="G68" i="4"/>
  <c r="H68" i="4"/>
  <c r="I68" i="4"/>
  <c r="J68" i="4"/>
  <c r="K68" i="4"/>
  <c r="L68" i="4"/>
  <c r="F73" i="4"/>
  <c r="F74" i="4"/>
  <c r="F75" i="4"/>
  <c r="F76" i="4"/>
  <c r="F77" i="4"/>
  <c r="C78" i="4"/>
  <c r="D78" i="4"/>
  <c r="E78" i="4"/>
  <c r="G78" i="4"/>
  <c r="H78" i="4"/>
  <c r="I78" i="4"/>
  <c r="J78" i="4"/>
  <c r="K78" i="4"/>
  <c r="L78" i="4"/>
  <c r="F83" i="4"/>
  <c r="F84" i="4"/>
  <c r="F85" i="4"/>
  <c r="F86" i="4"/>
  <c r="F87" i="4"/>
  <c r="F93" i="4"/>
  <c r="F94" i="4"/>
  <c r="F95" i="4"/>
  <c r="F96" i="4"/>
  <c r="F97" i="4"/>
  <c r="C98" i="4"/>
  <c r="D98" i="4"/>
  <c r="E98" i="4"/>
  <c r="G98" i="4"/>
  <c r="H98" i="4"/>
  <c r="I98" i="4"/>
  <c r="J98" i="4"/>
  <c r="K98" i="4"/>
  <c r="L98" i="4"/>
  <c r="F103" i="4"/>
  <c r="F104" i="4"/>
  <c r="F105" i="4"/>
  <c r="F106" i="4"/>
  <c r="F107" i="4"/>
  <c r="C108" i="4"/>
  <c r="D108" i="4"/>
  <c r="E108" i="4"/>
  <c r="G108" i="4"/>
  <c r="H108" i="4"/>
  <c r="I108" i="4"/>
  <c r="J108" i="4"/>
  <c r="K108" i="4"/>
  <c r="L108" i="4"/>
  <c r="F113" i="4"/>
  <c r="F114" i="4"/>
  <c r="F115" i="4"/>
  <c r="F116" i="4"/>
  <c r="F117" i="4"/>
  <c r="C118" i="4"/>
  <c r="D118" i="4"/>
  <c r="E118" i="4"/>
  <c r="G118" i="4"/>
  <c r="H118" i="4"/>
  <c r="I118" i="4"/>
  <c r="J118" i="4"/>
  <c r="K118" i="4"/>
  <c r="L118" i="4"/>
  <c r="F123" i="4"/>
  <c r="F124" i="4"/>
  <c r="F125" i="4"/>
  <c r="F126" i="4"/>
  <c r="F127" i="4"/>
  <c r="C128" i="4"/>
  <c r="D128" i="4"/>
  <c r="E128" i="4"/>
  <c r="G128" i="4"/>
  <c r="H128" i="4"/>
  <c r="I128" i="4"/>
  <c r="J128" i="4"/>
  <c r="K128" i="4"/>
  <c r="L128" i="4"/>
  <c r="F133" i="4"/>
  <c r="F134" i="4"/>
  <c r="F135" i="4"/>
  <c r="F136" i="4"/>
  <c r="F137" i="4"/>
  <c r="C138" i="4"/>
  <c r="D138" i="4"/>
  <c r="E138" i="4"/>
  <c r="G138" i="4"/>
  <c r="H138" i="4"/>
  <c r="I138" i="4"/>
  <c r="J138" i="4"/>
  <c r="K138" i="4"/>
  <c r="L138" i="4"/>
  <c r="F143" i="4"/>
  <c r="F144" i="4"/>
  <c r="F145" i="4"/>
  <c r="F146" i="4"/>
  <c r="F147" i="4"/>
  <c r="C148" i="4"/>
  <c r="D148" i="4"/>
  <c r="E148" i="4"/>
  <c r="G148" i="4"/>
  <c r="H148" i="4"/>
  <c r="I148" i="4"/>
  <c r="J148" i="4"/>
  <c r="K148" i="4"/>
  <c r="L148" i="4"/>
  <c r="F153" i="4"/>
  <c r="F154" i="4"/>
  <c r="F155" i="4"/>
  <c r="F156" i="4"/>
  <c r="F157" i="4"/>
  <c r="C158" i="4"/>
  <c r="D158" i="4"/>
  <c r="E158" i="4"/>
  <c r="G158" i="4"/>
  <c r="H158" i="4"/>
  <c r="I158" i="4"/>
  <c r="J158" i="4"/>
  <c r="K158" i="4"/>
  <c r="L158" i="4"/>
  <c r="F5" i="2"/>
  <c r="E5" i="2" s="1"/>
  <c r="R44" i="4" l="1"/>
  <c r="F28" i="4"/>
  <c r="F58" i="4"/>
  <c r="F48" i="4"/>
  <c r="F18" i="4"/>
  <c r="F98" i="4"/>
  <c r="F148" i="4"/>
  <c r="F158" i="4"/>
  <c r="F138" i="4"/>
  <c r="F128" i="4"/>
  <c r="F38" i="4"/>
  <c r="F78" i="4"/>
  <c r="F68" i="4"/>
  <c r="S128" i="6"/>
  <c r="F118" i="4"/>
  <c r="R128" i="6"/>
  <c r="F108" i="4"/>
  <c r="F88" i="4"/>
  <c r="F141" i="6"/>
  <c r="P128" i="6"/>
  <c r="F133" i="6"/>
  <c r="L128" i="6"/>
  <c r="M128" i="6"/>
  <c r="G136" i="6"/>
  <c r="H136" i="6"/>
  <c r="F134" i="6"/>
  <c r="G10" i="5"/>
  <c r="F8" i="4"/>
  <c r="Q128" i="6"/>
  <c r="J144" i="6"/>
  <c r="J128" i="6" s="1"/>
  <c r="F139" i="6"/>
  <c r="F140" i="6"/>
  <c r="F143" i="6"/>
  <c r="I144" i="6"/>
  <c r="G144" i="6"/>
  <c r="F142" i="6"/>
  <c r="H144" i="6"/>
  <c r="T128" i="6"/>
  <c r="F131" i="6"/>
  <c r="F132" i="6"/>
  <c r="U128" i="6"/>
  <c r="K128" i="6"/>
  <c r="F135" i="6"/>
  <c r="O128" i="6"/>
  <c r="I136" i="6"/>
  <c r="F109" i="6"/>
  <c r="G101" i="6"/>
  <c r="H117" i="6"/>
  <c r="H101" i="6" s="1"/>
  <c r="G7" i="5"/>
  <c r="G6" i="5"/>
  <c r="G9" i="5"/>
  <c r="G5" i="5"/>
  <c r="G8" i="5"/>
  <c r="H78" i="6"/>
  <c r="F86" i="6"/>
  <c r="F24" i="6"/>
  <c r="G78" i="6"/>
  <c r="F78" i="6" s="1"/>
  <c r="F40" i="6"/>
  <c r="G24" i="6"/>
  <c r="F32" i="6"/>
  <c r="H50" i="6"/>
  <c r="H24" i="6"/>
  <c r="F94" i="6"/>
  <c r="F91" i="6"/>
  <c r="G66" i="6"/>
  <c r="F35" i="6"/>
  <c r="F136" i="6" l="1"/>
  <c r="H128" i="6"/>
  <c r="G128" i="6"/>
  <c r="F144" i="6"/>
  <c r="I128" i="6"/>
  <c r="F117" i="6"/>
  <c r="F101" i="6"/>
  <c r="G50" i="6"/>
  <c r="F50" i="6" s="1"/>
  <c r="F66" i="6"/>
  <c r="F128" i="6" l="1"/>
</calcChain>
</file>

<file path=xl/sharedStrings.xml><?xml version="1.0" encoding="utf-8"?>
<sst xmlns="http://schemas.openxmlformats.org/spreadsheetml/2006/main" count="1055" uniqueCount="258">
  <si>
    <t>Target</t>
    <phoneticPr fontId="0" type="noConversion"/>
  </si>
  <si>
    <t>LP-P OOS Rate</t>
    <phoneticPr fontId="0" type="noConversion"/>
  </si>
  <si>
    <t>Q4</t>
    <phoneticPr fontId="0" type="noConversion"/>
  </si>
  <si>
    <t>Q3</t>
    <phoneticPr fontId="0" type="noConversion"/>
  </si>
  <si>
    <t>Q2</t>
    <phoneticPr fontId="0" type="noConversion"/>
  </si>
  <si>
    <t>Q1</t>
    <phoneticPr fontId="0" type="noConversion"/>
  </si>
  <si>
    <t>2022y PTC OOS Rate</t>
    <phoneticPr fontId="0" type="noConversion"/>
  </si>
  <si>
    <t>2021y PTC OOS Rate</t>
    <phoneticPr fontId="0" type="noConversion"/>
  </si>
  <si>
    <t>2021 LP-P PTC O.O.S. Rate</t>
    <phoneticPr fontId="0" type="noConversion"/>
  </si>
  <si>
    <t>P1 TOP</t>
    <phoneticPr fontId="0" type="noConversion"/>
  </si>
  <si>
    <t>P1 CEN</t>
    <phoneticPr fontId="0" type="noConversion"/>
  </si>
  <si>
    <t>P1 BTM</t>
    <phoneticPr fontId="0" type="noConversion"/>
  </si>
  <si>
    <t>P2 TOP</t>
    <phoneticPr fontId="0" type="noConversion"/>
  </si>
  <si>
    <t>P2 CEN</t>
    <phoneticPr fontId="0" type="noConversion"/>
  </si>
  <si>
    <t>P2 BTM</t>
    <phoneticPr fontId="0" type="noConversion"/>
  </si>
  <si>
    <t>P3 TOP</t>
    <phoneticPr fontId="0" type="noConversion"/>
  </si>
  <si>
    <t>P3 CEN</t>
    <phoneticPr fontId="0" type="noConversion"/>
  </si>
  <si>
    <t>P3 BTM</t>
    <phoneticPr fontId="0" type="noConversion"/>
  </si>
  <si>
    <t>P4 TOP</t>
    <phoneticPr fontId="0" type="noConversion"/>
  </si>
  <si>
    <t>P4 CEN</t>
    <phoneticPr fontId="0" type="noConversion"/>
  </si>
  <si>
    <t>P4 BTM</t>
    <phoneticPr fontId="0" type="noConversion"/>
  </si>
  <si>
    <t>P6 TOP</t>
    <phoneticPr fontId="0" type="noConversion"/>
  </si>
  <si>
    <t>P6 CEN</t>
    <phoneticPr fontId="0" type="noConversion"/>
  </si>
  <si>
    <t>P6 BTM</t>
    <phoneticPr fontId="0" type="noConversion"/>
  </si>
  <si>
    <t>12月</t>
    <phoneticPr fontId="0" type="noConversion"/>
  </si>
  <si>
    <t>11月</t>
    <phoneticPr fontId="0" type="noConversion"/>
  </si>
  <si>
    <t>10月</t>
    <phoneticPr fontId="0" type="noConversion"/>
  </si>
  <si>
    <t>9月</t>
    <phoneticPr fontId="0" type="noConversion"/>
  </si>
  <si>
    <t>8月</t>
    <phoneticPr fontId="0" type="noConversion"/>
  </si>
  <si>
    <t>7月</t>
    <phoneticPr fontId="0" type="noConversion"/>
  </si>
  <si>
    <t>6月</t>
    <phoneticPr fontId="0" type="noConversion"/>
  </si>
  <si>
    <t>5月</t>
    <phoneticPr fontId="0" type="noConversion"/>
  </si>
  <si>
    <t>4月</t>
    <phoneticPr fontId="0" type="noConversion"/>
  </si>
  <si>
    <t>3月</t>
    <phoneticPr fontId="0" type="noConversion"/>
  </si>
  <si>
    <t>2月</t>
    <phoneticPr fontId="0" type="noConversion"/>
  </si>
  <si>
    <t>1月</t>
    <phoneticPr fontId="0" type="noConversion"/>
  </si>
  <si>
    <t>PTC zone別</t>
    <phoneticPr fontId="0" type="noConversion"/>
  </si>
  <si>
    <t>avg</t>
    <phoneticPr fontId="0" type="noConversion"/>
  </si>
  <si>
    <t>LP-P6</t>
    <phoneticPr fontId="0" type="noConversion"/>
  </si>
  <si>
    <t>LP-P4</t>
    <phoneticPr fontId="0" type="noConversion"/>
  </si>
  <si>
    <t>LP-P3</t>
    <phoneticPr fontId="0" type="noConversion"/>
  </si>
  <si>
    <t>LP-P2</t>
    <phoneticPr fontId="0" type="noConversion"/>
  </si>
  <si>
    <t>LP-P1</t>
    <phoneticPr fontId="0" type="noConversion"/>
  </si>
  <si>
    <t>R/D%</t>
    <phoneticPr fontId="0" type="noConversion"/>
  </si>
  <si>
    <t>F/D%</t>
    <phoneticPr fontId="0" type="noConversion"/>
  </si>
  <si>
    <t>P/M%</t>
    <phoneticPr fontId="0" type="noConversion"/>
  </si>
  <si>
    <t>M/D%</t>
    <phoneticPr fontId="0" type="noConversion"/>
  </si>
  <si>
    <t>P/D%</t>
    <phoneticPr fontId="0" type="noConversion"/>
  </si>
  <si>
    <t>S/U%</t>
    <phoneticPr fontId="0" type="noConversion"/>
  </si>
  <si>
    <t>TOTAL %</t>
    <phoneticPr fontId="0" type="noConversion"/>
  </si>
  <si>
    <t>O/T%</t>
    <phoneticPr fontId="0" type="noConversion"/>
  </si>
  <si>
    <t>L/T%</t>
    <phoneticPr fontId="0" type="noConversion"/>
  </si>
  <si>
    <t>U/T%</t>
    <phoneticPr fontId="0" type="noConversion"/>
  </si>
  <si>
    <t>機台代號</t>
    <phoneticPr fontId="0" type="noConversion"/>
  </si>
  <si>
    <t>12M</t>
    <phoneticPr fontId="0" type="noConversion"/>
  </si>
  <si>
    <t>11M</t>
    <phoneticPr fontId="0" type="noConversion"/>
  </si>
  <si>
    <t>10M</t>
    <phoneticPr fontId="0" type="noConversion"/>
  </si>
  <si>
    <t>9M</t>
    <phoneticPr fontId="0" type="noConversion"/>
  </si>
  <si>
    <t>8M</t>
    <phoneticPr fontId="0" type="noConversion"/>
  </si>
  <si>
    <t>7M</t>
    <phoneticPr fontId="0" type="noConversion"/>
  </si>
  <si>
    <t>6M</t>
    <phoneticPr fontId="0" type="noConversion"/>
  </si>
  <si>
    <t>5M</t>
    <phoneticPr fontId="0" type="noConversion"/>
  </si>
  <si>
    <t>4M</t>
    <phoneticPr fontId="0" type="noConversion"/>
  </si>
  <si>
    <t>3M</t>
    <phoneticPr fontId="0" type="noConversion"/>
  </si>
  <si>
    <t>2M</t>
    <phoneticPr fontId="0" type="noConversion"/>
  </si>
  <si>
    <t>1M</t>
    <phoneticPr fontId="0" type="noConversion"/>
  </si>
  <si>
    <t>R/D</t>
    <phoneticPr fontId="0" type="noConversion"/>
  </si>
  <si>
    <t>F/D</t>
    <phoneticPr fontId="0" type="noConversion"/>
  </si>
  <si>
    <t>P/D</t>
    <phoneticPr fontId="0" type="noConversion"/>
  </si>
  <si>
    <t>S/U</t>
    <phoneticPr fontId="0" type="noConversion"/>
  </si>
  <si>
    <t>M/D</t>
    <phoneticPr fontId="0" type="noConversion"/>
  </si>
  <si>
    <t>PM</t>
    <phoneticPr fontId="0" type="noConversion"/>
  </si>
  <si>
    <t>target</t>
    <phoneticPr fontId="0" type="noConversion"/>
  </si>
  <si>
    <t>U/T</t>
    <phoneticPr fontId="0" type="noConversion"/>
  </si>
  <si>
    <t>12月</t>
  </si>
  <si>
    <t>11月</t>
  </si>
  <si>
    <t>10月</t>
  </si>
  <si>
    <t>9月</t>
  </si>
  <si>
    <t>8月</t>
  </si>
  <si>
    <t>7月</t>
  </si>
  <si>
    <t xml:space="preserve">6月 </t>
  </si>
  <si>
    <t xml:space="preserve">5月 </t>
  </si>
  <si>
    <t xml:space="preserve">4月 </t>
  </si>
  <si>
    <t>3月</t>
  </si>
  <si>
    <t>2月</t>
  </si>
  <si>
    <t xml:space="preserve">1月 </t>
  </si>
  <si>
    <t xml:space="preserve">Q2 </t>
    <phoneticPr fontId="0" type="noConversion"/>
  </si>
  <si>
    <t xml:space="preserve">Q1 </t>
    <phoneticPr fontId="0" type="noConversion"/>
  </si>
  <si>
    <t>機台</t>
  </si>
  <si>
    <t>LP-P PTC次數</t>
    <phoneticPr fontId="0" type="noConversion"/>
  </si>
  <si>
    <t>2022y Total PTC</t>
    <phoneticPr fontId="0" type="noConversion"/>
  </si>
  <si>
    <t>2021y Total PTC</t>
    <phoneticPr fontId="0" type="noConversion"/>
  </si>
  <si>
    <t>PTC次數</t>
    <phoneticPr fontId="0" type="noConversion"/>
  </si>
  <si>
    <t>LP-P Run數</t>
    <phoneticPr fontId="0" type="noConversion"/>
  </si>
  <si>
    <t>2022y 平均RUN數</t>
    <phoneticPr fontId="0" type="noConversion"/>
  </si>
  <si>
    <t>2021y 平均RUN數</t>
    <phoneticPr fontId="0" type="noConversion"/>
  </si>
  <si>
    <t>Run 數</t>
    <phoneticPr fontId="0" type="noConversion"/>
  </si>
  <si>
    <t>&lt;0.4%</t>
    <phoneticPr fontId="0" type="noConversion"/>
  </si>
  <si>
    <t>李治中</t>
    <phoneticPr fontId="0" type="noConversion"/>
  </si>
  <si>
    <t>2021 KPI</t>
    <phoneticPr fontId="0" type="noConversion"/>
  </si>
  <si>
    <t>負責人</t>
    <phoneticPr fontId="0" type="noConversion"/>
  </si>
  <si>
    <t>S</t>
    <phoneticPr fontId="0" type="noConversion"/>
  </si>
  <si>
    <t>2020y Total PTC</t>
    <phoneticPr fontId="0" type="noConversion"/>
  </si>
  <si>
    <t>2020y 平均RUN數</t>
    <phoneticPr fontId="0" type="noConversion"/>
  </si>
  <si>
    <t>2020y PTC OOS Rate</t>
    <phoneticPr fontId="0" type="noConversion"/>
  </si>
  <si>
    <t>2019y Total PTC</t>
    <phoneticPr fontId="0" type="noConversion"/>
  </si>
  <si>
    <t>2019y 平均RUN數</t>
    <phoneticPr fontId="0" type="noConversion"/>
  </si>
  <si>
    <t>林韋志</t>
    <phoneticPr fontId="0" type="noConversion"/>
  </si>
  <si>
    <t>2019y PTC OOS Rate</t>
    <phoneticPr fontId="0" type="noConversion"/>
  </si>
  <si>
    <t>2020 KPI</t>
    <phoneticPr fontId="0" type="noConversion"/>
  </si>
  <si>
    <t>S220</t>
    <phoneticPr fontId="1" type="noConversion"/>
  </si>
  <si>
    <t>負責人</t>
    <phoneticPr fontId="1" type="noConversion"/>
  </si>
  <si>
    <t>2021 KPI</t>
    <phoneticPr fontId="1" type="noConversion"/>
  </si>
  <si>
    <t>2022y PTC OOS Rate</t>
    <phoneticPr fontId="1" type="noConversion"/>
  </si>
  <si>
    <t>2023y PTC OOS Rate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</si>
  <si>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</si>
  <si>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</si>
  <si>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</si>
  <si>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Q4</t>
    <phoneticPr fontId="1" type="noConversion"/>
  </si>
  <si>
    <t>LP-P OOS Rate</t>
    <phoneticPr fontId="1" type="noConversion"/>
  </si>
  <si>
    <t>李治中</t>
    <phoneticPr fontId="1" type="noConversion"/>
  </si>
  <si>
    <t>&lt;0.4%</t>
    <phoneticPr fontId="1" type="noConversion"/>
  </si>
  <si>
    <t>Run 數</t>
    <phoneticPr fontId="1" type="noConversion"/>
  </si>
  <si>
    <t>2022y 平均RUN數</t>
    <phoneticPr fontId="1" type="noConversion"/>
  </si>
  <si>
    <t>2023y 平均RUN數</t>
    <phoneticPr fontId="1" type="noConversion"/>
  </si>
  <si>
    <t>LP-P1</t>
    <phoneticPr fontId="1" type="noConversion"/>
  </si>
  <si>
    <t>LP-P2</t>
    <phoneticPr fontId="1" type="noConversion"/>
  </si>
  <si>
    <t>LP-P3</t>
    <phoneticPr fontId="1" type="noConversion"/>
  </si>
  <si>
    <t>LP-P4</t>
    <phoneticPr fontId="1" type="noConversion"/>
  </si>
  <si>
    <t>LP-P6</t>
    <phoneticPr fontId="1" type="noConversion"/>
  </si>
  <si>
    <t>LP-P Run數</t>
    <phoneticPr fontId="1" type="noConversion"/>
  </si>
  <si>
    <t>PTC次數</t>
    <phoneticPr fontId="1" type="noConversion"/>
  </si>
  <si>
    <t>2022y Total PTC</t>
    <phoneticPr fontId="1" type="noConversion"/>
  </si>
  <si>
    <t>2023y Total PTC</t>
    <phoneticPr fontId="1" type="noConversion"/>
  </si>
  <si>
    <t>LP-P PTC次數</t>
    <phoneticPr fontId="1" type="noConversion"/>
  </si>
  <si>
    <t>2023y PTC OOS Rate</t>
  </si>
  <si>
    <t>2024y PTC OOS Rate</t>
  </si>
  <si>
    <t>2023y Total PTC</t>
  </si>
  <si>
    <t>2024y Total PTC</t>
  </si>
  <si>
    <t>2023y 平均RUN數</t>
  </si>
  <si>
    <t>2024y 平均RUN數</t>
  </si>
  <si>
    <t>PTC次數</t>
  </si>
  <si>
    <t>RUN數</t>
  </si>
  <si>
    <t>機台代號</t>
  </si>
  <si>
    <t>位置編號</t>
  </si>
  <si>
    <t>修機時間</t>
  </si>
  <si>
    <t>結束時間</t>
  </si>
  <si>
    <t>區間(Hrs)</t>
  </si>
  <si>
    <t>Error Code</t>
  </si>
  <si>
    <t>當機原因</t>
  </si>
  <si>
    <t>工程師</t>
  </si>
  <si>
    <t>備註</t>
  </si>
  <si>
    <t>簽結人</t>
  </si>
  <si>
    <t>主管審核</t>
  </si>
  <si>
    <t>歐陽以恆</t>
  </si>
  <si>
    <t>LP-P2</t>
  </si>
  <si>
    <t>D55</t>
  </si>
  <si>
    <t>24 Jan 2025 19:03:49</t>
  </si>
  <si>
    <t>25 Jan 2025 01:30:19</t>
  </si>
  <si>
    <t>S22D55*PT01</t>
  </si>
  <si>
    <t>particle up</t>
  </si>
  <si>
    <t>黃建華</t>
  </si>
  <si>
    <t>REPLACE BOAT COATING OK, TEST RUN P07 P09</t>
  </si>
  <si>
    <t>24 Jan 2025 09:58:24</t>
  </si>
  <si>
    <t>24 Jan 2025 11:18:15</t>
  </si>
  <si>
    <t>林峻毅</t>
  </si>
  <si>
    <t>Test run P09 PTC OOS, test run P07</t>
  </si>
  <si>
    <t>LP-P3</t>
  </si>
  <si>
    <t>D59</t>
  </si>
  <si>
    <t>21 Jan 2025 04:11:37</t>
  </si>
  <si>
    <t>21 Jan 2025 06:21:59</t>
  </si>
  <si>
    <t>S22D59*PT01</t>
  </si>
  <si>
    <t>earthquake issue check machine ok test run P09 put m/w C1/C4/C5</t>
  </si>
  <si>
    <t>21 Jan 2025 04:11:15</t>
  </si>
  <si>
    <t>21 Jan 2025 06:21:32</t>
  </si>
  <si>
    <t>LP-P1</t>
  </si>
  <si>
    <t>D56</t>
  </si>
  <si>
    <t>21 Jan 2025 04:10:45</t>
  </si>
  <si>
    <t>21 Jan 2025 06:20:27</t>
  </si>
  <si>
    <t>S22D56*PT01</t>
  </si>
  <si>
    <t>earthquake issue check machine ok test run P07 put m/w C1/C4/C6</t>
  </si>
  <si>
    <t>pump alarm</t>
  </si>
  <si>
    <t>17 Jan 2025 04:57:41</t>
  </si>
  <si>
    <t>17 Jan 2025 05:01:03</t>
  </si>
  <si>
    <t>EQ check machine ok, follow exchange boat dummy , test run P09 add C1/C4/C5 m/w.</t>
  </si>
  <si>
    <t>LP-P4</t>
  </si>
  <si>
    <t>D58</t>
  </si>
  <si>
    <t>15 Jan 2025 20:28:37</t>
  </si>
  <si>
    <t>15 Jan 2025 23:25:30</t>
  </si>
  <si>
    <t>S22D58*MB02</t>
  </si>
  <si>
    <t>replace pump ok</t>
  </si>
  <si>
    <t>14 Jan 2025 21:39:35</t>
  </si>
  <si>
    <t>14 Jan 2025 22:18:03</t>
  </si>
  <si>
    <t>S22D58*PT01</t>
  </si>
  <si>
    <t>C6 PTC OOS</t>
  </si>
  <si>
    <t>高明聖</t>
  </si>
  <si>
    <t>06 Jan 2025 22:31:22</t>
  </si>
  <si>
    <t>06 Jan 2025 22:46:59</t>
  </si>
  <si>
    <t>C6 PTC OOS check ok re-test</t>
  </si>
  <si>
    <t>02 Jan 2025 10:46:22</t>
  </si>
  <si>
    <t>02 Jan 2025 16:07:50</t>
  </si>
  <si>
    <t>S22D55*MB02</t>
  </si>
  <si>
    <t>Adjust danger alarm 訊號 test ok , follow exchange boat dummy, test run P07 add  m/w.</t>
  </si>
  <si>
    <t>2025y</t>
  </si>
  <si>
    <t>2024y</t>
  </si>
  <si>
    <t>LP-N1</t>
  </si>
  <si>
    <t>LP-N3</t>
  </si>
  <si>
    <t>LP-N4</t>
  </si>
  <si>
    <t>LP-N5</t>
  </si>
  <si>
    <t>LP-N7</t>
  </si>
  <si>
    <t>LP-TEOS</t>
  </si>
  <si>
    <t>23Y</t>
  </si>
  <si>
    <t>24Y</t>
  </si>
  <si>
    <t>25Y</t>
  </si>
  <si>
    <t>Q1</t>
    <phoneticPr fontId="2" type="noConversion"/>
  </si>
  <si>
    <t>Q2</t>
    <phoneticPr fontId="2" type="noConversion"/>
  </si>
  <si>
    <t>Q3</t>
    <phoneticPr fontId="2" type="noConversion"/>
  </si>
  <si>
    <t>Q4</t>
    <phoneticPr fontId="2" type="noConversion"/>
  </si>
  <si>
    <t>1M</t>
  </si>
  <si>
    <t>2M</t>
  </si>
  <si>
    <t>3M</t>
  </si>
  <si>
    <t>4M</t>
  </si>
  <si>
    <t>5M</t>
  </si>
  <si>
    <t>6M</t>
  </si>
  <si>
    <t>7M</t>
  </si>
  <si>
    <t>8M</t>
  </si>
  <si>
    <t>9M</t>
  </si>
  <si>
    <t>10M</t>
  </si>
  <si>
    <t>11M</t>
  </si>
  <si>
    <t>12M</t>
  </si>
  <si>
    <t>OOS rate</t>
  </si>
  <si>
    <t>Spec (%)</t>
  </si>
  <si>
    <t xml:space="preserve"> </t>
  </si>
  <si>
    <t>Run 數</t>
  </si>
  <si>
    <t>PTC 次數</t>
  </si>
  <si>
    <t>PM+MD%</t>
  </si>
  <si>
    <t>q1</t>
  </si>
  <si>
    <t>LP-N2</t>
  </si>
  <si>
    <t>LP-N6</t>
  </si>
  <si>
    <t>N1</t>
  </si>
  <si>
    <t>N2</t>
  </si>
  <si>
    <t>N3</t>
  </si>
  <si>
    <t>N4</t>
  </si>
  <si>
    <t>N5</t>
  </si>
  <si>
    <t>N6</t>
  </si>
  <si>
    <t>N7</t>
  </si>
  <si>
    <t>M/D%</t>
  </si>
  <si>
    <t>Q3</t>
  </si>
  <si>
    <t>U/T%</t>
  </si>
  <si>
    <t>L/T%</t>
  </si>
  <si>
    <t>O/T%</t>
  </si>
  <si>
    <t>MD+PM</t>
  </si>
  <si>
    <t>P/M%</t>
  </si>
  <si>
    <t>S/U%</t>
  </si>
  <si>
    <t>F/D%</t>
  </si>
  <si>
    <t>R/D%</t>
  </si>
  <si>
    <t>P/D%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</si>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</sst>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_ "/>
  </numFmts>
  <fonts count="16"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1"/>
      <charset val="136"/>
      <scheme val="minor"/>
    </font>
    <font>
      <b/>
      <sz val="11"/>
      <color rgb="FF0070C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0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新細明體"/>
      <family val="1"/>
      <charset val="136"/>
    </font>
    <font>
      <b/>
      <sz val="1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1"/>
      <color rgb="FF323130"/>
      <name val="Segoe UI"/>
      <family val="2"/>
    </font>
    <font>
      <sz val="12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</fonts>
  <fills count="1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>
      <alignment vertical="center"/>
    </xf>
    <xf numFmtId="0" fontId="6" fillId="0" borderId="0"/>
    <xf numFmtId="0" fontId="14" fillId="0" borderId="0">
      <alignment vertical="center"/>
    </xf>
    <xf numFmtId="9" fontId="14" fillId="0" borderId="0" applyFont="0" applyFill="0" applyBorder="0" applyAlignment="0" applyProtection="0">
      <alignment vertical="center"/>
    </xf>
  </cellStyleXfs>
  <cellXfs count="92">
    <xf numFmtId="0" fontId="0" fillId="0" borderId="0" xfId="0"/>
    <xf numFmtId="0" fontId="1" fillId="0" borderId="0" xfId="1">
      <alignment vertical="center"/>
    </xf>
    <xf numFmtId="10" fontId="2" fillId="0" borderId="1" xfId="1" applyNumberFormat="1" applyFont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4" fillId="0" borderId="0" xfId="1" applyFont="1">
      <alignment vertical="center"/>
    </xf>
    <xf numFmtId="0" fontId="5" fillId="0" borderId="1" xfId="1" applyFont="1" applyBorder="1" applyAlignment="1">
      <alignment horizontal="center" vertical="center"/>
    </xf>
    <xf numFmtId="164" fontId="7" fillId="0" borderId="1" xfId="2" applyNumberFormat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/>
    </xf>
    <xf numFmtId="0" fontId="9" fillId="0" borderId="0" xfId="1" applyFont="1">
      <alignment vertical="center"/>
    </xf>
    <xf numFmtId="164" fontId="7" fillId="0" borderId="1" xfId="2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 wrapText="1"/>
    </xf>
    <xf numFmtId="165" fontId="3" fillId="8" borderId="1" xfId="1" applyNumberFormat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/>
    </xf>
    <xf numFmtId="165" fontId="3" fillId="0" borderId="1" xfId="1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2" fontId="3" fillId="0" borderId="1" xfId="1" applyNumberFormat="1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 vertical="center" wrapText="1"/>
    </xf>
    <xf numFmtId="0" fontId="15" fillId="10" borderId="3" xfId="3" applyFont="1" applyFill="1" applyBorder="1" applyAlignment="1">
      <alignment horizontal="center" vertical="center" wrapText="1"/>
    </xf>
    <xf numFmtId="0" fontId="15" fillId="10" borderId="4" xfId="3" applyFont="1" applyFill="1" applyBorder="1" applyAlignment="1">
      <alignment horizontal="center" vertical="center" wrapText="1"/>
    </xf>
    <xf numFmtId="0" fontId="15" fillId="10" borderId="5" xfId="3" applyFont="1" applyFill="1" applyBorder="1" applyAlignment="1">
      <alignment horizontal="center" vertical="center" wrapText="1"/>
    </xf>
    <xf numFmtId="0" fontId="15" fillId="0" borderId="0" xfId="3" applyFont="1" applyAlignment="1">
      <alignment horizontal="center" vertical="center" wrapText="1"/>
    </xf>
    <xf numFmtId="0" fontId="15" fillId="11" borderId="6" xfId="3" applyFont="1" applyFill="1" applyBorder="1" applyAlignment="1">
      <alignment horizontal="center" vertical="center"/>
    </xf>
    <xf numFmtId="10" fontId="15" fillId="0" borderId="1" xfId="4" applyNumberFormat="1" applyFont="1" applyFill="1" applyBorder="1" applyAlignment="1">
      <alignment horizontal="center" vertical="center"/>
    </xf>
    <xf numFmtId="0" fontId="15" fillId="0" borderId="1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11" borderId="7" xfId="3" applyFont="1" applyFill="1" applyBorder="1" applyAlignment="1">
      <alignment horizontal="center" vertical="center"/>
    </xf>
    <xf numFmtId="10" fontId="15" fillId="0" borderId="8" xfId="3" applyNumberFormat="1" applyFont="1" applyBorder="1" applyAlignment="1">
      <alignment horizontal="center" vertical="center"/>
    </xf>
    <xf numFmtId="10" fontId="15" fillId="0" borderId="9" xfId="3" applyNumberFormat="1" applyFont="1" applyBorder="1" applyAlignment="1">
      <alignment horizontal="center" vertical="center"/>
    </xf>
    <xf numFmtId="10" fontId="15" fillId="0" borderId="10" xfId="3" applyNumberFormat="1" applyFont="1" applyBorder="1" applyAlignment="1">
      <alignment horizontal="center" vertical="center"/>
    </xf>
    <xf numFmtId="0" fontId="15" fillId="12" borderId="3" xfId="3" applyFont="1" applyFill="1" applyBorder="1" applyAlignment="1">
      <alignment horizontal="center" vertical="center" wrapText="1"/>
    </xf>
    <xf numFmtId="0" fontId="15" fillId="12" borderId="4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5" fillId="5" borderId="6" xfId="3" applyFont="1" applyFill="1" applyBorder="1" applyAlignment="1">
      <alignment horizontal="center" vertical="center"/>
    </xf>
    <xf numFmtId="1" fontId="15" fillId="0" borderId="1" xfId="3" applyNumberFormat="1" applyFont="1" applyBorder="1" applyAlignment="1">
      <alignment horizontal="center" vertical="center"/>
    </xf>
    <xf numFmtId="0" fontId="3" fillId="0" borderId="1" xfId="3" applyFont="1" applyBorder="1" applyAlignment="1">
      <alignment horizontal="center" vertical="center"/>
    </xf>
    <xf numFmtId="0" fontId="15" fillId="0" borderId="14" xfId="3" applyFont="1" applyBorder="1" applyAlignment="1">
      <alignment horizontal="center" vertical="center"/>
    </xf>
    <xf numFmtId="0" fontId="14" fillId="0" borderId="0" xfId="3">
      <alignment vertical="center"/>
    </xf>
    <xf numFmtId="0" fontId="15" fillId="13" borderId="7" xfId="3" applyFont="1" applyFill="1" applyBorder="1" applyAlignment="1">
      <alignment horizontal="center" vertical="center"/>
    </xf>
    <xf numFmtId="1" fontId="15" fillId="13" borderId="8" xfId="3" applyNumberFormat="1" applyFont="1" applyFill="1" applyBorder="1" applyAlignment="1">
      <alignment horizontal="center" vertical="center"/>
    </xf>
    <xf numFmtId="0" fontId="15" fillId="13" borderId="8" xfId="3" applyFont="1" applyFill="1" applyBorder="1" applyAlignment="1">
      <alignment horizontal="center" vertical="center"/>
    </xf>
    <xf numFmtId="0" fontId="15" fillId="13" borderId="9" xfId="3" applyFont="1" applyFill="1" applyBorder="1" applyAlignment="1">
      <alignment horizontal="center" vertical="center"/>
    </xf>
    <xf numFmtId="0" fontId="15" fillId="14" borderId="3" xfId="3" applyFont="1" applyFill="1" applyBorder="1" applyAlignment="1">
      <alignment horizontal="center" vertical="center" wrapText="1"/>
    </xf>
    <xf numFmtId="0" fontId="15" fillId="14" borderId="4" xfId="3" applyFont="1" applyFill="1" applyBorder="1" applyAlignment="1">
      <alignment horizontal="center" vertical="center" wrapText="1"/>
    </xf>
    <xf numFmtId="0" fontId="15" fillId="14" borderId="5" xfId="3" applyFont="1" applyFill="1" applyBorder="1" applyAlignment="1">
      <alignment horizontal="center" vertical="center" wrapText="1"/>
    </xf>
    <xf numFmtId="0" fontId="15" fillId="15" borderId="6" xfId="3" applyFont="1" applyFill="1" applyBorder="1" applyAlignment="1">
      <alignment horizontal="center" vertical="center"/>
    </xf>
    <xf numFmtId="0" fontId="15" fillId="14" borderId="7" xfId="3" applyFont="1" applyFill="1" applyBorder="1" applyAlignment="1">
      <alignment horizontal="center" vertical="center"/>
    </xf>
    <xf numFmtId="0" fontId="15" fillId="14" borderId="8" xfId="3" applyFont="1" applyFill="1" applyBorder="1" applyAlignment="1">
      <alignment horizontal="center" vertical="center"/>
    </xf>
    <xf numFmtId="1" fontId="15" fillId="14" borderId="8" xfId="3" applyNumberFormat="1" applyFont="1" applyFill="1" applyBorder="1" applyAlignment="1">
      <alignment horizontal="center" vertical="center"/>
    </xf>
    <xf numFmtId="1" fontId="15" fillId="0" borderId="0" xfId="3" applyNumberFormat="1" applyFont="1" applyAlignment="1">
      <alignment horizontal="center" vertical="center"/>
    </xf>
    <xf numFmtId="0" fontId="3" fillId="16" borderId="1" xfId="1" applyFont="1" applyFill="1" applyBorder="1" applyAlignment="1">
      <alignment horizontal="center" vertical="center"/>
    </xf>
    <xf numFmtId="0" fontId="3" fillId="17" borderId="1" xfId="1" applyFont="1" applyFill="1" applyBorder="1" applyAlignment="1">
      <alignment horizontal="center" vertical="center"/>
    </xf>
    <xf numFmtId="0" fontId="3" fillId="0" borderId="0" xfId="1" applyFont="1">
      <alignment vertical="center"/>
    </xf>
    <xf numFmtId="164" fontId="3" fillId="0" borderId="1" xfId="1" applyNumberFormat="1" applyFont="1" applyBorder="1" applyAlignment="1">
      <alignment horizontal="center" vertical="center"/>
    </xf>
    <xf numFmtId="0" fontId="15" fillId="0" borderId="11" xfId="3" applyFont="1" applyBorder="1" applyAlignment="1">
      <alignment horizontal="center" vertical="center"/>
    </xf>
    <xf numFmtId="0" fontId="14" fillId="0" borderId="12" xfId="3" applyBorder="1" applyAlignment="1">
      <alignment horizontal="center" vertical="center"/>
    </xf>
    <xf numFmtId="0" fontId="14" fillId="0" borderId="13" xfId="3" applyBorder="1" applyAlignment="1">
      <alignment horizontal="center" vertical="center"/>
    </xf>
  </cellXfs>
  <cellStyles count="5">
    <cellStyle name="一般" xfId="0" builtinId="0"/>
    <cellStyle name="一般 2" xfId="1" xr:uid="{F3D26312-6834-4D03-8536-49114DE237BD}"/>
    <cellStyle name="一般 3" xfId="3" xr:uid="{7675018C-9BF6-4A96-95E8-98CF751125C8}"/>
    <cellStyle name="一般_99 TEOS PTC月報" xfId="2" xr:uid="{EF3CF1A1-1A51-45E3-BCC9-76298A3A7ABA}"/>
    <cellStyle name="百分比 2" xfId="4" xr:uid="{95582A2A-D69C-4A02-81E8-D905CFE53C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微軟正黑體" panose="020B0604030504040204" pitchFamily="34" charset="-120"/>
                <a:ea typeface="微軟正黑體" panose="020B0604030504040204" pitchFamily="34" charset="-120"/>
              </a:defRPr>
            </a:pPr>
            <a:r>
              <a:rPr lang="en-US" altLang="zh-TW">
                <a:latin typeface="微軟正黑體" panose="020B0604030504040204" pitchFamily="34" charset="-120"/>
                <a:ea typeface="微軟正黑體" panose="020B0604030504040204" pitchFamily="34" charset="-120"/>
              </a:rPr>
              <a:t>2024y</a:t>
            </a:r>
            <a:r>
              <a:rPr lang="en-US" altLang="zh-TW" baseline="0">
                <a:latin typeface="微軟正黑體" panose="020B0604030504040204" pitchFamily="34" charset="-120"/>
                <a:ea typeface="微軟正黑體" panose="020B0604030504040204" pitchFamily="34" charset="-120"/>
              </a:rPr>
              <a:t> LP-P PTC O.O.S Rate</a:t>
            </a:r>
            <a:endParaRPr lang="zh-TW" altLang="en-US">
              <a:latin typeface="微軟正黑體" panose="020B0604030504040204" pitchFamily="34" charset="-120"/>
              <a:ea typeface="微軟正黑體" panose="020B0604030504040204" pitchFamily="34" charset="-120"/>
            </a:endParaRP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'2024 Poly PTC OOS Rate'!$C$5</c:f>
              <c:strCache>
                <c:ptCount val="1"/>
                <c:pt idx="0">
                  <c:v>LP-P OOS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OOS Rate'!$D$4:$U$4</c:f>
              <c:strCache>
                <c:ptCount val="18"/>
                <c:pt idx="0">
                  <c:v>2023y PTC OOS Rate</c:v>
                </c:pt>
                <c:pt idx="1">
                  <c:v>2024y PTC OOS Rate</c:v>
                </c:pt>
                <c:pt idx="2">
                  <c:v>Q1</c:v>
                </c:pt>
                <c:pt idx="3">
                  <c:v>Q2</c:v>
                </c:pt>
                <c:pt idx="4">
                  <c:v>Q3</c:v>
                </c:pt>
                <c:pt idx="5">
                  <c:v>Q4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strCache>
            </c:strRef>
          </c:cat>
          <c:val>
            <c:numRef>
              <c:f>'2024 Poly PTC OOS Rate'!$D$5:$U$5</c:f>
              <c:numCache>
                <c:formatCode>0.00%</c:formatCode>
                <c:ptCount val="18"/>
                <c:pt idx="0">
                  <c:v>1.9E-3</c:v>
                </c:pt>
                <c:pt idx="1">
                  <c:v>2.6749999999999999E-3</c:v>
                </c:pt>
                <c:pt idx="2">
                  <c:v>5.9999999999999995E-4</c:v>
                </c:pt>
                <c:pt idx="3">
                  <c:v>1.1000000000000001E-3</c:v>
                </c:pt>
                <c:pt idx="4">
                  <c:v>0</c:v>
                </c:pt>
                <c:pt idx="5">
                  <c:v>8.9999999999999993E-3</c:v>
                </c:pt>
                <c:pt idx="6">
                  <c:v>0</c:v>
                </c:pt>
                <c:pt idx="7">
                  <c:v>0</c:v>
                </c:pt>
                <c:pt idx="8">
                  <c:v>1.8E-3</c:v>
                </c:pt>
                <c:pt idx="9">
                  <c:v>0</c:v>
                </c:pt>
                <c:pt idx="10">
                  <c:v>1.6999999999999999E-3</c:v>
                </c:pt>
                <c:pt idx="11">
                  <c:v>1.6999999999999999E-3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6.7999999999999996E-3</c:v>
                </c:pt>
                <c:pt idx="17">
                  <c:v>2.07E-2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AE-462D-9CA9-EE33011645AF}"/>
            </c:ext>
          </c:extLst>
        </c:ser>
        <c:ser>
          <c:idx val="1"/>
          <c:order val="1"/>
          <c:tx>
            <c:strRef>
              <c:f>'2024 Poly PTC OOS Rate'!$C$6</c:f>
              <c:strCache>
                <c:ptCount val="1"/>
                <c:pt idx="0">
                  <c:v>Target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'2024 Poly PTC OOS Rate'!$D$4:$U$4</c:f>
              <c:strCache>
                <c:ptCount val="18"/>
                <c:pt idx="0">
                  <c:v>2023y PTC OOS Rate</c:v>
                </c:pt>
                <c:pt idx="1">
                  <c:v>2024y PTC OOS Rate</c:v>
                </c:pt>
                <c:pt idx="2">
                  <c:v>Q1</c:v>
                </c:pt>
                <c:pt idx="3">
                  <c:v>Q2</c:v>
                </c:pt>
                <c:pt idx="4">
                  <c:v>Q3</c:v>
                </c:pt>
                <c:pt idx="5">
                  <c:v>Q4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strCache>
            </c:strRef>
          </c:cat>
          <c:val>
            <c:numRef>
              <c:f>'2024 Poly PTC OOS Rate'!$D$6:$U$6</c:f>
              <c:numCache>
                <c:formatCode>0.00%</c:formatCode>
                <c:ptCount val="18"/>
                <c:pt idx="0">
                  <c:v>4.0000000000000001E-3</c:v>
                </c:pt>
                <c:pt idx="1">
                  <c:v>4.0000000000000001E-3</c:v>
                </c:pt>
                <c:pt idx="2">
                  <c:v>4.0000000000000001E-3</c:v>
                </c:pt>
                <c:pt idx="3">
                  <c:v>4.0000000000000001E-3</c:v>
                </c:pt>
                <c:pt idx="4">
                  <c:v>4.0000000000000001E-3</c:v>
                </c:pt>
                <c:pt idx="5">
                  <c:v>4.0000000000000001E-3</c:v>
                </c:pt>
                <c:pt idx="6">
                  <c:v>4.0000000000000001E-3</c:v>
                </c:pt>
                <c:pt idx="7">
                  <c:v>4.0000000000000001E-3</c:v>
                </c:pt>
                <c:pt idx="8">
                  <c:v>4.0000000000000001E-3</c:v>
                </c:pt>
                <c:pt idx="9">
                  <c:v>4.0000000000000001E-3</c:v>
                </c:pt>
                <c:pt idx="10">
                  <c:v>4.0000000000000001E-3</c:v>
                </c:pt>
                <c:pt idx="11">
                  <c:v>4.0000000000000001E-3</c:v>
                </c:pt>
                <c:pt idx="12">
                  <c:v>4.0000000000000001E-3</c:v>
                </c:pt>
                <c:pt idx="13">
                  <c:v>4.0000000000000001E-3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AE-462D-9CA9-EE3301164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0674528"/>
        <c:axId val="1"/>
      </c:lineChart>
      <c:catAx>
        <c:axId val="111067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6745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微軟正黑體"/>
                <a:ea typeface="微軟正黑體"/>
                <a:cs typeface="微軟正黑體"/>
              </a:defRPr>
            </a:pP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202</a:t>
            </a:r>
            <a:r>
              <a:rPr lang="en-US" altLang="zh-TW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4</a:t>
            </a: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y Poly PTC OOS 機台 Zone別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'2024 Poly PTC zone別'!$B$3</c:f>
              <c:strCache>
                <c:ptCount val="1"/>
                <c:pt idx="0">
                  <c:v>P6 BTM</c:v>
                </c:pt>
              </c:strCache>
            </c:strRef>
          </c:tx>
          <c:spPr>
            <a:solidFill>
              <a:srgbClr val="5B9BD5"/>
            </a:solidFill>
            <a:ln w="25400">
              <a:noFill/>
            </a:ln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zone別'!$C$3:$N$3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31CD-401B-BB2B-47491AF9635E}"/>
            </c:ext>
          </c:extLst>
        </c:ser>
        <c:ser>
          <c:idx val="1"/>
          <c:order val="1"/>
          <c:tx>
            <c:strRef>
              <c:f>'2024 Poly PTC zone別'!$B$4</c:f>
              <c:strCache>
                <c:ptCount val="1"/>
                <c:pt idx="0">
                  <c:v>P6 CEN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zone別'!$C$4:$N$4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31CD-401B-BB2B-47491AF9635E}"/>
            </c:ext>
          </c:extLst>
        </c:ser>
        <c:ser>
          <c:idx val="2"/>
          <c:order val="2"/>
          <c:tx>
            <c:strRef>
              <c:f>'2024 Poly PTC zone別'!$B$5</c:f>
              <c:strCache>
                <c:ptCount val="1"/>
                <c:pt idx="0">
                  <c:v>P6 TOP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zone別'!$C$5:$N$5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31CD-401B-BB2B-47491AF9635E}"/>
            </c:ext>
          </c:extLst>
        </c:ser>
        <c:ser>
          <c:idx val="3"/>
          <c:order val="3"/>
          <c:tx>
            <c:strRef>
              <c:f>'2024 Poly PTC zone別'!$B$6</c:f>
              <c:strCache>
                <c:ptCount val="1"/>
                <c:pt idx="0">
                  <c:v>P4 BTM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zone別'!$C$6:$N$6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3-31CD-401B-BB2B-47491AF9635E}"/>
            </c:ext>
          </c:extLst>
        </c:ser>
        <c:ser>
          <c:idx val="4"/>
          <c:order val="4"/>
          <c:tx>
            <c:strRef>
              <c:f>'2024 Poly PTC zone別'!$B$7</c:f>
              <c:strCache>
                <c:ptCount val="1"/>
                <c:pt idx="0">
                  <c:v>P4 CEN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zone別'!$C$7:$N$7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31CD-401B-BB2B-47491AF9635E}"/>
            </c:ext>
          </c:extLst>
        </c:ser>
        <c:ser>
          <c:idx val="5"/>
          <c:order val="5"/>
          <c:tx>
            <c:strRef>
              <c:f>'2024 Poly PTC zone別'!$B$8</c:f>
              <c:strCache>
                <c:ptCount val="1"/>
                <c:pt idx="0">
                  <c:v>P4 TOP</c:v>
                </c:pt>
              </c:strCache>
            </c:strRef>
          </c:tx>
          <c:spPr>
            <a:solidFill>
              <a:srgbClr val="70AD47"/>
            </a:solidFill>
            <a:ln w="25400">
              <a:noFill/>
            </a:ln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zone別'!$C$8:$N$8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31CD-401B-BB2B-47491AF9635E}"/>
            </c:ext>
          </c:extLst>
        </c:ser>
        <c:ser>
          <c:idx val="6"/>
          <c:order val="6"/>
          <c:tx>
            <c:strRef>
              <c:f>'2024 Poly PTC zone別'!$B$9</c:f>
              <c:strCache>
                <c:ptCount val="1"/>
                <c:pt idx="0">
                  <c:v>P3 BTM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zone別'!$C$9:$N$9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31CD-401B-BB2B-47491AF9635E}"/>
            </c:ext>
          </c:extLst>
        </c:ser>
        <c:ser>
          <c:idx val="7"/>
          <c:order val="7"/>
          <c:tx>
            <c:strRef>
              <c:f>'2024 Poly PTC zone別'!$B$10</c:f>
              <c:strCache>
                <c:ptCount val="1"/>
                <c:pt idx="0">
                  <c:v>P3 CEN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zone別'!$C$10:$N$10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31CD-401B-BB2B-47491AF9635E}"/>
            </c:ext>
          </c:extLst>
        </c:ser>
        <c:ser>
          <c:idx val="8"/>
          <c:order val="8"/>
          <c:tx>
            <c:strRef>
              <c:f>'2024 Poly PTC zone別'!$B$11</c:f>
              <c:strCache>
                <c:ptCount val="1"/>
                <c:pt idx="0">
                  <c:v>P3 TOP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zone別'!$C$11:$N$11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31CD-401B-BB2B-47491AF9635E}"/>
            </c:ext>
          </c:extLst>
        </c:ser>
        <c:ser>
          <c:idx val="9"/>
          <c:order val="9"/>
          <c:tx>
            <c:strRef>
              <c:f>'2024 Poly PTC zone別'!$B$12</c:f>
              <c:strCache>
                <c:ptCount val="1"/>
                <c:pt idx="0">
                  <c:v>P2 BTM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zone別'!$C$12:$N$12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31CD-401B-BB2B-47491AF9635E}"/>
            </c:ext>
          </c:extLst>
        </c:ser>
        <c:ser>
          <c:idx val="10"/>
          <c:order val="10"/>
          <c:tx>
            <c:strRef>
              <c:f>'2024 Poly PTC zone別'!$B$13</c:f>
              <c:strCache>
                <c:ptCount val="1"/>
                <c:pt idx="0">
                  <c:v>P2 CEN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zone別'!$C$13:$N$13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31CD-401B-BB2B-47491AF9635E}"/>
            </c:ext>
          </c:extLst>
        </c:ser>
        <c:ser>
          <c:idx val="11"/>
          <c:order val="11"/>
          <c:tx>
            <c:strRef>
              <c:f>'2024 Poly PTC zone別'!$B$14</c:f>
              <c:strCache>
                <c:ptCount val="1"/>
                <c:pt idx="0">
                  <c:v>P2 TOP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zone別'!$C$14:$N$14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B-31CD-401B-BB2B-47491AF9635E}"/>
            </c:ext>
          </c:extLst>
        </c:ser>
        <c:ser>
          <c:idx val="12"/>
          <c:order val="12"/>
          <c:tx>
            <c:strRef>
              <c:f>'2024 Poly PTC zone別'!$B$15</c:f>
              <c:strCache>
                <c:ptCount val="1"/>
                <c:pt idx="0">
                  <c:v>P1 BTM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zone別'!$C$15:$N$15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C-31CD-401B-BB2B-47491AF9635E}"/>
            </c:ext>
          </c:extLst>
        </c:ser>
        <c:ser>
          <c:idx val="13"/>
          <c:order val="13"/>
          <c:tx>
            <c:strRef>
              <c:f>'2024 Poly PTC zone別'!$B$16</c:f>
              <c:strCache>
                <c:ptCount val="1"/>
                <c:pt idx="0">
                  <c:v>P1 CEN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zone別'!$C$16:$N$16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D-31CD-401B-BB2B-47491AF9635E}"/>
            </c:ext>
          </c:extLst>
        </c:ser>
        <c:ser>
          <c:idx val="14"/>
          <c:order val="14"/>
          <c:tx>
            <c:strRef>
              <c:f>'2024 Poly PTC zone別'!$B$17</c:f>
              <c:strCache>
                <c:ptCount val="1"/>
                <c:pt idx="0">
                  <c:v>P1 TOP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zone別'!$C$17:$N$17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E-31CD-401B-BB2B-47491AF96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110682016"/>
        <c:axId val="1"/>
      </c:barChart>
      <c:catAx>
        <c:axId val="111068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新細明體"/>
                    <a:ea typeface="新細明體"/>
                    <a:cs typeface="新細明體"/>
                  </a:defRPr>
                </a:pPr>
                <a:r>
                  <a:rPr lang="en-US" sz="1000" b="0" i="0" u="none" strike="noStrike" baseline="0">
                    <a:solidFill>
                      <a:srgbClr val="333333"/>
                    </a:solidFill>
                    <a:latin typeface="微軟正黑體"/>
                    <a:ea typeface="微軟正黑體"/>
                  </a:rPr>
                  <a:t>PTC OOS 次數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1106820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</c:dTable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微軟正黑體" panose="020B0604030504040204" pitchFamily="34" charset="-120"/>
          <a:ea typeface="微軟正黑體" panose="020B0604030504040204" pitchFamily="34" charset="-12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微軟正黑體"/>
                <a:ea typeface="微軟正黑體"/>
                <a:cs typeface="微軟正黑體"/>
              </a:defRPr>
            </a:pP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202</a:t>
            </a:r>
            <a:r>
              <a:rPr lang="en-US" altLang="zh-TW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5</a:t>
            </a: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y </a:t>
            </a:r>
            <a:r>
              <a:rPr lang="en-US" altLang="zh-TW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LP-N</a:t>
            </a: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 PTC OOS 機台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'2024 Poly PTC zone別'!$Q$3</c:f>
              <c:strCache>
                <c:ptCount val="1"/>
                <c:pt idx="0">
                  <c:v>N7</c:v>
                </c:pt>
              </c:strCache>
            </c:strRef>
          </c:tx>
          <c:spPr>
            <a:solidFill>
              <a:srgbClr val="5B9BD5"/>
            </a:solidFill>
            <a:ln w="25400">
              <a:noFill/>
            </a:ln>
          </c:spPr>
          <c:invertIfNegative val="0"/>
          <c:cat>
            <c:strRef>
              <c:f>'2024 Poly PTC zone別'!$R$2:$AC$2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zone別'!$R$3:$AC$3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C6-4A5D-8CB4-0F47F5E61302}"/>
            </c:ext>
          </c:extLst>
        </c:ser>
        <c:ser>
          <c:idx val="6"/>
          <c:order val="1"/>
          <c:tx>
            <c:v>N6</c:v>
          </c:tx>
          <c:invertIfNegative val="0"/>
          <c:val>
            <c:numRef>
              <c:f>'2024 Poly PTC zone別'!$R$4:$AC$4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4E-4EAA-89E6-1C6CB2C219AC}"/>
            </c:ext>
          </c:extLst>
        </c:ser>
        <c:ser>
          <c:idx val="5"/>
          <c:order val="2"/>
          <c:tx>
            <c:v>N5</c:v>
          </c:tx>
          <c:invertIfNegative val="0"/>
          <c:val>
            <c:numRef>
              <c:f>'2024 Poly PTC zone別'!$R$5:$AC$5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4E-4EAA-89E6-1C6CB2C219AC}"/>
            </c:ext>
          </c:extLst>
        </c:ser>
        <c:ser>
          <c:idx val="1"/>
          <c:order val="3"/>
          <c:tx>
            <c:strRef>
              <c:f>'2024 Poly PTC zone別'!$Q$6</c:f>
              <c:strCache>
                <c:ptCount val="1"/>
                <c:pt idx="0">
                  <c:v>N4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'2024 Poly PTC zone別'!$R$2:$AC$2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zone別'!$R$6:$AC$6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C6-4A5D-8CB4-0F47F5E61302}"/>
            </c:ext>
          </c:extLst>
        </c:ser>
        <c:ser>
          <c:idx val="7"/>
          <c:order val="4"/>
          <c:tx>
            <c:v>N3</c:v>
          </c:tx>
          <c:invertIfNegative val="0"/>
          <c:val>
            <c:numRef>
              <c:f>'2024 Poly PTC zone別'!$R$7:$AC$7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4E-4EAA-89E6-1C6CB2C219AC}"/>
            </c:ext>
          </c:extLst>
        </c:ser>
        <c:ser>
          <c:idx val="3"/>
          <c:order val="5"/>
          <c:tx>
            <c:strRef>
              <c:f>'2024 Poly PTC zone別'!$Q$8</c:f>
              <c:strCache>
                <c:ptCount val="1"/>
                <c:pt idx="0">
                  <c:v>N2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cat>
            <c:strRef>
              <c:f>'2024 Poly PTC zone別'!$R$2:$AC$2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zone別'!$R$8:$AC$8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C6-4A5D-8CB4-0F47F5E61302}"/>
            </c:ext>
          </c:extLst>
        </c:ser>
        <c:ser>
          <c:idx val="4"/>
          <c:order val="6"/>
          <c:tx>
            <c:strRef>
              <c:f>'2024 Poly PTC zone別'!$Q$9</c:f>
              <c:strCache>
                <c:ptCount val="1"/>
                <c:pt idx="0">
                  <c:v>N1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'2024 Poly PTC zone別'!$R$2:$AC$2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zone別'!$R$9:$AC$9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C6-4A5D-8CB4-0F47F5E613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110682016"/>
        <c:axId val="1"/>
      </c:barChart>
      <c:catAx>
        <c:axId val="111068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新細明體"/>
                    <a:ea typeface="新細明體"/>
                    <a:cs typeface="新細明體"/>
                  </a:defRPr>
                </a:pPr>
                <a:r>
                  <a:rPr lang="en-US" sz="1000" b="0" i="0" u="none" strike="noStrike" baseline="0">
                    <a:solidFill>
                      <a:srgbClr val="333333"/>
                    </a:solidFill>
                    <a:latin typeface="微軟正黑體"/>
                    <a:ea typeface="微軟正黑體"/>
                  </a:rPr>
                  <a:t>PTC OOS 次數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110682016"/>
        <c:crosses val="autoZero"/>
        <c:crossBetween val="between"/>
        <c:majorUnit val="1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</c:dTable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微軟正黑體" panose="020B0604030504040204" pitchFamily="34" charset="-120"/>
          <a:ea typeface="微軟正黑體" panose="020B0604030504040204" pitchFamily="34" charset="-12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en-US" altLang="zh-TW" sz="1600" b="1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</a:rPr>
              <a:t>2024y LP-P</a:t>
            </a:r>
            <a:r>
              <a:rPr lang="en-US" altLang="zh-TW" sz="1600" b="1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</a:rPr>
              <a:t> Up Time (UT+LT+OT) Rate</a:t>
            </a:r>
            <a:endParaRPr lang="zh-TW" altLang="en-US" sz="1600" b="1">
              <a:solidFill>
                <a:schemeClr val="bg1"/>
              </a:solidFill>
              <a:latin typeface="微軟正黑體" panose="020B0604030504040204" pitchFamily="34" charset="-120"/>
              <a:ea typeface="微軟正黑體" panose="020B0604030504040204" pitchFamily="34" charset="-120"/>
            </a:endParaRP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'UT Trend chart '!$B$3</c:f>
              <c:strCache>
                <c:ptCount val="1"/>
                <c:pt idx="0">
                  <c:v>U/T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6053633558721211E-2"/>
                  <c:y val="3.98845064515785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4F8-4892-A147-F40232B42684}"/>
                </c:ext>
              </c:extLst>
            </c:dLbl>
            <c:dLbl>
              <c:idx val="1"/>
              <c:layout>
                <c:manualLayout>
                  <c:x val="-2.0263937212338708E-2"/>
                  <c:y val="3.6816467493764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4F8-4892-A147-F40232B42684}"/>
                </c:ext>
              </c:extLst>
            </c:dLbl>
            <c:dLbl>
              <c:idx val="2"/>
              <c:layout>
                <c:manualLayout>
                  <c:x val="-2.8948481731912494E-2"/>
                  <c:y val="3.68164674937648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4F8-4892-A147-F40232B42684}"/>
                </c:ext>
              </c:extLst>
            </c:dLbl>
            <c:dLbl>
              <c:idx val="3"/>
              <c:layout>
                <c:manualLayout>
                  <c:x val="-3.0395905818508116E-2"/>
                  <c:y val="3.3748428535951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4F8-4892-A147-F40232B42684}"/>
                </c:ext>
              </c:extLst>
            </c:dLbl>
            <c:dLbl>
              <c:idx val="4"/>
              <c:layout>
                <c:manualLayout>
                  <c:x val="-2.3158785385529953E-2"/>
                  <c:y val="-4.90886233250198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4F8-4892-A147-F40232B42684}"/>
                </c:ext>
              </c:extLst>
            </c:dLbl>
            <c:dLbl>
              <c:idx val="6"/>
              <c:layout>
                <c:manualLayout>
                  <c:x val="-2.1711361298934383E-2"/>
                  <c:y val="3.6816467493764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4F8-4892-A147-F40232B42684}"/>
                </c:ext>
              </c:extLst>
            </c:dLbl>
            <c:dLbl>
              <c:idx val="7"/>
              <c:layout>
                <c:manualLayout>
                  <c:x val="-2.6053633558721197E-2"/>
                  <c:y val="2.45443116625099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4F8-4892-A147-F40232B42684}"/>
                </c:ext>
              </c:extLst>
            </c:dLbl>
            <c:dLbl>
              <c:idx val="8"/>
              <c:layout>
                <c:manualLayout>
                  <c:x val="-2.8948481731912442E-2"/>
                  <c:y val="2.1476272704696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F8-4892-A147-F40232B42684}"/>
                </c:ext>
              </c:extLst>
            </c:dLbl>
            <c:dLbl>
              <c:idx val="9"/>
              <c:layout>
                <c:manualLayout>
                  <c:x val="-2.1711361298934331E-2"/>
                  <c:y val="-4.29525454093923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4F8-4892-A147-F40232B42684}"/>
                </c:ext>
              </c:extLst>
            </c:dLbl>
            <c:dLbl>
              <c:idx val="10"/>
              <c:layout>
                <c:manualLayout>
                  <c:x val="-3.1843329905103683E-2"/>
                  <c:y val="2.1476272704696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F8-4892-A147-F40232B42684}"/>
                </c:ext>
              </c:extLst>
            </c:dLbl>
            <c:dLbl>
              <c:idx val="11"/>
              <c:layout>
                <c:manualLayout>
                  <c:x val="-2.315878538553006E-2"/>
                  <c:y val="-3.0680389578137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4F8-4892-A147-F40232B42684}"/>
                </c:ext>
              </c:extLst>
            </c:dLbl>
            <c:dLbl>
              <c:idx val="12"/>
              <c:layout>
                <c:manualLayout>
                  <c:x val="-2.7501057645316927E-2"/>
                  <c:y val="2.14762727046962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4F8-4892-A147-F40232B42684}"/>
                </c:ext>
              </c:extLst>
            </c:dLbl>
            <c:dLbl>
              <c:idx val="13"/>
              <c:layout>
                <c:manualLayout>
                  <c:x val="-2.750105764531682E-2"/>
                  <c:y val="1.84082337468823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4F8-4892-A147-F40232B42684}"/>
                </c:ext>
              </c:extLst>
            </c:dLbl>
            <c:dLbl>
              <c:idx val="14"/>
              <c:layout>
                <c:manualLayout>
                  <c:x val="-2.750105764531682E-2"/>
                  <c:y val="-3.0680389578137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4F8-4892-A147-F40232B42684}"/>
                </c:ext>
              </c:extLst>
            </c:dLbl>
            <c:dLbl>
              <c:idx val="15"/>
              <c:layout>
                <c:manualLayout>
                  <c:x val="-2.1711361298934227E-2"/>
                  <c:y val="1.84082337468824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4F8-4892-A147-F40232B42684}"/>
                </c:ext>
              </c:extLst>
            </c:dLbl>
            <c:dLbl>
              <c:idx val="16"/>
              <c:layout>
                <c:manualLayout>
                  <c:x val="-4.786099234875292E-2"/>
                  <c:y val="-5.665284205886540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4F8-4892-A147-F40232B42684}"/>
                </c:ext>
              </c:extLst>
            </c:dLbl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'!$C$3:$S$3</c:f>
              <c:numCache>
                <c:formatCode>0.0</c:formatCode>
                <c:ptCount val="17"/>
                <c:pt idx="0">
                  <c:v>87.813333333333333</c:v>
                </c:pt>
                <c:pt idx="1">
                  <c:v>89.133333333333326</c:v>
                </c:pt>
                <c:pt idx="2">
                  <c:v>89.953333333333333</c:v>
                </c:pt>
                <c:pt idx="3">
                  <c:v>83.233333333333334</c:v>
                </c:pt>
                <c:pt idx="4">
                  <c:v>87.533333333333331</c:v>
                </c:pt>
                <c:pt idx="5">
                  <c:v>82.04</c:v>
                </c:pt>
                <c:pt idx="6">
                  <c:v>90.8</c:v>
                </c:pt>
                <c:pt idx="7">
                  <c:v>90.6</c:v>
                </c:pt>
                <c:pt idx="8">
                  <c:v>87.3</c:v>
                </c:pt>
                <c:pt idx="9">
                  <c:v>90.8</c:v>
                </c:pt>
                <c:pt idx="10">
                  <c:v>89.3</c:v>
                </c:pt>
                <c:pt idx="11">
                  <c:v>90.5</c:v>
                </c:pt>
                <c:pt idx="12">
                  <c:v>88.56</c:v>
                </c:pt>
                <c:pt idx="13">
                  <c:v>90.8</c:v>
                </c:pt>
                <c:pt idx="14">
                  <c:v>88.4</c:v>
                </c:pt>
                <c:pt idx="15">
                  <c:v>89.6</c:v>
                </c:pt>
                <c:pt idx="16">
                  <c:v>71.7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4F8-4892-A147-F40232B42684}"/>
            </c:ext>
          </c:extLst>
        </c:ser>
        <c:ser>
          <c:idx val="1"/>
          <c:order val="1"/>
          <c:tx>
            <c:strRef>
              <c:f>'UT Trend chart '!$B$4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'!$C$4:$S$4</c:f>
              <c:numCache>
                <c:formatCode>0.0</c:formatCode>
                <c:ptCount val="17"/>
                <c:pt idx="0">
                  <c:v>89.7</c:v>
                </c:pt>
                <c:pt idx="1">
                  <c:v>89.7</c:v>
                </c:pt>
                <c:pt idx="2">
                  <c:v>89.7</c:v>
                </c:pt>
                <c:pt idx="3">
                  <c:v>89.7</c:v>
                </c:pt>
                <c:pt idx="4">
                  <c:v>89.7</c:v>
                </c:pt>
                <c:pt idx="5">
                  <c:v>89.7</c:v>
                </c:pt>
                <c:pt idx="6">
                  <c:v>89.7</c:v>
                </c:pt>
                <c:pt idx="7">
                  <c:v>89.7</c:v>
                </c:pt>
                <c:pt idx="8">
                  <c:v>89.7</c:v>
                </c:pt>
                <c:pt idx="9">
                  <c:v>89.7</c:v>
                </c:pt>
                <c:pt idx="10">
                  <c:v>89.7</c:v>
                </c:pt>
                <c:pt idx="11">
                  <c:v>89.7</c:v>
                </c:pt>
                <c:pt idx="12">
                  <c:v>89.7</c:v>
                </c:pt>
                <c:pt idx="13">
                  <c:v>89.7</c:v>
                </c:pt>
                <c:pt idx="14">
                  <c:v>89.7</c:v>
                </c:pt>
                <c:pt idx="15">
                  <c:v>89.7</c:v>
                </c:pt>
                <c:pt idx="16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4F8-4892-A147-F40232B42684}"/>
            </c:ext>
          </c:extLst>
        </c:ser>
        <c:ser>
          <c:idx val="2"/>
          <c:order val="2"/>
          <c:tx>
            <c:strRef>
              <c:f>'UT Trend chart '!$B$5</c:f>
              <c:strCache>
                <c:ptCount val="1"/>
                <c:pt idx="0">
                  <c:v>PM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'!$C$5:$S$5</c:f>
              <c:numCache>
                <c:formatCode>0.0</c:formatCode>
                <c:ptCount val="17"/>
                <c:pt idx="0">
                  <c:v>5.126666666666666</c:v>
                </c:pt>
                <c:pt idx="1">
                  <c:v>4.9666666666666668</c:v>
                </c:pt>
                <c:pt idx="2">
                  <c:v>4.2266666666666666</c:v>
                </c:pt>
                <c:pt idx="3">
                  <c:v>3.86</c:v>
                </c:pt>
                <c:pt idx="4">
                  <c:v>4.5449999999999999</c:v>
                </c:pt>
                <c:pt idx="5">
                  <c:v>7.48</c:v>
                </c:pt>
                <c:pt idx="6" formatCode="General">
                  <c:v>3.7</c:v>
                </c:pt>
                <c:pt idx="7" formatCode="General">
                  <c:v>4.2</c:v>
                </c:pt>
                <c:pt idx="8" formatCode="General">
                  <c:v>6</c:v>
                </c:pt>
                <c:pt idx="9" formatCode="General">
                  <c:v>4.3</c:v>
                </c:pt>
                <c:pt idx="10" formatCode="General">
                  <c:v>4.5999999999999996</c:v>
                </c:pt>
                <c:pt idx="11" formatCode="General">
                  <c:v>4.3</c:v>
                </c:pt>
                <c:pt idx="12" formatCode="General">
                  <c:v>4.68</c:v>
                </c:pt>
                <c:pt idx="13" formatCode="General">
                  <c:v>3.7</c:v>
                </c:pt>
                <c:pt idx="14" formatCode="General">
                  <c:v>4.28</c:v>
                </c:pt>
                <c:pt idx="15" formatCode="General">
                  <c:v>3.5</c:v>
                </c:pt>
                <c:pt idx="16" formatCode="General">
                  <c:v>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4F8-4892-A147-F40232B42684}"/>
            </c:ext>
          </c:extLst>
        </c:ser>
        <c:ser>
          <c:idx val="3"/>
          <c:order val="3"/>
          <c:tx>
            <c:strRef>
              <c:f>'UT Trend chart '!$B$6</c:f>
              <c:strCache>
                <c:ptCount val="1"/>
                <c:pt idx="0">
                  <c:v>M/D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'!$C$6:$S$6</c:f>
              <c:numCache>
                <c:formatCode>0.0</c:formatCode>
                <c:ptCount val="17"/>
                <c:pt idx="0">
                  <c:v>0.12666666666666668</c:v>
                </c:pt>
                <c:pt idx="1">
                  <c:v>0.23333333333333331</c:v>
                </c:pt>
                <c:pt idx="2">
                  <c:v>0.27333333333333332</c:v>
                </c:pt>
                <c:pt idx="3">
                  <c:v>0.60666666666666669</c:v>
                </c:pt>
                <c:pt idx="4">
                  <c:v>0.31</c:v>
                </c:pt>
                <c:pt idx="5">
                  <c:v>0</c:v>
                </c:pt>
                <c:pt idx="6" formatCode="General">
                  <c:v>0.18</c:v>
                </c:pt>
                <c:pt idx="7" formatCode="General">
                  <c:v>0.2</c:v>
                </c:pt>
                <c:pt idx="8" formatCode="General">
                  <c:v>0</c:v>
                </c:pt>
                <c:pt idx="9" formatCode="General">
                  <c:v>0.1</c:v>
                </c:pt>
                <c:pt idx="10" formatCode="General">
                  <c:v>0.6</c:v>
                </c:pt>
                <c:pt idx="11" formatCode="General">
                  <c:v>0.06</c:v>
                </c:pt>
                <c:pt idx="12" formatCode="General">
                  <c:v>0.62</c:v>
                </c:pt>
                <c:pt idx="13" formatCode="General">
                  <c:v>0.14000000000000001</c:v>
                </c:pt>
                <c:pt idx="14" formatCode="General">
                  <c:v>0.42</c:v>
                </c:pt>
                <c:pt idx="15" formatCode="General">
                  <c:v>0.1</c:v>
                </c:pt>
                <c:pt idx="16" formatCode="General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4F8-4892-A147-F40232B42684}"/>
            </c:ext>
          </c:extLst>
        </c:ser>
        <c:ser>
          <c:idx val="4"/>
          <c:order val="4"/>
          <c:tx>
            <c:strRef>
              <c:f>'UT Trend chart '!$B$7</c:f>
              <c:strCache>
                <c:ptCount val="1"/>
                <c:pt idx="0">
                  <c:v>S/U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'!$C$7:$S$7</c:f>
              <c:numCache>
                <c:formatCode>0.0</c:formatCode>
                <c:ptCount val="17"/>
                <c:pt idx="0">
                  <c:v>4.5200000000000005</c:v>
                </c:pt>
                <c:pt idx="1">
                  <c:v>5.2666666666666666</c:v>
                </c:pt>
                <c:pt idx="2">
                  <c:v>5.1866666666666665</c:v>
                </c:pt>
                <c:pt idx="3">
                  <c:v>7.7733333333333334</c:v>
                </c:pt>
                <c:pt idx="4">
                  <c:v>5.6866666666666665</c:v>
                </c:pt>
                <c:pt idx="5">
                  <c:v>4.08</c:v>
                </c:pt>
                <c:pt idx="6" formatCode="General">
                  <c:v>4.9800000000000004</c:v>
                </c:pt>
                <c:pt idx="7" formatCode="General">
                  <c:v>4.5</c:v>
                </c:pt>
                <c:pt idx="8" formatCode="General">
                  <c:v>6.2</c:v>
                </c:pt>
                <c:pt idx="9" formatCode="General">
                  <c:v>4.5</c:v>
                </c:pt>
                <c:pt idx="10" formatCode="General">
                  <c:v>5.0999999999999996</c:v>
                </c:pt>
                <c:pt idx="11" formatCode="General">
                  <c:v>4.72</c:v>
                </c:pt>
                <c:pt idx="12" formatCode="General">
                  <c:v>5.74</c:v>
                </c:pt>
                <c:pt idx="13" formatCode="General">
                  <c:v>5.0999999999999996</c:v>
                </c:pt>
                <c:pt idx="14" formatCode="General">
                  <c:v>6.72</c:v>
                </c:pt>
                <c:pt idx="15" formatCode="General">
                  <c:v>6.1</c:v>
                </c:pt>
                <c:pt idx="16" formatCode="General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4F8-4892-A147-F40232B42684}"/>
            </c:ext>
          </c:extLst>
        </c:ser>
        <c:ser>
          <c:idx val="5"/>
          <c:order val="5"/>
          <c:tx>
            <c:strRef>
              <c:f>'UT Trend chart '!$B$8</c:f>
              <c:strCache>
                <c:ptCount val="1"/>
                <c:pt idx="0">
                  <c:v>P/D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'!$C$8:$S$8</c:f>
              <c:numCache>
                <c:formatCode>0.0</c:formatCode>
                <c:ptCount val="17"/>
                <c:pt idx="0">
                  <c:v>0.17333333333333334</c:v>
                </c:pt>
                <c:pt idx="1">
                  <c:v>6.6666666666666666E-2</c:v>
                </c:pt>
                <c:pt idx="2">
                  <c:v>0</c:v>
                </c:pt>
                <c:pt idx="3">
                  <c:v>0.70000000000000007</c:v>
                </c:pt>
                <c:pt idx="4">
                  <c:v>0.23500000000000001</c:v>
                </c:pt>
                <c:pt idx="5">
                  <c:v>0.16</c:v>
                </c:pt>
                <c:pt idx="6" formatCode="General">
                  <c:v>0</c:v>
                </c:pt>
                <c:pt idx="7" formatCode="General">
                  <c:v>0.36</c:v>
                </c:pt>
                <c:pt idx="8" formatCode="General">
                  <c:v>0.2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  <c:pt idx="14" formatCode="General">
                  <c:v>0</c:v>
                </c:pt>
                <c:pt idx="15" formatCode="General">
                  <c:v>0.3</c:v>
                </c:pt>
                <c:pt idx="16" formatCode="General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4F8-4892-A147-F40232B42684}"/>
            </c:ext>
          </c:extLst>
        </c:ser>
        <c:ser>
          <c:idx val="6"/>
          <c:order val="6"/>
          <c:tx>
            <c:strRef>
              <c:f>'UT Trend chart '!$B$9</c:f>
              <c:strCache>
                <c:ptCount val="1"/>
                <c:pt idx="0">
                  <c:v>F/D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'!$C$9:$S$9</c:f>
              <c:numCache>
                <c:formatCode>0.0</c:formatCode>
                <c:ptCount val="17"/>
                <c:pt idx="0">
                  <c:v>6.1333333333333329</c:v>
                </c:pt>
                <c:pt idx="1">
                  <c:v>0.3666666666666667</c:v>
                </c:pt>
                <c:pt idx="2">
                  <c:v>0.02</c:v>
                </c:pt>
                <c:pt idx="3">
                  <c:v>2.3333333333333335</c:v>
                </c:pt>
                <c:pt idx="4">
                  <c:v>2.2133333333333334</c:v>
                </c:pt>
                <c:pt idx="5" formatCode="General">
                  <c:v>5.92</c:v>
                </c:pt>
                <c:pt idx="6" formatCode="General">
                  <c:v>12.48</c:v>
                </c:pt>
                <c:pt idx="7" formatCode="General">
                  <c:v>0</c:v>
                </c:pt>
                <c:pt idx="8" formatCode="General">
                  <c:v>1.1000000000000001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0.06</c:v>
                </c:pt>
                <c:pt idx="13" formatCode="General">
                  <c:v>0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4F8-4892-A147-F40232B42684}"/>
            </c:ext>
          </c:extLst>
        </c:ser>
        <c:ser>
          <c:idx val="7"/>
          <c:order val="7"/>
          <c:tx>
            <c:strRef>
              <c:f>'UT Trend chart '!$B$10</c:f>
              <c:strCache>
                <c:ptCount val="1"/>
                <c:pt idx="0">
                  <c:v>R/D</c:v>
                </c:pt>
              </c:strCache>
            </c:strRef>
          </c:tx>
          <c:marker>
            <c:symbol val="dot"/>
            <c:size val="5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'!$C$10:$S$10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4F8-4892-A147-F40232B4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4287936"/>
        <c:axId val="1"/>
      </c:lineChart>
      <c:catAx>
        <c:axId val="1114287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1142879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</c:dTable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en-US" altLang="zh-TW" sz="1600" b="1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</a:rPr>
              <a:t>2025y LP-N</a:t>
            </a:r>
            <a:r>
              <a:rPr lang="en-US" altLang="zh-TW" sz="1600" b="1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</a:rPr>
              <a:t> Up Time (UT+LT+OT) Rate</a:t>
            </a:r>
            <a:endParaRPr lang="zh-TW" altLang="en-US" sz="1600" b="1">
              <a:solidFill>
                <a:schemeClr val="bg1"/>
              </a:solidFill>
              <a:latin typeface="微軟正黑體" panose="020B0604030504040204" pitchFamily="34" charset="-120"/>
              <a:ea typeface="微軟正黑體" panose="020B0604030504040204" pitchFamily="34" charset="-120"/>
            </a:endParaRPr>
          </a:p>
        </c:rich>
      </c:tx>
      <c:layout>
        <c:manualLayout>
          <c:xMode val="edge"/>
          <c:yMode val="edge"/>
          <c:x val="0.28373964616264408"/>
          <c:y val="2.8048469743403432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'UT Trend chart  (2)'!$B$3</c:f>
              <c:strCache>
                <c:ptCount val="1"/>
                <c:pt idx="0">
                  <c:v>U/T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6053633558721211E-2"/>
                  <c:y val="3.98845064515785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790-43AE-AC1D-4EDA155B08E2}"/>
                </c:ext>
              </c:extLst>
            </c:dLbl>
            <c:dLbl>
              <c:idx val="1"/>
              <c:layout>
                <c:manualLayout>
                  <c:x val="-2.0263937212338708E-2"/>
                  <c:y val="3.6816467493764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90-43AE-AC1D-4EDA155B08E2}"/>
                </c:ext>
              </c:extLst>
            </c:dLbl>
            <c:dLbl>
              <c:idx val="2"/>
              <c:layout>
                <c:manualLayout>
                  <c:x val="-2.8948481731912494E-2"/>
                  <c:y val="3.68164674937648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90-43AE-AC1D-4EDA155B08E2}"/>
                </c:ext>
              </c:extLst>
            </c:dLbl>
            <c:dLbl>
              <c:idx val="3"/>
              <c:layout>
                <c:manualLayout>
                  <c:x val="-3.0395905818508116E-2"/>
                  <c:y val="3.3748428535951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90-43AE-AC1D-4EDA155B08E2}"/>
                </c:ext>
              </c:extLst>
            </c:dLbl>
            <c:dLbl>
              <c:idx val="4"/>
              <c:layout>
                <c:manualLayout>
                  <c:x val="-2.3158785385529953E-2"/>
                  <c:y val="-4.90886233250198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790-43AE-AC1D-4EDA155B08E2}"/>
                </c:ext>
              </c:extLst>
            </c:dLbl>
            <c:dLbl>
              <c:idx val="6"/>
              <c:layout>
                <c:manualLayout>
                  <c:x val="-2.1711361298934383E-2"/>
                  <c:y val="3.6816467493764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90-43AE-AC1D-4EDA155B08E2}"/>
                </c:ext>
              </c:extLst>
            </c:dLbl>
            <c:dLbl>
              <c:idx val="7"/>
              <c:layout>
                <c:manualLayout>
                  <c:x val="-2.6053633558721197E-2"/>
                  <c:y val="2.45443116625099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790-43AE-AC1D-4EDA155B08E2}"/>
                </c:ext>
              </c:extLst>
            </c:dLbl>
            <c:dLbl>
              <c:idx val="8"/>
              <c:layout>
                <c:manualLayout>
                  <c:x val="-2.8948481731912442E-2"/>
                  <c:y val="2.1476272704696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90-43AE-AC1D-4EDA155B08E2}"/>
                </c:ext>
              </c:extLst>
            </c:dLbl>
            <c:dLbl>
              <c:idx val="9"/>
              <c:layout>
                <c:manualLayout>
                  <c:x val="-2.1711361298934331E-2"/>
                  <c:y val="-4.29525454093923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790-43AE-AC1D-4EDA155B08E2}"/>
                </c:ext>
              </c:extLst>
            </c:dLbl>
            <c:dLbl>
              <c:idx val="10"/>
              <c:layout>
                <c:manualLayout>
                  <c:x val="-3.1843329905103683E-2"/>
                  <c:y val="2.1476272704696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90-43AE-AC1D-4EDA155B08E2}"/>
                </c:ext>
              </c:extLst>
            </c:dLbl>
            <c:dLbl>
              <c:idx val="11"/>
              <c:layout>
                <c:manualLayout>
                  <c:x val="-2.315878538553006E-2"/>
                  <c:y val="-3.0680389578137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790-43AE-AC1D-4EDA155B08E2}"/>
                </c:ext>
              </c:extLst>
            </c:dLbl>
            <c:dLbl>
              <c:idx val="12"/>
              <c:layout>
                <c:manualLayout>
                  <c:x val="-2.7501057645316927E-2"/>
                  <c:y val="2.14762727046962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790-43AE-AC1D-4EDA155B08E2}"/>
                </c:ext>
              </c:extLst>
            </c:dLbl>
            <c:dLbl>
              <c:idx val="13"/>
              <c:layout>
                <c:manualLayout>
                  <c:x val="-2.750105764531682E-2"/>
                  <c:y val="1.84082337468823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790-43AE-AC1D-4EDA155B08E2}"/>
                </c:ext>
              </c:extLst>
            </c:dLbl>
            <c:dLbl>
              <c:idx val="14"/>
              <c:layout>
                <c:manualLayout>
                  <c:x val="-2.750105764531682E-2"/>
                  <c:y val="-3.0680389578137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90-43AE-AC1D-4EDA155B08E2}"/>
                </c:ext>
              </c:extLst>
            </c:dLbl>
            <c:dLbl>
              <c:idx val="15"/>
              <c:layout>
                <c:manualLayout>
                  <c:x val="-2.1711361298934227E-2"/>
                  <c:y val="1.84082337468824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790-43AE-AC1D-4EDA155B08E2}"/>
                </c:ext>
              </c:extLst>
            </c:dLbl>
            <c:dLbl>
              <c:idx val="16"/>
              <c:layout>
                <c:manualLayout>
                  <c:x val="-7.2371204329782163E-3"/>
                  <c:y val="2.1476272704696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90-43AE-AC1D-4EDA155B08E2}"/>
                </c:ext>
              </c:extLst>
            </c:dLbl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(2)'!$C$3:$S$3</c:f>
              <c:numCache>
                <c:formatCode>0.00</c:formatCode>
                <c:ptCount val="17"/>
                <c:pt idx="0">
                  <c:v>84.71</c:v>
                </c:pt>
                <c:pt idx="5">
                  <c:v>77.5</c:v>
                </c:pt>
                <c:pt idx="6">
                  <c:v>91.36</c:v>
                </c:pt>
                <c:pt idx="7">
                  <c:v>89.98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90-43AE-AC1D-4EDA155B08E2}"/>
            </c:ext>
          </c:extLst>
        </c:ser>
        <c:ser>
          <c:idx val="1"/>
          <c:order val="1"/>
          <c:tx>
            <c:strRef>
              <c:f>'UT Trend chart  (2)'!$B$4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(2)'!$C$4:$S$4</c:f>
              <c:numCache>
                <c:formatCode>0.0</c:formatCode>
                <c:ptCount val="17"/>
                <c:pt idx="0">
                  <c:v>89.7</c:v>
                </c:pt>
                <c:pt idx="1">
                  <c:v>89.7</c:v>
                </c:pt>
                <c:pt idx="2">
                  <c:v>89.7</c:v>
                </c:pt>
                <c:pt idx="3">
                  <c:v>89.7</c:v>
                </c:pt>
                <c:pt idx="4">
                  <c:v>89.7</c:v>
                </c:pt>
                <c:pt idx="5">
                  <c:v>89.7</c:v>
                </c:pt>
                <c:pt idx="6">
                  <c:v>89.7</c:v>
                </c:pt>
                <c:pt idx="7">
                  <c:v>89.7</c:v>
                </c:pt>
                <c:pt idx="8">
                  <c:v>89.7</c:v>
                </c:pt>
                <c:pt idx="9">
                  <c:v>89.7</c:v>
                </c:pt>
                <c:pt idx="10">
                  <c:v>89.7</c:v>
                </c:pt>
                <c:pt idx="11">
                  <c:v>89.7</c:v>
                </c:pt>
                <c:pt idx="12">
                  <c:v>89.7</c:v>
                </c:pt>
                <c:pt idx="13">
                  <c:v>89.7</c:v>
                </c:pt>
                <c:pt idx="14">
                  <c:v>89.7</c:v>
                </c:pt>
                <c:pt idx="15">
                  <c:v>89.7</c:v>
                </c:pt>
                <c:pt idx="16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90-43AE-AC1D-4EDA155B08E2}"/>
            </c:ext>
          </c:extLst>
        </c:ser>
        <c:ser>
          <c:idx val="2"/>
          <c:order val="2"/>
          <c:tx>
            <c:strRef>
              <c:f>'UT Trend chart  (2)'!$B$5</c:f>
              <c:strCache>
                <c:ptCount val="1"/>
                <c:pt idx="0">
                  <c:v>PM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(2)'!$C$5:$S$5</c:f>
              <c:numCache>
                <c:formatCode>0.0</c:formatCode>
                <c:ptCount val="17"/>
                <c:pt idx="5" formatCode="General">
                  <c:v>8.1</c:v>
                </c:pt>
                <c:pt idx="6" formatCode="General">
                  <c:v>3.3</c:v>
                </c:pt>
                <c:pt idx="7" formatCode="General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90-43AE-AC1D-4EDA155B08E2}"/>
            </c:ext>
          </c:extLst>
        </c:ser>
        <c:ser>
          <c:idx val="3"/>
          <c:order val="3"/>
          <c:tx>
            <c:strRef>
              <c:f>'UT Trend chart  (2)'!$B$6</c:f>
              <c:strCache>
                <c:ptCount val="1"/>
                <c:pt idx="0">
                  <c:v>M/D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(2)'!$C$6:$S$6</c:f>
              <c:numCache>
                <c:formatCode>0.0</c:formatCode>
                <c:ptCount val="17"/>
                <c:pt idx="5" formatCode="General">
                  <c:v>1.1000000000000001</c:v>
                </c:pt>
                <c:pt idx="6" formatCode="General">
                  <c:v>0.5</c:v>
                </c:pt>
                <c:pt idx="7" formatCode="General">
                  <c:v>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90-43AE-AC1D-4EDA155B08E2}"/>
            </c:ext>
          </c:extLst>
        </c:ser>
        <c:ser>
          <c:idx val="4"/>
          <c:order val="4"/>
          <c:tx>
            <c:strRef>
              <c:f>'UT Trend chart  (2)'!$B$7</c:f>
              <c:strCache>
                <c:ptCount val="1"/>
                <c:pt idx="0">
                  <c:v>S/U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(2)'!$C$7:$S$7</c:f>
              <c:numCache>
                <c:formatCode>0.0</c:formatCode>
                <c:ptCount val="17"/>
                <c:pt idx="5" formatCode="General">
                  <c:v>4.5999999999999996</c:v>
                </c:pt>
                <c:pt idx="6" formatCode="General">
                  <c:v>5.7</c:v>
                </c:pt>
                <c:pt idx="7" formatCode="General">
                  <c:v>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90-43AE-AC1D-4EDA155B08E2}"/>
            </c:ext>
          </c:extLst>
        </c:ser>
        <c:ser>
          <c:idx val="5"/>
          <c:order val="5"/>
          <c:tx>
            <c:strRef>
              <c:f>'UT Trend chart  (2)'!$B$8</c:f>
              <c:strCache>
                <c:ptCount val="1"/>
                <c:pt idx="0">
                  <c:v>P/D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(2)'!$C$8:$S$8</c:f>
              <c:numCache>
                <c:formatCode>0.0</c:formatCode>
                <c:ptCount val="17"/>
                <c:pt idx="5" formatCode="General">
                  <c:v>0.2</c:v>
                </c:pt>
                <c:pt idx="6" formatCode="General">
                  <c:v>0</c:v>
                </c:pt>
                <c:pt idx="7" formatCode="General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90-43AE-AC1D-4EDA155B08E2}"/>
            </c:ext>
          </c:extLst>
        </c:ser>
        <c:ser>
          <c:idx val="6"/>
          <c:order val="6"/>
          <c:tx>
            <c:strRef>
              <c:f>'UT Trend chart  (2)'!$B$9</c:f>
              <c:strCache>
                <c:ptCount val="1"/>
                <c:pt idx="0">
                  <c:v>F/D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(2)'!$C$9:$S$9</c:f>
              <c:numCache>
                <c:formatCode>0.0</c:formatCode>
                <c:ptCount val="17"/>
                <c:pt idx="5" formatCode="General">
                  <c:v>7.2</c:v>
                </c:pt>
                <c:pt idx="6" formatCode="General">
                  <c:v>0.1</c:v>
                </c:pt>
                <c:pt idx="7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90-43AE-AC1D-4EDA155B08E2}"/>
            </c:ext>
          </c:extLst>
        </c:ser>
        <c:ser>
          <c:idx val="7"/>
          <c:order val="7"/>
          <c:tx>
            <c:strRef>
              <c:f>'UT Trend chart  (2)'!$B$10</c:f>
              <c:strCache>
                <c:ptCount val="1"/>
                <c:pt idx="0">
                  <c:v>R/D</c:v>
                </c:pt>
              </c:strCache>
            </c:strRef>
          </c:tx>
          <c:marker>
            <c:symbol val="dot"/>
            <c:size val="5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(2)'!$C$10:$S$10</c:f>
              <c:numCache>
                <c:formatCode>0.0</c:formatCode>
                <c:ptCount val="17"/>
                <c:pt idx="5" formatCode="General">
                  <c:v>1.4</c:v>
                </c:pt>
                <c:pt idx="6" formatCode="General">
                  <c:v>0.4</c:v>
                </c:pt>
                <c:pt idx="7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F790-43AE-AC1D-4EDA155B0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4287936"/>
        <c:axId val="1"/>
      </c:lineChart>
      <c:catAx>
        <c:axId val="1114287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1142879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</c:dTable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LP-T RUN</a:t>
            </a:r>
            <a:r>
              <a:rPr lang="zh-TW"/>
              <a:t>次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'PTC OOS Rate'!$A$6</c:f>
              <c:strCache>
                <c:ptCount val="1"/>
                <c:pt idx="0">
                  <c:v>LP-N1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Rate'!$B$6:$V$6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62</c:v>
                </c:pt>
                <c:pt idx="10" formatCode="General">
                  <c:v>52</c:v>
                </c:pt>
                <c:pt idx="11" formatCode="General">
                  <c:v>32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BFA-4555-B3DF-AE80B5CFF8A6}"/>
            </c:ext>
          </c:extLst>
        </c:ser>
        <c:ser>
          <c:idx val="1"/>
          <c:order val="1"/>
          <c:tx>
            <c:strRef>
              <c:f>'PTC OOS Rate'!$A$7</c:f>
              <c:strCache>
                <c:ptCount val="1"/>
                <c:pt idx="0">
                  <c:v>LP-N3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Rate'!$B$7:$V$7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62</c:v>
                </c:pt>
                <c:pt idx="10" formatCode="General">
                  <c:v>57</c:v>
                </c:pt>
                <c:pt idx="11" formatCode="General">
                  <c:v>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BFA-4555-B3DF-AE80B5CFF8A6}"/>
            </c:ext>
          </c:extLst>
        </c:ser>
        <c:ser>
          <c:idx val="2"/>
          <c:order val="2"/>
          <c:tx>
            <c:strRef>
              <c:f>'PTC OOS Rate'!$A$8</c:f>
              <c:strCache>
                <c:ptCount val="1"/>
                <c:pt idx="0">
                  <c:v>LP-N4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Rate'!$B$8:$V$8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82</c:v>
                </c:pt>
                <c:pt idx="10" formatCode="General">
                  <c:v>66</c:v>
                </c:pt>
                <c:pt idx="11" formatCode="General">
                  <c:v>91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BFA-4555-B3DF-AE80B5CFF8A6}"/>
            </c:ext>
          </c:extLst>
        </c:ser>
        <c:ser>
          <c:idx val="3"/>
          <c:order val="3"/>
          <c:tx>
            <c:strRef>
              <c:f>'PTC OOS Rate'!$A$9</c:f>
              <c:strCache>
                <c:ptCount val="1"/>
                <c:pt idx="0">
                  <c:v>LP-N5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Rate'!$B$9:$V$9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77</c:v>
                </c:pt>
                <c:pt idx="10" formatCode="General">
                  <c:v>34</c:v>
                </c:pt>
                <c:pt idx="11" formatCode="General">
                  <c:v>62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4BFA-4555-B3DF-AE80B5CFF8A6}"/>
            </c:ext>
          </c:extLst>
        </c:ser>
        <c:ser>
          <c:idx val="4"/>
          <c:order val="4"/>
          <c:tx>
            <c:strRef>
              <c:f>'PTC OOS Rate'!$A$10</c:f>
              <c:strCache>
                <c:ptCount val="1"/>
                <c:pt idx="0">
                  <c:v>LP-N7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Rate'!$B$10:$V$10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51</c:v>
                </c:pt>
                <c:pt idx="10" formatCode="General">
                  <c:v>28</c:v>
                </c:pt>
                <c:pt idx="11" formatCode="General">
                  <c:v>41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4BFA-4555-B3DF-AE80B5CFF8A6}"/>
            </c:ext>
          </c:extLst>
        </c:ser>
        <c:ser>
          <c:idx val="5"/>
          <c:order val="5"/>
          <c:tx>
            <c:strRef>
              <c:f>'PTC OOS Rate'!#REF!</c:f>
              <c:strCache>
                <c:ptCount val="1"/>
                <c:pt idx="0">
                  <c:v>#REF!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4BFA-4555-B3DF-AE80B5CFF8A6}"/>
            </c:ext>
          </c:extLst>
        </c:ser>
        <c:ser>
          <c:idx val="6"/>
          <c:order val="6"/>
          <c:tx>
            <c:strRef>
              <c:f>'PTC OOS Rate'!#REF!</c:f>
              <c:strCache>
                <c:ptCount val="1"/>
                <c:pt idx="0">
                  <c:v>#REF!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4BFA-4555-B3DF-AE80B5CFF8A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2201728"/>
        <c:axId val="52219904"/>
      </c:barChart>
      <c:catAx>
        <c:axId val="5220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19904"/>
        <c:crosses val="autoZero"/>
        <c:auto val="1"/>
        <c:lblAlgn val="ctr"/>
        <c:lblOffset val="100"/>
        <c:noMultiLvlLbl val="0"/>
      </c:catAx>
      <c:valAx>
        <c:axId val="5221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0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en-US" altLang="zh-TW" sz="1600">
                <a:latin typeface="微軟正黑體" panose="020B0604030504040204" pitchFamily="34" charset="-120"/>
                <a:ea typeface="微軟正黑體" panose="020B0604030504040204" pitchFamily="34" charset="-120"/>
              </a:rPr>
              <a:t>LP-T PTC</a:t>
            </a:r>
            <a:r>
              <a:rPr lang="en-US" altLang="zh-TW" sz="1600" baseline="0">
                <a:latin typeface="微軟正黑體" panose="020B0604030504040204" pitchFamily="34" charset="-120"/>
                <a:ea typeface="微軟正黑體" panose="020B0604030504040204" pitchFamily="34" charset="-120"/>
              </a:rPr>
              <a:t> OOS Rate</a:t>
            </a:r>
            <a:endParaRPr lang="zh-TW" sz="1600">
              <a:latin typeface="微軟正黑體" panose="020B0604030504040204" pitchFamily="34" charset="-120"/>
              <a:ea typeface="微軟正黑體" panose="020B0604030504040204" pitchFamily="34" charset="-120"/>
            </a:endParaRPr>
          </a:p>
        </c:rich>
      </c:tx>
      <c:layout>
        <c:manualLayout>
          <c:xMode val="edge"/>
          <c:yMode val="edge"/>
          <c:x val="0.35844488188976376"/>
          <c:y val="7.7972589871851744E-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178706962715887"/>
          <c:y val="0.14408769820395281"/>
          <c:w val="0.84285558984824172"/>
          <c:h val="0.54338729507253136"/>
        </c:manualLayout>
      </c:layout>
      <c:lineChart>
        <c:grouping val="standard"/>
        <c:varyColors val="0"/>
        <c:ser>
          <c:idx val="3"/>
          <c:order val="0"/>
          <c:tx>
            <c:strRef>
              <c:f>'PTC OOS Rate'!$A$3</c:f>
              <c:strCache>
                <c:ptCount val="1"/>
                <c:pt idx="0">
                  <c:v>Spec (%)</c:v>
                </c:pt>
              </c:strCache>
            </c:strRef>
          </c:tx>
          <c:spPr>
            <a:ln w="28575">
              <a:solidFill>
                <a:srgbClr val="FF0000"/>
              </a:solidFill>
              <a:prstDash val="sysDash"/>
            </a:ln>
          </c:spPr>
          <c:marker>
            <c:symbol val="none"/>
          </c:marker>
          <c:val>
            <c:numRef>
              <c:f>'PTC OOS Rate'!$B$3:$V$3</c:f>
              <c:numCache>
                <c:formatCode>0.00%</c:formatCode>
                <c:ptCount val="21"/>
                <c:pt idx="0">
                  <c:v>2E-3</c:v>
                </c:pt>
                <c:pt idx="1">
                  <c:v>2E-3</c:v>
                </c:pt>
                <c:pt idx="2">
                  <c:v>2E-3</c:v>
                </c:pt>
                <c:pt idx="3">
                  <c:v>2E-3</c:v>
                </c:pt>
                <c:pt idx="4">
                  <c:v>2E-3</c:v>
                </c:pt>
                <c:pt idx="5">
                  <c:v>2E-3</c:v>
                </c:pt>
                <c:pt idx="6">
                  <c:v>2E-3</c:v>
                </c:pt>
                <c:pt idx="7">
                  <c:v>2E-3</c:v>
                </c:pt>
                <c:pt idx="8">
                  <c:v>2E-3</c:v>
                </c:pt>
                <c:pt idx="9">
                  <c:v>2E-3</c:v>
                </c:pt>
                <c:pt idx="10">
                  <c:v>2E-3</c:v>
                </c:pt>
                <c:pt idx="11">
                  <c:v>2E-3</c:v>
                </c:pt>
                <c:pt idx="12">
                  <c:v>2E-3</c:v>
                </c:pt>
                <c:pt idx="13">
                  <c:v>2E-3</c:v>
                </c:pt>
                <c:pt idx="14">
                  <c:v>2E-3</c:v>
                </c:pt>
                <c:pt idx="15">
                  <c:v>2E-3</c:v>
                </c:pt>
                <c:pt idx="16">
                  <c:v>2E-3</c:v>
                </c:pt>
                <c:pt idx="17">
                  <c:v>2E-3</c:v>
                </c:pt>
                <c:pt idx="18">
                  <c:v>2E-3</c:v>
                </c:pt>
                <c:pt idx="19">
                  <c:v>2E-3</c:v>
                </c:pt>
                <c:pt idx="20">
                  <c:v>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BF-4CA5-95F3-24E9377F1CBA}"/>
            </c:ext>
          </c:extLst>
        </c:ser>
        <c:ser>
          <c:idx val="1"/>
          <c:order val="1"/>
          <c:tx>
            <c:strRef>
              <c:f>'PTC OOS Rate'!$A$2</c:f>
              <c:strCache>
                <c:ptCount val="1"/>
                <c:pt idx="0">
                  <c:v>OOS rate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857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000" baseline="0"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ABF-4CA5-95F3-24E9377F1CBA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000" baseline="0"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ABF-4CA5-95F3-24E9377F1CBA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000" baseline="0"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ABF-4CA5-95F3-24E9377F1C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aseline="0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'PTC OOS Rate'!$B$1:$V$1</c:f>
              <c:strCache>
                <c:ptCount val="21"/>
                <c:pt idx="0">
                  <c:v>23Y</c:v>
                </c:pt>
                <c:pt idx="1">
                  <c:v>24Y</c:v>
                </c:pt>
                <c:pt idx="2">
                  <c:v>25Y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9">
                  <c:v>1M</c:v>
                </c:pt>
                <c:pt idx="10">
                  <c:v>2M</c:v>
                </c:pt>
                <c:pt idx="11">
                  <c:v>3M</c:v>
                </c:pt>
                <c:pt idx="12">
                  <c:v>4M</c:v>
                </c:pt>
                <c:pt idx="13">
                  <c:v>5M</c:v>
                </c:pt>
                <c:pt idx="14">
                  <c:v>6M</c:v>
                </c:pt>
                <c:pt idx="15">
                  <c:v>7M</c:v>
                </c:pt>
                <c:pt idx="16">
                  <c:v>8M</c:v>
                </c:pt>
                <c:pt idx="17">
                  <c:v>9M</c:v>
                </c:pt>
                <c:pt idx="18">
                  <c:v>10M</c:v>
                </c:pt>
                <c:pt idx="19">
                  <c:v>11M</c:v>
                </c:pt>
                <c:pt idx="20">
                  <c:v>12M</c:v>
                </c:pt>
              </c:strCache>
            </c:strRef>
          </c:cat>
          <c:val>
            <c:numRef>
              <c:f>'PTC OOS Rate'!$B$2:$V$2</c:f>
              <c:numCache>
                <c:formatCode>0.00%</c:formatCode>
                <c:ptCount val="21"/>
                <c:pt idx="2">
                  <c:v>0</c:v>
                </c:pt>
                <c:pt idx="4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BF-4CA5-95F3-24E9377F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344320"/>
        <c:axId val="52345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'2023Y LP PTC OOS Rate'!#REF!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rgbClr val="4B33FD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4B33FD"/>
                    </a:solidFill>
                    <a:ln w="28575">
                      <a:solidFill>
                        <a:srgbClr val="4132FE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'PTC OOS Rate'!$B$1:$V$1</c15:sqref>
                        </c15:formulaRef>
                      </c:ext>
                    </c:extLst>
                    <c:strCache>
                      <c:ptCount val="21"/>
                      <c:pt idx="0">
                        <c:v>23Y</c:v>
                      </c:pt>
                      <c:pt idx="1">
                        <c:v>24Y</c:v>
                      </c:pt>
                      <c:pt idx="2">
                        <c:v>25Y</c:v>
                      </c:pt>
                      <c:pt idx="4">
                        <c:v>Q1</c:v>
                      </c:pt>
                      <c:pt idx="5">
                        <c:v>Q2</c:v>
                      </c:pt>
                      <c:pt idx="6">
                        <c:v>Q3</c:v>
                      </c:pt>
                      <c:pt idx="7">
                        <c:v>Q4</c:v>
                      </c:pt>
                      <c:pt idx="9">
                        <c:v>1M</c:v>
                      </c:pt>
                      <c:pt idx="10">
                        <c:v>2M</c:v>
                      </c:pt>
                      <c:pt idx="11">
                        <c:v>3M</c:v>
                      </c:pt>
                      <c:pt idx="12">
                        <c:v>4M</c:v>
                      </c:pt>
                      <c:pt idx="13">
                        <c:v>5M</c:v>
                      </c:pt>
                      <c:pt idx="14">
                        <c:v>6M</c:v>
                      </c:pt>
                      <c:pt idx="15">
                        <c:v>7M</c:v>
                      </c:pt>
                      <c:pt idx="16">
                        <c:v>8M</c:v>
                      </c:pt>
                      <c:pt idx="17">
                        <c:v>9M</c:v>
                      </c:pt>
                      <c:pt idx="18">
                        <c:v>10M</c:v>
                      </c:pt>
                      <c:pt idx="19">
                        <c:v>11M</c:v>
                      </c:pt>
                      <c:pt idx="20">
                        <c:v>12M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'2023Y LP PTC OOS Rate'!#REF!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6ABF-4CA5-95F3-24E9377F1CBA}"/>
                  </c:ext>
                </c:extLst>
              </c15:ser>
            </c15:filteredLineSeries>
            <c15:filteredLine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'2023Y LP PTC OOS Rate'!#REF!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tx1">
                        <a:lumMod val="95000"/>
                        <a:lumOff val="5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tx1">
                        <a:lumMod val="85000"/>
                        <a:lumOff val="15000"/>
                      </a:schemeClr>
                    </a:solidFill>
                    <a:ln w="31750">
                      <a:solidFill>
                        <a:schemeClr val="tx1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'PTC OOS Rate'!$B$1:$V$1</c15:sqref>
                        </c15:formulaRef>
                      </c:ext>
                    </c:extLst>
                    <c:strCache>
                      <c:ptCount val="21"/>
                      <c:pt idx="0">
                        <c:v>23Y</c:v>
                      </c:pt>
                      <c:pt idx="1">
                        <c:v>24Y</c:v>
                      </c:pt>
                      <c:pt idx="2">
                        <c:v>25Y</c:v>
                      </c:pt>
                      <c:pt idx="4">
                        <c:v>Q1</c:v>
                      </c:pt>
                      <c:pt idx="5">
                        <c:v>Q2</c:v>
                      </c:pt>
                      <c:pt idx="6">
                        <c:v>Q3</c:v>
                      </c:pt>
                      <c:pt idx="7">
                        <c:v>Q4</c:v>
                      </c:pt>
                      <c:pt idx="9">
                        <c:v>1M</c:v>
                      </c:pt>
                      <c:pt idx="10">
                        <c:v>2M</c:v>
                      </c:pt>
                      <c:pt idx="11">
                        <c:v>3M</c:v>
                      </c:pt>
                      <c:pt idx="12">
                        <c:v>4M</c:v>
                      </c:pt>
                      <c:pt idx="13">
                        <c:v>5M</c:v>
                      </c:pt>
                      <c:pt idx="14">
                        <c:v>6M</c:v>
                      </c:pt>
                      <c:pt idx="15">
                        <c:v>7M</c:v>
                      </c:pt>
                      <c:pt idx="16">
                        <c:v>8M</c:v>
                      </c:pt>
                      <c:pt idx="17">
                        <c:v>9M</c:v>
                      </c:pt>
                      <c:pt idx="18">
                        <c:v>10M</c:v>
                      </c:pt>
                      <c:pt idx="19">
                        <c:v>11M</c:v>
                      </c:pt>
                      <c:pt idx="20">
                        <c:v>12M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'2023Y LP PTC OOS Rate'!#REF!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ABF-4CA5-95F3-24E9377F1CBA}"/>
                  </c:ext>
                </c:extLst>
              </c15:ser>
            </c15:filteredLineSeries>
          </c:ext>
        </c:extLst>
      </c:lineChart>
      <c:catAx>
        <c:axId val="5234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45856"/>
        <c:crosses val="autoZero"/>
        <c:auto val="1"/>
        <c:lblAlgn val="ctr"/>
        <c:lblOffset val="100"/>
        <c:noMultiLvlLbl val="0"/>
      </c:catAx>
      <c:valAx>
        <c:axId val="5234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44320"/>
        <c:crosses val="autoZero"/>
        <c:crossBetween val="between"/>
      </c:valAx>
      <c:dTable>
        <c:showHorzBorder val="1"/>
        <c:showVertBorder val="1"/>
        <c:showOutline val="1"/>
        <c:showKeys val="1"/>
        <c:txPr>
          <a:bodyPr/>
          <a:lstStyle/>
          <a:p>
            <a:pPr rtl="0">
              <a:defRPr sz="1200" baseline="0"/>
            </a:pPr>
            <a:endParaRPr lang="en-US"/>
          </a:p>
        </c:txPr>
      </c:dTable>
      <c:spPr>
        <a:blipFill>
          <a:blip xmlns:r="http://schemas.openxmlformats.org/officeDocument/2006/relationships" r:embed="rId1"/>
          <a:tile tx="0" ty="0" sx="100000" sy="100000" flip="none" algn="tl"/>
        </a:blipFill>
        <a:ln>
          <a:noFill/>
        </a:ln>
        <a:effectLst/>
      </c:spPr>
    </c:plotArea>
    <c:plotVisOnly val="1"/>
    <c:dispBlanksAs val="gap"/>
    <c:showDLblsOverMax val="0"/>
  </c:chart>
  <c:spPr>
    <a:blipFill>
      <a:blip xmlns:r="http://schemas.openxmlformats.org/officeDocument/2006/relationships" r:embed="rId1"/>
      <a:tile tx="0" ty="0" sx="100000" sy="100000" flip="none" algn="tl"/>
    </a:blip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LP-T PTC OOS </a:t>
            </a:r>
            <a:r>
              <a:rPr lang="zh-TW" altLang="en-US" sz="1600" b="1">
                <a:solidFill>
                  <a:schemeClr val="tx1"/>
                </a:solidFill>
              </a:rPr>
              <a:t>次數</a:t>
            </a:r>
            <a:endParaRPr lang="en-US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9115081800155543"/>
          <c:y val="5.985906921697520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微軟正黑體" panose="020B0604030504040204" pitchFamily="34" charset="-12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98073183941355"/>
          <c:y val="0.10417905265662072"/>
          <c:w val="0.81381076897179172"/>
          <c:h val="0.3357915272292693"/>
        </c:manualLayout>
      </c:layout>
      <c:barChart>
        <c:barDir val="col"/>
        <c:grouping val="stacked"/>
        <c:varyColors val="0"/>
        <c:ser>
          <c:idx val="6"/>
          <c:order val="4"/>
          <c:tx>
            <c:strRef>
              <c:f>'PTC OOS Rate'!$A$18</c:f>
              <c:strCache>
                <c:ptCount val="1"/>
                <c:pt idx="0">
                  <c:v>LP-N7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'PTC OOS Rate'!$B$18:$V$18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01-44F4-ABD4-403A7346316D}"/>
            </c:ext>
          </c:extLst>
        </c:ser>
        <c:ser>
          <c:idx val="5"/>
          <c:order val="5"/>
          <c:tx>
            <c:strRef>
              <c:f>'PTC OOS Rate'!$A$17</c:f>
              <c:strCache>
                <c:ptCount val="1"/>
                <c:pt idx="0">
                  <c:v>LP-N5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'PTC OOS Rate'!$B$17:$V$17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01-44F4-ABD4-403A7346316D}"/>
            </c:ext>
          </c:extLst>
        </c:ser>
        <c:ser>
          <c:idx val="4"/>
          <c:order val="6"/>
          <c:tx>
            <c:strRef>
              <c:f>'PTC OOS Rate'!$A$16</c:f>
              <c:strCache>
                <c:ptCount val="1"/>
                <c:pt idx="0">
                  <c:v>LP-N4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'PTC OOS Rate'!$B$16:$V$16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01-44F4-ABD4-403A7346316D}"/>
            </c:ext>
          </c:extLst>
        </c:ser>
        <c:ser>
          <c:idx val="3"/>
          <c:order val="7"/>
          <c:tx>
            <c:strRef>
              <c:f>'PTC OOS Rate'!$A$15</c:f>
              <c:strCache>
                <c:ptCount val="1"/>
                <c:pt idx="0">
                  <c:v>LP-N3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'PTC OOS Rate'!$B$15:$V$15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C01-44F4-ABD4-403A7346316D}"/>
            </c:ext>
          </c:extLst>
        </c:ser>
        <c:ser>
          <c:idx val="2"/>
          <c:order val="8"/>
          <c:tx>
            <c:strRef>
              <c:f>'PTC OOS Rate'!$A$14</c:f>
              <c:strCache>
                <c:ptCount val="1"/>
                <c:pt idx="0">
                  <c:v>LP-N1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'PTC OOS Rate'!$B$14:$V$14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01-44F4-ABD4-403A73463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7361183"/>
        <c:axId val="837360767"/>
        <c:extLst>
          <c:ext xmlns:c15="http://schemas.microsoft.com/office/drawing/2012/chart" uri="{02D57815-91ED-43cb-92C2-25804820EDAC}">
            <c15:filteredBarSeries>
              <c15:ser>
                <c:idx val="8"/>
                <c:order val="2"/>
                <c:tx>
                  <c:strRef>
                    <c:extLst>
                      <c:ext uri="{02D57815-91ED-43cb-92C2-25804820EDAC}">
                        <c15:formulaRef>
                          <c15:sqref>'PTC OOS Rate'!#REF!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'PTC OOS Rate'!#REF!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CC01-44F4-ABD4-403A7346316D}"/>
                  </c:ext>
                </c:extLst>
              </c15:ser>
            </c15:filteredBarSeries>
            <c15:filteredBarSeries>
              <c15:ser>
                <c:idx val="7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'PTC OOS Rate'!#REF!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'PTC OOS Rate'!#REF!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C01-44F4-ABD4-403A7346316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0"/>
          <c:tx>
            <c:strRef>
              <c:f>'PTC OOS Rate'!$A$19</c:f>
              <c:strCache>
                <c:ptCount val="1"/>
                <c:pt idx="0">
                  <c:v>PTC 次數</c:v>
                </c:pt>
              </c:strCache>
            </c:strRef>
          </c:tx>
          <c:spPr>
            <a:ln w="31750" cap="rnd">
              <a:noFill/>
              <a:round/>
            </a:ln>
            <a:effectLst/>
          </c:spPr>
          <c:marker>
            <c:symbol val="none"/>
          </c:marker>
          <c:cat>
            <c:strRef>
              <c:f>'PTC OOS Rate'!$B$5:$V$5</c:f>
              <c:strCache>
                <c:ptCount val="21"/>
                <c:pt idx="0">
                  <c:v>23Y</c:v>
                </c:pt>
                <c:pt idx="1">
                  <c:v>24Y</c:v>
                </c:pt>
                <c:pt idx="2">
                  <c:v>25Y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9">
                  <c:v>1M</c:v>
                </c:pt>
                <c:pt idx="10">
                  <c:v>2M</c:v>
                </c:pt>
                <c:pt idx="11">
                  <c:v>3M</c:v>
                </c:pt>
                <c:pt idx="12">
                  <c:v>4M</c:v>
                </c:pt>
                <c:pt idx="13">
                  <c:v>5M</c:v>
                </c:pt>
                <c:pt idx="14">
                  <c:v>6M</c:v>
                </c:pt>
                <c:pt idx="15">
                  <c:v>7M</c:v>
                </c:pt>
                <c:pt idx="16">
                  <c:v>8M</c:v>
                </c:pt>
                <c:pt idx="17">
                  <c:v>9M</c:v>
                </c:pt>
                <c:pt idx="18">
                  <c:v>10M</c:v>
                </c:pt>
                <c:pt idx="19">
                  <c:v>11M</c:v>
                </c:pt>
                <c:pt idx="20">
                  <c:v>12M</c:v>
                </c:pt>
              </c:strCache>
            </c:strRef>
          </c:cat>
          <c:val>
            <c:numRef>
              <c:f>'PTC OOS Rate'!$B$19:$V$19</c:f>
              <c:numCache>
                <c:formatCode>General</c:formatCode>
                <c:ptCount val="21"/>
                <c:pt idx="4" formatCode="0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C01-44F4-ABD4-403A7346316D}"/>
            </c:ext>
          </c:extLst>
        </c:ser>
        <c:ser>
          <c:idx val="0"/>
          <c:order val="1"/>
          <c:tx>
            <c:strRef>
              <c:f>'PTC OOS Rate'!$A$11</c:f>
              <c:strCache>
                <c:ptCount val="1"/>
                <c:pt idx="0">
                  <c:v>Run 數</c:v>
                </c:pt>
              </c:strCache>
            </c:strRef>
          </c:tx>
          <c:spPr>
            <a:ln w="127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cat>
            <c:strRef>
              <c:f>'PTC OOS Rate'!$B$5:$V$5</c:f>
              <c:strCache>
                <c:ptCount val="21"/>
                <c:pt idx="0">
                  <c:v>23Y</c:v>
                </c:pt>
                <c:pt idx="1">
                  <c:v>24Y</c:v>
                </c:pt>
                <c:pt idx="2">
                  <c:v>25Y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9">
                  <c:v>1M</c:v>
                </c:pt>
                <c:pt idx="10">
                  <c:v>2M</c:v>
                </c:pt>
                <c:pt idx="11">
                  <c:v>3M</c:v>
                </c:pt>
                <c:pt idx="12">
                  <c:v>4M</c:v>
                </c:pt>
                <c:pt idx="13">
                  <c:v>5M</c:v>
                </c:pt>
                <c:pt idx="14">
                  <c:v>6M</c:v>
                </c:pt>
                <c:pt idx="15">
                  <c:v>7M</c:v>
                </c:pt>
                <c:pt idx="16">
                  <c:v>8M</c:v>
                </c:pt>
                <c:pt idx="17">
                  <c:v>9M</c:v>
                </c:pt>
                <c:pt idx="18">
                  <c:v>10M</c:v>
                </c:pt>
                <c:pt idx="19">
                  <c:v>11M</c:v>
                </c:pt>
                <c:pt idx="20">
                  <c:v>12M</c:v>
                </c:pt>
              </c:strCache>
            </c:strRef>
          </c:cat>
          <c:val>
            <c:numRef>
              <c:f>'PTC OOS Rate'!$B$11:$V$11</c:f>
              <c:numCache>
                <c:formatCode>0</c:formatCode>
                <c:ptCount val="21"/>
                <c:pt idx="4">
                  <c:v>0</c:v>
                </c:pt>
                <c:pt idx="9" formatCode="General">
                  <c:v>334</c:v>
                </c:pt>
                <c:pt idx="10" formatCode="General">
                  <c:v>237</c:v>
                </c:pt>
                <c:pt idx="11" formatCode="General">
                  <c:v>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C01-44F4-ABD4-403A73463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20832"/>
        <c:axId val="52518272"/>
      </c:lineChart>
      <c:valAx>
        <c:axId val="52518272"/>
        <c:scaling>
          <c:orientation val="minMax"/>
          <c:max val="4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r>
                  <a:rPr lang="en-US" sz="1100" b="0">
                    <a:solidFill>
                      <a:schemeClr val="tx1"/>
                    </a:solidFill>
                  </a:rPr>
                  <a:t>OOC</a:t>
                </a:r>
                <a:r>
                  <a:rPr lang="zh-TW" sz="1100" b="0">
                    <a:solidFill>
                      <a:schemeClr val="tx1"/>
                    </a:solidFill>
                  </a:rPr>
                  <a:t>次數</a:t>
                </a:r>
              </a:p>
            </c:rich>
          </c:tx>
          <c:layout>
            <c:manualLayout>
              <c:xMode val="edge"/>
              <c:yMode val="edge"/>
              <c:x val="2.8956174717598746E-2"/>
              <c:y val="0.181891820149230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微軟正黑體" panose="020B0604030504040204" pitchFamily="34" charset="-12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endParaRPr lang="en-US"/>
          </a:p>
        </c:txPr>
        <c:crossAx val="52520832"/>
        <c:crosses val="max"/>
        <c:crossBetween val="between"/>
      </c:valAx>
      <c:catAx>
        <c:axId val="5252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endParaRPr lang="en-US"/>
          </a:p>
        </c:txPr>
        <c:crossAx val="52518272"/>
        <c:crosses val="autoZero"/>
        <c:auto val="1"/>
        <c:lblAlgn val="ctr"/>
        <c:lblOffset val="100"/>
        <c:noMultiLvlLbl val="0"/>
      </c:catAx>
      <c:valAx>
        <c:axId val="837360767"/>
        <c:scaling>
          <c:orientation val="minMax"/>
          <c:max val="14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endParaRPr lang="en-US"/>
          </a:p>
        </c:txPr>
        <c:crossAx val="837361183"/>
        <c:crosses val="autoZero"/>
        <c:crossBetween val="between"/>
        <c:majorUnit val="2"/>
      </c:valAx>
      <c:catAx>
        <c:axId val="837361183"/>
        <c:scaling>
          <c:orientation val="minMax"/>
        </c:scaling>
        <c:delete val="1"/>
        <c:axPos val="b"/>
        <c:majorTickMark val="out"/>
        <c:minorTickMark val="none"/>
        <c:tickLblPos val="nextTo"/>
        <c:crossAx val="837360767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chemeClr val="tx1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aseline="0">
          <a:solidFill>
            <a:sysClr val="windowText" lastClr="000000"/>
          </a:solidFill>
          <a:latin typeface="微軟正黑體" panose="020B0604030504040204" pitchFamily="34" charset="-120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590550</xdr:colOff>
      <xdr:row>1</xdr:row>
      <xdr:rowOff>9525</xdr:rowOff>
    </xdr:from>
    <xdr:ext cx="15110012" cy="3676650"/>
    <xdr:pic>
      <xdr:nvPicPr>
        <xdr:cNvPr id="2" name="圖片 2">
          <a:extLst>
            <a:ext uri="{FF2B5EF4-FFF2-40B4-BE49-F238E27FC236}">
              <a16:creationId xmlns:a16="http://schemas.microsoft.com/office/drawing/2014/main" id="{7CB0472F-92AF-47DB-B87A-19AF0CDAB0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200025"/>
          <a:ext cx="15110012" cy="3676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9</xdr:row>
      <xdr:rowOff>28575</xdr:rowOff>
    </xdr:from>
    <xdr:to>
      <xdr:col>14</xdr:col>
      <xdr:colOff>57150</xdr:colOff>
      <xdr:row>25</xdr:row>
      <xdr:rowOff>180975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F81E0026-E58D-46E9-8BF9-0FB213271F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390525</xdr:colOff>
      <xdr:row>18</xdr:row>
      <xdr:rowOff>28575</xdr:rowOff>
    </xdr:from>
    <xdr:to>
      <xdr:col>13</xdr:col>
      <xdr:colOff>180975</xdr:colOff>
      <xdr:row>41</xdr:row>
      <xdr:rowOff>95250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8E9114EB-310B-48D1-A71C-4347E2007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20</xdr:row>
      <xdr:rowOff>1</xdr:rowOff>
    </xdr:from>
    <xdr:to>
      <xdr:col>27</xdr:col>
      <xdr:colOff>272143</xdr:colOff>
      <xdr:row>39</xdr:row>
      <xdr:rowOff>68037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C6277CEF-F90A-4C8D-823D-BF6ED958B3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10</xdr:row>
      <xdr:rowOff>152400</xdr:rowOff>
    </xdr:from>
    <xdr:to>
      <xdr:col>18</xdr:col>
      <xdr:colOff>304800</xdr:colOff>
      <xdr:row>34</xdr:row>
      <xdr:rowOff>9525</xdr:rowOff>
    </xdr:to>
    <xdr:graphicFrame macro="">
      <xdr:nvGraphicFramePr>
        <xdr:cNvPr id="2" name="圖表 2">
          <a:extLst>
            <a:ext uri="{FF2B5EF4-FFF2-40B4-BE49-F238E27FC236}">
              <a16:creationId xmlns:a16="http://schemas.microsoft.com/office/drawing/2014/main" id="{17B3C9DF-1247-4014-A281-3043EDD1F7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10</xdr:row>
      <xdr:rowOff>152400</xdr:rowOff>
    </xdr:from>
    <xdr:to>
      <xdr:col>18</xdr:col>
      <xdr:colOff>304800</xdr:colOff>
      <xdr:row>34</xdr:row>
      <xdr:rowOff>9525</xdr:rowOff>
    </xdr:to>
    <xdr:graphicFrame macro="">
      <xdr:nvGraphicFramePr>
        <xdr:cNvPr id="2" name="圖表 2">
          <a:extLst>
            <a:ext uri="{FF2B5EF4-FFF2-40B4-BE49-F238E27FC236}">
              <a16:creationId xmlns:a16="http://schemas.microsoft.com/office/drawing/2014/main" id="{466D7BAF-0ED4-4DFE-AB09-7FC4D492D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162303</xdr:colOff>
      <xdr:row>3</xdr:row>
      <xdr:rowOff>20410</xdr:rowOff>
    </xdr:from>
    <xdr:to>
      <xdr:col>31</xdr:col>
      <xdr:colOff>705757</xdr:colOff>
      <xdr:row>12</xdr:row>
      <xdr:rowOff>202746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923415E-F785-462D-82F3-161DE9BF43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76201</xdr:colOff>
      <xdr:row>20</xdr:row>
      <xdr:rowOff>28570</xdr:rowOff>
    </xdr:from>
    <xdr:to>
      <xdr:col>13</xdr:col>
      <xdr:colOff>4763</xdr:colOff>
      <xdr:row>38</xdr:row>
      <xdr:rowOff>28575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7ED5CBD2-A6C5-4925-8ACA-6D1C7E49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88103</xdr:colOff>
      <xdr:row>20</xdr:row>
      <xdr:rowOff>29935</xdr:rowOff>
    </xdr:from>
    <xdr:to>
      <xdr:col>24</xdr:col>
      <xdr:colOff>733424</xdr:colOff>
      <xdr:row>44</xdr:row>
      <xdr:rowOff>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B86A8A50-8C3A-48A7-9E14-F66C47BA7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A19F-7234-4A3D-B711-478344598BD8}">
  <dimension ref="B23:V144"/>
  <sheetViews>
    <sheetView topLeftCell="A109" zoomScaleNormal="100" workbookViewId="0">
      <selection activeCell="I144" sqref="I144"/>
    </sheetView>
  </sheetViews>
  <sheetFormatPr defaultRowHeight="15"/>
  <cols>
    <col min="1" max="1" width="9" style="1"/>
    <col min="2" max="2" width="15.5" style="1" bestFit="1" customWidth="1"/>
    <col min="3" max="3" width="8.875" style="24" bestFit="1" customWidth="1"/>
    <col min="4" max="4" width="9.5" style="1" bestFit="1" customWidth="1"/>
    <col min="5" max="5" width="21.5" style="1" bestFit="1" customWidth="1"/>
    <col min="6" max="6" width="21.75" style="1" bestFit="1" customWidth="1"/>
    <col min="7" max="7" width="7.125" style="1" bestFit="1" customWidth="1"/>
    <col min="8" max="10" width="8.625" style="1" bestFit="1" customWidth="1"/>
    <col min="11" max="11" width="7.125" style="1" bestFit="1" customWidth="1"/>
    <col min="12" max="16" width="8.625" style="1" bestFit="1" customWidth="1"/>
    <col min="17" max="16384" width="9" style="1"/>
  </cols>
  <sheetData>
    <row r="23" spans="2:22" s="24" customFormat="1" ht="33.75" customHeight="1">
      <c r="B23" s="3"/>
      <c r="C23" s="3" t="s">
        <v>100</v>
      </c>
      <c r="D23" s="3" t="s">
        <v>109</v>
      </c>
      <c r="E23" s="5" t="s">
        <v>108</v>
      </c>
      <c r="F23" s="5" t="s">
        <v>104</v>
      </c>
      <c r="G23" s="3" t="s">
        <v>5</v>
      </c>
      <c r="H23" s="3" t="s">
        <v>4</v>
      </c>
      <c r="I23" s="3" t="s">
        <v>3</v>
      </c>
      <c r="J23" s="3" t="s">
        <v>2</v>
      </c>
      <c r="K23" s="3">
        <v>1</v>
      </c>
      <c r="L23" s="3">
        <v>2</v>
      </c>
      <c r="M23" s="3">
        <v>3</v>
      </c>
      <c r="N23" s="3">
        <v>4</v>
      </c>
      <c r="O23" s="3">
        <v>5</v>
      </c>
      <c r="P23" s="3">
        <v>6</v>
      </c>
      <c r="Q23" s="3">
        <v>7</v>
      </c>
      <c r="R23" s="3">
        <v>8</v>
      </c>
      <c r="S23" s="3">
        <v>9</v>
      </c>
      <c r="T23" s="3">
        <v>10</v>
      </c>
      <c r="U23" s="3">
        <v>11</v>
      </c>
      <c r="V23" s="3">
        <v>12</v>
      </c>
    </row>
    <row r="24" spans="2:22" s="24" customFormat="1">
      <c r="B24" s="3" t="s">
        <v>1</v>
      </c>
      <c r="C24" s="7" t="s">
        <v>107</v>
      </c>
      <c r="D24" s="4" t="s">
        <v>97</v>
      </c>
      <c r="E24" s="4">
        <v>3.0999999999999999E-3</v>
      </c>
      <c r="F24" s="4">
        <f>AVERAGE(K24:V24)</f>
        <v>3.0922690370097541E-3</v>
      </c>
      <c r="G24" s="4">
        <f>G40/G32</f>
        <v>4.9782202862476664E-3</v>
      </c>
      <c r="H24" s="4">
        <f>H40/H32</f>
        <v>2.6795284030010718E-3</v>
      </c>
      <c r="I24" s="4">
        <f>I40/I32</f>
        <v>1.6120365394948952E-3</v>
      </c>
      <c r="J24" s="4">
        <f>J40/J32</f>
        <v>2.9394473838918285E-3</v>
      </c>
      <c r="K24" s="4">
        <f>K40/K32</f>
        <v>6.7415730337078653E-3</v>
      </c>
      <c r="L24" s="4">
        <v>0</v>
      </c>
      <c r="M24" s="4">
        <f t="shared" ref="M24:V24" si="0">M40/M32</f>
        <v>8.6355785837651123E-3</v>
      </c>
      <c r="N24" s="4">
        <f t="shared" si="0"/>
        <v>4.8465266558966073E-3</v>
      </c>
      <c r="O24" s="4">
        <f t="shared" si="0"/>
        <v>3.1397174254317113E-3</v>
      </c>
      <c r="P24" s="4">
        <f t="shared" si="0"/>
        <v>0</v>
      </c>
      <c r="Q24" s="4">
        <f t="shared" si="0"/>
        <v>1.5649452269170579E-3</v>
      </c>
      <c r="R24" s="4">
        <f t="shared" si="0"/>
        <v>1.6155088852988692E-3</v>
      </c>
      <c r="S24" s="4">
        <f t="shared" si="0"/>
        <v>1.658374792703151E-3</v>
      </c>
      <c r="T24" s="4">
        <f t="shared" si="0"/>
        <v>1.6366612111292963E-3</v>
      </c>
      <c r="U24" s="4">
        <f t="shared" si="0"/>
        <v>1.8726591760299626E-3</v>
      </c>
      <c r="V24" s="4">
        <f t="shared" si="0"/>
        <v>5.3956834532374104E-3</v>
      </c>
    </row>
    <row r="25" spans="2:22" s="24" customFormat="1">
      <c r="B25" s="7"/>
      <c r="C25" s="7"/>
      <c r="D25" s="4"/>
      <c r="E25" s="4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</row>
    <row r="26" spans="2:22" s="24" customFormat="1">
      <c r="B26" s="25"/>
      <c r="C26" s="25" t="s">
        <v>96</v>
      </c>
      <c r="D26" s="25"/>
      <c r="E26" s="26" t="s">
        <v>106</v>
      </c>
      <c r="F26" s="26" t="s">
        <v>103</v>
      </c>
      <c r="G26" s="25" t="s">
        <v>5</v>
      </c>
      <c r="H26" s="25" t="s">
        <v>4</v>
      </c>
      <c r="I26" s="25" t="s">
        <v>3</v>
      </c>
      <c r="J26" s="25" t="s">
        <v>2</v>
      </c>
      <c r="K26" s="25">
        <v>1</v>
      </c>
      <c r="L26" s="25">
        <v>2</v>
      </c>
      <c r="M26" s="25">
        <v>3</v>
      </c>
      <c r="N26" s="25">
        <v>4</v>
      </c>
      <c r="O26" s="25">
        <v>5</v>
      </c>
      <c r="P26" s="25">
        <v>6</v>
      </c>
      <c r="Q26" s="25">
        <v>7</v>
      </c>
      <c r="R26" s="25">
        <v>8</v>
      </c>
      <c r="S26" s="25">
        <v>9</v>
      </c>
      <c r="T26" s="25">
        <v>10</v>
      </c>
      <c r="U26" s="25">
        <v>11</v>
      </c>
      <c r="V26" s="25">
        <v>12</v>
      </c>
    </row>
    <row r="27" spans="2:22" s="24" customFormat="1">
      <c r="B27" s="25" t="s">
        <v>42</v>
      </c>
      <c r="C27" s="7"/>
      <c r="D27" s="7"/>
      <c r="E27" s="31">
        <v>107</v>
      </c>
      <c r="F27" s="30">
        <f>(G27+H27)/6</f>
        <v>118.16666666666667</v>
      </c>
      <c r="G27" s="29">
        <f t="shared" ref="G27:G32" si="1">K27+L27+M27</f>
        <v>339</v>
      </c>
      <c r="H27" s="7">
        <f t="shared" ref="H27:H32" si="2">N27+O27+P27</f>
        <v>370</v>
      </c>
      <c r="I27" s="7">
        <f t="shared" ref="I27:I32" si="3">Q27+R27+S27</f>
        <v>389</v>
      </c>
      <c r="J27" s="7">
        <f t="shared" ref="J27:J32" si="4">T27+U27+V27</f>
        <v>336</v>
      </c>
      <c r="K27" s="28">
        <v>102</v>
      </c>
      <c r="L27" s="28">
        <v>116</v>
      </c>
      <c r="M27" s="7">
        <v>121</v>
      </c>
      <c r="N27" s="7">
        <v>116</v>
      </c>
      <c r="O27" s="7">
        <v>126</v>
      </c>
      <c r="P27" s="7">
        <v>128</v>
      </c>
      <c r="Q27" s="7">
        <v>135</v>
      </c>
      <c r="R27" s="7">
        <v>133</v>
      </c>
      <c r="S27" s="7">
        <v>121</v>
      </c>
      <c r="T27" s="7">
        <v>127</v>
      </c>
      <c r="U27" s="7">
        <v>100</v>
      </c>
      <c r="V27" s="7">
        <v>109</v>
      </c>
    </row>
    <row r="28" spans="2:22" s="24" customFormat="1">
      <c r="B28" s="25" t="s">
        <v>41</v>
      </c>
      <c r="C28" s="7"/>
      <c r="D28" s="7"/>
      <c r="E28" s="31">
        <v>100</v>
      </c>
      <c r="F28" s="30">
        <f>(G28+H28)/6</f>
        <v>121</v>
      </c>
      <c r="G28" s="29">
        <f t="shared" si="1"/>
        <v>333</v>
      </c>
      <c r="H28" s="7">
        <f t="shared" si="2"/>
        <v>393</v>
      </c>
      <c r="I28" s="7">
        <f t="shared" si="3"/>
        <v>384</v>
      </c>
      <c r="J28" s="7">
        <f t="shared" si="4"/>
        <v>352</v>
      </c>
      <c r="K28" s="28">
        <v>90</v>
      </c>
      <c r="L28" s="28">
        <v>122</v>
      </c>
      <c r="M28" s="7">
        <v>121</v>
      </c>
      <c r="N28" s="7">
        <v>131</v>
      </c>
      <c r="O28" s="7">
        <v>135</v>
      </c>
      <c r="P28" s="7">
        <v>127</v>
      </c>
      <c r="Q28" s="7">
        <v>133</v>
      </c>
      <c r="R28" s="7">
        <v>124</v>
      </c>
      <c r="S28" s="7">
        <v>127</v>
      </c>
      <c r="T28" s="7">
        <v>123</v>
      </c>
      <c r="U28" s="7">
        <v>117</v>
      </c>
      <c r="V28" s="7">
        <v>112</v>
      </c>
    </row>
    <row r="29" spans="2:22" s="24" customFormat="1">
      <c r="B29" s="25" t="s">
        <v>40</v>
      </c>
      <c r="C29" s="7"/>
      <c r="D29" s="7"/>
      <c r="E29" s="31">
        <v>113</v>
      </c>
      <c r="F29" s="30">
        <f>(G29+H29)/6</f>
        <v>125.66666666666667</v>
      </c>
      <c r="G29" s="29">
        <f t="shared" si="1"/>
        <v>367</v>
      </c>
      <c r="H29" s="7">
        <f t="shared" si="2"/>
        <v>387</v>
      </c>
      <c r="I29" s="7">
        <f t="shared" si="3"/>
        <v>384</v>
      </c>
      <c r="J29" s="7">
        <f t="shared" si="4"/>
        <v>359</v>
      </c>
      <c r="K29" s="28">
        <v>107</v>
      </c>
      <c r="L29" s="28">
        <v>128</v>
      </c>
      <c r="M29" s="7">
        <v>132</v>
      </c>
      <c r="N29" s="7">
        <v>125</v>
      </c>
      <c r="O29" s="7">
        <v>134</v>
      </c>
      <c r="P29" s="7">
        <v>128</v>
      </c>
      <c r="Q29" s="7">
        <v>135</v>
      </c>
      <c r="R29" s="7">
        <v>126</v>
      </c>
      <c r="S29" s="7">
        <v>123</v>
      </c>
      <c r="T29" s="7">
        <v>129</v>
      </c>
      <c r="U29" s="7">
        <v>114</v>
      </c>
      <c r="V29" s="7">
        <v>116</v>
      </c>
    </row>
    <row r="30" spans="2:22" s="24" customFormat="1">
      <c r="B30" s="25" t="s">
        <v>39</v>
      </c>
      <c r="C30" s="7"/>
      <c r="D30" s="7"/>
      <c r="E30" s="31">
        <v>112</v>
      </c>
      <c r="F30" s="30">
        <f>(G30+H30)/6</f>
        <v>117</v>
      </c>
      <c r="G30" s="29">
        <f t="shared" si="1"/>
        <v>310</v>
      </c>
      <c r="H30" s="7">
        <f t="shared" si="2"/>
        <v>392</v>
      </c>
      <c r="I30" s="7">
        <f t="shared" si="3"/>
        <v>383</v>
      </c>
      <c r="J30" s="7">
        <f t="shared" si="4"/>
        <v>373</v>
      </c>
      <c r="K30" s="28">
        <v>84</v>
      </c>
      <c r="L30" s="28">
        <v>109</v>
      </c>
      <c r="M30" s="7">
        <v>117</v>
      </c>
      <c r="N30" s="7">
        <v>134</v>
      </c>
      <c r="O30" s="7">
        <v>131</v>
      </c>
      <c r="P30" s="7">
        <v>127</v>
      </c>
      <c r="Q30" s="7">
        <v>134</v>
      </c>
      <c r="R30" s="7">
        <v>130</v>
      </c>
      <c r="S30" s="7">
        <v>119</v>
      </c>
      <c r="T30" s="7">
        <v>125</v>
      </c>
      <c r="U30" s="7">
        <v>120</v>
      </c>
      <c r="V30" s="7">
        <v>128</v>
      </c>
    </row>
    <row r="31" spans="2:22" s="24" customFormat="1">
      <c r="B31" s="25" t="s">
        <v>38</v>
      </c>
      <c r="C31" s="7"/>
      <c r="D31" s="7"/>
      <c r="E31" s="31">
        <v>85</v>
      </c>
      <c r="F31" s="30">
        <f>(G31+H31)/6</f>
        <v>97</v>
      </c>
      <c r="G31" s="29">
        <f t="shared" si="1"/>
        <v>258</v>
      </c>
      <c r="H31" s="7">
        <f t="shared" si="2"/>
        <v>324</v>
      </c>
      <c r="I31" s="7">
        <f t="shared" si="3"/>
        <v>321</v>
      </c>
      <c r="J31" s="7">
        <f t="shared" si="4"/>
        <v>281</v>
      </c>
      <c r="K31" s="28">
        <v>62</v>
      </c>
      <c r="L31" s="28">
        <v>108</v>
      </c>
      <c r="M31" s="7">
        <v>88</v>
      </c>
      <c r="N31" s="7">
        <v>113</v>
      </c>
      <c r="O31" s="7">
        <v>111</v>
      </c>
      <c r="P31" s="7">
        <v>100</v>
      </c>
      <c r="Q31" s="7">
        <v>102</v>
      </c>
      <c r="R31" s="7">
        <v>106</v>
      </c>
      <c r="S31" s="7">
        <v>113</v>
      </c>
      <c r="T31" s="7">
        <v>107</v>
      </c>
      <c r="U31" s="7">
        <v>83</v>
      </c>
      <c r="V31" s="7">
        <v>91</v>
      </c>
    </row>
    <row r="32" spans="2:22" s="24" customFormat="1">
      <c r="B32" s="25" t="s">
        <v>93</v>
      </c>
      <c r="C32" s="25"/>
      <c r="D32" s="25"/>
      <c r="E32" s="26">
        <v>517</v>
      </c>
      <c r="F32" s="27">
        <f>F27+F28+F29+F30+F31</f>
        <v>578.83333333333337</v>
      </c>
      <c r="G32" s="25">
        <f t="shared" si="1"/>
        <v>1607</v>
      </c>
      <c r="H32" s="25">
        <f t="shared" si="2"/>
        <v>1866</v>
      </c>
      <c r="I32" s="25">
        <f t="shared" si="3"/>
        <v>1861</v>
      </c>
      <c r="J32" s="25">
        <f t="shared" si="4"/>
        <v>1701</v>
      </c>
      <c r="K32" s="25">
        <f t="shared" ref="K32:V32" si="5">K27+K28+K29+K30+K31</f>
        <v>445</v>
      </c>
      <c r="L32" s="25">
        <f t="shared" si="5"/>
        <v>583</v>
      </c>
      <c r="M32" s="25">
        <f t="shared" si="5"/>
        <v>579</v>
      </c>
      <c r="N32" s="25">
        <f t="shared" si="5"/>
        <v>619</v>
      </c>
      <c r="O32" s="25">
        <f t="shared" si="5"/>
        <v>637</v>
      </c>
      <c r="P32" s="25">
        <f t="shared" si="5"/>
        <v>610</v>
      </c>
      <c r="Q32" s="25">
        <f t="shared" si="5"/>
        <v>639</v>
      </c>
      <c r="R32" s="25">
        <f t="shared" si="5"/>
        <v>619</v>
      </c>
      <c r="S32" s="25">
        <f t="shared" si="5"/>
        <v>603</v>
      </c>
      <c r="T32" s="25">
        <f t="shared" si="5"/>
        <v>611</v>
      </c>
      <c r="U32" s="25">
        <f t="shared" si="5"/>
        <v>534</v>
      </c>
      <c r="V32" s="25">
        <f t="shared" si="5"/>
        <v>556</v>
      </c>
    </row>
    <row r="33" spans="2:22" s="24" customFormat="1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spans="2:22" s="24" customFormat="1">
      <c r="B34" s="25"/>
      <c r="C34" s="25" t="s">
        <v>92</v>
      </c>
      <c r="D34" s="25"/>
      <c r="E34" s="26" t="s">
        <v>105</v>
      </c>
      <c r="F34" s="26" t="s">
        <v>102</v>
      </c>
      <c r="G34" s="25" t="s">
        <v>5</v>
      </c>
      <c r="H34" s="25" t="s">
        <v>4</v>
      </c>
      <c r="I34" s="25" t="s">
        <v>3</v>
      </c>
      <c r="J34" s="25" t="s">
        <v>2</v>
      </c>
      <c r="K34" s="25">
        <v>1</v>
      </c>
      <c r="L34" s="25">
        <v>2</v>
      </c>
      <c r="M34" s="25">
        <v>3</v>
      </c>
      <c r="N34" s="25">
        <v>4</v>
      </c>
      <c r="O34" s="25">
        <v>5</v>
      </c>
      <c r="P34" s="25">
        <v>6</v>
      </c>
      <c r="Q34" s="25">
        <v>7</v>
      </c>
      <c r="R34" s="25">
        <v>8</v>
      </c>
      <c r="S34" s="25">
        <v>9</v>
      </c>
      <c r="T34" s="25">
        <v>10</v>
      </c>
      <c r="U34" s="25">
        <v>11</v>
      </c>
      <c r="V34" s="25">
        <v>12</v>
      </c>
    </row>
    <row r="35" spans="2:22" s="24" customFormat="1">
      <c r="B35" s="25" t="s">
        <v>42</v>
      </c>
      <c r="C35" s="7"/>
      <c r="D35" s="7"/>
      <c r="E35" s="7">
        <v>8</v>
      </c>
      <c r="F35" s="7">
        <f t="shared" ref="F35:F40" si="6">G35+H35+I35+J35</f>
        <v>8</v>
      </c>
      <c r="G35" s="7">
        <f>K35+L35+M35</f>
        <v>4</v>
      </c>
      <c r="H35" s="7">
        <f>N35+O35+P35</f>
        <v>2</v>
      </c>
      <c r="I35" s="7">
        <f>Q35+R35+S35</f>
        <v>1</v>
      </c>
      <c r="J35" s="7">
        <f>T35+U35+V35</f>
        <v>1</v>
      </c>
      <c r="K35" s="7">
        <v>2</v>
      </c>
      <c r="L35" s="7"/>
      <c r="M35" s="7">
        <v>2</v>
      </c>
      <c r="N35" s="7">
        <v>2</v>
      </c>
      <c r="O35" s="7"/>
      <c r="P35" s="7"/>
      <c r="Q35" s="7">
        <v>1</v>
      </c>
      <c r="R35" s="7"/>
      <c r="S35" s="7"/>
      <c r="T35" s="7"/>
      <c r="U35" s="7"/>
      <c r="V35" s="7">
        <v>1</v>
      </c>
    </row>
    <row r="36" spans="2:22" s="24" customFormat="1">
      <c r="B36" s="25" t="s">
        <v>41</v>
      </c>
      <c r="C36" s="7"/>
      <c r="D36" s="7"/>
      <c r="E36" s="7">
        <v>7</v>
      </c>
      <c r="F36" s="7">
        <f t="shared" si="6"/>
        <v>5</v>
      </c>
      <c r="G36" s="7">
        <f>K36+L36+M36</f>
        <v>2</v>
      </c>
      <c r="H36" s="7">
        <f>N36+O36+P36</f>
        <v>1</v>
      </c>
      <c r="I36" s="7">
        <f>Q36+R36+S36</f>
        <v>2</v>
      </c>
      <c r="J36" s="7">
        <f>T36+U36+V36</f>
        <v>0</v>
      </c>
      <c r="K36" s="7"/>
      <c r="L36" s="7"/>
      <c r="M36" s="7">
        <v>2</v>
      </c>
      <c r="N36" s="7"/>
      <c r="O36" s="7">
        <v>1</v>
      </c>
      <c r="P36" s="7"/>
      <c r="Q36" s="7"/>
      <c r="R36" s="7">
        <v>1</v>
      </c>
      <c r="S36" s="7">
        <v>1</v>
      </c>
      <c r="T36" s="7"/>
      <c r="U36" s="7"/>
      <c r="V36" s="7"/>
    </row>
    <row r="37" spans="2:22" s="24" customFormat="1">
      <c r="B37" s="25" t="s">
        <v>40</v>
      </c>
      <c r="C37" s="7"/>
      <c r="D37" s="7"/>
      <c r="E37" s="7">
        <v>1</v>
      </c>
      <c r="F37" s="7">
        <f t="shared" si="6"/>
        <v>2</v>
      </c>
      <c r="G37" s="7">
        <f>K37+L37+M37</f>
        <v>1</v>
      </c>
      <c r="H37" s="7">
        <f>N37+O37+P37</f>
        <v>0</v>
      </c>
      <c r="I37" s="7">
        <f>Q37+R37+S37</f>
        <v>0</v>
      </c>
      <c r="J37" s="7">
        <f>T37+U37+V37</f>
        <v>1</v>
      </c>
      <c r="K37" s="7"/>
      <c r="L37" s="7"/>
      <c r="M37" s="7">
        <v>1</v>
      </c>
      <c r="N37" s="7"/>
      <c r="O37" s="7"/>
      <c r="P37" s="7"/>
      <c r="Q37" s="7"/>
      <c r="R37" s="7"/>
      <c r="S37" s="7"/>
      <c r="T37" s="7"/>
      <c r="U37" s="7"/>
      <c r="V37" s="7">
        <v>1</v>
      </c>
    </row>
    <row r="38" spans="2:22" s="24" customFormat="1">
      <c r="B38" s="25" t="s">
        <v>39</v>
      </c>
      <c r="C38" s="7"/>
      <c r="D38" s="7"/>
      <c r="E38" s="7">
        <v>0</v>
      </c>
      <c r="F38" s="7">
        <f t="shared" si="6"/>
        <v>4</v>
      </c>
      <c r="G38" s="7">
        <f>K38+L38+M38</f>
        <v>1</v>
      </c>
      <c r="H38" s="7">
        <f>N38+O38+P38</f>
        <v>1</v>
      </c>
      <c r="I38" s="7">
        <f>Q38+R38+S38</f>
        <v>0</v>
      </c>
      <c r="J38" s="7">
        <f>T38+U38+V38</f>
        <v>2</v>
      </c>
      <c r="K38" s="7">
        <v>1</v>
      </c>
      <c r="L38" s="7"/>
      <c r="M38" s="7"/>
      <c r="N38" s="7"/>
      <c r="O38" s="7">
        <v>1</v>
      </c>
      <c r="P38" s="7"/>
      <c r="Q38" s="7"/>
      <c r="R38" s="7"/>
      <c r="S38" s="7"/>
      <c r="T38" s="7">
        <v>1</v>
      </c>
      <c r="U38" s="7"/>
      <c r="V38" s="7">
        <v>1</v>
      </c>
    </row>
    <row r="39" spans="2:22" s="24" customFormat="1">
      <c r="B39" s="25" t="s">
        <v>38</v>
      </c>
      <c r="C39" s="7"/>
      <c r="D39" s="7"/>
      <c r="E39" s="7">
        <v>2</v>
      </c>
      <c r="F39" s="7">
        <f t="shared" si="6"/>
        <v>2</v>
      </c>
      <c r="G39" s="7">
        <f>K39+L39+M39</f>
        <v>0</v>
      </c>
      <c r="H39" s="7">
        <f>N39+O39+P39</f>
        <v>1</v>
      </c>
      <c r="I39" s="7">
        <f>Q39+R39+S39</f>
        <v>0</v>
      </c>
      <c r="J39" s="7">
        <f>T39+U39+V39</f>
        <v>1</v>
      </c>
      <c r="K39" s="7"/>
      <c r="L39" s="7"/>
      <c r="M39" s="7"/>
      <c r="N39" s="7">
        <v>1</v>
      </c>
      <c r="O39" s="7"/>
      <c r="P39" s="7"/>
      <c r="Q39" s="7"/>
      <c r="R39" s="7"/>
      <c r="S39" s="7"/>
      <c r="T39" s="7"/>
      <c r="U39" s="7">
        <v>1</v>
      </c>
      <c r="V39" s="7"/>
    </row>
    <row r="40" spans="2:22" s="24" customFormat="1">
      <c r="B40" s="25" t="s">
        <v>89</v>
      </c>
      <c r="C40" s="25"/>
      <c r="D40" s="25"/>
      <c r="E40" s="25">
        <v>18</v>
      </c>
      <c r="F40" s="25">
        <f t="shared" si="6"/>
        <v>21</v>
      </c>
      <c r="G40" s="25">
        <f>G35+G36+G37+G38+G39</f>
        <v>8</v>
      </c>
      <c r="H40" s="25">
        <f>H35+H36+H37+H38+H39</f>
        <v>5</v>
      </c>
      <c r="I40" s="25">
        <f>I35+I36+I37+I38+I39</f>
        <v>3</v>
      </c>
      <c r="J40" s="25">
        <f>J35+J36+J37+J38+J39</f>
        <v>5</v>
      </c>
      <c r="K40" s="25">
        <f t="shared" ref="K40:V40" si="7">SUM(K35:K39)</f>
        <v>3</v>
      </c>
      <c r="L40" s="25">
        <f t="shared" si="7"/>
        <v>0</v>
      </c>
      <c r="M40" s="25">
        <f t="shared" si="7"/>
        <v>5</v>
      </c>
      <c r="N40" s="25">
        <f t="shared" si="7"/>
        <v>3</v>
      </c>
      <c r="O40" s="25">
        <f t="shared" si="7"/>
        <v>2</v>
      </c>
      <c r="P40" s="25">
        <f t="shared" si="7"/>
        <v>0</v>
      </c>
      <c r="Q40" s="25">
        <f t="shared" si="7"/>
        <v>1</v>
      </c>
      <c r="R40" s="25">
        <f t="shared" si="7"/>
        <v>1</v>
      </c>
      <c r="S40" s="25">
        <f t="shared" si="7"/>
        <v>1</v>
      </c>
      <c r="T40" s="25">
        <f t="shared" si="7"/>
        <v>1</v>
      </c>
      <c r="U40" s="25">
        <f t="shared" si="7"/>
        <v>1</v>
      </c>
      <c r="V40" s="25">
        <f t="shared" si="7"/>
        <v>3</v>
      </c>
    </row>
    <row r="41" spans="2:22">
      <c r="B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</row>
    <row r="42" spans="2:22">
      <c r="B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</row>
    <row r="43" spans="2:22">
      <c r="B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</row>
    <row r="44" spans="2:22">
      <c r="B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</row>
    <row r="45" spans="2:22">
      <c r="B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</row>
    <row r="46" spans="2:22">
      <c r="B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</row>
    <row r="47" spans="2:22">
      <c r="B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</row>
    <row r="48" spans="2:22">
      <c r="B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</row>
    <row r="49" spans="2:22" s="24" customFormat="1" ht="33.75" customHeight="1">
      <c r="B49" s="3"/>
      <c r="C49" s="3" t="s">
        <v>100</v>
      </c>
      <c r="D49" s="3" t="s">
        <v>99</v>
      </c>
      <c r="E49" s="5" t="s">
        <v>104</v>
      </c>
      <c r="F49" s="5" t="s">
        <v>7</v>
      </c>
      <c r="G49" s="3" t="s">
        <v>5</v>
      </c>
      <c r="H49" s="3" t="s">
        <v>4</v>
      </c>
      <c r="I49" s="3" t="s">
        <v>3</v>
      </c>
      <c r="J49" s="3" t="s">
        <v>2</v>
      </c>
      <c r="K49" s="3">
        <v>1</v>
      </c>
      <c r="L49" s="3">
        <v>2</v>
      </c>
      <c r="M49" s="3">
        <v>3</v>
      </c>
      <c r="N49" s="3">
        <v>4</v>
      </c>
      <c r="O49" s="3">
        <v>5</v>
      </c>
      <c r="P49" s="3">
        <v>6</v>
      </c>
      <c r="Q49" s="3">
        <v>7</v>
      </c>
      <c r="R49" s="3">
        <v>8</v>
      </c>
      <c r="S49" s="3">
        <v>9</v>
      </c>
      <c r="T49" s="3">
        <v>10</v>
      </c>
      <c r="U49" s="3">
        <v>11</v>
      </c>
      <c r="V49" s="3">
        <v>12</v>
      </c>
    </row>
    <row r="50" spans="2:22" s="24" customFormat="1">
      <c r="B50" s="3" t="s">
        <v>1</v>
      </c>
      <c r="C50" s="7" t="s">
        <v>98</v>
      </c>
      <c r="D50" s="4" t="s">
        <v>97</v>
      </c>
      <c r="E50" s="4">
        <v>3.0999999999999999E-3</v>
      </c>
      <c r="F50" s="4">
        <f>AVERAGE(G50:J50)</f>
        <v>1.8742287651713982E-3</v>
      </c>
      <c r="G50" s="4">
        <f t="shared" ref="G50:R50" si="8">G66/G58</f>
        <v>1.2406947890818859E-3</v>
      </c>
      <c r="H50" s="4">
        <f t="shared" si="8"/>
        <v>1.756440281030445E-3</v>
      </c>
      <c r="I50" s="4">
        <f t="shared" si="8"/>
        <v>1.10803324099723E-3</v>
      </c>
      <c r="J50" s="4">
        <f t="shared" si="8"/>
        <v>3.3917467495760316E-3</v>
      </c>
      <c r="K50" s="4">
        <f t="shared" si="8"/>
        <v>4.0650406504065045E-3</v>
      </c>
      <c r="L50" s="4">
        <f t="shared" si="8"/>
        <v>0</v>
      </c>
      <c r="M50" s="4">
        <f t="shared" si="8"/>
        <v>0</v>
      </c>
      <c r="N50" s="4">
        <f t="shared" si="8"/>
        <v>1.9157088122605363E-3</v>
      </c>
      <c r="O50" s="4">
        <f t="shared" si="8"/>
        <v>0</v>
      </c>
      <c r="P50" s="4">
        <f t="shared" si="8"/>
        <v>3.472222222222222E-3</v>
      </c>
      <c r="Q50" s="4">
        <f t="shared" si="8"/>
        <v>3.2840722495894909E-3</v>
      </c>
      <c r="R50" s="4">
        <f t="shared" si="8"/>
        <v>0</v>
      </c>
      <c r="S50" s="4">
        <v>0</v>
      </c>
      <c r="T50" s="4">
        <f>T66/T58</f>
        <v>8.291873963515755E-3</v>
      </c>
      <c r="U50" s="4">
        <f>U66/U58</f>
        <v>0</v>
      </c>
      <c r="V50" s="4">
        <f>V66/V58</f>
        <v>1.6891891891891893E-3</v>
      </c>
    </row>
    <row r="51" spans="2:22" s="24" customFormat="1">
      <c r="B51" s="7"/>
      <c r="C51" s="7"/>
      <c r="D51" s="4"/>
      <c r="E51" s="4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</row>
    <row r="52" spans="2:22" s="24" customFormat="1">
      <c r="B52" s="25"/>
      <c r="C52" s="25" t="s">
        <v>96</v>
      </c>
      <c r="D52" s="25"/>
      <c r="E52" s="26" t="s">
        <v>103</v>
      </c>
      <c r="F52" s="26" t="s">
        <v>95</v>
      </c>
      <c r="G52" s="25" t="s">
        <v>5</v>
      </c>
      <c r="H52" s="25" t="s">
        <v>4</v>
      </c>
      <c r="I52" s="25" t="s">
        <v>3</v>
      </c>
      <c r="J52" s="25" t="s">
        <v>2</v>
      </c>
      <c r="K52" s="25">
        <v>1</v>
      </c>
      <c r="L52" s="25">
        <v>2</v>
      </c>
      <c r="M52" s="25">
        <v>3</v>
      </c>
      <c r="N52" s="25">
        <v>4</v>
      </c>
      <c r="O52" s="25">
        <v>5</v>
      </c>
      <c r="P52" s="25">
        <v>6</v>
      </c>
      <c r="Q52" s="25">
        <v>7</v>
      </c>
      <c r="R52" s="25">
        <v>8</v>
      </c>
      <c r="S52" s="25">
        <v>9</v>
      </c>
      <c r="T52" s="25">
        <v>10</v>
      </c>
      <c r="U52" s="25">
        <v>11</v>
      </c>
      <c r="V52" s="25">
        <v>12</v>
      </c>
    </row>
    <row r="53" spans="2:22" s="24" customFormat="1">
      <c r="B53" s="25" t="s">
        <v>42</v>
      </c>
      <c r="C53" s="7"/>
      <c r="D53" s="7"/>
      <c r="E53" s="30">
        <v>118</v>
      </c>
      <c r="F53" s="30">
        <f>AVERAGE(G53:J53)</f>
        <v>234.75</v>
      </c>
      <c r="G53" s="29">
        <f>SUM(K53:M53)</f>
        <v>341</v>
      </c>
      <c r="H53" s="7">
        <f>SUM(N53:P53)</f>
        <v>354</v>
      </c>
      <c r="I53" s="7">
        <f>AVERAGE(Q53:S53)</f>
        <v>125.33333333333333</v>
      </c>
      <c r="J53" s="7">
        <f>AVERAGE(T53:V53)</f>
        <v>118.66666666666667</v>
      </c>
      <c r="K53" s="28">
        <v>106</v>
      </c>
      <c r="L53" s="28">
        <v>116</v>
      </c>
      <c r="M53" s="7">
        <v>119</v>
      </c>
      <c r="N53" s="7">
        <v>109</v>
      </c>
      <c r="O53" s="7">
        <v>122</v>
      </c>
      <c r="P53" s="7">
        <v>123</v>
      </c>
      <c r="Q53" s="7">
        <v>129</v>
      </c>
      <c r="R53" s="7">
        <v>129</v>
      </c>
      <c r="S53" s="7">
        <v>118</v>
      </c>
      <c r="T53" s="7">
        <v>118</v>
      </c>
      <c r="U53" s="7">
        <v>120</v>
      </c>
      <c r="V53" s="7">
        <v>118</v>
      </c>
    </row>
    <row r="54" spans="2:22" s="24" customFormat="1">
      <c r="B54" s="25" t="s">
        <v>41</v>
      </c>
      <c r="C54" s="7"/>
      <c r="D54" s="7"/>
      <c r="E54" s="30">
        <v>121</v>
      </c>
      <c r="F54" s="30">
        <f>AVERAGE(G54:J54)</f>
        <v>233.16666666666666</v>
      </c>
      <c r="G54" s="29">
        <f>SUM(K54:M54)</f>
        <v>329</v>
      </c>
      <c r="H54" s="7">
        <f>SUM(N54:P54)</f>
        <v>357</v>
      </c>
      <c r="I54" s="7">
        <f>AVERAGE(Q54:S54)</f>
        <v>125</v>
      </c>
      <c r="J54" s="7">
        <f>AVERAGE(T54:V54)</f>
        <v>121.66666666666667</v>
      </c>
      <c r="K54" s="28">
        <v>98</v>
      </c>
      <c r="L54" s="28">
        <v>111</v>
      </c>
      <c r="M54" s="7">
        <v>120</v>
      </c>
      <c r="N54" s="7">
        <v>114</v>
      </c>
      <c r="O54" s="7">
        <v>127</v>
      </c>
      <c r="P54" s="7">
        <v>116</v>
      </c>
      <c r="Q54" s="7">
        <v>126</v>
      </c>
      <c r="R54" s="7">
        <v>123</v>
      </c>
      <c r="S54" s="7">
        <v>126</v>
      </c>
      <c r="T54" s="7">
        <v>126</v>
      </c>
      <c r="U54" s="7">
        <v>124</v>
      </c>
      <c r="V54" s="7">
        <v>115</v>
      </c>
    </row>
    <row r="55" spans="2:22" s="24" customFormat="1">
      <c r="B55" s="25" t="s">
        <v>40</v>
      </c>
      <c r="C55" s="7"/>
      <c r="D55" s="7"/>
      <c r="E55" s="30">
        <v>126</v>
      </c>
      <c r="F55" s="30">
        <f>AVERAGE(G55:J55)</f>
        <v>249.91666666666669</v>
      </c>
      <c r="G55" s="29">
        <f>SUM(K55:M55)</f>
        <v>363</v>
      </c>
      <c r="H55" s="7">
        <f>SUM(N55:P55)</f>
        <v>372</v>
      </c>
      <c r="I55" s="7">
        <f>AVERAGE(Q55:S55)</f>
        <v>132.33333333333334</v>
      </c>
      <c r="J55" s="7">
        <f>AVERAGE(T55:V55)</f>
        <v>132.33333333333334</v>
      </c>
      <c r="K55" s="28">
        <v>111</v>
      </c>
      <c r="L55" s="28">
        <v>120</v>
      </c>
      <c r="M55" s="7">
        <v>132</v>
      </c>
      <c r="N55" s="7">
        <v>118</v>
      </c>
      <c r="O55" s="7">
        <v>124</v>
      </c>
      <c r="P55" s="7">
        <v>130</v>
      </c>
      <c r="Q55" s="7">
        <v>137</v>
      </c>
      <c r="R55" s="7">
        <v>130</v>
      </c>
      <c r="S55" s="7">
        <v>130</v>
      </c>
      <c r="T55" s="7">
        <v>135</v>
      </c>
      <c r="U55" s="7">
        <v>129</v>
      </c>
      <c r="V55" s="7">
        <v>133</v>
      </c>
    </row>
    <row r="56" spans="2:22" s="24" customFormat="1">
      <c r="B56" s="25" t="s">
        <v>39</v>
      </c>
      <c r="C56" s="7"/>
      <c r="D56" s="7"/>
      <c r="E56" s="30">
        <v>117</v>
      </c>
      <c r="F56" s="30">
        <f>AVERAGE(G56:J56)</f>
        <v>242.5</v>
      </c>
      <c r="G56" s="29">
        <f>SUM(K56:M56)</f>
        <v>353</v>
      </c>
      <c r="H56" s="7">
        <f>SUM(N56:P56)</f>
        <v>369</v>
      </c>
      <c r="I56" s="7">
        <f>AVERAGE(Q56:S56)</f>
        <v>126.33333333333333</v>
      </c>
      <c r="J56" s="7">
        <f>AVERAGE(T56:V56)</f>
        <v>121.66666666666667</v>
      </c>
      <c r="K56" s="28">
        <v>104</v>
      </c>
      <c r="L56" s="28">
        <v>116</v>
      </c>
      <c r="M56" s="7">
        <v>133</v>
      </c>
      <c r="N56" s="7">
        <v>118</v>
      </c>
      <c r="O56" s="7">
        <v>135</v>
      </c>
      <c r="P56" s="7">
        <v>116</v>
      </c>
      <c r="Q56" s="7">
        <v>124</v>
      </c>
      <c r="R56" s="7">
        <v>137</v>
      </c>
      <c r="S56" s="7">
        <v>118</v>
      </c>
      <c r="T56" s="7">
        <v>117</v>
      </c>
      <c r="U56" s="7">
        <v>117</v>
      </c>
      <c r="V56" s="7">
        <v>131</v>
      </c>
    </row>
    <row r="57" spans="2:22" s="24" customFormat="1">
      <c r="B57" s="25" t="s">
        <v>38</v>
      </c>
      <c r="C57" s="7"/>
      <c r="D57" s="7"/>
      <c r="E57" s="30">
        <v>97</v>
      </c>
      <c r="F57" s="30">
        <f>AVERAGE(G57:J57)</f>
        <v>167.5</v>
      </c>
      <c r="G57" s="29">
        <f>SUM(K57:M57)</f>
        <v>226</v>
      </c>
      <c r="H57" s="7">
        <f>SUM(N57:P57)</f>
        <v>256</v>
      </c>
      <c r="I57" s="7">
        <f>AVERAGE(Q57:S57)</f>
        <v>92.666666666666671</v>
      </c>
      <c r="J57" s="7">
        <f>AVERAGE(T57:V57)</f>
        <v>95.333333333333329</v>
      </c>
      <c r="K57" s="28">
        <v>73</v>
      </c>
      <c r="L57" s="28">
        <v>62</v>
      </c>
      <c r="M57" s="7">
        <v>91</v>
      </c>
      <c r="N57" s="7">
        <v>63</v>
      </c>
      <c r="O57" s="7">
        <v>102</v>
      </c>
      <c r="P57" s="7">
        <v>91</v>
      </c>
      <c r="Q57" s="7">
        <v>93</v>
      </c>
      <c r="R57" s="7">
        <v>96</v>
      </c>
      <c r="S57" s="7">
        <v>89</v>
      </c>
      <c r="T57" s="7">
        <v>107</v>
      </c>
      <c r="U57" s="7">
        <v>84</v>
      </c>
      <c r="V57" s="7">
        <v>95</v>
      </c>
    </row>
    <row r="58" spans="2:22" s="24" customFormat="1">
      <c r="B58" s="25" t="s">
        <v>93</v>
      </c>
      <c r="C58" s="25"/>
      <c r="D58" s="25"/>
      <c r="E58" s="27">
        <f>SUM(E53:E57)</f>
        <v>579</v>
      </c>
      <c r="F58" s="27">
        <f>SUM(F53:F57)</f>
        <v>1127.8333333333333</v>
      </c>
      <c r="G58" s="25">
        <f>K58+L58+M58</f>
        <v>1612</v>
      </c>
      <c r="H58" s="25">
        <f>N58+O58+P58</f>
        <v>1708</v>
      </c>
      <c r="I58" s="25">
        <f>Q58+R58+S58</f>
        <v>1805</v>
      </c>
      <c r="J58" s="25">
        <f>T58+U58+V58</f>
        <v>1769</v>
      </c>
      <c r="K58" s="25">
        <f t="shared" ref="K58:V58" si="9">K53+K54+K55+K56+K57</f>
        <v>492</v>
      </c>
      <c r="L58" s="25">
        <f t="shared" si="9"/>
        <v>525</v>
      </c>
      <c r="M58" s="25">
        <f t="shared" si="9"/>
        <v>595</v>
      </c>
      <c r="N58" s="25">
        <f t="shared" si="9"/>
        <v>522</v>
      </c>
      <c r="O58" s="25">
        <f t="shared" si="9"/>
        <v>610</v>
      </c>
      <c r="P58" s="25">
        <f t="shared" si="9"/>
        <v>576</v>
      </c>
      <c r="Q58" s="25">
        <f t="shared" si="9"/>
        <v>609</v>
      </c>
      <c r="R58" s="25">
        <f t="shared" si="9"/>
        <v>615</v>
      </c>
      <c r="S58" s="25">
        <f t="shared" si="9"/>
        <v>581</v>
      </c>
      <c r="T58" s="25">
        <f t="shared" si="9"/>
        <v>603</v>
      </c>
      <c r="U58" s="25">
        <f t="shared" si="9"/>
        <v>574</v>
      </c>
      <c r="V58" s="25">
        <f t="shared" si="9"/>
        <v>592</v>
      </c>
    </row>
    <row r="59" spans="2:22" s="24" customFormat="1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</row>
    <row r="60" spans="2:22" s="24" customFormat="1">
      <c r="B60" s="25"/>
      <c r="C60" s="25" t="s">
        <v>92</v>
      </c>
      <c r="D60" s="25"/>
      <c r="E60" s="26" t="s">
        <v>102</v>
      </c>
      <c r="F60" s="26" t="s">
        <v>91</v>
      </c>
      <c r="G60" s="25" t="s">
        <v>5</v>
      </c>
      <c r="H60" s="25" t="s">
        <v>4</v>
      </c>
      <c r="I60" s="25" t="s">
        <v>3</v>
      </c>
      <c r="J60" s="25" t="s">
        <v>2</v>
      </c>
      <c r="K60" s="25">
        <v>1</v>
      </c>
      <c r="L60" s="25">
        <v>2</v>
      </c>
      <c r="M60" s="25">
        <v>3</v>
      </c>
      <c r="N60" s="25">
        <v>4</v>
      </c>
      <c r="O60" s="25">
        <v>5</v>
      </c>
      <c r="P60" s="25">
        <v>6</v>
      </c>
      <c r="Q60" s="25">
        <v>7</v>
      </c>
      <c r="R60" s="25">
        <v>8</v>
      </c>
      <c r="S60" s="25">
        <v>9</v>
      </c>
      <c r="T60" s="25">
        <v>10</v>
      </c>
      <c r="U60" s="25">
        <v>11</v>
      </c>
      <c r="V60" s="25">
        <v>12</v>
      </c>
    </row>
    <row r="61" spans="2:22" s="24" customFormat="1">
      <c r="B61" s="25" t="s">
        <v>42</v>
      </c>
      <c r="C61" s="7"/>
      <c r="D61" s="7"/>
      <c r="E61" s="7">
        <v>8</v>
      </c>
      <c r="F61" s="7">
        <f t="shared" ref="F61:F66" si="10">SUM(G61:J61)</f>
        <v>5</v>
      </c>
      <c r="G61" s="7">
        <f>SUM(K61:M61)</f>
        <v>1</v>
      </c>
      <c r="H61" s="7">
        <f>SUM(N61:P61)</f>
        <v>1</v>
      </c>
      <c r="I61" s="7">
        <f>SUM(Q61:S61)</f>
        <v>0</v>
      </c>
      <c r="J61" s="7">
        <f>SUM(T61:V61)</f>
        <v>3</v>
      </c>
      <c r="K61" s="7">
        <v>1</v>
      </c>
      <c r="L61" s="7"/>
      <c r="M61" s="7"/>
      <c r="N61" s="7"/>
      <c r="O61" s="7"/>
      <c r="P61" s="7">
        <v>1</v>
      </c>
      <c r="Q61" s="7"/>
      <c r="R61" s="7"/>
      <c r="S61" s="7"/>
      <c r="T61" s="7">
        <v>3</v>
      </c>
      <c r="U61" s="7"/>
      <c r="V61" s="7"/>
    </row>
    <row r="62" spans="2:22" s="24" customFormat="1">
      <c r="B62" s="25" t="s">
        <v>41</v>
      </c>
      <c r="C62" s="7"/>
      <c r="D62" s="7"/>
      <c r="E62" s="7">
        <v>5</v>
      </c>
      <c r="F62" s="7">
        <f t="shared" si="10"/>
        <v>2</v>
      </c>
      <c r="G62" s="7">
        <f>SUM(K62:M62)</f>
        <v>0</v>
      </c>
      <c r="H62" s="7">
        <f>SUM(N62:P62)</f>
        <v>1</v>
      </c>
      <c r="I62" s="7">
        <f>SUM(Q62:S62)</f>
        <v>0</v>
      </c>
      <c r="J62" s="7">
        <f>SUM(T62:V62)</f>
        <v>1</v>
      </c>
      <c r="K62" s="7"/>
      <c r="L62" s="7"/>
      <c r="M62" s="7"/>
      <c r="N62" s="7"/>
      <c r="O62" s="7"/>
      <c r="P62" s="7">
        <v>1</v>
      </c>
      <c r="Q62" s="7"/>
      <c r="R62" s="7"/>
      <c r="S62" s="7"/>
      <c r="T62" s="7">
        <v>1</v>
      </c>
      <c r="U62" s="7"/>
      <c r="V62" s="7"/>
    </row>
    <row r="63" spans="2:22" s="24" customFormat="1">
      <c r="B63" s="25" t="s">
        <v>40</v>
      </c>
      <c r="C63" s="7"/>
      <c r="D63" s="7"/>
      <c r="E63" s="7">
        <v>2</v>
      </c>
      <c r="F63" s="7">
        <f t="shared" si="10"/>
        <v>2</v>
      </c>
      <c r="G63" s="7">
        <f>SUM(K63:M63)</f>
        <v>1</v>
      </c>
      <c r="H63" s="7">
        <f>SUM(N63:P63)</f>
        <v>0</v>
      </c>
      <c r="I63" s="7">
        <f>SUM(Q63:S63)</f>
        <v>0</v>
      </c>
      <c r="J63" s="7">
        <f>SUM(T63:V63)</f>
        <v>1</v>
      </c>
      <c r="K63" s="7">
        <v>1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>
        <v>1</v>
      </c>
    </row>
    <row r="64" spans="2:22" s="24" customFormat="1">
      <c r="B64" s="25" t="s">
        <v>39</v>
      </c>
      <c r="C64" s="7"/>
      <c r="D64" s="7"/>
      <c r="E64" s="7">
        <v>4</v>
      </c>
      <c r="F64" s="7">
        <f t="shared" si="10"/>
        <v>1</v>
      </c>
      <c r="G64" s="7">
        <f>SUM(K64:M64)</f>
        <v>0</v>
      </c>
      <c r="H64" s="7">
        <f>SUM(N64:P64)</f>
        <v>0</v>
      </c>
      <c r="I64" s="7">
        <f>SUM(Q64:S64)</f>
        <v>0</v>
      </c>
      <c r="J64" s="7">
        <f>SUM(T64:V64)</f>
        <v>1</v>
      </c>
      <c r="K64" s="7"/>
      <c r="L64" s="7"/>
      <c r="M64" s="7"/>
      <c r="N64" s="7"/>
      <c r="O64" s="7"/>
      <c r="P64" s="7"/>
      <c r="Q64" s="7"/>
      <c r="R64" s="7"/>
      <c r="S64" s="7"/>
      <c r="T64" s="7">
        <v>1</v>
      </c>
      <c r="U64" s="7"/>
      <c r="V64" s="7"/>
    </row>
    <row r="65" spans="2:22" s="24" customFormat="1">
      <c r="B65" s="25" t="s">
        <v>38</v>
      </c>
      <c r="C65" s="7"/>
      <c r="D65" s="7"/>
      <c r="E65" s="7">
        <v>2</v>
      </c>
      <c r="F65" s="7">
        <f t="shared" si="10"/>
        <v>3</v>
      </c>
      <c r="G65" s="7">
        <f>SUM(K65:M65)</f>
        <v>0</v>
      </c>
      <c r="H65" s="7">
        <f>SUM(N65:P65)</f>
        <v>1</v>
      </c>
      <c r="I65" s="7">
        <f>SUM(Q65:S65)</f>
        <v>2</v>
      </c>
      <c r="J65" s="7">
        <f>SUM(T65:V65)</f>
        <v>0</v>
      </c>
      <c r="K65" s="7"/>
      <c r="L65" s="7"/>
      <c r="M65" s="7"/>
      <c r="N65" s="7">
        <v>1</v>
      </c>
      <c r="O65" s="7"/>
      <c r="P65" s="7"/>
      <c r="Q65" s="7">
        <v>2</v>
      </c>
      <c r="R65" s="7">
        <v>0</v>
      </c>
      <c r="S65" s="7"/>
      <c r="T65" s="7"/>
      <c r="U65" s="7"/>
      <c r="V65" s="7"/>
    </row>
    <row r="66" spans="2:22" s="24" customFormat="1">
      <c r="B66" s="25" t="s">
        <v>89</v>
      </c>
      <c r="C66" s="25"/>
      <c r="D66" s="25"/>
      <c r="E66" s="25">
        <f>SUM(E61:E65)</f>
        <v>21</v>
      </c>
      <c r="F66" s="25">
        <f t="shared" si="10"/>
        <v>13</v>
      </c>
      <c r="G66" s="25">
        <f>G61+G62+G63+G64+G65</f>
        <v>2</v>
      </c>
      <c r="H66" s="25">
        <f>H61+H62+H63+H64+H65</f>
        <v>3</v>
      </c>
      <c r="I66" s="25">
        <f>I61+I62+I63+I64+I65</f>
        <v>2</v>
      </c>
      <c r="J66" s="25">
        <f>J61+J62+J63+J64+J65</f>
        <v>6</v>
      </c>
      <c r="K66" s="25">
        <f t="shared" ref="K66:V66" si="11">SUM(K61:K65)</f>
        <v>2</v>
      </c>
      <c r="L66" s="25">
        <f t="shared" si="11"/>
        <v>0</v>
      </c>
      <c r="M66" s="25">
        <f t="shared" si="11"/>
        <v>0</v>
      </c>
      <c r="N66" s="25">
        <f t="shared" si="11"/>
        <v>1</v>
      </c>
      <c r="O66" s="25">
        <f t="shared" si="11"/>
        <v>0</v>
      </c>
      <c r="P66" s="25">
        <f t="shared" si="11"/>
        <v>2</v>
      </c>
      <c r="Q66" s="25">
        <f t="shared" si="11"/>
        <v>2</v>
      </c>
      <c r="R66" s="25">
        <f t="shared" si="11"/>
        <v>0</v>
      </c>
      <c r="S66" s="25">
        <f t="shared" si="11"/>
        <v>0</v>
      </c>
      <c r="T66" s="25">
        <f t="shared" si="11"/>
        <v>5</v>
      </c>
      <c r="U66" s="25">
        <f t="shared" si="11"/>
        <v>0</v>
      </c>
      <c r="V66" s="25">
        <f t="shared" si="11"/>
        <v>1</v>
      </c>
    </row>
    <row r="67" spans="2:22">
      <c r="B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</row>
    <row r="68" spans="2:22">
      <c r="B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</row>
    <row r="69" spans="2:22">
      <c r="B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</row>
    <row r="70" spans="2:22">
      <c r="B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</row>
    <row r="71" spans="2:22">
      <c r="B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</row>
    <row r="72" spans="2:22">
      <c r="B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</row>
    <row r="73" spans="2:22">
      <c r="B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</row>
    <row r="74" spans="2:22">
      <c r="B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</row>
    <row r="75" spans="2:22">
      <c r="B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</row>
    <row r="76" spans="2:22">
      <c r="C76" s="1"/>
    </row>
    <row r="77" spans="2:22">
      <c r="B77" s="3" t="s">
        <v>101</v>
      </c>
      <c r="C77" s="3" t="s">
        <v>100</v>
      </c>
      <c r="D77" s="3" t="s">
        <v>99</v>
      </c>
      <c r="E77" s="5" t="s">
        <v>7</v>
      </c>
      <c r="F77" s="5" t="s">
        <v>6</v>
      </c>
      <c r="G77" s="3" t="s">
        <v>5</v>
      </c>
      <c r="H77" s="3" t="s">
        <v>4</v>
      </c>
      <c r="I77" s="3" t="s">
        <v>3</v>
      </c>
      <c r="J77" s="3" t="s">
        <v>2</v>
      </c>
      <c r="K77" s="3">
        <v>1</v>
      </c>
      <c r="L77" s="3">
        <v>2</v>
      </c>
      <c r="M77" s="3">
        <v>3</v>
      </c>
      <c r="N77" s="3">
        <v>4</v>
      </c>
      <c r="O77" s="3">
        <v>5</v>
      </c>
      <c r="P77" s="3">
        <v>6</v>
      </c>
      <c r="Q77" s="3">
        <v>7</v>
      </c>
      <c r="R77" s="3">
        <v>8</v>
      </c>
      <c r="S77" s="3">
        <v>9</v>
      </c>
      <c r="T77" s="3">
        <v>10</v>
      </c>
      <c r="U77" s="3">
        <v>11</v>
      </c>
      <c r="V77" s="3">
        <v>12</v>
      </c>
    </row>
    <row r="78" spans="2:22">
      <c r="B78" s="3" t="s">
        <v>1</v>
      </c>
      <c r="C78" s="7" t="s">
        <v>98</v>
      </c>
      <c r="D78" s="4" t="s">
        <v>97</v>
      </c>
      <c r="E78" s="4">
        <v>3.0999999999999999E-3</v>
      </c>
      <c r="F78" s="4">
        <f>AVERAGE(G78:J78)</f>
        <v>8.5227199585443812E-4</v>
      </c>
      <c r="G78" s="4">
        <f t="shared" ref="G78:N78" si="12">G94/G86</f>
        <v>5.9988002399520091E-4</v>
      </c>
      <c r="H78" s="4">
        <f t="shared" si="12"/>
        <v>2.2727272727272726E-3</v>
      </c>
      <c r="I78" s="4">
        <f t="shared" si="12"/>
        <v>5.3648068669527897E-4</v>
      </c>
      <c r="J78" s="4">
        <f t="shared" si="12"/>
        <v>0</v>
      </c>
      <c r="K78" s="4">
        <f t="shared" si="12"/>
        <v>0</v>
      </c>
      <c r="L78" s="4">
        <f t="shared" si="12"/>
        <v>1.8214936247723133E-3</v>
      </c>
      <c r="M78" s="4">
        <f t="shared" si="12"/>
        <v>0</v>
      </c>
      <c r="N78" s="4">
        <f t="shared" si="12"/>
        <v>0</v>
      </c>
      <c r="O78" s="4">
        <v>0</v>
      </c>
      <c r="P78" s="4">
        <f>P94/P86</f>
        <v>7.1174377224199285E-3</v>
      </c>
      <c r="Q78" s="4">
        <f>Q94/Q86</f>
        <v>0</v>
      </c>
      <c r="R78" s="4">
        <f>R94/R86</f>
        <v>1.697792869269949E-3</v>
      </c>
      <c r="S78" s="4">
        <v>0</v>
      </c>
      <c r="T78" s="4">
        <f>T94/T86</f>
        <v>0</v>
      </c>
      <c r="U78" s="4" t="e">
        <f>U94/U86</f>
        <v>#DIV/0!</v>
      </c>
      <c r="V78" s="4" t="e">
        <f>V94/V86</f>
        <v>#DIV/0!</v>
      </c>
    </row>
    <row r="79" spans="2:22">
      <c r="B79" s="7"/>
      <c r="C79" s="7"/>
      <c r="D79" s="4"/>
      <c r="E79" s="4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</row>
    <row r="80" spans="2:22">
      <c r="B80" s="25"/>
      <c r="C80" s="25" t="s">
        <v>96</v>
      </c>
      <c r="D80" s="25"/>
      <c r="E80" s="26" t="s">
        <v>95</v>
      </c>
      <c r="F80" s="26" t="s">
        <v>94</v>
      </c>
      <c r="G80" s="25" t="s">
        <v>5</v>
      </c>
      <c r="H80" s="25" t="s">
        <v>4</v>
      </c>
      <c r="I80" s="25" t="s">
        <v>3</v>
      </c>
      <c r="J80" s="25" t="s">
        <v>2</v>
      </c>
      <c r="K80" s="25">
        <v>1</v>
      </c>
      <c r="L80" s="25">
        <v>2</v>
      </c>
      <c r="M80" s="25">
        <v>3</v>
      </c>
      <c r="N80" s="25">
        <v>4</v>
      </c>
      <c r="O80" s="25">
        <v>5</v>
      </c>
      <c r="P80" s="25">
        <v>6</v>
      </c>
      <c r="Q80" s="25">
        <v>7</v>
      </c>
      <c r="R80" s="25">
        <v>8</v>
      </c>
      <c r="S80" s="25">
        <v>9</v>
      </c>
      <c r="T80" s="25">
        <v>10</v>
      </c>
      <c r="U80" s="25">
        <v>11</v>
      </c>
      <c r="V80" s="25">
        <v>12</v>
      </c>
    </row>
    <row r="81" spans="2:22">
      <c r="B81" s="25" t="s">
        <v>42</v>
      </c>
      <c r="C81" s="7"/>
      <c r="D81" s="7"/>
      <c r="E81" s="30">
        <v>235</v>
      </c>
      <c r="F81" s="30">
        <f>AVERAGE(G81:J81)</f>
        <v>298.5</v>
      </c>
      <c r="G81" s="29">
        <f>SUM(K81:M81)</f>
        <v>329</v>
      </c>
      <c r="H81" s="7">
        <f>SUM(N81:P81)</f>
        <v>360</v>
      </c>
      <c r="I81" s="7">
        <f>SUM(Q81:S81)</f>
        <v>386</v>
      </c>
      <c r="J81" s="7">
        <f>AVERAGE(T81:V81)</f>
        <v>119</v>
      </c>
      <c r="K81" s="28">
        <v>110</v>
      </c>
      <c r="L81" s="28">
        <v>105</v>
      </c>
      <c r="M81" s="7">
        <v>114</v>
      </c>
      <c r="N81" s="7">
        <v>131</v>
      </c>
      <c r="O81" s="7">
        <v>118</v>
      </c>
      <c r="P81" s="7">
        <v>111</v>
      </c>
      <c r="Q81" s="7">
        <v>136</v>
      </c>
      <c r="R81" s="7">
        <v>121</v>
      </c>
      <c r="S81" s="7">
        <v>129</v>
      </c>
      <c r="T81" s="7">
        <v>119</v>
      </c>
      <c r="U81" s="7"/>
      <c r="V81" s="7"/>
    </row>
    <row r="82" spans="2:22">
      <c r="B82" s="25" t="s">
        <v>41</v>
      </c>
      <c r="C82" s="7"/>
      <c r="D82" s="7"/>
      <c r="E82" s="30">
        <v>233</v>
      </c>
      <c r="F82" s="30">
        <f>AVERAGE(G82:J82)</f>
        <v>299.25</v>
      </c>
      <c r="G82" s="29">
        <f>SUM(K82:M82)</f>
        <v>333</v>
      </c>
      <c r="H82" s="7">
        <f>SUM(N82:P82)</f>
        <v>360</v>
      </c>
      <c r="I82" s="7">
        <f>SUM(Q82:S82)</f>
        <v>382</v>
      </c>
      <c r="J82" s="7">
        <f>AVERAGE(T82:V82)</f>
        <v>122</v>
      </c>
      <c r="K82" s="28">
        <v>107</v>
      </c>
      <c r="L82" s="28">
        <v>106</v>
      </c>
      <c r="M82" s="7">
        <v>120</v>
      </c>
      <c r="N82" s="7">
        <v>123</v>
      </c>
      <c r="O82" s="7">
        <v>123</v>
      </c>
      <c r="P82" s="7">
        <v>114</v>
      </c>
      <c r="Q82" s="7">
        <v>128</v>
      </c>
      <c r="R82" s="7">
        <v>125</v>
      </c>
      <c r="S82" s="7">
        <v>129</v>
      </c>
      <c r="T82" s="7">
        <v>122</v>
      </c>
      <c r="U82" s="7"/>
      <c r="V82" s="7"/>
    </row>
    <row r="83" spans="2:22">
      <c r="B83" s="25" t="s">
        <v>40</v>
      </c>
      <c r="C83" s="7"/>
      <c r="D83" s="7"/>
      <c r="E83" s="30">
        <v>250</v>
      </c>
      <c r="F83" s="30">
        <f>AVERAGE(G83:J83)</f>
        <v>323</v>
      </c>
      <c r="G83" s="29">
        <f>SUM(K83:M83)</f>
        <v>380</v>
      </c>
      <c r="H83" s="7">
        <f>SUM(N83:P83)</f>
        <v>391</v>
      </c>
      <c r="I83" s="7">
        <f>SUM(Q83:S83)</f>
        <v>394</v>
      </c>
      <c r="J83" s="7">
        <f>AVERAGE(T83:V83)</f>
        <v>127</v>
      </c>
      <c r="K83" s="28">
        <v>120</v>
      </c>
      <c r="L83" s="28">
        <v>127</v>
      </c>
      <c r="M83" s="7">
        <v>133</v>
      </c>
      <c r="N83" s="7">
        <v>133</v>
      </c>
      <c r="O83" s="7">
        <v>134</v>
      </c>
      <c r="P83" s="7">
        <v>124</v>
      </c>
      <c r="Q83" s="7">
        <v>135</v>
      </c>
      <c r="R83" s="7">
        <v>127</v>
      </c>
      <c r="S83" s="7">
        <v>132</v>
      </c>
      <c r="T83" s="7">
        <v>127</v>
      </c>
      <c r="U83" s="7"/>
      <c r="V83" s="7"/>
    </row>
    <row r="84" spans="2:22">
      <c r="B84" s="25" t="s">
        <v>39</v>
      </c>
      <c r="C84" s="7"/>
      <c r="D84" s="7"/>
      <c r="E84" s="30">
        <v>243</v>
      </c>
      <c r="F84" s="30">
        <f>AVERAGE(G84:J84)</f>
        <v>301</v>
      </c>
      <c r="G84" s="29">
        <f>SUM(K84:M84)</f>
        <v>353</v>
      </c>
      <c r="H84" s="7">
        <f>SUM(N84:P84)</f>
        <v>349</v>
      </c>
      <c r="I84" s="7">
        <f>SUM(Q84:S84)</f>
        <v>372</v>
      </c>
      <c r="J84" s="7">
        <f>AVERAGE(T84:V84)</f>
        <v>130</v>
      </c>
      <c r="K84" s="28">
        <v>111</v>
      </c>
      <c r="L84" s="28">
        <v>120</v>
      </c>
      <c r="M84" s="7">
        <v>122</v>
      </c>
      <c r="N84" s="7">
        <v>114</v>
      </c>
      <c r="O84" s="7">
        <v>119</v>
      </c>
      <c r="P84" s="7">
        <v>116</v>
      </c>
      <c r="Q84" s="7">
        <v>125</v>
      </c>
      <c r="R84" s="7">
        <v>121</v>
      </c>
      <c r="S84" s="7">
        <v>126</v>
      </c>
      <c r="T84" s="7">
        <v>130</v>
      </c>
      <c r="U84" s="7"/>
      <c r="V84" s="7"/>
    </row>
    <row r="85" spans="2:22">
      <c r="B85" s="25" t="s">
        <v>38</v>
      </c>
      <c r="C85" s="7"/>
      <c r="D85" s="7"/>
      <c r="E85" s="30">
        <v>168</v>
      </c>
      <c r="F85" s="30">
        <f>AVERAGE(G85:J85)</f>
        <v>243.5</v>
      </c>
      <c r="G85" s="29">
        <f>SUM(K85:M85)</f>
        <v>272</v>
      </c>
      <c r="H85" s="7">
        <f>SUM(N85:P85)</f>
        <v>300</v>
      </c>
      <c r="I85" s="7">
        <f>SUM(Q85:S85)</f>
        <v>330</v>
      </c>
      <c r="J85" s="7">
        <f>AVERAGE(T85:V85)</f>
        <v>72</v>
      </c>
      <c r="K85" s="28">
        <v>87</v>
      </c>
      <c r="L85" s="28">
        <v>91</v>
      </c>
      <c r="M85" s="7">
        <v>94</v>
      </c>
      <c r="N85" s="7">
        <v>100</v>
      </c>
      <c r="O85" s="7">
        <v>103</v>
      </c>
      <c r="P85" s="7">
        <v>97</v>
      </c>
      <c r="Q85" s="7">
        <v>114</v>
      </c>
      <c r="R85" s="7">
        <v>95</v>
      </c>
      <c r="S85" s="7">
        <v>121</v>
      </c>
      <c r="T85" s="7">
        <v>72</v>
      </c>
      <c r="U85" s="7"/>
      <c r="V85" s="7"/>
    </row>
    <row r="86" spans="2:22">
      <c r="B86" s="25" t="s">
        <v>93</v>
      </c>
      <c r="C86" s="25"/>
      <c r="D86" s="25"/>
      <c r="E86" s="27">
        <f>SUM(E81:E85)</f>
        <v>1129</v>
      </c>
      <c r="F86" s="27">
        <f>SUM(F81:F85)</f>
        <v>1465.25</v>
      </c>
      <c r="G86" s="25">
        <f>K86+L86+M86</f>
        <v>1667</v>
      </c>
      <c r="H86" s="25">
        <f>N86+O86+P86</f>
        <v>1760</v>
      </c>
      <c r="I86" s="25">
        <f>Q86+R86+S86</f>
        <v>1864</v>
      </c>
      <c r="J86" s="25">
        <f>T86+U86+V86</f>
        <v>570</v>
      </c>
      <c r="K86" s="25">
        <f t="shared" ref="K86:V86" si="13">K81+K82+K83+K84+K85</f>
        <v>535</v>
      </c>
      <c r="L86" s="25">
        <f t="shared" si="13"/>
        <v>549</v>
      </c>
      <c r="M86" s="25">
        <f t="shared" si="13"/>
        <v>583</v>
      </c>
      <c r="N86" s="25">
        <f t="shared" si="13"/>
        <v>601</v>
      </c>
      <c r="O86" s="25">
        <f t="shared" si="13"/>
        <v>597</v>
      </c>
      <c r="P86" s="25">
        <f t="shared" si="13"/>
        <v>562</v>
      </c>
      <c r="Q86" s="25">
        <f t="shared" si="13"/>
        <v>638</v>
      </c>
      <c r="R86" s="25">
        <f t="shared" si="13"/>
        <v>589</v>
      </c>
      <c r="S86" s="25">
        <f t="shared" si="13"/>
        <v>637</v>
      </c>
      <c r="T86" s="25">
        <f t="shared" si="13"/>
        <v>570</v>
      </c>
      <c r="U86" s="25">
        <f t="shared" si="13"/>
        <v>0</v>
      </c>
      <c r="V86" s="25">
        <f t="shared" si="13"/>
        <v>0</v>
      </c>
    </row>
    <row r="87" spans="2:22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</row>
    <row r="88" spans="2:22">
      <c r="B88" s="25"/>
      <c r="C88" s="25" t="s">
        <v>92</v>
      </c>
      <c r="D88" s="25"/>
      <c r="E88" s="26" t="s">
        <v>91</v>
      </c>
      <c r="F88" s="26" t="s">
        <v>90</v>
      </c>
      <c r="G88" s="25" t="s">
        <v>5</v>
      </c>
      <c r="H88" s="25" t="s">
        <v>4</v>
      </c>
      <c r="I88" s="25" t="s">
        <v>3</v>
      </c>
      <c r="J88" s="25" t="s">
        <v>2</v>
      </c>
      <c r="K88" s="25">
        <v>1</v>
      </c>
      <c r="L88" s="25">
        <v>2</v>
      </c>
      <c r="M88" s="25">
        <v>3</v>
      </c>
      <c r="N88" s="25">
        <v>4</v>
      </c>
      <c r="O88" s="25">
        <v>5</v>
      </c>
      <c r="P88" s="25">
        <v>6</v>
      </c>
      <c r="Q88" s="25">
        <v>7</v>
      </c>
      <c r="R88" s="25">
        <v>8</v>
      </c>
      <c r="S88" s="25">
        <v>9</v>
      </c>
      <c r="T88" s="25">
        <v>10</v>
      </c>
      <c r="U88" s="25">
        <v>11</v>
      </c>
      <c r="V88" s="25">
        <v>12</v>
      </c>
    </row>
    <row r="89" spans="2:22">
      <c r="B89" s="25" t="s">
        <v>42</v>
      </c>
      <c r="C89" s="7"/>
      <c r="D89" s="7"/>
      <c r="E89" s="7">
        <v>5</v>
      </c>
      <c r="F89" s="7">
        <f t="shared" ref="F89:F94" si="14">SUM(G89:J89)</f>
        <v>3</v>
      </c>
      <c r="G89" s="7">
        <f>SUM(K89:M89)</f>
        <v>0</v>
      </c>
      <c r="H89" s="7">
        <f>SUM(N89:P89)</f>
        <v>3</v>
      </c>
      <c r="I89" s="7">
        <f>SUM(Q89:S89)</f>
        <v>0</v>
      </c>
      <c r="J89" s="7">
        <f>SUM(T89:V89)</f>
        <v>0</v>
      </c>
      <c r="K89" s="7"/>
      <c r="L89" s="7"/>
      <c r="M89" s="7"/>
      <c r="N89" s="7"/>
      <c r="O89" s="7"/>
      <c r="P89" s="7">
        <v>3</v>
      </c>
      <c r="Q89" s="7"/>
      <c r="R89" s="7"/>
      <c r="S89" s="7"/>
      <c r="T89" s="7"/>
      <c r="U89" s="7"/>
      <c r="V89" s="7"/>
    </row>
    <row r="90" spans="2:22">
      <c r="B90" s="25" t="s">
        <v>41</v>
      </c>
      <c r="C90" s="7"/>
      <c r="D90" s="7"/>
      <c r="E90" s="7">
        <v>2</v>
      </c>
      <c r="F90" s="7">
        <f t="shared" si="14"/>
        <v>0</v>
      </c>
      <c r="G90" s="7">
        <f>SUM(K90:M90)</f>
        <v>0</v>
      </c>
      <c r="H90" s="7">
        <f>SUM(N90:P90)</f>
        <v>0</v>
      </c>
      <c r="I90" s="7">
        <f>SUM(Q90:S90)</f>
        <v>0</v>
      </c>
      <c r="J90" s="7">
        <f>SUM(T90:V90)</f>
        <v>0</v>
      </c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</row>
    <row r="91" spans="2:22">
      <c r="B91" s="25" t="s">
        <v>40</v>
      </c>
      <c r="C91" s="7"/>
      <c r="D91" s="7"/>
      <c r="E91" s="7">
        <v>2</v>
      </c>
      <c r="F91" s="7">
        <f t="shared" si="14"/>
        <v>0</v>
      </c>
      <c r="G91" s="7">
        <f>SUM(K91:M91)</f>
        <v>0</v>
      </c>
      <c r="H91" s="7">
        <f>SUM(N91:P91)</f>
        <v>0</v>
      </c>
      <c r="I91" s="7">
        <f>SUM(Q91:S91)</f>
        <v>0</v>
      </c>
      <c r="J91" s="7">
        <f>SUM(T91:V91)</f>
        <v>0</v>
      </c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</row>
    <row r="92" spans="2:22">
      <c r="B92" s="25" t="s">
        <v>39</v>
      </c>
      <c r="C92" s="7"/>
      <c r="D92" s="7"/>
      <c r="E92" s="7">
        <v>1</v>
      </c>
      <c r="F92" s="7">
        <f t="shared" si="14"/>
        <v>1</v>
      </c>
      <c r="G92" s="7">
        <f>SUM(K92:M92)</f>
        <v>0</v>
      </c>
      <c r="H92" s="7">
        <f>SUM(N92:P92)</f>
        <v>0</v>
      </c>
      <c r="I92" s="7">
        <f>SUM(Q92:S92)</f>
        <v>1</v>
      </c>
      <c r="J92" s="7">
        <f>SUM(T92:V92)</f>
        <v>0</v>
      </c>
      <c r="K92" s="7"/>
      <c r="L92" s="7"/>
      <c r="M92" s="7"/>
      <c r="N92" s="7"/>
      <c r="O92" s="7"/>
      <c r="P92" s="7"/>
      <c r="Q92" s="7"/>
      <c r="R92" s="7">
        <v>1</v>
      </c>
      <c r="S92" s="7"/>
      <c r="T92" s="7"/>
      <c r="U92" s="7"/>
      <c r="V92" s="7"/>
    </row>
    <row r="93" spans="2:22">
      <c r="B93" s="25" t="s">
        <v>38</v>
      </c>
      <c r="C93" s="7"/>
      <c r="D93" s="7"/>
      <c r="E93" s="7">
        <v>3</v>
      </c>
      <c r="F93" s="7">
        <f t="shared" si="14"/>
        <v>2</v>
      </c>
      <c r="G93" s="7">
        <f>SUM(K93:M93)</f>
        <v>1</v>
      </c>
      <c r="H93" s="7">
        <f>SUM(N93:P93)</f>
        <v>1</v>
      </c>
      <c r="I93" s="7">
        <f>SUM(Q93:S93)</f>
        <v>0</v>
      </c>
      <c r="J93" s="7">
        <f>SUM(T93:V93)</f>
        <v>0</v>
      </c>
      <c r="K93" s="7"/>
      <c r="L93" s="7">
        <v>1</v>
      </c>
      <c r="M93" s="7"/>
      <c r="N93" s="7"/>
      <c r="O93" s="7"/>
      <c r="P93" s="7">
        <v>1</v>
      </c>
      <c r="Q93" s="7"/>
      <c r="R93" s="7"/>
      <c r="S93" s="7"/>
      <c r="T93" s="7"/>
      <c r="U93" s="7"/>
      <c r="V93" s="7"/>
    </row>
    <row r="94" spans="2:22">
      <c r="B94" s="25" t="s">
        <v>89</v>
      </c>
      <c r="C94" s="25"/>
      <c r="D94" s="25"/>
      <c r="E94" s="25">
        <f>SUM(E89:E93)</f>
        <v>13</v>
      </c>
      <c r="F94" s="25">
        <f t="shared" si="14"/>
        <v>6</v>
      </c>
      <c r="G94" s="25">
        <f>G89+G90+G91+G92+G93</f>
        <v>1</v>
      </c>
      <c r="H94" s="25">
        <f>H89+H90+H91+H92+H93</f>
        <v>4</v>
      </c>
      <c r="I94" s="25">
        <f>I89+I90+I91+I92+I93</f>
        <v>1</v>
      </c>
      <c r="J94" s="25">
        <f>J89+J90+J91+J92+J93</f>
        <v>0</v>
      </c>
      <c r="K94" s="25">
        <f t="shared" ref="K94:V94" si="15">SUM(K89:K93)</f>
        <v>0</v>
      </c>
      <c r="L94" s="25">
        <f t="shared" si="15"/>
        <v>1</v>
      </c>
      <c r="M94" s="25">
        <f t="shared" si="15"/>
        <v>0</v>
      </c>
      <c r="N94" s="25">
        <f t="shared" si="15"/>
        <v>0</v>
      </c>
      <c r="O94" s="25">
        <f t="shared" si="15"/>
        <v>0</v>
      </c>
      <c r="P94" s="25">
        <f t="shared" si="15"/>
        <v>4</v>
      </c>
      <c r="Q94" s="25">
        <f t="shared" si="15"/>
        <v>0</v>
      </c>
      <c r="R94" s="25">
        <f t="shared" si="15"/>
        <v>1</v>
      </c>
      <c r="S94" s="25">
        <f t="shared" si="15"/>
        <v>0</v>
      </c>
      <c r="T94" s="25">
        <f t="shared" si="15"/>
        <v>0</v>
      </c>
      <c r="U94" s="25">
        <f t="shared" si="15"/>
        <v>0</v>
      </c>
      <c r="V94" s="25">
        <f t="shared" si="15"/>
        <v>0</v>
      </c>
    </row>
    <row r="95" spans="2:22">
      <c r="B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</row>
    <row r="96" spans="2:22">
      <c r="B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</row>
    <row r="97" spans="2:22">
      <c r="B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</row>
    <row r="98" spans="2:22">
      <c r="B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</row>
    <row r="100" spans="2:22">
      <c r="B100" s="33" t="s">
        <v>110</v>
      </c>
      <c r="C100" s="33" t="s">
        <v>111</v>
      </c>
      <c r="D100" s="33" t="s">
        <v>112</v>
      </c>
      <c r="E100" s="34" t="s">
        <v>113</v>
      </c>
      <c r="F100" s="34" t="s">
        <v>114</v>
      </c>
      <c r="G100" s="33" t="s">
        <v>115</v>
      </c>
      <c r="H100" s="33" t="s">
        <v>116</v>
      </c>
      <c r="I100" s="33" t="s">
        <v>117</v>
      </c>
      <c r="J100" s="33" t="s">
        <v>118</v>
      </c>
      <c r="K100" s="33">
        <v>1</v>
      </c>
      <c r="L100" s="33">
        <v>2</v>
      </c>
      <c r="M100" s="33">
        <v>3</v>
      </c>
      <c r="N100" s="33">
        <v>4</v>
      </c>
      <c r="O100" s="33">
        <v>5</v>
      </c>
      <c r="P100" s="33">
        <v>6</v>
      </c>
      <c r="Q100" s="33">
        <v>7</v>
      </c>
      <c r="R100" s="33">
        <v>8</v>
      </c>
      <c r="S100" s="33">
        <v>9</v>
      </c>
      <c r="T100" s="33">
        <v>10</v>
      </c>
      <c r="U100" s="33">
        <v>11</v>
      </c>
      <c r="V100" s="33">
        <v>12</v>
      </c>
    </row>
    <row r="101" spans="2:22">
      <c r="B101" s="33" t="s">
        <v>119</v>
      </c>
      <c r="C101" s="35" t="s">
        <v>120</v>
      </c>
      <c r="D101" s="32" t="s">
        <v>121</v>
      </c>
      <c r="E101" s="32">
        <v>1.1999999999999999E-3</v>
      </c>
      <c r="F101" s="32">
        <f>AVERAGE(G101:J101)</f>
        <v>1.9488424995409317E-3</v>
      </c>
      <c r="G101" s="32">
        <f>G117/G109</f>
        <v>2.6292725679228747E-3</v>
      </c>
      <c r="H101" s="32">
        <f>H117/H109</f>
        <v>3.7476577139287947E-3</v>
      </c>
      <c r="I101" s="32">
        <f t="shared" ref="I101:R101" si="16">I117/I109</f>
        <v>1.4184397163120568E-3</v>
      </c>
      <c r="J101" s="32">
        <f t="shared" si="16"/>
        <v>0</v>
      </c>
      <c r="K101" s="32">
        <f t="shared" si="16"/>
        <v>5.0632911392405064E-3</v>
      </c>
      <c r="L101" s="32">
        <f t="shared" si="16"/>
        <v>0</v>
      </c>
      <c r="M101" s="32">
        <f t="shared" si="16"/>
        <v>2.6809651474530832E-3</v>
      </c>
      <c r="N101" s="32">
        <f t="shared" si="16"/>
        <v>7.7972709551656916E-3</v>
      </c>
      <c r="O101" s="32">
        <f>O117/O109</f>
        <v>1.9193857965451055E-3</v>
      </c>
      <c r="P101" s="32">
        <f t="shared" si="16"/>
        <v>1.7636684303350969E-3</v>
      </c>
      <c r="Q101" s="32">
        <f t="shared" si="16"/>
        <v>1.9342359767891683E-3</v>
      </c>
      <c r="R101" s="32">
        <f t="shared" si="16"/>
        <v>0</v>
      </c>
      <c r="S101" s="32">
        <f>S117/S109</f>
        <v>2.5252525252525255E-3</v>
      </c>
      <c r="T101" s="32">
        <f>T117/T109</f>
        <v>0</v>
      </c>
      <c r="U101" s="32">
        <f>U117/U109</f>
        <v>0</v>
      </c>
      <c r="V101" s="32">
        <f>V117/V109</f>
        <v>0</v>
      </c>
    </row>
    <row r="102" spans="2:22">
      <c r="B102" s="35"/>
      <c r="C102" s="35"/>
      <c r="D102" s="32"/>
      <c r="E102" s="32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</row>
    <row r="103" spans="2:22">
      <c r="B103" s="36"/>
      <c r="C103" s="36" t="s">
        <v>122</v>
      </c>
      <c r="D103" s="36"/>
      <c r="E103" s="37" t="s">
        <v>123</v>
      </c>
      <c r="F103" s="37" t="s">
        <v>124</v>
      </c>
      <c r="G103" s="36" t="s">
        <v>115</v>
      </c>
      <c r="H103" s="36" t="s">
        <v>116</v>
      </c>
      <c r="I103" s="36" t="s">
        <v>117</v>
      </c>
      <c r="J103" s="36" t="s">
        <v>118</v>
      </c>
      <c r="K103" s="36">
        <v>1</v>
      </c>
      <c r="L103" s="36">
        <v>2</v>
      </c>
      <c r="M103" s="36">
        <v>3</v>
      </c>
      <c r="N103" s="36">
        <v>4</v>
      </c>
      <c r="O103" s="36">
        <v>5</v>
      </c>
      <c r="P103" s="36">
        <v>6</v>
      </c>
      <c r="Q103" s="36">
        <v>7</v>
      </c>
      <c r="R103" s="36">
        <v>8</v>
      </c>
      <c r="S103" s="36">
        <v>9</v>
      </c>
      <c r="T103" s="36">
        <v>10</v>
      </c>
      <c r="U103" s="36">
        <v>11</v>
      </c>
      <c r="V103" s="36">
        <v>12</v>
      </c>
    </row>
    <row r="104" spans="2:22">
      <c r="B104" s="36" t="s">
        <v>125</v>
      </c>
      <c r="C104" s="35"/>
      <c r="D104" s="35"/>
      <c r="E104" s="38">
        <v>117</v>
      </c>
      <c r="F104" s="38">
        <f>AVERAGE(G104:J104)</f>
        <v>241.5</v>
      </c>
      <c r="G104" s="39">
        <f>SUM(K104:M104)</f>
        <v>235</v>
      </c>
      <c r="H104" s="35">
        <f>SUM(N104:P104)</f>
        <v>331</v>
      </c>
      <c r="I104" s="35">
        <f>SUM(Q104:S104)</f>
        <v>304</v>
      </c>
      <c r="J104" s="35">
        <f>AVERAGE(T104:V104)</f>
        <v>96</v>
      </c>
      <c r="K104" s="40">
        <v>82</v>
      </c>
      <c r="L104" s="40">
        <v>96</v>
      </c>
      <c r="M104" s="35">
        <v>57</v>
      </c>
      <c r="N104" s="35">
        <v>106</v>
      </c>
      <c r="O104" s="35">
        <v>111</v>
      </c>
      <c r="P104" s="35">
        <v>114</v>
      </c>
      <c r="Q104" s="35">
        <v>109</v>
      </c>
      <c r="R104" s="35">
        <v>111</v>
      </c>
      <c r="S104" s="35">
        <v>84</v>
      </c>
      <c r="T104" s="35">
        <v>100</v>
      </c>
      <c r="U104" s="35">
        <v>89</v>
      </c>
      <c r="V104" s="35">
        <v>99</v>
      </c>
    </row>
    <row r="105" spans="2:22">
      <c r="B105" s="36" t="s">
        <v>126</v>
      </c>
      <c r="C105" s="35"/>
      <c r="D105" s="35"/>
      <c r="E105" s="38">
        <v>118</v>
      </c>
      <c r="F105" s="38">
        <f>AVERAGE(G105:J105)</f>
        <v>257.25</v>
      </c>
      <c r="G105" s="39">
        <f>SUM(K105:M105)</f>
        <v>289</v>
      </c>
      <c r="H105" s="35">
        <f>SUM(N105:P105)</f>
        <v>333</v>
      </c>
      <c r="I105" s="35">
        <f>SUM(Q105:S105)</f>
        <v>305</v>
      </c>
      <c r="J105" s="35">
        <f>AVERAGE(T105:V105)</f>
        <v>102</v>
      </c>
      <c r="K105" s="40">
        <v>95</v>
      </c>
      <c r="L105" s="40">
        <v>89</v>
      </c>
      <c r="M105" s="35">
        <v>105</v>
      </c>
      <c r="N105" s="35">
        <v>108</v>
      </c>
      <c r="O105" s="35">
        <v>105</v>
      </c>
      <c r="P105" s="35">
        <v>120</v>
      </c>
      <c r="Q105" s="35">
        <v>113</v>
      </c>
      <c r="R105" s="35">
        <v>111</v>
      </c>
      <c r="S105" s="35">
        <v>81</v>
      </c>
      <c r="T105" s="35">
        <v>107</v>
      </c>
      <c r="U105" s="35">
        <v>97</v>
      </c>
      <c r="V105" s="35">
        <v>102</v>
      </c>
    </row>
    <row r="106" spans="2:22">
      <c r="B106" s="36" t="s">
        <v>127</v>
      </c>
      <c r="C106" s="35"/>
      <c r="D106" s="35"/>
      <c r="E106" s="38">
        <v>127</v>
      </c>
      <c r="F106" s="38">
        <f>AVERAGE(G106:J106)</f>
        <v>281</v>
      </c>
      <c r="G106" s="39">
        <f>SUM(K106:M106)</f>
        <v>296</v>
      </c>
      <c r="H106" s="35">
        <f>SUM(N106:P106)</f>
        <v>366</v>
      </c>
      <c r="I106" s="35">
        <f>SUM(Q106:S106)</f>
        <v>349</v>
      </c>
      <c r="J106" s="35">
        <f>AVERAGE(T106:V106)</f>
        <v>113</v>
      </c>
      <c r="K106" s="40">
        <v>101</v>
      </c>
      <c r="L106" s="40">
        <v>89</v>
      </c>
      <c r="M106" s="35">
        <v>106</v>
      </c>
      <c r="N106" s="35">
        <v>119</v>
      </c>
      <c r="O106" s="35">
        <v>120</v>
      </c>
      <c r="P106" s="35">
        <v>127</v>
      </c>
      <c r="Q106" s="35">
        <v>123</v>
      </c>
      <c r="R106" s="35">
        <v>127</v>
      </c>
      <c r="S106" s="35">
        <v>99</v>
      </c>
      <c r="T106" s="35">
        <v>111</v>
      </c>
      <c r="U106" s="35">
        <v>118</v>
      </c>
      <c r="V106" s="35">
        <v>110</v>
      </c>
    </row>
    <row r="107" spans="2:22">
      <c r="B107" s="36" t="s">
        <v>128</v>
      </c>
      <c r="C107" s="35"/>
      <c r="D107" s="35"/>
      <c r="E107" s="38">
        <v>119</v>
      </c>
      <c r="F107" s="38">
        <f>AVERAGE(G107:J107)</f>
        <v>257.41666666666669</v>
      </c>
      <c r="G107" s="39">
        <f>SUM(K107:M107)</f>
        <v>261</v>
      </c>
      <c r="H107" s="35">
        <f>SUM(N107:P107)</f>
        <v>354</v>
      </c>
      <c r="I107" s="35">
        <f>SUM(Q107:S107)</f>
        <v>307</v>
      </c>
      <c r="J107" s="41">
        <f>AVERAGE(T107:V107)</f>
        <v>107.66666666666667</v>
      </c>
      <c r="K107" s="40">
        <v>85</v>
      </c>
      <c r="L107" s="40">
        <v>71</v>
      </c>
      <c r="M107" s="35">
        <v>105</v>
      </c>
      <c r="N107" s="35">
        <v>116</v>
      </c>
      <c r="O107" s="35">
        <v>112</v>
      </c>
      <c r="P107" s="35">
        <v>126</v>
      </c>
      <c r="Q107" s="35">
        <v>108</v>
      </c>
      <c r="R107" s="35">
        <v>97</v>
      </c>
      <c r="S107" s="35">
        <v>102</v>
      </c>
      <c r="T107" s="35">
        <v>107</v>
      </c>
      <c r="U107" s="35">
        <v>109</v>
      </c>
      <c r="V107" s="35">
        <v>107</v>
      </c>
    </row>
    <row r="108" spans="2:22">
      <c r="B108" s="36" t="s">
        <v>129</v>
      </c>
      <c r="C108" s="35"/>
      <c r="D108" s="35"/>
      <c r="E108" s="38">
        <v>93</v>
      </c>
      <c r="F108" s="38">
        <f>AVERAGE(G108:J108)</f>
        <v>119.41666666666667</v>
      </c>
      <c r="G108" s="39">
        <f>SUM(K108:M108)</f>
        <v>60</v>
      </c>
      <c r="H108" s="35">
        <f>SUM(N108:P108)</f>
        <v>217</v>
      </c>
      <c r="I108" s="35">
        <f>SUM(Q108:S108)</f>
        <v>145</v>
      </c>
      <c r="J108" s="41">
        <f>AVERAGE(T108:V108)</f>
        <v>55.666666666666664</v>
      </c>
      <c r="K108" s="40">
        <v>32</v>
      </c>
      <c r="L108" s="40">
        <v>28</v>
      </c>
      <c r="M108" s="35">
        <v>0</v>
      </c>
      <c r="N108" s="35">
        <v>64</v>
      </c>
      <c r="O108" s="35">
        <v>73</v>
      </c>
      <c r="P108" s="35">
        <v>80</v>
      </c>
      <c r="Q108" s="35">
        <v>64</v>
      </c>
      <c r="R108" s="35">
        <v>51</v>
      </c>
      <c r="S108" s="35">
        <v>30</v>
      </c>
      <c r="T108" s="35">
        <v>52</v>
      </c>
      <c r="U108" s="35">
        <v>62</v>
      </c>
      <c r="V108" s="35">
        <v>53</v>
      </c>
    </row>
    <row r="109" spans="2:22">
      <c r="B109" s="36" t="s">
        <v>130</v>
      </c>
      <c r="C109" s="36"/>
      <c r="D109" s="36"/>
      <c r="E109" s="42">
        <f>SUM(E104:E108)</f>
        <v>574</v>
      </c>
      <c r="F109" s="42">
        <f>SUM(F104:F108)</f>
        <v>1156.5833333333335</v>
      </c>
      <c r="G109" s="36">
        <f>K109+L109+M109</f>
        <v>1141</v>
      </c>
      <c r="H109" s="36">
        <f>N109+O109+P109</f>
        <v>1601</v>
      </c>
      <c r="I109" s="36">
        <f>Q109+R109+S109</f>
        <v>1410</v>
      </c>
      <c r="J109" s="36">
        <f>T109+U109+V109</f>
        <v>1423</v>
      </c>
      <c r="K109" s="36">
        <f t="shared" ref="K109:R109" si="17">K104+K105+K106+K107+K108</f>
        <v>395</v>
      </c>
      <c r="L109" s="36">
        <f t="shared" si="17"/>
        <v>373</v>
      </c>
      <c r="M109" s="36">
        <f t="shared" si="17"/>
        <v>373</v>
      </c>
      <c r="N109" s="36">
        <f t="shared" si="17"/>
        <v>513</v>
      </c>
      <c r="O109" s="36">
        <f t="shared" si="17"/>
        <v>521</v>
      </c>
      <c r="P109" s="36">
        <f t="shared" si="17"/>
        <v>567</v>
      </c>
      <c r="Q109" s="36">
        <f t="shared" si="17"/>
        <v>517</v>
      </c>
      <c r="R109" s="36">
        <f t="shared" si="17"/>
        <v>497</v>
      </c>
      <c r="S109" s="36">
        <f>S104+S105+S106+S107+S108</f>
        <v>396</v>
      </c>
      <c r="T109" s="36">
        <f>T104+T105+T106+T107+T108</f>
        <v>477</v>
      </c>
      <c r="U109" s="36">
        <f>U104+U105+U106+U107+U108</f>
        <v>475</v>
      </c>
      <c r="V109" s="36">
        <v>471</v>
      </c>
    </row>
    <row r="110" spans="2:22"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</row>
    <row r="111" spans="2:22">
      <c r="B111" s="36"/>
      <c r="C111" s="36" t="s">
        <v>131</v>
      </c>
      <c r="D111" s="36"/>
      <c r="E111" s="37" t="s">
        <v>132</v>
      </c>
      <c r="F111" s="37" t="s">
        <v>133</v>
      </c>
      <c r="G111" s="36" t="s">
        <v>115</v>
      </c>
      <c r="H111" s="36" t="s">
        <v>116</v>
      </c>
      <c r="I111" s="36" t="s">
        <v>117</v>
      </c>
      <c r="J111" s="36" t="s">
        <v>118</v>
      </c>
      <c r="K111" s="36">
        <v>1</v>
      </c>
      <c r="L111" s="36">
        <v>2</v>
      </c>
      <c r="M111" s="36">
        <v>3</v>
      </c>
      <c r="N111" s="36">
        <v>4</v>
      </c>
      <c r="O111" s="36">
        <v>5</v>
      </c>
      <c r="P111" s="36">
        <v>6</v>
      </c>
      <c r="Q111" s="36">
        <v>7</v>
      </c>
      <c r="R111" s="36">
        <v>8</v>
      </c>
      <c r="S111" s="36">
        <v>9</v>
      </c>
      <c r="T111" s="36">
        <v>10</v>
      </c>
      <c r="U111" s="36">
        <v>11</v>
      </c>
      <c r="V111" s="36">
        <v>12</v>
      </c>
    </row>
    <row r="112" spans="2:22">
      <c r="B112" s="36" t="s">
        <v>125</v>
      </c>
      <c r="C112" s="35"/>
      <c r="D112" s="35"/>
      <c r="E112" s="35">
        <v>4</v>
      </c>
      <c r="F112" s="35">
        <f t="shared" ref="F112:F117" si="18">SUM(G112:J112)</f>
        <v>2</v>
      </c>
      <c r="G112" s="35">
        <f>SUM(K112:M112)</f>
        <v>1</v>
      </c>
      <c r="H112" s="35">
        <f>SUM(N112:P112)</f>
        <v>1</v>
      </c>
      <c r="I112" s="35">
        <f>SUM(Q112:S112)</f>
        <v>0</v>
      </c>
      <c r="J112" s="35">
        <f>SUM(T112:V112)</f>
        <v>0</v>
      </c>
      <c r="K112" s="35">
        <v>0</v>
      </c>
      <c r="L112" s="35">
        <v>0</v>
      </c>
      <c r="M112" s="35">
        <v>1</v>
      </c>
      <c r="N112" s="35">
        <v>1</v>
      </c>
      <c r="O112" s="35">
        <v>0</v>
      </c>
      <c r="P112" s="35">
        <v>0</v>
      </c>
      <c r="Q112" s="35">
        <v>0</v>
      </c>
      <c r="R112" s="35">
        <v>0</v>
      </c>
      <c r="S112" s="35">
        <v>0</v>
      </c>
      <c r="T112" s="35">
        <v>0</v>
      </c>
      <c r="U112" s="35">
        <v>0</v>
      </c>
      <c r="V112" s="35">
        <v>0</v>
      </c>
    </row>
    <row r="113" spans="2:22">
      <c r="B113" s="36" t="s">
        <v>126</v>
      </c>
      <c r="C113" s="35"/>
      <c r="D113" s="35"/>
      <c r="E113" s="35">
        <v>0</v>
      </c>
      <c r="F113" s="35">
        <f t="shared" si="18"/>
        <v>2</v>
      </c>
      <c r="G113" s="35">
        <f>SUM(K113:M113)</f>
        <v>0</v>
      </c>
      <c r="H113" s="35">
        <f>SUM(N113:P113)</f>
        <v>2</v>
      </c>
      <c r="I113" s="35">
        <f>SUM(Q113:S113)</f>
        <v>0</v>
      </c>
      <c r="J113" s="35">
        <f>SUM(T113:V113)</f>
        <v>0</v>
      </c>
      <c r="K113" s="35">
        <v>0</v>
      </c>
      <c r="L113" s="35">
        <v>0</v>
      </c>
      <c r="M113" s="35">
        <v>0</v>
      </c>
      <c r="N113" s="35">
        <v>2</v>
      </c>
      <c r="O113" s="35">
        <v>0</v>
      </c>
      <c r="P113" s="35">
        <v>0</v>
      </c>
      <c r="Q113" s="35">
        <v>0</v>
      </c>
      <c r="R113" s="35">
        <v>0</v>
      </c>
      <c r="S113" s="35">
        <v>0</v>
      </c>
      <c r="T113" s="35">
        <v>0</v>
      </c>
      <c r="U113" s="35">
        <v>0</v>
      </c>
      <c r="V113" s="35">
        <v>0</v>
      </c>
    </row>
    <row r="114" spans="2:22">
      <c r="B114" s="36" t="s">
        <v>127</v>
      </c>
      <c r="C114" s="35"/>
      <c r="D114" s="35"/>
      <c r="E114" s="35">
        <v>0</v>
      </c>
      <c r="F114" s="35">
        <f t="shared" si="18"/>
        <v>0</v>
      </c>
      <c r="G114" s="35">
        <f>SUM(K114:M114)</f>
        <v>0</v>
      </c>
      <c r="H114" s="35">
        <f>SUM(N114:P114)</f>
        <v>0</v>
      </c>
      <c r="I114" s="35">
        <f>SUM(Q114:S114)</f>
        <v>0</v>
      </c>
      <c r="J114" s="35">
        <f>SUM(T114:V114)</f>
        <v>0</v>
      </c>
      <c r="K114" s="35">
        <v>0</v>
      </c>
      <c r="L114" s="35">
        <v>0</v>
      </c>
      <c r="M114" s="35">
        <v>0</v>
      </c>
      <c r="N114" s="35">
        <v>0</v>
      </c>
      <c r="O114" s="35">
        <v>0</v>
      </c>
      <c r="P114" s="35">
        <v>0</v>
      </c>
      <c r="Q114" s="35">
        <v>0</v>
      </c>
      <c r="R114" s="35">
        <v>0</v>
      </c>
      <c r="S114" s="35">
        <v>0</v>
      </c>
      <c r="T114" s="35">
        <v>0</v>
      </c>
      <c r="U114" s="35">
        <v>0</v>
      </c>
      <c r="V114" s="35">
        <v>0</v>
      </c>
    </row>
    <row r="115" spans="2:22">
      <c r="B115" s="36" t="s">
        <v>128</v>
      </c>
      <c r="C115" s="35"/>
      <c r="D115" s="35"/>
      <c r="E115" s="35">
        <v>2</v>
      </c>
      <c r="F115" s="35">
        <f t="shared" si="18"/>
        <v>4</v>
      </c>
      <c r="G115" s="35">
        <f>SUM(K115:M115)</f>
        <v>2</v>
      </c>
      <c r="H115" s="35">
        <f>SUM(N115:P115)</f>
        <v>0</v>
      </c>
      <c r="I115" s="35">
        <f>SUM(Q115:S115)</f>
        <v>2</v>
      </c>
      <c r="J115" s="35">
        <f>SUM(T115:V115)</f>
        <v>0</v>
      </c>
      <c r="K115" s="35">
        <v>2</v>
      </c>
      <c r="L115" s="35">
        <v>0</v>
      </c>
      <c r="M115" s="35">
        <v>0</v>
      </c>
      <c r="N115" s="35">
        <v>0</v>
      </c>
      <c r="O115" s="35">
        <v>0</v>
      </c>
      <c r="P115" s="35">
        <v>0</v>
      </c>
      <c r="Q115" s="35">
        <v>1</v>
      </c>
      <c r="R115" s="35">
        <v>0</v>
      </c>
      <c r="S115" s="35">
        <v>1</v>
      </c>
      <c r="T115" s="35">
        <v>0</v>
      </c>
      <c r="U115" s="35">
        <v>0</v>
      </c>
      <c r="V115" s="35">
        <v>0</v>
      </c>
    </row>
    <row r="116" spans="2:22">
      <c r="B116" s="36" t="s">
        <v>129</v>
      </c>
      <c r="C116" s="35"/>
      <c r="D116" s="35"/>
      <c r="E116" s="35">
        <v>1</v>
      </c>
      <c r="F116" s="35">
        <f t="shared" si="18"/>
        <v>3</v>
      </c>
      <c r="G116" s="35">
        <f>SUM(K116:M116)</f>
        <v>0</v>
      </c>
      <c r="H116" s="35">
        <f>SUM(N116:P116)</f>
        <v>3</v>
      </c>
      <c r="I116" s="35">
        <f>SUM(Q116:S116)</f>
        <v>0</v>
      </c>
      <c r="J116" s="35">
        <f>SUM(T116:V116)</f>
        <v>0</v>
      </c>
      <c r="K116" s="35">
        <v>0</v>
      </c>
      <c r="L116" s="35">
        <v>0</v>
      </c>
      <c r="M116" s="35">
        <v>0</v>
      </c>
      <c r="N116" s="35">
        <v>1</v>
      </c>
      <c r="O116" s="35">
        <v>1</v>
      </c>
      <c r="P116" s="35">
        <v>1</v>
      </c>
      <c r="Q116" s="35">
        <v>0</v>
      </c>
      <c r="R116" s="35">
        <v>0</v>
      </c>
      <c r="S116" s="35">
        <v>0</v>
      </c>
      <c r="T116" s="35">
        <v>0</v>
      </c>
      <c r="U116" s="35">
        <v>0</v>
      </c>
      <c r="V116" s="35">
        <v>0</v>
      </c>
    </row>
    <row r="117" spans="2:22">
      <c r="B117" s="36" t="s">
        <v>134</v>
      </c>
      <c r="C117" s="36"/>
      <c r="D117" s="36"/>
      <c r="E117" s="36">
        <f>SUM(E112:E116)</f>
        <v>7</v>
      </c>
      <c r="F117" s="36">
        <f t="shared" si="18"/>
        <v>11</v>
      </c>
      <c r="G117" s="36">
        <f>G112+G113+G114+G115+G116</f>
        <v>3</v>
      </c>
      <c r="H117" s="36">
        <f>H112+H113+H114+H115+H116</f>
        <v>6</v>
      </c>
      <c r="I117" s="36">
        <f>I112+I113+I114+I115+I116</f>
        <v>2</v>
      </c>
      <c r="J117" s="36">
        <f>J112+J113+J114+J115+J116</f>
        <v>0</v>
      </c>
      <c r="K117" s="36">
        <f t="shared" ref="K117:R117" si="19">SUM(K112:K116)</f>
        <v>2</v>
      </c>
      <c r="L117" s="36">
        <f t="shared" si="19"/>
        <v>0</v>
      </c>
      <c r="M117" s="36">
        <f t="shared" si="19"/>
        <v>1</v>
      </c>
      <c r="N117" s="36">
        <f t="shared" si="19"/>
        <v>4</v>
      </c>
      <c r="O117" s="36">
        <f t="shared" si="19"/>
        <v>1</v>
      </c>
      <c r="P117" s="36">
        <f t="shared" si="19"/>
        <v>1</v>
      </c>
      <c r="Q117" s="36">
        <f t="shared" si="19"/>
        <v>1</v>
      </c>
      <c r="R117" s="36">
        <f t="shared" si="19"/>
        <v>0</v>
      </c>
      <c r="S117" s="36">
        <f>SUM(S112:S116)</f>
        <v>1</v>
      </c>
      <c r="T117" s="36">
        <f>SUM(T112:T116)</f>
        <v>0</v>
      </c>
      <c r="U117" s="36">
        <f>SUM(U112:U116)</f>
        <v>0</v>
      </c>
      <c r="V117" s="36">
        <f>SUM(V112:V116)</f>
        <v>0</v>
      </c>
    </row>
    <row r="127" spans="2:22">
      <c r="B127" s="33" t="s">
        <v>110</v>
      </c>
      <c r="C127" s="33" t="s">
        <v>111</v>
      </c>
      <c r="D127" s="33" t="s">
        <v>112</v>
      </c>
      <c r="E127" s="34" t="s">
        <v>135</v>
      </c>
      <c r="F127" s="34" t="s">
        <v>136</v>
      </c>
      <c r="G127" s="33" t="s">
        <v>115</v>
      </c>
      <c r="H127" s="33" t="s">
        <v>116</v>
      </c>
      <c r="I127" s="33" t="s">
        <v>117</v>
      </c>
      <c r="J127" s="33" t="s">
        <v>118</v>
      </c>
      <c r="K127" s="33">
        <v>1</v>
      </c>
      <c r="L127" s="33">
        <v>2</v>
      </c>
      <c r="M127" s="33">
        <v>3</v>
      </c>
      <c r="N127" s="33">
        <v>4</v>
      </c>
      <c r="O127" s="33">
        <v>5</v>
      </c>
      <c r="P127" s="33">
        <v>6</v>
      </c>
      <c r="Q127" s="33">
        <v>7</v>
      </c>
      <c r="R127" s="33">
        <v>8</v>
      </c>
      <c r="S127" s="33">
        <v>9</v>
      </c>
      <c r="T127" s="33">
        <v>10</v>
      </c>
      <c r="U127" s="33">
        <v>11</v>
      </c>
      <c r="V127" s="33">
        <v>12</v>
      </c>
    </row>
    <row r="128" spans="2:22">
      <c r="B128" s="33" t="s">
        <v>119</v>
      </c>
      <c r="C128" s="35" t="s">
        <v>120</v>
      </c>
      <c r="D128" s="32" t="s">
        <v>121</v>
      </c>
      <c r="E128" s="32">
        <v>1.9E-3</v>
      </c>
      <c r="F128" s="32">
        <f>AVERAGE(G128:J128)</f>
        <v>2.6202187346708724E-3</v>
      </c>
      <c r="G128" s="32">
        <f>G144/G136</f>
        <v>6.5061808718282373E-4</v>
      </c>
      <c r="H128" s="32">
        <f>H144/H136</f>
        <v>1.1409013120365088E-3</v>
      </c>
      <c r="I128" s="32">
        <f t="shared" ref="I128:N128" si="20">I144/I136</f>
        <v>0</v>
      </c>
      <c r="J128" s="32">
        <f t="shared" si="20"/>
        <v>8.6893555394641567E-3</v>
      </c>
      <c r="K128" s="32">
        <f t="shared" si="20"/>
        <v>0</v>
      </c>
      <c r="L128" s="32">
        <f t="shared" si="20"/>
        <v>0</v>
      </c>
      <c r="M128" s="32">
        <f t="shared" si="20"/>
        <v>1.8315018315018315E-3</v>
      </c>
      <c r="N128" s="32">
        <f t="shared" si="20"/>
        <v>0</v>
      </c>
      <c r="O128" s="32">
        <f>O144/O136</f>
        <v>1.658374792703151E-3</v>
      </c>
      <c r="P128" s="32">
        <f t="shared" ref="P128:R128" si="21">P144/P136</f>
        <v>1.6891891891891893E-3</v>
      </c>
      <c r="Q128" s="32">
        <f t="shared" si="21"/>
        <v>0</v>
      </c>
      <c r="R128" s="32">
        <f t="shared" si="21"/>
        <v>0</v>
      </c>
      <c r="S128" s="32">
        <f>S144/S136</f>
        <v>0</v>
      </c>
      <c r="T128" s="32">
        <f>T144/T136</f>
        <v>0</v>
      </c>
      <c r="U128" s="32">
        <f>U144/U136</f>
        <v>6.7720090293453723E-3</v>
      </c>
      <c r="V128" s="32">
        <f>V144/V136</f>
        <v>1.9108280254777069E-2</v>
      </c>
    </row>
    <row r="129" spans="2:22">
      <c r="B129" s="35"/>
      <c r="C129" s="35"/>
      <c r="D129" s="32"/>
      <c r="E129" s="32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</row>
    <row r="130" spans="2:22">
      <c r="B130" s="36"/>
      <c r="C130" s="36" t="s">
        <v>122</v>
      </c>
      <c r="D130" s="36"/>
      <c r="E130" s="37" t="s">
        <v>139</v>
      </c>
      <c r="F130" s="37" t="s">
        <v>140</v>
      </c>
      <c r="G130" s="36" t="s">
        <v>115</v>
      </c>
      <c r="H130" s="36" t="s">
        <v>116</v>
      </c>
      <c r="I130" s="36" t="s">
        <v>117</v>
      </c>
      <c r="J130" s="36" t="s">
        <v>118</v>
      </c>
      <c r="K130" s="36">
        <v>1</v>
      </c>
      <c r="L130" s="36">
        <v>2</v>
      </c>
      <c r="M130" s="36">
        <v>3</v>
      </c>
      <c r="N130" s="36">
        <v>4</v>
      </c>
      <c r="O130" s="36">
        <v>5</v>
      </c>
      <c r="P130" s="36">
        <v>6</v>
      </c>
      <c r="Q130" s="36">
        <v>7</v>
      </c>
      <c r="R130" s="36">
        <v>8</v>
      </c>
      <c r="S130" s="36">
        <v>9</v>
      </c>
      <c r="T130" s="36">
        <v>10</v>
      </c>
      <c r="U130" s="36">
        <v>11</v>
      </c>
      <c r="V130" s="36">
        <v>12</v>
      </c>
    </row>
    <row r="131" spans="2:22" ht="15.75">
      <c r="B131" s="36" t="s">
        <v>125</v>
      </c>
      <c r="C131" s="35"/>
      <c r="D131" s="35"/>
      <c r="E131" s="38">
        <v>242</v>
      </c>
      <c r="F131" s="38">
        <f>AVERAGE(G131:J131)</f>
        <v>264.83333333333331</v>
      </c>
      <c r="G131" s="39">
        <f>SUM(K131:M131)</f>
        <v>313</v>
      </c>
      <c r="H131" s="35">
        <f>SUM(N131:P131)</f>
        <v>344</v>
      </c>
      <c r="I131" s="35">
        <f>SUM(Q131:S131)</f>
        <v>322</v>
      </c>
      <c r="J131" s="35">
        <f>AVERAGE(T131:V131)</f>
        <v>80.333333333333329</v>
      </c>
      <c r="K131" s="40">
        <v>105</v>
      </c>
      <c r="L131" s="40">
        <v>95</v>
      </c>
      <c r="M131" s="35">
        <v>113</v>
      </c>
      <c r="N131" s="35">
        <v>113</v>
      </c>
      <c r="O131" s="35">
        <v>111</v>
      </c>
      <c r="P131" s="35">
        <v>120</v>
      </c>
      <c r="Q131" s="35">
        <v>105</v>
      </c>
      <c r="R131" s="35">
        <v>114</v>
      </c>
      <c r="S131" s="35">
        <v>103</v>
      </c>
      <c r="T131" s="35">
        <v>96</v>
      </c>
      <c r="U131" s="45">
        <v>85</v>
      </c>
      <c r="V131" s="46">
        <v>60</v>
      </c>
    </row>
    <row r="132" spans="2:22" ht="15.75">
      <c r="B132" s="36" t="s">
        <v>126</v>
      </c>
      <c r="C132" s="35"/>
      <c r="D132" s="35"/>
      <c r="E132" s="38">
        <v>257</v>
      </c>
      <c r="F132" s="38">
        <f>AVERAGE(G132:J132)</f>
        <v>278</v>
      </c>
      <c r="G132" s="39">
        <f>SUM(K132:M132)</f>
        <v>335</v>
      </c>
      <c r="H132" s="35">
        <f>SUM(N132:P132)</f>
        <v>363</v>
      </c>
      <c r="I132" s="35">
        <f>SUM(Q132:S132)</f>
        <v>320</v>
      </c>
      <c r="J132" s="35">
        <f>AVERAGE(T132:V132)</f>
        <v>94</v>
      </c>
      <c r="K132" s="40">
        <v>112</v>
      </c>
      <c r="L132" s="40">
        <v>105</v>
      </c>
      <c r="M132" s="35">
        <v>118</v>
      </c>
      <c r="N132" s="35">
        <v>119</v>
      </c>
      <c r="O132" s="35">
        <v>125</v>
      </c>
      <c r="P132" s="35">
        <v>119</v>
      </c>
      <c r="Q132" s="35">
        <v>114</v>
      </c>
      <c r="R132" s="35">
        <v>101</v>
      </c>
      <c r="S132" s="35">
        <v>105</v>
      </c>
      <c r="T132" s="35">
        <v>99</v>
      </c>
      <c r="U132" s="45">
        <v>95</v>
      </c>
      <c r="V132" s="46">
        <v>88</v>
      </c>
    </row>
    <row r="133" spans="2:22" ht="15.75">
      <c r="B133" s="36" t="s">
        <v>127</v>
      </c>
      <c r="C133" s="35"/>
      <c r="D133" s="35"/>
      <c r="E133" s="38">
        <v>281</v>
      </c>
      <c r="F133" s="38">
        <f>AVERAGE(G133:J133)</f>
        <v>292.91666666666669</v>
      </c>
      <c r="G133" s="39">
        <f>SUM(K133:M133)</f>
        <v>339</v>
      </c>
      <c r="H133" s="35">
        <f>SUM(N133:P133)</f>
        <v>377</v>
      </c>
      <c r="I133" s="35">
        <f>SUM(Q133:S133)</f>
        <v>349</v>
      </c>
      <c r="J133" s="35">
        <f>AVERAGE(T133:V133)</f>
        <v>106.66666666666667</v>
      </c>
      <c r="K133" s="40">
        <v>114</v>
      </c>
      <c r="L133" s="40">
        <v>104</v>
      </c>
      <c r="M133" s="35">
        <v>121</v>
      </c>
      <c r="N133" s="35">
        <v>119</v>
      </c>
      <c r="O133" s="35">
        <v>131</v>
      </c>
      <c r="P133" s="35">
        <v>127</v>
      </c>
      <c r="Q133" s="35">
        <v>120</v>
      </c>
      <c r="R133" s="35">
        <v>114</v>
      </c>
      <c r="S133" s="35">
        <v>115</v>
      </c>
      <c r="T133" s="35">
        <v>110</v>
      </c>
      <c r="U133" s="45">
        <v>100</v>
      </c>
      <c r="V133" s="46">
        <v>110</v>
      </c>
    </row>
    <row r="134" spans="2:22" ht="15.75">
      <c r="B134" s="36" t="s">
        <v>128</v>
      </c>
      <c r="C134" s="35"/>
      <c r="D134" s="35"/>
      <c r="E134" s="38">
        <v>257</v>
      </c>
      <c r="F134" s="38">
        <f>AVERAGE(G134:J134)</f>
        <v>285.58333333333331</v>
      </c>
      <c r="G134" s="39">
        <f>SUM(K134:M134)</f>
        <v>326</v>
      </c>
      <c r="H134" s="35">
        <f>SUM(N134:P134)</f>
        <v>373</v>
      </c>
      <c r="I134" s="35">
        <f>SUM(Q134:S134)</f>
        <v>335</v>
      </c>
      <c r="J134" s="41">
        <f>AVERAGE(T134:V134)</f>
        <v>108.33333333333333</v>
      </c>
      <c r="K134" s="40">
        <v>103</v>
      </c>
      <c r="L134" s="40">
        <v>102</v>
      </c>
      <c r="M134" s="35">
        <v>121</v>
      </c>
      <c r="N134" s="35">
        <v>115</v>
      </c>
      <c r="O134" s="35">
        <v>130</v>
      </c>
      <c r="P134" s="35">
        <v>128</v>
      </c>
      <c r="Q134" s="35">
        <v>115</v>
      </c>
      <c r="R134" s="35">
        <v>114</v>
      </c>
      <c r="S134" s="35">
        <v>106</v>
      </c>
      <c r="T134" s="35">
        <v>113</v>
      </c>
      <c r="U134" s="45">
        <v>110</v>
      </c>
      <c r="V134" s="46">
        <v>102</v>
      </c>
    </row>
    <row r="135" spans="2:22" ht="15.75">
      <c r="B135" s="36" t="s">
        <v>129</v>
      </c>
      <c r="C135" s="35"/>
      <c r="D135" s="35"/>
      <c r="E135" s="38">
        <v>119</v>
      </c>
      <c r="F135" s="38">
        <f>AVERAGE(G135:J135)</f>
        <v>191.41666666666666</v>
      </c>
      <c r="G135" s="39">
        <f>SUM(K135:M135)</f>
        <v>224</v>
      </c>
      <c r="H135" s="35">
        <f>SUM(N135:P135)</f>
        <v>296</v>
      </c>
      <c r="I135" s="35">
        <f>SUM(Q135:S135)</f>
        <v>189</v>
      </c>
      <c r="J135" s="41">
        <f>AVERAGE(T135:V135)</f>
        <v>56.666666666666664</v>
      </c>
      <c r="K135" s="40">
        <v>67</v>
      </c>
      <c r="L135" s="40">
        <v>84</v>
      </c>
      <c r="M135" s="35">
        <v>73</v>
      </c>
      <c r="N135" s="35">
        <v>92</v>
      </c>
      <c r="O135" s="35">
        <v>106</v>
      </c>
      <c r="P135" s="35">
        <v>98</v>
      </c>
      <c r="Q135" s="35">
        <v>74</v>
      </c>
      <c r="R135" s="35">
        <v>61</v>
      </c>
      <c r="S135" s="35">
        <v>54</v>
      </c>
      <c r="T135" s="35">
        <v>49</v>
      </c>
      <c r="U135" s="45">
        <v>53</v>
      </c>
      <c r="V135" s="46">
        <v>68</v>
      </c>
    </row>
    <row r="136" spans="2:22">
      <c r="B136" s="36" t="s">
        <v>130</v>
      </c>
      <c r="C136" s="36"/>
      <c r="D136" s="36"/>
      <c r="E136" s="42">
        <f>SUM(E131:E135)</f>
        <v>1156</v>
      </c>
      <c r="F136" s="42">
        <f>SUM(F131:F135)</f>
        <v>1312.75</v>
      </c>
      <c r="G136" s="36">
        <f>K136+L136+M136</f>
        <v>1537</v>
      </c>
      <c r="H136" s="36">
        <f>N136+O136+P136</f>
        <v>1753</v>
      </c>
      <c r="I136" s="36">
        <f>Q136+R136+S136</f>
        <v>1515</v>
      </c>
      <c r="J136" s="36">
        <f>T136+U136+V136</f>
        <v>1381</v>
      </c>
      <c r="K136" s="36">
        <f t="shared" ref="K136:R136" si="22">K131+K132+K133+K134+K135</f>
        <v>501</v>
      </c>
      <c r="L136" s="36">
        <f t="shared" si="22"/>
        <v>490</v>
      </c>
      <c r="M136" s="36">
        <f t="shared" si="22"/>
        <v>546</v>
      </c>
      <c r="N136" s="36">
        <f t="shared" si="22"/>
        <v>558</v>
      </c>
      <c r="O136" s="36">
        <f t="shared" si="22"/>
        <v>603</v>
      </c>
      <c r="P136" s="36">
        <f t="shared" si="22"/>
        <v>592</v>
      </c>
      <c r="Q136" s="36">
        <f t="shared" si="22"/>
        <v>528</v>
      </c>
      <c r="R136" s="36">
        <f t="shared" si="22"/>
        <v>504</v>
      </c>
      <c r="S136" s="36">
        <f>S131+S132+S133+S134+S135</f>
        <v>483</v>
      </c>
      <c r="T136" s="36">
        <f>T131+T132+T133+T134+T135</f>
        <v>467</v>
      </c>
      <c r="U136" s="36">
        <f>U131+U132+U133+U134+U135</f>
        <v>443</v>
      </c>
      <c r="V136" s="36">
        <v>471</v>
      </c>
    </row>
    <row r="137" spans="2:22"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</row>
    <row r="138" spans="2:22">
      <c r="B138" s="36"/>
      <c r="C138" s="36" t="s">
        <v>131</v>
      </c>
      <c r="D138" s="36"/>
      <c r="E138" s="37" t="s">
        <v>137</v>
      </c>
      <c r="F138" s="37" t="s">
        <v>138</v>
      </c>
      <c r="G138" s="36" t="s">
        <v>115</v>
      </c>
      <c r="H138" s="36" t="s">
        <v>116</v>
      </c>
      <c r="I138" s="36" t="s">
        <v>117</v>
      </c>
      <c r="J138" s="36" t="s">
        <v>118</v>
      </c>
      <c r="K138" s="36">
        <v>1</v>
      </c>
      <c r="L138" s="36">
        <v>2</v>
      </c>
      <c r="M138" s="36">
        <v>3</v>
      </c>
      <c r="N138" s="36">
        <v>4</v>
      </c>
      <c r="O138" s="36">
        <v>5</v>
      </c>
      <c r="P138" s="36">
        <v>6</v>
      </c>
      <c r="Q138" s="36">
        <v>7</v>
      </c>
      <c r="R138" s="36">
        <v>8</v>
      </c>
      <c r="S138" s="36">
        <v>9</v>
      </c>
      <c r="T138" s="36">
        <v>10</v>
      </c>
      <c r="U138" s="36">
        <v>11</v>
      </c>
      <c r="V138" s="36">
        <v>12</v>
      </c>
    </row>
    <row r="139" spans="2:22" ht="15.75">
      <c r="B139" s="36" t="s">
        <v>125</v>
      </c>
      <c r="C139" s="35"/>
      <c r="D139" s="35"/>
      <c r="E139" s="35">
        <v>2</v>
      </c>
      <c r="F139" s="35">
        <f t="shared" ref="F139:F144" si="23">SUM(G139:J139)</f>
        <v>8</v>
      </c>
      <c r="G139" s="35">
        <f>SUM(K139:M139)</f>
        <v>0</v>
      </c>
      <c r="H139" s="35">
        <f>SUM(N139:P139)</f>
        <v>0</v>
      </c>
      <c r="I139" s="35">
        <f>SUM(Q139:S139)</f>
        <v>0</v>
      </c>
      <c r="J139" s="35">
        <f>SUM(T139:V139)</f>
        <v>8</v>
      </c>
      <c r="K139" s="35">
        <v>0</v>
      </c>
      <c r="L139" s="35">
        <v>0</v>
      </c>
      <c r="M139" s="35">
        <v>0</v>
      </c>
      <c r="N139" s="35">
        <v>0</v>
      </c>
      <c r="O139" s="35">
        <v>0</v>
      </c>
      <c r="P139" s="35">
        <v>0</v>
      </c>
      <c r="Q139" s="35">
        <v>0</v>
      </c>
      <c r="R139" s="35">
        <v>0</v>
      </c>
      <c r="S139" s="35">
        <v>0</v>
      </c>
      <c r="T139" s="35">
        <v>0</v>
      </c>
      <c r="U139" s="47">
        <v>2</v>
      </c>
      <c r="V139" s="48">
        <v>6</v>
      </c>
    </row>
    <row r="140" spans="2:22" ht="15.75">
      <c r="B140" s="36" t="s">
        <v>126</v>
      </c>
      <c r="C140" s="35"/>
      <c r="D140" s="35"/>
      <c r="E140" s="35">
        <v>2</v>
      </c>
      <c r="F140" s="35">
        <f t="shared" si="23"/>
        <v>3</v>
      </c>
      <c r="G140" s="35">
        <f>SUM(K140:M140)</f>
        <v>0</v>
      </c>
      <c r="H140" s="35">
        <f>SUM(N140:P140)</f>
        <v>1</v>
      </c>
      <c r="I140" s="35">
        <f>SUM(Q140:S140)</f>
        <v>0</v>
      </c>
      <c r="J140" s="35">
        <f>SUM(T140:V140)</f>
        <v>2</v>
      </c>
      <c r="K140" s="35">
        <v>0</v>
      </c>
      <c r="L140" s="35">
        <v>0</v>
      </c>
      <c r="M140" s="35">
        <v>0</v>
      </c>
      <c r="N140" s="35">
        <v>0</v>
      </c>
      <c r="O140" s="35">
        <v>1</v>
      </c>
      <c r="P140" s="35">
        <v>0</v>
      </c>
      <c r="Q140" s="35">
        <v>0</v>
      </c>
      <c r="R140" s="35">
        <v>0</v>
      </c>
      <c r="S140" s="35">
        <v>0</v>
      </c>
      <c r="T140" s="35">
        <v>0</v>
      </c>
      <c r="U140" s="47">
        <v>0</v>
      </c>
      <c r="V140" s="48">
        <v>2</v>
      </c>
    </row>
    <row r="141" spans="2:22" ht="15.75">
      <c r="B141" s="36" t="s">
        <v>127</v>
      </c>
      <c r="C141" s="35"/>
      <c r="D141" s="35"/>
      <c r="E141" s="35">
        <v>0</v>
      </c>
      <c r="F141" s="35">
        <f t="shared" si="23"/>
        <v>0</v>
      </c>
      <c r="G141" s="35">
        <f>SUM(K141:M141)</f>
        <v>0</v>
      </c>
      <c r="H141" s="35">
        <f>SUM(N141:P141)</f>
        <v>0</v>
      </c>
      <c r="I141" s="35">
        <f>SUM(Q141:S141)</f>
        <v>0</v>
      </c>
      <c r="J141" s="35">
        <f>SUM(T141:V141)</f>
        <v>0</v>
      </c>
      <c r="K141" s="35">
        <v>0</v>
      </c>
      <c r="L141" s="35">
        <v>0</v>
      </c>
      <c r="M141" s="35">
        <v>0</v>
      </c>
      <c r="N141" s="35">
        <v>0</v>
      </c>
      <c r="O141" s="35">
        <v>0</v>
      </c>
      <c r="P141" s="35">
        <v>0</v>
      </c>
      <c r="Q141" s="35">
        <v>0</v>
      </c>
      <c r="R141" s="35">
        <v>0</v>
      </c>
      <c r="S141" s="35">
        <v>0</v>
      </c>
      <c r="T141" s="35">
        <v>0</v>
      </c>
      <c r="U141" s="47">
        <v>0</v>
      </c>
      <c r="V141" s="48">
        <v>0</v>
      </c>
    </row>
    <row r="142" spans="2:22" ht="15.75">
      <c r="B142" s="36" t="s">
        <v>128</v>
      </c>
      <c r="C142" s="35"/>
      <c r="D142" s="35"/>
      <c r="E142" s="35">
        <v>4</v>
      </c>
      <c r="F142" s="35">
        <f t="shared" si="23"/>
        <v>2</v>
      </c>
      <c r="G142" s="35">
        <f>SUM(K142:M142)</f>
        <v>0</v>
      </c>
      <c r="H142" s="35">
        <f>SUM(N142:P142)</f>
        <v>0</v>
      </c>
      <c r="I142" s="35">
        <f>SUM(Q142:S142)</f>
        <v>0</v>
      </c>
      <c r="J142" s="35">
        <f>SUM(T142:V142)</f>
        <v>2</v>
      </c>
      <c r="K142" s="35">
        <v>0</v>
      </c>
      <c r="L142" s="35">
        <v>0</v>
      </c>
      <c r="M142" s="35">
        <v>0</v>
      </c>
      <c r="N142" s="35">
        <v>0</v>
      </c>
      <c r="O142" s="35">
        <v>0</v>
      </c>
      <c r="P142" s="35">
        <v>0</v>
      </c>
      <c r="Q142" s="35">
        <v>0</v>
      </c>
      <c r="R142" s="35">
        <v>0</v>
      </c>
      <c r="S142" s="35">
        <v>0</v>
      </c>
      <c r="T142" s="35">
        <v>0</v>
      </c>
      <c r="U142" s="47">
        <v>1</v>
      </c>
      <c r="V142" s="48">
        <v>1</v>
      </c>
    </row>
    <row r="143" spans="2:22" ht="15.75">
      <c r="B143" s="36" t="s">
        <v>129</v>
      </c>
      <c r="C143" s="35"/>
      <c r="D143" s="35"/>
      <c r="E143" s="35">
        <v>3</v>
      </c>
      <c r="F143" s="35">
        <f t="shared" si="23"/>
        <v>2</v>
      </c>
      <c r="G143" s="35">
        <f>SUM(K143:M143)</f>
        <v>1</v>
      </c>
      <c r="H143" s="35">
        <f>SUM(N143:P143)</f>
        <v>1</v>
      </c>
      <c r="I143" s="35">
        <f>SUM(Q143:S143)</f>
        <v>0</v>
      </c>
      <c r="J143" s="35">
        <f>SUM(T143:V143)</f>
        <v>0</v>
      </c>
      <c r="K143" s="35">
        <v>0</v>
      </c>
      <c r="L143" s="35">
        <v>0</v>
      </c>
      <c r="M143" s="35">
        <v>1</v>
      </c>
      <c r="N143" s="35">
        <v>0</v>
      </c>
      <c r="O143" s="35">
        <v>0</v>
      </c>
      <c r="P143" s="35">
        <v>1</v>
      </c>
      <c r="Q143" s="35">
        <v>0</v>
      </c>
      <c r="R143" s="35">
        <v>0</v>
      </c>
      <c r="S143" s="35">
        <v>0</v>
      </c>
      <c r="T143" s="35">
        <v>0</v>
      </c>
      <c r="U143" s="47">
        <v>0</v>
      </c>
      <c r="V143" s="48">
        <v>0</v>
      </c>
    </row>
    <row r="144" spans="2:22">
      <c r="B144" s="36" t="s">
        <v>134</v>
      </c>
      <c r="C144" s="36"/>
      <c r="D144" s="36"/>
      <c r="E144" s="36">
        <f>SUM(E139:E143)</f>
        <v>11</v>
      </c>
      <c r="F144" s="36">
        <f t="shared" si="23"/>
        <v>15</v>
      </c>
      <c r="G144" s="36">
        <f>G139+G140+G141+G142+G143</f>
        <v>1</v>
      </c>
      <c r="H144" s="36">
        <f>H139+H140+H141+H142+H143</f>
        <v>2</v>
      </c>
      <c r="I144" s="36">
        <f>I139+I140+I141+I142+I143</f>
        <v>0</v>
      </c>
      <c r="J144" s="36">
        <f>J139+J140+J141+J142+J143</f>
        <v>12</v>
      </c>
      <c r="K144" s="36">
        <f t="shared" ref="K144:R144" si="24">SUM(K139:K143)</f>
        <v>0</v>
      </c>
      <c r="L144" s="36">
        <f t="shared" si="24"/>
        <v>0</v>
      </c>
      <c r="M144" s="36">
        <f t="shared" si="24"/>
        <v>1</v>
      </c>
      <c r="N144" s="36">
        <f t="shared" si="24"/>
        <v>0</v>
      </c>
      <c r="O144" s="36">
        <f t="shared" si="24"/>
        <v>1</v>
      </c>
      <c r="P144" s="36">
        <f t="shared" si="24"/>
        <v>1</v>
      </c>
      <c r="Q144" s="36">
        <f t="shared" si="24"/>
        <v>0</v>
      </c>
      <c r="R144" s="36">
        <f t="shared" si="24"/>
        <v>0</v>
      </c>
      <c r="S144" s="36">
        <f>SUM(S139:S143)</f>
        <v>0</v>
      </c>
      <c r="T144" s="36">
        <f>SUM(T139:T143)</f>
        <v>0</v>
      </c>
      <c r="U144" s="36">
        <f>SUM(U139:U143)</f>
        <v>3</v>
      </c>
      <c r="V144" s="36">
        <f>SUM(V139:V143)</f>
        <v>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FDEA-02A3-45DB-994E-E2729985DBEF}">
  <dimension ref="C4:U6"/>
  <sheetViews>
    <sheetView zoomScale="115" zoomScaleNormal="115" workbookViewId="0">
      <selection activeCell="S14" sqref="S14"/>
    </sheetView>
  </sheetViews>
  <sheetFormatPr defaultRowHeight="15"/>
  <cols>
    <col min="1" max="2" width="9" style="1"/>
    <col min="3" max="3" width="26.75" style="1" bestFit="1" customWidth="1"/>
    <col min="4" max="5" width="11.375" style="1" bestFit="1" customWidth="1"/>
    <col min="6" max="6" width="7.375" style="1" bestFit="1" customWidth="1"/>
    <col min="7" max="7" width="9.375" style="1" bestFit="1" customWidth="1"/>
    <col min="8" max="9" width="8.625" style="1" bestFit="1" customWidth="1"/>
    <col min="10" max="11" width="7.375" style="1" bestFit="1" customWidth="1"/>
    <col min="12" max="12" width="7.625" style="1" bestFit="1" customWidth="1"/>
    <col min="13" max="21" width="7.375" style="1" bestFit="1" customWidth="1"/>
    <col min="22" max="16384" width="9" style="1"/>
  </cols>
  <sheetData>
    <row r="4" spans="3:21" ht="30">
      <c r="C4" s="3" t="s">
        <v>8</v>
      </c>
      <c r="D4" s="5" t="s">
        <v>135</v>
      </c>
      <c r="E4" s="5" t="s">
        <v>136</v>
      </c>
      <c r="F4" s="3" t="s">
        <v>5</v>
      </c>
      <c r="G4" s="3" t="s">
        <v>4</v>
      </c>
      <c r="H4" s="3" t="s">
        <v>3</v>
      </c>
      <c r="I4" s="3" t="s">
        <v>2</v>
      </c>
      <c r="J4" s="3">
        <v>1</v>
      </c>
      <c r="K4" s="3">
        <v>2</v>
      </c>
      <c r="L4" s="3">
        <v>3</v>
      </c>
      <c r="M4" s="3">
        <v>4</v>
      </c>
      <c r="N4" s="3">
        <v>5</v>
      </c>
      <c r="O4" s="3">
        <v>6</v>
      </c>
      <c r="P4" s="3">
        <v>7</v>
      </c>
      <c r="Q4" s="3">
        <v>8</v>
      </c>
      <c r="R4" s="3">
        <v>9</v>
      </c>
      <c r="S4" s="3">
        <v>10</v>
      </c>
      <c r="T4" s="3">
        <v>11</v>
      </c>
      <c r="U4" s="3">
        <v>12</v>
      </c>
    </row>
    <row r="5" spans="3:21">
      <c r="C5" s="3" t="s">
        <v>1</v>
      </c>
      <c r="D5" s="4">
        <v>1.9E-3</v>
      </c>
      <c r="E5" s="4">
        <f>AVERAGE(F5:I5)</f>
        <v>2.6749999999999999E-3</v>
      </c>
      <c r="F5" s="4">
        <f>AVERAGE(J5:L5)</f>
        <v>5.9999999999999995E-4</v>
      </c>
      <c r="G5" s="4">
        <v>1.1000000000000001E-3</v>
      </c>
      <c r="H5" s="4">
        <v>0</v>
      </c>
      <c r="I5" s="4">
        <v>8.9999999999999993E-3</v>
      </c>
      <c r="J5" s="32">
        <v>0</v>
      </c>
      <c r="K5" s="32">
        <v>0</v>
      </c>
      <c r="L5" s="32">
        <v>1.8E-3</v>
      </c>
      <c r="M5" s="32">
        <v>0</v>
      </c>
      <c r="N5" s="32">
        <v>1.6999999999999999E-3</v>
      </c>
      <c r="O5" s="32">
        <v>1.6999999999999999E-3</v>
      </c>
      <c r="P5" s="32">
        <v>0</v>
      </c>
      <c r="Q5" s="32">
        <v>0</v>
      </c>
      <c r="R5" s="32">
        <v>0</v>
      </c>
      <c r="S5" s="32">
        <v>0</v>
      </c>
      <c r="T5" s="32">
        <v>6.7999999999999996E-3</v>
      </c>
      <c r="U5" s="32">
        <v>2.07E-2</v>
      </c>
    </row>
    <row r="6" spans="3:21">
      <c r="C6" s="3" t="s">
        <v>0</v>
      </c>
      <c r="D6" s="2">
        <v>4.0000000000000001E-3</v>
      </c>
      <c r="E6" s="2">
        <v>4.0000000000000001E-3</v>
      </c>
      <c r="F6" s="2">
        <v>4.0000000000000001E-3</v>
      </c>
      <c r="G6" s="2">
        <v>4.0000000000000001E-3</v>
      </c>
      <c r="H6" s="2">
        <v>4.0000000000000001E-3</v>
      </c>
      <c r="I6" s="2">
        <v>4.0000000000000001E-3</v>
      </c>
      <c r="J6" s="2">
        <v>4.0000000000000001E-3</v>
      </c>
      <c r="K6" s="2">
        <v>4.0000000000000001E-3</v>
      </c>
      <c r="L6" s="2">
        <v>4.0000000000000001E-3</v>
      </c>
      <c r="M6" s="2">
        <v>4.0000000000000001E-3</v>
      </c>
      <c r="N6" s="2">
        <v>4.0000000000000001E-3</v>
      </c>
      <c r="O6" s="2">
        <v>4.0000000000000001E-3</v>
      </c>
      <c r="P6" s="2">
        <v>4.0000000000000001E-3</v>
      </c>
      <c r="Q6" s="2">
        <v>4.0000000000000001E-3</v>
      </c>
      <c r="R6" s="2">
        <v>4.0000000000000001E-3</v>
      </c>
      <c r="S6" s="2">
        <v>4.0000000000000001E-3</v>
      </c>
      <c r="T6" s="2">
        <v>4.0000000000000001E-3</v>
      </c>
      <c r="U6" s="2">
        <v>4.0000000000000001E-3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C5F6E-3B33-4C31-902B-6FB22AD1AB95}">
  <dimension ref="B2:AJ17"/>
  <sheetViews>
    <sheetView topLeftCell="J12" zoomScaleNormal="100" workbookViewId="0">
      <selection activeCell="Q18" sqref="Q18"/>
    </sheetView>
  </sheetViews>
  <sheetFormatPr defaultRowHeight="15"/>
  <cols>
    <col min="1" max="1" width="5.875" style="1" customWidth="1"/>
    <col min="2" max="2" width="11.75" style="6" customWidth="1"/>
    <col min="3" max="14" width="9" style="6"/>
    <col min="15" max="30" width="9" style="1"/>
    <col min="31" max="31" width="8.875" style="1" bestFit="1" customWidth="1"/>
    <col min="32" max="34" width="9" style="1"/>
    <col min="35" max="35" width="11.5" style="1" bestFit="1" customWidth="1"/>
    <col min="36" max="36" width="34.125" style="1" bestFit="1" customWidth="1"/>
    <col min="37" max="37" width="16.625" style="1" bestFit="1" customWidth="1"/>
    <col min="38" max="38" width="24" style="1" customWidth="1"/>
    <col min="39" max="39" width="4.625" style="1" bestFit="1" customWidth="1"/>
    <col min="40" max="40" width="6.125" style="1" bestFit="1" customWidth="1"/>
    <col min="41" max="16384" width="9" style="1"/>
  </cols>
  <sheetData>
    <row r="2" spans="2:36">
      <c r="B2" s="7" t="s">
        <v>36</v>
      </c>
      <c r="C2" s="7" t="s">
        <v>35</v>
      </c>
      <c r="D2" s="7" t="s">
        <v>34</v>
      </c>
      <c r="E2" s="7" t="s">
        <v>33</v>
      </c>
      <c r="F2" s="7" t="s">
        <v>32</v>
      </c>
      <c r="G2" s="7" t="s">
        <v>31</v>
      </c>
      <c r="H2" s="7" t="s">
        <v>30</v>
      </c>
      <c r="I2" s="7" t="s">
        <v>29</v>
      </c>
      <c r="J2" s="7" t="s">
        <v>28</v>
      </c>
      <c r="K2" s="7" t="s">
        <v>27</v>
      </c>
      <c r="L2" s="7" t="s">
        <v>26</v>
      </c>
      <c r="M2" s="7" t="s">
        <v>25</v>
      </c>
      <c r="N2" s="7" t="s">
        <v>24</v>
      </c>
      <c r="Q2" s="7"/>
      <c r="R2" s="7" t="s">
        <v>35</v>
      </c>
      <c r="S2" s="7" t="s">
        <v>34</v>
      </c>
      <c r="T2" s="7" t="s">
        <v>33</v>
      </c>
      <c r="U2" s="7" t="s">
        <v>32</v>
      </c>
      <c r="V2" s="7" t="s">
        <v>31</v>
      </c>
      <c r="W2" s="7" t="s">
        <v>30</v>
      </c>
      <c r="X2" s="7" t="s">
        <v>29</v>
      </c>
      <c r="Y2" s="7" t="s">
        <v>28</v>
      </c>
      <c r="Z2" s="7" t="s">
        <v>27</v>
      </c>
      <c r="AA2" s="7" t="s">
        <v>26</v>
      </c>
      <c r="AB2" s="7" t="s">
        <v>25</v>
      </c>
      <c r="AC2" s="7" t="s">
        <v>24</v>
      </c>
    </row>
    <row r="3" spans="2:36">
      <c r="B3" s="7" t="s">
        <v>23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Q3" s="7" t="s">
        <v>245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</row>
    <row r="4" spans="2:36">
      <c r="B4" s="7" t="s">
        <v>22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Q4" s="7" t="s">
        <v>244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1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</row>
    <row r="5" spans="2:36" ht="15.75">
      <c r="B5" s="7" t="s">
        <v>21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Q5" s="7" t="s">
        <v>243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1</v>
      </c>
      <c r="AJ5"/>
    </row>
    <row r="6" spans="2:36" ht="16.5">
      <c r="B6" s="7" t="s">
        <v>20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Q6" s="7" t="s">
        <v>242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J6" s="49"/>
    </row>
    <row r="7" spans="2:36">
      <c r="B7" s="7" t="s">
        <v>19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Q7" s="7" t="s">
        <v>241</v>
      </c>
      <c r="R7" s="7">
        <v>0</v>
      </c>
      <c r="S7" s="7">
        <v>0</v>
      </c>
      <c r="T7" s="7">
        <v>0</v>
      </c>
      <c r="U7" s="7">
        <v>1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</row>
    <row r="8" spans="2:36">
      <c r="B8" s="7" t="s">
        <v>18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Q8" s="7" t="s">
        <v>240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1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</row>
    <row r="9" spans="2:36">
      <c r="B9" s="7" t="s">
        <v>17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Q9" s="7" t="s">
        <v>239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</row>
    <row r="10" spans="2:36">
      <c r="B10" s="7" t="s">
        <v>16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Q10" s="7" t="s">
        <v>141</v>
      </c>
      <c r="R10" s="7">
        <f t="shared" ref="R10:AC10" si="0">SUM(R3:R9)</f>
        <v>0</v>
      </c>
      <c r="S10" s="7">
        <f t="shared" si="0"/>
        <v>0</v>
      </c>
      <c r="T10" s="7">
        <f t="shared" si="0"/>
        <v>0</v>
      </c>
      <c r="U10" s="7">
        <f t="shared" si="0"/>
        <v>1</v>
      </c>
      <c r="V10" s="7">
        <f t="shared" si="0"/>
        <v>0</v>
      </c>
      <c r="W10" s="7">
        <f t="shared" si="0"/>
        <v>2</v>
      </c>
      <c r="X10" s="7">
        <f t="shared" ref="X10" si="1">SUM(X3:X9)</f>
        <v>0</v>
      </c>
      <c r="Y10" s="7">
        <f t="shared" si="0"/>
        <v>0</v>
      </c>
      <c r="Z10" s="7">
        <f t="shared" si="0"/>
        <v>0</v>
      </c>
      <c r="AA10" s="7">
        <f t="shared" si="0"/>
        <v>0</v>
      </c>
      <c r="AB10" s="7">
        <f t="shared" si="0"/>
        <v>0</v>
      </c>
      <c r="AC10" s="7">
        <f t="shared" si="0"/>
        <v>1</v>
      </c>
    </row>
    <row r="11" spans="2:36">
      <c r="B11" s="7" t="s">
        <v>15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Q11" s="7" t="s">
        <v>142</v>
      </c>
      <c r="R11" s="7">
        <v>451</v>
      </c>
      <c r="S11" s="7">
        <v>335</v>
      </c>
      <c r="T11" s="7">
        <v>535</v>
      </c>
      <c r="U11" s="7">
        <v>516</v>
      </c>
      <c r="V11" s="7">
        <v>525</v>
      </c>
      <c r="W11" s="7">
        <v>318</v>
      </c>
      <c r="X11" s="7">
        <v>421</v>
      </c>
      <c r="Y11" s="7">
        <v>411</v>
      </c>
      <c r="Z11" s="7">
        <v>160</v>
      </c>
      <c r="AA11" s="7">
        <v>400</v>
      </c>
      <c r="AB11" s="7">
        <v>429</v>
      </c>
      <c r="AC11" s="7">
        <v>451</v>
      </c>
    </row>
    <row r="12" spans="2:36">
      <c r="B12" s="7" t="s">
        <v>14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2:36">
      <c r="B13" s="7" t="s">
        <v>13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2:36">
      <c r="B14" s="7" t="s">
        <v>12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2:36">
      <c r="B15" s="7" t="s">
        <v>11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2:36">
      <c r="B16" s="7" t="s">
        <v>10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2:14">
      <c r="B17" s="7" t="s">
        <v>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4ADC9-8046-4C7D-9D51-4DCBECA7FEF1}">
  <dimension ref="B2:S10"/>
  <sheetViews>
    <sheetView zoomScale="115" zoomScaleNormal="115" workbookViewId="0">
      <selection activeCell="U26" sqref="U26"/>
    </sheetView>
  </sheetViews>
  <sheetFormatPr defaultColWidth="6" defaultRowHeight="12.75"/>
  <cols>
    <col min="1" max="1" width="6" style="13"/>
    <col min="2" max="2" width="8.75" style="13" customWidth="1"/>
    <col min="3" max="4" width="6" style="13" customWidth="1"/>
    <col min="5" max="5" width="6.875" style="13" customWidth="1"/>
    <col min="6" max="6" width="7.125" style="13" customWidth="1"/>
    <col min="7" max="7" width="6.75" style="13" bestFit="1" customWidth="1"/>
    <col min="8" max="19" width="6.75" style="13" customWidth="1"/>
    <col min="20" max="16384" width="6" style="13"/>
  </cols>
  <sheetData>
    <row r="2" spans="2:19" s="19" customFormat="1" ht="28.5" customHeight="1">
      <c r="B2" s="22" t="s">
        <v>88</v>
      </c>
      <c r="C2" s="22" t="s">
        <v>87</v>
      </c>
      <c r="D2" s="22" t="s">
        <v>86</v>
      </c>
      <c r="E2" s="22" t="s">
        <v>3</v>
      </c>
      <c r="F2" s="22" t="s">
        <v>2</v>
      </c>
      <c r="G2" s="22" t="s">
        <v>204</v>
      </c>
      <c r="H2" s="22" t="s">
        <v>85</v>
      </c>
      <c r="I2" s="22" t="s">
        <v>84</v>
      </c>
      <c r="J2" s="22" t="s">
        <v>83</v>
      </c>
      <c r="K2" s="22" t="s">
        <v>82</v>
      </c>
      <c r="L2" s="22" t="s">
        <v>81</v>
      </c>
      <c r="M2" s="22" t="s">
        <v>80</v>
      </c>
      <c r="N2" s="22" t="s">
        <v>79</v>
      </c>
      <c r="O2" s="22" t="s">
        <v>78</v>
      </c>
      <c r="P2" s="22" t="s">
        <v>77</v>
      </c>
      <c r="Q2" s="22" t="s">
        <v>76</v>
      </c>
      <c r="R2" s="22" t="s">
        <v>75</v>
      </c>
      <c r="S2" s="22" t="s">
        <v>74</v>
      </c>
    </row>
    <row r="3" spans="2:19" s="19" customFormat="1" ht="16.5" customHeight="1">
      <c r="B3" s="22" t="s">
        <v>73</v>
      </c>
      <c r="C3" s="23">
        <f>(H3+I3+J3)/3</f>
        <v>87.813333333333333</v>
      </c>
      <c r="D3" s="23">
        <f>(K3+L3+M3)/3</f>
        <v>89.133333333333326</v>
      </c>
      <c r="E3" s="23">
        <f>(N3+O3+P3)/3</f>
        <v>89.953333333333333</v>
      </c>
      <c r="F3" s="23">
        <f>(Q3+R3+S3)/3</f>
        <v>83.233333333333334</v>
      </c>
      <c r="G3" s="23">
        <f>AVERAGE(C3:F3)</f>
        <v>87.533333333333331</v>
      </c>
      <c r="H3" s="23">
        <v>82.04</v>
      </c>
      <c r="I3" s="23">
        <v>90.8</v>
      </c>
      <c r="J3" s="23">
        <v>90.6</v>
      </c>
      <c r="K3" s="23">
        <v>87.3</v>
      </c>
      <c r="L3" s="23">
        <v>90.8</v>
      </c>
      <c r="M3" s="23">
        <v>89.3</v>
      </c>
      <c r="N3" s="23">
        <v>90.5</v>
      </c>
      <c r="O3" s="23">
        <v>88.56</v>
      </c>
      <c r="P3" s="23">
        <v>90.8</v>
      </c>
      <c r="Q3" s="23">
        <v>88.4</v>
      </c>
      <c r="R3" s="23">
        <v>89.6</v>
      </c>
      <c r="S3" s="23">
        <v>71.7</v>
      </c>
    </row>
    <row r="4" spans="2:19" s="19" customFormat="1" ht="16.5" customHeight="1">
      <c r="B4" s="22" t="s">
        <v>72</v>
      </c>
      <c r="C4" s="23">
        <v>89.7</v>
      </c>
      <c r="D4" s="23">
        <v>89.7</v>
      </c>
      <c r="E4" s="23">
        <v>89.7</v>
      </c>
      <c r="F4" s="23">
        <v>89.7</v>
      </c>
      <c r="G4" s="23">
        <v>89.7</v>
      </c>
      <c r="H4" s="23">
        <v>89.7</v>
      </c>
      <c r="I4" s="23">
        <v>89.7</v>
      </c>
      <c r="J4" s="23">
        <v>89.7</v>
      </c>
      <c r="K4" s="23">
        <v>89.7</v>
      </c>
      <c r="L4" s="23">
        <v>89.7</v>
      </c>
      <c r="M4" s="23">
        <v>89.7</v>
      </c>
      <c r="N4" s="23">
        <v>89.7</v>
      </c>
      <c r="O4" s="23">
        <v>89.7</v>
      </c>
      <c r="P4" s="23">
        <v>89.7</v>
      </c>
      <c r="Q4" s="23">
        <v>89.7</v>
      </c>
      <c r="R4" s="23">
        <v>89.7</v>
      </c>
      <c r="S4" s="23">
        <v>89.7</v>
      </c>
    </row>
    <row r="5" spans="2:19" s="19" customFormat="1" ht="16.5" customHeight="1">
      <c r="B5" s="22" t="s">
        <v>71</v>
      </c>
      <c r="C5" s="15">
        <f t="shared" ref="C5:C10" si="0">(H5+I5+J5)/3</f>
        <v>5.126666666666666</v>
      </c>
      <c r="D5" s="15">
        <f t="shared" ref="D5:D10" si="1">(K5+L5+M5)/3</f>
        <v>4.9666666666666668</v>
      </c>
      <c r="E5" s="15">
        <f t="shared" ref="E5:E10" si="2">(N5+O5+P5)/3</f>
        <v>4.2266666666666666</v>
      </c>
      <c r="F5" s="15">
        <f t="shared" ref="F5:F10" si="3">(Q5+R5+S5)/3</f>
        <v>3.86</v>
      </c>
      <c r="G5" s="15">
        <f t="shared" ref="G5:G10" si="4">AVERAGE(C5:F5)</f>
        <v>4.5449999999999999</v>
      </c>
      <c r="H5" s="15">
        <v>7.48</v>
      </c>
      <c r="I5" s="43">
        <v>3.7</v>
      </c>
      <c r="J5" s="43">
        <v>4.2</v>
      </c>
      <c r="K5" s="43">
        <v>6</v>
      </c>
      <c r="L5" s="43">
        <v>4.3</v>
      </c>
      <c r="M5" s="43">
        <v>4.5999999999999996</v>
      </c>
      <c r="N5" s="43">
        <v>4.3</v>
      </c>
      <c r="O5" s="43">
        <v>4.68</v>
      </c>
      <c r="P5" s="43">
        <v>3.7</v>
      </c>
      <c r="Q5" s="43">
        <v>4.28</v>
      </c>
      <c r="R5" s="43">
        <v>3.5</v>
      </c>
      <c r="S5" s="43">
        <v>3.8</v>
      </c>
    </row>
    <row r="6" spans="2:19" s="19" customFormat="1" ht="16.5" customHeight="1">
      <c r="B6" s="21" t="s">
        <v>70</v>
      </c>
      <c r="C6" s="15">
        <f t="shared" si="0"/>
        <v>0.12666666666666668</v>
      </c>
      <c r="D6" s="15">
        <f t="shared" si="1"/>
        <v>0.23333333333333331</v>
      </c>
      <c r="E6" s="15">
        <f t="shared" si="2"/>
        <v>0.27333333333333332</v>
      </c>
      <c r="F6" s="15">
        <f t="shared" si="3"/>
        <v>0.60666666666666669</v>
      </c>
      <c r="G6" s="15">
        <f t="shared" si="4"/>
        <v>0.31</v>
      </c>
      <c r="H6" s="20">
        <v>0</v>
      </c>
      <c r="I6" s="44">
        <v>0.18</v>
      </c>
      <c r="J6" s="44">
        <v>0.2</v>
      </c>
      <c r="K6" s="44">
        <v>0</v>
      </c>
      <c r="L6" s="44">
        <v>0.1</v>
      </c>
      <c r="M6" s="44">
        <v>0.6</v>
      </c>
      <c r="N6" s="44">
        <v>0.06</v>
      </c>
      <c r="O6" s="44">
        <v>0.62</v>
      </c>
      <c r="P6" s="44">
        <v>0.14000000000000001</v>
      </c>
      <c r="Q6" s="44">
        <v>0.42</v>
      </c>
      <c r="R6" s="44">
        <v>0.1</v>
      </c>
      <c r="S6" s="44">
        <v>1.3</v>
      </c>
    </row>
    <row r="7" spans="2:19" s="17" customFormat="1" ht="16.5" customHeight="1">
      <c r="B7" s="16" t="s">
        <v>69</v>
      </c>
      <c r="C7" s="15">
        <f t="shared" si="0"/>
        <v>4.5200000000000005</v>
      </c>
      <c r="D7" s="15">
        <f t="shared" si="1"/>
        <v>5.2666666666666666</v>
      </c>
      <c r="E7" s="15">
        <f t="shared" si="2"/>
        <v>5.1866666666666665</v>
      </c>
      <c r="F7" s="15">
        <f t="shared" si="3"/>
        <v>7.7733333333333334</v>
      </c>
      <c r="G7" s="15">
        <f t="shared" si="4"/>
        <v>5.6866666666666665</v>
      </c>
      <c r="H7" s="18">
        <v>4.08</v>
      </c>
      <c r="I7" s="14">
        <v>4.9800000000000004</v>
      </c>
      <c r="J7" s="14">
        <v>4.5</v>
      </c>
      <c r="K7" s="14">
        <v>6.2</v>
      </c>
      <c r="L7" s="14">
        <v>4.5</v>
      </c>
      <c r="M7" s="14">
        <v>5.0999999999999996</v>
      </c>
      <c r="N7" s="14">
        <v>4.72</v>
      </c>
      <c r="O7" s="14">
        <v>5.74</v>
      </c>
      <c r="P7" s="14">
        <v>5.0999999999999996</v>
      </c>
      <c r="Q7" s="14">
        <v>6.72</v>
      </c>
      <c r="R7" s="14">
        <v>6.1</v>
      </c>
      <c r="S7" s="14">
        <v>10.5</v>
      </c>
    </row>
    <row r="8" spans="2:19" s="17" customFormat="1" ht="16.5" customHeight="1">
      <c r="B8" s="16" t="s">
        <v>68</v>
      </c>
      <c r="C8" s="15">
        <f t="shared" si="0"/>
        <v>0.17333333333333334</v>
      </c>
      <c r="D8" s="15">
        <f t="shared" si="1"/>
        <v>6.6666666666666666E-2</v>
      </c>
      <c r="E8" s="15">
        <f t="shared" si="2"/>
        <v>0</v>
      </c>
      <c r="F8" s="15">
        <f t="shared" si="3"/>
        <v>0.70000000000000007</v>
      </c>
      <c r="G8" s="15">
        <f t="shared" si="4"/>
        <v>0.23500000000000001</v>
      </c>
      <c r="H8" s="18">
        <v>0.16</v>
      </c>
      <c r="I8" s="14">
        <v>0</v>
      </c>
      <c r="J8" s="14">
        <v>0.36</v>
      </c>
      <c r="K8" s="14">
        <v>0.2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0.3</v>
      </c>
      <c r="S8" s="14">
        <v>1.8</v>
      </c>
    </row>
    <row r="9" spans="2:19" s="17" customFormat="1" ht="15.75" customHeight="1">
      <c r="B9" s="16" t="s">
        <v>67</v>
      </c>
      <c r="C9" s="15">
        <f t="shared" si="0"/>
        <v>6.1333333333333329</v>
      </c>
      <c r="D9" s="15">
        <f t="shared" si="1"/>
        <v>0.3666666666666667</v>
      </c>
      <c r="E9" s="15">
        <f t="shared" si="2"/>
        <v>0.02</v>
      </c>
      <c r="F9" s="15">
        <f t="shared" si="3"/>
        <v>2.3333333333333335</v>
      </c>
      <c r="G9" s="15">
        <f t="shared" si="4"/>
        <v>2.2133333333333334</v>
      </c>
      <c r="H9" s="14">
        <v>5.92</v>
      </c>
      <c r="I9" s="14">
        <v>12.48</v>
      </c>
      <c r="J9" s="14">
        <v>0</v>
      </c>
      <c r="K9" s="14">
        <v>1.1000000000000001</v>
      </c>
      <c r="L9" s="14">
        <v>0</v>
      </c>
      <c r="M9" s="14">
        <v>0</v>
      </c>
      <c r="N9" s="14">
        <v>0</v>
      </c>
      <c r="O9" s="14">
        <v>0.06</v>
      </c>
      <c r="P9" s="14">
        <v>0</v>
      </c>
      <c r="Q9" s="14">
        <v>0</v>
      </c>
      <c r="R9" s="14">
        <v>0</v>
      </c>
      <c r="S9" s="14">
        <v>7</v>
      </c>
    </row>
    <row r="10" spans="2:19" ht="15.75" customHeight="1">
      <c r="B10" s="16" t="s">
        <v>66</v>
      </c>
      <c r="C10" s="15">
        <f t="shared" si="0"/>
        <v>0</v>
      </c>
      <c r="D10" s="15">
        <f t="shared" si="1"/>
        <v>0</v>
      </c>
      <c r="E10" s="15">
        <f t="shared" si="2"/>
        <v>0</v>
      </c>
      <c r="F10" s="15">
        <f t="shared" si="3"/>
        <v>0</v>
      </c>
      <c r="G10" s="15">
        <f t="shared" si="4"/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A1EE-6F84-497C-8595-7379F63D3470}">
  <dimension ref="A2:AB165"/>
  <sheetViews>
    <sheetView tabSelected="1" topLeftCell="D135" zoomScaleNormal="100" workbookViewId="0">
      <selection activeCell="K165" sqref="K165"/>
    </sheetView>
  </sheetViews>
  <sheetFormatPr defaultRowHeight="15.75"/>
  <cols>
    <col min="1" max="1" width="9" style="1"/>
    <col min="2" max="2" width="9.25" style="1" bestFit="1" customWidth="1"/>
    <col min="3" max="3" width="6.5" style="1" bestFit="1" customWidth="1"/>
    <col min="4" max="5" width="6.625" style="1" bestFit="1" customWidth="1"/>
    <col min="6" max="6" width="9.625" style="1" bestFit="1" customWidth="1"/>
    <col min="7" max="7" width="9.375" style="1" bestFit="1" customWidth="1"/>
    <col min="8" max="8" width="6.625" style="1" bestFit="1" customWidth="1"/>
    <col min="9" max="9" width="7.25" style="1" bestFit="1" customWidth="1"/>
    <col min="10" max="10" width="7" style="1" bestFit="1" customWidth="1"/>
    <col min="11" max="11" width="6.5" style="1" bestFit="1" customWidth="1"/>
    <col min="12" max="12" width="6.75" style="1" bestFit="1" customWidth="1"/>
    <col min="13" max="18" width="9" style="1"/>
    <col min="19" max="19" width="9" style="87"/>
    <col min="20" max="25" width="9" style="1"/>
    <col min="29" max="16384" width="9" style="1"/>
  </cols>
  <sheetData>
    <row r="2" spans="1:25">
      <c r="A2" s="1" t="s">
        <v>65</v>
      </c>
      <c r="B2" s="7" t="s">
        <v>53</v>
      </c>
      <c r="C2" s="12" t="s">
        <v>52</v>
      </c>
      <c r="D2" s="11" t="s">
        <v>51</v>
      </c>
      <c r="E2" s="10" t="s">
        <v>50</v>
      </c>
      <c r="F2" s="9" t="s">
        <v>49</v>
      </c>
      <c r="G2" s="8" t="s">
        <v>48</v>
      </c>
      <c r="H2" s="7" t="s">
        <v>47</v>
      </c>
      <c r="I2" s="7" t="s">
        <v>46</v>
      </c>
      <c r="J2" s="7" t="s">
        <v>45</v>
      </c>
      <c r="K2" s="7" t="s">
        <v>44</v>
      </c>
      <c r="L2" s="7" t="s">
        <v>43</v>
      </c>
    </row>
    <row r="3" spans="1:25">
      <c r="B3" s="7" t="s">
        <v>42</v>
      </c>
      <c r="C3" s="7">
        <v>73.2</v>
      </c>
      <c r="D3" s="7">
        <v>7.1</v>
      </c>
      <c r="E3" s="7">
        <v>3.1</v>
      </c>
      <c r="F3" s="7">
        <f>SUM(C3:E3)</f>
        <v>83.399999999999991</v>
      </c>
      <c r="G3" s="7">
        <v>3.8</v>
      </c>
      <c r="H3" s="7">
        <v>0.2</v>
      </c>
      <c r="I3" s="7">
        <v>0</v>
      </c>
      <c r="J3" s="7">
        <v>2.4</v>
      </c>
      <c r="K3" s="7">
        <v>9.9</v>
      </c>
      <c r="L3" s="7">
        <v>0</v>
      </c>
    </row>
    <row r="4" spans="1:25">
      <c r="B4" s="7" t="s">
        <v>41</v>
      </c>
      <c r="C4" s="7">
        <v>75.2</v>
      </c>
      <c r="D4" s="7">
        <v>6.6</v>
      </c>
      <c r="E4" s="7">
        <v>1.2</v>
      </c>
      <c r="F4" s="7">
        <f>SUM(C4:E4)</f>
        <v>83</v>
      </c>
      <c r="G4" s="7">
        <v>3.4</v>
      </c>
      <c r="H4" s="7">
        <v>0</v>
      </c>
      <c r="I4" s="7">
        <v>0</v>
      </c>
      <c r="J4" s="7">
        <v>13.3</v>
      </c>
      <c r="K4" s="7">
        <v>0</v>
      </c>
      <c r="L4" s="7">
        <v>0</v>
      </c>
    </row>
    <row r="5" spans="1:25">
      <c r="B5" s="7" t="s">
        <v>40</v>
      </c>
      <c r="C5" s="7">
        <v>75.599999999999994</v>
      </c>
      <c r="D5" s="7">
        <v>7.4</v>
      </c>
      <c r="E5" s="7">
        <v>0</v>
      </c>
      <c r="F5" s="7">
        <f>SUM(C5:E5)</f>
        <v>83</v>
      </c>
      <c r="G5" s="7">
        <v>3.6</v>
      </c>
      <c r="H5" s="7">
        <v>0.3</v>
      </c>
      <c r="I5" s="7">
        <v>0</v>
      </c>
      <c r="J5" s="7">
        <v>12.7</v>
      </c>
      <c r="K5" s="7">
        <v>0</v>
      </c>
      <c r="L5" s="7">
        <v>0</v>
      </c>
    </row>
    <row r="6" spans="1:25">
      <c r="B6" s="7" t="s">
        <v>39</v>
      </c>
      <c r="C6" s="7">
        <v>73.3</v>
      </c>
      <c r="D6" s="7">
        <v>4.0999999999999996</v>
      </c>
      <c r="E6" s="7">
        <v>2.7</v>
      </c>
      <c r="F6" s="7">
        <f>SUM(C6:E6)</f>
        <v>80.099999999999994</v>
      </c>
      <c r="G6" s="7">
        <v>5.6</v>
      </c>
      <c r="H6" s="7">
        <v>0</v>
      </c>
      <c r="I6" s="7">
        <v>0</v>
      </c>
      <c r="J6" s="7">
        <v>4.2</v>
      </c>
      <c r="K6" s="7">
        <v>9.8000000000000007</v>
      </c>
      <c r="L6" s="7">
        <v>0</v>
      </c>
    </row>
    <row r="7" spans="1:25">
      <c r="B7" s="7" t="s">
        <v>38</v>
      </c>
      <c r="C7" s="7">
        <v>51.1</v>
      </c>
      <c r="D7" s="7">
        <v>22.5</v>
      </c>
      <c r="E7" s="7">
        <v>7.1</v>
      </c>
      <c r="F7" s="7">
        <f>SUM(C7:E7)</f>
        <v>80.699999999999989</v>
      </c>
      <c r="G7" s="7">
        <v>4</v>
      </c>
      <c r="H7" s="7">
        <v>0.3</v>
      </c>
      <c r="I7" s="7">
        <v>0</v>
      </c>
      <c r="J7" s="7">
        <v>4.8</v>
      </c>
      <c r="K7" s="7">
        <v>9.9</v>
      </c>
      <c r="L7" s="7">
        <v>0</v>
      </c>
    </row>
    <row r="8" spans="1:25">
      <c r="B8" s="7" t="s">
        <v>37</v>
      </c>
      <c r="C8" s="7">
        <f t="shared" ref="C8:L8" si="0">AVERAGE(C3:C7)</f>
        <v>69.680000000000007</v>
      </c>
      <c r="D8" s="7">
        <f t="shared" si="0"/>
        <v>9.5400000000000009</v>
      </c>
      <c r="E8" s="7">
        <f t="shared" si="0"/>
        <v>2.82</v>
      </c>
      <c r="F8" s="7">
        <f t="shared" si="0"/>
        <v>82.039999999999992</v>
      </c>
      <c r="G8" s="7">
        <f t="shared" si="0"/>
        <v>4.08</v>
      </c>
      <c r="H8" s="7">
        <f t="shared" si="0"/>
        <v>0.16</v>
      </c>
      <c r="I8" s="7">
        <f t="shared" si="0"/>
        <v>0</v>
      </c>
      <c r="J8" s="7">
        <f t="shared" si="0"/>
        <v>7.4799999999999995</v>
      </c>
      <c r="K8" s="7">
        <f t="shared" si="0"/>
        <v>5.92</v>
      </c>
      <c r="L8" s="7">
        <f t="shared" si="0"/>
        <v>0</v>
      </c>
    </row>
    <row r="9" spans="1:25">
      <c r="N9" s="1">
        <v>1</v>
      </c>
    </row>
    <row r="10" spans="1:25">
      <c r="N10" s="7" t="s">
        <v>53</v>
      </c>
      <c r="O10" s="85" t="s">
        <v>52</v>
      </c>
      <c r="P10" s="85" t="s">
        <v>51</v>
      </c>
      <c r="Q10" s="85" t="s">
        <v>50</v>
      </c>
      <c r="R10" s="86" t="s">
        <v>49</v>
      </c>
      <c r="S10" s="9" t="s">
        <v>235</v>
      </c>
      <c r="T10" s="7" t="s">
        <v>45</v>
      </c>
      <c r="U10" s="7" t="s">
        <v>46</v>
      </c>
      <c r="V10" s="85" t="s">
        <v>48</v>
      </c>
      <c r="W10" s="7" t="s">
        <v>47</v>
      </c>
      <c r="X10" s="7" t="s">
        <v>44</v>
      </c>
      <c r="Y10" s="7" t="s">
        <v>43</v>
      </c>
    </row>
    <row r="11" spans="1:25">
      <c r="N11" s="7" t="s">
        <v>205</v>
      </c>
      <c r="O11" s="7">
        <v>49.7</v>
      </c>
      <c r="P11" s="7">
        <v>32.9</v>
      </c>
      <c r="Q11" s="7">
        <v>1.2</v>
      </c>
      <c r="R11" s="7">
        <f>SUM(O11+P11+Q11)</f>
        <v>83.8</v>
      </c>
      <c r="S11" s="7">
        <f>T11+U11</f>
        <v>1.8</v>
      </c>
      <c r="T11" s="7">
        <v>1.3</v>
      </c>
      <c r="U11" s="7">
        <v>0.5</v>
      </c>
      <c r="V11" s="7">
        <v>5.5</v>
      </c>
      <c r="W11" s="7">
        <v>0.2</v>
      </c>
      <c r="X11" s="7">
        <v>8.4</v>
      </c>
      <c r="Y11" s="7">
        <v>0</v>
      </c>
    </row>
    <row r="12" spans="1:25">
      <c r="A12" s="1" t="s">
        <v>64</v>
      </c>
      <c r="B12" s="7" t="s">
        <v>53</v>
      </c>
      <c r="C12" s="12" t="s">
        <v>52</v>
      </c>
      <c r="D12" s="11" t="s">
        <v>51</v>
      </c>
      <c r="E12" s="10" t="s">
        <v>50</v>
      </c>
      <c r="F12" s="9" t="s">
        <v>49</v>
      </c>
      <c r="G12" s="8" t="s">
        <v>48</v>
      </c>
      <c r="H12" s="7" t="s">
        <v>47</v>
      </c>
      <c r="I12" s="7" t="s">
        <v>46</v>
      </c>
      <c r="J12" s="7" t="s">
        <v>45</v>
      </c>
      <c r="K12" s="7" t="s">
        <v>44</v>
      </c>
      <c r="L12" s="7" t="s">
        <v>43</v>
      </c>
      <c r="N12" s="7" t="s">
        <v>206</v>
      </c>
      <c r="O12" s="7">
        <v>48</v>
      </c>
      <c r="P12" s="7">
        <v>9.3000000000000007</v>
      </c>
      <c r="Q12" s="7">
        <v>2.2000000000000002</v>
      </c>
      <c r="R12" s="7">
        <f t="shared" ref="R12:R15" si="1">SUM(O12+P12+Q12)</f>
        <v>59.5</v>
      </c>
      <c r="S12" s="7">
        <f>T12+U12</f>
        <v>37.9</v>
      </c>
      <c r="T12" s="7">
        <v>37.9</v>
      </c>
      <c r="U12" s="7">
        <v>0</v>
      </c>
      <c r="V12" s="7">
        <v>2.4</v>
      </c>
      <c r="W12" s="7">
        <v>0</v>
      </c>
      <c r="X12" s="7">
        <v>0</v>
      </c>
      <c r="Y12" s="7">
        <v>0</v>
      </c>
    </row>
    <row r="13" spans="1:25">
      <c r="B13" s="7" t="s">
        <v>42</v>
      </c>
      <c r="C13" s="7">
        <v>77.599999999999994</v>
      </c>
      <c r="D13" s="7">
        <v>4</v>
      </c>
      <c r="E13" s="7">
        <v>6.7</v>
      </c>
      <c r="F13" s="7">
        <f>SUM(C13:E13)</f>
        <v>88.3</v>
      </c>
      <c r="G13" s="7">
        <v>5.8</v>
      </c>
      <c r="H13" s="7">
        <v>0</v>
      </c>
      <c r="I13" s="7">
        <v>0.3</v>
      </c>
      <c r="J13" s="7">
        <v>5.2</v>
      </c>
      <c r="K13" s="7">
        <v>0</v>
      </c>
      <c r="L13" s="7">
        <v>0</v>
      </c>
      <c r="N13" s="7" t="s">
        <v>207</v>
      </c>
      <c r="O13" s="7">
        <v>66.3</v>
      </c>
      <c r="P13" s="7">
        <v>18.3</v>
      </c>
      <c r="Q13" s="7">
        <v>1</v>
      </c>
      <c r="R13" s="7">
        <f t="shared" si="1"/>
        <v>85.6</v>
      </c>
      <c r="S13" s="7">
        <f>T13+U13</f>
        <v>3.4</v>
      </c>
      <c r="T13" s="7">
        <v>3.4</v>
      </c>
      <c r="U13" s="7">
        <v>0</v>
      </c>
      <c r="V13" s="7">
        <v>2</v>
      </c>
      <c r="W13" s="7">
        <v>0.2</v>
      </c>
      <c r="X13" s="7">
        <v>8.4</v>
      </c>
      <c r="Y13" s="7">
        <v>0</v>
      </c>
    </row>
    <row r="14" spans="1:25">
      <c r="B14" s="7" t="s">
        <v>41</v>
      </c>
      <c r="C14" s="7">
        <v>77.400000000000006</v>
      </c>
      <c r="D14" s="7">
        <v>3.3</v>
      </c>
      <c r="E14" s="7">
        <v>6.2</v>
      </c>
      <c r="F14" s="7">
        <f>SUM(C14:E14)</f>
        <v>86.9</v>
      </c>
      <c r="G14" s="7">
        <v>5.8</v>
      </c>
      <c r="H14" s="7">
        <v>2.4</v>
      </c>
      <c r="I14" s="7">
        <v>0</v>
      </c>
      <c r="J14" s="7">
        <v>4.5</v>
      </c>
      <c r="K14" s="7">
        <v>0</v>
      </c>
      <c r="L14" s="7">
        <v>0</v>
      </c>
      <c r="N14" s="7" t="s">
        <v>208</v>
      </c>
      <c r="O14" s="7">
        <v>63.3</v>
      </c>
      <c r="P14" s="7">
        <v>26.2</v>
      </c>
      <c r="Q14" s="7">
        <v>0</v>
      </c>
      <c r="R14" s="7">
        <f t="shared" si="1"/>
        <v>89.5</v>
      </c>
      <c r="S14" s="7">
        <f>T14+U14</f>
        <v>1</v>
      </c>
      <c r="T14" s="7">
        <v>1</v>
      </c>
      <c r="U14" s="7">
        <v>0</v>
      </c>
      <c r="V14" s="7">
        <v>0.8</v>
      </c>
      <c r="W14" s="7">
        <v>0</v>
      </c>
      <c r="X14" s="7">
        <v>8.4</v>
      </c>
      <c r="Y14" s="7">
        <v>0</v>
      </c>
    </row>
    <row r="15" spans="1:25">
      <c r="B15" s="7" t="s">
        <v>40</v>
      </c>
      <c r="C15" s="7">
        <v>90</v>
      </c>
      <c r="D15" s="7">
        <v>1.6</v>
      </c>
      <c r="E15" s="7">
        <v>0.3</v>
      </c>
      <c r="F15" s="7">
        <f>SUM(C15:E15)</f>
        <v>91.899999999999991</v>
      </c>
      <c r="G15" s="7">
        <v>5</v>
      </c>
      <c r="H15" s="7">
        <v>0</v>
      </c>
      <c r="I15" s="7">
        <v>0</v>
      </c>
      <c r="J15" s="7">
        <v>2.8</v>
      </c>
      <c r="K15" s="7">
        <v>0</v>
      </c>
      <c r="L15" s="7">
        <v>0</v>
      </c>
      <c r="N15" s="7" t="s">
        <v>209</v>
      </c>
      <c r="O15" s="7">
        <v>45.4</v>
      </c>
      <c r="P15" s="7">
        <v>22.5</v>
      </c>
      <c r="Q15" s="7">
        <v>0.2</v>
      </c>
      <c r="R15" s="7">
        <f t="shared" si="1"/>
        <v>68.100000000000009</v>
      </c>
      <c r="S15" s="7">
        <f>T15+U15</f>
        <v>16.5</v>
      </c>
      <c r="T15" s="7">
        <v>9.1</v>
      </c>
      <c r="U15" s="7">
        <v>7.4</v>
      </c>
      <c r="V15" s="7">
        <v>6.2</v>
      </c>
      <c r="W15" s="7">
        <v>0.5</v>
      </c>
      <c r="X15" s="7">
        <v>8.4</v>
      </c>
      <c r="Y15" s="7">
        <v>0</v>
      </c>
    </row>
    <row r="16" spans="1:25">
      <c r="B16" s="7" t="s">
        <v>39</v>
      </c>
      <c r="C16" s="7">
        <v>86</v>
      </c>
      <c r="D16" s="7">
        <v>2.1</v>
      </c>
      <c r="E16" s="7">
        <v>0.6</v>
      </c>
      <c r="F16" s="7">
        <f>SUM(C16:E16)</f>
        <v>88.699999999999989</v>
      </c>
      <c r="G16" s="7">
        <v>5.5</v>
      </c>
      <c r="H16" s="7">
        <v>0</v>
      </c>
      <c r="I16" s="7">
        <v>0</v>
      </c>
      <c r="J16" s="7">
        <v>5.6</v>
      </c>
      <c r="K16" s="7">
        <v>0</v>
      </c>
      <c r="L16" s="7">
        <v>0</v>
      </c>
      <c r="N16" s="7" t="s">
        <v>37</v>
      </c>
      <c r="O16" s="7">
        <f>AVERAGE(O11:O15)</f>
        <v>54.54</v>
      </c>
      <c r="P16" s="7">
        <f t="shared" ref="P16:S16" si="2">AVERAGE(P11:P15)</f>
        <v>21.84</v>
      </c>
      <c r="Q16" s="7">
        <f t="shared" si="2"/>
        <v>0.92000000000000015</v>
      </c>
      <c r="R16" s="7">
        <f t="shared" si="2"/>
        <v>77.3</v>
      </c>
      <c r="S16" s="7">
        <f t="shared" si="2"/>
        <v>12.12</v>
      </c>
      <c r="T16" s="7">
        <f t="shared" ref="T16:Y16" si="3">AVERAGE(T11:T15)</f>
        <v>10.54</v>
      </c>
      <c r="U16" s="7">
        <f t="shared" si="3"/>
        <v>1.58</v>
      </c>
      <c r="V16" s="7">
        <f t="shared" si="3"/>
        <v>3.3800000000000003</v>
      </c>
      <c r="W16" s="7">
        <f t="shared" si="3"/>
        <v>0.18</v>
      </c>
      <c r="X16" s="7">
        <f t="shared" si="3"/>
        <v>6.7200000000000006</v>
      </c>
      <c r="Y16" s="7">
        <f t="shared" si="3"/>
        <v>0</v>
      </c>
    </row>
    <row r="17" spans="1:25">
      <c r="B17" s="7" t="s">
        <v>38</v>
      </c>
      <c r="C17" s="7">
        <v>73.5</v>
      </c>
      <c r="D17" s="7">
        <v>16.600000000000001</v>
      </c>
      <c r="E17" s="7">
        <v>2.2999999999999998</v>
      </c>
      <c r="F17" s="7">
        <f>SUM(C17:E17)</f>
        <v>92.399999999999991</v>
      </c>
      <c r="G17" s="7">
        <v>3.5</v>
      </c>
      <c r="H17" s="7">
        <v>0</v>
      </c>
      <c r="I17" s="7">
        <v>0</v>
      </c>
      <c r="J17" s="7">
        <v>3.7</v>
      </c>
      <c r="K17" s="7">
        <v>0</v>
      </c>
      <c r="L17" s="7">
        <v>0</v>
      </c>
    </row>
    <row r="18" spans="1:25">
      <c r="B18" s="7" t="s">
        <v>37</v>
      </c>
      <c r="C18" s="7">
        <f t="shared" ref="C18:L18" si="4">AVERAGE(C13:C17)</f>
        <v>80.900000000000006</v>
      </c>
      <c r="D18" s="7">
        <f t="shared" si="4"/>
        <v>5.5200000000000005</v>
      </c>
      <c r="E18" s="7">
        <f t="shared" si="4"/>
        <v>3.22</v>
      </c>
      <c r="F18" s="7">
        <f t="shared" si="4"/>
        <v>89.639999999999986</v>
      </c>
      <c r="G18" s="7">
        <f t="shared" si="4"/>
        <v>5.12</v>
      </c>
      <c r="H18" s="7">
        <f t="shared" si="4"/>
        <v>0.48</v>
      </c>
      <c r="I18" s="7">
        <f t="shared" si="4"/>
        <v>0.06</v>
      </c>
      <c r="J18" s="7">
        <f t="shared" si="4"/>
        <v>4.3600000000000003</v>
      </c>
      <c r="K18" s="7">
        <f t="shared" si="4"/>
        <v>0</v>
      </c>
      <c r="L18" s="7">
        <f t="shared" si="4"/>
        <v>0</v>
      </c>
      <c r="N18" s="1">
        <v>2</v>
      </c>
    </row>
    <row r="19" spans="1:25">
      <c r="N19" s="7" t="s">
        <v>53</v>
      </c>
      <c r="O19" s="85" t="s">
        <v>52</v>
      </c>
      <c r="P19" s="85" t="s">
        <v>51</v>
      </c>
      <c r="Q19" s="85" t="s">
        <v>50</v>
      </c>
      <c r="R19" s="86" t="s">
        <v>49</v>
      </c>
      <c r="S19" s="9" t="s">
        <v>235</v>
      </c>
      <c r="T19" s="7" t="s">
        <v>45</v>
      </c>
      <c r="U19" s="7" t="s">
        <v>46</v>
      </c>
      <c r="V19" s="85" t="s">
        <v>48</v>
      </c>
      <c r="W19" s="7" t="s">
        <v>47</v>
      </c>
      <c r="X19" s="7" t="s">
        <v>44</v>
      </c>
      <c r="Y19" s="7" t="s">
        <v>43</v>
      </c>
    </row>
    <row r="20" spans="1:25">
      <c r="N20" s="7" t="s">
        <v>205</v>
      </c>
      <c r="O20" s="7">
        <v>45.2</v>
      </c>
      <c r="P20" s="7">
        <v>42.4</v>
      </c>
      <c r="Q20" s="7">
        <v>0.1</v>
      </c>
      <c r="R20" s="7">
        <f>SUM(O20+P20+Q20)</f>
        <v>87.699999999999989</v>
      </c>
      <c r="S20" s="7">
        <f>T20+U20</f>
        <v>0</v>
      </c>
      <c r="T20" s="7">
        <v>0</v>
      </c>
      <c r="U20" s="7">
        <v>0</v>
      </c>
      <c r="V20" s="7">
        <v>11.9</v>
      </c>
      <c r="W20" s="7">
        <v>0</v>
      </c>
      <c r="X20" s="7">
        <v>0.1</v>
      </c>
      <c r="Y20" s="7">
        <v>0</v>
      </c>
    </row>
    <row r="21" spans="1:25">
      <c r="N21" s="7" t="s">
        <v>206</v>
      </c>
      <c r="O21" s="7">
        <v>48.9</v>
      </c>
      <c r="P21" s="7">
        <v>33.200000000000003</v>
      </c>
      <c r="Q21" s="7">
        <v>1.1000000000000001</v>
      </c>
      <c r="R21" s="7">
        <f t="shared" ref="R21:R24" si="5">SUM(O21+P21+Q21)</f>
        <v>83.199999999999989</v>
      </c>
      <c r="S21" s="7">
        <f>T21+U21</f>
        <v>14.6</v>
      </c>
      <c r="T21" s="7">
        <v>14.6</v>
      </c>
      <c r="U21" s="7">
        <v>0</v>
      </c>
      <c r="V21" s="7">
        <v>1.9</v>
      </c>
      <c r="W21" s="7">
        <v>0</v>
      </c>
      <c r="X21" s="7">
        <v>0</v>
      </c>
      <c r="Y21" s="7">
        <v>0</v>
      </c>
    </row>
    <row r="22" spans="1:25">
      <c r="A22" s="1" t="s">
        <v>63</v>
      </c>
      <c r="B22" s="7" t="s">
        <v>53</v>
      </c>
      <c r="C22" s="12" t="s">
        <v>52</v>
      </c>
      <c r="D22" s="11" t="s">
        <v>51</v>
      </c>
      <c r="E22" s="10" t="s">
        <v>50</v>
      </c>
      <c r="F22" s="9" t="s">
        <v>49</v>
      </c>
      <c r="G22" s="8" t="s">
        <v>48</v>
      </c>
      <c r="H22" s="7" t="s">
        <v>47</v>
      </c>
      <c r="I22" s="7" t="s">
        <v>46</v>
      </c>
      <c r="J22" s="7" t="s">
        <v>45</v>
      </c>
      <c r="K22" s="7" t="s">
        <v>44</v>
      </c>
      <c r="L22" s="7" t="s">
        <v>43</v>
      </c>
      <c r="N22" s="7" t="s">
        <v>207</v>
      </c>
      <c r="O22" s="7">
        <v>57.9</v>
      </c>
      <c r="P22" s="7">
        <v>24</v>
      </c>
      <c r="Q22" s="7">
        <v>9.6999999999999993</v>
      </c>
      <c r="R22" s="7">
        <f t="shared" si="5"/>
        <v>91.600000000000009</v>
      </c>
      <c r="S22" s="7">
        <f>T22+U22</f>
        <v>3.8</v>
      </c>
      <c r="T22" s="7">
        <v>3.1</v>
      </c>
      <c r="U22" s="7">
        <v>0.7</v>
      </c>
      <c r="V22" s="7">
        <v>4</v>
      </c>
      <c r="W22" s="7">
        <v>0</v>
      </c>
      <c r="X22" s="7">
        <v>0.1</v>
      </c>
      <c r="Y22" s="7">
        <v>0</v>
      </c>
    </row>
    <row r="23" spans="1:25">
      <c r="B23" s="7" t="s">
        <v>42</v>
      </c>
      <c r="C23" s="7">
        <v>77.8</v>
      </c>
      <c r="D23" s="7">
        <v>6.5</v>
      </c>
      <c r="E23" s="7">
        <v>5.6</v>
      </c>
      <c r="F23" s="7">
        <f>SUM(C23:E23)</f>
        <v>89.899999999999991</v>
      </c>
      <c r="G23" s="7">
        <v>5.5</v>
      </c>
      <c r="H23" s="7">
        <v>0</v>
      </c>
      <c r="I23" s="7">
        <v>0.4</v>
      </c>
      <c r="J23" s="7">
        <v>4</v>
      </c>
      <c r="K23" s="7">
        <v>0</v>
      </c>
      <c r="L23" s="7">
        <v>0</v>
      </c>
      <c r="N23" s="7" t="s">
        <v>208</v>
      </c>
      <c r="O23" s="7">
        <v>30.4</v>
      </c>
      <c r="P23" s="7">
        <v>58.5</v>
      </c>
      <c r="Q23" s="7">
        <v>0.7</v>
      </c>
      <c r="R23" s="7">
        <f t="shared" si="5"/>
        <v>89.600000000000009</v>
      </c>
      <c r="S23" s="7">
        <f>T23+U23</f>
        <v>7.8999999999999995</v>
      </c>
      <c r="T23" s="7">
        <v>4.5999999999999996</v>
      </c>
      <c r="U23" s="7">
        <v>3.3</v>
      </c>
      <c r="V23" s="7">
        <v>2.1</v>
      </c>
      <c r="W23" s="7">
        <v>0</v>
      </c>
      <c r="X23" s="7">
        <v>0.1</v>
      </c>
      <c r="Y23" s="7">
        <v>0</v>
      </c>
    </row>
    <row r="24" spans="1:25">
      <c r="B24" s="7" t="s">
        <v>41</v>
      </c>
      <c r="C24" s="7">
        <v>78.5</v>
      </c>
      <c r="D24" s="7">
        <v>4.7</v>
      </c>
      <c r="E24" s="7">
        <v>6.8</v>
      </c>
      <c r="F24" s="7">
        <f>SUM(C24:E24)</f>
        <v>90</v>
      </c>
      <c r="G24" s="7">
        <v>5</v>
      </c>
      <c r="H24" s="7">
        <v>0</v>
      </c>
      <c r="I24" s="7">
        <v>0</v>
      </c>
      <c r="J24" s="7">
        <v>4.7</v>
      </c>
      <c r="K24" s="7">
        <v>0</v>
      </c>
      <c r="L24" s="7">
        <v>0</v>
      </c>
      <c r="N24" s="7" t="s">
        <v>209</v>
      </c>
      <c r="O24" s="7">
        <v>29.2</v>
      </c>
      <c r="P24" s="7">
        <v>68.5</v>
      </c>
      <c r="Q24" s="7">
        <v>0.1</v>
      </c>
      <c r="R24" s="7">
        <f t="shared" si="5"/>
        <v>97.8</v>
      </c>
      <c r="S24" s="7">
        <f>T24+U24</f>
        <v>0.9</v>
      </c>
      <c r="T24" s="7">
        <v>0.9</v>
      </c>
      <c r="U24" s="7">
        <v>0</v>
      </c>
      <c r="V24" s="7">
        <v>0.9</v>
      </c>
      <c r="W24" s="7">
        <v>0</v>
      </c>
      <c r="X24" s="7">
        <v>0.1</v>
      </c>
      <c r="Y24" s="7">
        <v>0</v>
      </c>
    </row>
    <row r="25" spans="1:25">
      <c r="B25" s="7" t="s">
        <v>40</v>
      </c>
      <c r="C25" s="7">
        <v>85.3</v>
      </c>
      <c r="D25" s="7">
        <v>5.3</v>
      </c>
      <c r="E25" s="7">
        <v>2.2999999999999998</v>
      </c>
      <c r="F25" s="7">
        <f>SUM(C25:E25)</f>
        <v>92.899999999999991</v>
      </c>
      <c r="G25" s="7">
        <v>3.2</v>
      </c>
      <c r="H25" s="7">
        <v>0</v>
      </c>
      <c r="I25" s="7">
        <v>0</v>
      </c>
      <c r="J25" s="7">
        <v>3.6</v>
      </c>
      <c r="K25" s="7">
        <v>0</v>
      </c>
      <c r="L25" s="7">
        <v>0</v>
      </c>
      <c r="N25" s="7" t="s">
        <v>37</v>
      </c>
      <c r="O25" s="7">
        <f>AVERAGE(O20:O24)</f>
        <v>42.32</v>
      </c>
      <c r="P25" s="7">
        <f t="shared" ref="P25" si="6">AVERAGE(P20:P24)</f>
        <v>45.32</v>
      </c>
      <c r="Q25" s="7">
        <f t="shared" ref="Q25" si="7">AVERAGE(Q20:Q24)</f>
        <v>2.3399999999999994</v>
      </c>
      <c r="R25" s="7">
        <f t="shared" ref="R25" si="8">AVERAGE(R20:R24)</f>
        <v>89.98</v>
      </c>
      <c r="S25" s="7">
        <f t="shared" ref="S25" si="9">AVERAGE(S20:S24)</f>
        <v>5.4399999999999995</v>
      </c>
      <c r="T25" s="7">
        <f t="shared" ref="T25" si="10">AVERAGE(T20:T24)</f>
        <v>4.6399999999999988</v>
      </c>
      <c r="U25" s="7">
        <f t="shared" ref="U25" si="11">AVERAGE(U20:U24)</f>
        <v>0.8</v>
      </c>
      <c r="V25" s="7">
        <f t="shared" ref="V25" si="12">AVERAGE(V20:V24)</f>
        <v>4.16</v>
      </c>
      <c r="W25" s="7">
        <f t="shared" ref="W25" si="13">AVERAGE(W20:W24)</f>
        <v>0</v>
      </c>
      <c r="X25" s="7">
        <f t="shared" ref="X25" si="14">AVERAGE(X20:X24)</f>
        <v>0.08</v>
      </c>
      <c r="Y25" s="7">
        <f t="shared" ref="Y25" si="15">AVERAGE(Y20:Y24)</f>
        <v>0</v>
      </c>
    </row>
    <row r="26" spans="1:25">
      <c r="B26" s="7" t="s">
        <v>39</v>
      </c>
      <c r="C26" s="7">
        <v>82.3</v>
      </c>
      <c r="D26" s="7">
        <v>3.5</v>
      </c>
      <c r="E26" s="7">
        <v>0.4</v>
      </c>
      <c r="F26" s="7">
        <f>SUM(C26:E26)</f>
        <v>86.2</v>
      </c>
      <c r="G26" s="7">
        <v>8.3000000000000007</v>
      </c>
      <c r="H26" s="7">
        <v>0.1</v>
      </c>
      <c r="I26" s="7">
        <v>1.3</v>
      </c>
      <c r="J26" s="7">
        <v>3.7</v>
      </c>
      <c r="K26" s="7">
        <v>0</v>
      </c>
      <c r="L26" s="7">
        <v>0</v>
      </c>
    </row>
    <row r="27" spans="1:25">
      <c r="B27" s="7" t="s">
        <v>38</v>
      </c>
      <c r="C27" s="7">
        <v>66.400000000000006</v>
      </c>
      <c r="D27" s="7">
        <v>17.2</v>
      </c>
      <c r="E27" s="7">
        <v>4</v>
      </c>
      <c r="F27" s="7">
        <f>SUM(C27:E27)</f>
        <v>87.600000000000009</v>
      </c>
      <c r="G27" s="7">
        <v>5.4</v>
      </c>
      <c r="H27" s="7">
        <v>0</v>
      </c>
      <c r="I27" s="7">
        <v>0.7</v>
      </c>
      <c r="J27" s="7">
        <v>6.1</v>
      </c>
      <c r="K27" s="7">
        <v>0</v>
      </c>
      <c r="L27" s="7">
        <v>0</v>
      </c>
      <c r="N27" s="1">
        <v>3</v>
      </c>
    </row>
    <row r="28" spans="1:25">
      <c r="B28" s="7" t="s">
        <v>37</v>
      </c>
      <c r="C28" s="7">
        <f t="shared" ref="C28:L28" si="16">AVERAGE(C23:C27)</f>
        <v>78.060000000000016</v>
      </c>
      <c r="D28" s="7">
        <f t="shared" si="16"/>
        <v>7.44</v>
      </c>
      <c r="E28" s="7">
        <f t="shared" si="16"/>
        <v>3.8200000000000003</v>
      </c>
      <c r="F28" s="7">
        <f t="shared" si="16"/>
        <v>89.32</v>
      </c>
      <c r="G28" s="7">
        <f t="shared" si="16"/>
        <v>5.4799999999999995</v>
      </c>
      <c r="H28" s="7">
        <f t="shared" si="16"/>
        <v>0.02</v>
      </c>
      <c r="I28" s="7">
        <f t="shared" si="16"/>
        <v>0.48000000000000009</v>
      </c>
      <c r="J28" s="7">
        <f t="shared" si="16"/>
        <v>4.42</v>
      </c>
      <c r="K28" s="7">
        <f t="shared" si="16"/>
        <v>0</v>
      </c>
      <c r="L28" s="7">
        <f t="shared" si="16"/>
        <v>0</v>
      </c>
      <c r="N28" s="7" t="s">
        <v>53</v>
      </c>
      <c r="O28" s="85" t="s">
        <v>52</v>
      </c>
      <c r="P28" s="85" t="s">
        <v>51</v>
      </c>
      <c r="Q28" s="85" t="s">
        <v>50</v>
      </c>
      <c r="R28" s="86" t="s">
        <v>49</v>
      </c>
      <c r="S28" s="9" t="s">
        <v>235</v>
      </c>
      <c r="T28" s="7" t="s">
        <v>45</v>
      </c>
      <c r="U28" s="7" t="s">
        <v>46</v>
      </c>
      <c r="V28" s="85" t="s">
        <v>48</v>
      </c>
      <c r="W28" s="7" t="s">
        <v>47</v>
      </c>
      <c r="X28" s="7" t="s">
        <v>44</v>
      </c>
      <c r="Y28" s="7" t="s">
        <v>43</v>
      </c>
    </row>
    <row r="29" spans="1:25">
      <c r="N29" s="7" t="s">
        <v>205</v>
      </c>
      <c r="O29" s="7">
        <v>50.3</v>
      </c>
      <c r="P29" s="7">
        <v>32.700000000000003</v>
      </c>
      <c r="Q29" s="7">
        <v>0.1</v>
      </c>
      <c r="R29" s="7">
        <f>SUM(O29:Q29)</f>
        <v>83.1</v>
      </c>
      <c r="S29" s="7">
        <v>5.9</v>
      </c>
      <c r="T29" s="7">
        <v>2.9</v>
      </c>
      <c r="U29" s="7">
        <v>3</v>
      </c>
      <c r="V29" s="7">
        <v>9.4</v>
      </c>
      <c r="W29" s="7">
        <v>1.3</v>
      </c>
      <c r="X29" s="7">
        <v>0</v>
      </c>
      <c r="Y29" s="7">
        <v>0</v>
      </c>
    </row>
    <row r="30" spans="1:25">
      <c r="N30" s="7" t="s">
        <v>206</v>
      </c>
      <c r="O30" s="7">
        <v>75.099999999999994</v>
      </c>
      <c r="P30" s="7">
        <v>14.6</v>
      </c>
      <c r="Q30" s="7">
        <v>0.9</v>
      </c>
      <c r="R30" s="7">
        <f t="shared" ref="R30:R33" si="17">SUM(O30:Q30)</f>
        <v>90.6</v>
      </c>
      <c r="S30" s="7">
        <v>5.5</v>
      </c>
      <c r="T30" s="7">
        <v>3.5</v>
      </c>
      <c r="U30" s="7">
        <v>2</v>
      </c>
      <c r="V30" s="7">
        <v>3.6</v>
      </c>
      <c r="W30" s="7">
        <v>0</v>
      </c>
      <c r="X30" s="7">
        <v>0</v>
      </c>
      <c r="Y30" s="7">
        <v>0</v>
      </c>
    </row>
    <row r="31" spans="1:25">
      <c r="N31" s="7" t="s">
        <v>207</v>
      </c>
      <c r="O31" s="7">
        <v>75.3</v>
      </c>
      <c r="P31" s="7">
        <v>16.600000000000001</v>
      </c>
      <c r="Q31" s="7">
        <v>2.4</v>
      </c>
      <c r="R31" s="7">
        <f t="shared" si="17"/>
        <v>94.300000000000011</v>
      </c>
      <c r="S31" s="7">
        <v>3.6</v>
      </c>
      <c r="T31" s="7">
        <v>3.6</v>
      </c>
      <c r="U31" s="7">
        <v>0</v>
      </c>
      <c r="V31" s="7">
        <v>1.9</v>
      </c>
      <c r="W31" s="7">
        <v>0</v>
      </c>
      <c r="X31" s="7">
        <v>0</v>
      </c>
      <c r="Y31" s="7">
        <v>0</v>
      </c>
    </row>
    <row r="32" spans="1:25">
      <c r="A32" s="1" t="s">
        <v>5</v>
      </c>
      <c r="B32" s="7" t="s">
        <v>53</v>
      </c>
      <c r="C32" s="12" t="s">
        <v>52</v>
      </c>
      <c r="D32" s="11" t="s">
        <v>51</v>
      </c>
      <c r="E32" s="10" t="s">
        <v>50</v>
      </c>
      <c r="F32" s="9" t="s">
        <v>49</v>
      </c>
      <c r="G32" s="8" t="s">
        <v>48</v>
      </c>
      <c r="H32" s="7" t="s">
        <v>47</v>
      </c>
      <c r="I32" s="7" t="s">
        <v>46</v>
      </c>
      <c r="J32" s="7" t="s">
        <v>45</v>
      </c>
      <c r="K32" s="7" t="s">
        <v>44</v>
      </c>
      <c r="L32" s="7" t="s">
        <v>43</v>
      </c>
      <c r="N32" s="7" t="s">
        <v>208</v>
      </c>
      <c r="O32" s="7">
        <v>54.4</v>
      </c>
      <c r="P32" s="7">
        <v>37.299999999999997</v>
      </c>
      <c r="Q32" s="7">
        <v>0</v>
      </c>
      <c r="R32" s="7">
        <f t="shared" si="17"/>
        <v>91.699999999999989</v>
      </c>
      <c r="S32" s="7">
        <v>4.8</v>
      </c>
      <c r="T32" s="7">
        <v>1.3</v>
      </c>
      <c r="U32" s="7">
        <v>3.5</v>
      </c>
      <c r="V32" s="7">
        <v>3</v>
      </c>
      <c r="W32" s="7">
        <v>0.1</v>
      </c>
      <c r="X32" s="7">
        <v>0</v>
      </c>
      <c r="Y32" s="7">
        <v>0</v>
      </c>
    </row>
    <row r="33" spans="1:25">
      <c r="B33" s="7" t="s">
        <v>42</v>
      </c>
      <c r="C33" s="7">
        <v>75.900000000000006</v>
      </c>
      <c r="D33" s="7">
        <v>6.1</v>
      </c>
      <c r="E33" s="7">
        <v>4.7</v>
      </c>
      <c r="F33" s="7">
        <f>SUM(C33:E33)</f>
        <v>86.7</v>
      </c>
      <c r="G33" s="7">
        <v>5.5</v>
      </c>
      <c r="H33" s="7">
        <v>0</v>
      </c>
      <c r="I33" s="7">
        <v>0.2</v>
      </c>
      <c r="J33" s="7">
        <v>4.2</v>
      </c>
      <c r="K33" s="7">
        <v>3</v>
      </c>
      <c r="L33" s="7">
        <v>0</v>
      </c>
      <c r="N33" s="7" t="s">
        <v>209</v>
      </c>
      <c r="O33" s="7">
        <v>38.9</v>
      </c>
      <c r="P33" s="7">
        <v>57.9</v>
      </c>
      <c r="Q33" s="7">
        <v>0.4</v>
      </c>
      <c r="R33" s="7">
        <f t="shared" si="17"/>
        <v>97.2</v>
      </c>
      <c r="S33" s="7">
        <v>1.4</v>
      </c>
      <c r="T33" s="7">
        <v>1.2</v>
      </c>
      <c r="U33" s="7">
        <v>0.2</v>
      </c>
      <c r="V33" s="7">
        <v>1.2</v>
      </c>
      <c r="W33" s="7">
        <v>0</v>
      </c>
      <c r="X33" s="7">
        <v>0</v>
      </c>
      <c r="Y33" s="7">
        <v>0</v>
      </c>
    </row>
    <row r="34" spans="1:25">
      <c r="B34" s="7" t="s">
        <v>41</v>
      </c>
      <c r="C34" s="7">
        <v>74.599999999999994</v>
      </c>
      <c r="D34" s="7">
        <v>4.5999999999999996</v>
      </c>
      <c r="E34" s="7">
        <v>5.8</v>
      </c>
      <c r="F34" s="7">
        <f>SUM(C34:E34)</f>
        <v>84.999999999999986</v>
      </c>
      <c r="G34" s="7">
        <v>6</v>
      </c>
      <c r="H34" s="7">
        <v>0.7</v>
      </c>
      <c r="I34" s="7">
        <v>0</v>
      </c>
      <c r="J34" s="7">
        <v>7.9</v>
      </c>
      <c r="K34" s="7">
        <v>0</v>
      </c>
      <c r="L34" s="7">
        <v>0</v>
      </c>
      <c r="N34" s="7" t="s">
        <v>37</v>
      </c>
      <c r="O34" s="7">
        <v>58.8</v>
      </c>
      <c r="P34" s="7">
        <v>31.8</v>
      </c>
      <c r="Q34" s="7">
        <v>0.8</v>
      </c>
      <c r="R34" s="7">
        <f t="shared" ref="R34" si="18">AVERAGE(R29:R33)</f>
        <v>91.38</v>
      </c>
      <c r="S34" s="7">
        <v>4.2</v>
      </c>
      <c r="T34" s="7">
        <v>2.5</v>
      </c>
      <c r="U34" s="7">
        <v>1.7</v>
      </c>
      <c r="V34" s="7">
        <v>3.8</v>
      </c>
      <c r="W34" s="7">
        <v>0.3</v>
      </c>
      <c r="X34" s="7">
        <v>0</v>
      </c>
      <c r="Y34" s="7">
        <v>0</v>
      </c>
    </row>
    <row r="35" spans="1:25">
      <c r="B35" s="7" t="s">
        <v>40</v>
      </c>
      <c r="C35" s="7">
        <v>84.9</v>
      </c>
      <c r="D35" s="7">
        <v>3.3</v>
      </c>
      <c r="E35" s="7">
        <v>0.9</v>
      </c>
      <c r="F35" s="7">
        <f>SUM(C35:E35)</f>
        <v>89.100000000000009</v>
      </c>
      <c r="G35" s="7">
        <v>4.0999999999999996</v>
      </c>
      <c r="H35" s="7">
        <v>0</v>
      </c>
      <c r="I35" s="7">
        <v>0</v>
      </c>
      <c r="J35" s="7">
        <v>3.8</v>
      </c>
      <c r="K35" s="7">
        <v>2.6</v>
      </c>
      <c r="L35" s="7">
        <v>0</v>
      </c>
    </row>
    <row r="36" spans="1:25">
      <c r="B36" s="7" t="s">
        <v>39</v>
      </c>
      <c r="C36" s="7">
        <v>80.8</v>
      </c>
      <c r="D36" s="7">
        <v>2.9</v>
      </c>
      <c r="E36" s="7">
        <v>1.2</v>
      </c>
      <c r="F36" s="7">
        <f>SUM(C36:E36)</f>
        <v>84.9</v>
      </c>
      <c r="G36" s="7">
        <v>6.8</v>
      </c>
      <c r="H36" s="7">
        <v>0</v>
      </c>
      <c r="I36" s="7">
        <v>0.5</v>
      </c>
      <c r="J36" s="7">
        <v>4.4000000000000004</v>
      </c>
      <c r="K36" s="7">
        <v>2.9</v>
      </c>
      <c r="L36" s="7">
        <v>0</v>
      </c>
    </row>
    <row r="37" spans="1:25">
      <c r="B37" s="7" t="s">
        <v>38</v>
      </c>
      <c r="C37" s="7">
        <v>67</v>
      </c>
      <c r="D37" s="7">
        <v>17.100000000000001</v>
      </c>
      <c r="E37" s="7">
        <v>2.9</v>
      </c>
      <c r="F37" s="7">
        <f>SUM(C37:E37)</f>
        <v>87</v>
      </c>
      <c r="G37" s="7">
        <v>4.5999999999999996</v>
      </c>
      <c r="H37" s="7">
        <v>0</v>
      </c>
      <c r="I37" s="7">
        <v>0.2</v>
      </c>
      <c r="J37" s="7">
        <v>4.5999999999999996</v>
      </c>
      <c r="K37" s="7">
        <v>3.1</v>
      </c>
      <c r="L37" s="7">
        <v>0</v>
      </c>
      <c r="N37" s="1" t="s">
        <v>236</v>
      </c>
    </row>
    <row r="38" spans="1:25">
      <c r="B38" s="7" t="s">
        <v>37</v>
      </c>
      <c r="C38" s="7">
        <f t="shared" ref="C38:L38" si="19">AVERAGE(C33:C37)</f>
        <v>76.64</v>
      </c>
      <c r="D38" s="7">
        <f t="shared" si="19"/>
        <v>6.8</v>
      </c>
      <c r="E38" s="7">
        <f t="shared" si="19"/>
        <v>3.1</v>
      </c>
      <c r="F38" s="7">
        <f t="shared" si="19"/>
        <v>86.54</v>
      </c>
      <c r="G38" s="7">
        <f t="shared" si="19"/>
        <v>5.4</v>
      </c>
      <c r="H38" s="7">
        <f t="shared" si="19"/>
        <v>0.13999999999999999</v>
      </c>
      <c r="I38" s="7">
        <f t="shared" si="19"/>
        <v>0.18</v>
      </c>
      <c r="J38" s="7">
        <f t="shared" si="19"/>
        <v>4.9800000000000013</v>
      </c>
      <c r="K38" s="7">
        <f t="shared" si="19"/>
        <v>2.3199999999999998</v>
      </c>
      <c r="L38" s="7">
        <f t="shared" si="19"/>
        <v>0</v>
      </c>
      <c r="N38" s="7" t="s">
        <v>53</v>
      </c>
      <c r="O38" s="85" t="s">
        <v>52</v>
      </c>
      <c r="P38" s="85" t="s">
        <v>51</v>
      </c>
      <c r="Q38" s="85" t="s">
        <v>50</v>
      </c>
      <c r="R38" s="86" t="s">
        <v>49</v>
      </c>
      <c r="S38" s="9" t="s">
        <v>235</v>
      </c>
      <c r="T38" s="7" t="s">
        <v>45</v>
      </c>
      <c r="U38" s="7" t="s">
        <v>46</v>
      </c>
      <c r="V38" s="85" t="s">
        <v>48</v>
      </c>
      <c r="W38" s="7" t="s">
        <v>47</v>
      </c>
      <c r="X38" s="7" t="s">
        <v>44</v>
      </c>
      <c r="Y38" s="7" t="s">
        <v>43</v>
      </c>
    </row>
    <row r="39" spans="1:25">
      <c r="N39" s="7" t="s">
        <v>205</v>
      </c>
      <c r="O39" s="51">
        <f>AVERAGE(O11,O20,O29)</f>
        <v>48.4</v>
      </c>
      <c r="P39" s="51">
        <f t="shared" ref="P39:S39" si="20">AVERAGE(P11,P20,P29)</f>
        <v>36</v>
      </c>
      <c r="Q39" s="51">
        <f t="shared" si="20"/>
        <v>0.46666666666666673</v>
      </c>
      <c r="R39" s="51">
        <f t="shared" si="20"/>
        <v>84.86666666666666</v>
      </c>
      <c r="S39" s="51">
        <f t="shared" si="20"/>
        <v>2.5666666666666669</v>
      </c>
      <c r="T39" s="51">
        <f t="shared" ref="T39:Y43" si="21">AVERAGE(T11,T20,T29)</f>
        <v>1.4000000000000001</v>
      </c>
      <c r="U39" s="51">
        <f t="shared" si="21"/>
        <v>1.1666666666666667</v>
      </c>
      <c r="V39" s="51">
        <f t="shared" si="21"/>
        <v>8.9333333333333318</v>
      </c>
      <c r="W39" s="51">
        <f t="shared" si="21"/>
        <v>0.5</v>
      </c>
      <c r="X39" s="51">
        <f t="shared" si="21"/>
        <v>2.8333333333333335</v>
      </c>
      <c r="Y39" s="51">
        <f t="shared" si="21"/>
        <v>0</v>
      </c>
    </row>
    <row r="40" spans="1:25">
      <c r="N40" s="7" t="s">
        <v>206</v>
      </c>
      <c r="O40" s="51">
        <f t="shared" ref="O40:S43" si="22">AVERAGE(O12,O21,O30)</f>
        <v>57.333333333333336</v>
      </c>
      <c r="P40" s="51">
        <f t="shared" si="22"/>
        <v>19.033333333333335</v>
      </c>
      <c r="Q40" s="51">
        <f t="shared" si="22"/>
        <v>1.4000000000000001</v>
      </c>
      <c r="R40" s="51">
        <f t="shared" si="22"/>
        <v>77.766666666666666</v>
      </c>
      <c r="S40" s="51">
        <f t="shared" si="22"/>
        <v>19.333333333333332</v>
      </c>
      <c r="T40" s="51">
        <f t="shared" si="21"/>
        <v>18.666666666666668</v>
      </c>
      <c r="U40" s="51">
        <f t="shared" si="21"/>
        <v>0.66666666666666663</v>
      </c>
      <c r="V40" s="51">
        <f t="shared" si="21"/>
        <v>2.6333333333333333</v>
      </c>
      <c r="W40" s="51">
        <f t="shared" si="21"/>
        <v>0</v>
      </c>
      <c r="X40" s="51">
        <f t="shared" si="21"/>
        <v>0</v>
      </c>
      <c r="Y40" s="51">
        <f t="shared" si="21"/>
        <v>0</v>
      </c>
    </row>
    <row r="41" spans="1:25">
      <c r="N41" s="7" t="s">
        <v>207</v>
      </c>
      <c r="O41" s="51">
        <f t="shared" si="22"/>
        <v>66.5</v>
      </c>
      <c r="P41" s="51">
        <f t="shared" si="22"/>
        <v>19.633333333333333</v>
      </c>
      <c r="Q41" s="51">
        <f t="shared" si="22"/>
        <v>4.3666666666666663</v>
      </c>
      <c r="R41" s="51">
        <f t="shared" si="22"/>
        <v>90.5</v>
      </c>
      <c r="S41" s="51">
        <f t="shared" si="22"/>
        <v>3.5999999999999996</v>
      </c>
      <c r="T41" s="51">
        <f t="shared" si="21"/>
        <v>3.3666666666666667</v>
      </c>
      <c r="U41" s="51">
        <f t="shared" si="21"/>
        <v>0.23333333333333331</v>
      </c>
      <c r="V41" s="51">
        <f t="shared" si="21"/>
        <v>2.6333333333333333</v>
      </c>
      <c r="W41" s="51">
        <f t="shared" si="21"/>
        <v>6.6666666666666666E-2</v>
      </c>
      <c r="X41" s="51">
        <f t="shared" si="21"/>
        <v>2.8333333333333335</v>
      </c>
      <c r="Y41" s="51">
        <f t="shared" si="21"/>
        <v>0</v>
      </c>
    </row>
    <row r="42" spans="1:25">
      <c r="A42" s="1" t="s">
        <v>62</v>
      </c>
      <c r="B42" s="7" t="s">
        <v>53</v>
      </c>
      <c r="C42" s="12" t="s">
        <v>52</v>
      </c>
      <c r="D42" s="11" t="s">
        <v>51</v>
      </c>
      <c r="E42" s="10" t="s">
        <v>50</v>
      </c>
      <c r="F42" s="9" t="s">
        <v>49</v>
      </c>
      <c r="G42" s="8" t="s">
        <v>48</v>
      </c>
      <c r="H42" s="7" t="s">
        <v>47</v>
      </c>
      <c r="I42" s="7" t="s">
        <v>46</v>
      </c>
      <c r="J42" s="7" t="s">
        <v>45</v>
      </c>
      <c r="K42" s="7" t="s">
        <v>44</v>
      </c>
      <c r="L42" s="7" t="s">
        <v>43</v>
      </c>
      <c r="N42" s="7" t="s">
        <v>208</v>
      </c>
      <c r="O42" s="51">
        <f t="shared" si="22"/>
        <v>49.366666666666667</v>
      </c>
      <c r="P42" s="51">
        <f t="shared" si="22"/>
        <v>40.666666666666664</v>
      </c>
      <c r="Q42" s="51">
        <f t="shared" si="22"/>
        <v>0.23333333333333331</v>
      </c>
      <c r="R42" s="51">
        <f t="shared" si="22"/>
        <v>90.266666666666666</v>
      </c>
      <c r="S42" s="51">
        <f t="shared" si="22"/>
        <v>4.5666666666666664</v>
      </c>
      <c r="T42" s="51">
        <f t="shared" si="21"/>
        <v>2.2999999999999998</v>
      </c>
      <c r="U42" s="51">
        <f t="shared" si="21"/>
        <v>2.2666666666666666</v>
      </c>
      <c r="V42" s="51">
        <f t="shared" si="21"/>
        <v>1.9666666666666668</v>
      </c>
      <c r="W42" s="51">
        <f t="shared" si="21"/>
        <v>3.3333333333333333E-2</v>
      </c>
      <c r="X42" s="51">
        <f t="shared" si="21"/>
        <v>2.8333333333333335</v>
      </c>
      <c r="Y42" s="51">
        <f t="shared" si="21"/>
        <v>0</v>
      </c>
    </row>
    <row r="43" spans="1:25">
      <c r="B43" s="7" t="s">
        <v>42</v>
      </c>
      <c r="C43" s="7">
        <v>87.4</v>
      </c>
      <c r="D43" s="7">
        <v>3.2</v>
      </c>
      <c r="E43" s="7">
        <v>5.4</v>
      </c>
      <c r="F43" s="7">
        <f>SUM(C43:E43)</f>
        <v>96.000000000000014</v>
      </c>
      <c r="G43" s="7">
        <v>1.4</v>
      </c>
      <c r="H43" s="7">
        <v>0</v>
      </c>
      <c r="I43" s="7">
        <v>0</v>
      </c>
      <c r="J43" s="7">
        <v>2.1</v>
      </c>
      <c r="K43" s="7">
        <v>0</v>
      </c>
      <c r="L43" s="7">
        <v>0</v>
      </c>
      <c r="N43" s="7" t="s">
        <v>209</v>
      </c>
      <c r="O43" s="51">
        <f t="shared" si="22"/>
        <v>37.833333333333336</v>
      </c>
      <c r="P43" s="51">
        <f t="shared" si="22"/>
        <v>49.633333333333333</v>
      </c>
      <c r="Q43" s="51">
        <f t="shared" si="22"/>
        <v>0.23333333333333336</v>
      </c>
      <c r="R43" s="51">
        <f t="shared" si="22"/>
        <v>87.7</v>
      </c>
      <c r="S43" s="51">
        <f t="shared" si="22"/>
        <v>6.2666666666666657</v>
      </c>
      <c r="T43" s="51">
        <f t="shared" si="21"/>
        <v>3.7333333333333329</v>
      </c>
      <c r="U43" s="51">
        <f t="shared" si="21"/>
        <v>2.5333333333333337</v>
      </c>
      <c r="V43" s="51">
        <f t="shared" si="21"/>
        <v>2.7666666666666671</v>
      </c>
      <c r="W43" s="51">
        <f t="shared" si="21"/>
        <v>0.16666666666666666</v>
      </c>
      <c r="X43" s="51">
        <f t="shared" si="21"/>
        <v>2.8333333333333335</v>
      </c>
      <c r="Y43" s="51">
        <f t="shared" si="21"/>
        <v>0</v>
      </c>
    </row>
    <row r="44" spans="1:25">
      <c r="B44" s="7" t="s">
        <v>41</v>
      </c>
      <c r="C44" s="7">
        <v>82.2</v>
      </c>
      <c r="D44" s="7">
        <v>3.1</v>
      </c>
      <c r="E44" s="7">
        <v>4.2</v>
      </c>
      <c r="F44" s="7">
        <f>SUM(C44:E44)</f>
        <v>89.5</v>
      </c>
      <c r="G44" s="7">
        <v>5.6</v>
      </c>
      <c r="H44" s="7">
        <v>0</v>
      </c>
      <c r="I44" s="7">
        <v>0</v>
      </c>
      <c r="J44" s="7">
        <v>4.5</v>
      </c>
      <c r="K44" s="7">
        <v>0</v>
      </c>
      <c r="L44" s="7">
        <v>0</v>
      </c>
      <c r="N44" s="7" t="s">
        <v>37</v>
      </c>
      <c r="O44" s="51">
        <f>AVERAGE(O39:O43)</f>
        <v>51.88666666666667</v>
      </c>
      <c r="P44" s="51">
        <f t="shared" ref="P44" si="23">AVERAGE(P39:P43)</f>
        <v>32.993333333333325</v>
      </c>
      <c r="Q44" s="51">
        <f t="shared" ref="Q44" si="24">AVERAGE(Q39:Q43)</f>
        <v>1.34</v>
      </c>
      <c r="R44" s="51">
        <f t="shared" ref="R44" si="25">AVERAGE(R39:R43)</f>
        <v>86.22</v>
      </c>
      <c r="S44" s="51">
        <f t="shared" ref="S44" si="26">AVERAGE(S39:S43)</f>
        <v>7.2666666666666657</v>
      </c>
      <c r="T44" s="51">
        <f t="shared" ref="T44" si="27">AVERAGE(T39:T43)</f>
        <v>5.8933333333333335</v>
      </c>
      <c r="U44" s="51">
        <f t="shared" ref="U44" si="28">AVERAGE(U39:U43)</f>
        <v>1.3733333333333335</v>
      </c>
      <c r="V44" s="51">
        <f t="shared" ref="V44" si="29">AVERAGE(V39:V43)</f>
        <v>3.7866666666666662</v>
      </c>
      <c r="W44" s="51">
        <f t="shared" ref="W44" si="30">AVERAGE(W39:W43)</f>
        <v>0.15333333333333332</v>
      </c>
      <c r="X44" s="51">
        <f t="shared" ref="X44" si="31">AVERAGE(X39:X43)</f>
        <v>2.2666666666666666</v>
      </c>
      <c r="Y44" s="51">
        <f t="shared" ref="Y44" si="32">AVERAGE(Y39:Y43)</f>
        <v>0</v>
      </c>
    </row>
    <row r="45" spans="1:25">
      <c r="B45" s="7" t="s">
        <v>40</v>
      </c>
      <c r="C45" s="7">
        <v>88.2</v>
      </c>
      <c r="D45" s="7">
        <v>4.0999999999999996</v>
      </c>
      <c r="E45" s="7">
        <v>0</v>
      </c>
      <c r="F45" s="7">
        <f>SUM(C45:E45)</f>
        <v>92.3</v>
      </c>
      <c r="G45" s="7">
        <v>4.2</v>
      </c>
      <c r="H45" s="7">
        <v>0</v>
      </c>
      <c r="I45" s="7">
        <v>0</v>
      </c>
      <c r="J45" s="7">
        <v>3.1</v>
      </c>
      <c r="K45" s="7">
        <v>0</v>
      </c>
      <c r="L45" s="7">
        <v>0</v>
      </c>
    </row>
    <row r="46" spans="1:25">
      <c r="B46" s="7" t="s">
        <v>39</v>
      </c>
      <c r="C46" s="7">
        <v>78.7</v>
      </c>
      <c r="D46" s="7">
        <v>6.5</v>
      </c>
      <c r="E46" s="7">
        <v>3.2</v>
      </c>
      <c r="F46" s="7">
        <f>SUM(C46:E46)</f>
        <v>88.4</v>
      </c>
      <c r="G46" s="7">
        <v>4.8</v>
      </c>
      <c r="H46" s="7">
        <v>0</v>
      </c>
      <c r="I46" s="7">
        <v>0.7</v>
      </c>
      <c r="J46" s="7">
        <v>5.6</v>
      </c>
      <c r="K46" s="7">
        <v>0</v>
      </c>
      <c r="L46" s="7">
        <v>0</v>
      </c>
      <c r="N46" s="1">
        <v>4</v>
      </c>
    </row>
    <row r="47" spans="1:25">
      <c r="B47" s="7" t="s">
        <v>38</v>
      </c>
      <c r="C47" s="7">
        <v>73.5</v>
      </c>
      <c r="D47" s="7">
        <v>15.2</v>
      </c>
      <c r="E47" s="7">
        <v>4.5999999999999996</v>
      </c>
      <c r="F47" s="7">
        <f>SUM(C47:E47)</f>
        <v>93.3</v>
      </c>
      <c r="G47" s="7">
        <v>3.1</v>
      </c>
      <c r="H47" s="7">
        <v>0</v>
      </c>
      <c r="I47" s="7">
        <v>0</v>
      </c>
      <c r="J47" s="7">
        <v>3</v>
      </c>
      <c r="K47" s="7">
        <v>0</v>
      </c>
      <c r="L47" s="7">
        <v>0</v>
      </c>
      <c r="N47" s="7" t="s">
        <v>53</v>
      </c>
      <c r="O47" s="85" t="s">
        <v>52</v>
      </c>
      <c r="P47" s="85" t="s">
        <v>51</v>
      </c>
      <c r="Q47" s="85" t="s">
        <v>50</v>
      </c>
      <c r="R47" s="86" t="s">
        <v>49</v>
      </c>
      <c r="S47" s="9" t="s">
        <v>235</v>
      </c>
      <c r="T47" s="7" t="s">
        <v>246</v>
      </c>
      <c r="U47" s="7" t="s">
        <v>45</v>
      </c>
      <c r="V47" s="85" t="s">
        <v>48</v>
      </c>
      <c r="W47" s="7" t="s">
        <v>47</v>
      </c>
      <c r="X47" s="7" t="s">
        <v>44</v>
      </c>
      <c r="Y47" s="7" t="s">
        <v>43</v>
      </c>
    </row>
    <row r="48" spans="1:25">
      <c r="B48" s="7" t="s">
        <v>37</v>
      </c>
      <c r="C48" s="7">
        <f t="shared" ref="C48:L48" si="33">AVERAGE(C43:C47)</f>
        <v>82</v>
      </c>
      <c r="D48" s="7">
        <f t="shared" si="33"/>
        <v>6.419999999999999</v>
      </c>
      <c r="E48" s="7">
        <f t="shared" si="33"/>
        <v>3.4799999999999995</v>
      </c>
      <c r="F48" s="7">
        <f t="shared" si="33"/>
        <v>91.9</v>
      </c>
      <c r="G48" s="7">
        <f t="shared" si="33"/>
        <v>3.8200000000000003</v>
      </c>
      <c r="H48" s="7">
        <f t="shared" si="33"/>
        <v>0</v>
      </c>
      <c r="I48" s="7">
        <f t="shared" si="33"/>
        <v>0.13999999999999999</v>
      </c>
      <c r="J48" s="7">
        <f t="shared" si="33"/>
        <v>3.6599999999999993</v>
      </c>
      <c r="K48" s="7">
        <f t="shared" si="33"/>
        <v>0</v>
      </c>
      <c r="L48" s="7">
        <f t="shared" si="33"/>
        <v>0</v>
      </c>
      <c r="N48" s="7" t="s">
        <v>205</v>
      </c>
      <c r="O48" s="88">
        <v>63.3</v>
      </c>
      <c r="P48" s="88">
        <v>36.6</v>
      </c>
      <c r="Q48" s="88">
        <v>0</v>
      </c>
      <c r="R48" s="51">
        <f>SUM(O48:Q48)</f>
        <v>99.9</v>
      </c>
      <c r="S48" s="88">
        <v>0</v>
      </c>
      <c r="T48" s="88">
        <v>0</v>
      </c>
      <c r="U48" s="88">
        <v>0</v>
      </c>
      <c r="V48" s="88">
        <v>0</v>
      </c>
      <c r="W48" s="88">
        <v>0</v>
      </c>
      <c r="X48" s="88">
        <v>0</v>
      </c>
      <c r="Y48" s="88">
        <v>0</v>
      </c>
    </row>
    <row r="49" spans="1:28">
      <c r="N49" s="7" t="s">
        <v>237</v>
      </c>
      <c r="O49" s="88">
        <v>50.4</v>
      </c>
      <c r="P49" s="88">
        <v>28</v>
      </c>
      <c r="Q49" s="88">
        <v>0.1</v>
      </c>
      <c r="R49" s="51">
        <f t="shared" ref="R49:R54" si="34">SUM(O49:Q49)</f>
        <v>78.5</v>
      </c>
      <c r="S49" s="88">
        <v>1.5</v>
      </c>
      <c r="T49" s="88">
        <v>0.2</v>
      </c>
      <c r="U49" s="88">
        <v>1.2</v>
      </c>
      <c r="V49" s="88">
        <v>6.2</v>
      </c>
      <c r="W49" s="88">
        <v>0.5</v>
      </c>
      <c r="X49" s="88">
        <v>0</v>
      </c>
      <c r="Y49" s="88">
        <v>12.9</v>
      </c>
    </row>
    <row r="50" spans="1:28">
      <c r="N50" s="7" t="s">
        <v>206</v>
      </c>
      <c r="O50" s="88">
        <v>80.8</v>
      </c>
      <c r="P50" s="88">
        <v>7.9</v>
      </c>
      <c r="Q50" s="88">
        <v>0.1</v>
      </c>
      <c r="R50" s="51">
        <f t="shared" si="34"/>
        <v>88.8</v>
      </c>
      <c r="S50" s="88">
        <v>5.7</v>
      </c>
      <c r="T50" s="88">
        <v>0</v>
      </c>
      <c r="U50" s="88">
        <v>5.4</v>
      </c>
      <c r="V50" s="88">
        <v>5.5</v>
      </c>
      <c r="W50" s="88">
        <v>0</v>
      </c>
      <c r="X50" s="88">
        <v>0</v>
      </c>
      <c r="Y50" s="88">
        <v>0</v>
      </c>
    </row>
    <row r="51" spans="1:28">
      <c r="N51" s="7" t="s">
        <v>207</v>
      </c>
      <c r="O51" s="88">
        <v>77.8</v>
      </c>
      <c r="P51" s="88">
        <v>13.1</v>
      </c>
      <c r="Q51" s="88">
        <v>0</v>
      </c>
      <c r="R51" s="51">
        <f t="shared" si="34"/>
        <v>90.899999999999991</v>
      </c>
      <c r="S51" s="88">
        <v>4.7</v>
      </c>
      <c r="T51" s="88">
        <v>0.5</v>
      </c>
      <c r="U51" s="88">
        <v>4</v>
      </c>
      <c r="V51" s="88">
        <v>4.3</v>
      </c>
      <c r="W51" s="88">
        <v>0</v>
      </c>
      <c r="X51" s="88">
        <v>0</v>
      </c>
      <c r="Y51" s="88">
        <v>0</v>
      </c>
    </row>
    <row r="52" spans="1:28">
      <c r="A52" s="1" t="s">
        <v>61</v>
      </c>
      <c r="B52" s="7" t="s">
        <v>53</v>
      </c>
      <c r="C52" s="12" t="s">
        <v>52</v>
      </c>
      <c r="D52" s="11" t="s">
        <v>51</v>
      </c>
      <c r="E52" s="10" t="s">
        <v>50</v>
      </c>
      <c r="F52" s="9" t="s">
        <v>49</v>
      </c>
      <c r="G52" s="8" t="s">
        <v>48</v>
      </c>
      <c r="H52" s="7" t="s">
        <v>47</v>
      </c>
      <c r="I52" s="7" t="s">
        <v>46</v>
      </c>
      <c r="J52" s="7" t="s">
        <v>45</v>
      </c>
      <c r="K52" s="7" t="s">
        <v>44</v>
      </c>
      <c r="L52" s="7" t="s">
        <v>43</v>
      </c>
      <c r="N52" s="7" t="s">
        <v>208</v>
      </c>
      <c r="O52" s="88">
        <v>67.400000000000006</v>
      </c>
      <c r="P52" s="88">
        <v>23.4</v>
      </c>
      <c r="Q52" s="88">
        <v>1.5</v>
      </c>
      <c r="R52" s="51">
        <f t="shared" si="34"/>
        <v>92.300000000000011</v>
      </c>
      <c r="S52" s="88">
        <v>4.8</v>
      </c>
      <c r="T52" s="88">
        <v>0</v>
      </c>
      <c r="U52" s="88">
        <v>4.5999999999999996</v>
      </c>
      <c r="V52" s="88">
        <v>2.8</v>
      </c>
      <c r="W52" s="88">
        <v>0</v>
      </c>
      <c r="X52" s="88">
        <v>0</v>
      </c>
      <c r="Y52" s="88">
        <v>0</v>
      </c>
    </row>
    <row r="53" spans="1:28">
      <c r="B53" s="7" t="s">
        <v>42</v>
      </c>
      <c r="C53" s="7">
        <v>79.3</v>
      </c>
      <c r="D53" s="7">
        <v>7.2</v>
      </c>
      <c r="E53" s="7">
        <v>3.9</v>
      </c>
      <c r="F53" s="7">
        <f>SUM(C53:E53)</f>
        <v>90.4</v>
      </c>
      <c r="G53" s="7">
        <v>4.4000000000000004</v>
      </c>
      <c r="H53" s="7">
        <v>0.3</v>
      </c>
      <c r="I53" s="7">
        <v>0</v>
      </c>
      <c r="J53" s="7">
        <v>4.7</v>
      </c>
      <c r="K53" s="7">
        <v>0</v>
      </c>
      <c r="L53" s="7">
        <v>0</v>
      </c>
      <c r="N53" s="7" t="s">
        <v>238</v>
      </c>
      <c r="O53" s="88">
        <v>65.599999999999994</v>
      </c>
      <c r="P53" s="88">
        <v>31.6</v>
      </c>
      <c r="Q53" s="88">
        <v>0</v>
      </c>
      <c r="R53" s="51">
        <f t="shared" si="34"/>
        <v>97.199999999999989</v>
      </c>
      <c r="S53" s="88">
        <v>0</v>
      </c>
      <c r="T53" s="88">
        <v>0</v>
      </c>
      <c r="U53" s="88">
        <v>0</v>
      </c>
      <c r="V53" s="88">
        <v>2.7</v>
      </c>
      <c r="W53" s="88">
        <v>0</v>
      </c>
      <c r="X53" s="88">
        <v>0</v>
      </c>
      <c r="Y53" s="88">
        <v>0</v>
      </c>
    </row>
    <row r="54" spans="1:28">
      <c r="B54" s="7" t="s">
        <v>41</v>
      </c>
      <c r="C54" s="7">
        <v>81.2</v>
      </c>
      <c r="D54" s="7">
        <v>6.2</v>
      </c>
      <c r="E54" s="7">
        <v>3</v>
      </c>
      <c r="F54" s="7">
        <f>SUM(C54:E54)</f>
        <v>90.4</v>
      </c>
      <c r="G54" s="7">
        <v>4.4000000000000004</v>
      </c>
      <c r="H54" s="7">
        <v>0</v>
      </c>
      <c r="I54" s="7">
        <v>0</v>
      </c>
      <c r="J54" s="7">
        <v>4.9000000000000004</v>
      </c>
      <c r="K54" s="7">
        <v>0</v>
      </c>
      <c r="L54" s="7">
        <v>0</v>
      </c>
      <c r="N54" s="7" t="s">
        <v>209</v>
      </c>
      <c r="O54" s="88">
        <v>49.5</v>
      </c>
      <c r="P54" s="88">
        <v>38.299999999999997</v>
      </c>
      <c r="Q54" s="88">
        <v>1</v>
      </c>
      <c r="R54" s="51">
        <f t="shared" si="34"/>
        <v>88.8</v>
      </c>
      <c r="S54" s="88">
        <v>6</v>
      </c>
      <c r="T54" s="88">
        <v>1.6</v>
      </c>
      <c r="U54" s="88">
        <v>4.2</v>
      </c>
      <c r="V54" s="88">
        <v>5.0999999999999996</v>
      </c>
      <c r="W54" s="88">
        <v>0</v>
      </c>
      <c r="X54" s="88">
        <v>0</v>
      </c>
      <c r="Y54" s="88">
        <v>0</v>
      </c>
    </row>
    <row r="55" spans="1:28">
      <c r="B55" s="7" t="s">
        <v>40</v>
      </c>
      <c r="C55" s="7">
        <v>85.2</v>
      </c>
      <c r="D55" s="7">
        <v>1.9</v>
      </c>
      <c r="E55" s="7">
        <v>0.1</v>
      </c>
      <c r="F55" s="7">
        <f>SUM(C55:E55)</f>
        <v>87.2</v>
      </c>
      <c r="G55" s="7">
        <v>6.8</v>
      </c>
      <c r="H55" s="7">
        <v>0</v>
      </c>
      <c r="I55" s="7">
        <v>0</v>
      </c>
      <c r="J55" s="7">
        <v>5.8</v>
      </c>
      <c r="K55" s="7">
        <v>0</v>
      </c>
      <c r="L55" s="7">
        <v>0</v>
      </c>
      <c r="N55" s="7" t="s">
        <v>37</v>
      </c>
      <c r="O55" s="88">
        <v>65</v>
      </c>
      <c r="P55" s="88">
        <v>25.6</v>
      </c>
      <c r="Q55" s="88">
        <v>0.4</v>
      </c>
      <c r="R55" s="88">
        <f>AVERAGE(R48:R54)</f>
        <v>90.914285714285697</v>
      </c>
      <c r="S55" s="88">
        <f>AVERAGE(S47:S54)</f>
        <v>3.2428571428571429</v>
      </c>
      <c r="T55" s="88">
        <v>0.3</v>
      </c>
      <c r="U55" s="88">
        <v>2.8</v>
      </c>
      <c r="V55" s="88">
        <v>3.8</v>
      </c>
      <c r="W55" s="88">
        <v>0</v>
      </c>
      <c r="X55" s="88">
        <v>0</v>
      </c>
      <c r="Y55" s="88">
        <v>1.8</v>
      </c>
    </row>
    <row r="56" spans="1:28">
      <c r="B56" s="7" t="s">
        <v>39</v>
      </c>
      <c r="C56" s="7">
        <v>80.400000000000006</v>
      </c>
      <c r="D56" s="7">
        <v>5.7</v>
      </c>
      <c r="E56" s="7">
        <v>3.4</v>
      </c>
      <c r="F56" s="7">
        <f>SUM(C56:E56)</f>
        <v>89.500000000000014</v>
      </c>
      <c r="G56" s="7">
        <v>5.2</v>
      </c>
      <c r="H56" s="7">
        <v>0</v>
      </c>
      <c r="I56" s="7">
        <v>0</v>
      </c>
      <c r="J56" s="7">
        <v>5</v>
      </c>
      <c r="K56" s="7">
        <v>0</v>
      </c>
      <c r="L56" s="7">
        <v>0</v>
      </c>
      <c r="N56"/>
      <c r="O56"/>
      <c r="P56"/>
      <c r="S56" s="1"/>
      <c r="Z56" s="1"/>
      <c r="AA56" s="1"/>
      <c r="AB56" s="1"/>
    </row>
    <row r="57" spans="1:28">
      <c r="B57" s="7" t="s">
        <v>38</v>
      </c>
      <c r="C57" s="7">
        <v>75.099999999999994</v>
      </c>
      <c r="D57" s="7">
        <v>16</v>
      </c>
      <c r="E57" s="7">
        <v>1.8</v>
      </c>
      <c r="F57" s="7">
        <f>SUM(C57:E57)</f>
        <v>92.899999999999991</v>
      </c>
      <c r="G57" s="7">
        <v>3.1</v>
      </c>
      <c r="H57" s="7">
        <v>0</v>
      </c>
      <c r="I57" s="7">
        <v>0</v>
      </c>
      <c r="J57" s="7">
        <v>3.6</v>
      </c>
      <c r="K57" s="7">
        <v>0</v>
      </c>
      <c r="L57" s="7">
        <v>0</v>
      </c>
      <c r="N57" s="1">
        <v>5</v>
      </c>
    </row>
    <row r="58" spans="1:28">
      <c r="B58" s="7" t="s">
        <v>37</v>
      </c>
      <c r="C58" s="7">
        <f t="shared" ref="C58:L58" si="35">AVERAGE(C53:C57)</f>
        <v>80.240000000000009</v>
      </c>
      <c r="D58" s="7">
        <f t="shared" si="35"/>
        <v>7.4</v>
      </c>
      <c r="E58" s="7">
        <f t="shared" si="35"/>
        <v>2.4400000000000004</v>
      </c>
      <c r="F58" s="7">
        <f t="shared" si="35"/>
        <v>90.08</v>
      </c>
      <c r="G58" s="7">
        <f t="shared" si="35"/>
        <v>4.78</v>
      </c>
      <c r="H58" s="7">
        <f t="shared" si="35"/>
        <v>0.06</v>
      </c>
      <c r="I58" s="7">
        <f t="shared" si="35"/>
        <v>0</v>
      </c>
      <c r="J58" s="7">
        <f t="shared" si="35"/>
        <v>4.8000000000000007</v>
      </c>
      <c r="K58" s="7">
        <f t="shared" si="35"/>
        <v>0</v>
      </c>
      <c r="L58" s="7">
        <f t="shared" si="35"/>
        <v>0</v>
      </c>
      <c r="N58" s="7" t="s">
        <v>53</v>
      </c>
      <c r="O58" s="85" t="s">
        <v>52</v>
      </c>
      <c r="P58" s="85" t="s">
        <v>51</v>
      </c>
      <c r="Q58" s="85" t="s">
        <v>50</v>
      </c>
      <c r="R58" s="86" t="s">
        <v>49</v>
      </c>
      <c r="S58" s="9" t="s">
        <v>235</v>
      </c>
      <c r="T58" s="7" t="s">
        <v>246</v>
      </c>
      <c r="U58" s="7" t="s">
        <v>45</v>
      </c>
      <c r="V58" s="85" t="s">
        <v>48</v>
      </c>
      <c r="W58" s="7" t="s">
        <v>47</v>
      </c>
      <c r="X58" s="7" t="s">
        <v>44</v>
      </c>
      <c r="Y58" s="7" t="s">
        <v>43</v>
      </c>
    </row>
    <row r="59" spans="1:28">
      <c r="N59" s="7" t="s">
        <v>205</v>
      </c>
      <c r="O59" s="88">
        <v>56</v>
      </c>
      <c r="P59" s="88">
        <v>43.9</v>
      </c>
      <c r="Q59" s="88">
        <v>0</v>
      </c>
      <c r="R59" s="51">
        <f>SUM(O59:Q59)</f>
        <v>99.9</v>
      </c>
      <c r="S59" s="88">
        <v>0</v>
      </c>
      <c r="T59" s="88">
        <v>0</v>
      </c>
      <c r="U59" s="88">
        <v>0</v>
      </c>
      <c r="V59" s="88">
        <v>0</v>
      </c>
      <c r="W59" s="88">
        <v>0</v>
      </c>
      <c r="X59" s="88">
        <v>0</v>
      </c>
      <c r="Y59" s="88">
        <v>0</v>
      </c>
    </row>
    <row r="60" spans="1:28">
      <c r="N60" s="7" t="s">
        <v>237</v>
      </c>
      <c r="O60" s="88">
        <v>61.4</v>
      </c>
      <c r="P60" s="88">
        <v>31.2</v>
      </c>
      <c r="Q60" s="88">
        <v>0</v>
      </c>
      <c r="R60" s="51">
        <f t="shared" ref="R60:R65" si="36">SUM(O60:Q60)</f>
        <v>92.6</v>
      </c>
      <c r="S60" s="88">
        <v>0.2</v>
      </c>
      <c r="T60" s="88">
        <v>0.2</v>
      </c>
      <c r="U60" s="88">
        <v>0</v>
      </c>
      <c r="V60" s="88">
        <v>0</v>
      </c>
      <c r="W60" s="88">
        <v>0.3</v>
      </c>
      <c r="X60" s="88">
        <v>0</v>
      </c>
      <c r="Y60" s="88">
        <v>6.6</v>
      </c>
    </row>
    <row r="61" spans="1:28">
      <c r="N61" s="7" t="s">
        <v>206</v>
      </c>
      <c r="O61" s="88">
        <v>79.099999999999994</v>
      </c>
      <c r="P61" s="88">
        <v>9.5</v>
      </c>
      <c r="Q61" s="88">
        <v>1.8</v>
      </c>
      <c r="R61" s="51">
        <f t="shared" si="36"/>
        <v>90.399999999999991</v>
      </c>
      <c r="S61" s="88">
        <v>7</v>
      </c>
      <c r="T61" s="88">
        <v>0</v>
      </c>
      <c r="U61" s="88">
        <v>7</v>
      </c>
      <c r="V61" s="88">
        <v>2.2999999999999998</v>
      </c>
      <c r="W61" s="88">
        <v>0</v>
      </c>
      <c r="X61" s="88">
        <v>0</v>
      </c>
      <c r="Y61" s="88">
        <v>0</v>
      </c>
    </row>
    <row r="62" spans="1:28">
      <c r="A62" s="1" t="s">
        <v>60</v>
      </c>
      <c r="B62" s="7" t="s">
        <v>53</v>
      </c>
      <c r="C62" s="12" t="s">
        <v>52</v>
      </c>
      <c r="D62" s="11" t="s">
        <v>51</v>
      </c>
      <c r="E62" s="10" t="s">
        <v>50</v>
      </c>
      <c r="F62" s="9" t="s">
        <v>49</v>
      </c>
      <c r="G62" s="8" t="s">
        <v>48</v>
      </c>
      <c r="H62" s="7" t="s">
        <v>47</v>
      </c>
      <c r="I62" s="7" t="s">
        <v>46</v>
      </c>
      <c r="J62" s="7" t="s">
        <v>45</v>
      </c>
      <c r="K62" s="7" t="s">
        <v>44</v>
      </c>
      <c r="L62" s="7" t="s">
        <v>43</v>
      </c>
      <c r="N62" s="7" t="s">
        <v>207</v>
      </c>
      <c r="O62" s="88">
        <v>68.400000000000006</v>
      </c>
      <c r="P62" s="88">
        <v>15.5</v>
      </c>
      <c r="Q62" s="88">
        <v>0.8</v>
      </c>
      <c r="R62" s="51">
        <f t="shared" si="36"/>
        <v>84.7</v>
      </c>
      <c r="S62" s="88">
        <v>7.1</v>
      </c>
      <c r="T62" s="88">
        <v>2</v>
      </c>
      <c r="U62" s="88">
        <v>5.0999999999999996</v>
      </c>
      <c r="V62" s="88">
        <v>7.8</v>
      </c>
      <c r="W62" s="88">
        <v>0</v>
      </c>
      <c r="X62" s="88">
        <v>0</v>
      </c>
      <c r="Y62" s="88">
        <v>0</v>
      </c>
    </row>
    <row r="63" spans="1:28">
      <c r="B63" s="7" t="s">
        <v>42</v>
      </c>
      <c r="C63" s="7">
        <v>76.7</v>
      </c>
      <c r="D63" s="7">
        <v>3.7</v>
      </c>
      <c r="E63" s="7">
        <v>6.8</v>
      </c>
      <c r="F63" s="7">
        <f>SUM(C63:E63)</f>
        <v>87.2</v>
      </c>
      <c r="G63" s="7">
        <v>8.6999999999999993</v>
      </c>
      <c r="H63" s="7">
        <v>0</v>
      </c>
      <c r="I63" s="7">
        <v>0.5</v>
      </c>
      <c r="J63" s="7">
        <v>3.4</v>
      </c>
      <c r="K63" s="7">
        <v>0</v>
      </c>
      <c r="L63" s="7">
        <v>0</v>
      </c>
      <c r="N63" s="7" t="s">
        <v>208</v>
      </c>
      <c r="O63" s="88">
        <v>67.099999999999994</v>
      </c>
      <c r="P63" s="88">
        <v>21.7</v>
      </c>
      <c r="Q63" s="88">
        <v>1.1000000000000001</v>
      </c>
      <c r="R63" s="51">
        <f t="shared" si="36"/>
        <v>89.899999999999991</v>
      </c>
      <c r="S63" s="88">
        <v>6.1</v>
      </c>
      <c r="T63" s="88">
        <v>0.6</v>
      </c>
      <c r="U63" s="88">
        <v>5.4</v>
      </c>
      <c r="V63" s="88">
        <v>3.8</v>
      </c>
      <c r="W63" s="88">
        <v>0</v>
      </c>
      <c r="X63" s="88">
        <v>0</v>
      </c>
      <c r="Y63" s="88">
        <v>0</v>
      </c>
    </row>
    <row r="64" spans="1:28">
      <c r="B64" s="7" t="s">
        <v>41</v>
      </c>
      <c r="C64" s="7">
        <v>76.900000000000006</v>
      </c>
      <c r="D64" s="7">
        <v>6.2</v>
      </c>
      <c r="E64" s="7">
        <v>2.7</v>
      </c>
      <c r="F64" s="7">
        <f>SUM(C64:E64)</f>
        <v>85.800000000000011</v>
      </c>
      <c r="G64" s="7">
        <v>6.9</v>
      </c>
      <c r="H64" s="7">
        <v>0</v>
      </c>
      <c r="I64" s="7">
        <v>0</v>
      </c>
      <c r="J64" s="7">
        <v>7</v>
      </c>
      <c r="K64" s="7">
        <v>0</v>
      </c>
      <c r="L64" s="7">
        <v>0</v>
      </c>
      <c r="N64" s="7" t="s">
        <v>238</v>
      </c>
      <c r="O64" s="88">
        <v>44.7</v>
      </c>
      <c r="P64" s="88">
        <v>53</v>
      </c>
      <c r="Q64" s="88">
        <v>0</v>
      </c>
      <c r="R64" s="51">
        <f t="shared" si="36"/>
        <v>97.7</v>
      </c>
      <c r="S64" s="88">
        <v>1.3</v>
      </c>
      <c r="T64" s="88">
        <v>1.3</v>
      </c>
      <c r="U64" s="88">
        <v>0</v>
      </c>
      <c r="V64" s="88">
        <v>0.8</v>
      </c>
      <c r="W64" s="88">
        <v>0</v>
      </c>
      <c r="X64" s="88">
        <v>0</v>
      </c>
      <c r="Y64" s="88">
        <v>0</v>
      </c>
    </row>
    <row r="65" spans="1:25">
      <c r="B65" s="7" t="s">
        <v>40</v>
      </c>
      <c r="C65" s="7">
        <v>86.4</v>
      </c>
      <c r="D65" s="7">
        <v>6.8</v>
      </c>
      <c r="E65" s="7">
        <v>0.3</v>
      </c>
      <c r="F65" s="7">
        <f>SUM(C65:E65)</f>
        <v>93.5</v>
      </c>
      <c r="G65" s="7">
        <v>3.7</v>
      </c>
      <c r="H65" s="7">
        <v>0</v>
      </c>
      <c r="I65" s="7">
        <v>1</v>
      </c>
      <c r="J65" s="7">
        <v>1.5</v>
      </c>
      <c r="K65" s="7">
        <v>0</v>
      </c>
      <c r="L65" s="7">
        <v>0</v>
      </c>
      <c r="N65" s="7" t="s">
        <v>209</v>
      </c>
      <c r="O65" s="88">
        <v>44.9</v>
      </c>
      <c r="P65" s="88">
        <v>46.9</v>
      </c>
      <c r="Q65" s="88">
        <v>0</v>
      </c>
      <c r="R65" s="51">
        <f t="shared" si="36"/>
        <v>91.8</v>
      </c>
      <c r="S65" s="88">
        <v>4.0999999999999996</v>
      </c>
      <c r="T65" s="88">
        <v>0</v>
      </c>
      <c r="U65" s="88">
        <v>4.0999999999999996</v>
      </c>
      <c r="V65" s="88">
        <v>3.6</v>
      </c>
      <c r="W65" s="88">
        <v>0.2</v>
      </c>
      <c r="X65" s="88">
        <v>0</v>
      </c>
      <c r="Y65" s="88">
        <v>0</v>
      </c>
    </row>
    <row r="66" spans="1:25">
      <c r="B66" s="7" t="s">
        <v>39</v>
      </c>
      <c r="C66" s="7">
        <v>78.5</v>
      </c>
      <c r="D66" s="7">
        <v>9.1999999999999993</v>
      </c>
      <c r="E66" s="7">
        <v>2.2999999999999998</v>
      </c>
      <c r="F66" s="7">
        <f>SUM(C66:E66)</f>
        <v>90</v>
      </c>
      <c r="G66" s="7">
        <v>4.5999999999999996</v>
      </c>
      <c r="H66" s="7">
        <v>0</v>
      </c>
      <c r="I66" s="7">
        <v>0</v>
      </c>
      <c r="J66" s="7">
        <v>5.0999999999999996</v>
      </c>
      <c r="K66" s="7">
        <v>0</v>
      </c>
      <c r="L66" s="7">
        <v>0</v>
      </c>
      <c r="N66" s="7" t="s">
        <v>37</v>
      </c>
      <c r="O66" s="88">
        <v>60.2</v>
      </c>
      <c r="P66" s="88">
        <v>31.7</v>
      </c>
      <c r="Q66" s="88">
        <v>0.5</v>
      </c>
      <c r="R66" s="88">
        <f>AVERAGE(R59:R65)</f>
        <v>92.428571428571416</v>
      </c>
      <c r="S66" s="88">
        <v>3.7</v>
      </c>
      <c r="T66" s="88">
        <v>0.6</v>
      </c>
      <c r="U66" s="88">
        <v>3.1</v>
      </c>
      <c r="V66" s="88">
        <v>2.6</v>
      </c>
      <c r="W66" s="88">
        <v>0</v>
      </c>
      <c r="X66" s="88">
        <v>0</v>
      </c>
      <c r="Y66" s="88">
        <v>0.9</v>
      </c>
    </row>
    <row r="67" spans="1:25">
      <c r="B67" s="7" t="s">
        <v>38</v>
      </c>
      <c r="C67" s="7">
        <v>70.2</v>
      </c>
      <c r="D67" s="7">
        <v>19.3</v>
      </c>
      <c r="E67" s="7">
        <v>5.3</v>
      </c>
      <c r="F67" s="7">
        <f>SUM(C67:E67)</f>
        <v>94.8</v>
      </c>
      <c r="G67" s="7">
        <v>2.2999999999999998</v>
      </c>
      <c r="H67" s="7">
        <v>0</v>
      </c>
      <c r="I67" s="7">
        <v>0</v>
      </c>
      <c r="J67" s="7">
        <v>2.7</v>
      </c>
      <c r="K67" s="7">
        <v>0</v>
      </c>
      <c r="L67" s="7">
        <v>0</v>
      </c>
    </row>
    <row r="68" spans="1:25">
      <c r="B68" s="7" t="s">
        <v>37</v>
      </c>
      <c r="C68" s="7">
        <f t="shared" ref="C68:L68" si="37">AVERAGE(C63:C67)</f>
        <v>77.739999999999995</v>
      </c>
      <c r="D68" s="7">
        <f t="shared" si="37"/>
        <v>9.0400000000000009</v>
      </c>
      <c r="E68" s="7">
        <f t="shared" si="37"/>
        <v>3.4800000000000004</v>
      </c>
      <c r="F68" s="7">
        <f t="shared" si="37"/>
        <v>90.26</v>
      </c>
      <c r="G68" s="7">
        <f t="shared" si="37"/>
        <v>5.24</v>
      </c>
      <c r="H68" s="7">
        <f t="shared" si="37"/>
        <v>0</v>
      </c>
      <c r="I68" s="7">
        <f t="shared" si="37"/>
        <v>0.3</v>
      </c>
      <c r="J68" s="7">
        <f t="shared" si="37"/>
        <v>3.94</v>
      </c>
      <c r="K68" s="7">
        <f t="shared" si="37"/>
        <v>0</v>
      </c>
      <c r="L68" s="7">
        <f t="shared" si="37"/>
        <v>0</v>
      </c>
      <c r="N68" s="1">
        <v>6</v>
      </c>
    </row>
    <row r="69" spans="1:25">
      <c r="N69" s="7" t="s">
        <v>53</v>
      </c>
      <c r="O69" s="85" t="s">
        <v>52</v>
      </c>
      <c r="P69" s="85" t="s">
        <v>51</v>
      </c>
      <c r="Q69" s="85" t="s">
        <v>50</v>
      </c>
      <c r="R69" s="86" t="s">
        <v>49</v>
      </c>
      <c r="S69" s="9" t="s">
        <v>235</v>
      </c>
      <c r="T69" s="7" t="s">
        <v>246</v>
      </c>
      <c r="U69" s="7" t="s">
        <v>45</v>
      </c>
      <c r="V69" s="85" t="s">
        <v>48</v>
      </c>
      <c r="W69" s="7" t="s">
        <v>47</v>
      </c>
      <c r="X69" s="7" t="s">
        <v>44</v>
      </c>
      <c r="Y69" s="7" t="s">
        <v>43</v>
      </c>
    </row>
    <row r="70" spans="1:25">
      <c r="N70" s="7" t="s">
        <v>205</v>
      </c>
      <c r="O70" s="88">
        <v>59.6</v>
      </c>
      <c r="P70" s="88">
        <v>36.1</v>
      </c>
      <c r="Q70" s="88">
        <v>0</v>
      </c>
      <c r="R70" s="51">
        <f>SUM(O70:Q70)</f>
        <v>95.7</v>
      </c>
      <c r="S70" s="88">
        <v>0</v>
      </c>
      <c r="T70" s="88">
        <v>2.6</v>
      </c>
      <c r="U70" s="88">
        <v>1.7</v>
      </c>
      <c r="V70" s="88">
        <v>1.5</v>
      </c>
      <c r="W70" s="88">
        <v>0</v>
      </c>
      <c r="X70" s="88">
        <v>0</v>
      </c>
      <c r="Y70" s="88">
        <v>0</v>
      </c>
    </row>
    <row r="71" spans="1:25">
      <c r="N71" s="7" t="s">
        <v>237</v>
      </c>
      <c r="O71" s="88">
        <v>68.8</v>
      </c>
      <c r="P71" s="88">
        <v>19.7</v>
      </c>
      <c r="Q71" s="88">
        <v>0</v>
      </c>
      <c r="R71" s="51">
        <f t="shared" ref="R71:R76" si="38">SUM(O71:Q71)</f>
        <v>88.5</v>
      </c>
      <c r="S71" s="88">
        <v>0.2</v>
      </c>
      <c r="T71" s="88">
        <v>4.7</v>
      </c>
      <c r="U71" s="88">
        <v>3.7</v>
      </c>
      <c r="V71" s="88">
        <v>6.6</v>
      </c>
      <c r="W71" s="88">
        <v>0</v>
      </c>
      <c r="X71" s="88">
        <v>0</v>
      </c>
      <c r="Y71" s="88">
        <v>0</v>
      </c>
    </row>
    <row r="72" spans="1:25">
      <c r="A72" s="1" t="s">
        <v>4</v>
      </c>
      <c r="B72" s="7" t="s">
        <v>53</v>
      </c>
      <c r="C72" s="12" t="s">
        <v>52</v>
      </c>
      <c r="D72" s="11" t="s">
        <v>51</v>
      </c>
      <c r="E72" s="10" t="s">
        <v>50</v>
      </c>
      <c r="F72" s="9" t="s">
        <v>49</v>
      </c>
      <c r="G72" s="8" t="s">
        <v>48</v>
      </c>
      <c r="H72" s="7" t="s">
        <v>47</v>
      </c>
      <c r="I72" s="7" t="s">
        <v>46</v>
      </c>
      <c r="J72" s="7" t="s">
        <v>45</v>
      </c>
      <c r="K72" s="7" t="s">
        <v>44</v>
      </c>
      <c r="L72" s="7" t="s">
        <v>43</v>
      </c>
      <c r="N72" s="7" t="s">
        <v>206</v>
      </c>
      <c r="O72" s="88">
        <v>82.2</v>
      </c>
      <c r="P72" s="88">
        <v>13.1</v>
      </c>
      <c r="Q72" s="88">
        <v>0</v>
      </c>
      <c r="R72" s="51">
        <f t="shared" si="38"/>
        <v>95.3</v>
      </c>
      <c r="S72" s="88">
        <v>7</v>
      </c>
      <c r="T72" s="88">
        <v>3.6</v>
      </c>
      <c r="U72" s="88">
        <v>3.6</v>
      </c>
      <c r="V72" s="88">
        <v>0.9</v>
      </c>
      <c r="W72" s="88">
        <v>0</v>
      </c>
      <c r="X72" s="88">
        <v>0</v>
      </c>
      <c r="Y72" s="88">
        <v>0</v>
      </c>
    </row>
    <row r="73" spans="1:25">
      <c r="B73" s="7" t="s">
        <v>42</v>
      </c>
      <c r="C73" s="7">
        <v>81.099999999999994</v>
      </c>
      <c r="D73" s="7">
        <v>4.7</v>
      </c>
      <c r="E73" s="7">
        <v>5.4</v>
      </c>
      <c r="F73" s="7">
        <f>SUM(C73:E73)</f>
        <v>91.2</v>
      </c>
      <c r="G73" s="7">
        <v>4.8</v>
      </c>
      <c r="H73" s="7">
        <v>0.1</v>
      </c>
      <c r="I73" s="7">
        <v>0.1</v>
      </c>
      <c r="J73" s="7">
        <v>3.4</v>
      </c>
      <c r="K73" s="7">
        <v>0</v>
      </c>
      <c r="L73" s="7">
        <v>0</v>
      </c>
      <c r="N73" s="7" t="s">
        <v>207</v>
      </c>
      <c r="O73" s="88">
        <v>73.900000000000006</v>
      </c>
      <c r="P73" s="88">
        <v>21.9</v>
      </c>
      <c r="Q73" s="88">
        <v>1.3</v>
      </c>
      <c r="R73" s="51">
        <f t="shared" si="38"/>
        <v>97.100000000000009</v>
      </c>
      <c r="S73" s="88">
        <v>7.1</v>
      </c>
      <c r="T73" s="88">
        <v>1.5</v>
      </c>
      <c r="U73" s="88">
        <v>1.5</v>
      </c>
      <c r="V73" s="88">
        <v>1.2</v>
      </c>
      <c r="W73" s="88">
        <v>0</v>
      </c>
      <c r="X73" s="88">
        <v>0</v>
      </c>
      <c r="Y73" s="88">
        <v>0</v>
      </c>
    </row>
    <row r="74" spans="1:25">
      <c r="B74" s="7" t="s">
        <v>41</v>
      </c>
      <c r="C74" s="7">
        <v>80.099999999999994</v>
      </c>
      <c r="D74" s="7">
        <v>5.2</v>
      </c>
      <c r="E74" s="7">
        <v>3.3</v>
      </c>
      <c r="F74" s="7">
        <f>SUM(C74:E74)</f>
        <v>88.6</v>
      </c>
      <c r="G74" s="7">
        <v>5.6</v>
      </c>
      <c r="H74" s="7">
        <v>0</v>
      </c>
      <c r="I74" s="7">
        <v>0</v>
      </c>
      <c r="J74" s="7">
        <v>5.5</v>
      </c>
      <c r="K74" s="7">
        <v>0</v>
      </c>
      <c r="L74" s="7">
        <v>0</v>
      </c>
      <c r="N74" s="7" t="s">
        <v>208</v>
      </c>
      <c r="O74" s="88">
        <v>54.5</v>
      </c>
      <c r="P74" s="88">
        <v>42.3</v>
      </c>
      <c r="Q74" s="88">
        <v>0</v>
      </c>
      <c r="R74" s="51">
        <f t="shared" si="38"/>
        <v>96.8</v>
      </c>
      <c r="S74" s="88">
        <v>6.1</v>
      </c>
      <c r="T74" s="88">
        <v>1.8</v>
      </c>
      <c r="U74" s="88">
        <v>1.8</v>
      </c>
      <c r="V74" s="88">
        <v>1.2</v>
      </c>
      <c r="W74" s="88">
        <v>0</v>
      </c>
      <c r="X74" s="88">
        <v>0</v>
      </c>
      <c r="Y74" s="88">
        <v>0</v>
      </c>
    </row>
    <row r="75" spans="1:25">
      <c r="B75" s="7" t="s">
        <v>40</v>
      </c>
      <c r="C75" s="7">
        <v>86.6</v>
      </c>
      <c r="D75" s="7">
        <v>4.2</v>
      </c>
      <c r="E75" s="7">
        <v>0.1</v>
      </c>
      <c r="F75" s="7">
        <f>SUM(C75:E75)</f>
        <v>90.899999999999991</v>
      </c>
      <c r="G75" s="7">
        <v>4.9000000000000004</v>
      </c>
      <c r="H75" s="7">
        <v>0</v>
      </c>
      <c r="I75" s="7">
        <v>0.3</v>
      </c>
      <c r="J75" s="7">
        <v>3.5</v>
      </c>
      <c r="K75" s="7">
        <v>0</v>
      </c>
      <c r="L75" s="7">
        <v>0</v>
      </c>
      <c r="N75" s="7" t="s">
        <v>238</v>
      </c>
      <c r="O75" s="88">
        <v>28.4</v>
      </c>
      <c r="P75" s="88">
        <v>46.1</v>
      </c>
      <c r="Q75" s="88">
        <v>0</v>
      </c>
      <c r="R75" s="51">
        <f t="shared" si="38"/>
        <v>74.5</v>
      </c>
      <c r="S75" s="88">
        <v>1.3</v>
      </c>
      <c r="T75" s="88">
        <v>9.1</v>
      </c>
      <c r="U75" s="88">
        <v>3.1</v>
      </c>
      <c r="V75" s="88">
        <v>16.2</v>
      </c>
      <c r="W75" s="88">
        <v>0</v>
      </c>
      <c r="X75" s="88">
        <v>0</v>
      </c>
      <c r="Y75" s="88">
        <v>0</v>
      </c>
    </row>
    <row r="76" spans="1:25">
      <c r="B76" s="7" t="s">
        <v>39</v>
      </c>
      <c r="C76" s="7">
        <v>79.2</v>
      </c>
      <c r="D76" s="7">
        <v>7.1</v>
      </c>
      <c r="E76" s="7">
        <v>3</v>
      </c>
      <c r="F76" s="7">
        <f>SUM(C76:E76)</f>
        <v>89.3</v>
      </c>
      <c r="G76" s="7">
        <v>4.8</v>
      </c>
      <c r="H76" s="7">
        <v>0</v>
      </c>
      <c r="I76" s="7">
        <v>0.2</v>
      </c>
      <c r="J76" s="7">
        <v>5.3</v>
      </c>
      <c r="K76" s="7">
        <v>0</v>
      </c>
      <c r="L76" s="7">
        <v>0</v>
      </c>
      <c r="N76" s="7" t="s">
        <v>209</v>
      </c>
      <c r="O76" s="88">
        <v>33.700000000000003</v>
      </c>
      <c r="P76" s="88">
        <v>60.2</v>
      </c>
      <c r="Q76" s="88">
        <v>0</v>
      </c>
      <c r="R76" s="51">
        <f t="shared" si="38"/>
        <v>93.9</v>
      </c>
      <c r="S76" s="88">
        <v>4.0999999999999996</v>
      </c>
      <c r="T76" s="88">
        <v>2.6</v>
      </c>
      <c r="U76" s="88">
        <v>1.7</v>
      </c>
      <c r="V76" s="88">
        <v>3.3</v>
      </c>
      <c r="W76" s="88">
        <v>0</v>
      </c>
      <c r="X76" s="88">
        <v>0</v>
      </c>
      <c r="Y76" s="88">
        <v>0</v>
      </c>
    </row>
    <row r="77" spans="1:25">
      <c r="B77" s="7" t="s">
        <v>38</v>
      </c>
      <c r="C77" s="7">
        <v>73</v>
      </c>
      <c r="D77" s="7">
        <v>16.899999999999999</v>
      </c>
      <c r="E77" s="7">
        <v>3.9</v>
      </c>
      <c r="F77" s="7">
        <f>SUM(C77:E77)</f>
        <v>93.800000000000011</v>
      </c>
      <c r="G77" s="7">
        <v>2.9</v>
      </c>
      <c r="H77" s="7">
        <v>0</v>
      </c>
      <c r="I77" s="7">
        <v>0</v>
      </c>
      <c r="J77" s="7">
        <v>3.1</v>
      </c>
      <c r="K77" s="7">
        <v>0</v>
      </c>
      <c r="L77" s="7">
        <v>0</v>
      </c>
      <c r="N77" s="7" t="s">
        <v>37</v>
      </c>
      <c r="O77" s="88">
        <v>57.3</v>
      </c>
      <c r="P77" s="88">
        <v>34.200000000000003</v>
      </c>
      <c r="Q77" s="88">
        <v>0.1</v>
      </c>
      <c r="R77" s="88">
        <f>AVERAGE(R70:R76)</f>
        <v>91.685714285714297</v>
      </c>
      <c r="S77" s="88">
        <v>3.7</v>
      </c>
      <c r="T77" s="88">
        <v>3.7</v>
      </c>
      <c r="U77" s="88">
        <v>2.4</v>
      </c>
      <c r="V77" s="88">
        <v>4.4000000000000004</v>
      </c>
      <c r="W77" s="88">
        <v>0</v>
      </c>
      <c r="X77" s="88">
        <v>0</v>
      </c>
      <c r="Y77" s="88">
        <v>0</v>
      </c>
    </row>
    <row r="78" spans="1:25">
      <c r="B78" s="7" t="s">
        <v>37</v>
      </c>
      <c r="C78" s="7">
        <f t="shared" ref="C78:L78" si="39">AVERAGE(C73:C77)</f>
        <v>80</v>
      </c>
      <c r="D78" s="7">
        <f t="shared" si="39"/>
        <v>7.62</v>
      </c>
      <c r="E78" s="7">
        <f t="shared" si="39"/>
        <v>3.1399999999999997</v>
      </c>
      <c r="F78" s="7">
        <f t="shared" si="39"/>
        <v>90.76</v>
      </c>
      <c r="G78" s="7">
        <f t="shared" si="39"/>
        <v>4.5999999999999996</v>
      </c>
      <c r="H78" s="7">
        <f t="shared" si="39"/>
        <v>0.02</v>
      </c>
      <c r="I78" s="7">
        <f t="shared" si="39"/>
        <v>0.12000000000000002</v>
      </c>
      <c r="J78" s="7">
        <f t="shared" si="39"/>
        <v>4.16</v>
      </c>
      <c r="K78" s="7">
        <f t="shared" si="39"/>
        <v>0</v>
      </c>
      <c r="L78" s="7">
        <f t="shared" si="39"/>
        <v>0</v>
      </c>
    </row>
    <row r="79" spans="1:25">
      <c r="N79" s="1">
        <v>7</v>
      </c>
    </row>
    <row r="80" spans="1:25">
      <c r="N80" s="7" t="s">
        <v>53</v>
      </c>
      <c r="O80" s="85" t="s">
        <v>52</v>
      </c>
      <c r="P80" s="85" t="s">
        <v>51</v>
      </c>
      <c r="Q80" s="85" t="s">
        <v>50</v>
      </c>
      <c r="R80" s="86" t="s">
        <v>49</v>
      </c>
      <c r="S80" s="9" t="s">
        <v>235</v>
      </c>
      <c r="T80" s="7" t="s">
        <v>246</v>
      </c>
      <c r="U80" s="7" t="s">
        <v>45</v>
      </c>
      <c r="V80" s="85" t="s">
        <v>48</v>
      </c>
      <c r="W80" s="7" t="s">
        <v>47</v>
      </c>
      <c r="X80" s="7" t="s">
        <v>44</v>
      </c>
      <c r="Y80" s="7" t="s">
        <v>43</v>
      </c>
    </row>
    <row r="81" spans="1:25">
      <c r="N81" s="7" t="s">
        <v>205</v>
      </c>
      <c r="O81" s="88">
        <v>46.2</v>
      </c>
      <c r="P81" s="88">
        <v>48.3</v>
      </c>
      <c r="Q81" s="88">
        <v>0</v>
      </c>
      <c r="R81" s="51">
        <f>SUM(O81:Q81)</f>
        <v>94.5</v>
      </c>
      <c r="S81" s="88">
        <v>1.6</v>
      </c>
      <c r="T81" s="88">
        <v>0.3</v>
      </c>
      <c r="U81" s="88">
        <v>1.3</v>
      </c>
      <c r="V81" s="88">
        <v>3.7</v>
      </c>
      <c r="W81" s="88">
        <v>0</v>
      </c>
      <c r="X81" s="88">
        <v>0</v>
      </c>
      <c r="Y81" s="88">
        <v>0</v>
      </c>
    </row>
    <row r="82" spans="1:25">
      <c r="A82" s="1" t="s">
        <v>59</v>
      </c>
      <c r="B82" s="7" t="s">
        <v>53</v>
      </c>
      <c r="C82" s="12" t="s">
        <v>52</v>
      </c>
      <c r="D82" s="11" t="s">
        <v>51</v>
      </c>
      <c r="E82" s="10" t="s">
        <v>50</v>
      </c>
      <c r="F82" s="9" t="s">
        <v>49</v>
      </c>
      <c r="G82" s="8" t="s">
        <v>48</v>
      </c>
      <c r="H82" s="7" t="s">
        <v>47</v>
      </c>
      <c r="I82" s="7" t="s">
        <v>46</v>
      </c>
      <c r="J82" s="7" t="s">
        <v>45</v>
      </c>
      <c r="K82" s="7" t="s">
        <v>44</v>
      </c>
      <c r="L82" s="7" t="s">
        <v>43</v>
      </c>
      <c r="N82" s="7" t="s">
        <v>237</v>
      </c>
      <c r="O82" s="88">
        <v>63.4</v>
      </c>
      <c r="P82" s="88">
        <v>29.8</v>
      </c>
      <c r="Q82" s="88">
        <v>0</v>
      </c>
      <c r="R82" s="51">
        <f t="shared" ref="R82:R87" si="40">SUM(O82:Q82)</f>
        <v>93.2</v>
      </c>
      <c r="S82" s="88">
        <v>0</v>
      </c>
      <c r="T82" s="88">
        <v>0</v>
      </c>
      <c r="U82" s="88">
        <v>0</v>
      </c>
      <c r="V82" s="88">
        <v>3.4</v>
      </c>
      <c r="W82" s="88">
        <v>0.6</v>
      </c>
      <c r="X82" s="88">
        <v>0</v>
      </c>
      <c r="Y82" s="88">
        <v>2.5</v>
      </c>
    </row>
    <row r="83" spans="1:25">
      <c r="B83" s="7" t="s">
        <v>42</v>
      </c>
      <c r="C83" s="7">
        <v>77.7</v>
      </c>
      <c r="D83" s="7">
        <v>7.7</v>
      </c>
      <c r="E83" s="7">
        <v>5</v>
      </c>
      <c r="F83" s="7">
        <f>SUM(C83:E83)</f>
        <v>90.4</v>
      </c>
      <c r="G83" s="7">
        <v>4.5</v>
      </c>
      <c r="H83" s="7">
        <v>0</v>
      </c>
      <c r="I83" s="7">
        <v>0</v>
      </c>
      <c r="J83" s="7">
        <v>4.8</v>
      </c>
      <c r="K83" s="7">
        <v>0</v>
      </c>
      <c r="L83" s="7">
        <v>0</v>
      </c>
      <c r="N83" s="7" t="s">
        <v>206</v>
      </c>
      <c r="O83" s="88">
        <v>75.2</v>
      </c>
      <c r="P83" s="88">
        <v>17.899999999999999</v>
      </c>
      <c r="Q83" s="88">
        <v>0.6</v>
      </c>
      <c r="R83" s="51">
        <f t="shared" si="40"/>
        <v>93.699999999999989</v>
      </c>
      <c r="S83" s="88">
        <v>3.9</v>
      </c>
      <c r="T83" s="88">
        <v>0.6</v>
      </c>
      <c r="U83" s="88">
        <v>3.3</v>
      </c>
      <c r="V83" s="88">
        <v>2.1</v>
      </c>
      <c r="W83" s="88">
        <v>0</v>
      </c>
      <c r="X83" s="88">
        <v>0</v>
      </c>
      <c r="Y83" s="88">
        <v>0</v>
      </c>
    </row>
    <row r="84" spans="1:25">
      <c r="B84" s="7" t="s">
        <v>41</v>
      </c>
      <c r="C84" s="7">
        <v>79.8</v>
      </c>
      <c r="D84" s="7">
        <v>10.5</v>
      </c>
      <c r="E84" s="7">
        <v>2.6</v>
      </c>
      <c r="F84" s="7">
        <f>SUM(C84:E84)</f>
        <v>92.899999999999991</v>
      </c>
      <c r="G84" s="7">
        <v>3.9</v>
      </c>
      <c r="H84" s="7">
        <v>0</v>
      </c>
      <c r="I84" s="7">
        <v>0</v>
      </c>
      <c r="J84" s="7">
        <v>3</v>
      </c>
      <c r="K84" s="7">
        <v>0</v>
      </c>
      <c r="L84" s="7">
        <v>0</v>
      </c>
      <c r="N84" s="7" t="s">
        <v>207</v>
      </c>
      <c r="O84" s="88">
        <v>60.9</v>
      </c>
      <c r="P84" s="88">
        <v>32.4</v>
      </c>
      <c r="Q84" s="88">
        <v>0.9</v>
      </c>
      <c r="R84" s="51">
        <f t="shared" si="40"/>
        <v>94.2</v>
      </c>
      <c r="S84" s="88">
        <v>2.2000000000000002</v>
      </c>
      <c r="T84" s="88">
        <v>0</v>
      </c>
      <c r="U84" s="88">
        <v>2.2000000000000002</v>
      </c>
      <c r="V84" s="88">
        <v>3.4</v>
      </c>
      <c r="W84" s="88">
        <v>0</v>
      </c>
      <c r="X84" s="88">
        <v>0</v>
      </c>
      <c r="Y84" s="88">
        <v>0</v>
      </c>
    </row>
    <row r="85" spans="1:25">
      <c r="B85" s="7" t="s">
        <v>40</v>
      </c>
      <c r="C85" s="7">
        <v>81.8</v>
      </c>
      <c r="D85" s="7">
        <v>8.3000000000000007</v>
      </c>
      <c r="E85" s="7">
        <v>1.3</v>
      </c>
      <c r="F85" s="7">
        <f>SUM(C85:E85)</f>
        <v>91.399999999999991</v>
      </c>
      <c r="G85" s="7">
        <v>4.7</v>
      </c>
      <c r="H85" s="7">
        <v>0</v>
      </c>
      <c r="I85" s="7">
        <v>0.3</v>
      </c>
      <c r="J85" s="7">
        <v>3.3</v>
      </c>
      <c r="K85" s="7">
        <v>0</v>
      </c>
      <c r="L85" s="7">
        <v>0</v>
      </c>
      <c r="N85" s="7" t="s">
        <v>208</v>
      </c>
      <c r="O85" s="88">
        <v>43.2</v>
      </c>
      <c r="P85" s="88">
        <v>48.1</v>
      </c>
      <c r="Q85" s="88">
        <v>2.8</v>
      </c>
      <c r="R85" s="51">
        <f t="shared" si="40"/>
        <v>94.100000000000009</v>
      </c>
      <c r="S85" s="88">
        <v>3.3</v>
      </c>
      <c r="T85" s="88">
        <v>0</v>
      </c>
      <c r="U85" s="88">
        <v>3.3</v>
      </c>
      <c r="V85" s="88">
        <v>2.4</v>
      </c>
      <c r="W85" s="88">
        <v>0</v>
      </c>
      <c r="X85" s="88">
        <v>0</v>
      </c>
      <c r="Y85" s="88">
        <v>0</v>
      </c>
    </row>
    <row r="86" spans="1:25">
      <c r="B86" s="7" t="s">
        <v>39</v>
      </c>
      <c r="C86" s="7">
        <v>78.599999999999994</v>
      </c>
      <c r="D86" s="7">
        <v>8.5</v>
      </c>
      <c r="E86" s="7">
        <v>1.9</v>
      </c>
      <c r="F86" s="7">
        <f>SUM(C86:E86)</f>
        <v>89</v>
      </c>
      <c r="G86" s="7">
        <v>5.4</v>
      </c>
      <c r="H86" s="7">
        <v>0</v>
      </c>
      <c r="I86" s="7">
        <v>0</v>
      </c>
      <c r="J86" s="7">
        <v>5.3</v>
      </c>
      <c r="K86" s="7">
        <v>0</v>
      </c>
      <c r="L86" s="7">
        <v>0</v>
      </c>
      <c r="N86" s="7" t="s">
        <v>238</v>
      </c>
      <c r="O86" s="88">
        <v>39.5</v>
      </c>
      <c r="P86" s="88">
        <v>60.4</v>
      </c>
      <c r="Q86" s="88">
        <v>0</v>
      </c>
      <c r="R86" s="51">
        <f t="shared" si="40"/>
        <v>99.9</v>
      </c>
      <c r="S86" s="88">
        <v>0</v>
      </c>
      <c r="T86" s="88">
        <v>0</v>
      </c>
      <c r="U86" s="88">
        <v>0</v>
      </c>
      <c r="V86" s="88">
        <v>0</v>
      </c>
      <c r="W86" s="88">
        <v>0</v>
      </c>
      <c r="X86" s="88">
        <v>0</v>
      </c>
      <c r="Y86" s="88">
        <v>0</v>
      </c>
    </row>
    <row r="87" spans="1:25">
      <c r="B87" s="7" t="s">
        <v>38</v>
      </c>
      <c r="C87" s="7">
        <v>58.1</v>
      </c>
      <c r="D87" s="7">
        <v>26.2</v>
      </c>
      <c r="E87" s="7">
        <v>4.8</v>
      </c>
      <c r="F87" s="7">
        <f>SUM(C87:E87)</f>
        <v>89.1</v>
      </c>
      <c r="G87" s="7">
        <v>5.0999999999999996</v>
      </c>
      <c r="H87" s="7">
        <v>0</v>
      </c>
      <c r="I87" s="7">
        <v>0</v>
      </c>
      <c r="J87" s="7">
        <v>5.5</v>
      </c>
      <c r="K87" s="7">
        <v>0</v>
      </c>
      <c r="L87" s="7">
        <v>0</v>
      </c>
      <c r="N87" s="7" t="s">
        <v>209</v>
      </c>
      <c r="O87" s="88">
        <v>28.6</v>
      </c>
      <c r="P87" s="88">
        <v>67.599999999999994</v>
      </c>
      <c r="Q87" s="88">
        <v>0</v>
      </c>
      <c r="R87" s="51">
        <f t="shared" si="40"/>
        <v>96.199999999999989</v>
      </c>
      <c r="S87" s="88">
        <v>2.2000000000000002</v>
      </c>
      <c r="T87" s="88">
        <v>0.3</v>
      </c>
      <c r="U87" s="88">
        <v>1.8</v>
      </c>
      <c r="V87" s="88">
        <v>1.4</v>
      </c>
      <c r="W87" s="88">
        <v>0</v>
      </c>
      <c r="X87" s="88">
        <v>0</v>
      </c>
      <c r="Y87" s="88">
        <v>0</v>
      </c>
    </row>
    <row r="88" spans="1:25">
      <c r="B88" s="7" t="s">
        <v>37</v>
      </c>
      <c r="C88" s="7">
        <v>82.3</v>
      </c>
      <c r="D88" s="7">
        <v>4.3</v>
      </c>
      <c r="E88" s="7">
        <v>1.7</v>
      </c>
      <c r="F88" s="7">
        <f>AVERAGE(F83:F87)</f>
        <v>90.559999999999988</v>
      </c>
      <c r="G88" s="7">
        <f t="shared" ref="G88:L88" si="41">AVERAGE(G83:G87)</f>
        <v>4.7200000000000006</v>
      </c>
      <c r="H88" s="7">
        <f t="shared" si="41"/>
        <v>0</v>
      </c>
      <c r="I88" s="7">
        <f t="shared" si="41"/>
        <v>0.06</v>
      </c>
      <c r="J88" s="7">
        <f t="shared" si="41"/>
        <v>4.38</v>
      </c>
      <c r="K88" s="7">
        <f t="shared" si="41"/>
        <v>0</v>
      </c>
      <c r="L88" s="7">
        <f t="shared" si="41"/>
        <v>0</v>
      </c>
      <c r="N88" s="7" t="s">
        <v>37</v>
      </c>
      <c r="O88" s="88">
        <v>51</v>
      </c>
      <c r="P88" s="88">
        <v>43.5</v>
      </c>
      <c r="Q88" s="88">
        <v>0.6</v>
      </c>
      <c r="R88" s="88">
        <f>AVERAGE(R81:R87)</f>
        <v>95.114285714285714</v>
      </c>
      <c r="S88" s="88">
        <v>1.9</v>
      </c>
      <c r="T88" s="88">
        <v>0.1</v>
      </c>
      <c r="U88" s="88">
        <v>1.7</v>
      </c>
      <c r="V88" s="88">
        <v>2.2999999999999998</v>
      </c>
      <c r="W88" s="88">
        <v>0</v>
      </c>
      <c r="X88" s="88">
        <v>0</v>
      </c>
      <c r="Y88" s="88">
        <v>0.3</v>
      </c>
    </row>
    <row r="90" spans="1:25">
      <c r="N90" s="1">
        <v>8</v>
      </c>
    </row>
    <row r="91" spans="1:25">
      <c r="N91" s="7" t="s">
        <v>53</v>
      </c>
      <c r="O91" s="85" t="s">
        <v>52</v>
      </c>
      <c r="P91" s="85" t="s">
        <v>51</v>
      </c>
      <c r="Q91" s="85" t="s">
        <v>50</v>
      </c>
      <c r="R91" s="86" t="s">
        <v>49</v>
      </c>
      <c r="S91" s="9" t="s">
        <v>235</v>
      </c>
      <c r="T91" s="7" t="s">
        <v>246</v>
      </c>
      <c r="U91" s="7" t="s">
        <v>45</v>
      </c>
      <c r="V91" s="85" t="s">
        <v>48</v>
      </c>
      <c r="W91" s="7" t="s">
        <v>47</v>
      </c>
      <c r="X91" s="7" t="s">
        <v>44</v>
      </c>
      <c r="Y91" s="7" t="s">
        <v>43</v>
      </c>
    </row>
    <row r="92" spans="1:25">
      <c r="A92" s="1" t="s">
        <v>58</v>
      </c>
      <c r="B92" s="7" t="s">
        <v>53</v>
      </c>
      <c r="C92" s="12" t="s">
        <v>52</v>
      </c>
      <c r="D92" s="11" t="s">
        <v>51</v>
      </c>
      <c r="E92" s="10" t="s">
        <v>50</v>
      </c>
      <c r="F92" s="9" t="s">
        <v>49</v>
      </c>
      <c r="G92" s="8" t="s">
        <v>48</v>
      </c>
      <c r="H92" s="7" t="s">
        <v>47</v>
      </c>
      <c r="I92" s="7" t="s">
        <v>46</v>
      </c>
      <c r="J92" s="7" t="s">
        <v>45</v>
      </c>
      <c r="K92" s="7" t="s">
        <v>44</v>
      </c>
      <c r="L92" s="7" t="s">
        <v>43</v>
      </c>
      <c r="N92" s="7" t="s">
        <v>205</v>
      </c>
      <c r="O92" s="88">
        <v>54.9</v>
      </c>
      <c r="P92" s="88">
        <v>41.1</v>
      </c>
      <c r="Q92" s="88">
        <v>0</v>
      </c>
      <c r="R92" s="51">
        <f>SUM(O92:Q92)</f>
        <v>96</v>
      </c>
      <c r="S92" s="88">
        <v>2.9</v>
      </c>
      <c r="T92" s="88">
        <v>2.9</v>
      </c>
      <c r="U92" s="88">
        <v>0</v>
      </c>
      <c r="V92" s="88">
        <v>1</v>
      </c>
      <c r="W92" s="88">
        <v>0</v>
      </c>
      <c r="X92" s="88">
        <v>0</v>
      </c>
      <c r="Y92" s="88">
        <v>0</v>
      </c>
    </row>
    <row r="93" spans="1:25">
      <c r="B93" s="7" t="s">
        <v>42</v>
      </c>
      <c r="C93" s="7">
        <v>81.099999999999994</v>
      </c>
      <c r="D93" s="7">
        <v>6</v>
      </c>
      <c r="E93" s="7">
        <v>1.3</v>
      </c>
      <c r="F93" s="7">
        <f>SUM(C93:E93)</f>
        <v>88.399999999999991</v>
      </c>
      <c r="G93" s="7">
        <v>5.6</v>
      </c>
      <c r="H93" s="7">
        <v>0</v>
      </c>
      <c r="I93" s="7">
        <v>0.1</v>
      </c>
      <c r="J93" s="7">
        <v>5.5</v>
      </c>
      <c r="K93" s="7">
        <v>0.1</v>
      </c>
      <c r="L93" s="7">
        <v>0</v>
      </c>
      <c r="N93" s="7" t="s">
        <v>237</v>
      </c>
      <c r="O93" s="88">
        <v>30</v>
      </c>
      <c r="P93" s="88">
        <v>46.8</v>
      </c>
      <c r="Q93" s="88">
        <v>0.5</v>
      </c>
      <c r="R93" s="51">
        <f t="shared" ref="R93:R98" si="42">SUM(O93:Q93)</f>
        <v>77.3</v>
      </c>
      <c r="S93" s="88">
        <v>1.3</v>
      </c>
      <c r="T93" s="88">
        <v>0.2</v>
      </c>
      <c r="U93" s="88">
        <v>1.1000000000000001</v>
      </c>
      <c r="V93" s="88">
        <v>9.3000000000000007</v>
      </c>
      <c r="W93" s="88">
        <v>0.5</v>
      </c>
      <c r="X93" s="88">
        <v>0</v>
      </c>
      <c r="Y93" s="88">
        <v>11.3</v>
      </c>
    </row>
    <row r="94" spans="1:25">
      <c r="B94" s="7" t="s">
        <v>41</v>
      </c>
      <c r="C94" s="7">
        <v>78.900000000000006</v>
      </c>
      <c r="D94" s="7">
        <v>6.7</v>
      </c>
      <c r="E94" s="7">
        <v>2.7</v>
      </c>
      <c r="F94" s="7">
        <f>SUM(C94:E94)</f>
        <v>88.300000000000011</v>
      </c>
      <c r="G94" s="7">
        <v>6.3</v>
      </c>
      <c r="H94" s="7">
        <v>0</v>
      </c>
      <c r="I94" s="7">
        <v>0</v>
      </c>
      <c r="J94" s="7">
        <v>5.0999999999999996</v>
      </c>
      <c r="K94" s="7">
        <v>0</v>
      </c>
      <c r="L94" s="7">
        <v>0</v>
      </c>
      <c r="N94" s="7" t="s">
        <v>206</v>
      </c>
      <c r="O94" s="88">
        <v>62.9</v>
      </c>
      <c r="P94" s="88">
        <v>28.1</v>
      </c>
      <c r="Q94" s="88">
        <v>3.5</v>
      </c>
      <c r="R94" s="51">
        <f t="shared" si="42"/>
        <v>94.5</v>
      </c>
      <c r="S94" s="88">
        <v>3.4</v>
      </c>
      <c r="T94" s="88">
        <v>0</v>
      </c>
      <c r="U94" s="88">
        <v>3.4</v>
      </c>
      <c r="V94" s="88">
        <v>1.9</v>
      </c>
      <c r="W94" s="88">
        <v>0</v>
      </c>
      <c r="X94" s="88">
        <v>0</v>
      </c>
      <c r="Y94" s="88">
        <v>0</v>
      </c>
    </row>
    <row r="95" spans="1:25">
      <c r="B95" s="7" t="s">
        <v>40</v>
      </c>
      <c r="C95" s="7">
        <v>83.5</v>
      </c>
      <c r="D95" s="7">
        <v>9.3000000000000007</v>
      </c>
      <c r="E95" s="7">
        <v>0.4</v>
      </c>
      <c r="F95" s="7">
        <f>SUM(C95:E95)</f>
        <v>93.2</v>
      </c>
      <c r="G95" s="7">
        <v>3.1</v>
      </c>
      <c r="H95" s="7">
        <v>0</v>
      </c>
      <c r="I95" s="7">
        <v>0.2</v>
      </c>
      <c r="J95" s="7">
        <v>3.1</v>
      </c>
      <c r="K95" s="7">
        <v>0.1</v>
      </c>
      <c r="L95" s="7">
        <v>0</v>
      </c>
      <c r="N95" s="7" t="s">
        <v>207</v>
      </c>
      <c r="O95" s="88">
        <v>62.3</v>
      </c>
      <c r="P95" s="88">
        <v>31.8</v>
      </c>
      <c r="Q95" s="88">
        <v>0.3</v>
      </c>
      <c r="R95" s="51">
        <f t="shared" si="42"/>
        <v>94.399999999999991</v>
      </c>
      <c r="S95" s="88">
        <v>3.4</v>
      </c>
      <c r="T95" s="88">
        <v>0</v>
      </c>
      <c r="U95" s="88">
        <v>3.4</v>
      </c>
      <c r="V95" s="88">
        <v>1.9</v>
      </c>
      <c r="W95" s="88">
        <v>0</v>
      </c>
      <c r="X95" s="88">
        <v>0</v>
      </c>
      <c r="Y95" s="88">
        <v>0</v>
      </c>
    </row>
    <row r="96" spans="1:25">
      <c r="B96" s="7" t="s">
        <v>39</v>
      </c>
      <c r="C96" s="7">
        <v>82.1</v>
      </c>
      <c r="D96" s="7">
        <v>5.8</v>
      </c>
      <c r="E96" s="7">
        <v>1.6</v>
      </c>
      <c r="F96" s="7">
        <f>SUM(C96:E96)</f>
        <v>89.499999999999986</v>
      </c>
      <c r="G96" s="7">
        <v>4.5</v>
      </c>
      <c r="H96" s="7">
        <v>0</v>
      </c>
      <c r="I96" s="7">
        <v>0.4</v>
      </c>
      <c r="J96" s="7">
        <v>5.0999999999999996</v>
      </c>
      <c r="K96" s="7">
        <v>0.2</v>
      </c>
      <c r="L96" s="7">
        <v>0</v>
      </c>
      <c r="N96" s="7" t="s">
        <v>208</v>
      </c>
      <c r="O96" s="88">
        <v>50.9</v>
      </c>
      <c r="P96" s="88">
        <v>45.8</v>
      </c>
      <c r="Q96" s="88">
        <v>1</v>
      </c>
      <c r="R96" s="51">
        <f t="shared" si="42"/>
        <v>97.699999999999989</v>
      </c>
      <c r="S96" s="88">
        <v>1.2</v>
      </c>
      <c r="T96" s="88">
        <v>0</v>
      </c>
      <c r="U96" s="88">
        <v>1.2</v>
      </c>
      <c r="V96" s="88">
        <v>0.8</v>
      </c>
      <c r="W96" s="88">
        <v>0</v>
      </c>
      <c r="X96" s="88">
        <v>0</v>
      </c>
      <c r="Y96" s="88">
        <v>0</v>
      </c>
    </row>
    <row r="97" spans="1:25">
      <c r="B97" s="7" t="s">
        <v>38</v>
      </c>
      <c r="C97" s="7">
        <v>69.599999999999994</v>
      </c>
      <c r="D97" s="7">
        <v>16.2</v>
      </c>
      <c r="E97" s="7">
        <v>2</v>
      </c>
      <c r="F97" s="7">
        <f>SUM(C97:E97)</f>
        <v>87.8</v>
      </c>
      <c r="G97" s="7">
        <v>4.4000000000000004</v>
      </c>
      <c r="H97" s="7">
        <v>0</v>
      </c>
      <c r="I97" s="7">
        <v>1.2</v>
      </c>
      <c r="J97" s="7">
        <v>6</v>
      </c>
      <c r="K97" s="7">
        <v>0.1</v>
      </c>
      <c r="L97" s="7">
        <v>0</v>
      </c>
      <c r="N97" s="7" t="s">
        <v>238</v>
      </c>
      <c r="O97" s="88">
        <v>30</v>
      </c>
      <c r="P97" s="88">
        <v>65.8</v>
      </c>
      <c r="Q97" s="88">
        <v>0</v>
      </c>
      <c r="R97" s="51">
        <f t="shared" si="42"/>
        <v>95.8</v>
      </c>
      <c r="S97" s="88">
        <v>0</v>
      </c>
      <c r="T97" s="88">
        <v>0</v>
      </c>
      <c r="U97" s="88">
        <v>0</v>
      </c>
      <c r="V97" s="88">
        <v>4.0999999999999996</v>
      </c>
      <c r="W97" s="88">
        <v>0</v>
      </c>
      <c r="X97" s="88">
        <v>0</v>
      </c>
      <c r="Y97" s="88">
        <v>0</v>
      </c>
    </row>
    <row r="98" spans="1:25">
      <c r="B98" s="7" t="s">
        <v>37</v>
      </c>
      <c r="C98" s="7">
        <f t="shared" ref="C98:L98" si="43">AVERAGE(C93:C97)</f>
        <v>79.040000000000006</v>
      </c>
      <c r="D98" s="7">
        <f t="shared" si="43"/>
        <v>8.8000000000000007</v>
      </c>
      <c r="E98" s="7">
        <f t="shared" si="43"/>
        <v>1.6</v>
      </c>
      <c r="F98" s="7">
        <f t="shared" si="43"/>
        <v>89.44</v>
      </c>
      <c r="G98" s="7">
        <f t="shared" si="43"/>
        <v>4.7799999999999994</v>
      </c>
      <c r="H98" s="7">
        <f t="shared" si="43"/>
        <v>0</v>
      </c>
      <c r="I98" s="7">
        <f t="shared" si="43"/>
        <v>0.38</v>
      </c>
      <c r="J98" s="7">
        <f t="shared" si="43"/>
        <v>4.9599999999999991</v>
      </c>
      <c r="K98" s="7">
        <f t="shared" si="43"/>
        <v>0.1</v>
      </c>
      <c r="L98" s="7">
        <f t="shared" si="43"/>
        <v>0</v>
      </c>
      <c r="N98" s="7" t="s">
        <v>209</v>
      </c>
      <c r="O98" s="88">
        <v>26</v>
      </c>
      <c r="P98" s="88">
        <v>63.3</v>
      </c>
      <c r="Q98" s="88">
        <v>0</v>
      </c>
      <c r="R98" s="51">
        <f t="shared" si="42"/>
        <v>89.3</v>
      </c>
      <c r="S98" s="88">
        <v>4.9000000000000004</v>
      </c>
      <c r="T98" s="88">
        <v>2.4</v>
      </c>
      <c r="U98" s="88">
        <v>2.5</v>
      </c>
      <c r="V98" s="88">
        <v>5.6</v>
      </c>
      <c r="W98" s="88">
        <v>0</v>
      </c>
      <c r="X98" s="88">
        <v>0</v>
      </c>
      <c r="Y98" s="88">
        <v>0</v>
      </c>
    </row>
    <row r="99" spans="1:25">
      <c r="N99" s="7" t="s">
        <v>37</v>
      </c>
      <c r="O99" s="88">
        <v>45.3</v>
      </c>
      <c r="P99" s="88">
        <v>46.1</v>
      </c>
      <c r="Q99" s="88">
        <v>0.8</v>
      </c>
      <c r="R99" s="88">
        <f>AVERAGE(R92:R98)</f>
        <v>92.142857142857125</v>
      </c>
      <c r="S99" s="88">
        <v>2.4</v>
      </c>
      <c r="T99" s="88">
        <v>0.7</v>
      </c>
      <c r="U99" s="88">
        <v>1.6</v>
      </c>
      <c r="V99" s="88">
        <v>3.5</v>
      </c>
      <c r="W99" s="88">
        <v>0</v>
      </c>
      <c r="X99" s="88">
        <v>0</v>
      </c>
      <c r="Y99" s="88">
        <v>1.6</v>
      </c>
    </row>
    <row r="101" spans="1:25">
      <c r="N101" s="1">
        <v>9</v>
      </c>
    </row>
    <row r="102" spans="1:25">
      <c r="A102" s="1" t="s">
        <v>57</v>
      </c>
      <c r="B102" s="7" t="s">
        <v>53</v>
      </c>
      <c r="C102" s="12" t="s">
        <v>52</v>
      </c>
      <c r="D102" s="11" t="s">
        <v>51</v>
      </c>
      <c r="E102" s="10" t="s">
        <v>50</v>
      </c>
      <c r="F102" s="9" t="s">
        <v>49</v>
      </c>
      <c r="G102" s="8" t="s">
        <v>48</v>
      </c>
      <c r="H102" s="7" t="s">
        <v>47</v>
      </c>
      <c r="I102" s="7" t="s">
        <v>46</v>
      </c>
      <c r="J102" s="7" t="s">
        <v>45</v>
      </c>
      <c r="K102" s="7" t="s">
        <v>44</v>
      </c>
      <c r="L102" s="7" t="s">
        <v>43</v>
      </c>
      <c r="N102" s="7" t="s">
        <v>53</v>
      </c>
      <c r="O102" s="85" t="s">
        <v>52</v>
      </c>
      <c r="P102" s="85" t="s">
        <v>51</v>
      </c>
      <c r="Q102" s="85" t="s">
        <v>50</v>
      </c>
      <c r="R102" s="86" t="s">
        <v>49</v>
      </c>
      <c r="S102" s="9" t="s">
        <v>235</v>
      </c>
      <c r="T102" s="7" t="s">
        <v>246</v>
      </c>
      <c r="U102" s="7" t="s">
        <v>45</v>
      </c>
      <c r="V102" s="85" t="s">
        <v>48</v>
      </c>
      <c r="W102" s="7" t="s">
        <v>47</v>
      </c>
      <c r="X102" s="7" t="s">
        <v>44</v>
      </c>
      <c r="Y102" s="7" t="s">
        <v>43</v>
      </c>
    </row>
    <row r="103" spans="1:25">
      <c r="B103" s="7" t="s">
        <v>42</v>
      </c>
      <c r="C103" s="7">
        <v>80.599999999999994</v>
      </c>
      <c r="D103" s="7">
        <v>9.9</v>
      </c>
      <c r="E103" s="7">
        <v>1.7</v>
      </c>
      <c r="F103" s="7">
        <f>SUM(C103:E103)</f>
        <v>92.2</v>
      </c>
      <c r="G103" s="7">
        <v>4.3</v>
      </c>
      <c r="H103" s="7">
        <v>0</v>
      </c>
      <c r="I103" s="7">
        <v>0</v>
      </c>
      <c r="J103" s="7">
        <v>3.3</v>
      </c>
      <c r="K103" s="7">
        <v>0</v>
      </c>
      <c r="L103" s="7">
        <v>0</v>
      </c>
      <c r="N103" s="7" t="s">
        <v>205</v>
      </c>
      <c r="O103" s="88">
        <v>33.6</v>
      </c>
      <c r="P103" s="88">
        <v>57.6</v>
      </c>
      <c r="Q103" s="88">
        <v>0</v>
      </c>
      <c r="R103" s="51">
        <f>SUM(O103:Q103)</f>
        <v>91.2</v>
      </c>
      <c r="S103" s="88">
        <v>3</v>
      </c>
      <c r="T103" s="88">
        <v>0.2</v>
      </c>
      <c r="U103" s="88">
        <v>2.8</v>
      </c>
      <c r="V103" s="88">
        <v>4.9000000000000004</v>
      </c>
      <c r="W103" s="88">
        <v>0.6</v>
      </c>
      <c r="X103" s="88">
        <v>0</v>
      </c>
      <c r="Y103" s="88">
        <v>0</v>
      </c>
    </row>
    <row r="104" spans="1:25">
      <c r="B104" s="7" t="s">
        <v>41</v>
      </c>
      <c r="C104" s="7">
        <v>78</v>
      </c>
      <c r="D104" s="7">
        <v>13.8</v>
      </c>
      <c r="E104" s="7">
        <v>0.5</v>
      </c>
      <c r="F104" s="7">
        <f>SUM(C104:E104)</f>
        <v>92.3</v>
      </c>
      <c r="G104" s="7">
        <v>4.5999999999999996</v>
      </c>
      <c r="H104" s="7">
        <v>0</v>
      </c>
      <c r="I104" s="7">
        <v>0</v>
      </c>
      <c r="J104" s="7">
        <v>2.9</v>
      </c>
      <c r="K104" s="7">
        <v>0</v>
      </c>
      <c r="L104" s="7">
        <v>0</v>
      </c>
      <c r="N104" s="7" t="s">
        <v>237</v>
      </c>
      <c r="O104" s="88">
        <v>52.4</v>
      </c>
      <c r="P104" s="88">
        <v>39.6</v>
      </c>
      <c r="Q104" s="88">
        <v>0</v>
      </c>
      <c r="R104" s="51">
        <f t="shared" ref="R104:R109" si="44">SUM(O104:Q104)</f>
        <v>92</v>
      </c>
      <c r="S104" s="88">
        <v>0.9</v>
      </c>
      <c r="T104" s="88">
        <v>0.9</v>
      </c>
      <c r="U104" s="88">
        <v>0</v>
      </c>
      <c r="V104" s="88">
        <v>4.5999999999999996</v>
      </c>
      <c r="W104" s="88">
        <v>0</v>
      </c>
      <c r="X104" s="88">
        <v>0</v>
      </c>
      <c r="Y104" s="88">
        <v>2.2999999999999998</v>
      </c>
    </row>
    <row r="105" spans="1:25">
      <c r="B105" s="7" t="s">
        <v>40</v>
      </c>
      <c r="C105" s="7">
        <v>82.9</v>
      </c>
      <c r="D105" s="7">
        <v>6.5</v>
      </c>
      <c r="E105" s="7">
        <v>2</v>
      </c>
      <c r="F105" s="7">
        <f>SUM(C105:E105)</f>
        <v>91.4</v>
      </c>
      <c r="G105" s="7">
        <v>4.8</v>
      </c>
      <c r="H105" s="7">
        <v>0</v>
      </c>
      <c r="I105" s="7">
        <v>0</v>
      </c>
      <c r="J105" s="7">
        <v>3.5</v>
      </c>
      <c r="K105" s="7">
        <v>0</v>
      </c>
      <c r="L105" s="7">
        <v>0</v>
      </c>
      <c r="N105" s="7" t="s">
        <v>206</v>
      </c>
      <c r="O105" s="88">
        <v>67.099999999999994</v>
      </c>
      <c r="P105" s="88">
        <v>22.9</v>
      </c>
      <c r="Q105" s="88">
        <v>1.8</v>
      </c>
      <c r="R105" s="51">
        <f t="shared" si="44"/>
        <v>91.8</v>
      </c>
      <c r="S105" s="88">
        <v>3.9</v>
      </c>
      <c r="T105" s="88">
        <v>0.1</v>
      </c>
      <c r="U105" s="88">
        <v>3.7</v>
      </c>
      <c r="V105" s="88">
        <v>4.0999999999999996</v>
      </c>
      <c r="W105" s="88">
        <v>0</v>
      </c>
      <c r="X105" s="88">
        <v>0</v>
      </c>
      <c r="Y105" s="88">
        <v>0</v>
      </c>
    </row>
    <row r="106" spans="1:25">
      <c r="B106" s="7" t="s">
        <v>39</v>
      </c>
      <c r="C106" s="7">
        <v>74.2</v>
      </c>
      <c r="D106" s="7">
        <v>10.1</v>
      </c>
      <c r="E106" s="7">
        <v>0.8</v>
      </c>
      <c r="F106" s="7">
        <f>SUM(C106:E106)</f>
        <v>85.1</v>
      </c>
      <c r="G106" s="7">
        <v>7.9</v>
      </c>
      <c r="H106" s="7">
        <v>0</v>
      </c>
      <c r="I106" s="7">
        <v>0.7</v>
      </c>
      <c r="J106" s="7">
        <v>6</v>
      </c>
      <c r="K106" s="7">
        <v>0</v>
      </c>
      <c r="L106" s="7">
        <v>0</v>
      </c>
      <c r="N106" s="7" t="s">
        <v>207</v>
      </c>
      <c r="O106" s="88">
        <v>58.7</v>
      </c>
      <c r="P106" s="88">
        <v>38</v>
      </c>
      <c r="Q106" s="88">
        <v>0.9</v>
      </c>
      <c r="R106" s="51">
        <f t="shared" si="44"/>
        <v>97.600000000000009</v>
      </c>
      <c r="S106" s="88">
        <v>1.2</v>
      </c>
      <c r="T106" s="88">
        <v>0</v>
      </c>
      <c r="U106" s="88">
        <v>1.2</v>
      </c>
      <c r="V106" s="88">
        <v>0.9</v>
      </c>
      <c r="W106" s="88">
        <v>0</v>
      </c>
      <c r="X106" s="88">
        <v>0</v>
      </c>
      <c r="Y106" s="88">
        <v>0</v>
      </c>
    </row>
    <row r="107" spans="1:25">
      <c r="B107" s="7" t="s">
        <v>38</v>
      </c>
      <c r="C107" s="7">
        <v>38.5</v>
      </c>
      <c r="D107" s="7">
        <v>46.4</v>
      </c>
      <c r="E107" s="7">
        <v>8.1</v>
      </c>
      <c r="F107" s="7">
        <f>SUM(C107:E107)</f>
        <v>93</v>
      </c>
      <c r="G107" s="7">
        <v>3.9</v>
      </c>
      <c r="H107" s="7">
        <v>0</v>
      </c>
      <c r="I107" s="7">
        <v>0</v>
      </c>
      <c r="J107" s="7">
        <v>2.8</v>
      </c>
      <c r="K107" s="7">
        <v>0</v>
      </c>
      <c r="L107" s="7">
        <v>0</v>
      </c>
      <c r="N107" s="7" t="s">
        <v>208</v>
      </c>
      <c r="O107" s="88">
        <v>34</v>
      </c>
      <c r="P107" s="88">
        <v>59.3</v>
      </c>
      <c r="Q107" s="88">
        <v>0</v>
      </c>
      <c r="R107" s="51">
        <f t="shared" si="44"/>
        <v>93.3</v>
      </c>
      <c r="S107" s="88">
        <v>4.7</v>
      </c>
      <c r="T107" s="88">
        <v>0</v>
      </c>
      <c r="U107" s="88">
        <v>4.7</v>
      </c>
      <c r="V107" s="88">
        <v>1.8</v>
      </c>
      <c r="W107" s="88">
        <v>0</v>
      </c>
      <c r="X107" s="88">
        <v>0</v>
      </c>
      <c r="Y107" s="88">
        <v>0</v>
      </c>
    </row>
    <row r="108" spans="1:25">
      <c r="B108" s="7" t="s">
        <v>37</v>
      </c>
      <c r="C108" s="7">
        <f t="shared" ref="C108:L108" si="45">AVERAGE(C103:C107)</f>
        <v>70.84</v>
      </c>
      <c r="D108" s="7">
        <f t="shared" si="45"/>
        <v>17.34</v>
      </c>
      <c r="E108" s="7">
        <f t="shared" si="45"/>
        <v>2.62</v>
      </c>
      <c r="F108" s="7">
        <f t="shared" si="45"/>
        <v>90.8</v>
      </c>
      <c r="G108" s="7">
        <f t="shared" si="45"/>
        <v>5.0999999999999996</v>
      </c>
      <c r="H108" s="7">
        <f t="shared" si="45"/>
        <v>0</v>
      </c>
      <c r="I108" s="7">
        <f t="shared" si="45"/>
        <v>0.13999999999999999</v>
      </c>
      <c r="J108" s="7">
        <f t="shared" si="45"/>
        <v>3.7</v>
      </c>
      <c r="K108" s="7">
        <f t="shared" si="45"/>
        <v>0</v>
      </c>
      <c r="L108" s="7">
        <f t="shared" si="45"/>
        <v>0</v>
      </c>
      <c r="N108" s="7" t="s">
        <v>238</v>
      </c>
      <c r="O108" s="88">
        <v>35.4</v>
      </c>
      <c r="P108" s="88">
        <v>61.3</v>
      </c>
      <c r="Q108" s="88">
        <v>0</v>
      </c>
      <c r="R108" s="51">
        <f t="shared" si="44"/>
        <v>96.699999999999989</v>
      </c>
      <c r="S108" s="88">
        <v>1.3</v>
      </c>
      <c r="T108" s="88">
        <v>0</v>
      </c>
      <c r="U108" s="88">
        <v>1.3</v>
      </c>
      <c r="V108" s="88">
        <v>1.8</v>
      </c>
      <c r="W108" s="88">
        <v>0</v>
      </c>
      <c r="X108" s="88">
        <v>0</v>
      </c>
      <c r="Y108" s="88">
        <v>0</v>
      </c>
    </row>
    <row r="109" spans="1:25">
      <c r="N109" s="7" t="s">
        <v>209</v>
      </c>
      <c r="O109" s="88">
        <v>20.100000000000001</v>
      </c>
      <c r="P109" s="88">
        <v>79.8</v>
      </c>
      <c r="Q109" s="88">
        <v>0</v>
      </c>
      <c r="R109" s="51">
        <f t="shared" si="44"/>
        <v>99.9</v>
      </c>
      <c r="S109" s="88">
        <v>0</v>
      </c>
      <c r="T109" s="88">
        <v>0</v>
      </c>
      <c r="U109" s="88">
        <v>0</v>
      </c>
      <c r="V109" s="88">
        <v>0</v>
      </c>
      <c r="W109" s="88">
        <v>0</v>
      </c>
      <c r="X109" s="88">
        <v>0</v>
      </c>
      <c r="Y109" s="88">
        <v>0</v>
      </c>
    </row>
    <row r="110" spans="1:25">
      <c r="N110" s="7" t="s">
        <v>37</v>
      </c>
      <c r="O110" s="88">
        <v>39.200000000000003</v>
      </c>
      <c r="P110" s="88">
        <v>56.9</v>
      </c>
      <c r="Q110" s="88">
        <v>0.5</v>
      </c>
      <c r="R110" s="88">
        <f>AVERAGE(R103:R109)</f>
        <v>94.642857142857139</v>
      </c>
      <c r="S110" s="88">
        <v>1.6</v>
      </c>
      <c r="T110" s="88">
        <v>0.1</v>
      </c>
      <c r="U110" s="88">
        <v>1.5</v>
      </c>
      <c r="V110" s="88">
        <v>1.6</v>
      </c>
      <c r="W110" s="88">
        <v>0</v>
      </c>
      <c r="X110" s="88">
        <v>0</v>
      </c>
      <c r="Y110" s="88">
        <v>0</v>
      </c>
    </row>
    <row r="112" spans="1:25">
      <c r="A112" s="1" t="s">
        <v>3</v>
      </c>
      <c r="B112" s="7" t="s">
        <v>53</v>
      </c>
      <c r="C112" s="12" t="s">
        <v>52</v>
      </c>
      <c r="D112" s="11" t="s">
        <v>51</v>
      </c>
      <c r="E112" s="10" t="s">
        <v>50</v>
      </c>
      <c r="F112" s="9" t="s">
        <v>49</v>
      </c>
      <c r="G112" s="8" t="s">
        <v>48</v>
      </c>
      <c r="H112" s="7" t="s">
        <v>47</v>
      </c>
      <c r="I112" s="7" t="s">
        <v>46</v>
      </c>
      <c r="J112" s="7" t="s">
        <v>45</v>
      </c>
      <c r="K112" s="7" t="s">
        <v>44</v>
      </c>
      <c r="L112" s="7" t="s">
        <v>43</v>
      </c>
      <c r="N112" s="1" t="s">
        <v>247</v>
      </c>
    </row>
    <row r="113" spans="1:28">
      <c r="B113" s="7" t="s">
        <v>42</v>
      </c>
      <c r="C113" s="7">
        <v>80.3</v>
      </c>
      <c r="D113" s="7">
        <v>8</v>
      </c>
      <c r="E113" s="7">
        <v>3</v>
      </c>
      <c r="F113" s="7">
        <f>SUM(C113:E113)</f>
        <v>91.3</v>
      </c>
      <c r="G113" s="7">
        <v>4.5999999999999996</v>
      </c>
      <c r="H113" s="7">
        <v>0</v>
      </c>
      <c r="I113" s="7">
        <v>0</v>
      </c>
      <c r="J113" s="7">
        <v>3.7</v>
      </c>
      <c r="K113" s="7">
        <v>0</v>
      </c>
      <c r="L113" s="7">
        <v>0</v>
      </c>
      <c r="N113" s="7" t="s">
        <v>53</v>
      </c>
      <c r="O113" s="85" t="s">
        <v>52</v>
      </c>
      <c r="P113" s="85" t="s">
        <v>51</v>
      </c>
      <c r="Q113" s="85" t="s">
        <v>50</v>
      </c>
      <c r="R113" s="86" t="s">
        <v>49</v>
      </c>
      <c r="S113" s="9" t="s">
        <v>235</v>
      </c>
      <c r="T113" s="7" t="s">
        <v>246</v>
      </c>
      <c r="U113" s="7" t="s">
        <v>45</v>
      </c>
      <c r="V113" s="85" t="s">
        <v>48</v>
      </c>
      <c r="W113" s="7" t="s">
        <v>47</v>
      </c>
      <c r="X113" s="7" t="s">
        <v>44</v>
      </c>
      <c r="Y113" s="7" t="s">
        <v>43</v>
      </c>
    </row>
    <row r="114" spans="1:28">
      <c r="B114" s="7" t="s">
        <v>41</v>
      </c>
      <c r="C114" s="7">
        <v>78.599999999999994</v>
      </c>
      <c r="D114" s="7">
        <v>11.4</v>
      </c>
      <c r="E114" s="7">
        <v>1.2</v>
      </c>
      <c r="F114" s="7">
        <f>SUM(C114:E114)</f>
        <v>91.2</v>
      </c>
      <c r="G114" s="7">
        <v>5</v>
      </c>
      <c r="H114" s="7">
        <v>0</v>
      </c>
      <c r="I114" s="7">
        <v>0</v>
      </c>
      <c r="J114" s="7">
        <v>3.5</v>
      </c>
      <c r="K114" s="7">
        <v>0</v>
      </c>
      <c r="L114" s="7">
        <v>0</v>
      </c>
      <c r="N114" s="7" t="s">
        <v>205</v>
      </c>
      <c r="O114" s="88">
        <f>AVERAGE(O103,O92,O81)</f>
        <v>44.9</v>
      </c>
      <c r="P114" s="88">
        <f t="shared" ref="P114:S114" si="46">AVERAGE(P103,P92,P81)</f>
        <v>49</v>
      </c>
      <c r="Q114" s="88">
        <f t="shared" si="46"/>
        <v>0</v>
      </c>
      <c r="R114" s="51">
        <f>SUM(O114:Q114)</f>
        <v>93.9</v>
      </c>
      <c r="S114" s="88">
        <f t="shared" si="46"/>
        <v>2.5</v>
      </c>
      <c r="T114" s="88">
        <f t="shared" ref="T114:Y114" si="47">AVERAGE(T103,T92,T81)</f>
        <v>1.1333333333333333</v>
      </c>
      <c r="U114" s="88">
        <f t="shared" si="47"/>
        <v>1.3666666666666665</v>
      </c>
      <c r="V114" s="88">
        <f t="shared" si="47"/>
        <v>3.2000000000000006</v>
      </c>
      <c r="W114" s="88">
        <f t="shared" si="47"/>
        <v>0.19999999999999998</v>
      </c>
      <c r="X114" s="88">
        <f t="shared" si="47"/>
        <v>0</v>
      </c>
      <c r="Y114" s="88">
        <f t="shared" si="47"/>
        <v>0</v>
      </c>
    </row>
    <row r="115" spans="1:28">
      <c r="B115" s="7" t="s">
        <v>40</v>
      </c>
      <c r="C115" s="7">
        <v>81.2</v>
      </c>
      <c r="D115" s="7">
        <v>6.6</v>
      </c>
      <c r="E115" s="7">
        <v>1.6</v>
      </c>
      <c r="F115" s="7">
        <f>SUM(C115:E115)</f>
        <v>89.399999999999991</v>
      </c>
      <c r="G115" s="7">
        <v>5.3</v>
      </c>
      <c r="H115" s="7">
        <v>0</v>
      </c>
      <c r="I115" s="7">
        <v>0.9</v>
      </c>
      <c r="J115" s="7">
        <v>4.0999999999999996</v>
      </c>
      <c r="K115" s="7">
        <v>0</v>
      </c>
      <c r="L115" s="7">
        <v>0</v>
      </c>
      <c r="N115" s="7" t="s">
        <v>237</v>
      </c>
      <c r="O115" s="88">
        <f t="shared" ref="O115:Q120" si="48">AVERAGE(O104,O93,O82)</f>
        <v>48.6</v>
      </c>
      <c r="P115" s="88">
        <f t="shared" si="48"/>
        <v>38.733333333333334</v>
      </c>
      <c r="Q115" s="88">
        <f t="shared" si="48"/>
        <v>0.16666666666666666</v>
      </c>
      <c r="R115" s="51">
        <f t="shared" ref="R115:R120" si="49">SUM(O115:Q115)</f>
        <v>87.500000000000014</v>
      </c>
      <c r="S115" s="88">
        <f t="shared" ref="S115:Y115" si="50">AVERAGE(S104,S93,S82)</f>
        <v>0.73333333333333339</v>
      </c>
      <c r="T115" s="88">
        <f t="shared" si="50"/>
        <v>0.3666666666666667</v>
      </c>
      <c r="U115" s="88">
        <f t="shared" si="50"/>
        <v>0.3666666666666667</v>
      </c>
      <c r="V115" s="88">
        <f t="shared" si="50"/>
        <v>5.7666666666666666</v>
      </c>
      <c r="W115" s="88">
        <f t="shared" si="50"/>
        <v>0.3666666666666667</v>
      </c>
      <c r="X115" s="88">
        <f t="shared" si="50"/>
        <v>0</v>
      </c>
      <c r="Y115" s="88">
        <f t="shared" si="50"/>
        <v>5.3666666666666671</v>
      </c>
    </row>
    <row r="116" spans="1:28">
      <c r="B116" s="7" t="s">
        <v>39</v>
      </c>
      <c r="C116" s="7">
        <v>77.7</v>
      </c>
      <c r="D116" s="7">
        <v>7.9</v>
      </c>
      <c r="E116" s="7">
        <v>1.3</v>
      </c>
      <c r="F116" s="7">
        <f>SUM(C116:E116)</f>
        <v>86.9</v>
      </c>
      <c r="G116" s="7">
        <v>6.9</v>
      </c>
      <c r="H116" s="7">
        <v>0</v>
      </c>
      <c r="I116" s="7">
        <v>0.5</v>
      </c>
      <c r="J116" s="7">
        <v>5.4</v>
      </c>
      <c r="K116" s="7">
        <v>0</v>
      </c>
      <c r="L116" s="7">
        <v>0</v>
      </c>
      <c r="N116" s="7" t="s">
        <v>206</v>
      </c>
      <c r="O116" s="88">
        <f t="shared" si="48"/>
        <v>68.399999999999991</v>
      </c>
      <c r="P116" s="88">
        <f t="shared" si="48"/>
        <v>22.966666666666669</v>
      </c>
      <c r="Q116" s="88">
        <f t="shared" si="48"/>
        <v>1.9666666666666666</v>
      </c>
      <c r="R116" s="51">
        <f t="shared" si="49"/>
        <v>93.333333333333329</v>
      </c>
      <c r="S116" s="88">
        <f t="shared" ref="S116:Y116" si="51">AVERAGE(S105,S94,S83)</f>
        <v>3.7333333333333329</v>
      </c>
      <c r="T116" s="88">
        <f t="shared" si="51"/>
        <v>0.23333333333333331</v>
      </c>
      <c r="U116" s="88">
        <f t="shared" si="51"/>
        <v>3.4666666666666663</v>
      </c>
      <c r="V116" s="88">
        <f t="shared" si="51"/>
        <v>2.6999999999999997</v>
      </c>
      <c r="W116" s="88">
        <f t="shared" si="51"/>
        <v>0</v>
      </c>
      <c r="X116" s="88">
        <f t="shared" si="51"/>
        <v>0</v>
      </c>
      <c r="Y116" s="88">
        <f t="shared" si="51"/>
        <v>0</v>
      </c>
    </row>
    <row r="117" spans="1:28">
      <c r="B117" s="7" t="s">
        <v>38</v>
      </c>
      <c r="C117" s="7">
        <v>49.9</v>
      </c>
      <c r="D117" s="7">
        <v>34.1</v>
      </c>
      <c r="E117" s="7">
        <v>6.8</v>
      </c>
      <c r="F117" s="7">
        <f>SUM(C117:E117)</f>
        <v>90.8</v>
      </c>
      <c r="G117" s="7">
        <v>4.3</v>
      </c>
      <c r="H117" s="7">
        <v>0</v>
      </c>
      <c r="I117" s="7">
        <v>0</v>
      </c>
      <c r="J117" s="7">
        <v>4.5999999999999996</v>
      </c>
      <c r="K117" s="7">
        <v>0</v>
      </c>
      <c r="L117" s="7">
        <v>0</v>
      </c>
      <c r="N117" s="7" t="s">
        <v>207</v>
      </c>
      <c r="O117" s="88">
        <f t="shared" si="48"/>
        <v>60.633333333333333</v>
      </c>
      <c r="P117" s="88">
        <f t="shared" si="48"/>
        <v>34.066666666666663</v>
      </c>
      <c r="Q117" s="88">
        <f t="shared" si="48"/>
        <v>0.70000000000000007</v>
      </c>
      <c r="R117" s="51">
        <f t="shared" si="49"/>
        <v>95.399999999999991</v>
      </c>
      <c r="S117" s="88">
        <f t="shared" ref="S117:Y117" si="52">AVERAGE(S106,S95,S84)</f>
        <v>2.2666666666666666</v>
      </c>
      <c r="T117" s="88">
        <f t="shared" si="52"/>
        <v>0</v>
      </c>
      <c r="U117" s="88">
        <f t="shared" si="52"/>
        <v>2.2666666666666666</v>
      </c>
      <c r="V117" s="88">
        <f t="shared" si="52"/>
        <v>2.0666666666666664</v>
      </c>
      <c r="W117" s="88">
        <f t="shared" si="52"/>
        <v>0</v>
      </c>
      <c r="X117" s="88">
        <f t="shared" si="52"/>
        <v>0</v>
      </c>
      <c r="Y117" s="88">
        <f t="shared" si="52"/>
        <v>0</v>
      </c>
    </row>
    <row r="118" spans="1:28">
      <c r="B118" s="7" t="s">
        <v>37</v>
      </c>
      <c r="C118" s="7">
        <f t="shared" ref="C118:L118" si="53">AVERAGE(C113:C117)</f>
        <v>73.539999999999992</v>
      </c>
      <c r="D118" s="7">
        <f t="shared" si="53"/>
        <v>13.6</v>
      </c>
      <c r="E118" s="7">
        <f t="shared" si="53"/>
        <v>2.7800000000000002</v>
      </c>
      <c r="F118" s="7">
        <f t="shared" si="53"/>
        <v>89.919999999999987</v>
      </c>
      <c r="G118" s="7">
        <f t="shared" si="53"/>
        <v>5.22</v>
      </c>
      <c r="H118" s="7">
        <f t="shared" si="53"/>
        <v>0</v>
      </c>
      <c r="I118" s="7">
        <f t="shared" si="53"/>
        <v>0.27999999999999997</v>
      </c>
      <c r="J118" s="7">
        <f t="shared" si="53"/>
        <v>4.2600000000000007</v>
      </c>
      <c r="K118" s="7">
        <f t="shared" si="53"/>
        <v>0</v>
      </c>
      <c r="L118" s="7">
        <f t="shared" si="53"/>
        <v>0</v>
      </c>
      <c r="N118" s="7" t="s">
        <v>208</v>
      </c>
      <c r="O118" s="88">
        <f t="shared" si="48"/>
        <v>42.70000000000001</v>
      </c>
      <c r="P118" s="88">
        <f t="shared" si="48"/>
        <v>51.066666666666663</v>
      </c>
      <c r="Q118" s="88">
        <f>AVERAGE(Q107,Q96,Q85)</f>
        <v>1.2666666666666666</v>
      </c>
      <c r="R118" s="51">
        <f t="shared" si="49"/>
        <v>95.033333333333346</v>
      </c>
      <c r="S118" s="88">
        <f t="shared" ref="S118:Y118" si="54">AVERAGE(S107,S96,S85)</f>
        <v>3.0666666666666664</v>
      </c>
      <c r="T118" s="88">
        <f t="shared" si="54"/>
        <v>0</v>
      </c>
      <c r="U118" s="88">
        <f t="shared" si="54"/>
        <v>3.0666666666666664</v>
      </c>
      <c r="V118" s="88">
        <f t="shared" si="54"/>
        <v>1.6666666666666667</v>
      </c>
      <c r="W118" s="88">
        <f t="shared" si="54"/>
        <v>0</v>
      </c>
      <c r="X118" s="88">
        <f t="shared" si="54"/>
        <v>0</v>
      </c>
      <c r="Y118" s="88">
        <f t="shared" si="54"/>
        <v>0</v>
      </c>
    </row>
    <row r="119" spans="1:28">
      <c r="N119" s="7" t="s">
        <v>238</v>
      </c>
      <c r="O119" s="88">
        <f t="shared" si="48"/>
        <v>34.966666666666669</v>
      </c>
      <c r="P119" s="88">
        <f t="shared" si="48"/>
        <v>62.5</v>
      </c>
      <c r="Q119" s="88">
        <f t="shared" si="48"/>
        <v>0</v>
      </c>
      <c r="R119" s="51">
        <f t="shared" si="49"/>
        <v>97.466666666666669</v>
      </c>
      <c r="S119" s="88">
        <f t="shared" ref="S119:Y119" si="55">AVERAGE(S108,S97,S86)</f>
        <v>0.43333333333333335</v>
      </c>
      <c r="T119" s="88">
        <f t="shared" si="55"/>
        <v>0</v>
      </c>
      <c r="U119" s="88">
        <f t="shared" si="55"/>
        <v>0.43333333333333335</v>
      </c>
      <c r="V119" s="88">
        <f t="shared" si="55"/>
        <v>1.9666666666666666</v>
      </c>
      <c r="W119" s="88">
        <f t="shared" si="55"/>
        <v>0</v>
      </c>
      <c r="X119" s="88">
        <f t="shared" si="55"/>
        <v>0</v>
      </c>
      <c r="Y119" s="88">
        <f t="shared" si="55"/>
        <v>0</v>
      </c>
    </row>
    <row r="120" spans="1:28">
      <c r="N120" s="7" t="s">
        <v>209</v>
      </c>
      <c r="O120" s="88">
        <f t="shared" si="48"/>
        <v>24.900000000000002</v>
      </c>
      <c r="P120" s="88">
        <f t="shared" si="48"/>
        <v>70.233333333333334</v>
      </c>
      <c r="Q120" s="88">
        <f t="shared" si="48"/>
        <v>0</v>
      </c>
      <c r="R120" s="51">
        <f t="shared" si="49"/>
        <v>95.13333333333334</v>
      </c>
      <c r="S120" s="88">
        <f t="shared" ref="S120:Y120" si="56">AVERAGE(S109,S98,S87)</f>
        <v>2.3666666666666667</v>
      </c>
      <c r="T120" s="88">
        <f t="shared" si="56"/>
        <v>0.89999999999999991</v>
      </c>
      <c r="U120" s="88">
        <f t="shared" si="56"/>
        <v>1.4333333333333333</v>
      </c>
      <c r="V120" s="88">
        <f t="shared" si="56"/>
        <v>2.3333333333333335</v>
      </c>
      <c r="W120" s="88">
        <f t="shared" si="56"/>
        <v>0</v>
      </c>
      <c r="X120" s="88">
        <f t="shared" si="56"/>
        <v>0</v>
      </c>
      <c r="Y120" s="88">
        <f t="shared" si="56"/>
        <v>0</v>
      </c>
    </row>
    <row r="121" spans="1:28">
      <c r="N121" s="7" t="s">
        <v>37</v>
      </c>
      <c r="O121" s="88">
        <f>AVERAGE(O114:O120)</f>
        <v>46.442857142857129</v>
      </c>
      <c r="P121" s="88">
        <f t="shared" ref="P121:Y121" si="57">AVERAGE(P114:P120)</f>
        <v>46.938095238095237</v>
      </c>
      <c r="Q121" s="88">
        <f t="shared" si="57"/>
        <v>0.58571428571428563</v>
      </c>
      <c r="R121" s="88">
        <f t="shared" si="57"/>
        <v>93.966666666666669</v>
      </c>
      <c r="S121" s="88">
        <f t="shared" si="57"/>
        <v>2.1571428571428575</v>
      </c>
      <c r="T121" s="88">
        <f t="shared" si="57"/>
        <v>0.37619047619047619</v>
      </c>
      <c r="U121" s="88">
        <f t="shared" si="57"/>
        <v>1.7714285714285711</v>
      </c>
      <c r="V121" s="88">
        <f t="shared" si="57"/>
        <v>2.8142857142857136</v>
      </c>
      <c r="W121" s="88">
        <f t="shared" si="57"/>
        <v>8.0952380952380956E-2</v>
      </c>
      <c r="X121" s="88">
        <f t="shared" si="57"/>
        <v>0</v>
      </c>
      <c r="Y121" s="88">
        <f t="shared" si="57"/>
        <v>0.76666666666666672</v>
      </c>
    </row>
    <row r="122" spans="1:28">
      <c r="A122" s="1" t="s">
        <v>56</v>
      </c>
      <c r="B122" s="7" t="s">
        <v>53</v>
      </c>
      <c r="C122" s="12" t="s">
        <v>52</v>
      </c>
      <c r="D122" s="11" t="s">
        <v>51</v>
      </c>
      <c r="E122" s="10" t="s">
        <v>50</v>
      </c>
      <c r="F122" s="9" t="s">
        <v>49</v>
      </c>
      <c r="G122" s="8" t="s">
        <v>48</v>
      </c>
      <c r="H122" s="7" t="s">
        <v>47</v>
      </c>
      <c r="I122" s="7" t="s">
        <v>46</v>
      </c>
      <c r="J122" s="7" t="s">
        <v>45</v>
      </c>
      <c r="K122" s="7" t="s">
        <v>44</v>
      </c>
      <c r="L122" s="7" t="s">
        <v>43</v>
      </c>
    </row>
    <row r="123" spans="1:28" ht="15">
      <c r="B123" s="7" t="s">
        <v>42</v>
      </c>
      <c r="C123" s="7">
        <v>71.7</v>
      </c>
      <c r="D123" s="7">
        <v>10.8</v>
      </c>
      <c r="E123" s="7">
        <v>1</v>
      </c>
      <c r="F123" s="7">
        <f>SUM(C123:E123)</f>
        <v>83.5</v>
      </c>
      <c r="G123" s="7">
        <v>9.3000000000000007</v>
      </c>
      <c r="H123" s="7">
        <v>0</v>
      </c>
      <c r="I123" s="7">
        <v>0</v>
      </c>
      <c r="J123" s="7">
        <v>5.2</v>
      </c>
      <c r="K123" s="7">
        <v>0</v>
      </c>
      <c r="L123" s="7">
        <v>0</v>
      </c>
      <c r="N123" s="1">
        <v>10</v>
      </c>
      <c r="Z123" s="1"/>
      <c r="AA123" s="1"/>
      <c r="AB123" s="1"/>
    </row>
    <row r="124" spans="1:28" ht="15">
      <c r="B124" s="7" t="s">
        <v>41</v>
      </c>
      <c r="C124" s="7">
        <v>75.400000000000006</v>
      </c>
      <c r="D124" s="7">
        <v>11.7</v>
      </c>
      <c r="E124" s="7">
        <v>2.9</v>
      </c>
      <c r="F124" s="7">
        <f>SUM(C124:E124)</f>
        <v>90.000000000000014</v>
      </c>
      <c r="G124" s="7">
        <v>4.5</v>
      </c>
      <c r="H124" s="7">
        <v>0</v>
      </c>
      <c r="I124" s="7">
        <v>0</v>
      </c>
      <c r="J124" s="7">
        <v>5.4</v>
      </c>
      <c r="K124" s="7">
        <v>0</v>
      </c>
      <c r="L124" s="7">
        <v>0</v>
      </c>
      <c r="N124" s="7" t="s">
        <v>53</v>
      </c>
      <c r="O124" s="85" t="s">
        <v>248</v>
      </c>
      <c r="P124" s="85" t="s">
        <v>249</v>
      </c>
      <c r="Q124" s="85" t="s">
        <v>250</v>
      </c>
      <c r="R124" s="86" t="s">
        <v>49</v>
      </c>
      <c r="S124" s="9" t="s">
        <v>251</v>
      </c>
      <c r="T124" s="7" t="s">
        <v>246</v>
      </c>
      <c r="U124" s="7" t="s">
        <v>252</v>
      </c>
      <c r="V124" s="85" t="s">
        <v>253</v>
      </c>
      <c r="W124" s="7" t="s">
        <v>256</v>
      </c>
      <c r="X124" s="7" t="s">
        <v>254</v>
      </c>
      <c r="Y124" s="7" t="s">
        <v>255</v>
      </c>
      <c r="Z124" s="1"/>
      <c r="AA124" s="1"/>
      <c r="AB124" s="1"/>
    </row>
    <row r="125" spans="1:28" ht="15">
      <c r="B125" s="7" t="s">
        <v>40</v>
      </c>
      <c r="C125" s="7">
        <v>73.2</v>
      </c>
      <c r="D125" s="7">
        <v>12.8</v>
      </c>
      <c r="E125" s="7">
        <v>1.5</v>
      </c>
      <c r="F125" s="7">
        <f>SUM(C125:E125)</f>
        <v>87.5</v>
      </c>
      <c r="G125" s="7">
        <v>8.6999999999999993</v>
      </c>
      <c r="H125" s="7">
        <v>0</v>
      </c>
      <c r="I125" s="7">
        <v>0</v>
      </c>
      <c r="J125" s="7">
        <v>3.5</v>
      </c>
      <c r="K125" s="7">
        <v>0</v>
      </c>
      <c r="L125" s="7">
        <v>0</v>
      </c>
      <c r="N125" s="7" t="s">
        <v>205</v>
      </c>
      <c r="O125" s="88">
        <v>32.200000000000003</v>
      </c>
      <c r="P125" s="88">
        <v>59.3</v>
      </c>
      <c r="Q125" s="88">
        <v>0</v>
      </c>
      <c r="R125" s="51">
        <f>SUM(O125:Q125)</f>
        <v>91.5</v>
      </c>
      <c r="S125" s="88">
        <v>1.6</v>
      </c>
      <c r="T125" s="88">
        <v>1.6</v>
      </c>
      <c r="U125" s="88">
        <v>0</v>
      </c>
      <c r="V125" s="88">
        <v>6.4</v>
      </c>
      <c r="W125" s="88">
        <v>0.2</v>
      </c>
      <c r="X125" s="88">
        <v>0</v>
      </c>
      <c r="Y125" s="88">
        <v>0</v>
      </c>
      <c r="Z125" s="1"/>
      <c r="AA125" s="1"/>
      <c r="AB125" s="1"/>
    </row>
    <row r="126" spans="1:28" ht="15">
      <c r="B126" s="7" t="s">
        <v>39</v>
      </c>
      <c r="C126" s="7">
        <v>80.7</v>
      </c>
      <c r="D126" s="7">
        <v>6.1</v>
      </c>
      <c r="E126" s="7">
        <v>2.2999999999999998</v>
      </c>
      <c r="F126" s="7">
        <f>SUM(C126:E126)</f>
        <v>89.1</v>
      </c>
      <c r="G126" s="7">
        <v>6.5</v>
      </c>
      <c r="H126" s="7">
        <v>0.5</v>
      </c>
      <c r="I126" s="7">
        <v>0</v>
      </c>
      <c r="J126" s="7">
        <v>4.0999999999999996</v>
      </c>
      <c r="K126" s="7">
        <v>0</v>
      </c>
      <c r="L126" s="7">
        <v>0</v>
      </c>
      <c r="N126" s="7" t="s">
        <v>237</v>
      </c>
      <c r="O126" s="88">
        <v>50.9</v>
      </c>
      <c r="P126" s="88">
        <v>32.5</v>
      </c>
      <c r="Q126" s="88">
        <v>0</v>
      </c>
      <c r="R126" s="51">
        <f t="shared" ref="R126:R131" si="58">SUM(O126:Q126)</f>
        <v>83.4</v>
      </c>
      <c r="S126" s="88">
        <v>4.5999999999999996</v>
      </c>
      <c r="T126" s="88">
        <v>1.9</v>
      </c>
      <c r="U126" s="88">
        <v>2.6</v>
      </c>
      <c r="V126" s="88">
        <v>2.2999999999999998</v>
      </c>
      <c r="W126" s="88">
        <v>0.2</v>
      </c>
      <c r="X126" s="88">
        <v>0</v>
      </c>
      <c r="Y126" s="88">
        <v>9.1999999999999993</v>
      </c>
      <c r="Z126" s="1"/>
      <c r="AA126" s="1"/>
      <c r="AB126" s="1"/>
    </row>
    <row r="127" spans="1:28" ht="15">
      <c r="B127" s="7" t="s">
        <v>38</v>
      </c>
      <c r="C127" s="7">
        <v>43.8</v>
      </c>
      <c r="D127" s="7">
        <v>40</v>
      </c>
      <c r="E127" s="7">
        <v>8.1</v>
      </c>
      <c r="F127" s="7">
        <f>SUM(C127:E127)</f>
        <v>91.899999999999991</v>
      </c>
      <c r="G127" s="7">
        <v>4.5999999999999996</v>
      </c>
      <c r="H127" s="7">
        <v>0</v>
      </c>
      <c r="I127" s="7">
        <v>0</v>
      </c>
      <c r="J127" s="7">
        <v>3.2</v>
      </c>
      <c r="K127" s="7">
        <v>0</v>
      </c>
      <c r="L127" s="7">
        <v>0</v>
      </c>
      <c r="N127" s="7" t="s">
        <v>206</v>
      </c>
      <c r="O127" s="88">
        <v>61.5</v>
      </c>
      <c r="P127" s="88">
        <v>32.4</v>
      </c>
      <c r="Q127" s="88">
        <v>0</v>
      </c>
      <c r="R127" s="51">
        <f t="shared" si="58"/>
        <v>93.9</v>
      </c>
      <c r="S127" s="88">
        <v>3.6</v>
      </c>
      <c r="T127" s="88">
        <v>0.5</v>
      </c>
      <c r="U127" s="88">
        <v>3</v>
      </c>
      <c r="V127" s="88">
        <v>2.2000000000000002</v>
      </c>
      <c r="W127" s="88">
        <v>0</v>
      </c>
      <c r="X127" s="88">
        <v>0</v>
      </c>
      <c r="Y127" s="88">
        <v>0</v>
      </c>
      <c r="Z127" s="1"/>
      <c r="AA127" s="1"/>
      <c r="AB127" s="1"/>
    </row>
    <row r="128" spans="1:28" ht="15">
      <c r="B128" s="7" t="s">
        <v>37</v>
      </c>
      <c r="C128" s="7">
        <f t="shared" ref="C128:L128" si="59">AVERAGE(C123:C127)</f>
        <v>68.960000000000008</v>
      </c>
      <c r="D128" s="7">
        <f t="shared" si="59"/>
        <v>16.28</v>
      </c>
      <c r="E128" s="7">
        <f t="shared" si="59"/>
        <v>3.16</v>
      </c>
      <c r="F128" s="7">
        <f t="shared" si="59"/>
        <v>88.4</v>
      </c>
      <c r="G128" s="7">
        <f t="shared" si="59"/>
        <v>6.7200000000000006</v>
      </c>
      <c r="H128" s="7">
        <f t="shared" si="59"/>
        <v>0.1</v>
      </c>
      <c r="I128" s="7">
        <f t="shared" si="59"/>
        <v>0</v>
      </c>
      <c r="J128" s="7">
        <f t="shared" si="59"/>
        <v>4.28</v>
      </c>
      <c r="K128" s="7">
        <f t="shared" si="59"/>
        <v>0</v>
      </c>
      <c r="L128" s="7">
        <f t="shared" si="59"/>
        <v>0</v>
      </c>
      <c r="N128" s="7" t="s">
        <v>207</v>
      </c>
      <c r="O128" s="88">
        <v>57.5</v>
      </c>
      <c r="P128" s="88">
        <v>32.5</v>
      </c>
      <c r="Q128" s="88">
        <v>1.4</v>
      </c>
      <c r="R128" s="51">
        <f t="shared" si="58"/>
        <v>91.4</v>
      </c>
      <c r="S128" s="88">
        <v>5.8</v>
      </c>
      <c r="T128" s="88">
        <v>0.7</v>
      </c>
      <c r="U128" s="88">
        <v>5</v>
      </c>
      <c r="V128" s="88">
        <v>2.6</v>
      </c>
      <c r="W128" s="88">
        <v>0</v>
      </c>
      <c r="X128" s="88">
        <v>0</v>
      </c>
      <c r="Y128" s="88">
        <v>0</v>
      </c>
      <c r="Z128" s="1"/>
      <c r="AA128" s="1"/>
      <c r="AB128" s="1"/>
    </row>
    <row r="129" spans="1:28" ht="15">
      <c r="N129" s="7" t="s">
        <v>208</v>
      </c>
      <c r="O129" s="88">
        <v>43.3</v>
      </c>
      <c r="P129" s="88">
        <v>50.8</v>
      </c>
      <c r="Q129" s="88">
        <v>1.6</v>
      </c>
      <c r="R129" s="51">
        <f t="shared" si="58"/>
        <v>95.699999999999989</v>
      </c>
      <c r="S129" s="88">
        <v>2.2999999999999998</v>
      </c>
      <c r="T129" s="88">
        <v>1.3</v>
      </c>
      <c r="U129" s="88">
        <v>1</v>
      </c>
      <c r="V129" s="88">
        <v>1.4</v>
      </c>
      <c r="W129" s="88">
        <v>0</v>
      </c>
      <c r="X129" s="88">
        <v>0</v>
      </c>
      <c r="Y129" s="88">
        <v>0.3</v>
      </c>
      <c r="Z129" s="1"/>
      <c r="AA129" s="1"/>
      <c r="AB129" s="1"/>
    </row>
    <row r="130" spans="1:28" ht="15">
      <c r="N130" s="7" t="s">
        <v>238</v>
      </c>
      <c r="O130" s="88">
        <v>25.5</v>
      </c>
      <c r="P130" s="88">
        <v>73.7</v>
      </c>
      <c r="Q130" s="88">
        <v>0</v>
      </c>
      <c r="R130" s="51">
        <f t="shared" si="58"/>
        <v>99.2</v>
      </c>
      <c r="S130" s="88">
        <v>0.4</v>
      </c>
      <c r="T130" s="88">
        <v>0.4</v>
      </c>
      <c r="U130" s="88">
        <v>0</v>
      </c>
      <c r="V130" s="88">
        <v>0</v>
      </c>
      <c r="W130" s="88">
        <v>0</v>
      </c>
      <c r="X130" s="88">
        <v>0</v>
      </c>
      <c r="Y130" s="88">
        <v>0.2</v>
      </c>
      <c r="Z130" s="1"/>
      <c r="AA130" s="1"/>
      <c r="AB130" s="1"/>
    </row>
    <row r="131" spans="1:28" ht="15">
      <c r="N131" s="7" t="s">
        <v>209</v>
      </c>
      <c r="O131" s="88">
        <v>29</v>
      </c>
      <c r="P131" s="88">
        <v>59.5</v>
      </c>
      <c r="Q131" s="88">
        <v>1.2</v>
      </c>
      <c r="R131" s="51">
        <f t="shared" si="58"/>
        <v>89.7</v>
      </c>
      <c r="S131" s="88">
        <v>8.6</v>
      </c>
      <c r="T131" s="88">
        <v>0</v>
      </c>
      <c r="U131" s="88">
        <v>8.6</v>
      </c>
      <c r="V131" s="88">
        <v>1.5</v>
      </c>
      <c r="W131" s="88">
        <v>0</v>
      </c>
      <c r="X131" s="88">
        <v>0</v>
      </c>
      <c r="Y131" s="88">
        <v>0</v>
      </c>
      <c r="Z131" s="1"/>
      <c r="AA131" s="1"/>
      <c r="AB131" s="1"/>
    </row>
    <row r="132" spans="1:28" ht="15">
      <c r="A132" s="1" t="s">
        <v>55</v>
      </c>
      <c r="B132" s="7" t="s">
        <v>53</v>
      </c>
      <c r="C132" s="12" t="s">
        <v>52</v>
      </c>
      <c r="D132" s="11" t="s">
        <v>51</v>
      </c>
      <c r="E132" s="10" t="s">
        <v>50</v>
      </c>
      <c r="F132" s="9" t="s">
        <v>49</v>
      </c>
      <c r="G132" s="8" t="s">
        <v>48</v>
      </c>
      <c r="H132" s="7" t="s">
        <v>47</v>
      </c>
      <c r="I132" s="7" t="s">
        <v>46</v>
      </c>
      <c r="J132" s="7" t="s">
        <v>45</v>
      </c>
      <c r="K132" s="7" t="s">
        <v>44</v>
      </c>
      <c r="L132" s="7" t="s">
        <v>43</v>
      </c>
      <c r="N132" s="7" t="s">
        <v>37</v>
      </c>
      <c r="O132" s="88">
        <v>42.8</v>
      </c>
      <c r="P132" s="88">
        <v>48.7</v>
      </c>
      <c r="Q132" s="88">
        <v>0.6</v>
      </c>
      <c r="R132" s="88">
        <f t="shared" ref="R132" si="60">AVERAGE(R125:R131)</f>
        <v>92.114285714285728</v>
      </c>
      <c r="S132" s="88">
        <v>3.8</v>
      </c>
      <c r="T132" s="88">
        <v>0.9</v>
      </c>
      <c r="U132" s="88">
        <v>2.9</v>
      </c>
      <c r="V132" s="88">
        <v>2.2999999999999998</v>
      </c>
      <c r="W132" s="88">
        <v>0</v>
      </c>
      <c r="X132" s="88">
        <v>0</v>
      </c>
      <c r="Y132" s="88">
        <v>1.4</v>
      </c>
      <c r="Z132" s="1"/>
      <c r="AA132" s="1"/>
      <c r="AB132" s="1"/>
    </row>
    <row r="133" spans="1:28">
      <c r="B133" s="7" t="s">
        <v>42</v>
      </c>
      <c r="C133" s="7">
        <v>82.6</v>
      </c>
      <c r="D133" s="7">
        <v>2.5</v>
      </c>
      <c r="E133" s="7">
        <v>1.8</v>
      </c>
      <c r="F133" s="7">
        <f>SUM(C133:E133)</f>
        <v>86.899999999999991</v>
      </c>
      <c r="G133" s="7">
        <v>8.5</v>
      </c>
      <c r="H133" s="7">
        <v>0</v>
      </c>
      <c r="I133" s="7">
        <v>0.8</v>
      </c>
      <c r="J133" s="7">
        <v>3.5</v>
      </c>
      <c r="K133" s="7">
        <v>0</v>
      </c>
      <c r="L133" s="7">
        <v>0</v>
      </c>
      <c r="N133"/>
      <c r="O133"/>
      <c r="S133" s="1"/>
      <c r="Z133" s="1"/>
      <c r="AA133" s="1"/>
      <c r="AB133" s="1"/>
    </row>
    <row r="134" spans="1:28" ht="15">
      <c r="B134" s="7" t="s">
        <v>41</v>
      </c>
      <c r="C134" s="7">
        <v>84.7</v>
      </c>
      <c r="D134" s="7">
        <v>5.3</v>
      </c>
      <c r="E134" s="7">
        <v>2</v>
      </c>
      <c r="F134" s="7">
        <f>SUM(C134:E134)</f>
        <v>92</v>
      </c>
      <c r="G134" s="7">
        <v>5.2</v>
      </c>
      <c r="H134" s="7">
        <v>0</v>
      </c>
      <c r="I134" s="7">
        <v>0</v>
      </c>
      <c r="J134" s="7">
        <v>2.5</v>
      </c>
      <c r="K134" s="7">
        <v>0</v>
      </c>
      <c r="L134" s="7">
        <v>0</v>
      </c>
      <c r="N134" s="1">
        <v>11</v>
      </c>
      <c r="Z134" s="1"/>
      <c r="AA134" s="1"/>
      <c r="AB134" s="1"/>
    </row>
    <row r="135" spans="1:28" ht="15">
      <c r="B135" s="7" t="s">
        <v>40</v>
      </c>
      <c r="C135" s="7">
        <v>88.4</v>
      </c>
      <c r="D135" s="7">
        <v>3.8</v>
      </c>
      <c r="E135" s="7">
        <v>0.6</v>
      </c>
      <c r="F135" s="7">
        <f>SUM(C135:E135)</f>
        <v>92.8</v>
      </c>
      <c r="G135" s="7">
        <v>3.9</v>
      </c>
      <c r="H135" s="7">
        <v>0</v>
      </c>
      <c r="I135" s="7">
        <v>0</v>
      </c>
      <c r="J135" s="7">
        <v>3.1</v>
      </c>
      <c r="K135" s="7">
        <v>0</v>
      </c>
      <c r="L135" s="7">
        <v>0</v>
      </c>
      <c r="N135" s="7" t="s">
        <v>53</v>
      </c>
      <c r="O135" s="85" t="s">
        <v>248</v>
      </c>
      <c r="P135" s="85" t="s">
        <v>249</v>
      </c>
      <c r="Q135" s="85" t="s">
        <v>250</v>
      </c>
      <c r="R135" s="86" t="s">
        <v>49</v>
      </c>
      <c r="S135" s="9" t="s">
        <v>251</v>
      </c>
      <c r="T135" s="7" t="s">
        <v>246</v>
      </c>
      <c r="U135" s="7" t="s">
        <v>252</v>
      </c>
      <c r="V135" s="85" t="s">
        <v>253</v>
      </c>
      <c r="W135" s="7" t="s">
        <v>256</v>
      </c>
      <c r="X135" s="7" t="s">
        <v>254</v>
      </c>
      <c r="Y135" s="7" t="s">
        <v>255</v>
      </c>
      <c r="Z135" s="1"/>
      <c r="AA135" s="1"/>
      <c r="AB135" s="1"/>
    </row>
    <row r="136" spans="1:28">
      <c r="B136" s="7" t="s">
        <v>39</v>
      </c>
      <c r="C136" s="7">
        <v>81</v>
      </c>
      <c r="D136" s="7">
        <v>4.3</v>
      </c>
      <c r="E136" s="7">
        <v>1.1000000000000001</v>
      </c>
      <c r="F136" s="7">
        <f>SUM(C136:E136)</f>
        <v>86.399999999999991</v>
      </c>
      <c r="G136" s="7">
        <v>7.3</v>
      </c>
      <c r="H136" s="7">
        <v>0</v>
      </c>
      <c r="I136" s="7">
        <v>1</v>
      </c>
      <c r="J136" s="7">
        <v>5</v>
      </c>
      <c r="K136" s="7">
        <v>0</v>
      </c>
      <c r="L136" s="7">
        <v>0</v>
      </c>
      <c r="N136" s="7" t="s">
        <v>205</v>
      </c>
      <c r="O136" s="88">
        <v>48.3</v>
      </c>
      <c r="P136" s="88">
        <v>51.6</v>
      </c>
      <c r="Q136" s="88">
        <v>0</v>
      </c>
      <c r="R136" s="51">
        <f>SUM(O136:Q136)</f>
        <v>99.9</v>
      </c>
      <c r="S136" s="88">
        <v>0</v>
      </c>
      <c r="T136" s="88">
        <v>0</v>
      </c>
      <c r="U136" s="88">
        <v>0</v>
      </c>
      <c r="V136" s="88">
        <v>0</v>
      </c>
      <c r="W136" s="88">
        <v>0</v>
      </c>
      <c r="X136" s="88">
        <v>0</v>
      </c>
      <c r="Y136" s="88">
        <v>0</v>
      </c>
    </row>
    <row r="137" spans="1:28">
      <c r="B137" s="7" t="s">
        <v>38</v>
      </c>
      <c r="C137" s="7">
        <v>59.4</v>
      </c>
      <c r="D137" s="7">
        <v>22.2</v>
      </c>
      <c r="E137" s="7">
        <v>7.9</v>
      </c>
      <c r="F137" s="7">
        <f>SUM(C137:E137)</f>
        <v>89.5</v>
      </c>
      <c r="G137" s="7">
        <v>5.2</v>
      </c>
      <c r="H137" s="7">
        <v>0</v>
      </c>
      <c r="I137" s="7">
        <v>0.3</v>
      </c>
      <c r="J137" s="7">
        <v>4.7</v>
      </c>
      <c r="K137" s="7">
        <v>0</v>
      </c>
      <c r="L137" s="7">
        <v>0</v>
      </c>
      <c r="N137" s="7" t="s">
        <v>237</v>
      </c>
      <c r="O137" s="88">
        <v>48.2</v>
      </c>
      <c r="P137" s="88">
        <v>51.7</v>
      </c>
      <c r="Q137" s="88">
        <v>0</v>
      </c>
      <c r="R137" s="51">
        <f t="shared" ref="R137:R142" si="61">SUM(O137:Q137)</f>
        <v>99.9</v>
      </c>
      <c r="S137" s="88">
        <v>0</v>
      </c>
      <c r="T137" s="88">
        <v>0</v>
      </c>
      <c r="U137" s="88">
        <v>0</v>
      </c>
      <c r="V137" s="88">
        <v>0</v>
      </c>
      <c r="W137" s="88">
        <v>0</v>
      </c>
      <c r="X137" s="88">
        <v>0</v>
      </c>
      <c r="Y137" s="88">
        <v>0</v>
      </c>
    </row>
    <row r="138" spans="1:28">
      <c r="B138" s="7" t="s">
        <v>37</v>
      </c>
      <c r="C138" s="7">
        <f t="shared" ref="C138:L138" si="62">AVERAGE(C133:C137)</f>
        <v>79.22</v>
      </c>
      <c r="D138" s="7">
        <f t="shared" si="62"/>
        <v>7.6199999999999992</v>
      </c>
      <c r="E138" s="7">
        <f t="shared" si="62"/>
        <v>2.68</v>
      </c>
      <c r="F138" s="7">
        <f t="shared" si="62"/>
        <v>89.52</v>
      </c>
      <c r="G138" s="7">
        <f t="shared" si="62"/>
        <v>6.02</v>
      </c>
      <c r="H138" s="7">
        <f t="shared" si="62"/>
        <v>0</v>
      </c>
      <c r="I138" s="7">
        <f t="shared" si="62"/>
        <v>0.42000000000000004</v>
      </c>
      <c r="J138" s="7">
        <f t="shared" si="62"/>
        <v>3.7600000000000002</v>
      </c>
      <c r="K138" s="7">
        <f t="shared" si="62"/>
        <v>0</v>
      </c>
      <c r="L138" s="7">
        <f t="shared" si="62"/>
        <v>0</v>
      </c>
      <c r="N138" s="7" t="s">
        <v>206</v>
      </c>
      <c r="O138" s="88">
        <v>69.900000000000006</v>
      </c>
      <c r="P138" s="88">
        <v>22.3</v>
      </c>
      <c r="Q138" s="88">
        <v>0.9</v>
      </c>
      <c r="R138" s="51">
        <f t="shared" si="61"/>
        <v>93.100000000000009</v>
      </c>
      <c r="S138" s="88">
        <v>4</v>
      </c>
      <c r="T138" s="88">
        <v>0</v>
      </c>
      <c r="U138" s="88">
        <v>4</v>
      </c>
      <c r="V138" s="88">
        <v>2.7</v>
      </c>
      <c r="W138" s="88">
        <v>0</v>
      </c>
      <c r="X138" s="88">
        <v>0</v>
      </c>
      <c r="Y138" s="88">
        <v>0</v>
      </c>
    </row>
    <row r="139" spans="1:28">
      <c r="N139" s="7" t="s">
        <v>207</v>
      </c>
      <c r="O139" s="88">
        <v>67</v>
      </c>
      <c r="P139" s="88">
        <v>22.5</v>
      </c>
      <c r="Q139" s="88">
        <v>0.7</v>
      </c>
      <c r="R139" s="51">
        <f t="shared" si="61"/>
        <v>90.2</v>
      </c>
      <c r="S139" s="88">
        <v>6.9</v>
      </c>
      <c r="T139" s="88">
        <v>0</v>
      </c>
      <c r="U139" s="88">
        <v>6.9</v>
      </c>
      <c r="V139" s="88">
        <v>2.7</v>
      </c>
      <c r="W139" s="88">
        <v>0</v>
      </c>
      <c r="X139" s="88">
        <v>0</v>
      </c>
      <c r="Y139" s="88">
        <v>0</v>
      </c>
    </row>
    <row r="140" spans="1:28">
      <c r="N140" s="7" t="s">
        <v>208</v>
      </c>
      <c r="O140" s="88">
        <v>56.9</v>
      </c>
      <c r="P140" s="88">
        <v>33</v>
      </c>
      <c r="Q140" s="88">
        <v>0</v>
      </c>
      <c r="R140" s="51">
        <f t="shared" si="61"/>
        <v>89.9</v>
      </c>
      <c r="S140" s="88">
        <v>6.4</v>
      </c>
      <c r="T140" s="88">
        <v>2.9</v>
      </c>
      <c r="U140" s="88">
        <v>3.5</v>
      </c>
      <c r="V140" s="88">
        <v>3.5</v>
      </c>
      <c r="W140" s="88">
        <v>0</v>
      </c>
      <c r="X140" s="88">
        <v>0</v>
      </c>
      <c r="Y140" s="88">
        <v>0</v>
      </c>
    </row>
    <row r="141" spans="1:28">
      <c r="N141" s="7" t="s">
        <v>238</v>
      </c>
      <c r="O141" s="88">
        <v>18.399999999999999</v>
      </c>
      <c r="P141" s="88">
        <v>81.5</v>
      </c>
      <c r="Q141" s="88">
        <v>0</v>
      </c>
      <c r="R141" s="51">
        <f t="shared" si="61"/>
        <v>99.9</v>
      </c>
      <c r="S141" s="88">
        <v>0</v>
      </c>
      <c r="T141" s="88">
        <v>0</v>
      </c>
      <c r="U141" s="88">
        <v>0</v>
      </c>
      <c r="V141" s="88">
        <v>0</v>
      </c>
      <c r="W141" s="88">
        <v>0</v>
      </c>
      <c r="X141" s="88">
        <v>0</v>
      </c>
      <c r="Y141" s="88">
        <v>0</v>
      </c>
    </row>
    <row r="142" spans="1:28">
      <c r="A142" s="1" t="s">
        <v>54</v>
      </c>
      <c r="B142" s="7" t="s">
        <v>53</v>
      </c>
      <c r="C142" s="12" t="s">
        <v>52</v>
      </c>
      <c r="D142" s="11" t="s">
        <v>51</v>
      </c>
      <c r="E142" s="10" t="s">
        <v>50</v>
      </c>
      <c r="F142" s="9" t="s">
        <v>49</v>
      </c>
      <c r="G142" s="8" t="s">
        <v>48</v>
      </c>
      <c r="H142" s="7" t="s">
        <v>47</v>
      </c>
      <c r="I142" s="7" t="s">
        <v>46</v>
      </c>
      <c r="J142" s="7" t="s">
        <v>45</v>
      </c>
      <c r="K142" s="7" t="s">
        <v>44</v>
      </c>
      <c r="L142" s="7" t="s">
        <v>43</v>
      </c>
      <c r="N142" s="7" t="s">
        <v>209</v>
      </c>
      <c r="O142" s="88">
        <v>31.4</v>
      </c>
      <c r="P142" s="88">
        <v>41.7</v>
      </c>
      <c r="Q142" s="88">
        <v>0</v>
      </c>
      <c r="R142" s="51">
        <f t="shared" si="61"/>
        <v>73.099999999999994</v>
      </c>
      <c r="S142" s="88">
        <v>10.5</v>
      </c>
      <c r="T142" s="88">
        <v>0</v>
      </c>
      <c r="U142" s="88">
        <v>10.5</v>
      </c>
      <c r="V142" s="88">
        <v>0.7</v>
      </c>
      <c r="W142" s="88">
        <v>0</v>
      </c>
      <c r="X142" s="88">
        <v>15.5</v>
      </c>
      <c r="Y142" s="88">
        <v>0</v>
      </c>
    </row>
    <row r="143" spans="1:28">
      <c r="B143" s="7" t="s">
        <v>42</v>
      </c>
      <c r="C143" s="7">
        <v>80.7</v>
      </c>
      <c r="D143" s="7">
        <v>6</v>
      </c>
      <c r="E143" s="7">
        <v>6.5</v>
      </c>
      <c r="F143" s="7">
        <f>SUM(C143:E143)</f>
        <v>93.2</v>
      </c>
      <c r="G143" s="7">
        <v>3.5</v>
      </c>
      <c r="H143" s="7">
        <v>0</v>
      </c>
      <c r="I143" s="7">
        <v>0.2</v>
      </c>
      <c r="J143" s="7">
        <v>2.8</v>
      </c>
      <c r="K143" s="7">
        <v>0</v>
      </c>
      <c r="L143" s="7">
        <v>0</v>
      </c>
      <c r="N143" s="7" t="s">
        <v>37</v>
      </c>
      <c r="O143" s="88">
        <v>48.6</v>
      </c>
      <c r="P143" s="88">
        <v>43.5</v>
      </c>
      <c r="Q143" s="88">
        <v>0.2</v>
      </c>
      <c r="R143" s="88">
        <f t="shared" ref="R143" si="63">AVERAGE(R136:R142)</f>
        <v>92.285714285714292</v>
      </c>
      <c r="S143" s="88">
        <v>3.9</v>
      </c>
      <c r="T143" s="88">
        <v>0.4</v>
      </c>
      <c r="U143" s="88">
        <v>3.5</v>
      </c>
      <c r="V143" s="88">
        <v>1.4</v>
      </c>
      <c r="W143" s="88">
        <v>0</v>
      </c>
      <c r="X143" s="88">
        <v>2.2000000000000002</v>
      </c>
      <c r="Y143" s="88">
        <v>0</v>
      </c>
    </row>
    <row r="144" spans="1:28">
      <c r="B144" s="7" t="s">
        <v>41</v>
      </c>
      <c r="C144" s="7">
        <v>77.599999999999994</v>
      </c>
      <c r="D144" s="7">
        <v>6</v>
      </c>
      <c r="E144" s="7">
        <v>3.1</v>
      </c>
      <c r="F144" s="7">
        <f>SUM(C144:E144)</f>
        <v>86.699999999999989</v>
      </c>
      <c r="G144" s="7">
        <v>3.4</v>
      </c>
      <c r="H144" s="7">
        <v>0</v>
      </c>
      <c r="I144" s="7">
        <v>0</v>
      </c>
      <c r="J144" s="7">
        <v>4.4000000000000004</v>
      </c>
      <c r="K144" s="7">
        <v>0</v>
      </c>
      <c r="L144" s="7">
        <v>0</v>
      </c>
    </row>
    <row r="145" spans="1:25">
      <c r="B145" s="7" t="s">
        <v>40</v>
      </c>
      <c r="C145" s="7">
        <v>85.7</v>
      </c>
      <c r="D145" s="7">
        <v>6.5</v>
      </c>
      <c r="E145" s="7">
        <v>0</v>
      </c>
      <c r="F145" s="7">
        <f>SUM(C145:E145)</f>
        <v>92.2</v>
      </c>
      <c r="G145" s="7">
        <v>4.8</v>
      </c>
      <c r="H145" s="7">
        <v>0</v>
      </c>
      <c r="I145" s="7">
        <v>0</v>
      </c>
      <c r="J145" s="7">
        <v>2.8</v>
      </c>
      <c r="K145" s="7">
        <v>0</v>
      </c>
      <c r="L145" s="7">
        <v>0</v>
      </c>
      <c r="N145" s="1">
        <v>12</v>
      </c>
    </row>
    <row r="146" spans="1:25">
      <c r="B146" s="7" t="s">
        <v>39</v>
      </c>
      <c r="C146" s="7">
        <v>85.1</v>
      </c>
      <c r="D146" s="7">
        <v>6</v>
      </c>
      <c r="E146" s="7">
        <v>1.4</v>
      </c>
      <c r="F146" s="7">
        <f>SUM(C146:E146)</f>
        <v>92.5</v>
      </c>
      <c r="G146" s="7">
        <v>3.7</v>
      </c>
      <c r="H146" s="7">
        <v>0</v>
      </c>
      <c r="I146" s="7">
        <v>0</v>
      </c>
      <c r="J146" s="7">
        <v>3.5</v>
      </c>
      <c r="K146" s="7">
        <v>0</v>
      </c>
      <c r="L146" s="7">
        <v>0</v>
      </c>
      <c r="N146" s="7" t="s">
        <v>53</v>
      </c>
      <c r="O146" s="85" t="s">
        <v>248</v>
      </c>
      <c r="P146" s="85" t="s">
        <v>249</v>
      </c>
      <c r="Q146" s="85" t="s">
        <v>250</v>
      </c>
      <c r="R146" s="86" t="s">
        <v>49</v>
      </c>
      <c r="S146" s="9" t="s">
        <v>251</v>
      </c>
      <c r="T146" s="7" t="s">
        <v>246</v>
      </c>
      <c r="U146" s="7" t="s">
        <v>252</v>
      </c>
      <c r="V146" s="85" t="s">
        <v>253</v>
      </c>
      <c r="W146" s="7" t="s">
        <v>256</v>
      </c>
      <c r="X146" s="7" t="s">
        <v>254</v>
      </c>
      <c r="Y146" s="7" t="s">
        <v>255</v>
      </c>
    </row>
    <row r="147" spans="1:25">
      <c r="B147" s="7" t="s">
        <v>38</v>
      </c>
      <c r="C147" s="7">
        <v>68.599999999999994</v>
      </c>
      <c r="D147" s="7">
        <v>18.399999999999999</v>
      </c>
      <c r="E147" s="7">
        <v>5.6</v>
      </c>
      <c r="F147" s="7">
        <f>SUM(C147:E147)</f>
        <v>92.6</v>
      </c>
      <c r="G147" s="7">
        <v>4</v>
      </c>
      <c r="H147" s="7">
        <v>0</v>
      </c>
      <c r="I147" s="7">
        <v>0.1</v>
      </c>
      <c r="J147" s="7">
        <v>3.1</v>
      </c>
      <c r="K147" s="7">
        <v>0</v>
      </c>
      <c r="L147" s="7">
        <v>0</v>
      </c>
      <c r="N147" s="7" t="s">
        <v>205</v>
      </c>
      <c r="O147" s="88">
        <v>53.5</v>
      </c>
      <c r="P147" s="88">
        <v>37.799999999999997</v>
      </c>
      <c r="Q147" s="88">
        <v>0</v>
      </c>
      <c r="R147" s="51">
        <f>SUM(O147:Q147)</f>
        <v>91.3</v>
      </c>
      <c r="S147" s="88">
        <v>1.8</v>
      </c>
      <c r="T147" s="88">
        <v>0</v>
      </c>
      <c r="U147" s="88">
        <v>1.8</v>
      </c>
      <c r="V147" s="88">
        <v>4.5999999999999996</v>
      </c>
      <c r="W147" s="88">
        <v>0.4</v>
      </c>
      <c r="X147" s="88">
        <v>1.6</v>
      </c>
      <c r="Y147" s="88">
        <v>0</v>
      </c>
    </row>
    <row r="148" spans="1:25">
      <c r="B148" s="7" t="s">
        <v>37</v>
      </c>
      <c r="C148" s="7">
        <f t="shared" ref="C148:L148" si="64">AVERAGE(C143:C147)</f>
        <v>79.540000000000006</v>
      </c>
      <c r="D148" s="7">
        <f t="shared" si="64"/>
        <v>8.58</v>
      </c>
      <c r="E148" s="7">
        <f t="shared" si="64"/>
        <v>3.3200000000000003</v>
      </c>
      <c r="F148" s="7">
        <f t="shared" si="64"/>
        <v>91.439999999999984</v>
      </c>
      <c r="G148" s="7">
        <f t="shared" si="64"/>
        <v>3.88</v>
      </c>
      <c r="H148" s="7">
        <f t="shared" si="64"/>
        <v>0</v>
      </c>
      <c r="I148" s="7">
        <f t="shared" si="64"/>
        <v>6.0000000000000012E-2</v>
      </c>
      <c r="J148" s="7">
        <f t="shared" si="64"/>
        <v>3.3200000000000003</v>
      </c>
      <c r="K148" s="7">
        <f t="shared" si="64"/>
        <v>0</v>
      </c>
      <c r="L148" s="7">
        <f t="shared" si="64"/>
        <v>0</v>
      </c>
      <c r="N148" s="7" t="s">
        <v>237</v>
      </c>
      <c r="O148" s="88">
        <v>48.7</v>
      </c>
      <c r="P148" s="88">
        <v>30.9</v>
      </c>
      <c r="Q148" s="88">
        <v>0</v>
      </c>
      <c r="R148" s="51">
        <f t="shared" ref="R148:R153" si="65">SUM(O148:Q148)</f>
        <v>79.599999999999994</v>
      </c>
      <c r="S148" s="88">
        <v>1.4</v>
      </c>
      <c r="T148" s="88">
        <v>0</v>
      </c>
      <c r="U148" s="88">
        <v>1.4</v>
      </c>
      <c r="V148" s="88">
        <v>15.6</v>
      </c>
      <c r="W148" s="88">
        <v>1.4</v>
      </c>
      <c r="X148" s="88">
        <v>1.6</v>
      </c>
      <c r="Y148" s="88">
        <v>0</v>
      </c>
    </row>
    <row r="149" spans="1:25">
      <c r="N149" s="7" t="s">
        <v>206</v>
      </c>
      <c r="O149" s="88">
        <v>72.8</v>
      </c>
      <c r="P149" s="88">
        <v>16.399999999999999</v>
      </c>
      <c r="Q149" s="88">
        <v>0.9</v>
      </c>
      <c r="R149" s="51">
        <f t="shared" si="65"/>
        <v>90.1</v>
      </c>
      <c r="S149" s="88">
        <v>4.4000000000000004</v>
      </c>
      <c r="T149" s="88">
        <v>0</v>
      </c>
      <c r="U149" s="88">
        <v>4.4000000000000004</v>
      </c>
      <c r="V149" s="88">
        <v>3.2</v>
      </c>
      <c r="W149" s="88">
        <v>0.4</v>
      </c>
      <c r="X149" s="88">
        <v>1.6</v>
      </c>
      <c r="Y149" s="88">
        <v>0</v>
      </c>
    </row>
    <row r="150" spans="1:25">
      <c r="N150" s="7" t="s">
        <v>207</v>
      </c>
      <c r="O150" s="88">
        <v>66.8</v>
      </c>
      <c r="P150" s="88">
        <v>19.899999999999999</v>
      </c>
      <c r="Q150" s="88">
        <v>0.7</v>
      </c>
      <c r="R150" s="51">
        <f t="shared" si="65"/>
        <v>87.399999999999991</v>
      </c>
      <c r="S150" s="88">
        <v>4.9000000000000004</v>
      </c>
      <c r="T150" s="88">
        <v>0</v>
      </c>
      <c r="U150" s="88">
        <v>4.9000000000000004</v>
      </c>
      <c r="V150" s="88">
        <v>5.0999999999999996</v>
      </c>
      <c r="W150" s="88">
        <v>0.5</v>
      </c>
      <c r="X150" s="88">
        <v>1.6</v>
      </c>
      <c r="Y150" s="88">
        <v>0</v>
      </c>
    </row>
    <row r="151" spans="1:25">
      <c r="N151" s="7" t="s">
        <v>208</v>
      </c>
      <c r="O151" s="88">
        <v>58.8</v>
      </c>
      <c r="P151" s="88">
        <v>29.8</v>
      </c>
      <c r="Q151" s="88">
        <v>0</v>
      </c>
      <c r="R151" s="51">
        <f t="shared" si="65"/>
        <v>88.6</v>
      </c>
      <c r="S151" s="88">
        <v>4</v>
      </c>
      <c r="T151" s="88">
        <v>0.1</v>
      </c>
      <c r="U151" s="88">
        <v>3.8</v>
      </c>
      <c r="V151" s="88">
        <v>6.3</v>
      </c>
      <c r="W151" s="88">
        <v>0.3</v>
      </c>
      <c r="X151" s="88">
        <v>0.6</v>
      </c>
      <c r="Y151" s="88">
        <v>0</v>
      </c>
    </row>
    <row r="152" spans="1:25">
      <c r="A152" s="1" t="s">
        <v>2</v>
      </c>
      <c r="B152" s="7" t="s">
        <v>53</v>
      </c>
      <c r="C152" s="12" t="s">
        <v>52</v>
      </c>
      <c r="D152" s="11" t="s">
        <v>51</v>
      </c>
      <c r="E152" s="10" t="s">
        <v>50</v>
      </c>
      <c r="F152" s="9" t="s">
        <v>49</v>
      </c>
      <c r="G152" s="8" t="s">
        <v>48</v>
      </c>
      <c r="H152" s="7" t="s">
        <v>47</v>
      </c>
      <c r="I152" s="7" t="s">
        <v>46</v>
      </c>
      <c r="J152" s="7" t="s">
        <v>45</v>
      </c>
      <c r="K152" s="7" t="s">
        <v>44</v>
      </c>
      <c r="L152" s="7" t="s">
        <v>43</v>
      </c>
      <c r="N152" s="7" t="s">
        <v>238</v>
      </c>
      <c r="O152" s="88">
        <v>49.3</v>
      </c>
      <c r="P152" s="88">
        <v>45.3</v>
      </c>
      <c r="Q152" s="88">
        <v>0</v>
      </c>
      <c r="R152" s="51">
        <f t="shared" si="65"/>
        <v>94.6</v>
      </c>
      <c r="S152" s="88">
        <v>0</v>
      </c>
      <c r="T152" s="88">
        <v>0</v>
      </c>
      <c r="U152" s="88">
        <v>0</v>
      </c>
      <c r="V152" s="88">
        <v>3.3</v>
      </c>
      <c r="W152" s="88">
        <v>0</v>
      </c>
      <c r="X152" s="88">
        <v>1.8</v>
      </c>
      <c r="Y152" s="88">
        <v>0</v>
      </c>
    </row>
    <row r="153" spans="1:25">
      <c r="B153" s="7" t="s">
        <v>42</v>
      </c>
      <c r="C153" s="7">
        <v>80.599999999999994</v>
      </c>
      <c r="D153" s="7">
        <v>3.8</v>
      </c>
      <c r="E153" s="7">
        <v>4.3</v>
      </c>
      <c r="F153" s="7">
        <f>SUM(C153:E153)</f>
        <v>88.699999999999989</v>
      </c>
      <c r="G153" s="7">
        <v>6.4</v>
      </c>
      <c r="H153" s="7">
        <v>0</v>
      </c>
      <c r="I153" s="7">
        <v>0.8</v>
      </c>
      <c r="J153" s="7">
        <v>3.8</v>
      </c>
      <c r="K153" s="7">
        <v>0</v>
      </c>
      <c r="L153" s="7">
        <v>0</v>
      </c>
      <c r="N153" s="7" t="s">
        <v>209</v>
      </c>
      <c r="O153" s="88">
        <v>0</v>
      </c>
      <c r="P153" s="88">
        <v>0</v>
      </c>
      <c r="Q153" s="88">
        <v>0</v>
      </c>
      <c r="R153" s="51">
        <f t="shared" si="65"/>
        <v>0</v>
      </c>
      <c r="S153" s="88">
        <v>0</v>
      </c>
      <c r="T153" s="88">
        <v>0</v>
      </c>
      <c r="U153" s="88">
        <v>0</v>
      </c>
      <c r="V153" s="88">
        <v>0</v>
      </c>
      <c r="W153" s="88">
        <v>0</v>
      </c>
      <c r="X153" s="88">
        <v>100</v>
      </c>
      <c r="Y153" s="88">
        <v>0</v>
      </c>
    </row>
    <row r="154" spans="1:25">
      <c r="B154" s="7" t="s">
        <v>41</v>
      </c>
      <c r="C154" s="7">
        <v>81.099999999999994</v>
      </c>
      <c r="D154" s="7">
        <v>4.2</v>
      </c>
      <c r="E154" s="7">
        <v>2.4</v>
      </c>
      <c r="F154" s="7">
        <f>SUM(C154:E154)</f>
        <v>87.7</v>
      </c>
      <c r="G154" s="7">
        <v>5.7</v>
      </c>
      <c r="H154" s="7">
        <v>0</v>
      </c>
      <c r="I154" s="7">
        <v>0.4</v>
      </c>
      <c r="J154" s="7">
        <v>4.0999999999999996</v>
      </c>
      <c r="K154" s="7">
        <v>0</v>
      </c>
      <c r="L154" s="7">
        <v>0</v>
      </c>
      <c r="N154" s="7" t="s">
        <v>37</v>
      </c>
      <c r="O154" s="88">
        <v>50</v>
      </c>
      <c r="P154" s="88">
        <v>25.7</v>
      </c>
      <c r="Q154" s="88">
        <v>0.2</v>
      </c>
      <c r="R154" s="88">
        <f t="shared" ref="R154" si="66">AVERAGE(R147:R153)</f>
        <v>75.94285714285715</v>
      </c>
      <c r="S154" s="88">
        <v>2.2999999999999998</v>
      </c>
      <c r="T154" s="88">
        <v>0</v>
      </c>
      <c r="U154" s="88">
        <v>2.2999999999999998</v>
      </c>
      <c r="V154" s="88">
        <v>5.4</v>
      </c>
      <c r="W154" s="88">
        <v>0.4</v>
      </c>
      <c r="X154" s="88">
        <v>15.5</v>
      </c>
      <c r="Y154" s="88">
        <v>0</v>
      </c>
    </row>
    <row r="155" spans="1:25">
      <c r="B155" s="7" t="s">
        <v>40</v>
      </c>
      <c r="C155" s="7">
        <v>87.2</v>
      </c>
      <c r="D155" s="7">
        <v>4.3</v>
      </c>
      <c r="E155" s="7">
        <v>0.3</v>
      </c>
      <c r="F155" s="7">
        <f>SUM(C155:E155)</f>
        <v>91.8</v>
      </c>
      <c r="G155" s="7">
        <v>4.7</v>
      </c>
      <c r="H155" s="7">
        <v>0</v>
      </c>
      <c r="I155" s="7">
        <v>0.4</v>
      </c>
      <c r="J155" s="7">
        <v>2.9</v>
      </c>
      <c r="K155" s="7">
        <v>0</v>
      </c>
      <c r="L155" s="7">
        <v>0</v>
      </c>
    </row>
    <row r="156" spans="1:25">
      <c r="B156" s="7" t="s">
        <v>39</v>
      </c>
      <c r="C156" s="7">
        <v>81.2</v>
      </c>
      <c r="D156" s="7">
        <v>4.0999999999999996</v>
      </c>
      <c r="E156" s="7">
        <v>1.4</v>
      </c>
      <c r="F156" s="7">
        <f>SUM(C156:E156)</f>
        <v>86.7</v>
      </c>
      <c r="G156" s="7">
        <v>7.4</v>
      </c>
      <c r="H156" s="7">
        <v>0</v>
      </c>
      <c r="I156" s="7">
        <v>1.3</v>
      </c>
      <c r="J156" s="7">
        <v>4.3</v>
      </c>
      <c r="K156" s="7">
        <v>0</v>
      </c>
      <c r="L156" s="7">
        <v>0</v>
      </c>
      <c r="N156" s="1" t="s">
        <v>257</v>
      </c>
    </row>
    <row r="157" spans="1:25">
      <c r="B157" s="7" t="s">
        <v>38</v>
      </c>
      <c r="C157" s="7">
        <v>67.2</v>
      </c>
      <c r="D157" s="7">
        <v>17.8</v>
      </c>
      <c r="E157" s="7">
        <v>5.6</v>
      </c>
      <c r="F157" s="7">
        <f>SUM(C157:E157)</f>
        <v>90.6</v>
      </c>
      <c r="G157" s="7">
        <v>4.7</v>
      </c>
      <c r="H157" s="7">
        <v>0</v>
      </c>
      <c r="I157" s="7">
        <v>0.8</v>
      </c>
      <c r="J157" s="7">
        <v>3.6</v>
      </c>
      <c r="K157" s="7">
        <v>0</v>
      </c>
      <c r="L157" s="7">
        <v>0</v>
      </c>
      <c r="N157" s="7" t="s">
        <v>53</v>
      </c>
      <c r="O157" s="85" t="s">
        <v>52</v>
      </c>
      <c r="P157" s="85" t="s">
        <v>51</v>
      </c>
      <c r="Q157" s="85" t="s">
        <v>50</v>
      </c>
      <c r="R157" s="86" t="s">
        <v>49</v>
      </c>
      <c r="S157" s="9" t="s">
        <v>235</v>
      </c>
      <c r="T157" s="7" t="s">
        <v>246</v>
      </c>
      <c r="U157" s="7" t="s">
        <v>45</v>
      </c>
      <c r="V157" s="85" t="s">
        <v>48</v>
      </c>
      <c r="W157" s="7" t="s">
        <v>47</v>
      </c>
      <c r="X157" s="7" t="s">
        <v>44</v>
      </c>
      <c r="Y157" s="7" t="s">
        <v>43</v>
      </c>
    </row>
    <row r="158" spans="1:25">
      <c r="B158" s="7" t="s">
        <v>37</v>
      </c>
      <c r="C158" s="7">
        <f t="shared" ref="C158:L158" si="67">AVERAGE(C153:C157)</f>
        <v>79.459999999999994</v>
      </c>
      <c r="D158" s="7">
        <f t="shared" si="67"/>
        <v>6.8400000000000007</v>
      </c>
      <c r="E158" s="7">
        <f t="shared" si="67"/>
        <v>2.8</v>
      </c>
      <c r="F158" s="7">
        <f t="shared" si="67"/>
        <v>89.1</v>
      </c>
      <c r="G158" s="7">
        <f t="shared" si="67"/>
        <v>5.78</v>
      </c>
      <c r="H158" s="7">
        <f t="shared" si="67"/>
        <v>0</v>
      </c>
      <c r="I158" s="7">
        <f t="shared" si="67"/>
        <v>0.74</v>
      </c>
      <c r="J158" s="7">
        <f t="shared" si="67"/>
        <v>3.7399999999999998</v>
      </c>
      <c r="K158" s="7">
        <f t="shared" si="67"/>
        <v>0</v>
      </c>
      <c r="L158" s="7">
        <f t="shared" si="67"/>
        <v>0</v>
      </c>
      <c r="N158" s="7" t="s">
        <v>205</v>
      </c>
      <c r="O158" s="88">
        <f>AVERAGE(O147,O136,O125)</f>
        <v>44.666666666666664</v>
      </c>
      <c r="P158" s="88">
        <f t="shared" ref="P158:S158" si="68">AVERAGE(P147,P136,P125)</f>
        <v>49.566666666666663</v>
      </c>
      <c r="Q158" s="88">
        <f t="shared" si="68"/>
        <v>0</v>
      </c>
      <c r="R158" s="51">
        <f>SUM(O158:Q158)</f>
        <v>94.23333333333332</v>
      </c>
      <c r="S158" s="88">
        <f t="shared" ref="S158:Y158" si="69">AVERAGE(S147,S136,S125)</f>
        <v>1.1333333333333335</v>
      </c>
      <c r="T158" s="88">
        <f t="shared" si="69"/>
        <v>0.53333333333333333</v>
      </c>
      <c r="U158" s="88">
        <f t="shared" si="69"/>
        <v>0.6</v>
      </c>
      <c r="V158" s="88">
        <f t="shared" si="69"/>
        <v>3.6666666666666665</v>
      </c>
      <c r="W158" s="88">
        <f t="shared" si="69"/>
        <v>0.20000000000000004</v>
      </c>
      <c r="X158" s="88">
        <f t="shared" si="69"/>
        <v>0.53333333333333333</v>
      </c>
      <c r="Y158" s="88">
        <f t="shared" si="69"/>
        <v>0</v>
      </c>
    </row>
    <row r="159" spans="1:25">
      <c r="N159" s="7" t="s">
        <v>237</v>
      </c>
      <c r="O159" s="88">
        <f t="shared" ref="O159:Q159" si="70">AVERAGE(O148,O137,O126)</f>
        <v>49.266666666666673</v>
      </c>
      <c r="P159" s="88">
        <f t="shared" si="70"/>
        <v>38.366666666666667</v>
      </c>
      <c r="Q159" s="88">
        <f t="shared" si="70"/>
        <v>0</v>
      </c>
      <c r="R159" s="51">
        <f t="shared" ref="R159:R164" si="71">SUM(O159:Q159)</f>
        <v>87.63333333333334</v>
      </c>
      <c r="S159" s="88">
        <f t="shared" ref="S159:Y159" si="72">AVERAGE(S148,S137,S126)</f>
        <v>2</v>
      </c>
      <c r="T159" s="88">
        <f t="shared" si="72"/>
        <v>0.6333333333333333</v>
      </c>
      <c r="U159" s="88">
        <f t="shared" si="72"/>
        <v>1.3333333333333333</v>
      </c>
      <c r="V159" s="88">
        <f t="shared" si="72"/>
        <v>5.9666666666666659</v>
      </c>
      <c r="W159" s="88">
        <f t="shared" si="72"/>
        <v>0.53333333333333333</v>
      </c>
      <c r="X159" s="88">
        <f t="shared" si="72"/>
        <v>0.53333333333333333</v>
      </c>
      <c r="Y159" s="88">
        <f t="shared" si="72"/>
        <v>3.0666666666666664</v>
      </c>
    </row>
    <row r="160" spans="1:25">
      <c r="N160" s="7" t="s">
        <v>206</v>
      </c>
      <c r="O160" s="88">
        <f t="shared" ref="O160:Q160" si="73">AVERAGE(O149,O138,O127)</f>
        <v>68.066666666666663</v>
      </c>
      <c r="P160" s="88">
        <f t="shared" si="73"/>
        <v>23.7</v>
      </c>
      <c r="Q160" s="88">
        <f t="shared" si="73"/>
        <v>0.6</v>
      </c>
      <c r="R160" s="51">
        <f t="shared" si="71"/>
        <v>92.36666666666666</v>
      </c>
      <c r="S160" s="88">
        <f t="shared" ref="S160:Y160" si="74">AVERAGE(S149,S138,S127)</f>
        <v>4</v>
      </c>
      <c r="T160" s="88">
        <f t="shared" si="74"/>
        <v>0.16666666666666666</v>
      </c>
      <c r="U160" s="88">
        <f t="shared" si="74"/>
        <v>3.8000000000000003</v>
      </c>
      <c r="V160" s="88">
        <f t="shared" si="74"/>
        <v>2.7000000000000006</v>
      </c>
      <c r="W160" s="88">
        <f t="shared" si="74"/>
        <v>0.13333333333333333</v>
      </c>
      <c r="X160" s="88">
        <f t="shared" si="74"/>
        <v>0.53333333333333333</v>
      </c>
      <c r="Y160" s="88">
        <f t="shared" si="74"/>
        <v>0</v>
      </c>
    </row>
    <row r="161" spans="14:25">
      <c r="N161" s="7" t="s">
        <v>207</v>
      </c>
      <c r="O161" s="88">
        <f t="shared" ref="O161:Q161" si="75">AVERAGE(O150,O139,O128)</f>
        <v>63.766666666666673</v>
      </c>
      <c r="P161" s="88">
        <f t="shared" si="75"/>
        <v>24.966666666666669</v>
      </c>
      <c r="Q161" s="88">
        <f t="shared" si="75"/>
        <v>0.93333333333333324</v>
      </c>
      <c r="R161" s="51">
        <f t="shared" si="71"/>
        <v>89.666666666666686</v>
      </c>
      <c r="S161" s="88">
        <f t="shared" ref="S161:Y161" si="76">AVERAGE(S150,S139,S128)</f>
        <v>5.8666666666666671</v>
      </c>
      <c r="T161" s="88">
        <f t="shared" si="76"/>
        <v>0.23333333333333331</v>
      </c>
      <c r="U161" s="88">
        <f t="shared" si="76"/>
        <v>5.6000000000000005</v>
      </c>
      <c r="V161" s="88">
        <f t="shared" si="76"/>
        <v>3.4666666666666668</v>
      </c>
      <c r="W161" s="88">
        <f t="shared" si="76"/>
        <v>0.16666666666666666</v>
      </c>
      <c r="X161" s="88">
        <f t="shared" si="76"/>
        <v>0.53333333333333333</v>
      </c>
      <c r="Y161" s="88">
        <f t="shared" si="76"/>
        <v>0</v>
      </c>
    </row>
    <row r="162" spans="14:25">
      <c r="N162" s="7" t="s">
        <v>208</v>
      </c>
      <c r="O162" s="88">
        <f t="shared" ref="O162:Q162" si="77">AVERAGE(O151,O140,O129)</f>
        <v>53</v>
      </c>
      <c r="P162" s="88">
        <f t="shared" si="77"/>
        <v>37.866666666666667</v>
      </c>
      <c r="Q162" s="88">
        <f>AVERAGE(Q151,Q140,Q129)</f>
        <v>0.53333333333333333</v>
      </c>
      <c r="R162" s="51">
        <f t="shared" si="71"/>
        <v>91.4</v>
      </c>
      <c r="S162" s="88">
        <f t="shared" ref="S162:Y162" si="78">AVERAGE(S151,S140,S129)</f>
        <v>4.2333333333333334</v>
      </c>
      <c r="T162" s="88">
        <f t="shared" si="78"/>
        <v>1.4333333333333333</v>
      </c>
      <c r="U162" s="88">
        <f t="shared" si="78"/>
        <v>2.7666666666666671</v>
      </c>
      <c r="V162" s="88">
        <f t="shared" si="78"/>
        <v>3.7333333333333338</v>
      </c>
      <c r="W162" s="88">
        <f t="shared" si="78"/>
        <v>9.9999999999999992E-2</v>
      </c>
      <c r="X162" s="88">
        <f t="shared" si="78"/>
        <v>0.19999999999999998</v>
      </c>
      <c r="Y162" s="88">
        <f t="shared" si="78"/>
        <v>9.9999999999999992E-2</v>
      </c>
    </row>
    <row r="163" spans="14:25">
      <c r="N163" s="7" t="s">
        <v>238</v>
      </c>
      <c r="O163" s="88">
        <f t="shared" ref="O163:Q163" si="79">AVERAGE(O152,O141,O130)</f>
        <v>31.066666666666663</v>
      </c>
      <c r="P163" s="88">
        <f t="shared" si="79"/>
        <v>66.833333333333329</v>
      </c>
      <c r="Q163" s="88">
        <f t="shared" si="79"/>
        <v>0</v>
      </c>
      <c r="R163" s="51">
        <f t="shared" si="71"/>
        <v>97.899999999999991</v>
      </c>
      <c r="S163" s="88">
        <f t="shared" ref="S163:Y163" si="80">AVERAGE(S152,S141,S130)</f>
        <v>0.13333333333333333</v>
      </c>
      <c r="T163" s="88">
        <f t="shared" si="80"/>
        <v>0.13333333333333333</v>
      </c>
      <c r="U163" s="88">
        <f t="shared" si="80"/>
        <v>0</v>
      </c>
      <c r="V163" s="88">
        <f t="shared" si="80"/>
        <v>1.0999999999999999</v>
      </c>
      <c r="W163" s="88">
        <f t="shared" si="80"/>
        <v>0</v>
      </c>
      <c r="X163" s="88">
        <f t="shared" si="80"/>
        <v>0.6</v>
      </c>
      <c r="Y163" s="88">
        <f t="shared" si="80"/>
        <v>6.6666666666666666E-2</v>
      </c>
    </row>
    <row r="164" spans="14:25">
      <c r="N164" s="7" t="s">
        <v>209</v>
      </c>
      <c r="O164" s="88">
        <f t="shared" ref="O164:Q164" si="81">AVERAGE(O153,O142,O131)</f>
        <v>20.133333333333333</v>
      </c>
      <c r="P164" s="88">
        <f t="shared" si="81"/>
        <v>33.733333333333334</v>
      </c>
      <c r="Q164" s="88">
        <f t="shared" si="81"/>
        <v>0.39999999999999997</v>
      </c>
      <c r="R164" s="51">
        <f t="shared" si="71"/>
        <v>54.266666666666666</v>
      </c>
      <c r="S164" s="88">
        <f t="shared" ref="S164:Y164" si="82">AVERAGE(S153,S142,S131)</f>
        <v>6.3666666666666671</v>
      </c>
      <c r="T164" s="88">
        <f t="shared" si="82"/>
        <v>0</v>
      </c>
      <c r="U164" s="88">
        <f t="shared" si="82"/>
        <v>6.3666666666666671</v>
      </c>
      <c r="V164" s="88">
        <f t="shared" si="82"/>
        <v>0.73333333333333339</v>
      </c>
      <c r="W164" s="88">
        <f t="shared" si="82"/>
        <v>0</v>
      </c>
      <c r="X164" s="88">
        <f t="shared" si="82"/>
        <v>38.5</v>
      </c>
      <c r="Y164" s="88">
        <f t="shared" si="82"/>
        <v>0</v>
      </c>
    </row>
    <row r="165" spans="14:25">
      <c r="N165" s="7" t="s">
        <v>37</v>
      </c>
      <c r="O165" s="88">
        <f>AVERAGE(O158:O164)</f>
        <v>47.138095238095232</v>
      </c>
      <c r="P165" s="88">
        <f t="shared" ref="P165:Y165" si="83">AVERAGE(P158:P164)</f>
        <v>39.290476190476191</v>
      </c>
      <c r="Q165" s="88">
        <f t="shared" si="83"/>
        <v>0.35238095238095235</v>
      </c>
      <c r="R165" s="88">
        <f t="shared" si="83"/>
        <v>86.780952380952385</v>
      </c>
      <c r="S165" s="88">
        <f t="shared" si="83"/>
        <v>3.3904761904761904</v>
      </c>
      <c r="T165" s="88">
        <f t="shared" si="83"/>
        <v>0.44761904761904764</v>
      </c>
      <c r="U165" s="88">
        <f t="shared" si="83"/>
        <v>2.9238095238095241</v>
      </c>
      <c r="V165" s="88">
        <f t="shared" si="83"/>
        <v>3.0523809523809531</v>
      </c>
      <c r="W165" s="88">
        <f t="shared" si="83"/>
        <v>0.16190476190476194</v>
      </c>
      <c r="X165" s="88">
        <f t="shared" si="83"/>
        <v>5.9190476190476193</v>
      </c>
      <c r="Y165" s="88">
        <f t="shared" si="83"/>
        <v>0.46190476190476193</v>
      </c>
    </row>
  </sheetData>
  <pageMargins left="0.7" right="0.7" top="0.75" bottom="0.75" header="0.3" footer="0.3"/>
  <pageSetup orientation="portrait" r:id="rId1"/>
  <ignoredErrors>
    <ignoredError sqref="R114 R115:R120 R158:R159 R160:R16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EF8D3-9334-45E5-816D-BACD6673071D}">
  <dimension ref="B2:S10"/>
  <sheetViews>
    <sheetView zoomScale="115" zoomScaleNormal="115" workbookViewId="0">
      <selection activeCell="Y16" sqref="Y16"/>
    </sheetView>
  </sheetViews>
  <sheetFormatPr defaultColWidth="6" defaultRowHeight="12.75"/>
  <cols>
    <col min="1" max="1" width="6" style="13"/>
    <col min="2" max="2" width="8.75" style="13" customWidth="1"/>
    <col min="3" max="4" width="6" style="13" customWidth="1"/>
    <col min="5" max="5" width="6.875" style="13" customWidth="1"/>
    <col min="6" max="6" width="7.125" style="13" customWidth="1"/>
    <col min="7" max="7" width="6.75" style="13" bestFit="1" customWidth="1"/>
    <col min="8" max="19" width="6.75" style="13" customWidth="1"/>
    <col min="20" max="16384" width="6" style="13"/>
  </cols>
  <sheetData>
    <row r="2" spans="2:19" s="19" customFormat="1" ht="28.5" customHeight="1">
      <c r="B2" s="22" t="s">
        <v>88</v>
      </c>
      <c r="C2" s="22" t="s">
        <v>87</v>
      </c>
      <c r="D2" s="22" t="s">
        <v>86</v>
      </c>
      <c r="E2" s="22" t="s">
        <v>3</v>
      </c>
      <c r="F2" s="22" t="s">
        <v>2</v>
      </c>
      <c r="G2" s="22" t="s">
        <v>203</v>
      </c>
      <c r="H2" s="22" t="s">
        <v>85</v>
      </c>
      <c r="I2" s="22" t="s">
        <v>84</v>
      </c>
      <c r="J2" s="22" t="s">
        <v>83</v>
      </c>
      <c r="K2" s="22" t="s">
        <v>82</v>
      </c>
      <c r="L2" s="22" t="s">
        <v>81</v>
      </c>
      <c r="M2" s="22" t="s">
        <v>80</v>
      </c>
      <c r="N2" s="22" t="s">
        <v>79</v>
      </c>
      <c r="O2" s="22" t="s">
        <v>78</v>
      </c>
      <c r="P2" s="22" t="s">
        <v>77</v>
      </c>
      <c r="Q2" s="22" t="s">
        <v>76</v>
      </c>
      <c r="R2" s="22" t="s">
        <v>75</v>
      </c>
      <c r="S2" s="22" t="s">
        <v>74</v>
      </c>
    </row>
    <row r="3" spans="2:19" s="19" customFormat="1" ht="16.5" customHeight="1">
      <c r="B3" s="22" t="s">
        <v>73</v>
      </c>
      <c r="C3" s="52">
        <v>84.71</v>
      </c>
      <c r="D3" s="50"/>
      <c r="E3" s="50"/>
      <c r="F3" s="50"/>
      <c r="G3" s="50"/>
      <c r="H3" s="51">
        <v>77.5</v>
      </c>
      <c r="I3" s="52">
        <v>91.36</v>
      </c>
      <c r="J3" s="52">
        <v>89.98</v>
      </c>
      <c r="K3" s="50"/>
      <c r="L3" s="50"/>
      <c r="M3" s="50"/>
      <c r="N3" s="50"/>
      <c r="O3" s="50"/>
      <c r="P3" s="50"/>
      <c r="Q3" s="50"/>
      <c r="R3" s="50"/>
      <c r="S3" s="50"/>
    </row>
    <row r="4" spans="2:19" s="19" customFormat="1" ht="16.5" customHeight="1">
      <c r="B4" s="22" t="s">
        <v>72</v>
      </c>
      <c r="C4" s="23">
        <v>89.7</v>
      </c>
      <c r="D4" s="23">
        <v>89.7</v>
      </c>
      <c r="E4" s="23">
        <v>89.7</v>
      </c>
      <c r="F4" s="23">
        <v>89.7</v>
      </c>
      <c r="G4" s="23">
        <v>89.7</v>
      </c>
      <c r="H4" s="23">
        <v>89.7</v>
      </c>
      <c r="I4" s="23">
        <v>89.7</v>
      </c>
      <c r="J4" s="23">
        <v>89.7</v>
      </c>
      <c r="K4" s="23">
        <v>89.7</v>
      </c>
      <c r="L4" s="23">
        <v>89.7</v>
      </c>
      <c r="M4" s="23">
        <v>89.7</v>
      </c>
      <c r="N4" s="23">
        <v>89.7</v>
      </c>
      <c r="O4" s="23">
        <v>89.7</v>
      </c>
      <c r="P4" s="23">
        <v>89.7</v>
      </c>
      <c r="Q4" s="23">
        <v>89.7</v>
      </c>
      <c r="R4" s="23">
        <v>89.7</v>
      </c>
      <c r="S4" s="23">
        <v>89.7</v>
      </c>
    </row>
    <row r="5" spans="2:19" s="19" customFormat="1" ht="16.5" customHeight="1">
      <c r="B5" s="22" t="s">
        <v>71</v>
      </c>
      <c r="C5" s="15"/>
      <c r="D5" s="15"/>
      <c r="E5" s="15"/>
      <c r="F5" s="15"/>
      <c r="G5" s="15"/>
      <c r="H5" s="7">
        <v>8.1</v>
      </c>
      <c r="I5" s="43">
        <v>3.3</v>
      </c>
      <c r="J5" s="43">
        <v>2.5</v>
      </c>
      <c r="K5" s="43"/>
      <c r="L5" s="43"/>
      <c r="M5" s="43"/>
      <c r="N5" s="43"/>
      <c r="O5" s="43"/>
      <c r="P5" s="43"/>
      <c r="Q5" s="43"/>
      <c r="R5" s="43"/>
      <c r="S5" s="43"/>
    </row>
    <row r="6" spans="2:19" s="19" customFormat="1" ht="16.5" customHeight="1">
      <c r="B6" s="21" t="s">
        <v>70</v>
      </c>
      <c r="C6" s="15"/>
      <c r="D6" s="15"/>
      <c r="E6" s="15"/>
      <c r="F6" s="15"/>
      <c r="G6" s="15"/>
      <c r="H6" s="7">
        <v>1.1000000000000001</v>
      </c>
      <c r="I6" s="44">
        <v>0.5</v>
      </c>
      <c r="J6" s="44">
        <v>1.7</v>
      </c>
      <c r="K6" s="44"/>
      <c r="L6" s="44"/>
      <c r="M6" s="44"/>
      <c r="N6" s="44"/>
      <c r="O6" s="44"/>
      <c r="P6" s="44"/>
      <c r="Q6" s="44"/>
      <c r="R6" s="44"/>
      <c r="S6" s="44"/>
    </row>
    <row r="7" spans="2:19" s="17" customFormat="1" ht="16.5" customHeight="1">
      <c r="B7" s="16" t="s">
        <v>69</v>
      </c>
      <c r="C7" s="15"/>
      <c r="D7" s="15"/>
      <c r="E7" s="15"/>
      <c r="F7" s="15"/>
      <c r="G7" s="15"/>
      <c r="H7" s="7">
        <v>4.5999999999999996</v>
      </c>
      <c r="I7" s="14">
        <v>5.7</v>
      </c>
      <c r="J7" s="14">
        <v>3.8</v>
      </c>
      <c r="K7" s="14"/>
      <c r="L7" s="14"/>
      <c r="M7" s="14"/>
      <c r="N7" s="14"/>
      <c r="O7" s="14"/>
      <c r="P7" s="14"/>
      <c r="Q7" s="14"/>
      <c r="R7" s="14"/>
      <c r="S7" s="14"/>
    </row>
    <row r="8" spans="2:19" s="17" customFormat="1" ht="16.5" customHeight="1">
      <c r="B8" s="16" t="s">
        <v>68</v>
      </c>
      <c r="C8" s="15"/>
      <c r="D8" s="15"/>
      <c r="E8" s="15"/>
      <c r="F8" s="15"/>
      <c r="G8" s="15"/>
      <c r="H8" s="7">
        <v>0.2</v>
      </c>
      <c r="I8" s="14">
        <v>0</v>
      </c>
      <c r="J8" s="14">
        <v>0.3</v>
      </c>
      <c r="K8" s="14"/>
      <c r="L8" s="14"/>
      <c r="M8" s="14"/>
      <c r="N8" s="14"/>
      <c r="O8" s="14"/>
      <c r="P8" s="14"/>
      <c r="Q8" s="14"/>
      <c r="R8" s="14"/>
      <c r="S8" s="14"/>
    </row>
    <row r="9" spans="2:19" s="17" customFormat="1" ht="15.75" customHeight="1">
      <c r="B9" s="16" t="s">
        <v>67</v>
      </c>
      <c r="C9" s="15"/>
      <c r="D9" s="15"/>
      <c r="E9" s="15"/>
      <c r="F9" s="15"/>
      <c r="G9" s="15"/>
      <c r="H9" s="7">
        <v>7.2</v>
      </c>
      <c r="I9" s="14">
        <v>0.1</v>
      </c>
      <c r="J9" s="14">
        <v>0</v>
      </c>
      <c r="K9" s="14"/>
      <c r="L9" s="14"/>
      <c r="M9" s="14"/>
      <c r="N9" s="14"/>
      <c r="O9" s="14"/>
      <c r="P9" s="14"/>
      <c r="Q9" s="14"/>
      <c r="R9" s="14"/>
      <c r="S9" s="14"/>
    </row>
    <row r="10" spans="2:19" ht="15.75" customHeight="1">
      <c r="B10" s="16" t="s">
        <v>66</v>
      </c>
      <c r="C10" s="15"/>
      <c r="D10" s="15"/>
      <c r="E10" s="15"/>
      <c r="F10" s="15"/>
      <c r="G10" s="15"/>
      <c r="H10" s="7">
        <v>1.4</v>
      </c>
      <c r="I10" s="14">
        <v>0.4</v>
      </c>
      <c r="J10" s="14">
        <v>0</v>
      </c>
      <c r="K10" s="14"/>
      <c r="L10" s="14"/>
      <c r="M10" s="14"/>
      <c r="N10" s="14"/>
      <c r="O10" s="14"/>
      <c r="P10" s="14"/>
      <c r="Q10" s="14"/>
      <c r="R10" s="14"/>
      <c r="S10" s="1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9A732-6D01-4416-A251-29365E5DBECC}">
  <dimension ref="B1:L11"/>
  <sheetViews>
    <sheetView zoomScale="130" zoomScaleNormal="130" workbookViewId="0">
      <selection activeCell="B14" sqref="B14"/>
    </sheetView>
  </sheetViews>
  <sheetFormatPr defaultRowHeight="15.75"/>
  <cols>
    <col min="4" max="5" width="19.125" bestFit="1" customWidth="1"/>
    <col min="6" max="6" width="8.875" bestFit="1" customWidth="1"/>
    <col min="7" max="7" width="13.25" bestFit="1" customWidth="1"/>
    <col min="8" max="8" width="10.875" bestFit="1" customWidth="1"/>
    <col min="10" max="10" width="75" bestFit="1" customWidth="1"/>
  </cols>
  <sheetData>
    <row r="1" spans="2:12">
      <c r="B1" t="s">
        <v>143</v>
      </c>
      <c r="C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J1" t="s">
        <v>151</v>
      </c>
      <c r="K1" t="s">
        <v>152</v>
      </c>
      <c r="L1" t="s">
        <v>153</v>
      </c>
    </row>
    <row r="2" spans="2:12">
      <c r="B2" t="s">
        <v>155</v>
      </c>
      <c r="C2" t="s">
        <v>156</v>
      </c>
      <c r="D2" t="s">
        <v>199</v>
      </c>
      <c r="E2" t="s">
        <v>200</v>
      </c>
      <c r="F2">
        <v>5.35</v>
      </c>
      <c r="G2" t="s">
        <v>201</v>
      </c>
      <c r="H2" t="s">
        <v>160</v>
      </c>
      <c r="I2" t="s">
        <v>154</v>
      </c>
      <c r="J2" t="s">
        <v>202</v>
      </c>
      <c r="K2" t="s">
        <v>154</v>
      </c>
      <c r="L2" t="s">
        <v>154</v>
      </c>
    </row>
    <row r="3" spans="2:12">
      <c r="B3" t="s">
        <v>167</v>
      </c>
      <c r="C3" t="s">
        <v>168</v>
      </c>
      <c r="D3" t="s">
        <v>196</v>
      </c>
      <c r="E3" t="s">
        <v>197</v>
      </c>
      <c r="F3">
        <v>0.25</v>
      </c>
      <c r="G3" t="s">
        <v>171</v>
      </c>
      <c r="H3" t="s">
        <v>160</v>
      </c>
      <c r="I3" t="s">
        <v>195</v>
      </c>
      <c r="J3" t="s">
        <v>198</v>
      </c>
      <c r="K3" t="s">
        <v>195</v>
      </c>
      <c r="L3" t="s">
        <v>195</v>
      </c>
    </row>
    <row r="4" spans="2:12">
      <c r="B4" t="s">
        <v>185</v>
      </c>
      <c r="C4" t="s">
        <v>186</v>
      </c>
      <c r="D4" t="s">
        <v>191</v>
      </c>
      <c r="E4" t="s">
        <v>192</v>
      </c>
      <c r="F4">
        <v>0.65</v>
      </c>
      <c r="G4" t="s">
        <v>193</v>
      </c>
      <c r="H4" t="s">
        <v>160</v>
      </c>
      <c r="I4" t="s">
        <v>161</v>
      </c>
      <c r="J4" t="s">
        <v>194</v>
      </c>
      <c r="K4" t="s">
        <v>161</v>
      </c>
      <c r="L4" t="s">
        <v>161</v>
      </c>
    </row>
    <row r="5" spans="2:12">
      <c r="B5" t="s">
        <v>185</v>
      </c>
      <c r="C5" t="s">
        <v>186</v>
      </c>
      <c r="D5" t="s">
        <v>187</v>
      </c>
      <c r="E5" t="s">
        <v>188</v>
      </c>
      <c r="F5">
        <v>2.95</v>
      </c>
      <c r="G5" t="s">
        <v>189</v>
      </c>
      <c r="H5" t="s">
        <v>181</v>
      </c>
      <c r="I5" t="s">
        <v>161</v>
      </c>
      <c r="J5" t="s">
        <v>190</v>
      </c>
      <c r="K5" t="s">
        <v>161</v>
      </c>
      <c r="L5" t="s">
        <v>161</v>
      </c>
    </row>
    <row r="6" spans="2:12">
      <c r="B6" t="s">
        <v>155</v>
      </c>
      <c r="C6" t="s">
        <v>156</v>
      </c>
      <c r="D6" t="s">
        <v>182</v>
      </c>
      <c r="E6" t="s">
        <v>183</v>
      </c>
      <c r="F6">
        <v>7.0000000000000007E-2</v>
      </c>
      <c r="G6" t="s">
        <v>159</v>
      </c>
      <c r="H6" t="s">
        <v>160</v>
      </c>
      <c r="I6" t="s">
        <v>154</v>
      </c>
      <c r="J6" t="s">
        <v>184</v>
      </c>
      <c r="K6" t="s">
        <v>154</v>
      </c>
      <c r="L6" t="s">
        <v>154</v>
      </c>
    </row>
    <row r="7" spans="2:12">
      <c r="B7" t="s">
        <v>175</v>
      </c>
      <c r="C7" t="s">
        <v>176</v>
      </c>
      <c r="D7" t="s">
        <v>177</v>
      </c>
      <c r="E7" t="s">
        <v>178</v>
      </c>
      <c r="F7">
        <v>2.17</v>
      </c>
      <c r="G7" t="s">
        <v>179</v>
      </c>
      <c r="H7" t="s">
        <v>160</v>
      </c>
      <c r="I7" t="s">
        <v>154</v>
      </c>
      <c r="J7" t="s">
        <v>180</v>
      </c>
      <c r="K7" t="s">
        <v>154</v>
      </c>
      <c r="L7" t="s">
        <v>154</v>
      </c>
    </row>
    <row r="8" spans="2:12">
      <c r="B8" t="s">
        <v>155</v>
      </c>
      <c r="C8" t="s">
        <v>156</v>
      </c>
      <c r="D8" t="s">
        <v>173</v>
      </c>
      <c r="E8" t="s">
        <v>174</v>
      </c>
      <c r="F8">
        <v>2.17</v>
      </c>
      <c r="G8" t="s">
        <v>159</v>
      </c>
      <c r="H8" t="s">
        <v>160</v>
      </c>
      <c r="I8" t="s">
        <v>154</v>
      </c>
      <c r="J8" t="s">
        <v>172</v>
      </c>
      <c r="K8" t="s">
        <v>154</v>
      </c>
      <c r="L8" t="s">
        <v>154</v>
      </c>
    </row>
    <row r="9" spans="2:12">
      <c r="B9" t="s">
        <v>167</v>
      </c>
      <c r="C9" t="s">
        <v>168</v>
      </c>
      <c r="D9" t="s">
        <v>169</v>
      </c>
      <c r="E9" t="s">
        <v>170</v>
      </c>
      <c r="F9">
        <v>2.17</v>
      </c>
      <c r="G9" t="s">
        <v>171</v>
      </c>
      <c r="H9" t="s">
        <v>160</v>
      </c>
      <c r="I9" t="s">
        <v>154</v>
      </c>
      <c r="J9" t="s">
        <v>172</v>
      </c>
      <c r="K9" t="s">
        <v>154</v>
      </c>
      <c r="L9" t="s">
        <v>154</v>
      </c>
    </row>
    <row r="10" spans="2:12">
      <c r="B10" t="s">
        <v>155</v>
      </c>
      <c r="C10" t="s">
        <v>156</v>
      </c>
      <c r="D10" t="s">
        <v>163</v>
      </c>
      <c r="E10" t="s">
        <v>164</v>
      </c>
      <c r="F10">
        <v>1.33</v>
      </c>
      <c r="G10" t="s">
        <v>159</v>
      </c>
      <c r="H10" t="s">
        <v>160</v>
      </c>
      <c r="I10" t="s">
        <v>165</v>
      </c>
      <c r="J10" t="s">
        <v>166</v>
      </c>
      <c r="K10" t="s">
        <v>165</v>
      </c>
      <c r="L10" t="s">
        <v>165</v>
      </c>
    </row>
    <row r="11" spans="2:12">
      <c r="B11" t="s">
        <v>155</v>
      </c>
      <c r="C11" t="s">
        <v>156</v>
      </c>
      <c r="D11" t="s">
        <v>157</v>
      </c>
      <c r="E11" t="s">
        <v>158</v>
      </c>
      <c r="F11">
        <v>6.45</v>
      </c>
      <c r="G11" t="s">
        <v>159</v>
      </c>
      <c r="H11" t="s">
        <v>160</v>
      </c>
      <c r="I11" t="s">
        <v>161</v>
      </c>
      <c r="J11" t="s">
        <v>162</v>
      </c>
      <c r="K11" t="s">
        <v>161</v>
      </c>
      <c r="L11" t="s">
        <v>161</v>
      </c>
    </row>
  </sheetData>
  <sortState xmlns:xlrd2="http://schemas.microsoft.com/office/spreadsheetml/2017/richdata2" ref="B2:L11">
    <sortCondition ref="E1:E1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71CE-61C2-418E-8595-1C4E0583EE4B}">
  <sheetPr>
    <tabColor theme="9" tint="0.79998168889431442"/>
    <pageSetUpPr fitToPage="1"/>
  </sheetPr>
  <dimension ref="A1:W20"/>
  <sheetViews>
    <sheetView zoomScale="55" zoomScaleNormal="55" workbookViewId="0">
      <selection activeCell="M14" sqref="M14"/>
    </sheetView>
  </sheetViews>
  <sheetFormatPr defaultColWidth="10" defaultRowHeight="15"/>
  <cols>
    <col min="1" max="1" width="9.25" style="60" customWidth="1"/>
    <col min="2" max="4" width="8.5" style="60" customWidth="1"/>
    <col min="5" max="5" width="3.875" style="60" customWidth="1"/>
    <col min="6" max="6" width="8.625" style="60" customWidth="1"/>
    <col min="7" max="9" width="8.5" style="60" customWidth="1"/>
    <col min="10" max="10" width="3.875" style="60" customWidth="1"/>
    <col min="11" max="23" width="8.5" style="60" customWidth="1"/>
    <col min="24" max="16384" width="10" style="60"/>
  </cols>
  <sheetData>
    <row r="1" spans="1:23" s="56" customFormat="1" ht="22.15" customHeight="1">
      <c r="A1" s="53" t="s">
        <v>210</v>
      </c>
      <c r="B1" s="54" t="s">
        <v>211</v>
      </c>
      <c r="C1" s="54" t="s">
        <v>212</v>
      </c>
      <c r="D1" s="54" t="s">
        <v>213</v>
      </c>
      <c r="E1" s="54"/>
      <c r="F1" s="54" t="s">
        <v>214</v>
      </c>
      <c r="G1" s="54" t="s">
        <v>215</v>
      </c>
      <c r="H1" s="54" t="s">
        <v>216</v>
      </c>
      <c r="I1" s="54" t="s">
        <v>217</v>
      </c>
      <c r="J1" s="54"/>
      <c r="K1" s="54" t="s">
        <v>218</v>
      </c>
      <c r="L1" s="54" t="s">
        <v>219</v>
      </c>
      <c r="M1" s="54" t="s">
        <v>220</v>
      </c>
      <c r="N1" s="54" t="s">
        <v>221</v>
      </c>
      <c r="O1" s="54" t="s">
        <v>222</v>
      </c>
      <c r="P1" s="54" t="s">
        <v>223</v>
      </c>
      <c r="Q1" s="54" t="s">
        <v>224</v>
      </c>
      <c r="R1" s="54" t="s">
        <v>225</v>
      </c>
      <c r="S1" s="54" t="s">
        <v>226</v>
      </c>
      <c r="T1" s="54" t="s">
        <v>227</v>
      </c>
      <c r="U1" s="54" t="s">
        <v>228</v>
      </c>
      <c r="V1" s="55" t="s">
        <v>229</v>
      </c>
    </row>
    <row r="2" spans="1:23" ht="27" customHeight="1">
      <c r="A2" s="57" t="s">
        <v>230</v>
      </c>
      <c r="B2" s="58"/>
      <c r="C2" s="58"/>
      <c r="D2" s="58" t="e">
        <f>D19/(F11+G11+H11+I11)</f>
        <v>#VALUE!</v>
      </c>
      <c r="E2" s="58"/>
      <c r="F2" s="58" t="e">
        <f>F19/F11</f>
        <v>#VALUE!</v>
      </c>
      <c r="G2" s="58"/>
      <c r="H2" s="58"/>
      <c r="I2" s="58"/>
      <c r="J2" s="59"/>
      <c r="K2" s="58" t="e">
        <f>K19/K11</f>
        <v>#VALUE!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3" spans="1:23" ht="27" customHeight="1" thickBot="1">
      <c r="A3" s="61" t="s">
        <v>231</v>
      </c>
      <c r="B3" s="62">
        <v>2E-3</v>
      </c>
      <c r="C3" s="62">
        <v>2E-3</v>
      </c>
      <c r="D3" s="62">
        <v>2E-3</v>
      </c>
      <c r="E3" s="62">
        <v>2E-3</v>
      </c>
      <c r="F3" s="62">
        <v>2E-3</v>
      </c>
      <c r="G3" s="62">
        <v>2E-3</v>
      </c>
      <c r="H3" s="62">
        <v>2E-3</v>
      </c>
      <c r="I3" s="62">
        <v>2E-3</v>
      </c>
      <c r="J3" s="62">
        <v>2E-3</v>
      </c>
      <c r="K3" s="62">
        <v>2E-3</v>
      </c>
      <c r="L3" s="62">
        <v>2E-3</v>
      </c>
      <c r="M3" s="62">
        <v>2E-3</v>
      </c>
      <c r="N3" s="62">
        <v>2E-3</v>
      </c>
      <c r="O3" s="62">
        <v>2E-3</v>
      </c>
      <c r="P3" s="62">
        <v>2E-3</v>
      </c>
      <c r="Q3" s="62">
        <v>2E-3</v>
      </c>
      <c r="R3" s="62">
        <v>2E-3</v>
      </c>
      <c r="S3" s="62">
        <v>2E-3</v>
      </c>
      <c r="T3" s="62">
        <v>2E-3</v>
      </c>
      <c r="U3" s="62">
        <v>2E-3</v>
      </c>
      <c r="V3" s="63">
        <v>2E-3</v>
      </c>
      <c r="W3" s="64" t="s">
        <v>232</v>
      </c>
    </row>
    <row r="4" spans="1:23" ht="16.5" thickBot="1">
      <c r="A4" s="89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</row>
    <row r="5" spans="1:23" s="56" customFormat="1" ht="18" customHeight="1">
      <c r="A5" s="65" t="s">
        <v>88</v>
      </c>
      <c r="B5" s="66" t="s">
        <v>211</v>
      </c>
      <c r="C5" s="66" t="s">
        <v>212</v>
      </c>
      <c r="D5" s="66" t="s">
        <v>213</v>
      </c>
      <c r="E5" s="66"/>
      <c r="F5" s="66" t="s">
        <v>214</v>
      </c>
      <c r="G5" s="66" t="s">
        <v>215</v>
      </c>
      <c r="H5" s="66" t="s">
        <v>216</v>
      </c>
      <c r="I5" s="66" t="s">
        <v>217</v>
      </c>
      <c r="J5" s="66"/>
      <c r="K5" s="66" t="s">
        <v>218</v>
      </c>
      <c r="L5" s="66" t="s">
        <v>219</v>
      </c>
      <c r="M5" s="66" t="s">
        <v>220</v>
      </c>
      <c r="N5" s="66" t="s">
        <v>221</v>
      </c>
      <c r="O5" s="66" t="s">
        <v>222</v>
      </c>
      <c r="P5" s="66" t="s">
        <v>223</v>
      </c>
      <c r="Q5" s="66" t="s">
        <v>224</v>
      </c>
      <c r="R5" s="66" t="s">
        <v>225</v>
      </c>
      <c r="S5" s="66" t="s">
        <v>226</v>
      </c>
      <c r="T5" s="66" t="s">
        <v>227</v>
      </c>
      <c r="U5" s="66" t="s">
        <v>228</v>
      </c>
      <c r="V5" s="67" t="s">
        <v>229</v>
      </c>
    </row>
    <row r="6" spans="1:23" ht="16.149999999999999" customHeight="1">
      <c r="A6" s="68" t="s">
        <v>205</v>
      </c>
      <c r="B6" s="69"/>
      <c r="C6" s="69"/>
      <c r="D6" s="69"/>
      <c r="E6" s="69"/>
      <c r="F6" s="69"/>
      <c r="G6" s="69"/>
      <c r="H6" s="69" t="str">
        <f t="shared" ref="H6:H10" si="0">IF(SUM(Q6:S6)=0,"",SUM(Q6:S6))</f>
        <v/>
      </c>
      <c r="I6" s="69" t="str">
        <f t="shared" ref="I6:I10" si="1">IF(SUM(T6:V6)=0,"",SUM(T6:V6))</f>
        <v/>
      </c>
      <c r="J6" s="59"/>
      <c r="K6" s="59">
        <v>62</v>
      </c>
      <c r="L6" s="59">
        <v>52</v>
      </c>
      <c r="M6" s="59">
        <v>32</v>
      </c>
      <c r="N6" s="59"/>
      <c r="O6" s="70"/>
      <c r="P6" s="59"/>
      <c r="Q6" s="59"/>
      <c r="R6" s="59"/>
      <c r="S6" s="59"/>
      <c r="T6" s="59"/>
      <c r="U6" s="59"/>
      <c r="V6" s="71"/>
      <c r="W6" s="72"/>
    </row>
    <row r="7" spans="1:23" ht="16.149999999999999" customHeight="1">
      <c r="A7" s="68" t="s">
        <v>206</v>
      </c>
      <c r="B7" s="69"/>
      <c r="C7" s="69"/>
      <c r="D7" s="69"/>
      <c r="E7" s="69"/>
      <c r="F7" s="69"/>
      <c r="G7" s="69"/>
      <c r="H7" s="69" t="str">
        <f t="shared" si="0"/>
        <v/>
      </c>
      <c r="I7" s="69" t="str">
        <f t="shared" si="1"/>
        <v/>
      </c>
      <c r="J7" s="59"/>
      <c r="K7" s="59">
        <v>62</v>
      </c>
      <c r="L7" s="59">
        <v>57</v>
      </c>
      <c r="M7" s="59">
        <v>94</v>
      </c>
      <c r="N7" s="59"/>
      <c r="O7" s="70"/>
      <c r="P7" s="59"/>
      <c r="Q7" s="59"/>
      <c r="R7" s="59"/>
      <c r="S7" s="59"/>
      <c r="T7" s="59"/>
      <c r="U7" s="59"/>
      <c r="V7" s="71"/>
    </row>
    <row r="8" spans="1:23" ht="16.149999999999999" customHeight="1">
      <c r="A8" s="68" t="s">
        <v>207</v>
      </c>
      <c r="B8" s="69"/>
      <c r="C8" s="69"/>
      <c r="D8" s="69"/>
      <c r="E8" s="69"/>
      <c r="F8" s="69"/>
      <c r="G8" s="69"/>
      <c r="H8" s="69" t="str">
        <f t="shared" si="0"/>
        <v/>
      </c>
      <c r="I8" s="69" t="str">
        <f t="shared" si="1"/>
        <v/>
      </c>
      <c r="J8" s="59"/>
      <c r="K8" s="59">
        <v>82</v>
      </c>
      <c r="L8" s="59">
        <v>66</v>
      </c>
      <c r="M8" s="59">
        <v>91</v>
      </c>
      <c r="N8" s="59"/>
      <c r="O8" s="70"/>
      <c r="P8" s="59"/>
      <c r="Q8" s="59"/>
      <c r="R8" s="59"/>
      <c r="S8" s="59"/>
      <c r="T8" s="59"/>
      <c r="U8" s="59"/>
      <c r="V8" s="71"/>
    </row>
    <row r="9" spans="1:23" ht="16.149999999999999" customHeight="1">
      <c r="A9" s="68" t="s">
        <v>208</v>
      </c>
      <c r="B9" s="69"/>
      <c r="C9" s="69"/>
      <c r="D9" s="69"/>
      <c r="E9" s="69"/>
      <c r="F9" s="69"/>
      <c r="G9" s="69"/>
      <c r="H9" s="69" t="str">
        <f t="shared" si="0"/>
        <v/>
      </c>
      <c r="I9" s="69" t="str">
        <f t="shared" si="1"/>
        <v/>
      </c>
      <c r="J9" s="59"/>
      <c r="K9" s="59">
        <v>77</v>
      </c>
      <c r="L9" s="59">
        <v>34</v>
      </c>
      <c r="M9" s="59">
        <v>62</v>
      </c>
      <c r="N9" s="59"/>
      <c r="O9" s="70"/>
      <c r="P9" s="59"/>
      <c r="Q9" s="59"/>
      <c r="R9" s="59"/>
      <c r="S9" s="59"/>
      <c r="T9" s="59"/>
      <c r="U9" s="59"/>
      <c r="V9" s="71"/>
    </row>
    <row r="10" spans="1:23" ht="16.149999999999999" customHeight="1">
      <c r="A10" s="68" t="s">
        <v>209</v>
      </c>
      <c r="B10" s="69"/>
      <c r="C10" s="69"/>
      <c r="D10" s="69"/>
      <c r="E10" s="69"/>
      <c r="F10" s="69"/>
      <c r="G10" s="69"/>
      <c r="H10" s="69" t="str">
        <f t="shared" si="0"/>
        <v/>
      </c>
      <c r="I10" s="69" t="str">
        <f t="shared" si="1"/>
        <v/>
      </c>
      <c r="J10" s="59"/>
      <c r="K10" s="59">
        <v>51</v>
      </c>
      <c r="L10" s="59">
        <v>28</v>
      </c>
      <c r="M10" s="59">
        <v>41</v>
      </c>
      <c r="N10" s="59"/>
      <c r="O10" s="70"/>
      <c r="P10" s="59"/>
      <c r="Q10" s="59"/>
      <c r="R10" s="59"/>
      <c r="S10" s="59"/>
      <c r="T10" s="59"/>
      <c r="U10" s="59"/>
      <c r="V10" s="71"/>
    </row>
    <row r="11" spans="1:23" ht="16.149999999999999" customHeight="1" thickBot="1">
      <c r="A11" s="73" t="s">
        <v>233</v>
      </c>
      <c r="B11" s="74"/>
      <c r="C11" s="74"/>
      <c r="D11" s="74"/>
      <c r="E11" s="74"/>
      <c r="F11" s="74" t="str">
        <f>IF(SUM(F6:F10)=0,"",SUM(F6:F10))</f>
        <v/>
      </c>
      <c r="G11" s="74"/>
      <c r="H11" s="74"/>
      <c r="I11" s="74"/>
      <c r="J11" s="75"/>
      <c r="K11" s="75">
        <f>IF(SUM(K6:K10)=0,"",SUM(K6:K10))</f>
        <v>334</v>
      </c>
      <c r="L11" s="75">
        <f t="shared" ref="L11:M11" si="2">IF(SUM(L6:L10)=0,"",SUM(L6:L10))</f>
        <v>237</v>
      </c>
      <c r="M11" s="75">
        <f t="shared" si="2"/>
        <v>320</v>
      </c>
      <c r="N11" s="75"/>
      <c r="O11" s="75"/>
      <c r="P11" s="75"/>
      <c r="Q11" s="75"/>
      <c r="R11" s="75"/>
      <c r="S11" s="75"/>
      <c r="T11" s="75"/>
      <c r="U11" s="75"/>
      <c r="V11" s="76"/>
    </row>
    <row r="12" spans="1:23" ht="16.5" thickBot="1">
      <c r="A12" s="89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1"/>
    </row>
    <row r="13" spans="1:23" s="56" customFormat="1" ht="16.149999999999999" customHeight="1">
      <c r="A13" s="77" t="s">
        <v>88</v>
      </c>
      <c r="B13" s="78" t="s">
        <v>211</v>
      </c>
      <c r="C13" s="78" t="s">
        <v>212</v>
      </c>
      <c r="D13" s="78" t="s">
        <v>213</v>
      </c>
      <c r="E13" s="78"/>
      <c r="F13" s="78" t="s">
        <v>214</v>
      </c>
      <c r="G13" s="78" t="s">
        <v>215</v>
      </c>
      <c r="H13" s="78" t="s">
        <v>216</v>
      </c>
      <c r="I13" s="78" t="s">
        <v>217</v>
      </c>
      <c r="J13" s="78"/>
      <c r="K13" s="78">
        <v>1</v>
      </c>
      <c r="L13" s="78">
        <v>2</v>
      </c>
      <c r="M13" s="78">
        <v>3</v>
      </c>
      <c r="N13" s="78">
        <v>4</v>
      </c>
      <c r="O13" s="78">
        <v>5</v>
      </c>
      <c r="P13" s="78">
        <v>6</v>
      </c>
      <c r="Q13" s="78">
        <v>7</v>
      </c>
      <c r="R13" s="78">
        <v>8</v>
      </c>
      <c r="S13" s="78">
        <v>9</v>
      </c>
      <c r="T13" s="78">
        <v>10</v>
      </c>
      <c r="U13" s="78">
        <v>11</v>
      </c>
      <c r="V13" s="79">
        <v>12</v>
      </c>
    </row>
    <row r="14" spans="1:23" ht="16.149999999999999" customHeight="1">
      <c r="A14" s="80" t="s">
        <v>205</v>
      </c>
      <c r="B14" s="59"/>
      <c r="C14" s="59"/>
      <c r="D14" s="69"/>
      <c r="E14" s="59"/>
      <c r="F14" s="69"/>
      <c r="G14" s="69"/>
      <c r="H14" s="69"/>
      <c r="I14" s="69"/>
      <c r="J14" s="59"/>
      <c r="K14" s="59">
        <v>0</v>
      </c>
      <c r="L14" s="59">
        <v>0</v>
      </c>
      <c r="M14" s="59">
        <v>0</v>
      </c>
      <c r="N14" s="59"/>
      <c r="O14" s="59"/>
      <c r="P14" s="59"/>
      <c r="Q14" s="59"/>
      <c r="R14" s="59"/>
      <c r="S14" s="59"/>
      <c r="T14" s="59"/>
      <c r="U14" s="59"/>
      <c r="V14" s="71"/>
    </row>
    <row r="15" spans="1:23" ht="16.149999999999999" customHeight="1">
      <c r="A15" s="80" t="s">
        <v>206</v>
      </c>
      <c r="B15" s="59"/>
      <c r="C15" s="59"/>
      <c r="D15" s="69"/>
      <c r="E15" s="59"/>
      <c r="F15" s="69"/>
      <c r="G15" s="69"/>
      <c r="H15" s="69"/>
      <c r="I15" s="69"/>
      <c r="J15" s="59"/>
      <c r="K15" s="59">
        <v>0</v>
      </c>
      <c r="L15" s="59">
        <v>0</v>
      </c>
      <c r="M15" s="59">
        <v>0</v>
      </c>
      <c r="N15" s="59"/>
      <c r="O15" s="59"/>
      <c r="P15" s="59"/>
      <c r="Q15" s="59"/>
      <c r="R15" s="59"/>
      <c r="S15" s="59"/>
      <c r="T15" s="59"/>
      <c r="U15" s="59"/>
      <c r="V15" s="71"/>
    </row>
    <row r="16" spans="1:23" ht="16.149999999999999" customHeight="1">
      <c r="A16" s="80" t="s">
        <v>207</v>
      </c>
      <c r="B16" s="59"/>
      <c r="C16" s="59"/>
      <c r="D16" s="69"/>
      <c r="E16" s="59"/>
      <c r="F16" s="69"/>
      <c r="G16" s="69"/>
      <c r="H16" s="69"/>
      <c r="I16" s="69"/>
      <c r="J16" s="59"/>
      <c r="K16" s="59">
        <v>0</v>
      </c>
      <c r="L16" s="59">
        <v>0</v>
      </c>
      <c r="M16" s="59">
        <v>0</v>
      </c>
      <c r="N16" s="59"/>
      <c r="O16" s="59"/>
      <c r="P16" s="59"/>
      <c r="Q16" s="59"/>
      <c r="R16" s="59"/>
      <c r="S16" s="59"/>
      <c r="T16" s="59"/>
      <c r="U16" s="59"/>
      <c r="V16" s="71"/>
    </row>
    <row r="17" spans="1:22" ht="16.149999999999999" customHeight="1">
      <c r="A17" s="80" t="s">
        <v>208</v>
      </c>
      <c r="B17" s="59"/>
      <c r="C17" s="59"/>
      <c r="D17" s="69"/>
      <c r="E17" s="59"/>
      <c r="F17" s="69"/>
      <c r="G17" s="69"/>
      <c r="H17" s="69"/>
      <c r="I17" s="69"/>
      <c r="J17" s="59"/>
      <c r="K17" s="59">
        <v>0</v>
      </c>
      <c r="L17" s="59">
        <v>0</v>
      </c>
      <c r="M17" s="59">
        <v>0</v>
      </c>
      <c r="N17" s="59"/>
      <c r="O17" s="59"/>
      <c r="P17" s="59"/>
      <c r="Q17" s="59"/>
      <c r="R17" s="59"/>
      <c r="S17" s="59"/>
      <c r="T17" s="59"/>
      <c r="U17" s="59"/>
      <c r="V17" s="71"/>
    </row>
    <row r="18" spans="1:22" ht="16.149999999999999" customHeight="1">
      <c r="A18" s="80" t="s">
        <v>209</v>
      </c>
      <c r="B18" s="59"/>
      <c r="C18" s="59"/>
      <c r="D18" s="69"/>
      <c r="E18" s="59"/>
      <c r="F18" s="69"/>
      <c r="G18" s="69"/>
      <c r="H18" s="69"/>
      <c r="I18" s="69"/>
      <c r="J18" s="59"/>
      <c r="K18" s="59">
        <v>0</v>
      </c>
      <c r="L18" s="59">
        <v>0</v>
      </c>
      <c r="M18" s="59">
        <v>0</v>
      </c>
      <c r="N18" s="59"/>
      <c r="O18" s="59"/>
      <c r="P18" s="59"/>
      <c r="Q18" s="59"/>
      <c r="R18" s="59"/>
      <c r="S18" s="59"/>
      <c r="T18" s="59"/>
      <c r="U18" s="59"/>
      <c r="V18" s="71"/>
    </row>
    <row r="19" spans="1:22" ht="16.149999999999999" customHeight="1" thickBot="1">
      <c r="A19" s="81" t="s">
        <v>234</v>
      </c>
      <c r="B19" s="82"/>
      <c r="C19" s="82"/>
      <c r="D19" s="82"/>
      <c r="E19" s="82"/>
      <c r="F19" s="83" t="str">
        <f>IF(SUM(F14:F18)=0,"",SUM(F14:F18))</f>
        <v/>
      </c>
      <c r="G19" s="83"/>
      <c r="H19" s="83"/>
      <c r="I19" s="83"/>
      <c r="J19" s="82"/>
      <c r="K19" s="75" t="str">
        <f>IF(SUM(K14:K18)=0,"",SUM(K14:K18))</f>
        <v/>
      </c>
      <c r="L19" s="75" t="str">
        <f t="shared" ref="L19:V19" si="3">IF(SUM(L14:L18)=0,"",SUM(L14:L18))</f>
        <v/>
      </c>
      <c r="M19" s="75" t="str">
        <f t="shared" si="3"/>
        <v/>
      </c>
      <c r="N19" s="75" t="str">
        <f t="shared" si="3"/>
        <v/>
      </c>
      <c r="O19" s="75" t="str">
        <f t="shared" si="3"/>
        <v/>
      </c>
      <c r="P19" s="75" t="str">
        <f t="shared" si="3"/>
        <v/>
      </c>
      <c r="Q19" s="75" t="str">
        <f t="shared" si="3"/>
        <v/>
      </c>
      <c r="R19" s="75" t="str">
        <f t="shared" si="3"/>
        <v/>
      </c>
      <c r="S19" s="75" t="str">
        <f t="shared" si="3"/>
        <v/>
      </c>
      <c r="T19" s="75" t="str">
        <f t="shared" si="3"/>
        <v/>
      </c>
      <c r="U19" s="75" t="str">
        <f t="shared" si="3"/>
        <v/>
      </c>
      <c r="V19" s="75" t="str">
        <f t="shared" si="3"/>
        <v/>
      </c>
    </row>
    <row r="20" spans="1:22">
      <c r="G20" s="84"/>
      <c r="H20" s="84"/>
      <c r="I20" s="84"/>
      <c r="J20" s="84"/>
    </row>
  </sheetData>
  <mergeCells count="2">
    <mergeCell ref="A4:V4"/>
    <mergeCell ref="A12:V12"/>
  </mergeCells>
  <pageMargins left="0.70866141732283472" right="0.70866141732283472" top="0.74803149606299213" bottom="0.74803149606299213" header="0.31496062992125984" footer="0.31496062992125984"/>
  <pageSetup scale="5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1</vt:i4>
      </vt:variant>
    </vt:vector>
  </HeadingPairs>
  <TitlesOfParts>
    <vt:vector size="9" baseType="lpstr">
      <vt:lpstr>2024 Poly PTC 統計</vt:lpstr>
      <vt:lpstr>2024 Poly PTC OOS Rate</vt:lpstr>
      <vt:lpstr>2024 Poly PTC zone別</vt:lpstr>
      <vt:lpstr>UT Trend chart </vt:lpstr>
      <vt:lpstr>Up Time</vt:lpstr>
      <vt:lpstr>UT Trend chart  (2)</vt:lpstr>
      <vt:lpstr>工作表3</vt:lpstr>
      <vt:lpstr>PTC OOS Rate</vt:lpstr>
      <vt:lpstr>'PTC OOS Rate'!Print_Area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S220 CCLi22</dc:creator>
  <cp:lastModifiedBy>S220 JYLin</cp:lastModifiedBy>
  <dcterms:created xsi:type="dcterms:W3CDTF">2024-01-09T05:02:23Z</dcterms:created>
  <dcterms:modified xsi:type="dcterms:W3CDTF">2026-01-09T07:15:54Z</dcterms:modified>
</cp:coreProperties>
</file>