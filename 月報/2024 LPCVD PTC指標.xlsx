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hlin38\Desktop\"/>
    </mc:Choice>
  </mc:AlternateContent>
  <xr:revisionPtr revIDLastSave="296" documentId="8_{966DF85A-11DA-4FF4-B6DA-EAA0C5332F7B}" xr6:coauthVersionLast="47" xr6:coauthVersionMax="47" xr10:uidLastSave="{F26A2E07-1AF5-46A6-BA76-C8397C74D68B}"/>
  <bookViews>
    <workbookView xWindow="-120" yWindow="-120" windowWidth="29040" windowHeight="15840" xr2:uid="{00000000-000D-0000-FFFF-FFFF00000000}"/>
  </bookViews>
  <sheets>
    <sheet name="LPCVD(M)" sheetId="9" r:id="rId1"/>
    <sheet name="LPCVD(W)" sheetId="5" r:id="rId2"/>
  </sheets>
  <definedNames>
    <definedName name="_xlnm._FilterDatabase" localSheetId="1" hidden="1">'LPCVD(W)'!$BZ$7:$CB$19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9" l="1"/>
  <c r="N64" i="9"/>
  <c r="N71" i="9" s="1"/>
  <c r="M71" i="9"/>
  <c r="L71" i="9"/>
  <c r="K71" i="9"/>
  <c r="I71" i="9"/>
  <c r="I61" i="9"/>
  <c r="I55" i="9"/>
  <c r="I56" i="9"/>
  <c r="I57" i="9"/>
  <c r="I58" i="9"/>
  <c r="I59" i="9"/>
  <c r="I60" i="9"/>
  <c r="I54" i="9"/>
  <c r="I51" i="9"/>
  <c r="I45" i="9"/>
  <c r="I46" i="9"/>
  <c r="I47" i="9"/>
  <c r="I48" i="9"/>
  <c r="I49" i="9"/>
  <c r="I50" i="9"/>
  <c r="I44" i="9"/>
  <c r="I41" i="9"/>
  <c r="I35" i="9"/>
  <c r="I36" i="9"/>
  <c r="I37" i="9"/>
  <c r="I38" i="9"/>
  <c r="I39" i="9"/>
  <c r="I40" i="9"/>
  <c r="I34" i="9"/>
  <c r="I12" i="9"/>
  <c r="I10" i="9"/>
  <c r="I8" i="9"/>
  <c r="I3" i="9"/>
  <c r="I9" i="9" s="1"/>
  <c r="AA23" i="9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AM17" i="5"/>
  <c r="AL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K17" i="5"/>
  <c r="L17" i="5"/>
  <c r="M17" i="5"/>
  <c r="N17" i="5"/>
  <c r="O17" i="5"/>
  <c r="P17" i="5"/>
  <c r="Q17" i="5"/>
  <c r="R17" i="5"/>
  <c r="S17" i="5"/>
  <c r="T17" i="5"/>
  <c r="U17" i="5"/>
  <c r="J17" i="5"/>
  <c r="X71" i="9"/>
  <c r="X12" i="9"/>
  <c r="W71" i="9"/>
  <c r="W12" i="9"/>
  <c r="X61" i="9"/>
  <c r="W61" i="9"/>
  <c r="X51" i="9"/>
  <c r="W51" i="9"/>
  <c r="X41" i="9"/>
  <c r="W41" i="9"/>
  <c r="X31" i="9"/>
  <c r="W31" i="9"/>
  <c r="W8" i="9"/>
  <c r="X23" i="9"/>
  <c r="X2" i="9"/>
  <c r="X7" i="9"/>
  <c r="W23" i="9"/>
  <c r="AX68" i="5"/>
  <c r="AW68" i="5"/>
  <c r="K54" i="9"/>
  <c r="K55" i="9"/>
  <c r="K56" i="9"/>
  <c r="K57" i="9"/>
  <c r="K58" i="9"/>
  <c r="K59" i="9"/>
  <c r="K60" i="9"/>
  <c r="K61" i="9"/>
  <c r="K12" i="9"/>
  <c r="K34" i="9"/>
  <c r="K35" i="9"/>
  <c r="K36" i="9"/>
  <c r="K37" i="9"/>
  <c r="K38" i="9"/>
  <c r="K39" i="9"/>
  <c r="K40" i="9"/>
  <c r="K44" i="9"/>
  <c r="K45" i="9"/>
  <c r="L45" i="9"/>
  <c r="M45" i="9"/>
  <c r="N45" i="9"/>
  <c r="K46" i="9"/>
  <c r="K47" i="9"/>
  <c r="K48" i="9"/>
  <c r="K49" i="9"/>
  <c r="K50" i="9"/>
  <c r="K18" i="9"/>
  <c r="K19" i="9"/>
  <c r="K20" i="9"/>
  <c r="K21" i="9"/>
  <c r="K22" i="9"/>
  <c r="K23" i="9"/>
  <c r="K26" i="9"/>
  <c r="K27" i="9"/>
  <c r="K28" i="9"/>
  <c r="K29" i="9"/>
  <c r="L29" i="9"/>
  <c r="M29" i="9"/>
  <c r="N29" i="9"/>
  <c r="K30" i="9"/>
  <c r="L30" i="9"/>
  <c r="M30" i="9"/>
  <c r="N30" i="9"/>
  <c r="J46" i="5"/>
  <c r="J37" i="5"/>
  <c r="J4" i="5"/>
  <c r="H34" i="5"/>
  <c r="H33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W68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W46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X28" i="5"/>
  <c r="W28" i="5"/>
  <c r="H42" i="5"/>
  <c r="H43" i="5"/>
  <c r="H44" i="5"/>
  <c r="H45" i="5"/>
  <c r="H41" i="5"/>
  <c r="H22" i="5"/>
  <c r="H23" i="5"/>
  <c r="H24" i="5"/>
  <c r="H25" i="5"/>
  <c r="H26" i="5"/>
  <c r="H27" i="5"/>
  <c r="H21" i="5"/>
  <c r="H62" i="5"/>
  <c r="H63" i="5"/>
  <c r="H64" i="5"/>
  <c r="H65" i="5"/>
  <c r="H66" i="5"/>
  <c r="H67" i="5"/>
  <c r="H61" i="5"/>
  <c r="H51" i="5"/>
  <c r="H50" i="5"/>
  <c r="H52" i="5"/>
  <c r="H53" i="5"/>
  <c r="H54" i="5"/>
  <c r="H55" i="5"/>
  <c r="H56" i="5"/>
  <c r="H36" i="5"/>
  <c r="H35" i="5"/>
  <c r="H32" i="5"/>
  <c r="H16" i="5"/>
  <c r="H15" i="5"/>
  <c r="H14" i="5"/>
  <c r="H13" i="5"/>
  <c r="H12" i="5"/>
  <c r="H11" i="5"/>
  <c r="H10" i="5"/>
  <c r="K37" i="5"/>
  <c r="L37" i="5"/>
  <c r="M37" i="5"/>
  <c r="N37" i="5"/>
  <c r="O37" i="5"/>
  <c r="P37" i="5"/>
  <c r="Q37" i="5"/>
  <c r="R37" i="5"/>
  <c r="S37" i="5"/>
  <c r="T37" i="5"/>
  <c r="U37" i="5"/>
  <c r="H4" i="5"/>
  <c r="T46" i="5"/>
  <c r="T4" i="5"/>
  <c r="U28" i="5"/>
  <c r="U3" i="5"/>
  <c r="U46" i="5"/>
  <c r="L57" i="5"/>
  <c r="L68" i="5"/>
  <c r="P57" i="5"/>
  <c r="P68" i="5"/>
  <c r="P5" i="5"/>
  <c r="T57" i="5"/>
  <c r="T68" i="5"/>
  <c r="T5" i="5"/>
  <c r="M28" i="5"/>
  <c r="M3" i="5"/>
  <c r="S28" i="5"/>
  <c r="S3" i="5"/>
  <c r="J28" i="5"/>
  <c r="K28" i="5"/>
  <c r="K3" i="5"/>
  <c r="L28" i="5"/>
  <c r="L3" i="5"/>
  <c r="T28" i="5"/>
  <c r="T3" i="5"/>
  <c r="N28" i="5"/>
  <c r="N3" i="5"/>
  <c r="O28" i="5"/>
  <c r="P28" i="5"/>
  <c r="Q28" i="5"/>
  <c r="Q3" i="5"/>
  <c r="R28" i="5"/>
  <c r="R3" i="5"/>
  <c r="L46" i="5"/>
  <c r="L4" i="5"/>
  <c r="K46" i="5"/>
  <c r="M46" i="5"/>
  <c r="M4" i="5"/>
  <c r="N46" i="5"/>
  <c r="O46" i="5"/>
  <c r="O4" i="5"/>
  <c r="P46" i="5"/>
  <c r="Q46" i="5"/>
  <c r="S46" i="5"/>
  <c r="S4" i="5"/>
  <c r="R46" i="5"/>
  <c r="J57" i="5"/>
  <c r="K57" i="5"/>
  <c r="M57" i="5"/>
  <c r="N57" i="5"/>
  <c r="N68" i="5"/>
  <c r="N5" i="5"/>
  <c r="O57" i="5"/>
  <c r="Q57" i="5"/>
  <c r="R57" i="5"/>
  <c r="S57" i="5"/>
  <c r="S68" i="5"/>
  <c r="S5" i="5"/>
  <c r="U57" i="5"/>
  <c r="U68" i="5"/>
  <c r="U5" i="5"/>
  <c r="J68" i="5"/>
  <c r="K68" i="5"/>
  <c r="M68" i="5"/>
  <c r="O68" i="5"/>
  <c r="O5" i="5"/>
  <c r="Q68" i="5"/>
  <c r="R68" i="5"/>
  <c r="R5" i="5"/>
  <c r="Q5" i="5"/>
  <c r="P4" i="5"/>
  <c r="K4" i="5"/>
  <c r="P3" i="5"/>
  <c r="O3" i="5"/>
  <c r="M50" i="9"/>
  <c r="M49" i="9"/>
  <c r="M48" i="9"/>
  <c r="M47" i="9"/>
  <c r="M46" i="9"/>
  <c r="M44" i="9"/>
  <c r="M28" i="9"/>
  <c r="L28" i="9"/>
  <c r="N28" i="9"/>
  <c r="M27" i="9"/>
  <c r="M26" i="9"/>
  <c r="L50" i="9"/>
  <c r="L49" i="9"/>
  <c r="L48" i="9"/>
  <c r="L47" i="9"/>
  <c r="L46" i="9"/>
  <c r="L44" i="9"/>
  <c r="L51" i="9"/>
  <c r="L10" i="9"/>
  <c r="L27" i="9"/>
  <c r="N27" i="9"/>
  <c r="L26" i="9"/>
  <c r="AA61" i="9"/>
  <c r="Z61" i="9"/>
  <c r="Y61" i="9"/>
  <c r="V61" i="9"/>
  <c r="U61" i="9"/>
  <c r="T61" i="9"/>
  <c r="T71" i="9"/>
  <c r="T4" i="9"/>
  <c r="T11" i="9"/>
  <c r="AA31" i="9"/>
  <c r="AA2" i="9"/>
  <c r="AA7" i="9"/>
  <c r="Z31" i="9"/>
  <c r="Z8" i="9"/>
  <c r="Y31" i="9"/>
  <c r="Y8" i="9"/>
  <c r="V31" i="9"/>
  <c r="U31" i="9"/>
  <c r="U8" i="9"/>
  <c r="T31" i="9"/>
  <c r="T8" i="9"/>
  <c r="AA51" i="9"/>
  <c r="AA10" i="9"/>
  <c r="Z51" i="9"/>
  <c r="Z10" i="9"/>
  <c r="Y51" i="9"/>
  <c r="Y10" i="9"/>
  <c r="X10" i="9"/>
  <c r="W10" i="9"/>
  <c r="Q51" i="9"/>
  <c r="Q10" i="9"/>
  <c r="R51" i="9"/>
  <c r="R10" i="9"/>
  <c r="S51" i="9"/>
  <c r="S10" i="9"/>
  <c r="T51" i="9"/>
  <c r="U51" i="9"/>
  <c r="U10" i="9"/>
  <c r="V51" i="9"/>
  <c r="V10" i="9"/>
  <c r="AA71" i="9"/>
  <c r="AA4" i="9"/>
  <c r="AA11" i="9"/>
  <c r="Z71" i="9"/>
  <c r="Y71" i="9"/>
  <c r="Y12" i="9"/>
  <c r="V71" i="9"/>
  <c r="V4" i="9"/>
  <c r="V11" i="9"/>
  <c r="V12" i="9"/>
  <c r="U71" i="9"/>
  <c r="U12" i="9"/>
  <c r="T12" i="9"/>
  <c r="S71" i="9"/>
  <c r="S12" i="9"/>
  <c r="Q31" i="9"/>
  <c r="R71" i="9"/>
  <c r="R12" i="9"/>
  <c r="Q71" i="9"/>
  <c r="P71" i="9"/>
  <c r="I4" i="9" s="1"/>
  <c r="I11" i="9" s="1"/>
  <c r="N26" i="9"/>
  <c r="S31" i="9"/>
  <c r="S8" i="9"/>
  <c r="R31" i="9"/>
  <c r="I2" i="9" s="1"/>
  <c r="I7" i="9" s="1"/>
  <c r="R8" i="9"/>
  <c r="P31" i="9"/>
  <c r="P8" i="9"/>
  <c r="Z23" i="9"/>
  <c r="V23" i="9"/>
  <c r="V2" i="9"/>
  <c r="V7" i="9"/>
  <c r="R23" i="9"/>
  <c r="P61" i="9"/>
  <c r="P4" i="9"/>
  <c r="P11" i="9"/>
  <c r="S61" i="9"/>
  <c r="R61" i="9"/>
  <c r="Q61" i="9"/>
  <c r="M60" i="9"/>
  <c r="L60" i="9"/>
  <c r="BX21" i="5"/>
  <c r="Q41" i="9"/>
  <c r="Q23" i="9"/>
  <c r="Q2" i="9"/>
  <c r="Q7" i="9"/>
  <c r="P41" i="9"/>
  <c r="N60" i="9"/>
  <c r="N59" i="9"/>
  <c r="M59" i="9"/>
  <c r="L59" i="9"/>
  <c r="N58" i="9"/>
  <c r="M58" i="9"/>
  <c r="L58" i="9"/>
  <c r="N57" i="9"/>
  <c r="M57" i="9"/>
  <c r="L57" i="9"/>
  <c r="N56" i="9"/>
  <c r="M56" i="9"/>
  <c r="L56" i="9"/>
  <c r="N55" i="9"/>
  <c r="M55" i="9"/>
  <c r="L55" i="9"/>
  <c r="N54" i="9"/>
  <c r="M54" i="9"/>
  <c r="L54" i="9"/>
  <c r="L61" i="9"/>
  <c r="N50" i="9"/>
  <c r="N44" i="9"/>
  <c r="N46" i="9"/>
  <c r="N47" i="9"/>
  <c r="N48" i="9"/>
  <c r="N49" i="9"/>
  <c r="N51" i="9"/>
  <c r="N10" i="9"/>
  <c r="AA41" i="9"/>
  <c r="AA3" i="9"/>
  <c r="AA9" i="9"/>
  <c r="Z41" i="9"/>
  <c r="Y41" i="9"/>
  <c r="R41" i="9"/>
  <c r="R3" i="9"/>
  <c r="R9" i="9"/>
  <c r="S41" i="9"/>
  <c r="T41" i="9"/>
  <c r="U41" i="9"/>
  <c r="V41" i="9"/>
  <c r="V3" i="9"/>
  <c r="V9" i="9"/>
  <c r="N40" i="9"/>
  <c r="M40" i="9"/>
  <c r="L40" i="9"/>
  <c r="N39" i="9"/>
  <c r="M39" i="9"/>
  <c r="L39" i="9"/>
  <c r="N38" i="9"/>
  <c r="M38" i="9"/>
  <c r="L38" i="9"/>
  <c r="N37" i="9"/>
  <c r="M37" i="9"/>
  <c r="L37" i="9"/>
  <c r="N36" i="9"/>
  <c r="M36" i="9"/>
  <c r="L36" i="9"/>
  <c r="N35" i="9"/>
  <c r="M35" i="9"/>
  <c r="L35" i="9"/>
  <c r="N34" i="9"/>
  <c r="M34" i="9"/>
  <c r="L34" i="9"/>
  <c r="L41" i="9"/>
  <c r="Y23" i="9"/>
  <c r="P23" i="9"/>
  <c r="S23" i="9"/>
  <c r="S2" i="9"/>
  <c r="S7" i="9"/>
  <c r="T23" i="9"/>
  <c r="U23" i="9"/>
  <c r="N22" i="9"/>
  <c r="M22" i="9"/>
  <c r="L22" i="9"/>
  <c r="N21" i="9"/>
  <c r="M21" i="9"/>
  <c r="M18" i="9"/>
  <c r="M19" i="9"/>
  <c r="M20" i="9"/>
  <c r="M23" i="9"/>
  <c r="L21" i="9"/>
  <c r="N20" i="9"/>
  <c r="L20" i="9"/>
  <c r="L18" i="9"/>
  <c r="L19" i="9"/>
  <c r="L23" i="9"/>
  <c r="N19" i="9"/>
  <c r="N18" i="9"/>
  <c r="N23" i="9"/>
  <c r="Q12" i="9"/>
  <c r="D12" i="9"/>
  <c r="D11" i="9"/>
  <c r="D10" i="9"/>
  <c r="D9" i="9"/>
  <c r="D8" i="9"/>
  <c r="D7" i="9"/>
  <c r="X8" i="9"/>
  <c r="Z12" i="9"/>
  <c r="Q3" i="9"/>
  <c r="Q9" i="9"/>
  <c r="V8" i="9"/>
  <c r="R4" i="9"/>
  <c r="R11" i="9"/>
  <c r="P3" i="9"/>
  <c r="P9" i="9"/>
  <c r="R2" i="9"/>
  <c r="R7" i="9"/>
  <c r="Y2" i="9"/>
  <c r="Y7" i="9"/>
  <c r="AA12" i="9"/>
  <c r="X4" i="9"/>
  <c r="X11" i="9"/>
  <c r="T10" i="9"/>
  <c r="Q8" i="9"/>
  <c r="P12" i="9"/>
  <c r="S3" i="9"/>
  <c r="S9" i="9"/>
  <c r="M5" i="5"/>
  <c r="AA8" i="9"/>
  <c r="X3" i="9"/>
  <c r="X9" i="9"/>
  <c r="W3" i="9"/>
  <c r="W9" i="9"/>
  <c r="W2" i="9"/>
  <c r="W7" i="9"/>
  <c r="Q4" i="9"/>
  <c r="Q11" i="9"/>
  <c r="Y4" i="9"/>
  <c r="Y11" i="9"/>
  <c r="Z4" i="9"/>
  <c r="Z11" i="9"/>
  <c r="M61" i="9"/>
  <c r="M4" i="9"/>
  <c r="M11" i="9"/>
  <c r="N61" i="9"/>
  <c r="N4" i="9"/>
  <c r="N11" i="9"/>
  <c r="K4" i="9"/>
  <c r="K11" i="9"/>
  <c r="M51" i="9"/>
  <c r="M10" i="9"/>
  <c r="U3" i="9"/>
  <c r="U9" i="9"/>
  <c r="T3" i="9"/>
  <c r="T9" i="9"/>
  <c r="Y3" i="9"/>
  <c r="Y9" i="9"/>
  <c r="K51" i="9"/>
  <c r="K10" i="9"/>
  <c r="M41" i="9"/>
  <c r="K41" i="9"/>
  <c r="N41" i="9"/>
  <c r="N3" i="9"/>
  <c r="N9" i="9"/>
  <c r="N31" i="9"/>
  <c r="K31" i="9"/>
  <c r="U2" i="9"/>
  <c r="U7" i="9"/>
  <c r="Z2" i="9"/>
  <c r="Z7" i="9"/>
  <c r="L31" i="9"/>
  <c r="M31" i="9"/>
  <c r="M8" i="9"/>
  <c r="P2" i="9"/>
  <c r="P7" i="9"/>
  <c r="J5" i="5"/>
  <c r="H68" i="5"/>
  <c r="K5" i="5"/>
  <c r="L5" i="5"/>
  <c r="H57" i="5"/>
  <c r="U4" i="5"/>
  <c r="Q4" i="5"/>
  <c r="H46" i="5"/>
  <c r="R4" i="5"/>
  <c r="N4" i="5"/>
  <c r="H37" i="5"/>
  <c r="H17" i="5"/>
  <c r="J3" i="5"/>
  <c r="N8" i="9"/>
  <c r="N2" i="9"/>
  <c r="N7" i="9"/>
  <c r="L12" i="9"/>
  <c r="L4" i="9"/>
  <c r="L11" i="9"/>
  <c r="N12" i="9"/>
  <c r="K8" i="9"/>
  <c r="K2" i="9"/>
  <c r="K7" i="9"/>
  <c r="L8" i="9"/>
  <c r="L2" i="9"/>
  <c r="L7" i="9"/>
  <c r="M2" i="9"/>
  <c r="M7" i="9"/>
  <c r="M12" i="9"/>
  <c r="L3" i="9"/>
  <c r="L9" i="9"/>
  <c r="H5" i="5"/>
  <c r="S4" i="9"/>
  <c r="S11" i="9"/>
  <c r="U4" i="9"/>
  <c r="U11" i="9"/>
  <c r="W4" i="9"/>
  <c r="W11" i="9"/>
  <c r="H3" i="5"/>
  <c r="H28" i="5"/>
  <c r="T2" i="9"/>
  <c r="T7" i="9"/>
  <c r="Z3" i="9"/>
  <c r="Z9" i="9"/>
  <c r="K3" i="9"/>
  <c r="K9" i="9"/>
  <c r="M3" i="9"/>
  <c r="M9" i="9"/>
</calcChain>
</file>

<file path=xl/sharedStrings.xml><?xml version="1.0" encoding="utf-8"?>
<sst xmlns="http://schemas.openxmlformats.org/spreadsheetml/2006/main" count="792" uniqueCount="219">
  <si>
    <t>負責人</t>
    <phoneticPr fontId="4" type="noConversion"/>
  </si>
  <si>
    <t>2021 KPI</t>
    <phoneticPr fontId="4" type="noConversion"/>
  </si>
  <si>
    <t>2017y PTC OOS Rate</t>
    <phoneticPr fontId="4" type="noConversion"/>
  </si>
  <si>
    <t>2018y PTC OOS</t>
    <phoneticPr fontId="4" type="noConversion"/>
  </si>
  <si>
    <t>2021y PTC OOS Rate</t>
  </si>
  <si>
    <t>2022y PTC OOS Rate</t>
  </si>
  <si>
    <t>2023y PTC OOS Rate</t>
  </si>
  <si>
    <t>2024y PTC OOS Rate</t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</si>
  <si>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</si>
  <si>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</si>
  <si>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</si>
  <si>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</si>
  <si>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LP-P OOS rate</t>
    <phoneticPr fontId="5" type="noConversion"/>
  </si>
  <si>
    <t>周尚勳</t>
    <phoneticPr fontId="4" type="noConversion"/>
  </si>
  <si>
    <t>&lt;0.4%</t>
    <phoneticPr fontId="4" type="noConversion"/>
  </si>
  <si>
    <t>LP-T OOS rate</t>
    <phoneticPr fontId="5" type="noConversion"/>
  </si>
  <si>
    <t>黃建華</t>
    <phoneticPr fontId="4" type="noConversion"/>
  </si>
  <si>
    <t>&lt;0.2%</t>
    <phoneticPr fontId="4" type="noConversion"/>
  </si>
  <si>
    <t>LP-N OOS rate</t>
    <phoneticPr fontId="5" type="noConversion"/>
  </si>
  <si>
    <t>林韋志</t>
    <phoneticPr fontId="4" type="noConversion"/>
  </si>
  <si>
    <t>2020 KPI</t>
    <phoneticPr fontId="4" type="noConversion"/>
  </si>
  <si>
    <t>17y PTC OOS Rate</t>
    <phoneticPr fontId="4" type="noConversion"/>
  </si>
  <si>
    <t>18y PTC OOS Rate</t>
    <phoneticPr fontId="4" type="noConversion"/>
  </si>
  <si>
    <t>21y PTC OOS Rate</t>
  </si>
  <si>
    <t>22y PTC OOS Rate</t>
  </si>
  <si>
    <t>23y PTC OOS Rate</t>
  </si>
  <si>
    <t>24y PTC OOS Rate</t>
  </si>
  <si>
    <t>LP-P PTC次數</t>
    <phoneticPr fontId="4" type="noConversion"/>
  </si>
  <si>
    <t>LP-T PTC次數</t>
    <phoneticPr fontId="4" type="noConversion"/>
  </si>
  <si>
    <t>LP-N PTC次數</t>
    <phoneticPr fontId="4" type="noConversion"/>
  </si>
  <si>
    <t>Run數</t>
    <phoneticPr fontId="4" type="noConversion"/>
  </si>
  <si>
    <t>2017y 平均RUN數</t>
    <phoneticPr fontId="4" type="noConversion"/>
  </si>
  <si>
    <t>2018y平均RUN數</t>
    <phoneticPr fontId="4" type="noConversion"/>
  </si>
  <si>
    <t>2021y平均RUN數</t>
  </si>
  <si>
    <t>2022y平均RUN數</t>
  </si>
  <si>
    <t>2023y平均RUN數</t>
  </si>
  <si>
    <t>2024y平均RUN數</t>
  </si>
  <si>
    <t xml:space="preserve">LP-P1 </t>
    <phoneticPr fontId="5" type="noConversion"/>
  </si>
  <si>
    <t>LP-P2</t>
    <phoneticPr fontId="5" type="noConversion"/>
  </si>
  <si>
    <t>LP-P3</t>
    <phoneticPr fontId="5" type="noConversion"/>
  </si>
  <si>
    <t xml:space="preserve"> </t>
    <phoneticPr fontId="4" type="noConversion"/>
  </si>
  <si>
    <t>LP-P4</t>
    <phoneticPr fontId="5" type="noConversion"/>
  </si>
  <si>
    <t>LP-P6</t>
    <phoneticPr fontId="5" type="noConversion"/>
  </si>
  <si>
    <t>LP-P run數</t>
    <phoneticPr fontId="5" type="noConversion"/>
  </si>
  <si>
    <t>PTC次數</t>
    <phoneticPr fontId="4" type="noConversion"/>
  </si>
  <si>
    <t>2017y Total PTC</t>
    <phoneticPr fontId="4" type="noConversion"/>
  </si>
  <si>
    <t>2018y Total PTC</t>
    <phoneticPr fontId="4" type="noConversion"/>
  </si>
  <si>
    <t>2021y Total PTC</t>
  </si>
  <si>
    <t>2022y Total PTC</t>
  </si>
  <si>
    <t>2023y Total PTC</t>
  </si>
  <si>
    <t>2024y Total PTC</t>
  </si>
  <si>
    <t>LP-P1</t>
    <phoneticPr fontId="5" type="noConversion"/>
  </si>
  <si>
    <t>LP-P PTC次數</t>
    <phoneticPr fontId="5" type="noConversion"/>
  </si>
  <si>
    <t>LP-T1</t>
    <phoneticPr fontId="5" type="noConversion"/>
  </si>
  <si>
    <t>LP-T2</t>
    <phoneticPr fontId="5" type="noConversion"/>
  </si>
  <si>
    <t>LP-T3</t>
    <phoneticPr fontId="5" type="noConversion"/>
  </si>
  <si>
    <t>LP-T4</t>
    <phoneticPr fontId="5" type="noConversion"/>
  </si>
  <si>
    <t>LP-T5</t>
    <phoneticPr fontId="5" type="noConversion"/>
  </si>
  <si>
    <t>LP-T6</t>
    <phoneticPr fontId="5" type="noConversion"/>
  </si>
  <si>
    <t>LP-T8</t>
    <phoneticPr fontId="5" type="noConversion"/>
  </si>
  <si>
    <t>LP-T run數</t>
    <phoneticPr fontId="5" type="noConversion"/>
  </si>
  <si>
    <t>LP-T  PTC次數</t>
    <phoneticPr fontId="5" type="noConversion"/>
  </si>
  <si>
    <t>Run數</t>
  </si>
  <si>
    <t>LP-N1</t>
    <phoneticPr fontId="5" type="noConversion"/>
  </si>
  <si>
    <t>LP-N2</t>
    <phoneticPr fontId="5" type="noConversion"/>
  </si>
  <si>
    <t>LP-N3</t>
    <phoneticPr fontId="5" type="noConversion"/>
  </si>
  <si>
    <t>LP-N4</t>
    <phoneticPr fontId="5" type="noConversion"/>
  </si>
  <si>
    <t>LP-N5</t>
    <phoneticPr fontId="5" type="noConversion"/>
  </si>
  <si>
    <t>LP-N6</t>
    <phoneticPr fontId="5" type="noConversion"/>
  </si>
  <si>
    <t>LP-N7</t>
    <phoneticPr fontId="5" type="noConversion"/>
  </si>
  <si>
    <t>LP-N run數</t>
    <phoneticPr fontId="5" type="noConversion"/>
  </si>
  <si>
    <t>LP-N  PTC次數</t>
    <phoneticPr fontId="5" type="noConversion"/>
  </si>
  <si>
    <t>製程</t>
    <phoneticPr fontId="1" type="noConversion"/>
  </si>
  <si>
    <t>2018 OOS RATE</t>
  </si>
  <si>
    <t>2019 OOS RATE</t>
  </si>
  <si>
    <t>2020 OOS RATE</t>
  </si>
  <si>
    <t>2021 OOS RATE</t>
  </si>
  <si>
    <t>2022 OOS RATE</t>
  </si>
  <si>
    <t>2023 OOS RATE</t>
  </si>
  <si>
    <t>2024 OOS RATE</t>
  </si>
  <si>
    <t>M1 OOS RATE</t>
    <phoneticPr fontId="1" type="noConversion"/>
  </si>
  <si>
    <t>M2 OOS RATE</t>
    <phoneticPr fontId="1" type="noConversion"/>
  </si>
  <si>
    <t>M3 OOS RATE</t>
    <phoneticPr fontId="1" type="noConversion"/>
  </si>
  <si>
    <t>M4 OOS RATE</t>
    <phoneticPr fontId="1" type="noConversion"/>
  </si>
  <si>
    <t>M5 OOS RATE</t>
    <phoneticPr fontId="1" type="noConversion"/>
  </si>
  <si>
    <t>M6 OOS RATE</t>
    <phoneticPr fontId="1" type="noConversion"/>
  </si>
  <si>
    <t>M7 OOS RATE</t>
    <phoneticPr fontId="1" type="noConversion"/>
  </si>
  <si>
    <t>M8 OOS RATE</t>
    <phoneticPr fontId="1" type="noConversion"/>
  </si>
  <si>
    <t>M9 OOS RATE</t>
    <phoneticPr fontId="1" type="noConversion"/>
  </si>
  <si>
    <t>M10 OOS RATE</t>
    <phoneticPr fontId="1" type="noConversion"/>
  </si>
  <si>
    <t>M11 OOS RATE</t>
    <phoneticPr fontId="1" type="noConversion"/>
  </si>
  <si>
    <t>M12 OOS RATE</t>
    <phoneticPr fontId="1" type="noConversion"/>
  </si>
  <si>
    <t>M1 OOS 次數</t>
    <phoneticPr fontId="1" type="noConversion"/>
  </si>
  <si>
    <t>M2 OOS 次數</t>
    <phoneticPr fontId="1" type="noConversion"/>
  </si>
  <si>
    <t>M3 OOS 次數</t>
    <phoneticPr fontId="1" type="noConversion"/>
  </si>
  <si>
    <t>M4 OOS 次數</t>
    <phoneticPr fontId="1" type="noConversion"/>
  </si>
  <si>
    <t>M5 OOS 次數</t>
    <phoneticPr fontId="1" type="noConversion"/>
  </si>
  <si>
    <t>M6 OOS 次數</t>
    <phoneticPr fontId="1" type="noConversion"/>
  </si>
  <si>
    <t>M7 OOS 次數</t>
    <phoneticPr fontId="1" type="noConversion"/>
  </si>
  <si>
    <t>M8 OOS 次數</t>
    <phoneticPr fontId="1" type="noConversion"/>
  </si>
  <si>
    <t>M9 OOS 次數</t>
    <phoneticPr fontId="1" type="noConversion"/>
  </si>
  <si>
    <t>M10 OOS 次數</t>
    <phoneticPr fontId="1" type="noConversion"/>
  </si>
  <si>
    <t>M11 OOS 次數</t>
  </si>
  <si>
    <t>M12 OOS 次數</t>
    <phoneticPr fontId="1" type="noConversion"/>
  </si>
  <si>
    <t>W1</t>
    <phoneticPr fontId="1" type="noConversion"/>
  </si>
  <si>
    <t>W2</t>
    <phoneticPr fontId="1" type="noConversion"/>
  </si>
  <si>
    <t>W3</t>
  </si>
  <si>
    <t>W4</t>
  </si>
  <si>
    <t>W5</t>
    <phoneticPr fontId="1" type="noConversion"/>
  </si>
  <si>
    <t>W6</t>
    <phoneticPr fontId="1" type="noConversion"/>
  </si>
  <si>
    <t>W7</t>
    <phoneticPr fontId="1" type="noConversion"/>
  </si>
  <si>
    <t>W8</t>
    <phoneticPr fontId="1" type="noConversion"/>
  </si>
  <si>
    <t>W9</t>
    <phoneticPr fontId="1" type="noConversion"/>
  </si>
  <si>
    <t>W10</t>
  </si>
  <si>
    <t>W11</t>
  </si>
  <si>
    <t>W12</t>
  </si>
  <si>
    <t>W13</t>
  </si>
  <si>
    <t>W14</t>
  </si>
  <si>
    <t>W15</t>
    <phoneticPr fontId="1" type="noConversion"/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</si>
  <si>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</si>
  <si>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</si>
  <si>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</si>
  <si>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</si>
  <si>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</si>
  <si>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</si>
  <si>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</si>
  <si>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</si>
  <si>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</si>
  <si>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</si>
  <si>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</si>
  <si>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  <phoneticPr fontId="1" type="noConversion"/>
  </si>
  <si>
    <t>W28</t>
    <phoneticPr fontId="1" type="noConversion"/>
  </si>
  <si>
    <t>W29</t>
  </si>
  <si>
    <t>W30</t>
  </si>
  <si>
    <t>W31</t>
  </si>
  <si>
    <t>W32</t>
    <phoneticPr fontId="1" type="noConversion"/>
  </si>
  <si>
    <t>W33</t>
    <phoneticPr fontId="1" type="noConversion"/>
  </si>
  <si>
    <t>W34</t>
    <phoneticPr fontId="1" type="noConversion"/>
  </si>
  <si>
    <t>W35</t>
    <phoneticPr fontId="1" type="noConversion"/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</si>
  <si>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</si>
  <si>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</si>
  <si>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</si>
  <si>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</si>
  <si>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</si>
  <si>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</si>
  <si>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</si>
  <si>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</si>
  <si>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</si>
  <si>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  <phoneticPr fontId="1" type="noConversion"/>
  </si>
  <si>
    <t>W46</t>
    <phoneticPr fontId="1" type="noConversion"/>
  </si>
  <si>
    <t>W47</t>
  </si>
  <si>
    <t>W48</t>
  </si>
  <si>
    <t>W49</t>
    <phoneticPr fontId="1" type="noConversion"/>
  </si>
  <si>
    <t>W50</t>
    <phoneticPr fontId="1" type="noConversion"/>
  </si>
  <si>
    <t>W51</t>
    <phoneticPr fontId="1" type="noConversion"/>
  </si>
  <si>
    <t>W52</t>
    <phoneticPr fontId="1" type="noConversion"/>
  </si>
  <si>
    <t xml:space="preserve">LP-N PTC OOS </t>
    <phoneticPr fontId="1" type="noConversion"/>
  </si>
  <si>
    <t xml:space="preserve">LP-P PTC OOS </t>
    <phoneticPr fontId="1" type="noConversion"/>
  </si>
  <si>
    <t xml:space="preserve">LP-T PTC OOS </t>
    <phoneticPr fontId="1" type="noConversion"/>
  </si>
  <si>
    <t>OOS次數</t>
    <phoneticPr fontId="1" type="noConversion"/>
  </si>
  <si>
    <t xml:space="preserve">2018 OOS </t>
  </si>
  <si>
    <t xml:space="preserve">2019 OOS </t>
  </si>
  <si>
    <t>2020 OOS</t>
  </si>
  <si>
    <t>2021 OOS</t>
  </si>
  <si>
    <t>2022 OOS</t>
  </si>
  <si>
    <t>2023 OOS</t>
  </si>
  <si>
    <t>2024 OOS</t>
  </si>
  <si>
    <t>M9 OOS RATE</t>
  </si>
  <si>
    <t>M8 OOS 次數</t>
  </si>
  <si>
    <t>M9 OOS 次數</t>
  </si>
  <si>
    <t>M11 OOS 次數</t>
    <phoneticPr fontId="1" type="noConversion"/>
  </si>
  <si>
    <t>W1</t>
  </si>
  <si>
    <t>W2</t>
  </si>
  <si>
    <t>W27</t>
  </si>
  <si>
    <t>W28</t>
  </si>
  <si>
    <t>W32</t>
  </si>
  <si>
    <t>W33</t>
  </si>
  <si>
    <t>W34</t>
  </si>
  <si>
    <t>W35</t>
  </si>
  <si>
    <t>W45</t>
  </si>
  <si>
    <t>W46</t>
  </si>
  <si>
    <t>LP-N1</t>
    <phoneticPr fontId="1" type="noConversion"/>
  </si>
  <si>
    <t>LP-N2</t>
    <phoneticPr fontId="1" type="noConversion"/>
  </si>
  <si>
    <t>LP-N3</t>
    <phoneticPr fontId="1" type="noConversion"/>
  </si>
  <si>
    <t>LP-N4</t>
    <phoneticPr fontId="1" type="noConversion"/>
  </si>
  <si>
    <t>LP-N5</t>
    <phoneticPr fontId="1" type="noConversion"/>
  </si>
  <si>
    <t>LP-N6</t>
    <phoneticPr fontId="1" type="noConversion"/>
  </si>
  <si>
    <t>LP-N7</t>
    <phoneticPr fontId="1" type="noConversion"/>
  </si>
  <si>
    <t>LP-N</t>
    <phoneticPr fontId="1" type="noConversion"/>
  </si>
  <si>
    <t>RUN數</t>
    <phoneticPr fontId="1" type="noConversion"/>
  </si>
  <si>
    <t>2018 AVG/M</t>
  </si>
  <si>
    <t>2019 AVG/M</t>
  </si>
  <si>
    <t>2020 AVG/M</t>
  </si>
  <si>
    <t>2021 AVG/M</t>
  </si>
  <si>
    <t>2022 AVG/M</t>
  </si>
  <si>
    <t>2023 AVG/M</t>
  </si>
  <si>
    <t>2024 AVG/M</t>
  </si>
  <si>
    <t>LP-P1</t>
    <phoneticPr fontId="1" type="noConversion"/>
  </si>
  <si>
    <t>LP-P2</t>
    <phoneticPr fontId="1" type="noConversion"/>
  </si>
  <si>
    <t>LP-P3</t>
    <phoneticPr fontId="1" type="noConversion"/>
  </si>
  <si>
    <t>LP-P4</t>
    <phoneticPr fontId="1" type="noConversion"/>
  </si>
  <si>
    <t>LP-P6</t>
    <phoneticPr fontId="1" type="noConversion"/>
  </si>
  <si>
    <t>LP-P</t>
    <phoneticPr fontId="1" type="noConversion"/>
  </si>
  <si>
    <t>2024AVG/M</t>
  </si>
  <si>
    <t>M5 OOS次數</t>
  </si>
  <si>
    <t>LP-T1</t>
    <phoneticPr fontId="1" type="noConversion"/>
  </si>
  <si>
    <t>LP-T2</t>
    <phoneticPr fontId="1" type="noConversion"/>
  </si>
  <si>
    <t>LP-T3</t>
    <phoneticPr fontId="1" type="noConversion"/>
  </si>
  <si>
    <t>LP-T4</t>
    <phoneticPr fontId="1" type="noConversion"/>
  </si>
  <si>
    <t>LP-T5</t>
    <phoneticPr fontId="1" type="noConversion"/>
  </si>
  <si>
    <t>LP-T6</t>
    <phoneticPr fontId="1" type="noConversion"/>
  </si>
  <si>
    <t>LP-T8</t>
    <phoneticPr fontId="1" type="noConversion"/>
  </si>
  <si>
    <t>LP-T</t>
    <phoneticPr fontId="1" type="noConversion"/>
  </si>
  <si>
    <t>M1 RUN 數</t>
  </si>
  <si>
    <t>M2 RUN 數</t>
  </si>
  <si>
    <t>M3 RUN 數</t>
  </si>
  <si>
    <t>M4 RUN 數</t>
  </si>
  <si>
    <t>M5 RUN 數</t>
  </si>
  <si>
    <t>M6 RUN 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</si>
</sst>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&quot;月&quot;d&quot;日&quot;"/>
    <numFmt numFmtId="165" formatCode="0.0%"/>
    <numFmt numFmtId="166" formatCode="0_);[Red]\(0\)"/>
    <numFmt numFmtId="167" formatCode="0_ "/>
    <numFmt numFmtId="168" formatCode="0.00_);[Red]\(0.00\)"/>
  </numFmts>
  <fonts count="11">
    <font>
      <sz val="12"/>
      <color theme="1"/>
      <name val="Calibri"/>
      <family val="1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9" fontId="7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17" fontId="8" fillId="0" borderId="0" xfId="0" quotePrefix="1" applyNumberFormat="1" applyFont="1" applyAlignment="1">
      <alignment horizontal="center" vertical="center"/>
    </xf>
    <xf numFmtId="10" fontId="8" fillId="0" borderId="0" xfId="3" applyNumberFormat="1" applyFont="1" applyAlignment="1">
      <alignment horizontal="center" vertical="center"/>
    </xf>
    <xf numFmtId="9" fontId="8" fillId="0" borderId="0" xfId="3" applyFont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168" fontId="8" fillId="0" borderId="3" xfId="0" quotePrefix="1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" fontId="8" fillId="0" borderId="4" xfId="0" quotePrefix="1" applyNumberFormat="1" applyFont="1" applyBorder="1" applyAlignment="1">
      <alignment horizontal="center" vertical="center"/>
    </xf>
    <xf numFmtId="17" fontId="8" fillId="0" borderId="5" xfId="0" quotePrefix="1" applyNumberFormat="1" applyFont="1" applyBorder="1" applyAlignment="1">
      <alignment horizontal="center" vertical="center"/>
    </xf>
    <xf numFmtId="168" fontId="8" fillId="0" borderId="6" xfId="0" quotePrefix="1" applyNumberFormat="1" applyFont="1" applyBorder="1" applyAlignment="1">
      <alignment horizontal="center" vertical="center"/>
    </xf>
    <xf numFmtId="10" fontId="8" fillId="0" borderId="7" xfId="3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0" fontId="9" fillId="0" borderId="1" xfId="3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0" borderId="13" xfId="3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0" fontId="9" fillId="0" borderId="16" xfId="0" applyNumberFormat="1" applyFont="1" applyBorder="1" applyAlignment="1">
      <alignment horizontal="center" vertical="center"/>
    </xf>
    <xf numFmtId="10" fontId="9" fillId="0" borderId="16" xfId="3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0" fontId="9" fillId="0" borderId="17" xfId="3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0" fontId="9" fillId="0" borderId="20" xfId="0" applyNumberFormat="1" applyFont="1" applyBorder="1" applyAlignment="1">
      <alignment horizontal="center" vertical="center"/>
    </xf>
    <xf numFmtId="10" fontId="9" fillId="0" borderId="20" xfId="3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0" fontId="9" fillId="0" borderId="21" xfId="3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1" fontId="9" fillId="4" borderId="16" xfId="0" applyNumberFormat="1" applyFont="1" applyFill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1" fontId="9" fillId="5" borderId="16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1" fontId="9" fillId="3" borderId="16" xfId="0" applyNumberFormat="1" applyFont="1" applyFill="1" applyBorder="1" applyAlignment="1">
      <alignment horizontal="center" vertical="center"/>
    </xf>
    <xf numFmtId="22" fontId="0" fillId="0" borderId="0" xfId="0" applyNumberFormat="1">
      <alignment vertical="center"/>
    </xf>
    <xf numFmtId="17" fontId="0" fillId="0" borderId="0" xfId="0" applyNumberFormat="1">
      <alignment vertical="center"/>
    </xf>
    <xf numFmtId="166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168" fontId="8" fillId="2" borderId="3" xfId="0" applyNumberFormat="1" applyFont="1" applyFill="1" applyBorder="1" applyAlignment="1">
      <alignment horizontal="center" vertical="center"/>
    </xf>
    <xf numFmtId="168" fontId="8" fillId="2" borderId="3" xfId="0" quotePrefix="1" applyNumberFormat="1" applyFont="1" applyFill="1" applyBorder="1" applyAlignment="1">
      <alignment horizontal="center" vertical="center"/>
    </xf>
    <xf numFmtId="168" fontId="8" fillId="2" borderId="6" xfId="0" quotePrefix="1" applyNumberFormat="1" applyFont="1" applyFill="1" applyBorder="1" applyAlignment="1">
      <alignment horizontal="center" vertical="center"/>
    </xf>
    <xf numFmtId="17" fontId="8" fillId="2" borderId="0" xfId="0" quotePrefix="1" applyNumberFormat="1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7" fontId="9" fillId="5" borderId="16" xfId="0" applyNumberFormat="1" applyFont="1" applyFill="1" applyBorder="1" applyAlignment="1">
      <alignment horizontal="center" vertical="center"/>
    </xf>
    <xf numFmtId="167" fontId="9" fillId="2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167" fontId="9" fillId="4" borderId="16" xfId="0" applyNumberFormat="1" applyFont="1" applyFill="1" applyBorder="1" applyAlignment="1">
      <alignment horizontal="center" vertical="center"/>
    </xf>
    <xf numFmtId="17" fontId="8" fillId="0" borderId="12" xfId="0" quotePrefix="1" applyNumberFormat="1" applyFont="1" applyBorder="1" applyAlignment="1">
      <alignment horizontal="center" vertical="center"/>
    </xf>
    <xf numFmtId="166" fontId="9" fillId="3" borderId="16" xfId="0" applyNumberFormat="1" applyFont="1" applyFill="1" applyBorder="1" applyAlignment="1">
      <alignment horizontal="center" vertical="center"/>
    </xf>
    <xf numFmtId="166" fontId="9" fillId="2" borderId="16" xfId="0" applyNumberFormat="1" applyFont="1" applyFill="1" applyBorder="1" applyAlignment="1">
      <alignment horizontal="center" vertical="center"/>
    </xf>
    <xf numFmtId="9" fontId="8" fillId="0" borderId="26" xfId="3" applyFont="1" applyBorder="1" applyAlignment="1">
      <alignment horizontal="center" vertical="center"/>
    </xf>
    <xf numFmtId="165" fontId="8" fillId="0" borderId="26" xfId="3" applyNumberFormat="1" applyFont="1" applyBorder="1" applyAlignment="1">
      <alignment horizontal="center" vertical="center"/>
    </xf>
    <xf numFmtId="9" fontId="8" fillId="0" borderId="28" xfId="3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</cellXfs>
  <cellStyles count="4">
    <cellStyle name="??&amp;_x0012_?&amp;_x000b_?_x0008_??_x0007__x0001__x0001_" xfId="1" xr:uid="{00000000-0005-0000-0000-000000000000}"/>
    <cellStyle name="0,0_x000d__x000a_NA_x000d__x000a_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/>
              <a:t>LPCVD PTC OOS Rate</a:t>
            </a:r>
            <a:endParaRPr lang="zh-TW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'LPCVD(M)'!$D$1:$AA$1</c:f>
              <c:strCache>
                <c:ptCount val="22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'LPCVD(M)'!$D$2:$AA$2</c:f>
              <c:numCache>
                <c:formatCode>0.00%</c:formatCode>
                <c:ptCount val="22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2.5089605734767025E-3</c:v>
                </c:pt>
                <c:pt idx="5">
                  <c:v>6.5061808718282373E-4</c:v>
                </c:pt>
                <c:pt idx="6">
                  <c:v>5.7803468208092489E-4</c:v>
                </c:pt>
                <c:pt idx="7">
                  <c:v>0</c:v>
                </c:pt>
                <c:pt idx="8">
                  <c:v>9.1116173120728925E-3</c:v>
                </c:pt>
                <c:pt idx="10">
                  <c:v>0</c:v>
                </c:pt>
                <c:pt idx="11">
                  <c:v>0</c:v>
                </c:pt>
                <c:pt idx="12">
                  <c:v>1.8315018315018315E-3</c:v>
                </c:pt>
                <c:pt idx="13">
                  <c:v>0</c:v>
                </c:pt>
                <c:pt idx="14">
                  <c:v>0</c:v>
                </c:pt>
                <c:pt idx="15">
                  <c:v>1.7605633802816902E-3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6.7720090293453723E-3</c:v>
                </c:pt>
                <c:pt idx="21">
                  <c:v>2.1028037383177569E-2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5-4CF3-939F-3269290AC6AC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'LPCVD(M)'!$D$1:$AA$1</c:f>
              <c:strCache>
                <c:ptCount val="22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'LPCVD(M)'!$D$3:$AA$3</c:f>
              <c:numCache>
                <c:formatCode>0.00%</c:formatCode>
                <c:ptCount val="22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5">
                  <c:v>7.7399380804953565E-4</c:v>
                </c:pt>
                <c:pt idx="6">
                  <c:v>2.3890784982935152E-3</c:v>
                </c:pt>
                <c:pt idx="7">
                  <c:v>7.6045627376425851E-4</c:v>
                </c:pt>
                <c:pt idx="8">
                  <c:v>1.7241379310344827E-3</c:v>
                </c:pt>
                <c:pt idx="10">
                  <c:v>0</c:v>
                </c:pt>
                <c:pt idx="11">
                  <c:v>2.6075619295958278E-3</c:v>
                </c:pt>
                <c:pt idx="12">
                  <c:v>0</c:v>
                </c:pt>
                <c:pt idx="13">
                  <c:v>3.3333333333333335E-3</c:v>
                </c:pt>
                <c:pt idx="14">
                  <c:v>9.3370681605975728E-4</c:v>
                </c:pt>
                <c:pt idx="15">
                  <c:v>3.1282586027111575E-3</c:v>
                </c:pt>
                <c:pt idx="16">
                  <c:v>0</c:v>
                </c:pt>
                <c:pt idx="17">
                  <c:v>1.1904761904761906E-3</c:v>
                </c:pt>
                <c:pt idx="18">
                  <c:v>1.1627906976744186E-3</c:v>
                </c:pt>
                <c:pt idx="19">
                  <c:v>1.2594458438287153E-3</c:v>
                </c:pt>
                <c:pt idx="20">
                  <c:v>1.2690355329949238E-3</c:v>
                </c:pt>
                <c:pt idx="21">
                  <c:v>2.7100271002710027E-3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5-4CF3-939F-3269290AC6AC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'LPCVD(M)'!$D$1:$AA$1</c:f>
              <c:strCache>
                <c:ptCount val="22"/>
                <c:pt idx="0">
                  <c:v>2021y PTC OOS Rate</c:v>
                </c:pt>
                <c:pt idx="1">
                  <c:v>2022y PTC OOS Rate</c:v>
                </c:pt>
                <c:pt idx="2">
                  <c:v>2023y PTC OOS Rate</c:v>
                </c:pt>
                <c:pt idx="3">
                  <c:v>2024y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'LPCVD(M)'!$D$4:$AA$4</c:f>
              <c:numCache>
                <c:formatCode>0.00%</c:formatCode>
                <c:ptCount val="22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8.3333333333333329E-2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1.0552233556102709E-3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1.9920318725099601E-3</c:v>
                </c:pt>
                <c:pt idx="21">
                  <c:v>1.0498687664041995E-3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5-4CF3-939F-3269290A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0736"/>
        <c:axId val="1"/>
      </c:lineChart>
      <c:catAx>
        <c:axId val="1000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0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LP-P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'LPCVD(M)'!$A$8</c:f>
              <c:strCache>
                <c:ptCount val="1"/>
                <c:pt idx="0">
                  <c:v>LP-P PTC次數</c:v>
                </c:pt>
              </c:strCache>
            </c:strRef>
          </c:tx>
          <c:spPr>
            <a:pattFill prst="dotDmnd">
              <a:fgClr>
                <a:srgbClr val="1D0195"/>
              </a:fgClr>
              <a:bgClr>
                <a:schemeClr val="bg1"/>
              </a:bgClr>
            </a:pattFill>
            <a:ln w="15875">
              <a:solidFill>
                <a:srgbClr val="1D0195"/>
              </a:solidFill>
            </a:ln>
            <a:effectLst/>
          </c:spPr>
          <c:invertIfNegative val="0"/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'LPCVD(M)'!$D$8:$AA$8</c:f>
              <c:numCache>
                <c:formatCode>General</c:formatCode>
                <c:ptCount val="22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D-427F-BFBB-10BF500D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'LPCVD(M)'!$A$7</c:f>
              <c:strCache>
                <c:ptCount val="1"/>
                <c:pt idx="0">
                  <c:v>LP-P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'LPCVD(M)'!$D$7:$AA$7</c:f>
              <c:numCache>
                <c:formatCode>0.00%</c:formatCode>
                <c:ptCount val="22"/>
                <c:pt idx="0">
                  <c:v>2.2000000000000001E-3</c:v>
                </c:pt>
                <c:pt idx="1">
                  <c:v>1E-3</c:v>
                </c:pt>
                <c:pt idx="2">
                  <c:v>2.2000000000000001E-3</c:v>
                </c:pt>
                <c:pt idx="3">
                  <c:v>2.5089605734767025E-3</c:v>
                </c:pt>
                <c:pt idx="5">
                  <c:v>6.5061808718282373E-4</c:v>
                </c:pt>
                <c:pt idx="6">
                  <c:v>5.7803468208092489E-4</c:v>
                </c:pt>
                <c:pt idx="7">
                  <c:v>0</c:v>
                </c:pt>
                <c:pt idx="8">
                  <c:v>9.1116173120728925E-3</c:v>
                </c:pt>
                <c:pt idx="10">
                  <c:v>0</c:v>
                </c:pt>
                <c:pt idx="11">
                  <c:v>0</c:v>
                </c:pt>
                <c:pt idx="12">
                  <c:v>1.8315018315018315E-3</c:v>
                </c:pt>
                <c:pt idx="13">
                  <c:v>0</c:v>
                </c:pt>
                <c:pt idx="14">
                  <c:v>0</c:v>
                </c:pt>
                <c:pt idx="15">
                  <c:v>1.7605633802816902E-3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6.7720090293453723E-3</c:v>
                </c:pt>
                <c:pt idx="21">
                  <c:v>2.1028037383177569E-2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D-427F-BFBB-10BF500D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1936"/>
        <c:axId val="1"/>
      </c:lineChart>
      <c:catAx>
        <c:axId val="1000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193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LP-T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'LPCVD(M)'!$A$10</c:f>
              <c:strCache>
                <c:ptCount val="1"/>
                <c:pt idx="0">
                  <c:v>LP-T PTC次數</c:v>
                </c:pt>
              </c:strCache>
            </c:strRef>
          </c:tx>
          <c:spPr>
            <a:pattFill prst="ltUpDiag">
              <a:fgClr>
                <a:srgbClr val="00B050"/>
              </a:fgClr>
              <a:bgClr>
                <a:schemeClr val="bg1"/>
              </a:bgClr>
            </a:pattFill>
            <a:ln w="19050">
              <a:solidFill>
                <a:srgbClr val="00B050"/>
              </a:solidFill>
            </a:ln>
            <a:effectLst/>
          </c:spPr>
          <c:invertIfNegative val="0"/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'LPCVD(M)'!$D$10:$AA$10</c:f>
              <c:numCache>
                <c:formatCode>General</c:formatCode>
                <c:ptCount val="22"/>
                <c:pt idx="0">
                  <c:v>15</c:v>
                </c:pt>
                <c:pt idx="1">
                  <c:v>8</c:v>
                </c:pt>
                <c:pt idx="2">
                  <c:v>7</c:v>
                </c:pt>
                <c:pt idx="3">
                  <c:v>15</c:v>
                </c:pt>
                <c:pt idx="5">
                  <c:v>2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11">
                  <c:v>2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A-43F1-8949-D6C8A5DC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'LPCVD(M)'!$A$9</c:f>
              <c:strCache>
                <c:ptCount val="1"/>
                <c:pt idx="0">
                  <c:v>LP-T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'LPCVD(M)'!$D$9:$AA$9</c:f>
              <c:numCache>
                <c:formatCode>0.00%</c:formatCode>
                <c:ptCount val="22"/>
                <c:pt idx="0">
                  <c:v>1.2999999999999999E-3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1.4334862385321102E-3</c:v>
                </c:pt>
                <c:pt idx="5">
                  <c:v>7.7399380804953565E-4</c:v>
                </c:pt>
                <c:pt idx="6">
                  <c:v>2.3890784982935152E-3</c:v>
                </c:pt>
                <c:pt idx="7">
                  <c:v>7.6045627376425851E-4</c:v>
                </c:pt>
                <c:pt idx="8">
                  <c:v>1.7241379310344827E-3</c:v>
                </c:pt>
                <c:pt idx="10">
                  <c:v>0</c:v>
                </c:pt>
                <c:pt idx="11">
                  <c:v>2.6075619295958278E-3</c:v>
                </c:pt>
                <c:pt idx="12">
                  <c:v>0</c:v>
                </c:pt>
                <c:pt idx="13">
                  <c:v>3.3333333333333335E-3</c:v>
                </c:pt>
                <c:pt idx="14">
                  <c:v>9.3370681605975728E-4</c:v>
                </c:pt>
                <c:pt idx="15">
                  <c:v>3.1282586027111575E-3</c:v>
                </c:pt>
                <c:pt idx="16">
                  <c:v>0</c:v>
                </c:pt>
                <c:pt idx="17">
                  <c:v>1.1904761904761906E-3</c:v>
                </c:pt>
                <c:pt idx="18">
                  <c:v>1.1627906976744186E-3</c:v>
                </c:pt>
                <c:pt idx="19">
                  <c:v>1.2594458438287153E-3</c:v>
                </c:pt>
                <c:pt idx="20">
                  <c:v>1.2690355329949238E-3</c:v>
                </c:pt>
                <c:pt idx="21">
                  <c:v>2.7100271002710027E-3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A-43F1-8949-D6C8A5DC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58576"/>
        <c:axId val="1"/>
      </c:lineChart>
      <c:catAx>
        <c:axId val="10005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00585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sz="1400" b="0" i="0" u="none" strike="noStrike" baseline="0">
                <a:solidFill>
                  <a:srgbClr val="000000"/>
                </a:solidFill>
                <a:latin typeface="微軟正黑體"/>
                <a:ea typeface="微軟正黑體"/>
              </a:rPr>
              <a:t>LP-N OOS次數 &amp; OOS Rate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'LPCVD(M)'!$A$12</c:f>
              <c:strCache>
                <c:ptCount val="1"/>
                <c:pt idx="0">
                  <c:v>LP-N PTC次數</c:v>
                </c:pt>
              </c:strCache>
            </c:strRef>
          </c:tx>
          <c:spPr>
            <a:pattFill prst="horzBrick">
              <a:fgClr>
                <a:srgbClr val="00B0F0"/>
              </a:fgClr>
              <a:bgClr>
                <a:schemeClr val="bg1"/>
              </a:bgClr>
            </a:pattFill>
            <a:ln w="19050">
              <a:solidFill>
                <a:srgbClr val="00B0F0"/>
              </a:solidFill>
            </a:ln>
            <a:effectLst/>
          </c:spPr>
          <c:invertIfNegative val="0"/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'LPCVD(M)'!$D$12:$AA$12</c:f>
              <c:numCache>
                <c:formatCode>General</c:formatCode>
                <c:ptCount val="22"/>
                <c:pt idx="0">
                  <c:v>9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5-4995-8669-7C380207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strRef>
              <c:f>'LPCVD(M)'!$A$11</c:f>
              <c:strCache>
                <c:ptCount val="1"/>
                <c:pt idx="0">
                  <c:v>LP-N OOS rate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chemeClr val="tx1"/>
                </a:solidFill>
              </a:ln>
              <a:effectLst/>
            </c:spPr>
          </c:marker>
          <c:cat>
            <c:strRef>
              <c:f>'LPCVD(M)'!$D$6:$AA$6</c:f>
              <c:strCache>
                <c:ptCount val="22"/>
                <c:pt idx="0">
                  <c:v>21y PTC OOS Rate</c:v>
                </c:pt>
                <c:pt idx="1">
                  <c:v>22y PTC OOS Rate</c:v>
                </c:pt>
                <c:pt idx="2">
                  <c:v>23y PTC OOS Rate</c:v>
                </c:pt>
                <c:pt idx="3">
                  <c:v>24y PTC OOS Rate</c:v>
                </c:pt>
                <c:pt idx="5">
                  <c:v>Q1</c:v>
                </c:pt>
                <c:pt idx="6">
                  <c:v>Q2</c:v>
                </c:pt>
                <c:pt idx="7">
                  <c:v>Q3</c:v>
                </c:pt>
                <c:pt idx="8">
                  <c:v>Q4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strCache>
            </c:strRef>
          </c:cat>
          <c:val>
            <c:numRef>
              <c:f>'LPCVD(M)'!$D$11:$AA$11</c:f>
              <c:numCache>
                <c:formatCode>0.00%</c:formatCode>
                <c:ptCount val="22"/>
                <c:pt idx="0">
                  <c:v>1.1999999999999999E-3</c:v>
                </c:pt>
                <c:pt idx="1">
                  <c:v>2.9999999999999997E-4</c:v>
                </c:pt>
                <c:pt idx="2">
                  <c:v>2.0000000000000001E-4</c:v>
                </c:pt>
                <c:pt idx="3">
                  <c:v>8.3333333333333329E-2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1.0552233556102709E-3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1.9920318725099601E-3</c:v>
                </c:pt>
                <c:pt idx="21">
                  <c:v>1.0498687664041995E-3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5-4995-8669-7C3802078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80160"/>
        <c:axId val="1"/>
      </c:lineChart>
      <c:catAx>
        <c:axId val="1026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8016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800"/>
              <a:t>LP-CVD PTC OOS rate</a:t>
            </a:r>
            <a:endParaRPr lang="zh-TW" sz="18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'LPCVD(M)'!$A$2</c:f>
              <c:strCache>
                <c:ptCount val="1"/>
                <c:pt idx="0">
                  <c:v>LP-P OOS rate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'LPCVD(M)'!$B$1:$AA$1</c:f>
              <c:strCache>
                <c:ptCount val="23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'LPCVD(M)'!$B$2:$AA$2</c:f>
              <c:numCache>
                <c:formatCode>0.00%</c:formatCode>
                <c:ptCount val="23"/>
                <c:pt idx="0" formatCode="General">
                  <c:v>0</c:v>
                </c:pt>
                <c:pt idx="1">
                  <c:v>2.2000000000000001E-3</c:v>
                </c:pt>
                <c:pt idx="2">
                  <c:v>1E-3</c:v>
                </c:pt>
                <c:pt idx="3">
                  <c:v>2.2000000000000001E-3</c:v>
                </c:pt>
                <c:pt idx="4">
                  <c:v>2.5089605734767025E-3</c:v>
                </c:pt>
                <c:pt idx="6">
                  <c:v>6.5061808718282373E-4</c:v>
                </c:pt>
                <c:pt idx="7">
                  <c:v>5.7803468208092489E-4</c:v>
                </c:pt>
                <c:pt idx="8">
                  <c:v>0</c:v>
                </c:pt>
                <c:pt idx="9">
                  <c:v>9.1116173120728925E-3</c:v>
                </c:pt>
                <c:pt idx="11">
                  <c:v>0</c:v>
                </c:pt>
                <c:pt idx="12">
                  <c:v>0</c:v>
                </c:pt>
                <c:pt idx="13">
                  <c:v>1.8315018315018315E-3</c:v>
                </c:pt>
                <c:pt idx="14">
                  <c:v>0</c:v>
                </c:pt>
                <c:pt idx="15">
                  <c:v>0</c:v>
                </c:pt>
                <c:pt idx="16">
                  <c:v>1.7605633802816902E-3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6.7720090293453723E-3</c:v>
                </c:pt>
                <c:pt idx="22">
                  <c:v>2.1028037383177569E-2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A-4E96-B190-BC49DAB9A529}"/>
            </c:ext>
          </c:extLst>
        </c:ser>
        <c:ser>
          <c:idx val="1"/>
          <c:order val="1"/>
          <c:tx>
            <c:strRef>
              <c:f>'LPCVD(M)'!$A$3</c:f>
              <c:strCache>
                <c:ptCount val="1"/>
                <c:pt idx="0">
                  <c:v>LP-T OOS 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'LPCVD(M)'!$B$1:$AA$1</c:f>
              <c:strCache>
                <c:ptCount val="23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'LPCVD(M)'!$B$3:$AA$3</c:f>
              <c:numCache>
                <c:formatCode>0.00%</c:formatCode>
                <c:ptCount val="23"/>
                <c:pt idx="0" formatCode="General">
                  <c:v>0</c:v>
                </c:pt>
                <c:pt idx="1">
                  <c:v>1.2999999999999999E-3</c:v>
                </c:pt>
                <c:pt idx="2">
                  <c:v>6.9999999999999999E-4</c:v>
                </c:pt>
                <c:pt idx="3">
                  <c:v>6.9999999999999999E-4</c:v>
                </c:pt>
                <c:pt idx="4">
                  <c:v>1.4334862385321102E-3</c:v>
                </c:pt>
                <c:pt idx="6">
                  <c:v>7.7399380804953565E-4</c:v>
                </c:pt>
                <c:pt idx="7">
                  <c:v>2.3890784982935152E-3</c:v>
                </c:pt>
                <c:pt idx="8">
                  <c:v>7.6045627376425851E-4</c:v>
                </c:pt>
                <c:pt idx="9">
                  <c:v>1.7241379310344827E-3</c:v>
                </c:pt>
                <c:pt idx="11">
                  <c:v>0</c:v>
                </c:pt>
                <c:pt idx="12">
                  <c:v>2.6075619295958278E-3</c:v>
                </c:pt>
                <c:pt idx="13">
                  <c:v>0</c:v>
                </c:pt>
                <c:pt idx="14">
                  <c:v>3.3333333333333335E-3</c:v>
                </c:pt>
                <c:pt idx="15">
                  <c:v>9.3370681605975728E-4</c:v>
                </c:pt>
                <c:pt idx="16">
                  <c:v>3.1282586027111575E-3</c:v>
                </c:pt>
                <c:pt idx="17">
                  <c:v>0</c:v>
                </c:pt>
                <c:pt idx="18">
                  <c:v>1.1904761904761906E-3</c:v>
                </c:pt>
                <c:pt idx="19">
                  <c:v>1.1627906976744186E-3</c:v>
                </c:pt>
                <c:pt idx="20">
                  <c:v>1.2594458438287153E-3</c:v>
                </c:pt>
                <c:pt idx="21">
                  <c:v>1.2690355329949238E-3</c:v>
                </c:pt>
                <c:pt idx="22">
                  <c:v>2.7100271002710027E-3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A-4E96-B190-BC49DAB9A529}"/>
            </c:ext>
          </c:extLst>
        </c:ser>
        <c:ser>
          <c:idx val="2"/>
          <c:order val="2"/>
          <c:tx>
            <c:strRef>
              <c:f>'LPCVD(M)'!$A$4</c:f>
              <c:strCache>
                <c:ptCount val="1"/>
                <c:pt idx="0">
                  <c:v>LP-N OOS rate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'LPCVD(M)'!$B$1:$AA$1</c:f>
              <c:strCache>
                <c:ptCount val="23"/>
                <c:pt idx="0">
                  <c:v>2021 KPI</c:v>
                </c:pt>
                <c:pt idx="1">
                  <c:v>2021y PTC OOS Rate</c:v>
                </c:pt>
                <c:pt idx="2">
                  <c:v>2022y PTC OOS Rate</c:v>
                </c:pt>
                <c:pt idx="3">
                  <c:v>2023y PTC OOS Rate</c:v>
                </c:pt>
                <c:pt idx="4">
                  <c:v>2024y PTC OOS Rate</c:v>
                </c:pt>
                <c:pt idx="6">
                  <c:v>Q1</c:v>
                </c:pt>
                <c:pt idx="7">
                  <c:v>Q2</c:v>
                </c:pt>
                <c:pt idx="8">
                  <c:v>Q3</c:v>
                </c:pt>
                <c:pt idx="9">
                  <c:v>Q4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</c:strCache>
            </c:strRef>
          </c:cat>
          <c:val>
            <c:numRef>
              <c:f>'LPCVD(M)'!$B$4:$AA$4</c:f>
              <c:numCache>
                <c:formatCode>0.00%</c:formatCode>
                <c:ptCount val="23"/>
                <c:pt idx="0" formatCode="General">
                  <c:v>0</c:v>
                </c:pt>
                <c:pt idx="1">
                  <c:v>1.1999999999999999E-3</c:v>
                </c:pt>
                <c:pt idx="2">
                  <c:v>2.9999999999999997E-4</c:v>
                </c:pt>
                <c:pt idx="3">
                  <c:v>2.0000000000000001E-4</c:v>
                </c:pt>
                <c:pt idx="4">
                  <c:v>8.3333333333333329E-2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1.0552233556102709E-3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1.9920318725099601E-3</c:v>
                </c:pt>
                <c:pt idx="22">
                  <c:v>1.0498687664041995E-3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A-4E96-B190-BC49DAB9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2678160"/>
        <c:axId val="1"/>
      </c:barChart>
      <c:catAx>
        <c:axId val="1026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en-US" altLang="zh-TW" sz="1400"/>
                  <a:t>%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102678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41585146956734E-2"/>
          <c:y val="8.4092409240924079E-2"/>
          <c:w val="0.80732452173720648"/>
          <c:h val="0.80395693112618349"/>
        </c:manualLayout>
      </c:layout>
      <c:lineChart>
        <c:grouping val="standard"/>
        <c:varyColors val="0"/>
        <c:ser>
          <c:idx val="0"/>
          <c:order val="0"/>
          <c:tx>
            <c:strRef>
              <c:f>'LPCVD(W)'!$A$3</c:f>
              <c:strCache>
                <c:ptCount val="1"/>
                <c:pt idx="0">
                  <c:v>LP-N PTC OOS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'LPCVD(W)'!$B$1:$U$2</c:f>
              <c:multiLvlStrCache>
                <c:ptCount val="20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8">
                    <c:v>M1 OOS RATE</c:v>
                  </c:pt>
                  <c:pt idx="9">
                    <c:v>M2 OOS RATE</c:v>
                  </c:pt>
                  <c:pt idx="10">
                    <c:v>M3 OOS RATE</c:v>
                  </c:pt>
                  <c:pt idx="11">
                    <c:v>M4 OOS RATE</c:v>
                  </c:pt>
                  <c:pt idx="12">
                    <c:v>M5 OOS RATE</c:v>
                  </c:pt>
                  <c:pt idx="13">
                    <c:v>M6 OOS RATE</c:v>
                  </c:pt>
                  <c:pt idx="14">
                    <c:v>M7 OOS RATE</c:v>
                  </c:pt>
                  <c:pt idx="15">
                    <c:v>M8 OOS RATE</c:v>
                  </c:pt>
                  <c:pt idx="16">
                    <c:v>M9 OOS RATE</c:v>
                  </c:pt>
                  <c:pt idx="17">
                    <c:v>M10 OOS RATE</c:v>
                  </c:pt>
                  <c:pt idx="18">
                    <c:v>M11 OOS RATE</c:v>
                  </c:pt>
                  <c:pt idx="19">
                    <c:v>M12 OOS RATE</c:v>
                  </c:pt>
                </c:lvl>
              </c:multiLvlStrCache>
            </c:multiLvlStrRef>
          </c:cat>
          <c:val>
            <c:numRef>
              <c:f>'LPCVD(W)'!$B$3:$U$3</c:f>
              <c:numCache>
                <c:formatCode>0.00_);[Red]\(0.00\)</c:formatCode>
                <c:ptCount val="20"/>
                <c:pt idx="0">
                  <c:v>0.54</c:v>
                </c:pt>
                <c:pt idx="1">
                  <c:v>0.09</c:v>
                </c:pt>
                <c:pt idx="2">
                  <c:v>0.16</c:v>
                </c:pt>
                <c:pt idx="3">
                  <c:v>0.12</c:v>
                </c:pt>
                <c:pt idx="4">
                  <c:v>0.03</c:v>
                </c:pt>
                <c:pt idx="5">
                  <c:v>0.01</c:v>
                </c:pt>
                <c:pt idx="6">
                  <c:v>5.7471264367816091E-2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1.9920318725099601E-3</c:v>
                </c:pt>
                <c:pt idx="19" formatCode="0.00%">
                  <c:v>1.0498687664041995E-3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2-4486-9560-FBF2F1117F46}"/>
            </c:ext>
          </c:extLst>
        </c:ser>
        <c:ser>
          <c:idx val="1"/>
          <c:order val="1"/>
          <c:tx>
            <c:strRef>
              <c:f>'LPCVD(W)'!$A$4</c:f>
              <c:strCache>
                <c:ptCount val="1"/>
                <c:pt idx="0">
                  <c:v>LP-P PTC OOS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'LPCVD(W)'!$B$1:$U$2</c:f>
              <c:multiLvlStrCache>
                <c:ptCount val="20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8">
                    <c:v>M1 OOS RATE</c:v>
                  </c:pt>
                  <c:pt idx="9">
                    <c:v>M2 OOS RATE</c:v>
                  </c:pt>
                  <c:pt idx="10">
                    <c:v>M3 OOS RATE</c:v>
                  </c:pt>
                  <c:pt idx="11">
                    <c:v>M4 OOS RATE</c:v>
                  </c:pt>
                  <c:pt idx="12">
                    <c:v>M5 OOS RATE</c:v>
                  </c:pt>
                  <c:pt idx="13">
                    <c:v>M6 OOS RATE</c:v>
                  </c:pt>
                  <c:pt idx="14">
                    <c:v>M7 OOS RATE</c:v>
                  </c:pt>
                  <c:pt idx="15">
                    <c:v>M8 OOS RATE</c:v>
                  </c:pt>
                  <c:pt idx="16">
                    <c:v>M9 OOS RATE</c:v>
                  </c:pt>
                  <c:pt idx="17">
                    <c:v>M10 OOS RATE</c:v>
                  </c:pt>
                  <c:pt idx="18">
                    <c:v>M11 OOS RATE</c:v>
                  </c:pt>
                  <c:pt idx="19">
                    <c:v>M12 OOS RATE</c:v>
                  </c:pt>
                </c:lvl>
              </c:multiLvlStrCache>
            </c:multiLvlStrRef>
          </c:cat>
          <c:val>
            <c:numRef>
              <c:f>'LPCVD(W)'!$B$4:$U$4</c:f>
              <c:numCache>
                <c:formatCode>0.00_);[Red]\(0.00\)</c:formatCode>
                <c:ptCount val="20"/>
                <c:pt idx="0">
                  <c:v>0.68</c:v>
                </c:pt>
                <c:pt idx="1">
                  <c:v>0.28999999999999998</c:v>
                </c:pt>
                <c:pt idx="2">
                  <c:v>0.3</c:v>
                </c:pt>
                <c:pt idx="3">
                  <c:v>0.22</c:v>
                </c:pt>
                <c:pt idx="4">
                  <c:v>0.09</c:v>
                </c:pt>
                <c:pt idx="5">
                  <c:v>0.19</c:v>
                </c:pt>
                <c:pt idx="6">
                  <c:v>0.25197984161267101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1.8315018315018315E-3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1.7605633802816902E-3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6.7720090293453723E-3</c:v>
                </c:pt>
                <c:pt idx="19" formatCode="0.00%">
                  <c:v>2.1028037383177569E-2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2-4486-9560-FBF2F1117F46}"/>
            </c:ext>
          </c:extLst>
        </c:ser>
        <c:ser>
          <c:idx val="2"/>
          <c:order val="2"/>
          <c:tx>
            <c:strRef>
              <c:f>'LPCVD(W)'!$A$5</c:f>
              <c:strCache>
                <c:ptCount val="1"/>
                <c:pt idx="0">
                  <c:v>LP-T PTC OOS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'LPCVD(W)'!$B$1:$U$2</c:f>
              <c:multiLvlStrCache>
                <c:ptCount val="20"/>
                <c:lvl/>
                <c:lvl>
                  <c:pt idx="0">
                    <c:v>2018 OOS RATE</c:v>
                  </c:pt>
                  <c:pt idx="1">
                    <c:v>2019 OOS RATE</c:v>
                  </c:pt>
                  <c:pt idx="2">
                    <c:v>2020 OOS RATE</c:v>
                  </c:pt>
                  <c:pt idx="3">
                    <c:v>2021 OOS RATE</c:v>
                  </c:pt>
                  <c:pt idx="4">
                    <c:v>2022 OOS RATE</c:v>
                  </c:pt>
                  <c:pt idx="5">
                    <c:v>2023 OOS RATE</c:v>
                  </c:pt>
                  <c:pt idx="6">
                    <c:v>2024 OOS RATE</c:v>
                  </c:pt>
                  <c:pt idx="8">
                    <c:v>M1 OOS RATE</c:v>
                  </c:pt>
                  <c:pt idx="9">
                    <c:v>M2 OOS RATE</c:v>
                  </c:pt>
                  <c:pt idx="10">
                    <c:v>M3 OOS RATE</c:v>
                  </c:pt>
                  <c:pt idx="11">
                    <c:v>M4 OOS RATE</c:v>
                  </c:pt>
                  <c:pt idx="12">
                    <c:v>M5 OOS RATE</c:v>
                  </c:pt>
                  <c:pt idx="13">
                    <c:v>M6 OOS RATE</c:v>
                  </c:pt>
                  <c:pt idx="14">
                    <c:v>M7 OOS RATE</c:v>
                  </c:pt>
                  <c:pt idx="15">
                    <c:v>M8 OOS RATE</c:v>
                  </c:pt>
                  <c:pt idx="16">
                    <c:v>M9 OOS RATE</c:v>
                  </c:pt>
                  <c:pt idx="17">
                    <c:v>M10 OOS RATE</c:v>
                  </c:pt>
                  <c:pt idx="18">
                    <c:v>M11 OOS RATE</c:v>
                  </c:pt>
                  <c:pt idx="19">
                    <c:v>M12 OOS RATE</c:v>
                  </c:pt>
                </c:lvl>
              </c:multiLvlStrCache>
            </c:multiLvlStrRef>
          </c:cat>
          <c:val>
            <c:numRef>
              <c:f>'LPCVD(W)'!$B$5:$U$5</c:f>
              <c:numCache>
                <c:formatCode>0.00_);[Red]\(0.00\)</c:formatCode>
                <c:ptCount val="20"/>
                <c:pt idx="0">
                  <c:v>0.17</c:v>
                </c:pt>
                <c:pt idx="1">
                  <c:v>0.19</c:v>
                </c:pt>
                <c:pt idx="2">
                  <c:v>0.11</c:v>
                </c:pt>
                <c:pt idx="3">
                  <c:v>0.13</c:v>
                </c:pt>
                <c:pt idx="4">
                  <c:v>0.05</c:v>
                </c:pt>
                <c:pt idx="5">
                  <c:v>0.06</c:v>
                </c:pt>
                <c:pt idx="6">
                  <c:v>0.15547263681592041</c:v>
                </c:pt>
                <c:pt idx="8" formatCode="0.00%">
                  <c:v>0</c:v>
                </c:pt>
                <c:pt idx="9" formatCode="0.00%">
                  <c:v>2.6075619295958278E-3</c:v>
                </c:pt>
                <c:pt idx="10" formatCode="0.00%">
                  <c:v>0</c:v>
                </c:pt>
                <c:pt idx="11" formatCode="0.00%">
                  <c:v>3.3333333333333335E-3</c:v>
                </c:pt>
                <c:pt idx="12" formatCode="0.00%">
                  <c:v>9.3370681605975728E-4</c:v>
                </c:pt>
                <c:pt idx="13" formatCode="0.00%">
                  <c:v>3.1282586027111575E-3</c:v>
                </c:pt>
                <c:pt idx="14" formatCode="0.00%">
                  <c:v>0</c:v>
                </c:pt>
                <c:pt idx="15" formatCode="0.00%">
                  <c:v>1.1904761904761906E-3</c:v>
                </c:pt>
                <c:pt idx="16" formatCode="0.00%">
                  <c:v>1.1627906976744186E-3</c:v>
                </c:pt>
                <c:pt idx="17" formatCode="0.00%">
                  <c:v>1.3054830287206266E-3</c:v>
                </c:pt>
                <c:pt idx="18" formatCode="0.00%">
                  <c:v>1.2690355329949238E-3</c:v>
                </c:pt>
                <c:pt idx="19" formatCode="0.00%">
                  <c:v>2.7100271002710027E-3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B2-4486-9560-FBF2F111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74960"/>
        <c:axId val="1"/>
      </c:lineChart>
      <c:catAx>
        <c:axId val="1026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9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643210989354808"/>
          <c:y val="0.91625761642476433"/>
          <c:w val="0.44814487593024382"/>
          <c:h val="3.612481396206734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666750</xdr:colOff>
      <xdr:row>0</xdr:row>
      <xdr:rowOff>9525</xdr:rowOff>
    </xdr:from>
    <xdr:to>
      <xdr:col>42</xdr:col>
      <xdr:colOff>342900</xdr:colOff>
      <xdr:row>19</xdr:row>
      <xdr:rowOff>133350</xdr:rowOff>
    </xdr:to>
    <xdr:graphicFrame macro="">
      <xdr:nvGraphicFramePr>
        <xdr:cNvPr id="1239664" name="圖表 1">
          <a:extLst>
            <a:ext uri="{FF2B5EF4-FFF2-40B4-BE49-F238E27FC236}">
              <a16:creationId xmlns:a16="http://schemas.microsoft.com/office/drawing/2014/main" id="{7D8C78A6-1DB2-4F83-961E-0D6DFB9F9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666750</xdr:colOff>
      <xdr:row>21</xdr:row>
      <xdr:rowOff>0</xdr:rowOff>
    </xdr:from>
    <xdr:to>
      <xdr:col>42</xdr:col>
      <xdr:colOff>342900</xdr:colOff>
      <xdr:row>37</xdr:row>
      <xdr:rowOff>171450</xdr:rowOff>
    </xdr:to>
    <xdr:graphicFrame macro="">
      <xdr:nvGraphicFramePr>
        <xdr:cNvPr id="1239665" name="圖表 2">
          <a:extLst>
            <a:ext uri="{FF2B5EF4-FFF2-40B4-BE49-F238E27FC236}">
              <a16:creationId xmlns:a16="http://schemas.microsoft.com/office/drawing/2014/main" id="{82841034-8D83-4FDD-8EE2-A3B6CE811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314325</xdr:colOff>
      <xdr:row>38</xdr:row>
      <xdr:rowOff>190500</xdr:rowOff>
    </xdr:from>
    <xdr:to>
      <xdr:col>42</xdr:col>
      <xdr:colOff>0</xdr:colOff>
      <xdr:row>54</xdr:row>
      <xdr:rowOff>0</xdr:rowOff>
    </xdr:to>
    <xdr:graphicFrame macro="">
      <xdr:nvGraphicFramePr>
        <xdr:cNvPr id="1239666" name="圖表 4">
          <a:extLst>
            <a:ext uri="{FF2B5EF4-FFF2-40B4-BE49-F238E27FC236}">
              <a16:creationId xmlns:a16="http://schemas.microsoft.com/office/drawing/2014/main" id="{9035EFFE-1CED-4DD6-868D-8C2B38967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295275</xdr:colOff>
      <xdr:row>54</xdr:row>
      <xdr:rowOff>161925</xdr:rowOff>
    </xdr:from>
    <xdr:to>
      <xdr:col>42</xdr:col>
      <xdr:colOff>9525</xdr:colOff>
      <xdr:row>70</xdr:row>
      <xdr:rowOff>228600</xdr:rowOff>
    </xdr:to>
    <xdr:graphicFrame macro="">
      <xdr:nvGraphicFramePr>
        <xdr:cNvPr id="1239667" name="圖表 5">
          <a:extLst>
            <a:ext uri="{FF2B5EF4-FFF2-40B4-BE49-F238E27FC236}">
              <a16:creationId xmlns:a16="http://schemas.microsoft.com/office/drawing/2014/main" id="{FE51FE0B-90AD-42E5-87DF-93019F7B3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619125</xdr:colOff>
      <xdr:row>1</xdr:row>
      <xdr:rowOff>19050</xdr:rowOff>
    </xdr:from>
    <xdr:to>
      <xdr:col>63</xdr:col>
      <xdr:colOff>152400</xdr:colOff>
      <xdr:row>21</xdr:row>
      <xdr:rowOff>19050</xdr:rowOff>
    </xdr:to>
    <xdr:graphicFrame macro="">
      <xdr:nvGraphicFramePr>
        <xdr:cNvPr id="1239668" name="圖表 1">
          <a:extLst>
            <a:ext uri="{FF2B5EF4-FFF2-40B4-BE49-F238E27FC236}">
              <a16:creationId xmlns:a16="http://schemas.microsoft.com/office/drawing/2014/main" id="{5034F9F3-CE42-4097-ACAE-088286B73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666750</xdr:colOff>
      <xdr:row>4</xdr:row>
      <xdr:rowOff>219075</xdr:rowOff>
    </xdr:from>
    <xdr:to>
      <xdr:col>89</xdr:col>
      <xdr:colOff>495300</xdr:colOff>
      <xdr:row>32</xdr:row>
      <xdr:rowOff>180975</xdr:rowOff>
    </xdr:to>
    <xdr:graphicFrame macro="">
      <xdr:nvGraphicFramePr>
        <xdr:cNvPr id="11572" name="圖表 1">
          <a:extLst>
            <a:ext uri="{FF2B5EF4-FFF2-40B4-BE49-F238E27FC236}">
              <a16:creationId xmlns:a16="http://schemas.microsoft.com/office/drawing/2014/main" id="{676367BF-4D0E-4E11-912F-AE46181A1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1"/>
  <sheetViews>
    <sheetView tabSelected="1" topLeftCell="A11" zoomScale="80" zoomScaleNormal="80" workbookViewId="0">
      <pane xSplit="3" topLeftCell="I12" activePane="topRight" state="frozen"/>
      <selection pane="topRight" activeCell="Y30" sqref="Y30"/>
      <selection activeCell="A37" sqref="A37"/>
    </sheetView>
  </sheetViews>
  <sheetFormatPr defaultColWidth="9" defaultRowHeight="15.75"/>
  <cols>
    <col min="1" max="1" width="18.625" style="30" customWidth="1"/>
    <col min="2" max="2" width="18.625" style="30" hidden="1" customWidth="1"/>
    <col min="3" max="3" width="18.625" style="30" customWidth="1"/>
    <col min="4" max="5" width="15.25" style="30" hidden="1" customWidth="1"/>
    <col min="6" max="10" width="15.25" style="30" customWidth="1"/>
    <col min="11" max="11" width="11.625" style="30" customWidth="1"/>
    <col min="12" max="13" width="10.125" style="30" customWidth="1"/>
    <col min="14" max="14" width="11.625" style="30" customWidth="1"/>
    <col min="15" max="15" width="10.125" style="30" customWidth="1"/>
    <col min="16" max="27" width="10.25" style="30" bestFit="1" customWidth="1"/>
    <col min="28" max="16384" width="9" style="30"/>
  </cols>
  <sheetData>
    <row r="1" spans="1:27" s="23" customFormat="1" ht="33.75">
      <c r="A1" s="19"/>
      <c r="B1" s="20" t="s">
        <v>0</v>
      </c>
      <c r="C1" s="19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/>
      <c r="K1" s="21" t="s">
        <v>8</v>
      </c>
      <c r="L1" s="21" t="s">
        <v>9</v>
      </c>
      <c r="M1" s="21" t="s">
        <v>10</v>
      </c>
      <c r="N1" s="21" t="s">
        <v>11</v>
      </c>
      <c r="O1" s="21"/>
      <c r="P1" s="21">
        <v>1</v>
      </c>
      <c r="Q1" s="21">
        <v>2</v>
      </c>
      <c r="R1" s="21">
        <v>3</v>
      </c>
      <c r="S1" s="21">
        <v>4</v>
      </c>
      <c r="T1" s="21">
        <v>5</v>
      </c>
      <c r="U1" s="21">
        <v>6</v>
      </c>
      <c r="V1" s="21">
        <v>7</v>
      </c>
      <c r="W1" s="21">
        <v>8</v>
      </c>
      <c r="X1" s="21">
        <v>9</v>
      </c>
      <c r="Y1" s="21">
        <v>10</v>
      </c>
      <c r="Z1" s="21">
        <v>11</v>
      </c>
      <c r="AA1" s="22">
        <v>12</v>
      </c>
    </row>
    <row r="2" spans="1:27" ht="28.5" customHeight="1">
      <c r="A2" s="24" t="s">
        <v>12</v>
      </c>
      <c r="B2" s="25" t="s">
        <v>13</v>
      </c>
      <c r="C2" s="24" t="s">
        <v>14</v>
      </c>
      <c r="D2" s="26">
        <v>6.4000000000000003E-3</v>
      </c>
      <c r="E2" s="26">
        <v>6.7999999999999996E-3</v>
      </c>
      <c r="F2" s="27">
        <v>2.2000000000000001E-3</v>
      </c>
      <c r="G2" s="27">
        <v>1E-3</v>
      </c>
      <c r="H2" s="27">
        <v>2.2000000000000001E-3</v>
      </c>
      <c r="I2" s="27">
        <f>AVERAGE(P31:AA31)/I23</f>
        <v>2.5089605734767025E-3</v>
      </c>
      <c r="J2" s="27"/>
      <c r="K2" s="27">
        <f>K31/K23</f>
        <v>6.5061808718282373E-4</v>
      </c>
      <c r="L2" s="27">
        <f>L31/L23</f>
        <v>5.7803468208092489E-4</v>
      </c>
      <c r="M2" s="27" t="e">
        <f>M31/M23</f>
        <v>#VALUE!</v>
      </c>
      <c r="N2" s="27">
        <f>N31/N23</f>
        <v>9.1116173120728925E-3</v>
      </c>
      <c r="O2" s="28"/>
      <c r="P2" s="27">
        <f>P31/P23</f>
        <v>0</v>
      </c>
      <c r="Q2" s="27">
        <f t="shared" ref="Q2:AA2" si="0">Q31/Q23</f>
        <v>0</v>
      </c>
      <c r="R2" s="27">
        <f t="shared" si="0"/>
        <v>1.8315018315018315E-3</v>
      </c>
      <c r="S2" s="27">
        <f t="shared" si="0"/>
        <v>0</v>
      </c>
      <c r="T2" s="27">
        <f t="shared" si="0"/>
        <v>0</v>
      </c>
      <c r="U2" s="27">
        <f t="shared" si="0"/>
        <v>1.7605633802816902E-3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6.7720090293453723E-3</v>
      </c>
      <c r="AA2" s="29">
        <f t="shared" si="0"/>
        <v>2.1028037383177569E-2</v>
      </c>
    </row>
    <row r="3" spans="1:27" ht="28.5" customHeight="1">
      <c r="A3" s="24" t="s">
        <v>15</v>
      </c>
      <c r="B3" s="25" t="s">
        <v>16</v>
      </c>
      <c r="C3" s="24" t="s">
        <v>17</v>
      </c>
      <c r="D3" s="26">
        <v>1.5E-3</v>
      </c>
      <c r="E3" s="26">
        <v>1.6999999999999999E-3</v>
      </c>
      <c r="F3" s="27">
        <v>1.2999999999999999E-3</v>
      </c>
      <c r="G3" s="27">
        <v>6.9999999999999999E-4</v>
      </c>
      <c r="H3" s="27">
        <v>6.9999999999999999E-4</v>
      </c>
      <c r="I3" s="27">
        <f>AVERAGE(P51:AA51)/I41</f>
        <v>1.4334862385321102E-3</v>
      </c>
      <c r="J3" s="27"/>
      <c r="K3" s="27">
        <f>K51/K41</f>
        <v>7.7399380804953565E-4</v>
      </c>
      <c r="L3" s="27">
        <f>L51/L41</f>
        <v>2.3890784982935152E-3</v>
      </c>
      <c r="M3" s="27">
        <f>M51/M41</f>
        <v>7.6045627376425851E-4</v>
      </c>
      <c r="N3" s="27">
        <f>N51/N41</f>
        <v>1.7241379310344827E-3</v>
      </c>
      <c r="O3" s="28"/>
      <c r="P3" s="27">
        <f>P51/P41</f>
        <v>0</v>
      </c>
      <c r="Q3" s="27">
        <f t="shared" ref="Q3:AA3" si="1">Q51/Q41</f>
        <v>2.6075619295958278E-3</v>
      </c>
      <c r="R3" s="27">
        <f t="shared" si="1"/>
        <v>0</v>
      </c>
      <c r="S3" s="27">
        <f t="shared" si="1"/>
        <v>3.3333333333333335E-3</v>
      </c>
      <c r="T3" s="27">
        <f t="shared" si="1"/>
        <v>9.3370681605975728E-4</v>
      </c>
      <c r="U3" s="27">
        <f t="shared" si="1"/>
        <v>3.1282586027111575E-3</v>
      </c>
      <c r="V3" s="27">
        <f t="shared" si="1"/>
        <v>0</v>
      </c>
      <c r="W3" s="27">
        <f t="shared" si="1"/>
        <v>1.1904761904761906E-3</v>
      </c>
      <c r="X3" s="27">
        <f t="shared" si="1"/>
        <v>1.1627906976744186E-3</v>
      </c>
      <c r="Y3" s="27">
        <f t="shared" si="1"/>
        <v>1.2594458438287153E-3</v>
      </c>
      <c r="Z3" s="27">
        <f t="shared" si="1"/>
        <v>1.2690355329949238E-3</v>
      </c>
      <c r="AA3" s="29">
        <f t="shared" si="1"/>
        <v>2.7100271002710027E-3</v>
      </c>
    </row>
    <row r="4" spans="1:27" ht="28.5" customHeight="1">
      <c r="A4" s="31" t="s">
        <v>18</v>
      </c>
      <c r="B4" s="32" t="s">
        <v>19</v>
      </c>
      <c r="C4" s="31" t="s">
        <v>14</v>
      </c>
      <c r="D4" s="33">
        <v>4.4000000000000003E-3</v>
      </c>
      <c r="E4" s="33">
        <v>5.4000000000000003E-3</v>
      </c>
      <c r="F4" s="34">
        <v>1.1999999999999999E-3</v>
      </c>
      <c r="G4" s="34">
        <v>2.9999999999999997E-4</v>
      </c>
      <c r="H4" s="34">
        <v>2.0000000000000001E-4</v>
      </c>
      <c r="I4" s="27">
        <f>AVERAGE(P71:AA71)/I71</f>
        <v>8.3333333333333329E-2</v>
      </c>
      <c r="J4" s="34"/>
      <c r="K4" s="34">
        <f>K71/K61</f>
        <v>0</v>
      </c>
      <c r="L4" s="34">
        <f>L71/L61</f>
        <v>0</v>
      </c>
      <c r="M4" s="34">
        <f>M71/M61</f>
        <v>0</v>
      </c>
      <c r="N4" s="34">
        <f>N71/N61</f>
        <v>1.0552233556102709E-3</v>
      </c>
      <c r="O4" s="35"/>
      <c r="P4" s="34">
        <f>P71/P61</f>
        <v>0</v>
      </c>
      <c r="Q4" s="34">
        <f t="shared" ref="Q4:AA4" si="2">Q71/Q61</f>
        <v>0</v>
      </c>
      <c r="R4" s="34">
        <f t="shared" si="2"/>
        <v>0</v>
      </c>
      <c r="S4" s="34">
        <f t="shared" si="2"/>
        <v>0</v>
      </c>
      <c r="T4" s="34">
        <f t="shared" si="2"/>
        <v>0</v>
      </c>
      <c r="U4" s="34">
        <f t="shared" si="2"/>
        <v>0</v>
      </c>
      <c r="V4" s="34">
        <f t="shared" si="2"/>
        <v>0</v>
      </c>
      <c r="W4" s="34">
        <f t="shared" si="2"/>
        <v>0</v>
      </c>
      <c r="X4" s="34">
        <f t="shared" si="2"/>
        <v>0</v>
      </c>
      <c r="Y4" s="34">
        <f t="shared" si="2"/>
        <v>0</v>
      </c>
      <c r="Z4" s="34">
        <f t="shared" si="2"/>
        <v>1.9920318725099601E-3</v>
      </c>
      <c r="AA4" s="36">
        <f t="shared" si="2"/>
        <v>1.0498687664041995E-3</v>
      </c>
    </row>
    <row r="5" spans="1:27">
      <c r="A5" s="37"/>
      <c r="C5" s="38"/>
      <c r="D5" s="39"/>
      <c r="E5" s="39"/>
      <c r="F5" s="40"/>
      <c r="G5" s="40"/>
      <c r="H5" s="40"/>
      <c r="I5" s="40"/>
      <c r="J5" s="40"/>
      <c r="K5" s="40"/>
      <c r="L5" s="40"/>
      <c r="M5" s="40"/>
      <c r="N5" s="40"/>
      <c r="O5" s="41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2"/>
    </row>
    <row r="6" spans="1:27" ht="33.75">
      <c r="A6" s="19"/>
      <c r="B6" s="21" t="s">
        <v>0</v>
      </c>
      <c r="C6" s="21" t="s">
        <v>20</v>
      </c>
      <c r="D6" s="21" t="s">
        <v>21</v>
      </c>
      <c r="E6" s="21" t="s">
        <v>22</v>
      </c>
      <c r="F6" s="21" t="s">
        <v>23</v>
      </c>
      <c r="G6" s="21" t="s">
        <v>24</v>
      </c>
      <c r="H6" s="21" t="s">
        <v>25</v>
      </c>
      <c r="I6" s="21" t="s">
        <v>26</v>
      </c>
      <c r="J6" s="21"/>
      <c r="K6" s="21" t="s">
        <v>8</v>
      </c>
      <c r="L6" s="21" t="s">
        <v>9</v>
      </c>
      <c r="M6" s="21" t="s">
        <v>10</v>
      </c>
      <c r="N6" s="21" t="s">
        <v>11</v>
      </c>
      <c r="O6" s="21"/>
      <c r="P6" s="21">
        <v>1</v>
      </c>
      <c r="Q6" s="21">
        <v>2</v>
      </c>
      <c r="R6" s="21">
        <v>3</v>
      </c>
      <c r="S6" s="21">
        <v>4</v>
      </c>
      <c r="T6" s="21">
        <v>5</v>
      </c>
      <c r="U6" s="21">
        <v>6</v>
      </c>
      <c r="V6" s="21">
        <v>7</v>
      </c>
      <c r="W6" s="21">
        <v>8</v>
      </c>
      <c r="X6" s="21">
        <v>9</v>
      </c>
      <c r="Y6" s="21">
        <v>10</v>
      </c>
      <c r="Z6" s="21">
        <v>11</v>
      </c>
      <c r="AA6" s="22">
        <v>12</v>
      </c>
    </row>
    <row r="7" spans="1:27" ht="25.5" customHeight="1">
      <c r="A7" s="24" t="s">
        <v>12</v>
      </c>
      <c r="B7" s="25" t="s">
        <v>13</v>
      </c>
      <c r="C7" s="28" t="s">
        <v>14</v>
      </c>
      <c r="D7" s="26">
        <f>D2</f>
        <v>6.4000000000000003E-3</v>
      </c>
      <c r="E7" s="26">
        <v>6.7999999999999996E-3</v>
      </c>
      <c r="F7" s="27">
        <v>2.2000000000000001E-3</v>
      </c>
      <c r="G7" s="27">
        <v>1E-3</v>
      </c>
      <c r="H7" s="27">
        <v>2.2000000000000001E-3</v>
      </c>
      <c r="I7" s="27">
        <f>I2</f>
        <v>2.5089605734767025E-3</v>
      </c>
      <c r="J7" s="27"/>
      <c r="K7" s="27">
        <f>K2</f>
        <v>6.5061808718282373E-4</v>
      </c>
      <c r="L7" s="27">
        <f>L2</f>
        <v>5.7803468208092489E-4</v>
      </c>
      <c r="M7" s="27" t="e">
        <f>M2</f>
        <v>#VALUE!</v>
      </c>
      <c r="N7" s="27">
        <f>N2</f>
        <v>9.1116173120728925E-3</v>
      </c>
      <c r="O7" s="28"/>
      <c r="P7" s="27">
        <f t="shared" ref="P7:AA7" si="3">P2</f>
        <v>0</v>
      </c>
      <c r="Q7" s="27">
        <f t="shared" si="3"/>
        <v>0</v>
      </c>
      <c r="R7" s="27">
        <f t="shared" si="3"/>
        <v>1.8315018315018315E-3</v>
      </c>
      <c r="S7" s="27">
        <f t="shared" si="3"/>
        <v>0</v>
      </c>
      <c r="T7" s="27">
        <f t="shared" si="3"/>
        <v>0</v>
      </c>
      <c r="U7" s="27">
        <f t="shared" si="3"/>
        <v>1.7605633802816902E-3</v>
      </c>
      <c r="V7" s="27">
        <f t="shared" si="3"/>
        <v>0</v>
      </c>
      <c r="W7" s="27">
        <f t="shared" si="3"/>
        <v>0</v>
      </c>
      <c r="X7" s="27">
        <f t="shared" si="3"/>
        <v>0</v>
      </c>
      <c r="Y7" s="27">
        <f t="shared" si="3"/>
        <v>0</v>
      </c>
      <c r="Z7" s="27">
        <f t="shared" si="3"/>
        <v>6.7720090293453723E-3</v>
      </c>
      <c r="AA7" s="29">
        <f t="shared" si="3"/>
        <v>2.1028037383177569E-2</v>
      </c>
    </row>
    <row r="8" spans="1:27" ht="25.5" customHeight="1">
      <c r="A8" s="31" t="s">
        <v>27</v>
      </c>
      <c r="B8" s="35"/>
      <c r="C8" s="35"/>
      <c r="D8" s="35">
        <f>D31</f>
        <v>41</v>
      </c>
      <c r="E8" s="35">
        <v>41</v>
      </c>
      <c r="F8" s="35">
        <v>15</v>
      </c>
      <c r="G8" s="35">
        <v>7</v>
      </c>
      <c r="H8" s="35">
        <v>12</v>
      </c>
      <c r="I8" s="35">
        <f>I31</f>
        <v>12</v>
      </c>
      <c r="J8" s="35"/>
      <c r="K8" s="35">
        <f>K31</f>
        <v>1</v>
      </c>
      <c r="L8" s="35">
        <f>L31</f>
        <v>1</v>
      </c>
      <c r="M8" s="35" t="str">
        <f>M31</f>
        <v/>
      </c>
      <c r="N8" s="35">
        <f>N31</f>
        <v>12</v>
      </c>
      <c r="O8" s="35"/>
      <c r="P8" s="35">
        <f t="shared" ref="P8:AA8" si="4">P31</f>
        <v>0</v>
      </c>
      <c r="Q8" s="35">
        <f>Q31</f>
        <v>0</v>
      </c>
      <c r="R8" s="35">
        <f t="shared" si="4"/>
        <v>1</v>
      </c>
      <c r="S8" s="35">
        <f t="shared" si="4"/>
        <v>0</v>
      </c>
      <c r="T8" s="35">
        <f t="shared" si="4"/>
        <v>0</v>
      </c>
      <c r="U8" s="35">
        <f t="shared" si="4"/>
        <v>1</v>
      </c>
      <c r="V8" s="35">
        <f t="shared" si="4"/>
        <v>0</v>
      </c>
      <c r="W8" s="35">
        <f t="shared" si="4"/>
        <v>0</v>
      </c>
      <c r="X8" s="35">
        <f t="shared" si="4"/>
        <v>0</v>
      </c>
      <c r="Y8" s="35">
        <f t="shared" si="4"/>
        <v>0</v>
      </c>
      <c r="Z8" s="35">
        <f t="shared" si="4"/>
        <v>3</v>
      </c>
      <c r="AA8" s="43">
        <f t="shared" si="4"/>
        <v>9</v>
      </c>
    </row>
    <row r="9" spans="1:27" ht="25.5" customHeight="1">
      <c r="A9" s="24" t="s">
        <v>15</v>
      </c>
      <c r="B9" s="25" t="s">
        <v>16</v>
      </c>
      <c r="C9" s="28" t="s">
        <v>17</v>
      </c>
      <c r="D9" s="26">
        <f>D3</f>
        <v>1.5E-3</v>
      </c>
      <c r="E9" s="26">
        <v>1.6999999999999999E-3</v>
      </c>
      <c r="F9" s="26">
        <v>1.2999999999999999E-3</v>
      </c>
      <c r="G9" s="26">
        <v>6.9999999999999999E-4</v>
      </c>
      <c r="H9" s="26">
        <v>6.9999999999999999E-4</v>
      </c>
      <c r="I9" s="26">
        <f>I3</f>
        <v>1.4334862385321102E-3</v>
      </c>
      <c r="J9" s="26"/>
      <c r="K9" s="26">
        <f t="shared" ref="K9:AA9" si="5">K3</f>
        <v>7.7399380804953565E-4</v>
      </c>
      <c r="L9" s="26">
        <f t="shared" si="5"/>
        <v>2.3890784982935152E-3</v>
      </c>
      <c r="M9" s="26">
        <f t="shared" si="5"/>
        <v>7.6045627376425851E-4</v>
      </c>
      <c r="N9" s="26">
        <f t="shared" si="5"/>
        <v>1.7241379310344827E-3</v>
      </c>
      <c r="O9" s="26"/>
      <c r="P9" s="26">
        <f t="shared" si="5"/>
        <v>0</v>
      </c>
      <c r="Q9" s="26">
        <f t="shared" si="5"/>
        <v>2.6075619295958278E-3</v>
      </c>
      <c r="R9" s="26">
        <f t="shared" si="5"/>
        <v>0</v>
      </c>
      <c r="S9" s="26">
        <f t="shared" si="5"/>
        <v>3.3333333333333335E-3</v>
      </c>
      <c r="T9" s="26">
        <f t="shared" si="5"/>
        <v>9.3370681605975728E-4</v>
      </c>
      <c r="U9" s="26">
        <f t="shared" si="5"/>
        <v>3.1282586027111575E-3</v>
      </c>
      <c r="V9" s="26">
        <f t="shared" si="5"/>
        <v>0</v>
      </c>
      <c r="W9" s="26">
        <f t="shared" si="5"/>
        <v>1.1904761904761906E-3</v>
      </c>
      <c r="X9" s="26">
        <f t="shared" si="5"/>
        <v>1.1627906976744186E-3</v>
      </c>
      <c r="Y9" s="26">
        <f t="shared" si="5"/>
        <v>1.2594458438287153E-3</v>
      </c>
      <c r="Z9" s="26">
        <f t="shared" si="5"/>
        <v>1.2690355329949238E-3</v>
      </c>
      <c r="AA9" s="26">
        <f t="shared" si="5"/>
        <v>2.7100271002710027E-3</v>
      </c>
    </row>
    <row r="10" spans="1:27" ht="25.5" customHeight="1">
      <c r="A10" s="31" t="s">
        <v>28</v>
      </c>
      <c r="B10" s="35"/>
      <c r="C10" s="35"/>
      <c r="D10" s="35">
        <f>D51</f>
        <v>15</v>
      </c>
      <c r="E10" s="35">
        <v>17</v>
      </c>
      <c r="F10" s="35">
        <v>15</v>
      </c>
      <c r="G10" s="35">
        <v>8</v>
      </c>
      <c r="H10" s="35">
        <v>7</v>
      </c>
      <c r="I10" s="35">
        <f>I51</f>
        <v>15</v>
      </c>
      <c r="J10" s="35"/>
      <c r="K10" s="35">
        <f t="shared" ref="K10:AA10" si="6">K51</f>
        <v>2</v>
      </c>
      <c r="L10" s="35">
        <f t="shared" si="6"/>
        <v>7</v>
      </c>
      <c r="M10" s="35">
        <f t="shared" si="6"/>
        <v>2</v>
      </c>
      <c r="N10" s="35">
        <f t="shared" si="6"/>
        <v>4</v>
      </c>
      <c r="O10" s="35"/>
      <c r="P10" s="35"/>
      <c r="Q10" s="35">
        <f t="shared" si="6"/>
        <v>2</v>
      </c>
      <c r="R10" s="35">
        <f t="shared" si="6"/>
        <v>0</v>
      </c>
      <c r="S10" s="35">
        <f t="shared" si="6"/>
        <v>3</v>
      </c>
      <c r="T10" s="35">
        <f t="shared" si="6"/>
        <v>1</v>
      </c>
      <c r="U10" s="35">
        <f t="shared" si="6"/>
        <v>3</v>
      </c>
      <c r="V10" s="35">
        <f t="shared" si="6"/>
        <v>0</v>
      </c>
      <c r="W10" s="35">
        <f t="shared" si="6"/>
        <v>1</v>
      </c>
      <c r="X10" s="35">
        <f t="shared" si="6"/>
        <v>1</v>
      </c>
      <c r="Y10" s="35">
        <f t="shared" si="6"/>
        <v>1</v>
      </c>
      <c r="Z10" s="35">
        <f t="shared" si="6"/>
        <v>1</v>
      </c>
      <c r="AA10" s="35">
        <f t="shared" si="6"/>
        <v>2</v>
      </c>
    </row>
    <row r="11" spans="1:27" ht="25.5" customHeight="1">
      <c r="A11" s="24" t="s">
        <v>18</v>
      </c>
      <c r="B11" s="28" t="s">
        <v>19</v>
      </c>
      <c r="C11" s="28" t="s">
        <v>14</v>
      </c>
      <c r="D11" s="26">
        <f>D4</f>
        <v>4.4000000000000003E-3</v>
      </c>
      <c r="E11" s="26">
        <v>5.4000000000000003E-3</v>
      </c>
      <c r="F11" s="26">
        <v>1.1999999999999999E-3</v>
      </c>
      <c r="G11" s="26">
        <v>2.9999999999999997E-4</v>
      </c>
      <c r="H11" s="26">
        <v>2.0000000000000001E-4</v>
      </c>
      <c r="I11" s="26">
        <f>I4</f>
        <v>8.3333333333333329E-2</v>
      </c>
      <c r="J11" s="26"/>
      <c r="K11" s="26">
        <f t="shared" ref="K11:AA11" si="7">K4</f>
        <v>0</v>
      </c>
      <c r="L11" s="26">
        <f t="shared" si="7"/>
        <v>0</v>
      </c>
      <c r="M11" s="26">
        <f t="shared" si="7"/>
        <v>0</v>
      </c>
      <c r="N11" s="26">
        <f t="shared" si="7"/>
        <v>1.0552233556102709E-3</v>
      </c>
      <c r="O11" s="26"/>
      <c r="P11" s="26">
        <f t="shared" si="7"/>
        <v>0</v>
      </c>
      <c r="Q11" s="26">
        <f t="shared" si="7"/>
        <v>0</v>
      </c>
      <c r="R11" s="26">
        <f t="shared" si="7"/>
        <v>0</v>
      </c>
      <c r="S11" s="26">
        <f t="shared" si="7"/>
        <v>0</v>
      </c>
      <c r="T11" s="26">
        <f t="shared" si="7"/>
        <v>0</v>
      </c>
      <c r="U11" s="26">
        <f t="shared" si="7"/>
        <v>0</v>
      </c>
      <c r="V11" s="26">
        <f t="shared" si="7"/>
        <v>0</v>
      </c>
      <c r="W11" s="26">
        <f t="shared" si="7"/>
        <v>0</v>
      </c>
      <c r="X11" s="26">
        <f t="shared" si="7"/>
        <v>0</v>
      </c>
      <c r="Y11" s="26">
        <f t="shared" si="7"/>
        <v>0</v>
      </c>
      <c r="Z11" s="26">
        <f t="shared" si="7"/>
        <v>1.9920318725099601E-3</v>
      </c>
      <c r="AA11" s="26">
        <f t="shared" si="7"/>
        <v>1.0498687664041995E-3</v>
      </c>
    </row>
    <row r="12" spans="1:27" ht="25.5" customHeight="1">
      <c r="A12" s="31" t="s">
        <v>29</v>
      </c>
      <c r="B12" s="35"/>
      <c r="C12" s="35"/>
      <c r="D12" s="35">
        <f>D71</f>
        <v>26</v>
      </c>
      <c r="E12" s="35">
        <v>32</v>
      </c>
      <c r="F12" s="35">
        <v>9</v>
      </c>
      <c r="G12" s="35">
        <v>2</v>
      </c>
      <c r="H12" s="35">
        <v>1</v>
      </c>
      <c r="I12" s="35">
        <f>I71</f>
        <v>3</v>
      </c>
      <c r="J12" s="35"/>
      <c r="K12" s="35">
        <f t="shared" ref="K12:AA12" si="8">K71</f>
        <v>0</v>
      </c>
      <c r="L12" s="35">
        <f t="shared" si="8"/>
        <v>0</v>
      </c>
      <c r="M12" s="35">
        <f t="shared" si="8"/>
        <v>0</v>
      </c>
      <c r="N12" s="35">
        <f t="shared" si="8"/>
        <v>3</v>
      </c>
      <c r="O12" s="35"/>
      <c r="P12" s="35">
        <f t="shared" si="8"/>
        <v>0</v>
      </c>
      <c r="Q12" s="35">
        <f t="shared" si="8"/>
        <v>0</v>
      </c>
      <c r="R12" s="35">
        <f t="shared" si="8"/>
        <v>0</v>
      </c>
      <c r="S12" s="35">
        <f t="shared" si="8"/>
        <v>0</v>
      </c>
      <c r="T12" s="35">
        <f t="shared" si="8"/>
        <v>0</v>
      </c>
      <c r="U12" s="35">
        <f t="shared" si="8"/>
        <v>0</v>
      </c>
      <c r="V12" s="35">
        <f t="shared" si="8"/>
        <v>0</v>
      </c>
      <c r="W12" s="35">
        <f t="shared" si="8"/>
        <v>0</v>
      </c>
      <c r="X12" s="35">
        <f t="shared" si="8"/>
        <v>0</v>
      </c>
      <c r="Y12" s="35">
        <f t="shared" si="8"/>
        <v>0</v>
      </c>
      <c r="Z12" s="35">
        <f t="shared" si="8"/>
        <v>1</v>
      </c>
      <c r="AA12" s="35">
        <f t="shared" si="8"/>
        <v>2</v>
      </c>
    </row>
    <row r="13" spans="1:27">
      <c r="A13" s="37"/>
      <c r="C13" s="38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1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2"/>
    </row>
    <row r="14" spans="1:27">
      <c r="A14" s="37"/>
      <c r="C14" s="38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1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2"/>
    </row>
    <row r="15" spans="1:27">
      <c r="A15" s="37"/>
      <c r="B15" s="38"/>
      <c r="C15" s="41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1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2"/>
    </row>
    <row r="16" spans="1:27">
      <c r="A16" s="37"/>
      <c r="B16" s="38"/>
      <c r="C16" s="41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1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2"/>
    </row>
    <row r="17" spans="1:27" s="23" customFormat="1" ht="37.5" customHeight="1">
      <c r="A17" s="44"/>
      <c r="B17" s="45" t="s">
        <v>30</v>
      </c>
      <c r="C17" s="45"/>
      <c r="D17" s="45" t="s">
        <v>31</v>
      </c>
      <c r="E17" s="45" t="s">
        <v>32</v>
      </c>
      <c r="F17" s="45" t="s">
        <v>33</v>
      </c>
      <c r="G17" s="45" t="s">
        <v>34</v>
      </c>
      <c r="H17" s="45" t="s">
        <v>35</v>
      </c>
      <c r="I17" s="45" t="s">
        <v>36</v>
      </c>
      <c r="J17" s="45"/>
      <c r="K17" s="45" t="s">
        <v>8</v>
      </c>
      <c r="L17" s="45" t="s">
        <v>9</v>
      </c>
      <c r="M17" s="45" t="s">
        <v>10</v>
      </c>
      <c r="N17" s="45" t="s">
        <v>11</v>
      </c>
      <c r="O17" s="45"/>
      <c r="P17" s="45">
        <v>1</v>
      </c>
      <c r="Q17" s="45">
        <v>2</v>
      </c>
      <c r="R17" s="45">
        <v>3</v>
      </c>
      <c r="S17" s="45">
        <v>4</v>
      </c>
      <c r="T17" s="45">
        <v>5</v>
      </c>
      <c r="U17" s="45">
        <v>6</v>
      </c>
      <c r="V17" s="45">
        <v>7</v>
      </c>
      <c r="W17" s="45">
        <v>8</v>
      </c>
      <c r="X17" s="45">
        <v>9</v>
      </c>
      <c r="Y17" s="45">
        <v>10</v>
      </c>
      <c r="Z17" s="45">
        <v>11</v>
      </c>
      <c r="AA17" s="46">
        <v>12</v>
      </c>
    </row>
    <row r="18" spans="1:27">
      <c r="A18" s="47" t="s">
        <v>37</v>
      </c>
      <c r="B18" s="28"/>
      <c r="C18" s="28"/>
      <c r="D18" s="28">
        <v>104</v>
      </c>
      <c r="E18" s="28">
        <v>106</v>
      </c>
      <c r="F18" s="48">
        <v>119</v>
      </c>
      <c r="G18" s="48">
        <v>117</v>
      </c>
      <c r="H18" s="48">
        <v>97</v>
      </c>
      <c r="I18" s="48">
        <v>97</v>
      </c>
      <c r="J18" s="48"/>
      <c r="K18" s="48">
        <f>IF(SUM(P18:R18)=0,"",SUM(P18:R18))</f>
        <v>313</v>
      </c>
      <c r="L18" s="48">
        <f>IF(SUM(S18:U18)=0,"",SUM(S18:U18))</f>
        <v>343</v>
      </c>
      <c r="M18" s="48">
        <f>IF(SUM(V18:X18)=0,"",SUM(V18:X18))</f>
        <v>308</v>
      </c>
      <c r="N18" s="48">
        <f>IF(SUM(Y18:AA18)=0,"",SUM(Y18:AA18))</f>
        <v>240</v>
      </c>
      <c r="O18" s="28"/>
      <c r="P18" s="15">
        <v>105</v>
      </c>
      <c r="Q18" s="15">
        <v>95</v>
      </c>
      <c r="R18" s="28">
        <v>113</v>
      </c>
      <c r="S18" s="28">
        <v>113</v>
      </c>
      <c r="T18" s="28">
        <v>113</v>
      </c>
      <c r="U18" s="28">
        <v>117</v>
      </c>
      <c r="V18" s="28">
        <v>102</v>
      </c>
      <c r="W18" s="28">
        <v>109</v>
      </c>
      <c r="X18" s="28">
        <v>97</v>
      </c>
      <c r="Y18" s="28">
        <v>95</v>
      </c>
      <c r="Z18" s="28">
        <v>85</v>
      </c>
      <c r="AA18" s="51">
        <v>60</v>
      </c>
    </row>
    <row r="19" spans="1:27">
      <c r="A19" s="47" t="s">
        <v>38</v>
      </c>
      <c r="B19" s="28"/>
      <c r="C19" s="28"/>
      <c r="D19" s="28">
        <v>112</v>
      </c>
      <c r="E19" s="28">
        <v>101</v>
      </c>
      <c r="F19" s="48">
        <v>119</v>
      </c>
      <c r="G19" s="48">
        <v>118</v>
      </c>
      <c r="H19" s="48">
        <v>103</v>
      </c>
      <c r="I19" s="48">
        <v>103</v>
      </c>
      <c r="J19" s="48"/>
      <c r="K19" s="48">
        <f>IF(SUM(P19:R19)=0,"",SUM(P19:R19))</f>
        <v>335</v>
      </c>
      <c r="L19" s="48">
        <f>IF(SUM(S19:U19)=0,"",SUM(S19:U19))</f>
        <v>359</v>
      </c>
      <c r="M19" s="48">
        <f>IF(SUM(V19:X19)=0,"",SUM(V19:X19))</f>
        <v>304</v>
      </c>
      <c r="N19" s="48">
        <f>IF(SUM(Y19:AA19)=0,"",SUM(Y19:AA19))</f>
        <v>278</v>
      </c>
      <c r="O19" s="28"/>
      <c r="P19" s="15">
        <v>112</v>
      </c>
      <c r="Q19" s="15">
        <v>105</v>
      </c>
      <c r="R19" s="28">
        <v>118</v>
      </c>
      <c r="S19" s="28">
        <v>119</v>
      </c>
      <c r="T19" s="28">
        <v>125</v>
      </c>
      <c r="U19" s="28">
        <v>115</v>
      </c>
      <c r="V19" s="28">
        <v>108</v>
      </c>
      <c r="W19" s="28">
        <v>94</v>
      </c>
      <c r="X19" s="28">
        <v>102</v>
      </c>
      <c r="Y19" s="28">
        <v>95</v>
      </c>
      <c r="Z19" s="28">
        <v>95</v>
      </c>
      <c r="AA19" s="51">
        <v>88</v>
      </c>
    </row>
    <row r="20" spans="1:27">
      <c r="A20" s="47" t="s">
        <v>39</v>
      </c>
      <c r="B20" s="28"/>
      <c r="C20" s="28"/>
      <c r="D20" s="28">
        <v>118</v>
      </c>
      <c r="E20" s="28">
        <v>111</v>
      </c>
      <c r="F20" s="48">
        <v>127</v>
      </c>
      <c r="G20" s="48">
        <v>127</v>
      </c>
      <c r="H20" s="48">
        <v>113</v>
      </c>
      <c r="I20" s="48">
        <v>113</v>
      </c>
      <c r="J20" s="48"/>
      <c r="K20" s="48">
        <f>IF(SUM(P20:R20)=0,"",SUM(P20:R20))</f>
        <v>339</v>
      </c>
      <c r="L20" s="48">
        <f>IF(SUM(S20:U20)=0,"",SUM(S20:U20))</f>
        <v>372</v>
      </c>
      <c r="M20" s="48">
        <f>IF(SUM(V20:X20)=0,"",SUM(V20:X20))</f>
        <v>337</v>
      </c>
      <c r="N20" s="48">
        <f>IF(SUM(Y20:AA20)=0,"",SUM(Y20:AA20))</f>
        <v>315</v>
      </c>
      <c r="O20" s="28" t="s">
        <v>40</v>
      </c>
      <c r="P20" s="15">
        <v>114</v>
      </c>
      <c r="Q20" s="15">
        <v>104</v>
      </c>
      <c r="R20" s="28">
        <v>121</v>
      </c>
      <c r="S20" s="28">
        <v>119</v>
      </c>
      <c r="T20" s="28">
        <v>132</v>
      </c>
      <c r="U20" s="28">
        <v>121</v>
      </c>
      <c r="V20" s="28">
        <v>117</v>
      </c>
      <c r="W20" s="28">
        <v>111</v>
      </c>
      <c r="X20" s="28">
        <v>109</v>
      </c>
      <c r="Y20" s="28">
        <v>105</v>
      </c>
      <c r="Z20" s="28">
        <v>100</v>
      </c>
      <c r="AA20" s="51">
        <v>110</v>
      </c>
    </row>
    <row r="21" spans="1:27">
      <c r="A21" s="47" t="s">
        <v>41</v>
      </c>
      <c r="B21" s="28"/>
      <c r="C21" s="28"/>
      <c r="D21" s="28">
        <v>120</v>
      </c>
      <c r="E21" s="28">
        <v>107</v>
      </c>
      <c r="F21" s="48">
        <v>122</v>
      </c>
      <c r="G21" s="48">
        <v>119</v>
      </c>
      <c r="H21" s="48">
        <v>104</v>
      </c>
      <c r="I21" s="48">
        <v>104</v>
      </c>
      <c r="J21" s="48"/>
      <c r="K21" s="48">
        <f>IF(SUM(P21:R21)=0,"",SUM(P21:R21))</f>
        <v>326</v>
      </c>
      <c r="L21" s="48">
        <f>IF(SUM(S21:U21)=0,"",SUM(S21:U21))</f>
        <v>368</v>
      </c>
      <c r="M21" s="48">
        <f>IF(SUM(V21:X21)=0,"",SUM(V21:X21))</f>
        <v>321</v>
      </c>
      <c r="N21" s="48">
        <f>IF(SUM(Y21:AA21)=0,"",SUM(Y21:AA21))</f>
        <v>317</v>
      </c>
      <c r="O21" s="28"/>
      <c r="P21" s="15">
        <v>103</v>
      </c>
      <c r="Q21" s="15">
        <v>102</v>
      </c>
      <c r="R21" s="28">
        <v>121</v>
      </c>
      <c r="S21" s="28">
        <v>115</v>
      </c>
      <c r="T21" s="28">
        <v>130</v>
      </c>
      <c r="U21" s="28">
        <v>123</v>
      </c>
      <c r="V21" s="28">
        <v>109</v>
      </c>
      <c r="W21" s="28">
        <v>110</v>
      </c>
      <c r="X21" s="28">
        <v>102</v>
      </c>
      <c r="Y21" s="28">
        <v>105</v>
      </c>
      <c r="Z21" s="28">
        <v>110</v>
      </c>
      <c r="AA21" s="51">
        <v>102</v>
      </c>
    </row>
    <row r="22" spans="1:27">
      <c r="A22" s="47" t="s">
        <v>42</v>
      </c>
      <c r="B22" s="28"/>
      <c r="C22" s="28"/>
      <c r="D22" s="28">
        <v>84</v>
      </c>
      <c r="E22" s="28">
        <v>78</v>
      </c>
      <c r="F22" s="48">
        <v>87</v>
      </c>
      <c r="G22" s="48">
        <v>93</v>
      </c>
      <c r="H22" s="48">
        <v>49</v>
      </c>
      <c r="I22" s="48">
        <v>49</v>
      </c>
      <c r="J22" s="48"/>
      <c r="K22" s="48">
        <f>IF(SUM(P22:R22)=0,"",SUM(P22:R22))</f>
        <v>224</v>
      </c>
      <c r="L22" s="48">
        <f>IF(SUM(S22:U22)=0,"",SUM(S22:U22))</f>
        <v>288</v>
      </c>
      <c r="M22" s="48">
        <f>IF(SUM(V22:X22)=0,"",SUM(V22:X22))</f>
        <v>184</v>
      </c>
      <c r="N22" s="48">
        <f>IF(SUM(Y22:AA22)=0,"",SUM(Y22:AA22))</f>
        <v>167</v>
      </c>
      <c r="O22" s="28"/>
      <c r="P22" s="15">
        <v>67</v>
      </c>
      <c r="Q22" s="15">
        <v>84</v>
      </c>
      <c r="R22" s="28">
        <v>73</v>
      </c>
      <c r="S22" s="28">
        <v>92</v>
      </c>
      <c r="T22" s="28">
        <v>104</v>
      </c>
      <c r="U22" s="28">
        <v>92</v>
      </c>
      <c r="V22" s="28">
        <v>74</v>
      </c>
      <c r="W22" s="28">
        <v>59</v>
      </c>
      <c r="X22" s="28">
        <v>51</v>
      </c>
      <c r="Y22" s="28">
        <v>46</v>
      </c>
      <c r="Z22" s="28">
        <v>53</v>
      </c>
      <c r="AA22" s="51">
        <v>68</v>
      </c>
    </row>
    <row r="23" spans="1:27">
      <c r="A23" s="47" t="s">
        <v>43</v>
      </c>
      <c r="B23" s="17"/>
      <c r="C23" s="17"/>
      <c r="D23" s="17">
        <v>530</v>
      </c>
      <c r="E23" s="17">
        <v>501</v>
      </c>
      <c r="F23" s="49">
        <v>575</v>
      </c>
      <c r="G23" s="49">
        <v>573</v>
      </c>
      <c r="H23" s="49">
        <v>465</v>
      </c>
      <c r="I23" s="49">
        <v>465</v>
      </c>
      <c r="J23" s="49"/>
      <c r="K23" s="49">
        <f>IF(SUM(K18:K22)=0,"",SUM(K18:K22))</f>
        <v>1537</v>
      </c>
      <c r="L23" s="49">
        <f>IF(SUM(L18:L22)=0,"",SUM(L18:L22))</f>
        <v>1730</v>
      </c>
      <c r="M23" s="49">
        <f>IF(SUM(M18:M22)=0,"",SUM(M18:M22))</f>
        <v>1454</v>
      </c>
      <c r="N23" s="49">
        <f>IF(SUM(N18:N22)=0,"",SUM(N18:N22))</f>
        <v>1317</v>
      </c>
      <c r="O23" s="17"/>
      <c r="P23" s="17">
        <f>IF(SUM(P18:P22)=0,"",SUM(P18:P22))</f>
        <v>501</v>
      </c>
      <c r="Q23" s="17">
        <f>IF(SUM(Q18:Q22)=0,"",SUM(Q18:Q22))</f>
        <v>490</v>
      </c>
      <c r="R23" s="17">
        <f t="shared" ref="R23:AA23" si="9">IF(SUM(R18:R22)=0,"",SUM(R18:R22))</f>
        <v>546</v>
      </c>
      <c r="S23" s="17">
        <f t="shared" si="9"/>
        <v>558</v>
      </c>
      <c r="T23" s="17">
        <f t="shared" si="9"/>
        <v>604</v>
      </c>
      <c r="U23" s="17">
        <f t="shared" si="9"/>
        <v>568</v>
      </c>
      <c r="V23" s="17">
        <f t="shared" si="9"/>
        <v>510</v>
      </c>
      <c r="W23" s="17">
        <f>IF(SUM(W18:W22)=0,"",SUM(W18:W22))</f>
        <v>483</v>
      </c>
      <c r="X23" s="17">
        <f>IF(SUM(X18:X22)=0,"",SUM(X18:X22))</f>
        <v>461</v>
      </c>
      <c r="Y23" s="17">
        <f t="shared" si="9"/>
        <v>446</v>
      </c>
      <c r="Z23" s="17">
        <f t="shared" si="9"/>
        <v>443</v>
      </c>
      <c r="AA23" s="50">
        <f t="shared" si="9"/>
        <v>428</v>
      </c>
    </row>
    <row r="24" spans="1:2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51"/>
    </row>
    <row r="25" spans="1:27" s="23" customFormat="1" ht="36.75" customHeight="1">
      <c r="A25" s="52"/>
      <c r="B25" s="53" t="s">
        <v>44</v>
      </c>
      <c r="C25" s="53"/>
      <c r="D25" s="53" t="s">
        <v>45</v>
      </c>
      <c r="E25" s="53" t="s">
        <v>46</v>
      </c>
      <c r="F25" s="53" t="s">
        <v>47</v>
      </c>
      <c r="G25" s="53" t="s">
        <v>48</v>
      </c>
      <c r="H25" s="53" t="s">
        <v>49</v>
      </c>
      <c r="I25" s="53" t="s">
        <v>50</v>
      </c>
      <c r="J25" s="53"/>
      <c r="K25" s="53" t="s">
        <v>8</v>
      </c>
      <c r="L25" s="53" t="s">
        <v>9</v>
      </c>
      <c r="M25" s="53" t="s">
        <v>10</v>
      </c>
      <c r="N25" s="53" t="s">
        <v>11</v>
      </c>
      <c r="O25" s="53"/>
      <c r="P25" s="53">
        <v>1</v>
      </c>
      <c r="Q25" s="53">
        <v>2</v>
      </c>
      <c r="R25" s="53">
        <v>3</v>
      </c>
      <c r="S25" s="53">
        <v>4</v>
      </c>
      <c r="T25" s="53">
        <v>5</v>
      </c>
      <c r="U25" s="53">
        <v>6</v>
      </c>
      <c r="V25" s="53">
        <v>7</v>
      </c>
      <c r="W25" s="53">
        <v>8</v>
      </c>
      <c r="X25" s="53">
        <v>9</v>
      </c>
      <c r="Y25" s="53">
        <v>10</v>
      </c>
      <c r="Z25" s="53">
        <v>11</v>
      </c>
      <c r="AA25" s="54">
        <v>12</v>
      </c>
    </row>
    <row r="26" spans="1:27">
      <c r="A26" s="47" t="s">
        <v>51</v>
      </c>
      <c r="B26" s="28"/>
      <c r="C26" s="28"/>
      <c r="D26" s="28">
        <v>20</v>
      </c>
      <c r="E26" s="28">
        <v>19</v>
      </c>
      <c r="F26" s="28">
        <v>4</v>
      </c>
      <c r="G26" s="28">
        <v>4</v>
      </c>
      <c r="H26" s="28">
        <v>2</v>
      </c>
      <c r="I26" s="28">
        <v>2</v>
      </c>
      <c r="J26" s="28"/>
      <c r="K26" s="48">
        <f>SUM(P26:R26)</f>
        <v>0</v>
      </c>
      <c r="L26" s="48">
        <f>SUM(S26:U26)</f>
        <v>0</v>
      </c>
      <c r="M26" s="48">
        <f>SUM(V26:X26)</f>
        <v>0</v>
      </c>
      <c r="N26" s="48">
        <f>IF(SUM(Y26:AA26)=0,"",SUM(Y26:AA26))</f>
        <v>8</v>
      </c>
      <c r="O26" s="28"/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2</v>
      </c>
      <c r="AA26" s="98">
        <v>6</v>
      </c>
    </row>
    <row r="27" spans="1:27">
      <c r="A27" s="47" t="s">
        <v>38</v>
      </c>
      <c r="B27" s="28"/>
      <c r="C27" s="28"/>
      <c r="D27" s="28">
        <v>6</v>
      </c>
      <c r="E27" s="28">
        <v>8</v>
      </c>
      <c r="F27" s="28">
        <v>2</v>
      </c>
      <c r="G27" s="28">
        <v>0</v>
      </c>
      <c r="H27" s="48">
        <v>2</v>
      </c>
      <c r="I27" s="48">
        <v>2</v>
      </c>
      <c r="J27" s="28"/>
      <c r="K27" s="48">
        <f>SUM(P27:R27)</f>
        <v>0</v>
      </c>
      <c r="L27" s="48">
        <f>SUM(S27:U27)</f>
        <v>0</v>
      </c>
      <c r="M27" s="48">
        <f>SUM(V27:X27)</f>
        <v>0</v>
      </c>
      <c r="N27" s="48">
        <f>IF(SUM(Y27:AA27)=0,"",SUM(Y27:AA27))</f>
        <v>2</v>
      </c>
      <c r="O27" s="28"/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98">
        <v>2</v>
      </c>
    </row>
    <row r="28" spans="1:27">
      <c r="A28" s="47" t="s">
        <v>39</v>
      </c>
      <c r="B28" s="28"/>
      <c r="C28" s="28"/>
      <c r="D28" s="28">
        <v>5</v>
      </c>
      <c r="E28" s="28">
        <v>4</v>
      </c>
      <c r="F28" s="28">
        <v>3</v>
      </c>
      <c r="G28" s="28">
        <v>0</v>
      </c>
      <c r="H28" s="48">
        <v>0</v>
      </c>
      <c r="I28" s="48">
        <v>0</v>
      </c>
      <c r="J28" s="28"/>
      <c r="K28" s="48">
        <f>SUM(P28:R28)</f>
        <v>0</v>
      </c>
      <c r="L28" s="48">
        <f>SUM(S28:U28)</f>
        <v>0</v>
      </c>
      <c r="M28" s="48">
        <f>SUM(V28:X28)</f>
        <v>0</v>
      </c>
      <c r="N28" s="48" t="str">
        <f>IF(SUM(Y28:AA28)=0,"",SUM(Y28:AA28))</f>
        <v/>
      </c>
      <c r="O28" s="28"/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98">
        <v>0</v>
      </c>
    </row>
    <row r="29" spans="1:27">
      <c r="A29" s="47" t="s">
        <v>41</v>
      </c>
      <c r="B29" s="28"/>
      <c r="C29" s="28"/>
      <c r="D29" s="28">
        <v>5</v>
      </c>
      <c r="E29" s="28">
        <v>5</v>
      </c>
      <c r="F29" s="28">
        <v>3</v>
      </c>
      <c r="G29" s="28">
        <v>2</v>
      </c>
      <c r="H29" s="28">
        <v>4</v>
      </c>
      <c r="I29" s="28">
        <v>4</v>
      </c>
      <c r="J29" s="28"/>
      <c r="K29" s="48">
        <f>SUM(P29:R29)</f>
        <v>0</v>
      </c>
      <c r="L29" s="48">
        <f>SUM(S29:U29)</f>
        <v>0</v>
      </c>
      <c r="M29" s="48">
        <f>SUM(V29:X29)</f>
        <v>0</v>
      </c>
      <c r="N29" s="48">
        <f>IF(SUM(Y29:AA29)=0,"",SUM(Y29:AA29))</f>
        <v>2</v>
      </c>
      <c r="O29" s="28"/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1</v>
      </c>
      <c r="AA29" s="98">
        <v>1</v>
      </c>
    </row>
    <row r="30" spans="1:27">
      <c r="A30" s="47" t="s">
        <v>42</v>
      </c>
      <c r="B30" s="28"/>
      <c r="C30" s="28"/>
      <c r="D30" s="28">
        <v>5</v>
      </c>
      <c r="E30" s="28">
        <v>5</v>
      </c>
      <c r="F30" s="28">
        <v>3</v>
      </c>
      <c r="G30" s="28">
        <v>1</v>
      </c>
      <c r="H30" s="28">
        <v>4</v>
      </c>
      <c r="I30" s="28">
        <v>4</v>
      </c>
      <c r="J30" s="28"/>
      <c r="K30" s="48">
        <f>SUM(P30:R30)</f>
        <v>1</v>
      </c>
      <c r="L30" s="48">
        <f>SUM(S30:U30)</f>
        <v>1</v>
      </c>
      <c r="M30" s="48">
        <f>SUM(V30:X30)</f>
        <v>0</v>
      </c>
      <c r="N30" s="48" t="str">
        <f>IF(SUM(Y30:AA30)=0,"",SUM(Y30:AA30))</f>
        <v/>
      </c>
      <c r="O30" s="28"/>
      <c r="P30" s="15">
        <v>0</v>
      </c>
      <c r="Q30" s="15">
        <v>0</v>
      </c>
      <c r="R30" s="15">
        <v>1</v>
      </c>
      <c r="S30" s="15">
        <v>0</v>
      </c>
      <c r="T30" s="15">
        <v>0</v>
      </c>
      <c r="U30" s="15">
        <v>1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98">
        <v>0</v>
      </c>
    </row>
    <row r="31" spans="1:27">
      <c r="A31" s="55" t="s">
        <v>52</v>
      </c>
      <c r="B31" s="56"/>
      <c r="C31" s="56"/>
      <c r="D31" s="56">
        <v>41</v>
      </c>
      <c r="E31" s="56">
        <v>41</v>
      </c>
      <c r="F31" s="56">
        <v>15</v>
      </c>
      <c r="G31" s="56">
        <v>7</v>
      </c>
      <c r="H31" s="56">
        <v>12</v>
      </c>
      <c r="I31" s="56">
        <v>12</v>
      </c>
      <c r="J31" s="56"/>
      <c r="K31" s="57">
        <f>SUM(K26:K30)</f>
        <v>1</v>
      </c>
      <c r="L31" s="57">
        <f>IF(SUM(L26:L30)=0,"",SUM(L26:L30))</f>
        <v>1</v>
      </c>
      <c r="M31" s="57" t="str">
        <f>IF(SUM(M26:M30)=0,"",SUM(M26:M30))</f>
        <v/>
      </c>
      <c r="N31" s="57">
        <f>IF(SUM(N26:N30)=0,"",SUM(N26:N30))</f>
        <v>12</v>
      </c>
      <c r="O31" s="56"/>
      <c r="P31" s="56">
        <f>SUM(P26:P30)</f>
        <v>0</v>
      </c>
      <c r="Q31" s="56">
        <f>SUM(Q26:Q30)</f>
        <v>0</v>
      </c>
      <c r="R31" s="56">
        <f>SUM(R26:R30)</f>
        <v>1</v>
      </c>
      <c r="S31" s="56">
        <f>SUM(S26:S30)</f>
        <v>0</v>
      </c>
      <c r="T31" s="56">
        <f t="shared" ref="T31:AA31" si="10">SUM(T26:T30)</f>
        <v>0</v>
      </c>
      <c r="U31" s="56">
        <f t="shared" si="10"/>
        <v>1</v>
      </c>
      <c r="V31" s="56">
        <f t="shared" si="10"/>
        <v>0</v>
      </c>
      <c r="W31" s="56">
        <f>SUM(X26:X30)</f>
        <v>0</v>
      </c>
      <c r="X31" s="56">
        <f>SUM(X26:X30)</f>
        <v>0</v>
      </c>
      <c r="Y31" s="56">
        <f t="shared" si="10"/>
        <v>0</v>
      </c>
      <c r="Z31" s="56">
        <f t="shared" si="10"/>
        <v>3</v>
      </c>
      <c r="AA31" s="56">
        <f t="shared" si="10"/>
        <v>9</v>
      </c>
    </row>
    <row r="32" spans="1:27">
      <c r="A32" s="37"/>
      <c r="B32" s="38"/>
      <c r="C32" s="41"/>
      <c r="D32" s="41"/>
      <c r="E32" s="41"/>
      <c r="F32" s="41"/>
      <c r="G32" s="41"/>
      <c r="H32" s="41"/>
      <c r="I32" s="41"/>
      <c r="J32" s="41"/>
      <c r="K32" s="58"/>
      <c r="L32" s="58"/>
      <c r="M32" s="58"/>
      <c r="N32" s="58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59"/>
    </row>
    <row r="33" spans="1:27" s="23" customFormat="1" ht="37.5" customHeight="1">
      <c r="A33" s="60"/>
      <c r="B33" s="61"/>
      <c r="C33" s="61"/>
      <c r="D33" s="61" t="s">
        <v>31</v>
      </c>
      <c r="E33" s="61" t="s">
        <v>32</v>
      </c>
      <c r="F33" s="61" t="s">
        <v>33</v>
      </c>
      <c r="G33" s="61" t="s">
        <v>34</v>
      </c>
      <c r="H33" s="61" t="s">
        <v>35</v>
      </c>
      <c r="I33" s="61" t="s">
        <v>36</v>
      </c>
      <c r="J33" s="61"/>
      <c r="K33" s="61" t="s">
        <v>8</v>
      </c>
      <c r="L33" s="61" t="s">
        <v>9</v>
      </c>
      <c r="M33" s="61" t="s">
        <v>10</v>
      </c>
      <c r="N33" s="61" t="s">
        <v>11</v>
      </c>
      <c r="O33" s="61"/>
      <c r="P33" s="61">
        <v>1</v>
      </c>
      <c r="Q33" s="61">
        <v>2</v>
      </c>
      <c r="R33" s="61">
        <v>3</v>
      </c>
      <c r="S33" s="61">
        <v>4</v>
      </c>
      <c r="T33" s="61">
        <v>5</v>
      </c>
      <c r="U33" s="61">
        <v>6</v>
      </c>
      <c r="V33" s="61">
        <v>7</v>
      </c>
      <c r="W33" s="61">
        <v>8</v>
      </c>
      <c r="X33" s="61">
        <v>9</v>
      </c>
      <c r="Y33" s="61">
        <v>10</v>
      </c>
      <c r="Z33" s="61">
        <v>11</v>
      </c>
      <c r="AA33" s="62">
        <v>12</v>
      </c>
    </row>
    <row r="34" spans="1:27">
      <c r="A34" s="63" t="s">
        <v>53</v>
      </c>
      <c r="B34" s="28"/>
      <c r="C34" s="28"/>
      <c r="D34" s="28">
        <v>134</v>
      </c>
      <c r="E34" s="28">
        <v>116</v>
      </c>
      <c r="F34" s="48">
        <v>141</v>
      </c>
      <c r="G34" s="48">
        <v>133</v>
      </c>
      <c r="H34" s="48">
        <v>118</v>
      </c>
      <c r="I34" s="48">
        <f t="shared" ref="I34:I40" si="11">IF(AVERAGE(P34:AA34)=0,"",AVERAGE(P34:AA34))</f>
        <v>121.83333333333333</v>
      </c>
      <c r="J34" s="48"/>
      <c r="K34" s="48">
        <f t="shared" ref="K34:K40" si="12">IF(SUM(P34:R34)=0,"",SUM(P34:R34))</f>
        <v>353</v>
      </c>
      <c r="L34" s="48">
        <f t="shared" ref="L34:L40" si="13">IF(SUM(S34:U34)=0,"",SUM(S34:U34))</f>
        <v>395</v>
      </c>
      <c r="M34" s="48">
        <f t="shared" ref="M34:M40" si="14">IF(SUM(V34:X34)=0,"",SUM(V34:X34))</f>
        <v>373</v>
      </c>
      <c r="N34" s="48">
        <f t="shared" ref="N34:N40" si="15">IF(SUM(Y34:AA34)=0,"",SUM(Y34:AA34))</f>
        <v>341</v>
      </c>
      <c r="O34" s="28"/>
      <c r="P34" s="96">
        <v>115</v>
      </c>
      <c r="Q34" s="15">
        <v>93</v>
      </c>
      <c r="R34" s="28">
        <v>145</v>
      </c>
      <c r="S34" s="28">
        <v>108</v>
      </c>
      <c r="T34" s="28">
        <v>152</v>
      </c>
      <c r="U34" s="28">
        <v>135</v>
      </c>
      <c r="V34" s="28">
        <v>135</v>
      </c>
      <c r="W34" s="28">
        <v>117</v>
      </c>
      <c r="X34" s="28">
        <v>121</v>
      </c>
      <c r="Y34" s="28">
        <v>110</v>
      </c>
      <c r="Z34" s="28">
        <v>119</v>
      </c>
      <c r="AA34" s="51">
        <v>112</v>
      </c>
    </row>
    <row r="35" spans="1:27">
      <c r="A35" s="63" t="s">
        <v>54</v>
      </c>
      <c r="B35" s="28"/>
      <c r="C35" s="28"/>
      <c r="D35" s="28">
        <v>133</v>
      </c>
      <c r="E35" s="28">
        <v>128</v>
      </c>
      <c r="F35" s="48">
        <v>142</v>
      </c>
      <c r="G35" s="48">
        <v>134</v>
      </c>
      <c r="H35" s="48">
        <v>117</v>
      </c>
      <c r="I35" s="48">
        <f t="shared" si="11"/>
        <v>125.91666666666667</v>
      </c>
      <c r="J35" s="48"/>
      <c r="K35" s="48">
        <f t="shared" si="12"/>
        <v>370</v>
      </c>
      <c r="L35" s="48">
        <f t="shared" si="13"/>
        <v>402</v>
      </c>
      <c r="M35" s="48">
        <f t="shared" si="14"/>
        <v>377</v>
      </c>
      <c r="N35" s="48">
        <f t="shared" si="15"/>
        <v>362</v>
      </c>
      <c r="O35" s="28"/>
      <c r="P35" s="96">
        <v>115</v>
      </c>
      <c r="Q35" s="15">
        <v>119</v>
      </c>
      <c r="R35" s="28">
        <v>136</v>
      </c>
      <c r="S35" s="28">
        <v>129</v>
      </c>
      <c r="T35" s="28">
        <v>145</v>
      </c>
      <c r="U35" s="28">
        <v>128</v>
      </c>
      <c r="V35" s="28">
        <v>135</v>
      </c>
      <c r="W35" s="28">
        <v>114</v>
      </c>
      <c r="X35" s="28">
        <v>128</v>
      </c>
      <c r="Y35" s="28">
        <v>122</v>
      </c>
      <c r="Z35" s="28">
        <v>124</v>
      </c>
      <c r="AA35" s="51">
        <v>116</v>
      </c>
    </row>
    <row r="36" spans="1:27">
      <c r="A36" s="63" t="s">
        <v>55</v>
      </c>
      <c r="B36" s="28"/>
      <c r="C36" s="28"/>
      <c r="D36" s="28">
        <v>139</v>
      </c>
      <c r="E36" s="28">
        <v>133</v>
      </c>
      <c r="F36" s="48">
        <v>157</v>
      </c>
      <c r="G36" s="48">
        <v>155</v>
      </c>
      <c r="H36" s="48">
        <v>131</v>
      </c>
      <c r="I36" s="48">
        <f t="shared" si="11"/>
        <v>130.25</v>
      </c>
      <c r="J36" s="48"/>
      <c r="K36" s="48">
        <f t="shared" si="12"/>
        <v>394</v>
      </c>
      <c r="L36" s="48">
        <f t="shared" si="13"/>
        <v>409</v>
      </c>
      <c r="M36" s="48">
        <f t="shared" si="14"/>
        <v>362</v>
      </c>
      <c r="N36" s="48">
        <f t="shared" si="15"/>
        <v>398</v>
      </c>
      <c r="O36" s="28"/>
      <c r="P36" s="96">
        <v>129</v>
      </c>
      <c r="Q36" s="15">
        <v>113</v>
      </c>
      <c r="R36" s="28">
        <v>152</v>
      </c>
      <c r="S36" s="28">
        <v>133</v>
      </c>
      <c r="T36" s="28">
        <v>139</v>
      </c>
      <c r="U36" s="28">
        <v>137</v>
      </c>
      <c r="V36" s="28">
        <v>127</v>
      </c>
      <c r="W36" s="28">
        <v>111</v>
      </c>
      <c r="X36" s="28">
        <v>124</v>
      </c>
      <c r="Y36" s="28">
        <v>139</v>
      </c>
      <c r="Z36" s="28">
        <v>131</v>
      </c>
      <c r="AA36" s="51">
        <v>128</v>
      </c>
    </row>
    <row r="37" spans="1:27">
      <c r="A37" s="63" t="s">
        <v>56</v>
      </c>
      <c r="B37" s="28"/>
      <c r="C37" s="28"/>
      <c r="D37" s="28">
        <v>119</v>
      </c>
      <c r="E37" s="28">
        <v>131</v>
      </c>
      <c r="F37" s="48">
        <v>151</v>
      </c>
      <c r="G37" s="48">
        <v>147</v>
      </c>
      <c r="H37" s="48">
        <v>111</v>
      </c>
      <c r="I37" s="48">
        <f t="shared" si="11"/>
        <v>140</v>
      </c>
      <c r="J37" s="48"/>
      <c r="K37" s="48">
        <f t="shared" si="12"/>
        <v>403</v>
      </c>
      <c r="L37" s="48">
        <f t="shared" si="13"/>
        <v>483</v>
      </c>
      <c r="M37" s="48">
        <f t="shared" si="14"/>
        <v>437</v>
      </c>
      <c r="N37" s="48">
        <f t="shared" si="15"/>
        <v>357</v>
      </c>
      <c r="O37" s="28"/>
      <c r="P37" s="96">
        <v>125</v>
      </c>
      <c r="Q37" s="15">
        <v>125</v>
      </c>
      <c r="R37" s="28">
        <v>153</v>
      </c>
      <c r="S37" s="28">
        <v>161</v>
      </c>
      <c r="T37" s="28">
        <v>165</v>
      </c>
      <c r="U37" s="28">
        <v>157</v>
      </c>
      <c r="V37" s="28">
        <v>155</v>
      </c>
      <c r="W37" s="28">
        <v>143</v>
      </c>
      <c r="X37" s="28">
        <v>139</v>
      </c>
      <c r="Y37" s="28">
        <v>132</v>
      </c>
      <c r="Z37" s="28">
        <v>126</v>
      </c>
      <c r="AA37" s="51">
        <v>99</v>
      </c>
    </row>
    <row r="38" spans="1:27">
      <c r="A38" s="63" t="s">
        <v>57</v>
      </c>
      <c r="B38" s="28"/>
      <c r="C38" s="28"/>
      <c r="D38" s="28">
        <v>111</v>
      </c>
      <c r="E38" s="28">
        <v>119</v>
      </c>
      <c r="F38" s="48">
        <v>144</v>
      </c>
      <c r="G38" s="48">
        <v>137</v>
      </c>
      <c r="H38" s="48">
        <v>125</v>
      </c>
      <c r="I38" s="48">
        <f t="shared" si="11"/>
        <v>140.75</v>
      </c>
      <c r="J38" s="48"/>
      <c r="K38" s="48">
        <f t="shared" si="12"/>
        <v>410</v>
      </c>
      <c r="L38" s="48">
        <f t="shared" si="13"/>
        <v>456</v>
      </c>
      <c r="M38" s="48">
        <f t="shared" si="14"/>
        <v>406</v>
      </c>
      <c r="N38" s="48">
        <f t="shared" si="15"/>
        <v>417</v>
      </c>
      <c r="O38" s="28"/>
      <c r="P38" s="96">
        <v>123</v>
      </c>
      <c r="Q38" s="15">
        <v>126</v>
      </c>
      <c r="R38" s="28">
        <v>161</v>
      </c>
      <c r="S38" s="28">
        <v>143</v>
      </c>
      <c r="T38" s="28">
        <v>169</v>
      </c>
      <c r="U38" s="28">
        <v>144</v>
      </c>
      <c r="V38" s="28">
        <v>131</v>
      </c>
      <c r="W38" s="28">
        <v>132</v>
      </c>
      <c r="X38" s="28">
        <v>143</v>
      </c>
      <c r="Y38" s="28">
        <v>143</v>
      </c>
      <c r="Z38" s="28">
        <v>134</v>
      </c>
      <c r="AA38" s="51">
        <v>140</v>
      </c>
    </row>
    <row r="39" spans="1:27">
      <c r="A39" s="63" t="s">
        <v>58</v>
      </c>
      <c r="B39" s="28"/>
      <c r="C39" s="28"/>
      <c r="D39" s="28">
        <v>121</v>
      </c>
      <c r="E39" s="28">
        <v>121</v>
      </c>
      <c r="F39" s="48">
        <v>148</v>
      </c>
      <c r="G39" s="48">
        <v>144</v>
      </c>
      <c r="H39" s="48">
        <v>136</v>
      </c>
      <c r="I39" s="48">
        <f t="shared" si="11"/>
        <v>144.41666666666666</v>
      </c>
      <c r="J39" s="48"/>
      <c r="K39" s="48">
        <f t="shared" si="12"/>
        <v>393</v>
      </c>
      <c r="L39" s="48">
        <f t="shared" si="13"/>
        <v>465</v>
      </c>
      <c r="M39" s="48">
        <f t="shared" si="14"/>
        <v>441</v>
      </c>
      <c r="N39" s="48">
        <f t="shared" si="15"/>
        <v>434</v>
      </c>
      <c r="O39" s="28"/>
      <c r="P39" s="96">
        <v>123</v>
      </c>
      <c r="Q39" s="15">
        <v>112</v>
      </c>
      <c r="R39" s="28">
        <v>158</v>
      </c>
      <c r="S39" s="28">
        <v>126</v>
      </c>
      <c r="T39" s="28">
        <v>177</v>
      </c>
      <c r="U39" s="28">
        <v>162</v>
      </c>
      <c r="V39" s="28">
        <v>150</v>
      </c>
      <c r="W39" s="28">
        <v>146</v>
      </c>
      <c r="X39" s="28">
        <v>145</v>
      </c>
      <c r="Y39" s="28">
        <v>148</v>
      </c>
      <c r="Z39" s="28">
        <v>147</v>
      </c>
      <c r="AA39" s="51">
        <v>139</v>
      </c>
    </row>
    <row r="40" spans="1:27">
      <c r="A40" s="63" t="s">
        <v>59</v>
      </c>
      <c r="B40" s="28"/>
      <c r="C40" s="28"/>
      <c r="D40" s="28">
        <v>69</v>
      </c>
      <c r="E40" s="28">
        <v>69</v>
      </c>
      <c r="F40" s="48">
        <v>113</v>
      </c>
      <c r="G40" s="48">
        <v>111</v>
      </c>
      <c r="H40" s="48">
        <v>64</v>
      </c>
      <c r="I40" s="48">
        <f t="shared" si="11"/>
        <v>68.833333333333329</v>
      </c>
      <c r="J40" s="48"/>
      <c r="K40" s="48">
        <f t="shared" si="12"/>
        <v>261</v>
      </c>
      <c r="L40" s="48">
        <f t="shared" si="13"/>
        <v>320</v>
      </c>
      <c r="M40" s="48">
        <f t="shared" si="14"/>
        <v>234</v>
      </c>
      <c r="N40" s="48">
        <f t="shared" si="15"/>
        <v>11</v>
      </c>
      <c r="O40" s="28"/>
      <c r="P40" s="96">
        <v>80</v>
      </c>
      <c r="Q40" s="15">
        <v>79</v>
      </c>
      <c r="R40" s="28">
        <v>102</v>
      </c>
      <c r="S40" s="28">
        <v>100</v>
      </c>
      <c r="T40" s="28">
        <v>124</v>
      </c>
      <c r="U40" s="28">
        <v>96</v>
      </c>
      <c r="V40" s="28">
        <v>97</v>
      </c>
      <c r="W40" s="28">
        <v>77</v>
      </c>
      <c r="X40" s="28">
        <v>60</v>
      </c>
      <c r="Y40" s="28">
        <v>0</v>
      </c>
      <c r="Z40" s="28">
        <v>7</v>
      </c>
      <c r="AA40" s="51">
        <v>4</v>
      </c>
    </row>
    <row r="41" spans="1:27">
      <c r="A41" s="63" t="s">
        <v>60</v>
      </c>
      <c r="B41" s="18"/>
      <c r="C41" s="18"/>
      <c r="D41" s="18">
        <v>815</v>
      </c>
      <c r="E41" s="18">
        <v>817</v>
      </c>
      <c r="F41" s="64">
        <v>997</v>
      </c>
      <c r="G41" s="64">
        <v>962</v>
      </c>
      <c r="H41" s="64">
        <v>801</v>
      </c>
      <c r="I41" s="64">
        <f>SUM(I34:I40)</f>
        <v>872</v>
      </c>
      <c r="J41" s="64"/>
      <c r="K41" s="64">
        <f>IF(SUM(K34:K40)=0,"",SUM(K34:K40))</f>
        <v>2584</v>
      </c>
      <c r="L41" s="64">
        <f>IF(SUM(L34:L40)=0,"",SUM(L34:L40))</f>
        <v>2930</v>
      </c>
      <c r="M41" s="64">
        <f>IF(SUM(M34:M40)=0,"",SUM(M34:M40))</f>
        <v>2630</v>
      </c>
      <c r="N41" s="64">
        <f>IF(SUM(N34:N40)=0,"",SUM(N34:N40))</f>
        <v>2320</v>
      </c>
      <c r="O41" s="18"/>
      <c r="P41" s="18">
        <f>IF(SUM(P34:P40)=0,"",SUM(P34:P40))</f>
        <v>810</v>
      </c>
      <c r="Q41" s="18">
        <f>IF(SUM(Q34:Q40)=0,"",SUM(Q34:Q40))</f>
        <v>767</v>
      </c>
      <c r="R41" s="18">
        <f t="shared" ref="R41:AA41" si="16">IF(SUM(R34:R40)=0,"",SUM(R34:R40))</f>
        <v>1007</v>
      </c>
      <c r="S41" s="18">
        <f t="shared" si="16"/>
        <v>900</v>
      </c>
      <c r="T41" s="18">
        <f t="shared" si="16"/>
        <v>1071</v>
      </c>
      <c r="U41" s="18">
        <f t="shared" si="16"/>
        <v>959</v>
      </c>
      <c r="V41" s="18">
        <f t="shared" si="16"/>
        <v>930</v>
      </c>
      <c r="W41" s="18">
        <f>IF(SUM(W34:W40)=0,"",SUM(W34:W40))</f>
        <v>840</v>
      </c>
      <c r="X41" s="18">
        <f>IF(SUM(X34:X40)=0,"",SUM(X34:X40))</f>
        <v>860</v>
      </c>
      <c r="Y41" s="18">
        <f t="shared" si="16"/>
        <v>794</v>
      </c>
      <c r="Z41" s="18">
        <f t="shared" si="16"/>
        <v>788</v>
      </c>
      <c r="AA41" s="65">
        <f t="shared" si="16"/>
        <v>738</v>
      </c>
    </row>
    <row r="42" spans="1:27">
      <c r="A42" s="24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51"/>
    </row>
    <row r="43" spans="1:27" s="23" customFormat="1" ht="36.75" customHeight="1">
      <c r="A43" s="66"/>
      <c r="B43" s="67"/>
      <c r="C43" s="67"/>
      <c r="D43" s="67" t="s">
        <v>45</v>
      </c>
      <c r="E43" s="67" t="s">
        <v>46</v>
      </c>
      <c r="F43" s="67" t="s">
        <v>47</v>
      </c>
      <c r="G43" s="67" t="s">
        <v>48</v>
      </c>
      <c r="H43" s="67" t="s">
        <v>49</v>
      </c>
      <c r="I43" s="67" t="s">
        <v>50</v>
      </c>
      <c r="J43" s="67"/>
      <c r="K43" s="67" t="s">
        <v>8</v>
      </c>
      <c r="L43" s="67" t="s">
        <v>9</v>
      </c>
      <c r="M43" s="67" t="s">
        <v>10</v>
      </c>
      <c r="N43" s="67" t="s">
        <v>11</v>
      </c>
      <c r="O43" s="67"/>
      <c r="P43" s="67">
        <v>1</v>
      </c>
      <c r="Q43" s="67">
        <v>2</v>
      </c>
      <c r="R43" s="67">
        <v>3</v>
      </c>
      <c r="S43" s="67">
        <v>4</v>
      </c>
      <c r="T43" s="67">
        <v>5</v>
      </c>
      <c r="U43" s="67">
        <v>6</v>
      </c>
      <c r="V43" s="67">
        <v>7</v>
      </c>
      <c r="W43" s="67">
        <v>8</v>
      </c>
      <c r="X43" s="67">
        <v>9</v>
      </c>
      <c r="Y43" s="67">
        <v>10</v>
      </c>
      <c r="Z43" s="67">
        <v>11</v>
      </c>
      <c r="AA43" s="68">
        <v>12</v>
      </c>
    </row>
    <row r="44" spans="1:27">
      <c r="A44" s="63" t="s">
        <v>53</v>
      </c>
      <c r="B44" s="28"/>
      <c r="C44" s="28"/>
      <c r="D44" s="28">
        <v>5</v>
      </c>
      <c r="E44" s="28">
        <v>3</v>
      </c>
      <c r="F44" s="28">
        <v>3</v>
      </c>
      <c r="G44" s="28">
        <v>4</v>
      </c>
      <c r="H44" s="28">
        <v>2</v>
      </c>
      <c r="I44" s="48">
        <f>SUM(P44:AA44)</f>
        <v>6</v>
      </c>
      <c r="J44" s="28"/>
      <c r="K44" s="48">
        <f>SUM(P44:R44)</f>
        <v>1</v>
      </c>
      <c r="L44" s="48">
        <f>SUM(S44:U44)</f>
        <v>2</v>
      </c>
      <c r="M44" s="48">
        <f>SUM(V44:X44)</f>
        <v>0</v>
      </c>
      <c r="N44" s="48">
        <f t="shared" ref="N44:N50" si="17">IF(SUM(Y44:AA44)=0,"",SUM(Y44:AA44))</f>
        <v>3</v>
      </c>
      <c r="O44" s="28"/>
      <c r="P44" s="115">
        <v>0</v>
      </c>
      <c r="Q44" s="115">
        <v>1</v>
      </c>
      <c r="R44" s="115">
        <v>0</v>
      </c>
      <c r="S44" s="15">
        <v>0</v>
      </c>
      <c r="T44" s="15">
        <v>1</v>
      </c>
      <c r="U44" s="15">
        <v>1</v>
      </c>
      <c r="V44" s="15">
        <v>0</v>
      </c>
      <c r="W44" s="15">
        <v>0</v>
      </c>
      <c r="X44" s="15">
        <v>0</v>
      </c>
      <c r="Y44" s="15">
        <v>1</v>
      </c>
      <c r="Z44" s="15">
        <v>1</v>
      </c>
      <c r="AA44" s="98">
        <v>1</v>
      </c>
    </row>
    <row r="45" spans="1:27">
      <c r="A45" s="63" t="s">
        <v>54</v>
      </c>
      <c r="B45" s="28"/>
      <c r="C45" s="28"/>
      <c r="D45" s="28">
        <v>4</v>
      </c>
      <c r="E45" s="28">
        <v>0</v>
      </c>
      <c r="F45" s="28">
        <v>1</v>
      </c>
      <c r="G45" s="28">
        <v>4</v>
      </c>
      <c r="H45" s="28">
        <v>0</v>
      </c>
      <c r="I45" s="48">
        <f t="shared" ref="I45:I50" si="18">SUM(P45:AA45)</f>
        <v>1</v>
      </c>
      <c r="J45" s="28"/>
      <c r="K45" s="48">
        <f t="shared" ref="K45:K50" si="19">SUM(P45:R45)</f>
        <v>0</v>
      </c>
      <c r="L45" s="48">
        <f t="shared" ref="L45:L50" si="20">SUM(S45:U45)</f>
        <v>0</v>
      </c>
      <c r="M45" s="48">
        <f t="shared" ref="M45:M50" si="21">SUM(V45:X45)</f>
        <v>1</v>
      </c>
      <c r="N45" s="48" t="str">
        <f t="shared" si="17"/>
        <v/>
      </c>
      <c r="O45" s="28"/>
      <c r="P45" s="115">
        <v>0</v>
      </c>
      <c r="Q45" s="115">
        <v>0</v>
      </c>
      <c r="R45" s="1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1</v>
      </c>
      <c r="X45" s="15">
        <v>0</v>
      </c>
      <c r="Y45" s="15">
        <v>0</v>
      </c>
      <c r="Z45" s="15">
        <v>0</v>
      </c>
      <c r="AA45" s="98">
        <v>0</v>
      </c>
    </row>
    <row r="46" spans="1:27">
      <c r="A46" s="63" t="s">
        <v>55</v>
      </c>
      <c r="B46" s="28"/>
      <c r="C46" s="28"/>
      <c r="D46" s="28">
        <v>1</v>
      </c>
      <c r="E46" s="28">
        <v>1</v>
      </c>
      <c r="F46" s="28">
        <v>0</v>
      </c>
      <c r="G46" s="28">
        <v>0</v>
      </c>
      <c r="H46" s="28">
        <v>2</v>
      </c>
      <c r="I46" s="48">
        <f t="shared" si="18"/>
        <v>0</v>
      </c>
      <c r="J46" s="28"/>
      <c r="K46" s="48">
        <f t="shared" si="19"/>
        <v>0</v>
      </c>
      <c r="L46" s="48">
        <f t="shared" si="20"/>
        <v>0</v>
      </c>
      <c r="M46" s="48">
        <f t="shared" si="21"/>
        <v>0</v>
      </c>
      <c r="N46" s="48" t="str">
        <f t="shared" si="17"/>
        <v/>
      </c>
      <c r="O46" s="28"/>
      <c r="P46" s="115">
        <v>0</v>
      </c>
      <c r="Q46" s="115">
        <v>0</v>
      </c>
      <c r="R46" s="1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98">
        <v>0</v>
      </c>
    </row>
    <row r="47" spans="1:27">
      <c r="A47" s="63" t="s">
        <v>56</v>
      </c>
      <c r="B47" s="28"/>
      <c r="C47" s="28"/>
      <c r="D47" s="28">
        <v>0</v>
      </c>
      <c r="E47" s="28">
        <v>1</v>
      </c>
      <c r="F47" s="28">
        <v>2</v>
      </c>
      <c r="G47" s="28">
        <v>0</v>
      </c>
      <c r="H47" s="28">
        <v>0</v>
      </c>
      <c r="I47" s="48">
        <f t="shared" si="18"/>
        <v>3</v>
      </c>
      <c r="J47" s="28"/>
      <c r="K47" s="48">
        <f t="shared" si="19"/>
        <v>1</v>
      </c>
      <c r="L47" s="48">
        <f t="shared" si="20"/>
        <v>1</v>
      </c>
      <c r="M47" s="48">
        <f t="shared" si="21"/>
        <v>0</v>
      </c>
      <c r="N47" s="48">
        <f t="shared" si="17"/>
        <v>1</v>
      </c>
      <c r="O47" s="28"/>
      <c r="P47" s="115">
        <v>0</v>
      </c>
      <c r="Q47" s="115">
        <v>1</v>
      </c>
      <c r="R47" s="115">
        <v>0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98">
        <v>1</v>
      </c>
    </row>
    <row r="48" spans="1:27">
      <c r="A48" s="63" t="s">
        <v>57</v>
      </c>
      <c r="B48" s="28"/>
      <c r="C48" s="28"/>
      <c r="D48" s="28">
        <v>2</v>
      </c>
      <c r="E48" s="28">
        <v>5</v>
      </c>
      <c r="F48" s="28">
        <v>0</v>
      </c>
      <c r="G48" s="28">
        <v>0</v>
      </c>
      <c r="H48" s="28">
        <v>0</v>
      </c>
      <c r="I48" s="48">
        <f t="shared" si="18"/>
        <v>0</v>
      </c>
      <c r="J48" s="28"/>
      <c r="K48" s="48">
        <f t="shared" si="19"/>
        <v>0</v>
      </c>
      <c r="L48" s="48">
        <f t="shared" si="20"/>
        <v>0</v>
      </c>
      <c r="M48" s="48">
        <f t="shared" si="21"/>
        <v>0</v>
      </c>
      <c r="N48" s="48" t="str">
        <f t="shared" si="17"/>
        <v/>
      </c>
      <c r="O48" s="28"/>
      <c r="P48" s="115">
        <v>0</v>
      </c>
      <c r="Q48" s="115">
        <v>0</v>
      </c>
      <c r="R48" s="1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98">
        <v>0</v>
      </c>
    </row>
    <row r="49" spans="1:27">
      <c r="A49" s="63" t="s">
        <v>58</v>
      </c>
      <c r="B49" s="28"/>
      <c r="C49" s="28"/>
      <c r="D49" s="28">
        <v>2</v>
      </c>
      <c r="E49" s="28">
        <v>4</v>
      </c>
      <c r="F49" s="28">
        <v>4</v>
      </c>
      <c r="G49" s="28">
        <v>0</v>
      </c>
      <c r="H49" s="28">
        <v>2</v>
      </c>
      <c r="I49" s="48">
        <f t="shared" si="18"/>
        <v>2</v>
      </c>
      <c r="J49" s="28"/>
      <c r="K49" s="48">
        <f t="shared" si="19"/>
        <v>0</v>
      </c>
      <c r="L49" s="48">
        <f t="shared" si="20"/>
        <v>2</v>
      </c>
      <c r="M49" s="48">
        <f t="shared" si="21"/>
        <v>0</v>
      </c>
      <c r="N49" s="48" t="str">
        <f t="shared" si="17"/>
        <v/>
      </c>
      <c r="O49" s="28"/>
      <c r="P49" s="115">
        <v>0</v>
      </c>
      <c r="Q49" s="115">
        <v>0</v>
      </c>
      <c r="R49" s="115">
        <v>0</v>
      </c>
      <c r="S49" s="15">
        <v>2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98">
        <v>0</v>
      </c>
    </row>
    <row r="50" spans="1:27">
      <c r="A50" s="63" t="s">
        <v>59</v>
      </c>
      <c r="B50" s="28"/>
      <c r="C50" s="28"/>
      <c r="D50" s="28">
        <v>1</v>
      </c>
      <c r="E50" s="28">
        <v>3</v>
      </c>
      <c r="F50" s="28">
        <v>3</v>
      </c>
      <c r="G50" s="28">
        <v>0</v>
      </c>
      <c r="H50" s="28">
        <v>1</v>
      </c>
      <c r="I50" s="48">
        <f t="shared" si="18"/>
        <v>3</v>
      </c>
      <c r="J50" s="28"/>
      <c r="K50" s="48">
        <f t="shared" si="19"/>
        <v>0</v>
      </c>
      <c r="L50" s="48">
        <f t="shared" si="20"/>
        <v>2</v>
      </c>
      <c r="M50" s="48">
        <f t="shared" si="21"/>
        <v>1</v>
      </c>
      <c r="N50" s="48" t="str">
        <f t="shared" si="17"/>
        <v/>
      </c>
      <c r="O50" s="28"/>
      <c r="P50" s="115">
        <v>0</v>
      </c>
      <c r="Q50" s="115">
        <v>0</v>
      </c>
      <c r="R50" s="115">
        <v>0</v>
      </c>
      <c r="S50" s="15">
        <v>0</v>
      </c>
      <c r="T50" s="15">
        <v>0</v>
      </c>
      <c r="U50" s="15">
        <v>2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98">
        <v>0</v>
      </c>
    </row>
    <row r="51" spans="1:27">
      <c r="A51" s="69" t="s">
        <v>61</v>
      </c>
      <c r="B51" s="70"/>
      <c r="C51" s="70"/>
      <c r="D51" s="70">
        <v>15</v>
      </c>
      <c r="E51" s="70">
        <v>17</v>
      </c>
      <c r="F51" s="70">
        <v>7</v>
      </c>
      <c r="G51" s="70">
        <v>8</v>
      </c>
      <c r="H51" s="70">
        <v>7</v>
      </c>
      <c r="I51" s="71">
        <f>SUM(I44:I50)</f>
        <v>15</v>
      </c>
      <c r="J51" s="70"/>
      <c r="K51" s="71">
        <f>IF(SUM(K44:K50)=0,"",SUM(K44:K50))</f>
        <v>2</v>
      </c>
      <c r="L51" s="71">
        <f>IF(SUM(L44:L50)=0,"",SUM(L44:L50))</f>
        <v>7</v>
      </c>
      <c r="M51" s="71">
        <f>SUM(M44:M50)</f>
        <v>2</v>
      </c>
      <c r="N51" s="71">
        <f>IF(SUM(N44:N50)=0,"",SUM(N44:N50))</f>
        <v>4</v>
      </c>
      <c r="O51" s="70"/>
      <c r="P51" s="70">
        <v>0</v>
      </c>
      <c r="Q51" s="70">
        <f>SUM(Q44:Q50)</f>
        <v>2</v>
      </c>
      <c r="R51" s="70">
        <f>SUM(R44:R50)</f>
        <v>0</v>
      </c>
      <c r="S51" s="70">
        <f>SUM(S44:S50)</f>
        <v>3</v>
      </c>
      <c r="T51" s="70">
        <f t="shared" ref="T51:AA51" si="22">SUM(T44:T50)</f>
        <v>1</v>
      </c>
      <c r="U51" s="70">
        <f t="shared" si="22"/>
        <v>3</v>
      </c>
      <c r="V51" s="70">
        <f t="shared" si="22"/>
        <v>0</v>
      </c>
      <c r="W51" s="70">
        <f>SUM(W44:W50)</f>
        <v>1</v>
      </c>
      <c r="X51" s="70">
        <f>SUM(X44:X50)</f>
        <v>1</v>
      </c>
      <c r="Y51" s="70">
        <f t="shared" si="22"/>
        <v>1</v>
      </c>
      <c r="Z51" s="70">
        <f t="shared" si="22"/>
        <v>1</v>
      </c>
      <c r="AA51" s="70">
        <f t="shared" si="22"/>
        <v>2</v>
      </c>
    </row>
    <row r="52" spans="1:27">
      <c r="A52" s="37"/>
      <c r="B52" s="38"/>
      <c r="C52" s="41"/>
      <c r="D52" s="41"/>
      <c r="E52" s="41"/>
      <c r="F52" s="41"/>
      <c r="G52" s="41"/>
      <c r="H52" s="41"/>
      <c r="I52" s="41"/>
      <c r="J52" s="41"/>
      <c r="K52" s="58"/>
      <c r="L52" s="58"/>
      <c r="M52" s="58"/>
      <c r="N52" s="58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59"/>
    </row>
    <row r="53" spans="1:27" s="23" customFormat="1" ht="37.5" customHeight="1">
      <c r="A53" s="72"/>
      <c r="B53" s="73" t="s">
        <v>62</v>
      </c>
      <c r="C53" s="73"/>
      <c r="D53" s="73" t="s">
        <v>31</v>
      </c>
      <c r="E53" s="73" t="s">
        <v>32</v>
      </c>
      <c r="F53" s="73" t="s">
        <v>33</v>
      </c>
      <c r="G53" s="73" t="s">
        <v>34</v>
      </c>
      <c r="H53" s="73" t="s">
        <v>35</v>
      </c>
      <c r="I53" s="73" t="s">
        <v>36</v>
      </c>
      <c r="J53" s="73"/>
      <c r="K53" s="73" t="s">
        <v>8</v>
      </c>
      <c r="L53" s="73" t="s">
        <v>9</v>
      </c>
      <c r="M53" s="73" t="s">
        <v>10</v>
      </c>
      <c r="N53" s="73" t="s">
        <v>11</v>
      </c>
      <c r="O53" s="73"/>
      <c r="P53" s="73">
        <v>1</v>
      </c>
      <c r="Q53" s="73">
        <v>2</v>
      </c>
      <c r="R53" s="73">
        <v>3</v>
      </c>
      <c r="S53" s="73">
        <v>4</v>
      </c>
      <c r="T53" s="73">
        <v>5</v>
      </c>
      <c r="U53" s="73">
        <v>6</v>
      </c>
      <c r="V53" s="73">
        <v>7</v>
      </c>
      <c r="W53" s="73">
        <v>8</v>
      </c>
      <c r="X53" s="73">
        <v>9</v>
      </c>
      <c r="Y53" s="73">
        <v>10</v>
      </c>
      <c r="Z53" s="73">
        <v>11</v>
      </c>
      <c r="AA53" s="74">
        <v>12</v>
      </c>
    </row>
    <row r="54" spans="1:27">
      <c r="A54" s="75" t="s">
        <v>63</v>
      </c>
      <c r="B54" s="28"/>
      <c r="C54" s="28"/>
      <c r="D54" s="28">
        <v>82</v>
      </c>
      <c r="E54" s="28">
        <v>78</v>
      </c>
      <c r="F54" s="48">
        <v>89</v>
      </c>
      <c r="G54" s="48">
        <v>83</v>
      </c>
      <c r="H54" s="48">
        <v>61</v>
      </c>
      <c r="I54" s="48">
        <f t="shared" ref="I54:I60" si="23">IF(AVERAGE(P54:AA54)=0,"",AVERAGE(P54:AA54))</f>
        <v>75.666666666666671</v>
      </c>
      <c r="J54" s="48"/>
      <c r="K54" s="48">
        <f t="shared" ref="K54:K59" si="24">IF(SUM(P54:R54)=0,"",SUM(P54:R54))</f>
        <v>187</v>
      </c>
      <c r="L54" s="48">
        <f t="shared" ref="L54:L59" si="25">IF(SUM(S54:U54)=0,"",SUM(S54:U54))</f>
        <v>227</v>
      </c>
      <c r="M54" s="48">
        <f t="shared" ref="M54:M59" si="26">IF(SUM(V54:X54)=0,"",SUM(V54:X54))</f>
        <v>150</v>
      </c>
      <c r="N54" s="48">
        <f t="shared" ref="N54:N60" si="27">IF(SUM(Y54:AA54)=0,"",SUM(Y54:AA54))</f>
        <v>344</v>
      </c>
      <c r="O54" s="28"/>
      <c r="P54" s="115">
        <v>62</v>
      </c>
      <c r="Q54" s="15">
        <v>65</v>
      </c>
      <c r="R54" s="119">
        <v>60</v>
      </c>
      <c r="S54" s="28">
        <v>83</v>
      </c>
      <c r="T54" s="28">
        <v>81</v>
      </c>
      <c r="U54" s="119">
        <v>63</v>
      </c>
      <c r="V54" s="119">
        <v>49</v>
      </c>
      <c r="W54" s="28">
        <v>58</v>
      </c>
      <c r="X54" s="28">
        <v>43</v>
      </c>
      <c r="Y54" s="119">
        <v>48</v>
      </c>
      <c r="Z54" s="119">
        <v>58</v>
      </c>
      <c r="AA54" s="51">
        <v>238</v>
      </c>
    </row>
    <row r="55" spans="1:27">
      <c r="A55" s="75" t="s">
        <v>64</v>
      </c>
      <c r="B55" s="28"/>
      <c r="C55" s="28"/>
      <c r="D55" s="28">
        <v>82</v>
      </c>
      <c r="E55" s="28">
        <v>81</v>
      </c>
      <c r="F55" s="48">
        <v>90</v>
      </c>
      <c r="G55" s="48">
        <v>77</v>
      </c>
      <c r="H55" s="48">
        <v>67</v>
      </c>
      <c r="I55" s="48">
        <f t="shared" si="23"/>
        <v>100.58333333333333</v>
      </c>
      <c r="J55" s="48"/>
      <c r="K55" s="48">
        <f t="shared" si="24"/>
        <v>215</v>
      </c>
      <c r="L55" s="48">
        <f t="shared" si="25"/>
        <v>292</v>
      </c>
      <c r="M55" s="48">
        <f t="shared" si="26"/>
        <v>227</v>
      </c>
      <c r="N55" s="48">
        <f t="shared" si="27"/>
        <v>473</v>
      </c>
      <c r="O55" s="28"/>
      <c r="P55" s="115">
        <v>71</v>
      </c>
      <c r="Q55" s="15">
        <v>66</v>
      </c>
      <c r="R55" s="119">
        <v>78</v>
      </c>
      <c r="S55" s="28">
        <v>88</v>
      </c>
      <c r="T55" s="28">
        <v>112</v>
      </c>
      <c r="U55" s="119">
        <v>92</v>
      </c>
      <c r="V55" s="119">
        <v>65</v>
      </c>
      <c r="W55" s="28">
        <v>77</v>
      </c>
      <c r="X55" s="28">
        <v>85</v>
      </c>
      <c r="Y55" s="119">
        <v>95</v>
      </c>
      <c r="Z55" s="119">
        <v>84</v>
      </c>
      <c r="AA55" s="51">
        <v>294</v>
      </c>
    </row>
    <row r="56" spans="1:27">
      <c r="A56" s="75" t="s">
        <v>65</v>
      </c>
      <c r="B56" s="28"/>
      <c r="C56" s="28"/>
      <c r="D56" s="28">
        <v>91</v>
      </c>
      <c r="E56" s="28">
        <v>90</v>
      </c>
      <c r="F56" s="48">
        <v>106</v>
      </c>
      <c r="G56" s="48">
        <v>104</v>
      </c>
      <c r="H56" s="48">
        <v>83</v>
      </c>
      <c r="I56" s="48">
        <f t="shared" si="23"/>
        <v>111</v>
      </c>
      <c r="J56" s="48"/>
      <c r="K56" s="48">
        <f t="shared" si="24"/>
        <v>270</v>
      </c>
      <c r="L56" s="48">
        <f t="shared" si="25"/>
        <v>291</v>
      </c>
      <c r="M56" s="48">
        <f t="shared" si="26"/>
        <v>252</v>
      </c>
      <c r="N56" s="48">
        <f t="shared" si="27"/>
        <v>519</v>
      </c>
      <c r="O56" s="28"/>
      <c r="P56" s="115">
        <v>87</v>
      </c>
      <c r="Q56" s="15">
        <v>76</v>
      </c>
      <c r="R56" s="119">
        <v>107</v>
      </c>
      <c r="S56" s="28">
        <v>98</v>
      </c>
      <c r="T56" s="28">
        <v>106</v>
      </c>
      <c r="U56" s="119">
        <v>87</v>
      </c>
      <c r="V56" s="119">
        <v>81</v>
      </c>
      <c r="W56" s="28">
        <v>91</v>
      </c>
      <c r="X56" s="28">
        <v>80</v>
      </c>
      <c r="Y56" s="119">
        <v>80</v>
      </c>
      <c r="Z56" s="119">
        <v>90</v>
      </c>
      <c r="AA56" s="51">
        <v>349</v>
      </c>
    </row>
    <row r="57" spans="1:27">
      <c r="A57" s="75" t="s">
        <v>66</v>
      </c>
      <c r="B57" s="28"/>
      <c r="C57" s="28"/>
      <c r="D57" s="28">
        <v>85</v>
      </c>
      <c r="E57" s="28">
        <v>80</v>
      </c>
      <c r="F57" s="48">
        <v>98</v>
      </c>
      <c r="G57" s="48">
        <v>95</v>
      </c>
      <c r="H57" s="48">
        <v>78</v>
      </c>
      <c r="I57" s="48">
        <f t="shared" si="23"/>
        <v>102.33333333333333</v>
      </c>
      <c r="J57" s="48"/>
      <c r="K57" s="48">
        <f t="shared" si="24"/>
        <v>254</v>
      </c>
      <c r="L57" s="48">
        <f t="shared" si="25"/>
        <v>268</v>
      </c>
      <c r="M57" s="48">
        <f t="shared" si="26"/>
        <v>221</v>
      </c>
      <c r="N57" s="48">
        <f t="shared" si="27"/>
        <v>485</v>
      </c>
      <c r="O57" s="28"/>
      <c r="P57" s="115">
        <v>74</v>
      </c>
      <c r="Q57" s="15">
        <v>82</v>
      </c>
      <c r="R57" s="119">
        <v>98</v>
      </c>
      <c r="S57" s="28">
        <v>93</v>
      </c>
      <c r="T57" s="28">
        <v>107</v>
      </c>
      <c r="U57" s="119">
        <v>68</v>
      </c>
      <c r="V57" s="119">
        <v>74</v>
      </c>
      <c r="W57" s="28">
        <v>85</v>
      </c>
      <c r="X57" s="28">
        <v>62</v>
      </c>
      <c r="Y57" s="119">
        <v>62</v>
      </c>
      <c r="Z57" s="115">
        <v>85</v>
      </c>
      <c r="AA57" s="51">
        <v>338</v>
      </c>
    </row>
    <row r="58" spans="1:27">
      <c r="A58" s="75" t="s">
        <v>67</v>
      </c>
      <c r="B58" s="28"/>
      <c r="C58" s="28"/>
      <c r="D58" s="28">
        <v>65</v>
      </c>
      <c r="E58" s="28">
        <v>54</v>
      </c>
      <c r="F58" s="48">
        <v>85</v>
      </c>
      <c r="G58" s="48">
        <v>84</v>
      </c>
      <c r="H58" s="48">
        <v>53</v>
      </c>
      <c r="I58" s="48">
        <f t="shared" si="23"/>
        <v>85.333333333333329</v>
      </c>
      <c r="J58" s="48"/>
      <c r="K58" s="48">
        <f t="shared" si="24"/>
        <v>209</v>
      </c>
      <c r="L58" s="48">
        <f t="shared" si="25"/>
        <v>216</v>
      </c>
      <c r="M58" s="48">
        <f t="shared" si="26"/>
        <v>192</v>
      </c>
      <c r="N58" s="48">
        <f t="shared" si="27"/>
        <v>407</v>
      </c>
      <c r="O58" s="28"/>
      <c r="P58" s="115">
        <v>64</v>
      </c>
      <c r="Q58" s="15">
        <v>60</v>
      </c>
      <c r="R58" s="119">
        <v>85</v>
      </c>
      <c r="S58" s="28">
        <v>83</v>
      </c>
      <c r="T58" s="28">
        <v>81</v>
      </c>
      <c r="U58" s="119">
        <v>52</v>
      </c>
      <c r="V58" s="119">
        <v>78</v>
      </c>
      <c r="W58" s="28">
        <v>70</v>
      </c>
      <c r="X58" s="28">
        <v>44</v>
      </c>
      <c r="Y58" s="119">
        <v>44</v>
      </c>
      <c r="Z58" s="115">
        <v>71</v>
      </c>
      <c r="AA58" s="51">
        <v>292</v>
      </c>
    </row>
    <row r="59" spans="1:27">
      <c r="A59" s="75" t="s">
        <v>68</v>
      </c>
      <c r="B59" s="28"/>
      <c r="C59" s="28"/>
      <c r="D59" s="28">
        <v>41</v>
      </c>
      <c r="E59" s="28">
        <v>53</v>
      </c>
      <c r="F59" s="48">
        <v>80</v>
      </c>
      <c r="G59" s="48">
        <v>82</v>
      </c>
      <c r="H59" s="48">
        <v>58</v>
      </c>
      <c r="I59" s="48">
        <f t="shared" si="23"/>
        <v>79.083333333333329</v>
      </c>
      <c r="J59" s="48"/>
      <c r="K59" s="48">
        <f t="shared" si="24"/>
        <v>219</v>
      </c>
      <c r="L59" s="48">
        <f t="shared" si="25"/>
        <v>190</v>
      </c>
      <c r="M59" s="48">
        <f t="shared" si="26"/>
        <v>194</v>
      </c>
      <c r="N59" s="48">
        <f t="shared" si="27"/>
        <v>346</v>
      </c>
      <c r="O59" s="28"/>
      <c r="P59" s="115">
        <v>76</v>
      </c>
      <c r="Q59" s="15">
        <v>75</v>
      </c>
      <c r="R59" s="119">
        <v>68</v>
      </c>
      <c r="S59" s="28">
        <v>56</v>
      </c>
      <c r="T59" s="28">
        <v>79</v>
      </c>
      <c r="U59" s="119">
        <v>55</v>
      </c>
      <c r="V59" s="119">
        <v>25</v>
      </c>
      <c r="W59" s="28">
        <v>88</v>
      </c>
      <c r="X59" s="28">
        <v>81</v>
      </c>
      <c r="Y59" s="119">
        <v>82</v>
      </c>
      <c r="Z59" s="115">
        <v>58</v>
      </c>
      <c r="AA59" s="51">
        <v>206</v>
      </c>
    </row>
    <row r="60" spans="1:27">
      <c r="A60" s="75" t="s">
        <v>69</v>
      </c>
      <c r="B60" s="28"/>
      <c r="C60" s="28"/>
      <c r="D60" s="28">
        <v>48</v>
      </c>
      <c r="E60" s="28">
        <v>56</v>
      </c>
      <c r="F60" s="48">
        <v>76</v>
      </c>
      <c r="G60" s="48">
        <v>69</v>
      </c>
      <c r="H60" s="48">
        <v>37</v>
      </c>
      <c r="I60" s="48">
        <f t="shared" si="23"/>
        <v>60</v>
      </c>
      <c r="J60" s="48"/>
      <c r="K60" s="48">
        <f>IF(SUM(P60:R60)=0,"",SUM(P60:R60))</f>
        <v>169</v>
      </c>
      <c r="L60" s="48">
        <f>IF(SUM(S60:U60)=0,"",SUM(S60:U60))</f>
        <v>155</v>
      </c>
      <c r="M60" s="48">
        <f>IF(SUM(V60:X60)=0,"",SUM(V60:X60))</f>
        <v>127</v>
      </c>
      <c r="N60" s="48">
        <f t="shared" si="27"/>
        <v>269</v>
      </c>
      <c r="O60" s="28"/>
      <c r="P60" s="115">
        <v>52</v>
      </c>
      <c r="Q60" s="15">
        <v>51</v>
      </c>
      <c r="R60" s="119">
        <v>66</v>
      </c>
      <c r="S60" s="28">
        <v>51</v>
      </c>
      <c r="T60" s="28">
        <v>74</v>
      </c>
      <c r="U60" s="119">
        <v>30</v>
      </c>
      <c r="V60" s="119">
        <v>56</v>
      </c>
      <c r="W60" s="28">
        <v>46</v>
      </c>
      <c r="X60" s="28">
        <v>25</v>
      </c>
      <c r="Y60" s="119">
        <v>25</v>
      </c>
      <c r="Z60" s="115">
        <v>56</v>
      </c>
      <c r="AA60" s="51">
        <v>188</v>
      </c>
    </row>
    <row r="61" spans="1:27">
      <c r="A61" s="75" t="s">
        <v>70</v>
      </c>
      <c r="B61" s="16"/>
      <c r="C61" s="16"/>
      <c r="D61" s="16">
        <v>490</v>
      </c>
      <c r="E61" s="16">
        <v>493</v>
      </c>
      <c r="F61" s="76">
        <v>623</v>
      </c>
      <c r="G61" s="76">
        <v>595</v>
      </c>
      <c r="H61" s="76">
        <v>437</v>
      </c>
      <c r="I61" s="76">
        <f>SUM(I54:I60)</f>
        <v>614</v>
      </c>
      <c r="J61" s="76"/>
      <c r="K61" s="76">
        <f>IF(SUM(K54:K60)=0,"",SUM(K54:K60))</f>
        <v>1523</v>
      </c>
      <c r="L61" s="76">
        <f>IF(SUM(L54:L60)=0,"",SUM(L54:L60))</f>
        <v>1639</v>
      </c>
      <c r="M61" s="76">
        <f>IF(SUM(M54:M60)=0,"",SUM(M54:M60))</f>
        <v>1363</v>
      </c>
      <c r="N61" s="76">
        <f>IF(SUM(N54:N60)=0,"",SUM(N54:N60))</f>
        <v>2843</v>
      </c>
      <c r="O61" s="16"/>
      <c r="P61" s="16">
        <f>IF(SUM(P54:P60)=0,"",SUM(P54:P60))</f>
        <v>486</v>
      </c>
      <c r="Q61" s="16">
        <f>IF(SUM(Q54:Q60)=0,"",SUM(Q54:Q60))</f>
        <v>475</v>
      </c>
      <c r="R61" s="16">
        <f t="shared" ref="R61:AA61" si="28">IF(SUM(R54:R60)=0,"",SUM(R54:R60))</f>
        <v>562</v>
      </c>
      <c r="S61" s="16">
        <f t="shared" si="28"/>
        <v>552</v>
      </c>
      <c r="T61" s="16">
        <f t="shared" si="28"/>
        <v>640</v>
      </c>
      <c r="U61" s="16">
        <f t="shared" si="28"/>
        <v>447</v>
      </c>
      <c r="V61" s="16">
        <f t="shared" si="28"/>
        <v>428</v>
      </c>
      <c r="W61" s="16">
        <f>IF(SUM(W54:W60)=0,"",SUM(W54:W60))</f>
        <v>515</v>
      </c>
      <c r="X61" s="16">
        <f>IF(SUM(X54:X60)=0,"",SUM(X54:X60))</f>
        <v>420</v>
      </c>
      <c r="Y61" s="16">
        <f t="shared" si="28"/>
        <v>436</v>
      </c>
      <c r="Z61" s="16">
        <f t="shared" si="28"/>
        <v>502</v>
      </c>
      <c r="AA61" s="16">
        <f t="shared" si="28"/>
        <v>1905</v>
      </c>
    </row>
    <row r="62" spans="1:27">
      <c r="A62" s="24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51"/>
    </row>
    <row r="63" spans="1:27" s="23" customFormat="1" ht="36.75" customHeight="1">
      <c r="A63" s="77"/>
      <c r="B63" s="78"/>
      <c r="C63" s="78"/>
      <c r="D63" s="78" t="s">
        <v>45</v>
      </c>
      <c r="E63" s="78" t="s">
        <v>46</v>
      </c>
      <c r="F63" s="78" t="s">
        <v>47</v>
      </c>
      <c r="G63" s="78" t="s">
        <v>48</v>
      </c>
      <c r="H63" s="78" t="s">
        <v>49</v>
      </c>
      <c r="I63" s="78" t="s">
        <v>50</v>
      </c>
      <c r="J63" s="78"/>
      <c r="K63" s="78" t="s">
        <v>8</v>
      </c>
      <c r="L63" s="78" t="s">
        <v>9</v>
      </c>
      <c r="M63" s="78" t="s">
        <v>10</v>
      </c>
      <c r="N63" s="78" t="s">
        <v>11</v>
      </c>
      <c r="O63" s="78"/>
      <c r="P63" s="78">
        <v>1</v>
      </c>
      <c r="Q63" s="78">
        <v>2</v>
      </c>
      <c r="R63" s="78">
        <v>3</v>
      </c>
      <c r="S63" s="78">
        <v>4</v>
      </c>
      <c r="T63" s="78">
        <v>5</v>
      </c>
      <c r="U63" s="78">
        <v>6</v>
      </c>
      <c r="V63" s="78">
        <v>7</v>
      </c>
      <c r="W63" s="78">
        <v>8</v>
      </c>
      <c r="X63" s="78">
        <v>9</v>
      </c>
      <c r="Y63" s="78">
        <v>10</v>
      </c>
      <c r="Z63" s="78">
        <v>11</v>
      </c>
      <c r="AA63" s="79">
        <v>12</v>
      </c>
    </row>
    <row r="64" spans="1:27">
      <c r="A64" s="75" t="s">
        <v>63</v>
      </c>
      <c r="B64" s="28"/>
      <c r="C64" s="28"/>
      <c r="D64" s="28">
        <v>1</v>
      </c>
      <c r="E64" s="28">
        <v>2</v>
      </c>
      <c r="F64" s="28">
        <v>1</v>
      </c>
      <c r="G64" s="28">
        <v>0</v>
      </c>
      <c r="H64" s="28">
        <v>1</v>
      </c>
      <c r="I64" s="28">
        <v>2</v>
      </c>
      <c r="J64" s="28"/>
      <c r="K64" s="48">
        <v>0</v>
      </c>
      <c r="L64" s="48">
        <v>0</v>
      </c>
      <c r="M64" s="48">
        <v>0</v>
      </c>
      <c r="N64" s="48">
        <f t="shared" ref="N64:N70" si="29">IF(SUM(Y64:AA64)=0,"",SUM(Y64:AA64))</f>
        <v>2</v>
      </c>
      <c r="O64" s="28"/>
      <c r="P64" s="95">
        <v>0</v>
      </c>
      <c r="Q64" s="28">
        <v>0</v>
      </c>
      <c r="R64" s="119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1</v>
      </c>
      <c r="AA64" s="28">
        <v>1</v>
      </c>
    </row>
    <row r="65" spans="1:27">
      <c r="A65" s="75" t="s">
        <v>64</v>
      </c>
      <c r="B65" s="28"/>
      <c r="C65" s="28"/>
      <c r="D65" s="28">
        <v>1</v>
      </c>
      <c r="E65" s="28">
        <v>3</v>
      </c>
      <c r="F65" s="28">
        <v>4</v>
      </c>
      <c r="G65" s="28">
        <v>1</v>
      </c>
      <c r="H65" s="28">
        <v>0</v>
      </c>
      <c r="I65" s="28">
        <v>0</v>
      </c>
      <c r="J65" s="28"/>
      <c r="K65" s="48">
        <v>0</v>
      </c>
      <c r="L65" s="48">
        <v>0</v>
      </c>
      <c r="M65" s="48">
        <v>0</v>
      </c>
      <c r="N65" s="48">
        <v>0</v>
      </c>
      <c r="O65" s="28"/>
      <c r="P65" s="95">
        <v>0</v>
      </c>
      <c r="Q65" s="28">
        <v>0</v>
      </c>
      <c r="R65" s="119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</row>
    <row r="66" spans="1:27">
      <c r="A66" s="75" t="s">
        <v>65</v>
      </c>
      <c r="B66" s="28"/>
      <c r="C66" s="28"/>
      <c r="D66" s="28">
        <v>5</v>
      </c>
      <c r="E66" s="28">
        <v>7</v>
      </c>
      <c r="F66" s="28">
        <v>1</v>
      </c>
      <c r="G66" s="28">
        <v>1</v>
      </c>
      <c r="H66" s="28">
        <v>0</v>
      </c>
      <c r="I66" s="28">
        <v>0</v>
      </c>
      <c r="J66" s="28"/>
      <c r="K66" s="48">
        <v>0</v>
      </c>
      <c r="L66" s="48">
        <v>0</v>
      </c>
      <c r="M66" s="48">
        <v>0</v>
      </c>
      <c r="N66" s="48">
        <v>0</v>
      </c>
      <c r="O66" s="28"/>
      <c r="P66" s="95">
        <v>0</v>
      </c>
      <c r="Q66" s="28">
        <v>0</v>
      </c>
      <c r="R66" s="119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</row>
    <row r="67" spans="1:27">
      <c r="A67" s="75" t="s">
        <v>66</v>
      </c>
      <c r="B67" s="28"/>
      <c r="C67" s="28"/>
      <c r="D67" s="28">
        <v>6</v>
      </c>
      <c r="E67" s="28">
        <v>6</v>
      </c>
      <c r="F67" s="28">
        <v>0</v>
      </c>
      <c r="G67" s="28">
        <v>0</v>
      </c>
      <c r="H67" s="28">
        <v>0</v>
      </c>
      <c r="I67" s="28">
        <v>1</v>
      </c>
      <c r="J67" s="28"/>
      <c r="K67" s="48">
        <v>0</v>
      </c>
      <c r="L67" s="48">
        <v>0</v>
      </c>
      <c r="M67" s="48">
        <v>0</v>
      </c>
      <c r="N67" s="48">
        <f t="shared" si="29"/>
        <v>1</v>
      </c>
      <c r="O67" s="28"/>
      <c r="P67" s="96">
        <v>0</v>
      </c>
      <c r="Q67" s="15">
        <v>0</v>
      </c>
      <c r="R67" s="1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1</v>
      </c>
    </row>
    <row r="68" spans="1:27">
      <c r="A68" s="75" t="s">
        <v>67</v>
      </c>
      <c r="B68" s="28"/>
      <c r="C68" s="28"/>
      <c r="D68" s="28">
        <v>9</v>
      </c>
      <c r="E68" s="28">
        <v>14</v>
      </c>
      <c r="F68" s="28">
        <v>2</v>
      </c>
      <c r="G68" s="28">
        <v>0</v>
      </c>
      <c r="H68" s="28">
        <v>0</v>
      </c>
      <c r="I68" s="28">
        <v>0</v>
      </c>
      <c r="J68" s="28"/>
      <c r="K68" s="48">
        <v>0</v>
      </c>
      <c r="L68" s="48">
        <v>0</v>
      </c>
      <c r="M68" s="48">
        <v>0</v>
      </c>
      <c r="N68" s="48">
        <v>0</v>
      </c>
      <c r="O68" s="28"/>
      <c r="P68" s="96">
        <v>0</v>
      </c>
      <c r="Q68" s="15">
        <v>0</v>
      </c>
      <c r="R68" s="1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>
      <c r="A69" s="75" t="s">
        <v>68</v>
      </c>
      <c r="B69" s="28"/>
      <c r="C69" s="28"/>
      <c r="D69" s="28">
        <v>0</v>
      </c>
      <c r="E69" s="28">
        <v>0</v>
      </c>
      <c r="F69" s="28">
        <v>1</v>
      </c>
      <c r="G69" s="28">
        <v>0</v>
      </c>
      <c r="H69" s="28">
        <v>0</v>
      </c>
      <c r="I69" s="28">
        <v>0</v>
      </c>
      <c r="J69" s="28"/>
      <c r="K69" s="48">
        <v>0</v>
      </c>
      <c r="L69" s="48">
        <v>0</v>
      </c>
      <c r="M69" s="48">
        <v>0</v>
      </c>
      <c r="N69" s="48">
        <v>0</v>
      </c>
      <c r="O69" s="28"/>
      <c r="P69" s="96">
        <v>0</v>
      </c>
      <c r="Q69" s="15">
        <v>0</v>
      </c>
      <c r="R69" s="1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>
      <c r="A70" s="75" t="s">
        <v>69</v>
      </c>
      <c r="B70" s="28"/>
      <c r="C70" s="28"/>
      <c r="D70" s="28">
        <v>4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/>
      <c r="K70" s="48">
        <v>0</v>
      </c>
      <c r="L70" s="48">
        <v>0</v>
      </c>
      <c r="M70" s="48">
        <v>0</v>
      </c>
      <c r="N70" s="48">
        <v>0</v>
      </c>
      <c r="O70" s="28"/>
      <c r="P70" s="96">
        <v>0</v>
      </c>
      <c r="Q70" s="15">
        <v>0</v>
      </c>
      <c r="R70" s="1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80" t="s">
        <v>71</v>
      </c>
      <c r="B71" s="81"/>
      <c r="C71" s="81"/>
      <c r="D71" s="81">
        <v>26</v>
      </c>
      <c r="E71" s="81">
        <v>32</v>
      </c>
      <c r="F71" s="81">
        <v>9</v>
      </c>
      <c r="G71" s="81">
        <v>2</v>
      </c>
      <c r="H71" s="81">
        <v>1</v>
      </c>
      <c r="I71" s="82">
        <f>SUM(I64:I70)</f>
        <v>3</v>
      </c>
      <c r="J71" s="81"/>
      <c r="K71" s="82">
        <f>SUM(K64:K70)</f>
        <v>0</v>
      </c>
      <c r="L71" s="82">
        <f t="shared" ref="L71:N71" si="30">SUM(L64:L70)</f>
        <v>0</v>
      </c>
      <c r="M71" s="82">
        <f t="shared" si="30"/>
        <v>0</v>
      </c>
      <c r="N71" s="82">
        <f t="shared" si="30"/>
        <v>3</v>
      </c>
      <c r="O71" s="81"/>
      <c r="P71" s="81">
        <f t="shared" ref="P71:AA71" si="31">SUM(P64:P70)</f>
        <v>0</v>
      </c>
      <c r="Q71" s="81">
        <f t="shared" si="31"/>
        <v>0</v>
      </c>
      <c r="R71" s="81">
        <f t="shared" si="31"/>
        <v>0</v>
      </c>
      <c r="S71" s="81">
        <f t="shared" si="31"/>
        <v>0</v>
      </c>
      <c r="T71" s="81">
        <f t="shared" si="31"/>
        <v>0</v>
      </c>
      <c r="U71" s="81">
        <f t="shared" si="31"/>
        <v>0</v>
      </c>
      <c r="V71" s="81">
        <f t="shared" si="31"/>
        <v>0</v>
      </c>
      <c r="W71" s="81">
        <f>SUM(W64:W70)</f>
        <v>0</v>
      </c>
      <c r="X71" s="81">
        <f>SUM(X64:X70)</f>
        <v>0</v>
      </c>
      <c r="Y71" s="81">
        <f t="shared" si="31"/>
        <v>0</v>
      </c>
      <c r="Z71" s="81">
        <f t="shared" si="31"/>
        <v>1</v>
      </c>
      <c r="AA71" s="81">
        <f t="shared" si="31"/>
        <v>2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0"/>
  <sheetViews>
    <sheetView topLeftCell="A31" zoomScale="80" zoomScaleNormal="80" workbookViewId="0">
      <pane xSplit="1" topLeftCell="Q12" activePane="topRight" state="frozen"/>
      <selection pane="topRight" activeCell="J10" sqref="J10"/>
    </sheetView>
  </sheetViews>
  <sheetFormatPr defaultColWidth="9" defaultRowHeight="13.5"/>
  <cols>
    <col min="1" max="1" width="13.5" style="1" bestFit="1" customWidth="1"/>
    <col min="2" max="6" width="15.125" style="1" bestFit="1" customWidth="1"/>
    <col min="7" max="7" width="15.125" style="1" customWidth="1"/>
    <col min="8" max="9" width="16.375" style="8" customWidth="1"/>
    <col min="10" max="18" width="13.875" style="1" bestFit="1" customWidth="1"/>
    <col min="19" max="21" width="15" style="1" bestFit="1" customWidth="1"/>
    <col min="22" max="22" width="9" style="1" customWidth="1"/>
    <col min="23" max="24" width="4.875" style="1" customWidth="1"/>
    <col min="25" max="25" width="4.625" style="1" customWidth="1"/>
    <col min="26" max="26" width="4.875" style="1" customWidth="1"/>
    <col min="27" max="27" width="5" style="1" customWidth="1"/>
    <col min="28" max="30" width="5.125" style="1" customWidth="1"/>
    <col min="31" max="31" width="4.5" style="1" customWidth="1"/>
    <col min="32" max="35" width="5.125" style="1" customWidth="1"/>
    <col min="36" max="39" width="5.5" style="1" customWidth="1"/>
    <col min="40" max="44" width="6.625" style="1" customWidth="1"/>
    <col min="45" max="75" width="9" style="1" customWidth="1"/>
    <col min="76" max="79" width="9" style="1"/>
    <col min="80" max="80" width="16.625" style="1" bestFit="1" customWidth="1"/>
    <col min="81" max="16384" width="9" style="1"/>
  </cols>
  <sheetData>
    <row r="1" spans="1:80" ht="15.75">
      <c r="A1" s="138" t="s">
        <v>72</v>
      </c>
      <c r="B1" s="134" t="s">
        <v>73</v>
      </c>
      <c r="C1" s="134" t="s">
        <v>74</v>
      </c>
      <c r="D1" s="134" t="s">
        <v>75</v>
      </c>
      <c r="E1" s="134" t="s">
        <v>76</v>
      </c>
      <c r="F1" s="134" t="s">
        <v>77</v>
      </c>
      <c r="G1" s="134" t="s">
        <v>78</v>
      </c>
      <c r="H1" s="134" t="s">
        <v>79</v>
      </c>
      <c r="I1" s="87"/>
      <c r="J1" s="134" t="s">
        <v>80</v>
      </c>
      <c r="K1" s="134" t="s">
        <v>81</v>
      </c>
      <c r="L1" s="133" t="s">
        <v>82</v>
      </c>
      <c r="M1" s="133" t="s">
        <v>83</v>
      </c>
      <c r="N1" s="133" t="s">
        <v>84</v>
      </c>
      <c r="O1" s="133" t="s">
        <v>85</v>
      </c>
      <c r="P1" s="133" t="s">
        <v>86</v>
      </c>
      <c r="Q1" s="133" t="s">
        <v>87</v>
      </c>
      <c r="R1" s="133" t="s">
        <v>88</v>
      </c>
      <c r="S1" s="133" t="s">
        <v>89</v>
      </c>
      <c r="T1" s="133" t="s">
        <v>90</v>
      </c>
      <c r="U1" s="133" t="s">
        <v>91</v>
      </c>
      <c r="V1" s="134"/>
      <c r="W1" s="124" t="s">
        <v>92</v>
      </c>
      <c r="X1" s="125"/>
      <c r="Y1" s="125"/>
      <c r="Z1" s="125"/>
      <c r="AA1" s="126"/>
      <c r="AB1" s="124" t="s">
        <v>93</v>
      </c>
      <c r="AC1" s="125"/>
      <c r="AD1" s="125"/>
      <c r="AE1" s="126"/>
      <c r="AF1" s="124" t="s">
        <v>94</v>
      </c>
      <c r="AG1" s="125"/>
      <c r="AH1" s="125"/>
      <c r="AI1" s="126"/>
      <c r="AJ1" s="124" t="s">
        <v>95</v>
      </c>
      <c r="AK1" s="136"/>
      <c r="AL1" s="136"/>
      <c r="AM1" s="136"/>
      <c r="AN1" s="125" t="s">
        <v>96</v>
      </c>
      <c r="AO1" s="136"/>
      <c r="AP1" s="136"/>
      <c r="AQ1" s="136"/>
      <c r="AR1" s="137"/>
      <c r="AS1" s="124" t="s">
        <v>97</v>
      </c>
      <c r="AT1" s="125"/>
      <c r="AU1" s="125"/>
      <c r="AV1" s="126"/>
      <c r="AW1" s="124" t="s">
        <v>98</v>
      </c>
      <c r="AX1" s="125"/>
      <c r="AY1" s="125"/>
      <c r="AZ1" s="125"/>
      <c r="BA1" s="126"/>
      <c r="BB1" s="135" t="s">
        <v>99</v>
      </c>
      <c r="BC1" s="136"/>
      <c r="BD1" s="136"/>
      <c r="BE1" s="137"/>
      <c r="BF1" s="135" t="s">
        <v>100</v>
      </c>
      <c r="BG1" s="136"/>
      <c r="BH1" s="136"/>
      <c r="BI1" s="137"/>
      <c r="BJ1" s="135" t="s">
        <v>101</v>
      </c>
      <c r="BK1" s="136"/>
      <c r="BL1" s="136"/>
      <c r="BM1" s="136"/>
      <c r="BN1" s="137"/>
      <c r="BO1" s="135" t="s">
        <v>102</v>
      </c>
      <c r="BP1" s="136"/>
      <c r="BQ1" s="136"/>
      <c r="BR1" s="137"/>
      <c r="BS1" s="135" t="s">
        <v>103</v>
      </c>
      <c r="BT1" s="136"/>
      <c r="BU1" s="136"/>
      <c r="BV1" s="136"/>
      <c r="BW1" s="137"/>
    </row>
    <row r="2" spans="1:80" ht="13.9" customHeight="1">
      <c r="A2" s="139"/>
      <c r="B2" s="128"/>
      <c r="C2" s="128"/>
      <c r="D2" s="128"/>
      <c r="E2" s="128"/>
      <c r="F2" s="128"/>
      <c r="G2" s="128"/>
      <c r="H2" s="128"/>
      <c r="I2" s="123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4" t="s">
        <v>104</v>
      </c>
      <c r="X2" s="95" t="s">
        <v>105</v>
      </c>
      <c r="Y2" s="14" t="s">
        <v>106</v>
      </c>
      <c r="Z2" s="95" t="s">
        <v>107</v>
      </c>
      <c r="AA2" s="14" t="s">
        <v>108</v>
      </c>
      <c r="AB2" s="95" t="s">
        <v>109</v>
      </c>
      <c r="AC2" s="95" t="s">
        <v>110</v>
      </c>
      <c r="AD2" s="95" t="s">
        <v>111</v>
      </c>
      <c r="AE2" s="95" t="s">
        <v>112</v>
      </c>
      <c r="AF2" s="14" t="s">
        <v>113</v>
      </c>
      <c r="AG2" s="95" t="s">
        <v>114</v>
      </c>
      <c r="AH2" s="95" t="s">
        <v>115</v>
      </c>
      <c r="AI2" s="95" t="s">
        <v>116</v>
      </c>
      <c r="AJ2" s="95" t="s">
        <v>117</v>
      </c>
      <c r="AK2" s="95" t="s">
        <v>118</v>
      </c>
      <c r="AL2" s="95" t="s">
        <v>119</v>
      </c>
      <c r="AM2" s="95" t="s">
        <v>120</v>
      </c>
      <c r="AN2" s="95" t="s">
        <v>121</v>
      </c>
      <c r="AO2" s="95" t="s">
        <v>122</v>
      </c>
      <c r="AP2" s="95" t="s">
        <v>123</v>
      </c>
      <c r="AQ2" s="95" t="s">
        <v>124</v>
      </c>
      <c r="AR2" s="95" t="s">
        <v>125</v>
      </c>
      <c r="AS2" s="95" t="s">
        <v>126</v>
      </c>
      <c r="AT2" s="95" t="s">
        <v>127</v>
      </c>
      <c r="AU2" s="95" t="s">
        <v>128</v>
      </c>
      <c r="AV2" s="95" t="s">
        <v>129</v>
      </c>
      <c r="AW2" s="95" t="s">
        <v>130</v>
      </c>
      <c r="AX2" s="95" t="s">
        <v>131</v>
      </c>
      <c r="AY2" s="95" t="s">
        <v>132</v>
      </c>
      <c r="AZ2" s="95" t="s">
        <v>133</v>
      </c>
      <c r="BA2" s="95" t="s">
        <v>134</v>
      </c>
      <c r="BB2" s="95" t="s">
        <v>135</v>
      </c>
      <c r="BC2" s="95" t="s">
        <v>136</v>
      </c>
      <c r="BD2" s="95" t="s">
        <v>137</v>
      </c>
      <c r="BE2" s="95" t="s">
        <v>138</v>
      </c>
      <c r="BF2" s="95" t="s">
        <v>139</v>
      </c>
      <c r="BG2" s="95" t="s">
        <v>140</v>
      </c>
      <c r="BH2" s="95" t="s">
        <v>141</v>
      </c>
      <c r="BI2" s="95" t="s">
        <v>142</v>
      </c>
      <c r="BJ2" s="95" t="s">
        <v>143</v>
      </c>
      <c r="BK2" s="95" t="s">
        <v>144</v>
      </c>
      <c r="BL2" s="95" t="s">
        <v>145</v>
      </c>
      <c r="BM2" s="95" t="s">
        <v>146</v>
      </c>
      <c r="BN2" s="95" t="s">
        <v>147</v>
      </c>
      <c r="BO2" s="95" t="s">
        <v>148</v>
      </c>
      <c r="BP2" s="95" t="s">
        <v>149</v>
      </c>
      <c r="BQ2" s="95" t="s">
        <v>150</v>
      </c>
      <c r="BR2" s="95" t="s">
        <v>151</v>
      </c>
      <c r="BS2" s="95" t="s">
        <v>152</v>
      </c>
      <c r="BT2" s="95" t="s">
        <v>153</v>
      </c>
      <c r="BU2" s="95" t="s">
        <v>154</v>
      </c>
      <c r="BV2" s="95" t="s">
        <v>155</v>
      </c>
      <c r="BW2" s="95"/>
    </row>
    <row r="3" spans="1:80" ht="23.25" customHeight="1">
      <c r="A3" s="9" t="s">
        <v>156</v>
      </c>
      <c r="B3" s="6">
        <v>0.54</v>
      </c>
      <c r="C3" s="6">
        <v>0.09</v>
      </c>
      <c r="D3" s="6">
        <v>0.16</v>
      </c>
      <c r="E3" s="6">
        <v>0.12</v>
      </c>
      <c r="F3" s="6">
        <v>0.03</v>
      </c>
      <c r="G3" s="6">
        <v>0.01</v>
      </c>
      <c r="H3" s="6">
        <f>AVERAGE(J17:U17)/G28*100</f>
        <v>5.7471264367816091E-2</v>
      </c>
      <c r="I3" s="88"/>
      <c r="J3" s="2">
        <f t="shared" ref="J3:O3" si="0">J17/J28</f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0</v>
      </c>
      <c r="P3" s="2">
        <f t="shared" ref="P3:U3" si="1">P17/P28</f>
        <v>0</v>
      </c>
      <c r="Q3" s="2">
        <f t="shared" si="1"/>
        <v>0</v>
      </c>
      <c r="R3" s="2">
        <f t="shared" si="1"/>
        <v>0</v>
      </c>
      <c r="S3" s="2">
        <f t="shared" si="1"/>
        <v>0</v>
      </c>
      <c r="T3" s="2">
        <f t="shared" si="1"/>
        <v>1.9920318725099601E-3</v>
      </c>
      <c r="U3" s="2">
        <f t="shared" si="1"/>
        <v>1.0498687664041995E-3</v>
      </c>
      <c r="V3" s="112"/>
      <c r="W3" s="95">
        <v>0</v>
      </c>
      <c r="X3" s="95">
        <v>0</v>
      </c>
      <c r="Y3" s="95">
        <v>0</v>
      </c>
      <c r="Z3" s="95">
        <v>0</v>
      </c>
      <c r="AA3" s="95">
        <v>0</v>
      </c>
      <c r="AB3" s="95">
        <v>0</v>
      </c>
      <c r="AC3" s="95">
        <v>0</v>
      </c>
      <c r="AD3" s="95">
        <v>0</v>
      </c>
      <c r="AE3" s="95">
        <v>0</v>
      </c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1">
        <v>6</v>
      </c>
    </row>
    <row r="4" spans="1:80" ht="23.25" customHeight="1">
      <c r="A4" s="10" t="s">
        <v>157</v>
      </c>
      <c r="B4" s="7">
        <v>0.68</v>
      </c>
      <c r="C4" s="7">
        <v>0.28999999999999998</v>
      </c>
      <c r="D4" s="7">
        <v>0.3</v>
      </c>
      <c r="E4" s="7">
        <v>0.22</v>
      </c>
      <c r="F4" s="7">
        <v>0.09</v>
      </c>
      <c r="G4" s="7">
        <v>0.19</v>
      </c>
      <c r="H4" s="7">
        <f>AVERAGE(J37:U37)/G46*100</f>
        <v>0.25197984161267101</v>
      </c>
      <c r="I4" s="89"/>
      <c r="J4" s="2">
        <f t="shared" ref="J4:O4" si="2">J37/J46</f>
        <v>0</v>
      </c>
      <c r="K4" s="2">
        <f t="shared" si="2"/>
        <v>0</v>
      </c>
      <c r="L4" s="2">
        <f t="shared" si="2"/>
        <v>1.8315018315018315E-3</v>
      </c>
      <c r="M4" s="2">
        <f t="shared" si="2"/>
        <v>0</v>
      </c>
      <c r="N4" s="2">
        <f t="shared" si="2"/>
        <v>0</v>
      </c>
      <c r="O4" s="2">
        <f t="shared" si="2"/>
        <v>1.7605633802816902E-3</v>
      </c>
      <c r="P4" s="2">
        <f t="shared" ref="P4:U4" si="3">P37/P46</f>
        <v>0</v>
      </c>
      <c r="Q4" s="2">
        <f t="shared" si="3"/>
        <v>0</v>
      </c>
      <c r="R4" s="2">
        <f t="shared" si="3"/>
        <v>0</v>
      </c>
      <c r="S4" s="2">
        <f t="shared" si="3"/>
        <v>0</v>
      </c>
      <c r="T4" s="2">
        <f t="shared" si="3"/>
        <v>6.7720090293453723E-3</v>
      </c>
      <c r="U4" s="2">
        <f t="shared" si="3"/>
        <v>2.1028037383177569E-2</v>
      </c>
      <c r="V4" s="113"/>
      <c r="W4" s="95">
        <v>0</v>
      </c>
      <c r="X4" s="95">
        <v>0</v>
      </c>
      <c r="Y4" s="95">
        <v>0</v>
      </c>
      <c r="Z4" s="95">
        <v>0</v>
      </c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</row>
    <row r="5" spans="1:80" ht="23.25" customHeight="1">
      <c r="A5" s="11" t="s">
        <v>158</v>
      </c>
      <c r="B5" s="12">
        <v>0.17</v>
      </c>
      <c r="C5" s="12">
        <v>0.19</v>
      </c>
      <c r="D5" s="12">
        <v>0.11</v>
      </c>
      <c r="E5" s="12">
        <v>0.13</v>
      </c>
      <c r="F5" s="12">
        <v>0.05</v>
      </c>
      <c r="G5" s="12">
        <v>0.06</v>
      </c>
      <c r="H5" s="12">
        <f>AVERAGE(J57:U57)/G68*100</f>
        <v>0.15547263681592041</v>
      </c>
      <c r="I5" s="90"/>
      <c r="J5" s="13">
        <f t="shared" ref="J5:O5" si="4">J57/J68</f>
        <v>0</v>
      </c>
      <c r="K5" s="13">
        <f t="shared" si="4"/>
        <v>2.6075619295958278E-3</v>
      </c>
      <c r="L5" s="13">
        <f t="shared" si="4"/>
        <v>0</v>
      </c>
      <c r="M5" s="13">
        <f t="shared" si="4"/>
        <v>3.3333333333333335E-3</v>
      </c>
      <c r="N5" s="13">
        <f t="shared" si="4"/>
        <v>9.3370681605975728E-4</v>
      </c>
      <c r="O5" s="13">
        <f t="shared" si="4"/>
        <v>3.1282586027111575E-3</v>
      </c>
      <c r="P5" s="13">
        <f t="shared" ref="P5:U6" si="5">P57/P68</f>
        <v>0</v>
      </c>
      <c r="Q5" s="13">
        <f t="shared" si="5"/>
        <v>1.1904761904761906E-3</v>
      </c>
      <c r="R5" s="13">
        <f t="shared" si="5"/>
        <v>1.1627906976744186E-3</v>
      </c>
      <c r="S5" s="13">
        <f t="shared" si="5"/>
        <v>1.3054830287206266E-3</v>
      </c>
      <c r="T5" s="13">
        <f t="shared" si="5"/>
        <v>1.2690355329949238E-3</v>
      </c>
      <c r="U5" s="13">
        <f t="shared" si="5"/>
        <v>2.7100271002710027E-3</v>
      </c>
      <c r="V5" s="114"/>
      <c r="W5" s="95">
        <v>0</v>
      </c>
      <c r="X5" s="95">
        <v>0</v>
      </c>
      <c r="Y5" s="95">
        <v>0</v>
      </c>
      <c r="Z5" s="95">
        <v>0</v>
      </c>
      <c r="AA5" s="95">
        <v>0</v>
      </c>
      <c r="AB5" s="95">
        <v>0</v>
      </c>
      <c r="AC5" s="95">
        <v>2</v>
      </c>
      <c r="AD5" s="95">
        <v>0</v>
      </c>
      <c r="AE5" s="95">
        <v>0</v>
      </c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</row>
    <row r="6" spans="1:80" ht="23.25" customHeight="1">
      <c r="A6" s="3"/>
      <c r="B6" s="3"/>
      <c r="C6" s="3"/>
      <c r="D6" s="3"/>
      <c r="E6" s="3"/>
      <c r="F6" s="3"/>
      <c r="G6" s="3"/>
      <c r="H6" s="3"/>
      <c r="I6" s="9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</row>
    <row r="7" spans="1:80">
      <c r="H7" s="1"/>
    </row>
    <row r="8" spans="1:80" ht="16.5" thickTop="1">
      <c r="A8" s="140" t="s">
        <v>159</v>
      </c>
      <c r="B8" s="127" t="s">
        <v>160</v>
      </c>
      <c r="C8" s="127" t="s">
        <v>161</v>
      </c>
      <c r="D8" s="127" t="s">
        <v>162</v>
      </c>
      <c r="E8" s="127" t="s">
        <v>163</v>
      </c>
      <c r="F8" s="127" t="s">
        <v>164</v>
      </c>
      <c r="G8" s="127" t="s">
        <v>165</v>
      </c>
      <c r="H8" s="127" t="s">
        <v>166</v>
      </c>
      <c r="I8" s="121"/>
      <c r="J8" s="127" t="s">
        <v>80</v>
      </c>
      <c r="K8" s="127" t="s">
        <v>81</v>
      </c>
      <c r="L8" s="127" t="s">
        <v>82</v>
      </c>
      <c r="M8" s="127" t="s">
        <v>83</v>
      </c>
      <c r="N8" s="127" t="s">
        <v>84</v>
      </c>
      <c r="O8" s="127" t="s">
        <v>85</v>
      </c>
      <c r="P8" s="127" t="s">
        <v>86</v>
      </c>
      <c r="Q8" s="127" t="s">
        <v>87</v>
      </c>
      <c r="R8" s="127" t="s">
        <v>167</v>
      </c>
      <c r="S8" s="127" t="s">
        <v>89</v>
      </c>
      <c r="T8" s="127" t="s">
        <v>90</v>
      </c>
      <c r="U8" s="131" t="s">
        <v>91</v>
      </c>
      <c r="V8" s="129"/>
      <c r="W8" s="124" t="s">
        <v>92</v>
      </c>
      <c r="X8" s="125"/>
      <c r="Y8" s="125"/>
      <c r="Z8" s="125"/>
      <c r="AA8" s="126"/>
      <c r="AB8" s="124" t="s">
        <v>93</v>
      </c>
      <c r="AC8" s="125"/>
      <c r="AD8" s="125"/>
      <c r="AE8" s="126"/>
      <c r="AF8" s="124" t="s">
        <v>94</v>
      </c>
      <c r="AG8" s="125"/>
      <c r="AH8" s="125"/>
      <c r="AI8" s="126"/>
      <c r="AJ8" s="124" t="s">
        <v>95</v>
      </c>
      <c r="AK8" s="125"/>
      <c r="AL8" s="125"/>
      <c r="AM8" s="125"/>
      <c r="AN8" s="125" t="s">
        <v>96</v>
      </c>
      <c r="AO8" s="136"/>
      <c r="AP8" s="136"/>
      <c r="AQ8" s="136"/>
      <c r="AR8" s="137"/>
      <c r="AS8" s="124" t="s">
        <v>97</v>
      </c>
      <c r="AT8" s="125"/>
      <c r="AU8" s="125"/>
      <c r="AV8" s="126"/>
      <c r="AW8" s="124" t="s">
        <v>98</v>
      </c>
      <c r="AX8" s="125"/>
      <c r="AY8" s="125"/>
      <c r="AZ8" s="125"/>
      <c r="BA8" s="126"/>
      <c r="BB8" s="135" t="s">
        <v>168</v>
      </c>
      <c r="BC8" s="136"/>
      <c r="BD8" s="136"/>
      <c r="BE8" s="137"/>
      <c r="BF8" s="135" t="s">
        <v>169</v>
      </c>
      <c r="BG8" s="136"/>
      <c r="BH8" s="136"/>
      <c r="BI8" s="137"/>
      <c r="BJ8" s="135" t="s">
        <v>101</v>
      </c>
      <c r="BK8" s="136"/>
      <c r="BL8" s="136"/>
      <c r="BM8" s="136"/>
      <c r="BN8" s="137"/>
      <c r="BO8" s="135" t="s">
        <v>170</v>
      </c>
      <c r="BP8" s="136"/>
      <c r="BQ8" s="136"/>
      <c r="BR8" s="137"/>
      <c r="BS8" s="135" t="s">
        <v>103</v>
      </c>
      <c r="BT8" s="136"/>
      <c r="BU8" s="136"/>
      <c r="BV8" s="136"/>
      <c r="BW8" s="137"/>
      <c r="BZ8"/>
      <c r="CA8"/>
      <c r="CB8" s="83"/>
    </row>
    <row r="9" spans="1:80" ht="15.75">
      <c r="A9" s="141"/>
      <c r="B9" s="128"/>
      <c r="C9" s="128"/>
      <c r="D9" s="128"/>
      <c r="E9" s="128"/>
      <c r="F9" s="128"/>
      <c r="G9" s="128"/>
      <c r="H9" s="128"/>
      <c r="I9" s="15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32"/>
      <c r="V9" s="130"/>
      <c r="W9" s="95" t="s">
        <v>171</v>
      </c>
      <c r="X9" s="14" t="s">
        <v>172</v>
      </c>
      <c r="Y9" s="95" t="s">
        <v>106</v>
      </c>
      <c r="Z9" s="95" t="s">
        <v>107</v>
      </c>
      <c r="AA9" s="14" t="s">
        <v>108</v>
      </c>
      <c r="AB9" s="95" t="s">
        <v>109</v>
      </c>
      <c r="AC9" s="95" t="s">
        <v>110</v>
      </c>
      <c r="AD9" s="95" t="s">
        <v>111</v>
      </c>
      <c r="AE9" s="95" t="s">
        <v>112</v>
      </c>
      <c r="AF9" s="14" t="s">
        <v>113</v>
      </c>
      <c r="AG9" s="95" t="s">
        <v>114</v>
      </c>
      <c r="AH9" s="95" t="s">
        <v>115</v>
      </c>
      <c r="AI9" s="95" t="s">
        <v>116</v>
      </c>
      <c r="AJ9" s="95" t="s">
        <v>117</v>
      </c>
      <c r="AK9" s="95" t="s">
        <v>118</v>
      </c>
      <c r="AL9" s="95" t="s">
        <v>119</v>
      </c>
      <c r="AM9" s="95" t="s">
        <v>120</v>
      </c>
      <c r="AN9" s="95" t="s">
        <v>121</v>
      </c>
      <c r="AO9" s="95" t="s">
        <v>122</v>
      </c>
      <c r="AP9" s="95" t="s">
        <v>123</v>
      </c>
      <c r="AQ9" s="95" t="s">
        <v>124</v>
      </c>
      <c r="AR9" s="95" t="s">
        <v>125</v>
      </c>
      <c r="AS9" s="95" t="s">
        <v>126</v>
      </c>
      <c r="AT9" s="95" t="s">
        <v>127</v>
      </c>
      <c r="AU9" s="95" t="s">
        <v>128</v>
      </c>
      <c r="AV9" s="95" t="s">
        <v>129</v>
      </c>
      <c r="AW9" s="95" t="s">
        <v>173</v>
      </c>
      <c r="AX9" s="95" t="s">
        <v>174</v>
      </c>
      <c r="AY9" s="95" t="s">
        <v>132</v>
      </c>
      <c r="AZ9" s="95" t="s">
        <v>133</v>
      </c>
      <c r="BA9" s="95" t="s">
        <v>134</v>
      </c>
      <c r="BB9" s="95" t="s">
        <v>175</v>
      </c>
      <c r="BC9" s="95" t="s">
        <v>176</v>
      </c>
      <c r="BD9" s="95" t="s">
        <v>177</v>
      </c>
      <c r="BE9" s="95" t="s">
        <v>178</v>
      </c>
      <c r="BF9" s="95" t="s">
        <v>139</v>
      </c>
      <c r="BG9" s="95" t="s">
        <v>140</v>
      </c>
      <c r="BH9" s="95" t="s">
        <v>141</v>
      </c>
      <c r="BI9" s="95" t="s">
        <v>142</v>
      </c>
      <c r="BJ9" s="95" t="s">
        <v>143</v>
      </c>
      <c r="BK9" s="95" t="s">
        <v>144</v>
      </c>
      <c r="BL9" s="95" t="s">
        <v>145</v>
      </c>
      <c r="BM9" s="95" t="s">
        <v>146</v>
      </c>
      <c r="BN9" s="95" t="s">
        <v>147</v>
      </c>
      <c r="BO9" s="95" t="s">
        <v>179</v>
      </c>
      <c r="BP9" s="95" t="s">
        <v>180</v>
      </c>
      <c r="BQ9" s="95" t="s">
        <v>150</v>
      </c>
      <c r="BR9" s="95" t="s">
        <v>151</v>
      </c>
      <c r="BS9" s="95" t="s">
        <v>152</v>
      </c>
      <c r="BT9" s="95" t="s">
        <v>153</v>
      </c>
      <c r="BU9" s="95" t="s">
        <v>154</v>
      </c>
      <c r="BV9" s="95" t="s">
        <v>155</v>
      </c>
      <c r="BW9" s="95"/>
      <c r="BZ9"/>
      <c r="CA9"/>
      <c r="CB9" s="83"/>
    </row>
    <row r="10" spans="1:80" ht="16.5">
      <c r="A10" s="97" t="s">
        <v>181</v>
      </c>
      <c r="B10" s="28">
        <v>2</v>
      </c>
      <c r="C10" s="28">
        <v>1</v>
      </c>
      <c r="D10" s="28">
        <v>1</v>
      </c>
      <c r="E10" s="28">
        <v>1</v>
      </c>
      <c r="F10" s="28">
        <v>0</v>
      </c>
      <c r="G10" s="28">
        <v>1</v>
      </c>
      <c r="H10" s="28">
        <f t="shared" ref="H10:H16" si="6">SUM(J10:U10)</f>
        <v>2</v>
      </c>
      <c r="I10" s="15"/>
      <c r="J10" s="119">
        <v>0</v>
      </c>
      <c r="K10" s="119">
        <v>0</v>
      </c>
      <c r="L10" s="119">
        <v>0</v>
      </c>
      <c r="M10" s="119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119">
        <v>1</v>
      </c>
      <c r="U10" s="120">
        <v>1</v>
      </c>
      <c r="V10" s="122"/>
      <c r="W10" s="95">
        <v>0</v>
      </c>
      <c r="X10" s="95">
        <v>0</v>
      </c>
      <c r="Y10" s="95">
        <v>0</v>
      </c>
      <c r="Z10" s="95">
        <v>0</v>
      </c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>
        <v>0</v>
      </c>
      <c r="AJ10" s="95">
        <v>0</v>
      </c>
      <c r="AK10" s="95">
        <v>0</v>
      </c>
      <c r="AL10" s="95">
        <v>0</v>
      </c>
      <c r="AM10" s="95">
        <v>0</v>
      </c>
      <c r="AN10" s="95">
        <v>0</v>
      </c>
      <c r="AO10" s="95">
        <v>0</v>
      </c>
      <c r="AP10" s="95">
        <v>0</v>
      </c>
      <c r="AQ10" s="95">
        <v>0</v>
      </c>
      <c r="AR10" s="95">
        <v>0</v>
      </c>
      <c r="AS10" s="95">
        <v>0</v>
      </c>
      <c r="AT10" s="95">
        <v>0</v>
      </c>
      <c r="AU10" s="95">
        <v>0</v>
      </c>
      <c r="AV10" s="95">
        <v>0</v>
      </c>
      <c r="AW10" s="95">
        <v>0</v>
      </c>
      <c r="AX10" s="95">
        <v>0</v>
      </c>
      <c r="AY10" s="95">
        <v>0</v>
      </c>
      <c r="AZ10" s="95">
        <v>0</v>
      </c>
      <c r="BA10" s="95">
        <v>0</v>
      </c>
      <c r="BB10" s="95">
        <v>0</v>
      </c>
      <c r="BC10" s="95">
        <v>0</v>
      </c>
      <c r="BD10" s="95">
        <v>0</v>
      </c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Z10"/>
      <c r="CA10"/>
      <c r="CB10" s="83"/>
    </row>
    <row r="11" spans="1:80" ht="16.5">
      <c r="A11" s="109" t="s">
        <v>182</v>
      </c>
      <c r="B11" s="28">
        <v>3</v>
      </c>
      <c r="C11" s="28">
        <v>1</v>
      </c>
      <c r="D11" s="28">
        <v>2</v>
      </c>
      <c r="E11" s="28">
        <v>4</v>
      </c>
      <c r="F11" s="28">
        <v>1</v>
      </c>
      <c r="G11" s="28">
        <v>0</v>
      </c>
      <c r="H11" s="28">
        <f t="shared" si="6"/>
        <v>0</v>
      </c>
      <c r="I11" s="15"/>
      <c r="J11" s="119">
        <v>0</v>
      </c>
      <c r="K11" s="119">
        <v>0</v>
      </c>
      <c r="L11" s="119">
        <v>0</v>
      </c>
      <c r="M11" s="119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119">
        <v>0</v>
      </c>
      <c r="U11" s="120">
        <v>0</v>
      </c>
      <c r="V11" s="122"/>
      <c r="W11" s="95">
        <v>0</v>
      </c>
      <c r="X11" s="95">
        <v>0</v>
      </c>
      <c r="Y11" s="95">
        <v>0</v>
      </c>
      <c r="Z11" s="95">
        <v>0</v>
      </c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>
        <v>0</v>
      </c>
      <c r="AJ11" s="95">
        <v>0</v>
      </c>
      <c r="AK11" s="95">
        <v>0</v>
      </c>
      <c r="AL11" s="95">
        <v>0</v>
      </c>
      <c r="AM11" s="95">
        <v>0</v>
      </c>
      <c r="AN11" s="95">
        <v>0</v>
      </c>
      <c r="AO11" s="95">
        <v>0</v>
      </c>
      <c r="AP11" s="95">
        <v>0</v>
      </c>
      <c r="AQ11" s="95">
        <v>0</v>
      </c>
      <c r="AR11" s="95">
        <v>0</v>
      </c>
      <c r="AS11" s="95">
        <v>0</v>
      </c>
      <c r="AT11" s="95">
        <v>0</v>
      </c>
      <c r="AU11" s="95">
        <v>0</v>
      </c>
      <c r="AV11" s="95">
        <v>0</v>
      </c>
      <c r="AW11" s="95">
        <v>0</v>
      </c>
      <c r="AX11" s="95">
        <v>0</v>
      </c>
      <c r="AY11" s="95">
        <v>0</v>
      </c>
      <c r="AZ11" s="95">
        <v>0</v>
      </c>
      <c r="BA11" s="95">
        <v>0</v>
      </c>
      <c r="BB11" s="95">
        <v>0</v>
      </c>
      <c r="BC11" s="95">
        <v>0</v>
      </c>
      <c r="BD11" s="95">
        <v>0</v>
      </c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Z11"/>
      <c r="CA11"/>
      <c r="CB11" s="83"/>
    </row>
    <row r="12" spans="1:80" ht="16.5">
      <c r="A12" s="109" t="s">
        <v>183</v>
      </c>
      <c r="B12" s="28">
        <v>7</v>
      </c>
      <c r="C12" s="28">
        <v>0</v>
      </c>
      <c r="D12" s="28">
        <v>1</v>
      </c>
      <c r="E12" s="28">
        <v>1</v>
      </c>
      <c r="F12" s="28">
        <v>1</v>
      </c>
      <c r="G12" s="28">
        <v>0</v>
      </c>
      <c r="H12" s="28">
        <f t="shared" si="6"/>
        <v>0</v>
      </c>
      <c r="I12" s="15"/>
      <c r="J12" s="119">
        <v>0</v>
      </c>
      <c r="K12" s="119">
        <v>0</v>
      </c>
      <c r="L12" s="119">
        <v>0</v>
      </c>
      <c r="M12" s="119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119">
        <v>0</v>
      </c>
      <c r="U12" s="120">
        <v>0</v>
      </c>
      <c r="V12" s="122"/>
      <c r="W12" s="95">
        <v>0</v>
      </c>
      <c r="X12" s="95">
        <v>0</v>
      </c>
      <c r="Y12" s="95">
        <v>0</v>
      </c>
      <c r="Z12" s="95">
        <v>0</v>
      </c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95">
        <v>0</v>
      </c>
      <c r="AJ12" s="95">
        <v>0</v>
      </c>
      <c r="AK12" s="95">
        <v>0</v>
      </c>
      <c r="AL12" s="95">
        <v>0</v>
      </c>
      <c r="AM12" s="95">
        <v>0</v>
      </c>
      <c r="AN12" s="95">
        <v>0</v>
      </c>
      <c r="AO12" s="95">
        <v>0</v>
      </c>
      <c r="AP12" s="95">
        <v>0</v>
      </c>
      <c r="AQ12" s="95">
        <v>0</v>
      </c>
      <c r="AR12" s="95">
        <v>0</v>
      </c>
      <c r="AS12" s="95">
        <v>0</v>
      </c>
      <c r="AT12" s="95">
        <v>0</v>
      </c>
      <c r="AU12" s="95">
        <v>0</v>
      </c>
      <c r="AV12" s="95">
        <v>0</v>
      </c>
      <c r="AW12" s="95">
        <v>0</v>
      </c>
      <c r="AX12" s="95">
        <v>0</v>
      </c>
      <c r="AY12" s="95">
        <v>0</v>
      </c>
      <c r="AZ12" s="95">
        <v>0</v>
      </c>
      <c r="BA12" s="95">
        <v>0</v>
      </c>
      <c r="BB12" s="95">
        <v>0</v>
      </c>
      <c r="BC12" s="95">
        <v>0</v>
      </c>
      <c r="BD12" s="95">
        <v>0</v>
      </c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Z12"/>
      <c r="CA12"/>
      <c r="CB12" s="83"/>
    </row>
    <row r="13" spans="1:80" ht="16.5">
      <c r="A13" s="109" t="s">
        <v>184</v>
      </c>
      <c r="B13" s="28">
        <v>6</v>
      </c>
      <c r="C13" s="28">
        <v>2</v>
      </c>
      <c r="D13" s="28">
        <v>5</v>
      </c>
      <c r="E13" s="28">
        <v>0</v>
      </c>
      <c r="F13" s="28">
        <v>0</v>
      </c>
      <c r="G13" s="28">
        <v>0</v>
      </c>
      <c r="H13" s="28">
        <f t="shared" si="6"/>
        <v>1</v>
      </c>
      <c r="I13" s="15"/>
      <c r="J13" s="115">
        <v>0</v>
      </c>
      <c r="K13" s="115">
        <v>0</v>
      </c>
      <c r="L13" s="115">
        <v>0</v>
      </c>
      <c r="M13" s="1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15">
        <v>0</v>
      </c>
      <c r="U13" s="116">
        <v>1</v>
      </c>
      <c r="V13" s="122"/>
      <c r="W13" s="95">
        <v>0</v>
      </c>
      <c r="X13" s="95">
        <v>0</v>
      </c>
      <c r="Y13" s="95">
        <v>0</v>
      </c>
      <c r="Z13" s="95">
        <v>0</v>
      </c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95">
        <v>0</v>
      </c>
      <c r="AI13" s="95">
        <v>0</v>
      </c>
      <c r="AJ13" s="95">
        <v>0</v>
      </c>
      <c r="AK13" s="95">
        <v>0</v>
      </c>
      <c r="AL13" s="95">
        <v>0</v>
      </c>
      <c r="AM13" s="95">
        <v>0</v>
      </c>
      <c r="AN13" s="95">
        <v>0</v>
      </c>
      <c r="AO13" s="95">
        <v>0</v>
      </c>
      <c r="AP13" s="95">
        <v>0</v>
      </c>
      <c r="AQ13" s="95">
        <v>0</v>
      </c>
      <c r="AR13" s="95">
        <v>0</v>
      </c>
      <c r="AS13" s="95">
        <v>0</v>
      </c>
      <c r="AT13" s="95">
        <v>0</v>
      </c>
      <c r="AU13" s="95">
        <v>0</v>
      </c>
      <c r="AV13" s="95">
        <v>0</v>
      </c>
      <c r="AW13" s="95">
        <v>0</v>
      </c>
      <c r="AX13" s="95">
        <v>0</v>
      </c>
      <c r="AY13" s="95">
        <v>0</v>
      </c>
      <c r="AZ13" s="95">
        <v>0</v>
      </c>
      <c r="BA13" s="95">
        <v>0</v>
      </c>
      <c r="BB13" s="95">
        <v>0</v>
      </c>
      <c r="BC13" s="95">
        <v>0</v>
      </c>
      <c r="BD13" s="95">
        <v>0</v>
      </c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Z13"/>
      <c r="CA13"/>
      <c r="CB13" s="83"/>
    </row>
    <row r="14" spans="1:80" ht="16.5">
      <c r="A14" s="97" t="s">
        <v>185</v>
      </c>
      <c r="B14" s="28">
        <v>14</v>
      </c>
      <c r="C14" s="28">
        <v>2</v>
      </c>
      <c r="D14" s="28">
        <v>3</v>
      </c>
      <c r="E14" s="28">
        <v>2</v>
      </c>
      <c r="F14" s="28">
        <v>0</v>
      </c>
      <c r="G14" s="28">
        <v>0</v>
      </c>
      <c r="H14" s="28">
        <f t="shared" si="6"/>
        <v>0</v>
      </c>
      <c r="I14" s="15"/>
      <c r="J14" s="115">
        <v>0</v>
      </c>
      <c r="K14" s="115">
        <v>0</v>
      </c>
      <c r="L14" s="115">
        <v>0</v>
      </c>
      <c r="M14" s="1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15">
        <v>0</v>
      </c>
      <c r="U14" s="116">
        <v>0</v>
      </c>
      <c r="V14" s="122"/>
      <c r="W14" s="95">
        <v>0</v>
      </c>
      <c r="X14" s="95">
        <v>0</v>
      </c>
      <c r="Y14" s="95">
        <v>0</v>
      </c>
      <c r="Z14" s="95">
        <v>0</v>
      </c>
      <c r="AA14" s="95">
        <v>0</v>
      </c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95">
        <v>0</v>
      </c>
      <c r="AI14" s="95">
        <v>0</v>
      </c>
      <c r="AJ14" s="95">
        <v>0</v>
      </c>
      <c r="AK14" s="95">
        <v>0</v>
      </c>
      <c r="AL14" s="95">
        <v>0</v>
      </c>
      <c r="AM14" s="95">
        <v>0</v>
      </c>
      <c r="AN14" s="95">
        <v>0</v>
      </c>
      <c r="AO14" s="95">
        <v>0</v>
      </c>
      <c r="AP14" s="95">
        <v>0</v>
      </c>
      <c r="AQ14" s="95">
        <v>0</v>
      </c>
      <c r="AR14" s="95">
        <v>0</v>
      </c>
      <c r="AS14" s="95">
        <v>0</v>
      </c>
      <c r="AT14" s="95">
        <v>0</v>
      </c>
      <c r="AU14" s="95">
        <v>0</v>
      </c>
      <c r="AV14" s="95">
        <v>0</v>
      </c>
      <c r="AW14" s="95">
        <v>0</v>
      </c>
      <c r="AX14" s="95">
        <v>0</v>
      </c>
      <c r="AY14" s="95">
        <v>0</v>
      </c>
      <c r="AZ14" s="95">
        <v>0</v>
      </c>
      <c r="BA14" s="95">
        <v>0</v>
      </c>
      <c r="BB14" s="95">
        <v>0</v>
      </c>
      <c r="BC14" s="95">
        <v>0</v>
      </c>
      <c r="BD14" s="95">
        <v>0</v>
      </c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Z14"/>
      <c r="CA14"/>
      <c r="CB14" s="83"/>
    </row>
    <row r="15" spans="1:80" ht="16.5">
      <c r="A15" s="97" t="s">
        <v>186</v>
      </c>
      <c r="B15" s="28">
        <v>0</v>
      </c>
      <c r="C15" s="28">
        <v>0</v>
      </c>
      <c r="D15" s="28">
        <v>0</v>
      </c>
      <c r="E15" s="28">
        <v>1</v>
      </c>
      <c r="F15" s="28">
        <v>1</v>
      </c>
      <c r="G15" s="28">
        <v>0</v>
      </c>
      <c r="H15" s="28">
        <f t="shared" si="6"/>
        <v>0</v>
      </c>
      <c r="I15" s="15"/>
      <c r="J15" s="115">
        <v>0</v>
      </c>
      <c r="K15" s="115">
        <v>0</v>
      </c>
      <c r="L15" s="115">
        <v>0</v>
      </c>
      <c r="M15" s="1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15">
        <v>0</v>
      </c>
      <c r="U15" s="116">
        <v>0</v>
      </c>
      <c r="V15" s="122"/>
      <c r="W15" s="95">
        <v>0</v>
      </c>
      <c r="X15" s="95">
        <v>0</v>
      </c>
      <c r="Y15" s="95">
        <v>0</v>
      </c>
      <c r="Z15" s="95">
        <v>0</v>
      </c>
      <c r="AA15" s="95">
        <v>0</v>
      </c>
      <c r="AB15" s="95">
        <v>0</v>
      </c>
      <c r="AC15" s="95">
        <v>0</v>
      </c>
      <c r="AD15" s="95">
        <v>0</v>
      </c>
      <c r="AE15" s="95">
        <v>0</v>
      </c>
      <c r="AF15" s="95">
        <v>0</v>
      </c>
      <c r="AG15" s="95">
        <v>0</v>
      </c>
      <c r="AH15" s="95">
        <v>0</v>
      </c>
      <c r="AI15" s="95">
        <v>0</v>
      </c>
      <c r="AJ15" s="95">
        <v>0</v>
      </c>
      <c r="AK15" s="95">
        <v>0</v>
      </c>
      <c r="AL15" s="95">
        <v>0</v>
      </c>
      <c r="AM15" s="95">
        <v>0</v>
      </c>
      <c r="AN15" s="95">
        <v>0</v>
      </c>
      <c r="AO15" s="95">
        <v>0</v>
      </c>
      <c r="AP15" s="95">
        <v>0</v>
      </c>
      <c r="AQ15" s="95">
        <v>0</v>
      </c>
      <c r="AR15" s="95">
        <v>0</v>
      </c>
      <c r="AS15" s="95">
        <v>0</v>
      </c>
      <c r="AT15" s="95">
        <v>0</v>
      </c>
      <c r="AU15" s="95">
        <v>0</v>
      </c>
      <c r="AV15" s="95">
        <v>0</v>
      </c>
      <c r="AW15" s="95">
        <v>0</v>
      </c>
      <c r="AX15" s="95">
        <v>0</v>
      </c>
      <c r="AY15" s="95">
        <v>0</v>
      </c>
      <c r="AZ15" s="95">
        <v>0</v>
      </c>
      <c r="BA15" s="95">
        <v>0</v>
      </c>
      <c r="BB15" s="95">
        <v>0</v>
      </c>
      <c r="BC15" s="95">
        <v>0</v>
      </c>
      <c r="BD15" s="95">
        <v>0</v>
      </c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Z15"/>
      <c r="CA15"/>
      <c r="CB15" s="83"/>
    </row>
    <row r="16" spans="1:80" ht="16.5">
      <c r="A16" s="97" t="s">
        <v>187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f t="shared" si="6"/>
        <v>0</v>
      </c>
      <c r="I16" s="15"/>
      <c r="J16" s="115">
        <v>0</v>
      </c>
      <c r="K16" s="115">
        <v>0</v>
      </c>
      <c r="L16" s="115">
        <v>0</v>
      </c>
      <c r="M16" s="1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15">
        <v>0</v>
      </c>
      <c r="U16" s="116">
        <v>0</v>
      </c>
      <c r="V16" s="122"/>
      <c r="W16" s="95">
        <v>0</v>
      </c>
      <c r="X16" s="95">
        <v>0</v>
      </c>
      <c r="Y16" s="95">
        <v>0</v>
      </c>
      <c r="Z16" s="95">
        <v>0</v>
      </c>
      <c r="AA16" s="95">
        <v>0</v>
      </c>
      <c r="AB16" s="95">
        <v>0</v>
      </c>
      <c r="AC16" s="95">
        <v>0</v>
      </c>
      <c r="AD16" s="95">
        <v>0</v>
      </c>
      <c r="AE16" s="95">
        <v>0</v>
      </c>
      <c r="AF16" s="95">
        <v>0</v>
      </c>
      <c r="AG16" s="95">
        <v>0</v>
      </c>
      <c r="AH16" s="95">
        <v>0</v>
      </c>
      <c r="AI16" s="95">
        <v>0</v>
      </c>
      <c r="AJ16" s="95">
        <v>0</v>
      </c>
      <c r="AK16" s="95">
        <v>0</v>
      </c>
      <c r="AL16" s="95">
        <v>0</v>
      </c>
      <c r="AM16" s="95">
        <v>0</v>
      </c>
      <c r="AN16" s="95">
        <v>0</v>
      </c>
      <c r="AO16" s="95">
        <v>0</v>
      </c>
      <c r="AP16" s="95">
        <v>0</v>
      </c>
      <c r="AQ16" s="95">
        <v>0</v>
      </c>
      <c r="AR16" s="95">
        <v>0</v>
      </c>
      <c r="AS16" s="95">
        <v>0</v>
      </c>
      <c r="AT16" s="95">
        <v>0</v>
      </c>
      <c r="AU16" s="95">
        <v>0</v>
      </c>
      <c r="AV16" s="95">
        <v>0</v>
      </c>
      <c r="AW16" s="95">
        <v>0</v>
      </c>
      <c r="AX16" s="95">
        <v>0</v>
      </c>
      <c r="AY16" s="95">
        <v>0</v>
      </c>
      <c r="AZ16" s="95">
        <v>0</v>
      </c>
      <c r="BA16" s="95">
        <v>0</v>
      </c>
      <c r="BB16" s="95">
        <v>0</v>
      </c>
      <c r="BC16" s="95">
        <v>0</v>
      </c>
      <c r="BD16" s="95">
        <v>0</v>
      </c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Z16"/>
      <c r="CA16"/>
      <c r="CB16" s="83"/>
    </row>
    <row r="17" spans="1:80" ht="16.5" thickBot="1">
      <c r="A17" s="99" t="s">
        <v>188</v>
      </c>
      <c r="B17" s="81">
        <v>32</v>
      </c>
      <c r="C17" s="81">
        <v>6</v>
      </c>
      <c r="D17" s="81">
        <v>12</v>
      </c>
      <c r="E17" s="81">
        <v>9</v>
      </c>
      <c r="F17" s="81">
        <v>3</v>
      </c>
      <c r="G17" s="81">
        <v>1</v>
      </c>
      <c r="H17" s="81">
        <f>SUM(H10:H16)</f>
        <v>3</v>
      </c>
      <c r="I17" s="104"/>
      <c r="J17" s="117">
        <f>SUM(J10:J16)</f>
        <v>0</v>
      </c>
      <c r="K17" s="117">
        <f t="shared" ref="K17:U17" si="7">SUM(K10:K16)</f>
        <v>0</v>
      </c>
      <c r="L17" s="117">
        <f t="shared" si="7"/>
        <v>0</v>
      </c>
      <c r="M17" s="117">
        <f t="shared" si="7"/>
        <v>0</v>
      </c>
      <c r="N17" s="117">
        <f t="shared" si="7"/>
        <v>0</v>
      </c>
      <c r="O17" s="117">
        <f t="shared" si="7"/>
        <v>0</v>
      </c>
      <c r="P17" s="117">
        <f t="shared" si="7"/>
        <v>0</v>
      </c>
      <c r="Q17" s="117">
        <f t="shared" si="7"/>
        <v>0</v>
      </c>
      <c r="R17" s="117">
        <f t="shared" si="7"/>
        <v>0</v>
      </c>
      <c r="S17" s="117">
        <f t="shared" si="7"/>
        <v>0</v>
      </c>
      <c r="T17" s="117">
        <f t="shared" si="7"/>
        <v>1</v>
      </c>
      <c r="U17" s="117">
        <f t="shared" si="7"/>
        <v>2</v>
      </c>
      <c r="V17" s="122"/>
      <c r="W17" s="95">
        <v>0</v>
      </c>
      <c r="X17" s="95">
        <f t="shared" ref="X17:AM17" si="8">SUM(X10:X16)</f>
        <v>0</v>
      </c>
      <c r="Y17" s="95">
        <f t="shared" si="8"/>
        <v>0</v>
      </c>
      <c r="Z17" s="95">
        <f t="shared" si="8"/>
        <v>0</v>
      </c>
      <c r="AA17" s="95">
        <f t="shared" si="8"/>
        <v>0</v>
      </c>
      <c r="AB17" s="95">
        <f t="shared" si="8"/>
        <v>0</v>
      </c>
      <c r="AC17" s="95">
        <f t="shared" si="8"/>
        <v>0</v>
      </c>
      <c r="AD17" s="95">
        <f t="shared" si="8"/>
        <v>0</v>
      </c>
      <c r="AE17" s="95">
        <f t="shared" si="8"/>
        <v>0</v>
      </c>
      <c r="AF17" s="95">
        <f t="shared" si="8"/>
        <v>0</v>
      </c>
      <c r="AG17" s="95">
        <f t="shared" si="8"/>
        <v>0</v>
      </c>
      <c r="AH17" s="95">
        <f t="shared" si="8"/>
        <v>0</v>
      </c>
      <c r="AI17" s="95">
        <f t="shared" si="8"/>
        <v>0</v>
      </c>
      <c r="AJ17" s="95">
        <f t="shared" si="8"/>
        <v>0</v>
      </c>
      <c r="AK17" s="95">
        <f t="shared" si="8"/>
        <v>0</v>
      </c>
      <c r="AL17" s="95">
        <f t="shared" si="8"/>
        <v>0</v>
      </c>
      <c r="AM17" s="95">
        <f t="shared" si="8"/>
        <v>0</v>
      </c>
      <c r="AN17" s="95">
        <f t="shared" ref="AN17" si="9">SUM(AN10:AN16)</f>
        <v>0</v>
      </c>
      <c r="AO17" s="95">
        <f t="shared" ref="AO17" si="10">SUM(AO10:AO16)</f>
        <v>0</v>
      </c>
      <c r="AP17" s="95">
        <f t="shared" ref="AP17" si="11">SUM(AP10:AP16)</f>
        <v>0</v>
      </c>
      <c r="AQ17" s="95">
        <f t="shared" ref="AQ17" si="12">SUM(AQ10:AQ16)</f>
        <v>0</v>
      </c>
      <c r="AR17" s="95">
        <f t="shared" ref="AR17" si="13">SUM(AR10:AR16)</f>
        <v>0</v>
      </c>
      <c r="AS17" s="95">
        <f t="shared" ref="AS17" si="14">SUM(AS10:AS16)</f>
        <v>0</v>
      </c>
      <c r="AT17" s="95">
        <f t="shared" ref="AT17" si="15">SUM(AT10:AT16)</f>
        <v>0</v>
      </c>
      <c r="AU17" s="95">
        <f t="shared" ref="AU17" si="16">SUM(AU10:AU16)</f>
        <v>0</v>
      </c>
      <c r="AV17" s="95">
        <f t="shared" ref="AV17" si="17">SUM(AV10:AV16)</f>
        <v>0</v>
      </c>
      <c r="AW17" s="95">
        <f t="shared" ref="AW17" si="18">SUM(AW10:AW16)</f>
        <v>0</v>
      </c>
      <c r="AX17" s="95">
        <f t="shared" ref="AX17" si="19">SUM(AX10:AX16)</f>
        <v>0</v>
      </c>
      <c r="AY17" s="95">
        <f t="shared" ref="AY17" si="20">SUM(AY10:AY16)</f>
        <v>0</v>
      </c>
      <c r="AZ17" s="95">
        <f t="shared" ref="AZ17" si="21">SUM(AZ10:AZ16)</f>
        <v>0</v>
      </c>
      <c r="BA17" s="95">
        <f t="shared" ref="BA17" si="22">SUM(BA10:BA16)</f>
        <v>0</v>
      </c>
      <c r="BB17" s="95">
        <f t="shared" ref="BB17" si="23">SUM(BB10:BB16)</f>
        <v>0</v>
      </c>
      <c r="BC17" s="95">
        <f t="shared" ref="BC17" si="24">SUM(BC10:BC16)</f>
        <v>0</v>
      </c>
      <c r="BD17" s="95">
        <f t="shared" ref="BD17" si="25">SUM(BD10:BD16)</f>
        <v>0</v>
      </c>
      <c r="BE17" s="95">
        <f t="shared" ref="BE17" si="26">SUM(BE10:BE16)</f>
        <v>0</v>
      </c>
      <c r="BF17" s="95">
        <f t="shared" ref="BF17" si="27">SUM(BF10:BF16)</f>
        <v>0</v>
      </c>
      <c r="BG17" s="95">
        <f t="shared" ref="BG17" si="28">SUM(BG10:BG16)</f>
        <v>0</v>
      </c>
      <c r="BH17" s="95">
        <f t="shared" ref="BH17" si="29">SUM(BH10:BH16)</f>
        <v>0</v>
      </c>
      <c r="BI17" s="95">
        <f t="shared" ref="BI17" si="30">SUM(BI10:BI16)</f>
        <v>0</v>
      </c>
      <c r="BJ17" s="95">
        <f t="shared" ref="BJ17" si="31">SUM(BJ10:BJ16)</f>
        <v>0</v>
      </c>
      <c r="BK17" s="95">
        <f t="shared" ref="BK17" si="32">SUM(BK10:BK16)</f>
        <v>0</v>
      </c>
      <c r="BL17" s="95">
        <f t="shared" ref="BL17" si="33">SUM(BL10:BL16)</f>
        <v>0</v>
      </c>
      <c r="BM17" s="95">
        <f t="shared" ref="BM17" si="34">SUM(BM10:BM16)</f>
        <v>0</v>
      </c>
      <c r="BN17" s="95">
        <f t="shared" ref="BN17" si="35">SUM(BN10:BN16)</f>
        <v>0</v>
      </c>
      <c r="BO17" s="95">
        <f t="shared" ref="BO17" si="36">SUM(BO10:BO16)</f>
        <v>0</v>
      </c>
      <c r="BP17" s="95">
        <f t="shared" ref="BP17" si="37">SUM(BP10:BP16)</f>
        <v>0</v>
      </c>
      <c r="BQ17" s="95">
        <f t="shared" ref="BQ17" si="38">SUM(BQ10:BQ16)</f>
        <v>0</v>
      </c>
      <c r="BR17" s="95">
        <f t="shared" ref="BR17" si="39">SUM(BR10:BR16)</f>
        <v>0</v>
      </c>
      <c r="BS17" s="95">
        <f t="shared" ref="BS17" si="40">SUM(BS10:BS16)</f>
        <v>0</v>
      </c>
      <c r="BT17" s="95">
        <f t="shared" ref="BT17" si="41">SUM(BT10:BT16)</f>
        <v>0</v>
      </c>
      <c r="BU17" s="95">
        <f t="shared" ref="BU17" si="42">SUM(BU10:BU16)</f>
        <v>0</v>
      </c>
      <c r="BV17" s="95">
        <f t="shared" ref="BV17" si="43">SUM(BV10:BV16)</f>
        <v>0</v>
      </c>
      <c r="BW17" s="95">
        <f t="shared" ref="BW17" si="44">SUM(BW10:BW16)</f>
        <v>0</v>
      </c>
      <c r="BZ17"/>
      <c r="CA17"/>
      <c r="CB17" s="83"/>
    </row>
    <row r="18" spans="1:80" ht="17.25" thickTop="1" thickBot="1">
      <c r="A18" s="105"/>
      <c r="B18" s="106"/>
      <c r="C18" s="106"/>
      <c r="D18" s="106"/>
      <c r="E18" s="106"/>
      <c r="F18" s="106"/>
      <c r="G18" s="106"/>
      <c r="H18" s="106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107"/>
      <c r="V18" s="122"/>
      <c r="BZ18" s="84"/>
      <c r="CA18"/>
      <c r="CB18" s="83"/>
    </row>
    <row r="19" spans="1:80" ht="16.5" thickTop="1">
      <c r="A19" s="140" t="s">
        <v>189</v>
      </c>
      <c r="B19" s="142" t="s">
        <v>190</v>
      </c>
      <c r="C19" s="142" t="s">
        <v>191</v>
      </c>
      <c r="D19" s="142" t="s">
        <v>192</v>
      </c>
      <c r="E19" s="142" t="s">
        <v>193</v>
      </c>
      <c r="F19" s="142" t="s">
        <v>194</v>
      </c>
      <c r="G19" s="127" t="s">
        <v>195</v>
      </c>
      <c r="H19" s="127" t="s">
        <v>196</v>
      </c>
      <c r="I19" s="121"/>
      <c r="J19" s="144" t="s">
        <v>80</v>
      </c>
      <c r="K19" s="144" t="s">
        <v>81</v>
      </c>
      <c r="L19" s="127" t="s">
        <v>82</v>
      </c>
      <c r="M19" s="127" t="s">
        <v>83</v>
      </c>
      <c r="N19" s="127" t="s">
        <v>84</v>
      </c>
      <c r="O19" s="127" t="s">
        <v>85</v>
      </c>
      <c r="P19" s="127" t="s">
        <v>86</v>
      </c>
      <c r="Q19" s="127" t="s">
        <v>87</v>
      </c>
      <c r="R19" s="127" t="s">
        <v>167</v>
      </c>
      <c r="S19" s="127" t="s">
        <v>89</v>
      </c>
      <c r="T19" s="127" t="s">
        <v>90</v>
      </c>
      <c r="U19" s="131" t="s">
        <v>91</v>
      </c>
      <c r="V19" s="129"/>
      <c r="W19" s="124" t="s">
        <v>92</v>
      </c>
      <c r="X19" s="125"/>
      <c r="Y19" s="125"/>
      <c r="Z19" s="125"/>
      <c r="AA19" s="126"/>
      <c r="AB19" s="124" t="s">
        <v>93</v>
      </c>
      <c r="AC19" s="125"/>
      <c r="AD19" s="125"/>
      <c r="AE19" s="126"/>
      <c r="AF19" s="124" t="s">
        <v>94</v>
      </c>
      <c r="AG19" s="125"/>
      <c r="AH19" s="125"/>
      <c r="AI19" s="126"/>
      <c r="AJ19" s="124" t="s">
        <v>95</v>
      </c>
      <c r="AK19" s="125"/>
      <c r="AL19" s="125"/>
      <c r="AM19" s="125"/>
      <c r="AN19" s="125" t="s">
        <v>96</v>
      </c>
      <c r="AO19" s="125"/>
      <c r="AP19" s="125"/>
      <c r="AQ19" s="125"/>
      <c r="AR19" s="126"/>
      <c r="AS19" s="124" t="s">
        <v>97</v>
      </c>
      <c r="AT19" s="125"/>
      <c r="AU19" s="125"/>
      <c r="AV19" s="126"/>
      <c r="AW19" s="124" t="s">
        <v>98</v>
      </c>
      <c r="AX19" s="125"/>
      <c r="AY19" s="125"/>
      <c r="AZ19" s="125"/>
      <c r="BA19" s="126"/>
      <c r="BB19" s="135" t="s">
        <v>99</v>
      </c>
      <c r="BC19" s="136"/>
      <c r="BD19" s="136"/>
      <c r="BE19" s="137"/>
      <c r="BF19" s="135" t="s">
        <v>100</v>
      </c>
      <c r="BG19" s="136"/>
      <c r="BH19" s="136"/>
      <c r="BI19" s="137"/>
      <c r="BJ19" s="135" t="s">
        <v>101</v>
      </c>
      <c r="BK19" s="136"/>
      <c r="BL19" s="136"/>
      <c r="BM19" s="136"/>
      <c r="BN19" s="137"/>
      <c r="BO19" s="135" t="s">
        <v>170</v>
      </c>
      <c r="BP19" s="136"/>
      <c r="BQ19" s="136"/>
      <c r="BR19" s="137"/>
      <c r="BS19" s="135" t="s">
        <v>103</v>
      </c>
      <c r="BT19" s="136"/>
      <c r="BU19" s="136"/>
      <c r="BV19" s="136"/>
      <c r="BW19" s="137"/>
      <c r="BZ19"/>
      <c r="CA19"/>
      <c r="CB19" s="83"/>
    </row>
    <row r="20" spans="1:80" ht="13.9" customHeight="1">
      <c r="A20" s="141"/>
      <c r="B20" s="143"/>
      <c r="C20" s="143"/>
      <c r="D20" s="143"/>
      <c r="E20" s="143"/>
      <c r="F20" s="143"/>
      <c r="G20" s="128"/>
      <c r="H20" s="128"/>
      <c r="I20" s="15"/>
      <c r="J20" s="145"/>
      <c r="K20" s="145"/>
      <c r="L20" s="128"/>
      <c r="M20" s="128"/>
      <c r="N20" s="128"/>
      <c r="O20" s="128"/>
      <c r="P20" s="128"/>
      <c r="Q20" s="128"/>
      <c r="R20" s="128"/>
      <c r="S20" s="128"/>
      <c r="T20" s="128"/>
      <c r="U20" s="132"/>
      <c r="V20" s="130"/>
      <c r="W20" s="95" t="s">
        <v>171</v>
      </c>
      <c r="X20" s="14" t="s">
        <v>172</v>
      </c>
      <c r="Y20" s="95" t="s">
        <v>106</v>
      </c>
      <c r="Z20" s="95" t="s">
        <v>107</v>
      </c>
      <c r="AA20" s="14" t="s">
        <v>108</v>
      </c>
      <c r="AB20" s="95" t="s">
        <v>109</v>
      </c>
      <c r="AC20" s="95" t="s">
        <v>110</v>
      </c>
      <c r="AD20" s="95" t="s">
        <v>111</v>
      </c>
      <c r="AE20" s="95" t="s">
        <v>112</v>
      </c>
      <c r="AF20" s="14" t="s">
        <v>113</v>
      </c>
      <c r="AG20" s="95" t="s">
        <v>114</v>
      </c>
      <c r="AH20" s="95" t="s">
        <v>115</v>
      </c>
      <c r="AI20" s="95" t="s">
        <v>116</v>
      </c>
      <c r="AJ20" s="95" t="s">
        <v>117</v>
      </c>
      <c r="AK20" s="95" t="s">
        <v>118</v>
      </c>
      <c r="AL20" s="95" t="s">
        <v>119</v>
      </c>
      <c r="AM20" s="95" t="s">
        <v>120</v>
      </c>
      <c r="AN20" s="95" t="s">
        <v>121</v>
      </c>
      <c r="AO20" s="95" t="s">
        <v>122</v>
      </c>
      <c r="AP20" s="95" t="s">
        <v>123</v>
      </c>
      <c r="AQ20" s="95" t="s">
        <v>124</v>
      </c>
      <c r="AR20" s="95" t="s">
        <v>125</v>
      </c>
      <c r="AS20" s="95" t="s">
        <v>126</v>
      </c>
      <c r="AT20" s="95" t="s">
        <v>127</v>
      </c>
      <c r="AU20" s="95" t="s">
        <v>128</v>
      </c>
      <c r="AV20" s="95" t="s">
        <v>129</v>
      </c>
      <c r="AW20" s="95" t="s">
        <v>173</v>
      </c>
      <c r="AX20" s="95" t="s">
        <v>174</v>
      </c>
      <c r="AY20" s="95" t="s">
        <v>132</v>
      </c>
      <c r="AZ20" s="95" t="s">
        <v>133</v>
      </c>
      <c r="BA20" s="95" t="s">
        <v>134</v>
      </c>
      <c r="BB20" s="95" t="s">
        <v>175</v>
      </c>
      <c r="BC20" s="95" t="s">
        <v>176</v>
      </c>
      <c r="BD20" s="95" t="s">
        <v>177</v>
      </c>
      <c r="BE20" s="95" t="s">
        <v>178</v>
      </c>
      <c r="BF20" s="95" t="s">
        <v>139</v>
      </c>
      <c r="BG20" s="95" t="s">
        <v>140</v>
      </c>
      <c r="BH20" s="95" t="s">
        <v>141</v>
      </c>
      <c r="BI20" s="95" t="s">
        <v>142</v>
      </c>
      <c r="BJ20" s="95" t="s">
        <v>143</v>
      </c>
      <c r="BK20" s="95" t="s">
        <v>144</v>
      </c>
      <c r="BL20" s="95" t="s">
        <v>145</v>
      </c>
      <c r="BM20" s="95" t="s">
        <v>146</v>
      </c>
      <c r="BN20" s="95" t="s">
        <v>147</v>
      </c>
      <c r="BO20" s="95" t="s">
        <v>179</v>
      </c>
      <c r="BP20" s="95" t="s">
        <v>180</v>
      </c>
      <c r="BQ20" s="95" t="s">
        <v>150</v>
      </c>
      <c r="BR20" s="95" t="s">
        <v>151</v>
      </c>
      <c r="BS20" s="95" t="s">
        <v>152</v>
      </c>
      <c r="BT20" s="95" t="s">
        <v>153</v>
      </c>
      <c r="BU20" s="95" t="s">
        <v>154</v>
      </c>
      <c r="BV20" s="95" t="s">
        <v>155</v>
      </c>
      <c r="BW20" s="95"/>
    </row>
    <row r="21" spans="1:80" ht="15.75">
      <c r="A21" s="97" t="s">
        <v>181</v>
      </c>
      <c r="B21" s="28">
        <v>78</v>
      </c>
      <c r="C21" s="28">
        <v>75</v>
      </c>
      <c r="D21" s="28">
        <v>85</v>
      </c>
      <c r="E21" s="85">
        <v>89</v>
      </c>
      <c r="F21" s="85">
        <v>81</v>
      </c>
      <c r="G21" s="48">
        <v>61</v>
      </c>
      <c r="H21" s="48">
        <f>AVERAGE(J21:U21)</f>
        <v>75.416666666666671</v>
      </c>
      <c r="I21" s="93"/>
      <c r="J21" s="115">
        <v>62</v>
      </c>
      <c r="K21" s="15">
        <v>65</v>
      </c>
      <c r="L21" s="119">
        <v>60</v>
      </c>
      <c r="M21" s="28">
        <v>83</v>
      </c>
      <c r="N21" s="28">
        <v>81</v>
      </c>
      <c r="O21" s="119">
        <v>63</v>
      </c>
      <c r="P21" s="119">
        <v>49</v>
      </c>
      <c r="Q21" s="28">
        <v>58</v>
      </c>
      <c r="R21" s="28">
        <v>43</v>
      </c>
      <c r="S21" s="119">
        <v>45</v>
      </c>
      <c r="T21" s="119">
        <v>58</v>
      </c>
      <c r="U21" s="120">
        <v>238</v>
      </c>
      <c r="V21" s="122"/>
      <c r="W21" s="96">
        <v>6</v>
      </c>
      <c r="X21" s="95">
        <v>12</v>
      </c>
      <c r="Y21" s="95">
        <v>17</v>
      </c>
      <c r="Z21" s="95">
        <v>19</v>
      </c>
      <c r="AA21" s="95">
        <v>21</v>
      </c>
      <c r="AB21" s="95">
        <v>9</v>
      </c>
      <c r="AC21" s="95">
        <v>13</v>
      </c>
      <c r="AD21" s="95">
        <v>23</v>
      </c>
      <c r="AE21" s="95">
        <v>11</v>
      </c>
      <c r="AF21" s="95">
        <v>7</v>
      </c>
      <c r="AG21" s="95">
        <v>8</v>
      </c>
      <c r="AH21" s="95">
        <v>24</v>
      </c>
      <c r="AI21" s="95">
        <v>17</v>
      </c>
      <c r="AJ21" s="95">
        <v>13</v>
      </c>
      <c r="AK21" s="95">
        <v>23</v>
      </c>
      <c r="AL21" s="95">
        <v>12</v>
      </c>
      <c r="AM21" s="95">
        <v>12</v>
      </c>
      <c r="AN21" s="95">
        <v>16</v>
      </c>
      <c r="AO21" s="95">
        <v>9</v>
      </c>
      <c r="AP21" s="95">
        <v>21</v>
      </c>
      <c r="AQ21" s="95">
        <v>16</v>
      </c>
      <c r="AR21" s="95">
        <v>18</v>
      </c>
      <c r="AS21" s="95">
        <v>20</v>
      </c>
      <c r="AT21" s="95">
        <v>12</v>
      </c>
      <c r="AU21" s="95">
        <v>8</v>
      </c>
      <c r="AV21" s="95">
        <v>14</v>
      </c>
      <c r="AW21" s="95">
        <v>10</v>
      </c>
      <c r="AX21" s="95">
        <v>13</v>
      </c>
      <c r="AY21" s="95">
        <v>14</v>
      </c>
      <c r="AZ21" s="95">
        <v>4</v>
      </c>
      <c r="BA21" s="95">
        <v>3</v>
      </c>
      <c r="BB21" s="95">
        <v>17</v>
      </c>
      <c r="BC21" s="95">
        <v>6</v>
      </c>
      <c r="BD21" s="95">
        <v>10</v>
      </c>
      <c r="BE21" s="95">
        <v>5</v>
      </c>
      <c r="BF21" s="95">
        <v>15</v>
      </c>
      <c r="BG21" s="95">
        <v>12</v>
      </c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1">
        <f>AVERAGE(AF21:BW21)</f>
        <v>12.821428571428571</v>
      </c>
    </row>
    <row r="22" spans="1:80" ht="15.75">
      <c r="A22" s="109" t="s">
        <v>182</v>
      </c>
      <c r="B22" s="28">
        <v>81</v>
      </c>
      <c r="C22" s="28">
        <v>80</v>
      </c>
      <c r="D22" s="28">
        <v>85</v>
      </c>
      <c r="E22" s="85">
        <v>90</v>
      </c>
      <c r="F22" s="85">
        <v>75</v>
      </c>
      <c r="G22" s="48">
        <v>67</v>
      </c>
      <c r="H22" s="48">
        <f t="shared" ref="H22:H27" si="45">AVERAGE(J22:U22)</f>
        <v>101.91666666666667</v>
      </c>
      <c r="I22" s="93"/>
      <c r="J22" s="115">
        <v>71</v>
      </c>
      <c r="K22" s="15">
        <v>66</v>
      </c>
      <c r="L22" s="119">
        <v>78</v>
      </c>
      <c r="M22" s="28">
        <v>88</v>
      </c>
      <c r="N22" s="28">
        <v>112</v>
      </c>
      <c r="O22" s="119">
        <v>92</v>
      </c>
      <c r="P22" s="119">
        <v>65</v>
      </c>
      <c r="Q22" s="28">
        <v>91</v>
      </c>
      <c r="R22" s="28">
        <v>85</v>
      </c>
      <c r="S22" s="119">
        <v>97</v>
      </c>
      <c r="T22" s="119">
        <v>84</v>
      </c>
      <c r="U22" s="120">
        <v>294</v>
      </c>
      <c r="V22" s="122"/>
      <c r="W22" s="96">
        <v>16</v>
      </c>
      <c r="X22" s="95">
        <v>7</v>
      </c>
      <c r="Y22" s="95">
        <v>15</v>
      </c>
      <c r="Z22" s="95">
        <v>28</v>
      </c>
      <c r="AA22" s="95">
        <v>10</v>
      </c>
      <c r="AB22" s="95">
        <v>10</v>
      </c>
      <c r="AC22" s="95">
        <v>17</v>
      </c>
      <c r="AD22" s="95">
        <v>25</v>
      </c>
      <c r="AE22" s="95">
        <v>13</v>
      </c>
      <c r="AF22" s="95">
        <v>13</v>
      </c>
      <c r="AG22" s="95">
        <v>14</v>
      </c>
      <c r="AH22" s="95">
        <v>23</v>
      </c>
      <c r="AI22" s="95">
        <v>24</v>
      </c>
      <c r="AJ22" s="95">
        <v>12</v>
      </c>
      <c r="AK22" s="95">
        <v>26</v>
      </c>
      <c r="AL22" s="95">
        <v>18</v>
      </c>
      <c r="AM22" s="95">
        <v>19</v>
      </c>
      <c r="AN22" s="95">
        <v>22</v>
      </c>
      <c r="AO22" s="95">
        <v>27</v>
      </c>
      <c r="AP22" s="95">
        <v>20</v>
      </c>
      <c r="AQ22" s="95">
        <v>19</v>
      </c>
      <c r="AR22" s="95">
        <v>16</v>
      </c>
      <c r="AS22" s="95">
        <v>26</v>
      </c>
      <c r="AT22" s="95">
        <v>22</v>
      </c>
      <c r="AU22" s="95">
        <v>13</v>
      </c>
      <c r="AV22" s="95">
        <v>19</v>
      </c>
      <c r="AW22" s="95">
        <v>15</v>
      </c>
      <c r="AX22" s="95">
        <v>15</v>
      </c>
      <c r="AY22" s="95">
        <v>15</v>
      </c>
      <c r="AZ22" s="95">
        <v>7</v>
      </c>
      <c r="BA22" s="95">
        <v>15</v>
      </c>
      <c r="BB22" s="95">
        <v>21</v>
      </c>
      <c r="BC22" s="95">
        <v>19</v>
      </c>
      <c r="BD22" s="95">
        <v>23</v>
      </c>
      <c r="BE22" s="95">
        <v>13</v>
      </c>
      <c r="BF22" s="95">
        <v>26</v>
      </c>
      <c r="BG22" s="95">
        <v>15</v>
      </c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</row>
    <row r="23" spans="1:80" ht="15.75">
      <c r="A23" s="109" t="s">
        <v>183</v>
      </c>
      <c r="B23" s="28">
        <v>90</v>
      </c>
      <c r="C23" s="28">
        <v>94</v>
      </c>
      <c r="D23" s="28">
        <v>103</v>
      </c>
      <c r="E23" s="85">
        <v>106</v>
      </c>
      <c r="F23" s="85">
        <v>102</v>
      </c>
      <c r="G23" s="48">
        <v>83</v>
      </c>
      <c r="H23" s="48">
        <f t="shared" si="45"/>
        <v>110.66666666666667</v>
      </c>
      <c r="I23" s="93"/>
      <c r="J23" s="115">
        <v>87</v>
      </c>
      <c r="K23" s="15">
        <v>76</v>
      </c>
      <c r="L23" s="119">
        <v>107</v>
      </c>
      <c r="M23" s="28">
        <v>98</v>
      </c>
      <c r="N23" s="28">
        <v>106</v>
      </c>
      <c r="O23" s="119">
        <v>87</v>
      </c>
      <c r="P23" s="119">
        <v>81</v>
      </c>
      <c r="Q23" s="28">
        <v>91</v>
      </c>
      <c r="R23" s="28">
        <v>80</v>
      </c>
      <c r="S23" s="119">
        <v>76</v>
      </c>
      <c r="T23" s="119">
        <v>90</v>
      </c>
      <c r="U23" s="120">
        <v>349</v>
      </c>
      <c r="V23" s="122"/>
      <c r="W23" s="96">
        <v>15</v>
      </c>
      <c r="X23" s="95">
        <v>14</v>
      </c>
      <c r="Y23" s="95">
        <v>24</v>
      </c>
      <c r="Z23" s="95">
        <v>21</v>
      </c>
      <c r="AA23" s="95">
        <v>22</v>
      </c>
      <c r="AB23" s="95">
        <v>19</v>
      </c>
      <c r="AC23" s="95">
        <v>16</v>
      </c>
      <c r="AD23" s="95">
        <v>24</v>
      </c>
      <c r="AE23" s="95">
        <v>18</v>
      </c>
      <c r="AF23" s="95">
        <v>25</v>
      </c>
      <c r="AG23" s="95">
        <v>23</v>
      </c>
      <c r="AH23" s="95">
        <v>23</v>
      </c>
      <c r="AI23" s="95">
        <v>26</v>
      </c>
      <c r="AJ23" s="95">
        <v>14</v>
      </c>
      <c r="AK23" s="95">
        <v>21</v>
      </c>
      <c r="AL23" s="95">
        <v>18</v>
      </c>
      <c r="AM23" s="95">
        <v>22</v>
      </c>
      <c r="AN23" s="95">
        <v>25</v>
      </c>
      <c r="AO23" s="95">
        <v>25</v>
      </c>
      <c r="AP23" s="95">
        <v>16</v>
      </c>
      <c r="AQ23" s="95">
        <v>21</v>
      </c>
      <c r="AR23" s="95">
        <v>13</v>
      </c>
      <c r="AS23" s="95">
        <v>17</v>
      </c>
      <c r="AT23" s="95">
        <v>22</v>
      </c>
      <c r="AU23" s="95">
        <v>17</v>
      </c>
      <c r="AV23" s="95">
        <v>17</v>
      </c>
      <c r="AW23" s="95">
        <v>21</v>
      </c>
      <c r="AX23" s="95">
        <v>20</v>
      </c>
      <c r="AY23" s="95">
        <v>16</v>
      </c>
      <c r="AZ23" s="95">
        <v>10</v>
      </c>
      <c r="BA23" s="95">
        <v>20</v>
      </c>
      <c r="BB23" s="95">
        <v>20</v>
      </c>
      <c r="BC23" s="95">
        <v>24</v>
      </c>
      <c r="BD23" s="95">
        <v>13</v>
      </c>
      <c r="BE23" s="95">
        <v>14</v>
      </c>
      <c r="BF23" s="95">
        <v>17</v>
      </c>
      <c r="BG23" s="95">
        <v>20</v>
      </c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</row>
    <row r="24" spans="1:80" ht="15.75">
      <c r="A24" s="109" t="s">
        <v>184</v>
      </c>
      <c r="B24" s="28">
        <v>80</v>
      </c>
      <c r="C24" s="28">
        <v>89</v>
      </c>
      <c r="D24" s="28">
        <v>93</v>
      </c>
      <c r="E24" s="85">
        <v>98</v>
      </c>
      <c r="F24" s="85">
        <v>93</v>
      </c>
      <c r="G24" s="48">
        <v>78</v>
      </c>
      <c r="H24" s="48">
        <f t="shared" si="45"/>
        <v>103.66666666666667</v>
      </c>
      <c r="I24" s="93"/>
      <c r="J24" s="115">
        <v>74</v>
      </c>
      <c r="K24" s="15">
        <v>82</v>
      </c>
      <c r="L24" s="119">
        <v>98</v>
      </c>
      <c r="M24" s="28">
        <v>93</v>
      </c>
      <c r="N24" s="28">
        <v>107</v>
      </c>
      <c r="O24" s="119">
        <v>68</v>
      </c>
      <c r="P24" s="119">
        <v>74</v>
      </c>
      <c r="Q24" s="28">
        <v>85</v>
      </c>
      <c r="R24" s="28">
        <v>62</v>
      </c>
      <c r="S24" s="119">
        <v>78</v>
      </c>
      <c r="T24" s="115">
        <v>85</v>
      </c>
      <c r="U24" s="120">
        <v>338</v>
      </c>
      <c r="V24" s="122"/>
      <c r="W24" s="96">
        <v>11</v>
      </c>
      <c r="X24" s="95">
        <v>15</v>
      </c>
      <c r="Y24" s="95">
        <v>22</v>
      </c>
      <c r="Z24" s="95">
        <v>15</v>
      </c>
      <c r="AA24" s="95">
        <v>24</v>
      </c>
      <c r="AB24" s="95">
        <v>12</v>
      </c>
      <c r="AC24" s="95">
        <v>23</v>
      </c>
      <c r="AD24" s="95">
        <v>21</v>
      </c>
      <c r="AE24" s="95">
        <v>23</v>
      </c>
      <c r="AF24" s="95">
        <v>17</v>
      </c>
      <c r="AG24" s="95">
        <v>25</v>
      </c>
      <c r="AH24" s="95">
        <v>24</v>
      </c>
      <c r="AI24" s="95">
        <v>22</v>
      </c>
      <c r="AJ24" s="95">
        <v>7</v>
      </c>
      <c r="AK24" s="95">
        <v>16</v>
      </c>
      <c r="AL24" s="95">
        <v>17</v>
      </c>
      <c r="AM24" s="95">
        <v>24</v>
      </c>
      <c r="AN24" s="95">
        <v>19</v>
      </c>
      <c r="AO24" s="95">
        <v>23</v>
      </c>
      <c r="AP24" s="95">
        <v>22</v>
      </c>
      <c r="AQ24" s="95">
        <v>16</v>
      </c>
      <c r="AR24" s="95">
        <v>19</v>
      </c>
      <c r="AS24" s="95">
        <v>14</v>
      </c>
      <c r="AT24" s="95">
        <v>13</v>
      </c>
      <c r="AU24" s="95">
        <v>15</v>
      </c>
      <c r="AV24" s="95">
        <v>14</v>
      </c>
      <c r="AW24" s="95">
        <v>21</v>
      </c>
      <c r="AX24" s="95">
        <v>21</v>
      </c>
      <c r="AY24" s="95">
        <v>17</v>
      </c>
      <c r="AZ24" s="95">
        <v>5</v>
      </c>
      <c r="BA24" s="95">
        <v>12</v>
      </c>
      <c r="BB24" s="95">
        <v>21</v>
      </c>
      <c r="BC24" s="95">
        <v>19</v>
      </c>
      <c r="BD24" s="95">
        <v>12</v>
      </c>
      <c r="BE24" s="95">
        <v>14</v>
      </c>
      <c r="BF24" s="95">
        <v>11</v>
      </c>
      <c r="BG24" s="95">
        <v>16</v>
      </c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</row>
    <row r="25" spans="1:80" ht="15.75">
      <c r="A25" s="97" t="s">
        <v>185</v>
      </c>
      <c r="B25" s="28">
        <v>54</v>
      </c>
      <c r="C25" s="28">
        <v>73</v>
      </c>
      <c r="D25" s="28">
        <v>86</v>
      </c>
      <c r="E25" s="85">
        <v>85</v>
      </c>
      <c r="F25" s="85">
        <v>81</v>
      </c>
      <c r="G25" s="48">
        <v>53</v>
      </c>
      <c r="H25" s="48">
        <f t="shared" si="45"/>
        <v>86.083333333333329</v>
      </c>
      <c r="I25" s="93"/>
      <c r="J25" s="115">
        <v>64</v>
      </c>
      <c r="K25" s="15">
        <v>60</v>
      </c>
      <c r="L25" s="119">
        <v>85</v>
      </c>
      <c r="M25" s="28">
        <v>83</v>
      </c>
      <c r="N25" s="28">
        <v>81</v>
      </c>
      <c r="O25" s="119">
        <v>52</v>
      </c>
      <c r="P25" s="119">
        <v>78</v>
      </c>
      <c r="Q25" s="28">
        <v>70</v>
      </c>
      <c r="R25" s="28">
        <v>44</v>
      </c>
      <c r="S25" s="119">
        <v>53</v>
      </c>
      <c r="T25" s="115">
        <v>71</v>
      </c>
      <c r="U25" s="120">
        <v>292</v>
      </c>
      <c r="V25" s="122"/>
      <c r="W25" s="96">
        <v>10</v>
      </c>
      <c r="X25" s="95">
        <v>14</v>
      </c>
      <c r="Y25" s="95">
        <v>18</v>
      </c>
      <c r="Z25" s="95">
        <v>11</v>
      </c>
      <c r="AA25" s="95">
        <v>20</v>
      </c>
      <c r="AB25" s="95">
        <v>13</v>
      </c>
      <c r="AC25" s="95">
        <v>17</v>
      </c>
      <c r="AD25" s="95">
        <v>15</v>
      </c>
      <c r="AE25" s="95">
        <v>14</v>
      </c>
      <c r="AF25" s="95">
        <v>17</v>
      </c>
      <c r="AG25" s="95">
        <v>18</v>
      </c>
      <c r="AH25" s="95">
        <v>23</v>
      </c>
      <c r="AI25" s="95">
        <v>19</v>
      </c>
      <c r="AJ25" s="95">
        <v>9</v>
      </c>
      <c r="AK25" s="95">
        <v>14</v>
      </c>
      <c r="AL25" s="95">
        <v>18</v>
      </c>
      <c r="AM25" s="95">
        <v>23</v>
      </c>
      <c r="AN25" s="95">
        <v>14</v>
      </c>
      <c r="AO25" s="95">
        <v>26</v>
      </c>
      <c r="AP25" s="95">
        <v>15</v>
      </c>
      <c r="AQ25" s="95">
        <v>13</v>
      </c>
      <c r="AR25" s="95">
        <v>15</v>
      </c>
      <c r="AS25" s="95">
        <v>16</v>
      </c>
      <c r="AT25" s="95">
        <v>9</v>
      </c>
      <c r="AU25" s="95">
        <v>12</v>
      </c>
      <c r="AV25" s="95">
        <v>7</v>
      </c>
      <c r="AW25" s="95">
        <v>21</v>
      </c>
      <c r="AX25" s="95">
        <v>17</v>
      </c>
      <c r="AY25" s="95">
        <v>14</v>
      </c>
      <c r="AZ25" s="95">
        <v>9</v>
      </c>
      <c r="BA25" s="95">
        <v>18</v>
      </c>
      <c r="BB25" s="95">
        <v>16</v>
      </c>
      <c r="BC25" s="95">
        <v>22</v>
      </c>
      <c r="BD25" s="95">
        <v>9</v>
      </c>
      <c r="BE25" s="95">
        <v>10</v>
      </c>
      <c r="BF25" s="95">
        <v>7</v>
      </c>
      <c r="BG25" s="95">
        <v>12</v>
      </c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</row>
    <row r="26" spans="1:80" ht="15.75">
      <c r="A26" s="97" t="s">
        <v>186</v>
      </c>
      <c r="B26" s="28">
        <v>53</v>
      </c>
      <c r="C26" s="28">
        <v>65</v>
      </c>
      <c r="D26" s="28">
        <v>80</v>
      </c>
      <c r="E26" s="85">
        <v>80</v>
      </c>
      <c r="F26" s="85">
        <v>81</v>
      </c>
      <c r="G26" s="48">
        <v>58</v>
      </c>
      <c r="H26" s="48">
        <f t="shared" si="45"/>
        <v>79.583333333333329</v>
      </c>
      <c r="I26" s="93"/>
      <c r="J26" s="115">
        <v>76</v>
      </c>
      <c r="K26" s="15">
        <v>75</v>
      </c>
      <c r="L26" s="119">
        <v>68</v>
      </c>
      <c r="M26" s="28">
        <v>56</v>
      </c>
      <c r="N26" s="28">
        <v>79</v>
      </c>
      <c r="O26" s="119">
        <v>55</v>
      </c>
      <c r="P26" s="119">
        <v>25</v>
      </c>
      <c r="Q26" s="28">
        <v>88</v>
      </c>
      <c r="R26" s="28">
        <v>81</v>
      </c>
      <c r="S26" s="119">
        <v>88</v>
      </c>
      <c r="T26" s="115">
        <v>58</v>
      </c>
      <c r="U26" s="120">
        <v>206</v>
      </c>
      <c r="V26" s="122"/>
      <c r="W26" s="96">
        <v>16</v>
      </c>
      <c r="X26" s="95">
        <v>7</v>
      </c>
      <c r="Y26" s="95">
        <v>11</v>
      </c>
      <c r="Z26" s="95">
        <v>28</v>
      </c>
      <c r="AA26" s="95">
        <v>27</v>
      </c>
      <c r="AB26" s="95">
        <v>9</v>
      </c>
      <c r="AC26" s="95">
        <v>17</v>
      </c>
      <c r="AD26" s="95">
        <v>26</v>
      </c>
      <c r="AE26" s="95">
        <v>14</v>
      </c>
      <c r="AF26" s="95">
        <v>2</v>
      </c>
      <c r="AG26" s="95">
        <v>14</v>
      </c>
      <c r="AH26" s="95">
        <v>25</v>
      </c>
      <c r="AI26" s="95">
        <v>23</v>
      </c>
      <c r="AJ26" s="95">
        <v>10</v>
      </c>
      <c r="AK26" s="95">
        <v>23</v>
      </c>
      <c r="AL26" s="95">
        <v>11</v>
      </c>
      <c r="AM26" s="95">
        <v>11</v>
      </c>
      <c r="AN26" s="95">
        <v>11</v>
      </c>
      <c r="AO26" s="95">
        <v>10</v>
      </c>
      <c r="AP26" s="95">
        <v>17</v>
      </c>
      <c r="AQ26" s="95">
        <v>18</v>
      </c>
      <c r="AR26" s="95">
        <v>16</v>
      </c>
      <c r="AS26" s="95">
        <v>18</v>
      </c>
      <c r="AT26" s="95">
        <v>9</v>
      </c>
      <c r="AU26" s="95">
        <v>6</v>
      </c>
      <c r="AV26" s="95">
        <v>10</v>
      </c>
      <c r="AW26" s="95">
        <v>0</v>
      </c>
      <c r="AX26" s="95">
        <v>6</v>
      </c>
      <c r="AY26" s="95">
        <v>10</v>
      </c>
      <c r="AZ26" s="95">
        <v>4</v>
      </c>
      <c r="BA26" s="95">
        <v>2</v>
      </c>
      <c r="BB26" s="95">
        <v>17</v>
      </c>
      <c r="BC26" s="95">
        <v>22</v>
      </c>
      <c r="BD26" s="95">
        <v>22</v>
      </c>
      <c r="BE26" s="95">
        <v>18</v>
      </c>
      <c r="BF26" s="95">
        <v>23</v>
      </c>
      <c r="BG26" s="95">
        <v>15</v>
      </c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</row>
    <row r="27" spans="1:80" ht="15.75">
      <c r="A27" s="97" t="s">
        <v>187</v>
      </c>
      <c r="B27" s="28">
        <v>56</v>
      </c>
      <c r="C27" s="28">
        <v>62</v>
      </c>
      <c r="D27" s="28">
        <v>78</v>
      </c>
      <c r="E27" s="85">
        <v>76</v>
      </c>
      <c r="F27" s="85">
        <v>67</v>
      </c>
      <c r="G27" s="48">
        <v>37</v>
      </c>
      <c r="H27" s="48">
        <f t="shared" si="45"/>
        <v>60.25</v>
      </c>
      <c r="I27" s="93"/>
      <c r="J27" s="115">
        <v>52</v>
      </c>
      <c r="K27" s="15">
        <v>51</v>
      </c>
      <c r="L27" s="119">
        <v>66</v>
      </c>
      <c r="M27" s="28">
        <v>51</v>
      </c>
      <c r="N27" s="28">
        <v>74</v>
      </c>
      <c r="O27" s="119">
        <v>30</v>
      </c>
      <c r="P27" s="119">
        <v>56</v>
      </c>
      <c r="Q27" s="28">
        <v>46</v>
      </c>
      <c r="R27" s="28">
        <v>25</v>
      </c>
      <c r="S27" s="119">
        <v>28</v>
      </c>
      <c r="T27" s="115">
        <v>56</v>
      </c>
      <c r="U27" s="120">
        <v>188</v>
      </c>
      <c r="V27" s="122"/>
      <c r="W27" s="96">
        <v>8</v>
      </c>
      <c r="X27" s="95">
        <v>11</v>
      </c>
      <c r="Y27" s="95">
        <v>15</v>
      </c>
      <c r="Z27" s="95">
        <v>8</v>
      </c>
      <c r="AA27" s="95">
        <v>17</v>
      </c>
      <c r="AB27" s="95">
        <v>13</v>
      </c>
      <c r="AC27" s="95">
        <v>16</v>
      </c>
      <c r="AD27" s="95">
        <v>14</v>
      </c>
      <c r="AE27" s="95">
        <v>6</v>
      </c>
      <c r="AF27" s="95">
        <v>8</v>
      </c>
      <c r="AG27" s="95">
        <v>16</v>
      </c>
      <c r="AH27" s="95">
        <v>19</v>
      </c>
      <c r="AI27" s="95">
        <v>18</v>
      </c>
      <c r="AJ27" s="95">
        <v>5</v>
      </c>
      <c r="AK27" s="95">
        <v>8</v>
      </c>
      <c r="AL27" s="95">
        <v>13</v>
      </c>
      <c r="AM27" s="95">
        <v>16</v>
      </c>
      <c r="AN27" s="95">
        <v>13</v>
      </c>
      <c r="AO27" s="95">
        <v>22</v>
      </c>
      <c r="AP27" s="95">
        <v>17</v>
      </c>
      <c r="AQ27" s="95">
        <v>7</v>
      </c>
      <c r="AR27" s="95">
        <v>10</v>
      </c>
      <c r="AS27" s="95">
        <v>10</v>
      </c>
      <c r="AT27" s="95">
        <v>6</v>
      </c>
      <c r="AU27" s="95">
        <v>6</v>
      </c>
      <c r="AV27" s="95">
        <v>2</v>
      </c>
      <c r="AW27" s="95">
        <v>18</v>
      </c>
      <c r="AX27" s="95">
        <v>14</v>
      </c>
      <c r="AY27" s="95">
        <v>8</v>
      </c>
      <c r="AZ27" s="95">
        <v>5</v>
      </c>
      <c r="BA27" s="95">
        <v>10</v>
      </c>
      <c r="BB27" s="95">
        <v>13</v>
      </c>
      <c r="BC27" s="95">
        <v>15</v>
      </c>
      <c r="BD27" s="95">
        <v>9</v>
      </c>
      <c r="BE27" s="95">
        <v>4</v>
      </c>
      <c r="BF27" s="95">
        <v>5</v>
      </c>
      <c r="BG27" s="95">
        <v>7</v>
      </c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</row>
    <row r="28" spans="1:80" ht="16.5" thickBot="1">
      <c r="A28" s="99" t="s">
        <v>188</v>
      </c>
      <c r="B28" s="81">
        <v>493</v>
      </c>
      <c r="C28" s="81">
        <v>538</v>
      </c>
      <c r="D28" s="81">
        <v>610</v>
      </c>
      <c r="E28" s="110">
        <v>622</v>
      </c>
      <c r="F28" s="110">
        <v>579</v>
      </c>
      <c r="G28" s="110">
        <v>435</v>
      </c>
      <c r="H28" s="110">
        <f>IF(AVERAGE(K28:T28)=0,"",AVERAGE(J28:S28))</f>
        <v>500.4</v>
      </c>
      <c r="I28" s="111"/>
      <c r="J28" s="117">
        <f t="shared" ref="J28:O28" si="46">SUM(J21:J27)</f>
        <v>486</v>
      </c>
      <c r="K28" s="117">
        <f t="shared" si="46"/>
        <v>475</v>
      </c>
      <c r="L28" s="117">
        <f t="shared" si="46"/>
        <v>562</v>
      </c>
      <c r="M28" s="117">
        <f t="shared" si="46"/>
        <v>552</v>
      </c>
      <c r="N28" s="117">
        <f t="shared" si="46"/>
        <v>640</v>
      </c>
      <c r="O28" s="117">
        <f t="shared" si="46"/>
        <v>447</v>
      </c>
      <c r="P28" s="117">
        <f t="shared" ref="P28:U28" si="47">SUM(P21:P27)</f>
        <v>428</v>
      </c>
      <c r="Q28" s="117">
        <f t="shared" si="47"/>
        <v>529</v>
      </c>
      <c r="R28" s="117">
        <f t="shared" si="47"/>
        <v>420</v>
      </c>
      <c r="S28" s="117">
        <f t="shared" si="47"/>
        <v>465</v>
      </c>
      <c r="T28" s="117">
        <f t="shared" si="47"/>
        <v>502</v>
      </c>
      <c r="U28" s="118">
        <f t="shared" si="47"/>
        <v>1905</v>
      </c>
      <c r="V28" s="122"/>
      <c r="W28" s="95">
        <f>SUM(W21:W27)</f>
        <v>82</v>
      </c>
      <c r="X28" s="95">
        <f>SUM(X21:X27)</f>
        <v>80</v>
      </c>
      <c r="Y28" s="95">
        <f t="shared" ref="Y28:BV28" si="48">SUM(Y21:Y27)</f>
        <v>122</v>
      </c>
      <c r="Z28" s="95">
        <f t="shared" si="48"/>
        <v>130</v>
      </c>
      <c r="AA28" s="95">
        <f t="shared" si="48"/>
        <v>141</v>
      </c>
      <c r="AB28" s="95">
        <f t="shared" si="48"/>
        <v>85</v>
      </c>
      <c r="AC28" s="95">
        <f t="shared" si="48"/>
        <v>119</v>
      </c>
      <c r="AD28" s="95">
        <f t="shared" si="48"/>
        <v>148</v>
      </c>
      <c r="AE28" s="95">
        <f t="shared" si="48"/>
        <v>99</v>
      </c>
      <c r="AF28" s="95">
        <f t="shared" si="48"/>
        <v>89</v>
      </c>
      <c r="AG28" s="95">
        <f t="shared" si="48"/>
        <v>118</v>
      </c>
      <c r="AH28" s="95">
        <f t="shared" si="48"/>
        <v>161</v>
      </c>
      <c r="AI28" s="95">
        <f t="shared" si="48"/>
        <v>149</v>
      </c>
      <c r="AJ28" s="95">
        <f t="shared" si="48"/>
        <v>70</v>
      </c>
      <c r="AK28" s="95">
        <f t="shared" si="48"/>
        <v>131</v>
      </c>
      <c r="AL28" s="95">
        <f t="shared" si="48"/>
        <v>107</v>
      </c>
      <c r="AM28" s="95">
        <f t="shared" si="48"/>
        <v>127</v>
      </c>
      <c r="AN28" s="95">
        <f t="shared" si="48"/>
        <v>120</v>
      </c>
      <c r="AO28" s="95">
        <f t="shared" si="48"/>
        <v>142</v>
      </c>
      <c r="AP28" s="95">
        <f t="shared" si="48"/>
        <v>128</v>
      </c>
      <c r="AQ28" s="95">
        <f t="shared" si="48"/>
        <v>110</v>
      </c>
      <c r="AR28" s="95">
        <f t="shared" si="48"/>
        <v>107</v>
      </c>
      <c r="AS28" s="95">
        <f t="shared" si="48"/>
        <v>121</v>
      </c>
      <c r="AT28" s="95">
        <f t="shared" si="48"/>
        <v>93</v>
      </c>
      <c r="AU28" s="95">
        <f t="shared" si="48"/>
        <v>77</v>
      </c>
      <c r="AV28" s="95">
        <f t="shared" si="48"/>
        <v>83</v>
      </c>
      <c r="AW28" s="95">
        <f t="shared" si="48"/>
        <v>106</v>
      </c>
      <c r="AX28" s="95">
        <f t="shared" si="48"/>
        <v>106</v>
      </c>
      <c r="AY28" s="95">
        <f t="shared" si="48"/>
        <v>94</v>
      </c>
      <c r="AZ28" s="95">
        <f t="shared" si="48"/>
        <v>44</v>
      </c>
      <c r="BA28" s="95">
        <f t="shared" si="48"/>
        <v>80</v>
      </c>
      <c r="BB28" s="95">
        <f t="shared" si="48"/>
        <v>125</v>
      </c>
      <c r="BC28" s="95">
        <f t="shared" si="48"/>
        <v>127</v>
      </c>
      <c r="BD28" s="95">
        <f t="shared" si="48"/>
        <v>98</v>
      </c>
      <c r="BE28" s="95">
        <f t="shared" si="48"/>
        <v>78</v>
      </c>
      <c r="BF28" s="95">
        <f t="shared" si="48"/>
        <v>104</v>
      </c>
      <c r="BG28" s="95">
        <f t="shared" si="48"/>
        <v>97</v>
      </c>
      <c r="BH28" s="95">
        <f t="shared" si="48"/>
        <v>0</v>
      </c>
      <c r="BI28" s="95">
        <f t="shared" si="48"/>
        <v>0</v>
      </c>
      <c r="BJ28" s="95">
        <f t="shared" si="48"/>
        <v>0</v>
      </c>
      <c r="BK28" s="95">
        <f t="shared" si="48"/>
        <v>0</v>
      </c>
      <c r="BL28" s="95">
        <f t="shared" si="48"/>
        <v>0</v>
      </c>
      <c r="BM28" s="95">
        <f t="shared" si="48"/>
        <v>0</v>
      </c>
      <c r="BN28" s="95">
        <f t="shared" si="48"/>
        <v>0</v>
      </c>
      <c r="BO28" s="95">
        <f t="shared" si="48"/>
        <v>0</v>
      </c>
      <c r="BP28" s="95">
        <f t="shared" si="48"/>
        <v>0</v>
      </c>
      <c r="BQ28" s="95">
        <f t="shared" si="48"/>
        <v>0</v>
      </c>
      <c r="BR28" s="95">
        <f t="shared" si="48"/>
        <v>0</v>
      </c>
      <c r="BS28" s="95">
        <f t="shared" si="48"/>
        <v>0</v>
      </c>
      <c r="BT28" s="95">
        <f t="shared" si="48"/>
        <v>0</v>
      </c>
      <c r="BU28" s="95">
        <f t="shared" si="48"/>
        <v>0</v>
      </c>
      <c r="BV28" s="95">
        <f t="shared" si="48"/>
        <v>0</v>
      </c>
      <c r="BW28" s="95"/>
    </row>
    <row r="29" spans="1:80" ht="15" thickTop="1" thickBot="1">
      <c r="H29" s="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22"/>
    </row>
    <row r="30" spans="1:80" ht="16.5" thickTop="1">
      <c r="A30" s="140" t="s">
        <v>159</v>
      </c>
      <c r="B30" s="127" t="s">
        <v>160</v>
      </c>
      <c r="C30" s="127" t="s">
        <v>161</v>
      </c>
      <c r="D30" s="127" t="s">
        <v>162</v>
      </c>
      <c r="E30" s="127" t="s">
        <v>163</v>
      </c>
      <c r="F30" s="127" t="s">
        <v>164</v>
      </c>
      <c r="G30" s="127" t="s">
        <v>165</v>
      </c>
      <c r="H30" s="127" t="s">
        <v>166</v>
      </c>
      <c r="I30" s="121"/>
      <c r="J30" s="144" t="s">
        <v>80</v>
      </c>
      <c r="K30" s="144" t="s">
        <v>81</v>
      </c>
      <c r="L30" s="127" t="s">
        <v>82</v>
      </c>
      <c r="M30" s="127" t="s">
        <v>83</v>
      </c>
      <c r="N30" s="127" t="s">
        <v>84</v>
      </c>
      <c r="O30" s="127" t="s">
        <v>85</v>
      </c>
      <c r="P30" s="127" t="s">
        <v>86</v>
      </c>
      <c r="Q30" s="127" t="s">
        <v>87</v>
      </c>
      <c r="R30" s="127" t="s">
        <v>167</v>
      </c>
      <c r="S30" s="127" t="s">
        <v>89</v>
      </c>
      <c r="T30" s="127" t="s">
        <v>90</v>
      </c>
      <c r="U30" s="131" t="s">
        <v>91</v>
      </c>
      <c r="V30" s="129"/>
      <c r="W30" s="124" t="s">
        <v>92</v>
      </c>
      <c r="X30" s="125"/>
      <c r="Y30" s="125"/>
      <c r="Z30" s="125"/>
      <c r="AA30" s="126"/>
      <c r="AB30" s="124" t="s">
        <v>93</v>
      </c>
      <c r="AC30" s="125"/>
      <c r="AD30" s="125"/>
      <c r="AE30" s="126"/>
      <c r="AF30" s="124" t="s">
        <v>94</v>
      </c>
      <c r="AG30" s="125"/>
      <c r="AH30" s="125"/>
      <c r="AI30" s="126"/>
      <c r="AJ30" s="124" t="s">
        <v>95</v>
      </c>
      <c r="AK30" s="125"/>
      <c r="AL30" s="125"/>
      <c r="AM30" s="125"/>
      <c r="AN30" s="125" t="s">
        <v>96</v>
      </c>
      <c r="AO30" s="136" t="s">
        <v>96</v>
      </c>
      <c r="AP30" s="136"/>
      <c r="AQ30" s="136"/>
      <c r="AR30" s="137"/>
      <c r="AS30" s="124" t="s">
        <v>97</v>
      </c>
      <c r="AT30" s="125"/>
      <c r="AU30" s="125"/>
      <c r="AV30" s="126"/>
      <c r="AW30" s="124" t="s">
        <v>98</v>
      </c>
      <c r="AX30" s="125"/>
      <c r="AY30" s="125"/>
      <c r="AZ30" s="125"/>
      <c r="BA30" s="126"/>
      <c r="BB30" s="135" t="s">
        <v>99</v>
      </c>
      <c r="BC30" s="136"/>
      <c r="BD30" s="136"/>
      <c r="BE30" s="137"/>
      <c r="BF30" s="135" t="s">
        <v>100</v>
      </c>
      <c r="BG30" s="136"/>
      <c r="BH30" s="136"/>
      <c r="BI30" s="137"/>
      <c r="BJ30" s="135" t="s">
        <v>101</v>
      </c>
      <c r="BK30" s="136"/>
      <c r="BL30" s="136"/>
      <c r="BM30" s="136"/>
      <c r="BN30" s="137"/>
      <c r="BO30" s="135" t="s">
        <v>170</v>
      </c>
      <c r="BP30" s="136"/>
      <c r="BQ30" s="136"/>
      <c r="BR30" s="137"/>
      <c r="BS30" s="135" t="s">
        <v>103</v>
      </c>
      <c r="BT30" s="136"/>
      <c r="BU30" s="136"/>
      <c r="BV30" s="136"/>
      <c r="BW30" s="137"/>
    </row>
    <row r="31" spans="1:80" ht="13.9" customHeight="1">
      <c r="A31" s="141"/>
      <c r="B31" s="128"/>
      <c r="C31" s="128"/>
      <c r="D31" s="128"/>
      <c r="E31" s="128"/>
      <c r="F31" s="128"/>
      <c r="G31" s="128"/>
      <c r="H31" s="128"/>
      <c r="I31" s="15"/>
      <c r="J31" s="145"/>
      <c r="K31" s="145"/>
      <c r="L31" s="128"/>
      <c r="M31" s="128"/>
      <c r="N31" s="128"/>
      <c r="O31" s="128"/>
      <c r="P31" s="128"/>
      <c r="Q31" s="128"/>
      <c r="R31" s="128"/>
      <c r="S31" s="128"/>
      <c r="T31" s="128"/>
      <c r="U31" s="132"/>
      <c r="V31" s="130"/>
      <c r="W31" s="95" t="s">
        <v>171</v>
      </c>
      <c r="X31" s="14" t="s">
        <v>172</v>
      </c>
      <c r="Y31" s="95" t="s">
        <v>106</v>
      </c>
      <c r="Z31" s="95" t="s">
        <v>107</v>
      </c>
      <c r="AA31" s="14" t="s">
        <v>108</v>
      </c>
      <c r="AB31" s="95" t="s">
        <v>109</v>
      </c>
      <c r="AC31" s="95" t="s">
        <v>110</v>
      </c>
      <c r="AD31" s="95" t="s">
        <v>111</v>
      </c>
      <c r="AE31" s="95" t="s">
        <v>112</v>
      </c>
      <c r="AF31" s="14" t="s">
        <v>113</v>
      </c>
      <c r="AG31" s="95" t="s">
        <v>114</v>
      </c>
      <c r="AH31" s="95" t="s">
        <v>115</v>
      </c>
      <c r="AI31" s="95" t="s">
        <v>116</v>
      </c>
      <c r="AJ31" s="95" t="s">
        <v>117</v>
      </c>
      <c r="AK31" s="95" t="s">
        <v>118</v>
      </c>
      <c r="AL31" s="95" t="s">
        <v>119</v>
      </c>
      <c r="AM31" s="95" t="s">
        <v>120</v>
      </c>
      <c r="AN31" s="95" t="s">
        <v>121</v>
      </c>
      <c r="AO31" s="95" t="s">
        <v>122</v>
      </c>
      <c r="AP31" s="95" t="s">
        <v>123</v>
      </c>
      <c r="AQ31" s="95" t="s">
        <v>124</v>
      </c>
      <c r="AR31" s="95" t="s">
        <v>125</v>
      </c>
      <c r="AS31" s="95" t="s">
        <v>126</v>
      </c>
      <c r="AT31" s="95" t="s">
        <v>127</v>
      </c>
      <c r="AU31" s="95" t="s">
        <v>128</v>
      </c>
      <c r="AV31" s="95" t="s">
        <v>129</v>
      </c>
      <c r="AW31" s="95" t="s">
        <v>173</v>
      </c>
      <c r="AX31" s="95" t="s">
        <v>174</v>
      </c>
      <c r="AY31" s="95" t="s">
        <v>132</v>
      </c>
      <c r="AZ31" s="95" t="s">
        <v>133</v>
      </c>
      <c r="BA31" s="95" t="s">
        <v>134</v>
      </c>
      <c r="BB31" s="95" t="s">
        <v>175</v>
      </c>
      <c r="BC31" s="95" t="s">
        <v>176</v>
      </c>
      <c r="BD31" s="95" t="s">
        <v>177</v>
      </c>
      <c r="BE31" s="95" t="s">
        <v>178</v>
      </c>
      <c r="BF31" s="95" t="s">
        <v>139</v>
      </c>
      <c r="BG31" s="95" t="s">
        <v>140</v>
      </c>
      <c r="BH31" s="95" t="s">
        <v>141</v>
      </c>
      <c r="BI31" s="95" t="s">
        <v>142</v>
      </c>
      <c r="BJ31" s="95" t="s">
        <v>143</v>
      </c>
      <c r="BK31" s="95" t="s">
        <v>144</v>
      </c>
      <c r="BL31" s="95" t="s">
        <v>145</v>
      </c>
      <c r="BM31" s="95" t="s">
        <v>146</v>
      </c>
      <c r="BN31" s="95" t="s">
        <v>147</v>
      </c>
      <c r="BO31" s="95" t="s">
        <v>179</v>
      </c>
      <c r="BP31" s="95" t="s">
        <v>180</v>
      </c>
      <c r="BQ31" s="95" t="s">
        <v>150</v>
      </c>
      <c r="BR31" s="95" t="s">
        <v>151</v>
      </c>
      <c r="BS31" s="95" t="s">
        <v>152</v>
      </c>
      <c r="BT31" s="95" t="s">
        <v>153</v>
      </c>
      <c r="BU31" s="95" t="s">
        <v>154</v>
      </c>
      <c r="BV31" s="95" t="s">
        <v>155</v>
      </c>
      <c r="BW31" s="95"/>
    </row>
    <row r="32" spans="1:80" ht="15.75">
      <c r="A32" s="97" t="s">
        <v>197</v>
      </c>
      <c r="B32" s="28">
        <v>19</v>
      </c>
      <c r="C32" s="28">
        <v>8</v>
      </c>
      <c r="D32" s="28">
        <v>9</v>
      </c>
      <c r="E32" s="28">
        <v>4</v>
      </c>
      <c r="F32" s="28">
        <v>4</v>
      </c>
      <c r="G32" s="28">
        <v>2</v>
      </c>
      <c r="H32" s="28">
        <f>SUM(J32:U32)</f>
        <v>8</v>
      </c>
      <c r="I32" s="15"/>
      <c r="J32" s="48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2</v>
      </c>
      <c r="U32" s="98">
        <v>6</v>
      </c>
      <c r="V32" s="122"/>
      <c r="W32" s="95">
        <v>0</v>
      </c>
      <c r="X32" s="95">
        <v>0</v>
      </c>
      <c r="Y32" s="95">
        <v>0</v>
      </c>
      <c r="Z32" s="95">
        <v>0</v>
      </c>
      <c r="AA32" s="95">
        <v>0</v>
      </c>
      <c r="AB32" s="95">
        <v>0</v>
      </c>
      <c r="AC32" s="95">
        <v>0</v>
      </c>
      <c r="AD32" s="95">
        <v>0</v>
      </c>
      <c r="AE32" s="95">
        <v>0</v>
      </c>
      <c r="AF32" s="95">
        <v>0</v>
      </c>
      <c r="AG32" s="95">
        <v>0</v>
      </c>
      <c r="AH32" s="95">
        <v>0</v>
      </c>
      <c r="AI32" s="95">
        <v>0</v>
      </c>
      <c r="AJ32" s="95">
        <v>0</v>
      </c>
      <c r="AK32" s="95">
        <v>0</v>
      </c>
      <c r="AL32" s="95">
        <v>0</v>
      </c>
      <c r="AM32" s="95">
        <v>0</v>
      </c>
      <c r="AN32" s="95">
        <v>0</v>
      </c>
      <c r="AO32" s="95">
        <v>0</v>
      </c>
      <c r="AP32" s="95">
        <v>0</v>
      </c>
      <c r="AQ32" s="95">
        <v>0</v>
      </c>
      <c r="AR32" s="95">
        <v>0</v>
      </c>
      <c r="AS32" s="95">
        <v>0</v>
      </c>
      <c r="AT32" s="95">
        <v>0</v>
      </c>
      <c r="AU32" s="95">
        <v>0</v>
      </c>
      <c r="AV32" s="95">
        <v>0</v>
      </c>
      <c r="AW32" s="95">
        <v>0</v>
      </c>
      <c r="AX32" s="95">
        <v>0</v>
      </c>
      <c r="AY32" s="95">
        <v>0</v>
      </c>
      <c r="AZ32" s="95">
        <v>0</v>
      </c>
      <c r="BA32" s="95">
        <v>0</v>
      </c>
      <c r="BB32" s="95">
        <v>0</v>
      </c>
      <c r="BC32" s="95">
        <v>0</v>
      </c>
      <c r="BD32" s="95">
        <v>0</v>
      </c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</row>
    <row r="33" spans="1:75" ht="15.75">
      <c r="A33" s="97" t="s">
        <v>198</v>
      </c>
      <c r="B33" s="28">
        <v>8</v>
      </c>
      <c r="C33" s="28">
        <v>7</v>
      </c>
      <c r="D33" s="28">
        <v>5</v>
      </c>
      <c r="E33" s="28">
        <v>2</v>
      </c>
      <c r="F33" s="28">
        <v>0</v>
      </c>
      <c r="G33" s="28">
        <v>2</v>
      </c>
      <c r="H33" s="28">
        <f>SUM(J33:U33)</f>
        <v>2</v>
      </c>
      <c r="I33" s="15"/>
      <c r="J33" s="48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98">
        <v>2</v>
      </c>
      <c r="V33" s="122"/>
      <c r="W33" s="95">
        <v>0</v>
      </c>
      <c r="X33" s="95">
        <v>0</v>
      </c>
      <c r="Y33" s="95">
        <v>0</v>
      </c>
      <c r="Z33" s="95">
        <v>0</v>
      </c>
      <c r="AA33" s="95">
        <v>0</v>
      </c>
      <c r="AB33" s="95">
        <v>0</v>
      </c>
      <c r="AC33" s="95">
        <v>0</v>
      </c>
      <c r="AD33" s="95">
        <v>0</v>
      </c>
      <c r="AE33" s="95">
        <v>0</v>
      </c>
      <c r="AF33" s="95">
        <v>0</v>
      </c>
      <c r="AG33" s="95">
        <v>0</v>
      </c>
      <c r="AH33" s="95">
        <v>0</v>
      </c>
      <c r="AI33" s="95">
        <v>0</v>
      </c>
      <c r="AJ33" s="95">
        <v>0</v>
      </c>
      <c r="AK33" s="95">
        <v>0</v>
      </c>
      <c r="AL33" s="95">
        <v>0</v>
      </c>
      <c r="AM33" s="95">
        <v>0</v>
      </c>
      <c r="AN33" s="95">
        <v>0</v>
      </c>
      <c r="AO33" s="95">
        <v>0</v>
      </c>
      <c r="AP33" s="95">
        <v>0</v>
      </c>
      <c r="AQ33" s="95">
        <v>0</v>
      </c>
      <c r="AR33" s="95">
        <v>0</v>
      </c>
      <c r="AS33" s="95">
        <v>0</v>
      </c>
      <c r="AT33" s="95">
        <v>0</v>
      </c>
      <c r="AU33" s="95">
        <v>0</v>
      </c>
      <c r="AV33" s="95">
        <v>0</v>
      </c>
      <c r="AW33" s="95">
        <v>0</v>
      </c>
      <c r="AX33" s="95">
        <v>0</v>
      </c>
      <c r="AY33" s="95">
        <v>0</v>
      </c>
      <c r="AZ33" s="95">
        <v>0</v>
      </c>
      <c r="BA33" s="95">
        <v>0</v>
      </c>
      <c r="BB33" s="95">
        <v>0</v>
      </c>
      <c r="BC33" s="95">
        <v>0</v>
      </c>
      <c r="BD33" s="95">
        <v>0</v>
      </c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</row>
    <row r="34" spans="1:75" ht="15.75">
      <c r="A34" s="97" t="s">
        <v>199</v>
      </c>
      <c r="B34" s="28">
        <v>4</v>
      </c>
      <c r="C34" s="28">
        <v>2</v>
      </c>
      <c r="D34" s="28">
        <v>2</v>
      </c>
      <c r="E34" s="28">
        <v>3</v>
      </c>
      <c r="F34" s="28">
        <v>0</v>
      </c>
      <c r="G34" s="28">
        <v>0</v>
      </c>
      <c r="H34" s="28">
        <f>SUM(J34:U34)</f>
        <v>0</v>
      </c>
      <c r="I34" s="15"/>
      <c r="J34" s="48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98">
        <v>0</v>
      </c>
      <c r="V34" s="122"/>
      <c r="W34" s="95">
        <v>0</v>
      </c>
      <c r="X34" s="95">
        <v>0</v>
      </c>
      <c r="Y34" s="95">
        <v>0</v>
      </c>
      <c r="Z34" s="95">
        <v>0</v>
      </c>
      <c r="AA34" s="95">
        <v>0</v>
      </c>
      <c r="AB34" s="95">
        <v>0</v>
      </c>
      <c r="AC34" s="95">
        <v>0</v>
      </c>
      <c r="AD34" s="95">
        <v>0</v>
      </c>
      <c r="AE34" s="95">
        <v>0</v>
      </c>
      <c r="AF34" s="95">
        <v>0</v>
      </c>
      <c r="AG34" s="95">
        <v>0</v>
      </c>
      <c r="AH34" s="95">
        <v>0</v>
      </c>
      <c r="AI34" s="95">
        <v>0</v>
      </c>
      <c r="AJ34" s="95">
        <v>0</v>
      </c>
      <c r="AK34" s="95">
        <v>0</v>
      </c>
      <c r="AL34" s="95">
        <v>0</v>
      </c>
      <c r="AM34" s="95">
        <v>0</v>
      </c>
      <c r="AN34" s="95">
        <v>0</v>
      </c>
      <c r="AO34" s="95">
        <v>0</v>
      </c>
      <c r="AP34" s="95">
        <v>0</v>
      </c>
      <c r="AQ34" s="95">
        <v>0</v>
      </c>
      <c r="AR34" s="95">
        <v>0</v>
      </c>
      <c r="AS34" s="95">
        <v>0</v>
      </c>
      <c r="AT34" s="95">
        <v>0</v>
      </c>
      <c r="AU34" s="95">
        <v>0</v>
      </c>
      <c r="AV34" s="95">
        <v>0</v>
      </c>
      <c r="AW34" s="95">
        <v>0</v>
      </c>
      <c r="AX34" s="95">
        <v>0</v>
      </c>
      <c r="AY34" s="95">
        <v>0</v>
      </c>
      <c r="AZ34" s="95">
        <v>0</v>
      </c>
      <c r="BA34" s="95">
        <v>0</v>
      </c>
      <c r="BB34" s="95">
        <v>0</v>
      </c>
      <c r="BC34" s="95">
        <v>0</v>
      </c>
      <c r="BD34" s="95">
        <v>0</v>
      </c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</row>
    <row r="35" spans="1:75" ht="15.75">
      <c r="A35" s="97" t="s">
        <v>200</v>
      </c>
      <c r="B35" s="28">
        <v>5</v>
      </c>
      <c r="C35" s="28">
        <v>0</v>
      </c>
      <c r="D35" s="28">
        <v>4</v>
      </c>
      <c r="E35" s="28">
        <v>3</v>
      </c>
      <c r="F35" s="28">
        <v>2</v>
      </c>
      <c r="G35" s="28">
        <v>4</v>
      </c>
      <c r="H35" s="28">
        <f>SUM(J35:U35)</f>
        <v>2</v>
      </c>
      <c r="I35" s="15"/>
      <c r="J35" s="48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1</v>
      </c>
      <c r="U35" s="98">
        <v>1</v>
      </c>
      <c r="V35" s="122"/>
      <c r="W35" s="95">
        <v>0</v>
      </c>
      <c r="X35" s="95">
        <v>0</v>
      </c>
      <c r="Y35" s="95">
        <v>0</v>
      </c>
      <c r="Z35" s="95">
        <v>0</v>
      </c>
      <c r="AA35" s="95">
        <v>0</v>
      </c>
      <c r="AB35" s="95">
        <v>0</v>
      </c>
      <c r="AC35" s="95">
        <v>0</v>
      </c>
      <c r="AD35" s="95">
        <v>0</v>
      </c>
      <c r="AE35" s="95">
        <v>0</v>
      </c>
      <c r="AF35" s="95">
        <v>0</v>
      </c>
      <c r="AG35" s="95">
        <v>0</v>
      </c>
      <c r="AH35" s="95">
        <v>0</v>
      </c>
      <c r="AI35" s="95">
        <v>0</v>
      </c>
      <c r="AJ35" s="95">
        <v>0</v>
      </c>
      <c r="AK35" s="95">
        <v>0</v>
      </c>
      <c r="AL35" s="95">
        <v>0</v>
      </c>
      <c r="AM35" s="95">
        <v>0</v>
      </c>
      <c r="AN35" s="95">
        <v>0</v>
      </c>
      <c r="AO35" s="95">
        <v>0</v>
      </c>
      <c r="AP35" s="95">
        <v>0</v>
      </c>
      <c r="AQ35" s="95">
        <v>0</v>
      </c>
      <c r="AR35" s="95">
        <v>0</v>
      </c>
      <c r="AS35" s="95">
        <v>0</v>
      </c>
      <c r="AT35" s="95">
        <v>0</v>
      </c>
      <c r="AU35" s="95">
        <v>0</v>
      </c>
      <c r="AV35" s="95">
        <v>0</v>
      </c>
      <c r="AW35" s="95">
        <v>0</v>
      </c>
      <c r="AX35" s="95">
        <v>0</v>
      </c>
      <c r="AY35" s="95">
        <v>0</v>
      </c>
      <c r="AZ35" s="95">
        <v>0</v>
      </c>
      <c r="BA35" s="95">
        <v>0</v>
      </c>
      <c r="BB35" s="95">
        <v>0</v>
      </c>
      <c r="BC35" s="95">
        <v>0</v>
      </c>
      <c r="BD35" s="95">
        <v>0</v>
      </c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</row>
    <row r="36" spans="1:75" ht="15.75">
      <c r="A36" s="97" t="s">
        <v>201</v>
      </c>
      <c r="B36" s="28">
        <v>5</v>
      </c>
      <c r="C36" s="28">
        <v>2</v>
      </c>
      <c r="D36" s="28">
        <v>2</v>
      </c>
      <c r="E36" s="28">
        <v>3</v>
      </c>
      <c r="F36" s="28">
        <v>1</v>
      </c>
      <c r="G36" s="28">
        <v>5</v>
      </c>
      <c r="H36" s="28">
        <f>SUM(J36:U36)</f>
        <v>2</v>
      </c>
      <c r="I36" s="15"/>
      <c r="J36" s="48">
        <v>0</v>
      </c>
      <c r="K36" s="15">
        <v>0</v>
      </c>
      <c r="L36" s="15">
        <v>1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98">
        <v>0</v>
      </c>
      <c r="V36" s="122"/>
      <c r="W36" s="95">
        <v>0</v>
      </c>
      <c r="X36" s="95">
        <v>0</v>
      </c>
      <c r="Y36" s="95">
        <v>0</v>
      </c>
      <c r="Z36" s="95">
        <v>0</v>
      </c>
      <c r="AA36" s="95">
        <v>0</v>
      </c>
      <c r="AB36" s="95">
        <v>0</v>
      </c>
      <c r="AC36" s="95">
        <v>0</v>
      </c>
      <c r="AD36" s="95">
        <v>0</v>
      </c>
      <c r="AE36" s="95">
        <v>0</v>
      </c>
      <c r="AF36" s="95">
        <v>0</v>
      </c>
      <c r="AG36" s="95">
        <v>0</v>
      </c>
      <c r="AH36" s="95">
        <v>0</v>
      </c>
      <c r="AI36" s="95">
        <v>1</v>
      </c>
      <c r="AJ36" s="95">
        <v>0</v>
      </c>
      <c r="AK36" s="95">
        <v>0</v>
      </c>
      <c r="AL36" s="95">
        <v>0</v>
      </c>
      <c r="AM36" s="95">
        <v>0</v>
      </c>
      <c r="AN36" s="95">
        <v>0</v>
      </c>
      <c r="AO36" s="95">
        <v>0</v>
      </c>
      <c r="AP36" s="95">
        <v>0</v>
      </c>
      <c r="AQ36" s="95">
        <v>0</v>
      </c>
      <c r="AR36" s="95">
        <v>0</v>
      </c>
      <c r="AS36" s="95">
        <v>0</v>
      </c>
      <c r="AT36" s="95">
        <v>0</v>
      </c>
      <c r="AU36" s="95">
        <v>1</v>
      </c>
      <c r="AV36" s="95">
        <v>0</v>
      </c>
      <c r="AW36" s="95">
        <v>0</v>
      </c>
      <c r="AX36" s="95">
        <v>0</v>
      </c>
      <c r="AY36" s="95">
        <v>0</v>
      </c>
      <c r="AZ36" s="95">
        <v>0</v>
      </c>
      <c r="BA36" s="95">
        <v>0</v>
      </c>
      <c r="BB36" s="95">
        <v>0</v>
      </c>
      <c r="BC36" s="95">
        <v>0</v>
      </c>
      <c r="BD36" s="95">
        <v>0</v>
      </c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</row>
    <row r="37" spans="1:75" ht="16.5" thickBot="1">
      <c r="A37" s="99" t="s">
        <v>202</v>
      </c>
      <c r="B37" s="56">
        <v>41</v>
      </c>
      <c r="C37" s="56">
        <v>19</v>
      </c>
      <c r="D37" s="56">
        <v>22</v>
      </c>
      <c r="E37" s="56">
        <v>15</v>
      </c>
      <c r="F37" s="56">
        <v>7</v>
      </c>
      <c r="G37" s="56">
        <v>13</v>
      </c>
      <c r="H37" s="56">
        <f>SUM(H32:H36)</f>
        <v>14</v>
      </c>
      <c r="I37" s="104"/>
      <c r="J37" s="102">
        <f t="shared" ref="J37:U37" si="49">SUM(J32:J36)</f>
        <v>0</v>
      </c>
      <c r="K37" s="102">
        <f t="shared" si="49"/>
        <v>0</v>
      </c>
      <c r="L37" s="102">
        <f t="shared" si="49"/>
        <v>1</v>
      </c>
      <c r="M37" s="102">
        <f t="shared" si="49"/>
        <v>0</v>
      </c>
      <c r="N37" s="102">
        <f t="shared" si="49"/>
        <v>0</v>
      </c>
      <c r="O37" s="102">
        <f t="shared" si="49"/>
        <v>1</v>
      </c>
      <c r="P37" s="102">
        <f t="shared" si="49"/>
        <v>0</v>
      </c>
      <c r="Q37" s="102">
        <f t="shared" si="49"/>
        <v>0</v>
      </c>
      <c r="R37" s="102">
        <f t="shared" si="49"/>
        <v>0</v>
      </c>
      <c r="S37" s="102">
        <f t="shared" si="49"/>
        <v>0</v>
      </c>
      <c r="T37" s="102">
        <f t="shared" si="49"/>
        <v>3</v>
      </c>
      <c r="U37" s="103">
        <f t="shared" si="49"/>
        <v>9</v>
      </c>
      <c r="V37" s="122"/>
      <c r="W37" s="95">
        <v>0</v>
      </c>
      <c r="X37" s="95">
        <f t="shared" ref="X37" si="50">SUM(X30:X36)</f>
        <v>0</v>
      </c>
      <c r="Y37" s="95">
        <f t="shared" ref="Y37" si="51">SUM(Y30:Y36)</f>
        <v>0</v>
      </c>
      <c r="Z37" s="95">
        <f t="shared" ref="Z37" si="52">SUM(Z30:Z36)</f>
        <v>0</v>
      </c>
      <c r="AA37" s="95">
        <f t="shared" ref="AA37" si="53">SUM(AA30:AA36)</f>
        <v>0</v>
      </c>
      <c r="AB37" s="95">
        <f t="shared" ref="AB37" si="54">SUM(AB30:AB36)</f>
        <v>0</v>
      </c>
      <c r="AC37" s="95">
        <f t="shared" ref="AC37" si="55">SUM(AC30:AC36)</f>
        <v>0</v>
      </c>
      <c r="AD37" s="95">
        <f t="shared" ref="AD37" si="56">SUM(AD30:AD36)</f>
        <v>0</v>
      </c>
      <c r="AE37" s="95">
        <f t="shared" ref="AE37" si="57">SUM(AE30:AE36)</f>
        <v>0</v>
      </c>
      <c r="AF37" s="95">
        <f t="shared" ref="AF37" si="58">SUM(AF30:AF36)</f>
        <v>0</v>
      </c>
      <c r="AG37" s="95">
        <f t="shared" ref="AG37" si="59">SUM(AG30:AG36)</f>
        <v>0</v>
      </c>
      <c r="AH37" s="95">
        <f t="shared" ref="AH37" si="60">SUM(AH30:AH36)</f>
        <v>0</v>
      </c>
      <c r="AI37" s="95">
        <f t="shared" ref="AI37" si="61">SUM(AI30:AI36)</f>
        <v>1</v>
      </c>
      <c r="AJ37" s="95">
        <f t="shared" ref="AJ37" si="62">SUM(AJ30:AJ36)</f>
        <v>0</v>
      </c>
      <c r="AK37" s="95">
        <f t="shared" ref="AK37" si="63">SUM(AK30:AK36)</f>
        <v>0</v>
      </c>
      <c r="AL37" s="95">
        <f t="shared" ref="AL37" si="64">SUM(AL30:AL36)</f>
        <v>0</v>
      </c>
      <c r="AM37" s="95">
        <f t="shared" ref="AM37" si="65">SUM(AM30:AM36)</f>
        <v>0</v>
      </c>
      <c r="AN37" s="95">
        <f t="shared" ref="AN37" si="66">SUM(AN30:AN36)</f>
        <v>0</v>
      </c>
      <c r="AO37" s="95">
        <f t="shared" ref="AO37" si="67">SUM(AO30:AO36)</f>
        <v>0</v>
      </c>
      <c r="AP37" s="95">
        <f t="shared" ref="AP37" si="68">SUM(AP30:AP36)</f>
        <v>0</v>
      </c>
      <c r="AQ37" s="95">
        <f t="shared" ref="AQ37" si="69">SUM(AQ30:AQ36)</f>
        <v>0</v>
      </c>
      <c r="AR37" s="95">
        <f t="shared" ref="AR37" si="70">SUM(AR30:AR36)</f>
        <v>0</v>
      </c>
      <c r="AS37" s="95">
        <f t="shared" ref="AS37" si="71">SUM(AS30:AS36)</f>
        <v>0</v>
      </c>
      <c r="AT37" s="95">
        <f t="shared" ref="AT37" si="72">SUM(AT30:AT36)</f>
        <v>0</v>
      </c>
      <c r="AU37" s="95">
        <f t="shared" ref="AU37" si="73">SUM(AU30:AU36)</f>
        <v>1</v>
      </c>
      <c r="AV37" s="95">
        <f t="shared" ref="AV37" si="74">SUM(AV30:AV36)</f>
        <v>0</v>
      </c>
      <c r="AW37" s="95">
        <f t="shared" ref="AW37" si="75">SUM(AW30:AW36)</f>
        <v>0</v>
      </c>
      <c r="AX37" s="95">
        <f t="shared" ref="AX37" si="76">SUM(AX30:AX36)</f>
        <v>0</v>
      </c>
      <c r="AY37" s="95">
        <f t="shared" ref="AY37" si="77">SUM(AY30:AY36)</f>
        <v>0</v>
      </c>
      <c r="AZ37" s="95">
        <f t="shared" ref="AZ37" si="78">SUM(AZ30:AZ36)</f>
        <v>0</v>
      </c>
      <c r="BA37" s="95">
        <f t="shared" ref="BA37" si="79">SUM(BA30:BA36)</f>
        <v>0</v>
      </c>
      <c r="BB37" s="95">
        <f t="shared" ref="BB37" si="80">SUM(BB30:BB36)</f>
        <v>0</v>
      </c>
      <c r="BC37" s="95">
        <f t="shared" ref="BC37" si="81">SUM(BC30:BC36)</f>
        <v>0</v>
      </c>
      <c r="BD37" s="95">
        <f t="shared" ref="BD37" si="82">SUM(BD30:BD36)</f>
        <v>0</v>
      </c>
      <c r="BE37" s="95">
        <f t="shared" ref="BE37" si="83">SUM(BE30:BE36)</f>
        <v>0</v>
      </c>
      <c r="BF37" s="95">
        <f t="shared" ref="BF37" si="84">SUM(BF30:BF36)</f>
        <v>0</v>
      </c>
      <c r="BG37" s="95">
        <f t="shared" ref="BG37" si="85">SUM(BG30:BG36)</f>
        <v>0</v>
      </c>
      <c r="BH37" s="95">
        <f t="shared" ref="BH37" si="86">SUM(BH30:BH36)</f>
        <v>0</v>
      </c>
      <c r="BI37" s="95">
        <f t="shared" ref="BI37" si="87">SUM(BI30:BI36)</f>
        <v>0</v>
      </c>
      <c r="BJ37" s="95">
        <f t="shared" ref="BJ37" si="88">SUM(BJ30:BJ36)</f>
        <v>0</v>
      </c>
      <c r="BK37" s="95">
        <f t="shared" ref="BK37" si="89">SUM(BK30:BK36)</f>
        <v>0</v>
      </c>
      <c r="BL37" s="95">
        <f t="shared" ref="BL37" si="90">SUM(BL30:BL36)</f>
        <v>0</v>
      </c>
      <c r="BM37" s="95">
        <f t="shared" ref="BM37" si="91">SUM(BM30:BM36)</f>
        <v>0</v>
      </c>
      <c r="BN37" s="95">
        <f t="shared" ref="BN37" si="92">SUM(BN30:BN36)</f>
        <v>0</v>
      </c>
      <c r="BO37" s="95">
        <f t="shared" ref="BO37" si="93">SUM(BO30:BO36)</f>
        <v>0</v>
      </c>
      <c r="BP37" s="95">
        <f t="shared" ref="BP37" si="94">SUM(BP30:BP36)</f>
        <v>0</v>
      </c>
      <c r="BQ37" s="95">
        <f t="shared" ref="BQ37" si="95">SUM(BQ30:BQ36)</f>
        <v>0</v>
      </c>
      <c r="BR37" s="95">
        <f t="shared" ref="BR37" si="96">SUM(BR30:BR36)</f>
        <v>0</v>
      </c>
      <c r="BS37" s="95">
        <f t="shared" ref="BS37" si="97">SUM(BS30:BS36)</f>
        <v>0</v>
      </c>
      <c r="BT37" s="95">
        <f t="shared" ref="BT37" si="98">SUM(BT30:BT36)</f>
        <v>0</v>
      </c>
      <c r="BU37" s="95">
        <f t="shared" ref="BU37" si="99">SUM(BU30:BU36)</f>
        <v>0</v>
      </c>
      <c r="BV37" s="95">
        <f t="shared" ref="BV37" si="100">SUM(BV30:BV36)</f>
        <v>0</v>
      </c>
      <c r="BW37" s="95">
        <f t="shared" ref="BW37" si="101">SUM(BW30:BW36)</f>
        <v>0</v>
      </c>
    </row>
    <row r="38" spans="1:75" ht="15" thickTop="1" thickBot="1">
      <c r="A38" s="105"/>
      <c r="B38" s="106"/>
      <c r="C38" s="106"/>
      <c r="D38" s="106"/>
      <c r="E38" s="106"/>
      <c r="F38" s="106"/>
      <c r="G38" s="106"/>
      <c r="H38" s="106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107"/>
      <c r="V38" s="122"/>
    </row>
    <row r="39" spans="1:75" ht="16.5" thickTop="1">
      <c r="A39" s="140" t="s">
        <v>189</v>
      </c>
      <c r="B39" s="142" t="s">
        <v>190</v>
      </c>
      <c r="C39" s="142" t="s">
        <v>191</v>
      </c>
      <c r="D39" s="142" t="s">
        <v>192</v>
      </c>
      <c r="E39" s="142" t="s">
        <v>193</v>
      </c>
      <c r="F39" s="142" t="s">
        <v>194</v>
      </c>
      <c r="G39" s="127" t="s">
        <v>195</v>
      </c>
      <c r="H39" s="127" t="s">
        <v>203</v>
      </c>
      <c r="I39" s="121"/>
      <c r="J39" s="144" t="s">
        <v>80</v>
      </c>
      <c r="K39" s="144" t="s">
        <v>81</v>
      </c>
      <c r="L39" s="127" t="s">
        <v>82</v>
      </c>
      <c r="M39" s="127" t="s">
        <v>83</v>
      </c>
      <c r="N39" s="127" t="s">
        <v>84</v>
      </c>
      <c r="O39" s="127" t="s">
        <v>85</v>
      </c>
      <c r="P39" s="127" t="s">
        <v>86</v>
      </c>
      <c r="Q39" s="127" t="s">
        <v>87</v>
      </c>
      <c r="R39" s="127" t="s">
        <v>167</v>
      </c>
      <c r="S39" s="127" t="s">
        <v>89</v>
      </c>
      <c r="T39" s="127" t="s">
        <v>90</v>
      </c>
      <c r="U39" s="131" t="s">
        <v>91</v>
      </c>
      <c r="V39" s="129"/>
      <c r="W39" s="124" t="s">
        <v>92</v>
      </c>
      <c r="X39" s="125"/>
      <c r="Y39" s="125"/>
      <c r="Z39" s="125"/>
      <c r="AA39" s="126"/>
      <c r="AB39" s="124" t="s">
        <v>93</v>
      </c>
      <c r="AC39" s="125"/>
      <c r="AD39" s="125"/>
      <c r="AE39" s="126"/>
      <c r="AF39" s="124" t="s">
        <v>94</v>
      </c>
      <c r="AG39" s="125"/>
      <c r="AH39" s="125"/>
      <c r="AI39" s="126"/>
      <c r="AJ39" s="124" t="s">
        <v>95</v>
      </c>
      <c r="AK39" s="125"/>
      <c r="AL39" s="125"/>
      <c r="AM39" s="125"/>
      <c r="AN39" s="125" t="s">
        <v>204</v>
      </c>
      <c r="AO39" s="136" t="s">
        <v>96</v>
      </c>
      <c r="AP39" s="136"/>
      <c r="AQ39" s="136"/>
      <c r="AR39" s="137"/>
      <c r="AS39" s="124" t="s">
        <v>97</v>
      </c>
      <c r="AT39" s="125"/>
      <c r="AU39" s="125"/>
      <c r="AV39" s="126"/>
      <c r="AW39" s="124" t="s">
        <v>98</v>
      </c>
      <c r="AX39" s="125"/>
      <c r="AY39" s="125"/>
      <c r="AZ39" s="125"/>
      <c r="BA39" s="126"/>
      <c r="BB39" s="135" t="s">
        <v>99</v>
      </c>
      <c r="BC39" s="136"/>
      <c r="BD39" s="136"/>
      <c r="BE39" s="137"/>
      <c r="BF39" s="135" t="s">
        <v>100</v>
      </c>
      <c r="BG39" s="136"/>
      <c r="BH39" s="136"/>
      <c r="BI39" s="137"/>
      <c r="BJ39" s="135" t="s">
        <v>101</v>
      </c>
      <c r="BK39" s="136"/>
      <c r="BL39" s="136"/>
      <c r="BM39" s="136"/>
      <c r="BN39" s="137"/>
      <c r="BO39" s="135" t="s">
        <v>170</v>
      </c>
      <c r="BP39" s="136"/>
      <c r="BQ39" s="136"/>
      <c r="BR39" s="137"/>
      <c r="BS39" s="135" t="s">
        <v>103</v>
      </c>
      <c r="BT39" s="136"/>
      <c r="BU39" s="136"/>
      <c r="BV39" s="136"/>
      <c r="BW39" s="137"/>
    </row>
    <row r="40" spans="1:75" ht="13.9" customHeight="1">
      <c r="A40" s="141"/>
      <c r="B40" s="143"/>
      <c r="C40" s="143"/>
      <c r="D40" s="143"/>
      <c r="E40" s="143"/>
      <c r="F40" s="143"/>
      <c r="G40" s="128"/>
      <c r="H40" s="128"/>
      <c r="I40" s="15"/>
      <c r="J40" s="145"/>
      <c r="K40" s="145"/>
      <c r="L40" s="128"/>
      <c r="M40" s="128"/>
      <c r="N40" s="128"/>
      <c r="O40" s="128"/>
      <c r="P40" s="128"/>
      <c r="Q40" s="128"/>
      <c r="R40" s="128"/>
      <c r="S40" s="128"/>
      <c r="T40" s="128"/>
      <c r="U40" s="132"/>
      <c r="V40" s="130"/>
      <c r="W40" s="95" t="s">
        <v>171</v>
      </c>
      <c r="X40" s="14" t="s">
        <v>172</v>
      </c>
      <c r="Y40" s="95" t="s">
        <v>106</v>
      </c>
      <c r="Z40" s="95" t="s">
        <v>107</v>
      </c>
      <c r="AA40" s="14" t="s">
        <v>108</v>
      </c>
      <c r="AB40" s="95" t="s">
        <v>109</v>
      </c>
      <c r="AC40" s="95" t="s">
        <v>110</v>
      </c>
      <c r="AD40" s="95" t="s">
        <v>111</v>
      </c>
      <c r="AE40" s="95" t="s">
        <v>112</v>
      </c>
      <c r="AF40" s="14" t="s">
        <v>113</v>
      </c>
      <c r="AG40" s="95" t="s">
        <v>114</v>
      </c>
      <c r="AH40" s="95" t="s">
        <v>115</v>
      </c>
      <c r="AI40" s="95" t="s">
        <v>116</v>
      </c>
      <c r="AJ40" s="95" t="s">
        <v>117</v>
      </c>
      <c r="AK40" s="95" t="s">
        <v>118</v>
      </c>
      <c r="AL40" s="95" t="s">
        <v>119</v>
      </c>
      <c r="AM40" s="95" t="s">
        <v>120</v>
      </c>
      <c r="AN40" s="95" t="s">
        <v>121</v>
      </c>
      <c r="AO40" s="95" t="s">
        <v>122</v>
      </c>
      <c r="AP40" s="95" t="s">
        <v>123</v>
      </c>
      <c r="AQ40" s="95" t="s">
        <v>124</v>
      </c>
      <c r="AR40" s="95" t="s">
        <v>125</v>
      </c>
      <c r="AS40" s="95" t="s">
        <v>126</v>
      </c>
      <c r="AT40" s="95" t="s">
        <v>127</v>
      </c>
      <c r="AU40" s="95" t="s">
        <v>128</v>
      </c>
      <c r="AV40" s="95" t="s">
        <v>129</v>
      </c>
      <c r="AW40" s="95" t="s">
        <v>173</v>
      </c>
      <c r="AX40" s="95" t="s">
        <v>174</v>
      </c>
      <c r="AY40" s="95" t="s">
        <v>132</v>
      </c>
      <c r="AZ40" s="95" t="s">
        <v>133</v>
      </c>
      <c r="BA40" s="95" t="s">
        <v>134</v>
      </c>
      <c r="BB40" s="95" t="s">
        <v>175</v>
      </c>
      <c r="BC40" s="95" t="s">
        <v>176</v>
      </c>
      <c r="BD40" s="95" t="s">
        <v>177</v>
      </c>
      <c r="BE40" s="95" t="s">
        <v>178</v>
      </c>
      <c r="BF40" s="95" t="s">
        <v>139</v>
      </c>
      <c r="BG40" s="95" t="s">
        <v>140</v>
      </c>
      <c r="BH40" s="95" t="s">
        <v>141</v>
      </c>
      <c r="BI40" s="95" t="s">
        <v>142</v>
      </c>
      <c r="BJ40" s="95" t="s">
        <v>143</v>
      </c>
      <c r="BK40" s="95" t="s">
        <v>144</v>
      </c>
      <c r="BL40" s="95" t="s">
        <v>145</v>
      </c>
      <c r="BM40" s="95" t="s">
        <v>146</v>
      </c>
      <c r="BN40" s="95" t="s">
        <v>147</v>
      </c>
      <c r="BO40" s="95" t="s">
        <v>179</v>
      </c>
      <c r="BP40" s="95" t="s">
        <v>180</v>
      </c>
      <c r="BQ40" s="95" t="s">
        <v>150</v>
      </c>
      <c r="BR40" s="95" t="s">
        <v>151</v>
      </c>
      <c r="BS40" s="95" t="s">
        <v>152</v>
      </c>
      <c r="BT40" s="95" t="s">
        <v>153</v>
      </c>
      <c r="BU40" s="95" t="s">
        <v>154</v>
      </c>
      <c r="BV40" s="95" t="s">
        <v>155</v>
      </c>
      <c r="BW40" s="95"/>
    </row>
    <row r="41" spans="1:75" ht="15.75">
      <c r="A41" s="97" t="s">
        <v>197</v>
      </c>
      <c r="B41" s="28">
        <v>106</v>
      </c>
      <c r="C41" s="28">
        <v>113</v>
      </c>
      <c r="D41" s="28">
        <v>120</v>
      </c>
      <c r="E41" s="86">
        <v>119</v>
      </c>
      <c r="F41" s="86">
        <v>116</v>
      </c>
      <c r="G41" s="48">
        <v>97</v>
      </c>
      <c r="H41" s="48">
        <f>AVERAGE(J41:U41)</f>
        <v>100.08333333333333</v>
      </c>
      <c r="I41" s="94"/>
      <c r="J41" s="15">
        <v>105</v>
      </c>
      <c r="K41" s="15">
        <v>95</v>
      </c>
      <c r="L41" s="28">
        <v>113</v>
      </c>
      <c r="M41" s="28">
        <v>113</v>
      </c>
      <c r="N41" s="28">
        <v>113</v>
      </c>
      <c r="O41" s="28">
        <v>117</v>
      </c>
      <c r="P41" s="28">
        <v>102</v>
      </c>
      <c r="Q41" s="28">
        <v>109</v>
      </c>
      <c r="R41" s="28">
        <v>97</v>
      </c>
      <c r="S41" s="28">
        <v>92</v>
      </c>
      <c r="T41" s="28">
        <v>85</v>
      </c>
      <c r="U41" s="51">
        <v>60</v>
      </c>
      <c r="V41" s="122"/>
      <c r="W41" s="96">
        <v>17</v>
      </c>
      <c r="X41" s="15">
        <v>21</v>
      </c>
      <c r="Y41" s="95">
        <v>23</v>
      </c>
      <c r="Z41" s="95">
        <v>32</v>
      </c>
      <c r="AA41" s="95">
        <v>28</v>
      </c>
      <c r="AB41" s="95">
        <v>17</v>
      </c>
      <c r="AC41" s="95">
        <v>20</v>
      </c>
      <c r="AD41" s="95">
        <v>27</v>
      </c>
      <c r="AE41" s="95">
        <v>28</v>
      </c>
      <c r="AF41" s="95">
        <v>32</v>
      </c>
      <c r="AG41" s="95">
        <v>17</v>
      </c>
      <c r="AH41" s="95">
        <v>23</v>
      </c>
      <c r="AI41" s="95">
        <v>28</v>
      </c>
      <c r="AJ41" s="95">
        <v>24</v>
      </c>
      <c r="AK41" s="95">
        <v>21</v>
      </c>
      <c r="AL41" s="95">
        <v>20</v>
      </c>
      <c r="AM41" s="95">
        <v>27</v>
      </c>
      <c r="AN41" s="95">
        <v>19</v>
      </c>
      <c r="AO41" s="95">
        <v>26</v>
      </c>
      <c r="AP41" s="95">
        <v>17</v>
      </c>
      <c r="AQ41" s="95">
        <v>27</v>
      </c>
      <c r="AR41" s="95">
        <v>17</v>
      </c>
      <c r="AS41" s="95">
        <v>27</v>
      </c>
      <c r="AT41" s="95">
        <v>19</v>
      </c>
      <c r="AU41" s="95">
        <v>23</v>
      </c>
      <c r="AV41" s="95">
        <v>28</v>
      </c>
      <c r="AW41" s="95">
        <v>19</v>
      </c>
      <c r="AX41" s="95">
        <v>22</v>
      </c>
      <c r="AY41" s="95">
        <v>19</v>
      </c>
      <c r="AZ41" s="95">
        <v>24</v>
      </c>
      <c r="BA41" s="95">
        <v>20</v>
      </c>
      <c r="BB41" s="95">
        <v>16</v>
      </c>
      <c r="BC41" s="95">
        <v>21</v>
      </c>
      <c r="BD41" s="95">
        <v>19</v>
      </c>
      <c r="BE41" s="95">
        <v>30</v>
      </c>
      <c r="BF41" s="95">
        <v>20</v>
      </c>
      <c r="BG41" s="95">
        <v>24</v>
      </c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</row>
    <row r="42" spans="1:75" ht="15.75">
      <c r="A42" s="97" t="s">
        <v>198</v>
      </c>
      <c r="B42" s="28">
        <v>101</v>
      </c>
      <c r="C42" s="28">
        <v>106</v>
      </c>
      <c r="D42" s="28">
        <v>122</v>
      </c>
      <c r="E42" s="86">
        <v>119</v>
      </c>
      <c r="F42" s="86">
        <v>117</v>
      </c>
      <c r="G42" s="48">
        <v>103</v>
      </c>
      <c r="H42" s="48">
        <f t="shared" ref="H42:H45" si="102">AVERAGE(J42:U42)</f>
        <v>105.91666666666667</v>
      </c>
      <c r="I42" s="94"/>
      <c r="J42" s="15">
        <v>112</v>
      </c>
      <c r="K42" s="15">
        <v>105</v>
      </c>
      <c r="L42" s="28">
        <v>118</v>
      </c>
      <c r="M42" s="28">
        <v>119</v>
      </c>
      <c r="N42" s="28">
        <v>125</v>
      </c>
      <c r="O42" s="28">
        <v>115</v>
      </c>
      <c r="P42" s="28">
        <v>108</v>
      </c>
      <c r="Q42" s="28">
        <v>94</v>
      </c>
      <c r="R42" s="28">
        <v>102</v>
      </c>
      <c r="S42" s="28">
        <v>90</v>
      </c>
      <c r="T42" s="28">
        <v>95</v>
      </c>
      <c r="U42" s="51">
        <v>88</v>
      </c>
      <c r="V42" s="122"/>
      <c r="W42" s="96">
        <v>20</v>
      </c>
      <c r="X42" s="15">
        <v>23</v>
      </c>
      <c r="Y42" s="95">
        <v>23</v>
      </c>
      <c r="Z42" s="95">
        <v>32</v>
      </c>
      <c r="AA42" s="95">
        <v>29</v>
      </c>
      <c r="AB42" s="95">
        <v>18</v>
      </c>
      <c r="AC42" s="95">
        <v>22</v>
      </c>
      <c r="AD42" s="95">
        <v>30</v>
      </c>
      <c r="AE42" s="95">
        <v>30</v>
      </c>
      <c r="AF42" s="95">
        <v>33</v>
      </c>
      <c r="AG42" s="95">
        <v>23</v>
      </c>
      <c r="AH42" s="95">
        <v>24</v>
      </c>
      <c r="AI42" s="95">
        <v>28</v>
      </c>
      <c r="AJ42" s="95">
        <v>25</v>
      </c>
      <c r="AK42" s="95">
        <v>24</v>
      </c>
      <c r="AL42" s="95">
        <v>19</v>
      </c>
      <c r="AM42" s="95">
        <v>27</v>
      </c>
      <c r="AN42" s="95">
        <v>23</v>
      </c>
      <c r="AO42" s="95">
        <v>26</v>
      </c>
      <c r="AP42" s="95">
        <v>18</v>
      </c>
      <c r="AQ42" s="95">
        <v>25</v>
      </c>
      <c r="AR42" s="95">
        <v>25</v>
      </c>
      <c r="AS42" s="95">
        <v>23</v>
      </c>
      <c r="AT42" s="95">
        <v>21</v>
      </c>
      <c r="AU42" s="95">
        <v>24</v>
      </c>
      <c r="AV42" s="95">
        <v>25</v>
      </c>
      <c r="AW42" s="95">
        <v>20</v>
      </c>
      <c r="AX42" s="95">
        <v>20</v>
      </c>
      <c r="AY42" s="95">
        <v>26</v>
      </c>
      <c r="AZ42" s="95">
        <v>20</v>
      </c>
      <c r="BA42" s="95">
        <v>17</v>
      </c>
      <c r="BB42" s="95">
        <v>20</v>
      </c>
      <c r="BC42" s="95">
        <v>12</v>
      </c>
      <c r="BD42" s="95">
        <v>23</v>
      </c>
      <c r="BE42" s="95">
        <v>21</v>
      </c>
      <c r="BF42" s="95">
        <v>24</v>
      </c>
      <c r="BG42" s="95">
        <v>27</v>
      </c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</row>
    <row r="43" spans="1:75" ht="15.75">
      <c r="A43" s="97" t="s">
        <v>199</v>
      </c>
      <c r="B43" s="28">
        <v>111</v>
      </c>
      <c r="C43" s="28">
        <v>117</v>
      </c>
      <c r="D43" s="28">
        <v>125</v>
      </c>
      <c r="E43" s="86">
        <v>127</v>
      </c>
      <c r="F43" s="86">
        <v>126</v>
      </c>
      <c r="G43" s="48">
        <v>113</v>
      </c>
      <c r="H43" s="48">
        <f t="shared" si="102"/>
        <v>113.16666666666667</v>
      </c>
      <c r="I43" s="94"/>
      <c r="J43" s="15">
        <v>114</v>
      </c>
      <c r="K43" s="15">
        <v>104</v>
      </c>
      <c r="L43" s="28">
        <v>121</v>
      </c>
      <c r="M43" s="28">
        <v>119</v>
      </c>
      <c r="N43" s="28">
        <v>132</v>
      </c>
      <c r="O43" s="28">
        <v>121</v>
      </c>
      <c r="P43" s="28">
        <v>117</v>
      </c>
      <c r="Q43" s="28">
        <v>111</v>
      </c>
      <c r="R43" s="28">
        <v>109</v>
      </c>
      <c r="S43" s="28">
        <v>100</v>
      </c>
      <c r="T43" s="28">
        <v>100</v>
      </c>
      <c r="U43" s="51">
        <v>110</v>
      </c>
      <c r="V43" s="122"/>
      <c r="W43" s="96">
        <v>22</v>
      </c>
      <c r="X43" s="15">
        <v>21</v>
      </c>
      <c r="Y43" s="95">
        <v>29</v>
      </c>
      <c r="Z43" s="95">
        <v>28</v>
      </c>
      <c r="AA43" s="95">
        <v>35</v>
      </c>
      <c r="AB43" s="95">
        <v>11</v>
      </c>
      <c r="AC43" s="95">
        <v>23</v>
      </c>
      <c r="AD43" s="95">
        <v>30</v>
      </c>
      <c r="AE43" s="95">
        <v>35</v>
      </c>
      <c r="AF43" s="95">
        <v>26</v>
      </c>
      <c r="AG43" s="95">
        <v>23</v>
      </c>
      <c r="AH43" s="95">
        <v>29</v>
      </c>
      <c r="AI43" s="95">
        <v>27</v>
      </c>
      <c r="AJ43" s="95">
        <v>18</v>
      </c>
      <c r="AK43" s="95">
        <v>29</v>
      </c>
      <c r="AL43" s="95">
        <v>23</v>
      </c>
      <c r="AM43" s="95">
        <v>23</v>
      </c>
      <c r="AN43" s="95">
        <v>28</v>
      </c>
      <c r="AO43" s="95">
        <v>22</v>
      </c>
      <c r="AP43" s="95">
        <v>27</v>
      </c>
      <c r="AQ43" s="95">
        <v>22</v>
      </c>
      <c r="AR43" s="95">
        <v>25</v>
      </c>
      <c r="AS43" s="95">
        <v>27</v>
      </c>
      <c r="AT43" s="95">
        <v>24</v>
      </c>
      <c r="AU43" s="95">
        <v>23</v>
      </c>
      <c r="AV43" s="95">
        <v>23</v>
      </c>
      <c r="AW43" s="95">
        <v>22</v>
      </c>
      <c r="AX43" s="95">
        <v>20</v>
      </c>
      <c r="AY43" s="95">
        <v>27</v>
      </c>
      <c r="AZ43" s="95">
        <v>21</v>
      </c>
      <c r="BA43" s="95">
        <v>24</v>
      </c>
      <c r="BB43" s="95">
        <v>18</v>
      </c>
      <c r="BC43" s="95">
        <v>17</v>
      </c>
      <c r="BD43" s="95">
        <v>25</v>
      </c>
      <c r="BE43" s="95">
        <v>25</v>
      </c>
      <c r="BF43" s="95">
        <v>30</v>
      </c>
      <c r="BG43" s="95">
        <v>23</v>
      </c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</row>
    <row r="44" spans="1:75" ht="15.75">
      <c r="A44" s="97" t="s">
        <v>200</v>
      </c>
      <c r="B44" s="28">
        <v>107</v>
      </c>
      <c r="C44" s="28">
        <v>115</v>
      </c>
      <c r="D44" s="28">
        <v>122</v>
      </c>
      <c r="E44" s="86">
        <v>122</v>
      </c>
      <c r="F44" s="86">
        <v>118</v>
      </c>
      <c r="G44" s="48">
        <v>104</v>
      </c>
      <c r="H44" s="48">
        <f t="shared" si="102"/>
        <v>110.75</v>
      </c>
      <c r="I44" s="94"/>
      <c r="J44" s="15">
        <v>103</v>
      </c>
      <c r="K44" s="15">
        <v>102</v>
      </c>
      <c r="L44" s="28">
        <v>121</v>
      </c>
      <c r="M44" s="28">
        <v>115</v>
      </c>
      <c r="N44" s="28">
        <v>130</v>
      </c>
      <c r="O44" s="28">
        <v>123</v>
      </c>
      <c r="P44" s="28">
        <v>109</v>
      </c>
      <c r="Q44" s="28">
        <v>110</v>
      </c>
      <c r="R44" s="28">
        <v>102</v>
      </c>
      <c r="S44" s="28">
        <v>102</v>
      </c>
      <c r="T44" s="28">
        <v>110</v>
      </c>
      <c r="U44" s="51">
        <v>102</v>
      </c>
      <c r="V44" s="122"/>
      <c r="W44" s="96">
        <v>21</v>
      </c>
      <c r="X44" s="15">
        <v>18</v>
      </c>
      <c r="Y44" s="95">
        <v>24</v>
      </c>
      <c r="Z44" s="95">
        <v>31</v>
      </c>
      <c r="AA44" s="95">
        <v>25</v>
      </c>
      <c r="AB44" s="95">
        <v>19</v>
      </c>
      <c r="AC44" s="95">
        <v>23</v>
      </c>
      <c r="AD44" s="95">
        <v>30</v>
      </c>
      <c r="AE44" s="95">
        <v>29</v>
      </c>
      <c r="AF44" s="95">
        <v>31</v>
      </c>
      <c r="AG44" s="95">
        <v>29</v>
      </c>
      <c r="AH44" s="95">
        <v>17</v>
      </c>
      <c r="AI44" s="95">
        <v>29</v>
      </c>
      <c r="AJ44" s="95">
        <v>15</v>
      </c>
      <c r="AK44" s="95">
        <v>31</v>
      </c>
      <c r="AL44" s="95">
        <v>22</v>
      </c>
      <c r="AM44" s="95">
        <v>24</v>
      </c>
      <c r="AN44" s="95">
        <v>30</v>
      </c>
      <c r="AO44" s="95">
        <v>24</v>
      </c>
      <c r="AP44" s="95">
        <v>26</v>
      </c>
      <c r="AQ44" s="95">
        <v>24</v>
      </c>
      <c r="AR44" s="95">
        <v>26</v>
      </c>
      <c r="AS44" s="95">
        <v>29</v>
      </c>
      <c r="AT44" s="95">
        <v>27</v>
      </c>
      <c r="AU44" s="95">
        <v>28</v>
      </c>
      <c r="AV44" s="95">
        <v>26</v>
      </c>
      <c r="AW44" s="95">
        <v>21</v>
      </c>
      <c r="AX44" s="95">
        <v>29</v>
      </c>
      <c r="AY44" s="95">
        <v>22</v>
      </c>
      <c r="AZ44" s="95">
        <v>16</v>
      </c>
      <c r="BA44" s="95">
        <v>26</v>
      </c>
      <c r="BB44" s="95">
        <v>18</v>
      </c>
      <c r="BC44" s="95">
        <v>16</v>
      </c>
      <c r="BD44" s="95">
        <v>24</v>
      </c>
      <c r="BE44" s="95">
        <v>26</v>
      </c>
      <c r="BF44" s="95">
        <v>21</v>
      </c>
      <c r="BG44" s="95">
        <v>22</v>
      </c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</row>
    <row r="45" spans="1:75" ht="15.75">
      <c r="A45" s="97" t="s">
        <v>201</v>
      </c>
      <c r="B45" s="28">
        <v>78</v>
      </c>
      <c r="C45" s="28">
        <v>89</v>
      </c>
      <c r="D45" s="28">
        <v>99</v>
      </c>
      <c r="E45" s="86">
        <v>87</v>
      </c>
      <c r="F45" s="86">
        <v>90</v>
      </c>
      <c r="G45" s="48">
        <v>49</v>
      </c>
      <c r="H45" s="48">
        <f t="shared" si="102"/>
        <v>71.75</v>
      </c>
      <c r="I45" s="94"/>
      <c r="J45" s="15">
        <v>67</v>
      </c>
      <c r="K45" s="15">
        <v>84</v>
      </c>
      <c r="L45" s="28">
        <v>73</v>
      </c>
      <c r="M45" s="28">
        <v>92</v>
      </c>
      <c r="N45" s="28">
        <v>104</v>
      </c>
      <c r="O45" s="28">
        <v>92</v>
      </c>
      <c r="P45" s="28">
        <v>74</v>
      </c>
      <c r="Q45" s="28">
        <v>59</v>
      </c>
      <c r="R45" s="28">
        <v>51</v>
      </c>
      <c r="S45" s="28">
        <v>44</v>
      </c>
      <c r="T45" s="28">
        <v>53</v>
      </c>
      <c r="U45" s="51">
        <v>68</v>
      </c>
      <c r="V45" s="122"/>
      <c r="W45" s="96">
        <v>14</v>
      </c>
      <c r="X45" s="15">
        <v>13</v>
      </c>
      <c r="Y45" s="95">
        <v>11</v>
      </c>
      <c r="Z45" s="95">
        <v>21</v>
      </c>
      <c r="AA45" s="95">
        <v>25</v>
      </c>
      <c r="AB45" s="95">
        <v>12</v>
      </c>
      <c r="AC45" s="95">
        <v>12</v>
      </c>
      <c r="AD45" s="95">
        <v>27</v>
      </c>
      <c r="AE45" s="95">
        <v>27</v>
      </c>
      <c r="AF45" s="95">
        <v>23</v>
      </c>
      <c r="AG45" s="95">
        <v>8</v>
      </c>
      <c r="AH45" s="95">
        <v>10</v>
      </c>
      <c r="AI45" s="95">
        <v>21</v>
      </c>
      <c r="AJ45" s="95">
        <v>18</v>
      </c>
      <c r="AK45" s="95">
        <v>16</v>
      </c>
      <c r="AL45" s="95">
        <v>16</v>
      </c>
      <c r="AM45" s="95">
        <v>22</v>
      </c>
      <c r="AN45" s="95">
        <v>19</v>
      </c>
      <c r="AO45" s="95">
        <v>19</v>
      </c>
      <c r="AP45" s="95">
        <v>13</v>
      </c>
      <c r="AQ45" s="95">
        <v>29</v>
      </c>
      <c r="AR45" s="95">
        <v>19</v>
      </c>
      <c r="AS45" s="95">
        <v>24</v>
      </c>
      <c r="AT45" s="95">
        <v>11</v>
      </c>
      <c r="AU45" s="95">
        <v>19</v>
      </c>
      <c r="AV45" s="95">
        <v>19</v>
      </c>
      <c r="AW45" s="95">
        <v>16</v>
      </c>
      <c r="AX45" s="95">
        <v>13</v>
      </c>
      <c r="AY45" s="95">
        <v>16</v>
      </c>
      <c r="AZ45" s="95">
        <v>19</v>
      </c>
      <c r="BA45" s="95">
        <v>5</v>
      </c>
      <c r="BB45" s="95">
        <v>5</v>
      </c>
      <c r="BC45" s="95">
        <v>11</v>
      </c>
      <c r="BD45" s="95">
        <v>18</v>
      </c>
      <c r="BE45" s="95">
        <v>17</v>
      </c>
      <c r="BF45" s="95">
        <v>16</v>
      </c>
      <c r="BG45" s="95">
        <v>10</v>
      </c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</row>
    <row r="46" spans="1:75" ht="16.5" thickBot="1">
      <c r="A46" s="99" t="s">
        <v>202</v>
      </c>
      <c r="B46" s="56">
        <v>501</v>
      </c>
      <c r="C46" s="56">
        <v>540</v>
      </c>
      <c r="D46" s="56">
        <v>588</v>
      </c>
      <c r="E46" s="108">
        <v>573</v>
      </c>
      <c r="F46" s="108">
        <v>566</v>
      </c>
      <c r="G46" s="108">
        <v>463</v>
      </c>
      <c r="H46" s="108">
        <f>IF(AVERAGE(J46:S46)=0,"",AVERAGE(J46:S46))</f>
        <v>514.9</v>
      </c>
      <c r="I46" s="101"/>
      <c r="J46" s="102">
        <f t="shared" ref="J46:O46" si="103">SUM(J41:J45)</f>
        <v>501</v>
      </c>
      <c r="K46" s="102">
        <f t="shared" si="103"/>
        <v>490</v>
      </c>
      <c r="L46" s="102">
        <f t="shared" si="103"/>
        <v>546</v>
      </c>
      <c r="M46" s="102">
        <f t="shared" si="103"/>
        <v>558</v>
      </c>
      <c r="N46" s="102">
        <f t="shared" si="103"/>
        <v>604</v>
      </c>
      <c r="O46" s="102">
        <f t="shared" si="103"/>
        <v>568</v>
      </c>
      <c r="P46" s="102">
        <f t="shared" ref="P46:U46" si="104">SUM(P41:P45)</f>
        <v>510</v>
      </c>
      <c r="Q46" s="102">
        <f t="shared" si="104"/>
        <v>483</v>
      </c>
      <c r="R46" s="102">
        <f t="shared" si="104"/>
        <v>461</v>
      </c>
      <c r="S46" s="102">
        <f t="shared" si="104"/>
        <v>428</v>
      </c>
      <c r="T46" s="102">
        <f t="shared" si="104"/>
        <v>443</v>
      </c>
      <c r="U46" s="103">
        <f t="shared" si="104"/>
        <v>428</v>
      </c>
      <c r="V46" s="122"/>
      <c r="W46" s="95">
        <f>SUM(W41:W45)</f>
        <v>94</v>
      </c>
      <c r="X46" s="95">
        <f t="shared" ref="X46:BV46" si="105">SUM(X41:X45)</f>
        <v>96</v>
      </c>
      <c r="Y46" s="95">
        <f t="shared" si="105"/>
        <v>110</v>
      </c>
      <c r="Z46" s="95">
        <f t="shared" si="105"/>
        <v>144</v>
      </c>
      <c r="AA46" s="95">
        <f t="shared" si="105"/>
        <v>142</v>
      </c>
      <c r="AB46" s="95">
        <f t="shared" si="105"/>
        <v>77</v>
      </c>
      <c r="AC46" s="95">
        <f t="shared" si="105"/>
        <v>100</v>
      </c>
      <c r="AD46" s="95">
        <f t="shared" si="105"/>
        <v>144</v>
      </c>
      <c r="AE46" s="95">
        <f t="shared" si="105"/>
        <v>149</v>
      </c>
      <c r="AF46" s="95">
        <f t="shared" si="105"/>
        <v>145</v>
      </c>
      <c r="AG46" s="95">
        <f t="shared" si="105"/>
        <v>100</v>
      </c>
      <c r="AH46" s="95">
        <f t="shared" si="105"/>
        <v>103</v>
      </c>
      <c r="AI46" s="95">
        <f t="shared" si="105"/>
        <v>133</v>
      </c>
      <c r="AJ46" s="95">
        <f t="shared" si="105"/>
        <v>100</v>
      </c>
      <c r="AK46" s="95">
        <f t="shared" si="105"/>
        <v>121</v>
      </c>
      <c r="AL46" s="95">
        <f t="shared" si="105"/>
        <v>100</v>
      </c>
      <c r="AM46" s="95">
        <f t="shared" si="105"/>
        <v>123</v>
      </c>
      <c r="AN46" s="95">
        <f t="shared" si="105"/>
        <v>119</v>
      </c>
      <c r="AO46" s="95">
        <f t="shared" si="105"/>
        <v>117</v>
      </c>
      <c r="AP46" s="95">
        <f t="shared" si="105"/>
        <v>101</v>
      </c>
      <c r="AQ46" s="95">
        <f t="shared" si="105"/>
        <v>127</v>
      </c>
      <c r="AR46" s="95">
        <f t="shared" si="105"/>
        <v>112</v>
      </c>
      <c r="AS46" s="95">
        <f t="shared" si="105"/>
        <v>130</v>
      </c>
      <c r="AT46" s="95">
        <f t="shared" si="105"/>
        <v>102</v>
      </c>
      <c r="AU46" s="95">
        <f t="shared" si="105"/>
        <v>117</v>
      </c>
      <c r="AV46" s="95">
        <f t="shared" si="105"/>
        <v>121</v>
      </c>
      <c r="AW46" s="95">
        <f t="shared" si="105"/>
        <v>98</v>
      </c>
      <c r="AX46" s="95">
        <f t="shared" si="105"/>
        <v>104</v>
      </c>
      <c r="AY46" s="95">
        <f t="shared" si="105"/>
        <v>110</v>
      </c>
      <c r="AZ46" s="95">
        <f t="shared" si="105"/>
        <v>100</v>
      </c>
      <c r="BA46" s="95">
        <f t="shared" si="105"/>
        <v>92</v>
      </c>
      <c r="BB46" s="95">
        <f t="shared" si="105"/>
        <v>77</v>
      </c>
      <c r="BC46" s="95">
        <f t="shared" si="105"/>
        <v>77</v>
      </c>
      <c r="BD46" s="95">
        <f t="shared" si="105"/>
        <v>109</v>
      </c>
      <c r="BE46" s="95">
        <f t="shared" si="105"/>
        <v>119</v>
      </c>
      <c r="BF46" s="95">
        <f t="shared" si="105"/>
        <v>111</v>
      </c>
      <c r="BG46" s="95">
        <f t="shared" si="105"/>
        <v>106</v>
      </c>
      <c r="BH46" s="95">
        <f t="shared" si="105"/>
        <v>0</v>
      </c>
      <c r="BI46" s="95">
        <f t="shared" si="105"/>
        <v>0</v>
      </c>
      <c r="BJ46" s="95">
        <f t="shared" si="105"/>
        <v>0</v>
      </c>
      <c r="BK46" s="95">
        <f t="shared" si="105"/>
        <v>0</v>
      </c>
      <c r="BL46" s="95">
        <f t="shared" si="105"/>
        <v>0</v>
      </c>
      <c r="BM46" s="95">
        <f t="shared" si="105"/>
        <v>0</v>
      </c>
      <c r="BN46" s="95">
        <f t="shared" si="105"/>
        <v>0</v>
      </c>
      <c r="BO46" s="95">
        <f t="shared" si="105"/>
        <v>0</v>
      </c>
      <c r="BP46" s="95">
        <f t="shared" si="105"/>
        <v>0</v>
      </c>
      <c r="BQ46" s="95">
        <f t="shared" si="105"/>
        <v>0</v>
      </c>
      <c r="BR46" s="95">
        <f t="shared" si="105"/>
        <v>0</v>
      </c>
      <c r="BS46" s="95">
        <f t="shared" si="105"/>
        <v>0</v>
      </c>
      <c r="BT46" s="95">
        <f t="shared" si="105"/>
        <v>0</v>
      </c>
      <c r="BU46" s="95">
        <f t="shared" si="105"/>
        <v>0</v>
      </c>
      <c r="BV46" s="95">
        <f t="shared" si="105"/>
        <v>0</v>
      </c>
      <c r="BW46" s="95"/>
    </row>
    <row r="47" spans="1:75" ht="15" thickTop="1" thickBot="1">
      <c r="H47" s="1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22"/>
    </row>
    <row r="48" spans="1:75" ht="16.5" thickTop="1">
      <c r="A48" s="140" t="s">
        <v>159</v>
      </c>
      <c r="B48" s="127" t="s">
        <v>160</v>
      </c>
      <c r="C48" s="127" t="s">
        <v>161</v>
      </c>
      <c r="D48" s="127" t="s">
        <v>162</v>
      </c>
      <c r="E48" s="127" t="s">
        <v>163</v>
      </c>
      <c r="F48" s="127" t="s">
        <v>164</v>
      </c>
      <c r="G48" s="127" t="s">
        <v>165</v>
      </c>
      <c r="H48" s="127" t="s">
        <v>166</v>
      </c>
      <c r="I48" s="121"/>
      <c r="J48" s="144" t="s">
        <v>80</v>
      </c>
      <c r="K48" s="144" t="s">
        <v>81</v>
      </c>
      <c r="L48" s="127" t="s">
        <v>82</v>
      </c>
      <c r="M48" s="127" t="s">
        <v>83</v>
      </c>
      <c r="N48" s="127" t="s">
        <v>84</v>
      </c>
      <c r="O48" s="127" t="s">
        <v>85</v>
      </c>
      <c r="P48" s="127" t="s">
        <v>86</v>
      </c>
      <c r="Q48" s="127" t="s">
        <v>87</v>
      </c>
      <c r="R48" s="127" t="s">
        <v>167</v>
      </c>
      <c r="S48" s="127" t="s">
        <v>89</v>
      </c>
      <c r="T48" s="127" t="s">
        <v>90</v>
      </c>
      <c r="U48" s="131" t="s">
        <v>91</v>
      </c>
      <c r="V48" s="129"/>
      <c r="W48" s="124" t="s">
        <v>92</v>
      </c>
      <c r="X48" s="125"/>
      <c r="Y48" s="125"/>
      <c r="Z48" s="125"/>
      <c r="AA48" s="126"/>
      <c r="AB48" s="124" t="s">
        <v>93</v>
      </c>
      <c r="AC48" s="125"/>
      <c r="AD48" s="125"/>
      <c r="AE48" s="126"/>
      <c r="AF48" s="124" t="s">
        <v>94</v>
      </c>
      <c r="AG48" s="125"/>
      <c r="AH48" s="125"/>
      <c r="AI48" s="126"/>
      <c r="AJ48" s="124" t="s">
        <v>95</v>
      </c>
      <c r="AK48" s="125"/>
      <c r="AL48" s="125"/>
      <c r="AM48" s="125"/>
      <c r="AN48" s="125" t="s">
        <v>96</v>
      </c>
      <c r="AO48" s="136" t="s">
        <v>96</v>
      </c>
      <c r="AP48" s="136"/>
      <c r="AQ48" s="136"/>
      <c r="AR48" s="137"/>
      <c r="AS48" s="124" t="s">
        <v>97</v>
      </c>
      <c r="AT48" s="125"/>
      <c r="AU48" s="125"/>
      <c r="AV48" s="126"/>
      <c r="AW48" s="124" t="s">
        <v>98</v>
      </c>
      <c r="AX48" s="125"/>
      <c r="AY48" s="125"/>
      <c r="AZ48" s="125"/>
      <c r="BA48" s="126"/>
      <c r="BB48" s="135" t="s">
        <v>99</v>
      </c>
      <c r="BC48" s="136"/>
      <c r="BD48" s="136"/>
      <c r="BE48" s="137"/>
      <c r="BF48" s="135" t="s">
        <v>100</v>
      </c>
      <c r="BG48" s="136"/>
      <c r="BH48" s="136"/>
      <c r="BI48" s="137"/>
      <c r="BJ48" s="135" t="s">
        <v>101</v>
      </c>
      <c r="BK48" s="136"/>
      <c r="BL48" s="136"/>
      <c r="BM48" s="136"/>
      <c r="BN48" s="137"/>
      <c r="BO48" s="135" t="s">
        <v>170</v>
      </c>
      <c r="BP48" s="136"/>
      <c r="BQ48" s="136"/>
      <c r="BR48" s="137"/>
      <c r="BS48" s="135" t="s">
        <v>103</v>
      </c>
      <c r="BT48" s="136"/>
      <c r="BU48" s="136"/>
      <c r="BV48" s="136"/>
      <c r="BW48" s="137"/>
    </row>
    <row r="49" spans="1:75" ht="13.9" customHeight="1">
      <c r="A49" s="141"/>
      <c r="B49" s="128"/>
      <c r="C49" s="128"/>
      <c r="D49" s="128"/>
      <c r="E49" s="128"/>
      <c r="F49" s="128"/>
      <c r="G49" s="128"/>
      <c r="H49" s="128"/>
      <c r="I49" s="15"/>
      <c r="J49" s="145"/>
      <c r="K49" s="145"/>
      <c r="L49" s="128"/>
      <c r="M49" s="128"/>
      <c r="N49" s="128"/>
      <c r="O49" s="128"/>
      <c r="P49" s="128"/>
      <c r="Q49" s="128"/>
      <c r="R49" s="128"/>
      <c r="S49" s="128"/>
      <c r="T49" s="128"/>
      <c r="U49" s="132"/>
      <c r="V49" s="130"/>
      <c r="W49" s="95" t="s">
        <v>171</v>
      </c>
      <c r="X49" s="14" t="s">
        <v>172</v>
      </c>
      <c r="Y49" s="95" t="s">
        <v>106</v>
      </c>
      <c r="Z49" s="95" t="s">
        <v>107</v>
      </c>
      <c r="AA49" s="14" t="s">
        <v>108</v>
      </c>
      <c r="AB49" s="95" t="s">
        <v>109</v>
      </c>
      <c r="AC49" s="95" t="s">
        <v>110</v>
      </c>
      <c r="AD49" s="95" t="s">
        <v>111</v>
      </c>
      <c r="AE49" s="95" t="s">
        <v>112</v>
      </c>
      <c r="AF49" s="14" t="s">
        <v>113</v>
      </c>
      <c r="AG49" s="95" t="s">
        <v>114</v>
      </c>
      <c r="AH49" s="95" t="s">
        <v>115</v>
      </c>
      <c r="AI49" s="95" t="s">
        <v>116</v>
      </c>
      <c r="AJ49" s="95" t="s">
        <v>117</v>
      </c>
      <c r="AK49" s="95" t="s">
        <v>118</v>
      </c>
      <c r="AL49" s="95" t="s">
        <v>119</v>
      </c>
      <c r="AM49" s="95" t="s">
        <v>120</v>
      </c>
      <c r="AN49" s="95" t="s">
        <v>121</v>
      </c>
      <c r="AO49" s="95" t="s">
        <v>122</v>
      </c>
      <c r="AP49" s="95" t="s">
        <v>123</v>
      </c>
      <c r="AQ49" s="95" t="s">
        <v>124</v>
      </c>
      <c r="AR49" s="95" t="s">
        <v>125</v>
      </c>
      <c r="AS49" s="95" t="s">
        <v>126</v>
      </c>
      <c r="AT49" s="95" t="s">
        <v>127</v>
      </c>
      <c r="AU49" s="95" t="s">
        <v>128</v>
      </c>
      <c r="AV49" s="95" t="s">
        <v>129</v>
      </c>
      <c r="AW49" s="95" t="s">
        <v>173</v>
      </c>
      <c r="AX49" s="95" t="s">
        <v>174</v>
      </c>
      <c r="AY49" s="95" t="s">
        <v>132</v>
      </c>
      <c r="AZ49" s="95" t="s">
        <v>133</v>
      </c>
      <c r="BA49" s="95" t="s">
        <v>134</v>
      </c>
      <c r="BB49" s="95" t="s">
        <v>175</v>
      </c>
      <c r="BC49" s="95" t="s">
        <v>176</v>
      </c>
      <c r="BD49" s="95" t="s">
        <v>177</v>
      </c>
      <c r="BE49" s="95" t="s">
        <v>178</v>
      </c>
      <c r="BF49" s="95" t="s">
        <v>139</v>
      </c>
      <c r="BG49" s="95" t="s">
        <v>140</v>
      </c>
      <c r="BH49" s="95" t="s">
        <v>141</v>
      </c>
      <c r="BI49" s="95" t="s">
        <v>142</v>
      </c>
      <c r="BJ49" s="95" t="s">
        <v>143</v>
      </c>
      <c r="BK49" s="95" t="s">
        <v>144</v>
      </c>
      <c r="BL49" s="95" t="s">
        <v>145</v>
      </c>
      <c r="BM49" s="95" t="s">
        <v>146</v>
      </c>
      <c r="BN49" s="95" t="s">
        <v>147</v>
      </c>
      <c r="BO49" s="95" t="s">
        <v>179</v>
      </c>
      <c r="BP49" s="95" t="s">
        <v>180</v>
      </c>
      <c r="BQ49" s="95" t="s">
        <v>150</v>
      </c>
      <c r="BR49" s="95" t="s">
        <v>151</v>
      </c>
      <c r="BS49" s="95" t="s">
        <v>152</v>
      </c>
      <c r="BT49" s="95" t="s">
        <v>153</v>
      </c>
      <c r="BU49" s="95" t="s">
        <v>154</v>
      </c>
      <c r="BV49" s="95" t="s">
        <v>155</v>
      </c>
      <c r="BW49" s="95"/>
    </row>
    <row r="50" spans="1:75" ht="15.75">
      <c r="A50" s="97" t="s">
        <v>205</v>
      </c>
      <c r="B50" s="28">
        <v>3</v>
      </c>
      <c r="C50" s="28">
        <v>2</v>
      </c>
      <c r="D50" s="28">
        <v>0</v>
      </c>
      <c r="E50" s="28">
        <v>3</v>
      </c>
      <c r="F50" s="28">
        <v>4</v>
      </c>
      <c r="G50" s="28">
        <v>2</v>
      </c>
      <c r="H50" s="28">
        <f>SUM(J50:U50)</f>
        <v>6</v>
      </c>
      <c r="I50" s="15"/>
      <c r="J50" s="115">
        <v>0</v>
      </c>
      <c r="K50" s="115">
        <v>1</v>
      </c>
      <c r="L50" s="115">
        <v>0</v>
      </c>
      <c r="M50" s="115">
        <v>0</v>
      </c>
      <c r="N50" s="115">
        <v>1</v>
      </c>
      <c r="O50" s="15">
        <v>1</v>
      </c>
      <c r="P50" s="15">
        <v>0</v>
      </c>
      <c r="Q50" s="15">
        <v>0</v>
      </c>
      <c r="R50" s="15">
        <v>0</v>
      </c>
      <c r="S50" s="15">
        <v>1</v>
      </c>
      <c r="T50" s="115">
        <v>1</v>
      </c>
      <c r="U50" s="116">
        <v>1</v>
      </c>
      <c r="V50" s="122"/>
      <c r="W50" s="95">
        <v>0</v>
      </c>
      <c r="X50" s="95">
        <v>0</v>
      </c>
      <c r="Y50" s="95">
        <v>0</v>
      </c>
      <c r="Z50" s="95">
        <v>0</v>
      </c>
      <c r="AA50" s="95">
        <v>0</v>
      </c>
      <c r="AB50" s="95">
        <v>0</v>
      </c>
      <c r="AC50" s="95">
        <v>1</v>
      </c>
      <c r="AD50" s="95">
        <v>0</v>
      </c>
      <c r="AE50" s="95">
        <v>0</v>
      </c>
      <c r="AF50" s="95">
        <v>0</v>
      </c>
      <c r="AG50" s="95">
        <v>0</v>
      </c>
      <c r="AH50" s="95">
        <v>0</v>
      </c>
      <c r="AI50" s="95">
        <v>0</v>
      </c>
      <c r="AJ50" s="95">
        <v>0</v>
      </c>
      <c r="AK50" s="95">
        <v>0</v>
      </c>
      <c r="AL50" s="95">
        <v>0</v>
      </c>
      <c r="AM50" s="95">
        <v>0</v>
      </c>
      <c r="AN50" s="95">
        <v>0</v>
      </c>
      <c r="AO50" s="95">
        <v>0</v>
      </c>
      <c r="AP50" s="95">
        <v>0</v>
      </c>
      <c r="AQ50" s="95">
        <v>0</v>
      </c>
      <c r="AR50" s="95">
        <v>0</v>
      </c>
      <c r="AS50" s="95">
        <v>1</v>
      </c>
      <c r="AT50" s="95">
        <v>0</v>
      </c>
      <c r="AU50" s="95">
        <v>0</v>
      </c>
      <c r="AV50" s="95">
        <v>0</v>
      </c>
      <c r="AW50" s="95">
        <v>0</v>
      </c>
      <c r="AX50" s="95">
        <v>0</v>
      </c>
      <c r="AY50" s="95">
        <v>0</v>
      </c>
      <c r="AZ50" s="95">
        <v>0</v>
      </c>
      <c r="BA50" s="95">
        <v>0</v>
      </c>
      <c r="BB50" s="95">
        <v>0</v>
      </c>
      <c r="BC50" s="95">
        <v>0</v>
      </c>
      <c r="BD50" s="95">
        <v>0</v>
      </c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</row>
    <row r="51" spans="1:75" ht="15.75">
      <c r="A51" s="97" t="s">
        <v>206</v>
      </c>
      <c r="B51" s="28">
        <v>0</v>
      </c>
      <c r="C51" s="28">
        <v>4</v>
      </c>
      <c r="D51" s="28">
        <v>4</v>
      </c>
      <c r="E51" s="28">
        <v>1</v>
      </c>
      <c r="F51" s="28">
        <v>4</v>
      </c>
      <c r="G51" s="28">
        <v>0</v>
      </c>
      <c r="H51" s="28">
        <f t="shared" ref="H51:H56" si="106">SUM(J51:U51)</f>
        <v>1</v>
      </c>
      <c r="I51" s="15"/>
      <c r="J51" s="115">
        <v>0</v>
      </c>
      <c r="K51" s="115">
        <v>0</v>
      </c>
      <c r="L51" s="115">
        <v>0</v>
      </c>
      <c r="M51" s="115">
        <v>0</v>
      </c>
      <c r="N51" s="115">
        <v>0</v>
      </c>
      <c r="O51" s="15">
        <v>0</v>
      </c>
      <c r="P51" s="15">
        <v>0</v>
      </c>
      <c r="Q51" s="15">
        <v>1</v>
      </c>
      <c r="R51" s="15">
        <v>0</v>
      </c>
      <c r="S51" s="15">
        <v>0</v>
      </c>
      <c r="T51" s="115">
        <v>0</v>
      </c>
      <c r="U51" s="116">
        <v>0</v>
      </c>
      <c r="V51" s="122"/>
      <c r="W51" s="95">
        <v>0</v>
      </c>
      <c r="X51" s="95">
        <v>0</v>
      </c>
      <c r="Y51" s="95">
        <v>0</v>
      </c>
      <c r="Z51" s="95">
        <v>0</v>
      </c>
      <c r="AA51" s="95">
        <v>0</v>
      </c>
      <c r="AB51" s="95">
        <v>0</v>
      </c>
      <c r="AC51" s="95">
        <v>0</v>
      </c>
      <c r="AD51" s="95">
        <v>0</v>
      </c>
      <c r="AE51" s="95">
        <v>0</v>
      </c>
      <c r="AF51" s="95">
        <v>0</v>
      </c>
      <c r="AG51" s="95">
        <v>0</v>
      </c>
      <c r="AH51" s="95">
        <v>0</v>
      </c>
      <c r="AI51" s="95">
        <v>0</v>
      </c>
      <c r="AJ51" s="95">
        <v>0</v>
      </c>
      <c r="AK51" s="95">
        <v>0</v>
      </c>
      <c r="AL51" s="95">
        <v>0</v>
      </c>
      <c r="AM51" s="95">
        <v>0</v>
      </c>
      <c r="AN51" s="95">
        <v>0</v>
      </c>
      <c r="AO51" s="95">
        <v>0</v>
      </c>
      <c r="AP51" s="95">
        <v>0</v>
      </c>
      <c r="AQ51" s="95">
        <v>0</v>
      </c>
      <c r="AR51" s="95">
        <v>0</v>
      </c>
      <c r="AS51" s="95">
        <v>0</v>
      </c>
      <c r="AT51" s="95">
        <v>0</v>
      </c>
      <c r="AU51" s="95">
        <v>0</v>
      </c>
      <c r="AV51" s="95">
        <v>0</v>
      </c>
      <c r="AW51" s="95">
        <v>0</v>
      </c>
      <c r="AX51" s="95">
        <v>0</v>
      </c>
      <c r="AY51" s="95">
        <v>0</v>
      </c>
      <c r="AZ51" s="95">
        <v>0</v>
      </c>
      <c r="BA51" s="95">
        <v>0</v>
      </c>
      <c r="BB51" s="95">
        <v>0</v>
      </c>
      <c r="BC51" s="95">
        <v>0</v>
      </c>
      <c r="BD51" s="95">
        <v>0</v>
      </c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</row>
    <row r="52" spans="1:75" ht="15.75">
      <c r="A52" s="97" t="s">
        <v>207</v>
      </c>
      <c r="B52" s="28">
        <v>1</v>
      </c>
      <c r="C52" s="28">
        <v>6</v>
      </c>
      <c r="D52" s="28">
        <v>1</v>
      </c>
      <c r="E52" s="28">
        <v>0</v>
      </c>
      <c r="F52" s="28">
        <v>0</v>
      </c>
      <c r="G52" s="28">
        <v>2</v>
      </c>
      <c r="H52" s="28">
        <f t="shared" si="106"/>
        <v>0</v>
      </c>
      <c r="I52" s="15"/>
      <c r="J52" s="115">
        <v>0</v>
      </c>
      <c r="K52" s="115">
        <v>0</v>
      </c>
      <c r="L52" s="115">
        <v>0</v>
      </c>
      <c r="M52" s="115">
        <v>0</v>
      </c>
      <c r="N52" s="1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15">
        <v>0</v>
      </c>
      <c r="U52" s="116">
        <v>0</v>
      </c>
      <c r="V52" s="122"/>
      <c r="W52" s="95">
        <v>0</v>
      </c>
      <c r="X52" s="95">
        <v>0</v>
      </c>
      <c r="Y52" s="95">
        <v>0</v>
      </c>
      <c r="Z52" s="95">
        <v>0</v>
      </c>
      <c r="AA52" s="95">
        <v>0</v>
      </c>
      <c r="AB52" s="95">
        <v>0</v>
      </c>
      <c r="AC52" s="95">
        <v>0</v>
      </c>
      <c r="AD52" s="95">
        <v>0</v>
      </c>
      <c r="AE52" s="95">
        <v>0</v>
      </c>
      <c r="AF52" s="95">
        <v>0</v>
      </c>
      <c r="AG52" s="95">
        <v>0</v>
      </c>
      <c r="AH52" s="95">
        <v>0</v>
      </c>
      <c r="AI52" s="95">
        <v>0</v>
      </c>
      <c r="AJ52" s="95">
        <v>0</v>
      </c>
      <c r="AK52" s="95">
        <v>0</v>
      </c>
      <c r="AL52" s="95">
        <v>0</v>
      </c>
      <c r="AM52" s="95">
        <v>0</v>
      </c>
      <c r="AN52" s="95">
        <v>0</v>
      </c>
      <c r="AO52" s="95">
        <v>0</v>
      </c>
      <c r="AP52" s="95">
        <v>0</v>
      </c>
      <c r="AQ52" s="95">
        <v>0</v>
      </c>
      <c r="AR52" s="95">
        <v>0</v>
      </c>
      <c r="AS52" s="95">
        <v>0</v>
      </c>
      <c r="AT52" s="95">
        <v>0</v>
      </c>
      <c r="AU52" s="95">
        <v>0</v>
      </c>
      <c r="AV52" s="95">
        <v>0</v>
      </c>
      <c r="AW52" s="95">
        <v>0</v>
      </c>
      <c r="AX52" s="95">
        <v>0</v>
      </c>
      <c r="AY52" s="95">
        <v>0</v>
      </c>
      <c r="AZ52" s="95">
        <v>0</v>
      </c>
      <c r="BA52" s="95">
        <v>0</v>
      </c>
      <c r="BB52" s="95">
        <v>0</v>
      </c>
      <c r="BC52" s="95">
        <v>0</v>
      </c>
      <c r="BD52" s="95">
        <v>0</v>
      </c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</row>
    <row r="53" spans="1:75" ht="15.75">
      <c r="A53" s="97" t="s">
        <v>208</v>
      </c>
      <c r="B53" s="28">
        <v>1</v>
      </c>
      <c r="C53" s="28">
        <v>4</v>
      </c>
      <c r="D53" s="28">
        <v>4</v>
      </c>
      <c r="E53" s="28">
        <v>2</v>
      </c>
      <c r="F53" s="28">
        <v>0</v>
      </c>
      <c r="G53" s="28">
        <v>0</v>
      </c>
      <c r="H53" s="28">
        <f t="shared" si="106"/>
        <v>3</v>
      </c>
      <c r="I53" s="15"/>
      <c r="J53" s="115">
        <v>0</v>
      </c>
      <c r="K53" s="115">
        <v>1</v>
      </c>
      <c r="L53" s="115">
        <v>0</v>
      </c>
      <c r="M53" s="115">
        <v>1</v>
      </c>
      <c r="N53" s="1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15">
        <v>0</v>
      </c>
      <c r="U53" s="116">
        <v>1</v>
      </c>
      <c r="V53" s="122"/>
      <c r="W53" s="95">
        <v>0</v>
      </c>
      <c r="X53" s="95">
        <v>0</v>
      </c>
      <c r="Y53" s="95">
        <v>0</v>
      </c>
      <c r="Z53" s="95">
        <v>0</v>
      </c>
      <c r="AA53" s="95">
        <v>0</v>
      </c>
      <c r="AB53" s="95">
        <v>0</v>
      </c>
      <c r="AC53" s="95">
        <v>1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  <c r="AJ53" s="95">
        <v>0</v>
      </c>
      <c r="AK53" s="95">
        <v>0</v>
      </c>
      <c r="AL53" s="95">
        <v>1</v>
      </c>
      <c r="AM53" s="95">
        <v>0</v>
      </c>
      <c r="AN53" s="95">
        <v>0</v>
      </c>
      <c r="AO53" s="95">
        <v>0</v>
      </c>
      <c r="AP53" s="95">
        <v>1</v>
      </c>
      <c r="AQ53" s="95">
        <v>0</v>
      </c>
      <c r="AR53" s="95">
        <v>0</v>
      </c>
      <c r="AS53" s="95">
        <v>0</v>
      </c>
      <c r="AT53" s="95">
        <v>0</v>
      </c>
      <c r="AU53" s="95">
        <v>0</v>
      </c>
      <c r="AV53" s="95">
        <v>0</v>
      </c>
      <c r="AW53" s="95">
        <v>0</v>
      </c>
      <c r="AX53" s="95">
        <v>0</v>
      </c>
      <c r="AY53" s="95">
        <v>0</v>
      </c>
      <c r="AZ53" s="95">
        <v>0</v>
      </c>
      <c r="BA53" s="95">
        <v>0</v>
      </c>
      <c r="BB53" s="95">
        <v>0</v>
      </c>
      <c r="BC53" s="95">
        <v>0</v>
      </c>
      <c r="BD53" s="95">
        <v>0</v>
      </c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</row>
    <row r="54" spans="1:75" ht="15.75">
      <c r="A54" s="97" t="s">
        <v>209</v>
      </c>
      <c r="B54" s="28">
        <v>5</v>
      </c>
      <c r="C54" s="28">
        <v>1</v>
      </c>
      <c r="D54" s="28">
        <v>1</v>
      </c>
      <c r="E54" s="28">
        <v>1</v>
      </c>
      <c r="F54" s="28">
        <v>0</v>
      </c>
      <c r="G54" s="28">
        <v>0</v>
      </c>
      <c r="H54" s="28">
        <f t="shared" si="106"/>
        <v>0</v>
      </c>
      <c r="I54" s="15"/>
      <c r="J54" s="115">
        <v>0</v>
      </c>
      <c r="K54" s="115">
        <v>0</v>
      </c>
      <c r="L54" s="115">
        <v>0</v>
      </c>
      <c r="M54" s="115">
        <v>0</v>
      </c>
      <c r="N54" s="1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15">
        <v>0</v>
      </c>
      <c r="U54" s="116">
        <v>0</v>
      </c>
      <c r="V54" s="122"/>
      <c r="W54" s="95">
        <v>0</v>
      </c>
      <c r="X54" s="95">
        <v>0</v>
      </c>
      <c r="Y54" s="95">
        <v>0</v>
      </c>
      <c r="Z54" s="95">
        <v>0</v>
      </c>
      <c r="AA54" s="95">
        <v>0</v>
      </c>
      <c r="AB54" s="95">
        <v>0</v>
      </c>
      <c r="AC54" s="95">
        <v>0</v>
      </c>
      <c r="AD54" s="95">
        <v>0</v>
      </c>
      <c r="AE54" s="95">
        <v>0</v>
      </c>
      <c r="AF54" s="95">
        <v>0</v>
      </c>
      <c r="AG54" s="95">
        <v>0</v>
      </c>
      <c r="AH54" s="95">
        <v>0</v>
      </c>
      <c r="AI54" s="95">
        <v>0</v>
      </c>
      <c r="AJ54" s="95">
        <v>0</v>
      </c>
      <c r="AK54" s="95">
        <v>0</v>
      </c>
      <c r="AL54" s="95">
        <v>0</v>
      </c>
      <c r="AM54" s="95">
        <v>0</v>
      </c>
      <c r="AN54" s="95">
        <v>0</v>
      </c>
      <c r="AO54" s="95">
        <v>0</v>
      </c>
      <c r="AP54" s="95">
        <v>0</v>
      </c>
      <c r="AQ54" s="95">
        <v>0</v>
      </c>
      <c r="AR54" s="95">
        <v>0</v>
      </c>
      <c r="AS54" s="95">
        <v>0</v>
      </c>
      <c r="AT54" s="95">
        <v>0</v>
      </c>
      <c r="AU54" s="95">
        <v>0</v>
      </c>
      <c r="AV54" s="95">
        <v>0</v>
      </c>
      <c r="AW54" s="95">
        <v>0</v>
      </c>
      <c r="AX54" s="95">
        <v>0</v>
      </c>
      <c r="AY54" s="95">
        <v>0</v>
      </c>
      <c r="AZ54" s="95">
        <v>0</v>
      </c>
      <c r="BA54" s="95">
        <v>0</v>
      </c>
      <c r="BB54" s="95">
        <v>0</v>
      </c>
      <c r="BC54" s="95">
        <v>0</v>
      </c>
      <c r="BD54" s="95">
        <v>0</v>
      </c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</row>
    <row r="55" spans="1:75" ht="15.75">
      <c r="A55" s="97" t="s">
        <v>210</v>
      </c>
      <c r="B55" s="28">
        <v>4</v>
      </c>
      <c r="C55" s="28">
        <v>3</v>
      </c>
      <c r="D55" s="28">
        <v>2</v>
      </c>
      <c r="E55" s="28">
        <v>5</v>
      </c>
      <c r="F55" s="28">
        <v>0</v>
      </c>
      <c r="G55" s="28">
        <v>2</v>
      </c>
      <c r="H55" s="28">
        <f t="shared" si="106"/>
        <v>2</v>
      </c>
      <c r="I55" s="15"/>
      <c r="J55" s="115">
        <v>0</v>
      </c>
      <c r="K55" s="115">
        <v>0</v>
      </c>
      <c r="L55" s="115">
        <v>0</v>
      </c>
      <c r="M55" s="115">
        <v>2</v>
      </c>
      <c r="N55" s="1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15">
        <v>0</v>
      </c>
      <c r="U55" s="116">
        <v>0</v>
      </c>
      <c r="V55" s="122"/>
      <c r="W55" s="95">
        <v>0</v>
      </c>
      <c r="X55" s="95">
        <v>0</v>
      </c>
      <c r="Y55" s="95">
        <v>0</v>
      </c>
      <c r="Z55" s="95">
        <v>0</v>
      </c>
      <c r="AA55" s="95">
        <v>0</v>
      </c>
      <c r="AB55" s="95">
        <v>0</v>
      </c>
      <c r="AC55" s="95">
        <v>0</v>
      </c>
      <c r="AD55" s="95">
        <v>0</v>
      </c>
      <c r="AE55" s="95">
        <v>0</v>
      </c>
      <c r="AF55" s="95">
        <v>0</v>
      </c>
      <c r="AG55" s="95">
        <v>0</v>
      </c>
      <c r="AH55" s="95">
        <v>0</v>
      </c>
      <c r="AI55" s="95">
        <v>0</v>
      </c>
      <c r="AJ55" s="95">
        <v>0</v>
      </c>
      <c r="AK55" s="95">
        <v>0</v>
      </c>
      <c r="AL55" s="95">
        <v>1</v>
      </c>
      <c r="AM55" s="95">
        <v>0</v>
      </c>
      <c r="AN55" s="95">
        <v>1</v>
      </c>
      <c r="AO55" s="95">
        <v>0</v>
      </c>
      <c r="AP55" s="95">
        <v>0</v>
      </c>
      <c r="AQ55" s="95">
        <v>0</v>
      </c>
      <c r="AR55" s="95">
        <v>0</v>
      </c>
      <c r="AS55" s="95">
        <v>0</v>
      </c>
      <c r="AT55" s="95">
        <v>0</v>
      </c>
      <c r="AU55" s="95">
        <v>0</v>
      </c>
      <c r="AV55" s="95">
        <v>0</v>
      </c>
      <c r="AW55" s="95">
        <v>0</v>
      </c>
      <c r="AX55" s="95">
        <v>0</v>
      </c>
      <c r="AY55" s="95">
        <v>0</v>
      </c>
      <c r="AZ55" s="95">
        <v>0</v>
      </c>
      <c r="BA55" s="95">
        <v>0</v>
      </c>
      <c r="BB55" s="95">
        <v>0</v>
      </c>
      <c r="BC55" s="95">
        <v>0</v>
      </c>
      <c r="BD55" s="95">
        <v>0</v>
      </c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</row>
    <row r="56" spans="1:75" ht="15.75">
      <c r="A56" s="97" t="s">
        <v>211</v>
      </c>
      <c r="B56" s="28">
        <v>3</v>
      </c>
      <c r="C56" s="28">
        <v>0</v>
      </c>
      <c r="D56" s="28">
        <v>2</v>
      </c>
      <c r="E56" s="28">
        <v>3</v>
      </c>
      <c r="F56" s="28">
        <v>0</v>
      </c>
      <c r="G56" s="28">
        <v>1</v>
      </c>
      <c r="H56" s="28">
        <f t="shared" si="106"/>
        <v>3</v>
      </c>
      <c r="I56" s="15"/>
      <c r="J56" s="115">
        <v>0</v>
      </c>
      <c r="K56" s="115">
        <v>0</v>
      </c>
      <c r="L56" s="115">
        <v>0</v>
      </c>
      <c r="M56" s="115">
        <v>0</v>
      </c>
      <c r="N56" s="115">
        <v>0</v>
      </c>
      <c r="O56" s="15">
        <v>2</v>
      </c>
      <c r="P56" s="15">
        <v>0</v>
      </c>
      <c r="Q56" s="15">
        <v>0</v>
      </c>
      <c r="R56" s="15">
        <v>1</v>
      </c>
      <c r="S56" s="15">
        <v>0</v>
      </c>
      <c r="T56" s="115">
        <v>0</v>
      </c>
      <c r="U56" s="116">
        <v>0</v>
      </c>
      <c r="V56" s="122"/>
      <c r="W56" s="95">
        <v>0</v>
      </c>
      <c r="X56" s="95">
        <v>0</v>
      </c>
      <c r="Y56" s="95">
        <v>0</v>
      </c>
      <c r="Z56" s="95">
        <v>0</v>
      </c>
      <c r="AA56" s="95">
        <v>0</v>
      </c>
      <c r="AB56" s="95">
        <v>0</v>
      </c>
      <c r="AC56" s="95">
        <v>0</v>
      </c>
      <c r="AD56" s="95">
        <v>0</v>
      </c>
      <c r="AE56" s="95">
        <v>0</v>
      </c>
      <c r="AF56" s="95">
        <v>0</v>
      </c>
      <c r="AG56" s="95">
        <v>0</v>
      </c>
      <c r="AH56" s="95">
        <v>0</v>
      </c>
      <c r="AI56" s="95">
        <v>0</v>
      </c>
      <c r="AJ56" s="95">
        <v>0</v>
      </c>
      <c r="AK56" s="95">
        <v>0</v>
      </c>
      <c r="AL56" s="95">
        <v>0</v>
      </c>
      <c r="AM56" s="95">
        <v>0</v>
      </c>
      <c r="AN56" s="95">
        <v>0</v>
      </c>
      <c r="AO56" s="95">
        <v>0</v>
      </c>
      <c r="AP56" s="95">
        <v>0</v>
      </c>
      <c r="AQ56" s="95">
        <v>0</v>
      </c>
      <c r="AR56" s="95">
        <v>0</v>
      </c>
      <c r="AS56" s="95">
        <v>0</v>
      </c>
      <c r="AT56" s="95">
        <v>0</v>
      </c>
      <c r="AU56" s="95">
        <v>2</v>
      </c>
      <c r="AV56" s="95">
        <v>0</v>
      </c>
      <c r="AW56" s="95">
        <v>0</v>
      </c>
      <c r="AX56" s="95">
        <v>0</v>
      </c>
      <c r="AY56" s="95">
        <v>0</v>
      </c>
      <c r="AZ56" s="95">
        <v>0</v>
      </c>
      <c r="BA56" s="95">
        <v>0</v>
      </c>
      <c r="BB56" s="95">
        <v>0</v>
      </c>
      <c r="BC56" s="95">
        <v>0</v>
      </c>
      <c r="BD56" s="95">
        <v>0</v>
      </c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</row>
    <row r="57" spans="1:75" ht="16.5" thickBot="1">
      <c r="A57" s="99" t="s">
        <v>212</v>
      </c>
      <c r="B57" s="70">
        <v>17</v>
      </c>
      <c r="C57" s="70">
        <v>20</v>
      </c>
      <c r="D57" s="70">
        <v>14</v>
      </c>
      <c r="E57" s="70">
        <v>15</v>
      </c>
      <c r="F57" s="70">
        <v>8</v>
      </c>
      <c r="G57" s="70">
        <v>7</v>
      </c>
      <c r="H57" s="70">
        <f>SUM(H50:H56)</f>
        <v>15</v>
      </c>
      <c r="I57" s="104"/>
      <c r="J57" s="117">
        <f t="shared" ref="J57:U57" si="107">SUM(J50:J56)</f>
        <v>0</v>
      </c>
      <c r="K57" s="117">
        <f t="shared" si="107"/>
        <v>2</v>
      </c>
      <c r="L57" s="117">
        <f t="shared" si="107"/>
        <v>0</v>
      </c>
      <c r="M57" s="117">
        <f t="shared" si="107"/>
        <v>3</v>
      </c>
      <c r="N57" s="117">
        <f t="shared" si="107"/>
        <v>1</v>
      </c>
      <c r="O57" s="117">
        <f t="shared" si="107"/>
        <v>3</v>
      </c>
      <c r="P57" s="117">
        <f t="shared" si="107"/>
        <v>0</v>
      </c>
      <c r="Q57" s="117">
        <f t="shared" si="107"/>
        <v>1</v>
      </c>
      <c r="R57" s="117">
        <f t="shared" si="107"/>
        <v>1</v>
      </c>
      <c r="S57" s="117">
        <f t="shared" si="107"/>
        <v>1</v>
      </c>
      <c r="T57" s="117">
        <f t="shared" si="107"/>
        <v>1</v>
      </c>
      <c r="U57" s="118">
        <f t="shared" si="107"/>
        <v>2</v>
      </c>
      <c r="V57" s="122"/>
      <c r="W57" s="95">
        <v>0</v>
      </c>
      <c r="X57" s="95">
        <f t="shared" ref="X57" si="108">SUM(X50:X56)</f>
        <v>0</v>
      </c>
      <c r="Y57" s="95">
        <f t="shared" ref="Y57" si="109">SUM(Y50:Y56)</f>
        <v>0</v>
      </c>
      <c r="Z57" s="95">
        <f t="shared" ref="Z57" si="110">SUM(Z50:Z56)</f>
        <v>0</v>
      </c>
      <c r="AA57" s="95">
        <f t="shared" ref="AA57" si="111">SUM(AA50:AA56)</f>
        <v>0</v>
      </c>
      <c r="AB57" s="95">
        <f t="shared" ref="AB57" si="112">SUM(AB50:AB56)</f>
        <v>0</v>
      </c>
      <c r="AC57" s="95">
        <f t="shared" ref="AC57" si="113">SUM(AC50:AC56)</f>
        <v>2</v>
      </c>
      <c r="AD57" s="95">
        <f t="shared" ref="AD57" si="114">SUM(AD50:AD56)</f>
        <v>0</v>
      </c>
      <c r="AE57" s="95">
        <f t="shared" ref="AE57" si="115">SUM(AE50:AE56)</f>
        <v>0</v>
      </c>
      <c r="AF57" s="95">
        <f t="shared" ref="AF57" si="116">SUM(AF50:AF56)</f>
        <v>0</v>
      </c>
      <c r="AG57" s="95">
        <f t="shared" ref="AG57" si="117">SUM(AG50:AG56)</f>
        <v>0</v>
      </c>
      <c r="AH57" s="95">
        <f t="shared" ref="AH57" si="118">SUM(AH50:AH56)</f>
        <v>0</v>
      </c>
      <c r="AI57" s="95">
        <f t="shared" ref="AI57" si="119">SUM(AI50:AI56)</f>
        <v>0</v>
      </c>
      <c r="AJ57" s="95">
        <f t="shared" ref="AJ57" si="120">SUM(AJ50:AJ56)</f>
        <v>0</v>
      </c>
      <c r="AK57" s="95">
        <f t="shared" ref="AK57" si="121">SUM(AK50:AK56)</f>
        <v>0</v>
      </c>
      <c r="AL57" s="95">
        <f t="shared" ref="AL57" si="122">SUM(AL50:AL56)</f>
        <v>2</v>
      </c>
      <c r="AM57" s="95">
        <f t="shared" ref="AM57" si="123">SUM(AM50:AM56)</f>
        <v>0</v>
      </c>
      <c r="AN57" s="95">
        <f t="shared" ref="AN57" si="124">SUM(AN50:AN56)</f>
        <v>1</v>
      </c>
      <c r="AO57" s="95">
        <f t="shared" ref="AO57" si="125">SUM(AO50:AO56)</f>
        <v>0</v>
      </c>
      <c r="AP57" s="95">
        <f t="shared" ref="AP57" si="126">SUM(AP50:AP56)</f>
        <v>1</v>
      </c>
      <c r="AQ57" s="95">
        <f t="shared" ref="AQ57" si="127">SUM(AQ50:AQ56)</f>
        <v>0</v>
      </c>
      <c r="AR57" s="95">
        <f t="shared" ref="AR57" si="128">SUM(AR50:AR56)</f>
        <v>0</v>
      </c>
      <c r="AS57" s="95">
        <f t="shared" ref="AS57" si="129">SUM(AS50:AS56)</f>
        <v>1</v>
      </c>
      <c r="AT57" s="95">
        <f t="shared" ref="AT57" si="130">SUM(AT50:AT56)</f>
        <v>0</v>
      </c>
      <c r="AU57" s="95">
        <f t="shared" ref="AU57" si="131">SUM(AU50:AU56)</f>
        <v>2</v>
      </c>
      <c r="AV57" s="95">
        <f t="shared" ref="AV57" si="132">SUM(AV50:AV56)</f>
        <v>0</v>
      </c>
      <c r="AW57" s="95">
        <f t="shared" ref="AW57" si="133">SUM(AW50:AW56)</f>
        <v>0</v>
      </c>
      <c r="AX57" s="95">
        <f t="shared" ref="AX57" si="134">SUM(AX50:AX56)</f>
        <v>0</v>
      </c>
      <c r="AY57" s="95">
        <f t="shared" ref="AY57" si="135">SUM(AY50:AY56)</f>
        <v>0</v>
      </c>
      <c r="AZ57" s="95">
        <f t="shared" ref="AZ57" si="136">SUM(AZ50:AZ56)</f>
        <v>0</v>
      </c>
      <c r="BA57" s="95">
        <f t="shared" ref="BA57" si="137">SUM(BA50:BA56)</f>
        <v>0</v>
      </c>
      <c r="BB57" s="95">
        <f t="shared" ref="BB57" si="138">SUM(BB50:BB56)</f>
        <v>0</v>
      </c>
      <c r="BC57" s="95">
        <f t="shared" ref="BC57" si="139">SUM(BC50:BC56)</f>
        <v>0</v>
      </c>
      <c r="BD57" s="95">
        <f t="shared" ref="BD57" si="140">SUM(BD50:BD56)</f>
        <v>0</v>
      </c>
      <c r="BE57" s="95">
        <f t="shared" ref="BE57" si="141">SUM(BE50:BE56)</f>
        <v>0</v>
      </c>
      <c r="BF57" s="95">
        <f t="shared" ref="BF57" si="142">SUM(BF50:BF56)</f>
        <v>0</v>
      </c>
      <c r="BG57" s="95">
        <f t="shared" ref="BG57" si="143">SUM(BG50:BG56)</f>
        <v>0</v>
      </c>
      <c r="BH57" s="95">
        <f t="shared" ref="BH57" si="144">SUM(BH50:BH56)</f>
        <v>0</v>
      </c>
      <c r="BI57" s="95">
        <f t="shared" ref="BI57" si="145">SUM(BI50:BI56)</f>
        <v>0</v>
      </c>
      <c r="BJ57" s="95">
        <f t="shared" ref="BJ57" si="146">SUM(BJ50:BJ56)</f>
        <v>0</v>
      </c>
      <c r="BK57" s="95">
        <f t="shared" ref="BK57" si="147">SUM(BK50:BK56)</f>
        <v>0</v>
      </c>
      <c r="BL57" s="95">
        <f t="shared" ref="BL57" si="148">SUM(BL50:BL56)</f>
        <v>0</v>
      </c>
      <c r="BM57" s="95">
        <f t="shared" ref="BM57" si="149">SUM(BM50:BM56)</f>
        <v>0</v>
      </c>
      <c r="BN57" s="95">
        <f t="shared" ref="BN57" si="150">SUM(BN50:BN56)</f>
        <v>0</v>
      </c>
      <c r="BO57" s="95">
        <f t="shared" ref="BO57" si="151">SUM(BO50:BO56)</f>
        <v>0</v>
      </c>
      <c r="BP57" s="95">
        <f t="shared" ref="BP57" si="152">SUM(BP50:BP56)</f>
        <v>0</v>
      </c>
      <c r="BQ57" s="95">
        <f t="shared" ref="BQ57" si="153">SUM(BQ50:BQ56)</f>
        <v>0</v>
      </c>
      <c r="BR57" s="95">
        <f t="shared" ref="BR57" si="154">SUM(BR50:BR56)</f>
        <v>0</v>
      </c>
      <c r="BS57" s="95">
        <f t="shared" ref="BS57" si="155">SUM(BS50:BS56)</f>
        <v>0</v>
      </c>
      <c r="BT57" s="95">
        <f t="shared" ref="BT57" si="156">SUM(BT50:BT56)</f>
        <v>0</v>
      </c>
      <c r="BU57" s="95">
        <f t="shared" ref="BU57" si="157">SUM(BU50:BU56)</f>
        <v>0</v>
      </c>
      <c r="BV57" s="95">
        <f t="shared" ref="BV57" si="158">SUM(BV50:BV56)</f>
        <v>0</v>
      </c>
      <c r="BW57" s="95">
        <f t="shared" ref="BW57" si="159">SUM(BW50:BW56)</f>
        <v>0</v>
      </c>
    </row>
    <row r="58" spans="1:75">
      <c r="A58" s="105"/>
      <c r="B58" s="106"/>
      <c r="C58" s="106"/>
      <c r="D58" s="106"/>
      <c r="E58" s="106"/>
      <c r="F58" s="106"/>
      <c r="G58" s="106"/>
      <c r="H58" s="106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107"/>
      <c r="V58" s="122"/>
    </row>
    <row r="59" spans="1:75" ht="16.5">
      <c r="A59" s="140" t="s">
        <v>189</v>
      </c>
      <c r="B59" s="142" t="s">
        <v>190</v>
      </c>
      <c r="C59" s="142" t="s">
        <v>191</v>
      </c>
      <c r="D59" s="142" t="s">
        <v>192</v>
      </c>
      <c r="E59" s="142" t="s">
        <v>193</v>
      </c>
      <c r="F59" s="142" t="s">
        <v>194</v>
      </c>
      <c r="G59" s="127" t="s">
        <v>195</v>
      </c>
      <c r="H59" s="127" t="s">
        <v>203</v>
      </c>
      <c r="I59" s="121"/>
      <c r="J59" s="144" t="s">
        <v>80</v>
      </c>
      <c r="K59" s="144" t="s">
        <v>81</v>
      </c>
      <c r="L59" s="127" t="s">
        <v>82</v>
      </c>
      <c r="M59" s="127" t="s">
        <v>83</v>
      </c>
      <c r="N59" s="127" t="s">
        <v>84</v>
      </c>
      <c r="O59" s="127" t="s">
        <v>85</v>
      </c>
      <c r="P59" s="127" t="s">
        <v>86</v>
      </c>
      <c r="Q59" s="127" t="s">
        <v>87</v>
      </c>
      <c r="R59" s="127" t="s">
        <v>167</v>
      </c>
      <c r="S59" s="127" t="s">
        <v>89</v>
      </c>
      <c r="T59" s="127" t="s">
        <v>90</v>
      </c>
      <c r="U59" s="131" t="s">
        <v>91</v>
      </c>
      <c r="V59" s="129"/>
      <c r="W59" s="124" t="s">
        <v>213</v>
      </c>
      <c r="X59" s="125"/>
      <c r="Y59" s="125"/>
      <c r="Z59" s="125"/>
      <c r="AA59" s="126"/>
      <c r="AB59" s="124" t="s">
        <v>214</v>
      </c>
      <c r="AC59" s="125"/>
      <c r="AD59" s="125"/>
      <c r="AE59" s="126"/>
      <c r="AF59" s="124" t="s">
        <v>215</v>
      </c>
      <c r="AG59" s="125"/>
      <c r="AH59" s="125"/>
      <c r="AI59" s="126"/>
      <c r="AJ59" s="124" t="s">
        <v>216</v>
      </c>
      <c r="AK59" s="125"/>
      <c r="AL59" s="125"/>
      <c r="AM59" s="126"/>
      <c r="AN59" s="125" t="s">
        <v>217</v>
      </c>
      <c r="AO59" s="136" t="s">
        <v>96</v>
      </c>
      <c r="AP59" s="136"/>
      <c r="AQ59" s="136"/>
      <c r="AR59" s="137"/>
      <c r="AS59" s="124" t="s">
        <v>218</v>
      </c>
      <c r="AT59" s="125"/>
      <c r="AU59" s="125"/>
      <c r="AV59" s="126"/>
      <c r="AW59" s="124" t="s">
        <v>214</v>
      </c>
      <c r="AX59" s="125"/>
      <c r="AY59" s="125"/>
      <c r="AZ59" s="125"/>
      <c r="BA59" s="126"/>
      <c r="BB59" s="135" t="s">
        <v>99</v>
      </c>
      <c r="BC59" s="136"/>
      <c r="BD59" s="136"/>
      <c r="BE59" s="137"/>
      <c r="BF59" s="135" t="s">
        <v>100</v>
      </c>
      <c r="BG59" s="136"/>
      <c r="BH59" s="136"/>
      <c r="BI59" s="137"/>
      <c r="BJ59" s="135" t="s">
        <v>101</v>
      </c>
      <c r="BK59" s="136"/>
      <c r="BL59" s="136"/>
      <c r="BM59" s="136"/>
      <c r="BN59" s="137"/>
      <c r="BO59" s="135" t="s">
        <v>170</v>
      </c>
      <c r="BP59" s="136"/>
      <c r="BQ59" s="136"/>
      <c r="BR59" s="137"/>
      <c r="BS59" s="135" t="s">
        <v>103</v>
      </c>
      <c r="BT59" s="136"/>
      <c r="BU59" s="136"/>
      <c r="BV59" s="136"/>
      <c r="BW59" s="137"/>
    </row>
    <row r="60" spans="1:75" ht="13.9" customHeight="1">
      <c r="A60" s="141"/>
      <c r="B60" s="143"/>
      <c r="C60" s="143"/>
      <c r="D60" s="143"/>
      <c r="E60" s="143"/>
      <c r="F60" s="143"/>
      <c r="G60" s="128"/>
      <c r="H60" s="128"/>
      <c r="I60" s="15"/>
      <c r="J60" s="145"/>
      <c r="K60" s="145"/>
      <c r="L60" s="128"/>
      <c r="M60" s="128"/>
      <c r="N60" s="128"/>
      <c r="O60" s="128"/>
      <c r="P60" s="128"/>
      <c r="Q60" s="128"/>
      <c r="R60" s="128"/>
      <c r="S60" s="128"/>
      <c r="T60" s="128"/>
      <c r="U60" s="132"/>
      <c r="V60" s="130"/>
      <c r="W60" s="95" t="s">
        <v>171</v>
      </c>
      <c r="X60" s="14" t="s">
        <v>172</v>
      </c>
      <c r="Y60" s="95" t="s">
        <v>106</v>
      </c>
      <c r="Z60" s="95" t="s">
        <v>107</v>
      </c>
      <c r="AA60" s="14" t="s">
        <v>108</v>
      </c>
      <c r="AB60" s="95" t="s">
        <v>109</v>
      </c>
      <c r="AC60" s="95" t="s">
        <v>110</v>
      </c>
      <c r="AD60" s="95" t="s">
        <v>111</v>
      </c>
      <c r="AE60" s="95" t="s">
        <v>112</v>
      </c>
      <c r="AF60" s="14" t="s">
        <v>113</v>
      </c>
      <c r="AG60" s="95" t="s">
        <v>114</v>
      </c>
      <c r="AH60" s="95" t="s">
        <v>115</v>
      </c>
      <c r="AI60" s="95" t="s">
        <v>116</v>
      </c>
      <c r="AJ60" s="95" t="s">
        <v>117</v>
      </c>
      <c r="AK60" s="95" t="s">
        <v>118</v>
      </c>
      <c r="AL60" s="95" t="s">
        <v>119</v>
      </c>
      <c r="AM60" s="95" t="s">
        <v>120</v>
      </c>
      <c r="AN60" s="95" t="s">
        <v>121</v>
      </c>
      <c r="AO60" s="95" t="s">
        <v>122</v>
      </c>
      <c r="AP60" s="95" t="s">
        <v>123</v>
      </c>
      <c r="AQ60" s="95" t="s">
        <v>124</v>
      </c>
      <c r="AR60" s="95" t="s">
        <v>125</v>
      </c>
      <c r="AS60" s="95" t="s">
        <v>126</v>
      </c>
      <c r="AT60" s="95" t="s">
        <v>127</v>
      </c>
      <c r="AU60" s="95" t="s">
        <v>128</v>
      </c>
      <c r="AV60" s="95" t="s">
        <v>129</v>
      </c>
      <c r="AW60" s="95" t="s">
        <v>173</v>
      </c>
      <c r="AX60" s="95" t="s">
        <v>174</v>
      </c>
      <c r="AY60" s="95" t="s">
        <v>132</v>
      </c>
      <c r="AZ60" s="95" t="s">
        <v>133</v>
      </c>
      <c r="BA60" s="95" t="s">
        <v>134</v>
      </c>
      <c r="BB60" s="95" t="s">
        <v>175</v>
      </c>
      <c r="BC60" s="95" t="s">
        <v>176</v>
      </c>
      <c r="BD60" s="95" t="s">
        <v>177</v>
      </c>
      <c r="BE60" s="95" t="s">
        <v>178</v>
      </c>
      <c r="BF60" s="95" t="s">
        <v>139</v>
      </c>
      <c r="BG60" s="95" t="s">
        <v>140</v>
      </c>
      <c r="BH60" s="95" t="s">
        <v>141</v>
      </c>
      <c r="BI60" s="95" t="s">
        <v>142</v>
      </c>
      <c r="BJ60" s="95" t="s">
        <v>143</v>
      </c>
      <c r="BK60" s="95" t="s">
        <v>144</v>
      </c>
      <c r="BL60" s="95" t="s">
        <v>145</v>
      </c>
      <c r="BM60" s="95" t="s">
        <v>146</v>
      </c>
      <c r="BN60" s="95" t="s">
        <v>147</v>
      </c>
      <c r="BO60" s="95" t="s">
        <v>179</v>
      </c>
      <c r="BP60" s="95" t="s">
        <v>180</v>
      </c>
      <c r="BQ60" s="95" t="s">
        <v>150</v>
      </c>
      <c r="BR60" s="95" t="s">
        <v>151</v>
      </c>
      <c r="BS60" s="95" t="s">
        <v>152</v>
      </c>
      <c r="BT60" s="95" t="s">
        <v>153</v>
      </c>
      <c r="BU60" s="95" t="s">
        <v>154</v>
      </c>
      <c r="BV60" s="95" t="s">
        <v>155</v>
      </c>
      <c r="BW60" s="95"/>
    </row>
    <row r="61" spans="1:75" ht="15.75">
      <c r="A61" s="97" t="s">
        <v>205</v>
      </c>
      <c r="B61" s="28">
        <v>116</v>
      </c>
      <c r="C61" s="28">
        <v>123</v>
      </c>
      <c r="D61" s="28">
        <v>137</v>
      </c>
      <c r="E61" s="86">
        <v>141</v>
      </c>
      <c r="F61" s="86">
        <v>133</v>
      </c>
      <c r="G61" s="48">
        <v>118</v>
      </c>
      <c r="H61" s="86">
        <f>AVERAGE(J61:U61)</f>
        <v>121.83333333333333</v>
      </c>
      <c r="I61" s="94"/>
      <c r="J61" s="96">
        <v>115</v>
      </c>
      <c r="K61" s="15">
        <v>93</v>
      </c>
      <c r="L61" s="28">
        <v>145</v>
      </c>
      <c r="M61" s="28">
        <v>108</v>
      </c>
      <c r="N61" s="28">
        <v>152</v>
      </c>
      <c r="O61" s="28">
        <v>135</v>
      </c>
      <c r="P61" s="28">
        <v>135</v>
      </c>
      <c r="Q61" s="28">
        <v>117</v>
      </c>
      <c r="R61" s="28">
        <v>121</v>
      </c>
      <c r="S61" s="28">
        <v>110</v>
      </c>
      <c r="T61" s="28">
        <v>119</v>
      </c>
      <c r="U61" s="51">
        <v>112</v>
      </c>
      <c r="V61" s="122"/>
      <c r="W61" s="96">
        <v>16</v>
      </c>
      <c r="X61" s="95">
        <v>29</v>
      </c>
      <c r="Y61" s="95">
        <v>29</v>
      </c>
      <c r="Z61" s="95">
        <v>35</v>
      </c>
      <c r="AA61" s="95">
        <v>25</v>
      </c>
      <c r="AB61" s="95">
        <v>15</v>
      </c>
      <c r="AC61" s="95">
        <v>17</v>
      </c>
      <c r="AD61" s="95">
        <v>30</v>
      </c>
      <c r="AE61" s="95">
        <v>26</v>
      </c>
      <c r="AF61" s="95">
        <v>36</v>
      </c>
      <c r="AG61" s="95">
        <v>33</v>
      </c>
      <c r="AH61" s="95">
        <v>28</v>
      </c>
      <c r="AI61" s="95">
        <v>34</v>
      </c>
      <c r="AJ61" s="95">
        <v>13</v>
      </c>
      <c r="AK61" s="95">
        <v>24</v>
      </c>
      <c r="AL61" s="95">
        <v>27</v>
      </c>
      <c r="AM61" s="95">
        <v>25</v>
      </c>
      <c r="AN61" s="95">
        <v>30</v>
      </c>
      <c r="AO61" s="95">
        <v>29</v>
      </c>
      <c r="AP61" s="95">
        <v>32</v>
      </c>
      <c r="AQ61" s="95">
        <v>27</v>
      </c>
      <c r="AR61" s="95">
        <v>22</v>
      </c>
      <c r="AS61" s="95">
        <v>32</v>
      </c>
      <c r="AT61" s="95">
        <v>24</v>
      </c>
      <c r="AU61" s="95">
        <v>23</v>
      </c>
      <c r="AV61" s="95">
        <v>31</v>
      </c>
      <c r="AW61" s="95">
        <v>27</v>
      </c>
      <c r="AX61" s="95">
        <v>25</v>
      </c>
      <c r="AY61" s="95">
        <v>31</v>
      </c>
      <c r="AZ61" s="95">
        <v>26</v>
      </c>
      <c r="BA61" s="95">
        <v>26</v>
      </c>
      <c r="BB61" s="95">
        <v>23</v>
      </c>
      <c r="BC61" s="95">
        <v>20</v>
      </c>
      <c r="BD61" s="95">
        <v>29</v>
      </c>
      <c r="BE61" s="95">
        <v>22</v>
      </c>
      <c r="BF61" s="95">
        <v>31</v>
      </c>
      <c r="BG61" s="95">
        <v>28</v>
      </c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</row>
    <row r="62" spans="1:75" ht="15.75">
      <c r="A62" s="97" t="s">
        <v>206</v>
      </c>
      <c r="B62" s="28">
        <v>128</v>
      </c>
      <c r="C62" s="28">
        <v>131</v>
      </c>
      <c r="D62" s="28">
        <v>137</v>
      </c>
      <c r="E62" s="86">
        <v>142</v>
      </c>
      <c r="F62" s="86">
        <v>134</v>
      </c>
      <c r="G62" s="48">
        <v>117</v>
      </c>
      <c r="H62" s="86">
        <f t="shared" ref="H62:H67" si="160">AVERAGE(J62:U62)</f>
        <v>125.5</v>
      </c>
      <c r="I62" s="94"/>
      <c r="J62" s="96">
        <v>115</v>
      </c>
      <c r="K62" s="15">
        <v>119</v>
      </c>
      <c r="L62" s="28">
        <v>136</v>
      </c>
      <c r="M62" s="28">
        <v>129</v>
      </c>
      <c r="N62" s="28">
        <v>145</v>
      </c>
      <c r="O62" s="28">
        <v>128</v>
      </c>
      <c r="P62" s="28">
        <v>135</v>
      </c>
      <c r="Q62" s="28">
        <v>114</v>
      </c>
      <c r="R62" s="28">
        <v>128</v>
      </c>
      <c r="S62" s="28">
        <v>117</v>
      </c>
      <c r="T62" s="28">
        <v>124</v>
      </c>
      <c r="U62" s="51">
        <v>116</v>
      </c>
      <c r="V62" s="122"/>
      <c r="W62" s="96">
        <v>19</v>
      </c>
      <c r="X62" s="95">
        <v>25</v>
      </c>
      <c r="Y62" s="95">
        <v>29</v>
      </c>
      <c r="Z62" s="95">
        <v>29</v>
      </c>
      <c r="AA62" s="95">
        <v>33</v>
      </c>
      <c r="AB62" s="95">
        <v>22</v>
      </c>
      <c r="AC62" s="95">
        <v>26</v>
      </c>
      <c r="AD62" s="95">
        <v>32</v>
      </c>
      <c r="AE62" s="95">
        <v>28</v>
      </c>
      <c r="AF62" s="95">
        <v>37</v>
      </c>
      <c r="AG62" s="95">
        <v>30</v>
      </c>
      <c r="AH62" s="95">
        <v>34</v>
      </c>
      <c r="AI62" s="95">
        <v>26</v>
      </c>
      <c r="AJ62" s="95">
        <v>22</v>
      </c>
      <c r="AK62" s="95">
        <v>29</v>
      </c>
      <c r="AL62" s="95">
        <v>25</v>
      </c>
      <c r="AM62" s="95">
        <v>23</v>
      </c>
      <c r="AN62" s="95">
        <v>29</v>
      </c>
      <c r="AO62" s="95">
        <v>31</v>
      </c>
      <c r="AP62" s="95">
        <v>25</v>
      </c>
      <c r="AQ62" s="95">
        <v>27</v>
      </c>
      <c r="AR62" s="95">
        <v>24</v>
      </c>
      <c r="AS62" s="95">
        <v>26</v>
      </c>
      <c r="AT62" s="95">
        <v>21</v>
      </c>
      <c r="AU62" s="95">
        <v>31</v>
      </c>
      <c r="AV62" s="95">
        <v>25</v>
      </c>
      <c r="AW62" s="95">
        <v>32</v>
      </c>
      <c r="AX62" s="95">
        <v>32</v>
      </c>
      <c r="AY62" s="95">
        <v>17</v>
      </c>
      <c r="AZ62" s="95">
        <v>28</v>
      </c>
      <c r="BA62" s="95">
        <v>28</v>
      </c>
      <c r="BB62" s="95">
        <v>24</v>
      </c>
      <c r="BC62" s="95">
        <v>29</v>
      </c>
      <c r="BD62" s="95">
        <v>22</v>
      </c>
      <c r="BE62" s="95">
        <v>23</v>
      </c>
      <c r="BF62" s="95">
        <v>26</v>
      </c>
      <c r="BG62" s="95">
        <v>32</v>
      </c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</row>
    <row r="63" spans="1:75" ht="15.75">
      <c r="A63" s="97" t="s">
        <v>207</v>
      </c>
      <c r="B63" s="28">
        <v>133</v>
      </c>
      <c r="C63" s="28">
        <v>137</v>
      </c>
      <c r="D63" s="28">
        <v>144</v>
      </c>
      <c r="E63" s="86">
        <v>157</v>
      </c>
      <c r="F63" s="86">
        <v>153</v>
      </c>
      <c r="G63" s="48">
        <v>131</v>
      </c>
      <c r="H63" s="86">
        <f t="shared" si="160"/>
        <v>129.75</v>
      </c>
      <c r="I63" s="94"/>
      <c r="J63" s="96">
        <v>129</v>
      </c>
      <c r="K63" s="15">
        <v>113</v>
      </c>
      <c r="L63" s="28">
        <v>152</v>
      </c>
      <c r="M63" s="28">
        <v>133</v>
      </c>
      <c r="N63" s="28">
        <v>139</v>
      </c>
      <c r="O63" s="28">
        <v>137</v>
      </c>
      <c r="P63" s="28">
        <v>127</v>
      </c>
      <c r="Q63" s="28">
        <v>111</v>
      </c>
      <c r="R63" s="28">
        <v>124</v>
      </c>
      <c r="S63" s="28">
        <v>133</v>
      </c>
      <c r="T63" s="28">
        <v>131</v>
      </c>
      <c r="U63" s="51">
        <v>128</v>
      </c>
      <c r="V63" s="122"/>
      <c r="W63" s="96">
        <v>21</v>
      </c>
      <c r="X63" s="95">
        <v>29</v>
      </c>
      <c r="Y63" s="95">
        <v>30</v>
      </c>
      <c r="Z63" s="95">
        <v>34</v>
      </c>
      <c r="AA63" s="95">
        <v>21</v>
      </c>
      <c r="AB63" s="95">
        <v>23</v>
      </c>
      <c r="AC63" s="95">
        <v>30</v>
      </c>
      <c r="AD63" s="95">
        <v>26</v>
      </c>
      <c r="AE63" s="95">
        <v>35</v>
      </c>
      <c r="AF63" s="95">
        <v>40</v>
      </c>
      <c r="AG63" s="95">
        <v>34</v>
      </c>
      <c r="AH63" s="95">
        <v>35</v>
      </c>
      <c r="AI63" s="95">
        <v>26</v>
      </c>
      <c r="AJ63" s="95">
        <v>23</v>
      </c>
      <c r="AK63" s="95">
        <v>36</v>
      </c>
      <c r="AL63" s="95">
        <v>23</v>
      </c>
      <c r="AM63" s="95">
        <v>26</v>
      </c>
      <c r="AN63" s="95">
        <v>32</v>
      </c>
      <c r="AO63" s="95">
        <v>33</v>
      </c>
      <c r="AP63" s="95">
        <v>21</v>
      </c>
      <c r="AQ63" s="95">
        <v>30</v>
      </c>
      <c r="AR63" s="95">
        <v>16</v>
      </c>
      <c r="AS63" s="95">
        <v>29</v>
      </c>
      <c r="AT63" s="95">
        <v>33</v>
      </c>
      <c r="AU63" s="95">
        <v>24</v>
      </c>
      <c r="AV63" s="95">
        <v>26</v>
      </c>
      <c r="AW63" s="95">
        <v>25</v>
      </c>
      <c r="AX63" s="95">
        <v>26</v>
      </c>
      <c r="AY63" s="95">
        <v>30</v>
      </c>
      <c r="AZ63" s="95">
        <v>19</v>
      </c>
      <c r="BA63" s="95">
        <v>19</v>
      </c>
      <c r="BB63" s="95">
        <v>19</v>
      </c>
      <c r="BC63" s="95">
        <v>22</v>
      </c>
      <c r="BD63" s="95">
        <v>19</v>
      </c>
      <c r="BE63" s="95">
        <v>25</v>
      </c>
      <c r="BF63" s="95">
        <v>25</v>
      </c>
      <c r="BG63" s="95">
        <v>29</v>
      </c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</row>
    <row r="64" spans="1:75" ht="15.75">
      <c r="A64" s="97" t="s">
        <v>208</v>
      </c>
      <c r="B64" s="28">
        <v>131</v>
      </c>
      <c r="C64" s="28">
        <v>136</v>
      </c>
      <c r="D64" s="28">
        <v>150</v>
      </c>
      <c r="E64" s="86">
        <v>151</v>
      </c>
      <c r="F64" s="86">
        <v>145</v>
      </c>
      <c r="G64" s="48">
        <v>111</v>
      </c>
      <c r="H64" s="86">
        <f t="shared" si="160"/>
        <v>139.5</v>
      </c>
      <c r="I64" s="94"/>
      <c r="J64" s="96">
        <v>125</v>
      </c>
      <c r="K64" s="15">
        <v>125</v>
      </c>
      <c r="L64" s="28">
        <v>153</v>
      </c>
      <c r="M64" s="28">
        <v>161</v>
      </c>
      <c r="N64" s="28">
        <v>165</v>
      </c>
      <c r="O64" s="28">
        <v>157</v>
      </c>
      <c r="P64" s="28">
        <v>155</v>
      </c>
      <c r="Q64" s="28">
        <v>143</v>
      </c>
      <c r="R64" s="28">
        <v>139</v>
      </c>
      <c r="S64" s="28">
        <v>126</v>
      </c>
      <c r="T64" s="28">
        <v>126</v>
      </c>
      <c r="U64" s="51">
        <v>99</v>
      </c>
      <c r="V64" s="122"/>
      <c r="W64" s="96">
        <v>25</v>
      </c>
      <c r="X64" s="95">
        <v>33</v>
      </c>
      <c r="Y64" s="95">
        <v>32</v>
      </c>
      <c r="Z64" s="95">
        <v>22</v>
      </c>
      <c r="AA64" s="95">
        <v>33</v>
      </c>
      <c r="AB64" s="95">
        <v>24</v>
      </c>
      <c r="AC64" s="95">
        <v>26</v>
      </c>
      <c r="AD64" s="95">
        <v>34</v>
      </c>
      <c r="AE64" s="95">
        <v>36</v>
      </c>
      <c r="AF64" s="95">
        <v>32</v>
      </c>
      <c r="AG64" s="95">
        <v>38</v>
      </c>
      <c r="AH64" s="95">
        <v>28</v>
      </c>
      <c r="AI64" s="95">
        <v>40</v>
      </c>
      <c r="AJ64" s="95">
        <v>19</v>
      </c>
      <c r="AK64" s="95">
        <v>38</v>
      </c>
      <c r="AL64" s="95">
        <v>33</v>
      </c>
      <c r="AM64" s="95">
        <v>35</v>
      </c>
      <c r="AN64" s="95">
        <v>34</v>
      </c>
      <c r="AO64" s="95">
        <v>35</v>
      </c>
      <c r="AP64" s="95">
        <v>22</v>
      </c>
      <c r="AQ64" s="95">
        <v>35</v>
      </c>
      <c r="AR64" s="95">
        <v>29</v>
      </c>
      <c r="AS64" s="95">
        <v>29</v>
      </c>
      <c r="AT64" s="95">
        <v>36</v>
      </c>
      <c r="AU64" s="95">
        <v>35</v>
      </c>
      <c r="AV64" s="95">
        <v>27</v>
      </c>
      <c r="AW64" s="95">
        <v>35</v>
      </c>
      <c r="AX64" s="95">
        <v>36</v>
      </c>
      <c r="AY64" s="95">
        <v>29</v>
      </c>
      <c r="AZ64" s="95">
        <v>30</v>
      </c>
      <c r="BA64" s="95">
        <v>30</v>
      </c>
      <c r="BB64" s="95">
        <v>27</v>
      </c>
      <c r="BC64" s="95">
        <v>26</v>
      </c>
      <c r="BD64" s="95">
        <v>30</v>
      </c>
      <c r="BE64" s="95">
        <v>30</v>
      </c>
      <c r="BF64" s="95">
        <v>32</v>
      </c>
      <c r="BG64" s="95">
        <v>33</v>
      </c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</row>
    <row r="65" spans="1:75" ht="15.75">
      <c r="A65" s="97" t="s">
        <v>209</v>
      </c>
      <c r="B65" s="28">
        <v>119</v>
      </c>
      <c r="C65" s="28">
        <v>126</v>
      </c>
      <c r="D65" s="28">
        <v>133</v>
      </c>
      <c r="E65" s="86">
        <v>144</v>
      </c>
      <c r="F65" s="86">
        <v>135</v>
      </c>
      <c r="G65" s="48">
        <v>125</v>
      </c>
      <c r="H65" s="86">
        <f t="shared" si="160"/>
        <v>140.25</v>
      </c>
      <c r="I65" s="94"/>
      <c r="J65" s="96">
        <v>123</v>
      </c>
      <c r="K65" s="15">
        <v>126</v>
      </c>
      <c r="L65" s="28">
        <v>161</v>
      </c>
      <c r="M65" s="28">
        <v>143</v>
      </c>
      <c r="N65" s="28">
        <v>169</v>
      </c>
      <c r="O65" s="28">
        <v>144</v>
      </c>
      <c r="P65" s="28">
        <v>131</v>
      </c>
      <c r="Q65" s="28">
        <v>132</v>
      </c>
      <c r="R65" s="28">
        <v>143</v>
      </c>
      <c r="S65" s="28">
        <v>137</v>
      </c>
      <c r="T65" s="28">
        <v>134</v>
      </c>
      <c r="U65" s="51">
        <v>140</v>
      </c>
      <c r="V65" s="122"/>
      <c r="W65" s="96">
        <v>17</v>
      </c>
      <c r="X65" s="95">
        <v>32</v>
      </c>
      <c r="Y65" s="95">
        <v>31</v>
      </c>
      <c r="Z65" s="95">
        <v>28</v>
      </c>
      <c r="AA65" s="95">
        <v>38</v>
      </c>
      <c r="AB65" s="95">
        <v>22</v>
      </c>
      <c r="AC65" s="95">
        <v>28</v>
      </c>
      <c r="AD65" s="95">
        <v>36</v>
      </c>
      <c r="AE65" s="95">
        <v>32</v>
      </c>
      <c r="AF65" s="95">
        <v>39</v>
      </c>
      <c r="AG65" s="95">
        <v>32</v>
      </c>
      <c r="AH65" s="95">
        <v>35</v>
      </c>
      <c r="AI65" s="95">
        <v>40</v>
      </c>
      <c r="AJ65" s="95">
        <v>24</v>
      </c>
      <c r="AK65" s="95">
        <v>34</v>
      </c>
      <c r="AL65" s="95">
        <v>30</v>
      </c>
      <c r="AM65" s="95">
        <v>28</v>
      </c>
      <c r="AN65" s="95">
        <v>34</v>
      </c>
      <c r="AO65" s="95">
        <v>37</v>
      </c>
      <c r="AP65" s="95">
        <v>30</v>
      </c>
      <c r="AQ65" s="95">
        <v>30</v>
      </c>
      <c r="AR65" s="95">
        <v>28</v>
      </c>
      <c r="AS65" s="95">
        <v>28</v>
      </c>
      <c r="AT65" s="95">
        <v>33</v>
      </c>
      <c r="AU65" s="95">
        <v>31</v>
      </c>
      <c r="AV65" s="95">
        <v>25</v>
      </c>
      <c r="AW65" s="95">
        <v>33</v>
      </c>
      <c r="AX65" s="95">
        <v>25</v>
      </c>
      <c r="AY65" s="95">
        <v>25</v>
      </c>
      <c r="AZ65" s="95">
        <v>24</v>
      </c>
      <c r="BA65" s="95">
        <v>24</v>
      </c>
      <c r="BB65" s="95">
        <v>19</v>
      </c>
      <c r="BC65" s="95">
        <v>29</v>
      </c>
      <c r="BD65" s="95">
        <v>29</v>
      </c>
      <c r="BE65" s="95">
        <v>28</v>
      </c>
      <c r="BF65" s="95">
        <v>34</v>
      </c>
      <c r="BG65" s="95">
        <v>34</v>
      </c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</row>
    <row r="66" spans="1:75" ht="15.75">
      <c r="A66" s="97" t="s">
        <v>210</v>
      </c>
      <c r="B66" s="28">
        <v>121</v>
      </c>
      <c r="C66" s="28">
        <v>132</v>
      </c>
      <c r="D66" s="28">
        <v>141</v>
      </c>
      <c r="E66" s="86">
        <v>148</v>
      </c>
      <c r="F66" s="86">
        <v>142</v>
      </c>
      <c r="G66" s="48">
        <v>136</v>
      </c>
      <c r="H66" s="86">
        <f t="shared" si="160"/>
        <v>144</v>
      </c>
      <c r="I66" s="94"/>
      <c r="J66" s="96">
        <v>123</v>
      </c>
      <c r="K66" s="15">
        <v>112</v>
      </c>
      <c r="L66" s="28">
        <v>158</v>
      </c>
      <c r="M66" s="28">
        <v>126</v>
      </c>
      <c r="N66" s="28">
        <v>177</v>
      </c>
      <c r="O66" s="28">
        <v>162</v>
      </c>
      <c r="P66" s="28">
        <v>150</v>
      </c>
      <c r="Q66" s="28">
        <v>146</v>
      </c>
      <c r="R66" s="28">
        <v>145</v>
      </c>
      <c r="S66" s="28">
        <v>143</v>
      </c>
      <c r="T66" s="28">
        <v>147</v>
      </c>
      <c r="U66" s="51">
        <v>139</v>
      </c>
      <c r="V66" s="122"/>
      <c r="W66" s="96">
        <v>12</v>
      </c>
      <c r="X66" s="95">
        <v>33</v>
      </c>
      <c r="Y66" s="95">
        <v>35</v>
      </c>
      <c r="Z66" s="95">
        <v>33</v>
      </c>
      <c r="AA66" s="95">
        <v>28</v>
      </c>
      <c r="AB66" s="95">
        <v>22</v>
      </c>
      <c r="AC66" s="95">
        <v>28</v>
      </c>
      <c r="AD66" s="95">
        <v>23</v>
      </c>
      <c r="AE66" s="95">
        <v>39</v>
      </c>
      <c r="AF66" s="95">
        <v>42</v>
      </c>
      <c r="AG66" s="95">
        <v>39</v>
      </c>
      <c r="AH66" s="95">
        <v>27</v>
      </c>
      <c r="AI66" s="95">
        <v>32</v>
      </c>
      <c r="AJ66" s="95">
        <v>15</v>
      </c>
      <c r="AK66" s="95">
        <v>34</v>
      </c>
      <c r="AL66" s="95">
        <v>26</v>
      </c>
      <c r="AM66" s="95">
        <v>24</v>
      </c>
      <c r="AN66" s="95">
        <v>23</v>
      </c>
      <c r="AO66" s="95">
        <v>36</v>
      </c>
      <c r="AP66" s="95">
        <v>34</v>
      </c>
      <c r="AQ66" s="95">
        <v>35</v>
      </c>
      <c r="AR66" s="95">
        <v>30</v>
      </c>
      <c r="AS66" s="95">
        <v>32</v>
      </c>
      <c r="AT66" s="95">
        <v>34</v>
      </c>
      <c r="AU66" s="95">
        <v>34</v>
      </c>
      <c r="AV66" s="95">
        <v>34</v>
      </c>
      <c r="AW66" s="95">
        <v>27</v>
      </c>
      <c r="AX66" s="95">
        <v>34</v>
      </c>
      <c r="AY66" s="95">
        <v>30</v>
      </c>
      <c r="AZ66" s="95">
        <v>32</v>
      </c>
      <c r="BA66" s="95">
        <v>32</v>
      </c>
      <c r="BB66" s="95">
        <v>29</v>
      </c>
      <c r="BC66" s="95">
        <v>29</v>
      </c>
      <c r="BD66" s="95">
        <v>29</v>
      </c>
      <c r="BE66" s="95">
        <v>30</v>
      </c>
      <c r="BF66" s="95">
        <v>37</v>
      </c>
      <c r="BG66" s="95">
        <v>35</v>
      </c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</row>
    <row r="67" spans="1:75" ht="15.75">
      <c r="A67" s="97" t="s">
        <v>211</v>
      </c>
      <c r="B67" s="28">
        <v>69</v>
      </c>
      <c r="C67" s="28">
        <v>84</v>
      </c>
      <c r="D67" s="28">
        <v>100</v>
      </c>
      <c r="E67" s="86">
        <v>113</v>
      </c>
      <c r="F67" s="86">
        <v>110</v>
      </c>
      <c r="G67" s="48">
        <v>64</v>
      </c>
      <c r="H67" s="86">
        <f t="shared" si="160"/>
        <v>68.833333333333329</v>
      </c>
      <c r="I67" s="94"/>
      <c r="J67" s="96">
        <v>80</v>
      </c>
      <c r="K67" s="15">
        <v>79</v>
      </c>
      <c r="L67" s="28">
        <v>102</v>
      </c>
      <c r="M67" s="28">
        <v>100</v>
      </c>
      <c r="N67" s="28">
        <v>124</v>
      </c>
      <c r="O67" s="28">
        <v>96</v>
      </c>
      <c r="P67" s="28">
        <v>97</v>
      </c>
      <c r="Q67" s="28">
        <v>77</v>
      </c>
      <c r="R67" s="28">
        <v>60</v>
      </c>
      <c r="S67" s="28">
        <v>0</v>
      </c>
      <c r="T67" s="28">
        <v>7</v>
      </c>
      <c r="U67" s="51">
        <v>4</v>
      </c>
      <c r="V67" s="122"/>
      <c r="W67" s="96">
        <v>12</v>
      </c>
      <c r="X67" s="95">
        <v>26</v>
      </c>
      <c r="Y67" s="95">
        <v>18</v>
      </c>
      <c r="Z67" s="95">
        <v>15</v>
      </c>
      <c r="AA67" s="95">
        <v>21</v>
      </c>
      <c r="AB67" s="95">
        <v>18</v>
      </c>
      <c r="AC67" s="95">
        <v>19</v>
      </c>
      <c r="AD67" s="95">
        <v>16</v>
      </c>
      <c r="AE67" s="95">
        <v>19</v>
      </c>
      <c r="AF67" s="95">
        <v>23</v>
      </c>
      <c r="AG67" s="95">
        <v>32</v>
      </c>
      <c r="AH67" s="95">
        <v>22</v>
      </c>
      <c r="AI67" s="95">
        <v>20</v>
      </c>
      <c r="AJ67" s="95">
        <v>22</v>
      </c>
      <c r="AK67" s="95">
        <v>21</v>
      </c>
      <c r="AL67" s="95">
        <v>23</v>
      </c>
      <c r="AM67" s="95">
        <v>10</v>
      </c>
      <c r="AN67" s="95">
        <v>29</v>
      </c>
      <c r="AO67" s="95">
        <v>24</v>
      </c>
      <c r="AP67" s="95">
        <v>27</v>
      </c>
      <c r="AQ67" s="95">
        <v>15</v>
      </c>
      <c r="AR67" s="95">
        <v>24</v>
      </c>
      <c r="AS67" s="95">
        <v>26</v>
      </c>
      <c r="AT67" s="95">
        <v>23</v>
      </c>
      <c r="AU67" s="95">
        <v>11</v>
      </c>
      <c r="AV67" s="95">
        <v>15</v>
      </c>
      <c r="AW67" s="95">
        <v>23</v>
      </c>
      <c r="AX67" s="95">
        <v>24</v>
      </c>
      <c r="AY67" s="95">
        <v>20</v>
      </c>
      <c r="AZ67" s="95">
        <v>16</v>
      </c>
      <c r="BA67" s="95">
        <v>16</v>
      </c>
      <c r="BB67" s="95">
        <v>18</v>
      </c>
      <c r="BC67" s="95">
        <v>11</v>
      </c>
      <c r="BD67" s="95">
        <v>11</v>
      </c>
      <c r="BE67" s="95">
        <v>19</v>
      </c>
      <c r="BF67" s="95">
        <v>22</v>
      </c>
      <c r="BG67" s="95">
        <v>21</v>
      </c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</row>
    <row r="68" spans="1:75" ht="16.5" thickBot="1">
      <c r="A68" s="99" t="s">
        <v>212</v>
      </c>
      <c r="B68" s="70">
        <v>817</v>
      </c>
      <c r="C68" s="70">
        <v>869</v>
      </c>
      <c r="D68" s="70">
        <v>942</v>
      </c>
      <c r="E68" s="100">
        <v>993</v>
      </c>
      <c r="F68" s="100">
        <v>951</v>
      </c>
      <c r="G68" s="71">
        <v>804</v>
      </c>
      <c r="H68" s="100">
        <f>IF(AVERAGE(J68:S68)=0,"",AVERAGE(J68:S68))</f>
        <v>891</v>
      </c>
      <c r="I68" s="101"/>
      <c r="J68" s="102">
        <f t="shared" ref="J68:O68" si="161">SUM(J61:J67)</f>
        <v>810</v>
      </c>
      <c r="K68" s="102">
        <f t="shared" si="161"/>
        <v>767</v>
      </c>
      <c r="L68" s="102">
        <f t="shared" si="161"/>
        <v>1007</v>
      </c>
      <c r="M68" s="102">
        <f t="shared" si="161"/>
        <v>900</v>
      </c>
      <c r="N68" s="102">
        <f t="shared" si="161"/>
        <v>1071</v>
      </c>
      <c r="O68" s="102">
        <f t="shared" si="161"/>
        <v>959</v>
      </c>
      <c r="P68" s="102">
        <f t="shared" ref="P68:U68" si="162">SUM(P61:P67)</f>
        <v>930</v>
      </c>
      <c r="Q68" s="102">
        <f t="shared" si="162"/>
        <v>840</v>
      </c>
      <c r="R68" s="102">
        <f t="shared" si="162"/>
        <v>860</v>
      </c>
      <c r="S68" s="102">
        <f t="shared" si="162"/>
        <v>766</v>
      </c>
      <c r="T68" s="102">
        <f t="shared" si="162"/>
        <v>788</v>
      </c>
      <c r="U68" s="103">
        <f t="shared" si="162"/>
        <v>738</v>
      </c>
      <c r="V68" s="122"/>
      <c r="W68" s="95">
        <f>SUM(W61:W67)</f>
        <v>122</v>
      </c>
      <c r="X68" s="95">
        <f t="shared" ref="X68:BV68" si="163">SUM(X61:X67)</f>
        <v>207</v>
      </c>
      <c r="Y68" s="95">
        <f t="shared" si="163"/>
        <v>204</v>
      </c>
      <c r="Z68" s="95">
        <f t="shared" si="163"/>
        <v>196</v>
      </c>
      <c r="AA68" s="95">
        <f t="shared" si="163"/>
        <v>199</v>
      </c>
      <c r="AB68" s="95">
        <f t="shared" si="163"/>
        <v>146</v>
      </c>
      <c r="AC68" s="95">
        <f t="shared" si="163"/>
        <v>174</v>
      </c>
      <c r="AD68" s="95">
        <f t="shared" si="163"/>
        <v>197</v>
      </c>
      <c r="AE68" s="95">
        <f t="shared" si="163"/>
        <v>215</v>
      </c>
      <c r="AF68" s="95">
        <f t="shared" si="163"/>
        <v>249</v>
      </c>
      <c r="AG68" s="95">
        <f t="shared" si="163"/>
        <v>238</v>
      </c>
      <c r="AH68" s="95">
        <f t="shared" si="163"/>
        <v>209</v>
      </c>
      <c r="AI68" s="95">
        <f t="shared" si="163"/>
        <v>218</v>
      </c>
      <c r="AJ68" s="95">
        <f t="shared" si="163"/>
        <v>138</v>
      </c>
      <c r="AK68" s="95">
        <f t="shared" si="163"/>
        <v>216</v>
      </c>
      <c r="AL68" s="95">
        <f t="shared" si="163"/>
        <v>187</v>
      </c>
      <c r="AM68" s="95">
        <f t="shared" si="163"/>
        <v>171</v>
      </c>
      <c r="AN68" s="95">
        <f t="shared" si="163"/>
        <v>211</v>
      </c>
      <c r="AO68" s="95">
        <f t="shared" si="163"/>
        <v>225</v>
      </c>
      <c r="AP68" s="95">
        <f t="shared" si="163"/>
        <v>191</v>
      </c>
      <c r="AQ68" s="95">
        <f t="shared" si="163"/>
        <v>199</v>
      </c>
      <c r="AR68" s="95">
        <f t="shared" si="163"/>
        <v>173</v>
      </c>
      <c r="AS68" s="95">
        <f t="shared" si="163"/>
        <v>202</v>
      </c>
      <c r="AT68" s="95">
        <f t="shared" si="163"/>
        <v>204</v>
      </c>
      <c r="AU68" s="95">
        <f t="shared" si="163"/>
        <v>189</v>
      </c>
      <c r="AV68" s="95">
        <f t="shared" si="163"/>
        <v>183</v>
      </c>
      <c r="AW68" s="95">
        <f>SUM(AW61:AW67)</f>
        <v>202</v>
      </c>
      <c r="AX68" s="95">
        <f>SUM(AX61:AX67)</f>
        <v>202</v>
      </c>
      <c r="AY68" s="95">
        <f t="shared" si="163"/>
        <v>182</v>
      </c>
      <c r="AZ68" s="95">
        <f t="shared" si="163"/>
        <v>175</v>
      </c>
      <c r="BA68" s="95">
        <f t="shared" si="163"/>
        <v>175</v>
      </c>
      <c r="BB68" s="95">
        <f t="shared" si="163"/>
        <v>159</v>
      </c>
      <c r="BC68" s="95">
        <f t="shared" si="163"/>
        <v>166</v>
      </c>
      <c r="BD68" s="95">
        <f t="shared" si="163"/>
        <v>169</v>
      </c>
      <c r="BE68" s="95">
        <f t="shared" si="163"/>
        <v>177</v>
      </c>
      <c r="BF68" s="95">
        <f t="shared" si="163"/>
        <v>207</v>
      </c>
      <c r="BG68" s="95">
        <f t="shared" si="163"/>
        <v>212</v>
      </c>
      <c r="BH68" s="95">
        <f t="shared" si="163"/>
        <v>0</v>
      </c>
      <c r="BI68" s="95">
        <f t="shared" si="163"/>
        <v>0</v>
      </c>
      <c r="BJ68" s="95">
        <f t="shared" si="163"/>
        <v>0</v>
      </c>
      <c r="BK68" s="95">
        <f t="shared" si="163"/>
        <v>0</v>
      </c>
      <c r="BL68" s="95">
        <f t="shared" si="163"/>
        <v>0</v>
      </c>
      <c r="BM68" s="95">
        <f t="shared" si="163"/>
        <v>0</v>
      </c>
      <c r="BN68" s="95">
        <f t="shared" si="163"/>
        <v>0</v>
      </c>
      <c r="BO68" s="95">
        <f t="shared" si="163"/>
        <v>0</v>
      </c>
      <c r="BP68" s="95">
        <f t="shared" si="163"/>
        <v>0</v>
      </c>
      <c r="BQ68" s="95">
        <f t="shared" si="163"/>
        <v>0</v>
      </c>
      <c r="BR68" s="95">
        <f t="shared" si="163"/>
        <v>0</v>
      </c>
      <c r="BS68" s="95">
        <f t="shared" si="163"/>
        <v>0</v>
      </c>
      <c r="BT68" s="95">
        <f t="shared" si="163"/>
        <v>0</v>
      </c>
      <c r="BU68" s="95">
        <f t="shared" si="163"/>
        <v>0</v>
      </c>
      <c r="BV68" s="95">
        <f t="shared" si="163"/>
        <v>0</v>
      </c>
      <c r="BW68" s="95"/>
    </row>
    <row r="69" spans="1:75" ht="14.25" thickTop="1"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1:75"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</sheetData>
  <mergeCells count="231">
    <mergeCell ref="AJ59:AM59"/>
    <mergeCell ref="AN59:AR59"/>
    <mergeCell ref="AJ48:AM48"/>
    <mergeCell ref="AN48:AR48"/>
    <mergeCell ref="AJ39:AM39"/>
    <mergeCell ref="AN39:AR39"/>
    <mergeCell ref="AJ30:AM30"/>
    <mergeCell ref="AN30:AR30"/>
    <mergeCell ref="AN19:AR19"/>
    <mergeCell ref="AJ19:AM19"/>
    <mergeCell ref="H19:H20"/>
    <mergeCell ref="H30:H31"/>
    <mergeCell ref="H39:H40"/>
    <mergeCell ref="N1:N2"/>
    <mergeCell ref="P1:P2"/>
    <mergeCell ref="T1:T2"/>
    <mergeCell ref="U1:U2"/>
    <mergeCell ref="Q1:Q2"/>
    <mergeCell ref="AB1:AE1"/>
    <mergeCell ref="M1:M2"/>
    <mergeCell ref="R1:R2"/>
    <mergeCell ref="V30:V31"/>
    <mergeCell ref="H48:H49"/>
    <mergeCell ref="H59:H60"/>
    <mergeCell ref="P30:P31"/>
    <mergeCell ref="D59:D60"/>
    <mergeCell ref="D1:D2"/>
    <mergeCell ref="D8:D9"/>
    <mergeCell ref="D19:D20"/>
    <mergeCell ref="D30:D31"/>
    <mergeCell ref="D39:D40"/>
    <mergeCell ref="D48:D49"/>
    <mergeCell ref="F59:F60"/>
    <mergeCell ref="F1:F2"/>
    <mergeCell ref="F8:F9"/>
    <mergeCell ref="F19:F20"/>
    <mergeCell ref="F30:F31"/>
    <mergeCell ref="F39:F40"/>
    <mergeCell ref="F48:F49"/>
    <mergeCell ref="K8:K9"/>
    <mergeCell ref="L1:L2"/>
    <mergeCell ref="K19:K20"/>
    <mergeCell ref="M19:M20"/>
    <mergeCell ref="N30:N31"/>
    <mergeCell ref="J48:J49"/>
    <mergeCell ref="K48:K49"/>
    <mergeCell ref="J59:J60"/>
    <mergeCell ref="M8:M9"/>
    <mergeCell ref="BS19:BW19"/>
    <mergeCell ref="BS30:BW30"/>
    <mergeCell ref="BS39:BW39"/>
    <mergeCell ref="BS48:BW48"/>
    <mergeCell ref="BS59:BW59"/>
    <mergeCell ref="BF48:BI48"/>
    <mergeCell ref="BF19:BI19"/>
    <mergeCell ref="BF59:BI59"/>
    <mergeCell ref="BJ39:BN39"/>
    <mergeCell ref="BJ48:BN48"/>
    <mergeCell ref="BJ59:BN59"/>
    <mergeCell ref="N8:N9"/>
    <mergeCell ref="N19:N20"/>
    <mergeCell ref="Q8:Q9"/>
    <mergeCell ref="Q19:Q20"/>
    <mergeCell ref="P19:P20"/>
    <mergeCell ref="R8:R9"/>
    <mergeCell ref="R19:R20"/>
    <mergeCell ref="AB48:AE48"/>
    <mergeCell ref="AF48:AI48"/>
    <mergeCell ref="AB19:AE19"/>
    <mergeCell ref="BB59:BE59"/>
    <mergeCell ref="BS1:BW1"/>
    <mergeCell ref="BS8:BW8"/>
    <mergeCell ref="BO59:BR59"/>
    <mergeCell ref="BO1:BR1"/>
    <mergeCell ref="BO8:BR8"/>
    <mergeCell ref="BO19:BR19"/>
    <mergeCell ref="BO30:BR30"/>
    <mergeCell ref="BO39:BR39"/>
    <mergeCell ref="BO48:BR48"/>
    <mergeCell ref="BF1:BI1"/>
    <mergeCell ref="BJ1:BN1"/>
    <mergeCell ref="BJ8:BN8"/>
    <mergeCell ref="BJ19:BN19"/>
    <mergeCell ref="BF30:BI30"/>
    <mergeCell ref="BF39:BI39"/>
    <mergeCell ref="BJ30:BN30"/>
    <mergeCell ref="BF8:BI8"/>
    <mergeCell ref="V8:V9"/>
    <mergeCell ref="V19:V20"/>
    <mergeCell ref="V39:V40"/>
    <mergeCell ref="W19:AA19"/>
    <mergeCell ref="AF8:AI8"/>
    <mergeCell ref="AS30:AV30"/>
    <mergeCell ref="AS39:AV39"/>
    <mergeCell ref="AW19:BA19"/>
    <mergeCell ref="AW30:BA30"/>
    <mergeCell ref="AW39:BA39"/>
    <mergeCell ref="AW8:BA8"/>
    <mergeCell ref="W1:AA1"/>
    <mergeCell ref="W8:AA8"/>
    <mergeCell ref="AF19:AI19"/>
    <mergeCell ref="V1:V2"/>
    <mergeCell ref="AB8:AE8"/>
    <mergeCell ref="A59:A60"/>
    <mergeCell ref="J19:J20"/>
    <mergeCell ref="K39:K40"/>
    <mergeCell ref="L39:L40"/>
    <mergeCell ref="C59:C60"/>
    <mergeCell ref="A30:A31"/>
    <mergeCell ref="A48:A49"/>
    <mergeCell ref="B59:B60"/>
    <mergeCell ref="C19:C20"/>
    <mergeCell ref="A19:A20"/>
    <mergeCell ref="L48:L49"/>
    <mergeCell ref="L59:L60"/>
    <mergeCell ref="L19:L20"/>
    <mergeCell ref="L30:L31"/>
    <mergeCell ref="E19:E20"/>
    <mergeCell ref="E39:E40"/>
    <mergeCell ref="A39:A40"/>
    <mergeCell ref="B48:B49"/>
    <mergeCell ref="E59:E60"/>
    <mergeCell ref="E30:E31"/>
    <mergeCell ref="E48:E49"/>
    <mergeCell ref="K30:K31"/>
    <mergeCell ref="K59:K60"/>
    <mergeCell ref="C48:C49"/>
    <mergeCell ref="A1:A2"/>
    <mergeCell ref="J1:J2"/>
    <mergeCell ref="B1:B2"/>
    <mergeCell ref="B8:B9"/>
    <mergeCell ref="A8:A9"/>
    <mergeCell ref="B19:B20"/>
    <mergeCell ref="B30:B31"/>
    <mergeCell ref="B39:B40"/>
    <mergeCell ref="C1:C2"/>
    <mergeCell ref="J8:J9"/>
    <mergeCell ref="E1:E2"/>
    <mergeCell ref="E8:E9"/>
    <mergeCell ref="C8:C9"/>
    <mergeCell ref="C30:C31"/>
    <mergeCell ref="C39:C40"/>
    <mergeCell ref="J30:J31"/>
    <mergeCell ref="J39:J40"/>
    <mergeCell ref="G1:G2"/>
    <mergeCell ref="G8:G9"/>
    <mergeCell ref="G19:G20"/>
    <mergeCell ref="G30:G31"/>
    <mergeCell ref="G39:G40"/>
    <mergeCell ref="H1:H2"/>
    <mergeCell ref="H8:H9"/>
    <mergeCell ref="BB1:BE1"/>
    <mergeCell ref="BB8:BE8"/>
    <mergeCell ref="BB19:BE19"/>
    <mergeCell ref="BB30:BE30"/>
    <mergeCell ref="BB39:BE39"/>
    <mergeCell ref="AW48:BA48"/>
    <mergeCell ref="W30:AA30"/>
    <mergeCell ref="AS48:AV48"/>
    <mergeCell ref="AS1:AV1"/>
    <mergeCell ref="AS8:AV8"/>
    <mergeCell ref="AS19:AV19"/>
    <mergeCell ref="AW1:BA1"/>
    <mergeCell ref="BB48:BE48"/>
    <mergeCell ref="AF39:AI39"/>
    <mergeCell ref="AF30:AI30"/>
    <mergeCell ref="AB30:AE30"/>
    <mergeCell ref="AN8:AR8"/>
    <mergeCell ref="AJ8:AM8"/>
    <mergeCell ref="AN1:AR1"/>
    <mergeCell ref="AJ1:AM1"/>
    <mergeCell ref="AF1:AI1"/>
    <mergeCell ref="G48:G49"/>
    <mergeCell ref="U48:U49"/>
    <mergeCell ref="U39:U40"/>
    <mergeCell ref="U30:U31"/>
    <mergeCell ref="U19:U20"/>
    <mergeCell ref="U8:U9"/>
    <mergeCell ref="O1:O2"/>
    <mergeCell ref="O8:O9"/>
    <mergeCell ref="O19:O20"/>
    <mergeCell ref="O30:O31"/>
    <mergeCell ref="S30:S31"/>
    <mergeCell ref="R30:R31"/>
    <mergeCell ref="S1:S2"/>
    <mergeCell ref="S8:S9"/>
    <mergeCell ref="S19:S20"/>
    <mergeCell ref="M30:M31"/>
    <mergeCell ref="M39:M40"/>
    <mergeCell ref="L8:L9"/>
    <mergeCell ref="K1:K2"/>
    <mergeCell ref="T8:T9"/>
    <mergeCell ref="T19:T20"/>
    <mergeCell ref="T30:T31"/>
    <mergeCell ref="P8:P9"/>
    <mergeCell ref="Q30:Q31"/>
    <mergeCell ref="T59:T60"/>
    <mergeCell ref="S59:S60"/>
    <mergeCell ref="R59:R60"/>
    <mergeCell ref="Q39:Q40"/>
    <mergeCell ref="Q48:Q49"/>
    <mergeCell ref="T48:T49"/>
    <mergeCell ref="S39:S40"/>
    <mergeCell ref="T39:T40"/>
    <mergeCell ref="S48:S49"/>
    <mergeCell ref="R39:R40"/>
    <mergeCell ref="R48:R49"/>
    <mergeCell ref="AS59:AV59"/>
    <mergeCell ref="AW59:BA59"/>
    <mergeCell ref="M59:M60"/>
    <mergeCell ref="O48:O49"/>
    <mergeCell ref="M48:M49"/>
    <mergeCell ref="N59:N60"/>
    <mergeCell ref="N39:N40"/>
    <mergeCell ref="P59:P60"/>
    <mergeCell ref="G59:G60"/>
    <mergeCell ref="AB39:AE39"/>
    <mergeCell ref="AF59:AI59"/>
    <mergeCell ref="W48:AA48"/>
    <mergeCell ref="V59:V60"/>
    <mergeCell ref="W59:AA59"/>
    <mergeCell ref="AB59:AE59"/>
    <mergeCell ref="W39:AA39"/>
    <mergeCell ref="V48:V49"/>
    <mergeCell ref="N48:N49"/>
    <mergeCell ref="P39:P40"/>
    <mergeCell ref="P48:P49"/>
    <mergeCell ref="O59:O60"/>
    <mergeCell ref="O39:O40"/>
    <mergeCell ref="U59:U60"/>
    <mergeCell ref="Q59:Q60"/>
  </mergeCells>
  <phoneticPr fontId="1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2D6C3BF362140AD4B6103F32582AA" ma:contentTypeVersion="6" ma:contentTypeDescription="Create a new document." ma:contentTypeScope="" ma:versionID="748b169f20d1f27769f3412e0cd0a14a">
  <xsd:schema xmlns:xsd="http://www.w3.org/2001/XMLSchema" xmlns:xs="http://www.w3.org/2001/XMLSchema" xmlns:p="http://schemas.microsoft.com/office/2006/metadata/properties" xmlns:ns2="d1a8d81b-8a26-4b64-83a5-9cf210ca3335" targetNamespace="http://schemas.microsoft.com/office/2006/metadata/properties" ma:root="true" ma:fieldsID="fc26e90fda7269abcb2689097e7ea055" ns2:_="">
    <xsd:import namespace="d1a8d81b-8a26-4b64-83a5-9cf210ca3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8d81b-8a26-4b64-83a5-9cf210ca3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01A5C3-94B5-497F-8E02-E7CAF5B0AF63}"/>
</file>

<file path=customXml/itemProps2.xml><?xml version="1.0" encoding="utf-8"?>
<ds:datastoreItem xmlns:ds="http://schemas.openxmlformats.org/officeDocument/2006/customXml" ds:itemID="{9A097FC3-162C-4221-A861-B4F1B1837DF2}"/>
</file>

<file path=customXml/itemProps3.xml><?xml version="1.0" encoding="utf-8"?>
<ds:datastoreItem xmlns:ds="http://schemas.openxmlformats.org/officeDocument/2006/customXml" ds:itemID="{E136808C-E57A-4C51-A967-C963A52BB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nuvoton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S220 THChiu</dc:creator>
  <cp:keywords/>
  <dc:description/>
  <cp:lastModifiedBy>S220 JYLin</cp:lastModifiedBy>
  <cp:revision/>
  <dcterms:created xsi:type="dcterms:W3CDTF">2016-12-30T03:27:39Z</dcterms:created>
  <dcterms:modified xsi:type="dcterms:W3CDTF">2025-03-03T02:32:22Z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ShowRepairView">
    <vt:lpwstr/>
  </property>
  <property fmtid="{D5CDD505-2E9C-101B-9397-08002B2CF9AE}" pid="4" name="ShowCombineView">
    <vt:lpwstr/>
  </property>
  <property fmtid="{D5CDD505-2E9C-101B-9397-08002B2CF9AE}" pid="5" name="xd_ProgID">
    <vt:lpwstr/>
  </property>
  <property fmtid="{D5CDD505-2E9C-101B-9397-08002B2CF9AE}" pid="6" name="Order">
    <vt:r8>71900</vt:r8>
  </property>
  <property fmtid="{D5CDD505-2E9C-101B-9397-08002B2CF9AE}" pid="7" name="MetaInfo">
    <vt:lpwstr/>
  </property>
  <property fmtid="{D5CDD505-2E9C-101B-9397-08002B2CF9AE}" pid="8" name="ContentTypeId">
    <vt:lpwstr>0x0101001D42D6C3BF362140AD4B6103F32582AA</vt:lpwstr>
  </property>
</Properties>
</file>